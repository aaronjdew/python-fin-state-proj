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966" firstSheet="0" activeTab="4" autoFilterDateGrouping="1"/>
  </bookViews>
  <sheets>
    <sheet name="ForeMonth" sheetId="1" state="visible" r:id="rId1"/>
    <sheet name="ForeDaily" sheetId="2" state="visible" r:id="rId2"/>
    <sheet name="Calendar" sheetId="3" state="visible" r:id="rId3"/>
    <sheet name="BusData" sheetId="4" state="visible" r:id="rId4"/>
    <sheet name="ForeCalc" sheetId="5" state="visible" r:id="rId5"/>
  </sheets>
  <definedNames>
    <definedName name="ARE">#REF!</definedName>
    <definedName name="CCDebt">#REF!</definedName>
    <definedName name="CCDebtM">#REF!</definedName>
    <definedName name="CCDebtP">#REF!</definedName>
    <definedName name="CCDebtR">#REF!</definedName>
    <definedName name="CoH">#REF!</definedName>
    <definedName name="CommLoan">#REF!</definedName>
    <definedName name="CommLoanM">#REF!</definedName>
    <definedName name="CommLoanP">#REF!</definedName>
    <definedName name="CommLoanR">#REF!</definedName>
    <definedName name="DR">#REF!</definedName>
    <definedName name="ED">#REF!</definedName>
    <definedName name="IDC">#REF!</definedName>
    <definedName name="LI">#REF!</definedName>
    <definedName name="LL">#REF!</definedName>
    <definedName name="LPP">#REF!</definedName>
    <definedName name="LT">#REF!</definedName>
    <definedName name="LTC">#REF!</definedName>
    <definedName name="LTPC">#REF!</definedName>
    <definedName name="MPA">#REF!</definedName>
    <definedName name="NetIncY1">#REF!</definedName>
    <definedName name="NetIncY2">#REF!</definedName>
    <definedName name="NetIncY3">#REF!</definedName>
    <definedName name="OutsideInvestors">#REF!</definedName>
    <definedName name="OwnerEquity">#REF!</definedName>
    <definedName name="PPIns">#REF!</definedName>
    <definedName name="ROUA">#REF!</definedName>
    <definedName name="SD">#REF!</definedName>
    <definedName name="SUSect195Amor">#REF!</definedName>
    <definedName name="SUSect195Total">#REF!</definedName>
    <definedName name="SUTotalOrg">#REF!</definedName>
    <definedName name="SUTotalReqFunds">#REF!</definedName>
    <definedName name="SUTotalSourcesFunds">#REF!</definedName>
    <definedName name="TPA">#REF!</definedName>
    <definedName name="TSLE">#REF!</definedName>
    <definedName name="Y1EndingCashBal">#REF!</definedName>
    <definedName name="Y2EndingCashBal">#REF!</definedName>
    <definedName name="Y3EndingCashBal">#REF!</definedName>
    <definedName name="_xlnm._FilterDatabase" localSheetId="0" hidden="1">'ForeMonth'!$A$1:$G$289</definedName>
    <definedName name="_xlnm._FilterDatabase" localSheetId="1" hidden="1">'ForeDaily'!$A$1:$G$8769</definedName>
    <definedName name="_xlnm._FilterDatabase" localSheetId="2" hidden="1">'Calendar'!$A$1:$H$1097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$-409]#,##0.00"/>
    <numFmt numFmtId="165" formatCode="0.0%"/>
    <numFmt numFmtId="166" formatCode="m"/>
    <numFmt numFmtId="167" formatCode="[$$-409]#,##0"/>
    <numFmt numFmtId="168" formatCode="ddd"/>
    <numFmt numFmtId="169" formatCode="yyyy\-mm\-dd"/>
    <numFmt numFmtId="170" formatCode="YYYY-MM-DD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i val="1"/>
      <sz val="10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4"/>
      <sz val="10"/>
      <scheme val="minor"/>
    </font>
    <font>
      <name val="Aptos Narrow"/>
      <family val="2"/>
      <color rgb="FFC00000"/>
      <sz val="10"/>
      <scheme val="minor"/>
    </font>
    <font>
      <name val="Aptos Narrow"/>
      <family val="2"/>
      <b val="1"/>
      <color rgb="FFFF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right" vertical="center"/>
    </xf>
    <xf numFmtId="0" fontId="3" fillId="4" borderId="0" pivotButton="0" quotePrefix="0" xfId="0"/>
    <xf numFmtId="164" fontId="3" fillId="0" borderId="0" pivotButton="0" quotePrefix="0" xfId="0"/>
    <xf numFmtId="165" fontId="3" fillId="0" borderId="0" pivotButton="0" quotePrefix="0" xfId="1"/>
    <xf numFmtId="166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9" fontId="3" fillId="0" borderId="0" applyAlignment="1" pivotButton="0" quotePrefix="0" xfId="1">
      <alignment horizontal="center" vertical="center"/>
    </xf>
    <xf numFmtId="9" fontId="3" fillId="2" borderId="0" applyAlignment="1" pivotButton="0" quotePrefix="0" xfId="1">
      <alignment horizontal="center" vertical="center"/>
    </xf>
    <xf numFmtId="0" fontId="3" fillId="2" borderId="1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" fontId="3" fillId="0" borderId="0" pivotButton="0" quotePrefix="0" xfId="0"/>
    <xf numFmtId="9" fontId="2" fillId="0" borderId="0" applyAlignment="1" pivotButton="0" quotePrefix="0" xfId="1">
      <alignment horizontal="right" vertical="center"/>
    </xf>
    <xf numFmtId="0" fontId="3" fillId="0" borderId="0" applyAlignment="1" pivotButton="0" quotePrefix="0" xfId="0">
      <alignment horizontal="left"/>
    </xf>
    <xf numFmtId="168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9" fontId="3" fillId="0" borderId="0" pivotButton="0" quotePrefix="0" xfId="0"/>
    <xf numFmtId="0" fontId="2" fillId="0" borderId="0" applyAlignment="1" pivotButton="0" quotePrefix="0" xfId="0">
      <alignment horizontal="left"/>
    </xf>
    <xf numFmtId="9" fontId="3" fillId="0" borderId="0" applyAlignment="1" pivotButton="0" quotePrefix="0" xfId="1">
      <alignment horizontal="left"/>
    </xf>
    <xf numFmtId="9" fontId="3" fillId="2" borderId="0" applyAlignment="1" pivotButton="0" quotePrefix="0" xfId="0">
      <alignment horizontal="center" vertical="center"/>
    </xf>
    <xf numFmtId="9" fontId="3" fillId="0" borderId="0" pivotButton="0" quotePrefix="0" xfId="1"/>
    <xf numFmtId="2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3" pivotButton="0" quotePrefix="0" xfId="0"/>
    <xf numFmtId="0" fontId="7" fillId="0" borderId="3" pivotButton="0" quotePrefix="0" xfId="0"/>
    <xf numFmtId="0" fontId="4" fillId="4" borderId="0" applyAlignment="1" pivotButton="0" quotePrefix="0" xfId="0">
      <alignment horizontal="left" vertical="center"/>
    </xf>
    <xf numFmtId="168" fontId="3" fillId="0" borderId="0" pivotButton="0" quotePrefix="0" xfId="0"/>
    <xf numFmtId="0" fontId="4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3" fillId="2" borderId="0" pivotButton="0" quotePrefix="0" xfId="0"/>
    <xf numFmtId="0" fontId="2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wrapText="1"/>
    </xf>
    <xf numFmtId="1" fontId="3" fillId="2" borderId="1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169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170" fontId="3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1">
    <tabColor theme="4"/>
    <outlinePr summaryBelow="1" summaryRight="1"/>
    <pageSetUpPr/>
  </sheetPr>
  <dimension ref="A1:V289"/>
  <sheetViews>
    <sheetView zoomScaleNormal="100" workbookViewId="0">
      <pane ySplit="1" topLeftCell="A2" activePane="bottomLeft" state="frozen"/>
      <selection activeCell="C59" sqref="C59"/>
      <selection pane="bottomLeft" activeCell="F9" sqref="F9"/>
    </sheetView>
  </sheetViews>
  <sheetFormatPr baseColWidth="8" defaultRowHeight="13.8"/>
  <cols>
    <col width="8.21875" bestFit="1" customWidth="1" style="57" min="1" max="1"/>
    <col width="8.21875" customWidth="1" style="4" min="2" max="3"/>
    <col width="11.88671875" customWidth="1" style="57" min="4" max="5"/>
    <col width="10.33203125" customWidth="1" style="57" min="6" max="6"/>
    <col width="10.109375" bestFit="1" customWidth="1" style="57" min="7" max="7"/>
    <col width="9.88671875" customWidth="1" style="4" min="8" max="8"/>
    <col width="13" bestFit="1" customWidth="1" style="4" min="9" max="9"/>
    <col width="11.88671875" customWidth="1" style="57" min="10" max="10"/>
    <col width="10.6640625" bestFit="1" customWidth="1" style="57" min="11" max="11"/>
    <col width="11" bestFit="1" customWidth="1" style="57" min="12" max="12"/>
    <col width="8.88671875" customWidth="1" style="57" min="13" max="19"/>
    <col width="8.88671875" customWidth="1" style="57" min="20" max="16384"/>
  </cols>
  <sheetData>
    <row r="1">
      <c r="A1" s="58" t="inlineStr">
        <is>
          <t>Month</t>
        </is>
      </c>
      <c r="B1" s="58" t="inlineStr">
        <is>
          <t>Year</t>
        </is>
      </c>
      <c r="C1" s="58" t="inlineStr">
        <is>
          <t>Room</t>
        </is>
      </c>
      <c r="D1" s="58" t="inlineStr">
        <is>
          <t>Available</t>
        </is>
      </c>
      <c r="E1" s="58" t="inlineStr">
        <is>
          <t>UsedHrs</t>
        </is>
      </c>
      <c r="F1" s="58" t="inlineStr">
        <is>
          <t>UnusedHrs</t>
        </is>
      </c>
      <c r="G1" s="58" t="inlineStr">
        <is>
          <t>% Used</t>
        </is>
      </c>
      <c r="H1" s="58" t="inlineStr">
        <is>
          <t>BusYr</t>
        </is>
      </c>
      <c r="I1" s="58" t="inlineStr">
        <is>
          <t>BusMnth</t>
        </is>
      </c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</row>
    <row r="2">
      <c r="A2" s="57" t="n">
        <v>4</v>
      </c>
      <c r="B2" s="55" t="n">
        <v>2026</v>
      </c>
      <c r="C2" s="55" t="n">
        <v>1</v>
      </c>
      <c r="D2" s="55">
        <f>SUMIFS(Calendar!$F$1:$F$9997,Calendar!$B$1:$B$9997,ForeMonth!B2,Calendar!$C$1:$C$9997,ForeMonth!A2)</f>
        <v/>
      </c>
      <c r="E2" s="55">
        <f>ROUND(SUMIFS(ForeDaily!F:F,ForeDaily!C:C,A2,ForeDaily!D:D,B2,ForeDaily!E:E,C2),0)</f>
        <v/>
      </c>
      <c r="F2" s="55">
        <f>D2-E2</f>
        <v/>
      </c>
      <c r="G2" s="15">
        <f>E2/D2</f>
        <v/>
      </c>
      <c r="H2" s="52" t="n">
        <v>1</v>
      </c>
      <c r="I2" s="55" t="n">
        <v>1</v>
      </c>
      <c r="J2" s="55" t="n"/>
      <c r="K2" s="12" t="n"/>
      <c r="L2" s="55" t="n"/>
      <c r="M2" s="55" t="n"/>
      <c r="N2" s="55" t="n"/>
      <c r="O2" s="15" t="n"/>
      <c r="P2" s="18" t="n"/>
      <c r="Q2" s="12" t="n"/>
      <c r="R2" s="55" t="n"/>
      <c r="S2" s="55" t="n"/>
      <c r="T2" s="55" t="n"/>
      <c r="U2" s="15" t="n"/>
      <c r="V2" s="18" t="n"/>
    </row>
    <row r="3">
      <c r="A3" s="57" t="n">
        <v>5</v>
      </c>
      <c r="B3" s="55" t="n">
        <v>2026</v>
      </c>
      <c r="C3" s="55" t="n">
        <v>1</v>
      </c>
      <c r="D3" s="55">
        <f>SUMIFS(Calendar!$F$1:$F$9997,Calendar!$B$1:$B$9997,ForeMonth!B3,Calendar!$C$1:$C$9997,ForeMonth!A3)</f>
        <v/>
      </c>
      <c r="E3" s="55">
        <f>ROUND(SUMIFS(ForeDaily!F:F,ForeDaily!C:C,A3,ForeDaily!D:D,B3,ForeDaily!E:E,C3),0)</f>
        <v/>
      </c>
      <c r="F3" s="55">
        <f>D3-E3</f>
        <v/>
      </c>
      <c r="G3" s="15">
        <f>E3/D3</f>
        <v/>
      </c>
      <c r="H3" s="52" t="n">
        <v>1</v>
      </c>
      <c r="I3" s="55" t="n">
        <v>2</v>
      </c>
      <c r="J3" s="55" t="n"/>
      <c r="L3" s="55" t="n"/>
      <c r="M3" s="55" t="n"/>
      <c r="N3" s="55" t="n"/>
      <c r="O3" s="15" t="n"/>
      <c r="P3" s="18" t="n"/>
      <c r="R3" s="55" t="n"/>
      <c r="S3" s="55" t="n"/>
      <c r="T3" s="55" t="n"/>
      <c r="U3" s="15" t="n"/>
      <c r="V3" s="18" t="n"/>
    </row>
    <row r="4">
      <c r="A4" s="57" t="n">
        <v>6</v>
      </c>
      <c r="B4" s="55" t="n">
        <v>2026</v>
      </c>
      <c r="C4" s="55" t="n">
        <v>1</v>
      </c>
      <c r="D4" s="55">
        <f>SUMIFS(Calendar!$F$1:$F$9997,Calendar!$B$1:$B$9997,ForeMonth!B4,Calendar!$C$1:$C$9997,ForeMonth!A4)</f>
        <v/>
      </c>
      <c r="E4" s="55">
        <f>ROUND(SUMIFS(ForeDaily!F:F,ForeDaily!C:C,A4,ForeDaily!D:D,B4,ForeDaily!E:E,C4),0)</f>
        <v/>
      </c>
      <c r="F4" s="55">
        <f>D4-E4</f>
        <v/>
      </c>
      <c r="G4" s="15">
        <f>E4/D4</f>
        <v/>
      </c>
      <c r="H4" s="52" t="n">
        <v>1</v>
      </c>
      <c r="I4" s="55" t="n">
        <v>3</v>
      </c>
      <c r="J4" s="55" t="n"/>
      <c r="L4" s="55" t="n"/>
      <c r="M4" s="55" t="n"/>
      <c r="N4" s="55" t="n"/>
      <c r="O4" s="15" t="n"/>
      <c r="P4" s="18" t="n"/>
      <c r="R4" s="55" t="n"/>
      <c r="S4" s="55" t="n"/>
      <c r="T4" s="55" t="n"/>
      <c r="U4" s="15" t="n"/>
      <c r="V4" s="18" t="n"/>
    </row>
    <row r="5">
      <c r="A5" s="57" t="n">
        <v>7</v>
      </c>
      <c r="B5" s="55" t="n">
        <v>2026</v>
      </c>
      <c r="C5" s="55" t="n">
        <v>1</v>
      </c>
      <c r="D5" s="55">
        <f>SUMIFS(Calendar!$F$1:$F$9997,Calendar!$B$1:$B$9997,ForeMonth!B5,Calendar!$C$1:$C$9997,ForeMonth!A5)</f>
        <v/>
      </c>
      <c r="E5" s="55">
        <f>ROUND(SUMIFS(ForeDaily!F:F,ForeDaily!C:C,A5,ForeDaily!D:D,B5,ForeDaily!E:E,C5),0)</f>
        <v/>
      </c>
      <c r="F5" s="55">
        <f>D5-E5</f>
        <v/>
      </c>
      <c r="G5" s="15">
        <f>E5/D5</f>
        <v/>
      </c>
      <c r="H5" s="52" t="n">
        <v>1</v>
      </c>
      <c r="I5" s="55" t="n">
        <v>4</v>
      </c>
      <c r="J5" s="55" t="n"/>
      <c r="L5" s="55" t="n"/>
      <c r="M5" s="55" t="n"/>
      <c r="N5" s="55" t="n"/>
      <c r="O5" s="15" t="n"/>
      <c r="P5" s="18" t="n"/>
      <c r="R5" s="55" t="n"/>
      <c r="S5" s="55" t="n"/>
      <c r="T5" s="55" t="n"/>
      <c r="U5" s="15" t="n"/>
      <c r="V5" s="18" t="n"/>
    </row>
    <row r="6">
      <c r="A6" s="57" t="n">
        <v>8</v>
      </c>
      <c r="B6" s="55" t="n">
        <v>2026</v>
      </c>
      <c r="C6" s="55" t="n">
        <v>1</v>
      </c>
      <c r="D6" s="55">
        <f>SUMIFS(Calendar!$F$1:$F$9997,Calendar!$B$1:$B$9997,ForeMonth!B6,Calendar!$C$1:$C$9997,ForeMonth!A6)</f>
        <v/>
      </c>
      <c r="E6" s="55">
        <f>ROUND(SUMIFS(ForeDaily!F:F,ForeDaily!C:C,A6,ForeDaily!D:D,B6,ForeDaily!E:E,C6),0)</f>
        <v/>
      </c>
      <c r="F6" s="55">
        <f>D6-E6</f>
        <v/>
      </c>
      <c r="G6" s="15">
        <f>E6/D6</f>
        <v/>
      </c>
      <c r="H6" s="52" t="n">
        <v>1</v>
      </c>
      <c r="I6" s="55" t="n">
        <v>5</v>
      </c>
      <c r="J6" s="55" t="n"/>
      <c r="L6" s="55" t="n"/>
      <c r="M6" s="55" t="n"/>
      <c r="N6" s="55" t="n"/>
      <c r="O6" s="15" t="n"/>
      <c r="P6" s="18" t="n"/>
      <c r="R6" s="55" t="n"/>
      <c r="S6" s="55" t="n"/>
      <c r="T6" s="55" t="n"/>
      <c r="U6" s="15" t="n"/>
      <c r="V6" s="18" t="n"/>
    </row>
    <row r="7">
      <c r="A7" s="57" t="n">
        <v>9</v>
      </c>
      <c r="B7" s="55" t="n">
        <v>2026</v>
      </c>
      <c r="C7" s="55" t="n">
        <v>1</v>
      </c>
      <c r="D7" s="55">
        <f>SUMIFS(Calendar!$F$1:$F$9997,Calendar!$B$1:$B$9997,ForeMonth!B7,Calendar!$C$1:$C$9997,ForeMonth!A7)</f>
        <v/>
      </c>
      <c r="E7" s="55">
        <f>ROUND(SUMIFS(ForeDaily!F:F,ForeDaily!C:C,A7,ForeDaily!D:D,B7,ForeDaily!E:E,C7),0)</f>
        <v/>
      </c>
      <c r="F7" s="55">
        <f>D7-E7</f>
        <v/>
      </c>
      <c r="G7" s="15">
        <f>E7/D7</f>
        <v/>
      </c>
      <c r="H7" s="52" t="n">
        <v>1</v>
      </c>
      <c r="I7" s="55" t="n">
        <v>6</v>
      </c>
      <c r="J7" s="55" t="n"/>
      <c r="L7" s="55" t="n"/>
      <c r="M7" s="55" t="n"/>
      <c r="N7" s="55" t="n"/>
      <c r="O7" s="15" t="n"/>
      <c r="P7" s="18" t="n"/>
      <c r="R7" s="55" t="n"/>
      <c r="S7" s="55" t="n"/>
      <c r="T7" s="55" t="n"/>
      <c r="U7" s="15" t="n"/>
      <c r="V7" s="18" t="n"/>
    </row>
    <row r="8">
      <c r="A8" s="57" t="n">
        <v>10</v>
      </c>
      <c r="B8" s="55" t="n">
        <v>2026</v>
      </c>
      <c r="C8" s="55" t="n">
        <v>1</v>
      </c>
      <c r="D8" s="55">
        <f>SUMIFS(Calendar!$F$1:$F$9997,Calendar!$B$1:$B$9997,ForeMonth!B8,Calendar!$C$1:$C$9997,ForeMonth!A8)</f>
        <v/>
      </c>
      <c r="E8" s="55">
        <f>ROUND(SUMIFS(ForeDaily!F:F,ForeDaily!C:C,A8,ForeDaily!D:D,B8,ForeDaily!E:E,C8),0)</f>
        <v/>
      </c>
      <c r="F8" s="55">
        <f>D8-E8</f>
        <v/>
      </c>
      <c r="G8" s="15">
        <f>E8/D8</f>
        <v/>
      </c>
      <c r="H8" s="52" t="n">
        <v>1</v>
      </c>
      <c r="I8" s="55" t="n">
        <v>7</v>
      </c>
      <c r="J8" s="55" t="n"/>
      <c r="L8" s="55" t="n"/>
      <c r="M8" s="55" t="n"/>
      <c r="N8" s="55" t="n"/>
      <c r="O8" s="15" t="n"/>
      <c r="P8" s="18" t="n"/>
      <c r="R8" s="55" t="n"/>
      <c r="S8" s="55" t="n"/>
      <c r="T8" s="55" t="n"/>
      <c r="U8" s="15" t="n"/>
      <c r="V8" s="18" t="n"/>
    </row>
    <row r="9">
      <c r="A9" s="57" t="n">
        <v>11</v>
      </c>
      <c r="B9" s="55" t="n">
        <v>2026</v>
      </c>
      <c r="C9" s="55" t="n">
        <v>1</v>
      </c>
      <c r="D9" s="55">
        <f>SUMIFS(Calendar!$F$1:$F$9997,Calendar!$B$1:$B$9997,ForeMonth!B9,Calendar!$C$1:$C$9997,ForeMonth!A9)</f>
        <v/>
      </c>
      <c r="E9" s="55">
        <f>ROUND(SUMIFS(ForeDaily!F:F,ForeDaily!C:C,A9,ForeDaily!D:D,B9,ForeDaily!E:E,C9),0)</f>
        <v/>
      </c>
      <c r="F9" s="55">
        <f>D9-E9</f>
        <v/>
      </c>
      <c r="G9" s="15">
        <f>E9/D9</f>
        <v/>
      </c>
      <c r="H9" s="52" t="n">
        <v>1</v>
      </c>
      <c r="I9" s="55" t="n">
        <v>8</v>
      </c>
      <c r="J9" s="55" t="n"/>
      <c r="L9" s="55" t="n"/>
      <c r="M9" s="55" t="n"/>
      <c r="N9" s="55" t="n"/>
      <c r="O9" s="15" t="n"/>
      <c r="P9" s="18" t="n"/>
      <c r="R9" s="55" t="n"/>
      <c r="S9" s="55" t="n"/>
      <c r="T9" s="55" t="n"/>
      <c r="U9" s="15" t="n"/>
      <c r="V9" s="18" t="n"/>
    </row>
    <row r="10">
      <c r="A10" s="57" t="n">
        <v>12</v>
      </c>
      <c r="B10" s="55" t="n">
        <v>2026</v>
      </c>
      <c r="C10" s="55" t="n">
        <v>1</v>
      </c>
      <c r="D10" s="55">
        <f>SUMIFS(Calendar!$F$1:$F$9997,Calendar!$B$1:$B$9997,ForeMonth!B10,Calendar!$C$1:$C$9997,ForeMonth!A10)</f>
        <v/>
      </c>
      <c r="E10" s="55">
        <f>ROUND(SUMIFS(ForeDaily!F:F,ForeDaily!C:C,A10,ForeDaily!D:D,B10,ForeDaily!E:E,C10),0)</f>
        <v/>
      </c>
      <c r="F10" s="55">
        <f>D10-E10</f>
        <v/>
      </c>
      <c r="G10" s="15">
        <f>E10/D10</f>
        <v/>
      </c>
      <c r="H10" s="52" t="n">
        <v>1</v>
      </c>
      <c r="I10" s="55" t="n">
        <v>9</v>
      </c>
      <c r="J10" s="55" t="n"/>
      <c r="L10" s="55" t="n"/>
      <c r="M10" s="55" t="n"/>
      <c r="N10" s="55" t="n"/>
      <c r="O10" s="15" t="n"/>
      <c r="P10" s="18" t="n"/>
      <c r="R10" s="55" t="n"/>
      <c r="S10" s="55" t="n"/>
      <c r="T10" s="55" t="n"/>
      <c r="U10" s="15" t="n"/>
      <c r="V10" s="18" t="n"/>
    </row>
    <row r="11">
      <c r="A11" s="57" t="n">
        <v>1</v>
      </c>
      <c r="B11" s="55" t="n">
        <v>2027</v>
      </c>
      <c r="C11" s="55" t="n">
        <v>1</v>
      </c>
      <c r="D11" s="55">
        <f>SUMIFS(Calendar!$F$1:$F$9997,Calendar!$B$1:$B$9997,ForeMonth!B11,Calendar!$C$1:$C$9997,ForeMonth!A11)</f>
        <v/>
      </c>
      <c r="E11" s="55">
        <f>ROUND(SUMIFS(ForeDaily!F:F,ForeDaily!C:C,A11,ForeDaily!D:D,B11,ForeDaily!E:E,C11),0)</f>
        <v/>
      </c>
      <c r="F11" s="55">
        <f>D11-E11</f>
        <v/>
      </c>
      <c r="G11" s="15">
        <f>E11/D11</f>
        <v/>
      </c>
      <c r="H11" s="52" t="n">
        <v>1</v>
      </c>
      <c r="I11" s="55" t="n">
        <v>10</v>
      </c>
      <c r="J11" s="55" t="n"/>
      <c r="L11" s="55" t="n"/>
      <c r="M11" s="55" t="n"/>
      <c r="N11" s="55" t="n"/>
      <c r="O11" s="15" t="n"/>
      <c r="P11" s="18" t="n"/>
      <c r="R11" s="55" t="n"/>
      <c r="S11" s="55" t="n"/>
      <c r="T11" s="55" t="n"/>
      <c r="U11" s="15" t="n"/>
      <c r="V11" s="18" t="n"/>
    </row>
    <row r="12">
      <c r="A12" s="57" t="n">
        <v>2</v>
      </c>
      <c r="B12" s="55" t="n">
        <v>2027</v>
      </c>
      <c r="C12" s="55" t="n">
        <v>1</v>
      </c>
      <c r="D12" s="55">
        <f>SUMIFS(Calendar!$F$1:$F$9997,Calendar!$B$1:$B$9997,ForeMonth!B12,Calendar!$C$1:$C$9997,ForeMonth!A12)</f>
        <v/>
      </c>
      <c r="E12" s="55">
        <f>ROUND(SUMIFS(ForeDaily!F:F,ForeDaily!C:C,A12,ForeDaily!D:D,B12,ForeDaily!E:E,C12),0)</f>
        <v/>
      </c>
      <c r="F12" s="55">
        <f>D12-E12</f>
        <v/>
      </c>
      <c r="G12" s="15">
        <f>E12/D12</f>
        <v/>
      </c>
      <c r="H12" s="52" t="n">
        <v>1</v>
      </c>
      <c r="I12" s="55" t="n">
        <v>11</v>
      </c>
      <c r="J12" s="55" t="n"/>
      <c r="L12" s="55" t="n"/>
      <c r="M12" s="55" t="n"/>
      <c r="N12" s="55" t="n"/>
      <c r="O12" s="15" t="n"/>
      <c r="P12" s="18" t="n"/>
      <c r="R12" s="55" t="n"/>
      <c r="S12" s="55" t="n"/>
      <c r="T12" s="55" t="n"/>
      <c r="U12" s="15" t="n"/>
      <c r="V12" s="18" t="n"/>
    </row>
    <row r="13">
      <c r="A13" s="57" t="n">
        <v>3</v>
      </c>
      <c r="B13" s="55" t="n">
        <v>2027</v>
      </c>
      <c r="C13" s="55" t="n">
        <v>1</v>
      </c>
      <c r="D13" s="55">
        <f>SUMIFS(Calendar!$F$1:$F$9997,Calendar!$B$1:$B$9997,ForeMonth!B13,Calendar!$C$1:$C$9997,ForeMonth!A13)</f>
        <v/>
      </c>
      <c r="E13" s="55">
        <f>ROUND(SUMIFS(ForeDaily!F:F,ForeDaily!C:C,A13,ForeDaily!D:D,B13,ForeDaily!E:E,C13),0)</f>
        <v/>
      </c>
      <c r="F13" s="55">
        <f>D13-E13</f>
        <v/>
      </c>
      <c r="G13" s="15">
        <f>E13/D13</f>
        <v/>
      </c>
      <c r="H13" s="52" t="n">
        <v>1</v>
      </c>
      <c r="I13" s="55" t="n">
        <v>12</v>
      </c>
      <c r="J13" s="55" t="n"/>
      <c r="L13" s="55" t="n"/>
      <c r="M13" s="55" t="n"/>
      <c r="N13" s="55" t="n"/>
      <c r="O13" s="15" t="n"/>
      <c r="P13" s="18" t="n"/>
      <c r="R13" s="55" t="n"/>
      <c r="S13" s="55" t="n"/>
      <c r="T13" s="55" t="n"/>
      <c r="U13" s="15" t="n"/>
      <c r="V13" s="18" t="n"/>
    </row>
    <row r="14">
      <c r="A14" s="57" t="n">
        <v>4</v>
      </c>
      <c r="B14" s="55" t="n">
        <v>2027</v>
      </c>
      <c r="C14" s="55" t="n">
        <v>1</v>
      </c>
      <c r="D14" s="55">
        <f>SUMIFS(Calendar!$F$1:$F$9997,Calendar!$B$1:$B$9997,ForeMonth!B14,Calendar!$C$1:$C$9997,ForeMonth!A14)</f>
        <v/>
      </c>
      <c r="E14" s="55">
        <f>ROUND(SUMIFS(ForeDaily!F:F,ForeDaily!C:C,A14,ForeDaily!D:D,B14,ForeDaily!E:E,C14),0)</f>
        <v/>
      </c>
      <c r="F14" s="55">
        <f>D14-E14</f>
        <v/>
      </c>
      <c r="G14" s="15">
        <f>E14/D14</f>
        <v/>
      </c>
      <c r="H14" s="52" t="n">
        <v>2</v>
      </c>
      <c r="I14" s="55" t="n">
        <v>1</v>
      </c>
      <c r="J14" s="55" t="n"/>
      <c r="K14" s="12" t="n"/>
      <c r="L14" s="55" t="n"/>
      <c r="M14" s="55" t="n"/>
      <c r="N14" s="55" t="n"/>
      <c r="O14" s="15" t="n"/>
      <c r="P14" s="18" t="n"/>
      <c r="Q14" s="12" t="n"/>
      <c r="R14" s="55" t="n"/>
      <c r="S14" s="55" t="n"/>
      <c r="T14" s="55" t="n"/>
      <c r="U14" s="15" t="n"/>
      <c r="V14" s="18" t="n"/>
    </row>
    <row r="15">
      <c r="A15" s="57" t="n">
        <v>5</v>
      </c>
      <c r="B15" s="55" t="n">
        <v>2027</v>
      </c>
      <c r="C15" s="55" t="n">
        <v>1</v>
      </c>
      <c r="D15" s="55">
        <f>SUMIFS(Calendar!$F$1:$F$9997,Calendar!$B$1:$B$9997,ForeMonth!B15,Calendar!$C$1:$C$9997,ForeMonth!A15)</f>
        <v/>
      </c>
      <c r="E15" s="55">
        <f>ROUND(SUMIFS(ForeDaily!F:F,ForeDaily!C:C,A15,ForeDaily!D:D,B15,ForeDaily!E:E,C15),0)</f>
        <v/>
      </c>
      <c r="F15" s="55">
        <f>D15-E15</f>
        <v/>
      </c>
      <c r="G15" s="15">
        <f>E15/D15</f>
        <v/>
      </c>
      <c r="H15" s="52" t="n">
        <v>2</v>
      </c>
      <c r="I15" s="55" t="n">
        <v>2</v>
      </c>
      <c r="J15" s="55" t="n"/>
      <c r="L15" s="55" t="n"/>
      <c r="M15" s="55" t="n"/>
      <c r="N15" s="55" t="n"/>
      <c r="O15" s="15" t="n"/>
      <c r="P15" s="18" t="n"/>
      <c r="R15" s="55" t="n"/>
      <c r="S15" s="55" t="n"/>
      <c r="T15" s="55" t="n"/>
      <c r="U15" s="15" t="n"/>
      <c r="V15" s="18" t="n"/>
    </row>
    <row r="16">
      <c r="A16" s="57" t="n">
        <v>6</v>
      </c>
      <c r="B16" s="55" t="n">
        <v>2027</v>
      </c>
      <c r="C16" s="55" t="n">
        <v>1</v>
      </c>
      <c r="D16" s="55">
        <f>SUMIFS(Calendar!$F$1:$F$9997,Calendar!$B$1:$B$9997,ForeMonth!B16,Calendar!$C$1:$C$9997,ForeMonth!A16)</f>
        <v/>
      </c>
      <c r="E16" s="55">
        <f>ROUND(SUMIFS(ForeDaily!F:F,ForeDaily!C:C,A16,ForeDaily!D:D,B16,ForeDaily!E:E,C16),0)</f>
        <v/>
      </c>
      <c r="F16" s="55">
        <f>D16-E16</f>
        <v/>
      </c>
      <c r="G16" s="15">
        <f>E16/D16</f>
        <v/>
      </c>
      <c r="H16" s="52" t="n">
        <v>2</v>
      </c>
      <c r="I16" s="55" t="n">
        <v>3</v>
      </c>
      <c r="J16" s="55" t="n"/>
      <c r="L16" s="55" t="n"/>
      <c r="M16" s="55" t="n"/>
      <c r="N16" s="55" t="n"/>
      <c r="O16" s="15" t="n"/>
      <c r="P16" s="18" t="n"/>
      <c r="R16" s="55" t="n"/>
      <c r="S16" s="55" t="n"/>
      <c r="T16" s="55" t="n"/>
      <c r="U16" s="15" t="n"/>
      <c r="V16" s="18" t="n"/>
    </row>
    <row r="17">
      <c r="A17" s="57" t="n">
        <v>7</v>
      </c>
      <c r="B17" s="55" t="n">
        <v>2027</v>
      </c>
      <c r="C17" s="55" t="n">
        <v>1</v>
      </c>
      <c r="D17" s="55">
        <f>SUMIFS(Calendar!$F$1:$F$9997,Calendar!$B$1:$B$9997,ForeMonth!B17,Calendar!$C$1:$C$9997,ForeMonth!A17)</f>
        <v/>
      </c>
      <c r="E17" s="55">
        <f>ROUND(SUMIFS(ForeDaily!F:F,ForeDaily!C:C,A17,ForeDaily!D:D,B17,ForeDaily!E:E,C17),0)</f>
        <v/>
      </c>
      <c r="F17" s="55">
        <f>D17-E17</f>
        <v/>
      </c>
      <c r="G17" s="15">
        <f>E17/D17</f>
        <v/>
      </c>
      <c r="H17" s="52" t="n">
        <v>2</v>
      </c>
      <c r="I17" s="55" t="n">
        <v>4</v>
      </c>
      <c r="J17" s="55" t="n"/>
      <c r="L17" s="55" t="n"/>
      <c r="M17" s="55" t="n"/>
      <c r="N17" s="55" t="n"/>
      <c r="O17" s="15" t="n"/>
      <c r="P17" s="18" t="n"/>
      <c r="R17" s="55" t="n"/>
      <c r="S17" s="55" t="n"/>
      <c r="T17" s="55" t="n"/>
      <c r="U17" s="15" t="n"/>
      <c r="V17" s="18" t="n"/>
    </row>
    <row r="18">
      <c r="A18" s="57" t="n">
        <v>8</v>
      </c>
      <c r="B18" s="55" t="n">
        <v>2027</v>
      </c>
      <c r="C18" s="55" t="n">
        <v>1</v>
      </c>
      <c r="D18" s="55">
        <f>SUMIFS(Calendar!$F$1:$F$9997,Calendar!$B$1:$B$9997,ForeMonth!B18,Calendar!$C$1:$C$9997,ForeMonth!A18)</f>
        <v/>
      </c>
      <c r="E18" s="55">
        <f>ROUND(SUMIFS(ForeDaily!F:F,ForeDaily!C:C,A18,ForeDaily!D:D,B18,ForeDaily!E:E,C18),0)</f>
        <v/>
      </c>
      <c r="F18" s="55">
        <f>D18-E18</f>
        <v/>
      </c>
      <c r="G18" s="15">
        <f>E18/D18</f>
        <v/>
      </c>
      <c r="H18" s="52" t="n">
        <v>2</v>
      </c>
      <c r="I18" s="55" t="n">
        <v>5</v>
      </c>
      <c r="J18" s="55" t="n"/>
      <c r="L18" s="55" t="n"/>
      <c r="M18" s="55" t="n"/>
      <c r="N18" s="55" t="n"/>
      <c r="O18" s="15" t="n"/>
      <c r="P18" s="18" t="n"/>
      <c r="R18" s="55" t="n"/>
      <c r="S18" s="55" t="n"/>
      <c r="T18" s="55" t="n"/>
      <c r="U18" s="15" t="n"/>
      <c r="V18" s="18" t="n"/>
    </row>
    <row r="19">
      <c r="A19" s="57" t="n">
        <v>9</v>
      </c>
      <c r="B19" s="55" t="n">
        <v>2027</v>
      </c>
      <c r="C19" s="55" t="n">
        <v>1</v>
      </c>
      <c r="D19" s="55">
        <f>SUMIFS(Calendar!$F$1:$F$9997,Calendar!$B$1:$B$9997,ForeMonth!B19,Calendar!$C$1:$C$9997,ForeMonth!A19)</f>
        <v/>
      </c>
      <c r="E19" s="55">
        <f>ROUND(SUMIFS(ForeDaily!F:F,ForeDaily!C:C,A19,ForeDaily!D:D,B19,ForeDaily!E:E,C19),0)</f>
        <v/>
      </c>
      <c r="F19" s="55">
        <f>D19-E19</f>
        <v/>
      </c>
      <c r="G19" s="15">
        <f>E19/D19</f>
        <v/>
      </c>
      <c r="H19" s="52" t="n">
        <v>2</v>
      </c>
      <c r="I19" s="55" t="n">
        <v>6</v>
      </c>
      <c r="J19" s="55" t="n"/>
      <c r="L19" s="55" t="n"/>
      <c r="M19" s="55" t="n"/>
      <c r="N19" s="55" t="n"/>
      <c r="O19" s="15" t="n"/>
      <c r="P19" s="18" t="n"/>
      <c r="R19" s="55" t="n"/>
      <c r="S19" s="55" t="n"/>
      <c r="T19" s="55" t="n"/>
      <c r="U19" s="15" t="n"/>
      <c r="V19" s="18" t="n"/>
    </row>
    <row r="20">
      <c r="A20" s="57" t="n">
        <v>10</v>
      </c>
      <c r="B20" s="55" t="n">
        <v>2027</v>
      </c>
      <c r="C20" s="55" t="n">
        <v>1</v>
      </c>
      <c r="D20" s="55">
        <f>SUMIFS(Calendar!$F$1:$F$9997,Calendar!$B$1:$B$9997,ForeMonth!B20,Calendar!$C$1:$C$9997,ForeMonth!A20)</f>
        <v/>
      </c>
      <c r="E20" s="55">
        <f>ROUND(SUMIFS(ForeDaily!F:F,ForeDaily!C:C,A20,ForeDaily!D:D,B20,ForeDaily!E:E,C20),0)</f>
        <v/>
      </c>
      <c r="F20" s="55">
        <f>D20-E20</f>
        <v/>
      </c>
      <c r="G20" s="15">
        <f>E20/D20</f>
        <v/>
      </c>
      <c r="H20" s="52" t="n">
        <v>2</v>
      </c>
      <c r="I20" s="55" t="n">
        <v>7</v>
      </c>
      <c r="J20" s="55" t="n"/>
      <c r="L20" s="55" t="n"/>
      <c r="M20" s="55" t="n"/>
      <c r="N20" s="55" t="n"/>
      <c r="O20" s="15" t="n"/>
      <c r="P20" s="18" t="n"/>
      <c r="R20" s="55" t="n"/>
      <c r="S20" s="55" t="n"/>
      <c r="T20" s="55" t="n"/>
      <c r="U20" s="15" t="n"/>
      <c r="V20" s="18" t="n"/>
    </row>
    <row r="21">
      <c r="A21" s="57" t="n">
        <v>11</v>
      </c>
      <c r="B21" s="55" t="n">
        <v>2027</v>
      </c>
      <c r="C21" s="55" t="n">
        <v>1</v>
      </c>
      <c r="D21" s="55">
        <f>SUMIFS(Calendar!$F$1:$F$9997,Calendar!$B$1:$B$9997,ForeMonth!B21,Calendar!$C$1:$C$9997,ForeMonth!A21)</f>
        <v/>
      </c>
      <c r="E21" s="55">
        <f>ROUND(SUMIFS(ForeDaily!F:F,ForeDaily!C:C,A21,ForeDaily!D:D,B21,ForeDaily!E:E,C21),0)</f>
        <v/>
      </c>
      <c r="F21" s="55">
        <f>D21-E21</f>
        <v/>
      </c>
      <c r="G21" s="15">
        <f>E21/D21</f>
        <v/>
      </c>
      <c r="H21" s="52" t="n">
        <v>2</v>
      </c>
      <c r="I21" s="55" t="n">
        <v>8</v>
      </c>
      <c r="J21" s="55" t="n"/>
      <c r="L21" s="55" t="n"/>
      <c r="M21" s="55" t="n"/>
      <c r="N21" s="55" t="n"/>
      <c r="O21" s="15" t="n"/>
      <c r="P21" s="18" t="n"/>
      <c r="R21" s="55" t="n"/>
      <c r="S21" s="55" t="n"/>
      <c r="T21" s="55" t="n"/>
      <c r="U21" s="15" t="n"/>
      <c r="V21" s="18" t="n"/>
    </row>
    <row r="22">
      <c r="A22" s="57" t="n">
        <v>12</v>
      </c>
      <c r="B22" s="55" t="n">
        <v>2027</v>
      </c>
      <c r="C22" s="55" t="n">
        <v>1</v>
      </c>
      <c r="D22" s="55">
        <f>SUMIFS(Calendar!$F$1:$F$9997,Calendar!$B$1:$B$9997,ForeMonth!B22,Calendar!$C$1:$C$9997,ForeMonth!A22)</f>
        <v/>
      </c>
      <c r="E22" s="55">
        <f>ROUND(SUMIFS(ForeDaily!F:F,ForeDaily!C:C,A22,ForeDaily!D:D,B22,ForeDaily!E:E,C22),0)</f>
        <v/>
      </c>
      <c r="F22" s="55">
        <f>D22-E22</f>
        <v/>
      </c>
      <c r="G22" s="15">
        <f>E22/D22</f>
        <v/>
      </c>
      <c r="H22" s="52" t="n">
        <v>2</v>
      </c>
      <c r="I22" s="55" t="n">
        <v>9</v>
      </c>
      <c r="J22" s="55" t="n"/>
      <c r="L22" s="55" t="n"/>
      <c r="M22" s="55" t="n"/>
      <c r="N22" s="55" t="n"/>
      <c r="O22" s="15" t="n"/>
      <c r="P22" s="18" t="n"/>
      <c r="R22" s="55" t="n"/>
      <c r="S22" s="55" t="n"/>
      <c r="T22" s="55" t="n"/>
      <c r="U22" s="15" t="n"/>
      <c r="V22" s="18" t="n"/>
    </row>
    <row r="23">
      <c r="A23" s="57" t="n">
        <v>1</v>
      </c>
      <c r="B23" s="55" t="n">
        <v>2028</v>
      </c>
      <c r="C23" s="55" t="n">
        <v>1</v>
      </c>
      <c r="D23" s="55">
        <f>SUMIFS(Calendar!$F$1:$F$9997,Calendar!$B$1:$B$9997,ForeMonth!B23,Calendar!$C$1:$C$9997,ForeMonth!A23)</f>
        <v/>
      </c>
      <c r="E23" s="55">
        <f>ROUND(SUMIFS(ForeDaily!F:F,ForeDaily!C:C,A23,ForeDaily!D:D,B23,ForeDaily!E:E,C23),0)</f>
        <v/>
      </c>
      <c r="F23" s="55">
        <f>D23-E23</f>
        <v/>
      </c>
      <c r="G23" s="15">
        <f>E23/D23</f>
        <v/>
      </c>
      <c r="H23" s="52" t="n">
        <v>2</v>
      </c>
      <c r="I23" s="55" t="n">
        <v>10</v>
      </c>
      <c r="J23" s="55" t="n"/>
      <c r="L23" s="55" t="n"/>
      <c r="M23" s="55" t="n"/>
      <c r="N23" s="55" t="n"/>
      <c r="O23" s="15" t="n"/>
      <c r="P23" s="18" t="n"/>
      <c r="R23" s="55" t="n"/>
      <c r="S23" s="55" t="n"/>
      <c r="T23" s="55" t="n"/>
      <c r="U23" s="15" t="n"/>
      <c r="V23" s="18" t="n"/>
    </row>
    <row r="24">
      <c r="A24" s="57" t="n">
        <v>2</v>
      </c>
      <c r="B24" s="55" t="n">
        <v>2028</v>
      </c>
      <c r="C24" s="55" t="n">
        <v>1</v>
      </c>
      <c r="D24" s="55">
        <f>SUMIFS(Calendar!$F$1:$F$9997,Calendar!$B$1:$B$9997,ForeMonth!B24,Calendar!$C$1:$C$9997,ForeMonth!A24)</f>
        <v/>
      </c>
      <c r="E24" s="55">
        <f>ROUND(SUMIFS(ForeDaily!F:F,ForeDaily!C:C,A24,ForeDaily!D:D,B24,ForeDaily!E:E,C24),0)</f>
        <v/>
      </c>
      <c r="F24" s="55">
        <f>D24-E24</f>
        <v/>
      </c>
      <c r="G24" s="15">
        <f>E24/D24</f>
        <v/>
      </c>
      <c r="H24" s="52" t="n">
        <v>2</v>
      </c>
      <c r="I24" s="55" t="n">
        <v>11</v>
      </c>
      <c r="J24" s="55" t="n"/>
      <c r="L24" s="55" t="n"/>
      <c r="M24" s="55" t="n"/>
      <c r="N24" s="55" t="n"/>
      <c r="O24" s="15" t="n"/>
      <c r="P24" s="18" t="n"/>
      <c r="R24" s="55" t="n"/>
      <c r="S24" s="55" t="n"/>
      <c r="T24" s="55" t="n"/>
      <c r="U24" s="15" t="n"/>
      <c r="V24" s="18" t="n"/>
    </row>
    <row r="25">
      <c r="A25" s="57" t="n">
        <v>3</v>
      </c>
      <c r="B25" s="55" t="n">
        <v>2028</v>
      </c>
      <c r="C25" s="55" t="n">
        <v>1</v>
      </c>
      <c r="D25" s="55">
        <f>SUMIFS(Calendar!$F$1:$F$9997,Calendar!$B$1:$B$9997,ForeMonth!B25,Calendar!$C$1:$C$9997,ForeMonth!A25)</f>
        <v/>
      </c>
      <c r="E25" s="55">
        <f>ROUND(SUMIFS(ForeDaily!F:F,ForeDaily!C:C,A25,ForeDaily!D:D,B25,ForeDaily!E:E,C25),0)</f>
        <v/>
      </c>
      <c r="F25" s="55">
        <f>D25-E25</f>
        <v/>
      </c>
      <c r="G25" s="15">
        <f>E25/D25</f>
        <v/>
      </c>
      <c r="H25" s="52" t="n">
        <v>2</v>
      </c>
      <c r="I25" s="55" t="n">
        <v>12</v>
      </c>
      <c r="J25" s="55" t="n"/>
      <c r="L25" s="55" t="n"/>
      <c r="M25" s="55" t="n"/>
      <c r="N25" s="55" t="n"/>
      <c r="O25" s="15" t="n"/>
      <c r="P25" s="18" t="n"/>
      <c r="R25" s="55" t="n"/>
      <c r="S25" s="55" t="n"/>
      <c r="T25" s="55" t="n"/>
      <c r="U25" s="15" t="n"/>
      <c r="V25" s="18" t="n"/>
    </row>
    <row r="26">
      <c r="A26" s="57" t="n">
        <v>4</v>
      </c>
      <c r="B26" s="55" t="n">
        <v>2028</v>
      </c>
      <c r="C26" s="55" t="n">
        <v>1</v>
      </c>
      <c r="D26" s="55">
        <f>SUMIFS(Calendar!$F$1:$F$9997,Calendar!$B$1:$B$9997,ForeMonth!B26,Calendar!$C$1:$C$9997,ForeMonth!A26)</f>
        <v/>
      </c>
      <c r="E26" s="55">
        <f>ROUND(SUMIFS(ForeDaily!F:F,ForeDaily!C:C,A26,ForeDaily!D:D,B26,ForeDaily!E:E,C26),0)</f>
        <v/>
      </c>
      <c r="F26" s="55">
        <f>D26-E26</f>
        <v/>
      </c>
      <c r="G26" s="15">
        <f>E26/D26</f>
        <v/>
      </c>
      <c r="H26" s="52" t="n">
        <v>3</v>
      </c>
      <c r="I26" s="4" t="n">
        <v>1</v>
      </c>
      <c r="J26" s="55" t="n"/>
      <c r="L26" s="1" t="n"/>
      <c r="M26" s="1" t="n"/>
      <c r="N26" s="1" t="n"/>
      <c r="O26" s="20" t="n"/>
      <c r="R26" s="1" t="n"/>
      <c r="S26" s="1" t="n"/>
      <c r="T26" s="1" t="n"/>
      <c r="U26" s="20" t="n"/>
    </row>
    <row r="27">
      <c r="A27" s="57" t="n">
        <v>5</v>
      </c>
      <c r="B27" s="55" t="n">
        <v>2028</v>
      </c>
      <c r="C27" s="55" t="n">
        <v>1</v>
      </c>
      <c r="D27" s="55">
        <f>SUMIFS(Calendar!$F$1:$F$9997,Calendar!$B$1:$B$9997,ForeMonth!B27,Calendar!$C$1:$C$9997,ForeMonth!A27)</f>
        <v/>
      </c>
      <c r="E27" s="55">
        <f>ROUND(SUMIFS(ForeDaily!F:F,ForeDaily!C:C,A27,ForeDaily!D:D,B27,ForeDaily!E:E,C27),0)</f>
        <v/>
      </c>
      <c r="F27" s="55">
        <f>D27-E27</f>
        <v/>
      </c>
      <c r="G27" s="15">
        <f>E27/D27</f>
        <v/>
      </c>
      <c r="H27" s="4" t="n">
        <v>3</v>
      </c>
      <c r="I27" s="4" t="n">
        <v>2</v>
      </c>
      <c r="J27" s="55" t="n"/>
    </row>
    <row r="28">
      <c r="A28" s="57" t="n">
        <v>6</v>
      </c>
      <c r="B28" s="55" t="n">
        <v>2028</v>
      </c>
      <c r="C28" s="55" t="n">
        <v>1</v>
      </c>
      <c r="D28" s="55">
        <f>SUMIFS(Calendar!$F$1:$F$9997,Calendar!$B$1:$B$9997,ForeMonth!B28,Calendar!$C$1:$C$9997,ForeMonth!A28)</f>
        <v/>
      </c>
      <c r="E28" s="55">
        <f>ROUND(SUMIFS(ForeDaily!F:F,ForeDaily!C:C,A28,ForeDaily!D:D,B28,ForeDaily!E:E,C28),0)</f>
        <v/>
      </c>
      <c r="F28" s="55">
        <f>D28-E28</f>
        <v/>
      </c>
      <c r="G28" s="15">
        <f>E28/D28</f>
        <v/>
      </c>
      <c r="H28" s="4" t="n">
        <v>3</v>
      </c>
      <c r="I28" s="4" t="n">
        <v>3</v>
      </c>
      <c r="J28" s="55" t="n"/>
    </row>
    <row r="29">
      <c r="A29" s="57" t="n">
        <v>7</v>
      </c>
      <c r="B29" s="55" t="n">
        <v>2028</v>
      </c>
      <c r="C29" s="55" t="n">
        <v>1</v>
      </c>
      <c r="D29" s="55">
        <f>SUMIFS(Calendar!$F$1:$F$9997,Calendar!$B$1:$B$9997,ForeMonth!B29,Calendar!$C$1:$C$9997,ForeMonth!A29)</f>
        <v/>
      </c>
      <c r="E29" s="55">
        <f>ROUND(SUMIFS(ForeDaily!F:F,ForeDaily!C:C,A29,ForeDaily!D:D,B29,ForeDaily!E:E,C29),0)</f>
        <v/>
      </c>
      <c r="F29" s="55">
        <f>D29-E29</f>
        <v/>
      </c>
      <c r="G29" s="15">
        <f>E29/D29</f>
        <v/>
      </c>
      <c r="H29" s="4" t="n">
        <v>3</v>
      </c>
      <c r="I29" s="4" t="n">
        <v>4</v>
      </c>
      <c r="J29" s="55" t="n"/>
    </row>
    <row r="30">
      <c r="A30" s="57" t="n">
        <v>8</v>
      </c>
      <c r="B30" s="55" t="n">
        <v>2028</v>
      </c>
      <c r="C30" s="55" t="n">
        <v>1</v>
      </c>
      <c r="D30" s="55">
        <f>SUMIFS(Calendar!$F$1:$F$9997,Calendar!$B$1:$B$9997,ForeMonth!B30,Calendar!$C$1:$C$9997,ForeMonth!A30)</f>
        <v/>
      </c>
      <c r="E30" s="55">
        <f>ROUND(SUMIFS(ForeDaily!F:F,ForeDaily!C:C,A30,ForeDaily!D:D,B30,ForeDaily!E:E,C30),0)</f>
        <v/>
      </c>
      <c r="F30" s="55">
        <f>D30-E30</f>
        <v/>
      </c>
      <c r="G30" s="15">
        <f>E30/D30</f>
        <v/>
      </c>
      <c r="H30" s="4" t="n">
        <v>3</v>
      </c>
      <c r="I30" s="4" t="n">
        <v>5</v>
      </c>
      <c r="J30" s="55" t="n"/>
    </row>
    <row r="31">
      <c r="A31" s="57" t="n">
        <v>9</v>
      </c>
      <c r="B31" s="55" t="n">
        <v>2028</v>
      </c>
      <c r="C31" s="55" t="n">
        <v>1</v>
      </c>
      <c r="D31" s="55">
        <f>SUMIFS(Calendar!$F$1:$F$9997,Calendar!$B$1:$B$9997,ForeMonth!B31,Calendar!$C$1:$C$9997,ForeMonth!A31)</f>
        <v/>
      </c>
      <c r="E31" s="55">
        <f>ROUND(SUMIFS(ForeDaily!F:F,ForeDaily!C:C,A31,ForeDaily!D:D,B31,ForeDaily!E:E,C31),0)</f>
        <v/>
      </c>
      <c r="F31" s="55">
        <f>D31-E31</f>
        <v/>
      </c>
      <c r="G31" s="15">
        <f>E31/D31</f>
        <v/>
      </c>
      <c r="H31" s="4" t="n">
        <v>3</v>
      </c>
      <c r="I31" s="4" t="n">
        <v>6</v>
      </c>
      <c r="J31" s="55" t="n"/>
    </row>
    <row r="32">
      <c r="A32" s="57" t="n">
        <v>10</v>
      </c>
      <c r="B32" s="55" t="n">
        <v>2028</v>
      </c>
      <c r="C32" s="55" t="n">
        <v>1</v>
      </c>
      <c r="D32" s="55">
        <f>SUMIFS(Calendar!$F$1:$F$9997,Calendar!$B$1:$B$9997,ForeMonth!B32,Calendar!$C$1:$C$9997,ForeMonth!A32)</f>
        <v/>
      </c>
      <c r="E32" s="55">
        <f>ROUND(SUMIFS(ForeDaily!F:F,ForeDaily!C:C,A32,ForeDaily!D:D,B32,ForeDaily!E:E,C32),0)</f>
        <v/>
      </c>
      <c r="F32" s="55">
        <f>D32-E32</f>
        <v/>
      </c>
      <c r="G32" s="15">
        <f>E32/D32</f>
        <v/>
      </c>
      <c r="H32" s="4" t="n">
        <v>3</v>
      </c>
      <c r="I32" s="4" t="n">
        <v>7</v>
      </c>
      <c r="J32" s="55" t="n"/>
    </row>
    <row r="33">
      <c r="A33" s="57" t="n">
        <v>11</v>
      </c>
      <c r="B33" s="55" t="n">
        <v>2028</v>
      </c>
      <c r="C33" s="55" t="n">
        <v>1</v>
      </c>
      <c r="D33" s="55">
        <f>SUMIFS(Calendar!$F$1:$F$9997,Calendar!$B$1:$B$9997,ForeMonth!B33,Calendar!$C$1:$C$9997,ForeMonth!A33)</f>
        <v/>
      </c>
      <c r="E33" s="55">
        <f>ROUND(SUMIFS(ForeDaily!F:F,ForeDaily!C:C,A33,ForeDaily!D:D,B33,ForeDaily!E:E,C33),0)</f>
        <v/>
      </c>
      <c r="F33" s="55">
        <f>D33-E33</f>
        <v/>
      </c>
      <c r="G33" s="15">
        <f>E33/D33</f>
        <v/>
      </c>
      <c r="H33" s="4" t="n">
        <v>3</v>
      </c>
      <c r="I33" s="4" t="n">
        <v>8</v>
      </c>
      <c r="J33" s="55" t="n"/>
    </row>
    <row r="34">
      <c r="A34" s="57" t="n">
        <v>12</v>
      </c>
      <c r="B34" s="55" t="n">
        <v>2028</v>
      </c>
      <c r="C34" s="55" t="n">
        <v>1</v>
      </c>
      <c r="D34" s="55">
        <f>SUMIFS(Calendar!$F$1:$F$9997,Calendar!$B$1:$B$9997,ForeMonth!B34,Calendar!$C$1:$C$9997,ForeMonth!A34)</f>
        <v/>
      </c>
      <c r="E34" s="55">
        <f>ROUND(SUMIFS(ForeDaily!F:F,ForeDaily!C:C,A34,ForeDaily!D:D,B34,ForeDaily!E:E,C34),0)</f>
        <v/>
      </c>
      <c r="F34" s="55">
        <f>D34-E34</f>
        <v/>
      </c>
      <c r="G34" s="15">
        <f>E34/D34</f>
        <v/>
      </c>
      <c r="H34" s="4" t="n">
        <v>3</v>
      </c>
      <c r="I34" s="4" t="n">
        <v>9</v>
      </c>
      <c r="J34" s="55" t="n"/>
    </row>
    <row r="35">
      <c r="A35" s="57" t="n">
        <v>1</v>
      </c>
      <c r="B35" s="55" t="n">
        <v>2029</v>
      </c>
      <c r="C35" s="55" t="n">
        <v>1</v>
      </c>
      <c r="D35" s="55">
        <f>SUMIFS(Calendar!$F$1:$F$9997,Calendar!$B$1:$B$9997,ForeMonth!B35,Calendar!$C$1:$C$9997,ForeMonth!A35)</f>
        <v/>
      </c>
      <c r="E35" s="55">
        <f>ROUND(SUMIFS(ForeDaily!F:F,ForeDaily!C:C,A35,ForeDaily!D:D,B35,ForeDaily!E:E,C35),0)</f>
        <v/>
      </c>
      <c r="F35" s="55">
        <f>D35-E35</f>
        <v/>
      </c>
      <c r="G35" s="15">
        <f>E35/D35</f>
        <v/>
      </c>
      <c r="H35" s="4" t="n">
        <v>3</v>
      </c>
      <c r="I35" s="4" t="n">
        <v>10</v>
      </c>
      <c r="J35" s="55" t="n"/>
    </row>
    <row r="36">
      <c r="A36" s="57" t="n">
        <v>2</v>
      </c>
      <c r="B36" s="55" t="n">
        <v>2029</v>
      </c>
      <c r="C36" s="55" t="n">
        <v>1</v>
      </c>
      <c r="D36" s="55">
        <f>SUMIFS(Calendar!$F$1:$F$9997,Calendar!$B$1:$B$9997,ForeMonth!B36,Calendar!$C$1:$C$9997,ForeMonth!A36)</f>
        <v/>
      </c>
      <c r="E36" s="55">
        <f>ROUND(SUMIFS(ForeDaily!F:F,ForeDaily!C:C,A36,ForeDaily!D:D,B36,ForeDaily!E:E,C36),0)</f>
        <v/>
      </c>
      <c r="F36" s="55">
        <f>D36-E36</f>
        <v/>
      </c>
      <c r="G36" s="15">
        <f>E36/D36</f>
        <v/>
      </c>
      <c r="H36" s="4" t="n">
        <v>3</v>
      </c>
      <c r="I36" s="4" t="n">
        <v>11</v>
      </c>
      <c r="J36" s="55" t="n"/>
    </row>
    <row r="37">
      <c r="A37" s="57" t="n">
        <v>3</v>
      </c>
      <c r="B37" s="55" t="n">
        <v>2029</v>
      </c>
      <c r="C37" s="55" t="n">
        <v>1</v>
      </c>
      <c r="D37" s="55">
        <f>SUMIFS(Calendar!$F$1:$F$9997,Calendar!$B$1:$B$9997,ForeMonth!B37,Calendar!$C$1:$C$9997,ForeMonth!A37)</f>
        <v/>
      </c>
      <c r="E37" s="55">
        <f>ROUND(SUMIFS(ForeDaily!F:F,ForeDaily!C:C,A37,ForeDaily!D:D,B37,ForeDaily!E:E,C37),0)</f>
        <v/>
      </c>
      <c r="F37" s="55">
        <f>D37-E37</f>
        <v/>
      </c>
      <c r="G37" s="15">
        <f>E37/D37</f>
        <v/>
      </c>
      <c r="H37" s="4" t="n">
        <v>3</v>
      </c>
      <c r="I37" s="4" t="n">
        <v>12</v>
      </c>
      <c r="J37" s="55" t="n"/>
    </row>
    <row r="38">
      <c r="A38" s="57" t="n">
        <v>4</v>
      </c>
      <c r="B38" s="55" t="n">
        <v>2026</v>
      </c>
      <c r="C38" s="55" t="n">
        <v>2</v>
      </c>
      <c r="D38" s="55">
        <f>SUMIFS(Calendar!$F$1:$F$9997,Calendar!$B$1:$B$9997,ForeMonth!B38,Calendar!$C$1:$C$9997,ForeMonth!A38)</f>
        <v/>
      </c>
      <c r="E38" s="55">
        <f>ROUND(SUMIFS(ForeDaily!F:F,ForeDaily!C:C,A38,ForeDaily!D:D,B38,ForeDaily!E:E,C38),0)</f>
        <v/>
      </c>
      <c r="F38" s="55">
        <f>D38-E38</f>
        <v/>
      </c>
      <c r="G38" s="15">
        <f>E38/D38</f>
        <v/>
      </c>
      <c r="H38" s="4" t="n">
        <v>1</v>
      </c>
      <c r="I38" s="4" t="n">
        <v>1</v>
      </c>
      <c r="J38" s="55" t="n"/>
    </row>
    <row r="39">
      <c r="A39" s="57" t="n">
        <v>5</v>
      </c>
      <c r="B39" s="55" t="n">
        <v>2026</v>
      </c>
      <c r="C39" s="55" t="n">
        <v>2</v>
      </c>
      <c r="D39" s="55">
        <f>SUMIFS(Calendar!$F$1:$F$9997,Calendar!$B$1:$B$9997,ForeMonth!B39,Calendar!$C$1:$C$9997,ForeMonth!A39)</f>
        <v/>
      </c>
      <c r="E39" s="55">
        <f>ROUND(SUMIFS(ForeDaily!F:F,ForeDaily!C:C,A39,ForeDaily!D:D,B39,ForeDaily!E:E,C39),0)</f>
        <v/>
      </c>
      <c r="F39" s="55">
        <f>D39-E39</f>
        <v/>
      </c>
      <c r="G39" s="15">
        <f>E39/D39</f>
        <v/>
      </c>
      <c r="H39" s="4" t="n">
        <v>1</v>
      </c>
      <c r="I39" s="4" t="n">
        <v>2</v>
      </c>
      <c r="J39" s="55" t="n"/>
    </row>
    <row r="40">
      <c r="A40" s="57" t="n">
        <v>6</v>
      </c>
      <c r="B40" s="55" t="n">
        <v>2026</v>
      </c>
      <c r="C40" s="55" t="n">
        <v>2</v>
      </c>
      <c r="D40" s="55">
        <f>SUMIFS(Calendar!$F$1:$F$9997,Calendar!$B$1:$B$9997,ForeMonth!B40,Calendar!$C$1:$C$9997,ForeMonth!A40)</f>
        <v/>
      </c>
      <c r="E40" s="55">
        <f>ROUND(SUMIFS(ForeDaily!F:F,ForeDaily!C:C,A40,ForeDaily!D:D,B40,ForeDaily!E:E,C40),0)</f>
        <v/>
      </c>
      <c r="F40" s="55">
        <f>D40-E40</f>
        <v/>
      </c>
      <c r="G40" s="15">
        <f>E40/D40</f>
        <v/>
      </c>
      <c r="H40" s="4" t="n">
        <v>1</v>
      </c>
      <c r="I40" s="4" t="n">
        <v>3</v>
      </c>
      <c r="J40" s="55" t="n"/>
    </row>
    <row r="41">
      <c r="A41" s="57" t="n">
        <v>7</v>
      </c>
      <c r="B41" s="55" t="n">
        <v>2026</v>
      </c>
      <c r="C41" s="55" t="n">
        <v>2</v>
      </c>
      <c r="D41" s="55">
        <f>SUMIFS(Calendar!$F$1:$F$9997,Calendar!$B$1:$B$9997,ForeMonth!B41,Calendar!$C$1:$C$9997,ForeMonth!A41)</f>
        <v/>
      </c>
      <c r="E41" s="55">
        <f>ROUND(SUMIFS(ForeDaily!F:F,ForeDaily!C:C,A41,ForeDaily!D:D,B41,ForeDaily!E:E,C41),0)</f>
        <v/>
      </c>
      <c r="F41" s="55">
        <f>D41-E41</f>
        <v/>
      </c>
      <c r="G41" s="15">
        <f>E41/D41</f>
        <v/>
      </c>
      <c r="H41" s="4" t="n">
        <v>1</v>
      </c>
      <c r="I41" s="4" t="n">
        <v>4</v>
      </c>
      <c r="J41" s="55" t="n"/>
    </row>
    <row r="42">
      <c r="A42" s="57" t="n">
        <v>8</v>
      </c>
      <c r="B42" s="55" t="n">
        <v>2026</v>
      </c>
      <c r="C42" s="55" t="n">
        <v>2</v>
      </c>
      <c r="D42" s="55">
        <f>SUMIFS(Calendar!$F$1:$F$9997,Calendar!$B$1:$B$9997,ForeMonth!B42,Calendar!$C$1:$C$9997,ForeMonth!A42)</f>
        <v/>
      </c>
      <c r="E42" s="55">
        <f>ROUND(SUMIFS(ForeDaily!F:F,ForeDaily!C:C,A42,ForeDaily!D:D,B42,ForeDaily!E:E,C42),0)</f>
        <v/>
      </c>
      <c r="F42" s="55">
        <f>D42-E42</f>
        <v/>
      </c>
      <c r="G42" s="15">
        <f>E42/D42</f>
        <v/>
      </c>
      <c r="H42" s="4" t="n">
        <v>1</v>
      </c>
      <c r="I42" s="4" t="n">
        <v>5</v>
      </c>
      <c r="J42" s="55" t="n"/>
    </row>
    <row r="43">
      <c r="A43" s="57" t="n">
        <v>9</v>
      </c>
      <c r="B43" s="55" t="n">
        <v>2026</v>
      </c>
      <c r="C43" s="55" t="n">
        <v>2</v>
      </c>
      <c r="D43" s="55">
        <f>SUMIFS(Calendar!$F$1:$F$9997,Calendar!$B$1:$B$9997,ForeMonth!B43,Calendar!$C$1:$C$9997,ForeMonth!A43)</f>
        <v/>
      </c>
      <c r="E43" s="55">
        <f>ROUND(SUMIFS(ForeDaily!F:F,ForeDaily!C:C,A43,ForeDaily!D:D,B43,ForeDaily!E:E,C43),0)</f>
        <v/>
      </c>
      <c r="F43" s="55">
        <f>D43-E43</f>
        <v/>
      </c>
      <c r="G43" s="15">
        <f>E43/D43</f>
        <v/>
      </c>
      <c r="H43" s="4" t="n">
        <v>1</v>
      </c>
      <c r="I43" s="4" t="n">
        <v>6</v>
      </c>
      <c r="J43" s="55" t="n"/>
    </row>
    <row r="44">
      <c r="A44" s="57" t="n">
        <v>10</v>
      </c>
      <c r="B44" s="55" t="n">
        <v>2026</v>
      </c>
      <c r="C44" s="55" t="n">
        <v>2</v>
      </c>
      <c r="D44" s="55">
        <f>SUMIFS(Calendar!$F$1:$F$9997,Calendar!$B$1:$B$9997,ForeMonth!B44,Calendar!$C$1:$C$9997,ForeMonth!A44)</f>
        <v/>
      </c>
      <c r="E44" s="55">
        <f>ROUND(SUMIFS(ForeDaily!F:F,ForeDaily!C:C,A44,ForeDaily!D:D,B44,ForeDaily!E:E,C44),0)</f>
        <v/>
      </c>
      <c r="F44" s="55">
        <f>D44-E44</f>
        <v/>
      </c>
      <c r="G44" s="15">
        <f>E44/D44</f>
        <v/>
      </c>
      <c r="H44" s="4" t="n">
        <v>1</v>
      </c>
      <c r="I44" s="4" t="n">
        <v>7</v>
      </c>
      <c r="J44" s="55" t="n"/>
    </row>
    <row r="45">
      <c r="A45" s="57" t="n">
        <v>11</v>
      </c>
      <c r="B45" s="55" t="n">
        <v>2026</v>
      </c>
      <c r="C45" s="55" t="n">
        <v>2</v>
      </c>
      <c r="D45" s="55">
        <f>SUMIFS(Calendar!$F$1:$F$9997,Calendar!$B$1:$B$9997,ForeMonth!B45,Calendar!$C$1:$C$9997,ForeMonth!A45)</f>
        <v/>
      </c>
      <c r="E45" s="55">
        <f>ROUND(SUMIFS(ForeDaily!F:F,ForeDaily!C:C,A45,ForeDaily!D:D,B45,ForeDaily!E:E,C45),0)</f>
        <v/>
      </c>
      <c r="F45" s="55">
        <f>D45-E45</f>
        <v/>
      </c>
      <c r="G45" s="15">
        <f>E45/D45</f>
        <v/>
      </c>
      <c r="H45" s="4" t="n">
        <v>1</v>
      </c>
      <c r="I45" s="4" t="n">
        <v>8</v>
      </c>
      <c r="J45" s="55" t="n"/>
    </row>
    <row r="46">
      <c r="A46" s="57" t="n">
        <v>12</v>
      </c>
      <c r="B46" s="55" t="n">
        <v>2026</v>
      </c>
      <c r="C46" s="55" t="n">
        <v>2</v>
      </c>
      <c r="D46" s="55">
        <f>SUMIFS(Calendar!$F$1:$F$9997,Calendar!$B$1:$B$9997,ForeMonth!B46,Calendar!$C$1:$C$9997,ForeMonth!A46)</f>
        <v/>
      </c>
      <c r="E46" s="55">
        <f>ROUND(SUMIFS(ForeDaily!F:F,ForeDaily!C:C,A46,ForeDaily!D:D,B46,ForeDaily!E:E,C46),0)</f>
        <v/>
      </c>
      <c r="F46" s="55">
        <f>D46-E46</f>
        <v/>
      </c>
      <c r="G46" s="15">
        <f>E46/D46</f>
        <v/>
      </c>
      <c r="H46" s="4" t="n">
        <v>1</v>
      </c>
      <c r="I46" s="4" t="n">
        <v>9</v>
      </c>
      <c r="J46" s="55" t="n"/>
    </row>
    <row r="47">
      <c r="A47" s="57" t="n">
        <v>1</v>
      </c>
      <c r="B47" s="55" t="n">
        <v>2027</v>
      </c>
      <c r="C47" s="55" t="n">
        <v>2</v>
      </c>
      <c r="D47" s="55">
        <f>SUMIFS(Calendar!$F$1:$F$9997,Calendar!$B$1:$B$9997,ForeMonth!B47,Calendar!$C$1:$C$9997,ForeMonth!A47)</f>
        <v/>
      </c>
      <c r="E47" s="55">
        <f>ROUND(SUMIFS(ForeDaily!F:F,ForeDaily!C:C,A47,ForeDaily!D:D,B47,ForeDaily!E:E,C47),0)</f>
        <v/>
      </c>
      <c r="F47" s="55">
        <f>D47-E47</f>
        <v/>
      </c>
      <c r="G47" s="15">
        <f>E47/D47</f>
        <v/>
      </c>
      <c r="H47" s="4" t="n">
        <v>1</v>
      </c>
      <c r="I47" s="4" t="n">
        <v>10</v>
      </c>
      <c r="J47" s="55" t="n"/>
    </row>
    <row r="48">
      <c r="A48" s="57" t="n">
        <v>2</v>
      </c>
      <c r="B48" s="55" t="n">
        <v>2027</v>
      </c>
      <c r="C48" s="55" t="n">
        <v>2</v>
      </c>
      <c r="D48" s="55">
        <f>SUMIFS(Calendar!$F$1:$F$9997,Calendar!$B$1:$B$9997,ForeMonth!B48,Calendar!$C$1:$C$9997,ForeMonth!A48)</f>
        <v/>
      </c>
      <c r="E48" s="55">
        <f>ROUND(SUMIFS(ForeDaily!F:F,ForeDaily!C:C,A48,ForeDaily!D:D,B48,ForeDaily!E:E,C48),0)</f>
        <v/>
      </c>
      <c r="F48" s="55">
        <f>D48-E48</f>
        <v/>
      </c>
      <c r="G48" s="15">
        <f>E48/D48</f>
        <v/>
      </c>
      <c r="H48" s="4" t="n">
        <v>1</v>
      </c>
      <c r="I48" s="4" t="n">
        <v>11</v>
      </c>
      <c r="J48" s="55" t="n"/>
    </row>
    <row r="49">
      <c r="A49" s="57" t="n">
        <v>3</v>
      </c>
      <c r="B49" s="55" t="n">
        <v>2027</v>
      </c>
      <c r="C49" s="55" t="n">
        <v>2</v>
      </c>
      <c r="D49" s="55">
        <f>SUMIFS(Calendar!$F$1:$F$9997,Calendar!$B$1:$B$9997,ForeMonth!B49,Calendar!$C$1:$C$9997,ForeMonth!A49)</f>
        <v/>
      </c>
      <c r="E49" s="55">
        <f>ROUND(SUMIFS(ForeDaily!F:F,ForeDaily!C:C,A49,ForeDaily!D:D,B49,ForeDaily!E:E,C49),0)</f>
        <v/>
      </c>
      <c r="F49" s="55">
        <f>D49-E49</f>
        <v/>
      </c>
      <c r="G49" s="15">
        <f>E49/D49</f>
        <v/>
      </c>
      <c r="H49" s="4" t="n">
        <v>1</v>
      </c>
      <c r="I49" s="4" t="n">
        <v>12</v>
      </c>
      <c r="J49" s="55" t="n"/>
    </row>
    <row r="50">
      <c r="A50" s="57" t="n">
        <v>4</v>
      </c>
      <c r="B50" s="55" t="n">
        <v>2027</v>
      </c>
      <c r="C50" s="55" t="n">
        <v>2</v>
      </c>
      <c r="D50" s="55">
        <f>SUMIFS(Calendar!$F$1:$F$9997,Calendar!$B$1:$B$9997,ForeMonth!B50,Calendar!$C$1:$C$9997,ForeMonth!A50)</f>
        <v/>
      </c>
      <c r="E50" s="55">
        <f>ROUND(SUMIFS(ForeDaily!F:F,ForeDaily!C:C,A50,ForeDaily!D:D,B50,ForeDaily!E:E,C50),0)</f>
        <v/>
      </c>
      <c r="F50" s="55">
        <f>D50-E50</f>
        <v/>
      </c>
      <c r="G50" s="15">
        <f>E50/D50</f>
        <v/>
      </c>
      <c r="H50" s="4" t="n">
        <v>2</v>
      </c>
      <c r="I50" s="4" t="n">
        <v>1</v>
      </c>
      <c r="J50" s="55" t="n"/>
    </row>
    <row r="51">
      <c r="A51" s="57" t="n">
        <v>5</v>
      </c>
      <c r="B51" s="55" t="n">
        <v>2027</v>
      </c>
      <c r="C51" s="55" t="n">
        <v>2</v>
      </c>
      <c r="D51" s="55">
        <f>SUMIFS(Calendar!$F$1:$F$9997,Calendar!$B$1:$B$9997,ForeMonth!B51,Calendar!$C$1:$C$9997,ForeMonth!A51)</f>
        <v/>
      </c>
      <c r="E51" s="55">
        <f>ROUND(SUMIFS(ForeDaily!F:F,ForeDaily!C:C,A51,ForeDaily!D:D,B51,ForeDaily!E:E,C51),0)</f>
        <v/>
      </c>
      <c r="F51" s="55">
        <f>D51-E51</f>
        <v/>
      </c>
      <c r="G51" s="15">
        <f>E51/D51</f>
        <v/>
      </c>
      <c r="H51" s="4" t="n">
        <v>2</v>
      </c>
      <c r="I51" s="4" t="n">
        <v>2</v>
      </c>
      <c r="J51" s="55" t="n"/>
    </row>
    <row r="52">
      <c r="A52" s="57" t="n">
        <v>6</v>
      </c>
      <c r="B52" s="55" t="n">
        <v>2027</v>
      </c>
      <c r="C52" s="55" t="n">
        <v>2</v>
      </c>
      <c r="D52" s="55">
        <f>SUMIFS(Calendar!$F$1:$F$9997,Calendar!$B$1:$B$9997,ForeMonth!B52,Calendar!$C$1:$C$9997,ForeMonth!A52)</f>
        <v/>
      </c>
      <c r="E52" s="55">
        <f>ROUND(SUMIFS(ForeDaily!F:F,ForeDaily!C:C,A52,ForeDaily!D:D,B52,ForeDaily!E:E,C52),0)</f>
        <v/>
      </c>
      <c r="F52" s="55">
        <f>D52-E52</f>
        <v/>
      </c>
      <c r="G52" s="15">
        <f>E52/D52</f>
        <v/>
      </c>
      <c r="H52" s="4" t="n">
        <v>2</v>
      </c>
      <c r="I52" s="4" t="n">
        <v>3</v>
      </c>
      <c r="J52" s="55" t="n"/>
    </row>
    <row r="53">
      <c r="A53" s="57" t="n">
        <v>7</v>
      </c>
      <c r="B53" s="55" t="n">
        <v>2027</v>
      </c>
      <c r="C53" s="55" t="n">
        <v>2</v>
      </c>
      <c r="D53" s="55">
        <f>SUMIFS(Calendar!$F$1:$F$9997,Calendar!$B$1:$B$9997,ForeMonth!B53,Calendar!$C$1:$C$9997,ForeMonth!A53)</f>
        <v/>
      </c>
      <c r="E53" s="55">
        <f>ROUND(SUMIFS(ForeDaily!F:F,ForeDaily!C:C,A53,ForeDaily!D:D,B53,ForeDaily!E:E,C53),0)</f>
        <v/>
      </c>
      <c r="F53" s="55">
        <f>D53-E53</f>
        <v/>
      </c>
      <c r="G53" s="15">
        <f>E53/D53</f>
        <v/>
      </c>
      <c r="H53" s="4" t="n">
        <v>2</v>
      </c>
      <c r="I53" s="4" t="n">
        <v>4</v>
      </c>
      <c r="J53" s="55" t="n"/>
    </row>
    <row r="54">
      <c r="A54" s="57" t="n">
        <v>8</v>
      </c>
      <c r="B54" s="55" t="n">
        <v>2027</v>
      </c>
      <c r="C54" s="55" t="n">
        <v>2</v>
      </c>
      <c r="D54" s="55">
        <f>SUMIFS(Calendar!$F$1:$F$9997,Calendar!$B$1:$B$9997,ForeMonth!B54,Calendar!$C$1:$C$9997,ForeMonth!A54)</f>
        <v/>
      </c>
      <c r="E54" s="55">
        <f>ROUND(SUMIFS(ForeDaily!F:F,ForeDaily!C:C,A54,ForeDaily!D:D,B54,ForeDaily!E:E,C54),0)</f>
        <v/>
      </c>
      <c r="F54" s="55">
        <f>D54-E54</f>
        <v/>
      </c>
      <c r="G54" s="15">
        <f>E54/D54</f>
        <v/>
      </c>
      <c r="H54" s="4" t="n">
        <v>2</v>
      </c>
      <c r="I54" s="4" t="n">
        <v>5</v>
      </c>
      <c r="J54" s="55" t="n"/>
    </row>
    <row r="55">
      <c r="A55" s="57" t="n">
        <v>9</v>
      </c>
      <c r="B55" s="55" t="n">
        <v>2027</v>
      </c>
      <c r="C55" s="55" t="n">
        <v>2</v>
      </c>
      <c r="D55" s="55">
        <f>SUMIFS(Calendar!$F$1:$F$9997,Calendar!$B$1:$B$9997,ForeMonth!B55,Calendar!$C$1:$C$9997,ForeMonth!A55)</f>
        <v/>
      </c>
      <c r="E55" s="55">
        <f>ROUND(SUMIFS(ForeDaily!F:F,ForeDaily!C:C,A55,ForeDaily!D:D,B55,ForeDaily!E:E,C55),0)</f>
        <v/>
      </c>
      <c r="F55" s="55">
        <f>D55-E55</f>
        <v/>
      </c>
      <c r="G55" s="15">
        <f>E55/D55</f>
        <v/>
      </c>
      <c r="H55" s="4" t="n">
        <v>2</v>
      </c>
      <c r="I55" s="4" t="n">
        <v>6</v>
      </c>
      <c r="J55" s="55" t="n"/>
    </row>
    <row r="56">
      <c r="A56" s="57" t="n">
        <v>10</v>
      </c>
      <c r="B56" s="55" t="n">
        <v>2027</v>
      </c>
      <c r="C56" s="55" t="n">
        <v>2</v>
      </c>
      <c r="D56" s="55">
        <f>SUMIFS(Calendar!$F$1:$F$9997,Calendar!$B$1:$B$9997,ForeMonth!B56,Calendar!$C$1:$C$9997,ForeMonth!A56)</f>
        <v/>
      </c>
      <c r="E56" s="55">
        <f>ROUND(SUMIFS(ForeDaily!F:F,ForeDaily!C:C,A56,ForeDaily!D:D,B56,ForeDaily!E:E,C56),0)</f>
        <v/>
      </c>
      <c r="F56" s="55">
        <f>D56-E56</f>
        <v/>
      </c>
      <c r="G56" s="15">
        <f>E56/D56</f>
        <v/>
      </c>
      <c r="H56" s="4" t="n">
        <v>2</v>
      </c>
      <c r="I56" s="4" t="n">
        <v>7</v>
      </c>
      <c r="J56" s="55" t="n"/>
    </row>
    <row r="57">
      <c r="A57" s="57" t="n">
        <v>11</v>
      </c>
      <c r="B57" s="55" t="n">
        <v>2027</v>
      </c>
      <c r="C57" s="55" t="n">
        <v>2</v>
      </c>
      <c r="D57" s="55">
        <f>SUMIFS(Calendar!$F$1:$F$9997,Calendar!$B$1:$B$9997,ForeMonth!B57,Calendar!$C$1:$C$9997,ForeMonth!A57)</f>
        <v/>
      </c>
      <c r="E57" s="55">
        <f>ROUND(SUMIFS(ForeDaily!F:F,ForeDaily!C:C,A57,ForeDaily!D:D,B57,ForeDaily!E:E,C57),0)</f>
        <v/>
      </c>
      <c r="F57" s="55">
        <f>D57-E57</f>
        <v/>
      </c>
      <c r="G57" s="15">
        <f>E57/D57</f>
        <v/>
      </c>
      <c r="H57" s="4" t="n">
        <v>2</v>
      </c>
      <c r="I57" s="4" t="n">
        <v>8</v>
      </c>
      <c r="J57" s="55" t="n"/>
    </row>
    <row r="58">
      <c r="A58" s="57" t="n">
        <v>12</v>
      </c>
      <c r="B58" s="55" t="n">
        <v>2027</v>
      </c>
      <c r="C58" s="55" t="n">
        <v>2</v>
      </c>
      <c r="D58" s="55">
        <f>SUMIFS(Calendar!$F$1:$F$9997,Calendar!$B$1:$B$9997,ForeMonth!B58,Calendar!$C$1:$C$9997,ForeMonth!A58)</f>
        <v/>
      </c>
      <c r="E58" s="55">
        <f>ROUND(SUMIFS(ForeDaily!F:F,ForeDaily!C:C,A58,ForeDaily!D:D,B58,ForeDaily!E:E,C58),0)</f>
        <v/>
      </c>
      <c r="F58" s="55">
        <f>D58-E58</f>
        <v/>
      </c>
      <c r="G58" s="15">
        <f>E58/D58</f>
        <v/>
      </c>
      <c r="H58" s="4" t="n">
        <v>2</v>
      </c>
      <c r="I58" s="4" t="n">
        <v>9</v>
      </c>
      <c r="J58" s="55" t="n"/>
    </row>
    <row r="59">
      <c r="A59" s="57" t="n">
        <v>1</v>
      </c>
      <c r="B59" s="55" t="n">
        <v>2028</v>
      </c>
      <c r="C59" s="55" t="n">
        <v>2</v>
      </c>
      <c r="D59" s="55">
        <f>SUMIFS(Calendar!$F$1:$F$9997,Calendar!$B$1:$B$9997,ForeMonth!B59,Calendar!$C$1:$C$9997,ForeMonth!A59)</f>
        <v/>
      </c>
      <c r="E59" s="55">
        <f>ROUND(SUMIFS(ForeDaily!F:F,ForeDaily!C:C,A59,ForeDaily!D:D,B59,ForeDaily!E:E,C59),0)</f>
        <v/>
      </c>
      <c r="F59" s="55">
        <f>D59-E59</f>
        <v/>
      </c>
      <c r="G59" s="15">
        <f>E59/D59</f>
        <v/>
      </c>
      <c r="H59" s="4" t="n">
        <v>2</v>
      </c>
      <c r="I59" s="4" t="n">
        <v>10</v>
      </c>
      <c r="J59" s="55" t="n"/>
    </row>
    <row r="60">
      <c r="A60" s="57" t="n">
        <v>2</v>
      </c>
      <c r="B60" s="55" t="n">
        <v>2028</v>
      </c>
      <c r="C60" s="55" t="n">
        <v>2</v>
      </c>
      <c r="D60" s="55">
        <f>SUMIFS(Calendar!$F$1:$F$9997,Calendar!$B$1:$B$9997,ForeMonth!B60,Calendar!$C$1:$C$9997,ForeMonth!A60)</f>
        <v/>
      </c>
      <c r="E60" s="55">
        <f>ROUND(SUMIFS(ForeDaily!F:F,ForeDaily!C:C,A60,ForeDaily!D:D,B60,ForeDaily!E:E,C60),0)</f>
        <v/>
      </c>
      <c r="F60" s="55">
        <f>D60-E60</f>
        <v/>
      </c>
      <c r="G60" s="15">
        <f>E60/D60</f>
        <v/>
      </c>
      <c r="H60" s="4" t="n">
        <v>2</v>
      </c>
      <c r="I60" s="4" t="n">
        <v>11</v>
      </c>
      <c r="J60" s="55" t="n"/>
    </row>
    <row r="61">
      <c r="A61" s="57" t="n">
        <v>3</v>
      </c>
      <c r="B61" s="55" t="n">
        <v>2028</v>
      </c>
      <c r="C61" s="55" t="n">
        <v>2</v>
      </c>
      <c r="D61" s="55">
        <f>SUMIFS(Calendar!$F$1:$F$9997,Calendar!$B$1:$B$9997,ForeMonth!B61,Calendar!$C$1:$C$9997,ForeMonth!A61)</f>
        <v/>
      </c>
      <c r="E61" s="55">
        <f>ROUND(SUMIFS(ForeDaily!F:F,ForeDaily!C:C,A61,ForeDaily!D:D,B61,ForeDaily!E:E,C61),0)</f>
        <v/>
      </c>
      <c r="F61" s="55">
        <f>D61-E61</f>
        <v/>
      </c>
      <c r="G61" s="15">
        <f>E61/D61</f>
        <v/>
      </c>
      <c r="H61" s="4" t="n">
        <v>2</v>
      </c>
      <c r="I61" s="4" t="n">
        <v>12</v>
      </c>
      <c r="J61" s="55" t="n"/>
    </row>
    <row r="62">
      <c r="A62" s="57" t="n">
        <v>4</v>
      </c>
      <c r="B62" s="55" t="n">
        <v>2028</v>
      </c>
      <c r="C62" s="55" t="n">
        <v>2</v>
      </c>
      <c r="D62" s="55">
        <f>SUMIFS(Calendar!$F$1:$F$9997,Calendar!$B$1:$B$9997,ForeMonth!B62,Calendar!$C$1:$C$9997,ForeMonth!A62)</f>
        <v/>
      </c>
      <c r="E62" s="55">
        <f>ROUND(SUMIFS(ForeDaily!F:F,ForeDaily!C:C,A62,ForeDaily!D:D,B62,ForeDaily!E:E,C62),0)</f>
        <v/>
      </c>
      <c r="F62" s="55">
        <f>D62-E62</f>
        <v/>
      </c>
      <c r="G62" s="15">
        <f>E62/D62</f>
        <v/>
      </c>
      <c r="H62" s="4" t="n">
        <v>3</v>
      </c>
      <c r="I62" s="4" t="n">
        <v>1</v>
      </c>
      <c r="J62" s="55" t="n"/>
    </row>
    <row r="63">
      <c r="A63" s="57" t="n">
        <v>5</v>
      </c>
      <c r="B63" s="55" t="n">
        <v>2028</v>
      </c>
      <c r="C63" s="55" t="n">
        <v>2</v>
      </c>
      <c r="D63" s="55">
        <f>SUMIFS(Calendar!$F$1:$F$9997,Calendar!$B$1:$B$9997,ForeMonth!B63,Calendar!$C$1:$C$9997,ForeMonth!A63)</f>
        <v/>
      </c>
      <c r="E63" s="55">
        <f>ROUND(SUMIFS(ForeDaily!F:F,ForeDaily!C:C,A63,ForeDaily!D:D,B63,ForeDaily!E:E,C63),0)</f>
        <v/>
      </c>
      <c r="F63" s="55">
        <f>D63-E63</f>
        <v/>
      </c>
      <c r="G63" s="15">
        <f>E63/D63</f>
        <v/>
      </c>
      <c r="H63" s="4" t="n">
        <v>3</v>
      </c>
      <c r="I63" s="4" t="n">
        <v>2</v>
      </c>
      <c r="J63" s="55" t="n"/>
    </row>
    <row r="64">
      <c r="A64" s="57" t="n">
        <v>6</v>
      </c>
      <c r="B64" s="55" t="n">
        <v>2028</v>
      </c>
      <c r="C64" s="55" t="n">
        <v>2</v>
      </c>
      <c r="D64" s="55">
        <f>SUMIFS(Calendar!$F$1:$F$9997,Calendar!$B$1:$B$9997,ForeMonth!B64,Calendar!$C$1:$C$9997,ForeMonth!A64)</f>
        <v/>
      </c>
      <c r="E64" s="55">
        <f>ROUND(SUMIFS(ForeDaily!F:F,ForeDaily!C:C,A64,ForeDaily!D:D,B64,ForeDaily!E:E,C64),0)</f>
        <v/>
      </c>
      <c r="F64" s="55">
        <f>D64-E64</f>
        <v/>
      </c>
      <c r="G64" s="15">
        <f>E64/D64</f>
        <v/>
      </c>
      <c r="H64" s="4" t="n">
        <v>3</v>
      </c>
      <c r="I64" s="4" t="n">
        <v>3</v>
      </c>
      <c r="J64" s="55" t="n"/>
    </row>
    <row r="65">
      <c r="A65" s="57" t="n">
        <v>7</v>
      </c>
      <c r="B65" s="55" t="n">
        <v>2028</v>
      </c>
      <c r="C65" s="55" t="n">
        <v>2</v>
      </c>
      <c r="D65" s="55">
        <f>SUMIFS(Calendar!$F$1:$F$9997,Calendar!$B$1:$B$9997,ForeMonth!B65,Calendar!$C$1:$C$9997,ForeMonth!A65)</f>
        <v/>
      </c>
      <c r="E65" s="55">
        <f>ROUND(SUMIFS(ForeDaily!F:F,ForeDaily!C:C,A65,ForeDaily!D:D,B65,ForeDaily!E:E,C65),0)</f>
        <v/>
      </c>
      <c r="F65" s="55">
        <f>D65-E65</f>
        <v/>
      </c>
      <c r="G65" s="15">
        <f>E65/D65</f>
        <v/>
      </c>
      <c r="H65" s="4" t="n">
        <v>3</v>
      </c>
      <c r="I65" s="4" t="n">
        <v>4</v>
      </c>
      <c r="J65" s="55" t="n"/>
    </row>
    <row r="66">
      <c r="A66" s="57" t="n">
        <v>8</v>
      </c>
      <c r="B66" s="55" t="n">
        <v>2028</v>
      </c>
      <c r="C66" s="55" t="n">
        <v>2</v>
      </c>
      <c r="D66" s="55">
        <f>SUMIFS(Calendar!$F$1:$F$9997,Calendar!$B$1:$B$9997,ForeMonth!B66,Calendar!$C$1:$C$9997,ForeMonth!A66)</f>
        <v/>
      </c>
      <c r="E66" s="55">
        <f>ROUND(SUMIFS(ForeDaily!F:F,ForeDaily!C:C,A66,ForeDaily!D:D,B66,ForeDaily!E:E,C66),0)</f>
        <v/>
      </c>
      <c r="F66" s="55">
        <f>D66-E66</f>
        <v/>
      </c>
      <c r="G66" s="15">
        <f>E66/D66</f>
        <v/>
      </c>
      <c r="H66" s="4" t="n">
        <v>3</v>
      </c>
      <c r="I66" s="4" t="n">
        <v>5</v>
      </c>
      <c r="J66" s="55" t="n"/>
    </row>
    <row r="67">
      <c r="A67" s="57" t="n">
        <v>9</v>
      </c>
      <c r="B67" s="55" t="n">
        <v>2028</v>
      </c>
      <c r="C67" s="55" t="n">
        <v>2</v>
      </c>
      <c r="D67" s="55">
        <f>SUMIFS(Calendar!$F$1:$F$9997,Calendar!$B$1:$B$9997,ForeMonth!B67,Calendar!$C$1:$C$9997,ForeMonth!A67)</f>
        <v/>
      </c>
      <c r="E67" s="55">
        <f>ROUND(SUMIFS(ForeDaily!F:F,ForeDaily!C:C,A67,ForeDaily!D:D,B67,ForeDaily!E:E,C67),0)</f>
        <v/>
      </c>
      <c r="F67" s="55">
        <f>D67-E67</f>
        <v/>
      </c>
      <c r="G67" s="15">
        <f>E67/D67</f>
        <v/>
      </c>
      <c r="H67" s="4" t="n">
        <v>3</v>
      </c>
      <c r="I67" s="4" t="n">
        <v>6</v>
      </c>
      <c r="J67" s="55" t="n"/>
    </row>
    <row r="68">
      <c r="A68" s="57" t="n">
        <v>10</v>
      </c>
      <c r="B68" s="55" t="n">
        <v>2028</v>
      </c>
      <c r="C68" s="55" t="n">
        <v>2</v>
      </c>
      <c r="D68" s="55">
        <f>SUMIFS(Calendar!$F$1:$F$9997,Calendar!$B$1:$B$9997,ForeMonth!B68,Calendar!$C$1:$C$9997,ForeMonth!A68)</f>
        <v/>
      </c>
      <c r="E68" s="55">
        <f>ROUND(SUMIFS(ForeDaily!F:F,ForeDaily!C:C,A68,ForeDaily!D:D,B68,ForeDaily!E:E,C68),0)</f>
        <v/>
      </c>
      <c r="F68" s="55">
        <f>D68-E68</f>
        <v/>
      </c>
      <c r="G68" s="15">
        <f>E68/D68</f>
        <v/>
      </c>
      <c r="H68" s="4" t="n">
        <v>3</v>
      </c>
      <c r="I68" s="4" t="n">
        <v>7</v>
      </c>
      <c r="J68" s="55" t="n"/>
    </row>
    <row r="69">
      <c r="A69" s="57" t="n">
        <v>11</v>
      </c>
      <c r="B69" s="55" t="n">
        <v>2028</v>
      </c>
      <c r="C69" s="55" t="n">
        <v>2</v>
      </c>
      <c r="D69" s="55">
        <f>SUMIFS(Calendar!$F$1:$F$9997,Calendar!$B$1:$B$9997,ForeMonth!B69,Calendar!$C$1:$C$9997,ForeMonth!A69)</f>
        <v/>
      </c>
      <c r="E69" s="55">
        <f>ROUND(SUMIFS(ForeDaily!F:F,ForeDaily!C:C,A69,ForeDaily!D:D,B69,ForeDaily!E:E,C69),0)</f>
        <v/>
      </c>
      <c r="F69" s="55">
        <f>D69-E69</f>
        <v/>
      </c>
      <c r="G69" s="15">
        <f>E69/D69</f>
        <v/>
      </c>
      <c r="H69" s="4" t="n">
        <v>3</v>
      </c>
      <c r="I69" s="4" t="n">
        <v>8</v>
      </c>
      <c r="J69" s="55" t="n"/>
    </row>
    <row r="70">
      <c r="A70" s="57" t="n">
        <v>12</v>
      </c>
      <c r="B70" s="55" t="n">
        <v>2028</v>
      </c>
      <c r="C70" s="55" t="n">
        <v>2</v>
      </c>
      <c r="D70" s="55">
        <f>SUMIFS(Calendar!$F$1:$F$9997,Calendar!$B$1:$B$9997,ForeMonth!B70,Calendar!$C$1:$C$9997,ForeMonth!A70)</f>
        <v/>
      </c>
      <c r="E70" s="55">
        <f>ROUND(SUMIFS(ForeDaily!F:F,ForeDaily!C:C,A70,ForeDaily!D:D,B70,ForeDaily!E:E,C70),0)</f>
        <v/>
      </c>
      <c r="F70" s="55">
        <f>D70-E70</f>
        <v/>
      </c>
      <c r="G70" s="15">
        <f>E70/D70</f>
        <v/>
      </c>
      <c r="H70" s="4" t="n">
        <v>3</v>
      </c>
      <c r="I70" s="4" t="n">
        <v>9</v>
      </c>
      <c r="J70" s="55" t="n"/>
    </row>
    <row r="71">
      <c r="A71" s="57" t="n">
        <v>1</v>
      </c>
      <c r="B71" s="55" t="n">
        <v>2029</v>
      </c>
      <c r="C71" s="55" t="n">
        <v>2</v>
      </c>
      <c r="D71" s="55">
        <f>SUMIFS(Calendar!$F$1:$F$9997,Calendar!$B$1:$B$9997,ForeMonth!B71,Calendar!$C$1:$C$9997,ForeMonth!A71)</f>
        <v/>
      </c>
      <c r="E71" s="55">
        <f>ROUND(SUMIFS(ForeDaily!F:F,ForeDaily!C:C,A71,ForeDaily!D:D,B71,ForeDaily!E:E,C71),0)</f>
        <v/>
      </c>
      <c r="F71" s="55">
        <f>D71-E71</f>
        <v/>
      </c>
      <c r="G71" s="15">
        <f>E71/D71</f>
        <v/>
      </c>
      <c r="H71" s="4" t="n">
        <v>3</v>
      </c>
      <c r="I71" s="4" t="n">
        <v>10</v>
      </c>
      <c r="J71" s="55" t="n"/>
    </row>
    <row r="72">
      <c r="A72" s="57" t="n">
        <v>2</v>
      </c>
      <c r="B72" s="55" t="n">
        <v>2029</v>
      </c>
      <c r="C72" s="55" t="n">
        <v>2</v>
      </c>
      <c r="D72" s="55">
        <f>SUMIFS(Calendar!$F$1:$F$9997,Calendar!$B$1:$B$9997,ForeMonth!B72,Calendar!$C$1:$C$9997,ForeMonth!A72)</f>
        <v/>
      </c>
      <c r="E72" s="55">
        <f>ROUND(SUMIFS(ForeDaily!F:F,ForeDaily!C:C,A72,ForeDaily!D:D,B72,ForeDaily!E:E,C72),0)</f>
        <v/>
      </c>
      <c r="F72" s="55">
        <f>D72-E72</f>
        <v/>
      </c>
      <c r="G72" s="15">
        <f>E72/D72</f>
        <v/>
      </c>
      <c r="H72" s="4" t="n">
        <v>3</v>
      </c>
      <c r="I72" s="4" t="n">
        <v>11</v>
      </c>
      <c r="J72" s="55" t="n"/>
    </row>
    <row r="73">
      <c r="A73" s="57" t="n">
        <v>3</v>
      </c>
      <c r="B73" s="55" t="n">
        <v>2029</v>
      </c>
      <c r="C73" s="55" t="n">
        <v>2</v>
      </c>
      <c r="D73" s="55">
        <f>SUMIFS(Calendar!$F$1:$F$9997,Calendar!$B$1:$B$9997,ForeMonth!B73,Calendar!$C$1:$C$9997,ForeMonth!A73)</f>
        <v/>
      </c>
      <c r="E73" s="55">
        <f>ROUND(SUMIFS(ForeDaily!F:F,ForeDaily!C:C,A73,ForeDaily!D:D,B73,ForeDaily!E:E,C73),0)</f>
        <v/>
      </c>
      <c r="F73" s="55">
        <f>D73-E73</f>
        <v/>
      </c>
      <c r="G73" s="15">
        <f>E73/D73</f>
        <v/>
      </c>
      <c r="H73" s="4" t="n">
        <v>3</v>
      </c>
      <c r="I73" s="4" t="n">
        <v>12</v>
      </c>
      <c r="J73" s="55" t="n"/>
    </row>
    <row r="74">
      <c r="A74" s="57" t="n">
        <v>4</v>
      </c>
      <c r="B74" s="55" t="n">
        <v>2026</v>
      </c>
      <c r="C74" s="55" t="n">
        <v>3</v>
      </c>
      <c r="D74" s="55">
        <f>SUMIFS(Calendar!$F$1:$F$9997,Calendar!$B$1:$B$9997,ForeMonth!B74,Calendar!$C$1:$C$9997,ForeMonth!A74)</f>
        <v/>
      </c>
      <c r="E74" s="55">
        <f>ROUND(SUMIFS(ForeDaily!F:F,ForeDaily!C:C,A74,ForeDaily!D:D,B74,ForeDaily!E:E,C74),0)</f>
        <v/>
      </c>
      <c r="F74" s="55">
        <f>D74-E74</f>
        <v/>
      </c>
      <c r="G74" s="15">
        <f>E74/D74</f>
        <v/>
      </c>
      <c r="H74" s="4" t="n">
        <v>1</v>
      </c>
      <c r="I74" s="4" t="n">
        <v>1</v>
      </c>
      <c r="J74" s="55" t="n"/>
    </row>
    <row r="75">
      <c r="A75" s="57" t="n">
        <v>5</v>
      </c>
      <c r="B75" s="55" t="n">
        <v>2026</v>
      </c>
      <c r="C75" s="55" t="n">
        <v>3</v>
      </c>
      <c r="D75" s="55">
        <f>SUMIFS(Calendar!$F$1:$F$9997,Calendar!$B$1:$B$9997,ForeMonth!B75,Calendar!$C$1:$C$9997,ForeMonth!A75)</f>
        <v/>
      </c>
      <c r="E75" s="55">
        <f>ROUND(SUMIFS(ForeDaily!F:F,ForeDaily!C:C,A75,ForeDaily!D:D,B75,ForeDaily!E:E,C75),0)</f>
        <v/>
      </c>
      <c r="F75" s="55">
        <f>D75-E75</f>
        <v/>
      </c>
      <c r="G75" s="15">
        <f>E75/D75</f>
        <v/>
      </c>
      <c r="H75" s="4" t="n">
        <v>1</v>
      </c>
      <c r="I75" s="4" t="n">
        <v>2</v>
      </c>
      <c r="J75" s="55" t="n"/>
    </row>
    <row r="76">
      <c r="A76" s="57" t="n">
        <v>6</v>
      </c>
      <c r="B76" s="55" t="n">
        <v>2026</v>
      </c>
      <c r="C76" s="55" t="n">
        <v>3</v>
      </c>
      <c r="D76" s="55">
        <f>SUMIFS(Calendar!$F$1:$F$9997,Calendar!$B$1:$B$9997,ForeMonth!B76,Calendar!$C$1:$C$9997,ForeMonth!A76)</f>
        <v/>
      </c>
      <c r="E76" s="55">
        <f>ROUND(SUMIFS(ForeDaily!F:F,ForeDaily!C:C,A76,ForeDaily!D:D,B76,ForeDaily!E:E,C76),0)</f>
        <v/>
      </c>
      <c r="F76" s="55">
        <f>D76-E76</f>
        <v/>
      </c>
      <c r="G76" s="15">
        <f>E76/D76</f>
        <v/>
      </c>
      <c r="H76" s="4" t="n">
        <v>1</v>
      </c>
      <c r="I76" s="4" t="n">
        <v>3</v>
      </c>
      <c r="J76" s="55" t="n"/>
    </row>
    <row r="77">
      <c r="A77" s="57" t="n">
        <v>7</v>
      </c>
      <c r="B77" s="55" t="n">
        <v>2026</v>
      </c>
      <c r="C77" s="55" t="n">
        <v>3</v>
      </c>
      <c r="D77" s="55">
        <f>SUMIFS(Calendar!$F$1:$F$9997,Calendar!$B$1:$B$9997,ForeMonth!B77,Calendar!$C$1:$C$9997,ForeMonth!A77)</f>
        <v/>
      </c>
      <c r="E77" s="55">
        <f>ROUND(SUMIFS(ForeDaily!F:F,ForeDaily!C:C,A77,ForeDaily!D:D,B77,ForeDaily!E:E,C77),0)</f>
        <v/>
      </c>
      <c r="F77" s="55">
        <f>D77-E77</f>
        <v/>
      </c>
      <c r="G77" s="15">
        <f>E77/D77</f>
        <v/>
      </c>
      <c r="H77" s="4" t="n">
        <v>1</v>
      </c>
      <c r="I77" s="4" t="n">
        <v>4</v>
      </c>
      <c r="J77" s="55" t="n"/>
    </row>
    <row r="78">
      <c r="A78" s="57" t="n">
        <v>8</v>
      </c>
      <c r="B78" s="55" t="n">
        <v>2026</v>
      </c>
      <c r="C78" s="55" t="n">
        <v>3</v>
      </c>
      <c r="D78" s="55">
        <f>SUMIFS(Calendar!$F$1:$F$9997,Calendar!$B$1:$B$9997,ForeMonth!B78,Calendar!$C$1:$C$9997,ForeMonth!A78)</f>
        <v/>
      </c>
      <c r="E78" s="55">
        <f>ROUND(SUMIFS(ForeDaily!F:F,ForeDaily!C:C,A78,ForeDaily!D:D,B78,ForeDaily!E:E,C78),0)</f>
        <v/>
      </c>
      <c r="F78" s="55">
        <f>D78-E78</f>
        <v/>
      </c>
      <c r="G78" s="15">
        <f>E78/D78</f>
        <v/>
      </c>
      <c r="H78" s="4" t="n">
        <v>1</v>
      </c>
      <c r="I78" s="4" t="n">
        <v>5</v>
      </c>
      <c r="J78" s="55" t="n"/>
    </row>
    <row r="79">
      <c r="A79" s="57" t="n">
        <v>9</v>
      </c>
      <c r="B79" s="55" t="n">
        <v>2026</v>
      </c>
      <c r="C79" s="55" t="n">
        <v>3</v>
      </c>
      <c r="D79" s="55">
        <f>SUMIFS(Calendar!$F$1:$F$9997,Calendar!$B$1:$B$9997,ForeMonth!B79,Calendar!$C$1:$C$9997,ForeMonth!A79)</f>
        <v/>
      </c>
      <c r="E79" s="55">
        <f>ROUND(SUMIFS(ForeDaily!F:F,ForeDaily!C:C,A79,ForeDaily!D:D,B79,ForeDaily!E:E,C79),0)</f>
        <v/>
      </c>
      <c r="F79" s="55">
        <f>D79-E79</f>
        <v/>
      </c>
      <c r="G79" s="15">
        <f>E79/D79</f>
        <v/>
      </c>
      <c r="H79" s="4" t="n">
        <v>1</v>
      </c>
      <c r="I79" s="4" t="n">
        <v>6</v>
      </c>
      <c r="J79" s="55" t="n"/>
    </row>
    <row r="80">
      <c r="A80" s="57" t="n">
        <v>10</v>
      </c>
      <c r="B80" s="55" t="n">
        <v>2026</v>
      </c>
      <c r="C80" s="55" t="n">
        <v>3</v>
      </c>
      <c r="D80" s="55">
        <f>SUMIFS(Calendar!$F$1:$F$9997,Calendar!$B$1:$B$9997,ForeMonth!B80,Calendar!$C$1:$C$9997,ForeMonth!A80)</f>
        <v/>
      </c>
      <c r="E80" s="55">
        <f>ROUND(SUMIFS(ForeDaily!F:F,ForeDaily!C:C,A80,ForeDaily!D:D,B80,ForeDaily!E:E,C80),0)</f>
        <v/>
      </c>
      <c r="F80" s="55">
        <f>D80-E80</f>
        <v/>
      </c>
      <c r="G80" s="15">
        <f>E80/D80</f>
        <v/>
      </c>
      <c r="H80" s="4" t="n">
        <v>1</v>
      </c>
      <c r="I80" s="4" t="n">
        <v>7</v>
      </c>
      <c r="J80" s="55" t="n"/>
    </row>
    <row r="81">
      <c r="A81" s="57" t="n">
        <v>11</v>
      </c>
      <c r="B81" s="55" t="n">
        <v>2026</v>
      </c>
      <c r="C81" s="55" t="n">
        <v>3</v>
      </c>
      <c r="D81" s="55">
        <f>SUMIFS(Calendar!$F$1:$F$9997,Calendar!$B$1:$B$9997,ForeMonth!B81,Calendar!$C$1:$C$9997,ForeMonth!A81)</f>
        <v/>
      </c>
      <c r="E81" s="55">
        <f>ROUND(SUMIFS(ForeDaily!F:F,ForeDaily!C:C,A81,ForeDaily!D:D,B81,ForeDaily!E:E,C81),0)</f>
        <v/>
      </c>
      <c r="F81" s="55">
        <f>D81-E81</f>
        <v/>
      </c>
      <c r="G81" s="15">
        <f>E81/D81</f>
        <v/>
      </c>
      <c r="H81" s="4" t="n">
        <v>1</v>
      </c>
      <c r="I81" s="4" t="n">
        <v>8</v>
      </c>
      <c r="J81" s="55" t="n"/>
    </row>
    <row r="82">
      <c r="A82" s="57" t="n">
        <v>12</v>
      </c>
      <c r="B82" s="55" t="n">
        <v>2026</v>
      </c>
      <c r="C82" s="55" t="n">
        <v>3</v>
      </c>
      <c r="D82" s="55">
        <f>SUMIFS(Calendar!$F$1:$F$9997,Calendar!$B$1:$B$9997,ForeMonth!B82,Calendar!$C$1:$C$9997,ForeMonth!A82)</f>
        <v/>
      </c>
      <c r="E82" s="55">
        <f>ROUND(SUMIFS(ForeDaily!F:F,ForeDaily!C:C,A82,ForeDaily!D:D,B82,ForeDaily!E:E,C82),0)</f>
        <v/>
      </c>
      <c r="F82" s="55">
        <f>D82-E82</f>
        <v/>
      </c>
      <c r="G82" s="15">
        <f>E82/D82</f>
        <v/>
      </c>
      <c r="H82" s="4" t="n">
        <v>1</v>
      </c>
      <c r="I82" s="4" t="n">
        <v>9</v>
      </c>
      <c r="J82" s="55" t="n"/>
    </row>
    <row r="83">
      <c r="A83" s="57" t="n">
        <v>1</v>
      </c>
      <c r="B83" s="55" t="n">
        <v>2027</v>
      </c>
      <c r="C83" s="55" t="n">
        <v>3</v>
      </c>
      <c r="D83" s="55">
        <f>SUMIFS(Calendar!$F$1:$F$9997,Calendar!$B$1:$B$9997,ForeMonth!B83,Calendar!$C$1:$C$9997,ForeMonth!A83)</f>
        <v/>
      </c>
      <c r="E83" s="55">
        <f>ROUND(SUMIFS(ForeDaily!F:F,ForeDaily!C:C,A83,ForeDaily!D:D,B83,ForeDaily!E:E,C83),0)</f>
        <v/>
      </c>
      <c r="F83" s="55">
        <f>D83-E83</f>
        <v/>
      </c>
      <c r="G83" s="15">
        <f>E83/D83</f>
        <v/>
      </c>
      <c r="H83" s="4" t="n">
        <v>1</v>
      </c>
      <c r="I83" s="4" t="n">
        <v>10</v>
      </c>
      <c r="J83" s="55" t="n"/>
    </row>
    <row r="84">
      <c r="A84" s="57" t="n">
        <v>2</v>
      </c>
      <c r="B84" s="55" t="n">
        <v>2027</v>
      </c>
      <c r="C84" s="55" t="n">
        <v>3</v>
      </c>
      <c r="D84" s="55">
        <f>SUMIFS(Calendar!$F$1:$F$9997,Calendar!$B$1:$B$9997,ForeMonth!B84,Calendar!$C$1:$C$9997,ForeMonth!A84)</f>
        <v/>
      </c>
      <c r="E84" s="55">
        <f>ROUND(SUMIFS(ForeDaily!F:F,ForeDaily!C:C,A84,ForeDaily!D:D,B84,ForeDaily!E:E,C84),0)</f>
        <v/>
      </c>
      <c r="F84" s="55">
        <f>D84-E84</f>
        <v/>
      </c>
      <c r="G84" s="15">
        <f>E84/D84</f>
        <v/>
      </c>
      <c r="H84" s="4" t="n">
        <v>1</v>
      </c>
      <c r="I84" s="4" t="n">
        <v>11</v>
      </c>
      <c r="J84" s="55" t="n"/>
    </row>
    <row r="85">
      <c r="A85" s="57" t="n">
        <v>3</v>
      </c>
      <c r="B85" s="55" t="n">
        <v>2027</v>
      </c>
      <c r="C85" s="55" t="n">
        <v>3</v>
      </c>
      <c r="D85" s="55">
        <f>SUMIFS(Calendar!$F$1:$F$9997,Calendar!$B$1:$B$9997,ForeMonth!B85,Calendar!$C$1:$C$9997,ForeMonth!A85)</f>
        <v/>
      </c>
      <c r="E85" s="55">
        <f>ROUND(SUMIFS(ForeDaily!F:F,ForeDaily!C:C,A85,ForeDaily!D:D,B85,ForeDaily!E:E,C85),0)</f>
        <v/>
      </c>
      <c r="F85" s="55">
        <f>D85-E85</f>
        <v/>
      </c>
      <c r="G85" s="15">
        <f>E85/D85</f>
        <v/>
      </c>
      <c r="H85" s="4" t="n">
        <v>1</v>
      </c>
      <c r="I85" s="4" t="n">
        <v>12</v>
      </c>
      <c r="J85" s="55" t="n"/>
    </row>
    <row r="86">
      <c r="A86" s="57" t="n">
        <v>4</v>
      </c>
      <c r="B86" s="55" t="n">
        <v>2027</v>
      </c>
      <c r="C86" s="55" t="n">
        <v>3</v>
      </c>
      <c r="D86" s="55">
        <f>SUMIFS(Calendar!$F$1:$F$9997,Calendar!$B$1:$B$9997,ForeMonth!B86,Calendar!$C$1:$C$9997,ForeMonth!A86)</f>
        <v/>
      </c>
      <c r="E86" s="55">
        <f>ROUND(SUMIFS(ForeDaily!F:F,ForeDaily!C:C,A86,ForeDaily!D:D,B86,ForeDaily!E:E,C86),0)</f>
        <v/>
      </c>
      <c r="F86" s="55">
        <f>D86-E86</f>
        <v/>
      </c>
      <c r="G86" s="15">
        <f>E86/D86</f>
        <v/>
      </c>
      <c r="H86" s="4" t="n">
        <v>2</v>
      </c>
      <c r="I86" s="4" t="n">
        <v>1</v>
      </c>
      <c r="J86" s="55" t="n"/>
    </row>
    <row r="87">
      <c r="A87" s="57" t="n">
        <v>5</v>
      </c>
      <c r="B87" s="55" t="n">
        <v>2027</v>
      </c>
      <c r="C87" s="55" t="n">
        <v>3</v>
      </c>
      <c r="D87" s="55">
        <f>SUMIFS(Calendar!$F$1:$F$9997,Calendar!$B$1:$B$9997,ForeMonth!B87,Calendar!$C$1:$C$9997,ForeMonth!A87)</f>
        <v/>
      </c>
      <c r="E87" s="55">
        <f>ROUND(SUMIFS(ForeDaily!F:F,ForeDaily!C:C,A87,ForeDaily!D:D,B87,ForeDaily!E:E,C87),0)</f>
        <v/>
      </c>
      <c r="F87" s="55">
        <f>D87-E87</f>
        <v/>
      </c>
      <c r="G87" s="15">
        <f>E87/D87</f>
        <v/>
      </c>
      <c r="H87" s="4" t="n">
        <v>2</v>
      </c>
      <c r="I87" s="4" t="n">
        <v>2</v>
      </c>
      <c r="J87" s="55" t="n"/>
    </row>
    <row r="88">
      <c r="A88" s="57" t="n">
        <v>6</v>
      </c>
      <c r="B88" s="55" t="n">
        <v>2027</v>
      </c>
      <c r="C88" s="55" t="n">
        <v>3</v>
      </c>
      <c r="D88" s="55">
        <f>SUMIFS(Calendar!$F$1:$F$9997,Calendar!$B$1:$B$9997,ForeMonth!B88,Calendar!$C$1:$C$9997,ForeMonth!A88)</f>
        <v/>
      </c>
      <c r="E88" s="55">
        <f>ROUND(SUMIFS(ForeDaily!F:F,ForeDaily!C:C,A88,ForeDaily!D:D,B88,ForeDaily!E:E,C88),0)</f>
        <v/>
      </c>
      <c r="F88" s="55">
        <f>D88-E88</f>
        <v/>
      </c>
      <c r="G88" s="15">
        <f>E88/D88</f>
        <v/>
      </c>
      <c r="H88" s="4" t="n">
        <v>2</v>
      </c>
      <c r="I88" s="4" t="n">
        <v>3</v>
      </c>
      <c r="J88" s="55" t="n"/>
    </row>
    <row r="89">
      <c r="A89" s="57" t="n">
        <v>7</v>
      </c>
      <c r="B89" s="55" t="n">
        <v>2027</v>
      </c>
      <c r="C89" s="55" t="n">
        <v>3</v>
      </c>
      <c r="D89" s="55">
        <f>SUMIFS(Calendar!$F$1:$F$9997,Calendar!$B$1:$B$9997,ForeMonth!B89,Calendar!$C$1:$C$9997,ForeMonth!A89)</f>
        <v/>
      </c>
      <c r="E89" s="55">
        <f>ROUND(SUMIFS(ForeDaily!F:F,ForeDaily!C:C,A89,ForeDaily!D:D,B89,ForeDaily!E:E,C89),0)</f>
        <v/>
      </c>
      <c r="F89" s="55">
        <f>D89-E89</f>
        <v/>
      </c>
      <c r="G89" s="15">
        <f>E89/D89</f>
        <v/>
      </c>
      <c r="H89" s="4" t="n">
        <v>2</v>
      </c>
      <c r="I89" s="4" t="n">
        <v>4</v>
      </c>
      <c r="J89" s="55" t="n"/>
    </row>
    <row r="90">
      <c r="A90" s="57" t="n">
        <v>8</v>
      </c>
      <c r="B90" s="55" t="n">
        <v>2027</v>
      </c>
      <c r="C90" s="55" t="n">
        <v>3</v>
      </c>
      <c r="D90" s="55">
        <f>SUMIFS(Calendar!$F$1:$F$9997,Calendar!$B$1:$B$9997,ForeMonth!B90,Calendar!$C$1:$C$9997,ForeMonth!A90)</f>
        <v/>
      </c>
      <c r="E90" s="55">
        <f>ROUND(SUMIFS(ForeDaily!F:F,ForeDaily!C:C,A90,ForeDaily!D:D,B90,ForeDaily!E:E,C90),0)</f>
        <v/>
      </c>
      <c r="F90" s="55">
        <f>D90-E90</f>
        <v/>
      </c>
      <c r="G90" s="15">
        <f>E90/D90</f>
        <v/>
      </c>
      <c r="H90" s="4" t="n">
        <v>2</v>
      </c>
      <c r="I90" s="4" t="n">
        <v>5</v>
      </c>
      <c r="J90" s="55" t="n"/>
    </row>
    <row r="91">
      <c r="A91" s="57" t="n">
        <v>9</v>
      </c>
      <c r="B91" s="55" t="n">
        <v>2027</v>
      </c>
      <c r="C91" s="55" t="n">
        <v>3</v>
      </c>
      <c r="D91" s="55">
        <f>SUMIFS(Calendar!$F$1:$F$9997,Calendar!$B$1:$B$9997,ForeMonth!B91,Calendar!$C$1:$C$9997,ForeMonth!A91)</f>
        <v/>
      </c>
      <c r="E91" s="55">
        <f>ROUND(SUMIFS(ForeDaily!F:F,ForeDaily!C:C,A91,ForeDaily!D:D,B91,ForeDaily!E:E,C91),0)</f>
        <v/>
      </c>
      <c r="F91" s="55">
        <f>D91-E91</f>
        <v/>
      </c>
      <c r="G91" s="15">
        <f>E91/D91</f>
        <v/>
      </c>
      <c r="H91" s="4" t="n">
        <v>2</v>
      </c>
      <c r="I91" s="4" t="n">
        <v>6</v>
      </c>
      <c r="J91" s="55" t="n"/>
    </row>
    <row r="92">
      <c r="A92" s="57" t="n">
        <v>10</v>
      </c>
      <c r="B92" s="55" t="n">
        <v>2027</v>
      </c>
      <c r="C92" s="55" t="n">
        <v>3</v>
      </c>
      <c r="D92" s="55">
        <f>SUMIFS(Calendar!$F$1:$F$9997,Calendar!$B$1:$B$9997,ForeMonth!B92,Calendar!$C$1:$C$9997,ForeMonth!A92)</f>
        <v/>
      </c>
      <c r="E92" s="55">
        <f>ROUND(SUMIFS(ForeDaily!F:F,ForeDaily!C:C,A92,ForeDaily!D:D,B92,ForeDaily!E:E,C92),0)</f>
        <v/>
      </c>
      <c r="F92" s="55">
        <f>D92-E92</f>
        <v/>
      </c>
      <c r="G92" s="15">
        <f>E92/D92</f>
        <v/>
      </c>
      <c r="H92" s="4" t="n">
        <v>2</v>
      </c>
      <c r="I92" s="4" t="n">
        <v>7</v>
      </c>
      <c r="J92" s="55" t="n"/>
    </row>
    <row r="93">
      <c r="A93" s="57" t="n">
        <v>11</v>
      </c>
      <c r="B93" s="55" t="n">
        <v>2027</v>
      </c>
      <c r="C93" s="55" t="n">
        <v>3</v>
      </c>
      <c r="D93" s="55">
        <f>SUMIFS(Calendar!$F$1:$F$9997,Calendar!$B$1:$B$9997,ForeMonth!B93,Calendar!$C$1:$C$9997,ForeMonth!A93)</f>
        <v/>
      </c>
      <c r="E93" s="55">
        <f>ROUND(SUMIFS(ForeDaily!F:F,ForeDaily!C:C,A93,ForeDaily!D:D,B93,ForeDaily!E:E,C93),0)</f>
        <v/>
      </c>
      <c r="F93" s="55">
        <f>D93-E93</f>
        <v/>
      </c>
      <c r="G93" s="15">
        <f>E93/D93</f>
        <v/>
      </c>
      <c r="H93" s="4" t="n">
        <v>2</v>
      </c>
      <c r="I93" s="4" t="n">
        <v>8</v>
      </c>
      <c r="J93" s="55" t="n"/>
    </row>
    <row r="94">
      <c r="A94" s="57" t="n">
        <v>12</v>
      </c>
      <c r="B94" s="55" t="n">
        <v>2027</v>
      </c>
      <c r="C94" s="55" t="n">
        <v>3</v>
      </c>
      <c r="D94" s="55">
        <f>SUMIFS(Calendar!$F$1:$F$9997,Calendar!$B$1:$B$9997,ForeMonth!B94,Calendar!$C$1:$C$9997,ForeMonth!A94)</f>
        <v/>
      </c>
      <c r="E94" s="55">
        <f>ROUND(SUMIFS(ForeDaily!F:F,ForeDaily!C:C,A94,ForeDaily!D:D,B94,ForeDaily!E:E,C94),0)</f>
        <v/>
      </c>
      <c r="F94" s="55">
        <f>D94-E94</f>
        <v/>
      </c>
      <c r="G94" s="15">
        <f>E94/D94</f>
        <v/>
      </c>
      <c r="H94" s="4" t="n">
        <v>2</v>
      </c>
      <c r="I94" s="4" t="n">
        <v>9</v>
      </c>
      <c r="J94" s="55" t="n"/>
    </row>
    <row r="95">
      <c r="A95" s="57" t="n">
        <v>1</v>
      </c>
      <c r="B95" s="55" t="n">
        <v>2028</v>
      </c>
      <c r="C95" s="55" t="n">
        <v>3</v>
      </c>
      <c r="D95" s="55">
        <f>SUMIFS(Calendar!$F$1:$F$9997,Calendar!$B$1:$B$9997,ForeMonth!B95,Calendar!$C$1:$C$9997,ForeMonth!A95)</f>
        <v/>
      </c>
      <c r="E95" s="55">
        <f>ROUND(SUMIFS(ForeDaily!F:F,ForeDaily!C:C,A95,ForeDaily!D:D,B95,ForeDaily!E:E,C95),0)</f>
        <v/>
      </c>
      <c r="F95" s="55">
        <f>D95-E95</f>
        <v/>
      </c>
      <c r="G95" s="15">
        <f>E95/D95</f>
        <v/>
      </c>
      <c r="H95" s="4" t="n">
        <v>2</v>
      </c>
      <c r="I95" s="4" t="n">
        <v>10</v>
      </c>
      <c r="J95" s="55" t="n"/>
    </row>
    <row r="96">
      <c r="A96" s="57" t="n">
        <v>2</v>
      </c>
      <c r="B96" s="55" t="n">
        <v>2028</v>
      </c>
      <c r="C96" s="55" t="n">
        <v>3</v>
      </c>
      <c r="D96" s="55">
        <f>SUMIFS(Calendar!$F$1:$F$9997,Calendar!$B$1:$B$9997,ForeMonth!B96,Calendar!$C$1:$C$9997,ForeMonth!A96)</f>
        <v/>
      </c>
      <c r="E96" s="55">
        <f>ROUND(SUMIFS(ForeDaily!F:F,ForeDaily!C:C,A96,ForeDaily!D:D,B96,ForeDaily!E:E,C96),0)</f>
        <v/>
      </c>
      <c r="F96" s="55">
        <f>D96-E96</f>
        <v/>
      </c>
      <c r="G96" s="15">
        <f>E96/D96</f>
        <v/>
      </c>
      <c r="H96" s="4" t="n">
        <v>2</v>
      </c>
      <c r="I96" s="4" t="n">
        <v>11</v>
      </c>
      <c r="J96" s="55" t="n"/>
    </row>
    <row r="97">
      <c r="A97" s="57" t="n">
        <v>3</v>
      </c>
      <c r="B97" s="55" t="n">
        <v>2028</v>
      </c>
      <c r="C97" s="55" t="n">
        <v>3</v>
      </c>
      <c r="D97" s="55">
        <f>SUMIFS(Calendar!$F$1:$F$9997,Calendar!$B$1:$B$9997,ForeMonth!B97,Calendar!$C$1:$C$9997,ForeMonth!A97)</f>
        <v/>
      </c>
      <c r="E97" s="55">
        <f>ROUND(SUMIFS(ForeDaily!F:F,ForeDaily!C:C,A97,ForeDaily!D:D,B97,ForeDaily!E:E,C97),0)</f>
        <v/>
      </c>
      <c r="F97" s="55">
        <f>D97-E97</f>
        <v/>
      </c>
      <c r="G97" s="15">
        <f>E97/D97</f>
        <v/>
      </c>
      <c r="H97" s="4" t="n">
        <v>2</v>
      </c>
      <c r="I97" s="4" t="n">
        <v>12</v>
      </c>
      <c r="J97" s="55" t="n"/>
    </row>
    <row r="98">
      <c r="A98" s="57" t="n">
        <v>4</v>
      </c>
      <c r="B98" s="4" t="n">
        <v>2028</v>
      </c>
      <c r="C98" s="4" t="n">
        <v>3</v>
      </c>
      <c r="D98" s="55">
        <f>SUMIFS(Calendar!$F$1:$F$9997,Calendar!$B$1:$B$9997,ForeMonth!B98,Calendar!$C$1:$C$9997,ForeMonth!A98)</f>
        <v/>
      </c>
      <c r="E98" s="55">
        <f>ROUND(SUMIFS(ForeDaily!F:F,ForeDaily!C:C,A98,ForeDaily!D:D,B98,ForeDaily!E:E,C98),0)</f>
        <v/>
      </c>
      <c r="F98" s="55">
        <f>D98-E98</f>
        <v/>
      </c>
      <c r="G98" s="15">
        <f>E98/D98</f>
        <v/>
      </c>
      <c r="H98" s="4" t="n">
        <v>3</v>
      </c>
      <c r="I98" s="4" t="n">
        <v>1</v>
      </c>
      <c r="J98" s="55" t="n"/>
    </row>
    <row r="99">
      <c r="A99" s="57" t="n">
        <v>5</v>
      </c>
      <c r="B99" s="4" t="n">
        <v>2028</v>
      </c>
      <c r="C99" s="4" t="n">
        <v>3</v>
      </c>
      <c r="D99" s="55">
        <f>SUMIFS(Calendar!$F$1:$F$9997,Calendar!$B$1:$B$9997,ForeMonth!B99,Calendar!$C$1:$C$9997,ForeMonth!A99)</f>
        <v/>
      </c>
      <c r="E99" s="55">
        <f>ROUND(SUMIFS(ForeDaily!F:F,ForeDaily!C:C,A99,ForeDaily!D:D,B99,ForeDaily!E:E,C99),0)</f>
        <v/>
      </c>
      <c r="F99" s="55">
        <f>D99-E99</f>
        <v/>
      </c>
      <c r="G99" s="15">
        <f>E99/D99</f>
        <v/>
      </c>
      <c r="H99" s="4" t="n">
        <v>3</v>
      </c>
      <c r="I99" s="4" t="n">
        <v>2</v>
      </c>
      <c r="J99" s="55" t="n"/>
    </row>
    <row r="100">
      <c r="A100" s="57" t="n">
        <v>6</v>
      </c>
      <c r="B100" s="4" t="n">
        <v>2028</v>
      </c>
      <c r="C100" s="4" t="n">
        <v>3</v>
      </c>
      <c r="D100" s="55">
        <f>SUMIFS(Calendar!$F$1:$F$9997,Calendar!$B$1:$B$9997,ForeMonth!B100,Calendar!$C$1:$C$9997,ForeMonth!A100)</f>
        <v/>
      </c>
      <c r="E100" s="55">
        <f>ROUND(SUMIFS(ForeDaily!F:F,ForeDaily!C:C,A100,ForeDaily!D:D,B100,ForeDaily!E:E,C100),0)</f>
        <v/>
      </c>
      <c r="F100" s="55">
        <f>D100-E100</f>
        <v/>
      </c>
      <c r="G100" s="15">
        <f>E100/D100</f>
        <v/>
      </c>
      <c r="H100" s="4" t="n">
        <v>3</v>
      </c>
      <c r="I100" s="4" t="n">
        <v>3</v>
      </c>
      <c r="J100" s="55" t="n"/>
    </row>
    <row r="101">
      <c r="A101" s="57" t="n">
        <v>7</v>
      </c>
      <c r="B101" s="4" t="n">
        <v>2028</v>
      </c>
      <c r="C101" s="4" t="n">
        <v>3</v>
      </c>
      <c r="D101" s="55">
        <f>SUMIFS(Calendar!$F$1:$F$9997,Calendar!$B$1:$B$9997,ForeMonth!B101,Calendar!$C$1:$C$9997,ForeMonth!A101)</f>
        <v/>
      </c>
      <c r="E101" s="55">
        <f>ROUND(SUMIFS(ForeDaily!F:F,ForeDaily!C:C,A101,ForeDaily!D:D,B101,ForeDaily!E:E,C101),0)</f>
        <v/>
      </c>
      <c r="F101" s="55">
        <f>D101-E101</f>
        <v/>
      </c>
      <c r="G101" s="15">
        <f>E101/D101</f>
        <v/>
      </c>
      <c r="H101" s="4" t="n">
        <v>3</v>
      </c>
      <c r="I101" s="4" t="n">
        <v>4</v>
      </c>
      <c r="J101" s="55" t="n"/>
    </row>
    <row r="102">
      <c r="A102" s="57" t="n">
        <v>8</v>
      </c>
      <c r="B102" s="4" t="n">
        <v>2028</v>
      </c>
      <c r="C102" s="4" t="n">
        <v>3</v>
      </c>
      <c r="D102" s="55">
        <f>SUMIFS(Calendar!$F$1:$F$9997,Calendar!$B$1:$B$9997,ForeMonth!B102,Calendar!$C$1:$C$9997,ForeMonth!A102)</f>
        <v/>
      </c>
      <c r="E102" s="55">
        <f>ROUND(SUMIFS(ForeDaily!F:F,ForeDaily!C:C,A102,ForeDaily!D:D,B102,ForeDaily!E:E,C102),0)</f>
        <v/>
      </c>
      <c r="F102" s="55">
        <f>D102-E102</f>
        <v/>
      </c>
      <c r="G102" s="15">
        <f>E102/D102</f>
        <v/>
      </c>
      <c r="H102" s="4" t="n">
        <v>3</v>
      </c>
      <c r="I102" s="4" t="n">
        <v>5</v>
      </c>
      <c r="J102" s="55" t="n"/>
    </row>
    <row r="103">
      <c r="A103" s="57" t="n">
        <v>9</v>
      </c>
      <c r="B103" s="4" t="n">
        <v>2028</v>
      </c>
      <c r="C103" s="4" t="n">
        <v>3</v>
      </c>
      <c r="D103" s="55">
        <f>SUMIFS(Calendar!$F$1:$F$9997,Calendar!$B$1:$B$9997,ForeMonth!B103,Calendar!$C$1:$C$9997,ForeMonth!A103)</f>
        <v/>
      </c>
      <c r="E103" s="55">
        <f>ROUND(SUMIFS(ForeDaily!F:F,ForeDaily!C:C,A103,ForeDaily!D:D,B103,ForeDaily!E:E,C103),0)</f>
        <v/>
      </c>
      <c r="F103" s="55">
        <f>D103-E103</f>
        <v/>
      </c>
      <c r="G103" s="15">
        <f>E103/D103</f>
        <v/>
      </c>
      <c r="H103" s="4" t="n">
        <v>3</v>
      </c>
      <c r="I103" s="4" t="n">
        <v>6</v>
      </c>
      <c r="J103" s="55" t="n"/>
    </row>
    <row r="104">
      <c r="A104" s="57" t="n">
        <v>10</v>
      </c>
      <c r="B104" s="4" t="n">
        <v>2028</v>
      </c>
      <c r="C104" s="4" t="n">
        <v>3</v>
      </c>
      <c r="D104" s="55">
        <f>SUMIFS(Calendar!$F$1:$F$9997,Calendar!$B$1:$B$9997,ForeMonth!B104,Calendar!$C$1:$C$9997,ForeMonth!A104)</f>
        <v/>
      </c>
      <c r="E104" s="55">
        <f>ROUND(SUMIFS(ForeDaily!F:F,ForeDaily!C:C,A104,ForeDaily!D:D,B104,ForeDaily!E:E,C104),0)</f>
        <v/>
      </c>
      <c r="F104" s="55">
        <f>D104-E104</f>
        <v/>
      </c>
      <c r="G104" s="15">
        <f>E104/D104</f>
        <v/>
      </c>
      <c r="H104" s="4" t="n">
        <v>3</v>
      </c>
      <c r="I104" s="4" t="n">
        <v>7</v>
      </c>
      <c r="J104" s="55" t="n"/>
    </row>
    <row r="105">
      <c r="A105" s="57" t="n">
        <v>11</v>
      </c>
      <c r="B105" s="4" t="n">
        <v>2028</v>
      </c>
      <c r="C105" s="4" t="n">
        <v>3</v>
      </c>
      <c r="D105" s="55">
        <f>SUMIFS(Calendar!$F$1:$F$9997,Calendar!$B$1:$B$9997,ForeMonth!B105,Calendar!$C$1:$C$9997,ForeMonth!A105)</f>
        <v/>
      </c>
      <c r="E105" s="55">
        <f>ROUND(SUMIFS(ForeDaily!F:F,ForeDaily!C:C,A105,ForeDaily!D:D,B105,ForeDaily!E:E,C105),0)</f>
        <v/>
      </c>
      <c r="F105" s="55">
        <f>D105-E105</f>
        <v/>
      </c>
      <c r="G105" s="15">
        <f>E105/D105</f>
        <v/>
      </c>
      <c r="H105" s="4" t="n">
        <v>3</v>
      </c>
      <c r="I105" s="4" t="n">
        <v>8</v>
      </c>
      <c r="J105" s="55" t="n"/>
    </row>
    <row r="106">
      <c r="A106" s="57" t="n">
        <v>12</v>
      </c>
      <c r="B106" s="4" t="n">
        <v>2028</v>
      </c>
      <c r="C106" s="4" t="n">
        <v>3</v>
      </c>
      <c r="D106" s="55">
        <f>SUMIFS(Calendar!$F$1:$F$9997,Calendar!$B$1:$B$9997,ForeMonth!B106,Calendar!$C$1:$C$9997,ForeMonth!A106)</f>
        <v/>
      </c>
      <c r="E106" s="55">
        <f>ROUND(SUMIFS(ForeDaily!F:F,ForeDaily!C:C,A106,ForeDaily!D:D,B106,ForeDaily!E:E,C106),0)</f>
        <v/>
      </c>
      <c r="F106" s="55">
        <f>D106-E106</f>
        <v/>
      </c>
      <c r="G106" s="15">
        <f>E106/D106</f>
        <v/>
      </c>
      <c r="H106" s="4" t="n">
        <v>3</v>
      </c>
      <c r="I106" s="4" t="n">
        <v>9</v>
      </c>
      <c r="J106" s="55" t="n"/>
    </row>
    <row r="107">
      <c r="A107" s="57" t="n">
        <v>1</v>
      </c>
      <c r="B107" s="4" t="n">
        <v>2029</v>
      </c>
      <c r="C107" s="4" t="n">
        <v>3</v>
      </c>
      <c r="D107" s="55">
        <f>SUMIFS(Calendar!$F$1:$F$9997,Calendar!$B$1:$B$9997,ForeMonth!B107,Calendar!$C$1:$C$9997,ForeMonth!A107)</f>
        <v/>
      </c>
      <c r="E107" s="55">
        <f>ROUND(SUMIFS(ForeDaily!F:F,ForeDaily!C:C,A107,ForeDaily!D:D,B107,ForeDaily!E:E,C107),0)</f>
        <v/>
      </c>
      <c r="F107" s="55">
        <f>D107-E107</f>
        <v/>
      </c>
      <c r="G107" s="15">
        <f>E107/D107</f>
        <v/>
      </c>
      <c r="H107" s="4" t="n">
        <v>3</v>
      </c>
      <c r="I107" s="4" t="n">
        <v>10</v>
      </c>
      <c r="J107" s="55" t="n"/>
    </row>
    <row r="108">
      <c r="A108" s="57" t="n">
        <v>2</v>
      </c>
      <c r="B108" s="4" t="n">
        <v>2029</v>
      </c>
      <c r="C108" s="4" t="n">
        <v>3</v>
      </c>
      <c r="D108" s="55">
        <f>SUMIFS(Calendar!$F$1:$F$9997,Calendar!$B$1:$B$9997,ForeMonth!B108,Calendar!$C$1:$C$9997,ForeMonth!A108)</f>
        <v/>
      </c>
      <c r="E108" s="55">
        <f>ROUND(SUMIFS(ForeDaily!F:F,ForeDaily!C:C,A108,ForeDaily!D:D,B108,ForeDaily!E:E,C108),0)</f>
        <v/>
      </c>
      <c r="F108" s="55">
        <f>D108-E108</f>
        <v/>
      </c>
      <c r="G108" s="15">
        <f>E108/D108</f>
        <v/>
      </c>
      <c r="H108" s="4" t="n">
        <v>3</v>
      </c>
      <c r="I108" s="4" t="n">
        <v>11</v>
      </c>
      <c r="J108" s="55" t="n"/>
    </row>
    <row r="109">
      <c r="A109" s="57" t="n">
        <v>3</v>
      </c>
      <c r="B109" s="4" t="n">
        <v>2029</v>
      </c>
      <c r="C109" s="4" t="n">
        <v>3</v>
      </c>
      <c r="D109" s="55">
        <f>SUMIFS(Calendar!$F$1:$F$9997,Calendar!$B$1:$B$9997,ForeMonth!B109,Calendar!$C$1:$C$9997,ForeMonth!A109)</f>
        <v/>
      </c>
      <c r="E109" s="55">
        <f>ROUND(SUMIFS(ForeDaily!F:F,ForeDaily!C:C,A109,ForeDaily!D:D,B109,ForeDaily!E:E,C109),0)</f>
        <v/>
      </c>
      <c r="F109" s="55">
        <f>D109-E109</f>
        <v/>
      </c>
      <c r="G109" s="15">
        <f>E109/D109</f>
        <v/>
      </c>
      <c r="H109" s="4" t="n">
        <v>3</v>
      </c>
      <c r="I109" s="4" t="n">
        <v>12</v>
      </c>
      <c r="J109" s="55" t="n"/>
    </row>
    <row r="110">
      <c r="A110" s="57" t="n">
        <v>4</v>
      </c>
      <c r="B110" s="4" t="n">
        <v>2026</v>
      </c>
      <c r="C110" s="4" t="n">
        <v>4</v>
      </c>
      <c r="D110" s="55">
        <f>SUMIFS(Calendar!$F$1:$F$9997,Calendar!$B$1:$B$9997,ForeMonth!B110,Calendar!$C$1:$C$9997,ForeMonth!A110)</f>
        <v/>
      </c>
      <c r="E110" s="55">
        <f>ROUND(SUMIFS(ForeDaily!F:F,ForeDaily!C:C,A110,ForeDaily!D:D,B110,ForeDaily!E:E,C110),0)</f>
        <v/>
      </c>
      <c r="F110" s="55">
        <f>D110-E110</f>
        <v/>
      </c>
      <c r="G110" s="15">
        <f>E110/D110</f>
        <v/>
      </c>
      <c r="H110" s="4" t="n">
        <v>1</v>
      </c>
      <c r="I110" s="4" t="n">
        <v>1</v>
      </c>
      <c r="J110" s="55" t="n"/>
    </row>
    <row r="111">
      <c r="A111" s="57" t="n">
        <v>5</v>
      </c>
      <c r="B111" s="4" t="n">
        <v>2026</v>
      </c>
      <c r="C111" s="4" t="n">
        <v>4</v>
      </c>
      <c r="D111" s="55">
        <f>SUMIFS(Calendar!$F$1:$F$9997,Calendar!$B$1:$B$9997,ForeMonth!B111,Calendar!$C$1:$C$9997,ForeMonth!A111)</f>
        <v/>
      </c>
      <c r="E111" s="55">
        <f>ROUND(SUMIFS(ForeDaily!F:F,ForeDaily!C:C,A111,ForeDaily!D:D,B111,ForeDaily!E:E,C111),0)</f>
        <v/>
      </c>
      <c r="F111" s="55">
        <f>D111-E111</f>
        <v/>
      </c>
      <c r="G111" s="15">
        <f>E111/D111</f>
        <v/>
      </c>
      <c r="H111" s="4" t="n">
        <v>1</v>
      </c>
      <c r="I111" s="4" t="n">
        <v>2</v>
      </c>
      <c r="J111" s="55" t="n"/>
    </row>
    <row r="112">
      <c r="A112" s="57" t="n">
        <v>6</v>
      </c>
      <c r="B112" s="4" t="n">
        <v>2026</v>
      </c>
      <c r="C112" s="4" t="n">
        <v>4</v>
      </c>
      <c r="D112" s="55">
        <f>SUMIFS(Calendar!$F$1:$F$9997,Calendar!$B$1:$B$9997,ForeMonth!B112,Calendar!$C$1:$C$9997,ForeMonth!A112)</f>
        <v/>
      </c>
      <c r="E112" s="55">
        <f>ROUND(SUMIFS(ForeDaily!F:F,ForeDaily!C:C,A112,ForeDaily!D:D,B112,ForeDaily!E:E,C112),0)</f>
        <v/>
      </c>
      <c r="F112" s="55">
        <f>D112-E112</f>
        <v/>
      </c>
      <c r="G112" s="15">
        <f>E112/D112</f>
        <v/>
      </c>
      <c r="H112" s="4" t="n">
        <v>1</v>
      </c>
      <c r="I112" s="4" t="n">
        <v>3</v>
      </c>
      <c r="J112" s="55" t="n"/>
    </row>
    <row r="113">
      <c r="A113" s="57" t="n">
        <v>7</v>
      </c>
      <c r="B113" s="4" t="n">
        <v>2026</v>
      </c>
      <c r="C113" s="4" t="n">
        <v>4</v>
      </c>
      <c r="D113" s="55">
        <f>SUMIFS(Calendar!$F$1:$F$9997,Calendar!$B$1:$B$9997,ForeMonth!B113,Calendar!$C$1:$C$9997,ForeMonth!A113)</f>
        <v/>
      </c>
      <c r="E113" s="55">
        <f>ROUND(SUMIFS(ForeDaily!F:F,ForeDaily!C:C,A113,ForeDaily!D:D,B113,ForeDaily!E:E,C113),0)</f>
        <v/>
      </c>
      <c r="F113" s="55">
        <f>D113-E113</f>
        <v/>
      </c>
      <c r="G113" s="15">
        <f>E113/D113</f>
        <v/>
      </c>
      <c r="H113" s="4" t="n">
        <v>1</v>
      </c>
      <c r="I113" s="4" t="n">
        <v>4</v>
      </c>
      <c r="J113" s="55" t="n"/>
    </row>
    <row r="114">
      <c r="A114" s="57" t="n">
        <v>8</v>
      </c>
      <c r="B114" s="4" t="n">
        <v>2026</v>
      </c>
      <c r="C114" s="4" t="n">
        <v>4</v>
      </c>
      <c r="D114" s="55">
        <f>SUMIFS(Calendar!$F$1:$F$9997,Calendar!$B$1:$B$9997,ForeMonth!B114,Calendar!$C$1:$C$9997,ForeMonth!A114)</f>
        <v/>
      </c>
      <c r="E114" s="55">
        <f>ROUND(SUMIFS(ForeDaily!F:F,ForeDaily!C:C,A114,ForeDaily!D:D,B114,ForeDaily!E:E,C114),0)</f>
        <v/>
      </c>
      <c r="F114" s="55">
        <f>D114-E114</f>
        <v/>
      </c>
      <c r="G114" s="15">
        <f>E114/D114</f>
        <v/>
      </c>
      <c r="H114" s="4" t="n">
        <v>1</v>
      </c>
      <c r="I114" s="4" t="n">
        <v>5</v>
      </c>
      <c r="J114" s="55" t="n"/>
    </row>
    <row r="115">
      <c r="A115" s="57" t="n">
        <v>9</v>
      </c>
      <c r="B115" s="4" t="n">
        <v>2026</v>
      </c>
      <c r="C115" s="4" t="n">
        <v>4</v>
      </c>
      <c r="D115" s="55">
        <f>SUMIFS(Calendar!$F$1:$F$9997,Calendar!$B$1:$B$9997,ForeMonth!B115,Calendar!$C$1:$C$9997,ForeMonth!A115)</f>
        <v/>
      </c>
      <c r="E115" s="55">
        <f>ROUND(SUMIFS(ForeDaily!F:F,ForeDaily!C:C,A115,ForeDaily!D:D,B115,ForeDaily!E:E,C115),0)</f>
        <v/>
      </c>
      <c r="F115" s="55">
        <f>D115-E115</f>
        <v/>
      </c>
      <c r="G115" s="15">
        <f>E115/D115</f>
        <v/>
      </c>
      <c r="H115" s="4" t="n">
        <v>1</v>
      </c>
      <c r="I115" s="4" t="n">
        <v>6</v>
      </c>
      <c r="J115" s="55" t="n"/>
    </row>
    <row r="116">
      <c r="A116" s="57" t="n">
        <v>10</v>
      </c>
      <c r="B116" s="4" t="n">
        <v>2026</v>
      </c>
      <c r="C116" s="4" t="n">
        <v>4</v>
      </c>
      <c r="D116" s="55">
        <f>SUMIFS(Calendar!$F$1:$F$9997,Calendar!$B$1:$B$9997,ForeMonth!B116,Calendar!$C$1:$C$9997,ForeMonth!A116)</f>
        <v/>
      </c>
      <c r="E116" s="55">
        <f>ROUND(SUMIFS(ForeDaily!F:F,ForeDaily!C:C,A116,ForeDaily!D:D,B116,ForeDaily!E:E,C116),0)</f>
        <v/>
      </c>
      <c r="F116" s="55">
        <f>D116-E116</f>
        <v/>
      </c>
      <c r="G116" s="15">
        <f>E116/D116</f>
        <v/>
      </c>
      <c r="H116" s="4" t="n">
        <v>1</v>
      </c>
      <c r="I116" s="4" t="n">
        <v>7</v>
      </c>
      <c r="J116" s="55" t="n"/>
    </row>
    <row r="117">
      <c r="A117" s="57" t="n">
        <v>11</v>
      </c>
      <c r="B117" s="4" t="n">
        <v>2026</v>
      </c>
      <c r="C117" s="4" t="n">
        <v>4</v>
      </c>
      <c r="D117" s="55">
        <f>SUMIFS(Calendar!$F$1:$F$9997,Calendar!$B$1:$B$9997,ForeMonth!B117,Calendar!$C$1:$C$9997,ForeMonth!A117)</f>
        <v/>
      </c>
      <c r="E117" s="55">
        <f>ROUND(SUMIFS(ForeDaily!F:F,ForeDaily!C:C,A117,ForeDaily!D:D,B117,ForeDaily!E:E,C117),0)</f>
        <v/>
      </c>
      <c r="F117" s="55">
        <f>D117-E117</f>
        <v/>
      </c>
      <c r="G117" s="15">
        <f>E117/D117</f>
        <v/>
      </c>
      <c r="H117" s="4" t="n">
        <v>1</v>
      </c>
      <c r="I117" s="4" t="n">
        <v>8</v>
      </c>
      <c r="J117" s="55" t="n"/>
    </row>
    <row r="118">
      <c r="A118" s="57" t="n">
        <v>12</v>
      </c>
      <c r="B118" s="4" t="n">
        <v>2026</v>
      </c>
      <c r="C118" s="4" t="n">
        <v>4</v>
      </c>
      <c r="D118" s="55">
        <f>SUMIFS(Calendar!$F$1:$F$9997,Calendar!$B$1:$B$9997,ForeMonth!B118,Calendar!$C$1:$C$9997,ForeMonth!A118)</f>
        <v/>
      </c>
      <c r="E118" s="55">
        <f>ROUND(SUMIFS(ForeDaily!F:F,ForeDaily!C:C,A118,ForeDaily!D:D,B118,ForeDaily!E:E,C118),0)</f>
        <v/>
      </c>
      <c r="F118" s="55">
        <f>D118-E118</f>
        <v/>
      </c>
      <c r="G118" s="15">
        <f>E118/D118</f>
        <v/>
      </c>
      <c r="H118" s="4" t="n">
        <v>1</v>
      </c>
      <c r="I118" s="4" t="n">
        <v>9</v>
      </c>
      <c r="J118" s="55" t="n"/>
    </row>
    <row r="119">
      <c r="A119" s="57" t="n">
        <v>1</v>
      </c>
      <c r="B119" s="4" t="n">
        <v>2027</v>
      </c>
      <c r="C119" s="4" t="n">
        <v>4</v>
      </c>
      <c r="D119" s="55">
        <f>SUMIFS(Calendar!$F$1:$F$9997,Calendar!$B$1:$B$9997,ForeMonth!B119,Calendar!$C$1:$C$9997,ForeMonth!A119)</f>
        <v/>
      </c>
      <c r="E119" s="55">
        <f>ROUND(SUMIFS(ForeDaily!F:F,ForeDaily!C:C,A119,ForeDaily!D:D,B119,ForeDaily!E:E,C119),0)</f>
        <v/>
      </c>
      <c r="F119" s="55">
        <f>D119-E119</f>
        <v/>
      </c>
      <c r="G119" s="15">
        <f>E119/D119</f>
        <v/>
      </c>
      <c r="H119" s="4" t="n">
        <v>1</v>
      </c>
      <c r="I119" s="4" t="n">
        <v>10</v>
      </c>
      <c r="J119" s="55" t="n"/>
    </row>
    <row r="120">
      <c r="A120" s="57" t="n">
        <v>2</v>
      </c>
      <c r="B120" s="4" t="n">
        <v>2027</v>
      </c>
      <c r="C120" s="4" t="n">
        <v>4</v>
      </c>
      <c r="D120" s="55">
        <f>SUMIFS(Calendar!$F$1:$F$9997,Calendar!$B$1:$B$9997,ForeMonth!B120,Calendar!$C$1:$C$9997,ForeMonth!A120)</f>
        <v/>
      </c>
      <c r="E120" s="55">
        <f>ROUND(SUMIFS(ForeDaily!F:F,ForeDaily!C:C,A120,ForeDaily!D:D,B120,ForeDaily!E:E,C120),0)</f>
        <v/>
      </c>
      <c r="F120" s="55">
        <f>D120-E120</f>
        <v/>
      </c>
      <c r="G120" s="15">
        <f>E120/D120</f>
        <v/>
      </c>
      <c r="H120" s="4" t="n">
        <v>1</v>
      </c>
      <c r="I120" s="4" t="n">
        <v>11</v>
      </c>
      <c r="J120" s="55" t="n"/>
    </row>
    <row r="121">
      <c r="A121" s="57" t="n">
        <v>3</v>
      </c>
      <c r="B121" s="4" t="n">
        <v>2027</v>
      </c>
      <c r="C121" s="4" t="n">
        <v>4</v>
      </c>
      <c r="D121" s="55">
        <f>SUMIFS(Calendar!$F$1:$F$9997,Calendar!$B$1:$B$9997,ForeMonth!B121,Calendar!$C$1:$C$9997,ForeMonth!A121)</f>
        <v/>
      </c>
      <c r="E121" s="55">
        <f>ROUND(SUMIFS(ForeDaily!F:F,ForeDaily!C:C,A121,ForeDaily!D:D,B121,ForeDaily!E:E,C121),0)</f>
        <v/>
      </c>
      <c r="F121" s="55">
        <f>D121-E121</f>
        <v/>
      </c>
      <c r="G121" s="15">
        <f>E121/D121</f>
        <v/>
      </c>
      <c r="H121" s="4" t="n">
        <v>1</v>
      </c>
      <c r="I121" s="4" t="n">
        <v>12</v>
      </c>
      <c r="J121" s="55" t="n"/>
    </row>
    <row r="122">
      <c r="A122" s="57" t="n">
        <v>4</v>
      </c>
      <c r="B122" s="4" t="n">
        <v>2027</v>
      </c>
      <c r="C122" s="4" t="n">
        <v>4</v>
      </c>
      <c r="D122" s="55">
        <f>SUMIFS(Calendar!$F$1:$F$9997,Calendar!$B$1:$B$9997,ForeMonth!B122,Calendar!$C$1:$C$9997,ForeMonth!A122)</f>
        <v/>
      </c>
      <c r="E122" s="55">
        <f>ROUND(SUMIFS(ForeDaily!F:F,ForeDaily!C:C,A122,ForeDaily!D:D,B122,ForeDaily!E:E,C122),0)</f>
        <v/>
      </c>
      <c r="F122" s="55">
        <f>D122-E122</f>
        <v/>
      </c>
      <c r="G122" s="15">
        <f>E122/D122</f>
        <v/>
      </c>
      <c r="H122" s="4" t="n">
        <v>2</v>
      </c>
      <c r="I122" s="4" t="n">
        <v>1</v>
      </c>
      <c r="J122" s="55" t="n"/>
    </row>
    <row r="123">
      <c r="A123" s="57" t="n">
        <v>5</v>
      </c>
      <c r="B123" s="4" t="n">
        <v>2027</v>
      </c>
      <c r="C123" s="4" t="n">
        <v>4</v>
      </c>
      <c r="D123" s="55">
        <f>SUMIFS(Calendar!$F$1:$F$9997,Calendar!$B$1:$B$9997,ForeMonth!B123,Calendar!$C$1:$C$9997,ForeMonth!A123)</f>
        <v/>
      </c>
      <c r="E123" s="55">
        <f>ROUND(SUMIFS(ForeDaily!F:F,ForeDaily!C:C,A123,ForeDaily!D:D,B123,ForeDaily!E:E,C123),0)</f>
        <v/>
      </c>
      <c r="F123" s="55">
        <f>D123-E123</f>
        <v/>
      </c>
      <c r="G123" s="15">
        <f>E123/D123</f>
        <v/>
      </c>
      <c r="H123" s="4" t="n">
        <v>2</v>
      </c>
      <c r="I123" s="4" t="n">
        <v>2</v>
      </c>
      <c r="J123" s="55" t="n"/>
    </row>
    <row r="124">
      <c r="A124" s="57" t="n">
        <v>6</v>
      </c>
      <c r="B124" s="4" t="n">
        <v>2027</v>
      </c>
      <c r="C124" s="4" t="n">
        <v>4</v>
      </c>
      <c r="D124" s="55">
        <f>SUMIFS(Calendar!$F$1:$F$9997,Calendar!$B$1:$B$9997,ForeMonth!B124,Calendar!$C$1:$C$9997,ForeMonth!A124)</f>
        <v/>
      </c>
      <c r="E124" s="55">
        <f>ROUND(SUMIFS(ForeDaily!F:F,ForeDaily!C:C,A124,ForeDaily!D:D,B124,ForeDaily!E:E,C124),0)</f>
        <v/>
      </c>
      <c r="F124" s="55">
        <f>D124-E124</f>
        <v/>
      </c>
      <c r="G124" s="15">
        <f>E124/D124</f>
        <v/>
      </c>
      <c r="H124" s="4" t="n">
        <v>2</v>
      </c>
      <c r="I124" s="4" t="n">
        <v>3</v>
      </c>
      <c r="J124" s="55" t="n"/>
    </row>
    <row r="125">
      <c r="A125" s="57" t="n">
        <v>7</v>
      </c>
      <c r="B125" s="4" t="n">
        <v>2027</v>
      </c>
      <c r="C125" s="4" t="n">
        <v>4</v>
      </c>
      <c r="D125" s="55">
        <f>SUMIFS(Calendar!$F$1:$F$9997,Calendar!$B$1:$B$9997,ForeMonth!B125,Calendar!$C$1:$C$9997,ForeMonth!A125)</f>
        <v/>
      </c>
      <c r="E125" s="55">
        <f>ROUND(SUMIFS(ForeDaily!F:F,ForeDaily!C:C,A125,ForeDaily!D:D,B125,ForeDaily!E:E,C125),0)</f>
        <v/>
      </c>
      <c r="F125" s="55">
        <f>D125-E125</f>
        <v/>
      </c>
      <c r="G125" s="15">
        <f>E125/D125</f>
        <v/>
      </c>
      <c r="H125" s="4" t="n">
        <v>2</v>
      </c>
      <c r="I125" s="4" t="n">
        <v>4</v>
      </c>
      <c r="J125" s="55" t="n"/>
    </row>
    <row r="126">
      <c r="A126" s="57" t="n">
        <v>8</v>
      </c>
      <c r="B126" s="4" t="n">
        <v>2027</v>
      </c>
      <c r="C126" s="4" t="n">
        <v>4</v>
      </c>
      <c r="D126" s="55">
        <f>SUMIFS(Calendar!$F$1:$F$9997,Calendar!$B$1:$B$9997,ForeMonth!B126,Calendar!$C$1:$C$9997,ForeMonth!A126)</f>
        <v/>
      </c>
      <c r="E126" s="55">
        <f>ROUND(SUMIFS(ForeDaily!F:F,ForeDaily!C:C,A126,ForeDaily!D:D,B126,ForeDaily!E:E,C126),0)</f>
        <v/>
      </c>
      <c r="F126" s="55">
        <f>D126-E126</f>
        <v/>
      </c>
      <c r="G126" s="15">
        <f>E126/D126</f>
        <v/>
      </c>
      <c r="H126" s="4" t="n">
        <v>2</v>
      </c>
      <c r="I126" s="4" t="n">
        <v>5</v>
      </c>
      <c r="J126" s="55" t="n"/>
    </row>
    <row r="127">
      <c r="A127" s="57" t="n">
        <v>9</v>
      </c>
      <c r="B127" s="4" t="n">
        <v>2027</v>
      </c>
      <c r="C127" s="4" t="n">
        <v>4</v>
      </c>
      <c r="D127" s="55">
        <f>SUMIFS(Calendar!$F$1:$F$9997,Calendar!$B$1:$B$9997,ForeMonth!B127,Calendar!$C$1:$C$9997,ForeMonth!A127)</f>
        <v/>
      </c>
      <c r="E127" s="55">
        <f>ROUND(SUMIFS(ForeDaily!F:F,ForeDaily!C:C,A127,ForeDaily!D:D,B127,ForeDaily!E:E,C127),0)</f>
        <v/>
      </c>
      <c r="F127" s="55">
        <f>D127-E127</f>
        <v/>
      </c>
      <c r="G127" s="15">
        <f>E127/D127</f>
        <v/>
      </c>
      <c r="H127" s="4" t="n">
        <v>2</v>
      </c>
      <c r="I127" s="4" t="n">
        <v>6</v>
      </c>
      <c r="J127" s="55" t="n"/>
    </row>
    <row r="128">
      <c r="A128" s="57" t="n">
        <v>10</v>
      </c>
      <c r="B128" s="4" t="n">
        <v>2027</v>
      </c>
      <c r="C128" s="4" t="n">
        <v>4</v>
      </c>
      <c r="D128" s="55">
        <f>SUMIFS(Calendar!$F$1:$F$9997,Calendar!$B$1:$B$9997,ForeMonth!B128,Calendar!$C$1:$C$9997,ForeMonth!A128)</f>
        <v/>
      </c>
      <c r="E128" s="55">
        <f>ROUND(SUMIFS(ForeDaily!F:F,ForeDaily!C:C,A128,ForeDaily!D:D,B128,ForeDaily!E:E,C128),0)</f>
        <v/>
      </c>
      <c r="F128" s="55">
        <f>D128-E128</f>
        <v/>
      </c>
      <c r="G128" s="15">
        <f>E128/D128</f>
        <v/>
      </c>
      <c r="H128" s="4" t="n">
        <v>2</v>
      </c>
      <c r="I128" s="4" t="n">
        <v>7</v>
      </c>
      <c r="J128" s="55" t="n"/>
    </row>
    <row r="129">
      <c r="A129" s="57" t="n">
        <v>11</v>
      </c>
      <c r="B129" s="4" t="n">
        <v>2027</v>
      </c>
      <c r="C129" s="4" t="n">
        <v>4</v>
      </c>
      <c r="D129" s="55">
        <f>SUMIFS(Calendar!$F$1:$F$9997,Calendar!$B$1:$B$9997,ForeMonth!B129,Calendar!$C$1:$C$9997,ForeMonth!A129)</f>
        <v/>
      </c>
      <c r="E129" s="55">
        <f>ROUND(SUMIFS(ForeDaily!F:F,ForeDaily!C:C,A129,ForeDaily!D:D,B129,ForeDaily!E:E,C129),0)</f>
        <v/>
      </c>
      <c r="F129" s="55">
        <f>D129-E129</f>
        <v/>
      </c>
      <c r="G129" s="15">
        <f>E129/D129</f>
        <v/>
      </c>
      <c r="H129" s="4" t="n">
        <v>2</v>
      </c>
      <c r="I129" s="4" t="n">
        <v>8</v>
      </c>
      <c r="J129" s="55" t="n"/>
    </row>
    <row r="130">
      <c r="A130" s="57" t="n">
        <v>12</v>
      </c>
      <c r="B130" s="4" t="n">
        <v>2027</v>
      </c>
      <c r="C130" s="4" t="n">
        <v>4</v>
      </c>
      <c r="D130" s="55">
        <f>SUMIFS(Calendar!$F$1:$F$9997,Calendar!$B$1:$B$9997,ForeMonth!B130,Calendar!$C$1:$C$9997,ForeMonth!A130)</f>
        <v/>
      </c>
      <c r="E130" s="55">
        <f>ROUND(SUMIFS(ForeDaily!F:F,ForeDaily!C:C,A130,ForeDaily!D:D,B130,ForeDaily!E:E,C130),0)</f>
        <v/>
      </c>
      <c r="F130" s="55">
        <f>D130-E130</f>
        <v/>
      </c>
      <c r="G130" s="15">
        <f>E130/D130</f>
        <v/>
      </c>
      <c r="H130" s="4" t="n">
        <v>2</v>
      </c>
      <c r="I130" s="4" t="n">
        <v>9</v>
      </c>
      <c r="J130" s="55" t="n"/>
    </row>
    <row r="131">
      <c r="A131" s="57" t="n">
        <v>1</v>
      </c>
      <c r="B131" s="4" t="n">
        <v>2028</v>
      </c>
      <c r="C131" s="4" t="n">
        <v>4</v>
      </c>
      <c r="D131" s="55">
        <f>SUMIFS(Calendar!$F$1:$F$9997,Calendar!$B$1:$B$9997,ForeMonth!B131,Calendar!$C$1:$C$9997,ForeMonth!A131)</f>
        <v/>
      </c>
      <c r="E131" s="55">
        <f>ROUND(SUMIFS(ForeDaily!F:F,ForeDaily!C:C,A131,ForeDaily!D:D,B131,ForeDaily!E:E,C131),0)</f>
        <v/>
      </c>
      <c r="F131" s="55">
        <f>D131-E131</f>
        <v/>
      </c>
      <c r="G131" s="15">
        <f>E131/D131</f>
        <v/>
      </c>
      <c r="H131" s="4" t="n">
        <v>2</v>
      </c>
      <c r="I131" s="4" t="n">
        <v>10</v>
      </c>
      <c r="J131" s="55" t="n"/>
    </row>
    <row r="132">
      <c r="A132" s="57" t="n">
        <v>2</v>
      </c>
      <c r="B132" s="4" t="n">
        <v>2028</v>
      </c>
      <c r="C132" s="4" t="n">
        <v>4</v>
      </c>
      <c r="D132" s="55">
        <f>SUMIFS(Calendar!$F$1:$F$9997,Calendar!$B$1:$B$9997,ForeMonth!B132,Calendar!$C$1:$C$9997,ForeMonth!A132)</f>
        <v/>
      </c>
      <c r="E132" s="55">
        <f>ROUND(SUMIFS(ForeDaily!F:F,ForeDaily!C:C,A132,ForeDaily!D:D,B132,ForeDaily!E:E,C132),0)</f>
        <v/>
      </c>
      <c r="F132" s="55">
        <f>D132-E132</f>
        <v/>
      </c>
      <c r="G132" s="15">
        <f>E132/D132</f>
        <v/>
      </c>
      <c r="H132" s="4" t="n">
        <v>2</v>
      </c>
      <c r="I132" s="4" t="n">
        <v>11</v>
      </c>
      <c r="J132" s="55" t="n"/>
    </row>
    <row r="133">
      <c r="A133" s="57" t="n">
        <v>3</v>
      </c>
      <c r="B133" s="4" t="n">
        <v>2028</v>
      </c>
      <c r="C133" s="4" t="n">
        <v>4</v>
      </c>
      <c r="D133" s="55">
        <f>SUMIFS(Calendar!$F$1:$F$9997,Calendar!$B$1:$B$9997,ForeMonth!B133,Calendar!$C$1:$C$9997,ForeMonth!A133)</f>
        <v/>
      </c>
      <c r="E133" s="55">
        <f>ROUND(SUMIFS(ForeDaily!F:F,ForeDaily!C:C,A133,ForeDaily!D:D,B133,ForeDaily!E:E,C133),0)</f>
        <v/>
      </c>
      <c r="F133" s="55">
        <f>D133-E133</f>
        <v/>
      </c>
      <c r="G133" s="15">
        <f>E133/D133</f>
        <v/>
      </c>
      <c r="H133" s="4" t="n">
        <v>2</v>
      </c>
      <c r="I133" s="4" t="n">
        <v>12</v>
      </c>
      <c r="J133" s="55" t="n"/>
    </row>
    <row r="134">
      <c r="A134" s="57" t="n">
        <v>4</v>
      </c>
      <c r="B134" s="4" t="n">
        <v>2028</v>
      </c>
      <c r="C134" s="4" t="n">
        <v>4</v>
      </c>
      <c r="D134" s="55">
        <f>SUMIFS(Calendar!$F$1:$F$9997,Calendar!$B$1:$B$9997,ForeMonth!B134,Calendar!$C$1:$C$9997,ForeMonth!A134)</f>
        <v/>
      </c>
      <c r="E134" s="55">
        <f>ROUND(SUMIFS(ForeDaily!F:F,ForeDaily!C:C,A134,ForeDaily!D:D,B134,ForeDaily!E:E,C134),0)</f>
        <v/>
      </c>
      <c r="F134" s="55">
        <f>D134-E134</f>
        <v/>
      </c>
      <c r="G134" s="15">
        <f>E134/D134</f>
        <v/>
      </c>
      <c r="H134" s="4" t="n">
        <v>3</v>
      </c>
      <c r="I134" s="4" t="n">
        <v>1</v>
      </c>
      <c r="J134" s="55" t="n"/>
    </row>
    <row r="135">
      <c r="A135" s="57" t="n">
        <v>5</v>
      </c>
      <c r="B135" s="4" t="n">
        <v>2028</v>
      </c>
      <c r="C135" s="4" t="n">
        <v>4</v>
      </c>
      <c r="D135" s="55">
        <f>SUMIFS(Calendar!$F$1:$F$9997,Calendar!$B$1:$B$9997,ForeMonth!B135,Calendar!$C$1:$C$9997,ForeMonth!A135)</f>
        <v/>
      </c>
      <c r="E135" s="55">
        <f>ROUND(SUMIFS(ForeDaily!F:F,ForeDaily!C:C,A135,ForeDaily!D:D,B135,ForeDaily!E:E,C135),0)</f>
        <v/>
      </c>
      <c r="F135" s="55">
        <f>D135-E135</f>
        <v/>
      </c>
      <c r="G135" s="15">
        <f>E135/D135</f>
        <v/>
      </c>
      <c r="H135" s="4" t="n">
        <v>3</v>
      </c>
      <c r="I135" s="4" t="n">
        <v>2</v>
      </c>
      <c r="J135" s="55" t="n"/>
    </row>
    <row r="136">
      <c r="A136" s="57" t="n">
        <v>6</v>
      </c>
      <c r="B136" s="4" t="n">
        <v>2028</v>
      </c>
      <c r="C136" s="4" t="n">
        <v>4</v>
      </c>
      <c r="D136" s="55">
        <f>SUMIFS(Calendar!$F$1:$F$9997,Calendar!$B$1:$B$9997,ForeMonth!B136,Calendar!$C$1:$C$9997,ForeMonth!A136)</f>
        <v/>
      </c>
      <c r="E136" s="55">
        <f>ROUND(SUMIFS(ForeDaily!F:F,ForeDaily!C:C,A136,ForeDaily!D:D,B136,ForeDaily!E:E,C136),0)</f>
        <v/>
      </c>
      <c r="F136" s="55">
        <f>D136-E136</f>
        <v/>
      </c>
      <c r="G136" s="15">
        <f>E136/D136</f>
        <v/>
      </c>
      <c r="H136" s="4" t="n">
        <v>3</v>
      </c>
      <c r="I136" s="4" t="n">
        <v>3</v>
      </c>
      <c r="J136" s="55" t="n"/>
    </row>
    <row r="137">
      <c r="A137" s="57" t="n">
        <v>7</v>
      </c>
      <c r="B137" s="4" t="n">
        <v>2028</v>
      </c>
      <c r="C137" s="4" t="n">
        <v>4</v>
      </c>
      <c r="D137" s="55">
        <f>SUMIFS(Calendar!$F$1:$F$9997,Calendar!$B$1:$B$9997,ForeMonth!B137,Calendar!$C$1:$C$9997,ForeMonth!A137)</f>
        <v/>
      </c>
      <c r="E137" s="55">
        <f>ROUND(SUMIFS(ForeDaily!F:F,ForeDaily!C:C,A137,ForeDaily!D:D,B137,ForeDaily!E:E,C137),0)</f>
        <v/>
      </c>
      <c r="F137" s="55">
        <f>D137-E137</f>
        <v/>
      </c>
      <c r="G137" s="15">
        <f>E137/D137</f>
        <v/>
      </c>
      <c r="H137" s="4" t="n">
        <v>3</v>
      </c>
      <c r="I137" s="4" t="n">
        <v>4</v>
      </c>
      <c r="J137" s="55" t="n"/>
    </row>
    <row r="138">
      <c r="A138" s="57" t="n">
        <v>8</v>
      </c>
      <c r="B138" s="4" t="n">
        <v>2028</v>
      </c>
      <c r="C138" s="4" t="n">
        <v>4</v>
      </c>
      <c r="D138" s="55">
        <f>SUMIFS(Calendar!$F$1:$F$9997,Calendar!$B$1:$B$9997,ForeMonth!B138,Calendar!$C$1:$C$9997,ForeMonth!A138)</f>
        <v/>
      </c>
      <c r="E138" s="55">
        <f>ROUND(SUMIFS(ForeDaily!F:F,ForeDaily!C:C,A138,ForeDaily!D:D,B138,ForeDaily!E:E,C138),0)</f>
        <v/>
      </c>
      <c r="F138" s="55">
        <f>D138-E138</f>
        <v/>
      </c>
      <c r="G138" s="15">
        <f>E138/D138</f>
        <v/>
      </c>
      <c r="H138" s="4" t="n">
        <v>3</v>
      </c>
      <c r="I138" s="4" t="n">
        <v>5</v>
      </c>
      <c r="J138" s="55" t="n"/>
    </row>
    <row r="139">
      <c r="A139" s="57" t="n">
        <v>9</v>
      </c>
      <c r="B139" s="4" t="n">
        <v>2028</v>
      </c>
      <c r="C139" s="4" t="n">
        <v>4</v>
      </c>
      <c r="D139" s="55">
        <f>SUMIFS(Calendar!$F$1:$F$9997,Calendar!$B$1:$B$9997,ForeMonth!B139,Calendar!$C$1:$C$9997,ForeMonth!A139)</f>
        <v/>
      </c>
      <c r="E139" s="55">
        <f>ROUND(SUMIFS(ForeDaily!F:F,ForeDaily!C:C,A139,ForeDaily!D:D,B139,ForeDaily!E:E,C139),0)</f>
        <v/>
      </c>
      <c r="F139" s="55">
        <f>D139-E139</f>
        <v/>
      </c>
      <c r="G139" s="15">
        <f>E139/D139</f>
        <v/>
      </c>
      <c r="H139" s="4" t="n">
        <v>3</v>
      </c>
      <c r="I139" s="4" t="n">
        <v>6</v>
      </c>
      <c r="J139" s="55" t="n"/>
    </row>
    <row r="140">
      <c r="A140" s="57" t="n">
        <v>10</v>
      </c>
      <c r="B140" s="4" t="n">
        <v>2028</v>
      </c>
      <c r="C140" s="4" t="n">
        <v>4</v>
      </c>
      <c r="D140" s="55">
        <f>SUMIFS(Calendar!$F$1:$F$9997,Calendar!$B$1:$B$9997,ForeMonth!B140,Calendar!$C$1:$C$9997,ForeMonth!A140)</f>
        <v/>
      </c>
      <c r="E140" s="55">
        <f>ROUND(SUMIFS(ForeDaily!F:F,ForeDaily!C:C,A140,ForeDaily!D:D,B140,ForeDaily!E:E,C140),0)</f>
        <v/>
      </c>
      <c r="F140" s="55">
        <f>D140-E140</f>
        <v/>
      </c>
      <c r="G140" s="15">
        <f>E140/D140</f>
        <v/>
      </c>
      <c r="H140" s="4" t="n">
        <v>3</v>
      </c>
      <c r="I140" s="4" t="n">
        <v>7</v>
      </c>
      <c r="J140" s="55" t="n"/>
    </row>
    <row r="141">
      <c r="A141" s="57" t="n">
        <v>11</v>
      </c>
      <c r="B141" s="4" t="n">
        <v>2028</v>
      </c>
      <c r="C141" s="4" t="n">
        <v>4</v>
      </c>
      <c r="D141" s="55">
        <f>SUMIFS(Calendar!$F$1:$F$9997,Calendar!$B$1:$B$9997,ForeMonth!B141,Calendar!$C$1:$C$9997,ForeMonth!A141)</f>
        <v/>
      </c>
      <c r="E141" s="55">
        <f>ROUND(SUMIFS(ForeDaily!F:F,ForeDaily!C:C,A141,ForeDaily!D:D,B141,ForeDaily!E:E,C141),0)</f>
        <v/>
      </c>
      <c r="F141" s="55">
        <f>D141-E141</f>
        <v/>
      </c>
      <c r="G141" s="15">
        <f>E141/D141</f>
        <v/>
      </c>
      <c r="H141" s="4" t="n">
        <v>3</v>
      </c>
      <c r="I141" s="4" t="n">
        <v>8</v>
      </c>
      <c r="J141" s="55" t="n"/>
    </row>
    <row r="142">
      <c r="A142" s="57" t="n">
        <v>12</v>
      </c>
      <c r="B142" s="4" t="n">
        <v>2028</v>
      </c>
      <c r="C142" s="4" t="n">
        <v>4</v>
      </c>
      <c r="D142" s="55">
        <f>SUMIFS(Calendar!$F$1:$F$9997,Calendar!$B$1:$B$9997,ForeMonth!B142,Calendar!$C$1:$C$9997,ForeMonth!A142)</f>
        <v/>
      </c>
      <c r="E142" s="55">
        <f>ROUND(SUMIFS(ForeDaily!F:F,ForeDaily!C:C,A142,ForeDaily!D:D,B142,ForeDaily!E:E,C142),0)</f>
        <v/>
      </c>
      <c r="F142" s="55">
        <f>D142-E142</f>
        <v/>
      </c>
      <c r="G142" s="15">
        <f>E142/D142</f>
        <v/>
      </c>
      <c r="H142" s="4" t="n">
        <v>3</v>
      </c>
      <c r="I142" s="4" t="n">
        <v>9</v>
      </c>
      <c r="J142" s="55" t="n"/>
    </row>
    <row r="143">
      <c r="A143" s="57" t="n">
        <v>1</v>
      </c>
      <c r="B143" s="4" t="n">
        <v>2029</v>
      </c>
      <c r="C143" s="4" t="n">
        <v>4</v>
      </c>
      <c r="D143" s="55">
        <f>SUMIFS(Calendar!$F$1:$F$9997,Calendar!$B$1:$B$9997,ForeMonth!B143,Calendar!$C$1:$C$9997,ForeMonth!A143)</f>
        <v/>
      </c>
      <c r="E143" s="55">
        <f>ROUND(SUMIFS(ForeDaily!F:F,ForeDaily!C:C,A143,ForeDaily!D:D,B143,ForeDaily!E:E,C143),0)</f>
        <v/>
      </c>
      <c r="F143" s="55">
        <f>D143-E143</f>
        <v/>
      </c>
      <c r="G143" s="15">
        <f>E143/D143</f>
        <v/>
      </c>
      <c r="H143" s="4" t="n">
        <v>3</v>
      </c>
      <c r="I143" s="4" t="n">
        <v>10</v>
      </c>
      <c r="J143" s="55" t="n"/>
    </row>
    <row r="144">
      <c r="A144" s="57" t="n">
        <v>2</v>
      </c>
      <c r="B144" s="4" t="n">
        <v>2029</v>
      </c>
      <c r="C144" s="4" t="n">
        <v>4</v>
      </c>
      <c r="D144" s="55">
        <f>SUMIFS(Calendar!$F$1:$F$9997,Calendar!$B$1:$B$9997,ForeMonth!B144,Calendar!$C$1:$C$9997,ForeMonth!A144)</f>
        <v/>
      </c>
      <c r="E144" s="55">
        <f>ROUND(SUMIFS(ForeDaily!F:F,ForeDaily!C:C,A144,ForeDaily!D:D,B144,ForeDaily!E:E,C144),0)</f>
        <v/>
      </c>
      <c r="F144" s="55">
        <f>D144-E144</f>
        <v/>
      </c>
      <c r="G144" s="15">
        <f>E144/D144</f>
        <v/>
      </c>
      <c r="H144" s="4" t="n">
        <v>3</v>
      </c>
      <c r="I144" s="4" t="n">
        <v>11</v>
      </c>
      <c r="J144" s="55" t="n"/>
    </row>
    <row r="145">
      <c r="A145" s="57" t="n">
        <v>3</v>
      </c>
      <c r="B145" s="4" t="n">
        <v>2029</v>
      </c>
      <c r="C145" s="4" t="n">
        <v>4</v>
      </c>
      <c r="D145" s="55">
        <f>SUMIFS(Calendar!$F$1:$F$9997,Calendar!$B$1:$B$9997,ForeMonth!B145,Calendar!$C$1:$C$9997,ForeMonth!A145)</f>
        <v/>
      </c>
      <c r="E145" s="55">
        <f>ROUND(SUMIFS(ForeDaily!F:F,ForeDaily!C:C,A145,ForeDaily!D:D,B145,ForeDaily!E:E,C145),0)</f>
        <v/>
      </c>
      <c r="F145" s="55">
        <f>D145-E145</f>
        <v/>
      </c>
      <c r="G145" s="15">
        <f>E145/D145</f>
        <v/>
      </c>
      <c r="H145" s="4" t="n">
        <v>3</v>
      </c>
      <c r="I145" s="4" t="n">
        <v>12</v>
      </c>
      <c r="J145" s="55" t="n"/>
    </row>
    <row r="146">
      <c r="A146" s="57" t="n">
        <v>4</v>
      </c>
      <c r="B146" s="4" t="n">
        <v>2026</v>
      </c>
      <c r="C146" s="4" t="n">
        <v>5</v>
      </c>
      <c r="D146" s="55">
        <f>SUMIFS(Calendar!$F$1:$F$9997,Calendar!$B$1:$B$9997,ForeMonth!B146,Calendar!$C$1:$C$9997,ForeMonth!A146)</f>
        <v/>
      </c>
      <c r="E146" s="55">
        <f>ROUND(SUMIFS(ForeDaily!F:F,ForeDaily!C:C,A146,ForeDaily!D:D,B146,ForeDaily!E:E,C146),0)</f>
        <v/>
      </c>
      <c r="F146" s="55">
        <f>D146-E146</f>
        <v/>
      </c>
      <c r="G146" s="15">
        <f>E146/D146</f>
        <v/>
      </c>
      <c r="H146" s="4" t="n">
        <v>1</v>
      </c>
      <c r="I146" s="4" t="n">
        <v>1</v>
      </c>
      <c r="J146" s="55" t="n"/>
    </row>
    <row r="147">
      <c r="A147" s="57" t="n">
        <v>5</v>
      </c>
      <c r="B147" s="4" t="n">
        <v>2026</v>
      </c>
      <c r="C147" s="4" t="n">
        <v>5</v>
      </c>
      <c r="D147" s="55">
        <f>SUMIFS(Calendar!$F$1:$F$9997,Calendar!$B$1:$B$9997,ForeMonth!B147,Calendar!$C$1:$C$9997,ForeMonth!A147)</f>
        <v/>
      </c>
      <c r="E147" s="55">
        <f>ROUND(SUMIFS(ForeDaily!F:F,ForeDaily!C:C,A147,ForeDaily!D:D,B147,ForeDaily!E:E,C147),0)</f>
        <v/>
      </c>
      <c r="F147" s="55">
        <f>D147-E147</f>
        <v/>
      </c>
      <c r="G147" s="15">
        <f>E147/D147</f>
        <v/>
      </c>
      <c r="H147" s="4" t="n">
        <v>1</v>
      </c>
      <c r="I147" s="4" t="n">
        <v>2</v>
      </c>
      <c r="J147" s="55" t="n"/>
    </row>
    <row r="148">
      <c r="A148" s="57" t="n">
        <v>6</v>
      </c>
      <c r="B148" s="4" t="n">
        <v>2026</v>
      </c>
      <c r="C148" s="4" t="n">
        <v>5</v>
      </c>
      <c r="D148" s="55">
        <f>SUMIFS(Calendar!$F$1:$F$9997,Calendar!$B$1:$B$9997,ForeMonth!B148,Calendar!$C$1:$C$9997,ForeMonth!A148)</f>
        <v/>
      </c>
      <c r="E148" s="55">
        <f>ROUND(SUMIFS(ForeDaily!F:F,ForeDaily!C:C,A148,ForeDaily!D:D,B148,ForeDaily!E:E,C148),0)</f>
        <v/>
      </c>
      <c r="F148" s="55">
        <f>D148-E148</f>
        <v/>
      </c>
      <c r="G148" s="15">
        <f>E148/D148</f>
        <v/>
      </c>
      <c r="H148" s="4" t="n">
        <v>1</v>
      </c>
      <c r="I148" s="4" t="n">
        <v>3</v>
      </c>
      <c r="J148" s="55" t="n"/>
    </row>
    <row r="149">
      <c r="A149" s="57" t="n">
        <v>7</v>
      </c>
      <c r="B149" s="4" t="n">
        <v>2026</v>
      </c>
      <c r="C149" s="4" t="n">
        <v>5</v>
      </c>
      <c r="D149" s="55">
        <f>SUMIFS(Calendar!$F$1:$F$9997,Calendar!$B$1:$B$9997,ForeMonth!B149,Calendar!$C$1:$C$9997,ForeMonth!A149)</f>
        <v/>
      </c>
      <c r="E149" s="55">
        <f>ROUND(SUMIFS(ForeDaily!F:F,ForeDaily!C:C,A149,ForeDaily!D:D,B149,ForeDaily!E:E,C149),0)</f>
        <v/>
      </c>
      <c r="F149" s="55">
        <f>D149-E149</f>
        <v/>
      </c>
      <c r="G149" s="15">
        <f>E149/D149</f>
        <v/>
      </c>
      <c r="H149" s="4" t="n">
        <v>1</v>
      </c>
      <c r="I149" s="4" t="n">
        <v>4</v>
      </c>
      <c r="J149" s="55" t="n"/>
    </row>
    <row r="150">
      <c r="A150" s="57" t="n">
        <v>8</v>
      </c>
      <c r="B150" s="4" t="n">
        <v>2026</v>
      </c>
      <c r="C150" s="4" t="n">
        <v>5</v>
      </c>
      <c r="D150" s="55">
        <f>SUMIFS(Calendar!$F$1:$F$9997,Calendar!$B$1:$B$9997,ForeMonth!B150,Calendar!$C$1:$C$9997,ForeMonth!A150)</f>
        <v/>
      </c>
      <c r="E150" s="55">
        <f>ROUND(SUMIFS(ForeDaily!F:F,ForeDaily!C:C,A150,ForeDaily!D:D,B150,ForeDaily!E:E,C150),0)</f>
        <v/>
      </c>
      <c r="F150" s="55">
        <f>D150-E150</f>
        <v/>
      </c>
      <c r="G150" s="15">
        <f>E150/D150</f>
        <v/>
      </c>
      <c r="H150" s="4" t="n">
        <v>1</v>
      </c>
      <c r="I150" s="4" t="n">
        <v>5</v>
      </c>
      <c r="J150" s="55" t="n"/>
    </row>
    <row r="151">
      <c r="A151" s="57" t="n">
        <v>9</v>
      </c>
      <c r="B151" s="4" t="n">
        <v>2026</v>
      </c>
      <c r="C151" s="4" t="n">
        <v>5</v>
      </c>
      <c r="D151" s="55">
        <f>SUMIFS(Calendar!$F$1:$F$9997,Calendar!$B$1:$B$9997,ForeMonth!B151,Calendar!$C$1:$C$9997,ForeMonth!A151)</f>
        <v/>
      </c>
      <c r="E151" s="55">
        <f>ROUND(SUMIFS(ForeDaily!F:F,ForeDaily!C:C,A151,ForeDaily!D:D,B151,ForeDaily!E:E,C151),0)</f>
        <v/>
      </c>
      <c r="F151" s="55">
        <f>D151-E151</f>
        <v/>
      </c>
      <c r="G151" s="15">
        <f>E151/D151</f>
        <v/>
      </c>
      <c r="H151" s="4" t="n">
        <v>1</v>
      </c>
      <c r="I151" s="4" t="n">
        <v>6</v>
      </c>
      <c r="J151" s="55" t="n"/>
    </row>
    <row r="152">
      <c r="A152" s="57" t="n">
        <v>10</v>
      </c>
      <c r="B152" s="4" t="n">
        <v>2026</v>
      </c>
      <c r="C152" s="4" t="n">
        <v>5</v>
      </c>
      <c r="D152" s="55">
        <f>SUMIFS(Calendar!$F$1:$F$9997,Calendar!$B$1:$B$9997,ForeMonth!B152,Calendar!$C$1:$C$9997,ForeMonth!A152)</f>
        <v/>
      </c>
      <c r="E152" s="55">
        <f>ROUND(SUMIFS(ForeDaily!F:F,ForeDaily!C:C,A152,ForeDaily!D:D,B152,ForeDaily!E:E,C152),0)</f>
        <v/>
      </c>
      <c r="F152" s="55">
        <f>D152-E152</f>
        <v/>
      </c>
      <c r="G152" s="15">
        <f>E152/D152</f>
        <v/>
      </c>
      <c r="H152" s="4" t="n">
        <v>1</v>
      </c>
      <c r="I152" s="4" t="n">
        <v>7</v>
      </c>
      <c r="J152" s="55" t="n"/>
    </row>
    <row r="153">
      <c r="A153" s="57" t="n">
        <v>11</v>
      </c>
      <c r="B153" s="4" t="n">
        <v>2026</v>
      </c>
      <c r="C153" s="4" t="n">
        <v>5</v>
      </c>
      <c r="D153" s="55">
        <f>SUMIFS(Calendar!$F$1:$F$9997,Calendar!$B$1:$B$9997,ForeMonth!B153,Calendar!$C$1:$C$9997,ForeMonth!A153)</f>
        <v/>
      </c>
      <c r="E153" s="55">
        <f>ROUND(SUMIFS(ForeDaily!F:F,ForeDaily!C:C,A153,ForeDaily!D:D,B153,ForeDaily!E:E,C153),0)</f>
        <v/>
      </c>
      <c r="F153" s="55">
        <f>D153-E153</f>
        <v/>
      </c>
      <c r="G153" s="15">
        <f>E153/D153</f>
        <v/>
      </c>
      <c r="H153" s="4" t="n">
        <v>1</v>
      </c>
      <c r="I153" s="4" t="n">
        <v>8</v>
      </c>
      <c r="J153" s="55" t="n"/>
    </row>
    <row r="154">
      <c r="A154" s="57" t="n">
        <v>12</v>
      </c>
      <c r="B154" s="4" t="n">
        <v>2026</v>
      </c>
      <c r="C154" s="4" t="n">
        <v>5</v>
      </c>
      <c r="D154" s="55">
        <f>SUMIFS(Calendar!$F$1:$F$9997,Calendar!$B$1:$B$9997,ForeMonth!B154,Calendar!$C$1:$C$9997,ForeMonth!A154)</f>
        <v/>
      </c>
      <c r="E154" s="55">
        <f>ROUND(SUMIFS(ForeDaily!F:F,ForeDaily!C:C,A154,ForeDaily!D:D,B154,ForeDaily!E:E,C154),0)</f>
        <v/>
      </c>
      <c r="F154" s="55">
        <f>D154-E154</f>
        <v/>
      </c>
      <c r="G154" s="15">
        <f>E154/D154</f>
        <v/>
      </c>
      <c r="H154" s="4" t="n">
        <v>1</v>
      </c>
      <c r="I154" s="4" t="n">
        <v>9</v>
      </c>
      <c r="J154" s="55" t="n"/>
    </row>
    <row r="155">
      <c r="A155" s="57" t="n">
        <v>1</v>
      </c>
      <c r="B155" s="4" t="n">
        <v>2027</v>
      </c>
      <c r="C155" s="4" t="n">
        <v>5</v>
      </c>
      <c r="D155" s="55">
        <f>SUMIFS(Calendar!$F$1:$F$9997,Calendar!$B$1:$B$9997,ForeMonth!B155,Calendar!$C$1:$C$9997,ForeMonth!A155)</f>
        <v/>
      </c>
      <c r="E155" s="55">
        <f>ROUND(SUMIFS(ForeDaily!F:F,ForeDaily!C:C,A155,ForeDaily!D:D,B155,ForeDaily!E:E,C155),0)</f>
        <v/>
      </c>
      <c r="F155" s="55">
        <f>D155-E155</f>
        <v/>
      </c>
      <c r="G155" s="15">
        <f>E155/D155</f>
        <v/>
      </c>
      <c r="H155" s="4" t="n">
        <v>1</v>
      </c>
      <c r="I155" s="4" t="n">
        <v>10</v>
      </c>
      <c r="J155" s="55" t="n"/>
    </row>
    <row r="156">
      <c r="A156" s="57" t="n">
        <v>2</v>
      </c>
      <c r="B156" s="4" t="n">
        <v>2027</v>
      </c>
      <c r="C156" s="4" t="n">
        <v>5</v>
      </c>
      <c r="D156" s="55">
        <f>SUMIFS(Calendar!$F$1:$F$9997,Calendar!$B$1:$B$9997,ForeMonth!B156,Calendar!$C$1:$C$9997,ForeMonth!A156)</f>
        <v/>
      </c>
      <c r="E156" s="55">
        <f>ROUND(SUMIFS(ForeDaily!F:F,ForeDaily!C:C,A156,ForeDaily!D:D,B156,ForeDaily!E:E,C156),0)</f>
        <v/>
      </c>
      <c r="F156" s="55">
        <f>D156-E156</f>
        <v/>
      </c>
      <c r="G156" s="15">
        <f>E156/D156</f>
        <v/>
      </c>
      <c r="H156" s="4" t="n">
        <v>1</v>
      </c>
      <c r="I156" s="4" t="n">
        <v>11</v>
      </c>
      <c r="J156" s="55" t="n"/>
    </row>
    <row r="157">
      <c r="A157" s="57" t="n">
        <v>3</v>
      </c>
      <c r="B157" s="4" t="n">
        <v>2027</v>
      </c>
      <c r="C157" s="4" t="n">
        <v>5</v>
      </c>
      <c r="D157" s="55">
        <f>SUMIFS(Calendar!$F$1:$F$9997,Calendar!$B$1:$B$9997,ForeMonth!B157,Calendar!$C$1:$C$9997,ForeMonth!A157)</f>
        <v/>
      </c>
      <c r="E157" s="55">
        <f>ROUND(SUMIFS(ForeDaily!F:F,ForeDaily!C:C,A157,ForeDaily!D:D,B157,ForeDaily!E:E,C157),0)</f>
        <v/>
      </c>
      <c r="F157" s="55">
        <f>D157-E157</f>
        <v/>
      </c>
      <c r="G157" s="15">
        <f>E157/D157</f>
        <v/>
      </c>
      <c r="H157" s="4" t="n">
        <v>1</v>
      </c>
      <c r="I157" s="4" t="n">
        <v>12</v>
      </c>
      <c r="J157" s="55" t="n"/>
    </row>
    <row r="158">
      <c r="A158" s="57" t="n">
        <v>4</v>
      </c>
      <c r="B158" s="4" t="n">
        <v>2027</v>
      </c>
      <c r="C158" s="4" t="n">
        <v>5</v>
      </c>
      <c r="D158" s="55">
        <f>SUMIFS(Calendar!$F$1:$F$9997,Calendar!$B$1:$B$9997,ForeMonth!B158,Calendar!$C$1:$C$9997,ForeMonth!A158)</f>
        <v/>
      </c>
      <c r="E158" s="55">
        <f>ROUND(SUMIFS(ForeDaily!F:F,ForeDaily!C:C,A158,ForeDaily!D:D,B158,ForeDaily!E:E,C158),0)</f>
        <v/>
      </c>
      <c r="F158" s="55">
        <f>D158-E158</f>
        <v/>
      </c>
      <c r="G158" s="15">
        <f>E158/D158</f>
        <v/>
      </c>
      <c r="H158" s="4" t="n">
        <v>2</v>
      </c>
      <c r="I158" s="4" t="n">
        <v>1</v>
      </c>
      <c r="J158" s="55" t="n"/>
    </row>
    <row r="159">
      <c r="A159" s="57" t="n">
        <v>5</v>
      </c>
      <c r="B159" s="4" t="n">
        <v>2027</v>
      </c>
      <c r="C159" s="4" t="n">
        <v>5</v>
      </c>
      <c r="D159" s="55">
        <f>SUMIFS(Calendar!$F$1:$F$9997,Calendar!$B$1:$B$9997,ForeMonth!B159,Calendar!$C$1:$C$9997,ForeMonth!A159)</f>
        <v/>
      </c>
      <c r="E159" s="55">
        <f>ROUND(SUMIFS(ForeDaily!F:F,ForeDaily!C:C,A159,ForeDaily!D:D,B159,ForeDaily!E:E,C159),0)</f>
        <v/>
      </c>
      <c r="F159" s="55">
        <f>D159-E159</f>
        <v/>
      </c>
      <c r="G159" s="15">
        <f>E159/D159</f>
        <v/>
      </c>
      <c r="H159" s="4" t="n">
        <v>2</v>
      </c>
      <c r="I159" s="4" t="n">
        <v>2</v>
      </c>
      <c r="J159" s="55" t="n"/>
    </row>
    <row r="160">
      <c r="A160" s="57" t="n">
        <v>6</v>
      </c>
      <c r="B160" s="4" t="n">
        <v>2027</v>
      </c>
      <c r="C160" s="4" t="n">
        <v>5</v>
      </c>
      <c r="D160" s="55">
        <f>SUMIFS(Calendar!$F$1:$F$9997,Calendar!$B$1:$B$9997,ForeMonth!B160,Calendar!$C$1:$C$9997,ForeMonth!A160)</f>
        <v/>
      </c>
      <c r="E160" s="55">
        <f>ROUND(SUMIFS(ForeDaily!F:F,ForeDaily!C:C,A160,ForeDaily!D:D,B160,ForeDaily!E:E,C160),0)</f>
        <v/>
      </c>
      <c r="F160" s="55">
        <f>D160-E160</f>
        <v/>
      </c>
      <c r="G160" s="15">
        <f>E160/D160</f>
        <v/>
      </c>
      <c r="H160" s="4" t="n">
        <v>2</v>
      </c>
      <c r="I160" s="4" t="n">
        <v>3</v>
      </c>
      <c r="J160" s="55" t="n"/>
    </row>
    <row r="161">
      <c r="A161" s="57" t="n">
        <v>7</v>
      </c>
      <c r="B161" s="4" t="n">
        <v>2027</v>
      </c>
      <c r="C161" s="4" t="n">
        <v>5</v>
      </c>
      <c r="D161" s="55">
        <f>SUMIFS(Calendar!$F$1:$F$9997,Calendar!$B$1:$B$9997,ForeMonth!B161,Calendar!$C$1:$C$9997,ForeMonth!A161)</f>
        <v/>
      </c>
      <c r="E161" s="55">
        <f>ROUND(SUMIFS(ForeDaily!F:F,ForeDaily!C:C,A161,ForeDaily!D:D,B161,ForeDaily!E:E,C161),0)</f>
        <v/>
      </c>
      <c r="F161" s="55">
        <f>D161-E161</f>
        <v/>
      </c>
      <c r="G161" s="15">
        <f>E161/D161</f>
        <v/>
      </c>
      <c r="H161" s="4" t="n">
        <v>2</v>
      </c>
      <c r="I161" s="4" t="n">
        <v>4</v>
      </c>
      <c r="J161" s="55" t="n"/>
    </row>
    <row r="162">
      <c r="A162" s="57" t="n">
        <v>8</v>
      </c>
      <c r="B162" s="4" t="n">
        <v>2027</v>
      </c>
      <c r="C162" s="4" t="n">
        <v>5</v>
      </c>
      <c r="D162" s="55">
        <f>SUMIFS(Calendar!$F$1:$F$9997,Calendar!$B$1:$B$9997,ForeMonth!B162,Calendar!$C$1:$C$9997,ForeMonth!A162)</f>
        <v/>
      </c>
      <c r="E162" s="55">
        <f>ROUND(SUMIFS(ForeDaily!F:F,ForeDaily!C:C,A162,ForeDaily!D:D,B162,ForeDaily!E:E,C162),0)</f>
        <v/>
      </c>
      <c r="F162" s="55">
        <f>D162-E162</f>
        <v/>
      </c>
      <c r="G162" s="15">
        <f>E162/D162</f>
        <v/>
      </c>
      <c r="H162" s="4" t="n">
        <v>2</v>
      </c>
      <c r="I162" s="4" t="n">
        <v>5</v>
      </c>
      <c r="J162" s="55" t="n"/>
    </row>
    <row r="163">
      <c r="A163" s="57" t="n">
        <v>9</v>
      </c>
      <c r="B163" s="4" t="n">
        <v>2027</v>
      </c>
      <c r="C163" s="4" t="n">
        <v>5</v>
      </c>
      <c r="D163" s="55">
        <f>SUMIFS(Calendar!$F$1:$F$9997,Calendar!$B$1:$B$9997,ForeMonth!B163,Calendar!$C$1:$C$9997,ForeMonth!A163)</f>
        <v/>
      </c>
      <c r="E163" s="55">
        <f>ROUND(SUMIFS(ForeDaily!F:F,ForeDaily!C:C,A163,ForeDaily!D:D,B163,ForeDaily!E:E,C163),0)</f>
        <v/>
      </c>
      <c r="F163" s="55">
        <f>D163-E163</f>
        <v/>
      </c>
      <c r="G163" s="15">
        <f>E163/D163</f>
        <v/>
      </c>
      <c r="H163" s="4" t="n">
        <v>2</v>
      </c>
      <c r="I163" s="4" t="n">
        <v>6</v>
      </c>
      <c r="J163" s="55" t="n"/>
    </row>
    <row r="164">
      <c r="A164" s="57" t="n">
        <v>10</v>
      </c>
      <c r="B164" s="4" t="n">
        <v>2027</v>
      </c>
      <c r="C164" s="4" t="n">
        <v>5</v>
      </c>
      <c r="D164" s="55">
        <f>SUMIFS(Calendar!$F$1:$F$9997,Calendar!$B$1:$B$9997,ForeMonth!B164,Calendar!$C$1:$C$9997,ForeMonth!A164)</f>
        <v/>
      </c>
      <c r="E164" s="55">
        <f>ROUND(SUMIFS(ForeDaily!F:F,ForeDaily!C:C,A164,ForeDaily!D:D,B164,ForeDaily!E:E,C164),0)</f>
        <v/>
      </c>
      <c r="F164" s="55">
        <f>D164-E164</f>
        <v/>
      </c>
      <c r="G164" s="15">
        <f>E164/D164</f>
        <v/>
      </c>
      <c r="H164" s="4" t="n">
        <v>2</v>
      </c>
      <c r="I164" s="4" t="n">
        <v>7</v>
      </c>
      <c r="J164" s="55" t="n"/>
    </row>
    <row r="165">
      <c r="A165" s="57" t="n">
        <v>11</v>
      </c>
      <c r="B165" s="4" t="n">
        <v>2027</v>
      </c>
      <c r="C165" s="4" t="n">
        <v>5</v>
      </c>
      <c r="D165" s="55">
        <f>SUMIFS(Calendar!$F$1:$F$9997,Calendar!$B$1:$B$9997,ForeMonth!B165,Calendar!$C$1:$C$9997,ForeMonth!A165)</f>
        <v/>
      </c>
      <c r="E165" s="55">
        <f>ROUND(SUMIFS(ForeDaily!F:F,ForeDaily!C:C,A165,ForeDaily!D:D,B165,ForeDaily!E:E,C165),0)</f>
        <v/>
      </c>
      <c r="F165" s="55">
        <f>D165-E165</f>
        <v/>
      </c>
      <c r="G165" s="15">
        <f>E165/D165</f>
        <v/>
      </c>
      <c r="H165" s="4" t="n">
        <v>2</v>
      </c>
      <c r="I165" s="4" t="n">
        <v>8</v>
      </c>
      <c r="J165" s="55" t="n"/>
    </row>
    <row r="166">
      <c r="A166" s="57" t="n">
        <v>12</v>
      </c>
      <c r="B166" s="4" t="n">
        <v>2027</v>
      </c>
      <c r="C166" s="4" t="n">
        <v>5</v>
      </c>
      <c r="D166" s="55">
        <f>SUMIFS(Calendar!$F$1:$F$9997,Calendar!$B$1:$B$9997,ForeMonth!B166,Calendar!$C$1:$C$9997,ForeMonth!A166)</f>
        <v/>
      </c>
      <c r="E166" s="55">
        <f>ROUND(SUMIFS(ForeDaily!F:F,ForeDaily!C:C,A166,ForeDaily!D:D,B166,ForeDaily!E:E,C166),0)</f>
        <v/>
      </c>
      <c r="F166" s="55">
        <f>D166-E166</f>
        <v/>
      </c>
      <c r="G166" s="15">
        <f>E166/D166</f>
        <v/>
      </c>
      <c r="H166" s="4" t="n">
        <v>2</v>
      </c>
      <c r="I166" s="4" t="n">
        <v>9</v>
      </c>
      <c r="J166" s="55" t="n"/>
    </row>
    <row r="167">
      <c r="A167" s="57" t="n">
        <v>1</v>
      </c>
      <c r="B167" s="4" t="n">
        <v>2028</v>
      </c>
      <c r="C167" s="4" t="n">
        <v>5</v>
      </c>
      <c r="D167" s="55">
        <f>SUMIFS(Calendar!$F$1:$F$9997,Calendar!$B$1:$B$9997,ForeMonth!B167,Calendar!$C$1:$C$9997,ForeMonth!A167)</f>
        <v/>
      </c>
      <c r="E167" s="55">
        <f>ROUND(SUMIFS(ForeDaily!F:F,ForeDaily!C:C,A167,ForeDaily!D:D,B167,ForeDaily!E:E,C167),0)</f>
        <v/>
      </c>
      <c r="F167" s="55">
        <f>D167-E167</f>
        <v/>
      </c>
      <c r="G167" s="15">
        <f>E167/D167</f>
        <v/>
      </c>
      <c r="H167" s="4" t="n">
        <v>2</v>
      </c>
      <c r="I167" s="4" t="n">
        <v>10</v>
      </c>
      <c r="J167" s="55" t="n"/>
    </row>
    <row r="168">
      <c r="A168" s="57" t="n">
        <v>2</v>
      </c>
      <c r="B168" s="4" t="n">
        <v>2028</v>
      </c>
      <c r="C168" s="4" t="n">
        <v>5</v>
      </c>
      <c r="D168" s="55">
        <f>SUMIFS(Calendar!$F$1:$F$9997,Calendar!$B$1:$B$9997,ForeMonth!B168,Calendar!$C$1:$C$9997,ForeMonth!A168)</f>
        <v/>
      </c>
      <c r="E168" s="55">
        <f>ROUND(SUMIFS(ForeDaily!F:F,ForeDaily!C:C,A168,ForeDaily!D:D,B168,ForeDaily!E:E,C168),0)</f>
        <v/>
      </c>
      <c r="F168" s="55">
        <f>D168-E168</f>
        <v/>
      </c>
      <c r="G168" s="15">
        <f>E168/D168</f>
        <v/>
      </c>
      <c r="H168" s="4" t="n">
        <v>2</v>
      </c>
      <c r="I168" s="4" t="n">
        <v>11</v>
      </c>
      <c r="J168" s="55" t="n"/>
    </row>
    <row r="169">
      <c r="A169" s="57" t="n">
        <v>3</v>
      </c>
      <c r="B169" s="4" t="n">
        <v>2028</v>
      </c>
      <c r="C169" s="4" t="n">
        <v>5</v>
      </c>
      <c r="D169" s="55">
        <f>SUMIFS(Calendar!$F$1:$F$9997,Calendar!$B$1:$B$9997,ForeMonth!B169,Calendar!$C$1:$C$9997,ForeMonth!A169)</f>
        <v/>
      </c>
      <c r="E169" s="55">
        <f>ROUND(SUMIFS(ForeDaily!F:F,ForeDaily!C:C,A169,ForeDaily!D:D,B169,ForeDaily!E:E,C169),0)</f>
        <v/>
      </c>
      <c r="F169" s="55">
        <f>D169-E169</f>
        <v/>
      </c>
      <c r="G169" s="15">
        <f>E169/D169</f>
        <v/>
      </c>
      <c r="H169" s="4" t="n">
        <v>2</v>
      </c>
      <c r="I169" s="4" t="n">
        <v>12</v>
      </c>
      <c r="J169" s="55" t="n"/>
    </row>
    <row r="170">
      <c r="A170" s="57" t="n">
        <v>4</v>
      </c>
      <c r="B170" s="4" t="n">
        <v>2028</v>
      </c>
      <c r="C170" s="4" t="n">
        <v>5</v>
      </c>
      <c r="D170" s="55">
        <f>SUMIFS(Calendar!$F$1:$F$9997,Calendar!$B$1:$B$9997,ForeMonth!B170,Calendar!$C$1:$C$9997,ForeMonth!A170)</f>
        <v/>
      </c>
      <c r="E170" s="55">
        <f>ROUND(SUMIFS(ForeDaily!F:F,ForeDaily!C:C,A170,ForeDaily!D:D,B170,ForeDaily!E:E,C170),0)</f>
        <v/>
      </c>
      <c r="F170" s="55">
        <f>D170-E170</f>
        <v/>
      </c>
      <c r="G170" s="15">
        <f>E170/D170</f>
        <v/>
      </c>
      <c r="H170" s="4" t="n">
        <v>3</v>
      </c>
      <c r="I170" s="4" t="n">
        <v>1</v>
      </c>
      <c r="J170" s="55" t="n"/>
    </row>
    <row r="171">
      <c r="A171" s="57" t="n">
        <v>5</v>
      </c>
      <c r="B171" s="4" t="n">
        <v>2028</v>
      </c>
      <c r="C171" s="4" t="n">
        <v>5</v>
      </c>
      <c r="D171" s="55">
        <f>SUMIFS(Calendar!$F$1:$F$9997,Calendar!$B$1:$B$9997,ForeMonth!B171,Calendar!$C$1:$C$9997,ForeMonth!A171)</f>
        <v/>
      </c>
      <c r="E171" s="55">
        <f>ROUND(SUMIFS(ForeDaily!F:F,ForeDaily!C:C,A171,ForeDaily!D:D,B171,ForeDaily!E:E,C171),0)</f>
        <v/>
      </c>
      <c r="F171" s="55">
        <f>D171-E171</f>
        <v/>
      </c>
      <c r="G171" s="15">
        <f>E171/D171</f>
        <v/>
      </c>
      <c r="H171" s="4" t="n">
        <v>3</v>
      </c>
      <c r="I171" s="4" t="n">
        <v>2</v>
      </c>
      <c r="J171" s="55" t="n"/>
    </row>
    <row r="172">
      <c r="A172" s="57" t="n">
        <v>6</v>
      </c>
      <c r="B172" s="4" t="n">
        <v>2028</v>
      </c>
      <c r="C172" s="4" t="n">
        <v>5</v>
      </c>
      <c r="D172" s="55">
        <f>SUMIFS(Calendar!$F$1:$F$9997,Calendar!$B$1:$B$9997,ForeMonth!B172,Calendar!$C$1:$C$9997,ForeMonth!A172)</f>
        <v/>
      </c>
      <c r="E172" s="55">
        <f>ROUND(SUMIFS(ForeDaily!F:F,ForeDaily!C:C,A172,ForeDaily!D:D,B172,ForeDaily!E:E,C172),0)</f>
        <v/>
      </c>
      <c r="F172" s="55">
        <f>D172-E172</f>
        <v/>
      </c>
      <c r="G172" s="15">
        <f>E172/D172</f>
        <v/>
      </c>
      <c r="H172" s="4" t="n">
        <v>3</v>
      </c>
      <c r="I172" s="4" t="n">
        <v>3</v>
      </c>
      <c r="J172" s="55" t="n"/>
    </row>
    <row r="173">
      <c r="A173" s="57" t="n">
        <v>7</v>
      </c>
      <c r="B173" s="4" t="n">
        <v>2028</v>
      </c>
      <c r="C173" s="4" t="n">
        <v>5</v>
      </c>
      <c r="D173" s="55">
        <f>SUMIFS(Calendar!$F$1:$F$9997,Calendar!$B$1:$B$9997,ForeMonth!B173,Calendar!$C$1:$C$9997,ForeMonth!A173)</f>
        <v/>
      </c>
      <c r="E173" s="55">
        <f>ROUND(SUMIFS(ForeDaily!F:F,ForeDaily!C:C,A173,ForeDaily!D:D,B173,ForeDaily!E:E,C173),0)</f>
        <v/>
      </c>
      <c r="F173" s="55">
        <f>D173-E173</f>
        <v/>
      </c>
      <c r="G173" s="15">
        <f>E173/D173</f>
        <v/>
      </c>
      <c r="H173" s="4" t="n">
        <v>3</v>
      </c>
      <c r="I173" s="4" t="n">
        <v>4</v>
      </c>
      <c r="J173" s="55" t="n"/>
    </row>
    <row r="174">
      <c r="A174" s="57" t="n">
        <v>8</v>
      </c>
      <c r="B174" s="4" t="n">
        <v>2028</v>
      </c>
      <c r="C174" s="4" t="n">
        <v>5</v>
      </c>
      <c r="D174" s="55">
        <f>SUMIFS(Calendar!$F$1:$F$9997,Calendar!$B$1:$B$9997,ForeMonth!B174,Calendar!$C$1:$C$9997,ForeMonth!A174)</f>
        <v/>
      </c>
      <c r="E174" s="55">
        <f>ROUND(SUMIFS(ForeDaily!F:F,ForeDaily!C:C,A174,ForeDaily!D:D,B174,ForeDaily!E:E,C174),0)</f>
        <v/>
      </c>
      <c r="F174" s="55">
        <f>D174-E174</f>
        <v/>
      </c>
      <c r="G174" s="15">
        <f>E174/D174</f>
        <v/>
      </c>
      <c r="H174" s="4" t="n">
        <v>3</v>
      </c>
      <c r="I174" s="4" t="n">
        <v>5</v>
      </c>
      <c r="J174" s="55" t="n"/>
    </row>
    <row r="175">
      <c r="A175" s="57" t="n">
        <v>9</v>
      </c>
      <c r="B175" s="4" t="n">
        <v>2028</v>
      </c>
      <c r="C175" s="4" t="n">
        <v>5</v>
      </c>
      <c r="D175" s="55">
        <f>SUMIFS(Calendar!$F$1:$F$9997,Calendar!$B$1:$B$9997,ForeMonth!B175,Calendar!$C$1:$C$9997,ForeMonth!A175)</f>
        <v/>
      </c>
      <c r="E175" s="55">
        <f>ROUND(SUMIFS(ForeDaily!F:F,ForeDaily!C:C,A175,ForeDaily!D:D,B175,ForeDaily!E:E,C175),0)</f>
        <v/>
      </c>
      <c r="F175" s="55">
        <f>D175-E175</f>
        <v/>
      </c>
      <c r="G175" s="15">
        <f>E175/D175</f>
        <v/>
      </c>
      <c r="H175" s="4" t="n">
        <v>3</v>
      </c>
      <c r="I175" s="4" t="n">
        <v>6</v>
      </c>
      <c r="J175" s="55" t="n"/>
    </row>
    <row r="176">
      <c r="A176" s="57" t="n">
        <v>10</v>
      </c>
      <c r="B176" s="4" t="n">
        <v>2028</v>
      </c>
      <c r="C176" s="4" t="n">
        <v>5</v>
      </c>
      <c r="D176" s="55">
        <f>SUMIFS(Calendar!$F$1:$F$9997,Calendar!$B$1:$B$9997,ForeMonth!B176,Calendar!$C$1:$C$9997,ForeMonth!A176)</f>
        <v/>
      </c>
      <c r="E176" s="55">
        <f>ROUND(SUMIFS(ForeDaily!F:F,ForeDaily!C:C,A176,ForeDaily!D:D,B176,ForeDaily!E:E,C176),0)</f>
        <v/>
      </c>
      <c r="F176" s="55">
        <f>D176-E176</f>
        <v/>
      </c>
      <c r="G176" s="15">
        <f>E176/D176</f>
        <v/>
      </c>
      <c r="H176" s="4" t="n">
        <v>3</v>
      </c>
      <c r="I176" s="4" t="n">
        <v>7</v>
      </c>
      <c r="J176" s="55" t="n"/>
    </row>
    <row r="177">
      <c r="A177" s="57" t="n">
        <v>11</v>
      </c>
      <c r="B177" s="4" t="n">
        <v>2028</v>
      </c>
      <c r="C177" s="4" t="n">
        <v>5</v>
      </c>
      <c r="D177" s="55">
        <f>SUMIFS(Calendar!$F$1:$F$9997,Calendar!$B$1:$B$9997,ForeMonth!B177,Calendar!$C$1:$C$9997,ForeMonth!A177)</f>
        <v/>
      </c>
      <c r="E177" s="55">
        <f>ROUND(SUMIFS(ForeDaily!F:F,ForeDaily!C:C,A177,ForeDaily!D:D,B177,ForeDaily!E:E,C177),0)</f>
        <v/>
      </c>
      <c r="F177" s="55">
        <f>D177-E177</f>
        <v/>
      </c>
      <c r="G177" s="15">
        <f>E177/D177</f>
        <v/>
      </c>
      <c r="H177" s="4" t="n">
        <v>3</v>
      </c>
      <c r="I177" s="4" t="n">
        <v>8</v>
      </c>
      <c r="J177" s="55" t="n"/>
    </row>
    <row r="178">
      <c r="A178" s="57" t="n">
        <v>12</v>
      </c>
      <c r="B178" s="4" t="n">
        <v>2028</v>
      </c>
      <c r="C178" s="4" t="n">
        <v>5</v>
      </c>
      <c r="D178" s="55">
        <f>SUMIFS(Calendar!$F$1:$F$9997,Calendar!$B$1:$B$9997,ForeMonth!B178,Calendar!$C$1:$C$9997,ForeMonth!A178)</f>
        <v/>
      </c>
      <c r="E178" s="55">
        <f>ROUND(SUMIFS(ForeDaily!F:F,ForeDaily!C:C,A178,ForeDaily!D:D,B178,ForeDaily!E:E,C178),0)</f>
        <v/>
      </c>
      <c r="F178" s="55">
        <f>D178-E178</f>
        <v/>
      </c>
      <c r="G178" s="15">
        <f>E178/D178</f>
        <v/>
      </c>
      <c r="H178" s="4" t="n">
        <v>3</v>
      </c>
      <c r="I178" s="4" t="n">
        <v>9</v>
      </c>
      <c r="J178" s="55" t="n"/>
    </row>
    <row r="179">
      <c r="A179" s="57" t="n">
        <v>1</v>
      </c>
      <c r="B179" s="4" t="n">
        <v>2029</v>
      </c>
      <c r="C179" s="4" t="n">
        <v>5</v>
      </c>
      <c r="D179" s="55">
        <f>SUMIFS(Calendar!$F$1:$F$9997,Calendar!$B$1:$B$9997,ForeMonth!B179,Calendar!$C$1:$C$9997,ForeMonth!A179)</f>
        <v/>
      </c>
      <c r="E179" s="55">
        <f>ROUND(SUMIFS(ForeDaily!F:F,ForeDaily!C:C,A179,ForeDaily!D:D,B179,ForeDaily!E:E,C179),0)</f>
        <v/>
      </c>
      <c r="F179" s="55">
        <f>D179-E179</f>
        <v/>
      </c>
      <c r="G179" s="15">
        <f>E179/D179</f>
        <v/>
      </c>
      <c r="H179" s="4" t="n">
        <v>3</v>
      </c>
      <c r="I179" s="4" t="n">
        <v>10</v>
      </c>
      <c r="J179" s="55" t="n"/>
    </row>
    <row r="180">
      <c r="A180" s="57" t="n">
        <v>2</v>
      </c>
      <c r="B180" s="4" t="n">
        <v>2029</v>
      </c>
      <c r="C180" s="4" t="n">
        <v>5</v>
      </c>
      <c r="D180" s="55">
        <f>SUMIFS(Calendar!$F$1:$F$9997,Calendar!$B$1:$B$9997,ForeMonth!B180,Calendar!$C$1:$C$9997,ForeMonth!A180)</f>
        <v/>
      </c>
      <c r="E180" s="55">
        <f>ROUND(SUMIFS(ForeDaily!F:F,ForeDaily!C:C,A180,ForeDaily!D:D,B180,ForeDaily!E:E,C180),0)</f>
        <v/>
      </c>
      <c r="F180" s="55">
        <f>D180-E180</f>
        <v/>
      </c>
      <c r="G180" s="15">
        <f>E180/D180</f>
        <v/>
      </c>
      <c r="H180" s="4" t="n">
        <v>3</v>
      </c>
      <c r="I180" s="4" t="n">
        <v>11</v>
      </c>
      <c r="J180" s="55" t="n"/>
    </row>
    <row r="181">
      <c r="A181" s="57" t="n">
        <v>3</v>
      </c>
      <c r="B181" s="4" t="n">
        <v>2029</v>
      </c>
      <c r="C181" s="4" t="n">
        <v>5</v>
      </c>
      <c r="D181" s="55">
        <f>SUMIFS(Calendar!$F$1:$F$9997,Calendar!$B$1:$B$9997,ForeMonth!B181,Calendar!$C$1:$C$9997,ForeMonth!A181)</f>
        <v/>
      </c>
      <c r="E181" s="55">
        <f>ROUND(SUMIFS(ForeDaily!F:F,ForeDaily!C:C,A181,ForeDaily!D:D,B181,ForeDaily!E:E,C181),0)</f>
        <v/>
      </c>
      <c r="F181" s="55">
        <f>D181-E181</f>
        <v/>
      </c>
      <c r="G181" s="15">
        <f>E181/D181</f>
        <v/>
      </c>
      <c r="H181" s="4" t="n">
        <v>3</v>
      </c>
      <c r="I181" s="4" t="n">
        <v>12</v>
      </c>
      <c r="J181" s="55" t="n"/>
    </row>
    <row r="182">
      <c r="A182" s="57" t="n">
        <v>4</v>
      </c>
      <c r="B182" s="4" t="n">
        <v>2026</v>
      </c>
      <c r="C182" s="4" t="n">
        <v>6</v>
      </c>
      <c r="D182" s="55">
        <f>SUMIFS(Calendar!$F$1:$F$9997,Calendar!$B$1:$B$9997,ForeMonth!B182,Calendar!$C$1:$C$9997,ForeMonth!A182)</f>
        <v/>
      </c>
      <c r="E182" s="55">
        <f>ROUND(SUMIFS(ForeDaily!F:F,ForeDaily!C:C,A182,ForeDaily!D:D,B182,ForeDaily!E:E,C182),0)</f>
        <v/>
      </c>
      <c r="F182" s="55">
        <f>D182-E182</f>
        <v/>
      </c>
      <c r="G182" s="15">
        <f>E182/D182</f>
        <v/>
      </c>
      <c r="H182" s="4" t="n">
        <v>1</v>
      </c>
      <c r="I182" s="4" t="n">
        <v>1</v>
      </c>
      <c r="J182" s="55" t="n"/>
    </row>
    <row r="183">
      <c r="A183" s="57" t="n">
        <v>5</v>
      </c>
      <c r="B183" s="4" t="n">
        <v>2026</v>
      </c>
      <c r="C183" s="4" t="n">
        <v>6</v>
      </c>
      <c r="D183" s="55">
        <f>SUMIFS(Calendar!$F$1:$F$9997,Calendar!$B$1:$B$9997,ForeMonth!B183,Calendar!$C$1:$C$9997,ForeMonth!A183)</f>
        <v/>
      </c>
      <c r="E183" s="55">
        <f>ROUND(SUMIFS(ForeDaily!F:F,ForeDaily!C:C,A183,ForeDaily!D:D,B183,ForeDaily!E:E,C183),0)</f>
        <v/>
      </c>
      <c r="F183" s="55">
        <f>D183-E183</f>
        <v/>
      </c>
      <c r="G183" s="15">
        <f>E183/D183</f>
        <v/>
      </c>
      <c r="H183" s="4" t="n">
        <v>1</v>
      </c>
      <c r="I183" s="4" t="n">
        <v>2</v>
      </c>
      <c r="J183" s="55" t="n"/>
    </row>
    <row r="184">
      <c r="A184" s="57" t="n">
        <v>6</v>
      </c>
      <c r="B184" s="4" t="n">
        <v>2026</v>
      </c>
      <c r="C184" s="4" t="n">
        <v>6</v>
      </c>
      <c r="D184" s="55">
        <f>SUMIFS(Calendar!$F$1:$F$9997,Calendar!$B$1:$B$9997,ForeMonth!B184,Calendar!$C$1:$C$9997,ForeMonth!A184)</f>
        <v/>
      </c>
      <c r="E184" s="55">
        <f>ROUND(SUMIFS(ForeDaily!F:F,ForeDaily!C:C,A184,ForeDaily!D:D,B184,ForeDaily!E:E,C184),0)</f>
        <v/>
      </c>
      <c r="F184" s="55">
        <f>D184-E184</f>
        <v/>
      </c>
      <c r="G184" s="15">
        <f>E184/D184</f>
        <v/>
      </c>
      <c r="H184" s="4" t="n">
        <v>1</v>
      </c>
      <c r="I184" s="4" t="n">
        <v>3</v>
      </c>
      <c r="J184" s="55" t="n"/>
    </row>
    <row r="185">
      <c r="A185" s="57" t="n">
        <v>7</v>
      </c>
      <c r="B185" s="4" t="n">
        <v>2026</v>
      </c>
      <c r="C185" s="4" t="n">
        <v>6</v>
      </c>
      <c r="D185" s="55">
        <f>SUMIFS(Calendar!$F$1:$F$9997,Calendar!$B$1:$B$9997,ForeMonth!B185,Calendar!$C$1:$C$9997,ForeMonth!A185)</f>
        <v/>
      </c>
      <c r="E185" s="55">
        <f>ROUND(SUMIFS(ForeDaily!F:F,ForeDaily!C:C,A185,ForeDaily!D:D,B185,ForeDaily!E:E,C185),0)</f>
        <v/>
      </c>
      <c r="F185" s="55">
        <f>D185-E185</f>
        <v/>
      </c>
      <c r="G185" s="15">
        <f>E185/D185</f>
        <v/>
      </c>
      <c r="H185" s="4" t="n">
        <v>1</v>
      </c>
      <c r="I185" s="4" t="n">
        <v>4</v>
      </c>
      <c r="J185" s="55" t="n"/>
    </row>
    <row r="186">
      <c r="A186" s="57" t="n">
        <v>8</v>
      </c>
      <c r="B186" s="4" t="n">
        <v>2026</v>
      </c>
      <c r="C186" s="4" t="n">
        <v>6</v>
      </c>
      <c r="D186" s="55">
        <f>SUMIFS(Calendar!$F$1:$F$9997,Calendar!$B$1:$B$9997,ForeMonth!B186,Calendar!$C$1:$C$9997,ForeMonth!A186)</f>
        <v/>
      </c>
      <c r="E186" s="55">
        <f>ROUND(SUMIFS(ForeDaily!F:F,ForeDaily!C:C,A186,ForeDaily!D:D,B186,ForeDaily!E:E,C186),0)</f>
        <v/>
      </c>
      <c r="F186" s="55">
        <f>D186-E186</f>
        <v/>
      </c>
      <c r="G186" s="15">
        <f>E186/D186</f>
        <v/>
      </c>
      <c r="H186" s="4" t="n">
        <v>1</v>
      </c>
      <c r="I186" s="4" t="n">
        <v>5</v>
      </c>
      <c r="J186" s="55" t="n"/>
    </row>
    <row r="187">
      <c r="A187" s="57" t="n">
        <v>9</v>
      </c>
      <c r="B187" s="4" t="n">
        <v>2026</v>
      </c>
      <c r="C187" s="4" t="n">
        <v>6</v>
      </c>
      <c r="D187" s="55">
        <f>SUMIFS(Calendar!$F$1:$F$9997,Calendar!$B$1:$B$9997,ForeMonth!B187,Calendar!$C$1:$C$9997,ForeMonth!A187)</f>
        <v/>
      </c>
      <c r="E187" s="55">
        <f>ROUND(SUMIFS(ForeDaily!F:F,ForeDaily!C:C,A187,ForeDaily!D:D,B187,ForeDaily!E:E,C187),0)</f>
        <v/>
      </c>
      <c r="F187" s="55">
        <f>D187-E187</f>
        <v/>
      </c>
      <c r="G187" s="15">
        <f>E187/D187</f>
        <v/>
      </c>
      <c r="H187" s="4" t="n">
        <v>1</v>
      </c>
      <c r="I187" s="4" t="n">
        <v>6</v>
      </c>
      <c r="J187" s="55" t="n"/>
    </row>
    <row r="188">
      <c r="A188" s="57" t="n">
        <v>10</v>
      </c>
      <c r="B188" s="4" t="n">
        <v>2026</v>
      </c>
      <c r="C188" s="4" t="n">
        <v>6</v>
      </c>
      <c r="D188" s="55">
        <f>SUMIFS(Calendar!$F$1:$F$9997,Calendar!$B$1:$B$9997,ForeMonth!B188,Calendar!$C$1:$C$9997,ForeMonth!A188)</f>
        <v/>
      </c>
      <c r="E188" s="55">
        <f>ROUND(SUMIFS(ForeDaily!F:F,ForeDaily!C:C,A188,ForeDaily!D:D,B188,ForeDaily!E:E,C188),0)</f>
        <v/>
      </c>
      <c r="F188" s="55">
        <f>D188-E188</f>
        <v/>
      </c>
      <c r="G188" s="15">
        <f>E188/D188</f>
        <v/>
      </c>
      <c r="H188" s="4" t="n">
        <v>1</v>
      </c>
      <c r="I188" s="4" t="n">
        <v>7</v>
      </c>
      <c r="J188" s="55" t="n"/>
    </row>
    <row r="189">
      <c r="A189" s="57" t="n">
        <v>11</v>
      </c>
      <c r="B189" s="4" t="n">
        <v>2026</v>
      </c>
      <c r="C189" s="4" t="n">
        <v>6</v>
      </c>
      <c r="D189" s="55">
        <f>SUMIFS(Calendar!$F$1:$F$9997,Calendar!$B$1:$B$9997,ForeMonth!B189,Calendar!$C$1:$C$9997,ForeMonth!A189)</f>
        <v/>
      </c>
      <c r="E189" s="55">
        <f>ROUND(SUMIFS(ForeDaily!F:F,ForeDaily!C:C,A189,ForeDaily!D:D,B189,ForeDaily!E:E,C189),0)</f>
        <v/>
      </c>
      <c r="F189" s="55">
        <f>D189-E189</f>
        <v/>
      </c>
      <c r="G189" s="15">
        <f>E189/D189</f>
        <v/>
      </c>
      <c r="H189" s="4" t="n">
        <v>1</v>
      </c>
      <c r="I189" s="4" t="n">
        <v>8</v>
      </c>
      <c r="J189" s="55" t="n"/>
    </row>
    <row r="190">
      <c r="A190" s="57" t="n">
        <v>12</v>
      </c>
      <c r="B190" s="4" t="n">
        <v>2026</v>
      </c>
      <c r="C190" s="4" t="n">
        <v>6</v>
      </c>
      <c r="D190" s="55">
        <f>SUMIFS(Calendar!$F$1:$F$9997,Calendar!$B$1:$B$9997,ForeMonth!B190,Calendar!$C$1:$C$9997,ForeMonth!A190)</f>
        <v/>
      </c>
      <c r="E190" s="55">
        <f>ROUND(SUMIFS(ForeDaily!F:F,ForeDaily!C:C,A190,ForeDaily!D:D,B190,ForeDaily!E:E,C190),0)</f>
        <v/>
      </c>
      <c r="F190" s="55">
        <f>D190-E190</f>
        <v/>
      </c>
      <c r="G190" s="15">
        <f>E190/D190</f>
        <v/>
      </c>
      <c r="H190" s="4" t="n">
        <v>1</v>
      </c>
      <c r="I190" s="4" t="n">
        <v>9</v>
      </c>
      <c r="J190" s="55" t="n"/>
    </row>
    <row r="191">
      <c r="A191" s="57" t="n">
        <v>1</v>
      </c>
      <c r="B191" s="4" t="n">
        <v>2027</v>
      </c>
      <c r="C191" s="4" t="n">
        <v>6</v>
      </c>
      <c r="D191" s="55">
        <f>SUMIFS(Calendar!$F$1:$F$9997,Calendar!$B$1:$B$9997,ForeMonth!B191,Calendar!$C$1:$C$9997,ForeMonth!A191)</f>
        <v/>
      </c>
      <c r="E191" s="55">
        <f>ROUND(SUMIFS(ForeDaily!F:F,ForeDaily!C:C,A191,ForeDaily!D:D,B191,ForeDaily!E:E,C191),0)</f>
        <v/>
      </c>
      <c r="F191" s="55">
        <f>D191-E191</f>
        <v/>
      </c>
      <c r="G191" s="15">
        <f>E191/D191</f>
        <v/>
      </c>
      <c r="H191" s="4" t="n">
        <v>1</v>
      </c>
      <c r="I191" s="4" t="n">
        <v>10</v>
      </c>
      <c r="J191" s="55" t="n"/>
    </row>
    <row r="192">
      <c r="A192" s="57" t="n">
        <v>2</v>
      </c>
      <c r="B192" s="4" t="n">
        <v>2027</v>
      </c>
      <c r="C192" s="4" t="n">
        <v>6</v>
      </c>
      <c r="D192" s="55">
        <f>SUMIFS(Calendar!$F$1:$F$9997,Calendar!$B$1:$B$9997,ForeMonth!B192,Calendar!$C$1:$C$9997,ForeMonth!A192)</f>
        <v/>
      </c>
      <c r="E192" s="55">
        <f>ROUND(SUMIFS(ForeDaily!F:F,ForeDaily!C:C,A192,ForeDaily!D:D,B192,ForeDaily!E:E,C192),0)</f>
        <v/>
      </c>
      <c r="F192" s="55">
        <f>D192-E192</f>
        <v/>
      </c>
      <c r="G192" s="15">
        <f>E192/D192</f>
        <v/>
      </c>
      <c r="H192" s="4" t="n">
        <v>1</v>
      </c>
      <c r="I192" s="4" t="n">
        <v>11</v>
      </c>
      <c r="J192" s="55" t="n"/>
    </row>
    <row r="193">
      <c r="A193" s="57" t="n">
        <v>3</v>
      </c>
      <c r="B193" s="4" t="n">
        <v>2027</v>
      </c>
      <c r="C193" s="4" t="n">
        <v>6</v>
      </c>
      <c r="D193" s="55">
        <f>SUMIFS(Calendar!$F$1:$F$9997,Calendar!$B$1:$B$9997,ForeMonth!B193,Calendar!$C$1:$C$9997,ForeMonth!A193)</f>
        <v/>
      </c>
      <c r="E193" s="55">
        <f>ROUND(SUMIFS(ForeDaily!F:F,ForeDaily!C:C,A193,ForeDaily!D:D,B193,ForeDaily!E:E,C193),0)</f>
        <v/>
      </c>
      <c r="F193" s="55">
        <f>D193-E193</f>
        <v/>
      </c>
      <c r="G193" s="15">
        <f>E193/D193</f>
        <v/>
      </c>
      <c r="H193" s="4" t="n">
        <v>1</v>
      </c>
      <c r="I193" s="4" t="n">
        <v>12</v>
      </c>
      <c r="J193" s="55" t="n"/>
    </row>
    <row r="194">
      <c r="A194" s="57" t="n">
        <v>4</v>
      </c>
      <c r="B194" s="4" t="n">
        <v>2027</v>
      </c>
      <c r="C194" s="4" t="n">
        <v>6</v>
      </c>
      <c r="D194" s="55">
        <f>SUMIFS(Calendar!$F$1:$F$9997,Calendar!$B$1:$B$9997,ForeMonth!B194,Calendar!$C$1:$C$9997,ForeMonth!A194)</f>
        <v/>
      </c>
      <c r="E194" s="55">
        <f>ROUND(SUMIFS(ForeDaily!F:F,ForeDaily!C:C,A194,ForeDaily!D:D,B194,ForeDaily!E:E,C194),0)</f>
        <v/>
      </c>
      <c r="F194" s="55">
        <f>D194-E194</f>
        <v/>
      </c>
      <c r="G194" s="15">
        <f>E194/D194</f>
        <v/>
      </c>
      <c r="H194" s="4" t="n">
        <v>2</v>
      </c>
      <c r="I194" s="4" t="n">
        <v>1</v>
      </c>
      <c r="J194" s="55" t="n"/>
    </row>
    <row r="195">
      <c r="A195" s="57" t="n">
        <v>5</v>
      </c>
      <c r="B195" s="4" t="n">
        <v>2027</v>
      </c>
      <c r="C195" s="4" t="n">
        <v>6</v>
      </c>
      <c r="D195" s="55">
        <f>SUMIFS(Calendar!$F$1:$F$9997,Calendar!$B$1:$B$9997,ForeMonth!B195,Calendar!$C$1:$C$9997,ForeMonth!A195)</f>
        <v/>
      </c>
      <c r="E195" s="55">
        <f>ROUND(SUMIFS(ForeDaily!F:F,ForeDaily!C:C,A195,ForeDaily!D:D,B195,ForeDaily!E:E,C195),0)</f>
        <v/>
      </c>
      <c r="F195" s="55">
        <f>D195-E195</f>
        <v/>
      </c>
      <c r="G195" s="15">
        <f>E195/D195</f>
        <v/>
      </c>
      <c r="H195" s="4" t="n">
        <v>2</v>
      </c>
      <c r="I195" s="4" t="n">
        <v>2</v>
      </c>
      <c r="J195" s="55" t="n"/>
    </row>
    <row r="196">
      <c r="A196" s="57" t="n">
        <v>6</v>
      </c>
      <c r="B196" s="4" t="n">
        <v>2027</v>
      </c>
      <c r="C196" s="4" t="n">
        <v>6</v>
      </c>
      <c r="D196" s="55">
        <f>SUMIFS(Calendar!$F$1:$F$9997,Calendar!$B$1:$B$9997,ForeMonth!B196,Calendar!$C$1:$C$9997,ForeMonth!A196)</f>
        <v/>
      </c>
      <c r="E196" s="55">
        <f>ROUND(SUMIFS(ForeDaily!F:F,ForeDaily!C:C,A196,ForeDaily!D:D,B196,ForeDaily!E:E,C196),0)</f>
        <v/>
      </c>
      <c r="F196" s="55">
        <f>D196-E196</f>
        <v/>
      </c>
      <c r="G196" s="15">
        <f>E196/D196</f>
        <v/>
      </c>
      <c r="H196" s="4" t="n">
        <v>2</v>
      </c>
      <c r="I196" s="4" t="n">
        <v>3</v>
      </c>
      <c r="J196" s="55" t="n"/>
    </row>
    <row r="197">
      <c r="A197" s="57" t="n">
        <v>7</v>
      </c>
      <c r="B197" s="4" t="n">
        <v>2027</v>
      </c>
      <c r="C197" s="4" t="n">
        <v>6</v>
      </c>
      <c r="D197" s="55">
        <f>SUMIFS(Calendar!$F$1:$F$9997,Calendar!$B$1:$B$9997,ForeMonth!B197,Calendar!$C$1:$C$9997,ForeMonth!A197)</f>
        <v/>
      </c>
      <c r="E197" s="55">
        <f>ROUND(SUMIFS(ForeDaily!F:F,ForeDaily!C:C,A197,ForeDaily!D:D,B197,ForeDaily!E:E,C197),0)</f>
        <v/>
      </c>
      <c r="F197" s="55">
        <f>D197-E197</f>
        <v/>
      </c>
      <c r="G197" s="15">
        <f>E197/D197</f>
        <v/>
      </c>
      <c r="H197" s="4" t="n">
        <v>2</v>
      </c>
      <c r="I197" s="4" t="n">
        <v>4</v>
      </c>
      <c r="J197" s="55" t="n"/>
    </row>
    <row r="198">
      <c r="A198" s="57" t="n">
        <v>8</v>
      </c>
      <c r="B198" s="4" t="n">
        <v>2027</v>
      </c>
      <c r="C198" s="4" t="n">
        <v>6</v>
      </c>
      <c r="D198" s="55">
        <f>SUMIFS(Calendar!$F$1:$F$9997,Calendar!$B$1:$B$9997,ForeMonth!B198,Calendar!$C$1:$C$9997,ForeMonth!A198)</f>
        <v/>
      </c>
      <c r="E198" s="55">
        <f>ROUND(SUMIFS(ForeDaily!F:F,ForeDaily!C:C,A198,ForeDaily!D:D,B198,ForeDaily!E:E,C198),0)</f>
        <v/>
      </c>
      <c r="F198" s="55">
        <f>D198-E198</f>
        <v/>
      </c>
      <c r="G198" s="15">
        <f>E198/D198</f>
        <v/>
      </c>
      <c r="H198" s="4" t="n">
        <v>2</v>
      </c>
      <c r="I198" s="4" t="n">
        <v>5</v>
      </c>
      <c r="J198" s="55" t="n"/>
    </row>
    <row r="199">
      <c r="A199" s="57" t="n">
        <v>9</v>
      </c>
      <c r="B199" s="4" t="n">
        <v>2027</v>
      </c>
      <c r="C199" s="4" t="n">
        <v>6</v>
      </c>
      <c r="D199" s="55">
        <f>SUMIFS(Calendar!$F$1:$F$9997,Calendar!$B$1:$B$9997,ForeMonth!B199,Calendar!$C$1:$C$9997,ForeMonth!A199)</f>
        <v/>
      </c>
      <c r="E199" s="55">
        <f>ROUND(SUMIFS(ForeDaily!F:F,ForeDaily!C:C,A199,ForeDaily!D:D,B199,ForeDaily!E:E,C199),0)</f>
        <v/>
      </c>
      <c r="F199" s="55">
        <f>D199-E199</f>
        <v/>
      </c>
      <c r="G199" s="15">
        <f>E199/D199</f>
        <v/>
      </c>
      <c r="H199" s="4" t="n">
        <v>2</v>
      </c>
      <c r="I199" s="4" t="n">
        <v>6</v>
      </c>
      <c r="J199" s="55" t="n"/>
    </row>
    <row r="200">
      <c r="A200" s="57" t="n">
        <v>10</v>
      </c>
      <c r="B200" s="4" t="n">
        <v>2027</v>
      </c>
      <c r="C200" s="4" t="n">
        <v>6</v>
      </c>
      <c r="D200" s="55">
        <f>SUMIFS(Calendar!$F$1:$F$9997,Calendar!$B$1:$B$9997,ForeMonth!B200,Calendar!$C$1:$C$9997,ForeMonth!A200)</f>
        <v/>
      </c>
      <c r="E200" s="55">
        <f>ROUND(SUMIFS(ForeDaily!F:F,ForeDaily!C:C,A200,ForeDaily!D:D,B200,ForeDaily!E:E,C200),0)</f>
        <v/>
      </c>
      <c r="F200" s="55">
        <f>D200-E200</f>
        <v/>
      </c>
      <c r="G200" s="15">
        <f>E200/D200</f>
        <v/>
      </c>
      <c r="H200" s="4" t="n">
        <v>2</v>
      </c>
      <c r="I200" s="4" t="n">
        <v>7</v>
      </c>
      <c r="J200" s="55" t="n"/>
    </row>
    <row r="201">
      <c r="A201" s="57" t="n">
        <v>11</v>
      </c>
      <c r="B201" s="4" t="n">
        <v>2027</v>
      </c>
      <c r="C201" s="4" t="n">
        <v>6</v>
      </c>
      <c r="D201" s="55">
        <f>SUMIFS(Calendar!$F$1:$F$9997,Calendar!$B$1:$B$9997,ForeMonth!B201,Calendar!$C$1:$C$9997,ForeMonth!A201)</f>
        <v/>
      </c>
      <c r="E201" s="55">
        <f>ROUND(SUMIFS(ForeDaily!F:F,ForeDaily!C:C,A201,ForeDaily!D:D,B201,ForeDaily!E:E,C201),0)</f>
        <v/>
      </c>
      <c r="F201" s="55">
        <f>D201-E201</f>
        <v/>
      </c>
      <c r="G201" s="15">
        <f>E201/D201</f>
        <v/>
      </c>
      <c r="H201" s="4" t="n">
        <v>2</v>
      </c>
      <c r="I201" s="4" t="n">
        <v>8</v>
      </c>
      <c r="J201" s="55" t="n"/>
    </row>
    <row r="202">
      <c r="A202" s="57" t="n">
        <v>12</v>
      </c>
      <c r="B202" s="4" t="n">
        <v>2027</v>
      </c>
      <c r="C202" s="4" t="n">
        <v>6</v>
      </c>
      <c r="D202" s="55">
        <f>SUMIFS(Calendar!$F$1:$F$9997,Calendar!$B$1:$B$9997,ForeMonth!B202,Calendar!$C$1:$C$9997,ForeMonth!A202)</f>
        <v/>
      </c>
      <c r="E202" s="55">
        <f>ROUND(SUMIFS(ForeDaily!F:F,ForeDaily!C:C,A202,ForeDaily!D:D,B202,ForeDaily!E:E,C202),0)</f>
        <v/>
      </c>
      <c r="F202" s="55">
        <f>D202-E202</f>
        <v/>
      </c>
      <c r="G202" s="15">
        <f>E202/D202</f>
        <v/>
      </c>
      <c r="H202" s="4" t="n">
        <v>2</v>
      </c>
      <c r="I202" s="4" t="n">
        <v>9</v>
      </c>
      <c r="J202" s="55" t="n"/>
    </row>
    <row r="203">
      <c r="A203" s="57" t="n">
        <v>1</v>
      </c>
      <c r="B203" s="4" t="n">
        <v>2028</v>
      </c>
      <c r="C203" s="4" t="n">
        <v>6</v>
      </c>
      <c r="D203" s="55">
        <f>SUMIFS(Calendar!$F$1:$F$9997,Calendar!$B$1:$B$9997,ForeMonth!B203,Calendar!$C$1:$C$9997,ForeMonth!A203)</f>
        <v/>
      </c>
      <c r="E203" s="55">
        <f>ROUND(SUMIFS(ForeDaily!F:F,ForeDaily!C:C,A203,ForeDaily!D:D,B203,ForeDaily!E:E,C203),0)</f>
        <v/>
      </c>
      <c r="F203" s="55">
        <f>D203-E203</f>
        <v/>
      </c>
      <c r="G203" s="15">
        <f>E203/D203</f>
        <v/>
      </c>
      <c r="H203" s="4" t="n">
        <v>2</v>
      </c>
      <c r="I203" s="4" t="n">
        <v>10</v>
      </c>
      <c r="J203" s="55" t="n"/>
    </row>
    <row r="204">
      <c r="A204" s="57" t="n">
        <v>2</v>
      </c>
      <c r="B204" s="4" t="n">
        <v>2028</v>
      </c>
      <c r="C204" s="4" t="n">
        <v>6</v>
      </c>
      <c r="D204" s="55">
        <f>SUMIFS(Calendar!$F$1:$F$9997,Calendar!$B$1:$B$9997,ForeMonth!B204,Calendar!$C$1:$C$9997,ForeMonth!A204)</f>
        <v/>
      </c>
      <c r="E204" s="55">
        <f>ROUND(SUMIFS(ForeDaily!F:F,ForeDaily!C:C,A204,ForeDaily!D:D,B204,ForeDaily!E:E,C204),0)</f>
        <v/>
      </c>
      <c r="F204" s="55">
        <f>D204-E204</f>
        <v/>
      </c>
      <c r="G204" s="15">
        <f>E204/D204</f>
        <v/>
      </c>
      <c r="H204" s="4" t="n">
        <v>2</v>
      </c>
      <c r="I204" s="4" t="n">
        <v>11</v>
      </c>
      <c r="J204" s="55" t="n"/>
    </row>
    <row r="205">
      <c r="A205" s="57" t="n">
        <v>3</v>
      </c>
      <c r="B205" s="4" t="n">
        <v>2028</v>
      </c>
      <c r="C205" s="4" t="n">
        <v>6</v>
      </c>
      <c r="D205" s="55">
        <f>SUMIFS(Calendar!$F$1:$F$9997,Calendar!$B$1:$B$9997,ForeMonth!B205,Calendar!$C$1:$C$9997,ForeMonth!A205)</f>
        <v/>
      </c>
      <c r="E205" s="55">
        <f>ROUND(SUMIFS(ForeDaily!F:F,ForeDaily!C:C,A205,ForeDaily!D:D,B205,ForeDaily!E:E,C205),0)</f>
        <v/>
      </c>
      <c r="F205" s="55">
        <f>D205-E205</f>
        <v/>
      </c>
      <c r="G205" s="15">
        <f>E205/D205</f>
        <v/>
      </c>
      <c r="H205" s="4" t="n">
        <v>2</v>
      </c>
      <c r="I205" s="4" t="n">
        <v>12</v>
      </c>
      <c r="J205" s="55" t="n"/>
    </row>
    <row r="206">
      <c r="A206" s="57" t="n">
        <v>4</v>
      </c>
      <c r="B206" s="4" t="n">
        <v>2028</v>
      </c>
      <c r="C206" s="4" t="n">
        <v>6</v>
      </c>
      <c r="D206" s="55">
        <f>SUMIFS(Calendar!$F$1:$F$9997,Calendar!$B$1:$B$9997,ForeMonth!B206,Calendar!$C$1:$C$9997,ForeMonth!A206)</f>
        <v/>
      </c>
      <c r="E206" s="55">
        <f>ROUND(SUMIFS(ForeDaily!F:F,ForeDaily!C:C,A206,ForeDaily!D:D,B206,ForeDaily!E:E,C206),0)</f>
        <v/>
      </c>
      <c r="F206" s="55">
        <f>D206-E206</f>
        <v/>
      </c>
      <c r="G206" s="15">
        <f>E206/D206</f>
        <v/>
      </c>
      <c r="H206" s="4" t="n">
        <v>3</v>
      </c>
      <c r="I206" s="4" t="n">
        <v>1</v>
      </c>
      <c r="J206" s="55" t="n"/>
    </row>
    <row r="207">
      <c r="A207" s="57" t="n">
        <v>5</v>
      </c>
      <c r="B207" s="4" t="n">
        <v>2028</v>
      </c>
      <c r="C207" s="4" t="n">
        <v>6</v>
      </c>
      <c r="D207" s="55">
        <f>SUMIFS(Calendar!$F$1:$F$9997,Calendar!$B$1:$B$9997,ForeMonth!B207,Calendar!$C$1:$C$9997,ForeMonth!A207)</f>
        <v/>
      </c>
      <c r="E207" s="55">
        <f>ROUND(SUMIFS(ForeDaily!F:F,ForeDaily!C:C,A207,ForeDaily!D:D,B207,ForeDaily!E:E,C207),0)</f>
        <v/>
      </c>
      <c r="F207" s="55">
        <f>D207-E207</f>
        <v/>
      </c>
      <c r="G207" s="15">
        <f>E207/D207</f>
        <v/>
      </c>
      <c r="H207" s="4" t="n">
        <v>3</v>
      </c>
      <c r="I207" s="4" t="n">
        <v>2</v>
      </c>
      <c r="J207" s="55" t="n"/>
    </row>
    <row r="208">
      <c r="A208" s="57" t="n">
        <v>6</v>
      </c>
      <c r="B208" s="4" t="n">
        <v>2028</v>
      </c>
      <c r="C208" s="4" t="n">
        <v>6</v>
      </c>
      <c r="D208" s="55">
        <f>SUMIFS(Calendar!$F$1:$F$9997,Calendar!$B$1:$B$9997,ForeMonth!B208,Calendar!$C$1:$C$9997,ForeMonth!A208)</f>
        <v/>
      </c>
      <c r="E208" s="55">
        <f>ROUND(SUMIFS(ForeDaily!F:F,ForeDaily!C:C,A208,ForeDaily!D:D,B208,ForeDaily!E:E,C208),0)</f>
        <v/>
      </c>
      <c r="F208" s="55">
        <f>D208-E208</f>
        <v/>
      </c>
      <c r="G208" s="15">
        <f>E208/D208</f>
        <v/>
      </c>
      <c r="H208" s="4" t="n">
        <v>3</v>
      </c>
      <c r="I208" s="4" t="n">
        <v>3</v>
      </c>
      <c r="J208" s="55" t="n"/>
    </row>
    <row r="209">
      <c r="A209" s="57" t="n">
        <v>7</v>
      </c>
      <c r="B209" s="4" t="n">
        <v>2028</v>
      </c>
      <c r="C209" s="4" t="n">
        <v>6</v>
      </c>
      <c r="D209" s="55">
        <f>SUMIFS(Calendar!$F$1:$F$9997,Calendar!$B$1:$B$9997,ForeMonth!B209,Calendar!$C$1:$C$9997,ForeMonth!A209)</f>
        <v/>
      </c>
      <c r="E209" s="55">
        <f>ROUND(SUMIFS(ForeDaily!F:F,ForeDaily!C:C,A209,ForeDaily!D:D,B209,ForeDaily!E:E,C209),0)</f>
        <v/>
      </c>
      <c r="F209" s="55">
        <f>D209-E209</f>
        <v/>
      </c>
      <c r="G209" s="15">
        <f>E209/D209</f>
        <v/>
      </c>
      <c r="H209" s="4" t="n">
        <v>3</v>
      </c>
      <c r="I209" s="4" t="n">
        <v>4</v>
      </c>
      <c r="J209" s="55" t="n"/>
    </row>
    <row r="210">
      <c r="A210" s="57" t="n">
        <v>8</v>
      </c>
      <c r="B210" s="4" t="n">
        <v>2028</v>
      </c>
      <c r="C210" s="4" t="n">
        <v>6</v>
      </c>
      <c r="D210" s="55">
        <f>SUMIFS(Calendar!$F$1:$F$9997,Calendar!$B$1:$B$9997,ForeMonth!B210,Calendar!$C$1:$C$9997,ForeMonth!A210)</f>
        <v/>
      </c>
      <c r="E210" s="55">
        <f>ROUND(SUMIFS(ForeDaily!F:F,ForeDaily!C:C,A210,ForeDaily!D:D,B210,ForeDaily!E:E,C210),0)</f>
        <v/>
      </c>
      <c r="F210" s="55">
        <f>D210-E210</f>
        <v/>
      </c>
      <c r="G210" s="15">
        <f>E210/D210</f>
        <v/>
      </c>
      <c r="H210" s="4" t="n">
        <v>3</v>
      </c>
      <c r="I210" s="4" t="n">
        <v>5</v>
      </c>
      <c r="J210" s="55" t="n"/>
    </row>
    <row r="211">
      <c r="A211" s="57" t="n">
        <v>9</v>
      </c>
      <c r="B211" s="4" t="n">
        <v>2028</v>
      </c>
      <c r="C211" s="4" t="n">
        <v>6</v>
      </c>
      <c r="D211" s="55">
        <f>SUMIFS(Calendar!$F$1:$F$9997,Calendar!$B$1:$B$9997,ForeMonth!B211,Calendar!$C$1:$C$9997,ForeMonth!A211)</f>
        <v/>
      </c>
      <c r="E211" s="55">
        <f>ROUND(SUMIFS(ForeDaily!F:F,ForeDaily!C:C,A211,ForeDaily!D:D,B211,ForeDaily!E:E,C211),0)</f>
        <v/>
      </c>
      <c r="F211" s="55">
        <f>D211-E211</f>
        <v/>
      </c>
      <c r="G211" s="15">
        <f>E211/D211</f>
        <v/>
      </c>
      <c r="H211" s="4" t="n">
        <v>3</v>
      </c>
      <c r="I211" s="4" t="n">
        <v>6</v>
      </c>
      <c r="J211" s="55" t="n"/>
    </row>
    <row r="212">
      <c r="A212" s="57" t="n">
        <v>10</v>
      </c>
      <c r="B212" s="4" t="n">
        <v>2028</v>
      </c>
      <c r="C212" s="4" t="n">
        <v>6</v>
      </c>
      <c r="D212" s="55">
        <f>SUMIFS(Calendar!$F$1:$F$9997,Calendar!$B$1:$B$9997,ForeMonth!B212,Calendar!$C$1:$C$9997,ForeMonth!A212)</f>
        <v/>
      </c>
      <c r="E212" s="55">
        <f>ROUND(SUMIFS(ForeDaily!F:F,ForeDaily!C:C,A212,ForeDaily!D:D,B212,ForeDaily!E:E,C212),0)</f>
        <v/>
      </c>
      <c r="F212" s="55">
        <f>D212-E212</f>
        <v/>
      </c>
      <c r="G212" s="15">
        <f>E212/D212</f>
        <v/>
      </c>
      <c r="H212" s="4" t="n">
        <v>3</v>
      </c>
      <c r="I212" s="4" t="n">
        <v>7</v>
      </c>
      <c r="J212" s="55" t="n"/>
    </row>
    <row r="213">
      <c r="A213" s="57" t="n">
        <v>11</v>
      </c>
      <c r="B213" s="4" t="n">
        <v>2028</v>
      </c>
      <c r="C213" s="4" t="n">
        <v>6</v>
      </c>
      <c r="D213" s="55">
        <f>SUMIFS(Calendar!$F$1:$F$9997,Calendar!$B$1:$B$9997,ForeMonth!B213,Calendar!$C$1:$C$9997,ForeMonth!A213)</f>
        <v/>
      </c>
      <c r="E213" s="55">
        <f>ROUND(SUMIFS(ForeDaily!F:F,ForeDaily!C:C,A213,ForeDaily!D:D,B213,ForeDaily!E:E,C213),0)</f>
        <v/>
      </c>
      <c r="F213" s="55">
        <f>D213-E213</f>
        <v/>
      </c>
      <c r="G213" s="15">
        <f>E213/D213</f>
        <v/>
      </c>
      <c r="H213" s="4" t="n">
        <v>3</v>
      </c>
      <c r="I213" s="4" t="n">
        <v>8</v>
      </c>
      <c r="J213" s="55" t="n"/>
    </row>
    <row r="214">
      <c r="A214" s="57" t="n">
        <v>12</v>
      </c>
      <c r="B214" s="4" t="n">
        <v>2028</v>
      </c>
      <c r="C214" s="4" t="n">
        <v>6</v>
      </c>
      <c r="D214" s="55">
        <f>SUMIFS(Calendar!$F$1:$F$9997,Calendar!$B$1:$B$9997,ForeMonth!B214,Calendar!$C$1:$C$9997,ForeMonth!A214)</f>
        <v/>
      </c>
      <c r="E214" s="55">
        <f>ROUND(SUMIFS(ForeDaily!F:F,ForeDaily!C:C,A214,ForeDaily!D:D,B214,ForeDaily!E:E,C214),0)</f>
        <v/>
      </c>
      <c r="F214" s="55">
        <f>D214-E214</f>
        <v/>
      </c>
      <c r="G214" s="15">
        <f>E214/D214</f>
        <v/>
      </c>
      <c r="H214" s="4" t="n">
        <v>3</v>
      </c>
      <c r="I214" s="4" t="n">
        <v>9</v>
      </c>
      <c r="J214" s="55" t="n"/>
    </row>
    <row r="215">
      <c r="A215" s="57" t="n">
        <v>1</v>
      </c>
      <c r="B215" s="4" t="n">
        <v>2029</v>
      </c>
      <c r="C215" s="4" t="n">
        <v>6</v>
      </c>
      <c r="D215" s="55">
        <f>SUMIFS(Calendar!$F$1:$F$9997,Calendar!$B$1:$B$9997,ForeMonth!B215,Calendar!$C$1:$C$9997,ForeMonth!A215)</f>
        <v/>
      </c>
      <c r="E215" s="55">
        <f>ROUND(SUMIFS(ForeDaily!F:F,ForeDaily!C:C,A215,ForeDaily!D:D,B215,ForeDaily!E:E,C215),0)</f>
        <v/>
      </c>
      <c r="F215" s="55">
        <f>D215-E215</f>
        <v/>
      </c>
      <c r="G215" s="15">
        <f>E215/D215</f>
        <v/>
      </c>
      <c r="H215" s="4" t="n">
        <v>3</v>
      </c>
      <c r="I215" s="4" t="n">
        <v>10</v>
      </c>
      <c r="J215" s="55" t="n"/>
    </row>
    <row r="216">
      <c r="A216" s="57" t="n">
        <v>2</v>
      </c>
      <c r="B216" s="4" t="n">
        <v>2029</v>
      </c>
      <c r="C216" s="4" t="n">
        <v>6</v>
      </c>
      <c r="D216" s="55">
        <f>SUMIFS(Calendar!$F$1:$F$9997,Calendar!$B$1:$B$9997,ForeMonth!B216,Calendar!$C$1:$C$9997,ForeMonth!A216)</f>
        <v/>
      </c>
      <c r="E216" s="55">
        <f>ROUND(SUMIFS(ForeDaily!F:F,ForeDaily!C:C,A216,ForeDaily!D:D,B216,ForeDaily!E:E,C216),0)</f>
        <v/>
      </c>
      <c r="F216" s="55">
        <f>D216-E216</f>
        <v/>
      </c>
      <c r="G216" s="15">
        <f>E216/D216</f>
        <v/>
      </c>
      <c r="H216" s="4" t="n">
        <v>3</v>
      </c>
      <c r="I216" s="4" t="n">
        <v>11</v>
      </c>
      <c r="J216" s="55" t="n"/>
    </row>
    <row r="217">
      <c r="A217" s="57" t="n">
        <v>3</v>
      </c>
      <c r="B217" s="4" t="n">
        <v>2029</v>
      </c>
      <c r="C217" s="4" t="n">
        <v>6</v>
      </c>
      <c r="D217" s="55">
        <f>SUMIFS(Calendar!$F$1:$F$9997,Calendar!$B$1:$B$9997,ForeMonth!B217,Calendar!$C$1:$C$9997,ForeMonth!A217)</f>
        <v/>
      </c>
      <c r="E217" s="55">
        <f>ROUND(SUMIFS(ForeDaily!F:F,ForeDaily!C:C,A217,ForeDaily!D:D,B217,ForeDaily!E:E,C217),0)</f>
        <v/>
      </c>
      <c r="F217" s="55">
        <f>D217-E217</f>
        <v/>
      </c>
      <c r="G217" s="15">
        <f>E217/D217</f>
        <v/>
      </c>
      <c r="H217" s="4" t="n">
        <v>3</v>
      </c>
      <c r="I217" s="4" t="n">
        <v>12</v>
      </c>
      <c r="J217" s="55" t="n"/>
    </row>
    <row r="218">
      <c r="A218" s="57" t="n">
        <v>4</v>
      </c>
      <c r="B218" s="4" t="n">
        <v>2026</v>
      </c>
      <c r="C218" s="4" t="n">
        <v>7</v>
      </c>
      <c r="D218" s="55">
        <f>SUMIFS(Calendar!$F$1:$F$9997,Calendar!$B$1:$B$9997,ForeMonth!B218,Calendar!$C$1:$C$9997,ForeMonth!A218)</f>
        <v/>
      </c>
      <c r="E218" s="55">
        <f>ROUND(SUMIFS(ForeDaily!F:F,ForeDaily!C:C,A218,ForeDaily!D:D,B218,ForeDaily!E:E,C218),0)</f>
        <v/>
      </c>
      <c r="F218" s="55">
        <f>D218-E218</f>
        <v/>
      </c>
      <c r="G218" s="15">
        <f>E218/D218</f>
        <v/>
      </c>
      <c r="H218" s="4" t="n">
        <v>1</v>
      </c>
      <c r="I218" s="4" t="n">
        <v>1</v>
      </c>
      <c r="J218" s="55" t="n"/>
    </row>
    <row r="219">
      <c r="A219" s="57" t="n">
        <v>5</v>
      </c>
      <c r="B219" s="4" t="n">
        <v>2026</v>
      </c>
      <c r="C219" s="4" t="n">
        <v>7</v>
      </c>
      <c r="D219" s="55">
        <f>SUMIFS(Calendar!$F$1:$F$9997,Calendar!$B$1:$B$9997,ForeMonth!B219,Calendar!$C$1:$C$9997,ForeMonth!A219)</f>
        <v/>
      </c>
      <c r="E219" s="55">
        <f>ROUND(SUMIFS(ForeDaily!F:F,ForeDaily!C:C,A219,ForeDaily!D:D,B219,ForeDaily!E:E,C219),0)</f>
        <v/>
      </c>
      <c r="F219" s="55">
        <f>D219-E219</f>
        <v/>
      </c>
      <c r="G219" s="15">
        <f>E219/D219</f>
        <v/>
      </c>
      <c r="H219" s="4" t="n">
        <v>1</v>
      </c>
      <c r="I219" s="4" t="n">
        <v>2</v>
      </c>
      <c r="J219" s="55" t="n"/>
    </row>
    <row r="220">
      <c r="A220" s="57" t="n">
        <v>6</v>
      </c>
      <c r="B220" s="4" t="n">
        <v>2026</v>
      </c>
      <c r="C220" s="4" t="n">
        <v>7</v>
      </c>
      <c r="D220" s="55">
        <f>SUMIFS(Calendar!$F$1:$F$9997,Calendar!$B$1:$B$9997,ForeMonth!B220,Calendar!$C$1:$C$9997,ForeMonth!A220)</f>
        <v/>
      </c>
      <c r="E220" s="55">
        <f>ROUND(SUMIFS(ForeDaily!F:F,ForeDaily!C:C,A220,ForeDaily!D:D,B220,ForeDaily!E:E,C220),0)</f>
        <v/>
      </c>
      <c r="F220" s="55">
        <f>D220-E220</f>
        <v/>
      </c>
      <c r="G220" s="15">
        <f>E220/D220</f>
        <v/>
      </c>
      <c r="H220" s="4" t="n">
        <v>1</v>
      </c>
      <c r="I220" s="4" t="n">
        <v>3</v>
      </c>
      <c r="J220" s="55" t="n"/>
    </row>
    <row r="221">
      <c r="A221" s="57" t="n">
        <v>7</v>
      </c>
      <c r="B221" s="4" t="n">
        <v>2026</v>
      </c>
      <c r="C221" s="4" t="n">
        <v>7</v>
      </c>
      <c r="D221" s="55">
        <f>SUMIFS(Calendar!$F$1:$F$9997,Calendar!$B$1:$B$9997,ForeMonth!B221,Calendar!$C$1:$C$9997,ForeMonth!A221)</f>
        <v/>
      </c>
      <c r="E221" s="55">
        <f>ROUND(SUMIFS(ForeDaily!F:F,ForeDaily!C:C,A221,ForeDaily!D:D,B221,ForeDaily!E:E,C221),0)</f>
        <v/>
      </c>
      <c r="F221" s="55">
        <f>D221-E221</f>
        <v/>
      </c>
      <c r="G221" s="15">
        <f>E221/D221</f>
        <v/>
      </c>
      <c r="H221" s="4" t="n">
        <v>1</v>
      </c>
      <c r="I221" s="4" t="n">
        <v>4</v>
      </c>
      <c r="J221" s="55" t="n"/>
    </row>
    <row r="222">
      <c r="A222" s="57" t="n">
        <v>8</v>
      </c>
      <c r="B222" s="4" t="n">
        <v>2026</v>
      </c>
      <c r="C222" s="4" t="n">
        <v>7</v>
      </c>
      <c r="D222" s="55">
        <f>SUMIFS(Calendar!$F$1:$F$9997,Calendar!$B$1:$B$9997,ForeMonth!B222,Calendar!$C$1:$C$9997,ForeMonth!A222)</f>
        <v/>
      </c>
      <c r="E222" s="55">
        <f>ROUND(SUMIFS(ForeDaily!F:F,ForeDaily!C:C,A222,ForeDaily!D:D,B222,ForeDaily!E:E,C222),0)</f>
        <v/>
      </c>
      <c r="F222" s="55">
        <f>D222-E222</f>
        <v/>
      </c>
      <c r="G222" s="15">
        <f>E222/D222</f>
        <v/>
      </c>
      <c r="H222" s="4" t="n">
        <v>1</v>
      </c>
      <c r="I222" s="4" t="n">
        <v>5</v>
      </c>
      <c r="J222" s="55" t="n"/>
    </row>
    <row r="223">
      <c r="A223" s="57" t="n">
        <v>9</v>
      </c>
      <c r="B223" s="4" t="n">
        <v>2026</v>
      </c>
      <c r="C223" s="4" t="n">
        <v>7</v>
      </c>
      <c r="D223" s="55">
        <f>SUMIFS(Calendar!$F$1:$F$9997,Calendar!$B$1:$B$9997,ForeMonth!B223,Calendar!$C$1:$C$9997,ForeMonth!A223)</f>
        <v/>
      </c>
      <c r="E223" s="55">
        <f>ROUND(SUMIFS(ForeDaily!F:F,ForeDaily!C:C,A223,ForeDaily!D:D,B223,ForeDaily!E:E,C223),0)</f>
        <v/>
      </c>
      <c r="F223" s="55">
        <f>D223-E223</f>
        <v/>
      </c>
      <c r="G223" s="15">
        <f>E223/D223</f>
        <v/>
      </c>
      <c r="H223" s="4" t="n">
        <v>1</v>
      </c>
      <c r="I223" s="4" t="n">
        <v>6</v>
      </c>
      <c r="J223" s="55" t="n"/>
    </row>
    <row r="224">
      <c r="A224" s="57" t="n">
        <v>10</v>
      </c>
      <c r="B224" s="4" t="n">
        <v>2026</v>
      </c>
      <c r="C224" s="4" t="n">
        <v>7</v>
      </c>
      <c r="D224" s="55">
        <f>SUMIFS(Calendar!$F$1:$F$9997,Calendar!$B$1:$B$9997,ForeMonth!B224,Calendar!$C$1:$C$9997,ForeMonth!A224)</f>
        <v/>
      </c>
      <c r="E224" s="55">
        <f>ROUND(SUMIFS(ForeDaily!F:F,ForeDaily!C:C,A224,ForeDaily!D:D,B224,ForeDaily!E:E,C224),0)</f>
        <v/>
      </c>
      <c r="F224" s="55">
        <f>D224-E224</f>
        <v/>
      </c>
      <c r="G224" s="15">
        <f>E224/D224</f>
        <v/>
      </c>
      <c r="H224" s="4" t="n">
        <v>1</v>
      </c>
      <c r="I224" s="4" t="n">
        <v>7</v>
      </c>
      <c r="J224" s="55" t="n"/>
    </row>
    <row r="225">
      <c r="A225" s="57" t="n">
        <v>11</v>
      </c>
      <c r="B225" s="4" t="n">
        <v>2026</v>
      </c>
      <c r="C225" s="4" t="n">
        <v>7</v>
      </c>
      <c r="D225" s="55">
        <f>SUMIFS(Calendar!$F$1:$F$9997,Calendar!$B$1:$B$9997,ForeMonth!B225,Calendar!$C$1:$C$9997,ForeMonth!A225)</f>
        <v/>
      </c>
      <c r="E225" s="55">
        <f>ROUND(SUMIFS(ForeDaily!F:F,ForeDaily!C:C,A225,ForeDaily!D:D,B225,ForeDaily!E:E,C225),0)</f>
        <v/>
      </c>
      <c r="F225" s="55">
        <f>D225-E225</f>
        <v/>
      </c>
      <c r="G225" s="15">
        <f>E225/D225</f>
        <v/>
      </c>
      <c r="H225" s="4" t="n">
        <v>1</v>
      </c>
      <c r="I225" s="4" t="n">
        <v>8</v>
      </c>
      <c r="J225" s="55" t="n"/>
    </row>
    <row r="226">
      <c r="A226" s="57" t="n">
        <v>12</v>
      </c>
      <c r="B226" s="4" t="n">
        <v>2026</v>
      </c>
      <c r="C226" s="4" t="n">
        <v>7</v>
      </c>
      <c r="D226" s="55">
        <f>SUMIFS(Calendar!$F$1:$F$9997,Calendar!$B$1:$B$9997,ForeMonth!B226,Calendar!$C$1:$C$9997,ForeMonth!A226)</f>
        <v/>
      </c>
      <c r="E226" s="55">
        <f>ROUND(SUMIFS(ForeDaily!F:F,ForeDaily!C:C,A226,ForeDaily!D:D,B226,ForeDaily!E:E,C226),0)</f>
        <v/>
      </c>
      <c r="F226" s="55">
        <f>D226-E226</f>
        <v/>
      </c>
      <c r="G226" s="15">
        <f>E226/D226</f>
        <v/>
      </c>
      <c r="H226" s="4" t="n">
        <v>1</v>
      </c>
      <c r="I226" s="4" t="n">
        <v>9</v>
      </c>
      <c r="J226" s="55" t="n"/>
    </row>
    <row r="227">
      <c r="A227" s="57" t="n">
        <v>1</v>
      </c>
      <c r="B227" s="4" t="n">
        <v>2027</v>
      </c>
      <c r="C227" s="4" t="n">
        <v>7</v>
      </c>
      <c r="D227" s="55">
        <f>SUMIFS(Calendar!$F$1:$F$9997,Calendar!$B$1:$B$9997,ForeMonth!B227,Calendar!$C$1:$C$9997,ForeMonth!A227)</f>
        <v/>
      </c>
      <c r="E227" s="55">
        <f>ROUND(SUMIFS(ForeDaily!F:F,ForeDaily!C:C,A227,ForeDaily!D:D,B227,ForeDaily!E:E,C227),0)</f>
        <v/>
      </c>
      <c r="F227" s="55">
        <f>D227-E227</f>
        <v/>
      </c>
      <c r="G227" s="15">
        <f>E227/D227</f>
        <v/>
      </c>
      <c r="H227" s="4" t="n">
        <v>1</v>
      </c>
      <c r="I227" s="4" t="n">
        <v>10</v>
      </c>
      <c r="J227" s="55" t="n"/>
    </row>
    <row r="228">
      <c r="A228" s="57" t="n">
        <v>2</v>
      </c>
      <c r="B228" s="4" t="n">
        <v>2027</v>
      </c>
      <c r="C228" s="4" t="n">
        <v>7</v>
      </c>
      <c r="D228" s="55">
        <f>SUMIFS(Calendar!$F$1:$F$9997,Calendar!$B$1:$B$9997,ForeMonth!B228,Calendar!$C$1:$C$9997,ForeMonth!A228)</f>
        <v/>
      </c>
      <c r="E228" s="55">
        <f>ROUND(SUMIFS(ForeDaily!F:F,ForeDaily!C:C,A228,ForeDaily!D:D,B228,ForeDaily!E:E,C228),0)</f>
        <v/>
      </c>
      <c r="F228" s="55">
        <f>D228-E228</f>
        <v/>
      </c>
      <c r="G228" s="15">
        <f>E228/D228</f>
        <v/>
      </c>
      <c r="H228" s="4" t="n">
        <v>1</v>
      </c>
      <c r="I228" s="4" t="n">
        <v>11</v>
      </c>
      <c r="J228" s="55" t="n"/>
    </row>
    <row r="229">
      <c r="A229" s="57" t="n">
        <v>3</v>
      </c>
      <c r="B229" s="4" t="n">
        <v>2027</v>
      </c>
      <c r="C229" s="4" t="n">
        <v>7</v>
      </c>
      <c r="D229" s="55">
        <f>SUMIFS(Calendar!$F$1:$F$9997,Calendar!$B$1:$B$9997,ForeMonth!B229,Calendar!$C$1:$C$9997,ForeMonth!A229)</f>
        <v/>
      </c>
      <c r="E229" s="55">
        <f>ROUND(SUMIFS(ForeDaily!F:F,ForeDaily!C:C,A229,ForeDaily!D:D,B229,ForeDaily!E:E,C229),0)</f>
        <v/>
      </c>
      <c r="F229" s="55">
        <f>D229-E229</f>
        <v/>
      </c>
      <c r="G229" s="15">
        <f>E229/D229</f>
        <v/>
      </c>
      <c r="H229" s="4" t="n">
        <v>1</v>
      </c>
      <c r="I229" s="4" t="n">
        <v>12</v>
      </c>
      <c r="J229" s="55" t="n"/>
    </row>
    <row r="230">
      <c r="A230" s="57" t="n">
        <v>4</v>
      </c>
      <c r="B230" s="4" t="n">
        <v>2027</v>
      </c>
      <c r="C230" s="4" t="n">
        <v>7</v>
      </c>
      <c r="D230" s="55">
        <f>SUMIFS(Calendar!$F$1:$F$9997,Calendar!$B$1:$B$9997,ForeMonth!B230,Calendar!$C$1:$C$9997,ForeMonth!A230)</f>
        <v/>
      </c>
      <c r="E230" s="55">
        <f>ROUND(SUMIFS(ForeDaily!F:F,ForeDaily!C:C,A230,ForeDaily!D:D,B230,ForeDaily!E:E,C230),0)</f>
        <v/>
      </c>
      <c r="F230" s="55">
        <f>D230-E230</f>
        <v/>
      </c>
      <c r="G230" s="15">
        <f>E230/D230</f>
        <v/>
      </c>
      <c r="H230" s="4" t="n">
        <v>2</v>
      </c>
      <c r="I230" s="4" t="n">
        <v>1</v>
      </c>
      <c r="J230" s="55" t="n"/>
    </row>
    <row r="231">
      <c r="A231" s="57" t="n">
        <v>5</v>
      </c>
      <c r="B231" s="4" t="n">
        <v>2027</v>
      </c>
      <c r="C231" s="4" t="n">
        <v>7</v>
      </c>
      <c r="D231" s="55">
        <f>SUMIFS(Calendar!$F$1:$F$9997,Calendar!$B$1:$B$9997,ForeMonth!B231,Calendar!$C$1:$C$9997,ForeMonth!A231)</f>
        <v/>
      </c>
      <c r="E231" s="55">
        <f>ROUND(SUMIFS(ForeDaily!F:F,ForeDaily!C:C,A231,ForeDaily!D:D,B231,ForeDaily!E:E,C231),0)</f>
        <v/>
      </c>
      <c r="F231" s="55">
        <f>D231-E231</f>
        <v/>
      </c>
      <c r="G231" s="15">
        <f>E231/D231</f>
        <v/>
      </c>
      <c r="H231" s="4" t="n">
        <v>2</v>
      </c>
      <c r="I231" s="4" t="n">
        <v>2</v>
      </c>
      <c r="J231" s="55" t="n"/>
    </row>
    <row r="232">
      <c r="A232" s="57" t="n">
        <v>6</v>
      </c>
      <c r="B232" s="4" t="n">
        <v>2027</v>
      </c>
      <c r="C232" s="4" t="n">
        <v>7</v>
      </c>
      <c r="D232" s="55">
        <f>SUMIFS(Calendar!$F$1:$F$9997,Calendar!$B$1:$B$9997,ForeMonth!B232,Calendar!$C$1:$C$9997,ForeMonth!A232)</f>
        <v/>
      </c>
      <c r="E232" s="55">
        <f>ROUND(SUMIFS(ForeDaily!F:F,ForeDaily!C:C,A232,ForeDaily!D:D,B232,ForeDaily!E:E,C232),0)</f>
        <v/>
      </c>
      <c r="F232" s="55">
        <f>D232-E232</f>
        <v/>
      </c>
      <c r="G232" s="15">
        <f>E232/D232</f>
        <v/>
      </c>
      <c r="H232" s="4" t="n">
        <v>2</v>
      </c>
      <c r="I232" s="4" t="n">
        <v>3</v>
      </c>
      <c r="J232" s="55" t="n"/>
    </row>
    <row r="233">
      <c r="A233" s="57" t="n">
        <v>7</v>
      </c>
      <c r="B233" s="4" t="n">
        <v>2027</v>
      </c>
      <c r="C233" s="4" t="n">
        <v>7</v>
      </c>
      <c r="D233" s="55">
        <f>SUMIFS(Calendar!$F$1:$F$9997,Calendar!$B$1:$B$9997,ForeMonth!B233,Calendar!$C$1:$C$9997,ForeMonth!A233)</f>
        <v/>
      </c>
      <c r="E233" s="55">
        <f>ROUND(SUMIFS(ForeDaily!F:F,ForeDaily!C:C,A233,ForeDaily!D:D,B233,ForeDaily!E:E,C233),0)</f>
        <v/>
      </c>
      <c r="F233" s="55">
        <f>D233-E233</f>
        <v/>
      </c>
      <c r="G233" s="15">
        <f>E233/D233</f>
        <v/>
      </c>
      <c r="H233" s="4" t="n">
        <v>2</v>
      </c>
      <c r="I233" s="4" t="n">
        <v>4</v>
      </c>
      <c r="J233" s="55" t="n"/>
    </row>
    <row r="234">
      <c r="A234" s="57" t="n">
        <v>8</v>
      </c>
      <c r="B234" s="4" t="n">
        <v>2027</v>
      </c>
      <c r="C234" s="4" t="n">
        <v>7</v>
      </c>
      <c r="D234" s="55">
        <f>SUMIFS(Calendar!$F$1:$F$9997,Calendar!$B$1:$B$9997,ForeMonth!B234,Calendar!$C$1:$C$9997,ForeMonth!A234)</f>
        <v/>
      </c>
      <c r="E234" s="55">
        <f>ROUND(SUMIFS(ForeDaily!F:F,ForeDaily!C:C,A234,ForeDaily!D:D,B234,ForeDaily!E:E,C234),0)</f>
        <v/>
      </c>
      <c r="F234" s="55">
        <f>D234-E234</f>
        <v/>
      </c>
      <c r="G234" s="15">
        <f>E234/D234</f>
        <v/>
      </c>
      <c r="H234" s="4" t="n">
        <v>2</v>
      </c>
      <c r="I234" s="4" t="n">
        <v>5</v>
      </c>
      <c r="J234" s="55" t="n"/>
    </row>
    <row r="235">
      <c r="A235" s="57" t="n">
        <v>9</v>
      </c>
      <c r="B235" s="4" t="n">
        <v>2027</v>
      </c>
      <c r="C235" s="4" t="n">
        <v>7</v>
      </c>
      <c r="D235" s="55">
        <f>SUMIFS(Calendar!$F$1:$F$9997,Calendar!$B$1:$B$9997,ForeMonth!B235,Calendar!$C$1:$C$9997,ForeMonth!A235)</f>
        <v/>
      </c>
      <c r="E235" s="55">
        <f>ROUND(SUMIFS(ForeDaily!F:F,ForeDaily!C:C,A235,ForeDaily!D:D,B235,ForeDaily!E:E,C235),0)</f>
        <v/>
      </c>
      <c r="F235" s="55">
        <f>D235-E235</f>
        <v/>
      </c>
      <c r="G235" s="15">
        <f>E235/D235</f>
        <v/>
      </c>
      <c r="H235" s="4" t="n">
        <v>2</v>
      </c>
      <c r="I235" s="4" t="n">
        <v>6</v>
      </c>
      <c r="J235" s="55" t="n"/>
    </row>
    <row r="236">
      <c r="A236" s="57" t="n">
        <v>10</v>
      </c>
      <c r="B236" s="4" t="n">
        <v>2027</v>
      </c>
      <c r="C236" s="4" t="n">
        <v>7</v>
      </c>
      <c r="D236" s="55">
        <f>SUMIFS(Calendar!$F$1:$F$9997,Calendar!$B$1:$B$9997,ForeMonth!B236,Calendar!$C$1:$C$9997,ForeMonth!A236)</f>
        <v/>
      </c>
      <c r="E236" s="55">
        <f>ROUND(SUMIFS(ForeDaily!F:F,ForeDaily!C:C,A236,ForeDaily!D:D,B236,ForeDaily!E:E,C236),0)</f>
        <v/>
      </c>
      <c r="F236" s="55">
        <f>D236-E236</f>
        <v/>
      </c>
      <c r="G236" s="15">
        <f>E236/D236</f>
        <v/>
      </c>
      <c r="H236" s="4" t="n">
        <v>2</v>
      </c>
      <c r="I236" s="4" t="n">
        <v>7</v>
      </c>
      <c r="J236" s="55" t="n"/>
    </row>
    <row r="237">
      <c r="A237" s="57" t="n">
        <v>11</v>
      </c>
      <c r="B237" s="4" t="n">
        <v>2027</v>
      </c>
      <c r="C237" s="4" t="n">
        <v>7</v>
      </c>
      <c r="D237" s="55">
        <f>SUMIFS(Calendar!$F$1:$F$9997,Calendar!$B$1:$B$9997,ForeMonth!B237,Calendar!$C$1:$C$9997,ForeMonth!A237)</f>
        <v/>
      </c>
      <c r="E237" s="55">
        <f>ROUND(SUMIFS(ForeDaily!F:F,ForeDaily!C:C,A237,ForeDaily!D:D,B237,ForeDaily!E:E,C237),0)</f>
        <v/>
      </c>
      <c r="F237" s="55">
        <f>D237-E237</f>
        <v/>
      </c>
      <c r="G237" s="15">
        <f>E237/D237</f>
        <v/>
      </c>
      <c r="H237" s="4" t="n">
        <v>2</v>
      </c>
      <c r="I237" s="4" t="n">
        <v>8</v>
      </c>
      <c r="J237" s="55" t="n"/>
    </row>
    <row r="238">
      <c r="A238" s="57" t="n">
        <v>12</v>
      </c>
      <c r="B238" s="4" t="n">
        <v>2027</v>
      </c>
      <c r="C238" s="4" t="n">
        <v>7</v>
      </c>
      <c r="D238" s="55">
        <f>SUMIFS(Calendar!$F$1:$F$9997,Calendar!$B$1:$B$9997,ForeMonth!B238,Calendar!$C$1:$C$9997,ForeMonth!A238)</f>
        <v/>
      </c>
      <c r="E238" s="55">
        <f>ROUND(SUMIFS(ForeDaily!F:F,ForeDaily!C:C,A238,ForeDaily!D:D,B238,ForeDaily!E:E,C238),0)</f>
        <v/>
      </c>
      <c r="F238" s="55">
        <f>D238-E238</f>
        <v/>
      </c>
      <c r="G238" s="15">
        <f>E238/D238</f>
        <v/>
      </c>
      <c r="H238" s="4" t="n">
        <v>2</v>
      </c>
      <c r="I238" s="4" t="n">
        <v>9</v>
      </c>
      <c r="J238" s="55" t="n"/>
    </row>
    <row r="239">
      <c r="A239" s="57" t="n">
        <v>1</v>
      </c>
      <c r="B239" s="4" t="n">
        <v>2028</v>
      </c>
      <c r="C239" s="4" t="n">
        <v>7</v>
      </c>
      <c r="D239" s="55">
        <f>SUMIFS(Calendar!$F$1:$F$9997,Calendar!$B$1:$B$9997,ForeMonth!B239,Calendar!$C$1:$C$9997,ForeMonth!A239)</f>
        <v/>
      </c>
      <c r="E239" s="55">
        <f>ROUND(SUMIFS(ForeDaily!F:F,ForeDaily!C:C,A239,ForeDaily!D:D,B239,ForeDaily!E:E,C239),0)</f>
        <v/>
      </c>
      <c r="F239" s="55">
        <f>D239-E239</f>
        <v/>
      </c>
      <c r="G239" s="15">
        <f>E239/D239</f>
        <v/>
      </c>
      <c r="H239" s="4" t="n">
        <v>2</v>
      </c>
      <c r="I239" s="4" t="n">
        <v>10</v>
      </c>
      <c r="J239" s="55" t="n"/>
    </row>
    <row r="240">
      <c r="A240" s="57" t="n">
        <v>2</v>
      </c>
      <c r="B240" s="4" t="n">
        <v>2028</v>
      </c>
      <c r="C240" s="4" t="n">
        <v>7</v>
      </c>
      <c r="D240" s="55">
        <f>SUMIFS(Calendar!$F$1:$F$9997,Calendar!$B$1:$B$9997,ForeMonth!B240,Calendar!$C$1:$C$9997,ForeMonth!A240)</f>
        <v/>
      </c>
      <c r="E240" s="55">
        <f>ROUND(SUMIFS(ForeDaily!F:F,ForeDaily!C:C,A240,ForeDaily!D:D,B240,ForeDaily!E:E,C240),0)</f>
        <v/>
      </c>
      <c r="F240" s="55">
        <f>D240-E240</f>
        <v/>
      </c>
      <c r="G240" s="15">
        <f>E240/D240</f>
        <v/>
      </c>
      <c r="H240" s="4" t="n">
        <v>2</v>
      </c>
      <c r="I240" s="4" t="n">
        <v>11</v>
      </c>
      <c r="J240" s="55" t="n"/>
    </row>
    <row r="241">
      <c r="A241" s="57" t="n">
        <v>3</v>
      </c>
      <c r="B241" s="4" t="n">
        <v>2028</v>
      </c>
      <c r="C241" s="4" t="n">
        <v>7</v>
      </c>
      <c r="D241" s="55">
        <f>SUMIFS(Calendar!$F$1:$F$9997,Calendar!$B$1:$B$9997,ForeMonth!B241,Calendar!$C$1:$C$9997,ForeMonth!A241)</f>
        <v/>
      </c>
      <c r="E241" s="55">
        <f>ROUND(SUMIFS(ForeDaily!F:F,ForeDaily!C:C,A241,ForeDaily!D:D,B241,ForeDaily!E:E,C241),0)</f>
        <v/>
      </c>
      <c r="F241" s="55">
        <f>D241-E241</f>
        <v/>
      </c>
      <c r="G241" s="15">
        <f>E241/D241</f>
        <v/>
      </c>
      <c r="H241" s="4" t="n">
        <v>2</v>
      </c>
      <c r="I241" s="4" t="n">
        <v>12</v>
      </c>
      <c r="J241" s="55" t="n"/>
    </row>
    <row r="242">
      <c r="A242" s="57" t="n">
        <v>4</v>
      </c>
      <c r="B242" s="4" t="n">
        <v>2028</v>
      </c>
      <c r="C242" s="4" t="n">
        <v>7</v>
      </c>
      <c r="D242" s="55">
        <f>SUMIFS(Calendar!$F$1:$F$9997,Calendar!$B$1:$B$9997,ForeMonth!B242,Calendar!$C$1:$C$9997,ForeMonth!A242)</f>
        <v/>
      </c>
      <c r="E242" s="55">
        <f>ROUND(SUMIFS(ForeDaily!F:F,ForeDaily!C:C,A242,ForeDaily!D:D,B242,ForeDaily!E:E,C242),0)</f>
        <v/>
      </c>
      <c r="F242" s="55">
        <f>D242-E242</f>
        <v/>
      </c>
      <c r="G242" s="15">
        <f>E242/D242</f>
        <v/>
      </c>
      <c r="H242" s="4" t="n">
        <v>3</v>
      </c>
      <c r="I242" s="4" t="n">
        <v>1</v>
      </c>
      <c r="J242" s="55" t="n"/>
    </row>
    <row r="243">
      <c r="A243" s="57" t="n">
        <v>5</v>
      </c>
      <c r="B243" s="4" t="n">
        <v>2028</v>
      </c>
      <c r="C243" s="4" t="n">
        <v>7</v>
      </c>
      <c r="D243" s="55">
        <f>SUMIFS(Calendar!$F$1:$F$9997,Calendar!$B$1:$B$9997,ForeMonth!B243,Calendar!$C$1:$C$9997,ForeMonth!A243)</f>
        <v/>
      </c>
      <c r="E243" s="55">
        <f>ROUND(SUMIFS(ForeDaily!F:F,ForeDaily!C:C,A243,ForeDaily!D:D,B243,ForeDaily!E:E,C243),0)</f>
        <v/>
      </c>
      <c r="F243" s="55">
        <f>D243-E243</f>
        <v/>
      </c>
      <c r="G243" s="15">
        <f>E243/D243</f>
        <v/>
      </c>
      <c r="H243" s="4" t="n">
        <v>3</v>
      </c>
      <c r="I243" s="4" t="n">
        <v>2</v>
      </c>
      <c r="J243" s="55" t="n"/>
    </row>
    <row r="244">
      <c r="A244" s="57" t="n">
        <v>6</v>
      </c>
      <c r="B244" s="4" t="n">
        <v>2028</v>
      </c>
      <c r="C244" s="4" t="n">
        <v>7</v>
      </c>
      <c r="D244" s="55">
        <f>SUMIFS(Calendar!$F$1:$F$9997,Calendar!$B$1:$B$9997,ForeMonth!B244,Calendar!$C$1:$C$9997,ForeMonth!A244)</f>
        <v/>
      </c>
      <c r="E244" s="55">
        <f>ROUND(SUMIFS(ForeDaily!F:F,ForeDaily!C:C,A244,ForeDaily!D:D,B244,ForeDaily!E:E,C244),0)</f>
        <v/>
      </c>
      <c r="F244" s="55">
        <f>D244-E244</f>
        <v/>
      </c>
      <c r="G244" s="15">
        <f>E244/D244</f>
        <v/>
      </c>
      <c r="H244" s="4" t="n">
        <v>3</v>
      </c>
      <c r="I244" s="4" t="n">
        <v>3</v>
      </c>
      <c r="J244" s="55" t="n"/>
    </row>
    <row r="245">
      <c r="A245" s="57" t="n">
        <v>7</v>
      </c>
      <c r="B245" s="4" t="n">
        <v>2028</v>
      </c>
      <c r="C245" s="4" t="n">
        <v>7</v>
      </c>
      <c r="D245" s="55">
        <f>SUMIFS(Calendar!$F$1:$F$9997,Calendar!$B$1:$B$9997,ForeMonth!B245,Calendar!$C$1:$C$9997,ForeMonth!A245)</f>
        <v/>
      </c>
      <c r="E245" s="55">
        <f>ROUND(SUMIFS(ForeDaily!F:F,ForeDaily!C:C,A245,ForeDaily!D:D,B245,ForeDaily!E:E,C245),0)</f>
        <v/>
      </c>
      <c r="F245" s="55">
        <f>D245-E245</f>
        <v/>
      </c>
      <c r="G245" s="15">
        <f>E245/D245</f>
        <v/>
      </c>
      <c r="H245" s="4" t="n">
        <v>3</v>
      </c>
      <c r="I245" s="4" t="n">
        <v>4</v>
      </c>
      <c r="J245" s="55" t="n"/>
    </row>
    <row r="246">
      <c r="A246" s="57" t="n">
        <v>8</v>
      </c>
      <c r="B246" s="4" t="n">
        <v>2028</v>
      </c>
      <c r="C246" s="4" t="n">
        <v>7</v>
      </c>
      <c r="D246" s="55">
        <f>SUMIFS(Calendar!$F$1:$F$9997,Calendar!$B$1:$B$9997,ForeMonth!B246,Calendar!$C$1:$C$9997,ForeMonth!A246)</f>
        <v/>
      </c>
      <c r="E246" s="55">
        <f>ROUND(SUMIFS(ForeDaily!F:F,ForeDaily!C:C,A246,ForeDaily!D:D,B246,ForeDaily!E:E,C246),0)</f>
        <v/>
      </c>
      <c r="F246" s="55">
        <f>D246-E246</f>
        <v/>
      </c>
      <c r="G246" s="15">
        <f>E246/D246</f>
        <v/>
      </c>
      <c r="H246" s="4" t="n">
        <v>3</v>
      </c>
      <c r="I246" s="4" t="n">
        <v>5</v>
      </c>
      <c r="J246" s="55" t="n"/>
    </row>
    <row r="247">
      <c r="A247" s="57" t="n">
        <v>9</v>
      </c>
      <c r="B247" s="4" t="n">
        <v>2028</v>
      </c>
      <c r="C247" s="4" t="n">
        <v>7</v>
      </c>
      <c r="D247" s="55">
        <f>SUMIFS(Calendar!$F$1:$F$9997,Calendar!$B$1:$B$9997,ForeMonth!B247,Calendar!$C$1:$C$9997,ForeMonth!A247)</f>
        <v/>
      </c>
      <c r="E247" s="55">
        <f>ROUND(SUMIFS(ForeDaily!F:F,ForeDaily!C:C,A247,ForeDaily!D:D,B247,ForeDaily!E:E,C247),0)</f>
        <v/>
      </c>
      <c r="F247" s="55">
        <f>D247-E247</f>
        <v/>
      </c>
      <c r="G247" s="15">
        <f>E247/D247</f>
        <v/>
      </c>
      <c r="H247" s="4" t="n">
        <v>3</v>
      </c>
      <c r="I247" s="4" t="n">
        <v>6</v>
      </c>
      <c r="J247" s="55" t="n"/>
    </row>
    <row r="248">
      <c r="A248" s="57" t="n">
        <v>10</v>
      </c>
      <c r="B248" s="4" t="n">
        <v>2028</v>
      </c>
      <c r="C248" s="4" t="n">
        <v>7</v>
      </c>
      <c r="D248" s="55">
        <f>SUMIFS(Calendar!$F$1:$F$9997,Calendar!$B$1:$B$9997,ForeMonth!B248,Calendar!$C$1:$C$9997,ForeMonth!A248)</f>
        <v/>
      </c>
      <c r="E248" s="55">
        <f>ROUND(SUMIFS(ForeDaily!F:F,ForeDaily!C:C,A248,ForeDaily!D:D,B248,ForeDaily!E:E,C248),0)</f>
        <v/>
      </c>
      <c r="F248" s="55">
        <f>D248-E248</f>
        <v/>
      </c>
      <c r="G248" s="15">
        <f>E248/D248</f>
        <v/>
      </c>
      <c r="H248" s="4" t="n">
        <v>3</v>
      </c>
      <c r="I248" s="4" t="n">
        <v>7</v>
      </c>
      <c r="J248" s="55" t="n"/>
    </row>
    <row r="249">
      <c r="A249" s="57" t="n">
        <v>11</v>
      </c>
      <c r="B249" s="4" t="n">
        <v>2028</v>
      </c>
      <c r="C249" s="4" t="n">
        <v>7</v>
      </c>
      <c r="D249" s="55">
        <f>SUMIFS(Calendar!$F$1:$F$9997,Calendar!$B$1:$B$9997,ForeMonth!B249,Calendar!$C$1:$C$9997,ForeMonth!A249)</f>
        <v/>
      </c>
      <c r="E249" s="55">
        <f>ROUND(SUMIFS(ForeDaily!F:F,ForeDaily!C:C,A249,ForeDaily!D:D,B249,ForeDaily!E:E,C249),0)</f>
        <v/>
      </c>
      <c r="F249" s="55">
        <f>D249-E249</f>
        <v/>
      </c>
      <c r="G249" s="15">
        <f>E249/D249</f>
        <v/>
      </c>
      <c r="H249" s="4" t="n">
        <v>3</v>
      </c>
      <c r="I249" s="4" t="n">
        <v>8</v>
      </c>
      <c r="J249" s="55" t="n"/>
    </row>
    <row r="250">
      <c r="A250" s="57" t="n">
        <v>12</v>
      </c>
      <c r="B250" s="4" t="n">
        <v>2028</v>
      </c>
      <c r="C250" s="4" t="n">
        <v>7</v>
      </c>
      <c r="D250" s="55">
        <f>SUMIFS(Calendar!$F$1:$F$9997,Calendar!$B$1:$B$9997,ForeMonth!B250,Calendar!$C$1:$C$9997,ForeMonth!A250)</f>
        <v/>
      </c>
      <c r="E250" s="55">
        <f>ROUND(SUMIFS(ForeDaily!F:F,ForeDaily!C:C,A250,ForeDaily!D:D,B250,ForeDaily!E:E,C250),0)</f>
        <v/>
      </c>
      <c r="F250" s="55">
        <f>D250-E250</f>
        <v/>
      </c>
      <c r="G250" s="15">
        <f>E250/D250</f>
        <v/>
      </c>
      <c r="H250" s="4" t="n">
        <v>3</v>
      </c>
      <c r="I250" s="4" t="n">
        <v>9</v>
      </c>
      <c r="J250" s="55" t="n"/>
    </row>
    <row r="251">
      <c r="A251" s="57" t="n">
        <v>1</v>
      </c>
      <c r="B251" s="4" t="n">
        <v>2029</v>
      </c>
      <c r="C251" s="4" t="n">
        <v>7</v>
      </c>
      <c r="D251" s="55">
        <f>SUMIFS(Calendar!$F$1:$F$9997,Calendar!$B$1:$B$9997,ForeMonth!B251,Calendar!$C$1:$C$9997,ForeMonth!A251)</f>
        <v/>
      </c>
      <c r="E251" s="55">
        <f>ROUND(SUMIFS(ForeDaily!F:F,ForeDaily!C:C,A251,ForeDaily!D:D,B251,ForeDaily!E:E,C251),0)</f>
        <v/>
      </c>
      <c r="F251" s="55">
        <f>D251-E251</f>
        <v/>
      </c>
      <c r="G251" s="15">
        <f>E251/D251</f>
        <v/>
      </c>
      <c r="H251" s="4" t="n">
        <v>3</v>
      </c>
      <c r="I251" s="4" t="n">
        <v>10</v>
      </c>
      <c r="J251" s="55" t="n"/>
    </row>
    <row r="252">
      <c r="A252" s="57" t="n">
        <v>2</v>
      </c>
      <c r="B252" s="4" t="n">
        <v>2029</v>
      </c>
      <c r="C252" s="4" t="n">
        <v>7</v>
      </c>
      <c r="D252" s="55">
        <f>SUMIFS(Calendar!$F$1:$F$9997,Calendar!$B$1:$B$9997,ForeMonth!B252,Calendar!$C$1:$C$9997,ForeMonth!A252)</f>
        <v/>
      </c>
      <c r="E252" s="55">
        <f>ROUND(SUMIFS(ForeDaily!F:F,ForeDaily!C:C,A252,ForeDaily!D:D,B252,ForeDaily!E:E,C252),0)</f>
        <v/>
      </c>
      <c r="F252" s="55">
        <f>D252-E252</f>
        <v/>
      </c>
      <c r="G252" s="15">
        <f>E252/D252</f>
        <v/>
      </c>
      <c r="H252" s="4" t="n">
        <v>3</v>
      </c>
      <c r="I252" s="4" t="n">
        <v>11</v>
      </c>
      <c r="J252" s="55" t="n"/>
    </row>
    <row r="253">
      <c r="A253" s="57" t="n">
        <v>3</v>
      </c>
      <c r="B253" s="4" t="n">
        <v>2029</v>
      </c>
      <c r="C253" s="4" t="n">
        <v>7</v>
      </c>
      <c r="D253" s="55">
        <f>SUMIFS(Calendar!$F$1:$F$9997,Calendar!$B$1:$B$9997,ForeMonth!B253,Calendar!$C$1:$C$9997,ForeMonth!A253)</f>
        <v/>
      </c>
      <c r="E253" s="55">
        <f>ROUND(SUMIFS(ForeDaily!F:F,ForeDaily!C:C,A253,ForeDaily!D:D,B253,ForeDaily!E:E,C253),0)</f>
        <v/>
      </c>
      <c r="F253" s="55">
        <f>D253-E253</f>
        <v/>
      </c>
      <c r="G253" s="15">
        <f>E253/D253</f>
        <v/>
      </c>
      <c r="H253" s="4" t="n">
        <v>3</v>
      </c>
      <c r="I253" s="4" t="n">
        <v>12</v>
      </c>
      <c r="J253" s="55" t="n"/>
    </row>
    <row r="254">
      <c r="A254" s="57" t="n">
        <v>4</v>
      </c>
      <c r="B254" s="4" t="n">
        <v>2026</v>
      </c>
      <c r="C254" s="4" t="n">
        <v>8</v>
      </c>
      <c r="D254" s="55">
        <f>SUMIFS(Calendar!$F$1:$F$9997,Calendar!$B$1:$B$9997,ForeMonth!B254,Calendar!$C$1:$C$9997,ForeMonth!A254)</f>
        <v/>
      </c>
      <c r="E254" s="55">
        <f>ROUND(SUMIFS(ForeDaily!F:F,ForeDaily!C:C,A254,ForeDaily!D:D,B254,ForeDaily!E:E,C254),0)</f>
        <v/>
      </c>
      <c r="F254" s="55">
        <f>D254-E254</f>
        <v/>
      </c>
      <c r="G254" s="15">
        <f>E254/D254</f>
        <v/>
      </c>
      <c r="H254" s="4" t="n">
        <v>1</v>
      </c>
      <c r="I254" s="4" t="n">
        <v>1</v>
      </c>
      <c r="J254" s="55" t="n"/>
    </row>
    <row r="255">
      <c r="A255" s="57" t="n">
        <v>5</v>
      </c>
      <c r="B255" s="4" t="n">
        <v>2026</v>
      </c>
      <c r="C255" s="4" t="n">
        <v>8</v>
      </c>
      <c r="D255" s="55">
        <f>SUMIFS(Calendar!$F$1:$F$9997,Calendar!$B$1:$B$9997,ForeMonth!B255,Calendar!$C$1:$C$9997,ForeMonth!A255)</f>
        <v/>
      </c>
      <c r="E255" s="55">
        <f>ROUND(SUMIFS(ForeDaily!F:F,ForeDaily!C:C,A255,ForeDaily!D:D,B255,ForeDaily!E:E,C255),0)</f>
        <v/>
      </c>
      <c r="F255" s="55">
        <f>D255-E255</f>
        <v/>
      </c>
      <c r="G255" s="15">
        <f>E255/D255</f>
        <v/>
      </c>
      <c r="H255" s="4" t="n">
        <v>1</v>
      </c>
      <c r="I255" s="4" t="n">
        <v>2</v>
      </c>
      <c r="J255" s="55" t="n"/>
    </row>
    <row r="256">
      <c r="A256" s="57" t="n">
        <v>6</v>
      </c>
      <c r="B256" s="4" t="n">
        <v>2026</v>
      </c>
      <c r="C256" s="4" t="n">
        <v>8</v>
      </c>
      <c r="D256" s="55">
        <f>SUMIFS(Calendar!$F$1:$F$9997,Calendar!$B$1:$B$9997,ForeMonth!B256,Calendar!$C$1:$C$9997,ForeMonth!A256)</f>
        <v/>
      </c>
      <c r="E256" s="55">
        <f>ROUND(SUMIFS(ForeDaily!F:F,ForeDaily!C:C,A256,ForeDaily!D:D,B256,ForeDaily!E:E,C256),0)</f>
        <v/>
      </c>
      <c r="F256" s="55">
        <f>D256-E256</f>
        <v/>
      </c>
      <c r="G256" s="15">
        <f>E256/D256</f>
        <v/>
      </c>
      <c r="H256" s="4" t="n">
        <v>1</v>
      </c>
      <c r="I256" s="4" t="n">
        <v>3</v>
      </c>
      <c r="J256" s="55" t="n"/>
    </row>
    <row r="257">
      <c r="A257" s="57" t="n">
        <v>7</v>
      </c>
      <c r="B257" s="4" t="n">
        <v>2026</v>
      </c>
      <c r="C257" s="4" t="n">
        <v>8</v>
      </c>
      <c r="D257" s="55">
        <f>SUMIFS(Calendar!$F$1:$F$9997,Calendar!$B$1:$B$9997,ForeMonth!B257,Calendar!$C$1:$C$9997,ForeMonth!A257)</f>
        <v/>
      </c>
      <c r="E257" s="55">
        <f>ROUND(SUMIFS(ForeDaily!F:F,ForeDaily!C:C,A257,ForeDaily!D:D,B257,ForeDaily!E:E,C257),0)</f>
        <v/>
      </c>
      <c r="F257" s="55">
        <f>D257-E257</f>
        <v/>
      </c>
      <c r="G257" s="15">
        <f>E257/D257</f>
        <v/>
      </c>
      <c r="H257" s="4" t="n">
        <v>1</v>
      </c>
      <c r="I257" s="4" t="n">
        <v>4</v>
      </c>
      <c r="J257" s="55" t="n"/>
    </row>
    <row r="258">
      <c r="A258" s="57" t="n">
        <v>8</v>
      </c>
      <c r="B258" s="4" t="n">
        <v>2026</v>
      </c>
      <c r="C258" s="4" t="n">
        <v>8</v>
      </c>
      <c r="D258" s="55">
        <f>SUMIFS(Calendar!$F$1:$F$9997,Calendar!$B$1:$B$9997,ForeMonth!B258,Calendar!$C$1:$C$9997,ForeMonth!A258)</f>
        <v/>
      </c>
      <c r="E258" s="55">
        <f>ROUND(SUMIFS(ForeDaily!F:F,ForeDaily!C:C,A258,ForeDaily!D:D,B258,ForeDaily!E:E,C258),0)</f>
        <v/>
      </c>
      <c r="F258" s="55">
        <f>D258-E258</f>
        <v/>
      </c>
      <c r="G258" s="15">
        <f>E258/D258</f>
        <v/>
      </c>
      <c r="H258" s="4" t="n">
        <v>1</v>
      </c>
      <c r="I258" s="4" t="n">
        <v>5</v>
      </c>
      <c r="J258" s="55" t="n"/>
    </row>
    <row r="259">
      <c r="A259" s="57" t="n">
        <v>9</v>
      </c>
      <c r="B259" s="4" t="n">
        <v>2026</v>
      </c>
      <c r="C259" s="4" t="n">
        <v>8</v>
      </c>
      <c r="D259" s="55">
        <f>SUMIFS(Calendar!$F$1:$F$9997,Calendar!$B$1:$B$9997,ForeMonth!B259,Calendar!$C$1:$C$9997,ForeMonth!A259)</f>
        <v/>
      </c>
      <c r="E259" s="55">
        <f>ROUND(SUMIFS(ForeDaily!F:F,ForeDaily!C:C,A259,ForeDaily!D:D,B259,ForeDaily!E:E,C259),0)</f>
        <v/>
      </c>
      <c r="F259" s="55">
        <f>D259-E259</f>
        <v/>
      </c>
      <c r="G259" s="15">
        <f>E259/D259</f>
        <v/>
      </c>
      <c r="H259" s="4" t="n">
        <v>1</v>
      </c>
      <c r="I259" s="4" t="n">
        <v>6</v>
      </c>
      <c r="J259" s="55" t="n"/>
    </row>
    <row r="260">
      <c r="A260" s="57" t="n">
        <v>10</v>
      </c>
      <c r="B260" s="4" t="n">
        <v>2026</v>
      </c>
      <c r="C260" s="4" t="n">
        <v>8</v>
      </c>
      <c r="D260" s="55">
        <f>SUMIFS(Calendar!$F$1:$F$9997,Calendar!$B$1:$B$9997,ForeMonth!B260,Calendar!$C$1:$C$9997,ForeMonth!A260)</f>
        <v/>
      </c>
      <c r="E260" s="55">
        <f>ROUND(SUMIFS(ForeDaily!F:F,ForeDaily!C:C,A260,ForeDaily!D:D,B260,ForeDaily!E:E,C260),0)</f>
        <v/>
      </c>
      <c r="F260" s="55">
        <f>D260-E260</f>
        <v/>
      </c>
      <c r="G260" s="15">
        <f>E260/D260</f>
        <v/>
      </c>
      <c r="H260" s="4" t="n">
        <v>1</v>
      </c>
      <c r="I260" s="4" t="n">
        <v>7</v>
      </c>
      <c r="J260" s="55" t="n"/>
    </row>
    <row r="261">
      <c r="A261" s="57" t="n">
        <v>11</v>
      </c>
      <c r="B261" s="4" t="n">
        <v>2026</v>
      </c>
      <c r="C261" s="4" t="n">
        <v>8</v>
      </c>
      <c r="D261" s="55">
        <f>SUMIFS(Calendar!$F$1:$F$9997,Calendar!$B$1:$B$9997,ForeMonth!B261,Calendar!$C$1:$C$9997,ForeMonth!A261)</f>
        <v/>
      </c>
      <c r="E261" s="55">
        <f>ROUND(SUMIFS(ForeDaily!F:F,ForeDaily!C:C,A261,ForeDaily!D:D,B261,ForeDaily!E:E,C261),0)</f>
        <v/>
      </c>
      <c r="F261" s="55">
        <f>D261-E261</f>
        <v/>
      </c>
      <c r="G261" s="15">
        <f>E261/D261</f>
        <v/>
      </c>
      <c r="H261" s="4" t="n">
        <v>1</v>
      </c>
      <c r="I261" s="4" t="n">
        <v>8</v>
      </c>
      <c r="J261" s="55" t="n"/>
    </row>
    <row r="262">
      <c r="A262" s="57" t="n">
        <v>12</v>
      </c>
      <c r="B262" s="4" t="n">
        <v>2026</v>
      </c>
      <c r="C262" s="4" t="n">
        <v>8</v>
      </c>
      <c r="D262" s="55">
        <f>SUMIFS(Calendar!$F$1:$F$9997,Calendar!$B$1:$B$9997,ForeMonth!B262,Calendar!$C$1:$C$9997,ForeMonth!A262)</f>
        <v/>
      </c>
      <c r="E262" s="55">
        <f>ROUND(SUMIFS(ForeDaily!F:F,ForeDaily!C:C,A262,ForeDaily!D:D,B262,ForeDaily!E:E,C262),0)</f>
        <v/>
      </c>
      <c r="F262" s="55">
        <f>D262-E262</f>
        <v/>
      </c>
      <c r="G262" s="15">
        <f>E262/D262</f>
        <v/>
      </c>
      <c r="H262" s="4" t="n">
        <v>1</v>
      </c>
      <c r="I262" s="4" t="n">
        <v>9</v>
      </c>
      <c r="J262" s="55" t="n"/>
    </row>
    <row r="263">
      <c r="A263" s="57" t="n">
        <v>1</v>
      </c>
      <c r="B263" s="4" t="n">
        <v>2027</v>
      </c>
      <c r="C263" s="4" t="n">
        <v>8</v>
      </c>
      <c r="D263" s="55">
        <f>SUMIFS(Calendar!$F$1:$F$9997,Calendar!$B$1:$B$9997,ForeMonth!B263,Calendar!$C$1:$C$9997,ForeMonth!A263)</f>
        <v/>
      </c>
      <c r="E263" s="55">
        <f>ROUND(SUMIFS(ForeDaily!F:F,ForeDaily!C:C,A263,ForeDaily!D:D,B263,ForeDaily!E:E,C263),0)</f>
        <v/>
      </c>
      <c r="F263" s="55">
        <f>D263-E263</f>
        <v/>
      </c>
      <c r="G263" s="15">
        <f>E263/D263</f>
        <v/>
      </c>
      <c r="H263" s="4" t="n">
        <v>1</v>
      </c>
      <c r="I263" s="4" t="n">
        <v>10</v>
      </c>
      <c r="J263" s="55" t="n"/>
    </row>
    <row r="264">
      <c r="A264" s="57" t="n">
        <v>2</v>
      </c>
      <c r="B264" s="4" t="n">
        <v>2027</v>
      </c>
      <c r="C264" s="4" t="n">
        <v>8</v>
      </c>
      <c r="D264" s="55">
        <f>SUMIFS(Calendar!$F$1:$F$9997,Calendar!$B$1:$B$9997,ForeMonth!B264,Calendar!$C$1:$C$9997,ForeMonth!A264)</f>
        <v/>
      </c>
      <c r="E264" s="55">
        <f>ROUND(SUMIFS(ForeDaily!F:F,ForeDaily!C:C,A264,ForeDaily!D:D,B264,ForeDaily!E:E,C264),0)</f>
        <v/>
      </c>
      <c r="F264" s="55">
        <f>D264-E264</f>
        <v/>
      </c>
      <c r="G264" s="15">
        <f>E264/D264</f>
        <v/>
      </c>
      <c r="H264" s="4" t="n">
        <v>1</v>
      </c>
      <c r="I264" s="4" t="n">
        <v>11</v>
      </c>
      <c r="J264" s="55" t="n"/>
    </row>
    <row r="265">
      <c r="A265" s="57" t="n">
        <v>3</v>
      </c>
      <c r="B265" s="4" t="n">
        <v>2027</v>
      </c>
      <c r="C265" s="4" t="n">
        <v>8</v>
      </c>
      <c r="D265" s="55">
        <f>SUMIFS(Calendar!$F$1:$F$9997,Calendar!$B$1:$B$9997,ForeMonth!B265,Calendar!$C$1:$C$9997,ForeMonth!A265)</f>
        <v/>
      </c>
      <c r="E265" s="55">
        <f>ROUND(SUMIFS(ForeDaily!F:F,ForeDaily!C:C,A265,ForeDaily!D:D,B265,ForeDaily!E:E,C265),0)</f>
        <v/>
      </c>
      <c r="F265" s="55">
        <f>D265-E265</f>
        <v/>
      </c>
      <c r="G265" s="15">
        <f>E265/D265</f>
        <v/>
      </c>
      <c r="H265" s="4" t="n">
        <v>1</v>
      </c>
      <c r="I265" s="4" t="n">
        <v>12</v>
      </c>
      <c r="J265" s="55" t="n"/>
    </row>
    <row r="266">
      <c r="A266" s="57" t="n">
        <v>4</v>
      </c>
      <c r="B266" s="4" t="n">
        <v>2027</v>
      </c>
      <c r="C266" s="4" t="n">
        <v>8</v>
      </c>
      <c r="D266" s="55">
        <f>SUMIFS(Calendar!$F$1:$F$9997,Calendar!$B$1:$B$9997,ForeMonth!B266,Calendar!$C$1:$C$9997,ForeMonth!A266)</f>
        <v/>
      </c>
      <c r="E266" s="55">
        <f>ROUND(SUMIFS(ForeDaily!F:F,ForeDaily!C:C,A266,ForeDaily!D:D,B266,ForeDaily!E:E,C266),0)</f>
        <v/>
      </c>
      <c r="F266" s="55">
        <f>D266-E266</f>
        <v/>
      </c>
      <c r="G266" s="15">
        <f>E266/D266</f>
        <v/>
      </c>
      <c r="H266" s="4" t="n">
        <v>2</v>
      </c>
      <c r="I266" s="4" t="n">
        <v>1</v>
      </c>
      <c r="J266" s="55" t="n"/>
    </row>
    <row r="267">
      <c r="A267" s="57" t="n">
        <v>5</v>
      </c>
      <c r="B267" s="4" t="n">
        <v>2027</v>
      </c>
      <c r="C267" s="4" t="n">
        <v>8</v>
      </c>
      <c r="D267" s="55">
        <f>SUMIFS(Calendar!$F$1:$F$9997,Calendar!$B$1:$B$9997,ForeMonth!B267,Calendar!$C$1:$C$9997,ForeMonth!A267)</f>
        <v/>
      </c>
      <c r="E267" s="55">
        <f>ROUND(SUMIFS(ForeDaily!F:F,ForeDaily!C:C,A267,ForeDaily!D:D,B267,ForeDaily!E:E,C267),0)</f>
        <v/>
      </c>
      <c r="F267" s="55">
        <f>D267-E267</f>
        <v/>
      </c>
      <c r="G267" s="15">
        <f>E267/D267</f>
        <v/>
      </c>
      <c r="H267" s="4" t="n">
        <v>2</v>
      </c>
      <c r="I267" s="4" t="n">
        <v>2</v>
      </c>
      <c r="J267" s="55" t="n"/>
    </row>
    <row r="268">
      <c r="A268" s="57" t="n">
        <v>6</v>
      </c>
      <c r="B268" s="4" t="n">
        <v>2027</v>
      </c>
      <c r="C268" s="4" t="n">
        <v>8</v>
      </c>
      <c r="D268" s="55">
        <f>SUMIFS(Calendar!$F$1:$F$9997,Calendar!$B$1:$B$9997,ForeMonth!B268,Calendar!$C$1:$C$9997,ForeMonth!A268)</f>
        <v/>
      </c>
      <c r="E268" s="55">
        <f>ROUND(SUMIFS(ForeDaily!F:F,ForeDaily!C:C,A268,ForeDaily!D:D,B268,ForeDaily!E:E,C268),0)</f>
        <v/>
      </c>
      <c r="F268" s="55">
        <f>D268-E268</f>
        <v/>
      </c>
      <c r="G268" s="15">
        <f>E268/D268</f>
        <v/>
      </c>
      <c r="H268" s="4" t="n">
        <v>2</v>
      </c>
      <c r="I268" s="4" t="n">
        <v>3</v>
      </c>
      <c r="J268" s="55" t="n"/>
    </row>
    <row r="269">
      <c r="A269" s="57" t="n">
        <v>7</v>
      </c>
      <c r="B269" s="4" t="n">
        <v>2027</v>
      </c>
      <c r="C269" s="4" t="n">
        <v>8</v>
      </c>
      <c r="D269" s="55">
        <f>SUMIFS(Calendar!$F$1:$F$9997,Calendar!$B$1:$B$9997,ForeMonth!B269,Calendar!$C$1:$C$9997,ForeMonth!A269)</f>
        <v/>
      </c>
      <c r="E269" s="55">
        <f>ROUND(SUMIFS(ForeDaily!F:F,ForeDaily!C:C,A269,ForeDaily!D:D,B269,ForeDaily!E:E,C269),0)</f>
        <v/>
      </c>
      <c r="F269" s="55">
        <f>D269-E269</f>
        <v/>
      </c>
      <c r="G269" s="15">
        <f>E269/D269</f>
        <v/>
      </c>
      <c r="H269" s="4" t="n">
        <v>2</v>
      </c>
      <c r="I269" s="4" t="n">
        <v>4</v>
      </c>
      <c r="J269" s="55" t="n"/>
    </row>
    <row r="270">
      <c r="A270" s="57" t="n">
        <v>8</v>
      </c>
      <c r="B270" s="4" t="n">
        <v>2027</v>
      </c>
      <c r="C270" s="4" t="n">
        <v>8</v>
      </c>
      <c r="D270" s="55">
        <f>SUMIFS(Calendar!$F$1:$F$9997,Calendar!$B$1:$B$9997,ForeMonth!B270,Calendar!$C$1:$C$9997,ForeMonth!A270)</f>
        <v/>
      </c>
      <c r="E270" s="55">
        <f>ROUND(SUMIFS(ForeDaily!F:F,ForeDaily!C:C,A270,ForeDaily!D:D,B270,ForeDaily!E:E,C270),0)</f>
        <v/>
      </c>
      <c r="F270" s="55">
        <f>D270-E270</f>
        <v/>
      </c>
      <c r="G270" s="15">
        <f>E270/D270</f>
        <v/>
      </c>
      <c r="H270" s="4" t="n">
        <v>2</v>
      </c>
      <c r="I270" s="4" t="n">
        <v>5</v>
      </c>
      <c r="J270" s="55" t="n"/>
    </row>
    <row r="271">
      <c r="A271" s="57" t="n">
        <v>9</v>
      </c>
      <c r="B271" s="4" t="n">
        <v>2027</v>
      </c>
      <c r="C271" s="4" t="n">
        <v>8</v>
      </c>
      <c r="D271" s="55">
        <f>SUMIFS(Calendar!$F$1:$F$9997,Calendar!$B$1:$B$9997,ForeMonth!B271,Calendar!$C$1:$C$9997,ForeMonth!A271)</f>
        <v/>
      </c>
      <c r="E271" s="55">
        <f>ROUND(SUMIFS(ForeDaily!F:F,ForeDaily!C:C,A271,ForeDaily!D:D,B271,ForeDaily!E:E,C271),0)</f>
        <v/>
      </c>
      <c r="F271" s="55">
        <f>D271-E271</f>
        <v/>
      </c>
      <c r="G271" s="15">
        <f>E271/D271</f>
        <v/>
      </c>
      <c r="H271" s="4" t="n">
        <v>2</v>
      </c>
      <c r="I271" s="4" t="n">
        <v>6</v>
      </c>
      <c r="J271" s="55" t="n"/>
    </row>
    <row r="272">
      <c r="A272" s="57" t="n">
        <v>10</v>
      </c>
      <c r="B272" s="4" t="n">
        <v>2027</v>
      </c>
      <c r="C272" s="4" t="n">
        <v>8</v>
      </c>
      <c r="D272" s="55">
        <f>SUMIFS(Calendar!$F$1:$F$9997,Calendar!$B$1:$B$9997,ForeMonth!B272,Calendar!$C$1:$C$9997,ForeMonth!A272)</f>
        <v/>
      </c>
      <c r="E272" s="55">
        <f>ROUND(SUMIFS(ForeDaily!F:F,ForeDaily!C:C,A272,ForeDaily!D:D,B272,ForeDaily!E:E,C272),0)</f>
        <v/>
      </c>
      <c r="F272" s="55">
        <f>D272-E272</f>
        <v/>
      </c>
      <c r="G272" s="15">
        <f>E272/D272</f>
        <v/>
      </c>
      <c r="H272" s="4" t="n">
        <v>2</v>
      </c>
      <c r="I272" s="4" t="n">
        <v>7</v>
      </c>
      <c r="J272" s="55" t="n"/>
    </row>
    <row r="273">
      <c r="A273" s="57" t="n">
        <v>11</v>
      </c>
      <c r="B273" s="4" t="n">
        <v>2027</v>
      </c>
      <c r="C273" s="4" t="n">
        <v>8</v>
      </c>
      <c r="D273" s="55">
        <f>SUMIFS(Calendar!$F$1:$F$9997,Calendar!$B$1:$B$9997,ForeMonth!B273,Calendar!$C$1:$C$9997,ForeMonth!A273)</f>
        <v/>
      </c>
      <c r="E273" s="55">
        <f>ROUND(SUMIFS(ForeDaily!F:F,ForeDaily!C:C,A273,ForeDaily!D:D,B273,ForeDaily!E:E,C273),0)</f>
        <v/>
      </c>
      <c r="F273" s="55">
        <f>D273-E273</f>
        <v/>
      </c>
      <c r="G273" s="15">
        <f>E273/D273</f>
        <v/>
      </c>
      <c r="H273" s="4" t="n">
        <v>2</v>
      </c>
      <c r="I273" s="4" t="n">
        <v>8</v>
      </c>
      <c r="J273" s="55" t="n"/>
    </row>
    <row r="274">
      <c r="A274" s="57" t="n">
        <v>12</v>
      </c>
      <c r="B274" s="4" t="n">
        <v>2027</v>
      </c>
      <c r="C274" s="4" t="n">
        <v>8</v>
      </c>
      <c r="D274" s="55">
        <f>SUMIFS(Calendar!$F$1:$F$9997,Calendar!$B$1:$B$9997,ForeMonth!B274,Calendar!$C$1:$C$9997,ForeMonth!A274)</f>
        <v/>
      </c>
      <c r="E274" s="55">
        <f>ROUND(SUMIFS(ForeDaily!F:F,ForeDaily!C:C,A274,ForeDaily!D:D,B274,ForeDaily!E:E,C274),0)</f>
        <v/>
      </c>
      <c r="F274" s="55">
        <f>D274-E274</f>
        <v/>
      </c>
      <c r="G274" s="15">
        <f>E274/D274</f>
        <v/>
      </c>
      <c r="H274" s="4" t="n">
        <v>2</v>
      </c>
      <c r="I274" s="4" t="n">
        <v>9</v>
      </c>
      <c r="J274" s="55" t="n"/>
    </row>
    <row r="275">
      <c r="A275" s="57" t="n">
        <v>1</v>
      </c>
      <c r="B275" s="4" t="n">
        <v>2028</v>
      </c>
      <c r="C275" s="4" t="n">
        <v>8</v>
      </c>
      <c r="D275" s="55">
        <f>SUMIFS(Calendar!$F$1:$F$9997,Calendar!$B$1:$B$9997,ForeMonth!B275,Calendar!$C$1:$C$9997,ForeMonth!A275)</f>
        <v/>
      </c>
      <c r="E275" s="55">
        <f>ROUND(SUMIFS(ForeDaily!F:F,ForeDaily!C:C,A275,ForeDaily!D:D,B275,ForeDaily!E:E,C275),0)</f>
        <v/>
      </c>
      <c r="F275" s="55">
        <f>D275-E275</f>
        <v/>
      </c>
      <c r="G275" s="15">
        <f>E275/D275</f>
        <v/>
      </c>
      <c r="H275" s="4" t="n">
        <v>2</v>
      </c>
      <c r="I275" s="4" t="n">
        <v>10</v>
      </c>
      <c r="J275" s="55" t="n"/>
    </row>
    <row r="276">
      <c r="A276" s="57" t="n">
        <v>2</v>
      </c>
      <c r="B276" s="4" t="n">
        <v>2028</v>
      </c>
      <c r="C276" s="4" t="n">
        <v>8</v>
      </c>
      <c r="D276" s="55">
        <f>SUMIFS(Calendar!$F$1:$F$9997,Calendar!$B$1:$B$9997,ForeMonth!B276,Calendar!$C$1:$C$9997,ForeMonth!A276)</f>
        <v/>
      </c>
      <c r="E276" s="55">
        <f>ROUND(SUMIFS(ForeDaily!F:F,ForeDaily!C:C,A276,ForeDaily!D:D,B276,ForeDaily!E:E,C276),0)</f>
        <v/>
      </c>
      <c r="F276" s="55">
        <f>D276-E276</f>
        <v/>
      </c>
      <c r="G276" s="15">
        <f>E276/D276</f>
        <v/>
      </c>
      <c r="H276" s="4" t="n">
        <v>2</v>
      </c>
      <c r="I276" s="4" t="n">
        <v>11</v>
      </c>
      <c r="J276" s="55" t="n"/>
    </row>
    <row r="277">
      <c r="A277" s="57" t="n">
        <v>3</v>
      </c>
      <c r="B277" s="4" t="n">
        <v>2028</v>
      </c>
      <c r="C277" s="4" t="n">
        <v>8</v>
      </c>
      <c r="D277" s="55">
        <f>SUMIFS(Calendar!$F$1:$F$9997,Calendar!$B$1:$B$9997,ForeMonth!B277,Calendar!$C$1:$C$9997,ForeMonth!A277)</f>
        <v/>
      </c>
      <c r="E277" s="55">
        <f>ROUND(SUMIFS(ForeDaily!F:F,ForeDaily!C:C,A277,ForeDaily!D:D,B277,ForeDaily!E:E,C277),0)</f>
        <v/>
      </c>
      <c r="F277" s="55">
        <f>D277-E277</f>
        <v/>
      </c>
      <c r="G277" s="15">
        <f>E277/D277</f>
        <v/>
      </c>
      <c r="H277" s="4" t="n">
        <v>2</v>
      </c>
      <c r="I277" s="4" t="n">
        <v>12</v>
      </c>
      <c r="J277" s="55" t="n"/>
    </row>
    <row r="278">
      <c r="A278" s="57" t="n">
        <v>4</v>
      </c>
      <c r="B278" s="4" t="n">
        <v>2028</v>
      </c>
      <c r="C278" s="4" t="n">
        <v>8</v>
      </c>
      <c r="D278" s="55">
        <f>SUMIFS(Calendar!$F$1:$F$9997,Calendar!$B$1:$B$9997,ForeMonth!B278,Calendar!$C$1:$C$9997,ForeMonth!A278)</f>
        <v/>
      </c>
      <c r="E278" s="55">
        <f>ROUND(SUMIFS(ForeDaily!F:F,ForeDaily!C:C,A278,ForeDaily!D:D,B278,ForeDaily!E:E,C278),0)</f>
        <v/>
      </c>
      <c r="F278" s="55">
        <f>D278-E278</f>
        <v/>
      </c>
      <c r="G278" s="15">
        <f>E278/D278</f>
        <v/>
      </c>
      <c r="H278" s="4" t="n">
        <v>3</v>
      </c>
      <c r="I278" s="4" t="n">
        <v>1</v>
      </c>
      <c r="J278" s="55" t="n"/>
    </row>
    <row r="279">
      <c r="A279" s="57" t="n">
        <v>5</v>
      </c>
      <c r="B279" s="4" t="n">
        <v>2028</v>
      </c>
      <c r="C279" s="4" t="n">
        <v>8</v>
      </c>
      <c r="D279" s="55">
        <f>SUMIFS(Calendar!$F$1:$F$9997,Calendar!$B$1:$B$9997,ForeMonth!B279,Calendar!$C$1:$C$9997,ForeMonth!A279)</f>
        <v/>
      </c>
      <c r="E279" s="55">
        <f>ROUND(SUMIFS(ForeDaily!F:F,ForeDaily!C:C,A279,ForeDaily!D:D,B279,ForeDaily!E:E,C279),0)</f>
        <v/>
      </c>
      <c r="F279" s="55">
        <f>D279-E279</f>
        <v/>
      </c>
      <c r="G279" s="15">
        <f>E279/D279</f>
        <v/>
      </c>
      <c r="H279" s="4" t="n">
        <v>3</v>
      </c>
      <c r="I279" s="4" t="n">
        <v>2</v>
      </c>
      <c r="J279" s="55" t="n"/>
    </row>
    <row r="280">
      <c r="A280" s="57" t="n">
        <v>6</v>
      </c>
      <c r="B280" s="4" t="n">
        <v>2028</v>
      </c>
      <c r="C280" s="4" t="n">
        <v>8</v>
      </c>
      <c r="D280" s="55">
        <f>SUMIFS(Calendar!$F$1:$F$9997,Calendar!$B$1:$B$9997,ForeMonth!B280,Calendar!$C$1:$C$9997,ForeMonth!A280)</f>
        <v/>
      </c>
      <c r="E280" s="55">
        <f>ROUND(SUMIFS(ForeDaily!F:F,ForeDaily!C:C,A280,ForeDaily!D:D,B280,ForeDaily!E:E,C280),0)</f>
        <v/>
      </c>
      <c r="F280" s="55">
        <f>D280-E280</f>
        <v/>
      </c>
      <c r="G280" s="15">
        <f>E280/D280</f>
        <v/>
      </c>
      <c r="H280" s="4" t="n">
        <v>3</v>
      </c>
      <c r="I280" s="4" t="n">
        <v>3</v>
      </c>
      <c r="J280" s="55" t="n"/>
    </row>
    <row r="281">
      <c r="A281" s="57" t="n">
        <v>7</v>
      </c>
      <c r="B281" s="4" t="n">
        <v>2028</v>
      </c>
      <c r="C281" s="4" t="n">
        <v>8</v>
      </c>
      <c r="D281" s="55">
        <f>SUMIFS(Calendar!$F$1:$F$9997,Calendar!$B$1:$B$9997,ForeMonth!B281,Calendar!$C$1:$C$9997,ForeMonth!A281)</f>
        <v/>
      </c>
      <c r="E281" s="55">
        <f>ROUND(SUMIFS(ForeDaily!F:F,ForeDaily!C:C,A281,ForeDaily!D:D,B281,ForeDaily!E:E,C281),0)</f>
        <v/>
      </c>
      <c r="F281" s="55">
        <f>D281-E281</f>
        <v/>
      </c>
      <c r="G281" s="15">
        <f>E281/D281</f>
        <v/>
      </c>
      <c r="H281" s="4" t="n">
        <v>3</v>
      </c>
      <c r="I281" s="4" t="n">
        <v>4</v>
      </c>
      <c r="J281" s="55" t="n"/>
    </row>
    <row r="282">
      <c r="A282" s="57" t="n">
        <v>8</v>
      </c>
      <c r="B282" s="4" t="n">
        <v>2028</v>
      </c>
      <c r="C282" s="4" t="n">
        <v>8</v>
      </c>
      <c r="D282" s="55">
        <f>SUMIFS(Calendar!$F$1:$F$9997,Calendar!$B$1:$B$9997,ForeMonth!B282,Calendar!$C$1:$C$9997,ForeMonth!A282)</f>
        <v/>
      </c>
      <c r="E282" s="55">
        <f>ROUND(SUMIFS(ForeDaily!F:F,ForeDaily!C:C,A282,ForeDaily!D:D,B282,ForeDaily!E:E,C282),0)</f>
        <v/>
      </c>
      <c r="F282" s="55">
        <f>D282-E282</f>
        <v/>
      </c>
      <c r="G282" s="15">
        <f>E282/D282</f>
        <v/>
      </c>
      <c r="H282" s="4" t="n">
        <v>3</v>
      </c>
      <c r="I282" s="4" t="n">
        <v>5</v>
      </c>
      <c r="J282" s="55" t="n"/>
    </row>
    <row r="283">
      <c r="A283" s="57" t="n">
        <v>9</v>
      </c>
      <c r="B283" s="4" t="n">
        <v>2028</v>
      </c>
      <c r="C283" s="4" t="n">
        <v>8</v>
      </c>
      <c r="D283" s="55">
        <f>SUMIFS(Calendar!$F$1:$F$9997,Calendar!$B$1:$B$9997,ForeMonth!B283,Calendar!$C$1:$C$9997,ForeMonth!A283)</f>
        <v/>
      </c>
      <c r="E283" s="55">
        <f>ROUND(SUMIFS(ForeDaily!F:F,ForeDaily!C:C,A283,ForeDaily!D:D,B283,ForeDaily!E:E,C283),0)</f>
        <v/>
      </c>
      <c r="F283" s="55">
        <f>D283-E283</f>
        <v/>
      </c>
      <c r="G283" s="15">
        <f>E283/D283</f>
        <v/>
      </c>
      <c r="H283" s="4" t="n">
        <v>3</v>
      </c>
      <c r="I283" s="4" t="n">
        <v>6</v>
      </c>
      <c r="J283" s="55" t="n"/>
    </row>
    <row r="284">
      <c r="A284" s="57" t="n">
        <v>10</v>
      </c>
      <c r="B284" s="4" t="n">
        <v>2028</v>
      </c>
      <c r="C284" s="4" t="n">
        <v>8</v>
      </c>
      <c r="D284" s="55">
        <f>SUMIFS(Calendar!$F$1:$F$9997,Calendar!$B$1:$B$9997,ForeMonth!B284,Calendar!$C$1:$C$9997,ForeMonth!A284)</f>
        <v/>
      </c>
      <c r="E284" s="55">
        <f>ROUND(SUMIFS(ForeDaily!F:F,ForeDaily!C:C,A284,ForeDaily!D:D,B284,ForeDaily!E:E,C284),0)</f>
        <v/>
      </c>
      <c r="F284" s="55">
        <f>D284-E284</f>
        <v/>
      </c>
      <c r="G284" s="15">
        <f>E284/D284</f>
        <v/>
      </c>
      <c r="H284" s="4" t="n">
        <v>3</v>
      </c>
      <c r="I284" s="4" t="n">
        <v>7</v>
      </c>
      <c r="J284" s="55" t="n"/>
    </row>
    <row r="285">
      <c r="A285" s="57" t="n">
        <v>11</v>
      </c>
      <c r="B285" s="4" t="n">
        <v>2028</v>
      </c>
      <c r="C285" s="4" t="n">
        <v>8</v>
      </c>
      <c r="D285" s="55">
        <f>SUMIFS(Calendar!$F$1:$F$9997,Calendar!$B$1:$B$9997,ForeMonth!B285,Calendar!$C$1:$C$9997,ForeMonth!A285)</f>
        <v/>
      </c>
      <c r="E285" s="55">
        <f>ROUND(SUMIFS(ForeDaily!F:F,ForeDaily!C:C,A285,ForeDaily!D:D,B285,ForeDaily!E:E,C285),0)</f>
        <v/>
      </c>
      <c r="F285" s="55">
        <f>D285-E285</f>
        <v/>
      </c>
      <c r="G285" s="15">
        <f>E285/D285</f>
        <v/>
      </c>
      <c r="H285" s="4" t="n">
        <v>3</v>
      </c>
      <c r="I285" s="4" t="n">
        <v>8</v>
      </c>
      <c r="J285" s="55" t="n"/>
    </row>
    <row r="286">
      <c r="A286" s="57" t="n">
        <v>12</v>
      </c>
      <c r="B286" s="4" t="n">
        <v>2028</v>
      </c>
      <c r="C286" s="4" t="n">
        <v>8</v>
      </c>
      <c r="D286" s="55">
        <f>SUMIFS(Calendar!$F$1:$F$9997,Calendar!$B$1:$B$9997,ForeMonth!B286,Calendar!$C$1:$C$9997,ForeMonth!A286)</f>
        <v/>
      </c>
      <c r="E286" s="55">
        <f>ROUND(SUMIFS(ForeDaily!F:F,ForeDaily!C:C,A286,ForeDaily!D:D,B286,ForeDaily!E:E,C286),0)</f>
        <v/>
      </c>
      <c r="F286" s="55">
        <f>D286-E286</f>
        <v/>
      </c>
      <c r="G286" s="15">
        <f>E286/D286</f>
        <v/>
      </c>
      <c r="H286" s="4" t="n">
        <v>3</v>
      </c>
      <c r="I286" s="4" t="n">
        <v>9</v>
      </c>
      <c r="J286" s="55" t="n"/>
    </row>
    <row r="287">
      <c r="A287" s="57" t="n">
        <v>1</v>
      </c>
      <c r="B287" s="4" t="n">
        <v>2029</v>
      </c>
      <c r="C287" s="4" t="n">
        <v>8</v>
      </c>
      <c r="D287" s="55">
        <f>SUMIFS(Calendar!$F$1:$F$9997,Calendar!$B$1:$B$9997,ForeMonth!B287,Calendar!$C$1:$C$9997,ForeMonth!A287)</f>
        <v/>
      </c>
      <c r="E287" s="55">
        <f>ROUND(SUMIFS(ForeDaily!F:F,ForeDaily!C:C,A287,ForeDaily!D:D,B287,ForeDaily!E:E,C287),0)</f>
        <v/>
      </c>
      <c r="F287" s="55">
        <f>D287-E287</f>
        <v/>
      </c>
      <c r="G287" s="15">
        <f>E287/D287</f>
        <v/>
      </c>
      <c r="H287" s="4" t="n">
        <v>3</v>
      </c>
      <c r="I287" s="4" t="n">
        <v>10</v>
      </c>
      <c r="J287" s="55" t="n"/>
    </row>
    <row r="288">
      <c r="A288" s="57" t="n">
        <v>2</v>
      </c>
      <c r="B288" s="4" t="n">
        <v>2029</v>
      </c>
      <c r="C288" s="4" t="n">
        <v>8</v>
      </c>
      <c r="D288" s="55">
        <f>SUMIFS(Calendar!$F$1:$F$9997,Calendar!$B$1:$B$9997,ForeMonth!B288,Calendar!$C$1:$C$9997,ForeMonth!A288)</f>
        <v/>
      </c>
      <c r="E288" s="55">
        <f>ROUND(SUMIFS(ForeDaily!F:F,ForeDaily!C:C,A288,ForeDaily!D:D,B288,ForeDaily!E:E,C288),0)</f>
        <v/>
      </c>
      <c r="F288" s="55">
        <f>D288-E288</f>
        <v/>
      </c>
      <c r="G288" s="15">
        <f>E288/D288</f>
        <v/>
      </c>
      <c r="H288" s="4" t="n">
        <v>3</v>
      </c>
      <c r="I288" s="4" t="n">
        <v>11</v>
      </c>
      <c r="J288" s="55" t="n"/>
    </row>
    <row r="289">
      <c r="A289" s="57" t="n">
        <v>3</v>
      </c>
      <c r="B289" s="4" t="n">
        <v>2029</v>
      </c>
      <c r="C289" s="4" t="n">
        <v>8</v>
      </c>
      <c r="D289" s="55">
        <f>SUMIFS(Calendar!$F$1:$F$9997,Calendar!$B$1:$B$9997,ForeMonth!B289,Calendar!$C$1:$C$9997,ForeMonth!A289)</f>
        <v/>
      </c>
      <c r="E289" s="55">
        <f>ROUND(SUMIFS(ForeDaily!F:F,ForeDaily!C:C,A289,ForeDaily!D:D,B289,ForeDaily!E:E,C289),0)</f>
        <v/>
      </c>
      <c r="F289" s="55">
        <f>D289-E289</f>
        <v/>
      </c>
      <c r="G289" s="15">
        <f>E289/D289</f>
        <v/>
      </c>
      <c r="H289" s="4" t="n">
        <v>3</v>
      </c>
      <c r="I289" s="4" t="n">
        <v>12</v>
      </c>
      <c r="J289" s="55" t="n"/>
    </row>
  </sheetData>
  <autoFilter ref="A1:G289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2">
    <tabColor theme="4"/>
    <outlinePr summaryBelow="1" summaryRight="1"/>
    <pageSetUpPr/>
  </sheetPr>
  <dimension ref="A1:W8769"/>
  <sheetViews>
    <sheetView workbookViewId="0">
      <pane ySplit="1" topLeftCell="A2" activePane="bottomLeft" state="frozen"/>
      <selection activeCell="M17" sqref="M17"/>
      <selection pane="bottomLeft" activeCell="A3" sqref="A3"/>
    </sheetView>
  </sheetViews>
  <sheetFormatPr baseColWidth="8" defaultRowHeight="13.8"/>
  <cols>
    <col width="10.33203125" bestFit="1" customWidth="1" style="57" min="1" max="1"/>
    <col width="10.33203125" customWidth="1" style="57" min="2" max="2"/>
    <col width="10.33203125" customWidth="1" style="19" min="3" max="4"/>
    <col width="8.88671875" customWidth="1" style="57" min="5" max="5"/>
    <col width="15.21875" bestFit="1" customWidth="1" style="29" min="6" max="6"/>
    <col width="10.33203125" bestFit="1" customWidth="1" style="55" min="7" max="7"/>
    <col width="9.88671875" customWidth="1" style="57" min="8" max="8"/>
    <col width="8.88671875" customWidth="1" style="57" min="9" max="15"/>
    <col width="8.88671875" customWidth="1" style="57" min="16" max="16384"/>
  </cols>
  <sheetData>
    <row r="1">
      <c r="A1" s="58" t="inlineStr">
        <is>
          <t>Date</t>
        </is>
      </c>
      <c r="B1" s="58" t="inlineStr">
        <is>
          <t>Day</t>
        </is>
      </c>
      <c r="C1" s="58" t="inlineStr">
        <is>
          <t>Month</t>
        </is>
      </c>
      <c r="D1" s="58" t="inlineStr">
        <is>
          <t>Year</t>
        </is>
      </c>
      <c r="E1" s="58" t="inlineStr">
        <is>
          <t>Room</t>
        </is>
      </c>
      <c r="F1" s="58" t="inlineStr">
        <is>
          <t>UsedHrs</t>
        </is>
      </c>
      <c r="G1" s="58" t="inlineStr">
        <is>
          <t>UnusedHrs</t>
        </is>
      </c>
      <c r="H1" s="51" t="inlineStr">
        <is>
          <t>BusYr</t>
        </is>
      </c>
      <c r="I1" s="58" t="inlineStr">
        <is>
          <t>BusMnth</t>
        </is>
      </c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</row>
    <row r="2">
      <c r="A2" s="62" t="n">
        <v>46113</v>
      </c>
      <c r="B2" s="3" t="inlineStr">
        <is>
          <t>Week</t>
        </is>
      </c>
      <c r="C2" s="19" t="n">
        <v>4</v>
      </c>
      <c r="D2" s="19" t="n">
        <v>2026</v>
      </c>
      <c r="E2" s="57" t="n">
        <v>1</v>
      </c>
      <c r="F2" s="29">
        <f>ROUND(((SUMIFS(Calendar!$F$2:$F$9997,Calendar!$B$2:$B$9997,D2,Calendar!$C$2:$C$9997,C2)*INDEX(ForeCalc!$B$37:$Y$274,MATCH(_xlfn.CONCAT(H2," ",I2),ForeCalc!$A$37:$A$274,0),MATCH(_xlfn.CONCAT(B2," ",E2),ForeCalc!$B$36:$Y$36,0))))*VLOOKUP(A2,Calendar!$A$2:$H$9997,8,FALSE),0)</f>
        <v/>
      </c>
      <c r="G2" s="29">
        <f>VLOOKUP(A2,Calendar!$A$1:$H$9997,6,FALSE)-F2</f>
        <v/>
      </c>
      <c r="H2" s="19" t="n">
        <v>1</v>
      </c>
      <c r="I2" s="57" t="n">
        <v>1</v>
      </c>
    </row>
    <row r="3">
      <c r="A3" s="62" t="n">
        <v>46114</v>
      </c>
      <c r="B3" s="3" t="inlineStr">
        <is>
          <t>Week</t>
        </is>
      </c>
      <c r="C3" s="19" t="n">
        <v>4</v>
      </c>
      <c r="D3" s="19" t="n">
        <v>2026</v>
      </c>
      <c r="E3" s="57" t="n">
        <v>1</v>
      </c>
      <c r="F3" s="29">
        <f>ROUND(((SUMIFS(Calendar!$F$2:$F$9997,Calendar!$B$2:$B$9997,D3,Calendar!$C$2:$C$9997,C3)*INDEX(ForeCalc!$B$37:$Y$274,MATCH(_xlfn.CONCAT(H3," ",I3),ForeCalc!$A$37:$A$274,0),MATCH(_xlfn.CONCAT(B3," ",E3),ForeCalc!$B$36:$Y$36,0))))*VLOOKUP(A3,Calendar!$A$2:$H$9997,8,FALSE),0)</f>
        <v/>
      </c>
      <c r="G3" s="29">
        <f>VLOOKUP(A3,Calendar!$A$1:$H$9997,6,FALSE)-F3</f>
        <v/>
      </c>
      <c r="H3" s="19" t="n">
        <v>1</v>
      </c>
      <c r="I3" s="57" t="n">
        <v>1</v>
      </c>
    </row>
    <row r="4">
      <c r="A4" s="62" t="n">
        <v>46115</v>
      </c>
      <c r="B4" s="3" t="inlineStr">
        <is>
          <t>Week</t>
        </is>
      </c>
      <c r="C4" s="19" t="n">
        <v>4</v>
      </c>
      <c r="D4" s="19" t="n">
        <v>2026</v>
      </c>
      <c r="E4" s="57" t="n">
        <v>1</v>
      </c>
      <c r="F4" s="29">
        <f>ROUND(((SUMIFS(Calendar!$F$2:$F$9997,Calendar!$B$2:$B$9997,D4,Calendar!$C$2:$C$9997,C4)*INDEX(ForeCalc!$B$37:$Y$274,MATCH(_xlfn.CONCAT(H4," ",I4),ForeCalc!$A$37:$A$274,0),MATCH(_xlfn.CONCAT(B4," ",E4),ForeCalc!$B$36:$Y$36,0))))*VLOOKUP(A4,Calendar!$A$2:$H$9997,8,FALSE),0)</f>
        <v/>
      </c>
      <c r="G4" s="29">
        <f>VLOOKUP(A4,Calendar!$A$1:$H$9997,6,FALSE)-F4</f>
        <v/>
      </c>
      <c r="H4" s="19" t="n">
        <v>1</v>
      </c>
      <c r="I4" s="57" t="n">
        <v>1</v>
      </c>
    </row>
    <row r="5">
      <c r="A5" s="62" t="n">
        <v>46116</v>
      </c>
      <c r="B5" s="3" t="inlineStr">
        <is>
          <t>Sat</t>
        </is>
      </c>
      <c r="C5" s="19" t="n">
        <v>4</v>
      </c>
      <c r="D5" s="19" t="n">
        <v>2026</v>
      </c>
      <c r="E5" s="57" t="n">
        <v>1</v>
      </c>
      <c r="F5" s="29">
        <f>ROUND(((SUMIFS(Calendar!$F$2:$F$9997,Calendar!$B$2:$B$9997,D5,Calendar!$C$2:$C$9997,C5)*INDEX(ForeCalc!$B$37:$Y$274,MATCH(_xlfn.CONCAT(H5," ",I5),ForeCalc!$A$37:$A$274,0),MATCH(_xlfn.CONCAT(B5," ",E5),ForeCalc!$B$36:$Y$36,0))))*VLOOKUP(A5,Calendar!$A$2:$H$9997,8,FALSE),0)</f>
        <v/>
      </c>
      <c r="G5" s="29">
        <f>VLOOKUP(A5,Calendar!$A$1:$H$9997,6,FALSE)-F5</f>
        <v/>
      </c>
      <c r="H5" s="19" t="n">
        <v>1</v>
      </c>
      <c r="I5" s="57" t="n">
        <v>1</v>
      </c>
    </row>
    <row r="6">
      <c r="A6" s="62" t="n">
        <v>46117</v>
      </c>
      <c r="B6" s="3" t="inlineStr">
        <is>
          <t>Sun</t>
        </is>
      </c>
      <c r="C6" s="19" t="n">
        <v>4</v>
      </c>
      <c r="D6" s="19" t="n">
        <v>2026</v>
      </c>
      <c r="E6" s="57" t="n">
        <v>1</v>
      </c>
      <c r="F6" s="29">
        <f>ROUND(((SUMIFS(Calendar!$F$2:$F$9997,Calendar!$B$2:$B$9997,D6,Calendar!$C$2:$C$9997,C6)*INDEX(ForeCalc!$B$37:$Y$274,MATCH(_xlfn.CONCAT(H6," ",I6),ForeCalc!$A$37:$A$274,0),MATCH(_xlfn.CONCAT(B6," ",E6),ForeCalc!$B$36:$Y$36,0))))*VLOOKUP(A6,Calendar!$A$2:$H$9997,8,FALSE),0)</f>
        <v/>
      </c>
      <c r="G6" s="29">
        <f>VLOOKUP(A6,Calendar!$A$1:$H$9997,6,FALSE)-F6</f>
        <v/>
      </c>
      <c r="H6" s="19" t="n">
        <v>1</v>
      </c>
      <c r="I6" s="57" t="n">
        <v>1</v>
      </c>
    </row>
    <row r="7">
      <c r="A7" s="62" t="n">
        <v>46118</v>
      </c>
      <c r="B7" s="3" t="inlineStr">
        <is>
          <t>Week</t>
        </is>
      </c>
      <c r="C7" s="19" t="n">
        <v>4</v>
      </c>
      <c r="D7" s="19" t="n">
        <v>2026</v>
      </c>
      <c r="E7" s="57" t="n">
        <v>1</v>
      </c>
      <c r="F7" s="29">
        <f>ROUND(((SUMIFS(Calendar!$F$2:$F$9997,Calendar!$B$2:$B$9997,D7,Calendar!$C$2:$C$9997,C7)*INDEX(ForeCalc!$B$37:$Y$274,MATCH(_xlfn.CONCAT(H7," ",I7),ForeCalc!$A$37:$A$274,0),MATCH(_xlfn.CONCAT(B7," ",E7),ForeCalc!$B$36:$Y$36,0))))*VLOOKUP(A7,Calendar!$A$2:$H$9997,8,FALSE),0)</f>
        <v/>
      </c>
      <c r="G7" s="29">
        <f>VLOOKUP(A7,Calendar!$A$1:$H$9997,6,FALSE)-F7</f>
        <v/>
      </c>
      <c r="H7" s="19" t="n">
        <v>1</v>
      </c>
      <c r="I7" s="57" t="n">
        <v>1</v>
      </c>
    </row>
    <row r="8">
      <c r="A8" s="62" t="n">
        <v>46119</v>
      </c>
      <c r="B8" s="3" t="inlineStr">
        <is>
          <t>Week</t>
        </is>
      </c>
      <c r="C8" s="19" t="n">
        <v>4</v>
      </c>
      <c r="D8" s="19" t="n">
        <v>2026</v>
      </c>
      <c r="E8" s="57" t="n">
        <v>1</v>
      </c>
      <c r="F8" s="29">
        <f>ROUND(((SUMIFS(Calendar!$F$2:$F$9997,Calendar!$B$2:$B$9997,D8,Calendar!$C$2:$C$9997,C8)*INDEX(ForeCalc!$B$37:$Y$274,MATCH(_xlfn.CONCAT(H8," ",I8),ForeCalc!$A$37:$A$274,0),MATCH(_xlfn.CONCAT(B8," ",E8),ForeCalc!$B$36:$Y$36,0))))*VLOOKUP(A8,Calendar!$A$2:$H$9997,8,FALSE),0)</f>
        <v/>
      </c>
      <c r="G8" s="29">
        <f>VLOOKUP(A8,Calendar!$A$1:$H$9997,6,FALSE)-F8</f>
        <v/>
      </c>
      <c r="H8" s="19" t="n">
        <v>1</v>
      </c>
      <c r="I8" s="57" t="n">
        <v>1</v>
      </c>
    </row>
    <row r="9">
      <c r="A9" s="62" t="n">
        <v>46120</v>
      </c>
      <c r="B9" s="3" t="inlineStr">
        <is>
          <t>Week</t>
        </is>
      </c>
      <c r="C9" s="19" t="n">
        <v>4</v>
      </c>
      <c r="D9" s="19" t="n">
        <v>2026</v>
      </c>
      <c r="E9" s="57" t="n">
        <v>1</v>
      </c>
      <c r="F9" s="29">
        <f>ROUND(((SUMIFS(Calendar!$F$2:$F$9997,Calendar!$B$2:$B$9997,D9,Calendar!$C$2:$C$9997,C9)*INDEX(ForeCalc!$B$37:$Y$274,MATCH(_xlfn.CONCAT(H9," ",I9),ForeCalc!$A$37:$A$274,0),MATCH(_xlfn.CONCAT(B9," ",E9),ForeCalc!$B$36:$Y$36,0))))*VLOOKUP(A9,Calendar!$A$2:$H$9997,8,FALSE),0)</f>
        <v/>
      </c>
      <c r="G9" s="29">
        <f>VLOOKUP(A9,Calendar!$A$1:$H$9997,6,FALSE)-F9</f>
        <v/>
      </c>
      <c r="H9" s="19" t="n">
        <v>1</v>
      </c>
      <c r="I9" s="57" t="n">
        <v>1</v>
      </c>
    </row>
    <row r="10">
      <c r="A10" s="62" t="n">
        <v>46121</v>
      </c>
      <c r="B10" s="3" t="inlineStr">
        <is>
          <t>Week</t>
        </is>
      </c>
      <c r="C10" s="19" t="n">
        <v>4</v>
      </c>
      <c r="D10" s="19" t="n">
        <v>2026</v>
      </c>
      <c r="E10" s="57" t="n">
        <v>1</v>
      </c>
      <c r="F10" s="29">
        <f>ROUND(((SUMIFS(Calendar!$F$2:$F$9997,Calendar!$B$2:$B$9997,D10,Calendar!$C$2:$C$9997,C10)*INDEX(ForeCalc!$B$37:$Y$274,MATCH(_xlfn.CONCAT(H10," ",I10),ForeCalc!$A$37:$A$274,0),MATCH(_xlfn.CONCAT(B10," ",E10),ForeCalc!$B$36:$Y$36,0))))*VLOOKUP(A10,Calendar!$A$2:$H$9997,8,FALSE),0)</f>
        <v/>
      </c>
      <c r="G10" s="29">
        <f>VLOOKUP(A10,Calendar!$A$1:$H$9997,6,FALSE)-F10</f>
        <v/>
      </c>
      <c r="H10" s="19" t="n">
        <v>1</v>
      </c>
      <c r="I10" s="57" t="n">
        <v>1</v>
      </c>
    </row>
    <row r="11">
      <c r="A11" s="62" t="n">
        <v>46122</v>
      </c>
      <c r="B11" s="3" t="inlineStr">
        <is>
          <t>Week</t>
        </is>
      </c>
      <c r="C11" s="19" t="n">
        <v>4</v>
      </c>
      <c r="D11" s="19" t="n">
        <v>2026</v>
      </c>
      <c r="E11" s="57" t="n">
        <v>1</v>
      </c>
      <c r="F11" s="29">
        <f>ROUND(((SUMIFS(Calendar!$F$2:$F$9997,Calendar!$B$2:$B$9997,D11,Calendar!$C$2:$C$9997,C11)*INDEX(ForeCalc!$B$37:$Y$274,MATCH(_xlfn.CONCAT(H11," ",I11),ForeCalc!$A$37:$A$274,0),MATCH(_xlfn.CONCAT(B11," ",E11),ForeCalc!$B$36:$Y$36,0))))*VLOOKUP(A11,Calendar!$A$2:$H$9997,8,FALSE),0)</f>
        <v/>
      </c>
      <c r="G11" s="29">
        <f>VLOOKUP(A11,Calendar!$A$1:$H$9997,6,FALSE)-F11</f>
        <v/>
      </c>
      <c r="H11" s="19" t="n">
        <v>1</v>
      </c>
      <c r="I11" s="57" t="n">
        <v>1</v>
      </c>
    </row>
    <row r="12">
      <c r="A12" s="62" t="n">
        <v>46123</v>
      </c>
      <c r="B12" s="3" t="inlineStr">
        <is>
          <t>Sat</t>
        </is>
      </c>
      <c r="C12" s="19" t="n">
        <v>4</v>
      </c>
      <c r="D12" s="19" t="n">
        <v>2026</v>
      </c>
      <c r="E12" s="57" t="n">
        <v>1</v>
      </c>
      <c r="F12" s="29">
        <f>ROUND(((SUMIFS(Calendar!$F$2:$F$9997,Calendar!$B$2:$B$9997,D12,Calendar!$C$2:$C$9997,C12)*INDEX(ForeCalc!$B$37:$Y$274,MATCH(_xlfn.CONCAT(H12," ",I12),ForeCalc!$A$37:$A$274,0),MATCH(_xlfn.CONCAT(B12," ",E12),ForeCalc!$B$36:$Y$36,0))))*VLOOKUP(A12,Calendar!$A$2:$H$9997,8,FALSE),0)</f>
        <v/>
      </c>
      <c r="G12" s="29">
        <f>VLOOKUP(A12,Calendar!$A$1:$H$9997,6,FALSE)-F12</f>
        <v/>
      </c>
      <c r="H12" s="19" t="n">
        <v>1</v>
      </c>
      <c r="I12" s="57" t="n">
        <v>1</v>
      </c>
    </row>
    <row r="13">
      <c r="A13" s="62" t="n">
        <v>46124</v>
      </c>
      <c r="B13" s="3" t="inlineStr">
        <is>
          <t>Sun</t>
        </is>
      </c>
      <c r="C13" s="19" t="n">
        <v>4</v>
      </c>
      <c r="D13" s="19" t="n">
        <v>2026</v>
      </c>
      <c r="E13" s="57" t="n">
        <v>1</v>
      </c>
      <c r="F13" s="29">
        <f>ROUND(((SUMIFS(Calendar!$F$2:$F$9997,Calendar!$B$2:$B$9997,D13,Calendar!$C$2:$C$9997,C13)*INDEX(ForeCalc!$B$37:$Y$274,MATCH(_xlfn.CONCAT(H13," ",I13),ForeCalc!$A$37:$A$274,0),MATCH(_xlfn.CONCAT(B13," ",E13),ForeCalc!$B$36:$Y$36,0))))*VLOOKUP(A13,Calendar!$A$2:$H$9997,8,FALSE),0)</f>
        <v/>
      </c>
      <c r="G13" s="29">
        <f>VLOOKUP(A13,Calendar!$A$1:$H$9997,6,FALSE)-F13</f>
        <v/>
      </c>
      <c r="H13" s="19" t="n">
        <v>1</v>
      </c>
      <c r="I13" s="57" t="n">
        <v>1</v>
      </c>
    </row>
    <row r="14">
      <c r="A14" s="62" t="n">
        <v>46125</v>
      </c>
      <c r="B14" s="3" t="inlineStr">
        <is>
          <t>Week</t>
        </is>
      </c>
      <c r="C14" s="19" t="n">
        <v>4</v>
      </c>
      <c r="D14" s="19" t="n">
        <v>2026</v>
      </c>
      <c r="E14" s="57" t="n">
        <v>1</v>
      </c>
      <c r="F14" s="29">
        <f>ROUND(((SUMIFS(Calendar!$F$2:$F$9997,Calendar!$B$2:$B$9997,D14,Calendar!$C$2:$C$9997,C14)*INDEX(ForeCalc!$B$37:$Y$274,MATCH(_xlfn.CONCAT(H14," ",I14),ForeCalc!$A$37:$A$274,0),MATCH(_xlfn.CONCAT(B14," ",E14),ForeCalc!$B$36:$Y$36,0))))*VLOOKUP(A14,Calendar!$A$2:$H$9997,8,FALSE),0)</f>
        <v/>
      </c>
      <c r="G14" s="29">
        <f>VLOOKUP(A14,Calendar!$A$1:$H$9997,6,FALSE)-F14</f>
        <v/>
      </c>
      <c r="H14" s="19" t="n">
        <v>1</v>
      </c>
      <c r="I14" s="57" t="n">
        <v>1</v>
      </c>
    </row>
    <row r="15">
      <c r="A15" s="62" t="n">
        <v>46126</v>
      </c>
      <c r="B15" s="3" t="inlineStr">
        <is>
          <t>Week</t>
        </is>
      </c>
      <c r="C15" s="19" t="n">
        <v>4</v>
      </c>
      <c r="D15" s="19" t="n">
        <v>2026</v>
      </c>
      <c r="E15" s="57" t="n">
        <v>1</v>
      </c>
      <c r="F15" s="29">
        <f>ROUND(((SUMIFS(Calendar!$F$2:$F$9997,Calendar!$B$2:$B$9997,D15,Calendar!$C$2:$C$9997,C15)*INDEX(ForeCalc!$B$37:$Y$274,MATCH(_xlfn.CONCAT(H15," ",I15),ForeCalc!$A$37:$A$274,0),MATCH(_xlfn.CONCAT(B15," ",E15),ForeCalc!$B$36:$Y$36,0))))*VLOOKUP(A15,Calendar!$A$2:$H$9997,8,FALSE),0)</f>
        <v/>
      </c>
      <c r="G15" s="29">
        <f>VLOOKUP(A15,Calendar!$A$1:$H$9997,6,FALSE)-F15</f>
        <v/>
      </c>
      <c r="H15" s="19" t="n">
        <v>1</v>
      </c>
      <c r="I15" s="57" t="n">
        <v>1</v>
      </c>
    </row>
    <row r="16">
      <c r="A16" s="62" t="n">
        <v>46127</v>
      </c>
      <c r="B16" s="3" t="inlineStr">
        <is>
          <t>Week</t>
        </is>
      </c>
      <c r="C16" s="19" t="n">
        <v>4</v>
      </c>
      <c r="D16" s="19" t="n">
        <v>2026</v>
      </c>
      <c r="E16" s="57" t="n">
        <v>1</v>
      </c>
      <c r="F16" s="29">
        <f>ROUND(((SUMIFS(Calendar!$F$2:$F$9997,Calendar!$B$2:$B$9997,D16,Calendar!$C$2:$C$9997,C16)*INDEX(ForeCalc!$B$37:$Y$274,MATCH(_xlfn.CONCAT(H16," ",I16),ForeCalc!$A$37:$A$274,0),MATCH(_xlfn.CONCAT(B16," ",E16),ForeCalc!$B$36:$Y$36,0))))*VLOOKUP(A16,Calendar!$A$2:$H$9997,8,FALSE),0)</f>
        <v/>
      </c>
      <c r="G16" s="29">
        <f>VLOOKUP(A16,Calendar!$A$1:$H$9997,6,FALSE)-F16</f>
        <v/>
      </c>
      <c r="H16" s="19" t="n">
        <v>1</v>
      </c>
      <c r="I16" s="57" t="n">
        <v>1</v>
      </c>
    </row>
    <row r="17">
      <c r="A17" s="62" t="n">
        <v>46128</v>
      </c>
      <c r="B17" s="3" t="inlineStr">
        <is>
          <t>Week</t>
        </is>
      </c>
      <c r="C17" s="19" t="n">
        <v>4</v>
      </c>
      <c r="D17" s="19" t="n">
        <v>2026</v>
      </c>
      <c r="E17" s="57" t="n">
        <v>1</v>
      </c>
      <c r="F17" s="29">
        <f>ROUND(((SUMIFS(Calendar!$F$2:$F$9997,Calendar!$B$2:$B$9997,D17,Calendar!$C$2:$C$9997,C17)*INDEX(ForeCalc!$B$37:$Y$274,MATCH(_xlfn.CONCAT(H17," ",I17),ForeCalc!$A$37:$A$274,0),MATCH(_xlfn.CONCAT(B17," ",E17),ForeCalc!$B$36:$Y$36,0))))*VLOOKUP(A17,Calendar!$A$2:$H$9997,8,FALSE),0)</f>
        <v/>
      </c>
      <c r="G17" s="29">
        <f>VLOOKUP(A17,Calendar!$A$1:$H$9997,6,FALSE)-F17</f>
        <v/>
      </c>
      <c r="H17" s="19" t="n">
        <v>1</v>
      </c>
      <c r="I17" s="57" t="n">
        <v>1</v>
      </c>
    </row>
    <row r="18">
      <c r="A18" s="62" t="n">
        <v>46129</v>
      </c>
      <c r="B18" s="3" t="inlineStr">
        <is>
          <t>Week</t>
        </is>
      </c>
      <c r="C18" s="19" t="n">
        <v>4</v>
      </c>
      <c r="D18" s="19" t="n">
        <v>2026</v>
      </c>
      <c r="E18" s="57" t="n">
        <v>1</v>
      </c>
      <c r="F18" s="29">
        <f>ROUND(((SUMIFS(Calendar!$F$2:$F$9997,Calendar!$B$2:$B$9997,D18,Calendar!$C$2:$C$9997,C18)*INDEX(ForeCalc!$B$37:$Y$274,MATCH(_xlfn.CONCAT(H18," ",I18),ForeCalc!$A$37:$A$274,0),MATCH(_xlfn.CONCAT(B18," ",E18),ForeCalc!$B$36:$Y$36,0))))*VLOOKUP(A18,Calendar!$A$2:$H$9997,8,FALSE),0)</f>
        <v/>
      </c>
      <c r="G18" s="29">
        <f>VLOOKUP(A18,Calendar!$A$1:$H$9997,6,FALSE)-F18</f>
        <v/>
      </c>
      <c r="H18" s="19" t="n">
        <v>1</v>
      </c>
      <c r="I18" s="57" t="n">
        <v>1</v>
      </c>
    </row>
    <row r="19">
      <c r="A19" s="62" t="n">
        <v>46130</v>
      </c>
      <c r="B19" s="3" t="inlineStr">
        <is>
          <t>Sat</t>
        </is>
      </c>
      <c r="C19" s="19" t="n">
        <v>4</v>
      </c>
      <c r="D19" s="19" t="n">
        <v>2026</v>
      </c>
      <c r="E19" s="57" t="n">
        <v>1</v>
      </c>
      <c r="F19" s="29">
        <f>ROUND(((SUMIFS(Calendar!$F$2:$F$9997,Calendar!$B$2:$B$9997,D19,Calendar!$C$2:$C$9997,C19)*INDEX(ForeCalc!$B$37:$Y$274,MATCH(_xlfn.CONCAT(H19," ",I19),ForeCalc!$A$37:$A$274,0),MATCH(_xlfn.CONCAT(B19," ",E19),ForeCalc!$B$36:$Y$36,0))))*VLOOKUP(A19,Calendar!$A$2:$H$9997,8,FALSE),0)</f>
        <v/>
      </c>
      <c r="G19" s="29">
        <f>VLOOKUP(A19,Calendar!$A$1:$H$9997,6,FALSE)-F19</f>
        <v/>
      </c>
      <c r="H19" s="19" t="n">
        <v>1</v>
      </c>
      <c r="I19" s="57" t="n">
        <v>1</v>
      </c>
    </row>
    <row r="20">
      <c r="A20" s="62" t="n">
        <v>46131</v>
      </c>
      <c r="B20" s="3" t="inlineStr">
        <is>
          <t>Sun</t>
        </is>
      </c>
      <c r="C20" s="19" t="n">
        <v>4</v>
      </c>
      <c r="D20" s="19" t="n">
        <v>2026</v>
      </c>
      <c r="E20" s="57" t="n">
        <v>1</v>
      </c>
      <c r="F20" s="29">
        <f>ROUND(((SUMIFS(Calendar!$F$2:$F$9997,Calendar!$B$2:$B$9997,D20,Calendar!$C$2:$C$9997,C20)*INDEX(ForeCalc!$B$37:$Y$274,MATCH(_xlfn.CONCAT(H20," ",I20),ForeCalc!$A$37:$A$274,0),MATCH(_xlfn.CONCAT(B20," ",E20),ForeCalc!$B$36:$Y$36,0))))*VLOOKUP(A20,Calendar!$A$2:$H$9997,8,FALSE),0)</f>
        <v/>
      </c>
      <c r="G20" s="29">
        <f>VLOOKUP(A20,Calendar!$A$1:$H$9997,6,FALSE)-F20</f>
        <v/>
      </c>
      <c r="H20" s="19" t="n">
        <v>1</v>
      </c>
      <c r="I20" s="57" t="n">
        <v>1</v>
      </c>
    </row>
    <row r="21">
      <c r="A21" s="62" t="n">
        <v>46132</v>
      </c>
      <c r="B21" s="3" t="inlineStr">
        <is>
          <t>Week</t>
        </is>
      </c>
      <c r="C21" s="19" t="n">
        <v>4</v>
      </c>
      <c r="D21" s="19" t="n">
        <v>2026</v>
      </c>
      <c r="E21" s="57" t="n">
        <v>1</v>
      </c>
      <c r="F21" s="29">
        <f>ROUND(((SUMIFS(Calendar!$F$2:$F$9997,Calendar!$B$2:$B$9997,D21,Calendar!$C$2:$C$9997,C21)*INDEX(ForeCalc!$B$37:$Y$274,MATCH(_xlfn.CONCAT(H21," ",I21),ForeCalc!$A$37:$A$274,0),MATCH(_xlfn.CONCAT(B21," ",E21),ForeCalc!$B$36:$Y$36,0))))*VLOOKUP(A21,Calendar!$A$2:$H$9997,8,FALSE),0)</f>
        <v/>
      </c>
      <c r="G21" s="29">
        <f>VLOOKUP(A21,Calendar!$A$1:$H$9997,6,FALSE)-F21</f>
        <v/>
      </c>
      <c r="H21" s="19" t="n">
        <v>1</v>
      </c>
      <c r="I21" s="57" t="n">
        <v>1</v>
      </c>
    </row>
    <row r="22">
      <c r="A22" s="62" t="n">
        <v>46133</v>
      </c>
      <c r="B22" s="3" t="inlineStr">
        <is>
          <t>Week</t>
        </is>
      </c>
      <c r="C22" s="19" t="n">
        <v>4</v>
      </c>
      <c r="D22" s="19" t="n">
        <v>2026</v>
      </c>
      <c r="E22" s="57" t="n">
        <v>1</v>
      </c>
      <c r="F22" s="29">
        <f>ROUND(((SUMIFS(Calendar!$F$2:$F$9997,Calendar!$B$2:$B$9997,D22,Calendar!$C$2:$C$9997,C22)*INDEX(ForeCalc!$B$37:$Y$274,MATCH(_xlfn.CONCAT(H22," ",I22),ForeCalc!$A$37:$A$274,0),MATCH(_xlfn.CONCAT(B22," ",E22),ForeCalc!$B$36:$Y$36,0))))*VLOOKUP(A22,Calendar!$A$2:$H$9997,8,FALSE),0)</f>
        <v/>
      </c>
      <c r="G22" s="29">
        <f>VLOOKUP(A22,Calendar!$A$1:$H$9997,6,FALSE)-F22</f>
        <v/>
      </c>
      <c r="H22" s="19" t="n">
        <v>1</v>
      </c>
      <c r="I22" s="57" t="n">
        <v>1</v>
      </c>
    </row>
    <row r="23">
      <c r="A23" s="62" t="n">
        <v>46134</v>
      </c>
      <c r="B23" s="3" t="inlineStr">
        <is>
          <t>Week</t>
        </is>
      </c>
      <c r="C23" s="19" t="n">
        <v>4</v>
      </c>
      <c r="D23" s="19" t="n">
        <v>2026</v>
      </c>
      <c r="E23" s="57" t="n">
        <v>1</v>
      </c>
      <c r="F23" s="29">
        <f>ROUND(((SUMIFS(Calendar!$F$2:$F$9997,Calendar!$B$2:$B$9997,D23,Calendar!$C$2:$C$9997,C23)*INDEX(ForeCalc!$B$37:$Y$274,MATCH(_xlfn.CONCAT(H23," ",I23),ForeCalc!$A$37:$A$274,0),MATCH(_xlfn.CONCAT(B23," ",E23),ForeCalc!$B$36:$Y$36,0))))*VLOOKUP(A23,Calendar!$A$2:$H$9997,8,FALSE),0)</f>
        <v/>
      </c>
      <c r="G23" s="29">
        <f>VLOOKUP(A23,Calendar!$A$1:$H$9997,6,FALSE)-F23</f>
        <v/>
      </c>
      <c r="H23" s="19" t="n">
        <v>1</v>
      </c>
      <c r="I23" s="57" t="n">
        <v>1</v>
      </c>
    </row>
    <row r="24">
      <c r="A24" s="62" t="n">
        <v>46135</v>
      </c>
      <c r="B24" s="3" t="inlineStr">
        <is>
          <t>Week</t>
        </is>
      </c>
      <c r="C24" s="19" t="n">
        <v>4</v>
      </c>
      <c r="D24" s="19" t="n">
        <v>2026</v>
      </c>
      <c r="E24" s="57" t="n">
        <v>1</v>
      </c>
      <c r="F24" s="29">
        <f>ROUND(((SUMIFS(Calendar!$F$2:$F$9997,Calendar!$B$2:$B$9997,D24,Calendar!$C$2:$C$9997,C24)*INDEX(ForeCalc!$B$37:$Y$274,MATCH(_xlfn.CONCAT(H24," ",I24),ForeCalc!$A$37:$A$274,0),MATCH(_xlfn.CONCAT(B24," ",E24),ForeCalc!$B$36:$Y$36,0))))*VLOOKUP(A24,Calendar!$A$2:$H$9997,8,FALSE),0)</f>
        <v/>
      </c>
      <c r="G24" s="29">
        <f>VLOOKUP(A24,Calendar!$A$1:$H$9997,6,FALSE)-F24</f>
        <v/>
      </c>
      <c r="H24" s="19" t="n">
        <v>1</v>
      </c>
      <c r="I24" s="57" t="n">
        <v>1</v>
      </c>
    </row>
    <row r="25">
      <c r="A25" s="62" t="n">
        <v>46136</v>
      </c>
      <c r="B25" s="3" t="inlineStr">
        <is>
          <t>Week</t>
        </is>
      </c>
      <c r="C25" s="19" t="n">
        <v>4</v>
      </c>
      <c r="D25" s="19" t="n">
        <v>2026</v>
      </c>
      <c r="E25" s="57" t="n">
        <v>1</v>
      </c>
      <c r="F25" s="29">
        <f>ROUND(((SUMIFS(Calendar!$F$2:$F$9997,Calendar!$B$2:$B$9997,D25,Calendar!$C$2:$C$9997,C25)*INDEX(ForeCalc!$B$37:$Y$274,MATCH(_xlfn.CONCAT(H25," ",I25),ForeCalc!$A$37:$A$274,0),MATCH(_xlfn.CONCAT(B25," ",E25),ForeCalc!$B$36:$Y$36,0))))*VLOOKUP(A25,Calendar!$A$2:$H$9997,8,FALSE),0)</f>
        <v/>
      </c>
      <c r="G25" s="29">
        <f>VLOOKUP(A25,Calendar!$A$1:$H$9997,6,FALSE)-F25</f>
        <v/>
      </c>
      <c r="H25" s="19" t="n">
        <v>1</v>
      </c>
      <c r="I25" s="57" t="n">
        <v>1</v>
      </c>
    </row>
    <row r="26">
      <c r="A26" s="62" t="n">
        <v>46137</v>
      </c>
      <c r="B26" s="3" t="inlineStr">
        <is>
          <t>Sat</t>
        </is>
      </c>
      <c r="C26" s="19" t="n">
        <v>4</v>
      </c>
      <c r="D26" s="19" t="n">
        <v>2026</v>
      </c>
      <c r="E26" s="57" t="n">
        <v>1</v>
      </c>
      <c r="F26" s="29">
        <f>ROUND(((SUMIFS(Calendar!$F$2:$F$9997,Calendar!$B$2:$B$9997,D26,Calendar!$C$2:$C$9997,C26)*INDEX(ForeCalc!$B$37:$Y$274,MATCH(_xlfn.CONCAT(H26," ",I26),ForeCalc!$A$37:$A$274,0),MATCH(_xlfn.CONCAT(B26," ",E26),ForeCalc!$B$36:$Y$36,0))))*VLOOKUP(A26,Calendar!$A$2:$H$9997,8,FALSE),0)</f>
        <v/>
      </c>
      <c r="G26" s="29">
        <f>VLOOKUP(A26,Calendar!$A$1:$H$9997,6,FALSE)-F26</f>
        <v/>
      </c>
      <c r="H26" s="19" t="n">
        <v>1</v>
      </c>
      <c r="I26" s="57" t="n">
        <v>1</v>
      </c>
    </row>
    <row r="27">
      <c r="A27" s="62" t="n">
        <v>46138</v>
      </c>
      <c r="B27" s="3" t="inlineStr">
        <is>
          <t>Sun</t>
        </is>
      </c>
      <c r="C27" s="19" t="n">
        <v>4</v>
      </c>
      <c r="D27" s="19" t="n">
        <v>2026</v>
      </c>
      <c r="E27" s="57" t="n">
        <v>1</v>
      </c>
      <c r="F27" s="29">
        <f>ROUND(((SUMIFS(Calendar!$F$2:$F$9997,Calendar!$B$2:$B$9997,D27,Calendar!$C$2:$C$9997,C27)*INDEX(ForeCalc!$B$37:$Y$274,MATCH(_xlfn.CONCAT(H27," ",I27),ForeCalc!$A$37:$A$274,0),MATCH(_xlfn.CONCAT(B27," ",E27),ForeCalc!$B$36:$Y$36,0))))*VLOOKUP(A27,Calendar!$A$2:$H$9997,8,FALSE),0)</f>
        <v/>
      </c>
      <c r="G27" s="29">
        <f>VLOOKUP(A27,Calendar!$A$1:$H$9997,6,FALSE)-F27</f>
        <v/>
      </c>
      <c r="H27" s="19" t="n">
        <v>1</v>
      </c>
      <c r="I27" s="57" t="n">
        <v>1</v>
      </c>
    </row>
    <row r="28">
      <c r="A28" s="62" t="n">
        <v>46139</v>
      </c>
      <c r="B28" s="3" t="inlineStr">
        <is>
          <t>Week</t>
        </is>
      </c>
      <c r="C28" s="19" t="n">
        <v>4</v>
      </c>
      <c r="D28" s="19" t="n">
        <v>2026</v>
      </c>
      <c r="E28" s="57" t="n">
        <v>1</v>
      </c>
      <c r="F28" s="29">
        <f>ROUND(((SUMIFS(Calendar!$F$2:$F$9997,Calendar!$B$2:$B$9997,D28,Calendar!$C$2:$C$9997,C28)*INDEX(ForeCalc!$B$37:$Y$274,MATCH(_xlfn.CONCAT(H28," ",I28),ForeCalc!$A$37:$A$274,0),MATCH(_xlfn.CONCAT(B28," ",E28),ForeCalc!$B$36:$Y$36,0))))*VLOOKUP(A28,Calendar!$A$2:$H$9997,8,FALSE),0)</f>
        <v/>
      </c>
      <c r="G28" s="29">
        <f>VLOOKUP(A28,Calendar!$A$1:$H$9997,6,FALSE)-F28</f>
        <v/>
      </c>
      <c r="H28" s="19" t="n">
        <v>1</v>
      </c>
      <c r="I28" s="57" t="n">
        <v>1</v>
      </c>
    </row>
    <row r="29">
      <c r="A29" s="62" t="n">
        <v>46140</v>
      </c>
      <c r="B29" s="3" t="inlineStr">
        <is>
          <t>Week</t>
        </is>
      </c>
      <c r="C29" s="19" t="n">
        <v>4</v>
      </c>
      <c r="D29" s="19" t="n">
        <v>2026</v>
      </c>
      <c r="E29" s="57" t="n">
        <v>1</v>
      </c>
      <c r="F29" s="29">
        <f>ROUND(((SUMIFS(Calendar!$F$2:$F$9997,Calendar!$B$2:$B$9997,D29,Calendar!$C$2:$C$9997,C29)*INDEX(ForeCalc!$B$37:$Y$274,MATCH(_xlfn.CONCAT(H29," ",I29),ForeCalc!$A$37:$A$274,0),MATCH(_xlfn.CONCAT(B29," ",E29),ForeCalc!$B$36:$Y$36,0))))*VLOOKUP(A29,Calendar!$A$2:$H$9997,8,FALSE),0)</f>
        <v/>
      </c>
      <c r="G29" s="29">
        <f>VLOOKUP(A29,Calendar!$A$1:$H$9997,6,FALSE)-F29</f>
        <v/>
      </c>
      <c r="H29" s="19" t="n">
        <v>1</v>
      </c>
      <c r="I29" s="57" t="n">
        <v>1</v>
      </c>
    </row>
    <row r="30">
      <c r="A30" s="62" t="n">
        <v>46141</v>
      </c>
      <c r="B30" s="3" t="inlineStr">
        <is>
          <t>Week</t>
        </is>
      </c>
      <c r="C30" s="19" t="n">
        <v>4</v>
      </c>
      <c r="D30" s="19" t="n">
        <v>2026</v>
      </c>
      <c r="E30" s="57" t="n">
        <v>1</v>
      </c>
      <c r="F30" s="29">
        <f>ROUND(((SUMIFS(Calendar!$F$2:$F$9997,Calendar!$B$2:$B$9997,D30,Calendar!$C$2:$C$9997,C30)*INDEX(ForeCalc!$B$37:$Y$274,MATCH(_xlfn.CONCAT(H30," ",I30),ForeCalc!$A$37:$A$274,0),MATCH(_xlfn.CONCAT(B30," ",E30),ForeCalc!$B$36:$Y$36,0))))*VLOOKUP(A30,Calendar!$A$2:$H$9997,8,FALSE),0)</f>
        <v/>
      </c>
      <c r="G30" s="29">
        <f>VLOOKUP(A30,Calendar!$A$1:$H$9997,6,FALSE)-F30</f>
        <v/>
      </c>
      <c r="H30" s="19" t="n">
        <v>1</v>
      </c>
      <c r="I30" s="57" t="n">
        <v>1</v>
      </c>
    </row>
    <row r="31">
      <c r="A31" s="62" t="n">
        <v>46142</v>
      </c>
      <c r="B31" s="3" t="inlineStr">
        <is>
          <t>Week</t>
        </is>
      </c>
      <c r="C31" s="19" t="n">
        <v>4</v>
      </c>
      <c r="D31" s="19" t="n">
        <v>2026</v>
      </c>
      <c r="E31" s="57" t="n">
        <v>1</v>
      </c>
      <c r="F31" s="29">
        <f>ROUND(((SUMIFS(Calendar!$F$2:$F$9997,Calendar!$B$2:$B$9997,D31,Calendar!$C$2:$C$9997,C31)*INDEX(ForeCalc!$B$37:$Y$274,MATCH(_xlfn.CONCAT(H31," ",I31),ForeCalc!$A$37:$A$274,0),MATCH(_xlfn.CONCAT(B31," ",E31),ForeCalc!$B$36:$Y$36,0))))*VLOOKUP(A31,Calendar!$A$2:$H$9997,8,FALSE),0)</f>
        <v/>
      </c>
      <c r="G31" s="29">
        <f>VLOOKUP(A31,Calendar!$A$1:$H$9997,6,FALSE)-F31</f>
        <v/>
      </c>
      <c r="H31" s="19" t="n">
        <v>1</v>
      </c>
      <c r="I31" s="57" t="n">
        <v>1</v>
      </c>
    </row>
    <row r="32">
      <c r="A32" s="62" t="n">
        <v>46143</v>
      </c>
      <c r="B32" s="3" t="inlineStr">
        <is>
          <t>Week</t>
        </is>
      </c>
      <c r="C32" s="19" t="n">
        <v>5</v>
      </c>
      <c r="D32" s="19" t="n">
        <v>2026</v>
      </c>
      <c r="E32" s="57" t="n">
        <v>1</v>
      </c>
      <c r="F32" s="29">
        <f>ROUND(((SUMIFS(Calendar!$F$2:$F$9997,Calendar!$B$2:$B$9997,D32,Calendar!$C$2:$C$9997,C32)*INDEX(ForeCalc!$B$37:$Y$274,MATCH(_xlfn.CONCAT(H32," ",I32),ForeCalc!$A$37:$A$274,0),MATCH(_xlfn.CONCAT(B32," ",E32),ForeCalc!$B$36:$Y$36,0))))*VLOOKUP(A32,Calendar!$A$2:$H$9997,8,FALSE),0)</f>
        <v/>
      </c>
      <c r="G32" s="29">
        <f>VLOOKUP(A32,Calendar!$A$1:$H$9997,6,FALSE)-F32</f>
        <v/>
      </c>
      <c r="H32" s="19" t="n">
        <v>1</v>
      </c>
      <c r="I32" s="57" t="n">
        <v>2</v>
      </c>
    </row>
    <row r="33">
      <c r="A33" s="62" t="n">
        <v>46144</v>
      </c>
      <c r="B33" s="3" t="inlineStr">
        <is>
          <t>Sat</t>
        </is>
      </c>
      <c r="C33" s="19" t="n">
        <v>5</v>
      </c>
      <c r="D33" s="19" t="n">
        <v>2026</v>
      </c>
      <c r="E33" s="57" t="n">
        <v>1</v>
      </c>
      <c r="F33" s="29">
        <f>ROUND(((SUMIFS(Calendar!$F$2:$F$9997,Calendar!$B$2:$B$9997,D33,Calendar!$C$2:$C$9997,C33)*INDEX(ForeCalc!$B$37:$Y$274,MATCH(_xlfn.CONCAT(H33," ",I33),ForeCalc!$A$37:$A$274,0),MATCH(_xlfn.CONCAT(B33," ",E33),ForeCalc!$B$36:$Y$36,0))))*VLOOKUP(A33,Calendar!$A$2:$H$9997,8,FALSE),0)</f>
        <v/>
      </c>
      <c r="G33" s="29">
        <f>VLOOKUP(A33,Calendar!$A$1:$H$9997,6,FALSE)-F33</f>
        <v/>
      </c>
      <c r="H33" s="19" t="n">
        <v>1</v>
      </c>
      <c r="I33" s="57" t="n">
        <v>2</v>
      </c>
    </row>
    <row r="34">
      <c r="A34" s="62" t="n">
        <v>46145</v>
      </c>
      <c r="B34" s="3" t="inlineStr">
        <is>
          <t>Sun</t>
        </is>
      </c>
      <c r="C34" s="19" t="n">
        <v>5</v>
      </c>
      <c r="D34" s="19" t="n">
        <v>2026</v>
      </c>
      <c r="E34" s="57" t="n">
        <v>1</v>
      </c>
      <c r="F34" s="29">
        <f>ROUND(((SUMIFS(Calendar!$F$2:$F$9997,Calendar!$B$2:$B$9997,D34,Calendar!$C$2:$C$9997,C34)*INDEX(ForeCalc!$B$37:$Y$274,MATCH(_xlfn.CONCAT(H34," ",I34),ForeCalc!$A$37:$A$274,0),MATCH(_xlfn.CONCAT(B34," ",E34),ForeCalc!$B$36:$Y$36,0))))*VLOOKUP(A34,Calendar!$A$2:$H$9997,8,FALSE),0)</f>
        <v/>
      </c>
      <c r="G34" s="29">
        <f>VLOOKUP(A34,Calendar!$A$1:$H$9997,6,FALSE)-F34</f>
        <v/>
      </c>
      <c r="H34" s="19" t="n">
        <v>1</v>
      </c>
      <c r="I34" s="57" t="n">
        <v>2</v>
      </c>
    </row>
    <row r="35">
      <c r="A35" s="62" t="n">
        <v>46146</v>
      </c>
      <c r="B35" s="3" t="inlineStr">
        <is>
          <t>Week</t>
        </is>
      </c>
      <c r="C35" s="19" t="n">
        <v>5</v>
      </c>
      <c r="D35" s="19" t="n">
        <v>2026</v>
      </c>
      <c r="E35" s="57" t="n">
        <v>1</v>
      </c>
      <c r="F35" s="29">
        <f>ROUND(((SUMIFS(Calendar!$F$2:$F$9997,Calendar!$B$2:$B$9997,D35,Calendar!$C$2:$C$9997,C35)*INDEX(ForeCalc!$B$37:$Y$274,MATCH(_xlfn.CONCAT(H35," ",I35),ForeCalc!$A$37:$A$274,0),MATCH(_xlfn.CONCAT(B35," ",E35),ForeCalc!$B$36:$Y$36,0))))*VLOOKUP(A35,Calendar!$A$2:$H$9997,8,FALSE),0)</f>
        <v/>
      </c>
      <c r="G35" s="29">
        <f>VLOOKUP(A35,Calendar!$A$1:$H$9997,6,FALSE)-F35</f>
        <v/>
      </c>
      <c r="H35" s="19" t="n">
        <v>1</v>
      </c>
      <c r="I35" s="57" t="n">
        <v>2</v>
      </c>
    </row>
    <row r="36">
      <c r="A36" s="62" t="n">
        <v>46147</v>
      </c>
      <c r="B36" s="3" t="inlineStr">
        <is>
          <t>Week</t>
        </is>
      </c>
      <c r="C36" s="19" t="n">
        <v>5</v>
      </c>
      <c r="D36" s="19" t="n">
        <v>2026</v>
      </c>
      <c r="E36" s="57" t="n">
        <v>1</v>
      </c>
      <c r="F36" s="29">
        <f>ROUND(((SUMIFS(Calendar!$F$2:$F$9997,Calendar!$B$2:$B$9997,D36,Calendar!$C$2:$C$9997,C36)*INDEX(ForeCalc!$B$37:$Y$274,MATCH(_xlfn.CONCAT(H36," ",I36),ForeCalc!$A$37:$A$274,0),MATCH(_xlfn.CONCAT(B36," ",E36),ForeCalc!$B$36:$Y$36,0))))*VLOOKUP(A36,Calendar!$A$2:$H$9997,8,FALSE),0)</f>
        <v/>
      </c>
      <c r="G36" s="29">
        <f>VLOOKUP(A36,Calendar!$A$1:$H$9997,6,FALSE)-F36</f>
        <v/>
      </c>
      <c r="H36" s="19" t="n">
        <v>1</v>
      </c>
      <c r="I36" s="57" t="n">
        <v>2</v>
      </c>
    </row>
    <row r="37">
      <c r="A37" s="62" t="n">
        <v>46148</v>
      </c>
      <c r="B37" s="3" t="inlineStr">
        <is>
          <t>Week</t>
        </is>
      </c>
      <c r="C37" s="19" t="n">
        <v>5</v>
      </c>
      <c r="D37" s="19" t="n">
        <v>2026</v>
      </c>
      <c r="E37" s="57" t="n">
        <v>1</v>
      </c>
      <c r="F37" s="29">
        <f>ROUND(((SUMIFS(Calendar!$F$2:$F$9997,Calendar!$B$2:$B$9997,D37,Calendar!$C$2:$C$9997,C37)*INDEX(ForeCalc!$B$37:$Y$274,MATCH(_xlfn.CONCAT(H37," ",I37),ForeCalc!$A$37:$A$274,0),MATCH(_xlfn.CONCAT(B37," ",E37),ForeCalc!$B$36:$Y$36,0))))*VLOOKUP(A37,Calendar!$A$2:$H$9997,8,FALSE),0)</f>
        <v/>
      </c>
      <c r="G37" s="29">
        <f>VLOOKUP(A37,Calendar!$A$1:$H$9997,6,FALSE)-F37</f>
        <v/>
      </c>
      <c r="H37" s="19" t="n">
        <v>1</v>
      </c>
      <c r="I37" s="57" t="n">
        <v>2</v>
      </c>
    </row>
    <row r="38">
      <c r="A38" s="62" t="n">
        <v>46149</v>
      </c>
      <c r="B38" s="3" t="inlineStr">
        <is>
          <t>Week</t>
        </is>
      </c>
      <c r="C38" s="19" t="n">
        <v>5</v>
      </c>
      <c r="D38" s="19" t="n">
        <v>2026</v>
      </c>
      <c r="E38" s="57" t="n">
        <v>1</v>
      </c>
      <c r="F38" s="29">
        <f>ROUND(((SUMIFS(Calendar!$F$2:$F$9997,Calendar!$B$2:$B$9997,D38,Calendar!$C$2:$C$9997,C38)*INDEX(ForeCalc!$B$37:$Y$274,MATCH(_xlfn.CONCAT(H38," ",I38),ForeCalc!$A$37:$A$274,0),MATCH(_xlfn.CONCAT(B38," ",E38),ForeCalc!$B$36:$Y$36,0))))*VLOOKUP(A38,Calendar!$A$2:$H$9997,8,FALSE),0)</f>
        <v/>
      </c>
      <c r="G38" s="29">
        <f>VLOOKUP(A38,Calendar!$A$1:$H$9997,6,FALSE)-F38</f>
        <v/>
      </c>
      <c r="H38" s="19" t="n">
        <v>1</v>
      </c>
      <c r="I38" s="57" t="n">
        <v>2</v>
      </c>
    </row>
    <row r="39">
      <c r="A39" s="62" t="n">
        <v>46150</v>
      </c>
      <c r="B39" s="3" t="inlineStr">
        <is>
          <t>Week</t>
        </is>
      </c>
      <c r="C39" s="19" t="n">
        <v>5</v>
      </c>
      <c r="D39" s="19" t="n">
        <v>2026</v>
      </c>
      <c r="E39" s="57" t="n">
        <v>1</v>
      </c>
      <c r="F39" s="29">
        <f>ROUND(((SUMIFS(Calendar!$F$2:$F$9997,Calendar!$B$2:$B$9997,D39,Calendar!$C$2:$C$9997,C39)*INDEX(ForeCalc!$B$37:$Y$274,MATCH(_xlfn.CONCAT(H39," ",I39),ForeCalc!$A$37:$A$274,0),MATCH(_xlfn.CONCAT(B39," ",E39),ForeCalc!$B$36:$Y$36,0))))*VLOOKUP(A39,Calendar!$A$2:$H$9997,8,FALSE),0)</f>
        <v/>
      </c>
      <c r="G39" s="29">
        <f>VLOOKUP(A39,Calendar!$A$1:$H$9997,6,FALSE)-F39</f>
        <v/>
      </c>
      <c r="H39" s="19" t="n">
        <v>1</v>
      </c>
      <c r="I39" s="57" t="n">
        <v>2</v>
      </c>
    </row>
    <row r="40">
      <c r="A40" s="62" t="n">
        <v>46151</v>
      </c>
      <c r="B40" s="3" t="inlineStr">
        <is>
          <t>Sat</t>
        </is>
      </c>
      <c r="C40" s="19" t="n">
        <v>5</v>
      </c>
      <c r="D40" s="19" t="n">
        <v>2026</v>
      </c>
      <c r="E40" s="57" t="n">
        <v>1</v>
      </c>
      <c r="F40" s="29">
        <f>ROUND(((SUMIFS(Calendar!$F$2:$F$9997,Calendar!$B$2:$B$9997,D40,Calendar!$C$2:$C$9997,C40)*INDEX(ForeCalc!$B$37:$Y$274,MATCH(_xlfn.CONCAT(H40," ",I40),ForeCalc!$A$37:$A$274,0),MATCH(_xlfn.CONCAT(B40," ",E40),ForeCalc!$B$36:$Y$36,0))))*VLOOKUP(A40,Calendar!$A$2:$H$9997,8,FALSE),0)</f>
        <v/>
      </c>
      <c r="G40" s="29">
        <f>VLOOKUP(A40,Calendar!$A$1:$H$9997,6,FALSE)-F40</f>
        <v/>
      </c>
      <c r="H40" s="19" t="n">
        <v>1</v>
      </c>
      <c r="I40" s="57" t="n">
        <v>2</v>
      </c>
    </row>
    <row r="41">
      <c r="A41" s="62" t="n">
        <v>46152</v>
      </c>
      <c r="B41" s="3" t="inlineStr">
        <is>
          <t>Sun</t>
        </is>
      </c>
      <c r="C41" s="19" t="n">
        <v>5</v>
      </c>
      <c r="D41" s="19" t="n">
        <v>2026</v>
      </c>
      <c r="E41" s="57" t="n">
        <v>1</v>
      </c>
      <c r="F41" s="29">
        <f>ROUND(((SUMIFS(Calendar!$F$2:$F$9997,Calendar!$B$2:$B$9997,D41,Calendar!$C$2:$C$9997,C41)*INDEX(ForeCalc!$B$37:$Y$274,MATCH(_xlfn.CONCAT(H41," ",I41),ForeCalc!$A$37:$A$274,0),MATCH(_xlfn.CONCAT(B41," ",E41),ForeCalc!$B$36:$Y$36,0))))*VLOOKUP(A41,Calendar!$A$2:$H$9997,8,FALSE),0)</f>
        <v/>
      </c>
      <c r="G41" s="29">
        <f>VLOOKUP(A41,Calendar!$A$1:$H$9997,6,FALSE)-F41</f>
        <v/>
      </c>
      <c r="H41" s="19" t="n">
        <v>1</v>
      </c>
      <c r="I41" s="57" t="n">
        <v>2</v>
      </c>
    </row>
    <row r="42">
      <c r="A42" s="62" t="n">
        <v>46153</v>
      </c>
      <c r="B42" s="3" t="inlineStr">
        <is>
          <t>Week</t>
        </is>
      </c>
      <c r="C42" s="19" t="n">
        <v>5</v>
      </c>
      <c r="D42" s="19" t="n">
        <v>2026</v>
      </c>
      <c r="E42" s="57" t="n">
        <v>1</v>
      </c>
      <c r="F42" s="29">
        <f>ROUND(((SUMIFS(Calendar!$F$2:$F$9997,Calendar!$B$2:$B$9997,D42,Calendar!$C$2:$C$9997,C42)*INDEX(ForeCalc!$B$37:$Y$274,MATCH(_xlfn.CONCAT(H42," ",I42),ForeCalc!$A$37:$A$274,0),MATCH(_xlfn.CONCAT(B42," ",E42),ForeCalc!$B$36:$Y$36,0))))*VLOOKUP(A42,Calendar!$A$2:$H$9997,8,FALSE),0)</f>
        <v/>
      </c>
      <c r="G42" s="29">
        <f>VLOOKUP(A42,Calendar!$A$1:$H$9997,6,FALSE)-F42</f>
        <v/>
      </c>
      <c r="H42" s="19" t="n">
        <v>1</v>
      </c>
      <c r="I42" s="57" t="n">
        <v>2</v>
      </c>
    </row>
    <row r="43">
      <c r="A43" s="62" t="n">
        <v>46154</v>
      </c>
      <c r="B43" s="3" t="inlineStr">
        <is>
          <t>Week</t>
        </is>
      </c>
      <c r="C43" s="19" t="n">
        <v>5</v>
      </c>
      <c r="D43" s="19" t="n">
        <v>2026</v>
      </c>
      <c r="E43" s="57" t="n">
        <v>1</v>
      </c>
      <c r="F43" s="29">
        <f>ROUND(((SUMIFS(Calendar!$F$2:$F$9997,Calendar!$B$2:$B$9997,D43,Calendar!$C$2:$C$9997,C43)*INDEX(ForeCalc!$B$37:$Y$274,MATCH(_xlfn.CONCAT(H43," ",I43),ForeCalc!$A$37:$A$274,0),MATCH(_xlfn.CONCAT(B43," ",E43),ForeCalc!$B$36:$Y$36,0))))*VLOOKUP(A43,Calendar!$A$2:$H$9997,8,FALSE),0)</f>
        <v/>
      </c>
      <c r="G43" s="29">
        <f>VLOOKUP(A43,Calendar!$A$1:$H$9997,6,FALSE)-F43</f>
        <v/>
      </c>
      <c r="H43" s="19" t="n">
        <v>1</v>
      </c>
      <c r="I43" s="57" t="n">
        <v>2</v>
      </c>
    </row>
    <row r="44">
      <c r="A44" s="62" t="n">
        <v>46155</v>
      </c>
      <c r="B44" s="3" t="inlineStr">
        <is>
          <t>Week</t>
        </is>
      </c>
      <c r="C44" s="19" t="n">
        <v>5</v>
      </c>
      <c r="D44" s="19" t="n">
        <v>2026</v>
      </c>
      <c r="E44" s="57" t="n">
        <v>1</v>
      </c>
      <c r="F44" s="29">
        <f>ROUND(((SUMIFS(Calendar!$F$2:$F$9997,Calendar!$B$2:$B$9997,D44,Calendar!$C$2:$C$9997,C44)*INDEX(ForeCalc!$B$37:$Y$274,MATCH(_xlfn.CONCAT(H44," ",I44),ForeCalc!$A$37:$A$274,0),MATCH(_xlfn.CONCAT(B44," ",E44),ForeCalc!$B$36:$Y$36,0))))*VLOOKUP(A44,Calendar!$A$2:$H$9997,8,FALSE),0)</f>
        <v/>
      </c>
      <c r="G44" s="29">
        <f>VLOOKUP(A44,Calendar!$A$1:$H$9997,6,FALSE)-F44</f>
        <v/>
      </c>
      <c r="H44" s="19" t="n">
        <v>1</v>
      </c>
      <c r="I44" s="57" t="n">
        <v>2</v>
      </c>
    </row>
    <row r="45">
      <c r="A45" s="62" t="n">
        <v>46156</v>
      </c>
      <c r="B45" s="3" t="inlineStr">
        <is>
          <t>Week</t>
        </is>
      </c>
      <c r="C45" s="19" t="n">
        <v>5</v>
      </c>
      <c r="D45" s="19" t="n">
        <v>2026</v>
      </c>
      <c r="E45" s="57" t="n">
        <v>1</v>
      </c>
      <c r="F45" s="29">
        <f>ROUND(((SUMIFS(Calendar!$F$2:$F$9997,Calendar!$B$2:$B$9997,D45,Calendar!$C$2:$C$9997,C45)*INDEX(ForeCalc!$B$37:$Y$274,MATCH(_xlfn.CONCAT(H45," ",I45),ForeCalc!$A$37:$A$274,0),MATCH(_xlfn.CONCAT(B45," ",E45),ForeCalc!$B$36:$Y$36,0))))*VLOOKUP(A45,Calendar!$A$2:$H$9997,8,FALSE),0)</f>
        <v/>
      </c>
      <c r="G45" s="29">
        <f>VLOOKUP(A45,Calendar!$A$1:$H$9997,6,FALSE)-F45</f>
        <v/>
      </c>
      <c r="H45" s="19" t="n">
        <v>1</v>
      </c>
      <c r="I45" s="57" t="n">
        <v>2</v>
      </c>
    </row>
    <row r="46">
      <c r="A46" s="62" t="n">
        <v>46157</v>
      </c>
      <c r="B46" s="3" t="inlineStr">
        <is>
          <t>Week</t>
        </is>
      </c>
      <c r="C46" s="19" t="n">
        <v>5</v>
      </c>
      <c r="D46" s="19" t="n">
        <v>2026</v>
      </c>
      <c r="E46" s="57" t="n">
        <v>1</v>
      </c>
      <c r="F46" s="29">
        <f>ROUND(((SUMIFS(Calendar!$F$2:$F$9997,Calendar!$B$2:$B$9997,D46,Calendar!$C$2:$C$9997,C46)*INDEX(ForeCalc!$B$37:$Y$274,MATCH(_xlfn.CONCAT(H46," ",I46),ForeCalc!$A$37:$A$274,0),MATCH(_xlfn.CONCAT(B46," ",E46),ForeCalc!$B$36:$Y$36,0))))*VLOOKUP(A46,Calendar!$A$2:$H$9997,8,FALSE),0)</f>
        <v/>
      </c>
      <c r="G46" s="29">
        <f>VLOOKUP(A46,Calendar!$A$1:$H$9997,6,FALSE)-F46</f>
        <v/>
      </c>
      <c r="H46" s="19" t="n">
        <v>1</v>
      </c>
      <c r="I46" s="57" t="n">
        <v>2</v>
      </c>
    </row>
    <row r="47">
      <c r="A47" s="62" t="n">
        <v>46158</v>
      </c>
      <c r="B47" s="3" t="inlineStr">
        <is>
          <t>Sat</t>
        </is>
      </c>
      <c r="C47" s="19" t="n">
        <v>5</v>
      </c>
      <c r="D47" s="19" t="n">
        <v>2026</v>
      </c>
      <c r="E47" s="57" t="n">
        <v>1</v>
      </c>
      <c r="F47" s="29">
        <f>ROUND(((SUMIFS(Calendar!$F$2:$F$9997,Calendar!$B$2:$B$9997,D47,Calendar!$C$2:$C$9997,C47)*INDEX(ForeCalc!$B$37:$Y$274,MATCH(_xlfn.CONCAT(H47," ",I47),ForeCalc!$A$37:$A$274,0),MATCH(_xlfn.CONCAT(B47," ",E47),ForeCalc!$B$36:$Y$36,0))))*VLOOKUP(A47,Calendar!$A$2:$H$9997,8,FALSE),0)</f>
        <v/>
      </c>
      <c r="G47" s="29">
        <f>VLOOKUP(A47,Calendar!$A$1:$H$9997,6,FALSE)-F47</f>
        <v/>
      </c>
      <c r="H47" s="19" t="n">
        <v>1</v>
      </c>
      <c r="I47" s="57" t="n">
        <v>2</v>
      </c>
    </row>
    <row r="48">
      <c r="A48" s="62" t="n">
        <v>46159</v>
      </c>
      <c r="B48" s="3" t="inlineStr">
        <is>
          <t>Sun</t>
        </is>
      </c>
      <c r="C48" s="19" t="n">
        <v>5</v>
      </c>
      <c r="D48" s="19" t="n">
        <v>2026</v>
      </c>
      <c r="E48" s="57" t="n">
        <v>1</v>
      </c>
      <c r="F48" s="29">
        <f>ROUND(((SUMIFS(Calendar!$F$2:$F$9997,Calendar!$B$2:$B$9997,D48,Calendar!$C$2:$C$9997,C48)*INDEX(ForeCalc!$B$37:$Y$274,MATCH(_xlfn.CONCAT(H48," ",I48),ForeCalc!$A$37:$A$274,0),MATCH(_xlfn.CONCAT(B48," ",E48),ForeCalc!$B$36:$Y$36,0))))*VLOOKUP(A48,Calendar!$A$2:$H$9997,8,FALSE),0)</f>
        <v/>
      </c>
      <c r="G48" s="29">
        <f>VLOOKUP(A48,Calendar!$A$1:$H$9997,6,FALSE)-F48</f>
        <v/>
      </c>
      <c r="H48" s="19" t="n">
        <v>1</v>
      </c>
      <c r="I48" s="57" t="n">
        <v>2</v>
      </c>
    </row>
    <row r="49">
      <c r="A49" s="62" t="n">
        <v>46160</v>
      </c>
      <c r="B49" s="3" t="inlineStr">
        <is>
          <t>Week</t>
        </is>
      </c>
      <c r="C49" s="19" t="n">
        <v>5</v>
      </c>
      <c r="D49" s="19" t="n">
        <v>2026</v>
      </c>
      <c r="E49" s="57" t="n">
        <v>1</v>
      </c>
      <c r="F49" s="29">
        <f>ROUND(((SUMIFS(Calendar!$F$2:$F$9997,Calendar!$B$2:$B$9997,D49,Calendar!$C$2:$C$9997,C49)*INDEX(ForeCalc!$B$37:$Y$274,MATCH(_xlfn.CONCAT(H49," ",I49),ForeCalc!$A$37:$A$274,0),MATCH(_xlfn.CONCAT(B49," ",E49),ForeCalc!$B$36:$Y$36,0))))*VLOOKUP(A49,Calendar!$A$2:$H$9997,8,FALSE),0)</f>
        <v/>
      </c>
      <c r="G49" s="29">
        <f>VLOOKUP(A49,Calendar!$A$1:$H$9997,6,FALSE)-F49</f>
        <v/>
      </c>
      <c r="H49" s="19" t="n">
        <v>1</v>
      </c>
      <c r="I49" s="57" t="n">
        <v>2</v>
      </c>
    </row>
    <row r="50">
      <c r="A50" s="62" t="n">
        <v>46161</v>
      </c>
      <c r="B50" s="3" t="inlineStr">
        <is>
          <t>Week</t>
        </is>
      </c>
      <c r="C50" s="19" t="n">
        <v>5</v>
      </c>
      <c r="D50" s="19" t="n">
        <v>2026</v>
      </c>
      <c r="E50" s="57" t="n">
        <v>1</v>
      </c>
      <c r="F50" s="29">
        <f>ROUND(((SUMIFS(Calendar!$F$2:$F$9997,Calendar!$B$2:$B$9997,D50,Calendar!$C$2:$C$9997,C50)*INDEX(ForeCalc!$B$37:$Y$274,MATCH(_xlfn.CONCAT(H50," ",I50),ForeCalc!$A$37:$A$274,0),MATCH(_xlfn.CONCAT(B50," ",E50),ForeCalc!$B$36:$Y$36,0))))*VLOOKUP(A50,Calendar!$A$2:$H$9997,8,FALSE),0)</f>
        <v/>
      </c>
      <c r="G50" s="29">
        <f>VLOOKUP(A50,Calendar!$A$1:$H$9997,6,FALSE)-F50</f>
        <v/>
      </c>
      <c r="H50" s="19" t="n">
        <v>1</v>
      </c>
      <c r="I50" s="57" t="n">
        <v>2</v>
      </c>
    </row>
    <row r="51">
      <c r="A51" s="62" t="n">
        <v>46162</v>
      </c>
      <c r="B51" s="3" t="inlineStr">
        <is>
          <t>Week</t>
        </is>
      </c>
      <c r="C51" s="19" t="n">
        <v>5</v>
      </c>
      <c r="D51" s="19" t="n">
        <v>2026</v>
      </c>
      <c r="E51" s="57" t="n">
        <v>1</v>
      </c>
      <c r="F51" s="29">
        <f>ROUND(((SUMIFS(Calendar!$F$2:$F$9997,Calendar!$B$2:$B$9997,D51,Calendar!$C$2:$C$9997,C51)*INDEX(ForeCalc!$B$37:$Y$274,MATCH(_xlfn.CONCAT(H51," ",I51),ForeCalc!$A$37:$A$274,0),MATCH(_xlfn.CONCAT(B51," ",E51),ForeCalc!$B$36:$Y$36,0))))*VLOOKUP(A51,Calendar!$A$2:$H$9997,8,FALSE),0)</f>
        <v/>
      </c>
      <c r="G51" s="29">
        <f>VLOOKUP(A51,Calendar!$A$1:$H$9997,6,FALSE)-F51</f>
        <v/>
      </c>
      <c r="H51" s="19" t="n">
        <v>1</v>
      </c>
      <c r="I51" s="57" t="n">
        <v>2</v>
      </c>
    </row>
    <row r="52">
      <c r="A52" s="62" t="n">
        <v>46163</v>
      </c>
      <c r="B52" s="3" t="inlineStr">
        <is>
          <t>Week</t>
        </is>
      </c>
      <c r="C52" s="19" t="n">
        <v>5</v>
      </c>
      <c r="D52" s="19" t="n">
        <v>2026</v>
      </c>
      <c r="E52" s="57" t="n">
        <v>1</v>
      </c>
      <c r="F52" s="29">
        <f>ROUND(((SUMIFS(Calendar!$F$2:$F$9997,Calendar!$B$2:$B$9997,D52,Calendar!$C$2:$C$9997,C52)*INDEX(ForeCalc!$B$37:$Y$274,MATCH(_xlfn.CONCAT(H52," ",I52),ForeCalc!$A$37:$A$274,0),MATCH(_xlfn.CONCAT(B52," ",E52),ForeCalc!$B$36:$Y$36,0))))*VLOOKUP(A52,Calendar!$A$2:$H$9997,8,FALSE),0)</f>
        <v/>
      </c>
      <c r="G52" s="29">
        <f>VLOOKUP(A52,Calendar!$A$1:$H$9997,6,FALSE)-F52</f>
        <v/>
      </c>
      <c r="H52" s="19" t="n">
        <v>1</v>
      </c>
      <c r="I52" s="57" t="n">
        <v>2</v>
      </c>
    </row>
    <row r="53">
      <c r="A53" s="62" t="n">
        <v>46164</v>
      </c>
      <c r="B53" s="3" t="inlineStr">
        <is>
          <t>Week</t>
        </is>
      </c>
      <c r="C53" s="19" t="n">
        <v>5</v>
      </c>
      <c r="D53" s="19" t="n">
        <v>2026</v>
      </c>
      <c r="E53" s="57" t="n">
        <v>1</v>
      </c>
      <c r="F53" s="29">
        <f>ROUND(((SUMIFS(Calendar!$F$2:$F$9997,Calendar!$B$2:$B$9997,D53,Calendar!$C$2:$C$9997,C53)*INDEX(ForeCalc!$B$37:$Y$274,MATCH(_xlfn.CONCAT(H53," ",I53),ForeCalc!$A$37:$A$274,0),MATCH(_xlfn.CONCAT(B53," ",E53),ForeCalc!$B$36:$Y$36,0))))*VLOOKUP(A53,Calendar!$A$2:$H$9997,8,FALSE),0)</f>
        <v/>
      </c>
      <c r="G53" s="29">
        <f>VLOOKUP(A53,Calendar!$A$1:$H$9997,6,FALSE)-F53</f>
        <v/>
      </c>
      <c r="H53" s="19" t="n">
        <v>1</v>
      </c>
      <c r="I53" s="57" t="n">
        <v>2</v>
      </c>
    </row>
    <row r="54">
      <c r="A54" s="62" t="n">
        <v>46165</v>
      </c>
      <c r="B54" s="3" t="inlineStr">
        <is>
          <t>Sat</t>
        </is>
      </c>
      <c r="C54" s="19" t="n">
        <v>5</v>
      </c>
      <c r="D54" s="19" t="n">
        <v>2026</v>
      </c>
      <c r="E54" s="57" t="n">
        <v>1</v>
      </c>
      <c r="F54" s="29">
        <f>ROUND(((SUMIFS(Calendar!$F$2:$F$9997,Calendar!$B$2:$B$9997,D54,Calendar!$C$2:$C$9997,C54)*INDEX(ForeCalc!$B$37:$Y$274,MATCH(_xlfn.CONCAT(H54," ",I54),ForeCalc!$A$37:$A$274,0),MATCH(_xlfn.CONCAT(B54," ",E54),ForeCalc!$B$36:$Y$36,0))))*VLOOKUP(A54,Calendar!$A$2:$H$9997,8,FALSE),0)</f>
        <v/>
      </c>
      <c r="G54" s="29">
        <f>VLOOKUP(A54,Calendar!$A$1:$H$9997,6,FALSE)-F54</f>
        <v/>
      </c>
      <c r="H54" s="19" t="n">
        <v>1</v>
      </c>
      <c r="I54" s="57" t="n">
        <v>2</v>
      </c>
    </row>
    <row r="55">
      <c r="A55" s="62" t="n">
        <v>46166</v>
      </c>
      <c r="B55" s="3" t="inlineStr">
        <is>
          <t>Sun</t>
        </is>
      </c>
      <c r="C55" s="19" t="n">
        <v>5</v>
      </c>
      <c r="D55" s="19" t="n">
        <v>2026</v>
      </c>
      <c r="E55" s="57" t="n">
        <v>1</v>
      </c>
      <c r="F55" s="29">
        <f>ROUND(((SUMIFS(Calendar!$F$2:$F$9997,Calendar!$B$2:$B$9997,D55,Calendar!$C$2:$C$9997,C55)*INDEX(ForeCalc!$B$37:$Y$274,MATCH(_xlfn.CONCAT(H55," ",I55),ForeCalc!$A$37:$A$274,0),MATCH(_xlfn.CONCAT(B55," ",E55),ForeCalc!$B$36:$Y$36,0))))*VLOOKUP(A55,Calendar!$A$2:$H$9997,8,FALSE),0)</f>
        <v/>
      </c>
      <c r="G55" s="29">
        <f>VLOOKUP(A55,Calendar!$A$1:$H$9997,6,FALSE)-F55</f>
        <v/>
      </c>
      <c r="H55" s="19" t="n">
        <v>1</v>
      </c>
      <c r="I55" s="57" t="n">
        <v>2</v>
      </c>
    </row>
    <row r="56">
      <c r="A56" s="62" t="n">
        <v>46167</v>
      </c>
      <c r="B56" s="3" t="inlineStr">
        <is>
          <t>Week</t>
        </is>
      </c>
      <c r="C56" s="19" t="n">
        <v>5</v>
      </c>
      <c r="D56" s="19" t="n">
        <v>2026</v>
      </c>
      <c r="E56" s="57" t="n">
        <v>1</v>
      </c>
      <c r="F56" s="29">
        <f>ROUND(((SUMIFS(Calendar!$F$2:$F$9997,Calendar!$B$2:$B$9997,D56,Calendar!$C$2:$C$9997,C56)*INDEX(ForeCalc!$B$37:$Y$274,MATCH(_xlfn.CONCAT(H56," ",I56),ForeCalc!$A$37:$A$274,0),MATCH(_xlfn.CONCAT(B56," ",E56),ForeCalc!$B$36:$Y$36,0))))*VLOOKUP(A56,Calendar!$A$2:$H$9997,8,FALSE),0)</f>
        <v/>
      </c>
      <c r="G56" s="29">
        <f>VLOOKUP(A56,Calendar!$A$1:$H$9997,6,FALSE)-F56</f>
        <v/>
      </c>
      <c r="H56" s="19" t="n">
        <v>1</v>
      </c>
      <c r="I56" s="57" t="n">
        <v>2</v>
      </c>
    </row>
    <row r="57">
      <c r="A57" s="62" t="n">
        <v>46168</v>
      </c>
      <c r="B57" s="3" t="inlineStr">
        <is>
          <t>Week</t>
        </is>
      </c>
      <c r="C57" s="19" t="n">
        <v>5</v>
      </c>
      <c r="D57" s="19" t="n">
        <v>2026</v>
      </c>
      <c r="E57" s="57" t="n">
        <v>1</v>
      </c>
      <c r="F57" s="29">
        <f>ROUND(((SUMIFS(Calendar!$F$2:$F$9997,Calendar!$B$2:$B$9997,D57,Calendar!$C$2:$C$9997,C57)*INDEX(ForeCalc!$B$37:$Y$274,MATCH(_xlfn.CONCAT(H57," ",I57),ForeCalc!$A$37:$A$274,0),MATCH(_xlfn.CONCAT(B57," ",E57),ForeCalc!$B$36:$Y$36,0))))*VLOOKUP(A57,Calendar!$A$2:$H$9997,8,FALSE),0)</f>
        <v/>
      </c>
      <c r="G57" s="29">
        <f>VLOOKUP(A57,Calendar!$A$1:$H$9997,6,FALSE)-F57</f>
        <v/>
      </c>
      <c r="H57" s="19" t="n">
        <v>1</v>
      </c>
      <c r="I57" s="57" t="n">
        <v>2</v>
      </c>
    </row>
    <row r="58">
      <c r="A58" s="62" t="n">
        <v>46169</v>
      </c>
      <c r="B58" s="3" t="inlineStr">
        <is>
          <t>Week</t>
        </is>
      </c>
      <c r="C58" s="19" t="n">
        <v>5</v>
      </c>
      <c r="D58" s="19" t="n">
        <v>2026</v>
      </c>
      <c r="E58" s="57" t="n">
        <v>1</v>
      </c>
      <c r="F58" s="29">
        <f>ROUND(((SUMIFS(Calendar!$F$2:$F$9997,Calendar!$B$2:$B$9997,D58,Calendar!$C$2:$C$9997,C58)*INDEX(ForeCalc!$B$37:$Y$274,MATCH(_xlfn.CONCAT(H58," ",I58),ForeCalc!$A$37:$A$274,0),MATCH(_xlfn.CONCAT(B58," ",E58),ForeCalc!$B$36:$Y$36,0))))*VLOOKUP(A58,Calendar!$A$2:$H$9997,8,FALSE),0)</f>
        <v/>
      </c>
      <c r="G58" s="29">
        <f>VLOOKUP(A58,Calendar!$A$1:$H$9997,6,FALSE)-F58</f>
        <v/>
      </c>
      <c r="H58" s="19" t="n">
        <v>1</v>
      </c>
      <c r="I58" s="57" t="n">
        <v>2</v>
      </c>
    </row>
    <row r="59">
      <c r="A59" s="62" t="n">
        <v>46170</v>
      </c>
      <c r="B59" s="3" t="inlineStr">
        <is>
          <t>Week</t>
        </is>
      </c>
      <c r="C59" s="19" t="n">
        <v>5</v>
      </c>
      <c r="D59" s="19" t="n">
        <v>2026</v>
      </c>
      <c r="E59" s="57" t="n">
        <v>1</v>
      </c>
      <c r="F59" s="29">
        <f>ROUND(((SUMIFS(Calendar!$F$2:$F$9997,Calendar!$B$2:$B$9997,D59,Calendar!$C$2:$C$9997,C59)*INDEX(ForeCalc!$B$37:$Y$274,MATCH(_xlfn.CONCAT(H59," ",I59),ForeCalc!$A$37:$A$274,0),MATCH(_xlfn.CONCAT(B59," ",E59),ForeCalc!$B$36:$Y$36,0))))*VLOOKUP(A59,Calendar!$A$2:$H$9997,8,FALSE),0)</f>
        <v/>
      </c>
      <c r="G59" s="29">
        <f>VLOOKUP(A59,Calendar!$A$1:$H$9997,6,FALSE)-F59</f>
        <v/>
      </c>
      <c r="H59" s="19" t="n">
        <v>1</v>
      </c>
      <c r="I59" s="57" t="n">
        <v>2</v>
      </c>
    </row>
    <row r="60">
      <c r="A60" s="62" t="n">
        <v>46171</v>
      </c>
      <c r="B60" s="3" t="inlineStr">
        <is>
          <t>Week</t>
        </is>
      </c>
      <c r="C60" s="19" t="n">
        <v>5</v>
      </c>
      <c r="D60" s="19" t="n">
        <v>2026</v>
      </c>
      <c r="E60" s="57" t="n">
        <v>1</v>
      </c>
      <c r="F60" s="29">
        <f>ROUND(((SUMIFS(Calendar!$F$2:$F$9997,Calendar!$B$2:$B$9997,D60,Calendar!$C$2:$C$9997,C60)*INDEX(ForeCalc!$B$37:$Y$274,MATCH(_xlfn.CONCAT(H60," ",I60),ForeCalc!$A$37:$A$274,0),MATCH(_xlfn.CONCAT(B60," ",E60),ForeCalc!$B$36:$Y$36,0))))*VLOOKUP(A60,Calendar!$A$2:$H$9997,8,FALSE),0)</f>
        <v/>
      </c>
      <c r="G60" s="29">
        <f>VLOOKUP(A60,Calendar!$A$1:$H$9997,6,FALSE)-F60</f>
        <v/>
      </c>
      <c r="H60" s="19" t="n">
        <v>1</v>
      </c>
      <c r="I60" s="57" t="n">
        <v>2</v>
      </c>
    </row>
    <row r="61">
      <c r="A61" s="62" t="n">
        <v>46172</v>
      </c>
      <c r="B61" s="3" t="inlineStr">
        <is>
          <t>Sat</t>
        </is>
      </c>
      <c r="C61" s="19" t="n">
        <v>5</v>
      </c>
      <c r="D61" s="19" t="n">
        <v>2026</v>
      </c>
      <c r="E61" s="57" t="n">
        <v>1</v>
      </c>
      <c r="F61" s="29">
        <f>ROUND(((SUMIFS(Calendar!$F$2:$F$9997,Calendar!$B$2:$B$9997,D61,Calendar!$C$2:$C$9997,C61)*INDEX(ForeCalc!$B$37:$Y$274,MATCH(_xlfn.CONCAT(H61," ",I61),ForeCalc!$A$37:$A$274,0),MATCH(_xlfn.CONCAT(B61," ",E61),ForeCalc!$B$36:$Y$36,0))))*VLOOKUP(A61,Calendar!$A$2:$H$9997,8,FALSE),0)</f>
        <v/>
      </c>
      <c r="G61" s="29">
        <f>VLOOKUP(A61,Calendar!$A$1:$H$9997,6,FALSE)-F61</f>
        <v/>
      </c>
      <c r="H61" s="19" t="n">
        <v>1</v>
      </c>
      <c r="I61" s="57" t="n">
        <v>2</v>
      </c>
    </row>
    <row r="62">
      <c r="A62" s="62" t="n">
        <v>46173</v>
      </c>
      <c r="B62" s="3" t="inlineStr">
        <is>
          <t>Sun</t>
        </is>
      </c>
      <c r="C62" s="19" t="n">
        <v>5</v>
      </c>
      <c r="D62" s="19" t="n">
        <v>2026</v>
      </c>
      <c r="E62" s="57" t="n">
        <v>1</v>
      </c>
      <c r="F62" s="29">
        <f>ROUND(((SUMIFS(Calendar!$F$2:$F$9997,Calendar!$B$2:$B$9997,D62,Calendar!$C$2:$C$9997,C62)*INDEX(ForeCalc!$B$37:$Y$274,MATCH(_xlfn.CONCAT(H62," ",I62),ForeCalc!$A$37:$A$274,0),MATCH(_xlfn.CONCAT(B62," ",E62),ForeCalc!$B$36:$Y$36,0))))*VLOOKUP(A62,Calendar!$A$2:$H$9997,8,FALSE),0)</f>
        <v/>
      </c>
      <c r="G62" s="29">
        <f>VLOOKUP(A62,Calendar!$A$1:$H$9997,6,FALSE)-F62</f>
        <v/>
      </c>
      <c r="H62" s="19" t="n">
        <v>1</v>
      </c>
      <c r="I62" s="57" t="n">
        <v>2</v>
      </c>
    </row>
    <row r="63">
      <c r="A63" s="62" t="n">
        <v>46174</v>
      </c>
      <c r="B63" s="3" t="inlineStr">
        <is>
          <t>Week</t>
        </is>
      </c>
      <c r="C63" s="19" t="n">
        <v>6</v>
      </c>
      <c r="D63" s="19" t="n">
        <v>2026</v>
      </c>
      <c r="E63" s="57" t="n">
        <v>1</v>
      </c>
      <c r="F63" s="29">
        <f>ROUND(((SUMIFS(Calendar!$F$2:$F$9997,Calendar!$B$2:$B$9997,D63,Calendar!$C$2:$C$9997,C63)*INDEX(ForeCalc!$B$37:$Y$274,MATCH(_xlfn.CONCAT(H63," ",I63),ForeCalc!$A$37:$A$274,0),MATCH(_xlfn.CONCAT(B63," ",E63),ForeCalc!$B$36:$Y$36,0))))*VLOOKUP(A63,Calendar!$A$2:$H$9997,8,FALSE),0)</f>
        <v/>
      </c>
      <c r="G63" s="29">
        <f>VLOOKUP(A63,Calendar!$A$1:$H$9997,6,FALSE)-F63</f>
        <v/>
      </c>
      <c r="H63" s="19" t="n">
        <v>1</v>
      </c>
      <c r="I63" s="57" t="n">
        <v>3</v>
      </c>
    </row>
    <row r="64">
      <c r="A64" s="62" t="n">
        <v>46175</v>
      </c>
      <c r="B64" s="3" t="inlineStr">
        <is>
          <t>Week</t>
        </is>
      </c>
      <c r="C64" s="19" t="n">
        <v>6</v>
      </c>
      <c r="D64" s="19" t="n">
        <v>2026</v>
      </c>
      <c r="E64" s="57" t="n">
        <v>1</v>
      </c>
      <c r="F64" s="29">
        <f>ROUND(((SUMIFS(Calendar!$F$2:$F$9997,Calendar!$B$2:$B$9997,D64,Calendar!$C$2:$C$9997,C64)*INDEX(ForeCalc!$B$37:$Y$274,MATCH(_xlfn.CONCAT(H64," ",I64),ForeCalc!$A$37:$A$274,0),MATCH(_xlfn.CONCAT(B64," ",E64),ForeCalc!$B$36:$Y$36,0))))*VLOOKUP(A64,Calendar!$A$2:$H$9997,8,FALSE),0)</f>
        <v/>
      </c>
      <c r="G64" s="29">
        <f>VLOOKUP(A64,Calendar!$A$1:$H$9997,6,FALSE)-F64</f>
        <v/>
      </c>
      <c r="H64" s="19" t="n">
        <v>1</v>
      </c>
      <c r="I64" s="57" t="n">
        <v>3</v>
      </c>
    </row>
    <row r="65">
      <c r="A65" s="62" t="n">
        <v>46176</v>
      </c>
      <c r="B65" s="3" t="inlineStr">
        <is>
          <t>Week</t>
        </is>
      </c>
      <c r="C65" s="19" t="n">
        <v>6</v>
      </c>
      <c r="D65" s="19" t="n">
        <v>2026</v>
      </c>
      <c r="E65" s="57" t="n">
        <v>1</v>
      </c>
      <c r="F65" s="29">
        <f>ROUND(((SUMIFS(Calendar!$F$2:$F$9997,Calendar!$B$2:$B$9997,D65,Calendar!$C$2:$C$9997,C65)*INDEX(ForeCalc!$B$37:$Y$274,MATCH(_xlfn.CONCAT(H65," ",I65),ForeCalc!$A$37:$A$274,0),MATCH(_xlfn.CONCAT(B65," ",E65),ForeCalc!$B$36:$Y$36,0))))*VLOOKUP(A65,Calendar!$A$2:$H$9997,8,FALSE),0)</f>
        <v/>
      </c>
      <c r="G65" s="29">
        <f>VLOOKUP(A65,Calendar!$A$1:$H$9997,6,FALSE)-F65</f>
        <v/>
      </c>
      <c r="H65" s="19" t="n">
        <v>1</v>
      </c>
      <c r="I65" s="57" t="n">
        <v>3</v>
      </c>
    </row>
    <row r="66">
      <c r="A66" s="62" t="n">
        <v>46177</v>
      </c>
      <c r="B66" s="3" t="inlineStr">
        <is>
          <t>Week</t>
        </is>
      </c>
      <c r="C66" s="19" t="n">
        <v>6</v>
      </c>
      <c r="D66" s="19" t="n">
        <v>2026</v>
      </c>
      <c r="E66" s="57" t="n">
        <v>1</v>
      </c>
      <c r="F66" s="29">
        <f>ROUND(((SUMIFS(Calendar!$F$2:$F$9997,Calendar!$B$2:$B$9997,D66,Calendar!$C$2:$C$9997,C66)*INDEX(ForeCalc!$B$37:$Y$274,MATCH(_xlfn.CONCAT(H66," ",I66),ForeCalc!$A$37:$A$274,0),MATCH(_xlfn.CONCAT(B66," ",E66),ForeCalc!$B$36:$Y$36,0))))*VLOOKUP(A66,Calendar!$A$2:$H$9997,8,FALSE),0)</f>
        <v/>
      </c>
      <c r="G66" s="29">
        <f>VLOOKUP(A66,Calendar!$A$1:$H$9997,6,FALSE)-F66</f>
        <v/>
      </c>
      <c r="H66" s="19" t="n">
        <v>1</v>
      </c>
      <c r="I66" s="57" t="n">
        <v>3</v>
      </c>
    </row>
    <row r="67">
      <c r="A67" s="62" t="n">
        <v>46178</v>
      </c>
      <c r="B67" s="3" t="inlineStr">
        <is>
          <t>Week</t>
        </is>
      </c>
      <c r="C67" s="19" t="n">
        <v>6</v>
      </c>
      <c r="D67" s="19" t="n">
        <v>2026</v>
      </c>
      <c r="E67" s="57" t="n">
        <v>1</v>
      </c>
      <c r="F67" s="29">
        <f>ROUND(((SUMIFS(Calendar!$F$2:$F$9997,Calendar!$B$2:$B$9997,D67,Calendar!$C$2:$C$9997,C67)*INDEX(ForeCalc!$B$37:$Y$274,MATCH(_xlfn.CONCAT(H67," ",I67),ForeCalc!$A$37:$A$274,0),MATCH(_xlfn.CONCAT(B67," ",E67),ForeCalc!$B$36:$Y$36,0))))*VLOOKUP(A67,Calendar!$A$2:$H$9997,8,FALSE),0)</f>
        <v/>
      </c>
      <c r="G67" s="29">
        <f>VLOOKUP(A67,Calendar!$A$1:$H$9997,6,FALSE)-F67</f>
        <v/>
      </c>
      <c r="H67" s="19" t="n">
        <v>1</v>
      </c>
      <c r="I67" s="57" t="n">
        <v>3</v>
      </c>
    </row>
    <row r="68">
      <c r="A68" s="62" t="n">
        <v>46179</v>
      </c>
      <c r="B68" s="3" t="inlineStr">
        <is>
          <t>Sat</t>
        </is>
      </c>
      <c r="C68" s="19" t="n">
        <v>6</v>
      </c>
      <c r="D68" s="19" t="n">
        <v>2026</v>
      </c>
      <c r="E68" s="57" t="n">
        <v>1</v>
      </c>
      <c r="F68" s="29">
        <f>ROUND(((SUMIFS(Calendar!$F$2:$F$9997,Calendar!$B$2:$B$9997,D68,Calendar!$C$2:$C$9997,C68)*INDEX(ForeCalc!$B$37:$Y$274,MATCH(_xlfn.CONCAT(H68," ",I68),ForeCalc!$A$37:$A$274,0),MATCH(_xlfn.CONCAT(B68," ",E68),ForeCalc!$B$36:$Y$36,0))))*VLOOKUP(A68,Calendar!$A$2:$H$9997,8,FALSE),0)</f>
        <v/>
      </c>
      <c r="G68" s="29">
        <f>VLOOKUP(A68,Calendar!$A$1:$H$9997,6,FALSE)-F68</f>
        <v/>
      </c>
      <c r="H68" s="19" t="n">
        <v>1</v>
      </c>
      <c r="I68" s="57" t="n">
        <v>3</v>
      </c>
    </row>
    <row r="69">
      <c r="A69" s="62" t="n">
        <v>46180</v>
      </c>
      <c r="B69" s="3" t="inlineStr">
        <is>
          <t>Sun</t>
        </is>
      </c>
      <c r="C69" s="19" t="n">
        <v>6</v>
      </c>
      <c r="D69" s="19" t="n">
        <v>2026</v>
      </c>
      <c r="E69" s="57" t="n">
        <v>1</v>
      </c>
      <c r="F69" s="29">
        <f>ROUND(((SUMIFS(Calendar!$F$2:$F$9997,Calendar!$B$2:$B$9997,D69,Calendar!$C$2:$C$9997,C69)*INDEX(ForeCalc!$B$37:$Y$274,MATCH(_xlfn.CONCAT(H69," ",I69),ForeCalc!$A$37:$A$274,0),MATCH(_xlfn.CONCAT(B69," ",E69),ForeCalc!$B$36:$Y$36,0))))*VLOOKUP(A69,Calendar!$A$2:$H$9997,8,FALSE),0)</f>
        <v/>
      </c>
      <c r="G69" s="29">
        <f>VLOOKUP(A69,Calendar!$A$1:$H$9997,6,FALSE)-F69</f>
        <v/>
      </c>
      <c r="H69" s="19" t="n">
        <v>1</v>
      </c>
      <c r="I69" s="57" t="n">
        <v>3</v>
      </c>
    </row>
    <row r="70">
      <c r="A70" s="62" t="n">
        <v>46181</v>
      </c>
      <c r="B70" s="3" t="inlineStr">
        <is>
          <t>Week</t>
        </is>
      </c>
      <c r="C70" s="19" t="n">
        <v>6</v>
      </c>
      <c r="D70" s="19" t="n">
        <v>2026</v>
      </c>
      <c r="E70" s="57" t="n">
        <v>1</v>
      </c>
      <c r="F70" s="29">
        <f>ROUND(((SUMIFS(Calendar!$F$2:$F$9997,Calendar!$B$2:$B$9997,D70,Calendar!$C$2:$C$9997,C70)*INDEX(ForeCalc!$B$37:$Y$274,MATCH(_xlfn.CONCAT(H70," ",I70),ForeCalc!$A$37:$A$274,0),MATCH(_xlfn.CONCAT(B70," ",E70),ForeCalc!$B$36:$Y$36,0))))*VLOOKUP(A70,Calendar!$A$2:$H$9997,8,FALSE),0)</f>
        <v/>
      </c>
      <c r="G70" s="29">
        <f>VLOOKUP(A70,Calendar!$A$1:$H$9997,6,FALSE)-F70</f>
        <v/>
      </c>
      <c r="H70" s="19" t="n">
        <v>1</v>
      </c>
      <c r="I70" s="57" t="n">
        <v>3</v>
      </c>
    </row>
    <row r="71">
      <c r="A71" s="62" t="n">
        <v>46182</v>
      </c>
      <c r="B71" s="3" t="inlineStr">
        <is>
          <t>Week</t>
        </is>
      </c>
      <c r="C71" s="19" t="n">
        <v>6</v>
      </c>
      <c r="D71" s="19" t="n">
        <v>2026</v>
      </c>
      <c r="E71" s="57" t="n">
        <v>1</v>
      </c>
      <c r="F71" s="29">
        <f>ROUND(((SUMIFS(Calendar!$F$2:$F$9997,Calendar!$B$2:$B$9997,D71,Calendar!$C$2:$C$9997,C71)*INDEX(ForeCalc!$B$37:$Y$274,MATCH(_xlfn.CONCAT(H71," ",I71),ForeCalc!$A$37:$A$274,0),MATCH(_xlfn.CONCAT(B71," ",E71),ForeCalc!$B$36:$Y$36,0))))*VLOOKUP(A71,Calendar!$A$2:$H$9997,8,FALSE),0)</f>
        <v/>
      </c>
      <c r="G71" s="29">
        <f>VLOOKUP(A71,Calendar!$A$1:$H$9997,6,FALSE)-F71</f>
        <v/>
      </c>
      <c r="H71" s="19" t="n">
        <v>1</v>
      </c>
      <c r="I71" s="57" t="n">
        <v>3</v>
      </c>
    </row>
    <row r="72">
      <c r="A72" s="62" t="n">
        <v>46183</v>
      </c>
      <c r="B72" s="3" t="inlineStr">
        <is>
          <t>Week</t>
        </is>
      </c>
      <c r="C72" s="19" t="n">
        <v>6</v>
      </c>
      <c r="D72" s="19" t="n">
        <v>2026</v>
      </c>
      <c r="E72" s="57" t="n">
        <v>1</v>
      </c>
      <c r="F72" s="29">
        <f>ROUND(((SUMIFS(Calendar!$F$2:$F$9997,Calendar!$B$2:$B$9997,D72,Calendar!$C$2:$C$9997,C72)*INDEX(ForeCalc!$B$37:$Y$274,MATCH(_xlfn.CONCAT(H72," ",I72),ForeCalc!$A$37:$A$274,0),MATCH(_xlfn.CONCAT(B72," ",E72),ForeCalc!$B$36:$Y$36,0))))*VLOOKUP(A72,Calendar!$A$2:$H$9997,8,FALSE),0)</f>
        <v/>
      </c>
      <c r="G72" s="29">
        <f>VLOOKUP(A72,Calendar!$A$1:$H$9997,6,FALSE)-F72</f>
        <v/>
      </c>
      <c r="H72" s="19" t="n">
        <v>1</v>
      </c>
      <c r="I72" s="57" t="n">
        <v>3</v>
      </c>
    </row>
    <row r="73">
      <c r="A73" s="62" t="n">
        <v>46184</v>
      </c>
      <c r="B73" s="3" t="inlineStr">
        <is>
          <t>Week</t>
        </is>
      </c>
      <c r="C73" s="19" t="n">
        <v>6</v>
      </c>
      <c r="D73" s="19" t="n">
        <v>2026</v>
      </c>
      <c r="E73" s="57" t="n">
        <v>1</v>
      </c>
      <c r="F73" s="29">
        <f>ROUND(((SUMIFS(Calendar!$F$2:$F$9997,Calendar!$B$2:$B$9997,D73,Calendar!$C$2:$C$9997,C73)*INDEX(ForeCalc!$B$37:$Y$274,MATCH(_xlfn.CONCAT(H73," ",I73),ForeCalc!$A$37:$A$274,0),MATCH(_xlfn.CONCAT(B73," ",E73),ForeCalc!$B$36:$Y$36,0))))*VLOOKUP(A73,Calendar!$A$2:$H$9997,8,FALSE),0)</f>
        <v/>
      </c>
      <c r="G73" s="29">
        <f>VLOOKUP(A73,Calendar!$A$1:$H$9997,6,FALSE)-F73</f>
        <v/>
      </c>
      <c r="H73" s="19" t="n">
        <v>1</v>
      </c>
      <c r="I73" s="57" t="n">
        <v>3</v>
      </c>
    </row>
    <row r="74">
      <c r="A74" s="62" t="n">
        <v>46185</v>
      </c>
      <c r="B74" s="3" t="inlineStr">
        <is>
          <t>Week</t>
        </is>
      </c>
      <c r="C74" s="19" t="n">
        <v>6</v>
      </c>
      <c r="D74" s="19" t="n">
        <v>2026</v>
      </c>
      <c r="E74" s="57" t="n">
        <v>1</v>
      </c>
      <c r="F74" s="29">
        <f>ROUND(((SUMIFS(Calendar!$F$2:$F$9997,Calendar!$B$2:$B$9997,D74,Calendar!$C$2:$C$9997,C74)*INDEX(ForeCalc!$B$37:$Y$274,MATCH(_xlfn.CONCAT(H74," ",I74),ForeCalc!$A$37:$A$274,0),MATCH(_xlfn.CONCAT(B74," ",E74),ForeCalc!$B$36:$Y$36,0))))*VLOOKUP(A74,Calendar!$A$2:$H$9997,8,FALSE),0)</f>
        <v/>
      </c>
      <c r="G74" s="29">
        <f>VLOOKUP(A74,Calendar!$A$1:$H$9997,6,FALSE)-F74</f>
        <v/>
      </c>
      <c r="H74" s="19" t="n">
        <v>1</v>
      </c>
      <c r="I74" s="57" t="n">
        <v>3</v>
      </c>
    </row>
    <row r="75">
      <c r="A75" s="62" t="n">
        <v>46186</v>
      </c>
      <c r="B75" s="3" t="inlineStr">
        <is>
          <t>Sat</t>
        </is>
      </c>
      <c r="C75" s="19" t="n">
        <v>6</v>
      </c>
      <c r="D75" s="19" t="n">
        <v>2026</v>
      </c>
      <c r="E75" s="57" t="n">
        <v>1</v>
      </c>
      <c r="F75" s="29">
        <f>ROUND(((SUMIFS(Calendar!$F$2:$F$9997,Calendar!$B$2:$B$9997,D75,Calendar!$C$2:$C$9997,C75)*INDEX(ForeCalc!$B$37:$Y$274,MATCH(_xlfn.CONCAT(H75," ",I75),ForeCalc!$A$37:$A$274,0),MATCH(_xlfn.CONCAT(B75," ",E75),ForeCalc!$B$36:$Y$36,0))))*VLOOKUP(A75,Calendar!$A$2:$H$9997,8,FALSE),0)</f>
        <v/>
      </c>
      <c r="G75" s="29">
        <f>VLOOKUP(A75,Calendar!$A$1:$H$9997,6,FALSE)-F75</f>
        <v/>
      </c>
      <c r="H75" s="19" t="n">
        <v>1</v>
      </c>
      <c r="I75" s="57" t="n">
        <v>3</v>
      </c>
    </row>
    <row r="76">
      <c r="A76" s="62" t="n">
        <v>46187</v>
      </c>
      <c r="B76" s="3" t="inlineStr">
        <is>
          <t>Sun</t>
        </is>
      </c>
      <c r="C76" s="19" t="n">
        <v>6</v>
      </c>
      <c r="D76" s="19" t="n">
        <v>2026</v>
      </c>
      <c r="E76" s="57" t="n">
        <v>1</v>
      </c>
      <c r="F76" s="29">
        <f>ROUND(((SUMIFS(Calendar!$F$2:$F$9997,Calendar!$B$2:$B$9997,D76,Calendar!$C$2:$C$9997,C76)*INDEX(ForeCalc!$B$37:$Y$274,MATCH(_xlfn.CONCAT(H76," ",I76),ForeCalc!$A$37:$A$274,0),MATCH(_xlfn.CONCAT(B76," ",E76),ForeCalc!$B$36:$Y$36,0))))*VLOOKUP(A76,Calendar!$A$2:$H$9997,8,FALSE),0)</f>
        <v/>
      </c>
      <c r="G76" s="29">
        <f>VLOOKUP(A76,Calendar!$A$1:$H$9997,6,FALSE)-F76</f>
        <v/>
      </c>
      <c r="H76" s="19" t="n">
        <v>1</v>
      </c>
      <c r="I76" s="57" t="n">
        <v>3</v>
      </c>
    </row>
    <row r="77">
      <c r="A77" s="62" t="n">
        <v>46188</v>
      </c>
      <c r="B77" s="3" t="inlineStr">
        <is>
          <t>Week</t>
        </is>
      </c>
      <c r="C77" s="19" t="n">
        <v>6</v>
      </c>
      <c r="D77" s="19" t="n">
        <v>2026</v>
      </c>
      <c r="E77" s="57" t="n">
        <v>1</v>
      </c>
      <c r="F77" s="29">
        <f>ROUND(((SUMIFS(Calendar!$F$2:$F$9997,Calendar!$B$2:$B$9997,D77,Calendar!$C$2:$C$9997,C77)*INDEX(ForeCalc!$B$37:$Y$274,MATCH(_xlfn.CONCAT(H77," ",I77),ForeCalc!$A$37:$A$274,0),MATCH(_xlfn.CONCAT(B77," ",E77),ForeCalc!$B$36:$Y$36,0))))*VLOOKUP(A77,Calendar!$A$2:$H$9997,8,FALSE),0)</f>
        <v/>
      </c>
      <c r="G77" s="29">
        <f>VLOOKUP(A77,Calendar!$A$1:$H$9997,6,FALSE)-F77</f>
        <v/>
      </c>
      <c r="H77" s="19" t="n">
        <v>1</v>
      </c>
      <c r="I77" s="57" t="n">
        <v>3</v>
      </c>
    </row>
    <row r="78">
      <c r="A78" s="62" t="n">
        <v>46189</v>
      </c>
      <c r="B78" s="3" t="inlineStr">
        <is>
          <t>Week</t>
        </is>
      </c>
      <c r="C78" s="19" t="n">
        <v>6</v>
      </c>
      <c r="D78" s="19" t="n">
        <v>2026</v>
      </c>
      <c r="E78" s="57" t="n">
        <v>1</v>
      </c>
      <c r="F78" s="29">
        <f>ROUND(((SUMIFS(Calendar!$F$2:$F$9997,Calendar!$B$2:$B$9997,D78,Calendar!$C$2:$C$9997,C78)*INDEX(ForeCalc!$B$37:$Y$274,MATCH(_xlfn.CONCAT(H78," ",I78),ForeCalc!$A$37:$A$274,0),MATCH(_xlfn.CONCAT(B78," ",E78),ForeCalc!$B$36:$Y$36,0))))*VLOOKUP(A78,Calendar!$A$2:$H$9997,8,FALSE),0)</f>
        <v/>
      </c>
      <c r="G78" s="29">
        <f>VLOOKUP(A78,Calendar!$A$1:$H$9997,6,FALSE)-F78</f>
        <v/>
      </c>
      <c r="H78" s="19" t="n">
        <v>1</v>
      </c>
      <c r="I78" s="57" t="n">
        <v>3</v>
      </c>
    </row>
    <row r="79">
      <c r="A79" s="62" t="n">
        <v>46190</v>
      </c>
      <c r="B79" s="3" t="inlineStr">
        <is>
          <t>Week</t>
        </is>
      </c>
      <c r="C79" s="19" t="n">
        <v>6</v>
      </c>
      <c r="D79" s="19" t="n">
        <v>2026</v>
      </c>
      <c r="E79" s="57" t="n">
        <v>1</v>
      </c>
      <c r="F79" s="29">
        <f>ROUND(((SUMIFS(Calendar!$F$2:$F$9997,Calendar!$B$2:$B$9997,D79,Calendar!$C$2:$C$9997,C79)*INDEX(ForeCalc!$B$37:$Y$274,MATCH(_xlfn.CONCAT(H79," ",I79),ForeCalc!$A$37:$A$274,0),MATCH(_xlfn.CONCAT(B79," ",E79),ForeCalc!$B$36:$Y$36,0))))*VLOOKUP(A79,Calendar!$A$2:$H$9997,8,FALSE),0)</f>
        <v/>
      </c>
      <c r="G79" s="29">
        <f>VLOOKUP(A79,Calendar!$A$1:$H$9997,6,FALSE)-F79</f>
        <v/>
      </c>
      <c r="H79" s="19" t="n">
        <v>1</v>
      </c>
      <c r="I79" s="57" t="n">
        <v>3</v>
      </c>
    </row>
    <row r="80">
      <c r="A80" s="62" t="n">
        <v>46191</v>
      </c>
      <c r="B80" s="3" t="inlineStr">
        <is>
          <t>Week</t>
        </is>
      </c>
      <c r="C80" s="19" t="n">
        <v>6</v>
      </c>
      <c r="D80" s="19" t="n">
        <v>2026</v>
      </c>
      <c r="E80" s="57" t="n">
        <v>1</v>
      </c>
      <c r="F80" s="29">
        <f>ROUND(((SUMIFS(Calendar!$F$2:$F$9997,Calendar!$B$2:$B$9997,D80,Calendar!$C$2:$C$9997,C80)*INDEX(ForeCalc!$B$37:$Y$274,MATCH(_xlfn.CONCAT(H80," ",I80),ForeCalc!$A$37:$A$274,0),MATCH(_xlfn.CONCAT(B80," ",E80),ForeCalc!$B$36:$Y$36,0))))*VLOOKUP(A80,Calendar!$A$2:$H$9997,8,FALSE),0)</f>
        <v/>
      </c>
      <c r="G80" s="29">
        <f>VLOOKUP(A80,Calendar!$A$1:$H$9997,6,FALSE)-F80</f>
        <v/>
      </c>
      <c r="H80" s="19" t="n">
        <v>1</v>
      </c>
      <c r="I80" s="57" t="n">
        <v>3</v>
      </c>
    </row>
    <row r="81">
      <c r="A81" s="62" t="n">
        <v>46192</v>
      </c>
      <c r="B81" s="3" t="inlineStr">
        <is>
          <t>Week</t>
        </is>
      </c>
      <c r="C81" s="19" t="n">
        <v>6</v>
      </c>
      <c r="D81" s="19" t="n">
        <v>2026</v>
      </c>
      <c r="E81" s="57" t="n">
        <v>1</v>
      </c>
      <c r="F81" s="29">
        <f>ROUND(((SUMIFS(Calendar!$F$2:$F$9997,Calendar!$B$2:$B$9997,D81,Calendar!$C$2:$C$9997,C81)*INDEX(ForeCalc!$B$37:$Y$274,MATCH(_xlfn.CONCAT(H81," ",I81),ForeCalc!$A$37:$A$274,0),MATCH(_xlfn.CONCAT(B81," ",E81),ForeCalc!$B$36:$Y$36,0))))*VLOOKUP(A81,Calendar!$A$2:$H$9997,8,FALSE),0)</f>
        <v/>
      </c>
      <c r="G81" s="29">
        <f>VLOOKUP(A81,Calendar!$A$1:$H$9997,6,FALSE)-F81</f>
        <v/>
      </c>
      <c r="H81" s="19" t="n">
        <v>1</v>
      </c>
      <c r="I81" s="57" t="n">
        <v>3</v>
      </c>
    </row>
    <row r="82">
      <c r="A82" s="62" t="n">
        <v>46193</v>
      </c>
      <c r="B82" s="3" t="inlineStr">
        <is>
          <t>Sat</t>
        </is>
      </c>
      <c r="C82" s="19" t="n">
        <v>6</v>
      </c>
      <c r="D82" s="19" t="n">
        <v>2026</v>
      </c>
      <c r="E82" s="57" t="n">
        <v>1</v>
      </c>
      <c r="F82" s="29">
        <f>ROUND(((SUMIFS(Calendar!$F$2:$F$9997,Calendar!$B$2:$B$9997,D82,Calendar!$C$2:$C$9997,C82)*INDEX(ForeCalc!$B$37:$Y$274,MATCH(_xlfn.CONCAT(H82," ",I82),ForeCalc!$A$37:$A$274,0),MATCH(_xlfn.CONCAT(B82," ",E82),ForeCalc!$B$36:$Y$36,0))))*VLOOKUP(A82,Calendar!$A$2:$H$9997,8,FALSE),0)</f>
        <v/>
      </c>
      <c r="G82" s="29">
        <f>VLOOKUP(A82,Calendar!$A$1:$H$9997,6,FALSE)-F82</f>
        <v/>
      </c>
      <c r="H82" s="19" t="n">
        <v>1</v>
      </c>
      <c r="I82" s="57" t="n">
        <v>3</v>
      </c>
    </row>
    <row r="83">
      <c r="A83" s="62" t="n">
        <v>46194</v>
      </c>
      <c r="B83" s="3" t="inlineStr">
        <is>
          <t>Sun</t>
        </is>
      </c>
      <c r="C83" s="19" t="n">
        <v>6</v>
      </c>
      <c r="D83" s="19" t="n">
        <v>2026</v>
      </c>
      <c r="E83" s="57" t="n">
        <v>1</v>
      </c>
      <c r="F83" s="29">
        <f>ROUND(((SUMIFS(Calendar!$F$2:$F$9997,Calendar!$B$2:$B$9997,D83,Calendar!$C$2:$C$9997,C83)*INDEX(ForeCalc!$B$37:$Y$274,MATCH(_xlfn.CONCAT(H83," ",I83),ForeCalc!$A$37:$A$274,0),MATCH(_xlfn.CONCAT(B83," ",E83),ForeCalc!$B$36:$Y$36,0))))*VLOOKUP(A83,Calendar!$A$2:$H$9997,8,FALSE),0)</f>
        <v/>
      </c>
      <c r="G83" s="29">
        <f>VLOOKUP(A83,Calendar!$A$1:$H$9997,6,FALSE)-F83</f>
        <v/>
      </c>
      <c r="H83" s="19" t="n">
        <v>1</v>
      </c>
      <c r="I83" s="57" t="n">
        <v>3</v>
      </c>
    </row>
    <row r="84">
      <c r="A84" s="62" t="n">
        <v>46195</v>
      </c>
      <c r="B84" s="3" t="inlineStr">
        <is>
          <t>Week</t>
        </is>
      </c>
      <c r="C84" s="19" t="n">
        <v>6</v>
      </c>
      <c r="D84" s="19" t="n">
        <v>2026</v>
      </c>
      <c r="E84" s="57" t="n">
        <v>1</v>
      </c>
      <c r="F84" s="29">
        <f>ROUND(((SUMIFS(Calendar!$F$2:$F$9997,Calendar!$B$2:$B$9997,D84,Calendar!$C$2:$C$9997,C84)*INDEX(ForeCalc!$B$37:$Y$274,MATCH(_xlfn.CONCAT(H84," ",I84),ForeCalc!$A$37:$A$274,0),MATCH(_xlfn.CONCAT(B84," ",E84),ForeCalc!$B$36:$Y$36,0))))*VLOOKUP(A84,Calendar!$A$2:$H$9997,8,FALSE),0)</f>
        <v/>
      </c>
      <c r="G84" s="29">
        <f>VLOOKUP(A84,Calendar!$A$1:$H$9997,6,FALSE)-F84</f>
        <v/>
      </c>
      <c r="H84" s="19" t="n">
        <v>1</v>
      </c>
      <c r="I84" s="57" t="n">
        <v>3</v>
      </c>
    </row>
    <row r="85">
      <c r="A85" s="62" t="n">
        <v>46196</v>
      </c>
      <c r="B85" s="3" t="inlineStr">
        <is>
          <t>Week</t>
        </is>
      </c>
      <c r="C85" s="19" t="n">
        <v>6</v>
      </c>
      <c r="D85" s="19" t="n">
        <v>2026</v>
      </c>
      <c r="E85" s="57" t="n">
        <v>1</v>
      </c>
      <c r="F85" s="29">
        <f>ROUND(((SUMIFS(Calendar!$F$2:$F$9997,Calendar!$B$2:$B$9997,D85,Calendar!$C$2:$C$9997,C85)*INDEX(ForeCalc!$B$37:$Y$274,MATCH(_xlfn.CONCAT(H85," ",I85),ForeCalc!$A$37:$A$274,0),MATCH(_xlfn.CONCAT(B85," ",E85),ForeCalc!$B$36:$Y$36,0))))*VLOOKUP(A85,Calendar!$A$2:$H$9997,8,FALSE),0)</f>
        <v/>
      </c>
      <c r="G85" s="29">
        <f>VLOOKUP(A85,Calendar!$A$1:$H$9997,6,FALSE)-F85</f>
        <v/>
      </c>
      <c r="H85" s="19" t="n">
        <v>1</v>
      </c>
      <c r="I85" s="57" t="n">
        <v>3</v>
      </c>
    </row>
    <row r="86">
      <c r="A86" s="62" t="n">
        <v>46197</v>
      </c>
      <c r="B86" s="3" t="inlineStr">
        <is>
          <t>Week</t>
        </is>
      </c>
      <c r="C86" s="19" t="n">
        <v>6</v>
      </c>
      <c r="D86" s="19" t="n">
        <v>2026</v>
      </c>
      <c r="E86" s="57" t="n">
        <v>1</v>
      </c>
      <c r="F86" s="29">
        <f>ROUND(((SUMIFS(Calendar!$F$2:$F$9997,Calendar!$B$2:$B$9997,D86,Calendar!$C$2:$C$9997,C86)*INDEX(ForeCalc!$B$37:$Y$274,MATCH(_xlfn.CONCAT(H86," ",I86),ForeCalc!$A$37:$A$274,0),MATCH(_xlfn.CONCAT(B86," ",E86),ForeCalc!$B$36:$Y$36,0))))*VLOOKUP(A86,Calendar!$A$2:$H$9997,8,FALSE),0)</f>
        <v/>
      </c>
      <c r="G86" s="29">
        <f>VLOOKUP(A86,Calendar!$A$1:$H$9997,6,FALSE)-F86</f>
        <v/>
      </c>
      <c r="H86" s="19" t="n">
        <v>1</v>
      </c>
      <c r="I86" s="57" t="n">
        <v>3</v>
      </c>
    </row>
    <row r="87">
      <c r="A87" s="62" t="n">
        <v>46198</v>
      </c>
      <c r="B87" s="3" t="inlineStr">
        <is>
          <t>Week</t>
        </is>
      </c>
      <c r="C87" s="19" t="n">
        <v>6</v>
      </c>
      <c r="D87" s="19" t="n">
        <v>2026</v>
      </c>
      <c r="E87" s="57" t="n">
        <v>1</v>
      </c>
      <c r="F87" s="29">
        <f>ROUND(((SUMIFS(Calendar!$F$2:$F$9997,Calendar!$B$2:$B$9997,D87,Calendar!$C$2:$C$9997,C87)*INDEX(ForeCalc!$B$37:$Y$274,MATCH(_xlfn.CONCAT(H87," ",I87),ForeCalc!$A$37:$A$274,0),MATCH(_xlfn.CONCAT(B87," ",E87),ForeCalc!$B$36:$Y$36,0))))*VLOOKUP(A87,Calendar!$A$2:$H$9997,8,FALSE),0)</f>
        <v/>
      </c>
      <c r="G87" s="29">
        <f>VLOOKUP(A87,Calendar!$A$1:$H$9997,6,FALSE)-F87</f>
        <v/>
      </c>
      <c r="H87" s="19" t="n">
        <v>1</v>
      </c>
      <c r="I87" s="57" t="n">
        <v>3</v>
      </c>
    </row>
    <row r="88">
      <c r="A88" s="62" t="n">
        <v>46199</v>
      </c>
      <c r="B88" s="3" t="inlineStr">
        <is>
          <t>Week</t>
        </is>
      </c>
      <c r="C88" s="19" t="n">
        <v>6</v>
      </c>
      <c r="D88" s="19" t="n">
        <v>2026</v>
      </c>
      <c r="E88" s="57" t="n">
        <v>1</v>
      </c>
      <c r="F88" s="29">
        <f>ROUND(((SUMIFS(Calendar!$F$2:$F$9997,Calendar!$B$2:$B$9997,D88,Calendar!$C$2:$C$9997,C88)*INDEX(ForeCalc!$B$37:$Y$274,MATCH(_xlfn.CONCAT(H88," ",I88),ForeCalc!$A$37:$A$274,0),MATCH(_xlfn.CONCAT(B88," ",E88),ForeCalc!$B$36:$Y$36,0))))*VLOOKUP(A88,Calendar!$A$2:$H$9997,8,FALSE),0)</f>
        <v/>
      </c>
      <c r="G88" s="29">
        <f>VLOOKUP(A88,Calendar!$A$1:$H$9997,6,FALSE)-F88</f>
        <v/>
      </c>
      <c r="H88" s="19" t="n">
        <v>1</v>
      </c>
      <c r="I88" s="57" t="n">
        <v>3</v>
      </c>
    </row>
    <row r="89">
      <c r="A89" s="62" t="n">
        <v>46200</v>
      </c>
      <c r="B89" s="3" t="inlineStr">
        <is>
          <t>Sat</t>
        </is>
      </c>
      <c r="C89" s="19" t="n">
        <v>6</v>
      </c>
      <c r="D89" s="19" t="n">
        <v>2026</v>
      </c>
      <c r="E89" s="57" t="n">
        <v>1</v>
      </c>
      <c r="F89" s="29">
        <f>ROUND(((SUMIFS(Calendar!$F$2:$F$9997,Calendar!$B$2:$B$9997,D89,Calendar!$C$2:$C$9997,C89)*INDEX(ForeCalc!$B$37:$Y$274,MATCH(_xlfn.CONCAT(H89," ",I89),ForeCalc!$A$37:$A$274,0),MATCH(_xlfn.CONCAT(B89," ",E89),ForeCalc!$B$36:$Y$36,0))))*VLOOKUP(A89,Calendar!$A$2:$H$9997,8,FALSE),0)</f>
        <v/>
      </c>
      <c r="G89" s="29">
        <f>VLOOKUP(A89,Calendar!$A$1:$H$9997,6,FALSE)-F89</f>
        <v/>
      </c>
      <c r="H89" s="19" t="n">
        <v>1</v>
      </c>
      <c r="I89" s="57" t="n">
        <v>3</v>
      </c>
    </row>
    <row r="90">
      <c r="A90" s="62" t="n">
        <v>46201</v>
      </c>
      <c r="B90" s="3" t="inlineStr">
        <is>
          <t>Sun</t>
        </is>
      </c>
      <c r="C90" s="19" t="n">
        <v>6</v>
      </c>
      <c r="D90" s="19" t="n">
        <v>2026</v>
      </c>
      <c r="E90" s="57" t="n">
        <v>1</v>
      </c>
      <c r="F90" s="29">
        <f>ROUND(((SUMIFS(Calendar!$F$2:$F$9997,Calendar!$B$2:$B$9997,D90,Calendar!$C$2:$C$9997,C90)*INDEX(ForeCalc!$B$37:$Y$274,MATCH(_xlfn.CONCAT(H90," ",I90),ForeCalc!$A$37:$A$274,0),MATCH(_xlfn.CONCAT(B90," ",E90),ForeCalc!$B$36:$Y$36,0))))*VLOOKUP(A90,Calendar!$A$2:$H$9997,8,FALSE),0)</f>
        <v/>
      </c>
      <c r="G90" s="29">
        <f>VLOOKUP(A90,Calendar!$A$1:$H$9997,6,FALSE)-F90</f>
        <v/>
      </c>
      <c r="H90" s="19" t="n">
        <v>1</v>
      </c>
      <c r="I90" s="57" t="n">
        <v>3</v>
      </c>
    </row>
    <row r="91">
      <c r="A91" s="62" t="n">
        <v>46202</v>
      </c>
      <c r="B91" s="3" t="inlineStr">
        <is>
          <t>Week</t>
        </is>
      </c>
      <c r="C91" s="19" t="n">
        <v>6</v>
      </c>
      <c r="D91" s="19" t="n">
        <v>2026</v>
      </c>
      <c r="E91" s="57" t="n">
        <v>1</v>
      </c>
      <c r="F91" s="29">
        <f>ROUND(((SUMIFS(Calendar!$F$2:$F$9997,Calendar!$B$2:$B$9997,D91,Calendar!$C$2:$C$9997,C91)*INDEX(ForeCalc!$B$37:$Y$274,MATCH(_xlfn.CONCAT(H91," ",I91),ForeCalc!$A$37:$A$274,0),MATCH(_xlfn.CONCAT(B91," ",E91),ForeCalc!$B$36:$Y$36,0))))*VLOOKUP(A91,Calendar!$A$2:$H$9997,8,FALSE),0)</f>
        <v/>
      </c>
      <c r="G91" s="29">
        <f>VLOOKUP(A91,Calendar!$A$1:$H$9997,6,FALSE)-F91</f>
        <v/>
      </c>
      <c r="H91" s="19" t="n">
        <v>1</v>
      </c>
      <c r="I91" s="57" t="n">
        <v>3</v>
      </c>
    </row>
    <row r="92">
      <c r="A92" s="62" t="n">
        <v>46203</v>
      </c>
      <c r="B92" s="3" t="inlineStr">
        <is>
          <t>Week</t>
        </is>
      </c>
      <c r="C92" s="19" t="n">
        <v>6</v>
      </c>
      <c r="D92" s="19" t="n">
        <v>2026</v>
      </c>
      <c r="E92" s="57" t="n">
        <v>1</v>
      </c>
      <c r="F92" s="29">
        <f>ROUND(((SUMIFS(Calendar!$F$2:$F$9997,Calendar!$B$2:$B$9997,D92,Calendar!$C$2:$C$9997,C92)*INDEX(ForeCalc!$B$37:$Y$274,MATCH(_xlfn.CONCAT(H92," ",I92),ForeCalc!$A$37:$A$274,0),MATCH(_xlfn.CONCAT(B92," ",E92),ForeCalc!$B$36:$Y$36,0))))*VLOOKUP(A92,Calendar!$A$2:$H$9997,8,FALSE),0)</f>
        <v/>
      </c>
      <c r="G92" s="29">
        <f>VLOOKUP(A92,Calendar!$A$1:$H$9997,6,FALSE)-F92</f>
        <v/>
      </c>
      <c r="H92" s="19" t="n">
        <v>1</v>
      </c>
      <c r="I92" s="57" t="n">
        <v>3</v>
      </c>
    </row>
    <row r="93">
      <c r="A93" s="62" t="n">
        <v>46204</v>
      </c>
      <c r="B93" s="3" t="inlineStr">
        <is>
          <t>Week</t>
        </is>
      </c>
      <c r="C93" s="19" t="n">
        <v>7</v>
      </c>
      <c r="D93" s="19" t="n">
        <v>2026</v>
      </c>
      <c r="E93" s="57" t="n">
        <v>1</v>
      </c>
      <c r="F93" s="29">
        <f>ROUND(((SUMIFS(Calendar!$F$2:$F$9997,Calendar!$B$2:$B$9997,D93,Calendar!$C$2:$C$9997,C93)*INDEX(ForeCalc!$B$37:$Y$274,MATCH(_xlfn.CONCAT(H93," ",I93),ForeCalc!$A$37:$A$274,0),MATCH(_xlfn.CONCAT(B93," ",E93),ForeCalc!$B$36:$Y$36,0))))*VLOOKUP(A93,Calendar!$A$2:$H$9997,8,FALSE),0)</f>
        <v/>
      </c>
      <c r="G93" s="29">
        <f>VLOOKUP(A93,Calendar!$A$1:$H$9997,6,FALSE)-F93</f>
        <v/>
      </c>
      <c r="H93" s="19" t="n">
        <v>1</v>
      </c>
      <c r="I93" s="57" t="n">
        <v>4</v>
      </c>
    </row>
    <row r="94">
      <c r="A94" s="62" t="n">
        <v>46205</v>
      </c>
      <c r="B94" s="3" t="inlineStr">
        <is>
          <t>Week</t>
        </is>
      </c>
      <c r="C94" s="19" t="n">
        <v>7</v>
      </c>
      <c r="D94" s="19" t="n">
        <v>2026</v>
      </c>
      <c r="E94" s="57" t="n">
        <v>1</v>
      </c>
      <c r="F94" s="29">
        <f>ROUND(((SUMIFS(Calendar!$F$2:$F$9997,Calendar!$B$2:$B$9997,D94,Calendar!$C$2:$C$9997,C94)*INDEX(ForeCalc!$B$37:$Y$274,MATCH(_xlfn.CONCAT(H94," ",I94),ForeCalc!$A$37:$A$274,0),MATCH(_xlfn.CONCAT(B94," ",E94),ForeCalc!$B$36:$Y$36,0))))*VLOOKUP(A94,Calendar!$A$2:$H$9997,8,FALSE),0)</f>
        <v/>
      </c>
      <c r="G94" s="29">
        <f>VLOOKUP(A94,Calendar!$A$1:$H$9997,6,FALSE)-F94</f>
        <v/>
      </c>
      <c r="H94" s="19" t="n">
        <v>1</v>
      </c>
      <c r="I94" s="57" t="n">
        <v>4</v>
      </c>
    </row>
    <row r="95">
      <c r="A95" s="62" t="n">
        <v>46206</v>
      </c>
      <c r="B95" s="3" t="inlineStr">
        <is>
          <t>Week</t>
        </is>
      </c>
      <c r="C95" s="19" t="n">
        <v>7</v>
      </c>
      <c r="D95" s="19" t="n">
        <v>2026</v>
      </c>
      <c r="E95" s="57" t="n">
        <v>1</v>
      </c>
      <c r="F95" s="29">
        <f>ROUND(((SUMIFS(Calendar!$F$2:$F$9997,Calendar!$B$2:$B$9997,D95,Calendar!$C$2:$C$9997,C95)*INDEX(ForeCalc!$B$37:$Y$274,MATCH(_xlfn.CONCAT(H95," ",I95),ForeCalc!$A$37:$A$274,0),MATCH(_xlfn.CONCAT(B95," ",E95),ForeCalc!$B$36:$Y$36,0))))*VLOOKUP(A95,Calendar!$A$2:$H$9997,8,FALSE),0)</f>
        <v/>
      </c>
      <c r="G95" s="29">
        <f>VLOOKUP(A95,Calendar!$A$1:$H$9997,6,FALSE)-F95</f>
        <v/>
      </c>
      <c r="H95" s="19" t="n">
        <v>1</v>
      </c>
      <c r="I95" s="57" t="n">
        <v>4</v>
      </c>
    </row>
    <row r="96">
      <c r="A96" s="62" t="n">
        <v>46207</v>
      </c>
      <c r="B96" s="3" t="inlineStr">
        <is>
          <t>Sat</t>
        </is>
      </c>
      <c r="C96" s="19" t="n">
        <v>7</v>
      </c>
      <c r="D96" s="19" t="n">
        <v>2026</v>
      </c>
      <c r="E96" s="57" t="n">
        <v>1</v>
      </c>
      <c r="F96" s="29">
        <f>ROUND(((SUMIFS(Calendar!$F$2:$F$9997,Calendar!$B$2:$B$9997,D96,Calendar!$C$2:$C$9997,C96)*INDEX(ForeCalc!$B$37:$Y$274,MATCH(_xlfn.CONCAT(H96," ",I96),ForeCalc!$A$37:$A$274,0),MATCH(_xlfn.CONCAT(B96," ",E96),ForeCalc!$B$36:$Y$36,0))))*VLOOKUP(A96,Calendar!$A$2:$H$9997,8,FALSE),0)</f>
        <v/>
      </c>
      <c r="G96" s="29">
        <f>VLOOKUP(A96,Calendar!$A$1:$H$9997,6,FALSE)-F96</f>
        <v/>
      </c>
      <c r="H96" s="19" t="n">
        <v>1</v>
      </c>
      <c r="I96" s="57" t="n">
        <v>4</v>
      </c>
    </row>
    <row r="97">
      <c r="A97" s="62" t="n">
        <v>46208</v>
      </c>
      <c r="B97" s="3" t="inlineStr">
        <is>
          <t>Sun</t>
        </is>
      </c>
      <c r="C97" s="19" t="n">
        <v>7</v>
      </c>
      <c r="D97" s="19" t="n">
        <v>2026</v>
      </c>
      <c r="E97" s="57" t="n">
        <v>1</v>
      </c>
      <c r="F97" s="29">
        <f>ROUND(((SUMIFS(Calendar!$F$2:$F$9997,Calendar!$B$2:$B$9997,D97,Calendar!$C$2:$C$9997,C97)*INDEX(ForeCalc!$B$37:$Y$274,MATCH(_xlfn.CONCAT(H97," ",I97),ForeCalc!$A$37:$A$274,0),MATCH(_xlfn.CONCAT(B97," ",E97),ForeCalc!$B$36:$Y$36,0))))*VLOOKUP(A97,Calendar!$A$2:$H$9997,8,FALSE),0)</f>
        <v/>
      </c>
      <c r="G97" s="29">
        <f>VLOOKUP(A97,Calendar!$A$1:$H$9997,6,FALSE)-F97</f>
        <v/>
      </c>
      <c r="H97" s="19" t="n">
        <v>1</v>
      </c>
      <c r="I97" s="57" t="n">
        <v>4</v>
      </c>
    </row>
    <row r="98">
      <c r="A98" s="62" t="n">
        <v>46209</v>
      </c>
      <c r="B98" s="3" t="inlineStr">
        <is>
          <t>Week</t>
        </is>
      </c>
      <c r="C98" s="19" t="n">
        <v>7</v>
      </c>
      <c r="D98" s="19" t="n">
        <v>2026</v>
      </c>
      <c r="E98" s="57" t="n">
        <v>1</v>
      </c>
      <c r="F98" s="29">
        <f>ROUND(((SUMIFS(Calendar!$F$2:$F$9997,Calendar!$B$2:$B$9997,D98,Calendar!$C$2:$C$9997,C98)*INDEX(ForeCalc!$B$37:$Y$274,MATCH(_xlfn.CONCAT(H98," ",I98),ForeCalc!$A$37:$A$274,0),MATCH(_xlfn.CONCAT(B98," ",E98),ForeCalc!$B$36:$Y$36,0))))*VLOOKUP(A98,Calendar!$A$2:$H$9997,8,FALSE),0)</f>
        <v/>
      </c>
      <c r="G98" s="29">
        <f>VLOOKUP(A98,Calendar!$A$1:$H$9997,6,FALSE)-F98</f>
        <v/>
      </c>
      <c r="H98" s="19" t="n">
        <v>1</v>
      </c>
      <c r="I98" s="57" t="n">
        <v>4</v>
      </c>
    </row>
    <row r="99">
      <c r="A99" s="62" t="n">
        <v>46210</v>
      </c>
      <c r="B99" s="3" t="inlineStr">
        <is>
          <t>Week</t>
        </is>
      </c>
      <c r="C99" s="19" t="n">
        <v>7</v>
      </c>
      <c r="D99" s="19" t="n">
        <v>2026</v>
      </c>
      <c r="E99" s="57" t="n">
        <v>1</v>
      </c>
      <c r="F99" s="29">
        <f>ROUND(((SUMIFS(Calendar!$F$2:$F$9997,Calendar!$B$2:$B$9997,D99,Calendar!$C$2:$C$9997,C99)*INDEX(ForeCalc!$B$37:$Y$274,MATCH(_xlfn.CONCAT(H99," ",I99),ForeCalc!$A$37:$A$274,0),MATCH(_xlfn.CONCAT(B99," ",E99),ForeCalc!$B$36:$Y$36,0))))*VLOOKUP(A99,Calendar!$A$2:$H$9997,8,FALSE),0)</f>
        <v/>
      </c>
      <c r="G99" s="29">
        <f>VLOOKUP(A99,Calendar!$A$1:$H$9997,6,FALSE)-F99</f>
        <v/>
      </c>
      <c r="H99" s="19" t="n">
        <v>1</v>
      </c>
      <c r="I99" s="57" t="n">
        <v>4</v>
      </c>
    </row>
    <row r="100">
      <c r="A100" s="62" t="n">
        <v>46211</v>
      </c>
      <c r="B100" s="3" t="inlineStr">
        <is>
          <t>Week</t>
        </is>
      </c>
      <c r="C100" s="19" t="n">
        <v>7</v>
      </c>
      <c r="D100" s="19" t="n">
        <v>2026</v>
      </c>
      <c r="E100" s="57" t="n">
        <v>1</v>
      </c>
      <c r="F100" s="29">
        <f>ROUND(((SUMIFS(Calendar!$F$2:$F$9997,Calendar!$B$2:$B$9997,D100,Calendar!$C$2:$C$9997,C100)*INDEX(ForeCalc!$B$37:$Y$274,MATCH(_xlfn.CONCAT(H100," ",I100),ForeCalc!$A$37:$A$274,0),MATCH(_xlfn.CONCAT(B100," ",E100),ForeCalc!$B$36:$Y$36,0))))*VLOOKUP(A100,Calendar!$A$2:$H$9997,8,FALSE),0)</f>
        <v/>
      </c>
      <c r="G100" s="29">
        <f>VLOOKUP(A100,Calendar!$A$1:$H$9997,6,FALSE)-F100</f>
        <v/>
      </c>
      <c r="H100" s="19" t="n">
        <v>1</v>
      </c>
      <c r="I100" s="57" t="n">
        <v>4</v>
      </c>
    </row>
    <row r="101">
      <c r="A101" s="62" t="n">
        <v>46212</v>
      </c>
      <c r="B101" s="3" t="inlineStr">
        <is>
          <t>Week</t>
        </is>
      </c>
      <c r="C101" s="19" t="n">
        <v>7</v>
      </c>
      <c r="D101" s="19" t="n">
        <v>2026</v>
      </c>
      <c r="E101" s="57" t="n">
        <v>1</v>
      </c>
      <c r="F101" s="29">
        <f>ROUND(((SUMIFS(Calendar!$F$2:$F$9997,Calendar!$B$2:$B$9997,D101,Calendar!$C$2:$C$9997,C101)*INDEX(ForeCalc!$B$37:$Y$274,MATCH(_xlfn.CONCAT(H101," ",I101),ForeCalc!$A$37:$A$274,0),MATCH(_xlfn.CONCAT(B101," ",E101),ForeCalc!$B$36:$Y$36,0))))*VLOOKUP(A101,Calendar!$A$2:$H$9997,8,FALSE),0)</f>
        <v/>
      </c>
      <c r="G101" s="29">
        <f>VLOOKUP(A101,Calendar!$A$1:$H$9997,6,FALSE)-F101</f>
        <v/>
      </c>
      <c r="H101" s="19" t="n">
        <v>1</v>
      </c>
      <c r="I101" s="57" t="n">
        <v>4</v>
      </c>
    </row>
    <row r="102">
      <c r="A102" s="62" t="n">
        <v>46213</v>
      </c>
      <c r="B102" s="3" t="inlineStr">
        <is>
          <t>Week</t>
        </is>
      </c>
      <c r="C102" s="19" t="n">
        <v>7</v>
      </c>
      <c r="D102" s="19" t="n">
        <v>2026</v>
      </c>
      <c r="E102" s="57" t="n">
        <v>1</v>
      </c>
      <c r="F102" s="29">
        <f>ROUND(((SUMIFS(Calendar!$F$2:$F$9997,Calendar!$B$2:$B$9997,D102,Calendar!$C$2:$C$9997,C102)*INDEX(ForeCalc!$B$37:$Y$274,MATCH(_xlfn.CONCAT(H102," ",I102),ForeCalc!$A$37:$A$274,0),MATCH(_xlfn.CONCAT(B102," ",E102),ForeCalc!$B$36:$Y$36,0))))*VLOOKUP(A102,Calendar!$A$2:$H$9997,8,FALSE),0)</f>
        <v/>
      </c>
      <c r="G102" s="29">
        <f>VLOOKUP(A102,Calendar!$A$1:$H$9997,6,FALSE)-F102</f>
        <v/>
      </c>
      <c r="H102" s="19" t="n">
        <v>1</v>
      </c>
      <c r="I102" s="57" t="n">
        <v>4</v>
      </c>
    </row>
    <row r="103">
      <c r="A103" s="62" t="n">
        <v>46214</v>
      </c>
      <c r="B103" s="3" t="inlineStr">
        <is>
          <t>Sat</t>
        </is>
      </c>
      <c r="C103" s="19" t="n">
        <v>7</v>
      </c>
      <c r="D103" s="19" t="n">
        <v>2026</v>
      </c>
      <c r="E103" s="57" t="n">
        <v>1</v>
      </c>
      <c r="F103" s="29">
        <f>ROUND(((SUMIFS(Calendar!$F$2:$F$9997,Calendar!$B$2:$B$9997,D103,Calendar!$C$2:$C$9997,C103)*INDEX(ForeCalc!$B$37:$Y$274,MATCH(_xlfn.CONCAT(H103," ",I103),ForeCalc!$A$37:$A$274,0),MATCH(_xlfn.CONCAT(B103," ",E103),ForeCalc!$B$36:$Y$36,0))))*VLOOKUP(A103,Calendar!$A$2:$H$9997,8,FALSE),0)</f>
        <v/>
      </c>
      <c r="G103" s="29">
        <f>VLOOKUP(A103,Calendar!$A$1:$H$9997,6,FALSE)-F103</f>
        <v/>
      </c>
      <c r="H103" s="19" t="n">
        <v>1</v>
      </c>
      <c r="I103" s="57" t="n">
        <v>4</v>
      </c>
    </row>
    <row r="104">
      <c r="A104" s="62" t="n">
        <v>46215</v>
      </c>
      <c r="B104" s="3" t="inlineStr">
        <is>
          <t>Sun</t>
        </is>
      </c>
      <c r="C104" s="19" t="n">
        <v>7</v>
      </c>
      <c r="D104" s="19" t="n">
        <v>2026</v>
      </c>
      <c r="E104" s="57" t="n">
        <v>1</v>
      </c>
      <c r="F104" s="29">
        <f>ROUND(((SUMIFS(Calendar!$F$2:$F$9997,Calendar!$B$2:$B$9997,D104,Calendar!$C$2:$C$9997,C104)*INDEX(ForeCalc!$B$37:$Y$274,MATCH(_xlfn.CONCAT(H104," ",I104),ForeCalc!$A$37:$A$274,0),MATCH(_xlfn.CONCAT(B104," ",E104),ForeCalc!$B$36:$Y$36,0))))*VLOOKUP(A104,Calendar!$A$2:$H$9997,8,FALSE),0)</f>
        <v/>
      </c>
      <c r="G104" s="29">
        <f>VLOOKUP(A104,Calendar!$A$1:$H$9997,6,FALSE)-F104</f>
        <v/>
      </c>
      <c r="H104" s="19" t="n">
        <v>1</v>
      </c>
      <c r="I104" s="57" t="n">
        <v>4</v>
      </c>
    </row>
    <row r="105">
      <c r="A105" s="62" t="n">
        <v>46216</v>
      </c>
      <c r="B105" s="3" t="inlineStr">
        <is>
          <t>Week</t>
        </is>
      </c>
      <c r="C105" s="19" t="n">
        <v>7</v>
      </c>
      <c r="D105" s="19" t="n">
        <v>2026</v>
      </c>
      <c r="E105" s="57" t="n">
        <v>1</v>
      </c>
      <c r="F105" s="29">
        <f>ROUND(((SUMIFS(Calendar!$F$2:$F$9997,Calendar!$B$2:$B$9997,D105,Calendar!$C$2:$C$9997,C105)*INDEX(ForeCalc!$B$37:$Y$274,MATCH(_xlfn.CONCAT(H105," ",I105),ForeCalc!$A$37:$A$274,0),MATCH(_xlfn.CONCAT(B105," ",E105),ForeCalc!$B$36:$Y$36,0))))*VLOOKUP(A105,Calendar!$A$2:$H$9997,8,FALSE),0)</f>
        <v/>
      </c>
      <c r="G105" s="29">
        <f>VLOOKUP(A105,Calendar!$A$1:$H$9997,6,FALSE)-F105</f>
        <v/>
      </c>
      <c r="H105" s="19" t="n">
        <v>1</v>
      </c>
      <c r="I105" s="57" t="n">
        <v>4</v>
      </c>
    </row>
    <row r="106">
      <c r="A106" s="62" t="n">
        <v>46217</v>
      </c>
      <c r="B106" s="3" t="inlineStr">
        <is>
          <t>Week</t>
        </is>
      </c>
      <c r="C106" s="19" t="n">
        <v>7</v>
      </c>
      <c r="D106" s="19" t="n">
        <v>2026</v>
      </c>
      <c r="E106" s="57" t="n">
        <v>1</v>
      </c>
      <c r="F106" s="29">
        <f>ROUND(((SUMIFS(Calendar!$F$2:$F$9997,Calendar!$B$2:$B$9997,D106,Calendar!$C$2:$C$9997,C106)*INDEX(ForeCalc!$B$37:$Y$274,MATCH(_xlfn.CONCAT(H106," ",I106),ForeCalc!$A$37:$A$274,0),MATCH(_xlfn.CONCAT(B106," ",E106),ForeCalc!$B$36:$Y$36,0))))*VLOOKUP(A106,Calendar!$A$2:$H$9997,8,FALSE),0)</f>
        <v/>
      </c>
      <c r="G106" s="29">
        <f>VLOOKUP(A106,Calendar!$A$1:$H$9997,6,FALSE)-F106</f>
        <v/>
      </c>
      <c r="H106" s="19" t="n">
        <v>1</v>
      </c>
      <c r="I106" s="57" t="n">
        <v>4</v>
      </c>
    </row>
    <row r="107">
      <c r="A107" s="62" t="n">
        <v>46218</v>
      </c>
      <c r="B107" s="3" t="inlineStr">
        <is>
          <t>Week</t>
        </is>
      </c>
      <c r="C107" s="19" t="n">
        <v>7</v>
      </c>
      <c r="D107" s="19" t="n">
        <v>2026</v>
      </c>
      <c r="E107" s="57" t="n">
        <v>1</v>
      </c>
      <c r="F107" s="29">
        <f>ROUND(((SUMIFS(Calendar!$F$2:$F$9997,Calendar!$B$2:$B$9997,D107,Calendar!$C$2:$C$9997,C107)*INDEX(ForeCalc!$B$37:$Y$274,MATCH(_xlfn.CONCAT(H107," ",I107),ForeCalc!$A$37:$A$274,0),MATCH(_xlfn.CONCAT(B107," ",E107),ForeCalc!$B$36:$Y$36,0))))*VLOOKUP(A107,Calendar!$A$2:$H$9997,8,FALSE),0)</f>
        <v/>
      </c>
      <c r="G107" s="29">
        <f>VLOOKUP(A107,Calendar!$A$1:$H$9997,6,FALSE)-F107</f>
        <v/>
      </c>
      <c r="H107" s="19" t="n">
        <v>1</v>
      </c>
      <c r="I107" s="57" t="n">
        <v>4</v>
      </c>
    </row>
    <row r="108">
      <c r="A108" s="62" t="n">
        <v>46219</v>
      </c>
      <c r="B108" s="3" t="inlineStr">
        <is>
          <t>Week</t>
        </is>
      </c>
      <c r="C108" s="19" t="n">
        <v>7</v>
      </c>
      <c r="D108" s="19" t="n">
        <v>2026</v>
      </c>
      <c r="E108" s="57" t="n">
        <v>1</v>
      </c>
      <c r="F108" s="29">
        <f>ROUND(((SUMIFS(Calendar!$F$2:$F$9997,Calendar!$B$2:$B$9997,D108,Calendar!$C$2:$C$9997,C108)*INDEX(ForeCalc!$B$37:$Y$274,MATCH(_xlfn.CONCAT(H108," ",I108),ForeCalc!$A$37:$A$274,0),MATCH(_xlfn.CONCAT(B108," ",E108),ForeCalc!$B$36:$Y$36,0))))*VLOOKUP(A108,Calendar!$A$2:$H$9997,8,FALSE),0)</f>
        <v/>
      </c>
      <c r="G108" s="29">
        <f>VLOOKUP(A108,Calendar!$A$1:$H$9997,6,FALSE)-F108</f>
        <v/>
      </c>
      <c r="H108" s="19" t="n">
        <v>1</v>
      </c>
      <c r="I108" s="57" t="n">
        <v>4</v>
      </c>
    </row>
    <row r="109">
      <c r="A109" s="62" t="n">
        <v>46220</v>
      </c>
      <c r="B109" s="3" t="inlineStr">
        <is>
          <t>Week</t>
        </is>
      </c>
      <c r="C109" s="19" t="n">
        <v>7</v>
      </c>
      <c r="D109" s="19" t="n">
        <v>2026</v>
      </c>
      <c r="E109" s="57" t="n">
        <v>1</v>
      </c>
      <c r="F109" s="29">
        <f>ROUND(((SUMIFS(Calendar!$F$2:$F$9997,Calendar!$B$2:$B$9997,D109,Calendar!$C$2:$C$9997,C109)*INDEX(ForeCalc!$B$37:$Y$274,MATCH(_xlfn.CONCAT(H109," ",I109),ForeCalc!$A$37:$A$274,0),MATCH(_xlfn.CONCAT(B109," ",E109),ForeCalc!$B$36:$Y$36,0))))*VLOOKUP(A109,Calendar!$A$2:$H$9997,8,FALSE),0)</f>
        <v/>
      </c>
      <c r="G109" s="29">
        <f>VLOOKUP(A109,Calendar!$A$1:$H$9997,6,FALSE)-F109</f>
        <v/>
      </c>
      <c r="H109" s="19" t="n">
        <v>1</v>
      </c>
      <c r="I109" s="57" t="n">
        <v>4</v>
      </c>
    </row>
    <row r="110">
      <c r="A110" s="62" t="n">
        <v>46221</v>
      </c>
      <c r="B110" s="3" t="inlineStr">
        <is>
          <t>Sat</t>
        </is>
      </c>
      <c r="C110" s="19" t="n">
        <v>7</v>
      </c>
      <c r="D110" s="19" t="n">
        <v>2026</v>
      </c>
      <c r="E110" s="57" t="n">
        <v>1</v>
      </c>
      <c r="F110" s="29">
        <f>ROUND(((SUMIFS(Calendar!$F$2:$F$9997,Calendar!$B$2:$B$9997,D110,Calendar!$C$2:$C$9997,C110)*INDEX(ForeCalc!$B$37:$Y$274,MATCH(_xlfn.CONCAT(H110," ",I110),ForeCalc!$A$37:$A$274,0),MATCH(_xlfn.CONCAT(B110," ",E110),ForeCalc!$B$36:$Y$36,0))))*VLOOKUP(A110,Calendar!$A$2:$H$9997,8,FALSE),0)</f>
        <v/>
      </c>
      <c r="G110" s="29">
        <f>VLOOKUP(A110,Calendar!$A$1:$H$9997,6,FALSE)-F110</f>
        <v/>
      </c>
      <c r="H110" s="19" t="n">
        <v>1</v>
      </c>
      <c r="I110" s="57" t="n">
        <v>4</v>
      </c>
    </row>
    <row r="111">
      <c r="A111" s="62" t="n">
        <v>46222</v>
      </c>
      <c r="B111" s="3" t="inlineStr">
        <is>
          <t>Sun</t>
        </is>
      </c>
      <c r="C111" s="19" t="n">
        <v>7</v>
      </c>
      <c r="D111" s="19" t="n">
        <v>2026</v>
      </c>
      <c r="E111" s="57" t="n">
        <v>1</v>
      </c>
      <c r="F111" s="29">
        <f>ROUND(((SUMIFS(Calendar!$F$2:$F$9997,Calendar!$B$2:$B$9997,D111,Calendar!$C$2:$C$9997,C111)*INDEX(ForeCalc!$B$37:$Y$274,MATCH(_xlfn.CONCAT(H111," ",I111),ForeCalc!$A$37:$A$274,0),MATCH(_xlfn.CONCAT(B111," ",E111),ForeCalc!$B$36:$Y$36,0))))*VLOOKUP(A111,Calendar!$A$2:$H$9997,8,FALSE),0)</f>
        <v/>
      </c>
      <c r="G111" s="29">
        <f>VLOOKUP(A111,Calendar!$A$1:$H$9997,6,FALSE)-F111</f>
        <v/>
      </c>
      <c r="H111" s="19" t="n">
        <v>1</v>
      </c>
      <c r="I111" s="57" t="n">
        <v>4</v>
      </c>
    </row>
    <row r="112">
      <c r="A112" s="62" t="n">
        <v>46223</v>
      </c>
      <c r="B112" s="3" t="inlineStr">
        <is>
          <t>Week</t>
        </is>
      </c>
      <c r="C112" s="19" t="n">
        <v>7</v>
      </c>
      <c r="D112" s="19" t="n">
        <v>2026</v>
      </c>
      <c r="E112" s="57" t="n">
        <v>1</v>
      </c>
      <c r="F112" s="29">
        <f>ROUND(((SUMIFS(Calendar!$F$2:$F$9997,Calendar!$B$2:$B$9997,D112,Calendar!$C$2:$C$9997,C112)*INDEX(ForeCalc!$B$37:$Y$274,MATCH(_xlfn.CONCAT(H112," ",I112),ForeCalc!$A$37:$A$274,0),MATCH(_xlfn.CONCAT(B112," ",E112),ForeCalc!$B$36:$Y$36,0))))*VLOOKUP(A112,Calendar!$A$2:$H$9997,8,FALSE),0)</f>
        <v/>
      </c>
      <c r="G112" s="29">
        <f>VLOOKUP(A112,Calendar!$A$1:$H$9997,6,FALSE)-F112</f>
        <v/>
      </c>
      <c r="H112" s="19" t="n">
        <v>1</v>
      </c>
      <c r="I112" s="57" t="n">
        <v>4</v>
      </c>
    </row>
    <row r="113">
      <c r="A113" s="62" t="n">
        <v>46224</v>
      </c>
      <c r="B113" s="3" t="inlineStr">
        <is>
          <t>Week</t>
        </is>
      </c>
      <c r="C113" s="19" t="n">
        <v>7</v>
      </c>
      <c r="D113" s="19" t="n">
        <v>2026</v>
      </c>
      <c r="E113" s="57" t="n">
        <v>1</v>
      </c>
      <c r="F113" s="29">
        <f>ROUND(((SUMIFS(Calendar!$F$2:$F$9997,Calendar!$B$2:$B$9997,D113,Calendar!$C$2:$C$9997,C113)*INDEX(ForeCalc!$B$37:$Y$274,MATCH(_xlfn.CONCAT(H113," ",I113),ForeCalc!$A$37:$A$274,0),MATCH(_xlfn.CONCAT(B113," ",E113),ForeCalc!$B$36:$Y$36,0))))*VLOOKUP(A113,Calendar!$A$2:$H$9997,8,FALSE),0)</f>
        <v/>
      </c>
      <c r="G113" s="29">
        <f>VLOOKUP(A113,Calendar!$A$1:$H$9997,6,FALSE)-F113</f>
        <v/>
      </c>
      <c r="H113" s="19" t="n">
        <v>1</v>
      </c>
      <c r="I113" s="57" t="n">
        <v>4</v>
      </c>
    </row>
    <row r="114">
      <c r="A114" s="62" t="n">
        <v>46225</v>
      </c>
      <c r="B114" s="3" t="inlineStr">
        <is>
          <t>Week</t>
        </is>
      </c>
      <c r="C114" s="19" t="n">
        <v>7</v>
      </c>
      <c r="D114" s="19" t="n">
        <v>2026</v>
      </c>
      <c r="E114" s="57" t="n">
        <v>1</v>
      </c>
      <c r="F114" s="29">
        <f>ROUND(((SUMIFS(Calendar!$F$2:$F$9997,Calendar!$B$2:$B$9997,D114,Calendar!$C$2:$C$9997,C114)*INDEX(ForeCalc!$B$37:$Y$274,MATCH(_xlfn.CONCAT(H114," ",I114),ForeCalc!$A$37:$A$274,0),MATCH(_xlfn.CONCAT(B114," ",E114),ForeCalc!$B$36:$Y$36,0))))*VLOOKUP(A114,Calendar!$A$2:$H$9997,8,FALSE),0)</f>
        <v/>
      </c>
      <c r="G114" s="29">
        <f>VLOOKUP(A114,Calendar!$A$1:$H$9997,6,FALSE)-F114</f>
        <v/>
      </c>
      <c r="H114" s="19" t="n">
        <v>1</v>
      </c>
      <c r="I114" s="57" t="n">
        <v>4</v>
      </c>
    </row>
    <row r="115">
      <c r="A115" s="62" t="n">
        <v>46226</v>
      </c>
      <c r="B115" s="3" t="inlineStr">
        <is>
          <t>Week</t>
        </is>
      </c>
      <c r="C115" s="19" t="n">
        <v>7</v>
      </c>
      <c r="D115" s="19" t="n">
        <v>2026</v>
      </c>
      <c r="E115" s="57" t="n">
        <v>1</v>
      </c>
      <c r="F115" s="29">
        <f>ROUND(((SUMIFS(Calendar!$F$2:$F$9997,Calendar!$B$2:$B$9997,D115,Calendar!$C$2:$C$9997,C115)*INDEX(ForeCalc!$B$37:$Y$274,MATCH(_xlfn.CONCAT(H115," ",I115),ForeCalc!$A$37:$A$274,0),MATCH(_xlfn.CONCAT(B115," ",E115),ForeCalc!$B$36:$Y$36,0))))*VLOOKUP(A115,Calendar!$A$2:$H$9997,8,FALSE),0)</f>
        <v/>
      </c>
      <c r="G115" s="29">
        <f>VLOOKUP(A115,Calendar!$A$1:$H$9997,6,FALSE)-F115</f>
        <v/>
      </c>
      <c r="H115" s="19" t="n">
        <v>1</v>
      </c>
      <c r="I115" s="57" t="n">
        <v>4</v>
      </c>
    </row>
    <row r="116">
      <c r="A116" s="62" t="n">
        <v>46227</v>
      </c>
      <c r="B116" s="3" t="inlineStr">
        <is>
          <t>Week</t>
        </is>
      </c>
      <c r="C116" s="19" t="n">
        <v>7</v>
      </c>
      <c r="D116" s="19" t="n">
        <v>2026</v>
      </c>
      <c r="E116" s="57" t="n">
        <v>1</v>
      </c>
      <c r="F116" s="29">
        <f>ROUND(((SUMIFS(Calendar!$F$2:$F$9997,Calendar!$B$2:$B$9997,D116,Calendar!$C$2:$C$9997,C116)*INDEX(ForeCalc!$B$37:$Y$274,MATCH(_xlfn.CONCAT(H116," ",I116),ForeCalc!$A$37:$A$274,0),MATCH(_xlfn.CONCAT(B116," ",E116),ForeCalc!$B$36:$Y$36,0))))*VLOOKUP(A116,Calendar!$A$2:$H$9997,8,FALSE),0)</f>
        <v/>
      </c>
      <c r="G116" s="29">
        <f>VLOOKUP(A116,Calendar!$A$1:$H$9997,6,FALSE)-F116</f>
        <v/>
      </c>
      <c r="H116" s="19" t="n">
        <v>1</v>
      </c>
      <c r="I116" s="57" t="n">
        <v>4</v>
      </c>
    </row>
    <row r="117">
      <c r="A117" s="62" t="n">
        <v>46228</v>
      </c>
      <c r="B117" s="3" t="inlineStr">
        <is>
          <t>Sat</t>
        </is>
      </c>
      <c r="C117" s="19" t="n">
        <v>7</v>
      </c>
      <c r="D117" s="19" t="n">
        <v>2026</v>
      </c>
      <c r="E117" s="57" t="n">
        <v>1</v>
      </c>
      <c r="F117" s="29">
        <f>ROUND(((SUMIFS(Calendar!$F$2:$F$9997,Calendar!$B$2:$B$9997,D117,Calendar!$C$2:$C$9997,C117)*INDEX(ForeCalc!$B$37:$Y$274,MATCH(_xlfn.CONCAT(H117," ",I117),ForeCalc!$A$37:$A$274,0),MATCH(_xlfn.CONCAT(B117," ",E117),ForeCalc!$B$36:$Y$36,0))))*VLOOKUP(A117,Calendar!$A$2:$H$9997,8,FALSE),0)</f>
        <v/>
      </c>
      <c r="G117" s="29">
        <f>VLOOKUP(A117,Calendar!$A$1:$H$9997,6,FALSE)-F117</f>
        <v/>
      </c>
      <c r="H117" s="19" t="n">
        <v>1</v>
      </c>
      <c r="I117" s="57" t="n">
        <v>4</v>
      </c>
    </row>
    <row r="118">
      <c r="A118" s="62" t="n">
        <v>46229</v>
      </c>
      <c r="B118" s="3" t="inlineStr">
        <is>
          <t>Sun</t>
        </is>
      </c>
      <c r="C118" s="19" t="n">
        <v>7</v>
      </c>
      <c r="D118" s="19" t="n">
        <v>2026</v>
      </c>
      <c r="E118" s="57" t="n">
        <v>1</v>
      </c>
      <c r="F118" s="29">
        <f>ROUND(((SUMIFS(Calendar!$F$2:$F$9997,Calendar!$B$2:$B$9997,D118,Calendar!$C$2:$C$9997,C118)*INDEX(ForeCalc!$B$37:$Y$274,MATCH(_xlfn.CONCAT(H118," ",I118),ForeCalc!$A$37:$A$274,0),MATCH(_xlfn.CONCAT(B118," ",E118),ForeCalc!$B$36:$Y$36,0))))*VLOOKUP(A118,Calendar!$A$2:$H$9997,8,FALSE),0)</f>
        <v/>
      </c>
      <c r="G118" s="29">
        <f>VLOOKUP(A118,Calendar!$A$1:$H$9997,6,FALSE)-F118</f>
        <v/>
      </c>
      <c r="H118" s="19" t="n">
        <v>1</v>
      </c>
      <c r="I118" s="57" t="n">
        <v>4</v>
      </c>
    </row>
    <row r="119">
      <c r="A119" s="62" t="n">
        <v>46230</v>
      </c>
      <c r="B119" s="3" t="inlineStr">
        <is>
          <t>Week</t>
        </is>
      </c>
      <c r="C119" s="19" t="n">
        <v>7</v>
      </c>
      <c r="D119" s="19" t="n">
        <v>2026</v>
      </c>
      <c r="E119" s="57" t="n">
        <v>1</v>
      </c>
      <c r="F119" s="29">
        <f>ROUND(((SUMIFS(Calendar!$F$2:$F$9997,Calendar!$B$2:$B$9997,D119,Calendar!$C$2:$C$9997,C119)*INDEX(ForeCalc!$B$37:$Y$274,MATCH(_xlfn.CONCAT(H119," ",I119),ForeCalc!$A$37:$A$274,0),MATCH(_xlfn.CONCAT(B119," ",E119),ForeCalc!$B$36:$Y$36,0))))*VLOOKUP(A119,Calendar!$A$2:$H$9997,8,FALSE),0)</f>
        <v/>
      </c>
      <c r="G119" s="29">
        <f>VLOOKUP(A119,Calendar!$A$1:$H$9997,6,FALSE)-F119</f>
        <v/>
      </c>
      <c r="H119" s="19" t="n">
        <v>1</v>
      </c>
      <c r="I119" s="57" t="n">
        <v>4</v>
      </c>
    </row>
    <row r="120">
      <c r="A120" s="62" t="n">
        <v>46231</v>
      </c>
      <c r="B120" s="3" t="inlineStr">
        <is>
          <t>Week</t>
        </is>
      </c>
      <c r="C120" s="19" t="n">
        <v>7</v>
      </c>
      <c r="D120" s="19" t="n">
        <v>2026</v>
      </c>
      <c r="E120" s="57" t="n">
        <v>1</v>
      </c>
      <c r="F120" s="29">
        <f>ROUND(((SUMIFS(Calendar!$F$2:$F$9997,Calendar!$B$2:$B$9997,D120,Calendar!$C$2:$C$9997,C120)*INDEX(ForeCalc!$B$37:$Y$274,MATCH(_xlfn.CONCAT(H120," ",I120),ForeCalc!$A$37:$A$274,0),MATCH(_xlfn.CONCAT(B120," ",E120),ForeCalc!$B$36:$Y$36,0))))*VLOOKUP(A120,Calendar!$A$2:$H$9997,8,FALSE),0)</f>
        <v/>
      </c>
      <c r="G120" s="29">
        <f>VLOOKUP(A120,Calendar!$A$1:$H$9997,6,FALSE)-F120</f>
        <v/>
      </c>
      <c r="H120" s="19" t="n">
        <v>1</v>
      </c>
      <c r="I120" s="57" t="n">
        <v>4</v>
      </c>
    </row>
    <row r="121">
      <c r="A121" s="62" t="n">
        <v>46232</v>
      </c>
      <c r="B121" s="3" t="inlineStr">
        <is>
          <t>Week</t>
        </is>
      </c>
      <c r="C121" s="19" t="n">
        <v>7</v>
      </c>
      <c r="D121" s="19" t="n">
        <v>2026</v>
      </c>
      <c r="E121" s="57" t="n">
        <v>1</v>
      </c>
      <c r="F121" s="29">
        <f>ROUND(((SUMIFS(Calendar!$F$2:$F$9997,Calendar!$B$2:$B$9997,D121,Calendar!$C$2:$C$9997,C121)*INDEX(ForeCalc!$B$37:$Y$274,MATCH(_xlfn.CONCAT(H121," ",I121),ForeCalc!$A$37:$A$274,0),MATCH(_xlfn.CONCAT(B121," ",E121),ForeCalc!$B$36:$Y$36,0))))*VLOOKUP(A121,Calendar!$A$2:$H$9997,8,FALSE),0)</f>
        <v/>
      </c>
      <c r="G121" s="29">
        <f>VLOOKUP(A121,Calendar!$A$1:$H$9997,6,FALSE)-F121</f>
        <v/>
      </c>
      <c r="H121" s="19" t="n">
        <v>1</v>
      </c>
      <c r="I121" s="57" t="n">
        <v>4</v>
      </c>
    </row>
    <row r="122">
      <c r="A122" s="62" t="n">
        <v>46233</v>
      </c>
      <c r="B122" s="3" t="inlineStr">
        <is>
          <t>Week</t>
        </is>
      </c>
      <c r="C122" s="19" t="n">
        <v>7</v>
      </c>
      <c r="D122" s="19" t="n">
        <v>2026</v>
      </c>
      <c r="E122" s="57" t="n">
        <v>1</v>
      </c>
      <c r="F122" s="29">
        <f>ROUND(((SUMIFS(Calendar!$F$2:$F$9997,Calendar!$B$2:$B$9997,D122,Calendar!$C$2:$C$9997,C122)*INDEX(ForeCalc!$B$37:$Y$274,MATCH(_xlfn.CONCAT(H122," ",I122),ForeCalc!$A$37:$A$274,0),MATCH(_xlfn.CONCAT(B122," ",E122),ForeCalc!$B$36:$Y$36,0))))*VLOOKUP(A122,Calendar!$A$2:$H$9997,8,FALSE),0)</f>
        <v/>
      </c>
      <c r="G122" s="29">
        <f>VLOOKUP(A122,Calendar!$A$1:$H$9997,6,FALSE)-F122</f>
        <v/>
      </c>
      <c r="H122" s="19" t="n">
        <v>1</v>
      </c>
      <c r="I122" s="57" t="n">
        <v>4</v>
      </c>
    </row>
    <row r="123">
      <c r="A123" s="62" t="n">
        <v>46234</v>
      </c>
      <c r="B123" s="3" t="inlineStr">
        <is>
          <t>Week</t>
        </is>
      </c>
      <c r="C123" s="19" t="n">
        <v>7</v>
      </c>
      <c r="D123" s="19" t="n">
        <v>2026</v>
      </c>
      <c r="E123" s="57" t="n">
        <v>1</v>
      </c>
      <c r="F123" s="29">
        <f>ROUND(((SUMIFS(Calendar!$F$2:$F$9997,Calendar!$B$2:$B$9997,D123,Calendar!$C$2:$C$9997,C123)*INDEX(ForeCalc!$B$37:$Y$274,MATCH(_xlfn.CONCAT(H123," ",I123),ForeCalc!$A$37:$A$274,0),MATCH(_xlfn.CONCAT(B123," ",E123),ForeCalc!$B$36:$Y$36,0))))*VLOOKUP(A123,Calendar!$A$2:$H$9997,8,FALSE),0)</f>
        <v/>
      </c>
      <c r="G123" s="29">
        <f>VLOOKUP(A123,Calendar!$A$1:$H$9997,6,FALSE)-F123</f>
        <v/>
      </c>
      <c r="H123" s="19" t="n">
        <v>1</v>
      </c>
      <c r="I123" s="57" t="n">
        <v>4</v>
      </c>
    </row>
    <row r="124">
      <c r="A124" s="62" t="n">
        <v>46235</v>
      </c>
      <c r="B124" s="3" t="inlineStr">
        <is>
          <t>Sat</t>
        </is>
      </c>
      <c r="C124" s="19" t="n">
        <v>8</v>
      </c>
      <c r="D124" s="19" t="n">
        <v>2026</v>
      </c>
      <c r="E124" s="57" t="n">
        <v>1</v>
      </c>
      <c r="F124" s="29">
        <f>ROUND(((SUMIFS(Calendar!$F$2:$F$9997,Calendar!$B$2:$B$9997,D124,Calendar!$C$2:$C$9997,C124)*INDEX(ForeCalc!$B$37:$Y$274,MATCH(_xlfn.CONCAT(H124," ",I124),ForeCalc!$A$37:$A$274,0),MATCH(_xlfn.CONCAT(B124," ",E124),ForeCalc!$B$36:$Y$36,0))))*VLOOKUP(A124,Calendar!$A$2:$H$9997,8,FALSE),0)</f>
        <v/>
      </c>
      <c r="G124" s="29">
        <f>VLOOKUP(A124,Calendar!$A$1:$H$9997,6,FALSE)-F124</f>
        <v/>
      </c>
      <c r="H124" s="19" t="n">
        <v>1</v>
      </c>
      <c r="I124" s="57" t="n">
        <v>5</v>
      </c>
    </row>
    <row r="125">
      <c r="A125" s="62" t="n">
        <v>46236</v>
      </c>
      <c r="B125" s="3" t="inlineStr">
        <is>
          <t>Sun</t>
        </is>
      </c>
      <c r="C125" s="19" t="n">
        <v>8</v>
      </c>
      <c r="D125" s="19" t="n">
        <v>2026</v>
      </c>
      <c r="E125" s="57" t="n">
        <v>1</v>
      </c>
      <c r="F125" s="29">
        <f>ROUND(((SUMIFS(Calendar!$F$2:$F$9997,Calendar!$B$2:$B$9997,D125,Calendar!$C$2:$C$9997,C125)*INDEX(ForeCalc!$B$37:$Y$274,MATCH(_xlfn.CONCAT(H125," ",I125),ForeCalc!$A$37:$A$274,0),MATCH(_xlfn.CONCAT(B125," ",E125),ForeCalc!$B$36:$Y$36,0))))*VLOOKUP(A125,Calendar!$A$2:$H$9997,8,FALSE),0)</f>
        <v/>
      </c>
      <c r="G125" s="29">
        <f>VLOOKUP(A125,Calendar!$A$1:$H$9997,6,FALSE)-F125</f>
        <v/>
      </c>
      <c r="H125" s="19" t="n">
        <v>1</v>
      </c>
      <c r="I125" s="57" t="n">
        <v>5</v>
      </c>
    </row>
    <row r="126">
      <c r="A126" s="62" t="n">
        <v>46237</v>
      </c>
      <c r="B126" s="3" t="inlineStr">
        <is>
          <t>Week</t>
        </is>
      </c>
      <c r="C126" s="19" t="n">
        <v>8</v>
      </c>
      <c r="D126" s="19" t="n">
        <v>2026</v>
      </c>
      <c r="E126" s="57" t="n">
        <v>1</v>
      </c>
      <c r="F126" s="29">
        <f>ROUND(((SUMIFS(Calendar!$F$2:$F$9997,Calendar!$B$2:$B$9997,D126,Calendar!$C$2:$C$9997,C126)*INDEX(ForeCalc!$B$37:$Y$274,MATCH(_xlfn.CONCAT(H126," ",I126),ForeCalc!$A$37:$A$274,0),MATCH(_xlfn.CONCAT(B126," ",E126),ForeCalc!$B$36:$Y$36,0))))*VLOOKUP(A126,Calendar!$A$2:$H$9997,8,FALSE),0)</f>
        <v/>
      </c>
      <c r="G126" s="29">
        <f>VLOOKUP(A126,Calendar!$A$1:$H$9997,6,FALSE)-F126</f>
        <v/>
      </c>
      <c r="H126" s="19" t="n">
        <v>1</v>
      </c>
      <c r="I126" s="57" t="n">
        <v>5</v>
      </c>
    </row>
    <row r="127">
      <c r="A127" s="62" t="n">
        <v>46238</v>
      </c>
      <c r="B127" s="3" t="inlineStr">
        <is>
          <t>Week</t>
        </is>
      </c>
      <c r="C127" s="19" t="n">
        <v>8</v>
      </c>
      <c r="D127" s="19" t="n">
        <v>2026</v>
      </c>
      <c r="E127" s="57" t="n">
        <v>1</v>
      </c>
      <c r="F127" s="29">
        <f>ROUND(((SUMIFS(Calendar!$F$2:$F$9997,Calendar!$B$2:$B$9997,D127,Calendar!$C$2:$C$9997,C127)*INDEX(ForeCalc!$B$37:$Y$274,MATCH(_xlfn.CONCAT(H127," ",I127),ForeCalc!$A$37:$A$274,0),MATCH(_xlfn.CONCAT(B127," ",E127),ForeCalc!$B$36:$Y$36,0))))*VLOOKUP(A127,Calendar!$A$2:$H$9997,8,FALSE),0)</f>
        <v/>
      </c>
      <c r="G127" s="29">
        <f>VLOOKUP(A127,Calendar!$A$1:$H$9997,6,FALSE)-F127</f>
        <v/>
      </c>
      <c r="H127" s="19" t="n">
        <v>1</v>
      </c>
      <c r="I127" s="57" t="n">
        <v>5</v>
      </c>
    </row>
    <row r="128">
      <c r="A128" s="62" t="n">
        <v>46239</v>
      </c>
      <c r="B128" s="3" t="inlineStr">
        <is>
          <t>Week</t>
        </is>
      </c>
      <c r="C128" s="19" t="n">
        <v>8</v>
      </c>
      <c r="D128" s="19" t="n">
        <v>2026</v>
      </c>
      <c r="E128" s="57" t="n">
        <v>1</v>
      </c>
      <c r="F128" s="29">
        <f>ROUND(((SUMIFS(Calendar!$F$2:$F$9997,Calendar!$B$2:$B$9997,D128,Calendar!$C$2:$C$9997,C128)*INDEX(ForeCalc!$B$37:$Y$274,MATCH(_xlfn.CONCAT(H128," ",I128),ForeCalc!$A$37:$A$274,0),MATCH(_xlfn.CONCAT(B128," ",E128),ForeCalc!$B$36:$Y$36,0))))*VLOOKUP(A128,Calendar!$A$2:$H$9997,8,FALSE),0)</f>
        <v/>
      </c>
      <c r="G128" s="29">
        <f>VLOOKUP(A128,Calendar!$A$1:$H$9997,6,FALSE)-F128</f>
        <v/>
      </c>
      <c r="H128" s="19" t="n">
        <v>1</v>
      </c>
      <c r="I128" s="57" t="n">
        <v>5</v>
      </c>
    </row>
    <row r="129">
      <c r="A129" s="62" t="n">
        <v>46240</v>
      </c>
      <c r="B129" s="3" t="inlineStr">
        <is>
          <t>Week</t>
        </is>
      </c>
      <c r="C129" s="19" t="n">
        <v>8</v>
      </c>
      <c r="D129" s="19" t="n">
        <v>2026</v>
      </c>
      <c r="E129" s="57" t="n">
        <v>1</v>
      </c>
      <c r="F129" s="29">
        <f>ROUND(((SUMIFS(Calendar!$F$2:$F$9997,Calendar!$B$2:$B$9997,D129,Calendar!$C$2:$C$9997,C129)*INDEX(ForeCalc!$B$37:$Y$274,MATCH(_xlfn.CONCAT(H129," ",I129),ForeCalc!$A$37:$A$274,0),MATCH(_xlfn.CONCAT(B129," ",E129),ForeCalc!$B$36:$Y$36,0))))*VLOOKUP(A129,Calendar!$A$2:$H$9997,8,FALSE),0)</f>
        <v/>
      </c>
      <c r="G129" s="29">
        <f>VLOOKUP(A129,Calendar!$A$1:$H$9997,6,FALSE)-F129</f>
        <v/>
      </c>
      <c r="H129" s="19" t="n">
        <v>1</v>
      </c>
      <c r="I129" s="57" t="n">
        <v>5</v>
      </c>
    </row>
    <row r="130">
      <c r="A130" s="62" t="n">
        <v>46241</v>
      </c>
      <c r="B130" s="3" t="inlineStr">
        <is>
          <t>Week</t>
        </is>
      </c>
      <c r="C130" s="19" t="n">
        <v>8</v>
      </c>
      <c r="D130" s="19" t="n">
        <v>2026</v>
      </c>
      <c r="E130" s="57" t="n">
        <v>1</v>
      </c>
      <c r="F130" s="29">
        <f>ROUND(((SUMIFS(Calendar!$F$2:$F$9997,Calendar!$B$2:$B$9997,D130,Calendar!$C$2:$C$9997,C130)*INDEX(ForeCalc!$B$37:$Y$274,MATCH(_xlfn.CONCAT(H130," ",I130),ForeCalc!$A$37:$A$274,0),MATCH(_xlfn.CONCAT(B130," ",E130),ForeCalc!$B$36:$Y$36,0))))*VLOOKUP(A130,Calendar!$A$2:$H$9997,8,FALSE),0)</f>
        <v/>
      </c>
      <c r="G130" s="29">
        <f>VLOOKUP(A130,Calendar!$A$1:$H$9997,6,FALSE)-F130</f>
        <v/>
      </c>
      <c r="H130" s="19" t="n">
        <v>1</v>
      </c>
      <c r="I130" s="57" t="n">
        <v>5</v>
      </c>
    </row>
    <row r="131">
      <c r="A131" s="62" t="n">
        <v>46242</v>
      </c>
      <c r="B131" s="3" t="inlineStr">
        <is>
          <t>Sat</t>
        </is>
      </c>
      <c r="C131" s="19" t="n">
        <v>8</v>
      </c>
      <c r="D131" s="19" t="n">
        <v>2026</v>
      </c>
      <c r="E131" s="57" t="n">
        <v>1</v>
      </c>
      <c r="F131" s="29">
        <f>ROUND(((SUMIFS(Calendar!$F$2:$F$9997,Calendar!$B$2:$B$9997,D131,Calendar!$C$2:$C$9997,C131)*INDEX(ForeCalc!$B$37:$Y$274,MATCH(_xlfn.CONCAT(H131," ",I131),ForeCalc!$A$37:$A$274,0),MATCH(_xlfn.CONCAT(B131," ",E131),ForeCalc!$B$36:$Y$36,0))))*VLOOKUP(A131,Calendar!$A$2:$H$9997,8,FALSE),0)</f>
        <v/>
      </c>
      <c r="G131" s="29">
        <f>VLOOKUP(A131,Calendar!$A$1:$H$9997,6,FALSE)-F131</f>
        <v/>
      </c>
      <c r="H131" s="19" t="n">
        <v>1</v>
      </c>
      <c r="I131" s="57" t="n">
        <v>5</v>
      </c>
    </row>
    <row r="132">
      <c r="A132" s="62" t="n">
        <v>46243</v>
      </c>
      <c r="B132" s="3" t="inlineStr">
        <is>
          <t>Sun</t>
        </is>
      </c>
      <c r="C132" s="19" t="n">
        <v>8</v>
      </c>
      <c r="D132" s="19" t="n">
        <v>2026</v>
      </c>
      <c r="E132" s="57" t="n">
        <v>1</v>
      </c>
      <c r="F132" s="29">
        <f>ROUND(((SUMIFS(Calendar!$F$2:$F$9997,Calendar!$B$2:$B$9997,D132,Calendar!$C$2:$C$9997,C132)*INDEX(ForeCalc!$B$37:$Y$274,MATCH(_xlfn.CONCAT(H132," ",I132),ForeCalc!$A$37:$A$274,0),MATCH(_xlfn.CONCAT(B132," ",E132),ForeCalc!$B$36:$Y$36,0))))*VLOOKUP(A132,Calendar!$A$2:$H$9997,8,FALSE),0)</f>
        <v/>
      </c>
      <c r="G132" s="29">
        <f>VLOOKUP(A132,Calendar!$A$1:$H$9997,6,FALSE)-F132</f>
        <v/>
      </c>
      <c r="H132" s="19" t="n">
        <v>1</v>
      </c>
      <c r="I132" s="57" t="n">
        <v>5</v>
      </c>
    </row>
    <row r="133">
      <c r="A133" s="62" t="n">
        <v>46244</v>
      </c>
      <c r="B133" s="3" t="inlineStr">
        <is>
          <t>Week</t>
        </is>
      </c>
      <c r="C133" s="19" t="n">
        <v>8</v>
      </c>
      <c r="D133" s="19" t="n">
        <v>2026</v>
      </c>
      <c r="E133" s="57" t="n">
        <v>1</v>
      </c>
      <c r="F133" s="29">
        <f>ROUND(((SUMIFS(Calendar!$F$2:$F$9997,Calendar!$B$2:$B$9997,D133,Calendar!$C$2:$C$9997,C133)*INDEX(ForeCalc!$B$37:$Y$274,MATCH(_xlfn.CONCAT(H133," ",I133),ForeCalc!$A$37:$A$274,0),MATCH(_xlfn.CONCAT(B133," ",E133),ForeCalc!$B$36:$Y$36,0))))*VLOOKUP(A133,Calendar!$A$2:$H$9997,8,FALSE),0)</f>
        <v/>
      </c>
      <c r="G133" s="29">
        <f>VLOOKUP(A133,Calendar!$A$1:$H$9997,6,FALSE)-F133</f>
        <v/>
      </c>
      <c r="H133" s="19" t="n">
        <v>1</v>
      </c>
      <c r="I133" s="57" t="n">
        <v>5</v>
      </c>
    </row>
    <row r="134">
      <c r="A134" s="62" t="n">
        <v>46245</v>
      </c>
      <c r="B134" s="3" t="inlineStr">
        <is>
          <t>Week</t>
        </is>
      </c>
      <c r="C134" s="19" t="n">
        <v>8</v>
      </c>
      <c r="D134" s="19" t="n">
        <v>2026</v>
      </c>
      <c r="E134" s="57" t="n">
        <v>1</v>
      </c>
      <c r="F134" s="29">
        <f>ROUND(((SUMIFS(Calendar!$F$2:$F$9997,Calendar!$B$2:$B$9997,D134,Calendar!$C$2:$C$9997,C134)*INDEX(ForeCalc!$B$37:$Y$274,MATCH(_xlfn.CONCAT(H134," ",I134),ForeCalc!$A$37:$A$274,0),MATCH(_xlfn.CONCAT(B134," ",E134),ForeCalc!$B$36:$Y$36,0))))*VLOOKUP(A134,Calendar!$A$2:$H$9997,8,FALSE),0)</f>
        <v/>
      </c>
      <c r="G134" s="29">
        <f>VLOOKUP(A134,Calendar!$A$1:$H$9997,6,FALSE)-F134</f>
        <v/>
      </c>
      <c r="H134" s="19" t="n">
        <v>1</v>
      </c>
      <c r="I134" s="57" t="n">
        <v>5</v>
      </c>
    </row>
    <row r="135">
      <c r="A135" s="62" t="n">
        <v>46246</v>
      </c>
      <c r="B135" s="3" t="inlineStr">
        <is>
          <t>Week</t>
        </is>
      </c>
      <c r="C135" s="19" t="n">
        <v>8</v>
      </c>
      <c r="D135" s="19" t="n">
        <v>2026</v>
      </c>
      <c r="E135" s="57" t="n">
        <v>1</v>
      </c>
      <c r="F135" s="29">
        <f>ROUND(((SUMIFS(Calendar!$F$2:$F$9997,Calendar!$B$2:$B$9997,D135,Calendar!$C$2:$C$9997,C135)*INDEX(ForeCalc!$B$37:$Y$274,MATCH(_xlfn.CONCAT(H135," ",I135),ForeCalc!$A$37:$A$274,0),MATCH(_xlfn.CONCAT(B135," ",E135),ForeCalc!$B$36:$Y$36,0))))*VLOOKUP(A135,Calendar!$A$2:$H$9997,8,FALSE),0)</f>
        <v/>
      </c>
      <c r="G135" s="29">
        <f>VLOOKUP(A135,Calendar!$A$1:$H$9997,6,FALSE)-F135</f>
        <v/>
      </c>
      <c r="H135" s="19" t="n">
        <v>1</v>
      </c>
      <c r="I135" s="57" t="n">
        <v>5</v>
      </c>
    </row>
    <row r="136">
      <c r="A136" s="62" t="n">
        <v>46247</v>
      </c>
      <c r="B136" s="3" t="inlineStr">
        <is>
          <t>Week</t>
        </is>
      </c>
      <c r="C136" s="19" t="n">
        <v>8</v>
      </c>
      <c r="D136" s="19" t="n">
        <v>2026</v>
      </c>
      <c r="E136" s="57" t="n">
        <v>1</v>
      </c>
      <c r="F136" s="29">
        <f>ROUND(((SUMIFS(Calendar!$F$2:$F$9997,Calendar!$B$2:$B$9997,D136,Calendar!$C$2:$C$9997,C136)*INDEX(ForeCalc!$B$37:$Y$274,MATCH(_xlfn.CONCAT(H136," ",I136),ForeCalc!$A$37:$A$274,0),MATCH(_xlfn.CONCAT(B136," ",E136),ForeCalc!$B$36:$Y$36,0))))*VLOOKUP(A136,Calendar!$A$2:$H$9997,8,FALSE),0)</f>
        <v/>
      </c>
      <c r="G136" s="29">
        <f>VLOOKUP(A136,Calendar!$A$1:$H$9997,6,FALSE)-F136</f>
        <v/>
      </c>
      <c r="H136" s="19" t="n">
        <v>1</v>
      </c>
      <c r="I136" s="57" t="n">
        <v>5</v>
      </c>
    </row>
    <row r="137">
      <c r="A137" s="62" t="n">
        <v>46248</v>
      </c>
      <c r="B137" s="3" t="inlineStr">
        <is>
          <t>Week</t>
        </is>
      </c>
      <c r="C137" s="19" t="n">
        <v>8</v>
      </c>
      <c r="D137" s="19" t="n">
        <v>2026</v>
      </c>
      <c r="E137" s="57" t="n">
        <v>1</v>
      </c>
      <c r="F137" s="29">
        <f>ROUND(((SUMIFS(Calendar!$F$2:$F$9997,Calendar!$B$2:$B$9997,D137,Calendar!$C$2:$C$9997,C137)*INDEX(ForeCalc!$B$37:$Y$274,MATCH(_xlfn.CONCAT(H137," ",I137),ForeCalc!$A$37:$A$274,0),MATCH(_xlfn.CONCAT(B137," ",E137),ForeCalc!$B$36:$Y$36,0))))*VLOOKUP(A137,Calendar!$A$2:$H$9997,8,FALSE),0)</f>
        <v/>
      </c>
      <c r="G137" s="29">
        <f>VLOOKUP(A137,Calendar!$A$1:$H$9997,6,FALSE)-F137</f>
        <v/>
      </c>
      <c r="H137" s="19" t="n">
        <v>1</v>
      </c>
      <c r="I137" s="57" t="n">
        <v>5</v>
      </c>
    </row>
    <row r="138">
      <c r="A138" s="62" t="n">
        <v>46249</v>
      </c>
      <c r="B138" s="3" t="inlineStr">
        <is>
          <t>Sat</t>
        </is>
      </c>
      <c r="C138" s="19" t="n">
        <v>8</v>
      </c>
      <c r="D138" s="19" t="n">
        <v>2026</v>
      </c>
      <c r="E138" s="57" t="n">
        <v>1</v>
      </c>
      <c r="F138" s="29">
        <f>ROUND(((SUMIFS(Calendar!$F$2:$F$9997,Calendar!$B$2:$B$9997,D138,Calendar!$C$2:$C$9997,C138)*INDEX(ForeCalc!$B$37:$Y$274,MATCH(_xlfn.CONCAT(H138," ",I138),ForeCalc!$A$37:$A$274,0),MATCH(_xlfn.CONCAT(B138," ",E138),ForeCalc!$B$36:$Y$36,0))))*VLOOKUP(A138,Calendar!$A$2:$H$9997,8,FALSE),0)</f>
        <v/>
      </c>
      <c r="G138" s="29">
        <f>VLOOKUP(A138,Calendar!$A$1:$H$9997,6,FALSE)-F138</f>
        <v/>
      </c>
      <c r="H138" s="19" t="n">
        <v>1</v>
      </c>
      <c r="I138" s="57" t="n">
        <v>5</v>
      </c>
    </row>
    <row r="139">
      <c r="A139" s="62" t="n">
        <v>46250</v>
      </c>
      <c r="B139" s="3" t="inlineStr">
        <is>
          <t>Sun</t>
        </is>
      </c>
      <c r="C139" s="19" t="n">
        <v>8</v>
      </c>
      <c r="D139" s="19" t="n">
        <v>2026</v>
      </c>
      <c r="E139" s="57" t="n">
        <v>1</v>
      </c>
      <c r="F139" s="29">
        <f>ROUND(((SUMIFS(Calendar!$F$2:$F$9997,Calendar!$B$2:$B$9997,D139,Calendar!$C$2:$C$9997,C139)*INDEX(ForeCalc!$B$37:$Y$274,MATCH(_xlfn.CONCAT(H139," ",I139),ForeCalc!$A$37:$A$274,0),MATCH(_xlfn.CONCAT(B139," ",E139),ForeCalc!$B$36:$Y$36,0))))*VLOOKUP(A139,Calendar!$A$2:$H$9997,8,FALSE),0)</f>
        <v/>
      </c>
      <c r="G139" s="29">
        <f>VLOOKUP(A139,Calendar!$A$1:$H$9997,6,FALSE)-F139</f>
        <v/>
      </c>
      <c r="H139" s="19" t="n">
        <v>1</v>
      </c>
      <c r="I139" s="57" t="n">
        <v>5</v>
      </c>
    </row>
    <row r="140">
      <c r="A140" s="62" t="n">
        <v>46251</v>
      </c>
      <c r="B140" s="3" t="inlineStr">
        <is>
          <t>Week</t>
        </is>
      </c>
      <c r="C140" s="19" t="n">
        <v>8</v>
      </c>
      <c r="D140" s="19" t="n">
        <v>2026</v>
      </c>
      <c r="E140" s="57" t="n">
        <v>1</v>
      </c>
      <c r="F140" s="29">
        <f>ROUND(((SUMIFS(Calendar!$F$2:$F$9997,Calendar!$B$2:$B$9997,D140,Calendar!$C$2:$C$9997,C140)*INDEX(ForeCalc!$B$37:$Y$274,MATCH(_xlfn.CONCAT(H140," ",I140),ForeCalc!$A$37:$A$274,0),MATCH(_xlfn.CONCAT(B140," ",E140),ForeCalc!$B$36:$Y$36,0))))*VLOOKUP(A140,Calendar!$A$2:$H$9997,8,FALSE),0)</f>
        <v/>
      </c>
      <c r="G140" s="29">
        <f>VLOOKUP(A140,Calendar!$A$1:$H$9997,6,FALSE)-F140</f>
        <v/>
      </c>
      <c r="H140" s="19" t="n">
        <v>1</v>
      </c>
      <c r="I140" s="57" t="n">
        <v>5</v>
      </c>
    </row>
    <row r="141">
      <c r="A141" s="62" t="n">
        <v>46252</v>
      </c>
      <c r="B141" s="3" t="inlineStr">
        <is>
          <t>Week</t>
        </is>
      </c>
      <c r="C141" s="19" t="n">
        <v>8</v>
      </c>
      <c r="D141" s="19" t="n">
        <v>2026</v>
      </c>
      <c r="E141" s="57" t="n">
        <v>1</v>
      </c>
      <c r="F141" s="29">
        <f>ROUND(((SUMIFS(Calendar!$F$2:$F$9997,Calendar!$B$2:$B$9997,D141,Calendar!$C$2:$C$9997,C141)*INDEX(ForeCalc!$B$37:$Y$274,MATCH(_xlfn.CONCAT(H141," ",I141),ForeCalc!$A$37:$A$274,0),MATCH(_xlfn.CONCAT(B141," ",E141),ForeCalc!$B$36:$Y$36,0))))*VLOOKUP(A141,Calendar!$A$2:$H$9997,8,FALSE),0)</f>
        <v/>
      </c>
      <c r="G141" s="29">
        <f>VLOOKUP(A141,Calendar!$A$1:$H$9997,6,FALSE)-F141</f>
        <v/>
      </c>
      <c r="H141" s="19" t="n">
        <v>1</v>
      </c>
      <c r="I141" s="57" t="n">
        <v>5</v>
      </c>
    </row>
    <row r="142">
      <c r="A142" s="62" t="n">
        <v>46253</v>
      </c>
      <c r="B142" s="3" t="inlineStr">
        <is>
          <t>Week</t>
        </is>
      </c>
      <c r="C142" s="19" t="n">
        <v>8</v>
      </c>
      <c r="D142" s="19" t="n">
        <v>2026</v>
      </c>
      <c r="E142" s="57" t="n">
        <v>1</v>
      </c>
      <c r="F142" s="29">
        <f>ROUND(((SUMIFS(Calendar!$F$2:$F$9997,Calendar!$B$2:$B$9997,D142,Calendar!$C$2:$C$9997,C142)*INDEX(ForeCalc!$B$37:$Y$274,MATCH(_xlfn.CONCAT(H142," ",I142),ForeCalc!$A$37:$A$274,0),MATCH(_xlfn.CONCAT(B142," ",E142),ForeCalc!$B$36:$Y$36,0))))*VLOOKUP(A142,Calendar!$A$2:$H$9997,8,FALSE),0)</f>
        <v/>
      </c>
      <c r="G142" s="29">
        <f>VLOOKUP(A142,Calendar!$A$1:$H$9997,6,FALSE)-F142</f>
        <v/>
      </c>
      <c r="H142" s="19" t="n">
        <v>1</v>
      </c>
      <c r="I142" s="57" t="n">
        <v>5</v>
      </c>
    </row>
    <row r="143">
      <c r="A143" s="62" t="n">
        <v>46254</v>
      </c>
      <c r="B143" s="3" t="inlineStr">
        <is>
          <t>Week</t>
        </is>
      </c>
      <c r="C143" s="19" t="n">
        <v>8</v>
      </c>
      <c r="D143" s="19" t="n">
        <v>2026</v>
      </c>
      <c r="E143" s="57" t="n">
        <v>1</v>
      </c>
      <c r="F143" s="29">
        <f>ROUND(((SUMIFS(Calendar!$F$2:$F$9997,Calendar!$B$2:$B$9997,D143,Calendar!$C$2:$C$9997,C143)*INDEX(ForeCalc!$B$37:$Y$274,MATCH(_xlfn.CONCAT(H143," ",I143),ForeCalc!$A$37:$A$274,0),MATCH(_xlfn.CONCAT(B143," ",E143),ForeCalc!$B$36:$Y$36,0))))*VLOOKUP(A143,Calendar!$A$2:$H$9997,8,FALSE),0)</f>
        <v/>
      </c>
      <c r="G143" s="29">
        <f>VLOOKUP(A143,Calendar!$A$1:$H$9997,6,FALSE)-F143</f>
        <v/>
      </c>
      <c r="H143" s="19" t="n">
        <v>1</v>
      </c>
      <c r="I143" s="57" t="n">
        <v>5</v>
      </c>
    </row>
    <row r="144">
      <c r="A144" s="62" t="n">
        <v>46255</v>
      </c>
      <c r="B144" s="3" t="inlineStr">
        <is>
          <t>Week</t>
        </is>
      </c>
      <c r="C144" s="19" t="n">
        <v>8</v>
      </c>
      <c r="D144" s="19" t="n">
        <v>2026</v>
      </c>
      <c r="E144" s="57" t="n">
        <v>1</v>
      </c>
      <c r="F144" s="29">
        <f>ROUND(((SUMIFS(Calendar!$F$2:$F$9997,Calendar!$B$2:$B$9997,D144,Calendar!$C$2:$C$9997,C144)*INDEX(ForeCalc!$B$37:$Y$274,MATCH(_xlfn.CONCAT(H144," ",I144),ForeCalc!$A$37:$A$274,0),MATCH(_xlfn.CONCAT(B144," ",E144),ForeCalc!$B$36:$Y$36,0))))*VLOOKUP(A144,Calendar!$A$2:$H$9997,8,FALSE),0)</f>
        <v/>
      </c>
      <c r="G144" s="29">
        <f>VLOOKUP(A144,Calendar!$A$1:$H$9997,6,FALSE)-F144</f>
        <v/>
      </c>
      <c r="H144" s="19" t="n">
        <v>1</v>
      </c>
      <c r="I144" s="57" t="n">
        <v>5</v>
      </c>
    </row>
    <row r="145">
      <c r="A145" s="62" t="n">
        <v>46256</v>
      </c>
      <c r="B145" s="3" t="inlineStr">
        <is>
          <t>Sat</t>
        </is>
      </c>
      <c r="C145" s="19" t="n">
        <v>8</v>
      </c>
      <c r="D145" s="19" t="n">
        <v>2026</v>
      </c>
      <c r="E145" s="57" t="n">
        <v>1</v>
      </c>
      <c r="F145" s="29">
        <f>ROUND(((SUMIFS(Calendar!$F$2:$F$9997,Calendar!$B$2:$B$9997,D145,Calendar!$C$2:$C$9997,C145)*INDEX(ForeCalc!$B$37:$Y$274,MATCH(_xlfn.CONCAT(H145," ",I145),ForeCalc!$A$37:$A$274,0),MATCH(_xlfn.CONCAT(B145," ",E145),ForeCalc!$B$36:$Y$36,0))))*VLOOKUP(A145,Calendar!$A$2:$H$9997,8,FALSE),0)</f>
        <v/>
      </c>
      <c r="G145" s="29">
        <f>VLOOKUP(A145,Calendar!$A$1:$H$9997,6,FALSE)-F145</f>
        <v/>
      </c>
      <c r="H145" s="19" t="n">
        <v>1</v>
      </c>
      <c r="I145" s="57" t="n">
        <v>5</v>
      </c>
    </row>
    <row r="146">
      <c r="A146" s="62" t="n">
        <v>46257</v>
      </c>
      <c r="B146" s="3" t="inlineStr">
        <is>
          <t>Sun</t>
        </is>
      </c>
      <c r="C146" s="19" t="n">
        <v>8</v>
      </c>
      <c r="D146" s="19" t="n">
        <v>2026</v>
      </c>
      <c r="E146" s="57" t="n">
        <v>1</v>
      </c>
      <c r="F146" s="29">
        <f>ROUND(((SUMIFS(Calendar!$F$2:$F$9997,Calendar!$B$2:$B$9997,D146,Calendar!$C$2:$C$9997,C146)*INDEX(ForeCalc!$B$37:$Y$274,MATCH(_xlfn.CONCAT(H146," ",I146),ForeCalc!$A$37:$A$274,0),MATCH(_xlfn.CONCAT(B146," ",E146),ForeCalc!$B$36:$Y$36,0))))*VLOOKUP(A146,Calendar!$A$2:$H$9997,8,FALSE),0)</f>
        <v/>
      </c>
      <c r="G146" s="29">
        <f>VLOOKUP(A146,Calendar!$A$1:$H$9997,6,FALSE)-F146</f>
        <v/>
      </c>
      <c r="H146" s="19" t="n">
        <v>1</v>
      </c>
      <c r="I146" s="57" t="n">
        <v>5</v>
      </c>
    </row>
    <row r="147">
      <c r="A147" s="62" t="n">
        <v>46258</v>
      </c>
      <c r="B147" s="3" t="inlineStr">
        <is>
          <t>Week</t>
        </is>
      </c>
      <c r="C147" s="19" t="n">
        <v>8</v>
      </c>
      <c r="D147" s="19" t="n">
        <v>2026</v>
      </c>
      <c r="E147" s="57" t="n">
        <v>1</v>
      </c>
      <c r="F147" s="29">
        <f>ROUND(((SUMIFS(Calendar!$F$2:$F$9997,Calendar!$B$2:$B$9997,D147,Calendar!$C$2:$C$9997,C147)*INDEX(ForeCalc!$B$37:$Y$274,MATCH(_xlfn.CONCAT(H147," ",I147),ForeCalc!$A$37:$A$274,0),MATCH(_xlfn.CONCAT(B147," ",E147),ForeCalc!$B$36:$Y$36,0))))*VLOOKUP(A147,Calendar!$A$2:$H$9997,8,FALSE),0)</f>
        <v/>
      </c>
      <c r="G147" s="29">
        <f>VLOOKUP(A147,Calendar!$A$1:$H$9997,6,FALSE)-F147</f>
        <v/>
      </c>
      <c r="H147" s="19" t="n">
        <v>1</v>
      </c>
      <c r="I147" s="57" t="n">
        <v>5</v>
      </c>
    </row>
    <row r="148">
      <c r="A148" s="62" t="n">
        <v>46259</v>
      </c>
      <c r="B148" s="3" t="inlineStr">
        <is>
          <t>Week</t>
        </is>
      </c>
      <c r="C148" s="19" t="n">
        <v>8</v>
      </c>
      <c r="D148" s="19" t="n">
        <v>2026</v>
      </c>
      <c r="E148" s="57" t="n">
        <v>1</v>
      </c>
      <c r="F148" s="29">
        <f>ROUND(((SUMIFS(Calendar!$F$2:$F$9997,Calendar!$B$2:$B$9997,D148,Calendar!$C$2:$C$9997,C148)*INDEX(ForeCalc!$B$37:$Y$274,MATCH(_xlfn.CONCAT(H148," ",I148),ForeCalc!$A$37:$A$274,0),MATCH(_xlfn.CONCAT(B148," ",E148),ForeCalc!$B$36:$Y$36,0))))*VLOOKUP(A148,Calendar!$A$2:$H$9997,8,FALSE),0)</f>
        <v/>
      </c>
      <c r="G148" s="29">
        <f>VLOOKUP(A148,Calendar!$A$1:$H$9997,6,FALSE)-F148</f>
        <v/>
      </c>
      <c r="H148" s="19" t="n">
        <v>1</v>
      </c>
      <c r="I148" s="57" t="n">
        <v>5</v>
      </c>
    </row>
    <row r="149">
      <c r="A149" s="62" t="n">
        <v>46260</v>
      </c>
      <c r="B149" s="3" t="inlineStr">
        <is>
          <t>Week</t>
        </is>
      </c>
      <c r="C149" s="19" t="n">
        <v>8</v>
      </c>
      <c r="D149" s="19" t="n">
        <v>2026</v>
      </c>
      <c r="E149" s="57" t="n">
        <v>1</v>
      </c>
      <c r="F149" s="29">
        <f>ROUND(((SUMIFS(Calendar!$F$2:$F$9997,Calendar!$B$2:$B$9997,D149,Calendar!$C$2:$C$9997,C149)*INDEX(ForeCalc!$B$37:$Y$274,MATCH(_xlfn.CONCAT(H149," ",I149),ForeCalc!$A$37:$A$274,0),MATCH(_xlfn.CONCAT(B149," ",E149),ForeCalc!$B$36:$Y$36,0))))*VLOOKUP(A149,Calendar!$A$2:$H$9997,8,FALSE),0)</f>
        <v/>
      </c>
      <c r="G149" s="29">
        <f>VLOOKUP(A149,Calendar!$A$1:$H$9997,6,FALSE)-F149</f>
        <v/>
      </c>
      <c r="H149" s="19" t="n">
        <v>1</v>
      </c>
      <c r="I149" s="57" t="n">
        <v>5</v>
      </c>
    </row>
    <row r="150">
      <c r="A150" s="62" t="n">
        <v>46261</v>
      </c>
      <c r="B150" s="3" t="inlineStr">
        <is>
          <t>Week</t>
        </is>
      </c>
      <c r="C150" s="19" t="n">
        <v>8</v>
      </c>
      <c r="D150" s="19" t="n">
        <v>2026</v>
      </c>
      <c r="E150" s="57" t="n">
        <v>1</v>
      </c>
      <c r="F150" s="29">
        <f>ROUND(((SUMIFS(Calendar!$F$2:$F$9997,Calendar!$B$2:$B$9997,D150,Calendar!$C$2:$C$9997,C150)*INDEX(ForeCalc!$B$37:$Y$274,MATCH(_xlfn.CONCAT(H150," ",I150),ForeCalc!$A$37:$A$274,0),MATCH(_xlfn.CONCAT(B150," ",E150),ForeCalc!$B$36:$Y$36,0))))*VLOOKUP(A150,Calendar!$A$2:$H$9997,8,FALSE),0)</f>
        <v/>
      </c>
      <c r="G150" s="29">
        <f>VLOOKUP(A150,Calendar!$A$1:$H$9997,6,FALSE)-F150</f>
        <v/>
      </c>
      <c r="H150" s="19" t="n">
        <v>1</v>
      </c>
      <c r="I150" s="57" t="n">
        <v>5</v>
      </c>
    </row>
    <row r="151">
      <c r="A151" s="62" t="n">
        <v>46262</v>
      </c>
      <c r="B151" s="3" t="inlineStr">
        <is>
          <t>Week</t>
        </is>
      </c>
      <c r="C151" s="19" t="n">
        <v>8</v>
      </c>
      <c r="D151" s="19" t="n">
        <v>2026</v>
      </c>
      <c r="E151" s="57" t="n">
        <v>1</v>
      </c>
      <c r="F151" s="29">
        <f>ROUND(((SUMIFS(Calendar!$F$2:$F$9997,Calendar!$B$2:$B$9997,D151,Calendar!$C$2:$C$9997,C151)*INDEX(ForeCalc!$B$37:$Y$274,MATCH(_xlfn.CONCAT(H151," ",I151),ForeCalc!$A$37:$A$274,0),MATCH(_xlfn.CONCAT(B151," ",E151),ForeCalc!$B$36:$Y$36,0))))*VLOOKUP(A151,Calendar!$A$2:$H$9997,8,FALSE),0)</f>
        <v/>
      </c>
      <c r="G151" s="29">
        <f>VLOOKUP(A151,Calendar!$A$1:$H$9997,6,FALSE)-F151</f>
        <v/>
      </c>
      <c r="H151" s="19" t="n">
        <v>1</v>
      </c>
      <c r="I151" s="57" t="n">
        <v>5</v>
      </c>
    </row>
    <row r="152">
      <c r="A152" s="62" t="n">
        <v>46263</v>
      </c>
      <c r="B152" s="3" t="inlineStr">
        <is>
          <t>Sat</t>
        </is>
      </c>
      <c r="C152" s="19" t="n">
        <v>8</v>
      </c>
      <c r="D152" s="19" t="n">
        <v>2026</v>
      </c>
      <c r="E152" s="57" t="n">
        <v>1</v>
      </c>
      <c r="F152" s="29">
        <f>ROUND(((SUMIFS(Calendar!$F$2:$F$9997,Calendar!$B$2:$B$9997,D152,Calendar!$C$2:$C$9997,C152)*INDEX(ForeCalc!$B$37:$Y$274,MATCH(_xlfn.CONCAT(H152," ",I152),ForeCalc!$A$37:$A$274,0),MATCH(_xlfn.CONCAT(B152," ",E152),ForeCalc!$B$36:$Y$36,0))))*VLOOKUP(A152,Calendar!$A$2:$H$9997,8,FALSE),0)</f>
        <v/>
      </c>
      <c r="G152" s="29">
        <f>VLOOKUP(A152,Calendar!$A$1:$H$9997,6,FALSE)-F152</f>
        <v/>
      </c>
      <c r="H152" s="19" t="n">
        <v>1</v>
      </c>
      <c r="I152" s="57" t="n">
        <v>5</v>
      </c>
    </row>
    <row r="153">
      <c r="A153" s="62" t="n">
        <v>46264</v>
      </c>
      <c r="B153" s="3" t="inlineStr">
        <is>
          <t>Sun</t>
        </is>
      </c>
      <c r="C153" s="19" t="n">
        <v>8</v>
      </c>
      <c r="D153" s="19" t="n">
        <v>2026</v>
      </c>
      <c r="E153" s="57" t="n">
        <v>1</v>
      </c>
      <c r="F153" s="29">
        <f>ROUND(((SUMIFS(Calendar!$F$2:$F$9997,Calendar!$B$2:$B$9997,D153,Calendar!$C$2:$C$9997,C153)*INDEX(ForeCalc!$B$37:$Y$274,MATCH(_xlfn.CONCAT(H153," ",I153),ForeCalc!$A$37:$A$274,0),MATCH(_xlfn.CONCAT(B153," ",E153),ForeCalc!$B$36:$Y$36,0))))*VLOOKUP(A153,Calendar!$A$2:$H$9997,8,FALSE),0)</f>
        <v/>
      </c>
      <c r="G153" s="29">
        <f>VLOOKUP(A153,Calendar!$A$1:$H$9997,6,FALSE)-F153</f>
        <v/>
      </c>
      <c r="H153" s="19" t="n">
        <v>1</v>
      </c>
      <c r="I153" s="57" t="n">
        <v>5</v>
      </c>
    </row>
    <row r="154">
      <c r="A154" s="62" t="n">
        <v>46265</v>
      </c>
      <c r="B154" s="3" t="inlineStr">
        <is>
          <t>Week</t>
        </is>
      </c>
      <c r="C154" s="19" t="n">
        <v>8</v>
      </c>
      <c r="D154" s="19" t="n">
        <v>2026</v>
      </c>
      <c r="E154" s="57" t="n">
        <v>1</v>
      </c>
      <c r="F154" s="29">
        <f>ROUND(((SUMIFS(Calendar!$F$2:$F$9997,Calendar!$B$2:$B$9997,D154,Calendar!$C$2:$C$9997,C154)*INDEX(ForeCalc!$B$37:$Y$274,MATCH(_xlfn.CONCAT(H154," ",I154),ForeCalc!$A$37:$A$274,0),MATCH(_xlfn.CONCAT(B154," ",E154),ForeCalc!$B$36:$Y$36,0))))*VLOOKUP(A154,Calendar!$A$2:$H$9997,8,FALSE),0)</f>
        <v/>
      </c>
      <c r="G154" s="29">
        <f>VLOOKUP(A154,Calendar!$A$1:$H$9997,6,FALSE)-F154</f>
        <v/>
      </c>
      <c r="H154" s="19" t="n">
        <v>1</v>
      </c>
      <c r="I154" s="57" t="n">
        <v>5</v>
      </c>
    </row>
    <row r="155">
      <c r="A155" s="62" t="n">
        <v>46266</v>
      </c>
      <c r="B155" s="3" t="inlineStr">
        <is>
          <t>Week</t>
        </is>
      </c>
      <c r="C155" s="19" t="n">
        <v>9</v>
      </c>
      <c r="D155" s="19" t="n">
        <v>2026</v>
      </c>
      <c r="E155" s="57" t="n">
        <v>1</v>
      </c>
      <c r="F155" s="29">
        <f>ROUND(((SUMIFS(Calendar!$F$2:$F$9997,Calendar!$B$2:$B$9997,D155,Calendar!$C$2:$C$9997,C155)*INDEX(ForeCalc!$B$37:$Y$274,MATCH(_xlfn.CONCAT(H155," ",I155),ForeCalc!$A$37:$A$274,0),MATCH(_xlfn.CONCAT(B155," ",E155),ForeCalc!$B$36:$Y$36,0))))*VLOOKUP(A155,Calendar!$A$2:$H$9997,8,FALSE),0)</f>
        <v/>
      </c>
      <c r="G155" s="29">
        <f>VLOOKUP(A155,Calendar!$A$1:$H$9997,6,FALSE)-F155</f>
        <v/>
      </c>
      <c r="H155" s="19" t="n">
        <v>1</v>
      </c>
      <c r="I155" s="57" t="n">
        <v>6</v>
      </c>
    </row>
    <row r="156">
      <c r="A156" s="62" t="n">
        <v>46267</v>
      </c>
      <c r="B156" s="3" t="inlineStr">
        <is>
          <t>Week</t>
        </is>
      </c>
      <c r="C156" s="19" t="n">
        <v>9</v>
      </c>
      <c r="D156" s="19" t="n">
        <v>2026</v>
      </c>
      <c r="E156" s="57" t="n">
        <v>1</v>
      </c>
      <c r="F156" s="29">
        <f>ROUND(((SUMIFS(Calendar!$F$2:$F$9997,Calendar!$B$2:$B$9997,D156,Calendar!$C$2:$C$9997,C156)*INDEX(ForeCalc!$B$37:$Y$274,MATCH(_xlfn.CONCAT(H156," ",I156),ForeCalc!$A$37:$A$274,0),MATCH(_xlfn.CONCAT(B156," ",E156),ForeCalc!$B$36:$Y$36,0))))*VLOOKUP(A156,Calendar!$A$2:$H$9997,8,FALSE),0)</f>
        <v/>
      </c>
      <c r="G156" s="29">
        <f>VLOOKUP(A156,Calendar!$A$1:$H$9997,6,FALSE)-F156</f>
        <v/>
      </c>
      <c r="H156" s="19" t="n">
        <v>1</v>
      </c>
      <c r="I156" s="57" t="n">
        <v>6</v>
      </c>
    </row>
    <row r="157">
      <c r="A157" s="62" t="n">
        <v>46268</v>
      </c>
      <c r="B157" s="3" t="inlineStr">
        <is>
          <t>Week</t>
        </is>
      </c>
      <c r="C157" s="19" t="n">
        <v>9</v>
      </c>
      <c r="D157" s="19" t="n">
        <v>2026</v>
      </c>
      <c r="E157" s="57" t="n">
        <v>1</v>
      </c>
      <c r="F157" s="29">
        <f>ROUND(((SUMIFS(Calendar!$F$2:$F$9997,Calendar!$B$2:$B$9997,D157,Calendar!$C$2:$C$9997,C157)*INDEX(ForeCalc!$B$37:$Y$274,MATCH(_xlfn.CONCAT(H157," ",I157),ForeCalc!$A$37:$A$274,0),MATCH(_xlfn.CONCAT(B157," ",E157),ForeCalc!$B$36:$Y$36,0))))*VLOOKUP(A157,Calendar!$A$2:$H$9997,8,FALSE),0)</f>
        <v/>
      </c>
      <c r="G157" s="29">
        <f>VLOOKUP(A157,Calendar!$A$1:$H$9997,6,FALSE)-F157</f>
        <v/>
      </c>
      <c r="H157" s="19" t="n">
        <v>1</v>
      </c>
      <c r="I157" s="57" t="n">
        <v>6</v>
      </c>
    </row>
    <row r="158">
      <c r="A158" s="62" t="n">
        <v>46269</v>
      </c>
      <c r="B158" s="3" t="inlineStr">
        <is>
          <t>Week</t>
        </is>
      </c>
      <c r="C158" s="19" t="n">
        <v>9</v>
      </c>
      <c r="D158" s="19" t="n">
        <v>2026</v>
      </c>
      <c r="E158" s="57" t="n">
        <v>1</v>
      </c>
      <c r="F158" s="29">
        <f>ROUND(((SUMIFS(Calendar!$F$2:$F$9997,Calendar!$B$2:$B$9997,D158,Calendar!$C$2:$C$9997,C158)*INDEX(ForeCalc!$B$37:$Y$274,MATCH(_xlfn.CONCAT(H158," ",I158),ForeCalc!$A$37:$A$274,0),MATCH(_xlfn.CONCAT(B158," ",E158),ForeCalc!$B$36:$Y$36,0))))*VLOOKUP(A158,Calendar!$A$2:$H$9997,8,FALSE),0)</f>
        <v/>
      </c>
      <c r="G158" s="29">
        <f>VLOOKUP(A158,Calendar!$A$1:$H$9997,6,FALSE)-F158</f>
        <v/>
      </c>
      <c r="H158" s="19" t="n">
        <v>1</v>
      </c>
      <c r="I158" s="57" t="n">
        <v>6</v>
      </c>
    </row>
    <row r="159">
      <c r="A159" s="62" t="n">
        <v>46270</v>
      </c>
      <c r="B159" s="3" t="inlineStr">
        <is>
          <t>Sat</t>
        </is>
      </c>
      <c r="C159" s="19" t="n">
        <v>9</v>
      </c>
      <c r="D159" s="19" t="n">
        <v>2026</v>
      </c>
      <c r="E159" s="57" t="n">
        <v>1</v>
      </c>
      <c r="F159" s="29">
        <f>ROUND(((SUMIFS(Calendar!$F$2:$F$9997,Calendar!$B$2:$B$9997,D159,Calendar!$C$2:$C$9997,C159)*INDEX(ForeCalc!$B$37:$Y$274,MATCH(_xlfn.CONCAT(H159," ",I159),ForeCalc!$A$37:$A$274,0),MATCH(_xlfn.CONCAT(B159," ",E159),ForeCalc!$B$36:$Y$36,0))))*VLOOKUP(A159,Calendar!$A$2:$H$9997,8,FALSE),0)</f>
        <v/>
      </c>
      <c r="G159" s="29">
        <f>VLOOKUP(A159,Calendar!$A$1:$H$9997,6,FALSE)-F159</f>
        <v/>
      </c>
      <c r="H159" s="19" t="n">
        <v>1</v>
      </c>
      <c r="I159" s="57" t="n">
        <v>6</v>
      </c>
    </row>
    <row r="160">
      <c r="A160" s="62" t="n">
        <v>46271</v>
      </c>
      <c r="B160" s="3" t="inlineStr">
        <is>
          <t>Sun</t>
        </is>
      </c>
      <c r="C160" s="19" t="n">
        <v>9</v>
      </c>
      <c r="D160" s="19" t="n">
        <v>2026</v>
      </c>
      <c r="E160" s="57" t="n">
        <v>1</v>
      </c>
      <c r="F160" s="29">
        <f>ROUND(((SUMIFS(Calendar!$F$2:$F$9997,Calendar!$B$2:$B$9997,D160,Calendar!$C$2:$C$9997,C160)*INDEX(ForeCalc!$B$37:$Y$274,MATCH(_xlfn.CONCAT(H160," ",I160),ForeCalc!$A$37:$A$274,0),MATCH(_xlfn.CONCAT(B160," ",E160),ForeCalc!$B$36:$Y$36,0))))*VLOOKUP(A160,Calendar!$A$2:$H$9997,8,FALSE),0)</f>
        <v/>
      </c>
      <c r="G160" s="29">
        <f>VLOOKUP(A160,Calendar!$A$1:$H$9997,6,FALSE)-F160</f>
        <v/>
      </c>
      <c r="H160" s="19" t="n">
        <v>1</v>
      </c>
      <c r="I160" s="57" t="n">
        <v>6</v>
      </c>
    </row>
    <row r="161">
      <c r="A161" s="62" t="n">
        <v>46272</v>
      </c>
      <c r="B161" s="3" t="inlineStr">
        <is>
          <t>Week</t>
        </is>
      </c>
      <c r="C161" s="19" t="n">
        <v>9</v>
      </c>
      <c r="D161" s="19" t="n">
        <v>2026</v>
      </c>
      <c r="E161" s="57" t="n">
        <v>1</v>
      </c>
      <c r="F161" s="29">
        <f>ROUND(((SUMIFS(Calendar!$F$2:$F$9997,Calendar!$B$2:$B$9997,D161,Calendar!$C$2:$C$9997,C161)*INDEX(ForeCalc!$B$37:$Y$274,MATCH(_xlfn.CONCAT(H161," ",I161),ForeCalc!$A$37:$A$274,0),MATCH(_xlfn.CONCAT(B161," ",E161),ForeCalc!$B$36:$Y$36,0))))*VLOOKUP(A161,Calendar!$A$2:$H$9997,8,FALSE),0)</f>
        <v/>
      </c>
      <c r="G161" s="29">
        <f>VLOOKUP(A161,Calendar!$A$1:$H$9997,6,FALSE)-F161</f>
        <v/>
      </c>
      <c r="H161" s="19" t="n">
        <v>1</v>
      </c>
      <c r="I161" s="57" t="n">
        <v>6</v>
      </c>
    </row>
    <row r="162">
      <c r="A162" s="62" t="n">
        <v>46273</v>
      </c>
      <c r="B162" s="3" t="inlineStr">
        <is>
          <t>Week</t>
        </is>
      </c>
      <c r="C162" s="19" t="n">
        <v>9</v>
      </c>
      <c r="D162" s="19" t="n">
        <v>2026</v>
      </c>
      <c r="E162" s="57" t="n">
        <v>1</v>
      </c>
      <c r="F162" s="29">
        <f>ROUND(((SUMIFS(Calendar!$F$2:$F$9997,Calendar!$B$2:$B$9997,D162,Calendar!$C$2:$C$9997,C162)*INDEX(ForeCalc!$B$37:$Y$274,MATCH(_xlfn.CONCAT(H162," ",I162),ForeCalc!$A$37:$A$274,0),MATCH(_xlfn.CONCAT(B162," ",E162),ForeCalc!$B$36:$Y$36,0))))*VLOOKUP(A162,Calendar!$A$2:$H$9997,8,FALSE),0)</f>
        <v/>
      </c>
      <c r="G162" s="29">
        <f>VLOOKUP(A162,Calendar!$A$1:$H$9997,6,FALSE)-F162</f>
        <v/>
      </c>
      <c r="H162" s="19" t="n">
        <v>1</v>
      </c>
      <c r="I162" s="57" t="n">
        <v>6</v>
      </c>
    </row>
    <row r="163">
      <c r="A163" s="62" t="n">
        <v>46274</v>
      </c>
      <c r="B163" s="3" t="inlineStr">
        <is>
          <t>Week</t>
        </is>
      </c>
      <c r="C163" s="19" t="n">
        <v>9</v>
      </c>
      <c r="D163" s="19" t="n">
        <v>2026</v>
      </c>
      <c r="E163" s="57" t="n">
        <v>1</v>
      </c>
      <c r="F163" s="29">
        <f>ROUND(((SUMIFS(Calendar!$F$2:$F$9997,Calendar!$B$2:$B$9997,D163,Calendar!$C$2:$C$9997,C163)*INDEX(ForeCalc!$B$37:$Y$274,MATCH(_xlfn.CONCAT(H163," ",I163),ForeCalc!$A$37:$A$274,0),MATCH(_xlfn.CONCAT(B163," ",E163),ForeCalc!$B$36:$Y$36,0))))*VLOOKUP(A163,Calendar!$A$2:$H$9997,8,FALSE),0)</f>
        <v/>
      </c>
      <c r="G163" s="29">
        <f>VLOOKUP(A163,Calendar!$A$1:$H$9997,6,FALSE)-F163</f>
        <v/>
      </c>
      <c r="H163" s="19" t="n">
        <v>1</v>
      </c>
      <c r="I163" s="57" t="n">
        <v>6</v>
      </c>
    </row>
    <row r="164">
      <c r="A164" s="62" t="n">
        <v>46275</v>
      </c>
      <c r="B164" s="3" t="inlineStr">
        <is>
          <t>Week</t>
        </is>
      </c>
      <c r="C164" s="19" t="n">
        <v>9</v>
      </c>
      <c r="D164" s="19" t="n">
        <v>2026</v>
      </c>
      <c r="E164" s="57" t="n">
        <v>1</v>
      </c>
      <c r="F164" s="29">
        <f>ROUND(((SUMIFS(Calendar!$F$2:$F$9997,Calendar!$B$2:$B$9997,D164,Calendar!$C$2:$C$9997,C164)*INDEX(ForeCalc!$B$37:$Y$274,MATCH(_xlfn.CONCAT(H164," ",I164),ForeCalc!$A$37:$A$274,0),MATCH(_xlfn.CONCAT(B164," ",E164),ForeCalc!$B$36:$Y$36,0))))*VLOOKUP(A164,Calendar!$A$2:$H$9997,8,FALSE),0)</f>
        <v/>
      </c>
      <c r="G164" s="29">
        <f>VLOOKUP(A164,Calendar!$A$1:$H$9997,6,FALSE)-F164</f>
        <v/>
      </c>
      <c r="H164" s="19" t="n">
        <v>1</v>
      </c>
      <c r="I164" s="57" t="n">
        <v>6</v>
      </c>
    </row>
    <row r="165">
      <c r="A165" s="62" t="n">
        <v>46276</v>
      </c>
      <c r="B165" s="3" t="inlineStr">
        <is>
          <t>Week</t>
        </is>
      </c>
      <c r="C165" s="19" t="n">
        <v>9</v>
      </c>
      <c r="D165" s="19" t="n">
        <v>2026</v>
      </c>
      <c r="E165" s="57" t="n">
        <v>1</v>
      </c>
      <c r="F165" s="29">
        <f>ROUND(((SUMIFS(Calendar!$F$2:$F$9997,Calendar!$B$2:$B$9997,D165,Calendar!$C$2:$C$9997,C165)*INDEX(ForeCalc!$B$37:$Y$274,MATCH(_xlfn.CONCAT(H165," ",I165),ForeCalc!$A$37:$A$274,0),MATCH(_xlfn.CONCAT(B165," ",E165),ForeCalc!$B$36:$Y$36,0))))*VLOOKUP(A165,Calendar!$A$2:$H$9997,8,FALSE),0)</f>
        <v/>
      </c>
      <c r="G165" s="29">
        <f>VLOOKUP(A165,Calendar!$A$1:$H$9997,6,FALSE)-F165</f>
        <v/>
      </c>
      <c r="H165" s="19" t="n">
        <v>1</v>
      </c>
      <c r="I165" s="57" t="n">
        <v>6</v>
      </c>
    </row>
    <row r="166">
      <c r="A166" s="62" t="n">
        <v>46277</v>
      </c>
      <c r="B166" s="3" t="inlineStr">
        <is>
          <t>Sat</t>
        </is>
      </c>
      <c r="C166" s="19" t="n">
        <v>9</v>
      </c>
      <c r="D166" s="19" t="n">
        <v>2026</v>
      </c>
      <c r="E166" s="57" t="n">
        <v>1</v>
      </c>
      <c r="F166" s="29">
        <f>ROUND(((SUMIFS(Calendar!$F$2:$F$9997,Calendar!$B$2:$B$9997,D166,Calendar!$C$2:$C$9997,C166)*INDEX(ForeCalc!$B$37:$Y$274,MATCH(_xlfn.CONCAT(H166," ",I166),ForeCalc!$A$37:$A$274,0),MATCH(_xlfn.CONCAT(B166," ",E166),ForeCalc!$B$36:$Y$36,0))))*VLOOKUP(A166,Calendar!$A$2:$H$9997,8,FALSE),0)</f>
        <v/>
      </c>
      <c r="G166" s="29">
        <f>VLOOKUP(A166,Calendar!$A$1:$H$9997,6,FALSE)-F166</f>
        <v/>
      </c>
      <c r="H166" s="19" t="n">
        <v>1</v>
      </c>
      <c r="I166" s="57" t="n">
        <v>6</v>
      </c>
    </row>
    <row r="167">
      <c r="A167" s="62" t="n">
        <v>46278</v>
      </c>
      <c r="B167" s="3" t="inlineStr">
        <is>
          <t>Sun</t>
        </is>
      </c>
      <c r="C167" s="19" t="n">
        <v>9</v>
      </c>
      <c r="D167" s="19" t="n">
        <v>2026</v>
      </c>
      <c r="E167" s="57" t="n">
        <v>1</v>
      </c>
      <c r="F167" s="29">
        <f>ROUND(((SUMIFS(Calendar!$F$2:$F$9997,Calendar!$B$2:$B$9997,D167,Calendar!$C$2:$C$9997,C167)*INDEX(ForeCalc!$B$37:$Y$274,MATCH(_xlfn.CONCAT(H167," ",I167),ForeCalc!$A$37:$A$274,0),MATCH(_xlfn.CONCAT(B167," ",E167),ForeCalc!$B$36:$Y$36,0))))*VLOOKUP(A167,Calendar!$A$2:$H$9997,8,FALSE),0)</f>
        <v/>
      </c>
      <c r="G167" s="29">
        <f>VLOOKUP(A167,Calendar!$A$1:$H$9997,6,FALSE)-F167</f>
        <v/>
      </c>
      <c r="H167" s="19" t="n">
        <v>1</v>
      </c>
      <c r="I167" s="57" t="n">
        <v>6</v>
      </c>
    </row>
    <row r="168">
      <c r="A168" s="62" t="n">
        <v>46279</v>
      </c>
      <c r="B168" s="3" t="inlineStr">
        <is>
          <t>Week</t>
        </is>
      </c>
      <c r="C168" s="19" t="n">
        <v>9</v>
      </c>
      <c r="D168" s="19" t="n">
        <v>2026</v>
      </c>
      <c r="E168" s="57" t="n">
        <v>1</v>
      </c>
      <c r="F168" s="29">
        <f>ROUND(((SUMIFS(Calendar!$F$2:$F$9997,Calendar!$B$2:$B$9997,D168,Calendar!$C$2:$C$9997,C168)*INDEX(ForeCalc!$B$37:$Y$274,MATCH(_xlfn.CONCAT(H168," ",I168),ForeCalc!$A$37:$A$274,0),MATCH(_xlfn.CONCAT(B168," ",E168),ForeCalc!$B$36:$Y$36,0))))*VLOOKUP(A168,Calendar!$A$2:$H$9997,8,FALSE),0)</f>
        <v/>
      </c>
      <c r="G168" s="29">
        <f>VLOOKUP(A168,Calendar!$A$1:$H$9997,6,FALSE)-F168</f>
        <v/>
      </c>
      <c r="H168" s="19" t="n">
        <v>1</v>
      </c>
      <c r="I168" s="57" t="n">
        <v>6</v>
      </c>
    </row>
    <row r="169">
      <c r="A169" s="62" t="n">
        <v>46280</v>
      </c>
      <c r="B169" s="3" t="inlineStr">
        <is>
          <t>Week</t>
        </is>
      </c>
      <c r="C169" s="19" t="n">
        <v>9</v>
      </c>
      <c r="D169" s="19" t="n">
        <v>2026</v>
      </c>
      <c r="E169" s="57" t="n">
        <v>1</v>
      </c>
      <c r="F169" s="29">
        <f>ROUND(((SUMIFS(Calendar!$F$2:$F$9997,Calendar!$B$2:$B$9997,D169,Calendar!$C$2:$C$9997,C169)*INDEX(ForeCalc!$B$37:$Y$274,MATCH(_xlfn.CONCAT(H169," ",I169),ForeCalc!$A$37:$A$274,0),MATCH(_xlfn.CONCAT(B169," ",E169),ForeCalc!$B$36:$Y$36,0))))*VLOOKUP(A169,Calendar!$A$2:$H$9997,8,FALSE),0)</f>
        <v/>
      </c>
      <c r="G169" s="29">
        <f>VLOOKUP(A169,Calendar!$A$1:$H$9997,6,FALSE)-F169</f>
        <v/>
      </c>
      <c r="H169" s="19" t="n">
        <v>1</v>
      </c>
      <c r="I169" s="57" t="n">
        <v>6</v>
      </c>
    </row>
    <row r="170">
      <c r="A170" s="62" t="n">
        <v>46281</v>
      </c>
      <c r="B170" s="3" t="inlineStr">
        <is>
          <t>Week</t>
        </is>
      </c>
      <c r="C170" s="19" t="n">
        <v>9</v>
      </c>
      <c r="D170" s="19" t="n">
        <v>2026</v>
      </c>
      <c r="E170" s="57" t="n">
        <v>1</v>
      </c>
      <c r="F170" s="29">
        <f>ROUND(((SUMIFS(Calendar!$F$2:$F$9997,Calendar!$B$2:$B$9997,D170,Calendar!$C$2:$C$9997,C170)*INDEX(ForeCalc!$B$37:$Y$274,MATCH(_xlfn.CONCAT(H170," ",I170),ForeCalc!$A$37:$A$274,0),MATCH(_xlfn.CONCAT(B170," ",E170),ForeCalc!$B$36:$Y$36,0))))*VLOOKUP(A170,Calendar!$A$2:$H$9997,8,FALSE),0)</f>
        <v/>
      </c>
      <c r="G170" s="29">
        <f>VLOOKUP(A170,Calendar!$A$1:$H$9997,6,FALSE)-F170</f>
        <v/>
      </c>
      <c r="H170" s="19" t="n">
        <v>1</v>
      </c>
      <c r="I170" s="57" t="n">
        <v>6</v>
      </c>
    </row>
    <row r="171">
      <c r="A171" s="62" t="n">
        <v>46282</v>
      </c>
      <c r="B171" s="3" t="inlineStr">
        <is>
          <t>Week</t>
        </is>
      </c>
      <c r="C171" s="19" t="n">
        <v>9</v>
      </c>
      <c r="D171" s="19" t="n">
        <v>2026</v>
      </c>
      <c r="E171" s="57" t="n">
        <v>1</v>
      </c>
      <c r="F171" s="29">
        <f>ROUND(((SUMIFS(Calendar!$F$2:$F$9997,Calendar!$B$2:$B$9997,D171,Calendar!$C$2:$C$9997,C171)*INDEX(ForeCalc!$B$37:$Y$274,MATCH(_xlfn.CONCAT(H171," ",I171),ForeCalc!$A$37:$A$274,0),MATCH(_xlfn.CONCAT(B171," ",E171),ForeCalc!$B$36:$Y$36,0))))*VLOOKUP(A171,Calendar!$A$2:$H$9997,8,FALSE),0)</f>
        <v/>
      </c>
      <c r="G171" s="29">
        <f>VLOOKUP(A171,Calendar!$A$1:$H$9997,6,FALSE)-F171</f>
        <v/>
      </c>
      <c r="H171" s="19" t="n">
        <v>1</v>
      </c>
      <c r="I171" s="57" t="n">
        <v>6</v>
      </c>
    </row>
    <row r="172">
      <c r="A172" s="62" t="n">
        <v>46283</v>
      </c>
      <c r="B172" s="3" t="inlineStr">
        <is>
          <t>Week</t>
        </is>
      </c>
      <c r="C172" s="19" t="n">
        <v>9</v>
      </c>
      <c r="D172" s="19" t="n">
        <v>2026</v>
      </c>
      <c r="E172" s="57" t="n">
        <v>1</v>
      </c>
      <c r="F172" s="29">
        <f>ROUND(((SUMIFS(Calendar!$F$2:$F$9997,Calendar!$B$2:$B$9997,D172,Calendar!$C$2:$C$9997,C172)*INDEX(ForeCalc!$B$37:$Y$274,MATCH(_xlfn.CONCAT(H172," ",I172),ForeCalc!$A$37:$A$274,0),MATCH(_xlfn.CONCAT(B172," ",E172),ForeCalc!$B$36:$Y$36,0))))*VLOOKUP(A172,Calendar!$A$2:$H$9997,8,FALSE),0)</f>
        <v/>
      </c>
      <c r="G172" s="29">
        <f>VLOOKUP(A172,Calendar!$A$1:$H$9997,6,FALSE)-F172</f>
        <v/>
      </c>
      <c r="H172" s="19" t="n">
        <v>1</v>
      </c>
      <c r="I172" s="57" t="n">
        <v>6</v>
      </c>
    </row>
    <row r="173">
      <c r="A173" s="62" t="n">
        <v>46284</v>
      </c>
      <c r="B173" s="3" t="inlineStr">
        <is>
          <t>Sat</t>
        </is>
      </c>
      <c r="C173" s="19" t="n">
        <v>9</v>
      </c>
      <c r="D173" s="19" t="n">
        <v>2026</v>
      </c>
      <c r="E173" s="57" t="n">
        <v>1</v>
      </c>
      <c r="F173" s="29">
        <f>ROUND(((SUMIFS(Calendar!$F$2:$F$9997,Calendar!$B$2:$B$9997,D173,Calendar!$C$2:$C$9997,C173)*INDEX(ForeCalc!$B$37:$Y$274,MATCH(_xlfn.CONCAT(H173," ",I173),ForeCalc!$A$37:$A$274,0),MATCH(_xlfn.CONCAT(B173," ",E173),ForeCalc!$B$36:$Y$36,0))))*VLOOKUP(A173,Calendar!$A$2:$H$9997,8,FALSE),0)</f>
        <v/>
      </c>
      <c r="G173" s="29">
        <f>VLOOKUP(A173,Calendar!$A$1:$H$9997,6,FALSE)-F173</f>
        <v/>
      </c>
      <c r="H173" s="19" t="n">
        <v>1</v>
      </c>
      <c r="I173" s="57" t="n">
        <v>6</v>
      </c>
    </row>
    <row r="174">
      <c r="A174" s="62" t="n">
        <v>46285</v>
      </c>
      <c r="B174" s="3" t="inlineStr">
        <is>
          <t>Sun</t>
        </is>
      </c>
      <c r="C174" s="19" t="n">
        <v>9</v>
      </c>
      <c r="D174" s="19" t="n">
        <v>2026</v>
      </c>
      <c r="E174" s="57" t="n">
        <v>1</v>
      </c>
      <c r="F174" s="29">
        <f>ROUND(((SUMIFS(Calendar!$F$2:$F$9997,Calendar!$B$2:$B$9997,D174,Calendar!$C$2:$C$9997,C174)*INDEX(ForeCalc!$B$37:$Y$274,MATCH(_xlfn.CONCAT(H174," ",I174),ForeCalc!$A$37:$A$274,0),MATCH(_xlfn.CONCAT(B174," ",E174),ForeCalc!$B$36:$Y$36,0))))*VLOOKUP(A174,Calendar!$A$2:$H$9997,8,FALSE),0)</f>
        <v/>
      </c>
      <c r="G174" s="29">
        <f>VLOOKUP(A174,Calendar!$A$1:$H$9997,6,FALSE)-F174</f>
        <v/>
      </c>
      <c r="H174" s="19" t="n">
        <v>1</v>
      </c>
      <c r="I174" s="57" t="n">
        <v>6</v>
      </c>
    </row>
    <row r="175">
      <c r="A175" s="62" t="n">
        <v>46286</v>
      </c>
      <c r="B175" s="3" t="inlineStr">
        <is>
          <t>Week</t>
        </is>
      </c>
      <c r="C175" s="19" t="n">
        <v>9</v>
      </c>
      <c r="D175" s="19" t="n">
        <v>2026</v>
      </c>
      <c r="E175" s="57" t="n">
        <v>1</v>
      </c>
      <c r="F175" s="29">
        <f>ROUND(((SUMIFS(Calendar!$F$2:$F$9997,Calendar!$B$2:$B$9997,D175,Calendar!$C$2:$C$9997,C175)*INDEX(ForeCalc!$B$37:$Y$274,MATCH(_xlfn.CONCAT(H175," ",I175),ForeCalc!$A$37:$A$274,0),MATCH(_xlfn.CONCAT(B175," ",E175),ForeCalc!$B$36:$Y$36,0))))*VLOOKUP(A175,Calendar!$A$2:$H$9997,8,FALSE),0)</f>
        <v/>
      </c>
      <c r="G175" s="29">
        <f>VLOOKUP(A175,Calendar!$A$1:$H$9997,6,FALSE)-F175</f>
        <v/>
      </c>
      <c r="H175" s="19" t="n">
        <v>1</v>
      </c>
      <c r="I175" s="57" t="n">
        <v>6</v>
      </c>
    </row>
    <row r="176">
      <c r="A176" s="62" t="n">
        <v>46287</v>
      </c>
      <c r="B176" s="3" t="inlineStr">
        <is>
          <t>Week</t>
        </is>
      </c>
      <c r="C176" s="19" t="n">
        <v>9</v>
      </c>
      <c r="D176" s="19" t="n">
        <v>2026</v>
      </c>
      <c r="E176" s="57" t="n">
        <v>1</v>
      </c>
      <c r="F176" s="29">
        <f>ROUND(((SUMIFS(Calendar!$F$2:$F$9997,Calendar!$B$2:$B$9997,D176,Calendar!$C$2:$C$9997,C176)*INDEX(ForeCalc!$B$37:$Y$274,MATCH(_xlfn.CONCAT(H176," ",I176),ForeCalc!$A$37:$A$274,0),MATCH(_xlfn.CONCAT(B176," ",E176),ForeCalc!$B$36:$Y$36,0))))*VLOOKUP(A176,Calendar!$A$2:$H$9997,8,FALSE),0)</f>
        <v/>
      </c>
      <c r="G176" s="29">
        <f>VLOOKUP(A176,Calendar!$A$1:$H$9997,6,FALSE)-F176</f>
        <v/>
      </c>
      <c r="H176" s="19" t="n">
        <v>1</v>
      </c>
      <c r="I176" s="57" t="n">
        <v>6</v>
      </c>
    </row>
    <row r="177">
      <c r="A177" s="62" t="n">
        <v>46288</v>
      </c>
      <c r="B177" s="3" t="inlineStr">
        <is>
          <t>Week</t>
        </is>
      </c>
      <c r="C177" s="19" t="n">
        <v>9</v>
      </c>
      <c r="D177" s="19" t="n">
        <v>2026</v>
      </c>
      <c r="E177" s="57" t="n">
        <v>1</v>
      </c>
      <c r="F177" s="29">
        <f>ROUND(((SUMIFS(Calendar!$F$2:$F$9997,Calendar!$B$2:$B$9997,D177,Calendar!$C$2:$C$9997,C177)*INDEX(ForeCalc!$B$37:$Y$274,MATCH(_xlfn.CONCAT(H177," ",I177),ForeCalc!$A$37:$A$274,0),MATCH(_xlfn.CONCAT(B177," ",E177),ForeCalc!$B$36:$Y$36,0))))*VLOOKUP(A177,Calendar!$A$2:$H$9997,8,FALSE),0)</f>
        <v/>
      </c>
      <c r="G177" s="29">
        <f>VLOOKUP(A177,Calendar!$A$1:$H$9997,6,FALSE)-F177</f>
        <v/>
      </c>
      <c r="H177" s="19" t="n">
        <v>1</v>
      </c>
      <c r="I177" s="57" t="n">
        <v>6</v>
      </c>
    </row>
    <row r="178">
      <c r="A178" s="62" t="n">
        <v>46289</v>
      </c>
      <c r="B178" s="3" t="inlineStr">
        <is>
          <t>Week</t>
        </is>
      </c>
      <c r="C178" s="19" t="n">
        <v>9</v>
      </c>
      <c r="D178" s="19" t="n">
        <v>2026</v>
      </c>
      <c r="E178" s="57" t="n">
        <v>1</v>
      </c>
      <c r="F178" s="29">
        <f>ROUND(((SUMIFS(Calendar!$F$2:$F$9997,Calendar!$B$2:$B$9997,D178,Calendar!$C$2:$C$9997,C178)*INDEX(ForeCalc!$B$37:$Y$274,MATCH(_xlfn.CONCAT(H178," ",I178),ForeCalc!$A$37:$A$274,0),MATCH(_xlfn.CONCAT(B178," ",E178),ForeCalc!$B$36:$Y$36,0))))*VLOOKUP(A178,Calendar!$A$2:$H$9997,8,FALSE),0)</f>
        <v/>
      </c>
      <c r="G178" s="29">
        <f>VLOOKUP(A178,Calendar!$A$1:$H$9997,6,FALSE)-F178</f>
        <v/>
      </c>
      <c r="H178" s="19" t="n">
        <v>1</v>
      </c>
      <c r="I178" s="57" t="n">
        <v>6</v>
      </c>
    </row>
    <row r="179">
      <c r="A179" s="62" t="n">
        <v>46290</v>
      </c>
      <c r="B179" s="3" t="inlineStr">
        <is>
          <t>Week</t>
        </is>
      </c>
      <c r="C179" s="19" t="n">
        <v>9</v>
      </c>
      <c r="D179" s="19" t="n">
        <v>2026</v>
      </c>
      <c r="E179" s="57" t="n">
        <v>1</v>
      </c>
      <c r="F179" s="29">
        <f>ROUND(((SUMIFS(Calendar!$F$2:$F$9997,Calendar!$B$2:$B$9997,D179,Calendar!$C$2:$C$9997,C179)*INDEX(ForeCalc!$B$37:$Y$274,MATCH(_xlfn.CONCAT(H179," ",I179),ForeCalc!$A$37:$A$274,0),MATCH(_xlfn.CONCAT(B179," ",E179),ForeCalc!$B$36:$Y$36,0))))*VLOOKUP(A179,Calendar!$A$2:$H$9997,8,FALSE),0)</f>
        <v/>
      </c>
      <c r="G179" s="29">
        <f>VLOOKUP(A179,Calendar!$A$1:$H$9997,6,FALSE)-F179</f>
        <v/>
      </c>
      <c r="H179" s="19" t="n">
        <v>1</v>
      </c>
      <c r="I179" s="57" t="n">
        <v>6</v>
      </c>
    </row>
    <row r="180">
      <c r="A180" s="62" t="n">
        <v>46291</v>
      </c>
      <c r="B180" s="3" t="inlineStr">
        <is>
          <t>Sat</t>
        </is>
      </c>
      <c r="C180" s="19" t="n">
        <v>9</v>
      </c>
      <c r="D180" s="19" t="n">
        <v>2026</v>
      </c>
      <c r="E180" s="57" t="n">
        <v>1</v>
      </c>
      <c r="F180" s="29">
        <f>ROUND(((SUMIFS(Calendar!$F$2:$F$9997,Calendar!$B$2:$B$9997,D180,Calendar!$C$2:$C$9997,C180)*INDEX(ForeCalc!$B$37:$Y$274,MATCH(_xlfn.CONCAT(H180," ",I180),ForeCalc!$A$37:$A$274,0),MATCH(_xlfn.CONCAT(B180," ",E180),ForeCalc!$B$36:$Y$36,0))))*VLOOKUP(A180,Calendar!$A$2:$H$9997,8,FALSE),0)</f>
        <v/>
      </c>
      <c r="G180" s="29">
        <f>VLOOKUP(A180,Calendar!$A$1:$H$9997,6,FALSE)-F180</f>
        <v/>
      </c>
      <c r="H180" s="19" t="n">
        <v>1</v>
      </c>
      <c r="I180" s="57" t="n">
        <v>6</v>
      </c>
    </row>
    <row r="181">
      <c r="A181" s="62" t="n">
        <v>46292</v>
      </c>
      <c r="B181" s="3" t="inlineStr">
        <is>
          <t>Sun</t>
        </is>
      </c>
      <c r="C181" s="19" t="n">
        <v>9</v>
      </c>
      <c r="D181" s="19" t="n">
        <v>2026</v>
      </c>
      <c r="E181" s="57" t="n">
        <v>1</v>
      </c>
      <c r="F181" s="29">
        <f>ROUND(((SUMIFS(Calendar!$F$2:$F$9997,Calendar!$B$2:$B$9997,D181,Calendar!$C$2:$C$9997,C181)*INDEX(ForeCalc!$B$37:$Y$274,MATCH(_xlfn.CONCAT(H181," ",I181),ForeCalc!$A$37:$A$274,0),MATCH(_xlfn.CONCAT(B181," ",E181),ForeCalc!$B$36:$Y$36,0))))*VLOOKUP(A181,Calendar!$A$2:$H$9997,8,FALSE),0)</f>
        <v/>
      </c>
      <c r="G181" s="29">
        <f>VLOOKUP(A181,Calendar!$A$1:$H$9997,6,FALSE)-F181</f>
        <v/>
      </c>
      <c r="H181" s="19" t="n">
        <v>1</v>
      </c>
      <c r="I181" s="57" t="n">
        <v>6</v>
      </c>
    </row>
    <row r="182">
      <c r="A182" s="62" t="n">
        <v>46293</v>
      </c>
      <c r="B182" s="3" t="inlineStr">
        <is>
          <t>Week</t>
        </is>
      </c>
      <c r="C182" s="19" t="n">
        <v>9</v>
      </c>
      <c r="D182" s="19" t="n">
        <v>2026</v>
      </c>
      <c r="E182" s="57" t="n">
        <v>1</v>
      </c>
      <c r="F182" s="29">
        <f>ROUND(((SUMIFS(Calendar!$F$2:$F$9997,Calendar!$B$2:$B$9997,D182,Calendar!$C$2:$C$9997,C182)*INDEX(ForeCalc!$B$37:$Y$274,MATCH(_xlfn.CONCAT(H182," ",I182),ForeCalc!$A$37:$A$274,0),MATCH(_xlfn.CONCAT(B182," ",E182),ForeCalc!$B$36:$Y$36,0))))*VLOOKUP(A182,Calendar!$A$2:$H$9997,8,FALSE),0)</f>
        <v/>
      </c>
      <c r="G182" s="29">
        <f>VLOOKUP(A182,Calendar!$A$1:$H$9997,6,FALSE)-F182</f>
        <v/>
      </c>
      <c r="H182" s="19" t="n">
        <v>1</v>
      </c>
      <c r="I182" s="57" t="n">
        <v>6</v>
      </c>
    </row>
    <row r="183">
      <c r="A183" s="62" t="n">
        <v>46294</v>
      </c>
      <c r="B183" s="3" t="inlineStr">
        <is>
          <t>Week</t>
        </is>
      </c>
      <c r="C183" s="19" t="n">
        <v>9</v>
      </c>
      <c r="D183" s="19" t="n">
        <v>2026</v>
      </c>
      <c r="E183" s="57" t="n">
        <v>1</v>
      </c>
      <c r="F183" s="29">
        <f>ROUND(((SUMIFS(Calendar!$F$2:$F$9997,Calendar!$B$2:$B$9997,D183,Calendar!$C$2:$C$9997,C183)*INDEX(ForeCalc!$B$37:$Y$274,MATCH(_xlfn.CONCAT(H183," ",I183),ForeCalc!$A$37:$A$274,0),MATCH(_xlfn.CONCAT(B183," ",E183),ForeCalc!$B$36:$Y$36,0))))*VLOOKUP(A183,Calendar!$A$2:$H$9997,8,FALSE),0)</f>
        <v/>
      </c>
      <c r="G183" s="29">
        <f>VLOOKUP(A183,Calendar!$A$1:$H$9997,6,FALSE)-F183</f>
        <v/>
      </c>
      <c r="H183" s="19" t="n">
        <v>1</v>
      </c>
      <c r="I183" s="57" t="n">
        <v>6</v>
      </c>
    </row>
    <row r="184">
      <c r="A184" s="62" t="n">
        <v>46295</v>
      </c>
      <c r="B184" s="3" t="inlineStr">
        <is>
          <t>Week</t>
        </is>
      </c>
      <c r="C184" s="19" t="n">
        <v>9</v>
      </c>
      <c r="D184" s="19" t="n">
        <v>2026</v>
      </c>
      <c r="E184" s="57" t="n">
        <v>1</v>
      </c>
      <c r="F184" s="29">
        <f>ROUND(((SUMIFS(Calendar!$F$2:$F$9997,Calendar!$B$2:$B$9997,D184,Calendar!$C$2:$C$9997,C184)*INDEX(ForeCalc!$B$37:$Y$274,MATCH(_xlfn.CONCAT(H184," ",I184),ForeCalc!$A$37:$A$274,0),MATCH(_xlfn.CONCAT(B184," ",E184),ForeCalc!$B$36:$Y$36,0))))*VLOOKUP(A184,Calendar!$A$2:$H$9997,8,FALSE),0)</f>
        <v/>
      </c>
      <c r="G184" s="29">
        <f>VLOOKUP(A184,Calendar!$A$1:$H$9997,6,FALSE)-F184</f>
        <v/>
      </c>
      <c r="H184" s="19" t="n">
        <v>1</v>
      </c>
      <c r="I184" s="57" t="n">
        <v>6</v>
      </c>
    </row>
    <row r="185">
      <c r="A185" s="62" t="n">
        <v>46296</v>
      </c>
      <c r="B185" s="3" t="inlineStr">
        <is>
          <t>Week</t>
        </is>
      </c>
      <c r="C185" s="19" t="n">
        <v>10</v>
      </c>
      <c r="D185" s="19" t="n">
        <v>2026</v>
      </c>
      <c r="E185" s="57" t="n">
        <v>1</v>
      </c>
      <c r="F185" s="29">
        <f>ROUND(((SUMIFS(Calendar!$F$2:$F$9997,Calendar!$B$2:$B$9997,D185,Calendar!$C$2:$C$9997,C185)*INDEX(ForeCalc!$B$37:$Y$274,MATCH(_xlfn.CONCAT(H185," ",I185),ForeCalc!$A$37:$A$274,0),MATCH(_xlfn.CONCAT(B185," ",E185),ForeCalc!$B$36:$Y$36,0))))*VLOOKUP(A185,Calendar!$A$2:$H$9997,8,FALSE),0)</f>
        <v/>
      </c>
      <c r="G185" s="29">
        <f>VLOOKUP(A185,Calendar!$A$1:$H$9997,6,FALSE)-F185</f>
        <v/>
      </c>
      <c r="H185" s="19" t="n">
        <v>1</v>
      </c>
      <c r="I185" s="57" t="n">
        <v>7</v>
      </c>
    </row>
    <row r="186">
      <c r="A186" s="62" t="n">
        <v>46297</v>
      </c>
      <c r="B186" s="3" t="inlineStr">
        <is>
          <t>Week</t>
        </is>
      </c>
      <c r="C186" s="19" t="n">
        <v>10</v>
      </c>
      <c r="D186" s="19" t="n">
        <v>2026</v>
      </c>
      <c r="E186" s="57" t="n">
        <v>1</v>
      </c>
      <c r="F186" s="29">
        <f>ROUND(((SUMIFS(Calendar!$F$2:$F$9997,Calendar!$B$2:$B$9997,D186,Calendar!$C$2:$C$9997,C186)*INDEX(ForeCalc!$B$37:$Y$274,MATCH(_xlfn.CONCAT(H186," ",I186),ForeCalc!$A$37:$A$274,0),MATCH(_xlfn.CONCAT(B186," ",E186),ForeCalc!$B$36:$Y$36,0))))*VLOOKUP(A186,Calendar!$A$2:$H$9997,8,FALSE),0)</f>
        <v/>
      </c>
      <c r="G186" s="29">
        <f>VLOOKUP(A186,Calendar!$A$1:$H$9997,6,FALSE)-F186</f>
        <v/>
      </c>
      <c r="H186" s="19" t="n">
        <v>1</v>
      </c>
      <c r="I186" s="57" t="n">
        <v>7</v>
      </c>
    </row>
    <row r="187">
      <c r="A187" s="62" t="n">
        <v>46298</v>
      </c>
      <c r="B187" s="3" t="inlineStr">
        <is>
          <t>Sat</t>
        </is>
      </c>
      <c r="C187" s="19" t="n">
        <v>10</v>
      </c>
      <c r="D187" s="19" t="n">
        <v>2026</v>
      </c>
      <c r="E187" s="57" t="n">
        <v>1</v>
      </c>
      <c r="F187" s="29">
        <f>ROUND(((SUMIFS(Calendar!$F$2:$F$9997,Calendar!$B$2:$B$9997,D187,Calendar!$C$2:$C$9997,C187)*INDEX(ForeCalc!$B$37:$Y$274,MATCH(_xlfn.CONCAT(H187," ",I187),ForeCalc!$A$37:$A$274,0),MATCH(_xlfn.CONCAT(B187," ",E187),ForeCalc!$B$36:$Y$36,0))))*VLOOKUP(A187,Calendar!$A$2:$H$9997,8,FALSE),0)</f>
        <v/>
      </c>
      <c r="G187" s="29">
        <f>VLOOKUP(A187,Calendar!$A$1:$H$9997,6,FALSE)-F187</f>
        <v/>
      </c>
      <c r="H187" s="19" t="n">
        <v>1</v>
      </c>
      <c r="I187" s="57" t="n">
        <v>7</v>
      </c>
    </row>
    <row r="188">
      <c r="A188" s="62" t="n">
        <v>46299</v>
      </c>
      <c r="B188" s="3" t="inlineStr">
        <is>
          <t>Sun</t>
        </is>
      </c>
      <c r="C188" s="19" t="n">
        <v>10</v>
      </c>
      <c r="D188" s="19" t="n">
        <v>2026</v>
      </c>
      <c r="E188" s="57" t="n">
        <v>1</v>
      </c>
      <c r="F188" s="29">
        <f>ROUND(((SUMIFS(Calendar!$F$2:$F$9997,Calendar!$B$2:$B$9997,D188,Calendar!$C$2:$C$9997,C188)*INDEX(ForeCalc!$B$37:$Y$274,MATCH(_xlfn.CONCAT(H188," ",I188),ForeCalc!$A$37:$A$274,0),MATCH(_xlfn.CONCAT(B188," ",E188),ForeCalc!$B$36:$Y$36,0))))*VLOOKUP(A188,Calendar!$A$2:$H$9997,8,FALSE),0)</f>
        <v/>
      </c>
      <c r="G188" s="29">
        <f>VLOOKUP(A188,Calendar!$A$1:$H$9997,6,FALSE)-F188</f>
        <v/>
      </c>
      <c r="H188" s="19" t="n">
        <v>1</v>
      </c>
      <c r="I188" s="57" t="n">
        <v>7</v>
      </c>
    </row>
    <row r="189">
      <c r="A189" s="62" t="n">
        <v>46300</v>
      </c>
      <c r="B189" s="3" t="inlineStr">
        <is>
          <t>Week</t>
        </is>
      </c>
      <c r="C189" s="19" t="n">
        <v>10</v>
      </c>
      <c r="D189" s="19" t="n">
        <v>2026</v>
      </c>
      <c r="E189" s="57" t="n">
        <v>1</v>
      </c>
      <c r="F189" s="29">
        <f>ROUND(((SUMIFS(Calendar!$F$2:$F$9997,Calendar!$B$2:$B$9997,D189,Calendar!$C$2:$C$9997,C189)*INDEX(ForeCalc!$B$37:$Y$274,MATCH(_xlfn.CONCAT(H189," ",I189),ForeCalc!$A$37:$A$274,0),MATCH(_xlfn.CONCAT(B189," ",E189),ForeCalc!$B$36:$Y$36,0))))*VLOOKUP(A189,Calendar!$A$2:$H$9997,8,FALSE),0)</f>
        <v/>
      </c>
      <c r="G189" s="29">
        <f>VLOOKUP(A189,Calendar!$A$1:$H$9997,6,FALSE)-F189</f>
        <v/>
      </c>
      <c r="H189" s="19" t="n">
        <v>1</v>
      </c>
      <c r="I189" s="57" t="n">
        <v>7</v>
      </c>
    </row>
    <row r="190">
      <c r="A190" s="62" t="n">
        <v>46301</v>
      </c>
      <c r="B190" s="3" t="inlineStr">
        <is>
          <t>Week</t>
        </is>
      </c>
      <c r="C190" s="19" t="n">
        <v>10</v>
      </c>
      <c r="D190" s="19" t="n">
        <v>2026</v>
      </c>
      <c r="E190" s="57" t="n">
        <v>1</v>
      </c>
      <c r="F190" s="29">
        <f>ROUND(((SUMIFS(Calendar!$F$2:$F$9997,Calendar!$B$2:$B$9997,D190,Calendar!$C$2:$C$9997,C190)*INDEX(ForeCalc!$B$37:$Y$274,MATCH(_xlfn.CONCAT(H190," ",I190),ForeCalc!$A$37:$A$274,0),MATCH(_xlfn.CONCAT(B190," ",E190),ForeCalc!$B$36:$Y$36,0))))*VLOOKUP(A190,Calendar!$A$2:$H$9997,8,FALSE),0)</f>
        <v/>
      </c>
      <c r="G190" s="29">
        <f>VLOOKUP(A190,Calendar!$A$1:$H$9997,6,FALSE)-F190</f>
        <v/>
      </c>
      <c r="H190" s="19" t="n">
        <v>1</v>
      </c>
      <c r="I190" s="57" t="n">
        <v>7</v>
      </c>
    </row>
    <row r="191">
      <c r="A191" s="62" t="n">
        <v>46302</v>
      </c>
      <c r="B191" s="3" t="inlineStr">
        <is>
          <t>Week</t>
        </is>
      </c>
      <c r="C191" s="19" t="n">
        <v>10</v>
      </c>
      <c r="D191" s="19" t="n">
        <v>2026</v>
      </c>
      <c r="E191" s="57" t="n">
        <v>1</v>
      </c>
      <c r="F191" s="29">
        <f>ROUND(((SUMIFS(Calendar!$F$2:$F$9997,Calendar!$B$2:$B$9997,D191,Calendar!$C$2:$C$9997,C191)*INDEX(ForeCalc!$B$37:$Y$274,MATCH(_xlfn.CONCAT(H191," ",I191),ForeCalc!$A$37:$A$274,0),MATCH(_xlfn.CONCAT(B191," ",E191),ForeCalc!$B$36:$Y$36,0))))*VLOOKUP(A191,Calendar!$A$2:$H$9997,8,FALSE),0)</f>
        <v/>
      </c>
      <c r="G191" s="29">
        <f>VLOOKUP(A191,Calendar!$A$1:$H$9997,6,FALSE)-F191</f>
        <v/>
      </c>
      <c r="H191" s="19" t="n">
        <v>1</v>
      </c>
      <c r="I191" s="57" t="n">
        <v>7</v>
      </c>
    </row>
    <row r="192">
      <c r="A192" s="62" t="n">
        <v>46303</v>
      </c>
      <c r="B192" s="3" t="inlineStr">
        <is>
          <t>Week</t>
        </is>
      </c>
      <c r="C192" s="19" t="n">
        <v>10</v>
      </c>
      <c r="D192" s="19" t="n">
        <v>2026</v>
      </c>
      <c r="E192" s="57" t="n">
        <v>1</v>
      </c>
      <c r="F192" s="29">
        <f>ROUND(((SUMIFS(Calendar!$F$2:$F$9997,Calendar!$B$2:$B$9997,D192,Calendar!$C$2:$C$9997,C192)*INDEX(ForeCalc!$B$37:$Y$274,MATCH(_xlfn.CONCAT(H192," ",I192),ForeCalc!$A$37:$A$274,0),MATCH(_xlfn.CONCAT(B192," ",E192),ForeCalc!$B$36:$Y$36,0))))*VLOOKUP(A192,Calendar!$A$2:$H$9997,8,FALSE),0)</f>
        <v/>
      </c>
      <c r="G192" s="29">
        <f>VLOOKUP(A192,Calendar!$A$1:$H$9997,6,FALSE)-F192</f>
        <v/>
      </c>
      <c r="H192" s="19" t="n">
        <v>1</v>
      </c>
      <c r="I192" s="57" t="n">
        <v>7</v>
      </c>
    </row>
    <row r="193">
      <c r="A193" s="62" t="n">
        <v>46304</v>
      </c>
      <c r="B193" s="3" t="inlineStr">
        <is>
          <t>Week</t>
        </is>
      </c>
      <c r="C193" s="19" t="n">
        <v>10</v>
      </c>
      <c r="D193" s="19" t="n">
        <v>2026</v>
      </c>
      <c r="E193" s="57" t="n">
        <v>1</v>
      </c>
      <c r="F193" s="29">
        <f>ROUND(((SUMIFS(Calendar!$F$2:$F$9997,Calendar!$B$2:$B$9997,D193,Calendar!$C$2:$C$9997,C193)*INDEX(ForeCalc!$B$37:$Y$274,MATCH(_xlfn.CONCAT(H193," ",I193),ForeCalc!$A$37:$A$274,0),MATCH(_xlfn.CONCAT(B193," ",E193),ForeCalc!$B$36:$Y$36,0))))*VLOOKUP(A193,Calendar!$A$2:$H$9997,8,FALSE),0)</f>
        <v/>
      </c>
      <c r="G193" s="29">
        <f>VLOOKUP(A193,Calendar!$A$1:$H$9997,6,FALSE)-F193</f>
        <v/>
      </c>
      <c r="H193" s="19" t="n">
        <v>1</v>
      </c>
      <c r="I193" s="57" t="n">
        <v>7</v>
      </c>
    </row>
    <row r="194">
      <c r="A194" s="62" t="n">
        <v>46305</v>
      </c>
      <c r="B194" s="3" t="inlineStr">
        <is>
          <t>Sat</t>
        </is>
      </c>
      <c r="C194" s="19" t="n">
        <v>10</v>
      </c>
      <c r="D194" s="19" t="n">
        <v>2026</v>
      </c>
      <c r="E194" s="57" t="n">
        <v>1</v>
      </c>
      <c r="F194" s="29">
        <f>ROUND(((SUMIFS(Calendar!$F$2:$F$9997,Calendar!$B$2:$B$9997,D194,Calendar!$C$2:$C$9997,C194)*INDEX(ForeCalc!$B$37:$Y$274,MATCH(_xlfn.CONCAT(H194," ",I194),ForeCalc!$A$37:$A$274,0),MATCH(_xlfn.CONCAT(B194," ",E194),ForeCalc!$B$36:$Y$36,0))))*VLOOKUP(A194,Calendar!$A$2:$H$9997,8,FALSE),0)</f>
        <v/>
      </c>
      <c r="G194" s="29">
        <f>VLOOKUP(A194,Calendar!$A$1:$H$9997,6,FALSE)-F194</f>
        <v/>
      </c>
      <c r="H194" s="19" t="n">
        <v>1</v>
      </c>
      <c r="I194" s="57" t="n">
        <v>7</v>
      </c>
    </row>
    <row r="195">
      <c r="A195" s="62" t="n">
        <v>46306</v>
      </c>
      <c r="B195" s="3" t="inlineStr">
        <is>
          <t>Sun</t>
        </is>
      </c>
      <c r="C195" s="19" t="n">
        <v>10</v>
      </c>
      <c r="D195" s="19" t="n">
        <v>2026</v>
      </c>
      <c r="E195" s="57" t="n">
        <v>1</v>
      </c>
      <c r="F195" s="29">
        <f>ROUND(((SUMIFS(Calendar!$F$2:$F$9997,Calendar!$B$2:$B$9997,D195,Calendar!$C$2:$C$9997,C195)*INDEX(ForeCalc!$B$37:$Y$274,MATCH(_xlfn.CONCAT(H195," ",I195),ForeCalc!$A$37:$A$274,0),MATCH(_xlfn.CONCAT(B195," ",E195),ForeCalc!$B$36:$Y$36,0))))*VLOOKUP(A195,Calendar!$A$2:$H$9997,8,FALSE),0)</f>
        <v/>
      </c>
      <c r="G195" s="29">
        <f>VLOOKUP(A195,Calendar!$A$1:$H$9997,6,FALSE)-F195</f>
        <v/>
      </c>
      <c r="H195" s="19" t="n">
        <v>1</v>
      </c>
      <c r="I195" s="57" t="n">
        <v>7</v>
      </c>
    </row>
    <row r="196">
      <c r="A196" s="62" t="n">
        <v>46307</v>
      </c>
      <c r="B196" s="3" t="inlineStr">
        <is>
          <t>Week</t>
        </is>
      </c>
      <c r="C196" s="19" t="n">
        <v>10</v>
      </c>
      <c r="D196" s="19" t="n">
        <v>2026</v>
      </c>
      <c r="E196" s="57" t="n">
        <v>1</v>
      </c>
      <c r="F196" s="29">
        <f>ROUND(((SUMIFS(Calendar!$F$2:$F$9997,Calendar!$B$2:$B$9997,D196,Calendar!$C$2:$C$9997,C196)*INDEX(ForeCalc!$B$37:$Y$274,MATCH(_xlfn.CONCAT(H196," ",I196),ForeCalc!$A$37:$A$274,0),MATCH(_xlfn.CONCAT(B196," ",E196),ForeCalc!$B$36:$Y$36,0))))*VLOOKUP(A196,Calendar!$A$2:$H$9997,8,FALSE),0)</f>
        <v/>
      </c>
      <c r="G196" s="29">
        <f>VLOOKUP(A196,Calendar!$A$1:$H$9997,6,FALSE)-F196</f>
        <v/>
      </c>
      <c r="H196" s="19" t="n">
        <v>1</v>
      </c>
      <c r="I196" s="57" t="n">
        <v>7</v>
      </c>
    </row>
    <row r="197">
      <c r="A197" s="62" t="n">
        <v>46308</v>
      </c>
      <c r="B197" s="3" t="inlineStr">
        <is>
          <t>Week</t>
        </is>
      </c>
      <c r="C197" s="19" t="n">
        <v>10</v>
      </c>
      <c r="D197" s="19" t="n">
        <v>2026</v>
      </c>
      <c r="E197" s="57" t="n">
        <v>1</v>
      </c>
      <c r="F197" s="29">
        <f>ROUND(((SUMIFS(Calendar!$F$2:$F$9997,Calendar!$B$2:$B$9997,D197,Calendar!$C$2:$C$9997,C197)*INDEX(ForeCalc!$B$37:$Y$274,MATCH(_xlfn.CONCAT(H197," ",I197),ForeCalc!$A$37:$A$274,0),MATCH(_xlfn.CONCAT(B197," ",E197),ForeCalc!$B$36:$Y$36,0))))*VLOOKUP(A197,Calendar!$A$2:$H$9997,8,FALSE),0)</f>
        <v/>
      </c>
      <c r="G197" s="29">
        <f>VLOOKUP(A197,Calendar!$A$1:$H$9997,6,FALSE)-F197</f>
        <v/>
      </c>
      <c r="H197" s="19" t="n">
        <v>1</v>
      </c>
      <c r="I197" s="57" t="n">
        <v>7</v>
      </c>
    </row>
    <row r="198">
      <c r="A198" s="62" t="n">
        <v>46309</v>
      </c>
      <c r="B198" s="3" t="inlineStr">
        <is>
          <t>Week</t>
        </is>
      </c>
      <c r="C198" s="19" t="n">
        <v>10</v>
      </c>
      <c r="D198" s="19" t="n">
        <v>2026</v>
      </c>
      <c r="E198" s="57" t="n">
        <v>1</v>
      </c>
      <c r="F198" s="29">
        <f>ROUND(((SUMIFS(Calendar!$F$2:$F$9997,Calendar!$B$2:$B$9997,D198,Calendar!$C$2:$C$9997,C198)*INDEX(ForeCalc!$B$37:$Y$274,MATCH(_xlfn.CONCAT(H198," ",I198),ForeCalc!$A$37:$A$274,0),MATCH(_xlfn.CONCAT(B198," ",E198),ForeCalc!$B$36:$Y$36,0))))*VLOOKUP(A198,Calendar!$A$2:$H$9997,8,FALSE),0)</f>
        <v/>
      </c>
      <c r="G198" s="29">
        <f>VLOOKUP(A198,Calendar!$A$1:$H$9997,6,FALSE)-F198</f>
        <v/>
      </c>
      <c r="H198" s="19" t="n">
        <v>1</v>
      </c>
      <c r="I198" s="57" t="n">
        <v>7</v>
      </c>
    </row>
    <row r="199">
      <c r="A199" s="62" t="n">
        <v>46310</v>
      </c>
      <c r="B199" s="3" t="inlineStr">
        <is>
          <t>Week</t>
        </is>
      </c>
      <c r="C199" s="19" t="n">
        <v>10</v>
      </c>
      <c r="D199" s="19" t="n">
        <v>2026</v>
      </c>
      <c r="E199" s="57" t="n">
        <v>1</v>
      </c>
      <c r="F199" s="29">
        <f>ROUND(((SUMIFS(Calendar!$F$2:$F$9997,Calendar!$B$2:$B$9997,D199,Calendar!$C$2:$C$9997,C199)*INDEX(ForeCalc!$B$37:$Y$274,MATCH(_xlfn.CONCAT(H199," ",I199),ForeCalc!$A$37:$A$274,0),MATCH(_xlfn.CONCAT(B199," ",E199),ForeCalc!$B$36:$Y$36,0))))*VLOOKUP(A199,Calendar!$A$2:$H$9997,8,FALSE),0)</f>
        <v/>
      </c>
      <c r="G199" s="29">
        <f>VLOOKUP(A199,Calendar!$A$1:$H$9997,6,FALSE)-F199</f>
        <v/>
      </c>
      <c r="H199" s="19" t="n">
        <v>1</v>
      </c>
      <c r="I199" s="57" t="n">
        <v>7</v>
      </c>
    </row>
    <row r="200">
      <c r="A200" s="62" t="n">
        <v>46311</v>
      </c>
      <c r="B200" s="3" t="inlineStr">
        <is>
          <t>Week</t>
        </is>
      </c>
      <c r="C200" s="19" t="n">
        <v>10</v>
      </c>
      <c r="D200" s="19" t="n">
        <v>2026</v>
      </c>
      <c r="E200" s="57" t="n">
        <v>1</v>
      </c>
      <c r="F200" s="29">
        <f>ROUND(((SUMIFS(Calendar!$F$2:$F$9997,Calendar!$B$2:$B$9997,D200,Calendar!$C$2:$C$9997,C200)*INDEX(ForeCalc!$B$37:$Y$274,MATCH(_xlfn.CONCAT(H200," ",I200),ForeCalc!$A$37:$A$274,0),MATCH(_xlfn.CONCAT(B200," ",E200),ForeCalc!$B$36:$Y$36,0))))*VLOOKUP(A200,Calendar!$A$2:$H$9997,8,FALSE),0)</f>
        <v/>
      </c>
      <c r="G200" s="29">
        <f>VLOOKUP(A200,Calendar!$A$1:$H$9997,6,FALSE)-F200</f>
        <v/>
      </c>
      <c r="H200" s="19" t="n">
        <v>1</v>
      </c>
      <c r="I200" s="57" t="n">
        <v>7</v>
      </c>
    </row>
    <row r="201">
      <c r="A201" s="62" t="n">
        <v>46312</v>
      </c>
      <c r="B201" s="3" t="inlineStr">
        <is>
          <t>Sat</t>
        </is>
      </c>
      <c r="C201" s="19" t="n">
        <v>10</v>
      </c>
      <c r="D201" s="19" t="n">
        <v>2026</v>
      </c>
      <c r="E201" s="57" t="n">
        <v>1</v>
      </c>
      <c r="F201" s="29">
        <f>ROUND(((SUMIFS(Calendar!$F$2:$F$9997,Calendar!$B$2:$B$9997,D201,Calendar!$C$2:$C$9997,C201)*INDEX(ForeCalc!$B$37:$Y$274,MATCH(_xlfn.CONCAT(H201," ",I201),ForeCalc!$A$37:$A$274,0),MATCH(_xlfn.CONCAT(B201," ",E201),ForeCalc!$B$36:$Y$36,0))))*VLOOKUP(A201,Calendar!$A$2:$H$9997,8,FALSE),0)</f>
        <v/>
      </c>
      <c r="G201" s="29">
        <f>VLOOKUP(A201,Calendar!$A$1:$H$9997,6,FALSE)-F201</f>
        <v/>
      </c>
      <c r="H201" s="19" t="n">
        <v>1</v>
      </c>
      <c r="I201" s="57" t="n">
        <v>7</v>
      </c>
    </row>
    <row r="202">
      <c r="A202" s="62" t="n">
        <v>46313</v>
      </c>
      <c r="B202" s="3" t="inlineStr">
        <is>
          <t>Sun</t>
        </is>
      </c>
      <c r="C202" s="19" t="n">
        <v>10</v>
      </c>
      <c r="D202" s="19" t="n">
        <v>2026</v>
      </c>
      <c r="E202" s="57" t="n">
        <v>1</v>
      </c>
      <c r="F202" s="29">
        <f>ROUND(((SUMIFS(Calendar!$F$2:$F$9997,Calendar!$B$2:$B$9997,D202,Calendar!$C$2:$C$9997,C202)*INDEX(ForeCalc!$B$37:$Y$274,MATCH(_xlfn.CONCAT(H202," ",I202),ForeCalc!$A$37:$A$274,0),MATCH(_xlfn.CONCAT(B202," ",E202),ForeCalc!$B$36:$Y$36,0))))*VLOOKUP(A202,Calendar!$A$2:$H$9997,8,FALSE),0)</f>
        <v/>
      </c>
      <c r="G202" s="29">
        <f>VLOOKUP(A202,Calendar!$A$1:$H$9997,6,FALSE)-F202</f>
        <v/>
      </c>
      <c r="H202" s="19" t="n">
        <v>1</v>
      </c>
      <c r="I202" s="57" t="n">
        <v>7</v>
      </c>
    </row>
    <row r="203">
      <c r="A203" s="62" t="n">
        <v>46314</v>
      </c>
      <c r="B203" s="3" t="inlineStr">
        <is>
          <t>Week</t>
        </is>
      </c>
      <c r="C203" s="19" t="n">
        <v>10</v>
      </c>
      <c r="D203" s="19" t="n">
        <v>2026</v>
      </c>
      <c r="E203" s="57" t="n">
        <v>1</v>
      </c>
      <c r="F203" s="29">
        <f>ROUND(((SUMIFS(Calendar!$F$2:$F$9997,Calendar!$B$2:$B$9997,D203,Calendar!$C$2:$C$9997,C203)*INDEX(ForeCalc!$B$37:$Y$274,MATCH(_xlfn.CONCAT(H203," ",I203),ForeCalc!$A$37:$A$274,0),MATCH(_xlfn.CONCAT(B203," ",E203),ForeCalc!$B$36:$Y$36,0))))*VLOOKUP(A203,Calendar!$A$2:$H$9997,8,FALSE),0)</f>
        <v/>
      </c>
      <c r="G203" s="29">
        <f>VLOOKUP(A203,Calendar!$A$1:$H$9997,6,FALSE)-F203</f>
        <v/>
      </c>
      <c r="H203" s="19" t="n">
        <v>1</v>
      </c>
      <c r="I203" s="57" t="n">
        <v>7</v>
      </c>
    </row>
    <row r="204">
      <c r="A204" s="62" t="n">
        <v>46315</v>
      </c>
      <c r="B204" s="3" t="inlineStr">
        <is>
          <t>Week</t>
        </is>
      </c>
      <c r="C204" s="19" t="n">
        <v>10</v>
      </c>
      <c r="D204" s="19" t="n">
        <v>2026</v>
      </c>
      <c r="E204" s="57" t="n">
        <v>1</v>
      </c>
      <c r="F204" s="29">
        <f>ROUND(((SUMIFS(Calendar!$F$2:$F$9997,Calendar!$B$2:$B$9997,D204,Calendar!$C$2:$C$9997,C204)*INDEX(ForeCalc!$B$37:$Y$274,MATCH(_xlfn.CONCAT(H204," ",I204),ForeCalc!$A$37:$A$274,0),MATCH(_xlfn.CONCAT(B204," ",E204),ForeCalc!$B$36:$Y$36,0))))*VLOOKUP(A204,Calendar!$A$2:$H$9997,8,FALSE),0)</f>
        <v/>
      </c>
      <c r="G204" s="29">
        <f>VLOOKUP(A204,Calendar!$A$1:$H$9997,6,FALSE)-F204</f>
        <v/>
      </c>
      <c r="H204" s="19" t="n">
        <v>1</v>
      </c>
      <c r="I204" s="57" t="n">
        <v>7</v>
      </c>
    </row>
    <row r="205">
      <c r="A205" s="62" t="n">
        <v>46316</v>
      </c>
      <c r="B205" s="3" t="inlineStr">
        <is>
          <t>Week</t>
        </is>
      </c>
      <c r="C205" s="19" t="n">
        <v>10</v>
      </c>
      <c r="D205" s="19" t="n">
        <v>2026</v>
      </c>
      <c r="E205" s="57" t="n">
        <v>1</v>
      </c>
      <c r="F205" s="29">
        <f>ROUND(((SUMIFS(Calendar!$F$2:$F$9997,Calendar!$B$2:$B$9997,D205,Calendar!$C$2:$C$9997,C205)*INDEX(ForeCalc!$B$37:$Y$274,MATCH(_xlfn.CONCAT(H205," ",I205),ForeCalc!$A$37:$A$274,0),MATCH(_xlfn.CONCAT(B205," ",E205),ForeCalc!$B$36:$Y$36,0))))*VLOOKUP(A205,Calendar!$A$2:$H$9997,8,FALSE),0)</f>
        <v/>
      </c>
      <c r="G205" s="29">
        <f>VLOOKUP(A205,Calendar!$A$1:$H$9997,6,FALSE)-F205</f>
        <v/>
      </c>
      <c r="H205" s="19" t="n">
        <v>1</v>
      </c>
      <c r="I205" s="57" t="n">
        <v>7</v>
      </c>
    </row>
    <row r="206">
      <c r="A206" s="62" t="n">
        <v>46317</v>
      </c>
      <c r="B206" s="3" t="inlineStr">
        <is>
          <t>Week</t>
        </is>
      </c>
      <c r="C206" s="19" t="n">
        <v>10</v>
      </c>
      <c r="D206" s="19" t="n">
        <v>2026</v>
      </c>
      <c r="E206" s="57" t="n">
        <v>1</v>
      </c>
      <c r="F206" s="29">
        <f>ROUND(((SUMIFS(Calendar!$F$2:$F$9997,Calendar!$B$2:$B$9997,D206,Calendar!$C$2:$C$9997,C206)*INDEX(ForeCalc!$B$37:$Y$274,MATCH(_xlfn.CONCAT(H206," ",I206),ForeCalc!$A$37:$A$274,0),MATCH(_xlfn.CONCAT(B206," ",E206),ForeCalc!$B$36:$Y$36,0))))*VLOOKUP(A206,Calendar!$A$2:$H$9997,8,FALSE),0)</f>
        <v/>
      </c>
      <c r="G206" s="29">
        <f>VLOOKUP(A206,Calendar!$A$1:$H$9997,6,FALSE)-F206</f>
        <v/>
      </c>
      <c r="H206" s="19" t="n">
        <v>1</v>
      </c>
      <c r="I206" s="57" t="n">
        <v>7</v>
      </c>
    </row>
    <row r="207">
      <c r="A207" s="62" t="n">
        <v>46318</v>
      </c>
      <c r="B207" s="3" t="inlineStr">
        <is>
          <t>Week</t>
        </is>
      </c>
      <c r="C207" s="19" t="n">
        <v>10</v>
      </c>
      <c r="D207" s="19" t="n">
        <v>2026</v>
      </c>
      <c r="E207" s="57" t="n">
        <v>1</v>
      </c>
      <c r="F207" s="29">
        <f>ROUND(((SUMIFS(Calendar!$F$2:$F$9997,Calendar!$B$2:$B$9997,D207,Calendar!$C$2:$C$9997,C207)*INDEX(ForeCalc!$B$37:$Y$274,MATCH(_xlfn.CONCAT(H207," ",I207),ForeCalc!$A$37:$A$274,0),MATCH(_xlfn.CONCAT(B207," ",E207),ForeCalc!$B$36:$Y$36,0))))*VLOOKUP(A207,Calendar!$A$2:$H$9997,8,FALSE),0)</f>
        <v/>
      </c>
      <c r="G207" s="29">
        <f>VLOOKUP(A207,Calendar!$A$1:$H$9997,6,FALSE)-F207</f>
        <v/>
      </c>
      <c r="H207" s="19" t="n">
        <v>1</v>
      </c>
      <c r="I207" s="57" t="n">
        <v>7</v>
      </c>
    </row>
    <row r="208">
      <c r="A208" s="62" t="n">
        <v>46319</v>
      </c>
      <c r="B208" s="3" t="inlineStr">
        <is>
          <t>Sat</t>
        </is>
      </c>
      <c r="C208" s="19" t="n">
        <v>10</v>
      </c>
      <c r="D208" s="19" t="n">
        <v>2026</v>
      </c>
      <c r="E208" s="57" t="n">
        <v>1</v>
      </c>
      <c r="F208" s="29">
        <f>ROUND(((SUMIFS(Calendar!$F$2:$F$9997,Calendar!$B$2:$B$9997,D208,Calendar!$C$2:$C$9997,C208)*INDEX(ForeCalc!$B$37:$Y$274,MATCH(_xlfn.CONCAT(H208," ",I208),ForeCalc!$A$37:$A$274,0),MATCH(_xlfn.CONCAT(B208," ",E208),ForeCalc!$B$36:$Y$36,0))))*VLOOKUP(A208,Calendar!$A$2:$H$9997,8,FALSE),0)</f>
        <v/>
      </c>
      <c r="G208" s="29">
        <f>VLOOKUP(A208,Calendar!$A$1:$H$9997,6,FALSE)-F208</f>
        <v/>
      </c>
      <c r="H208" s="19" t="n">
        <v>1</v>
      </c>
      <c r="I208" s="57" t="n">
        <v>7</v>
      </c>
    </row>
    <row r="209">
      <c r="A209" s="62" t="n">
        <v>46320</v>
      </c>
      <c r="B209" s="3" t="inlineStr">
        <is>
          <t>Sun</t>
        </is>
      </c>
      <c r="C209" s="19" t="n">
        <v>10</v>
      </c>
      <c r="D209" s="19" t="n">
        <v>2026</v>
      </c>
      <c r="E209" s="57" t="n">
        <v>1</v>
      </c>
      <c r="F209" s="29">
        <f>ROUND(((SUMIFS(Calendar!$F$2:$F$9997,Calendar!$B$2:$B$9997,D209,Calendar!$C$2:$C$9997,C209)*INDEX(ForeCalc!$B$37:$Y$274,MATCH(_xlfn.CONCAT(H209," ",I209),ForeCalc!$A$37:$A$274,0),MATCH(_xlfn.CONCAT(B209," ",E209),ForeCalc!$B$36:$Y$36,0))))*VLOOKUP(A209,Calendar!$A$2:$H$9997,8,FALSE),0)</f>
        <v/>
      </c>
      <c r="G209" s="29">
        <f>VLOOKUP(A209,Calendar!$A$1:$H$9997,6,FALSE)-F209</f>
        <v/>
      </c>
      <c r="H209" s="19" t="n">
        <v>1</v>
      </c>
      <c r="I209" s="57" t="n">
        <v>7</v>
      </c>
    </row>
    <row r="210">
      <c r="A210" s="62" t="n">
        <v>46321</v>
      </c>
      <c r="B210" s="3" t="inlineStr">
        <is>
          <t>Week</t>
        </is>
      </c>
      <c r="C210" s="19" t="n">
        <v>10</v>
      </c>
      <c r="D210" s="19" t="n">
        <v>2026</v>
      </c>
      <c r="E210" s="57" t="n">
        <v>1</v>
      </c>
      <c r="F210" s="29">
        <f>ROUND(((SUMIFS(Calendar!$F$2:$F$9997,Calendar!$B$2:$B$9997,D210,Calendar!$C$2:$C$9997,C210)*INDEX(ForeCalc!$B$37:$Y$274,MATCH(_xlfn.CONCAT(H210," ",I210),ForeCalc!$A$37:$A$274,0),MATCH(_xlfn.CONCAT(B210," ",E210),ForeCalc!$B$36:$Y$36,0))))*VLOOKUP(A210,Calendar!$A$2:$H$9997,8,FALSE),0)</f>
        <v/>
      </c>
      <c r="G210" s="29">
        <f>VLOOKUP(A210,Calendar!$A$1:$H$9997,6,FALSE)-F210</f>
        <v/>
      </c>
      <c r="H210" s="19" t="n">
        <v>1</v>
      </c>
      <c r="I210" s="57" t="n">
        <v>7</v>
      </c>
    </row>
    <row r="211">
      <c r="A211" s="62" t="n">
        <v>46322</v>
      </c>
      <c r="B211" s="3" t="inlineStr">
        <is>
          <t>Week</t>
        </is>
      </c>
      <c r="C211" s="19" t="n">
        <v>10</v>
      </c>
      <c r="D211" s="19" t="n">
        <v>2026</v>
      </c>
      <c r="E211" s="57" t="n">
        <v>1</v>
      </c>
      <c r="F211" s="29">
        <f>ROUND(((SUMIFS(Calendar!$F$2:$F$9997,Calendar!$B$2:$B$9997,D211,Calendar!$C$2:$C$9997,C211)*INDEX(ForeCalc!$B$37:$Y$274,MATCH(_xlfn.CONCAT(H211," ",I211),ForeCalc!$A$37:$A$274,0),MATCH(_xlfn.CONCAT(B211," ",E211),ForeCalc!$B$36:$Y$36,0))))*VLOOKUP(A211,Calendar!$A$2:$H$9997,8,FALSE),0)</f>
        <v/>
      </c>
      <c r="G211" s="29">
        <f>VLOOKUP(A211,Calendar!$A$1:$H$9997,6,FALSE)-F211</f>
        <v/>
      </c>
      <c r="H211" s="19" t="n">
        <v>1</v>
      </c>
      <c r="I211" s="57" t="n">
        <v>7</v>
      </c>
    </row>
    <row r="212">
      <c r="A212" s="62" t="n">
        <v>46323</v>
      </c>
      <c r="B212" s="3" t="inlineStr">
        <is>
          <t>Week</t>
        </is>
      </c>
      <c r="C212" s="19" t="n">
        <v>10</v>
      </c>
      <c r="D212" s="19" t="n">
        <v>2026</v>
      </c>
      <c r="E212" s="57" t="n">
        <v>1</v>
      </c>
      <c r="F212" s="29">
        <f>ROUND(((SUMIFS(Calendar!$F$2:$F$9997,Calendar!$B$2:$B$9997,D212,Calendar!$C$2:$C$9997,C212)*INDEX(ForeCalc!$B$37:$Y$274,MATCH(_xlfn.CONCAT(H212," ",I212),ForeCalc!$A$37:$A$274,0),MATCH(_xlfn.CONCAT(B212," ",E212),ForeCalc!$B$36:$Y$36,0))))*VLOOKUP(A212,Calendar!$A$2:$H$9997,8,FALSE),0)</f>
        <v/>
      </c>
      <c r="G212" s="29">
        <f>VLOOKUP(A212,Calendar!$A$1:$H$9997,6,FALSE)-F212</f>
        <v/>
      </c>
      <c r="H212" s="19" t="n">
        <v>1</v>
      </c>
      <c r="I212" s="57" t="n">
        <v>7</v>
      </c>
    </row>
    <row r="213">
      <c r="A213" s="62" t="n">
        <v>46324</v>
      </c>
      <c r="B213" s="3" t="inlineStr">
        <is>
          <t>Week</t>
        </is>
      </c>
      <c r="C213" s="19" t="n">
        <v>10</v>
      </c>
      <c r="D213" s="19" t="n">
        <v>2026</v>
      </c>
      <c r="E213" s="57" t="n">
        <v>1</v>
      </c>
      <c r="F213" s="29">
        <f>ROUND(((SUMIFS(Calendar!$F$2:$F$9997,Calendar!$B$2:$B$9997,D213,Calendar!$C$2:$C$9997,C213)*INDEX(ForeCalc!$B$37:$Y$274,MATCH(_xlfn.CONCAT(H213," ",I213),ForeCalc!$A$37:$A$274,0),MATCH(_xlfn.CONCAT(B213," ",E213),ForeCalc!$B$36:$Y$36,0))))*VLOOKUP(A213,Calendar!$A$2:$H$9997,8,FALSE),0)</f>
        <v/>
      </c>
      <c r="G213" s="29">
        <f>VLOOKUP(A213,Calendar!$A$1:$H$9997,6,FALSE)-F213</f>
        <v/>
      </c>
      <c r="H213" s="19" t="n">
        <v>1</v>
      </c>
      <c r="I213" s="57" t="n">
        <v>7</v>
      </c>
    </row>
    <row r="214">
      <c r="A214" s="62" t="n">
        <v>46325</v>
      </c>
      <c r="B214" s="3" t="inlineStr">
        <is>
          <t>Week</t>
        </is>
      </c>
      <c r="C214" s="19" t="n">
        <v>10</v>
      </c>
      <c r="D214" s="19" t="n">
        <v>2026</v>
      </c>
      <c r="E214" s="57" t="n">
        <v>1</v>
      </c>
      <c r="F214" s="29">
        <f>ROUND(((SUMIFS(Calendar!$F$2:$F$9997,Calendar!$B$2:$B$9997,D214,Calendar!$C$2:$C$9997,C214)*INDEX(ForeCalc!$B$37:$Y$274,MATCH(_xlfn.CONCAT(H214," ",I214),ForeCalc!$A$37:$A$274,0),MATCH(_xlfn.CONCAT(B214," ",E214),ForeCalc!$B$36:$Y$36,0))))*VLOOKUP(A214,Calendar!$A$2:$H$9997,8,FALSE),0)</f>
        <v/>
      </c>
      <c r="G214" s="29">
        <f>VLOOKUP(A214,Calendar!$A$1:$H$9997,6,FALSE)-F214</f>
        <v/>
      </c>
      <c r="H214" s="19" t="n">
        <v>1</v>
      </c>
      <c r="I214" s="57" t="n">
        <v>7</v>
      </c>
    </row>
    <row r="215">
      <c r="A215" s="62" t="n">
        <v>46326</v>
      </c>
      <c r="B215" s="3" t="inlineStr">
        <is>
          <t>Sat</t>
        </is>
      </c>
      <c r="C215" s="19" t="n">
        <v>10</v>
      </c>
      <c r="D215" s="19" t="n">
        <v>2026</v>
      </c>
      <c r="E215" s="57" t="n">
        <v>1</v>
      </c>
      <c r="F215" s="29">
        <f>ROUND(((SUMIFS(Calendar!$F$2:$F$9997,Calendar!$B$2:$B$9997,D215,Calendar!$C$2:$C$9997,C215)*INDEX(ForeCalc!$B$37:$Y$274,MATCH(_xlfn.CONCAT(H215," ",I215),ForeCalc!$A$37:$A$274,0),MATCH(_xlfn.CONCAT(B215," ",E215),ForeCalc!$B$36:$Y$36,0))))*VLOOKUP(A215,Calendar!$A$2:$H$9997,8,FALSE),0)</f>
        <v/>
      </c>
      <c r="G215" s="29">
        <f>VLOOKUP(A215,Calendar!$A$1:$H$9997,6,FALSE)-F215</f>
        <v/>
      </c>
      <c r="H215" s="19" t="n">
        <v>1</v>
      </c>
      <c r="I215" s="57" t="n">
        <v>7</v>
      </c>
    </row>
    <row r="216">
      <c r="A216" s="62" t="n">
        <v>46327</v>
      </c>
      <c r="B216" s="3" t="inlineStr">
        <is>
          <t>Sun</t>
        </is>
      </c>
      <c r="C216" s="19" t="n">
        <v>11</v>
      </c>
      <c r="D216" s="19" t="n">
        <v>2026</v>
      </c>
      <c r="E216" s="57" t="n">
        <v>1</v>
      </c>
      <c r="F216" s="29">
        <f>ROUND(((SUMIFS(Calendar!$F$2:$F$9997,Calendar!$B$2:$B$9997,D216,Calendar!$C$2:$C$9997,C216)*INDEX(ForeCalc!$B$37:$Y$274,MATCH(_xlfn.CONCAT(H216," ",I216),ForeCalc!$A$37:$A$274,0),MATCH(_xlfn.CONCAT(B216," ",E216),ForeCalc!$B$36:$Y$36,0))))*VLOOKUP(A216,Calendar!$A$2:$H$9997,8,FALSE),0)</f>
        <v/>
      </c>
      <c r="G216" s="29">
        <f>VLOOKUP(A216,Calendar!$A$1:$H$9997,6,FALSE)-F216</f>
        <v/>
      </c>
      <c r="H216" s="19" t="n">
        <v>1</v>
      </c>
      <c r="I216" s="57" t="n">
        <v>8</v>
      </c>
    </row>
    <row r="217">
      <c r="A217" s="62" t="n">
        <v>46328</v>
      </c>
      <c r="B217" s="3" t="inlineStr">
        <is>
          <t>Week</t>
        </is>
      </c>
      <c r="C217" s="19" t="n">
        <v>11</v>
      </c>
      <c r="D217" s="19" t="n">
        <v>2026</v>
      </c>
      <c r="E217" s="57" t="n">
        <v>1</v>
      </c>
      <c r="F217" s="29">
        <f>ROUND(((SUMIFS(Calendar!$F$2:$F$9997,Calendar!$B$2:$B$9997,D217,Calendar!$C$2:$C$9997,C217)*INDEX(ForeCalc!$B$37:$Y$274,MATCH(_xlfn.CONCAT(H217," ",I217),ForeCalc!$A$37:$A$274,0),MATCH(_xlfn.CONCAT(B217," ",E217),ForeCalc!$B$36:$Y$36,0))))*VLOOKUP(A217,Calendar!$A$2:$H$9997,8,FALSE),0)</f>
        <v/>
      </c>
      <c r="G217" s="29">
        <f>VLOOKUP(A217,Calendar!$A$1:$H$9997,6,FALSE)-F217</f>
        <v/>
      </c>
      <c r="H217" s="19" t="n">
        <v>1</v>
      </c>
      <c r="I217" s="57" t="n">
        <v>8</v>
      </c>
    </row>
    <row r="218">
      <c r="A218" s="62" t="n">
        <v>46329</v>
      </c>
      <c r="B218" s="3" t="inlineStr">
        <is>
          <t>Week</t>
        </is>
      </c>
      <c r="C218" s="19" t="n">
        <v>11</v>
      </c>
      <c r="D218" s="19" t="n">
        <v>2026</v>
      </c>
      <c r="E218" s="57" t="n">
        <v>1</v>
      </c>
      <c r="F218" s="29">
        <f>ROUND(((SUMIFS(Calendar!$F$2:$F$9997,Calendar!$B$2:$B$9997,D218,Calendar!$C$2:$C$9997,C218)*INDEX(ForeCalc!$B$37:$Y$274,MATCH(_xlfn.CONCAT(H218," ",I218),ForeCalc!$A$37:$A$274,0),MATCH(_xlfn.CONCAT(B218," ",E218),ForeCalc!$B$36:$Y$36,0))))*VLOOKUP(A218,Calendar!$A$2:$H$9997,8,FALSE),0)</f>
        <v/>
      </c>
      <c r="G218" s="29">
        <f>VLOOKUP(A218,Calendar!$A$1:$H$9997,6,FALSE)-F218</f>
        <v/>
      </c>
      <c r="H218" s="19" t="n">
        <v>1</v>
      </c>
      <c r="I218" s="57" t="n">
        <v>8</v>
      </c>
    </row>
    <row r="219">
      <c r="A219" s="62" t="n">
        <v>46330</v>
      </c>
      <c r="B219" s="3" t="inlineStr">
        <is>
          <t>Week</t>
        </is>
      </c>
      <c r="C219" s="19" t="n">
        <v>11</v>
      </c>
      <c r="D219" s="19" t="n">
        <v>2026</v>
      </c>
      <c r="E219" s="57" t="n">
        <v>1</v>
      </c>
      <c r="F219" s="29">
        <f>ROUND(((SUMIFS(Calendar!$F$2:$F$9997,Calendar!$B$2:$B$9997,D219,Calendar!$C$2:$C$9997,C219)*INDEX(ForeCalc!$B$37:$Y$274,MATCH(_xlfn.CONCAT(H219," ",I219),ForeCalc!$A$37:$A$274,0),MATCH(_xlfn.CONCAT(B219," ",E219),ForeCalc!$B$36:$Y$36,0))))*VLOOKUP(A219,Calendar!$A$2:$H$9997,8,FALSE),0)</f>
        <v/>
      </c>
      <c r="G219" s="29">
        <f>VLOOKUP(A219,Calendar!$A$1:$H$9997,6,FALSE)-F219</f>
        <v/>
      </c>
      <c r="H219" s="19" t="n">
        <v>1</v>
      </c>
      <c r="I219" s="57" t="n">
        <v>8</v>
      </c>
    </row>
    <row r="220">
      <c r="A220" s="62" t="n">
        <v>46331</v>
      </c>
      <c r="B220" s="3" t="inlineStr">
        <is>
          <t>Week</t>
        </is>
      </c>
      <c r="C220" s="19" t="n">
        <v>11</v>
      </c>
      <c r="D220" s="19" t="n">
        <v>2026</v>
      </c>
      <c r="E220" s="57" t="n">
        <v>1</v>
      </c>
      <c r="F220" s="29">
        <f>ROUND(((SUMIFS(Calendar!$F$2:$F$9997,Calendar!$B$2:$B$9997,D220,Calendar!$C$2:$C$9997,C220)*INDEX(ForeCalc!$B$37:$Y$274,MATCH(_xlfn.CONCAT(H220," ",I220),ForeCalc!$A$37:$A$274,0),MATCH(_xlfn.CONCAT(B220," ",E220),ForeCalc!$B$36:$Y$36,0))))*VLOOKUP(A220,Calendar!$A$2:$H$9997,8,FALSE),0)</f>
        <v/>
      </c>
      <c r="G220" s="29">
        <f>VLOOKUP(A220,Calendar!$A$1:$H$9997,6,FALSE)-F220</f>
        <v/>
      </c>
      <c r="H220" s="19" t="n">
        <v>1</v>
      </c>
      <c r="I220" s="57" t="n">
        <v>8</v>
      </c>
    </row>
    <row r="221">
      <c r="A221" s="62" t="n">
        <v>46332</v>
      </c>
      <c r="B221" s="3" t="inlineStr">
        <is>
          <t>Week</t>
        </is>
      </c>
      <c r="C221" s="19" t="n">
        <v>11</v>
      </c>
      <c r="D221" s="19" t="n">
        <v>2026</v>
      </c>
      <c r="E221" s="57" t="n">
        <v>1</v>
      </c>
      <c r="F221" s="29">
        <f>ROUND(((SUMIFS(Calendar!$F$2:$F$9997,Calendar!$B$2:$B$9997,D221,Calendar!$C$2:$C$9997,C221)*INDEX(ForeCalc!$B$37:$Y$274,MATCH(_xlfn.CONCAT(H221," ",I221),ForeCalc!$A$37:$A$274,0),MATCH(_xlfn.CONCAT(B221," ",E221),ForeCalc!$B$36:$Y$36,0))))*VLOOKUP(A221,Calendar!$A$2:$H$9997,8,FALSE),0)</f>
        <v/>
      </c>
      <c r="G221" s="29">
        <f>VLOOKUP(A221,Calendar!$A$1:$H$9997,6,FALSE)-F221</f>
        <v/>
      </c>
      <c r="H221" s="19" t="n">
        <v>1</v>
      </c>
      <c r="I221" s="57" t="n">
        <v>8</v>
      </c>
    </row>
    <row r="222">
      <c r="A222" s="62" t="n">
        <v>46333</v>
      </c>
      <c r="B222" s="3" t="inlineStr">
        <is>
          <t>Sat</t>
        </is>
      </c>
      <c r="C222" s="19" t="n">
        <v>11</v>
      </c>
      <c r="D222" s="19" t="n">
        <v>2026</v>
      </c>
      <c r="E222" s="57" t="n">
        <v>1</v>
      </c>
      <c r="F222" s="29">
        <f>ROUND(((SUMIFS(Calendar!$F$2:$F$9997,Calendar!$B$2:$B$9997,D222,Calendar!$C$2:$C$9997,C222)*INDEX(ForeCalc!$B$37:$Y$274,MATCH(_xlfn.CONCAT(H222," ",I222),ForeCalc!$A$37:$A$274,0),MATCH(_xlfn.CONCAT(B222," ",E222),ForeCalc!$B$36:$Y$36,0))))*VLOOKUP(A222,Calendar!$A$2:$H$9997,8,FALSE),0)</f>
        <v/>
      </c>
      <c r="G222" s="29">
        <f>VLOOKUP(A222,Calendar!$A$1:$H$9997,6,FALSE)-F222</f>
        <v/>
      </c>
      <c r="H222" s="19" t="n">
        <v>1</v>
      </c>
      <c r="I222" s="57" t="n">
        <v>8</v>
      </c>
    </row>
    <row r="223">
      <c r="A223" s="62" t="n">
        <v>46334</v>
      </c>
      <c r="B223" s="3" t="inlineStr">
        <is>
          <t>Sun</t>
        </is>
      </c>
      <c r="C223" s="19" t="n">
        <v>11</v>
      </c>
      <c r="D223" s="19" t="n">
        <v>2026</v>
      </c>
      <c r="E223" s="57" t="n">
        <v>1</v>
      </c>
      <c r="F223" s="29">
        <f>ROUND(((SUMIFS(Calendar!$F$2:$F$9997,Calendar!$B$2:$B$9997,D223,Calendar!$C$2:$C$9997,C223)*INDEX(ForeCalc!$B$37:$Y$274,MATCH(_xlfn.CONCAT(H223," ",I223),ForeCalc!$A$37:$A$274,0),MATCH(_xlfn.CONCAT(B223," ",E223),ForeCalc!$B$36:$Y$36,0))))*VLOOKUP(A223,Calendar!$A$2:$H$9997,8,FALSE),0)</f>
        <v/>
      </c>
      <c r="G223" s="29">
        <f>VLOOKUP(A223,Calendar!$A$1:$H$9997,6,FALSE)-F223</f>
        <v/>
      </c>
      <c r="H223" s="19" t="n">
        <v>1</v>
      </c>
      <c r="I223" s="57" t="n">
        <v>8</v>
      </c>
    </row>
    <row r="224">
      <c r="A224" s="62" t="n">
        <v>46335</v>
      </c>
      <c r="B224" s="3" t="inlineStr">
        <is>
          <t>Week</t>
        </is>
      </c>
      <c r="C224" s="19" t="n">
        <v>11</v>
      </c>
      <c r="D224" s="19" t="n">
        <v>2026</v>
      </c>
      <c r="E224" s="57" t="n">
        <v>1</v>
      </c>
      <c r="F224" s="29">
        <f>ROUND(((SUMIFS(Calendar!$F$2:$F$9997,Calendar!$B$2:$B$9997,D224,Calendar!$C$2:$C$9997,C224)*INDEX(ForeCalc!$B$37:$Y$274,MATCH(_xlfn.CONCAT(H224," ",I224),ForeCalc!$A$37:$A$274,0),MATCH(_xlfn.CONCAT(B224," ",E224),ForeCalc!$B$36:$Y$36,0))))*VLOOKUP(A224,Calendar!$A$2:$H$9997,8,FALSE),0)</f>
        <v/>
      </c>
      <c r="G224" s="29">
        <f>VLOOKUP(A224,Calendar!$A$1:$H$9997,6,FALSE)-F224</f>
        <v/>
      </c>
      <c r="H224" s="19" t="n">
        <v>1</v>
      </c>
      <c r="I224" s="57" t="n">
        <v>8</v>
      </c>
    </row>
    <row r="225">
      <c r="A225" s="62" t="n">
        <v>46336</v>
      </c>
      <c r="B225" s="3" t="inlineStr">
        <is>
          <t>Week</t>
        </is>
      </c>
      <c r="C225" s="19" t="n">
        <v>11</v>
      </c>
      <c r="D225" s="19" t="n">
        <v>2026</v>
      </c>
      <c r="E225" s="57" t="n">
        <v>1</v>
      </c>
      <c r="F225" s="29">
        <f>ROUND(((SUMIFS(Calendar!$F$2:$F$9997,Calendar!$B$2:$B$9997,D225,Calendar!$C$2:$C$9997,C225)*INDEX(ForeCalc!$B$37:$Y$274,MATCH(_xlfn.CONCAT(H225," ",I225),ForeCalc!$A$37:$A$274,0),MATCH(_xlfn.CONCAT(B225," ",E225),ForeCalc!$B$36:$Y$36,0))))*VLOOKUP(A225,Calendar!$A$2:$H$9997,8,FALSE),0)</f>
        <v/>
      </c>
      <c r="G225" s="29">
        <f>VLOOKUP(A225,Calendar!$A$1:$H$9997,6,FALSE)-F225</f>
        <v/>
      </c>
      <c r="H225" s="19" t="n">
        <v>1</v>
      </c>
      <c r="I225" s="57" t="n">
        <v>8</v>
      </c>
    </row>
    <row r="226">
      <c r="A226" s="62" t="n">
        <v>46337</v>
      </c>
      <c r="B226" s="3" t="inlineStr">
        <is>
          <t>Week</t>
        </is>
      </c>
      <c r="C226" s="19" t="n">
        <v>11</v>
      </c>
      <c r="D226" s="19" t="n">
        <v>2026</v>
      </c>
      <c r="E226" s="57" t="n">
        <v>1</v>
      </c>
      <c r="F226" s="29">
        <f>ROUND(((SUMIFS(Calendar!$F$2:$F$9997,Calendar!$B$2:$B$9997,D226,Calendar!$C$2:$C$9997,C226)*INDEX(ForeCalc!$B$37:$Y$274,MATCH(_xlfn.CONCAT(H226," ",I226),ForeCalc!$A$37:$A$274,0),MATCH(_xlfn.CONCAT(B226," ",E226),ForeCalc!$B$36:$Y$36,0))))*VLOOKUP(A226,Calendar!$A$2:$H$9997,8,FALSE),0)</f>
        <v/>
      </c>
      <c r="G226" s="29">
        <f>VLOOKUP(A226,Calendar!$A$1:$H$9997,6,FALSE)-F226</f>
        <v/>
      </c>
      <c r="H226" s="19" t="n">
        <v>1</v>
      </c>
      <c r="I226" s="57" t="n">
        <v>8</v>
      </c>
    </row>
    <row r="227">
      <c r="A227" s="62" t="n">
        <v>46338</v>
      </c>
      <c r="B227" s="3" t="inlineStr">
        <is>
          <t>Week</t>
        </is>
      </c>
      <c r="C227" s="19" t="n">
        <v>11</v>
      </c>
      <c r="D227" s="19" t="n">
        <v>2026</v>
      </c>
      <c r="E227" s="57" t="n">
        <v>1</v>
      </c>
      <c r="F227" s="29">
        <f>ROUND(((SUMIFS(Calendar!$F$2:$F$9997,Calendar!$B$2:$B$9997,D227,Calendar!$C$2:$C$9997,C227)*INDEX(ForeCalc!$B$37:$Y$274,MATCH(_xlfn.CONCAT(H227," ",I227),ForeCalc!$A$37:$A$274,0),MATCH(_xlfn.CONCAT(B227," ",E227),ForeCalc!$B$36:$Y$36,0))))*VLOOKUP(A227,Calendar!$A$2:$H$9997,8,FALSE),0)</f>
        <v/>
      </c>
      <c r="G227" s="29">
        <f>VLOOKUP(A227,Calendar!$A$1:$H$9997,6,FALSE)-F227</f>
        <v/>
      </c>
      <c r="H227" s="19" t="n">
        <v>1</v>
      </c>
      <c r="I227" s="57" t="n">
        <v>8</v>
      </c>
    </row>
    <row r="228">
      <c r="A228" s="62" t="n">
        <v>46339</v>
      </c>
      <c r="B228" s="3" t="inlineStr">
        <is>
          <t>Week</t>
        </is>
      </c>
      <c r="C228" s="19" t="n">
        <v>11</v>
      </c>
      <c r="D228" s="19" t="n">
        <v>2026</v>
      </c>
      <c r="E228" s="57" t="n">
        <v>1</v>
      </c>
      <c r="F228" s="29">
        <f>ROUND(((SUMIFS(Calendar!$F$2:$F$9997,Calendar!$B$2:$B$9997,D228,Calendar!$C$2:$C$9997,C228)*INDEX(ForeCalc!$B$37:$Y$274,MATCH(_xlfn.CONCAT(H228," ",I228),ForeCalc!$A$37:$A$274,0),MATCH(_xlfn.CONCAT(B228," ",E228),ForeCalc!$B$36:$Y$36,0))))*VLOOKUP(A228,Calendar!$A$2:$H$9997,8,FALSE),0)</f>
        <v/>
      </c>
      <c r="G228" s="29">
        <f>VLOOKUP(A228,Calendar!$A$1:$H$9997,6,FALSE)-F228</f>
        <v/>
      </c>
      <c r="H228" s="19" t="n">
        <v>1</v>
      </c>
      <c r="I228" s="57" t="n">
        <v>8</v>
      </c>
    </row>
    <row r="229">
      <c r="A229" s="62" t="n">
        <v>46340</v>
      </c>
      <c r="B229" s="3" t="inlineStr">
        <is>
          <t>Sat</t>
        </is>
      </c>
      <c r="C229" s="19" t="n">
        <v>11</v>
      </c>
      <c r="D229" s="19" t="n">
        <v>2026</v>
      </c>
      <c r="E229" s="57" t="n">
        <v>1</v>
      </c>
      <c r="F229" s="29">
        <f>ROUND(((SUMIFS(Calendar!$F$2:$F$9997,Calendar!$B$2:$B$9997,D229,Calendar!$C$2:$C$9997,C229)*INDEX(ForeCalc!$B$37:$Y$274,MATCH(_xlfn.CONCAT(H229," ",I229),ForeCalc!$A$37:$A$274,0),MATCH(_xlfn.CONCAT(B229," ",E229),ForeCalc!$B$36:$Y$36,0))))*VLOOKUP(A229,Calendar!$A$2:$H$9997,8,FALSE),0)</f>
        <v/>
      </c>
      <c r="G229" s="29">
        <f>VLOOKUP(A229,Calendar!$A$1:$H$9997,6,FALSE)-F229</f>
        <v/>
      </c>
      <c r="H229" s="19" t="n">
        <v>1</v>
      </c>
      <c r="I229" s="57" t="n">
        <v>8</v>
      </c>
    </row>
    <row r="230">
      <c r="A230" s="62" t="n">
        <v>46341</v>
      </c>
      <c r="B230" s="3" t="inlineStr">
        <is>
          <t>Sun</t>
        </is>
      </c>
      <c r="C230" s="19" t="n">
        <v>11</v>
      </c>
      <c r="D230" s="19" t="n">
        <v>2026</v>
      </c>
      <c r="E230" s="57" t="n">
        <v>1</v>
      </c>
      <c r="F230" s="29">
        <f>ROUND(((SUMIFS(Calendar!$F$2:$F$9997,Calendar!$B$2:$B$9997,D230,Calendar!$C$2:$C$9997,C230)*INDEX(ForeCalc!$B$37:$Y$274,MATCH(_xlfn.CONCAT(H230," ",I230),ForeCalc!$A$37:$A$274,0),MATCH(_xlfn.CONCAT(B230," ",E230),ForeCalc!$B$36:$Y$36,0))))*VLOOKUP(A230,Calendar!$A$2:$H$9997,8,FALSE),0)</f>
        <v/>
      </c>
      <c r="G230" s="29">
        <f>VLOOKUP(A230,Calendar!$A$1:$H$9997,6,FALSE)-F230</f>
        <v/>
      </c>
      <c r="H230" s="19" t="n">
        <v>1</v>
      </c>
      <c r="I230" s="57" t="n">
        <v>8</v>
      </c>
    </row>
    <row r="231">
      <c r="A231" s="62" t="n">
        <v>46342</v>
      </c>
      <c r="B231" s="3" t="inlineStr">
        <is>
          <t>Week</t>
        </is>
      </c>
      <c r="C231" s="19" t="n">
        <v>11</v>
      </c>
      <c r="D231" s="19" t="n">
        <v>2026</v>
      </c>
      <c r="E231" s="57" t="n">
        <v>1</v>
      </c>
      <c r="F231" s="29">
        <f>ROUND(((SUMIFS(Calendar!$F$2:$F$9997,Calendar!$B$2:$B$9997,D231,Calendar!$C$2:$C$9997,C231)*INDEX(ForeCalc!$B$37:$Y$274,MATCH(_xlfn.CONCAT(H231," ",I231),ForeCalc!$A$37:$A$274,0),MATCH(_xlfn.CONCAT(B231," ",E231),ForeCalc!$B$36:$Y$36,0))))*VLOOKUP(A231,Calendar!$A$2:$H$9997,8,FALSE),0)</f>
        <v/>
      </c>
      <c r="G231" s="29">
        <f>VLOOKUP(A231,Calendar!$A$1:$H$9997,6,FALSE)-F231</f>
        <v/>
      </c>
      <c r="H231" s="19" t="n">
        <v>1</v>
      </c>
      <c r="I231" s="57" t="n">
        <v>8</v>
      </c>
    </row>
    <row r="232">
      <c r="A232" s="62" t="n">
        <v>46343</v>
      </c>
      <c r="B232" s="3" t="inlineStr">
        <is>
          <t>Week</t>
        </is>
      </c>
      <c r="C232" s="19" t="n">
        <v>11</v>
      </c>
      <c r="D232" s="19" t="n">
        <v>2026</v>
      </c>
      <c r="E232" s="57" t="n">
        <v>1</v>
      </c>
      <c r="F232" s="29">
        <f>ROUND(((SUMIFS(Calendar!$F$2:$F$9997,Calendar!$B$2:$B$9997,D232,Calendar!$C$2:$C$9997,C232)*INDEX(ForeCalc!$B$37:$Y$274,MATCH(_xlfn.CONCAT(H232," ",I232),ForeCalc!$A$37:$A$274,0),MATCH(_xlfn.CONCAT(B232," ",E232),ForeCalc!$B$36:$Y$36,0))))*VLOOKUP(A232,Calendar!$A$2:$H$9997,8,FALSE),0)</f>
        <v/>
      </c>
      <c r="G232" s="29">
        <f>VLOOKUP(A232,Calendar!$A$1:$H$9997,6,FALSE)-F232</f>
        <v/>
      </c>
      <c r="H232" s="19" t="n">
        <v>1</v>
      </c>
      <c r="I232" s="57" t="n">
        <v>8</v>
      </c>
    </row>
    <row r="233">
      <c r="A233" s="62" t="n">
        <v>46344</v>
      </c>
      <c r="B233" s="3" t="inlineStr">
        <is>
          <t>Week</t>
        </is>
      </c>
      <c r="C233" s="19" t="n">
        <v>11</v>
      </c>
      <c r="D233" s="19" t="n">
        <v>2026</v>
      </c>
      <c r="E233" s="57" t="n">
        <v>1</v>
      </c>
      <c r="F233" s="29">
        <f>ROUND(((SUMIFS(Calendar!$F$2:$F$9997,Calendar!$B$2:$B$9997,D233,Calendar!$C$2:$C$9997,C233)*INDEX(ForeCalc!$B$37:$Y$274,MATCH(_xlfn.CONCAT(H233," ",I233),ForeCalc!$A$37:$A$274,0),MATCH(_xlfn.CONCAT(B233," ",E233),ForeCalc!$B$36:$Y$36,0))))*VLOOKUP(A233,Calendar!$A$2:$H$9997,8,FALSE),0)</f>
        <v/>
      </c>
      <c r="G233" s="29">
        <f>VLOOKUP(A233,Calendar!$A$1:$H$9997,6,FALSE)-F233</f>
        <v/>
      </c>
      <c r="H233" s="19" t="n">
        <v>1</v>
      </c>
      <c r="I233" s="57" t="n">
        <v>8</v>
      </c>
    </row>
    <row r="234">
      <c r="A234" s="62" t="n">
        <v>46345</v>
      </c>
      <c r="B234" s="3" t="inlineStr">
        <is>
          <t>Week</t>
        </is>
      </c>
      <c r="C234" s="19" t="n">
        <v>11</v>
      </c>
      <c r="D234" s="19" t="n">
        <v>2026</v>
      </c>
      <c r="E234" s="57" t="n">
        <v>1</v>
      </c>
      <c r="F234" s="29">
        <f>ROUND(((SUMIFS(Calendar!$F$2:$F$9997,Calendar!$B$2:$B$9997,D234,Calendar!$C$2:$C$9997,C234)*INDEX(ForeCalc!$B$37:$Y$274,MATCH(_xlfn.CONCAT(H234," ",I234),ForeCalc!$A$37:$A$274,0),MATCH(_xlfn.CONCAT(B234," ",E234),ForeCalc!$B$36:$Y$36,0))))*VLOOKUP(A234,Calendar!$A$2:$H$9997,8,FALSE),0)</f>
        <v/>
      </c>
      <c r="G234" s="29">
        <f>VLOOKUP(A234,Calendar!$A$1:$H$9997,6,FALSE)-F234</f>
        <v/>
      </c>
      <c r="H234" s="19" t="n">
        <v>1</v>
      </c>
      <c r="I234" s="57" t="n">
        <v>8</v>
      </c>
    </row>
    <row r="235">
      <c r="A235" s="62" t="n">
        <v>46346</v>
      </c>
      <c r="B235" s="3" t="inlineStr">
        <is>
          <t>Week</t>
        </is>
      </c>
      <c r="C235" s="19" t="n">
        <v>11</v>
      </c>
      <c r="D235" s="19" t="n">
        <v>2026</v>
      </c>
      <c r="E235" s="57" t="n">
        <v>1</v>
      </c>
      <c r="F235" s="29">
        <f>ROUND(((SUMIFS(Calendar!$F$2:$F$9997,Calendar!$B$2:$B$9997,D235,Calendar!$C$2:$C$9997,C235)*INDEX(ForeCalc!$B$37:$Y$274,MATCH(_xlfn.CONCAT(H235," ",I235),ForeCalc!$A$37:$A$274,0),MATCH(_xlfn.CONCAT(B235," ",E235),ForeCalc!$B$36:$Y$36,0))))*VLOOKUP(A235,Calendar!$A$2:$H$9997,8,FALSE),0)</f>
        <v/>
      </c>
      <c r="G235" s="29">
        <f>VLOOKUP(A235,Calendar!$A$1:$H$9997,6,FALSE)-F235</f>
        <v/>
      </c>
      <c r="H235" s="19" t="n">
        <v>1</v>
      </c>
      <c r="I235" s="57" t="n">
        <v>8</v>
      </c>
    </row>
    <row r="236">
      <c r="A236" s="62" t="n">
        <v>46347</v>
      </c>
      <c r="B236" s="3" t="inlineStr">
        <is>
          <t>Sat</t>
        </is>
      </c>
      <c r="C236" s="19" t="n">
        <v>11</v>
      </c>
      <c r="D236" s="19" t="n">
        <v>2026</v>
      </c>
      <c r="E236" s="57" t="n">
        <v>1</v>
      </c>
      <c r="F236" s="29">
        <f>ROUND(((SUMIFS(Calendar!$F$2:$F$9997,Calendar!$B$2:$B$9997,D236,Calendar!$C$2:$C$9997,C236)*INDEX(ForeCalc!$B$37:$Y$274,MATCH(_xlfn.CONCAT(H236," ",I236),ForeCalc!$A$37:$A$274,0),MATCH(_xlfn.CONCAT(B236," ",E236),ForeCalc!$B$36:$Y$36,0))))*VLOOKUP(A236,Calendar!$A$2:$H$9997,8,FALSE),0)</f>
        <v/>
      </c>
      <c r="G236" s="29">
        <f>VLOOKUP(A236,Calendar!$A$1:$H$9997,6,FALSE)-F236</f>
        <v/>
      </c>
      <c r="H236" s="19" t="n">
        <v>1</v>
      </c>
      <c r="I236" s="57" t="n">
        <v>8</v>
      </c>
    </row>
    <row r="237">
      <c r="A237" s="62" t="n">
        <v>46348</v>
      </c>
      <c r="B237" s="3" t="inlineStr">
        <is>
          <t>Sun</t>
        </is>
      </c>
      <c r="C237" s="19" t="n">
        <v>11</v>
      </c>
      <c r="D237" s="19" t="n">
        <v>2026</v>
      </c>
      <c r="E237" s="57" t="n">
        <v>1</v>
      </c>
      <c r="F237" s="29">
        <f>ROUND(((SUMIFS(Calendar!$F$2:$F$9997,Calendar!$B$2:$B$9997,D237,Calendar!$C$2:$C$9997,C237)*INDEX(ForeCalc!$B$37:$Y$274,MATCH(_xlfn.CONCAT(H237," ",I237),ForeCalc!$A$37:$A$274,0),MATCH(_xlfn.CONCAT(B237," ",E237),ForeCalc!$B$36:$Y$36,0))))*VLOOKUP(A237,Calendar!$A$2:$H$9997,8,FALSE),0)</f>
        <v/>
      </c>
      <c r="G237" s="29">
        <f>VLOOKUP(A237,Calendar!$A$1:$H$9997,6,FALSE)-F237</f>
        <v/>
      </c>
      <c r="H237" s="19" t="n">
        <v>1</v>
      </c>
      <c r="I237" s="57" t="n">
        <v>8</v>
      </c>
    </row>
    <row r="238">
      <c r="A238" s="62" t="n">
        <v>46349</v>
      </c>
      <c r="B238" s="3" t="inlineStr">
        <is>
          <t>Week</t>
        </is>
      </c>
      <c r="C238" s="19" t="n">
        <v>11</v>
      </c>
      <c r="D238" s="19" t="n">
        <v>2026</v>
      </c>
      <c r="E238" s="57" t="n">
        <v>1</v>
      </c>
      <c r="F238" s="29">
        <f>ROUND(((SUMIFS(Calendar!$F$2:$F$9997,Calendar!$B$2:$B$9997,D238,Calendar!$C$2:$C$9997,C238)*INDEX(ForeCalc!$B$37:$Y$274,MATCH(_xlfn.CONCAT(H238," ",I238),ForeCalc!$A$37:$A$274,0),MATCH(_xlfn.CONCAT(B238," ",E238),ForeCalc!$B$36:$Y$36,0))))*VLOOKUP(A238,Calendar!$A$2:$H$9997,8,FALSE),0)</f>
        <v/>
      </c>
      <c r="G238" s="29">
        <f>VLOOKUP(A238,Calendar!$A$1:$H$9997,6,FALSE)-F238</f>
        <v/>
      </c>
      <c r="H238" s="19" t="n">
        <v>1</v>
      </c>
      <c r="I238" s="57" t="n">
        <v>8</v>
      </c>
    </row>
    <row r="239">
      <c r="A239" s="62" t="n">
        <v>46350</v>
      </c>
      <c r="B239" s="3" t="inlineStr">
        <is>
          <t>Week</t>
        </is>
      </c>
      <c r="C239" s="19" t="n">
        <v>11</v>
      </c>
      <c r="D239" s="19" t="n">
        <v>2026</v>
      </c>
      <c r="E239" s="57" t="n">
        <v>1</v>
      </c>
      <c r="F239" s="29">
        <f>ROUND(((SUMIFS(Calendar!$F$2:$F$9997,Calendar!$B$2:$B$9997,D239,Calendar!$C$2:$C$9997,C239)*INDEX(ForeCalc!$B$37:$Y$274,MATCH(_xlfn.CONCAT(H239," ",I239),ForeCalc!$A$37:$A$274,0),MATCH(_xlfn.CONCAT(B239," ",E239),ForeCalc!$B$36:$Y$36,0))))*VLOOKUP(A239,Calendar!$A$2:$H$9997,8,FALSE),0)</f>
        <v/>
      </c>
      <c r="G239" s="29">
        <f>VLOOKUP(A239,Calendar!$A$1:$H$9997,6,FALSE)-F239</f>
        <v/>
      </c>
      <c r="H239" s="19" t="n">
        <v>1</v>
      </c>
      <c r="I239" s="57" t="n">
        <v>8</v>
      </c>
    </row>
    <row r="240">
      <c r="A240" s="62" t="n">
        <v>46351</v>
      </c>
      <c r="B240" s="3" t="inlineStr">
        <is>
          <t>Week</t>
        </is>
      </c>
      <c r="C240" s="19" t="n">
        <v>11</v>
      </c>
      <c r="D240" s="19" t="n">
        <v>2026</v>
      </c>
      <c r="E240" s="57" t="n">
        <v>1</v>
      </c>
      <c r="F240" s="29">
        <f>ROUND(((SUMIFS(Calendar!$F$2:$F$9997,Calendar!$B$2:$B$9997,D240,Calendar!$C$2:$C$9997,C240)*INDEX(ForeCalc!$B$37:$Y$274,MATCH(_xlfn.CONCAT(H240," ",I240),ForeCalc!$A$37:$A$274,0),MATCH(_xlfn.CONCAT(B240," ",E240),ForeCalc!$B$36:$Y$36,0))))*VLOOKUP(A240,Calendar!$A$2:$H$9997,8,FALSE),0)</f>
        <v/>
      </c>
      <c r="G240" s="29">
        <f>VLOOKUP(A240,Calendar!$A$1:$H$9997,6,FALSE)-F240</f>
        <v/>
      </c>
      <c r="H240" s="19" t="n">
        <v>1</v>
      </c>
      <c r="I240" s="57" t="n">
        <v>8</v>
      </c>
    </row>
    <row r="241">
      <c r="A241" s="62" t="n">
        <v>46352</v>
      </c>
      <c r="B241" s="3" t="inlineStr">
        <is>
          <t>Week</t>
        </is>
      </c>
      <c r="C241" s="19" t="n">
        <v>11</v>
      </c>
      <c r="D241" s="19" t="n">
        <v>2026</v>
      </c>
      <c r="E241" s="57" t="n">
        <v>1</v>
      </c>
      <c r="F241" s="29">
        <f>ROUND(((SUMIFS(Calendar!$F$2:$F$9997,Calendar!$B$2:$B$9997,D241,Calendar!$C$2:$C$9997,C241)*INDEX(ForeCalc!$B$37:$Y$274,MATCH(_xlfn.CONCAT(H241," ",I241),ForeCalc!$A$37:$A$274,0),MATCH(_xlfn.CONCAT(B241," ",E241),ForeCalc!$B$36:$Y$36,0))))*VLOOKUP(A241,Calendar!$A$2:$H$9997,8,FALSE),0)</f>
        <v/>
      </c>
      <c r="G241" s="29">
        <f>VLOOKUP(A241,Calendar!$A$1:$H$9997,6,FALSE)-F241</f>
        <v/>
      </c>
      <c r="H241" s="19" t="n">
        <v>1</v>
      </c>
      <c r="I241" s="57" t="n">
        <v>8</v>
      </c>
    </row>
    <row r="242">
      <c r="A242" s="62" t="n">
        <v>46353</v>
      </c>
      <c r="B242" s="3" t="inlineStr">
        <is>
          <t>Week</t>
        </is>
      </c>
      <c r="C242" s="19" t="n">
        <v>11</v>
      </c>
      <c r="D242" s="19" t="n">
        <v>2026</v>
      </c>
      <c r="E242" s="57" t="n">
        <v>1</v>
      </c>
      <c r="F242" s="29">
        <f>ROUND(((SUMIFS(Calendar!$F$2:$F$9997,Calendar!$B$2:$B$9997,D242,Calendar!$C$2:$C$9997,C242)*INDEX(ForeCalc!$B$37:$Y$274,MATCH(_xlfn.CONCAT(H242," ",I242),ForeCalc!$A$37:$A$274,0),MATCH(_xlfn.CONCAT(B242," ",E242),ForeCalc!$B$36:$Y$36,0))))*VLOOKUP(A242,Calendar!$A$2:$H$9997,8,FALSE),0)</f>
        <v/>
      </c>
      <c r="G242" s="29">
        <f>VLOOKUP(A242,Calendar!$A$1:$H$9997,6,FALSE)-F242</f>
        <v/>
      </c>
      <c r="H242" s="19" t="n">
        <v>1</v>
      </c>
      <c r="I242" s="57" t="n">
        <v>8</v>
      </c>
    </row>
    <row r="243">
      <c r="A243" s="62" t="n">
        <v>46354</v>
      </c>
      <c r="B243" s="3" t="inlineStr">
        <is>
          <t>Sat</t>
        </is>
      </c>
      <c r="C243" s="19" t="n">
        <v>11</v>
      </c>
      <c r="D243" s="19" t="n">
        <v>2026</v>
      </c>
      <c r="E243" s="57" t="n">
        <v>1</v>
      </c>
      <c r="F243" s="29">
        <f>ROUND(((SUMIFS(Calendar!$F$2:$F$9997,Calendar!$B$2:$B$9997,D243,Calendar!$C$2:$C$9997,C243)*INDEX(ForeCalc!$B$37:$Y$274,MATCH(_xlfn.CONCAT(H243," ",I243),ForeCalc!$A$37:$A$274,0),MATCH(_xlfn.CONCAT(B243," ",E243),ForeCalc!$B$36:$Y$36,0))))*VLOOKUP(A243,Calendar!$A$2:$H$9997,8,FALSE),0)</f>
        <v/>
      </c>
      <c r="G243" s="29">
        <f>VLOOKUP(A243,Calendar!$A$1:$H$9997,6,FALSE)-F243</f>
        <v/>
      </c>
      <c r="H243" s="19" t="n">
        <v>1</v>
      </c>
      <c r="I243" s="57" t="n">
        <v>8</v>
      </c>
    </row>
    <row r="244">
      <c r="A244" s="62" t="n">
        <v>46355</v>
      </c>
      <c r="B244" s="3" t="inlineStr">
        <is>
          <t>Sun</t>
        </is>
      </c>
      <c r="C244" s="19" t="n">
        <v>11</v>
      </c>
      <c r="D244" s="19" t="n">
        <v>2026</v>
      </c>
      <c r="E244" s="57" t="n">
        <v>1</v>
      </c>
      <c r="F244" s="29">
        <f>ROUND(((SUMIFS(Calendar!$F$2:$F$9997,Calendar!$B$2:$B$9997,D244,Calendar!$C$2:$C$9997,C244)*INDEX(ForeCalc!$B$37:$Y$274,MATCH(_xlfn.CONCAT(H244," ",I244),ForeCalc!$A$37:$A$274,0),MATCH(_xlfn.CONCAT(B244," ",E244),ForeCalc!$B$36:$Y$36,0))))*VLOOKUP(A244,Calendar!$A$2:$H$9997,8,FALSE),0)</f>
        <v/>
      </c>
      <c r="G244" s="29">
        <f>VLOOKUP(A244,Calendar!$A$1:$H$9997,6,FALSE)-F244</f>
        <v/>
      </c>
      <c r="H244" s="19" t="n">
        <v>1</v>
      </c>
      <c r="I244" s="57" t="n">
        <v>8</v>
      </c>
    </row>
    <row r="245">
      <c r="A245" s="62" t="n">
        <v>46356</v>
      </c>
      <c r="B245" s="3" t="inlineStr">
        <is>
          <t>Week</t>
        </is>
      </c>
      <c r="C245" s="19" t="n">
        <v>11</v>
      </c>
      <c r="D245" s="19" t="n">
        <v>2026</v>
      </c>
      <c r="E245" s="57" t="n">
        <v>1</v>
      </c>
      <c r="F245" s="29">
        <f>ROUND(((SUMIFS(Calendar!$F$2:$F$9997,Calendar!$B$2:$B$9997,D245,Calendar!$C$2:$C$9997,C245)*INDEX(ForeCalc!$B$37:$Y$274,MATCH(_xlfn.CONCAT(H245," ",I245),ForeCalc!$A$37:$A$274,0),MATCH(_xlfn.CONCAT(B245," ",E245),ForeCalc!$B$36:$Y$36,0))))*VLOOKUP(A245,Calendar!$A$2:$H$9997,8,FALSE),0)</f>
        <v/>
      </c>
      <c r="G245" s="29">
        <f>VLOOKUP(A245,Calendar!$A$1:$H$9997,6,FALSE)-F245</f>
        <v/>
      </c>
      <c r="H245" s="19" t="n">
        <v>1</v>
      </c>
      <c r="I245" s="57" t="n">
        <v>8</v>
      </c>
    </row>
    <row r="246">
      <c r="A246" s="62" t="n">
        <v>46357</v>
      </c>
      <c r="B246" s="3" t="inlineStr">
        <is>
          <t>Week</t>
        </is>
      </c>
      <c r="C246" s="19" t="n">
        <v>12</v>
      </c>
      <c r="D246" s="19" t="n">
        <v>2026</v>
      </c>
      <c r="E246" s="57" t="n">
        <v>1</v>
      </c>
      <c r="F246" s="29">
        <f>ROUND(((SUMIFS(Calendar!$F$2:$F$9997,Calendar!$B$2:$B$9997,D246,Calendar!$C$2:$C$9997,C246)*INDEX(ForeCalc!$B$37:$Y$274,MATCH(_xlfn.CONCAT(H246," ",I246),ForeCalc!$A$37:$A$274,0),MATCH(_xlfn.CONCAT(B246," ",E246),ForeCalc!$B$36:$Y$36,0))))*VLOOKUP(A246,Calendar!$A$2:$H$9997,8,FALSE),0)</f>
        <v/>
      </c>
      <c r="G246" s="29">
        <f>VLOOKUP(A246,Calendar!$A$1:$H$9997,6,FALSE)-F246</f>
        <v/>
      </c>
      <c r="H246" s="19" t="n">
        <v>1</v>
      </c>
      <c r="I246" s="57" t="n">
        <v>9</v>
      </c>
    </row>
    <row r="247">
      <c r="A247" s="62" t="n">
        <v>46358</v>
      </c>
      <c r="B247" s="3" t="inlineStr">
        <is>
          <t>Week</t>
        </is>
      </c>
      <c r="C247" s="19" t="n">
        <v>12</v>
      </c>
      <c r="D247" s="19" t="n">
        <v>2026</v>
      </c>
      <c r="E247" s="57" t="n">
        <v>1</v>
      </c>
      <c r="F247" s="29">
        <f>ROUND(((SUMIFS(Calendar!$F$2:$F$9997,Calendar!$B$2:$B$9997,D247,Calendar!$C$2:$C$9997,C247)*INDEX(ForeCalc!$B$37:$Y$274,MATCH(_xlfn.CONCAT(H247," ",I247),ForeCalc!$A$37:$A$274,0),MATCH(_xlfn.CONCAT(B247," ",E247),ForeCalc!$B$36:$Y$36,0))))*VLOOKUP(A247,Calendar!$A$2:$H$9997,8,FALSE),0)</f>
        <v/>
      </c>
      <c r="G247" s="29">
        <f>VLOOKUP(A247,Calendar!$A$1:$H$9997,6,FALSE)-F247</f>
        <v/>
      </c>
      <c r="H247" s="19" t="n">
        <v>1</v>
      </c>
      <c r="I247" s="57" t="n">
        <v>9</v>
      </c>
    </row>
    <row r="248">
      <c r="A248" s="62" t="n">
        <v>46359</v>
      </c>
      <c r="B248" s="3" t="inlineStr">
        <is>
          <t>Week</t>
        </is>
      </c>
      <c r="C248" s="19" t="n">
        <v>12</v>
      </c>
      <c r="D248" s="19" t="n">
        <v>2026</v>
      </c>
      <c r="E248" s="57" t="n">
        <v>1</v>
      </c>
      <c r="F248" s="29">
        <f>ROUND(((SUMIFS(Calendar!$F$2:$F$9997,Calendar!$B$2:$B$9997,D248,Calendar!$C$2:$C$9997,C248)*INDEX(ForeCalc!$B$37:$Y$274,MATCH(_xlfn.CONCAT(H248," ",I248),ForeCalc!$A$37:$A$274,0),MATCH(_xlfn.CONCAT(B248," ",E248),ForeCalc!$B$36:$Y$36,0))))*VLOOKUP(A248,Calendar!$A$2:$H$9997,8,FALSE),0)</f>
        <v/>
      </c>
      <c r="G248" s="29">
        <f>VLOOKUP(A248,Calendar!$A$1:$H$9997,6,FALSE)-F248</f>
        <v/>
      </c>
      <c r="H248" s="19" t="n">
        <v>1</v>
      </c>
      <c r="I248" s="57" t="n">
        <v>9</v>
      </c>
    </row>
    <row r="249">
      <c r="A249" s="62" t="n">
        <v>46360</v>
      </c>
      <c r="B249" s="3" t="inlineStr">
        <is>
          <t>Week</t>
        </is>
      </c>
      <c r="C249" s="19" t="n">
        <v>12</v>
      </c>
      <c r="D249" s="19" t="n">
        <v>2026</v>
      </c>
      <c r="E249" s="57" t="n">
        <v>1</v>
      </c>
      <c r="F249" s="29">
        <f>ROUND(((SUMIFS(Calendar!$F$2:$F$9997,Calendar!$B$2:$B$9997,D249,Calendar!$C$2:$C$9997,C249)*INDEX(ForeCalc!$B$37:$Y$274,MATCH(_xlfn.CONCAT(H249," ",I249),ForeCalc!$A$37:$A$274,0),MATCH(_xlfn.CONCAT(B249," ",E249),ForeCalc!$B$36:$Y$36,0))))*VLOOKUP(A249,Calendar!$A$2:$H$9997,8,FALSE),0)</f>
        <v/>
      </c>
      <c r="G249" s="29">
        <f>VLOOKUP(A249,Calendar!$A$1:$H$9997,6,FALSE)-F249</f>
        <v/>
      </c>
      <c r="H249" s="19" t="n">
        <v>1</v>
      </c>
      <c r="I249" s="57" t="n">
        <v>9</v>
      </c>
    </row>
    <row r="250">
      <c r="A250" s="62" t="n">
        <v>46361</v>
      </c>
      <c r="B250" s="3" t="inlineStr">
        <is>
          <t>Sat</t>
        </is>
      </c>
      <c r="C250" s="19" t="n">
        <v>12</v>
      </c>
      <c r="D250" s="19" t="n">
        <v>2026</v>
      </c>
      <c r="E250" s="57" t="n">
        <v>1</v>
      </c>
      <c r="F250" s="29">
        <f>ROUND(((SUMIFS(Calendar!$F$2:$F$9997,Calendar!$B$2:$B$9997,D250,Calendar!$C$2:$C$9997,C250)*INDEX(ForeCalc!$B$37:$Y$274,MATCH(_xlfn.CONCAT(H250," ",I250),ForeCalc!$A$37:$A$274,0),MATCH(_xlfn.CONCAT(B250," ",E250),ForeCalc!$B$36:$Y$36,0))))*VLOOKUP(A250,Calendar!$A$2:$H$9997,8,FALSE),0)</f>
        <v/>
      </c>
      <c r="G250" s="29">
        <f>VLOOKUP(A250,Calendar!$A$1:$H$9997,6,FALSE)-F250</f>
        <v/>
      </c>
      <c r="H250" s="19" t="n">
        <v>1</v>
      </c>
      <c r="I250" s="57" t="n">
        <v>9</v>
      </c>
    </row>
    <row r="251">
      <c r="A251" s="62" t="n">
        <v>46362</v>
      </c>
      <c r="B251" s="3" t="inlineStr">
        <is>
          <t>Sun</t>
        </is>
      </c>
      <c r="C251" s="19" t="n">
        <v>12</v>
      </c>
      <c r="D251" s="19" t="n">
        <v>2026</v>
      </c>
      <c r="E251" s="57" t="n">
        <v>1</v>
      </c>
      <c r="F251" s="29">
        <f>ROUND(((SUMIFS(Calendar!$F$2:$F$9997,Calendar!$B$2:$B$9997,D251,Calendar!$C$2:$C$9997,C251)*INDEX(ForeCalc!$B$37:$Y$274,MATCH(_xlfn.CONCAT(H251," ",I251),ForeCalc!$A$37:$A$274,0),MATCH(_xlfn.CONCAT(B251," ",E251),ForeCalc!$B$36:$Y$36,0))))*VLOOKUP(A251,Calendar!$A$2:$H$9997,8,FALSE),0)</f>
        <v/>
      </c>
      <c r="G251" s="29">
        <f>VLOOKUP(A251,Calendar!$A$1:$H$9997,6,FALSE)-F251</f>
        <v/>
      </c>
      <c r="H251" s="19" t="n">
        <v>1</v>
      </c>
      <c r="I251" s="57" t="n">
        <v>9</v>
      </c>
    </row>
    <row r="252">
      <c r="A252" s="62" t="n">
        <v>46363</v>
      </c>
      <c r="B252" s="3" t="inlineStr">
        <is>
          <t>Week</t>
        </is>
      </c>
      <c r="C252" s="19" t="n">
        <v>12</v>
      </c>
      <c r="D252" s="19" t="n">
        <v>2026</v>
      </c>
      <c r="E252" s="57" t="n">
        <v>1</v>
      </c>
      <c r="F252" s="29">
        <f>ROUND(((SUMIFS(Calendar!$F$2:$F$9997,Calendar!$B$2:$B$9997,D252,Calendar!$C$2:$C$9997,C252)*INDEX(ForeCalc!$B$37:$Y$274,MATCH(_xlfn.CONCAT(H252," ",I252),ForeCalc!$A$37:$A$274,0),MATCH(_xlfn.CONCAT(B252," ",E252),ForeCalc!$B$36:$Y$36,0))))*VLOOKUP(A252,Calendar!$A$2:$H$9997,8,FALSE),0)</f>
        <v/>
      </c>
      <c r="G252" s="29">
        <f>VLOOKUP(A252,Calendar!$A$1:$H$9997,6,FALSE)-F252</f>
        <v/>
      </c>
      <c r="H252" s="19" t="n">
        <v>1</v>
      </c>
      <c r="I252" s="57" t="n">
        <v>9</v>
      </c>
    </row>
    <row r="253">
      <c r="A253" s="62" t="n">
        <v>46364</v>
      </c>
      <c r="B253" s="3" t="inlineStr">
        <is>
          <t>Week</t>
        </is>
      </c>
      <c r="C253" s="19" t="n">
        <v>12</v>
      </c>
      <c r="D253" s="19" t="n">
        <v>2026</v>
      </c>
      <c r="E253" s="57" t="n">
        <v>1</v>
      </c>
      <c r="F253" s="29">
        <f>ROUND(((SUMIFS(Calendar!$F$2:$F$9997,Calendar!$B$2:$B$9997,D253,Calendar!$C$2:$C$9997,C253)*INDEX(ForeCalc!$B$37:$Y$274,MATCH(_xlfn.CONCAT(H253," ",I253),ForeCalc!$A$37:$A$274,0),MATCH(_xlfn.CONCAT(B253," ",E253),ForeCalc!$B$36:$Y$36,0))))*VLOOKUP(A253,Calendar!$A$2:$H$9997,8,FALSE),0)</f>
        <v/>
      </c>
      <c r="G253" s="29">
        <f>VLOOKUP(A253,Calendar!$A$1:$H$9997,6,FALSE)-F253</f>
        <v/>
      </c>
      <c r="H253" s="19" t="n">
        <v>1</v>
      </c>
      <c r="I253" s="57" t="n">
        <v>9</v>
      </c>
    </row>
    <row r="254">
      <c r="A254" s="62" t="n">
        <v>46365</v>
      </c>
      <c r="B254" s="3" t="inlineStr">
        <is>
          <t>Week</t>
        </is>
      </c>
      <c r="C254" s="19" t="n">
        <v>12</v>
      </c>
      <c r="D254" s="19" t="n">
        <v>2026</v>
      </c>
      <c r="E254" s="57" t="n">
        <v>1</v>
      </c>
      <c r="F254" s="29">
        <f>ROUND(((SUMIFS(Calendar!$F$2:$F$9997,Calendar!$B$2:$B$9997,D254,Calendar!$C$2:$C$9997,C254)*INDEX(ForeCalc!$B$37:$Y$274,MATCH(_xlfn.CONCAT(H254," ",I254),ForeCalc!$A$37:$A$274,0),MATCH(_xlfn.CONCAT(B254," ",E254),ForeCalc!$B$36:$Y$36,0))))*VLOOKUP(A254,Calendar!$A$2:$H$9997,8,FALSE),0)</f>
        <v/>
      </c>
      <c r="G254" s="29">
        <f>VLOOKUP(A254,Calendar!$A$1:$H$9997,6,FALSE)-F254</f>
        <v/>
      </c>
      <c r="H254" s="19" t="n">
        <v>1</v>
      </c>
      <c r="I254" s="57" t="n">
        <v>9</v>
      </c>
    </row>
    <row r="255">
      <c r="A255" s="62" t="n">
        <v>46366</v>
      </c>
      <c r="B255" s="3" t="inlineStr">
        <is>
          <t>Week</t>
        </is>
      </c>
      <c r="C255" s="19" t="n">
        <v>12</v>
      </c>
      <c r="D255" s="19" t="n">
        <v>2026</v>
      </c>
      <c r="E255" s="57" t="n">
        <v>1</v>
      </c>
      <c r="F255" s="29">
        <f>ROUND(((SUMIFS(Calendar!$F$2:$F$9997,Calendar!$B$2:$B$9997,D255,Calendar!$C$2:$C$9997,C255)*INDEX(ForeCalc!$B$37:$Y$274,MATCH(_xlfn.CONCAT(H255," ",I255),ForeCalc!$A$37:$A$274,0),MATCH(_xlfn.CONCAT(B255," ",E255),ForeCalc!$B$36:$Y$36,0))))*VLOOKUP(A255,Calendar!$A$2:$H$9997,8,FALSE),0)</f>
        <v/>
      </c>
      <c r="G255" s="29">
        <f>VLOOKUP(A255,Calendar!$A$1:$H$9997,6,FALSE)-F255</f>
        <v/>
      </c>
      <c r="H255" s="19" t="n">
        <v>1</v>
      </c>
      <c r="I255" s="57" t="n">
        <v>9</v>
      </c>
    </row>
    <row r="256">
      <c r="A256" s="62" t="n">
        <v>46367</v>
      </c>
      <c r="B256" s="3" t="inlineStr">
        <is>
          <t>Week</t>
        </is>
      </c>
      <c r="C256" s="19" t="n">
        <v>12</v>
      </c>
      <c r="D256" s="19" t="n">
        <v>2026</v>
      </c>
      <c r="E256" s="57" t="n">
        <v>1</v>
      </c>
      <c r="F256" s="29">
        <f>ROUND(((SUMIFS(Calendar!$F$2:$F$9997,Calendar!$B$2:$B$9997,D256,Calendar!$C$2:$C$9997,C256)*INDEX(ForeCalc!$B$37:$Y$274,MATCH(_xlfn.CONCAT(H256," ",I256),ForeCalc!$A$37:$A$274,0),MATCH(_xlfn.CONCAT(B256," ",E256),ForeCalc!$B$36:$Y$36,0))))*VLOOKUP(A256,Calendar!$A$2:$H$9997,8,FALSE),0)</f>
        <v/>
      </c>
      <c r="G256" s="29">
        <f>VLOOKUP(A256,Calendar!$A$1:$H$9997,6,FALSE)-F256</f>
        <v/>
      </c>
      <c r="H256" s="19" t="n">
        <v>1</v>
      </c>
      <c r="I256" s="57" t="n">
        <v>9</v>
      </c>
    </row>
    <row r="257">
      <c r="A257" s="62" t="n">
        <v>46368</v>
      </c>
      <c r="B257" s="3" t="inlineStr">
        <is>
          <t>Sat</t>
        </is>
      </c>
      <c r="C257" s="19" t="n">
        <v>12</v>
      </c>
      <c r="D257" s="19" t="n">
        <v>2026</v>
      </c>
      <c r="E257" s="57" t="n">
        <v>1</v>
      </c>
      <c r="F257" s="29">
        <f>ROUND(((SUMIFS(Calendar!$F$2:$F$9997,Calendar!$B$2:$B$9997,D257,Calendar!$C$2:$C$9997,C257)*INDEX(ForeCalc!$B$37:$Y$274,MATCH(_xlfn.CONCAT(H257," ",I257),ForeCalc!$A$37:$A$274,0),MATCH(_xlfn.CONCAT(B257," ",E257),ForeCalc!$B$36:$Y$36,0))))*VLOOKUP(A257,Calendar!$A$2:$H$9997,8,FALSE),0)</f>
        <v/>
      </c>
      <c r="G257" s="29">
        <f>VLOOKUP(A257,Calendar!$A$1:$H$9997,6,FALSE)-F257</f>
        <v/>
      </c>
      <c r="H257" s="19" t="n">
        <v>1</v>
      </c>
      <c r="I257" s="57" t="n">
        <v>9</v>
      </c>
    </row>
    <row r="258">
      <c r="A258" s="62" t="n">
        <v>46369</v>
      </c>
      <c r="B258" s="3" t="inlineStr">
        <is>
          <t>Sun</t>
        </is>
      </c>
      <c r="C258" s="19" t="n">
        <v>12</v>
      </c>
      <c r="D258" s="19" t="n">
        <v>2026</v>
      </c>
      <c r="E258" s="57" t="n">
        <v>1</v>
      </c>
      <c r="F258" s="29">
        <f>ROUND(((SUMIFS(Calendar!$F$2:$F$9997,Calendar!$B$2:$B$9997,D258,Calendar!$C$2:$C$9997,C258)*INDEX(ForeCalc!$B$37:$Y$274,MATCH(_xlfn.CONCAT(H258," ",I258),ForeCalc!$A$37:$A$274,0),MATCH(_xlfn.CONCAT(B258," ",E258),ForeCalc!$B$36:$Y$36,0))))*VLOOKUP(A258,Calendar!$A$2:$H$9997,8,FALSE),0)</f>
        <v/>
      </c>
      <c r="G258" s="29">
        <f>VLOOKUP(A258,Calendar!$A$1:$H$9997,6,FALSE)-F258</f>
        <v/>
      </c>
      <c r="H258" s="19" t="n">
        <v>1</v>
      </c>
      <c r="I258" s="57" t="n">
        <v>9</v>
      </c>
    </row>
    <row r="259">
      <c r="A259" s="62" t="n">
        <v>46370</v>
      </c>
      <c r="B259" s="3" t="inlineStr">
        <is>
          <t>Week</t>
        </is>
      </c>
      <c r="C259" s="19" t="n">
        <v>12</v>
      </c>
      <c r="D259" s="19" t="n">
        <v>2026</v>
      </c>
      <c r="E259" s="57" t="n">
        <v>1</v>
      </c>
      <c r="F259" s="29">
        <f>ROUND(((SUMIFS(Calendar!$F$2:$F$9997,Calendar!$B$2:$B$9997,D259,Calendar!$C$2:$C$9997,C259)*INDEX(ForeCalc!$B$37:$Y$274,MATCH(_xlfn.CONCAT(H259," ",I259),ForeCalc!$A$37:$A$274,0),MATCH(_xlfn.CONCAT(B259," ",E259),ForeCalc!$B$36:$Y$36,0))))*VLOOKUP(A259,Calendar!$A$2:$H$9997,8,FALSE),0)</f>
        <v/>
      </c>
      <c r="G259" s="29">
        <f>VLOOKUP(A259,Calendar!$A$1:$H$9997,6,FALSE)-F259</f>
        <v/>
      </c>
      <c r="H259" s="19" t="n">
        <v>1</v>
      </c>
      <c r="I259" s="57" t="n">
        <v>9</v>
      </c>
    </row>
    <row r="260">
      <c r="A260" s="62" t="n">
        <v>46371</v>
      </c>
      <c r="B260" s="3" t="inlineStr">
        <is>
          <t>Week</t>
        </is>
      </c>
      <c r="C260" s="19" t="n">
        <v>12</v>
      </c>
      <c r="D260" s="19" t="n">
        <v>2026</v>
      </c>
      <c r="E260" s="57" t="n">
        <v>1</v>
      </c>
      <c r="F260" s="29">
        <f>ROUND(((SUMIFS(Calendar!$F$2:$F$9997,Calendar!$B$2:$B$9997,D260,Calendar!$C$2:$C$9997,C260)*INDEX(ForeCalc!$B$37:$Y$274,MATCH(_xlfn.CONCAT(H260," ",I260),ForeCalc!$A$37:$A$274,0),MATCH(_xlfn.CONCAT(B260," ",E260),ForeCalc!$B$36:$Y$36,0))))*VLOOKUP(A260,Calendar!$A$2:$H$9997,8,FALSE),0)</f>
        <v/>
      </c>
      <c r="G260" s="29">
        <f>VLOOKUP(A260,Calendar!$A$1:$H$9997,6,FALSE)-F260</f>
        <v/>
      </c>
      <c r="H260" s="19" t="n">
        <v>1</v>
      </c>
      <c r="I260" s="57" t="n">
        <v>9</v>
      </c>
    </row>
    <row r="261">
      <c r="A261" s="62" t="n">
        <v>46372</v>
      </c>
      <c r="B261" s="3" t="inlineStr">
        <is>
          <t>Week</t>
        </is>
      </c>
      <c r="C261" s="19" t="n">
        <v>12</v>
      </c>
      <c r="D261" s="19" t="n">
        <v>2026</v>
      </c>
      <c r="E261" s="57" t="n">
        <v>1</v>
      </c>
      <c r="F261" s="29">
        <f>ROUND(((SUMIFS(Calendar!$F$2:$F$9997,Calendar!$B$2:$B$9997,D261,Calendar!$C$2:$C$9997,C261)*INDEX(ForeCalc!$B$37:$Y$274,MATCH(_xlfn.CONCAT(H261," ",I261),ForeCalc!$A$37:$A$274,0),MATCH(_xlfn.CONCAT(B261," ",E261),ForeCalc!$B$36:$Y$36,0))))*VLOOKUP(A261,Calendar!$A$2:$H$9997,8,FALSE),0)</f>
        <v/>
      </c>
      <c r="G261" s="29">
        <f>VLOOKUP(A261,Calendar!$A$1:$H$9997,6,FALSE)-F261</f>
        <v/>
      </c>
      <c r="H261" s="19" t="n">
        <v>1</v>
      </c>
      <c r="I261" s="57" t="n">
        <v>9</v>
      </c>
    </row>
    <row r="262">
      <c r="A262" s="62" t="n">
        <v>46373</v>
      </c>
      <c r="B262" s="3" t="inlineStr">
        <is>
          <t>Week</t>
        </is>
      </c>
      <c r="C262" s="19" t="n">
        <v>12</v>
      </c>
      <c r="D262" s="19" t="n">
        <v>2026</v>
      </c>
      <c r="E262" s="57" t="n">
        <v>1</v>
      </c>
      <c r="F262" s="29">
        <f>ROUND(((SUMIFS(Calendar!$F$2:$F$9997,Calendar!$B$2:$B$9997,D262,Calendar!$C$2:$C$9997,C262)*INDEX(ForeCalc!$B$37:$Y$274,MATCH(_xlfn.CONCAT(H262," ",I262),ForeCalc!$A$37:$A$274,0),MATCH(_xlfn.CONCAT(B262," ",E262),ForeCalc!$B$36:$Y$36,0))))*VLOOKUP(A262,Calendar!$A$2:$H$9997,8,FALSE),0)</f>
        <v/>
      </c>
      <c r="G262" s="29">
        <f>VLOOKUP(A262,Calendar!$A$1:$H$9997,6,FALSE)-F262</f>
        <v/>
      </c>
      <c r="H262" s="19" t="n">
        <v>1</v>
      </c>
      <c r="I262" s="57" t="n">
        <v>9</v>
      </c>
    </row>
    <row r="263">
      <c r="A263" s="62" t="n">
        <v>46374</v>
      </c>
      <c r="B263" s="3" t="inlineStr">
        <is>
          <t>Week</t>
        </is>
      </c>
      <c r="C263" s="19" t="n">
        <v>12</v>
      </c>
      <c r="D263" s="19" t="n">
        <v>2026</v>
      </c>
      <c r="E263" s="57" t="n">
        <v>1</v>
      </c>
      <c r="F263" s="29">
        <f>ROUND(((SUMIFS(Calendar!$F$2:$F$9997,Calendar!$B$2:$B$9997,D263,Calendar!$C$2:$C$9997,C263)*INDEX(ForeCalc!$B$37:$Y$274,MATCH(_xlfn.CONCAT(H263," ",I263),ForeCalc!$A$37:$A$274,0),MATCH(_xlfn.CONCAT(B263," ",E263),ForeCalc!$B$36:$Y$36,0))))*VLOOKUP(A263,Calendar!$A$2:$H$9997,8,FALSE),0)</f>
        <v/>
      </c>
      <c r="G263" s="29">
        <f>VLOOKUP(A263,Calendar!$A$1:$H$9997,6,FALSE)-F263</f>
        <v/>
      </c>
      <c r="H263" s="19" t="n">
        <v>1</v>
      </c>
      <c r="I263" s="57" t="n">
        <v>9</v>
      </c>
    </row>
    <row r="264">
      <c r="A264" s="62" t="n">
        <v>46375</v>
      </c>
      <c r="B264" s="3" t="inlineStr">
        <is>
          <t>Sat</t>
        </is>
      </c>
      <c r="C264" s="19" t="n">
        <v>12</v>
      </c>
      <c r="D264" s="19" t="n">
        <v>2026</v>
      </c>
      <c r="E264" s="57" t="n">
        <v>1</v>
      </c>
      <c r="F264" s="29">
        <f>ROUND(((SUMIFS(Calendar!$F$2:$F$9997,Calendar!$B$2:$B$9997,D264,Calendar!$C$2:$C$9997,C264)*INDEX(ForeCalc!$B$37:$Y$274,MATCH(_xlfn.CONCAT(H264," ",I264),ForeCalc!$A$37:$A$274,0),MATCH(_xlfn.CONCAT(B264," ",E264),ForeCalc!$B$36:$Y$36,0))))*VLOOKUP(A264,Calendar!$A$2:$H$9997,8,FALSE),0)</f>
        <v/>
      </c>
      <c r="G264" s="29">
        <f>VLOOKUP(A264,Calendar!$A$1:$H$9997,6,FALSE)-F264</f>
        <v/>
      </c>
      <c r="H264" s="19" t="n">
        <v>1</v>
      </c>
      <c r="I264" s="57" t="n">
        <v>9</v>
      </c>
    </row>
    <row r="265">
      <c r="A265" s="62" t="n">
        <v>46376</v>
      </c>
      <c r="B265" s="3" t="inlineStr">
        <is>
          <t>Sun</t>
        </is>
      </c>
      <c r="C265" s="19" t="n">
        <v>12</v>
      </c>
      <c r="D265" s="19" t="n">
        <v>2026</v>
      </c>
      <c r="E265" s="57" t="n">
        <v>1</v>
      </c>
      <c r="F265" s="29">
        <f>ROUND(((SUMIFS(Calendar!$F$2:$F$9997,Calendar!$B$2:$B$9997,D265,Calendar!$C$2:$C$9997,C265)*INDEX(ForeCalc!$B$37:$Y$274,MATCH(_xlfn.CONCAT(H265," ",I265),ForeCalc!$A$37:$A$274,0),MATCH(_xlfn.CONCAT(B265," ",E265),ForeCalc!$B$36:$Y$36,0))))*VLOOKUP(A265,Calendar!$A$2:$H$9997,8,FALSE),0)</f>
        <v/>
      </c>
      <c r="G265" s="29">
        <f>VLOOKUP(A265,Calendar!$A$1:$H$9997,6,FALSE)-F265</f>
        <v/>
      </c>
      <c r="H265" s="19" t="n">
        <v>1</v>
      </c>
      <c r="I265" s="57" t="n">
        <v>9</v>
      </c>
    </row>
    <row r="266">
      <c r="A266" s="62" t="n">
        <v>46377</v>
      </c>
      <c r="B266" s="3" t="inlineStr">
        <is>
          <t>Week</t>
        </is>
      </c>
      <c r="C266" s="19" t="n">
        <v>12</v>
      </c>
      <c r="D266" s="19" t="n">
        <v>2026</v>
      </c>
      <c r="E266" s="57" t="n">
        <v>1</v>
      </c>
      <c r="F266" s="29">
        <f>ROUND(((SUMIFS(Calendar!$F$2:$F$9997,Calendar!$B$2:$B$9997,D266,Calendar!$C$2:$C$9997,C266)*INDEX(ForeCalc!$B$37:$Y$274,MATCH(_xlfn.CONCAT(H266," ",I266),ForeCalc!$A$37:$A$274,0),MATCH(_xlfn.CONCAT(B266," ",E266),ForeCalc!$B$36:$Y$36,0))))*VLOOKUP(A266,Calendar!$A$2:$H$9997,8,FALSE),0)</f>
        <v/>
      </c>
      <c r="G266" s="29">
        <f>VLOOKUP(A266,Calendar!$A$1:$H$9997,6,FALSE)-F266</f>
        <v/>
      </c>
      <c r="H266" s="19" t="n">
        <v>1</v>
      </c>
      <c r="I266" s="57" t="n">
        <v>9</v>
      </c>
    </row>
    <row r="267">
      <c r="A267" s="62" t="n">
        <v>46378</v>
      </c>
      <c r="B267" s="3" t="inlineStr">
        <is>
          <t>Week</t>
        </is>
      </c>
      <c r="C267" s="19" t="n">
        <v>12</v>
      </c>
      <c r="D267" s="19" t="n">
        <v>2026</v>
      </c>
      <c r="E267" s="57" t="n">
        <v>1</v>
      </c>
      <c r="F267" s="29">
        <f>ROUND(((SUMIFS(Calendar!$F$2:$F$9997,Calendar!$B$2:$B$9997,D267,Calendar!$C$2:$C$9997,C267)*INDEX(ForeCalc!$B$37:$Y$274,MATCH(_xlfn.CONCAT(H267," ",I267),ForeCalc!$A$37:$A$274,0),MATCH(_xlfn.CONCAT(B267," ",E267),ForeCalc!$B$36:$Y$36,0))))*VLOOKUP(A267,Calendar!$A$2:$H$9997,8,FALSE),0)</f>
        <v/>
      </c>
      <c r="G267" s="29">
        <f>VLOOKUP(A267,Calendar!$A$1:$H$9997,6,FALSE)-F267</f>
        <v/>
      </c>
      <c r="H267" s="19" t="n">
        <v>1</v>
      </c>
      <c r="I267" s="57" t="n">
        <v>9</v>
      </c>
    </row>
    <row r="268">
      <c r="A268" s="62" t="n">
        <v>46379</v>
      </c>
      <c r="B268" s="3" t="inlineStr">
        <is>
          <t>Week</t>
        </is>
      </c>
      <c r="C268" s="19" t="n">
        <v>12</v>
      </c>
      <c r="D268" s="19" t="n">
        <v>2026</v>
      </c>
      <c r="E268" s="57" t="n">
        <v>1</v>
      </c>
      <c r="F268" s="29">
        <f>ROUND(((SUMIFS(Calendar!$F$2:$F$9997,Calendar!$B$2:$B$9997,D268,Calendar!$C$2:$C$9997,C268)*INDEX(ForeCalc!$B$37:$Y$274,MATCH(_xlfn.CONCAT(H268," ",I268),ForeCalc!$A$37:$A$274,0),MATCH(_xlfn.CONCAT(B268," ",E268),ForeCalc!$B$36:$Y$36,0))))*VLOOKUP(A268,Calendar!$A$2:$H$9997,8,FALSE),0)</f>
        <v/>
      </c>
      <c r="G268" s="29">
        <f>VLOOKUP(A268,Calendar!$A$1:$H$9997,6,FALSE)-F268</f>
        <v/>
      </c>
      <c r="H268" s="19" t="n">
        <v>1</v>
      </c>
      <c r="I268" s="57" t="n">
        <v>9</v>
      </c>
    </row>
    <row r="269">
      <c r="A269" s="62" t="n">
        <v>46380</v>
      </c>
      <c r="B269" s="3" t="inlineStr">
        <is>
          <t>Week</t>
        </is>
      </c>
      <c r="C269" s="19" t="n">
        <v>12</v>
      </c>
      <c r="D269" s="19" t="n">
        <v>2026</v>
      </c>
      <c r="E269" s="57" t="n">
        <v>1</v>
      </c>
      <c r="F269" s="29">
        <f>ROUND(((SUMIFS(Calendar!$F$2:$F$9997,Calendar!$B$2:$B$9997,D269,Calendar!$C$2:$C$9997,C269)*INDEX(ForeCalc!$B$37:$Y$274,MATCH(_xlfn.CONCAT(H269," ",I269),ForeCalc!$A$37:$A$274,0),MATCH(_xlfn.CONCAT(B269," ",E269),ForeCalc!$B$36:$Y$36,0))))*VLOOKUP(A269,Calendar!$A$2:$H$9997,8,FALSE),0)</f>
        <v/>
      </c>
      <c r="G269" s="29">
        <f>VLOOKUP(A269,Calendar!$A$1:$H$9997,6,FALSE)-F269</f>
        <v/>
      </c>
      <c r="H269" s="19" t="n">
        <v>1</v>
      </c>
      <c r="I269" s="57" t="n">
        <v>9</v>
      </c>
    </row>
    <row r="270">
      <c r="A270" s="62" t="n">
        <v>46381</v>
      </c>
      <c r="B270" s="3" t="inlineStr">
        <is>
          <t>Week</t>
        </is>
      </c>
      <c r="C270" s="19" t="n">
        <v>12</v>
      </c>
      <c r="D270" s="19" t="n">
        <v>2026</v>
      </c>
      <c r="E270" s="57" t="n">
        <v>1</v>
      </c>
      <c r="F270" s="29">
        <f>ROUND(((SUMIFS(Calendar!$F$2:$F$9997,Calendar!$B$2:$B$9997,D270,Calendar!$C$2:$C$9997,C270)*INDEX(ForeCalc!$B$37:$Y$274,MATCH(_xlfn.CONCAT(H270," ",I270),ForeCalc!$A$37:$A$274,0),MATCH(_xlfn.CONCAT(B270," ",E270),ForeCalc!$B$36:$Y$36,0))))*VLOOKUP(A270,Calendar!$A$2:$H$9997,8,FALSE),0)</f>
        <v/>
      </c>
      <c r="G270" s="29">
        <f>VLOOKUP(A270,Calendar!$A$1:$H$9997,6,FALSE)-F270</f>
        <v/>
      </c>
      <c r="H270" s="19" t="n">
        <v>1</v>
      </c>
      <c r="I270" s="57" t="n">
        <v>9</v>
      </c>
    </row>
    <row r="271">
      <c r="A271" s="62" t="n">
        <v>46382</v>
      </c>
      <c r="B271" s="3" t="inlineStr">
        <is>
          <t>Sat</t>
        </is>
      </c>
      <c r="C271" s="19" t="n">
        <v>12</v>
      </c>
      <c r="D271" s="19" t="n">
        <v>2026</v>
      </c>
      <c r="E271" s="57" t="n">
        <v>1</v>
      </c>
      <c r="F271" s="29">
        <f>ROUND(((SUMIFS(Calendar!$F$2:$F$9997,Calendar!$B$2:$B$9997,D271,Calendar!$C$2:$C$9997,C271)*INDEX(ForeCalc!$B$37:$Y$274,MATCH(_xlfn.CONCAT(H271," ",I271),ForeCalc!$A$37:$A$274,0),MATCH(_xlfn.CONCAT(B271," ",E271),ForeCalc!$B$36:$Y$36,0))))*VLOOKUP(A271,Calendar!$A$2:$H$9997,8,FALSE),0)</f>
        <v/>
      </c>
      <c r="G271" s="29">
        <f>VLOOKUP(A271,Calendar!$A$1:$H$9997,6,FALSE)-F271</f>
        <v/>
      </c>
      <c r="H271" s="19" t="n">
        <v>1</v>
      </c>
      <c r="I271" s="57" t="n">
        <v>9</v>
      </c>
    </row>
    <row r="272">
      <c r="A272" s="62" t="n">
        <v>46383</v>
      </c>
      <c r="B272" s="3" t="inlineStr">
        <is>
          <t>Sun</t>
        </is>
      </c>
      <c r="C272" s="19" t="n">
        <v>12</v>
      </c>
      <c r="D272" s="19" t="n">
        <v>2026</v>
      </c>
      <c r="E272" s="57" t="n">
        <v>1</v>
      </c>
      <c r="F272" s="29">
        <f>ROUND(((SUMIFS(Calendar!$F$2:$F$9997,Calendar!$B$2:$B$9997,D272,Calendar!$C$2:$C$9997,C272)*INDEX(ForeCalc!$B$37:$Y$274,MATCH(_xlfn.CONCAT(H272," ",I272),ForeCalc!$A$37:$A$274,0),MATCH(_xlfn.CONCAT(B272," ",E272),ForeCalc!$B$36:$Y$36,0))))*VLOOKUP(A272,Calendar!$A$2:$H$9997,8,FALSE),0)</f>
        <v/>
      </c>
      <c r="G272" s="29">
        <f>VLOOKUP(A272,Calendar!$A$1:$H$9997,6,FALSE)-F272</f>
        <v/>
      </c>
      <c r="H272" s="19" t="n">
        <v>1</v>
      </c>
      <c r="I272" s="57" t="n">
        <v>9</v>
      </c>
    </row>
    <row r="273">
      <c r="A273" s="62" t="n">
        <v>46384</v>
      </c>
      <c r="B273" s="3" t="inlineStr">
        <is>
          <t>Week</t>
        </is>
      </c>
      <c r="C273" s="19" t="n">
        <v>12</v>
      </c>
      <c r="D273" s="19" t="n">
        <v>2026</v>
      </c>
      <c r="E273" s="57" t="n">
        <v>1</v>
      </c>
      <c r="F273" s="29">
        <f>ROUND(((SUMIFS(Calendar!$F$2:$F$9997,Calendar!$B$2:$B$9997,D273,Calendar!$C$2:$C$9997,C273)*INDEX(ForeCalc!$B$37:$Y$274,MATCH(_xlfn.CONCAT(H273," ",I273),ForeCalc!$A$37:$A$274,0),MATCH(_xlfn.CONCAT(B273," ",E273),ForeCalc!$B$36:$Y$36,0))))*VLOOKUP(A273,Calendar!$A$2:$H$9997,8,FALSE),0)</f>
        <v/>
      </c>
      <c r="G273" s="29">
        <f>VLOOKUP(A273,Calendar!$A$1:$H$9997,6,FALSE)-F273</f>
        <v/>
      </c>
      <c r="H273" s="19" t="n">
        <v>1</v>
      </c>
      <c r="I273" s="57" t="n">
        <v>9</v>
      </c>
    </row>
    <row r="274">
      <c r="A274" s="62" t="n">
        <v>46385</v>
      </c>
      <c r="B274" s="3" t="inlineStr">
        <is>
          <t>Week</t>
        </is>
      </c>
      <c r="C274" s="19" t="n">
        <v>12</v>
      </c>
      <c r="D274" s="19" t="n">
        <v>2026</v>
      </c>
      <c r="E274" s="57" t="n">
        <v>1</v>
      </c>
      <c r="F274" s="29">
        <f>ROUND(((SUMIFS(Calendar!$F$2:$F$9997,Calendar!$B$2:$B$9997,D274,Calendar!$C$2:$C$9997,C274)*INDEX(ForeCalc!$B$37:$Y$274,MATCH(_xlfn.CONCAT(H274," ",I274),ForeCalc!$A$37:$A$274,0),MATCH(_xlfn.CONCAT(B274," ",E274),ForeCalc!$B$36:$Y$36,0))))*VLOOKUP(A274,Calendar!$A$2:$H$9997,8,FALSE),0)</f>
        <v/>
      </c>
      <c r="G274" s="29">
        <f>VLOOKUP(A274,Calendar!$A$1:$H$9997,6,FALSE)-F274</f>
        <v/>
      </c>
      <c r="H274" s="19" t="n">
        <v>1</v>
      </c>
      <c r="I274" s="57" t="n">
        <v>9</v>
      </c>
    </row>
    <row r="275">
      <c r="A275" s="62" t="n">
        <v>46386</v>
      </c>
      <c r="B275" s="3" t="inlineStr">
        <is>
          <t>Week</t>
        </is>
      </c>
      <c r="C275" s="19" t="n">
        <v>12</v>
      </c>
      <c r="D275" s="19" t="n">
        <v>2026</v>
      </c>
      <c r="E275" s="57" t="n">
        <v>1</v>
      </c>
      <c r="F275" s="29">
        <f>ROUND(((SUMIFS(Calendar!$F$2:$F$9997,Calendar!$B$2:$B$9997,D275,Calendar!$C$2:$C$9997,C275)*INDEX(ForeCalc!$B$37:$Y$274,MATCH(_xlfn.CONCAT(H275," ",I275),ForeCalc!$A$37:$A$274,0),MATCH(_xlfn.CONCAT(B275," ",E275),ForeCalc!$B$36:$Y$36,0))))*VLOOKUP(A275,Calendar!$A$2:$H$9997,8,FALSE),0)</f>
        <v/>
      </c>
      <c r="G275" s="29">
        <f>VLOOKUP(A275,Calendar!$A$1:$H$9997,6,FALSE)-F275</f>
        <v/>
      </c>
      <c r="H275" s="19" t="n">
        <v>1</v>
      </c>
      <c r="I275" s="57" t="n">
        <v>9</v>
      </c>
    </row>
    <row r="276">
      <c r="A276" s="62" t="n">
        <v>46387</v>
      </c>
      <c r="B276" s="3" t="inlineStr">
        <is>
          <t>Week</t>
        </is>
      </c>
      <c r="C276" s="19" t="n">
        <v>12</v>
      </c>
      <c r="D276" s="19" t="n">
        <v>2026</v>
      </c>
      <c r="E276" s="57" t="n">
        <v>1</v>
      </c>
      <c r="F276" s="29">
        <f>ROUND(((SUMIFS(Calendar!$F$2:$F$9997,Calendar!$B$2:$B$9997,D276,Calendar!$C$2:$C$9997,C276)*INDEX(ForeCalc!$B$37:$Y$274,MATCH(_xlfn.CONCAT(H276," ",I276),ForeCalc!$A$37:$A$274,0),MATCH(_xlfn.CONCAT(B276," ",E276),ForeCalc!$B$36:$Y$36,0))))*VLOOKUP(A276,Calendar!$A$2:$H$9997,8,FALSE),0)</f>
        <v/>
      </c>
      <c r="G276" s="29">
        <f>VLOOKUP(A276,Calendar!$A$1:$H$9997,6,FALSE)-F276</f>
        <v/>
      </c>
      <c r="H276" s="19" t="n">
        <v>1</v>
      </c>
      <c r="I276" s="57" t="n">
        <v>9</v>
      </c>
    </row>
    <row r="277">
      <c r="A277" s="62" t="n">
        <v>46388</v>
      </c>
      <c r="B277" s="3" t="inlineStr">
        <is>
          <t>Week</t>
        </is>
      </c>
      <c r="C277" s="19" t="n">
        <v>1</v>
      </c>
      <c r="D277" s="19" t="n">
        <v>2027</v>
      </c>
      <c r="E277" s="57" t="n">
        <v>1</v>
      </c>
      <c r="F277" s="29">
        <f>ROUND(((SUMIFS(Calendar!$F$2:$F$9997,Calendar!$B$2:$B$9997,D277,Calendar!$C$2:$C$9997,C277)*INDEX(ForeCalc!$B$37:$Y$274,MATCH(_xlfn.CONCAT(H277," ",I277),ForeCalc!$A$37:$A$274,0),MATCH(_xlfn.CONCAT(B277," ",E277),ForeCalc!$B$36:$Y$36,0))))*VLOOKUP(A277,Calendar!$A$2:$H$9997,8,FALSE),0)</f>
        <v/>
      </c>
      <c r="G277" s="29">
        <f>VLOOKUP(A277,Calendar!$A$1:$H$9997,6,FALSE)-F277</f>
        <v/>
      </c>
      <c r="H277" s="19" t="n">
        <v>1</v>
      </c>
      <c r="I277" s="57" t="n">
        <v>10</v>
      </c>
    </row>
    <row r="278">
      <c r="A278" s="62" t="n">
        <v>46389</v>
      </c>
      <c r="B278" s="3" t="inlineStr">
        <is>
          <t>Sat</t>
        </is>
      </c>
      <c r="C278" s="19" t="n">
        <v>1</v>
      </c>
      <c r="D278" s="19" t="n">
        <v>2027</v>
      </c>
      <c r="E278" s="57" t="n">
        <v>1</v>
      </c>
      <c r="F278" s="29">
        <f>ROUND(((SUMIFS(Calendar!$F$2:$F$9997,Calendar!$B$2:$B$9997,D278,Calendar!$C$2:$C$9997,C278)*INDEX(ForeCalc!$B$37:$Y$274,MATCH(_xlfn.CONCAT(H278," ",I278),ForeCalc!$A$37:$A$274,0),MATCH(_xlfn.CONCAT(B278," ",E278),ForeCalc!$B$36:$Y$36,0))))*VLOOKUP(A278,Calendar!$A$2:$H$9997,8,FALSE),0)</f>
        <v/>
      </c>
      <c r="G278" s="29">
        <f>VLOOKUP(A278,Calendar!$A$1:$H$9997,6,FALSE)-F278</f>
        <v/>
      </c>
      <c r="H278" s="19" t="n">
        <v>1</v>
      </c>
      <c r="I278" s="57" t="n">
        <v>10</v>
      </c>
    </row>
    <row r="279">
      <c r="A279" s="62" t="n">
        <v>46390</v>
      </c>
      <c r="B279" s="3" t="inlineStr">
        <is>
          <t>Sun</t>
        </is>
      </c>
      <c r="C279" s="19" t="n">
        <v>1</v>
      </c>
      <c r="D279" s="19" t="n">
        <v>2027</v>
      </c>
      <c r="E279" s="57" t="n">
        <v>1</v>
      </c>
      <c r="F279" s="29">
        <f>ROUND(((SUMIFS(Calendar!$F$2:$F$9997,Calendar!$B$2:$B$9997,D279,Calendar!$C$2:$C$9997,C279)*INDEX(ForeCalc!$B$37:$Y$274,MATCH(_xlfn.CONCAT(H279," ",I279),ForeCalc!$A$37:$A$274,0),MATCH(_xlfn.CONCAT(B279," ",E279),ForeCalc!$B$36:$Y$36,0))))*VLOOKUP(A279,Calendar!$A$2:$H$9997,8,FALSE),0)</f>
        <v/>
      </c>
      <c r="G279" s="29">
        <f>VLOOKUP(A279,Calendar!$A$1:$H$9997,6,FALSE)-F279</f>
        <v/>
      </c>
      <c r="H279" s="19" t="n">
        <v>1</v>
      </c>
      <c r="I279" s="57" t="n">
        <v>10</v>
      </c>
    </row>
    <row r="280">
      <c r="A280" s="62" t="n">
        <v>46391</v>
      </c>
      <c r="B280" s="3" t="inlineStr">
        <is>
          <t>Week</t>
        </is>
      </c>
      <c r="C280" s="19" t="n">
        <v>1</v>
      </c>
      <c r="D280" s="19" t="n">
        <v>2027</v>
      </c>
      <c r="E280" s="57" t="n">
        <v>1</v>
      </c>
      <c r="F280" s="29">
        <f>ROUND(((SUMIFS(Calendar!$F$2:$F$9997,Calendar!$B$2:$B$9997,D280,Calendar!$C$2:$C$9997,C280)*INDEX(ForeCalc!$B$37:$Y$274,MATCH(_xlfn.CONCAT(H280," ",I280),ForeCalc!$A$37:$A$274,0),MATCH(_xlfn.CONCAT(B280," ",E280),ForeCalc!$B$36:$Y$36,0))))*VLOOKUP(A280,Calendar!$A$2:$H$9997,8,FALSE),0)</f>
        <v/>
      </c>
      <c r="G280" s="29">
        <f>VLOOKUP(A280,Calendar!$A$1:$H$9997,6,FALSE)-F280</f>
        <v/>
      </c>
      <c r="H280" s="19" t="n">
        <v>1</v>
      </c>
      <c r="I280" s="57" t="n">
        <v>10</v>
      </c>
    </row>
    <row r="281">
      <c r="A281" s="62" t="n">
        <v>46392</v>
      </c>
      <c r="B281" s="3" t="inlineStr">
        <is>
          <t>Week</t>
        </is>
      </c>
      <c r="C281" s="19" t="n">
        <v>1</v>
      </c>
      <c r="D281" s="19" t="n">
        <v>2027</v>
      </c>
      <c r="E281" s="57" t="n">
        <v>1</v>
      </c>
      <c r="F281" s="29">
        <f>ROUND(((SUMIFS(Calendar!$F$2:$F$9997,Calendar!$B$2:$B$9997,D281,Calendar!$C$2:$C$9997,C281)*INDEX(ForeCalc!$B$37:$Y$274,MATCH(_xlfn.CONCAT(H281," ",I281),ForeCalc!$A$37:$A$274,0),MATCH(_xlfn.CONCAT(B281," ",E281),ForeCalc!$B$36:$Y$36,0))))*VLOOKUP(A281,Calendar!$A$2:$H$9997,8,FALSE),0)</f>
        <v/>
      </c>
      <c r="G281" s="29">
        <f>VLOOKUP(A281,Calendar!$A$1:$H$9997,6,FALSE)-F281</f>
        <v/>
      </c>
      <c r="H281" s="19" t="n">
        <v>1</v>
      </c>
      <c r="I281" s="57" t="n">
        <v>10</v>
      </c>
    </row>
    <row r="282">
      <c r="A282" s="62" t="n">
        <v>46393</v>
      </c>
      <c r="B282" s="3" t="inlineStr">
        <is>
          <t>Week</t>
        </is>
      </c>
      <c r="C282" s="19" t="n">
        <v>1</v>
      </c>
      <c r="D282" s="19" t="n">
        <v>2027</v>
      </c>
      <c r="E282" s="57" t="n">
        <v>1</v>
      </c>
      <c r="F282" s="29">
        <f>ROUND(((SUMIFS(Calendar!$F$2:$F$9997,Calendar!$B$2:$B$9997,D282,Calendar!$C$2:$C$9997,C282)*INDEX(ForeCalc!$B$37:$Y$274,MATCH(_xlfn.CONCAT(H282," ",I282),ForeCalc!$A$37:$A$274,0),MATCH(_xlfn.CONCAT(B282," ",E282),ForeCalc!$B$36:$Y$36,0))))*VLOOKUP(A282,Calendar!$A$2:$H$9997,8,FALSE),0)</f>
        <v/>
      </c>
      <c r="G282" s="29">
        <f>VLOOKUP(A282,Calendar!$A$1:$H$9997,6,FALSE)-F282</f>
        <v/>
      </c>
      <c r="H282" s="19" t="n">
        <v>1</v>
      </c>
      <c r="I282" s="57" t="n">
        <v>10</v>
      </c>
    </row>
    <row r="283">
      <c r="A283" s="62" t="n">
        <v>46394</v>
      </c>
      <c r="B283" s="3" t="inlineStr">
        <is>
          <t>Week</t>
        </is>
      </c>
      <c r="C283" s="19" t="n">
        <v>1</v>
      </c>
      <c r="D283" s="19" t="n">
        <v>2027</v>
      </c>
      <c r="E283" s="57" t="n">
        <v>1</v>
      </c>
      <c r="F283" s="29">
        <f>ROUND(((SUMIFS(Calendar!$F$2:$F$9997,Calendar!$B$2:$B$9997,D283,Calendar!$C$2:$C$9997,C283)*INDEX(ForeCalc!$B$37:$Y$274,MATCH(_xlfn.CONCAT(H283," ",I283),ForeCalc!$A$37:$A$274,0),MATCH(_xlfn.CONCAT(B283," ",E283),ForeCalc!$B$36:$Y$36,0))))*VLOOKUP(A283,Calendar!$A$2:$H$9997,8,FALSE),0)</f>
        <v/>
      </c>
      <c r="G283" s="29">
        <f>VLOOKUP(A283,Calendar!$A$1:$H$9997,6,FALSE)-F283</f>
        <v/>
      </c>
      <c r="H283" s="19" t="n">
        <v>1</v>
      </c>
      <c r="I283" s="57" t="n">
        <v>10</v>
      </c>
    </row>
    <row r="284">
      <c r="A284" s="62" t="n">
        <v>46395</v>
      </c>
      <c r="B284" s="3" t="inlineStr">
        <is>
          <t>Week</t>
        </is>
      </c>
      <c r="C284" s="19" t="n">
        <v>1</v>
      </c>
      <c r="D284" s="19" t="n">
        <v>2027</v>
      </c>
      <c r="E284" s="57" t="n">
        <v>1</v>
      </c>
      <c r="F284" s="29">
        <f>ROUND(((SUMIFS(Calendar!$F$2:$F$9997,Calendar!$B$2:$B$9997,D284,Calendar!$C$2:$C$9997,C284)*INDEX(ForeCalc!$B$37:$Y$274,MATCH(_xlfn.CONCAT(H284," ",I284),ForeCalc!$A$37:$A$274,0),MATCH(_xlfn.CONCAT(B284," ",E284),ForeCalc!$B$36:$Y$36,0))))*VLOOKUP(A284,Calendar!$A$2:$H$9997,8,FALSE),0)</f>
        <v/>
      </c>
      <c r="G284" s="29">
        <f>VLOOKUP(A284,Calendar!$A$1:$H$9997,6,FALSE)-F284</f>
        <v/>
      </c>
      <c r="H284" s="19" t="n">
        <v>1</v>
      </c>
      <c r="I284" s="57" t="n">
        <v>10</v>
      </c>
    </row>
    <row r="285">
      <c r="A285" s="62" t="n">
        <v>46396</v>
      </c>
      <c r="B285" s="3" t="inlineStr">
        <is>
          <t>Sat</t>
        </is>
      </c>
      <c r="C285" s="19" t="n">
        <v>1</v>
      </c>
      <c r="D285" s="19" t="n">
        <v>2027</v>
      </c>
      <c r="E285" s="57" t="n">
        <v>1</v>
      </c>
      <c r="F285" s="29">
        <f>ROUND(((SUMIFS(Calendar!$F$2:$F$9997,Calendar!$B$2:$B$9997,D285,Calendar!$C$2:$C$9997,C285)*INDEX(ForeCalc!$B$37:$Y$274,MATCH(_xlfn.CONCAT(H285," ",I285),ForeCalc!$A$37:$A$274,0),MATCH(_xlfn.CONCAT(B285," ",E285),ForeCalc!$B$36:$Y$36,0))))*VLOOKUP(A285,Calendar!$A$2:$H$9997,8,FALSE),0)</f>
        <v/>
      </c>
      <c r="G285" s="29">
        <f>VLOOKUP(A285,Calendar!$A$1:$H$9997,6,FALSE)-F285</f>
        <v/>
      </c>
      <c r="H285" s="19" t="n">
        <v>1</v>
      </c>
      <c r="I285" s="57" t="n">
        <v>10</v>
      </c>
    </row>
    <row r="286">
      <c r="A286" s="62" t="n">
        <v>46397</v>
      </c>
      <c r="B286" s="3" t="inlineStr">
        <is>
          <t>Sun</t>
        </is>
      </c>
      <c r="C286" s="19" t="n">
        <v>1</v>
      </c>
      <c r="D286" s="19" t="n">
        <v>2027</v>
      </c>
      <c r="E286" s="57" t="n">
        <v>1</v>
      </c>
      <c r="F286" s="29">
        <f>ROUND(((SUMIFS(Calendar!$F$2:$F$9997,Calendar!$B$2:$B$9997,D286,Calendar!$C$2:$C$9997,C286)*INDEX(ForeCalc!$B$37:$Y$274,MATCH(_xlfn.CONCAT(H286," ",I286),ForeCalc!$A$37:$A$274,0),MATCH(_xlfn.CONCAT(B286," ",E286),ForeCalc!$B$36:$Y$36,0))))*VLOOKUP(A286,Calendar!$A$2:$H$9997,8,FALSE),0)</f>
        <v/>
      </c>
      <c r="G286" s="29">
        <f>VLOOKUP(A286,Calendar!$A$1:$H$9997,6,FALSE)-F286</f>
        <v/>
      </c>
      <c r="H286" s="19" t="n">
        <v>1</v>
      </c>
      <c r="I286" s="57" t="n">
        <v>10</v>
      </c>
    </row>
    <row r="287">
      <c r="A287" s="62" t="n">
        <v>46398</v>
      </c>
      <c r="B287" s="3" t="inlineStr">
        <is>
          <t>Week</t>
        </is>
      </c>
      <c r="C287" s="19" t="n">
        <v>1</v>
      </c>
      <c r="D287" s="19" t="n">
        <v>2027</v>
      </c>
      <c r="E287" s="57" t="n">
        <v>1</v>
      </c>
      <c r="F287" s="29">
        <f>ROUND(((SUMIFS(Calendar!$F$2:$F$9997,Calendar!$B$2:$B$9997,D287,Calendar!$C$2:$C$9997,C287)*INDEX(ForeCalc!$B$37:$Y$274,MATCH(_xlfn.CONCAT(H287," ",I287),ForeCalc!$A$37:$A$274,0),MATCH(_xlfn.CONCAT(B287," ",E287),ForeCalc!$B$36:$Y$36,0))))*VLOOKUP(A287,Calendar!$A$2:$H$9997,8,FALSE),0)</f>
        <v/>
      </c>
      <c r="G287" s="29">
        <f>VLOOKUP(A287,Calendar!$A$1:$H$9997,6,FALSE)-F287</f>
        <v/>
      </c>
      <c r="H287" s="19" t="n">
        <v>1</v>
      </c>
      <c r="I287" s="57" t="n">
        <v>10</v>
      </c>
    </row>
    <row r="288">
      <c r="A288" s="62" t="n">
        <v>46399</v>
      </c>
      <c r="B288" s="3" t="inlineStr">
        <is>
          <t>Week</t>
        </is>
      </c>
      <c r="C288" s="19" t="n">
        <v>1</v>
      </c>
      <c r="D288" s="19" t="n">
        <v>2027</v>
      </c>
      <c r="E288" s="57" t="n">
        <v>1</v>
      </c>
      <c r="F288" s="29">
        <f>ROUND(((SUMIFS(Calendar!$F$2:$F$9997,Calendar!$B$2:$B$9997,D288,Calendar!$C$2:$C$9997,C288)*INDEX(ForeCalc!$B$37:$Y$274,MATCH(_xlfn.CONCAT(H288," ",I288),ForeCalc!$A$37:$A$274,0),MATCH(_xlfn.CONCAT(B288," ",E288),ForeCalc!$B$36:$Y$36,0))))*VLOOKUP(A288,Calendar!$A$2:$H$9997,8,FALSE),0)</f>
        <v/>
      </c>
      <c r="G288" s="29">
        <f>VLOOKUP(A288,Calendar!$A$1:$H$9997,6,FALSE)-F288</f>
        <v/>
      </c>
      <c r="H288" s="19" t="n">
        <v>1</v>
      </c>
      <c r="I288" s="57" t="n">
        <v>10</v>
      </c>
    </row>
    <row r="289">
      <c r="A289" s="62" t="n">
        <v>46400</v>
      </c>
      <c r="B289" s="3" t="inlineStr">
        <is>
          <t>Week</t>
        </is>
      </c>
      <c r="C289" s="19" t="n">
        <v>1</v>
      </c>
      <c r="D289" s="19" t="n">
        <v>2027</v>
      </c>
      <c r="E289" s="57" t="n">
        <v>1</v>
      </c>
      <c r="F289" s="29">
        <f>ROUND(((SUMIFS(Calendar!$F$2:$F$9997,Calendar!$B$2:$B$9997,D289,Calendar!$C$2:$C$9997,C289)*INDEX(ForeCalc!$B$37:$Y$274,MATCH(_xlfn.CONCAT(H289," ",I289),ForeCalc!$A$37:$A$274,0),MATCH(_xlfn.CONCAT(B289," ",E289),ForeCalc!$B$36:$Y$36,0))))*VLOOKUP(A289,Calendar!$A$2:$H$9997,8,FALSE),0)</f>
        <v/>
      </c>
      <c r="G289" s="29">
        <f>VLOOKUP(A289,Calendar!$A$1:$H$9997,6,FALSE)-F289</f>
        <v/>
      </c>
      <c r="H289" s="19" t="n">
        <v>1</v>
      </c>
      <c r="I289" s="57" t="n">
        <v>10</v>
      </c>
    </row>
    <row r="290">
      <c r="A290" s="62" t="n">
        <v>46401</v>
      </c>
      <c r="B290" s="3" t="inlineStr">
        <is>
          <t>Week</t>
        </is>
      </c>
      <c r="C290" s="19" t="n">
        <v>1</v>
      </c>
      <c r="D290" s="19" t="n">
        <v>2027</v>
      </c>
      <c r="E290" s="57" t="n">
        <v>1</v>
      </c>
      <c r="F290" s="29">
        <f>ROUND(((SUMIFS(Calendar!$F$2:$F$9997,Calendar!$B$2:$B$9997,D290,Calendar!$C$2:$C$9997,C290)*INDEX(ForeCalc!$B$37:$Y$274,MATCH(_xlfn.CONCAT(H290," ",I290),ForeCalc!$A$37:$A$274,0),MATCH(_xlfn.CONCAT(B290," ",E290),ForeCalc!$B$36:$Y$36,0))))*VLOOKUP(A290,Calendar!$A$2:$H$9997,8,FALSE),0)</f>
        <v/>
      </c>
      <c r="G290" s="29">
        <f>VLOOKUP(A290,Calendar!$A$1:$H$9997,6,FALSE)-F290</f>
        <v/>
      </c>
      <c r="H290" s="19" t="n">
        <v>1</v>
      </c>
      <c r="I290" s="57" t="n">
        <v>10</v>
      </c>
    </row>
    <row r="291">
      <c r="A291" s="62" t="n">
        <v>46402</v>
      </c>
      <c r="B291" s="3" t="inlineStr">
        <is>
          <t>Week</t>
        </is>
      </c>
      <c r="C291" s="19" t="n">
        <v>1</v>
      </c>
      <c r="D291" s="19" t="n">
        <v>2027</v>
      </c>
      <c r="E291" s="57" t="n">
        <v>1</v>
      </c>
      <c r="F291" s="29">
        <f>ROUND(((SUMIFS(Calendar!$F$2:$F$9997,Calendar!$B$2:$B$9997,D291,Calendar!$C$2:$C$9997,C291)*INDEX(ForeCalc!$B$37:$Y$274,MATCH(_xlfn.CONCAT(H291," ",I291),ForeCalc!$A$37:$A$274,0),MATCH(_xlfn.CONCAT(B291," ",E291),ForeCalc!$B$36:$Y$36,0))))*VLOOKUP(A291,Calendar!$A$2:$H$9997,8,FALSE),0)</f>
        <v/>
      </c>
      <c r="G291" s="29">
        <f>VLOOKUP(A291,Calendar!$A$1:$H$9997,6,FALSE)-F291</f>
        <v/>
      </c>
      <c r="H291" s="19" t="n">
        <v>1</v>
      </c>
      <c r="I291" s="57" t="n">
        <v>10</v>
      </c>
    </row>
    <row r="292">
      <c r="A292" s="62" t="n">
        <v>46403</v>
      </c>
      <c r="B292" s="3" t="inlineStr">
        <is>
          <t>Sat</t>
        </is>
      </c>
      <c r="C292" s="19" t="n">
        <v>1</v>
      </c>
      <c r="D292" s="19" t="n">
        <v>2027</v>
      </c>
      <c r="E292" s="57" t="n">
        <v>1</v>
      </c>
      <c r="F292" s="29">
        <f>ROUND(((SUMIFS(Calendar!$F$2:$F$9997,Calendar!$B$2:$B$9997,D292,Calendar!$C$2:$C$9997,C292)*INDEX(ForeCalc!$B$37:$Y$274,MATCH(_xlfn.CONCAT(H292," ",I292),ForeCalc!$A$37:$A$274,0),MATCH(_xlfn.CONCAT(B292," ",E292),ForeCalc!$B$36:$Y$36,0))))*VLOOKUP(A292,Calendar!$A$2:$H$9997,8,FALSE),0)</f>
        <v/>
      </c>
      <c r="G292" s="29">
        <f>VLOOKUP(A292,Calendar!$A$1:$H$9997,6,FALSE)-F292</f>
        <v/>
      </c>
      <c r="H292" s="19" t="n">
        <v>1</v>
      </c>
      <c r="I292" s="57" t="n">
        <v>10</v>
      </c>
    </row>
    <row r="293">
      <c r="A293" s="62" t="n">
        <v>46404</v>
      </c>
      <c r="B293" s="3" t="inlineStr">
        <is>
          <t>Sun</t>
        </is>
      </c>
      <c r="C293" s="19" t="n">
        <v>1</v>
      </c>
      <c r="D293" s="19" t="n">
        <v>2027</v>
      </c>
      <c r="E293" s="57" t="n">
        <v>1</v>
      </c>
      <c r="F293" s="29">
        <f>ROUND(((SUMIFS(Calendar!$F$2:$F$9997,Calendar!$B$2:$B$9997,D293,Calendar!$C$2:$C$9997,C293)*INDEX(ForeCalc!$B$37:$Y$274,MATCH(_xlfn.CONCAT(H293," ",I293),ForeCalc!$A$37:$A$274,0),MATCH(_xlfn.CONCAT(B293," ",E293),ForeCalc!$B$36:$Y$36,0))))*VLOOKUP(A293,Calendar!$A$2:$H$9997,8,FALSE),0)</f>
        <v/>
      </c>
      <c r="G293" s="29">
        <f>VLOOKUP(A293,Calendar!$A$1:$H$9997,6,FALSE)-F293</f>
        <v/>
      </c>
      <c r="H293" s="19" t="n">
        <v>1</v>
      </c>
      <c r="I293" s="57" t="n">
        <v>10</v>
      </c>
    </row>
    <row r="294">
      <c r="A294" s="62" t="n">
        <v>46405</v>
      </c>
      <c r="B294" s="3" t="inlineStr">
        <is>
          <t>Week</t>
        </is>
      </c>
      <c r="C294" s="19" t="n">
        <v>1</v>
      </c>
      <c r="D294" s="19" t="n">
        <v>2027</v>
      </c>
      <c r="E294" s="57" t="n">
        <v>1</v>
      </c>
      <c r="F294" s="29">
        <f>ROUND(((SUMIFS(Calendar!$F$2:$F$9997,Calendar!$B$2:$B$9997,D294,Calendar!$C$2:$C$9997,C294)*INDEX(ForeCalc!$B$37:$Y$274,MATCH(_xlfn.CONCAT(H294," ",I294),ForeCalc!$A$37:$A$274,0),MATCH(_xlfn.CONCAT(B294," ",E294),ForeCalc!$B$36:$Y$36,0))))*VLOOKUP(A294,Calendar!$A$2:$H$9997,8,FALSE),0)</f>
        <v/>
      </c>
      <c r="G294" s="29">
        <f>VLOOKUP(A294,Calendar!$A$1:$H$9997,6,FALSE)-F294</f>
        <v/>
      </c>
      <c r="H294" s="19" t="n">
        <v>1</v>
      </c>
      <c r="I294" s="57" t="n">
        <v>10</v>
      </c>
    </row>
    <row r="295">
      <c r="A295" s="62" t="n">
        <v>46406</v>
      </c>
      <c r="B295" s="3" t="inlineStr">
        <is>
          <t>Week</t>
        </is>
      </c>
      <c r="C295" s="19" t="n">
        <v>1</v>
      </c>
      <c r="D295" s="19" t="n">
        <v>2027</v>
      </c>
      <c r="E295" s="57" t="n">
        <v>1</v>
      </c>
      <c r="F295" s="29">
        <f>ROUND(((SUMIFS(Calendar!$F$2:$F$9997,Calendar!$B$2:$B$9997,D295,Calendar!$C$2:$C$9997,C295)*INDEX(ForeCalc!$B$37:$Y$274,MATCH(_xlfn.CONCAT(H295," ",I295),ForeCalc!$A$37:$A$274,0),MATCH(_xlfn.CONCAT(B295," ",E295),ForeCalc!$B$36:$Y$36,0))))*VLOOKUP(A295,Calendar!$A$2:$H$9997,8,FALSE),0)</f>
        <v/>
      </c>
      <c r="G295" s="29">
        <f>VLOOKUP(A295,Calendar!$A$1:$H$9997,6,FALSE)-F295</f>
        <v/>
      </c>
      <c r="H295" s="19" t="n">
        <v>1</v>
      </c>
      <c r="I295" s="57" t="n">
        <v>10</v>
      </c>
    </row>
    <row r="296">
      <c r="A296" s="62" t="n">
        <v>46407</v>
      </c>
      <c r="B296" s="3" t="inlineStr">
        <is>
          <t>Week</t>
        </is>
      </c>
      <c r="C296" s="19" t="n">
        <v>1</v>
      </c>
      <c r="D296" s="19" t="n">
        <v>2027</v>
      </c>
      <c r="E296" s="57" t="n">
        <v>1</v>
      </c>
      <c r="F296" s="29">
        <f>ROUND(((SUMIFS(Calendar!$F$2:$F$9997,Calendar!$B$2:$B$9997,D296,Calendar!$C$2:$C$9997,C296)*INDEX(ForeCalc!$B$37:$Y$274,MATCH(_xlfn.CONCAT(H296," ",I296),ForeCalc!$A$37:$A$274,0),MATCH(_xlfn.CONCAT(B296," ",E296),ForeCalc!$B$36:$Y$36,0))))*VLOOKUP(A296,Calendar!$A$2:$H$9997,8,FALSE),0)</f>
        <v/>
      </c>
      <c r="G296" s="29">
        <f>VLOOKUP(A296,Calendar!$A$1:$H$9997,6,FALSE)-F296</f>
        <v/>
      </c>
      <c r="H296" s="19" t="n">
        <v>1</v>
      </c>
      <c r="I296" s="57" t="n">
        <v>10</v>
      </c>
    </row>
    <row r="297">
      <c r="A297" s="62" t="n">
        <v>46408</v>
      </c>
      <c r="B297" s="3" t="inlineStr">
        <is>
          <t>Week</t>
        </is>
      </c>
      <c r="C297" s="19" t="n">
        <v>1</v>
      </c>
      <c r="D297" s="19" t="n">
        <v>2027</v>
      </c>
      <c r="E297" s="57" t="n">
        <v>1</v>
      </c>
      <c r="F297" s="29">
        <f>ROUND(((SUMIFS(Calendar!$F$2:$F$9997,Calendar!$B$2:$B$9997,D297,Calendar!$C$2:$C$9997,C297)*INDEX(ForeCalc!$B$37:$Y$274,MATCH(_xlfn.CONCAT(H297," ",I297),ForeCalc!$A$37:$A$274,0),MATCH(_xlfn.CONCAT(B297," ",E297),ForeCalc!$B$36:$Y$36,0))))*VLOOKUP(A297,Calendar!$A$2:$H$9997,8,FALSE),0)</f>
        <v/>
      </c>
      <c r="G297" s="29">
        <f>VLOOKUP(A297,Calendar!$A$1:$H$9997,6,FALSE)-F297</f>
        <v/>
      </c>
      <c r="H297" s="19" t="n">
        <v>1</v>
      </c>
      <c r="I297" s="57" t="n">
        <v>10</v>
      </c>
    </row>
    <row r="298">
      <c r="A298" s="62" t="n">
        <v>46409</v>
      </c>
      <c r="B298" s="3" t="inlineStr">
        <is>
          <t>Week</t>
        </is>
      </c>
      <c r="C298" s="19" t="n">
        <v>1</v>
      </c>
      <c r="D298" s="19" t="n">
        <v>2027</v>
      </c>
      <c r="E298" s="57" t="n">
        <v>1</v>
      </c>
      <c r="F298" s="29">
        <f>ROUND(((SUMIFS(Calendar!$F$2:$F$9997,Calendar!$B$2:$B$9997,D298,Calendar!$C$2:$C$9997,C298)*INDEX(ForeCalc!$B$37:$Y$274,MATCH(_xlfn.CONCAT(H298," ",I298),ForeCalc!$A$37:$A$274,0),MATCH(_xlfn.CONCAT(B298," ",E298),ForeCalc!$B$36:$Y$36,0))))*VLOOKUP(A298,Calendar!$A$2:$H$9997,8,FALSE),0)</f>
        <v/>
      </c>
      <c r="G298" s="29">
        <f>VLOOKUP(A298,Calendar!$A$1:$H$9997,6,FALSE)-F298</f>
        <v/>
      </c>
      <c r="H298" s="19" t="n">
        <v>1</v>
      </c>
      <c r="I298" s="57" t="n">
        <v>10</v>
      </c>
    </row>
    <row r="299">
      <c r="A299" s="62" t="n">
        <v>46410</v>
      </c>
      <c r="B299" s="3" t="inlineStr">
        <is>
          <t>Sat</t>
        </is>
      </c>
      <c r="C299" s="19" t="n">
        <v>1</v>
      </c>
      <c r="D299" s="19" t="n">
        <v>2027</v>
      </c>
      <c r="E299" s="57" t="n">
        <v>1</v>
      </c>
      <c r="F299" s="29">
        <f>ROUND(((SUMIFS(Calendar!$F$2:$F$9997,Calendar!$B$2:$B$9997,D299,Calendar!$C$2:$C$9997,C299)*INDEX(ForeCalc!$B$37:$Y$274,MATCH(_xlfn.CONCAT(H299," ",I299),ForeCalc!$A$37:$A$274,0),MATCH(_xlfn.CONCAT(B299," ",E299),ForeCalc!$B$36:$Y$36,0))))*VLOOKUP(A299,Calendar!$A$2:$H$9997,8,FALSE),0)</f>
        <v/>
      </c>
      <c r="G299" s="29">
        <f>VLOOKUP(A299,Calendar!$A$1:$H$9997,6,FALSE)-F299</f>
        <v/>
      </c>
      <c r="H299" s="19" t="n">
        <v>1</v>
      </c>
      <c r="I299" s="57" t="n">
        <v>10</v>
      </c>
    </row>
    <row r="300">
      <c r="A300" s="62" t="n">
        <v>46411</v>
      </c>
      <c r="B300" s="3" t="inlineStr">
        <is>
          <t>Sun</t>
        </is>
      </c>
      <c r="C300" s="19" t="n">
        <v>1</v>
      </c>
      <c r="D300" s="19" t="n">
        <v>2027</v>
      </c>
      <c r="E300" s="57" t="n">
        <v>1</v>
      </c>
      <c r="F300" s="29">
        <f>ROUND(((SUMIFS(Calendar!$F$2:$F$9997,Calendar!$B$2:$B$9997,D300,Calendar!$C$2:$C$9997,C300)*INDEX(ForeCalc!$B$37:$Y$274,MATCH(_xlfn.CONCAT(H300," ",I300),ForeCalc!$A$37:$A$274,0),MATCH(_xlfn.CONCAT(B300," ",E300),ForeCalc!$B$36:$Y$36,0))))*VLOOKUP(A300,Calendar!$A$2:$H$9997,8,FALSE),0)</f>
        <v/>
      </c>
      <c r="G300" s="29">
        <f>VLOOKUP(A300,Calendar!$A$1:$H$9997,6,FALSE)-F300</f>
        <v/>
      </c>
      <c r="H300" s="19" t="n">
        <v>1</v>
      </c>
      <c r="I300" s="57" t="n">
        <v>10</v>
      </c>
    </row>
    <row r="301">
      <c r="A301" s="62" t="n">
        <v>46412</v>
      </c>
      <c r="B301" s="3" t="inlineStr">
        <is>
          <t>Week</t>
        </is>
      </c>
      <c r="C301" s="19" t="n">
        <v>1</v>
      </c>
      <c r="D301" s="19" t="n">
        <v>2027</v>
      </c>
      <c r="E301" s="57" t="n">
        <v>1</v>
      </c>
      <c r="F301" s="29">
        <f>ROUND(((SUMIFS(Calendar!$F$2:$F$9997,Calendar!$B$2:$B$9997,D301,Calendar!$C$2:$C$9997,C301)*INDEX(ForeCalc!$B$37:$Y$274,MATCH(_xlfn.CONCAT(H301," ",I301),ForeCalc!$A$37:$A$274,0),MATCH(_xlfn.CONCAT(B301," ",E301),ForeCalc!$B$36:$Y$36,0))))*VLOOKUP(A301,Calendar!$A$2:$H$9997,8,FALSE),0)</f>
        <v/>
      </c>
      <c r="G301" s="29">
        <f>VLOOKUP(A301,Calendar!$A$1:$H$9997,6,FALSE)-F301</f>
        <v/>
      </c>
      <c r="H301" s="19" t="n">
        <v>1</v>
      </c>
      <c r="I301" s="57" t="n">
        <v>10</v>
      </c>
    </row>
    <row r="302">
      <c r="A302" s="62" t="n">
        <v>46413</v>
      </c>
      <c r="B302" s="3" t="inlineStr">
        <is>
          <t>Week</t>
        </is>
      </c>
      <c r="C302" s="19" t="n">
        <v>1</v>
      </c>
      <c r="D302" s="19" t="n">
        <v>2027</v>
      </c>
      <c r="E302" s="57" t="n">
        <v>1</v>
      </c>
      <c r="F302" s="29">
        <f>ROUND(((SUMIFS(Calendar!$F$2:$F$9997,Calendar!$B$2:$B$9997,D302,Calendar!$C$2:$C$9997,C302)*INDEX(ForeCalc!$B$37:$Y$274,MATCH(_xlfn.CONCAT(H302," ",I302),ForeCalc!$A$37:$A$274,0),MATCH(_xlfn.CONCAT(B302," ",E302),ForeCalc!$B$36:$Y$36,0))))*VLOOKUP(A302,Calendar!$A$2:$H$9997,8,FALSE),0)</f>
        <v/>
      </c>
      <c r="G302" s="29">
        <f>VLOOKUP(A302,Calendar!$A$1:$H$9997,6,FALSE)-F302</f>
        <v/>
      </c>
      <c r="H302" s="19" t="n">
        <v>1</v>
      </c>
      <c r="I302" s="57" t="n">
        <v>10</v>
      </c>
    </row>
    <row r="303">
      <c r="A303" s="62" t="n">
        <v>46414</v>
      </c>
      <c r="B303" s="3" t="inlineStr">
        <is>
          <t>Week</t>
        </is>
      </c>
      <c r="C303" s="19" t="n">
        <v>1</v>
      </c>
      <c r="D303" s="19" t="n">
        <v>2027</v>
      </c>
      <c r="E303" s="57" t="n">
        <v>1</v>
      </c>
      <c r="F303" s="29">
        <f>ROUND(((SUMIFS(Calendar!$F$2:$F$9997,Calendar!$B$2:$B$9997,D303,Calendar!$C$2:$C$9997,C303)*INDEX(ForeCalc!$B$37:$Y$274,MATCH(_xlfn.CONCAT(H303," ",I303),ForeCalc!$A$37:$A$274,0),MATCH(_xlfn.CONCAT(B303," ",E303),ForeCalc!$B$36:$Y$36,0))))*VLOOKUP(A303,Calendar!$A$2:$H$9997,8,FALSE),0)</f>
        <v/>
      </c>
      <c r="G303" s="29">
        <f>VLOOKUP(A303,Calendar!$A$1:$H$9997,6,FALSE)-F303</f>
        <v/>
      </c>
      <c r="H303" s="19" t="n">
        <v>1</v>
      </c>
      <c r="I303" s="57" t="n">
        <v>10</v>
      </c>
    </row>
    <row r="304">
      <c r="A304" s="62" t="n">
        <v>46415</v>
      </c>
      <c r="B304" s="3" t="inlineStr">
        <is>
          <t>Week</t>
        </is>
      </c>
      <c r="C304" s="19" t="n">
        <v>1</v>
      </c>
      <c r="D304" s="19" t="n">
        <v>2027</v>
      </c>
      <c r="E304" s="57" t="n">
        <v>1</v>
      </c>
      <c r="F304" s="29">
        <f>ROUND(((SUMIFS(Calendar!$F$2:$F$9997,Calendar!$B$2:$B$9997,D304,Calendar!$C$2:$C$9997,C304)*INDEX(ForeCalc!$B$37:$Y$274,MATCH(_xlfn.CONCAT(H304," ",I304),ForeCalc!$A$37:$A$274,0),MATCH(_xlfn.CONCAT(B304," ",E304),ForeCalc!$B$36:$Y$36,0))))*VLOOKUP(A304,Calendar!$A$2:$H$9997,8,FALSE),0)</f>
        <v/>
      </c>
      <c r="G304" s="29">
        <f>VLOOKUP(A304,Calendar!$A$1:$H$9997,6,FALSE)-F304</f>
        <v/>
      </c>
      <c r="H304" s="19" t="n">
        <v>1</v>
      </c>
      <c r="I304" s="57" t="n">
        <v>10</v>
      </c>
    </row>
    <row r="305">
      <c r="A305" s="62" t="n">
        <v>46416</v>
      </c>
      <c r="B305" s="3" t="inlineStr">
        <is>
          <t>Week</t>
        </is>
      </c>
      <c r="C305" s="19" t="n">
        <v>1</v>
      </c>
      <c r="D305" s="19" t="n">
        <v>2027</v>
      </c>
      <c r="E305" s="57" t="n">
        <v>1</v>
      </c>
      <c r="F305" s="29">
        <f>ROUND(((SUMIFS(Calendar!$F$2:$F$9997,Calendar!$B$2:$B$9997,D305,Calendar!$C$2:$C$9997,C305)*INDEX(ForeCalc!$B$37:$Y$274,MATCH(_xlfn.CONCAT(H305," ",I305),ForeCalc!$A$37:$A$274,0),MATCH(_xlfn.CONCAT(B305," ",E305),ForeCalc!$B$36:$Y$36,0))))*VLOOKUP(A305,Calendar!$A$2:$H$9997,8,FALSE),0)</f>
        <v/>
      </c>
      <c r="G305" s="29">
        <f>VLOOKUP(A305,Calendar!$A$1:$H$9997,6,FALSE)-F305</f>
        <v/>
      </c>
      <c r="H305" s="19" t="n">
        <v>1</v>
      </c>
      <c r="I305" s="57" t="n">
        <v>10</v>
      </c>
    </row>
    <row r="306">
      <c r="A306" s="62" t="n">
        <v>46417</v>
      </c>
      <c r="B306" s="3" t="inlineStr">
        <is>
          <t>Sat</t>
        </is>
      </c>
      <c r="C306" s="19" t="n">
        <v>1</v>
      </c>
      <c r="D306" s="19" t="n">
        <v>2027</v>
      </c>
      <c r="E306" s="57" t="n">
        <v>1</v>
      </c>
      <c r="F306" s="29">
        <f>ROUND(((SUMIFS(Calendar!$F$2:$F$9997,Calendar!$B$2:$B$9997,D306,Calendar!$C$2:$C$9997,C306)*INDEX(ForeCalc!$B$37:$Y$274,MATCH(_xlfn.CONCAT(H306," ",I306),ForeCalc!$A$37:$A$274,0),MATCH(_xlfn.CONCAT(B306," ",E306),ForeCalc!$B$36:$Y$36,0))))*VLOOKUP(A306,Calendar!$A$2:$H$9997,8,FALSE),0)</f>
        <v/>
      </c>
      <c r="G306" s="29">
        <f>VLOOKUP(A306,Calendar!$A$1:$H$9997,6,FALSE)-F306</f>
        <v/>
      </c>
      <c r="H306" s="19" t="n">
        <v>1</v>
      </c>
      <c r="I306" s="57" t="n">
        <v>10</v>
      </c>
    </row>
    <row r="307">
      <c r="A307" s="62" t="n">
        <v>46418</v>
      </c>
      <c r="B307" s="3" t="inlineStr">
        <is>
          <t>Sun</t>
        </is>
      </c>
      <c r="C307" s="19" t="n">
        <v>1</v>
      </c>
      <c r="D307" s="19" t="n">
        <v>2027</v>
      </c>
      <c r="E307" s="57" t="n">
        <v>1</v>
      </c>
      <c r="F307" s="29">
        <f>ROUND(((SUMIFS(Calendar!$F$2:$F$9997,Calendar!$B$2:$B$9997,D307,Calendar!$C$2:$C$9997,C307)*INDEX(ForeCalc!$B$37:$Y$274,MATCH(_xlfn.CONCAT(H307," ",I307),ForeCalc!$A$37:$A$274,0),MATCH(_xlfn.CONCAT(B307," ",E307),ForeCalc!$B$36:$Y$36,0))))*VLOOKUP(A307,Calendar!$A$2:$H$9997,8,FALSE),0)</f>
        <v/>
      </c>
      <c r="G307" s="29">
        <f>VLOOKUP(A307,Calendar!$A$1:$H$9997,6,FALSE)-F307</f>
        <v/>
      </c>
      <c r="H307" s="19" t="n">
        <v>1</v>
      </c>
      <c r="I307" s="57" t="n">
        <v>10</v>
      </c>
    </row>
    <row r="308">
      <c r="A308" s="62" t="n">
        <v>46419</v>
      </c>
      <c r="B308" s="3" t="inlineStr">
        <is>
          <t>Week</t>
        </is>
      </c>
      <c r="C308" s="19" t="n">
        <v>2</v>
      </c>
      <c r="D308" s="19" t="n">
        <v>2027</v>
      </c>
      <c r="E308" s="57" t="n">
        <v>1</v>
      </c>
      <c r="F308" s="29">
        <f>ROUND(((SUMIFS(Calendar!$F$2:$F$9997,Calendar!$B$2:$B$9997,D308,Calendar!$C$2:$C$9997,C308)*INDEX(ForeCalc!$B$37:$Y$274,MATCH(_xlfn.CONCAT(H308," ",I308),ForeCalc!$A$37:$A$274,0),MATCH(_xlfn.CONCAT(B308," ",E308),ForeCalc!$B$36:$Y$36,0))))*VLOOKUP(A308,Calendar!$A$2:$H$9997,8,FALSE),0)</f>
        <v/>
      </c>
      <c r="G308" s="29">
        <f>VLOOKUP(A308,Calendar!$A$1:$H$9997,6,FALSE)-F308</f>
        <v/>
      </c>
      <c r="H308" s="19" t="n">
        <v>1</v>
      </c>
      <c r="I308" s="57" t="n">
        <v>11</v>
      </c>
    </row>
    <row r="309">
      <c r="A309" s="62" t="n">
        <v>46420</v>
      </c>
      <c r="B309" s="3" t="inlineStr">
        <is>
          <t>Week</t>
        </is>
      </c>
      <c r="C309" s="19" t="n">
        <v>2</v>
      </c>
      <c r="D309" s="19" t="n">
        <v>2027</v>
      </c>
      <c r="E309" s="57" t="n">
        <v>1</v>
      </c>
      <c r="F309" s="29">
        <f>ROUND(((SUMIFS(Calendar!$F$2:$F$9997,Calendar!$B$2:$B$9997,D309,Calendar!$C$2:$C$9997,C309)*INDEX(ForeCalc!$B$37:$Y$274,MATCH(_xlfn.CONCAT(H309," ",I309),ForeCalc!$A$37:$A$274,0),MATCH(_xlfn.CONCAT(B309," ",E309),ForeCalc!$B$36:$Y$36,0))))*VLOOKUP(A309,Calendar!$A$2:$H$9997,8,FALSE),0)</f>
        <v/>
      </c>
      <c r="G309" s="29">
        <f>VLOOKUP(A309,Calendar!$A$1:$H$9997,6,FALSE)-F309</f>
        <v/>
      </c>
      <c r="H309" s="19" t="n">
        <v>1</v>
      </c>
      <c r="I309" s="57" t="n">
        <v>11</v>
      </c>
    </row>
    <row r="310">
      <c r="A310" s="62" t="n">
        <v>46421</v>
      </c>
      <c r="B310" s="3" t="inlineStr">
        <is>
          <t>Week</t>
        </is>
      </c>
      <c r="C310" s="19" t="n">
        <v>2</v>
      </c>
      <c r="D310" s="19" t="n">
        <v>2027</v>
      </c>
      <c r="E310" s="57" t="n">
        <v>1</v>
      </c>
      <c r="F310" s="29">
        <f>ROUND(((SUMIFS(Calendar!$F$2:$F$9997,Calendar!$B$2:$B$9997,D310,Calendar!$C$2:$C$9997,C310)*INDEX(ForeCalc!$B$37:$Y$274,MATCH(_xlfn.CONCAT(H310," ",I310),ForeCalc!$A$37:$A$274,0),MATCH(_xlfn.CONCAT(B310," ",E310),ForeCalc!$B$36:$Y$36,0))))*VLOOKUP(A310,Calendar!$A$2:$H$9997,8,FALSE),0)</f>
        <v/>
      </c>
      <c r="G310" s="29">
        <f>VLOOKUP(A310,Calendar!$A$1:$H$9997,6,FALSE)-F310</f>
        <v/>
      </c>
      <c r="H310" s="19" t="n">
        <v>1</v>
      </c>
      <c r="I310" s="57" t="n">
        <v>11</v>
      </c>
    </row>
    <row r="311">
      <c r="A311" s="62" t="n">
        <v>46422</v>
      </c>
      <c r="B311" s="3" t="inlineStr">
        <is>
          <t>Week</t>
        </is>
      </c>
      <c r="C311" s="19" t="n">
        <v>2</v>
      </c>
      <c r="D311" s="19" t="n">
        <v>2027</v>
      </c>
      <c r="E311" s="57" t="n">
        <v>1</v>
      </c>
      <c r="F311" s="29">
        <f>ROUND(((SUMIFS(Calendar!$F$2:$F$9997,Calendar!$B$2:$B$9997,D311,Calendar!$C$2:$C$9997,C311)*INDEX(ForeCalc!$B$37:$Y$274,MATCH(_xlfn.CONCAT(H311," ",I311),ForeCalc!$A$37:$A$274,0),MATCH(_xlfn.CONCAT(B311," ",E311),ForeCalc!$B$36:$Y$36,0))))*VLOOKUP(A311,Calendar!$A$2:$H$9997,8,FALSE),0)</f>
        <v/>
      </c>
      <c r="G311" s="29">
        <f>VLOOKUP(A311,Calendar!$A$1:$H$9997,6,FALSE)-F311</f>
        <v/>
      </c>
      <c r="H311" s="19" t="n">
        <v>1</v>
      </c>
      <c r="I311" s="57" t="n">
        <v>11</v>
      </c>
    </row>
    <row r="312">
      <c r="A312" s="62" t="n">
        <v>46423</v>
      </c>
      <c r="B312" s="3" t="inlineStr">
        <is>
          <t>Week</t>
        </is>
      </c>
      <c r="C312" s="19" t="n">
        <v>2</v>
      </c>
      <c r="D312" s="19" t="n">
        <v>2027</v>
      </c>
      <c r="E312" s="57" t="n">
        <v>1</v>
      </c>
      <c r="F312" s="29">
        <f>ROUND(((SUMIFS(Calendar!$F$2:$F$9997,Calendar!$B$2:$B$9997,D312,Calendar!$C$2:$C$9997,C312)*INDEX(ForeCalc!$B$37:$Y$274,MATCH(_xlfn.CONCAT(H312," ",I312),ForeCalc!$A$37:$A$274,0),MATCH(_xlfn.CONCAT(B312," ",E312),ForeCalc!$B$36:$Y$36,0))))*VLOOKUP(A312,Calendar!$A$2:$H$9997,8,FALSE),0)</f>
        <v/>
      </c>
      <c r="G312" s="29">
        <f>VLOOKUP(A312,Calendar!$A$1:$H$9997,6,FALSE)-F312</f>
        <v/>
      </c>
      <c r="H312" s="19" t="n">
        <v>1</v>
      </c>
      <c r="I312" s="57" t="n">
        <v>11</v>
      </c>
    </row>
    <row r="313">
      <c r="A313" s="62" t="n">
        <v>46424</v>
      </c>
      <c r="B313" s="3" t="inlineStr">
        <is>
          <t>Sat</t>
        </is>
      </c>
      <c r="C313" s="19" t="n">
        <v>2</v>
      </c>
      <c r="D313" s="19" t="n">
        <v>2027</v>
      </c>
      <c r="E313" s="57" t="n">
        <v>1</v>
      </c>
      <c r="F313" s="29">
        <f>ROUND(((SUMIFS(Calendar!$F$2:$F$9997,Calendar!$B$2:$B$9997,D313,Calendar!$C$2:$C$9997,C313)*INDEX(ForeCalc!$B$37:$Y$274,MATCH(_xlfn.CONCAT(H313," ",I313),ForeCalc!$A$37:$A$274,0),MATCH(_xlfn.CONCAT(B313," ",E313),ForeCalc!$B$36:$Y$36,0))))*VLOOKUP(A313,Calendar!$A$2:$H$9997,8,FALSE),0)</f>
        <v/>
      </c>
      <c r="G313" s="29">
        <f>VLOOKUP(A313,Calendar!$A$1:$H$9997,6,FALSE)-F313</f>
        <v/>
      </c>
      <c r="H313" s="19" t="n">
        <v>1</v>
      </c>
      <c r="I313" s="57" t="n">
        <v>11</v>
      </c>
    </row>
    <row r="314">
      <c r="A314" s="62" t="n">
        <v>46425</v>
      </c>
      <c r="B314" s="3" t="inlineStr">
        <is>
          <t>Sun</t>
        </is>
      </c>
      <c r="C314" s="19" t="n">
        <v>2</v>
      </c>
      <c r="D314" s="19" t="n">
        <v>2027</v>
      </c>
      <c r="E314" s="57" t="n">
        <v>1</v>
      </c>
      <c r="F314" s="29">
        <f>ROUND(((SUMIFS(Calendar!$F$2:$F$9997,Calendar!$B$2:$B$9997,D314,Calendar!$C$2:$C$9997,C314)*INDEX(ForeCalc!$B$37:$Y$274,MATCH(_xlfn.CONCAT(H314," ",I314),ForeCalc!$A$37:$A$274,0),MATCH(_xlfn.CONCAT(B314," ",E314),ForeCalc!$B$36:$Y$36,0))))*VLOOKUP(A314,Calendar!$A$2:$H$9997,8,FALSE),0)</f>
        <v/>
      </c>
      <c r="G314" s="29">
        <f>VLOOKUP(A314,Calendar!$A$1:$H$9997,6,FALSE)-F314</f>
        <v/>
      </c>
      <c r="H314" s="19" t="n">
        <v>1</v>
      </c>
      <c r="I314" s="57" t="n">
        <v>11</v>
      </c>
    </row>
    <row r="315">
      <c r="A315" s="62" t="n">
        <v>46426</v>
      </c>
      <c r="B315" s="3" t="inlineStr">
        <is>
          <t>Week</t>
        </is>
      </c>
      <c r="C315" s="19" t="n">
        <v>2</v>
      </c>
      <c r="D315" s="19" t="n">
        <v>2027</v>
      </c>
      <c r="E315" s="57" t="n">
        <v>1</v>
      </c>
      <c r="F315" s="29">
        <f>ROUND(((SUMIFS(Calendar!$F$2:$F$9997,Calendar!$B$2:$B$9997,D315,Calendar!$C$2:$C$9997,C315)*INDEX(ForeCalc!$B$37:$Y$274,MATCH(_xlfn.CONCAT(H315," ",I315),ForeCalc!$A$37:$A$274,0),MATCH(_xlfn.CONCAT(B315," ",E315),ForeCalc!$B$36:$Y$36,0))))*VLOOKUP(A315,Calendar!$A$2:$H$9997,8,FALSE),0)</f>
        <v/>
      </c>
      <c r="G315" s="29">
        <f>VLOOKUP(A315,Calendar!$A$1:$H$9997,6,FALSE)-F315</f>
        <v/>
      </c>
      <c r="H315" s="19" t="n">
        <v>1</v>
      </c>
      <c r="I315" s="57" t="n">
        <v>11</v>
      </c>
    </row>
    <row r="316">
      <c r="A316" s="62" t="n">
        <v>46427</v>
      </c>
      <c r="B316" s="3" t="inlineStr">
        <is>
          <t>Week</t>
        </is>
      </c>
      <c r="C316" s="19" t="n">
        <v>2</v>
      </c>
      <c r="D316" s="19" t="n">
        <v>2027</v>
      </c>
      <c r="E316" s="57" t="n">
        <v>1</v>
      </c>
      <c r="F316" s="29">
        <f>ROUND(((SUMIFS(Calendar!$F$2:$F$9997,Calendar!$B$2:$B$9997,D316,Calendar!$C$2:$C$9997,C316)*INDEX(ForeCalc!$B$37:$Y$274,MATCH(_xlfn.CONCAT(H316," ",I316),ForeCalc!$A$37:$A$274,0),MATCH(_xlfn.CONCAT(B316," ",E316),ForeCalc!$B$36:$Y$36,0))))*VLOOKUP(A316,Calendar!$A$2:$H$9997,8,FALSE),0)</f>
        <v/>
      </c>
      <c r="G316" s="29">
        <f>VLOOKUP(A316,Calendar!$A$1:$H$9997,6,FALSE)-F316</f>
        <v/>
      </c>
      <c r="H316" s="19" t="n">
        <v>1</v>
      </c>
      <c r="I316" s="57" t="n">
        <v>11</v>
      </c>
    </row>
    <row r="317">
      <c r="A317" s="62" t="n">
        <v>46428</v>
      </c>
      <c r="B317" s="3" t="inlineStr">
        <is>
          <t>Week</t>
        </is>
      </c>
      <c r="C317" s="19" t="n">
        <v>2</v>
      </c>
      <c r="D317" s="19" t="n">
        <v>2027</v>
      </c>
      <c r="E317" s="57" t="n">
        <v>1</v>
      </c>
      <c r="F317" s="29">
        <f>ROUND(((SUMIFS(Calendar!$F$2:$F$9997,Calendar!$B$2:$B$9997,D317,Calendar!$C$2:$C$9997,C317)*INDEX(ForeCalc!$B$37:$Y$274,MATCH(_xlfn.CONCAT(H317," ",I317),ForeCalc!$A$37:$A$274,0),MATCH(_xlfn.CONCAT(B317," ",E317),ForeCalc!$B$36:$Y$36,0))))*VLOOKUP(A317,Calendar!$A$2:$H$9997,8,FALSE),0)</f>
        <v/>
      </c>
      <c r="G317" s="29">
        <f>VLOOKUP(A317,Calendar!$A$1:$H$9997,6,FALSE)-F317</f>
        <v/>
      </c>
      <c r="H317" s="19" t="n">
        <v>1</v>
      </c>
      <c r="I317" s="57" t="n">
        <v>11</v>
      </c>
    </row>
    <row r="318">
      <c r="A318" s="62" t="n">
        <v>46429</v>
      </c>
      <c r="B318" s="3" t="inlineStr">
        <is>
          <t>Week</t>
        </is>
      </c>
      <c r="C318" s="19" t="n">
        <v>2</v>
      </c>
      <c r="D318" s="19" t="n">
        <v>2027</v>
      </c>
      <c r="E318" s="57" t="n">
        <v>1</v>
      </c>
      <c r="F318" s="29">
        <f>ROUND(((SUMIFS(Calendar!$F$2:$F$9997,Calendar!$B$2:$B$9997,D318,Calendar!$C$2:$C$9997,C318)*INDEX(ForeCalc!$B$37:$Y$274,MATCH(_xlfn.CONCAT(H318," ",I318),ForeCalc!$A$37:$A$274,0),MATCH(_xlfn.CONCAT(B318," ",E318),ForeCalc!$B$36:$Y$36,0))))*VLOOKUP(A318,Calendar!$A$2:$H$9997,8,FALSE),0)</f>
        <v/>
      </c>
      <c r="G318" s="29">
        <f>VLOOKUP(A318,Calendar!$A$1:$H$9997,6,FALSE)-F318</f>
        <v/>
      </c>
      <c r="H318" s="19" t="n">
        <v>1</v>
      </c>
      <c r="I318" s="57" t="n">
        <v>11</v>
      </c>
    </row>
    <row r="319">
      <c r="A319" s="62" t="n">
        <v>46430</v>
      </c>
      <c r="B319" s="3" t="inlineStr">
        <is>
          <t>Week</t>
        </is>
      </c>
      <c r="C319" s="19" t="n">
        <v>2</v>
      </c>
      <c r="D319" s="19" t="n">
        <v>2027</v>
      </c>
      <c r="E319" s="57" t="n">
        <v>1</v>
      </c>
      <c r="F319" s="29">
        <f>ROUND(((SUMIFS(Calendar!$F$2:$F$9997,Calendar!$B$2:$B$9997,D319,Calendar!$C$2:$C$9997,C319)*INDEX(ForeCalc!$B$37:$Y$274,MATCH(_xlfn.CONCAT(H319," ",I319),ForeCalc!$A$37:$A$274,0),MATCH(_xlfn.CONCAT(B319," ",E319),ForeCalc!$B$36:$Y$36,0))))*VLOOKUP(A319,Calendar!$A$2:$H$9997,8,FALSE),0)</f>
        <v/>
      </c>
      <c r="G319" s="29">
        <f>VLOOKUP(A319,Calendar!$A$1:$H$9997,6,FALSE)-F319</f>
        <v/>
      </c>
      <c r="H319" s="19" t="n">
        <v>1</v>
      </c>
      <c r="I319" s="57" t="n">
        <v>11</v>
      </c>
    </row>
    <row r="320">
      <c r="A320" s="62" t="n">
        <v>46431</v>
      </c>
      <c r="B320" s="3" t="inlineStr">
        <is>
          <t>Sat</t>
        </is>
      </c>
      <c r="C320" s="19" t="n">
        <v>2</v>
      </c>
      <c r="D320" s="19" t="n">
        <v>2027</v>
      </c>
      <c r="E320" s="57" t="n">
        <v>1</v>
      </c>
      <c r="F320" s="29">
        <f>ROUND(((SUMIFS(Calendar!$F$2:$F$9997,Calendar!$B$2:$B$9997,D320,Calendar!$C$2:$C$9997,C320)*INDEX(ForeCalc!$B$37:$Y$274,MATCH(_xlfn.CONCAT(H320," ",I320),ForeCalc!$A$37:$A$274,0),MATCH(_xlfn.CONCAT(B320," ",E320),ForeCalc!$B$36:$Y$36,0))))*VLOOKUP(A320,Calendar!$A$2:$H$9997,8,FALSE),0)</f>
        <v/>
      </c>
      <c r="G320" s="29">
        <f>VLOOKUP(A320,Calendar!$A$1:$H$9997,6,FALSE)-F320</f>
        <v/>
      </c>
      <c r="H320" s="19" t="n">
        <v>1</v>
      </c>
      <c r="I320" s="57" t="n">
        <v>11</v>
      </c>
    </row>
    <row r="321">
      <c r="A321" s="62" t="n">
        <v>46432</v>
      </c>
      <c r="B321" s="3" t="inlineStr">
        <is>
          <t>Sun</t>
        </is>
      </c>
      <c r="C321" s="19" t="n">
        <v>2</v>
      </c>
      <c r="D321" s="19" t="n">
        <v>2027</v>
      </c>
      <c r="E321" s="57" t="n">
        <v>1</v>
      </c>
      <c r="F321" s="29">
        <f>ROUND(((SUMIFS(Calendar!$F$2:$F$9997,Calendar!$B$2:$B$9997,D321,Calendar!$C$2:$C$9997,C321)*INDEX(ForeCalc!$B$37:$Y$274,MATCH(_xlfn.CONCAT(H321," ",I321),ForeCalc!$A$37:$A$274,0),MATCH(_xlfn.CONCAT(B321," ",E321),ForeCalc!$B$36:$Y$36,0))))*VLOOKUP(A321,Calendar!$A$2:$H$9997,8,FALSE),0)</f>
        <v/>
      </c>
      <c r="G321" s="29">
        <f>VLOOKUP(A321,Calendar!$A$1:$H$9997,6,FALSE)-F321</f>
        <v/>
      </c>
      <c r="H321" s="19" t="n">
        <v>1</v>
      </c>
      <c r="I321" s="57" t="n">
        <v>11</v>
      </c>
    </row>
    <row r="322">
      <c r="A322" s="62" t="n">
        <v>46433</v>
      </c>
      <c r="B322" s="3" t="inlineStr">
        <is>
          <t>Week</t>
        </is>
      </c>
      <c r="C322" s="19" t="n">
        <v>2</v>
      </c>
      <c r="D322" s="19" t="n">
        <v>2027</v>
      </c>
      <c r="E322" s="57" t="n">
        <v>1</v>
      </c>
      <c r="F322" s="29">
        <f>ROUND(((SUMIFS(Calendar!$F$2:$F$9997,Calendar!$B$2:$B$9997,D322,Calendar!$C$2:$C$9997,C322)*INDEX(ForeCalc!$B$37:$Y$274,MATCH(_xlfn.CONCAT(H322," ",I322),ForeCalc!$A$37:$A$274,0),MATCH(_xlfn.CONCAT(B322," ",E322),ForeCalc!$B$36:$Y$36,0))))*VLOOKUP(A322,Calendar!$A$2:$H$9997,8,FALSE),0)</f>
        <v/>
      </c>
      <c r="G322" s="29">
        <f>VLOOKUP(A322,Calendar!$A$1:$H$9997,6,FALSE)-F322</f>
        <v/>
      </c>
      <c r="H322" s="19" t="n">
        <v>1</v>
      </c>
      <c r="I322" s="57" t="n">
        <v>11</v>
      </c>
    </row>
    <row r="323">
      <c r="A323" s="62" t="n">
        <v>46434</v>
      </c>
      <c r="B323" s="3" t="inlineStr">
        <is>
          <t>Week</t>
        </is>
      </c>
      <c r="C323" s="19" t="n">
        <v>2</v>
      </c>
      <c r="D323" s="19" t="n">
        <v>2027</v>
      </c>
      <c r="E323" s="57" t="n">
        <v>1</v>
      </c>
      <c r="F323" s="29">
        <f>ROUND(((SUMIFS(Calendar!$F$2:$F$9997,Calendar!$B$2:$B$9997,D323,Calendar!$C$2:$C$9997,C323)*INDEX(ForeCalc!$B$37:$Y$274,MATCH(_xlfn.CONCAT(H323," ",I323),ForeCalc!$A$37:$A$274,0),MATCH(_xlfn.CONCAT(B323," ",E323),ForeCalc!$B$36:$Y$36,0))))*VLOOKUP(A323,Calendar!$A$2:$H$9997,8,FALSE),0)</f>
        <v/>
      </c>
      <c r="G323" s="29">
        <f>VLOOKUP(A323,Calendar!$A$1:$H$9997,6,FALSE)-F323</f>
        <v/>
      </c>
      <c r="H323" s="19" t="n">
        <v>1</v>
      </c>
      <c r="I323" s="57" t="n">
        <v>11</v>
      </c>
    </row>
    <row r="324">
      <c r="A324" s="62" t="n">
        <v>46435</v>
      </c>
      <c r="B324" s="3" t="inlineStr">
        <is>
          <t>Week</t>
        </is>
      </c>
      <c r="C324" s="19" t="n">
        <v>2</v>
      </c>
      <c r="D324" s="19" t="n">
        <v>2027</v>
      </c>
      <c r="E324" s="57" t="n">
        <v>1</v>
      </c>
      <c r="F324" s="29">
        <f>ROUND(((SUMIFS(Calendar!$F$2:$F$9997,Calendar!$B$2:$B$9997,D324,Calendar!$C$2:$C$9997,C324)*INDEX(ForeCalc!$B$37:$Y$274,MATCH(_xlfn.CONCAT(H324," ",I324),ForeCalc!$A$37:$A$274,0),MATCH(_xlfn.CONCAT(B324," ",E324),ForeCalc!$B$36:$Y$36,0))))*VLOOKUP(A324,Calendar!$A$2:$H$9997,8,FALSE),0)</f>
        <v/>
      </c>
      <c r="G324" s="29">
        <f>VLOOKUP(A324,Calendar!$A$1:$H$9997,6,FALSE)-F324</f>
        <v/>
      </c>
      <c r="H324" s="19" t="n">
        <v>1</v>
      </c>
      <c r="I324" s="57" t="n">
        <v>11</v>
      </c>
    </row>
    <row r="325">
      <c r="A325" s="62" t="n">
        <v>46436</v>
      </c>
      <c r="B325" s="3" t="inlineStr">
        <is>
          <t>Week</t>
        </is>
      </c>
      <c r="C325" s="19" t="n">
        <v>2</v>
      </c>
      <c r="D325" s="19" t="n">
        <v>2027</v>
      </c>
      <c r="E325" s="57" t="n">
        <v>1</v>
      </c>
      <c r="F325" s="29">
        <f>ROUND(((SUMIFS(Calendar!$F$2:$F$9997,Calendar!$B$2:$B$9997,D325,Calendar!$C$2:$C$9997,C325)*INDEX(ForeCalc!$B$37:$Y$274,MATCH(_xlfn.CONCAT(H325," ",I325),ForeCalc!$A$37:$A$274,0),MATCH(_xlfn.CONCAT(B325," ",E325),ForeCalc!$B$36:$Y$36,0))))*VLOOKUP(A325,Calendar!$A$2:$H$9997,8,FALSE),0)</f>
        <v/>
      </c>
      <c r="G325" s="29">
        <f>VLOOKUP(A325,Calendar!$A$1:$H$9997,6,FALSE)-F325</f>
        <v/>
      </c>
      <c r="H325" s="19" t="n">
        <v>1</v>
      </c>
      <c r="I325" s="57" t="n">
        <v>11</v>
      </c>
    </row>
    <row r="326">
      <c r="A326" s="62" t="n">
        <v>46437</v>
      </c>
      <c r="B326" s="3" t="inlineStr">
        <is>
          <t>Week</t>
        </is>
      </c>
      <c r="C326" s="19" t="n">
        <v>2</v>
      </c>
      <c r="D326" s="19" t="n">
        <v>2027</v>
      </c>
      <c r="E326" s="57" t="n">
        <v>1</v>
      </c>
      <c r="F326" s="29">
        <f>ROUND(((SUMIFS(Calendar!$F$2:$F$9997,Calendar!$B$2:$B$9997,D326,Calendar!$C$2:$C$9997,C326)*INDEX(ForeCalc!$B$37:$Y$274,MATCH(_xlfn.CONCAT(H326," ",I326),ForeCalc!$A$37:$A$274,0),MATCH(_xlfn.CONCAT(B326," ",E326),ForeCalc!$B$36:$Y$36,0))))*VLOOKUP(A326,Calendar!$A$2:$H$9997,8,FALSE),0)</f>
        <v/>
      </c>
      <c r="G326" s="29">
        <f>VLOOKUP(A326,Calendar!$A$1:$H$9997,6,FALSE)-F326</f>
        <v/>
      </c>
      <c r="H326" s="19" t="n">
        <v>1</v>
      </c>
      <c r="I326" s="57" t="n">
        <v>11</v>
      </c>
    </row>
    <row r="327">
      <c r="A327" s="62" t="n">
        <v>46438</v>
      </c>
      <c r="B327" s="3" t="inlineStr">
        <is>
          <t>Sat</t>
        </is>
      </c>
      <c r="C327" s="19" t="n">
        <v>2</v>
      </c>
      <c r="D327" s="19" t="n">
        <v>2027</v>
      </c>
      <c r="E327" s="57" t="n">
        <v>1</v>
      </c>
      <c r="F327" s="29">
        <f>ROUND(((SUMIFS(Calendar!$F$2:$F$9997,Calendar!$B$2:$B$9997,D327,Calendar!$C$2:$C$9997,C327)*INDEX(ForeCalc!$B$37:$Y$274,MATCH(_xlfn.CONCAT(H327," ",I327),ForeCalc!$A$37:$A$274,0),MATCH(_xlfn.CONCAT(B327," ",E327),ForeCalc!$B$36:$Y$36,0))))*VLOOKUP(A327,Calendar!$A$2:$H$9997,8,FALSE),0)</f>
        <v/>
      </c>
      <c r="G327" s="29">
        <f>VLOOKUP(A327,Calendar!$A$1:$H$9997,6,FALSE)-F327</f>
        <v/>
      </c>
      <c r="H327" s="19" t="n">
        <v>1</v>
      </c>
      <c r="I327" s="57" t="n">
        <v>11</v>
      </c>
    </row>
    <row r="328">
      <c r="A328" s="62" t="n">
        <v>46439</v>
      </c>
      <c r="B328" s="3" t="inlineStr">
        <is>
          <t>Sun</t>
        </is>
      </c>
      <c r="C328" s="19" t="n">
        <v>2</v>
      </c>
      <c r="D328" s="19" t="n">
        <v>2027</v>
      </c>
      <c r="E328" s="57" t="n">
        <v>1</v>
      </c>
      <c r="F328" s="29">
        <f>ROUND(((SUMIFS(Calendar!$F$2:$F$9997,Calendar!$B$2:$B$9997,D328,Calendar!$C$2:$C$9997,C328)*INDEX(ForeCalc!$B$37:$Y$274,MATCH(_xlfn.CONCAT(H328," ",I328),ForeCalc!$A$37:$A$274,0),MATCH(_xlfn.CONCAT(B328," ",E328),ForeCalc!$B$36:$Y$36,0))))*VLOOKUP(A328,Calendar!$A$2:$H$9997,8,FALSE),0)</f>
        <v/>
      </c>
      <c r="G328" s="29">
        <f>VLOOKUP(A328,Calendar!$A$1:$H$9997,6,FALSE)-F328</f>
        <v/>
      </c>
      <c r="H328" s="19" t="n">
        <v>1</v>
      </c>
      <c r="I328" s="57" t="n">
        <v>11</v>
      </c>
    </row>
    <row r="329">
      <c r="A329" s="62" t="n">
        <v>46440</v>
      </c>
      <c r="B329" s="3" t="inlineStr">
        <is>
          <t>Week</t>
        </is>
      </c>
      <c r="C329" s="19" t="n">
        <v>2</v>
      </c>
      <c r="D329" s="19" t="n">
        <v>2027</v>
      </c>
      <c r="E329" s="57" t="n">
        <v>1</v>
      </c>
      <c r="F329" s="29">
        <f>ROUND(((SUMIFS(Calendar!$F$2:$F$9997,Calendar!$B$2:$B$9997,D329,Calendar!$C$2:$C$9997,C329)*INDEX(ForeCalc!$B$37:$Y$274,MATCH(_xlfn.CONCAT(H329," ",I329),ForeCalc!$A$37:$A$274,0),MATCH(_xlfn.CONCAT(B329," ",E329),ForeCalc!$B$36:$Y$36,0))))*VLOOKUP(A329,Calendar!$A$2:$H$9997,8,FALSE),0)</f>
        <v/>
      </c>
      <c r="G329" s="29">
        <f>VLOOKUP(A329,Calendar!$A$1:$H$9997,6,FALSE)-F329</f>
        <v/>
      </c>
      <c r="H329" s="19" t="n">
        <v>1</v>
      </c>
      <c r="I329" s="57" t="n">
        <v>11</v>
      </c>
    </row>
    <row r="330">
      <c r="A330" s="62" t="n">
        <v>46441</v>
      </c>
      <c r="B330" s="3" t="inlineStr">
        <is>
          <t>Week</t>
        </is>
      </c>
      <c r="C330" s="19" t="n">
        <v>2</v>
      </c>
      <c r="D330" s="19" t="n">
        <v>2027</v>
      </c>
      <c r="E330" s="57" t="n">
        <v>1</v>
      </c>
      <c r="F330" s="29">
        <f>ROUND(((SUMIFS(Calendar!$F$2:$F$9997,Calendar!$B$2:$B$9997,D330,Calendar!$C$2:$C$9997,C330)*INDEX(ForeCalc!$B$37:$Y$274,MATCH(_xlfn.CONCAT(H330," ",I330),ForeCalc!$A$37:$A$274,0),MATCH(_xlfn.CONCAT(B330," ",E330),ForeCalc!$B$36:$Y$36,0))))*VLOOKUP(A330,Calendar!$A$2:$H$9997,8,FALSE),0)</f>
        <v/>
      </c>
      <c r="G330" s="29">
        <f>VLOOKUP(A330,Calendar!$A$1:$H$9997,6,FALSE)-F330</f>
        <v/>
      </c>
      <c r="H330" s="19" t="n">
        <v>1</v>
      </c>
      <c r="I330" s="57" t="n">
        <v>11</v>
      </c>
    </row>
    <row r="331">
      <c r="A331" s="62" t="n">
        <v>46442</v>
      </c>
      <c r="B331" s="3" t="inlineStr">
        <is>
          <t>Week</t>
        </is>
      </c>
      <c r="C331" s="19" t="n">
        <v>2</v>
      </c>
      <c r="D331" s="19" t="n">
        <v>2027</v>
      </c>
      <c r="E331" s="57" t="n">
        <v>1</v>
      </c>
      <c r="F331" s="29">
        <f>ROUND(((SUMIFS(Calendar!$F$2:$F$9997,Calendar!$B$2:$B$9997,D331,Calendar!$C$2:$C$9997,C331)*INDEX(ForeCalc!$B$37:$Y$274,MATCH(_xlfn.CONCAT(H331," ",I331),ForeCalc!$A$37:$A$274,0),MATCH(_xlfn.CONCAT(B331," ",E331),ForeCalc!$B$36:$Y$36,0))))*VLOOKUP(A331,Calendar!$A$2:$H$9997,8,FALSE),0)</f>
        <v/>
      </c>
      <c r="G331" s="29">
        <f>VLOOKUP(A331,Calendar!$A$1:$H$9997,6,FALSE)-F331</f>
        <v/>
      </c>
      <c r="H331" s="19" t="n">
        <v>1</v>
      </c>
      <c r="I331" s="57" t="n">
        <v>11</v>
      </c>
    </row>
    <row r="332">
      <c r="A332" s="62" t="n">
        <v>46443</v>
      </c>
      <c r="B332" s="3" t="inlineStr">
        <is>
          <t>Week</t>
        </is>
      </c>
      <c r="C332" s="19" t="n">
        <v>2</v>
      </c>
      <c r="D332" s="19" t="n">
        <v>2027</v>
      </c>
      <c r="E332" s="57" t="n">
        <v>1</v>
      </c>
      <c r="F332" s="29">
        <f>ROUND(((SUMIFS(Calendar!$F$2:$F$9997,Calendar!$B$2:$B$9997,D332,Calendar!$C$2:$C$9997,C332)*INDEX(ForeCalc!$B$37:$Y$274,MATCH(_xlfn.CONCAT(H332," ",I332),ForeCalc!$A$37:$A$274,0),MATCH(_xlfn.CONCAT(B332," ",E332),ForeCalc!$B$36:$Y$36,0))))*VLOOKUP(A332,Calendar!$A$2:$H$9997,8,FALSE),0)</f>
        <v/>
      </c>
      <c r="G332" s="29">
        <f>VLOOKUP(A332,Calendar!$A$1:$H$9997,6,FALSE)-F332</f>
        <v/>
      </c>
      <c r="H332" s="19" t="n">
        <v>1</v>
      </c>
      <c r="I332" s="57" t="n">
        <v>11</v>
      </c>
    </row>
    <row r="333">
      <c r="A333" s="62" t="n">
        <v>46444</v>
      </c>
      <c r="B333" s="3" t="inlineStr">
        <is>
          <t>Week</t>
        </is>
      </c>
      <c r="C333" s="19" t="n">
        <v>2</v>
      </c>
      <c r="D333" s="19" t="n">
        <v>2027</v>
      </c>
      <c r="E333" s="57" t="n">
        <v>1</v>
      </c>
      <c r="F333" s="29">
        <f>ROUND(((SUMIFS(Calendar!$F$2:$F$9997,Calendar!$B$2:$B$9997,D333,Calendar!$C$2:$C$9997,C333)*INDEX(ForeCalc!$B$37:$Y$274,MATCH(_xlfn.CONCAT(H333," ",I333),ForeCalc!$A$37:$A$274,0),MATCH(_xlfn.CONCAT(B333," ",E333),ForeCalc!$B$36:$Y$36,0))))*VLOOKUP(A333,Calendar!$A$2:$H$9997,8,FALSE),0)</f>
        <v/>
      </c>
      <c r="G333" s="29">
        <f>VLOOKUP(A333,Calendar!$A$1:$H$9997,6,FALSE)-F333</f>
        <v/>
      </c>
      <c r="H333" s="19" t="n">
        <v>1</v>
      </c>
      <c r="I333" s="57" t="n">
        <v>11</v>
      </c>
    </row>
    <row r="334">
      <c r="A334" s="62" t="n">
        <v>46445</v>
      </c>
      <c r="B334" s="3" t="inlineStr">
        <is>
          <t>Sat</t>
        </is>
      </c>
      <c r="C334" s="19" t="n">
        <v>2</v>
      </c>
      <c r="D334" s="19" t="n">
        <v>2027</v>
      </c>
      <c r="E334" s="57" t="n">
        <v>1</v>
      </c>
      <c r="F334" s="29">
        <f>ROUND(((SUMIFS(Calendar!$F$2:$F$9997,Calendar!$B$2:$B$9997,D334,Calendar!$C$2:$C$9997,C334)*INDEX(ForeCalc!$B$37:$Y$274,MATCH(_xlfn.CONCAT(H334," ",I334),ForeCalc!$A$37:$A$274,0),MATCH(_xlfn.CONCAT(B334," ",E334),ForeCalc!$B$36:$Y$36,0))))*VLOOKUP(A334,Calendar!$A$2:$H$9997,8,FALSE),0)</f>
        <v/>
      </c>
      <c r="G334" s="29">
        <f>VLOOKUP(A334,Calendar!$A$1:$H$9997,6,FALSE)-F334</f>
        <v/>
      </c>
      <c r="H334" s="19" t="n">
        <v>1</v>
      </c>
      <c r="I334" s="57" t="n">
        <v>11</v>
      </c>
    </row>
    <row r="335">
      <c r="A335" s="62" t="n">
        <v>46446</v>
      </c>
      <c r="B335" s="3" t="inlineStr">
        <is>
          <t>Sun</t>
        </is>
      </c>
      <c r="C335" s="19" t="n">
        <v>2</v>
      </c>
      <c r="D335" s="19" t="n">
        <v>2027</v>
      </c>
      <c r="E335" s="57" t="n">
        <v>1</v>
      </c>
      <c r="F335" s="29">
        <f>ROUND(((SUMIFS(Calendar!$F$2:$F$9997,Calendar!$B$2:$B$9997,D335,Calendar!$C$2:$C$9997,C335)*INDEX(ForeCalc!$B$37:$Y$274,MATCH(_xlfn.CONCAT(H335," ",I335),ForeCalc!$A$37:$A$274,0),MATCH(_xlfn.CONCAT(B335," ",E335),ForeCalc!$B$36:$Y$36,0))))*VLOOKUP(A335,Calendar!$A$2:$H$9997,8,FALSE),0)</f>
        <v/>
      </c>
      <c r="G335" s="29">
        <f>VLOOKUP(A335,Calendar!$A$1:$H$9997,6,FALSE)-F335</f>
        <v/>
      </c>
      <c r="H335" s="19" t="n">
        <v>1</v>
      </c>
      <c r="I335" s="57" t="n">
        <v>11</v>
      </c>
    </row>
    <row r="336">
      <c r="A336" s="62" t="n">
        <v>46447</v>
      </c>
      <c r="B336" s="3" t="inlineStr">
        <is>
          <t>Week</t>
        </is>
      </c>
      <c r="C336" s="19" t="n">
        <v>3</v>
      </c>
      <c r="D336" s="19" t="n">
        <v>2027</v>
      </c>
      <c r="E336" s="57" t="n">
        <v>1</v>
      </c>
      <c r="F336" s="29">
        <f>ROUND(((SUMIFS(Calendar!$F$2:$F$9997,Calendar!$B$2:$B$9997,D336,Calendar!$C$2:$C$9997,C336)*INDEX(ForeCalc!$B$37:$Y$274,MATCH(_xlfn.CONCAT(H336," ",I336),ForeCalc!$A$37:$A$274,0),MATCH(_xlfn.CONCAT(B336," ",E336),ForeCalc!$B$36:$Y$36,0))))*VLOOKUP(A336,Calendar!$A$2:$H$9997,8,FALSE),0)</f>
        <v/>
      </c>
      <c r="G336" s="29">
        <f>VLOOKUP(A336,Calendar!$A$1:$H$9997,6,FALSE)-F336</f>
        <v/>
      </c>
      <c r="H336" s="19" t="n">
        <v>1</v>
      </c>
      <c r="I336" s="57" t="n">
        <v>12</v>
      </c>
    </row>
    <row r="337">
      <c r="A337" s="62" t="n">
        <v>46448</v>
      </c>
      <c r="B337" s="3" t="inlineStr">
        <is>
          <t>Week</t>
        </is>
      </c>
      <c r="C337" s="19" t="n">
        <v>3</v>
      </c>
      <c r="D337" s="19" t="n">
        <v>2027</v>
      </c>
      <c r="E337" s="57" t="n">
        <v>1</v>
      </c>
      <c r="F337" s="29">
        <f>ROUND(((SUMIFS(Calendar!$F$2:$F$9997,Calendar!$B$2:$B$9997,D337,Calendar!$C$2:$C$9997,C337)*INDEX(ForeCalc!$B$37:$Y$274,MATCH(_xlfn.CONCAT(H337," ",I337),ForeCalc!$A$37:$A$274,0),MATCH(_xlfn.CONCAT(B337," ",E337),ForeCalc!$B$36:$Y$36,0))))*VLOOKUP(A337,Calendar!$A$2:$H$9997,8,FALSE),0)</f>
        <v/>
      </c>
      <c r="G337" s="29">
        <f>VLOOKUP(A337,Calendar!$A$1:$H$9997,6,FALSE)-F337</f>
        <v/>
      </c>
      <c r="H337" s="19" t="n">
        <v>1</v>
      </c>
      <c r="I337" s="57" t="n">
        <v>12</v>
      </c>
    </row>
    <row r="338">
      <c r="A338" s="62" t="n">
        <v>46449</v>
      </c>
      <c r="B338" s="3" t="inlineStr">
        <is>
          <t>Week</t>
        </is>
      </c>
      <c r="C338" s="19" t="n">
        <v>3</v>
      </c>
      <c r="D338" s="19" t="n">
        <v>2027</v>
      </c>
      <c r="E338" s="57" t="n">
        <v>1</v>
      </c>
      <c r="F338" s="29">
        <f>ROUND(((SUMIFS(Calendar!$F$2:$F$9997,Calendar!$B$2:$B$9997,D338,Calendar!$C$2:$C$9997,C338)*INDEX(ForeCalc!$B$37:$Y$274,MATCH(_xlfn.CONCAT(H338," ",I338),ForeCalc!$A$37:$A$274,0),MATCH(_xlfn.CONCAT(B338," ",E338),ForeCalc!$B$36:$Y$36,0))))*VLOOKUP(A338,Calendar!$A$2:$H$9997,8,FALSE),0)</f>
        <v/>
      </c>
      <c r="G338" s="29">
        <f>VLOOKUP(A338,Calendar!$A$1:$H$9997,6,FALSE)-F338</f>
        <v/>
      </c>
      <c r="H338" s="19" t="n">
        <v>1</v>
      </c>
      <c r="I338" s="57" t="n">
        <v>12</v>
      </c>
    </row>
    <row r="339">
      <c r="A339" s="62" t="n">
        <v>46450</v>
      </c>
      <c r="B339" s="3" t="inlineStr">
        <is>
          <t>Week</t>
        </is>
      </c>
      <c r="C339" s="19" t="n">
        <v>3</v>
      </c>
      <c r="D339" s="19" t="n">
        <v>2027</v>
      </c>
      <c r="E339" s="57" t="n">
        <v>1</v>
      </c>
      <c r="F339" s="29">
        <f>ROUND(((SUMIFS(Calendar!$F$2:$F$9997,Calendar!$B$2:$B$9997,D339,Calendar!$C$2:$C$9997,C339)*INDEX(ForeCalc!$B$37:$Y$274,MATCH(_xlfn.CONCAT(H339," ",I339),ForeCalc!$A$37:$A$274,0),MATCH(_xlfn.CONCAT(B339," ",E339),ForeCalc!$B$36:$Y$36,0))))*VLOOKUP(A339,Calendar!$A$2:$H$9997,8,FALSE),0)</f>
        <v/>
      </c>
      <c r="G339" s="29">
        <f>VLOOKUP(A339,Calendar!$A$1:$H$9997,6,FALSE)-F339</f>
        <v/>
      </c>
      <c r="H339" s="19" t="n">
        <v>1</v>
      </c>
      <c r="I339" s="57" t="n">
        <v>12</v>
      </c>
    </row>
    <row r="340">
      <c r="A340" s="62" t="n">
        <v>46451</v>
      </c>
      <c r="B340" s="3" t="inlineStr">
        <is>
          <t>Week</t>
        </is>
      </c>
      <c r="C340" s="19" t="n">
        <v>3</v>
      </c>
      <c r="D340" s="19" t="n">
        <v>2027</v>
      </c>
      <c r="E340" s="57" t="n">
        <v>1</v>
      </c>
      <c r="F340" s="29">
        <f>ROUND(((SUMIFS(Calendar!$F$2:$F$9997,Calendar!$B$2:$B$9997,D340,Calendar!$C$2:$C$9997,C340)*INDEX(ForeCalc!$B$37:$Y$274,MATCH(_xlfn.CONCAT(H340," ",I340),ForeCalc!$A$37:$A$274,0),MATCH(_xlfn.CONCAT(B340," ",E340),ForeCalc!$B$36:$Y$36,0))))*VLOOKUP(A340,Calendar!$A$2:$H$9997,8,FALSE),0)</f>
        <v/>
      </c>
      <c r="G340" s="29">
        <f>VLOOKUP(A340,Calendar!$A$1:$H$9997,6,FALSE)-F340</f>
        <v/>
      </c>
      <c r="H340" s="19" t="n">
        <v>1</v>
      </c>
      <c r="I340" s="57" t="n">
        <v>12</v>
      </c>
    </row>
    <row r="341">
      <c r="A341" s="62" t="n">
        <v>46452</v>
      </c>
      <c r="B341" s="3" t="inlineStr">
        <is>
          <t>Sat</t>
        </is>
      </c>
      <c r="C341" s="19" t="n">
        <v>3</v>
      </c>
      <c r="D341" s="19" t="n">
        <v>2027</v>
      </c>
      <c r="E341" s="57" t="n">
        <v>1</v>
      </c>
      <c r="F341" s="29">
        <f>ROUND(((SUMIFS(Calendar!$F$2:$F$9997,Calendar!$B$2:$B$9997,D341,Calendar!$C$2:$C$9997,C341)*INDEX(ForeCalc!$B$37:$Y$274,MATCH(_xlfn.CONCAT(H341," ",I341),ForeCalc!$A$37:$A$274,0),MATCH(_xlfn.CONCAT(B341," ",E341),ForeCalc!$B$36:$Y$36,0))))*VLOOKUP(A341,Calendar!$A$2:$H$9997,8,FALSE),0)</f>
        <v/>
      </c>
      <c r="G341" s="29">
        <f>VLOOKUP(A341,Calendar!$A$1:$H$9997,6,FALSE)-F341</f>
        <v/>
      </c>
      <c r="H341" s="19" t="n">
        <v>1</v>
      </c>
      <c r="I341" s="57" t="n">
        <v>12</v>
      </c>
    </row>
    <row r="342">
      <c r="A342" s="62" t="n">
        <v>46453</v>
      </c>
      <c r="B342" s="3" t="inlineStr">
        <is>
          <t>Sun</t>
        </is>
      </c>
      <c r="C342" s="19" t="n">
        <v>3</v>
      </c>
      <c r="D342" s="19" t="n">
        <v>2027</v>
      </c>
      <c r="E342" s="57" t="n">
        <v>1</v>
      </c>
      <c r="F342" s="29">
        <f>ROUND(((SUMIFS(Calendar!$F$2:$F$9997,Calendar!$B$2:$B$9997,D342,Calendar!$C$2:$C$9997,C342)*INDEX(ForeCalc!$B$37:$Y$274,MATCH(_xlfn.CONCAT(H342," ",I342),ForeCalc!$A$37:$A$274,0),MATCH(_xlfn.CONCAT(B342," ",E342),ForeCalc!$B$36:$Y$36,0))))*VLOOKUP(A342,Calendar!$A$2:$H$9997,8,FALSE),0)</f>
        <v/>
      </c>
      <c r="G342" s="29">
        <f>VLOOKUP(A342,Calendar!$A$1:$H$9997,6,FALSE)-F342</f>
        <v/>
      </c>
      <c r="H342" s="19" t="n">
        <v>1</v>
      </c>
      <c r="I342" s="57" t="n">
        <v>12</v>
      </c>
    </row>
    <row r="343">
      <c r="A343" s="62" t="n">
        <v>46454</v>
      </c>
      <c r="B343" s="3" t="inlineStr">
        <is>
          <t>Week</t>
        </is>
      </c>
      <c r="C343" s="19" t="n">
        <v>3</v>
      </c>
      <c r="D343" s="19" t="n">
        <v>2027</v>
      </c>
      <c r="E343" s="57" t="n">
        <v>1</v>
      </c>
      <c r="F343" s="29">
        <f>ROUND(((SUMIFS(Calendar!$F$2:$F$9997,Calendar!$B$2:$B$9997,D343,Calendar!$C$2:$C$9997,C343)*INDEX(ForeCalc!$B$37:$Y$274,MATCH(_xlfn.CONCAT(H343," ",I343),ForeCalc!$A$37:$A$274,0),MATCH(_xlfn.CONCAT(B343," ",E343),ForeCalc!$B$36:$Y$36,0))))*VLOOKUP(A343,Calendar!$A$2:$H$9997,8,FALSE),0)</f>
        <v/>
      </c>
      <c r="G343" s="29">
        <f>VLOOKUP(A343,Calendar!$A$1:$H$9997,6,FALSE)-F343</f>
        <v/>
      </c>
      <c r="H343" s="19" t="n">
        <v>1</v>
      </c>
      <c r="I343" s="57" t="n">
        <v>12</v>
      </c>
    </row>
    <row r="344">
      <c r="A344" s="62" t="n">
        <v>46455</v>
      </c>
      <c r="B344" s="3" t="inlineStr">
        <is>
          <t>Week</t>
        </is>
      </c>
      <c r="C344" s="19" t="n">
        <v>3</v>
      </c>
      <c r="D344" s="19" t="n">
        <v>2027</v>
      </c>
      <c r="E344" s="57" t="n">
        <v>1</v>
      </c>
      <c r="F344" s="29">
        <f>ROUND(((SUMIFS(Calendar!$F$2:$F$9997,Calendar!$B$2:$B$9997,D344,Calendar!$C$2:$C$9997,C344)*INDEX(ForeCalc!$B$37:$Y$274,MATCH(_xlfn.CONCAT(H344," ",I344),ForeCalc!$A$37:$A$274,0),MATCH(_xlfn.CONCAT(B344," ",E344),ForeCalc!$B$36:$Y$36,0))))*VLOOKUP(A344,Calendar!$A$2:$H$9997,8,FALSE),0)</f>
        <v/>
      </c>
      <c r="G344" s="29">
        <f>VLOOKUP(A344,Calendar!$A$1:$H$9997,6,FALSE)-F344</f>
        <v/>
      </c>
      <c r="H344" s="19" t="n">
        <v>1</v>
      </c>
      <c r="I344" s="57" t="n">
        <v>12</v>
      </c>
    </row>
    <row r="345">
      <c r="A345" s="62" t="n">
        <v>46456</v>
      </c>
      <c r="B345" s="3" t="inlineStr">
        <is>
          <t>Week</t>
        </is>
      </c>
      <c r="C345" s="19" t="n">
        <v>3</v>
      </c>
      <c r="D345" s="19" t="n">
        <v>2027</v>
      </c>
      <c r="E345" s="57" t="n">
        <v>1</v>
      </c>
      <c r="F345" s="29">
        <f>ROUND(((SUMIFS(Calendar!$F$2:$F$9997,Calendar!$B$2:$B$9997,D345,Calendar!$C$2:$C$9997,C345)*INDEX(ForeCalc!$B$37:$Y$274,MATCH(_xlfn.CONCAT(H345," ",I345),ForeCalc!$A$37:$A$274,0),MATCH(_xlfn.CONCAT(B345," ",E345),ForeCalc!$B$36:$Y$36,0))))*VLOOKUP(A345,Calendar!$A$2:$H$9997,8,FALSE),0)</f>
        <v/>
      </c>
      <c r="G345" s="29">
        <f>VLOOKUP(A345,Calendar!$A$1:$H$9997,6,FALSE)-F345</f>
        <v/>
      </c>
      <c r="H345" s="19" t="n">
        <v>1</v>
      </c>
      <c r="I345" s="57" t="n">
        <v>12</v>
      </c>
    </row>
    <row r="346">
      <c r="A346" s="62" t="n">
        <v>46457</v>
      </c>
      <c r="B346" s="3" t="inlineStr">
        <is>
          <t>Week</t>
        </is>
      </c>
      <c r="C346" s="19" t="n">
        <v>3</v>
      </c>
      <c r="D346" s="19" t="n">
        <v>2027</v>
      </c>
      <c r="E346" s="57" t="n">
        <v>1</v>
      </c>
      <c r="F346" s="29">
        <f>ROUND(((SUMIFS(Calendar!$F$2:$F$9997,Calendar!$B$2:$B$9997,D346,Calendar!$C$2:$C$9997,C346)*INDEX(ForeCalc!$B$37:$Y$274,MATCH(_xlfn.CONCAT(H346," ",I346),ForeCalc!$A$37:$A$274,0),MATCH(_xlfn.CONCAT(B346," ",E346),ForeCalc!$B$36:$Y$36,0))))*VLOOKUP(A346,Calendar!$A$2:$H$9997,8,FALSE),0)</f>
        <v/>
      </c>
      <c r="G346" s="29">
        <f>VLOOKUP(A346,Calendar!$A$1:$H$9997,6,FALSE)-F346</f>
        <v/>
      </c>
      <c r="H346" s="19" t="n">
        <v>1</v>
      </c>
      <c r="I346" s="57" t="n">
        <v>12</v>
      </c>
    </row>
    <row r="347">
      <c r="A347" s="62" t="n">
        <v>46458</v>
      </c>
      <c r="B347" s="3" t="inlineStr">
        <is>
          <t>Week</t>
        </is>
      </c>
      <c r="C347" s="19" t="n">
        <v>3</v>
      </c>
      <c r="D347" s="19" t="n">
        <v>2027</v>
      </c>
      <c r="E347" s="57" t="n">
        <v>1</v>
      </c>
      <c r="F347" s="29">
        <f>ROUND(((SUMIFS(Calendar!$F$2:$F$9997,Calendar!$B$2:$B$9997,D347,Calendar!$C$2:$C$9997,C347)*INDEX(ForeCalc!$B$37:$Y$274,MATCH(_xlfn.CONCAT(H347," ",I347),ForeCalc!$A$37:$A$274,0),MATCH(_xlfn.CONCAT(B347," ",E347),ForeCalc!$B$36:$Y$36,0))))*VLOOKUP(A347,Calendar!$A$2:$H$9997,8,FALSE),0)</f>
        <v/>
      </c>
      <c r="G347" s="29">
        <f>VLOOKUP(A347,Calendar!$A$1:$H$9997,6,FALSE)-F347</f>
        <v/>
      </c>
      <c r="H347" s="19" t="n">
        <v>1</v>
      </c>
      <c r="I347" s="57" t="n">
        <v>12</v>
      </c>
    </row>
    <row r="348">
      <c r="A348" s="62" t="n">
        <v>46459</v>
      </c>
      <c r="B348" s="3" t="inlineStr">
        <is>
          <t>Sat</t>
        </is>
      </c>
      <c r="C348" s="19" t="n">
        <v>3</v>
      </c>
      <c r="D348" s="19" t="n">
        <v>2027</v>
      </c>
      <c r="E348" s="57" t="n">
        <v>1</v>
      </c>
      <c r="F348" s="29">
        <f>ROUND(((SUMIFS(Calendar!$F$2:$F$9997,Calendar!$B$2:$B$9997,D348,Calendar!$C$2:$C$9997,C348)*INDEX(ForeCalc!$B$37:$Y$274,MATCH(_xlfn.CONCAT(H348," ",I348),ForeCalc!$A$37:$A$274,0),MATCH(_xlfn.CONCAT(B348," ",E348),ForeCalc!$B$36:$Y$36,0))))*VLOOKUP(A348,Calendar!$A$2:$H$9997,8,FALSE),0)</f>
        <v/>
      </c>
      <c r="G348" s="29">
        <f>VLOOKUP(A348,Calendar!$A$1:$H$9997,6,FALSE)-F348</f>
        <v/>
      </c>
      <c r="H348" s="19" t="n">
        <v>1</v>
      </c>
      <c r="I348" s="57" t="n">
        <v>12</v>
      </c>
    </row>
    <row r="349">
      <c r="A349" s="62" t="n">
        <v>46460</v>
      </c>
      <c r="B349" s="3" t="inlineStr">
        <is>
          <t>Sun</t>
        </is>
      </c>
      <c r="C349" s="19" t="n">
        <v>3</v>
      </c>
      <c r="D349" s="19" t="n">
        <v>2027</v>
      </c>
      <c r="E349" s="57" t="n">
        <v>1</v>
      </c>
      <c r="F349" s="29">
        <f>ROUND(((SUMIFS(Calendar!$F$2:$F$9997,Calendar!$B$2:$B$9997,D349,Calendar!$C$2:$C$9997,C349)*INDEX(ForeCalc!$B$37:$Y$274,MATCH(_xlfn.CONCAT(H349," ",I349),ForeCalc!$A$37:$A$274,0),MATCH(_xlfn.CONCAT(B349," ",E349),ForeCalc!$B$36:$Y$36,0))))*VLOOKUP(A349,Calendar!$A$2:$H$9997,8,FALSE),0)</f>
        <v/>
      </c>
      <c r="G349" s="29">
        <f>VLOOKUP(A349,Calendar!$A$1:$H$9997,6,FALSE)-F349</f>
        <v/>
      </c>
      <c r="H349" s="19" t="n">
        <v>1</v>
      </c>
      <c r="I349" s="57" t="n">
        <v>12</v>
      </c>
    </row>
    <row r="350">
      <c r="A350" s="62" t="n">
        <v>46461</v>
      </c>
      <c r="B350" s="3" t="inlineStr">
        <is>
          <t>Week</t>
        </is>
      </c>
      <c r="C350" s="19" t="n">
        <v>3</v>
      </c>
      <c r="D350" s="19" t="n">
        <v>2027</v>
      </c>
      <c r="E350" s="57" t="n">
        <v>1</v>
      </c>
      <c r="F350" s="29">
        <f>ROUND(((SUMIFS(Calendar!$F$2:$F$9997,Calendar!$B$2:$B$9997,D350,Calendar!$C$2:$C$9997,C350)*INDEX(ForeCalc!$B$37:$Y$274,MATCH(_xlfn.CONCAT(H350," ",I350),ForeCalc!$A$37:$A$274,0),MATCH(_xlfn.CONCAT(B350," ",E350),ForeCalc!$B$36:$Y$36,0))))*VLOOKUP(A350,Calendar!$A$2:$H$9997,8,FALSE),0)</f>
        <v/>
      </c>
      <c r="G350" s="29">
        <f>VLOOKUP(A350,Calendar!$A$1:$H$9997,6,FALSE)-F350</f>
        <v/>
      </c>
      <c r="H350" s="19" t="n">
        <v>1</v>
      </c>
      <c r="I350" s="57" t="n">
        <v>12</v>
      </c>
    </row>
    <row r="351">
      <c r="A351" s="62" t="n">
        <v>46462</v>
      </c>
      <c r="B351" s="3" t="inlineStr">
        <is>
          <t>Week</t>
        </is>
      </c>
      <c r="C351" s="19" t="n">
        <v>3</v>
      </c>
      <c r="D351" s="19" t="n">
        <v>2027</v>
      </c>
      <c r="E351" s="57" t="n">
        <v>1</v>
      </c>
      <c r="F351" s="29">
        <f>ROUND(((SUMIFS(Calendar!$F$2:$F$9997,Calendar!$B$2:$B$9997,D351,Calendar!$C$2:$C$9997,C351)*INDEX(ForeCalc!$B$37:$Y$274,MATCH(_xlfn.CONCAT(H351," ",I351),ForeCalc!$A$37:$A$274,0),MATCH(_xlfn.CONCAT(B351," ",E351),ForeCalc!$B$36:$Y$36,0))))*VLOOKUP(A351,Calendar!$A$2:$H$9997,8,FALSE),0)</f>
        <v/>
      </c>
      <c r="G351" s="29">
        <f>VLOOKUP(A351,Calendar!$A$1:$H$9997,6,FALSE)-F351</f>
        <v/>
      </c>
      <c r="H351" s="19" t="n">
        <v>1</v>
      </c>
      <c r="I351" s="57" t="n">
        <v>12</v>
      </c>
    </row>
    <row r="352">
      <c r="A352" s="62" t="n">
        <v>46463</v>
      </c>
      <c r="B352" s="3" t="inlineStr">
        <is>
          <t>Week</t>
        </is>
      </c>
      <c r="C352" s="19" t="n">
        <v>3</v>
      </c>
      <c r="D352" s="19" t="n">
        <v>2027</v>
      </c>
      <c r="E352" s="57" t="n">
        <v>1</v>
      </c>
      <c r="F352" s="29">
        <f>ROUND(((SUMIFS(Calendar!$F$2:$F$9997,Calendar!$B$2:$B$9997,D352,Calendar!$C$2:$C$9997,C352)*INDEX(ForeCalc!$B$37:$Y$274,MATCH(_xlfn.CONCAT(H352," ",I352),ForeCalc!$A$37:$A$274,0),MATCH(_xlfn.CONCAT(B352," ",E352),ForeCalc!$B$36:$Y$36,0))))*VLOOKUP(A352,Calendar!$A$2:$H$9997,8,FALSE),0)</f>
        <v/>
      </c>
      <c r="G352" s="29">
        <f>VLOOKUP(A352,Calendar!$A$1:$H$9997,6,FALSE)-F352</f>
        <v/>
      </c>
      <c r="H352" s="19" t="n">
        <v>1</v>
      </c>
      <c r="I352" s="57" t="n">
        <v>12</v>
      </c>
    </row>
    <row r="353">
      <c r="A353" s="62" t="n">
        <v>46464</v>
      </c>
      <c r="B353" s="3" t="inlineStr">
        <is>
          <t>Week</t>
        </is>
      </c>
      <c r="C353" s="19" t="n">
        <v>3</v>
      </c>
      <c r="D353" s="19" t="n">
        <v>2027</v>
      </c>
      <c r="E353" s="57" t="n">
        <v>1</v>
      </c>
      <c r="F353" s="29">
        <f>ROUND(((SUMIFS(Calendar!$F$2:$F$9997,Calendar!$B$2:$B$9997,D353,Calendar!$C$2:$C$9997,C353)*INDEX(ForeCalc!$B$37:$Y$274,MATCH(_xlfn.CONCAT(H353," ",I353),ForeCalc!$A$37:$A$274,0),MATCH(_xlfn.CONCAT(B353," ",E353),ForeCalc!$B$36:$Y$36,0))))*VLOOKUP(A353,Calendar!$A$2:$H$9997,8,FALSE),0)</f>
        <v/>
      </c>
      <c r="G353" s="29">
        <f>VLOOKUP(A353,Calendar!$A$1:$H$9997,6,FALSE)-F353</f>
        <v/>
      </c>
      <c r="H353" s="19" t="n">
        <v>1</v>
      </c>
      <c r="I353" s="57" t="n">
        <v>12</v>
      </c>
    </row>
    <row r="354">
      <c r="A354" s="62" t="n">
        <v>46465</v>
      </c>
      <c r="B354" s="3" t="inlineStr">
        <is>
          <t>Week</t>
        </is>
      </c>
      <c r="C354" s="19" t="n">
        <v>3</v>
      </c>
      <c r="D354" s="19" t="n">
        <v>2027</v>
      </c>
      <c r="E354" s="57" t="n">
        <v>1</v>
      </c>
      <c r="F354" s="29">
        <f>ROUND(((SUMIFS(Calendar!$F$2:$F$9997,Calendar!$B$2:$B$9997,D354,Calendar!$C$2:$C$9997,C354)*INDEX(ForeCalc!$B$37:$Y$274,MATCH(_xlfn.CONCAT(H354," ",I354),ForeCalc!$A$37:$A$274,0),MATCH(_xlfn.CONCAT(B354," ",E354),ForeCalc!$B$36:$Y$36,0))))*VLOOKUP(A354,Calendar!$A$2:$H$9997,8,FALSE),0)</f>
        <v/>
      </c>
      <c r="G354" s="29">
        <f>VLOOKUP(A354,Calendar!$A$1:$H$9997,6,FALSE)-F354</f>
        <v/>
      </c>
      <c r="H354" s="19" t="n">
        <v>1</v>
      </c>
      <c r="I354" s="57" t="n">
        <v>12</v>
      </c>
    </row>
    <row r="355">
      <c r="A355" s="62" t="n">
        <v>46466</v>
      </c>
      <c r="B355" s="3" t="inlineStr">
        <is>
          <t>Sat</t>
        </is>
      </c>
      <c r="C355" s="19" t="n">
        <v>3</v>
      </c>
      <c r="D355" s="19" t="n">
        <v>2027</v>
      </c>
      <c r="E355" s="57" t="n">
        <v>1</v>
      </c>
      <c r="F355" s="29">
        <f>ROUND(((SUMIFS(Calendar!$F$2:$F$9997,Calendar!$B$2:$B$9997,D355,Calendar!$C$2:$C$9997,C355)*INDEX(ForeCalc!$B$37:$Y$274,MATCH(_xlfn.CONCAT(H355," ",I355),ForeCalc!$A$37:$A$274,0),MATCH(_xlfn.CONCAT(B355," ",E355),ForeCalc!$B$36:$Y$36,0))))*VLOOKUP(A355,Calendar!$A$2:$H$9997,8,FALSE),0)</f>
        <v/>
      </c>
      <c r="G355" s="29">
        <f>VLOOKUP(A355,Calendar!$A$1:$H$9997,6,FALSE)-F355</f>
        <v/>
      </c>
      <c r="H355" s="19" t="n">
        <v>1</v>
      </c>
      <c r="I355" s="57" t="n">
        <v>12</v>
      </c>
    </row>
    <row r="356">
      <c r="A356" s="62" t="n">
        <v>46467</v>
      </c>
      <c r="B356" s="3" t="inlineStr">
        <is>
          <t>Sun</t>
        </is>
      </c>
      <c r="C356" s="19" t="n">
        <v>3</v>
      </c>
      <c r="D356" s="19" t="n">
        <v>2027</v>
      </c>
      <c r="E356" s="57" t="n">
        <v>1</v>
      </c>
      <c r="F356" s="29">
        <f>ROUND(((SUMIFS(Calendar!$F$2:$F$9997,Calendar!$B$2:$B$9997,D356,Calendar!$C$2:$C$9997,C356)*INDEX(ForeCalc!$B$37:$Y$274,MATCH(_xlfn.CONCAT(H356," ",I356),ForeCalc!$A$37:$A$274,0),MATCH(_xlfn.CONCAT(B356," ",E356),ForeCalc!$B$36:$Y$36,0))))*VLOOKUP(A356,Calendar!$A$2:$H$9997,8,FALSE),0)</f>
        <v/>
      </c>
      <c r="G356" s="29">
        <f>VLOOKUP(A356,Calendar!$A$1:$H$9997,6,FALSE)-F356</f>
        <v/>
      </c>
      <c r="H356" s="19" t="n">
        <v>1</v>
      </c>
      <c r="I356" s="57" t="n">
        <v>12</v>
      </c>
    </row>
    <row r="357">
      <c r="A357" s="62" t="n">
        <v>46468</v>
      </c>
      <c r="B357" s="3" t="inlineStr">
        <is>
          <t>Week</t>
        </is>
      </c>
      <c r="C357" s="19" t="n">
        <v>3</v>
      </c>
      <c r="D357" s="19" t="n">
        <v>2027</v>
      </c>
      <c r="E357" s="57" t="n">
        <v>1</v>
      </c>
      <c r="F357" s="29">
        <f>ROUND(((SUMIFS(Calendar!$F$2:$F$9997,Calendar!$B$2:$B$9997,D357,Calendar!$C$2:$C$9997,C357)*INDEX(ForeCalc!$B$37:$Y$274,MATCH(_xlfn.CONCAT(H357," ",I357),ForeCalc!$A$37:$A$274,0),MATCH(_xlfn.CONCAT(B357," ",E357),ForeCalc!$B$36:$Y$36,0))))*VLOOKUP(A357,Calendar!$A$2:$H$9997,8,FALSE),0)</f>
        <v/>
      </c>
      <c r="G357" s="29">
        <f>VLOOKUP(A357,Calendar!$A$1:$H$9997,6,FALSE)-F357</f>
        <v/>
      </c>
      <c r="H357" s="19" t="n">
        <v>1</v>
      </c>
      <c r="I357" s="57" t="n">
        <v>12</v>
      </c>
    </row>
    <row r="358">
      <c r="A358" s="62" t="n">
        <v>46469</v>
      </c>
      <c r="B358" s="3" t="inlineStr">
        <is>
          <t>Week</t>
        </is>
      </c>
      <c r="C358" s="19" t="n">
        <v>3</v>
      </c>
      <c r="D358" s="19" t="n">
        <v>2027</v>
      </c>
      <c r="E358" s="57" t="n">
        <v>1</v>
      </c>
      <c r="F358" s="29">
        <f>ROUND(((SUMIFS(Calendar!$F$2:$F$9997,Calendar!$B$2:$B$9997,D358,Calendar!$C$2:$C$9997,C358)*INDEX(ForeCalc!$B$37:$Y$274,MATCH(_xlfn.CONCAT(H358," ",I358),ForeCalc!$A$37:$A$274,0),MATCH(_xlfn.CONCAT(B358," ",E358),ForeCalc!$B$36:$Y$36,0))))*VLOOKUP(A358,Calendar!$A$2:$H$9997,8,FALSE),0)</f>
        <v/>
      </c>
      <c r="G358" s="29">
        <f>VLOOKUP(A358,Calendar!$A$1:$H$9997,6,FALSE)-F358</f>
        <v/>
      </c>
      <c r="H358" s="19" t="n">
        <v>1</v>
      </c>
      <c r="I358" s="57" t="n">
        <v>12</v>
      </c>
    </row>
    <row r="359">
      <c r="A359" s="62" t="n">
        <v>46470</v>
      </c>
      <c r="B359" s="3" t="inlineStr">
        <is>
          <t>Week</t>
        </is>
      </c>
      <c r="C359" s="19" t="n">
        <v>3</v>
      </c>
      <c r="D359" s="19" t="n">
        <v>2027</v>
      </c>
      <c r="E359" s="57" t="n">
        <v>1</v>
      </c>
      <c r="F359" s="29">
        <f>ROUND(((SUMIFS(Calendar!$F$2:$F$9997,Calendar!$B$2:$B$9997,D359,Calendar!$C$2:$C$9997,C359)*INDEX(ForeCalc!$B$37:$Y$274,MATCH(_xlfn.CONCAT(H359," ",I359),ForeCalc!$A$37:$A$274,0),MATCH(_xlfn.CONCAT(B359," ",E359),ForeCalc!$B$36:$Y$36,0))))*VLOOKUP(A359,Calendar!$A$2:$H$9997,8,FALSE),0)</f>
        <v/>
      </c>
      <c r="G359" s="29">
        <f>VLOOKUP(A359,Calendar!$A$1:$H$9997,6,FALSE)-F359</f>
        <v/>
      </c>
      <c r="H359" s="19" t="n">
        <v>1</v>
      </c>
      <c r="I359" s="57" t="n">
        <v>12</v>
      </c>
    </row>
    <row r="360">
      <c r="A360" s="62" t="n">
        <v>46471</v>
      </c>
      <c r="B360" s="3" t="inlineStr">
        <is>
          <t>Week</t>
        </is>
      </c>
      <c r="C360" s="19" t="n">
        <v>3</v>
      </c>
      <c r="D360" s="19" t="n">
        <v>2027</v>
      </c>
      <c r="E360" s="57" t="n">
        <v>1</v>
      </c>
      <c r="F360" s="29">
        <f>ROUND(((SUMIFS(Calendar!$F$2:$F$9997,Calendar!$B$2:$B$9997,D360,Calendar!$C$2:$C$9997,C360)*INDEX(ForeCalc!$B$37:$Y$274,MATCH(_xlfn.CONCAT(H360," ",I360),ForeCalc!$A$37:$A$274,0),MATCH(_xlfn.CONCAT(B360," ",E360),ForeCalc!$B$36:$Y$36,0))))*VLOOKUP(A360,Calendar!$A$2:$H$9997,8,FALSE),0)</f>
        <v/>
      </c>
      <c r="G360" s="29">
        <f>VLOOKUP(A360,Calendar!$A$1:$H$9997,6,FALSE)-F360</f>
        <v/>
      </c>
      <c r="H360" s="19" t="n">
        <v>1</v>
      </c>
      <c r="I360" s="57" t="n">
        <v>12</v>
      </c>
    </row>
    <row r="361">
      <c r="A361" s="62" t="n">
        <v>46472</v>
      </c>
      <c r="B361" s="3" t="inlineStr">
        <is>
          <t>Week</t>
        </is>
      </c>
      <c r="C361" s="19" t="n">
        <v>3</v>
      </c>
      <c r="D361" s="19" t="n">
        <v>2027</v>
      </c>
      <c r="E361" s="57" t="n">
        <v>1</v>
      </c>
      <c r="F361" s="29">
        <f>ROUND(((SUMIFS(Calendar!$F$2:$F$9997,Calendar!$B$2:$B$9997,D361,Calendar!$C$2:$C$9997,C361)*INDEX(ForeCalc!$B$37:$Y$274,MATCH(_xlfn.CONCAT(H361," ",I361),ForeCalc!$A$37:$A$274,0),MATCH(_xlfn.CONCAT(B361," ",E361),ForeCalc!$B$36:$Y$36,0))))*VLOOKUP(A361,Calendar!$A$2:$H$9997,8,FALSE),0)</f>
        <v/>
      </c>
      <c r="G361" s="29">
        <f>VLOOKUP(A361,Calendar!$A$1:$H$9997,6,FALSE)-F361</f>
        <v/>
      </c>
      <c r="H361" s="19" t="n">
        <v>1</v>
      </c>
      <c r="I361" s="57" t="n">
        <v>12</v>
      </c>
    </row>
    <row r="362">
      <c r="A362" s="62" t="n">
        <v>46473</v>
      </c>
      <c r="B362" s="3" t="inlineStr">
        <is>
          <t>Sat</t>
        </is>
      </c>
      <c r="C362" s="19" t="n">
        <v>3</v>
      </c>
      <c r="D362" s="19" t="n">
        <v>2027</v>
      </c>
      <c r="E362" s="57" t="n">
        <v>1</v>
      </c>
      <c r="F362" s="29">
        <f>ROUND(((SUMIFS(Calendar!$F$2:$F$9997,Calendar!$B$2:$B$9997,D362,Calendar!$C$2:$C$9997,C362)*INDEX(ForeCalc!$B$37:$Y$274,MATCH(_xlfn.CONCAT(H362," ",I362),ForeCalc!$A$37:$A$274,0),MATCH(_xlfn.CONCAT(B362," ",E362),ForeCalc!$B$36:$Y$36,0))))*VLOOKUP(A362,Calendar!$A$2:$H$9997,8,FALSE),0)</f>
        <v/>
      </c>
      <c r="G362" s="29">
        <f>VLOOKUP(A362,Calendar!$A$1:$H$9997,6,FALSE)-F362</f>
        <v/>
      </c>
      <c r="H362" s="19" t="n">
        <v>1</v>
      </c>
      <c r="I362" s="57" t="n">
        <v>12</v>
      </c>
    </row>
    <row r="363">
      <c r="A363" s="62" t="n">
        <v>46474</v>
      </c>
      <c r="B363" s="3" t="inlineStr">
        <is>
          <t>Sun</t>
        </is>
      </c>
      <c r="C363" s="19" t="n">
        <v>3</v>
      </c>
      <c r="D363" s="19" t="n">
        <v>2027</v>
      </c>
      <c r="E363" s="57" t="n">
        <v>1</v>
      </c>
      <c r="F363" s="29">
        <f>ROUND(((SUMIFS(Calendar!$F$2:$F$9997,Calendar!$B$2:$B$9997,D363,Calendar!$C$2:$C$9997,C363)*INDEX(ForeCalc!$B$37:$Y$274,MATCH(_xlfn.CONCAT(H363," ",I363),ForeCalc!$A$37:$A$274,0),MATCH(_xlfn.CONCAT(B363," ",E363),ForeCalc!$B$36:$Y$36,0))))*VLOOKUP(A363,Calendar!$A$2:$H$9997,8,FALSE),0)</f>
        <v/>
      </c>
      <c r="G363" s="29">
        <f>VLOOKUP(A363,Calendar!$A$1:$H$9997,6,FALSE)-F363</f>
        <v/>
      </c>
      <c r="H363" s="19" t="n">
        <v>1</v>
      </c>
      <c r="I363" s="57" t="n">
        <v>12</v>
      </c>
    </row>
    <row r="364">
      <c r="A364" s="62" t="n">
        <v>46475</v>
      </c>
      <c r="B364" s="3" t="inlineStr">
        <is>
          <t>Week</t>
        </is>
      </c>
      <c r="C364" s="19" t="n">
        <v>3</v>
      </c>
      <c r="D364" s="19" t="n">
        <v>2027</v>
      </c>
      <c r="E364" s="57" t="n">
        <v>1</v>
      </c>
      <c r="F364" s="29">
        <f>ROUND(((SUMIFS(Calendar!$F$2:$F$9997,Calendar!$B$2:$B$9997,D364,Calendar!$C$2:$C$9997,C364)*INDEX(ForeCalc!$B$37:$Y$274,MATCH(_xlfn.CONCAT(H364," ",I364),ForeCalc!$A$37:$A$274,0),MATCH(_xlfn.CONCAT(B364," ",E364),ForeCalc!$B$36:$Y$36,0))))*VLOOKUP(A364,Calendar!$A$2:$H$9997,8,FALSE),0)</f>
        <v/>
      </c>
      <c r="G364" s="29">
        <f>VLOOKUP(A364,Calendar!$A$1:$H$9997,6,FALSE)-F364</f>
        <v/>
      </c>
      <c r="H364" s="19" t="n">
        <v>1</v>
      </c>
      <c r="I364" s="57" t="n">
        <v>12</v>
      </c>
    </row>
    <row r="365">
      <c r="A365" s="62" t="n">
        <v>46476</v>
      </c>
      <c r="B365" s="3" t="inlineStr">
        <is>
          <t>Week</t>
        </is>
      </c>
      <c r="C365" s="19" t="n">
        <v>3</v>
      </c>
      <c r="D365" s="19" t="n">
        <v>2027</v>
      </c>
      <c r="E365" s="57" t="n">
        <v>1</v>
      </c>
      <c r="F365" s="29">
        <f>ROUND(((SUMIFS(Calendar!$F$2:$F$9997,Calendar!$B$2:$B$9997,D365,Calendar!$C$2:$C$9997,C365)*INDEX(ForeCalc!$B$37:$Y$274,MATCH(_xlfn.CONCAT(H365," ",I365),ForeCalc!$A$37:$A$274,0),MATCH(_xlfn.CONCAT(B365," ",E365),ForeCalc!$B$36:$Y$36,0))))*VLOOKUP(A365,Calendar!$A$2:$H$9997,8,FALSE),0)</f>
        <v/>
      </c>
      <c r="G365" s="29">
        <f>VLOOKUP(A365,Calendar!$A$1:$H$9997,6,FALSE)-F365</f>
        <v/>
      </c>
      <c r="H365" s="19" t="n">
        <v>1</v>
      </c>
      <c r="I365" s="57" t="n">
        <v>12</v>
      </c>
    </row>
    <row r="366">
      <c r="A366" s="62" t="n">
        <v>46477</v>
      </c>
      <c r="B366" s="3" t="inlineStr">
        <is>
          <t>Week</t>
        </is>
      </c>
      <c r="C366" s="19" t="n">
        <v>3</v>
      </c>
      <c r="D366" s="19" t="n">
        <v>2027</v>
      </c>
      <c r="E366" s="57" t="n">
        <v>1</v>
      </c>
      <c r="F366" s="29">
        <f>ROUND(((SUMIFS(Calendar!$F$2:$F$9997,Calendar!$B$2:$B$9997,D366,Calendar!$C$2:$C$9997,C366)*INDEX(ForeCalc!$B$37:$Y$274,MATCH(_xlfn.CONCAT(H366," ",I366),ForeCalc!$A$37:$A$274,0),MATCH(_xlfn.CONCAT(B366," ",E366),ForeCalc!$B$36:$Y$36,0))))*VLOOKUP(A366,Calendar!$A$2:$H$9997,8,FALSE),0)</f>
        <v/>
      </c>
      <c r="G366" s="29">
        <f>VLOOKUP(A366,Calendar!$A$1:$H$9997,6,FALSE)-F366</f>
        <v/>
      </c>
      <c r="H366" s="19" t="n">
        <v>1</v>
      </c>
      <c r="I366" s="57" t="n">
        <v>12</v>
      </c>
    </row>
    <row r="367">
      <c r="A367" s="62" t="n">
        <v>46478</v>
      </c>
      <c r="B367" s="3" t="inlineStr">
        <is>
          <t>Week</t>
        </is>
      </c>
      <c r="C367" s="19" t="n">
        <v>4</v>
      </c>
      <c r="D367" s="19" t="n">
        <v>2027</v>
      </c>
      <c r="E367" s="57" t="n">
        <v>1</v>
      </c>
      <c r="F367" s="29">
        <f>ROUND(((SUMIFS(Calendar!$F$2:$F$9997,Calendar!$B$2:$B$9997,D367,Calendar!$C$2:$C$9997,C367)*INDEX(ForeCalc!$B$37:$Y$274,MATCH(_xlfn.CONCAT(H367," ",I367),ForeCalc!$A$37:$A$274,0),MATCH(_xlfn.CONCAT(B367," ",E367),ForeCalc!$B$36:$Y$36,0))))*VLOOKUP(A367,Calendar!$A$2:$H$9997,8,FALSE),0)</f>
        <v/>
      </c>
      <c r="G367" s="29">
        <f>VLOOKUP(A367,Calendar!$A$1:$H$9997,6,FALSE)-F367</f>
        <v/>
      </c>
      <c r="H367" s="19" t="n">
        <v>2</v>
      </c>
      <c r="I367" s="57" t="n">
        <v>1</v>
      </c>
    </row>
    <row r="368">
      <c r="A368" s="62" t="n">
        <v>46479</v>
      </c>
      <c r="B368" s="3" t="inlineStr">
        <is>
          <t>Week</t>
        </is>
      </c>
      <c r="C368" s="19" t="n">
        <v>4</v>
      </c>
      <c r="D368" s="19" t="n">
        <v>2027</v>
      </c>
      <c r="E368" s="57" t="n">
        <v>1</v>
      </c>
      <c r="F368" s="29">
        <f>ROUND(((SUMIFS(Calendar!$F$2:$F$9997,Calendar!$B$2:$B$9997,D368,Calendar!$C$2:$C$9997,C368)*INDEX(ForeCalc!$B$37:$Y$274,MATCH(_xlfn.CONCAT(H368," ",I368),ForeCalc!$A$37:$A$274,0),MATCH(_xlfn.CONCAT(B368," ",E368),ForeCalc!$B$36:$Y$36,0))))*VLOOKUP(A368,Calendar!$A$2:$H$9997,8,FALSE),0)</f>
        <v/>
      </c>
      <c r="G368" s="29">
        <f>VLOOKUP(A368,Calendar!$A$1:$H$9997,6,FALSE)-F368</f>
        <v/>
      </c>
      <c r="H368" s="19" t="n">
        <v>2</v>
      </c>
      <c r="I368" s="57" t="n">
        <v>1</v>
      </c>
    </row>
    <row r="369">
      <c r="A369" s="62" t="n">
        <v>46480</v>
      </c>
      <c r="B369" s="3" t="inlineStr">
        <is>
          <t>Sat</t>
        </is>
      </c>
      <c r="C369" s="19" t="n">
        <v>4</v>
      </c>
      <c r="D369" s="19" t="n">
        <v>2027</v>
      </c>
      <c r="E369" s="57" t="n">
        <v>1</v>
      </c>
      <c r="F369" s="29">
        <f>ROUND(((SUMIFS(Calendar!$F$2:$F$9997,Calendar!$B$2:$B$9997,D369,Calendar!$C$2:$C$9997,C369)*INDEX(ForeCalc!$B$37:$Y$274,MATCH(_xlfn.CONCAT(H369," ",I369),ForeCalc!$A$37:$A$274,0),MATCH(_xlfn.CONCAT(B369," ",E369),ForeCalc!$B$36:$Y$36,0))))*VLOOKUP(A369,Calendar!$A$2:$H$9997,8,FALSE),0)</f>
        <v/>
      </c>
      <c r="G369" s="29">
        <f>VLOOKUP(A369,Calendar!$A$1:$H$9997,6,FALSE)-F369</f>
        <v/>
      </c>
      <c r="H369" s="19" t="n">
        <v>2</v>
      </c>
      <c r="I369" s="57" t="n">
        <v>1</v>
      </c>
    </row>
    <row r="370">
      <c r="A370" s="62" t="n">
        <v>46481</v>
      </c>
      <c r="B370" s="3" t="inlineStr">
        <is>
          <t>Sun</t>
        </is>
      </c>
      <c r="C370" s="19" t="n">
        <v>4</v>
      </c>
      <c r="D370" s="19" t="n">
        <v>2027</v>
      </c>
      <c r="E370" s="57" t="n">
        <v>1</v>
      </c>
      <c r="F370" s="29">
        <f>ROUND(((SUMIFS(Calendar!$F$2:$F$9997,Calendar!$B$2:$B$9997,D370,Calendar!$C$2:$C$9997,C370)*INDEX(ForeCalc!$B$37:$Y$274,MATCH(_xlfn.CONCAT(H370," ",I370),ForeCalc!$A$37:$A$274,0),MATCH(_xlfn.CONCAT(B370," ",E370),ForeCalc!$B$36:$Y$36,0))))*VLOOKUP(A370,Calendar!$A$2:$H$9997,8,FALSE),0)</f>
        <v/>
      </c>
      <c r="G370" s="29">
        <f>VLOOKUP(A370,Calendar!$A$1:$H$9997,6,FALSE)-F370</f>
        <v/>
      </c>
      <c r="H370" s="19" t="n">
        <v>2</v>
      </c>
      <c r="I370" s="57" t="n">
        <v>1</v>
      </c>
    </row>
    <row r="371">
      <c r="A371" s="62" t="n">
        <v>46482</v>
      </c>
      <c r="B371" s="3" t="inlineStr">
        <is>
          <t>Week</t>
        </is>
      </c>
      <c r="C371" s="19" t="n">
        <v>4</v>
      </c>
      <c r="D371" s="19" t="n">
        <v>2027</v>
      </c>
      <c r="E371" s="57" t="n">
        <v>1</v>
      </c>
      <c r="F371" s="29">
        <f>ROUND(((SUMIFS(Calendar!$F$2:$F$9997,Calendar!$B$2:$B$9997,D371,Calendar!$C$2:$C$9997,C371)*INDEX(ForeCalc!$B$37:$Y$274,MATCH(_xlfn.CONCAT(H371," ",I371),ForeCalc!$A$37:$A$274,0),MATCH(_xlfn.CONCAT(B371," ",E371),ForeCalc!$B$36:$Y$36,0))))*VLOOKUP(A371,Calendar!$A$2:$H$9997,8,FALSE),0)</f>
        <v/>
      </c>
      <c r="G371" s="29">
        <f>VLOOKUP(A371,Calendar!$A$1:$H$9997,6,FALSE)-F371</f>
        <v/>
      </c>
      <c r="H371" s="19" t="n">
        <v>2</v>
      </c>
      <c r="I371" s="57" t="n">
        <v>1</v>
      </c>
    </row>
    <row r="372">
      <c r="A372" s="62" t="n">
        <v>46483</v>
      </c>
      <c r="B372" s="3" t="inlineStr">
        <is>
          <t>Week</t>
        </is>
      </c>
      <c r="C372" s="19" t="n">
        <v>4</v>
      </c>
      <c r="D372" s="19" t="n">
        <v>2027</v>
      </c>
      <c r="E372" s="57" t="n">
        <v>1</v>
      </c>
      <c r="F372" s="29">
        <f>ROUND(((SUMIFS(Calendar!$F$2:$F$9997,Calendar!$B$2:$B$9997,D372,Calendar!$C$2:$C$9997,C372)*INDEX(ForeCalc!$B$37:$Y$274,MATCH(_xlfn.CONCAT(H372," ",I372),ForeCalc!$A$37:$A$274,0),MATCH(_xlfn.CONCAT(B372," ",E372),ForeCalc!$B$36:$Y$36,0))))*VLOOKUP(A372,Calendar!$A$2:$H$9997,8,FALSE),0)</f>
        <v/>
      </c>
      <c r="G372" s="29">
        <f>VLOOKUP(A372,Calendar!$A$1:$H$9997,6,FALSE)-F372</f>
        <v/>
      </c>
      <c r="H372" s="19" t="n">
        <v>2</v>
      </c>
      <c r="I372" s="57" t="n">
        <v>1</v>
      </c>
    </row>
    <row r="373">
      <c r="A373" s="62" t="n">
        <v>46484</v>
      </c>
      <c r="B373" s="3" t="inlineStr">
        <is>
          <t>Week</t>
        </is>
      </c>
      <c r="C373" s="19" t="n">
        <v>4</v>
      </c>
      <c r="D373" s="19" t="n">
        <v>2027</v>
      </c>
      <c r="E373" s="57" t="n">
        <v>1</v>
      </c>
      <c r="F373" s="29">
        <f>ROUND(((SUMIFS(Calendar!$F$2:$F$9997,Calendar!$B$2:$B$9997,D373,Calendar!$C$2:$C$9997,C373)*INDEX(ForeCalc!$B$37:$Y$274,MATCH(_xlfn.CONCAT(H373," ",I373),ForeCalc!$A$37:$A$274,0),MATCH(_xlfn.CONCAT(B373," ",E373),ForeCalc!$B$36:$Y$36,0))))*VLOOKUP(A373,Calendar!$A$2:$H$9997,8,FALSE),0)</f>
        <v/>
      </c>
      <c r="G373" s="29">
        <f>VLOOKUP(A373,Calendar!$A$1:$H$9997,6,FALSE)-F373</f>
        <v/>
      </c>
      <c r="H373" s="19" t="n">
        <v>2</v>
      </c>
      <c r="I373" s="57" t="n">
        <v>1</v>
      </c>
    </row>
    <row r="374">
      <c r="A374" s="62" t="n">
        <v>46485</v>
      </c>
      <c r="B374" s="3" t="inlineStr">
        <is>
          <t>Week</t>
        </is>
      </c>
      <c r="C374" s="19" t="n">
        <v>4</v>
      </c>
      <c r="D374" s="19" t="n">
        <v>2027</v>
      </c>
      <c r="E374" s="57" t="n">
        <v>1</v>
      </c>
      <c r="F374" s="29">
        <f>ROUND(((SUMIFS(Calendar!$F$2:$F$9997,Calendar!$B$2:$B$9997,D374,Calendar!$C$2:$C$9997,C374)*INDEX(ForeCalc!$B$37:$Y$274,MATCH(_xlfn.CONCAT(H374," ",I374),ForeCalc!$A$37:$A$274,0),MATCH(_xlfn.CONCAT(B374," ",E374),ForeCalc!$B$36:$Y$36,0))))*VLOOKUP(A374,Calendar!$A$2:$H$9997,8,FALSE),0)</f>
        <v/>
      </c>
      <c r="G374" s="29">
        <f>VLOOKUP(A374,Calendar!$A$1:$H$9997,6,FALSE)-F374</f>
        <v/>
      </c>
      <c r="H374" s="19" t="n">
        <v>2</v>
      </c>
      <c r="I374" s="57" t="n">
        <v>1</v>
      </c>
    </row>
    <row r="375">
      <c r="A375" s="62" t="n">
        <v>46486</v>
      </c>
      <c r="B375" s="3" t="inlineStr">
        <is>
          <t>Week</t>
        </is>
      </c>
      <c r="C375" s="19" t="n">
        <v>4</v>
      </c>
      <c r="D375" s="19" t="n">
        <v>2027</v>
      </c>
      <c r="E375" s="57" t="n">
        <v>1</v>
      </c>
      <c r="F375" s="29">
        <f>ROUND(((SUMIFS(Calendar!$F$2:$F$9997,Calendar!$B$2:$B$9997,D375,Calendar!$C$2:$C$9997,C375)*INDEX(ForeCalc!$B$37:$Y$274,MATCH(_xlfn.CONCAT(H375," ",I375),ForeCalc!$A$37:$A$274,0),MATCH(_xlfn.CONCAT(B375," ",E375),ForeCalc!$B$36:$Y$36,0))))*VLOOKUP(A375,Calendar!$A$2:$H$9997,8,FALSE),0)</f>
        <v/>
      </c>
      <c r="G375" s="29">
        <f>VLOOKUP(A375,Calendar!$A$1:$H$9997,6,FALSE)-F375</f>
        <v/>
      </c>
      <c r="H375" s="19" t="n">
        <v>2</v>
      </c>
      <c r="I375" s="57" t="n">
        <v>1</v>
      </c>
    </row>
    <row r="376">
      <c r="A376" s="62" t="n">
        <v>46487</v>
      </c>
      <c r="B376" s="3" t="inlineStr">
        <is>
          <t>Sat</t>
        </is>
      </c>
      <c r="C376" s="19" t="n">
        <v>4</v>
      </c>
      <c r="D376" s="19" t="n">
        <v>2027</v>
      </c>
      <c r="E376" s="57" t="n">
        <v>1</v>
      </c>
      <c r="F376" s="29">
        <f>ROUND(((SUMIFS(Calendar!$F$2:$F$9997,Calendar!$B$2:$B$9997,D376,Calendar!$C$2:$C$9997,C376)*INDEX(ForeCalc!$B$37:$Y$274,MATCH(_xlfn.CONCAT(H376," ",I376),ForeCalc!$A$37:$A$274,0),MATCH(_xlfn.CONCAT(B376," ",E376),ForeCalc!$B$36:$Y$36,0))))*VLOOKUP(A376,Calendar!$A$2:$H$9997,8,FALSE),0)</f>
        <v/>
      </c>
      <c r="G376" s="29">
        <f>VLOOKUP(A376,Calendar!$A$1:$H$9997,6,FALSE)-F376</f>
        <v/>
      </c>
      <c r="H376" s="19" t="n">
        <v>2</v>
      </c>
      <c r="I376" s="57" t="n">
        <v>1</v>
      </c>
    </row>
    <row r="377">
      <c r="A377" s="62" t="n">
        <v>46488</v>
      </c>
      <c r="B377" s="3" t="inlineStr">
        <is>
          <t>Sun</t>
        </is>
      </c>
      <c r="C377" s="19" t="n">
        <v>4</v>
      </c>
      <c r="D377" s="19" t="n">
        <v>2027</v>
      </c>
      <c r="E377" s="57" t="n">
        <v>1</v>
      </c>
      <c r="F377" s="29">
        <f>ROUND(((SUMIFS(Calendar!$F$2:$F$9997,Calendar!$B$2:$B$9997,D377,Calendar!$C$2:$C$9997,C377)*INDEX(ForeCalc!$B$37:$Y$274,MATCH(_xlfn.CONCAT(H377," ",I377),ForeCalc!$A$37:$A$274,0),MATCH(_xlfn.CONCAT(B377," ",E377),ForeCalc!$B$36:$Y$36,0))))*VLOOKUP(A377,Calendar!$A$2:$H$9997,8,FALSE),0)</f>
        <v/>
      </c>
      <c r="G377" s="29">
        <f>VLOOKUP(A377,Calendar!$A$1:$H$9997,6,FALSE)-F377</f>
        <v/>
      </c>
      <c r="H377" s="19" t="n">
        <v>2</v>
      </c>
      <c r="I377" s="57" t="n">
        <v>1</v>
      </c>
    </row>
    <row r="378">
      <c r="A378" s="62" t="n">
        <v>46489</v>
      </c>
      <c r="B378" s="3" t="inlineStr">
        <is>
          <t>Week</t>
        </is>
      </c>
      <c r="C378" s="19" t="n">
        <v>4</v>
      </c>
      <c r="D378" s="19" t="n">
        <v>2027</v>
      </c>
      <c r="E378" s="57" t="n">
        <v>1</v>
      </c>
      <c r="F378" s="29">
        <f>ROUND(((SUMIFS(Calendar!$F$2:$F$9997,Calendar!$B$2:$B$9997,D378,Calendar!$C$2:$C$9997,C378)*INDEX(ForeCalc!$B$37:$Y$274,MATCH(_xlfn.CONCAT(H378," ",I378),ForeCalc!$A$37:$A$274,0),MATCH(_xlfn.CONCAT(B378," ",E378),ForeCalc!$B$36:$Y$36,0))))*VLOOKUP(A378,Calendar!$A$2:$H$9997,8,FALSE),0)</f>
        <v/>
      </c>
      <c r="G378" s="29">
        <f>VLOOKUP(A378,Calendar!$A$1:$H$9997,6,FALSE)-F378</f>
        <v/>
      </c>
      <c r="H378" s="19" t="n">
        <v>2</v>
      </c>
      <c r="I378" s="57" t="n">
        <v>1</v>
      </c>
    </row>
    <row r="379">
      <c r="A379" s="62" t="n">
        <v>46490</v>
      </c>
      <c r="B379" s="3" t="inlineStr">
        <is>
          <t>Week</t>
        </is>
      </c>
      <c r="C379" s="19" t="n">
        <v>4</v>
      </c>
      <c r="D379" s="19" t="n">
        <v>2027</v>
      </c>
      <c r="E379" s="57" t="n">
        <v>1</v>
      </c>
      <c r="F379" s="29">
        <f>ROUND(((SUMIFS(Calendar!$F$2:$F$9997,Calendar!$B$2:$B$9997,D379,Calendar!$C$2:$C$9997,C379)*INDEX(ForeCalc!$B$37:$Y$274,MATCH(_xlfn.CONCAT(H379," ",I379),ForeCalc!$A$37:$A$274,0),MATCH(_xlfn.CONCAT(B379," ",E379),ForeCalc!$B$36:$Y$36,0))))*VLOOKUP(A379,Calendar!$A$2:$H$9997,8,FALSE),0)</f>
        <v/>
      </c>
      <c r="G379" s="29">
        <f>VLOOKUP(A379,Calendar!$A$1:$H$9997,6,FALSE)-F379</f>
        <v/>
      </c>
      <c r="H379" s="19" t="n">
        <v>2</v>
      </c>
      <c r="I379" s="57" t="n">
        <v>1</v>
      </c>
    </row>
    <row r="380">
      <c r="A380" s="62" t="n">
        <v>46491</v>
      </c>
      <c r="B380" s="3" t="inlineStr">
        <is>
          <t>Week</t>
        </is>
      </c>
      <c r="C380" s="19" t="n">
        <v>4</v>
      </c>
      <c r="D380" s="19" t="n">
        <v>2027</v>
      </c>
      <c r="E380" s="57" t="n">
        <v>1</v>
      </c>
      <c r="F380" s="29">
        <f>ROUND(((SUMIFS(Calendar!$F$2:$F$9997,Calendar!$B$2:$B$9997,D380,Calendar!$C$2:$C$9997,C380)*INDEX(ForeCalc!$B$37:$Y$274,MATCH(_xlfn.CONCAT(H380," ",I380),ForeCalc!$A$37:$A$274,0),MATCH(_xlfn.CONCAT(B380," ",E380),ForeCalc!$B$36:$Y$36,0))))*VLOOKUP(A380,Calendar!$A$2:$H$9997,8,FALSE),0)</f>
        <v/>
      </c>
      <c r="G380" s="29">
        <f>VLOOKUP(A380,Calendar!$A$1:$H$9997,6,FALSE)-F380</f>
        <v/>
      </c>
      <c r="H380" s="19" t="n">
        <v>2</v>
      </c>
      <c r="I380" s="57" t="n">
        <v>1</v>
      </c>
    </row>
    <row r="381">
      <c r="A381" s="62" t="n">
        <v>46492</v>
      </c>
      <c r="B381" s="3" t="inlineStr">
        <is>
          <t>Week</t>
        </is>
      </c>
      <c r="C381" s="19" t="n">
        <v>4</v>
      </c>
      <c r="D381" s="19" t="n">
        <v>2027</v>
      </c>
      <c r="E381" s="57" t="n">
        <v>1</v>
      </c>
      <c r="F381" s="29">
        <f>ROUND(((SUMIFS(Calendar!$F$2:$F$9997,Calendar!$B$2:$B$9997,D381,Calendar!$C$2:$C$9997,C381)*INDEX(ForeCalc!$B$37:$Y$274,MATCH(_xlfn.CONCAT(H381," ",I381),ForeCalc!$A$37:$A$274,0),MATCH(_xlfn.CONCAT(B381," ",E381),ForeCalc!$B$36:$Y$36,0))))*VLOOKUP(A381,Calendar!$A$2:$H$9997,8,FALSE),0)</f>
        <v/>
      </c>
      <c r="G381" s="29">
        <f>VLOOKUP(A381,Calendar!$A$1:$H$9997,6,FALSE)-F381</f>
        <v/>
      </c>
      <c r="H381" s="19" t="n">
        <v>2</v>
      </c>
      <c r="I381" s="57" t="n">
        <v>1</v>
      </c>
    </row>
    <row r="382">
      <c r="A382" s="62" t="n">
        <v>46493</v>
      </c>
      <c r="B382" s="3" t="inlineStr">
        <is>
          <t>Week</t>
        </is>
      </c>
      <c r="C382" s="19" t="n">
        <v>4</v>
      </c>
      <c r="D382" s="19" t="n">
        <v>2027</v>
      </c>
      <c r="E382" s="57" t="n">
        <v>1</v>
      </c>
      <c r="F382" s="29">
        <f>ROUND(((SUMIFS(Calendar!$F$2:$F$9997,Calendar!$B$2:$B$9997,D382,Calendar!$C$2:$C$9997,C382)*INDEX(ForeCalc!$B$37:$Y$274,MATCH(_xlfn.CONCAT(H382," ",I382),ForeCalc!$A$37:$A$274,0),MATCH(_xlfn.CONCAT(B382," ",E382),ForeCalc!$B$36:$Y$36,0))))*VLOOKUP(A382,Calendar!$A$2:$H$9997,8,FALSE),0)</f>
        <v/>
      </c>
      <c r="G382" s="29">
        <f>VLOOKUP(A382,Calendar!$A$1:$H$9997,6,FALSE)-F382</f>
        <v/>
      </c>
      <c r="H382" s="19" t="n">
        <v>2</v>
      </c>
      <c r="I382" s="57" t="n">
        <v>1</v>
      </c>
    </row>
    <row r="383">
      <c r="A383" s="62" t="n">
        <v>46494</v>
      </c>
      <c r="B383" s="3" t="inlineStr">
        <is>
          <t>Sat</t>
        </is>
      </c>
      <c r="C383" s="19" t="n">
        <v>4</v>
      </c>
      <c r="D383" s="19" t="n">
        <v>2027</v>
      </c>
      <c r="E383" s="57" t="n">
        <v>1</v>
      </c>
      <c r="F383" s="29">
        <f>ROUND(((SUMIFS(Calendar!$F$2:$F$9997,Calendar!$B$2:$B$9997,D383,Calendar!$C$2:$C$9997,C383)*INDEX(ForeCalc!$B$37:$Y$274,MATCH(_xlfn.CONCAT(H383," ",I383),ForeCalc!$A$37:$A$274,0),MATCH(_xlfn.CONCAT(B383," ",E383),ForeCalc!$B$36:$Y$36,0))))*VLOOKUP(A383,Calendar!$A$2:$H$9997,8,FALSE),0)</f>
        <v/>
      </c>
      <c r="G383" s="29">
        <f>VLOOKUP(A383,Calendar!$A$1:$H$9997,6,FALSE)-F383</f>
        <v/>
      </c>
      <c r="H383" s="19" t="n">
        <v>2</v>
      </c>
      <c r="I383" s="57" t="n">
        <v>1</v>
      </c>
    </row>
    <row r="384">
      <c r="A384" s="62" t="n">
        <v>46495</v>
      </c>
      <c r="B384" s="3" t="inlineStr">
        <is>
          <t>Sun</t>
        </is>
      </c>
      <c r="C384" s="19" t="n">
        <v>4</v>
      </c>
      <c r="D384" s="19" t="n">
        <v>2027</v>
      </c>
      <c r="E384" s="57" t="n">
        <v>1</v>
      </c>
      <c r="F384" s="29">
        <f>ROUND(((SUMIFS(Calendar!$F$2:$F$9997,Calendar!$B$2:$B$9997,D384,Calendar!$C$2:$C$9997,C384)*INDEX(ForeCalc!$B$37:$Y$274,MATCH(_xlfn.CONCAT(H384," ",I384),ForeCalc!$A$37:$A$274,0),MATCH(_xlfn.CONCAT(B384," ",E384),ForeCalc!$B$36:$Y$36,0))))*VLOOKUP(A384,Calendar!$A$2:$H$9997,8,FALSE),0)</f>
        <v/>
      </c>
      <c r="G384" s="29">
        <f>VLOOKUP(A384,Calendar!$A$1:$H$9997,6,FALSE)-F384</f>
        <v/>
      </c>
      <c r="H384" s="19" t="n">
        <v>2</v>
      </c>
      <c r="I384" s="57" t="n">
        <v>1</v>
      </c>
    </row>
    <row r="385">
      <c r="A385" s="62" t="n">
        <v>46496</v>
      </c>
      <c r="B385" s="3" t="inlineStr">
        <is>
          <t>Week</t>
        </is>
      </c>
      <c r="C385" s="19" t="n">
        <v>4</v>
      </c>
      <c r="D385" s="19" t="n">
        <v>2027</v>
      </c>
      <c r="E385" s="57" t="n">
        <v>1</v>
      </c>
      <c r="F385" s="29">
        <f>ROUND(((SUMIFS(Calendar!$F$2:$F$9997,Calendar!$B$2:$B$9997,D385,Calendar!$C$2:$C$9997,C385)*INDEX(ForeCalc!$B$37:$Y$274,MATCH(_xlfn.CONCAT(H385," ",I385),ForeCalc!$A$37:$A$274,0),MATCH(_xlfn.CONCAT(B385," ",E385),ForeCalc!$B$36:$Y$36,0))))*VLOOKUP(A385,Calendar!$A$2:$H$9997,8,FALSE),0)</f>
        <v/>
      </c>
      <c r="G385" s="29">
        <f>VLOOKUP(A385,Calendar!$A$1:$H$9997,6,FALSE)-F385</f>
        <v/>
      </c>
      <c r="H385" s="19" t="n">
        <v>2</v>
      </c>
      <c r="I385" s="57" t="n">
        <v>1</v>
      </c>
    </row>
    <row r="386">
      <c r="A386" s="62" t="n">
        <v>46497</v>
      </c>
      <c r="B386" s="3" t="inlineStr">
        <is>
          <t>Week</t>
        </is>
      </c>
      <c r="C386" s="19" t="n">
        <v>4</v>
      </c>
      <c r="D386" s="19" t="n">
        <v>2027</v>
      </c>
      <c r="E386" s="57" t="n">
        <v>1</v>
      </c>
      <c r="F386" s="29">
        <f>ROUND(((SUMIFS(Calendar!$F$2:$F$9997,Calendar!$B$2:$B$9997,D386,Calendar!$C$2:$C$9997,C386)*INDEX(ForeCalc!$B$37:$Y$274,MATCH(_xlfn.CONCAT(H386," ",I386),ForeCalc!$A$37:$A$274,0),MATCH(_xlfn.CONCAT(B386," ",E386),ForeCalc!$B$36:$Y$36,0))))*VLOOKUP(A386,Calendar!$A$2:$H$9997,8,FALSE),0)</f>
        <v/>
      </c>
      <c r="G386" s="29">
        <f>VLOOKUP(A386,Calendar!$A$1:$H$9997,6,FALSE)-F386</f>
        <v/>
      </c>
      <c r="H386" s="19" t="n">
        <v>2</v>
      </c>
      <c r="I386" s="57" t="n">
        <v>1</v>
      </c>
    </row>
    <row r="387">
      <c r="A387" s="62" t="n">
        <v>46498</v>
      </c>
      <c r="B387" s="3" t="inlineStr">
        <is>
          <t>Week</t>
        </is>
      </c>
      <c r="C387" s="19" t="n">
        <v>4</v>
      </c>
      <c r="D387" s="19" t="n">
        <v>2027</v>
      </c>
      <c r="E387" s="57" t="n">
        <v>1</v>
      </c>
      <c r="F387" s="29">
        <f>ROUND(((SUMIFS(Calendar!$F$2:$F$9997,Calendar!$B$2:$B$9997,D387,Calendar!$C$2:$C$9997,C387)*INDEX(ForeCalc!$B$37:$Y$274,MATCH(_xlfn.CONCAT(H387," ",I387),ForeCalc!$A$37:$A$274,0),MATCH(_xlfn.CONCAT(B387," ",E387),ForeCalc!$B$36:$Y$36,0))))*VLOOKUP(A387,Calendar!$A$2:$H$9997,8,FALSE),0)</f>
        <v/>
      </c>
      <c r="G387" s="29">
        <f>VLOOKUP(A387,Calendar!$A$1:$H$9997,6,FALSE)-F387</f>
        <v/>
      </c>
      <c r="H387" s="19" t="n">
        <v>2</v>
      </c>
      <c r="I387" s="57" t="n">
        <v>1</v>
      </c>
    </row>
    <row r="388">
      <c r="A388" s="62" t="n">
        <v>46499</v>
      </c>
      <c r="B388" s="3" t="inlineStr">
        <is>
          <t>Week</t>
        </is>
      </c>
      <c r="C388" s="19" t="n">
        <v>4</v>
      </c>
      <c r="D388" s="19" t="n">
        <v>2027</v>
      </c>
      <c r="E388" s="57" t="n">
        <v>1</v>
      </c>
      <c r="F388" s="29">
        <f>ROUND(((SUMIFS(Calendar!$F$2:$F$9997,Calendar!$B$2:$B$9997,D388,Calendar!$C$2:$C$9997,C388)*INDEX(ForeCalc!$B$37:$Y$274,MATCH(_xlfn.CONCAT(H388," ",I388),ForeCalc!$A$37:$A$274,0),MATCH(_xlfn.CONCAT(B388," ",E388),ForeCalc!$B$36:$Y$36,0))))*VLOOKUP(A388,Calendar!$A$2:$H$9997,8,FALSE),0)</f>
        <v/>
      </c>
      <c r="G388" s="29">
        <f>VLOOKUP(A388,Calendar!$A$1:$H$9997,6,FALSE)-F388</f>
        <v/>
      </c>
      <c r="H388" s="19" t="n">
        <v>2</v>
      </c>
      <c r="I388" s="57" t="n">
        <v>1</v>
      </c>
    </row>
    <row r="389">
      <c r="A389" s="62" t="n">
        <v>46500</v>
      </c>
      <c r="B389" s="3" t="inlineStr">
        <is>
          <t>Week</t>
        </is>
      </c>
      <c r="C389" s="19" t="n">
        <v>4</v>
      </c>
      <c r="D389" s="19" t="n">
        <v>2027</v>
      </c>
      <c r="E389" s="57" t="n">
        <v>1</v>
      </c>
      <c r="F389" s="29">
        <f>ROUND(((SUMIFS(Calendar!$F$2:$F$9997,Calendar!$B$2:$B$9997,D389,Calendar!$C$2:$C$9997,C389)*INDEX(ForeCalc!$B$37:$Y$274,MATCH(_xlfn.CONCAT(H389," ",I389),ForeCalc!$A$37:$A$274,0),MATCH(_xlfn.CONCAT(B389," ",E389),ForeCalc!$B$36:$Y$36,0))))*VLOOKUP(A389,Calendar!$A$2:$H$9997,8,FALSE),0)</f>
        <v/>
      </c>
      <c r="G389" s="29">
        <f>VLOOKUP(A389,Calendar!$A$1:$H$9997,6,FALSE)-F389</f>
        <v/>
      </c>
      <c r="H389" s="19" t="n">
        <v>2</v>
      </c>
      <c r="I389" s="57" t="n">
        <v>1</v>
      </c>
    </row>
    <row r="390">
      <c r="A390" s="62" t="n">
        <v>46501</v>
      </c>
      <c r="B390" s="3" t="inlineStr">
        <is>
          <t>Sat</t>
        </is>
      </c>
      <c r="C390" s="19" t="n">
        <v>4</v>
      </c>
      <c r="D390" s="19" t="n">
        <v>2027</v>
      </c>
      <c r="E390" s="57" t="n">
        <v>1</v>
      </c>
      <c r="F390" s="29">
        <f>ROUND(((SUMIFS(Calendar!$F$2:$F$9997,Calendar!$B$2:$B$9997,D390,Calendar!$C$2:$C$9997,C390)*INDEX(ForeCalc!$B$37:$Y$274,MATCH(_xlfn.CONCAT(H390," ",I390),ForeCalc!$A$37:$A$274,0),MATCH(_xlfn.CONCAT(B390," ",E390),ForeCalc!$B$36:$Y$36,0))))*VLOOKUP(A390,Calendar!$A$2:$H$9997,8,FALSE),0)</f>
        <v/>
      </c>
      <c r="G390" s="29">
        <f>VLOOKUP(A390,Calendar!$A$1:$H$9997,6,FALSE)-F390</f>
        <v/>
      </c>
      <c r="H390" s="19" t="n">
        <v>2</v>
      </c>
      <c r="I390" s="57" t="n">
        <v>1</v>
      </c>
    </row>
    <row r="391">
      <c r="A391" s="62" t="n">
        <v>46502</v>
      </c>
      <c r="B391" s="3" t="inlineStr">
        <is>
          <t>Sun</t>
        </is>
      </c>
      <c r="C391" s="19" t="n">
        <v>4</v>
      </c>
      <c r="D391" s="19" t="n">
        <v>2027</v>
      </c>
      <c r="E391" s="57" t="n">
        <v>1</v>
      </c>
      <c r="F391" s="29">
        <f>ROUND(((SUMIFS(Calendar!$F$2:$F$9997,Calendar!$B$2:$B$9997,D391,Calendar!$C$2:$C$9997,C391)*INDEX(ForeCalc!$B$37:$Y$274,MATCH(_xlfn.CONCAT(H391," ",I391),ForeCalc!$A$37:$A$274,0),MATCH(_xlfn.CONCAT(B391," ",E391),ForeCalc!$B$36:$Y$36,0))))*VLOOKUP(A391,Calendar!$A$2:$H$9997,8,FALSE),0)</f>
        <v/>
      </c>
      <c r="G391" s="29">
        <f>VLOOKUP(A391,Calendar!$A$1:$H$9997,6,FALSE)-F391</f>
        <v/>
      </c>
      <c r="H391" s="19" t="n">
        <v>2</v>
      </c>
      <c r="I391" s="57" t="n">
        <v>1</v>
      </c>
    </row>
    <row r="392">
      <c r="A392" s="62" t="n">
        <v>46503</v>
      </c>
      <c r="B392" s="3" t="inlineStr">
        <is>
          <t>Week</t>
        </is>
      </c>
      <c r="C392" s="19" t="n">
        <v>4</v>
      </c>
      <c r="D392" s="19" t="n">
        <v>2027</v>
      </c>
      <c r="E392" s="57" t="n">
        <v>1</v>
      </c>
      <c r="F392" s="29">
        <f>ROUND(((SUMIFS(Calendar!$F$2:$F$9997,Calendar!$B$2:$B$9997,D392,Calendar!$C$2:$C$9997,C392)*INDEX(ForeCalc!$B$37:$Y$274,MATCH(_xlfn.CONCAT(H392," ",I392),ForeCalc!$A$37:$A$274,0),MATCH(_xlfn.CONCAT(B392," ",E392),ForeCalc!$B$36:$Y$36,0))))*VLOOKUP(A392,Calendar!$A$2:$H$9997,8,FALSE),0)</f>
        <v/>
      </c>
      <c r="G392" s="29">
        <f>VLOOKUP(A392,Calendar!$A$1:$H$9997,6,FALSE)-F392</f>
        <v/>
      </c>
      <c r="H392" s="19" t="n">
        <v>2</v>
      </c>
      <c r="I392" s="57" t="n">
        <v>1</v>
      </c>
    </row>
    <row r="393">
      <c r="A393" s="62" t="n">
        <v>46504</v>
      </c>
      <c r="B393" s="3" t="inlineStr">
        <is>
          <t>Week</t>
        </is>
      </c>
      <c r="C393" s="19" t="n">
        <v>4</v>
      </c>
      <c r="D393" s="19" t="n">
        <v>2027</v>
      </c>
      <c r="E393" s="57" t="n">
        <v>1</v>
      </c>
      <c r="F393" s="29">
        <f>ROUND(((SUMIFS(Calendar!$F$2:$F$9997,Calendar!$B$2:$B$9997,D393,Calendar!$C$2:$C$9997,C393)*INDEX(ForeCalc!$B$37:$Y$274,MATCH(_xlfn.CONCAT(H393," ",I393),ForeCalc!$A$37:$A$274,0),MATCH(_xlfn.CONCAT(B393," ",E393),ForeCalc!$B$36:$Y$36,0))))*VLOOKUP(A393,Calendar!$A$2:$H$9997,8,FALSE),0)</f>
        <v/>
      </c>
      <c r="G393" s="29">
        <f>VLOOKUP(A393,Calendar!$A$1:$H$9997,6,FALSE)-F393</f>
        <v/>
      </c>
      <c r="H393" s="19" t="n">
        <v>2</v>
      </c>
      <c r="I393" s="57" t="n">
        <v>1</v>
      </c>
    </row>
    <row r="394">
      <c r="A394" s="62" t="n">
        <v>46505</v>
      </c>
      <c r="B394" s="3" t="inlineStr">
        <is>
          <t>Week</t>
        </is>
      </c>
      <c r="C394" s="19" t="n">
        <v>4</v>
      </c>
      <c r="D394" s="19" t="n">
        <v>2027</v>
      </c>
      <c r="E394" s="57" t="n">
        <v>1</v>
      </c>
      <c r="F394" s="29">
        <f>ROUND(((SUMIFS(Calendar!$F$2:$F$9997,Calendar!$B$2:$B$9997,D394,Calendar!$C$2:$C$9997,C394)*INDEX(ForeCalc!$B$37:$Y$274,MATCH(_xlfn.CONCAT(H394," ",I394),ForeCalc!$A$37:$A$274,0),MATCH(_xlfn.CONCAT(B394," ",E394),ForeCalc!$B$36:$Y$36,0))))*VLOOKUP(A394,Calendar!$A$2:$H$9997,8,FALSE),0)</f>
        <v/>
      </c>
      <c r="G394" s="29">
        <f>VLOOKUP(A394,Calendar!$A$1:$H$9997,6,FALSE)-F394</f>
        <v/>
      </c>
      <c r="H394" s="19" t="n">
        <v>2</v>
      </c>
      <c r="I394" s="57" t="n">
        <v>1</v>
      </c>
    </row>
    <row r="395">
      <c r="A395" s="62" t="n">
        <v>46506</v>
      </c>
      <c r="B395" s="3" t="inlineStr">
        <is>
          <t>Week</t>
        </is>
      </c>
      <c r="C395" s="19" t="n">
        <v>4</v>
      </c>
      <c r="D395" s="19" t="n">
        <v>2027</v>
      </c>
      <c r="E395" s="57" t="n">
        <v>1</v>
      </c>
      <c r="F395" s="29">
        <f>ROUND(((SUMIFS(Calendar!$F$2:$F$9997,Calendar!$B$2:$B$9997,D395,Calendar!$C$2:$C$9997,C395)*INDEX(ForeCalc!$B$37:$Y$274,MATCH(_xlfn.CONCAT(H395," ",I395),ForeCalc!$A$37:$A$274,0),MATCH(_xlfn.CONCAT(B395," ",E395),ForeCalc!$B$36:$Y$36,0))))*VLOOKUP(A395,Calendar!$A$2:$H$9997,8,FALSE),0)</f>
        <v/>
      </c>
      <c r="G395" s="29">
        <f>VLOOKUP(A395,Calendar!$A$1:$H$9997,6,FALSE)-F395</f>
        <v/>
      </c>
      <c r="H395" s="19" t="n">
        <v>2</v>
      </c>
      <c r="I395" s="57" t="n">
        <v>1</v>
      </c>
    </row>
    <row r="396">
      <c r="A396" s="62" t="n">
        <v>46507</v>
      </c>
      <c r="B396" s="3" t="inlineStr">
        <is>
          <t>Week</t>
        </is>
      </c>
      <c r="C396" s="19" t="n">
        <v>4</v>
      </c>
      <c r="D396" s="19" t="n">
        <v>2027</v>
      </c>
      <c r="E396" s="57" t="n">
        <v>1</v>
      </c>
      <c r="F396" s="29">
        <f>ROUND(((SUMIFS(Calendar!$F$2:$F$9997,Calendar!$B$2:$B$9997,D396,Calendar!$C$2:$C$9997,C396)*INDEX(ForeCalc!$B$37:$Y$274,MATCH(_xlfn.CONCAT(H396," ",I396),ForeCalc!$A$37:$A$274,0),MATCH(_xlfn.CONCAT(B396," ",E396),ForeCalc!$B$36:$Y$36,0))))*VLOOKUP(A396,Calendar!$A$2:$H$9997,8,FALSE),0)</f>
        <v/>
      </c>
      <c r="G396" s="29">
        <f>VLOOKUP(A396,Calendar!$A$1:$H$9997,6,FALSE)-F396</f>
        <v/>
      </c>
      <c r="H396" s="19" t="n">
        <v>2</v>
      </c>
      <c r="I396" s="57" t="n">
        <v>1</v>
      </c>
    </row>
    <row r="397">
      <c r="A397" s="62" t="n">
        <v>46508</v>
      </c>
      <c r="B397" s="3" t="inlineStr">
        <is>
          <t>Sat</t>
        </is>
      </c>
      <c r="C397" s="19" t="n">
        <v>5</v>
      </c>
      <c r="D397" s="19" t="n">
        <v>2027</v>
      </c>
      <c r="E397" s="57" t="n">
        <v>1</v>
      </c>
      <c r="F397" s="29">
        <f>ROUND(((SUMIFS(Calendar!$F$2:$F$9997,Calendar!$B$2:$B$9997,D397,Calendar!$C$2:$C$9997,C397)*INDEX(ForeCalc!$B$37:$Y$274,MATCH(_xlfn.CONCAT(H397," ",I397),ForeCalc!$A$37:$A$274,0),MATCH(_xlfn.CONCAT(B397," ",E397),ForeCalc!$B$36:$Y$36,0))))*VLOOKUP(A397,Calendar!$A$2:$H$9997,8,FALSE),0)</f>
        <v/>
      </c>
      <c r="G397" s="29">
        <f>VLOOKUP(A397,Calendar!$A$1:$H$9997,6,FALSE)-F397</f>
        <v/>
      </c>
      <c r="H397" s="19" t="n">
        <v>2</v>
      </c>
      <c r="I397" s="57" t="n">
        <v>2</v>
      </c>
    </row>
    <row r="398">
      <c r="A398" s="62" t="n">
        <v>46509</v>
      </c>
      <c r="B398" s="3" t="inlineStr">
        <is>
          <t>Sun</t>
        </is>
      </c>
      <c r="C398" s="19" t="n">
        <v>5</v>
      </c>
      <c r="D398" s="19" t="n">
        <v>2027</v>
      </c>
      <c r="E398" s="57" t="n">
        <v>1</v>
      </c>
      <c r="F398" s="29">
        <f>ROUND(((SUMIFS(Calendar!$F$2:$F$9997,Calendar!$B$2:$B$9997,D398,Calendar!$C$2:$C$9997,C398)*INDEX(ForeCalc!$B$37:$Y$274,MATCH(_xlfn.CONCAT(H398," ",I398),ForeCalc!$A$37:$A$274,0),MATCH(_xlfn.CONCAT(B398," ",E398),ForeCalc!$B$36:$Y$36,0))))*VLOOKUP(A398,Calendar!$A$2:$H$9997,8,FALSE),0)</f>
        <v/>
      </c>
      <c r="G398" s="29">
        <f>VLOOKUP(A398,Calendar!$A$1:$H$9997,6,FALSE)-F398</f>
        <v/>
      </c>
      <c r="H398" s="19" t="n">
        <v>2</v>
      </c>
      <c r="I398" s="57" t="n">
        <v>2</v>
      </c>
    </row>
    <row r="399">
      <c r="A399" s="62" t="n">
        <v>46510</v>
      </c>
      <c r="B399" s="3" t="inlineStr">
        <is>
          <t>Week</t>
        </is>
      </c>
      <c r="C399" s="19" t="n">
        <v>5</v>
      </c>
      <c r="D399" s="19" t="n">
        <v>2027</v>
      </c>
      <c r="E399" s="57" t="n">
        <v>1</v>
      </c>
      <c r="F399" s="29">
        <f>ROUND(((SUMIFS(Calendar!$F$2:$F$9997,Calendar!$B$2:$B$9997,D399,Calendar!$C$2:$C$9997,C399)*INDEX(ForeCalc!$B$37:$Y$274,MATCH(_xlfn.CONCAT(H399," ",I399),ForeCalc!$A$37:$A$274,0),MATCH(_xlfn.CONCAT(B399," ",E399),ForeCalc!$B$36:$Y$36,0))))*VLOOKUP(A399,Calendar!$A$2:$H$9997,8,FALSE),0)</f>
        <v/>
      </c>
      <c r="G399" s="29">
        <f>VLOOKUP(A399,Calendar!$A$1:$H$9997,6,FALSE)-F399</f>
        <v/>
      </c>
      <c r="H399" s="19" t="n">
        <v>2</v>
      </c>
      <c r="I399" s="57" t="n">
        <v>2</v>
      </c>
    </row>
    <row r="400">
      <c r="A400" s="62" t="n">
        <v>46511</v>
      </c>
      <c r="B400" s="3" t="inlineStr">
        <is>
          <t>Week</t>
        </is>
      </c>
      <c r="C400" s="19" t="n">
        <v>5</v>
      </c>
      <c r="D400" s="19" t="n">
        <v>2027</v>
      </c>
      <c r="E400" s="57" t="n">
        <v>1</v>
      </c>
      <c r="F400" s="29">
        <f>ROUND(((SUMIFS(Calendar!$F$2:$F$9997,Calendar!$B$2:$B$9997,D400,Calendar!$C$2:$C$9997,C400)*INDEX(ForeCalc!$B$37:$Y$274,MATCH(_xlfn.CONCAT(H400," ",I400),ForeCalc!$A$37:$A$274,0),MATCH(_xlfn.CONCAT(B400," ",E400),ForeCalc!$B$36:$Y$36,0))))*VLOOKUP(A400,Calendar!$A$2:$H$9997,8,FALSE),0)</f>
        <v/>
      </c>
      <c r="G400" s="29">
        <f>VLOOKUP(A400,Calendar!$A$1:$H$9997,6,FALSE)-F400</f>
        <v/>
      </c>
      <c r="H400" s="19" t="n">
        <v>2</v>
      </c>
      <c r="I400" s="57" t="n">
        <v>2</v>
      </c>
    </row>
    <row r="401">
      <c r="A401" s="62" t="n">
        <v>46512</v>
      </c>
      <c r="B401" s="3" t="inlineStr">
        <is>
          <t>Week</t>
        </is>
      </c>
      <c r="C401" s="19" t="n">
        <v>5</v>
      </c>
      <c r="D401" s="19" t="n">
        <v>2027</v>
      </c>
      <c r="E401" s="57" t="n">
        <v>1</v>
      </c>
      <c r="F401" s="29">
        <f>ROUND(((SUMIFS(Calendar!$F$2:$F$9997,Calendar!$B$2:$B$9997,D401,Calendar!$C$2:$C$9997,C401)*INDEX(ForeCalc!$B$37:$Y$274,MATCH(_xlfn.CONCAT(H401," ",I401),ForeCalc!$A$37:$A$274,0),MATCH(_xlfn.CONCAT(B401," ",E401),ForeCalc!$B$36:$Y$36,0))))*VLOOKUP(A401,Calendar!$A$2:$H$9997,8,FALSE),0)</f>
        <v/>
      </c>
      <c r="G401" s="29">
        <f>VLOOKUP(A401,Calendar!$A$1:$H$9997,6,FALSE)-F401</f>
        <v/>
      </c>
      <c r="H401" s="19" t="n">
        <v>2</v>
      </c>
      <c r="I401" s="57" t="n">
        <v>2</v>
      </c>
    </row>
    <row r="402">
      <c r="A402" s="62" t="n">
        <v>46513</v>
      </c>
      <c r="B402" s="3" t="inlineStr">
        <is>
          <t>Week</t>
        </is>
      </c>
      <c r="C402" s="19" t="n">
        <v>5</v>
      </c>
      <c r="D402" s="19" t="n">
        <v>2027</v>
      </c>
      <c r="E402" s="57" t="n">
        <v>1</v>
      </c>
      <c r="F402" s="29">
        <f>ROUND(((SUMIFS(Calendar!$F$2:$F$9997,Calendar!$B$2:$B$9997,D402,Calendar!$C$2:$C$9997,C402)*INDEX(ForeCalc!$B$37:$Y$274,MATCH(_xlfn.CONCAT(H402," ",I402),ForeCalc!$A$37:$A$274,0),MATCH(_xlfn.CONCAT(B402," ",E402),ForeCalc!$B$36:$Y$36,0))))*VLOOKUP(A402,Calendar!$A$2:$H$9997,8,FALSE),0)</f>
        <v/>
      </c>
      <c r="G402" s="29">
        <f>VLOOKUP(A402,Calendar!$A$1:$H$9997,6,FALSE)-F402</f>
        <v/>
      </c>
      <c r="H402" s="19" t="n">
        <v>2</v>
      </c>
      <c r="I402" s="57" t="n">
        <v>2</v>
      </c>
    </row>
    <row r="403">
      <c r="A403" s="62" t="n">
        <v>46514</v>
      </c>
      <c r="B403" s="3" t="inlineStr">
        <is>
          <t>Week</t>
        </is>
      </c>
      <c r="C403" s="19" t="n">
        <v>5</v>
      </c>
      <c r="D403" s="19" t="n">
        <v>2027</v>
      </c>
      <c r="E403" s="57" t="n">
        <v>1</v>
      </c>
      <c r="F403" s="29">
        <f>ROUND(((SUMIFS(Calendar!$F$2:$F$9997,Calendar!$B$2:$B$9997,D403,Calendar!$C$2:$C$9997,C403)*INDEX(ForeCalc!$B$37:$Y$274,MATCH(_xlfn.CONCAT(H403," ",I403),ForeCalc!$A$37:$A$274,0),MATCH(_xlfn.CONCAT(B403," ",E403),ForeCalc!$B$36:$Y$36,0))))*VLOOKUP(A403,Calendar!$A$2:$H$9997,8,FALSE),0)</f>
        <v/>
      </c>
      <c r="G403" s="29">
        <f>VLOOKUP(A403,Calendar!$A$1:$H$9997,6,FALSE)-F403</f>
        <v/>
      </c>
      <c r="H403" s="19" t="n">
        <v>2</v>
      </c>
      <c r="I403" s="57" t="n">
        <v>2</v>
      </c>
    </row>
    <row r="404">
      <c r="A404" s="62" t="n">
        <v>46515</v>
      </c>
      <c r="B404" s="3" t="inlineStr">
        <is>
          <t>Sat</t>
        </is>
      </c>
      <c r="C404" s="19" t="n">
        <v>5</v>
      </c>
      <c r="D404" s="19" t="n">
        <v>2027</v>
      </c>
      <c r="E404" s="57" t="n">
        <v>1</v>
      </c>
      <c r="F404" s="29">
        <f>ROUND(((SUMIFS(Calendar!$F$2:$F$9997,Calendar!$B$2:$B$9997,D404,Calendar!$C$2:$C$9997,C404)*INDEX(ForeCalc!$B$37:$Y$274,MATCH(_xlfn.CONCAT(H404," ",I404),ForeCalc!$A$37:$A$274,0),MATCH(_xlfn.CONCAT(B404," ",E404),ForeCalc!$B$36:$Y$36,0))))*VLOOKUP(A404,Calendar!$A$2:$H$9997,8,FALSE),0)</f>
        <v/>
      </c>
      <c r="G404" s="29">
        <f>VLOOKUP(A404,Calendar!$A$1:$H$9997,6,FALSE)-F404</f>
        <v/>
      </c>
      <c r="H404" s="19" t="n">
        <v>2</v>
      </c>
      <c r="I404" s="57" t="n">
        <v>2</v>
      </c>
    </row>
    <row r="405">
      <c r="A405" s="62" t="n">
        <v>46516</v>
      </c>
      <c r="B405" s="3" t="inlineStr">
        <is>
          <t>Sun</t>
        </is>
      </c>
      <c r="C405" s="19" t="n">
        <v>5</v>
      </c>
      <c r="D405" s="19" t="n">
        <v>2027</v>
      </c>
      <c r="E405" s="57" t="n">
        <v>1</v>
      </c>
      <c r="F405" s="29">
        <f>ROUND(((SUMIFS(Calendar!$F$2:$F$9997,Calendar!$B$2:$B$9997,D405,Calendar!$C$2:$C$9997,C405)*INDEX(ForeCalc!$B$37:$Y$274,MATCH(_xlfn.CONCAT(H405," ",I405),ForeCalc!$A$37:$A$274,0),MATCH(_xlfn.CONCAT(B405," ",E405),ForeCalc!$B$36:$Y$36,0))))*VLOOKUP(A405,Calendar!$A$2:$H$9997,8,FALSE),0)</f>
        <v/>
      </c>
      <c r="G405" s="29">
        <f>VLOOKUP(A405,Calendar!$A$1:$H$9997,6,FALSE)-F405</f>
        <v/>
      </c>
      <c r="H405" s="19" t="n">
        <v>2</v>
      </c>
      <c r="I405" s="57" t="n">
        <v>2</v>
      </c>
    </row>
    <row r="406">
      <c r="A406" s="62" t="n">
        <v>46517</v>
      </c>
      <c r="B406" s="3" t="inlineStr">
        <is>
          <t>Week</t>
        </is>
      </c>
      <c r="C406" s="19" t="n">
        <v>5</v>
      </c>
      <c r="D406" s="19" t="n">
        <v>2027</v>
      </c>
      <c r="E406" s="57" t="n">
        <v>1</v>
      </c>
      <c r="F406" s="29">
        <f>ROUND(((SUMIFS(Calendar!$F$2:$F$9997,Calendar!$B$2:$B$9997,D406,Calendar!$C$2:$C$9997,C406)*INDEX(ForeCalc!$B$37:$Y$274,MATCH(_xlfn.CONCAT(H406," ",I406),ForeCalc!$A$37:$A$274,0),MATCH(_xlfn.CONCAT(B406," ",E406),ForeCalc!$B$36:$Y$36,0))))*VLOOKUP(A406,Calendar!$A$2:$H$9997,8,FALSE),0)</f>
        <v/>
      </c>
      <c r="G406" s="29">
        <f>VLOOKUP(A406,Calendar!$A$1:$H$9997,6,FALSE)-F406</f>
        <v/>
      </c>
      <c r="H406" s="19" t="n">
        <v>2</v>
      </c>
      <c r="I406" s="57" t="n">
        <v>2</v>
      </c>
    </row>
    <row r="407">
      <c r="A407" s="62" t="n">
        <v>46518</v>
      </c>
      <c r="B407" s="3" t="inlineStr">
        <is>
          <t>Week</t>
        </is>
      </c>
      <c r="C407" s="19" t="n">
        <v>5</v>
      </c>
      <c r="D407" s="19" t="n">
        <v>2027</v>
      </c>
      <c r="E407" s="57" t="n">
        <v>1</v>
      </c>
      <c r="F407" s="29">
        <f>ROUND(((SUMIFS(Calendar!$F$2:$F$9997,Calendar!$B$2:$B$9997,D407,Calendar!$C$2:$C$9997,C407)*INDEX(ForeCalc!$B$37:$Y$274,MATCH(_xlfn.CONCAT(H407," ",I407),ForeCalc!$A$37:$A$274,0),MATCH(_xlfn.CONCAT(B407," ",E407),ForeCalc!$B$36:$Y$36,0))))*VLOOKUP(A407,Calendar!$A$2:$H$9997,8,FALSE),0)</f>
        <v/>
      </c>
      <c r="G407" s="29">
        <f>VLOOKUP(A407,Calendar!$A$1:$H$9997,6,FALSE)-F407</f>
        <v/>
      </c>
      <c r="H407" s="19" t="n">
        <v>2</v>
      </c>
      <c r="I407" s="57" t="n">
        <v>2</v>
      </c>
    </row>
    <row r="408">
      <c r="A408" s="62" t="n">
        <v>46519</v>
      </c>
      <c r="B408" s="3" t="inlineStr">
        <is>
          <t>Week</t>
        </is>
      </c>
      <c r="C408" s="19" t="n">
        <v>5</v>
      </c>
      <c r="D408" s="19" t="n">
        <v>2027</v>
      </c>
      <c r="E408" s="57" t="n">
        <v>1</v>
      </c>
      <c r="F408" s="29">
        <f>ROUND(((SUMIFS(Calendar!$F$2:$F$9997,Calendar!$B$2:$B$9997,D408,Calendar!$C$2:$C$9997,C408)*INDEX(ForeCalc!$B$37:$Y$274,MATCH(_xlfn.CONCAT(H408," ",I408),ForeCalc!$A$37:$A$274,0),MATCH(_xlfn.CONCAT(B408," ",E408),ForeCalc!$B$36:$Y$36,0))))*VLOOKUP(A408,Calendar!$A$2:$H$9997,8,FALSE),0)</f>
        <v/>
      </c>
      <c r="G408" s="29">
        <f>VLOOKUP(A408,Calendar!$A$1:$H$9997,6,FALSE)-F408</f>
        <v/>
      </c>
      <c r="H408" s="19" t="n">
        <v>2</v>
      </c>
      <c r="I408" s="57" t="n">
        <v>2</v>
      </c>
    </row>
    <row r="409">
      <c r="A409" s="62" t="n">
        <v>46520</v>
      </c>
      <c r="B409" s="3" t="inlineStr">
        <is>
          <t>Week</t>
        </is>
      </c>
      <c r="C409" s="19" t="n">
        <v>5</v>
      </c>
      <c r="D409" s="19" t="n">
        <v>2027</v>
      </c>
      <c r="E409" s="57" t="n">
        <v>1</v>
      </c>
      <c r="F409" s="29">
        <f>ROUND(((SUMIFS(Calendar!$F$2:$F$9997,Calendar!$B$2:$B$9997,D409,Calendar!$C$2:$C$9997,C409)*INDEX(ForeCalc!$B$37:$Y$274,MATCH(_xlfn.CONCAT(H409," ",I409),ForeCalc!$A$37:$A$274,0),MATCH(_xlfn.CONCAT(B409," ",E409),ForeCalc!$B$36:$Y$36,0))))*VLOOKUP(A409,Calendar!$A$2:$H$9997,8,FALSE),0)</f>
        <v/>
      </c>
      <c r="G409" s="29">
        <f>VLOOKUP(A409,Calendar!$A$1:$H$9997,6,FALSE)-F409</f>
        <v/>
      </c>
      <c r="H409" s="19" t="n">
        <v>2</v>
      </c>
      <c r="I409" s="57" t="n">
        <v>2</v>
      </c>
    </row>
    <row r="410">
      <c r="A410" s="62" t="n">
        <v>46521</v>
      </c>
      <c r="B410" s="3" t="inlineStr">
        <is>
          <t>Week</t>
        </is>
      </c>
      <c r="C410" s="19" t="n">
        <v>5</v>
      </c>
      <c r="D410" s="19" t="n">
        <v>2027</v>
      </c>
      <c r="E410" s="57" t="n">
        <v>1</v>
      </c>
      <c r="F410" s="29">
        <f>ROUND(((SUMIFS(Calendar!$F$2:$F$9997,Calendar!$B$2:$B$9997,D410,Calendar!$C$2:$C$9997,C410)*INDEX(ForeCalc!$B$37:$Y$274,MATCH(_xlfn.CONCAT(H410," ",I410),ForeCalc!$A$37:$A$274,0),MATCH(_xlfn.CONCAT(B410," ",E410),ForeCalc!$B$36:$Y$36,0))))*VLOOKUP(A410,Calendar!$A$2:$H$9997,8,FALSE),0)</f>
        <v/>
      </c>
      <c r="G410" s="29">
        <f>VLOOKUP(A410,Calendar!$A$1:$H$9997,6,FALSE)-F410</f>
        <v/>
      </c>
      <c r="H410" s="19" t="n">
        <v>2</v>
      </c>
      <c r="I410" s="57" t="n">
        <v>2</v>
      </c>
    </row>
    <row r="411">
      <c r="A411" s="62" t="n">
        <v>46522</v>
      </c>
      <c r="B411" s="3" t="inlineStr">
        <is>
          <t>Sat</t>
        </is>
      </c>
      <c r="C411" s="19" t="n">
        <v>5</v>
      </c>
      <c r="D411" s="19" t="n">
        <v>2027</v>
      </c>
      <c r="E411" s="57" t="n">
        <v>1</v>
      </c>
      <c r="F411" s="29">
        <f>ROUND(((SUMIFS(Calendar!$F$2:$F$9997,Calendar!$B$2:$B$9997,D411,Calendar!$C$2:$C$9997,C411)*INDEX(ForeCalc!$B$37:$Y$274,MATCH(_xlfn.CONCAT(H411," ",I411),ForeCalc!$A$37:$A$274,0),MATCH(_xlfn.CONCAT(B411," ",E411),ForeCalc!$B$36:$Y$36,0))))*VLOOKUP(A411,Calendar!$A$2:$H$9997,8,FALSE),0)</f>
        <v/>
      </c>
      <c r="G411" s="29">
        <f>VLOOKUP(A411,Calendar!$A$1:$H$9997,6,FALSE)-F411</f>
        <v/>
      </c>
      <c r="H411" s="19" t="n">
        <v>2</v>
      </c>
      <c r="I411" s="57" t="n">
        <v>2</v>
      </c>
    </row>
    <row r="412">
      <c r="A412" s="62" t="n">
        <v>46523</v>
      </c>
      <c r="B412" s="3" t="inlineStr">
        <is>
          <t>Sun</t>
        </is>
      </c>
      <c r="C412" s="19" t="n">
        <v>5</v>
      </c>
      <c r="D412" s="19" t="n">
        <v>2027</v>
      </c>
      <c r="E412" s="57" t="n">
        <v>1</v>
      </c>
      <c r="F412" s="29">
        <f>ROUND(((SUMIFS(Calendar!$F$2:$F$9997,Calendar!$B$2:$B$9997,D412,Calendar!$C$2:$C$9997,C412)*INDEX(ForeCalc!$B$37:$Y$274,MATCH(_xlfn.CONCAT(H412," ",I412),ForeCalc!$A$37:$A$274,0),MATCH(_xlfn.CONCAT(B412," ",E412),ForeCalc!$B$36:$Y$36,0))))*VLOOKUP(A412,Calendar!$A$2:$H$9997,8,FALSE),0)</f>
        <v/>
      </c>
      <c r="G412" s="29">
        <f>VLOOKUP(A412,Calendar!$A$1:$H$9997,6,FALSE)-F412</f>
        <v/>
      </c>
      <c r="H412" s="19" t="n">
        <v>2</v>
      </c>
      <c r="I412" s="57" t="n">
        <v>2</v>
      </c>
    </row>
    <row r="413">
      <c r="A413" s="62" t="n">
        <v>46524</v>
      </c>
      <c r="B413" s="3" t="inlineStr">
        <is>
          <t>Week</t>
        </is>
      </c>
      <c r="C413" s="19" t="n">
        <v>5</v>
      </c>
      <c r="D413" s="19" t="n">
        <v>2027</v>
      </c>
      <c r="E413" s="57" t="n">
        <v>1</v>
      </c>
      <c r="F413" s="29">
        <f>ROUND(((SUMIFS(Calendar!$F$2:$F$9997,Calendar!$B$2:$B$9997,D413,Calendar!$C$2:$C$9997,C413)*INDEX(ForeCalc!$B$37:$Y$274,MATCH(_xlfn.CONCAT(H413," ",I413),ForeCalc!$A$37:$A$274,0),MATCH(_xlfn.CONCAT(B413," ",E413),ForeCalc!$B$36:$Y$36,0))))*VLOOKUP(A413,Calendar!$A$2:$H$9997,8,FALSE),0)</f>
        <v/>
      </c>
      <c r="G413" s="29">
        <f>VLOOKUP(A413,Calendar!$A$1:$H$9997,6,FALSE)-F413</f>
        <v/>
      </c>
      <c r="H413" s="19" t="n">
        <v>2</v>
      </c>
      <c r="I413" s="57" t="n">
        <v>2</v>
      </c>
    </row>
    <row r="414">
      <c r="A414" s="62" t="n">
        <v>46525</v>
      </c>
      <c r="B414" s="3" t="inlineStr">
        <is>
          <t>Week</t>
        </is>
      </c>
      <c r="C414" s="19" t="n">
        <v>5</v>
      </c>
      <c r="D414" s="19" t="n">
        <v>2027</v>
      </c>
      <c r="E414" s="57" t="n">
        <v>1</v>
      </c>
      <c r="F414" s="29">
        <f>ROUND(((SUMIFS(Calendar!$F$2:$F$9997,Calendar!$B$2:$B$9997,D414,Calendar!$C$2:$C$9997,C414)*INDEX(ForeCalc!$B$37:$Y$274,MATCH(_xlfn.CONCAT(H414," ",I414),ForeCalc!$A$37:$A$274,0),MATCH(_xlfn.CONCAT(B414," ",E414),ForeCalc!$B$36:$Y$36,0))))*VLOOKUP(A414,Calendar!$A$2:$H$9997,8,FALSE),0)</f>
        <v/>
      </c>
      <c r="G414" s="29">
        <f>VLOOKUP(A414,Calendar!$A$1:$H$9997,6,FALSE)-F414</f>
        <v/>
      </c>
      <c r="H414" s="19" t="n">
        <v>2</v>
      </c>
      <c r="I414" s="57" t="n">
        <v>2</v>
      </c>
    </row>
    <row r="415">
      <c r="A415" s="62" t="n">
        <v>46526</v>
      </c>
      <c r="B415" s="3" t="inlineStr">
        <is>
          <t>Week</t>
        </is>
      </c>
      <c r="C415" s="19" t="n">
        <v>5</v>
      </c>
      <c r="D415" s="19" t="n">
        <v>2027</v>
      </c>
      <c r="E415" s="57" t="n">
        <v>1</v>
      </c>
      <c r="F415" s="29">
        <f>ROUND(((SUMIFS(Calendar!$F$2:$F$9997,Calendar!$B$2:$B$9997,D415,Calendar!$C$2:$C$9997,C415)*INDEX(ForeCalc!$B$37:$Y$274,MATCH(_xlfn.CONCAT(H415," ",I415),ForeCalc!$A$37:$A$274,0),MATCH(_xlfn.CONCAT(B415," ",E415),ForeCalc!$B$36:$Y$36,0))))*VLOOKUP(A415,Calendar!$A$2:$H$9997,8,FALSE),0)</f>
        <v/>
      </c>
      <c r="G415" s="29">
        <f>VLOOKUP(A415,Calendar!$A$1:$H$9997,6,FALSE)-F415</f>
        <v/>
      </c>
      <c r="H415" s="19" t="n">
        <v>2</v>
      </c>
      <c r="I415" s="57" t="n">
        <v>2</v>
      </c>
    </row>
    <row r="416">
      <c r="A416" s="62" t="n">
        <v>46527</v>
      </c>
      <c r="B416" s="3" t="inlineStr">
        <is>
          <t>Week</t>
        </is>
      </c>
      <c r="C416" s="19" t="n">
        <v>5</v>
      </c>
      <c r="D416" s="19" t="n">
        <v>2027</v>
      </c>
      <c r="E416" s="57" t="n">
        <v>1</v>
      </c>
      <c r="F416" s="29">
        <f>ROUND(((SUMIFS(Calendar!$F$2:$F$9997,Calendar!$B$2:$B$9997,D416,Calendar!$C$2:$C$9997,C416)*INDEX(ForeCalc!$B$37:$Y$274,MATCH(_xlfn.CONCAT(H416," ",I416),ForeCalc!$A$37:$A$274,0),MATCH(_xlfn.CONCAT(B416," ",E416),ForeCalc!$B$36:$Y$36,0))))*VLOOKUP(A416,Calendar!$A$2:$H$9997,8,FALSE),0)</f>
        <v/>
      </c>
      <c r="G416" s="29">
        <f>VLOOKUP(A416,Calendar!$A$1:$H$9997,6,FALSE)-F416</f>
        <v/>
      </c>
      <c r="H416" s="19" t="n">
        <v>2</v>
      </c>
      <c r="I416" s="57" t="n">
        <v>2</v>
      </c>
    </row>
    <row r="417">
      <c r="A417" s="62" t="n">
        <v>46528</v>
      </c>
      <c r="B417" s="3" t="inlineStr">
        <is>
          <t>Week</t>
        </is>
      </c>
      <c r="C417" s="19" t="n">
        <v>5</v>
      </c>
      <c r="D417" s="19" t="n">
        <v>2027</v>
      </c>
      <c r="E417" s="57" t="n">
        <v>1</v>
      </c>
      <c r="F417" s="29">
        <f>ROUND(((SUMIFS(Calendar!$F$2:$F$9997,Calendar!$B$2:$B$9997,D417,Calendar!$C$2:$C$9997,C417)*INDEX(ForeCalc!$B$37:$Y$274,MATCH(_xlfn.CONCAT(H417," ",I417),ForeCalc!$A$37:$A$274,0),MATCH(_xlfn.CONCAT(B417," ",E417),ForeCalc!$B$36:$Y$36,0))))*VLOOKUP(A417,Calendar!$A$2:$H$9997,8,FALSE),0)</f>
        <v/>
      </c>
      <c r="G417" s="29">
        <f>VLOOKUP(A417,Calendar!$A$1:$H$9997,6,FALSE)-F417</f>
        <v/>
      </c>
      <c r="H417" s="19" t="n">
        <v>2</v>
      </c>
      <c r="I417" s="57" t="n">
        <v>2</v>
      </c>
    </row>
    <row r="418">
      <c r="A418" s="62" t="n">
        <v>46529</v>
      </c>
      <c r="B418" s="3" t="inlineStr">
        <is>
          <t>Sat</t>
        </is>
      </c>
      <c r="C418" s="19" t="n">
        <v>5</v>
      </c>
      <c r="D418" s="19" t="n">
        <v>2027</v>
      </c>
      <c r="E418" s="57" t="n">
        <v>1</v>
      </c>
      <c r="F418" s="29">
        <f>ROUND(((SUMIFS(Calendar!$F$2:$F$9997,Calendar!$B$2:$B$9997,D418,Calendar!$C$2:$C$9997,C418)*INDEX(ForeCalc!$B$37:$Y$274,MATCH(_xlfn.CONCAT(H418," ",I418),ForeCalc!$A$37:$A$274,0),MATCH(_xlfn.CONCAT(B418," ",E418),ForeCalc!$B$36:$Y$36,0))))*VLOOKUP(A418,Calendar!$A$2:$H$9997,8,FALSE),0)</f>
        <v/>
      </c>
      <c r="G418" s="29">
        <f>VLOOKUP(A418,Calendar!$A$1:$H$9997,6,FALSE)-F418</f>
        <v/>
      </c>
      <c r="H418" s="19" t="n">
        <v>2</v>
      </c>
      <c r="I418" s="57" t="n">
        <v>2</v>
      </c>
    </row>
    <row r="419">
      <c r="A419" s="62" t="n">
        <v>46530</v>
      </c>
      <c r="B419" s="3" t="inlineStr">
        <is>
          <t>Sun</t>
        </is>
      </c>
      <c r="C419" s="19" t="n">
        <v>5</v>
      </c>
      <c r="D419" s="19" t="n">
        <v>2027</v>
      </c>
      <c r="E419" s="57" t="n">
        <v>1</v>
      </c>
      <c r="F419" s="29">
        <f>ROUND(((SUMIFS(Calendar!$F$2:$F$9997,Calendar!$B$2:$B$9997,D419,Calendar!$C$2:$C$9997,C419)*INDEX(ForeCalc!$B$37:$Y$274,MATCH(_xlfn.CONCAT(H419," ",I419),ForeCalc!$A$37:$A$274,0),MATCH(_xlfn.CONCAT(B419," ",E419),ForeCalc!$B$36:$Y$36,0))))*VLOOKUP(A419,Calendar!$A$2:$H$9997,8,FALSE),0)</f>
        <v/>
      </c>
      <c r="G419" s="29">
        <f>VLOOKUP(A419,Calendar!$A$1:$H$9997,6,FALSE)-F419</f>
        <v/>
      </c>
      <c r="H419" s="19" t="n">
        <v>2</v>
      </c>
      <c r="I419" s="57" t="n">
        <v>2</v>
      </c>
    </row>
    <row r="420">
      <c r="A420" s="62" t="n">
        <v>46531</v>
      </c>
      <c r="B420" s="3" t="inlineStr">
        <is>
          <t>Week</t>
        </is>
      </c>
      <c r="C420" s="19" t="n">
        <v>5</v>
      </c>
      <c r="D420" s="19" t="n">
        <v>2027</v>
      </c>
      <c r="E420" s="57" t="n">
        <v>1</v>
      </c>
      <c r="F420" s="29">
        <f>ROUND(((SUMIFS(Calendar!$F$2:$F$9997,Calendar!$B$2:$B$9997,D420,Calendar!$C$2:$C$9997,C420)*INDEX(ForeCalc!$B$37:$Y$274,MATCH(_xlfn.CONCAT(H420," ",I420),ForeCalc!$A$37:$A$274,0),MATCH(_xlfn.CONCAT(B420," ",E420),ForeCalc!$B$36:$Y$36,0))))*VLOOKUP(A420,Calendar!$A$2:$H$9997,8,FALSE),0)</f>
        <v/>
      </c>
      <c r="G420" s="29">
        <f>VLOOKUP(A420,Calendar!$A$1:$H$9997,6,FALSE)-F420</f>
        <v/>
      </c>
      <c r="H420" s="19" t="n">
        <v>2</v>
      </c>
      <c r="I420" s="57" t="n">
        <v>2</v>
      </c>
    </row>
    <row r="421">
      <c r="A421" s="62" t="n">
        <v>46532</v>
      </c>
      <c r="B421" s="3" t="inlineStr">
        <is>
          <t>Week</t>
        </is>
      </c>
      <c r="C421" s="19" t="n">
        <v>5</v>
      </c>
      <c r="D421" s="19" t="n">
        <v>2027</v>
      </c>
      <c r="E421" s="57" t="n">
        <v>1</v>
      </c>
      <c r="F421" s="29">
        <f>ROUND(((SUMIFS(Calendar!$F$2:$F$9997,Calendar!$B$2:$B$9997,D421,Calendar!$C$2:$C$9997,C421)*INDEX(ForeCalc!$B$37:$Y$274,MATCH(_xlfn.CONCAT(H421," ",I421),ForeCalc!$A$37:$A$274,0),MATCH(_xlfn.CONCAT(B421," ",E421),ForeCalc!$B$36:$Y$36,0))))*VLOOKUP(A421,Calendar!$A$2:$H$9997,8,FALSE),0)</f>
        <v/>
      </c>
      <c r="G421" s="29">
        <f>VLOOKUP(A421,Calendar!$A$1:$H$9997,6,FALSE)-F421</f>
        <v/>
      </c>
      <c r="H421" s="19" t="n">
        <v>2</v>
      </c>
      <c r="I421" s="57" t="n">
        <v>2</v>
      </c>
    </row>
    <row r="422">
      <c r="A422" s="62" t="n">
        <v>46533</v>
      </c>
      <c r="B422" s="3" t="inlineStr">
        <is>
          <t>Week</t>
        </is>
      </c>
      <c r="C422" s="19" t="n">
        <v>5</v>
      </c>
      <c r="D422" s="19" t="n">
        <v>2027</v>
      </c>
      <c r="E422" s="57" t="n">
        <v>1</v>
      </c>
      <c r="F422" s="29">
        <f>ROUND(((SUMIFS(Calendar!$F$2:$F$9997,Calendar!$B$2:$B$9997,D422,Calendar!$C$2:$C$9997,C422)*INDEX(ForeCalc!$B$37:$Y$274,MATCH(_xlfn.CONCAT(H422," ",I422),ForeCalc!$A$37:$A$274,0),MATCH(_xlfn.CONCAT(B422," ",E422),ForeCalc!$B$36:$Y$36,0))))*VLOOKUP(A422,Calendar!$A$2:$H$9997,8,FALSE),0)</f>
        <v/>
      </c>
      <c r="G422" s="29">
        <f>VLOOKUP(A422,Calendar!$A$1:$H$9997,6,FALSE)-F422</f>
        <v/>
      </c>
      <c r="H422" s="19" t="n">
        <v>2</v>
      </c>
      <c r="I422" s="57" t="n">
        <v>2</v>
      </c>
    </row>
    <row r="423">
      <c r="A423" s="62" t="n">
        <v>46534</v>
      </c>
      <c r="B423" s="3" t="inlineStr">
        <is>
          <t>Week</t>
        </is>
      </c>
      <c r="C423" s="19" t="n">
        <v>5</v>
      </c>
      <c r="D423" s="19" t="n">
        <v>2027</v>
      </c>
      <c r="E423" s="57" t="n">
        <v>1</v>
      </c>
      <c r="F423" s="29">
        <f>ROUND(((SUMIFS(Calendar!$F$2:$F$9997,Calendar!$B$2:$B$9997,D423,Calendar!$C$2:$C$9997,C423)*INDEX(ForeCalc!$B$37:$Y$274,MATCH(_xlfn.CONCAT(H423," ",I423),ForeCalc!$A$37:$A$274,0),MATCH(_xlfn.CONCAT(B423," ",E423),ForeCalc!$B$36:$Y$36,0))))*VLOOKUP(A423,Calendar!$A$2:$H$9997,8,FALSE),0)</f>
        <v/>
      </c>
      <c r="G423" s="29">
        <f>VLOOKUP(A423,Calendar!$A$1:$H$9997,6,FALSE)-F423</f>
        <v/>
      </c>
      <c r="H423" s="19" t="n">
        <v>2</v>
      </c>
      <c r="I423" s="57" t="n">
        <v>2</v>
      </c>
    </row>
    <row r="424">
      <c r="A424" s="62" t="n">
        <v>46535</v>
      </c>
      <c r="B424" s="3" t="inlineStr">
        <is>
          <t>Week</t>
        </is>
      </c>
      <c r="C424" s="19" t="n">
        <v>5</v>
      </c>
      <c r="D424" s="19" t="n">
        <v>2027</v>
      </c>
      <c r="E424" s="57" t="n">
        <v>1</v>
      </c>
      <c r="F424" s="29">
        <f>ROUND(((SUMIFS(Calendar!$F$2:$F$9997,Calendar!$B$2:$B$9997,D424,Calendar!$C$2:$C$9997,C424)*INDEX(ForeCalc!$B$37:$Y$274,MATCH(_xlfn.CONCAT(H424," ",I424),ForeCalc!$A$37:$A$274,0),MATCH(_xlfn.CONCAT(B424," ",E424),ForeCalc!$B$36:$Y$36,0))))*VLOOKUP(A424,Calendar!$A$2:$H$9997,8,FALSE),0)</f>
        <v/>
      </c>
      <c r="G424" s="29">
        <f>VLOOKUP(A424,Calendar!$A$1:$H$9997,6,FALSE)-F424</f>
        <v/>
      </c>
      <c r="H424" s="19" t="n">
        <v>2</v>
      </c>
      <c r="I424" s="57" t="n">
        <v>2</v>
      </c>
    </row>
    <row r="425">
      <c r="A425" s="62" t="n">
        <v>46536</v>
      </c>
      <c r="B425" s="3" t="inlineStr">
        <is>
          <t>Sat</t>
        </is>
      </c>
      <c r="C425" s="19" t="n">
        <v>5</v>
      </c>
      <c r="D425" s="19" t="n">
        <v>2027</v>
      </c>
      <c r="E425" s="57" t="n">
        <v>1</v>
      </c>
      <c r="F425" s="29">
        <f>ROUND(((SUMIFS(Calendar!$F$2:$F$9997,Calendar!$B$2:$B$9997,D425,Calendar!$C$2:$C$9997,C425)*INDEX(ForeCalc!$B$37:$Y$274,MATCH(_xlfn.CONCAT(H425," ",I425),ForeCalc!$A$37:$A$274,0),MATCH(_xlfn.CONCAT(B425," ",E425),ForeCalc!$B$36:$Y$36,0))))*VLOOKUP(A425,Calendar!$A$2:$H$9997,8,FALSE),0)</f>
        <v/>
      </c>
      <c r="G425" s="29">
        <f>VLOOKUP(A425,Calendar!$A$1:$H$9997,6,FALSE)-F425</f>
        <v/>
      </c>
      <c r="H425" s="19" t="n">
        <v>2</v>
      </c>
      <c r="I425" s="57" t="n">
        <v>2</v>
      </c>
    </row>
    <row r="426">
      <c r="A426" s="62" t="n">
        <v>46537</v>
      </c>
      <c r="B426" s="3" t="inlineStr">
        <is>
          <t>Sun</t>
        </is>
      </c>
      <c r="C426" s="19" t="n">
        <v>5</v>
      </c>
      <c r="D426" s="19" t="n">
        <v>2027</v>
      </c>
      <c r="E426" s="57" t="n">
        <v>1</v>
      </c>
      <c r="F426" s="29">
        <f>ROUND(((SUMIFS(Calendar!$F$2:$F$9997,Calendar!$B$2:$B$9997,D426,Calendar!$C$2:$C$9997,C426)*INDEX(ForeCalc!$B$37:$Y$274,MATCH(_xlfn.CONCAT(H426," ",I426),ForeCalc!$A$37:$A$274,0),MATCH(_xlfn.CONCAT(B426," ",E426),ForeCalc!$B$36:$Y$36,0))))*VLOOKUP(A426,Calendar!$A$2:$H$9997,8,FALSE),0)</f>
        <v/>
      </c>
      <c r="G426" s="29">
        <f>VLOOKUP(A426,Calendar!$A$1:$H$9997,6,FALSE)-F426</f>
        <v/>
      </c>
      <c r="H426" s="19" t="n">
        <v>2</v>
      </c>
      <c r="I426" s="57" t="n">
        <v>2</v>
      </c>
    </row>
    <row r="427">
      <c r="A427" s="62" t="n">
        <v>46538</v>
      </c>
      <c r="B427" s="3" t="inlineStr">
        <is>
          <t>Week</t>
        </is>
      </c>
      <c r="C427" s="19" t="n">
        <v>5</v>
      </c>
      <c r="D427" s="19" t="n">
        <v>2027</v>
      </c>
      <c r="E427" s="57" t="n">
        <v>1</v>
      </c>
      <c r="F427" s="29">
        <f>ROUND(((SUMIFS(Calendar!$F$2:$F$9997,Calendar!$B$2:$B$9997,D427,Calendar!$C$2:$C$9997,C427)*INDEX(ForeCalc!$B$37:$Y$274,MATCH(_xlfn.CONCAT(H427," ",I427),ForeCalc!$A$37:$A$274,0),MATCH(_xlfn.CONCAT(B427," ",E427),ForeCalc!$B$36:$Y$36,0))))*VLOOKUP(A427,Calendar!$A$2:$H$9997,8,FALSE),0)</f>
        <v/>
      </c>
      <c r="G427" s="29">
        <f>VLOOKUP(A427,Calendar!$A$1:$H$9997,6,FALSE)-F427</f>
        <v/>
      </c>
      <c r="H427" s="19" t="n">
        <v>2</v>
      </c>
      <c r="I427" s="57" t="n">
        <v>2</v>
      </c>
    </row>
    <row r="428">
      <c r="A428" s="62" t="n">
        <v>46539</v>
      </c>
      <c r="B428" s="3" t="inlineStr">
        <is>
          <t>Week</t>
        </is>
      </c>
      <c r="C428" s="19" t="n">
        <v>6</v>
      </c>
      <c r="D428" s="19" t="n">
        <v>2027</v>
      </c>
      <c r="E428" s="57" t="n">
        <v>1</v>
      </c>
      <c r="F428" s="29">
        <f>ROUND(((SUMIFS(Calendar!$F$2:$F$9997,Calendar!$B$2:$B$9997,D428,Calendar!$C$2:$C$9997,C428)*INDEX(ForeCalc!$B$37:$Y$274,MATCH(_xlfn.CONCAT(H428," ",I428),ForeCalc!$A$37:$A$274,0),MATCH(_xlfn.CONCAT(B428," ",E428),ForeCalc!$B$36:$Y$36,0))))*VLOOKUP(A428,Calendar!$A$2:$H$9997,8,FALSE),0)</f>
        <v/>
      </c>
      <c r="G428" s="29">
        <f>VLOOKUP(A428,Calendar!$A$1:$H$9997,6,FALSE)-F428</f>
        <v/>
      </c>
      <c r="H428" s="19" t="n">
        <v>2</v>
      </c>
      <c r="I428" s="57" t="n">
        <v>3</v>
      </c>
    </row>
    <row r="429">
      <c r="A429" s="62" t="n">
        <v>46540</v>
      </c>
      <c r="B429" s="3" t="inlineStr">
        <is>
          <t>Week</t>
        </is>
      </c>
      <c r="C429" s="19" t="n">
        <v>6</v>
      </c>
      <c r="D429" s="19" t="n">
        <v>2027</v>
      </c>
      <c r="E429" s="57" t="n">
        <v>1</v>
      </c>
      <c r="F429" s="29">
        <f>ROUND(((SUMIFS(Calendar!$F$2:$F$9997,Calendar!$B$2:$B$9997,D429,Calendar!$C$2:$C$9997,C429)*INDEX(ForeCalc!$B$37:$Y$274,MATCH(_xlfn.CONCAT(H429," ",I429),ForeCalc!$A$37:$A$274,0),MATCH(_xlfn.CONCAT(B429," ",E429),ForeCalc!$B$36:$Y$36,0))))*VLOOKUP(A429,Calendar!$A$2:$H$9997,8,FALSE),0)</f>
        <v/>
      </c>
      <c r="G429" s="29">
        <f>VLOOKUP(A429,Calendar!$A$1:$H$9997,6,FALSE)-F429</f>
        <v/>
      </c>
      <c r="H429" s="19" t="n">
        <v>2</v>
      </c>
      <c r="I429" s="57" t="n">
        <v>3</v>
      </c>
    </row>
    <row r="430">
      <c r="A430" s="62" t="n">
        <v>46541</v>
      </c>
      <c r="B430" s="3" t="inlineStr">
        <is>
          <t>Week</t>
        </is>
      </c>
      <c r="C430" s="19" t="n">
        <v>6</v>
      </c>
      <c r="D430" s="19" t="n">
        <v>2027</v>
      </c>
      <c r="E430" s="57" t="n">
        <v>1</v>
      </c>
      <c r="F430" s="29">
        <f>ROUND(((SUMIFS(Calendar!$F$2:$F$9997,Calendar!$B$2:$B$9997,D430,Calendar!$C$2:$C$9997,C430)*INDEX(ForeCalc!$B$37:$Y$274,MATCH(_xlfn.CONCAT(H430," ",I430),ForeCalc!$A$37:$A$274,0),MATCH(_xlfn.CONCAT(B430," ",E430),ForeCalc!$B$36:$Y$36,0))))*VLOOKUP(A430,Calendar!$A$2:$H$9997,8,FALSE),0)</f>
        <v/>
      </c>
      <c r="G430" s="29">
        <f>VLOOKUP(A430,Calendar!$A$1:$H$9997,6,FALSE)-F430</f>
        <v/>
      </c>
      <c r="H430" s="19" t="n">
        <v>2</v>
      </c>
      <c r="I430" s="57" t="n">
        <v>3</v>
      </c>
    </row>
    <row r="431">
      <c r="A431" s="62" t="n">
        <v>46542</v>
      </c>
      <c r="B431" s="3" t="inlineStr">
        <is>
          <t>Week</t>
        </is>
      </c>
      <c r="C431" s="19" t="n">
        <v>6</v>
      </c>
      <c r="D431" s="19" t="n">
        <v>2027</v>
      </c>
      <c r="E431" s="57" t="n">
        <v>1</v>
      </c>
      <c r="F431" s="29">
        <f>ROUND(((SUMIFS(Calendar!$F$2:$F$9997,Calendar!$B$2:$B$9997,D431,Calendar!$C$2:$C$9997,C431)*INDEX(ForeCalc!$B$37:$Y$274,MATCH(_xlfn.CONCAT(H431," ",I431),ForeCalc!$A$37:$A$274,0),MATCH(_xlfn.CONCAT(B431," ",E431),ForeCalc!$B$36:$Y$36,0))))*VLOOKUP(A431,Calendar!$A$2:$H$9997,8,FALSE),0)</f>
        <v/>
      </c>
      <c r="G431" s="29">
        <f>VLOOKUP(A431,Calendar!$A$1:$H$9997,6,FALSE)-F431</f>
        <v/>
      </c>
      <c r="H431" s="19" t="n">
        <v>2</v>
      </c>
      <c r="I431" s="57" t="n">
        <v>3</v>
      </c>
    </row>
    <row r="432">
      <c r="A432" s="62" t="n">
        <v>46543</v>
      </c>
      <c r="B432" s="3" t="inlineStr">
        <is>
          <t>Sat</t>
        </is>
      </c>
      <c r="C432" s="19" t="n">
        <v>6</v>
      </c>
      <c r="D432" s="19" t="n">
        <v>2027</v>
      </c>
      <c r="E432" s="57" t="n">
        <v>1</v>
      </c>
      <c r="F432" s="29">
        <f>ROUND(((SUMIFS(Calendar!$F$2:$F$9997,Calendar!$B$2:$B$9997,D432,Calendar!$C$2:$C$9997,C432)*INDEX(ForeCalc!$B$37:$Y$274,MATCH(_xlfn.CONCAT(H432," ",I432),ForeCalc!$A$37:$A$274,0),MATCH(_xlfn.CONCAT(B432," ",E432),ForeCalc!$B$36:$Y$36,0))))*VLOOKUP(A432,Calendar!$A$2:$H$9997,8,FALSE),0)</f>
        <v/>
      </c>
      <c r="G432" s="29">
        <f>VLOOKUP(A432,Calendar!$A$1:$H$9997,6,FALSE)-F432</f>
        <v/>
      </c>
      <c r="H432" s="19" t="n">
        <v>2</v>
      </c>
      <c r="I432" s="57" t="n">
        <v>3</v>
      </c>
    </row>
    <row r="433">
      <c r="A433" s="62" t="n">
        <v>46544</v>
      </c>
      <c r="B433" s="3" t="inlineStr">
        <is>
          <t>Sun</t>
        </is>
      </c>
      <c r="C433" s="19" t="n">
        <v>6</v>
      </c>
      <c r="D433" s="19" t="n">
        <v>2027</v>
      </c>
      <c r="E433" s="57" t="n">
        <v>1</v>
      </c>
      <c r="F433" s="29">
        <f>ROUND(((SUMIFS(Calendar!$F$2:$F$9997,Calendar!$B$2:$B$9997,D433,Calendar!$C$2:$C$9997,C433)*INDEX(ForeCalc!$B$37:$Y$274,MATCH(_xlfn.CONCAT(H433," ",I433),ForeCalc!$A$37:$A$274,0),MATCH(_xlfn.CONCAT(B433," ",E433),ForeCalc!$B$36:$Y$36,0))))*VLOOKUP(A433,Calendar!$A$2:$H$9997,8,FALSE),0)</f>
        <v/>
      </c>
      <c r="G433" s="29">
        <f>VLOOKUP(A433,Calendar!$A$1:$H$9997,6,FALSE)-F433</f>
        <v/>
      </c>
      <c r="H433" s="19" t="n">
        <v>2</v>
      </c>
      <c r="I433" s="57" t="n">
        <v>3</v>
      </c>
    </row>
    <row r="434">
      <c r="A434" s="62" t="n">
        <v>46545</v>
      </c>
      <c r="B434" s="3" t="inlineStr">
        <is>
          <t>Week</t>
        </is>
      </c>
      <c r="C434" s="19" t="n">
        <v>6</v>
      </c>
      <c r="D434" s="19" t="n">
        <v>2027</v>
      </c>
      <c r="E434" s="57" t="n">
        <v>1</v>
      </c>
      <c r="F434" s="29">
        <f>ROUND(((SUMIFS(Calendar!$F$2:$F$9997,Calendar!$B$2:$B$9997,D434,Calendar!$C$2:$C$9997,C434)*INDEX(ForeCalc!$B$37:$Y$274,MATCH(_xlfn.CONCAT(H434," ",I434),ForeCalc!$A$37:$A$274,0),MATCH(_xlfn.CONCAT(B434," ",E434),ForeCalc!$B$36:$Y$36,0))))*VLOOKUP(A434,Calendar!$A$2:$H$9997,8,FALSE),0)</f>
        <v/>
      </c>
      <c r="G434" s="29">
        <f>VLOOKUP(A434,Calendar!$A$1:$H$9997,6,FALSE)-F434</f>
        <v/>
      </c>
      <c r="H434" s="19" t="n">
        <v>2</v>
      </c>
      <c r="I434" s="57" t="n">
        <v>3</v>
      </c>
    </row>
    <row r="435">
      <c r="A435" s="62" t="n">
        <v>46546</v>
      </c>
      <c r="B435" s="3" t="inlineStr">
        <is>
          <t>Week</t>
        </is>
      </c>
      <c r="C435" s="19" t="n">
        <v>6</v>
      </c>
      <c r="D435" s="19" t="n">
        <v>2027</v>
      </c>
      <c r="E435" s="57" t="n">
        <v>1</v>
      </c>
      <c r="F435" s="29">
        <f>ROUND(((SUMIFS(Calendar!$F$2:$F$9997,Calendar!$B$2:$B$9997,D435,Calendar!$C$2:$C$9997,C435)*INDEX(ForeCalc!$B$37:$Y$274,MATCH(_xlfn.CONCAT(H435," ",I435),ForeCalc!$A$37:$A$274,0),MATCH(_xlfn.CONCAT(B435," ",E435),ForeCalc!$B$36:$Y$36,0))))*VLOOKUP(A435,Calendar!$A$2:$H$9997,8,FALSE),0)</f>
        <v/>
      </c>
      <c r="G435" s="29">
        <f>VLOOKUP(A435,Calendar!$A$1:$H$9997,6,FALSE)-F435</f>
        <v/>
      </c>
      <c r="H435" s="19" t="n">
        <v>2</v>
      </c>
      <c r="I435" s="57" t="n">
        <v>3</v>
      </c>
    </row>
    <row r="436">
      <c r="A436" s="62" t="n">
        <v>46547</v>
      </c>
      <c r="B436" s="3" t="inlineStr">
        <is>
          <t>Week</t>
        </is>
      </c>
      <c r="C436" s="19" t="n">
        <v>6</v>
      </c>
      <c r="D436" s="19" t="n">
        <v>2027</v>
      </c>
      <c r="E436" s="57" t="n">
        <v>1</v>
      </c>
      <c r="F436" s="29">
        <f>ROUND(((SUMIFS(Calendar!$F$2:$F$9997,Calendar!$B$2:$B$9997,D436,Calendar!$C$2:$C$9997,C436)*INDEX(ForeCalc!$B$37:$Y$274,MATCH(_xlfn.CONCAT(H436," ",I436),ForeCalc!$A$37:$A$274,0),MATCH(_xlfn.CONCAT(B436," ",E436),ForeCalc!$B$36:$Y$36,0))))*VLOOKUP(A436,Calendar!$A$2:$H$9997,8,FALSE),0)</f>
        <v/>
      </c>
      <c r="G436" s="29">
        <f>VLOOKUP(A436,Calendar!$A$1:$H$9997,6,FALSE)-F436</f>
        <v/>
      </c>
      <c r="H436" s="19" t="n">
        <v>2</v>
      </c>
      <c r="I436" s="57" t="n">
        <v>3</v>
      </c>
    </row>
    <row r="437">
      <c r="A437" s="62" t="n">
        <v>46548</v>
      </c>
      <c r="B437" s="3" t="inlineStr">
        <is>
          <t>Week</t>
        </is>
      </c>
      <c r="C437" s="19" t="n">
        <v>6</v>
      </c>
      <c r="D437" s="19" t="n">
        <v>2027</v>
      </c>
      <c r="E437" s="57" t="n">
        <v>1</v>
      </c>
      <c r="F437" s="29">
        <f>ROUND(((SUMIFS(Calendar!$F$2:$F$9997,Calendar!$B$2:$B$9997,D437,Calendar!$C$2:$C$9997,C437)*INDEX(ForeCalc!$B$37:$Y$274,MATCH(_xlfn.CONCAT(H437," ",I437),ForeCalc!$A$37:$A$274,0),MATCH(_xlfn.CONCAT(B437," ",E437),ForeCalc!$B$36:$Y$36,0))))*VLOOKUP(A437,Calendar!$A$2:$H$9997,8,FALSE),0)</f>
        <v/>
      </c>
      <c r="G437" s="29">
        <f>VLOOKUP(A437,Calendar!$A$1:$H$9997,6,FALSE)-F437</f>
        <v/>
      </c>
      <c r="H437" s="19" t="n">
        <v>2</v>
      </c>
      <c r="I437" s="57" t="n">
        <v>3</v>
      </c>
    </row>
    <row r="438">
      <c r="A438" s="62" t="n">
        <v>46549</v>
      </c>
      <c r="B438" s="3" t="inlineStr">
        <is>
          <t>Week</t>
        </is>
      </c>
      <c r="C438" s="19" t="n">
        <v>6</v>
      </c>
      <c r="D438" s="19" t="n">
        <v>2027</v>
      </c>
      <c r="E438" s="57" t="n">
        <v>1</v>
      </c>
      <c r="F438" s="29">
        <f>ROUND(((SUMIFS(Calendar!$F$2:$F$9997,Calendar!$B$2:$B$9997,D438,Calendar!$C$2:$C$9997,C438)*INDEX(ForeCalc!$B$37:$Y$274,MATCH(_xlfn.CONCAT(H438," ",I438),ForeCalc!$A$37:$A$274,0),MATCH(_xlfn.CONCAT(B438," ",E438),ForeCalc!$B$36:$Y$36,0))))*VLOOKUP(A438,Calendar!$A$2:$H$9997,8,FALSE),0)</f>
        <v/>
      </c>
      <c r="G438" s="29">
        <f>VLOOKUP(A438,Calendar!$A$1:$H$9997,6,FALSE)-F438</f>
        <v/>
      </c>
      <c r="H438" s="19" t="n">
        <v>2</v>
      </c>
      <c r="I438" s="57" t="n">
        <v>3</v>
      </c>
    </row>
    <row r="439">
      <c r="A439" s="62" t="n">
        <v>46550</v>
      </c>
      <c r="B439" s="3" t="inlineStr">
        <is>
          <t>Sat</t>
        </is>
      </c>
      <c r="C439" s="19" t="n">
        <v>6</v>
      </c>
      <c r="D439" s="19" t="n">
        <v>2027</v>
      </c>
      <c r="E439" s="57" t="n">
        <v>1</v>
      </c>
      <c r="F439" s="29">
        <f>ROUND(((SUMIFS(Calendar!$F$2:$F$9997,Calendar!$B$2:$B$9997,D439,Calendar!$C$2:$C$9997,C439)*INDEX(ForeCalc!$B$37:$Y$274,MATCH(_xlfn.CONCAT(H439," ",I439),ForeCalc!$A$37:$A$274,0),MATCH(_xlfn.CONCAT(B439," ",E439),ForeCalc!$B$36:$Y$36,0))))*VLOOKUP(A439,Calendar!$A$2:$H$9997,8,FALSE),0)</f>
        <v/>
      </c>
      <c r="G439" s="29">
        <f>VLOOKUP(A439,Calendar!$A$1:$H$9997,6,FALSE)-F439</f>
        <v/>
      </c>
      <c r="H439" s="19" t="n">
        <v>2</v>
      </c>
      <c r="I439" s="57" t="n">
        <v>3</v>
      </c>
    </row>
    <row r="440">
      <c r="A440" s="62" t="n">
        <v>46551</v>
      </c>
      <c r="B440" s="3" t="inlineStr">
        <is>
          <t>Sun</t>
        </is>
      </c>
      <c r="C440" s="19" t="n">
        <v>6</v>
      </c>
      <c r="D440" s="19" t="n">
        <v>2027</v>
      </c>
      <c r="E440" s="57" t="n">
        <v>1</v>
      </c>
      <c r="F440" s="29">
        <f>ROUND(((SUMIFS(Calendar!$F$2:$F$9997,Calendar!$B$2:$B$9997,D440,Calendar!$C$2:$C$9997,C440)*INDEX(ForeCalc!$B$37:$Y$274,MATCH(_xlfn.CONCAT(H440," ",I440),ForeCalc!$A$37:$A$274,0),MATCH(_xlfn.CONCAT(B440," ",E440),ForeCalc!$B$36:$Y$36,0))))*VLOOKUP(A440,Calendar!$A$2:$H$9997,8,FALSE),0)</f>
        <v/>
      </c>
      <c r="G440" s="29">
        <f>VLOOKUP(A440,Calendar!$A$1:$H$9997,6,FALSE)-F440</f>
        <v/>
      </c>
      <c r="H440" s="19" t="n">
        <v>2</v>
      </c>
      <c r="I440" s="57" t="n">
        <v>3</v>
      </c>
    </row>
    <row r="441">
      <c r="A441" s="62" t="n">
        <v>46552</v>
      </c>
      <c r="B441" s="3" t="inlineStr">
        <is>
          <t>Week</t>
        </is>
      </c>
      <c r="C441" s="19" t="n">
        <v>6</v>
      </c>
      <c r="D441" s="19" t="n">
        <v>2027</v>
      </c>
      <c r="E441" s="57" t="n">
        <v>1</v>
      </c>
      <c r="F441" s="29">
        <f>ROUND(((SUMIFS(Calendar!$F$2:$F$9997,Calendar!$B$2:$B$9997,D441,Calendar!$C$2:$C$9997,C441)*INDEX(ForeCalc!$B$37:$Y$274,MATCH(_xlfn.CONCAT(H441," ",I441),ForeCalc!$A$37:$A$274,0),MATCH(_xlfn.CONCAT(B441," ",E441),ForeCalc!$B$36:$Y$36,0))))*VLOOKUP(A441,Calendar!$A$2:$H$9997,8,FALSE),0)</f>
        <v/>
      </c>
      <c r="G441" s="29">
        <f>VLOOKUP(A441,Calendar!$A$1:$H$9997,6,FALSE)-F441</f>
        <v/>
      </c>
      <c r="H441" s="19" t="n">
        <v>2</v>
      </c>
      <c r="I441" s="57" t="n">
        <v>3</v>
      </c>
    </row>
    <row r="442">
      <c r="A442" s="62" t="n">
        <v>46553</v>
      </c>
      <c r="B442" s="3" t="inlineStr">
        <is>
          <t>Week</t>
        </is>
      </c>
      <c r="C442" s="19" t="n">
        <v>6</v>
      </c>
      <c r="D442" s="19" t="n">
        <v>2027</v>
      </c>
      <c r="E442" s="57" t="n">
        <v>1</v>
      </c>
      <c r="F442" s="29">
        <f>ROUND(((SUMIFS(Calendar!$F$2:$F$9997,Calendar!$B$2:$B$9997,D442,Calendar!$C$2:$C$9997,C442)*INDEX(ForeCalc!$B$37:$Y$274,MATCH(_xlfn.CONCAT(H442," ",I442),ForeCalc!$A$37:$A$274,0),MATCH(_xlfn.CONCAT(B442," ",E442),ForeCalc!$B$36:$Y$36,0))))*VLOOKUP(A442,Calendar!$A$2:$H$9997,8,FALSE),0)</f>
        <v/>
      </c>
      <c r="G442" s="29">
        <f>VLOOKUP(A442,Calendar!$A$1:$H$9997,6,FALSE)-F442</f>
        <v/>
      </c>
      <c r="H442" s="19" t="n">
        <v>2</v>
      </c>
      <c r="I442" s="57" t="n">
        <v>3</v>
      </c>
    </row>
    <row r="443">
      <c r="A443" s="62" t="n">
        <v>46554</v>
      </c>
      <c r="B443" s="3" t="inlineStr">
        <is>
          <t>Week</t>
        </is>
      </c>
      <c r="C443" s="19" t="n">
        <v>6</v>
      </c>
      <c r="D443" s="19" t="n">
        <v>2027</v>
      </c>
      <c r="E443" s="57" t="n">
        <v>1</v>
      </c>
      <c r="F443" s="29">
        <f>ROUND(((SUMIFS(Calendar!$F$2:$F$9997,Calendar!$B$2:$B$9997,D443,Calendar!$C$2:$C$9997,C443)*INDEX(ForeCalc!$B$37:$Y$274,MATCH(_xlfn.CONCAT(H443," ",I443),ForeCalc!$A$37:$A$274,0),MATCH(_xlfn.CONCAT(B443," ",E443),ForeCalc!$B$36:$Y$36,0))))*VLOOKUP(A443,Calendar!$A$2:$H$9997,8,FALSE),0)</f>
        <v/>
      </c>
      <c r="G443" s="29">
        <f>VLOOKUP(A443,Calendar!$A$1:$H$9997,6,FALSE)-F443</f>
        <v/>
      </c>
      <c r="H443" s="19" t="n">
        <v>2</v>
      </c>
      <c r="I443" s="57" t="n">
        <v>3</v>
      </c>
    </row>
    <row r="444">
      <c r="A444" s="62" t="n">
        <v>46555</v>
      </c>
      <c r="B444" s="3" t="inlineStr">
        <is>
          <t>Week</t>
        </is>
      </c>
      <c r="C444" s="19" t="n">
        <v>6</v>
      </c>
      <c r="D444" s="19" t="n">
        <v>2027</v>
      </c>
      <c r="E444" s="57" t="n">
        <v>1</v>
      </c>
      <c r="F444" s="29">
        <f>ROUND(((SUMIFS(Calendar!$F$2:$F$9997,Calendar!$B$2:$B$9997,D444,Calendar!$C$2:$C$9997,C444)*INDEX(ForeCalc!$B$37:$Y$274,MATCH(_xlfn.CONCAT(H444," ",I444),ForeCalc!$A$37:$A$274,0),MATCH(_xlfn.CONCAT(B444," ",E444),ForeCalc!$B$36:$Y$36,0))))*VLOOKUP(A444,Calendar!$A$2:$H$9997,8,FALSE),0)</f>
        <v/>
      </c>
      <c r="G444" s="29">
        <f>VLOOKUP(A444,Calendar!$A$1:$H$9997,6,FALSE)-F444</f>
        <v/>
      </c>
      <c r="H444" s="19" t="n">
        <v>2</v>
      </c>
      <c r="I444" s="57" t="n">
        <v>3</v>
      </c>
    </row>
    <row r="445">
      <c r="A445" s="62" t="n">
        <v>46556</v>
      </c>
      <c r="B445" s="3" t="inlineStr">
        <is>
          <t>Week</t>
        </is>
      </c>
      <c r="C445" s="19" t="n">
        <v>6</v>
      </c>
      <c r="D445" s="19" t="n">
        <v>2027</v>
      </c>
      <c r="E445" s="57" t="n">
        <v>1</v>
      </c>
      <c r="F445" s="29">
        <f>ROUND(((SUMIFS(Calendar!$F$2:$F$9997,Calendar!$B$2:$B$9997,D445,Calendar!$C$2:$C$9997,C445)*INDEX(ForeCalc!$B$37:$Y$274,MATCH(_xlfn.CONCAT(H445," ",I445),ForeCalc!$A$37:$A$274,0),MATCH(_xlfn.CONCAT(B445," ",E445),ForeCalc!$B$36:$Y$36,0))))*VLOOKUP(A445,Calendar!$A$2:$H$9997,8,FALSE),0)</f>
        <v/>
      </c>
      <c r="G445" s="29">
        <f>VLOOKUP(A445,Calendar!$A$1:$H$9997,6,FALSE)-F445</f>
        <v/>
      </c>
      <c r="H445" s="19" t="n">
        <v>2</v>
      </c>
      <c r="I445" s="57" t="n">
        <v>3</v>
      </c>
    </row>
    <row r="446">
      <c r="A446" s="62" t="n">
        <v>46557</v>
      </c>
      <c r="B446" s="3" t="inlineStr">
        <is>
          <t>Sat</t>
        </is>
      </c>
      <c r="C446" s="19" t="n">
        <v>6</v>
      </c>
      <c r="D446" s="19" t="n">
        <v>2027</v>
      </c>
      <c r="E446" s="57" t="n">
        <v>1</v>
      </c>
      <c r="F446" s="29">
        <f>ROUND(((SUMIFS(Calendar!$F$2:$F$9997,Calendar!$B$2:$B$9997,D446,Calendar!$C$2:$C$9997,C446)*INDEX(ForeCalc!$B$37:$Y$274,MATCH(_xlfn.CONCAT(H446," ",I446),ForeCalc!$A$37:$A$274,0),MATCH(_xlfn.CONCAT(B446," ",E446),ForeCalc!$B$36:$Y$36,0))))*VLOOKUP(A446,Calendar!$A$2:$H$9997,8,FALSE),0)</f>
        <v/>
      </c>
      <c r="G446" s="29">
        <f>VLOOKUP(A446,Calendar!$A$1:$H$9997,6,FALSE)-F446</f>
        <v/>
      </c>
      <c r="H446" s="19" t="n">
        <v>2</v>
      </c>
      <c r="I446" s="57" t="n">
        <v>3</v>
      </c>
    </row>
    <row r="447">
      <c r="A447" s="62" t="n">
        <v>46558</v>
      </c>
      <c r="B447" s="3" t="inlineStr">
        <is>
          <t>Sun</t>
        </is>
      </c>
      <c r="C447" s="19" t="n">
        <v>6</v>
      </c>
      <c r="D447" s="19" t="n">
        <v>2027</v>
      </c>
      <c r="E447" s="57" t="n">
        <v>1</v>
      </c>
      <c r="F447" s="29">
        <f>ROUND(((SUMIFS(Calendar!$F$2:$F$9997,Calendar!$B$2:$B$9997,D447,Calendar!$C$2:$C$9997,C447)*INDEX(ForeCalc!$B$37:$Y$274,MATCH(_xlfn.CONCAT(H447," ",I447),ForeCalc!$A$37:$A$274,0),MATCH(_xlfn.CONCAT(B447," ",E447),ForeCalc!$B$36:$Y$36,0))))*VLOOKUP(A447,Calendar!$A$2:$H$9997,8,FALSE),0)</f>
        <v/>
      </c>
      <c r="G447" s="29">
        <f>VLOOKUP(A447,Calendar!$A$1:$H$9997,6,FALSE)-F447</f>
        <v/>
      </c>
      <c r="H447" s="19" t="n">
        <v>2</v>
      </c>
      <c r="I447" s="57" t="n">
        <v>3</v>
      </c>
    </row>
    <row r="448">
      <c r="A448" s="62" t="n">
        <v>46559</v>
      </c>
      <c r="B448" s="3" t="inlineStr">
        <is>
          <t>Week</t>
        </is>
      </c>
      <c r="C448" s="19" t="n">
        <v>6</v>
      </c>
      <c r="D448" s="19" t="n">
        <v>2027</v>
      </c>
      <c r="E448" s="57" t="n">
        <v>1</v>
      </c>
      <c r="F448" s="29">
        <f>ROUND(((SUMIFS(Calendar!$F$2:$F$9997,Calendar!$B$2:$B$9997,D448,Calendar!$C$2:$C$9997,C448)*INDEX(ForeCalc!$B$37:$Y$274,MATCH(_xlfn.CONCAT(H448," ",I448),ForeCalc!$A$37:$A$274,0),MATCH(_xlfn.CONCAT(B448," ",E448),ForeCalc!$B$36:$Y$36,0))))*VLOOKUP(A448,Calendar!$A$2:$H$9997,8,FALSE),0)</f>
        <v/>
      </c>
      <c r="G448" s="29">
        <f>VLOOKUP(A448,Calendar!$A$1:$H$9997,6,FALSE)-F448</f>
        <v/>
      </c>
      <c r="H448" s="19" t="n">
        <v>2</v>
      </c>
      <c r="I448" s="57" t="n">
        <v>3</v>
      </c>
    </row>
    <row r="449">
      <c r="A449" s="62" t="n">
        <v>46560</v>
      </c>
      <c r="B449" s="3" t="inlineStr">
        <is>
          <t>Week</t>
        </is>
      </c>
      <c r="C449" s="19" t="n">
        <v>6</v>
      </c>
      <c r="D449" s="19" t="n">
        <v>2027</v>
      </c>
      <c r="E449" s="57" t="n">
        <v>1</v>
      </c>
      <c r="F449" s="29">
        <f>ROUND(((SUMIFS(Calendar!$F$2:$F$9997,Calendar!$B$2:$B$9997,D449,Calendar!$C$2:$C$9997,C449)*INDEX(ForeCalc!$B$37:$Y$274,MATCH(_xlfn.CONCAT(H449," ",I449),ForeCalc!$A$37:$A$274,0),MATCH(_xlfn.CONCAT(B449," ",E449),ForeCalc!$B$36:$Y$36,0))))*VLOOKUP(A449,Calendar!$A$2:$H$9997,8,FALSE),0)</f>
        <v/>
      </c>
      <c r="G449" s="29">
        <f>VLOOKUP(A449,Calendar!$A$1:$H$9997,6,FALSE)-F449</f>
        <v/>
      </c>
      <c r="H449" s="19" t="n">
        <v>2</v>
      </c>
      <c r="I449" s="57" t="n">
        <v>3</v>
      </c>
    </row>
    <row r="450">
      <c r="A450" s="62" t="n">
        <v>46561</v>
      </c>
      <c r="B450" s="3" t="inlineStr">
        <is>
          <t>Week</t>
        </is>
      </c>
      <c r="C450" s="19" t="n">
        <v>6</v>
      </c>
      <c r="D450" s="19" t="n">
        <v>2027</v>
      </c>
      <c r="E450" s="57" t="n">
        <v>1</v>
      </c>
      <c r="F450" s="29">
        <f>ROUND(((SUMIFS(Calendar!$F$2:$F$9997,Calendar!$B$2:$B$9997,D450,Calendar!$C$2:$C$9997,C450)*INDEX(ForeCalc!$B$37:$Y$274,MATCH(_xlfn.CONCAT(H450," ",I450),ForeCalc!$A$37:$A$274,0),MATCH(_xlfn.CONCAT(B450," ",E450),ForeCalc!$B$36:$Y$36,0))))*VLOOKUP(A450,Calendar!$A$2:$H$9997,8,FALSE),0)</f>
        <v/>
      </c>
      <c r="G450" s="29">
        <f>VLOOKUP(A450,Calendar!$A$1:$H$9997,6,FALSE)-F450</f>
        <v/>
      </c>
      <c r="H450" s="19" t="n">
        <v>2</v>
      </c>
      <c r="I450" s="57" t="n">
        <v>3</v>
      </c>
    </row>
    <row r="451">
      <c r="A451" s="62" t="n">
        <v>46562</v>
      </c>
      <c r="B451" s="3" t="inlineStr">
        <is>
          <t>Week</t>
        </is>
      </c>
      <c r="C451" s="19" t="n">
        <v>6</v>
      </c>
      <c r="D451" s="19" t="n">
        <v>2027</v>
      </c>
      <c r="E451" s="57" t="n">
        <v>1</v>
      </c>
      <c r="F451" s="29">
        <f>ROUND(((SUMIFS(Calendar!$F$2:$F$9997,Calendar!$B$2:$B$9997,D451,Calendar!$C$2:$C$9997,C451)*INDEX(ForeCalc!$B$37:$Y$274,MATCH(_xlfn.CONCAT(H451," ",I451),ForeCalc!$A$37:$A$274,0),MATCH(_xlfn.CONCAT(B451," ",E451),ForeCalc!$B$36:$Y$36,0))))*VLOOKUP(A451,Calendar!$A$2:$H$9997,8,FALSE),0)</f>
        <v/>
      </c>
      <c r="G451" s="29">
        <f>VLOOKUP(A451,Calendar!$A$1:$H$9997,6,FALSE)-F451</f>
        <v/>
      </c>
      <c r="H451" s="19" t="n">
        <v>2</v>
      </c>
      <c r="I451" s="57" t="n">
        <v>3</v>
      </c>
    </row>
    <row r="452">
      <c r="A452" s="62" t="n">
        <v>46563</v>
      </c>
      <c r="B452" s="3" t="inlineStr">
        <is>
          <t>Week</t>
        </is>
      </c>
      <c r="C452" s="19" t="n">
        <v>6</v>
      </c>
      <c r="D452" s="19" t="n">
        <v>2027</v>
      </c>
      <c r="E452" s="57" t="n">
        <v>1</v>
      </c>
      <c r="F452" s="29">
        <f>ROUND(((SUMIFS(Calendar!$F$2:$F$9997,Calendar!$B$2:$B$9997,D452,Calendar!$C$2:$C$9997,C452)*INDEX(ForeCalc!$B$37:$Y$274,MATCH(_xlfn.CONCAT(H452," ",I452),ForeCalc!$A$37:$A$274,0),MATCH(_xlfn.CONCAT(B452," ",E452),ForeCalc!$B$36:$Y$36,0))))*VLOOKUP(A452,Calendar!$A$2:$H$9997,8,FALSE),0)</f>
        <v/>
      </c>
      <c r="G452" s="29">
        <f>VLOOKUP(A452,Calendar!$A$1:$H$9997,6,FALSE)-F452</f>
        <v/>
      </c>
      <c r="H452" s="19" t="n">
        <v>2</v>
      </c>
      <c r="I452" s="57" t="n">
        <v>3</v>
      </c>
    </row>
    <row r="453">
      <c r="A453" s="62" t="n">
        <v>46564</v>
      </c>
      <c r="B453" s="3" t="inlineStr">
        <is>
          <t>Sat</t>
        </is>
      </c>
      <c r="C453" s="19" t="n">
        <v>6</v>
      </c>
      <c r="D453" s="19" t="n">
        <v>2027</v>
      </c>
      <c r="E453" s="57" t="n">
        <v>1</v>
      </c>
      <c r="F453" s="29">
        <f>ROUND(((SUMIFS(Calendar!$F$2:$F$9997,Calendar!$B$2:$B$9997,D453,Calendar!$C$2:$C$9997,C453)*INDEX(ForeCalc!$B$37:$Y$274,MATCH(_xlfn.CONCAT(H453," ",I453),ForeCalc!$A$37:$A$274,0),MATCH(_xlfn.CONCAT(B453," ",E453),ForeCalc!$B$36:$Y$36,0))))*VLOOKUP(A453,Calendar!$A$2:$H$9997,8,FALSE),0)</f>
        <v/>
      </c>
      <c r="G453" s="29">
        <f>VLOOKUP(A453,Calendar!$A$1:$H$9997,6,FALSE)-F453</f>
        <v/>
      </c>
      <c r="H453" s="19" t="n">
        <v>2</v>
      </c>
      <c r="I453" s="57" t="n">
        <v>3</v>
      </c>
    </row>
    <row r="454">
      <c r="A454" s="62" t="n">
        <v>46565</v>
      </c>
      <c r="B454" s="3" t="inlineStr">
        <is>
          <t>Sun</t>
        </is>
      </c>
      <c r="C454" s="19" t="n">
        <v>6</v>
      </c>
      <c r="D454" s="19" t="n">
        <v>2027</v>
      </c>
      <c r="E454" s="57" t="n">
        <v>1</v>
      </c>
      <c r="F454" s="29">
        <f>ROUND(((SUMIFS(Calendar!$F$2:$F$9997,Calendar!$B$2:$B$9997,D454,Calendar!$C$2:$C$9997,C454)*INDEX(ForeCalc!$B$37:$Y$274,MATCH(_xlfn.CONCAT(H454," ",I454),ForeCalc!$A$37:$A$274,0),MATCH(_xlfn.CONCAT(B454," ",E454),ForeCalc!$B$36:$Y$36,0))))*VLOOKUP(A454,Calendar!$A$2:$H$9997,8,FALSE),0)</f>
        <v/>
      </c>
      <c r="G454" s="29">
        <f>VLOOKUP(A454,Calendar!$A$1:$H$9997,6,FALSE)-F454</f>
        <v/>
      </c>
      <c r="H454" s="19" t="n">
        <v>2</v>
      </c>
      <c r="I454" s="57" t="n">
        <v>3</v>
      </c>
    </row>
    <row r="455">
      <c r="A455" s="62" t="n">
        <v>46566</v>
      </c>
      <c r="B455" s="3" t="inlineStr">
        <is>
          <t>Week</t>
        </is>
      </c>
      <c r="C455" s="19" t="n">
        <v>6</v>
      </c>
      <c r="D455" s="19" t="n">
        <v>2027</v>
      </c>
      <c r="E455" s="57" t="n">
        <v>1</v>
      </c>
      <c r="F455" s="29">
        <f>ROUND(((SUMIFS(Calendar!$F$2:$F$9997,Calendar!$B$2:$B$9997,D455,Calendar!$C$2:$C$9997,C455)*INDEX(ForeCalc!$B$37:$Y$274,MATCH(_xlfn.CONCAT(H455," ",I455),ForeCalc!$A$37:$A$274,0),MATCH(_xlfn.CONCAT(B455," ",E455),ForeCalc!$B$36:$Y$36,0))))*VLOOKUP(A455,Calendar!$A$2:$H$9997,8,FALSE),0)</f>
        <v/>
      </c>
      <c r="G455" s="29">
        <f>VLOOKUP(A455,Calendar!$A$1:$H$9997,6,FALSE)-F455</f>
        <v/>
      </c>
      <c r="H455" s="19" t="n">
        <v>2</v>
      </c>
      <c r="I455" s="57" t="n">
        <v>3</v>
      </c>
    </row>
    <row r="456">
      <c r="A456" s="62" t="n">
        <v>46567</v>
      </c>
      <c r="B456" s="3" t="inlineStr">
        <is>
          <t>Week</t>
        </is>
      </c>
      <c r="C456" s="19" t="n">
        <v>6</v>
      </c>
      <c r="D456" s="19" t="n">
        <v>2027</v>
      </c>
      <c r="E456" s="57" t="n">
        <v>1</v>
      </c>
      <c r="F456" s="29">
        <f>ROUND(((SUMIFS(Calendar!$F$2:$F$9997,Calendar!$B$2:$B$9997,D456,Calendar!$C$2:$C$9997,C456)*INDEX(ForeCalc!$B$37:$Y$274,MATCH(_xlfn.CONCAT(H456," ",I456),ForeCalc!$A$37:$A$274,0),MATCH(_xlfn.CONCAT(B456," ",E456),ForeCalc!$B$36:$Y$36,0))))*VLOOKUP(A456,Calendar!$A$2:$H$9997,8,FALSE),0)</f>
        <v/>
      </c>
      <c r="G456" s="29">
        <f>VLOOKUP(A456,Calendar!$A$1:$H$9997,6,FALSE)-F456</f>
        <v/>
      </c>
      <c r="H456" s="19" t="n">
        <v>2</v>
      </c>
      <c r="I456" s="57" t="n">
        <v>3</v>
      </c>
    </row>
    <row r="457">
      <c r="A457" s="62" t="n">
        <v>46568</v>
      </c>
      <c r="B457" s="3" t="inlineStr">
        <is>
          <t>Week</t>
        </is>
      </c>
      <c r="C457" s="19" t="n">
        <v>6</v>
      </c>
      <c r="D457" s="19" t="n">
        <v>2027</v>
      </c>
      <c r="E457" s="57" t="n">
        <v>1</v>
      </c>
      <c r="F457" s="29">
        <f>ROUND(((SUMIFS(Calendar!$F$2:$F$9997,Calendar!$B$2:$B$9997,D457,Calendar!$C$2:$C$9997,C457)*INDEX(ForeCalc!$B$37:$Y$274,MATCH(_xlfn.CONCAT(H457," ",I457),ForeCalc!$A$37:$A$274,0),MATCH(_xlfn.CONCAT(B457," ",E457),ForeCalc!$B$36:$Y$36,0))))*VLOOKUP(A457,Calendar!$A$2:$H$9997,8,FALSE),0)</f>
        <v/>
      </c>
      <c r="G457" s="29">
        <f>VLOOKUP(A457,Calendar!$A$1:$H$9997,6,FALSE)-F457</f>
        <v/>
      </c>
      <c r="H457" s="19" t="n">
        <v>2</v>
      </c>
      <c r="I457" s="57" t="n">
        <v>3</v>
      </c>
    </row>
    <row r="458">
      <c r="A458" s="62" t="n">
        <v>46569</v>
      </c>
      <c r="B458" s="3" t="inlineStr">
        <is>
          <t>Week</t>
        </is>
      </c>
      <c r="C458" s="19" t="n">
        <v>7</v>
      </c>
      <c r="D458" s="19" t="n">
        <v>2027</v>
      </c>
      <c r="E458" s="57" t="n">
        <v>1</v>
      </c>
      <c r="F458" s="29">
        <f>ROUND(((SUMIFS(Calendar!$F$2:$F$9997,Calendar!$B$2:$B$9997,D458,Calendar!$C$2:$C$9997,C458)*INDEX(ForeCalc!$B$37:$Y$274,MATCH(_xlfn.CONCAT(H458," ",I458),ForeCalc!$A$37:$A$274,0),MATCH(_xlfn.CONCAT(B458," ",E458),ForeCalc!$B$36:$Y$36,0))))*VLOOKUP(A458,Calendar!$A$2:$H$9997,8,FALSE),0)</f>
        <v/>
      </c>
      <c r="G458" s="29">
        <f>VLOOKUP(A458,Calendar!$A$1:$H$9997,6,FALSE)-F458</f>
        <v/>
      </c>
      <c r="H458" s="19" t="n">
        <v>2</v>
      </c>
      <c r="I458" s="57" t="n">
        <v>4</v>
      </c>
    </row>
    <row r="459">
      <c r="A459" s="62" t="n">
        <v>46570</v>
      </c>
      <c r="B459" s="3" t="inlineStr">
        <is>
          <t>Week</t>
        </is>
      </c>
      <c r="C459" s="19" t="n">
        <v>7</v>
      </c>
      <c r="D459" s="19" t="n">
        <v>2027</v>
      </c>
      <c r="E459" s="57" t="n">
        <v>1</v>
      </c>
      <c r="F459" s="29">
        <f>ROUND(((SUMIFS(Calendar!$F$2:$F$9997,Calendar!$B$2:$B$9997,D459,Calendar!$C$2:$C$9997,C459)*INDEX(ForeCalc!$B$37:$Y$274,MATCH(_xlfn.CONCAT(H459," ",I459),ForeCalc!$A$37:$A$274,0),MATCH(_xlfn.CONCAT(B459," ",E459),ForeCalc!$B$36:$Y$36,0))))*VLOOKUP(A459,Calendar!$A$2:$H$9997,8,FALSE),0)</f>
        <v/>
      </c>
      <c r="G459" s="29">
        <f>VLOOKUP(A459,Calendar!$A$1:$H$9997,6,FALSE)-F459</f>
        <v/>
      </c>
      <c r="H459" s="19" t="n">
        <v>2</v>
      </c>
      <c r="I459" s="57" t="n">
        <v>4</v>
      </c>
    </row>
    <row r="460">
      <c r="A460" s="62" t="n">
        <v>46571</v>
      </c>
      <c r="B460" s="3" t="inlineStr">
        <is>
          <t>Sat</t>
        </is>
      </c>
      <c r="C460" s="19" t="n">
        <v>7</v>
      </c>
      <c r="D460" s="19" t="n">
        <v>2027</v>
      </c>
      <c r="E460" s="57" t="n">
        <v>1</v>
      </c>
      <c r="F460" s="29">
        <f>ROUND(((SUMIFS(Calendar!$F$2:$F$9997,Calendar!$B$2:$B$9997,D460,Calendar!$C$2:$C$9997,C460)*INDEX(ForeCalc!$B$37:$Y$274,MATCH(_xlfn.CONCAT(H460," ",I460),ForeCalc!$A$37:$A$274,0),MATCH(_xlfn.CONCAT(B460," ",E460),ForeCalc!$B$36:$Y$36,0))))*VLOOKUP(A460,Calendar!$A$2:$H$9997,8,FALSE),0)</f>
        <v/>
      </c>
      <c r="G460" s="29">
        <f>VLOOKUP(A460,Calendar!$A$1:$H$9997,6,FALSE)-F460</f>
        <v/>
      </c>
      <c r="H460" s="19" t="n">
        <v>2</v>
      </c>
      <c r="I460" s="57" t="n">
        <v>4</v>
      </c>
    </row>
    <row r="461">
      <c r="A461" s="62" t="n">
        <v>46572</v>
      </c>
      <c r="B461" s="3" t="inlineStr">
        <is>
          <t>Sun</t>
        </is>
      </c>
      <c r="C461" s="19" t="n">
        <v>7</v>
      </c>
      <c r="D461" s="19" t="n">
        <v>2027</v>
      </c>
      <c r="E461" s="57" t="n">
        <v>1</v>
      </c>
      <c r="F461" s="29">
        <f>ROUND(((SUMIFS(Calendar!$F$2:$F$9997,Calendar!$B$2:$B$9997,D461,Calendar!$C$2:$C$9997,C461)*INDEX(ForeCalc!$B$37:$Y$274,MATCH(_xlfn.CONCAT(H461," ",I461),ForeCalc!$A$37:$A$274,0),MATCH(_xlfn.CONCAT(B461," ",E461),ForeCalc!$B$36:$Y$36,0))))*VLOOKUP(A461,Calendar!$A$2:$H$9997,8,FALSE),0)</f>
        <v/>
      </c>
      <c r="G461" s="29">
        <f>VLOOKUP(A461,Calendar!$A$1:$H$9997,6,FALSE)-F461</f>
        <v/>
      </c>
      <c r="H461" s="19" t="n">
        <v>2</v>
      </c>
      <c r="I461" s="57" t="n">
        <v>4</v>
      </c>
    </row>
    <row r="462">
      <c r="A462" s="62" t="n">
        <v>46573</v>
      </c>
      <c r="B462" s="3" t="inlineStr">
        <is>
          <t>Week</t>
        </is>
      </c>
      <c r="C462" s="19" t="n">
        <v>7</v>
      </c>
      <c r="D462" s="19" t="n">
        <v>2027</v>
      </c>
      <c r="E462" s="57" t="n">
        <v>1</v>
      </c>
      <c r="F462" s="29">
        <f>ROUND(((SUMIFS(Calendar!$F$2:$F$9997,Calendar!$B$2:$B$9997,D462,Calendar!$C$2:$C$9997,C462)*INDEX(ForeCalc!$B$37:$Y$274,MATCH(_xlfn.CONCAT(H462," ",I462),ForeCalc!$A$37:$A$274,0),MATCH(_xlfn.CONCAT(B462," ",E462),ForeCalc!$B$36:$Y$36,0))))*VLOOKUP(A462,Calendar!$A$2:$H$9997,8,FALSE),0)</f>
        <v/>
      </c>
      <c r="G462" s="29">
        <f>VLOOKUP(A462,Calendar!$A$1:$H$9997,6,FALSE)-F462</f>
        <v/>
      </c>
      <c r="H462" s="19" t="n">
        <v>2</v>
      </c>
      <c r="I462" s="57" t="n">
        <v>4</v>
      </c>
    </row>
    <row r="463">
      <c r="A463" s="62" t="n">
        <v>46574</v>
      </c>
      <c r="B463" s="3" t="inlineStr">
        <is>
          <t>Week</t>
        </is>
      </c>
      <c r="C463" s="19" t="n">
        <v>7</v>
      </c>
      <c r="D463" s="19" t="n">
        <v>2027</v>
      </c>
      <c r="E463" s="57" t="n">
        <v>1</v>
      </c>
      <c r="F463" s="29">
        <f>ROUND(((SUMIFS(Calendar!$F$2:$F$9997,Calendar!$B$2:$B$9997,D463,Calendar!$C$2:$C$9997,C463)*INDEX(ForeCalc!$B$37:$Y$274,MATCH(_xlfn.CONCAT(H463," ",I463),ForeCalc!$A$37:$A$274,0),MATCH(_xlfn.CONCAT(B463," ",E463),ForeCalc!$B$36:$Y$36,0))))*VLOOKUP(A463,Calendar!$A$2:$H$9997,8,FALSE),0)</f>
        <v/>
      </c>
      <c r="G463" s="29">
        <f>VLOOKUP(A463,Calendar!$A$1:$H$9997,6,FALSE)-F463</f>
        <v/>
      </c>
      <c r="H463" s="19" t="n">
        <v>2</v>
      </c>
      <c r="I463" s="57" t="n">
        <v>4</v>
      </c>
    </row>
    <row r="464">
      <c r="A464" s="62" t="n">
        <v>46575</v>
      </c>
      <c r="B464" s="3" t="inlineStr">
        <is>
          <t>Week</t>
        </is>
      </c>
      <c r="C464" s="19" t="n">
        <v>7</v>
      </c>
      <c r="D464" s="19" t="n">
        <v>2027</v>
      </c>
      <c r="E464" s="57" t="n">
        <v>1</v>
      </c>
      <c r="F464" s="29">
        <f>ROUND(((SUMIFS(Calendar!$F$2:$F$9997,Calendar!$B$2:$B$9997,D464,Calendar!$C$2:$C$9997,C464)*INDEX(ForeCalc!$B$37:$Y$274,MATCH(_xlfn.CONCAT(H464," ",I464),ForeCalc!$A$37:$A$274,0),MATCH(_xlfn.CONCAT(B464," ",E464),ForeCalc!$B$36:$Y$36,0))))*VLOOKUP(A464,Calendar!$A$2:$H$9997,8,FALSE),0)</f>
        <v/>
      </c>
      <c r="G464" s="29">
        <f>VLOOKUP(A464,Calendar!$A$1:$H$9997,6,FALSE)-F464</f>
        <v/>
      </c>
      <c r="H464" s="19" t="n">
        <v>2</v>
      </c>
      <c r="I464" s="57" t="n">
        <v>4</v>
      </c>
    </row>
    <row r="465">
      <c r="A465" s="62" t="n">
        <v>46576</v>
      </c>
      <c r="B465" s="3" t="inlineStr">
        <is>
          <t>Week</t>
        </is>
      </c>
      <c r="C465" s="19" t="n">
        <v>7</v>
      </c>
      <c r="D465" s="19" t="n">
        <v>2027</v>
      </c>
      <c r="E465" s="57" t="n">
        <v>1</v>
      </c>
      <c r="F465" s="29">
        <f>ROUND(((SUMIFS(Calendar!$F$2:$F$9997,Calendar!$B$2:$B$9997,D465,Calendar!$C$2:$C$9997,C465)*INDEX(ForeCalc!$B$37:$Y$274,MATCH(_xlfn.CONCAT(H465," ",I465),ForeCalc!$A$37:$A$274,0),MATCH(_xlfn.CONCAT(B465," ",E465),ForeCalc!$B$36:$Y$36,0))))*VLOOKUP(A465,Calendar!$A$2:$H$9997,8,FALSE),0)</f>
        <v/>
      </c>
      <c r="G465" s="29">
        <f>VLOOKUP(A465,Calendar!$A$1:$H$9997,6,FALSE)-F465</f>
        <v/>
      </c>
      <c r="H465" s="19" t="n">
        <v>2</v>
      </c>
      <c r="I465" s="57" t="n">
        <v>4</v>
      </c>
    </row>
    <row r="466">
      <c r="A466" s="62" t="n">
        <v>46577</v>
      </c>
      <c r="B466" s="3" t="inlineStr">
        <is>
          <t>Week</t>
        </is>
      </c>
      <c r="C466" s="19" t="n">
        <v>7</v>
      </c>
      <c r="D466" s="19" t="n">
        <v>2027</v>
      </c>
      <c r="E466" s="57" t="n">
        <v>1</v>
      </c>
      <c r="F466" s="29">
        <f>ROUND(((SUMIFS(Calendar!$F$2:$F$9997,Calendar!$B$2:$B$9997,D466,Calendar!$C$2:$C$9997,C466)*INDEX(ForeCalc!$B$37:$Y$274,MATCH(_xlfn.CONCAT(H466," ",I466),ForeCalc!$A$37:$A$274,0),MATCH(_xlfn.CONCAT(B466," ",E466),ForeCalc!$B$36:$Y$36,0))))*VLOOKUP(A466,Calendar!$A$2:$H$9997,8,FALSE),0)</f>
        <v/>
      </c>
      <c r="G466" s="29">
        <f>VLOOKUP(A466,Calendar!$A$1:$H$9997,6,FALSE)-F466</f>
        <v/>
      </c>
      <c r="H466" s="19" t="n">
        <v>2</v>
      </c>
      <c r="I466" s="57" t="n">
        <v>4</v>
      </c>
    </row>
    <row r="467">
      <c r="A467" s="62" t="n">
        <v>46578</v>
      </c>
      <c r="B467" s="3" t="inlineStr">
        <is>
          <t>Sat</t>
        </is>
      </c>
      <c r="C467" s="19" t="n">
        <v>7</v>
      </c>
      <c r="D467" s="19" t="n">
        <v>2027</v>
      </c>
      <c r="E467" s="57" t="n">
        <v>1</v>
      </c>
      <c r="F467" s="29">
        <f>ROUND(((SUMIFS(Calendar!$F$2:$F$9997,Calendar!$B$2:$B$9997,D467,Calendar!$C$2:$C$9997,C467)*INDEX(ForeCalc!$B$37:$Y$274,MATCH(_xlfn.CONCAT(H467," ",I467),ForeCalc!$A$37:$A$274,0),MATCH(_xlfn.CONCAT(B467," ",E467),ForeCalc!$B$36:$Y$36,0))))*VLOOKUP(A467,Calendar!$A$2:$H$9997,8,FALSE),0)</f>
        <v/>
      </c>
      <c r="G467" s="29">
        <f>VLOOKUP(A467,Calendar!$A$1:$H$9997,6,FALSE)-F467</f>
        <v/>
      </c>
      <c r="H467" s="19" t="n">
        <v>2</v>
      </c>
      <c r="I467" s="57" t="n">
        <v>4</v>
      </c>
    </row>
    <row r="468">
      <c r="A468" s="62" t="n">
        <v>46579</v>
      </c>
      <c r="B468" s="3" t="inlineStr">
        <is>
          <t>Sun</t>
        </is>
      </c>
      <c r="C468" s="19" t="n">
        <v>7</v>
      </c>
      <c r="D468" s="19" t="n">
        <v>2027</v>
      </c>
      <c r="E468" s="57" t="n">
        <v>1</v>
      </c>
      <c r="F468" s="29">
        <f>ROUND(((SUMIFS(Calendar!$F$2:$F$9997,Calendar!$B$2:$B$9997,D468,Calendar!$C$2:$C$9997,C468)*INDEX(ForeCalc!$B$37:$Y$274,MATCH(_xlfn.CONCAT(H468," ",I468),ForeCalc!$A$37:$A$274,0),MATCH(_xlfn.CONCAT(B468," ",E468),ForeCalc!$B$36:$Y$36,0))))*VLOOKUP(A468,Calendar!$A$2:$H$9997,8,FALSE),0)</f>
        <v/>
      </c>
      <c r="G468" s="29">
        <f>VLOOKUP(A468,Calendar!$A$1:$H$9997,6,FALSE)-F468</f>
        <v/>
      </c>
      <c r="H468" s="19" t="n">
        <v>2</v>
      </c>
      <c r="I468" s="57" t="n">
        <v>4</v>
      </c>
    </row>
    <row r="469">
      <c r="A469" s="62" t="n">
        <v>46580</v>
      </c>
      <c r="B469" s="3" t="inlineStr">
        <is>
          <t>Week</t>
        </is>
      </c>
      <c r="C469" s="19" t="n">
        <v>7</v>
      </c>
      <c r="D469" s="19" t="n">
        <v>2027</v>
      </c>
      <c r="E469" s="57" t="n">
        <v>1</v>
      </c>
      <c r="F469" s="29">
        <f>ROUND(((SUMIFS(Calendar!$F$2:$F$9997,Calendar!$B$2:$B$9997,D469,Calendar!$C$2:$C$9997,C469)*INDEX(ForeCalc!$B$37:$Y$274,MATCH(_xlfn.CONCAT(H469," ",I469),ForeCalc!$A$37:$A$274,0),MATCH(_xlfn.CONCAT(B469," ",E469),ForeCalc!$B$36:$Y$36,0))))*VLOOKUP(A469,Calendar!$A$2:$H$9997,8,FALSE),0)</f>
        <v/>
      </c>
      <c r="G469" s="29">
        <f>VLOOKUP(A469,Calendar!$A$1:$H$9997,6,FALSE)-F469</f>
        <v/>
      </c>
      <c r="H469" s="19" t="n">
        <v>2</v>
      </c>
      <c r="I469" s="57" t="n">
        <v>4</v>
      </c>
    </row>
    <row r="470">
      <c r="A470" s="62" t="n">
        <v>46581</v>
      </c>
      <c r="B470" s="3" t="inlineStr">
        <is>
          <t>Week</t>
        </is>
      </c>
      <c r="C470" s="19" t="n">
        <v>7</v>
      </c>
      <c r="D470" s="19" t="n">
        <v>2027</v>
      </c>
      <c r="E470" s="57" t="n">
        <v>1</v>
      </c>
      <c r="F470" s="29">
        <f>ROUND(((SUMIFS(Calendar!$F$2:$F$9997,Calendar!$B$2:$B$9997,D470,Calendar!$C$2:$C$9997,C470)*INDEX(ForeCalc!$B$37:$Y$274,MATCH(_xlfn.CONCAT(H470," ",I470),ForeCalc!$A$37:$A$274,0),MATCH(_xlfn.CONCAT(B470," ",E470),ForeCalc!$B$36:$Y$36,0))))*VLOOKUP(A470,Calendar!$A$2:$H$9997,8,FALSE),0)</f>
        <v/>
      </c>
      <c r="G470" s="29">
        <f>VLOOKUP(A470,Calendar!$A$1:$H$9997,6,FALSE)-F470</f>
        <v/>
      </c>
      <c r="H470" s="19" t="n">
        <v>2</v>
      </c>
      <c r="I470" s="57" t="n">
        <v>4</v>
      </c>
    </row>
    <row r="471">
      <c r="A471" s="62" t="n">
        <v>46582</v>
      </c>
      <c r="B471" s="3" t="inlineStr">
        <is>
          <t>Week</t>
        </is>
      </c>
      <c r="C471" s="19" t="n">
        <v>7</v>
      </c>
      <c r="D471" s="19" t="n">
        <v>2027</v>
      </c>
      <c r="E471" s="57" t="n">
        <v>1</v>
      </c>
      <c r="F471" s="29">
        <f>ROUND(((SUMIFS(Calendar!$F$2:$F$9997,Calendar!$B$2:$B$9997,D471,Calendar!$C$2:$C$9997,C471)*INDEX(ForeCalc!$B$37:$Y$274,MATCH(_xlfn.CONCAT(H471," ",I471),ForeCalc!$A$37:$A$274,0),MATCH(_xlfn.CONCAT(B471," ",E471),ForeCalc!$B$36:$Y$36,0))))*VLOOKUP(A471,Calendar!$A$2:$H$9997,8,FALSE),0)</f>
        <v/>
      </c>
      <c r="G471" s="29">
        <f>VLOOKUP(A471,Calendar!$A$1:$H$9997,6,FALSE)-F471</f>
        <v/>
      </c>
      <c r="H471" s="19" t="n">
        <v>2</v>
      </c>
      <c r="I471" s="57" t="n">
        <v>4</v>
      </c>
    </row>
    <row r="472">
      <c r="A472" s="62" t="n">
        <v>46583</v>
      </c>
      <c r="B472" s="3" t="inlineStr">
        <is>
          <t>Week</t>
        </is>
      </c>
      <c r="C472" s="19" t="n">
        <v>7</v>
      </c>
      <c r="D472" s="19" t="n">
        <v>2027</v>
      </c>
      <c r="E472" s="57" t="n">
        <v>1</v>
      </c>
      <c r="F472" s="29">
        <f>ROUND(((SUMIFS(Calendar!$F$2:$F$9997,Calendar!$B$2:$B$9997,D472,Calendar!$C$2:$C$9997,C472)*INDEX(ForeCalc!$B$37:$Y$274,MATCH(_xlfn.CONCAT(H472," ",I472),ForeCalc!$A$37:$A$274,0),MATCH(_xlfn.CONCAT(B472," ",E472),ForeCalc!$B$36:$Y$36,0))))*VLOOKUP(A472,Calendar!$A$2:$H$9997,8,FALSE),0)</f>
        <v/>
      </c>
      <c r="G472" s="29">
        <f>VLOOKUP(A472,Calendar!$A$1:$H$9997,6,FALSE)-F472</f>
        <v/>
      </c>
      <c r="H472" s="19" t="n">
        <v>2</v>
      </c>
      <c r="I472" s="57" t="n">
        <v>4</v>
      </c>
    </row>
    <row r="473">
      <c r="A473" s="62" t="n">
        <v>46584</v>
      </c>
      <c r="B473" s="3" t="inlineStr">
        <is>
          <t>Week</t>
        </is>
      </c>
      <c r="C473" s="19" t="n">
        <v>7</v>
      </c>
      <c r="D473" s="19" t="n">
        <v>2027</v>
      </c>
      <c r="E473" s="57" t="n">
        <v>1</v>
      </c>
      <c r="F473" s="29">
        <f>ROUND(((SUMIFS(Calendar!$F$2:$F$9997,Calendar!$B$2:$B$9997,D473,Calendar!$C$2:$C$9997,C473)*INDEX(ForeCalc!$B$37:$Y$274,MATCH(_xlfn.CONCAT(H473," ",I473),ForeCalc!$A$37:$A$274,0),MATCH(_xlfn.CONCAT(B473," ",E473),ForeCalc!$B$36:$Y$36,0))))*VLOOKUP(A473,Calendar!$A$2:$H$9997,8,FALSE),0)</f>
        <v/>
      </c>
      <c r="G473" s="29">
        <f>VLOOKUP(A473,Calendar!$A$1:$H$9997,6,FALSE)-F473</f>
        <v/>
      </c>
      <c r="H473" s="19" t="n">
        <v>2</v>
      </c>
      <c r="I473" s="57" t="n">
        <v>4</v>
      </c>
    </row>
    <row r="474">
      <c r="A474" s="62" t="n">
        <v>46585</v>
      </c>
      <c r="B474" s="3" t="inlineStr">
        <is>
          <t>Sat</t>
        </is>
      </c>
      <c r="C474" s="19" t="n">
        <v>7</v>
      </c>
      <c r="D474" s="19" t="n">
        <v>2027</v>
      </c>
      <c r="E474" s="57" t="n">
        <v>1</v>
      </c>
      <c r="F474" s="29">
        <f>ROUND(((SUMIFS(Calendar!$F$2:$F$9997,Calendar!$B$2:$B$9997,D474,Calendar!$C$2:$C$9997,C474)*INDEX(ForeCalc!$B$37:$Y$274,MATCH(_xlfn.CONCAT(H474," ",I474),ForeCalc!$A$37:$A$274,0),MATCH(_xlfn.CONCAT(B474," ",E474),ForeCalc!$B$36:$Y$36,0))))*VLOOKUP(A474,Calendar!$A$2:$H$9997,8,FALSE),0)</f>
        <v/>
      </c>
      <c r="G474" s="29">
        <f>VLOOKUP(A474,Calendar!$A$1:$H$9997,6,FALSE)-F474</f>
        <v/>
      </c>
      <c r="H474" s="19" t="n">
        <v>2</v>
      </c>
      <c r="I474" s="57" t="n">
        <v>4</v>
      </c>
    </row>
    <row r="475">
      <c r="A475" s="62" t="n">
        <v>46586</v>
      </c>
      <c r="B475" s="3" t="inlineStr">
        <is>
          <t>Sun</t>
        </is>
      </c>
      <c r="C475" s="19" t="n">
        <v>7</v>
      </c>
      <c r="D475" s="19" t="n">
        <v>2027</v>
      </c>
      <c r="E475" s="57" t="n">
        <v>1</v>
      </c>
      <c r="F475" s="29">
        <f>ROUND(((SUMIFS(Calendar!$F$2:$F$9997,Calendar!$B$2:$B$9997,D475,Calendar!$C$2:$C$9997,C475)*INDEX(ForeCalc!$B$37:$Y$274,MATCH(_xlfn.CONCAT(H475," ",I475),ForeCalc!$A$37:$A$274,0),MATCH(_xlfn.CONCAT(B475," ",E475),ForeCalc!$B$36:$Y$36,0))))*VLOOKUP(A475,Calendar!$A$2:$H$9997,8,FALSE),0)</f>
        <v/>
      </c>
      <c r="G475" s="29">
        <f>VLOOKUP(A475,Calendar!$A$1:$H$9997,6,FALSE)-F475</f>
        <v/>
      </c>
      <c r="H475" s="19" t="n">
        <v>2</v>
      </c>
      <c r="I475" s="57" t="n">
        <v>4</v>
      </c>
    </row>
    <row r="476">
      <c r="A476" s="62" t="n">
        <v>46587</v>
      </c>
      <c r="B476" s="3" t="inlineStr">
        <is>
          <t>Week</t>
        </is>
      </c>
      <c r="C476" s="19" t="n">
        <v>7</v>
      </c>
      <c r="D476" s="19" t="n">
        <v>2027</v>
      </c>
      <c r="E476" s="57" t="n">
        <v>1</v>
      </c>
      <c r="F476" s="29">
        <f>ROUND(((SUMIFS(Calendar!$F$2:$F$9997,Calendar!$B$2:$B$9997,D476,Calendar!$C$2:$C$9997,C476)*INDEX(ForeCalc!$B$37:$Y$274,MATCH(_xlfn.CONCAT(H476," ",I476),ForeCalc!$A$37:$A$274,0),MATCH(_xlfn.CONCAT(B476," ",E476),ForeCalc!$B$36:$Y$36,0))))*VLOOKUP(A476,Calendar!$A$2:$H$9997,8,FALSE),0)</f>
        <v/>
      </c>
      <c r="G476" s="29">
        <f>VLOOKUP(A476,Calendar!$A$1:$H$9997,6,FALSE)-F476</f>
        <v/>
      </c>
      <c r="H476" s="19" t="n">
        <v>2</v>
      </c>
      <c r="I476" s="57" t="n">
        <v>4</v>
      </c>
    </row>
    <row r="477">
      <c r="A477" s="62" t="n">
        <v>46588</v>
      </c>
      <c r="B477" s="3" t="inlineStr">
        <is>
          <t>Week</t>
        </is>
      </c>
      <c r="C477" s="19" t="n">
        <v>7</v>
      </c>
      <c r="D477" s="19" t="n">
        <v>2027</v>
      </c>
      <c r="E477" s="57" t="n">
        <v>1</v>
      </c>
      <c r="F477" s="29">
        <f>ROUND(((SUMIFS(Calendar!$F$2:$F$9997,Calendar!$B$2:$B$9997,D477,Calendar!$C$2:$C$9997,C477)*INDEX(ForeCalc!$B$37:$Y$274,MATCH(_xlfn.CONCAT(H477," ",I477),ForeCalc!$A$37:$A$274,0),MATCH(_xlfn.CONCAT(B477," ",E477),ForeCalc!$B$36:$Y$36,0))))*VLOOKUP(A477,Calendar!$A$2:$H$9997,8,FALSE),0)</f>
        <v/>
      </c>
      <c r="G477" s="29">
        <f>VLOOKUP(A477,Calendar!$A$1:$H$9997,6,FALSE)-F477</f>
        <v/>
      </c>
      <c r="H477" s="19" t="n">
        <v>2</v>
      </c>
      <c r="I477" s="57" t="n">
        <v>4</v>
      </c>
    </row>
    <row r="478">
      <c r="A478" s="62" t="n">
        <v>46589</v>
      </c>
      <c r="B478" s="3" t="inlineStr">
        <is>
          <t>Week</t>
        </is>
      </c>
      <c r="C478" s="19" t="n">
        <v>7</v>
      </c>
      <c r="D478" s="19" t="n">
        <v>2027</v>
      </c>
      <c r="E478" s="57" t="n">
        <v>1</v>
      </c>
      <c r="F478" s="29">
        <f>ROUND(((SUMIFS(Calendar!$F$2:$F$9997,Calendar!$B$2:$B$9997,D478,Calendar!$C$2:$C$9997,C478)*INDEX(ForeCalc!$B$37:$Y$274,MATCH(_xlfn.CONCAT(H478," ",I478),ForeCalc!$A$37:$A$274,0),MATCH(_xlfn.CONCAT(B478," ",E478),ForeCalc!$B$36:$Y$36,0))))*VLOOKUP(A478,Calendar!$A$2:$H$9997,8,FALSE),0)</f>
        <v/>
      </c>
      <c r="G478" s="29">
        <f>VLOOKUP(A478,Calendar!$A$1:$H$9997,6,FALSE)-F478</f>
        <v/>
      </c>
      <c r="H478" s="19" t="n">
        <v>2</v>
      </c>
      <c r="I478" s="57" t="n">
        <v>4</v>
      </c>
    </row>
    <row r="479">
      <c r="A479" s="62" t="n">
        <v>46590</v>
      </c>
      <c r="B479" s="3" t="inlineStr">
        <is>
          <t>Week</t>
        </is>
      </c>
      <c r="C479" s="19" t="n">
        <v>7</v>
      </c>
      <c r="D479" s="19" t="n">
        <v>2027</v>
      </c>
      <c r="E479" s="57" t="n">
        <v>1</v>
      </c>
      <c r="F479" s="29">
        <f>ROUND(((SUMIFS(Calendar!$F$2:$F$9997,Calendar!$B$2:$B$9997,D479,Calendar!$C$2:$C$9997,C479)*INDEX(ForeCalc!$B$37:$Y$274,MATCH(_xlfn.CONCAT(H479," ",I479),ForeCalc!$A$37:$A$274,0),MATCH(_xlfn.CONCAT(B479," ",E479),ForeCalc!$B$36:$Y$36,0))))*VLOOKUP(A479,Calendar!$A$2:$H$9997,8,FALSE),0)</f>
        <v/>
      </c>
      <c r="G479" s="29">
        <f>VLOOKUP(A479,Calendar!$A$1:$H$9997,6,FALSE)-F479</f>
        <v/>
      </c>
      <c r="H479" s="19" t="n">
        <v>2</v>
      </c>
      <c r="I479" s="57" t="n">
        <v>4</v>
      </c>
    </row>
    <row r="480">
      <c r="A480" s="62" t="n">
        <v>46591</v>
      </c>
      <c r="B480" s="3" t="inlineStr">
        <is>
          <t>Week</t>
        </is>
      </c>
      <c r="C480" s="19" t="n">
        <v>7</v>
      </c>
      <c r="D480" s="19" t="n">
        <v>2027</v>
      </c>
      <c r="E480" s="57" t="n">
        <v>1</v>
      </c>
      <c r="F480" s="29">
        <f>ROUND(((SUMIFS(Calendar!$F$2:$F$9997,Calendar!$B$2:$B$9997,D480,Calendar!$C$2:$C$9997,C480)*INDEX(ForeCalc!$B$37:$Y$274,MATCH(_xlfn.CONCAT(H480," ",I480),ForeCalc!$A$37:$A$274,0),MATCH(_xlfn.CONCAT(B480," ",E480),ForeCalc!$B$36:$Y$36,0))))*VLOOKUP(A480,Calendar!$A$2:$H$9997,8,FALSE),0)</f>
        <v/>
      </c>
      <c r="G480" s="29">
        <f>VLOOKUP(A480,Calendar!$A$1:$H$9997,6,FALSE)-F480</f>
        <v/>
      </c>
      <c r="H480" s="19" t="n">
        <v>2</v>
      </c>
      <c r="I480" s="57" t="n">
        <v>4</v>
      </c>
    </row>
    <row r="481">
      <c r="A481" s="62" t="n">
        <v>46592</v>
      </c>
      <c r="B481" s="3" t="inlineStr">
        <is>
          <t>Sat</t>
        </is>
      </c>
      <c r="C481" s="19" t="n">
        <v>7</v>
      </c>
      <c r="D481" s="19" t="n">
        <v>2027</v>
      </c>
      <c r="E481" s="57" t="n">
        <v>1</v>
      </c>
      <c r="F481" s="29">
        <f>ROUND(((SUMIFS(Calendar!$F$2:$F$9997,Calendar!$B$2:$B$9997,D481,Calendar!$C$2:$C$9997,C481)*INDEX(ForeCalc!$B$37:$Y$274,MATCH(_xlfn.CONCAT(H481," ",I481),ForeCalc!$A$37:$A$274,0),MATCH(_xlfn.CONCAT(B481," ",E481),ForeCalc!$B$36:$Y$36,0))))*VLOOKUP(A481,Calendar!$A$2:$H$9997,8,FALSE),0)</f>
        <v/>
      </c>
      <c r="G481" s="29">
        <f>VLOOKUP(A481,Calendar!$A$1:$H$9997,6,FALSE)-F481</f>
        <v/>
      </c>
      <c r="H481" s="19" t="n">
        <v>2</v>
      </c>
      <c r="I481" s="57" t="n">
        <v>4</v>
      </c>
    </row>
    <row r="482">
      <c r="A482" s="62" t="n">
        <v>46593</v>
      </c>
      <c r="B482" s="3" t="inlineStr">
        <is>
          <t>Sun</t>
        </is>
      </c>
      <c r="C482" s="19" t="n">
        <v>7</v>
      </c>
      <c r="D482" s="19" t="n">
        <v>2027</v>
      </c>
      <c r="E482" s="57" t="n">
        <v>1</v>
      </c>
      <c r="F482" s="29">
        <f>ROUND(((SUMIFS(Calendar!$F$2:$F$9997,Calendar!$B$2:$B$9997,D482,Calendar!$C$2:$C$9997,C482)*INDEX(ForeCalc!$B$37:$Y$274,MATCH(_xlfn.CONCAT(H482," ",I482),ForeCalc!$A$37:$A$274,0),MATCH(_xlfn.CONCAT(B482," ",E482),ForeCalc!$B$36:$Y$36,0))))*VLOOKUP(A482,Calendar!$A$2:$H$9997,8,FALSE),0)</f>
        <v/>
      </c>
      <c r="G482" s="29">
        <f>VLOOKUP(A482,Calendar!$A$1:$H$9997,6,FALSE)-F482</f>
        <v/>
      </c>
      <c r="H482" s="19" t="n">
        <v>2</v>
      </c>
      <c r="I482" s="57" t="n">
        <v>4</v>
      </c>
    </row>
    <row r="483">
      <c r="A483" s="62" t="n">
        <v>46594</v>
      </c>
      <c r="B483" s="3" t="inlineStr">
        <is>
          <t>Week</t>
        </is>
      </c>
      <c r="C483" s="19" t="n">
        <v>7</v>
      </c>
      <c r="D483" s="19" t="n">
        <v>2027</v>
      </c>
      <c r="E483" s="57" t="n">
        <v>1</v>
      </c>
      <c r="F483" s="29">
        <f>ROUND(((SUMIFS(Calendar!$F$2:$F$9997,Calendar!$B$2:$B$9997,D483,Calendar!$C$2:$C$9997,C483)*INDEX(ForeCalc!$B$37:$Y$274,MATCH(_xlfn.CONCAT(H483," ",I483),ForeCalc!$A$37:$A$274,0),MATCH(_xlfn.CONCAT(B483," ",E483),ForeCalc!$B$36:$Y$36,0))))*VLOOKUP(A483,Calendar!$A$2:$H$9997,8,FALSE),0)</f>
        <v/>
      </c>
      <c r="G483" s="29">
        <f>VLOOKUP(A483,Calendar!$A$1:$H$9997,6,FALSE)-F483</f>
        <v/>
      </c>
      <c r="H483" s="19" t="n">
        <v>2</v>
      </c>
      <c r="I483" s="57" t="n">
        <v>4</v>
      </c>
    </row>
    <row r="484">
      <c r="A484" s="62" t="n">
        <v>46595</v>
      </c>
      <c r="B484" s="3" t="inlineStr">
        <is>
          <t>Week</t>
        </is>
      </c>
      <c r="C484" s="19" t="n">
        <v>7</v>
      </c>
      <c r="D484" s="19" t="n">
        <v>2027</v>
      </c>
      <c r="E484" s="57" t="n">
        <v>1</v>
      </c>
      <c r="F484" s="29">
        <f>ROUND(((SUMIFS(Calendar!$F$2:$F$9997,Calendar!$B$2:$B$9997,D484,Calendar!$C$2:$C$9997,C484)*INDEX(ForeCalc!$B$37:$Y$274,MATCH(_xlfn.CONCAT(H484," ",I484),ForeCalc!$A$37:$A$274,0),MATCH(_xlfn.CONCAT(B484," ",E484),ForeCalc!$B$36:$Y$36,0))))*VLOOKUP(A484,Calendar!$A$2:$H$9997,8,FALSE),0)</f>
        <v/>
      </c>
      <c r="G484" s="29">
        <f>VLOOKUP(A484,Calendar!$A$1:$H$9997,6,FALSE)-F484</f>
        <v/>
      </c>
      <c r="H484" s="19" t="n">
        <v>2</v>
      </c>
      <c r="I484" s="57" t="n">
        <v>4</v>
      </c>
    </row>
    <row r="485">
      <c r="A485" s="62" t="n">
        <v>46596</v>
      </c>
      <c r="B485" s="3" t="inlineStr">
        <is>
          <t>Week</t>
        </is>
      </c>
      <c r="C485" s="19" t="n">
        <v>7</v>
      </c>
      <c r="D485" s="19" t="n">
        <v>2027</v>
      </c>
      <c r="E485" s="57" t="n">
        <v>1</v>
      </c>
      <c r="F485" s="29">
        <f>ROUND(((SUMIFS(Calendar!$F$2:$F$9997,Calendar!$B$2:$B$9997,D485,Calendar!$C$2:$C$9997,C485)*INDEX(ForeCalc!$B$37:$Y$274,MATCH(_xlfn.CONCAT(H485," ",I485),ForeCalc!$A$37:$A$274,0),MATCH(_xlfn.CONCAT(B485," ",E485),ForeCalc!$B$36:$Y$36,0))))*VLOOKUP(A485,Calendar!$A$2:$H$9997,8,FALSE),0)</f>
        <v/>
      </c>
      <c r="G485" s="29">
        <f>VLOOKUP(A485,Calendar!$A$1:$H$9997,6,FALSE)-F485</f>
        <v/>
      </c>
      <c r="H485" s="19" t="n">
        <v>2</v>
      </c>
      <c r="I485" s="57" t="n">
        <v>4</v>
      </c>
    </row>
    <row r="486">
      <c r="A486" s="62" t="n">
        <v>46597</v>
      </c>
      <c r="B486" s="3" t="inlineStr">
        <is>
          <t>Week</t>
        </is>
      </c>
      <c r="C486" s="19" t="n">
        <v>7</v>
      </c>
      <c r="D486" s="19" t="n">
        <v>2027</v>
      </c>
      <c r="E486" s="57" t="n">
        <v>1</v>
      </c>
      <c r="F486" s="29">
        <f>ROUND(((SUMIFS(Calendar!$F$2:$F$9997,Calendar!$B$2:$B$9997,D486,Calendar!$C$2:$C$9997,C486)*INDEX(ForeCalc!$B$37:$Y$274,MATCH(_xlfn.CONCAT(H486," ",I486),ForeCalc!$A$37:$A$274,0),MATCH(_xlfn.CONCAT(B486," ",E486),ForeCalc!$B$36:$Y$36,0))))*VLOOKUP(A486,Calendar!$A$2:$H$9997,8,FALSE),0)</f>
        <v/>
      </c>
      <c r="G486" s="29">
        <f>VLOOKUP(A486,Calendar!$A$1:$H$9997,6,FALSE)-F486</f>
        <v/>
      </c>
      <c r="H486" s="19" t="n">
        <v>2</v>
      </c>
      <c r="I486" s="57" t="n">
        <v>4</v>
      </c>
    </row>
    <row r="487">
      <c r="A487" s="62" t="n">
        <v>46598</v>
      </c>
      <c r="B487" s="3" t="inlineStr">
        <is>
          <t>Week</t>
        </is>
      </c>
      <c r="C487" s="19" t="n">
        <v>7</v>
      </c>
      <c r="D487" s="19" t="n">
        <v>2027</v>
      </c>
      <c r="E487" s="57" t="n">
        <v>1</v>
      </c>
      <c r="F487" s="29">
        <f>ROUND(((SUMIFS(Calendar!$F$2:$F$9997,Calendar!$B$2:$B$9997,D487,Calendar!$C$2:$C$9997,C487)*INDEX(ForeCalc!$B$37:$Y$274,MATCH(_xlfn.CONCAT(H487," ",I487),ForeCalc!$A$37:$A$274,0),MATCH(_xlfn.CONCAT(B487," ",E487),ForeCalc!$B$36:$Y$36,0))))*VLOOKUP(A487,Calendar!$A$2:$H$9997,8,FALSE),0)</f>
        <v/>
      </c>
      <c r="G487" s="29">
        <f>VLOOKUP(A487,Calendar!$A$1:$H$9997,6,FALSE)-F487</f>
        <v/>
      </c>
      <c r="H487" s="19" t="n">
        <v>2</v>
      </c>
      <c r="I487" s="57" t="n">
        <v>4</v>
      </c>
    </row>
    <row r="488">
      <c r="A488" s="62" t="n">
        <v>46599</v>
      </c>
      <c r="B488" s="3" t="inlineStr">
        <is>
          <t>Sat</t>
        </is>
      </c>
      <c r="C488" s="19" t="n">
        <v>7</v>
      </c>
      <c r="D488" s="19" t="n">
        <v>2027</v>
      </c>
      <c r="E488" s="57" t="n">
        <v>1</v>
      </c>
      <c r="F488" s="29">
        <f>ROUND(((SUMIFS(Calendar!$F$2:$F$9997,Calendar!$B$2:$B$9997,D488,Calendar!$C$2:$C$9997,C488)*INDEX(ForeCalc!$B$37:$Y$274,MATCH(_xlfn.CONCAT(H488," ",I488),ForeCalc!$A$37:$A$274,0),MATCH(_xlfn.CONCAT(B488," ",E488),ForeCalc!$B$36:$Y$36,0))))*VLOOKUP(A488,Calendar!$A$2:$H$9997,8,FALSE),0)</f>
        <v/>
      </c>
      <c r="G488" s="29">
        <f>VLOOKUP(A488,Calendar!$A$1:$H$9997,6,FALSE)-F488</f>
        <v/>
      </c>
      <c r="H488" s="19" t="n">
        <v>2</v>
      </c>
      <c r="I488" s="57" t="n">
        <v>4</v>
      </c>
    </row>
    <row r="489">
      <c r="A489" s="62" t="n">
        <v>46600</v>
      </c>
      <c r="B489" s="3" t="inlineStr">
        <is>
          <t>Sun</t>
        </is>
      </c>
      <c r="C489" s="19" t="n">
        <v>8</v>
      </c>
      <c r="D489" s="19" t="n">
        <v>2027</v>
      </c>
      <c r="E489" s="57" t="n">
        <v>1</v>
      </c>
      <c r="F489" s="29">
        <f>ROUND(((SUMIFS(Calendar!$F$2:$F$9997,Calendar!$B$2:$B$9997,D489,Calendar!$C$2:$C$9997,C489)*INDEX(ForeCalc!$B$37:$Y$274,MATCH(_xlfn.CONCAT(H489," ",I489),ForeCalc!$A$37:$A$274,0),MATCH(_xlfn.CONCAT(B489," ",E489),ForeCalc!$B$36:$Y$36,0))))*VLOOKUP(A489,Calendar!$A$2:$H$9997,8,FALSE),0)</f>
        <v/>
      </c>
      <c r="G489" s="29">
        <f>VLOOKUP(A489,Calendar!$A$1:$H$9997,6,FALSE)-F489</f>
        <v/>
      </c>
      <c r="H489" s="19" t="n">
        <v>2</v>
      </c>
      <c r="I489" s="57" t="n">
        <v>5</v>
      </c>
    </row>
    <row r="490">
      <c r="A490" s="62" t="n">
        <v>46601</v>
      </c>
      <c r="B490" s="3" t="inlineStr">
        <is>
          <t>Week</t>
        </is>
      </c>
      <c r="C490" s="19" t="n">
        <v>8</v>
      </c>
      <c r="D490" s="19" t="n">
        <v>2027</v>
      </c>
      <c r="E490" s="57" t="n">
        <v>1</v>
      </c>
      <c r="F490" s="29">
        <f>ROUND(((SUMIFS(Calendar!$F$2:$F$9997,Calendar!$B$2:$B$9997,D490,Calendar!$C$2:$C$9997,C490)*INDEX(ForeCalc!$B$37:$Y$274,MATCH(_xlfn.CONCAT(H490," ",I490),ForeCalc!$A$37:$A$274,0),MATCH(_xlfn.CONCAT(B490," ",E490),ForeCalc!$B$36:$Y$36,0))))*VLOOKUP(A490,Calendar!$A$2:$H$9997,8,FALSE),0)</f>
        <v/>
      </c>
      <c r="G490" s="29">
        <f>VLOOKUP(A490,Calendar!$A$1:$H$9997,6,FALSE)-F490</f>
        <v/>
      </c>
      <c r="H490" s="19" t="n">
        <v>2</v>
      </c>
      <c r="I490" s="57" t="n">
        <v>5</v>
      </c>
    </row>
    <row r="491">
      <c r="A491" s="62" t="n">
        <v>46602</v>
      </c>
      <c r="B491" s="3" t="inlineStr">
        <is>
          <t>Week</t>
        </is>
      </c>
      <c r="C491" s="19" t="n">
        <v>8</v>
      </c>
      <c r="D491" s="19" t="n">
        <v>2027</v>
      </c>
      <c r="E491" s="57" t="n">
        <v>1</v>
      </c>
      <c r="F491" s="29">
        <f>ROUND(((SUMIFS(Calendar!$F$2:$F$9997,Calendar!$B$2:$B$9997,D491,Calendar!$C$2:$C$9997,C491)*INDEX(ForeCalc!$B$37:$Y$274,MATCH(_xlfn.CONCAT(H491," ",I491),ForeCalc!$A$37:$A$274,0),MATCH(_xlfn.CONCAT(B491," ",E491),ForeCalc!$B$36:$Y$36,0))))*VLOOKUP(A491,Calendar!$A$2:$H$9997,8,FALSE),0)</f>
        <v/>
      </c>
      <c r="G491" s="29">
        <f>VLOOKUP(A491,Calendar!$A$1:$H$9997,6,FALSE)-F491</f>
        <v/>
      </c>
      <c r="H491" s="19" t="n">
        <v>2</v>
      </c>
      <c r="I491" s="57" t="n">
        <v>5</v>
      </c>
    </row>
    <row r="492">
      <c r="A492" s="62" t="n">
        <v>46603</v>
      </c>
      <c r="B492" s="3" t="inlineStr">
        <is>
          <t>Week</t>
        </is>
      </c>
      <c r="C492" s="19" t="n">
        <v>8</v>
      </c>
      <c r="D492" s="19" t="n">
        <v>2027</v>
      </c>
      <c r="E492" s="57" t="n">
        <v>1</v>
      </c>
      <c r="F492" s="29">
        <f>ROUND(((SUMIFS(Calendar!$F$2:$F$9997,Calendar!$B$2:$B$9997,D492,Calendar!$C$2:$C$9997,C492)*INDEX(ForeCalc!$B$37:$Y$274,MATCH(_xlfn.CONCAT(H492," ",I492),ForeCalc!$A$37:$A$274,0),MATCH(_xlfn.CONCAT(B492," ",E492),ForeCalc!$B$36:$Y$36,0))))*VLOOKUP(A492,Calendar!$A$2:$H$9997,8,FALSE),0)</f>
        <v/>
      </c>
      <c r="G492" s="29">
        <f>VLOOKUP(A492,Calendar!$A$1:$H$9997,6,FALSE)-F492</f>
        <v/>
      </c>
      <c r="H492" s="19" t="n">
        <v>2</v>
      </c>
      <c r="I492" s="57" t="n">
        <v>5</v>
      </c>
    </row>
    <row r="493">
      <c r="A493" s="62" t="n">
        <v>46604</v>
      </c>
      <c r="B493" s="3" t="inlineStr">
        <is>
          <t>Week</t>
        </is>
      </c>
      <c r="C493" s="19" t="n">
        <v>8</v>
      </c>
      <c r="D493" s="19" t="n">
        <v>2027</v>
      </c>
      <c r="E493" s="57" t="n">
        <v>1</v>
      </c>
      <c r="F493" s="29">
        <f>ROUND(((SUMIFS(Calendar!$F$2:$F$9997,Calendar!$B$2:$B$9997,D493,Calendar!$C$2:$C$9997,C493)*INDEX(ForeCalc!$B$37:$Y$274,MATCH(_xlfn.CONCAT(H493," ",I493),ForeCalc!$A$37:$A$274,0),MATCH(_xlfn.CONCAT(B493," ",E493),ForeCalc!$B$36:$Y$36,0))))*VLOOKUP(A493,Calendar!$A$2:$H$9997,8,FALSE),0)</f>
        <v/>
      </c>
      <c r="G493" s="29">
        <f>VLOOKUP(A493,Calendar!$A$1:$H$9997,6,FALSE)-F493</f>
        <v/>
      </c>
      <c r="H493" s="19" t="n">
        <v>2</v>
      </c>
      <c r="I493" s="57" t="n">
        <v>5</v>
      </c>
    </row>
    <row r="494">
      <c r="A494" s="62" t="n">
        <v>46605</v>
      </c>
      <c r="B494" s="3" t="inlineStr">
        <is>
          <t>Week</t>
        </is>
      </c>
      <c r="C494" s="19" t="n">
        <v>8</v>
      </c>
      <c r="D494" s="19" t="n">
        <v>2027</v>
      </c>
      <c r="E494" s="57" t="n">
        <v>1</v>
      </c>
      <c r="F494" s="29">
        <f>ROUND(((SUMIFS(Calendar!$F$2:$F$9997,Calendar!$B$2:$B$9997,D494,Calendar!$C$2:$C$9997,C494)*INDEX(ForeCalc!$B$37:$Y$274,MATCH(_xlfn.CONCAT(H494," ",I494),ForeCalc!$A$37:$A$274,0),MATCH(_xlfn.CONCAT(B494," ",E494),ForeCalc!$B$36:$Y$36,0))))*VLOOKUP(A494,Calendar!$A$2:$H$9997,8,FALSE),0)</f>
        <v/>
      </c>
      <c r="G494" s="29">
        <f>VLOOKUP(A494,Calendar!$A$1:$H$9997,6,FALSE)-F494</f>
        <v/>
      </c>
      <c r="H494" s="19" t="n">
        <v>2</v>
      </c>
      <c r="I494" s="57" t="n">
        <v>5</v>
      </c>
    </row>
    <row r="495">
      <c r="A495" s="62" t="n">
        <v>46606</v>
      </c>
      <c r="B495" s="3" t="inlineStr">
        <is>
          <t>Sat</t>
        </is>
      </c>
      <c r="C495" s="19" t="n">
        <v>8</v>
      </c>
      <c r="D495" s="19" t="n">
        <v>2027</v>
      </c>
      <c r="E495" s="57" t="n">
        <v>1</v>
      </c>
      <c r="F495" s="29">
        <f>ROUND(((SUMIFS(Calendar!$F$2:$F$9997,Calendar!$B$2:$B$9997,D495,Calendar!$C$2:$C$9997,C495)*INDEX(ForeCalc!$B$37:$Y$274,MATCH(_xlfn.CONCAT(H495," ",I495),ForeCalc!$A$37:$A$274,0),MATCH(_xlfn.CONCAT(B495," ",E495),ForeCalc!$B$36:$Y$36,0))))*VLOOKUP(A495,Calendar!$A$2:$H$9997,8,FALSE),0)</f>
        <v/>
      </c>
      <c r="G495" s="29">
        <f>VLOOKUP(A495,Calendar!$A$1:$H$9997,6,FALSE)-F495</f>
        <v/>
      </c>
      <c r="H495" s="19" t="n">
        <v>2</v>
      </c>
      <c r="I495" s="57" t="n">
        <v>5</v>
      </c>
    </row>
    <row r="496">
      <c r="A496" s="62" t="n">
        <v>46607</v>
      </c>
      <c r="B496" s="3" t="inlineStr">
        <is>
          <t>Sun</t>
        </is>
      </c>
      <c r="C496" s="19" t="n">
        <v>8</v>
      </c>
      <c r="D496" s="19" t="n">
        <v>2027</v>
      </c>
      <c r="E496" s="57" t="n">
        <v>1</v>
      </c>
      <c r="F496" s="29">
        <f>ROUND(((SUMIFS(Calendar!$F$2:$F$9997,Calendar!$B$2:$B$9997,D496,Calendar!$C$2:$C$9997,C496)*INDEX(ForeCalc!$B$37:$Y$274,MATCH(_xlfn.CONCAT(H496," ",I496),ForeCalc!$A$37:$A$274,0),MATCH(_xlfn.CONCAT(B496," ",E496),ForeCalc!$B$36:$Y$36,0))))*VLOOKUP(A496,Calendar!$A$2:$H$9997,8,FALSE),0)</f>
        <v/>
      </c>
      <c r="G496" s="29">
        <f>VLOOKUP(A496,Calendar!$A$1:$H$9997,6,FALSE)-F496</f>
        <v/>
      </c>
      <c r="H496" s="19" t="n">
        <v>2</v>
      </c>
      <c r="I496" s="57" t="n">
        <v>5</v>
      </c>
    </row>
    <row r="497">
      <c r="A497" s="62" t="n">
        <v>46608</v>
      </c>
      <c r="B497" s="3" t="inlineStr">
        <is>
          <t>Week</t>
        </is>
      </c>
      <c r="C497" s="19" t="n">
        <v>8</v>
      </c>
      <c r="D497" s="19" t="n">
        <v>2027</v>
      </c>
      <c r="E497" s="57" t="n">
        <v>1</v>
      </c>
      <c r="F497" s="29">
        <f>ROUND(((SUMIFS(Calendar!$F$2:$F$9997,Calendar!$B$2:$B$9997,D497,Calendar!$C$2:$C$9997,C497)*INDEX(ForeCalc!$B$37:$Y$274,MATCH(_xlfn.CONCAT(H497," ",I497),ForeCalc!$A$37:$A$274,0),MATCH(_xlfn.CONCAT(B497," ",E497),ForeCalc!$B$36:$Y$36,0))))*VLOOKUP(A497,Calendar!$A$2:$H$9997,8,FALSE),0)</f>
        <v/>
      </c>
      <c r="G497" s="29">
        <f>VLOOKUP(A497,Calendar!$A$1:$H$9997,6,FALSE)-F497</f>
        <v/>
      </c>
      <c r="H497" s="19" t="n">
        <v>2</v>
      </c>
      <c r="I497" s="57" t="n">
        <v>5</v>
      </c>
    </row>
    <row r="498">
      <c r="A498" s="62" t="n">
        <v>46609</v>
      </c>
      <c r="B498" s="3" t="inlineStr">
        <is>
          <t>Week</t>
        </is>
      </c>
      <c r="C498" s="19" t="n">
        <v>8</v>
      </c>
      <c r="D498" s="19" t="n">
        <v>2027</v>
      </c>
      <c r="E498" s="57" t="n">
        <v>1</v>
      </c>
      <c r="F498" s="29">
        <f>ROUND(((SUMIFS(Calendar!$F$2:$F$9997,Calendar!$B$2:$B$9997,D498,Calendar!$C$2:$C$9997,C498)*INDEX(ForeCalc!$B$37:$Y$274,MATCH(_xlfn.CONCAT(H498," ",I498),ForeCalc!$A$37:$A$274,0),MATCH(_xlfn.CONCAT(B498," ",E498),ForeCalc!$B$36:$Y$36,0))))*VLOOKUP(A498,Calendar!$A$2:$H$9997,8,FALSE),0)</f>
        <v/>
      </c>
      <c r="G498" s="29">
        <f>VLOOKUP(A498,Calendar!$A$1:$H$9997,6,FALSE)-F498</f>
        <v/>
      </c>
      <c r="H498" s="19" t="n">
        <v>2</v>
      </c>
      <c r="I498" s="57" t="n">
        <v>5</v>
      </c>
    </row>
    <row r="499">
      <c r="A499" s="62" t="n">
        <v>46610</v>
      </c>
      <c r="B499" s="3" t="inlineStr">
        <is>
          <t>Week</t>
        </is>
      </c>
      <c r="C499" s="19" t="n">
        <v>8</v>
      </c>
      <c r="D499" s="19" t="n">
        <v>2027</v>
      </c>
      <c r="E499" s="57" t="n">
        <v>1</v>
      </c>
      <c r="F499" s="29">
        <f>ROUND(((SUMIFS(Calendar!$F$2:$F$9997,Calendar!$B$2:$B$9997,D499,Calendar!$C$2:$C$9997,C499)*INDEX(ForeCalc!$B$37:$Y$274,MATCH(_xlfn.CONCAT(H499," ",I499),ForeCalc!$A$37:$A$274,0),MATCH(_xlfn.CONCAT(B499," ",E499),ForeCalc!$B$36:$Y$36,0))))*VLOOKUP(A499,Calendar!$A$2:$H$9997,8,FALSE),0)</f>
        <v/>
      </c>
      <c r="G499" s="29">
        <f>VLOOKUP(A499,Calendar!$A$1:$H$9997,6,FALSE)-F499</f>
        <v/>
      </c>
      <c r="H499" s="19" t="n">
        <v>2</v>
      </c>
      <c r="I499" s="57" t="n">
        <v>5</v>
      </c>
    </row>
    <row r="500">
      <c r="A500" s="62" t="n">
        <v>46611</v>
      </c>
      <c r="B500" s="3" t="inlineStr">
        <is>
          <t>Week</t>
        </is>
      </c>
      <c r="C500" s="19" t="n">
        <v>8</v>
      </c>
      <c r="D500" s="19" t="n">
        <v>2027</v>
      </c>
      <c r="E500" s="57" t="n">
        <v>1</v>
      </c>
      <c r="F500" s="29">
        <f>ROUND(((SUMIFS(Calendar!$F$2:$F$9997,Calendar!$B$2:$B$9997,D500,Calendar!$C$2:$C$9997,C500)*INDEX(ForeCalc!$B$37:$Y$274,MATCH(_xlfn.CONCAT(H500," ",I500),ForeCalc!$A$37:$A$274,0),MATCH(_xlfn.CONCAT(B500," ",E500),ForeCalc!$B$36:$Y$36,0))))*VLOOKUP(A500,Calendar!$A$2:$H$9997,8,FALSE),0)</f>
        <v/>
      </c>
      <c r="G500" s="29">
        <f>VLOOKUP(A500,Calendar!$A$1:$H$9997,6,FALSE)-F500</f>
        <v/>
      </c>
      <c r="H500" s="19" t="n">
        <v>2</v>
      </c>
      <c r="I500" s="57" t="n">
        <v>5</v>
      </c>
    </row>
    <row r="501">
      <c r="A501" s="62" t="n">
        <v>46612</v>
      </c>
      <c r="B501" s="3" t="inlineStr">
        <is>
          <t>Week</t>
        </is>
      </c>
      <c r="C501" s="19" t="n">
        <v>8</v>
      </c>
      <c r="D501" s="19" t="n">
        <v>2027</v>
      </c>
      <c r="E501" s="57" t="n">
        <v>1</v>
      </c>
      <c r="F501" s="29">
        <f>ROUND(((SUMIFS(Calendar!$F$2:$F$9997,Calendar!$B$2:$B$9997,D501,Calendar!$C$2:$C$9997,C501)*INDEX(ForeCalc!$B$37:$Y$274,MATCH(_xlfn.CONCAT(H501," ",I501),ForeCalc!$A$37:$A$274,0),MATCH(_xlfn.CONCAT(B501," ",E501),ForeCalc!$B$36:$Y$36,0))))*VLOOKUP(A501,Calendar!$A$2:$H$9997,8,FALSE),0)</f>
        <v/>
      </c>
      <c r="G501" s="29">
        <f>VLOOKUP(A501,Calendar!$A$1:$H$9997,6,FALSE)-F501</f>
        <v/>
      </c>
      <c r="H501" s="19" t="n">
        <v>2</v>
      </c>
      <c r="I501" s="57" t="n">
        <v>5</v>
      </c>
    </row>
    <row r="502">
      <c r="A502" s="62" t="n">
        <v>46613</v>
      </c>
      <c r="B502" s="3" t="inlineStr">
        <is>
          <t>Sat</t>
        </is>
      </c>
      <c r="C502" s="19" t="n">
        <v>8</v>
      </c>
      <c r="D502" s="19" t="n">
        <v>2027</v>
      </c>
      <c r="E502" s="57" t="n">
        <v>1</v>
      </c>
      <c r="F502" s="29">
        <f>ROUND(((SUMIFS(Calendar!$F$2:$F$9997,Calendar!$B$2:$B$9997,D502,Calendar!$C$2:$C$9997,C502)*INDEX(ForeCalc!$B$37:$Y$274,MATCH(_xlfn.CONCAT(H502," ",I502),ForeCalc!$A$37:$A$274,0),MATCH(_xlfn.CONCAT(B502," ",E502),ForeCalc!$B$36:$Y$36,0))))*VLOOKUP(A502,Calendar!$A$2:$H$9997,8,FALSE),0)</f>
        <v/>
      </c>
      <c r="G502" s="29">
        <f>VLOOKUP(A502,Calendar!$A$1:$H$9997,6,FALSE)-F502</f>
        <v/>
      </c>
      <c r="H502" s="19" t="n">
        <v>2</v>
      </c>
      <c r="I502" s="57" t="n">
        <v>5</v>
      </c>
    </row>
    <row r="503">
      <c r="A503" s="62" t="n">
        <v>46614</v>
      </c>
      <c r="B503" s="3" t="inlineStr">
        <is>
          <t>Sun</t>
        </is>
      </c>
      <c r="C503" s="19" t="n">
        <v>8</v>
      </c>
      <c r="D503" s="19" t="n">
        <v>2027</v>
      </c>
      <c r="E503" s="57" t="n">
        <v>1</v>
      </c>
      <c r="F503" s="29">
        <f>ROUND(((SUMIFS(Calendar!$F$2:$F$9997,Calendar!$B$2:$B$9997,D503,Calendar!$C$2:$C$9997,C503)*INDEX(ForeCalc!$B$37:$Y$274,MATCH(_xlfn.CONCAT(H503," ",I503),ForeCalc!$A$37:$A$274,0),MATCH(_xlfn.CONCAT(B503," ",E503),ForeCalc!$B$36:$Y$36,0))))*VLOOKUP(A503,Calendar!$A$2:$H$9997,8,FALSE),0)</f>
        <v/>
      </c>
      <c r="G503" s="29">
        <f>VLOOKUP(A503,Calendar!$A$1:$H$9997,6,FALSE)-F503</f>
        <v/>
      </c>
      <c r="H503" s="19" t="n">
        <v>2</v>
      </c>
      <c r="I503" s="57" t="n">
        <v>5</v>
      </c>
    </row>
    <row r="504">
      <c r="A504" s="62" t="n">
        <v>46615</v>
      </c>
      <c r="B504" s="3" t="inlineStr">
        <is>
          <t>Week</t>
        </is>
      </c>
      <c r="C504" s="19" t="n">
        <v>8</v>
      </c>
      <c r="D504" s="19" t="n">
        <v>2027</v>
      </c>
      <c r="E504" s="57" t="n">
        <v>1</v>
      </c>
      <c r="F504" s="29">
        <f>ROUND(((SUMIFS(Calendar!$F$2:$F$9997,Calendar!$B$2:$B$9997,D504,Calendar!$C$2:$C$9997,C504)*INDEX(ForeCalc!$B$37:$Y$274,MATCH(_xlfn.CONCAT(H504," ",I504),ForeCalc!$A$37:$A$274,0),MATCH(_xlfn.CONCAT(B504," ",E504),ForeCalc!$B$36:$Y$36,0))))*VLOOKUP(A504,Calendar!$A$2:$H$9997,8,FALSE),0)</f>
        <v/>
      </c>
      <c r="G504" s="29">
        <f>VLOOKUP(A504,Calendar!$A$1:$H$9997,6,FALSE)-F504</f>
        <v/>
      </c>
      <c r="H504" s="19" t="n">
        <v>2</v>
      </c>
      <c r="I504" s="57" t="n">
        <v>5</v>
      </c>
    </row>
    <row r="505">
      <c r="A505" s="62" t="n">
        <v>46616</v>
      </c>
      <c r="B505" s="3" t="inlineStr">
        <is>
          <t>Week</t>
        </is>
      </c>
      <c r="C505" s="19" t="n">
        <v>8</v>
      </c>
      <c r="D505" s="19" t="n">
        <v>2027</v>
      </c>
      <c r="E505" s="57" t="n">
        <v>1</v>
      </c>
      <c r="F505" s="29">
        <f>ROUND(((SUMIFS(Calendar!$F$2:$F$9997,Calendar!$B$2:$B$9997,D505,Calendar!$C$2:$C$9997,C505)*INDEX(ForeCalc!$B$37:$Y$274,MATCH(_xlfn.CONCAT(H505," ",I505),ForeCalc!$A$37:$A$274,0),MATCH(_xlfn.CONCAT(B505," ",E505),ForeCalc!$B$36:$Y$36,0))))*VLOOKUP(A505,Calendar!$A$2:$H$9997,8,FALSE),0)</f>
        <v/>
      </c>
      <c r="G505" s="29">
        <f>VLOOKUP(A505,Calendar!$A$1:$H$9997,6,FALSE)-F505</f>
        <v/>
      </c>
      <c r="H505" s="19" t="n">
        <v>2</v>
      </c>
      <c r="I505" s="57" t="n">
        <v>5</v>
      </c>
    </row>
    <row r="506">
      <c r="A506" s="62" t="n">
        <v>46617</v>
      </c>
      <c r="B506" s="3" t="inlineStr">
        <is>
          <t>Week</t>
        </is>
      </c>
      <c r="C506" s="19" t="n">
        <v>8</v>
      </c>
      <c r="D506" s="19" t="n">
        <v>2027</v>
      </c>
      <c r="E506" s="57" t="n">
        <v>1</v>
      </c>
      <c r="F506" s="29">
        <f>ROUND(((SUMIFS(Calendar!$F$2:$F$9997,Calendar!$B$2:$B$9997,D506,Calendar!$C$2:$C$9997,C506)*INDEX(ForeCalc!$B$37:$Y$274,MATCH(_xlfn.CONCAT(H506," ",I506),ForeCalc!$A$37:$A$274,0),MATCH(_xlfn.CONCAT(B506," ",E506),ForeCalc!$B$36:$Y$36,0))))*VLOOKUP(A506,Calendar!$A$2:$H$9997,8,FALSE),0)</f>
        <v/>
      </c>
      <c r="G506" s="29">
        <f>VLOOKUP(A506,Calendar!$A$1:$H$9997,6,FALSE)-F506</f>
        <v/>
      </c>
      <c r="H506" s="19" t="n">
        <v>2</v>
      </c>
      <c r="I506" s="57" t="n">
        <v>5</v>
      </c>
    </row>
    <row r="507">
      <c r="A507" s="62" t="n">
        <v>46618</v>
      </c>
      <c r="B507" s="3" t="inlineStr">
        <is>
          <t>Week</t>
        </is>
      </c>
      <c r="C507" s="19" t="n">
        <v>8</v>
      </c>
      <c r="D507" s="19" t="n">
        <v>2027</v>
      </c>
      <c r="E507" s="57" t="n">
        <v>1</v>
      </c>
      <c r="F507" s="29">
        <f>ROUND(((SUMIFS(Calendar!$F$2:$F$9997,Calendar!$B$2:$B$9997,D507,Calendar!$C$2:$C$9997,C507)*INDEX(ForeCalc!$B$37:$Y$274,MATCH(_xlfn.CONCAT(H507," ",I507),ForeCalc!$A$37:$A$274,0),MATCH(_xlfn.CONCAT(B507," ",E507),ForeCalc!$B$36:$Y$36,0))))*VLOOKUP(A507,Calendar!$A$2:$H$9997,8,FALSE),0)</f>
        <v/>
      </c>
      <c r="G507" s="29">
        <f>VLOOKUP(A507,Calendar!$A$1:$H$9997,6,FALSE)-F507</f>
        <v/>
      </c>
      <c r="H507" s="19" t="n">
        <v>2</v>
      </c>
      <c r="I507" s="57" t="n">
        <v>5</v>
      </c>
    </row>
    <row r="508">
      <c r="A508" s="62" t="n">
        <v>46619</v>
      </c>
      <c r="B508" s="3" t="inlineStr">
        <is>
          <t>Week</t>
        </is>
      </c>
      <c r="C508" s="19" t="n">
        <v>8</v>
      </c>
      <c r="D508" s="19" t="n">
        <v>2027</v>
      </c>
      <c r="E508" s="57" t="n">
        <v>1</v>
      </c>
      <c r="F508" s="29">
        <f>ROUND(((SUMIFS(Calendar!$F$2:$F$9997,Calendar!$B$2:$B$9997,D508,Calendar!$C$2:$C$9997,C508)*INDEX(ForeCalc!$B$37:$Y$274,MATCH(_xlfn.CONCAT(H508," ",I508),ForeCalc!$A$37:$A$274,0),MATCH(_xlfn.CONCAT(B508," ",E508),ForeCalc!$B$36:$Y$36,0))))*VLOOKUP(A508,Calendar!$A$2:$H$9997,8,FALSE),0)</f>
        <v/>
      </c>
      <c r="G508" s="29">
        <f>VLOOKUP(A508,Calendar!$A$1:$H$9997,6,FALSE)-F508</f>
        <v/>
      </c>
      <c r="H508" s="19" t="n">
        <v>2</v>
      </c>
      <c r="I508" s="57" t="n">
        <v>5</v>
      </c>
    </row>
    <row r="509">
      <c r="A509" s="62" t="n">
        <v>46620</v>
      </c>
      <c r="B509" s="3" t="inlineStr">
        <is>
          <t>Sat</t>
        </is>
      </c>
      <c r="C509" s="19" t="n">
        <v>8</v>
      </c>
      <c r="D509" s="19" t="n">
        <v>2027</v>
      </c>
      <c r="E509" s="57" t="n">
        <v>1</v>
      </c>
      <c r="F509" s="29">
        <f>ROUND(((SUMIFS(Calendar!$F$2:$F$9997,Calendar!$B$2:$B$9997,D509,Calendar!$C$2:$C$9997,C509)*INDEX(ForeCalc!$B$37:$Y$274,MATCH(_xlfn.CONCAT(H509," ",I509),ForeCalc!$A$37:$A$274,0),MATCH(_xlfn.CONCAT(B509," ",E509),ForeCalc!$B$36:$Y$36,0))))*VLOOKUP(A509,Calendar!$A$2:$H$9997,8,FALSE),0)</f>
        <v/>
      </c>
      <c r="G509" s="29">
        <f>VLOOKUP(A509,Calendar!$A$1:$H$9997,6,FALSE)-F509</f>
        <v/>
      </c>
      <c r="H509" s="19" t="n">
        <v>2</v>
      </c>
      <c r="I509" s="57" t="n">
        <v>5</v>
      </c>
    </row>
    <row r="510">
      <c r="A510" s="62" t="n">
        <v>46621</v>
      </c>
      <c r="B510" s="3" t="inlineStr">
        <is>
          <t>Sun</t>
        </is>
      </c>
      <c r="C510" s="19" t="n">
        <v>8</v>
      </c>
      <c r="D510" s="19" t="n">
        <v>2027</v>
      </c>
      <c r="E510" s="57" t="n">
        <v>1</v>
      </c>
      <c r="F510" s="29">
        <f>ROUND(((SUMIFS(Calendar!$F$2:$F$9997,Calendar!$B$2:$B$9997,D510,Calendar!$C$2:$C$9997,C510)*INDEX(ForeCalc!$B$37:$Y$274,MATCH(_xlfn.CONCAT(H510," ",I510),ForeCalc!$A$37:$A$274,0),MATCH(_xlfn.CONCAT(B510," ",E510),ForeCalc!$B$36:$Y$36,0))))*VLOOKUP(A510,Calendar!$A$2:$H$9997,8,FALSE),0)</f>
        <v/>
      </c>
      <c r="G510" s="29">
        <f>VLOOKUP(A510,Calendar!$A$1:$H$9997,6,FALSE)-F510</f>
        <v/>
      </c>
      <c r="H510" s="19" t="n">
        <v>2</v>
      </c>
      <c r="I510" s="57" t="n">
        <v>5</v>
      </c>
    </row>
    <row r="511">
      <c r="A511" s="62" t="n">
        <v>46622</v>
      </c>
      <c r="B511" s="3" t="inlineStr">
        <is>
          <t>Week</t>
        </is>
      </c>
      <c r="C511" s="19" t="n">
        <v>8</v>
      </c>
      <c r="D511" s="19" t="n">
        <v>2027</v>
      </c>
      <c r="E511" s="57" t="n">
        <v>1</v>
      </c>
      <c r="F511" s="29">
        <f>ROUND(((SUMIFS(Calendar!$F$2:$F$9997,Calendar!$B$2:$B$9997,D511,Calendar!$C$2:$C$9997,C511)*INDEX(ForeCalc!$B$37:$Y$274,MATCH(_xlfn.CONCAT(H511," ",I511),ForeCalc!$A$37:$A$274,0),MATCH(_xlfn.CONCAT(B511," ",E511),ForeCalc!$B$36:$Y$36,0))))*VLOOKUP(A511,Calendar!$A$2:$H$9997,8,FALSE),0)</f>
        <v/>
      </c>
      <c r="G511" s="29">
        <f>VLOOKUP(A511,Calendar!$A$1:$H$9997,6,FALSE)-F511</f>
        <v/>
      </c>
      <c r="H511" s="19" t="n">
        <v>2</v>
      </c>
      <c r="I511" s="57" t="n">
        <v>5</v>
      </c>
    </row>
    <row r="512">
      <c r="A512" s="62" t="n">
        <v>46623</v>
      </c>
      <c r="B512" s="3" t="inlineStr">
        <is>
          <t>Week</t>
        </is>
      </c>
      <c r="C512" s="19" t="n">
        <v>8</v>
      </c>
      <c r="D512" s="19" t="n">
        <v>2027</v>
      </c>
      <c r="E512" s="57" t="n">
        <v>1</v>
      </c>
      <c r="F512" s="29">
        <f>ROUND(((SUMIFS(Calendar!$F$2:$F$9997,Calendar!$B$2:$B$9997,D512,Calendar!$C$2:$C$9997,C512)*INDEX(ForeCalc!$B$37:$Y$274,MATCH(_xlfn.CONCAT(H512," ",I512),ForeCalc!$A$37:$A$274,0),MATCH(_xlfn.CONCAT(B512," ",E512),ForeCalc!$B$36:$Y$36,0))))*VLOOKUP(A512,Calendar!$A$2:$H$9997,8,FALSE),0)</f>
        <v/>
      </c>
      <c r="G512" s="29">
        <f>VLOOKUP(A512,Calendar!$A$1:$H$9997,6,FALSE)-F512</f>
        <v/>
      </c>
      <c r="H512" s="19" t="n">
        <v>2</v>
      </c>
      <c r="I512" s="57" t="n">
        <v>5</v>
      </c>
    </row>
    <row r="513">
      <c r="A513" s="62" t="n">
        <v>46624</v>
      </c>
      <c r="B513" s="3" t="inlineStr">
        <is>
          <t>Week</t>
        </is>
      </c>
      <c r="C513" s="19" t="n">
        <v>8</v>
      </c>
      <c r="D513" s="19" t="n">
        <v>2027</v>
      </c>
      <c r="E513" s="57" t="n">
        <v>1</v>
      </c>
      <c r="F513" s="29">
        <f>ROUND(((SUMIFS(Calendar!$F$2:$F$9997,Calendar!$B$2:$B$9997,D513,Calendar!$C$2:$C$9997,C513)*INDEX(ForeCalc!$B$37:$Y$274,MATCH(_xlfn.CONCAT(H513," ",I513),ForeCalc!$A$37:$A$274,0),MATCH(_xlfn.CONCAT(B513," ",E513),ForeCalc!$B$36:$Y$36,0))))*VLOOKUP(A513,Calendar!$A$2:$H$9997,8,FALSE),0)</f>
        <v/>
      </c>
      <c r="G513" s="29">
        <f>VLOOKUP(A513,Calendar!$A$1:$H$9997,6,FALSE)-F513</f>
        <v/>
      </c>
      <c r="H513" s="19" t="n">
        <v>2</v>
      </c>
      <c r="I513" s="57" t="n">
        <v>5</v>
      </c>
    </row>
    <row r="514">
      <c r="A514" s="62" t="n">
        <v>46625</v>
      </c>
      <c r="B514" s="3" t="inlineStr">
        <is>
          <t>Week</t>
        </is>
      </c>
      <c r="C514" s="19" t="n">
        <v>8</v>
      </c>
      <c r="D514" s="19" t="n">
        <v>2027</v>
      </c>
      <c r="E514" s="57" t="n">
        <v>1</v>
      </c>
      <c r="F514" s="29">
        <f>ROUND(((SUMIFS(Calendar!$F$2:$F$9997,Calendar!$B$2:$B$9997,D514,Calendar!$C$2:$C$9997,C514)*INDEX(ForeCalc!$B$37:$Y$274,MATCH(_xlfn.CONCAT(H514," ",I514),ForeCalc!$A$37:$A$274,0),MATCH(_xlfn.CONCAT(B514," ",E514),ForeCalc!$B$36:$Y$36,0))))*VLOOKUP(A514,Calendar!$A$2:$H$9997,8,FALSE),0)</f>
        <v/>
      </c>
      <c r="G514" s="29">
        <f>VLOOKUP(A514,Calendar!$A$1:$H$9997,6,FALSE)-F514</f>
        <v/>
      </c>
      <c r="H514" s="19" t="n">
        <v>2</v>
      </c>
      <c r="I514" s="57" t="n">
        <v>5</v>
      </c>
    </row>
    <row r="515">
      <c r="A515" s="62" t="n">
        <v>46626</v>
      </c>
      <c r="B515" s="3" t="inlineStr">
        <is>
          <t>Week</t>
        </is>
      </c>
      <c r="C515" s="19" t="n">
        <v>8</v>
      </c>
      <c r="D515" s="19" t="n">
        <v>2027</v>
      </c>
      <c r="E515" s="57" t="n">
        <v>1</v>
      </c>
      <c r="F515" s="29">
        <f>ROUND(((SUMIFS(Calendar!$F$2:$F$9997,Calendar!$B$2:$B$9997,D515,Calendar!$C$2:$C$9997,C515)*INDEX(ForeCalc!$B$37:$Y$274,MATCH(_xlfn.CONCAT(H515," ",I515),ForeCalc!$A$37:$A$274,0),MATCH(_xlfn.CONCAT(B515," ",E515),ForeCalc!$B$36:$Y$36,0))))*VLOOKUP(A515,Calendar!$A$2:$H$9997,8,FALSE),0)</f>
        <v/>
      </c>
      <c r="G515" s="29">
        <f>VLOOKUP(A515,Calendar!$A$1:$H$9997,6,FALSE)-F515</f>
        <v/>
      </c>
      <c r="H515" s="19" t="n">
        <v>2</v>
      </c>
      <c r="I515" s="57" t="n">
        <v>5</v>
      </c>
    </row>
    <row r="516">
      <c r="A516" s="62" t="n">
        <v>46627</v>
      </c>
      <c r="B516" s="3" t="inlineStr">
        <is>
          <t>Sat</t>
        </is>
      </c>
      <c r="C516" s="19" t="n">
        <v>8</v>
      </c>
      <c r="D516" s="19" t="n">
        <v>2027</v>
      </c>
      <c r="E516" s="57" t="n">
        <v>1</v>
      </c>
      <c r="F516" s="29">
        <f>ROUND(((SUMIFS(Calendar!$F$2:$F$9997,Calendar!$B$2:$B$9997,D516,Calendar!$C$2:$C$9997,C516)*INDEX(ForeCalc!$B$37:$Y$274,MATCH(_xlfn.CONCAT(H516," ",I516),ForeCalc!$A$37:$A$274,0),MATCH(_xlfn.CONCAT(B516," ",E516),ForeCalc!$B$36:$Y$36,0))))*VLOOKUP(A516,Calendar!$A$2:$H$9997,8,FALSE),0)</f>
        <v/>
      </c>
      <c r="G516" s="29">
        <f>VLOOKUP(A516,Calendar!$A$1:$H$9997,6,FALSE)-F516</f>
        <v/>
      </c>
      <c r="H516" s="19" t="n">
        <v>2</v>
      </c>
      <c r="I516" s="57" t="n">
        <v>5</v>
      </c>
    </row>
    <row r="517">
      <c r="A517" s="62" t="n">
        <v>46628</v>
      </c>
      <c r="B517" s="3" t="inlineStr">
        <is>
          <t>Sun</t>
        </is>
      </c>
      <c r="C517" s="19" t="n">
        <v>8</v>
      </c>
      <c r="D517" s="19" t="n">
        <v>2027</v>
      </c>
      <c r="E517" s="57" t="n">
        <v>1</v>
      </c>
      <c r="F517" s="29">
        <f>ROUND(((SUMIFS(Calendar!$F$2:$F$9997,Calendar!$B$2:$B$9997,D517,Calendar!$C$2:$C$9997,C517)*INDEX(ForeCalc!$B$37:$Y$274,MATCH(_xlfn.CONCAT(H517," ",I517),ForeCalc!$A$37:$A$274,0),MATCH(_xlfn.CONCAT(B517," ",E517),ForeCalc!$B$36:$Y$36,0))))*VLOOKUP(A517,Calendar!$A$2:$H$9997,8,FALSE),0)</f>
        <v/>
      </c>
      <c r="G517" s="29">
        <f>VLOOKUP(A517,Calendar!$A$1:$H$9997,6,FALSE)-F517</f>
        <v/>
      </c>
      <c r="H517" s="19" t="n">
        <v>2</v>
      </c>
      <c r="I517" s="57" t="n">
        <v>5</v>
      </c>
    </row>
    <row r="518">
      <c r="A518" s="62" t="n">
        <v>46629</v>
      </c>
      <c r="B518" s="3" t="inlineStr">
        <is>
          <t>Week</t>
        </is>
      </c>
      <c r="C518" s="19" t="n">
        <v>8</v>
      </c>
      <c r="D518" s="19" t="n">
        <v>2027</v>
      </c>
      <c r="E518" s="57" t="n">
        <v>1</v>
      </c>
      <c r="F518" s="29">
        <f>ROUND(((SUMIFS(Calendar!$F$2:$F$9997,Calendar!$B$2:$B$9997,D518,Calendar!$C$2:$C$9997,C518)*INDEX(ForeCalc!$B$37:$Y$274,MATCH(_xlfn.CONCAT(H518," ",I518),ForeCalc!$A$37:$A$274,0),MATCH(_xlfn.CONCAT(B518," ",E518),ForeCalc!$B$36:$Y$36,0))))*VLOOKUP(A518,Calendar!$A$2:$H$9997,8,FALSE),0)</f>
        <v/>
      </c>
      <c r="G518" s="29">
        <f>VLOOKUP(A518,Calendar!$A$1:$H$9997,6,FALSE)-F518</f>
        <v/>
      </c>
      <c r="H518" s="19" t="n">
        <v>2</v>
      </c>
      <c r="I518" s="57" t="n">
        <v>5</v>
      </c>
    </row>
    <row r="519">
      <c r="A519" s="62" t="n">
        <v>46630</v>
      </c>
      <c r="B519" s="3" t="inlineStr">
        <is>
          <t>Week</t>
        </is>
      </c>
      <c r="C519" s="19" t="n">
        <v>8</v>
      </c>
      <c r="D519" s="19" t="n">
        <v>2027</v>
      </c>
      <c r="E519" s="57" t="n">
        <v>1</v>
      </c>
      <c r="F519" s="29">
        <f>ROUND(((SUMIFS(Calendar!$F$2:$F$9997,Calendar!$B$2:$B$9997,D519,Calendar!$C$2:$C$9997,C519)*INDEX(ForeCalc!$B$37:$Y$274,MATCH(_xlfn.CONCAT(H519," ",I519),ForeCalc!$A$37:$A$274,0),MATCH(_xlfn.CONCAT(B519," ",E519),ForeCalc!$B$36:$Y$36,0))))*VLOOKUP(A519,Calendar!$A$2:$H$9997,8,FALSE),0)</f>
        <v/>
      </c>
      <c r="G519" s="29">
        <f>VLOOKUP(A519,Calendar!$A$1:$H$9997,6,FALSE)-F519</f>
        <v/>
      </c>
      <c r="H519" s="19" t="n">
        <v>2</v>
      </c>
      <c r="I519" s="57" t="n">
        <v>5</v>
      </c>
    </row>
    <row r="520">
      <c r="A520" s="62" t="n">
        <v>46631</v>
      </c>
      <c r="B520" s="3" t="inlineStr">
        <is>
          <t>Week</t>
        </is>
      </c>
      <c r="C520" s="19" t="n">
        <v>9</v>
      </c>
      <c r="D520" s="19" t="n">
        <v>2027</v>
      </c>
      <c r="E520" s="57" t="n">
        <v>1</v>
      </c>
      <c r="F520" s="29">
        <f>ROUND(((SUMIFS(Calendar!$F$2:$F$9997,Calendar!$B$2:$B$9997,D520,Calendar!$C$2:$C$9997,C520)*INDEX(ForeCalc!$B$37:$Y$274,MATCH(_xlfn.CONCAT(H520," ",I520),ForeCalc!$A$37:$A$274,0),MATCH(_xlfn.CONCAT(B520," ",E520),ForeCalc!$B$36:$Y$36,0))))*VLOOKUP(A520,Calendar!$A$2:$H$9997,8,FALSE),0)</f>
        <v/>
      </c>
      <c r="G520" s="29">
        <f>VLOOKUP(A520,Calendar!$A$1:$H$9997,6,FALSE)-F520</f>
        <v/>
      </c>
      <c r="H520" s="19" t="n">
        <v>2</v>
      </c>
      <c r="I520" s="57" t="n">
        <v>6</v>
      </c>
    </row>
    <row r="521">
      <c r="A521" s="62" t="n">
        <v>46632</v>
      </c>
      <c r="B521" s="3" t="inlineStr">
        <is>
          <t>Week</t>
        </is>
      </c>
      <c r="C521" s="19" t="n">
        <v>9</v>
      </c>
      <c r="D521" s="19" t="n">
        <v>2027</v>
      </c>
      <c r="E521" s="57" t="n">
        <v>1</v>
      </c>
      <c r="F521" s="29">
        <f>ROUND(((SUMIFS(Calendar!$F$2:$F$9997,Calendar!$B$2:$B$9997,D521,Calendar!$C$2:$C$9997,C521)*INDEX(ForeCalc!$B$37:$Y$274,MATCH(_xlfn.CONCAT(H521," ",I521),ForeCalc!$A$37:$A$274,0),MATCH(_xlfn.CONCAT(B521," ",E521),ForeCalc!$B$36:$Y$36,0))))*VLOOKUP(A521,Calendar!$A$2:$H$9997,8,FALSE),0)</f>
        <v/>
      </c>
      <c r="G521" s="29">
        <f>VLOOKUP(A521,Calendar!$A$1:$H$9997,6,FALSE)-F521</f>
        <v/>
      </c>
      <c r="H521" s="19" t="n">
        <v>2</v>
      </c>
      <c r="I521" s="57" t="n">
        <v>6</v>
      </c>
    </row>
    <row r="522">
      <c r="A522" s="62" t="n">
        <v>46633</v>
      </c>
      <c r="B522" s="3" t="inlineStr">
        <is>
          <t>Week</t>
        </is>
      </c>
      <c r="C522" s="19" t="n">
        <v>9</v>
      </c>
      <c r="D522" s="19" t="n">
        <v>2027</v>
      </c>
      <c r="E522" s="57" t="n">
        <v>1</v>
      </c>
      <c r="F522" s="29">
        <f>ROUND(((SUMIFS(Calendar!$F$2:$F$9997,Calendar!$B$2:$B$9997,D522,Calendar!$C$2:$C$9997,C522)*INDEX(ForeCalc!$B$37:$Y$274,MATCH(_xlfn.CONCAT(H522," ",I522),ForeCalc!$A$37:$A$274,0),MATCH(_xlfn.CONCAT(B522," ",E522),ForeCalc!$B$36:$Y$36,0))))*VLOOKUP(A522,Calendar!$A$2:$H$9997,8,FALSE),0)</f>
        <v/>
      </c>
      <c r="G522" s="29">
        <f>VLOOKUP(A522,Calendar!$A$1:$H$9997,6,FALSE)-F522</f>
        <v/>
      </c>
      <c r="H522" s="19" t="n">
        <v>2</v>
      </c>
      <c r="I522" s="57" t="n">
        <v>6</v>
      </c>
    </row>
    <row r="523">
      <c r="A523" s="62" t="n">
        <v>46634</v>
      </c>
      <c r="B523" s="3" t="inlineStr">
        <is>
          <t>Sat</t>
        </is>
      </c>
      <c r="C523" s="19" t="n">
        <v>9</v>
      </c>
      <c r="D523" s="19" t="n">
        <v>2027</v>
      </c>
      <c r="E523" s="57" t="n">
        <v>1</v>
      </c>
      <c r="F523" s="29">
        <f>ROUND(((SUMIFS(Calendar!$F$2:$F$9997,Calendar!$B$2:$B$9997,D523,Calendar!$C$2:$C$9997,C523)*INDEX(ForeCalc!$B$37:$Y$274,MATCH(_xlfn.CONCAT(H523," ",I523),ForeCalc!$A$37:$A$274,0),MATCH(_xlfn.CONCAT(B523," ",E523),ForeCalc!$B$36:$Y$36,0))))*VLOOKUP(A523,Calendar!$A$2:$H$9997,8,FALSE),0)</f>
        <v/>
      </c>
      <c r="G523" s="29">
        <f>VLOOKUP(A523,Calendar!$A$1:$H$9997,6,FALSE)-F523</f>
        <v/>
      </c>
      <c r="H523" s="19" t="n">
        <v>2</v>
      </c>
      <c r="I523" s="57" t="n">
        <v>6</v>
      </c>
    </row>
    <row r="524">
      <c r="A524" s="62" t="n">
        <v>46635</v>
      </c>
      <c r="B524" s="3" t="inlineStr">
        <is>
          <t>Sun</t>
        </is>
      </c>
      <c r="C524" s="19" t="n">
        <v>9</v>
      </c>
      <c r="D524" s="19" t="n">
        <v>2027</v>
      </c>
      <c r="E524" s="57" t="n">
        <v>1</v>
      </c>
      <c r="F524" s="29">
        <f>ROUND(((SUMIFS(Calendar!$F$2:$F$9997,Calendar!$B$2:$B$9997,D524,Calendar!$C$2:$C$9997,C524)*INDEX(ForeCalc!$B$37:$Y$274,MATCH(_xlfn.CONCAT(H524," ",I524),ForeCalc!$A$37:$A$274,0),MATCH(_xlfn.CONCAT(B524," ",E524),ForeCalc!$B$36:$Y$36,0))))*VLOOKUP(A524,Calendar!$A$2:$H$9997,8,FALSE),0)</f>
        <v/>
      </c>
      <c r="G524" s="29">
        <f>VLOOKUP(A524,Calendar!$A$1:$H$9997,6,FALSE)-F524</f>
        <v/>
      </c>
      <c r="H524" s="19" t="n">
        <v>2</v>
      </c>
      <c r="I524" s="57" t="n">
        <v>6</v>
      </c>
    </row>
    <row r="525">
      <c r="A525" s="62" t="n">
        <v>46636</v>
      </c>
      <c r="B525" s="3" t="inlineStr">
        <is>
          <t>Week</t>
        </is>
      </c>
      <c r="C525" s="19" t="n">
        <v>9</v>
      </c>
      <c r="D525" s="19" t="n">
        <v>2027</v>
      </c>
      <c r="E525" s="57" t="n">
        <v>1</v>
      </c>
      <c r="F525" s="29">
        <f>ROUND(((SUMIFS(Calendar!$F$2:$F$9997,Calendar!$B$2:$B$9997,D525,Calendar!$C$2:$C$9997,C525)*INDEX(ForeCalc!$B$37:$Y$274,MATCH(_xlfn.CONCAT(H525," ",I525),ForeCalc!$A$37:$A$274,0),MATCH(_xlfn.CONCAT(B525," ",E525),ForeCalc!$B$36:$Y$36,0))))*VLOOKUP(A525,Calendar!$A$2:$H$9997,8,FALSE),0)</f>
        <v/>
      </c>
      <c r="G525" s="29">
        <f>VLOOKUP(A525,Calendar!$A$1:$H$9997,6,FALSE)-F525</f>
        <v/>
      </c>
      <c r="H525" s="19" t="n">
        <v>2</v>
      </c>
      <c r="I525" s="57" t="n">
        <v>6</v>
      </c>
    </row>
    <row r="526">
      <c r="A526" s="62" t="n">
        <v>46637</v>
      </c>
      <c r="B526" s="3" t="inlineStr">
        <is>
          <t>Week</t>
        </is>
      </c>
      <c r="C526" s="19" t="n">
        <v>9</v>
      </c>
      <c r="D526" s="19" t="n">
        <v>2027</v>
      </c>
      <c r="E526" s="57" t="n">
        <v>1</v>
      </c>
      <c r="F526" s="29">
        <f>ROUND(((SUMIFS(Calendar!$F$2:$F$9997,Calendar!$B$2:$B$9997,D526,Calendar!$C$2:$C$9997,C526)*INDEX(ForeCalc!$B$37:$Y$274,MATCH(_xlfn.CONCAT(H526," ",I526),ForeCalc!$A$37:$A$274,0),MATCH(_xlfn.CONCAT(B526," ",E526),ForeCalc!$B$36:$Y$36,0))))*VLOOKUP(A526,Calendar!$A$2:$H$9997,8,FALSE),0)</f>
        <v/>
      </c>
      <c r="G526" s="29">
        <f>VLOOKUP(A526,Calendar!$A$1:$H$9997,6,FALSE)-F526</f>
        <v/>
      </c>
      <c r="H526" s="19" t="n">
        <v>2</v>
      </c>
      <c r="I526" s="57" t="n">
        <v>6</v>
      </c>
    </row>
    <row r="527">
      <c r="A527" s="62" t="n">
        <v>46638</v>
      </c>
      <c r="B527" s="3" t="inlineStr">
        <is>
          <t>Week</t>
        </is>
      </c>
      <c r="C527" s="19" t="n">
        <v>9</v>
      </c>
      <c r="D527" s="19" t="n">
        <v>2027</v>
      </c>
      <c r="E527" s="57" t="n">
        <v>1</v>
      </c>
      <c r="F527" s="29">
        <f>ROUND(((SUMIFS(Calendar!$F$2:$F$9997,Calendar!$B$2:$B$9997,D527,Calendar!$C$2:$C$9997,C527)*INDEX(ForeCalc!$B$37:$Y$274,MATCH(_xlfn.CONCAT(H527," ",I527),ForeCalc!$A$37:$A$274,0),MATCH(_xlfn.CONCAT(B527," ",E527),ForeCalc!$B$36:$Y$36,0))))*VLOOKUP(A527,Calendar!$A$2:$H$9997,8,FALSE),0)</f>
        <v/>
      </c>
      <c r="G527" s="29">
        <f>VLOOKUP(A527,Calendar!$A$1:$H$9997,6,FALSE)-F527</f>
        <v/>
      </c>
      <c r="H527" s="19" t="n">
        <v>2</v>
      </c>
      <c r="I527" s="57" t="n">
        <v>6</v>
      </c>
    </row>
    <row r="528">
      <c r="A528" s="62" t="n">
        <v>46639</v>
      </c>
      <c r="B528" s="3" t="inlineStr">
        <is>
          <t>Week</t>
        </is>
      </c>
      <c r="C528" s="19" t="n">
        <v>9</v>
      </c>
      <c r="D528" s="19" t="n">
        <v>2027</v>
      </c>
      <c r="E528" s="57" t="n">
        <v>1</v>
      </c>
      <c r="F528" s="29">
        <f>ROUND(((SUMIFS(Calendar!$F$2:$F$9997,Calendar!$B$2:$B$9997,D528,Calendar!$C$2:$C$9997,C528)*INDEX(ForeCalc!$B$37:$Y$274,MATCH(_xlfn.CONCAT(H528," ",I528),ForeCalc!$A$37:$A$274,0),MATCH(_xlfn.CONCAT(B528," ",E528),ForeCalc!$B$36:$Y$36,0))))*VLOOKUP(A528,Calendar!$A$2:$H$9997,8,FALSE),0)</f>
        <v/>
      </c>
      <c r="G528" s="29">
        <f>VLOOKUP(A528,Calendar!$A$1:$H$9997,6,FALSE)-F528</f>
        <v/>
      </c>
      <c r="H528" s="19" t="n">
        <v>2</v>
      </c>
      <c r="I528" s="57" t="n">
        <v>6</v>
      </c>
    </row>
    <row r="529">
      <c r="A529" s="62" t="n">
        <v>46640</v>
      </c>
      <c r="B529" s="3" t="inlineStr">
        <is>
          <t>Week</t>
        </is>
      </c>
      <c r="C529" s="19" t="n">
        <v>9</v>
      </c>
      <c r="D529" s="19" t="n">
        <v>2027</v>
      </c>
      <c r="E529" s="57" t="n">
        <v>1</v>
      </c>
      <c r="F529" s="29">
        <f>ROUND(((SUMIFS(Calendar!$F$2:$F$9997,Calendar!$B$2:$B$9997,D529,Calendar!$C$2:$C$9997,C529)*INDEX(ForeCalc!$B$37:$Y$274,MATCH(_xlfn.CONCAT(H529," ",I529),ForeCalc!$A$37:$A$274,0),MATCH(_xlfn.CONCAT(B529," ",E529),ForeCalc!$B$36:$Y$36,0))))*VLOOKUP(A529,Calendar!$A$2:$H$9997,8,FALSE),0)</f>
        <v/>
      </c>
      <c r="G529" s="29">
        <f>VLOOKUP(A529,Calendar!$A$1:$H$9997,6,FALSE)-F529</f>
        <v/>
      </c>
      <c r="H529" s="19" t="n">
        <v>2</v>
      </c>
      <c r="I529" s="57" t="n">
        <v>6</v>
      </c>
    </row>
    <row r="530">
      <c r="A530" s="62" t="n">
        <v>46641</v>
      </c>
      <c r="B530" s="3" t="inlineStr">
        <is>
          <t>Sat</t>
        </is>
      </c>
      <c r="C530" s="19" t="n">
        <v>9</v>
      </c>
      <c r="D530" s="19" t="n">
        <v>2027</v>
      </c>
      <c r="E530" s="57" t="n">
        <v>1</v>
      </c>
      <c r="F530" s="29">
        <f>ROUND(((SUMIFS(Calendar!$F$2:$F$9997,Calendar!$B$2:$B$9997,D530,Calendar!$C$2:$C$9997,C530)*INDEX(ForeCalc!$B$37:$Y$274,MATCH(_xlfn.CONCAT(H530," ",I530),ForeCalc!$A$37:$A$274,0),MATCH(_xlfn.CONCAT(B530," ",E530),ForeCalc!$B$36:$Y$36,0))))*VLOOKUP(A530,Calendar!$A$2:$H$9997,8,FALSE),0)</f>
        <v/>
      </c>
      <c r="G530" s="29">
        <f>VLOOKUP(A530,Calendar!$A$1:$H$9997,6,FALSE)-F530</f>
        <v/>
      </c>
      <c r="H530" s="19" t="n">
        <v>2</v>
      </c>
      <c r="I530" s="57" t="n">
        <v>6</v>
      </c>
    </row>
    <row r="531">
      <c r="A531" s="62" t="n">
        <v>46642</v>
      </c>
      <c r="B531" s="3" t="inlineStr">
        <is>
          <t>Sun</t>
        </is>
      </c>
      <c r="C531" s="19" t="n">
        <v>9</v>
      </c>
      <c r="D531" s="19" t="n">
        <v>2027</v>
      </c>
      <c r="E531" s="57" t="n">
        <v>1</v>
      </c>
      <c r="F531" s="29">
        <f>ROUND(((SUMIFS(Calendar!$F$2:$F$9997,Calendar!$B$2:$B$9997,D531,Calendar!$C$2:$C$9997,C531)*INDEX(ForeCalc!$B$37:$Y$274,MATCH(_xlfn.CONCAT(H531," ",I531),ForeCalc!$A$37:$A$274,0),MATCH(_xlfn.CONCAT(B531," ",E531),ForeCalc!$B$36:$Y$36,0))))*VLOOKUP(A531,Calendar!$A$2:$H$9997,8,FALSE),0)</f>
        <v/>
      </c>
      <c r="G531" s="29">
        <f>VLOOKUP(A531,Calendar!$A$1:$H$9997,6,FALSE)-F531</f>
        <v/>
      </c>
      <c r="H531" s="19" t="n">
        <v>2</v>
      </c>
      <c r="I531" s="57" t="n">
        <v>6</v>
      </c>
    </row>
    <row r="532">
      <c r="A532" s="62" t="n">
        <v>46643</v>
      </c>
      <c r="B532" s="3" t="inlineStr">
        <is>
          <t>Week</t>
        </is>
      </c>
      <c r="C532" s="19" t="n">
        <v>9</v>
      </c>
      <c r="D532" s="19" t="n">
        <v>2027</v>
      </c>
      <c r="E532" s="57" t="n">
        <v>1</v>
      </c>
      <c r="F532" s="29">
        <f>ROUND(((SUMIFS(Calendar!$F$2:$F$9997,Calendar!$B$2:$B$9997,D532,Calendar!$C$2:$C$9997,C532)*INDEX(ForeCalc!$B$37:$Y$274,MATCH(_xlfn.CONCAT(H532," ",I532),ForeCalc!$A$37:$A$274,0),MATCH(_xlfn.CONCAT(B532," ",E532),ForeCalc!$B$36:$Y$36,0))))*VLOOKUP(A532,Calendar!$A$2:$H$9997,8,FALSE),0)</f>
        <v/>
      </c>
      <c r="G532" s="29">
        <f>VLOOKUP(A532,Calendar!$A$1:$H$9997,6,FALSE)-F532</f>
        <v/>
      </c>
      <c r="H532" s="19" t="n">
        <v>2</v>
      </c>
      <c r="I532" s="57" t="n">
        <v>6</v>
      </c>
    </row>
    <row r="533">
      <c r="A533" s="62" t="n">
        <v>46644</v>
      </c>
      <c r="B533" s="3" t="inlineStr">
        <is>
          <t>Week</t>
        </is>
      </c>
      <c r="C533" s="19" t="n">
        <v>9</v>
      </c>
      <c r="D533" s="19" t="n">
        <v>2027</v>
      </c>
      <c r="E533" s="57" t="n">
        <v>1</v>
      </c>
      <c r="F533" s="29">
        <f>ROUND(((SUMIFS(Calendar!$F$2:$F$9997,Calendar!$B$2:$B$9997,D533,Calendar!$C$2:$C$9997,C533)*INDEX(ForeCalc!$B$37:$Y$274,MATCH(_xlfn.CONCAT(H533," ",I533),ForeCalc!$A$37:$A$274,0),MATCH(_xlfn.CONCAT(B533," ",E533),ForeCalc!$B$36:$Y$36,0))))*VLOOKUP(A533,Calendar!$A$2:$H$9997,8,FALSE),0)</f>
        <v/>
      </c>
      <c r="G533" s="29">
        <f>VLOOKUP(A533,Calendar!$A$1:$H$9997,6,FALSE)-F533</f>
        <v/>
      </c>
      <c r="H533" s="19" t="n">
        <v>2</v>
      </c>
      <c r="I533" s="57" t="n">
        <v>6</v>
      </c>
    </row>
    <row r="534">
      <c r="A534" s="62" t="n">
        <v>46645</v>
      </c>
      <c r="B534" s="3" t="inlineStr">
        <is>
          <t>Week</t>
        </is>
      </c>
      <c r="C534" s="19" t="n">
        <v>9</v>
      </c>
      <c r="D534" s="19" t="n">
        <v>2027</v>
      </c>
      <c r="E534" s="57" t="n">
        <v>1</v>
      </c>
      <c r="F534" s="29">
        <f>ROUND(((SUMIFS(Calendar!$F$2:$F$9997,Calendar!$B$2:$B$9997,D534,Calendar!$C$2:$C$9997,C534)*INDEX(ForeCalc!$B$37:$Y$274,MATCH(_xlfn.CONCAT(H534," ",I534),ForeCalc!$A$37:$A$274,0),MATCH(_xlfn.CONCAT(B534," ",E534),ForeCalc!$B$36:$Y$36,0))))*VLOOKUP(A534,Calendar!$A$2:$H$9997,8,FALSE),0)</f>
        <v/>
      </c>
      <c r="G534" s="29">
        <f>VLOOKUP(A534,Calendar!$A$1:$H$9997,6,FALSE)-F534</f>
        <v/>
      </c>
      <c r="H534" s="19" t="n">
        <v>2</v>
      </c>
      <c r="I534" s="57" t="n">
        <v>6</v>
      </c>
    </row>
    <row r="535">
      <c r="A535" s="62" t="n">
        <v>46646</v>
      </c>
      <c r="B535" s="3" t="inlineStr">
        <is>
          <t>Week</t>
        </is>
      </c>
      <c r="C535" s="19" t="n">
        <v>9</v>
      </c>
      <c r="D535" s="19" t="n">
        <v>2027</v>
      </c>
      <c r="E535" s="57" t="n">
        <v>1</v>
      </c>
      <c r="F535" s="29">
        <f>ROUND(((SUMIFS(Calendar!$F$2:$F$9997,Calendar!$B$2:$B$9997,D535,Calendar!$C$2:$C$9997,C535)*INDEX(ForeCalc!$B$37:$Y$274,MATCH(_xlfn.CONCAT(H535," ",I535),ForeCalc!$A$37:$A$274,0),MATCH(_xlfn.CONCAT(B535," ",E535),ForeCalc!$B$36:$Y$36,0))))*VLOOKUP(A535,Calendar!$A$2:$H$9997,8,FALSE),0)</f>
        <v/>
      </c>
      <c r="G535" s="29">
        <f>VLOOKUP(A535,Calendar!$A$1:$H$9997,6,FALSE)-F535</f>
        <v/>
      </c>
      <c r="H535" s="19" t="n">
        <v>2</v>
      </c>
      <c r="I535" s="57" t="n">
        <v>6</v>
      </c>
    </row>
    <row r="536">
      <c r="A536" s="62" t="n">
        <v>46647</v>
      </c>
      <c r="B536" s="3" t="inlineStr">
        <is>
          <t>Week</t>
        </is>
      </c>
      <c r="C536" s="19" t="n">
        <v>9</v>
      </c>
      <c r="D536" s="19" t="n">
        <v>2027</v>
      </c>
      <c r="E536" s="57" t="n">
        <v>1</v>
      </c>
      <c r="F536" s="29">
        <f>ROUND(((SUMIFS(Calendar!$F$2:$F$9997,Calendar!$B$2:$B$9997,D536,Calendar!$C$2:$C$9997,C536)*INDEX(ForeCalc!$B$37:$Y$274,MATCH(_xlfn.CONCAT(H536," ",I536),ForeCalc!$A$37:$A$274,0),MATCH(_xlfn.CONCAT(B536," ",E536),ForeCalc!$B$36:$Y$36,0))))*VLOOKUP(A536,Calendar!$A$2:$H$9997,8,FALSE),0)</f>
        <v/>
      </c>
      <c r="G536" s="29">
        <f>VLOOKUP(A536,Calendar!$A$1:$H$9997,6,FALSE)-F536</f>
        <v/>
      </c>
      <c r="H536" s="19" t="n">
        <v>2</v>
      </c>
      <c r="I536" s="57" t="n">
        <v>6</v>
      </c>
    </row>
    <row r="537">
      <c r="A537" s="62" t="n">
        <v>46648</v>
      </c>
      <c r="B537" s="3" t="inlineStr">
        <is>
          <t>Sat</t>
        </is>
      </c>
      <c r="C537" s="19" t="n">
        <v>9</v>
      </c>
      <c r="D537" s="19" t="n">
        <v>2027</v>
      </c>
      <c r="E537" s="57" t="n">
        <v>1</v>
      </c>
      <c r="F537" s="29">
        <f>ROUND(((SUMIFS(Calendar!$F$2:$F$9997,Calendar!$B$2:$B$9997,D537,Calendar!$C$2:$C$9997,C537)*INDEX(ForeCalc!$B$37:$Y$274,MATCH(_xlfn.CONCAT(H537," ",I537),ForeCalc!$A$37:$A$274,0),MATCH(_xlfn.CONCAT(B537," ",E537),ForeCalc!$B$36:$Y$36,0))))*VLOOKUP(A537,Calendar!$A$2:$H$9997,8,FALSE),0)</f>
        <v/>
      </c>
      <c r="G537" s="29">
        <f>VLOOKUP(A537,Calendar!$A$1:$H$9997,6,FALSE)-F537</f>
        <v/>
      </c>
      <c r="H537" s="19" t="n">
        <v>2</v>
      </c>
      <c r="I537" s="57" t="n">
        <v>6</v>
      </c>
    </row>
    <row r="538">
      <c r="A538" s="62" t="n">
        <v>46649</v>
      </c>
      <c r="B538" s="3" t="inlineStr">
        <is>
          <t>Sun</t>
        </is>
      </c>
      <c r="C538" s="19" t="n">
        <v>9</v>
      </c>
      <c r="D538" s="19" t="n">
        <v>2027</v>
      </c>
      <c r="E538" s="57" t="n">
        <v>1</v>
      </c>
      <c r="F538" s="29">
        <f>ROUND(((SUMIFS(Calendar!$F$2:$F$9997,Calendar!$B$2:$B$9997,D538,Calendar!$C$2:$C$9997,C538)*INDEX(ForeCalc!$B$37:$Y$274,MATCH(_xlfn.CONCAT(H538," ",I538),ForeCalc!$A$37:$A$274,0),MATCH(_xlfn.CONCAT(B538," ",E538),ForeCalc!$B$36:$Y$36,0))))*VLOOKUP(A538,Calendar!$A$2:$H$9997,8,FALSE),0)</f>
        <v/>
      </c>
      <c r="G538" s="29">
        <f>VLOOKUP(A538,Calendar!$A$1:$H$9997,6,FALSE)-F538</f>
        <v/>
      </c>
      <c r="H538" s="19" t="n">
        <v>2</v>
      </c>
      <c r="I538" s="57" t="n">
        <v>6</v>
      </c>
    </row>
    <row r="539">
      <c r="A539" s="62" t="n">
        <v>46650</v>
      </c>
      <c r="B539" s="3" t="inlineStr">
        <is>
          <t>Week</t>
        </is>
      </c>
      <c r="C539" s="19" t="n">
        <v>9</v>
      </c>
      <c r="D539" s="19" t="n">
        <v>2027</v>
      </c>
      <c r="E539" s="57" t="n">
        <v>1</v>
      </c>
      <c r="F539" s="29">
        <f>ROUND(((SUMIFS(Calendar!$F$2:$F$9997,Calendar!$B$2:$B$9997,D539,Calendar!$C$2:$C$9997,C539)*INDEX(ForeCalc!$B$37:$Y$274,MATCH(_xlfn.CONCAT(H539," ",I539),ForeCalc!$A$37:$A$274,0),MATCH(_xlfn.CONCAT(B539," ",E539),ForeCalc!$B$36:$Y$36,0))))*VLOOKUP(A539,Calendar!$A$2:$H$9997,8,FALSE),0)</f>
        <v/>
      </c>
      <c r="G539" s="29">
        <f>VLOOKUP(A539,Calendar!$A$1:$H$9997,6,FALSE)-F539</f>
        <v/>
      </c>
      <c r="H539" s="19" t="n">
        <v>2</v>
      </c>
      <c r="I539" s="57" t="n">
        <v>6</v>
      </c>
    </row>
    <row r="540">
      <c r="A540" s="62" t="n">
        <v>46651</v>
      </c>
      <c r="B540" s="3" t="inlineStr">
        <is>
          <t>Week</t>
        </is>
      </c>
      <c r="C540" s="19" t="n">
        <v>9</v>
      </c>
      <c r="D540" s="19" t="n">
        <v>2027</v>
      </c>
      <c r="E540" s="57" t="n">
        <v>1</v>
      </c>
      <c r="F540" s="29">
        <f>ROUND(((SUMIFS(Calendar!$F$2:$F$9997,Calendar!$B$2:$B$9997,D540,Calendar!$C$2:$C$9997,C540)*INDEX(ForeCalc!$B$37:$Y$274,MATCH(_xlfn.CONCAT(H540," ",I540),ForeCalc!$A$37:$A$274,0),MATCH(_xlfn.CONCAT(B540," ",E540),ForeCalc!$B$36:$Y$36,0))))*VLOOKUP(A540,Calendar!$A$2:$H$9997,8,FALSE),0)</f>
        <v/>
      </c>
      <c r="G540" s="29">
        <f>VLOOKUP(A540,Calendar!$A$1:$H$9997,6,FALSE)-F540</f>
        <v/>
      </c>
      <c r="H540" s="19" t="n">
        <v>2</v>
      </c>
      <c r="I540" s="57" t="n">
        <v>6</v>
      </c>
    </row>
    <row r="541">
      <c r="A541" s="62" t="n">
        <v>46652</v>
      </c>
      <c r="B541" s="3" t="inlineStr">
        <is>
          <t>Week</t>
        </is>
      </c>
      <c r="C541" s="19" t="n">
        <v>9</v>
      </c>
      <c r="D541" s="19" t="n">
        <v>2027</v>
      </c>
      <c r="E541" s="57" t="n">
        <v>1</v>
      </c>
      <c r="F541" s="29">
        <f>ROUND(((SUMIFS(Calendar!$F$2:$F$9997,Calendar!$B$2:$B$9997,D541,Calendar!$C$2:$C$9997,C541)*INDEX(ForeCalc!$B$37:$Y$274,MATCH(_xlfn.CONCAT(H541," ",I541),ForeCalc!$A$37:$A$274,0),MATCH(_xlfn.CONCAT(B541," ",E541),ForeCalc!$B$36:$Y$36,0))))*VLOOKUP(A541,Calendar!$A$2:$H$9997,8,FALSE),0)</f>
        <v/>
      </c>
      <c r="G541" s="29">
        <f>VLOOKUP(A541,Calendar!$A$1:$H$9997,6,FALSE)-F541</f>
        <v/>
      </c>
      <c r="H541" s="19" t="n">
        <v>2</v>
      </c>
      <c r="I541" s="57" t="n">
        <v>6</v>
      </c>
    </row>
    <row r="542">
      <c r="A542" s="62" t="n">
        <v>46653</v>
      </c>
      <c r="B542" s="3" t="inlineStr">
        <is>
          <t>Week</t>
        </is>
      </c>
      <c r="C542" s="19" t="n">
        <v>9</v>
      </c>
      <c r="D542" s="19" t="n">
        <v>2027</v>
      </c>
      <c r="E542" s="57" t="n">
        <v>1</v>
      </c>
      <c r="F542" s="29">
        <f>ROUND(((SUMIFS(Calendar!$F$2:$F$9997,Calendar!$B$2:$B$9997,D542,Calendar!$C$2:$C$9997,C542)*INDEX(ForeCalc!$B$37:$Y$274,MATCH(_xlfn.CONCAT(H542," ",I542),ForeCalc!$A$37:$A$274,0),MATCH(_xlfn.CONCAT(B542," ",E542),ForeCalc!$B$36:$Y$36,0))))*VLOOKUP(A542,Calendar!$A$2:$H$9997,8,FALSE),0)</f>
        <v/>
      </c>
      <c r="G542" s="29">
        <f>VLOOKUP(A542,Calendar!$A$1:$H$9997,6,FALSE)-F542</f>
        <v/>
      </c>
      <c r="H542" s="19" t="n">
        <v>2</v>
      </c>
      <c r="I542" s="57" t="n">
        <v>6</v>
      </c>
    </row>
    <row r="543">
      <c r="A543" s="62" t="n">
        <v>46654</v>
      </c>
      <c r="B543" s="3" t="inlineStr">
        <is>
          <t>Week</t>
        </is>
      </c>
      <c r="C543" s="19" t="n">
        <v>9</v>
      </c>
      <c r="D543" s="19" t="n">
        <v>2027</v>
      </c>
      <c r="E543" s="57" t="n">
        <v>1</v>
      </c>
      <c r="F543" s="29">
        <f>ROUND(((SUMIFS(Calendar!$F$2:$F$9997,Calendar!$B$2:$B$9997,D543,Calendar!$C$2:$C$9997,C543)*INDEX(ForeCalc!$B$37:$Y$274,MATCH(_xlfn.CONCAT(H543," ",I543),ForeCalc!$A$37:$A$274,0),MATCH(_xlfn.CONCAT(B543," ",E543),ForeCalc!$B$36:$Y$36,0))))*VLOOKUP(A543,Calendar!$A$2:$H$9997,8,FALSE),0)</f>
        <v/>
      </c>
      <c r="G543" s="29">
        <f>VLOOKUP(A543,Calendar!$A$1:$H$9997,6,FALSE)-F543</f>
        <v/>
      </c>
      <c r="H543" s="19" t="n">
        <v>2</v>
      </c>
      <c r="I543" s="57" t="n">
        <v>6</v>
      </c>
    </row>
    <row r="544">
      <c r="A544" s="62" t="n">
        <v>46655</v>
      </c>
      <c r="B544" s="3" t="inlineStr">
        <is>
          <t>Sat</t>
        </is>
      </c>
      <c r="C544" s="19" t="n">
        <v>9</v>
      </c>
      <c r="D544" s="19" t="n">
        <v>2027</v>
      </c>
      <c r="E544" s="57" t="n">
        <v>1</v>
      </c>
      <c r="F544" s="29">
        <f>ROUND(((SUMIFS(Calendar!$F$2:$F$9997,Calendar!$B$2:$B$9997,D544,Calendar!$C$2:$C$9997,C544)*INDEX(ForeCalc!$B$37:$Y$274,MATCH(_xlfn.CONCAT(H544," ",I544),ForeCalc!$A$37:$A$274,0),MATCH(_xlfn.CONCAT(B544," ",E544),ForeCalc!$B$36:$Y$36,0))))*VLOOKUP(A544,Calendar!$A$2:$H$9997,8,FALSE),0)</f>
        <v/>
      </c>
      <c r="G544" s="29">
        <f>VLOOKUP(A544,Calendar!$A$1:$H$9997,6,FALSE)-F544</f>
        <v/>
      </c>
      <c r="H544" s="19" t="n">
        <v>2</v>
      </c>
      <c r="I544" s="57" t="n">
        <v>6</v>
      </c>
    </row>
    <row r="545">
      <c r="A545" s="62" t="n">
        <v>46656</v>
      </c>
      <c r="B545" s="3" t="inlineStr">
        <is>
          <t>Sun</t>
        </is>
      </c>
      <c r="C545" s="19" t="n">
        <v>9</v>
      </c>
      <c r="D545" s="19" t="n">
        <v>2027</v>
      </c>
      <c r="E545" s="57" t="n">
        <v>1</v>
      </c>
      <c r="F545" s="29">
        <f>ROUND(((SUMIFS(Calendar!$F$2:$F$9997,Calendar!$B$2:$B$9997,D545,Calendar!$C$2:$C$9997,C545)*INDEX(ForeCalc!$B$37:$Y$274,MATCH(_xlfn.CONCAT(H545," ",I545),ForeCalc!$A$37:$A$274,0),MATCH(_xlfn.CONCAT(B545," ",E545),ForeCalc!$B$36:$Y$36,0))))*VLOOKUP(A545,Calendar!$A$2:$H$9997,8,FALSE),0)</f>
        <v/>
      </c>
      <c r="G545" s="29">
        <f>VLOOKUP(A545,Calendar!$A$1:$H$9997,6,FALSE)-F545</f>
        <v/>
      </c>
      <c r="H545" s="19" t="n">
        <v>2</v>
      </c>
      <c r="I545" s="57" t="n">
        <v>6</v>
      </c>
    </row>
    <row r="546">
      <c r="A546" s="62" t="n">
        <v>46657</v>
      </c>
      <c r="B546" s="3" t="inlineStr">
        <is>
          <t>Week</t>
        </is>
      </c>
      <c r="C546" s="19" t="n">
        <v>9</v>
      </c>
      <c r="D546" s="19" t="n">
        <v>2027</v>
      </c>
      <c r="E546" s="57" t="n">
        <v>1</v>
      </c>
      <c r="F546" s="29">
        <f>ROUND(((SUMIFS(Calendar!$F$2:$F$9997,Calendar!$B$2:$B$9997,D546,Calendar!$C$2:$C$9997,C546)*INDEX(ForeCalc!$B$37:$Y$274,MATCH(_xlfn.CONCAT(H546," ",I546),ForeCalc!$A$37:$A$274,0),MATCH(_xlfn.CONCAT(B546," ",E546),ForeCalc!$B$36:$Y$36,0))))*VLOOKUP(A546,Calendar!$A$2:$H$9997,8,FALSE),0)</f>
        <v/>
      </c>
      <c r="G546" s="29">
        <f>VLOOKUP(A546,Calendar!$A$1:$H$9997,6,FALSE)-F546</f>
        <v/>
      </c>
      <c r="H546" s="19" t="n">
        <v>2</v>
      </c>
      <c r="I546" s="57" t="n">
        <v>6</v>
      </c>
    </row>
    <row r="547">
      <c r="A547" s="62" t="n">
        <v>46658</v>
      </c>
      <c r="B547" s="3" t="inlineStr">
        <is>
          <t>Week</t>
        </is>
      </c>
      <c r="C547" s="19" t="n">
        <v>9</v>
      </c>
      <c r="D547" s="19" t="n">
        <v>2027</v>
      </c>
      <c r="E547" s="57" t="n">
        <v>1</v>
      </c>
      <c r="F547" s="29">
        <f>ROUND(((SUMIFS(Calendar!$F$2:$F$9997,Calendar!$B$2:$B$9997,D547,Calendar!$C$2:$C$9997,C547)*INDEX(ForeCalc!$B$37:$Y$274,MATCH(_xlfn.CONCAT(H547," ",I547),ForeCalc!$A$37:$A$274,0),MATCH(_xlfn.CONCAT(B547," ",E547),ForeCalc!$B$36:$Y$36,0))))*VLOOKUP(A547,Calendar!$A$2:$H$9997,8,FALSE),0)</f>
        <v/>
      </c>
      <c r="G547" s="29">
        <f>VLOOKUP(A547,Calendar!$A$1:$H$9997,6,FALSE)-F547</f>
        <v/>
      </c>
      <c r="H547" s="19" t="n">
        <v>2</v>
      </c>
      <c r="I547" s="57" t="n">
        <v>6</v>
      </c>
    </row>
    <row r="548">
      <c r="A548" s="62" t="n">
        <v>46659</v>
      </c>
      <c r="B548" s="3" t="inlineStr">
        <is>
          <t>Week</t>
        </is>
      </c>
      <c r="C548" s="19" t="n">
        <v>9</v>
      </c>
      <c r="D548" s="19" t="n">
        <v>2027</v>
      </c>
      <c r="E548" s="57" t="n">
        <v>1</v>
      </c>
      <c r="F548" s="29">
        <f>ROUND(((SUMIFS(Calendar!$F$2:$F$9997,Calendar!$B$2:$B$9997,D548,Calendar!$C$2:$C$9997,C548)*INDEX(ForeCalc!$B$37:$Y$274,MATCH(_xlfn.CONCAT(H548," ",I548),ForeCalc!$A$37:$A$274,0),MATCH(_xlfn.CONCAT(B548," ",E548),ForeCalc!$B$36:$Y$36,0))))*VLOOKUP(A548,Calendar!$A$2:$H$9997,8,FALSE),0)</f>
        <v/>
      </c>
      <c r="G548" s="29">
        <f>VLOOKUP(A548,Calendar!$A$1:$H$9997,6,FALSE)-F548</f>
        <v/>
      </c>
      <c r="H548" s="19" t="n">
        <v>2</v>
      </c>
      <c r="I548" s="57" t="n">
        <v>6</v>
      </c>
    </row>
    <row r="549">
      <c r="A549" s="62" t="n">
        <v>46660</v>
      </c>
      <c r="B549" s="3" t="inlineStr">
        <is>
          <t>Week</t>
        </is>
      </c>
      <c r="C549" s="19" t="n">
        <v>9</v>
      </c>
      <c r="D549" s="19" t="n">
        <v>2027</v>
      </c>
      <c r="E549" s="57" t="n">
        <v>1</v>
      </c>
      <c r="F549" s="29">
        <f>ROUND(((SUMIFS(Calendar!$F$2:$F$9997,Calendar!$B$2:$B$9997,D549,Calendar!$C$2:$C$9997,C549)*INDEX(ForeCalc!$B$37:$Y$274,MATCH(_xlfn.CONCAT(H549," ",I549),ForeCalc!$A$37:$A$274,0),MATCH(_xlfn.CONCAT(B549," ",E549),ForeCalc!$B$36:$Y$36,0))))*VLOOKUP(A549,Calendar!$A$2:$H$9997,8,FALSE),0)</f>
        <v/>
      </c>
      <c r="G549" s="29">
        <f>VLOOKUP(A549,Calendar!$A$1:$H$9997,6,FALSE)-F549</f>
        <v/>
      </c>
      <c r="H549" s="19" t="n">
        <v>2</v>
      </c>
      <c r="I549" s="57" t="n">
        <v>6</v>
      </c>
    </row>
    <row r="550">
      <c r="A550" s="62" t="n">
        <v>46661</v>
      </c>
      <c r="B550" s="3" t="inlineStr">
        <is>
          <t>Week</t>
        </is>
      </c>
      <c r="C550" s="19" t="n">
        <v>10</v>
      </c>
      <c r="D550" s="19" t="n">
        <v>2027</v>
      </c>
      <c r="E550" s="57" t="n">
        <v>1</v>
      </c>
      <c r="F550" s="29">
        <f>ROUND(((SUMIFS(Calendar!$F$2:$F$9997,Calendar!$B$2:$B$9997,D550,Calendar!$C$2:$C$9997,C550)*INDEX(ForeCalc!$B$37:$Y$274,MATCH(_xlfn.CONCAT(H550," ",I550),ForeCalc!$A$37:$A$274,0),MATCH(_xlfn.CONCAT(B550," ",E550),ForeCalc!$B$36:$Y$36,0))))*VLOOKUP(A550,Calendar!$A$2:$H$9997,8,FALSE),0)</f>
        <v/>
      </c>
      <c r="G550" s="29">
        <f>VLOOKUP(A550,Calendar!$A$1:$H$9997,6,FALSE)-F550</f>
        <v/>
      </c>
      <c r="H550" s="19" t="n">
        <v>2</v>
      </c>
      <c r="I550" s="57" t="n">
        <v>7</v>
      </c>
    </row>
    <row r="551">
      <c r="A551" s="62" t="n">
        <v>46662</v>
      </c>
      <c r="B551" s="3" t="inlineStr">
        <is>
          <t>Sat</t>
        </is>
      </c>
      <c r="C551" s="19" t="n">
        <v>10</v>
      </c>
      <c r="D551" s="19" t="n">
        <v>2027</v>
      </c>
      <c r="E551" s="57" t="n">
        <v>1</v>
      </c>
      <c r="F551" s="29">
        <f>ROUND(((SUMIFS(Calendar!$F$2:$F$9997,Calendar!$B$2:$B$9997,D551,Calendar!$C$2:$C$9997,C551)*INDEX(ForeCalc!$B$37:$Y$274,MATCH(_xlfn.CONCAT(H551," ",I551),ForeCalc!$A$37:$A$274,0),MATCH(_xlfn.CONCAT(B551," ",E551),ForeCalc!$B$36:$Y$36,0))))*VLOOKUP(A551,Calendar!$A$2:$H$9997,8,FALSE),0)</f>
        <v/>
      </c>
      <c r="G551" s="29">
        <f>VLOOKUP(A551,Calendar!$A$1:$H$9997,6,FALSE)-F551</f>
        <v/>
      </c>
      <c r="H551" s="19" t="n">
        <v>2</v>
      </c>
      <c r="I551" s="57" t="n">
        <v>7</v>
      </c>
    </row>
    <row r="552">
      <c r="A552" s="62" t="n">
        <v>46663</v>
      </c>
      <c r="B552" s="3" t="inlineStr">
        <is>
          <t>Sun</t>
        </is>
      </c>
      <c r="C552" s="19" t="n">
        <v>10</v>
      </c>
      <c r="D552" s="19" t="n">
        <v>2027</v>
      </c>
      <c r="E552" s="57" t="n">
        <v>1</v>
      </c>
      <c r="F552" s="29">
        <f>ROUND(((SUMIFS(Calendar!$F$2:$F$9997,Calendar!$B$2:$B$9997,D552,Calendar!$C$2:$C$9997,C552)*INDEX(ForeCalc!$B$37:$Y$274,MATCH(_xlfn.CONCAT(H552," ",I552),ForeCalc!$A$37:$A$274,0),MATCH(_xlfn.CONCAT(B552," ",E552),ForeCalc!$B$36:$Y$36,0))))*VLOOKUP(A552,Calendar!$A$2:$H$9997,8,FALSE),0)</f>
        <v/>
      </c>
      <c r="G552" s="29">
        <f>VLOOKUP(A552,Calendar!$A$1:$H$9997,6,FALSE)-F552</f>
        <v/>
      </c>
      <c r="H552" s="19" t="n">
        <v>2</v>
      </c>
      <c r="I552" s="57" t="n">
        <v>7</v>
      </c>
    </row>
    <row r="553">
      <c r="A553" s="62" t="n">
        <v>46664</v>
      </c>
      <c r="B553" s="3" t="inlineStr">
        <is>
          <t>Week</t>
        </is>
      </c>
      <c r="C553" s="19" t="n">
        <v>10</v>
      </c>
      <c r="D553" s="19" t="n">
        <v>2027</v>
      </c>
      <c r="E553" s="57" t="n">
        <v>1</v>
      </c>
      <c r="F553" s="29">
        <f>ROUND(((SUMIFS(Calendar!$F$2:$F$9997,Calendar!$B$2:$B$9997,D553,Calendar!$C$2:$C$9997,C553)*INDEX(ForeCalc!$B$37:$Y$274,MATCH(_xlfn.CONCAT(H553," ",I553),ForeCalc!$A$37:$A$274,0),MATCH(_xlfn.CONCAT(B553," ",E553),ForeCalc!$B$36:$Y$36,0))))*VLOOKUP(A553,Calendar!$A$2:$H$9997,8,FALSE),0)</f>
        <v/>
      </c>
      <c r="G553" s="29">
        <f>VLOOKUP(A553,Calendar!$A$1:$H$9997,6,FALSE)-F553</f>
        <v/>
      </c>
      <c r="H553" s="19" t="n">
        <v>2</v>
      </c>
      <c r="I553" s="57" t="n">
        <v>7</v>
      </c>
    </row>
    <row r="554">
      <c r="A554" s="62" t="n">
        <v>46665</v>
      </c>
      <c r="B554" s="3" t="inlineStr">
        <is>
          <t>Week</t>
        </is>
      </c>
      <c r="C554" s="19" t="n">
        <v>10</v>
      </c>
      <c r="D554" s="19" t="n">
        <v>2027</v>
      </c>
      <c r="E554" s="57" t="n">
        <v>1</v>
      </c>
      <c r="F554" s="29">
        <f>ROUND(((SUMIFS(Calendar!$F$2:$F$9997,Calendar!$B$2:$B$9997,D554,Calendar!$C$2:$C$9997,C554)*INDEX(ForeCalc!$B$37:$Y$274,MATCH(_xlfn.CONCAT(H554," ",I554),ForeCalc!$A$37:$A$274,0),MATCH(_xlfn.CONCAT(B554," ",E554),ForeCalc!$B$36:$Y$36,0))))*VLOOKUP(A554,Calendar!$A$2:$H$9997,8,FALSE),0)</f>
        <v/>
      </c>
      <c r="G554" s="29">
        <f>VLOOKUP(A554,Calendar!$A$1:$H$9997,6,FALSE)-F554</f>
        <v/>
      </c>
      <c r="H554" s="19" t="n">
        <v>2</v>
      </c>
      <c r="I554" s="57" t="n">
        <v>7</v>
      </c>
    </row>
    <row r="555">
      <c r="A555" s="62" t="n">
        <v>46666</v>
      </c>
      <c r="B555" s="3" t="inlineStr">
        <is>
          <t>Week</t>
        </is>
      </c>
      <c r="C555" s="19" t="n">
        <v>10</v>
      </c>
      <c r="D555" s="19" t="n">
        <v>2027</v>
      </c>
      <c r="E555" s="57" t="n">
        <v>1</v>
      </c>
      <c r="F555" s="29">
        <f>ROUND(((SUMIFS(Calendar!$F$2:$F$9997,Calendar!$B$2:$B$9997,D555,Calendar!$C$2:$C$9997,C555)*INDEX(ForeCalc!$B$37:$Y$274,MATCH(_xlfn.CONCAT(H555," ",I555),ForeCalc!$A$37:$A$274,0),MATCH(_xlfn.CONCAT(B555," ",E555),ForeCalc!$B$36:$Y$36,0))))*VLOOKUP(A555,Calendar!$A$2:$H$9997,8,FALSE),0)</f>
        <v/>
      </c>
      <c r="G555" s="29">
        <f>VLOOKUP(A555,Calendar!$A$1:$H$9997,6,FALSE)-F555</f>
        <v/>
      </c>
      <c r="H555" s="19" t="n">
        <v>2</v>
      </c>
      <c r="I555" s="57" t="n">
        <v>7</v>
      </c>
    </row>
    <row r="556">
      <c r="A556" s="62" t="n">
        <v>46667</v>
      </c>
      <c r="B556" s="3" t="inlineStr">
        <is>
          <t>Week</t>
        </is>
      </c>
      <c r="C556" s="19" t="n">
        <v>10</v>
      </c>
      <c r="D556" s="19" t="n">
        <v>2027</v>
      </c>
      <c r="E556" s="57" t="n">
        <v>1</v>
      </c>
      <c r="F556" s="29">
        <f>ROUND(((SUMIFS(Calendar!$F$2:$F$9997,Calendar!$B$2:$B$9997,D556,Calendar!$C$2:$C$9997,C556)*INDEX(ForeCalc!$B$37:$Y$274,MATCH(_xlfn.CONCAT(H556," ",I556),ForeCalc!$A$37:$A$274,0),MATCH(_xlfn.CONCAT(B556," ",E556),ForeCalc!$B$36:$Y$36,0))))*VLOOKUP(A556,Calendar!$A$2:$H$9997,8,FALSE),0)</f>
        <v/>
      </c>
      <c r="G556" s="29">
        <f>VLOOKUP(A556,Calendar!$A$1:$H$9997,6,FALSE)-F556</f>
        <v/>
      </c>
      <c r="H556" s="19" t="n">
        <v>2</v>
      </c>
      <c r="I556" s="57" t="n">
        <v>7</v>
      </c>
    </row>
    <row r="557">
      <c r="A557" s="62" t="n">
        <v>46668</v>
      </c>
      <c r="B557" s="3" t="inlineStr">
        <is>
          <t>Week</t>
        </is>
      </c>
      <c r="C557" s="19" t="n">
        <v>10</v>
      </c>
      <c r="D557" s="19" t="n">
        <v>2027</v>
      </c>
      <c r="E557" s="57" t="n">
        <v>1</v>
      </c>
      <c r="F557" s="29">
        <f>ROUND(((SUMIFS(Calendar!$F$2:$F$9997,Calendar!$B$2:$B$9997,D557,Calendar!$C$2:$C$9997,C557)*INDEX(ForeCalc!$B$37:$Y$274,MATCH(_xlfn.CONCAT(H557," ",I557),ForeCalc!$A$37:$A$274,0),MATCH(_xlfn.CONCAT(B557," ",E557),ForeCalc!$B$36:$Y$36,0))))*VLOOKUP(A557,Calendar!$A$2:$H$9997,8,FALSE),0)</f>
        <v/>
      </c>
      <c r="G557" s="29">
        <f>VLOOKUP(A557,Calendar!$A$1:$H$9997,6,FALSE)-F557</f>
        <v/>
      </c>
      <c r="H557" s="19" t="n">
        <v>2</v>
      </c>
      <c r="I557" s="57" t="n">
        <v>7</v>
      </c>
    </row>
    <row r="558">
      <c r="A558" s="62" t="n">
        <v>46669</v>
      </c>
      <c r="B558" s="3" t="inlineStr">
        <is>
          <t>Sat</t>
        </is>
      </c>
      <c r="C558" s="19" t="n">
        <v>10</v>
      </c>
      <c r="D558" s="19" t="n">
        <v>2027</v>
      </c>
      <c r="E558" s="57" t="n">
        <v>1</v>
      </c>
      <c r="F558" s="29">
        <f>ROUND(((SUMIFS(Calendar!$F$2:$F$9997,Calendar!$B$2:$B$9997,D558,Calendar!$C$2:$C$9997,C558)*INDEX(ForeCalc!$B$37:$Y$274,MATCH(_xlfn.CONCAT(H558," ",I558),ForeCalc!$A$37:$A$274,0),MATCH(_xlfn.CONCAT(B558," ",E558),ForeCalc!$B$36:$Y$36,0))))*VLOOKUP(A558,Calendar!$A$2:$H$9997,8,FALSE),0)</f>
        <v/>
      </c>
      <c r="G558" s="29">
        <f>VLOOKUP(A558,Calendar!$A$1:$H$9997,6,FALSE)-F558</f>
        <v/>
      </c>
      <c r="H558" s="19" t="n">
        <v>2</v>
      </c>
      <c r="I558" s="57" t="n">
        <v>7</v>
      </c>
    </row>
    <row r="559">
      <c r="A559" s="62" t="n">
        <v>46670</v>
      </c>
      <c r="B559" s="3" t="inlineStr">
        <is>
          <t>Sun</t>
        </is>
      </c>
      <c r="C559" s="19" t="n">
        <v>10</v>
      </c>
      <c r="D559" s="19" t="n">
        <v>2027</v>
      </c>
      <c r="E559" s="57" t="n">
        <v>1</v>
      </c>
      <c r="F559" s="29">
        <f>ROUND(((SUMIFS(Calendar!$F$2:$F$9997,Calendar!$B$2:$B$9997,D559,Calendar!$C$2:$C$9997,C559)*INDEX(ForeCalc!$B$37:$Y$274,MATCH(_xlfn.CONCAT(H559," ",I559),ForeCalc!$A$37:$A$274,0),MATCH(_xlfn.CONCAT(B559," ",E559),ForeCalc!$B$36:$Y$36,0))))*VLOOKUP(A559,Calendar!$A$2:$H$9997,8,FALSE),0)</f>
        <v/>
      </c>
      <c r="G559" s="29">
        <f>VLOOKUP(A559,Calendar!$A$1:$H$9997,6,FALSE)-F559</f>
        <v/>
      </c>
      <c r="H559" s="19" t="n">
        <v>2</v>
      </c>
      <c r="I559" s="57" t="n">
        <v>7</v>
      </c>
    </row>
    <row r="560">
      <c r="A560" s="62" t="n">
        <v>46671</v>
      </c>
      <c r="B560" s="3" t="inlineStr">
        <is>
          <t>Week</t>
        </is>
      </c>
      <c r="C560" s="19" t="n">
        <v>10</v>
      </c>
      <c r="D560" s="19" t="n">
        <v>2027</v>
      </c>
      <c r="E560" s="57" t="n">
        <v>1</v>
      </c>
      <c r="F560" s="29">
        <f>ROUND(((SUMIFS(Calendar!$F$2:$F$9997,Calendar!$B$2:$B$9997,D560,Calendar!$C$2:$C$9997,C560)*INDEX(ForeCalc!$B$37:$Y$274,MATCH(_xlfn.CONCAT(H560," ",I560),ForeCalc!$A$37:$A$274,0),MATCH(_xlfn.CONCAT(B560," ",E560),ForeCalc!$B$36:$Y$36,0))))*VLOOKUP(A560,Calendar!$A$2:$H$9997,8,FALSE),0)</f>
        <v/>
      </c>
      <c r="G560" s="29">
        <f>VLOOKUP(A560,Calendar!$A$1:$H$9997,6,FALSE)-F560</f>
        <v/>
      </c>
      <c r="H560" s="19" t="n">
        <v>2</v>
      </c>
      <c r="I560" s="57" t="n">
        <v>7</v>
      </c>
    </row>
    <row r="561">
      <c r="A561" s="62" t="n">
        <v>46672</v>
      </c>
      <c r="B561" s="3" t="inlineStr">
        <is>
          <t>Week</t>
        </is>
      </c>
      <c r="C561" s="19" t="n">
        <v>10</v>
      </c>
      <c r="D561" s="19" t="n">
        <v>2027</v>
      </c>
      <c r="E561" s="57" t="n">
        <v>1</v>
      </c>
      <c r="F561" s="29">
        <f>ROUND(((SUMIFS(Calendar!$F$2:$F$9997,Calendar!$B$2:$B$9997,D561,Calendar!$C$2:$C$9997,C561)*INDEX(ForeCalc!$B$37:$Y$274,MATCH(_xlfn.CONCAT(H561," ",I561),ForeCalc!$A$37:$A$274,0),MATCH(_xlfn.CONCAT(B561," ",E561),ForeCalc!$B$36:$Y$36,0))))*VLOOKUP(A561,Calendar!$A$2:$H$9997,8,FALSE),0)</f>
        <v/>
      </c>
      <c r="G561" s="29">
        <f>VLOOKUP(A561,Calendar!$A$1:$H$9997,6,FALSE)-F561</f>
        <v/>
      </c>
      <c r="H561" s="19" t="n">
        <v>2</v>
      </c>
      <c r="I561" s="57" t="n">
        <v>7</v>
      </c>
    </row>
    <row r="562">
      <c r="A562" s="62" t="n">
        <v>46673</v>
      </c>
      <c r="B562" s="3" t="inlineStr">
        <is>
          <t>Week</t>
        </is>
      </c>
      <c r="C562" s="19" t="n">
        <v>10</v>
      </c>
      <c r="D562" s="19" t="n">
        <v>2027</v>
      </c>
      <c r="E562" s="57" t="n">
        <v>1</v>
      </c>
      <c r="F562" s="29">
        <f>ROUND(((SUMIFS(Calendar!$F$2:$F$9997,Calendar!$B$2:$B$9997,D562,Calendar!$C$2:$C$9997,C562)*INDEX(ForeCalc!$B$37:$Y$274,MATCH(_xlfn.CONCAT(H562," ",I562),ForeCalc!$A$37:$A$274,0),MATCH(_xlfn.CONCAT(B562," ",E562),ForeCalc!$B$36:$Y$36,0))))*VLOOKUP(A562,Calendar!$A$2:$H$9997,8,FALSE),0)</f>
        <v/>
      </c>
      <c r="G562" s="29">
        <f>VLOOKUP(A562,Calendar!$A$1:$H$9997,6,FALSE)-F562</f>
        <v/>
      </c>
      <c r="H562" s="19" t="n">
        <v>2</v>
      </c>
      <c r="I562" s="57" t="n">
        <v>7</v>
      </c>
    </row>
    <row r="563">
      <c r="A563" s="62" t="n">
        <v>46674</v>
      </c>
      <c r="B563" s="3" t="inlineStr">
        <is>
          <t>Week</t>
        </is>
      </c>
      <c r="C563" s="19" t="n">
        <v>10</v>
      </c>
      <c r="D563" s="19" t="n">
        <v>2027</v>
      </c>
      <c r="E563" s="57" t="n">
        <v>1</v>
      </c>
      <c r="F563" s="29">
        <f>ROUND(((SUMIFS(Calendar!$F$2:$F$9997,Calendar!$B$2:$B$9997,D563,Calendar!$C$2:$C$9997,C563)*INDEX(ForeCalc!$B$37:$Y$274,MATCH(_xlfn.CONCAT(H563," ",I563),ForeCalc!$A$37:$A$274,0),MATCH(_xlfn.CONCAT(B563," ",E563),ForeCalc!$B$36:$Y$36,0))))*VLOOKUP(A563,Calendar!$A$2:$H$9997,8,FALSE),0)</f>
        <v/>
      </c>
      <c r="G563" s="29">
        <f>VLOOKUP(A563,Calendar!$A$1:$H$9997,6,FALSE)-F563</f>
        <v/>
      </c>
      <c r="H563" s="19" t="n">
        <v>2</v>
      </c>
      <c r="I563" s="57" t="n">
        <v>7</v>
      </c>
    </row>
    <row r="564">
      <c r="A564" s="62" t="n">
        <v>46675</v>
      </c>
      <c r="B564" s="3" t="inlineStr">
        <is>
          <t>Week</t>
        </is>
      </c>
      <c r="C564" s="19" t="n">
        <v>10</v>
      </c>
      <c r="D564" s="19" t="n">
        <v>2027</v>
      </c>
      <c r="E564" s="57" t="n">
        <v>1</v>
      </c>
      <c r="F564" s="29">
        <f>ROUND(((SUMIFS(Calendar!$F$2:$F$9997,Calendar!$B$2:$B$9997,D564,Calendar!$C$2:$C$9997,C564)*INDEX(ForeCalc!$B$37:$Y$274,MATCH(_xlfn.CONCAT(H564," ",I564),ForeCalc!$A$37:$A$274,0),MATCH(_xlfn.CONCAT(B564," ",E564),ForeCalc!$B$36:$Y$36,0))))*VLOOKUP(A564,Calendar!$A$2:$H$9997,8,FALSE),0)</f>
        <v/>
      </c>
      <c r="G564" s="29">
        <f>VLOOKUP(A564,Calendar!$A$1:$H$9997,6,FALSE)-F564</f>
        <v/>
      </c>
      <c r="H564" s="19" t="n">
        <v>2</v>
      </c>
      <c r="I564" s="57" t="n">
        <v>7</v>
      </c>
    </row>
    <row r="565">
      <c r="A565" s="62" t="n">
        <v>46676</v>
      </c>
      <c r="B565" s="3" t="inlineStr">
        <is>
          <t>Sat</t>
        </is>
      </c>
      <c r="C565" s="19" t="n">
        <v>10</v>
      </c>
      <c r="D565" s="19" t="n">
        <v>2027</v>
      </c>
      <c r="E565" s="57" t="n">
        <v>1</v>
      </c>
      <c r="F565" s="29">
        <f>ROUND(((SUMIFS(Calendar!$F$2:$F$9997,Calendar!$B$2:$B$9997,D565,Calendar!$C$2:$C$9997,C565)*INDEX(ForeCalc!$B$37:$Y$274,MATCH(_xlfn.CONCAT(H565," ",I565),ForeCalc!$A$37:$A$274,0),MATCH(_xlfn.CONCAT(B565," ",E565),ForeCalc!$B$36:$Y$36,0))))*VLOOKUP(A565,Calendar!$A$2:$H$9997,8,FALSE),0)</f>
        <v/>
      </c>
      <c r="G565" s="29">
        <f>VLOOKUP(A565,Calendar!$A$1:$H$9997,6,FALSE)-F565</f>
        <v/>
      </c>
      <c r="H565" s="19" t="n">
        <v>2</v>
      </c>
      <c r="I565" s="57" t="n">
        <v>7</v>
      </c>
    </row>
    <row r="566">
      <c r="A566" s="62" t="n">
        <v>46677</v>
      </c>
      <c r="B566" s="3" t="inlineStr">
        <is>
          <t>Sun</t>
        </is>
      </c>
      <c r="C566" s="19" t="n">
        <v>10</v>
      </c>
      <c r="D566" s="19" t="n">
        <v>2027</v>
      </c>
      <c r="E566" s="57" t="n">
        <v>1</v>
      </c>
      <c r="F566" s="29">
        <f>ROUND(((SUMIFS(Calendar!$F$2:$F$9997,Calendar!$B$2:$B$9997,D566,Calendar!$C$2:$C$9997,C566)*INDEX(ForeCalc!$B$37:$Y$274,MATCH(_xlfn.CONCAT(H566," ",I566),ForeCalc!$A$37:$A$274,0),MATCH(_xlfn.CONCAT(B566," ",E566),ForeCalc!$B$36:$Y$36,0))))*VLOOKUP(A566,Calendar!$A$2:$H$9997,8,FALSE),0)</f>
        <v/>
      </c>
      <c r="G566" s="29">
        <f>VLOOKUP(A566,Calendar!$A$1:$H$9997,6,FALSE)-F566</f>
        <v/>
      </c>
      <c r="H566" s="19" t="n">
        <v>2</v>
      </c>
      <c r="I566" s="57" t="n">
        <v>7</v>
      </c>
    </row>
    <row r="567">
      <c r="A567" s="62" t="n">
        <v>46678</v>
      </c>
      <c r="B567" s="3" t="inlineStr">
        <is>
          <t>Week</t>
        </is>
      </c>
      <c r="C567" s="19" t="n">
        <v>10</v>
      </c>
      <c r="D567" s="19" t="n">
        <v>2027</v>
      </c>
      <c r="E567" s="57" t="n">
        <v>1</v>
      </c>
      <c r="F567" s="29">
        <f>ROUND(((SUMIFS(Calendar!$F$2:$F$9997,Calendar!$B$2:$B$9997,D567,Calendar!$C$2:$C$9997,C567)*INDEX(ForeCalc!$B$37:$Y$274,MATCH(_xlfn.CONCAT(H567," ",I567),ForeCalc!$A$37:$A$274,0),MATCH(_xlfn.CONCAT(B567," ",E567),ForeCalc!$B$36:$Y$36,0))))*VLOOKUP(A567,Calendar!$A$2:$H$9997,8,FALSE),0)</f>
        <v/>
      </c>
      <c r="G567" s="29">
        <f>VLOOKUP(A567,Calendar!$A$1:$H$9997,6,FALSE)-F567</f>
        <v/>
      </c>
      <c r="H567" s="19" t="n">
        <v>2</v>
      </c>
      <c r="I567" s="57" t="n">
        <v>7</v>
      </c>
    </row>
    <row r="568">
      <c r="A568" s="62" t="n">
        <v>46679</v>
      </c>
      <c r="B568" s="3" t="inlineStr">
        <is>
          <t>Week</t>
        </is>
      </c>
      <c r="C568" s="19" t="n">
        <v>10</v>
      </c>
      <c r="D568" s="19" t="n">
        <v>2027</v>
      </c>
      <c r="E568" s="57" t="n">
        <v>1</v>
      </c>
      <c r="F568" s="29">
        <f>ROUND(((SUMIFS(Calendar!$F$2:$F$9997,Calendar!$B$2:$B$9997,D568,Calendar!$C$2:$C$9997,C568)*INDEX(ForeCalc!$B$37:$Y$274,MATCH(_xlfn.CONCAT(H568," ",I568),ForeCalc!$A$37:$A$274,0),MATCH(_xlfn.CONCAT(B568," ",E568),ForeCalc!$B$36:$Y$36,0))))*VLOOKUP(A568,Calendar!$A$2:$H$9997,8,FALSE),0)</f>
        <v/>
      </c>
      <c r="G568" s="29">
        <f>VLOOKUP(A568,Calendar!$A$1:$H$9997,6,FALSE)-F568</f>
        <v/>
      </c>
      <c r="H568" s="19" t="n">
        <v>2</v>
      </c>
      <c r="I568" s="57" t="n">
        <v>7</v>
      </c>
    </row>
    <row r="569">
      <c r="A569" s="62" t="n">
        <v>46680</v>
      </c>
      <c r="B569" s="3" t="inlineStr">
        <is>
          <t>Week</t>
        </is>
      </c>
      <c r="C569" s="19" t="n">
        <v>10</v>
      </c>
      <c r="D569" s="19" t="n">
        <v>2027</v>
      </c>
      <c r="E569" s="57" t="n">
        <v>1</v>
      </c>
      <c r="F569" s="29">
        <f>ROUND(((SUMIFS(Calendar!$F$2:$F$9997,Calendar!$B$2:$B$9997,D569,Calendar!$C$2:$C$9997,C569)*INDEX(ForeCalc!$B$37:$Y$274,MATCH(_xlfn.CONCAT(H569," ",I569),ForeCalc!$A$37:$A$274,0),MATCH(_xlfn.CONCAT(B569," ",E569),ForeCalc!$B$36:$Y$36,0))))*VLOOKUP(A569,Calendar!$A$2:$H$9997,8,FALSE),0)</f>
        <v/>
      </c>
      <c r="G569" s="29">
        <f>VLOOKUP(A569,Calendar!$A$1:$H$9997,6,FALSE)-F569</f>
        <v/>
      </c>
      <c r="H569" s="19" t="n">
        <v>2</v>
      </c>
      <c r="I569" s="57" t="n">
        <v>7</v>
      </c>
    </row>
    <row r="570">
      <c r="A570" s="62" t="n">
        <v>46681</v>
      </c>
      <c r="B570" s="3" t="inlineStr">
        <is>
          <t>Week</t>
        </is>
      </c>
      <c r="C570" s="19" t="n">
        <v>10</v>
      </c>
      <c r="D570" s="19" t="n">
        <v>2027</v>
      </c>
      <c r="E570" s="57" t="n">
        <v>1</v>
      </c>
      <c r="F570" s="29">
        <f>ROUND(((SUMIFS(Calendar!$F$2:$F$9997,Calendar!$B$2:$B$9997,D570,Calendar!$C$2:$C$9997,C570)*INDEX(ForeCalc!$B$37:$Y$274,MATCH(_xlfn.CONCAT(H570," ",I570),ForeCalc!$A$37:$A$274,0),MATCH(_xlfn.CONCAT(B570," ",E570),ForeCalc!$B$36:$Y$36,0))))*VLOOKUP(A570,Calendar!$A$2:$H$9997,8,FALSE),0)</f>
        <v/>
      </c>
      <c r="G570" s="29">
        <f>VLOOKUP(A570,Calendar!$A$1:$H$9997,6,FALSE)-F570</f>
        <v/>
      </c>
      <c r="H570" s="19" t="n">
        <v>2</v>
      </c>
      <c r="I570" s="57" t="n">
        <v>7</v>
      </c>
    </row>
    <row r="571">
      <c r="A571" s="62" t="n">
        <v>46682</v>
      </c>
      <c r="B571" s="3" t="inlineStr">
        <is>
          <t>Week</t>
        </is>
      </c>
      <c r="C571" s="19" t="n">
        <v>10</v>
      </c>
      <c r="D571" s="19" t="n">
        <v>2027</v>
      </c>
      <c r="E571" s="57" t="n">
        <v>1</v>
      </c>
      <c r="F571" s="29">
        <f>ROUND(((SUMIFS(Calendar!$F$2:$F$9997,Calendar!$B$2:$B$9997,D571,Calendar!$C$2:$C$9997,C571)*INDEX(ForeCalc!$B$37:$Y$274,MATCH(_xlfn.CONCAT(H571," ",I571),ForeCalc!$A$37:$A$274,0),MATCH(_xlfn.CONCAT(B571," ",E571),ForeCalc!$B$36:$Y$36,0))))*VLOOKUP(A571,Calendar!$A$2:$H$9997,8,FALSE),0)</f>
        <v/>
      </c>
      <c r="G571" s="29">
        <f>VLOOKUP(A571,Calendar!$A$1:$H$9997,6,FALSE)-F571</f>
        <v/>
      </c>
      <c r="H571" s="19" t="n">
        <v>2</v>
      </c>
      <c r="I571" s="57" t="n">
        <v>7</v>
      </c>
    </row>
    <row r="572">
      <c r="A572" s="62" t="n">
        <v>46683</v>
      </c>
      <c r="B572" s="3" t="inlineStr">
        <is>
          <t>Sat</t>
        </is>
      </c>
      <c r="C572" s="19" t="n">
        <v>10</v>
      </c>
      <c r="D572" s="19" t="n">
        <v>2027</v>
      </c>
      <c r="E572" s="57" t="n">
        <v>1</v>
      </c>
      <c r="F572" s="29">
        <f>ROUND(((SUMIFS(Calendar!$F$2:$F$9997,Calendar!$B$2:$B$9997,D572,Calendar!$C$2:$C$9997,C572)*INDEX(ForeCalc!$B$37:$Y$274,MATCH(_xlfn.CONCAT(H572," ",I572),ForeCalc!$A$37:$A$274,0),MATCH(_xlfn.CONCAT(B572," ",E572),ForeCalc!$B$36:$Y$36,0))))*VLOOKUP(A572,Calendar!$A$2:$H$9997,8,FALSE),0)</f>
        <v/>
      </c>
      <c r="G572" s="29">
        <f>VLOOKUP(A572,Calendar!$A$1:$H$9997,6,FALSE)-F572</f>
        <v/>
      </c>
      <c r="H572" s="19" t="n">
        <v>2</v>
      </c>
      <c r="I572" s="57" t="n">
        <v>7</v>
      </c>
    </row>
    <row r="573">
      <c r="A573" s="62" t="n">
        <v>46684</v>
      </c>
      <c r="B573" s="3" t="inlineStr">
        <is>
          <t>Sun</t>
        </is>
      </c>
      <c r="C573" s="19" t="n">
        <v>10</v>
      </c>
      <c r="D573" s="19" t="n">
        <v>2027</v>
      </c>
      <c r="E573" s="57" t="n">
        <v>1</v>
      </c>
      <c r="F573" s="29">
        <f>ROUND(((SUMIFS(Calendar!$F$2:$F$9997,Calendar!$B$2:$B$9997,D573,Calendar!$C$2:$C$9997,C573)*INDEX(ForeCalc!$B$37:$Y$274,MATCH(_xlfn.CONCAT(H573," ",I573),ForeCalc!$A$37:$A$274,0),MATCH(_xlfn.CONCAT(B573," ",E573),ForeCalc!$B$36:$Y$36,0))))*VLOOKUP(A573,Calendar!$A$2:$H$9997,8,FALSE),0)</f>
        <v/>
      </c>
      <c r="G573" s="29">
        <f>VLOOKUP(A573,Calendar!$A$1:$H$9997,6,FALSE)-F573</f>
        <v/>
      </c>
      <c r="H573" s="19" t="n">
        <v>2</v>
      </c>
      <c r="I573" s="57" t="n">
        <v>7</v>
      </c>
    </row>
    <row r="574">
      <c r="A574" s="62" t="n">
        <v>46685</v>
      </c>
      <c r="B574" s="3" t="inlineStr">
        <is>
          <t>Week</t>
        </is>
      </c>
      <c r="C574" s="19" t="n">
        <v>10</v>
      </c>
      <c r="D574" s="19" t="n">
        <v>2027</v>
      </c>
      <c r="E574" s="57" t="n">
        <v>1</v>
      </c>
      <c r="F574" s="29">
        <f>ROUND(((SUMIFS(Calendar!$F$2:$F$9997,Calendar!$B$2:$B$9997,D574,Calendar!$C$2:$C$9997,C574)*INDEX(ForeCalc!$B$37:$Y$274,MATCH(_xlfn.CONCAT(H574," ",I574),ForeCalc!$A$37:$A$274,0),MATCH(_xlfn.CONCAT(B574," ",E574),ForeCalc!$B$36:$Y$36,0))))*VLOOKUP(A574,Calendar!$A$2:$H$9997,8,FALSE),0)</f>
        <v/>
      </c>
      <c r="G574" s="29">
        <f>VLOOKUP(A574,Calendar!$A$1:$H$9997,6,FALSE)-F574</f>
        <v/>
      </c>
      <c r="H574" s="19" t="n">
        <v>2</v>
      </c>
      <c r="I574" s="57" t="n">
        <v>7</v>
      </c>
    </row>
    <row r="575">
      <c r="A575" s="62" t="n">
        <v>46686</v>
      </c>
      <c r="B575" s="3" t="inlineStr">
        <is>
          <t>Week</t>
        </is>
      </c>
      <c r="C575" s="19" t="n">
        <v>10</v>
      </c>
      <c r="D575" s="19" t="n">
        <v>2027</v>
      </c>
      <c r="E575" s="57" t="n">
        <v>1</v>
      </c>
      <c r="F575" s="29">
        <f>ROUND(((SUMIFS(Calendar!$F$2:$F$9997,Calendar!$B$2:$B$9997,D575,Calendar!$C$2:$C$9997,C575)*INDEX(ForeCalc!$B$37:$Y$274,MATCH(_xlfn.CONCAT(H575," ",I575),ForeCalc!$A$37:$A$274,0),MATCH(_xlfn.CONCAT(B575," ",E575),ForeCalc!$B$36:$Y$36,0))))*VLOOKUP(A575,Calendar!$A$2:$H$9997,8,FALSE),0)</f>
        <v/>
      </c>
      <c r="G575" s="29">
        <f>VLOOKUP(A575,Calendar!$A$1:$H$9997,6,FALSE)-F575</f>
        <v/>
      </c>
      <c r="H575" s="19" t="n">
        <v>2</v>
      </c>
      <c r="I575" s="57" t="n">
        <v>7</v>
      </c>
    </row>
    <row r="576">
      <c r="A576" s="62" t="n">
        <v>46687</v>
      </c>
      <c r="B576" s="3" t="inlineStr">
        <is>
          <t>Week</t>
        </is>
      </c>
      <c r="C576" s="19" t="n">
        <v>10</v>
      </c>
      <c r="D576" s="19" t="n">
        <v>2027</v>
      </c>
      <c r="E576" s="57" t="n">
        <v>1</v>
      </c>
      <c r="F576" s="29">
        <f>ROUND(((SUMIFS(Calendar!$F$2:$F$9997,Calendar!$B$2:$B$9997,D576,Calendar!$C$2:$C$9997,C576)*INDEX(ForeCalc!$B$37:$Y$274,MATCH(_xlfn.CONCAT(H576," ",I576),ForeCalc!$A$37:$A$274,0),MATCH(_xlfn.CONCAT(B576," ",E576),ForeCalc!$B$36:$Y$36,0))))*VLOOKUP(A576,Calendar!$A$2:$H$9997,8,FALSE),0)</f>
        <v/>
      </c>
      <c r="G576" s="29">
        <f>VLOOKUP(A576,Calendar!$A$1:$H$9997,6,FALSE)-F576</f>
        <v/>
      </c>
      <c r="H576" s="19" t="n">
        <v>2</v>
      </c>
      <c r="I576" s="57" t="n">
        <v>7</v>
      </c>
    </row>
    <row r="577">
      <c r="A577" s="62" t="n">
        <v>46688</v>
      </c>
      <c r="B577" s="3" t="inlineStr">
        <is>
          <t>Week</t>
        </is>
      </c>
      <c r="C577" s="19" t="n">
        <v>10</v>
      </c>
      <c r="D577" s="19" t="n">
        <v>2027</v>
      </c>
      <c r="E577" s="57" t="n">
        <v>1</v>
      </c>
      <c r="F577" s="29">
        <f>ROUND(((SUMIFS(Calendar!$F$2:$F$9997,Calendar!$B$2:$B$9997,D577,Calendar!$C$2:$C$9997,C577)*INDEX(ForeCalc!$B$37:$Y$274,MATCH(_xlfn.CONCAT(H577," ",I577),ForeCalc!$A$37:$A$274,0),MATCH(_xlfn.CONCAT(B577," ",E577),ForeCalc!$B$36:$Y$36,0))))*VLOOKUP(A577,Calendar!$A$2:$H$9997,8,FALSE),0)</f>
        <v/>
      </c>
      <c r="G577" s="29">
        <f>VLOOKUP(A577,Calendar!$A$1:$H$9997,6,FALSE)-F577</f>
        <v/>
      </c>
      <c r="H577" s="19" t="n">
        <v>2</v>
      </c>
      <c r="I577" s="57" t="n">
        <v>7</v>
      </c>
    </row>
    <row r="578">
      <c r="A578" s="62" t="n">
        <v>46689</v>
      </c>
      <c r="B578" s="3" t="inlineStr">
        <is>
          <t>Week</t>
        </is>
      </c>
      <c r="C578" s="19" t="n">
        <v>10</v>
      </c>
      <c r="D578" s="19" t="n">
        <v>2027</v>
      </c>
      <c r="E578" s="57" t="n">
        <v>1</v>
      </c>
      <c r="F578" s="29">
        <f>ROUND(((SUMIFS(Calendar!$F$2:$F$9997,Calendar!$B$2:$B$9997,D578,Calendar!$C$2:$C$9997,C578)*INDEX(ForeCalc!$B$37:$Y$274,MATCH(_xlfn.CONCAT(H578," ",I578),ForeCalc!$A$37:$A$274,0),MATCH(_xlfn.CONCAT(B578," ",E578),ForeCalc!$B$36:$Y$36,0))))*VLOOKUP(A578,Calendar!$A$2:$H$9997,8,FALSE),0)</f>
        <v/>
      </c>
      <c r="G578" s="29">
        <f>VLOOKUP(A578,Calendar!$A$1:$H$9997,6,FALSE)-F578</f>
        <v/>
      </c>
      <c r="H578" s="19" t="n">
        <v>2</v>
      </c>
      <c r="I578" s="57" t="n">
        <v>7</v>
      </c>
    </row>
    <row r="579">
      <c r="A579" s="62" t="n">
        <v>46690</v>
      </c>
      <c r="B579" s="3" t="inlineStr">
        <is>
          <t>Sat</t>
        </is>
      </c>
      <c r="C579" s="19" t="n">
        <v>10</v>
      </c>
      <c r="D579" s="19" t="n">
        <v>2027</v>
      </c>
      <c r="E579" s="57" t="n">
        <v>1</v>
      </c>
      <c r="F579" s="29">
        <f>ROUND(((SUMIFS(Calendar!$F$2:$F$9997,Calendar!$B$2:$B$9997,D579,Calendar!$C$2:$C$9997,C579)*INDEX(ForeCalc!$B$37:$Y$274,MATCH(_xlfn.CONCAT(H579," ",I579),ForeCalc!$A$37:$A$274,0),MATCH(_xlfn.CONCAT(B579," ",E579),ForeCalc!$B$36:$Y$36,0))))*VLOOKUP(A579,Calendar!$A$2:$H$9997,8,FALSE),0)</f>
        <v/>
      </c>
      <c r="G579" s="29">
        <f>VLOOKUP(A579,Calendar!$A$1:$H$9997,6,FALSE)-F579</f>
        <v/>
      </c>
      <c r="H579" s="19" t="n">
        <v>2</v>
      </c>
      <c r="I579" s="57" t="n">
        <v>7</v>
      </c>
    </row>
    <row r="580">
      <c r="A580" s="62" t="n">
        <v>46691</v>
      </c>
      <c r="B580" s="3" t="inlineStr">
        <is>
          <t>Sun</t>
        </is>
      </c>
      <c r="C580" s="19" t="n">
        <v>10</v>
      </c>
      <c r="D580" s="19" t="n">
        <v>2027</v>
      </c>
      <c r="E580" s="57" t="n">
        <v>1</v>
      </c>
      <c r="F580" s="29">
        <f>ROUND(((SUMIFS(Calendar!$F$2:$F$9997,Calendar!$B$2:$B$9997,D580,Calendar!$C$2:$C$9997,C580)*INDEX(ForeCalc!$B$37:$Y$274,MATCH(_xlfn.CONCAT(H580," ",I580),ForeCalc!$A$37:$A$274,0),MATCH(_xlfn.CONCAT(B580," ",E580),ForeCalc!$B$36:$Y$36,0))))*VLOOKUP(A580,Calendar!$A$2:$H$9997,8,FALSE),0)</f>
        <v/>
      </c>
      <c r="G580" s="29">
        <f>VLOOKUP(A580,Calendar!$A$1:$H$9997,6,FALSE)-F580</f>
        <v/>
      </c>
      <c r="H580" s="19" t="n">
        <v>2</v>
      </c>
      <c r="I580" s="57" t="n">
        <v>7</v>
      </c>
    </row>
    <row r="581">
      <c r="A581" s="62" t="n">
        <v>46692</v>
      </c>
      <c r="B581" s="3" t="inlineStr">
        <is>
          <t>Week</t>
        </is>
      </c>
      <c r="C581" s="19" t="n">
        <v>11</v>
      </c>
      <c r="D581" s="19" t="n">
        <v>2027</v>
      </c>
      <c r="E581" s="57" t="n">
        <v>1</v>
      </c>
      <c r="F581" s="29">
        <f>ROUND(((SUMIFS(Calendar!$F$2:$F$9997,Calendar!$B$2:$B$9997,D581,Calendar!$C$2:$C$9997,C581)*INDEX(ForeCalc!$B$37:$Y$274,MATCH(_xlfn.CONCAT(H581," ",I581),ForeCalc!$A$37:$A$274,0),MATCH(_xlfn.CONCAT(B581," ",E581),ForeCalc!$B$36:$Y$36,0))))*VLOOKUP(A581,Calendar!$A$2:$H$9997,8,FALSE),0)</f>
        <v/>
      </c>
      <c r="G581" s="29">
        <f>VLOOKUP(A581,Calendar!$A$1:$H$9997,6,FALSE)-F581</f>
        <v/>
      </c>
      <c r="H581" s="19" t="n">
        <v>2</v>
      </c>
      <c r="I581" s="57" t="n">
        <v>8</v>
      </c>
    </row>
    <row r="582">
      <c r="A582" s="62" t="n">
        <v>46693</v>
      </c>
      <c r="B582" s="3" t="inlineStr">
        <is>
          <t>Week</t>
        </is>
      </c>
      <c r="C582" s="19" t="n">
        <v>11</v>
      </c>
      <c r="D582" s="19" t="n">
        <v>2027</v>
      </c>
      <c r="E582" s="57" t="n">
        <v>1</v>
      </c>
      <c r="F582" s="29">
        <f>ROUND(((SUMIFS(Calendar!$F$2:$F$9997,Calendar!$B$2:$B$9997,D582,Calendar!$C$2:$C$9997,C582)*INDEX(ForeCalc!$B$37:$Y$274,MATCH(_xlfn.CONCAT(H582," ",I582),ForeCalc!$A$37:$A$274,0),MATCH(_xlfn.CONCAT(B582," ",E582),ForeCalc!$B$36:$Y$36,0))))*VLOOKUP(A582,Calendar!$A$2:$H$9997,8,FALSE),0)</f>
        <v/>
      </c>
      <c r="G582" s="29">
        <f>VLOOKUP(A582,Calendar!$A$1:$H$9997,6,FALSE)-F582</f>
        <v/>
      </c>
      <c r="H582" s="19" t="n">
        <v>2</v>
      </c>
      <c r="I582" s="57" t="n">
        <v>8</v>
      </c>
    </row>
    <row r="583">
      <c r="A583" s="62" t="n">
        <v>46694</v>
      </c>
      <c r="B583" s="3" t="inlineStr">
        <is>
          <t>Week</t>
        </is>
      </c>
      <c r="C583" s="19" t="n">
        <v>11</v>
      </c>
      <c r="D583" s="19" t="n">
        <v>2027</v>
      </c>
      <c r="E583" s="57" t="n">
        <v>1</v>
      </c>
      <c r="F583" s="29">
        <f>ROUND(((SUMIFS(Calendar!$F$2:$F$9997,Calendar!$B$2:$B$9997,D583,Calendar!$C$2:$C$9997,C583)*INDEX(ForeCalc!$B$37:$Y$274,MATCH(_xlfn.CONCAT(H583," ",I583),ForeCalc!$A$37:$A$274,0),MATCH(_xlfn.CONCAT(B583," ",E583),ForeCalc!$B$36:$Y$36,0))))*VLOOKUP(A583,Calendar!$A$2:$H$9997,8,FALSE),0)</f>
        <v/>
      </c>
      <c r="G583" s="29">
        <f>VLOOKUP(A583,Calendar!$A$1:$H$9997,6,FALSE)-F583</f>
        <v/>
      </c>
      <c r="H583" s="19" t="n">
        <v>2</v>
      </c>
      <c r="I583" s="57" t="n">
        <v>8</v>
      </c>
    </row>
    <row r="584">
      <c r="A584" s="62" t="n">
        <v>46695</v>
      </c>
      <c r="B584" s="3" t="inlineStr">
        <is>
          <t>Week</t>
        </is>
      </c>
      <c r="C584" s="19" t="n">
        <v>11</v>
      </c>
      <c r="D584" s="19" t="n">
        <v>2027</v>
      </c>
      <c r="E584" s="57" t="n">
        <v>1</v>
      </c>
      <c r="F584" s="29">
        <f>ROUND(((SUMIFS(Calendar!$F$2:$F$9997,Calendar!$B$2:$B$9997,D584,Calendar!$C$2:$C$9997,C584)*INDEX(ForeCalc!$B$37:$Y$274,MATCH(_xlfn.CONCAT(H584," ",I584),ForeCalc!$A$37:$A$274,0),MATCH(_xlfn.CONCAT(B584," ",E584),ForeCalc!$B$36:$Y$36,0))))*VLOOKUP(A584,Calendar!$A$2:$H$9997,8,FALSE),0)</f>
        <v/>
      </c>
      <c r="G584" s="29">
        <f>VLOOKUP(A584,Calendar!$A$1:$H$9997,6,FALSE)-F584</f>
        <v/>
      </c>
      <c r="H584" s="19" t="n">
        <v>2</v>
      </c>
      <c r="I584" s="57" t="n">
        <v>8</v>
      </c>
    </row>
    <row r="585">
      <c r="A585" s="62" t="n">
        <v>46696</v>
      </c>
      <c r="B585" s="3" t="inlineStr">
        <is>
          <t>Week</t>
        </is>
      </c>
      <c r="C585" s="19" t="n">
        <v>11</v>
      </c>
      <c r="D585" s="19" t="n">
        <v>2027</v>
      </c>
      <c r="E585" s="57" t="n">
        <v>1</v>
      </c>
      <c r="F585" s="29">
        <f>ROUND(((SUMIFS(Calendar!$F$2:$F$9997,Calendar!$B$2:$B$9997,D585,Calendar!$C$2:$C$9997,C585)*INDEX(ForeCalc!$B$37:$Y$274,MATCH(_xlfn.CONCAT(H585," ",I585),ForeCalc!$A$37:$A$274,0),MATCH(_xlfn.CONCAT(B585," ",E585),ForeCalc!$B$36:$Y$36,0))))*VLOOKUP(A585,Calendar!$A$2:$H$9997,8,FALSE),0)</f>
        <v/>
      </c>
      <c r="G585" s="29">
        <f>VLOOKUP(A585,Calendar!$A$1:$H$9997,6,FALSE)-F585</f>
        <v/>
      </c>
      <c r="H585" s="19" t="n">
        <v>2</v>
      </c>
      <c r="I585" s="57" t="n">
        <v>8</v>
      </c>
    </row>
    <row r="586">
      <c r="A586" s="62" t="n">
        <v>46697</v>
      </c>
      <c r="B586" s="3" t="inlineStr">
        <is>
          <t>Sat</t>
        </is>
      </c>
      <c r="C586" s="19" t="n">
        <v>11</v>
      </c>
      <c r="D586" s="19" t="n">
        <v>2027</v>
      </c>
      <c r="E586" s="57" t="n">
        <v>1</v>
      </c>
      <c r="F586" s="29">
        <f>ROUND(((SUMIFS(Calendar!$F$2:$F$9997,Calendar!$B$2:$B$9997,D586,Calendar!$C$2:$C$9997,C586)*INDEX(ForeCalc!$B$37:$Y$274,MATCH(_xlfn.CONCAT(H586," ",I586),ForeCalc!$A$37:$A$274,0),MATCH(_xlfn.CONCAT(B586," ",E586),ForeCalc!$B$36:$Y$36,0))))*VLOOKUP(A586,Calendar!$A$2:$H$9997,8,FALSE),0)</f>
        <v/>
      </c>
      <c r="G586" s="29">
        <f>VLOOKUP(A586,Calendar!$A$1:$H$9997,6,FALSE)-F586</f>
        <v/>
      </c>
      <c r="H586" s="19" t="n">
        <v>2</v>
      </c>
      <c r="I586" s="57" t="n">
        <v>8</v>
      </c>
    </row>
    <row r="587">
      <c r="A587" s="62" t="n">
        <v>46698</v>
      </c>
      <c r="B587" s="3" t="inlineStr">
        <is>
          <t>Sun</t>
        </is>
      </c>
      <c r="C587" s="19" t="n">
        <v>11</v>
      </c>
      <c r="D587" s="19" t="n">
        <v>2027</v>
      </c>
      <c r="E587" s="57" t="n">
        <v>1</v>
      </c>
      <c r="F587" s="29">
        <f>ROUND(((SUMIFS(Calendar!$F$2:$F$9997,Calendar!$B$2:$B$9997,D587,Calendar!$C$2:$C$9997,C587)*INDEX(ForeCalc!$B$37:$Y$274,MATCH(_xlfn.CONCAT(H587," ",I587),ForeCalc!$A$37:$A$274,0),MATCH(_xlfn.CONCAT(B587," ",E587),ForeCalc!$B$36:$Y$36,0))))*VLOOKUP(A587,Calendar!$A$2:$H$9997,8,FALSE),0)</f>
        <v/>
      </c>
      <c r="G587" s="29">
        <f>VLOOKUP(A587,Calendar!$A$1:$H$9997,6,FALSE)-F587</f>
        <v/>
      </c>
      <c r="H587" s="19" t="n">
        <v>2</v>
      </c>
      <c r="I587" s="57" t="n">
        <v>8</v>
      </c>
    </row>
    <row r="588">
      <c r="A588" s="62" t="n">
        <v>46699</v>
      </c>
      <c r="B588" s="3" t="inlineStr">
        <is>
          <t>Week</t>
        </is>
      </c>
      <c r="C588" s="19" t="n">
        <v>11</v>
      </c>
      <c r="D588" s="19" t="n">
        <v>2027</v>
      </c>
      <c r="E588" s="57" t="n">
        <v>1</v>
      </c>
      <c r="F588" s="29">
        <f>ROUND(((SUMIFS(Calendar!$F$2:$F$9997,Calendar!$B$2:$B$9997,D588,Calendar!$C$2:$C$9997,C588)*INDEX(ForeCalc!$B$37:$Y$274,MATCH(_xlfn.CONCAT(H588," ",I588),ForeCalc!$A$37:$A$274,0),MATCH(_xlfn.CONCAT(B588," ",E588),ForeCalc!$B$36:$Y$36,0))))*VLOOKUP(A588,Calendar!$A$2:$H$9997,8,FALSE),0)</f>
        <v/>
      </c>
      <c r="G588" s="29">
        <f>VLOOKUP(A588,Calendar!$A$1:$H$9997,6,FALSE)-F588</f>
        <v/>
      </c>
      <c r="H588" s="19" t="n">
        <v>2</v>
      </c>
      <c r="I588" s="57" t="n">
        <v>8</v>
      </c>
    </row>
    <row r="589">
      <c r="A589" s="62" t="n">
        <v>46700</v>
      </c>
      <c r="B589" s="3" t="inlineStr">
        <is>
          <t>Week</t>
        </is>
      </c>
      <c r="C589" s="19" t="n">
        <v>11</v>
      </c>
      <c r="D589" s="19" t="n">
        <v>2027</v>
      </c>
      <c r="E589" s="57" t="n">
        <v>1</v>
      </c>
      <c r="F589" s="29">
        <f>ROUND(((SUMIFS(Calendar!$F$2:$F$9997,Calendar!$B$2:$B$9997,D589,Calendar!$C$2:$C$9997,C589)*INDEX(ForeCalc!$B$37:$Y$274,MATCH(_xlfn.CONCAT(H589," ",I589),ForeCalc!$A$37:$A$274,0),MATCH(_xlfn.CONCAT(B589," ",E589),ForeCalc!$B$36:$Y$36,0))))*VLOOKUP(A589,Calendar!$A$2:$H$9997,8,FALSE),0)</f>
        <v/>
      </c>
      <c r="G589" s="29">
        <f>VLOOKUP(A589,Calendar!$A$1:$H$9997,6,FALSE)-F589</f>
        <v/>
      </c>
      <c r="H589" s="19" t="n">
        <v>2</v>
      </c>
      <c r="I589" s="57" t="n">
        <v>8</v>
      </c>
    </row>
    <row r="590">
      <c r="A590" s="62" t="n">
        <v>46701</v>
      </c>
      <c r="B590" s="3" t="inlineStr">
        <is>
          <t>Week</t>
        </is>
      </c>
      <c r="C590" s="19" t="n">
        <v>11</v>
      </c>
      <c r="D590" s="19" t="n">
        <v>2027</v>
      </c>
      <c r="E590" s="57" t="n">
        <v>1</v>
      </c>
      <c r="F590" s="29">
        <f>ROUND(((SUMIFS(Calendar!$F$2:$F$9997,Calendar!$B$2:$B$9997,D590,Calendar!$C$2:$C$9997,C590)*INDEX(ForeCalc!$B$37:$Y$274,MATCH(_xlfn.CONCAT(H590," ",I590),ForeCalc!$A$37:$A$274,0),MATCH(_xlfn.CONCAT(B590," ",E590),ForeCalc!$B$36:$Y$36,0))))*VLOOKUP(A590,Calendar!$A$2:$H$9997,8,FALSE),0)</f>
        <v/>
      </c>
      <c r="G590" s="29">
        <f>VLOOKUP(A590,Calendar!$A$1:$H$9997,6,FALSE)-F590</f>
        <v/>
      </c>
      <c r="H590" s="19" t="n">
        <v>2</v>
      </c>
      <c r="I590" s="57" t="n">
        <v>8</v>
      </c>
    </row>
    <row r="591">
      <c r="A591" s="62" t="n">
        <v>46702</v>
      </c>
      <c r="B591" s="3" t="inlineStr">
        <is>
          <t>Week</t>
        </is>
      </c>
      <c r="C591" s="19" t="n">
        <v>11</v>
      </c>
      <c r="D591" s="19" t="n">
        <v>2027</v>
      </c>
      <c r="E591" s="57" t="n">
        <v>1</v>
      </c>
      <c r="F591" s="29">
        <f>ROUND(((SUMIFS(Calendar!$F$2:$F$9997,Calendar!$B$2:$B$9997,D591,Calendar!$C$2:$C$9997,C591)*INDEX(ForeCalc!$B$37:$Y$274,MATCH(_xlfn.CONCAT(H591," ",I591),ForeCalc!$A$37:$A$274,0),MATCH(_xlfn.CONCAT(B591," ",E591),ForeCalc!$B$36:$Y$36,0))))*VLOOKUP(A591,Calendar!$A$2:$H$9997,8,FALSE),0)</f>
        <v/>
      </c>
      <c r="G591" s="29">
        <f>VLOOKUP(A591,Calendar!$A$1:$H$9997,6,FALSE)-F591</f>
        <v/>
      </c>
      <c r="H591" s="19" t="n">
        <v>2</v>
      </c>
      <c r="I591" s="57" t="n">
        <v>8</v>
      </c>
    </row>
    <row r="592">
      <c r="A592" s="62" t="n">
        <v>46703</v>
      </c>
      <c r="B592" s="3" t="inlineStr">
        <is>
          <t>Week</t>
        </is>
      </c>
      <c r="C592" s="19" t="n">
        <v>11</v>
      </c>
      <c r="D592" s="19" t="n">
        <v>2027</v>
      </c>
      <c r="E592" s="57" t="n">
        <v>1</v>
      </c>
      <c r="F592" s="29">
        <f>ROUND(((SUMIFS(Calendar!$F$2:$F$9997,Calendar!$B$2:$B$9997,D592,Calendar!$C$2:$C$9997,C592)*INDEX(ForeCalc!$B$37:$Y$274,MATCH(_xlfn.CONCAT(H592," ",I592),ForeCalc!$A$37:$A$274,0),MATCH(_xlfn.CONCAT(B592," ",E592),ForeCalc!$B$36:$Y$36,0))))*VLOOKUP(A592,Calendar!$A$2:$H$9997,8,FALSE),0)</f>
        <v/>
      </c>
      <c r="G592" s="29">
        <f>VLOOKUP(A592,Calendar!$A$1:$H$9997,6,FALSE)-F592</f>
        <v/>
      </c>
      <c r="H592" s="19" t="n">
        <v>2</v>
      </c>
      <c r="I592" s="57" t="n">
        <v>8</v>
      </c>
    </row>
    <row r="593">
      <c r="A593" s="62" t="n">
        <v>46704</v>
      </c>
      <c r="B593" s="3" t="inlineStr">
        <is>
          <t>Sat</t>
        </is>
      </c>
      <c r="C593" s="19" t="n">
        <v>11</v>
      </c>
      <c r="D593" s="19" t="n">
        <v>2027</v>
      </c>
      <c r="E593" s="57" t="n">
        <v>1</v>
      </c>
      <c r="F593" s="29">
        <f>ROUND(((SUMIFS(Calendar!$F$2:$F$9997,Calendar!$B$2:$B$9997,D593,Calendar!$C$2:$C$9997,C593)*INDEX(ForeCalc!$B$37:$Y$274,MATCH(_xlfn.CONCAT(H593," ",I593),ForeCalc!$A$37:$A$274,0),MATCH(_xlfn.CONCAT(B593," ",E593),ForeCalc!$B$36:$Y$36,0))))*VLOOKUP(A593,Calendar!$A$2:$H$9997,8,FALSE),0)</f>
        <v/>
      </c>
      <c r="G593" s="29">
        <f>VLOOKUP(A593,Calendar!$A$1:$H$9997,6,FALSE)-F593</f>
        <v/>
      </c>
      <c r="H593" s="19" t="n">
        <v>2</v>
      </c>
      <c r="I593" s="57" t="n">
        <v>8</v>
      </c>
    </row>
    <row r="594">
      <c r="A594" s="62" t="n">
        <v>46705</v>
      </c>
      <c r="B594" s="3" t="inlineStr">
        <is>
          <t>Sun</t>
        </is>
      </c>
      <c r="C594" s="19" t="n">
        <v>11</v>
      </c>
      <c r="D594" s="19" t="n">
        <v>2027</v>
      </c>
      <c r="E594" s="57" t="n">
        <v>1</v>
      </c>
      <c r="F594" s="29">
        <f>ROUND(((SUMIFS(Calendar!$F$2:$F$9997,Calendar!$B$2:$B$9997,D594,Calendar!$C$2:$C$9997,C594)*INDEX(ForeCalc!$B$37:$Y$274,MATCH(_xlfn.CONCAT(H594," ",I594),ForeCalc!$A$37:$A$274,0),MATCH(_xlfn.CONCAT(B594," ",E594),ForeCalc!$B$36:$Y$36,0))))*VLOOKUP(A594,Calendar!$A$2:$H$9997,8,FALSE),0)</f>
        <v/>
      </c>
      <c r="G594" s="29">
        <f>VLOOKUP(A594,Calendar!$A$1:$H$9997,6,FALSE)-F594</f>
        <v/>
      </c>
      <c r="H594" s="19" t="n">
        <v>2</v>
      </c>
      <c r="I594" s="57" t="n">
        <v>8</v>
      </c>
    </row>
    <row r="595">
      <c r="A595" s="62" t="n">
        <v>46706</v>
      </c>
      <c r="B595" s="3" t="inlineStr">
        <is>
          <t>Week</t>
        </is>
      </c>
      <c r="C595" s="19" t="n">
        <v>11</v>
      </c>
      <c r="D595" s="19" t="n">
        <v>2027</v>
      </c>
      <c r="E595" s="57" t="n">
        <v>1</v>
      </c>
      <c r="F595" s="29">
        <f>ROUND(((SUMIFS(Calendar!$F$2:$F$9997,Calendar!$B$2:$B$9997,D595,Calendar!$C$2:$C$9997,C595)*INDEX(ForeCalc!$B$37:$Y$274,MATCH(_xlfn.CONCAT(H595," ",I595),ForeCalc!$A$37:$A$274,0),MATCH(_xlfn.CONCAT(B595," ",E595),ForeCalc!$B$36:$Y$36,0))))*VLOOKUP(A595,Calendar!$A$2:$H$9997,8,FALSE),0)</f>
        <v/>
      </c>
      <c r="G595" s="29">
        <f>VLOOKUP(A595,Calendar!$A$1:$H$9997,6,FALSE)-F595</f>
        <v/>
      </c>
      <c r="H595" s="19" t="n">
        <v>2</v>
      </c>
      <c r="I595" s="57" t="n">
        <v>8</v>
      </c>
    </row>
    <row r="596">
      <c r="A596" s="62" t="n">
        <v>46707</v>
      </c>
      <c r="B596" s="3" t="inlineStr">
        <is>
          <t>Week</t>
        </is>
      </c>
      <c r="C596" s="19" t="n">
        <v>11</v>
      </c>
      <c r="D596" s="19" t="n">
        <v>2027</v>
      </c>
      <c r="E596" s="57" t="n">
        <v>1</v>
      </c>
      <c r="F596" s="29">
        <f>ROUND(((SUMIFS(Calendar!$F$2:$F$9997,Calendar!$B$2:$B$9997,D596,Calendar!$C$2:$C$9997,C596)*INDEX(ForeCalc!$B$37:$Y$274,MATCH(_xlfn.CONCAT(H596," ",I596),ForeCalc!$A$37:$A$274,0),MATCH(_xlfn.CONCAT(B596," ",E596),ForeCalc!$B$36:$Y$36,0))))*VLOOKUP(A596,Calendar!$A$2:$H$9997,8,FALSE),0)</f>
        <v/>
      </c>
      <c r="G596" s="29">
        <f>VLOOKUP(A596,Calendar!$A$1:$H$9997,6,FALSE)-F596</f>
        <v/>
      </c>
      <c r="H596" s="19" t="n">
        <v>2</v>
      </c>
      <c r="I596" s="57" t="n">
        <v>8</v>
      </c>
    </row>
    <row r="597">
      <c r="A597" s="62" t="n">
        <v>46708</v>
      </c>
      <c r="B597" s="3" t="inlineStr">
        <is>
          <t>Week</t>
        </is>
      </c>
      <c r="C597" s="19" t="n">
        <v>11</v>
      </c>
      <c r="D597" s="19" t="n">
        <v>2027</v>
      </c>
      <c r="E597" s="57" t="n">
        <v>1</v>
      </c>
      <c r="F597" s="29">
        <f>ROUND(((SUMIFS(Calendar!$F$2:$F$9997,Calendar!$B$2:$B$9997,D597,Calendar!$C$2:$C$9997,C597)*INDEX(ForeCalc!$B$37:$Y$274,MATCH(_xlfn.CONCAT(H597," ",I597),ForeCalc!$A$37:$A$274,0),MATCH(_xlfn.CONCAT(B597," ",E597),ForeCalc!$B$36:$Y$36,0))))*VLOOKUP(A597,Calendar!$A$2:$H$9997,8,FALSE),0)</f>
        <v/>
      </c>
      <c r="G597" s="29">
        <f>VLOOKUP(A597,Calendar!$A$1:$H$9997,6,FALSE)-F597</f>
        <v/>
      </c>
      <c r="H597" s="19" t="n">
        <v>2</v>
      </c>
      <c r="I597" s="57" t="n">
        <v>8</v>
      </c>
    </row>
    <row r="598">
      <c r="A598" s="62" t="n">
        <v>46709</v>
      </c>
      <c r="B598" s="3" t="inlineStr">
        <is>
          <t>Week</t>
        </is>
      </c>
      <c r="C598" s="19" t="n">
        <v>11</v>
      </c>
      <c r="D598" s="19" t="n">
        <v>2027</v>
      </c>
      <c r="E598" s="57" t="n">
        <v>1</v>
      </c>
      <c r="F598" s="29">
        <f>ROUND(((SUMIFS(Calendar!$F$2:$F$9997,Calendar!$B$2:$B$9997,D598,Calendar!$C$2:$C$9997,C598)*INDEX(ForeCalc!$B$37:$Y$274,MATCH(_xlfn.CONCAT(H598," ",I598),ForeCalc!$A$37:$A$274,0),MATCH(_xlfn.CONCAT(B598," ",E598),ForeCalc!$B$36:$Y$36,0))))*VLOOKUP(A598,Calendar!$A$2:$H$9997,8,FALSE),0)</f>
        <v/>
      </c>
      <c r="G598" s="29">
        <f>VLOOKUP(A598,Calendar!$A$1:$H$9997,6,FALSE)-F598</f>
        <v/>
      </c>
      <c r="H598" s="19" t="n">
        <v>2</v>
      </c>
      <c r="I598" s="57" t="n">
        <v>8</v>
      </c>
    </row>
    <row r="599">
      <c r="A599" s="62" t="n">
        <v>46710</v>
      </c>
      <c r="B599" s="3" t="inlineStr">
        <is>
          <t>Week</t>
        </is>
      </c>
      <c r="C599" s="19" t="n">
        <v>11</v>
      </c>
      <c r="D599" s="19" t="n">
        <v>2027</v>
      </c>
      <c r="E599" s="57" t="n">
        <v>1</v>
      </c>
      <c r="F599" s="29">
        <f>ROUND(((SUMIFS(Calendar!$F$2:$F$9997,Calendar!$B$2:$B$9997,D599,Calendar!$C$2:$C$9997,C599)*INDEX(ForeCalc!$B$37:$Y$274,MATCH(_xlfn.CONCAT(H599," ",I599),ForeCalc!$A$37:$A$274,0),MATCH(_xlfn.CONCAT(B599," ",E599),ForeCalc!$B$36:$Y$36,0))))*VLOOKUP(A599,Calendar!$A$2:$H$9997,8,FALSE),0)</f>
        <v/>
      </c>
      <c r="G599" s="29">
        <f>VLOOKUP(A599,Calendar!$A$1:$H$9997,6,FALSE)-F599</f>
        <v/>
      </c>
      <c r="H599" s="19" t="n">
        <v>2</v>
      </c>
      <c r="I599" s="57" t="n">
        <v>8</v>
      </c>
    </row>
    <row r="600">
      <c r="A600" s="62" t="n">
        <v>46711</v>
      </c>
      <c r="B600" s="3" t="inlineStr">
        <is>
          <t>Sat</t>
        </is>
      </c>
      <c r="C600" s="19" t="n">
        <v>11</v>
      </c>
      <c r="D600" s="19" t="n">
        <v>2027</v>
      </c>
      <c r="E600" s="57" t="n">
        <v>1</v>
      </c>
      <c r="F600" s="29">
        <f>ROUND(((SUMIFS(Calendar!$F$2:$F$9997,Calendar!$B$2:$B$9997,D600,Calendar!$C$2:$C$9997,C600)*INDEX(ForeCalc!$B$37:$Y$274,MATCH(_xlfn.CONCAT(H600," ",I600),ForeCalc!$A$37:$A$274,0),MATCH(_xlfn.CONCAT(B600," ",E600),ForeCalc!$B$36:$Y$36,0))))*VLOOKUP(A600,Calendar!$A$2:$H$9997,8,FALSE),0)</f>
        <v/>
      </c>
      <c r="G600" s="29">
        <f>VLOOKUP(A600,Calendar!$A$1:$H$9997,6,FALSE)-F600</f>
        <v/>
      </c>
      <c r="H600" s="19" t="n">
        <v>2</v>
      </c>
      <c r="I600" s="57" t="n">
        <v>8</v>
      </c>
    </row>
    <row r="601">
      <c r="A601" s="62" t="n">
        <v>46712</v>
      </c>
      <c r="B601" s="3" t="inlineStr">
        <is>
          <t>Sun</t>
        </is>
      </c>
      <c r="C601" s="19" t="n">
        <v>11</v>
      </c>
      <c r="D601" s="19" t="n">
        <v>2027</v>
      </c>
      <c r="E601" s="57" t="n">
        <v>1</v>
      </c>
      <c r="F601" s="29">
        <f>ROUND(((SUMIFS(Calendar!$F$2:$F$9997,Calendar!$B$2:$B$9997,D601,Calendar!$C$2:$C$9997,C601)*INDEX(ForeCalc!$B$37:$Y$274,MATCH(_xlfn.CONCAT(H601," ",I601),ForeCalc!$A$37:$A$274,0),MATCH(_xlfn.CONCAT(B601," ",E601),ForeCalc!$B$36:$Y$36,0))))*VLOOKUP(A601,Calendar!$A$2:$H$9997,8,FALSE),0)</f>
        <v/>
      </c>
      <c r="G601" s="29">
        <f>VLOOKUP(A601,Calendar!$A$1:$H$9997,6,FALSE)-F601</f>
        <v/>
      </c>
      <c r="H601" s="19" t="n">
        <v>2</v>
      </c>
      <c r="I601" s="57" t="n">
        <v>8</v>
      </c>
    </row>
    <row r="602">
      <c r="A602" s="62" t="n">
        <v>46713</v>
      </c>
      <c r="B602" s="3" t="inlineStr">
        <is>
          <t>Week</t>
        </is>
      </c>
      <c r="C602" s="19" t="n">
        <v>11</v>
      </c>
      <c r="D602" s="19" t="n">
        <v>2027</v>
      </c>
      <c r="E602" s="57" t="n">
        <v>1</v>
      </c>
      <c r="F602" s="29">
        <f>ROUND(((SUMIFS(Calendar!$F$2:$F$9997,Calendar!$B$2:$B$9997,D602,Calendar!$C$2:$C$9997,C602)*INDEX(ForeCalc!$B$37:$Y$274,MATCH(_xlfn.CONCAT(H602," ",I602),ForeCalc!$A$37:$A$274,0),MATCH(_xlfn.CONCAT(B602," ",E602),ForeCalc!$B$36:$Y$36,0))))*VLOOKUP(A602,Calendar!$A$2:$H$9997,8,FALSE),0)</f>
        <v/>
      </c>
      <c r="G602" s="29">
        <f>VLOOKUP(A602,Calendar!$A$1:$H$9997,6,FALSE)-F602</f>
        <v/>
      </c>
      <c r="H602" s="19" t="n">
        <v>2</v>
      </c>
      <c r="I602" s="57" t="n">
        <v>8</v>
      </c>
    </row>
    <row r="603">
      <c r="A603" s="62" t="n">
        <v>46714</v>
      </c>
      <c r="B603" s="3" t="inlineStr">
        <is>
          <t>Week</t>
        </is>
      </c>
      <c r="C603" s="19" t="n">
        <v>11</v>
      </c>
      <c r="D603" s="19" t="n">
        <v>2027</v>
      </c>
      <c r="E603" s="57" t="n">
        <v>1</v>
      </c>
      <c r="F603" s="29">
        <f>ROUND(((SUMIFS(Calendar!$F$2:$F$9997,Calendar!$B$2:$B$9997,D603,Calendar!$C$2:$C$9997,C603)*INDEX(ForeCalc!$B$37:$Y$274,MATCH(_xlfn.CONCAT(H603," ",I603),ForeCalc!$A$37:$A$274,0),MATCH(_xlfn.CONCAT(B603," ",E603),ForeCalc!$B$36:$Y$36,0))))*VLOOKUP(A603,Calendar!$A$2:$H$9997,8,FALSE),0)</f>
        <v/>
      </c>
      <c r="G603" s="29">
        <f>VLOOKUP(A603,Calendar!$A$1:$H$9997,6,FALSE)-F603</f>
        <v/>
      </c>
      <c r="H603" s="19" t="n">
        <v>2</v>
      </c>
      <c r="I603" s="57" t="n">
        <v>8</v>
      </c>
    </row>
    <row r="604">
      <c r="A604" s="62" t="n">
        <v>46715</v>
      </c>
      <c r="B604" s="3" t="inlineStr">
        <is>
          <t>Week</t>
        </is>
      </c>
      <c r="C604" s="19" t="n">
        <v>11</v>
      </c>
      <c r="D604" s="19" t="n">
        <v>2027</v>
      </c>
      <c r="E604" s="57" t="n">
        <v>1</v>
      </c>
      <c r="F604" s="29">
        <f>ROUND(((SUMIFS(Calendar!$F$2:$F$9997,Calendar!$B$2:$B$9997,D604,Calendar!$C$2:$C$9997,C604)*INDEX(ForeCalc!$B$37:$Y$274,MATCH(_xlfn.CONCAT(H604," ",I604),ForeCalc!$A$37:$A$274,0),MATCH(_xlfn.CONCAT(B604," ",E604),ForeCalc!$B$36:$Y$36,0))))*VLOOKUP(A604,Calendar!$A$2:$H$9997,8,FALSE),0)</f>
        <v/>
      </c>
      <c r="G604" s="29">
        <f>VLOOKUP(A604,Calendar!$A$1:$H$9997,6,FALSE)-F604</f>
        <v/>
      </c>
      <c r="H604" s="19" t="n">
        <v>2</v>
      </c>
      <c r="I604" s="57" t="n">
        <v>8</v>
      </c>
    </row>
    <row r="605">
      <c r="A605" s="62" t="n">
        <v>46716</v>
      </c>
      <c r="B605" s="3" t="inlineStr">
        <is>
          <t>Week</t>
        </is>
      </c>
      <c r="C605" s="19" t="n">
        <v>11</v>
      </c>
      <c r="D605" s="19" t="n">
        <v>2027</v>
      </c>
      <c r="E605" s="57" t="n">
        <v>1</v>
      </c>
      <c r="F605" s="29">
        <f>ROUND(((SUMIFS(Calendar!$F$2:$F$9997,Calendar!$B$2:$B$9997,D605,Calendar!$C$2:$C$9997,C605)*INDEX(ForeCalc!$B$37:$Y$274,MATCH(_xlfn.CONCAT(H605," ",I605),ForeCalc!$A$37:$A$274,0),MATCH(_xlfn.CONCAT(B605," ",E605),ForeCalc!$B$36:$Y$36,0))))*VLOOKUP(A605,Calendar!$A$2:$H$9997,8,FALSE),0)</f>
        <v/>
      </c>
      <c r="G605" s="29">
        <f>VLOOKUP(A605,Calendar!$A$1:$H$9997,6,FALSE)-F605</f>
        <v/>
      </c>
      <c r="H605" s="19" t="n">
        <v>2</v>
      </c>
      <c r="I605" s="57" t="n">
        <v>8</v>
      </c>
    </row>
    <row r="606">
      <c r="A606" s="62" t="n">
        <v>46717</v>
      </c>
      <c r="B606" s="3" t="inlineStr">
        <is>
          <t>Week</t>
        </is>
      </c>
      <c r="C606" s="19" t="n">
        <v>11</v>
      </c>
      <c r="D606" s="19" t="n">
        <v>2027</v>
      </c>
      <c r="E606" s="57" t="n">
        <v>1</v>
      </c>
      <c r="F606" s="29">
        <f>ROUND(((SUMIFS(Calendar!$F$2:$F$9997,Calendar!$B$2:$B$9997,D606,Calendar!$C$2:$C$9997,C606)*INDEX(ForeCalc!$B$37:$Y$274,MATCH(_xlfn.CONCAT(H606," ",I606),ForeCalc!$A$37:$A$274,0),MATCH(_xlfn.CONCAT(B606," ",E606),ForeCalc!$B$36:$Y$36,0))))*VLOOKUP(A606,Calendar!$A$2:$H$9997,8,FALSE),0)</f>
        <v/>
      </c>
      <c r="G606" s="29">
        <f>VLOOKUP(A606,Calendar!$A$1:$H$9997,6,FALSE)-F606</f>
        <v/>
      </c>
      <c r="H606" s="19" t="n">
        <v>2</v>
      </c>
      <c r="I606" s="57" t="n">
        <v>8</v>
      </c>
    </row>
    <row r="607">
      <c r="A607" s="62" t="n">
        <v>46718</v>
      </c>
      <c r="B607" s="3" t="inlineStr">
        <is>
          <t>Sat</t>
        </is>
      </c>
      <c r="C607" s="19" t="n">
        <v>11</v>
      </c>
      <c r="D607" s="19" t="n">
        <v>2027</v>
      </c>
      <c r="E607" s="57" t="n">
        <v>1</v>
      </c>
      <c r="F607" s="29">
        <f>ROUND(((SUMIFS(Calendar!$F$2:$F$9997,Calendar!$B$2:$B$9997,D607,Calendar!$C$2:$C$9997,C607)*INDEX(ForeCalc!$B$37:$Y$274,MATCH(_xlfn.CONCAT(H607," ",I607),ForeCalc!$A$37:$A$274,0),MATCH(_xlfn.CONCAT(B607," ",E607),ForeCalc!$B$36:$Y$36,0))))*VLOOKUP(A607,Calendar!$A$2:$H$9997,8,FALSE),0)</f>
        <v/>
      </c>
      <c r="G607" s="29">
        <f>VLOOKUP(A607,Calendar!$A$1:$H$9997,6,FALSE)-F607</f>
        <v/>
      </c>
      <c r="H607" s="19" t="n">
        <v>2</v>
      </c>
      <c r="I607" s="57" t="n">
        <v>8</v>
      </c>
    </row>
    <row r="608">
      <c r="A608" s="62" t="n">
        <v>46719</v>
      </c>
      <c r="B608" s="3" t="inlineStr">
        <is>
          <t>Sun</t>
        </is>
      </c>
      <c r="C608" s="19" t="n">
        <v>11</v>
      </c>
      <c r="D608" s="19" t="n">
        <v>2027</v>
      </c>
      <c r="E608" s="57" t="n">
        <v>1</v>
      </c>
      <c r="F608" s="29">
        <f>ROUND(((SUMIFS(Calendar!$F$2:$F$9997,Calendar!$B$2:$B$9997,D608,Calendar!$C$2:$C$9997,C608)*INDEX(ForeCalc!$B$37:$Y$274,MATCH(_xlfn.CONCAT(H608," ",I608),ForeCalc!$A$37:$A$274,0),MATCH(_xlfn.CONCAT(B608," ",E608),ForeCalc!$B$36:$Y$36,0))))*VLOOKUP(A608,Calendar!$A$2:$H$9997,8,FALSE),0)</f>
        <v/>
      </c>
      <c r="G608" s="29">
        <f>VLOOKUP(A608,Calendar!$A$1:$H$9997,6,FALSE)-F608</f>
        <v/>
      </c>
      <c r="H608" s="19" t="n">
        <v>2</v>
      </c>
      <c r="I608" s="57" t="n">
        <v>8</v>
      </c>
    </row>
    <row r="609">
      <c r="A609" s="62" t="n">
        <v>46720</v>
      </c>
      <c r="B609" s="3" t="inlineStr">
        <is>
          <t>Week</t>
        </is>
      </c>
      <c r="C609" s="19" t="n">
        <v>11</v>
      </c>
      <c r="D609" s="19" t="n">
        <v>2027</v>
      </c>
      <c r="E609" s="57" t="n">
        <v>1</v>
      </c>
      <c r="F609" s="29">
        <f>ROUND(((SUMIFS(Calendar!$F$2:$F$9997,Calendar!$B$2:$B$9997,D609,Calendar!$C$2:$C$9997,C609)*INDEX(ForeCalc!$B$37:$Y$274,MATCH(_xlfn.CONCAT(H609," ",I609),ForeCalc!$A$37:$A$274,0),MATCH(_xlfn.CONCAT(B609," ",E609),ForeCalc!$B$36:$Y$36,0))))*VLOOKUP(A609,Calendar!$A$2:$H$9997,8,FALSE),0)</f>
        <v/>
      </c>
      <c r="G609" s="29">
        <f>VLOOKUP(A609,Calendar!$A$1:$H$9997,6,FALSE)-F609</f>
        <v/>
      </c>
      <c r="H609" s="19" t="n">
        <v>2</v>
      </c>
      <c r="I609" s="57" t="n">
        <v>8</v>
      </c>
    </row>
    <row r="610">
      <c r="A610" s="62" t="n">
        <v>46721</v>
      </c>
      <c r="B610" s="3" t="inlineStr">
        <is>
          <t>Week</t>
        </is>
      </c>
      <c r="C610" s="19" t="n">
        <v>11</v>
      </c>
      <c r="D610" s="19" t="n">
        <v>2027</v>
      </c>
      <c r="E610" s="57" t="n">
        <v>1</v>
      </c>
      <c r="F610" s="29">
        <f>ROUND(((SUMIFS(Calendar!$F$2:$F$9997,Calendar!$B$2:$B$9997,D610,Calendar!$C$2:$C$9997,C610)*INDEX(ForeCalc!$B$37:$Y$274,MATCH(_xlfn.CONCAT(H610," ",I610),ForeCalc!$A$37:$A$274,0),MATCH(_xlfn.CONCAT(B610," ",E610),ForeCalc!$B$36:$Y$36,0))))*VLOOKUP(A610,Calendar!$A$2:$H$9997,8,FALSE),0)</f>
        <v/>
      </c>
      <c r="G610" s="29">
        <f>VLOOKUP(A610,Calendar!$A$1:$H$9997,6,FALSE)-F610</f>
        <v/>
      </c>
      <c r="H610" s="19" t="n">
        <v>2</v>
      </c>
      <c r="I610" s="57" t="n">
        <v>8</v>
      </c>
    </row>
    <row r="611">
      <c r="A611" s="62" t="n">
        <v>46722</v>
      </c>
      <c r="B611" s="3" t="inlineStr">
        <is>
          <t>Week</t>
        </is>
      </c>
      <c r="C611" s="19" t="n">
        <v>12</v>
      </c>
      <c r="D611" s="19" t="n">
        <v>2027</v>
      </c>
      <c r="E611" s="57" t="n">
        <v>1</v>
      </c>
      <c r="F611" s="29">
        <f>ROUND(((SUMIFS(Calendar!$F$2:$F$9997,Calendar!$B$2:$B$9997,D611,Calendar!$C$2:$C$9997,C611)*INDEX(ForeCalc!$B$37:$Y$274,MATCH(_xlfn.CONCAT(H611," ",I611),ForeCalc!$A$37:$A$274,0),MATCH(_xlfn.CONCAT(B611," ",E611),ForeCalc!$B$36:$Y$36,0))))*VLOOKUP(A611,Calendar!$A$2:$H$9997,8,FALSE),0)</f>
        <v/>
      </c>
      <c r="G611" s="29">
        <f>VLOOKUP(A611,Calendar!$A$1:$H$9997,6,FALSE)-F611</f>
        <v/>
      </c>
      <c r="H611" s="19" t="n">
        <v>2</v>
      </c>
      <c r="I611" s="57" t="n">
        <v>9</v>
      </c>
    </row>
    <row r="612">
      <c r="A612" s="62" t="n">
        <v>46723</v>
      </c>
      <c r="B612" s="3" t="inlineStr">
        <is>
          <t>Week</t>
        </is>
      </c>
      <c r="C612" s="19" t="n">
        <v>12</v>
      </c>
      <c r="D612" s="19" t="n">
        <v>2027</v>
      </c>
      <c r="E612" s="57" t="n">
        <v>1</v>
      </c>
      <c r="F612" s="29">
        <f>ROUND(((SUMIFS(Calendar!$F$2:$F$9997,Calendar!$B$2:$B$9997,D612,Calendar!$C$2:$C$9997,C612)*INDEX(ForeCalc!$B$37:$Y$274,MATCH(_xlfn.CONCAT(H612," ",I612),ForeCalc!$A$37:$A$274,0),MATCH(_xlfn.CONCAT(B612," ",E612),ForeCalc!$B$36:$Y$36,0))))*VLOOKUP(A612,Calendar!$A$2:$H$9997,8,FALSE),0)</f>
        <v/>
      </c>
      <c r="G612" s="29">
        <f>VLOOKUP(A612,Calendar!$A$1:$H$9997,6,FALSE)-F612</f>
        <v/>
      </c>
      <c r="H612" s="19" t="n">
        <v>2</v>
      </c>
      <c r="I612" s="57" t="n">
        <v>9</v>
      </c>
    </row>
    <row r="613">
      <c r="A613" s="62" t="n">
        <v>46724</v>
      </c>
      <c r="B613" s="3" t="inlineStr">
        <is>
          <t>Week</t>
        </is>
      </c>
      <c r="C613" s="19" t="n">
        <v>12</v>
      </c>
      <c r="D613" s="19" t="n">
        <v>2027</v>
      </c>
      <c r="E613" s="57" t="n">
        <v>1</v>
      </c>
      <c r="F613" s="29">
        <f>ROUND(((SUMIFS(Calendar!$F$2:$F$9997,Calendar!$B$2:$B$9997,D613,Calendar!$C$2:$C$9997,C613)*INDEX(ForeCalc!$B$37:$Y$274,MATCH(_xlfn.CONCAT(H613," ",I613),ForeCalc!$A$37:$A$274,0),MATCH(_xlfn.CONCAT(B613," ",E613),ForeCalc!$B$36:$Y$36,0))))*VLOOKUP(A613,Calendar!$A$2:$H$9997,8,FALSE),0)</f>
        <v/>
      </c>
      <c r="G613" s="29">
        <f>VLOOKUP(A613,Calendar!$A$1:$H$9997,6,FALSE)-F613</f>
        <v/>
      </c>
      <c r="H613" s="19" t="n">
        <v>2</v>
      </c>
      <c r="I613" s="57" t="n">
        <v>9</v>
      </c>
    </row>
    <row r="614">
      <c r="A614" s="62" t="n">
        <v>46725</v>
      </c>
      <c r="B614" s="3" t="inlineStr">
        <is>
          <t>Sat</t>
        </is>
      </c>
      <c r="C614" s="19" t="n">
        <v>12</v>
      </c>
      <c r="D614" s="19" t="n">
        <v>2027</v>
      </c>
      <c r="E614" s="57" t="n">
        <v>1</v>
      </c>
      <c r="F614" s="29">
        <f>ROUND(((SUMIFS(Calendar!$F$2:$F$9997,Calendar!$B$2:$B$9997,D614,Calendar!$C$2:$C$9997,C614)*INDEX(ForeCalc!$B$37:$Y$274,MATCH(_xlfn.CONCAT(H614," ",I614),ForeCalc!$A$37:$A$274,0),MATCH(_xlfn.CONCAT(B614," ",E614),ForeCalc!$B$36:$Y$36,0))))*VLOOKUP(A614,Calendar!$A$2:$H$9997,8,FALSE),0)</f>
        <v/>
      </c>
      <c r="G614" s="29">
        <f>VLOOKUP(A614,Calendar!$A$1:$H$9997,6,FALSE)-F614</f>
        <v/>
      </c>
      <c r="H614" s="19" t="n">
        <v>2</v>
      </c>
      <c r="I614" s="57" t="n">
        <v>9</v>
      </c>
    </row>
    <row r="615">
      <c r="A615" s="62" t="n">
        <v>46726</v>
      </c>
      <c r="B615" s="3" t="inlineStr">
        <is>
          <t>Sun</t>
        </is>
      </c>
      <c r="C615" s="19" t="n">
        <v>12</v>
      </c>
      <c r="D615" s="19" t="n">
        <v>2027</v>
      </c>
      <c r="E615" s="57" t="n">
        <v>1</v>
      </c>
      <c r="F615" s="29">
        <f>ROUND(((SUMIFS(Calendar!$F$2:$F$9997,Calendar!$B$2:$B$9997,D615,Calendar!$C$2:$C$9997,C615)*INDEX(ForeCalc!$B$37:$Y$274,MATCH(_xlfn.CONCAT(H615," ",I615),ForeCalc!$A$37:$A$274,0),MATCH(_xlfn.CONCAT(B615," ",E615),ForeCalc!$B$36:$Y$36,0))))*VLOOKUP(A615,Calendar!$A$2:$H$9997,8,FALSE),0)</f>
        <v/>
      </c>
      <c r="G615" s="29">
        <f>VLOOKUP(A615,Calendar!$A$1:$H$9997,6,FALSE)-F615</f>
        <v/>
      </c>
      <c r="H615" s="19" t="n">
        <v>2</v>
      </c>
      <c r="I615" s="57" t="n">
        <v>9</v>
      </c>
    </row>
    <row r="616">
      <c r="A616" s="62" t="n">
        <v>46727</v>
      </c>
      <c r="B616" s="3" t="inlineStr">
        <is>
          <t>Week</t>
        </is>
      </c>
      <c r="C616" s="19" t="n">
        <v>12</v>
      </c>
      <c r="D616" s="19" t="n">
        <v>2027</v>
      </c>
      <c r="E616" s="57" t="n">
        <v>1</v>
      </c>
      <c r="F616" s="29">
        <f>ROUND(((SUMIFS(Calendar!$F$2:$F$9997,Calendar!$B$2:$B$9997,D616,Calendar!$C$2:$C$9997,C616)*INDEX(ForeCalc!$B$37:$Y$274,MATCH(_xlfn.CONCAT(H616," ",I616),ForeCalc!$A$37:$A$274,0),MATCH(_xlfn.CONCAT(B616," ",E616),ForeCalc!$B$36:$Y$36,0))))*VLOOKUP(A616,Calendar!$A$2:$H$9997,8,FALSE),0)</f>
        <v/>
      </c>
      <c r="G616" s="29">
        <f>VLOOKUP(A616,Calendar!$A$1:$H$9997,6,FALSE)-F616</f>
        <v/>
      </c>
      <c r="H616" s="19" t="n">
        <v>2</v>
      </c>
      <c r="I616" s="57" t="n">
        <v>9</v>
      </c>
    </row>
    <row r="617">
      <c r="A617" s="62" t="n">
        <v>46728</v>
      </c>
      <c r="B617" s="3" t="inlineStr">
        <is>
          <t>Week</t>
        </is>
      </c>
      <c r="C617" s="19" t="n">
        <v>12</v>
      </c>
      <c r="D617" s="19" t="n">
        <v>2027</v>
      </c>
      <c r="E617" s="57" t="n">
        <v>1</v>
      </c>
      <c r="F617" s="29">
        <f>ROUND(((SUMIFS(Calendar!$F$2:$F$9997,Calendar!$B$2:$B$9997,D617,Calendar!$C$2:$C$9997,C617)*INDEX(ForeCalc!$B$37:$Y$274,MATCH(_xlfn.CONCAT(H617," ",I617),ForeCalc!$A$37:$A$274,0),MATCH(_xlfn.CONCAT(B617," ",E617),ForeCalc!$B$36:$Y$36,0))))*VLOOKUP(A617,Calendar!$A$2:$H$9997,8,FALSE),0)</f>
        <v/>
      </c>
      <c r="G617" s="29">
        <f>VLOOKUP(A617,Calendar!$A$1:$H$9997,6,FALSE)-F617</f>
        <v/>
      </c>
      <c r="H617" s="19" t="n">
        <v>2</v>
      </c>
      <c r="I617" s="57" t="n">
        <v>9</v>
      </c>
    </row>
    <row r="618">
      <c r="A618" s="62" t="n">
        <v>46729</v>
      </c>
      <c r="B618" s="3" t="inlineStr">
        <is>
          <t>Week</t>
        </is>
      </c>
      <c r="C618" s="19" t="n">
        <v>12</v>
      </c>
      <c r="D618" s="19" t="n">
        <v>2027</v>
      </c>
      <c r="E618" s="57" t="n">
        <v>1</v>
      </c>
      <c r="F618" s="29">
        <f>ROUND(((SUMIFS(Calendar!$F$2:$F$9997,Calendar!$B$2:$B$9997,D618,Calendar!$C$2:$C$9997,C618)*INDEX(ForeCalc!$B$37:$Y$274,MATCH(_xlfn.CONCAT(H618," ",I618),ForeCalc!$A$37:$A$274,0),MATCH(_xlfn.CONCAT(B618," ",E618),ForeCalc!$B$36:$Y$36,0))))*VLOOKUP(A618,Calendar!$A$2:$H$9997,8,FALSE),0)</f>
        <v/>
      </c>
      <c r="G618" s="29">
        <f>VLOOKUP(A618,Calendar!$A$1:$H$9997,6,FALSE)-F618</f>
        <v/>
      </c>
      <c r="H618" s="19" t="n">
        <v>2</v>
      </c>
      <c r="I618" s="57" t="n">
        <v>9</v>
      </c>
    </row>
    <row r="619">
      <c r="A619" s="62" t="n">
        <v>46730</v>
      </c>
      <c r="B619" s="3" t="inlineStr">
        <is>
          <t>Week</t>
        </is>
      </c>
      <c r="C619" s="19" t="n">
        <v>12</v>
      </c>
      <c r="D619" s="19" t="n">
        <v>2027</v>
      </c>
      <c r="E619" s="57" t="n">
        <v>1</v>
      </c>
      <c r="F619" s="29">
        <f>ROUND(((SUMIFS(Calendar!$F$2:$F$9997,Calendar!$B$2:$B$9997,D619,Calendar!$C$2:$C$9997,C619)*INDEX(ForeCalc!$B$37:$Y$274,MATCH(_xlfn.CONCAT(H619," ",I619),ForeCalc!$A$37:$A$274,0),MATCH(_xlfn.CONCAT(B619," ",E619),ForeCalc!$B$36:$Y$36,0))))*VLOOKUP(A619,Calendar!$A$2:$H$9997,8,FALSE),0)</f>
        <v/>
      </c>
      <c r="G619" s="29">
        <f>VLOOKUP(A619,Calendar!$A$1:$H$9997,6,FALSE)-F619</f>
        <v/>
      </c>
      <c r="H619" s="19" t="n">
        <v>2</v>
      </c>
      <c r="I619" s="57" t="n">
        <v>9</v>
      </c>
    </row>
    <row r="620">
      <c r="A620" s="62" t="n">
        <v>46731</v>
      </c>
      <c r="B620" s="3" t="inlineStr">
        <is>
          <t>Week</t>
        </is>
      </c>
      <c r="C620" s="19" t="n">
        <v>12</v>
      </c>
      <c r="D620" s="19" t="n">
        <v>2027</v>
      </c>
      <c r="E620" s="57" t="n">
        <v>1</v>
      </c>
      <c r="F620" s="29">
        <f>ROUND(((SUMIFS(Calendar!$F$2:$F$9997,Calendar!$B$2:$B$9997,D620,Calendar!$C$2:$C$9997,C620)*INDEX(ForeCalc!$B$37:$Y$274,MATCH(_xlfn.CONCAT(H620," ",I620),ForeCalc!$A$37:$A$274,0),MATCH(_xlfn.CONCAT(B620," ",E620),ForeCalc!$B$36:$Y$36,0))))*VLOOKUP(A620,Calendar!$A$2:$H$9997,8,FALSE),0)</f>
        <v/>
      </c>
      <c r="G620" s="29">
        <f>VLOOKUP(A620,Calendar!$A$1:$H$9997,6,FALSE)-F620</f>
        <v/>
      </c>
      <c r="H620" s="19" t="n">
        <v>2</v>
      </c>
      <c r="I620" s="57" t="n">
        <v>9</v>
      </c>
    </row>
    <row r="621">
      <c r="A621" s="62" t="n">
        <v>46732</v>
      </c>
      <c r="B621" s="3" t="inlineStr">
        <is>
          <t>Sat</t>
        </is>
      </c>
      <c r="C621" s="19" t="n">
        <v>12</v>
      </c>
      <c r="D621" s="19" t="n">
        <v>2027</v>
      </c>
      <c r="E621" s="57" t="n">
        <v>1</v>
      </c>
      <c r="F621" s="29">
        <f>ROUND(((SUMIFS(Calendar!$F$2:$F$9997,Calendar!$B$2:$B$9997,D621,Calendar!$C$2:$C$9997,C621)*INDEX(ForeCalc!$B$37:$Y$274,MATCH(_xlfn.CONCAT(H621," ",I621),ForeCalc!$A$37:$A$274,0),MATCH(_xlfn.CONCAT(B621," ",E621),ForeCalc!$B$36:$Y$36,0))))*VLOOKUP(A621,Calendar!$A$2:$H$9997,8,FALSE),0)</f>
        <v/>
      </c>
      <c r="G621" s="29">
        <f>VLOOKUP(A621,Calendar!$A$1:$H$9997,6,FALSE)-F621</f>
        <v/>
      </c>
      <c r="H621" s="19" t="n">
        <v>2</v>
      </c>
      <c r="I621" s="57" t="n">
        <v>9</v>
      </c>
    </row>
    <row r="622">
      <c r="A622" s="62" t="n">
        <v>46733</v>
      </c>
      <c r="B622" s="3" t="inlineStr">
        <is>
          <t>Sun</t>
        </is>
      </c>
      <c r="C622" s="19" t="n">
        <v>12</v>
      </c>
      <c r="D622" s="19" t="n">
        <v>2027</v>
      </c>
      <c r="E622" s="57" t="n">
        <v>1</v>
      </c>
      <c r="F622" s="29">
        <f>ROUND(((SUMIFS(Calendar!$F$2:$F$9997,Calendar!$B$2:$B$9997,D622,Calendar!$C$2:$C$9997,C622)*INDEX(ForeCalc!$B$37:$Y$274,MATCH(_xlfn.CONCAT(H622," ",I622),ForeCalc!$A$37:$A$274,0),MATCH(_xlfn.CONCAT(B622," ",E622),ForeCalc!$B$36:$Y$36,0))))*VLOOKUP(A622,Calendar!$A$2:$H$9997,8,FALSE),0)</f>
        <v/>
      </c>
      <c r="G622" s="29">
        <f>VLOOKUP(A622,Calendar!$A$1:$H$9997,6,FALSE)-F622</f>
        <v/>
      </c>
      <c r="H622" s="19" t="n">
        <v>2</v>
      </c>
      <c r="I622" s="57" t="n">
        <v>9</v>
      </c>
    </row>
    <row r="623">
      <c r="A623" s="62" t="n">
        <v>46734</v>
      </c>
      <c r="B623" s="3" t="inlineStr">
        <is>
          <t>Week</t>
        </is>
      </c>
      <c r="C623" s="19" t="n">
        <v>12</v>
      </c>
      <c r="D623" s="19" t="n">
        <v>2027</v>
      </c>
      <c r="E623" s="57" t="n">
        <v>1</v>
      </c>
      <c r="F623" s="29">
        <f>ROUND(((SUMIFS(Calendar!$F$2:$F$9997,Calendar!$B$2:$B$9997,D623,Calendar!$C$2:$C$9997,C623)*INDEX(ForeCalc!$B$37:$Y$274,MATCH(_xlfn.CONCAT(H623," ",I623),ForeCalc!$A$37:$A$274,0),MATCH(_xlfn.CONCAT(B623," ",E623),ForeCalc!$B$36:$Y$36,0))))*VLOOKUP(A623,Calendar!$A$2:$H$9997,8,FALSE),0)</f>
        <v/>
      </c>
      <c r="G623" s="29">
        <f>VLOOKUP(A623,Calendar!$A$1:$H$9997,6,FALSE)-F623</f>
        <v/>
      </c>
      <c r="H623" s="19" t="n">
        <v>2</v>
      </c>
      <c r="I623" s="57" t="n">
        <v>9</v>
      </c>
    </row>
    <row r="624">
      <c r="A624" s="62" t="n">
        <v>46735</v>
      </c>
      <c r="B624" s="3" t="inlineStr">
        <is>
          <t>Week</t>
        </is>
      </c>
      <c r="C624" s="19" t="n">
        <v>12</v>
      </c>
      <c r="D624" s="19" t="n">
        <v>2027</v>
      </c>
      <c r="E624" s="57" t="n">
        <v>1</v>
      </c>
      <c r="F624" s="29">
        <f>ROUND(((SUMIFS(Calendar!$F$2:$F$9997,Calendar!$B$2:$B$9997,D624,Calendar!$C$2:$C$9997,C624)*INDEX(ForeCalc!$B$37:$Y$274,MATCH(_xlfn.CONCAT(H624," ",I624),ForeCalc!$A$37:$A$274,0),MATCH(_xlfn.CONCAT(B624," ",E624),ForeCalc!$B$36:$Y$36,0))))*VLOOKUP(A624,Calendar!$A$2:$H$9997,8,FALSE),0)</f>
        <v/>
      </c>
      <c r="G624" s="29">
        <f>VLOOKUP(A624,Calendar!$A$1:$H$9997,6,FALSE)-F624</f>
        <v/>
      </c>
      <c r="H624" s="19" t="n">
        <v>2</v>
      </c>
      <c r="I624" s="57" t="n">
        <v>9</v>
      </c>
    </row>
    <row r="625">
      <c r="A625" s="62" t="n">
        <v>46736</v>
      </c>
      <c r="B625" s="3" t="inlineStr">
        <is>
          <t>Week</t>
        </is>
      </c>
      <c r="C625" s="19" t="n">
        <v>12</v>
      </c>
      <c r="D625" s="19" t="n">
        <v>2027</v>
      </c>
      <c r="E625" s="57" t="n">
        <v>1</v>
      </c>
      <c r="F625" s="29">
        <f>ROUND(((SUMIFS(Calendar!$F$2:$F$9997,Calendar!$B$2:$B$9997,D625,Calendar!$C$2:$C$9997,C625)*INDEX(ForeCalc!$B$37:$Y$274,MATCH(_xlfn.CONCAT(H625," ",I625),ForeCalc!$A$37:$A$274,0),MATCH(_xlfn.CONCAT(B625," ",E625),ForeCalc!$B$36:$Y$36,0))))*VLOOKUP(A625,Calendar!$A$2:$H$9997,8,FALSE),0)</f>
        <v/>
      </c>
      <c r="G625" s="29">
        <f>VLOOKUP(A625,Calendar!$A$1:$H$9997,6,FALSE)-F625</f>
        <v/>
      </c>
      <c r="H625" s="19" t="n">
        <v>2</v>
      </c>
      <c r="I625" s="57" t="n">
        <v>9</v>
      </c>
    </row>
    <row r="626">
      <c r="A626" s="62" t="n">
        <v>46737</v>
      </c>
      <c r="B626" s="3" t="inlineStr">
        <is>
          <t>Week</t>
        </is>
      </c>
      <c r="C626" s="19" t="n">
        <v>12</v>
      </c>
      <c r="D626" s="19" t="n">
        <v>2027</v>
      </c>
      <c r="E626" s="57" t="n">
        <v>1</v>
      </c>
      <c r="F626" s="29">
        <f>ROUND(((SUMIFS(Calendar!$F$2:$F$9997,Calendar!$B$2:$B$9997,D626,Calendar!$C$2:$C$9997,C626)*INDEX(ForeCalc!$B$37:$Y$274,MATCH(_xlfn.CONCAT(H626," ",I626),ForeCalc!$A$37:$A$274,0),MATCH(_xlfn.CONCAT(B626," ",E626),ForeCalc!$B$36:$Y$36,0))))*VLOOKUP(A626,Calendar!$A$2:$H$9997,8,FALSE),0)</f>
        <v/>
      </c>
      <c r="G626" s="29">
        <f>VLOOKUP(A626,Calendar!$A$1:$H$9997,6,FALSE)-F626</f>
        <v/>
      </c>
      <c r="H626" s="19" t="n">
        <v>2</v>
      </c>
      <c r="I626" s="57" t="n">
        <v>9</v>
      </c>
    </row>
    <row r="627">
      <c r="A627" s="62" t="n">
        <v>46738</v>
      </c>
      <c r="B627" s="3" t="inlineStr">
        <is>
          <t>Week</t>
        </is>
      </c>
      <c r="C627" s="19" t="n">
        <v>12</v>
      </c>
      <c r="D627" s="19" t="n">
        <v>2027</v>
      </c>
      <c r="E627" s="57" t="n">
        <v>1</v>
      </c>
      <c r="F627" s="29">
        <f>ROUND(((SUMIFS(Calendar!$F$2:$F$9997,Calendar!$B$2:$B$9997,D627,Calendar!$C$2:$C$9997,C627)*INDEX(ForeCalc!$B$37:$Y$274,MATCH(_xlfn.CONCAT(H627," ",I627),ForeCalc!$A$37:$A$274,0),MATCH(_xlfn.CONCAT(B627," ",E627),ForeCalc!$B$36:$Y$36,0))))*VLOOKUP(A627,Calendar!$A$2:$H$9997,8,FALSE),0)</f>
        <v/>
      </c>
      <c r="G627" s="29">
        <f>VLOOKUP(A627,Calendar!$A$1:$H$9997,6,FALSE)-F627</f>
        <v/>
      </c>
      <c r="H627" s="19" t="n">
        <v>2</v>
      </c>
      <c r="I627" s="57" t="n">
        <v>9</v>
      </c>
    </row>
    <row r="628">
      <c r="A628" s="62" t="n">
        <v>46739</v>
      </c>
      <c r="B628" s="3" t="inlineStr">
        <is>
          <t>Sat</t>
        </is>
      </c>
      <c r="C628" s="19" t="n">
        <v>12</v>
      </c>
      <c r="D628" s="19" t="n">
        <v>2027</v>
      </c>
      <c r="E628" s="57" t="n">
        <v>1</v>
      </c>
      <c r="F628" s="29">
        <f>ROUND(((SUMIFS(Calendar!$F$2:$F$9997,Calendar!$B$2:$B$9997,D628,Calendar!$C$2:$C$9997,C628)*INDEX(ForeCalc!$B$37:$Y$274,MATCH(_xlfn.CONCAT(H628," ",I628),ForeCalc!$A$37:$A$274,0),MATCH(_xlfn.CONCAT(B628," ",E628),ForeCalc!$B$36:$Y$36,0))))*VLOOKUP(A628,Calendar!$A$2:$H$9997,8,FALSE),0)</f>
        <v/>
      </c>
      <c r="G628" s="29">
        <f>VLOOKUP(A628,Calendar!$A$1:$H$9997,6,FALSE)-F628</f>
        <v/>
      </c>
      <c r="H628" s="19" t="n">
        <v>2</v>
      </c>
      <c r="I628" s="57" t="n">
        <v>9</v>
      </c>
    </row>
    <row r="629">
      <c r="A629" s="62" t="n">
        <v>46740</v>
      </c>
      <c r="B629" s="3" t="inlineStr">
        <is>
          <t>Sun</t>
        </is>
      </c>
      <c r="C629" s="19" t="n">
        <v>12</v>
      </c>
      <c r="D629" s="19" t="n">
        <v>2027</v>
      </c>
      <c r="E629" s="57" t="n">
        <v>1</v>
      </c>
      <c r="F629" s="29">
        <f>ROUND(((SUMIFS(Calendar!$F$2:$F$9997,Calendar!$B$2:$B$9997,D629,Calendar!$C$2:$C$9997,C629)*INDEX(ForeCalc!$B$37:$Y$274,MATCH(_xlfn.CONCAT(H629," ",I629),ForeCalc!$A$37:$A$274,0),MATCH(_xlfn.CONCAT(B629," ",E629),ForeCalc!$B$36:$Y$36,0))))*VLOOKUP(A629,Calendar!$A$2:$H$9997,8,FALSE),0)</f>
        <v/>
      </c>
      <c r="G629" s="29">
        <f>VLOOKUP(A629,Calendar!$A$1:$H$9997,6,FALSE)-F629</f>
        <v/>
      </c>
      <c r="H629" s="19" t="n">
        <v>2</v>
      </c>
      <c r="I629" s="57" t="n">
        <v>9</v>
      </c>
    </row>
    <row r="630">
      <c r="A630" s="62" t="n">
        <v>46741</v>
      </c>
      <c r="B630" s="3" t="inlineStr">
        <is>
          <t>Week</t>
        </is>
      </c>
      <c r="C630" s="19" t="n">
        <v>12</v>
      </c>
      <c r="D630" s="19" t="n">
        <v>2027</v>
      </c>
      <c r="E630" s="57" t="n">
        <v>1</v>
      </c>
      <c r="F630" s="29">
        <f>ROUND(((SUMIFS(Calendar!$F$2:$F$9997,Calendar!$B$2:$B$9997,D630,Calendar!$C$2:$C$9997,C630)*INDEX(ForeCalc!$B$37:$Y$274,MATCH(_xlfn.CONCAT(H630," ",I630),ForeCalc!$A$37:$A$274,0),MATCH(_xlfn.CONCAT(B630," ",E630),ForeCalc!$B$36:$Y$36,0))))*VLOOKUP(A630,Calendar!$A$2:$H$9997,8,FALSE),0)</f>
        <v/>
      </c>
      <c r="G630" s="29">
        <f>VLOOKUP(A630,Calendar!$A$1:$H$9997,6,FALSE)-F630</f>
        <v/>
      </c>
      <c r="H630" s="19" t="n">
        <v>2</v>
      </c>
      <c r="I630" s="57" t="n">
        <v>9</v>
      </c>
    </row>
    <row r="631">
      <c r="A631" s="62" t="n">
        <v>46742</v>
      </c>
      <c r="B631" s="3" t="inlineStr">
        <is>
          <t>Week</t>
        </is>
      </c>
      <c r="C631" s="19" t="n">
        <v>12</v>
      </c>
      <c r="D631" s="19" t="n">
        <v>2027</v>
      </c>
      <c r="E631" s="57" t="n">
        <v>1</v>
      </c>
      <c r="F631" s="29">
        <f>ROUND(((SUMIFS(Calendar!$F$2:$F$9997,Calendar!$B$2:$B$9997,D631,Calendar!$C$2:$C$9997,C631)*INDEX(ForeCalc!$B$37:$Y$274,MATCH(_xlfn.CONCAT(H631," ",I631),ForeCalc!$A$37:$A$274,0),MATCH(_xlfn.CONCAT(B631," ",E631),ForeCalc!$B$36:$Y$36,0))))*VLOOKUP(A631,Calendar!$A$2:$H$9997,8,FALSE),0)</f>
        <v/>
      </c>
      <c r="G631" s="29">
        <f>VLOOKUP(A631,Calendar!$A$1:$H$9997,6,FALSE)-F631</f>
        <v/>
      </c>
      <c r="H631" s="19" t="n">
        <v>2</v>
      </c>
      <c r="I631" s="57" t="n">
        <v>9</v>
      </c>
    </row>
    <row r="632">
      <c r="A632" s="62" t="n">
        <v>46743</v>
      </c>
      <c r="B632" s="3" t="inlineStr">
        <is>
          <t>Week</t>
        </is>
      </c>
      <c r="C632" s="19" t="n">
        <v>12</v>
      </c>
      <c r="D632" s="19" t="n">
        <v>2027</v>
      </c>
      <c r="E632" s="57" t="n">
        <v>1</v>
      </c>
      <c r="F632" s="29">
        <f>ROUND(((SUMIFS(Calendar!$F$2:$F$9997,Calendar!$B$2:$B$9997,D632,Calendar!$C$2:$C$9997,C632)*INDEX(ForeCalc!$B$37:$Y$274,MATCH(_xlfn.CONCAT(H632," ",I632),ForeCalc!$A$37:$A$274,0),MATCH(_xlfn.CONCAT(B632," ",E632),ForeCalc!$B$36:$Y$36,0))))*VLOOKUP(A632,Calendar!$A$2:$H$9997,8,FALSE),0)</f>
        <v/>
      </c>
      <c r="G632" s="29">
        <f>VLOOKUP(A632,Calendar!$A$1:$H$9997,6,FALSE)-F632</f>
        <v/>
      </c>
      <c r="H632" s="19" t="n">
        <v>2</v>
      </c>
      <c r="I632" s="57" t="n">
        <v>9</v>
      </c>
    </row>
    <row r="633">
      <c r="A633" s="62" t="n">
        <v>46744</v>
      </c>
      <c r="B633" s="3" t="inlineStr">
        <is>
          <t>Week</t>
        </is>
      </c>
      <c r="C633" s="19" t="n">
        <v>12</v>
      </c>
      <c r="D633" s="19" t="n">
        <v>2027</v>
      </c>
      <c r="E633" s="57" t="n">
        <v>1</v>
      </c>
      <c r="F633" s="29">
        <f>ROUND(((SUMIFS(Calendar!$F$2:$F$9997,Calendar!$B$2:$B$9997,D633,Calendar!$C$2:$C$9997,C633)*INDEX(ForeCalc!$B$37:$Y$274,MATCH(_xlfn.CONCAT(H633," ",I633),ForeCalc!$A$37:$A$274,0),MATCH(_xlfn.CONCAT(B633," ",E633),ForeCalc!$B$36:$Y$36,0))))*VLOOKUP(A633,Calendar!$A$2:$H$9997,8,FALSE),0)</f>
        <v/>
      </c>
      <c r="G633" s="29">
        <f>VLOOKUP(A633,Calendar!$A$1:$H$9997,6,FALSE)-F633</f>
        <v/>
      </c>
      <c r="H633" s="19" t="n">
        <v>2</v>
      </c>
      <c r="I633" s="57" t="n">
        <v>9</v>
      </c>
    </row>
    <row r="634">
      <c r="A634" s="62" t="n">
        <v>46745</v>
      </c>
      <c r="B634" s="3" t="inlineStr">
        <is>
          <t>Week</t>
        </is>
      </c>
      <c r="C634" s="19" t="n">
        <v>12</v>
      </c>
      <c r="D634" s="19" t="n">
        <v>2027</v>
      </c>
      <c r="E634" s="57" t="n">
        <v>1</v>
      </c>
      <c r="F634" s="29">
        <f>ROUND(((SUMIFS(Calendar!$F$2:$F$9997,Calendar!$B$2:$B$9997,D634,Calendar!$C$2:$C$9997,C634)*INDEX(ForeCalc!$B$37:$Y$274,MATCH(_xlfn.CONCAT(H634," ",I634),ForeCalc!$A$37:$A$274,0),MATCH(_xlfn.CONCAT(B634," ",E634),ForeCalc!$B$36:$Y$36,0))))*VLOOKUP(A634,Calendar!$A$2:$H$9997,8,FALSE),0)</f>
        <v/>
      </c>
      <c r="G634" s="29">
        <f>VLOOKUP(A634,Calendar!$A$1:$H$9997,6,FALSE)-F634</f>
        <v/>
      </c>
      <c r="H634" s="19" t="n">
        <v>2</v>
      </c>
      <c r="I634" s="57" t="n">
        <v>9</v>
      </c>
    </row>
    <row r="635">
      <c r="A635" s="62" t="n">
        <v>46746</v>
      </c>
      <c r="B635" s="3" t="inlineStr">
        <is>
          <t>Sat</t>
        </is>
      </c>
      <c r="C635" s="19" t="n">
        <v>12</v>
      </c>
      <c r="D635" s="19" t="n">
        <v>2027</v>
      </c>
      <c r="E635" s="57" t="n">
        <v>1</v>
      </c>
      <c r="F635" s="29">
        <f>ROUND(((SUMIFS(Calendar!$F$2:$F$9997,Calendar!$B$2:$B$9997,D635,Calendar!$C$2:$C$9997,C635)*INDEX(ForeCalc!$B$37:$Y$274,MATCH(_xlfn.CONCAT(H635," ",I635),ForeCalc!$A$37:$A$274,0),MATCH(_xlfn.CONCAT(B635," ",E635),ForeCalc!$B$36:$Y$36,0))))*VLOOKUP(A635,Calendar!$A$2:$H$9997,8,FALSE),0)</f>
        <v/>
      </c>
      <c r="G635" s="29">
        <f>VLOOKUP(A635,Calendar!$A$1:$H$9997,6,FALSE)-F635</f>
        <v/>
      </c>
      <c r="H635" s="19" t="n">
        <v>2</v>
      </c>
      <c r="I635" s="57" t="n">
        <v>9</v>
      </c>
    </row>
    <row r="636">
      <c r="A636" s="62" t="n">
        <v>46747</v>
      </c>
      <c r="B636" s="3" t="inlineStr">
        <is>
          <t>Sun</t>
        </is>
      </c>
      <c r="C636" s="19" t="n">
        <v>12</v>
      </c>
      <c r="D636" s="19" t="n">
        <v>2027</v>
      </c>
      <c r="E636" s="57" t="n">
        <v>1</v>
      </c>
      <c r="F636" s="29">
        <f>ROUND(((SUMIFS(Calendar!$F$2:$F$9997,Calendar!$B$2:$B$9997,D636,Calendar!$C$2:$C$9997,C636)*INDEX(ForeCalc!$B$37:$Y$274,MATCH(_xlfn.CONCAT(H636," ",I636),ForeCalc!$A$37:$A$274,0),MATCH(_xlfn.CONCAT(B636," ",E636),ForeCalc!$B$36:$Y$36,0))))*VLOOKUP(A636,Calendar!$A$2:$H$9997,8,FALSE),0)</f>
        <v/>
      </c>
      <c r="G636" s="29">
        <f>VLOOKUP(A636,Calendar!$A$1:$H$9997,6,FALSE)-F636</f>
        <v/>
      </c>
      <c r="H636" s="19" t="n">
        <v>2</v>
      </c>
      <c r="I636" s="57" t="n">
        <v>9</v>
      </c>
    </row>
    <row r="637">
      <c r="A637" s="62" t="n">
        <v>46748</v>
      </c>
      <c r="B637" s="3" t="inlineStr">
        <is>
          <t>Week</t>
        </is>
      </c>
      <c r="C637" s="19" t="n">
        <v>12</v>
      </c>
      <c r="D637" s="19" t="n">
        <v>2027</v>
      </c>
      <c r="E637" s="57" t="n">
        <v>1</v>
      </c>
      <c r="F637" s="29">
        <f>ROUND(((SUMIFS(Calendar!$F$2:$F$9997,Calendar!$B$2:$B$9997,D637,Calendar!$C$2:$C$9997,C637)*INDEX(ForeCalc!$B$37:$Y$274,MATCH(_xlfn.CONCAT(H637," ",I637),ForeCalc!$A$37:$A$274,0),MATCH(_xlfn.CONCAT(B637," ",E637),ForeCalc!$B$36:$Y$36,0))))*VLOOKUP(A637,Calendar!$A$2:$H$9997,8,FALSE),0)</f>
        <v/>
      </c>
      <c r="G637" s="29">
        <f>VLOOKUP(A637,Calendar!$A$1:$H$9997,6,FALSE)-F637</f>
        <v/>
      </c>
      <c r="H637" s="19" t="n">
        <v>2</v>
      </c>
      <c r="I637" s="57" t="n">
        <v>9</v>
      </c>
    </row>
    <row r="638">
      <c r="A638" s="62" t="n">
        <v>46749</v>
      </c>
      <c r="B638" s="3" t="inlineStr">
        <is>
          <t>Week</t>
        </is>
      </c>
      <c r="C638" s="19" t="n">
        <v>12</v>
      </c>
      <c r="D638" s="19" t="n">
        <v>2027</v>
      </c>
      <c r="E638" s="57" t="n">
        <v>1</v>
      </c>
      <c r="F638" s="29">
        <f>ROUND(((SUMIFS(Calendar!$F$2:$F$9997,Calendar!$B$2:$B$9997,D638,Calendar!$C$2:$C$9997,C638)*INDEX(ForeCalc!$B$37:$Y$274,MATCH(_xlfn.CONCAT(H638," ",I638),ForeCalc!$A$37:$A$274,0),MATCH(_xlfn.CONCAT(B638," ",E638),ForeCalc!$B$36:$Y$36,0))))*VLOOKUP(A638,Calendar!$A$2:$H$9997,8,FALSE),0)</f>
        <v/>
      </c>
      <c r="G638" s="29">
        <f>VLOOKUP(A638,Calendar!$A$1:$H$9997,6,FALSE)-F638</f>
        <v/>
      </c>
      <c r="H638" s="19" t="n">
        <v>2</v>
      </c>
      <c r="I638" s="57" t="n">
        <v>9</v>
      </c>
    </row>
    <row r="639">
      <c r="A639" s="62" t="n">
        <v>46750</v>
      </c>
      <c r="B639" s="3" t="inlineStr">
        <is>
          <t>Week</t>
        </is>
      </c>
      <c r="C639" s="19" t="n">
        <v>12</v>
      </c>
      <c r="D639" s="19" t="n">
        <v>2027</v>
      </c>
      <c r="E639" s="57" t="n">
        <v>1</v>
      </c>
      <c r="F639" s="29">
        <f>ROUND(((SUMIFS(Calendar!$F$2:$F$9997,Calendar!$B$2:$B$9997,D639,Calendar!$C$2:$C$9997,C639)*INDEX(ForeCalc!$B$37:$Y$274,MATCH(_xlfn.CONCAT(H639," ",I639),ForeCalc!$A$37:$A$274,0),MATCH(_xlfn.CONCAT(B639," ",E639),ForeCalc!$B$36:$Y$36,0))))*VLOOKUP(A639,Calendar!$A$2:$H$9997,8,FALSE),0)</f>
        <v/>
      </c>
      <c r="G639" s="29">
        <f>VLOOKUP(A639,Calendar!$A$1:$H$9997,6,FALSE)-F639</f>
        <v/>
      </c>
      <c r="H639" s="19" t="n">
        <v>2</v>
      </c>
      <c r="I639" s="57" t="n">
        <v>9</v>
      </c>
    </row>
    <row r="640">
      <c r="A640" s="62" t="n">
        <v>46751</v>
      </c>
      <c r="B640" s="3" t="inlineStr">
        <is>
          <t>Week</t>
        </is>
      </c>
      <c r="C640" s="19" t="n">
        <v>12</v>
      </c>
      <c r="D640" s="19" t="n">
        <v>2027</v>
      </c>
      <c r="E640" s="57" t="n">
        <v>1</v>
      </c>
      <c r="F640" s="29">
        <f>ROUND(((SUMIFS(Calendar!$F$2:$F$9997,Calendar!$B$2:$B$9997,D640,Calendar!$C$2:$C$9997,C640)*INDEX(ForeCalc!$B$37:$Y$274,MATCH(_xlfn.CONCAT(H640," ",I640),ForeCalc!$A$37:$A$274,0),MATCH(_xlfn.CONCAT(B640," ",E640),ForeCalc!$B$36:$Y$36,0))))*VLOOKUP(A640,Calendar!$A$2:$H$9997,8,FALSE),0)</f>
        <v/>
      </c>
      <c r="G640" s="29">
        <f>VLOOKUP(A640,Calendar!$A$1:$H$9997,6,FALSE)-F640</f>
        <v/>
      </c>
      <c r="H640" s="19" t="n">
        <v>2</v>
      </c>
      <c r="I640" s="57" t="n">
        <v>9</v>
      </c>
    </row>
    <row r="641">
      <c r="A641" s="62" t="n">
        <v>46752</v>
      </c>
      <c r="B641" s="3" t="inlineStr">
        <is>
          <t>Week</t>
        </is>
      </c>
      <c r="C641" s="19" t="n">
        <v>12</v>
      </c>
      <c r="D641" s="19" t="n">
        <v>2027</v>
      </c>
      <c r="E641" s="57" t="n">
        <v>1</v>
      </c>
      <c r="F641" s="29">
        <f>ROUND(((SUMIFS(Calendar!$F$2:$F$9997,Calendar!$B$2:$B$9997,D641,Calendar!$C$2:$C$9997,C641)*INDEX(ForeCalc!$B$37:$Y$274,MATCH(_xlfn.CONCAT(H641," ",I641),ForeCalc!$A$37:$A$274,0),MATCH(_xlfn.CONCAT(B641," ",E641),ForeCalc!$B$36:$Y$36,0))))*VLOOKUP(A641,Calendar!$A$2:$H$9997,8,FALSE),0)</f>
        <v/>
      </c>
      <c r="G641" s="29">
        <f>VLOOKUP(A641,Calendar!$A$1:$H$9997,6,FALSE)-F641</f>
        <v/>
      </c>
      <c r="H641" s="19" t="n">
        <v>2</v>
      </c>
      <c r="I641" s="57" t="n">
        <v>9</v>
      </c>
    </row>
    <row r="642">
      <c r="A642" s="62" t="n">
        <v>46753</v>
      </c>
      <c r="B642" s="3" t="inlineStr">
        <is>
          <t>Sat</t>
        </is>
      </c>
      <c r="C642" s="19" t="n">
        <v>1</v>
      </c>
      <c r="D642" s="19" t="n">
        <v>2028</v>
      </c>
      <c r="E642" s="57" t="n">
        <v>1</v>
      </c>
      <c r="F642" s="29">
        <f>ROUND(((SUMIFS(Calendar!$F$2:$F$9997,Calendar!$B$2:$B$9997,D642,Calendar!$C$2:$C$9997,C642)*INDEX(ForeCalc!$B$37:$Y$274,MATCH(_xlfn.CONCAT(H642," ",I642),ForeCalc!$A$37:$A$274,0),MATCH(_xlfn.CONCAT(B642," ",E642),ForeCalc!$B$36:$Y$36,0))))*VLOOKUP(A642,Calendar!$A$2:$H$9997,8,FALSE),0)</f>
        <v/>
      </c>
      <c r="G642" s="29">
        <f>VLOOKUP(A642,Calendar!$A$1:$H$9997,6,FALSE)-F642</f>
        <v/>
      </c>
      <c r="H642" s="19" t="n">
        <v>2</v>
      </c>
      <c r="I642" s="57" t="n">
        <v>10</v>
      </c>
    </row>
    <row r="643">
      <c r="A643" s="62" t="n">
        <v>46754</v>
      </c>
      <c r="B643" s="3" t="inlineStr">
        <is>
          <t>Sun</t>
        </is>
      </c>
      <c r="C643" s="19" t="n">
        <v>1</v>
      </c>
      <c r="D643" s="19" t="n">
        <v>2028</v>
      </c>
      <c r="E643" s="57" t="n">
        <v>1</v>
      </c>
      <c r="F643" s="29">
        <f>ROUND(((SUMIFS(Calendar!$F$2:$F$9997,Calendar!$B$2:$B$9997,D643,Calendar!$C$2:$C$9997,C643)*INDEX(ForeCalc!$B$37:$Y$274,MATCH(_xlfn.CONCAT(H643," ",I643),ForeCalc!$A$37:$A$274,0),MATCH(_xlfn.CONCAT(B643," ",E643),ForeCalc!$B$36:$Y$36,0))))*VLOOKUP(A643,Calendar!$A$2:$H$9997,8,FALSE),0)</f>
        <v/>
      </c>
      <c r="G643" s="29">
        <f>VLOOKUP(A643,Calendar!$A$1:$H$9997,6,FALSE)-F643</f>
        <v/>
      </c>
      <c r="H643" s="19" t="n">
        <v>2</v>
      </c>
      <c r="I643" s="57" t="n">
        <v>10</v>
      </c>
    </row>
    <row r="644">
      <c r="A644" s="62" t="n">
        <v>46755</v>
      </c>
      <c r="B644" s="3" t="inlineStr">
        <is>
          <t>Week</t>
        </is>
      </c>
      <c r="C644" s="19" t="n">
        <v>1</v>
      </c>
      <c r="D644" s="19" t="n">
        <v>2028</v>
      </c>
      <c r="E644" s="57" t="n">
        <v>1</v>
      </c>
      <c r="F644" s="29">
        <f>ROUND(((SUMIFS(Calendar!$F$2:$F$9997,Calendar!$B$2:$B$9997,D644,Calendar!$C$2:$C$9997,C644)*INDEX(ForeCalc!$B$37:$Y$274,MATCH(_xlfn.CONCAT(H644," ",I644),ForeCalc!$A$37:$A$274,0),MATCH(_xlfn.CONCAT(B644," ",E644),ForeCalc!$B$36:$Y$36,0))))*VLOOKUP(A644,Calendar!$A$2:$H$9997,8,FALSE),0)</f>
        <v/>
      </c>
      <c r="G644" s="29">
        <f>VLOOKUP(A644,Calendar!$A$1:$H$9997,6,FALSE)-F644</f>
        <v/>
      </c>
      <c r="H644" s="19" t="n">
        <v>2</v>
      </c>
      <c r="I644" s="57" t="n">
        <v>10</v>
      </c>
    </row>
    <row r="645">
      <c r="A645" s="62" t="n">
        <v>46756</v>
      </c>
      <c r="B645" s="3" t="inlineStr">
        <is>
          <t>Week</t>
        </is>
      </c>
      <c r="C645" s="19" t="n">
        <v>1</v>
      </c>
      <c r="D645" s="19" t="n">
        <v>2028</v>
      </c>
      <c r="E645" s="57" t="n">
        <v>1</v>
      </c>
      <c r="F645" s="29">
        <f>ROUND(((SUMIFS(Calendar!$F$2:$F$9997,Calendar!$B$2:$B$9997,D645,Calendar!$C$2:$C$9997,C645)*INDEX(ForeCalc!$B$37:$Y$274,MATCH(_xlfn.CONCAT(H645," ",I645),ForeCalc!$A$37:$A$274,0),MATCH(_xlfn.CONCAT(B645," ",E645),ForeCalc!$B$36:$Y$36,0))))*VLOOKUP(A645,Calendar!$A$2:$H$9997,8,FALSE),0)</f>
        <v/>
      </c>
      <c r="G645" s="29">
        <f>VLOOKUP(A645,Calendar!$A$1:$H$9997,6,FALSE)-F645</f>
        <v/>
      </c>
      <c r="H645" s="19" t="n">
        <v>2</v>
      </c>
      <c r="I645" s="57" t="n">
        <v>10</v>
      </c>
    </row>
    <row r="646">
      <c r="A646" s="62" t="n">
        <v>46757</v>
      </c>
      <c r="B646" s="3" t="inlineStr">
        <is>
          <t>Week</t>
        </is>
      </c>
      <c r="C646" s="19" t="n">
        <v>1</v>
      </c>
      <c r="D646" s="19" t="n">
        <v>2028</v>
      </c>
      <c r="E646" s="57" t="n">
        <v>1</v>
      </c>
      <c r="F646" s="29">
        <f>ROUND(((SUMIFS(Calendar!$F$2:$F$9997,Calendar!$B$2:$B$9997,D646,Calendar!$C$2:$C$9997,C646)*INDEX(ForeCalc!$B$37:$Y$274,MATCH(_xlfn.CONCAT(H646," ",I646),ForeCalc!$A$37:$A$274,0),MATCH(_xlfn.CONCAT(B646," ",E646),ForeCalc!$B$36:$Y$36,0))))*VLOOKUP(A646,Calendar!$A$2:$H$9997,8,FALSE),0)</f>
        <v/>
      </c>
      <c r="G646" s="29">
        <f>VLOOKUP(A646,Calendar!$A$1:$H$9997,6,FALSE)-F646</f>
        <v/>
      </c>
      <c r="H646" s="19" t="n">
        <v>2</v>
      </c>
      <c r="I646" s="57" t="n">
        <v>10</v>
      </c>
    </row>
    <row r="647">
      <c r="A647" s="62" t="n">
        <v>46758</v>
      </c>
      <c r="B647" s="3" t="inlineStr">
        <is>
          <t>Week</t>
        </is>
      </c>
      <c r="C647" s="19" t="n">
        <v>1</v>
      </c>
      <c r="D647" s="19" t="n">
        <v>2028</v>
      </c>
      <c r="E647" s="57" t="n">
        <v>1</v>
      </c>
      <c r="F647" s="29">
        <f>ROUND(((SUMIFS(Calendar!$F$2:$F$9997,Calendar!$B$2:$B$9997,D647,Calendar!$C$2:$C$9997,C647)*INDEX(ForeCalc!$B$37:$Y$274,MATCH(_xlfn.CONCAT(H647," ",I647),ForeCalc!$A$37:$A$274,0),MATCH(_xlfn.CONCAT(B647," ",E647),ForeCalc!$B$36:$Y$36,0))))*VLOOKUP(A647,Calendar!$A$2:$H$9997,8,FALSE),0)</f>
        <v/>
      </c>
      <c r="G647" s="29">
        <f>VLOOKUP(A647,Calendar!$A$1:$H$9997,6,FALSE)-F647</f>
        <v/>
      </c>
      <c r="H647" s="19" t="n">
        <v>2</v>
      </c>
      <c r="I647" s="57" t="n">
        <v>10</v>
      </c>
    </row>
    <row r="648">
      <c r="A648" s="62" t="n">
        <v>46759</v>
      </c>
      <c r="B648" s="3" t="inlineStr">
        <is>
          <t>Week</t>
        </is>
      </c>
      <c r="C648" s="19" t="n">
        <v>1</v>
      </c>
      <c r="D648" s="19" t="n">
        <v>2028</v>
      </c>
      <c r="E648" s="57" t="n">
        <v>1</v>
      </c>
      <c r="F648" s="29">
        <f>ROUND(((SUMIFS(Calendar!$F$2:$F$9997,Calendar!$B$2:$B$9997,D648,Calendar!$C$2:$C$9997,C648)*INDEX(ForeCalc!$B$37:$Y$274,MATCH(_xlfn.CONCAT(H648," ",I648),ForeCalc!$A$37:$A$274,0),MATCH(_xlfn.CONCAT(B648," ",E648),ForeCalc!$B$36:$Y$36,0))))*VLOOKUP(A648,Calendar!$A$2:$H$9997,8,FALSE),0)</f>
        <v/>
      </c>
      <c r="G648" s="29">
        <f>VLOOKUP(A648,Calendar!$A$1:$H$9997,6,FALSE)-F648</f>
        <v/>
      </c>
      <c r="H648" s="19" t="n">
        <v>2</v>
      </c>
      <c r="I648" s="57" t="n">
        <v>10</v>
      </c>
    </row>
    <row r="649">
      <c r="A649" s="62" t="n">
        <v>46760</v>
      </c>
      <c r="B649" s="3" t="inlineStr">
        <is>
          <t>Sat</t>
        </is>
      </c>
      <c r="C649" s="19" t="n">
        <v>1</v>
      </c>
      <c r="D649" s="19" t="n">
        <v>2028</v>
      </c>
      <c r="E649" s="57" t="n">
        <v>1</v>
      </c>
      <c r="F649" s="29">
        <f>ROUND(((SUMIFS(Calendar!$F$2:$F$9997,Calendar!$B$2:$B$9997,D649,Calendar!$C$2:$C$9997,C649)*INDEX(ForeCalc!$B$37:$Y$274,MATCH(_xlfn.CONCAT(H649," ",I649),ForeCalc!$A$37:$A$274,0),MATCH(_xlfn.CONCAT(B649," ",E649),ForeCalc!$B$36:$Y$36,0))))*VLOOKUP(A649,Calendar!$A$2:$H$9997,8,FALSE),0)</f>
        <v/>
      </c>
      <c r="G649" s="29">
        <f>VLOOKUP(A649,Calendar!$A$1:$H$9997,6,FALSE)-F649</f>
        <v/>
      </c>
      <c r="H649" s="19" t="n">
        <v>2</v>
      </c>
      <c r="I649" s="57" t="n">
        <v>10</v>
      </c>
    </row>
    <row r="650">
      <c r="A650" s="62" t="n">
        <v>46761</v>
      </c>
      <c r="B650" s="3" t="inlineStr">
        <is>
          <t>Sun</t>
        </is>
      </c>
      <c r="C650" s="19" t="n">
        <v>1</v>
      </c>
      <c r="D650" s="19" t="n">
        <v>2028</v>
      </c>
      <c r="E650" s="57" t="n">
        <v>1</v>
      </c>
      <c r="F650" s="29">
        <f>ROUND(((SUMIFS(Calendar!$F$2:$F$9997,Calendar!$B$2:$B$9997,D650,Calendar!$C$2:$C$9997,C650)*INDEX(ForeCalc!$B$37:$Y$274,MATCH(_xlfn.CONCAT(H650," ",I650),ForeCalc!$A$37:$A$274,0),MATCH(_xlfn.CONCAT(B650," ",E650),ForeCalc!$B$36:$Y$36,0))))*VLOOKUP(A650,Calendar!$A$2:$H$9997,8,FALSE),0)</f>
        <v/>
      </c>
      <c r="G650" s="29">
        <f>VLOOKUP(A650,Calendar!$A$1:$H$9997,6,FALSE)-F650</f>
        <v/>
      </c>
      <c r="H650" s="19" t="n">
        <v>2</v>
      </c>
      <c r="I650" s="57" t="n">
        <v>10</v>
      </c>
    </row>
    <row r="651">
      <c r="A651" s="62" t="n">
        <v>46762</v>
      </c>
      <c r="B651" s="3" t="inlineStr">
        <is>
          <t>Week</t>
        </is>
      </c>
      <c r="C651" s="19" t="n">
        <v>1</v>
      </c>
      <c r="D651" s="19" t="n">
        <v>2028</v>
      </c>
      <c r="E651" s="57" t="n">
        <v>1</v>
      </c>
      <c r="F651" s="29">
        <f>ROUND(((SUMIFS(Calendar!$F$2:$F$9997,Calendar!$B$2:$B$9997,D651,Calendar!$C$2:$C$9997,C651)*INDEX(ForeCalc!$B$37:$Y$274,MATCH(_xlfn.CONCAT(H651," ",I651),ForeCalc!$A$37:$A$274,0),MATCH(_xlfn.CONCAT(B651," ",E651),ForeCalc!$B$36:$Y$36,0))))*VLOOKUP(A651,Calendar!$A$2:$H$9997,8,FALSE),0)</f>
        <v/>
      </c>
      <c r="G651" s="29">
        <f>VLOOKUP(A651,Calendar!$A$1:$H$9997,6,FALSE)-F651</f>
        <v/>
      </c>
      <c r="H651" s="19" t="n">
        <v>2</v>
      </c>
      <c r="I651" s="57" t="n">
        <v>10</v>
      </c>
    </row>
    <row r="652">
      <c r="A652" s="62" t="n">
        <v>46763</v>
      </c>
      <c r="B652" s="3" t="inlineStr">
        <is>
          <t>Week</t>
        </is>
      </c>
      <c r="C652" s="19" t="n">
        <v>1</v>
      </c>
      <c r="D652" s="19" t="n">
        <v>2028</v>
      </c>
      <c r="E652" s="57" t="n">
        <v>1</v>
      </c>
      <c r="F652" s="29">
        <f>ROUND(((SUMIFS(Calendar!$F$2:$F$9997,Calendar!$B$2:$B$9997,D652,Calendar!$C$2:$C$9997,C652)*INDEX(ForeCalc!$B$37:$Y$274,MATCH(_xlfn.CONCAT(H652," ",I652),ForeCalc!$A$37:$A$274,0),MATCH(_xlfn.CONCAT(B652," ",E652),ForeCalc!$B$36:$Y$36,0))))*VLOOKUP(A652,Calendar!$A$2:$H$9997,8,FALSE),0)</f>
        <v/>
      </c>
      <c r="G652" s="29">
        <f>VLOOKUP(A652,Calendar!$A$1:$H$9997,6,FALSE)-F652</f>
        <v/>
      </c>
      <c r="H652" s="19" t="n">
        <v>2</v>
      </c>
      <c r="I652" s="57" t="n">
        <v>10</v>
      </c>
    </row>
    <row r="653">
      <c r="A653" s="62" t="n">
        <v>46764</v>
      </c>
      <c r="B653" s="3" t="inlineStr">
        <is>
          <t>Week</t>
        </is>
      </c>
      <c r="C653" s="19" t="n">
        <v>1</v>
      </c>
      <c r="D653" s="19" t="n">
        <v>2028</v>
      </c>
      <c r="E653" s="57" t="n">
        <v>1</v>
      </c>
      <c r="F653" s="29">
        <f>ROUND(((SUMIFS(Calendar!$F$2:$F$9997,Calendar!$B$2:$B$9997,D653,Calendar!$C$2:$C$9997,C653)*INDEX(ForeCalc!$B$37:$Y$274,MATCH(_xlfn.CONCAT(H653," ",I653),ForeCalc!$A$37:$A$274,0),MATCH(_xlfn.CONCAT(B653," ",E653),ForeCalc!$B$36:$Y$36,0))))*VLOOKUP(A653,Calendar!$A$2:$H$9997,8,FALSE),0)</f>
        <v/>
      </c>
      <c r="G653" s="29">
        <f>VLOOKUP(A653,Calendar!$A$1:$H$9997,6,FALSE)-F653</f>
        <v/>
      </c>
      <c r="H653" s="19" t="n">
        <v>2</v>
      </c>
      <c r="I653" s="57" t="n">
        <v>10</v>
      </c>
    </row>
    <row r="654">
      <c r="A654" s="62" t="n">
        <v>46765</v>
      </c>
      <c r="B654" s="3" t="inlineStr">
        <is>
          <t>Week</t>
        </is>
      </c>
      <c r="C654" s="19" t="n">
        <v>1</v>
      </c>
      <c r="D654" s="19" t="n">
        <v>2028</v>
      </c>
      <c r="E654" s="57" t="n">
        <v>1</v>
      </c>
      <c r="F654" s="29">
        <f>ROUND(((SUMIFS(Calendar!$F$2:$F$9997,Calendar!$B$2:$B$9997,D654,Calendar!$C$2:$C$9997,C654)*INDEX(ForeCalc!$B$37:$Y$274,MATCH(_xlfn.CONCAT(H654," ",I654),ForeCalc!$A$37:$A$274,0),MATCH(_xlfn.CONCAT(B654," ",E654),ForeCalc!$B$36:$Y$36,0))))*VLOOKUP(A654,Calendar!$A$2:$H$9997,8,FALSE),0)</f>
        <v/>
      </c>
      <c r="G654" s="29">
        <f>VLOOKUP(A654,Calendar!$A$1:$H$9997,6,FALSE)-F654</f>
        <v/>
      </c>
      <c r="H654" s="19" t="n">
        <v>2</v>
      </c>
      <c r="I654" s="57" t="n">
        <v>10</v>
      </c>
    </row>
    <row r="655">
      <c r="A655" s="62" t="n">
        <v>46766</v>
      </c>
      <c r="B655" s="3" t="inlineStr">
        <is>
          <t>Week</t>
        </is>
      </c>
      <c r="C655" s="19" t="n">
        <v>1</v>
      </c>
      <c r="D655" s="19" t="n">
        <v>2028</v>
      </c>
      <c r="E655" s="57" t="n">
        <v>1</v>
      </c>
      <c r="F655" s="29">
        <f>ROUND(((SUMIFS(Calendar!$F$2:$F$9997,Calendar!$B$2:$B$9997,D655,Calendar!$C$2:$C$9997,C655)*INDEX(ForeCalc!$B$37:$Y$274,MATCH(_xlfn.CONCAT(H655," ",I655),ForeCalc!$A$37:$A$274,0),MATCH(_xlfn.CONCAT(B655," ",E655),ForeCalc!$B$36:$Y$36,0))))*VLOOKUP(A655,Calendar!$A$2:$H$9997,8,FALSE),0)</f>
        <v/>
      </c>
      <c r="G655" s="29">
        <f>VLOOKUP(A655,Calendar!$A$1:$H$9997,6,FALSE)-F655</f>
        <v/>
      </c>
      <c r="H655" s="19" t="n">
        <v>2</v>
      </c>
      <c r="I655" s="57" t="n">
        <v>10</v>
      </c>
    </row>
    <row r="656">
      <c r="A656" s="62" t="n">
        <v>46767</v>
      </c>
      <c r="B656" s="3" t="inlineStr">
        <is>
          <t>Sat</t>
        </is>
      </c>
      <c r="C656" s="19" t="n">
        <v>1</v>
      </c>
      <c r="D656" s="19" t="n">
        <v>2028</v>
      </c>
      <c r="E656" s="57" t="n">
        <v>1</v>
      </c>
      <c r="F656" s="29">
        <f>ROUND(((SUMIFS(Calendar!$F$2:$F$9997,Calendar!$B$2:$B$9997,D656,Calendar!$C$2:$C$9997,C656)*INDEX(ForeCalc!$B$37:$Y$274,MATCH(_xlfn.CONCAT(H656," ",I656),ForeCalc!$A$37:$A$274,0),MATCH(_xlfn.CONCAT(B656," ",E656),ForeCalc!$B$36:$Y$36,0))))*VLOOKUP(A656,Calendar!$A$2:$H$9997,8,FALSE),0)</f>
        <v/>
      </c>
      <c r="G656" s="29">
        <f>VLOOKUP(A656,Calendar!$A$1:$H$9997,6,FALSE)-F656</f>
        <v/>
      </c>
      <c r="H656" s="19" t="n">
        <v>2</v>
      </c>
      <c r="I656" s="57" t="n">
        <v>10</v>
      </c>
    </row>
    <row r="657">
      <c r="A657" s="62" t="n">
        <v>46768</v>
      </c>
      <c r="B657" s="3" t="inlineStr">
        <is>
          <t>Sun</t>
        </is>
      </c>
      <c r="C657" s="19" t="n">
        <v>1</v>
      </c>
      <c r="D657" s="19" t="n">
        <v>2028</v>
      </c>
      <c r="E657" s="57" t="n">
        <v>1</v>
      </c>
      <c r="F657" s="29">
        <f>ROUND(((SUMIFS(Calendar!$F$2:$F$9997,Calendar!$B$2:$B$9997,D657,Calendar!$C$2:$C$9997,C657)*INDEX(ForeCalc!$B$37:$Y$274,MATCH(_xlfn.CONCAT(H657," ",I657),ForeCalc!$A$37:$A$274,0),MATCH(_xlfn.CONCAT(B657," ",E657),ForeCalc!$B$36:$Y$36,0))))*VLOOKUP(A657,Calendar!$A$2:$H$9997,8,FALSE),0)</f>
        <v/>
      </c>
      <c r="G657" s="29">
        <f>VLOOKUP(A657,Calendar!$A$1:$H$9997,6,FALSE)-F657</f>
        <v/>
      </c>
      <c r="H657" s="19" t="n">
        <v>2</v>
      </c>
      <c r="I657" s="57" t="n">
        <v>10</v>
      </c>
    </row>
    <row r="658">
      <c r="A658" s="62" t="n">
        <v>46769</v>
      </c>
      <c r="B658" s="3" t="inlineStr">
        <is>
          <t>Week</t>
        </is>
      </c>
      <c r="C658" s="19" t="n">
        <v>1</v>
      </c>
      <c r="D658" s="19" t="n">
        <v>2028</v>
      </c>
      <c r="E658" s="57" t="n">
        <v>1</v>
      </c>
      <c r="F658" s="29">
        <f>ROUND(((SUMIFS(Calendar!$F$2:$F$9997,Calendar!$B$2:$B$9997,D658,Calendar!$C$2:$C$9997,C658)*INDEX(ForeCalc!$B$37:$Y$274,MATCH(_xlfn.CONCAT(H658," ",I658),ForeCalc!$A$37:$A$274,0),MATCH(_xlfn.CONCAT(B658," ",E658),ForeCalc!$B$36:$Y$36,0))))*VLOOKUP(A658,Calendar!$A$2:$H$9997,8,FALSE),0)</f>
        <v/>
      </c>
      <c r="G658" s="29">
        <f>VLOOKUP(A658,Calendar!$A$1:$H$9997,6,FALSE)-F658</f>
        <v/>
      </c>
      <c r="H658" s="19" t="n">
        <v>2</v>
      </c>
      <c r="I658" s="57" t="n">
        <v>10</v>
      </c>
    </row>
    <row r="659">
      <c r="A659" s="62" t="n">
        <v>46770</v>
      </c>
      <c r="B659" s="3" t="inlineStr">
        <is>
          <t>Week</t>
        </is>
      </c>
      <c r="C659" s="19" t="n">
        <v>1</v>
      </c>
      <c r="D659" s="19" t="n">
        <v>2028</v>
      </c>
      <c r="E659" s="57" t="n">
        <v>1</v>
      </c>
      <c r="F659" s="29">
        <f>ROUND(((SUMIFS(Calendar!$F$2:$F$9997,Calendar!$B$2:$B$9997,D659,Calendar!$C$2:$C$9997,C659)*INDEX(ForeCalc!$B$37:$Y$274,MATCH(_xlfn.CONCAT(H659," ",I659),ForeCalc!$A$37:$A$274,0),MATCH(_xlfn.CONCAT(B659," ",E659),ForeCalc!$B$36:$Y$36,0))))*VLOOKUP(A659,Calendar!$A$2:$H$9997,8,FALSE),0)</f>
        <v/>
      </c>
      <c r="G659" s="29">
        <f>VLOOKUP(A659,Calendar!$A$1:$H$9997,6,FALSE)-F659</f>
        <v/>
      </c>
      <c r="H659" s="19" t="n">
        <v>2</v>
      </c>
      <c r="I659" s="57" t="n">
        <v>10</v>
      </c>
    </row>
    <row r="660">
      <c r="A660" s="62" t="n">
        <v>46771</v>
      </c>
      <c r="B660" s="3" t="inlineStr">
        <is>
          <t>Week</t>
        </is>
      </c>
      <c r="C660" s="19" t="n">
        <v>1</v>
      </c>
      <c r="D660" s="19" t="n">
        <v>2028</v>
      </c>
      <c r="E660" s="57" t="n">
        <v>1</v>
      </c>
      <c r="F660" s="29">
        <f>ROUND(((SUMIFS(Calendar!$F$2:$F$9997,Calendar!$B$2:$B$9997,D660,Calendar!$C$2:$C$9997,C660)*INDEX(ForeCalc!$B$37:$Y$274,MATCH(_xlfn.CONCAT(H660," ",I660),ForeCalc!$A$37:$A$274,0),MATCH(_xlfn.CONCAT(B660," ",E660),ForeCalc!$B$36:$Y$36,0))))*VLOOKUP(A660,Calendar!$A$2:$H$9997,8,FALSE),0)</f>
        <v/>
      </c>
      <c r="G660" s="29">
        <f>VLOOKUP(A660,Calendar!$A$1:$H$9997,6,FALSE)-F660</f>
        <v/>
      </c>
      <c r="H660" s="19" t="n">
        <v>2</v>
      </c>
      <c r="I660" s="57" t="n">
        <v>10</v>
      </c>
    </row>
    <row r="661">
      <c r="A661" s="62" t="n">
        <v>46772</v>
      </c>
      <c r="B661" s="3" t="inlineStr">
        <is>
          <t>Week</t>
        </is>
      </c>
      <c r="C661" s="19" t="n">
        <v>1</v>
      </c>
      <c r="D661" s="19" t="n">
        <v>2028</v>
      </c>
      <c r="E661" s="57" t="n">
        <v>1</v>
      </c>
      <c r="F661" s="29">
        <f>ROUND(((SUMIFS(Calendar!$F$2:$F$9997,Calendar!$B$2:$B$9997,D661,Calendar!$C$2:$C$9997,C661)*INDEX(ForeCalc!$B$37:$Y$274,MATCH(_xlfn.CONCAT(H661," ",I661),ForeCalc!$A$37:$A$274,0),MATCH(_xlfn.CONCAT(B661," ",E661),ForeCalc!$B$36:$Y$36,0))))*VLOOKUP(A661,Calendar!$A$2:$H$9997,8,FALSE),0)</f>
        <v/>
      </c>
      <c r="G661" s="29">
        <f>VLOOKUP(A661,Calendar!$A$1:$H$9997,6,FALSE)-F661</f>
        <v/>
      </c>
      <c r="H661" s="19" t="n">
        <v>2</v>
      </c>
      <c r="I661" s="57" t="n">
        <v>10</v>
      </c>
    </row>
    <row r="662">
      <c r="A662" s="62" t="n">
        <v>46773</v>
      </c>
      <c r="B662" s="3" t="inlineStr">
        <is>
          <t>Week</t>
        </is>
      </c>
      <c r="C662" s="19" t="n">
        <v>1</v>
      </c>
      <c r="D662" s="19" t="n">
        <v>2028</v>
      </c>
      <c r="E662" s="57" t="n">
        <v>1</v>
      </c>
      <c r="F662" s="29">
        <f>ROUND(((SUMIFS(Calendar!$F$2:$F$9997,Calendar!$B$2:$B$9997,D662,Calendar!$C$2:$C$9997,C662)*INDEX(ForeCalc!$B$37:$Y$274,MATCH(_xlfn.CONCAT(H662," ",I662),ForeCalc!$A$37:$A$274,0),MATCH(_xlfn.CONCAT(B662," ",E662),ForeCalc!$B$36:$Y$36,0))))*VLOOKUP(A662,Calendar!$A$2:$H$9997,8,FALSE),0)</f>
        <v/>
      </c>
      <c r="G662" s="29">
        <f>VLOOKUP(A662,Calendar!$A$1:$H$9997,6,FALSE)-F662</f>
        <v/>
      </c>
      <c r="H662" s="19" t="n">
        <v>2</v>
      </c>
      <c r="I662" s="57" t="n">
        <v>10</v>
      </c>
    </row>
    <row r="663">
      <c r="A663" s="62" t="n">
        <v>46774</v>
      </c>
      <c r="B663" s="3" t="inlineStr">
        <is>
          <t>Sat</t>
        </is>
      </c>
      <c r="C663" s="19" t="n">
        <v>1</v>
      </c>
      <c r="D663" s="19" t="n">
        <v>2028</v>
      </c>
      <c r="E663" s="57" t="n">
        <v>1</v>
      </c>
      <c r="F663" s="29">
        <f>ROUND(((SUMIFS(Calendar!$F$2:$F$9997,Calendar!$B$2:$B$9997,D663,Calendar!$C$2:$C$9997,C663)*INDEX(ForeCalc!$B$37:$Y$274,MATCH(_xlfn.CONCAT(H663," ",I663),ForeCalc!$A$37:$A$274,0),MATCH(_xlfn.CONCAT(B663," ",E663),ForeCalc!$B$36:$Y$36,0))))*VLOOKUP(A663,Calendar!$A$2:$H$9997,8,FALSE),0)</f>
        <v/>
      </c>
      <c r="G663" s="29">
        <f>VLOOKUP(A663,Calendar!$A$1:$H$9997,6,FALSE)-F663</f>
        <v/>
      </c>
      <c r="H663" s="19" t="n">
        <v>2</v>
      </c>
      <c r="I663" s="57" t="n">
        <v>10</v>
      </c>
    </row>
    <row r="664">
      <c r="A664" s="62" t="n">
        <v>46775</v>
      </c>
      <c r="B664" s="3" t="inlineStr">
        <is>
          <t>Sun</t>
        </is>
      </c>
      <c r="C664" s="19" t="n">
        <v>1</v>
      </c>
      <c r="D664" s="19" t="n">
        <v>2028</v>
      </c>
      <c r="E664" s="57" t="n">
        <v>1</v>
      </c>
      <c r="F664" s="29">
        <f>ROUND(((SUMIFS(Calendar!$F$2:$F$9997,Calendar!$B$2:$B$9997,D664,Calendar!$C$2:$C$9997,C664)*INDEX(ForeCalc!$B$37:$Y$274,MATCH(_xlfn.CONCAT(H664," ",I664),ForeCalc!$A$37:$A$274,0),MATCH(_xlfn.CONCAT(B664," ",E664),ForeCalc!$B$36:$Y$36,0))))*VLOOKUP(A664,Calendar!$A$2:$H$9997,8,FALSE),0)</f>
        <v/>
      </c>
      <c r="G664" s="29">
        <f>VLOOKUP(A664,Calendar!$A$1:$H$9997,6,FALSE)-F664</f>
        <v/>
      </c>
      <c r="H664" s="19" t="n">
        <v>2</v>
      </c>
      <c r="I664" s="57" t="n">
        <v>10</v>
      </c>
    </row>
    <row r="665">
      <c r="A665" s="62" t="n">
        <v>46776</v>
      </c>
      <c r="B665" s="3" t="inlineStr">
        <is>
          <t>Week</t>
        </is>
      </c>
      <c r="C665" s="19" t="n">
        <v>1</v>
      </c>
      <c r="D665" s="19" t="n">
        <v>2028</v>
      </c>
      <c r="E665" s="57" t="n">
        <v>1</v>
      </c>
      <c r="F665" s="29">
        <f>ROUND(((SUMIFS(Calendar!$F$2:$F$9997,Calendar!$B$2:$B$9997,D665,Calendar!$C$2:$C$9997,C665)*INDEX(ForeCalc!$B$37:$Y$274,MATCH(_xlfn.CONCAT(H665," ",I665),ForeCalc!$A$37:$A$274,0),MATCH(_xlfn.CONCAT(B665," ",E665),ForeCalc!$B$36:$Y$36,0))))*VLOOKUP(A665,Calendar!$A$2:$H$9997,8,FALSE),0)</f>
        <v/>
      </c>
      <c r="G665" s="29">
        <f>VLOOKUP(A665,Calendar!$A$1:$H$9997,6,FALSE)-F665</f>
        <v/>
      </c>
      <c r="H665" s="19" t="n">
        <v>2</v>
      </c>
      <c r="I665" s="57" t="n">
        <v>10</v>
      </c>
    </row>
    <row r="666">
      <c r="A666" s="62" t="n">
        <v>46777</v>
      </c>
      <c r="B666" s="3" t="inlineStr">
        <is>
          <t>Week</t>
        </is>
      </c>
      <c r="C666" s="19" t="n">
        <v>1</v>
      </c>
      <c r="D666" s="19" t="n">
        <v>2028</v>
      </c>
      <c r="E666" s="57" t="n">
        <v>1</v>
      </c>
      <c r="F666" s="29">
        <f>ROUND(((SUMIFS(Calendar!$F$2:$F$9997,Calendar!$B$2:$B$9997,D666,Calendar!$C$2:$C$9997,C666)*INDEX(ForeCalc!$B$37:$Y$274,MATCH(_xlfn.CONCAT(H666," ",I666),ForeCalc!$A$37:$A$274,0),MATCH(_xlfn.CONCAT(B666," ",E666),ForeCalc!$B$36:$Y$36,0))))*VLOOKUP(A666,Calendar!$A$2:$H$9997,8,FALSE),0)</f>
        <v/>
      </c>
      <c r="G666" s="29">
        <f>VLOOKUP(A666,Calendar!$A$1:$H$9997,6,FALSE)-F666</f>
        <v/>
      </c>
      <c r="H666" s="19" t="n">
        <v>2</v>
      </c>
      <c r="I666" s="57" t="n">
        <v>10</v>
      </c>
    </row>
    <row r="667">
      <c r="A667" s="62" t="n">
        <v>46778</v>
      </c>
      <c r="B667" s="3" t="inlineStr">
        <is>
          <t>Week</t>
        </is>
      </c>
      <c r="C667" s="19" t="n">
        <v>1</v>
      </c>
      <c r="D667" s="19" t="n">
        <v>2028</v>
      </c>
      <c r="E667" s="57" t="n">
        <v>1</v>
      </c>
      <c r="F667" s="29">
        <f>ROUND(((SUMIFS(Calendar!$F$2:$F$9997,Calendar!$B$2:$B$9997,D667,Calendar!$C$2:$C$9997,C667)*INDEX(ForeCalc!$B$37:$Y$274,MATCH(_xlfn.CONCAT(H667," ",I667),ForeCalc!$A$37:$A$274,0),MATCH(_xlfn.CONCAT(B667," ",E667),ForeCalc!$B$36:$Y$36,0))))*VLOOKUP(A667,Calendar!$A$2:$H$9997,8,FALSE),0)</f>
        <v/>
      </c>
      <c r="G667" s="29">
        <f>VLOOKUP(A667,Calendar!$A$1:$H$9997,6,FALSE)-F667</f>
        <v/>
      </c>
      <c r="H667" s="19" t="n">
        <v>2</v>
      </c>
      <c r="I667" s="57" t="n">
        <v>10</v>
      </c>
    </row>
    <row r="668">
      <c r="A668" s="62" t="n">
        <v>46779</v>
      </c>
      <c r="B668" s="3" t="inlineStr">
        <is>
          <t>Week</t>
        </is>
      </c>
      <c r="C668" s="19" t="n">
        <v>1</v>
      </c>
      <c r="D668" s="19" t="n">
        <v>2028</v>
      </c>
      <c r="E668" s="57" t="n">
        <v>1</v>
      </c>
      <c r="F668" s="29">
        <f>ROUND(((SUMIFS(Calendar!$F$2:$F$9997,Calendar!$B$2:$B$9997,D668,Calendar!$C$2:$C$9997,C668)*INDEX(ForeCalc!$B$37:$Y$274,MATCH(_xlfn.CONCAT(H668," ",I668),ForeCalc!$A$37:$A$274,0),MATCH(_xlfn.CONCAT(B668," ",E668),ForeCalc!$B$36:$Y$36,0))))*VLOOKUP(A668,Calendar!$A$2:$H$9997,8,FALSE),0)</f>
        <v/>
      </c>
      <c r="G668" s="29">
        <f>VLOOKUP(A668,Calendar!$A$1:$H$9997,6,FALSE)-F668</f>
        <v/>
      </c>
      <c r="H668" s="19" t="n">
        <v>2</v>
      </c>
      <c r="I668" s="57" t="n">
        <v>10</v>
      </c>
    </row>
    <row r="669">
      <c r="A669" s="62" t="n">
        <v>46780</v>
      </c>
      <c r="B669" s="3" t="inlineStr">
        <is>
          <t>Week</t>
        </is>
      </c>
      <c r="C669" s="19" t="n">
        <v>1</v>
      </c>
      <c r="D669" s="19" t="n">
        <v>2028</v>
      </c>
      <c r="E669" s="57" t="n">
        <v>1</v>
      </c>
      <c r="F669" s="29">
        <f>ROUND(((SUMIFS(Calendar!$F$2:$F$9997,Calendar!$B$2:$B$9997,D669,Calendar!$C$2:$C$9997,C669)*INDEX(ForeCalc!$B$37:$Y$274,MATCH(_xlfn.CONCAT(H669," ",I669),ForeCalc!$A$37:$A$274,0),MATCH(_xlfn.CONCAT(B669," ",E669),ForeCalc!$B$36:$Y$36,0))))*VLOOKUP(A669,Calendar!$A$2:$H$9997,8,FALSE),0)</f>
        <v/>
      </c>
      <c r="G669" s="29">
        <f>VLOOKUP(A669,Calendar!$A$1:$H$9997,6,FALSE)-F669</f>
        <v/>
      </c>
      <c r="H669" s="19" t="n">
        <v>2</v>
      </c>
      <c r="I669" s="57" t="n">
        <v>10</v>
      </c>
    </row>
    <row r="670">
      <c r="A670" s="62" t="n">
        <v>46781</v>
      </c>
      <c r="B670" s="3" t="inlineStr">
        <is>
          <t>Sat</t>
        </is>
      </c>
      <c r="C670" s="19" t="n">
        <v>1</v>
      </c>
      <c r="D670" s="19" t="n">
        <v>2028</v>
      </c>
      <c r="E670" s="57" t="n">
        <v>1</v>
      </c>
      <c r="F670" s="29">
        <f>ROUND(((SUMIFS(Calendar!$F$2:$F$9997,Calendar!$B$2:$B$9997,D670,Calendar!$C$2:$C$9997,C670)*INDEX(ForeCalc!$B$37:$Y$274,MATCH(_xlfn.CONCAT(H670," ",I670),ForeCalc!$A$37:$A$274,0),MATCH(_xlfn.CONCAT(B670," ",E670),ForeCalc!$B$36:$Y$36,0))))*VLOOKUP(A670,Calendar!$A$2:$H$9997,8,FALSE),0)</f>
        <v/>
      </c>
      <c r="G670" s="29">
        <f>VLOOKUP(A670,Calendar!$A$1:$H$9997,6,FALSE)-F670</f>
        <v/>
      </c>
      <c r="H670" s="19" t="n">
        <v>2</v>
      </c>
      <c r="I670" s="57" t="n">
        <v>10</v>
      </c>
    </row>
    <row r="671">
      <c r="A671" s="62" t="n">
        <v>46782</v>
      </c>
      <c r="B671" s="3" t="inlineStr">
        <is>
          <t>Sun</t>
        </is>
      </c>
      <c r="C671" s="19" t="n">
        <v>1</v>
      </c>
      <c r="D671" s="19" t="n">
        <v>2028</v>
      </c>
      <c r="E671" s="57" t="n">
        <v>1</v>
      </c>
      <c r="F671" s="29">
        <f>ROUND(((SUMIFS(Calendar!$F$2:$F$9997,Calendar!$B$2:$B$9997,D671,Calendar!$C$2:$C$9997,C671)*INDEX(ForeCalc!$B$37:$Y$274,MATCH(_xlfn.CONCAT(H671," ",I671),ForeCalc!$A$37:$A$274,0),MATCH(_xlfn.CONCAT(B671," ",E671),ForeCalc!$B$36:$Y$36,0))))*VLOOKUP(A671,Calendar!$A$2:$H$9997,8,FALSE),0)</f>
        <v/>
      </c>
      <c r="G671" s="29">
        <f>VLOOKUP(A671,Calendar!$A$1:$H$9997,6,FALSE)-F671</f>
        <v/>
      </c>
      <c r="H671" s="19" t="n">
        <v>2</v>
      </c>
      <c r="I671" s="57" t="n">
        <v>10</v>
      </c>
    </row>
    <row r="672">
      <c r="A672" s="62" t="n">
        <v>46783</v>
      </c>
      <c r="B672" s="3" t="inlineStr">
        <is>
          <t>Week</t>
        </is>
      </c>
      <c r="C672" s="19" t="n">
        <v>1</v>
      </c>
      <c r="D672" s="19" t="n">
        <v>2028</v>
      </c>
      <c r="E672" s="57" t="n">
        <v>1</v>
      </c>
      <c r="F672" s="29">
        <f>ROUND(((SUMIFS(Calendar!$F$2:$F$9997,Calendar!$B$2:$B$9997,D672,Calendar!$C$2:$C$9997,C672)*INDEX(ForeCalc!$B$37:$Y$274,MATCH(_xlfn.CONCAT(H672," ",I672),ForeCalc!$A$37:$A$274,0),MATCH(_xlfn.CONCAT(B672," ",E672),ForeCalc!$B$36:$Y$36,0))))*VLOOKUP(A672,Calendar!$A$2:$H$9997,8,FALSE),0)</f>
        <v/>
      </c>
      <c r="G672" s="29">
        <f>VLOOKUP(A672,Calendar!$A$1:$H$9997,6,FALSE)-F672</f>
        <v/>
      </c>
      <c r="H672" s="19" t="n">
        <v>2</v>
      </c>
      <c r="I672" s="57" t="n">
        <v>10</v>
      </c>
    </row>
    <row r="673">
      <c r="A673" s="62" t="n">
        <v>46784</v>
      </c>
      <c r="B673" s="3" t="inlineStr">
        <is>
          <t>Week</t>
        </is>
      </c>
      <c r="C673" s="19" t="n">
        <v>2</v>
      </c>
      <c r="D673" s="19" t="n">
        <v>2028</v>
      </c>
      <c r="E673" s="57" t="n">
        <v>1</v>
      </c>
      <c r="F673" s="29">
        <f>ROUND(((SUMIFS(Calendar!$F$2:$F$9997,Calendar!$B$2:$B$9997,D673,Calendar!$C$2:$C$9997,C673)*INDEX(ForeCalc!$B$37:$Y$274,MATCH(_xlfn.CONCAT(H673," ",I673),ForeCalc!$A$37:$A$274,0),MATCH(_xlfn.CONCAT(B673," ",E673),ForeCalc!$B$36:$Y$36,0))))*VLOOKUP(A673,Calendar!$A$2:$H$9997,8,FALSE),0)</f>
        <v/>
      </c>
      <c r="G673" s="29">
        <f>VLOOKUP(A673,Calendar!$A$1:$H$9997,6,FALSE)-F673</f>
        <v/>
      </c>
      <c r="H673" s="19" t="n">
        <v>2</v>
      </c>
      <c r="I673" s="57" t="n">
        <v>11</v>
      </c>
    </row>
    <row r="674">
      <c r="A674" s="62" t="n">
        <v>46785</v>
      </c>
      <c r="B674" s="3" t="inlineStr">
        <is>
          <t>Week</t>
        </is>
      </c>
      <c r="C674" s="19" t="n">
        <v>2</v>
      </c>
      <c r="D674" s="19" t="n">
        <v>2028</v>
      </c>
      <c r="E674" s="57" t="n">
        <v>1</v>
      </c>
      <c r="F674" s="29">
        <f>ROUND(((SUMIFS(Calendar!$F$2:$F$9997,Calendar!$B$2:$B$9997,D674,Calendar!$C$2:$C$9997,C674)*INDEX(ForeCalc!$B$37:$Y$274,MATCH(_xlfn.CONCAT(H674," ",I674),ForeCalc!$A$37:$A$274,0),MATCH(_xlfn.CONCAT(B674," ",E674),ForeCalc!$B$36:$Y$36,0))))*VLOOKUP(A674,Calendar!$A$2:$H$9997,8,FALSE),0)</f>
        <v/>
      </c>
      <c r="G674" s="29">
        <f>VLOOKUP(A674,Calendar!$A$1:$H$9997,6,FALSE)-F674</f>
        <v/>
      </c>
      <c r="H674" s="19" t="n">
        <v>2</v>
      </c>
      <c r="I674" s="57" t="n">
        <v>11</v>
      </c>
    </row>
    <row r="675">
      <c r="A675" s="62" t="n">
        <v>46786</v>
      </c>
      <c r="B675" s="3" t="inlineStr">
        <is>
          <t>Week</t>
        </is>
      </c>
      <c r="C675" s="19" t="n">
        <v>2</v>
      </c>
      <c r="D675" s="19" t="n">
        <v>2028</v>
      </c>
      <c r="E675" s="57" t="n">
        <v>1</v>
      </c>
      <c r="F675" s="29">
        <f>ROUND(((SUMIFS(Calendar!$F$2:$F$9997,Calendar!$B$2:$B$9997,D675,Calendar!$C$2:$C$9997,C675)*INDEX(ForeCalc!$B$37:$Y$274,MATCH(_xlfn.CONCAT(H675," ",I675),ForeCalc!$A$37:$A$274,0),MATCH(_xlfn.CONCAT(B675," ",E675),ForeCalc!$B$36:$Y$36,0))))*VLOOKUP(A675,Calendar!$A$2:$H$9997,8,FALSE),0)</f>
        <v/>
      </c>
      <c r="G675" s="29">
        <f>VLOOKUP(A675,Calendar!$A$1:$H$9997,6,FALSE)-F675</f>
        <v/>
      </c>
      <c r="H675" s="19" t="n">
        <v>2</v>
      </c>
      <c r="I675" s="57" t="n">
        <v>11</v>
      </c>
    </row>
    <row r="676">
      <c r="A676" s="62" t="n">
        <v>46787</v>
      </c>
      <c r="B676" s="3" t="inlineStr">
        <is>
          <t>Week</t>
        </is>
      </c>
      <c r="C676" s="19" t="n">
        <v>2</v>
      </c>
      <c r="D676" s="19" t="n">
        <v>2028</v>
      </c>
      <c r="E676" s="57" t="n">
        <v>1</v>
      </c>
      <c r="F676" s="29">
        <f>ROUND(((SUMIFS(Calendar!$F$2:$F$9997,Calendar!$B$2:$B$9997,D676,Calendar!$C$2:$C$9997,C676)*INDEX(ForeCalc!$B$37:$Y$274,MATCH(_xlfn.CONCAT(H676," ",I676),ForeCalc!$A$37:$A$274,0),MATCH(_xlfn.CONCAT(B676," ",E676),ForeCalc!$B$36:$Y$36,0))))*VLOOKUP(A676,Calendar!$A$2:$H$9997,8,FALSE),0)</f>
        <v/>
      </c>
      <c r="G676" s="29">
        <f>VLOOKUP(A676,Calendar!$A$1:$H$9997,6,FALSE)-F676</f>
        <v/>
      </c>
      <c r="H676" s="19" t="n">
        <v>2</v>
      </c>
      <c r="I676" s="57" t="n">
        <v>11</v>
      </c>
    </row>
    <row r="677">
      <c r="A677" s="62" t="n">
        <v>46788</v>
      </c>
      <c r="B677" s="3" t="inlineStr">
        <is>
          <t>Sat</t>
        </is>
      </c>
      <c r="C677" s="19" t="n">
        <v>2</v>
      </c>
      <c r="D677" s="19" t="n">
        <v>2028</v>
      </c>
      <c r="E677" s="57" t="n">
        <v>1</v>
      </c>
      <c r="F677" s="29">
        <f>ROUND(((SUMIFS(Calendar!$F$2:$F$9997,Calendar!$B$2:$B$9997,D677,Calendar!$C$2:$C$9997,C677)*INDEX(ForeCalc!$B$37:$Y$274,MATCH(_xlfn.CONCAT(H677," ",I677),ForeCalc!$A$37:$A$274,0),MATCH(_xlfn.CONCAT(B677," ",E677),ForeCalc!$B$36:$Y$36,0))))*VLOOKUP(A677,Calendar!$A$2:$H$9997,8,FALSE),0)</f>
        <v/>
      </c>
      <c r="G677" s="29">
        <f>VLOOKUP(A677,Calendar!$A$1:$H$9997,6,FALSE)-F677</f>
        <v/>
      </c>
      <c r="H677" s="19" t="n">
        <v>2</v>
      </c>
      <c r="I677" s="57" t="n">
        <v>11</v>
      </c>
    </row>
    <row r="678">
      <c r="A678" s="62" t="n">
        <v>46789</v>
      </c>
      <c r="B678" s="3" t="inlineStr">
        <is>
          <t>Sun</t>
        </is>
      </c>
      <c r="C678" s="19" t="n">
        <v>2</v>
      </c>
      <c r="D678" s="19" t="n">
        <v>2028</v>
      </c>
      <c r="E678" s="57" t="n">
        <v>1</v>
      </c>
      <c r="F678" s="29">
        <f>ROUND(((SUMIFS(Calendar!$F$2:$F$9997,Calendar!$B$2:$B$9997,D678,Calendar!$C$2:$C$9997,C678)*INDEX(ForeCalc!$B$37:$Y$274,MATCH(_xlfn.CONCAT(H678," ",I678),ForeCalc!$A$37:$A$274,0),MATCH(_xlfn.CONCAT(B678," ",E678),ForeCalc!$B$36:$Y$36,0))))*VLOOKUP(A678,Calendar!$A$2:$H$9997,8,FALSE),0)</f>
        <v/>
      </c>
      <c r="G678" s="29">
        <f>VLOOKUP(A678,Calendar!$A$1:$H$9997,6,FALSE)-F678</f>
        <v/>
      </c>
      <c r="H678" s="19" t="n">
        <v>2</v>
      </c>
      <c r="I678" s="57" t="n">
        <v>11</v>
      </c>
    </row>
    <row r="679">
      <c r="A679" s="62" t="n">
        <v>46790</v>
      </c>
      <c r="B679" s="3" t="inlineStr">
        <is>
          <t>Week</t>
        </is>
      </c>
      <c r="C679" s="19" t="n">
        <v>2</v>
      </c>
      <c r="D679" s="19" t="n">
        <v>2028</v>
      </c>
      <c r="E679" s="57" t="n">
        <v>1</v>
      </c>
      <c r="F679" s="29">
        <f>ROUND(((SUMIFS(Calendar!$F$2:$F$9997,Calendar!$B$2:$B$9997,D679,Calendar!$C$2:$C$9997,C679)*INDEX(ForeCalc!$B$37:$Y$274,MATCH(_xlfn.CONCAT(H679," ",I679),ForeCalc!$A$37:$A$274,0),MATCH(_xlfn.CONCAT(B679," ",E679),ForeCalc!$B$36:$Y$36,0))))*VLOOKUP(A679,Calendar!$A$2:$H$9997,8,FALSE),0)</f>
        <v/>
      </c>
      <c r="G679" s="29">
        <f>VLOOKUP(A679,Calendar!$A$1:$H$9997,6,FALSE)-F679</f>
        <v/>
      </c>
      <c r="H679" s="19" t="n">
        <v>2</v>
      </c>
      <c r="I679" s="57" t="n">
        <v>11</v>
      </c>
    </row>
    <row r="680">
      <c r="A680" s="62" t="n">
        <v>46791</v>
      </c>
      <c r="B680" s="3" t="inlineStr">
        <is>
          <t>Week</t>
        </is>
      </c>
      <c r="C680" s="19" t="n">
        <v>2</v>
      </c>
      <c r="D680" s="19" t="n">
        <v>2028</v>
      </c>
      <c r="E680" s="57" t="n">
        <v>1</v>
      </c>
      <c r="F680" s="29">
        <f>ROUND(((SUMIFS(Calendar!$F$2:$F$9997,Calendar!$B$2:$B$9997,D680,Calendar!$C$2:$C$9997,C680)*INDEX(ForeCalc!$B$37:$Y$274,MATCH(_xlfn.CONCAT(H680," ",I680),ForeCalc!$A$37:$A$274,0),MATCH(_xlfn.CONCAT(B680," ",E680),ForeCalc!$B$36:$Y$36,0))))*VLOOKUP(A680,Calendar!$A$2:$H$9997,8,FALSE),0)</f>
        <v/>
      </c>
      <c r="G680" s="29">
        <f>VLOOKUP(A680,Calendar!$A$1:$H$9997,6,FALSE)-F680</f>
        <v/>
      </c>
      <c r="H680" s="19" t="n">
        <v>2</v>
      </c>
      <c r="I680" s="57" t="n">
        <v>11</v>
      </c>
    </row>
    <row r="681">
      <c r="A681" s="62" t="n">
        <v>46792</v>
      </c>
      <c r="B681" s="3" t="inlineStr">
        <is>
          <t>Week</t>
        </is>
      </c>
      <c r="C681" s="19" t="n">
        <v>2</v>
      </c>
      <c r="D681" s="19" t="n">
        <v>2028</v>
      </c>
      <c r="E681" s="57" t="n">
        <v>1</v>
      </c>
      <c r="F681" s="29">
        <f>ROUND(((SUMIFS(Calendar!$F$2:$F$9997,Calendar!$B$2:$B$9997,D681,Calendar!$C$2:$C$9997,C681)*INDEX(ForeCalc!$B$37:$Y$274,MATCH(_xlfn.CONCAT(H681," ",I681),ForeCalc!$A$37:$A$274,0),MATCH(_xlfn.CONCAT(B681," ",E681),ForeCalc!$B$36:$Y$36,0))))*VLOOKUP(A681,Calendar!$A$2:$H$9997,8,FALSE),0)</f>
        <v/>
      </c>
      <c r="G681" s="29">
        <f>VLOOKUP(A681,Calendar!$A$1:$H$9997,6,FALSE)-F681</f>
        <v/>
      </c>
      <c r="H681" s="19" t="n">
        <v>2</v>
      </c>
      <c r="I681" s="57" t="n">
        <v>11</v>
      </c>
    </row>
    <row r="682">
      <c r="A682" s="62" t="n">
        <v>46793</v>
      </c>
      <c r="B682" s="3" t="inlineStr">
        <is>
          <t>Week</t>
        </is>
      </c>
      <c r="C682" s="19" t="n">
        <v>2</v>
      </c>
      <c r="D682" s="19" t="n">
        <v>2028</v>
      </c>
      <c r="E682" s="57" t="n">
        <v>1</v>
      </c>
      <c r="F682" s="29">
        <f>ROUND(((SUMIFS(Calendar!$F$2:$F$9997,Calendar!$B$2:$B$9997,D682,Calendar!$C$2:$C$9997,C682)*INDEX(ForeCalc!$B$37:$Y$274,MATCH(_xlfn.CONCAT(H682," ",I682),ForeCalc!$A$37:$A$274,0),MATCH(_xlfn.CONCAT(B682," ",E682),ForeCalc!$B$36:$Y$36,0))))*VLOOKUP(A682,Calendar!$A$2:$H$9997,8,FALSE),0)</f>
        <v/>
      </c>
      <c r="G682" s="29">
        <f>VLOOKUP(A682,Calendar!$A$1:$H$9997,6,FALSE)-F682</f>
        <v/>
      </c>
      <c r="H682" s="19" t="n">
        <v>2</v>
      </c>
      <c r="I682" s="57" t="n">
        <v>11</v>
      </c>
    </row>
    <row r="683">
      <c r="A683" s="62" t="n">
        <v>46794</v>
      </c>
      <c r="B683" s="3" t="inlineStr">
        <is>
          <t>Week</t>
        </is>
      </c>
      <c r="C683" s="19" t="n">
        <v>2</v>
      </c>
      <c r="D683" s="19" t="n">
        <v>2028</v>
      </c>
      <c r="E683" s="57" t="n">
        <v>1</v>
      </c>
      <c r="F683" s="29">
        <f>ROUND(((SUMIFS(Calendar!$F$2:$F$9997,Calendar!$B$2:$B$9997,D683,Calendar!$C$2:$C$9997,C683)*INDEX(ForeCalc!$B$37:$Y$274,MATCH(_xlfn.CONCAT(H683," ",I683),ForeCalc!$A$37:$A$274,0),MATCH(_xlfn.CONCAT(B683," ",E683),ForeCalc!$B$36:$Y$36,0))))*VLOOKUP(A683,Calendar!$A$2:$H$9997,8,FALSE),0)</f>
        <v/>
      </c>
      <c r="G683" s="29">
        <f>VLOOKUP(A683,Calendar!$A$1:$H$9997,6,FALSE)-F683</f>
        <v/>
      </c>
      <c r="H683" s="19" t="n">
        <v>2</v>
      </c>
      <c r="I683" s="57" t="n">
        <v>11</v>
      </c>
    </row>
    <row r="684">
      <c r="A684" s="62" t="n">
        <v>46795</v>
      </c>
      <c r="B684" s="3" t="inlineStr">
        <is>
          <t>Sat</t>
        </is>
      </c>
      <c r="C684" s="19" t="n">
        <v>2</v>
      </c>
      <c r="D684" s="19" t="n">
        <v>2028</v>
      </c>
      <c r="E684" s="57" t="n">
        <v>1</v>
      </c>
      <c r="F684" s="29">
        <f>ROUND(((SUMIFS(Calendar!$F$2:$F$9997,Calendar!$B$2:$B$9997,D684,Calendar!$C$2:$C$9997,C684)*INDEX(ForeCalc!$B$37:$Y$274,MATCH(_xlfn.CONCAT(H684," ",I684),ForeCalc!$A$37:$A$274,0),MATCH(_xlfn.CONCAT(B684," ",E684),ForeCalc!$B$36:$Y$36,0))))*VLOOKUP(A684,Calendar!$A$2:$H$9997,8,FALSE),0)</f>
        <v/>
      </c>
      <c r="G684" s="29">
        <f>VLOOKUP(A684,Calendar!$A$1:$H$9997,6,FALSE)-F684</f>
        <v/>
      </c>
      <c r="H684" s="19" t="n">
        <v>2</v>
      </c>
      <c r="I684" s="57" t="n">
        <v>11</v>
      </c>
    </row>
    <row r="685">
      <c r="A685" s="62" t="n">
        <v>46796</v>
      </c>
      <c r="B685" s="3" t="inlineStr">
        <is>
          <t>Sun</t>
        </is>
      </c>
      <c r="C685" s="19" t="n">
        <v>2</v>
      </c>
      <c r="D685" s="19" t="n">
        <v>2028</v>
      </c>
      <c r="E685" s="57" t="n">
        <v>1</v>
      </c>
      <c r="F685" s="29">
        <f>ROUND(((SUMIFS(Calendar!$F$2:$F$9997,Calendar!$B$2:$B$9997,D685,Calendar!$C$2:$C$9997,C685)*INDEX(ForeCalc!$B$37:$Y$274,MATCH(_xlfn.CONCAT(H685," ",I685),ForeCalc!$A$37:$A$274,0),MATCH(_xlfn.CONCAT(B685," ",E685),ForeCalc!$B$36:$Y$36,0))))*VLOOKUP(A685,Calendar!$A$2:$H$9997,8,FALSE),0)</f>
        <v/>
      </c>
      <c r="G685" s="29">
        <f>VLOOKUP(A685,Calendar!$A$1:$H$9997,6,FALSE)-F685</f>
        <v/>
      </c>
      <c r="H685" s="19" t="n">
        <v>2</v>
      </c>
      <c r="I685" s="57" t="n">
        <v>11</v>
      </c>
    </row>
    <row r="686">
      <c r="A686" s="62" t="n">
        <v>46797</v>
      </c>
      <c r="B686" s="3" t="inlineStr">
        <is>
          <t>Week</t>
        </is>
      </c>
      <c r="C686" s="19" t="n">
        <v>2</v>
      </c>
      <c r="D686" s="19" t="n">
        <v>2028</v>
      </c>
      <c r="E686" s="57" t="n">
        <v>1</v>
      </c>
      <c r="F686" s="29">
        <f>ROUND(((SUMIFS(Calendar!$F$2:$F$9997,Calendar!$B$2:$B$9997,D686,Calendar!$C$2:$C$9997,C686)*INDEX(ForeCalc!$B$37:$Y$274,MATCH(_xlfn.CONCAT(H686," ",I686),ForeCalc!$A$37:$A$274,0),MATCH(_xlfn.CONCAT(B686," ",E686),ForeCalc!$B$36:$Y$36,0))))*VLOOKUP(A686,Calendar!$A$2:$H$9997,8,FALSE),0)</f>
        <v/>
      </c>
      <c r="G686" s="29">
        <f>VLOOKUP(A686,Calendar!$A$1:$H$9997,6,FALSE)-F686</f>
        <v/>
      </c>
      <c r="H686" s="19" t="n">
        <v>2</v>
      </c>
      <c r="I686" s="57" t="n">
        <v>11</v>
      </c>
    </row>
    <row r="687">
      <c r="A687" s="62" t="n">
        <v>46798</v>
      </c>
      <c r="B687" s="3" t="inlineStr">
        <is>
          <t>Week</t>
        </is>
      </c>
      <c r="C687" s="19" t="n">
        <v>2</v>
      </c>
      <c r="D687" s="19" t="n">
        <v>2028</v>
      </c>
      <c r="E687" s="57" t="n">
        <v>1</v>
      </c>
      <c r="F687" s="29">
        <f>ROUND(((SUMIFS(Calendar!$F$2:$F$9997,Calendar!$B$2:$B$9997,D687,Calendar!$C$2:$C$9997,C687)*INDEX(ForeCalc!$B$37:$Y$274,MATCH(_xlfn.CONCAT(H687," ",I687),ForeCalc!$A$37:$A$274,0),MATCH(_xlfn.CONCAT(B687," ",E687),ForeCalc!$B$36:$Y$36,0))))*VLOOKUP(A687,Calendar!$A$2:$H$9997,8,FALSE),0)</f>
        <v/>
      </c>
      <c r="G687" s="29">
        <f>VLOOKUP(A687,Calendar!$A$1:$H$9997,6,FALSE)-F687</f>
        <v/>
      </c>
      <c r="H687" s="19" t="n">
        <v>2</v>
      </c>
      <c r="I687" s="57" t="n">
        <v>11</v>
      </c>
    </row>
    <row r="688">
      <c r="A688" s="62" t="n">
        <v>46799</v>
      </c>
      <c r="B688" s="3" t="inlineStr">
        <is>
          <t>Week</t>
        </is>
      </c>
      <c r="C688" s="19" t="n">
        <v>2</v>
      </c>
      <c r="D688" s="19" t="n">
        <v>2028</v>
      </c>
      <c r="E688" s="57" t="n">
        <v>1</v>
      </c>
      <c r="F688" s="29">
        <f>ROUND(((SUMIFS(Calendar!$F$2:$F$9997,Calendar!$B$2:$B$9997,D688,Calendar!$C$2:$C$9997,C688)*INDEX(ForeCalc!$B$37:$Y$274,MATCH(_xlfn.CONCAT(H688," ",I688),ForeCalc!$A$37:$A$274,0),MATCH(_xlfn.CONCAT(B688," ",E688),ForeCalc!$B$36:$Y$36,0))))*VLOOKUP(A688,Calendar!$A$2:$H$9997,8,FALSE),0)</f>
        <v/>
      </c>
      <c r="G688" s="29">
        <f>VLOOKUP(A688,Calendar!$A$1:$H$9997,6,FALSE)-F688</f>
        <v/>
      </c>
      <c r="H688" s="19" t="n">
        <v>2</v>
      </c>
      <c r="I688" s="57" t="n">
        <v>11</v>
      </c>
    </row>
    <row r="689">
      <c r="A689" s="62" t="n">
        <v>46800</v>
      </c>
      <c r="B689" s="3" t="inlineStr">
        <is>
          <t>Week</t>
        </is>
      </c>
      <c r="C689" s="19" t="n">
        <v>2</v>
      </c>
      <c r="D689" s="19" t="n">
        <v>2028</v>
      </c>
      <c r="E689" s="57" t="n">
        <v>1</v>
      </c>
      <c r="F689" s="29">
        <f>ROUND(((SUMIFS(Calendar!$F$2:$F$9997,Calendar!$B$2:$B$9997,D689,Calendar!$C$2:$C$9997,C689)*INDEX(ForeCalc!$B$37:$Y$274,MATCH(_xlfn.CONCAT(H689," ",I689),ForeCalc!$A$37:$A$274,0),MATCH(_xlfn.CONCAT(B689," ",E689),ForeCalc!$B$36:$Y$36,0))))*VLOOKUP(A689,Calendar!$A$2:$H$9997,8,FALSE),0)</f>
        <v/>
      </c>
      <c r="G689" s="29">
        <f>VLOOKUP(A689,Calendar!$A$1:$H$9997,6,FALSE)-F689</f>
        <v/>
      </c>
      <c r="H689" s="19" t="n">
        <v>2</v>
      </c>
      <c r="I689" s="57" t="n">
        <v>11</v>
      </c>
    </row>
    <row r="690">
      <c r="A690" s="62" t="n">
        <v>46801</v>
      </c>
      <c r="B690" s="3" t="inlineStr">
        <is>
          <t>Week</t>
        </is>
      </c>
      <c r="C690" s="19" t="n">
        <v>2</v>
      </c>
      <c r="D690" s="19" t="n">
        <v>2028</v>
      </c>
      <c r="E690" s="57" t="n">
        <v>1</v>
      </c>
      <c r="F690" s="29">
        <f>ROUND(((SUMIFS(Calendar!$F$2:$F$9997,Calendar!$B$2:$B$9997,D690,Calendar!$C$2:$C$9997,C690)*INDEX(ForeCalc!$B$37:$Y$274,MATCH(_xlfn.CONCAT(H690," ",I690),ForeCalc!$A$37:$A$274,0),MATCH(_xlfn.CONCAT(B690," ",E690),ForeCalc!$B$36:$Y$36,0))))*VLOOKUP(A690,Calendar!$A$2:$H$9997,8,FALSE),0)</f>
        <v/>
      </c>
      <c r="G690" s="29">
        <f>VLOOKUP(A690,Calendar!$A$1:$H$9997,6,FALSE)-F690</f>
        <v/>
      </c>
      <c r="H690" s="19" t="n">
        <v>2</v>
      </c>
      <c r="I690" s="57" t="n">
        <v>11</v>
      </c>
    </row>
    <row r="691">
      <c r="A691" s="62" t="n">
        <v>46802</v>
      </c>
      <c r="B691" s="3" t="inlineStr">
        <is>
          <t>Sat</t>
        </is>
      </c>
      <c r="C691" s="19" t="n">
        <v>2</v>
      </c>
      <c r="D691" s="19" t="n">
        <v>2028</v>
      </c>
      <c r="E691" s="57" t="n">
        <v>1</v>
      </c>
      <c r="F691" s="29">
        <f>ROUND(((SUMIFS(Calendar!$F$2:$F$9997,Calendar!$B$2:$B$9997,D691,Calendar!$C$2:$C$9997,C691)*INDEX(ForeCalc!$B$37:$Y$274,MATCH(_xlfn.CONCAT(H691," ",I691),ForeCalc!$A$37:$A$274,0),MATCH(_xlfn.CONCAT(B691," ",E691),ForeCalc!$B$36:$Y$36,0))))*VLOOKUP(A691,Calendar!$A$2:$H$9997,8,FALSE),0)</f>
        <v/>
      </c>
      <c r="G691" s="29">
        <f>VLOOKUP(A691,Calendar!$A$1:$H$9997,6,FALSE)-F691</f>
        <v/>
      </c>
      <c r="H691" s="19" t="n">
        <v>2</v>
      </c>
      <c r="I691" s="57" t="n">
        <v>11</v>
      </c>
    </row>
    <row r="692">
      <c r="A692" s="62" t="n">
        <v>46803</v>
      </c>
      <c r="B692" s="3" t="inlineStr">
        <is>
          <t>Sun</t>
        </is>
      </c>
      <c r="C692" s="19" t="n">
        <v>2</v>
      </c>
      <c r="D692" s="19" t="n">
        <v>2028</v>
      </c>
      <c r="E692" s="57" t="n">
        <v>1</v>
      </c>
      <c r="F692" s="29">
        <f>ROUND(((SUMIFS(Calendar!$F$2:$F$9997,Calendar!$B$2:$B$9997,D692,Calendar!$C$2:$C$9997,C692)*INDEX(ForeCalc!$B$37:$Y$274,MATCH(_xlfn.CONCAT(H692," ",I692),ForeCalc!$A$37:$A$274,0),MATCH(_xlfn.CONCAT(B692," ",E692),ForeCalc!$B$36:$Y$36,0))))*VLOOKUP(A692,Calendar!$A$2:$H$9997,8,FALSE),0)</f>
        <v/>
      </c>
      <c r="G692" s="29">
        <f>VLOOKUP(A692,Calendar!$A$1:$H$9997,6,FALSE)-F692</f>
        <v/>
      </c>
      <c r="H692" s="19" t="n">
        <v>2</v>
      </c>
      <c r="I692" s="57" t="n">
        <v>11</v>
      </c>
    </row>
    <row r="693">
      <c r="A693" s="62" t="n">
        <v>46804</v>
      </c>
      <c r="B693" s="3" t="inlineStr">
        <is>
          <t>Week</t>
        </is>
      </c>
      <c r="C693" s="19" t="n">
        <v>2</v>
      </c>
      <c r="D693" s="19" t="n">
        <v>2028</v>
      </c>
      <c r="E693" s="57" t="n">
        <v>1</v>
      </c>
      <c r="F693" s="29">
        <f>ROUND(((SUMIFS(Calendar!$F$2:$F$9997,Calendar!$B$2:$B$9997,D693,Calendar!$C$2:$C$9997,C693)*INDEX(ForeCalc!$B$37:$Y$274,MATCH(_xlfn.CONCAT(H693," ",I693),ForeCalc!$A$37:$A$274,0),MATCH(_xlfn.CONCAT(B693," ",E693),ForeCalc!$B$36:$Y$36,0))))*VLOOKUP(A693,Calendar!$A$2:$H$9997,8,FALSE),0)</f>
        <v/>
      </c>
      <c r="G693" s="29">
        <f>VLOOKUP(A693,Calendar!$A$1:$H$9997,6,FALSE)-F693</f>
        <v/>
      </c>
      <c r="H693" s="19" t="n">
        <v>2</v>
      </c>
      <c r="I693" s="57" t="n">
        <v>11</v>
      </c>
    </row>
    <row r="694">
      <c r="A694" s="62" t="n">
        <v>46805</v>
      </c>
      <c r="B694" s="3" t="inlineStr">
        <is>
          <t>Week</t>
        </is>
      </c>
      <c r="C694" s="19" t="n">
        <v>2</v>
      </c>
      <c r="D694" s="19" t="n">
        <v>2028</v>
      </c>
      <c r="E694" s="57" t="n">
        <v>1</v>
      </c>
      <c r="F694" s="29">
        <f>ROUND(((SUMIFS(Calendar!$F$2:$F$9997,Calendar!$B$2:$B$9997,D694,Calendar!$C$2:$C$9997,C694)*INDEX(ForeCalc!$B$37:$Y$274,MATCH(_xlfn.CONCAT(H694," ",I694),ForeCalc!$A$37:$A$274,0),MATCH(_xlfn.CONCAT(B694," ",E694),ForeCalc!$B$36:$Y$36,0))))*VLOOKUP(A694,Calendar!$A$2:$H$9997,8,FALSE),0)</f>
        <v/>
      </c>
      <c r="G694" s="29">
        <f>VLOOKUP(A694,Calendar!$A$1:$H$9997,6,FALSE)-F694</f>
        <v/>
      </c>
      <c r="H694" s="19" t="n">
        <v>2</v>
      </c>
      <c r="I694" s="57" t="n">
        <v>11</v>
      </c>
    </row>
    <row r="695">
      <c r="A695" s="62" t="n">
        <v>46806</v>
      </c>
      <c r="B695" s="3" t="inlineStr">
        <is>
          <t>Week</t>
        </is>
      </c>
      <c r="C695" s="19" t="n">
        <v>2</v>
      </c>
      <c r="D695" s="19" t="n">
        <v>2028</v>
      </c>
      <c r="E695" s="57" t="n">
        <v>1</v>
      </c>
      <c r="F695" s="29">
        <f>ROUND(((SUMIFS(Calendar!$F$2:$F$9997,Calendar!$B$2:$B$9997,D695,Calendar!$C$2:$C$9997,C695)*INDEX(ForeCalc!$B$37:$Y$274,MATCH(_xlfn.CONCAT(H695," ",I695),ForeCalc!$A$37:$A$274,0),MATCH(_xlfn.CONCAT(B695," ",E695),ForeCalc!$B$36:$Y$36,0))))*VLOOKUP(A695,Calendar!$A$2:$H$9997,8,FALSE),0)</f>
        <v/>
      </c>
      <c r="G695" s="29">
        <f>VLOOKUP(A695,Calendar!$A$1:$H$9997,6,FALSE)-F695</f>
        <v/>
      </c>
      <c r="H695" s="19" t="n">
        <v>2</v>
      </c>
      <c r="I695" s="57" t="n">
        <v>11</v>
      </c>
    </row>
    <row r="696">
      <c r="A696" s="62" t="n">
        <v>46807</v>
      </c>
      <c r="B696" s="3" t="inlineStr">
        <is>
          <t>Week</t>
        </is>
      </c>
      <c r="C696" s="19" t="n">
        <v>2</v>
      </c>
      <c r="D696" s="19" t="n">
        <v>2028</v>
      </c>
      <c r="E696" s="57" t="n">
        <v>1</v>
      </c>
      <c r="F696" s="29">
        <f>ROUND(((SUMIFS(Calendar!$F$2:$F$9997,Calendar!$B$2:$B$9997,D696,Calendar!$C$2:$C$9997,C696)*INDEX(ForeCalc!$B$37:$Y$274,MATCH(_xlfn.CONCAT(H696," ",I696),ForeCalc!$A$37:$A$274,0),MATCH(_xlfn.CONCAT(B696," ",E696),ForeCalc!$B$36:$Y$36,0))))*VLOOKUP(A696,Calendar!$A$2:$H$9997,8,FALSE),0)</f>
        <v/>
      </c>
      <c r="G696" s="29">
        <f>VLOOKUP(A696,Calendar!$A$1:$H$9997,6,FALSE)-F696</f>
        <v/>
      </c>
      <c r="H696" s="19" t="n">
        <v>2</v>
      </c>
      <c r="I696" s="57" t="n">
        <v>11</v>
      </c>
    </row>
    <row r="697">
      <c r="A697" s="62" t="n">
        <v>46808</v>
      </c>
      <c r="B697" s="3" t="inlineStr">
        <is>
          <t>Week</t>
        </is>
      </c>
      <c r="C697" s="19" t="n">
        <v>2</v>
      </c>
      <c r="D697" s="19" t="n">
        <v>2028</v>
      </c>
      <c r="E697" s="57" t="n">
        <v>1</v>
      </c>
      <c r="F697" s="29">
        <f>ROUND(((SUMIFS(Calendar!$F$2:$F$9997,Calendar!$B$2:$B$9997,D697,Calendar!$C$2:$C$9997,C697)*INDEX(ForeCalc!$B$37:$Y$274,MATCH(_xlfn.CONCAT(H697," ",I697),ForeCalc!$A$37:$A$274,0),MATCH(_xlfn.CONCAT(B697," ",E697),ForeCalc!$B$36:$Y$36,0))))*VLOOKUP(A697,Calendar!$A$2:$H$9997,8,FALSE),0)</f>
        <v/>
      </c>
      <c r="G697" s="29">
        <f>VLOOKUP(A697,Calendar!$A$1:$H$9997,6,FALSE)-F697</f>
        <v/>
      </c>
      <c r="H697" s="19" t="n">
        <v>2</v>
      </c>
      <c r="I697" s="57" t="n">
        <v>11</v>
      </c>
    </row>
    <row r="698">
      <c r="A698" s="62" t="n">
        <v>46809</v>
      </c>
      <c r="B698" s="3" t="inlineStr">
        <is>
          <t>Sat</t>
        </is>
      </c>
      <c r="C698" s="19" t="n">
        <v>2</v>
      </c>
      <c r="D698" s="19" t="n">
        <v>2028</v>
      </c>
      <c r="E698" s="57" t="n">
        <v>1</v>
      </c>
      <c r="F698" s="29">
        <f>ROUND(((SUMIFS(Calendar!$F$2:$F$9997,Calendar!$B$2:$B$9997,D698,Calendar!$C$2:$C$9997,C698)*INDEX(ForeCalc!$B$37:$Y$274,MATCH(_xlfn.CONCAT(H698," ",I698),ForeCalc!$A$37:$A$274,0),MATCH(_xlfn.CONCAT(B698," ",E698),ForeCalc!$B$36:$Y$36,0))))*VLOOKUP(A698,Calendar!$A$2:$H$9997,8,FALSE),0)</f>
        <v/>
      </c>
      <c r="G698" s="29">
        <f>VLOOKUP(A698,Calendar!$A$1:$H$9997,6,FALSE)-F698</f>
        <v/>
      </c>
      <c r="H698" s="19" t="n">
        <v>2</v>
      </c>
      <c r="I698" s="57" t="n">
        <v>11</v>
      </c>
    </row>
    <row r="699">
      <c r="A699" s="62" t="n">
        <v>46810</v>
      </c>
      <c r="B699" s="3" t="inlineStr">
        <is>
          <t>Sun</t>
        </is>
      </c>
      <c r="C699" s="19" t="n">
        <v>2</v>
      </c>
      <c r="D699" s="19" t="n">
        <v>2028</v>
      </c>
      <c r="E699" s="57" t="n">
        <v>1</v>
      </c>
      <c r="F699" s="29">
        <f>ROUND(((SUMIFS(Calendar!$F$2:$F$9997,Calendar!$B$2:$B$9997,D699,Calendar!$C$2:$C$9997,C699)*INDEX(ForeCalc!$B$37:$Y$274,MATCH(_xlfn.CONCAT(H699," ",I699),ForeCalc!$A$37:$A$274,0),MATCH(_xlfn.CONCAT(B699," ",E699),ForeCalc!$B$36:$Y$36,0))))*VLOOKUP(A699,Calendar!$A$2:$H$9997,8,FALSE),0)</f>
        <v/>
      </c>
      <c r="G699" s="29">
        <f>VLOOKUP(A699,Calendar!$A$1:$H$9997,6,FALSE)-F699</f>
        <v/>
      </c>
      <c r="H699" s="19" t="n">
        <v>2</v>
      </c>
      <c r="I699" s="57" t="n">
        <v>11</v>
      </c>
    </row>
    <row r="700">
      <c r="A700" s="62" t="n">
        <v>46811</v>
      </c>
      <c r="B700" s="3" t="inlineStr">
        <is>
          <t>Week</t>
        </is>
      </c>
      <c r="C700" s="19" t="n">
        <v>2</v>
      </c>
      <c r="D700" s="19" t="n">
        <v>2028</v>
      </c>
      <c r="E700" s="57" t="n">
        <v>1</v>
      </c>
      <c r="F700" s="29">
        <f>ROUND(((SUMIFS(Calendar!$F$2:$F$9997,Calendar!$B$2:$B$9997,D700,Calendar!$C$2:$C$9997,C700)*INDEX(ForeCalc!$B$37:$Y$274,MATCH(_xlfn.CONCAT(H700," ",I700),ForeCalc!$A$37:$A$274,0),MATCH(_xlfn.CONCAT(B700," ",E700),ForeCalc!$B$36:$Y$36,0))))*VLOOKUP(A700,Calendar!$A$2:$H$9997,8,FALSE),0)</f>
        <v/>
      </c>
      <c r="G700" s="29">
        <f>VLOOKUP(A700,Calendar!$A$1:$H$9997,6,FALSE)-F700</f>
        <v/>
      </c>
      <c r="H700" s="19" t="n">
        <v>2</v>
      </c>
      <c r="I700" s="57" t="n">
        <v>11</v>
      </c>
    </row>
    <row r="701">
      <c r="A701" s="62" t="n">
        <v>46812</v>
      </c>
      <c r="B701" s="3" t="inlineStr">
        <is>
          <t>Week</t>
        </is>
      </c>
      <c r="C701" s="19" t="n">
        <v>2</v>
      </c>
      <c r="D701" s="19" t="n">
        <v>2028</v>
      </c>
      <c r="E701" s="57" t="n">
        <v>1</v>
      </c>
      <c r="F701" s="29">
        <f>ROUND(((SUMIFS(Calendar!$F$2:$F$9997,Calendar!$B$2:$B$9997,D701,Calendar!$C$2:$C$9997,C701)*INDEX(ForeCalc!$B$37:$Y$274,MATCH(_xlfn.CONCAT(H701," ",I701),ForeCalc!$A$37:$A$274,0),MATCH(_xlfn.CONCAT(B701," ",E701),ForeCalc!$B$36:$Y$36,0))))*VLOOKUP(A701,Calendar!$A$2:$H$9997,8,FALSE),0)</f>
        <v/>
      </c>
      <c r="G701" s="29">
        <f>VLOOKUP(A701,Calendar!$A$1:$H$9997,6,FALSE)-F701</f>
        <v/>
      </c>
      <c r="H701" s="19" t="n">
        <v>2</v>
      </c>
      <c r="I701" s="57" t="n">
        <v>11</v>
      </c>
    </row>
    <row r="702">
      <c r="A702" s="62" t="n">
        <v>46813</v>
      </c>
      <c r="B702" s="3" t="inlineStr">
        <is>
          <t>Week</t>
        </is>
      </c>
      <c r="C702" s="19" t="n">
        <v>3</v>
      </c>
      <c r="D702" s="19" t="n">
        <v>2028</v>
      </c>
      <c r="E702" s="57" t="n">
        <v>1</v>
      </c>
      <c r="F702" s="29">
        <f>ROUND(((SUMIFS(Calendar!$F$2:$F$9997,Calendar!$B$2:$B$9997,D702,Calendar!$C$2:$C$9997,C702)*INDEX(ForeCalc!$B$37:$Y$274,MATCH(_xlfn.CONCAT(H702," ",I702),ForeCalc!$A$37:$A$274,0),MATCH(_xlfn.CONCAT(B702," ",E702),ForeCalc!$B$36:$Y$36,0))))*VLOOKUP(A702,Calendar!$A$2:$H$9997,8,FALSE),0)</f>
        <v/>
      </c>
      <c r="G702" s="29">
        <f>VLOOKUP(A702,Calendar!$A$1:$H$9997,6,FALSE)-F702</f>
        <v/>
      </c>
      <c r="H702" s="19" t="n">
        <v>2</v>
      </c>
      <c r="I702" s="57" t="n">
        <v>12</v>
      </c>
    </row>
    <row r="703">
      <c r="A703" s="62" t="n">
        <v>46814</v>
      </c>
      <c r="B703" s="3" t="inlineStr">
        <is>
          <t>Week</t>
        </is>
      </c>
      <c r="C703" s="19" t="n">
        <v>3</v>
      </c>
      <c r="D703" s="19" t="n">
        <v>2028</v>
      </c>
      <c r="E703" s="57" t="n">
        <v>1</v>
      </c>
      <c r="F703" s="29">
        <f>ROUND(((SUMIFS(Calendar!$F$2:$F$9997,Calendar!$B$2:$B$9997,D703,Calendar!$C$2:$C$9997,C703)*INDEX(ForeCalc!$B$37:$Y$274,MATCH(_xlfn.CONCAT(H703," ",I703),ForeCalc!$A$37:$A$274,0),MATCH(_xlfn.CONCAT(B703," ",E703),ForeCalc!$B$36:$Y$36,0))))*VLOOKUP(A703,Calendar!$A$2:$H$9997,8,FALSE),0)</f>
        <v/>
      </c>
      <c r="G703" s="29">
        <f>VLOOKUP(A703,Calendar!$A$1:$H$9997,6,FALSE)-F703</f>
        <v/>
      </c>
      <c r="H703" s="19" t="n">
        <v>2</v>
      </c>
      <c r="I703" s="57" t="n">
        <v>12</v>
      </c>
    </row>
    <row r="704">
      <c r="A704" s="62" t="n">
        <v>46815</v>
      </c>
      <c r="B704" s="3" t="inlineStr">
        <is>
          <t>Week</t>
        </is>
      </c>
      <c r="C704" s="19" t="n">
        <v>3</v>
      </c>
      <c r="D704" s="19" t="n">
        <v>2028</v>
      </c>
      <c r="E704" s="57" t="n">
        <v>1</v>
      </c>
      <c r="F704" s="29">
        <f>ROUND(((SUMIFS(Calendar!$F$2:$F$9997,Calendar!$B$2:$B$9997,D704,Calendar!$C$2:$C$9997,C704)*INDEX(ForeCalc!$B$37:$Y$274,MATCH(_xlfn.CONCAT(H704," ",I704),ForeCalc!$A$37:$A$274,0),MATCH(_xlfn.CONCAT(B704," ",E704),ForeCalc!$B$36:$Y$36,0))))*VLOOKUP(A704,Calendar!$A$2:$H$9997,8,FALSE),0)</f>
        <v/>
      </c>
      <c r="G704" s="29">
        <f>VLOOKUP(A704,Calendar!$A$1:$H$9997,6,FALSE)-F704</f>
        <v/>
      </c>
      <c r="H704" s="19" t="n">
        <v>2</v>
      </c>
      <c r="I704" s="57" t="n">
        <v>12</v>
      </c>
    </row>
    <row r="705">
      <c r="A705" s="62" t="n">
        <v>46816</v>
      </c>
      <c r="B705" s="3" t="inlineStr">
        <is>
          <t>Sat</t>
        </is>
      </c>
      <c r="C705" s="19" t="n">
        <v>3</v>
      </c>
      <c r="D705" s="19" t="n">
        <v>2028</v>
      </c>
      <c r="E705" s="57" t="n">
        <v>1</v>
      </c>
      <c r="F705" s="29">
        <f>ROUND(((SUMIFS(Calendar!$F$2:$F$9997,Calendar!$B$2:$B$9997,D705,Calendar!$C$2:$C$9997,C705)*INDEX(ForeCalc!$B$37:$Y$274,MATCH(_xlfn.CONCAT(H705," ",I705),ForeCalc!$A$37:$A$274,0),MATCH(_xlfn.CONCAT(B705," ",E705),ForeCalc!$B$36:$Y$36,0))))*VLOOKUP(A705,Calendar!$A$2:$H$9997,8,FALSE),0)</f>
        <v/>
      </c>
      <c r="G705" s="29">
        <f>VLOOKUP(A705,Calendar!$A$1:$H$9997,6,FALSE)-F705</f>
        <v/>
      </c>
      <c r="H705" s="19" t="n">
        <v>2</v>
      </c>
      <c r="I705" s="57" t="n">
        <v>12</v>
      </c>
    </row>
    <row r="706">
      <c r="A706" s="62" t="n">
        <v>46817</v>
      </c>
      <c r="B706" s="3" t="inlineStr">
        <is>
          <t>Sun</t>
        </is>
      </c>
      <c r="C706" s="19" t="n">
        <v>3</v>
      </c>
      <c r="D706" s="19" t="n">
        <v>2028</v>
      </c>
      <c r="E706" s="57" t="n">
        <v>1</v>
      </c>
      <c r="F706" s="29">
        <f>ROUND(((SUMIFS(Calendar!$F$2:$F$9997,Calendar!$B$2:$B$9997,D706,Calendar!$C$2:$C$9997,C706)*INDEX(ForeCalc!$B$37:$Y$274,MATCH(_xlfn.CONCAT(H706," ",I706),ForeCalc!$A$37:$A$274,0),MATCH(_xlfn.CONCAT(B706," ",E706),ForeCalc!$B$36:$Y$36,0))))*VLOOKUP(A706,Calendar!$A$2:$H$9997,8,FALSE),0)</f>
        <v/>
      </c>
      <c r="G706" s="29">
        <f>VLOOKUP(A706,Calendar!$A$1:$H$9997,6,FALSE)-F706</f>
        <v/>
      </c>
      <c r="H706" s="19" t="n">
        <v>2</v>
      </c>
      <c r="I706" s="57" t="n">
        <v>12</v>
      </c>
    </row>
    <row r="707">
      <c r="A707" s="62" t="n">
        <v>46818</v>
      </c>
      <c r="B707" s="3" t="inlineStr">
        <is>
          <t>Week</t>
        </is>
      </c>
      <c r="C707" s="19" t="n">
        <v>3</v>
      </c>
      <c r="D707" s="19" t="n">
        <v>2028</v>
      </c>
      <c r="E707" s="57" t="n">
        <v>1</v>
      </c>
      <c r="F707" s="29">
        <f>ROUND(((SUMIFS(Calendar!$F$2:$F$9997,Calendar!$B$2:$B$9997,D707,Calendar!$C$2:$C$9997,C707)*INDEX(ForeCalc!$B$37:$Y$274,MATCH(_xlfn.CONCAT(H707," ",I707),ForeCalc!$A$37:$A$274,0),MATCH(_xlfn.CONCAT(B707," ",E707),ForeCalc!$B$36:$Y$36,0))))*VLOOKUP(A707,Calendar!$A$2:$H$9997,8,FALSE),0)</f>
        <v/>
      </c>
      <c r="G707" s="29">
        <f>VLOOKUP(A707,Calendar!$A$1:$H$9997,6,FALSE)-F707</f>
        <v/>
      </c>
      <c r="H707" s="19" t="n">
        <v>2</v>
      </c>
      <c r="I707" s="57" t="n">
        <v>12</v>
      </c>
    </row>
    <row r="708">
      <c r="A708" s="62" t="n">
        <v>46819</v>
      </c>
      <c r="B708" s="3" t="inlineStr">
        <is>
          <t>Week</t>
        </is>
      </c>
      <c r="C708" s="19" t="n">
        <v>3</v>
      </c>
      <c r="D708" s="19" t="n">
        <v>2028</v>
      </c>
      <c r="E708" s="57" t="n">
        <v>1</v>
      </c>
      <c r="F708" s="29">
        <f>ROUND(((SUMIFS(Calendar!$F$2:$F$9997,Calendar!$B$2:$B$9997,D708,Calendar!$C$2:$C$9997,C708)*INDEX(ForeCalc!$B$37:$Y$274,MATCH(_xlfn.CONCAT(H708," ",I708),ForeCalc!$A$37:$A$274,0),MATCH(_xlfn.CONCAT(B708," ",E708),ForeCalc!$B$36:$Y$36,0))))*VLOOKUP(A708,Calendar!$A$2:$H$9997,8,FALSE),0)</f>
        <v/>
      </c>
      <c r="G708" s="29">
        <f>VLOOKUP(A708,Calendar!$A$1:$H$9997,6,FALSE)-F708</f>
        <v/>
      </c>
      <c r="H708" s="19" t="n">
        <v>2</v>
      </c>
      <c r="I708" s="57" t="n">
        <v>12</v>
      </c>
    </row>
    <row r="709">
      <c r="A709" s="62" t="n">
        <v>46820</v>
      </c>
      <c r="B709" s="3" t="inlineStr">
        <is>
          <t>Week</t>
        </is>
      </c>
      <c r="C709" s="19" t="n">
        <v>3</v>
      </c>
      <c r="D709" s="19" t="n">
        <v>2028</v>
      </c>
      <c r="E709" s="57" t="n">
        <v>1</v>
      </c>
      <c r="F709" s="29">
        <f>ROUND(((SUMIFS(Calendar!$F$2:$F$9997,Calendar!$B$2:$B$9997,D709,Calendar!$C$2:$C$9997,C709)*INDEX(ForeCalc!$B$37:$Y$274,MATCH(_xlfn.CONCAT(H709," ",I709),ForeCalc!$A$37:$A$274,0),MATCH(_xlfn.CONCAT(B709," ",E709),ForeCalc!$B$36:$Y$36,0))))*VLOOKUP(A709,Calendar!$A$2:$H$9997,8,FALSE),0)</f>
        <v/>
      </c>
      <c r="G709" s="29">
        <f>VLOOKUP(A709,Calendar!$A$1:$H$9997,6,FALSE)-F709</f>
        <v/>
      </c>
      <c r="H709" s="19" t="n">
        <v>2</v>
      </c>
      <c r="I709" s="57" t="n">
        <v>12</v>
      </c>
    </row>
    <row r="710">
      <c r="A710" s="62" t="n">
        <v>46821</v>
      </c>
      <c r="B710" s="3" t="inlineStr">
        <is>
          <t>Week</t>
        </is>
      </c>
      <c r="C710" s="19" t="n">
        <v>3</v>
      </c>
      <c r="D710" s="19" t="n">
        <v>2028</v>
      </c>
      <c r="E710" s="57" t="n">
        <v>1</v>
      </c>
      <c r="F710" s="29">
        <f>ROUND(((SUMIFS(Calendar!$F$2:$F$9997,Calendar!$B$2:$B$9997,D710,Calendar!$C$2:$C$9997,C710)*INDEX(ForeCalc!$B$37:$Y$274,MATCH(_xlfn.CONCAT(H710," ",I710),ForeCalc!$A$37:$A$274,0),MATCH(_xlfn.CONCAT(B710," ",E710),ForeCalc!$B$36:$Y$36,0))))*VLOOKUP(A710,Calendar!$A$2:$H$9997,8,FALSE),0)</f>
        <v/>
      </c>
      <c r="G710" s="29">
        <f>VLOOKUP(A710,Calendar!$A$1:$H$9997,6,FALSE)-F710</f>
        <v/>
      </c>
      <c r="H710" s="19" t="n">
        <v>2</v>
      </c>
      <c r="I710" s="57" t="n">
        <v>12</v>
      </c>
    </row>
    <row r="711">
      <c r="A711" s="62" t="n">
        <v>46822</v>
      </c>
      <c r="B711" s="3" t="inlineStr">
        <is>
          <t>Week</t>
        </is>
      </c>
      <c r="C711" s="19" t="n">
        <v>3</v>
      </c>
      <c r="D711" s="19" t="n">
        <v>2028</v>
      </c>
      <c r="E711" s="57" t="n">
        <v>1</v>
      </c>
      <c r="F711" s="29">
        <f>ROUND(((SUMIFS(Calendar!$F$2:$F$9997,Calendar!$B$2:$B$9997,D711,Calendar!$C$2:$C$9997,C711)*INDEX(ForeCalc!$B$37:$Y$274,MATCH(_xlfn.CONCAT(H711," ",I711),ForeCalc!$A$37:$A$274,0),MATCH(_xlfn.CONCAT(B711," ",E711),ForeCalc!$B$36:$Y$36,0))))*VLOOKUP(A711,Calendar!$A$2:$H$9997,8,FALSE),0)</f>
        <v/>
      </c>
      <c r="G711" s="29">
        <f>VLOOKUP(A711,Calendar!$A$1:$H$9997,6,FALSE)-F711</f>
        <v/>
      </c>
      <c r="H711" s="19" t="n">
        <v>2</v>
      </c>
      <c r="I711" s="57" t="n">
        <v>12</v>
      </c>
    </row>
    <row r="712">
      <c r="A712" s="62" t="n">
        <v>46823</v>
      </c>
      <c r="B712" s="3" t="inlineStr">
        <is>
          <t>Sat</t>
        </is>
      </c>
      <c r="C712" s="19" t="n">
        <v>3</v>
      </c>
      <c r="D712" s="19" t="n">
        <v>2028</v>
      </c>
      <c r="E712" s="57" t="n">
        <v>1</v>
      </c>
      <c r="F712" s="29">
        <f>ROUND(((SUMIFS(Calendar!$F$2:$F$9997,Calendar!$B$2:$B$9997,D712,Calendar!$C$2:$C$9997,C712)*INDEX(ForeCalc!$B$37:$Y$274,MATCH(_xlfn.CONCAT(H712," ",I712),ForeCalc!$A$37:$A$274,0),MATCH(_xlfn.CONCAT(B712," ",E712),ForeCalc!$B$36:$Y$36,0))))*VLOOKUP(A712,Calendar!$A$2:$H$9997,8,FALSE),0)</f>
        <v/>
      </c>
      <c r="G712" s="29">
        <f>VLOOKUP(A712,Calendar!$A$1:$H$9997,6,FALSE)-F712</f>
        <v/>
      </c>
      <c r="H712" s="19" t="n">
        <v>2</v>
      </c>
      <c r="I712" s="57" t="n">
        <v>12</v>
      </c>
    </row>
    <row r="713">
      <c r="A713" s="62" t="n">
        <v>46824</v>
      </c>
      <c r="B713" s="3" t="inlineStr">
        <is>
          <t>Sun</t>
        </is>
      </c>
      <c r="C713" s="19" t="n">
        <v>3</v>
      </c>
      <c r="D713" s="19" t="n">
        <v>2028</v>
      </c>
      <c r="E713" s="57" t="n">
        <v>1</v>
      </c>
      <c r="F713" s="29">
        <f>ROUND(((SUMIFS(Calendar!$F$2:$F$9997,Calendar!$B$2:$B$9997,D713,Calendar!$C$2:$C$9997,C713)*INDEX(ForeCalc!$B$37:$Y$274,MATCH(_xlfn.CONCAT(H713," ",I713),ForeCalc!$A$37:$A$274,0),MATCH(_xlfn.CONCAT(B713," ",E713),ForeCalc!$B$36:$Y$36,0))))*VLOOKUP(A713,Calendar!$A$2:$H$9997,8,FALSE),0)</f>
        <v/>
      </c>
      <c r="G713" s="29">
        <f>VLOOKUP(A713,Calendar!$A$1:$H$9997,6,FALSE)-F713</f>
        <v/>
      </c>
      <c r="H713" s="19" t="n">
        <v>2</v>
      </c>
      <c r="I713" s="57" t="n">
        <v>12</v>
      </c>
    </row>
    <row r="714">
      <c r="A714" s="62" t="n">
        <v>46825</v>
      </c>
      <c r="B714" s="3" t="inlineStr">
        <is>
          <t>Week</t>
        </is>
      </c>
      <c r="C714" s="19" t="n">
        <v>3</v>
      </c>
      <c r="D714" s="19" t="n">
        <v>2028</v>
      </c>
      <c r="E714" s="57" t="n">
        <v>1</v>
      </c>
      <c r="F714" s="29">
        <f>ROUND(((SUMIFS(Calendar!$F$2:$F$9997,Calendar!$B$2:$B$9997,D714,Calendar!$C$2:$C$9997,C714)*INDEX(ForeCalc!$B$37:$Y$274,MATCH(_xlfn.CONCAT(H714," ",I714),ForeCalc!$A$37:$A$274,0),MATCH(_xlfn.CONCAT(B714," ",E714),ForeCalc!$B$36:$Y$36,0))))*VLOOKUP(A714,Calendar!$A$2:$H$9997,8,FALSE),0)</f>
        <v/>
      </c>
      <c r="G714" s="29">
        <f>VLOOKUP(A714,Calendar!$A$1:$H$9997,6,FALSE)-F714</f>
        <v/>
      </c>
      <c r="H714" s="19" t="n">
        <v>2</v>
      </c>
      <c r="I714" s="57" t="n">
        <v>12</v>
      </c>
    </row>
    <row r="715">
      <c r="A715" s="62" t="n">
        <v>46826</v>
      </c>
      <c r="B715" s="3" t="inlineStr">
        <is>
          <t>Week</t>
        </is>
      </c>
      <c r="C715" s="19" t="n">
        <v>3</v>
      </c>
      <c r="D715" s="19" t="n">
        <v>2028</v>
      </c>
      <c r="E715" s="57" t="n">
        <v>1</v>
      </c>
      <c r="F715" s="29">
        <f>ROUND(((SUMIFS(Calendar!$F$2:$F$9997,Calendar!$B$2:$B$9997,D715,Calendar!$C$2:$C$9997,C715)*INDEX(ForeCalc!$B$37:$Y$274,MATCH(_xlfn.CONCAT(H715," ",I715),ForeCalc!$A$37:$A$274,0),MATCH(_xlfn.CONCAT(B715," ",E715),ForeCalc!$B$36:$Y$36,0))))*VLOOKUP(A715,Calendar!$A$2:$H$9997,8,FALSE),0)</f>
        <v/>
      </c>
      <c r="G715" s="29">
        <f>VLOOKUP(A715,Calendar!$A$1:$H$9997,6,FALSE)-F715</f>
        <v/>
      </c>
      <c r="H715" s="19" t="n">
        <v>2</v>
      </c>
      <c r="I715" s="57" t="n">
        <v>12</v>
      </c>
    </row>
    <row r="716">
      <c r="A716" s="62" t="n">
        <v>46827</v>
      </c>
      <c r="B716" s="3" t="inlineStr">
        <is>
          <t>Week</t>
        </is>
      </c>
      <c r="C716" s="19" t="n">
        <v>3</v>
      </c>
      <c r="D716" s="19" t="n">
        <v>2028</v>
      </c>
      <c r="E716" s="57" t="n">
        <v>1</v>
      </c>
      <c r="F716" s="29">
        <f>ROUND(((SUMIFS(Calendar!$F$2:$F$9997,Calendar!$B$2:$B$9997,D716,Calendar!$C$2:$C$9997,C716)*INDEX(ForeCalc!$B$37:$Y$274,MATCH(_xlfn.CONCAT(H716," ",I716),ForeCalc!$A$37:$A$274,0),MATCH(_xlfn.CONCAT(B716," ",E716),ForeCalc!$B$36:$Y$36,0))))*VLOOKUP(A716,Calendar!$A$2:$H$9997,8,FALSE),0)</f>
        <v/>
      </c>
      <c r="G716" s="29">
        <f>VLOOKUP(A716,Calendar!$A$1:$H$9997,6,FALSE)-F716</f>
        <v/>
      </c>
      <c r="H716" s="19" t="n">
        <v>2</v>
      </c>
      <c r="I716" s="57" t="n">
        <v>12</v>
      </c>
    </row>
    <row r="717">
      <c r="A717" s="62" t="n">
        <v>46828</v>
      </c>
      <c r="B717" s="3" t="inlineStr">
        <is>
          <t>Week</t>
        </is>
      </c>
      <c r="C717" s="19" t="n">
        <v>3</v>
      </c>
      <c r="D717" s="19" t="n">
        <v>2028</v>
      </c>
      <c r="E717" s="57" t="n">
        <v>1</v>
      </c>
      <c r="F717" s="29">
        <f>ROUND(((SUMIFS(Calendar!$F$2:$F$9997,Calendar!$B$2:$B$9997,D717,Calendar!$C$2:$C$9997,C717)*INDEX(ForeCalc!$B$37:$Y$274,MATCH(_xlfn.CONCAT(H717," ",I717),ForeCalc!$A$37:$A$274,0),MATCH(_xlfn.CONCAT(B717," ",E717),ForeCalc!$B$36:$Y$36,0))))*VLOOKUP(A717,Calendar!$A$2:$H$9997,8,FALSE),0)</f>
        <v/>
      </c>
      <c r="G717" s="29">
        <f>VLOOKUP(A717,Calendar!$A$1:$H$9997,6,FALSE)-F717</f>
        <v/>
      </c>
      <c r="H717" s="19" t="n">
        <v>2</v>
      </c>
      <c r="I717" s="57" t="n">
        <v>12</v>
      </c>
    </row>
    <row r="718">
      <c r="A718" s="62" t="n">
        <v>46829</v>
      </c>
      <c r="B718" s="3" t="inlineStr">
        <is>
          <t>Week</t>
        </is>
      </c>
      <c r="C718" s="19" t="n">
        <v>3</v>
      </c>
      <c r="D718" s="19" t="n">
        <v>2028</v>
      </c>
      <c r="E718" s="57" t="n">
        <v>1</v>
      </c>
      <c r="F718" s="29">
        <f>ROUND(((SUMIFS(Calendar!$F$2:$F$9997,Calendar!$B$2:$B$9997,D718,Calendar!$C$2:$C$9997,C718)*INDEX(ForeCalc!$B$37:$Y$274,MATCH(_xlfn.CONCAT(H718," ",I718),ForeCalc!$A$37:$A$274,0),MATCH(_xlfn.CONCAT(B718," ",E718),ForeCalc!$B$36:$Y$36,0))))*VLOOKUP(A718,Calendar!$A$2:$H$9997,8,FALSE),0)</f>
        <v/>
      </c>
      <c r="G718" s="29">
        <f>VLOOKUP(A718,Calendar!$A$1:$H$9997,6,FALSE)-F718</f>
        <v/>
      </c>
      <c r="H718" s="19" t="n">
        <v>2</v>
      </c>
      <c r="I718" s="57" t="n">
        <v>12</v>
      </c>
    </row>
    <row r="719">
      <c r="A719" s="62" t="n">
        <v>46830</v>
      </c>
      <c r="B719" s="3" t="inlineStr">
        <is>
          <t>Sat</t>
        </is>
      </c>
      <c r="C719" s="19" t="n">
        <v>3</v>
      </c>
      <c r="D719" s="19" t="n">
        <v>2028</v>
      </c>
      <c r="E719" s="57" t="n">
        <v>1</v>
      </c>
      <c r="F719" s="29">
        <f>ROUND(((SUMIFS(Calendar!$F$2:$F$9997,Calendar!$B$2:$B$9997,D719,Calendar!$C$2:$C$9997,C719)*INDEX(ForeCalc!$B$37:$Y$274,MATCH(_xlfn.CONCAT(H719," ",I719),ForeCalc!$A$37:$A$274,0),MATCH(_xlfn.CONCAT(B719," ",E719),ForeCalc!$B$36:$Y$36,0))))*VLOOKUP(A719,Calendar!$A$2:$H$9997,8,FALSE),0)</f>
        <v/>
      </c>
      <c r="G719" s="29">
        <f>VLOOKUP(A719,Calendar!$A$1:$H$9997,6,FALSE)-F719</f>
        <v/>
      </c>
      <c r="H719" s="19" t="n">
        <v>2</v>
      </c>
      <c r="I719" s="57" t="n">
        <v>12</v>
      </c>
    </row>
    <row r="720">
      <c r="A720" s="62" t="n">
        <v>46831</v>
      </c>
      <c r="B720" s="3" t="inlineStr">
        <is>
          <t>Sun</t>
        </is>
      </c>
      <c r="C720" s="19" t="n">
        <v>3</v>
      </c>
      <c r="D720" s="19" t="n">
        <v>2028</v>
      </c>
      <c r="E720" s="57" t="n">
        <v>1</v>
      </c>
      <c r="F720" s="29">
        <f>ROUND(((SUMIFS(Calendar!$F$2:$F$9997,Calendar!$B$2:$B$9997,D720,Calendar!$C$2:$C$9997,C720)*INDEX(ForeCalc!$B$37:$Y$274,MATCH(_xlfn.CONCAT(H720," ",I720),ForeCalc!$A$37:$A$274,0),MATCH(_xlfn.CONCAT(B720," ",E720),ForeCalc!$B$36:$Y$36,0))))*VLOOKUP(A720,Calendar!$A$2:$H$9997,8,FALSE),0)</f>
        <v/>
      </c>
      <c r="G720" s="29">
        <f>VLOOKUP(A720,Calendar!$A$1:$H$9997,6,FALSE)-F720</f>
        <v/>
      </c>
      <c r="H720" s="19" t="n">
        <v>2</v>
      </c>
      <c r="I720" s="57" t="n">
        <v>12</v>
      </c>
    </row>
    <row r="721">
      <c r="A721" s="62" t="n">
        <v>46832</v>
      </c>
      <c r="B721" s="3" t="inlineStr">
        <is>
          <t>Week</t>
        </is>
      </c>
      <c r="C721" s="19" t="n">
        <v>3</v>
      </c>
      <c r="D721" s="19" t="n">
        <v>2028</v>
      </c>
      <c r="E721" s="57" t="n">
        <v>1</v>
      </c>
      <c r="F721" s="29">
        <f>ROUND(((SUMIFS(Calendar!$F$2:$F$9997,Calendar!$B$2:$B$9997,D721,Calendar!$C$2:$C$9997,C721)*INDEX(ForeCalc!$B$37:$Y$274,MATCH(_xlfn.CONCAT(H721," ",I721),ForeCalc!$A$37:$A$274,0),MATCH(_xlfn.CONCAT(B721," ",E721),ForeCalc!$B$36:$Y$36,0))))*VLOOKUP(A721,Calendar!$A$2:$H$9997,8,FALSE),0)</f>
        <v/>
      </c>
      <c r="G721" s="29">
        <f>VLOOKUP(A721,Calendar!$A$1:$H$9997,6,FALSE)-F721</f>
        <v/>
      </c>
      <c r="H721" s="19" t="n">
        <v>2</v>
      </c>
      <c r="I721" s="57" t="n">
        <v>12</v>
      </c>
    </row>
    <row r="722">
      <c r="A722" s="62" t="n">
        <v>46833</v>
      </c>
      <c r="B722" s="3" t="inlineStr">
        <is>
          <t>Week</t>
        </is>
      </c>
      <c r="C722" s="19" t="n">
        <v>3</v>
      </c>
      <c r="D722" s="19" t="n">
        <v>2028</v>
      </c>
      <c r="E722" s="57" t="n">
        <v>1</v>
      </c>
      <c r="F722" s="29">
        <f>ROUND(((SUMIFS(Calendar!$F$2:$F$9997,Calendar!$B$2:$B$9997,D722,Calendar!$C$2:$C$9997,C722)*INDEX(ForeCalc!$B$37:$Y$274,MATCH(_xlfn.CONCAT(H722," ",I722),ForeCalc!$A$37:$A$274,0),MATCH(_xlfn.CONCAT(B722," ",E722),ForeCalc!$B$36:$Y$36,0))))*VLOOKUP(A722,Calendar!$A$2:$H$9997,8,FALSE),0)</f>
        <v/>
      </c>
      <c r="G722" s="29">
        <f>VLOOKUP(A722,Calendar!$A$1:$H$9997,6,FALSE)-F722</f>
        <v/>
      </c>
      <c r="H722" s="19" t="n">
        <v>2</v>
      </c>
      <c r="I722" s="57" t="n">
        <v>12</v>
      </c>
    </row>
    <row r="723">
      <c r="A723" s="62" t="n">
        <v>46834</v>
      </c>
      <c r="B723" s="3" t="inlineStr">
        <is>
          <t>Week</t>
        </is>
      </c>
      <c r="C723" s="19" t="n">
        <v>3</v>
      </c>
      <c r="D723" s="19" t="n">
        <v>2028</v>
      </c>
      <c r="E723" s="57" t="n">
        <v>1</v>
      </c>
      <c r="F723" s="29">
        <f>ROUND(((SUMIFS(Calendar!$F$2:$F$9997,Calendar!$B$2:$B$9997,D723,Calendar!$C$2:$C$9997,C723)*INDEX(ForeCalc!$B$37:$Y$274,MATCH(_xlfn.CONCAT(H723," ",I723),ForeCalc!$A$37:$A$274,0),MATCH(_xlfn.CONCAT(B723," ",E723),ForeCalc!$B$36:$Y$36,0))))*VLOOKUP(A723,Calendar!$A$2:$H$9997,8,FALSE),0)</f>
        <v/>
      </c>
      <c r="G723" s="29">
        <f>VLOOKUP(A723,Calendar!$A$1:$H$9997,6,FALSE)-F723</f>
        <v/>
      </c>
      <c r="H723" s="19" t="n">
        <v>2</v>
      </c>
      <c r="I723" s="57" t="n">
        <v>12</v>
      </c>
    </row>
    <row r="724">
      <c r="A724" s="62" t="n">
        <v>46835</v>
      </c>
      <c r="B724" s="3" t="inlineStr">
        <is>
          <t>Week</t>
        </is>
      </c>
      <c r="C724" s="19" t="n">
        <v>3</v>
      </c>
      <c r="D724" s="19" t="n">
        <v>2028</v>
      </c>
      <c r="E724" s="57" t="n">
        <v>1</v>
      </c>
      <c r="F724" s="29">
        <f>ROUND(((SUMIFS(Calendar!$F$2:$F$9997,Calendar!$B$2:$B$9997,D724,Calendar!$C$2:$C$9997,C724)*INDEX(ForeCalc!$B$37:$Y$274,MATCH(_xlfn.CONCAT(H724," ",I724),ForeCalc!$A$37:$A$274,0),MATCH(_xlfn.CONCAT(B724," ",E724),ForeCalc!$B$36:$Y$36,0))))*VLOOKUP(A724,Calendar!$A$2:$H$9997,8,FALSE),0)</f>
        <v/>
      </c>
      <c r="G724" s="29">
        <f>VLOOKUP(A724,Calendar!$A$1:$H$9997,6,FALSE)-F724</f>
        <v/>
      </c>
      <c r="H724" s="19" t="n">
        <v>2</v>
      </c>
      <c r="I724" s="57" t="n">
        <v>12</v>
      </c>
    </row>
    <row r="725">
      <c r="A725" s="62" t="n">
        <v>46836</v>
      </c>
      <c r="B725" s="3" t="inlineStr">
        <is>
          <t>Week</t>
        </is>
      </c>
      <c r="C725" s="19" t="n">
        <v>3</v>
      </c>
      <c r="D725" s="19" t="n">
        <v>2028</v>
      </c>
      <c r="E725" s="57" t="n">
        <v>1</v>
      </c>
      <c r="F725" s="29">
        <f>ROUND(((SUMIFS(Calendar!$F$2:$F$9997,Calendar!$B$2:$B$9997,D725,Calendar!$C$2:$C$9997,C725)*INDEX(ForeCalc!$B$37:$Y$274,MATCH(_xlfn.CONCAT(H725," ",I725),ForeCalc!$A$37:$A$274,0),MATCH(_xlfn.CONCAT(B725," ",E725),ForeCalc!$B$36:$Y$36,0))))*VLOOKUP(A725,Calendar!$A$2:$H$9997,8,FALSE),0)</f>
        <v/>
      </c>
      <c r="G725" s="29">
        <f>VLOOKUP(A725,Calendar!$A$1:$H$9997,6,FALSE)-F725</f>
        <v/>
      </c>
      <c r="H725" s="19" t="n">
        <v>2</v>
      </c>
      <c r="I725" s="57" t="n">
        <v>12</v>
      </c>
    </row>
    <row r="726">
      <c r="A726" s="62" t="n">
        <v>46837</v>
      </c>
      <c r="B726" s="3" t="inlineStr">
        <is>
          <t>Sat</t>
        </is>
      </c>
      <c r="C726" s="19" t="n">
        <v>3</v>
      </c>
      <c r="D726" s="19" t="n">
        <v>2028</v>
      </c>
      <c r="E726" s="57" t="n">
        <v>1</v>
      </c>
      <c r="F726" s="29">
        <f>ROUND(((SUMIFS(Calendar!$F$2:$F$9997,Calendar!$B$2:$B$9997,D726,Calendar!$C$2:$C$9997,C726)*INDEX(ForeCalc!$B$37:$Y$274,MATCH(_xlfn.CONCAT(H726," ",I726),ForeCalc!$A$37:$A$274,0),MATCH(_xlfn.CONCAT(B726," ",E726),ForeCalc!$B$36:$Y$36,0))))*VLOOKUP(A726,Calendar!$A$2:$H$9997,8,FALSE),0)</f>
        <v/>
      </c>
      <c r="G726" s="29">
        <f>VLOOKUP(A726,Calendar!$A$1:$H$9997,6,FALSE)-F726</f>
        <v/>
      </c>
      <c r="H726" s="19" t="n">
        <v>2</v>
      </c>
      <c r="I726" s="57" t="n">
        <v>12</v>
      </c>
    </row>
    <row r="727">
      <c r="A727" s="62" t="n">
        <v>46838</v>
      </c>
      <c r="B727" s="3" t="inlineStr">
        <is>
          <t>Sun</t>
        </is>
      </c>
      <c r="C727" s="19" t="n">
        <v>3</v>
      </c>
      <c r="D727" s="19" t="n">
        <v>2028</v>
      </c>
      <c r="E727" s="57" t="n">
        <v>1</v>
      </c>
      <c r="F727" s="29">
        <f>ROUND(((SUMIFS(Calendar!$F$2:$F$9997,Calendar!$B$2:$B$9997,D727,Calendar!$C$2:$C$9997,C727)*INDEX(ForeCalc!$B$37:$Y$274,MATCH(_xlfn.CONCAT(H727," ",I727),ForeCalc!$A$37:$A$274,0),MATCH(_xlfn.CONCAT(B727," ",E727),ForeCalc!$B$36:$Y$36,0))))*VLOOKUP(A727,Calendar!$A$2:$H$9997,8,FALSE),0)</f>
        <v/>
      </c>
      <c r="G727" s="29">
        <f>VLOOKUP(A727,Calendar!$A$1:$H$9997,6,FALSE)-F727</f>
        <v/>
      </c>
      <c r="H727" s="19" t="n">
        <v>2</v>
      </c>
      <c r="I727" s="57" t="n">
        <v>12</v>
      </c>
    </row>
    <row r="728">
      <c r="A728" s="62" t="n">
        <v>46839</v>
      </c>
      <c r="B728" s="3" t="inlineStr">
        <is>
          <t>Week</t>
        </is>
      </c>
      <c r="C728" s="19" t="n">
        <v>3</v>
      </c>
      <c r="D728" s="19" t="n">
        <v>2028</v>
      </c>
      <c r="E728" s="57" t="n">
        <v>1</v>
      </c>
      <c r="F728" s="29">
        <f>ROUND(((SUMIFS(Calendar!$F$2:$F$9997,Calendar!$B$2:$B$9997,D728,Calendar!$C$2:$C$9997,C728)*INDEX(ForeCalc!$B$37:$Y$274,MATCH(_xlfn.CONCAT(H728," ",I728),ForeCalc!$A$37:$A$274,0),MATCH(_xlfn.CONCAT(B728," ",E728),ForeCalc!$B$36:$Y$36,0))))*VLOOKUP(A728,Calendar!$A$2:$H$9997,8,FALSE),0)</f>
        <v/>
      </c>
      <c r="G728" s="29">
        <f>VLOOKUP(A728,Calendar!$A$1:$H$9997,6,FALSE)-F728</f>
        <v/>
      </c>
      <c r="H728" s="19" t="n">
        <v>2</v>
      </c>
      <c r="I728" s="57" t="n">
        <v>12</v>
      </c>
    </row>
    <row r="729">
      <c r="A729" s="62" t="n">
        <v>46840</v>
      </c>
      <c r="B729" s="3" t="inlineStr">
        <is>
          <t>Week</t>
        </is>
      </c>
      <c r="C729" s="19" t="n">
        <v>3</v>
      </c>
      <c r="D729" s="19" t="n">
        <v>2028</v>
      </c>
      <c r="E729" s="57" t="n">
        <v>1</v>
      </c>
      <c r="F729" s="29">
        <f>ROUND(((SUMIFS(Calendar!$F$2:$F$9997,Calendar!$B$2:$B$9997,D729,Calendar!$C$2:$C$9997,C729)*INDEX(ForeCalc!$B$37:$Y$274,MATCH(_xlfn.CONCAT(H729," ",I729),ForeCalc!$A$37:$A$274,0),MATCH(_xlfn.CONCAT(B729," ",E729),ForeCalc!$B$36:$Y$36,0))))*VLOOKUP(A729,Calendar!$A$2:$H$9997,8,FALSE),0)</f>
        <v/>
      </c>
      <c r="G729" s="29">
        <f>VLOOKUP(A729,Calendar!$A$1:$H$9997,6,FALSE)-F729</f>
        <v/>
      </c>
      <c r="H729" s="19" t="n">
        <v>2</v>
      </c>
      <c r="I729" s="57" t="n">
        <v>12</v>
      </c>
    </row>
    <row r="730">
      <c r="A730" s="62" t="n">
        <v>46841</v>
      </c>
      <c r="B730" s="3" t="inlineStr">
        <is>
          <t>Week</t>
        </is>
      </c>
      <c r="C730" s="19" t="n">
        <v>3</v>
      </c>
      <c r="D730" s="19" t="n">
        <v>2028</v>
      </c>
      <c r="E730" s="57" t="n">
        <v>1</v>
      </c>
      <c r="F730" s="29">
        <f>ROUND(((SUMIFS(Calendar!$F$2:$F$9997,Calendar!$B$2:$B$9997,D730,Calendar!$C$2:$C$9997,C730)*INDEX(ForeCalc!$B$37:$Y$274,MATCH(_xlfn.CONCAT(H730," ",I730),ForeCalc!$A$37:$A$274,0),MATCH(_xlfn.CONCAT(B730," ",E730),ForeCalc!$B$36:$Y$36,0))))*VLOOKUP(A730,Calendar!$A$2:$H$9997,8,FALSE),0)</f>
        <v/>
      </c>
      <c r="G730" s="29">
        <f>VLOOKUP(A730,Calendar!$A$1:$H$9997,6,FALSE)-F730</f>
        <v/>
      </c>
      <c r="H730" s="19" t="n">
        <v>2</v>
      </c>
      <c r="I730" s="57" t="n">
        <v>12</v>
      </c>
    </row>
    <row r="731">
      <c r="A731" s="62" t="n">
        <v>46842</v>
      </c>
      <c r="B731" s="3" t="inlineStr">
        <is>
          <t>Week</t>
        </is>
      </c>
      <c r="C731" s="19" t="n">
        <v>3</v>
      </c>
      <c r="D731" s="19" t="n">
        <v>2028</v>
      </c>
      <c r="E731" s="57" t="n">
        <v>1</v>
      </c>
      <c r="F731" s="29">
        <f>ROUND(((SUMIFS(Calendar!$F$2:$F$9997,Calendar!$B$2:$B$9997,D731,Calendar!$C$2:$C$9997,C731)*INDEX(ForeCalc!$B$37:$Y$274,MATCH(_xlfn.CONCAT(H731," ",I731),ForeCalc!$A$37:$A$274,0),MATCH(_xlfn.CONCAT(B731," ",E731),ForeCalc!$B$36:$Y$36,0))))*VLOOKUP(A731,Calendar!$A$2:$H$9997,8,FALSE),0)</f>
        <v/>
      </c>
      <c r="G731" s="29">
        <f>VLOOKUP(A731,Calendar!$A$1:$H$9997,6,FALSE)-F731</f>
        <v/>
      </c>
      <c r="H731" s="19" t="n">
        <v>2</v>
      </c>
      <c r="I731" s="57" t="n">
        <v>12</v>
      </c>
    </row>
    <row r="732">
      <c r="A732" s="62" t="n">
        <v>46843</v>
      </c>
      <c r="B732" s="3" t="inlineStr">
        <is>
          <t>Week</t>
        </is>
      </c>
      <c r="C732" s="19" t="n">
        <v>3</v>
      </c>
      <c r="D732" s="19" t="n">
        <v>2028</v>
      </c>
      <c r="E732" s="57" t="n">
        <v>1</v>
      </c>
      <c r="F732" s="29">
        <f>ROUND(((SUMIFS(Calendar!$F$2:$F$9997,Calendar!$B$2:$B$9997,D732,Calendar!$C$2:$C$9997,C732)*INDEX(ForeCalc!$B$37:$Y$274,MATCH(_xlfn.CONCAT(H732," ",I732),ForeCalc!$A$37:$A$274,0),MATCH(_xlfn.CONCAT(B732," ",E732),ForeCalc!$B$36:$Y$36,0))))*VLOOKUP(A732,Calendar!$A$2:$H$9997,8,FALSE),0)</f>
        <v/>
      </c>
      <c r="G732" s="29">
        <f>VLOOKUP(A732,Calendar!$A$1:$H$9997,6,FALSE)-F732</f>
        <v/>
      </c>
      <c r="H732" s="19" t="n">
        <v>2</v>
      </c>
      <c r="I732" s="57" t="n">
        <v>12</v>
      </c>
    </row>
    <row r="733">
      <c r="A733" s="62" t="n">
        <v>46844</v>
      </c>
      <c r="B733" s="3" t="inlineStr">
        <is>
          <t>Sat</t>
        </is>
      </c>
      <c r="C733" s="19" t="n">
        <v>4</v>
      </c>
      <c r="D733" s="19" t="n">
        <v>2028</v>
      </c>
      <c r="E733" s="57" t="n">
        <v>1</v>
      </c>
      <c r="F733" s="29">
        <f>ROUND(((SUMIFS(Calendar!$F$2:$F$9997,Calendar!$B$2:$B$9997,D733,Calendar!$C$2:$C$9997,C733)*INDEX(ForeCalc!$B$37:$Y$274,MATCH(_xlfn.CONCAT(H733," ",I733),ForeCalc!$A$37:$A$274,0),MATCH(_xlfn.CONCAT(B733," ",E733),ForeCalc!$B$36:$Y$36,0))))*VLOOKUP(A733,Calendar!$A$2:$H$9997,8,FALSE),0)</f>
        <v/>
      </c>
      <c r="G733" s="29">
        <f>VLOOKUP(A733,Calendar!$A$1:$H$9997,6,FALSE)-F733</f>
        <v/>
      </c>
      <c r="H733" s="19" t="n">
        <v>3</v>
      </c>
      <c r="I733" s="57" t="n">
        <v>1</v>
      </c>
    </row>
    <row r="734">
      <c r="A734" s="62" t="n">
        <v>46845</v>
      </c>
      <c r="B734" s="3" t="inlineStr">
        <is>
          <t>Sun</t>
        </is>
      </c>
      <c r="C734" s="19" t="n">
        <v>4</v>
      </c>
      <c r="D734" s="19" t="n">
        <v>2028</v>
      </c>
      <c r="E734" s="57" t="n">
        <v>1</v>
      </c>
      <c r="F734" s="29">
        <f>ROUND(((SUMIFS(Calendar!$F$2:$F$9997,Calendar!$B$2:$B$9997,D734,Calendar!$C$2:$C$9997,C734)*INDEX(ForeCalc!$B$37:$Y$274,MATCH(_xlfn.CONCAT(H734," ",I734),ForeCalc!$A$37:$A$274,0),MATCH(_xlfn.CONCAT(B734," ",E734),ForeCalc!$B$36:$Y$36,0))))*VLOOKUP(A734,Calendar!$A$2:$H$9997,8,FALSE),0)</f>
        <v/>
      </c>
      <c r="G734" s="29">
        <f>VLOOKUP(A734,Calendar!$A$1:$H$9997,6,FALSE)-F734</f>
        <v/>
      </c>
      <c r="H734" s="19" t="n">
        <v>3</v>
      </c>
      <c r="I734" s="57" t="n">
        <v>1</v>
      </c>
    </row>
    <row r="735">
      <c r="A735" s="62" t="n">
        <v>46846</v>
      </c>
      <c r="B735" s="3" t="inlineStr">
        <is>
          <t>Week</t>
        </is>
      </c>
      <c r="C735" s="19" t="n">
        <v>4</v>
      </c>
      <c r="D735" s="19" t="n">
        <v>2028</v>
      </c>
      <c r="E735" s="57" t="n">
        <v>1</v>
      </c>
      <c r="F735" s="29">
        <f>ROUND(((SUMIFS(Calendar!$F$2:$F$9997,Calendar!$B$2:$B$9997,D735,Calendar!$C$2:$C$9997,C735)*INDEX(ForeCalc!$B$37:$Y$274,MATCH(_xlfn.CONCAT(H735," ",I735),ForeCalc!$A$37:$A$274,0),MATCH(_xlfn.CONCAT(B735," ",E735),ForeCalc!$B$36:$Y$36,0))))*VLOOKUP(A735,Calendar!$A$2:$H$9997,8,FALSE),0)</f>
        <v/>
      </c>
      <c r="G735" s="29">
        <f>VLOOKUP(A735,Calendar!$A$1:$H$9997,6,FALSE)-F735</f>
        <v/>
      </c>
      <c r="H735" s="19" t="n">
        <v>3</v>
      </c>
      <c r="I735" s="57" t="n">
        <v>1</v>
      </c>
    </row>
    <row r="736">
      <c r="A736" s="62" t="n">
        <v>46847</v>
      </c>
      <c r="B736" s="3" t="inlineStr">
        <is>
          <t>Week</t>
        </is>
      </c>
      <c r="C736" s="19" t="n">
        <v>4</v>
      </c>
      <c r="D736" s="19" t="n">
        <v>2028</v>
      </c>
      <c r="E736" s="57" t="n">
        <v>1</v>
      </c>
      <c r="F736" s="29">
        <f>ROUND(((SUMIFS(Calendar!$F$2:$F$9997,Calendar!$B$2:$B$9997,D736,Calendar!$C$2:$C$9997,C736)*INDEX(ForeCalc!$B$37:$Y$274,MATCH(_xlfn.CONCAT(H736," ",I736),ForeCalc!$A$37:$A$274,0),MATCH(_xlfn.CONCAT(B736," ",E736),ForeCalc!$B$36:$Y$36,0))))*VLOOKUP(A736,Calendar!$A$2:$H$9997,8,FALSE),0)</f>
        <v/>
      </c>
      <c r="G736" s="29">
        <f>VLOOKUP(A736,Calendar!$A$1:$H$9997,6,FALSE)-F736</f>
        <v/>
      </c>
      <c r="H736" s="19" t="n">
        <v>3</v>
      </c>
      <c r="I736" s="57" t="n">
        <v>1</v>
      </c>
    </row>
    <row r="737">
      <c r="A737" s="62" t="n">
        <v>46848</v>
      </c>
      <c r="B737" s="3" t="inlineStr">
        <is>
          <t>Week</t>
        </is>
      </c>
      <c r="C737" s="19" t="n">
        <v>4</v>
      </c>
      <c r="D737" s="19" t="n">
        <v>2028</v>
      </c>
      <c r="E737" s="57" t="n">
        <v>1</v>
      </c>
      <c r="F737" s="29">
        <f>ROUND(((SUMIFS(Calendar!$F$2:$F$9997,Calendar!$B$2:$B$9997,D737,Calendar!$C$2:$C$9997,C737)*INDEX(ForeCalc!$B$37:$Y$274,MATCH(_xlfn.CONCAT(H737," ",I737),ForeCalc!$A$37:$A$274,0),MATCH(_xlfn.CONCAT(B737," ",E737),ForeCalc!$B$36:$Y$36,0))))*VLOOKUP(A737,Calendar!$A$2:$H$9997,8,FALSE),0)</f>
        <v/>
      </c>
      <c r="G737" s="29">
        <f>VLOOKUP(A737,Calendar!$A$1:$H$9997,6,FALSE)-F737</f>
        <v/>
      </c>
      <c r="H737" s="19" t="n">
        <v>3</v>
      </c>
      <c r="I737" s="57" t="n">
        <v>1</v>
      </c>
    </row>
    <row r="738">
      <c r="A738" s="62" t="n">
        <v>46849</v>
      </c>
      <c r="B738" s="3" t="inlineStr">
        <is>
          <t>Week</t>
        </is>
      </c>
      <c r="C738" s="19" t="n">
        <v>4</v>
      </c>
      <c r="D738" s="19" t="n">
        <v>2028</v>
      </c>
      <c r="E738" s="57" t="n">
        <v>1</v>
      </c>
      <c r="F738" s="29">
        <f>ROUND(((SUMIFS(Calendar!$F$2:$F$9997,Calendar!$B$2:$B$9997,D738,Calendar!$C$2:$C$9997,C738)*INDEX(ForeCalc!$B$37:$Y$274,MATCH(_xlfn.CONCAT(H738," ",I738),ForeCalc!$A$37:$A$274,0),MATCH(_xlfn.CONCAT(B738," ",E738),ForeCalc!$B$36:$Y$36,0))))*VLOOKUP(A738,Calendar!$A$2:$H$9997,8,FALSE),0)</f>
        <v/>
      </c>
      <c r="G738" s="29">
        <f>VLOOKUP(A738,Calendar!$A$1:$H$9997,6,FALSE)-F738</f>
        <v/>
      </c>
      <c r="H738" s="19" t="n">
        <v>3</v>
      </c>
      <c r="I738" s="57" t="n">
        <v>1</v>
      </c>
    </row>
    <row r="739">
      <c r="A739" s="62" t="n">
        <v>46850</v>
      </c>
      <c r="B739" s="3" t="inlineStr">
        <is>
          <t>Week</t>
        </is>
      </c>
      <c r="C739" s="19" t="n">
        <v>4</v>
      </c>
      <c r="D739" s="19" t="n">
        <v>2028</v>
      </c>
      <c r="E739" s="57" t="n">
        <v>1</v>
      </c>
      <c r="F739" s="29">
        <f>ROUND(((SUMIFS(Calendar!$F$2:$F$9997,Calendar!$B$2:$B$9997,D739,Calendar!$C$2:$C$9997,C739)*INDEX(ForeCalc!$B$37:$Y$274,MATCH(_xlfn.CONCAT(H739," ",I739),ForeCalc!$A$37:$A$274,0),MATCH(_xlfn.CONCAT(B739," ",E739),ForeCalc!$B$36:$Y$36,0))))*VLOOKUP(A739,Calendar!$A$2:$H$9997,8,FALSE),0)</f>
        <v/>
      </c>
      <c r="G739" s="29">
        <f>VLOOKUP(A739,Calendar!$A$1:$H$9997,6,FALSE)-F739</f>
        <v/>
      </c>
      <c r="H739" s="19" t="n">
        <v>3</v>
      </c>
      <c r="I739" s="57" t="n">
        <v>1</v>
      </c>
    </row>
    <row r="740">
      <c r="A740" s="62" t="n">
        <v>46851</v>
      </c>
      <c r="B740" s="3" t="inlineStr">
        <is>
          <t>Sat</t>
        </is>
      </c>
      <c r="C740" s="19" t="n">
        <v>4</v>
      </c>
      <c r="D740" s="19" t="n">
        <v>2028</v>
      </c>
      <c r="E740" s="57" t="n">
        <v>1</v>
      </c>
      <c r="F740" s="29">
        <f>ROUND(((SUMIFS(Calendar!$F$2:$F$9997,Calendar!$B$2:$B$9997,D740,Calendar!$C$2:$C$9997,C740)*INDEX(ForeCalc!$B$37:$Y$274,MATCH(_xlfn.CONCAT(H740," ",I740),ForeCalc!$A$37:$A$274,0),MATCH(_xlfn.CONCAT(B740," ",E740),ForeCalc!$B$36:$Y$36,0))))*VLOOKUP(A740,Calendar!$A$2:$H$9997,8,FALSE),0)</f>
        <v/>
      </c>
      <c r="G740" s="29">
        <f>VLOOKUP(A740,Calendar!$A$1:$H$9997,6,FALSE)-F740</f>
        <v/>
      </c>
      <c r="H740" s="19" t="n">
        <v>3</v>
      </c>
      <c r="I740" s="57" t="n">
        <v>1</v>
      </c>
    </row>
    <row r="741">
      <c r="A741" s="62" t="n">
        <v>46852</v>
      </c>
      <c r="B741" s="3" t="inlineStr">
        <is>
          <t>Sun</t>
        </is>
      </c>
      <c r="C741" s="19" t="n">
        <v>4</v>
      </c>
      <c r="D741" s="19" t="n">
        <v>2028</v>
      </c>
      <c r="E741" s="57" t="n">
        <v>1</v>
      </c>
      <c r="F741" s="29">
        <f>ROUND(((SUMIFS(Calendar!$F$2:$F$9997,Calendar!$B$2:$B$9997,D741,Calendar!$C$2:$C$9997,C741)*INDEX(ForeCalc!$B$37:$Y$274,MATCH(_xlfn.CONCAT(H741," ",I741),ForeCalc!$A$37:$A$274,0),MATCH(_xlfn.CONCAT(B741," ",E741),ForeCalc!$B$36:$Y$36,0))))*VLOOKUP(A741,Calendar!$A$2:$H$9997,8,FALSE),0)</f>
        <v/>
      </c>
      <c r="G741" s="29">
        <f>VLOOKUP(A741,Calendar!$A$1:$H$9997,6,FALSE)-F741</f>
        <v/>
      </c>
      <c r="H741" s="19" t="n">
        <v>3</v>
      </c>
      <c r="I741" s="57" t="n">
        <v>1</v>
      </c>
    </row>
    <row r="742">
      <c r="A742" s="62" t="n">
        <v>46853</v>
      </c>
      <c r="B742" s="3" t="inlineStr">
        <is>
          <t>Week</t>
        </is>
      </c>
      <c r="C742" s="19" t="n">
        <v>4</v>
      </c>
      <c r="D742" s="19" t="n">
        <v>2028</v>
      </c>
      <c r="E742" s="57" t="n">
        <v>1</v>
      </c>
      <c r="F742" s="29">
        <f>ROUND(((SUMIFS(Calendar!$F$2:$F$9997,Calendar!$B$2:$B$9997,D742,Calendar!$C$2:$C$9997,C742)*INDEX(ForeCalc!$B$37:$Y$274,MATCH(_xlfn.CONCAT(H742," ",I742),ForeCalc!$A$37:$A$274,0),MATCH(_xlfn.CONCAT(B742," ",E742),ForeCalc!$B$36:$Y$36,0))))*VLOOKUP(A742,Calendar!$A$2:$H$9997,8,FALSE),0)</f>
        <v/>
      </c>
      <c r="G742" s="29">
        <f>VLOOKUP(A742,Calendar!$A$1:$H$9997,6,FALSE)-F742</f>
        <v/>
      </c>
      <c r="H742" s="19" t="n">
        <v>3</v>
      </c>
      <c r="I742" s="57" t="n">
        <v>1</v>
      </c>
    </row>
    <row r="743">
      <c r="A743" s="62" t="n">
        <v>46854</v>
      </c>
      <c r="B743" s="3" t="inlineStr">
        <is>
          <t>Week</t>
        </is>
      </c>
      <c r="C743" s="19" t="n">
        <v>4</v>
      </c>
      <c r="D743" s="19" t="n">
        <v>2028</v>
      </c>
      <c r="E743" s="57" t="n">
        <v>1</v>
      </c>
      <c r="F743" s="29">
        <f>ROUND(((SUMIFS(Calendar!$F$2:$F$9997,Calendar!$B$2:$B$9997,D743,Calendar!$C$2:$C$9997,C743)*INDEX(ForeCalc!$B$37:$Y$274,MATCH(_xlfn.CONCAT(H743," ",I743),ForeCalc!$A$37:$A$274,0),MATCH(_xlfn.CONCAT(B743," ",E743),ForeCalc!$B$36:$Y$36,0))))*VLOOKUP(A743,Calendar!$A$2:$H$9997,8,FALSE),0)</f>
        <v/>
      </c>
      <c r="G743" s="29">
        <f>VLOOKUP(A743,Calendar!$A$1:$H$9997,6,FALSE)-F743</f>
        <v/>
      </c>
      <c r="H743" s="19" t="n">
        <v>3</v>
      </c>
      <c r="I743" s="57" t="n">
        <v>1</v>
      </c>
    </row>
    <row r="744">
      <c r="A744" s="62" t="n">
        <v>46855</v>
      </c>
      <c r="B744" s="3" t="inlineStr">
        <is>
          <t>Week</t>
        </is>
      </c>
      <c r="C744" s="19" t="n">
        <v>4</v>
      </c>
      <c r="D744" s="19" t="n">
        <v>2028</v>
      </c>
      <c r="E744" s="57" t="n">
        <v>1</v>
      </c>
      <c r="F744" s="29">
        <f>ROUND(((SUMIFS(Calendar!$F$2:$F$9997,Calendar!$B$2:$B$9997,D744,Calendar!$C$2:$C$9997,C744)*INDEX(ForeCalc!$B$37:$Y$274,MATCH(_xlfn.CONCAT(H744," ",I744),ForeCalc!$A$37:$A$274,0),MATCH(_xlfn.CONCAT(B744," ",E744),ForeCalc!$B$36:$Y$36,0))))*VLOOKUP(A744,Calendar!$A$2:$H$9997,8,FALSE),0)</f>
        <v/>
      </c>
      <c r="G744" s="29">
        <f>VLOOKUP(A744,Calendar!$A$1:$H$9997,6,FALSE)-F744</f>
        <v/>
      </c>
      <c r="H744" s="19" t="n">
        <v>3</v>
      </c>
      <c r="I744" s="57" t="n">
        <v>1</v>
      </c>
    </row>
    <row r="745">
      <c r="A745" s="62" t="n">
        <v>46856</v>
      </c>
      <c r="B745" s="3" t="inlineStr">
        <is>
          <t>Week</t>
        </is>
      </c>
      <c r="C745" s="19" t="n">
        <v>4</v>
      </c>
      <c r="D745" s="19" t="n">
        <v>2028</v>
      </c>
      <c r="E745" s="57" t="n">
        <v>1</v>
      </c>
      <c r="F745" s="29">
        <f>ROUND(((SUMIFS(Calendar!$F$2:$F$9997,Calendar!$B$2:$B$9997,D745,Calendar!$C$2:$C$9997,C745)*INDEX(ForeCalc!$B$37:$Y$274,MATCH(_xlfn.CONCAT(H745," ",I745),ForeCalc!$A$37:$A$274,0),MATCH(_xlfn.CONCAT(B745," ",E745),ForeCalc!$B$36:$Y$36,0))))*VLOOKUP(A745,Calendar!$A$2:$H$9997,8,FALSE),0)</f>
        <v/>
      </c>
      <c r="G745" s="29">
        <f>VLOOKUP(A745,Calendar!$A$1:$H$9997,6,FALSE)-F745</f>
        <v/>
      </c>
      <c r="H745" s="19" t="n">
        <v>3</v>
      </c>
      <c r="I745" s="57" t="n">
        <v>1</v>
      </c>
    </row>
    <row r="746">
      <c r="A746" s="62" t="n">
        <v>46857</v>
      </c>
      <c r="B746" s="3" t="inlineStr">
        <is>
          <t>Week</t>
        </is>
      </c>
      <c r="C746" s="19" t="n">
        <v>4</v>
      </c>
      <c r="D746" s="19" t="n">
        <v>2028</v>
      </c>
      <c r="E746" s="57" t="n">
        <v>1</v>
      </c>
      <c r="F746" s="29">
        <f>ROUND(((SUMIFS(Calendar!$F$2:$F$9997,Calendar!$B$2:$B$9997,D746,Calendar!$C$2:$C$9997,C746)*INDEX(ForeCalc!$B$37:$Y$274,MATCH(_xlfn.CONCAT(H746," ",I746),ForeCalc!$A$37:$A$274,0),MATCH(_xlfn.CONCAT(B746," ",E746),ForeCalc!$B$36:$Y$36,0))))*VLOOKUP(A746,Calendar!$A$2:$H$9997,8,FALSE),0)</f>
        <v/>
      </c>
      <c r="G746" s="29">
        <f>VLOOKUP(A746,Calendar!$A$1:$H$9997,6,FALSE)-F746</f>
        <v/>
      </c>
      <c r="H746" s="19" t="n">
        <v>3</v>
      </c>
      <c r="I746" s="57" t="n">
        <v>1</v>
      </c>
    </row>
    <row r="747">
      <c r="A747" s="62" t="n">
        <v>46858</v>
      </c>
      <c r="B747" s="3" t="inlineStr">
        <is>
          <t>Sat</t>
        </is>
      </c>
      <c r="C747" s="19" t="n">
        <v>4</v>
      </c>
      <c r="D747" s="19" t="n">
        <v>2028</v>
      </c>
      <c r="E747" s="57" t="n">
        <v>1</v>
      </c>
      <c r="F747" s="29">
        <f>ROUND(((SUMIFS(Calendar!$F$2:$F$9997,Calendar!$B$2:$B$9997,D747,Calendar!$C$2:$C$9997,C747)*INDEX(ForeCalc!$B$37:$Y$274,MATCH(_xlfn.CONCAT(H747," ",I747),ForeCalc!$A$37:$A$274,0),MATCH(_xlfn.CONCAT(B747," ",E747),ForeCalc!$B$36:$Y$36,0))))*VLOOKUP(A747,Calendar!$A$2:$H$9997,8,FALSE),0)</f>
        <v/>
      </c>
      <c r="G747" s="29">
        <f>VLOOKUP(A747,Calendar!$A$1:$H$9997,6,FALSE)-F747</f>
        <v/>
      </c>
      <c r="H747" s="19" t="n">
        <v>3</v>
      </c>
      <c r="I747" s="57" t="n">
        <v>1</v>
      </c>
    </row>
    <row r="748">
      <c r="A748" s="62" t="n">
        <v>46859</v>
      </c>
      <c r="B748" s="3" t="inlineStr">
        <is>
          <t>Sun</t>
        </is>
      </c>
      <c r="C748" s="19" t="n">
        <v>4</v>
      </c>
      <c r="D748" s="19" t="n">
        <v>2028</v>
      </c>
      <c r="E748" s="57" t="n">
        <v>1</v>
      </c>
      <c r="F748" s="29">
        <f>ROUND(((SUMIFS(Calendar!$F$2:$F$9997,Calendar!$B$2:$B$9997,D748,Calendar!$C$2:$C$9997,C748)*INDEX(ForeCalc!$B$37:$Y$274,MATCH(_xlfn.CONCAT(H748," ",I748),ForeCalc!$A$37:$A$274,0),MATCH(_xlfn.CONCAT(B748," ",E748),ForeCalc!$B$36:$Y$36,0))))*VLOOKUP(A748,Calendar!$A$2:$H$9997,8,FALSE),0)</f>
        <v/>
      </c>
      <c r="G748" s="29">
        <f>VLOOKUP(A748,Calendar!$A$1:$H$9997,6,FALSE)-F748</f>
        <v/>
      </c>
      <c r="H748" s="19" t="n">
        <v>3</v>
      </c>
      <c r="I748" s="57" t="n">
        <v>1</v>
      </c>
    </row>
    <row r="749">
      <c r="A749" s="62" t="n">
        <v>46860</v>
      </c>
      <c r="B749" s="3" t="inlineStr">
        <is>
          <t>Week</t>
        </is>
      </c>
      <c r="C749" s="19" t="n">
        <v>4</v>
      </c>
      <c r="D749" s="19" t="n">
        <v>2028</v>
      </c>
      <c r="E749" s="57" t="n">
        <v>1</v>
      </c>
      <c r="F749" s="29">
        <f>ROUND(((SUMIFS(Calendar!$F$2:$F$9997,Calendar!$B$2:$B$9997,D749,Calendar!$C$2:$C$9997,C749)*INDEX(ForeCalc!$B$37:$Y$274,MATCH(_xlfn.CONCAT(H749," ",I749),ForeCalc!$A$37:$A$274,0),MATCH(_xlfn.CONCAT(B749," ",E749),ForeCalc!$B$36:$Y$36,0))))*VLOOKUP(A749,Calendar!$A$2:$H$9997,8,FALSE),0)</f>
        <v/>
      </c>
      <c r="G749" s="29">
        <f>VLOOKUP(A749,Calendar!$A$1:$H$9997,6,FALSE)-F749</f>
        <v/>
      </c>
      <c r="H749" s="19" t="n">
        <v>3</v>
      </c>
      <c r="I749" s="57" t="n">
        <v>1</v>
      </c>
    </row>
    <row r="750">
      <c r="A750" s="62" t="n">
        <v>46861</v>
      </c>
      <c r="B750" s="3" t="inlineStr">
        <is>
          <t>Week</t>
        </is>
      </c>
      <c r="C750" s="19" t="n">
        <v>4</v>
      </c>
      <c r="D750" s="19" t="n">
        <v>2028</v>
      </c>
      <c r="E750" s="57" t="n">
        <v>1</v>
      </c>
      <c r="F750" s="29">
        <f>ROUND(((SUMIFS(Calendar!$F$2:$F$9997,Calendar!$B$2:$B$9997,D750,Calendar!$C$2:$C$9997,C750)*INDEX(ForeCalc!$B$37:$Y$274,MATCH(_xlfn.CONCAT(H750," ",I750),ForeCalc!$A$37:$A$274,0),MATCH(_xlfn.CONCAT(B750," ",E750),ForeCalc!$B$36:$Y$36,0))))*VLOOKUP(A750,Calendar!$A$2:$H$9997,8,FALSE),0)</f>
        <v/>
      </c>
      <c r="G750" s="29">
        <f>VLOOKUP(A750,Calendar!$A$1:$H$9997,6,FALSE)-F750</f>
        <v/>
      </c>
      <c r="H750" s="19" t="n">
        <v>3</v>
      </c>
      <c r="I750" s="57" t="n">
        <v>1</v>
      </c>
    </row>
    <row r="751">
      <c r="A751" s="62" t="n">
        <v>46862</v>
      </c>
      <c r="B751" s="3" t="inlineStr">
        <is>
          <t>Week</t>
        </is>
      </c>
      <c r="C751" s="19" t="n">
        <v>4</v>
      </c>
      <c r="D751" s="19" t="n">
        <v>2028</v>
      </c>
      <c r="E751" s="57" t="n">
        <v>1</v>
      </c>
      <c r="F751" s="29">
        <f>ROUND(((SUMIFS(Calendar!$F$2:$F$9997,Calendar!$B$2:$B$9997,D751,Calendar!$C$2:$C$9997,C751)*INDEX(ForeCalc!$B$37:$Y$274,MATCH(_xlfn.CONCAT(H751," ",I751),ForeCalc!$A$37:$A$274,0),MATCH(_xlfn.CONCAT(B751," ",E751),ForeCalc!$B$36:$Y$36,0))))*VLOOKUP(A751,Calendar!$A$2:$H$9997,8,FALSE),0)</f>
        <v/>
      </c>
      <c r="G751" s="29">
        <f>VLOOKUP(A751,Calendar!$A$1:$H$9997,6,FALSE)-F751</f>
        <v/>
      </c>
      <c r="H751" s="19" t="n">
        <v>3</v>
      </c>
      <c r="I751" s="57" t="n">
        <v>1</v>
      </c>
    </row>
    <row r="752">
      <c r="A752" s="62" t="n">
        <v>46863</v>
      </c>
      <c r="B752" s="3" t="inlineStr">
        <is>
          <t>Week</t>
        </is>
      </c>
      <c r="C752" s="19" t="n">
        <v>4</v>
      </c>
      <c r="D752" s="19" t="n">
        <v>2028</v>
      </c>
      <c r="E752" s="57" t="n">
        <v>1</v>
      </c>
      <c r="F752" s="29">
        <f>ROUND(((SUMIFS(Calendar!$F$2:$F$9997,Calendar!$B$2:$B$9997,D752,Calendar!$C$2:$C$9997,C752)*INDEX(ForeCalc!$B$37:$Y$274,MATCH(_xlfn.CONCAT(H752," ",I752),ForeCalc!$A$37:$A$274,0),MATCH(_xlfn.CONCAT(B752," ",E752),ForeCalc!$B$36:$Y$36,0))))*VLOOKUP(A752,Calendar!$A$2:$H$9997,8,FALSE),0)</f>
        <v/>
      </c>
      <c r="G752" s="29">
        <f>VLOOKUP(A752,Calendar!$A$1:$H$9997,6,FALSE)-F752</f>
        <v/>
      </c>
      <c r="H752" s="19" t="n">
        <v>3</v>
      </c>
      <c r="I752" s="57" t="n">
        <v>1</v>
      </c>
    </row>
    <row r="753">
      <c r="A753" s="62" t="n">
        <v>46864</v>
      </c>
      <c r="B753" s="3" t="inlineStr">
        <is>
          <t>Week</t>
        </is>
      </c>
      <c r="C753" s="19" t="n">
        <v>4</v>
      </c>
      <c r="D753" s="19" t="n">
        <v>2028</v>
      </c>
      <c r="E753" s="57" t="n">
        <v>1</v>
      </c>
      <c r="F753" s="29">
        <f>ROUND(((SUMIFS(Calendar!$F$2:$F$9997,Calendar!$B$2:$B$9997,D753,Calendar!$C$2:$C$9997,C753)*INDEX(ForeCalc!$B$37:$Y$274,MATCH(_xlfn.CONCAT(H753," ",I753),ForeCalc!$A$37:$A$274,0),MATCH(_xlfn.CONCAT(B753," ",E753),ForeCalc!$B$36:$Y$36,0))))*VLOOKUP(A753,Calendar!$A$2:$H$9997,8,FALSE),0)</f>
        <v/>
      </c>
      <c r="G753" s="29">
        <f>VLOOKUP(A753,Calendar!$A$1:$H$9997,6,FALSE)-F753</f>
        <v/>
      </c>
      <c r="H753" s="19" t="n">
        <v>3</v>
      </c>
      <c r="I753" s="57" t="n">
        <v>1</v>
      </c>
    </row>
    <row r="754">
      <c r="A754" s="62" t="n">
        <v>46865</v>
      </c>
      <c r="B754" s="3" t="inlineStr">
        <is>
          <t>Sat</t>
        </is>
      </c>
      <c r="C754" s="19" t="n">
        <v>4</v>
      </c>
      <c r="D754" s="19" t="n">
        <v>2028</v>
      </c>
      <c r="E754" s="57" t="n">
        <v>1</v>
      </c>
      <c r="F754" s="29">
        <f>ROUND(((SUMIFS(Calendar!$F$2:$F$9997,Calendar!$B$2:$B$9997,D754,Calendar!$C$2:$C$9997,C754)*INDEX(ForeCalc!$B$37:$Y$274,MATCH(_xlfn.CONCAT(H754," ",I754),ForeCalc!$A$37:$A$274,0),MATCH(_xlfn.CONCAT(B754," ",E754),ForeCalc!$B$36:$Y$36,0))))*VLOOKUP(A754,Calendar!$A$2:$H$9997,8,FALSE),0)</f>
        <v/>
      </c>
      <c r="G754" s="29">
        <f>VLOOKUP(A754,Calendar!$A$1:$H$9997,6,FALSE)-F754</f>
        <v/>
      </c>
      <c r="H754" s="19" t="n">
        <v>3</v>
      </c>
      <c r="I754" s="57" t="n">
        <v>1</v>
      </c>
    </row>
    <row r="755">
      <c r="A755" s="62" t="n">
        <v>46866</v>
      </c>
      <c r="B755" s="3" t="inlineStr">
        <is>
          <t>Sun</t>
        </is>
      </c>
      <c r="C755" s="19" t="n">
        <v>4</v>
      </c>
      <c r="D755" s="19" t="n">
        <v>2028</v>
      </c>
      <c r="E755" s="57" t="n">
        <v>1</v>
      </c>
      <c r="F755" s="29">
        <f>ROUND(((SUMIFS(Calendar!$F$2:$F$9997,Calendar!$B$2:$B$9997,D755,Calendar!$C$2:$C$9997,C755)*INDEX(ForeCalc!$B$37:$Y$274,MATCH(_xlfn.CONCAT(H755," ",I755),ForeCalc!$A$37:$A$274,0),MATCH(_xlfn.CONCAT(B755," ",E755),ForeCalc!$B$36:$Y$36,0))))*VLOOKUP(A755,Calendar!$A$2:$H$9997,8,FALSE),0)</f>
        <v/>
      </c>
      <c r="G755" s="29">
        <f>VLOOKUP(A755,Calendar!$A$1:$H$9997,6,FALSE)-F755</f>
        <v/>
      </c>
      <c r="H755" s="19" t="n">
        <v>3</v>
      </c>
      <c r="I755" s="57" t="n">
        <v>1</v>
      </c>
    </row>
    <row r="756">
      <c r="A756" s="62" t="n">
        <v>46867</v>
      </c>
      <c r="B756" s="3" t="inlineStr">
        <is>
          <t>Week</t>
        </is>
      </c>
      <c r="C756" s="19" t="n">
        <v>4</v>
      </c>
      <c r="D756" s="19" t="n">
        <v>2028</v>
      </c>
      <c r="E756" s="57" t="n">
        <v>1</v>
      </c>
      <c r="F756" s="29">
        <f>ROUND(((SUMIFS(Calendar!$F$2:$F$9997,Calendar!$B$2:$B$9997,D756,Calendar!$C$2:$C$9997,C756)*INDEX(ForeCalc!$B$37:$Y$274,MATCH(_xlfn.CONCAT(H756," ",I756),ForeCalc!$A$37:$A$274,0),MATCH(_xlfn.CONCAT(B756," ",E756),ForeCalc!$B$36:$Y$36,0))))*VLOOKUP(A756,Calendar!$A$2:$H$9997,8,FALSE),0)</f>
        <v/>
      </c>
      <c r="G756" s="29">
        <f>VLOOKUP(A756,Calendar!$A$1:$H$9997,6,FALSE)-F756</f>
        <v/>
      </c>
      <c r="H756" s="19" t="n">
        <v>3</v>
      </c>
      <c r="I756" s="57" t="n">
        <v>1</v>
      </c>
    </row>
    <row r="757">
      <c r="A757" s="62" t="n">
        <v>46868</v>
      </c>
      <c r="B757" s="3" t="inlineStr">
        <is>
          <t>Week</t>
        </is>
      </c>
      <c r="C757" s="19" t="n">
        <v>4</v>
      </c>
      <c r="D757" s="19" t="n">
        <v>2028</v>
      </c>
      <c r="E757" s="57" t="n">
        <v>1</v>
      </c>
      <c r="F757" s="29">
        <f>ROUND(((SUMIFS(Calendar!$F$2:$F$9997,Calendar!$B$2:$B$9997,D757,Calendar!$C$2:$C$9997,C757)*INDEX(ForeCalc!$B$37:$Y$274,MATCH(_xlfn.CONCAT(H757," ",I757),ForeCalc!$A$37:$A$274,0),MATCH(_xlfn.CONCAT(B757," ",E757),ForeCalc!$B$36:$Y$36,0))))*VLOOKUP(A757,Calendar!$A$2:$H$9997,8,FALSE),0)</f>
        <v/>
      </c>
      <c r="G757" s="29">
        <f>VLOOKUP(A757,Calendar!$A$1:$H$9997,6,FALSE)-F757</f>
        <v/>
      </c>
      <c r="H757" s="19" t="n">
        <v>3</v>
      </c>
      <c r="I757" s="57" t="n">
        <v>1</v>
      </c>
    </row>
    <row r="758">
      <c r="A758" s="62" t="n">
        <v>46869</v>
      </c>
      <c r="B758" s="3" t="inlineStr">
        <is>
          <t>Week</t>
        </is>
      </c>
      <c r="C758" s="19" t="n">
        <v>4</v>
      </c>
      <c r="D758" s="19" t="n">
        <v>2028</v>
      </c>
      <c r="E758" s="57" t="n">
        <v>1</v>
      </c>
      <c r="F758" s="29">
        <f>ROUND(((SUMIFS(Calendar!$F$2:$F$9997,Calendar!$B$2:$B$9997,D758,Calendar!$C$2:$C$9997,C758)*INDEX(ForeCalc!$B$37:$Y$274,MATCH(_xlfn.CONCAT(H758," ",I758),ForeCalc!$A$37:$A$274,0),MATCH(_xlfn.CONCAT(B758," ",E758),ForeCalc!$B$36:$Y$36,0))))*VLOOKUP(A758,Calendar!$A$2:$H$9997,8,FALSE),0)</f>
        <v/>
      </c>
      <c r="G758" s="29">
        <f>VLOOKUP(A758,Calendar!$A$1:$H$9997,6,FALSE)-F758</f>
        <v/>
      </c>
      <c r="H758" s="19" t="n">
        <v>3</v>
      </c>
      <c r="I758" s="57" t="n">
        <v>1</v>
      </c>
    </row>
    <row r="759">
      <c r="A759" s="62" t="n">
        <v>46870</v>
      </c>
      <c r="B759" s="3" t="inlineStr">
        <is>
          <t>Week</t>
        </is>
      </c>
      <c r="C759" s="19" t="n">
        <v>4</v>
      </c>
      <c r="D759" s="19" t="n">
        <v>2028</v>
      </c>
      <c r="E759" s="57" t="n">
        <v>1</v>
      </c>
      <c r="F759" s="29">
        <f>ROUND(((SUMIFS(Calendar!$F$2:$F$9997,Calendar!$B$2:$B$9997,D759,Calendar!$C$2:$C$9997,C759)*INDEX(ForeCalc!$B$37:$Y$274,MATCH(_xlfn.CONCAT(H759," ",I759),ForeCalc!$A$37:$A$274,0),MATCH(_xlfn.CONCAT(B759," ",E759),ForeCalc!$B$36:$Y$36,0))))*VLOOKUP(A759,Calendar!$A$2:$H$9997,8,FALSE),0)</f>
        <v/>
      </c>
      <c r="G759" s="29">
        <f>VLOOKUP(A759,Calendar!$A$1:$H$9997,6,FALSE)-F759</f>
        <v/>
      </c>
      <c r="H759" s="19" t="n">
        <v>3</v>
      </c>
      <c r="I759" s="57" t="n">
        <v>1</v>
      </c>
    </row>
    <row r="760">
      <c r="A760" s="62" t="n">
        <v>46871</v>
      </c>
      <c r="B760" s="3" t="inlineStr">
        <is>
          <t>Week</t>
        </is>
      </c>
      <c r="C760" s="19" t="n">
        <v>4</v>
      </c>
      <c r="D760" s="19" t="n">
        <v>2028</v>
      </c>
      <c r="E760" s="57" t="n">
        <v>1</v>
      </c>
      <c r="F760" s="29">
        <f>ROUND(((SUMIFS(Calendar!$F$2:$F$9997,Calendar!$B$2:$B$9997,D760,Calendar!$C$2:$C$9997,C760)*INDEX(ForeCalc!$B$37:$Y$274,MATCH(_xlfn.CONCAT(H760," ",I760),ForeCalc!$A$37:$A$274,0),MATCH(_xlfn.CONCAT(B760," ",E760),ForeCalc!$B$36:$Y$36,0))))*VLOOKUP(A760,Calendar!$A$2:$H$9997,8,FALSE),0)</f>
        <v/>
      </c>
      <c r="G760" s="29">
        <f>VLOOKUP(A760,Calendar!$A$1:$H$9997,6,FALSE)-F760</f>
        <v/>
      </c>
      <c r="H760" s="19" t="n">
        <v>3</v>
      </c>
      <c r="I760" s="57" t="n">
        <v>1</v>
      </c>
    </row>
    <row r="761">
      <c r="A761" s="62" t="n">
        <v>46872</v>
      </c>
      <c r="B761" s="3" t="inlineStr">
        <is>
          <t>Sat</t>
        </is>
      </c>
      <c r="C761" s="19" t="n">
        <v>4</v>
      </c>
      <c r="D761" s="19" t="n">
        <v>2028</v>
      </c>
      <c r="E761" s="57" t="n">
        <v>1</v>
      </c>
      <c r="F761" s="29">
        <f>ROUND(((SUMIFS(Calendar!$F$2:$F$9997,Calendar!$B$2:$B$9997,D761,Calendar!$C$2:$C$9997,C761)*INDEX(ForeCalc!$B$37:$Y$274,MATCH(_xlfn.CONCAT(H761," ",I761),ForeCalc!$A$37:$A$274,0),MATCH(_xlfn.CONCAT(B761," ",E761),ForeCalc!$B$36:$Y$36,0))))*VLOOKUP(A761,Calendar!$A$2:$H$9997,8,FALSE),0)</f>
        <v/>
      </c>
      <c r="G761" s="29">
        <f>VLOOKUP(A761,Calendar!$A$1:$H$9997,6,FALSE)-F761</f>
        <v/>
      </c>
      <c r="H761" s="19" t="n">
        <v>3</v>
      </c>
      <c r="I761" s="57" t="n">
        <v>1</v>
      </c>
    </row>
    <row r="762">
      <c r="A762" s="62" t="n">
        <v>46873</v>
      </c>
      <c r="B762" s="3" t="inlineStr">
        <is>
          <t>Sun</t>
        </is>
      </c>
      <c r="C762" s="19" t="n">
        <v>4</v>
      </c>
      <c r="D762" s="19" t="n">
        <v>2028</v>
      </c>
      <c r="E762" s="57" t="n">
        <v>1</v>
      </c>
      <c r="F762" s="29">
        <f>ROUND(((SUMIFS(Calendar!$F$2:$F$9997,Calendar!$B$2:$B$9997,D762,Calendar!$C$2:$C$9997,C762)*INDEX(ForeCalc!$B$37:$Y$274,MATCH(_xlfn.CONCAT(H762," ",I762),ForeCalc!$A$37:$A$274,0),MATCH(_xlfn.CONCAT(B762," ",E762),ForeCalc!$B$36:$Y$36,0))))*VLOOKUP(A762,Calendar!$A$2:$H$9997,8,FALSE),0)</f>
        <v/>
      </c>
      <c r="G762" s="29">
        <f>VLOOKUP(A762,Calendar!$A$1:$H$9997,6,FALSE)-F762</f>
        <v/>
      </c>
      <c r="H762" s="19" t="n">
        <v>3</v>
      </c>
      <c r="I762" s="57" t="n">
        <v>1</v>
      </c>
    </row>
    <row r="763">
      <c r="A763" s="62" t="n">
        <v>46874</v>
      </c>
      <c r="B763" s="3" t="inlineStr">
        <is>
          <t>Week</t>
        </is>
      </c>
      <c r="C763" s="19" t="n">
        <v>5</v>
      </c>
      <c r="D763" s="19" t="n">
        <v>2028</v>
      </c>
      <c r="E763" s="57" t="n">
        <v>1</v>
      </c>
      <c r="F763" s="29">
        <f>ROUND(((SUMIFS(Calendar!$F$2:$F$9997,Calendar!$B$2:$B$9997,D763,Calendar!$C$2:$C$9997,C763)*INDEX(ForeCalc!$B$37:$Y$274,MATCH(_xlfn.CONCAT(H763," ",I763),ForeCalc!$A$37:$A$274,0),MATCH(_xlfn.CONCAT(B763," ",E763),ForeCalc!$B$36:$Y$36,0))))*VLOOKUP(A763,Calendar!$A$2:$H$9997,8,FALSE),0)</f>
        <v/>
      </c>
      <c r="G763" s="29">
        <f>VLOOKUP(A763,Calendar!$A$1:$H$9997,6,FALSE)-F763</f>
        <v/>
      </c>
      <c r="H763" s="19" t="n">
        <v>3</v>
      </c>
      <c r="I763" s="57" t="n">
        <v>2</v>
      </c>
    </row>
    <row r="764">
      <c r="A764" s="62" t="n">
        <v>46875</v>
      </c>
      <c r="B764" s="3" t="inlineStr">
        <is>
          <t>Week</t>
        </is>
      </c>
      <c r="C764" s="19" t="n">
        <v>5</v>
      </c>
      <c r="D764" s="19" t="n">
        <v>2028</v>
      </c>
      <c r="E764" s="57" t="n">
        <v>1</v>
      </c>
      <c r="F764" s="29">
        <f>ROUND(((SUMIFS(Calendar!$F$2:$F$9997,Calendar!$B$2:$B$9997,D764,Calendar!$C$2:$C$9997,C764)*INDEX(ForeCalc!$B$37:$Y$274,MATCH(_xlfn.CONCAT(H764," ",I764),ForeCalc!$A$37:$A$274,0),MATCH(_xlfn.CONCAT(B764," ",E764),ForeCalc!$B$36:$Y$36,0))))*VLOOKUP(A764,Calendar!$A$2:$H$9997,8,FALSE),0)</f>
        <v/>
      </c>
      <c r="G764" s="29">
        <f>VLOOKUP(A764,Calendar!$A$1:$H$9997,6,FALSE)-F764</f>
        <v/>
      </c>
      <c r="H764" s="19" t="n">
        <v>3</v>
      </c>
      <c r="I764" s="57" t="n">
        <v>2</v>
      </c>
    </row>
    <row r="765">
      <c r="A765" s="62" t="n">
        <v>46876</v>
      </c>
      <c r="B765" s="3" t="inlineStr">
        <is>
          <t>Week</t>
        </is>
      </c>
      <c r="C765" s="19" t="n">
        <v>5</v>
      </c>
      <c r="D765" s="19" t="n">
        <v>2028</v>
      </c>
      <c r="E765" s="57" t="n">
        <v>1</v>
      </c>
      <c r="F765" s="29">
        <f>ROUND(((SUMIFS(Calendar!$F$2:$F$9997,Calendar!$B$2:$B$9997,D765,Calendar!$C$2:$C$9997,C765)*INDEX(ForeCalc!$B$37:$Y$274,MATCH(_xlfn.CONCAT(H765," ",I765),ForeCalc!$A$37:$A$274,0),MATCH(_xlfn.CONCAT(B765," ",E765),ForeCalc!$B$36:$Y$36,0))))*VLOOKUP(A765,Calendar!$A$2:$H$9997,8,FALSE),0)</f>
        <v/>
      </c>
      <c r="G765" s="29">
        <f>VLOOKUP(A765,Calendar!$A$1:$H$9997,6,FALSE)-F765</f>
        <v/>
      </c>
      <c r="H765" s="19" t="n">
        <v>3</v>
      </c>
      <c r="I765" s="57" t="n">
        <v>2</v>
      </c>
    </row>
    <row r="766">
      <c r="A766" s="62" t="n">
        <v>46877</v>
      </c>
      <c r="B766" s="3" t="inlineStr">
        <is>
          <t>Week</t>
        </is>
      </c>
      <c r="C766" s="19" t="n">
        <v>5</v>
      </c>
      <c r="D766" s="19" t="n">
        <v>2028</v>
      </c>
      <c r="E766" s="57" t="n">
        <v>1</v>
      </c>
      <c r="F766" s="29">
        <f>ROUND(((SUMIFS(Calendar!$F$2:$F$9997,Calendar!$B$2:$B$9997,D766,Calendar!$C$2:$C$9997,C766)*INDEX(ForeCalc!$B$37:$Y$274,MATCH(_xlfn.CONCAT(H766," ",I766),ForeCalc!$A$37:$A$274,0),MATCH(_xlfn.CONCAT(B766," ",E766),ForeCalc!$B$36:$Y$36,0))))*VLOOKUP(A766,Calendar!$A$2:$H$9997,8,FALSE),0)</f>
        <v/>
      </c>
      <c r="G766" s="29">
        <f>VLOOKUP(A766,Calendar!$A$1:$H$9997,6,FALSE)-F766</f>
        <v/>
      </c>
      <c r="H766" s="19" t="n">
        <v>3</v>
      </c>
      <c r="I766" s="57" t="n">
        <v>2</v>
      </c>
    </row>
    <row r="767">
      <c r="A767" s="62" t="n">
        <v>46878</v>
      </c>
      <c r="B767" s="3" t="inlineStr">
        <is>
          <t>Week</t>
        </is>
      </c>
      <c r="C767" s="19" t="n">
        <v>5</v>
      </c>
      <c r="D767" s="19" t="n">
        <v>2028</v>
      </c>
      <c r="E767" s="57" t="n">
        <v>1</v>
      </c>
      <c r="F767" s="29">
        <f>ROUND(((SUMIFS(Calendar!$F$2:$F$9997,Calendar!$B$2:$B$9997,D767,Calendar!$C$2:$C$9997,C767)*INDEX(ForeCalc!$B$37:$Y$274,MATCH(_xlfn.CONCAT(H767," ",I767),ForeCalc!$A$37:$A$274,0),MATCH(_xlfn.CONCAT(B767," ",E767),ForeCalc!$B$36:$Y$36,0))))*VLOOKUP(A767,Calendar!$A$2:$H$9997,8,FALSE),0)</f>
        <v/>
      </c>
      <c r="G767" s="29">
        <f>VLOOKUP(A767,Calendar!$A$1:$H$9997,6,FALSE)-F767</f>
        <v/>
      </c>
      <c r="H767" s="19" t="n">
        <v>3</v>
      </c>
      <c r="I767" s="57" t="n">
        <v>2</v>
      </c>
    </row>
    <row r="768">
      <c r="A768" s="62" t="n">
        <v>46879</v>
      </c>
      <c r="B768" s="3" t="inlineStr">
        <is>
          <t>Sat</t>
        </is>
      </c>
      <c r="C768" s="19" t="n">
        <v>5</v>
      </c>
      <c r="D768" s="19" t="n">
        <v>2028</v>
      </c>
      <c r="E768" s="57" t="n">
        <v>1</v>
      </c>
      <c r="F768" s="29">
        <f>ROUND(((SUMIFS(Calendar!$F$2:$F$9997,Calendar!$B$2:$B$9997,D768,Calendar!$C$2:$C$9997,C768)*INDEX(ForeCalc!$B$37:$Y$274,MATCH(_xlfn.CONCAT(H768," ",I768),ForeCalc!$A$37:$A$274,0),MATCH(_xlfn.CONCAT(B768," ",E768),ForeCalc!$B$36:$Y$36,0))))*VLOOKUP(A768,Calendar!$A$2:$H$9997,8,FALSE),0)</f>
        <v/>
      </c>
      <c r="G768" s="29">
        <f>VLOOKUP(A768,Calendar!$A$1:$H$9997,6,FALSE)-F768</f>
        <v/>
      </c>
      <c r="H768" s="19" t="n">
        <v>3</v>
      </c>
      <c r="I768" s="57" t="n">
        <v>2</v>
      </c>
    </row>
    <row r="769">
      <c r="A769" s="62" t="n">
        <v>46880</v>
      </c>
      <c r="B769" s="3" t="inlineStr">
        <is>
          <t>Sun</t>
        </is>
      </c>
      <c r="C769" s="19" t="n">
        <v>5</v>
      </c>
      <c r="D769" s="19" t="n">
        <v>2028</v>
      </c>
      <c r="E769" s="57" t="n">
        <v>1</v>
      </c>
      <c r="F769" s="29">
        <f>ROUND(((SUMIFS(Calendar!$F$2:$F$9997,Calendar!$B$2:$B$9997,D769,Calendar!$C$2:$C$9997,C769)*INDEX(ForeCalc!$B$37:$Y$274,MATCH(_xlfn.CONCAT(H769," ",I769),ForeCalc!$A$37:$A$274,0),MATCH(_xlfn.CONCAT(B769," ",E769),ForeCalc!$B$36:$Y$36,0))))*VLOOKUP(A769,Calendar!$A$2:$H$9997,8,FALSE),0)</f>
        <v/>
      </c>
      <c r="G769" s="29">
        <f>VLOOKUP(A769,Calendar!$A$1:$H$9997,6,FALSE)-F769</f>
        <v/>
      </c>
      <c r="H769" s="19" t="n">
        <v>3</v>
      </c>
      <c r="I769" s="57" t="n">
        <v>2</v>
      </c>
    </row>
    <row r="770">
      <c r="A770" s="62" t="n">
        <v>46881</v>
      </c>
      <c r="B770" s="3" t="inlineStr">
        <is>
          <t>Week</t>
        </is>
      </c>
      <c r="C770" s="19" t="n">
        <v>5</v>
      </c>
      <c r="D770" s="19" t="n">
        <v>2028</v>
      </c>
      <c r="E770" s="57" t="n">
        <v>1</v>
      </c>
      <c r="F770" s="29">
        <f>ROUND(((SUMIFS(Calendar!$F$2:$F$9997,Calendar!$B$2:$B$9997,D770,Calendar!$C$2:$C$9997,C770)*INDEX(ForeCalc!$B$37:$Y$274,MATCH(_xlfn.CONCAT(H770," ",I770),ForeCalc!$A$37:$A$274,0),MATCH(_xlfn.CONCAT(B770," ",E770),ForeCalc!$B$36:$Y$36,0))))*VLOOKUP(A770,Calendar!$A$2:$H$9997,8,FALSE),0)</f>
        <v/>
      </c>
      <c r="G770" s="29">
        <f>VLOOKUP(A770,Calendar!$A$1:$H$9997,6,FALSE)-F770</f>
        <v/>
      </c>
      <c r="H770" s="19" t="n">
        <v>3</v>
      </c>
      <c r="I770" s="57" t="n">
        <v>2</v>
      </c>
    </row>
    <row r="771">
      <c r="A771" s="62" t="n">
        <v>46882</v>
      </c>
      <c r="B771" s="3" t="inlineStr">
        <is>
          <t>Week</t>
        </is>
      </c>
      <c r="C771" s="19" t="n">
        <v>5</v>
      </c>
      <c r="D771" s="19" t="n">
        <v>2028</v>
      </c>
      <c r="E771" s="57" t="n">
        <v>1</v>
      </c>
      <c r="F771" s="29">
        <f>ROUND(((SUMIFS(Calendar!$F$2:$F$9997,Calendar!$B$2:$B$9997,D771,Calendar!$C$2:$C$9997,C771)*INDEX(ForeCalc!$B$37:$Y$274,MATCH(_xlfn.CONCAT(H771," ",I771),ForeCalc!$A$37:$A$274,0),MATCH(_xlfn.CONCAT(B771," ",E771),ForeCalc!$B$36:$Y$36,0))))*VLOOKUP(A771,Calendar!$A$2:$H$9997,8,FALSE),0)</f>
        <v/>
      </c>
      <c r="G771" s="29">
        <f>VLOOKUP(A771,Calendar!$A$1:$H$9997,6,FALSE)-F771</f>
        <v/>
      </c>
      <c r="H771" s="19" t="n">
        <v>3</v>
      </c>
      <c r="I771" s="57" t="n">
        <v>2</v>
      </c>
    </row>
    <row r="772">
      <c r="A772" s="62" t="n">
        <v>46883</v>
      </c>
      <c r="B772" s="3" t="inlineStr">
        <is>
          <t>Week</t>
        </is>
      </c>
      <c r="C772" s="19" t="n">
        <v>5</v>
      </c>
      <c r="D772" s="19" t="n">
        <v>2028</v>
      </c>
      <c r="E772" s="57" t="n">
        <v>1</v>
      </c>
      <c r="F772" s="29">
        <f>ROUND(((SUMIFS(Calendar!$F$2:$F$9997,Calendar!$B$2:$B$9997,D772,Calendar!$C$2:$C$9997,C772)*INDEX(ForeCalc!$B$37:$Y$274,MATCH(_xlfn.CONCAT(H772," ",I772),ForeCalc!$A$37:$A$274,0),MATCH(_xlfn.CONCAT(B772," ",E772),ForeCalc!$B$36:$Y$36,0))))*VLOOKUP(A772,Calendar!$A$2:$H$9997,8,FALSE),0)</f>
        <v/>
      </c>
      <c r="G772" s="29">
        <f>VLOOKUP(A772,Calendar!$A$1:$H$9997,6,FALSE)-F772</f>
        <v/>
      </c>
      <c r="H772" s="19" t="n">
        <v>3</v>
      </c>
      <c r="I772" s="57" t="n">
        <v>2</v>
      </c>
    </row>
    <row r="773">
      <c r="A773" s="62" t="n">
        <v>46884</v>
      </c>
      <c r="B773" s="3" t="inlineStr">
        <is>
          <t>Week</t>
        </is>
      </c>
      <c r="C773" s="19" t="n">
        <v>5</v>
      </c>
      <c r="D773" s="19" t="n">
        <v>2028</v>
      </c>
      <c r="E773" s="57" t="n">
        <v>1</v>
      </c>
      <c r="F773" s="29">
        <f>ROUND(((SUMIFS(Calendar!$F$2:$F$9997,Calendar!$B$2:$B$9997,D773,Calendar!$C$2:$C$9997,C773)*INDEX(ForeCalc!$B$37:$Y$274,MATCH(_xlfn.CONCAT(H773," ",I773),ForeCalc!$A$37:$A$274,0),MATCH(_xlfn.CONCAT(B773," ",E773),ForeCalc!$B$36:$Y$36,0))))*VLOOKUP(A773,Calendar!$A$2:$H$9997,8,FALSE),0)</f>
        <v/>
      </c>
      <c r="G773" s="29">
        <f>VLOOKUP(A773,Calendar!$A$1:$H$9997,6,FALSE)-F773</f>
        <v/>
      </c>
      <c r="H773" s="19" t="n">
        <v>3</v>
      </c>
      <c r="I773" s="57" t="n">
        <v>2</v>
      </c>
    </row>
    <row r="774">
      <c r="A774" s="62" t="n">
        <v>46885</v>
      </c>
      <c r="B774" s="3" t="inlineStr">
        <is>
          <t>Week</t>
        </is>
      </c>
      <c r="C774" s="19" t="n">
        <v>5</v>
      </c>
      <c r="D774" s="19" t="n">
        <v>2028</v>
      </c>
      <c r="E774" s="57" t="n">
        <v>1</v>
      </c>
      <c r="F774" s="29">
        <f>ROUND(((SUMIFS(Calendar!$F$2:$F$9997,Calendar!$B$2:$B$9997,D774,Calendar!$C$2:$C$9997,C774)*INDEX(ForeCalc!$B$37:$Y$274,MATCH(_xlfn.CONCAT(H774," ",I774),ForeCalc!$A$37:$A$274,0),MATCH(_xlfn.CONCAT(B774," ",E774),ForeCalc!$B$36:$Y$36,0))))*VLOOKUP(A774,Calendar!$A$2:$H$9997,8,FALSE),0)</f>
        <v/>
      </c>
      <c r="G774" s="29">
        <f>VLOOKUP(A774,Calendar!$A$1:$H$9997,6,FALSE)-F774</f>
        <v/>
      </c>
      <c r="H774" s="19" t="n">
        <v>3</v>
      </c>
      <c r="I774" s="57" t="n">
        <v>2</v>
      </c>
    </row>
    <row r="775">
      <c r="A775" s="62" t="n">
        <v>46886</v>
      </c>
      <c r="B775" s="3" t="inlineStr">
        <is>
          <t>Sat</t>
        </is>
      </c>
      <c r="C775" s="19" t="n">
        <v>5</v>
      </c>
      <c r="D775" s="19" t="n">
        <v>2028</v>
      </c>
      <c r="E775" s="57" t="n">
        <v>1</v>
      </c>
      <c r="F775" s="29">
        <f>ROUND(((SUMIFS(Calendar!$F$2:$F$9997,Calendar!$B$2:$B$9997,D775,Calendar!$C$2:$C$9997,C775)*INDEX(ForeCalc!$B$37:$Y$274,MATCH(_xlfn.CONCAT(H775," ",I775),ForeCalc!$A$37:$A$274,0),MATCH(_xlfn.CONCAT(B775," ",E775),ForeCalc!$B$36:$Y$36,0))))*VLOOKUP(A775,Calendar!$A$2:$H$9997,8,FALSE),0)</f>
        <v/>
      </c>
      <c r="G775" s="29">
        <f>VLOOKUP(A775,Calendar!$A$1:$H$9997,6,FALSE)-F775</f>
        <v/>
      </c>
      <c r="H775" s="19" t="n">
        <v>3</v>
      </c>
      <c r="I775" s="57" t="n">
        <v>2</v>
      </c>
    </row>
    <row r="776">
      <c r="A776" s="62" t="n">
        <v>46887</v>
      </c>
      <c r="B776" s="3" t="inlineStr">
        <is>
          <t>Sun</t>
        </is>
      </c>
      <c r="C776" s="19" t="n">
        <v>5</v>
      </c>
      <c r="D776" s="19" t="n">
        <v>2028</v>
      </c>
      <c r="E776" s="57" t="n">
        <v>1</v>
      </c>
      <c r="F776" s="29">
        <f>ROUND(((SUMIFS(Calendar!$F$2:$F$9997,Calendar!$B$2:$B$9997,D776,Calendar!$C$2:$C$9997,C776)*INDEX(ForeCalc!$B$37:$Y$274,MATCH(_xlfn.CONCAT(H776," ",I776),ForeCalc!$A$37:$A$274,0),MATCH(_xlfn.CONCAT(B776," ",E776),ForeCalc!$B$36:$Y$36,0))))*VLOOKUP(A776,Calendar!$A$2:$H$9997,8,FALSE),0)</f>
        <v/>
      </c>
      <c r="G776" s="29">
        <f>VLOOKUP(A776,Calendar!$A$1:$H$9997,6,FALSE)-F776</f>
        <v/>
      </c>
      <c r="H776" s="19" t="n">
        <v>3</v>
      </c>
      <c r="I776" s="57" t="n">
        <v>2</v>
      </c>
    </row>
    <row r="777">
      <c r="A777" s="62" t="n">
        <v>46888</v>
      </c>
      <c r="B777" s="3" t="inlineStr">
        <is>
          <t>Week</t>
        </is>
      </c>
      <c r="C777" s="19" t="n">
        <v>5</v>
      </c>
      <c r="D777" s="19" t="n">
        <v>2028</v>
      </c>
      <c r="E777" s="57" t="n">
        <v>1</v>
      </c>
      <c r="F777" s="29">
        <f>ROUND(((SUMIFS(Calendar!$F$2:$F$9997,Calendar!$B$2:$B$9997,D777,Calendar!$C$2:$C$9997,C777)*INDEX(ForeCalc!$B$37:$Y$274,MATCH(_xlfn.CONCAT(H777," ",I777),ForeCalc!$A$37:$A$274,0),MATCH(_xlfn.CONCAT(B777," ",E777),ForeCalc!$B$36:$Y$36,0))))*VLOOKUP(A777,Calendar!$A$2:$H$9997,8,FALSE),0)</f>
        <v/>
      </c>
      <c r="G777" s="29">
        <f>VLOOKUP(A777,Calendar!$A$1:$H$9997,6,FALSE)-F777</f>
        <v/>
      </c>
      <c r="H777" s="19" t="n">
        <v>3</v>
      </c>
      <c r="I777" s="57" t="n">
        <v>2</v>
      </c>
    </row>
    <row r="778">
      <c r="A778" s="62" t="n">
        <v>46889</v>
      </c>
      <c r="B778" s="3" t="inlineStr">
        <is>
          <t>Week</t>
        </is>
      </c>
      <c r="C778" s="19" t="n">
        <v>5</v>
      </c>
      <c r="D778" s="19" t="n">
        <v>2028</v>
      </c>
      <c r="E778" s="57" t="n">
        <v>1</v>
      </c>
      <c r="F778" s="29">
        <f>ROUND(((SUMIFS(Calendar!$F$2:$F$9997,Calendar!$B$2:$B$9997,D778,Calendar!$C$2:$C$9997,C778)*INDEX(ForeCalc!$B$37:$Y$274,MATCH(_xlfn.CONCAT(H778," ",I778),ForeCalc!$A$37:$A$274,0),MATCH(_xlfn.CONCAT(B778," ",E778),ForeCalc!$B$36:$Y$36,0))))*VLOOKUP(A778,Calendar!$A$2:$H$9997,8,FALSE),0)</f>
        <v/>
      </c>
      <c r="G778" s="29">
        <f>VLOOKUP(A778,Calendar!$A$1:$H$9997,6,FALSE)-F778</f>
        <v/>
      </c>
      <c r="H778" s="19" t="n">
        <v>3</v>
      </c>
      <c r="I778" s="57" t="n">
        <v>2</v>
      </c>
    </row>
    <row r="779">
      <c r="A779" s="62" t="n">
        <v>46890</v>
      </c>
      <c r="B779" s="3" t="inlineStr">
        <is>
          <t>Week</t>
        </is>
      </c>
      <c r="C779" s="19" t="n">
        <v>5</v>
      </c>
      <c r="D779" s="19" t="n">
        <v>2028</v>
      </c>
      <c r="E779" s="57" t="n">
        <v>1</v>
      </c>
      <c r="F779" s="29">
        <f>ROUND(((SUMIFS(Calendar!$F$2:$F$9997,Calendar!$B$2:$B$9997,D779,Calendar!$C$2:$C$9997,C779)*INDEX(ForeCalc!$B$37:$Y$274,MATCH(_xlfn.CONCAT(H779," ",I779),ForeCalc!$A$37:$A$274,0),MATCH(_xlfn.CONCAT(B779," ",E779),ForeCalc!$B$36:$Y$36,0))))*VLOOKUP(A779,Calendar!$A$2:$H$9997,8,FALSE),0)</f>
        <v/>
      </c>
      <c r="G779" s="29">
        <f>VLOOKUP(A779,Calendar!$A$1:$H$9997,6,FALSE)-F779</f>
        <v/>
      </c>
      <c r="H779" s="19" t="n">
        <v>3</v>
      </c>
      <c r="I779" s="57" t="n">
        <v>2</v>
      </c>
    </row>
    <row r="780">
      <c r="A780" s="62" t="n">
        <v>46891</v>
      </c>
      <c r="B780" s="3" t="inlineStr">
        <is>
          <t>Week</t>
        </is>
      </c>
      <c r="C780" s="19" t="n">
        <v>5</v>
      </c>
      <c r="D780" s="19" t="n">
        <v>2028</v>
      </c>
      <c r="E780" s="57" t="n">
        <v>1</v>
      </c>
      <c r="F780" s="29">
        <f>ROUND(((SUMIFS(Calendar!$F$2:$F$9997,Calendar!$B$2:$B$9997,D780,Calendar!$C$2:$C$9997,C780)*INDEX(ForeCalc!$B$37:$Y$274,MATCH(_xlfn.CONCAT(H780," ",I780),ForeCalc!$A$37:$A$274,0),MATCH(_xlfn.CONCAT(B780," ",E780),ForeCalc!$B$36:$Y$36,0))))*VLOOKUP(A780,Calendar!$A$2:$H$9997,8,FALSE),0)</f>
        <v/>
      </c>
      <c r="G780" s="29">
        <f>VLOOKUP(A780,Calendar!$A$1:$H$9997,6,FALSE)-F780</f>
        <v/>
      </c>
      <c r="H780" s="19" t="n">
        <v>3</v>
      </c>
      <c r="I780" s="57" t="n">
        <v>2</v>
      </c>
    </row>
    <row r="781">
      <c r="A781" s="62" t="n">
        <v>46892</v>
      </c>
      <c r="B781" s="3" t="inlineStr">
        <is>
          <t>Week</t>
        </is>
      </c>
      <c r="C781" s="19" t="n">
        <v>5</v>
      </c>
      <c r="D781" s="19" t="n">
        <v>2028</v>
      </c>
      <c r="E781" s="57" t="n">
        <v>1</v>
      </c>
      <c r="F781" s="29">
        <f>ROUND(((SUMIFS(Calendar!$F$2:$F$9997,Calendar!$B$2:$B$9997,D781,Calendar!$C$2:$C$9997,C781)*INDEX(ForeCalc!$B$37:$Y$274,MATCH(_xlfn.CONCAT(H781," ",I781),ForeCalc!$A$37:$A$274,0),MATCH(_xlfn.CONCAT(B781," ",E781),ForeCalc!$B$36:$Y$36,0))))*VLOOKUP(A781,Calendar!$A$2:$H$9997,8,FALSE),0)</f>
        <v/>
      </c>
      <c r="G781" s="29">
        <f>VLOOKUP(A781,Calendar!$A$1:$H$9997,6,FALSE)-F781</f>
        <v/>
      </c>
      <c r="H781" s="19" t="n">
        <v>3</v>
      </c>
      <c r="I781" s="57" t="n">
        <v>2</v>
      </c>
    </row>
    <row r="782">
      <c r="A782" s="62" t="n">
        <v>46893</v>
      </c>
      <c r="B782" s="3" t="inlineStr">
        <is>
          <t>Sat</t>
        </is>
      </c>
      <c r="C782" s="19" t="n">
        <v>5</v>
      </c>
      <c r="D782" s="19" t="n">
        <v>2028</v>
      </c>
      <c r="E782" s="57" t="n">
        <v>1</v>
      </c>
      <c r="F782" s="29">
        <f>ROUND(((SUMIFS(Calendar!$F$2:$F$9997,Calendar!$B$2:$B$9997,D782,Calendar!$C$2:$C$9997,C782)*INDEX(ForeCalc!$B$37:$Y$274,MATCH(_xlfn.CONCAT(H782," ",I782),ForeCalc!$A$37:$A$274,0),MATCH(_xlfn.CONCAT(B782," ",E782),ForeCalc!$B$36:$Y$36,0))))*VLOOKUP(A782,Calendar!$A$2:$H$9997,8,FALSE),0)</f>
        <v/>
      </c>
      <c r="G782" s="29">
        <f>VLOOKUP(A782,Calendar!$A$1:$H$9997,6,FALSE)-F782</f>
        <v/>
      </c>
      <c r="H782" s="19" t="n">
        <v>3</v>
      </c>
      <c r="I782" s="57" t="n">
        <v>2</v>
      </c>
    </row>
    <row r="783">
      <c r="A783" s="62" t="n">
        <v>46894</v>
      </c>
      <c r="B783" s="3" t="inlineStr">
        <is>
          <t>Sun</t>
        </is>
      </c>
      <c r="C783" s="19" t="n">
        <v>5</v>
      </c>
      <c r="D783" s="19" t="n">
        <v>2028</v>
      </c>
      <c r="E783" s="57" t="n">
        <v>1</v>
      </c>
      <c r="F783" s="29">
        <f>ROUND(((SUMIFS(Calendar!$F$2:$F$9997,Calendar!$B$2:$B$9997,D783,Calendar!$C$2:$C$9997,C783)*INDEX(ForeCalc!$B$37:$Y$274,MATCH(_xlfn.CONCAT(H783," ",I783),ForeCalc!$A$37:$A$274,0),MATCH(_xlfn.CONCAT(B783," ",E783),ForeCalc!$B$36:$Y$36,0))))*VLOOKUP(A783,Calendar!$A$2:$H$9997,8,FALSE),0)</f>
        <v/>
      </c>
      <c r="G783" s="29">
        <f>VLOOKUP(A783,Calendar!$A$1:$H$9997,6,FALSE)-F783</f>
        <v/>
      </c>
      <c r="H783" s="19" t="n">
        <v>3</v>
      </c>
      <c r="I783" s="57" t="n">
        <v>2</v>
      </c>
    </row>
    <row r="784">
      <c r="A784" s="62" t="n">
        <v>46895</v>
      </c>
      <c r="B784" s="3" t="inlineStr">
        <is>
          <t>Week</t>
        </is>
      </c>
      <c r="C784" s="19" t="n">
        <v>5</v>
      </c>
      <c r="D784" s="19" t="n">
        <v>2028</v>
      </c>
      <c r="E784" s="57" t="n">
        <v>1</v>
      </c>
      <c r="F784" s="29">
        <f>ROUND(((SUMIFS(Calendar!$F$2:$F$9997,Calendar!$B$2:$B$9997,D784,Calendar!$C$2:$C$9997,C784)*INDEX(ForeCalc!$B$37:$Y$274,MATCH(_xlfn.CONCAT(H784," ",I784),ForeCalc!$A$37:$A$274,0),MATCH(_xlfn.CONCAT(B784," ",E784),ForeCalc!$B$36:$Y$36,0))))*VLOOKUP(A784,Calendar!$A$2:$H$9997,8,FALSE),0)</f>
        <v/>
      </c>
      <c r="G784" s="29">
        <f>VLOOKUP(A784,Calendar!$A$1:$H$9997,6,FALSE)-F784</f>
        <v/>
      </c>
      <c r="H784" s="19" t="n">
        <v>3</v>
      </c>
      <c r="I784" s="57" t="n">
        <v>2</v>
      </c>
    </row>
    <row r="785">
      <c r="A785" s="62" t="n">
        <v>46896</v>
      </c>
      <c r="B785" s="3" t="inlineStr">
        <is>
          <t>Week</t>
        </is>
      </c>
      <c r="C785" s="19" t="n">
        <v>5</v>
      </c>
      <c r="D785" s="19" t="n">
        <v>2028</v>
      </c>
      <c r="E785" s="57" t="n">
        <v>1</v>
      </c>
      <c r="F785" s="29">
        <f>ROUND(((SUMIFS(Calendar!$F$2:$F$9997,Calendar!$B$2:$B$9997,D785,Calendar!$C$2:$C$9997,C785)*INDEX(ForeCalc!$B$37:$Y$274,MATCH(_xlfn.CONCAT(H785," ",I785),ForeCalc!$A$37:$A$274,0),MATCH(_xlfn.CONCAT(B785," ",E785),ForeCalc!$B$36:$Y$36,0))))*VLOOKUP(A785,Calendar!$A$2:$H$9997,8,FALSE),0)</f>
        <v/>
      </c>
      <c r="G785" s="29">
        <f>VLOOKUP(A785,Calendar!$A$1:$H$9997,6,FALSE)-F785</f>
        <v/>
      </c>
      <c r="H785" s="19" t="n">
        <v>3</v>
      </c>
      <c r="I785" s="57" t="n">
        <v>2</v>
      </c>
    </row>
    <row r="786">
      <c r="A786" s="62" t="n">
        <v>46897</v>
      </c>
      <c r="B786" s="3" t="inlineStr">
        <is>
          <t>Week</t>
        </is>
      </c>
      <c r="C786" s="19" t="n">
        <v>5</v>
      </c>
      <c r="D786" s="19" t="n">
        <v>2028</v>
      </c>
      <c r="E786" s="57" t="n">
        <v>1</v>
      </c>
      <c r="F786" s="29">
        <f>ROUND(((SUMIFS(Calendar!$F$2:$F$9997,Calendar!$B$2:$B$9997,D786,Calendar!$C$2:$C$9997,C786)*INDEX(ForeCalc!$B$37:$Y$274,MATCH(_xlfn.CONCAT(H786," ",I786),ForeCalc!$A$37:$A$274,0),MATCH(_xlfn.CONCAT(B786," ",E786),ForeCalc!$B$36:$Y$36,0))))*VLOOKUP(A786,Calendar!$A$2:$H$9997,8,FALSE),0)</f>
        <v/>
      </c>
      <c r="G786" s="29">
        <f>VLOOKUP(A786,Calendar!$A$1:$H$9997,6,FALSE)-F786</f>
        <v/>
      </c>
      <c r="H786" s="19" t="n">
        <v>3</v>
      </c>
      <c r="I786" s="57" t="n">
        <v>2</v>
      </c>
    </row>
    <row r="787">
      <c r="A787" s="62" t="n">
        <v>46898</v>
      </c>
      <c r="B787" s="3" t="inlineStr">
        <is>
          <t>Week</t>
        </is>
      </c>
      <c r="C787" s="19" t="n">
        <v>5</v>
      </c>
      <c r="D787" s="19" t="n">
        <v>2028</v>
      </c>
      <c r="E787" s="57" t="n">
        <v>1</v>
      </c>
      <c r="F787" s="29">
        <f>ROUND(((SUMIFS(Calendar!$F$2:$F$9997,Calendar!$B$2:$B$9997,D787,Calendar!$C$2:$C$9997,C787)*INDEX(ForeCalc!$B$37:$Y$274,MATCH(_xlfn.CONCAT(H787," ",I787),ForeCalc!$A$37:$A$274,0),MATCH(_xlfn.CONCAT(B787," ",E787),ForeCalc!$B$36:$Y$36,0))))*VLOOKUP(A787,Calendar!$A$2:$H$9997,8,FALSE),0)</f>
        <v/>
      </c>
      <c r="G787" s="29">
        <f>VLOOKUP(A787,Calendar!$A$1:$H$9997,6,FALSE)-F787</f>
        <v/>
      </c>
      <c r="H787" s="19" t="n">
        <v>3</v>
      </c>
      <c r="I787" s="57" t="n">
        <v>2</v>
      </c>
    </row>
    <row r="788">
      <c r="A788" s="62" t="n">
        <v>46899</v>
      </c>
      <c r="B788" s="3" t="inlineStr">
        <is>
          <t>Week</t>
        </is>
      </c>
      <c r="C788" s="19" t="n">
        <v>5</v>
      </c>
      <c r="D788" s="19" t="n">
        <v>2028</v>
      </c>
      <c r="E788" s="57" t="n">
        <v>1</v>
      </c>
      <c r="F788" s="29">
        <f>ROUND(((SUMIFS(Calendar!$F$2:$F$9997,Calendar!$B$2:$B$9997,D788,Calendar!$C$2:$C$9997,C788)*INDEX(ForeCalc!$B$37:$Y$274,MATCH(_xlfn.CONCAT(H788," ",I788),ForeCalc!$A$37:$A$274,0),MATCH(_xlfn.CONCAT(B788," ",E788),ForeCalc!$B$36:$Y$36,0))))*VLOOKUP(A788,Calendar!$A$2:$H$9997,8,FALSE),0)</f>
        <v/>
      </c>
      <c r="G788" s="29">
        <f>VLOOKUP(A788,Calendar!$A$1:$H$9997,6,FALSE)-F788</f>
        <v/>
      </c>
      <c r="H788" s="19" t="n">
        <v>3</v>
      </c>
      <c r="I788" s="57" t="n">
        <v>2</v>
      </c>
    </row>
    <row r="789">
      <c r="A789" s="62" t="n">
        <v>46900</v>
      </c>
      <c r="B789" s="3" t="inlineStr">
        <is>
          <t>Sat</t>
        </is>
      </c>
      <c r="C789" s="19" t="n">
        <v>5</v>
      </c>
      <c r="D789" s="19" t="n">
        <v>2028</v>
      </c>
      <c r="E789" s="57" t="n">
        <v>1</v>
      </c>
      <c r="F789" s="29">
        <f>ROUND(((SUMIFS(Calendar!$F$2:$F$9997,Calendar!$B$2:$B$9997,D789,Calendar!$C$2:$C$9997,C789)*INDEX(ForeCalc!$B$37:$Y$274,MATCH(_xlfn.CONCAT(H789," ",I789),ForeCalc!$A$37:$A$274,0),MATCH(_xlfn.CONCAT(B789," ",E789),ForeCalc!$B$36:$Y$36,0))))*VLOOKUP(A789,Calendar!$A$2:$H$9997,8,FALSE),0)</f>
        <v/>
      </c>
      <c r="G789" s="29">
        <f>VLOOKUP(A789,Calendar!$A$1:$H$9997,6,FALSE)-F789</f>
        <v/>
      </c>
      <c r="H789" s="19" t="n">
        <v>3</v>
      </c>
      <c r="I789" s="57" t="n">
        <v>2</v>
      </c>
    </row>
    <row r="790">
      <c r="A790" s="62" t="n">
        <v>46901</v>
      </c>
      <c r="B790" s="3" t="inlineStr">
        <is>
          <t>Sun</t>
        </is>
      </c>
      <c r="C790" s="19" t="n">
        <v>5</v>
      </c>
      <c r="D790" s="19" t="n">
        <v>2028</v>
      </c>
      <c r="E790" s="57" t="n">
        <v>1</v>
      </c>
      <c r="F790" s="29">
        <f>ROUND(((SUMIFS(Calendar!$F$2:$F$9997,Calendar!$B$2:$B$9997,D790,Calendar!$C$2:$C$9997,C790)*INDEX(ForeCalc!$B$37:$Y$274,MATCH(_xlfn.CONCAT(H790," ",I790),ForeCalc!$A$37:$A$274,0),MATCH(_xlfn.CONCAT(B790," ",E790),ForeCalc!$B$36:$Y$36,0))))*VLOOKUP(A790,Calendar!$A$2:$H$9997,8,FALSE),0)</f>
        <v/>
      </c>
      <c r="G790" s="29">
        <f>VLOOKUP(A790,Calendar!$A$1:$H$9997,6,FALSE)-F790</f>
        <v/>
      </c>
      <c r="H790" s="19" t="n">
        <v>3</v>
      </c>
      <c r="I790" s="57" t="n">
        <v>2</v>
      </c>
    </row>
    <row r="791">
      <c r="A791" s="62" t="n">
        <v>46902</v>
      </c>
      <c r="B791" s="3" t="inlineStr">
        <is>
          <t>Week</t>
        </is>
      </c>
      <c r="C791" s="19" t="n">
        <v>5</v>
      </c>
      <c r="D791" s="19" t="n">
        <v>2028</v>
      </c>
      <c r="E791" s="57" t="n">
        <v>1</v>
      </c>
      <c r="F791" s="29">
        <f>ROUND(((SUMIFS(Calendar!$F$2:$F$9997,Calendar!$B$2:$B$9997,D791,Calendar!$C$2:$C$9997,C791)*INDEX(ForeCalc!$B$37:$Y$274,MATCH(_xlfn.CONCAT(H791," ",I791),ForeCalc!$A$37:$A$274,0),MATCH(_xlfn.CONCAT(B791," ",E791),ForeCalc!$B$36:$Y$36,0))))*VLOOKUP(A791,Calendar!$A$2:$H$9997,8,FALSE),0)</f>
        <v/>
      </c>
      <c r="G791" s="29">
        <f>VLOOKUP(A791,Calendar!$A$1:$H$9997,6,FALSE)-F791</f>
        <v/>
      </c>
      <c r="H791" s="19" t="n">
        <v>3</v>
      </c>
      <c r="I791" s="57" t="n">
        <v>2</v>
      </c>
    </row>
    <row r="792">
      <c r="A792" s="62" t="n">
        <v>46903</v>
      </c>
      <c r="B792" s="3" t="inlineStr">
        <is>
          <t>Week</t>
        </is>
      </c>
      <c r="C792" s="19" t="n">
        <v>5</v>
      </c>
      <c r="D792" s="19" t="n">
        <v>2028</v>
      </c>
      <c r="E792" s="57" t="n">
        <v>1</v>
      </c>
      <c r="F792" s="29">
        <f>ROUND(((SUMIFS(Calendar!$F$2:$F$9997,Calendar!$B$2:$B$9997,D792,Calendar!$C$2:$C$9997,C792)*INDEX(ForeCalc!$B$37:$Y$274,MATCH(_xlfn.CONCAT(H792," ",I792),ForeCalc!$A$37:$A$274,0),MATCH(_xlfn.CONCAT(B792," ",E792),ForeCalc!$B$36:$Y$36,0))))*VLOOKUP(A792,Calendar!$A$2:$H$9997,8,FALSE),0)</f>
        <v/>
      </c>
      <c r="G792" s="29">
        <f>VLOOKUP(A792,Calendar!$A$1:$H$9997,6,FALSE)-F792</f>
        <v/>
      </c>
      <c r="H792" s="19" t="n">
        <v>3</v>
      </c>
      <c r="I792" s="57" t="n">
        <v>2</v>
      </c>
    </row>
    <row r="793">
      <c r="A793" s="62" t="n">
        <v>46904</v>
      </c>
      <c r="B793" s="3" t="inlineStr">
        <is>
          <t>Week</t>
        </is>
      </c>
      <c r="C793" s="19" t="n">
        <v>5</v>
      </c>
      <c r="D793" s="19" t="n">
        <v>2028</v>
      </c>
      <c r="E793" s="57" t="n">
        <v>1</v>
      </c>
      <c r="F793" s="29">
        <f>ROUND(((SUMIFS(Calendar!$F$2:$F$9997,Calendar!$B$2:$B$9997,D793,Calendar!$C$2:$C$9997,C793)*INDEX(ForeCalc!$B$37:$Y$274,MATCH(_xlfn.CONCAT(H793," ",I793),ForeCalc!$A$37:$A$274,0),MATCH(_xlfn.CONCAT(B793," ",E793),ForeCalc!$B$36:$Y$36,0))))*VLOOKUP(A793,Calendar!$A$2:$H$9997,8,FALSE),0)</f>
        <v/>
      </c>
      <c r="G793" s="29">
        <f>VLOOKUP(A793,Calendar!$A$1:$H$9997,6,FALSE)-F793</f>
        <v/>
      </c>
      <c r="H793" s="19" t="n">
        <v>3</v>
      </c>
      <c r="I793" s="57" t="n">
        <v>2</v>
      </c>
    </row>
    <row r="794">
      <c r="A794" s="62" t="n">
        <v>46905</v>
      </c>
      <c r="B794" s="3" t="inlineStr">
        <is>
          <t>Week</t>
        </is>
      </c>
      <c r="C794" s="19" t="n">
        <v>6</v>
      </c>
      <c r="D794" s="19" t="n">
        <v>2028</v>
      </c>
      <c r="E794" s="57" t="n">
        <v>1</v>
      </c>
      <c r="F794" s="29">
        <f>ROUND(((SUMIFS(Calendar!$F$2:$F$9997,Calendar!$B$2:$B$9997,D794,Calendar!$C$2:$C$9997,C794)*INDEX(ForeCalc!$B$37:$Y$274,MATCH(_xlfn.CONCAT(H794," ",I794),ForeCalc!$A$37:$A$274,0),MATCH(_xlfn.CONCAT(B794," ",E794),ForeCalc!$B$36:$Y$36,0))))*VLOOKUP(A794,Calendar!$A$2:$H$9997,8,FALSE),0)</f>
        <v/>
      </c>
      <c r="G794" s="29">
        <f>VLOOKUP(A794,Calendar!$A$1:$H$9997,6,FALSE)-F794</f>
        <v/>
      </c>
      <c r="H794" s="19" t="n">
        <v>3</v>
      </c>
      <c r="I794" s="57" t="n">
        <v>3</v>
      </c>
    </row>
    <row r="795">
      <c r="A795" s="62" t="n">
        <v>46906</v>
      </c>
      <c r="B795" s="3" t="inlineStr">
        <is>
          <t>Week</t>
        </is>
      </c>
      <c r="C795" s="19" t="n">
        <v>6</v>
      </c>
      <c r="D795" s="19" t="n">
        <v>2028</v>
      </c>
      <c r="E795" s="57" t="n">
        <v>1</v>
      </c>
      <c r="F795" s="29">
        <f>ROUND(((SUMIFS(Calendar!$F$2:$F$9997,Calendar!$B$2:$B$9997,D795,Calendar!$C$2:$C$9997,C795)*INDEX(ForeCalc!$B$37:$Y$274,MATCH(_xlfn.CONCAT(H795," ",I795),ForeCalc!$A$37:$A$274,0),MATCH(_xlfn.CONCAT(B795," ",E795),ForeCalc!$B$36:$Y$36,0))))*VLOOKUP(A795,Calendar!$A$2:$H$9997,8,FALSE),0)</f>
        <v/>
      </c>
      <c r="G795" s="29">
        <f>VLOOKUP(A795,Calendar!$A$1:$H$9997,6,FALSE)-F795</f>
        <v/>
      </c>
      <c r="H795" s="19" t="n">
        <v>3</v>
      </c>
      <c r="I795" s="57" t="n">
        <v>3</v>
      </c>
    </row>
    <row r="796">
      <c r="A796" s="62" t="n">
        <v>46907</v>
      </c>
      <c r="B796" s="3" t="inlineStr">
        <is>
          <t>Sat</t>
        </is>
      </c>
      <c r="C796" s="19" t="n">
        <v>6</v>
      </c>
      <c r="D796" s="19" t="n">
        <v>2028</v>
      </c>
      <c r="E796" s="57" t="n">
        <v>1</v>
      </c>
      <c r="F796" s="29">
        <f>ROUND(((SUMIFS(Calendar!$F$2:$F$9997,Calendar!$B$2:$B$9997,D796,Calendar!$C$2:$C$9997,C796)*INDEX(ForeCalc!$B$37:$Y$274,MATCH(_xlfn.CONCAT(H796," ",I796),ForeCalc!$A$37:$A$274,0),MATCH(_xlfn.CONCAT(B796," ",E796),ForeCalc!$B$36:$Y$36,0))))*VLOOKUP(A796,Calendar!$A$2:$H$9997,8,FALSE),0)</f>
        <v/>
      </c>
      <c r="G796" s="29">
        <f>VLOOKUP(A796,Calendar!$A$1:$H$9997,6,FALSE)-F796</f>
        <v/>
      </c>
      <c r="H796" s="19" t="n">
        <v>3</v>
      </c>
      <c r="I796" s="57" t="n">
        <v>3</v>
      </c>
    </row>
    <row r="797">
      <c r="A797" s="62" t="n">
        <v>46908</v>
      </c>
      <c r="B797" s="3" t="inlineStr">
        <is>
          <t>Sun</t>
        </is>
      </c>
      <c r="C797" s="19" t="n">
        <v>6</v>
      </c>
      <c r="D797" s="19" t="n">
        <v>2028</v>
      </c>
      <c r="E797" s="57" t="n">
        <v>1</v>
      </c>
      <c r="F797" s="29">
        <f>ROUND(((SUMIFS(Calendar!$F$2:$F$9997,Calendar!$B$2:$B$9997,D797,Calendar!$C$2:$C$9997,C797)*INDEX(ForeCalc!$B$37:$Y$274,MATCH(_xlfn.CONCAT(H797," ",I797),ForeCalc!$A$37:$A$274,0),MATCH(_xlfn.CONCAT(B797," ",E797),ForeCalc!$B$36:$Y$36,0))))*VLOOKUP(A797,Calendar!$A$2:$H$9997,8,FALSE),0)</f>
        <v/>
      </c>
      <c r="G797" s="29">
        <f>VLOOKUP(A797,Calendar!$A$1:$H$9997,6,FALSE)-F797</f>
        <v/>
      </c>
      <c r="H797" s="19" t="n">
        <v>3</v>
      </c>
      <c r="I797" s="57" t="n">
        <v>3</v>
      </c>
    </row>
    <row r="798">
      <c r="A798" s="62" t="n">
        <v>46909</v>
      </c>
      <c r="B798" s="3" t="inlineStr">
        <is>
          <t>Week</t>
        </is>
      </c>
      <c r="C798" s="19" t="n">
        <v>6</v>
      </c>
      <c r="D798" s="19" t="n">
        <v>2028</v>
      </c>
      <c r="E798" s="57" t="n">
        <v>1</v>
      </c>
      <c r="F798" s="29">
        <f>ROUND(((SUMIFS(Calendar!$F$2:$F$9997,Calendar!$B$2:$B$9997,D798,Calendar!$C$2:$C$9997,C798)*INDEX(ForeCalc!$B$37:$Y$274,MATCH(_xlfn.CONCAT(H798," ",I798),ForeCalc!$A$37:$A$274,0),MATCH(_xlfn.CONCAT(B798," ",E798),ForeCalc!$B$36:$Y$36,0))))*VLOOKUP(A798,Calendar!$A$2:$H$9997,8,FALSE),0)</f>
        <v/>
      </c>
      <c r="G798" s="29">
        <f>VLOOKUP(A798,Calendar!$A$1:$H$9997,6,FALSE)-F798</f>
        <v/>
      </c>
      <c r="H798" s="19" t="n">
        <v>3</v>
      </c>
      <c r="I798" s="57" t="n">
        <v>3</v>
      </c>
    </row>
    <row r="799">
      <c r="A799" s="62" t="n">
        <v>46910</v>
      </c>
      <c r="B799" s="3" t="inlineStr">
        <is>
          <t>Week</t>
        </is>
      </c>
      <c r="C799" s="19" t="n">
        <v>6</v>
      </c>
      <c r="D799" s="19" t="n">
        <v>2028</v>
      </c>
      <c r="E799" s="57" t="n">
        <v>1</v>
      </c>
      <c r="F799" s="29">
        <f>ROUND(((SUMIFS(Calendar!$F$2:$F$9997,Calendar!$B$2:$B$9997,D799,Calendar!$C$2:$C$9997,C799)*INDEX(ForeCalc!$B$37:$Y$274,MATCH(_xlfn.CONCAT(H799," ",I799),ForeCalc!$A$37:$A$274,0),MATCH(_xlfn.CONCAT(B799," ",E799),ForeCalc!$B$36:$Y$36,0))))*VLOOKUP(A799,Calendar!$A$2:$H$9997,8,FALSE),0)</f>
        <v/>
      </c>
      <c r="G799" s="29">
        <f>VLOOKUP(A799,Calendar!$A$1:$H$9997,6,FALSE)-F799</f>
        <v/>
      </c>
      <c r="H799" s="19" t="n">
        <v>3</v>
      </c>
      <c r="I799" s="57" t="n">
        <v>3</v>
      </c>
    </row>
    <row r="800">
      <c r="A800" s="62" t="n">
        <v>46911</v>
      </c>
      <c r="B800" s="3" t="inlineStr">
        <is>
          <t>Week</t>
        </is>
      </c>
      <c r="C800" s="19" t="n">
        <v>6</v>
      </c>
      <c r="D800" s="19" t="n">
        <v>2028</v>
      </c>
      <c r="E800" s="57" t="n">
        <v>1</v>
      </c>
      <c r="F800" s="29">
        <f>ROUND(((SUMIFS(Calendar!$F$2:$F$9997,Calendar!$B$2:$B$9997,D800,Calendar!$C$2:$C$9997,C800)*INDEX(ForeCalc!$B$37:$Y$274,MATCH(_xlfn.CONCAT(H800," ",I800),ForeCalc!$A$37:$A$274,0),MATCH(_xlfn.CONCAT(B800," ",E800),ForeCalc!$B$36:$Y$36,0))))*VLOOKUP(A800,Calendar!$A$2:$H$9997,8,FALSE),0)</f>
        <v/>
      </c>
      <c r="G800" s="29">
        <f>VLOOKUP(A800,Calendar!$A$1:$H$9997,6,FALSE)-F800</f>
        <v/>
      </c>
      <c r="H800" s="19" t="n">
        <v>3</v>
      </c>
      <c r="I800" s="57" t="n">
        <v>3</v>
      </c>
    </row>
    <row r="801">
      <c r="A801" s="62" t="n">
        <v>46912</v>
      </c>
      <c r="B801" s="3" t="inlineStr">
        <is>
          <t>Week</t>
        </is>
      </c>
      <c r="C801" s="19" t="n">
        <v>6</v>
      </c>
      <c r="D801" s="19" t="n">
        <v>2028</v>
      </c>
      <c r="E801" s="57" t="n">
        <v>1</v>
      </c>
      <c r="F801" s="29">
        <f>ROUND(((SUMIFS(Calendar!$F$2:$F$9997,Calendar!$B$2:$B$9997,D801,Calendar!$C$2:$C$9997,C801)*INDEX(ForeCalc!$B$37:$Y$274,MATCH(_xlfn.CONCAT(H801," ",I801),ForeCalc!$A$37:$A$274,0),MATCH(_xlfn.CONCAT(B801," ",E801),ForeCalc!$B$36:$Y$36,0))))*VLOOKUP(A801,Calendar!$A$2:$H$9997,8,FALSE),0)</f>
        <v/>
      </c>
      <c r="G801" s="29">
        <f>VLOOKUP(A801,Calendar!$A$1:$H$9997,6,FALSE)-F801</f>
        <v/>
      </c>
      <c r="H801" s="19" t="n">
        <v>3</v>
      </c>
      <c r="I801" s="57" t="n">
        <v>3</v>
      </c>
    </row>
    <row r="802">
      <c r="A802" s="62" t="n">
        <v>46913</v>
      </c>
      <c r="B802" s="3" t="inlineStr">
        <is>
          <t>Week</t>
        </is>
      </c>
      <c r="C802" s="19" t="n">
        <v>6</v>
      </c>
      <c r="D802" s="19" t="n">
        <v>2028</v>
      </c>
      <c r="E802" s="57" t="n">
        <v>1</v>
      </c>
      <c r="F802" s="29">
        <f>ROUND(((SUMIFS(Calendar!$F$2:$F$9997,Calendar!$B$2:$B$9997,D802,Calendar!$C$2:$C$9997,C802)*INDEX(ForeCalc!$B$37:$Y$274,MATCH(_xlfn.CONCAT(H802," ",I802),ForeCalc!$A$37:$A$274,0),MATCH(_xlfn.CONCAT(B802," ",E802),ForeCalc!$B$36:$Y$36,0))))*VLOOKUP(A802,Calendar!$A$2:$H$9997,8,FALSE),0)</f>
        <v/>
      </c>
      <c r="G802" s="29">
        <f>VLOOKUP(A802,Calendar!$A$1:$H$9997,6,FALSE)-F802</f>
        <v/>
      </c>
      <c r="H802" s="19" t="n">
        <v>3</v>
      </c>
      <c r="I802" s="57" t="n">
        <v>3</v>
      </c>
    </row>
    <row r="803">
      <c r="A803" s="62" t="n">
        <v>46914</v>
      </c>
      <c r="B803" s="3" t="inlineStr">
        <is>
          <t>Sat</t>
        </is>
      </c>
      <c r="C803" s="19" t="n">
        <v>6</v>
      </c>
      <c r="D803" s="19" t="n">
        <v>2028</v>
      </c>
      <c r="E803" s="57" t="n">
        <v>1</v>
      </c>
      <c r="F803" s="29">
        <f>ROUND(((SUMIFS(Calendar!$F$2:$F$9997,Calendar!$B$2:$B$9997,D803,Calendar!$C$2:$C$9997,C803)*INDEX(ForeCalc!$B$37:$Y$274,MATCH(_xlfn.CONCAT(H803," ",I803),ForeCalc!$A$37:$A$274,0),MATCH(_xlfn.CONCAT(B803," ",E803),ForeCalc!$B$36:$Y$36,0))))*VLOOKUP(A803,Calendar!$A$2:$H$9997,8,FALSE),0)</f>
        <v/>
      </c>
      <c r="G803" s="29">
        <f>VLOOKUP(A803,Calendar!$A$1:$H$9997,6,FALSE)-F803</f>
        <v/>
      </c>
      <c r="H803" s="19" t="n">
        <v>3</v>
      </c>
      <c r="I803" s="57" t="n">
        <v>3</v>
      </c>
    </row>
    <row r="804">
      <c r="A804" s="62" t="n">
        <v>46915</v>
      </c>
      <c r="B804" s="3" t="inlineStr">
        <is>
          <t>Sun</t>
        </is>
      </c>
      <c r="C804" s="19" t="n">
        <v>6</v>
      </c>
      <c r="D804" s="19" t="n">
        <v>2028</v>
      </c>
      <c r="E804" s="57" t="n">
        <v>1</v>
      </c>
      <c r="F804" s="29">
        <f>ROUND(((SUMIFS(Calendar!$F$2:$F$9997,Calendar!$B$2:$B$9997,D804,Calendar!$C$2:$C$9997,C804)*INDEX(ForeCalc!$B$37:$Y$274,MATCH(_xlfn.CONCAT(H804," ",I804),ForeCalc!$A$37:$A$274,0),MATCH(_xlfn.CONCAT(B804," ",E804),ForeCalc!$B$36:$Y$36,0))))*VLOOKUP(A804,Calendar!$A$2:$H$9997,8,FALSE),0)</f>
        <v/>
      </c>
      <c r="G804" s="29">
        <f>VLOOKUP(A804,Calendar!$A$1:$H$9997,6,FALSE)-F804</f>
        <v/>
      </c>
      <c r="H804" s="19" t="n">
        <v>3</v>
      </c>
      <c r="I804" s="57" t="n">
        <v>3</v>
      </c>
    </row>
    <row r="805">
      <c r="A805" s="62" t="n">
        <v>46916</v>
      </c>
      <c r="B805" s="3" t="inlineStr">
        <is>
          <t>Week</t>
        </is>
      </c>
      <c r="C805" s="19" t="n">
        <v>6</v>
      </c>
      <c r="D805" s="19" t="n">
        <v>2028</v>
      </c>
      <c r="E805" s="57" t="n">
        <v>1</v>
      </c>
      <c r="F805" s="29">
        <f>ROUND(((SUMIFS(Calendar!$F$2:$F$9997,Calendar!$B$2:$B$9997,D805,Calendar!$C$2:$C$9997,C805)*INDEX(ForeCalc!$B$37:$Y$274,MATCH(_xlfn.CONCAT(H805," ",I805),ForeCalc!$A$37:$A$274,0),MATCH(_xlfn.CONCAT(B805," ",E805),ForeCalc!$B$36:$Y$36,0))))*VLOOKUP(A805,Calendar!$A$2:$H$9997,8,FALSE),0)</f>
        <v/>
      </c>
      <c r="G805" s="29">
        <f>VLOOKUP(A805,Calendar!$A$1:$H$9997,6,FALSE)-F805</f>
        <v/>
      </c>
      <c r="H805" s="19" t="n">
        <v>3</v>
      </c>
      <c r="I805" s="57" t="n">
        <v>3</v>
      </c>
    </row>
    <row r="806">
      <c r="A806" s="62" t="n">
        <v>46917</v>
      </c>
      <c r="B806" s="3" t="inlineStr">
        <is>
          <t>Week</t>
        </is>
      </c>
      <c r="C806" s="19" t="n">
        <v>6</v>
      </c>
      <c r="D806" s="19" t="n">
        <v>2028</v>
      </c>
      <c r="E806" s="57" t="n">
        <v>1</v>
      </c>
      <c r="F806" s="29">
        <f>ROUND(((SUMIFS(Calendar!$F$2:$F$9997,Calendar!$B$2:$B$9997,D806,Calendar!$C$2:$C$9997,C806)*INDEX(ForeCalc!$B$37:$Y$274,MATCH(_xlfn.CONCAT(H806," ",I806),ForeCalc!$A$37:$A$274,0),MATCH(_xlfn.CONCAT(B806," ",E806),ForeCalc!$B$36:$Y$36,0))))*VLOOKUP(A806,Calendar!$A$2:$H$9997,8,FALSE),0)</f>
        <v/>
      </c>
      <c r="G806" s="29">
        <f>VLOOKUP(A806,Calendar!$A$1:$H$9997,6,FALSE)-F806</f>
        <v/>
      </c>
      <c r="H806" s="19" t="n">
        <v>3</v>
      </c>
      <c r="I806" s="57" t="n">
        <v>3</v>
      </c>
    </row>
    <row r="807">
      <c r="A807" s="62" t="n">
        <v>46918</v>
      </c>
      <c r="B807" s="3" t="inlineStr">
        <is>
          <t>Week</t>
        </is>
      </c>
      <c r="C807" s="19" t="n">
        <v>6</v>
      </c>
      <c r="D807" s="19" t="n">
        <v>2028</v>
      </c>
      <c r="E807" s="57" t="n">
        <v>1</v>
      </c>
      <c r="F807" s="29">
        <f>ROUND(((SUMIFS(Calendar!$F$2:$F$9997,Calendar!$B$2:$B$9997,D807,Calendar!$C$2:$C$9997,C807)*INDEX(ForeCalc!$B$37:$Y$274,MATCH(_xlfn.CONCAT(H807," ",I807),ForeCalc!$A$37:$A$274,0),MATCH(_xlfn.CONCAT(B807," ",E807),ForeCalc!$B$36:$Y$36,0))))*VLOOKUP(A807,Calendar!$A$2:$H$9997,8,FALSE),0)</f>
        <v/>
      </c>
      <c r="G807" s="29">
        <f>VLOOKUP(A807,Calendar!$A$1:$H$9997,6,FALSE)-F807</f>
        <v/>
      </c>
      <c r="H807" s="19" t="n">
        <v>3</v>
      </c>
      <c r="I807" s="57" t="n">
        <v>3</v>
      </c>
    </row>
    <row r="808">
      <c r="A808" s="62" t="n">
        <v>46919</v>
      </c>
      <c r="B808" s="3" t="inlineStr">
        <is>
          <t>Week</t>
        </is>
      </c>
      <c r="C808" s="19" t="n">
        <v>6</v>
      </c>
      <c r="D808" s="19" t="n">
        <v>2028</v>
      </c>
      <c r="E808" s="57" t="n">
        <v>1</v>
      </c>
      <c r="F808" s="29">
        <f>ROUND(((SUMIFS(Calendar!$F$2:$F$9997,Calendar!$B$2:$B$9997,D808,Calendar!$C$2:$C$9997,C808)*INDEX(ForeCalc!$B$37:$Y$274,MATCH(_xlfn.CONCAT(H808," ",I808),ForeCalc!$A$37:$A$274,0),MATCH(_xlfn.CONCAT(B808," ",E808),ForeCalc!$B$36:$Y$36,0))))*VLOOKUP(A808,Calendar!$A$2:$H$9997,8,FALSE),0)</f>
        <v/>
      </c>
      <c r="G808" s="29">
        <f>VLOOKUP(A808,Calendar!$A$1:$H$9997,6,FALSE)-F808</f>
        <v/>
      </c>
      <c r="H808" s="19" t="n">
        <v>3</v>
      </c>
      <c r="I808" s="57" t="n">
        <v>3</v>
      </c>
    </row>
    <row r="809">
      <c r="A809" s="62" t="n">
        <v>46920</v>
      </c>
      <c r="B809" s="3" t="inlineStr">
        <is>
          <t>Week</t>
        </is>
      </c>
      <c r="C809" s="19" t="n">
        <v>6</v>
      </c>
      <c r="D809" s="19" t="n">
        <v>2028</v>
      </c>
      <c r="E809" s="57" t="n">
        <v>1</v>
      </c>
      <c r="F809" s="29">
        <f>ROUND(((SUMIFS(Calendar!$F$2:$F$9997,Calendar!$B$2:$B$9997,D809,Calendar!$C$2:$C$9997,C809)*INDEX(ForeCalc!$B$37:$Y$274,MATCH(_xlfn.CONCAT(H809," ",I809),ForeCalc!$A$37:$A$274,0),MATCH(_xlfn.CONCAT(B809," ",E809),ForeCalc!$B$36:$Y$36,0))))*VLOOKUP(A809,Calendar!$A$2:$H$9997,8,FALSE),0)</f>
        <v/>
      </c>
      <c r="G809" s="29">
        <f>VLOOKUP(A809,Calendar!$A$1:$H$9997,6,FALSE)-F809</f>
        <v/>
      </c>
      <c r="H809" s="19" t="n">
        <v>3</v>
      </c>
      <c r="I809" s="57" t="n">
        <v>3</v>
      </c>
    </row>
    <row r="810">
      <c r="A810" s="62" t="n">
        <v>46921</v>
      </c>
      <c r="B810" s="3" t="inlineStr">
        <is>
          <t>Sat</t>
        </is>
      </c>
      <c r="C810" s="19" t="n">
        <v>6</v>
      </c>
      <c r="D810" s="19" t="n">
        <v>2028</v>
      </c>
      <c r="E810" s="57" t="n">
        <v>1</v>
      </c>
      <c r="F810" s="29">
        <f>ROUND(((SUMIFS(Calendar!$F$2:$F$9997,Calendar!$B$2:$B$9997,D810,Calendar!$C$2:$C$9997,C810)*INDEX(ForeCalc!$B$37:$Y$274,MATCH(_xlfn.CONCAT(H810," ",I810),ForeCalc!$A$37:$A$274,0),MATCH(_xlfn.CONCAT(B810," ",E810),ForeCalc!$B$36:$Y$36,0))))*VLOOKUP(A810,Calendar!$A$2:$H$9997,8,FALSE),0)</f>
        <v/>
      </c>
      <c r="G810" s="29">
        <f>VLOOKUP(A810,Calendar!$A$1:$H$9997,6,FALSE)-F810</f>
        <v/>
      </c>
      <c r="H810" s="19" t="n">
        <v>3</v>
      </c>
      <c r="I810" s="57" t="n">
        <v>3</v>
      </c>
    </row>
    <row r="811">
      <c r="A811" s="62" t="n">
        <v>46922</v>
      </c>
      <c r="B811" s="3" t="inlineStr">
        <is>
          <t>Sun</t>
        </is>
      </c>
      <c r="C811" s="19" t="n">
        <v>6</v>
      </c>
      <c r="D811" s="19" t="n">
        <v>2028</v>
      </c>
      <c r="E811" s="57" t="n">
        <v>1</v>
      </c>
      <c r="F811" s="29">
        <f>ROUND(((SUMIFS(Calendar!$F$2:$F$9997,Calendar!$B$2:$B$9997,D811,Calendar!$C$2:$C$9997,C811)*INDEX(ForeCalc!$B$37:$Y$274,MATCH(_xlfn.CONCAT(H811," ",I811),ForeCalc!$A$37:$A$274,0),MATCH(_xlfn.CONCAT(B811," ",E811),ForeCalc!$B$36:$Y$36,0))))*VLOOKUP(A811,Calendar!$A$2:$H$9997,8,FALSE),0)</f>
        <v/>
      </c>
      <c r="G811" s="29">
        <f>VLOOKUP(A811,Calendar!$A$1:$H$9997,6,FALSE)-F811</f>
        <v/>
      </c>
      <c r="H811" s="19" t="n">
        <v>3</v>
      </c>
      <c r="I811" s="57" t="n">
        <v>3</v>
      </c>
    </row>
    <row r="812">
      <c r="A812" s="62" t="n">
        <v>46923</v>
      </c>
      <c r="B812" s="3" t="inlineStr">
        <is>
          <t>Week</t>
        </is>
      </c>
      <c r="C812" s="19" t="n">
        <v>6</v>
      </c>
      <c r="D812" s="19" t="n">
        <v>2028</v>
      </c>
      <c r="E812" s="57" t="n">
        <v>1</v>
      </c>
      <c r="F812" s="29">
        <f>ROUND(((SUMIFS(Calendar!$F$2:$F$9997,Calendar!$B$2:$B$9997,D812,Calendar!$C$2:$C$9997,C812)*INDEX(ForeCalc!$B$37:$Y$274,MATCH(_xlfn.CONCAT(H812," ",I812),ForeCalc!$A$37:$A$274,0),MATCH(_xlfn.CONCAT(B812," ",E812),ForeCalc!$B$36:$Y$36,0))))*VLOOKUP(A812,Calendar!$A$2:$H$9997,8,FALSE),0)</f>
        <v/>
      </c>
      <c r="G812" s="29">
        <f>VLOOKUP(A812,Calendar!$A$1:$H$9997,6,FALSE)-F812</f>
        <v/>
      </c>
      <c r="H812" s="19" t="n">
        <v>3</v>
      </c>
      <c r="I812" s="57" t="n">
        <v>3</v>
      </c>
    </row>
    <row r="813">
      <c r="A813" s="62" t="n">
        <v>46924</v>
      </c>
      <c r="B813" s="3" t="inlineStr">
        <is>
          <t>Week</t>
        </is>
      </c>
      <c r="C813" s="19" t="n">
        <v>6</v>
      </c>
      <c r="D813" s="19" t="n">
        <v>2028</v>
      </c>
      <c r="E813" s="57" t="n">
        <v>1</v>
      </c>
      <c r="F813" s="29">
        <f>ROUND(((SUMIFS(Calendar!$F$2:$F$9997,Calendar!$B$2:$B$9997,D813,Calendar!$C$2:$C$9997,C813)*INDEX(ForeCalc!$B$37:$Y$274,MATCH(_xlfn.CONCAT(H813," ",I813),ForeCalc!$A$37:$A$274,0),MATCH(_xlfn.CONCAT(B813," ",E813),ForeCalc!$B$36:$Y$36,0))))*VLOOKUP(A813,Calendar!$A$2:$H$9997,8,FALSE),0)</f>
        <v/>
      </c>
      <c r="G813" s="29">
        <f>VLOOKUP(A813,Calendar!$A$1:$H$9997,6,FALSE)-F813</f>
        <v/>
      </c>
      <c r="H813" s="19" t="n">
        <v>3</v>
      </c>
      <c r="I813" s="57" t="n">
        <v>3</v>
      </c>
    </row>
    <row r="814">
      <c r="A814" s="62" t="n">
        <v>46925</v>
      </c>
      <c r="B814" s="3" t="inlineStr">
        <is>
          <t>Week</t>
        </is>
      </c>
      <c r="C814" s="19" t="n">
        <v>6</v>
      </c>
      <c r="D814" s="19" t="n">
        <v>2028</v>
      </c>
      <c r="E814" s="57" t="n">
        <v>1</v>
      </c>
      <c r="F814" s="29">
        <f>ROUND(((SUMIFS(Calendar!$F$2:$F$9997,Calendar!$B$2:$B$9997,D814,Calendar!$C$2:$C$9997,C814)*INDEX(ForeCalc!$B$37:$Y$274,MATCH(_xlfn.CONCAT(H814," ",I814),ForeCalc!$A$37:$A$274,0),MATCH(_xlfn.CONCAT(B814," ",E814),ForeCalc!$B$36:$Y$36,0))))*VLOOKUP(A814,Calendar!$A$2:$H$9997,8,FALSE),0)</f>
        <v/>
      </c>
      <c r="G814" s="29">
        <f>VLOOKUP(A814,Calendar!$A$1:$H$9997,6,FALSE)-F814</f>
        <v/>
      </c>
      <c r="H814" s="19" t="n">
        <v>3</v>
      </c>
      <c r="I814" s="57" t="n">
        <v>3</v>
      </c>
    </row>
    <row r="815">
      <c r="A815" s="62" t="n">
        <v>46926</v>
      </c>
      <c r="B815" s="3" t="inlineStr">
        <is>
          <t>Week</t>
        </is>
      </c>
      <c r="C815" s="19" t="n">
        <v>6</v>
      </c>
      <c r="D815" s="19" t="n">
        <v>2028</v>
      </c>
      <c r="E815" s="57" t="n">
        <v>1</v>
      </c>
      <c r="F815" s="29">
        <f>ROUND(((SUMIFS(Calendar!$F$2:$F$9997,Calendar!$B$2:$B$9997,D815,Calendar!$C$2:$C$9997,C815)*INDEX(ForeCalc!$B$37:$Y$274,MATCH(_xlfn.CONCAT(H815," ",I815),ForeCalc!$A$37:$A$274,0),MATCH(_xlfn.CONCAT(B815," ",E815),ForeCalc!$B$36:$Y$36,0))))*VLOOKUP(A815,Calendar!$A$2:$H$9997,8,FALSE),0)</f>
        <v/>
      </c>
      <c r="G815" s="29">
        <f>VLOOKUP(A815,Calendar!$A$1:$H$9997,6,FALSE)-F815</f>
        <v/>
      </c>
      <c r="H815" s="19" t="n">
        <v>3</v>
      </c>
      <c r="I815" s="57" t="n">
        <v>3</v>
      </c>
    </row>
    <row r="816">
      <c r="A816" s="62" t="n">
        <v>46927</v>
      </c>
      <c r="B816" s="3" t="inlineStr">
        <is>
          <t>Week</t>
        </is>
      </c>
      <c r="C816" s="19" t="n">
        <v>6</v>
      </c>
      <c r="D816" s="19" t="n">
        <v>2028</v>
      </c>
      <c r="E816" s="57" t="n">
        <v>1</v>
      </c>
      <c r="F816" s="29">
        <f>ROUND(((SUMIFS(Calendar!$F$2:$F$9997,Calendar!$B$2:$B$9997,D816,Calendar!$C$2:$C$9997,C816)*INDEX(ForeCalc!$B$37:$Y$274,MATCH(_xlfn.CONCAT(H816," ",I816),ForeCalc!$A$37:$A$274,0),MATCH(_xlfn.CONCAT(B816," ",E816),ForeCalc!$B$36:$Y$36,0))))*VLOOKUP(A816,Calendar!$A$2:$H$9997,8,FALSE),0)</f>
        <v/>
      </c>
      <c r="G816" s="29">
        <f>VLOOKUP(A816,Calendar!$A$1:$H$9997,6,FALSE)-F816</f>
        <v/>
      </c>
      <c r="H816" s="19" t="n">
        <v>3</v>
      </c>
      <c r="I816" s="57" t="n">
        <v>3</v>
      </c>
    </row>
    <row r="817">
      <c r="A817" s="62" t="n">
        <v>46928</v>
      </c>
      <c r="B817" s="3" t="inlineStr">
        <is>
          <t>Sat</t>
        </is>
      </c>
      <c r="C817" s="19" t="n">
        <v>6</v>
      </c>
      <c r="D817" s="19" t="n">
        <v>2028</v>
      </c>
      <c r="E817" s="57" t="n">
        <v>1</v>
      </c>
      <c r="F817" s="29">
        <f>ROUND(((SUMIFS(Calendar!$F$2:$F$9997,Calendar!$B$2:$B$9997,D817,Calendar!$C$2:$C$9997,C817)*INDEX(ForeCalc!$B$37:$Y$274,MATCH(_xlfn.CONCAT(H817," ",I817),ForeCalc!$A$37:$A$274,0),MATCH(_xlfn.CONCAT(B817," ",E817),ForeCalc!$B$36:$Y$36,0))))*VLOOKUP(A817,Calendar!$A$2:$H$9997,8,FALSE),0)</f>
        <v/>
      </c>
      <c r="G817" s="29">
        <f>VLOOKUP(A817,Calendar!$A$1:$H$9997,6,FALSE)-F817</f>
        <v/>
      </c>
      <c r="H817" s="19" t="n">
        <v>3</v>
      </c>
      <c r="I817" s="57" t="n">
        <v>3</v>
      </c>
    </row>
    <row r="818">
      <c r="A818" s="62" t="n">
        <v>46929</v>
      </c>
      <c r="B818" s="3" t="inlineStr">
        <is>
          <t>Sun</t>
        </is>
      </c>
      <c r="C818" s="19" t="n">
        <v>6</v>
      </c>
      <c r="D818" s="19" t="n">
        <v>2028</v>
      </c>
      <c r="E818" s="57" t="n">
        <v>1</v>
      </c>
      <c r="F818" s="29">
        <f>ROUND(((SUMIFS(Calendar!$F$2:$F$9997,Calendar!$B$2:$B$9997,D818,Calendar!$C$2:$C$9997,C818)*INDEX(ForeCalc!$B$37:$Y$274,MATCH(_xlfn.CONCAT(H818," ",I818),ForeCalc!$A$37:$A$274,0),MATCH(_xlfn.CONCAT(B818," ",E818),ForeCalc!$B$36:$Y$36,0))))*VLOOKUP(A818,Calendar!$A$2:$H$9997,8,FALSE),0)</f>
        <v/>
      </c>
      <c r="G818" s="29">
        <f>VLOOKUP(A818,Calendar!$A$1:$H$9997,6,FALSE)-F818</f>
        <v/>
      </c>
      <c r="H818" s="19" t="n">
        <v>3</v>
      </c>
      <c r="I818" s="57" t="n">
        <v>3</v>
      </c>
    </row>
    <row r="819">
      <c r="A819" s="62" t="n">
        <v>46930</v>
      </c>
      <c r="B819" s="3" t="inlineStr">
        <is>
          <t>Week</t>
        </is>
      </c>
      <c r="C819" s="19" t="n">
        <v>6</v>
      </c>
      <c r="D819" s="19" t="n">
        <v>2028</v>
      </c>
      <c r="E819" s="57" t="n">
        <v>1</v>
      </c>
      <c r="F819" s="29">
        <f>ROUND(((SUMIFS(Calendar!$F$2:$F$9997,Calendar!$B$2:$B$9997,D819,Calendar!$C$2:$C$9997,C819)*INDEX(ForeCalc!$B$37:$Y$274,MATCH(_xlfn.CONCAT(H819," ",I819),ForeCalc!$A$37:$A$274,0),MATCH(_xlfn.CONCAT(B819," ",E819),ForeCalc!$B$36:$Y$36,0))))*VLOOKUP(A819,Calendar!$A$2:$H$9997,8,FALSE),0)</f>
        <v/>
      </c>
      <c r="G819" s="29">
        <f>VLOOKUP(A819,Calendar!$A$1:$H$9997,6,FALSE)-F819</f>
        <v/>
      </c>
      <c r="H819" s="19" t="n">
        <v>3</v>
      </c>
      <c r="I819" s="57" t="n">
        <v>3</v>
      </c>
    </row>
    <row r="820">
      <c r="A820" s="62" t="n">
        <v>46931</v>
      </c>
      <c r="B820" s="3" t="inlineStr">
        <is>
          <t>Week</t>
        </is>
      </c>
      <c r="C820" s="19" t="n">
        <v>6</v>
      </c>
      <c r="D820" s="19" t="n">
        <v>2028</v>
      </c>
      <c r="E820" s="57" t="n">
        <v>1</v>
      </c>
      <c r="F820" s="29">
        <f>ROUND(((SUMIFS(Calendar!$F$2:$F$9997,Calendar!$B$2:$B$9997,D820,Calendar!$C$2:$C$9997,C820)*INDEX(ForeCalc!$B$37:$Y$274,MATCH(_xlfn.CONCAT(H820," ",I820),ForeCalc!$A$37:$A$274,0),MATCH(_xlfn.CONCAT(B820," ",E820),ForeCalc!$B$36:$Y$36,0))))*VLOOKUP(A820,Calendar!$A$2:$H$9997,8,FALSE),0)</f>
        <v/>
      </c>
      <c r="G820" s="29">
        <f>VLOOKUP(A820,Calendar!$A$1:$H$9997,6,FALSE)-F820</f>
        <v/>
      </c>
      <c r="H820" s="19" t="n">
        <v>3</v>
      </c>
      <c r="I820" s="57" t="n">
        <v>3</v>
      </c>
    </row>
    <row r="821">
      <c r="A821" s="62" t="n">
        <v>46932</v>
      </c>
      <c r="B821" s="3" t="inlineStr">
        <is>
          <t>Week</t>
        </is>
      </c>
      <c r="C821" s="19" t="n">
        <v>6</v>
      </c>
      <c r="D821" s="19" t="n">
        <v>2028</v>
      </c>
      <c r="E821" s="57" t="n">
        <v>1</v>
      </c>
      <c r="F821" s="29">
        <f>ROUND(((SUMIFS(Calendar!$F$2:$F$9997,Calendar!$B$2:$B$9997,D821,Calendar!$C$2:$C$9997,C821)*INDEX(ForeCalc!$B$37:$Y$274,MATCH(_xlfn.CONCAT(H821," ",I821),ForeCalc!$A$37:$A$274,0),MATCH(_xlfn.CONCAT(B821," ",E821),ForeCalc!$B$36:$Y$36,0))))*VLOOKUP(A821,Calendar!$A$2:$H$9997,8,FALSE),0)</f>
        <v/>
      </c>
      <c r="G821" s="29">
        <f>VLOOKUP(A821,Calendar!$A$1:$H$9997,6,FALSE)-F821</f>
        <v/>
      </c>
      <c r="H821" s="19" t="n">
        <v>3</v>
      </c>
      <c r="I821" s="57" t="n">
        <v>3</v>
      </c>
    </row>
    <row r="822">
      <c r="A822" s="62" t="n">
        <v>46933</v>
      </c>
      <c r="B822" s="3" t="inlineStr">
        <is>
          <t>Week</t>
        </is>
      </c>
      <c r="C822" s="19" t="n">
        <v>6</v>
      </c>
      <c r="D822" s="19" t="n">
        <v>2028</v>
      </c>
      <c r="E822" s="57" t="n">
        <v>1</v>
      </c>
      <c r="F822" s="29">
        <f>ROUND(((SUMIFS(Calendar!$F$2:$F$9997,Calendar!$B$2:$B$9997,D822,Calendar!$C$2:$C$9997,C822)*INDEX(ForeCalc!$B$37:$Y$274,MATCH(_xlfn.CONCAT(H822," ",I822),ForeCalc!$A$37:$A$274,0),MATCH(_xlfn.CONCAT(B822," ",E822),ForeCalc!$B$36:$Y$36,0))))*VLOOKUP(A822,Calendar!$A$2:$H$9997,8,FALSE),0)</f>
        <v/>
      </c>
      <c r="G822" s="29">
        <f>VLOOKUP(A822,Calendar!$A$1:$H$9997,6,FALSE)-F822</f>
        <v/>
      </c>
      <c r="H822" s="19" t="n">
        <v>3</v>
      </c>
      <c r="I822" s="57" t="n">
        <v>3</v>
      </c>
    </row>
    <row r="823">
      <c r="A823" s="62" t="n">
        <v>46934</v>
      </c>
      <c r="B823" s="3" t="inlineStr">
        <is>
          <t>Week</t>
        </is>
      </c>
      <c r="C823" s="19" t="n">
        <v>6</v>
      </c>
      <c r="D823" s="19" t="n">
        <v>2028</v>
      </c>
      <c r="E823" s="57" t="n">
        <v>1</v>
      </c>
      <c r="F823" s="29">
        <f>ROUND(((SUMIFS(Calendar!$F$2:$F$9997,Calendar!$B$2:$B$9997,D823,Calendar!$C$2:$C$9997,C823)*INDEX(ForeCalc!$B$37:$Y$274,MATCH(_xlfn.CONCAT(H823," ",I823),ForeCalc!$A$37:$A$274,0),MATCH(_xlfn.CONCAT(B823," ",E823),ForeCalc!$B$36:$Y$36,0))))*VLOOKUP(A823,Calendar!$A$2:$H$9997,8,FALSE),0)</f>
        <v/>
      </c>
      <c r="G823" s="29">
        <f>VLOOKUP(A823,Calendar!$A$1:$H$9997,6,FALSE)-F823</f>
        <v/>
      </c>
      <c r="H823" s="19" t="n">
        <v>3</v>
      </c>
      <c r="I823" s="57" t="n">
        <v>3</v>
      </c>
    </row>
    <row r="824">
      <c r="A824" s="62" t="n">
        <v>46935</v>
      </c>
      <c r="B824" s="3" t="inlineStr">
        <is>
          <t>Sat</t>
        </is>
      </c>
      <c r="C824" s="19" t="n">
        <v>7</v>
      </c>
      <c r="D824" s="19" t="n">
        <v>2028</v>
      </c>
      <c r="E824" s="57" t="n">
        <v>1</v>
      </c>
      <c r="F824" s="29">
        <f>ROUND(((SUMIFS(Calendar!$F$2:$F$9997,Calendar!$B$2:$B$9997,D824,Calendar!$C$2:$C$9997,C824)*INDEX(ForeCalc!$B$37:$Y$274,MATCH(_xlfn.CONCAT(H824," ",I824),ForeCalc!$A$37:$A$274,0),MATCH(_xlfn.CONCAT(B824," ",E824),ForeCalc!$B$36:$Y$36,0))))*VLOOKUP(A824,Calendar!$A$2:$H$9997,8,FALSE),0)</f>
        <v/>
      </c>
      <c r="G824" s="29">
        <f>VLOOKUP(A824,Calendar!$A$1:$H$9997,6,FALSE)-F824</f>
        <v/>
      </c>
      <c r="H824" s="19" t="n">
        <v>3</v>
      </c>
      <c r="I824" s="57" t="n">
        <v>4</v>
      </c>
    </row>
    <row r="825">
      <c r="A825" s="62" t="n">
        <v>46936</v>
      </c>
      <c r="B825" s="3" t="inlineStr">
        <is>
          <t>Sun</t>
        </is>
      </c>
      <c r="C825" s="19" t="n">
        <v>7</v>
      </c>
      <c r="D825" s="19" t="n">
        <v>2028</v>
      </c>
      <c r="E825" s="57" t="n">
        <v>1</v>
      </c>
      <c r="F825" s="29">
        <f>ROUND(((SUMIFS(Calendar!$F$2:$F$9997,Calendar!$B$2:$B$9997,D825,Calendar!$C$2:$C$9997,C825)*INDEX(ForeCalc!$B$37:$Y$274,MATCH(_xlfn.CONCAT(H825," ",I825),ForeCalc!$A$37:$A$274,0),MATCH(_xlfn.CONCAT(B825," ",E825),ForeCalc!$B$36:$Y$36,0))))*VLOOKUP(A825,Calendar!$A$2:$H$9997,8,FALSE),0)</f>
        <v/>
      </c>
      <c r="G825" s="29">
        <f>VLOOKUP(A825,Calendar!$A$1:$H$9997,6,FALSE)-F825</f>
        <v/>
      </c>
      <c r="H825" s="19" t="n">
        <v>3</v>
      </c>
      <c r="I825" s="57" t="n">
        <v>4</v>
      </c>
    </row>
    <row r="826">
      <c r="A826" s="62" t="n">
        <v>46937</v>
      </c>
      <c r="B826" s="3" t="inlineStr">
        <is>
          <t>Week</t>
        </is>
      </c>
      <c r="C826" s="19" t="n">
        <v>7</v>
      </c>
      <c r="D826" s="19" t="n">
        <v>2028</v>
      </c>
      <c r="E826" s="57" t="n">
        <v>1</v>
      </c>
      <c r="F826" s="29">
        <f>ROUND(((SUMIFS(Calendar!$F$2:$F$9997,Calendar!$B$2:$B$9997,D826,Calendar!$C$2:$C$9997,C826)*INDEX(ForeCalc!$B$37:$Y$274,MATCH(_xlfn.CONCAT(H826," ",I826),ForeCalc!$A$37:$A$274,0),MATCH(_xlfn.CONCAT(B826," ",E826),ForeCalc!$B$36:$Y$36,0))))*VLOOKUP(A826,Calendar!$A$2:$H$9997,8,FALSE),0)</f>
        <v/>
      </c>
      <c r="G826" s="29">
        <f>VLOOKUP(A826,Calendar!$A$1:$H$9997,6,FALSE)-F826</f>
        <v/>
      </c>
      <c r="H826" s="19" t="n">
        <v>3</v>
      </c>
      <c r="I826" s="57" t="n">
        <v>4</v>
      </c>
    </row>
    <row r="827">
      <c r="A827" s="62" t="n">
        <v>46938</v>
      </c>
      <c r="B827" s="3" t="inlineStr">
        <is>
          <t>Week</t>
        </is>
      </c>
      <c r="C827" s="19" t="n">
        <v>7</v>
      </c>
      <c r="D827" s="19" t="n">
        <v>2028</v>
      </c>
      <c r="E827" s="57" t="n">
        <v>1</v>
      </c>
      <c r="F827" s="29">
        <f>ROUND(((SUMIFS(Calendar!$F$2:$F$9997,Calendar!$B$2:$B$9997,D827,Calendar!$C$2:$C$9997,C827)*INDEX(ForeCalc!$B$37:$Y$274,MATCH(_xlfn.CONCAT(H827," ",I827),ForeCalc!$A$37:$A$274,0),MATCH(_xlfn.CONCAT(B827," ",E827),ForeCalc!$B$36:$Y$36,0))))*VLOOKUP(A827,Calendar!$A$2:$H$9997,8,FALSE),0)</f>
        <v/>
      </c>
      <c r="G827" s="29">
        <f>VLOOKUP(A827,Calendar!$A$1:$H$9997,6,FALSE)-F827</f>
        <v/>
      </c>
      <c r="H827" s="19" t="n">
        <v>3</v>
      </c>
      <c r="I827" s="57" t="n">
        <v>4</v>
      </c>
    </row>
    <row r="828">
      <c r="A828" s="62" t="n">
        <v>46939</v>
      </c>
      <c r="B828" s="3" t="inlineStr">
        <is>
          <t>Week</t>
        </is>
      </c>
      <c r="C828" s="19" t="n">
        <v>7</v>
      </c>
      <c r="D828" s="19" t="n">
        <v>2028</v>
      </c>
      <c r="E828" s="57" t="n">
        <v>1</v>
      </c>
      <c r="F828" s="29">
        <f>ROUND(((SUMIFS(Calendar!$F$2:$F$9997,Calendar!$B$2:$B$9997,D828,Calendar!$C$2:$C$9997,C828)*INDEX(ForeCalc!$B$37:$Y$274,MATCH(_xlfn.CONCAT(H828," ",I828),ForeCalc!$A$37:$A$274,0),MATCH(_xlfn.CONCAT(B828," ",E828),ForeCalc!$B$36:$Y$36,0))))*VLOOKUP(A828,Calendar!$A$2:$H$9997,8,FALSE),0)</f>
        <v/>
      </c>
      <c r="G828" s="29">
        <f>VLOOKUP(A828,Calendar!$A$1:$H$9997,6,FALSE)-F828</f>
        <v/>
      </c>
      <c r="H828" s="19" t="n">
        <v>3</v>
      </c>
      <c r="I828" s="57" t="n">
        <v>4</v>
      </c>
    </row>
    <row r="829">
      <c r="A829" s="62" t="n">
        <v>46940</v>
      </c>
      <c r="B829" s="3" t="inlineStr">
        <is>
          <t>Week</t>
        </is>
      </c>
      <c r="C829" s="19" t="n">
        <v>7</v>
      </c>
      <c r="D829" s="19" t="n">
        <v>2028</v>
      </c>
      <c r="E829" s="57" t="n">
        <v>1</v>
      </c>
      <c r="F829" s="29">
        <f>ROUND(((SUMIFS(Calendar!$F$2:$F$9997,Calendar!$B$2:$B$9997,D829,Calendar!$C$2:$C$9997,C829)*INDEX(ForeCalc!$B$37:$Y$274,MATCH(_xlfn.CONCAT(H829," ",I829),ForeCalc!$A$37:$A$274,0),MATCH(_xlfn.CONCAT(B829," ",E829),ForeCalc!$B$36:$Y$36,0))))*VLOOKUP(A829,Calendar!$A$2:$H$9997,8,FALSE),0)</f>
        <v/>
      </c>
      <c r="G829" s="29">
        <f>VLOOKUP(A829,Calendar!$A$1:$H$9997,6,FALSE)-F829</f>
        <v/>
      </c>
      <c r="H829" s="19" t="n">
        <v>3</v>
      </c>
      <c r="I829" s="57" t="n">
        <v>4</v>
      </c>
    </row>
    <row r="830">
      <c r="A830" s="62" t="n">
        <v>46941</v>
      </c>
      <c r="B830" s="3" t="inlineStr">
        <is>
          <t>Week</t>
        </is>
      </c>
      <c r="C830" s="19" t="n">
        <v>7</v>
      </c>
      <c r="D830" s="19" t="n">
        <v>2028</v>
      </c>
      <c r="E830" s="57" t="n">
        <v>1</v>
      </c>
      <c r="F830" s="29">
        <f>ROUND(((SUMIFS(Calendar!$F$2:$F$9997,Calendar!$B$2:$B$9997,D830,Calendar!$C$2:$C$9997,C830)*INDEX(ForeCalc!$B$37:$Y$274,MATCH(_xlfn.CONCAT(H830," ",I830),ForeCalc!$A$37:$A$274,0),MATCH(_xlfn.CONCAT(B830," ",E830),ForeCalc!$B$36:$Y$36,0))))*VLOOKUP(A830,Calendar!$A$2:$H$9997,8,FALSE),0)</f>
        <v/>
      </c>
      <c r="G830" s="29">
        <f>VLOOKUP(A830,Calendar!$A$1:$H$9997,6,FALSE)-F830</f>
        <v/>
      </c>
      <c r="H830" s="19" t="n">
        <v>3</v>
      </c>
      <c r="I830" s="57" t="n">
        <v>4</v>
      </c>
    </row>
    <row r="831">
      <c r="A831" s="62" t="n">
        <v>46942</v>
      </c>
      <c r="B831" s="3" t="inlineStr">
        <is>
          <t>Sat</t>
        </is>
      </c>
      <c r="C831" s="19" t="n">
        <v>7</v>
      </c>
      <c r="D831" s="19" t="n">
        <v>2028</v>
      </c>
      <c r="E831" s="57" t="n">
        <v>1</v>
      </c>
      <c r="F831" s="29">
        <f>ROUND(((SUMIFS(Calendar!$F$2:$F$9997,Calendar!$B$2:$B$9997,D831,Calendar!$C$2:$C$9997,C831)*INDEX(ForeCalc!$B$37:$Y$274,MATCH(_xlfn.CONCAT(H831," ",I831),ForeCalc!$A$37:$A$274,0),MATCH(_xlfn.CONCAT(B831," ",E831),ForeCalc!$B$36:$Y$36,0))))*VLOOKUP(A831,Calendar!$A$2:$H$9997,8,FALSE),0)</f>
        <v/>
      </c>
      <c r="G831" s="29">
        <f>VLOOKUP(A831,Calendar!$A$1:$H$9997,6,FALSE)-F831</f>
        <v/>
      </c>
      <c r="H831" s="19" t="n">
        <v>3</v>
      </c>
      <c r="I831" s="57" t="n">
        <v>4</v>
      </c>
    </row>
    <row r="832">
      <c r="A832" s="62" t="n">
        <v>46943</v>
      </c>
      <c r="B832" s="3" t="inlineStr">
        <is>
          <t>Sun</t>
        </is>
      </c>
      <c r="C832" s="19" t="n">
        <v>7</v>
      </c>
      <c r="D832" s="19" t="n">
        <v>2028</v>
      </c>
      <c r="E832" s="57" t="n">
        <v>1</v>
      </c>
      <c r="F832" s="29">
        <f>ROUND(((SUMIFS(Calendar!$F$2:$F$9997,Calendar!$B$2:$B$9997,D832,Calendar!$C$2:$C$9997,C832)*INDEX(ForeCalc!$B$37:$Y$274,MATCH(_xlfn.CONCAT(H832," ",I832),ForeCalc!$A$37:$A$274,0),MATCH(_xlfn.CONCAT(B832," ",E832),ForeCalc!$B$36:$Y$36,0))))*VLOOKUP(A832,Calendar!$A$2:$H$9997,8,FALSE),0)</f>
        <v/>
      </c>
      <c r="G832" s="29">
        <f>VLOOKUP(A832,Calendar!$A$1:$H$9997,6,FALSE)-F832</f>
        <v/>
      </c>
      <c r="H832" s="19" t="n">
        <v>3</v>
      </c>
      <c r="I832" s="57" t="n">
        <v>4</v>
      </c>
    </row>
    <row r="833">
      <c r="A833" s="62" t="n">
        <v>46944</v>
      </c>
      <c r="B833" s="3" t="inlineStr">
        <is>
          <t>Week</t>
        </is>
      </c>
      <c r="C833" s="19" t="n">
        <v>7</v>
      </c>
      <c r="D833" s="19" t="n">
        <v>2028</v>
      </c>
      <c r="E833" s="57" t="n">
        <v>1</v>
      </c>
      <c r="F833" s="29">
        <f>ROUND(((SUMIFS(Calendar!$F$2:$F$9997,Calendar!$B$2:$B$9997,D833,Calendar!$C$2:$C$9997,C833)*INDEX(ForeCalc!$B$37:$Y$274,MATCH(_xlfn.CONCAT(H833," ",I833),ForeCalc!$A$37:$A$274,0),MATCH(_xlfn.CONCAT(B833," ",E833),ForeCalc!$B$36:$Y$36,0))))*VLOOKUP(A833,Calendar!$A$2:$H$9997,8,FALSE),0)</f>
        <v/>
      </c>
      <c r="G833" s="29">
        <f>VLOOKUP(A833,Calendar!$A$1:$H$9997,6,FALSE)-F833</f>
        <v/>
      </c>
      <c r="H833" s="19" t="n">
        <v>3</v>
      </c>
      <c r="I833" s="57" t="n">
        <v>4</v>
      </c>
    </row>
    <row r="834">
      <c r="A834" s="62" t="n">
        <v>46945</v>
      </c>
      <c r="B834" s="3" t="inlineStr">
        <is>
          <t>Week</t>
        </is>
      </c>
      <c r="C834" s="19" t="n">
        <v>7</v>
      </c>
      <c r="D834" s="19" t="n">
        <v>2028</v>
      </c>
      <c r="E834" s="57" t="n">
        <v>1</v>
      </c>
      <c r="F834" s="29">
        <f>ROUND(((SUMIFS(Calendar!$F$2:$F$9997,Calendar!$B$2:$B$9997,D834,Calendar!$C$2:$C$9997,C834)*INDEX(ForeCalc!$B$37:$Y$274,MATCH(_xlfn.CONCAT(H834," ",I834),ForeCalc!$A$37:$A$274,0),MATCH(_xlfn.CONCAT(B834," ",E834),ForeCalc!$B$36:$Y$36,0))))*VLOOKUP(A834,Calendar!$A$2:$H$9997,8,FALSE),0)</f>
        <v/>
      </c>
      <c r="G834" s="29">
        <f>VLOOKUP(A834,Calendar!$A$1:$H$9997,6,FALSE)-F834</f>
        <v/>
      </c>
      <c r="H834" s="19" t="n">
        <v>3</v>
      </c>
      <c r="I834" s="57" t="n">
        <v>4</v>
      </c>
    </row>
    <row r="835">
      <c r="A835" s="62" t="n">
        <v>46946</v>
      </c>
      <c r="B835" s="3" t="inlineStr">
        <is>
          <t>Week</t>
        </is>
      </c>
      <c r="C835" s="19" t="n">
        <v>7</v>
      </c>
      <c r="D835" s="19" t="n">
        <v>2028</v>
      </c>
      <c r="E835" s="57" t="n">
        <v>1</v>
      </c>
      <c r="F835" s="29">
        <f>ROUND(((SUMIFS(Calendar!$F$2:$F$9997,Calendar!$B$2:$B$9997,D835,Calendar!$C$2:$C$9997,C835)*INDEX(ForeCalc!$B$37:$Y$274,MATCH(_xlfn.CONCAT(H835," ",I835),ForeCalc!$A$37:$A$274,0),MATCH(_xlfn.CONCAT(B835," ",E835),ForeCalc!$B$36:$Y$36,0))))*VLOOKUP(A835,Calendar!$A$2:$H$9997,8,FALSE),0)</f>
        <v/>
      </c>
      <c r="G835" s="29">
        <f>VLOOKUP(A835,Calendar!$A$1:$H$9997,6,FALSE)-F835</f>
        <v/>
      </c>
      <c r="H835" s="19" t="n">
        <v>3</v>
      </c>
      <c r="I835" s="57" t="n">
        <v>4</v>
      </c>
    </row>
    <row r="836">
      <c r="A836" s="62" t="n">
        <v>46947</v>
      </c>
      <c r="B836" s="3" t="inlineStr">
        <is>
          <t>Week</t>
        </is>
      </c>
      <c r="C836" s="19" t="n">
        <v>7</v>
      </c>
      <c r="D836" s="19" t="n">
        <v>2028</v>
      </c>
      <c r="E836" s="57" t="n">
        <v>1</v>
      </c>
      <c r="F836" s="29">
        <f>ROUND(((SUMIFS(Calendar!$F$2:$F$9997,Calendar!$B$2:$B$9997,D836,Calendar!$C$2:$C$9997,C836)*INDEX(ForeCalc!$B$37:$Y$274,MATCH(_xlfn.CONCAT(H836," ",I836),ForeCalc!$A$37:$A$274,0),MATCH(_xlfn.CONCAT(B836," ",E836),ForeCalc!$B$36:$Y$36,0))))*VLOOKUP(A836,Calendar!$A$2:$H$9997,8,FALSE),0)</f>
        <v/>
      </c>
      <c r="G836" s="29">
        <f>VLOOKUP(A836,Calendar!$A$1:$H$9997,6,FALSE)-F836</f>
        <v/>
      </c>
      <c r="H836" s="19" t="n">
        <v>3</v>
      </c>
      <c r="I836" s="57" t="n">
        <v>4</v>
      </c>
    </row>
    <row r="837">
      <c r="A837" s="62" t="n">
        <v>46948</v>
      </c>
      <c r="B837" s="3" t="inlineStr">
        <is>
          <t>Week</t>
        </is>
      </c>
      <c r="C837" s="19" t="n">
        <v>7</v>
      </c>
      <c r="D837" s="19" t="n">
        <v>2028</v>
      </c>
      <c r="E837" s="57" t="n">
        <v>1</v>
      </c>
      <c r="F837" s="29">
        <f>ROUND(((SUMIFS(Calendar!$F$2:$F$9997,Calendar!$B$2:$B$9997,D837,Calendar!$C$2:$C$9997,C837)*INDEX(ForeCalc!$B$37:$Y$274,MATCH(_xlfn.CONCAT(H837," ",I837),ForeCalc!$A$37:$A$274,0),MATCH(_xlfn.CONCAT(B837," ",E837),ForeCalc!$B$36:$Y$36,0))))*VLOOKUP(A837,Calendar!$A$2:$H$9997,8,FALSE),0)</f>
        <v/>
      </c>
      <c r="G837" s="29">
        <f>VLOOKUP(A837,Calendar!$A$1:$H$9997,6,FALSE)-F837</f>
        <v/>
      </c>
      <c r="H837" s="19" t="n">
        <v>3</v>
      </c>
      <c r="I837" s="57" t="n">
        <v>4</v>
      </c>
    </row>
    <row r="838">
      <c r="A838" s="62" t="n">
        <v>46949</v>
      </c>
      <c r="B838" s="3" t="inlineStr">
        <is>
          <t>Sat</t>
        </is>
      </c>
      <c r="C838" s="19" t="n">
        <v>7</v>
      </c>
      <c r="D838" s="19" t="n">
        <v>2028</v>
      </c>
      <c r="E838" s="57" t="n">
        <v>1</v>
      </c>
      <c r="F838" s="29">
        <f>ROUND(((SUMIFS(Calendar!$F$2:$F$9997,Calendar!$B$2:$B$9997,D838,Calendar!$C$2:$C$9997,C838)*INDEX(ForeCalc!$B$37:$Y$274,MATCH(_xlfn.CONCAT(H838," ",I838),ForeCalc!$A$37:$A$274,0),MATCH(_xlfn.CONCAT(B838," ",E838),ForeCalc!$B$36:$Y$36,0))))*VLOOKUP(A838,Calendar!$A$2:$H$9997,8,FALSE),0)</f>
        <v/>
      </c>
      <c r="G838" s="29">
        <f>VLOOKUP(A838,Calendar!$A$1:$H$9997,6,FALSE)-F838</f>
        <v/>
      </c>
      <c r="H838" s="19" t="n">
        <v>3</v>
      </c>
      <c r="I838" s="57" t="n">
        <v>4</v>
      </c>
    </row>
    <row r="839">
      <c r="A839" s="62" t="n">
        <v>46950</v>
      </c>
      <c r="B839" s="3" t="inlineStr">
        <is>
          <t>Sun</t>
        </is>
      </c>
      <c r="C839" s="19" t="n">
        <v>7</v>
      </c>
      <c r="D839" s="19" t="n">
        <v>2028</v>
      </c>
      <c r="E839" s="57" t="n">
        <v>1</v>
      </c>
      <c r="F839" s="29">
        <f>ROUND(((SUMIFS(Calendar!$F$2:$F$9997,Calendar!$B$2:$B$9997,D839,Calendar!$C$2:$C$9997,C839)*INDEX(ForeCalc!$B$37:$Y$274,MATCH(_xlfn.CONCAT(H839," ",I839),ForeCalc!$A$37:$A$274,0),MATCH(_xlfn.CONCAT(B839," ",E839),ForeCalc!$B$36:$Y$36,0))))*VLOOKUP(A839,Calendar!$A$2:$H$9997,8,FALSE),0)</f>
        <v/>
      </c>
      <c r="G839" s="29">
        <f>VLOOKUP(A839,Calendar!$A$1:$H$9997,6,FALSE)-F839</f>
        <v/>
      </c>
      <c r="H839" s="19" t="n">
        <v>3</v>
      </c>
      <c r="I839" s="57" t="n">
        <v>4</v>
      </c>
    </row>
    <row r="840">
      <c r="A840" s="62" t="n">
        <v>46951</v>
      </c>
      <c r="B840" s="3" t="inlineStr">
        <is>
          <t>Week</t>
        </is>
      </c>
      <c r="C840" s="19" t="n">
        <v>7</v>
      </c>
      <c r="D840" s="19" t="n">
        <v>2028</v>
      </c>
      <c r="E840" s="57" t="n">
        <v>1</v>
      </c>
      <c r="F840" s="29">
        <f>ROUND(((SUMIFS(Calendar!$F$2:$F$9997,Calendar!$B$2:$B$9997,D840,Calendar!$C$2:$C$9997,C840)*INDEX(ForeCalc!$B$37:$Y$274,MATCH(_xlfn.CONCAT(H840," ",I840),ForeCalc!$A$37:$A$274,0),MATCH(_xlfn.CONCAT(B840," ",E840),ForeCalc!$B$36:$Y$36,0))))*VLOOKUP(A840,Calendar!$A$2:$H$9997,8,FALSE),0)</f>
        <v/>
      </c>
      <c r="G840" s="29">
        <f>VLOOKUP(A840,Calendar!$A$1:$H$9997,6,FALSE)-F840</f>
        <v/>
      </c>
      <c r="H840" s="19" t="n">
        <v>3</v>
      </c>
      <c r="I840" s="57" t="n">
        <v>4</v>
      </c>
    </row>
    <row r="841">
      <c r="A841" s="62" t="n">
        <v>46952</v>
      </c>
      <c r="B841" s="3" t="inlineStr">
        <is>
          <t>Week</t>
        </is>
      </c>
      <c r="C841" s="19" t="n">
        <v>7</v>
      </c>
      <c r="D841" s="19" t="n">
        <v>2028</v>
      </c>
      <c r="E841" s="57" t="n">
        <v>1</v>
      </c>
      <c r="F841" s="29">
        <f>ROUND(((SUMIFS(Calendar!$F$2:$F$9997,Calendar!$B$2:$B$9997,D841,Calendar!$C$2:$C$9997,C841)*INDEX(ForeCalc!$B$37:$Y$274,MATCH(_xlfn.CONCAT(H841," ",I841),ForeCalc!$A$37:$A$274,0),MATCH(_xlfn.CONCAT(B841," ",E841),ForeCalc!$B$36:$Y$36,0))))*VLOOKUP(A841,Calendar!$A$2:$H$9997,8,FALSE),0)</f>
        <v/>
      </c>
      <c r="G841" s="29">
        <f>VLOOKUP(A841,Calendar!$A$1:$H$9997,6,FALSE)-F841</f>
        <v/>
      </c>
      <c r="H841" s="19" t="n">
        <v>3</v>
      </c>
      <c r="I841" s="57" t="n">
        <v>4</v>
      </c>
    </row>
    <row r="842">
      <c r="A842" s="62" t="n">
        <v>46953</v>
      </c>
      <c r="B842" s="3" t="inlineStr">
        <is>
          <t>Week</t>
        </is>
      </c>
      <c r="C842" s="19" t="n">
        <v>7</v>
      </c>
      <c r="D842" s="19" t="n">
        <v>2028</v>
      </c>
      <c r="E842" s="57" t="n">
        <v>1</v>
      </c>
      <c r="F842" s="29">
        <f>ROUND(((SUMIFS(Calendar!$F$2:$F$9997,Calendar!$B$2:$B$9997,D842,Calendar!$C$2:$C$9997,C842)*INDEX(ForeCalc!$B$37:$Y$274,MATCH(_xlfn.CONCAT(H842," ",I842),ForeCalc!$A$37:$A$274,0),MATCH(_xlfn.CONCAT(B842," ",E842),ForeCalc!$B$36:$Y$36,0))))*VLOOKUP(A842,Calendar!$A$2:$H$9997,8,FALSE),0)</f>
        <v/>
      </c>
      <c r="G842" s="29">
        <f>VLOOKUP(A842,Calendar!$A$1:$H$9997,6,FALSE)-F842</f>
        <v/>
      </c>
      <c r="H842" s="19" t="n">
        <v>3</v>
      </c>
      <c r="I842" s="57" t="n">
        <v>4</v>
      </c>
    </row>
    <row r="843">
      <c r="A843" s="62" t="n">
        <v>46954</v>
      </c>
      <c r="B843" s="3" t="inlineStr">
        <is>
          <t>Week</t>
        </is>
      </c>
      <c r="C843" s="19" t="n">
        <v>7</v>
      </c>
      <c r="D843" s="19" t="n">
        <v>2028</v>
      </c>
      <c r="E843" s="57" t="n">
        <v>1</v>
      </c>
      <c r="F843" s="29">
        <f>ROUND(((SUMIFS(Calendar!$F$2:$F$9997,Calendar!$B$2:$B$9997,D843,Calendar!$C$2:$C$9997,C843)*INDEX(ForeCalc!$B$37:$Y$274,MATCH(_xlfn.CONCAT(H843," ",I843),ForeCalc!$A$37:$A$274,0),MATCH(_xlfn.CONCAT(B843," ",E843),ForeCalc!$B$36:$Y$36,0))))*VLOOKUP(A843,Calendar!$A$2:$H$9997,8,FALSE),0)</f>
        <v/>
      </c>
      <c r="G843" s="29">
        <f>VLOOKUP(A843,Calendar!$A$1:$H$9997,6,FALSE)-F843</f>
        <v/>
      </c>
      <c r="H843" s="19" t="n">
        <v>3</v>
      </c>
      <c r="I843" s="57" t="n">
        <v>4</v>
      </c>
    </row>
    <row r="844">
      <c r="A844" s="62" t="n">
        <v>46955</v>
      </c>
      <c r="B844" s="3" t="inlineStr">
        <is>
          <t>Week</t>
        </is>
      </c>
      <c r="C844" s="19" t="n">
        <v>7</v>
      </c>
      <c r="D844" s="19" t="n">
        <v>2028</v>
      </c>
      <c r="E844" s="57" t="n">
        <v>1</v>
      </c>
      <c r="F844" s="29">
        <f>ROUND(((SUMIFS(Calendar!$F$2:$F$9997,Calendar!$B$2:$B$9997,D844,Calendar!$C$2:$C$9997,C844)*INDEX(ForeCalc!$B$37:$Y$274,MATCH(_xlfn.CONCAT(H844," ",I844),ForeCalc!$A$37:$A$274,0),MATCH(_xlfn.CONCAT(B844," ",E844),ForeCalc!$B$36:$Y$36,0))))*VLOOKUP(A844,Calendar!$A$2:$H$9997,8,FALSE),0)</f>
        <v/>
      </c>
      <c r="G844" s="29">
        <f>VLOOKUP(A844,Calendar!$A$1:$H$9997,6,FALSE)-F844</f>
        <v/>
      </c>
      <c r="H844" s="19" t="n">
        <v>3</v>
      </c>
      <c r="I844" s="57" t="n">
        <v>4</v>
      </c>
    </row>
    <row r="845">
      <c r="A845" s="62" t="n">
        <v>46956</v>
      </c>
      <c r="B845" s="3" t="inlineStr">
        <is>
          <t>Sat</t>
        </is>
      </c>
      <c r="C845" s="19" t="n">
        <v>7</v>
      </c>
      <c r="D845" s="19" t="n">
        <v>2028</v>
      </c>
      <c r="E845" s="57" t="n">
        <v>1</v>
      </c>
      <c r="F845" s="29">
        <f>ROUND(((SUMIFS(Calendar!$F$2:$F$9997,Calendar!$B$2:$B$9997,D845,Calendar!$C$2:$C$9997,C845)*INDEX(ForeCalc!$B$37:$Y$274,MATCH(_xlfn.CONCAT(H845," ",I845),ForeCalc!$A$37:$A$274,0),MATCH(_xlfn.CONCAT(B845," ",E845),ForeCalc!$B$36:$Y$36,0))))*VLOOKUP(A845,Calendar!$A$2:$H$9997,8,FALSE),0)</f>
        <v/>
      </c>
      <c r="G845" s="29">
        <f>VLOOKUP(A845,Calendar!$A$1:$H$9997,6,FALSE)-F845</f>
        <v/>
      </c>
      <c r="H845" s="19" t="n">
        <v>3</v>
      </c>
      <c r="I845" s="57" t="n">
        <v>4</v>
      </c>
    </row>
    <row r="846">
      <c r="A846" s="62" t="n">
        <v>46957</v>
      </c>
      <c r="B846" s="3" t="inlineStr">
        <is>
          <t>Sun</t>
        </is>
      </c>
      <c r="C846" s="19" t="n">
        <v>7</v>
      </c>
      <c r="D846" s="19" t="n">
        <v>2028</v>
      </c>
      <c r="E846" s="57" t="n">
        <v>1</v>
      </c>
      <c r="F846" s="29">
        <f>ROUND(((SUMIFS(Calendar!$F$2:$F$9997,Calendar!$B$2:$B$9997,D846,Calendar!$C$2:$C$9997,C846)*INDEX(ForeCalc!$B$37:$Y$274,MATCH(_xlfn.CONCAT(H846," ",I846),ForeCalc!$A$37:$A$274,0),MATCH(_xlfn.CONCAT(B846," ",E846),ForeCalc!$B$36:$Y$36,0))))*VLOOKUP(A846,Calendar!$A$2:$H$9997,8,FALSE),0)</f>
        <v/>
      </c>
      <c r="G846" s="29">
        <f>VLOOKUP(A846,Calendar!$A$1:$H$9997,6,FALSE)-F846</f>
        <v/>
      </c>
      <c r="H846" s="19" t="n">
        <v>3</v>
      </c>
      <c r="I846" s="57" t="n">
        <v>4</v>
      </c>
    </row>
    <row r="847">
      <c r="A847" s="62" t="n">
        <v>46958</v>
      </c>
      <c r="B847" s="3" t="inlineStr">
        <is>
          <t>Week</t>
        </is>
      </c>
      <c r="C847" s="19" t="n">
        <v>7</v>
      </c>
      <c r="D847" s="19" t="n">
        <v>2028</v>
      </c>
      <c r="E847" s="57" t="n">
        <v>1</v>
      </c>
      <c r="F847" s="29">
        <f>ROUND(((SUMIFS(Calendar!$F$2:$F$9997,Calendar!$B$2:$B$9997,D847,Calendar!$C$2:$C$9997,C847)*INDEX(ForeCalc!$B$37:$Y$274,MATCH(_xlfn.CONCAT(H847," ",I847),ForeCalc!$A$37:$A$274,0),MATCH(_xlfn.CONCAT(B847," ",E847),ForeCalc!$B$36:$Y$36,0))))*VLOOKUP(A847,Calendar!$A$2:$H$9997,8,FALSE),0)</f>
        <v/>
      </c>
      <c r="G847" s="29">
        <f>VLOOKUP(A847,Calendar!$A$1:$H$9997,6,FALSE)-F847</f>
        <v/>
      </c>
      <c r="H847" s="19" t="n">
        <v>3</v>
      </c>
      <c r="I847" s="57" t="n">
        <v>4</v>
      </c>
    </row>
    <row r="848">
      <c r="A848" s="62" t="n">
        <v>46959</v>
      </c>
      <c r="B848" s="3" t="inlineStr">
        <is>
          <t>Week</t>
        </is>
      </c>
      <c r="C848" s="19" t="n">
        <v>7</v>
      </c>
      <c r="D848" s="19" t="n">
        <v>2028</v>
      </c>
      <c r="E848" s="57" t="n">
        <v>1</v>
      </c>
      <c r="F848" s="29">
        <f>ROUND(((SUMIFS(Calendar!$F$2:$F$9997,Calendar!$B$2:$B$9997,D848,Calendar!$C$2:$C$9997,C848)*INDEX(ForeCalc!$B$37:$Y$274,MATCH(_xlfn.CONCAT(H848," ",I848),ForeCalc!$A$37:$A$274,0),MATCH(_xlfn.CONCAT(B848," ",E848),ForeCalc!$B$36:$Y$36,0))))*VLOOKUP(A848,Calendar!$A$2:$H$9997,8,FALSE),0)</f>
        <v/>
      </c>
      <c r="G848" s="29">
        <f>VLOOKUP(A848,Calendar!$A$1:$H$9997,6,FALSE)-F848</f>
        <v/>
      </c>
      <c r="H848" s="19" t="n">
        <v>3</v>
      </c>
      <c r="I848" s="57" t="n">
        <v>4</v>
      </c>
    </row>
    <row r="849">
      <c r="A849" s="62" t="n">
        <v>46960</v>
      </c>
      <c r="B849" s="3" t="inlineStr">
        <is>
          <t>Week</t>
        </is>
      </c>
      <c r="C849" s="19" t="n">
        <v>7</v>
      </c>
      <c r="D849" s="19" t="n">
        <v>2028</v>
      </c>
      <c r="E849" s="57" t="n">
        <v>1</v>
      </c>
      <c r="F849" s="29">
        <f>ROUND(((SUMIFS(Calendar!$F$2:$F$9997,Calendar!$B$2:$B$9997,D849,Calendar!$C$2:$C$9997,C849)*INDEX(ForeCalc!$B$37:$Y$274,MATCH(_xlfn.CONCAT(H849," ",I849),ForeCalc!$A$37:$A$274,0),MATCH(_xlfn.CONCAT(B849," ",E849),ForeCalc!$B$36:$Y$36,0))))*VLOOKUP(A849,Calendar!$A$2:$H$9997,8,FALSE),0)</f>
        <v/>
      </c>
      <c r="G849" s="29">
        <f>VLOOKUP(A849,Calendar!$A$1:$H$9997,6,FALSE)-F849</f>
        <v/>
      </c>
      <c r="H849" s="19" t="n">
        <v>3</v>
      </c>
      <c r="I849" s="57" t="n">
        <v>4</v>
      </c>
    </row>
    <row r="850">
      <c r="A850" s="62" t="n">
        <v>46961</v>
      </c>
      <c r="B850" s="3" t="inlineStr">
        <is>
          <t>Week</t>
        </is>
      </c>
      <c r="C850" s="19" t="n">
        <v>7</v>
      </c>
      <c r="D850" s="19" t="n">
        <v>2028</v>
      </c>
      <c r="E850" s="57" t="n">
        <v>1</v>
      </c>
      <c r="F850" s="29">
        <f>ROUND(((SUMIFS(Calendar!$F$2:$F$9997,Calendar!$B$2:$B$9997,D850,Calendar!$C$2:$C$9997,C850)*INDEX(ForeCalc!$B$37:$Y$274,MATCH(_xlfn.CONCAT(H850," ",I850),ForeCalc!$A$37:$A$274,0),MATCH(_xlfn.CONCAT(B850," ",E850),ForeCalc!$B$36:$Y$36,0))))*VLOOKUP(A850,Calendar!$A$2:$H$9997,8,FALSE),0)</f>
        <v/>
      </c>
      <c r="G850" s="29">
        <f>VLOOKUP(A850,Calendar!$A$1:$H$9997,6,FALSE)-F850</f>
        <v/>
      </c>
      <c r="H850" s="19" t="n">
        <v>3</v>
      </c>
      <c r="I850" s="57" t="n">
        <v>4</v>
      </c>
    </row>
    <row r="851">
      <c r="A851" s="62" t="n">
        <v>46962</v>
      </c>
      <c r="B851" s="3" t="inlineStr">
        <is>
          <t>Week</t>
        </is>
      </c>
      <c r="C851" s="19" t="n">
        <v>7</v>
      </c>
      <c r="D851" s="19" t="n">
        <v>2028</v>
      </c>
      <c r="E851" s="57" t="n">
        <v>1</v>
      </c>
      <c r="F851" s="29">
        <f>ROUND(((SUMIFS(Calendar!$F$2:$F$9997,Calendar!$B$2:$B$9997,D851,Calendar!$C$2:$C$9997,C851)*INDEX(ForeCalc!$B$37:$Y$274,MATCH(_xlfn.CONCAT(H851," ",I851),ForeCalc!$A$37:$A$274,0),MATCH(_xlfn.CONCAT(B851," ",E851),ForeCalc!$B$36:$Y$36,0))))*VLOOKUP(A851,Calendar!$A$2:$H$9997,8,FALSE),0)</f>
        <v/>
      </c>
      <c r="G851" s="29">
        <f>VLOOKUP(A851,Calendar!$A$1:$H$9997,6,FALSE)-F851</f>
        <v/>
      </c>
      <c r="H851" s="19" t="n">
        <v>3</v>
      </c>
      <c r="I851" s="57" t="n">
        <v>4</v>
      </c>
    </row>
    <row r="852">
      <c r="A852" s="62" t="n">
        <v>46963</v>
      </c>
      <c r="B852" s="3" t="inlineStr">
        <is>
          <t>Sat</t>
        </is>
      </c>
      <c r="C852" s="19" t="n">
        <v>7</v>
      </c>
      <c r="D852" s="19" t="n">
        <v>2028</v>
      </c>
      <c r="E852" s="57" t="n">
        <v>1</v>
      </c>
      <c r="F852" s="29">
        <f>ROUND(((SUMIFS(Calendar!$F$2:$F$9997,Calendar!$B$2:$B$9997,D852,Calendar!$C$2:$C$9997,C852)*INDEX(ForeCalc!$B$37:$Y$274,MATCH(_xlfn.CONCAT(H852," ",I852),ForeCalc!$A$37:$A$274,0),MATCH(_xlfn.CONCAT(B852," ",E852),ForeCalc!$B$36:$Y$36,0))))*VLOOKUP(A852,Calendar!$A$2:$H$9997,8,FALSE),0)</f>
        <v/>
      </c>
      <c r="G852" s="29">
        <f>VLOOKUP(A852,Calendar!$A$1:$H$9997,6,FALSE)-F852</f>
        <v/>
      </c>
      <c r="H852" s="19" t="n">
        <v>3</v>
      </c>
      <c r="I852" s="57" t="n">
        <v>4</v>
      </c>
    </row>
    <row r="853">
      <c r="A853" s="62" t="n">
        <v>46964</v>
      </c>
      <c r="B853" s="3" t="inlineStr">
        <is>
          <t>Sun</t>
        </is>
      </c>
      <c r="C853" s="19" t="n">
        <v>7</v>
      </c>
      <c r="D853" s="19" t="n">
        <v>2028</v>
      </c>
      <c r="E853" s="57" t="n">
        <v>1</v>
      </c>
      <c r="F853" s="29">
        <f>ROUND(((SUMIFS(Calendar!$F$2:$F$9997,Calendar!$B$2:$B$9997,D853,Calendar!$C$2:$C$9997,C853)*INDEX(ForeCalc!$B$37:$Y$274,MATCH(_xlfn.CONCAT(H853," ",I853),ForeCalc!$A$37:$A$274,0),MATCH(_xlfn.CONCAT(B853," ",E853),ForeCalc!$B$36:$Y$36,0))))*VLOOKUP(A853,Calendar!$A$2:$H$9997,8,FALSE),0)</f>
        <v/>
      </c>
      <c r="G853" s="29">
        <f>VLOOKUP(A853,Calendar!$A$1:$H$9997,6,FALSE)-F853</f>
        <v/>
      </c>
      <c r="H853" s="19" t="n">
        <v>3</v>
      </c>
      <c r="I853" s="57" t="n">
        <v>4</v>
      </c>
    </row>
    <row r="854">
      <c r="A854" s="62" t="n">
        <v>46965</v>
      </c>
      <c r="B854" s="3" t="inlineStr">
        <is>
          <t>Week</t>
        </is>
      </c>
      <c r="C854" s="19" t="n">
        <v>7</v>
      </c>
      <c r="D854" s="19" t="n">
        <v>2028</v>
      </c>
      <c r="E854" s="57" t="n">
        <v>1</v>
      </c>
      <c r="F854" s="29">
        <f>ROUND(((SUMIFS(Calendar!$F$2:$F$9997,Calendar!$B$2:$B$9997,D854,Calendar!$C$2:$C$9997,C854)*INDEX(ForeCalc!$B$37:$Y$274,MATCH(_xlfn.CONCAT(H854," ",I854),ForeCalc!$A$37:$A$274,0),MATCH(_xlfn.CONCAT(B854," ",E854),ForeCalc!$B$36:$Y$36,0))))*VLOOKUP(A854,Calendar!$A$2:$H$9997,8,FALSE),0)</f>
        <v/>
      </c>
      <c r="G854" s="29">
        <f>VLOOKUP(A854,Calendar!$A$1:$H$9997,6,FALSE)-F854</f>
        <v/>
      </c>
      <c r="H854" s="19" t="n">
        <v>3</v>
      </c>
      <c r="I854" s="57" t="n">
        <v>4</v>
      </c>
    </row>
    <row r="855">
      <c r="A855" s="62" t="n">
        <v>46966</v>
      </c>
      <c r="B855" s="3" t="inlineStr">
        <is>
          <t>Week</t>
        </is>
      </c>
      <c r="C855" s="19" t="n">
        <v>8</v>
      </c>
      <c r="D855" s="19" t="n">
        <v>2028</v>
      </c>
      <c r="E855" s="57" t="n">
        <v>1</v>
      </c>
      <c r="F855" s="29">
        <f>ROUND(((SUMIFS(Calendar!$F$2:$F$9997,Calendar!$B$2:$B$9997,D855,Calendar!$C$2:$C$9997,C855)*INDEX(ForeCalc!$B$37:$Y$274,MATCH(_xlfn.CONCAT(H855," ",I855),ForeCalc!$A$37:$A$274,0),MATCH(_xlfn.CONCAT(B855," ",E855),ForeCalc!$B$36:$Y$36,0))))*VLOOKUP(A855,Calendar!$A$2:$H$9997,8,FALSE),0)</f>
        <v/>
      </c>
      <c r="G855" s="29">
        <f>VLOOKUP(A855,Calendar!$A$1:$H$9997,6,FALSE)-F855</f>
        <v/>
      </c>
      <c r="H855" s="19" t="n">
        <v>3</v>
      </c>
      <c r="I855" s="57" t="n">
        <v>5</v>
      </c>
    </row>
    <row r="856">
      <c r="A856" s="62" t="n">
        <v>46967</v>
      </c>
      <c r="B856" s="3" t="inlineStr">
        <is>
          <t>Week</t>
        </is>
      </c>
      <c r="C856" s="19" t="n">
        <v>8</v>
      </c>
      <c r="D856" s="19" t="n">
        <v>2028</v>
      </c>
      <c r="E856" s="57" t="n">
        <v>1</v>
      </c>
      <c r="F856" s="29">
        <f>ROUND(((SUMIFS(Calendar!$F$2:$F$9997,Calendar!$B$2:$B$9997,D856,Calendar!$C$2:$C$9997,C856)*INDEX(ForeCalc!$B$37:$Y$274,MATCH(_xlfn.CONCAT(H856," ",I856),ForeCalc!$A$37:$A$274,0),MATCH(_xlfn.CONCAT(B856," ",E856),ForeCalc!$B$36:$Y$36,0))))*VLOOKUP(A856,Calendar!$A$2:$H$9997,8,FALSE),0)</f>
        <v/>
      </c>
      <c r="G856" s="29">
        <f>VLOOKUP(A856,Calendar!$A$1:$H$9997,6,FALSE)-F856</f>
        <v/>
      </c>
      <c r="H856" s="19" t="n">
        <v>3</v>
      </c>
      <c r="I856" s="57" t="n">
        <v>5</v>
      </c>
    </row>
    <row r="857">
      <c r="A857" s="62" t="n">
        <v>46968</v>
      </c>
      <c r="B857" s="3" t="inlineStr">
        <is>
          <t>Week</t>
        </is>
      </c>
      <c r="C857" s="19" t="n">
        <v>8</v>
      </c>
      <c r="D857" s="19" t="n">
        <v>2028</v>
      </c>
      <c r="E857" s="57" t="n">
        <v>1</v>
      </c>
      <c r="F857" s="29">
        <f>ROUND(((SUMIFS(Calendar!$F$2:$F$9997,Calendar!$B$2:$B$9997,D857,Calendar!$C$2:$C$9997,C857)*INDEX(ForeCalc!$B$37:$Y$274,MATCH(_xlfn.CONCAT(H857," ",I857),ForeCalc!$A$37:$A$274,0),MATCH(_xlfn.CONCAT(B857," ",E857),ForeCalc!$B$36:$Y$36,0))))*VLOOKUP(A857,Calendar!$A$2:$H$9997,8,FALSE),0)</f>
        <v/>
      </c>
      <c r="G857" s="29">
        <f>VLOOKUP(A857,Calendar!$A$1:$H$9997,6,FALSE)-F857</f>
        <v/>
      </c>
      <c r="H857" s="19" t="n">
        <v>3</v>
      </c>
      <c r="I857" s="57" t="n">
        <v>5</v>
      </c>
    </row>
    <row r="858">
      <c r="A858" s="62" t="n">
        <v>46969</v>
      </c>
      <c r="B858" s="3" t="inlineStr">
        <is>
          <t>Week</t>
        </is>
      </c>
      <c r="C858" s="19" t="n">
        <v>8</v>
      </c>
      <c r="D858" s="19" t="n">
        <v>2028</v>
      </c>
      <c r="E858" s="57" t="n">
        <v>1</v>
      </c>
      <c r="F858" s="29">
        <f>ROUND(((SUMIFS(Calendar!$F$2:$F$9997,Calendar!$B$2:$B$9997,D858,Calendar!$C$2:$C$9997,C858)*INDEX(ForeCalc!$B$37:$Y$274,MATCH(_xlfn.CONCAT(H858," ",I858),ForeCalc!$A$37:$A$274,0),MATCH(_xlfn.CONCAT(B858," ",E858),ForeCalc!$B$36:$Y$36,0))))*VLOOKUP(A858,Calendar!$A$2:$H$9997,8,FALSE),0)</f>
        <v/>
      </c>
      <c r="G858" s="29">
        <f>VLOOKUP(A858,Calendar!$A$1:$H$9997,6,FALSE)-F858</f>
        <v/>
      </c>
      <c r="H858" s="19" t="n">
        <v>3</v>
      </c>
      <c r="I858" s="57" t="n">
        <v>5</v>
      </c>
    </row>
    <row r="859">
      <c r="A859" s="62" t="n">
        <v>46970</v>
      </c>
      <c r="B859" s="3" t="inlineStr">
        <is>
          <t>Sat</t>
        </is>
      </c>
      <c r="C859" s="19" t="n">
        <v>8</v>
      </c>
      <c r="D859" s="19" t="n">
        <v>2028</v>
      </c>
      <c r="E859" s="57" t="n">
        <v>1</v>
      </c>
      <c r="F859" s="29">
        <f>ROUND(((SUMIFS(Calendar!$F$2:$F$9997,Calendar!$B$2:$B$9997,D859,Calendar!$C$2:$C$9997,C859)*INDEX(ForeCalc!$B$37:$Y$274,MATCH(_xlfn.CONCAT(H859," ",I859),ForeCalc!$A$37:$A$274,0),MATCH(_xlfn.CONCAT(B859," ",E859),ForeCalc!$B$36:$Y$36,0))))*VLOOKUP(A859,Calendar!$A$2:$H$9997,8,FALSE),0)</f>
        <v/>
      </c>
      <c r="G859" s="29">
        <f>VLOOKUP(A859,Calendar!$A$1:$H$9997,6,FALSE)-F859</f>
        <v/>
      </c>
      <c r="H859" s="19" t="n">
        <v>3</v>
      </c>
      <c r="I859" s="57" t="n">
        <v>5</v>
      </c>
    </row>
    <row r="860">
      <c r="A860" s="62" t="n">
        <v>46971</v>
      </c>
      <c r="B860" s="3" t="inlineStr">
        <is>
          <t>Sun</t>
        </is>
      </c>
      <c r="C860" s="19" t="n">
        <v>8</v>
      </c>
      <c r="D860" s="19" t="n">
        <v>2028</v>
      </c>
      <c r="E860" s="57" t="n">
        <v>1</v>
      </c>
      <c r="F860" s="29">
        <f>ROUND(((SUMIFS(Calendar!$F$2:$F$9997,Calendar!$B$2:$B$9997,D860,Calendar!$C$2:$C$9997,C860)*INDEX(ForeCalc!$B$37:$Y$274,MATCH(_xlfn.CONCAT(H860," ",I860),ForeCalc!$A$37:$A$274,0),MATCH(_xlfn.CONCAT(B860," ",E860),ForeCalc!$B$36:$Y$36,0))))*VLOOKUP(A860,Calendar!$A$2:$H$9997,8,FALSE),0)</f>
        <v/>
      </c>
      <c r="G860" s="29">
        <f>VLOOKUP(A860,Calendar!$A$1:$H$9997,6,FALSE)-F860</f>
        <v/>
      </c>
      <c r="H860" s="19" t="n">
        <v>3</v>
      </c>
      <c r="I860" s="57" t="n">
        <v>5</v>
      </c>
    </row>
    <row r="861">
      <c r="A861" s="62" t="n">
        <v>46972</v>
      </c>
      <c r="B861" s="3" t="inlineStr">
        <is>
          <t>Week</t>
        </is>
      </c>
      <c r="C861" s="19" t="n">
        <v>8</v>
      </c>
      <c r="D861" s="19" t="n">
        <v>2028</v>
      </c>
      <c r="E861" s="57" t="n">
        <v>1</v>
      </c>
      <c r="F861" s="29">
        <f>ROUND(((SUMIFS(Calendar!$F$2:$F$9997,Calendar!$B$2:$B$9997,D861,Calendar!$C$2:$C$9997,C861)*INDEX(ForeCalc!$B$37:$Y$274,MATCH(_xlfn.CONCAT(H861," ",I861),ForeCalc!$A$37:$A$274,0),MATCH(_xlfn.CONCAT(B861," ",E861),ForeCalc!$B$36:$Y$36,0))))*VLOOKUP(A861,Calendar!$A$2:$H$9997,8,FALSE),0)</f>
        <v/>
      </c>
      <c r="G861" s="29">
        <f>VLOOKUP(A861,Calendar!$A$1:$H$9997,6,FALSE)-F861</f>
        <v/>
      </c>
      <c r="H861" s="19" t="n">
        <v>3</v>
      </c>
      <c r="I861" s="57" t="n">
        <v>5</v>
      </c>
    </row>
    <row r="862">
      <c r="A862" s="62" t="n">
        <v>46973</v>
      </c>
      <c r="B862" s="3" t="inlineStr">
        <is>
          <t>Week</t>
        </is>
      </c>
      <c r="C862" s="19" t="n">
        <v>8</v>
      </c>
      <c r="D862" s="19" t="n">
        <v>2028</v>
      </c>
      <c r="E862" s="57" t="n">
        <v>1</v>
      </c>
      <c r="F862" s="29">
        <f>ROUND(((SUMIFS(Calendar!$F$2:$F$9997,Calendar!$B$2:$B$9997,D862,Calendar!$C$2:$C$9997,C862)*INDEX(ForeCalc!$B$37:$Y$274,MATCH(_xlfn.CONCAT(H862," ",I862),ForeCalc!$A$37:$A$274,0),MATCH(_xlfn.CONCAT(B862," ",E862),ForeCalc!$B$36:$Y$36,0))))*VLOOKUP(A862,Calendar!$A$2:$H$9997,8,FALSE),0)</f>
        <v/>
      </c>
      <c r="G862" s="29">
        <f>VLOOKUP(A862,Calendar!$A$1:$H$9997,6,FALSE)-F862</f>
        <v/>
      </c>
      <c r="H862" s="19" t="n">
        <v>3</v>
      </c>
      <c r="I862" s="57" t="n">
        <v>5</v>
      </c>
    </row>
    <row r="863">
      <c r="A863" s="62" t="n">
        <v>46974</v>
      </c>
      <c r="B863" s="3" t="inlineStr">
        <is>
          <t>Week</t>
        </is>
      </c>
      <c r="C863" s="19" t="n">
        <v>8</v>
      </c>
      <c r="D863" s="19" t="n">
        <v>2028</v>
      </c>
      <c r="E863" s="57" t="n">
        <v>1</v>
      </c>
      <c r="F863" s="29">
        <f>ROUND(((SUMIFS(Calendar!$F$2:$F$9997,Calendar!$B$2:$B$9997,D863,Calendar!$C$2:$C$9997,C863)*INDEX(ForeCalc!$B$37:$Y$274,MATCH(_xlfn.CONCAT(H863," ",I863),ForeCalc!$A$37:$A$274,0),MATCH(_xlfn.CONCAT(B863," ",E863),ForeCalc!$B$36:$Y$36,0))))*VLOOKUP(A863,Calendar!$A$2:$H$9997,8,FALSE),0)</f>
        <v/>
      </c>
      <c r="G863" s="29">
        <f>VLOOKUP(A863,Calendar!$A$1:$H$9997,6,FALSE)-F863</f>
        <v/>
      </c>
      <c r="H863" s="19" t="n">
        <v>3</v>
      </c>
      <c r="I863" s="57" t="n">
        <v>5</v>
      </c>
    </row>
    <row r="864">
      <c r="A864" s="62" t="n">
        <v>46975</v>
      </c>
      <c r="B864" s="3" t="inlineStr">
        <is>
          <t>Week</t>
        </is>
      </c>
      <c r="C864" s="19" t="n">
        <v>8</v>
      </c>
      <c r="D864" s="19" t="n">
        <v>2028</v>
      </c>
      <c r="E864" s="57" t="n">
        <v>1</v>
      </c>
      <c r="F864" s="29">
        <f>ROUND(((SUMIFS(Calendar!$F$2:$F$9997,Calendar!$B$2:$B$9997,D864,Calendar!$C$2:$C$9997,C864)*INDEX(ForeCalc!$B$37:$Y$274,MATCH(_xlfn.CONCAT(H864," ",I864),ForeCalc!$A$37:$A$274,0),MATCH(_xlfn.CONCAT(B864," ",E864),ForeCalc!$B$36:$Y$36,0))))*VLOOKUP(A864,Calendar!$A$2:$H$9997,8,FALSE),0)</f>
        <v/>
      </c>
      <c r="G864" s="29">
        <f>VLOOKUP(A864,Calendar!$A$1:$H$9997,6,FALSE)-F864</f>
        <v/>
      </c>
      <c r="H864" s="19" t="n">
        <v>3</v>
      </c>
      <c r="I864" s="57" t="n">
        <v>5</v>
      </c>
    </row>
    <row r="865">
      <c r="A865" s="62" t="n">
        <v>46976</v>
      </c>
      <c r="B865" s="3" t="inlineStr">
        <is>
          <t>Week</t>
        </is>
      </c>
      <c r="C865" s="19" t="n">
        <v>8</v>
      </c>
      <c r="D865" s="19" t="n">
        <v>2028</v>
      </c>
      <c r="E865" s="57" t="n">
        <v>1</v>
      </c>
      <c r="F865" s="29">
        <f>ROUND(((SUMIFS(Calendar!$F$2:$F$9997,Calendar!$B$2:$B$9997,D865,Calendar!$C$2:$C$9997,C865)*INDEX(ForeCalc!$B$37:$Y$274,MATCH(_xlfn.CONCAT(H865," ",I865),ForeCalc!$A$37:$A$274,0),MATCH(_xlfn.CONCAT(B865," ",E865),ForeCalc!$B$36:$Y$36,0))))*VLOOKUP(A865,Calendar!$A$2:$H$9997,8,FALSE),0)</f>
        <v/>
      </c>
      <c r="G865" s="29">
        <f>VLOOKUP(A865,Calendar!$A$1:$H$9997,6,FALSE)-F865</f>
        <v/>
      </c>
      <c r="H865" s="19" t="n">
        <v>3</v>
      </c>
      <c r="I865" s="57" t="n">
        <v>5</v>
      </c>
    </row>
    <row r="866">
      <c r="A866" s="62" t="n">
        <v>46977</v>
      </c>
      <c r="B866" s="3" t="inlineStr">
        <is>
          <t>Sat</t>
        </is>
      </c>
      <c r="C866" s="19" t="n">
        <v>8</v>
      </c>
      <c r="D866" s="19" t="n">
        <v>2028</v>
      </c>
      <c r="E866" s="57" t="n">
        <v>1</v>
      </c>
      <c r="F866" s="29">
        <f>ROUND(((SUMIFS(Calendar!$F$2:$F$9997,Calendar!$B$2:$B$9997,D866,Calendar!$C$2:$C$9997,C866)*INDEX(ForeCalc!$B$37:$Y$274,MATCH(_xlfn.CONCAT(H866," ",I866),ForeCalc!$A$37:$A$274,0),MATCH(_xlfn.CONCAT(B866," ",E866),ForeCalc!$B$36:$Y$36,0))))*VLOOKUP(A866,Calendar!$A$2:$H$9997,8,FALSE),0)</f>
        <v/>
      </c>
      <c r="G866" s="29">
        <f>VLOOKUP(A866,Calendar!$A$1:$H$9997,6,FALSE)-F866</f>
        <v/>
      </c>
      <c r="H866" s="19" t="n">
        <v>3</v>
      </c>
      <c r="I866" s="57" t="n">
        <v>5</v>
      </c>
    </row>
    <row r="867">
      <c r="A867" s="62" t="n">
        <v>46978</v>
      </c>
      <c r="B867" s="3" t="inlineStr">
        <is>
          <t>Sun</t>
        </is>
      </c>
      <c r="C867" s="19" t="n">
        <v>8</v>
      </c>
      <c r="D867" s="19" t="n">
        <v>2028</v>
      </c>
      <c r="E867" s="57" t="n">
        <v>1</v>
      </c>
      <c r="F867" s="29">
        <f>ROUND(((SUMIFS(Calendar!$F$2:$F$9997,Calendar!$B$2:$B$9997,D867,Calendar!$C$2:$C$9997,C867)*INDEX(ForeCalc!$B$37:$Y$274,MATCH(_xlfn.CONCAT(H867," ",I867),ForeCalc!$A$37:$A$274,0),MATCH(_xlfn.CONCAT(B867," ",E867),ForeCalc!$B$36:$Y$36,0))))*VLOOKUP(A867,Calendar!$A$2:$H$9997,8,FALSE),0)</f>
        <v/>
      </c>
      <c r="G867" s="29">
        <f>VLOOKUP(A867,Calendar!$A$1:$H$9997,6,FALSE)-F867</f>
        <v/>
      </c>
      <c r="H867" s="19" t="n">
        <v>3</v>
      </c>
      <c r="I867" s="57" t="n">
        <v>5</v>
      </c>
    </row>
    <row r="868">
      <c r="A868" s="62" t="n">
        <v>46979</v>
      </c>
      <c r="B868" s="3" t="inlineStr">
        <is>
          <t>Week</t>
        </is>
      </c>
      <c r="C868" s="19" t="n">
        <v>8</v>
      </c>
      <c r="D868" s="19" t="n">
        <v>2028</v>
      </c>
      <c r="E868" s="57" t="n">
        <v>1</v>
      </c>
      <c r="F868" s="29">
        <f>ROUND(((SUMIFS(Calendar!$F$2:$F$9997,Calendar!$B$2:$B$9997,D868,Calendar!$C$2:$C$9997,C868)*INDEX(ForeCalc!$B$37:$Y$274,MATCH(_xlfn.CONCAT(H868," ",I868),ForeCalc!$A$37:$A$274,0),MATCH(_xlfn.CONCAT(B868," ",E868),ForeCalc!$B$36:$Y$36,0))))*VLOOKUP(A868,Calendar!$A$2:$H$9997,8,FALSE),0)</f>
        <v/>
      </c>
      <c r="G868" s="29">
        <f>VLOOKUP(A868,Calendar!$A$1:$H$9997,6,FALSE)-F868</f>
        <v/>
      </c>
      <c r="H868" s="19" t="n">
        <v>3</v>
      </c>
      <c r="I868" s="57" t="n">
        <v>5</v>
      </c>
    </row>
    <row r="869">
      <c r="A869" s="62" t="n">
        <v>46980</v>
      </c>
      <c r="B869" s="3" t="inlineStr">
        <is>
          <t>Week</t>
        </is>
      </c>
      <c r="C869" s="19" t="n">
        <v>8</v>
      </c>
      <c r="D869" s="19" t="n">
        <v>2028</v>
      </c>
      <c r="E869" s="57" t="n">
        <v>1</v>
      </c>
      <c r="F869" s="29">
        <f>ROUND(((SUMIFS(Calendar!$F$2:$F$9997,Calendar!$B$2:$B$9997,D869,Calendar!$C$2:$C$9997,C869)*INDEX(ForeCalc!$B$37:$Y$274,MATCH(_xlfn.CONCAT(H869," ",I869),ForeCalc!$A$37:$A$274,0),MATCH(_xlfn.CONCAT(B869," ",E869),ForeCalc!$B$36:$Y$36,0))))*VLOOKUP(A869,Calendar!$A$2:$H$9997,8,FALSE),0)</f>
        <v/>
      </c>
      <c r="G869" s="29">
        <f>VLOOKUP(A869,Calendar!$A$1:$H$9997,6,FALSE)-F869</f>
        <v/>
      </c>
      <c r="H869" s="19" t="n">
        <v>3</v>
      </c>
      <c r="I869" s="57" t="n">
        <v>5</v>
      </c>
    </row>
    <row r="870">
      <c r="A870" s="62" t="n">
        <v>46981</v>
      </c>
      <c r="B870" s="3" t="inlineStr">
        <is>
          <t>Week</t>
        </is>
      </c>
      <c r="C870" s="19" t="n">
        <v>8</v>
      </c>
      <c r="D870" s="19" t="n">
        <v>2028</v>
      </c>
      <c r="E870" s="57" t="n">
        <v>1</v>
      </c>
      <c r="F870" s="29">
        <f>ROUND(((SUMIFS(Calendar!$F$2:$F$9997,Calendar!$B$2:$B$9997,D870,Calendar!$C$2:$C$9997,C870)*INDEX(ForeCalc!$B$37:$Y$274,MATCH(_xlfn.CONCAT(H870," ",I870),ForeCalc!$A$37:$A$274,0),MATCH(_xlfn.CONCAT(B870," ",E870),ForeCalc!$B$36:$Y$36,0))))*VLOOKUP(A870,Calendar!$A$2:$H$9997,8,FALSE),0)</f>
        <v/>
      </c>
      <c r="G870" s="29">
        <f>VLOOKUP(A870,Calendar!$A$1:$H$9997,6,FALSE)-F870</f>
        <v/>
      </c>
      <c r="H870" s="19" t="n">
        <v>3</v>
      </c>
      <c r="I870" s="57" t="n">
        <v>5</v>
      </c>
    </row>
    <row r="871">
      <c r="A871" s="62" t="n">
        <v>46982</v>
      </c>
      <c r="B871" s="3" t="inlineStr">
        <is>
          <t>Week</t>
        </is>
      </c>
      <c r="C871" s="19" t="n">
        <v>8</v>
      </c>
      <c r="D871" s="19" t="n">
        <v>2028</v>
      </c>
      <c r="E871" s="57" t="n">
        <v>1</v>
      </c>
      <c r="F871" s="29">
        <f>ROUND(((SUMIFS(Calendar!$F$2:$F$9997,Calendar!$B$2:$B$9997,D871,Calendar!$C$2:$C$9997,C871)*INDEX(ForeCalc!$B$37:$Y$274,MATCH(_xlfn.CONCAT(H871," ",I871),ForeCalc!$A$37:$A$274,0),MATCH(_xlfn.CONCAT(B871," ",E871),ForeCalc!$B$36:$Y$36,0))))*VLOOKUP(A871,Calendar!$A$2:$H$9997,8,FALSE),0)</f>
        <v/>
      </c>
      <c r="G871" s="29">
        <f>VLOOKUP(A871,Calendar!$A$1:$H$9997,6,FALSE)-F871</f>
        <v/>
      </c>
      <c r="H871" s="19" t="n">
        <v>3</v>
      </c>
      <c r="I871" s="57" t="n">
        <v>5</v>
      </c>
    </row>
    <row r="872">
      <c r="A872" s="62" t="n">
        <v>46983</v>
      </c>
      <c r="B872" s="3" t="inlineStr">
        <is>
          <t>Week</t>
        </is>
      </c>
      <c r="C872" s="19" t="n">
        <v>8</v>
      </c>
      <c r="D872" s="19" t="n">
        <v>2028</v>
      </c>
      <c r="E872" s="57" t="n">
        <v>1</v>
      </c>
      <c r="F872" s="29">
        <f>ROUND(((SUMIFS(Calendar!$F$2:$F$9997,Calendar!$B$2:$B$9997,D872,Calendar!$C$2:$C$9997,C872)*INDEX(ForeCalc!$B$37:$Y$274,MATCH(_xlfn.CONCAT(H872," ",I872),ForeCalc!$A$37:$A$274,0),MATCH(_xlfn.CONCAT(B872," ",E872),ForeCalc!$B$36:$Y$36,0))))*VLOOKUP(A872,Calendar!$A$2:$H$9997,8,FALSE),0)</f>
        <v/>
      </c>
      <c r="G872" s="29">
        <f>VLOOKUP(A872,Calendar!$A$1:$H$9997,6,FALSE)-F872</f>
        <v/>
      </c>
      <c r="H872" s="19" t="n">
        <v>3</v>
      </c>
      <c r="I872" s="57" t="n">
        <v>5</v>
      </c>
    </row>
    <row r="873">
      <c r="A873" s="62" t="n">
        <v>46984</v>
      </c>
      <c r="B873" s="3" t="inlineStr">
        <is>
          <t>Sat</t>
        </is>
      </c>
      <c r="C873" s="19" t="n">
        <v>8</v>
      </c>
      <c r="D873" s="19" t="n">
        <v>2028</v>
      </c>
      <c r="E873" s="57" t="n">
        <v>1</v>
      </c>
      <c r="F873" s="29">
        <f>ROUND(((SUMIFS(Calendar!$F$2:$F$9997,Calendar!$B$2:$B$9997,D873,Calendar!$C$2:$C$9997,C873)*INDEX(ForeCalc!$B$37:$Y$274,MATCH(_xlfn.CONCAT(H873," ",I873),ForeCalc!$A$37:$A$274,0),MATCH(_xlfn.CONCAT(B873," ",E873),ForeCalc!$B$36:$Y$36,0))))*VLOOKUP(A873,Calendar!$A$2:$H$9997,8,FALSE),0)</f>
        <v/>
      </c>
      <c r="G873" s="29">
        <f>VLOOKUP(A873,Calendar!$A$1:$H$9997,6,FALSE)-F873</f>
        <v/>
      </c>
      <c r="H873" s="19" t="n">
        <v>3</v>
      </c>
      <c r="I873" s="57" t="n">
        <v>5</v>
      </c>
    </row>
    <row r="874">
      <c r="A874" s="62" t="n">
        <v>46985</v>
      </c>
      <c r="B874" s="3" t="inlineStr">
        <is>
          <t>Sun</t>
        </is>
      </c>
      <c r="C874" s="19" t="n">
        <v>8</v>
      </c>
      <c r="D874" s="19" t="n">
        <v>2028</v>
      </c>
      <c r="E874" s="57" t="n">
        <v>1</v>
      </c>
      <c r="F874" s="29">
        <f>ROUND(((SUMIFS(Calendar!$F$2:$F$9997,Calendar!$B$2:$B$9997,D874,Calendar!$C$2:$C$9997,C874)*INDEX(ForeCalc!$B$37:$Y$274,MATCH(_xlfn.CONCAT(H874," ",I874),ForeCalc!$A$37:$A$274,0),MATCH(_xlfn.CONCAT(B874," ",E874),ForeCalc!$B$36:$Y$36,0))))*VLOOKUP(A874,Calendar!$A$2:$H$9997,8,FALSE),0)</f>
        <v/>
      </c>
      <c r="G874" s="29">
        <f>VLOOKUP(A874,Calendar!$A$1:$H$9997,6,FALSE)-F874</f>
        <v/>
      </c>
      <c r="H874" s="19" t="n">
        <v>3</v>
      </c>
      <c r="I874" s="57" t="n">
        <v>5</v>
      </c>
    </row>
    <row r="875">
      <c r="A875" s="62" t="n">
        <v>46986</v>
      </c>
      <c r="B875" s="3" t="inlineStr">
        <is>
          <t>Week</t>
        </is>
      </c>
      <c r="C875" s="19" t="n">
        <v>8</v>
      </c>
      <c r="D875" s="19" t="n">
        <v>2028</v>
      </c>
      <c r="E875" s="57" t="n">
        <v>1</v>
      </c>
      <c r="F875" s="29">
        <f>ROUND(((SUMIFS(Calendar!$F$2:$F$9997,Calendar!$B$2:$B$9997,D875,Calendar!$C$2:$C$9997,C875)*INDEX(ForeCalc!$B$37:$Y$274,MATCH(_xlfn.CONCAT(H875," ",I875),ForeCalc!$A$37:$A$274,0),MATCH(_xlfn.CONCAT(B875," ",E875),ForeCalc!$B$36:$Y$36,0))))*VLOOKUP(A875,Calendar!$A$2:$H$9997,8,FALSE),0)</f>
        <v/>
      </c>
      <c r="G875" s="29">
        <f>VLOOKUP(A875,Calendar!$A$1:$H$9997,6,FALSE)-F875</f>
        <v/>
      </c>
      <c r="H875" s="19" t="n">
        <v>3</v>
      </c>
      <c r="I875" s="57" t="n">
        <v>5</v>
      </c>
    </row>
    <row r="876">
      <c r="A876" s="62" t="n">
        <v>46987</v>
      </c>
      <c r="B876" s="3" t="inlineStr">
        <is>
          <t>Week</t>
        </is>
      </c>
      <c r="C876" s="19" t="n">
        <v>8</v>
      </c>
      <c r="D876" s="19" t="n">
        <v>2028</v>
      </c>
      <c r="E876" s="57" t="n">
        <v>1</v>
      </c>
      <c r="F876" s="29">
        <f>ROUND(((SUMIFS(Calendar!$F$2:$F$9997,Calendar!$B$2:$B$9997,D876,Calendar!$C$2:$C$9997,C876)*INDEX(ForeCalc!$B$37:$Y$274,MATCH(_xlfn.CONCAT(H876," ",I876),ForeCalc!$A$37:$A$274,0),MATCH(_xlfn.CONCAT(B876," ",E876),ForeCalc!$B$36:$Y$36,0))))*VLOOKUP(A876,Calendar!$A$2:$H$9997,8,FALSE),0)</f>
        <v/>
      </c>
      <c r="G876" s="29">
        <f>VLOOKUP(A876,Calendar!$A$1:$H$9997,6,FALSE)-F876</f>
        <v/>
      </c>
      <c r="H876" s="19" t="n">
        <v>3</v>
      </c>
      <c r="I876" s="57" t="n">
        <v>5</v>
      </c>
    </row>
    <row r="877">
      <c r="A877" s="62" t="n">
        <v>46988</v>
      </c>
      <c r="B877" s="3" t="inlineStr">
        <is>
          <t>Week</t>
        </is>
      </c>
      <c r="C877" s="19" t="n">
        <v>8</v>
      </c>
      <c r="D877" s="19" t="n">
        <v>2028</v>
      </c>
      <c r="E877" s="57" t="n">
        <v>1</v>
      </c>
      <c r="F877" s="29">
        <f>ROUND(((SUMIFS(Calendar!$F$2:$F$9997,Calendar!$B$2:$B$9997,D877,Calendar!$C$2:$C$9997,C877)*INDEX(ForeCalc!$B$37:$Y$274,MATCH(_xlfn.CONCAT(H877," ",I877),ForeCalc!$A$37:$A$274,0),MATCH(_xlfn.CONCAT(B877," ",E877),ForeCalc!$B$36:$Y$36,0))))*VLOOKUP(A877,Calendar!$A$2:$H$9997,8,FALSE),0)</f>
        <v/>
      </c>
      <c r="G877" s="29">
        <f>VLOOKUP(A877,Calendar!$A$1:$H$9997,6,FALSE)-F877</f>
        <v/>
      </c>
      <c r="H877" s="19" t="n">
        <v>3</v>
      </c>
      <c r="I877" s="57" t="n">
        <v>5</v>
      </c>
    </row>
    <row r="878">
      <c r="A878" s="62" t="n">
        <v>46989</v>
      </c>
      <c r="B878" s="3" t="inlineStr">
        <is>
          <t>Week</t>
        </is>
      </c>
      <c r="C878" s="19" t="n">
        <v>8</v>
      </c>
      <c r="D878" s="19" t="n">
        <v>2028</v>
      </c>
      <c r="E878" s="57" t="n">
        <v>1</v>
      </c>
      <c r="F878" s="29">
        <f>ROUND(((SUMIFS(Calendar!$F$2:$F$9997,Calendar!$B$2:$B$9997,D878,Calendar!$C$2:$C$9997,C878)*INDEX(ForeCalc!$B$37:$Y$274,MATCH(_xlfn.CONCAT(H878," ",I878),ForeCalc!$A$37:$A$274,0),MATCH(_xlfn.CONCAT(B878," ",E878),ForeCalc!$B$36:$Y$36,0))))*VLOOKUP(A878,Calendar!$A$2:$H$9997,8,FALSE),0)</f>
        <v/>
      </c>
      <c r="G878" s="29">
        <f>VLOOKUP(A878,Calendar!$A$1:$H$9997,6,FALSE)-F878</f>
        <v/>
      </c>
      <c r="H878" s="19" t="n">
        <v>3</v>
      </c>
      <c r="I878" s="57" t="n">
        <v>5</v>
      </c>
    </row>
    <row r="879">
      <c r="A879" s="62" t="n">
        <v>46990</v>
      </c>
      <c r="B879" s="3" t="inlineStr">
        <is>
          <t>Week</t>
        </is>
      </c>
      <c r="C879" s="19" t="n">
        <v>8</v>
      </c>
      <c r="D879" s="19" t="n">
        <v>2028</v>
      </c>
      <c r="E879" s="57" t="n">
        <v>1</v>
      </c>
      <c r="F879" s="29">
        <f>ROUND(((SUMIFS(Calendar!$F$2:$F$9997,Calendar!$B$2:$B$9997,D879,Calendar!$C$2:$C$9997,C879)*INDEX(ForeCalc!$B$37:$Y$274,MATCH(_xlfn.CONCAT(H879," ",I879),ForeCalc!$A$37:$A$274,0),MATCH(_xlfn.CONCAT(B879," ",E879),ForeCalc!$B$36:$Y$36,0))))*VLOOKUP(A879,Calendar!$A$2:$H$9997,8,FALSE),0)</f>
        <v/>
      </c>
      <c r="G879" s="29">
        <f>VLOOKUP(A879,Calendar!$A$1:$H$9997,6,FALSE)-F879</f>
        <v/>
      </c>
      <c r="H879" s="19" t="n">
        <v>3</v>
      </c>
      <c r="I879" s="57" t="n">
        <v>5</v>
      </c>
    </row>
    <row r="880">
      <c r="A880" s="62" t="n">
        <v>46991</v>
      </c>
      <c r="B880" s="3" t="inlineStr">
        <is>
          <t>Sat</t>
        </is>
      </c>
      <c r="C880" s="19" t="n">
        <v>8</v>
      </c>
      <c r="D880" s="19" t="n">
        <v>2028</v>
      </c>
      <c r="E880" s="57" t="n">
        <v>1</v>
      </c>
      <c r="F880" s="29">
        <f>ROUND(((SUMIFS(Calendar!$F$2:$F$9997,Calendar!$B$2:$B$9997,D880,Calendar!$C$2:$C$9997,C880)*INDEX(ForeCalc!$B$37:$Y$274,MATCH(_xlfn.CONCAT(H880," ",I880),ForeCalc!$A$37:$A$274,0),MATCH(_xlfn.CONCAT(B880," ",E880),ForeCalc!$B$36:$Y$36,0))))*VLOOKUP(A880,Calendar!$A$2:$H$9997,8,FALSE),0)</f>
        <v/>
      </c>
      <c r="G880" s="29">
        <f>VLOOKUP(A880,Calendar!$A$1:$H$9997,6,FALSE)-F880</f>
        <v/>
      </c>
      <c r="H880" s="19" t="n">
        <v>3</v>
      </c>
      <c r="I880" s="57" t="n">
        <v>5</v>
      </c>
    </row>
    <row r="881">
      <c r="A881" s="62" t="n">
        <v>46992</v>
      </c>
      <c r="B881" s="3" t="inlineStr">
        <is>
          <t>Sun</t>
        </is>
      </c>
      <c r="C881" s="19" t="n">
        <v>8</v>
      </c>
      <c r="D881" s="19" t="n">
        <v>2028</v>
      </c>
      <c r="E881" s="57" t="n">
        <v>1</v>
      </c>
      <c r="F881" s="29">
        <f>ROUND(((SUMIFS(Calendar!$F$2:$F$9997,Calendar!$B$2:$B$9997,D881,Calendar!$C$2:$C$9997,C881)*INDEX(ForeCalc!$B$37:$Y$274,MATCH(_xlfn.CONCAT(H881," ",I881),ForeCalc!$A$37:$A$274,0),MATCH(_xlfn.CONCAT(B881," ",E881),ForeCalc!$B$36:$Y$36,0))))*VLOOKUP(A881,Calendar!$A$2:$H$9997,8,FALSE),0)</f>
        <v/>
      </c>
      <c r="G881" s="29">
        <f>VLOOKUP(A881,Calendar!$A$1:$H$9997,6,FALSE)-F881</f>
        <v/>
      </c>
      <c r="H881" s="19" t="n">
        <v>3</v>
      </c>
      <c r="I881" s="57" t="n">
        <v>5</v>
      </c>
    </row>
    <row r="882">
      <c r="A882" s="62" t="n">
        <v>46993</v>
      </c>
      <c r="B882" s="3" t="inlineStr">
        <is>
          <t>Week</t>
        </is>
      </c>
      <c r="C882" s="19" t="n">
        <v>8</v>
      </c>
      <c r="D882" s="19" t="n">
        <v>2028</v>
      </c>
      <c r="E882" s="57" t="n">
        <v>1</v>
      </c>
      <c r="F882" s="29">
        <f>ROUND(((SUMIFS(Calendar!$F$2:$F$9997,Calendar!$B$2:$B$9997,D882,Calendar!$C$2:$C$9997,C882)*INDEX(ForeCalc!$B$37:$Y$274,MATCH(_xlfn.CONCAT(H882," ",I882),ForeCalc!$A$37:$A$274,0),MATCH(_xlfn.CONCAT(B882," ",E882),ForeCalc!$B$36:$Y$36,0))))*VLOOKUP(A882,Calendar!$A$2:$H$9997,8,FALSE),0)</f>
        <v/>
      </c>
      <c r="G882" s="29">
        <f>VLOOKUP(A882,Calendar!$A$1:$H$9997,6,FALSE)-F882</f>
        <v/>
      </c>
      <c r="H882" s="19" t="n">
        <v>3</v>
      </c>
      <c r="I882" s="57" t="n">
        <v>5</v>
      </c>
    </row>
    <row r="883">
      <c r="A883" s="62" t="n">
        <v>46994</v>
      </c>
      <c r="B883" s="3" t="inlineStr">
        <is>
          <t>Week</t>
        </is>
      </c>
      <c r="C883" s="19" t="n">
        <v>8</v>
      </c>
      <c r="D883" s="19" t="n">
        <v>2028</v>
      </c>
      <c r="E883" s="57" t="n">
        <v>1</v>
      </c>
      <c r="F883" s="29">
        <f>ROUND(((SUMIFS(Calendar!$F$2:$F$9997,Calendar!$B$2:$B$9997,D883,Calendar!$C$2:$C$9997,C883)*INDEX(ForeCalc!$B$37:$Y$274,MATCH(_xlfn.CONCAT(H883," ",I883),ForeCalc!$A$37:$A$274,0),MATCH(_xlfn.CONCAT(B883," ",E883),ForeCalc!$B$36:$Y$36,0))))*VLOOKUP(A883,Calendar!$A$2:$H$9997,8,FALSE),0)</f>
        <v/>
      </c>
      <c r="G883" s="29">
        <f>VLOOKUP(A883,Calendar!$A$1:$H$9997,6,FALSE)-F883</f>
        <v/>
      </c>
      <c r="H883" s="19" t="n">
        <v>3</v>
      </c>
      <c r="I883" s="57" t="n">
        <v>5</v>
      </c>
    </row>
    <row r="884">
      <c r="A884" s="62" t="n">
        <v>46995</v>
      </c>
      <c r="B884" s="3" t="inlineStr">
        <is>
          <t>Week</t>
        </is>
      </c>
      <c r="C884" s="19" t="n">
        <v>8</v>
      </c>
      <c r="D884" s="19" t="n">
        <v>2028</v>
      </c>
      <c r="E884" s="57" t="n">
        <v>1</v>
      </c>
      <c r="F884" s="29">
        <f>ROUND(((SUMIFS(Calendar!$F$2:$F$9997,Calendar!$B$2:$B$9997,D884,Calendar!$C$2:$C$9997,C884)*INDEX(ForeCalc!$B$37:$Y$274,MATCH(_xlfn.CONCAT(H884," ",I884),ForeCalc!$A$37:$A$274,0),MATCH(_xlfn.CONCAT(B884," ",E884),ForeCalc!$B$36:$Y$36,0))))*VLOOKUP(A884,Calendar!$A$2:$H$9997,8,FALSE),0)</f>
        <v/>
      </c>
      <c r="G884" s="29">
        <f>VLOOKUP(A884,Calendar!$A$1:$H$9997,6,FALSE)-F884</f>
        <v/>
      </c>
      <c r="H884" s="19" t="n">
        <v>3</v>
      </c>
      <c r="I884" s="57" t="n">
        <v>5</v>
      </c>
    </row>
    <row r="885">
      <c r="A885" s="62" t="n">
        <v>46996</v>
      </c>
      <c r="B885" s="3" t="inlineStr">
        <is>
          <t>Week</t>
        </is>
      </c>
      <c r="C885" s="19" t="n">
        <v>8</v>
      </c>
      <c r="D885" s="19" t="n">
        <v>2028</v>
      </c>
      <c r="E885" s="57" t="n">
        <v>1</v>
      </c>
      <c r="F885" s="29">
        <f>ROUND(((SUMIFS(Calendar!$F$2:$F$9997,Calendar!$B$2:$B$9997,D885,Calendar!$C$2:$C$9997,C885)*INDEX(ForeCalc!$B$37:$Y$274,MATCH(_xlfn.CONCAT(H885," ",I885),ForeCalc!$A$37:$A$274,0),MATCH(_xlfn.CONCAT(B885," ",E885),ForeCalc!$B$36:$Y$36,0))))*VLOOKUP(A885,Calendar!$A$2:$H$9997,8,FALSE),0)</f>
        <v/>
      </c>
      <c r="G885" s="29">
        <f>VLOOKUP(A885,Calendar!$A$1:$H$9997,6,FALSE)-F885</f>
        <v/>
      </c>
      <c r="H885" s="19" t="n">
        <v>3</v>
      </c>
      <c r="I885" s="57" t="n">
        <v>5</v>
      </c>
    </row>
    <row r="886">
      <c r="A886" s="62" t="n">
        <v>46997</v>
      </c>
      <c r="B886" s="3" t="inlineStr">
        <is>
          <t>Week</t>
        </is>
      </c>
      <c r="C886" s="19" t="n">
        <v>9</v>
      </c>
      <c r="D886" s="19" t="n">
        <v>2028</v>
      </c>
      <c r="E886" s="57" t="n">
        <v>1</v>
      </c>
      <c r="F886" s="29">
        <f>ROUND(((SUMIFS(Calendar!$F$2:$F$9997,Calendar!$B$2:$B$9997,D886,Calendar!$C$2:$C$9997,C886)*INDEX(ForeCalc!$B$37:$Y$274,MATCH(_xlfn.CONCAT(H886," ",I886),ForeCalc!$A$37:$A$274,0),MATCH(_xlfn.CONCAT(B886," ",E886),ForeCalc!$B$36:$Y$36,0))))*VLOOKUP(A886,Calendar!$A$2:$H$9997,8,FALSE),0)</f>
        <v/>
      </c>
      <c r="G886" s="29">
        <f>VLOOKUP(A886,Calendar!$A$1:$H$9997,6,FALSE)-F886</f>
        <v/>
      </c>
      <c r="H886" s="19" t="n">
        <v>3</v>
      </c>
      <c r="I886" s="57" t="n">
        <v>6</v>
      </c>
    </row>
    <row r="887">
      <c r="A887" s="62" t="n">
        <v>46998</v>
      </c>
      <c r="B887" s="3" t="inlineStr">
        <is>
          <t>Sat</t>
        </is>
      </c>
      <c r="C887" s="19" t="n">
        <v>9</v>
      </c>
      <c r="D887" s="19" t="n">
        <v>2028</v>
      </c>
      <c r="E887" s="57" t="n">
        <v>1</v>
      </c>
      <c r="F887" s="29">
        <f>ROUND(((SUMIFS(Calendar!$F$2:$F$9997,Calendar!$B$2:$B$9997,D887,Calendar!$C$2:$C$9997,C887)*INDEX(ForeCalc!$B$37:$Y$274,MATCH(_xlfn.CONCAT(H887," ",I887),ForeCalc!$A$37:$A$274,0),MATCH(_xlfn.CONCAT(B887," ",E887),ForeCalc!$B$36:$Y$36,0))))*VLOOKUP(A887,Calendar!$A$2:$H$9997,8,FALSE),0)</f>
        <v/>
      </c>
      <c r="G887" s="29">
        <f>VLOOKUP(A887,Calendar!$A$1:$H$9997,6,FALSE)-F887</f>
        <v/>
      </c>
      <c r="H887" s="19" t="n">
        <v>3</v>
      </c>
      <c r="I887" s="57" t="n">
        <v>6</v>
      </c>
    </row>
    <row r="888">
      <c r="A888" s="62" t="n">
        <v>46999</v>
      </c>
      <c r="B888" s="3" t="inlineStr">
        <is>
          <t>Sun</t>
        </is>
      </c>
      <c r="C888" s="19" t="n">
        <v>9</v>
      </c>
      <c r="D888" s="19" t="n">
        <v>2028</v>
      </c>
      <c r="E888" s="57" t="n">
        <v>1</v>
      </c>
      <c r="F888" s="29">
        <f>ROUND(((SUMIFS(Calendar!$F$2:$F$9997,Calendar!$B$2:$B$9997,D888,Calendar!$C$2:$C$9997,C888)*INDEX(ForeCalc!$B$37:$Y$274,MATCH(_xlfn.CONCAT(H888," ",I888),ForeCalc!$A$37:$A$274,0),MATCH(_xlfn.CONCAT(B888," ",E888),ForeCalc!$B$36:$Y$36,0))))*VLOOKUP(A888,Calendar!$A$2:$H$9997,8,FALSE),0)</f>
        <v/>
      </c>
      <c r="G888" s="29">
        <f>VLOOKUP(A888,Calendar!$A$1:$H$9997,6,FALSE)-F888</f>
        <v/>
      </c>
      <c r="H888" s="19" t="n">
        <v>3</v>
      </c>
      <c r="I888" s="57" t="n">
        <v>6</v>
      </c>
    </row>
    <row r="889">
      <c r="A889" s="62" t="n">
        <v>47000</v>
      </c>
      <c r="B889" s="3" t="inlineStr">
        <is>
          <t>Week</t>
        </is>
      </c>
      <c r="C889" s="19" t="n">
        <v>9</v>
      </c>
      <c r="D889" s="19" t="n">
        <v>2028</v>
      </c>
      <c r="E889" s="57" t="n">
        <v>1</v>
      </c>
      <c r="F889" s="29">
        <f>ROUND(((SUMIFS(Calendar!$F$2:$F$9997,Calendar!$B$2:$B$9997,D889,Calendar!$C$2:$C$9997,C889)*INDEX(ForeCalc!$B$37:$Y$274,MATCH(_xlfn.CONCAT(H889," ",I889),ForeCalc!$A$37:$A$274,0),MATCH(_xlfn.CONCAT(B889," ",E889),ForeCalc!$B$36:$Y$36,0))))*VLOOKUP(A889,Calendar!$A$2:$H$9997,8,FALSE),0)</f>
        <v/>
      </c>
      <c r="G889" s="29">
        <f>VLOOKUP(A889,Calendar!$A$1:$H$9997,6,FALSE)-F889</f>
        <v/>
      </c>
      <c r="H889" s="19" t="n">
        <v>3</v>
      </c>
      <c r="I889" s="57" t="n">
        <v>6</v>
      </c>
    </row>
    <row r="890">
      <c r="A890" s="62" t="n">
        <v>47001</v>
      </c>
      <c r="B890" s="3" t="inlineStr">
        <is>
          <t>Week</t>
        </is>
      </c>
      <c r="C890" s="19" t="n">
        <v>9</v>
      </c>
      <c r="D890" s="19" t="n">
        <v>2028</v>
      </c>
      <c r="E890" s="57" t="n">
        <v>1</v>
      </c>
      <c r="F890" s="29">
        <f>ROUND(((SUMIFS(Calendar!$F$2:$F$9997,Calendar!$B$2:$B$9997,D890,Calendar!$C$2:$C$9997,C890)*INDEX(ForeCalc!$B$37:$Y$274,MATCH(_xlfn.CONCAT(H890," ",I890),ForeCalc!$A$37:$A$274,0),MATCH(_xlfn.CONCAT(B890," ",E890),ForeCalc!$B$36:$Y$36,0))))*VLOOKUP(A890,Calendar!$A$2:$H$9997,8,FALSE),0)</f>
        <v/>
      </c>
      <c r="G890" s="29">
        <f>VLOOKUP(A890,Calendar!$A$1:$H$9997,6,FALSE)-F890</f>
        <v/>
      </c>
      <c r="H890" s="19" t="n">
        <v>3</v>
      </c>
      <c r="I890" s="57" t="n">
        <v>6</v>
      </c>
    </row>
    <row r="891">
      <c r="A891" s="62" t="n">
        <v>47002</v>
      </c>
      <c r="B891" s="3" t="inlineStr">
        <is>
          <t>Week</t>
        </is>
      </c>
      <c r="C891" s="19" t="n">
        <v>9</v>
      </c>
      <c r="D891" s="19" t="n">
        <v>2028</v>
      </c>
      <c r="E891" s="57" t="n">
        <v>1</v>
      </c>
      <c r="F891" s="29">
        <f>ROUND(((SUMIFS(Calendar!$F$2:$F$9997,Calendar!$B$2:$B$9997,D891,Calendar!$C$2:$C$9997,C891)*INDEX(ForeCalc!$B$37:$Y$274,MATCH(_xlfn.CONCAT(H891," ",I891),ForeCalc!$A$37:$A$274,0),MATCH(_xlfn.CONCAT(B891," ",E891),ForeCalc!$B$36:$Y$36,0))))*VLOOKUP(A891,Calendar!$A$2:$H$9997,8,FALSE),0)</f>
        <v/>
      </c>
      <c r="G891" s="29">
        <f>VLOOKUP(A891,Calendar!$A$1:$H$9997,6,FALSE)-F891</f>
        <v/>
      </c>
      <c r="H891" s="19" t="n">
        <v>3</v>
      </c>
      <c r="I891" s="57" t="n">
        <v>6</v>
      </c>
    </row>
    <row r="892">
      <c r="A892" s="62" t="n">
        <v>47003</v>
      </c>
      <c r="B892" s="3" t="inlineStr">
        <is>
          <t>Week</t>
        </is>
      </c>
      <c r="C892" s="19" t="n">
        <v>9</v>
      </c>
      <c r="D892" s="19" t="n">
        <v>2028</v>
      </c>
      <c r="E892" s="57" t="n">
        <v>1</v>
      </c>
      <c r="F892" s="29">
        <f>ROUND(((SUMIFS(Calendar!$F$2:$F$9997,Calendar!$B$2:$B$9997,D892,Calendar!$C$2:$C$9997,C892)*INDEX(ForeCalc!$B$37:$Y$274,MATCH(_xlfn.CONCAT(H892," ",I892),ForeCalc!$A$37:$A$274,0),MATCH(_xlfn.CONCAT(B892," ",E892),ForeCalc!$B$36:$Y$36,0))))*VLOOKUP(A892,Calendar!$A$2:$H$9997,8,FALSE),0)</f>
        <v/>
      </c>
      <c r="G892" s="29">
        <f>VLOOKUP(A892,Calendar!$A$1:$H$9997,6,FALSE)-F892</f>
        <v/>
      </c>
      <c r="H892" s="19" t="n">
        <v>3</v>
      </c>
      <c r="I892" s="57" t="n">
        <v>6</v>
      </c>
    </row>
    <row r="893">
      <c r="A893" s="62" t="n">
        <v>47004</v>
      </c>
      <c r="B893" s="3" t="inlineStr">
        <is>
          <t>Week</t>
        </is>
      </c>
      <c r="C893" s="19" t="n">
        <v>9</v>
      </c>
      <c r="D893" s="19" t="n">
        <v>2028</v>
      </c>
      <c r="E893" s="57" t="n">
        <v>1</v>
      </c>
      <c r="F893" s="29">
        <f>ROUND(((SUMIFS(Calendar!$F$2:$F$9997,Calendar!$B$2:$B$9997,D893,Calendar!$C$2:$C$9997,C893)*INDEX(ForeCalc!$B$37:$Y$274,MATCH(_xlfn.CONCAT(H893," ",I893),ForeCalc!$A$37:$A$274,0),MATCH(_xlfn.CONCAT(B893," ",E893),ForeCalc!$B$36:$Y$36,0))))*VLOOKUP(A893,Calendar!$A$2:$H$9997,8,FALSE),0)</f>
        <v/>
      </c>
      <c r="G893" s="29">
        <f>VLOOKUP(A893,Calendar!$A$1:$H$9997,6,FALSE)-F893</f>
        <v/>
      </c>
      <c r="H893" s="19" t="n">
        <v>3</v>
      </c>
      <c r="I893" s="57" t="n">
        <v>6</v>
      </c>
    </row>
    <row r="894">
      <c r="A894" s="62" t="n">
        <v>47005</v>
      </c>
      <c r="B894" s="3" t="inlineStr">
        <is>
          <t>Sat</t>
        </is>
      </c>
      <c r="C894" s="19" t="n">
        <v>9</v>
      </c>
      <c r="D894" s="19" t="n">
        <v>2028</v>
      </c>
      <c r="E894" s="57" t="n">
        <v>1</v>
      </c>
      <c r="F894" s="29">
        <f>ROUND(((SUMIFS(Calendar!$F$2:$F$9997,Calendar!$B$2:$B$9997,D894,Calendar!$C$2:$C$9997,C894)*INDEX(ForeCalc!$B$37:$Y$274,MATCH(_xlfn.CONCAT(H894," ",I894),ForeCalc!$A$37:$A$274,0),MATCH(_xlfn.CONCAT(B894," ",E894),ForeCalc!$B$36:$Y$36,0))))*VLOOKUP(A894,Calendar!$A$2:$H$9997,8,FALSE),0)</f>
        <v/>
      </c>
      <c r="G894" s="29">
        <f>VLOOKUP(A894,Calendar!$A$1:$H$9997,6,FALSE)-F894</f>
        <v/>
      </c>
      <c r="H894" s="19" t="n">
        <v>3</v>
      </c>
      <c r="I894" s="57" t="n">
        <v>6</v>
      </c>
    </row>
    <row r="895">
      <c r="A895" s="62" t="n">
        <v>47006</v>
      </c>
      <c r="B895" s="3" t="inlineStr">
        <is>
          <t>Sun</t>
        </is>
      </c>
      <c r="C895" s="19" t="n">
        <v>9</v>
      </c>
      <c r="D895" s="19" t="n">
        <v>2028</v>
      </c>
      <c r="E895" s="57" t="n">
        <v>1</v>
      </c>
      <c r="F895" s="29">
        <f>ROUND(((SUMIFS(Calendar!$F$2:$F$9997,Calendar!$B$2:$B$9997,D895,Calendar!$C$2:$C$9997,C895)*INDEX(ForeCalc!$B$37:$Y$274,MATCH(_xlfn.CONCAT(H895," ",I895),ForeCalc!$A$37:$A$274,0),MATCH(_xlfn.CONCAT(B895," ",E895),ForeCalc!$B$36:$Y$36,0))))*VLOOKUP(A895,Calendar!$A$2:$H$9997,8,FALSE),0)</f>
        <v/>
      </c>
      <c r="G895" s="29">
        <f>VLOOKUP(A895,Calendar!$A$1:$H$9997,6,FALSE)-F895</f>
        <v/>
      </c>
      <c r="H895" s="19" t="n">
        <v>3</v>
      </c>
      <c r="I895" s="57" t="n">
        <v>6</v>
      </c>
    </row>
    <row r="896">
      <c r="A896" s="62" t="n">
        <v>47007</v>
      </c>
      <c r="B896" s="3" t="inlineStr">
        <is>
          <t>Week</t>
        </is>
      </c>
      <c r="C896" s="19" t="n">
        <v>9</v>
      </c>
      <c r="D896" s="19" t="n">
        <v>2028</v>
      </c>
      <c r="E896" s="57" t="n">
        <v>1</v>
      </c>
      <c r="F896" s="29">
        <f>ROUND(((SUMIFS(Calendar!$F$2:$F$9997,Calendar!$B$2:$B$9997,D896,Calendar!$C$2:$C$9997,C896)*INDEX(ForeCalc!$B$37:$Y$274,MATCH(_xlfn.CONCAT(H896," ",I896),ForeCalc!$A$37:$A$274,0),MATCH(_xlfn.CONCAT(B896," ",E896),ForeCalc!$B$36:$Y$36,0))))*VLOOKUP(A896,Calendar!$A$2:$H$9997,8,FALSE),0)</f>
        <v/>
      </c>
      <c r="G896" s="29">
        <f>VLOOKUP(A896,Calendar!$A$1:$H$9997,6,FALSE)-F896</f>
        <v/>
      </c>
      <c r="H896" s="19" t="n">
        <v>3</v>
      </c>
      <c r="I896" s="57" t="n">
        <v>6</v>
      </c>
    </row>
    <row r="897">
      <c r="A897" s="62" t="n">
        <v>47008</v>
      </c>
      <c r="B897" s="3" t="inlineStr">
        <is>
          <t>Week</t>
        </is>
      </c>
      <c r="C897" s="19" t="n">
        <v>9</v>
      </c>
      <c r="D897" s="19" t="n">
        <v>2028</v>
      </c>
      <c r="E897" s="57" t="n">
        <v>1</v>
      </c>
      <c r="F897" s="29">
        <f>ROUND(((SUMIFS(Calendar!$F$2:$F$9997,Calendar!$B$2:$B$9997,D897,Calendar!$C$2:$C$9997,C897)*INDEX(ForeCalc!$B$37:$Y$274,MATCH(_xlfn.CONCAT(H897," ",I897),ForeCalc!$A$37:$A$274,0),MATCH(_xlfn.CONCAT(B897," ",E897),ForeCalc!$B$36:$Y$36,0))))*VLOOKUP(A897,Calendar!$A$2:$H$9997,8,FALSE),0)</f>
        <v/>
      </c>
      <c r="G897" s="29">
        <f>VLOOKUP(A897,Calendar!$A$1:$H$9997,6,FALSE)-F897</f>
        <v/>
      </c>
      <c r="H897" s="19" t="n">
        <v>3</v>
      </c>
      <c r="I897" s="57" t="n">
        <v>6</v>
      </c>
    </row>
    <row r="898">
      <c r="A898" s="62" t="n">
        <v>47009</v>
      </c>
      <c r="B898" s="3" t="inlineStr">
        <is>
          <t>Week</t>
        </is>
      </c>
      <c r="C898" s="19" t="n">
        <v>9</v>
      </c>
      <c r="D898" s="19" t="n">
        <v>2028</v>
      </c>
      <c r="E898" s="57" t="n">
        <v>1</v>
      </c>
      <c r="F898" s="29">
        <f>ROUND(((SUMIFS(Calendar!$F$2:$F$9997,Calendar!$B$2:$B$9997,D898,Calendar!$C$2:$C$9997,C898)*INDEX(ForeCalc!$B$37:$Y$274,MATCH(_xlfn.CONCAT(H898," ",I898),ForeCalc!$A$37:$A$274,0),MATCH(_xlfn.CONCAT(B898," ",E898),ForeCalc!$B$36:$Y$36,0))))*VLOOKUP(A898,Calendar!$A$2:$H$9997,8,FALSE),0)</f>
        <v/>
      </c>
      <c r="G898" s="29">
        <f>VLOOKUP(A898,Calendar!$A$1:$H$9997,6,FALSE)-F898</f>
        <v/>
      </c>
      <c r="H898" s="19" t="n">
        <v>3</v>
      </c>
      <c r="I898" s="57" t="n">
        <v>6</v>
      </c>
    </row>
    <row r="899">
      <c r="A899" s="62" t="n">
        <v>47010</v>
      </c>
      <c r="B899" s="3" t="inlineStr">
        <is>
          <t>Week</t>
        </is>
      </c>
      <c r="C899" s="19" t="n">
        <v>9</v>
      </c>
      <c r="D899" s="19" t="n">
        <v>2028</v>
      </c>
      <c r="E899" s="57" t="n">
        <v>1</v>
      </c>
      <c r="F899" s="29">
        <f>ROUND(((SUMIFS(Calendar!$F$2:$F$9997,Calendar!$B$2:$B$9997,D899,Calendar!$C$2:$C$9997,C899)*INDEX(ForeCalc!$B$37:$Y$274,MATCH(_xlfn.CONCAT(H899," ",I899),ForeCalc!$A$37:$A$274,0),MATCH(_xlfn.CONCAT(B899," ",E899),ForeCalc!$B$36:$Y$36,0))))*VLOOKUP(A899,Calendar!$A$2:$H$9997,8,FALSE),0)</f>
        <v/>
      </c>
      <c r="G899" s="29">
        <f>VLOOKUP(A899,Calendar!$A$1:$H$9997,6,FALSE)-F899</f>
        <v/>
      </c>
      <c r="H899" s="19" t="n">
        <v>3</v>
      </c>
      <c r="I899" s="57" t="n">
        <v>6</v>
      </c>
    </row>
    <row r="900">
      <c r="A900" s="62" t="n">
        <v>47011</v>
      </c>
      <c r="B900" s="3" t="inlineStr">
        <is>
          <t>Week</t>
        </is>
      </c>
      <c r="C900" s="19" t="n">
        <v>9</v>
      </c>
      <c r="D900" s="19" t="n">
        <v>2028</v>
      </c>
      <c r="E900" s="57" t="n">
        <v>1</v>
      </c>
      <c r="F900" s="29">
        <f>ROUND(((SUMIFS(Calendar!$F$2:$F$9997,Calendar!$B$2:$B$9997,D900,Calendar!$C$2:$C$9997,C900)*INDEX(ForeCalc!$B$37:$Y$274,MATCH(_xlfn.CONCAT(H900," ",I900),ForeCalc!$A$37:$A$274,0),MATCH(_xlfn.CONCAT(B900," ",E900),ForeCalc!$B$36:$Y$36,0))))*VLOOKUP(A900,Calendar!$A$2:$H$9997,8,FALSE),0)</f>
        <v/>
      </c>
      <c r="G900" s="29">
        <f>VLOOKUP(A900,Calendar!$A$1:$H$9997,6,FALSE)-F900</f>
        <v/>
      </c>
      <c r="H900" s="19" t="n">
        <v>3</v>
      </c>
      <c r="I900" s="57" t="n">
        <v>6</v>
      </c>
    </row>
    <row r="901">
      <c r="A901" s="62" t="n">
        <v>47012</v>
      </c>
      <c r="B901" s="3" t="inlineStr">
        <is>
          <t>Sat</t>
        </is>
      </c>
      <c r="C901" s="19" t="n">
        <v>9</v>
      </c>
      <c r="D901" s="19" t="n">
        <v>2028</v>
      </c>
      <c r="E901" s="57" t="n">
        <v>1</v>
      </c>
      <c r="F901" s="29">
        <f>ROUND(((SUMIFS(Calendar!$F$2:$F$9997,Calendar!$B$2:$B$9997,D901,Calendar!$C$2:$C$9997,C901)*INDEX(ForeCalc!$B$37:$Y$274,MATCH(_xlfn.CONCAT(H901," ",I901),ForeCalc!$A$37:$A$274,0),MATCH(_xlfn.CONCAT(B901," ",E901),ForeCalc!$B$36:$Y$36,0))))*VLOOKUP(A901,Calendar!$A$2:$H$9997,8,FALSE),0)</f>
        <v/>
      </c>
      <c r="G901" s="29">
        <f>VLOOKUP(A901,Calendar!$A$1:$H$9997,6,FALSE)-F901</f>
        <v/>
      </c>
      <c r="H901" s="19" t="n">
        <v>3</v>
      </c>
      <c r="I901" s="57" t="n">
        <v>6</v>
      </c>
    </row>
    <row r="902">
      <c r="A902" s="62" t="n">
        <v>47013</v>
      </c>
      <c r="B902" s="3" t="inlineStr">
        <is>
          <t>Sun</t>
        </is>
      </c>
      <c r="C902" s="19" t="n">
        <v>9</v>
      </c>
      <c r="D902" s="19" t="n">
        <v>2028</v>
      </c>
      <c r="E902" s="57" t="n">
        <v>1</v>
      </c>
      <c r="F902" s="29">
        <f>ROUND(((SUMIFS(Calendar!$F$2:$F$9997,Calendar!$B$2:$B$9997,D902,Calendar!$C$2:$C$9997,C902)*INDEX(ForeCalc!$B$37:$Y$274,MATCH(_xlfn.CONCAT(H902," ",I902),ForeCalc!$A$37:$A$274,0),MATCH(_xlfn.CONCAT(B902," ",E902),ForeCalc!$B$36:$Y$36,0))))*VLOOKUP(A902,Calendar!$A$2:$H$9997,8,FALSE),0)</f>
        <v/>
      </c>
      <c r="G902" s="29">
        <f>VLOOKUP(A902,Calendar!$A$1:$H$9997,6,FALSE)-F902</f>
        <v/>
      </c>
      <c r="H902" s="19" t="n">
        <v>3</v>
      </c>
      <c r="I902" s="57" t="n">
        <v>6</v>
      </c>
    </row>
    <row r="903">
      <c r="A903" s="62" t="n">
        <v>47014</v>
      </c>
      <c r="B903" s="3" t="inlineStr">
        <is>
          <t>Week</t>
        </is>
      </c>
      <c r="C903" s="19" t="n">
        <v>9</v>
      </c>
      <c r="D903" s="19" t="n">
        <v>2028</v>
      </c>
      <c r="E903" s="57" t="n">
        <v>1</v>
      </c>
      <c r="F903" s="29">
        <f>ROUND(((SUMIFS(Calendar!$F$2:$F$9997,Calendar!$B$2:$B$9997,D903,Calendar!$C$2:$C$9997,C903)*INDEX(ForeCalc!$B$37:$Y$274,MATCH(_xlfn.CONCAT(H903," ",I903),ForeCalc!$A$37:$A$274,0),MATCH(_xlfn.CONCAT(B903," ",E903),ForeCalc!$B$36:$Y$36,0))))*VLOOKUP(A903,Calendar!$A$2:$H$9997,8,FALSE),0)</f>
        <v/>
      </c>
      <c r="G903" s="29">
        <f>VLOOKUP(A903,Calendar!$A$1:$H$9997,6,FALSE)-F903</f>
        <v/>
      </c>
      <c r="H903" s="19" t="n">
        <v>3</v>
      </c>
      <c r="I903" s="57" t="n">
        <v>6</v>
      </c>
    </row>
    <row r="904">
      <c r="A904" s="62" t="n">
        <v>47015</v>
      </c>
      <c r="B904" s="3" t="inlineStr">
        <is>
          <t>Week</t>
        </is>
      </c>
      <c r="C904" s="19" t="n">
        <v>9</v>
      </c>
      <c r="D904" s="19" t="n">
        <v>2028</v>
      </c>
      <c r="E904" s="57" t="n">
        <v>1</v>
      </c>
      <c r="F904" s="29">
        <f>ROUND(((SUMIFS(Calendar!$F$2:$F$9997,Calendar!$B$2:$B$9997,D904,Calendar!$C$2:$C$9997,C904)*INDEX(ForeCalc!$B$37:$Y$274,MATCH(_xlfn.CONCAT(H904," ",I904),ForeCalc!$A$37:$A$274,0),MATCH(_xlfn.CONCAT(B904," ",E904),ForeCalc!$B$36:$Y$36,0))))*VLOOKUP(A904,Calendar!$A$2:$H$9997,8,FALSE),0)</f>
        <v/>
      </c>
      <c r="G904" s="29">
        <f>VLOOKUP(A904,Calendar!$A$1:$H$9997,6,FALSE)-F904</f>
        <v/>
      </c>
      <c r="H904" s="19" t="n">
        <v>3</v>
      </c>
      <c r="I904" s="57" t="n">
        <v>6</v>
      </c>
    </row>
    <row r="905">
      <c r="A905" s="62" t="n">
        <v>47016</v>
      </c>
      <c r="B905" s="3" t="inlineStr">
        <is>
          <t>Week</t>
        </is>
      </c>
      <c r="C905" s="19" t="n">
        <v>9</v>
      </c>
      <c r="D905" s="19" t="n">
        <v>2028</v>
      </c>
      <c r="E905" s="57" t="n">
        <v>1</v>
      </c>
      <c r="F905" s="29">
        <f>ROUND(((SUMIFS(Calendar!$F$2:$F$9997,Calendar!$B$2:$B$9997,D905,Calendar!$C$2:$C$9997,C905)*INDEX(ForeCalc!$B$37:$Y$274,MATCH(_xlfn.CONCAT(H905," ",I905),ForeCalc!$A$37:$A$274,0),MATCH(_xlfn.CONCAT(B905," ",E905),ForeCalc!$B$36:$Y$36,0))))*VLOOKUP(A905,Calendar!$A$2:$H$9997,8,FALSE),0)</f>
        <v/>
      </c>
      <c r="G905" s="29">
        <f>VLOOKUP(A905,Calendar!$A$1:$H$9997,6,FALSE)-F905</f>
        <v/>
      </c>
      <c r="H905" s="19" t="n">
        <v>3</v>
      </c>
      <c r="I905" s="57" t="n">
        <v>6</v>
      </c>
    </row>
    <row r="906">
      <c r="A906" s="62" t="n">
        <v>47017</v>
      </c>
      <c r="B906" s="3" t="inlineStr">
        <is>
          <t>Week</t>
        </is>
      </c>
      <c r="C906" s="19" t="n">
        <v>9</v>
      </c>
      <c r="D906" s="19" t="n">
        <v>2028</v>
      </c>
      <c r="E906" s="57" t="n">
        <v>1</v>
      </c>
      <c r="F906" s="29">
        <f>ROUND(((SUMIFS(Calendar!$F$2:$F$9997,Calendar!$B$2:$B$9997,D906,Calendar!$C$2:$C$9997,C906)*INDEX(ForeCalc!$B$37:$Y$274,MATCH(_xlfn.CONCAT(H906," ",I906),ForeCalc!$A$37:$A$274,0),MATCH(_xlfn.CONCAT(B906," ",E906),ForeCalc!$B$36:$Y$36,0))))*VLOOKUP(A906,Calendar!$A$2:$H$9997,8,FALSE),0)</f>
        <v/>
      </c>
      <c r="G906" s="29">
        <f>VLOOKUP(A906,Calendar!$A$1:$H$9997,6,FALSE)-F906</f>
        <v/>
      </c>
      <c r="H906" s="19" t="n">
        <v>3</v>
      </c>
      <c r="I906" s="57" t="n">
        <v>6</v>
      </c>
    </row>
    <row r="907">
      <c r="A907" s="62" t="n">
        <v>47018</v>
      </c>
      <c r="B907" s="3" t="inlineStr">
        <is>
          <t>Week</t>
        </is>
      </c>
      <c r="C907" s="19" t="n">
        <v>9</v>
      </c>
      <c r="D907" s="19" t="n">
        <v>2028</v>
      </c>
      <c r="E907" s="57" t="n">
        <v>1</v>
      </c>
      <c r="F907" s="29">
        <f>ROUND(((SUMIFS(Calendar!$F$2:$F$9997,Calendar!$B$2:$B$9997,D907,Calendar!$C$2:$C$9997,C907)*INDEX(ForeCalc!$B$37:$Y$274,MATCH(_xlfn.CONCAT(H907," ",I907),ForeCalc!$A$37:$A$274,0),MATCH(_xlfn.CONCAT(B907," ",E907),ForeCalc!$B$36:$Y$36,0))))*VLOOKUP(A907,Calendar!$A$2:$H$9997,8,FALSE),0)</f>
        <v/>
      </c>
      <c r="G907" s="29">
        <f>VLOOKUP(A907,Calendar!$A$1:$H$9997,6,FALSE)-F907</f>
        <v/>
      </c>
      <c r="H907" s="19" t="n">
        <v>3</v>
      </c>
      <c r="I907" s="57" t="n">
        <v>6</v>
      </c>
    </row>
    <row r="908">
      <c r="A908" s="62" t="n">
        <v>47019</v>
      </c>
      <c r="B908" s="3" t="inlineStr">
        <is>
          <t>Sat</t>
        </is>
      </c>
      <c r="C908" s="19" t="n">
        <v>9</v>
      </c>
      <c r="D908" s="19" t="n">
        <v>2028</v>
      </c>
      <c r="E908" s="57" t="n">
        <v>1</v>
      </c>
      <c r="F908" s="29">
        <f>ROUND(((SUMIFS(Calendar!$F$2:$F$9997,Calendar!$B$2:$B$9997,D908,Calendar!$C$2:$C$9997,C908)*INDEX(ForeCalc!$B$37:$Y$274,MATCH(_xlfn.CONCAT(H908," ",I908),ForeCalc!$A$37:$A$274,0),MATCH(_xlfn.CONCAT(B908," ",E908),ForeCalc!$B$36:$Y$36,0))))*VLOOKUP(A908,Calendar!$A$2:$H$9997,8,FALSE),0)</f>
        <v/>
      </c>
      <c r="G908" s="29">
        <f>VLOOKUP(A908,Calendar!$A$1:$H$9997,6,FALSE)-F908</f>
        <v/>
      </c>
      <c r="H908" s="19" t="n">
        <v>3</v>
      </c>
      <c r="I908" s="57" t="n">
        <v>6</v>
      </c>
    </row>
    <row r="909">
      <c r="A909" s="62" t="n">
        <v>47020</v>
      </c>
      <c r="B909" s="3" t="inlineStr">
        <is>
          <t>Sun</t>
        </is>
      </c>
      <c r="C909" s="19" t="n">
        <v>9</v>
      </c>
      <c r="D909" s="19" t="n">
        <v>2028</v>
      </c>
      <c r="E909" s="57" t="n">
        <v>1</v>
      </c>
      <c r="F909" s="29">
        <f>ROUND(((SUMIFS(Calendar!$F$2:$F$9997,Calendar!$B$2:$B$9997,D909,Calendar!$C$2:$C$9997,C909)*INDEX(ForeCalc!$B$37:$Y$274,MATCH(_xlfn.CONCAT(H909," ",I909),ForeCalc!$A$37:$A$274,0),MATCH(_xlfn.CONCAT(B909," ",E909),ForeCalc!$B$36:$Y$36,0))))*VLOOKUP(A909,Calendar!$A$2:$H$9997,8,FALSE),0)</f>
        <v/>
      </c>
      <c r="G909" s="29">
        <f>VLOOKUP(A909,Calendar!$A$1:$H$9997,6,FALSE)-F909</f>
        <v/>
      </c>
      <c r="H909" s="19" t="n">
        <v>3</v>
      </c>
      <c r="I909" s="57" t="n">
        <v>6</v>
      </c>
    </row>
    <row r="910">
      <c r="A910" s="62" t="n">
        <v>47021</v>
      </c>
      <c r="B910" s="3" t="inlineStr">
        <is>
          <t>Week</t>
        </is>
      </c>
      <c r="C910" s="19" t="n">
        <v>9</v>
      </c>
      <c r="D910" s="19" t="n">
        <v>2028</v>
      </c>
      <c r="E910" s="57" t="n">
        <v>1</v>
      </c>
      <c r="F910" s="29">
        <f>ROUND(((SUMIFS(Calendar!$F$2:$F$9997,Calendar!$B$2:$B$9997,D910,Calendar!$C$2:$C$9997,C910)*INDEX(ForeCalc!$B$37:$Y$274,MATCH(_xlfn.CONCAT(H910," ",I910),ForeCalc!$A$37:$A$274,0),MATCH(_xlfn.CONCAT(B910," ",E910),ForeCalc!$B$36:$Y$36,0))))*VLOOKUP(A910,Calendar!$A$2:$H$9997,8,FALSE),0)</f>
        <v/>
      </c>
      <c r="G910" s="29">
        <f>VLOOKUP(A910,Calendar!$A$1:$H$9997,6,FALSE)-F910</f>
        <v/>
      </c>
      <c r="H910" s="19" t="n">
        <v>3</v>
      </c>
      <c r="I910" s="57" t="n">
        <v>6</v>
      </c>
    </row>
    <row r="911">
      <c r="A911" s="62" t="n">
        <v>47022</v>
      </c>
      <c r="B911" s="3" t="inlineStr">
        <is>
          <t>Week</t>
        </is>
      </c>
      <c r="C911" s="19" t="n">
        <v>9</v>
      </c>
      <c r="D911" s="19" t="n">
        <v>2028</v>
      </c>
      <c r="E911" s="57" t="n">
        <v>1</v>
      </c>
      <c r="F911" s="29">
        <f>ROUND(((SUMIFS(Calendar!$F$2:$F$9997,Calendar!$B$2:$B$9997,D911,Calendar!$C$2:$C$9997,C911)*INDEX(ForeCalc!$B$37:$Y$274,MATCH(_xlfn.CONCAT(H911," ",I911),ForeCalc!$A$37:$A$274,0),MATCH(_xlfn.CONCAT(B911," ",E911),ForeCalc!$B$36:$Y$36,0))))*VLOOKUP(A911,Calendar!$A$2:$H$9997,8,FALSE),0)</f>
        <v/>
      </c>
      <c r="G911" s="29">
        <f>VLOOKUP(A911,Calendar!$A$1:$H$9997,6,FALSE)-F911</f>
        <v/>
      </c>
      <c r="H911" s="19" t="n">
        <v>3</v>
      </c>
      <c r="I911" s="57" t="n">
        <v>6</v>
      </c>
    </row>
    <row r="912">
      <c r="A912" s="62" t="n">
        <v>47023</v>
      </c>
      <c r="B912" s="3" t="inlineStr">
        <is>
          <t>Week</t>
        </is>
      </c>
      <c r="C912" s="19" t="n">
        <v>9</v>
      </c>
      <c r="D912" s="19" t="n">
        <v>2028</v>
      </c>
      <c r="E912" s="57" t="n">
        <v>1</v>
      </c>
      <c r="F912" s="29">
        <f>ROUND(((SUMIFS(Calendar!$F$2:$F$9997,Calendar!$B$2:$B$9997,D912,Calendar!$C$2:$C$9997,C912)*INDEX(ForeCalc!$B$37:$Y$274,MATCH(_xlfn.CONCAT(H912," ",I912),ForeCalc!$A$37:$A$274,0),MATCH(_xlfn.CONCAT(B912," ",E912),ForeCalc!$B$36:$Y$36,0))))*VLOOKUP(A912,Calendar!$A$2:$H$9997,8,FALSE),0)</f>
        <v/>
      </c>
      <c r="G912" s="29">
        <f>VLOOKUP(A912,Calendar!$A$1:$H$9997,6,FALSE)-F912</f>
        <v/>
      </c>
      <c r="H912" s="19" t="n">
        <v>3</v>
      </c>
      <c r="I912" s="57" t="n">
        <v>6</v>
      </c>
    </row>
    <row r="913">
      <c r="A913" s="62" t="n">
        <v>47024</v>
      </c>
      <c r="B913" s="3" t="inlineStr">
        <is>
          <t>Week</t>
        </is>
      </c>
      <c r="C913" s="19" t="n">
        <v>9</v>
      </c>
      <c r="D913" s="19" t="n">
        <v>2028</v>
      </c>
      <c r="E913" s="57" t="n">
        <v>1</v>
      </c>
      <c r="F913" s="29">
        <f>ROUND(((SUMIFS(Calendar!$F$2:$F$9997,Calendar!$B$2:$B$9997,D913,Calendar!$C$2:$C$9997,C913)*INDEX(ForeCalc!$B$37:$Y$274,MATCH(_xlfn.CONCAT(H913," ",I913),ForeCalc!$A$37:$A$274,0),MATCH(_xlfn.CONCAT(B913," ",E913),ForeCalc!$B$36:$Y$36,0))))*VLOOKUP(A913,Calendar!$A$2:$H$9997,8,FALSE),0)</f>
        <v/>
      </c>
      <c r="G913" s="29">
        <f>VLOOKUP(A913,Calendar!$A$1:$H$9997,6,FALSE)-F913</f>
        <v/>
      </c>
      <c r="H913" s="19" t="n">
        <v>3</v>
      </c>
      <c r="I913" s="57" t="n">
        <v>6</v>
      </c>
    </row>
    <row r="914">
      <c r="A914" s="62" t="n">
        <v>47025</v>
      </c>
      <c r="B914" s="3" t="inlineStr">
        <is>
          <t>Week</t>
        </is>
      </c>
      <c r="C914" s="19" t="n">
        <v>9</v>
      </c>
      <c r="D914" s="19" t="n">
        <v>2028</v>
      </c>
      <c r="E914" s="57" t="n">
        <v>1</v>
      </c>
      <c r="F914" s="29">
        <f>ROUND(((SUMIFS(Calendar!$F$2:$F$9997,Calendar!$B$2:$B$9997,D914,Calendar!$C$2:$C$9997,C914)*INDEX(ForeCalc!$B$37:$Y$274,MATCH(_xlfn.CONCAT(H914," ",I914),ForeCalc!$A$37:$A$274,0),MATCH(_xlfn.CONCAT(B914," ",E914),ForeCalc!$B$36:$Y$36,0))))*VLOOKUP(A914,Calendar!$A$2:$H$9997,8,FALSE),0)</f>
        <v/>
      </c>
      <c r="G914" s="29">
        <f>VLOOKUP(A914,Calendar!$A$1:$H$9997,6,FALSE)-F914</f>
        <v/>
      </c>
      <c r="H914" s="19" t="n">
        <v>3</v>
      </c>
      <c r="I914" s="57" t="n">
        <v>6</v>
      </c>
    </row>
    <row r="915">
      <c r="A915" s="62" t="n">
        <v>47026</v>
      </c>
      <c r="B915" s="3" t="inlineStr">
        <is>
          <t>Sat</t>
        </is>
      </c>
      <c r="C915" s="19" t="n">
        <v>9</v>
      </c>
      <c r="D915" s="19" t="n">
        <v>2028</v>
      </c>
      <c r="E915" s="57" t="n">
        <v>1</v>
      </c>
      <c r="F915" s="29">
        <f>ROUND(((SUMIFS(Calendar!$F$2:$F$9997,Calendar!$B$2:$B$9997,D915,Calendar!$C$2:$C$9997,C915)*INDEX(ForeCalc!$B$37:$Y$274,MATCH(_xlfn.CONCAT(H915," ",I915),ForeCalc!$A$37:$A$274,0),MATCH(_xlfn.CONCAT(B915," ",E915),ForeCalc!$B$36:$Y$36,0))))*VLOOKUP(A915,Calendar!$A$2:$H$9997,8,FALSE),0)</f>
        <v/>
      </c>
      <c r="G915" s="29">
        <f>VLOOKUP(A915,Calendar!$A$1:$H$9997,6,FALSE)-F915</f>
        <v/>
      </c>
      <c r="H915" s="19" t="n">
        <v>3</v>
      </c>
      <c r="I915" s="57" t="n">
        <v>6</v>
      </c>
    </row>
    <row r="916">
      <c r="A916" s="62" t="n">
        <v>47027</v>
      </c>
      <c r="B916" s="3" t="inlineStr">
        <is>
          <t>Sun</t>
        </is>
      </c>
      <c r="C916" s="19" t="n">
        <v>10</v>
      </c>
      <c r="D916" s="19" t="n">
        <v>2028</v>
      </c>
      <c r="E916" s="57" t="n">
        <v>1</v>
      </c>
      <c r="F916" s="29">
        <f>ROUND(((SUMIFS(Calendar!$F$2:$F$9997,Calendar!$B$2:$B$9997,D916,Calendar!$C$2:$C$9997,C916)*INDEX(ForeCalc!$B$37:$Y$274,MATCH(_xlfn.CONCAT(H916," ",I916),ForeCalc!$A$37:$A$274,0),MATCH(_xlfn.CONCAT(B916," ",E916),ForeCalc!$B$36:$Y$36,0))))*VLOOKUP(A916,Calendar!$A$2:$H$9997,8,FALSE),0)</f>
        <v/>
      </c>
      <c r="G916" s="29">
        <f>VLOOKUP(A916,Calendar!$A$1:$H$9997,6,FALSE)-F916</f>
        <v/>
      </c>
      <c r="H916" s="19" t="n">
        <v>3</v>
      </c>
      <c r="I916" s="57" t="n">
        <v>7</v>
      </c>
    </row>
    <row r="917">
      <c r="A917" s="62" t="n">
        <v>47028</v>
      </c>
      <c r="B917" s="3" t="inlineStr">
        <is>
          <t>Week</t>
        </is>
      </c>
      <c r="C917" s="19" t="n">
        <v>10</v>
      </c>
      <c r="D917" s="19" t="n">
        <v>2028</v>
      </c>
      <c r="E917" s="57" t="n">
        <v>1</v>
      </c>
      <c r="F917" s="29">
        <f>ROUND(((SUMIFS(Calendar!$F$2:$F$9997,Calendar!$B$2:$B$9997,D917,Calendar!$C$2:$C$9997,C917)*INDEX(ForeCalc!$B$37:$Y$274,MATCH(_xlfn.CONCAT(H917," ",I917),ForeCalc!$A$37:$A$274,0),MATCH(_xlfn.CONCAT(B917," ",E917),ForeCalc!$B$36:$Y$36,0))))*VLOOKUP(A917,Calendar!$A$2:$H$9997,8,FALSE),0)</f>
        <v/>
      </c>
      <c r="G917" s="29">
        <f>VLOOKUP(A917,Calendar!$A$1:$H$9997,6,FALSE)-F917</f>
        <v/>
      </c>
      <c r="H917" s="19" t="n">
        <v>3</v>
      </c>
      <c r="I917" s="57" t="n">
        <v>7</v>
      </c>
    </row>
    <row r="918">
      <c r="A918" s="62" t="n">
        <v>47029</v>
      </c>
      <c r="B918" s="3" t="inlineStr">
        <is>
          <t>Week</t>
        </is>
      </c>
      <c r="C918" s="19" t="n">
        <v>10</v>
      </c>
      <c r="D918" s="19" t="n">
        <v>2028</v>
      </c>
      <c r="E918" s="57" t="n">
        <v>1</v>
      </c>
      <c r="F918" s="29">
        <f>ROUND(((SUMIFS(Calendar!$F$2:$F$9997,Calendar!$B$2:$B$9997,D918,Calendar!$C$2:$C$9997,C918)*INDEX(ForeCalc!$B$37:$Y$274,MATCH(_xlfn.CONCAT(H918," ",I918),ForeCalc!$A$37:$A$274,0),MATCH(_xlfn.CONCAT(B918," ",E918),ForeCalc!$B$36:$Y$36,0))))*VLOOKUP(A918,Calendar!$A$2:$H$9997,8,FALSE),0)</f>
        <v/>
      </c>
      <c r="G918" s="29">
        <f>VLOOKUP(A918,Calendar!$A$1:$H$9997,6,FALSE)-F918</f>
        <v/>
      </c>
      <c r="H918" s="19" t="n">
        <v>3</v>
      </c>
      <c r="I918" s="57" t="n">
        <v>7</v>
      </c>
    </row>
    <row r="919">
      <c r="A919" s="62" t="n">
        <v>47030</v>
      </c>
      <c r="B919" s="3" t="inlineStr">
        <is>
          <t>Week</t>
        </is>
      </c>
      <c r="C919" s="19" t="n">
        <v>10</v>
      </c>
      <c r="D919" s="19" t="n">
        <v>2028</v>
      </c>
      <c r="E919" s="57" t="n">
        <v>1</v>
      </c>
      <c r="F919" s="29">
        <f>ROUND(((SUMIFS(Calendar!$F$2:$F$9997,Calendar!$B$2:$B$9997,D919,Calendar!$C$2:$C$9997,C919)*INDEX(ForeCalc!$B$37:$Y$274,MATCH(_xlfn.CONCAT(H919," ",I919),ForeCalc!$A$37:$A$274,0),MATCH(_xlfn.CONCAT(B919," ",E919),ForeCalc!$B$36:$Y$36,0))))*VLOOKUP(A919,Calendar!$A$2:$H$9997,8,FALSE),0)</f>
        <v/>
      </c>
      <c r="G919" s="29">
        <f>VLOOKUP(A919,Calendar!$A$1:$H$9997,6,FALSE)-F919</f>
        <v/>
      </c>
      <c r="H919" s="19" t="n">
        <v>3</v>
      </c>
      <c r="I919" s="57" t="n">
        <v>7</v>
      </c>
    </row>
    <row r="920">
      <c r="A920" s="62" t="n">
        <v>47031</v>
      </c>
      <c r="B920" s="3" t="inlineStr">
        <is>
          <t>Week</t>
        </is>
      </c>
      <c r="C920" s="19" t="n">
        <v>10</v>
      </c>
      <c r="D920" s="19" t="n">
        <v>2028</v>
      </c>
      <c r="E920" s="57" t="n">
        <v>1</v>
      </c>
      <c r="F920" s="29">
        <f>ROUND(((SUMIFS(Calendar!$F$2:$F$9997,Calendar!$B$2:$B$9997,D920,Calendar!$C$2:$C$9997,C920)*INDEX(ForeCalc!$B$37:$Y$274,MATCH(_xlfn.CONCAT(H920," ",I920),ForeCalc!$A$37:$A$274,0),MATCH(_xlfn.CONCAT(B920," ",E920),ForeCalc!$B$36:$Y$36,0))))*VLOOKUP(A920,Calendar!$A$2:$H$9997,8,FALSE),0)</f>
        <v/>
      </c>
      <c r="G920" s="29">
        <f>VLOOKUP(A920,Calendar!$A$1:$H$9997,6,FALSE)-F920</f>
        <v/>
      </c>
      <c r="H920" s="19" t="n">
        <v>3</v>
      </c>
      <c r="I920" s="57" t="n">
        <v>7</v>
      </c>
    </row>
    <row r="921">
      <c r="A921" s="62" t="n">
        <v>47032</v>
      </c>
      <c r="B921" s="3" t="inlineStr">
        <is>
          <t>Week</t>
        </is>
      </c>
      <c r="C921" s="19" t="n">
        <v>10</v>
      </c>
      <c r="D921" s="19" t="n">
        <v>2028</v>
      </c>
      <c r="E921" s="57" t="n">
        <v>1</v>
      </c>
      <c r="F921" s="29">
        <f>ROUND(((SUMIFS(Calendar!$F$2:$F$9997,Calendar!$B$2:$B$9997,D921,Calendar!$C$2:$C$9997,C921)*INDEX(ForeCalc!$B$37:$Y$274,MATCH(_xlfn.CONCAT(H921," ",I921),ForeCalc!$A$37:$A$274,0),MATCH(_xlfn.CONCAT(B921," ",E921),ForeCalc!$B$36:$Y$36,0))))*VLOOKUP(A921,Calendar!$A$2:$H$9997,8,FALSE),0)</f>
        <v/>
      </c>
      <c r="G921" s="29">
        <f>VLOOKUP(A921,Calendar!$A$1:$H$9997,6,FALSE)-F921</f>
        <v/>
      </c>
      <c r="H921" s="19" t="n">
        <v>3</v>
      </c>
      <c r="I921" s="57" t="n">
        <v>7</v>
      </c>
    </row>
    <row r="922">
      <c r="A922" s="62" t="n">
        <v>47033</v>
      </c>
      <c r="B922" s="3" t="inlineStr">
        <is>
          <t>Sat</t>
        </is>
      </c>
      <c r="C922" s="19" t="n">
        <v>10</v>
      </c>
      <c r="D922" s="19" t="n">
        <v>2028</v>
      </c>
      <c r="E922" s="57" t="n">
        <v>1</v>
      </c>
      <c r="F922" s="29">
        <f>ROUND(((SUMIFS(Calendar!$F$2:$F$9997,Calendar!$B$2:$B$9997,D922,Calendar!$C$2:$C$9997,C922)*INDEX(ForeCalc!$B$37:$Y$274,MATCH(_xlfn.CONCAT(H922," ",I922),ForeCalc!$A$37:$A$274,0),MATCH(_xlfn.CONCAT(B922," ",E922),ForeCalc!$B$36:$Y$36,0))))*VLOOKUP(A922,Calendar!$A$2:$H$9997,8,FALSE),0)</f>
        <v/>
      </c>
      <c r="G922" s="29">
        <f>VLOOKUP(A922,Calendar!$A$1:$H$9997,6,FALSE)-F922</f>
        <v/>
      </c>
      <c r="H922" s="19" t="n">
        <v>3</v>
      </c>
      <c r="I922" s="57" t="n">
        <v>7</v>
      </c>
    </row>
    <row r="923">
      <c r="A923" s="62" t="n">
        <v>47034</v>
      </c>
      <c r="B923" s="3" t="inlineStr">
        <is>
          <t>Sun</t>
        </is>
      </c>
      <c r="C923" s="19" t="n">
        <v>10</v>
      </c>
      <c r="D923" s="19" t="n">
        <v>2028</v>
      </c>
      <c r="E923" s="57" t="n">
        <v>1</v>
      </c>
      <c r="F923" s="29">
        <f>ROUND(((SUMIFS(Calendar!$F$2:$F$9997,Calendar!$B$2:$B$9997,D923,Calendar!$C$2:$C$9997,C923)*INDEX(ForeCalc!$B$37:$Y$274,MATCH(_xlfn.CONCAT(H923," ",I923),ForeCalc!$A$37:$A$274,0),MATCH(_xlfn.CONCAT(B923," ",E923),ForeCalc!$B$36:$Y$36,0))))*VLOOKUP(A923,Calendar!$A$2:$H$9997,8,FALSE),0)</f>
        <v/>
      </c>
      <c r="G923" s="29">
        <f>VLOOKUP(A923,Calendar!$A$1:$H$9997,6,FALSE)-F923</f>
        <v/>
      </c>
      <c r="H923" s="19" t="n">
        <v>3</v>
      </c>
      <c r="I923" s="57" t="n">
        <v>7</v>
      </c>
    </row>
    <row r="924">
      <c r="A924" s="62" t="n">
        <v>47035</v>
      </c>
      <c r="B924" s="3" t="inlineStr">
        <is>
          <t>Week</t>
        </is>
      </c>
      <c r="C924" s="19" t="n">
        <v>10</v>
      </c>
      <c r="D924" s="19" t="n">
        <v>2028</v>
      </c>
      <c r="E924" s="57" t="n">
        <v>1</v>
      </c>
      <c r="F924" s="29">
        <f>ROUND(((SUMIFS(Calendar!$F$2:$F$9997,Calendar!$B$2:$B$9997,D924,Calendar!$C$2:$C$9997,C924)*INDEX(ForeCalc!$B$37:$Y$274,MATCH(_xlfn.CONCAT(H924," ",I924),ForeCalc!$A$37:$A$274,0),MATCH(_xlfn.CONCAT(B924," ",E924),ForeCalc!$B$36:$Y$36,0))))*VLOOKUP(A924,Calendar!$A$2:$H$9997,8,FALSE),0)</f>
        <v/>
      </c>
      <c r="G924" s="29">
        <f>VLOOKUP(A924,Calendar!$A$1:$H$9997,6,FALSE)-F924</f>
        <v/>
      </c>
      <c r="H924" s="19" t="n">
        <v>3</v>
      </c>
      <c r="I924" s="57" t="n">
        <v>7</v>
      </c>
    </row>
    <row r="925">
      <c r="A925" s="62" t="n">
        <v>47036</v>
      </c>
      <c r="B925" s="3" t="inlineStr">
        <is>
          <t>Week</t>
        </is>
      </c>
      <c r="C925" s="19" t="n">
        <v>10</v>
      </c>
      <c r="D925" s="19" t="n">
        <v>2028</v>
      </c>
      <c r="E925" s="57" t="n">
        <v>1</v>
      </c>
      <c r="F925" s="29">
        <f>ROUND(((SUMIFS(Calendar!$F$2:$F$9997,Calendar!$B$2:$B$9997,D925,Calendar!$C$2:$C$9997,C925)*INDEX(ForeCalc!$B$37:$Y$274,MATCH(_xlfn.CONCAT(H925," ",I925),ForeCalc!$A$37:$A$274,0),MATCH(_xlfn.CONCAT(B925," ",E925),ForeCalc!$B$36:$Y$36,0))))*VLOOKUP(A925,Calendar!$A$2:$H$9997,8,FALSE),0)</f>
        <v/>
      </c>
      <c r="G925" s="29">
        <f>VLOOKUP(A925,Calendar!$A$1:$H$9997,6,FALSE)-F925</f>
        <v/>
      </c>
      <c r="H925" s="19" t="n">
        <v>3</v>
      </c>
      <c r="I925" s="57" t="n">
        <v>7</v>
      </c>
    </row>
    <row r="926">
      <c r="A926" s="62" t="n">
        <v>47037</v>
      </c>
      <c r="B926" s="3" t="inlineStr">
        <is>
          <t>Week</t>
        </is>
      </c>
      <c r="C926" s="19" t="n">
        <v>10</v>
      </c>
      <c r="D926" s="19" t="n">
        <v>2028</v>
      </c>
      <c r="E926" s="57" t="n">
        <v>1</v>
      </c>
      <c r="F926" s="29">
        <f>ROUND(((SUMIFS(Calendar!$F$2:$F$9997,Calendar!$B$2:$B$9997,D926,Calendar!$C$2:$C$9997,C926)*INDEX(ForeCalc!$B$37:$Y$274,MATCH(_xlfn.CONCAT(H926," ",I926),ForeCalc!$A$37:$A$274,0),MATCH(_xlfn.CONCAT(B926," ",E926),ForeCalc!$B$36:$Y$36,0))))*VLOOKUP(A926,Calendar!$A$2:$H$9997,8,FALSE),0)</f>
        <v/>
      </c>
      <c r="G926" s="29">
        <f>VLOOKUP(A926,Calendar!$A$1:$H$9997,6,FALSE)-F926</f>
        <v/>
      </c>
      <c r="H926" s="19" t="n">
        <v>3</v>
      </c>
      <c r="I926" s="57" t="n">
        <v>7</v>
      </c>
    </row>
    <row r="927">
      <c r="A927" s="62" t="n">
        <v>47038</v>
      </c>
      <c r="B927" s="3" t="inlineStr">
        <is>
          <t>Week</t>
        </is>
      </c>
      <c r="C927" s="19" t="n">
        <v>10</v>
      </c>
      <c r="D927" s="19" t="n">
        <v>2028</v>
      </c>
      <c r="E927" s="57" t="n">
        <v>1</v>
      </c>
      <c r="F927" s="29">
        <f>ROUND(((SUMIFS(Calendar!$F$2:$F$9997,Calendar!$B$2:$B$9997,D927,Calendar!$C$2:$C$9997,C927)*INDEX(ForeCalc!$B$37:$Y$274,MATCH(_xlfn.CONCAT(H927," ",I927),ForeCalc!$A$37:$A$274,0),MATCH(_xlfn.CONCAT(B927," ",E927),ForeCalc!$B$36:$Y$36,0))))*VLOOKUP(A927,Calendar!$A$2:$H$9997,8,FALSE),0)</f>
        <v/>
      </c>
      <c r="G927" s="29">
        <f>VLOOKUP(A927,Calendar!$A$1:$H$9997,6,FALSE)-F927</f>
        <v/>
      </c>
      <c r="H927" s="19" t="n">
        <v>3</v>
      </c>
      <c r="I927" s="57" t="n">
        <v>7</v>
      </c>
    </row>
    <row r="928">
      <c r="A928" s="62" t="n">
        <v>47039</v>
      </c>
      <c r="B928" s="3" t="inlineStr">
        <is>
          <t>Week</t>
        </is>
      </c>
      <c r="C928" s="19" t="n">
        <v>10</v>
      </c>
      <c r="D928" s="19" t="n">
        <v>2028</v>
      </c>
      <c r="E928" s="57" t="n">
        <v>1</v>
      </c>
      <c r="F928" s="29">
        <f>ROUND(((SUMIFS(Calendar!$F$2:$F$9997,Calendar!$B$2:$B$9997,D928,Calendar!$C$2:$C$9997,C928)*INDEX(ForeCalc!$B$37:$Y$274,MATCH(_xlfn.CONCAT(H928," ",I928),ForeCalc!$A$37:$A$274,0),MATCH(_xlfn.CONCAT(B928," ",E928),ForeCalc!$B$36:$Y$36,0))))*VLOOKUP(A928,Calendar!$A$2:$H$9997,8,FALSE),0)</f>
        <v/>
      </c>
      <c r="G928" s="29">
        <f>VLOOKUP(A928,Calendar!$A$1:$H$9997,6,FALSE)-F928</f>
        <v/>
      </c>
      <c r="H928" s="19" t="n">
        <v>3</v>
      </c>
      <c r="I928" s="57" t="n">
        <v>7</v>
      </c>
    </row>
    <row r="929">
      <c r="A929" s="62" t="n">
        <v>47040</v>
      </c>
      <c r="B929" s="3" t="inlineStr">
        <is>
          <t>Sat</t>
        </is>
      </c>
      <c r="C929" s="19" t="n">
        <v>10</v>
      </c>
      <c r="D929" s="19" t="n">
        <v>2028</v>
      </c>
      <c r="E929" s="57" t="n">
        <v>1</v>
      </c>
      <c r="F929" s="29">
        <f>ROUND(((SUMIFS(Calendar!$F$2:$F$9997,Calendar!$B$2:$B$9997,D929,Calendar!$C$2:$C$9997,C929)*INDEX(ForeCalc!$B$37:$Y$274,MATCH(_xlfn.CONCAT(H929," ",I929),ForeCalc!$A$37:$A$274,0),MATCH(_xlfn.CONCAT(B929," ",E929),ForeCalc!$B$36:$Y$36,0))))*VLOOKUP(A929,Calendar!$A$2:$H$9997,8,FALSE),0)</f>
        <v/>
      </c>
      <c r="G929" s="29">
        <f>VLOOKUP(A929,Calendar!$A$1:$H$9997,6,FALSE)-F929</f>
        <v/>
      </c>
      <c r="H929" s="19" t="n">
        <v>3</v>
      </c>
      <c r="I929" s="57" t="n">
        <v>7</v>
      </c>
    </row>
    <row r="930">
      <c r="A930" s="62" t="n">
        <v>47041</v>
      </c>
      <c r="B930" s="3" t="inlineStr">
        <is>
          <t>Sun</t>
        </is>
      </c>
      <c r="C930" s="19" t="n">
        <v>10</v>
      </c>
      <c r="D930" s="19" t="n">
        <v>2028</v>
      </c>
      <c r="E930" s="57" t="n">
        <v>1</v>
      </c>
      <c r="F930" s="29">
        <f>ROUND(((SUMIFS(Calendar!$F$2:$F$9997,Calendar!$B$2:$B$9997,D930,Calendar!$C$2:$C$9997,C930)*INDEX(ForeCalc!$B$37:$Y$274,MATCH(_xlfn.CONCAT(H930," ",I930),ForeCalc!$A$37:$A$274,0),MATCH(_xlfn.CONCAT(B930," ",E930),ForeCalc!$B$36:$Y$36,0))))*VLOOKUP(A930,Calendar!$A$2:$H$9997,8,FALSE),0)</f>
        <v/>
      </c>
      <c r="G930" s="29">
        <f>VLOOKUP(A930,Calendar!$A$1:$H$9997,6,FALSE)-F930</f>
        <v/>
      </c>
      <c r="H930" s="19" t="n">
        <v>3</v>
      </c>
      <c r="I930" s="57" t="n">
        <v>7</v>
      </c>
    </row>
    <row r="931">
      <c r="A931" s="62" t="n">
        <v>47042</v>
      </c>
      <c r="B931" s="3" t="inlineStr">
        <is>
          <t>Week</t>
        </is>
      </c>
      <c r="C931" s="19" t="n">
        <v>10</v>
      </c>
      <c r="D931" s="19" t="n">
        <v>2028</v>
      </c>
      <c r="E931" s="57" t="n">
        <v>1</v>
      </c>
      <c r="F931" s="29">
        <f>ROUND(((SUMIFS(Calendar!$F$2:$F$9997,Calendar!$B$2:$B$9997,D931,Calendar!$C$2:$C$9997,C931)*INDEX(ForeCalc!$B$37:$Y$274,MATCH(_xlfn.CONCAT(H931," ",I931),ForeCalc!$A$37:$A$274,0),MATCH(_xlfn.CONCAT(B931," ",E931),ForeCalc!$B$36:$Y$36,0))))*VLOOKUP(A931,Calendar!$A$2:$H$9997,8,FALSE),0)</f>
        <v/>
      </c>
      <c r="G931" s="29">
        <f>VLOOKUP(A931,Calendar!$A$1:$H$9997,6,FALSE)-F931</f>
        <v/>
      </c>
      <c r="H931" s="19" t="n">
        <v>3</v>
      </c>
      <c r="I931" s="57" t="n">
        <v>7</v>
      </c>
    </row>
    <row r="932">
      <c r="A932" s="62" t="n">
        <v>47043</v>
      </c>
      <c r="B932" s="3" t="inlineStr">
        <is>
          <t>Week</t>
        </is>
      </c>
      <c r="C932" s="19" t="n">
        <v>10</v>
      </c>
      <c r="D932" s="19" t="n">
        <v>2028</v>
      </c>
      <c r="E932" s="57" t="n">
        <v>1</v>
      </c>
      <c r="F932" s="29">
        <f>ROUND(((SUMIFS(Calendar!$F$2:$F$9997,Calendar!$B$2:$B$9997,D932,Calendar!$C$2:$C$9997,C932)*INDEX(ForeCalc!$B$37:$Y$274,MATCH(_xlfn.CONCAT(H932," ",I932),ForeCalc!$A$37:$A$274,0),MATCH(_xlfn.CONCAT(B932," ",E932),ForeCalc!$B$36:$Y$36,0))))*VLOOKUP(A932,Calendar!$A$2:$H$9997,8,FALSE),0)</f>
        <v/>
      </c>
      <c r="G932" s="29">
        <f>VLOOKUP(A932,Calendar!$A$1:$H$9997,6,FALSE)-F932</f>
        <v/>
      </c>
      <c r="H932" s="19" t="n">
        <v>3</v>
      </c>
      <c r="I932" s="57" t="n">
        <v>7</v>
      </c>
    </row>
    <row r="933">
      <c r="A933" s="62" t="n">
        <v>47044</v>
      </c>
      <c r="B933" s="3" t="inlineStr">
        <is>
          <t>Week</t>
        </is>
      </c>
      <c r="C933" s="19" t="n">
        <v>10</v>
      </c>
      <c r="D933" s="19" t="n">
        <v>2028</v>
      </c>
      <c r="E933" s="57" t="n">
        <v>1</v>
      </c>
      <c r="F933" s="29">
        <f>ROUND(((SUMIFS(Calendar!$F$2:$F$9997,Calendar!$B$2:$B$9997,D933,Calendar!$C$2:$C$9997,C933)*INDEX(ForeCalc!$B$37:$Y$274,MATCH(_xlfn.CONCAT(H933," ",I933),ForeCalc!$A$37:$A$274,0),MATCH(_xlfn.CONCAT(B933," ",E933),ForeCalc!$B$36:$Y$36,0))))*VLOOKUP(A933,Calendar!$A$2:$H$9997,8,FALSE),0)</f>
        <v/>
      </c>
      <c r="G933" s="29">
        <f>VLOOKUP(A933,Calendar!$A$1:$H$9997,6,FALSE)-F933</f>
        <v/>
      </c>
      <c r="H933" s="19" t="n">
        <v>3</v>
      </c>
      <c r="I933" s="57" t="n">
        <v>7</v>
      </c>
    </row>
    <row r="934">
      <c r="A934" s="62" t="n">
        <v>47045</v>
      </c>
      <c r="B934" s="3" t="inlineStr">
        <is>
          <t>Week</t>
        </is>
      </c>
      <c r="C934" s="19" t="n">
        <v>10</v>
      </c>
      <c r="D934" s="19" t="n">
        <v>2028</v>
      </c>
      <c r="E934" s="57" t="n">
        <v>1</v>
      </c>
      <c r="F934" s="29">
        <f>ROUND(((SUMIFS(Calendar!$F$2:$F$9997,Calendar!$B$2:$B$9997,D934,Calendar!$C$2:$C$9997,C934)*INDEX(ForeCalc!$B$37:$Y$274,MATCH(_xlfn.CONCAT(H934," ",I934),ForeCalc!$A$37:$A$274,0),MATCH(_xlfn.CONCAT(B934," ",E934),ForeCalc!$B$36:$Y$36,0))))*VLOOKUP(A934,Calendar!$A$2:$H$9997,8,FALSE),0)</f>
        <v/>
      </c>
      <c r="G934" s="29">
        <f>VLOOKUP(A934,Calendar!$A$1:$H$9997,6,FALSE)-F934</f>
        <v/>
      </c>
      <c r="H934" s="19" t="n">
        <v>3</v>
      </c>
      <c r="I934" s="57" t="n">
        <v>7</v>
      </c>
    </row>
    <row r="935">
      <c r="A935" s="62" t="n">
        <v>47046</v>
      </c>
      <c r="B935" s="3" t="inlineStr">
        <is>
          <t>Week</t>
        </is>
      </c>
      <c r="C935" s="19" t="n">
        <v>10</v>
      </c>
      <c r="D935" s="19" t="n">
        <v>2028</v>
      </c>
      <c r="E935" s="57" t="n">
        <v>1</v>
      </c>
      <c r="F935" s="29">
        <f>ROUND(((SUMIFS(Calendar!$F$2:$F$9997,Calendar!$B$2:$B$9997,D935,Calendar!$C$2:$C$9997,C935)*INDEX(ForeCalc!$B$37:$Y$274,MATCH(_xlfn.CONCAT(H935," ",I935),ForeCalc!$A$37:$A$274,0),MATCH(_xlfn.CONCAT(B935," ",E935),ForeCalc!$B$36:$Y$36,0))))*VLOOKUP(A935,Calendar!$A$2:$H$9997,8,FALSE),0)</f>
        <v/>
      </c>
      <c r="G935" s="29">
        <f>VLOOKUP(A935,Calendar!$A$1:$H$9997,6,FALSE)-F935</f>
        <v/>
      </c>
      <c r="H935" s="19" t="n">
        <v>3</v>
      </c>
      <c r="I935" s="57" t="n">
        <v>7</v>
      </c>
    </row>
    <row r="936">
      <c r="A936" s="62" t="n">
        <v>47047</v>
      </c>
      <c r="B936" s="3" t="inlineStr">
        <is>
          <t>Sat</t>
        </is>
      </c>
      <c r="C936" s="19" t="n">
        <v>10</v>
      </c>
      <c r="D936" s="19" t="n">
        <v>2028</v>
      </c>
      <c r="E936" s="57" t="n">
        <v>1</v>
      </c>
      <c r="F936" s="29">
        <f>ROUND(((SUMIFS(Calendar!$F$2:$F$9997,Calendar!$B$2:$B$9997,D936,Calendar!$C$2:$C$9997,C936)*INDEX(ForeCalc!$B$37:$Y$274,MATCH(_xlfn.CONCAT(H936," ",I936),ForeCalc!$A$37:$A$274,0),MATCH(_xlfn.CONCAT(B936," ",E936),ForeCalc!$B$36:$Y$36,0))))*VLOOKUP(A936,Calendar!$A$2:$H$9997,8,FALSE),0)</f>
        <v/>
      </c>
      <c r="G936" s="29">
        <f>VLOOKUP(A936,Calendar!$A$1:$H$9997,6,FALSE)-F936</f>
        <v/>
      </c>
      <c r="H936" s="19" t="n">
        <v>3</v>
      </c>
      <c r="I936" s="57" t="n">
        <v>7</v>
      </c>
    </row>
    <row r="937">
      <c r="A937" s="62" t="n">
        <v>47048</v>
      </c>
      <c r="B937" s="3" t="inlineStr">
        <is>
          <t>Sun</t>
        </is>
      </c>
      <c r="C937" s="19" t="n">
        <v>10</v>
      </c>
      <c r="D937" s="19" t="n">
        <v>2028</v>
      </c>
      <c r="E937" s="57" t="n">
        <v>1</v>
      </c>
      <c r="F937" s="29">
        <f>ROUND(((SUMIFS(Calendar!$F$2:$F$9997,Calendar!$B$2:$B$9997,D937,Calendar!$C$2:$C$9997,C937)*INDEX(ForeCalc!$B$37:$Y$274,MATCH(_xlfn.CONCAT(H937," ",I937),ForeCalc!$A$37:$A$274,0),MATCH(_xlfn.CONCAT(B937," ",E937),ForeCalc!$B$36:$Y$36,0))))*VLOOKUP(A937,Calendar!$A$2:$H$9997,8,FALSE),0)</f>
        <v/>
      </c>
      <c r="G937" s="29">
        <f>VLOOKUP(A937,Calendar!$A$1:$H$9997,6,FALSE)-F937</f>
        <v/>
      </c>
      <c r="H937" s="19" t="n">
        <v>3</v>
      </c>
      <c r="I937" s="57" t="n">
        <v>7</v>
      </c>
    </row>
    <row r="938">
      <c r="A938" s="62" t="n">
        <v>47049</v>
      </c>
      <c r="B938" s="3" t="inlineStr">
        <is>
          <t>Week</t>
        </is>
      </c>
      <c r="C938" s="19" t="n">
        <v>10</v>
      </c>
      <c r="D938" s="19" t="n">
        <v>2028</v>
      </c>
      <c r="E938" s="57" t="n">
        <v>1</v>
      </c>
      <c r="F938" s="29">
        <f>ROUND(((SUMIFS(Calendar!$F$2:$F$9997,Calendar!$B$2:$B$9997,D938,Calendar!$C$2:$C$9997,C938)*INDEX(ForeCalc!$B$37:$Y$274,MATCH(_xlfn.CONCAT(H938," ",I938),ForeCalc!$A$37:$A$274,0),MATCH(_xlfn.CONCAT(B938," ",E938),ForeCalc!$B$36:$Y$36,0))))*VLOOKUP(A938,Calendar!$A$2:$H$9997,8,FALSE),0)</f>
        <v/>
      </c>
      <c r="G938" s="29">
        <f>VLOOKUP(A938,Calendar!$A$1:$H$9997,6,FALSE)-F938</f>
        <v/>
      </c>
      <c r="H938" s="19" t="n">
        <v>3</v>
      </c>
      <c r="I938" s="57" t="n">
        <v>7</v>
      </c>
    </row>
    <row r="939">
      <c r="A939" s="62" t="n">
        <v>47050</v>
      </c>
      <c r="B939" s="3" t="inlineStr">
        <is>
          <t>Week</t>
        </is>
      </c>
      <c r="C939" s="19" t="n">
        <v>10</v>
      </c>
      <c r="D939" s="19" t="n">
        <v>2028</v>
      </c>
      <c r="E939" s="57" t="n">
        <v>1</v>
      </c>
      <c r="F939" s="29">
        <f>ROUND(((SUMIFS(Calendar!$F$2:$F$9997,Calendar!$B$2:$B$9997,D939,Calendar!$C$2:$C$9997,C939)*INDEX(ForeCalc!$B$37:$Y$274,MATCH(_xlfn.CONCAT(H939," ",I939),ForeCalc!$A$37:$A$274,0),MATCH(_xlfn.CONCAT(B939," ",E939),ForeCalc!$B$36:$Y$36,0))))*VLOOKUP(A939,Calendar!$A$2:$H$9997,8,FALSE),0)</f>
        <v/>
      </c>
      <c r="G939" s="29">
        <f>VLOOKUP(A939,Calendar!$A$1:$H$9997,6,FALSE)-F939</f>
        <v/>
      </c>
      <c r="H939" s="19" t="n">
        <v>3</v>
      </c>
      <c r="I939" s="57" t="n">
        <v>7</v>
      </c>
    </row>
    <row r="940">
      <c r="A940" s="62" t="n">
        <v>47051</v>
      </c>
      <c r="B940" s="3" t="inlineStr">
        <is>
          <t>Week</t>
        </is>
      </c>
      <c r="C940" s="19" t="n">
        <v>10</v>
      </c>
      <c r="D940" s="19" t="n">
        <v>2028</v>
      </c>
      <c r="E940" s="57" t="n">
        <v>1</v>
      </c>
      <c r="F940" s="29">
        <f>ROUND(((SUMIFS(Calendar!$F$2:$F$9997,Calendar!$B$2:$B$9997,D940,Calendar!$C$2:$C$9997,C940)*INDEX(ForeCalc!$B$37:$Y$274,MATCH(_xlfn.CONCAT(H940," ",I940),ForeCalc!$A$37:$A$274,0),MATCH(_xlfn.CONCAT(B940," ",E940),ForeCalc!$B$36:$Y$36,0))))*VLOOKUP(A940,Calendar!$A$2:$H$9997,8,FALSE),0)</f>
        <v/>
      </c>
      <c r="G940" s="29">
        <f>VLOOKUP(A940,Calendar!$A$1:$H$9997,6,FALSE)-F940</f>
        <v/>
      </c>
      <c r="H940" s="19" t="n">
        <v>3</v>
      </c>
      <c r="I940" s="57" t="n">
        <v>7</v>
      </c>
    </row>
    <row r="941">
      <c r="A941" s="62" t="n">
        <v>47052</v>
      </c>
      <c r="B941" s="3" t="inlineStr">
        <is>
          <t>Week</t>
        </is>
      </c>
      <c r="C941" s="19" t="n">
        <v>10</v>
      </c>
      <c r="D941" s="19" t="n">
        <v>2028</v>
      </c>
      <c r="E941" s="57" t="n">
        <v>1</v>
      </c>
      <c r="F941" s="29">
        <f>ROUND(((SUMIFS(Calendar!$F$2:$F$9997,Calendar!$B$2:$B$9997,D941,Calendar!$C$2:$C$9997,C941)*INDEX(ForeCalc!$B$37:$Y$274,MATCH(_xlfn.CONCAT(H941," ",I941),ForeCalc!$A$37:$A$274,0),MATCH(_xlfn.CONCAT(B941," ",E941),ForeCalc!$B$36:$Y$36,0))))*VLOOKUP(A941,Calendar!$A$2:$H$9997,8,FALSE),0)</f>
        <v/>
      </c>
      <c r="G941" s="29">
        <f>VLOOKUP(A941,Calendar!$A$1:$H$9997,6,FALSE)-F941</f>
        <v/>
      </c>
      <c r="H941" s="19" t="n">
        <v>3</v>
      </c>
      <c r="I941" s="57" t="n">
        <v>7</v>
      </c>
    </row>
    <row r="942">
      <c r="A942" s="62" t="n">
        <v>47053</v>
      </c>
      <c r="B942" s="3" t="inlineStr">
        <is>
          <t>Week</t>
        </is>
      </c>
      <c r="C942" s="19" t="n">
        <v>10</v>
      </c>
      <c r="D942" s="19" t="n">
        <v>2028</v>
      </c>
      <c r="E942" s="57" t="n">
        <v>1</v>
      </c>
      <c r="F942" s="29">
        <f>ROUND(((SUMIFS(Calendar!$F$2:$F$9997,Calendar!$B$2:$B$9997,D942,Calendar!$C$2:$C$9997,C942)*INDEX(ForeCalc!$B$37:$Y$274,MATCH(_xlfn.CONCAT(H942," ",I942),ForeCalc!$A$37:$A$274,0),MATCH(_xlfn.CONCAT(B942," ",E942),ForeCalc!$B$36:$Y$36,0))))*VLOOKUP(A942,Calendar!$A$2:$H$9997,8,FALSE),0)</f>
        <v/>
      </c>
      <c r="G942" s="29">
        <f>VLOOKUP(A942,Calendar!$A$1:$H$9997,6,FALSE)-F942</f>
        <v/>
      </c>
      <c r="H942" s="19" t="n">
        <v>3</v>
      </c>
      <c r="I942" s="57" t="n">
        <v>7</v>
      </c>
    </row>
    <row r="943">
      <c r="A943" s="62" t="n">
        <v>47054</v>
      </c>
      <c r="B943" s="3" t="inlineStr">
        <is>
          <t>Sat</t>
        </is>
      </c>
      <c r="C943" s="19" t="n">
        <v>10</v>
      </c>
      <c r="D943" s="19" t="n">
        <v>2028</v>
      </c>
      <c r="E943" s="57" t="n">
        <v>1</v>
      </c>
      <c r="F943" s="29">
        <f>ROUND(((SUMIFS(Calendar!$F$2:$F$9997,Calendar!$B$2:$B$9997,D943,Calendar!$C$2:$C$9997,C943)*INDEX(ForeCalc!$B$37:$Y$274,MATCH(_xlfn.CONCAT(H943," ",I943),ForeCalc!$A$37:$A$274,0),MATCH(_xlfn.CONCAT(B943," ",E943),ForeCalc!$B$36:$Y$36,0))))*VLOOKUP(A943,Calendar!$A$2:$H$9997,8,FALSE),0)</f>
        <v/>
      </c>
      <c r="G943" s="29">
        <f>VLOOKUP(A943,Calendar!$A$1:$H$9997,6,FALSE)-F943</f>
        <v/>
      </c>
      <c r="H943" s="19" t="n">
        <v>3</v>
      </c>
      <c r="I943" s="57" t="n">
        <v>7</v>
      </c>
    </row>
    <row r="944">
      <c r="A944" s="62" t="n">
        <v>47055</v>
      </c>
      <c r="B944" s="3" t="inlineStr">
        <is>
          <t>Sun</t>
        </is>
      </c>
      <c r="C944" s="19" t="n">
        <v>10</v>
      </c>
      <c r="D944" s="19" t="n">
        <v>2028</v>
      </c>
      <c r="E944" s="57" t="n">
        <v>1</v>
      </c>
      <c r="F944" s="29">
        <f>ROUND(((SUMIFS(Calendar!$F$2:$F$9997,Calendar!$B$2:$B$9997,D944,Calendar!$C$2:$C$9997,C944)*INDEX(ForeCalc!$B$37:$Y$274,MATCH(_xlfn.CONCAT(H944," ",I944),ForeCalc!$A$37:$A$274,0),MATCH(_xlfn.CONCAT(B944," ",E944),ForeCalc!$B$36:$Y$36,0))))*VLOOKUP(A944,Calendar!$A$2:$H$9997,8,FALSE),0)</f>
        <v/>
      </c>
      <c r="G944" s="29">
        <f>VLOOKUP(A944,Calendar!$A$1:$H$9997,6,FALSE)-F944</f>
        <v/>
      </c>
      <c r="H944" s="19" t="n">
        <v>3</v>
      </c>
      <c r="I944" s="57" t="n">
        <v>7</v>
      </c>
    </row>
    <row r="945">
      <c r="A945" s="62" t="n">
        <v>47056</v>
      </c>
      <c r="B945" s="3" t="inlineStr">
        <is>
          <t>Week</t>
        </is>
      </c>
      <c r="C945" s="19" t="n">
        <v>10</v>
      </c>
      <c r="D945" s="19" t="n">
        <v>2028</v>
      </c>
      <c r="E945" s="57" t="n">
        <v>1</v>
      </c>
      <c r="F945" s="29">
        <f>ROUND(((SUMIFS(Calendar!$F$2:$F$9997,Calendar!$B$2:$B$9997,D945,Calendar!$C$2:$C$9997,C945)*INDEX(ForeCalc!$B$37:$Y$274,MATCH(_xlfn.CONCAT(H945," ",I945),ForeCalc!$A$37:$A$274,0),MATCH(_xlfn.CONCAT(B945," ",E945),ForeCalc!$B$36:$Y$36,0))))*VLOOKUP(A945,Calendar!$A$2:$H$9997,8,FALSE),0)</f>
        <v/>
      </c>
      <c r="G945" s="29">
        <f>VLOOKUP(A945,Calendar!$A$1:$H$9997,6,FALSE)-F945</f>
        <v/>
      </c>
      <c r="H945" s="19" t="n">
        <v>3</v>
      </c>
      <c r="I945" s="57" t="n">
        <v>7</v>
      </c>
    </row>
    <row r="946">
      <c r="A946" s="62" t="n">
        <v>47057</v>
      </c>
      <c r="B946" s="3" t="inlineStr">
        <is>
          <t>Week</t>
        </is>
      </c>
      <c r="C946" s="19" t="n">
        <v>10</v>
      </c>
      <c r="D946" s="19" t="n">
        <v>2028</v>
      </c>
      <c r="E946" s="57" t="n">
        <v>1</v>
      </c>
      <c r="F946" s="29">
        <f>ROUND(((SUMIFS(Calendar!$F$2:$F$9997,Calendar!$B$2:$B$9997,D946,Calendar!$C$2:$C$9997,C946)*INDEX(ForeCalc!$B$37:$Y$274,MATCH(_xlfn.CONCAT(H946," ",I946),ForeCalc!$A$37:$A$274,0),MATCH(_xlfn.CONCAT(B946," ",E946),ForeCalc!$B$36:$Y$36,0))))*VLOOKUP(A946,Calendar!$A$2:$H$9997,8,FALSE),0)</f>
        <v/>
      </c>
      <c r="G946" s="29">
        <f>VLOOKUP(A946,Calendar!$A$1:$H$9997,6,FALSE)-F946</f>
        <v/>
      </c>
      <c r="H946" s="19" t="n">
        <v>3</v>
      </c>
      <c r="I946" s="57" t="n">
        <v>7</v>
      </c>
    </row>
    <row r="947">
      <c r="A947" s="62" t="n">
        <v>47058</v>
      </c>
      <c r="B947" s="3" t="inlineStr">
        <is>
          <t>Week</t>
        </is>
      </c>
      <c r="C947" s="19" t="n">
        <v>11</v>
      </c>
      <c r="D947" s="19" t="n">
        <v>2028</v>
      </c>
      <c r="E947" s="57" t="n">
        <v>1</v>
      </c>
      <c r="F947" s="29">
        <f>ROUND(((SUMIFS(Calendar!$F$2:$F$9997,Calendar!$B$2:$B$9997,D947,Calendar!$C$2:$C$9997,C947)*INDEX(ForeCalc!$B$37:$Y$274,MATCH(_xlfn.CONCAT(H947," ",I947),ForeCalc!$A$37:$A$274,0),MATCH(_xlfn.CONCAT(B947," ",E947),ForeCalc!$B$36:$Y$36,0))))*VLOOKUP(A947,Calendar!$A$2:$H$9997,8,FALSE),0)</f>
        <v/>
      </c>
      <c r="G947" s="29">
        <f>VLOOKUP(A947,Calendar!$A$1:$H$9997,6,FALSE)-F947</f>
        <v/>
      </c>
      <c r="H947" s="19" t="n">
        <v>3</v>
      </c>
      <c r="I947" s="57" t="n">
        <v>8</v>
      </c>
    </row>
    <row r="948">
      <c r="A948" s="62" t="n">
        <v>47059</v>
      </c>
      <c r="B948" s="3" t="inlineStr">
        <is>
          <t>Week</t>
        </is>
      </c>
      <c r="C948" s="19" t="n">
        <v>11</v>
      </c>
      <c r="D948" s="19" t="n">
        <v>2028</v>
      </c>
      <c r="E948" s="57" t="n">
        <v>1</v>
      </c>
      <c r="F948" s="29">
        <f>ROUND(((SUMIFS(Calendar!$F$2:$F$9997,Calendar!$B$2:$B$9997,D948,Calendar!$C$2:$C$9997,C948)*INDEX(ForeCalc!$B$37:$Y$274,MATCH(_xlfn.CONCAT(H948," ",I948),ForeCalc!$A$37:$A$274,0),MATCH(_xlfn.CONCAT(B948," ",E948),ForeCalc!$B$36:$Y$36,0))))*VLOOKUP(A948,Calendar!$A$2:$H$9997,8,FALSE),0)</f>
        <v/>
      </c>
      <c r="G948" s="29">
        <f>VLOOKUP(A948,Calendar!$A$1:$H$9997,6,FALSE)-F948</f>
        <v/>
      </c>
      <c r="H948" s="19" t="n">
        <v>3</v>
      </c>
      <c r="I948" s="57" t="n">
        <v>8</v>
      </c>
    </row>
    <row r="949">
      <c r="A949" s="62" t="n">
        <v>47060</v>
      </c>
      <c r="B949" s="3" t="inlineStr">
        <is>
          <t>Week</t>
        </is>
      </c>
      <c r="C949" s="19" t="n">
        <v>11</v>
      </c>
      <c r="D949" s="19" t="n">
        <v>2028</v>
      </c>
      <c r="E949" s="57" t="n">
        <v>1</v>
      </c>
      <c r="F949" s="29">
        <f>ROUND(((SUMIFS(Calendar!$F$2:$F$9997,Calendar!$B$2:$B$9997,D949,Calendar!$C$2:$C$9997,C949)*INDEX(ForeCalc!$B$37:$Y$274,MATCH(_xlfn.CONCAT(H949," ",I949),ForeCalc!$A$37:$A$274,0),MATCH(_xlfn.CONCAT(B949," ",E949),ForeCalc!$B$36:$Y$36,0))))*VLOOKUP(A949,Calendar!$A$2:$H$9997,8,FALSE),0)</f>
        <v/>
      </c>
      <c r="G949" s="29">
        <f>VLOOKUP(A949,Calendar!$A$1:$H$9997,6,FALSE)-F949</f>
        <v/>
      </c>
      <c r="H949" s="19" t="n">
        <v>3</v>
      </c>
      <c r="I949" s="57" t="n">
        <v>8</v>
      </c>
    </row>
    <row r="950">
      <c r="A950" s="62" t="n">
        <v>47061</v>
      </c>
      <c r="B950" s="3" t="inlineStr">
        <is>
          <t>Sat</t>
        </is>
      </c>
      <c r="C950" s="19" t="n">
        <v>11</v>
      </c>
      <c r="D950" s="19" t="n">
        <v>2028</v>
      </c>
      <c r="E950" s="57" t="n">
        <v>1</v>
      </c>
      <c r="F950" s="29">
        <f>ROUND(((SUMIFS(Calendar!$F$2:$F$9997,Calendar!$B$2:$B$9997,D950,Calendar!$C$2:$C$9997,C950)*INDEX(ForeCalc!$B$37:$Y$274,MATCH(_xlfn.CONCAT(H950," ",I950),ForeCalc!$A$37:$A$274,0),MATCH(_xlfn.CONCAT(B950," ",E950),ForeCalc!$B$36:$Y$36,0))))*VLOOKUP(A950,Calendar!$A$2:$H$9997,8,FALSE),0)</f>
        <v/>
      </c>
      <c r="G950" s="29">
        <f>VLOOKUP(A950,Calendar!$A$1:$H$9997,6,FALSE)-F950</f>
        <v/>
      </c>
      <c r="H950" s="19" t="n">
        <v>3</v>
      </c>
      <c r="I950" s="57" t="n">
        <v>8</v>
      </c>
    </row>
    <row r="951">
      <c r="A951" s="62" t="n">
        <v>47062</v>
      </c>
      <c r="B951" s="3" t="inlineStr">
        <is>
          <t>Sun</t>
        </is>
      </c>
      <c r="C951" s="19" t="n">
        <v>11</v>
      </c>
      <c r="D951" s="19" t="n">
        <v>2028</v>
      </c>
      <c r="E951" s="57" t="n">
        <v>1</v>
      </c>
      <c r="F951" s="29">
        <f>ROUND(((SUMIFS(Calendar!$F$2:$F$9997,Calendar!$B$2:$B$9997,D951,Calendar!$C$2:$C$9997,C951)*INDEX(ForeCalc!$B$37:$Y$274,MATCH(_xlfn.CONCAT(H951," ",I951),ForeCalc!$A$37:$A$274,0),MATCH(_xlfn.CONCAT(B951," ",E951),ForeCalc!$B$36:$Y$36,0))))*VLOOKUP(A951,Calendar!$A$2:$H$9997,8,FALSE),0)</f>
        <v/>
      </c>
      <c r="G951" s="29">
        <f>VLOOKUP(A951,Calendar!$A$1:$H$9997,6,FALSE)-F951</f>
        <v/>
      </c>
      <c r="H951" s="19" t="n">
        <v>3</v>
      </c>
      <c r="I951" s="57" t="n">
        <v>8</v>
      </c>
    </row>
    <row r="952">
      <c r="A952" s="62" t="n">
        <v>47063</v>
      </c>
      <c r="B952" s="3" t="inlineStr">
        <is>
          <t>Week</t>
        </is>
      </c>
      <c r="C952" s="19" t="n">
        <v>11</v>
      </c>
      <c r="D952" s="19" t="n">
        <v>2028</v>
      </c>
      <c r="E952" s="57" t="n">
        <v>1</v>
      </c>
      <c r="F952" s="29">
        <f>ROUND(((SUMIFS(Calendar!$F$2:$F$9997,Calendar!$B$2:$B$9997,D952,Calendar!$C$2:$C$9997,C952)*INDEX(ForeCalc!$B$37:$Y$274,MATCH(_xlfn.CONCAT(H952," ",I952),ForeCalc!$A$37:$A$274,0),MATCH(_xlfn.CONCAT(B952," ",E952),ForeCalc!$B$36:$Y$36,0))))*VLOOKUP(A952,Calendar!$A$2:$H$9997,8,FALSE),0)</f>
        <v/>
      </c>
      <c r="G952" s="29">
        <f>VLOOKUP(A952,Calendar!$A$1:$H$9997,6,FALSE)-F952</f>
        <v/>
      </c>
      <c r="H952" s="19" t="n">
        <v>3</v>
      </c>
      <c r="I952" s="57" t="n">
        <v>8</v>
      </c>
    </row>
    <row r="953">
      <c r="A953" s="62" t="n">
        <v>47064</v>
      </c>
      <c r="B953" s="3" t="inlineStr">
        <is>
          <t>Week</t>
        </is>
      </c>
      <c r="C953" s="19" t="n">
        <v>11</v>
      </c>
      <c r="D953" s="19" t="n">
        <v>2028</v>
      </c>
      <c r="E953" s="57" t="n">
        <v>1</v>
      </c>
      <c r="F953" s="29">
        <f>ROUND(((SUMIFS(Calendar!$F$2:$F$9997,Calendar!$B$2:$B$9997,D953,Calendar!$C$2:$C$9997,C953)*INDEX(ForeCalc!$B$37:$Y$274,MATCH(_xlfn.CONCAT(H953," ",I953),ForeCalc!$A$37:$A$274,0),MATCH(_xlfn.CONCAT(B953," ",E953),ForeCalc!$B$36:$Y$36,0))))*VLOOKUP(A953,Calendar!$A$2:$H$9997,8,FALSE),0)</f>
        <v/>
      </c>
      <c r="G953" s="29">
        <f>VLOOKUP(A953,Calendar!$A$1:$H$9997,6,FALSE)-F953</f>
        <v/>
      </c>
      <c r="H953" s="19" t="n">
        <v>3</v>
      </c>
      <c r="I953" s="57" t="n">
        <v>8</v>
      </c>
    </row>
    <row r="954">
      <c r="A954" s="62" t="n">
        <v>47065</v>
      </c>
      <c r="B954" s="3" t="inlineStr">
        <is>
          <t>Week</t>
        </is>
      </c>
      <c r="C954" s="19" t="n">
        <v>11</v>
      </c>
      <c r="D954" s="19" t="n">
        <v>2028</v>
      </c>
      <c r="E954" s="57" t="n">
        <v>1</v>
      </c>
      <c r="F954" s="29">
        <f>ROUND(((SUMIFS(Calendar!$F$2:$F$9997,Calendar!$B$2:$B$9997,D954,Calendar!$C$2:$C$9997,C954)*INDEX(ForeCalc!$B$37:$Y$274,MATCH(_xlfn.CONCAT(H954," ",I954),ForeCalc!$A$37:$A$274,0),MATCH(_xlfn.CONCAT(B954," ",E954),ForeCalc!$B$36:$Y$36,0))))*VLOOKUP(A954,Calendar!$A$2:$H$9997,8,FALSE),0)</f>
        <v/>
      </c>
      <c r="G954" s="29">
        <f>VLOOKUP(A954,Calendar!$A$1:$H$9997,6,FALSE)-F954</f>
        <v/>
      </c>
      <c r="H954" s="19" t="n">
        <v>3</v>
      </c>
      <c r="I954" s="57" t="n">
        <v>8</v>
      </c>
    </row>
    <row r="955">
      <c r="A955" s="62" t="n">
        <v>47066</v>
      </c>
      <c r="B955" s="3" t="inlineStr">
        <is>
          <t>Week</t>
        </is>
      </c>
      <c r="C955" s="19" t="n">
        <v>11</v>
      </c>
      <c r="D955" s="19" t="n">
        <v>2028</v>
      </c>
      <c r="E955" s="57" t="n">
        <v>1</v>
      </c>
      <c r="F955" s="29">
        <f>ROUND(((SUMIFS(Calendar!$F$2:$F$9997,Calendar!$B$2:$B$9997,D955,Calendar!$C$2:$C$9997,C955)*INDEX(ForeCalc!$B$37:$Y$274,MATCH(_xlfn.CONCAT(H955," ",I955),ForeCalc!$A$37:$A$274,0),MATCH(_xlfn.CONCAT(B955," ",E955),ForeCalc!$B$36:$Y$36,0))))*VLOOKUP(A955,Calendar!$A$2:$H$9997,8,FALSE),0)</f>
        <v/>
      </c>
      <c r="G955" s="29">
        <f>VLOOKUP(A955,Calendar!$A$1:$H$9997,6,FALSE)-F955</f>
        <v/>
      </c>
      <c r="H955" s="19" t="n">
        <v>3</v>
      </c>
      <c r="I955" s="57" t="n">
        <v>8</v>
      </c>
    </row>
    <row r="956">
      <c r="A956" s="62" t="n">
        <v>47067</v>
      </c>
      <c r="B956" s="3" t="inlineStr">
        <is>
          <t>Week</t>
        </is>
      </c>
      <c r="C956" s="19" t="n">
        <v>11</v>
      </c>
      <c r="D956" s="19" t="n">
        <v>2028</v>
      </c>
      <c r="E956" s="57" t="n">
        <v>1</v>
      </c>
      <c r="F956" s="29">
        <f>ROUND(((SUMIFS(Calendar!$F$2:$F$9997,Calendar!$B$2:$B$9997,D956,Calendar!$C$2:$C$9997,C956)*INDEX(ForeCalc!$B$37:$Y$274,MATCH(_xlfn.CONCAT(H956," ",I956),ForeCalc!$A$37:$A$274,0),MATCH(_xlfn.CONCAT(B956," ",E956),ForeCalc!$B$36:$Y$36,0))))*VLOOKUP(A956,Calendar!$A$2:$H$9997,8,FALSE),0)</f>
        <v/>
      </c>
      <c r="G956" s="29">
        <f>VLOOKUP(A956,Calendar!$A$1:$H$9997,6,FALSE)-F956</f>
        <v/>
      </c>
      <c r="H956" s="19" t="n">
        <v>3</v>
      </c>
      <c r="I956" s="57" t="n">
        <v>8</v>
      </c>
    </row>
    <row r="957">
      <c r="A957" s="62" t="n">
        <v>47068</v>
      </c>
      <c r="B957" s="3" t="inlineStr">
        <is>
          <t>Sat</t>
        </is>
      </c>
      <c r="C957" s="19" t="n">
        <v>11</v>
      </c>
      <c r="D957" s="19" t="n">
        <v>2028</v>
      </c>
      <c r="E957" s="57" t="n">
        <v>1</v>
      </c>
      <c r="F957" s="29">
        <f>ROUND(((SUMIFS(Calendar!$F$2:$F$9997,Calendar!$B$2:$B$9997,D957,Calendar!$C$2:$C$9997,C957)*INDEX(ForeCalc!$B$37:$Y$274,MATCH(_xlfn.CONCAT(H957," ",I957),ForeCalc!$A$37:$A$274,0),MATCH(_xlfn.CONCAT(B957," ",E957),ForeCalc!$B$36:$Y$36,0))))*VLOOKUP(A957,Calendar!$A$2:$H$9997,8,FALSE),0)</f>
        <v/>
      </c>
      <c r="G957" s="29">
        <f>VLOOKUP(A957,Calendar!$A$1:$H$9997,6,FALSE)-F957</f>
        <v/>
      </c>
      <c r="H957" s="19" t="n">
        <v>3</v>
      </c>
      <c r="I957" s="57" t="n">
        <v>8</v>
      </c>
    </row>
    <row r="958">
      <c r="A958" s="62" t="n">
        <v>47069</v>
      </c>
      <c r="B958" s="3" t="inlineStr">
        <is>
          <t>Sun</t>
        </is>
      </c>
      <c r="C958" s="19" t="n">
        <v>11</v>
      </c>
      <c r="D958" s="19" t="n">
        <v>2028</v>
      </c>
      <c r="E958" s="57" t="n">
        <v>1</v>
      </c>
      <c r="F958" s="29">
        <f>ROUND(((SUMIFS(Calendar!$F$2:$F$9997,Calendar!$B$2:$B$9997,D958,Calendar!$C$2:$C$9997,C958)*INDEX(ForeCalc!$B$37:$Y$274,MATCH(_xlfn.CONCAT(H958," ",I958),ForeCalc!$A$37:$A$274,0),MATCH(_xlfn.CONCAT(B958," ",E958),ForeCalc!$B$36:$Y$36,0))))*VLOOKUP(A958,Calendar!$A$2:$H$9997,8,FALSE),0)</f>
        <v/>
      </c>
      <c r="G958" s="29">
        <f>VLOOKUP(A958,Calendar!$A$1:$H$9997,6,FALSE)-F958</f>
        <v/>
      </c>
      <c r="H958" s="19" t="n">
        <v>3</v>
      </c>
      <c r="I958" s="57" t="n">
        <v>8</v>
      </c>
    </row>
    <row r="959">
      <c r="A959" s="62" t="n">
        <v>47070</v>
      </c>
      <c r="B959" s="3" t="inlineStr">
        <is>
          <t>Week</t>
        </is>
      </c>
      <c r="C959" s="19" t="n">
        <v>11</v>
      </c>
      <c r="D959" s="19" t="n">
        <v>2028</v>
      </c>
      <c r="E959" s="57" t="n">
        <v>1</v>
      </c>
      <c r="F959" s="29">
        <f>ROUND(((SUMIFS(Calendar!$F$2:$F$9997,Calendar!$B$2:$B$9997,D959,Calendar!$C$2:$C$9997,C959)*INDEX(ForeCalc!$B$37:$Y$274,MATCH(_xlfn.CONCAT(H959," ",I959),ForeCalc!$A$37:$A$274,0),MATCH(_xlfn.CONCAT(B959," ",E959),ForeCalc!$B$36:$Y$36,0))))*VLOOKUP(A959,Calendar!$A$2:$H$9997,8,FALSE),0)</f>
        <v/>
      </c>
      <c r="G959" s="29">
        <f>VLOOKUP(A959,Calendar!$A$1:$H$9997,6,FALSE)-F959</f>
        <v/>
      </c>
      <c r="H959" s="19" t="n">
        <v>3</v>
      </c>
      <c r="I959" s="57" t="n">
        <v>8</v>
      </c>
    </row>
    <row r="960">
      <c r="A960" s="62" t="n">
        <v>47071</v>
      </c>
      <c r="B960" s="3" t="inlineStr">
        <is>
          <t>Week</t>
        </is>
      </c>
      <c r="C960" s="19" t="n">
        <v>11</v>
      </c>
      <c r="D960" s="19" t="n">
        <v>2028</v>
      </c>
      <c r="E960" s="57" t="n">
        <v>1</v>
      </c>
      <c r="F960" s="29">
        <f>ROUND(((SUMIFS(Calendar!$F$2:$F$9997,Calendar!$B$2:$B$9997,D960,Calendar!$C$2:$C$9997,C960)*INDEX(ForeCalc!$B$37:$Y$274,MATCH(_xlfn.CONCAT(H960," ",I960),ForeCalc!$A$37:$A$274,0),MATCH(_xlfn.CONCAT(B960," ",E960),ForeCalc!$B$36:$Y$36,0))))*VLOOKUP(A960,Calendar!$A$2:$H$9997,8,FALSE),0)</f>
        <v/>
      </c>
      <c r="G960" s="29">
        <f>VLOOKUP(A960,Calendar!$A$1:$H$9997,6,FALSE)-F960</f>
        <v/>
      </c>
      <c r="H960" s="19" t="n">
        <v>3</v>
      </c>
      <c r="I960" s="57" t="n">
        <v>8</v>
      </c>
    </row>
    <row r="961">
      <c r="A961" s="62" t="n">
        <v>47072</v>
      </c>
      <c r="B961" s="3" t="inlineStr">
        <is>
          <t>Week</t>
        </is>
      </c>
      <c r="C961" s="19" t="n">
        <v>11</v>
      </c>
      <c r="D961" s="19" t="n">
        <v>2028</v>
      </c>
      <c r="E961" s="57" t="n">
        <v>1</v>
      </c>
      <c r="F961" s="29">
        <f>ROUND(((SUMIFS(Calendar!$F$2:$F$9997,Calendar!$B$2:$B$9997,D961,Calendar!$C$2:$C$9997,C961)*INDEX(ForeCalc!$B$37:$Y$274,MATCH(_xlfn.CONCAT(H961," ",I961),ForeCalc!$A$37:$A$274,0),MATCH(_xlfn.CONCAT(B961," ",E961),ForeCalc!$B$36:$Y$36,0))))*VLOOKUP(A961,Calendar!$A$2:$H$9997,8,FALSE),0)</f>
        <v/>
      </c>
      <c r="G961" s="29">
        <f>VLOOKUP(A961,Calendar!$A$1:$H$9997,6,FALSE)-F961</f>
        <v/>
      </c>
      <c r="H961" s="19" t="n">
        <v>3</v>
      </c>
      <c r="I961" s="57" t="n">
        <v>8</v>
      </c>
    </row>
    <row r="962">
      <c r="A962" s="62" t="n">
        <v>47073</v>
      </c>
      <c r="B962" s="3" t="inlineStr">
        <is>
          <t>Week</t>
        </is>
      </c>
      <c r="C962" s="19" t="n">
        <v>11</v>
      </c>
      <c r="D962" s="19" t="n">
        <v>2028</v>
      </c>
      <c r="E962" s="57" t="n">
        <v>1</v>
      </c>
      <c r="F962" s="29">
        <f>ROUND(((SUMIFS(Calendar!$F$2:$F$9997,Calendar!$B$2:$B$9997,D962,Calendar!$C$2:$C$9997,C962)*INDEX(ForeCalc!$B$37:$Y$274,MATCH(_xlfn.CONCAT(H962," ",I962),ForeCalc!$A$37:$A$274,0),MATCH(_xlfn.CONCAT(B962," ",E962),ForeCalc!$B$36:$Y$36,0))))*VLOOKUP(A962,Calendar!$A$2:$H$9997,8,FALSE),0)</f>
        <v/>
      </c>
      <c r="G962" s="29">
        <f>VLOOKUP(A962,Calendar!$A$1:$H$9997,6,FALSE)-F962</f>
        <v/>
      </c>
      <c r="H962" s="19" t="n">
        <v>3</v>
      </c>
      <c r="I962" s="57" t="n">
        <v>8</v>
      </c>
    </row>
    <row r="963">
      <c r="A963" s="62" t="n">
        <v>47074</v>
      </c>
      <c r="B963" s="3" t="inlineStr">
        <is>
          <t>Week</t>
        </is>
      </c>
      <c r="C963" s="19" t="n">
        <v>11</v>
      </c>
      <c r="D963" s="19" t="n">
        <v>2028</v>
      </c>
      <c r="E963" s="57" t="n">
        <v>1</v>
      </c>
      <c r="F963" s="29">
        <f>ROUND(((SUMIFS(Calendar!$F$2:$F$9997,Calendar!$B$2:$B$9997,D963,Calendar!$C$2:$C$9997,C963)*INDEX(ForeCalc!$B$37:$Y$274,MATCH(_xlfn.CONCAT(H963," ",I963),ForeCalc!$A$37:$A$274,0),MATCH(_xlfn.CONCAT(B963," ",E963),ForeCalc!$B$36:$Y$36,0))))*VLOOKUP(A963,Calendar!$A$2:$H$9997,8,FALSE),0)</f>
        <v/>
      </c>
      <c r="G963" s="29">
        <f>VLOOKUP(A963,Calendar!$A$1:$H$9997,6,FALSE)-F963</f>
        <v/>
      </c>
      <c r="H963" s="19" t="n">
        <v>3</v>
      </c>
      <c r="I963" s="57" t="n">
        <v>8</v>
      </c>
    </row>
    <row r="964">
      <c r="A964" s="62" t="n">
        <v>47075</v>
      </c>
      <c r="B964" s="3" t="inlineStr">
        <is>
          <t>Sat</t>
        </is>
      </c>
      <c r="C964" s="19" t="n">
        <v>11</v>
      </c>
      <c r="D964" s="19" t="n">
        <v>2028</v>
      </c>
      <c r="E964" s="57" t="n">
        <v>1</v>
      </c>
      <c r="F964" s="29">
        <f>ROUND(((SUMIFS(Calendar!$F$2:$F$9997,Calendar!$B$2:$B$9997,D964,Calendar!$C$2:$C$9997,C964)*INDEX(ForeCalc!$B$37:$Y$274,MATCH(_xlfn.CONCAT(H964," ",I964),ForeCalc!$A$37:$A$274,0),MATCH(_xlfn.CONCAT(B964," ",E964),ForeCalc!$B$36:$Y$36,0))))*VLOOKUP(A964,Calendar!$A$2:$H$9997,8,FALSE),0)</f>
        <v/>
      </c>
      <c r="G964" s="29">
        <f>VLOOKUP(A964,Calendar!$A$1:$H$9997,6,FALSE)-F964</f>
        <v/>
      </c>
      <c r="H964" s="19" t="n">
        <v>3</v>
      </c>
      <c r="I964" s="57" t="n">
        <v>8</v>
      </c>
    </row>
    <row r="965">
      <c r="A965" s="62" t="n">
        <v>47076</v>
      </c>
      <c r="B965" s="3" t="inlineStr">
        <is>
          <t>Sun</t>
        </is>
      </c>
      <c r="C965" s="19" t="n">
        <v>11</v>
      </c>
      <c r="D965" s="19" t="n">
        <v>2028</v>
      </c>
      <c r="E965" s="57" t="n">
        <v>1</v>
      </c>
      <c r="F965" s="29">
        <f>ROUND(((SUMIFS(Calendar!$F$2:$F$9997,Calendar!$B$2:$B$9997,D965,Calendar!$C$2:$C$9997,C965)*INDEX(ForeCalc!$B$37:$Y$274,MATCH(_xlfn.CONCAT(H965," ",I965),ForeCalc!$A$37:$A$274,0),MATCH(_xlfn.CONCAT(B965," ",E965),ForeCalc!$B$36:$Y$36,0))))*VLOOKUP(A965,Calendar!$A$2:$H$9997,8,FALSE),0)</f>
        <v/>
      </c>
      <c r="G965" s="29">
        <f>VLOOKUP(A965,Calendar!$A$1:$H$9997,6,FALSE)-F965</f>
        <v/>
      </c>
      <c r="H965" s="19" t="n">
        <v>3</v>
      </c>
      <c r="I965" s="57" t="n">
        <v>8</v>
      </c>
    </row>
    <row r="966">
      <c r="A966" s="62" t="n">
        <v>47077</v>
      </c>
      <c r="B966" s="3" t="inlineStr">
        <is>
          <t>Week</t>
        </is>
      </c>
      <c r="C966" s="19" t="n">
        <v>11</v>
      </c>
      <c r="D966" s="19" t="n">
        <v>2028</v>
      </c>
      <c r="E966" s="57" t="n">
        <v>1</v>
      </c>
      <c r="F966" s="29">
        <f>ROUND(((SUMIFS(Calendar!$F$2:$F$9997,Calendar!$B$2:$B$9997,D966,Calendar!$C$2:$C$9997,C966)*INDEX(ForeCalc!$B$37:$Y$274,MATCH(_xlfn.CONCAT(H966," ",I966),ForeCalc!$A$37:$A$274,0),MATCH(_xlfn.CONCAT(B966," ",E966),ForeCalc!$B$36:$Y$36,0))))*VLOOKUP(A966,Calendar!$A$2:$H$9997,8,FALSE),0)</f>
        <v/>
      </c>
      <c r="G966" s="29">
        <f>VLOOKUP(A966,Calendar!$A$1:$H$9997,6,FALSE)-F966</f>
        <v/>
      </c>
      <c r="H966" s="19" t="n">
        <v>3</v>
      </c>
      <c r="I966" s="57" t="n">
        <v>8</v>
      </c>
    </row>
    <row r="967">
      <c r="A967" s="62" t="n">
        <v>47078</v>
      </c>
      <c r="B967" s="3" t="inlineStr">
        <is>
          <t>Week</t>
        </is>
      </c>
      <c r="C967" s="19" t="n">
        <v>11</v>
      </c>
      <c r="D967" s="19" t="n">
        <v>2028</v>
      </c>
      <c r="E967" s="57" t="n">
        <v>1</v>
      </c>
      <c r="F967" s="29">
        <f>ROUND(((SUMIFS(Calendar!$F$2:$F$9997,Calendar!$B$2:$B$9997,D967,Calendar!$C$2:$C$9997,C967)*INDEX(ForeCalc!$B$37:$Y$274,MATCH(_xlfn.CONCAT(H967," ",I967),ForeCalc!$A$37:$A$274,0),MATCH(_xlfn.CONCAT(B967," ",E967),ForeCalc!$B$36:$Y$36,0))))*VLOOKUP(A967,Calendar!$A$2:$H$9997,8,FALSE),0)</f>
        <v/>
      </c>
      <c r="G967" s="29">
        <f>VLOOKUP(A967,Calendar!$A$1:$H$9997,6,FALSE)-F967</f>
        <v/>
      </c>
      <c r="H967" s="19" t="n">
        <v>3</v>
      </c>
      <c r="I967" s="57" t="n">
        <v>8</v>
      </c>
    </row>
    <row r="968">
      <c r="A968" s="62" t="n">
        <v>47079</v>
      </c>
      <c r="B968" s="3" t="inlineStr">
        <is>
          <t>Week</t>
        </is>
      </c>
      <c r="C968" s="19" t="n">
        <v>11</v>
      </c>
      <c r="D968" s="19" t="n">
        <v>2028</v>
      </c>
      <c r="E968" s="57" t="n">
        <v>1</v>
      </c>
      <c r="F968" s="29">
        <f>ROUND(((SUMIFS(Calendar!$F$2:$F$9997,Calendar!$B$2:$B$9997,D968,Calendar!$C$2:$C$9997,C968)*INDEX(ForeCalc!$B$37:$Y$274,MATCH(_xlfn.CONCAT(H968," ",I968),ForeCalc!$A$37:$A$274,0),MATCH(_xlfn.CONCAT(B968," ",E968),ForeCalc!$B$36:$Y$36,0))))*VLOOKUP(A968,Calendar!$A$2:$H$9997,8,FALSE),0)</f>
        <v/>
      </c>
      <c r="G968" s="29">
        <f>VLOOKUP(A968,Calendar!$A$1:$H$9997,6,FALSE)-F968</f>
        <v/>
      </c>
      <c r="H968" s="19" t="n">
        <v>3</v>
      </c>
      <c r="I968" s="57" t="n">
        <v>8</v>
      </c>
    </row>
    <row r="969">
      <c r="A969" s="62" t="n">
        <v>47080</v>
      </c>
      <c r="B969" s="3" t="inlineStr">
        <is>
          <t>Week</t>
        </is>
      </c>
      <c r="C969" s="19" t="n">
        <v>11</v>
      </c>
      <c r="D969" s="19" t="n">
        <v>2028</v>
      </c>
      <c r="E969" s="57" t="n">
        <v>1</v>
      </c>
      <c r="F969" s="29">
        <f>ROUND(((SUMIFS(Calendar!$F$2:$F$9997,Calendar!$B$2:$B$9997,D969,Calendar!$C$2:$C$9997,C969)*INDEX(ForeCalc!$B$37:$Y$274,MATCH(_xlfn.CONCAT(H969," ",I969),ForeCalc!$A$37:$A$274,0),MATCH(_xlfn.CONCAT(B969," ",E969),ForeCalc!$B$36:$Y$36,0))))*VLOOKUP(A969,Calendar!$A$2:$H$9997,8,FALSE),0)</f>
        <v/>
      </c>
      <c r="G969" s="29">
        <f>VLOOKUP(A969,Calendar!$A$1:$H$9997,6,FALSE)-F969</f>
        <v/>
      </c>
      <c r="H969" s="19" t="n">
        <v>3</v>
      </c>
      <c r="I969" s="57" t="n">
        <v>8</v>
      </c>
    </row>
    <row r="970">
      <c r="A970" s="62" t="n">
        <v>47081</v>
      </c>
      <c r="B970" s="3" t="inlineStr">
        <is>
          <t>Week</t>
        </is>
      </c>
      <c r="C970" s="19" t="n">
        <v>11</v>
      </c>
      <c r="D970" s="19" t="n">
        <v>2028</v>
      </c>
      <c r="E970" s="57" t="n">
        <v>1</v>
      </c>
      <c r="F970" s="29">
        <f>ROUND(((SUMIFS(Calendar!$F$2:$F$9997,Calendar!$B$2:$B$9997,D970,Calendar!$C$2:$C$9997,C970)*INDEX(ForeCalc!$B$37:$Y$274,MATCH(_xlfn.CONCAT(H970," ",I970),ForeCalc!$A$37:$A$274,0),MATCH(_xlfn.CONCAT(B970," ",E970),ForeCalc!$B$36:$Y$36,0))))*VLOOKUP(A970,Calendar!$A$2:$H$9997,8,FALSE),0)</f>
        <v/>
      </c>
      <c r="G970" s="29">
        <f>VLOOKUP(A970,Calendar!$A$1:$H$9997,6,FALSE)-F970</f>
        <v/>
      </c>
      <c r="H970" s="19" t="n">
        <v>3</v>
      </c>
      <c r="I970" s="57" t="n">
        <v>8</v>
      </c>
    </row>
    <row r="971">
      <c r="A971" s="62" t="n">
        <v>47082</v>
      </c>
      <c r="B971" s="3" t="inlineStr">
        <is>
          <t>Sat</t>
        </is>
      </c>
      <c r="C971" s="19" t="n">
        <v>11</v>
      </c>
      <c r="D971" s="19" t="n">
        <v>2028</v>
      </c>
      <c r="E971" s="57" t="n">
        <v>1</v>
      </c>
      <c r="F971" s="29">
        <f>ROUND(((SUMIFS(Calendar!$F$2:$F$9997,Calendar!$B$2:$B$9997,D971,Calendar!$C$2:$C$9997,C971)*INDEX(ForeCalc!$B$37:$Y$274,MATCH(_xlfn.CONCAT(H971," ",I971),ForeCalc!$A$37:$A$274,0),MATCH(_xlfn.CONCAT(B971," ",E971),ForeCalc!$B$36:$Y$36,0))))*VLOOKUP(A971,Calendar!$A$2:$H$9997,8,FALSE),0)</f>
        <v/>
      </c>
      <c r="G971" s="29">
        <f>VLOOKUP(A971,Calendar!$A$1:$H$9997,6,FALSE)-F971</f>
        <v/>
      </c>
      <c r="H971" s="19" t="n">
        <v>3</v>
      </c>
      <c r="I971" s="57" t="n">
        <v>8</v>
      </c>
    </row>
    <row r="972">
      <c r="A972" s="62" t="n">
        <v>47083</v>
      </c>
      <c r="B972" s="3" t="inlineStr">
        <is>
          <t>Sun</t>
        </is>
      </c>
      <c r="C972" s="19" t="n">
        <v>11</v>
      </c>
      <c r="D972" s="19" t="n">
        <v>2028</v>
      </c>
      <c r="E972" s="57" t="n">
        <v>1</v>
      </c>
      <c r="F972" s="29">
        <f>ROUND(((SUMIFS(Calendar!$F$2:$F$9997,Calendar!$B$2:$B$9997,D972,Calendar!$C$2:$C$9997,C972)*INDEX(ForeCalc!$B$37:$Y$274,MATCH(_xlfn.CONCAT(H972," ",I972),ForeCalc!$A$37:$A$274,0),MATCH(_xlfn.CONCAT(B972," ",E972),ForeCalc!$B$36:$Y$36,0))))*VLOOKUP(A972,Calendar!$A$2:$H$9997,8,FALSE),0)</f>
        <v/>
      </c>
      <c r="G972" s="29">
        <f>VLOOKUP(A972,Calendar!$A$1:$H$9997,6,FALSE)-F972</f>
        <v/>
      </c>
      <c r="H972" s="19" t="n">
        <v>3</v>
      </c>
      <c r="I972" s="57" t="n">
        <v>8</v>
      </c>
    </row>
    <row r="973">
      <c r="A973" s="62" t="n">
        <v>47084</v>
      </c>
      <c r="B973" s="3" t="inlineStr">
        <is>
          <t>Week</t>
        </is>
      </c>
      <c r="C973" s="19" t="n">
        <v>11</v>
      </c>
      <c r="D973" s="19" t="n">
        <v>2028</v>
      </c>
      <c r="E973" s="57" t="n">
        <v>1</v>
      </c>
      <c r="F973" s="29">
        <f>ROUND(((SUMIFS(Calendar!$F$2:$F$9997,Calendar!$B$2:$B$9997,D973,Calendar!$C$2:$C$9997,C973)*INDEX(ForeCalc!$B$37:$Y$274,MATCH(_xlfn.CONCAT(H973," ",I973),ForeCalc!$A$37:$A$274,0),MATCH(_xlfn.CONCAT(B973," ",E973),ForeCalc!$B$36:$Y$36,0))))*VLOOKUP(A973,Calendar!$A$2:$H$9997,8,FALSE),0)</f>
        <v/>
      </c>
      <c r="G973" s="29">
        <f>VLOOKUP(A973,Calendar!$A$1:$H$9997,6,FALSE)-F973</f>
        <v/>
      </c>
      <c r="H973" s="19" t="n">
        <v>3</v>
      </c>
      <c r="I973" s="57" t="n">
        <v>8</v>
      </c>
    </row>
    <row r="974">
      <c r="A974" s="62" t="n">
        <v>47085</v>
      </c>
      <c r="B974" s="3" t="inlineStr">
        <is>
          <t>Week</t>
        </is>
      </c>
      <c r="C974" s="19" t="n">
        <v>11</v>
      </c>
      <c r="D974" s="19" t="n">
        <v>2028</v>
      </c>
      <c r="E974" s="57" t="n">
        <v>1</v>
      </c>
      <c r="F974" s="29">
        <f>ROUND(((SUMIFS(Calendar!$F$2:$F$9997,Calendar!$B$2:$B$9997,D974,Calendar!$C$2:$C$9997,C974)*INDEX(ForeCalc!$B$37:$Y$274,MATCH(_xlfn.CONCAT(H974," ",I974),ForeCalc!$A$37:$A$274,0),MATCH(_xlfn.CONCAT(B974," ",E974),ForeCalc!$B$36:$Y$36,0))))*VLOOKUP(A974,Calendar!$A$2:$H$9997,8,FALSE),0)</f>
        <v/>
      </c>
      <c r="G974" s="29">
        <f>VLOOKUP(A974,Calendar!$A$1:$H$9997,6,FALSE)-F974</f>
        <v/>
      </c>
      <c r="H974" s="19" t="n">
        <v>3</v>
      </c>
      <c r="I974" s="57" t="n">
        <v>8</v>
      </c>
    </row>
    <row r="975">
      <c r="A975" s="62" t="n">
        <v>47086</v>
      </c>
      <c r="B975" s="3" t="inlineStr">
        <is>
          <t>Week</t>
        </is>
      </c>
      <c r="C975" s="19" t="n">
        <v>11</v>
      </c>
      <c r="D975" s="19" t="n">
        <v>2028</v>
      </c>
      <c r="E975" s="57" t="n">
        <v>1</v>
      </c>
      <c r="F975" s="29">
        <f>ROUND(((SUMIFS(Calendar!$F$2:$F$9997,Calendar!$B$2:$B$9997,D975,Calendar!$C$2:$C$9997,C975)*INDEX(ForeCalc!$B$37:$Y$274,MATCH(_xlfn.CONCAT(H975," ",I975),ForeCalc!$A$37:$A$274,0),MATCH(_xlfn.CONCAT(B975," ",E975),ForeCalc!$B$36:$Y$36,0))))*VLOOKUP(A975,Calendar!$A$2:$H$9997,8,FALSE),0)</f>
        <v/>
      </c>
      <c r="G975" s="29">
        <f>VLOOKUP(A975,Calendar!$A$1:$H$9997,6,FALSE)-F975</f>
        <v/>
      </c>
      <c r="H975" s="19" t="n">
        <v>3</v>
      </c>
      <c r="I975" s="57" t="n">
        <v>8</v>
      </c>
    </row>
    <row r="976">
      <c r="A976" s="62" t="n">
        <v>47087</v>
      </c>
      <c r="B976" s="3" t="inlineStr">
        <is>
          <t>Week</t>
        </is>
      </c>
      <c r="C976" s="19" t="n">
        <v>11</v>
      </c>
      <c r="D976" s="19" t="n">
        <v>2028</v>
      </c>
      <c r="E976" s="57" t="n">
        <v>1</v>
      </c>
      <c r="F976" s="29">
        <f>ROUND(((SUMIFS(Calendar!$F$2:$F$9997,Calendar!$B$2:$B$9997,D976,Calendar!$C$2:$C$9997,C976)*INDEX(ForeCalc!$B$37:$Y$274,MATCH(_xlfn.CONCAT(H976," ",I976),ForeCalc!$A$37:$A$274,0),MATCH(_xlfn.CONCAT(B976," ",E976),ForeCalc!$B$36:$Y$36,0))))*VLOOKUP(A976,Calendar!$A$2:$H$9997,8,FALSE),0)</f>
        <v/>
      </c>
      <c r="G976" s="29">
        <f>VLOOKUP(A976,Calendar!$A$1:$H$9997,6,FALSE)-F976</f>
        <v/>
      </c>
      <c r="H976" s="19" t="n">
        <v>3</v>
      </c>
      <c r="I976" s="57" t="n">
        <v>8</v>
      </c>
    </row>
    <row r="977">
      <c r="A977" s="62" t="n">
        <v>47088</v>
      </c>
      <c r="B977" s="3" t="inlineStr">
        <is>
          <t>Week</t>
        </is>
      </c>
      <c r="C977" s="19" t="n">
        <v>12</v>
      </c>
      <c r="D977" s="19" t="n">
        <v>2028</v>
      </c>
      <c r="E977" s="57" t="n">
        <v>1</v>
      </c>
      <c r="F977" s="29">
        <f>ROUND(((SUMIFS(Calendar!$F$2:$F$9997,Calendar!$B$2:$B$9997,D977,Calendar!$C$2:$C$9997,C977)*INDEX(ForeCalc!$B$37:$Y$274,MATCH(_xlfn.CONCAT(H977," ",I977),ForeCalc!$A$37:$A$274,0),MATCH(_xlfn.CONCAT(B977," ",E977),ForeCalc!$B$36:$Y$36,0))))*VLOOKUP(A977,Calendar!$A$2:$H$9997,8,FALSE),0)</f>
        <v/>
      </c>
      <c r="G977" s="29">
        <f>VLOOKUP(A977,Calendar!$A$1:$H$9997,6,FALSE)-F977</f>
        <v/>
      </c>
      <c r="H977" s="19" t="n">
        <v>3</v>
      </c>
      <c r="I977" s="57" t="n">
        <v>9</v>
      </c>
    </row>
    <row r="978">
      <c r="A978" s="62" t="n">
        <v>47089</v>
      </c>
      <c r="B978" s="3" t="inlineStr">
        <is>
          <t>Sat</t>
        </is>
      </c>
      <c r="C978" s="19" t="n">
        <v>12</v>
      </c>
      <c r="D978" s="19" t="n">
        <v>2028</v>
      </c>
      <c r="E978" s="57" t="n">
        <v>1</v>
      </c>
      <c r="F978" s="29">
        <f>ROUND(((SUMIFS(Calendar!$F$2:$F$9997,Calendar!$B$2:$B$9997,D978,Calendar!$C$2:$C$9997,C978)*INDEX(ForeCalc!$B$37:$Y$274,MATCH(_xlfn.CONCAT(H978," ",I978),ForeCalc!$A$37:$A$274,0),MATCH(_xlfn.CONCAT(B978," ",E978),ForeCalc!$B$36:$Y$36,0))))*VLOOKUP(A978,Calendar!$A$2:$H$9997,8,FALSE),0)</f>
        <v/>
      </c>
      <c r="G978" s="29">
        <f>VLOOKUP(A978,Calendar!$A$1:$H$9997,6,FALSE)-F978</f>
        <v/>
      </c>
      <c r="H978" s="19" t="n">
        <v>3</v>
      </c>
      <c r="I978" s="57" t="n">
        <v>9</v>
      </c>
    </row>
    <row r="979">
      <c r="A979" s="62" t="n">
        <v>47090</v>
      </c>
      <c r="B979" s="3" t="inlineStr">
        <is>
          <t>Sun</t>
        </is>
      </c>
      <c r="C979" s="19" t="n">
        <v>12</v>
      </c>
      <c r="D979" s="19" t="n">
        <v>2028</v>
      </c>
      <c r="E979" s="57" t="n">
        <v>1</v>
      </c>
      <c r="F979" s="29">
        <f>ROUND(((SUMIFS(Calendar!$F$2:$F$9997,Calendar!$B$2:$B$9997,D979,Calendar!$C$2:$C$9997,C979)*INDEX(ForeCalc!$B$37:$Y$274,MATCH(_xlfn.CONCAT(H979," ",I979),ForeCalc!$A$37:$A$274,0),MATCH(_xlfn.CONCAT(B979," ",E979),ForeCalc!$B$36:$Y$36,0))))*VLOOKUP(A979,Calendar!$A$2:$H$9997,8,FALSE),0)</f>
        <v/>
      </c>
      <c r="G979" s="29">
        <f>VLOOKUP(A979,Calendar!$A$1:$H$9997,6,FALSE)-F979</f>
        <v/>
      </c>
      <c r="H979" s="19" t="n">
        <v>3</v>
      </c>
      <c r="I979" s="57" t="n">
        <v>9</v>
      </c>
    </row>
    <row r="980">
      <c r="A980" s="62" t="n">
        <v>47091</v>
      </c>
      <c r="B980" s="3" t="inlineStr">
        <is>
          <t>Week</t>
        </is>
      </c>
      <c r="C980" s="19" t="n">
        <v>12</v>
      </c>
      <c r="D980" s="19" t="n">
        <v>2028</v>
      </c>
      <c r="E980" s="57" t="n">
        <v>1</v>
      </c>
      <c r="F980" s="29">
        <f>ROUND(((SUMIFS(Calendar!$F$2:$F$9997,Calendar!$B$2:$B$9997,D980,Calendar!$C$2:$C$9997,C980)*INDEX(ForeCalc!$B$37:$Y$274,MATCH(_xlfn.CONCAT(H980," ",I980),ForeCalc!$A$37:$A$274,0),MATCH(_xlfn.CONCAT(B980," ",E980),ForeCalc!$B$36:$Y$36,0))))*VLOOKUP(A980,Calendar!$A$2:$H$9997,8,FALSE),0)</f>
        <v/>
      </c>
      <c r="G980" s="29">
        <f>VLOOKUP(A980,Calendar!$A$1:$H$9997,6,FALSE)-F980</f>
        <v/>
      </c>
      <c r="H980" s="19" t="n">
        <v>3</v>
      </c>
      <c r="I980" s="57" t="n">
        <v>9</v>
      </c>
    </row>
    <row r="981">
      <c r="A981" s="62" t="n">
        <v>47092</v>
      </c>
      <c r="B981" s="3" t="inlineStr">
        <is>
          <t>Week</t>
        </is>
      </c>
      <c r="C981" s="19" t="n">
        <v>12</v>
      </c>
      <c r="D981" s="19" t="n">
        <v>2028</v>
      </c>
      <c r="E981" s="57" t="n">
        <v>1</v>
      </c>
      <c r="F981" s="29">
        <f>ROUND(((SUMIFS(Calendar!$F$2:$F$9997,Calendar!$B$2:$B$9997,D981,Calendar!$C$2:$C$9997,C981)*INDEX(ForeCalc!$B$37:$Y$274,MATCH(_xlfn.CONCAT(H981," ",I981),ForeCalc!$A$37:$A$274,0),MATCH(_xlfn.CONCAT(B981," ",E981),ForeCalc!$B$36:$Y$36,0))))*VLOOKUP(A981,Calendar!$A$2:$H$9997,8,FALSE),0)</f>
        <v/>
      </c>
      <c r="G981" s="29">
        <f>VLOOKUP(A981,Calendar!$A$1:$H$9997,6,FALSE)-F981</f>
        <v/>
      </c>
      <c r="H981" s="19" t="n">
        <v>3</v>
      </c>
      <c r="I981" s="57" t="n">
        <v>9</v>
      </c>
    </row>
    <row r="982">
      <c r="A982" s="62" t="n">
        <v>47093</v>
      </c>
      <c r="B982" s="3" t="inlineStr">
        <is>
          <t>Week</t>
        </is>
      </c>
      <c r="C982" s="19" t="n">
        <v>12</v>
      </c>
      <c r="D982" s="19" t="n">
        <v>2028</v>
      </c>
      <c r="E982" s="57" t="n">
        <v>1</v>
      </c>
      <c r="F982" s="29">
        <f>ROUND(((SUMIFS(Calendar!$F$2:$F$9997,Calendar!$B$2:$B$9997,D982,Calendar!$C$2:$C$9997,C982)*INDEX(ForeCalc!$B$37:$Y$274,MATCH(_xlfn.CONCAT(H982," ",I982),ForeCalc!$A$37:$A$274,0),MATCH(_xlfn.CONCAT(B982," ",E982),ForeCalc!$B$36:$Y$36,0))))*VLOOKUP(A982,Calendar!$A$2:$H$9997,8,FALSE),0)</f>
        <v/>
      </c>
      <c r="G982" s="29">
        <f>VLOOKUP(A982,Calendar!$A$1:$H$9997,6,FALSE)-F982</f>
        <v/>
      </c>
      <c r="H982" s="19" t="n">
        <v>3</v>
      </c>
      <c r="I982" s="57" t="n">
        <v>9</v>
      </c>
    </row>
    <row r="983">
      <c r="A983" s="62" t="n">
        <v>47094</v>
      </c>
      <c r="B983" s="3" t="inlineStr">
        <is>
          <t>Week</t>
        </is>
      </c>
      <c r="C983" s="19" t="n">
        <v>12</v>
      </c>
      <c r="D983" s="19" t="n">
        <v>2028</v>
      </c>
      <c r="E983" s="57" t="n">
        <v>1</v>
      </c>
      <c r="F983" s="29">
        <f>ROUND(((SUMIFS(Calendar!$F$2:$F$9997,Calendar!$B$2:$B$9997,D983,Calendar!$C$2:$C$9997,C983)*INDEX(ForeCalc!$B$37:$Y$274,MATCH(_xlfn.CONCAT(H983," ",I983),ForeCalc!$A$37:$A$274,0),MATCH(_xlfn.CONCAT(B983," ",E983),ForeCalc!$B$36:$Y$36,0))))*VLOOKUP(A983,Calendar!$A$2:$H$9997,8,FALSE),0)</f>
        <v/>
      </c>
      <c r="G983" s="29">
        <f>VLOOKUP(A983,Calendar!$A$1:$H$9997,6,FALSE)-F983</f>
        <v/>
      </c>
      <c r="H983" s="19" t="n">
        <v>3</v>
      </c>
      <c r="I983" s="57" t="n">
        <v>9</v>
      </c>
    </row>
    <row r="984">
      <c r="A984" s="62" t="n">
        <v>47095</v>
      </c>
      <c r="B984" s="3" t="inlineStr">
        <is>
          <t>Week</t>
        </is>
      </c>
      <c r="C984" s="19" t="n">
        <v>12</v>
      </c>
      <c r="D984" s="19" t="n">
        <v>2028</v>
      </c>
      <c r="E984" s="57" t="n">
        <v>1</v>
      </c>
      <c r="F984" s="29">
        <f>ROUND(((SUMIFS(Calendar!$F$2:$F$9997,Calendar!$B$2:$B$9997,D984,Calendar!$C$2:$C$9997,C984)*INDEX(ForeCalc!$B$37:$Y$274,MATCH(_xlfn.CONCAT(H984," ",I984),ForeCalc!$A$37:$A$274,0),MATCH(_xlfn.CONCAT(B984," ",E984),ForeCalc!$B$36:$Y$36,0))))*VLOOKUP(A984,Calendar!$A$2:$H$9997,8,FALSE),0)</f>
        <v/>
      </c>
      <c r="G984" s="29">
        <f>VLOOKUP(A984,Calendar!$A$1:$H$9997,6,FALSE)-F984</f>
        <v/>
      </c>
      <c r="H984" s="19" t="n">
        <v>3</v>
      </c>
      <c r="I984" s="57" t="n">
        <v>9</v>
      </c>
    </row>
    <row r="985">
      <c r="A985" s="62" t="n">
        <v>47096</v>
      </c>
      <c r="B985" s="3" t="inlineStr">
        <is>
          <t>Sat</t>
        </is>
      </c>
      <c r="C985" s="19" t="n">
        <v>12</v>
      </c>
      <c r="D985" s="19" t="n">
        <v>2028</v>
      </c>
      <c r="E985" s="57" t="n">
        <v>1</v>
      </c>
      <c r="F985" s="29">
        <f>ROUND(((SUMIFS(Calendar!$F$2:$F$9997,Calendar!$B$2:$B$9997,D985,Calendar!$C$2:$C$9997,C985)*INDEX(ForeCalc!$B$37:$Y$274,MATCH(_xlfn.CONCAT(H985," ",I985),ForeCalc!$A$37:$A$274,0),MATCH(_xlfn.CONCAT(B985," ",E985),ForeCalc!$B$36:$Y$36,0))))*VLOOKUP(A985,Calendar!$A$2:$H$9997,8,FALSE),0)</f>
        <v/>
      </c>
      <c r="G985" s="29">
        <f>VLOOKUP(A985,Calendar!$A$1:$H$9997,6,FALSE)-F985</f>
        <v/>
      </c>
      <c r="H985" s="19" t="n">
        <v>3</v>
      </c>
      <c r="I985" s="57" t="n">
        <v>9</v>
      </c>
    </row>
    <row r="986">
      <c r="A986" s="62" t="n">
        <v>47097</v>
      </c>
      <c r="B986" s="3" t="inlineStr">
        <is>
          <t>Sun</t>
        </is>
      </c>
      <c r="C986" s="19" t="n">
        <v>12</v>
      </c>
      <c r="D986" s="19" t="n">
        <v>2028</v>
      </c>
      <c r="E986" s="57" t="n">
        <v>1</v>
      </c>
      <c r="F986" s="29">
        <f>ROUND(((SUMIFS(Calendar!$F$2:$F$9997,Calendar!$B$2:$B$9997,D986,Calendar!$C$2:$C$9997,C986)*INDEX(ForeCalc!$B$37:$Y$274,MATCH(_xlfn.CONCAT(H986," ",I986),ForeCalc!$A$37:$A$274,0),MATCH(_xlfn.CONCAT(B986," ",E986),ForeCalc!$B$36:$Y$36,0))))*VLOOKUP(A986,Calendar!$A$2:$H$9997,8,FALSE),0)</f>
        <v/>
      </c>
      <c r="G986" s="29">
        <f>VLOOKUP(A986,Calendar!$A$1:$H$9997,6,FALSE)-F986</f>
        <v/>
      </c>
      <c r="H986" s="19" t="n">
        <v>3</v>
      </c>
      <c r="I986" s="57" t="n">
        <v>9</v>
      </c>
    </row>
    <row r="987">
      <c r="A987" s="62" t="n">
        <v>47098</v>
      </c>
      <c r="B987" s="3" t="inlineStr">
        <is>
          <t>Week</t>
        </is>
      </c>
      <c r="C987" s="19" t="n">
        <v>12</v>
      </c>
      <c r="D987" s="19" t="n">
        <v>2028</v>
      </c>
      <c r="E987" s="57" t="n">
        <v>1</v>
      </c>
      <c r="F987" s="29">
        <f>ROUND(((SUMIFS(Calendar!$F$2:$F$9997,Calendar!$B$2:$B$9997,D987,Calendar!$C$2:$C$9997,C987)*INDEX(ForeCalc!$B$37:$Y$274,MATCH(_xlfn.CONCAT(H987," ",I987),ForeCalc!$A$37:$A$274,0),MATCH(_xlfn.CONCAT(B987," ",E987),ForeCalc!$B$36:$Y$36,0))))*VLOOKUP(A987,Calendar!$A$2:$H$9997,8,FALSE),0)</f>
        <v/>
      </c>
      <c r="G987" s="29">
        <f>VLOOKUP(A987,Calendar!$A$1:$H$9997,6,FALSE)-F987</f>
        <v/>
      </c>
      <c r="H987" s="19" t="n">
        <v>3</v>
      </c>
      <c r="I987" s="57" t="n">
        <v>9</v>
      </c>
    </row>
    <row r="988">
      <c r="A988" s="62" t="n">
        <v>47099</v>
      </c>
      <c r="B988" s="3" t="inlineStr">
        <is>
          <t>Week</t>
        </is>
      </c>
      <c r="C988" s="19" t="n">
        <v>12</v>
      </c>
      <c r="D988" s="19" t="n">
        <v>2028</v>
      </c>
      <c r="E988" s="57" t="n">
        <v>1</v>
      </c>
      <c r="F988" s="29">
        <f>ROUND(((SUMIFS(Calendar!$F$2:$F$9997,Calendar!$B$2:$B$9997,D988,Calendar!$C$2:$C$9997,C988)*INDEX(ForeCalc!$B$37:$Y$274,MATCH(_xlfn.CONCAT(H988," ",I988),ForeCalc!$A$37:$A$274,0),MATCH(_xlfn.CONCAT(B988," ",E988),ForeCalc!$B$36:$Y$36,0))))*VLOOKUP(A988,Calendar!$A$2:$H$9997,8,FALSE),0)</f>
        <v/>
      </c>
      <c r="G988" s="29">
        <f>VLOOKUP(A988,Calendar!$A$1:$H$9997,6,FALSE)-F988</f>
        <v/>
      </c>
      <c r="H988" s="19" t="n">
        <v>3</v>
      </c>
      <c r="I988" s="57" t="n">
        <v>9</v>
      </c>
    </row>
    <row r="989">
      <c r="A989" s="62" t="n">
        <v>47100</v>
      </c>
      <c r="B989" s="3" t="inlineStr">
        <is>
          <t>Week</t>
        </is>
      </c>
      <c r="C989" s="19" t="n">
        <v>12</v>
      </c>
      <c r="D989" s="19" t="n">
        <v>2028</v>
      </c>
      <c r="E989" s="57" t="n">
        <v>1</v>
      </c>
      <c r="F989" s="29">
        <f>ROUND(((SUMIFS(Calendar!$F$2:$F$9997,Calendar!$B$2:$B$9997,D989,Calendar!$C$2:$C$9997,C989)*INDEX(ForeCalc!$B$37:$Y$274,MATCH(_xlfn.CONCAT(H989," ",I989),ForeCalc!$A$37:$A$274,0),MATCH(_xlfn.CONCAT(B989," ",E989),ForeCalc!$B$36:$Y$36,0))))*VLOOKUP(A989,Calendar!$A$2:$H$9997,8,FALSE),0)</f>
        <v/>
      </c>
      <c r="G989" s="29">
        <f>VLOOKUP(A989,Calendar!$A$1:$H$9997,6,FALSE)-F989</f>
        <v/>
      </c>
      <c r="H989" s="19" t="n">
        <v>3</v>
      </c>
      <c r="I989" s="57" t="n">
        <v>9</v>
      </c>
    </row>
    <row r="990">
      <c r="A990" s="62" t="n">
        <v>47101</v>
      </c>
      <c r="B990" s="3" t="inlineStr">
        <is>
          <t>Week</t>
        </is>
      </c>
      <c r="C990" s="19" t="n">
        <v>12</v>
      </c>
      <c r="D990" s="19" t="n">
        <v>2028</v>
      </c>
      <c r="E990" s="57" t="n">
        <v>1</v>
      </c>
      <c r="F990" s="29">
        <f>ROUND(((SUMIFS(Calendar!$F$2:$F$9997,Calendar!$B$2:$B$9997,D990,Calendar!$C$2:$C$9997,C990)*INDEX(ForeCalc!$B$37:$Y$274,MATCH(_xlfn.CONCAT(H990," ",I990),ForeCalc!$A$37:$A$274,0),MATCH(_xlfn.CONCAT(B990," ",E990),ForeCalc!$B$36:$Y$36,0))))*VLOOKUP(A990,Calendar!$A$2:$H$9997,8,FALSE),0)</f>
        <v/>
      </c>
      <c r="G990" s="29">
        <f>VLOOKUP(A990,Calendar!$A$1:$H$9997,6,FALSE)-F990</f>
        <v/>
      </c>
      <c r="H990" s="19" t="n">
        <v>3</v>
      </c>
      <c r="I990" s="57" t="n">
        <v>9</v>
      </c>
    </row>
    <row r="991">
      <c r="A991" s="62" t="n">
        <v>47102</v>
      </c>
      <c r="B991" s="3" t="inlineStr">
        <is>
          <t>Week</t>
        </is>
      </c>
      <c r="C991" s="19" t="n">
        <v>12</v>
      </c>
      <c r="D991" s="19" t="n">
        <v>2028</v>
      </c>
      <c r="E991" s="57" t="n">
        <v>1</v>
      </c>
      <c r="F991" s="29">
        <f>ROUND(((SUMIFS(Calendar!$F$2:$F$9997,Calendar!$B$2:$B$9997,D991,Calendar!$C$2:$C$9997,C991)*INDEX(ForeCalc!$B$37:$Y$274,MATCH(_xlfn.CONCAT(H991," ",I991),ForeCalc!$A$37:$A$274,0),MATCH(_xlfn.CONCAT(B991," ",E991),ForeCalc!$B$36:$Y$36,0))))*VLOOKUP(A991,Calendar!$A$2:$H$9997,8,FALSE),0)</f>
        <v/>
      </c>
      <c r="G991" s="29">
        <f>VLOOKUP(A991,Calendar!$A$1:$H$9997,6,FALSE)-F991</f>
        <v/>
      </c>
      <c r="H991" s="19" t="n">
        <v>3</v>
      </c>
      <c r="I991" s="57" t="n">
        <v>9</v>
      </c>
    </row>
    <row r="992">
      <c r="A992" s="62" t="n">
        <v>47103</v>
      </c>
      <c r="B992" s="3" t="inlineStr">
        <is>
          <t>Sat</t>
        </is>
      </c>
      <c r="C992" s="19" t="n">
        <v>12</v>
      </c>
      <c r="D992" s="19" t="n">
        <v>2028</v>
      </c>
      <c r="E992" s="57" t="n">
        <v>1</v>
      </c>
      <c r="F992" s="29">
        <f>ROUND(((SUMIFS(Calendar!$F$2:$F$9997,Calendar!$B$2:$B$9997,D992,Calendar!$C$2:$C$9997,C992)*INDEX(ForeCalc!$B$37:$Y$274,MATCH(_xlfn.CONCAT(H992," ",I992),ForeCalc!$A$37:$A$274,0),MATCH(_xlfn.CONCAT(B992," ",E992),ForeCalc!$B$36:$Y$36,0))))*VLOOKUP(A992,Calendar!$A$2:$H$9997,8,FALSE),0)</f>
        <v/>
      </c>
      <c r="G992" s="29">
        <f>VLOOKUP(A992,Calendar!$A$1:$H$9997,6,FALSE)-F992</f>
        <v/>
      </c>
      <c r="H992" s="19" t="n">
        <v>3</v>
      </c>
      <c r="I992" s="57" t="n">
        <v>9</v>
      </c>
    </row>
    <row r="993">
      <c r="A993" s="62" t="n">
        <v>47104</v>
      </c>
      <c r="B993" s="3" t="inlineStr">
        <is>
          <t>Sun</t>
        </is>
      </c>
      <c r="C993" s="19" t="n">
        <v>12</v>
      </c>
      <c r="D993" s="19" t="n">
        <v>2028</v>
      </c>
      <c r="E993" s="57" t="n">
        <v>1</v>
      </c>
      <c r="F993" s="29">
        <f>ROUND(((SUMIFS(Calendar!$F$2:$F$9997,Calendar!$B$2:$B$9997,D993,Calendar!$C$2:$C$9997,C993)*INDEX(ForeCalc!$B$37:$Y$274,MATCH(_xlfn.CONCAT(H993," ",I993),ForeCalc!$A$37:$A$274,0),MATCH(_xlfn.CONCAT(B993," ",E993),ForeCalc!$B$36:$Y$36,0))))*VLOOKUP(A993,Calendar!$A$2:$H$9997,8,FALSE),0)</f>
        <v/>
      </c>
      <c r="G993" s="29">
        <f>VLOOKUP(A993,Calendar!$A$1:$H$9997,6,FALSE)-F993</f>
        <v/>
      </c>
      <c r="H993" s="19" t="n">
        <v>3</v>
      </c>
      <c r="I993" s="57" t="n">
        <v>9</v>
      </c>
    </row>
    <row r="994">
      <c r="A994" s="62" t="n">
        <v>47105</v>
      </c>
      <c r="B994" s="3" t="inlineStr">
        <is>
          <t>Week</t>
        </is>
      </c>
      <c r="C994" s="19" t="n">
        <v>12</v>
      </c>
      <c r="D994" s="19" t="n">
        <v>2028</v>
      </c>
      <c r="E994" s="57" t="n">
        <v>1</v>
      </c>
      <c r="F994" s="29">
        <f>ROUND(((SUMIFS(Calendar!$F$2:$F$9997,Calendar!$B$2:$B$9997,D994,Calendar!$C$2:$C$9997,C994)*INDEX(ForeCalc!$B$37:$Y$274,MATCH(_xlfn.CONCAT(H994," ",I994),ForeCalc!$A$37:$A$274,0),MATCH(_xlfn.CONCAT(B994," ",E994),ForeCalc!$B$36:$Y$36,0))))*VLOOKUP(A994,Calendar!$A$2:$H$9997,8,FALSE),0)</f>
        <v/>
      </c>
      <c r="G994" s="29">
        <f>VLOOKUP(A994,Calendar!$A$1:$H$9997,6,FALSE)-F994</f>
        <v/>
      </c>
      <c r="H994" s="19" t="n">
        <v>3</v>
      </c>
      <c r="I994" s="57" t="n">
        <v>9</v>
      </c>
    </row>
    <row r="995">
      <c r="A995" s="62" t="n">
        <v>47106</v>
      </c>
      <c r="B995" s="3" t="inlineStr">
        <is>
          <t>Week</t>
        </is>
      </c>
      <c r="C995" s="19" t="n">
        <v>12</v>
      </c>
      <c r="D995" s="19" t="n">
        <v>2028</v>
      </c>
      <c r="E995" s="57" t="n">
        <v>1</v>
      </c>
      <c r="F995" s="29">
        <f>ROUND(((SUMIFS(Calendar!$F$2:$F$9997,Calendar!$B$2:$B$9997,D995,Calendar!$C$2:$C$9997,C995)*INDEX(ForeCalc!$B$37:$Y$274,MATCH(_xlfn.CONCAT(H995," ",I995),ForeCalc!$A$37:$A$274,0),MATCH(_xlfn.CONCAT(B995," ",E995),ForeCalc!$B$36:$Y$36,0))))*VLOOKUP(A995,Calendar!$A$2:$H$9997,8,FALSE),0)</f>
        <v/>
      </c>
      <c r="G995" s="29">
        <f>VLOOKUP(A995,Calendar!$A$1:$H$9997,6,FALSE)-F995</f>
        <v/>
      </c>
      <c r="H995" s="19" t="n">
        <v>3</v>
      </c>
      <c r="I995" s="57" t="n">
        <v>9</v>
      </c>
    </row>
    <row r="996">
      <c r="A996" s="62" t="n">
        <v>47107</v>
      </c>
      <c r="B996" s="3" t="inlineStr">
        <is>
          <t>Week</t>
        </is>
      </c>
      <c r="C996" s="19" t="n">
        <v>12</v>
      </c>
      <c r="D996" s="19" t="n">
        <v>2028</v>
      </c>
      <c r="E996" s="57" t="n">
        <v>1</v>
      </c>
      <c r="F996" s="29">
        <f>ROUND(((SUMIFS(Calendar!$F$2:$F$9997,Calendar!$B$2:$B$9997,D996,Calendar!$C$2:$C$9997,C996)*INDEX(ForeCalc!$B$37:$Y$274,MATCH(_xlfn.CONCAT(H996," ",I996),ForeCalc!$A$37:$A$274,0),MATCH(_xlfn.CONCAT(B996," ",E996),ForeCalc!$B$36:$Y$36,0))))*VLOOKUP(A996,Calendar!$A$2:$H$9997,8,FALSE),0)</f>
        <v/>
      </c>
      <c r="G996" s="29">
        <f>VLOOKUP(A996,Calendar!$A$1:$H$9997,6,FALSE)-F996</f>
        <v/>
      </c>
      <c r="H996" s="19" t="n">
        <v>3</v>
      </c>
      <c r="I996" s="57" t="n">
        <v>9</v>
      </c>
    </row>
    <row r="997">
      <c r="A997" s="62" t="n">
        <v>47108</v>
      </c>
      <c r="B997" s="3" t="inlineStr">
        <is>
          <t>Week</t>
        </is>
      </c>
      <c r="C997" s="19" t="n">
        <v>12</v>
      </c>
      <c r="D997" s="19" t="n">
        <v>2028</v>
      </c>
      <c r="E997" s="57" t="n">
        <v>1</v>
      </c>
      <c r="F997" s="29">
        <f>ROUND(((SUMIFS(Calendar!$F$2:$F$9997,Calendar!$B$2:$B$9997,D997,Calendar!$C$2:$C$9997,C997)*INDEX(ForeCalc!$B$37:$Y$274,MATCH(_xlfn.CONCAT(H997," ",I997),ForeCalc!$A$37:$A$274,0),MATCH(_xlfn.CONCAT(B997," ",E997),ForeCalc!$B$36:$Y$36,0))))*VLOOKUP(A997,Calendar!$A$2:$H$9997,8,FALSE),0)</f>
        <v/>
      </c>
      <c r="G997" s="29">
        <f>VLOOKUP(A997,Calendar!$A$1:$H$9997,6,FALSE)-F997</f>
        <v/>
      </c>
      <c r="H997" s="19" t="n">
        <v>3</v>
      </c>
      <c r="I997" s="57" t="n">
        <v>9</v>
      </c>
    </row>
    <row r="998">
      <c r="A998" s="62" t="n">
        <v>47109</v>
      </c>
      <c r="B998" s="3" t="inlineStr">
        <is>
          <t>Week</t>
        </is>
      </c>
      <c r="C998" s="19" t="n">
        <v>12</v>
      </c>
      <c r="D998" s="19" t="n">
        <v>2028</v>
      </c>
      <c r="E998" s="57" t="n">
        <v>1</v>
      </c>
      <c r="F998" s="29">
        <f>ROUND(((SUMIFS(Calendar!$F$2:$F$9997,Calendar!$B$2:$B$9997,D998,Calendar!$C$2:$C$9997,C998)*INDEX(ForeCalc!$B$37:$Y$274,MATCH(_xlfn.CONCAT(H998," ",I998),ForeCalc!$A$37:$A$274,0),MATCH(_xlfn.CONCAT(B998," ",E998),ForeCalc!$B$36:$Y$36,0))))*VLOOKUP(A998,Calendar!$A$2:$H$9997,8,FALSE),0)</f>
        <v/>
      </c>
      <c r="G998" s="29">
        <f>VLOOKUP(A998,Calendar!$A$1:$H$9997,6,FALSE)-F998</f>
        <v/>
      </c>
      <c r="H998" s="19" t="n">
        <v>3</v>
      </c>
      <c r="I998" s="57" t="n">
        <v>9</v>
      </c>
    </row>
    <row r="999">
      <c r="A999" s="62" t="n">
        <v>47110</v>
      </c>
      <c r="B999" s="3" t="inlineStr">
        <is>
          <t>Sat</t>
        </is>
      </c>
      <c r="C999" s="19" t="n">
        <v>12</v>
      </c>
      <c r="D999" s="19" t="n">
        <v>2028</v>
      </c>
      <c r="E999" s="57" t="n">
        <v>1</v>
      </c>
      <c r="F999" s="29">
        <f>ROUND(((SUMIFS(Calendar!$F$2:$F$9997,Calendar!$B$2:$B$9997,D999,Calendar!$C$2:$C$9997,C999)*INDEX(ForeCalc!$B$37:$Y$274,MATCH(_xlfn.CONCAT(H999," ",I999),ForeCalc!$A$37:$A$274,0),MATCH(_xlfn.CONCAT(B999," ",E999),ForeCalc!$B$36:$Y$36,0))))*VLOOKUP(A999,Calendar!$A$2:$H$9997,8,FALSE),0)</f>
        <v/>
      </c>
      <c r="G999" s="29">
        <f>VLOOKUP(A999,Calendar!$A$1:$H$9997,6,FALSE)-F999</f>
        <v/>
      </c>
      <c r="H999" s="19" t="n">
        <v>3</v>
      </c>
      <c r="I999" s="57" t="n">
        <v>9</v>
      </c>
    </row>
    <row r="1000">
      <c r="A1000" s="62" t="n">
        <v>47111</v>
      </c>
      <c r="B1000" s="3" t="inlineStr">
        <is>
          <t>Sun</t>
        </is>
      </c>
      <c r="C1000" s="19" t="n">
        <v>12</v>
      </c>
      <c r="D1000" s="19" t="n">
        <v>2028</v>
      </c>
      <c r="E1000" s="57" t="n">
        <v>1</v>
      </c>
      <c r="F1000" s="29">
        <f>ROUND(((SUMIFS(Calendar!$F$2:$F$9997,Calendar!$B$2:$B$9997,D1000,Calendar!$C$2:$C$9997,C1000)*INDEX(ForeCalc!$B$37:$Y$274,MATCH(_xlfn.CONCAT(H1000," ",I1000),ForeCalc!$A$37:$A$274,0),MATCH(_xlfn.CONCAT(B1000," ",E1000),ForeCalc!$B$36:$Y$36,0))))*VLOOKUP(A1000,Calendar!$A$2:$H$9997,8,FALSE),0)</f>
        <v/>
      </c>
      <c r="G1000" s="29">
        <f>VLOOKUP(A1000,Calendar!$A$1:$H$9997,6,FALSE)-F1000</f>
        <v/>
      </c>
      <c r="H1000" s="19" t="n">
        <v>3</v>
      </c>
      <c r="I1000" s="57" t="n">
        <v>9</v>
      </c>
    </row>
    <row r="1001">
      <c r="A1001" s="62" t="n">
        <v>47112</v>
      </c>
      <c r="B1001" s="3" t="inlineStr">
        <is>
          <t>Week</t>
        </is>
      </c>
      <c r="C1001" s="19" t="n">
        <v>12</v>
      </c>
      <c r="D1001" s="19" t="n">
        <v>2028</v>
      </c>
      <c r="E1001" s="57" t="n">
        <v>1</v>
      </c>
      <c r="F1001" s="29">
        <f>ROUND(((SUMIFS(Calendar!$F$2:$F$9997,Calendar!$B$2:$B$9997,D1001,Calendar!$C$2:$C$9997,C1001)*INDEX(ForeCalc!$B$37:$Y$274,MATCH(_xlfn.CONCAT(H1001," ",I1001),ForeCalc!$A$37:$A$274,0),MATCH(_xlfn.CONCAT(B1001," ",E1001),ForeCalc!$B$36:$Y$36,0))))*VLOOKUP(A1001,Calendar!$A$2:$H$9997,8,FALSE),0)</f>
        <v/>
      </c>
      <c r="G1001" s="29">
        <f>VLOOKUP(A1001,Calendar!$A$1:$H$9997,6,FALSE)-F1001</f>
        <v/>
      </c>
      <c r="H1001" s="19" t="n">
        <v>3</v>
      </c>
      <c r="I1001" s="57" t="n">
        <v>9</v>
      </c>
    </row>
    <row r="1002">
      <c r="A1002" s="62" t="n">
        <v>47113</v>
      </c>
      <c r="B1002" s="3" t="inlineStr">
        <is>
          <t>Week</t>
        </is>
      </c>
      <c r="C1002" s="19" t="n">
        <v>12</v>
      </c>
      <c r="D1002" s="19" t="n">
        <v>2028</v>
      </c>
      <c r="E1002" s="57" t="n">
        <v>1</v>
      </c>
      <c r="F1002" s="29">
        <f>ROUND(((SUMIFS(Calendar!$F$2:$F$9997,Calendar!$B$2:$B$9997,D1002,Calendar!$C$2:$C$9997,C1002)*INDEX(ForeCalc!$B$37:$Y$274,MATCH(_xlfn.CONCAT(H1002," ",I1002),ForeCalc!$A$37:$A$274,0),MATCH(_xlfn.CONCAT(B1002," ",E1002),ForeCalc!$B$36:$Y$36,0))))*VLOOKUP(A1002,Calendar!$A$2:$H$9997,8,FALSE),0)</f>
        <v/>
      </c>
      <c r="G1002" s="29">
        <f>VLOOKUP(A1002,Calendar!$A$1:$H$9997,6,FALSE)-F1002</f>
        <v/>
      </c>
      <c r="H1002" s="19" t="n">
        <v>3</v>
      </c>
      <c r="I1002" s="57" t="n">
        <v>9</v>
      </c>
    </row>
    <row r="1003">
      <c r="A1003" s="62" t="n">
        <v>47114</v>
      </c>
      <c r="B1003" s="3" t="inlineStr">
        <is>
          <t>Week</t>
        </is>
      </c>
      <c r="C1003" s="19" t="n">
        <v>12</v>
      </c>
      <c r="D1003" s="19" t="n">
        <v>2028</v>
      </c>
      <c r="E1003" s="57" t="n">
        <v>1</v>
      </c>
      <c r="F1003" s="29">
        <f>ROUND(((SUMIFS(Calendar!$F$2:$F$9997,Calendar!$B$2:$B$9997,D1003,Calendar!$C$2:$C$9997,C1003)*INDEX(ForeCalc!$B$37:$Y$274,MATCH(_xlfn.CONCAT(H1003," ",I1003),ForeCalc!$A$37:$A$274,0),MATCH(_xlfn.CONCAT(B1003," ",E1003),ForeCalc!$B$36:$Y$36,0))))*VLOOKUP(A1003,Calendar!$A$2:$H$9997,8,FALSE),0)</f>
        <v/>
      </c>
      <c r="G1003" s="29">
        <f>VLOOKUP(A1003,Calendar!$A$1:$H$9997,6,FALSE)-F1003</f>
        <v/>
      </c>
      <c r="H1003" s="19" t="n">
        <v>3</v>
      </c>
      <c r="I1003" s="57" t="n">
        <v>9</v>
      </c>
    </row>
    <row r="1004">
      <c r="A1004" s="62" t="n">
        <v>47115</v>
      </c>
      <c r="B1004" s="3" t="inlineStr">
        <is>
          <t>Week</t>
        </is>
      </c>
      <c r="C1004" s="19" t="n">
        <v>12</v>
      </c>
      <c r="D1004" s="19" t="n">
        <v>2028</v>
      </c>
      <c r="E1004" s="57" t="n">
        <v>1</v>
      </c>
      <c r="F1004" s="29">
        <f>ROUND(((SUMIFS(Calendar!$F$2:$F$9997,Calendar!$B$2:$B$9997,D1004,Calendar!$C$2:$C$9997,C1004)*INDEX(ForeCalc!$B$37:$Y$274,MATCH(_xlfn.CONCAT(H1004," ",I1004),ForeCalc!$A$37:$A$274,0),MATCH(_xlfn.CONCAT(B1004," ",E1004),ForeCalc!$B$36:$Y$36,0))))*VLOOKUP(A1004,Calendar!$A$2:$H$9997,8,FALSE),0)</f>
        <v/>
      </c>
      <c r="G1004" s="29">
        <f>VLOOKUP(A1004,Calendar!$A$1:$H$9997,6,FALSE)-F1004</f>
        <v/>
      </c>
      <c r="H1004" s="19" t="n">
        <v>3</v>
      </c>
      <c r="I1004" s="57" t="n">
        <v>9</v>
      </c>
    </row>
    <row r="1005">
      <c r="A1005" s="62" t="n">
        <v>47116</v>
      </c>
      <c r="B1005" s="3" t="inlineStr">
        <is>
          <t>Week</t>
        </is>
      </c>
      <c r="C1005" s="19" t="n">
        <v>12</v>
      </c>
      <c r="D1005" s="19" t="n">
        <v>2028</v>
      </c>
      <c r="E1005" s="57" t="n">
        <v>1</v>
      </c>
      <c r="F1005" s="29">
        <f>ROUND(((SUMIFS(Calendar!$F$2:$F$9997,Calendar!$B$2:$B$9997,D1005,Calendar!$C$2:$C$9997,C1005)*INDEX(ForeCalc!$B$37:$Y$274,MATCH(_xlfn.CONCAT(H1005," ",I1005),ForeCalc!$A$37:$A$274,0),MATCH(_xlfn.CONCAT(B1005," ",E1005),ForeCalc!$B$36:$Y$36,0))))*VLOOKUP(A1005,Calendar!$A$2:$H$9997,8,FALSE),0)</f>
        <v/>
      </c>
      <c r="G1005" s="29">
        <f>VLOOKUP(A1005,Calendar!$A$1:$H$9997,6,FALSE)-F1005</f>
        <v/>
      </c>
      <c r="H1005" s="19" t="n">
        <v>3</v>
      </c>
      <c r="I1005" s="57" t="n">
        <v>9</v>
      </c>
    </row>
    <row r="1006">
      <c r="A1006" s="62" t="n">
        <v>47117</v>
      </c>
      <c r="B1006" s="3" t="inlineStr">
        <is>
          <t>Sat</t>
        </is>
      </c>
      <c r="C1006" s="19" t="n">
        <v>12</v>
      </c>
      <c r="D1006" s="19" t="n">
        <v>2028</v>
      </c>
      <c r="E1006" s="57" t="n">
        <v>1</v>
      </c>
      <c r="F1006" s="29">
        <f>ROUND(((SUMIFS(Calendar!$F$2:$F$9997,Calendar!$B$2:$B$9997,D1006,Calendar!$C$2:$C$9997,C1006)*INDEX(ForeCalc!$B$37:$Y$274,MATCH(_xlfn.CONCAT(H1006," ",I1006),ForeCalc!$A$37:$A$274,0),MATCH(_xlfn.CONCAT(B1006," ",E1006),ForeCalc!$B$36:$Y$36,0))))*VLOOKUP(A1006,Calendar!$A$2:$H$9997,8,FALSE),0)</f>
        <v/>
      </c>
      <c r="G1006" s="29">
        <f>VLOOKUP(A1006,Calendar!$A$1:$H$9997,6,FALSE)-F1006</f>
        <v/>
      </c>
      <c r="H1006" s="19" t="n">
        <v>3</v>
      </c>
      <c r="I1006" s="57" t="n">
        <v>9</v>
      </c>
    </row>
    <row r="1007">
      <c r="A1007" s="62" t="n">
        <v>47118</v>
      </c>
      <c r="B1007" s="3" t="inlineStr">
        <is>
          <t>Sun</t>
        </is>
      </c>
      <c r="C1007" s="19" t="n">
        <v>12</v>
      </c>
      <c r="D1007" s="19" t="n">
        <v>2028</v>
      </c>
      <c r="E1007" s="57" t="n">
        <v>1</v>
      </c>
      <c r="F1007" s="29">
        <f>ROUND(((SUMIFS(Calendar!$F$2:$F$9997,Calendar!$B$2:$B$9997,D1007,Calendar!$C$2:$C$9997,C1007)*INDEX(ForeCalc!$B$37:$Y$274,MATCH(_xlfn.CONCAT(H1007," ",I1007),ForeCalc!$A$37:$A$274,0),MATCH(_xlfn.CONCAT(B1007," ",E1007),ForeCalc!$B$36:$Y$36,0))))*VLOOKUP(A1007,Calendar!$A$2:$H$9997,8,FALSE),0)</f>
        <v/>
      </c>
      <c r="G1007" s="29">
        <f>VLOOKUP(A1007,Calendar!$A$1:$H$9997,6,FALSE)-F1007</f>
        <v/>
      </c>
      <c r="H1007" s="19" t="n">
        <v>3</v>
      </c>
      <c r="I1007" s="57" t="n">
        <v>9</v>
      </c>
    </row>
    <row r="1008">
      <c r="A1008" s="62" t="n">
        <v>47119</v>
      </c>
      <c r="B1008" s="3" t="inlineStr">
        <is>
          <t>Week</t>
        </is>
      </c>
      <c r="C1008" s="19" t="n">
        <v>1</v>
      </c>
      <c r="D1008" s="19" t="n">
        <v>2029</v>
      </c>
      <c r="E1008" s="57" t="n">
        <v>1</v>
      </c>
      <c r="F1008" s="29">
        <f>ROUND(((SUMIFS(Calendar!$F$2:$F$9997,Calendar!$B$2:$B$9997,D1008,Calendar!$C$2:$C$9997,C1008)*INDEX(ForeCalc!$B$37:$Y$274,MATCH(_xlfn.CONCAT(H1008," ",I1008),ForeCalc!$A$37:$A$274,0),MATCH(_xlfn.CONCAT(B1008," ",E1008),ForeCalc!$B$36:$Y$36,0))))*VLOOKUP(A1008,Calendar!$A$2:$H$9997,8,FALSE),0)</f>
        <v/>
      </c>
      <c r="G1008" s="29">
        <f>VLOOKUP(A1008,Calendar!$A$1:$H$9997,6,FALSE)-F1008</f>
        <v/>
      </c>
      <c r="H1008" s="19" t="n">
        <v>3</v>
      </c>
      <c r="I1008" s="57" t="n">
        <v>10</v>
      </c>
    </row>
    <row r="1009">
      <c r="A1009" s="62" t="n">
        <v>47120</v>
      </c>
      <c r="B1009" s="3" t="inlineStr">
        <is>
          <t>Week</t>
        </is>
      </c>
      <c r="C1009" s="19" t="n">
        <v>1</v>
      </c>
      <c r="D1009" s="19" t="n">
        <v>2029</v>
      </c>
      <c r="E1009" s="57" t="n">
        <v>1</v>
      </c>
      <c r="F1009" s="29">
        <f>ROUND(((SUMIFS(Calendar!$F$2:$F$9997,Calendar!$B$2:$B$9997,D1009,Calendar!$C$2:$C$9997,C1009)*INDEX(ForeCalc!$B$37:$Y$274,MATCH(_xlfn.CONCAT(H1009," ",I1009),ForeCalc!$A$37:$A$274,0),MATCH(_xlfn.CONCAT(B1009," ",E1009),ForeCalc!$B$36:$Y$36,0))))*VLOOKUP(A1009,Calendar!$A$2:$H$9997,8,FALSE),0)</f>
        <v/>
      </c>
      <c r="G1009" s="29">
        <f>VLOOKUP(A1009,Calendar!$A$1:$H$9997,6,FALSE)-F1009</f>
        <v/>
      </c>
      <c r="H1009" s="19" t="n">
        <v>3</v>
      </c>
      <c r="I1009" s="57" t="n">
        <v>10</v>
      </c>
    </row>
    <row r="1010">
      <c r="A1010" s="62" t="n">
        <v>47121</v>
      </c>
      <c r="B1010" s="3" t="inlineStr">
        <is>
          <t>Week</t>
        </is>
      </c>
      <c r="C1010" s="19" t="n">
        <v>1</v>
      </c>
      <c r="D1010" s="19" t="n">
        <v>2029</v>
      </c>
      <c r="E1010" s="57" t="n">
        <v>1</v>
      </c>
      <c r="F1010" s="29">
        <f>ROUND(((SUMIFS(Calendar!$F$2:$F$9997,Calendar!$B$2:$B$9997,D1010,Calendar!$C$2:$C$9997,C1010)*INDEX(ForeCalc!$B$37:$Y$274,MATCH(_xlfn.CONCAT(H1010," ",I1010),ForeCalc!$A$37:$A$274,0),MATCH(_xlfn.CONCAT(B1010," ",E1010),ForeCalc!$B$36:$Y$36,0))))*VLOOKUP(A1010,Calendar!$A$2:$H$9997,8,FALSE),0)</f>
        <v/>
      </c>
      <c r="G1010" s="29">
        <f>VLOOKUP(A1010,Calendar!$A$1:$H$9997,6,FALSE)-F1010</f>
        <v/>
      </c>
      <c r="H1010" s="19" t="n">
        <v>3</v>
      </c>
      <c r="I1010" s="57" t="n">
        <v>10</v>
      </c>
    </row>
    <row r="1011">
      <c r="A1011" s="62" t="n">
        <v>47122</v>
      </c>
      <c r="B1011" s="3" t="inlineStr">
        <is>
          <t>Week</t>
        </is>
      </c>
      <c r="C1011" s="19" t="n">
        <v>1</v>
      </c>
      <c r="D1011" s="19" t="n">
        <v>2029</v>
      </c>
      <c r="E1011" s="57" t="n">
        <v>1</v>
      </c>
      <c r="F1011" s="29">
        <f>ROUND(((SUMIFS(Calendar!$F$2:$F$9997,Calendar!$B$2:$B$9997,D1011,Calendar!$C$2:$C$9997,C1011)*INDEX(ForeCalc!$B$37:$Y$274,MATCH(_xlfn.CONCAT(H1011," ",I1011),ForeCalc!$A$37:$A$274,0),MATCH(_xlfn.CONCAT(B1011," ",E1011),ForeCalc!$B$36:$Y$36,0))))*VLOOKUP(A1011,Calendar!$A$2:$H$9997,8,FALSE),0)</f>
        <v/>
      </c>
      <c r="G1011" s="29">
        <f>VLOOKUP(A1011,Calendar!$A$1:$H$9997,6,FALSE)-F1011</f>
        <v/>
      </c>
      <c r="H1011" s="19" t="n">
        <v>3</v>
      </c>
      <c r="I1011" s="57" t="n">
        <v>10</v>
      </c>
    </row>
    <row r="1012">
      <c r="A1012" s="62" t="n">
        <v>47123</v>
      </c>
      <c r="B1012" s="3" t="inlineStr">
        <is>
          <t>Week</t>
        </is>
      </c>
      <c r="C1012" s="19" t="n">
        <v>1</v>
      </c>
      <c r="D1012" s="19" t="n">
        <v>2029</v>
      </c>
      <c r="E1012" s="57" t="n">
        <v>1</v>
      </c>
      <c r="F1012" s="29">
        <f>ROUND(((SUMIFS(Calendar!$F$2:$F$9997,Calendar!$B$2:$B$9997,D1012,Calendar!$C$2:$C$9997,C1012)*INDEX(ForeCalc!$B$37:$Y$274,MATCH(_xlfn.CONCAT(H1012," ",I1012),ForeCalc!$A$37:$A$274,0),MATCH(_xlfn.CONCAT(B1012," ",E1012),ForeCalc!$B$36:$Y$36,0))))*VLOOKUP(A1012,Calendar!$A$2:$H$9997,8,FALSE),0)</f>
        <v/>
      </c>
      <c r="G1012" s="29">
        <f>VLOOKUP(A1012,Calendar!$A$1:$H$9997,6,FALSE)-F1012</f>
        <v/>
      </c>
      <c r="H1012" s="19" t="n">
        <v>3</v>
      </c>
      <c r="I1012" s="57" t="n">
        <v>10</v>
      </c>
    </row>
    <row r="1013">
      <c r="A1013" s="62" t="n">
        <v>47124</v>
      </c>
      <c r="B1013" s="3" t="inlineStr">
        <is>
          <t>Sat</t>
        </is>
      </c>
      <c r="C1013" s="19" t="n">
        <v>1</v>
      </c>
      <c r="D1013" s="19" t="n">
        <v>2029</v>
      </c>
      <c r="E1013" s="57" t="n">
        <v>1</v>
      </c>
      <c r="F1013" s="29">
        <f>ROUND(((SUMIFS(Calendar!$F$2:$F$9997,Calendar!$B$2:$B$9997,D1013,Calendar!$C$2:$C$9997,C1013)*INDEX(ForeCalc!$B$37:$Y$274,MATCH(_xlfn.CONCAT(H1013," ",I1013),ForeCalc!$A$37:$A$274,0),MATCH(_xlfn.CONCAT(B1013," ",E1013),ForeCalc!$B$36:$Y$36,0))))*VLOOKUP(A1013,Calendar!$A$2:$H$9997,8,FALSE),0)</f>
        <v/>
      </c>
      <c r="G1013" s="29">
        <f>VLOOKUP(A1013,Calendar!$A$1:$H$9997,6,FALSE)-F1013</f>
        <v/>
      </c>
      <c r="H1013" s="19" t="n">
        <v>3</v>
      </c>
      <c r="I1013" s="57" t="n">
        <v>10</v>
      </c>
    </row>
    <row r="1014">
      <c r="A1014" s="62" t="n">
        <v>47125</v>
      </c>
      <c r="B1014" s="3" t="inlineStr">
        <is>
          <t>Sun</t>
        </is>
      </c>
      <c r="C1014" s="19" t="n">
        <v>1</v>
      </c>
      <c r="D1014" s="19" t="n">
        <v>2029</v>
      </c>
      <c r="E1014" s="57" t="n">
        <v>1</v>
      </c>
      <c r="F1014" s="29">
        <f>ROUND(((SUMIFS(Calendar!$F$2:$F$9997,Calendar!$B$2:$B$9997,D1014,Calendar!$C$2:$C$9997,C1014)*INDEX(ForeCalc!$B$37:$Y$274,MATCH(_xlfn.CONCAT(H1014," ",I1014),ForeCalc!$A$37:$A$274,0),MATCH(_xlfn.CONCAT(B1014," ",E1014),ForeCalc!$B$36:$Y$36,0))))*VLOOKUP(A1014,Calendar!$A$2:$H$9997,8,FALSE),0)</f>
        <v/>
      </c>
      <c r="G1014" s="29">
        <f>VLOOKUP(A1014,Calendar!$A$1:$H$9997,6,FALSE)-F1014</f>
        <v/>
      </c>
      <c r="H1014" s="19" t="n">
        <v>3</v>
      </c>
      <c r="I1014" s="57" t="n">
        <v>10</v>
      </c>
    </row>
    <row r="1015">
      <c r="A1015" s="62" t="n">
        <v>47126</v>
      </c>
      <c r="B1015" s="3" t="inlineStr">
        <is>
          <t>Week</t>
        </is>
      </c>
      <c r="C1015" s="19" t="n">
        <v>1</v>
      </c>
      <c r="D1015" s="19" t="n">
        <v>2029</v>
      </c>
      <c r="E1015" s="57" t="n">
        <v>1</v>
      </c>
      <c r="F1015" s="29">
        <f>ROUND(((SUMIFS(Calendar!$F$2:$F$9997,Calendar!$B$2:$B$9997,D1015,Calendar!$C$2:$C$9997,C1015)*INDEX(ForeCalc!$B$37:$Y$274,MATCH(_xlfn.CONCAT(H1015," ",I1015),ForeCalc!$A$37:$A$274,0),MATCH(_xlfn.CONCAT(B1015," ",E1015),ForeCalc!$B$36:$Y$36,0))))*VLOOKUP(A1015,Calendar!$A$2:$H$9997,8,FALSE),0)</f>
        <v/>
      </c>
      <c r="G1015" s="29">
        <f>VLOOKUP(A1015,Calendar!$A$1:$H$9997,6,FALSE)-F1015</f>
        <v/>
      </c>
      <c r="H1015" s="19" t="n">
        <v>3</v>
      </c>
      <c r="I1015" s="57" t="n">
        <v>10</v>
      </c>
    </row>
    <row r="1016">
      <c r="A1016" s="62" t="n">
        <v>47127</v>
      </c>
      <c r="B1016" s="3" t="inlineStr">
        <is>
          <t>Week</t>
        </is>
      </c>
      <c r="C1016" s="19" t="n">
        <v>1</v>
      </c>
      <c r="D1016" s="19" t="n">
        <v>2029</v>
      </c>
      <c r="E1016" s="57" t="n">
        <v>1</v>
      </c>
      <c r="F1016" s="29">
        <f>ROUND(((SUMIFS(Calendar!$F$2:$F$9997,Calendar!$B$2:$B$9997,D1016,Calendar!$C$2:$C$9997,C1016)*INDEX(ForeCalc!$B$37:$Y$274,MATCH(_xlfn.CONCAT(H1016," ",I1016),ForeCalc!$A$37:$A$274,0),MATCH(_xlfn.CONCAT(B1016," ",E1016),ForeCalc!$B$36:$Y$36,0))))*VLOOKUP(A1016,Calendar!$A$2:$H$9997,8,FALSE),0)</f>
        <v/>
      </c>
      <c r="G1016" s="29">
        <f>VLOOKUP(A1016,Calendar!$A$1:$H$9997,6,FALSE)-F1016</f>
        <v/>
      </c>
      <c r="H1016" s="19" t="n">
        <v>3</v>
      </c>
      <c r="I1016" s="57" t="n">
        <v>10</v>
      </c>
    </row>
    <row r="1017">
      <c r="A1017" s="62" t="n">
        <v>47128</v>
      </c>
      <c r="B1017" s="3" t="inlineStr">
        <is>
          <t>Week</t>
        </is>
      </c>
      <c r="C1017" s="19" t="n">
        <v>1</v>
      </c>
      <c r="D1017" s="19" t="n">
        <v>2029</v>
      </c>
      <c r="E1017" s="57" t="n">
        <v>1</v>
      </c>
      <c r="F1017" s="29">
        <f>ROUND(((SUMIFS(Calendar!$F$2:$F$9997,Calendar!$B$2:$B$9997,D1017,Calendar!$C$2:$C$9997,C1017)*INDEX(ForeCalc!$B$37:$Y$274,MATCH(_xlfn.CONCAT(H1017," ",I1017),ForeCalc!$A$37:$A$274,0),MATCH(_xlfn.CONCAT(B1017," ",E1017),ForeCalc!$B$36:$Y$36,0))))*VLOOKUP(A1017,Calendar!$A$2:$H$9997,8,FALSE),0)</f>
        <v/>
      </c>
      <c r="G1017" s="29">
        <f>VLOOKUP(A1017,Calendar!$A$1:$H$9997,6,FALSE)-F1017</f>
        <v/>
      </c>
      <c r="H1017" s="19" t="n">
        <v>3</v>
      </c>
      <c r="I1017" s="57" t="n">
        <v>10</v>
      </c>
    </row>
    <row r="1018">
      <c r="A1018" s="62" t="n">
        <v>47129</v>
      </c>
      <c r="B1018" s="3" t="inlineStr">
        <is>
          <t>Week</t>
        </is>
      </c>
      <c r="C1018" s="19" t="n">
        <v>1</v>
      </c>
      <c r="D1018" s="19" t="n">
        <v>2029</v>
      </c>
      <c r="E1018" s="57" t="n">
        <v>1</v>
      </c>
      <c r="F1018" s="29">
        <f>ROUND(((SUMIFS(Calendar!$F$2:$F$9997,Calendar!$B$2:$B$9997,D1018,Calendar!$C$2:$C$9997,C1018)*INDEX(ForeCalc!$B$37:$Y$274,MATCH(_xlfn.CONCAT(H1018," ",I1018),ForeCalc!$A$37:$A$274,0),MATCH(_xlfn.CONCAT(B1018," ",E1018),ForeCalc!$B$36:$Y$36,0))))*VLOOKUP(A1018,Calendar!$A$2:$H$9997,8,FALSE),0)</f>
        <v/>
      </c>
      <c r="G1018" s="29">
        <f>VLOOKUP(A1018,Calendar!$A$1:$H$9997,6,FALSE)-F1018</f>
        <v/>
      </c>
      <c r="H1018" s="19" t="n">
        <v>3</v>
      </c>
      <c r="I1018" s="57" t="n">
        <v>10</v>
      </c>
    </row>
    <row r="1019">
      <c r="A1019" s="62" t="n">
        <v>47130</v>
      </c>
      <c r="B1019" s="3" t="inlineStr">
        <is>
          <t>Week</t>
        </is>
      </c>
      <c r="C1019" s="19" t="n">
        <v>1</v>
      </c>
      <c r="D1019" s="19" t="n">
        <v>2029</v>
      </c>
      <c r="E1019" s="57" t="n">
        <v>1</v>
      </c>
      <c r="F1019" s="29">
        <f>ROUND(((SUMIFS(Calendar!$F$2:$F$9997,Calendar!$B$2:$B$9997,D1019,Calendar!$C$2:$C$9997,C1019)*INDEX(ForeCalc!$B$37:$Y$274,MATCH(_xlfn.CONCAT(H1019," ",I1019),ForeCalc!$A$37:$A$274,0),MATCH(_xlfn.CONCAT(B1019," ",E1019),ForeCalc!$B$36:$Y$36,0))))*VLOOKUP(A1019,Calendar!$A$2:$H$9997,8,FALSE),0)</f>
        <v/>
      </c>
      <c r="G1019" s="29">
        <f>VLOOKUP(A1019,Calendar!$A$1:$H$9997,6,FALSE)-F1019</f>
        <v/>
      </c>
      <c r="H1019" s="19" t="n">
        <v>3</v>
      </c>
      <c r="I1019" s="57" t="n">
        <v>10</v>
      </c>
    </row>
    <row r="1020">
      <c r="A1020" s="62" t="n">
        <v>47131</v>
      </c>
      <c r="B1020" s="3" t="inlineStr">
        <is>
          <t>Sat</t>
        </is>
      </c>
      <c r="C1020" s="19" t="n">
        <v>1</v>
      </c>
      <c r="D1020" s="19" t="n">
        <v>2029</v>
      </c>
      <c r="E1020" s="57" t="n">
        <v>1</v>
      </c>
      <c r="F1020" s="29">
        <f>ROUND(((SUMIFS(Calendar!$F$2:$F$9997,Calendar!$B$2:$B$9997,D1020,Calendar!$C$2:$C$9997,C1020)*INDEX(ForeCalc!$B$37:$Y$274,MATCH(_xlfn.CONCAT(H1020," ",I1020),ForeCalc!$A$37:$A$274,0),MATCH(_xlfn.CONCAT(B1020," ",E1020),ForeCalc!$B$36:$Y$36,0))))*VLOOKUP(A1020,Calendar!$A$2:$H$9997,8,FALSE),0)</f>
        <v/>
      </c>
      <c r="G1020" s="29">
        <f>VLOOKUP(A1020,Calendar!$A$1:$H$9997,6,FALSE)-F1020</f>
        <v/>
      </c>
      <c r="H1020" s="19" t="n">
        <v>3</v>
      </c>
      <c r="I1020" s="57" t="n">
        <v>10</v>
      </c>
    </row>
    <row r="1021">
      <c r="A1021" s="62" t="n">
        <v>47132</v>
      </c>
      <c r="B1021" s="3" t="inlineStr">
        <is>
          <t>Sun</t>
        </is>
      </c>
      <c r="C1021" s="19" t="n">
        <v>1</v>
      </c>
      <c r="D1021" s="19" t="n">
        <v>2029</v>
      </c>
      <c r="E1021" s="57" t="n">
        <v>1</v>
      </c>
      <c r="F1021" s="29">
        <f>ROUND(((SUMIFS(Calendar!$F$2:$F$9997,Calendar!$B$2:$B$9997,D1021,Calendar!$C$2:$C$9997,C1021)*INDEX(ForeCalc!$B$37:$Y$274,MATCH(_xlfn.CONCAT(H1021," ",I1021),ForeCalc!$A$37:$A$274,0),MATCH(_xlfn.CONCAT(B1021," ",E1021),ForeCalc!$B$36:$Y$36,0))))*VLOOKUP(A1021,Calendar!$A$2:$H$9997,8,FALSE),0)</f>
        <v/>
      </c>
      <c r="G1021" s="29">
        <f>VLOOKUP(A1021,Calendar!$A$1:$H$9997,6,FALSE)-F1021</f>
        <v/>
      </c>
      <c r="H1021" s="19" t="n">
        <v>3</v>
      </c>
      <c r="I1021" s="57" t="n">
        <v>10</v>
      </c>
    </row>
    <row r="1022">
      <c r="A1022" s="62" t="n">
        <v>47133</v>
      </c>
      <c r="B1022" s="3" t="inlineStr">
        <is>
          <t>Week</t>
        </is>
      </c>
      <c r="C1022" s="19" t="n">
        <v>1</v>
      </c>
      <c r="D1022" s="19" t="n">
        <v>2029</v>
      </c>
      <c r="E1022" s="57" t="n">
        <v>1</v>
      </c>
      <c r="F1022" s="29">
        <f>ROUND(((SUMIFS(Calendar!$F$2:$F$9997,Calendar!$B$2:$B$9997,D1022,Calendar!$C$2:$C$9997,C1022)*INDEX(ForeCalc!$B$37:$Y$274,MATCH(_xlfn.CONCAT(H1022," ",I1022),ForeCalc!$A$37:$A$274,0),MATCH(_xlfn.CONCAT(B1022," ",E1022),ForeCalc!$B$36:$Y$36,0))))*VLOOKUP(A1022,Calendar!$A$2:$H$9997,8,FALSE),0)</f>
        <v/>
      </c>
      <c r="G1022" s="29">
        <f>VLOOKUP(A1022,Calendar!$A$1:$H$9997,6,FALSE)-F1022</f>
        <v/>
      </c>
      <c r="H1022" s="19" t="n">
        <v>3</v>
      </c>
      <c r="I1022" s="57" t="n">
        <v>10</v>
      </c>
    </row>
    <row r="1023">
      <c r="A1023" s="62" t="n">
        <v>47134</v>
      </c>
      <c r="B1023" s="3" t="inlineStr">
        <is>
          <t>Week</t>
        </is>
      </c>
      <c r="C1023" s="19" t="n">
        <v>1</v>
      </c>
      <c r="D1023" s="19" t="n">
        <v>2029</v>
      </c>
      <c r="E1023" s="57" t="n">
        <v>1</v>
      </c>
      <c r="F1023" s="29">
        <f>ROUND(((SUMIFS(Calendar!$F$2:$F$9997,Calendar!$B$2:$B$9997,D1023,Calendar!$C$2:$C$9997,C1023)*INDEX(ForeCalc!$B$37:$Y$274,MATCH(_xlfn.CONCAT(H1023," ",I1023),ForeCalc!$A$37:$A$274,0),MATCH(_xlfn.CONCAT(B1023," ",E1023),ForeCalc!$B$36:$Y$36,0))))*VLOOKUP(A1023,Calendar!$A$2:$H$9997,8,FALSE),0)</f>
        <v/>
      </c>
      <c r="G1023" s="29">
        <f>VLOOKUP(A1023,Calendar!$A$1:$H$9997,6,FALSE)-F1023</f>
        <v/>
      </c>
      <c r="H1023" s="19" t="n">
        <v>3</v>
      </c>
      <c r="I1023" s="57" t="n">
        <v>10</v>
      </c>
    </row>
    <row r="1024">
      <c r="A1024" s="62" t="n">
        <v>47135</v>
      </c>
      <c r="B1024" s="3" t="inlineStr">
        <is>
          <t>Week</t>
        </is>
      </c>
      <c r="C1024" s="19" t="n">
        <v>1</v>
      </c>
      <c r="D1024" s="19" t="n">
        <v>2029</v>
      </c>
      <c r="E1024" s="57" t="n">
        <v>1</v>
      </c>
      <c r="F1024" s="29">
        <f>ROUND(((SUMIFS(Calendar!$F$2:$F$9997,Calendar!$B$2:$B$9997,D1024,Calendar!$C$2:$C$9997,C1024)*INDEX(ForeCalc!$B$37:$Y$274,MATCH(_xlfn.CONCAT(H1024," ",I1024),ForeCalc!$A$37:$A$274,0),MATCH(_xlfn.CONCAT(B1024," ",E1024),ForeCalc!$B$36:$Y$36,0))))*VLOOKUP(A1024,Calendar!$A$2:$H$9997,8,FALSE),0)</f>
        <v/>
      </c>
      <c r="G1024" s="29">
        <f>VLOOKUP(A1024,Calendar!$A$1:$H$9997,6,FALSE)-F1024</f>
        <v/>
      </c>
      <c r="H1024" s="19" t="n">
        <v>3</v>
      </c>
      <c r="I1024" s="57" t="n">
        <v>10</v>
      </c>
    </row>
    <row r="1025">
      <c r="A1025" s="62" t="n">
        <v>47136</v>
      </c>
      <c r="B1025" s="3" t="inlineStr">
        <is>
          <t>Week</t>
        </is>
      </c>
      <c r="C1025" s="19" t="n">
        <v>1</v>
      </c>
      <c r="D1025" s="19" t="n">
        <v>2029</v>
      </c>
      <c r="E1025" s="57" t="n">
        <v>1</v>
      </c>
      <c r="F1025" s="29">
        <f>ROUND(((SUMIFS(Calendar!$F$2:$F$9997,Calendar!$B$2:$B$9997,D1025,Calendar!$C$2:$C$9997,C1025)*INDEX(ForeCalc!$B$37:$Y$274,MATCH(_xlfn.CONCAT(H1025," ",I1025),ForeCalc!$A$37:$A$274,0),MATCH(_xlfn.CONCAT(B1025," ",E1025),ForeCalc!$B$36:$Y$36,0))))*VLOOKUP(A1025,Calendar!$A$2:$H$9997,8,FALSE),0)</f>
        <v/>
      </c>
      <c r="G1025" s="29">
        <f>VLOOKUP(A1025,Calendar!$A$1:$H$9997,6,FALSE)-F1025</f>
        <v/>
      </c>
      <c r="H1025" s="19" t="n">
        <v>3</v>
      </c>
      <c r="I1025" s="57" t="n">
        <v>10</v>
      </c>
    </row>
    <row r="1026">
      <c r="A1026" s="62" t="n">
        <v>47137</v>
      </c>
      <c r="B1026" s="3" t="inlineStr">
        <is>
          <t>Week</t>
        </is>
      </c>
      <c r="C1026" s="19" t="n">
        <v>1</v>
      </c>
      <c r="D1026" s="19" t="n">
        <v>2029</v>
      </c>
      <c r="E1026" s="57" t="n">
        <v>1</v>
      </c>
      <c r="F1026" s="29">
        <f>ROUND(((SUMIFS(Calendar!$F$2:$F$9997,Calendar!$B$2:$B$9997,D1026,Calendar!$C$2:$C$9997,C1026)*INDEX(ForeCalc!$B$37:$Y$274,MATCH(_xlfn.CONCAT(H1026," ",I1026),ForeCalc!$A$37:$A$274,0),MATCH(_xlfn.CONCAT(B1026," ",E1026),ForeCalc!$B$36:$Y$36,0))))*VLOOKUP(A1026,Calendar!$A$2:$H$9997,8,FALSE),0)</f>
        <v/>
      </c>
      <c r="G1026" s="29">
        <f>VLOOKUP(A1026,Calendar!$A$1:$H$9997,6,FALSE)-F1026</f>
        <v/>
      </c>
      <c r="H1026" s="19" t="n">
        <v>3</v>
      </c>
      <c r="I1026" s="57" t="n">
        <v>10</v>
      </c>
    </row>
    <row r="1027">
      <c r="A1027" s="62" t="n">
        <v>47138</v>
      </c>
      <c r="B1027" s="3" t="inlineStr">
        <is>
          <t>Sat</t>
        </is>
      </c>
      <c r="C1027" s="19" t="n">
        <v>1</v>
      </c>
      <c r="D1027" s="19" t="n">
        <v>2029</v>
      </c>
      <c r="E1027" s="57" t="n">
        <v>1</v>
      </c>
      <c r="F1027" s="29">
        <f>ROUND(((SUMIFS(Calendar!$F$2:$F$9997,Calendar!$B$2:$B$9997,D1027,Calendar!$C$2:$C$9997,C1027)*INDEX(ForeCalc!$B$37:$Y$274,MATCH(_xlfn.CONCAT(H1027," ",I1027),ForeCalc!$A$37:$A$274,0),MATCH(_xlfn.CONCAT(B1027," ",E1027),ForeCalc!$B$36:$Y$36,0))))*VLOOKUP(A1027,Calendar!$A$2:$H$9997,8,FALSE),0)</f>
        <v/>
      </c>
      <c r="G1027" s="29">
        <f>VLOOKUP(A1027,Calendar!$A$1:$H$9997,6,FALSE)-F1027</f>
        <v/>
      </c>
      <c r="H1027" s="19" t="n">
        <v>3</v>
      </c>
      <c r="I1027" s="57" t="n">
        <v>10</v>
      </c>
    </row>
    <row r="1028">
      <c r="A1028" s="62" t="n">
        <v>47139</v>
      </c>
      <c r="B1028" s="3" t="inlineStr">
        <is>
          <t>Sun</t>
        </is>
      </c>
      <c r="C1028" s="19" t="n">
        <v>1</v>
      </c>
      <c r="D1028" s="19" t="n">
        <v>2029</v>
      </c>
      <c r="E1028" s="57" t="n">
        <v>1</v>
      </c>
      <c r="F1028" s="29">
        <f>ROUND(((SUMIFS(Calendar!$F$2:$F$9997,Calendar!$B$2:$B$9997,D1028,Calendar!$C$2:$C$9997,C1028)*INDEX(ForeCalc!$B$37:$Y$274,MATCH(_xlfn.CONCAT(H1028," ",I1028),ForeCalc!$A$37:$A$274,0),MATCH(_xlfn.CONCAT(B1028," ",E1028),ForeCalc!$B$36:$Y$36,0))))*VLOOKUP(A1028,Calendar!$A$2:$H$9997,8,FALSE),0)</f>
        <v/>
      </c>
      <c r="G1028" s="29">
        <f>VLOOKUP(A1028,Calendar!$A$1:$H$9997,6,FALSE)-F1028</f>
        <v/>
      </c>
      <c r="H1028" s="19" t="n">
        <v>3</v>
      </c>
      <c r="I1028" s="57" t="n">
        <v>10</v>
      </c>
    </row>
    <row r="1029">
      <c r="A1029" s="62" t="n">
        <v>47140</v>
      </c>
      <c r="B1029" s="3" t="inlineStr">
        <is>
          <t>Week</t>
        </is>
      </c>
      <c r="C1029" s="19" t="n">
        <v>1</v>
      </c>
      <c r="D1029" s="19" t="n">
        <v>2029</v>
      </c>
      <c r="E1029" s="57" t="n">
        <v>1</v>
      </c>
      <c r="F1029" s="29">
        <f>ROUND(((SUMIFS(Calendar!$F$2:$F$9997,Calendar!$B$2:$B$9997,D1029,Calendar!$C$2:$C$9997,C1029)*INDEX(ForeCalc!$B$37:$Y$274,MATCH(_xlfn.CONCAT(H1029," ",I1029),ForeCalc!$A$37:$A$274,0),MATCH(_xlfn.CONCAT(B1029," ",E1029),ForeCalc!$B$36:$Y$36,0))))*VLOOKUP(A1029,Calendar!$A$2:$H$9997,8,FALSE),0)</f>
        <v/>
      </c>
      <c r="G1029" s="29">
        <f>VLOOKUP(A1029,Calendar!$A$1:$H$9997,6,FALSE)-F1029</f>
        <v/>
      </c>
      <c r="H1029" s="19" t="n">
        <v>3</v>
      </c>
      <c r="I1029" s="57" t="n">
        <v>10</v>
      </c>
    </row>
    <row r="1030">
      <c r="A1030" s="62" t="n">
        <v>47141</v>
      </c>
      <c r="B1030" s="3" t="inlineStr">
        <is>
          <t>Week</t>
        </is>
      </c>
      <c r="C1030" s="19" t="n">
        <v>1</v>
      </c>
      <c r="D1030" s="19" t="n">
        <v>2029</v>
      </c>
      <c r="E1030" s="57" t="n">
        <v>1</v>
      </c>
      <c r="F1030" s="29">
        <f>ROUND(((SUMIFS(Calendar!$F$2:$F$9997,Calendar!$B$2:$B$9997,D1030,Calendar!$C$2:$C$9997,C1030)*INDEX(ForeCalc!$B$37:$Y$274,MATCH(_xlfn.CONCAT(H1030," ",I1030),ForeCalc!$A$37:$A$274,0),MATCH(_xlfn.CONCAT(B1030," ",E1030),ForeCalc!$B$36:$Y$36,0))))*VLOOKUP(A1030,Calendar!$A$2:$H$9997,8,FALSE),0)</f>
        <v/>
      </c>
      <c r="G1030" s="29">
        <f>VLOOKUP(A1030,Calendar!$A$1:$H$9997,6,FALSE)-F1030</f>
        <v/>
      </c>
      <c r="H1030" s="19" t="n">
        <v>3</v>
      </c>
      <c r="I1030" s="57" t="n">
        <v>10</v>
      </c>
    </row>
    <row r="1031">
      <c r="A1031" s="62" t="n">
        <v>47142</v>
      </c>
      <c r="B1031" s="3" t="inlineStr">
        <is>
          <t>Week</t>
        </is>
      </c>
      <c r="C1031" s="19" t="n">
        <v>1</v>
      </c>
      <c r="D1031" s="19" t="n">
        <v>2029</v>
      </c>
      <c r="E1031" s="57" t="n">
        <v>1</v>
      </c>
      <c r="F1031" s="29">
        <f>ROUND(((SUMIFS(Calendar!$F$2:$F$9997,Calendar!$B$2:$B$9997,D1031,Calendar!$C$2:$C$9997,C1031)*INDEX(ForeCalc!$B$37:$Y$274,MATCH(_xlfn.CONCAT(H1031," ",I1031),ForeCalc!$A$37:$A$274,0),MATCH(_xlfn.CONCAT(B1031," ",E1031),ForeCalc!$B$36:$Y$36,0))))*VLOOKUP(A1031,Calendar!$A$2:$H$9997,8,FALSE),0)</f>
        <v/>
      </c>
      <c r="G1031" s="29">
        <f>VLOOKUP(A1031,Calendar!$A$1:$H$9997,6,FALSE)-F1031</f>
        <v/>
      </c>
      <c r="H1031" s="19" t="n">
        <v>3</v>
      </c>
      <c r="I1031" s="57" t="n">
        <v>10</v>
      </c>
    </row>
    <row r="1032">
      <c r="A1032" s="62" t="n">
        <v>47143</v>
      </c>
      <c r="B1032" s="3" t="inlineStr">
        <is>
          <t>Week</t>
        </is>
      </c>
      <c r="C1032" s="19" t="n">
        <v>1</v>
      </c>
      <c r="D1032" s="19" t="n">
        <v>2029</v>
      </c>
      <c r="E1032" s="57" t="n">
        <v>1</v>
      </c>
      <c r="F1032" s="29">
        <f>ROUND(((SUMIFS(Calendar!$F$2:$F$9997,Calendar!$B$2:$B$9997,D1032,Calendar!$C$2:$C$9997,C1032)*INDEX(ForeCalc!$B$37:$Y$274,MATCH(_xlfn.CONCAT(H1032," ",I1032),ForeCalc!$A$37:$A$274,0),MATCH(_xlfn.CONCAT(B1032," ",E1032),ForeCalc!$B$36:$Y$36,0))))*VLOOKUP(A1032,Calendar!$A$2:$H$9997,8,FALSE),0)</f>
        <v/>
      </c>
      <c r="G1032" s="29">
        <f>VLOOKUP(A1032,Calendar!$A$1:$H$9997,6,FALSE)-F1032</f>
        <v/>
      </c>
      <c r="H1032" s="19" t="n">
        <v>3</v>
      </c>
      <c r="I1032" s="57" t="n">
        <v>10</v>
      </c>
    </row>
    <row r="1033">
      <c r="A1033" s="62" t="n">
        <v>47144</v>
      </c>
      <c r="B1033" s="3" t="inlineStr">
        <is>
          <t>Week</t>
        </is>
      </c>
      <c r="C1033" s="19" t="n">
        <v>1</v>
      </c>
      <c r="D1033" s="19" t="n">
        <v>2029</v>
      </c>
      <c r="E1033" s="57" t="n">
        <v>1</v>
      </c>
      <c r="F1033" s="29">
        <f>ROUND(((SUMIFS(Calendar!$F$2:$F$9997,Calendar!$B$2:$B$9997,D1033,Calendar!$C$2:$C$9997,C1033)*INDEX(ForeCalc!$B$37:$Y$274,MATCH(_xlfn.CONCAT(H1033," ",I1033),ForeCalc!$A$37:$A$274,0),MATCH(_xlfn.CONCAT(B1033," ",E1033),ForeCalc!$B$36:$Y$36,0))))*VLOOKUP(A1033,Calendar!$A$2:$H$9997,8,FALSE),0)</f>
        <v/>
      </c>
      <c r="G1033" s="29">
        <f>VLOOKUP(A1033,Calendar!$A$1:$H$9997,6,FALSE)-F1033</f>
        <v/>
      </c>
      <c r="H1033" s="19" t="n">
        <v>3</v>
      </c>
      <c r="I1033" s="57" t="n">
        <v>10</v>
      </c>
    </row>
    <row r="1034">
      <c r="A1034" s="62" t="n">
        <v>47145</v>
      </c>
      <c r="B1034" s="3" t="inlineStr">
        <is>
          <t>Sat</t>
        </is>
      </c>
      <c r="C1034" s="19" t="n">
        <v>1</v>
      </c>
      <c r="D1034" s="19" t="n">
        <v>2029</v>
      </c>
      <c r="E1034" s="57" t="n">
        <v>1</v>
      </c>
      <c r="F1034" s="29">
        <f>ROUND(((SUMIFS(Calendar!$F$2:$F$9997,Calendar!$B$2:$B$9997,D1034,Calendar!$C$2:$C$9997,C1034)*INDEX(ForeCalc!$B$37:$Y$274,MATCH(_xlfn.CONCAT(H1034," ",I1034),ForeCalc!$A$37:$A$274,0),MATCH(_xlfn.CONCAT(B1034," ",E1034),ForeCalc!$B$36:$Y$36,0))))*VLOOKUP(A1034,Calendar!$A$2:$H$9997,8,FALSE),0)</f>
        <v/>
      </c>
      <c r="G1034" s="29">
        <f>VLOOKUP(A1034,Calendar!$A$1:$H$9997,6,FALSE)-F1034</f>
        <v/>
      </c>
      <c r="H1034" s="19" t="n">
        <v>3</v>
      </c>
      <c r="I1034" s="57" t="n">
        <v>10</v>
      </c>
    </row>
    <row r="1035">
      <c r="A1035" s="62" t="n">
        <v>47146</v>
      </c>
      <c r="B1035" s="3" t="inlineStr">
        <is>
          <t>Sun</t>
        </is>
      </c>
      <c r="C1035" s="19" t="n">
        <v>1</v>
      </c>
      <c r="D1035" s="19" t="n">
        <v>2029</v>
      </c>
      <c r="E1035" s="57" t="n">
        <v>1</v>
      </c>
      <c r="F1035" s="29">
        <f>ROUND(((SUMIFS(Calendar!$F$2:$F$9997,Calendar!$B$2:$B$9997,D1035,Calendar!$C$2:$C$9997,C1035)*INDEX(ForeCalc!$B$37:$Y$274,MATCH(_xlfn.CONCAT(H1035," ",I1035),ForeCalc!$A$37:$A$274,0),MATCH(_xlfn.CONCAT(B1035," ",E1035),ForeCalc!$B$36:$Y$36,0))))*VLOOKUP(A1035,Calendar!$A$2:$H$9997,8,FALSE),0)</f>
        <v/>
      </c>
      <c r="G1035" s="29">
        <f>VLOOKUP(A1035,Calendar!$A$1:$H$9997,6,FALSE)-F1035</f>
        <v/>
      </c>
      <c r="H1035" s="19" t="n">
        <v>3</v>
      </c>
      <c r="I1035" s="57" t="n">
        <v>10</v>
      </c>
    </row>
    <row r="1036">
      <c r="A1036" s="62" t="n">
        <v>47147</v>
      </c>
      <c r="B1036" s="3" t="inlineStr">
        <is>
          <t>Week</t>
        </is>
      </c>
      <c r="C1036" s="19" t="n">
        <v>1</v>
      </c>
      <c r="D1036" s="19" t="n">
        <v>2029</v>
      </c>
      <c r="E1036" s="57" t="n">
        <v>1</v>
      </c>
      <c r="F1036" s="29">
        <f>ROUND(((SUMIFS(Calendar!$F$2:$F$9997,Calendar!$B$2:$B$9997,D1036,Calendar!$C$2:$C$9997,C1036)*INDEX(ForeCalc!$B$37:$Y$274,MATCH(_xlfn.CONCAT(H1036," ",I1036),ForeCalc!$A$37:$A$274,0),MATCH(_xlfn.CONCAT(B1036," ",E1036),ForeCalc!$B$36:$Y$36,0))))*VLOOKUP(A1036,Calendar!$A$2:$H$9997,8,FALSE),0)</f>
        <v/>
      </c>
      <c r="G1036" s="29">
        <f>VLOOKUP(A1036,Calendar!$A$1:$H$9997,6,FALSE)-F1036</f>
        <v/>
      </c>
      <c r="H1036" s="19" t="n">
        <v>3</v>
      </c>
      <c r="I1036" s="57" t="n">
        <v>10</v>
      </c>
    </row>
    <row r="1037">
      <c r="A1037" s="62" t="n">
        <v>47148</v>
      </c>
      <c r="B1037" s="3" t="inlineStr">
        <is>
          <t>Week</t>
        </is>
      </c>
      <c r="C1037" s="19" t="n">
        <v>1</v>
      </c>
      <c r="D1037" s="19" t="n">
        <v>2029</v>
      </c>
      <c r="E1037" s="57" t="n">
        <v>1</v>
      </c>
      <c r="F1037" s="29">
        <f>ROUND(((SUMIFS(Calendar!$F$2:$F$9997,Calendar!$B$2:$B$9997,D1037,Calendar!$C$2:$C$9997,C1037)*INDEX(ForeCalc!$B$37:$Y$274,MATCH(_xlfn.CONCAT(H1037," ",I1037),ForeCalc!$A$37:$A$274,0),MATCH(_xlfn.CONCAT(B1037," ",E1037),ForeCalc!$B$36:$Y$36,0))))*VLOOKUP(A1037,Calendar!$A$2:$H$9997,8,FALSE),0)</f>
        <v/>
      </c>
      <c r="G1037" s="29">
        <f>VLOOKUP(A1037,Calendar!$A$1:$H$9997,6,FALSE)-F1037</f>
        <v/>
      </c>
      <c r="H1037" s="19" t="n">
        <v>3</v>
      </c>
      <c r="I1037" s="57" t="n">
        <v>10</v>
      </c>
    </row>
    <row r="1038">
      <c r="A1038" s="62" t="n">
        <v>47149</v>
      </c>
      <c r="B1038" s="3" t="inlineStr">
        <is>
          <t>Week</t>
        </is>
      </c>
      <c r="C1038" s="19" t="n">
        <v>1</v>
      </c>
      <c r="D1038" s="19" t="n">
        <v>2029</v>
      </c>
      <c r="E1038" s="57" t="n">
        <v>1</v>
      </c>
      <c r="F1038" s="29">
        <f>ROUND(((SUMIFS(Calendar!$F$2:$F$9997,Calendar!$B$2:$B$9997,D1038,Calendar!$C$2:$C$9997,C1038)*INDEX(ForeCalc!$B$37:$Y$274,MATCH(_xlfn.CONCAT(H1038," ",I1038),ForeCalc!$A$37:$A$274,0),MATCH(_xlfn.CONCAT(B1038," ",E1038),ForeCalc!$B$36:$Y$36,0))))*VLOOKUP(A1038,Calendar!$A$2:$H$9997,8,FALSE),0)</f>
        <v/>
      </c>
      <c r="G1038" s="29">
        <f>VLOOKUP(A1038,Calendar!$A$1:$H$9997,6,FALSE)-F1038</f>
        <v/>
      </c>
      <c r="H1038" s="19" t="n">
        <v>3</v>
      </c>
      <c r="I1038" s="57" t="n">
        <v>10</v>
      </c>
    </row>
    <row r="1039">
      <c r="A1039" s="62" t="n">
        <v>47150</v>
      </c>
      <c r="B1039" s="3" t="inlineStr">
        <is>
          <t>Week</t>
        </is>
      </c>
      <c r="C1039" s="19" t="n">
        <v>2</v>
      </c>
      <c r="D1039" s="19" t="n">
        <v>2029</v>
      </c>
      <c r="E1039" s="57" t="n">
        <v>1</v>
      </c>
      <c r="F1039" s="29">
        <f>ROUND(((SUMIFS(Calendar!$F$2:$F$9997,Calendar!$B$2:$B$9997,D1039,Calendar!$C$2:$C$9997,C1039)*INDEX(ForeCalc!$B$37:$Y$274,MATCH(_xlfn.CONCAT(H1039," ",I1039),ForeCalc!$A$37:$A$274,0),MATCH(_xlfn.CONCAT(B1039," ",E1039),ForeCalc!$B$36:$Y$36,0))))*VLOOKUP(A1039,Calendar!$A$2:$H$9997,8,FALSE),0)</f>
        <v/>
      </c>
      <c r="G1039" s="29">
        <f>VLOOKUP(A1039,Calendar!$A$1:$H$9997,6,FALSE)-F1039</f>
        <v/>
      </c>
      <c r="H1039" s="19" t="n">
        <v>3</v>
      </c>
      <c r="I1039" s="57" t="n">
        <v>11</v>
      </c>
    </row>
    <row r="1040">
      <c r="A1040" s="62" t="n">
        <v>47151</v>
      </c>
      <c r="B1040" s="3" t="inlineStr">
        <is>
          <t>Week</t>
        </is>
      </c>
      <c r="C1040" s="19" t="n">
        <v>2</v>
      </c>
      <c r="D1040" s="19" t="n">
        <v>2029</v>
      </c>
      <c r="E1040" s="57" t="n">
        <v>1</v>
      </c>
      <c r="F1040" s="29">
        <f>ROUND(((SUMIFS(Calendar!$F$2:$F$9997,Calendar!$B$2:$B$9997,D1040,Calendar!$C$2:$C$9997,C1040)*INDEX(ForeCalc!$B$37:$Y$274,MATCH(_xlfn.CONCAT(H1040," ",I1040),ForeCalc!$A$37:$A$274,0),MATCH(_xlfn.CONCAT(B1040," ",E1040),ForeCalc!$B$36:$Y$36,0))))*VLOOKUP(A1040,Calendar!$A$2:$H$9997,8,FALSE),0)</f>
        <v/>
      </c>
      <c r="G1040" s="29">
        <f>VLOOKUP(A1040,Calendar!$A$1:$H$9997,6,FALSE)-F1040</f>
        <v/>
      </c>
      <c r="H1040" s="19" t="n">
        <v>3</v>
      </c>
      <c r="I1040" s="57" t="n">
        <v>11</v>
      </c>
    </row>
    <row r="1041">
      <c r="A1041" s="62" t="n">
        <v>47152</v>
      </c>
      <c r="B1041" s="3" t="inlineStr">
        <is>
          <t>Sat</t>
        </is>
      </c>
      <c r="C1041" s="19" t="n">
        <v>2</v>
      </c>
      <c r="D1041" s="19" t="n">
        <v>2029</v>
      </c>
      <c r="E1041" s="57" t="n">
        <v>1</v>
      </c>
      <c r="F1041" s="29">
        <f>ROUND(((SUMIFS(Calendar!$F$2:$F$9997,Calendar!$B$2:$B$9997,D1041,Calendar!$C$2:$C$9997,C1041)*INDEX(ForeCalc!$B$37:$Y$274,MATCH(_xlfn.CONCAT(H1041," ",I1041),ForeCalc!$A$37:$A$274,0),MATCH(_xlfn.CONCAT(B1041," ",E1041),ForeCalc!$B$36:$Y$36,0))))*VLOOKUP(A1041,Calendar!$A$2:$H$9997,8,FALSE),0)</f>
        <v/>
      </c>
      <c r="G1041" s="29">
        <f>VLOOKUP(A1041,Calendar!$A$1:$H$9997,6,FALSE)-F1041</f>
        <v/>
      </c>
      <c r="H1041" s="19" t="n">
        <v>3</v>
      </c>
      <c r="I1041" s="57" t="n">
        <v>11</v>
      </c>
    </row>
    <row r="1042">
      <c r="A1042" s="62" t="n">
        <v>47153</v>
      </c>
      <c r="B1042" s="3" t="inlineStr">
        <is>
          <t>Sun</t>
        </is>
      </c>
      <c r="C1042" s="19" t="n">
        <v>2</v>
      </c>
      <c r="D1042" s="19" t="n">
        <v>2029</v>
      </c>
      <c r="E1042" s="57" t="n">
        <v>1</v>
      </c>
      <c r="F1042" s="29">
        <f>ROUND(((SUMIFS(Calendar!$F$2:$F$9997,Calendar!$B$2:$B$9997,D1042,Calendar!$C$2:$C$9997,C1042)*INDEX(ForeCalc!$B$37:$Y$274,MATCH(_xlfn.CONCAT(H1042," ",I1042),ForeCalc!$A$37:$A$274,0),MATCH(_xlfn.CONCAT(B1042," ",E1042),ForeCalc!$B$36:$Y$36,0))))*VLOOKUP(A1042,Calendar!$A$2:$H$9997,8,FALSE),0)</f>
        <v/>
      </c>
      <c r="G1042" s="29">
        <f>VLOOKUP(A1042,Calendar!$A$1:$H$9997,6,FALSE)-F1042</f>
        <v/>
      </c>
      <c r="H1042" s="19" t="n">
        <v>3</v>
      </c>
      <c r="I1042" s="57" t="n">
        <v>11</v>
      </c>
    </row>
    <row r="1043">
      <c r="A1043" s="62" t="n">
        <v>47154</v>
      </c>
      <c r="B1043" s="3" t="inlineStr">
        <is>
          <t>Week</t>
        </is>
      </c>
      <c r="C1043" s="19" t="n">
        <v>2</v>
      </c>
      <c r="D1043" s="19" t="n">
        <v>2029</v>
      </c>
      <c r="E1043" s="57" t="n">
        <v>1</v>
      </c>
      <c r="F1043" s="29">
        <f>ROUND(((SUMIFS(Calendar!$F$2:$F$9997,Calendar!$B$2:$B$9997,D1043,Calendar!$C$2:$C$9997,C1043)*INDEX(ForeCalc!$B$37:$Y$274,MATCH(_xlfn.CONCAT(H1043," ",I1043),ForeCalc!$A$37:$A$274,0),MATCH(_xlfn.CONCAT(B1043," ",E1043),ForeCalc!$B$36:$Y$36,0))))*VLOOKUP(A1043,Calendar!$A$2:$H$9997,8,FALSE),0)</f>
        <v/>
      </c>
      <c r="G1043" s="29">
        <f>VLOOKUP(A1043,Calendar!$A$1:$H$9997,6,FALSE)-F1043</f>
        <v/>
      </c>
      <c r="H1043" s="19" t="n">
        <v>3</v>
      </c>
      <c r="I1043" s="57" t="n">
        <v>11</v>
      </c>
    </row>
    <row r="1044">
      <c r="A1044" s="62" t="n">
        <v>47155</v>
      </c>
      <c r="B1044" s="3" t="inlineStr">
        <is>
          <t>Week</t>
        </is>
      </c>
      <c r="C1044" s="19" t="n">
        <v>2</v>
      </c>
      <c r="D1044" s="19" t="n">
        <v>2029</v>
      </c>
      <c r="E1044" s="57" t="n">
        <v>1</v>
      </c>
      <c r="F1044" s="29">
        <f>ROUND(((SUMIFS(Calendar!$F$2:$F$9997,Calendar!$B$2:$B$9997,D1044,Calendar!$C$2:$C$9997,C1044)*INDEX(ForeCalc!$B$37:$Y$274,MATCH(_xlfn.CONCAT(H1044," ",I1044),ForeCalc!$A$37:$A$274,0),MATCH(_xlfn.CONCAT(B1044," ",E1044),ForeCalc!$B$36:$Y$36,0))))*VLOOKUP(A1044,Calendar!$A$2:$H$9997,8,FALSE),0)</f>
        <v/>
      </c>
      <c r="G1044" s="29">
        <f>VLOOKUP(A1044,Calendar!$A$1:$H$9997,6,FALSE)-F1044</f>
        <v/>
      </c>
      <c r="H1044" s="19" t="n">
        <v>3</v>
      </c>
      <c r="I1044" s="57" t="n">
        <v>11</v>
      </c>
    </row>
    <row r="1045">
      <c r="A1045" s="62" t="n">
        <v>47156</v>
      </c>
      <c r="B1045" s="3" t="inlineStr">
        <is>
          <t>Week</t>
        </is>
      </c>
      <c r="C1045" s="19" t="n">
        <v>2</v>
      </c>
      <c r="D1045" s="19" t="n">
        <v>2029</v>
      </c>
      <c r="E1045" s="57" t="n">
        <v>1</v>
      </c>
      <c r="F1045" s="29">
        <f>ROUND(((SUMIFS(Calendar!$F$2:$F$9997,Calendar!$B$2:$B$9997,D1045,Calendar!$C$2:$C$9997,C1045)*INDEX(ForeCalc!$B$37:$Y$274,MATCH(_xlfn.CONCAT(H1045," ",I1045),ForeCalc!$A$37:$A$274,0),MATCH(_xlfn.CONCAT(B1045," ",E1045),ForeCalc!$B$36:$Y$36,0))))*VLOOKUP(A1045,Calendar!$A$2:$H$9997,8,FALSE),0)</f>
        <v/>
      </c>
      <c r="G1045" s="29">
        <f>VLOOKUP(A1045,Calendar!$A$1:$H$9997,6,FALSE)-F1045</f>
        <v/>
      </c>
      <c r="H1045" s="19" t="n">
        <v>3</v>
      </c>
      <c r="I1045" s="57" t="n">
        <v>11</v>
      </c>
    </row>
    <row r="1046">
      <c r="A1046" s="62" t="n">
        <v>47157</v>
      </c>
      <c r="B1046" s="3" t="inlineStr">
        <is>
          <t>Week</t>
        </is>
      </c>
      <c r="C1046" s="19" t="n">
        <v>2</v>
      </c>
      <c r="D1046" s="19" t="n">
        <v>2029</v>
      </c>
      <c r="E1046" s="57" t="n">
        <v>1</v>
      </c>
      <c r="F1046" s="29">
        <f>ROUND(((SUMIFS(Calendar!$F$2:$F$9997,Calendar!$B$2:$B$9997,D1046,Calendar!$C$2:$C$9997,C1046)*INDEX(ForeCalc!$B$37:$Y$274,MATCH(_xlfn.CONCAT(H1046," ",I1046),ForeCalc!$A$37:$A$274,0),MATCH(_xlfn.CONCAT(B1046," ",E1046),ForeCalc!$B$36:$Y$36,0))))*VLOOKUP(A1046,Calendar!$A$2:$H$9997,8,FALSE),0)</f>
        <v/>
      </c>
      <c r="G1046" s="29">
        <f>VLOOKUP(A1046,Calendar!$A$1:$H$9997,6,FALSE)-F1046</f>
        <v/>
      </c>
      <c r="H1046" s="19" t="n">
        <v>3</v>
      </c>
      <c r="I1046" s="57" t="n">
        <v>11</v>
      </c>
    </row>
    <row r="1047">
      <c r="A1047" s="62" t="n">
        <v>47158</v>
      </c>
      <c r="B1047" s="3" t="inlineStr">
        <is>
          <t>Week</t>
        </is>
      </c>
      <c r="C1047" s="19" t="n">
        <v>2</v>
      </c>
      <c r="D1047" s="19" t="n">
        <v>2029</v>
      </c>
      <c r="E1047" s="57" t="n">
        <v>1</v>
      </c>
      <c r="F1047" s="29">
        <f>ROUND(((SUMIFS(Calendar!$F$2:$F$9997,Calendar!$B$2:$B$9997,D1047,Calendar!$C$2:$C$9997,C1047)*INDEX(ForeCalc!$B$37:$Y$274,MATCH(_xlfn.CONCAT(H1047," ",I1047),ForeCalc!$A$37:$A$274,0),MATCH(_xlfn.CONCAT(B1047," ",E1047),ForeCalc!$B$36:$Y$36,0))))*VLOOKUP(A1047,Calendar!$A$2:$H$9997,8,FALSE),0)</f>
        <v/>
      </c>
      <c r="G1047" s="29">
        <f>VLOOKUP(A1047,Calendar!$A$1:$H$9997,6,FALSE)-F1047</f>
        <v/>
      </c>
      <c r="H1047" s="19" t="n">
        <v>3</v>
      </c>
      <c r="I1047" s="57" t="n">
        <v>11</v>
      </c>
    </row>
    <row r="1048">
      <c r="A1048" s="62" t="n">
        <v>47159</v>
      </c>
      <c r="B1048" s="3" t="inlineStr">
        <is>
          <t>Sat</t>
        </is>
      </c>
      <c r="C1048" s="19" t="n">
        <v>2</v>
      </c>
      <c r="D1048" s="19" t="n">
        <v>2029</v>
      </c>
      <c r="E1048" s="57" t="n">
        <v>1</v>
      </c>
      <c r="F1048" s="29">
        <f>ROUND(((SUMIFS(Calendar!$F$2:$F$9997,Calendar!$B$2:$B$9997,D1048,Calendar!$C$2:$C$9997,C1048)*INDEX(ForeCalc!$B$37:$Y$274,MATCH(_xlfn.CONCAT(H1048," ",I1048),ForeCalc!$A$37:$A$274,0),MATCH(_xlfn.CONCAT(B1048," ",E1048),ForeCalc!$B$36:$Y$36,0))))*VLOOKUP(A1048,Calendar!$A$2:$H$9997,8,FALSE),0)</f>
        <v/>
      </c>
      <c r="G1048" s="29">
        <f>VLOOKUP(A1048,Calendar!$A$1:$H$9997,6,FALSE)-F1048</f>
        <v/>
      </c>
      <c r="H1048" s="19" t="n">
        <v>3</v>
      </c>
      <c r="I1048" s="57" t="n">
        <v>11</v>
      </c>
    </row>
    <row r="1049">
      <c r="A1049" s="62" t="n">
        <v>47160</v>
      </c>
      <c r="B1049" s="3" t="inlineStr">
        <is>
          <t>Sun</t>
        </is>
      </c>
      <c r="C1049" s="19" t="n">
        <v>2</v>
      </c>
      <c r="D1049" s="19" t="n">
        <v>2029</v>
      </c>
      <c r="E1049" s="57" t="n">
        <v>1</v>
      </c>
      <c r="F1049" s="29">
        <f>ROUND(((SUMIFS(Calendar!$F$2:$F$9997,Calendar!$B$2:$B$9997,D1049,Calendar!$C$2:$C$9997,C1049)*INDEX(ForeCalc!$B$37:$Y$274,MATCH(_xlfn.CONCAT(H1049," ",I1049),ForeCalc!$A$37:$A$274,0),MATCH(_xlfn.CONCAT(B1049," ",E1049),ForeCalc!$B$36:$Y$36,0))))*VLOOKUP(A1049,Calendar!$A$2:$H$9997,8,FALSE),0)</f>
        <v/>
      </c>
      <c r="G1049" s="29">
        <f>VLOOKUP(A1049,Calendar!$A$1:$H$9997,6,FALSE)-F1049</f>
        <v/>
      </c>
      <c r="H1049" s="19" t="n">
        <v>3</v>
      </c>
      <c r="I1049" s="57" t="n">
        <v>11</v>
      </c>
    </row>
    <row r="1050">
      <c r="A1050" s="62" t="n">
        <v>47161</v>
      </c>
      <c r="B1050" s="3" t="inlineStr">
        <is>
          <t>Week</t>
        </is>
      </c>
      <c r="C1050" s="19" t="n">
        <v>2</v>
      </c>
      <c r="D1050" s="19" t="n">
        <v>2029</v>
      </c>
      <c r="E1050" s="57" t="n">
        <v>1</v>
      </c>
      <c r="F1050" s="29">
        <f>ROUND(((SUMIFS(Calendar!$F$2:$F$9997,Calendar!$B$2:$B$9997,D1050,Calendar!$C$2:$C$9997,C1050)*INDEX(ForeCalc!$B$37:$Y$274,MATCH(_xlfn.CONCAT(H1050," ",I1050),ForeCalc!$A$37:$A$274,0),MATCH(_xlfn.CONCAT(B1050," ",E1050),ForeCalc!$B$36:$Y$36,0))))*VLOOKUP(A1050,Calendar!$A$2:$H$9997,8,FALSE),0)</f>
        <v/>
      </c>
      <c r="G1050" s="29">
        <f>VLOOKUP(A1050,Calendar!$A$1:$H$9997,6,FALSE)-F1050</f>
        <v/>
      </c>
      <c r="H1050" s="19" t="n">
        <v>3</v>
      </c>
      <c r="I1050" s="57" t="n">
        <v>11</v>
      </c>
    </row>
    <row r="1051">
      <c r="A1051" s="62" t="n">
        <v>47162</v>
      </c>
      <c r="B1051" s="3" t="inlineStr">
        <is>
          <t>Week</t>
        </is>
      </c>
      <c r="C1051" s="19" t="n">
        <v>2</v>
      </c>
      <c r="D1051" s="19" t="n">
        <v>2029</v>
      </c>
      <c r="E1051" s="57" t="n">
        <v>1</v>
      </c>
      <c r="F1051" s="29">
        <f>ROUND(((SUMIFS(Calendar!$F$2:$F$9997,Calendar!$B$2:$B$9997,D1051,Calendar!$C$2:$C$9997,C1051)*INDEX(ForeCalc!$B$37:$Y$274,MATCH(_xlfn.CONCAT(H1051," ",I1051),ForeCalc!$A$37:$A$274,0),MATCH(_xlfn.CONCAT(B1051," ",E1051),ForeCalc!$B$36:$Y$36,0))))*VLOOKUP(A1051,Calendar!$A$2:$H$9997,8,FALSE),0)</f>
        <v/>
      </c>
      <c r="G1051" s="29">
        <f>VLOOKUP(A1051,Calendar!$A$1:$H$9997,6,FALSE)-F1051</f>
        <v/>
      </c>
      <c r="H1051" s="19" t="n">
        <v>3</v>
      </c>
      <c r="I1051" s="57" t="n">
        <v>11</v>
      </c>
    </row>
    <row r="1052">
      <c r="A1052" s="62" t="n">
        <v>47163</v>
      </c>
      <c r="B1052" s="3" t="inlineStr">
        <is>
          <t>Week</t>
        </is>
      </c>
      <c r="C1052" s="19" t="n">
        <v>2</v>
      </c>
      <c r="D1052" s="19" t="n">
        <v>2029</v>
      </c>
      <c r="E1052" s="57" t="n">
        <v>1</v>
      </c>
      <c r="F1052" s="29">
        <f>ROUND(((SUMIFS(Calendar!$F$2:$F$9997,Calendar!$B$2:$B$9997,D1052,Calendar!$C$2:$C$9997,C1052)*INDEX(ForeCalc!$B$37:$Y$274,MATCH(_xlfn.CONCAT(H1052," ",I1052),ForeCalc!$A$37:$A$274,0),MATCH(_xlfn.CONCAT(B1052," ",E1052),ForeCalc!$B$36:$Y$36,0))))*VLOOKUP(A1052,Calendar!$A$2:$H$9997,8,FALSE),0)</f>
        <v/>
      </c>
      <c r="G1052" s="29">
        <f>VLOOKUP(A1052,Calendar!$A$1:$H$9997,6,FALSE)-F1052</f>
        <v/>
      </c>
      <c r="H1052" s="19" t="n">
        <v>3</v>
      </c>
      <c r="I1052" s="57" t="n">
        <v>11</v>
      </c>
    </row>
    <row r="1053">
      <c r="A1053" s="62" t="n">
        <v>47164</v>
      </c>
      <c r="B1053" s="3" t="inlineStr">
        <is>
          <t>Week</t>
        </is>
      </c>
      <c r="C1053" s="19" t="n">
        <v>2</v>
      </c>
      <c r="D1053" s="19" t="n">
        <v>2029</v>
      </c>
      <c r="E1053" s="57" t="n">
        <v>1</v>
      </c>
      <c r="F1053" s="29">
        <f>ROUND(((SUMIFS(Calendar!$F$2:$F$9997,Calendar!$B$2:$B$9997,D1053,Calendar!$C$2:$C$9997,C1053)*INDEX(ForeCalc!$B$37:$Y$274,MATCH(_xlfn.CONCAT(H1053," ",I1053),ForeCalc!$A$37:$A$274,0),MATCH(_xlfn.CONCAT(B1053," ",E1053),ForeCalc!$B$36:$Y$36,0))))*VLOOKUP(A1053,Calendar!$A$2:$H$9997,8,FALSE),0)</f>
        <v/>
      </c>
      <c r="G1053" s="29">
        <f>VLOOKUP(A1053,Calendar!$A$1:$H$9997,6,FALSE)-F1053</f>
        <v/>
      </c>
      <c r="H1053" s="19" t="n">
        <v>3</v>
      </c>
      <c r="I1053" s="57" t="n">
        <v>11</v>
      </c>
    </row>
    <row r="1054">
      <c r="A1054" s="62" t="n">
        <v>47165</v>
      </c>
      <c r="B1054" s="3" t="inlineStr">
        <is>
          <t>Week</t>
        </is>
      </c>
      <c r="C1054" s="19" t="n">
        <v>2</v>
      </c>
      <c r="D1054" s="19" t="n">
        <v>2029</v>
      </c>
      <c r="E1054" s="57" t="n">
        <v>1</v>
      </c>
      <c r="F1054" s="29">
        <f>ROUND(((SUMIFS(Calendar!$F$2:$F$9997,Calendar!$B$2:$B$9997,D1054,Calendar!$C$2:$C$9997,C1054)*INDEX(ForeCalc!$B$37:$Y$274,MATCH(_xlfn.CONCAT(H1054," ",I1054),ForeCalc!$A$37:$A$274,0),MATCH(_xlfn.CONCAT(B1054," ",E1054),ForeCalc!$B$36:$Y$36,0))))*VLOOKUP(A1054,Calendar!$A$2:$H$9997,8,FALSE),0)</f>
        <v/>
      </c>
      <c r="G1054" s="29">
        <f>VLOOKUP(A1054,Calendar!$A$1:$H$9997,6,FALSE)-F1054</f>
        <v/>
      </c>
      <c r="H1054" s="19" t="n">
        <v>3</v>
      </c>
      <c r="I1054" s="57" t="n">
        <v>11</v>
      </c>
    </row>
    <row r="1055">
      <c r="A1055" s="62" t="n">
        <v>47166</v>
      </c>
      <c r="B1055" s="3" t="inlineStr">
        <is>
          <t>Sat</t>
        </is>
      </c>
      <c r="C1055" s="19" t="n">
        <v>2</v>
      </c>
      <c r="D1055" s="19" t="n">
        <v>2029</v>
      </c>
      <c r="E1055" s="57" t="n">
        <v>1</v>
      </c>
      <c r="F1055" s="29">
        <f>ROUND(((SUMIFS(Calendar!$F$2:$F$9997,Calendar!$B$2:$B$9997,D1055,Calendar!$C$2:$C$9997,C1055)*INDEX(ForeCalc!$B$37:$Y$274,MATCH(_xlfn.CONCAT(H1055," ",I1055),ForeCalc!$A$37:$A$274,0),MATCH(_xlfn.CONCAT(B1055," ",E1055),ForeCalc!$B$36:$Y$36,0))))*VLOOKUP(A1055,Calendar!$A$2:$H$9997,8,FALSE),0)</f>
        <v/>
      </c>
      <c r="G1055" s="29">
        <f>VLOOKUP(A1055,Calendar!$A$1:$H$9997,6,FALSE)-F1055</f>
        <v/>
      </c>
      <c r="H1055" s="19" t="n">
        <v>3</v>
      </c>
      <c r="I1055" s="57" t="n">
        <v>11</v>
      </c>
    </row>
    <row r="1056">
      <c r="A1056" s="62" t="n">
        <v>47167</v>
      </c>
      <c r="B1056" s="3" t="inlineStr">
        <is>
          <t>Sun</t>
        </is>
      </c>
      <c r="C1056" s="19" t="n">
        <v>2</v>
      </c>
      <c r="D1056" s="19" t="n">
        <v>2029</v>
      </c>
      <c r="E1056" s="57" t="n">
        <v>1</v>
      </c>
      <c r="F1056" s="29">
        <f>ROUND(((SUMIFS(Calendar!$F$2:$F$9997,Calendar!$B$2:$B$9997,D1056,Calendar!$C$2:$C$9997,C1056)*INDEX(ForeCalc!$B$37:$Y$274,MATCH(_xlfn.CONCAT(H1056," ",I1056),ForeCalc!$A$37:$A$274,0),MATCH(_xlfn.CONCAT(B1056," ",E1056),ForeCalc!$B$36:$Y$36,0))))*VLOOKUP(A1056,Calendar!$A$2:$H$9997,8,FALSE),0)</f>
        <v/>
      </c>
      <c r="G1056" s="29">
        <f>VLOOKUP(A1056,Calendar!$A$1:$H$9997,6,FALSE)-F1056</f>
        <v/>
      </c>
      <c r="H1056" s="19" t="n">
        <v>3</v>
      </c>
      <c r="I1056" s="57" t="n">
        <v>11</v>
      </c>
    </row>
    <row r="1057">
      <c r="A1057" s="62" t="n">
        <v>47168</v>
      </c>
      <c r="B1057" s="3" t="inlineStr">
        <is>
          <t>Week</t>
        </is>
      </c>
      <c r="C1057" s="19" t="n">
        <v>2</v>
      </c>
      <c r="D1057" s="19" t="n">
        <v>2029</v>
      </c>
      <c r="E1057" s="57" t="n">
        <v>1</v>
      </c>
      <c r="F1057" s="29">
        <f>ROUND(((SUMIFS(Calendar!$F$2:$F$9997,Calendar!$B$2:$B$9997,D1057,Calendar!$C$2:$C$9997,C1057)*INDEX(ForeCalc!$B$37:$Y$274,MATCH(_xlfn.CONCAT(H1057," ",I1057),ForeCalc!$A$37:$A$274,0),MATCH(_xlfn.CONCAT(B1057," ",E1057),ForeCalc!$B$36:$Y$36,0))))*VLOOKUP(A1057,Calendar!$A$2:$H$9997,8,FALSE),0)</f>
        <v/>
      </c>
      <c r="G1057" s="29">
        <f>VLOOKUP(A1057,Calendar!$A$1:$H$9997,6,FALSE)-F1057</f>
        <v/>
      </c>
      <c r="H1057" s="19" t="n">
        <v>3</v>
      </c>
      <c r="I1057" s="57" t="n">
        <v>11</v>
      </c>
    </row>
    <row r="1058">
      <c r="A1058" s="62" t="n">
        <v>47169</v>
      </c>
      <c r="B1058" s="3" t="inlineStr">
        <is>
          <t>Week</t>
        </is>
      </c>
      <c r="C1058" s="19" t="n">
        <v>2</v>
      </c>
      <c r="D1058" s="19" t="n">
        <v>2029</v>
      </c>
      <c r="E1058" s="57" t="n">
        <v>1</v>
      </c>
      <c r="F1058" s="29">
        <f>ROUND(((SUMIFS(Calendar!$F$2:$F$9997,Calendar!$B$2:$B$9997,D1058,Calendar!$C$2:$C$9997,C1058)*INDEX(ForeCalc!$B$37:$Y$274,MATCH(_xlfn.CONCAT(H1058," ",I1058),ForeCalc!$A$37:$A$274,0),MATCH(_xlfn.CONCAT(B1058," ",E1058),ForeCalc!$B$36:$Y$36,0))))*VLOOKUP(A1058,Calendar!$A$2:$H$9997,8,FALSE),0)</f>
        <v/>
      </c>
      <c r="G1058" s="29">
        <f>VLOOKUP(A1058,Calendar!$A$1:$H$9997,6,FALSE)-F1058</f>
        <v/>
      </c>
      <c r="H1058" s="19" t="n">
        <v>3</v>
      </c>
      <c r="I1058" s="57" t="n">
        <v>11</v>
      </c>
    </row>
    <row r="1059">
      <c r="A1059" s="62" t="n">
        <v>47170</v>
      </c>
      <c r="B1059" s="3" t="inlineStr">
        <is>
          <t>Week</t>
        </is>
      </c>
      <c r="C1059" s="19" t="n">
        <v>2</v>
      </c>
      <c r="D1059" s="19" t="n">
        <v>2029</v>
      </c>
      <c r="E1059" s="57" t="n">
        <v>1</v>
      </c>
      <c r="F1059" s="29">
        <f>ROUND(((SUMIFS(Calendar!$F$2:$F$9997,Calendar!$B$2:$B$9997,D1059,Calendar!$C$2:$C$9997,C1059)*INDEX(ForeCalc!$B$37:$Y$274,MATCH(_xlfn.CONCAT(H1059," ",I1059),ForeCalc!$A$37:$A$274,0),MATCH(_xlfn.CONCAT(B1059," ",E1059),ForeCalc!$B$36:$Y$36,0))))*VLOOKUP(A1059,Calendar!$A$2:$H$9997,8,FALSE),0)</f>
        <v/>
      </c>
      <c r="G1059" s="29">
        <f>VLOOKUP(A1059,Calendar!$A$1:$H$9997,6,FALSE)-F1059</f>
        <v/>
      </c>
      <c r="H1059" s="19" t="n">
        <v>3</v>
      </c>
      <c r="I1059" s="57" t="n">
        <v>11</v>
      </c>
    </row>
    <row r="1060">
      <c r="A1060" s="62" t="n">
        <v>47171</v>
      </c>
      <c r="B1060" s="3" t="inlineStr">
        <is>
          <t>Week</t>
        </is>
      </c>
      <c r="C1060" s="19" t="n">
        <v>2</v>
      </c>
      <c r="D1060" s="19" t="n">
        <v>2029</v>
      </c>
      <c r="E1060" s="57" t="n">
        <v>1</v>
      </c>
      <c r="F1060" s="29">
        <f>ROUND(((SUMIFS(Calendar!$F$2:$F$9997,Calendar!$B$2:$B$9997,D1060,Calendar!$C$2:$C$9997,C1060)*INDEX(ForeCalc!$B$37:$Y$274,MATCH(_xlfn.CONCAT(H1060," ",I1060),ForeCalc!$A$37:$A$274,0),MATCH(_xlfn.CONCAT(B1060," ",E1060),ForeCalc!$B$36:$Y$36,0))))*VLOOKUP(A1060,Calendar!$A$2:$H$9997,8,FALSE),0)</f>
        <v/>
      </c>
      <c r="G1060" s="29">
        <f>VLOOKUP(A1060,Calendar!$A$1:$H$9997,6,FALSE)-F1060</f>
        <v/>
      </c>
      <c r="H1060" s="19" t="n">
        <v>3</v>
      </c>
      <c r="I1060" s="57" t="n">
        <v>11</v>
      </c>
    </row>
    <row r="1061">
      <c r="A1061" s="62" t="n">
        <v>47172</v>
      </c>
      <c r="B1061" s="3" t="inlineStr">
        <is>
          <t>Week</t>
        </is>
      </c>
      <c r="C1061" s="19" t="n">
        <v>2</v>
      </c>
      <c r="D1061" s="19" t="n">
        <v>2029</v>
      </c>
      <c r="E1061" s="57" t="n">
        <v>1</v>
      </c>
      <c r="F1061" s="29">
        <f>ROUND(((SUMIFS(Calendar!$F$2:$F$9997,Calendar!$B$2:$B$9997,D1061,Calendar!$C$2:$C$9997,C1061)*INDEX(ForeCalc!$B$37:$Y$274,MATCH(_xlfn.CONCAT(H1061," ",I1061),ForeCalc!$A$37:$A$274,0),MATCH(_xlfn.CONCAT(B1061," ",E1061),ForeCalc!$B$36:$Y$36,0))))*VLOOKUP(A1061,Calendar!$A$2:$H$9997,8,FALSE),0)</f>
        <v/>
      </c>
      <c r="G1061" s="29">
        <f>VLOOKUP(A1061,Calendar!$A$1:$H$9997,6,FALSE)-F1061</f>
        <v/>
      </c>
      <c r="H1061" s="19" t="n">
        <v>3</v>
      </c>
      <c r="I1061" s="57" t="n">
        <v>11</v>
      </c>
    </row>
    <row r="1062">
      <c r="A1062" s="62" t="n">
        <v>47173</v>
      </c>
      <c r="B1062" s="3" t="inlineStr">
        <is>
          <t>Sat</t>
        </is>
      </c>
      <c r="C1062" s="19" t="n">
        <v>2</v>
      </c>
      <c r="D1062" s="19" t="n">
        <v>2029</v>
      </c>
      <c r="E1062" s="57" t="n">
        <v>1</v>
      </c>
      <c r="F1062" s="29">
        <f>ROUND(((SUMIFS(Calendar!$F$2:$F$9997,Calendar!$B$2:$B$9997,D1062,Calendar!$C$2:$C$9997,C1062)*INDEX(ForeCalc!$B$37:$Y$274,MATCH(_xlfn.CONCAT(H1062," ",I1062),ForeCalc!$A$37:$A$274,0),MATCH(_xlfn.CONCAT(B1062," ",E1062),ForeCalc!$B$36:$Y$36,0))))*VLOOKUP(A1062,Calendar!$A$2:$H$9997,8,FALSE),0)</f>
        <v/>
      </c>
      <c r="G1062" s="29">
        <f>VLOOKUP(A1062,Calendar!$A$1:$H$9997,6,FALSE)-F1062</f>
        <v/>
      </c>
      <c r="H1062" s="19" t="n">
        <v>3</v>
      </c>
      <c r="I1062" s="57" t="n">
        <v>11</v>
      </c>
    </row>
    <row r="1063">
      <c r="A1063" s="62" t="n">
        <v>47174</v>
      </c>
      <c r="B1063" s="3" t="inlineStr">
        <is>
          <t>Sun</t>
        </is>
      </c>
      <c r="C1063" s="19" t="n">
        <v>2</v>
      </c>
      <c r="D1063" s="19" t="n">
        <v>2029</v>
      </c>
      <c r="E1063" s="57" t="n">
        <v>1</v>
      </c>
      <c r="F1063" s="29">
        <f>ROUND(((SUMIFS(Calendar!$F$2:$F$9997,Calendar!$B$2:$B$9997,D1063,Calendar!$C$2:$C$9997,C1063)*INDEX(ForeCalc!$B$37:$Y$274,MATCH(_xlfn.CONCAT(H1063," ",I1063),ForeCalc!$A$37:$A$274,0),MATCH(_xlfn.CONCAT(B1063," ",E1063),ForeCalc!$B$36:$Y$36,0))))*VLOOKUP(A1063,Calendar!$A$2:$H$9997,8,FALSE),0)</f>
        <v/>
      </c>
      <c r="G1063" s="29">
        <f>VLOOKUP(A1063,Calendar!$A$1:$H$9997,6,FALSE)-F1063</f>
        <v/>
      </c>
      <c r="H1063" s="19" t="n">
        <v>3</v>
      </c>
      <c r="I1063" s="57" t="n">
        <v>11</v>
      </c>
    </row>
    <row r="1064">
      <c r="A1064" s="62" t="n">
        <v>47175</v>
      </c>
      <c r="B1064" s="3" t="inlineStr">
        <is>
          <t>Week</t>
        </is>
      </c>
      <c r="C1064" s="19" t="n">
        <v>2</v>
      </c>
      <c r="D1064" s="19" t="n">
        <v>2029</v>
      </c>
      <c r="E1064" s="57" t="n">
        <v>1</v>
      </c>
      <c r="F1064" s="29">
        <f>ROUND(((SUMIFS(Calendar!$F$2:$F$9997,Calendar!$B$2:$B$9997,D1064,Calendar!$C$2:$C$9997,C1064)*INDEX(ForeCalc!$B$37:$Y$274,MATCH(_xlfn.CONCAT(H1064," ",I1064),ForeCalc!$A$37:$A$274,0),MATCH(_xlfn.CONCAT(B1064," ",E1064),ForeCalc!$B$36:$Y$36,0))))*VLOOKUP(A1064,Calendar!$A$2:$H$9997,8,FALSE),0)</f>
        <v/>
      </c>
      <c r="G1064" s="29">
        <f>VLOOKUP(A1064,Calendar!$A$1:$H$9997,6,FALSE)-F1064</f>
        <v/>
      </c>
      <c r="H1064" s="19" t="n">
        <v>3</v>
      </c>
      <c r="I1064" s="57" t="n">
        <v>11</v>
      </c>
    </row>
    <row r="1065">
      <c r="A1065" s="62" t="n">
        <v>47176</v>
      </c>
      <c r="B1065" s="3" t="inlineStr">
        <is>
          <t>Week</t>
        </is>
      </c>
      <c r="C1065" s="19" t="n">
        <v>2</v>
      </c>
      <c r="D1065" s="19" t="n">
        <v>2029</v>
      </c>
      <c r="E1065" s="57" t="n">
        <v>1</v>
      </c>
      <c r="F1065" s="29">
        <f>ROUND(((SUMIFS(Calendar!$F$2:$F$9997,Calendar!$B$2:$B$9997,D1065,Calendar!$C$2:$C$9997,C1065)*INDEX(ForeCalc!$B$37:$Y$274,MATCH(_xlfn.CONCAT(H1065," ",I1065),ForeCalc!$A$37:$A$274,0),MATCH(_xlfn.CONCAT(B1065," ",E1065),ForeCalc!$B$36:$Y$36,0))))*VLOOKUP(A1065,Calendar!$A$2:$H$9997,8,FALSE),0)</f>
        <v/>
      </c>
      <c r="G1065" s="29">
        <f>VLOOKUP(A1065,Calendar!$A$1:$H$9997,6,FALSE)-F1065</f>
        <v/>
      </c>
      <c r="H1065" s="19" t="n">
        <v>3</v>
      </c>
      <c r="I1065" s="57" t="n">
        <v>11</v>
      </c>
    </row>
    <row r="1066">
      <c r="A1066" s="62" t="n">
        <v>47177</v>
      </c>
      <c r="B1066" s="3" t="inlineStr">
        <is>
          <t>Week</t>
        </is>
      </c>
      <c r="C1066" s="19" t="n">
        <v>2</v>
      </c>
      <c r="D1066" s="19" t="n">
        <v>2029</v>
      </c>
      <c r="E1066" s="57" t="n">
        <v>1</v>
      </c>
      <c r="F1066" s="29">
        <f>ROUND(((SUMIFS(Calendar!$F$2:$F$9997,Calendar!$B$2:$B$9997,D1066,Calendar!$C$2:$C$9997,C1066)*INDEX(ForeCalc!$B$37:$Y$274,MATCH(_xlfn.CONCAT(H1066," ",I1066),ForeCalc!$A$37:$A$274,0),MATCH(_xlfn.CONCAT(B1066," ",E1066),ForeCalc!$B$36:$Y$36,0))))*VLOOKUP(A1066,Calendar!$A$2:$H$9997,8,FALSE),0)</f>
        <v/>
      </c>
      <c r="G1066" s="29">
        <f>VLOOKUP(A1066,Calendar!$A$1:$H$9997,6,FALSE)-F1066</f>
        <v/>
      </c>
      <c r="H1066" s="19" t="n">
        <v>3</v>
      </c>
      <c r="I1066" s="57" t="n">
        <v>11</v>
      </c>
    </row>
    <row r="1067">
      <c r="A1067" s="62" t="n">
        <v>47178</v>
      </c>
      <c r="B1067" s="3" t="inlineStr">
        <is>
          <t>Week</t>
        </is>
      </c>
      <c r="C1067" s="19" t="n">
        <v>3</v>
      </c>
      <c r="D1067" s="19" t="n">
        <v>2029</v>
      </c>
      <c r="E1067" s="57" t="n">
        <v>1</v>
      </c>
      <c r="F1067" s="29">
        <f>ROUND(((SUMIFS(Calendar!$F$2:$F$9997,Calendar!$B$2:$B$9997,D1067,Calendar!$C$2:$C$9997,C1067)*INDEX(ForeCalc!$B$37:$Y$274,MATCH(_xlfn.CONCAT(H1067," ",I1067),ForeCalc!$A$37:$A$274,0),MATCH(_xlfn.CONCAT(B1067," ",E1067),ForeCalc!$B$36:$Y$36,0))))*VLOOKUP(A1067,Calendar!$A$2:$H$9997,8,FALSE),0)</f>
        <v/>
      </c>
      <c r="G1067" s="29">
        <f>VLOOKUP(A1067,Calendar!$A$1:$H$9997,6,FALSE)-F1067</f>
        <v/>
      </c>
      <c r="H1067" s="19" t="n">
        <v>3</v>
      </c>
      <c r="I1067" s="57" t="n">
        <v>12</v>
      </c>
    </row>
    <row r="1068">
      <c r="A1068" s="62" t="n">
        <v>47179</v>
      </c>
      <c r="B1068" s="3" t="inlineStr">
        <is>
          <t>Week</t>
        </is>
      </c>
      <c r="C1068" s="19" t="n">
        <v>3</v>
      </c>
      <c r="D1068" s="19" t="n">
        <v>2029</v>
      </c>
      <c r="E1068" s="57" t="n">
        <v>1</v>
      </c>
      <c r="F1068" s="29">
        <f>ROUND(((SUMIFS(Calendar!$F$2:$F$9997,Calendar!$B$2:$B$9997,D1068,Calendar!$C$2:$C$9997,C1068)*INDEX(ForeCalc!$B$37:$Y$274,MATCH(_xlfn.CONCAT(H1068," ",I1068),ForeCalc!$A$37:$A$274,0),MATCH(_xlfn.CONCAT(B1068," ",E1068),ForeCalc!$B$36:$Y$36,0))))*VLOOKUP(A1068,Calendar!$A$2:$H$9997,8,FALSE),0)</f>
        <v/>
      </c>
      <c r="G1068" s="29">
        <f>VLOOKUP(A1068,Calendar!$A$1:$H$9997,6,FALSE)-F1068</f>
        <v/>
      </c>
      <c r="H1068" s="19" t="n">
        <v>3</v>
      </c>
      <c r="I1068" s="57" t="n">
        <v>12</v>
      </c>
    </row>
    <row r="1069">
      <c r="A1069" s="62" t="n">
        <v>47180</v>
      </c>
      <c r="B1069" s="3" t="inlineStr">
        <is>
          <t>Sat</t>
        </is>
      </c>
      <c r="C1069" s="19" t="n">
        <v>3</v>
      </c>
      <c r="D1069" s="19" t="n">
        <v>2029</v>
      </c>
      <c r="E1069" s="57" t="n">
        <v>1</v>
      </c>
      <c r="F1069" s="29">
        <f>ROUND(((SUMIFS(Calendar!$F$2:$F$9997,Calendar!$B$2:$B$9997,D1069,Calendar!$C$2:$C$9997,C1069)*INDEX(ForeCalc!$B$37:$Y$274,MATCH(_xlfn.CONCAT(H1069," ",I1069),ForeCalc!$A$37:$A$274,0),MATCH(_xlfn.CONCAT(B1069," ",E1069),ForeCalc!$B$36:$Y$36,0))))*VLOOKUP(A1069,Calendar!$A$2:$H$9997,8,FALSE),0)</f>
        <v/>
      </c>
      <c r="G1069" s="29">
        <f>VLOOKUP(A1069,Calendar!$A$1:$H$9997,6,FALSE)-F1069</f>
        <v/>
      </c>
      <c r="H1069" s="19" t="n">
        <v>3</v>
      </c>
      <c r="I1069" s="57" t="n">
        <v>12</v>
      </c>
    </row>
    <row r="1070">
      <c r="A1070" s="62" t="n">
        <v>47181</v>
      </c>
      <c r="B1070" s="3" t="inlineStr">
        <is>
          <t>Sun</t>
        </is>
      </c>
      <c r="C1070" s="19" t="n">
        <v>3</v>
      </c>
      <c r="D1070" s="19" t="n">
        <v>2029</v>
      </c>
      <c r="E1070" s="57" t="n">
        <v>1</v>
      </c>
      <c r="F1070" s="29">
        <f>ROUND(((SUMIFS(Calendar!$F$2:$F$9997,Calendar!$B$2:$B$9997,D1070,Calendar!$C$2:$C$9997,C1070)*INDEX(ForeCalc!$B$37:$Y$274,MATCH(_xlfn.CONCAT(H1070," ",I1070),ForeCalc!$A$37:$A$274,0),MATCH(_xlfn.CONCAT(B1070," ",E1070),ForeCalc!$B$36:$Y$36,0))))*VLOOKUP(A1070,Calendar!$A$2:$H$9997,8,FALSE),0)</f>
        <v/>
      </c>
      <c r="G1070" s="29">
        <f>VLOOKUP(A1070,Calendar!$A$1:$H$9997,6,FALSE)-F1070</f>
        <v/>
      </c>
      <c r="H1070" s="19" t="n">
        <v>3</v>
      </c>
      <c r="I1070" s="57" t="n">
        <v>12</v>
      </c>
    </row>
    <row r="1071">
      <c r="A1071" s="62" t="n">
        <v>47182</v>
      </c>
      <c r="B1071" s="3" t="inlineStr">
        <is>
          <t>Week</t>
        </is>
      </c>
      <c r="C1071" s="19" t="n">
        <v>3</v>
      </c>
      <c r="D1071" s="19" t="n">
        <v>2029</v>
      </c>
      <c r="E1071" s="57" t="n">
        <v>1</v>
      </c>
      <c r="F1071" s="29">
        <f>ROUND(((SUMIFS(Calendar!$F$2:$F$9997,Calendar!$B$2:$B$9997,D1071,Calendar!$C$2:$C$9997,C1071)*INDEX(ForeCalc!$B$37:$Y$274,MATCH(_xlfn.CONCAT(H1071," ",I1071),ForeCalc!$A$37:$A$274,0),MATCH(_xlfn.CONCAT(B1071," ",E1071),ForeCalc!$B$36:$Y$36,0))))*VLOOKUP(A1071,Calendar!$A$2:$H$9997,8,FALSE),0)</f>
        <v/>
      </c>
      <c r="G1071" s="29">
        <f>VLOOKUP(A1071,Calendar!$A$1:$H$9997,6,FALSE)-F1071</f>
        <v/>
      </c>
      <c r="H1071" s="19" t="n">
        <v>3</v>
      </c>
      <c r="I1071" s="57" t="n">
        <v>12</v>
      </c>
    </row>
    <row r="1072">
      <c r="A1072" s="62" t="n">
        <v>47183</v>
      </c>
      <c r="B1072" s="3" t="inlineStr">
        <is>
          <t>Week</t>
        </is>
      </c>
      <c r="C1072" s="19" t="n">
        <v>3</v>
      </c>
      <c r="D1072" s="19" t="n">
        <v>2029</v>
      </c>
      <c r="E1072" s="57" t="n">
        <v>1</v>
      </c>
      <c r="F1072" s="29">
        <f>ROUND(((SUMIFS(Calendar!$F$2:$F$9997,Calendar!$B$2:$B$9997,D1072,Calendar!$C$2:$C$9997,C1072)*INDEX(ForeCalc!$B$37:$Y$274,MATCH(_xlfn.CONCAT(H1072," ",I1072),ForeCalc!$A$37:$A$274,0),MATCH(_xlfn.CONCAT(B1072," ",E1072),ForeCalc!$B$36:$Y$36,0))))*VLOOKUP(A1072,Calendar!$A$2:$H$9997,8,FALSE),0)</f>
        <v/>
      </c>
      <c r="G1072" s="29">
        <f>VLOOKUP(A1072,Calendar!$A$1:$H$9997,6,FALSE)-F1072</f>
        <v/>
      </c>
      <c r="H1072" s="19" t="n">
        <v>3</v>
      </c>
      <c r="I1072" s="57" t="n">
        <v>12</v>
      </c>
    </row>
    <row r="1073">
      <c r="A1073" s="62" t="n">
        <v>47184</v>
      </c>
      <c r="B1073" s="3" t="inlineStr">
        <is>
          <t>Week</t>
        </is>
      </c>
      <c r="C1073" s="19" t="n">
        <v>3</v>
      </c>
      <c r="D1073" s="19" t="n">
        <v>2029</v>
      </c>
      <c r="E1073" s="57" t="n">
        <v>1</v>
      </c>
      <c r="F1073" s="29">
        <f>ROUND(((SUMIFS(Calendar!$F$2:$F$9997,Calendar!$B$2:$B$9997,D1073,Calendar!$C$2:$C$9997,C1073)*INDEX(ForeCalc!$B$37:$Y$274,MATCH(_xlfn.CONCAT(H1073," ",I1073),ForeCalc!$A$37:$A$274,0),MATCH(_xlfn.CONCAT(B1073," ",E1073),ForeCalc!$B$36:$Y$36,0))))*VLOOKUP(A1073,Calendar!$A$2:$H$9997,8,FALSE),0)</f>
        <v/>
      </c>
      <c r="G1073" s="29">
        <f>VLOOKUP(A1073,Calendar!$A$1:$H$9997,6,FALSE)-F1073</f>
        <v/>
      </c>
      <c r="H1073" s="19" t="n">
        <v>3</v>
      </c>
      <c r="I1073" s="57" t="n">
        <v>12</v>
      </c>
    </row>
    <row r="1074">
      <c r="A1074" s="62" t="n">
        <v>47185</v>
      </c>
      <c r="B1074" s="3" t="inlineStr">
        <is>
          <t>Week</t>
        </is>
      </c>
      <c r="C1074" s="19" t="n">
        <v>3</v>
      </c>
      <c r="D1074" s="19" t="n">
        <v>2029</v>
      </c>
      <c r="E1074" s="57" t="n">
        <v>1</v>
      </c>
      <c r="F1074" s="29">
        <f>ROUND(((SUMIFS(Calendar!$F$2:$F$9997,Calendar!$B$2:$B$9997,D1074,Calendar!$C$2:$C$9997,C1074)*INDEX(ForeCalc!$B$37:$Y$274,MATCH(_xlfn.CONCAT(H1074," ",I1074),ForeCalc!$A$37:$A$274,0),MATCH(_xlfn.CONCAT(B1074," ",E1074),ForeCalc!$B$36:$Y$36,0))))*VLOOKUP(A1074,Calendar!$A$2:$H$9997,8,FALSE),0)</f>
        <v/>
      </c>
      <c r="G1074" s="29">
        <f>VLOOKUP(A1074,Calendar!$A$1:$H$9997,6,FALSE)-F1074</f>
        <v/>
      </c>
      <c r="H1074" s="19" t="n">
        <v>3</v>
      </c>
      <c r="I1074" s="57" t="n">
        <v>12</v>
      </c>
    </row>
    <row r="1075">
      <c r="A1075" s="62" t="n">
        <v>47186</v>
      </c>
      <c r="B1075" s="3" t="inlineStr">
        <is>
          <t>Week</t>
        </is>
      </c>
      <c r="C1075" s="19" t="n">
        <v>3</v>
      </c>
      <c r="D1075" s="19" t="n">
        <v>2029</v>
      </c>
      <c r="E1075" s="57" t="n">
        <v>1</v>
      </c>
      <c r="F1075" s="29">
        <f>ROUND(((SUMIFS(Calendar!$F$2:$F$9997,Calendar!$B$2:$B$9997,D1075,Calendar!$C$2:$C$9997,C1075)*INDEX(ForeCalc!$B$37:$Y$274,MATCH(_xlfn.CONCAT(H1075," ",I1075),ForeCalc!$A$37:$A$274,0),MATCH(_xlfn.CONCAT(B1075," ",E1075),ForeCalc!$B$36:$Y$36,0))))*VLOOKUP(A1075,Calendar!$A$2:$H$9997,8,FALSE),0)</f>
        <v/>
      </c>
      <c r="G1075" s="29">
        <f>VLOOKUP(A1075,Calendar!$A$1:$H$9997,6,FALSE)-F1075</f>
        <v/>
      </c>
      <c r="H1075" s="19" t="n">
        <v>3</v>
      </c>
      <c r="I1075" s="57" t="n">
        <v>12</v>
      </c>
    </row>
    <row r="1076">
      <c r="A1076" s="62" t="n">
        <v>47187</v>
      </c>
      <c r="B1076" s="3" t="inlineStr">
        <is>
          <t>Sat</t>
        </is>
      </c>
      <c r="C1076" s="19" t="n">
        <v>3</v>
      </c>
      <c r="D1076" s="19" t="n">
        <v>2029</v>
      </c>
      <c r="E1076" s="57" t="n">
        <v>1</v>
      </c>
      <c r="F1076" s="29">
        <f>ROUND(((SUMIFS(Calendar!$F$2:$F$9997,Calendar!$B$2:$B$9997,D1076,Calendar!$C$2:$C$9997,C1076)*INDEX(ForeCalc!$B$37:$Y$274,MATCH(_xlfn.CONCAT(H1076," ",I1076),ForeCalc!$A$37:$A$274,0),MATCH(_xlfn.CONCAT(B1076," ",E1076),ForeCalc!$B$36:$Y$36,0))))*VLOOKUP(A1076,Calendar!$A$2:$H$9997,8,FALSE),0)</f>
        <v/>
      </c>
      <c r="G1076" s="29">
        <f>VLOOKUP(A1076,Calendar!$A$1:$H$9997,6,FALSE)-F1076</f>
        <v/>
      </c>
      <c r="H1076" s="19" t="n">
        <v>3</v>
      </c>
      <c r="I1076" s="57" t="n">
        <v>12</v>
      </c>
    </row>
    <row r="1077">
      <c r="A1077" s="62" t="n">
        <v>47188</v>
      </c>
      <c r="B1077" s="3" t="inlineStr">
        <is>
          <t>Sun</t>
        </is>
      </c>
      <c r="C1077" s="19" t="n">
        <v>3</v>
      </c>
      <c r="D1077" s="19" t="n">
        <v>2029</v>
      </c>
      <c r="E1077" s="57" t="n">
        <v>1</v>
      </c>
      <c r="F1077" s="29">
        <f>ROUND(((SUMIFS(Calendar!$F$2:$F$9997,Calendar!$B$2:$B$9997,D1077,Calendar!$C$2:$C$9997,C1077)*INDEX(ForeCalc!$B$37:$Y$274,MATCH(_xlfn.CONCAT(H1077," ",I1077),ForeCalc!$A$37:$A$274,0),MATCH(_xlfn.CONCAT(B1077," ",E1077),ForeCalc!$B$36:$Y$36,0))))*VLOOKUP(A1077,Calendar!$A$2:$H$9997,8,FALSE),0)</f>
        <v/>
      </c>
      <c r="G1077" s="29">
        <f>VLOOKUP(A1077,Calendar!$A$1:$H$9997,6,FALSE)-F1077</f>
        <v/>
      </c>
      <c r="H1077" s="19" t="n">
        <v>3</v>
      </c>
      <c r="I1077" s="57" t="n">
        <v>12</v>
      </c>
    </row>
    <row r="1078">
      <c r="A1078" s="62" t="n">
        <v>47189</v>
      </c>
      <c r="B1078" s="3" t="inlineStr">
        <is>
          <t>Week</t>
        </is>
      </c>
      <c r="C1078" s="19" t="n">
        <v>3</v>
      </c>
      <c r="D1078" s="19" t="n">
        <v>2029</v>
      </c>
      <c r="E1078" s="57" t="n">
        <v>1</v>
      </c>
      <c r="F1078" s="29">
        <f>ROUND(((SUMIFS(Calendar!$F$2:$F$9997,Calendar!$B$2:$B$9997,D1078,Calendar!$C$2:$C$9997,C1078)*INDEX(ForeCalc!$B$37:$Y$274,MATCH(_xlfn.CONCAT(H1078," ",I1078),ForeCalc!$A$37:$A$274,0),MATCH(_xlfn.CONCAT(B1078," ",E1078),ForeCalc!$B$36:$Y$36,0))))*VLOOKUP(A1078,Calendar!$A$2:$H$9997,8,FALSE),0)</f>
        <v/>
      </c>
      <c r="G1078" s="29">
        <f>VLOOKUP(A1078,Calendar!$A$1:$H$9997,6,FALSE)-F1078</f>
        <v/>
      </c>
      <c r="H1078" s="19" t="n">
        <v>3</v>
      </c>
      <c r="I1078" s="57" t="n">
        <v>12</v>
      </c>
    </row>
    <row r="1079">
      <c r="A1079" s="62" t="n">
        <v>47190</v>
      </c>
      <c r="B1079" s="3" t="inlineStr">
        <is>
          <t>Week</t>
        </is>
      </c>
      <c r="C1079" s="19" t="n">
        <v>3</v>
      </c>
      <c r="D1079" s="19" t="n">
        <v>2029</v>
      </c>
      <c r="E1079" s="57" t="n">
        <v>1</v>
      </c>
      <c r="F1079" s="29">
        <f>ROUND(((SUMIFS(Calendar!$F$2:$F$9997,Calendar!$B$2:$B$9997,D1079,Calendar!$C$2:$C$9997,C1079)*INDEX(ForeCalc!$B$37:$Y$274,MATCH(_xlfn.CONCAT(H1079," ",I1079),ForeCalc!$A$37:$A$274,0),MATCH(_xlfn.CONCAT(B1079," ",E1079),ForeCalc!$B$36:$Y$36,0))))*VLOOKUP(A1079,Calendar!$A$2:$H$9997,8,FALSE),0)</f>
        <v/>
      </c>
      <c r="G1079" s="29">
        <f>VLOOKUP(A1079,Calendar!$A$1:$H$9997,6,FALSE)-F1079</f>
        <v/>
      </c>
      <c r="H1079" s="19" t="n">
        <v>3</v>
      </c>
      <c r="I1079" s="57" t="n">
        <v>12</v>
      </c>
    </row>
    <row r="1080">
      <c r="A1080" s="62" t="n">
        <v>47191</v>
      </c>
      <c r="B1080" s="3" t="inlineStr">
        <is>
          <t>Week</t>
        </is>
      </c>
      <c r="C1080" s="19" t="n">
        <v>3</v>
      </c>
      <c r="D1080" s="19" t="n">
        <v>2029</v>
      </c>
      <c r="E1080" s="57" t="n">
        <v>1</v>
      </c>
      <c r="F1080" s="29">
        <f>ROUND(((SUMIFS(Calendar!$F$2:$F$9997,Calendar!$B$2:$B$9997,D1080,Calendar!$C$2:$C$9997,C1080)*INDEX(ForeCalc!$B$37:$Y$274,MATCH(_xlfn.CONCAT(H1080," ",I1080),ForeCalc!$A$37:$A$274,0),MATCH(_xlfn.CONCAT(B1080," ",E1080),ForeCalc!$B$36:$Y$36,0))))*VLOOKUP(A1080,Calendar!$A$2:$H$9997,8,FALSE),0)</f>
        <v/>
      </c>
      <c r="G1080" s="29">
        <f>VLOOKUP(A1080,Calendar!$A$1:$H$9997,6,FALSE)-F1080</f>
        <v/>
      </c>
      <c r="H1080" s="19" t="n">
        <v>3</v>
      </c>
      <c r="I1080" s="57" t="n">
        <v>12</v>
      </c>
    </row>
    <row r="1081">
      <c r="A1081" s="62" t="n">
        <v>47192</v>
      </c>
      <c r="B1081" s="3" t="inlineStr">
        <is>
          <t>Week</t>
        </is>
      </c>
      <c r="C1081" s="19" t="n">
        <v>3</v>
      </c>
      <c r="D1081" s="19" t="n">
        <v>2029</v>
      </c>
      <c r="E1081" s="57" t="n">
        <v>1</v>
      </c>
      <c r="F1081" s="29">
        <f>ROUND(((SUMIFS(Calendar!$F$2:$F$9997,Calendar!$B$2:$B$9997,D1081,Calendar!$C$2:$C$9997,C1081)*INDEX(ForeCalc!$B$37:$Y$274,MATCH(_xlfn.CONCAT(H1081," ",I1081),ForeCalc!$A$37:$A$274,0),MATCH(_xlfn.CONCAT(B1081," ",E1081),ForeCalc!$B$36:$Y$36,0))))*VLOOKUP(A1081,Calendar!$A$2:$H$9997,8,FALSE),0)</f>
        <v/>
      </c>
      <c r="G1081" s="29">
        <f>VLOOKUP(A1081,Calendar!$A$1:$H$9997,6,FALSE)-F1081</f>
        <v/>
      </c>
      <c r="H1081" s="19" t="n">
        <v>3</v>
      </c>
      <c r="I1081" s="57" t="n">
        <v>12</v>
      </c>
    </row>
    <row r="1082">
      <c r="A1082" s="62" t="n">
        <v>47193</v>
      </c>
      <c r="B1082" s="3" t="inlineStr">
        <is>
          <t>Week</t>
        </is>
      </c>
      <c r="C1082" s="19" t="n">
        <v>3</v>
      </c>
      <c r="D1082" s="19" t="n">
        <v>2029</v>
      </c>
      <c r="E1082" s="57" t="n">
        <v>1</v>
      </c>
      <c r="F1082" s="29">
        <f>ROUND(((SUMIFS(Calendar!$F$2:$F$9997,Calendar!$B$2:$B$9997,D1082,Calendar!$C$2:$C$9997,C1082)*INDEX(ForeCalc!$B$37:$Y$274,MATCH(_xlfn.CONCAT(H1082," ",I1082),ForeCalc!$A$37:$A$274,0),MATCH(_xlfn.CONCAT(B1082," ",E1082),ForeCalc!$B$36:$Y$36,0))))*VLOOKUP(A1082,Calendar!$A$2:$H$9997,8,FALSE),0)</f>
        <v/>
      </c>
      <c r="G1082" s="29">
        <f>VLOOKUP(A1082,Calendar!$A$1:$H$9997,6,FALSE)-F1082</f>
        <v/>
      </c>
      <c r="H1082" s="19" t="n">
        <v>3</v>
      </c>
      <c r="I1082" s="57" t="n">
        <v>12</v>
      </c>
    </row>
    <row r="1083">
      <c r="A1083" s="62" t="n">
        <v>47194</v>
      </c>
      <c r="B1083" s="3" t="inlineStr">
        <is>
          <t>Sat</t>
        </is>
      </c>
      <c r="C1083" s="19" t="n">
        <v>3</v>
      </c>
      <c r="D1083" s="19" t="n">
        <v>2029</v>
      </c>
      <c r="E1083" s="57" t="n">
        <v>1</v>
      </c>
      <c r="F1083" s="29">
        <f>ROUND(((SUMIFS(Calendar!$F$2:$F$9997,Calendar!$B$2:$B$9997,D1083,Calendar!$C$2:$C$9997,C1083)*INDEX(ForeCalc!$B$37:$Y$274,MATCH(_xlfn.CONCAT(H1083," ",I1083),ForeCalc!$A$37:$A$274,0),MATCH(_xlfn.CONCAT(B1083," ",E1083),ForeCalc!$B$36:$Y$36,0))))*VLOOKUP(A1083,Calendar!$A$2:$H$9997,8,FALSE),0)</f>
        <v/>
      </c>
      <c r="G1083" s="29">
        <f>VLOOKUP(A1083,Calendar!$A$1:$H$9997,6,FALSE)-F1083</f>
        <v/>
      </c>
      <c r="H1083" s="19" t="n">
        <v>3</v>
      </c>
      <c r="I1083" s="57" t="n">
        <v>12</v>
      </c>
    </row>
    <row r="1084">
      <c r="A1084" s="62" t="n">
        <v>47195</v>
      </c>
      <c r="B1084" s="3" t="inlineStr">
        <is>
          <t>Sun</t>
        </is>
      </c>
      <c r="C1084" s="19" t="n">
        <v>3</v>
      </c>
      <c r="D1084" s="19" t="n">
        <v>2029</v>
      </c>
      <c r="E1084" s="57" t="n">
        <v>1</v>
      </c>
      <c r="F1084" s="29">
        <f>ROUND(((SUMIFS(Calendar!$F$2:$F$9997,Calendar!$B$2:$B$9997,D1084,Calendar!$C$2:$C$9997,C1084)*INDEX(ForeCalc!$B$37:$Y$274,MATCH(_xlfn.CONCAT(H1084," ",I1084),ForeCalc!$A$37:$A$274,0),MATCH(_xlfn.CONCAT(B1084," ",E1084),ForeCalc!$B$36:$Y$36,0))))*VLOOKUP(A1084,Calendar!$A$2:$H$9997,8,FALSE),0)</f>
        <v/>
      </c>
      <c r="G1084" s="29">
        <f>VLOOKUP(A1084,Calendar!$A$1:$H$9997,6,FALSE)-F1084</f>
        <v/>
      </c>
      <c r="H1084" s="19" t="n">
        <v>3</v>
      </c>
      <c r="I1084" s="57" t="n">
        <v>12</v>
      </c>
    </row>
    <row r="1085">
      <c r="A1085" s="62" t="n">
        <v>47196</v>
      </c>
      <c r="B1085" s="3" t="inlineStr">
        <is>
          <t>Week</t>
        </is>
      </c>
      <c r="C1085" s="19" t="n">
        <v>3</v>
      </c>
      <c r="D1085" s="19" t="n">
        <v>2029</v>
      </c>
      <c r="E1085" s="57" t="n">
        <v>1</v>
      </c>
      <c r="F1085" s="29">
        <f>ROUND(((SUMIFS(Calendar!$F$2:$F$9997,Calendar!$B$2:$B$9997,D1085,Calendar!$C$2:$C$9997,C1085)*INDEX(ForeCalc!$B$37:$Y$274,MATCH(_xlfn.CONCAT(H1085," ",I1085),ForeCalc!$A$37:$A$274,0),MATCH(_xlfn.CONCAT(B1085," ",E1085),ForeCalc!$B$36:$Y$36,0))))*VLOOKUP(A1085,Calendar!$A$2:$H$9997,8,FALSE),0)</f>
        <v/>
      </c>
      <c r="G1085" s="29">
        <f>VLOOKUP(A1085,Calendar!$A$1:$H$9997,6,FALSE)-F1085</f>
        <v/>
      </c>
      <c r="H1085" s="19" t="n">
        <v>3</v>
      </c>
      <c r="I1085" s="57" t="n">
        <v>12</v>
      </c>
    </row>
    <row r="1086">
      <c r="A1086" s="62" t="n">
        <v>47197</v>
      </c>
      <c r="B1086" s="3" t="inlineStr">
        <is>
          <t>Week</t>
        </is>
      </c>
      <c r="C1086" s="19" t="n">
        <v>3</v>
      </c>
      <c r="D1086" s="19" t="n">
        <v>2029</v>
      </c>
      <c r="E1086" s="57" t="n">
        <v>1</v>
      </c>
      <c r="F1086" s="29">
        <f>ROUND(((SUMIFS(Calendar!$F$2:$F$9997,Calendar!$B$2:$B$9997,D1086,Calendar!$C$2:$C$9997,C1086)*INDEX(ForeCalc!$B$37:$Y$274,MATCH(_xlfn.CONCAT(H1086," ",I1086),ForeCalc!$A$37:$A$274,0),MATCH(_xlfn.CONCAT(B1086," ",E1086),ForeCalc!$B$36:$Y$36,0))))*VLOOKUP(A1086,Calendar!$A$2:$H$9997,8,FALSE),0)</f>
        <v/>
      </c>
      <c r="G1086" s="29">
        <f>VLOOKUP(A1086,Calendar!$A$1:$H$9997,6,FALSE)-F1086</f>
        <v/>
      </c>
      <c r="H1086" s="19" t="n">
        <v>3</v>
      </c>
      <c r="I1086" s="57" t="n">
        <v>12</v>
      </c>
    </row>
    <row r="1087">
      <c r="A1087" s="62" t="n">
        <v>47198</v>
      </c>
      <c r="B1087" s="3" t="inlineStr">
        <is>
          <t>Week</t>
        </is>
      </c>
      <c r="C1087" s="19" t="n">
        <v>3</v>
      </c>
      <c r="D1087" s="19" t="n">
        <v>2029</v>
      </c>
      <c r="E1087" s="57" t="n">
        <v>1</v>
      </c>
      <c r="F1087" s="29">
        <f>ROUND(((SUMIFS(Calendar!$F$2:$F$9997,Calendar!$B$2:$B$9997,D1087,Calendar!$C$2:$C$9997,C1087)*INDEX(ForeCalc!$B$37:$Y$274,MATCH(_xlfn.CONCAT(H1087," ",I1087),ForeCalc!$A$37:$A$274,0),MATCH(_xlfn.CONCAT(B1087," ",E1087),ForeCalc!$B$36:$Y$36,0))))*VLOOKUP(A1087,Calendar!$A$2:$H$9997,8,FALSE),0)</f>
        <v/>
      </c>
      <c r="G1087" s="29">
        <f>VLOOKUP(A1087,Calendar!$A$1:$H$9997,6,FALSE)-F1087</f>
        <v/>
      </c>
      <c r="H1087" s="19" t="n">
        <v>3</v>
      </c>
      <c r="I1087" s="57" t="n">
        <v>12</v>
      </c>
    </row>
    <row r="1088">
      <c r="A1088" s="62" t="n">
        <v>47199</v>
      </c>
      <c r="B1088" s="3" t="inlineStr">
        <is>
          <t>Week</t>
        </is>
      </c>
      <c r="C1088" s="19" t="n">
        <v>3</v>
      </c>
      <c r="D1088" s="19" t="n">
        <v>2029</v>
      </c>
      <c r="E1088" s="57" t="n">
        <v>1</v>
      </c>
      <c r="F1088" s="29">
        <f>ROUND(((SUMIFS(Calendar!$F$2:$F$9997,Calendar!$B$2:$B$9997,D1088,Calendar!$C$2:$C$9997,C1088)*INDEX(ForeCalc!$B$37:$Y$274,MATCH(_xlfn.CONCAT(H1088," ",I1088),ForeCalc!$A$37:$A$274,0),MATCH(_xlfn.CONCAT(B1088," ",E1088),ForeCalc!$B$36:$Y$36,0))))*VLOOKUP(A1088,Calendar!$A$2:$H$9997,8,FALSE),0)</f>
        <v/>
      </c>
      <c r="G1088" s="29">
        <f>VLOOKUP(A1088,Calendar!$A$1:$H$9997,6,FALSE)-F1088</f>
        <v/>
      </c>
      <c r="H1088" s="19" t="n">
        <v>3</v>
      </c>
      <c r="I1088" s="57" t="n">
        <v>12</v>
      </c>
    </row>
    <row r="1089">
      <c r="A1089" s="62" t="n">
        <v>47200</v>
      </c>
      <c r="B1089" s="3" t="inlineStr">
        <is>
          <t>Week</t>
        </is>
      </c>
      <c r="C1089" s="19" t="n">
        <v>3</v>
      </c>
      <c r="D1089" s="19" t="n">
        <v>2029</v>
      </c>
      <c r="E1089" s="57" t="n">
        <v>1</v>
      </c>
      <c r="F1089" s="29">
        <f>ROUND(((SUMIFS(Calendar!$F$2:$F$9997,Calendar!$B$2:$B$9997,D1089,Calendar!$C$2:$C$9997,C1089)*INDEX(ForeCalc!$B$37:$Y$274,MATCH(_xlfn.CONCAT(H1089," ",I1089),ForeCalc!$A$37:$A$274,0),MATCH(_xlfn.CONCAT(B1089," ",E1089),ForeCalc!$B$36:$Y$36,0))))*VLOOKUP(A1089,Calendar!$A$2:$H$9997,8,FALSE),0)</f>
        <v/>
      </c>
      <c r="G1089" s="29">
        <f>VLOOKUP(A1089,Calendar!$A$1:$H$9997,6,FALSE)-F1089</f>
        <v/>
      </c>
      <c r="H1089" s="19" t="n">
        <v>3</v>
      </c>
      <c r="I1089" s="57" t="n">
        <v>12</v>
      </c>
    </row>
    <row r="1090">
      <c r="A1090" s="62" t="n">
        <v>47201</v>
      </c>
      <c r="B1090" s="3" t="inlineStr">
        <is>
          <t>Sat</t>
        </is>
      </c>
      <c r="C1090" s="19" t="n">
        <v>3</v>
      </c>
      <c r="D1090" s="19" t="n">
        <v>2029</v>
      </c>
      <c r="E1090" s="57" t="n">
        <v>1</v>
      </c>
      <c r="F1090" s="29">
        <f>ROUND(((SUMIFS(Calendar!$F$2:$F$9997,Calendar!$B$2:$B$9997,D1090,Calendar!$C$2:$C$9997,C1090)*INDEX(ForeCalc!$B$37:$Y$274,MATCH(_xlfn.CONCAT(H1090," ",I1090),ForeCalc!$A$37:$A$274,0),MATCH(_xlfn.CONCAT(B1090," ",E1090),ForeCalc!$B$36:$Y$36,0))))*VLOOKUP(A1090,Calendar!$A$2:$H$9997,8,FALSE),0)</f>
        <v/>
      </c>
      <c r="G1090" s="29">
        <f>VLOOKUP(A1090,Calendar!$A$1:$H$9997,6,FALSE)-F1090</f>
        <v/>
      </c>
      <c r="H1090" s="19" t="n">
        <v>3</v>
      </c>
      <c r="I1090" s="57" t="n">
        <v>12</v>
      </c>
    </row>
    <row r="1091">
      <c r="A1091" s="62" t="n">
        <v>47202</v>
      </c>
      <c r="B1091" s="3" t="inlineStr">
        <is>
          <t>Sun</t>
        </is>
      </c>
      <c r="C1091" s="19" t="n">
        <v>3</v>
      </c>
      <c r="D1091" s="19" t="n">
        <v>2029</v>
      </c>
      <c r="E1091" s="57" t="n">
        <v>1</v>
      </c>
      <c r="F1091" s="29">
        <f>ROUND(((SUMIFS(Calendar!$F$2:$F$9997,Calendar!$B$2:$B$9997,D1091,Calendar!$C$2:$C$9997,C1091)*INDEX(ForeCalc!$B$37:$Y$274,MATCH(_xlfn.CONCAT(H1091," ",I1091),ForeCalc!$A$37:$A$274,0),MATCH(_xlfn.CONCAT(B1091," ",E1091),ForeCalc!$B$36:$Y$36,0))))*VLOOKUP(A1091,Calendar!$A$2:$H$9997,8,FALSE),0)</f>
        <v/>
      </c>
      <c r="G1091" s="29">
        <f>VLOOKUP(A1091,Calendar!$A$1:$H$9997,6,FALSE)-F1091</f>
        <v/>
      </c>
      <c r="H1091" s="19" t="n">
        <v>3</v>
      </c>
      <c r="I1091" s="57" t="n">
        <v>12</v>
      </c>
    </row>
    <row r="1092">
      <c r="A1092" s="62" t="n">
        <v>47203</v>
      </c>
      <c r="B1092" s="3" t="inlineStr">
        <is>
          <t>Week</t>
        </is>
      </c>
      <c r="C1092" s="19" t="n">
        <v>3</v>
      </c>
      <c r="D1092" s="19" t="n">
        <v>2029</v>
      </c>
      <c r="E1092" s="57" t="n">
        <v>1</v>
      </c>
      <c r="F1092" s="29">
        <f>ROUND(((SUMIFS(Calendar!$F$2:$F$9997,Calendar!$B$2:$B$9997,D1092,Calendar!$C$2:$C$9997,C1092)*INDEX(ForeCalc!$B$37:$Y$274,MATCH(_xlfn.CONCAT(H1092," ",I1092),ForeCalc!$A$37:$A$274,0),MATCH(_xlfn.CONCAT(B1092," ",E1092),ForeCalc!$B$36:$Y$36,0))))*VLOOKUP(A1092,Calendar!$A$2:$H$9997,8,FALSE),0)</f>
        <v/>
      </c>
      <c r="G1092" s="29">
        <f>VLOOKUP(A1092,Calendar!$A$1:$H$9997,6,FALSE)-F1092</f>
        <v/>
      </c>
      <c r="H1092" s="19" t="n">
        <v>3</v>
      </c>
      <c r="I1092" s="57" t="n">
        <v>12</v>
      </c>
    </row>
    <row r="1093">
      <c r="A1093" s="62" t="n">
        <v>47204</v>
      </c>
      <c r="B1093" s="3" t="inlineStr">
        <is>
          <t>Week</t>
        </is>
      </c>
      <c r="C1093" s="19" t="n">
        <v>3</v>
      </c>
      <c r="D1093" s="19" t="n">
        <v>2029</v>
      </c>
      <c r="E1093" s="57" t="n">
        <v>1</v>
      </c>
      <c r="F1093" s="29">
        <f>ROUND(((SUMIFS(Calendar!$F$2:$F$9997,Calendar!$B$2:$B$9997,D1093,Calendar!$C$2:$C$9997,C1093)*INDEX(ForeCalc!$B$37:$Y$274,MATCH(_xlfn.CONCAT(H1093," ",I1093),ForeCalc!$A$37:$A$274,0),MATCH(_xlfn.CONCAT(B1093," ",E1093),ForeCalc!$B$36:$Y$36,0))))*VLOOKUP(A1093,Calendar!$A$2:$H$9997,8,FALSE),0)</f>
        <v/>
      </c>
      <c r="G1093" s="29">
        <f>VLOOKUP(A1093,Calendar!$A$1:$H$9997,6,FALSE)-F1093</f>
        <v/>
      </c>
      <c r="H1093" s="19" t="n">
        <v>3</v>
      </c>
      <c r="I1093" s="57" t="n">
        <v>12</v>
      </c>
    </row>
    <row r="1094">
      <c r="A1094" s="62" t="n">
        <v>47205</v>
      </c>
      <c r="B1094" s="3" t="inlineStr">
        <is>
          <t>Week</t>
        </is>
      </c>
      <c r="C1094" s="19" t="n">
        <v>3</v>
      </c>
      <c r="D1094" s="19" t="n">
        <v>2029</v>
      </c>
      <c r="E1094" s="57" t="n">
        <v>1</v>
      </c>
      <c r="F1094" s="29">
        <f>ROUND(((SUMIFS(Calendar!$F$2:$F$9997,Calendar!$B$2:$B$9997,D1094,Calendar!$C$2:$C$9997,C1094)*INDEX(ForeCalc!$B$37:$Y$274,MATCH(_xlfn.CONCAT(H1094," ",I1094),ForeCalc!$A$37:$A$274,0),MATCH(_xlfn.CONCAT(B1094," ",E1094),ForeCalc!$B$36:$Y$36,0))))*VLOOKUP(A1094,Calendar!$A$2:$H$9997,8,FALSE),0)</f>
        <v/>
      </c>
      <c r="G1094" s="29">
        <f>VLOOKUP(A1094,Calendar!$A$1:$H$9997,6,FALSE)-F1094</f>
        <v/>
      </c>
      <c r="H1094" s="19" t="n">
        <v>3</v>
      </c>
      <c r="I1094" s="57" t="n">
        <v>12</v>
      </c>
    </row>
    <row r="1095">
      <c r="A1095" s="62" t="n">
        <v>47206</v>
      </c>
      <c r="B1095" s="3" t="inlineStr">
        <is>
          <t>Week</t>
        </is>
      </c>
      <c r="C1095" s="19" t="n">
        <v>3</v>
      </c>
      <c r="D1095" s="19" t="n">
        <v>2029</v>
      </c>
      <c r="E1095" s="57" t="n">
        <v>1</v>
      </c>
      <c r="F1095" s="29">
        <f>ROUND(((SUMIFS(Calendar!$F$2:$F$9997,Calendar!$B$2:$B$9997,D1095,Calendar!$C$2:$C$9997,C1095)*INDEX(ForeCalc!$B$37:$Y$274,MATCH(_xlfn.CONCAT(H1095," ",I1095),ForeCalc!$A$37:$A$274,0),MATCH(_xlfn.CONCAT(B1095," ",E1095),ForeCalc!$B$36:$Y$36,0))))*VLOOKUP(A1095,Calendar!$A$2:$H$9997,8,FALSE),0)</f>
        <v/>
      </c>
      <c r="G1095" s="29">
        <f>VLOOKUP(A1095,Calendar!$A$1:$H$9997,6,FALSE)-F1095</f>
        <v/>
      </c>
      <c r="H1095" s="19" t="n">
        <v>3</v>
      </c>
      <c r="I1095" s="57" t="n">
        <v>12</v>
      </c>
    </row>
    <row r="1096">
      <c r="A1096" s="62" t="n">
        <v>47207</v>
      </c>
      <c r="B1096" s="3" t="inlineStr">
        <is>
          <t>Week</t>
        </is>
      </c>
      <c r="C1096" s="19" t="n">
        <v>3</v>
      </c>
      <c r="D1096" s="19" t="n">
        <v>2029</v>
      </c>
      <c r="E1096" s="57" t="n">
        <v>1</v>
      </c>
      <c r="F1096" s="29">
        <f>ROUND(((SUMIFS(Calendar!$F$2:$F$9997,Calendar!$B$2:$B$9997,D1096,Calendar!$C$2:$C$9997,C1096)*INDEX(ForeCalc!$B$37:$Y$274,MATCH(_xlfn.CONCAT(H1096," ",I1096),ForeCalc!$A$37:$A$274,0),MATCH(_xlfn.CONCAT(B1096," ",E1096),ForeCalc!$B$36:$Y$36,0))))*VLOOKUP(A1096,Calendar!$A$2:$H$9997,8,FALSE),0)</f>
        <v/>
      </c>
      <c r="G1096" s="29">
        <f>VLOOKUP(A1096,Calendar!$A$1:$H$9997,6,FALSE)-F1096</f>
        <v/>
      </c>
      <c r="H1096" s="19" t="n">
        <v>3</v>
      </c>
      <c r="I1096" s="57" t="n">
        <v>12</v>
      </c>
    </row>
    <row r="1097">
      <c r="A1097" s="62" t="n">
        <v>47208</v>
      </c>
      <c r="B1097" s="3" t="inlineStr">
        <is>
          <t>Sat</t>
        </is>
      </c>
      <c r="C1097" s="19" t="n">
        <v>3</v>
      </c>
      <c r="D1097" s="19" t="n">
        <v>2029</v>
      </c>
      <c r="E1097" s="57" t="n">
        <v>1</v>
      </c>
      <c r="F1097" s="29">
        <f>ROUND(((SUMIFS(Calendar!$F$2:$F$9997,Calendar!$B$2:$B$9997,D1097,Calendar!$C$2:$C$9997,C1097)*INDEX(ForeCalc!$B$37:$Y$274,MATCH(_xlfn.CONCAT(H1097," ",I1097),ForeCalc!$A$37:$A$274,0),MATCH(_xlfn.CONCAT(B1097," ",E1097),ForeCalc!$B$36:$Y$36,0))))*VLOOKUP(A1097,Calendar!$A$2:$H$9997,8,FALSE),0)</f>
        <v/>
      </c>
      <c r="G1097" s="29">
        <f>VLOOKUP(A1097,Calendar!$A$1:$H$9997,6,FALSE)-F1097</f>
        <v/>
      </c>
      <c r="H1097" s="19" t="n">
        <v>3</v>
      </c>
      <c r="I1097" s="57" t="n">
        <v>12</v>
      </c>
    </row>
    <row r="1098">
      <c r="A1098" s="62" t="n">
        <v>46113</v>
      </c>
      <c r="B1098" s="3" t="inlineStr">
        <is>
          <t>Week</t>
        </is>
      </c>
      <c r="C1098" s="19" t="n">
        <v>4</v>
      </c>
      <c r="D1098" s="19" t="n">
        <v>2026</v>
      </c>
      <c r="E1098" s="57" t="n">
        <v>2</v>
      </c>
      <c r="F1098" s="29">
        <f>ROUND(((SUMIFS(Calendar!$F$2:$F$9997,Calendar!$B$2:$B$9997,D1098,Calendar!$C$2:$C$9997,C1098)*INDEX(ForeCalc!$B$37:$Y$274,MATCH(_xlfn.CONCAT(H1098," ",I1098),ForeCalc!$A$37:$A$274,0),MATCH(_xlfn.CONCAT(B1098," ",E1098),ForeCalc!$B$36:$Y$36,0))))*VLOOKUP(A1098,Calendar!$A$2:$H$9997,8,FALSE),0)</f>
        <v/>
      </c>
      <c r="G1098" s="29">
        <f>VLOOKUP(A1098,Calendar!$A$1:$H$9997,6,FALSE)-F1098</f>
        <v/>
      </c>
      <c r="H1098" s="19" t="n">
        <v>1</v>
      </c>
      <c r="I1098" s="57" t="n">
        <v>1</v>
      </c>
    </row>
    <row r="1099">
      <c r="A1099" s="62" t="n">
        <v>46114</v>
      </c>
      <c r="B1099" s="3" t="inlineStr">
        <is>
          <t>Week</t>
        </is>
      </c>
      <c r="C1099" s="19" t="n">
        <v>4</v>
      </c>
      <c r="D1099" s="19" t="n">
        <v>2026</v>
      </c>
      <c r="E1099" s="57" t="n">
        <v>2</v>
      </c>
      <c r="F1099" s="29">
        <f>ROUND(((SUMIFS(Calendar!$F$2:$F$9997,Calendar!$B$2:$B$9997,D1099,Calendar!$C$2:$C$9997,C1099)*INDEX(ForeCalc!$B$37:$Y$274,MATCH(_xlfn.CONCAT(H1099," ",I1099),ForeCalc!$A$37:$A$274,0),MATCH(_xlfn.CONCAT(B1099," ",E1099),ForeCalc!$B$36:$Y$36,0))))*VLOOKUP(A1099,Calendar!$A$2:$H$9997,8,FALSE),0)</f>
        <v/>
      </c>
      <c r="G1099" s="29">
        <f>VLOOKUP(A1099,Calendar!$A$1:$H$9997,6,FALSE)-F1099</f>
        <v/>
      </c>
      <c r="H1099" s="19" t="n">
        <v>1</v>
      </c>
      <c r="I1099" s="57" t="n">
        <v>1</v>
      </c>
    </row>
    <row r="1100">
      <c r="A1100" s="62" t="n">
        <v>46115</v>
      </c>
      <c r="B1100" s="3" t="inlineStr">
        <is>
          <t>Week</t>
        </is>
      </c>
      <c r="C1100" s="19" t="n">
        <v>4</v>
      </c>
      <c r="D1100" s="19" t="n">
        <v>2026</v>
      </c>
      <c r="E1100" s="57" t="n">
        <v>2</v>
      </c>
      <c r="F1100" s="29">
        <f>ROUND(((SUMIFS(Calendar!$F$2:$F$9997,Calendar!$B$2:$B$9997,D1100,Calendar!$C$2:$C$9997,C1100)*INDEX(ForeCalc!$B$37:$Y$274,MATCH(_xlfn.CONCAT(H1100," ",I1100),ForeCalc!$A$37:$A$274,0),MATCH(_xlfn.CONCAT(B1100," ",E1100),ForeCalc!$B$36:$Y$36,0))))*VLOOKUP(A1100,Calendar!$A$2:$H$9997,8,FALSE),0)</f>
        <v/>
      </c>
      <c r="G1100" s="29">
        <f>VLOOKUP(A1100,Calendar!$A$1:$H$9997,6,FALSE)-F1100</f>
        <v/>
      </c>
      <c r="H1100" s="19" t="n">
        <v>1</v>
      </c>
      <c r="I1100" s="57" t="n">
        <v>1</v>
      </c>
    </row>
    <row r="1101">
      <c r="A1101" s="62" t="n">
        <v>46116</v>
      </c>
      <c r="B1101" s="3" t="inlineStr">
        <is>
          <t>Sat</t>
        </is>
      </c>
      <c r="C1101" s="19" t="n">
        <v>4</v>
      </c>
      <c r="D1101" s="19" t="n">
        <v>2026</v>
      </c>
      <c r="E1101" s="57" t="n">
        <v>2</v>
      </c>
      <c r="F1101" s="29">
        <f>ROUND(((SUMIFS(Calendar!$F$2:$F$9997,Calendar!$B$2:$B$9997,D1101,Calendar!$C$2:$C$9997,C1101)*INDEX(ForeCalc!$B$37:$Y$274,MATCH(_xlfn.CONCAT(H1101," ",I1101),ForeCalc!$A$37:$A$274,0),MATCH(_xlfn.CONCAT(B1101," ",E1101),ForeCalc!$B$36:$Y$36,0))))*VLOOKUP(A1101,Calendar!$A$2:$H$9997,8,FALSE),0)</f>
        <v/>
      </c>
      <c r="G1101" s="29">
        <f>VLOOKUP(A1101,Calendar!$A$1:$H$9997,6,FALSE)-F1101</f>
        <v/>
      </c>
      <c r="H1101" s="19" t="n">
        <v>1</v>
      </c>
      <c r="I1101" s="57" t="n">
        <v>1</v>
      </c>
    </row>
    <row r="1102">
      <c r="A1102" s="62" t="n">
        <v>46117</v>
      </c>
      <c r="B1102" s="3" t="inlineStr">
        <is>
          <t>Sun</t>
        </is>
      </c>
      <c r="C1102" s="19" t="n">
        <v>4</v>
      </c>
      <c r="D1102" s="19" t="n">
        <v>2026</v>
      </c>
      <c r="E1102" s="57" t="n">
        <v>2</v>
      </c>
      <c r="F1102" s="29">
        <f>ROUND(((SUMIFS(Calendar!$F$2:$F$9997,Calendar!$B$2:$B$9997,D1102,Calendar!$C$2:$C$9997,C1102)*INDEX(ForeCalc!$B$37:$Y$274,MATCH(_xlfn.CONCAT(H1102," ",I1102),ForeCalc!$A$37:$A$274,0),MATCH(_xlfn.CONCAT(B1102," ",E1102),ForeCalc!$B$36:$Y$36,0))))*VLOOKUP(A1102,Calendar!$A$2:$H$9997,8,FALSE),0)</f>
        <v/>
      </c>
      <c r="G1102" s="29">
        <f>VLOOKUP(A1102,Calendar!$A$1:$H$9997,6,FALSE)-F1102</f>
        <v/>
      </c>
      <c r="H1102" s="19" t="n">
        <v>1</v>
      </c>
      <c r="I1102" s="57" t="n">
        <v>1</v>
      </c>
    </row>
    <row r="1103">
      <c r="A1103" s="62" t="n">
        <v>46118</v>
      </c>
      <c r="B1103" s="3" t="inlineStr">
        <is>
          <t>Week</t>
        </is>
      </c>
      <c r="C1103" s="19" t="n">
        <v>4</v>
      </c>
      <c r="D1103" s="19" t="n">
        <v>2026</v>
      </c>
      <c r="E1103" s="57" t="n">
        <v>2</v>
      </c>
      <c r="F1103" s="29">
        <f>ROUND(((SUMIFS(Calendar!$F$2:$F$9997,Calendar!$B$2:$B$9997,D1103,Calendar!$C$2:$C$9997,C1103)*INDEX(ForeCalc!$B$37:$Y$274,MATCH(_xlfn.CONCAT(H1103," ",I1103),ForeCalc!$A$37:$A$274,0),MATCH(_xlfn.CONCAT(B1103," ",E1103),ForeCalc!$B$36:$Y$36,0))))*VLOOKUP(A1103,Calendar!$A$2:$H$9997,8,FALSE),0)</f>
        <v/>
      </c>
      <c r="G1103" s="29">
        <f>VLOOKUP(A1103,Calendar!$A$1:$H$9997,6,FALSE)-F1103</f>
        <v/>
      </c>
      <c r="H1103" s="19" t="n">
        <v>1</v>
      </c>
      <c r="I1103" s="57" t="n">
        <v>1</v>
      </c>
    </row>
    <row r="1104">
      <c r="A1104" s="62" t="n">
        <v>46119</v>
      </c>
      <c r="B1104" s="3" t="inlineStr">
        <is>
          <t>Week</t>
        </is>
      </c>
      <c r="C1104" s="19" t="n">
        <v>4</v>
      </c>
      <c r="D1104" s="19" t="n">
        <v>2026</v>
      </c>
      <c r="E1104" s="57" t="n">
        <v>2</v>
      </c>
      <c r="F1104" s="29">
        <f>ROUND(((SUMIFS(Calendar!$F$2:$F$9997,Calendar!$B$2:$B$9997,D1104,Calendar!$C$2:$C$9997,C1104)*INDEX(ForeCalc!$B$37:$Y$274,MATCH(_xlfn.CONCAT(H1104," ",I1104),ForeCalc!$A$37:$A$274,0),MATCH(_xlfn.CONCAT(B1104," ",E1104),ForeCalc!$B$36:$Y$36,0))))*VLOOKUP(A1104,Calendar!$A$2:$H$9997,8,FALSE),0)</f>
        <v/>
      </c>
      <c r="G1104" s="29">
        <f>VLOOKUP(A1104,Calendar!$A$1:$H$9997,6,FALSE)-F1104</f>
        <v/>
      </c>
      <c r="H1104" s="19" t="n">
        <v>1</v>
      </c>
      <c r="I1104" s="57" t="n">
        <v>1</v>
      </c>
    </row>
    <row r="1105">
      <c r="A1105" s="62" t="n">
        <v>46120</v>
      </c>
      <c r="B1105" s="3" t="inlineStr">
        <is>
          <t>Week</t>
        </is>
      </c>
      <c r="C1105" s="19" t="n">
        <v>4</v>
      </c>
      <c r="D1105" s="19" t="n">
        <v>2026</v>
      </c>
      <c r="E1105" s="57" t="n">
        <v>2</v>
      </c>
      <c r="F1105" s="29">
        <f>ROUND(((SUMIFS(Calendar!$F$2:$F$9997,Calendar!$B$2:$B$9997,D1105,Calendar!$C$2:$C$9997,C1105)*INDEX(ForeCalc!$B$37:$Y$274,MATCH(_xlfn.CONCAT(H1105," ",I1105),ForeCalc!$A$37:$A$274,0),MATCH(_xlfn.CONCAT(B1105," ",E1105),ForeCalc!$B$36:$Y$36,0))))*VLOOKUP(A1105,Calendar!$A$2:$H$9997,8,FALSE),0)</f>
        <v/>
      </c>
      <c r="G1105" s="29">
        <f>VLOOKUP(A1105,Calendar!$A$1:$H$9997,6,FALSE)-F1105</f>
        <v/>
      </c>
      <c r="H1105" s="19" t="n">
        <v>1</v>
      </c>
      <c r="I1105" s="57" t="n">
        <v>1</v>
      </c>
    </row>
    <row r="1106">
      <c r="A1106" s="62" t="n">
        <v>46121</v>
      </c>
      <c r="B1106" s="3" t="inlineStr">
        <is>
          <t>Week</t>
        </is>
      </c>
      <c r="C1106" s="19" t="n">
        <v>4</v>
      </c>
      <c r="D1106" s="19" t="n">
        <v>2026</v>
      </c>
      <c r="E1106" s="57" t="n">
        <v>2</v>
      </c>
      <c r="F1106" s="29">
        <f>ROUND(((SUMIFS(Calendar!$F$2:$F$9997,Calendar!$B$2:$B$9997,D1106,Calendar!$C$2:$C$9997,C1106)*INDEX(ForeCalc!$B$37:$Y$274,MATCH(_xlfn.CONCAT(H1106," ",I1106),ForeCalc!$A$37:$A$274,0),MATCH(_xlfn.CONCAT(B1106," ",E1106),ForeCalc!$B$36:$Y$36,0))))*VLOOKUP(A1106,Calendar!$A$2:$H$9997,8,FALSE),0)</f>
        <v/>
      </c>
      <c r="G1106" s="29">
        <f>VLOOKUP(A1106,Calendar!$A$1:$H$9997,6,FALSE)-F1106</f>
        <v/>
      </c>
      <c r="H1106" s="19" t="n">
        <v>1</v>
      </c>
      <c r="I1106" s="57" t="n">
        <v>1</v>
      </c>
    </row>
    <row r="1107">
      <c r="A1107" s="62" t="n">
        <v>46122</v>
      </c>
      <c r="B1107" s="3" t="inlineStr">
        <is>
          <t>Week</t>
        </is>
      </c>
      <c r="C1107" s="19" t="n">
        <v>4</v>
      </c>
      <c r="D1107" s="19" t="n">
        <v>2026</v>
      </c>
      <c r="E1107" s="57" t="n">
        <v>2</v>
      </c>
      <c r="F1107" s="29">
        <f>ROUND(((SUMIFS(Calendar!$F$2:$F$9997,Calendar!$B$2:$B$9997,D1107,Calendar!$C$2:$C$9997,C1107)*INDEX(ForeCalc!$B$37:$Y$274,MATCH(_xlfn.CONCAT(H1107," ",I1107),ForeCalc!$A$37:$A$274,0),MATCH(_xlfn.CONCAT(B1107," ",E1107),ForeCalc!$B$36:$Y$36,0))))*VLOOKUP(A1107,Calendar!$A$2:$H$9997,8,FALSE),0)</f>
        <v/>
      </c>
      <c r="G1107" s="29">
        <f>VLOOKUP(A1107,Calendar!$A$1:$H$9997,6,FALSE)-F1107</f>
        <v/>
      </c>
      <c r="H1107" s="19" t="n">
        <v>1</v>
      </c>
      <c r="I1107" s="57" t="n">
        <v>1</v>
      </c>
    </row>
    <row r="1108">
      <c r="A1108" s="62" t="n">
        <v>46123</v>
      </c>
      <c r="B1108" s="3" t="inlineStr">
        <is>
          <t>Sat</t>
        </is>
      </c>
      <c r="C1108" s="19" t="n">
        <v>4</v>
      </c>
      <c r="D1108" s="19" t="n">
        <v>2026</v>
      </c>
      <c r="E1108" s="57" t="n">
        <v>2</v>
      </c>
      <c r="F1108" s="29">
        <f>ROUND(((SUMIFS(Calendar!$F$2:$F$9997,Calendar!$B$2:$B$9997,D1108,Calendar!$C$2:$C$9997,C1108)*INDEX(ForeCalc!$B$37:$Y$274,MATCH(_xlfn.CONCAT(H1108," ",I1108),ForeCalc!$A$37:$A$274,0),MATCH(_xlfn.CONCAT(B1108," ",E1108),ForeCalc!$B$36:$Y$36,0))))*VLOOKUP(A1108,Calendar!$A$2:$H$9997,8,FALSE),0)</f>
        <v/>
      </c>
      <c r="G1108" s="29">
        <f>VLOOKUP(A1108,Calendar!$A$1:$H$9997,6,FALSE)-F1108</f>
        <v/>
      </c>
      <c r="H1108" s="19" t="n">
        <v>1</v>
      </c>
      <c r="I1108" s="57" t="n">
        <v>1</v>
      </c>
    </row>
    <row r="1109">
      <c r="A1109" s="62" t="n">
        <v>46124</v>
      </c>
      <c r="B1109" s="3" t="inlineStr">
        <is>
          <t>Sun</t>
        </is>
      </c>
      <c r="C1109" s="19" t="n">
        <v>4</v>
      </c>
      <c r="D1109" s="19" t="n">
        <v>2026</v>
      </c>
      <c r="E1109" s="57" t="n">
        <v>2</v>
      </c>
      <c r="F1109" s="29">
        <f>ROUND(((SUMIFS(Calendar!$F$2:$F$9997,Calendar!$B$2:$B$9997,D1109,Calendar!$C$2:$C$9997,C1109)*INDEX(ForeCalc!$B$37:$Y$274,MATCH(_xlfn.CONCAT(H1109," ",I1109),ForeCalc!$A$37:$A$274,0),MATCH(_xlfn.CONCAT(B1109," ",E1109),ForeCalc!$B$36:$Y$36,0))))*VLOOKUP(A1109,Calendar!$A$2:$H$9997,8,FALSE),0)</f>
        <v/>
      </c>
      <c r="G1109" s="29">
        <f>VLOOKUP(A1109,Calendar!$A$1:$H$9997,6,FALSE)-F1109</f>
        <v/>
      </c>
      <c r="H1109" s="19" t="n">
        <v>1</v>
      </c>
      <c r="I1109" s="57" t="n">
        <v>1</v>
      </c>
    </row>
    <row r="1110">
      <c r="A1110" s="62" t="n">
        <v>46125</v>
      </c>
      <c r="B1110" s="3" t="inlineStr">
        <is>
          <t>Week</t>
        </is>
      </c>
      <c r="C1110" s="19" t="n">
        <v>4</v>
      </c>
      <c r="D1110" s="19" t="n">
        <v>2026</v>
      </c>
      <c r="E1110" s="57" t="n">
        <v>2</v>
      </c>
      <c r="F1110" s="29">
        <f>ROUND(((SUMIFS(Calendar!$F$2:$F$9997,Calendar!$B$2:$B$9997,D1110,Calendar!$C$2:$C$9997,C1110)*INDEX(ForeCalc!$B$37:$Y$274,MATCH(_xlfn.CONCAT(H1110," ",I1110),ForeCalc!$A$37:$A$274,0),MATCH(_xlfn.CONCAT(B1110," ",E1110),ForeCalc!$B$36:$Y$36,0))))*VLOOKUP(A1110,Calendar!$A$2:$H$9997,8,FALSE),0)</f>
        <v/>
      </c>
      <c r="G1110" s="29">
        <f>VLOOKUP(A1110,Calendar!$A$1:$H$9997,6,FALSE)-F1110</f>
        <v/>
      </c>
      <c r="H1110" s="19" t="n">
        <v>1</v>
      </c>
      <c r="I1110" s="57" t="n">
        <v>1</v>
      </c>
    </row>
    <row r="1111">
      <c r="A1111" s="62" t="n">
        <v>46126</v>
      </c>
      <c r="B1111" s="3" t="inlineStr">
        <is>
          <t>Week</t>
        </is>
      </c>
      <c r="C1111" s="19" t="n">
        <v>4</v>
      </c>
      <c r="D1111" s="19" t="n">
        <v>2026</v>
      </c>
      <c r="E1111" s="57" t="n">
        <v>2</v>
      </c>
      <c r="F1111" s="29">
        <f>ROUND(((SUMIFS(Calendar!$F$2:$F$9997,Calendar!$B$2:$B$9997,D1111,Calendar!$C$2:$C$9997,C1111)*INDEX(ForeCalc!$B$37:$Y$274,MATCH(_xlfn.CONCAT(H1111," ",I1111),ForeCalc!$A$37:$A$274,0),MATCH(_xlfn.CONCAT(B1111," ",E1111),ForeCalc!$B$36:$Y$36,0))))*VLOOKUP(A1111,Calendar!$A$2:$H$9997,8,FALSE),0)</f>
        <v/>
      </c>
      <c r="G1111" s="29">
        <f>VLOOKUP(A1111,Calendar!$A$1:$H$9997,6,FALSE)-F1111</f>
        <v/>
      </c>
      <c r="H1111" s="19" t="n">
        <v>1</v>
      </c>
      <c r="I1111" s="57" t="n">
        <v>1</v>
      </c>
    </row>
    <row r="1112">
      <c r="A1112" s="62" t="n">
        <v>46127</v>
      </c>
      <c r="B1112" s="3" t="inlineStr">
        <is>
          <t>Week</t>
        </is>
      </c>
      <c r="C1112" s="19" t="n">
        <v>4</v>
      </c>
      <c r="D1112" s="19" t="n">
        <v>2026</v>
      </c>
      <c r="E1112" s="57" t="n">
        <v>2</v>
      </c>
      <c r="F1112" s="29">
        <f>ROUND(((SUMIFS(Calendar!$F$2:$F$9997,Calendar!$B$2:$B$9997,D1112,Calendar!$C$2:$C$9997,C1112)*INDEX(ForeCalc!$B$37:$Y$274,MATCH(_xlfn.CONCAT(H1112," ",I1112),ForeCalc!$A$37:$A$274,0),MATCH(_xlfn.CONCAT(B1112," ",E1112),ForeCalc!$B$36:$Y$36,0))))*VLOOKUP(A1112,Calendar!$A$2:$H$9997,8,FALSE),0)</f>
        <v/>
      </c>
      <c r="G1112" s="29">
        <f>VLOOKUP(A1112,Calendar!$A$1:$H$9997,6,FALSE)-F1112</f>
        <v/>
      </c>
      <c r="H1112" s="19" t="n">
        <v>1</v>
      </c>
      <c r="I1112" s="57" t="n">
        <v>1</v>
      </c>
    </row>
    <row r="1113">
      <c r="A1113" s="62" t="n">
        <v>46128</v>
      </c>
      <c r="B1113" s="3" t="inlineStr">
        <is>
          <t>Week</t>
        </is>
      </c>
      <c r="C1113" s="19" t="n">
        <v>4</v>
      </c>
      <c r="D1113" s="19" t="n">
        <v>2026</v>
      </c>
      <c r="E1113" s="57" t="n">
        <v>2</v>
      </c>
      <c r="F1113" s="29">
        <f>ROUND(((SUMIFS(Calendar!$F$2:$F$9997,Calendar!$B$2:$B$9997,D1113,Calendar!$C$2:$C$9997,C1113)*INDEX(ForeCalc!$B$37:$Y$274,MATCH(_xlfn.CONCAT(H1113," ",I1113),ForeCalc!$A$37:$A$274,0),MATCH(_xlfn.CONCAT(B1113," ",E1113),ForeCalc!$B$36:$Y$36,0))))*VLOOKUP(A1113,Calendar!$A$2:$H$9997,8,FALSE),0)</f>
        <v/>
      </c>
      <c r="G1113" s="29">
        <f>VLOOKUP(A1113,Calendar!$A$1:$H$9997,6,FALSE)-F1113</f>
        <v/>
      </c>
      <c r="H1113" s="19" t="n">
        <v>1</v>
      </c>
      <c r="I1113" s="57" t="n">
        <v>1</v>
      </c>
    </row>
    <row r="1114">
      <c r="A1114" s="62" t="n">
        <v>46129</v>
      </c>
      <c r="B1114" s="3" t="inlineStr">
        <is>
          <t>Week</t>
        </is>
      </c>
      <c r="C1114" s="19" t="n">
        <v>4</v>
      </c>
      <c r="D1114" s="19" t="n">
        <v>2026</v>
      </c>
      <c r="E1114" s="57" t="n">
        <v>2</v>
      </c>
      <c r="F1114" s="29">
        <f>ROUND(((SUMIFS(Calendar!$F$2:$F$9997,Calendar!$B$2:$B$9997,D1114,Calendar!$C$2:$C$9997,C1114)*INDEX(ForeCalc!$B$37:$Y$274,MATCH(_xlfn.CONCAT(H1114," ",I1114),ForeCalc!$A$37:$A$274,0),MATCH(_xlfn.CONCAT(B1114," ",E1114),ForeCalc!$B$36:$Y$36,0))))*VLOOKUP(A1114,Calendar!$A$2:$H$9997,8,FALSE),0)</f>
        <v/>
      </c>
      <c r="G1114" s="29">
        <f>VLOOKUP(A1114,Calendar!$A$1:$H$9997,6,FALSE)-F1114</f>
        <v/>
      </c>
      <c r="H1114" s="19" t="n">
        <v>1</v>
      </c>
      <c r="I1114" s="57" t="n">
        <v>1</v>
      </c>
    </row>
    <row r="1115">
      <c r="A1115" s="62" t="n">
        <v>46130</v>
      </c>
      <c r="B1115" s="3" t="inlineStr">
        <is>
          <t>Sat</t>
        </is>
      </c>
      <c r="C1115" s="19" t="n">
        <v>4</v>
      </c>
      <c r="D1115" s="19" t="n">
        <v>2026</v>
      </c>
      <c r="E1115" s="57" t="n">
        <v>2</v>
      </c>
      <c r="F1115" s="29">
        <f>ROUND(((SUMIFS(Calendar!$F$2:$F$9997,Calendar!$B$2:$B$9997,D1115,Calendar!$C$2:$C$9997,C1115)*INDEX(ForeCalc!$B$37:$Y$274,MATCH(_xlfn.CONCAT(H1115," ",I1115),ForeCalc!$A$37:$A$274,0),MATCH(_xlfn.CONCAT(B1115," ",E1115),ForeCalc!$B$36:$Y$36,0))))*VLOOKUP(A1115,Calendar!$A$2:$H$9997,8,FALSE),0)</f>
        <v/>
      </c>
      <c r="G1115" s="29">
        <f>VLOOKUP(A1115,Calendar!$A$1:$H$9997,6,FALSE)-F1115</f>
        <v/>
      </c>
      <c r="H1115" s="19" t="n">
        <v>1</v>
      </c>
      <c r="I1115" s="57" t="n">
        <v>1</v>
      </c>
    </row>
    <row r="1116">
      <c r="A1116" s="62" t="n">
        <v>46131</v>
      </c>
      <c r="B1116" s="3" t="inlineStr">
        <is>
          <t>Sun</t>
        </is>
      </c>
      <c r="C1116" s="19" t="n">
        <v>4</v>
      </c>
      <c r="D1116" s="19" t="n">
        <v>2026</v>
      </c>
      <c r="E1116" s="57" t="n">
        <v>2</v>
      </c>
      <c r="F1116" s="29">
        <f>ROUND(((SUMIFS(Calendar!$F$2:$F$9997,Calendar!$B$2:$B$9997,D1116,Calendar!$C$2:$C$9997,C1116)*INDEX(ForeCalc!$B$37:$Y$274,MATCH(_xlfn.CONCAT(H1116," ",I1116),ForeCalc!$A$37:$A$274,0),MATCH(_xlfn.CONCAT(B1116," ",E1116),ForeCalc!$B$36:$Y$36,0))))*VLOOKUP(A1116,Calendar!$A$2:$H$9997,8,FALSE),0)</f>
        <v/>
      </c>
      <c r="G1116" s="29">
        <f>VLOOKUP(A1116,Calendar!$A$1:$H$9997,6,FALSE)-F1116</f>
        <v/>
      </c>
      <c r="H1116" s="19" t="n">
        <v>1</v>
      </c>
      <c r="I1116" s="57" t="n">
        <v>1</v>
      </c>
    </row>
    <row r="1117">
      <c r="A1117" s="62" t="n">
        <v>46132</v>
      </c>
      <c r="B1117" s="3" t="inlineStr">
        <is>
          <t>Week</t>
        </is>
      </c>
      <c r="C1117" s="19" t="n">
        <v>4</v>
      </c>
      <c r="D1117" s="19" t="n">
        <v>2026</v>
      </c>
      <c r="E1117" s="57" t="n">
        <v>2</v>
      </c>
      <c r="F1117" s="29">
        <f>ROUND(((SUMIFS(Calendar!$F$2:$F$9997,Calendar!$B$2:$B$9997,D1117,Calendar!$C$2:$C$9997,C1117)*INDEX(ForeCalc!$B$37:$Y$274,MATCH(_xlfn.CONCAT(H1117," ",I1117),ForeCalc!$A$37:$A$274,0),MATCH(_xlfn.CONCAT(B1117," ",E1117),ForeCalc!$B$36:$Y$36,0))))*VLOOKUP(A1117,Calendar!$A$2:$H$9997,8,FALSE),0)</f>
        <v/>
      </c>
      <c r="G1117" s="29">
        <f>VLOOKUP(A1117,Calendar!$A$1:$H$9997,6,FALSE)-F1117</f>
        <v/>
      </c>
      <c r="H1117" s="19" t="n">
        <v>1</v>
      </c>
      <c r="I1117" s="57" t="n">
        <v>1</v>
      </c>
    </row>
    <row r="1118">
      <c r="A1118" s="62" t="n">
        <v>46133</v>
      </c>
      <c r="B1118" s="3" t="inlineStr">
        <is>
          <t>Week</t>
        </is>
      </c>
      <c r="C1118" s="19" t="n">
        <v>4</v>
      </c>
      <c r="D1118" s="19" t="n">
        <v>2026</v>
      </c>
      <c r="E1118" s="57" t="n">
        <v>2</v>
      </c>
      <c r="F1118" s="29">
        <f>ROUND(((SUMIFS(Calendar!$F$2:$F$9997,Calendar!$B$2:$B$9997,D1118,Calendar!$C$2:$C$9997,C1118)*INDEX(ForeCalc!$B$37:$Y$274,MATCH(_xlfn.CONCAT(H1118," ",I1118),ForeCalc!$A$37:$A$274,0),MATCH(_xlfn.CONCAT(B1118," ",E1118),ForeCalc!$B$36:$Y$36,0))))*VLOOKUP(A1118,Calendar!$A$2:$H$9997,8,FALSE),0)</f>
        <v/>
      </c>
      <c r="G1118" s="29">
        <f>VLOOKUP(A1118,Calendar!$A$1:$H$9997,6,FALSE)-F1118</f>
        <v/>
      </c>
      <c r="H1118" s="19" t="n">
        <v>1</v>
      </c>
      <c r="I1118" s="57" t="n">
        <v>1</v>
      </c>
    </row>
    <row r="1119">
      <c r="A1119" s="62" t="n">
        <v>46134</v>
      </c>
      <c r="B1119" s="3" t="inlineStr">
        <is>
          <t>Week</t>
        </is>
      </c>
      <c r="C1119" s="19" t="n">
        <v>4</v>
      </c>
      <c r="D1119" s="19" t="n">
        <v>2026</v>
      </c>
      <c r="E1119" s="57" t="n">
        <v>2</v>
      </c>
      <c r="F1119" s="29">
        <f>ROUND(((SUMIFS(Calendar!$F$2:$F$9997,Calendar!$B$2:$B$9997,D1119,Calendar!$C$2:$C$9997,C1119)*INDEX(ForeCalc!$B$37:$Y$274,MATCH(_xlfn.CONCAT(H1119," ",I1119),ForeCalc!$A$37:$A$274,0),MATCH(_xlfn.CONCAT(B1119," ",E1119),ForeCalc!$B$36:$Y$36,0))))*VLOOKUP(A1119,Calendar!$A$2:$H$9997,8,FALSE),0)</f>
        <v/>
      </c>
      <c r="G1119" s="29">
        <f>VLOOKUP(A1119,Calendar!$A$1:$H$9997,6,FALSE)-F1119</f>
        <v/>
      </c>
      <c r="H1119" s="19" t="n">
        <v>1</v>
      </c>
      <c r="I1119" s="57" t="n">
        <v>1</v>
      </c>
    </row>
    <row r="1120">
      <c r="A1120" s="62" t="n">
        <v>46135</v>
      </c>
      <c r="B1120" s="3" t="inlineStr">
        <is>
          <t>Week</t>
        </is>
      </c>
      <c r="C1120" s="19" t="n">
        <v>4</v>
      </c>
      <c r="D1120" s="19" t="n">
        <v>2026</v>
      </c>
      <c r="E1120" s="57" t="n">
        <v>2</v>
      </c>
      <c r="F1120" s="29">
        <f>ROUND(((SUMIFS(Calendar!$F$2:$F$9997,Calendar!$B$2:$B$9997,D1120,Calendar!$C$2:$C$9997,C1120)*INDEX(ForeCalc!$B$37:$Y$274,MATCH(_xlfn.CONCAT(H1120," ",I1120),ForeCalc!$A$37:$A$274,0),MATCH(_xlfn.CONCAT(B1120," ",E1120),ForeCalc!$B$36:$Y$36,0))))*VLOOKUP(A1120,Calendar!$A$2:$H$9997,8,FALSE),0)</f>
        <v/>
      </c>
      <c r="G1120" s="29">
        <f>VLOOKUP(A1120,Calendar!$A$1:$H$9997,6,FALSE)-F1120</f>
        <v/>
      </c>
      <c r="H1120" s="19" t="n">
        <v>1</v>
      </c>
      <c r="I1120" s="57" t="n">
        <v>1</v>
      </c>
    </row>
    <row r="1121">
      <c r="A1121" s="62" t="n">
        <v>46136</v>
      </c>
      <c r="B1121" s="3" t="inlineStr">
        <is>
          <t>Week</t>
        </is>
      </c>
      <c r="C1121" s="19" t="n">
        <v>4</v>
      </c>
      <c r="D1121" s="19" t="n">
        <v>2026</v>
      </c>
      <c r="E1121" s="57" t="n">
        <v>2</v>
      </c>
      <c r="F1121" s="29">
        <f>ROUND(((SUMIFS(Calendar!$F$2:$F$9997,Calendar!$B$2:$B$9997,D1121,Calendar!$C$2:$C$9997,C1121)*INDEX(ForeCalc!$B$37:$Y$274,MATCH(_xlfn.CONCAT(H1121," ",I1121),ForeCalc!$A$37:$A$274,0),MATCH(_xlfn.CONCAT(B1121," ",E1121),ForeCalc!$B$36:$Y$36,0))))*VLOOKUP(A1121,Calendar!$A$2:$H$9997,8,FALSE),0)</f>
        <v/>
      </c>
      <c r="G1121" s="29">
        <f>VLOOKUP(A1121,Calendar!$A$1:$H$9997,6,FALSE)-F1121</f>
        <v/>
      </c>
      <c r="H1121" s="19" t="n">
        <v>1</v>
      </c>
      <c r="I1121" s="57" t="n">
        <v>1</v>
      </c>
    </row>
    <row r="1122">
      <c r="A1122" s="62" t="n">
        <v>46137</v>
      </c>
      <c r="B1122" s="3" t="inlineStr">
        <is>
          <t>Sat</t>
        </is>
      </c>
      <c r="C1122" s="19" t="n">
        <v>4</v>
      </c>
      <c r="D1122" s="19" t="n">
        <v>2026</v>
      </c>
      <c r="E1122" s="57" t="n">
        <v>2</v>
      </c>
      <c r="F1122" s="29">
        <f>ROUND(((SUMIFS(Calendar!$F$2:$F$9997,Calendar!$B$2:$B$9997,D1122,Calendar!$C$2:$C$9997,C1122)*INDEX(ForeCalc!$B$37:$Y$274,MATCH(_xlfn.CONCAT(H1122," ",I1122),ForeCalc!$A$37:$A$274,0),MATCH(_xlfn.CONCAT(B1122," ",E1122),ForeCalc!$B$36:$Y$36,0))))*VLOOKUP(A1122,Calendar!$A$2:$H$9997,8,FALSE),0)</f>
        <v/>
      </c>
      <c r="G1122" s="29">
        <f>VLOOKUP(A1122,Calendar!$A$1:$H$9997,6,FALSE)-F1122</f>
        <v/>
      </c>
      <c r="H1122" s="19" t="n">
        <v>1</v>
      </c>
      <c r="I1122" s="57" t="n">
        <v>1</v>
      </c>
    </row>
    <row r="1123">
      <c r="A1123" s="62" t="n">
        <v>46138</v>
      </c>
      <c r="B1123" s="3" t="inlineStr">
        <is>
          <t>Sun</t>
        </is>
      </c>
      <c r="C1123" s="19" t="n">
        <v>4</v>
      </c>
      <c r="D1123" s="19" t="n">
        <v>2026</v>
      </c>
      <c r="E1123" s="57" t="n">
        <v>2</v>
      </c>
      <c r="F1123" s="29">
        <f>ROUND(((SUMIFS(Calendar!$F$2:$F$9997,Calendar!$B$2:$B$9997,D1123,Calendar!$C$2:$C$9997,C1123)*INDEX(ForeCalc!$B$37:$Y$274,MATCH(_xlfn.CONCAT(H1123," ",I1123),ForeCalc!$A$37:$A$274,0),MATCH(_xlfn.CONCAT(B1123," ",E1123),ForeCalc!$B$36:$Y$36,0))))*VLOOKUP(A1123,Calendar!$A$2:$H$9997,8,FALSE),0)</f>
        <v/>
      </c>
      <c r="G1123" s="29">
        <f>VLOOKUP(A1123,Calendar!$A$1:$H$9997,6,FALSE)-F1123</f>
        <v/>
      </c>
      <c r="H1123" s="19" t="n">
        <v>1</v>
      </c>
      <c r="I1123" s="57" t="n">
        <v>1</v>
      </c>
    </row>
    <row r="1124">
      <c r="A1124" s="62" t="n">
        <v>46139</v>
      </c>
      <c r="B1124" s="3" t="inlineStr">
        <is>
          <t>Week</t>
        </is>
      </c>
      <c r="C1124" s="19" t="n">
        <v>4</v>
      </c>
      <c r="D1124" s="19" t="n">
        <v>2026</v>
      </c>
      <c r="E1124" s="57" t="n">
        <v>2</v>
      </c>
      <c r="F1124" s="29">
        <f>ROUND(((SUMIFS(Calendar!$F$2:$F$9997,Calendar!$B$2:$B$9997,D1124,Calendar!$C$2:$C$9997,C1124)*INDEX(ForeCalc!$B$37:$Y$274,MATCH(_xlfn.CONCAT(H1124," ",I1124),ForeCalc!$A$37:$A$274,0),MATCH(_xlfn.CONCAT(B1124," ",E1124),ForeCalc!$B$36:$Y$36,0))))*VLOOKUP(A1124,Calendar!$A$2:$H$9997,8,FALSE),0)</f>
        <v/>
      </c>
      <c r="G1124" s="29">
        <f>VLOOKUP(A1124,Calendar!$A$1:$H$9997,6,FALSE)-F1124</f>
        <v/>
      </c>
      <c r="H1124" s="19" t="n">
        <v>1</v>
      </c>
      <c r="I1124" s="57" t="n">
        <v>1</v>
      </c>
    </row>
    <row r="1125">
      <c r="A1125" s="62" t="n">
        <v>46140</v>
      </c>
      <c r="B1125" s="3" t="inlineStr">
        <is>
          <t>Week</t>
        </is>
      </c>
      <c r="C1125" s="19" t="n">
        <v>4</v>
      </c>
      <c r="D1125" s="19" t="n">
        <v>2026</v>
      </c>
      <c r="E1125" s="57" t="n">
        <v>2</v>
      </c>
      <c r="F1125" s="29">
        <f>ROUND(((SUMIFS(Calendar!$F$2:$F$9997,Calendar!$B$2:$B$9997,D1125,Calendar!$C$2:$C$9997,C1125)*INDEX(ForeCalc!$B$37:$Y$274,MATCH(_xlfn.CONCAT(H1125," ",I1125),ForeCalc!$A$37:$A$274,0),MATCH(_xlfn.CONCAT(B1125," ",E1125),ForeCalc!$B$36:$Y$36,0))))*VLOOKUP(A1125,Calendar!$A$2:$H$9997,8,FALSE),0)</f>
        <v/>
      </c>
      <c r="G1125" s="29">
        <f>VLOOKUP(A1125,Calendar!$A$1:$H$9997,6,FALSE)-F1125</f>
        <v/>
      </c>
      <c r="H1125" s="19" t="n">
        <v>1</v>
      </c>
      <c r="I1125" s="57" t="n">
        <v>1</v>
      </c>
    </row>
    <row r="1126">
      <c r="A1126" s="62" t="n">
        <v>46141</v>
      </c>
      <c r="B1126" s="3" t="inlineStr">
        <is>
          <t>Week</t>
        </is>
      </c>
      <c r="C1126" s="19" t="n">
        <v>4</v>
      </c>
      <c r="D1126" s="19" t="n">
        <v>2026</v>
      </c>
      <c r="E1126" s="57" t="n">
        <v>2</v>
      </c>
      <c r="F1126" s="29">
        <f>ROUND(((SUMIFS(Calendar!$F$2:$F$9997,Calendar!$B$2:$B$9997,D1126,Calendar!$C$2:$C$9997,C1126)*INDEX(ForeCalc!$B$37:$Y$274,MATCH(_xlfn.CONCAT(H1126," ",I1126),ForeCalc!$A$37:$A$274,0),MATCH(_xlfn.CONCAT(B1126," ",E1126),ForeCalc!$B$36:$Y$36,0))))*VLOOKUP(A1126,Calendar!$A$2:$H$9997,8,FALSE),0)</f>
        <v/>
      </c>
      <c r="G1126" s="29">
        <f>VLOOKUP(A1126,Calendar!$A$1:$H$9997,6,FALSE)-F1126</f>
        <v/>
      </c>
      <c r="H1126" s="19" t="n">
        <v>1</v>
      </c>
      <c r="I1126" s="57" t="n">
        <v>1</v>
      </c>
    </row>
    <row r="1127">
      <c r="A1127" s="62" t="n">
        <v>46142</v>
      </c>
      <c r="B1127" s="3" t="inlineStr">
        <is>
          <t>Week</t>
        </is>
      </c>
      <c r="C1127" s="19" t="n">
        <v>4</v>
      </c>
      <c r="D1127" s="19" t="n">
        <v>2026</v>
      </c>
      <c r="E1127" s="57" t="n">
        <v>2</v>
      </c>
      <c r="F1127" s="29">
        <f>ROUND(((SUMIFS(Calendar!$F$2:$F$9997,Calendar!$B$2:$B$9997,D1127,Calendar!$C$2:$C$9997,C1127)*INDEX(ForeCalc!$B$37:$Y$274,MATCH(_xlfn.CONCAT(H1127," ",I1127),ForeCalc!$A$37:$A$274,0),MATCH(_xlfn.CONCAT(B1127," ",E1127),ForeCalc!$B$36:$Y$36,0))))*VLOOKUP(A1127,Calendar!$A$2:$H$9997,8,FALSE),0)</f>
        <v/>
      </c>
      <c r="G1127" s="29">
        <f>VLOOKUP(A1127,Calendar!$A$1:$H$9997,6,FALSE)-F1127</f>
        <v/>
      </c>
      <c r="H1127" s="19" t="n">
        <v>1</v>
      </c>
      <c r="I1127" s="57" t="n">
        <v>1</v>
      </c>
    </row>
    <row r="1128">
      <c r="A1128" s="62" t="n">
        <v>46143</v>
      </c>
      <c r="B1128" s="3" t="inlineStr">
        <is>
          <t>Week</t>
        </is>
      </c>
      <c r="C1128" s="19" t="n">
        <v>5</v>
      </c>
      <c r="D1128" s="19" t="n">
        <v>2026</v>
      </c>
      <c r="E1128" s="57" t="n">
        <v>2</v>
      </c>
      <c r="F1128" s="29">
        <f>ROUND(((SUMIFS(Calendar!$F$2:$F$9997,Calendar!$B$2:$B$9997,D1128,Calendar!$C$2:$C$9997,C1128)*INDEX(ForeCalc!$B$37:$Y$274,MATCH(_xlfn.CONCAT(H1128," ",I1128),ForeCalc!$A$37:$A$274,0),MATCH(_xlfn.CONCAT(B1128," ",E1128),ForeCalc!$B$36:$Y$36,0))))*VLOOKUP(A1128,Calendar!$A$2:$H$9997,8,FALSE),0)</f>
        <v/>
      </c>
      <c r="G1128" s="29">
        <f>VLOOKUP(A1128,Calendar!$A$1:$H$9997,6,FALSE)-F1128</f>
        <v/>
      </c>
      <c r="H1128" s="19" t="n">
        <v>1</v>
      </c>
      <c r="I1128" s="57" t="n">
        <v>2</v>
      </c>
    </row>
    <row r="1129">
      <c r="A1129" s="62" t="n">
        <v>46144</v>
      </c>
      <c r="B1129" s="3" t="inlineStr">
        <is>
          <t>Sat</t>
        </is>
      </c>
      <c r="C1129" s="19" t="n">
        <v>5</v>
      </c>
      <c r="D1129" s="19" t="n">
        <v>2026</v>
      </c>
      <c r="E1129" s="57" t="n">
        <v>2</v>
      </c>
      <c r="F1129" s="29">
        <f>ROUND(((SUMIFS(Calendar!$F$2:$F$9997,Calendar!$B$2:$B$9997,D1129,Calendar!$C$2:$C$9997,C1129)*INDEX(ForeCalc!$B$37:$Y$274,MATCH(_xlfn.CONCAT(H1129," ",I1129),ForeCalc!$A$37:$A$274,0),MATCH(_xlfn.CONCAT(B1129," ",E1129),ForeCalc!$B$36:$Y$36,0))))*VLOOKUP(A1129,Calendar!$A$2:$H$9997,8,FALSE),0)</f>
        <v/>
      </c>
      <c r="G1129" s="29">
        <f>VLOOKUP(A1129,Calendar!$A$1:$H$9997,6,FALSE)-F1129</f>
        <v/>
      </c>
      <c r="H1129" s="19" t="n">
        <v>1</v>
      </c>
      <c r="I1129" s="57" t="n">
        <v>2</v>
      </c>
    </row>
    <row r="1130">
      <c r="A1130" s="62" t="n">
        <v>46145</v>
      </c>
      <c r="B1130" s="3" t="inlineStr">
        <is>
          <t>Sun</t>
        </is>
      </c>
      <c r="C1130" s="19" t="n">
        <v>5</v>
      </c>
      <c r="D1130" s="19" t="n">
        <v>2026</v>
      </c>
      <c r="E1130" s="57" t="n">
        <v>2</v>
      </c>
      <c r="F1130" s="29">
        <f>ROUND(((SUMIFS(Calendar!$F$2:$F$9997,Calendar!$B$2:$B$9997,D1130,Calendar!$C$2:$C$9997,C1130)*INDEX(ForeCalc!$B$37:$Y$274,MATCH(_xlfn.CONCAT(H1130," ",I1130),ForeCalc!$A$37:$A$274,0),MATCH(_xlfn.CONCAT(B1130," ",E1130),ForeCalc!$B$36:$Y$36,0))))*VLOOKUP(A1130,Calendar!$A$2:$H$9997,8,FALSE),0)</f>
        <v/>
      </c>
      <c r="G1130" s="29">
        <f>VLOOKUP(A1130,Calendar!$A$1:$H$9997,6,FALSE)-F1130</f>
        <v/>
      </c>
      <c r="H1130" s="19" t="n">
        <v>1</v>
      </c>
      <c r="I1130" s="57" t="n">
        <v>2</v>
      </c>
    </row>
    <row r="1131">
      <c r="A1131" s="62" t="n">
        <v>46146</v>
      </c>
      <c r="B1131" s="3" t="inlineStr">
        <is>
          <t>Week</t>
        </is>
      </c>
      <c r="C1131" s="19" t="n">
        <v>5</v>
      </c>
      <c r="D1131" s="19" t="n">
        <v>2026</v>
      </c>
      <c r="E1131" s="57" t="n">
        <v>2</v>
      </c>
      <c r="F1131" s="29">
        <f>ROUND(((SUMIFS(Calendar!$F$2:$F$9997,Calendar!$B$2:$B$9997,D1131,Calendar!$C$2:$C$9997,C1131)*INDEX(ForeCalc!$B$37:$Y$274,MATCH(_xlfn.CONCAT(H1131," ",I1131),ForeCalc!$A$37:$A$274,0),MATCH(_xlfn.CONCAT(B1131," ",E1131),ForeCalc!$B$36:$Y$36,0))))*VLOOKUP(A1131,Calendar!$A$2:$H$9997,8,FALSE),0)</f>
        <v/>
      </c>
      <c r="G1131" s="29">
        <f>VLOOKUP(A1131,Calendar!$A$1:$H$9997,6,FALSE)-F1131</f>
        <v/>
      </c>
      <c r="H1131" s="19" t="n">
        <v>1</v>
      </c>
      <c r="I1131" s="57" t="n">
        <v>2</v>
      </c>
    </row>
    <row r="1132">
      <c r="A1132" s="62" t="n">
        <v>46147</v>
      </c>
      <c r="B1132" s="3" t="inlineStr">
        <is>
          <t>Week</t>
        </is>
      </c>
      <c r="C1132" s="19" t="n">
        <v>5</v>
      </c>
      <c r="D1132" s="19" t="n">
        <v>2026</v>
      </c>
      <c r="E1132" s="57" t="n">
        <v>2</v>
      </c>
      <c r="F1132" s="29">
        <f>ROUND(((SUMIFS(Calendar!$F$2:$F$9997,Calendar!$B$2:$B$9997,D1132,Calendar!$C$2:$C$9997,C1132)*INDEX(ForeCalc!$B$37:$Y$274,MATCH(_xlfn.CONCAT(H1132," ",I1132),ForeCalc!$A$37:$A$274,0),MATCH(_xlfn.CONCAT(B1132," ",E1132),ForeCalc!$B$36:$Y$36,0))))*VLOOKUP(A1132,Calendar!$A$2:$H$9997,8,FALSE),0)</f>
        <v/>
      </c>
      <c r="G1132" s="29">
        <f>VLOOKUP(A1132,Calendar!$A$1:$H$9997,6,FALSE)-F1132</f>
        <v/>
      </c>
      <c r="H1132" s="19" t="n">
        <v>1</v>
      </c>
      <c r="I1132" s="57" t="n">
        <v>2</v>
      </c>
    </row>
    <row r="1133">
      <c r="A1133" s="62" t="n">
        <v>46148</v>
      </c>
      <c r="B1133" s="3" t="inlineStr">
        <is>
          <t>Week</t>
        </is>
      </c>
      <c r="C1133" s="19" t="n">
        <v>5</v>
      </c>
      <c r="D1133" s="19" t="n">
        <v>2026</v>
      </c>
      <c r="E1133" s="57" t="n">
        <v>2</v>
      </c>
      <c r="F1133" s="29">
        <f>ROUND(((SUMIFS(Calendar!$F$2:$F$9997,Calendar!$B$2:$B$9997,D1133,Calendar!$C$2:$C$9997,C1133)*INDEX(ForeCalc!$B$37:$Y$274,MATCH(_xlfn.CONCAT(H1133," ",I1133),ForeCalc!$A$37:$A$274,0),MATCH(_xlfn.CONCAT(B1133," ",E1133),ForeCalc!$B$36:$Y$36,0))))*VLOOKUP(A1133,Calendar!$A$2:$H$9997,8,FALSE),0)</f>
        <v/>
      </c>
      <c r="G1133" s="29">
        <f>VLOOKUP(A1133,Calendar!$A$1:$H$9997,6,FALSE)-F1133</f>
        <v/>
      </c>
      <c r="H1133" s="19" t="n">
        <v>1</v>
      </c>
      <c r="I1133" s="57" t="n">
        <v>2</v>
      </c>
    </row>
    <row r="1134">
      <c r="A1134" s="62" t="n">
        <v>46149</v>
      </c>
      <c r="B1134" s="3" t="inlineStr">
        <is>
          <t>Week</t>
        </is>
      </c>
      <c r="C1134" s="19" t="n">
        <v>5</v>
      </c>
      <c r="D1134" s="19" t="n">
        <v>2026</v>
      </c>
      <c r="E1134" s="57" t="n">
        <v>2</v>
      </c>
      <c r="F1134" s="29">
        <f>ROUND(((SUMIFS(Calendar!$F$2:$F$9997,Calendar!$B$2:$B$9997,D1134,Calendar!$C$2:$C$9997,C1134)*INDEX(ForeCalc!$B$37:$Y$274,MATCH(_xlfn.CONCAT(H1134," ",I1134),ForeCalc!$A$37:$A$274,0),MATCH(_xlfn.CONCAT(B1134," ",E1134),ForeCalc!$B$36:$Y$36,0))))*VLOOKUP(A1134,Calendar!$A$2:$H$9997,8,FALSE),0)</f>
        <v/>
      </c>
      <c r="G1134" s="29">
        <f>VLOOKUP(A1134,Calendar!$A$1:$H$9997,6,FALSE)-F1134</f>
        <v/>
      </c>
      <c r="H1134" s="19" t="n">
        <v>1</v>
      </c>
      <c r="I1134" s="57" t="n">
        <v>2</v>
      </c>
    </row>
    <row r="1135">
      <c r="A1135" s="62" t="n">
        <v>46150</v>
      </c>
      <c r="B1135" s="3" t="inlineStr">
        <is>
          <t>Week</t>
        </is>
      </c>
      <c r="C1135" s="19" t="n">
        <v>5</v>
      </c>
      <c r="D1135" s="19" t="n">
        <v>2026</v>
      </c>
      <c r="E1135" s="57" t="n">
        <v>2</v>
      </c>
      <c r="F1135" s="29">
        <f>ROUND(((SUMIFS(Calendar!$F$2:$F$9997,Calendar!$B$2:$B$9997,D1135,Calendar!$C$2:$C$9997,C1135)*INDEX(ForeCalc!$B$37:$Y$274,MATCH(_xlfn.CONCAT(H1135," ",I1135),ForeCalc!$A$37:$A$274,0),MATCH(_xlfn.CONCAT(B1135," ",E1135),ForeCalc!$B$36:$Y$36,0))))*VLOOKUP(A1135,Calendar!$A$2:$H$9997,8,FALSE),0)</f>
        <v/>
      </c>
      <c r="G1135" s="29">
        <f>VLOOKUP(A1135,Calendar!$A$1:$H$9997,6,FALSE)-F1135</f>
        <v/>
      </c>
      <c r="H1135" s="19" t="n">
        <v>1</v>
      </c>
      <c r="I1135" s="57" t="n">
        <v>2</v>
      </c>
    </row>
    <row r="1136">
      <c r="A1136" s="62" t="n">
        <v>46151</v>
      </c>
      <c r="B1136" s="3" t="inlineStr">
        <is>
          <t>Sat</t>
        </is>
      </c>
      <c r="C1136" s="19" t="n">
        <v>5</v>
      </c>
      <c r="D1136" s="19" t="n">
        <v>2026</v>
      </c>
      <c r="E1136" s="57" t="n">
        <v>2</v>
      </c>
      <c r="F1136" s="29">
        <f>ROUND(((SUMIFS(Calendar!$F$2:$F$9997,Calendar!$B$2:$B$9997,D1136,Calendar!$C$2:$C$9997,C1136)*INDEX(ForeCalc!$B$37:$Y$274,MATCH(_xlfn.CONCAT(H1136," ",I1136),ForeCalc!$A$37:$A$274,0),MATCH(_xlfn.CONCAT(B1136," ",E1136),ForeCalc!$B$36:$Y$36,0))))*VLOOKUP(A1136,Calendar!$A$2:$H$9997,8,FALSE),0)</f>
        <v/>
      </c>
      <c r="G1136" s="29">
        <f>VLOOKUP(A1136,Calendar!$A$1:$H$9997,6,FALSE)-F1136</f>
        <v/>
      </c>
      <c r="H1136" s="19" t="n">
        <v>1</v>
      </c>
      <c r="I1136" s="57" t="n">
        <v>2</v>
      </c>
    </row>
    <row r="1137">
      <c r="A1137" s="62" t="n">
        <v>46152</v>
      </c>
      <c r="B1137" s="3" t="inlineStr">
        <is>
          <t>Sun</t>
        </is>
      </c>
      <c r="C1137" s="19" t="n">
        <v>5</v>
      </c>
      <c r="D1137" s="19" t="n">
        <v>2026</v>
      </c>
      <c r="E1137" s="57" t="n">
        <v>2</v>
      </c>
      <c r="F1137" s="29">
        <f>ROUND(((SUMIFS(Calendar!$F$2:$F$9997,Calendar!$B$2:$B$9997,D1137,Calendar!$C$2:$C$9997,C1137)*INDEX(ForeCalc!$B$37:$Y$274,MATCH(_xlfn.CONCAT(H1137," ",I1137),ForeCalc!$A$37:$A$274,0),MATCH(_xlfn.CONCAT(B1137," ",E1137),ForeCalc!$B$36:$Y$36,0))))*VLOOKUP(A1137,Calendar!$A$2:$H$9997,8,FALSE),0)</f>
        <v/>
      </c>
      <c r="G1137" s="29">
        <f>VLOOKUP(A1137,Calendar!$A$1:$H$9997,6,FALSE)-F1137</f>
        <v/>
      </c>
      <c r="H1137" s="19" t="n">
        <v>1</v>
      </c>
      <c r="I1137" s="57" t="n">
        <v>2</v>
      </c>
    </row>
    <row r="1138">
      <c r="A1138" s="62" t="n">
        <v>46153</v>
      </c>
      <c r="B1138" s="3" t="inlineStr">
        <is>
          <t>Week</t>
        </is>
      </c>
      <c r="C1138" s="19" t="n">
        <v>5</v>
      </c>
      <c r="D1138" s="19" t="n">
        <v>2026</v>
      </c>
      <c r="E1138" s="57" t="n">
        <v>2</v>
      </c>
      <c r="F1138" s="29">
        <f>ROUND(((SUMIFS(Calendar!$F$2:$F$9997,Calendar!$B$2:$B$9997,D1138,Calendar!$C$2:$C$9997,C1138)*INDEX(ForeCalc!$B$37:$Y$274,MATCH(_xlfn.CONCAT(H1138," ",I1138),ForeCalc!$A$37:$A$274,0),MATCH(_xlfn.CONCAT(B1138," ",E1138),ForeCalc!$B$36:$Y$36,0))))*VLOOKUP(A1138,Calendar!$A$2:$H$9997,8,FALSE),0)</f>
        <v/>
      </c>
      <c r="G1138" s="29">
        <f>VLOOKUP(A1138,Calendar!$A$1:$H$9997,6,FALSE)-F1138</f>
        <v/>
      </c>
      <c r="H1138" s="19" t="n">
        <v>1</v>
      </c>
      <c r="I1138" s="57" t="n">
        <v>2</v>
      </c>
    </row>
    <row r="1139">
      <c r="A1139" s="62" t="n">
        <v>46154</v>
      </c>
      <c r="B1139" s="3" t="inlineStr">
        <is>
          <t>Week</t>
        </is>
      </c>
      <c r="C1139" s="19" t="n">
        <v>5</v>
      </c>
      <c r="D1139" s="19" t="n">
        <v>2026</v>
      </c>
      <c r="E1139" s="57" t="n">
        <v>2</v>
      </c>
      <c r="F1139" s="29">
        <f>ROUND(((SUMIFS(Calendar!$F$2:$F$9997,Calendar!$B$2:$B$9997,D1139,Calendar!$C$2:$C$9997,C1139)*INDEX(ForeCalc!$B$37:$Y$274,MATCH(_xlfn.CONCAT(H1139," ",I1139),ForeCalc!$A$37:$A$274,0),MATCH(_xlfn.CONCAT(B1139," ",E1139),ForeCalc!$B$36:$Y$36,0))))*VLOOKUP(A1139,Calendar!$A$2:$H$9997,8,FALSE),0)</f>
        <v/>
      </c>
      <c r="G1139" s="29">
        <f>VLOOKUP(A1139,Calendar!$A$1:$H$9997,6,FALSE)-F1139</f>
        <v/>
      </c>
      <c r="H1139" s="19" t="n">
        <v>1</v>
      </c>
      <c r="I1139" s="57" t="n">
        <v>2</v>
      </c>
    </row>
    <row r="1140">
      <c r="A1140" s="62" t="n">
        <v>46155</v>
      </c>
      <c r="B1140" s="3" t="inlineStr">
        <is>
          <t>Week</t>
        </is>
      </c>
      <c r="C1140" s="19" t="n">
        <v>5</v>
      </c>
      <c r="D1140" s="19" t="n">
        <v>2026</v>
      </c>
      <c r="E1140" s="57" t="n">
        <v>2</v>
      </c>
      <c r="F1140" s="29">
        <f>ROUND(((SUMIFS(Calendar!$F$2:$F$9997,Calendar!$B$2:$B$9997,D1140,Calendar!$C$2:$C$9997,C1140)*INDEX(ForeCalc!$B$37:$Y$274,MATCH(_xlfn.CONCAT(H1140," ",I1140),ForeCalc!$A$37:$A$274,0),MATCH(_xlfn.CONCAT(B1140," ",E1140),ForeCalc!$B$36:$Y$36,0))))*VLOOKUP(A1140,Calendar!$A$2:$H$9997,8,FALSE),0)</f>
        <v/>
      </c>
      <c r="G1140" s="29">
        <f>VLOOKUP(A1140,Calendar!$A$1:$H$9997,6,FALSE)-F1140</f>
        <v/>
      </c>
      <c r="H1140" s="19" t="n">
        <v>1</v>
      </c>
      <c r="I1140" s="57" t="n">
        <v>2</v>
      </c>
    </row>
    <row r="1141">
      <c r="A1141" s="62" t="n">
        <v>46156</v>
      </c>
      <c r="B1141" s="3" t="inlineStr">
        <is>
          <t>Week</t>
        </is>
      </c>
      <c r="C1141" s="19" t="n">
        <v>5</v>
      </c>
      <c r="D1141" s="19" t="n">
        <v>2026</v>
      </c>
      <c r="E1141" s="57" t="n">
        <v>2</v>
      </c>
      <c r="F1141" s="29">
        <f>ROUND(((SUMIFS(Calendar!$F$2:$F$9997,Calendar!$B$2:$B$9997,D1141,Calendar!$C$2:$C$9997,C1141)*INDEX(ForeCalc!$B$37:$Y$274,MATCH(_xlfn.CONCAT(H1141," ",I1141),ForeCalc!$A$37:$A$274,0),MATCH(_xlfn.CONCAT(B1141," ",E1141),ForeCalc!$B$36:$Y$36,0))))*VLOOKUP(A1141,Calendar!$A$2:$H$9997,8,FALSE),0)</f>
        <v/>
      </c>
      <c r="G1141" s="29">
        <f>VLOOKUP(A1141,Calendar!$A$1:$H$9997,6,FALSE)-F1141</f>
        <v/>
      </c>
      <c r="H1141" s="19" t="n">
        <v>1</v>
      </c>
      <c r="I1141" s="57" t="n">
        <v>2</v>
      </c>
    </row>
    <row r="1142">
      <c r="A1142" s="62" t="n">
        <v>46157</v>
      </c>
      <c r="B1142" s="3" t="inlineStr">
        <is>
          <t>Week</t>
        </is>
      </c>
      <c r="C1142" s="19" t="n">
        <v>5</v>
      </c>
      <c r="D1142" s="19" t="n">
        <v>2026</v>
      </c>
      <c r="E1142" s="57" t="n">
        <v>2</v>
      </c>
      <c r="F1142" s="29">
        <f>ROUND(((SUMIFS(Calendar!$F$2:$F$9997,Calendar!$B$2:$B$9997,D1142,Calendar!$C$2:$C$9997,C1142)*INDEX(ForeCalc!$B$37:$Y$274,MATCH(_xlfn.CONCAT(H1142," ",I1142),ForeCalc!$A$37:$A$274,0),MATCH(_xlfn.CONCAT(B1142," ",E1142),ForeCalc!$B$36:$Y$36,0))))*VLOOKUP(A1142,Calendar!$A$2:$H$9997,8,FALSE),0)</f>
        <v/>
      </c>
      <c r="G1142" s="29">
        <f>VLOOKUP(A1142,Calendar!$A$1:$H$9997,6,FALSE)-F1142</f>
        <v/>
      </c>
      <c r="H1142" s="19" t="n">
        <v>1</v>
      </c>
      <c r="I1142" s="57" t="n">
        <v>2</v>
      </c>
    </row>
    <row r="1143">
      <c r="A1143" s="62" t="n">
        <v>46158</v>
      </c>
      <c r="B1143" s="3" t="inlineStr">
        <is>
          <t>Sat</t>
        </is>
      </c>
      <c r="C1143" s="19" t="n">
        <v>5</v>
      </c>
      <c r="D1143" s="19" t="n">
        <v>2026</v>
      </c>
      <c r="E1143" s="57" t="n">
        <v>2</v>
      </c>
      <c r="F1143" s="29">
        <f>ROUND(((SUMIFS(Calendar!$F$2:$F$9997,Calendar!$B$2:$B$9997,D1143,Calendar!$C$2:$C$9997,C1143)*INDEX(ForeCalc!$B$37:$Y$274,MATCH(_xlfn.CONCAT(H1143," ",I1143),ForeCalc!$A$37:$A$274,0),MATCH(_xlfn.CONCAT(B1143," ",E1143),ForeCalc!$B$36:$Y$36,0))))*VLOOKUP(A1143,Calendar!$A$2:$H$9997,8,FALSE),0)</f>
        <v/>
      </c>
      <c r="G1143" s="29">
        <f>VLOOKUP(A1143,Calendar!$A$1:$H$9997,6,FALSE)-F1143</f>
        <v/>
      </c>
      <c r="H1143" s="19" t="n">
        <v>1</v>
      </c>
      <c r="I1143" s="57" t="n">
        <v>2</v>
      </c>
    </row>
    <row r="1144">
      <c r="A1144" s="62" t="n">
        <v>46159</v>
      </c>
      <c r="B1144" s="3" t="inlineStr">
        <is>
          <t>Sun</t>
        </is>
      </c>
      <c r="C1144" s="19" t="n">
        <v>5</v>
      </c>
      <c r="D1144" s="19" t="n">
        <v>2026</v>
      </c>
      <c r="E1144" s="57" t="n">
        <v>2</v>
      </c>
      <c r="F1144" s="29">
        <f>ROUND(((SUMIFS(Calendar!$F$2:$F$9997,Calendar!$B$2:$B$9997,D1144,Calendar!$C$2:$C$9997,C1144)*INDEX(ForeCalc!$B$37:$Y$274,MATCH(_xlfn.CONCAT(H1144," ",I1144),ForeCalc!$A$37:$A$274,0),MATCH(_xlfn.CONCAT(B1144," ",E1144),ForeCalc!$B$36:$Y$36,0))))*VLOOKUP(A1144,Calendar!$A$2:$H$9997,8,FALSE),0)</f>
        <v/>
      </c>
      <c r="G1144" s="29">
        <f>VLOOKUP(A1144,Calendar!$A$1:$H$9997,6,FALSE)-F1144</f>
        <v/>
      </c>
      <c r="H1144" s="19" t="n">
        <v>1</v>
      </c>
      <c r="I1144" s="57" t="n">
        <v>2</v>
      </c>
    </row>
    <row r="1145">
      <c r="A1145" s="62" t="n">
        <v>46160</v>
      </c>
      <c r="B1145" s="3" t="inlineStr">
        <is>
          <t>Week</t>
        </is>
      </c>
      <c r="C1145" s="19" t="n">
        <v>5</v>
      </c>
      <c r="D1145" s="19" t="n">
        <v>2026</v>
      </c>
      <c r="E1145" s="57" t="n">
        <v>2</v>
      </c>
      <c r="F1145" s="29">
        <f>ROUND(((SUMIFS(Calendar!$F$2:$F$9997,Calendar!$B$2:$B$9997,D1145,Calendar!$C$2:$C$9997,C1145)*INDEX(ForeCalc!$B$37:$Y$274,MATCH(_xlfn.CONCAT(H1145," ",I1145),ForeCalc!$A$37:$A$274,0),MATCH(_xlfn.CONCAT(B1145," ",E1145),ForeCalc!$B$36:$Y$36,0))))*VLOOKUP(A1145,Calendar!$A$2:$H$9997,8,FALSE),0)</f>
        <v/>
      </c>
      <c r="G1145" s="29">
        <f>VLOOKUP(A1145,Calendar!$A$1:$H$9997,6,FALSE)-F1145</f>
        <v/>
      </c>
      <c r="H1145" s="19" t="n">
        <v>1</v>
      </c>
      <c r="I1145" s="57" t="n">
        <v>2</v>
      </c>
    </row>
    <row r="1146">
      <c r="A1146" s="62" t="n">
        <v>46161</v>
      </c>
      <c r="B1146" s="3" t="inlineStr">
        <is>
          <t>Week</t>
        </is>
      </c>
      <c r="C1146" s="19" t="n">
        <v>5</v>
      </c>
      <c r="D1146" s="19" t="n">
        <v>2026</v>
      </c>
      <c r="E1146" s="57" t="n">
        <v>2</v>
      </c>
      <c r="F1146" s="29">
        <f>ROUND(((SUMIFS(Calendar!$F$2:$F$9997,Calendar!$B$2:$B$9997,D1146,Calendar!$C$2:$C$9997,C1146)*INDEX(ForeCalc!$B$37:$Y$274,MATCH(_xlfn.CONCAT(H1146," ",I1146),ForeCalc!$A$37:$A$274,0),MATCH(_xlfn.CONCAT(B1146," ",E1146),ForeCalc!$B$36:$Y$36,0))))*VLOOKUP(A1146,Calendar!$A$2:$H$9997,8,FALSE),0)</f>
        <v/>
      </c>
      <c r="G1146" s="29">
        <f>VLOOKUP(A1146,Calendar!$A$1:$H$9997,6,FALSE)-F1146</f>
        <v/>
      </c>
      <c r="H1146" s="19" t="n">
        <v>1</v>
      </c>
      <c r="I1146" s="57" t="n">
        <v>2</v>
      </c>
    </row>
    <row r="1147">
      <c r="A1147" s="62" t="n">
        <v>46162</v>
      </c>
      <c r="B1147" s="3" t="inlineStr">
        <is>
          <t>Week</t>
        </is>
      </c>
      <c r="C1147" s="19" t="n">
        <v>5</v>
      </c>
      <c r="D1147" s="19" t="n">
        <v>2026</v>
      </c>
      <c r="E1147" s="57" t="n">
        <v>2</v>
      </c>
      <c r="F1147" s="29">
        <f>ROUND(((SUMIFS(Calendar!$F$2:$F$9997,Calendar!$B$2:$B$9997,D1147,Calendar!$C$2:$C$9997,C1147)*INDEX(ForeCalc!$B$37:$Y$274,MATCH(_xlfn.CONCAT(H1147," ",I1147),ForeCalc!$A$37:$A$274,0),MATCH(_xlfn.CONCAT(B1147," ",E1147),ForeCalc!$B$36:$Y$36,0))))*VLOOKUP(A1147,Calendar!$A$2:$H$9997,8,FALSE),0)</f>
        <v/>
      </c>
      <c r="G1147" s="29">
        <f>VLOOKUP(A1147,Calendar!$A$1:$H$9997,6,FALSE)-F1147</f>
        <v/>
      </c>
      <c r="H1147" s="19" t="n">
        <v>1</v>
      </c>
      <c r="I1147" s="57" t="n">
        <v>2</v>
      </c>
    </row>
    <row r="1148">
      <c r="A1148" s="62" t="n">
        <v>46163</v>
      </c>
      <c r="B1148" s="3" t="inlineStr">
        <is>
          <t>Week</t>
        </is>
      </c>
      <c r="C1148" s="19" t="n">
        <v>5</v>
      </c>
      <c r="D1148" s="19" t="n">
        <v>2026</v>
      </c>
      <c r="E1148" s="57" t="n">
        <v>2</v>
      </c>
      <c r="F1148" s="29">
        <f>ROUND(((SUMIFS(Calendar!$F$2:$F$9997,Calendar!$B$2:$B$9997,D1148,Calendar!$C$2:$C$9997,C1148)*INDEX(ForeCalc!$B$37:$Y$274,MATCH(_xlfn.CONCAT(H1148," ",I1148),ForeCalc!$A$37:$A$274,0),MATCH(_xlfn.CONCAT(B1148," ",E1148),ForeCalc!$B$36:$Y$36,0))))*VLOOKUP(A1148,Calendar!$A$2:$H$9997,8,FALSE),0)</f>
        <v/>
      </c>
      <c r="G1148" s="29">
        <f>VLOOKUP(A1148,Calendar!$A$1:$H$9997,6,FALSE)-F1148</f>
        <v/>
      </c>
      <c r="H1148" s="19" t="n">
        <v>1</v>
      </c>
      <c r="I1148" s="57" t="n">
        <v>2</v>
      </c>
    </row>
    <row r="1149">
      <c r="A1149" s="62" t="n">
        <v>46164</v>
      </c>
      <c r="B1149" s="3" t="inlineStr">
        <is>
          <t>Week</t>
        </is>
      </c>
      <c r="C1149" s="19" t="n">
        <v>5</v>
      </c>
      <c r="D1149" s="19" t="n">
        <v>2026</v>
      </c>
      <c r="E1149" s="57" t="n">
        <v>2</v>
      </c>
      <c r="F1149" s="29">
        <f>ROUND(((SUMIFS(Calendar!$F$2:$F$9997,Calendar!$B$2:$B$9997,D1149,Calendar!$C$2:$C$9997,C1149)*INDEX(ForeCalc!$B$37:$Y$274,MATCH(_xlfn.CONCAT(H1149," ",I1149),ForeCalc!$A$37:$A$274,0),MATCH(_xlfn.CONCAT(B1149," ",E1149),ForeCalc!$B$36:$Y$36,0))))*VLOOKUP(A1149,Calendar!$A$2:$H$9997,8,FALSE),0)</f>
        <v/>
      </c>
      <c r="G1149" s="29">
        <f>VLOOKUP(A1149,Calendar!$A$1:$H$9997,6,FALSE)-F1149</f>
        <v/>
      </c>
      <c r="H1149" s="19" t="n">
        <v>1</v>
      </c>
      <c r="I1149" s="57" t="n">
        <v>2</v>
      </c>
    </row>
    <row r="1150">
      <c r="A1150" s="62" t="n">
        <v>46165</v>
      </c>
      <c r="B1150" s="3" t="inlineStr">
        <is>
          <t>Sat</t>
        </is>
      </c>
      <c r="C1150" s="19" t="n">
        <v>5</v>
      </c>
      <c r="D1150" s="19" t="n">
        <v>2026</v>
      </c>
      <c r="E1150" s="57" t="n">
        <v>2</v>
      </c>
      <c r="F1150" s="29">
        <f>ROUND(((SUMIFS(Calendar!$F$2:$F$9997,Calendar!$B$2:$B$9997,D1150,Calendar!$C$2:$C$9997,C1150)*INDEX(ForeCalc!$B$37:$Y$274,MATCH(_xlfn.CONCAT(H1150," ",I1150),ForeCalc!$A$37:$A$274,0),MATCH(_xlfn.CONCAT(B1150," ",E1150),ForeCalc!$B$36:$Y$36,0))))*VLOOKUP(A1150,Calendar!$A$2:$H$9997,8,FALSE),0)</f>
        <v/>
      </c>
      <c r="G1150" s="29">
        <f>VLOOKUP(A1150,Calendar!$A$1:$H$9997,6,FALSE)-F1150</f>
        <v/>
      </c>
      <c r="H1150" s="19" t="n">
        <v>1</v>
      </c>
      <c r="I1150" s="57" t="n">
        <v>2</v>
      </c>
    </row>
    <row r="1151">
      <c r="A1151" s="62" t="n">
        <v>46166</v>
      </c>
      <c r="B1151" s="3" t="inlineStr">
        <is>
          <t>Sun</t>
        </is>
      </c>
      <c r="C1151" s="19" t="n">
        <v>5</v>
      </c>
      <c r="D1151" s="19" t="n">
        <v>2026</v>
      </c>
      <c r="E1151" s="57" t="n">
        <v>2</v>
      </c>
      <c r="F1151" s="29">
        <f>ROUND(((SUMIFS(Calendar!$F$2:$F$9997,Calendar!$B$2:$B$9997,D1151,Calendar!$C$2:$C$9997,C1151)*INDEX(ForeCalc!$B$37:$Y$274,MATCH(_xlfn.CONCAT(H1151," ",I1151),ForeCalc!$A$37:$A$274,0),MATCH(_xlfn.CONCAT(B1151," ",E1151),ForeCalc!$B$36:$Y$36,0))))*VLOOKUP(A1151,Calendar!$A$2:$H$9997,8,FALSE),0)</f>
        <v/>
      </c>
      <c r="G1151" s="29">
        <f>VLOOKUP(A1151,Calendar!$A$1:$H$9997,6,FALSE)-F1151</f>
        <v/>
      </c>
      <c r="H1151" s="19" t="n">
        <v>1</v>
      </c>
      <c r="I1151" s="57" t="n">
        <v>2</v>
      </c>
    </row>
    <row r="1152">
      <c r="A1152" s="62" t="n">
        <v>46167</v>
      </c>
      <c r="B1152" s="3" t="inlineStr">
        <is>
          <t>Week</t>
        </is>
      </c>
      <c r="C1152" s="19" t="n">
        <v>5</v>
      </c>
      <c r="D1152" s="19" t="n">
        <v>2026</v>
      </c>
      <c r="E1152" s="57" t="n">
        <v>2</v>
      </c>
      <c r="F1152" s="29">
        <f>ROUND(((SUMIFS(Calendar!$F$2:$F$9997,Calendar!$B$2:$B$9997,D1152,Calendar!$C$2:$C$9997,C1152)*INDEX(ForeCalc!$B$37:$Y$274,MATCH(_xlfn.CONCAT(H1152," ",I1152),ForeCalc!$A$37:$A$274,0),MATCH(_xlfn.CONCAT(B1152," ",E1152),ForeCalc!$B$36:$Y$36,0))))*VLOOKUP(A1152,Calendar!$A$2:$H$9997,8,FALSE),0)</f>
        <v/>
      </c>
      <c r="G1152" s="29">
        <f>VLOOKUP(A1152,Calendar!$A$1:$H$9997,6,FALSE)-F1152</f>
        <v/>
      </c>
      <c r="H1152" s="19" t="n">
        <v>1</v>
      </c>
      <c r="I1152" s="57" t="n">
        <v>2</v>
      </c>
    </row>
    <row r="1153">
      <c r="A1153" s="62" t="n">
        <v>46168</v>
      </c>
      <c r="B1153" s="3" t="inlineStr">
        <is>
          <t>Week</t>
        </is>
      </c>
      <c r="C1153" s="19" t="n">
        <v>5</v>
      </c>
      <c r="D1153" s="19" t="n">
        <v>2026</v>
      </c>
      <c r="E1153" s="57" t="n">
        <v>2</v>
      </c>
      <c r="F1153" s="29">
        <f>ROUND(((SUMIFS(Calendar!$F$2:$F$9997,Calendar!$B$2:$B$9997,D1153,Calendar!$C$2:$C$9997,C1153)*INDEX(ForeCalc!$B$37:$Y$274,MATCH(_xlfn.CONCAT(H1153," ",I1153),ForeCalc!$A$37:$A$274,0),MATCH(_xlfn.CONCAT(B1153," ",E1153),ForeCalc!$B$36:$Y$36,0))))*VLOOKUP(A1153,Calendar!$A$2:$H$9997,8,FALSE),0)</f>
        <v/>
      </c>
      <c r="G1153" s="29">
        <f>VLOOKUP(A1153,Calendar!$A$1:$H$9997,6,FALSE)-F1153</f>
        <v/>
      </c>
      <c r="H1153" s="19" t="n">
        <v>1</v>
      </c>
      <c r="I1153" s="57" t="n">
        <v>2</v>
      </c>
    </row>
    <row r="1154">
      <c r="A1154" s="62" t="n">
        <v>46169</v>
      </c>
      <c r="B1154" s="3" t="inlineStr">
        <is>
          <t>Week</t>
        </is>
      </c>
      <c r="C1154" s="19" t="n">
        <v>5</v>
      </c>
      <c r="D1154" s="19" t="n">
        <v>2026</v>
      </c>
      <c r="E1154" s="57" t="n">
        <v>2</v>
      </c>
      <c r="F1154" s="29">
        <f>ROUND(((SUMIFS(Calendar!$F$2:$F$9997,Calendar!$B$2:$B$9997,D1154,Calendar!$C$2:$C$9997,C1154)*INDEX(ForeCalc!$B$37:$Y$274,MATCH(_xlfn.CONCAT(H1154," ",I1154),ForeCalc!$A$37:$A$274,0),MATCH(_xlfn.CONCAT(B1154," ",E1154),ForeCalc!$B$36:$Y$36,0))))*VLOOKUP(A1154,Calendar!$A$2:$H$9997,8,FALSE),0)</f>
        <v/>
      </c>
      <c r="G1154" s="29">
        <f>VLOOKUP(A1154,Calendar!$A$1:$H$9997,6,FALSE)-F1154</f>
        <v/>
      </c>
      <c r="H1154" s="19" t="n">
        <v>1</v>
      </c>
      <c r="I1154" s="57" t="n">
        <v>2</v>
      </c>
    </row>
    <row r="1155">
      <c r="A1155" s="62" t="n">
        <v>46170</v>
      </c>
      <c r="B1155" s="3" t="inlineStr">
        <is>
          <t>Week</t>
        </is>
      </c>
      <c r="C1155" s="19" t="n">
        <v>5</v>
      </c>
      <c r="D1155" s="19" t="n">
        <v>2026</v>
      </c>
      <c r="E1155" s="57" t="n">
        <v>2</v>
      </c>
      <c r="F1155" s="29">
        <f>ROUND(((SUMIFS(Calendar!$F$2:$F$9997,Calendar!$B$2:$B$9997,D1155,Calendar!$C$2:$C$9997,C1155)*INDEX(ForeCalc!$B$37:$Y$274,MATCH(_xlfn.CONCAT(H1155," ",I1155),ForeCalc!$A$37:$A$274,0),MATCH(_xlfn.CONCAT(B1155," ",E1155),ForeCalc!$B$36:$Y$36,0))))*VLOOKUP(A1155,Calendar!$A$2:$H$9997,8,FALSE),0)</f>
        <v/>
      </c>
      <c r="G1155" s="29">
        <f>VLOOKUP(A1155,Calendar!$A$1:$H$9997,6,FALSE)-F1155</f>
        <v/>
      </c>
      <c r="H1155" s="19" t="n">
        <v>1</v>
      </c>
      <c r="I1155" s="57" t="n">
        <v>2</v>
      </c>
    </row>
    <row r="1156">
      <c r="A1156" s="62" t="n">
        <v>46171</v>
      </c>
      <c r="B1156" s="3" t="inlineStr">
        <is>
          <t>Week</t>
        </is>
      </c>
      <c r="C1156" s="19" t="n">
        <v>5</v>
      </c>
      <c r="D1156" s="19" t="n">
        <v>2026</v>
      </c>
      <c r="E1156" s="57" t="n">
        <v>2</v>
      </c>
      <c r="F1156" s="29">
        <f>ROUND(((SUMIFS(Calendar!$F$2:$F$9997,Calendar!$B$2:$B$9997,D1156,Calendar!$C$2:$C$9997,C1156)*INDEX(ForeCalc!$B$37:$Y$274,MATCH(_xlfn.CONCAT(H1156," ",I1156),ForeCalc!$A$37:$A$274,0),MATCH(_xlfn.CONCAT(B1156," ",E1156),ForeCalc!$B$36:$Y$36,0))))*VLOOKUP(A1156,Calendar!$A$2:$H$9997,8,FALSE),0)</f>
        <v/>
      </c>
      <c r="G1156" s="29">
        <f>VLOOKUP(A1156,Calendar!$A$1:$H$9997,6,FALSE)-F1156</f>
        <v/>
      </c>
      <c r="H1156" s="19" t="n">
        <v>1</v>
      </c>
      <c r="I1156" s="57" t="n">
        <v>2</v>
      </c>
    </row>
    <row r="1157">
      <c r="A1157" s="62" t="n">
        <v>46172</v>
      </c>
      <c r="B1157" s="3" t="inlineStr">
        <is>
          <t>Sat</t>
        </is>
      </c>
      <c r="C1157" s="19" t="n">
        <v>5</v>
      </c>
      <c r="D1157" s="19" t="n">
        <v>2026</v>
      </c>
      <c r="E1157" s="57" t="n">
        <v>2</v>
      </c>
      <c r="F1157" s="29">
        <f>ROUND(((SUMIFS(Calendar!$F$2:$F$9997,Calendar!$B$2:$B$9997,D1157,Calendar!$C$2:$C$9997,C1157)*INDEX(ForeCalc!$B$37:$Y$274,MATCH(_xlfn.CONCAT(H1157," ",I1157),ForeCalc!$A$37:$A$274,0),MATCH(_xlfn.CONCAT(B1157," ",E1157),ForeCalc!$B$36:$Y$36,0))))*VLOOKUP(A1157,Calendar!$A$2:$H$9997,8,FALSE),0)</f>
        <v/>
      </c>
      <c r="G1157" s="29">
        <f>VLOOKUP(A1157,Calendar!$A$1:$H$9997,6,FALSE)-F1157</f>
        <v/>
      </c>
      <c r="H1157" s="19" t="n">
        <v>1</v>
      </c>
      <c r="I1157" s="57" t="n">
        <v>2</v>
      </c>
    </row>
    <row r="1158">
      <c r="A1158" s="62" t="n">
        <v>46173</v>
      </c>
      <c r="B1158" s="3" t="inlineStr">
        <is>
          <t>Sun</t>
        </is>
      </c>
      <c r="C1158" s="19" t="n">
        <v>5</v>
      </c>
      <c r="D1158" s="19" t="n">
        <v>2026</v>
      </c>
      <c r="E1158" s="57" t="n">
        <v>2</v>
      </c>
      <c r="F1158" s="29">
        <f>ROUND(((SUMIFS(Calendar!$F$2:$F$9997,Calendar!$B$2:$B$9997,D1158,Calendar!$C$2:$C$9997,C1158)*INDEX(ForeCalc!$B$37:$Y$274,MATCH(_xlfn.CONCAT(H1158," ",I1158),ForeCalc!$A$37:$A$274,0),MATCH(_xlfn.CONCAT(B1158," ",E1158),ForeCalc!$B$36:$Y$36,0))))*VLOOKUP(A1158,Calendar!$A$2:$H$9997,8,FALSE),0)</f>
        <v/>
      </c>
      <c r="G1158" s="29">
        <f>VLOOKUP(A1158,Calendar!$A$1:$H$9997,6,FALSE)-F1158</f>
        <v/>
      </c>
      <c r="H1158" s="19" t="n">
        <v>1</v>
      </c>
      <c r="I1158" s="57" t="n">
        <v>2</v>
      </c>
    </row>
    <row r="1159">
      <c r="A1159" s="62" t="n">
        <v>46174</v>
      </c>
      <c r="B1159" s="3" t="inlineStr">
        <is>
          <t>Week</t>
        </is>
      </c>
      <c r="C1159" s="19" t="n">
        <v>6</v>
      </c>
      <c r="D1159" s="19" t="n">
        <v>2026</v>
      </c>
      <c r="E1159" s="57" t="n">
        <v>2</v>
      </c>
      <c r="F1159" s="29">
        <f>ROUND(((SUMIFS(Calendar!$F$2:$F$9997,Calendar!$B$2:$B$9997,D1159,Calendar!$C$2:$C$9997,C1159)*INDEX(ForeCalc!$B$37:$Y$274,MATCH(_xlfn.CONCAT(H1159," ",I1159),ForeCalc!$A$37:$A$274,0),MATCH(_xlfn.CONCAT(B1159," ",E1159),ForeCalc!$B$36:$Y$36,0))))*VLOOKUP(A1159,Calendar!$A$2:$H$9997,8,FALSE),0)</f>
        <v/>
      </c>
      <c r="G1159" s="29">
        <f>VLOOKUP(A1159,Calendar!$A$1:$H$9997,6,FALSE)-F1159</f>
        <v/>
      </c>
      <c r="H1159" s="19" t="n">
        <v>1</v>
      </c>
      <c r="I1159" s="57" t="n">
        <v>3</v>
      </c>
    </row>
    <row r="1160">
      <c r="A1160" s="62" t="n">
        <v>46175</v>
      </c>
      <c r="B1160" s="3" t="inlineStr">
        <is>
          <t>Week</t>
        </is>
      </c>
      <c r="C1160" s="19" t="n">
        <v>6</v>
      </c>
      <c r="D1160" s="19" t="n">
        <v>2026</v>
      </c>
      <c r="E1160" s="57" t="n">
        <v>2</v>
      </c>
      <c r="F1160" s="29">
        <f>ROUND(((SUMIFS(Calendar!$F$2:$F$9997,Calendar!$B$2:$B$9997,D1160,Calendar!$C$2:$C$9997,C1160)*INDEX(ForeCalc!$B$37:$Y$274,MATCH(_xlfn.CONCAT(H1160," ",I1160),ForeCalc!$A$37:$A$274,0),MATCH(_xlfn.CONCAT(B1160," ",E1160),ForeCalc!$B$36:$Y$36,0))))*VLOOKUP(A1160,Calendar!$A$2:$H$9997,8,FALSE),0)</f>
        <v/>
      </c>
      <c r="G1160" s="29">
        <f>VLOOKUP(A1160,Calendar!$A$1:$H$9997,6,FALSE)-F1160</f>
        <v/>
      </c>
      <c r="H1160" s="19" t="n">
        <v>1</v>
      </c>
      <c r="I1160" s="57" t="n">
        <v>3</v>
      </c>
    </row>
    <row r="1161">
      <c r="A1161" s="62" t="n">
        <v>46176</v>
      </c>
      <c r="B1161" s="3" t="inlineStr">
        <is>
          <t>Week</t>
        </is>
      </c>
      <c r="C1161" s="19" t="n">
        <v>6</v>
      </c>
      <c r="D1161" s="19" t="n">
        <v>2026</v>
      </c>
      <c r="E1161" s="57" t="n">
        <v>2</v>
      </c>
      <c r="F1161" s="29">
        <f>ROUND(((SUMIFS(Calendar!$F$2:$F$9997,Calendar!$B$2:$B$9997,D1161,Calendar!$C$2:$C$9997,C1161)*INDEX(ForeCalc!$B$37:$Y$274,MATCH(_xlfn.CONCAT(H1161," ",I1161),ForeCalc!$A$37:$A$274,0),MATCH(_xlfn.CONCAT(B1161," ",E1161),ForeCalc!$B$36:$Y$36,0))))*VLOOKUP(A1161,Calendar!$A$2:$H$9997,8,FALSE),0)</f>
        <v/>
      </c>
      <c r="G1161" s="29">
        <f>VLOOKUP(A1161,Calendar!$A$1:$H$9997,6,FALSE)-F1161</f>
        <v/>
      </c>
      <c r="H1161" s="19" t="n">
        <v>1</v>
      </c>
      <c r="I1161" s="57" t="n">
        <v>3</v>
      </c>
    </row>
    <row r="1162">
      <c r="A1162" s="62" t="n">
        <v>46177</v>
      </c>
      <c r="B1162" s="3" t="inlineStr">
        <is>
          <t>Week</t>
        </is>
      </c>
      <c r="C1162" s="19" t="n">
        <v>6</v>
      </c>
      <c r="D1162" s="19" t="n">
        <v>2026</v>
      </c>
      <c r="E1162" s="57" t="n">
        <v>2</v>
      </c>
      <c r="F1162" s="29">
        <f>ROUND(((SUMIFS(Calendar!$F$2:$F$9997,Calendar!$B$2:$B$9997,D1162,Calendar!$C$2:$C$9997,C1162)*INDEX(ForeCalc!$B$37:$Y$274,MATCH(_xlfn.CONCAT(H1162," ",I1162),ForeCalc!$A$37:$A$274,0),MATCH(_xlfn.CONCAT(B1162," ",E1162),ForeCalc!$B$36:$Y$36,0))))*VLOOKUP(A1162,Calendar!$A$2:$H$9997,8,FALSE),0)</f>
        <v/>
      </c>
      <c r="G1162" s="29">
        <f>VLOOKUP(A1162,Calendar!$A$1:$H$9997,6,FALSE)-F1162</f>
        <v/>
      </c>
      <c r="H1162" s="19" t="n">
        <v>1</v>
      </c>
      <c r="I1162" s="57" t="n">
        <v>3</v>
      </c>
    </row>
    <row r="1163">
      <c r="A1163" s="62" t="n">
        <v>46178</v>
      </c>
      <c r="B1163" s="3" t="inlineStr">
        <is>
          <t>Week</t>
        </is>
      </c>
      <c r="C1163" s="19" t="n">
        <v>6</v>
      </c>
      <c r="D1163" s="19" t="n">
        <v>2026</v>
      </c>
      <c r="E1163" s="57" t="n">
        <v>2</v>
      </c>
      <c r="F1163" s="29">
        <f>ROUND(((SUMIFS(Calendar!$F$2:$F$9997,Calendar!$B$2:$B$9997,D1163,Calendar!$C$2:$C$9997,C1163)*INDEX(ForeCalc!$B$37:$Y$274,MATCH(_xlfn.CONCAT(H1163," ",I1163),ForeCalc!$A$37:$A$274,0),MATCH(_xlfn.CONCAT(B1163," ",E1163),ForeCalc!$B$36:$Y$36,0))))*VLOOKUP(A1163,Calendar!$A$2:$H$9997,8,FALSE),0)</f>
        <v/>
      </c>
      <c r="G1163" s="29">
        <f>VLOOKUP(A1163,Calendar!$A$1:$H$9997,6,FALSE)-F1163</f>
        <v/>
      </c>
      <c r="H1163" s="19" t="n">
        <v>1</v>
      </c>
      <c r="I1163" s="57" t="n">
        <v>3</v>
      </c>
    </row>
    <row r="1164">
      <c r="A1164" s="62" t="n">
        <v>46179</v>
      </c>
      <c r="B1164" s="3" t="inlineStr">
        <is>
          <t>Sat</t>
        </is>
      </c>
      <c r="C1164" s="19" t="n">
        <v>6</v>
      </c>
      <c r="D1164" s="19" t="n">
        <v>2026</v>
      </c>
      <c r="E1164" s="57" t="n">
        <v>2</v>
      </c>
      <c r="F1164" s="29">
        <f>ROUND(((SUMIFS(Calendar!$F$2:$F$9997,Calendar!$B$2:$B$9997,D1164,Calendar!$C$2:$C$9997,C1164)*INDEX(ForeCalc!$B$37:$Y$274,MATCH(_xlfn.CONCAT(H1164," ",I1164),ForeCalc!$A$37:$A$274,0),MATCH(_xlfn.CONCAT(B1164," ",E1164),ForeCalc!$B$36:$Y$36,0))))*VLOOKUP(A1164,Calendar!$A$2:$H$9997,8,FALSE),0)</f>
        <v/>
      </c>
      <c r="G1164" s="29">
        <f>VLOOKUP(A1164,Calendar!$A$1:$H$9997,6,FALSE)-F1164</f>
        <v/>
      </c>
      <c r="H1164" s="19" t="n">
        <v>1</v>
      </c>
      <c r="I1164" s="57" t="n">
        <v>3</v>
      </c>
    </row>
    <row r="1165">
      <c r="A1165" s="62" t="n">
        <v>46180</v>
      </c>
      <c r="B1165" s="3" t="inlineStr">
        <is>
          <t>Sun</t>
        </is>
      </c>
      <c r="C1165" s="19" t="n">
        <v>6</v>
      </c>
      <c r="D1165" s="19" t="n">
        <v>2026</v>
      </c>
      <c r="E1165" s="57" t="n">
        <v>2</v>
      </c>
      <c r="F1165" s="29">
        <f>ROUND(((SUMIFS(Calendar!$F$2:$F$9997,Calendar!$B$2:$B$9997,D1165,Calendar!$C$2:$C$9997,C1165)*INDEX(ForeCalc!$B$37:$Y$274,MATCH(_xlfn.CONCAT(H1165," ",I1165),ForeCalc!$A$37:$A$274,0),MATCH(_xlfn.CONCAT(B1165," ",E1165),ForeCalc!$B$36:$Y$36,0))))*VLOOKUP(A1165,Calendar!$A$2:$H$9997,8,FALSE),0)</f>
        <v/>
      </c>
      <c r="G1165" s="29">
        <f>VLOOKUP(A1165,Calendar!$A$1:$H$9997,6,FALSE)-F1165</f>
        <v/>
      </c>
      <c r="H1165" s="19" t="n">
        <v>1</v>
      </c>
      <c r="I1165" s="57" t="n">
        <v>3</v>
      </c>
    </row>
    <row r="1166">
      <c r="A1166" s="62" t="n">
        <v>46181</v>
      </c>
      <c r="B1166" s="3" t="inlineStr">
        <is>
          <t>Week</t>
        </is>
      </c>
      <c r="C1166" s="19" t="n">
        <v>6</v>
      </c>
      <c r="D1166" s="19" t="n">
        <v>2026</v>
      </c>
      <c r="E1166" s="57" t="n">
        <v>2</v>
      </c>
      <c r="F1166" s="29">
        <f>ROUND(((SUMIFS(Calendar!$F$2:$F$9997,Calendar!$B$2:$B$9997,D1166,Calendar!$C$2:$C$9997,C1166)*INDEX(ForeCalc!$B$37:$Y$274,MATCH(_xlfn.CONCAT(H1166," ",I1166),ForeCalc!$A$37:$A$274,0),MATCH(_xlfn.CONCAT(B1166," ",E1166),ForeCalc!$B$36:$Y$36,0))))*VLOOKUP(A1166,Calendar!$A$2:$H$9997,8,FALSE),0)</f>
        <v/>
      </c>
      <c r="G1166" s="29">
        <f>VLOOKUP(A1166,Calendar!$A$1:$H$9997,6,FALSE)-F1166</f>
        <v/>
      </c>
      <c r="H1166" s="19" t="n">
        <v>1</v>
      </c>
      <c r="I1166" s="57" t="n">
        <v>3</v>
      </c>
    </row>
    <row r="1167">
      <c r="A1167" s="62" t="n">
        <v>46182</v>
      </c>
      <c r="B1167" s="3" t="inlineStr">
        <is>
          <t>Week</t>
        </is>
      </c>
      <c r="C1167" s="19" t="n">
        <v>6</v>
      </c>
      <c r="D1167" s="19" t="n">
        <v>2026</v>
      </c>
      <c r="E1167" s="57" t="n">
        <v>2</v>
      </c>
      <c r="F1167" s="29">
        <f>ROUND(((SUMIFS(Calendar!$F$2:$F$9997,Calendar!$B$2:$B$9997,D1167,Calendar!$C$2:$C$9997,C1167)*INDEX(ForeCalc!$B$37:$Y$274,MATCH(_xlfn.CONCAT(H1167," ",I1167),ForeCalc!$A$37:$A$274,0),MATCH(_xlfn.CONCAT(B1167," ",E1167),ForeCalc!$B$36:$Y$36,0))))*VLOOKUP(A1167,Calendar!$A$2:$H$9997,8,FALSE),0)</f>
        <v/>
      </c>
      <c r="G1167" s="29">
        <f>VLOOKUP(A1167,Calendar!$A$1:$H$9997,6,FALSE)-F1167</f>
        <v/>
      </c>
      <c r="H1167" s="19" t="n">
        <v>1</v>
      </c>
      <c r="I1167" s="57" t="n">
        <v>3</v>
      </c>
    </row>
    <row r="1168">
      <c r="A1168" s="62" t="n">
        <v>46183</v>
      </c>
      <c r="B1168" s="3" t="inlineStr">
        <is>
          <t>Week</t>
        </is>
      </c>
      <c r="C1168" s="19" t="n">
        <v>6</v>
      </c>
      <c r="D1168" s="19" t="n">
        <v>2026</v>
      </c>
      <c r="E1168" s="57" t="n">
        <v>2</v>
      </c>
      <c r="F1168" s="29">
        <f>ROUND(((SUMIFS(Calendar!$F$2:$F$9997,Calendar!$B$2:$B$9997,D1168,Calendar!$C$2:$C$9997,C1168)*INDEX(ForeCalc!$B$37:$Y$274,MATCH(_xlfn.CONCAT(H1168," ",I1168),ForeCalc!$A$37:$A$274,0),MATCH(_xlfn.CONCAT(B1168," ",E1168),ForeCalc!$B$36:$Y$36,0))))*VLOOKUP(A1168,Calendar!$A$2:$H$9997,8,FALSE),0)</f>
        <v/>
      </c>
      <c r="G1168" s="29">
        <f>VLOOKUP(A1168,Calendar!$A$1:$H$9997,6,FALSE)-F1168</f>
        <v/>
      </c>
      <c r="H1168" s="19" t="n">
        <v>1</v>
      </c>
      <c r="I1168" s="57" t="n">
        <v>3</v>
      </c>
    </row>
    <row r="1169">
      <c r="A1169" s="62" t="n">
        <v>46184</v>
      </c>
      <c r="B1169" s="3" t="inlineStr">
        <is>
          <t>Week</t>
        </is>
      </c>
      <c r="C1169" s="19" t="n">
        <v>6</v>
      </c>
      <c r="D1169" s="19" t="n">
        <v>2026</v>
      </c>
      <c r="E1169" s="57" t="n">
        <v>2</v>
      </c>
      <c r="F1169" s="29">
        <f>ROUND(((SUMIFS(Calendar!$F$2:$F$9997,Calendar!$B$2:$B$9997,D1169,Calendar!$C$2:$C$9997,C1169)*INDEX(ForeCalc!$B$37:$Y$274,MATCH(_xlfn.CONCAT(H1169," ",I1169),ForeCalc!$A$37:$A$274,0),MATCH(_xlfn.CONCAT(B1169," ",E1169),ForeCalc!$B$36:$Y$36,0))))*VLOOKUP(A1169,Calendar!$A$2:$H$9997,8,FALSE),0)</f>
        <v/>
      </c>
      <c r="G1169" s="29">
        <f>VLOOKUP(A1169,Calendar!$A$1:$H$9997,6,FALSE)-F1169</f>
        <v/>
      </c>
      <c r="H1169" s="19" t="n">
        <v>1</v>
      </c>
      <c r="I1169" s="57" t="n">
        <v>3</v>
      </c>
    </row>
    <row r="1170">
      <c r="A1170" s="62" t="n">
        <v>46185</v>
      </c>
      <c r="B1170" s="3" t="inlineStr">
        <is>
          <t>Week</t>
        </is>
      </c>
      <c r="C1170" s="19" t="n">
        <v>6</v>
      </c>
      <c r="D1170" s="19" t="n">
        <v>2026</v>
      </c>
      <c r="E1170" s="57" t="n">
        <v>2</v>
      </c>
      <c r="F1170" s="29">
        <f>ROUND(((SUMIFS(Calendar!$F$2:$F$9997,Calendar!$B$2:$B$9997,D1170,Calendar!$C$2:$C$9997,C1170)*INDEX(ForeCalc!$B$37:$Y$274,MATCH(_xlfn.CONCAT(H1170," ",I1170),ForeCalc!$A$37:$A$274,0),MATCH(_xlfn.CONCAT(B1170," ",E1170),ForeCalc!$B$36:$Y$36,0))))*VLOOKUP(A1170,Calendar!$A$2:$H$9997,8,FALSE),0)</f>
        <v/>
      </c>
      <c r="G1170" s="29">
        <f>VLOOKUP(A1170,Calendar!$A$1:$H$9997,6,FALSE)-F1170</f>
        <v/>
      </c>
      <c r="H1170" s="19" t="n">
        <v>1</v>
      </c>
      <c r="I1170" s="57" t="n">
        <v>3</v>
      </c>
    </row>
    <row r="1171">
      <c r="A1171" s="62" t="n">
        <v>46186</v>
      </c>
      <c r="B1171" s="3" t="inlineStr">
        <is>
          <t>Sat</t>
        </is>
      </c>
      <c r="C1171" s="19" t="n">
        <v>6</v>
      </c>
      <c r="D1171" s="19" t="n">
        <v>2026</v>
      </c>
      <c r="E1171" s="57" t="n">
        <v>2</v>
      </c>
      <c r="F1171" s="29">
        <f>ROUND(((SUMIFS(Calendar!$F$2:$F$9997,Calendar!$B$2:$B$9997,D1171,Calendar!$C$2:$C$9997,C1171)*INDEX(ForeCalc!$B$37:$Y$274,MATCH(_xlfn.CONCAT(H1171," ",I1171),ForeCalc!$A$37:$A$274,0),MATCH(_xlfn.CONCAT(B1171," ",E1171),ForeCalc!$B$36:$Y$36,0))))*VLOOKUP(A1171,Calendar!$A$2:$H$9997,8,FALSE),0)</f>
        <v/>
      </c>
      <c r="G1171" s="29">
        <f>VLOOKUP(A1171,Calendar!$A$1:$H$9997,6,FALSE)-F1171</f>
        <v/>
      </c>
      <c r="H1171" s="19" t="n">
        <v>1</v>
      </c>
      <c r="I1171" s="57" t="n">
        <v>3</v>
      </c>
    </row>
    <row r="1172">
      <c r="A1172" s="62" t="n">
        <v>46187</v>
      </c>
      <c r="B1172" s="3" t="inlineStr">
        <is>
          <t>Sun</t>
        </is>
      </c>
      <c r="C1172" s="19" t="n">
        <v>6</v>
      </c>
      <c r="D1172" s="19" t="n">
        <v>2026</v>
      </c>
      <c r="E1172" s="57" t="n">
        <v>2</v>
      </c>
      <c r="F1172" s="29">
        <f>ROUND(((SUMIFS(Calendar!$F$2:$F$9997,Calendar!$B$2:$B$9997,D1172,Calendar!$C$2:$C$9997,C1172)*INDEX(ForeCalc!$B$37:$Y$274,MATCH(_xlfn.CONCAT(H1172," ",I1172),ForeCalc!$A$37:$A$274,0),MATCH(_xlfn.CONCAT(B1172," ",E1172),ForeCalc!$B$36:$Y$36,0))))*VLOOKUP(A1172,Calendar!$A$2:$H$9997,8,FALSE),0)</f>
        <v/>
      </c>
      <c r="G1172" s="29">
        <f>VLOOKUP(A1172,Calendar!$A$1:$H$9997,6,FALSE)-F1172</f>
        <v/>
      </c>
      <c r="H1172" s="19" t="n">
        <v>1</v>
      </c>
      <c r="I1172" s="57" t="n">
        <v>3</v>
      </c>
    </row>
    <row r="1173">
      <c r="A1173" s="62" t="n">
        <v>46188</v>
      </c>
      <c r="B1173" s="3" t="inlineStr">
        <is>
          <t>Week</t>
        </is>
      </c>
      <c r="C1173" s="19" t="n">
        <v>6</v>
      </c>
      <c r="D1173" s="19" t="n">
        <v>2026</v>
      </c>
      <c r="E1173" s="57" t="n">
        <v>2</v>
      </c>
      <c r="F1173" s="29">
        <f>ROUND(((SUMIFS(Calendar!$F$2:$F$9997,Calendar!$B$2:$B$9997,D1173,Calendar!$C$2:$C$9997,C1173)*INDEX(ForeCalc!$B$37:$Y$274,MATCH(_xlfn.CONCAT(H1173," ",I1173),ForeCalc!$A$37:$A$274,0),MATCH(_xlfn.CONCAT(B1173," ",E1173),ForeCalc!$B$36:$Y$36,0))))*VLOOKUP(A1173,Calendar!$A$2:$H$9997,8,FALSE),0)</f>
        <v/>
      </c>
      <c r="G1173" s="29">
        <f>VLOOKUP(A1173,Calendar!$A$1:$H$9997,6,FALSE)-F1173</f>
        <v/>
      </c>
      <c r="H1173" s="19" t="n">
        <v>1</v>
      </c>
      <c r="I1173" s="57" t="n">
        <v>3</v>
      </c>
    </row>
    <row r="1174">
      <c r="A1174" s="62" t="n">
        <v>46189</v>
      </c>
      <c r="B1174" s="3" t="inlineStr">
        <is>
          <t>Week</t>
        </is>
      </c>
      <c r="C1174" s="19" t="n">
        <v>6</v>
      </c>
      <c r="D1174" s="19" t="n">
        <v>2026</v>
      </c>
      <c r="E1174" s="57" t="n">
        <v>2</v>
      </c>
      <c r="F1174" s="29">
        <f>ROUND(((SUMIFS(Calendar!$F$2:$F$9997,Calendar!$B$2:$B$9997,D1174,Calendar!$C$2:$C$9997,C1174)*INDEX(ForeCalc!$B$37:$Y$274,MATCH(_xlfn.CONCAT(H1174," ",I1174),ForeCalc!$A$37:$A$274,0),MATCH(_xlfn.CONCAT(B1174," ",E1174),ForeCalc!$B$36:$Y$36,0))))*VLOOKUP(A1174,Calendar!$A$2:$H$9997,8,FALSE),0)</f>
        <v/>
      </c>
      <c r="G1174" s="29">
        <f>VLOOKUP(A1174,Calendar!$A$1:$H$9997,6,FALSE)-F1174</f>
        <v/>
      </c>
      <c r="H1174" s="19" t="n">
        <v>1</v>
      </c>
      <c r="I1174" s="57" t="n">
        <v>3</v>
      </c>
    </row>
    <row r="1175">
      <c r="A1175" s="62" t="n">
        <v>46190</v>
      </c>
      <c r="B1175" s="3" t="inlineStr">
        <is>
          <t>Week</t>
        </is>
      </c>
      <c r="C1175" s="19" t="n">
        <v>6</v>
      </c>
      <c r="D1175" s="19" t="n">
        <v>2026</v>
      </c>
      <c r="E1175" s="57" t="n">
        <v>2</v>
      </c>
      <c r="F1175" s="29">
        <f>ROUND(((SUMIFS(Calendar!$F$2:$F$9997,Calendar!$B$2:$B$9997,D1175,Calendar!$C$2:$C$9997,C1175)*INDEX(ForeCalc!$B$37:$Y$274,MATCH(_xlfn.CONCAT(H1175," ",I1175),ForeCalc!$A$37:$A$274,0),MATCH(_xlfn.CONCAT(B1175," ",E1175),ForeCalc!$B$36:$Y$36,0))))*VLOOKUP(A1175,Calendar!$A$2:$H$9997,8,FALSE),0)</f>
        <v/>
      </c>
      <c r="G1175" s="29">
        <f>VLOOKUP(A1175,Calendar!$A$1:$H$9997,6,FALSE)-F1175</f>
        <v/>
      </c>
      <c r="H1175" s="19" t="n">
        <v>1</v>
      </c>
      <c r="I1175" s="57" t="n">
        <v>3</v>
      </c>
    </row>
    <row r="1176">
      <c r="A1176" s="62" t="n">
        <v>46191</v>
      </c>
      <c r="B1176" s="3" t="inlineStr">
        <is>
          <t>Week</t>
        </is>
      </c>
      <c r="C1176" s="19" t="n">
        <v>6</v>
      </c>
      <c r="D1176" s="19" t="n">
        <v>2026</v>
      </c>
      <c r="E1176" s="57" t="n">
        <v>2</v>
      </c>
      <c r="F1176" s="29">
        <f>ROUND(((SUMIFS(Calendar!$F$2:$F$9997,Calendar!$B$2:$B$9997,D1176,Calendar!$C$2:$C$9997,C1176)*INDEX(ForeCalc!$B$37:$Y$274,MATCH(_xlfn.CONCAT(H1176," ",I1176),ForeCalc!$A$37:$A$274,0),MATCH(_xlfn.CONCAT(B1176," ",E1176),ForeCalc!$B$36:$Y$36,0))))*VLOOKUP(A1176,Calendar!$A$2:$H$9997,8,FALSE),0)</f>
        <v/>
      </c>
      <c r="G1176" s="29">
        <f>VLOOKUP(A1176,Calendar!$A$1:$H$9997,6,FALSE)-F1176</f>
        <v/>
      </c>
      <c r="H1176" s="19" t="n">
        <v>1</v>
      </c>
      <c r="I1176" s="57" t="n">
        <v>3</v>
      </c>
    </row>
    <row r="1177">
      <c r="A1177" s="62" t="n">
        <v>46192</v>
      </c>
      <c r="B1177" s="3" t="inlineStr">
        <is>
          <t>Week</t>
        </is>
      </c>
      <c r="C1177" s="19" t="n">
        <v>6</v>
      </c>
      <c r="D1177" s="19" t="n">
        <v>2026</v>
      </c>
      <c r="E1177" s="57" t="n">
        <v>2</v>
      </c>
      <c r="F1177" s="29">
        <f>ROUND(((SUMIFS(Calendar!$F$2:$F$9997,Calendar!$B$2:$B$9997,D1177,Calendar!$C$2:$C$9997,C1177)*INDEX(ForeCalc!$B$37:$Y$274,MATCH(_xlfn.CONCAT(H1177," ",I1177),ForeCalc!$A$37:$A$274,0),MATCH(_xlfn.CONCAT(B1177," ",E1177),ForeCalc!$B$36:$Y$36,0))))*VLOOKUP(A1177,Calendar!$A$2:$H$9997,8,FALSE),0)</f>
        <v/>
      </c>
      <c r="G1177" s="29">
        <f>VLOOKUP(A1177,Calendar!$A$1:$H$9997,6,FALSE)-F1177</f>
        <v/>
      </c>
      <c r="H1177" s="19" t="n">
        <v>1</v>
      </c>
      <c r="I1177" s="57" t="n">
        <v>3</v>
      </c>
    </row>
    <row r="1178">
      <c r="A1178" s="62" t="n">
        <v>46193</v>
      </c>
      <c r="B1178" s="3" t="inlineStr">
        <is>
          <t>Sat</t>
        </is>
      </c>
      <c r="C1178" s="19" t="n">
        <v>6</v>
      </c>
      <c r="D1178" s="19" t="n">
        <v>2026</v>
      </c>
      <c r="E1178" s="57" t="n">
        <v>2</v>
      </c>
      <c r="F1178" s="29">
        <f>ROUND(((SUMIFS(Calendar!$F$2:$F$9997,Calendar!$B$2:$B$9997,D1178,Calendar!$C$2:$C$9997,C1178)*INDEX(ForeCalc!$B$37:$Y$274,MATCH(_xlfn.CONCAT(H1178," ",I1178),ForeCalc!$A$37:$A$274,0),MATCH(_xlfn.CONCAT(B1178," ",E1178),ForeCalc!$B$36:$Y$36,0))))*VLOOKUP(A1178,Calendar!$A$2:$H$9997,8,FALSE),0)</f>
        <v/>
      </c>
      <c r="G1178" s="29">
        <f>VLOOKUP(A1178,Calendar!$A$1:$H$9997,6,FALSE)-F1178</f>
        <v/>
      </c>
      <c r="H1178" s="19" t="n">
        <v>1</v>
      </c>
      <c r="I1178" s="57" t="n">
        <v>3</v>
      </c>
    </row>
    <row r="1179">
      <c r="A1179" s="62" t="n">
        <v>46194</v>
      </c>
      <c r="B1179" s="3" t="inlineStr">
        <is>
          <t>Sun</t>
        </is>
      </c>
      <c r="C1179" s="19" t="n">
        <v>6</v>
      </c>
      <c r="D1179" s="19" t="n">
        <v>2026</v>
      </c>
      <c r="E1179" s="57" t="n">
        <v>2</v>
      </c>
      <c r="F1179" s="29">
        <f>ROUND(((SUMIFS(Calendar!$F$2:$F$9997,Calendar!$B$2:$B$9997,D1179,Calendar!$C$2:$C$9997,C1179)*INDEX(ForeCalc!$B$37:$Y$274,MATCH(_xlfn.CONCAT(H1179," ",I1179),ForeCalc!$A$37:$A$274,0),MATCH(_xlfn.CONCAT(B1179," ",E1179),ForeCalc!$B$36:$Y$36,0))))*VLOOKUP(A1179,Calendar!$A$2:$H$9997,8,FALSE),0)</f>
        <v/>
      </c>
      <c r="G1179" s="29">
        <f>VLOOKUP(A1179,Calendar!$A$1:$H$9997,6,FALSE)-F1179</f>
        <v/>
      </c>
      <c r="H1179" s="19" t="n">
        <v>1</v>
      </c>
      <c r="I1179" s="57" t="n">
        <v>3</v>
      </c>
    </row>
    <row r="1180">
      <c r="A1180" s="62" t="n">
        <v>46195</v>
      </c>
      <c r="B1180" s="3" t="inlineStr">
        <is>
          <t>Week</t>
        </is>
      </c>
      <c r="C1180" s="19" t="n">
        <v>6</v>
      </c>
      <c r="D1180" s="19" t="n">
        <v>2026</v>
      </c>
      <c r="E1180" s="57" t="n">
        <v>2</v>
      </c>
      <c r="F1180" s="29">
        <f>ROUND(((SUMIFS(Calendar!$F$2:$F$9997,Calendar!$B$2:$B$9997,D1180,Calendar!$C$2:$C$9997,C1180)*INDEX(ForeCalc!$B$37:$Y$274,MATCH(_xlfn.CONCAT(H1180," ",I1180),ForeCalc!$A$37:$A$274,0),MATCH(_xlfn.CONCAT(B1180," ",E1180),ForeCalc!$B$36:$Y$36,0))))*VLOOKUP(A1180,Calendar!$A$2:$H$9997,8,FALSE),0)</f>
        <v/>
      </c>
      <c r="G1180" s="29">
        <f>VLOOKUP(A1180,Calendar!$A$1:$H$9997,6,FALSE)-F1180</f>
        <v/>
      </c>
      <c r="H1180" s="19" t="n">
        <v>1</v>
      </c>
      <c r="I1180" s="57" t="n">
        <v>3</v>
      </c>
    </row>
    <row r="1181">
      <c r="A1181" s="62" t="n">
        <v>46196</v>
      </c>
      <c r="B1181" s="3" t="inlineStr">
        <is>
          <t>Week</t>
        </is>
      </c>
      <c r="C1181" s="19" t="n">
        <v>6</v>
      </c>
      <c r="D1181" s="19" t="n">
        <v>2026</v>
      </c>
      <c r="E1181" s="57" t="n">
        <v>2</v>
      </c>
      <c r="F1181" s="29">
        <f>ROUND(((SUMIFS(Calendar!$F$2:$F$9997,Calendar!$B$2:$B$9997,D1181,Calendar!$C$2:$C$9997,C1181)*INDEX(ForeCalc!$B$37:$Y$274,MATCH(_xlfn.CONCAT(H1181," ",I1181),ForeCalc!$A$37:$A$274,0),MATCH(_xlfn.CONCAT(B1181," ",E1181),ForeCalc!$B$36:$Y$36,0))))*VLOOKUP(A1181,Calendar!$A$2:$H$9997,8,FALSE),0)</f>
        <v/>
      </c>
      <c r="G1181" s="29">
        <f>VLOOKUP(A1181,Calendar!$A$1:$H$9997,6,FALSE)-F1181</f>
        <v/>
      </c>
      <c r="H1181" s="19" t="n">
        <v>1</v>
      </c>
      <c r="I1181" s="57" t="n">
        <v>3</v>
      </c>
    </row>
    <row r="1182">
      <c r="A1182" s="62" t="n">
        <v>46197</v>
      </c>
      <c r="B1182" s="3" t="inlineStr">
        <is>
          <t>Week</t>
        </is>
      </c>
      <c r="C1182" s="19" t="n">
        <v>6</v>
      </c>
      <c r="D1182" s="19" t="n">
        <v>2026</v>
      </c>
      <c r="E1182" s="57" t="n">
        <v>2</v>
      </c>
      <c r="F1182" s="29">
        <f>ROUND(((SUMIFS(Calendar!$F$2:$F$9997,Calendar!$B$2:$B$9997,D1182,Calendar!$C$2:$C$9997,C1182)*INDEX(ForeCalc!$B$37:$Y$274,MATCH(_xlfn.CONCAT(H1182," ",I1182),ForeCalc!$A$37:$A$274,0),MATCH(_xlfn.CONCAT(B1182," ",E1182),ForeCalc!$B$36:$Y$36,0))))*VLOOKUP(A1182,Calendar!$A$2:$H$9997,8,FALSE),0)</f>
        <v/>
      </c>
      <c r="G1182" s="29">
        <f>VLOOKUP(A1182,Calendar!$A$1:$H$9997,6,FALSE)-F1182</f>
        <v/>
      </c>
      <c r="H1182" s="19" t="n">
        <v>1</v>
      </c>
      <c r="I1182" s="57" t="n">
        <v>3</v>
      </c>
    </row>
    <row r="1183">
      <c r="A1183" s="62" t="n">
        <v>46198</v>
      </c>
      <c r="B1183" s="3" t="inlineStr">
        <is>
          <t>Week</t>
        </is>
      </c>
      <c r="C1183" s="19" t="n">
        <v>6</v>
      </c>
      <c r="D1183" s="19" t="n">
        <v>2026</v>
      </c>
      <c r="E1183" s="57" t="n">
        <v>2</v>
      </c>
      <c r="F1183" s="29">
        <f>ROUND(((SUMIFS(Calendar!$F$2:$F$9997,Calendar!$B$2:$B$9997,D1183,Calendar!$C$2:$C$9997,C1183)*INDEX(ForeCalc!$B$37:$Y$274,MATCH(_xlfn.CONCAT(H1183," ",I1183),ForeCalc!$A$37:$A$274,0),MATCH(_xlfn.CONCAT(B1183," ",E1183),ForeCalc!$B$36:$Y$36,0))))*VLOOKUP(A1183,Calendar!$A$2:$H$9997,8,FALSE),0)</f>
        <v/>
      </c>
      <c r="G1183" s="29">
        <f>VLOOKUP(A1183,Calendar!$A$1:$H$9997,6,FALSE)-F1183</f>
        <v/>
      </c>
      <c r="H1183" s="19" t="n">
        <v>1</v>
      </c>
      <c r="I1183" s="57" t="n">
        <v>3</v>
      </c>
    </row>
    <row r="1184">
      <c r="A1184" s="62" t="n">
        <v>46199</v>
      </c>
      <c r="B1184" s="3" t="inlineStr">
        <is>
          <t>Week</t>
        </is>
      </c>
      <c r="C1184" s="19" t="n">
        <v>6</v>
      </c>
      <c r="D1184" s="19" t="n">
        <v>2026</v>
      </c>
      <c r="E1184" s="57" t="n">
        <v>2</v>
      </c>
      <c r="F1184" s="29">
        <f>ROUND(((SUMIFS(Calendar!$F$2:$F$9997,Calendar!$B$2:$B$9997,D1184,Calendar!$C$2:$C$9997,C1184)*INDEX(ForeCalc!$B$37:$Y$274,MATCH(_xlfn.CONCAT(H1184," ",I1184),ForeCalc!$A$37:$A$274,0),MATCH(_xlfn.CONCAT(B1184," ",E1184),ForeCalc!$B$36:$Y$36,0))))*VLOOKUP(A1184,Calendar!$A$2:$H$9997,8,FALSE),0)</f>
        <v/>
      </c>
      <c r="G1184" s="29">
        <f>VLOOKUP(A1184,Calendar!$A$1:$H$9997,6,FALSE)-F1184</f>
        <v/>
      </c>
      <c r="H1184" s="19" t="n">
        <v>1</v>
      </c>
      <c r="I1184" s="57" t="n">
        <v>3</v>
      </c>
    </row>
    <row r="1185">
      <c r="A1185" s="62" t="n">
        <v>46200</v>
      </c>
      <c r="B1185" s="3" t="inlineStr">
        <is>
          <t>Sat</t>
        </is>
      </c>
      <c r="C1185" s="19" t="n">
        <v>6</v>
      </c>
      <c r="D1185" s="19" t="n">
        <v>2026</v>
      </c>
      <c r="E1185" s="57" t="n">
        <v>2</v>
      </c>
      <c r="F1185" s="29">
        <f>ROUND(((SUMIFS(Calendar!$F$2:$F$9997,Calendar!$B$2:$B$9997,D1185,Calendar!$C$2:$C$9997,C1185)*INDEX(ForeCalc!$B$37:$Y$274,MATCH(_xlfn.CONCAT(H1185," ",I1185),ForeCalc!$A$37:$A$274,0),MATCH(_xlfn.CONCAT(B1185," ",E1185),ForeCalc!$B$36:$Y$36,0))))*VLOOKUP(A1185,Calendar!$A$2:$H$9997,8,FALSE),0)</f>
        <v/>
      </c>
      <c r="G1185" s="29">
        <f>VLOOKUP(A1185,Calendar!$A$1:$H$9997,6,FALSE)-F1185</f>
        <v/>
      </c>
      <c r="H1185" s="19" t="n">
        <v>1</v>
      </c>
      <c r="I1185" s="57" t="n">
        <v>3</v>
      </c>
    </row>
    <row r="1186">
      <c r="A1186" s="62" t="n">
        <v>46201</v>
      </c>
      <c r="B1186" s="3" t="inlineStr">
        <is>
          <t>Sun</t>
        </is>
      </c>
      <c r="C1186" s="19" t="n">
        <v>6</v>
      </c>
      <c r="D1186" s="19" t="n">
        <v>2026</v>
      </c>
      <c r="E1186" s="57" t="n">
        <v>2</v>
      </c>
      <c r="F1186" s="29">
        <f>ROUND(((SUMIFS(Calendar!$F$2:$F$9997,Calendar!$B$2:$B$9997,D1186,Calendar!$C$2:$C$9997,C1186)*INDEX(ForeCalc!$B$37:$Y$274,MATCH(_xlfn.CONCAT(H1186," ",I1186),ForeCalc!$A$37:$A$274,0),MATCH(_xlfn.CONCAT(B1186," ",E1186),ForeCalc!$B$36:$Y$36,0))))*VLOOKUP(A1186,Calendar!$A$2:$H$9997,8,FALSE),0)</f>
        <v/>
      </c>
      <c r="G1186" s="29">
        <f>VLOOKUP(A1186,Calendar!$A$1:$H$9997,6,FALSE)-F1186</f>
        <v/>
      </c>
      <c r="H1186" s="19" t="n">
        <v>1</v>
      </c>
      <c r="I1186" s="57" t="n">
        <v>3</v>
      </c>
    </row>
    <row r="1187">
      <c r="A1187" s="62" t="n">
        <v>46202</v>
      </c>
      <c r="B1187" s="3" t="inlineStr">
        <is>
          <t>Week</t>
        </is>
      </c>
      <c r="C1187" s="19" t="n">
        <v>6</v>
      </c>
      <c r="D1187" s="19" t="n">
        <v>2026</v>
      </c>
      <c r="E1187" s="57" t="n">
        <v>2</v>
      </c>
      <c r="F1187" s="29">
        <f>ROUND(((SUMIFS(Calendar!$F$2:$F$9997,Calendar!$B$2:$B$9997,D1187,Calendar!$C$2:$C$9997,C1187)*INDEX(ForeCalc!$B$37:$Y$274,MATCH(_xlfn.CONCAT(H1187," ",I1187),ForeCalc!$A$37:$A$274,0),MATCH(_xlfn.CONCAT(B1187," ",E1187),ForeCalc!$B$36:$Y$36,0))))*VLOOKUP(A1187,Calendar!$A$2:$H$9997,8,FALSE),0)</f>
        <v/>
      </c>
      <c r="G1187" s="29">
        <f>VLOOKUP(A1187,Calendar!$A$1:$H$9997,6,FALSE)-F1187</f>
        <v/>
      </c>
      <c r="H1187" s="19" t="n">
        <v>1</v>
      </c>
      <c r="I1187" s="57" t="n">
        <v>3</v>
      </c>
    </row>
    <row r="1188">
      <c r="A1188" s="62" t="n">
        <v>46203</v>
      </c>
      <c r="B1188" s="3" t="inlineStr">
        <is>
          <t>Week</t>
        </is>
      </c>
      <c r="C1188" s="19" t="n">
        <v>6</v>
      </c>
      <c r="D1188" s="19" t="n">
        <v>2026</v>
      </c>
      <c r="E1188" s="57" t="n">
        <v>2</v>
      </c>
      <c r="F1188" s="29">
        <f>ROUND(((SUMIFS(Calendar!$F$2:$F$9997,Calendar!$B$2:$B$9997,D1188,Calendar!$C$2:$C$9997,C1188)*INDEX(ForeCalc!$B$37:$Y$274,MATCH(_xlfn.CONCAT(H1188," ",I1188),ForeCalc!$A$37:$A$274,0),MATCH(_xlfn.CONCAT(B1188," ",E1188),ForeCalc!$B$36:$Y$36,0))))*VLOOKUP(A1188,Calendar!$A$2:$H$9997,8,FALSE),0)</f>
        <v/>
      </c>
      <c r="G1188" s="29">
        <f>VLOOKUP(A1188,Calendar!$A$1:$H$9997,6,FALSE)-F1188</f>
        <v/>
      </c>
      <c r="H1188" s="19" t="n">
        <v>1</v>
      </c>
      <c r="I1188" s="57" t="n">
        <v>3</v>
      </c>
    </row>
    <row r="1189">
      <c r="A1189" s="62" t="n">
        <v>46204</v>
      </c>
      <c r="B1189" s="3" t="inlineStr">
        <is>
          <t>Week</t>
        </is>
      </c>
      <c r="C1189" s="19" t="n">
        <v>7</v>
      </c>
      <c r="D1189" s="19" t="n">
        <v>2026</v>
      </c>
      <c r="E1189" s="57" t="n">
        <v>2</v>
      </c>
      <c r="F1189" s="29">
        <f>ROUND(((SUMIFS(Calendar!$F$2:$F$9997,Calendar!$B$2:$B$9997,D1189,Calendar!$C$2:$C$9997,C1189)*INDEX(ForeCalc!$B$37:$Y$274,MATCH(_xlfn.CONCAT(H1189," ",I1189),ForeCalc!$A$37:$A$274,0),MATCH(_xlfn.CONCAT(B1189," ",E1189),ForeCalc!$B$36:$Y$36,0))))*VLOOKUP(A1189,Calendar!$A$2:$H$9997,8,FALSE),0)</f>
        <v/>
      </c>
      <c r="G1189" s="29">
        <f>VLOOKUP(A1189,Calendar!$A$1:$H$9997,6,FALSE)-F1189</f>
        <v/>
      </c>
      <c r="H1189" s="19" t="n">
        <v>1</v>
      </c>
      <c r="I1189" s="57" t="n">
        <v>4</v>
      </c>
    </row>
    <row r="1190">
      <c r="A1190" s="62" t="n">
        <v>46205</v>
      </c>
      <c r="B1190" s="3" t="inlineStr">
        <is>
          <t>Week</t>
        </is>
      </c>
      <c r="C1190" s="19" t="n">
        <v>7</v>
      </c>
      <c r="D1190" s="19" t="n">
        <v>2026</v>
      </c>
      <c r="E1190" s="57" t="n">
        <v>2</v>
      </c>
      <c r="F1190" s="29">
        <f>ROUND(((SUMIFS(Calendar!$F$2:$F$9997,Calendar!$B$2:$B$9997,D1190,Calendar!$C$2:$C$9997,C1190)*INDEX(ForeCalc!$B$37:$Y$274,MATCH(_xlfn.CONCAT(H1190," ",I1190),ForeCalc!$A$37:$A$274,0),MATCH(_xlfn.CONCAT(B1190," ",E1190),ForeCalc!$B$36:$Y$36,0))))*VLOOKUP(A1190,Calendar!$A$2:$H$9997,8,FALSE),0)</f>
        <v/>
      </c>
      <c r="G1190" s="29">
        <f>VLOOKUP(A1190,Calendar!$A$1:$H$9997,6,FALSE)-F1190</f>
        <v/>
      </c>
      <c r="H1190" s="19" t="n">
        <v>1</v>
      </c>
      <c r="I1190" s="57" t="n">
        <v>4</v>
      </c>
    </row>
    <row r="1191">
      <c r="A1191" s="62" t="n">
        <v>46206</v>
      </c>
      <c r="B1191" s="3" t="inlineStr">
        <is>
          <t>Week</t>
        </is>
      </c>
      <c r="C1191" s="19" t="n">
        <v>7</v>
      </c>
      <c r="D1191" s="19" t="n">
        <v>2026</v>
      </c>
      <c r="E1191" s="57" t="n">
        <v>2</v>
      </c>
      <c r="F1191" s="29">
        <f>ROUND(((SUMIFS(Calendar!$F$2:$F$9997,Calendar!$B$2:$B$9997,D1191,Calendar!$C$2:$C$9997,C1191)*INDEX(ForeCalc!$B$37:$Y$274,MATCH(_xlfn.CONCAT(H1191," ",I1191),ForeCalc!$A$37:$A$274,0),MATCH(_xlfn.CONCAT(B1191," ",E1191),ForeCalc!$B$36:$Y$36,0))))*VLOOKUP(A1191,Calendar!$A$2:$H$9997,8,FALSE),0)</f>
        <v/>
      </c>
      <c r="G1191" s="29">
        <f>VLOOKUP(A1191,Calendar!$A$1:$H$9997,6,FALSE)-F1191</f>
        <v/>
      </c>
      <c r="H1191" s="19" t="n">
        <v>1</v>
      </c>
      <c r="I1191" s="57" t="n">
        <v>4</v>
      </c>
    </row>
    <row r="1192">
      <c r="A1192" s="62" t="n">
        <v>46207</v>
      </c>
      <c r="B1192" s="3" t="inlineStr">
        <is>
          <t>Sat</t>
        </is>
      </c>
      <c r="C1192" s="19" t="n">
        <v>7</v>
      </c>
      <c r="D1192" s="19" t="n">
        <v>2026</v>
      </c>
      <c r="E1192" s="57" t="n">
        <v>2</v>
      </c>
      <c r="F1192" s="29">
        <f>ROUND(((SUMIFS(Calendar!$F$2:$F$9997,Calendar!$B$2:$B$9997,D1192,Calendar!$C$2:$C$9997,C1192)*INDEX(ForeCalc!$B$37:$Y$274,MATCH(_xlfn.CONCAT(H1192," ",I1192),ForeCalc!$A$37:$A$274,0),MATCH(_xlfn.CONCAT(B1192," ",E1192),ForeCalc!$B$36:$Y$36,0))))*VLOOKUP(A1192,Calendar!$A$2:$H$9997,8,FALSE),0)</f>
        <v/>
      </c>
      <c r="G1192" s="29">
        <f>VLOOKUP(A1192,Calendar!$A$1:$H$9997,6,FALSE)-F1192</f>
        <v/>
      </c>
      <c r="H1192" s="19" t="n">
        <v>1</v>
      </c>
      <c r="I1192" s="57" t="n">
        <v>4</v>
      </c>
    </row>
    <row r="1193">
      <c r="A1193" s="62" t="n">
        <v>46208</v>
      </c>
      <c r="B1193" s="3" t="inlineStr">
        <is>
          <t>Sun</t>
        </is>
      </c>
      <c r="C1193" s="19" t="n">
        <v>7</v>
      </c>
      <c r="D1193" s="19" t="n">
        <v>2026</v>
      </c>
      <c r="E1193" s="57" t="n">
        <v>2</v>
      </c>
      <c r="F1193" s="29">
        <f>ROUND(((SUMIFS(Calendar!$F$2:$F$9997,Calendar!$B$2:$B$9997,D1193,Calendar!$C$2:$C$9997,C1193)*INDEX(ForeCalc!$B$37:$Y$274,MATCH(_xlfn.CONCAT(H1193," ",I1193),ForeCalc!$A$37:$A$274,0),MATCH(_xlfn.CONCAT(B1193," ",E1193),ForeCalc!$B$36:$Y$36,0))))*VLOOKUP(A1193,Calendar!$A$2:$H$9997,8,FALSE),0)</f>
        <v/>
      </c>
      <c r="G1193" s="29">
        <f>VLOOKUP(A1193,Calendar!$A$1:$H$9997,6,FALSE)-F1193</f>
        <v/>
      </c>
      <c r="H1193" s="19" t="n">
        <v>1</v>
      </c>
      <c r="I1193" s="57" t="n">
        <v>4</v>
      </c>
    </row>
    <row r="1194">
      <c r="A1194" s="62" t="n">
        <v>46209</v>
      </c>
      <c r="B1194" s="3" t="inlineStr">
        <is>
          <t>Week</t>
        </is>
      </c>
      <c r="C1194" s="19" t="n">
        <v>7</v>
      </c>
      <c r="D1194" s="19" t="n">
        <v>2026</v>
      </c>
      <c r="E1194" s="57" t="n">
        <v>2</v>
      </c>
      <c r="F1194" s="29">
        <f>ROUND(((SUMIFS(Calendar!$F$2:$F$9997,Calendar!$B$2:$B$9997,D1194,Calendar!$C$2:$C$9997,C1194)*INDEX(ForeCalc!$B$37:$Y$274,MATCH(_xlfn.CONCAT(H1194," ",I1194),ForeCalc!$A$37:$A$274,0),MATCH(_xlfn.CONCAT(B1194," ",E1194),ForeCalc!$B$36:$Y$36,0))))*VLOOKUP(A1194,Calendar!$A$2:$H$9997,8,FALSE),0)</f>
        <v/>
      </c>
      <c r="G1194" s="29">
        <f>VLOOKUP(A1194,Calendar!$A$1:$H$9997,6,FALSE)-F1194</f>
        <v/>
      </c>
      <c r="H1194" s="19" t="n">
        <v>1</v>
      </c>
      <c r="I1194" s="57" t="n">
        <v>4</v>
      </c>
    </row>
    <row r="1195">
      <c r="A1195" s="62" t="n">
        <v>46210</v>
      </c>
      <c r="B1195" s="3" t="inlineStr">
        <is>
          <t>Week</t>
        </is>
      </c>
      <c r="C1195" s="19" t="n">
        <v>7</v>
      </c>
      <c r="D1195" s="19" t="n">
        <v>2026</v>
      </c>
      <c r="E1195" s="57" t="n">
        <v>2</v>
      </c>
      <c r="F1195" s="29">
        <f>ROUND(((SUMIFS(Calendar!$F$2:$F$9997,Calendar!$B$2:$B$9997,D1195,Calendar!$C$2:$C$9997,C1195)*INDEX(ForeCalc!$B$37:$Y$274,MATCH(_xlfn.CONCAT(H1195," ",I1195),ForeCalc!$A$37:$A$274,0),MATCH(_xlfn.CONCAT(B1195," ",E1195),ForeCalc!$B$36:$Y$36,0))))*VLOOKUP(A1195,Calendar!$A$2:$H$9997,8,FALSE),0)</f>
        <v/>
      </c>
      <c r="G1195" s="29">
        <f>VLOOKUP(A1195,Calendar!$A$1:$H$9997,6,FALSE)-F1195</f>
        <v/>
      </c>
      <c r="H1195" s="19" t="n">
        <v>1</v>
      </c>
      <c r="I1195" s="57" t="n">
        <v>4</v>
      </c>
    </row>
    <row r="1196">
      <c r="A1196" s="62" t="n">
        <v>46211</v>
      </c>
      <c r="B1196" s="3" t="inlineStr">
        <is>
          <t>Week</t>
        </is>
      </c>
      <c r="C1196" s="19" t="n">
        <v>7</v>
      </c>
      <c r="D1196" s="19" t="n">
        <v>2026</v>
      </c>
      <c r="E1196" s="57" t="n">
        <v>2</v>
      </c>
      <c r="F1196" s="29">
        <f>ROUND(((SUMIFS(Calendar!$F$2:$F$9997,Calendar!$B$2:$B$9997,D1196,Calendar!$C$2:$C$9997,C1196)*INDEX(ForeCalc!$B$37:$Y$274,MATCH(_xlfn.CONCAT(H1196," ",I1196),ForeCalc!$A$37:$A$274,0),MATCH(_xlfn.CONCAT(B1196," ",E1196),ForeCalc!$B$36:$Y$36,0))))*VLOOKUP(A1196,Calendar!$A$2:$H$9997,8,FALSE),0)</f>
        <v/>
      </c>
      <c r="G1196" s="29">
        <f>VLOOKUP(A1196,Calendar!$A$1:$H$9997,6,FALSE)-F1196</f>
        <v/>
      </c>
      <c r="H1196" s="19" t="n">
        <v>1</v>
      </c>
      <c r="I1196" s="57" t="n">
        <v>4</v>
      </c>
    </row>
    <row r="1197">
      <c r="A1197" s="62" t="n">
        <v>46212</v>
      </c>
      <c r="B1197" s="3" t="inlineStr">
        <is>
          <t>Week</t>
        </is>
      </c>
      <c r="C1197" s="19" t="n">
        <v>7</v>
      </c>
      <c r="D1197" s="19" t="n">
        <v>2026</v>
      </c>
      <c r="E1197" s="57" t="n">
        <v>2</v>
      </c>
      <c r="F1197" s="29">
        <f>ROUND(((SUMIFS(Calendar!$F$2:$F$9997,Calendar!$B$2:$B$9997,D1197,Calendar!$C$2:$C$9997,C1197)*INDEX(ForeCalc!$B$37:$Y$274,MATCH(_xlfn.CONCAT(H1197," ",I1197),ForeCalc!$A$37:$A$274,0),MATCH(_xlfn.CONCAT(B1197," ",E1197),ForeCalc!$B$36:$Y$36,0))))*VLOOKUP(A1197,Calendar!$A$2:$H$9997,8,FALSE),0)</f>
        <v/>
      </c>
      <c r="G1197" s="29">
        <f>VLOOKUP(A1197,Calendar!$A$1:$H$9997,6,FALSE)-F1197</f>
        <v/>
      </c>
      <c r="H1197" s="19" t="n">
        <v>1</v>
      </c>
      <c r="I1197" s="57" t="n">
        <v>4</v>
      </c>
    </row>
    <row r="1198">
      <c r="A1198" s="62" t="n">
        <v>46213</v>
      </c>
      <c r="B1198" s="3" t="inlineStr">
        <is>
          <t>Week</t>
        </is>
      </c>
      <c r="C1198" s="19" t="n">
        <v>7</v>
      </c>
      <c r="D1198" s="19" t="n">
        <v>2026</v>
      </c>
      <c r="E1198" s="57" t="n">
        <v>2</v>
      </c>
      <c r="F1198" s="29">
        <f>ROUND(((SUMIFS(Calendar!$F$2:$F$9997,Calendar!$B$2:$B$9997,D1198,Calendar!$C$2:$C$9997,C1198)*INDEX(ForeCalc!$B$37:$Y$274,MATCH(_xlfn.CONCAT(H1198," ",I1198),ForeCalc!$A$37:$A$274,0),MATCH(_xlfn.CONCAT(B1198," ",E1198),ForeCalc!$B$36:$Y$36,0))))*VLOOKUP(A1198,Calendar!$A$2:$H$9997,8,FALSE),0)</f>
        <v/>
      </c>
      <c r="G1198" s="29">
        <f>VLOOKUP(A1198,Calendar!$A$1:$H$9997,6,FALSE)-F1198</f>
        <v/>
      </c>
      <c r="H1198" s="19" t="n">
        <v>1</v>
      </c>
      <c r="I1198" s="57" t="n">
        <v>4</v>
      </c>
    </row>
    <row r="1199">
      <c r="A1199" s="62" t="n">
        <v>46214</v>
      </c>
      <c r="B1199" s="3" t="inlineStr">
        <is>
          <t>Sat</t>
        </is>
      </c>
      <c r="C1199" s="19" t="n">
        <v>7</v>
      </c>
      <c r="D1199" s="19" t="n">
        <v>2026</v>
      </c>
      <c r="E1199" s="57" t="n">
        <v>2</v>
      </c>
      <c r="F1199" s="29">
        <f>ROUND(((SUMIFS(Calendar!$F$2:$F$9997,Calendar!$B$2:$B$9997,D1199,Calendar!$C$2:$C$9997,C1199)*INDEX(ForeCalc!$B$37:$Y$274,MATCH(_xlfn.CONCAT(H1199," ",I1199),ForeCalc!$A$37:$A$274,0),MATCH(_xlfn.CONCAT(B1199," ",E1199),ForeCalc!$B$36:$Y$36,0))))*VLOOKUP(A1199,Calendar!$A$2:$H$9997,8,FALSE),0)</f>
        <v/>
      </c>
      <c r="G1199" s="29">
        <f>VLOOKUP(A1199,Calendar!$A$1:$H$9997,6,FALSE)-F1199</f>
        <v/>
      </c>
      <c r="H1199" s="19" t="n">
        <v>1</v>
      </c>
      <c r="I1199" s="57" t="n">
        <v>4</v>
      </c>
    </row>
    <row r="1200">
      <c r="A1200" s="62" t="n">
        <v>46215</v>
      </c>
      <c r="B1200" s="3" t="inlineStr">
        <is>
          <t>Sun</t>
        </is>
      </c>
      <c r="C1200" s="19" t="n">
        <v>7</v>
      </c>
      <c r="D1200" s="19" t="n">
        <v>2026</v>
      </c>
      <c r="E1200" s="57" t="n">
        <v>2</v>
      </c>
      <c r="F1200" s="29">
        <f>ROUND(((SUMIFS(Calendar!$F$2:$F$9997,Calendar!$B$2:$B$9997,D1200,Calendar!$C$2:$C$9997,C1200)*INDEX(ForeCalc!$B$37:$Y$274,MATCH(_xlfn.CONCAT(H1200," ",I1200),ForeCalc!$A$37:$A$274,0),MATCH(_xlfn.CONCAT(B1200," ",E1200),ForeCalc!$B$36:$Y$36,0))))*VLOOKUP(A1200,Calendar!$A$2:$H$9997,8,FALSE),0)</f>
        <v/>
      </c>
      <c r="G1200" s="29">
        <f>VLOOKUP(A1200,Calendar!$A$1:$H$9997,6,FALSE)-F1200</f>
        <v/>
      </c>
      <c r="H1200" s="19" t="n">
        <v>1</v>
      </c>
      <c r="I1200" s="57" t="n">
        <v>4</v>
      </c>
    </row>
    <row r="1201">
      <c r="A1201" s="62" t="n">
        <v>46216</v>
      </c>
      <c r="B1201" s="3" t="inlineStr">
        <is>
          <t>Week</t>
        </is>
      </c>
      <c r="C1201" s="19" t="n">
        <v>7</v>
      </c>
      <c r="D1201" s="19" t="n">
        <v>2026</v>
      </c>
      <c r="E1201" s="57" t="n">
        <v>2</v>
      </c>
      <c r="F1201" s="29">
        <f>ROUND(((SUMIFS(Calendar!$F$2:$F$9997,Calendar!$B$2:$B$9997,D1201,Calendar!$C$2:$C$9997,C1201)*INDEX(ForeCalc!$B$37:$Y$274,MATCH(_xlfn.CONCAT(H1201," ",I1201),ForeCalc!$A$37:$A$274,0),MATCH(_xlfn.CONCAT(B1201," ",E1201),ForeCalc!$B$36:$Y$36,0))))*VLOOKUP(A1201,Calendar!$A$2:$H$9997,8,FALSE),0)</f>
        <v/>
      </c>
      <c r="G1201" s="29">
        <f>VLOOKUP(A1201,Calendar!$A$1:$H$9997,6,FALSE)-F1201</f>
        <v/>
      </c>
      <c r="H1201" s="19" t="n">
        <v>1</v>
      </c>
      <c r="I1201" s="57" t="n">
        <v>4</v>
      </c>
    </row>
    <row r="1202">
      <c r="A1202" s="62" t="n">
        <v>46217</v>
      </c>
      <c r="B1202" s="3" t="inlineStr">
        <is>
          <t>Week</t>
        </is>
      </c>
      <c r="C1202" s="19" t="n">
        <v>7</v>
      </c>
      <c r="D1202" s="19" t="n">
        <v>2026</v>
      </c>
      <c r="E1202" s="57" t="n">
        <v>2</v>
      </c>
      <c r="F1202" s="29">
        <f>ROUND(((SUMIFS(Calendar!$F$2:$F$9997,Calendar!$B$2:$B$9997,D1202,Calendar!$C$2:$C$9997,C1202)*INDEX(ForeCalc!$B$37:$Y$274,MATCH(_xlfn.CONCAT(H1202," ",I1202),ForeCalc!$A$37:$A$274,0),MATCH(_xlfn.CONCAT(B1202," ",E1202),ForeCalc!$B$36:$Y$36,0))))*VLOOKUP(A1202,Calendar!$A$2:$H$9997,8,FALSE),0)</f>
        <v/>
      </c>
      <c r="G1202" s="29">
        <f>VLOOKUP(A1202,Calendar!$A$1:$H$9997,6,FALSE)-F1202</f>
        <v/>
      </c>
      <c r="H1202" s="19" t="n">
        <v>1</v>
      </c>
      <c r="I1202" s="57" t="n">
        <v>4</v>
      </c>
    </row>
    <row r="1203">
      <c r="A1203" s="62" t="n">
        <v>46218</v>
      </c>
      <c r="B1203" s="3" t="inlineStr">
        <is>
          <t>Week</t>
        </is>
      </c>
      <c r="C1203" s="19" t="n">
        <v>7</v>
      </c>
      <c r="D1203" s="19" t="n">
        <v>2026</v>
      </c>
      <c r="E1203" s="57" t="n">
        <v>2</v>
      </c>
      <c r="F1203" s="29">
        <f>ROUND(((SUMIFS(Calendar!$F$2:$F$9997,Calendar!$B$2:$B$9997,D1203,Calendar!$C$2:$C$9997,C1203)*INDEX(ForeCalc!$B$37:$Y$274,MATCH(_xlfn.CONCAT(H1203," ",I1203),ForeCalc!$A$37:$A$274,0),MATCH(_xlfn.CONCAT(B1203," ",E1203),ForeCalc!$B$36:$Y$36,0))))*VLOOKUP(A1203,Calendar!$A$2:$H$9997,8,FALSE),0)</f>
        <v/>
      </c>
      <c r="G1203" s="29">
        <f>VLOOKUP(A1203,Calendar!$A$1:$H$9997,6,FALSE)-F1203</f>
        <v/>
      </c>
      <c r="H1203" s="19" t="n">
        <v>1</v>
      </c>
      <c r="I1203" s="57" t="n">
        <v>4</v>
      </c>
    </row>
    <row r="1204">
      <c r="A1204" s="62" t="n">
        <v>46219</v>
      </c>
      <c r="B1204" s="3" t="inlineStr">
        <is>
          <t>Week</t>
        </is>
      </c>
      <c r="C1204" s="19" t="n">
        <v>7</v>
      </c>
      <c r="D1204" s="19" t="n">
        <v>2026</v>
      </c>
      <c r="E1204" s="57" t="n">
        <v>2</v>
      </c>
      <c r="F1204" s="29">
        <f>ROUND(((SUMIFS(Calendar!$F$2:$F$9997,Calendar!$B$2:$B$9997,D1204,Calendar!$C$2:$C$9997,C1204)*INDEX(ForeCalc!$B$37:$Y$274,MATCH(_xlfn.CONCAT(H1204," ",I1204),ForeCalc!$A$37:$A$274,0),MATCH(_xlfn.CONCAT(B1204," ",E1204),ForeCalc!$B$36:$Y$36,0))))*VLOOKUP(A1204,Calendar!$A$2:$H$9997,8,FALSE),0)</f>
        <v/>
      </c>
      <c r="G1204" s="29">
        <f>VLOOKUP(A1204,Calendar!$A$1:$H$9997,6,FALSE)-F1204</f>
        <v/>
      </c>
      <c r="H1204" s="19" t="n">
        <v>1</v>
      </c>
      <c r="I1204" s="57" t="n">
        <v>4</v>
      </c>
    </row>
    <row r="1205">
      <c r="A1205" s="62" t="n">
        <v>46220</v>
      </c>
      <c r="B1205" s="3" t="inlineStr">
        <is>
          <t>Week</t>
        </is>
      </c>
      <c r="C1205" s="19" t="n">
        <v>7</v>
      </c>
      <c r="D1205" s="19" t="n">
        <v>2026</v>
      </c>
      <c r="E1205" s="57" t="n">
        <v>2</v>
      </c>
      <c r="F1205" s="29">
        <f>ROUND(((SUMIFS(Calendar!$F$2:$F$9997,Calendar!$B$2:$B$9997,D1205,Calendar!$C$2:$C$9997,C1205)*INDEX(ForeCalc!$B$37:$Y$274,MATCH(_xlfn.CONCAT(H1205," ",I1205),ForeCalc!$A$37:$A$274,0),MATCH(_xlfn.CONCAT(B1205," ",E1205),ForeCalc!$B$36:$Y$36,0))))*VLOOKUP(A1205,Calendar!$A$2:$H$9997,8,FALSE),0)</f>
        <v/>
      </c>
      <c r="G1205" s="29">
        <f>VLOOKUP(A1205,Calendar!$A$1:$H$9997,6,FALSE)-F1205</f>
        <v/>
      </c>
      <c r="H1205" s="19" t="n">
        <v>1</v>
      </c>
      <c r="I1205" s="57" t="n">
        <v>4</v>
      </c>
    </row>
    <row r="1206">
      <c r="A1206" s="62" t="n">
        <v>46221</v>
      </c>
      <c r="B1206" s="3" t="inlineStr">
        <is>
          <t>Sat</t>
        </is>
      </c>
      <c r="C1206" s="19" t="n">
        <v>7</v>
      </c>
      <c r="D1206" s="19" t="n">
        <v>2026</v>
      </c>
      <c r="E1206" s="57" t="n">
        <v>2</v>
      </c>
      <c r="F1206" s="29">
        <f>ROUND(((SUMIFS(Calendar!$F$2:$F$9997,Calendar!$B$2:$B$9997,D1206,Calendar!$C$2:$C$9997,C1206)*INDEX(ForeCalc!$B$37:$Y$274,MATCH(_xlfn.CONCAT(H1206," ",I1206),ForeCalc!$A$37:$A$274,0),MATCH(_xlfn.CONCAT(B1206," ",E1206),ForeCalc!$B$36:$Y$36,0))))*VLOOKUP(A1206,Calendar!$A$2:$H$9997,8,FALSE),0)</f>
        <v/>
      </c>
      <c r="G1206" s="29">
        <f>VLOOKUP(A1206,Calendar!$A$1:$H$9997,6,FALSE)-F1206</f>
        <v/>
      </c>
      <c r="H1206" s="19" t="n">
        <v>1</v>
      </c>
      <c r="I1206" s="57" t="n">
        <v>4</v>
      </c>
    </row>
    <row r="1207">
      <c r="A1207" s="62" t="n">
        <v>46222</v>
      </c>
      <c r="B1207" s="3" t="inlineStr">
        <is>
          <t>Sun</t>
        </is>
      </c>
      <c r="C1207" s="19" t="n">
        <v>7</v>
      </c>
      <c r="D1207" s="19" t="n">
        <v>2026</v>
      </c>
      <c r="E1207" s="57" t="n">
        <v>2</v>
      </c>
      <c r="F1207" s="29">
        <f>ROUND(((SUMIFS(Calendar!$F$2:$F$9997,Calendar!$B$2:$B$9997,D1207,Calendar!$C$2:$C$9997,C1207)*INDEX(ForeCalc!$B$37:$Y$274,MATCH(_xlfn.CONCAT(H1207," ",I1207),ForeCalc!$A$37:$A$274,0),MATCH(_xlfn.CONCAT(B1207," ",E1207),ForeCalc!$B$36:$Y$36,0))))*VLOOKUP(A1207,Calendar!$A$2:$H$9997,8,FALSE),0)</f>
        <v/>
      </c>
      <c r="G1207" s="29">
        <f>VLOOKUP(A1207,Calendar!$A$1:$H$9997,6,FALSE)-F1207</f>
        <v/>
      </c>
      <c r="H1207" s="19" t="n">
        <v>1</v>
      </c>
      <c r="I1207" s="57" t="n">
        <v>4</v>
      </c>
    </row>
    <row r="1208">
      <c r="A1208" s="62" t="n">
        <v>46223</v>
      </c>
      <c r="B1208" s="3" t="inlineStr">
        <is>
          <t>Week</t>
        </is>
      </c>
      <c r="C1208" s="19" t="n">
        <v>7</v>
      </c>
      <c r="D1208" s="19" t="n">
        <v>2026</v>
      </c>
      <c r="E1208" s="57" t="n">
        <v>2</v>
      </c>
      <c r="F1208" s="29">
        <f>ROUND(((SUMIFS(Calendar!$F$2:$F$9997,Calendar!$B$2:$B$9997,D1208,Calendar!$C$2:$C$9997,C1208)*INDEX(ForeCalc!$B$37:$Y$274,MATCH(_xlfn.CONCAT(H1208," ",I1208),ForeCalc!$A$37:$A$274,0),MATCH(_xlfn.CONCAT(B1208," ",E1208),ForeCalc!$B$36:$Y$36,0))))*VLOOKUP(A1208,Calendar!$A$2:$H$9997,8,FALSE),0)</f>
        <v/>
      </c>
      <c r="G1208" s="29">
        <f>VLOOKUP(A1208,Calendar!$A$1:$H$9997,6,FALSE)-F1208</f>
        <v/>
      </c>
      <c r="H1208" s="19" t="n">
        <v>1</v>
      </c>
      <c r="I1208" s="57" t="n">
        <v>4</v>
      </c>
    </row>
    <row r="1209">
      <c r="A1209" s="62" t="n">
        <v>46224</v>
      </c>
      <c r="B1209" s="3" t="inlineStr">
        <is>
          <t>Week</t>
        </is>
      </c>
      <c r="C1209" s="19" t="n">
        <v>7</v>
      </c>
      <c r="D1209" s="19" t="n">
        <v>2026</v>
      </c>
      <c r="E1209" s="57" t="n">
        <v>2</v>
      </c>
      <c r="F1209" s="29">
        <f>ROUND(((SUMIFS(Calendar!$F$2:$F$9997,Calendar!$B$2:$B$9997,D1209,Calendar!$C$2:$C$9997,C1209)*INDEX(ForeCalc!$B$37:$Y$274,MATCH(_xlfn.CONCAT(H1209," ",I1209),ForeCalc!$A$37:$A$274,0),MATCH(_xlfn.CONCAT(B1209," ",E1209),ForeCalc!$B$36:$Y$36,0))))*VLOOKUP(A1209,Calendar!$A$2:$H$9997,8,FALSE),0)</f>
        <v/>
      </c>
      <c r="G1209" s="29">
        <f>VLOOKUP(A1209,Calendar!$A$1:$H$9997,6,FALSE)-F1209</f>
        <v/>
      </c>
      <c r="H1209" s="19" t="n">
        <v>1</v>
      </c>
      <c r="I1209" s="57" t="n">
        <v>4</v>
      </c>
    </row>
    <row r="1210">
      <c r="A1210" s="62" t="n">
        <v>46225</v>
      </c>
      <c r="B1210" s="3" t="inlineStr">
        <is>
          <t>Week</t>
        </is>
      </c>
      <c r="C1210" s="19" t="n">
        <v>7</v>
      </c>
      <c r="D1210" s="19" t="n">
        <v>2026</v>
      </c>
      <c r="E1210" s="57" t="n">
        <v>2</v>
      </c>
      <c r="F1210" s="29">
        <f>ROUND(((SUMIFS(Calendar!$F$2:$F$9997,Calendar!$B$2:$B$9997,D1210,Calendar!$C$2:$C$9997,C1210)*INDEX(ForeCalc!$B$37:$Y$274,MATCH(_xlfn.CONCAT(H1210," ",I1210),ForeCalc!$A$37:$A$274,0),MATCH(_xlfn.CONCAT(B1210," ",E1210),ForeCalc!$B$36:$Y$36,0))))*VLOOKUP(A1210,Calendar!$A$2:$H$9997,8,FALSE),0)</f>
        <v/>
      </c>
      <c r="G1210" s="29">
        <f>VLOOKUP(A1210,Calendar!$A$1:$H$9997,6,FALSE)-F1210</f>
        <v/>
      </c>
      <c r="H1210" s="19" t="n">
        <v>1</v>
      </c>
      <c r="I1210" s="57" t="n">
        <v>4</v>
      </c>
    </row>
    <row r="1211">
      <c r="A1211" s="62" t="n">
        <v>46226</v>
      </c>
      <c r="B1211" s="3" t="inlineStr">
        <is>
          <t>Week</t>
        </is>
      </c>
      <c r="C1211" s="19" t="n">
        <v>7</v>
      </c>
      <c r="D1211" s="19" t="n">
        <v>2026</v>
      </c>
      <c r="E1211" s="57" t="n">
        <v>2</v>
      </c>
      <c r="F1211" s="29">
        <f>ROUND(((SUMIFS(Calendar!$F$2:$F$9997,Calendar!$B$2:$B$9997,D1211,Calendar!$C$2:$C$9997,C1211)*INDEX(ForeCalc!$B$37:$Y$274,MATCH(_xlfn.CONCAT(H1211," ",I1211),ForeCalc!$A$37:$A$274,0),MATCH(_xlfn.CONCAT(B1211," ",E1211),ForeCalc!$B$36:$Y$36,0))))*VLOOKUP(A1211,Calendar!$A$2:$H$9997,8,FALSE),0)</f>
        <v/>
      </c>
      <c r="G1211" s="29">
        <f>VLOOKUP(A1211,Calendar!$A$1:$H$9997,6,FALSE)-F1211</f>
        <v/>
      </c>
      <c r="H1211" s="19" t="n">
        <v>1</v>
      </c>
      <c r="I1211" s="57" t="n">
        <v>4</v>
      </c>
    </row>
    <row r="1212">
      <c r="A1212" s="62" t="n">
        <v>46227</v>
      </c>
      <c r="B1212" s="3" t="inlineStr">
        <is>
          <t>Week</t>
        </is>
      </c>
      <c r="C1212" s="19" t="n">
        <v>7</v>
      </c>
      <c r="D1212" s="19" t="n">
        <v>2026</v>
      </c>
      <c r="E1212" s="57" t="n">
        <v>2</v>
      </c>
      <c r="F1212" s="29">
        <f>ROUND(((SUMIFS(Calendar!$F$2:$F$9997,Calendar!$B$2:$B$9997,D1212,Calendar!$C$2:$C$9997,C1212)*INDEX(ForeCalc!$B$37:$Y$274,MATCH(_xlfn.CONCAT(H1212," ",I1212),ForeCalc!$A$37:$A$274,0),MATCH(_xlfn.CONCAT(B1212," ",E1212),ForeCalc!$B$36:$Y$36,0))))*VLOOKUP(A1212,Calendar!$A$2:$H$9997,8,FALSE),0)</f>
        <v/>
      </c>
      <c r="G1212" s="29">
        <f>VLOOKUP(A1212,Calendar!$A$1:$H$9997,6,FALSE)-F1212</f>
        <v/>
      </c>
      <c r="H1212" s="19" t="n">
        <v>1</v>
      </c>
      <c r="I1212" s="57" t="n">
        <v>4</v>
      </c>
    </row>
    <row r="1213">
      <c r="A1213" s="62" t="n">
        <v>46228</v>
      </c>
      <c r="B1213" s="3" t="inlineStr">
        <is>
          <t>Sat</t>
        </is>
      </c>
      <c r="C1213" s="19" t="n">
        <v>7</v>
      </c>
      <c r="D1213" s="19" t="n">
        <v>2026</v>
      </c>
      <c r="E1213" s="57" t="n">
        <v>2</v>
      </c>
      <c r="F1213" s="29">
        <f>ROUND(((SUMIFS(Calendar!$F$2:$F$9997,Calendar!$B$2:$B$9997,D1213,Calendar!$C$2:$C$9997,C1213)*INDEX(ForeCalc!$B$37:$Y$274,MATCH(_xlfn.CONCAT(H1213," ",I1213),ForeCalc!$A$37:$A$274,0),MATCH(_xlfn.CONCAT(B1213," ",E1213),ForeCalc!$B$36:$Y$36,0))))*VLOOKUP(A1213,Calendar!$A$2:$H$9997,8,FALSE),0)</f>
        <v/>
      </c>
      <c r="G1213" s="29">
        <f>VLOOKUP(A1213,Calendar!$A$1:$H$9997,6,FALSE)-F1213</f>
        <v/>
      </c>
      <c r="H1213" s="19" t="n">
        <v>1</v>
      </c>
      <c r="I1213" s="57" t="n">
        <v>4</v>
      </c>
    </row>
    <row r="1214">
      <c r="A1214" s="62" t="n">
        <v>46229</v>
      </c>
      <c r="B1214" s="3" t="inlineStr">
        <is>
          <t>Sun</t>
        </is>
      </c>
      <c r="C1214" s="19" t="n">
        <v>7</v>
      </c>
      <c r="D1214" s="19" t="n">
        <v>2026</v>
      </c>
      <c r="E1214" s="57" t="n">
        <v>2</v>
      </c>
      <c r="F1214" s="29">
        <f>ROUND(((SUMIFS(Calendar!$F$2:$F$9997,Calendar!$B$2:$B$9997,D1214,Calendar!$C$2:$C$9997,C1214)*INDEX(ForeCalc!$B$37:$Y$274,MATCH(_xlfn.CONCAT(H1214," ",I1214),ForeCalc!$A$37:$A$274,0),MATCH(_xlfn.CONCAT(B1214," ",E1214),ForeCalc!$B$36:$Y$36,0))))*VLOOKUP(A1214,Calendar!$A$2:$H$9997,8,FALSE),0)</f>
        <v/>
      </c>
      <c r="G1214" s="29">
        <f>VLOOKUP(A1214,Calendar!$A$1:$H$9997,6,FALSE)-F1214</f>
        <v/>
      </c>
      <c r="H1214" s="19" t="n">
        <v>1</v>
      </c>
      <c r="I1214" s="57" t="n">
        <v>4</v>
      </c>
    </row>
    <row r="1215">
      <c r="A1215" s="62" t="n">
        <v>46230</v>
      </c>
      <c r="B1215" s="3" t="inlineStr">
        <is>
          <t>Week</t>
        </is>
      </c>
      <c r="C1215" s="19" t="n">
        <v>7</v>
      </c>
      <c r="D1215" s="19" t="n">
        <v>2026</v>
      </c>
      <c r="E1215" s="57" t="n">
        <v>2</v>
      </c>
      <c r="F1215" s="29">
        <f>ROUND(((SUMIFS(Calendar!$F$2:$F$9997,Calendar!$B$2:$B$9997,D1215,Calendar!$C$2:$C$9997,C1215)*INDEX(ForeCalc!$B$37:$Y$274,MATCH(_xlfn.CONCAT(H1215," ",I1215),ForeCalc!$A$37:$A$274,0),MATCH(_xlfn.CONCAT(B1215," ",E1215),ForeCalc!$B$36:$Y$36,0))))*VLOOKUP(A1215,Calendar!$A$2:$H$9997,8,FALSE),0)</f>
        <v/>
      </c>
      <c r="G1215" s="29">
        <f>VLOOKUP(A1215,Calendar!$A$1:$H$9997,6,FALSE)-F1215</f>
        <v/>
      </c>
      <c r="H1215" s="19" t="n">
        <v>1</v>
      </c>
      <c r="I1215" s="57" t="n">
        <v>4</v>
      </c>
    </row>
    <row r="1216">
      <c r="A1216" s="62" t="n">
        <v>46231</v>
      </c>
      <c r="B1216" s="3" t="inlineStr">
        <is>
          <t>Week</t>
        </is>
      </c>
      <c r="C1216" s="19" t="n">
        <v>7</v>
      </c>
      <c r="D1216" s="19" t="n">
        <v>2026</v>
      </c>
      <c r="E1216" s="57" t="n">
        <v>2</v>
      </c>
      <c r="F1216" s="29">
        <f>ROUND(((SUMIFS(Calendar!$F$2:$F$9997,Calendar!$B$2:$B$9997,D1216,Calendar!$C$2:$C$9997,C1216)*INDEX(ForeCalc!$B$37:$Y$274,MATCH(_xlfn.CONCAT(H1216," ",I1216),ForeCalc!$A$37:$A$274,0),MATCH(_xlfn.CONCAT(B1216," ",E1216),ForeCalc!$B$36:$Y$36,0))))*VLOOKUP(A1216,Calendar!$A$2:$H$9997,8,FALSE),0)</f>
        <v/>
      </c>
      <c r="G1216" s="29">
        <f>VLOOKUP(A1216,Calendar!$A$1:$H$9997,6,FALSE)-F1216</f>
        <v/>
      </c>
      <c r="H1216" s="19" t="n">
        <v>1</v>
      </c>
      <c r="I1216" s="57" t="n">
        <v>4</v>
      </c>
    </row>
    <row r="1217">
      <c r="A1217" s="62" t="n">
        <v>46232</v>
      </c>
      <c r="B1217" s="3" t="inlineStr">
        <is>
          <t>Week</t>
        </is>
      </c>
      <c r="C1217" s="19" t="n">
        <v>7</v>
      </c>
      <c r="D1217" s="19" t="n">
        <v>2026</v>
      </c>
      <c r="E1217" s="57" t="n">
        <v>2</v>
      </c>
      <c r="F1217" s="29">
        <f>ROUND(((SUMIFS(Calendar!$F$2:$F$9997,Calendar!$B$2:$B$9997,D1217,Calendar!$C$2:$C$9997,C1217)*INDEX(ForeCalc!$B$37:$Y$274,MATCH(_xlfn.CONCAT(H1217," ",I1217),ForeCalc!$A$37:$A$274,0),MATCH(_xlfn.CONCAT(B1217," ",E1217),ForeCalc!$B$36:$Y$36,0))))*VLOOKUP(A1217,Calendar!$A$2:$H$9997,8,FALSE),0)</f>
        <v/>
      </c>
      <c r="G1217" s="29">
        <f>VLOOKUP(A1217,Calendar!$A$1:$H$9997,6,FALSE)-F1217</f>
        <v/>
      </c>
      <c r="H1217" s="19" t="n">
        <v>1</v>
      </c>
      <c r="I1217" s="57" t="n">
        <v>4</v>
      </c>
    </row>
    <row r="1218">
      <c r="A1218" s="62" t="n">
        <v>46233</v>
      </c>
      <c r="B1218" s="3" t="inlineStr">
        <is>
          <t>Week</t>
        </is>
      </c>
      <c r="C1218" s="19" t="n">
        <v>7</v>
      </c>
      <c r="D1218" s="19" t="n">
        <v>2026</v>
      </c>
      <c r="E1218" s="57" t="n">
        <v>2</v>
      </c>
      <c r="F1218" s="29">
        <f>ROUND(((SUMIFS(Calendar!$F$2:$F$9997,Calendar!$B$2:$B$9997,D1218,Calendar!$C$2:$C$9997,C1218)*INDEX(ForeCalc!$B$37:$Y$274,MATCH(_xlfn.CONCAT(H1218," ",I1218),ForeCalc!$A$37:$A$274,0),MATCH(_xlfn.CONCAT(B1218," ",E1218),ForeCalc!$B$36:$Y$36,0))))*VLOOKUP(A1218,Calendar!$A$2:$H$9997,8,FALSE),0)</f>
        <v/>
      </c>
      <c r="G1218" s="29">
        <f>VLOOKUP(A1218,Calendar!$A$1:$H$9997,6,FALSE)-F1218</f>
        <v/>
      </c>
      <c r="H1218" s="19" t="n">
        <v>1</v>
      </c>
      <c r="I1218" s="57" t="n">
        <v>4</v>
      </c>
    </row>
    <row r="1219">
      <c r="A1219" s="62" t="n">
        <v>46234</v>
      </c>
      <c r="B1219" s="3" t="inlineStr">
        <is>
          <t>Week</t>
        </is>
      </c>
      <c r="C1219" s="19" t="n">
        <v>7</v>
      </c>
      <c r="D1219" s="19" t="n">
        <v>2026</v>
      </c>
      <c r="E1219" s="57" t="n">
        <v>2</v>
      </c>
      <c r="F1219" s="29">
        <f>ROUND(((SUMIFS(Calendar!$F$2:$F$9997,Calendar!$B$2:$B$9997,D1219,Calendar!$C$2:$C$9997,C1219)*INDEX(ForeCalc!$B$37:$Y$274,MATCH(_xlfn.CONCAT(H1219," ",I1219),ForeCalc!$A$37:$A$274,0),MATCH(_xlfn.CONCAT(B1219," ",E1219),ForeCalc!$B$36:$Y$36,0))))*VLOOKUP(A1219,Calendar!$A$2:$H$9997,8,FALSE),0)</f>
        <v/>
      </c>
      <c r="G1219" s="29">
        <f>VLOOKUP(A1219,Calendar!$A$1:$H$9997,6,FALSE)-F1219</f>
        <v/>
      </c>
      <c r="H1219" s="19" t="n">
        <v>1</v>
      </c>
      <c r="I1219" s="57" t="n">
        <v>4</v>
      </c>
    </row>
    <row r="1220">
      <c r="A1220" s="62" t="n">
        <v>46235</v>
      </c>
      <c r="B1220" s="3" t="inlineStr">
        <is>
          <t>Sat</t>
        </is>
      </c>
      <c r="C1220" s="19" t="n">
        <v>8</v>
      </c>
      <c r="D1220" s="19" t="n">
        <v>2026</v>
      </c>
      <c r="E1220" s="57" t="n">
        <v>2</v>
      </c>
      <c r="F1220" s="29">
        <f>ROUND(((SUMIFS(Calendar!$F$2:$F$9997,Calendar!$B$2:$B$9997,D1220,Calendar!$C$2:$C$9997,C1220)*INDEX(ForeCalc!$B$37:$Y$274,MATCH(_xlfn.CONCAT(H1220," ",I1220),ForeCalc!$A$37:$A$274,0),MATCH(_xlfn.CONCAT(B1220," ",E1220),ForeCalc!$B$36:$Y$36,0))))*VLOOKUP(A1220,Calendar!$A$2:$H$9997,8,FALSE),0)</f>
        <v/>
      </c>
      <c r="G1220" s="29">
        <f>VLOOKUP(A1220,Calendar!$A$1:$H$9997,6,FALSE)-F1220</f>
        <v/>
      </c>
      <c r="H1220" s="19" t="n">
        <v>1</v>
      </c>
      <c r="I1220" s="57" t="n">
        <v>5</v>
      </c>
    </row>
    <row r="1221">
      <c r="A1221" s="62" t="n">
        <v>46236</v>
      </c>
      <c r="B1221" s="3" t="inlineStr">
        <is>
          <t>Sun</t>
        </is>
      </c>
      <c r="C1221" s="19" t="n">
        <v>8</v>
      </c>
      <c r="D1221" s="19" t="n">
        <v>2026</v>
      </c>
      <c r="E1221" s="57" t="n">
        <v>2</v>
      </c>
      <c r="F1221" s="29">
        <f>ROUND(((SUMIFS(Calendar!$F$2:$F$9997,Calendar!$B$2:$B$9997,D1221,Calendar!$C$2:$C$9997,C1221)*INDEX(ForeCalc!$B$37:$Y$274,MATCH(_xlfn.CONCAT(H1221," ",I1221),ForeCalc!$A$37:$A$274,0),MATCH(_xlfn.CONCAT(B1221," ",E1221),ForeCalc!$B$36:$Y$36,0))))*VLOOKUP(A1221,Calendar!$A$2:$H$9997,8,FALSE),0)</f>
        <v/>
      </c>
      <c r="G1221" s="29">
        <f>VLOOKUP(A1221,Calendar!$A$1:$H$9997,6,FALSE)-F1221</f>
        <v/>
      </c>
      <c r="H1221" s="19" t="n">
        <v>1</v>
      </c>
      <c r="I1221" s="57" t="n">
        <v>5</v>
      </c>
    </row>
    <row r="1222">
      <c r="A1222" s="62" t="n">
        <v>46237</v>
      </c>
      <c r="B1222" s="3" t="inlineStr">
        <is>
          <t>Week</t>
        </is>
      </c>
      <c r="C1222" s="19" t="n">
        <v>8</v>
      </c>
      <c r="D1222" s="19" t="n">
        <v>2026</v>
      </c>
      <c r="E1222" s="57" t="n">
        <v>2</v>
      </c>
      <c r="F1222" s="29">
        <f>ROUND(((SUMIFS(Calendar!$F$2:$F$9997,Calendar!$B$2:$B$9997,D1222,Calendar!$C$2:$C$9997,C1222)*INDEX(ForeCalc!$B$37:$Y$274,MATCH(_xlfn.CONCAT(H1222," ",I1222),ForeCalc!$A$37:$A$274,0),MATCH(_xlfn.CONCAT(B1222," ",E1222),ForeCalc!$B$36:$Y$36,0))))*VLOOKUP(A1222,Calendar!$A$2:$H$9997,8,FALSE),0)</f>
        <v/>
      </c>
      <c r="G1222" s="29">
        <f>VLOOKUP(A1222,Calendar!$A$1:$H$9997,6,FALSE)-F1222</f>
        <v/>
      </c>
      <c r="H1222" s="19" t="n">
        <v>1</v>
      </c>
      <c r="I1222" s="57" t="n">
        <v>5</v>
      </c>
    </row>
    <row r="1223">
      <c r="A1223" s="62" t="n">
        <v>46238</v>
      </c>
      <c r="B1223" s="3" t="inlineStr">
        <is>
          <t>Week</t>
        </is>
      </c>
      <c r="C1223" s="19" t="n">
        <v>8</v>
      </c>
      <c r="D1223" s="19" t="n">
        <v>2026</v>
      </c>
      <c r="E1223" s="57" t="n">
        <v>2</v>
      </c>
      <c r="F1223" s="29">
        <f>ROUND(((SUMIFS(Calendar!$F$2:$F$9997,Calendar!$B$2:$B$9997,D1223,Calendar!$C$2:$C$9997,C1223)*INDEX(ForeCalc!$B$37:$Y$274,MATCH(_xlfn.CONCAT(H1223," ",I1223),ForeCalc!$A$37:$A$274,0),MATCH(_xlfn.CONCAT(B1223," ",E1223),ForeCalc!$B$36:$Y$36,0))))*VLOOKUP(A1223,Calendar!$A$2:$H$9997,8,FALSE),0)</f>
        <v/>
      </c>
      <c r="G1223" s="29">
        <f>VLOOKUP(A1223,Calendar!$A$1:$H$9997,6,FALSE)-F1223</f>
        <v/>
      </c>
      <c r="H1223" s="19" t="n">
        <v>1</v>
      </c>
      <c r="I1223" s="57" t="n">
        <v>5</v>
      </c>
    </row>
    <row r="1224">
      <c r="A1224" s="62" t="n">
        <v>46239</v>
      </c>
      <c r="B1224" s="3" t="inlineStr">
        <is>
          <t>Week</t>
        </is>
      </c>
      <c r="C1224" s="19" t="n">
        <v>8</v>
      </c>
      <c r="D1224" s="19" t="n">
        <v>2026</v>
      </c>
      <c r="E1224" s="57" t="n">
        <v>2</v>
      </c>
      <c r="F1224" s="29">
        <f>ROUND(((SUMIFS(Calendar!$F$2:$F$9997,Calendar!$B$2:$B$9997,D1224,Calendar!$C$2:$C$9997,C1224)*INDEX(ForeCalc!$B$37:$Y$274,MATCH(_xlfn.CONCAT(H1224," ",I1224),ForeCalc!$A$37:$A$274,0),MATCH(_xlfn.CONCAT(B1224," ",E1224),ForeCalc!$B$36:$Y$36,0))))*VLOOKUP(A1224,Calendar!$A$2:$H$9997,8,FALSE),0)</f>
        <v/>
      </c>
      <c r="G1224" s="29">
        <f>VLOOKUP(A1224,Calendar!$A$1:$H$9997,6,FALSE)-F1224</f>
        <v/>
      </c>
      <c r="H1224" s="19" t="n">
        <v>1</v>
      </c>
      <c r="I1224" s="57" t="n">
        <v>5</v>
      </c>
    </row>
    <row r="1225">
      <c r="A1225" s="62" t="n">
        <v>46240</v>
      </c>
      <c r="B1225" s="3" t="inlineStr">
        <is>
          <t>Week</t>
        </is>
      </c>
      <c r="C1225" s="19" t="n">
        <v>8</v>
      </c>
      <c r="D1225" s="19" t="n">
        <v>2026</v>
      </c>
      <c r="E1225" s="57" t="n">
        <v>2</v>
      </c>
      <c r="F1225" s="29">
        <f>ROUND(((SUMIFS(Calendar!$F$2:$F$9997,Calendar!$B$2:$B$9997,D1225,Calendar!$C$2:$C$9997,C1225)*INDEX(ForeCalc!$B$37:$Y$274,MATCH(_xlfn.CONCAT(H1225," ",I1225),ForeCalc!$A$37:$A$274,0),MATCH(_xlfn.CONCAT(B1225," ",E1225),ForeCalc!$B$36:$Y$36,0))))*VLOOKUP(A1225,Calendar!$A$2:$H$9997,8,FALSE),0)</f>
        <v/>
      </c>
      <c r="G1225" s="29">
        <f>VLOOKUP(A1225,Calendar!$A$1:$H$9997,6,FALSE)-F1225</f>
        <v/>
      </c>
      <c r="H1225" s="19" t="n">
        <v>1</v>
      </c>
      <c r="I1225" s="57" t="n">
        <v>5</v>
      </c>
    </row>
    <row r="1226">
      <c r="A1226" s="62" t="n">
        <v>46241</v>
      </c>
      <c r="B1226" s="3" t="inlineStr">
        <is>
          <t>Week</t>
        </is>
      </c>
      <c r="C1226" s="19" t="n">
        <v>8</v>
      </c>
      <c r="D1226" s="19" t="n">
        <v>2026</v>
      </c>
      <c r="E1226" s="57" t="n">
        <v>2</v>
      </c>
      <c r="F1226" s="29">
        <f>ROUND(((SUMIFS(Calendar!$F$2:$F$9997,Calendar!$B$2:$B$9997,D1226,Calendar!$C$2:$C$9997,C1226)*INDEX(ForeCalc!$B$37:$Y$274,MATCH(_xlfn.CONCAT(H1226," ",I1226),ForeCalc!$A$37:$A$274,0),MATCH(_xlfn.CONCAT(B1226," ",E1226),ForeCalc!$B$36:$Y$36,0))))*VLOOKUP(A1226,Calendar!$A$2:$H$9997,8,FALSE),0)</f>
        <v/>
      </c>
      <c r="G1226" s="29">
        <f>VLOOKUP(A1226,Calendar!$A$1:$H$9997,6,FALSE)-F1226</f>
        <v/>
      </c>
      <c r="H1226" s="19" t="n">
        <v>1</v>
      </c>
      <c r="I1226" s="57" t="n">
        <v>5</v>
      </c>
    </row>
    <row r="1227">
      <c r="A1227" s="62" t="n">
        <v>46242</v>
      </c>
      <c r="B1227" s="3" t="inlineStr">
        <is>
          <t>Sat</t>
        </is>
      </c>
      <c r="C1227" s="19" t="n">
        <v>8</v>
      </c>
      <c r="D1227" s="19" t="n">
        <v>2026</v>
      </c>
      <c r="E1227" s="57" t="n">
        <v>2</v>
      </c>
      <c r="F1227" s="29">
        <f>ROUND(((SUMIFS(Calendar!$F$2:$F$9997,Calendar!$B$2:$B$9997,D1227,Calendar!$C$2:$C$9997,C1227)*INDEX(ForeCalc!$B$37:$Y$274,MATCH(_xlfn.CONCAT(H1227," ",I1227),ForeCalc!$A$37:$A$274,0),MATCH(_xlfn.CONCAT(B1227," ",E1227),ForeCalc!$B$36:$Y$36,0))))*VLOOKUP(A1227,Calendar!$A$2:$H$9997,8,FALSE),0)</f>
        <v/>
      </c>
      <c r="G1227" s="29">
        <f>VLOOKUP(A1227,Calendar!$A$1:$H$9997,6,FALSE)-F1227</f>
        <v/>
      </c>
      <c r="H1227" s="19" t="n">
        <v>1</v>
      </c>
      <c r="I1227" s="57" t="n">
        <v>5</v>
      </c>
    </row>
    <row r="1228">
      <c r="A1228" s="62" t="n">
        <v>46243</v>
      </c>
      <c r="B1228" s="3" t="inlineStr">
        <is>
          <t>Sun</t>
        </is>
      </c>
      <c r="C1228" s="19" t="n">
        <v>8</v>
      </c>
      <c r="D1228" s="19" t="n">
        <v>2026</v>
      </c>
      <c r="E1228" s="57" t="n">
        <v>2</v>
      </c>
      <c r="F1228" s="29">
        <f>ROUND(((SUMIFS(Calendar!$F$2:$F$9997,Calendar!$B$2:$B$9997,D1228,Calendar!$C$2:$C$9997,C1228)*INDEX(ForeCalc!$B$37:$Y$274,MATCH(_xlfn.CONCAT(H1228," ",I1228),ForeCalc!$A$37:$A$274,0),MATCH(_xlfn.CONCAT(B1228," ",E1228),ForeCalc!$B$36:$Y$36,0))))*VLOOKUP(A1228,Calendar!$A$2:$H$9997,8,FALSE),0)</f>
        <v/>
      </c>
      <c r="G1228" s="29">
        <f>VLOOKUP(A1228,Calendar!$A$1:$H$9997,6,FALSE)-F1228</f>
        <v/>
      </c>
      <c r="H1228" s="19" t="n">
        <v>1</v>
      </c>
      <c r="I1228" s="57" t="n">
        <v>5</v>
      </c>
    </row>
    <row r="1229">
      <c r="A1229" s="62" t="n">
        <v>46244</v>
      </c>
      <c r="B1229" s="3" t="inlineStr">
        <is>
          <t>Week</t>
        </is>
      </c>
      <c r="C1229" s="19" t="n">
        <v>8</v>
      </c>
      <c r="D1229" s="19" t="n">
        <v>2026</v>
      </c>
      <c r="E1229" s="57" t="n">
        <v>2</v>
      </c>
      <c r="F1229" s="29">
        <f>ROUND(((SUMIFS(Calendar!$F$2:$F$9997,Calendar!$B$2:$B$9997,D1229,Calendar!$C$2:$C$9997,C1229)*INDEX(ForeCalc!$B$37:$Y$274,MATCH(_xlfn.CONCAT(H1229," ",I1229),ForeCalc!$A$37:$A$274,0),MATCH(_xlfn.CONCAT(B1229," ",E1229),ForeCalc!$B$36:$Y$36,0))))*VLOOKUP(A1229,Calendar!$A$2:$H$9997,8,FALSE),0)</f>
        <v/>
      </c>
      <c r="G1229" s="29">
        <f>VLOOKUP(A1229,Calendar!$A$1:$H$9997,6,FALSE)-F1229</f>
        <v/>
      </c>
      <c r="H1229" s="19" t="n">
        <v>1</v>
      </c>
      <c r="I1229" s="57" t="n">
        <v>5</v>
      </c>
    </row>
    <row r="1230">
      <c r="A1230" s="62" t="n">
        <v>46245</v>
      </c>
      <c r="B1230" s="3" t="inlineStr">
        <is>
          <t>Week</t>
        </is>
      </c>
      <c r="C1230" s="19" t="n">
        <v>8</v>
      </c>
      <c r="D1230" s="19" t="n">
        <v>2026</v>
      </c>
      <c r="E1230" s="57" t="n">
        <v>2</v>
      </c>
      <c r="F1230" s="29">
        <f>ROUND(((SUMIFS(Calendar!$F$2:$F$9997,Calendar!$B$2:$B$9997,D1230,Calendar!$C$2:$C$9997,C1230)*INDEX(ForeCalc!$B$37:$Y$274,MATCH(_xlfn.CONCAT(H1230," ",I1230),ForeCalc!$A$37:$A$274,0),MATCH(_xlfn.CONCAT(B1230," ",E1230),ForeCalc!$B$36:$Y$36,0))))*VLOOKUP(A1230,Calendar!$A$2:$H$9997,8,FALSE),0)</f>
        <v/>
      </c>
      <c r="G1230" s="29">
        <f>VLOOKUP(A1230,Calendar!$A$1:$H$9997,6,FALSE)-F1230</f>
        <v/>
      </c>
      <c r="H1230" s="19" t="n">
        <v>1</v>
      </c>
      <c r="I1230" s="57" t="n">
        <v>5</v>
      </c>
    </row>
    <row r="1231">
      <c r="A1231" s="62" t="n">
        <v>46246</v>
      </c>
      <c r="B1231" s="3" t="inlineStr">
        <is>
          <t>Week</t>
        </is>
      </c>
      <c r="C1231" s="19" t="n">
        <v>8</v>
      </c>
      <c r="D1231" s="19" t="n">
        <v>2026</v>
      </c>
      <c r="E1231" s="57" t="n">
        <v>2</v>
      </c>
      <c r="F1231" s="29">
        <f>ROUND(((SUMIFS(Calendar!$F$2:$F$9997,Calendar!$B$2:$B$9997,D1231,Calendar!$C$2:$C$9997,C1231)*INDEX(ForeCalc!$B$37:$Y$274,MATCH(_xlfn.CONCAT(H1231," ",I1231),ForeCalc!$A$37:$A$274,0),MATCH(_xlfn.CONCAT(B1231," ",E1231),ForeCalc!$B$36:$Y$36,0))))*VLOOKUP(A1231,Calendar!$A$2:$H$9997,8,FALSE),0)</f>
        <v/>
      </c>
      <c r="G1231" s="29">
        <f>VLOOKUP(A1231,Calendar!$A$1:$H$9997,6,FALSE)-F1231</f>
        <v/>
      </c>
      <c r="H1231" s="19" t="n">
        <v>1</v>
      </c>
      <c r="I1231" s="57" t="n">
        <v>5</v>
      </c>
    </row>
    <row r="1232">
      <c r="A1232" s="62" t="n">
        <v>46247</v>
      </c>
      <c r="B1232" s="3" t="inlineStr">
        <is>
          <t>Week</t>
        </is>
      </c>
      <c r="C1232" s="19" t="n">
        <v>8</v>
      </c>
      <c r="D1232" s="19" t="n">
        <v>2026</v>
      </c>
      <c r="E1232" s="57" t="n">
        <v>2</v>
      </c>
      <c r="F1232" s="29">
        <f>ROUND(((SUMIFS(Calendar!$F$2:$F$9997,Calendar!$B$2:$B$9997,D1232,Calendar!$C$2:$C$9997,C1232)*INDEX(ForeCalc!$B$37:$Y$274,MATCH(_xlfn.CONCAT(H1232," ",I1232),ForeCalc!$A$37:$A$274,0),MATCH(_xlfn.CONCAT(B1232," ",E1232),ForeCalc!$B$36:$Y$36,0))))*VLOOKUP(A1232,Calendar!$A$2:$H$9997,8,FALSE),0)</f>
        <v/>
      </c>
      <c r="G1232" s="29">
        <f>VLOOKUP(A1232,Calendar!$A$1:$H$9997,6,FALSE)-F1232</f>
        <v/>
      </c>
      <c r="H1232" s="19" t="n">
        <v>1</v>
      </c>
      <c r="I1232" s="57" t="n">
        <v>5</v>
      </c>
    </row>
    <row r="1233">
      <c r="A1233" s="62" t="n">
        <v>46248</v>
      </c>
      <c r="B1233" s="3" t="inlineStr">
        <is>
          <t>Week</t>
        </is>
      </c>
      <c r="C1233" s="19" t="n">
        <v>8</v>
      </c>
      <c r="D1233" s="19" t="n">
        <v>2026</v>
      </c>
      <c r="E1233" s="57" t="n">
        <v>2</v>
      </c>
      <c r="F1233" s="29">
        <f>ROUND(((SUMIFS(Calendar!$F$2:$F$9997,Calendar!$B$2:$B$9997,D1233,Calendar!$C$2:$C$9997,C1233)*INDEX(ForeCalc!$B$37:$Y$274,MATCH(_xlfn.CONCAT(H1233," ",I1233),ForeCalc!$A$37:$A$274,0),MATCH(_xlfn.CONCAT(B1233," ",E1233),ForeCalc!$B$36:$Y$36,0))))*VLOOKUP(A1233,Calendar!$A$2:$H$9997,8,FALSE),0)</f>
        <v/>
      </c>
      <c r="G1233" s="29">
        <f>VLOOKUP(A1233,Calendar!$A$1:$H$9997,6,FALSE)-F1233</f>
        <v/>
      </c>
      <c r="H1233" s="19" t="n">
        <v>1</v>
      </c>
      <c r="I1233" s="57" t="n">
        <v>5</v>
      </c>
    </row>
    <row r="1234">
      <c r="A1234" s="62" t="n">
        <v>46249</v>
      </c>
      <c r="B1234" s="3" t="inlineStr">
        <is>
          <t>Sat</t>
        </is>
      </c>
      <c r="C1234" s="19" t="n">
        <v>8</v>
      </c>
      <c r="D1234" s="19" t="n">
        <v>2026</v>
      </c>
      <c r="E1234" s="57" t="n">
        <v>2</v>
      </c>
      <c r="F1234" s="29">
        <f>ROUND(((SUMIFS(Calendar!$F$2:$F$9997,Calendar!$B$2:$B$9997,D1234,Calendar!$C$2:$C$9997,C1234)*INDEX(ForeCalc!$B$37:$Y$274,MATCH(_xlfn.CONCAT(H1234," ",I1234),ForeCalc!$A$37:$A$274,0),MATCH(_xlfn.CONCAT(B1234," ",E1234),ForeCalc!$B$36:$Y$36,0))))*VLOOKUP(A1234,Calendar!$A$2:$H$9997,8,FALSE),0)</f>
        <v/>
      </c>
      <c r="G1234" s="29">
        <f>VLOOKUP(A1234,Calendar!$A$1:$H$9997,6,FALSE)-F1234</f>
        <v/>
      </c>
      <c r="H1234" s="19" t="n">
        <v>1</v>
      </c>
      <c r="I1234" s="57" t="n">
        <v>5</v>
      </c>
    </row>
    <row r="1235">
      <c r="A1235" s="62" t="n">
        <v>46250</v>
      </c>
      <c r="B1235" s="3" t="inlineStr">
        <is>
          <t>Sun</t>
        </is>
      </c>
      <c r="C1235" s="19" t="n">
        <v>8</v>
      </c>
      <c r="D1235" s="19" t="n">
        <v>2026</v>
      </c>
      <c r="E1235" s="57" t="n">
        <v>2</v>
      </c>
      <c r="F1235" s="29">
        <f>ROUND(((SUMIFS(Calendar!$F$2:$F$9997,Calendar!$B$2:$B$9997,D1235,Calendar!$C$2:$C$9997,C1235)*INDEX(ForeCalc!$B$37:$Y$274,MATCH(_xlfn.CONCAT(H1235," ",I1235),ForeCalc!$A$37:$A$274,0),MATCH(_xlfn.CONCAT(B1235," ",E1235),ForeCalc!$B$36:$Y$36,0))))*VLOOKUP(A1235,Calendar!$A$2:$H$9997,8,FALSE),0)</f>
        <v/>
      </c>
      <c r="G1235" s="29">
        <f>VLOOKUP(A1235,Calendar!$A$1:$H$9997,6,FALSE)-F1235</f>
        <v/>
      </c>
      <c r="H1235" s="19" t="n">
        <v>1</v>
      </c>
      <c r="I1235" s="57" t="n">
        <v>5</v>
      </c>
    </row>
    <row r="1236">
      <c r="A1236" s="62" t="n">
        <v>46251</v>
      </c>
      <c r="B1236" s="3" t="inlineStr">
        <is>
          <t>Week</t>
        </is>
      </c>
      <c r="C1236" s="19" t="n">
        <v>8</v>
      </c>
      <c r="D1236" s="19" t="n">
        <v>2026</v>
      </c>
      <c r="E1236" s="57" t="n">
        <v>2</v>
      </c>
      <c r="F1236" s="29">
        <f>ROUND(((SUMIFS(Calendar!$F$2:$F$9997,Calendar!$B$2:$B$9997,D1236,Calendar!$C$2:$C$9997,C1236)*INDEX(ForeCalc!$B$37:$Y$274,MATCH(_xlfn.CONCAT(H1236," ",I1236),ForeCalc!$A$37:$A$274,0),MATCH(_xlfn.CONCAT(B1236," ",E1236),ForeCalc!$B$36:$Y$36,0))))*VLOOKUP(A1236,Calendar!$A$2:$H$9997,8,FALSE),0)</f>
        <v/>
      </c>
      <c r="G1236" s="29">
        <f>VLOOKUP(A1236,Calendar!$A$1:$H$9997,6,FALSE)-F1236</f>
        <v/>
      </c>
      <c r="H1236" s="19" t="n">
        <v>1</v>
      </c>
      <c r="I1236" s="57" t="n">
        <v>5</v>
      </c>
    </row>
    <row r="1237">
      <c r="A1237" s="62" t="n">
        <v>46252</v>
      </c>
      <c r="B1237" s="3" t="inlineStr">
        <is>
          <t>Week</t>
        </is>
      </c>
      <c r="C1237" s="19" t="n">
        <v>8</v>
      </c>
      <c r="D1237" s="19" t="n">
        <v>2026</v>
      </c>
      <c r="E1237" s="57" t="n">
        <v>2</v>
      </c>
      <c r="F1237" s="29">
        <f>ROUND(((SUMIFS(Calendar!$F$2:$F$9997,Calendar!$B$2:$B$9997,D1237,Calendar!$C$2:$C$9997,C1237)*INDEX(ForeCalc!$B$37:$Y$274,MATCH(_xlfn.CONCAT(H1237," ",I1237),ForeCalc!$A$37:$A$274,0),MATCH(_xlfn.CONCAT(B1237," ",E1237),ForeCalc!$B$36:$Y$36,0))))*VLOOKUP(A1237,Calendar!$A$2:$H$9997,8,FALSE),0)</f>
        <v/>
      </c>
      <c r="G1237" s="29">
        <f>VLOOKUP(A1237,Calendar!$A$1:$H$9997,6,FALSE)-F1237</f>
        <v/>
      </c>
      <c r="H1237" s="19" t="n">
        <v>1</v>
      </c>
      <c r="I1237" s="57" t="n">
        <v>5</v>
      </c>
    </row>
    <row r="1238">
      <c r="A1238" s="62" t="n">
        <v>46253</v>
      </c>
      <c r="B1238" s="3" t="inlineStr">
        <is>
          <t>Week</t>
        </is>
      </c>
      <c r="C1238" s="19" t="n">
        <v>8</v>
      </c>
      <c r="D1238" s="19" t="n">
        <v>2026</v>
      </c>
      <c r="E1238" s="57" t="n">
        <v>2</v>
      </c>
      <c r="F1238" s="29">
        <f>ROUND(((SUMIFS(Calendar!$F$2:$F$9997,Calendar!$B$2:$B$9997,D1238,Calendar!$C$2:$C$9997,C1238)*INDEX(ForeCalc!$B$37:$Y$274,MATCH(_xlfn.CONCAT(H1238," ",I1238),ForeCalc!$A$37:$A$274,0),MATCH(_xlfn.CONCAT(B1238," ",E1238),ForeCalc!$B$36:$Y$36,0))))*VLOOKUP(A1238,Calendar!$A$2:$H$9997,8,FALSE),0)</f>
        <v/>
      </c>
      <c r="G1238" s="29">
        <f>VLOOKUP(A1238,Calendar!$A$1:$H$9997,6,FALSE)-F1238</f>
        <v/>
      </c>
      <c r="H1238" s="19" t="n">
        <v>1</v>
      </c>
      <c r="I1238" s="57" t="n">
        <v>5</v>
      </c>
    </row>
    <row r="1239">
      <c r="A1239" s="62" t="n">
        <v>46254</v>
      </c>
      <c r="B1239" s="3" t="inlineStr">
        <is>
          <t>Week</t>
        </is>
      </c>
      <c r="C1239" s="19" t="n">
        <v>8</v>
      </c>
      <c r="D1239" s="19" t="n">
        <v>2026</v>
      </c>
      <c r="E1239" s="57" t="n">
        <v>2</v>
      </c>
      <c r="F1239" s="29">
        <f>ROUND(((SUMIFS(Calendar!$F$2:$F$9997,Calendar!$B$2:$B$9997,D1239,Calendar!$C$2:$C$9997,C1239)*INDEX(ForeCalc!$B$37:$Y$274,MATCH(_xlfn.CONCAT(H1239," ",I1239),ForeCalc!$A$37:$A$274,0),MATCH(_xlfn.CONCAT(B1239," ",E1239),ForeCalc!$B$36:$Y$36,0))))*VLOOKUP(A1239,Calendar!$A$2:$H$9997,8,FALSE),0)</f>
        <v/>
      </c>
      <c r="G1239" s="29">
        <f>VLOOKUP(A1239,Calendar!$A$1:$H$9997,6,FALSE)-F1239</f>
        <v/>
      </c>
      <c r="H1239" s="19" t="n">
        <v>1</v>
      </c>
      <c r="I1239" s="57" t="n">
        <v>5</v>
      </c>
    </row>
    <row r="1240">
      <c r="A1240" s="62" t="n">
        <v>46255</v>
      </c>
      <c r="B1240" s="3" t="inlineStr">
        <is>
          <t>Week</t>
        </is>
      </c>
      <c r="C1240" s="19" t="n">
        <v>8</v>
      </c>
      <c r="D1240" s="19" t="n">
        <v>2026</v>
      </c>
      <c r="E1240" s="57" t="n">
        <v>2</v>
      </c>
      <c r="F1240" s="29">
        <f>ROUND(((SUMIFS(Calendar!$F$2:$F$9997,Calendar!$B$2:$B$9997,D1240,Calendar!$C$2:$C$9997,C1240)*INDEX(ForeCalc!$B$37:$Y$274,MATCH(_xlfn.CONCAT(H1240," ",I1240),ForeCalc!$A$37:$A$274,0),MATCH(_xlfn.CONCAT(B1240," ",E1240),ForeCalc!$B$36:$Y$36,0))))*VLOOKUP(A1240,Calendar!$A$2:$H$9997,8,FALSE),0)</f>
        <v/>
      </c>
      <c r="G1240" s="29">
        <f>VLOOKUP(A1240,Calendar!$A$1:$H$9997,6,FALSE)-F1240</f>
        <v/>
      </c>
      <c r="H1240" s="19" t="n">
        <v>1</v>
      </c>
      <c r="I1240" s="57" t="n">
        <v>5</v>
      </c>
    </row>
    <row r="1241">
      <c r="A1241" s="62" t="n">
        <v>46256</v>
      </c>
      <c r="B1241" s="3" t="inlineStr">
        <is>
          <t>Sat</t>
        </is>
      </c>
      <c r="C1241" s="19" t="n">
        <v>8</v>
      </c>
      <c r="D1241" s="19" t="n">
        <v>2026</v>
      </c>
      <c r="E1241" s="57" t="n">
        <v>2</v>
      </c>
      <c r="F1241" s="29">
        <f>ROUND(((SUMIFS(Calendar!$F$2:$F$9997,Calendar!$B$2:$B$9997,D1241,Calendar!$C$2:$C$9997,C1241)*INDEX(ForeCalc!$B$37:$Y$274,MATCH(_xlfn.CONCAT(H1241," ",I1241),ForeCalc!$A$37:$A$274,0),MATCH(_xlfn.CONCAT(B1241," ",E1241),ForeCalc!$B$36:$Y$36,0))))*VLOOKUP(A1241,Calendar!$A$2:$H$9997,8,FALSE),0)</f>
        <v/>
      </c>
      <c r="G1241" s="29">
        <f>VLOOKUP(A1241,Calendar!$A$1:$H$9997,6,FALSE)-F1241</f>
        <v/>
      </c>
      <c r="H1241" s="19" t="n">
        <v>1</v>
      </c>
      <c r="I1241" s="57" t="n">
        <v>5</v>
      </c>
    </row>
    <row r="1242">
      <c r="A1242" s="62" t="n">
        <v>46257</v>
      </c>
      <c r="B1242" s="3" t="inlineStr">
        <is>
          <t>Sun</t>
        </is>
      </c>
      <c r="C1242" s="19" t="n">
        <v>8</v>
      </c>
      <c r="D1242" s="19" t="n">
        <v>2026</v>
      </c>
      <c r="E1242" s="57" t="n">
        <v>2</v>
      </c>
      <c r="F1242" s="29">
        <f>ROUND(((SUMIFS(Calendar!$F$2:$F$9997,Calendar!$B$2:$B$9997,D1242,Calendar!$C$2:$C$9997,C1242)*INDEX(ForeCalc!$B$37:$Y$274,MATCH(_xlfn.CONCAT(H1242," ",I1242),ForeCalc!$A$37:$A$274,0),MATCH(_xlfn.CONCAT(B1242," ",E1242),ForeCalc!$B$36:$Y$36,0))))*VLOOKUP(A1242,Calendar!$A$2:$H$9997,8,FALSE),0)</f>
        <v/>
      </c>
      <c r="G1242" s="29">
        <f>VLOOKUP(A1242,Calendar!$A$1:$H$9997,6,FALSE)-F1242</f>
        <v/>
      </c>
      <c r="H1242" s="19" t="n">
        <v>1</v>
      </c>
      <c r="I1242" s="57" t="n">
        <v>5</v>
      </c>
    </row>
    <row r="1243">
      <c r="A1243" s="62" t="n">
        <v>46258</v>
      </c>
      <c r="B1243" s="3" t="inlineStr">
        <is>
          <t>Week</t>
        </is>
      </c>
      <c r="C1243" s="19" t="n">
        <v>8</v>
      </c>
      <c r="D1243" s="19" t="n">
        <v>2026</v>
      </c>
      <c r="E1243" s="57" t="n">
        <v>2</v>
      </c>
      <c r="F1243" s="29">
        <f>ROUND(((SUMIFS(Calendar!$F$2:$F$9997,Calendar!$B$2:$B$9997,D1243,Calendar!$C$2:$C$9997,C1243)*INDEX(ForeCalc!$B$37:$Y$274,MATCH(_xlfn.CONCAT(H1243," ",I1243),ForeCalc!$A$37:$A$274,0),MATCH(_xlfn.CONCAT(B1243," ",E1243),ForeCalc!$B$36:$Y$36,0))))*VLOOKUP(A1243,Calendar!$A$2:$H$9997,8,FALSE),0)</f>
        <v/>
      </c>
      <c r="G1243" s="29">
        <f>VLOOKUP(A1243,Calendar!$A$1:$H$9997,6,FALSE)-F1243</f>
        <v/>
      </c>
      <c r="H1243" s="19" t="n">
        <v>1</v>
      </c>
      <c r="I1243" s="57" t="n">
        <v>5</v>
      </c>
    </row>
    <row r="1244">
      <c r="A1244" s="62" t="n">
        <v>46259</v>
      </c>
      <c r="B1244" s="3" t="inlineStr">
        <is>
          <t>Week</t>
        </is>
      </c>
      <c r="C1244" s="19" t="n">
        <v>8</v>
      </c>
      <c r="D1244" s="19" t="n">
        <v>2026</v>
      </c>
      <c r="E1244" s="57" t="n">
        <v>2</v>
      </c>
      <c r="F1244" s="29">
        <f>ROUND(((SUMIFS(Calendar!$F$2:$F$9997,Calendar!$B$2:$B$9997,D1244,Calendar!$C$2:$C$9997,C1244)*INDEX(ForeCalc!$B$37:$Y$274,MATCH(_xlfn.CONCAT(H1244," ",I1244),ForeCalc!$A$37:$A$274,0),MATCH(_xlfn.CONCAT(B1244," ",E1244),ForeCalc!$B$36:$Y$36,0))))*VLOOKUP(A1244,Calendar!$A$2:$H$9997,8,FALSE),0)</f>
        <v/>
      </c>
      <c r="G1244" s="29">
        <f>VLOOKUP(A1244,Calendar!$A$1:$H$9997,6,FALSE)-F1244</f>
        <v/>
      </c>
      <c r="H1244" s="19" t="n">
        <v>1</v>
      </c>
      <c r="I1244" s="57" t="n">
        <v>5</v>
      </c>
    </row>
    <row r="1245">
      <c r="A1245" s="62" t="n">
        <v>46260</v>
      </c>
      <c r="B1245" s="3" t="inlineStr">
        <is>
          <t>Week</t>
        </is>
      </c>
      <c r="C1245" s="19" t="n">
        <v>8</v>
      </c>
      <c r="D1245" s="19" t="n">
        <v>2026</v>
      </c>
      <c r="E1245" s="57" t="n">
        <v>2</v>
      </c>
      <c r="F1245" s="29">
        <f>ROUND(((SUMIFS(Calendar!$F$2:$F$9997,Calendar!$B$2:$B$9997,D1245,Calendar!$C$2:$C$9997,C1245)*INDEX(ForeCalc!$B$37:$Y$274,MATCH(_xlfn.CONCAT(H1245," ",I1245),ForeCalc!$A$37:$A$274,0),MATCH(_xlfn.CONCAT(B1245," ",E1245),ForeCalc!$B$36:$Y$36,0))))*VLOOKUP(A1245,Calendar!$A$2:$H$9997,8,FALSE),0)</f>
        <v/>
      </c>
      <c r="G1245" s="29">
        <f>VLOOKUP(A1245,Calendar!$A$1:$H$9997,6,FALSE)-F1245</f>
        <v/>
      </c>
      <c r="H1245" s="19" t="n">
        <v>1</v>
      </c>
      <c r="I1245" s="57" t="n">
        <v>5</v>
      </c>
    </row>
    <row r="1246">
      <c r="A1246" s="62" t="n">
        <v>46261</v>
      </c>
      <c r="B1246" s="3" t="inlineStr">
        <is>
          <t>Week</t>
        </is>
      </c>
      <c r="C1246" s="19" t="n">
        <v>8</v>
      </c>
      <c r="D1246" s="19" t="n">
        <v>2026</v>
      </c>
      <c r="E1246" s="57" t="n">
        <v>2</v>
      </c>
      <c r="F1246" s="29">
        <f>ROUND(((SUMIFS(Calendar!$F$2:$F$9997,Calendar!$B$2:$B$9997,D1246,Calendar!$C$2:$C$9997,C1246)*INDEX(ForeCalc!$B$37:$Y$274,MATCH(_xlfn.CONCAT(H1246," ",I1246),ForeCalc!$A$37:$A$274,0),MATCH(_xlfn.CONCAT(B1246," ",E1246),ForeCalc!$B$36:$Y$36,0))))*VLOOKUP(A1246,Calendar!$A$2:$H$9997,8,FALSE),0)</f>
        <v/>
      </c>
      <c r="G1246" s="29">
        <f>VLOOKUP(A1246,Calendar!$A$1:$H$9997,6,FALSE)-F1246</f>
        <v/>
      </c>
      <c r="H1246" s="19" t="n">
        <v>1</v>
      </c>
      <c r="I1246" s="57" t="n">
        <v>5</v>
      </c>
    </row>
    <row r="1247">
      <c r="A1247" s="62" t="n">
        <v>46262</v>
      </c>
      <c r="B1247" s="3" t="inlineStr">
        <is>
          <t>Week</t>
        </is>
      </c>
      <c r="C1247" s="19" t="n">
        <v>8</v>
      </c>
      <c r="D1247" s="19" t="n">
        <v>2026</v>
      </c>
      <c r="E1247" s="57" t="n">
        <v>2</v>
      </c>
      <c r="F1247" s="29">
        <f>ROUND(((SUMIFS(Calendar!$F$2:$F$9997,Calendar!$B$2:$B$9997,D1247,Calendar!$C$2:$C$9997,C1247)*INDEX(ForeCalc!$B$37:$Y$274,MATCH(_xlfn.CONCAT(H1247," ",I1247),ForeCalc!$A$37:$A$274,0),MATCH(_xlfn.CONCAT(B1247," ",E1247),ForeCalc!$B$36:$Y$36,0))))*VLOOKUP(A1247,Calendar!$A$2:$H$9997,8,FALSE),0)</f>
        <v/>
      </c>
      <c r="G1247" s="29">
        <f>VLOOKUP(A1247,Calendar!$A$1:$H$9997,6,FALSE)-F1247</f>
        <v/>
      </c>
      <c r="H1247" s="19" t="n">
        <v>1</v>
      </c>
      <c r="I1247" s="57" t="n">
        <v>5</v>
      </c>
    </row>
    <row r="1248">
      <c r="A1248" s="62" t="n">
        <v>46263</v>
      </c>
      <c r="B1248" s="3" t="inlineStr">
        <is>
          <t>Sat</t>
        </is>
      </c>
      <c r="C1248" s="19" t="n">
        <v>8</v>
      </c>
      <c r="D1248" s="19" t="n">
        <v>2026</v>
      </c>
      <c r="E1248" s="57" t="n">
        <v>2</v>
      </c>
      <c r="F1248" s="29">
        <f>ROUND(((SUMIFS(Calendar!$F$2:$F$9997,Calendar!$B$2:$B$9997,D1248,Calendar!$C$2:$C$9997,C1248)*INDEX(ForeCalc!$B$37:$Y$274,MATCH(_xlfn.CONCAT(H1248," ",I1248),ForeCalc!$A$37:$A$274,0),MATCH(_xlfn.CONCAT(B1248," ",E1248),ForeCalc!$B$36:$Y$36,0))))*VLOOKUP(A1248,Calendar!$A$2:$H$9997,8,FALSE),0)</f>
        <v/>
      </c>
      <c r="G1248" s="29">
        <f>VLOOKUP(A1248,Calendar!$A$1:$H$9997,6,FALSE)-F1248</f>
        <v/>
      </c>
      <c r="H1248" s="19" t="n">
        <v>1</v>
      </c>
      <c r="I1248" s="57" t="n">
        <v>5</v>
      </c>
    </row>
    <row r="1249">
      <c r="A1249" s="62" t="n">
        <v>46264</v>
      </c>
      <c r="B1249" s="3" t="inlineStr">
        <is>
          <t>Sun</t>
        </is>
      </c>
      <c r="C1249" s="19" t="n">
        <v>8</v>
      </c>
      <c r="D1249" s="19" t="n">
        <v>2026</v>
      </c>
      <c r="E1249" s="57" t="n">
        <v>2</v>
      </c>
      <c r="F1249" s="29">
        <f>ROUND(((SUMIFS(Calendar!$F$2:$F$9997,Calendar!$B$2:$B$9997,D1249,Calendar!$C$2:$C$9997,C1249)*INDEX(ForeCalc!$B$37:$Y$274,MATCH(_xlfn.CONCAT(H1249," ",I1249),ForeCalc!$A$37:$A$274,0),MATCH(_xlfn.CONCAT(B1249," ",E1249),ForeCalc!$B$36:$Y$36,0))))*VLOOKUP(A1249,Calendar!$A$2:$H$9997,8,FALSE),0)</f>
        <v/>
      </c>
      <c r="G1249" s="29">
        <f>VLOOKUP(A1249,Calendar!$A$1:$H$9997,6,FALSE)-F1249</f>
        <v/>
      </c>
      <c r="H1249" s="19" t="n">
        <v>1</v>
      </c>
      <c r="I1249" s="57" t="n">
        <v>5</v>
      </c>
    </row>
    <row r="1250">
      <c r="A1250" s="62" t="n">
        <v>46265</v>
      </c>
      <c r="B1250" s="3" t="inlineStr">
        <is>
          <t>Week</t>
        </is>
      </c>
      <c r="C1250" s="19" t="n">
        <v>8</v>
      </c>
      <c r="D1250" s="19" t="n">
        <v>2026</v>
      </c>
      <c r="E1250" s="57" t="n">
        <v>2</v>
      </c>
      <c r="F1250" s="29">
        <f>ROUND(((SUMIFS(Calendar!$F$2:$F$9997,Calendar!$B$2:$B$9997,D1250,Calendar!$C$2:$C$9997,C1250)*INDEX(ForeCalc!$B$37:$Y$274,MATCH(_xlfn.CONCAT(H1250," ",I1250),ForeCalc!$A$37:$A$274,0),MATCH(_xlfn.CONCAT(B1250," ",E1250),ForeCalc!$B$36:$Y$36,0))))*VLOOKUP(A1250,Calendar!$A$2:$H$9997,8,FALSE),0)</f>
        <v/>
      </c>
      <c r="G1250" s="29">
        <f>VLOOKUP(A1250,Calendar!$A$1:$H$9997,6,FALSE)-F1250</f>
        <v/>
      </c>
      <c r="H1250" s="19" t="n">
        <v>1</v>
      </c>
      <c r="I1250" s="57" t="n">
        <v>5</v>
      </c>
    </row>
    <row r="1251">
      <c r="A1251" s="62" t="n">
        <v>46266</v>
      </c>
      <c r="B1251" s="3" t="inlineStr">
        <is>
          <t>Week</t>
        </is>
      </c>
      <c r="C1251" s="19" t="n">
        <v>9</v>
      </c>
      <c r="D1251" s="19" t="n">
        <v>2026</v>
      </c>
      <c r="E1251" s="57" t="n">
        <v>2</v>
      </c>
      <c r="F1251" s="29">
        <f>ROUND(((SUMIFS(Calendar!$F$2:$F$9997,Calendar!$B$2:$B$9997,D1251,Calendar!$C$2:$C$9997,C1251)*INDEX(ForeCalc!$B$37:$Y$274,MATCH(_xlfn.CONCAT(H1251," ",I1251),ForeCalc!$A$37:$A$274,0),MATCH(_xlfn.CONCAT(B1251," ",E1251),ForeCalc!$B$36:$Y$36,0))))*VLOOKUP(A1251,Calendar!$A$2:$H$9997,8,FALSE),0)</f>
        <v/>
      </c>
      <c r="G1251" s="29">
        <f>VLOOKUP(A1251,Calendar!$A$1:$H$9997,6,FALSE)-F1251</f>
        <v/>
      </c>
      <c r="H1251" s="19" t="n">
        <v>1</v>
      </c>
      <c r="I1251" s="57" t="n">
        <v>6</v>
      </c>
    </row>
    <row r="1252">
      <c r="A1252" s="62" t="n">
        <v>46267</v>
      </c>
      <c r="B1252" s="3" t="inlineStr">
        <is>
          <t>Week</t>
        </is>
      </c>
      <c r="C1252" s="19" t="n">
        <v>9</v>
      </c>
      <c r="D1252" s="19" t="n">
        <v>2026</v>
      </c>
      <c r="E1252" s="57" t="n">
        <v>2</v>
      </c>
      <c r="F1252" s="29">
        <f>ROUND(((SUMIFS(Calendar!$F$2:$F$9997,Calendar!$B$2:$B$9997,D1252,Calendar!$C$2:$C$9997,C1252)*INDEX(ForeCalc!$B$37:$Y$274,MATCH(_xlfn.CONCAT(H1252," ",I1252),ForeCalc!$A$37:$A$274,0),MATCH(_xlfn.CONCAT(B1252," ",E1252),ForeCalc!$B$36:$Y$36,0))))*VLOOKUP(A1252,Calendar!$A$2:$H$9997,8,FALSE),0)</f>
        <v/>
      </c>
      <c r="G1252" s="29">
        <f>VLOOKUP(A1252,Calendar!$A$1:$H$9997,6,FALSE)-F1252</f>
        <v/>
      </c>
      <c r="H1252" s="19" t="n">
        <v>1</v>
      </c>
      <c r="I1252" s="57" t="n">
        <v>6</v>
      </c>
    </row>
    <row r="1253">
      <c r="A1253" s="62" t="n">
        <v>46268</v>
      </c>
      <c r="B1253" s="3" t="inlineStr">
        <is>
          <t>Week</t>
        </is>
      </c>
      <c r="C1253" s="19" t="n">
        <v>9</v>
      </c>
      <c r="D1253" s="19" t="n">
        <v>2026</v>
      </c>
      <c r="E1253" s="57" t="n">
        <v>2</v>
      </c>
      <c r="F1253" s="29">
        <f>ROUND(((SUMIFS(Calendar!$F$2:$F$9997,Calendar!$B$2:$B$9997,D1253,Calendar!$C$2:$C$9997,C1253)*INDEX(ForeCalc!$B$37:$Y$274,MATCH(_xlfn.CONCAT(H1253," ",I1253),ForeCalc!$A$37:$A$274,0),MATCH(_xlfn.CONCAT(B1253," ",E1253),ForeCalc!$B$36:$Y$36,0))))*VLOOKUP(A1253,Calendar!$A$2:$H$9997,8,FALSE),0)</f>
        <v/>
      </c>
      <c r="G1253" s="29">
        <f>VLOOKUP(A1253,Calendar!$A$1:$H$9997,6,FALSE)-F1253</f>
        <v/>
      </c>
      <c r="H1253" s="19" t="n">
        <v>1</v>
      </c>
      <c r="I1253" s="57" t="n">
        <v>6</v>
      </c>
    </row>
    <row r="1254">
      <c r="A1254" s="62" t="n">
        <v>46269</v>
      </c>
      <c r="B1254" s="3" t="inlineStr">
        <is>
          <t>Week</t>
        </is>
      </c>
      <c r="C1254" s="19" t="n">
        <v>9</v>
      </c>
      <c r="D1254" s="19" t="n">
        <v>2026</v>
      </c>
      <c r="E1254" s="57" t="n">
        <v>2</v>
      </c>
      <c r="F1254" s="29">
        <f>ROUND(((SUMIFS(Calendar!$F$2:$F$9997,Calendar!$B$2:$B$9997,D1254,Calendar!$C$2:$C$9997,C1254)*INDEX(ForeCalc!$B$37:$Y$274,MATCH(_xlfn.CONCAT(H1254," ",I1254),ForeCalc!$A$37:$A$274,0),MATCH(_xlfn.CONCAT(B1254," ",E1254),ForeCalc!$B$36:$Y$36,0))))*VLOOKUP(A1254,Calendar!$A$2:$H$9997,8,FALSE),0)</f>
        <v/>
      </c>
      <c r="G1254" s="29">
        <f>VLOOKUP(A1254,Calendar!$A$1:$H$9997,6,FALSE)-F1254</f>
        <v/>
      </c>
      <c r="H1254" s="19" t="n">
        <v>1</v>
      </c>
      <c r="I1254" s="57" t="n">
        <v>6</v>
      </c>
    </row>
    <row r="1255">
      <c r="A1255" s="62" t="n">
        <v>46270</v>
      </c>
      <c r="B1255" s="3" t="inlineStr">
        <is>
          <t>Sat</t>
        </is>
      </c>
      <c r="C1255" s="19" t="n">
        <v>9</v>
      </c>
      <c r="D1255" s="19" t="n">
        <v>2026</v>
      </c>
      <c r="E1255" s="57" t="n">
        <v>2</v>
      </c>
      <c r="F1255" s="29">
        <f>ROUND(((SUMIFS(Calendar!$F$2:$F$9997,Calendar!$B$2:$B$9997,D1255,Calendar!$C$2:$C$9997,C1255)*INDEX(ForeCalc!$B$37:$Y$274,MATCH(_xlfn.CONCAT(H1255," ",I1255),ForeCalc!$A$37:$A$274,0),MATCH(_xlfn.CONCAT(B1255," ",E1255),ForeCalc!$B$36:$Y$36,0))))*VLOOKUP(A1255,Calendar!$A$2:$H$9997,8,FALSE),0)</f>
        <v/>
      </c>
      <c r="G1255" s="29">
        <f>VLOOKUP(A1255,Calendar!$A$1:$H$9997,6,FALSE)-F1255</f>
        <v/>
      </c>
      <c r="H1255" s="19" t="n">
        <v>1</v>
      </c>
      <c r="I1255" s="57" t="n">
        <v>6</v>
      </c>
    </row>
    <row r="1256">
      <c r="A1256" s="62" t="n">
        <v>46271</v>
      </c>
      <c r="B1256" s="3" t="inlineStr">
        <is>
          <t>Sun</t>
        </is>
      </c>
      <c r="C1256" s="19" t="n">
        <v>9</v>
      </c>
      <c r="D1256" s="19" t="n">
        <v>2026</v>
      </c>
      <c r="E1256" s="57" t="n">
        <v>2</v>
      </c>
      <c r="F1256" s="29">
        <f>ROUND(((SUMIFS(Calendar!$F$2:$F$9997,Calendar!$B$2:$B$9997,D1256,Calendar!$C$2:$C$9997,C1256)*INDEX(ForeCalc!$B$37:$Y$274,MATCH(_xlfn.CONCAT(H1256," ",I1256),ForeCalc!$A$37:$A$274,0),MATCH(_xlfn.CONCAT(B1256," ",E1256),ForeCalc!$B$36:$Y$36,0))))*VLOOKUP(A1256,Calendar!$A$2:$H$9997,8,FALSE),0)</f>
        <v/>
      </c>
      <c r="G1256" s="29">
        <f>VLOOKUP(A1256,Calendar!$A$1:$H$9997,6,FALSE)-F1256</f>
        <v/>
      </c>
      <c r="H1256" s="19" t="n">
        <v>1</v>
      </c>
      <c r="I1256" s="57" t="n">
        <v>6</v>
      </c>
    </row>
    <row r="1257">
      <c r="A1257" s="62" t="n">
        <v>46272</v>
      </c>
      <c r="B1257" s="3" t="inlineStr">
        <is>
          <t>Week</t>
        </is>
      </c>
      <c r="C1257" s="19" t="n">
        <v>9</v>
      </c>
      <c r="D1257" s="19" t="n">
        <v>2026</v>
      </c>
      <c r="E1257" s="57" t="n">
        <v>2</v>
      </c>
      <c r="F1257" s="29">
        <f>ROUND(((SUMIFS(Calendar!$F$2:$F$9997,Calendar!$B$2:$B$9997,D1257,Calendar!$C$2:$C$9997,C1257)*INDEX(ForeCalc!$B$37:$Y$274,MATCH(_xlfn.CONCAT(H1257," ",I1257),ForeCalc!$A$37:$A$274,0),MATCH(_xlfn.CONCAT(B1257," ",E1257),ForeCalc!$B$36:$Y$36,0))))*VLOOKUP(A1257,Calendar!$A$2:$H$9997,8,FALSE),0)</f>
        <v/>
      </c>
      <c r="G1257" s="29">
        <f>VLOOKUP(A1257,Calendar!$A$1:$H$9997,6,FALSE)-F1257</f>
        <v/>
      </c>
      <c r="H1257" s="19" t="n">
        <v>1</v>
      </c>
      <c r="I1257" s="57" t="n">
        <v>6</v>
      </c>
    </row>
    <row r="1258">
      <c r="A1258" s="62" t="n">
        <v>46273</v>
      </c>
      <c r="B1258" s="3" t="inlineStr">
        <is>
          <t>Week</t>
        </is>
      </c>
      <c r="C1258" s="19" t="n">
        <v>9</v>
      </c>
      <c r="D1258" s="19" t="n">
        <v>2026</v>
      </c>
      <c r="E1258" s="57" t="n">
        <v>2</v>
      </c>
      <c r="F1258" s="29">
        <f>ROUND(((SUMIFS(Calendar!$F$2:$F$9997,Calendar!$B$2:$B$9997,D1258,Calendar!$C$2:$C$9997,C1258)*INDEX(ForeCalc!$B$37:$Y$274,MATCH(_xlfn.CONCAT(H1258," ",I1258),ForeCalc!$A$37:$A$274,0),MATCH(_xlfn.CONCAT(B1258," ",E1258),ForeCalc!$B$36:$Y$36,0))))*VLOOKUP(A1258,Calendar!$A$2:$H$9997,8,FALSE),0)</f>
        <v/>
      </c>
      <c r="G1258" s="29">
        <f>VLOOKUP(A1258,Calendar!$A$1:$H$9997,6,FALSE)-F1258</f>
        <v/>
      </c>
      <c r="H1258" s="19" t="n">
        <v>1</v>
      </c>
      <c r="I1258" s="57" t="n">
        <v>6</v>
      </c>
    </row>
    <row r="1259">
      <c r="A1259" s="62" t="n">
        <v>46274</v>
      </c>
      <c r="B1259" s="3" t="inlineStr">
        <is>
          <t>Week</t>
        </is>
      </c>
      <c r="C1259" s="19" t="n">
        <v>9</v>
      </c>
      <c r="D1259" s="19" t="n">
        <v>2026</v>
      </c>
      <c r="E1259" s="57" t="n">
        <v>2</v>
      </c>
      <c r="F1259" s="29">
        <f>ROUND(((SUMIFS(Calendar!$F$2:$F$9997,Calendar!$B$2:$B$9997,D1259,Calendar!$C$2:$C$9997,C1259)*INDEX(ForeCalc!$B$37:$Y$274,MATCH(_xlfn.CONCAT(H1259," ",I1259),ForeCalc!$A$37:$A$274,0),MATCH(_xlfn.CONCAT(B1259," ",E1259),ForeCalc!$B$36:$Y$36,0))))*VLOOKUP(A1259,Calendar!$A$2:$H$9997,8,FALSE),0)</f>
        <v/>
      </c>
      <c r="G1259" s="29">
        <f>VLOOKUP(A1259,Calendar!$A$1:$H$9997,6,FALSE)-F1259</f>
        <v/>
      </c>
      <c r="H1259" s="19" t="n">
        <v>1</v>
      </c>
      <c r="I1259" s="57" t="n">
        <v>6</v>
      </c>
    </row>
    <row r="1260">
      <c r="A1260" s="62" t="n">
        <v>46275</v>
      </c>
      <c r="B1260" s="3" t="inlineStr">
        <is>
          <t>Week</t>
        </is>
      </c>
      <c r="C1260" s="19" t="n">
        <v>9</v>
      </c>
      <c r="D1260" s="19" t="n">
        <v>2026</v>
      </c>
      <c r="E1260" s="57" t="n">
        <v>2</v>
      </c>
      <c r="F1260" s="29">
        <f>ROUND(((SUMIFS(Calendar!$F$2:$F$9997,Calendar!$B$2:$B$9997,D1260,Calendar!$C$2:$C$9997,C1260)*INDEX(ForeCalc!$B$37:$Y$274,MATCH(_xlfn.CONCAT(H1260," ",I1260),ForeCalc!$A$37:$A$274,0),MATCH(_xlfn.CONCAT(B1260," ",E1260),ForeCalc!$B$36:$Y$36,0))))*VLOOKUP(A1260,Calendar!$A$2:$H$9997,8,FALSE),0)</f>
        <v/>
      </c>
      <c r="G1260" s="29">
        <f>VLOOKUP(A1260,Calendar!$A$1:$H$9997,6,FALSE)-F1260</f>
        <v/>
      </c>
      <c r="H1260" s="19" t="n">
        <v>1</v>
      </c>
      <c r="I1260" s="57" t="n">
        <v>6</v>
      </c>
    </row>
    <row r="1261">
      <c r="A1261" s="62" t="n">
        <v>46276</v>
      </c>
      <c r="B1261" s="3" t="inlineStr">
        <is>
          <t>Week</t>
        </is>
      </c>
      <c r="C1261" s="19" t="n">
        <v>9</v>
      </c>
      <c r="D1261" s="19" t="n">
        <v>2026</v>
      </c>
      <c r="E1261" s="57" t="n">
        <v>2</v>
      </c>
      <c r="F1261" s="29">
        <f>ROUND(((SUMIFS(Calendar!$F$2:$F$9997,Calendar!$B$2:$B$9997,D1261,Calendar!$C$2:$C$9997,C1261)*INDEX(ForeCalc!$B$37:$Y$274,MATCH(_xlfn.CONCAT(H1261," ",I1261),ForeCalc!$A$37:$A$274,0),MATCH(_xlfn.CONCAT(B1261," ",E1261),ForeCalc!$B$36:$Y$36,0))))*VLOOKUP(A1261,Calendar!$A$2:$H$9997,8,FALSE),0)</f>
        <v/>
      </c>
      <c r="G1261" s="29">
        <f>VLOOKUP(A1261,Calendar!$A$1:$H$9997,6,FALSE)-F1261</f>
        <v/>
      </c>
      <c r="H1261" s="19" t="n">
        <v>1</v>
      </c>
      <c r="I1261" s="57" t="n">
        <v>6</v>
      </c>
    </row>
    <row r="1262">
      <c r="A1262" s="62" t="n">
        <v>46277</v>
      </c>
      <c r="B1262" s="3" t="inlineStr">
        <is>
          <t>Sat</t>
        </is>
      </c>
      <c r="C1262" s="19" t="n">
        <v>9</v>
      </c>
      <c r="D1262" s="19" t="n">
        <v>2026</v>
      </c>
      <c r="E1262" s="57" t="n">
        <v>2</v>
      </c>
      <c r="F1262" s="29">
        <f>ROUND(((SUMIFS(Calendar!$F$2:$F$9997,Calendar!$B$2:$B$9997,D1262,Calendar!$C$2:$C$9997,C1262)*INDEX(ForeCalc!$B$37:$Y$274,MATCH(_xlfn.CONCAT(H1262," ",I1262),ForeCalc!$A$37:$A$274,0),MATCH(_xlfn.CONCAT(B1262," ",E1262),ForeCalc!$B$36:$Y$36,0))))*VLOOKUP(A1262,Calendar!$A$2:$H$9997,8,FALSE),0)</f>
        <v/>
      </c>
      <c r="G1262" s="29">
        <f>VLOOKUP(A1262,Calendar!$A$1:$H$9997,6,FALSE)-F1262</f>
        <v/>
      </c>
      <c r="H1262" s="19" t="n">
        <v>1</v>
      </c>
      <c r="I1262" s="57" t="n">
        <v>6</v>
      </c>
    </row>
    <row r="1263">
      <c r="A1263" s="62" t="n">
        <v>46278</v>
      </c>
      <c r="B1263" s="3" t="inlineStr">
        <is>
          <t>Sun</t>
        </is>
      </c>
      <c r="C1263" s="19" t="n">
        <v>9</v>
      </c>
      <c r="D1263" s="19" t="n">
        <v>2026</v>
      </c>
      <c r="E1263" s="57" t="n">
        <v>2</v>
      </c>
      <c r="F1263" s="29">
        <f>ROUND(((SUMIFS(Calendar!$F$2:$F$9997,Calendar!$B$2:$B$9997,D1263,Calendar!$C$2:$C$9997,C1263)*INDEX(ForeCalc!$B$37:$Y$274,MATCH(_xlfn.CONCAT(H1263," ",I1263),ForeCalc!$A$37:$A$274,0),MATCH(_xlfn.CONCAT(B1263," ",E1263),ForeCalc!$B$36:$Y$36,0))))*VLOOKUP(A1263,Calendar!$A$2:$H$9997,8,FALSE),0)</f>
        <v/>
      </c>
      <c r="G1263" s="29">
        <f>VLOOKUP(A1263,Calendar!$A$1:$H$9997,6,FALSE)-F1263</f>
        <v/>
      </c>
      <c r="H1263" s="19" t="n">
        <v>1</v>
      </c>
      <c r="I1263" s="57" t="n">
        <v>6</v>
      </c>
    </row>
    <row r="1264">
      <c r="A1264" s="62" t="n">
        <v>46279</v>
      </c>
      <c r="B1264" s="3" t="inlineStr">
        <is>
          <t>Week</t>
        </is>
      </c>
      <c r="C1264" s="19" t="n">
        <v>9</v>
      </c>
      <c r="D1264" s="19" t="n">
        <v>2026</v>
      </c>
      <c r="E1264" s="57" t="n">
        <v>2</v>
      </c>
      <c r="F1264" s="29">
        <f>ROUND(((SUMIFS(Calendar!$F$2:$F$9997,Calendar!$B$2:$B$9997,D1264,Calendar!$C$2:$C$9997,C1264)*INDEX(ForeCalc!$B$37:$Y$274,MATCH(_xlfn.CONCAT(H1264," ",I1264),ForeCalc!$A$37:$A$274,0),MATCH(_xlfn.CONCAT(B1264," ",E1264),ForeCalc!$B$36:$Y$36,0))))*VLOOKUP(A1264,Calendar!$A$2:$H$9997,8,FALSE),0)</f>
        <v/>
      </c>
      <c r="G1264" s="29">
        <f>VLOOKUP(A1264,Calendar!$A$1:$H$9997,6,FALSE)-F1264</f>
        <v/>
      </c>
      <c r="H1264" s="19" t="n">
        <v>1</v>
      </c>
      <c r="I1264" s="57" t="n">
        <v>6</v>
      </c>
    </row>
    <row r="1265">
      <c r="A1265" s="62" t="n">
        <v>46280</v>
      </c>
      <c r="B1265" s="3" t="inlineStr">
        <is>
          <t>Week</t>
        </is>
      </c>
      <c r="C1265" s="19" t="n">
        <v>9</v>
      </c>
      <c r="D1265" s="19" t="n">
        <v>2026</v>
      </c>
      <c r="E1265" s="57" t="n">
        <v>2</v>
      </c>
      <c r="F1265" s="29">
        <f>ROUND(((SUMIFS(Calendar!$F$2:$F$9997,Calendar!$B$2:$B$9997,D1265,Calendar!$C$2:$C$9997,C1265)*INDEX(ForeCalc!$B$37:$Y$274,MATCH(_xlfn.CONCAT(H1265," ",I1265),ForeCalc!$A$37:$A$274,0),MATCH(_xlfn.CONCAT(B1265," ",E1265),ForeCalc!$B$36:$Y$36,0))))*VLOOKUP(A1265,Calendar!$A$2:$H$9997,8,FALSE),0)</f>
        <v/>
      </c>
      <c r="G1265" s="29">
        <f>VLOOKUP(A1265,Calendar!$A$1:$H$9997,6,FALSE)-F1265</f>
        <v/>
      </c>
      <c r="H1265" s="19" t="n">
        <v>1</v>
      </c>
      <c r="I1265" s="57" t="n">
        <v>6</v>
      </c>
    </row>
    <row r="1266">
      <c r="A1266" s="62" t="n">
        <v>46281</v>
      </c>
      <c r="B1266" s="3" t="inlineStr">
        <is>
          <t>Week</t>
        </is>
      </c>
      <c r="C1266" s="19" t="n">
        <v>9</v>
      </c>
      <c r="D1266" s="19" t="n">
        <v>2026</v>
      </c>
      <c r="E1266" s="57" t="n">
        <v>2</v>
      </c>
      <c r="F1266" s="29">
        <f>ROUND(((SUMIFS(Calendar!$F$2:$F$9997,Calendar!$B$2:$B$9997,D1266,Calendar!$C$2:$C$9997,C1266)*INDEX(ForeCalc!$B$37:$Y$274,MATCH(_xlfn.CONCAT(H1266," ",I1266),ForeCalc!$A$37:$A$274,0),MATCH(_xlfn.CONCAT(B1266," ",E1266),ForeCalc!$B$36:$Y$36,0))))*VLOOKUP(A1266,Calendar!$A$2:$H$9997,8,FALSE),0)</f>
        <v/>
      </c>
      <c r="G1266" s="29">
        <f>VLOOKUP(A1266,Calendar!$A$1:$H$9997,6,FALSE)-F1266</f>
        <v/>
      </c>
      <c r="H1266" s="19" t="n">
        <v>1</v>
      </c>
      <c r="I1266" s="57" t="n">
        <v>6</v>
      </c>
    </row>
    <row r="1267">
      <c r="A1267" s="62" t="n">
        <v>46282</v>
      </c>
      <c r="B1267" s="3" t="inlineStr">
        <is>
          <t>Week</t>
        </is>
      </c>
      <c r="C1267" s="19" t="n">
        <v>9</v>
      </c>
      <c r="D1267" s="19" t="n">
        <v>2026</v>
      </c>
      <c r="E1267" s="57" t="n">
        <v>2</v>
      </c>
      <c r="F1267" s="29">
        <f>ROUND(((SUMIFS(Calendar!$F$2:$F$9997,Calendar!$B$2:$B$9997,D1267,Calendar!$C$2:$C$9997,C1267)*INDEX(ForeCalc!$B$37:$Y$274,MATCH(_xlfn.CONCAT(H1267," ",I1267),ForeCalc!$A$37:$A$274,0),MATCH(_xlfn.CONCAT(B1267," ",E1267),ForeCalc!$B$36:$Y$36,0))))*VLOOKUP(A1267,Calendar!$A$2:$H$9997,8,FALSE),0)</f>
        <v/>
      </c>
      <c r="G1267" s="29">
        <f>VLOOKUP(A1267,Calendar!$A$1:$H$9997,6,FALSE)-F1267</f>
        <v/>
      </c>
      <c r="H1267" s="19" t="n">
        <v>1</v>
      </c>
      <c r="I1267" s="57" t="n">
        <v>6</v>
      </c>
    </row>
    <row r="1268">
      <c r="A1268" s="62" t="n">
        <v>46283</v>
      </c>
      <c r="B1268" s="3" t="inlineStr">
        <is>
          <t>Week</t>
        </is>
      </c>
      <c r="C1268" s="19" t="n">
        <v>9</v>
      </c>
      <c r="D1268" s="19" t="n">
        <v>2026</v>
      </c>
      <c r="E1268" s="57" t="n">
        <v>2</v>
      </c>
      <c r="F1268" s="29">
        <f>ROUND(((SUMIFS(Calendar!$F$2:$F$9997,Calendar!$B$2:$B$9997,D1268,Calendar!$C$2:$C$9997,C1268)*INDEX(ForeCalc!$B$37:$Y$274,MATCH(_xlfn.CONCAT(H1268," ",I1268),ForeCalc!$A$37:$A$274,0),MATCH(_xlfn.CONCAT(B1268," ",E1268),ForeCalc!$B$36:$Y$36,0))))*VLOOKUP(A1268,Calendar!$A$2:$H$9997,8,FALSE),0)</f>
        <v/>
      </c>
      <c r="G1268" s="29">
        <f>VLOOKUP(A1268,Calendar!$A$1:$H$9997,6,FALSE)-F1268</f>
        <v/>
      </c>
      <c r="H1268" s="19" t="n">
        <v>1</v>
      </c>
      <c r="I1268" s="57" t="n">
        <v>6</v>
      </c>
    </row>
    <row r="1269">
      <c r="A1269" s="62" t="n">
        <v>46284</v>
      </c>
      <c r="B1269" s="3" t="inlineStr">
        <is>
          <t>Sat</t>
        </is>
      </c>
      <c r="C1269" s="19" t="n">
        <v>9</v>
      </c>
      <c r="D1269" s="19" t="n">
        <v>2026</v>
      </c>
      <c r="E1269" s="57" t="n">
        <v>2</v>
      </c>
      <c r="F1269" s="29">
        <f>ROUND(((SUMIFS(Calendar!$F$2:$F$9997,Calendar!$B$2:$B$9997,D1269,Calendar!$C$2:$C$9997,C1269)*INDEX(ForeCalc!$B$37:$Y$274,MATCH(_xlfn.CONCAT(H1269," ",I1269),ForeCalc!$A$37:$A$274,0),MATCH(_xlfn.CONCAT(B1269," ",E1269),ForeCalc!$B$36:$Y$36,0))))*VLOOKUP(A1269,Calendar!$A$2:$H$9997,8,FALSE),0)</f>
        <v/>
      </c>
      <c r="G1269" s="29">
        <f>VLOOKUP(A1269,Calendar!$A$1:$H$9997,6,FALSE)-F1269</f>
        <v/>
      </c>
      <c r="H1269" s="19" t="n">
        <v>1</v>
      </c>
      <c r="I1269" s="57" t="n">
        <v>6</v>
      </c>
    </row>
    <row r="1270">
      <c r="A1270" s="62" t="n">
        <v>46285</v>
      </c>
      <c r="B1270" s="3" t="inlineStr">
        <is>
          <t>Sun</t>
        </is>
      </c>
      <c r="C1270" s="19" t="n">
        <v>9</v>
      </c>
      <c r="D1270" s="19" t="n">
        <v>2026</v>
      </c>
      <c r="E1270" s="57" t="n">
        <v>2</v>
      </c>
      <c r="F1270" s="29">
        <f>ROUND(((SUMIFS(Calendar!$F$2:$F$9997,Calendar!$B$2:$B$9997,D1270,Calendar!$C$2:$C$9997,C1270)*INDEX(ForeCalc!$B$37:$Y$274,MATCH(_xlfn.CONCAT(H1270," ",I1270),ForeCalc!$A$37:$A$274,0),MATCH(_xlfn.CONCAT(B1270," ",E1270),ForeCalc!$B$36:$Y$36,0))))*VLOOKUP(A1270,Calendar!$A$2:$H$9997,8,FALSE),0)</f>
        <v/>
      </c>
      <c r="G1270" s="29">
        <f>VLOOKUP(A1270,Calendar!$A$1:$H$9997,6,FALSE)-F1270</f>
        <v/>
      </c>
      <c r="H1270" s="19" t="n">
        <v>1</v>
      </c>
      <c r="I1270" s="57" t="n">
        <v>6</v>
      </c>
    </row>
    <row r="1271">
      <c r="A1271" s="62" t="n">
        <v>46286</v>
      </c>
      <c r="B1271" s="3" t="inlineStr">
        <is>
          <t>Week</t>
        </is>
      </c>
      <c r="C1271" s="19" t="n">
        <v>9</v>
      </c>
      <c r="D1271" s="19" t="n">
        <v>2026</v>
      </c>
      <c r="E1271" s="57" t="n">
        <v>2</v>
      </c>
      <c r="F1271" s="29">
        <f>ROUND(((SUMIFS(Calendar!$F$2:$F$9997,Calendar!$B$2:$B$9997,D1271,Calendar!$C$2:$C$9997,C1271)*INDEX(ForeCalc!$B$37:$Y$274,MATCH(_xlfn.CONCAT(H1271," ",I1271),ForeCalc!$A$37:$A$274,0),MATCH(_xlfn.CONCAT(B1271," ",E1271),ForeCalc!$B$36:$Y$36,0))))*VLOOKUP(A1271,Calendar!$A$2:$H$9997,8,FALSE),0)</f>
        <v/>
      </c>
      <c r="G1271" s="29">
        <f>VLOOKUP(A1271,Calendar!$A$1:$H$9997,6,FALSE)-F1271</f>
        <v/>
      </c>
      <c r="H1271" s="19" t="n">
        <v>1</v>
      </c>
      <c r="I1271" s="57" t="n">
        <v>6</v>
      </c>
    </row>
    <row r="1272">
      <c r="A1272" s="62" t="n">
        <v>46287</v>
      </c>
      <c r="B1272" s="3" t="inlineStr">
        <is>
          <t>Week</t>
        </is>
      </c>
      <c r="C1272" s="19" t="n">
        <v>9</v>
      </c>
      <c r="D1272" s="19" t="n">
        <v>2026</v>
      </c>
      <c r="E1272" s="57" t="n">
        <v>2</v>
      </c>
      <c r="F1272" s="29">
        <f>ROUND(((SUMIFS(Calendar!$F$2:$F$9997,Calendar!$B$2:$B$9997,D1272,Calendar!$C$2:$C$9997,C1272)*INDEX(ForeCalc!$B$37:$Y$274,MATCH(_xlfn.CONCAT(H1272," ",I1272),ForeCalc!$A$37:$A$274,0),MATCH(_xlfn.CONCAT(B1272," ",E1272),ForeCalc!$B$36:$Y$36,0))))*VLOOKUP(A1272,Calendar!$A$2:$H$9997,8,FALSE),0)</f>
        <v/>
      </c>
      <c r="G1272" s="29">
        <f>VLOOKUP(A1272,Calendar!$A$1:$H$9997,6,FALSE)-F1272</f>
        <v/>
      </c>
      <c r="H1272" s="19" t="n">
        <v>1</v>
      </c>
      <c r="I1272" s="57" t="n">
        <v>6</v>
      </c>
    </row>
    <row r="1273">
      <c r="A1273" s="62" t="n">
        <v>46288</v>
      </c>
      <c r="B1273" s="3" t="inlineStr">
        <is>
          <t>Week</t>
        </is>
      </c>
      <c r="C1273" s="19" t="n">
        <v>9</v>
      </c>
      <c r="D1273" s="19" t="n">
        <v>2026</v>
      </c>
      <c r="E1273" s="57" t="n">
        <v>2</v>
      </c>
      <c r="F1273" s="29">
        <f>ROUND(((SUMIFS(Calendar!$F$2:$F$9997,Calendar!$B$2:$B$9997,D1273,Calendar!$C$2:$C$9997,C1273)*INDEX(ForeCalc!$B$37:$Y$274,MATCH(_xlfn.CONCAT(H1273," ",I1273),ForeCalc!$A$37:$A$274,0),MATCH(_xlfn.CONCAT(B1273," ",E1273),ForeCalc!$B$36:$Y$36,0))))*VLOOKUP(A1273,Calendar!$A$2:$H$9997,8,FALSE),0)</f>
        <v/>
      </c>
      <c r="G1273" s="29">
        <f>VLOOKUP(A1273,Calendar!$A$1:$H$9997,6,FALSE)-F1273</f>
        <v/>
      </c>
      <c r="H1273" s="19" t="n">
        <v>1</v>
      </c>
      <c r="I1273" s="57" t="n">
        <v>6</v>
      </c>
    </row>
    <row r="1274">
      <c r="A1274" s="62" t="n">
        <v>46289</v>
      </c>
      <c r="B1274" s="3" t="inlineStr">
        <is>
          <t>Week</t>
        </is>
      </c>
      <c r="C1274" s="19" t="n">
        <v>9</v>
      </c>
      <c r="D1274" s="19" t="n">
        <v>2026</v>
      </c>
      <c r="E1274" s="57" t="n">
        <v>2</v>
      </c>
      <c r="F1274" s="29">
        <f>ROUND(((SUMIFS(Calendar!$F$2:$F$9997,Calendar!$B$2:$B$9997,D1274,Calendar!$C$2:$C$9997,C1274)*INDEX(ForeCalc!$B$37:$Y$274,MATCH(_xlfn.CONCAT(H1274," ",I1274),ForeCalc!$A$37:$A$274,0),MATCH(_xlfn.CONCAT(B1274," ",E1274),ForeCalc!$B$36:$Y$36,0))))*VLOOKUP(A1274,Calendar!$A$2:$H$9997,8,FALSE),0)</f>
        <v/>
      </c>
      <c r="G1274" s="29">
        <f>VLOOKUP(A1274,Calendar!$A$1:$H$9997,6,FALSE)-F1274</f>
        <v/>
      </c>
      <c r="H1274" s="19" t="n">
        <v>1</v>
      </c>
      <c r="I1274" s="57" t="n">
        <v>6</v>
      </c>
    </row>
    <row r="1275">
      <c r="A1275" s="62" t="n">
        <v>46290</v>
      </c>
      <c r="B1275" s="3" t="inlineStr">
        <is>
          <t>Week</t>
        </is>
      </c>
      <c r="C1275" s="19" t="n">
        <v>9</v>
      </c>
      <c r="D1275" s="19" t="n">
        <v>2026</v>
      </c>
      <c r="E1275" s="57" t="n">
        <v>2</v>
      </c>
      <c r="F1275" s="29">
        <f>ROUND(((SUMIFS(Calendar!$F$2:$F$9997,Calendar!$B$2:$B$9997,D1275,Calendar!$C$2:$C$9997,C1275)*INDEX(ForeCalc!$B$37:$Y$274,MATCH(_xlfn.CONCAT(H1275," ",I1275),ForeCalc!$A$37:$A$274,0),MATCH(_xlfn.CONCAT(B1275," ",E1275),ForeCalc!$B$36:$Y$36,0))))*VLOOKUP(A1275,Calendar!$A$2:$H$9997,8,FALSE),0)</f>
        <v/>
      </c>
      <c r="G1275" s="29">
        <f>VLOOKUP(A1275,Calendar!$A$1:$H$9997,6,FALSE)-F1275</f>
        <v/>
      </c>
      <c r="H1275" s="19" t="n">
        <v>1</v>
      </c>
      <c r="I1275" s="57" t="n">
        <v>6</v>
      </c>
    </row>
    <row r="1276">
      <c r="A1276" s="62" t="n">
        <v>46291</v>
      </c>
      <c r="B1276" s="3" t="inlineStr">
        <is>
          <t>Sat</t>
        </is>
      </c>
      <c r="C1276" s="19" t="n">
        <v>9</v>
      </c>
      <c r="D1276" s="19" t="n">
        <v>2026</v>
      </c>
      <c r="E1276" s="57" t="n">
        <v>2</v>
      </c>
      <c r="F1276" s="29">
        <f>ROUND(((SUMIFS(Calendar!$F$2:$F$9997,Calendar!$B$2:$B$9997,D1276,Calendar!$C$2:$C$9997,C1276)*INDEX(ForeCalc!$B$37:$Y$274,MATCH(_xlfn.CONCAT(H1276," ",I1276),ForeCalc!$A$37:$A$274,0),MATCH(_xlfn.CONCAT(B1276," ",E1276),ForeCalc!$B$36:$Y$36,0))))*VLOOKUP(A1276,Calendar!$A$2:$H$9997,8,FALSE),0)</f>
        <v/>
      </c>
      <c r="G1276" s="29">
        <f>VLOOKUP(A1276,Calendar!$A$1:$H$9997,6,FALSE)-F1276</f>
        <v/>
      </c>
      <c r="H1276" s="19" t="n">
        <v>1</v>
      </c>
      <c r="I1276" s="57" t="n">
        <v>6</v>
      </c>
    </row>
    <row r="1277">
      <c r="A1277" s="62" t="n">
        <v>46292</v>
      </c>
      <c r="B1277" s="3" t="inlineStr">
        <is>
          <t>Sun</t>
        </is>
      </c>
      <c r="C1277" s="19" t="n">
        <v>9</v>
      </c>
      <c r="D1277" s="19" t="n">
        <v>2026</v>
      </c>
      <c r="E1277" s="57" t="n">
        <v>2</v>
      </c>
      <c r="F1277" s="29">
        <f>ROUND(((SUMIFS(Calendar!$F$2:$F$9997,Calendar!$B$2:$B$9997,D1277,Calendar!$C$2:$C$9997,C1277)*INDEX(ForeCalc!$B$37:$Y$274,MATCH(_xlfn.CONCAT(H1277," ",I1277),ForeCalc!$A$37:$A$274,0),MATCH(_xlfn.CONCAT(B1277," ",E1277),ForeCalc!$B$36:$Y$36,0))))*VLOOKUP(A1277,Calendar!$A$2:$H$9997,8,FALSE),0)</f>
        <v/>
      </c>
      <c r="G1277" s="29">
        <f>VLOOKUP(A1277,Calendar!$A$1:$H$9997,6,FALSE)-F1277</f>
        <v/>
      </c>
      <c r="H1277" s="19" t="n">
        <v>1</v>
      </c>
      <c r="I1277" s="57" t="n">
        <v>6</v>
      </c>
    </row>
    <row r="1278">
      <c r="A1278" s="62" t="n">
        <v>46293</v>
      </c>
      <c r="B1278" s="3" t="inlineStr">
        <is>
          <t>Week</t>
        </is>
      </c>
      <c r="C1278" s="19" t="n">
        <v>9</v>
      </c>
      <c r="D1278" s="19" t="n">
        <v>2026</v>
      </c>
      <c r="E1278" s="57" t="n">
        <v>2</v>
      </c>
      <c r="F1278" s="29">
        <f>ROUND(((SUMIFS(Calendar!$F$2:$F$9997,Calendar!$B$2:$B$9997,D1278,Calendar!$C$2:$C$9997,C1278)*INDEX(ForeCalc!$B$37:$Y$274,MATCH(_xlfn.CONCAT(H1278," ",I1278),ForeCalc!$A$37:$A$274,0),MATCH(_xlfn.CONCAT(B1278," ",E1278),ForeCalc!$B$36:$Y$36,0))))*VLOOKUP(A1278,Calendar!$A$2:$H$9997,8,FALSE),0)</f>
        <v/>
      </c>
      <c r="G1278" s="29">
        <f>VLOOKUP(A1278,Calendar!$A$1:$H$9997,6,FALSE)-F1278</f>
        <v/>
      </c>
      <c r="H1278" s="19" t="n">
        <v>1</v>
      </c>
      <c r="I1278" s="57" t="n">
        <v>6</v>
      </c>
    </row>
    <row r="1279">
      <c r="A1279" s="62" t="n">
        <v>46294</v>
      </c>
      <c r="B1279" s="3" t="inlineStr">
        <is>
          <t>Week</t>
        </is>
      </c>
      <c r="C1279" s="19" t="n">
        <v>9</v>
      </c>
      <c r="D1279" s="19" t="n">
        <v>2026</v>
      </c>
      <c r="E1279" s="57" t="n">
        <v>2</v>
      </c>
      <c r="F1279" s="29">
        <f>ROUND(((SUMIFS(Calendar!$F$2:$F$9997,Calendar!$B$2:$B$9997,D1279,Calendar!$C$2:$C$9997,C1279)*INDEX(ForeCalc!$B$37:$Y$274,MATCH(_xlfn.CONCAT(H1279," ",I1279),ForeCalc!$A$37:$A$274,0),MATCH(_xlfn.CONCAT(B1279," ",E1279),ForeCalc!$B$36:$Y$36,0))))*VLOOKUP(A1279,Calendar!$A$2:$H$9997,8,FALSE),0)</f>
        <v/>
      </c>
      <c r="G1279" s="29">
        <f>VLOOKUP(A1279,Calendar!$A$1:$H$9997,6,FALSE)-F1279</f>
        <v/>
      </c>
      <c r="H1279" s="19" t="n">
        <v>1</v>
      </c>
      <c r="I1279" s="57" t="n">
        <v>6</v>
      </c>
    </row>
    <row r="1280">
      <c r="A1280" s="62" t="n">
        <v>46295</v>
      </c>
      <c r="B1280" s="3" t="inlineStr">
        <is>
          <t>Week</t>
        </is>
      </c>
      <c r="C1280" s="19" t="n">
        <v>9</v>
      </c>
      <c r="D1280" s="19" t="n">
        <v>2026</v>
      </c>
      <c r="E1280" s="57" t="n">
        <v>2</v>
      </c>
      <c r="F1280" s="29">
        <f>ROUND(((SUMIFS(Calendar!$F$2:$F$9997,Calendar!$B$2:$B$9997,D1280,Calendar!$C$2:$C$9997,C1280)*INDEX(ForeCalc!$B$37:$Y$274,MATCH(_xlfn.CONCAT(H1280," ",I1280),ForeCalc!$A$37:$A$274,0),MATCH(_xlfn.CONCAT(B1280," ",E1280),ForeCalc!$B$36:$Y$36,0))))*VLOOKUP(A1280,Calendar!$A$2:$H$9997,8,FALSE),0)</f>
        <v/>
      </c>
      <c r="G1280" s="29">
        <f>VLOOKUP(A1280,Calendar!$A$1:$H$9997,6,FALSE)-F1280</f>
        <v/>
      </c>
      <c r="H1280" s="19" t="n">
        <v>1</v>
      </c>
      <c r="I1280" s="57" t="n">
        <v>6</v>
      </c>
    </row>
    <row r="1281">
      <c r="A1281" s="62" t="n">
        <v>46296</v>
      </c>
      <c r="B1281" s="3" t="inlineStr">
        <is>
          <t>Week</t>
        </is>
      </c>
      <c r="C1281" s="19" t="n">
        <v>10</v>
      </c>
      <c r="D1281" s="19" t="n">
        <v>2026</v>
      </c>
      <c r="E1281" s="57" t="n">
        <v>2</v>
      </c>
      <c r="F1281" s="29">
        <f>ROUND(((SUMIFS(Calendar!$F$2:$F$9997,Calendar!$B$2:$B$9997,D1281,Calendar!$C$2:$C$9997,C1281)*INDEX(ForeCalc!$B$37:$Y$274,MATCH(_xlfn.CONCAT(H1281," ",I1281),ForeCalc!$A$37:$A$274,0),MATCH(_xlfn.CONCAT(B1281," ",E1281),ForeCalc!$B$36:$Y$36,0))))*VLOOKUP(A1281,Calendar!$A$2:$H$9997,8,FALSE),0)</f>
        <v/>
      </c>
      <c r="G1281" s="29">
        <f>VLOOKUP(A1281,Calendar!$A$1:$H$9997,6,FALSE)-F1281</f>
        <v/>
      </c>
      <c r="H1281" s="19" t="n">
        <v>1</v>
      </c>
      <c r="I1281" s="57" t="n">
        <v>7</v>
      </c>
    </row>
    <row r="1282">
      <c r="A1282" s="62" t="n">
        <v>46297</v>
      </c>
      <c r="B1282" s="3" t="inlineStr">
        <is>
          <t>Week</t>
        </is>
      </c>
      <c r="C1282" s="19" t="n">
        <v>10</v>
      </c>
      <c r="D1282" s="19" t="n">
        <v>2026</v>
      </c>
      <c r="E1282" s="57" t="n">
        <v>2</v>
      </c>
      <c r="F1282" s="29">
        <f>ROUND(((SUMIFS(Calendar!$F$2:$F$9997,Calendar!$B$2:$B$9997,D1282,Calendar!$C$2:$C$9997,C1282)*INDEX(ForeCalc!$B$37:$Y$274,MATCH(_xlfn.CONCAT(H1282," ",I1282),ForeCalc!$A$37:$A$274,0),MATCH(_xlfn.CONCAT(B1282," ",E1282),ForeCalc!$B$36:$Y$36,0))))*VLOOKUP(A1282,Calendar!$A$2:$H$9997,8,FALSE),0)</f>
        <v/>
      </c>
      <c r="G1282" s="29">
        <f>VLOOKUP(A1282,Calendar!$A$1:$H$9997,6,FALSE)-F1282</f>
        <v/>
      </c>
      <c r="H1282" s="19" t="n">
        <v>1</v>
      </c>
      <c r="I1282" s="57" t="n">
        <v>7</v>
      </c>
    </row>
    <row r="1283">
      <c r="A1283" s="62" t="n">
        <v>46298</v>
      </c>
      <c r="B1283" s="3" t="inlineStr">
        <is>
          <t>Sat</t>
        </is>
      </c>
      <c r="C1283" s="19" t="n">
        <v>10</v>
      </c>
      <c r="D1283" s="19" t="n">
        <v>2026</v>
      </c>
      <c r="E1283" s="57" t="n">
        <v>2</v>
      </c>
      <c r="F1283" s="29">
        <f>ROUND(((SUMIFS(Calendar!$F$2:$F$9997,Calendar!$B$2:$B$9997,D1283,Calendar!$C$2:$C$9997,C1283)*INDEX(ForeCalc!$B$37:$Y$274,MATCH(_xlfn.CONCAT(H1283," ",I1283),ForeCalc!$A$37:$A$274,0),MATCH(_xlfn.CONCAT(B1283," ",E1283),ForeCalc!$B$36:$Y$36,0))))*VLOOKUP(A1283,Calendar!$A$2:$H$9997,8,FALSE),0)</f>
        <v/>
      </c>
      <c r="G1283" s="29">
        <f>VLOOKUP(A1283,Calendar!$A$1:$H$9997,6,FALSE)-F1283</f>
        <v/>
      </c>
      <c r="H1283" s="19" t="n">
        <v>1</v>
      </c>
      <c r="I1283" s="57" t="n">
        <v>7</v>
      </c>
    </row>
    <row r="1284">
      <c r="A1284" s="62" t="n">
        <v>46299</v>
      </c>
      <c r="B1284" s="3" t="inlineStr">
        <is>
          <t>Sun</t>
        </is>
      </c>
      <c r="C1284" s="19" t="n">
        <v>10</v>
      </c>
      <c r="D1284" s="19" t="n">
        <v>2026</v>
      </c>
      <c r="E1284" s="57" t="n">
        <v>2</v>
      </c>
      <c r="F1284" s="29">
        <f>ROUND(((SUMIFS(Calendar!$F$2:$F$9997,Calendar!$B$2:$B$9997,D1284,Calendar!$C$2:$C$9997,C1284)*INDEX(ForeCalc!$B$37:$Y$274,MATCH(_xlfn.CONCAT(H1284," ",I1284),ForeCalc!$A$37:$A$274,0),MATCH(_xlfn.CONCAT(B1284," ",E1284),ForeCalc!$B$36:$Y$36,0))))*VLOOKUP(A1284,Calendar!$A$2:$H$9997,8,FALSE),0)</f>
        <v/>
      </c>
      <c r="G1284" s="29">
        <f>VLOOKUP(A1284,Calendar!$A$1:$H$9997,6,FALSE)-F1284</f>
        <v/>
      </c>
      <c r="H1284" s="19" t="n">
        <v>1</v>
      </c>
      <c r="I1284" s="57" t="n">
        <v>7</v>
      </c>
    </row>
    <row r="1285">
      <c r="A1285" s="62" t="n">
        <v>46300</v>
      </c>
      <c r="B1285" s="3" t="inlineStr">
        <is>
          <t>Week</t>
        </is>
      </c>
      <c r="C1285" s="19" t="n">
        <v>10</v>
      </c>
      <c r="D1285" s="19" t="n">
        <v>2026</v>
      </c>
      <c r="E1285" s="57" t="n">
        <v>2</v>
      </c>
      <c r="F1285" s="29">
        <f>ROUND(((SUMIFS(Calendar!$F$2:$F$9997,Calendar!$B$2:$B$9997,D1285,Calendar!$C$2:$C$9997,C1285)*INDEX(ForeCalc!$B$37:$Y$274,MATCH(_xlfn.CONCAT(H1285," ",I1285),ForeCalc!$A$37:$A$274,0),MATCH(_xlfn.CONCAT(B1285," ",E1285),ForeCalc!$B$36:$Y$36,0))))*VLOOKUP(A1285,Calendar!$A$2:$H$9997,8,FALSE),0)</f>
        <v/>
      </c>
      <c r="G1285" s="29">
        <f>VLOOKUP(A1285,Calendar!$A$1:$H$9997,6,FALSE)-F1285</f>
        <v/>
      </c>
      <c r="H1285" s="19" t="n">
        <v>1</v>
      </c>
      <c r="I1285" s="57" t="n">
        <v>7</v>
      </c>
    </row>
    <row r="1286">
      <c r="A1286" s="62" t="n">
        <v>46301</v>
      </c>
      <c r="B1286" s="3" t="inlineStr">
        <is>
          <t>Week</t>
        </is>
      </c>
      <c r="C1286" s="19" t="n">
        <v>10</v>
      </c>
      <c r="D1286" s="19" t="n">
        <v>2026</v>
      </c>
      <c r="E1286" s="57" t="n">
        <v>2</v>
      </c>
      <c r="F1286" s="29">
        <f>ROUND(((SUMIFS(Calendar!$F$2:$F$9997,Calendar!$B$2:$B$9997,D1286,Calendar!$C$2:$C$9997,C1286)*INDEX(ForeCalc!$B$37:$Y$274,MATCH(_xlfn.CONCAT(H1286," ",I1286),ForeCalc!$A$37:$A$274,0),MATCH(_xlfn.CONCAT(B1286," ",E1286),ForeCalc!$B$36:$Y$36,0))))*VLOOKUP(A1286,Calendar!$A$2:$H$9997,8,FALSE),0)</f>
        <v/>
      </c>
      <c r="G1286" s="29">
        <f>VLOOKUP(A1286,Calendar!$A$1:$H$9997,6,FALSE)-F1286</f>
        <v/>
      </c>
      <c r="H1286" s="19" t="n">
        <v>1</v>
      </c>
      <c r="I1286" s="57" t="n">
        <v>7</v>
      </c>
    </row>
    <row r="1287">
      <c r="A1287" s="62" t="n">
        <v>46302</v>
      </c>
      <c r="B1287" s="3" t="inlineStr">
        <is>
          <t>Week</t>
        </is>
      </c>
      <c r="C1287" s="19" t="n">
        <v>10</v>
      </c>
      <c r="D1287" s="19" t="n">
        <v>2026</v>
      </c>
      <c r="E1287" s="57" t="n">
        <v>2</v>
      </c>
      <c r="F1287" s="29">
        <f>ROUND(((SUMIFS(Calendar!$F$2:$F$9997,Calendar!$B$2:$B$9997,D1287,Calendar!$C$2:$C$9997,C1287)*INDEX(ForeCalc!$B$37:$Y$274,MATCH(_xlfn.CONCAT(H1287," ",I1287),ForeCalc!$A$37:$A$274,0),MATCH(_xlfn.CONCAT(B1287," ",E1287),ForeCalc!$B$36:$Y$36,0))))*VLOOKUP(A1287,Calendar!$A$2:$H$9997,8,FALSE),0)</f>
        <v/>
      </c>
      <c r="G1287" s="29">
        <f>VLOOKUP(A1287,Calendar!$A$1:$H$9997,6,FALSE)-F1287</f>
        <v/>
      </c>
      <c r="H1287" s="19" t="n">
        <v>1</v>
      </c>
      <c r="I1287" s="57" t="n">
        <v>7</v>
      </c>
    </row>
    <row r="1288">
      <c r="A1288" s="62" t="n">
        <v>46303</v>
      </c>
      <c r="B1288" s="3" t="inlineStr">
        <is>
          <t>Week</t>
        </is>
      </c>
      <c r="C1288" s="19" t="n">
        <v>10</v>
      </c>
      <c r="D1288" s="19" t="n">
        <v>2026</v>
      </c>
      <c r="E1288" s="57" t="n">
        <v>2</v>
      </c>
      <c r="F1288" s="29">
        <f>ROUND(((SUMIFS(Calendar!$F$2:$F$9997,Calendar!$B$2:$B$9997,D1288,Calendar!$C$2:$C$9997,C1288)*INDEX(ForeCalc!$B$37:$Y$274,MATCH(_xlfn.CONCAT(H1288," ",I1288),ForeCalc!$A$37:$A$274,0),MATCH(_xlfn.CONCAT(B1288," ",E1288),ForeCalc!$B$36:$Y$36,0))))*VLOOKUP(A1288,Calendar!$A$2:$H$9997,8,FALSE),0)</f>
        <v/>
      </c>
      <c r="G1288" s="29">
        <f>VLOOKUP(A1288,Calendar!$A$1:$H$9997,6,FALSE)-F1288</f>
        <v/>
      </c>
      <c r="H1288" s="19" t="n">
        <v>1</v>
      </c>
      <c r="I1288" s="57" t="n">
        <v>7</v>
      </c>
    </row>
    <row r="1289">
      <c r="A1289" s="62" t="n">
        <v>46304</v>
      </c>
      <c r="B1289" s="3" t="inlineStr">
        <is>
          <t>Week</t>
        </is>
      </c>
      <c r="C1289" s="19" t="n">
        <v>10</v>
      </c>
      <c r="D1289" s="19" t="n">
        <v>2026</v>
      </c>
      <c r="E1289" s="57" t="n">
        <v>2</v>
      </c>
      <c r="F1289" s="29">
        <f>ROUND(((SUMIFS(Calendar!$F$2:$F$9997,Calendar!$B$2:$B$9997,D1289,Calendar!$C$2:$C$9997,C1289)*INDEX(ForeCalc!$B$37:$Y$274,MATCH(_xlfn.CONCAT(H1289," ",I1289),ForeCalc!$A$37:$A$274,0),MATCH(_xlfn.CONCAT(B1289," ",E1289),ForeCalc!$B$36:$Y$36,0))))*VLOOKUP(A1289,Calendar!$A$2:$H$9997,8,FALSE),0)</f>
        <v/>
      </c>
      <c r="G1289" s="29">
        <f>VLOOKUP(A1289,Calendar!$A$1:$H$9997,6,FALSE)-F1289</f>
        <v/>
      </c>
      <c r="H1289" s="19" t="n">
        <v>1</v>
      </c>
      <c r="I1289" s="57" t="n">
        <v>7</v>
      </c>
    </row>
    <row r="1290">
      <c r="A1290" s="62" t="n">
        <v>46305</v>
      </c>
      <c r="B1290" s="3" t="inlineStr">
        <is>
          <t>Sat</t>
        </is>
      </c>
      <c r="C1290" s="19" t="n">
        <v>10</v>
      </c>
      <c r="D1290" s="19" t="n">
        <v>2026</v>
      </c>
      <c r="E1290" s="57" t="n">
        <v>2</v>
      </c>
      <c r="F1290" s="29">
        <f>ROUND(((SUMIFS(Calendar!$F$2:$F$9997,Calendar!$B$2:$B$9997,D1290,Calendar!$C$2:$C$9997,C1290)*INDEX(ForeCalc!$B$37:$Y$274,MATCH(_xlfn.CONCAT(H1290," ",I1290),ForeCalc!$A$37:$A$274,0),MATCH(_xlfn.CONCAT(B1290," ",E1290),ForeCalc!$B$36:$Y$36,0))))*VLOOKUP(A1290,Calendar!$A$2:$H$9997,8,FALSE),0)</f>
        <v/>
      </c>
      <c r="G1290" s="29">
        <f>VLOOKUP(A1290,Calendar!$A$1:$H$9997,6,FALSE)-F1290</f>
        <v/>
      </c>
      <c r="H1290" s="19" t="n">
        <v>1</v>
      </c>
      <c r="I1290" s="57" t="n">
        <v>7</v>
      </c>
    </row>
    <row r="1291">
      <c r="A1291" s="62" t="n">
        <v>46306</v>
      </c>
      <c r="B1291" s="3" t="inlineStr">
        <is>
          <t>Sun</t>
        </is>
      </c>
      <c r="C1291" s="19" t="n">
        <v>10</v>
      </c>
      <c r="D1291" s="19" t="n">
        <v>2026</v>
      </c>
      <c r="E1291" s="57" t="n">
        <v>2</v>
      </c>
      <c r="F1291" s="29">
        <f>ROUND(((SUMIFS(Calendar!$F$2:$F$9997,Calendar!$B$2:$B$9997,D1291,Calendar!$C$2:$C$9997,C1291)*INDEX(ForeCalc!$B$37:$Y$274,MATCH(_xlfn.CONCAT(H1291," ",I1291),ForeCalc!$A$37:$A$274,0),MATCH(_xlfn.CONCAT(B1291," ",E1291),ForeCalc!$B$36:$Y$36,0))))*VLOOKUP(A1291,Calendar!$A$2:$H$9997,8,FALSE),0)</f>
        <v/>
      </c>
      <c r="G1291" s="29">
        <f>VLOOKUP(A1291,Calendar!$A$1:$H$9997,6,FALSE)-F1291</f>
        <v/>
      </c>
      <c r="H1291" s="19" t="n">
        <v>1</v>
      </c>
      <c r="I1291" s="57" t="n">
        <v>7</v>
      </c>
    </row>
    <row r="1292">
      <c r="A1292" s="62" t="n">
        <v>46307</v>
      </c>
      <c r="B1292" s="3" t="inlineStr">
        <is>
          <t>Week</t>
        </is>
      </c>
      <c r="C1292" s="19" t="n">
        <v>10</v>
      </c>
      <c r="D1292" s="19" t="n">
        <v>2026</v>
      </c>
      <c r="E1292" s="57" t="n">
        <v>2</v>
      </c>
      <c r="F1292" s="29">
        <f>ROUND(((SUMIFS(Calendar!$F$2:$F$9997,Calendar!$B$2:$B$9997,D1292,Calendar!$C$2:$C$9997,C1292)*INDEX(ForeCalc!$B$37:$Y$274,MATCH(_xlfn.CONCAT(H1292," ",I1292),ForeCalc!$A$37:$A$274,0),MATCH(_xlfn.CONCAT(B1292," ",E1292),ForeCalc!$B$36:$Y$36,0))))*VLOOKUP(A1292,Calendar!$A$2:$H$9997,8,FALSE),0)</f>
        <v/>
      </c>
      <c r="G1292" s="29">
        <f>VLOOKUP(A1292,Calendar!$A$1:$H$9997,6,FALSE)-F1292</f>
        <v/>
      </c>
      <c r="H1292" s="19" t="n">
        <v>1</v>
      </c>
      <c r="I1292" s="57" t="n">
        <v>7</v>
      </c>
    </row>
    <row r="1293">
      <c r="A1293" s="62" t="n">
        <v>46308</v>
      </c>
      <c r="B1293" s="3" t="inlineStr">
        <is>
          <t>Week</t>
        </is>
      </c>
      <c r="C1293" s="19" t="n">
        <v>10</v>
      </c>
      <c r="D1293" s="19" t="n">
        <v>2026</v>
      </c>
      <c r="E1293" s="57" t="n">
        <v>2</v>
      </c>
      <c r="F1293" s="29">
        <f>ROUND(((SUMIFS(Calendar!$F$2:$F$9997,Calendar!$B$2:$B$9997,D1293,Calendar!$C$2:$C$9997,C1293)*INDEX(ForeCalc!$B$37:$Y$274,MATCH(_xlfn.CONCAT(H1293," ",I1293),ForeCalc!$A$37:$A$274,0),MATCH(_xlfn.CONCAT(B1293," ",E1293),ForeCalc!$B$36:$Y$36,0))))*VLOOKUP(A1293,Calendar!$A$2:$H$9997,8,FALSE),0)</f>
        <v/>
      </c>
      <c r="G1293" s="29">
        <f>VLOOKUP(A1293,Calendar!$A$1:$H$9997,6,FALSE)-F1293</f>
        <v/>
      </c>
      <c r="H1293" s="19" t="n">
        <v>1</v>
      </c>
      <c r="I1293" s="57" t="n">
        <v>7</v>
      </c>
    </row>
    <row r="1294">
      <c r="A1294" s="62" t="n">
        <v>46309</v>
      </c>
      <c r="B1294" s="3" t="inlineStr">
        <is>
          <t>Week</t>
        </is>
      </c>
      <c r="C1294" s="19" t="n">
        <v>10</v>
      </c>
      <c r="D1294" s="19" t="n">
        <v>2026</v>
      </c>
      <c r="E1294" s="57" t="n">
        <v>2</v>
      </c>
      <c r="F1294" s="29">
        <f>ROUND(((SUMIFS(Calendar!$F$2:$F$9997,Calendar!$B$2:$B$9997,D1294,Calendar!$C$2:$C$9997,C1294)*INDEX(ForeCalc!$B$37:$Y$274,MATCH(_xlfn.CONCAT(H1294," ",I1294),ForeCalc!$A$37:$A$274,0),MATCH(_xlfn.CONCAT(B1294," ",E1294),ForeCalc!$B$36:$Y$36,0))))*VLOOKUP(A1294,Calendar!$A$2:$H$9997,8,FALSE),0)</f>
        <v/>
      </c>
      <c r="G1294" s="29">
        <f>VLOOKUP(A1294,Calendar!$A$1:$H$9997,6,FALSE)-F1294</f>
        <v/>
      </c>
      <c r="H1294" s="19" t="n">
        <v>1</v>
      </c>
      <c r="I1294" s="57" t="n">
        <v>7</v>
      </c>
    </row>
    <row r="1295">
      <c r="A1295" s="62" t="n">
        <v>46310</v>
      </c>
      <c r="B1295" s="3" t="inlineStr">
        <is>
          <t>Week</t>
        </is>
      </c>
      <c r="C1295" s="19" t="n">
        <v>10</v>
      </c>
      <c r="D1295" s="19" t="n">
        <v>2026</v>
      </c>
      <c r="E1295" s="57" t="n">
        <v>2</v>
      </c>
      <c r="F1295" s="29">
        <f>ROUND(((SUMIFS(Calendar!$F$2:$F$9997,Calendar!$B$2:$B$9997,D1295,Calendar!$C$2:$C$9997,C1295)*INDEX(ForeCalc!$B$37:$Y$274,MATCH(_xlfn.CONCAT(H1295," ",I1295),ForeCalc!$A$37:$A$274,0),MATCH(_xlfn.CONCAT(B1295," ",E1295),ForeCalc!$B$36:$Y$36,0))))*VLOOKUP(A1295,Calendar!$A$2:$H$9997,8,FALSE),0)</f>
        <v/>
      </c>
      <c r="G1295" s="29">
        <f>VLOOKUP(A1295,Calendar!$A$1:$H$9997,6,FALSE)-F1295</f>
        <v/>
      </c>
      <c r="H1295" s="19" t="n">
        <v>1</v>
      </c>
      <c r="I1295" s="57" t="n">
        <v>7</v>
      </c>
    </row>
    <row r="1296">
      <c r="A1296" s="62" t="n">
        <v>46311</v>
      </c>
      <c r="B1296" s="3" t="inlineStr">
        <is>
          <t>Week</t>
        </is>
      </c>
      <c r="C1296" s="19" t="n">
        <v>10</v>
      </c>
      <c r="D1296" s="19" t="n">
        <v>2026</v>
      </c>
      <c r="E1296" s="57" t="n">
        <v>2</v>
      </c>
      <c r="F1296" s="29">
        <f>ROUND(((SUMIFS(Calendar!$F$2:$F$9997,Calendar!$B$2:$B$9997,D1296,Calendar!$C$2:$C$9997,C1296)*INDEX(ForeCalc!$B$37:$Y$274,MATCH(_xlfn.CONCAT(H1296," ",I1296),ForeCalc!$A$37:$A$274,0),MATCH(_xlfn.CONCAT(B1296," ",E1296),ForeCalc!$B$36:$Y$36,0))))*VLOOKUP(A1296,Calendar!$A$2:$H$9997,8,FALSE),0)</f>
        <v/>
      </c>
      <c r="G1296" s="29">
        <f>VLOOKUP(A1296,Calendar!$A$1:$H$9997,6,FALSE)-F1296</f>
        <v/>
      </c>
      <c r="H1296" s="19" t="n">
        <v>1</v>
      </c>
      <c r="I1296" s="57" t="n">
        <v>7</v>
      </c>
    </row>
    <row r="1297">
      <c r="A1297" s="62" t="n">
        <v>46312</v>
      </c>
      <c r="B1297" s="3" t="inlineStr">
        <is>
          <t>Sat</t>
        </is>
      </c>
      <c r="C1297" s="19" t="n">
        <v>10</v>
      </c>
      <c r="D1297" s="19" t="n">
        <v>2026</v>
      </c>
      <c r="E1297" s="57" t="n">
        <v>2</v>
      </c>
      <c r="F1297" s="29">
        <f>ROUND(((SUMIFS(Calendar!$F$2:$F$9997,Calendar!$B$2:$B$9997,D1297,Calendar!$C$2:$C$9997,C1297)*INDEX(ForeCalc!$B$37:$Y$274,MATCH(_xlfn.CONCAT(H1297," ",I1297),ForeCalc!$A$37:$A$274,0),MATCH(_xlfn.CONCAT(B1297," ",E1297),ForeCalc!$B$36:$Y$36,0))))*VLOOKUP(A1297,Calendar!$A$2:$H$9997,8,FALSE),0)</f>
        <v/>
      </c>
      <c r="G1297" s="29">
        <f>VLOOKUP(A1297,Calendar!$A$1:$H$9997,6,FALSE)-F1297</f>
        <v/>
      </c>
      <c r="H1297" s="19" t="n">
        <v>1</v>
      </c>
      <c r="I1297" s="57" t="n">
        <v>7</v>
      </c>
    </row>
    <row r="1298">
      <c r="A1298" s="62" t="n">
        <v>46313</v>
      </c>
      <c r="B1298" s="3" t="inlineStr">
        <is>
          <t>Sun</t>
        </is>
      </c>
      <c r="C1298" s="19" t="n">
        <v>10</v>
      </c>
      <c r="D1298" s="19" t="n">
        <v>2026</v>
      </c>
      <c r="E1298" s="57" t="n">
        <v>2</v>
      </c>
      <c r="F1298" s="29">
        <f>ROUND(((SUMIFS(Calendar!$F$2:$F$9997,Calendar!$B$2:$B$9997,D1298,Calendar!$C$2:$C$9997,C1298)*INDEX(ForeCalc!$B$37:$Y$274,MATCH(_xlfn.CONCAT(H1298," ",I1298),ForeCalc!$A$37:$A$274,0),MATCH(_xlfn.CONCAT(B1298," ",E1298),ForeCalc!$B$36:$Y$36,0))))*VLOOKUP(A1298,Calendar!$A$2:$H$9997,8,FALSE),0)</f>
        <v/>
      </c>
      <c r="G1298" s="29">
        <f>VLOOKUP(A1298,Calendar!$A$1:$H$9997,6,FALSE)-F1298</f>
        <v/>
      </c>
      <c r="H1298" s="19" t="n">
        <v>1</v>
      </c>
      <c r="I1298" s="57" t="n">
        <v>7</v>
      </c>
    </row>
    <row r="1299">
      <c r="A1299" s="62" t="n">
        <v>46314</v>
      </c>
      <c r="B1299" s="3" t="inlineStr">
        <is>
          <t>Week</t>
        </is>
      </c>
      <c r="C1299" s="19" t="n">
        <v>10</v>
      </c>
      <c r="D1299" s="19" t="n">
        <v>2026</v>
      </c>
      <c r="E1299" s="57" t="n">
        <v>2</v>
      </c>
      <c r="F1299" s="29">
        <f>ROUND(((SUMIFS(Calendar!$F$2:$F$9997,Calendar!$B$2:$B$9997,D1299,Calendar!$C$2:$C$9997,C1299)*INDEX(ForeCalc!$B$37:$Y$274,MATCH(_xlfn.CONCAT(H1299," ",I1299),ForeCalc!$A$37:$A$274,0),MATCH(_xlfn.CONCAT(B1299," ",E1299),ForeCalc!$B$36:$Y$36,0))))*VLOOKUP(A1299,Calendar!$A$2:$H$9997,8,FALSE),0)</f>
        <v/>
      </c>
      <c r="G1299" s="29">
        <f>VLOOKUP(A1299,Calendar!$A$1:$H$9997,6,FALSE)-F1299</f>
        <v/>
      </c>
      <c r="H1299" s="19" t="n">
        <v>1</v>
      </c>
      <c r="I1299" s="57" t="n">
        <v>7</v>
      </c>
    </row>
    <row r="1300">
      <c r="A1300" s="62" t="n">
        <v>46315</v>
      </c>
      <c r="B1300" s="3" t="inlineStr">
        <is>
          <t>Week</t>
        </is>
      </c>
      <c r="C1300" s="19" t="n">
        <v>10</v>
      </c>
      <c r="D1300" s="19" t="n">
        <v>2026</v>
      </c>
      <c r="E1300" s="57" t="n">
        <v>2</v>
      </c>
      <c r="F1300" s="29">
        <f>ROUND(((SUMIFS(Calendar!$F$2:$F$9997,Calendar!$B$2:$B$9997,D1300,Calendar!$C$2:$C$9997,C1300)*INDEX(ForeCalc!$B$37:$Y$274,MATCH(_xlfn.CONCAT(H1300," ",I1300),ForeCalc!$A$37:$A$274,0),MATCH(_xlfn.CONCAT(B1300," ",E1300),ForeCalc!$B$36:$Y$36,0))))*VLOOKUP(A1300,Calendar!$A$2:$H$9997,8,FALSE),0)</f>
        <v/>
      </c>
      <c r="G1300" s="29">
        <f>VLOOKUP(A1300,Calendar!$A$1:$H$9997,6,FALSE)-F1300</f>
        <v/>
      </c>
      <c r="H1300" s="19" t="n">
        <v>1</v>
      </c>
      <c r="I1300" s="57" t="n">
        <v>7</v>
      </c>
    </row>
    <row r="1301">
      <c r="A1301" s="62" t="n">
        <v>46316</v>
      </c>
      <c r="B1301" s="3" t="inlineStr">
        <is>
          <t>Week</t>
        </is>
      </c>
      <c r="C1301" s="19" t="n">
        <v>10</v>
      </c>
      <c r="D1301" s="19" t="n">
        <v>2026</v>
      </c>
      <c r="E1301" s="57" t="n">
        <v>2</v>
      </c>
      <c r="F1301" s="29">
        <f>ROUND(((SUMIFS(Calendar!$F$2:$F$9997,Calendar!$B$2:$B$9997,D1301,Calendar!$C$2:$C$9997,C1301)*INDEX(ForeCalc!$B$37:$Y$274,MATCH(_xlfn.CONCAT(H1301," ",I1301),ForeCalc!$A$37:$A$274,0),MATCH(_xlfn.CONCAT(B1301," ",E1301),ForeCalc!$B$36:$Y$36,0))))*VLOOKUP(A1301,Calendar!$A$2:$H$9997,8,FALSE),0)</f>
        <v/>
      </c>
      <c r="G1301" s="29">
        <f>VLOOKUP(A1301,Calendar!$A$1:$H$9997,6,FALSE)-F1301</f>
        <v/>
      </c>
      <c r="H1301" s="19" t="n">
        <v>1</v>
      </c>
      <c r="I1301" s="57" t="n">
        <v>7</v>
      </c>
    </row>
    <row r="1302">
      <c r="A1302" s="62" t="n">
        <v>46317</v>
      </c>
      <c r="B1302" s="3" t="inlineStr">
        <is>
          <t>Week</t>
        </is>
      </c>
      <c r="C1302" s="19" t="n">
        <v>10</v>
      </c>
      <c r="D1302" s="19" t="n">
        <v>2026</v>
      </c>
      <c r="E1302" s="57" t="n">
        <v>2</v>
      </c>
      <c r="F1302" s="29">
        <f>ROUND(((SUMIFS(Calendar!$F$2:$F$9997,Calendar!$B$2:$B$9997,D1302,Calendar!$C$2:$C$9997,C1302)*INDEX(ForeCalc!$B$37:$Y$274,MATCH(_xlfn.CONCAT(H1302," ",I1302),ForeCalc!$A$37:$A$274,0),MATCH(_xlfn.CONCAT(B1302," ",E1302),ForeCalc!$B$36:$Y$36,0))))*VLOOKUP(A1302,Calendar!$A$2:$H$9997,8,FALSE),0)</f>
        <v/>
      </c>
      <c r="G1302" s="29">
        <f>VLOOKUP(A1302,Calendar!$A$1:$H$9997,6,FALSE)-F1302</f>
        <v/>
      </c>
      <c r="H1302" s="19" t="n">
        <v>1</v>
      </c>
      <c r="I1302" s="57" t="n">
        <v>7</v>
      </c>
    </row>
    <row r="1303">
      <c r="A1303" s="62" t="n">
        <v>46318</v>
      </c>
      <c r="B1303" s="3" t="inlineStr">
        <is>
          <t>Week</t>
        </is>
      </c>
      <c r="C1303" s="19" t="n">
        <v>10</v>
      </c>
      <c r="D1303" s="19" t="n">
        <v>2026</v>
      </c>
      <c r="E1303" s="57" t="n">
        <v>2</v>
      </c>
      <c r="F1303" s="29">
        <f>ROUND(((SUMIFS(Calendar!$F$2:$F$9997,Calendar!$B$2:$B$9997,D1303,Calendar!$C$2:$C$9997,C1303)*INDEX(ForeCalc!$B$37:$Y$274,MATCH(_xlfn.CONCAT(H1303," ",I1303),ForeCalc!$A$37:$A$274,0),MATCH(_xlfn.CONCAT(B1303," ",E1303),ForeCalc!$B$36:$Y$36,0))))*VLOOKUP(A1303,Calendar!$A$2:$H$9997,8,FALSE),0)</f>
        <v/>
      </c>
      <c r="G1303" s="29">
        <f>VLOOKUP(A1303,Calendar!$A$1:$H$9997,6,FALSE)-F1303</f>
        <v/>
      </c>
      <c r="H1303" s="19" t="n">
        <v>1</v>
      </c>
      <c r="I1303" s="57" t="n">
        <v>7</v>
      </c>
    </row>
    <row r="1304">
      <c r="A1304" s="62" t="n">
        <v>46319</v>
      </c>
      <c r="B1304" s="3" t="inlineStr">
        <is>
          <t>Sat</t>
        </is>
      </c>
      <c r="C1304" s="19" t="n">
        <v>10</v>
      </c>
      <c r="D1304" s="19" t="n">
        <v>2026</v>
      </c>
      <c r="E1304" s="57" t="n">
        <v>2</v>
      </c>
      <c r="F1304" s="29">
        <f>ROUND(((SUMIFS(Calendar!$F$2:$F$9997,Calendar!$B$2:$B$9997,D1304,Calendar!$C$2:$C$9997,C1304)*INDEX(ForeCalc!$B$37:$Y$274,MATCH(_xlfn.CONCAT(H1304," ",I1304),ForeCalc!$A$37:$A$274,0),MATCH(_xlfn.CONCAT(B1304," ",E1304),ForeCalc!$B$36:$Y$36,0))))*VLOOKUP(A1304,Calendar!$A$2:$H$9997,8,FALSE),0)</f>
        <v/>
      </c>
      <c r="G1304" s="29">
        <f>VLOOKUP(A1304,Calendar!$A$1:$H$9997,6,FALSE)-F1304</f>
        <v/>
      </c>
      <c r="H1304" s="19" t="n">
        <v>1</v>
      </c>
      <c r="I1304" s="57" t="n">
        <v>7</v>
      </c>
    </row>
    <row r="1305">
      <c r="A1305" s="62" t="n">
        <v>46320</v>
      </c>
      <c r="B1305" s="3" t="inlineStr">
        <is>
          <t>Sun</t>
        </is>
      </c>
      <c r="C1305" s="19" t="n">
        <v>10</v>
      </c>
      <c r="D1305" s="19" t="n">
        <v>2026</v>
      </c>
      <c r="E1305" s="57" t="n">
        <v>2</v>
      </c>
      <c r="F1305" s="29">
        <f>ROUND(((SUMIFS(Calendar!$F$2:$F$9997,Calendar!$B$2:$B$9997,D1305,Calendar!$C$2:$C$9997,C1305)*INDEX(ForeCalc!$B$37:$Y$274,MATCH(_xlfn.CONCAT(H1305," ",I1305),ForeCalc!$A$37:$A$274,0),MATCH(_xlfn.CONCAT(B1305," ",E1305),ForeCalc!$B$36:$Y$36,0))))*VLOOKUP(A1305,Calendar!$A$2:$H$9997,8,FALSE),0)</f>
        <v/>
      </c>
      <c r="G1305" s="29">
        <f>VLOOKUP(A1305,Calendar!$A$1:$H$9997,6,FALSE)-F1305</f>
        <v/>
      </c>
      <c r="H1305" s="19" t="n">
        <v>1</v>
      </c>
      <c r="I1305" s="57" t="n">
        <v>7</v>
      </c>
    </row>
    <row r="1306">
      <c r="A1306" s="62" t="n">
        <v>46321</v>
      </c>
      <c r="B1306" s="3" t="inlineStr">
        <is>
          <t>Week</t>
        </is>
      </c>
      <c r="C1306" s="19" t="n">
        <v>10</v>
      </c>
      <c r="D1306" s="19" t="n">
        <v>2026</v>
      </c>
      <c r="E1306" s="57" t="n">
        <v>2</v>
      </c>
      <c r="F1306" s="29">
        <f>ROUND(((SUMIFS(Calendar!$F$2:$F$9997,Calendar!$B$2:$B$9997,D1306,Calendar!$C$2:$C$9997,C1306)*INDEX(ForeCalc!$B$37:$Y$274,MATCH(_xlfn.CONCAT(H1306," ",I1306),ForeCalc!$A$37:$A$274,0),MATCH(_xlfn.CONCAT(B1306," ",E1306),ForeCalc!$B$36:$Y$36,0))))*VLOOKUP(A1306,Calendar!$A$2:$H$9997,8,FALSE),0)</f>
        <v/>
      </c>
      <c r="G1306" s="29">
        <f>VLOOKUP(A1306,Calendar!$A$1:$H$9997,6,FALSE)-F1306</f>
        <v/>
      </c>
      <c r="H1306" s="19" t="n">
        <v>1</v>
      </c>
      <c r="I1306" s="57" t="n">
        <v>7</v>
      </c>
    </row>
    <row r="1307">
      <c r="A1307" s="62" t="n">
        <v>46322</v>
      </c>
      <c r="B1307" s="3" t="inlineStr">
        <is>
          <t>Week</t>
        </is>
      </c>
      <c r="C1307" s="19" t="n">
        <v>10</v>
      </c>
      <c r="D1307" s="19" t="n">
        <v>2026</v>
      </c>
      <c r="E1307" s="57" t="n">
        <v>2</v>
      </c>
      <c r="F1307" s="29">
        <f>ROUND(((SUMIFS(Calendar!$F$2:$F$9997,Calendar!$B$2:$B$9997,D1307,Calendar!$C$2:$C$9997,C1307)*INDEX(ForeCalc!$B$37:$Y$274,MATCH(_xlfn.CONCAT(H1307," ",I1307),ForeCalc!$A$37:$A$274,0),MATCH(_xlfn.CONCAT(B1307," ",E1307),ForeCalc!$B$36:$Y$36,0))))*VLOOKUP(A1307,Calendar!$A$2:$H$9997,8,FALSE),0)</f>
        <v/>
      </c>
      <c r="G1307" s="29">
        <f>VLOOKUP(A1307,Calendar!$A$1:$H$9997,6,FALSE)-F1307</f>
        <v/>
      </c>
      <c r="H1307" s="19" t="n">
        <v>1</v>
      </c>
      <c r="I1307" s="57" t="n">
        <v>7</v>
      </c>
    </row>
    <row r="1308">
      <c r="A1308" s="62" t="n">
        <v>46323</v>
      </c>
      <c r="B1308" s="3" t="inlineStr">
        <is>
          <t>Week</t>
        </is>
      </c>
      <c r="C1308" s="19" t="n">
        <v>10</v>
      </c>
      <c r="D1308" s="19" t="n">
        <v>2026</v>
      </c>
      <c r="E1308" s="57" t="n">
        <v>2</v>
      </c>
      <c r="F1308" s="29">
        <f>ROUND(((SUMIFS(Calendar!$F$2:$F$9997,Calendar!$B$2:$B$9997,D1308,Calendar!$C$2:$C$9997,C1308)*INDEX(ForeCalc!$B$37:$Y$274,MATCH(_xlfn.CONCAT(H1308," ",I1308),ForeCalc!$A$37:$A$274,0),MATCH(_xlfn.CONCAT(B1308," ",E1308),ForeCalc!$B$36:$Y$36,0))))*VLOOKUP(A1308,Calendar!$A$2:$H$9997,8,FALSE),0)</f>
        <v/>
      </c>
      <c r="G1308" s="29">
        <f>VLOOKUP(A1308,Calendar!$A$1:$H$9997,6,FALSE)-F1308</f>
        <v/>
      </c>
      <c r="H1308" s="19" t="n">
        <v>1</v>
      </c>
      <c r="I1308" s="57" t="n">
        <v>7</v>
      </c>
    </row>
    <row r="1309">
      <c r="A1309" s="62" t="n">
        <v>46324</v>
      </c>
      <c r="B1309" s="3" t="inlineStr">
        <is>
          <t>Week</t>
        </is>
      </c>
      <c r="C1309" s="19" t="n">
        <v>10</v>
      </c>
      <c r="D1309" s="19" t="n">
        <v>2026</v>
      </c>
      <c r="E1309" s="57" t="n">
        <v>2</v>
      </c>
      <c r="F1309" s="29">
        <f>ROUND(((SUMIFS(Calendar!$F$2:$F$9997,Calendar!$B$2:$B$9997,D1309,Calendar!$C$2:$C$9997,C1309)*INDEX(ForeCalc!$B$37:$Y$274,MATCH(_xlfn.CONCAT(H1309," ",I1309),ForeCalc!$A$37:$A$274,0),MATCH(_xlfn.CONCAT(B1309," ",E1309),ForeCalc!$B$36:$Y$36,0))))*VLOOKUP(A1309,Calendar!$A$2:$H$9997,8,FALSE),0)</f>
        <v/>
      </c>
      <c r="G1309" s="29">
        <f>VLOOKUP(A1309,Calendar!$A$1:$H$9997,6,FALSE)-F1309</f>
        <v/>
      </c>
      <c r="H1309" s="19" t="n">
        <v>1</v>
      </c>
      <c r="I1309" s="57" t="n">
        <v>7</v>
      </c>
    </row>
    <row r="1310">
      <c r="A1310" s="62" t="n">
        <v>46325</v>
      </c>
      <c r="B1310" s="3" t="inlineStr">
        <is>
          <t>Week</t>
        </is>
      </c>
      <c r="C1310" s="19" t="n">
        <v>10</v>
      </c>
      <c r="D1310" s="19" t="n">
        <v>2026</v>
      </c>
      <c r="E1310" s="57" t="n">
        <v>2</v>
      </c>
      <c r="F1310" s="29">
        <f>ROUND(((SUMIFS(Calendar!$F$2:$F$9997,Calendar!$B$2:$B$9997,D1310,Calendar!$C$2:$C$9997,C1310)*INDEX(ForeCalc!$B$37:$Y$274,MATCH(_xlfn.CONCAT(H1310," ",I1310),ForeCalc!$A$37:$A$274,0),MATCH(_xlfn.CONCAT(B1310," ",E1310),ForeCalc!$B$36:$Y$36,0))))*VLOOKUP(A1310,Calendar!$A$2:$H$9997,8,FALSE),0)</f>
        <v/>
      </c>
      <c r="G1310" s="29">
        <f>VLOOKUP(A1310,Calendar!$A$1:$H$9997,6,FALSE)-F1310</f>
        <v/>
      </c>
      <c r="H1310" s="19" t="n">
        <v>1</v>
      </c>
      <c r="I1310" s="57" t="n">
        <v>7</v>
      </c>
    </row>
    <row r="1311">
      <c r="A1311" s="62" t="n">
        <v>46326</v>
      </c>
      <c r="B1311" s="3" t="inlineStr">
        <is>
          <t>Sat</t>
        </is>
      </c>
      <c r="C1311" s="19" t="n">
        <v>10</v>
      </c>
      <c r="D1311" s="19" t="n">
        <v>2026</v>
      </c>
      <c r="E1311" s="57" t="n">
        <v>2</v>
      </c>
      <c r="F1311" s="29">
        <f>ROUND(((SUMIFS(Calendar!$F$2:$F$9997,Calendar!$B$2:$B$9997,D1311,Calendar!$C$2:$C$9997,C1311)*INDEX(ForeCalc!$B$37:$Y$274,MATCH(_xlfn.CONCAT(H1311," ",I1311),ForeCalc!$A$37:$A$274,0),MATCH(_xlfn.CONCAT(B1311," ",E1311),ForeCalc!$B$36:$Y$36,0))))*VLOOKUP(A1311,Calendar!$A$2:$H$9997,8,FALSE),0)</f>
        <v/>
      </c>
      <c r="G1311" s="29">
        <f>VLOOKUP(A1311,Calendar!$A$1:$H$9997,6,FALSE)-F1311</f>
        <v/>
      </c>
      <c r="H1311" s="19" t="n">
        <v>1</v>
      </c>
      <c r="I1311" s="57" t="n">
        <v>7</v>
      </c>
    </row>
    <row r="1312">
      <c r="A1312" s="62" t="n">
        <v>46327</v>
      </c>
      <c r="B1312" s="3" t="inlineStr">
        <is>
          <t>Sun</t>
        </is>
      </c>
      <c r="C1312" s="19" t="n">
        <v>11</v>
      </c>
      <c r="D1312" s="19" t="n">
        <v>2026</v>
      </c>
      <c r="E1312" s="57" t="n">
        <v>2</v>
      </c>
      <c r="F1312" s="29">
        <f>ROUND(((SUMIFS(Calendar!$F$2:$F$9997,Calendar!$B$2:$B$9997,D1312,Calendar!$C$2:$C$9997,C1312)*INDEX(ForeCalc!$B$37:$Y$274,MATCH(_xlfn.CONCAT(H1312," ",I1312),ForeCalc!$A$37:$A$274,0),MATCH(_xlfn.CONCAT(B1312," ",E1312),ForeCalc!$B$36:$Y$36,0))))*VLOOKUP(A1312,Calendar!$A$2:$H$9997,8,FALSE),0)</f>
        <v/>
      </c>
      <c r="G1312" s="29">
        <f>VLOOKUP(A1312,Calendar!$A$1:$H$9997,6,FALSE)-F1312</f>
        <v/>
      </c>
      <c r="H1312" s="19" t="n">
        <v>1</v>
      </c>
      <c r="I1312" s="57" t="n">
        <v>8</v>
      </c>
    </row>
    <row r="1313">
      <c r="A1313" s="62" t="n">
        <v>46328</v>
      </c>
      <c r="B1313" s="3" t="inlineStr">
        <is>
          <t>Week</t>
        </is>
      </c>
      <c r="C1313" s="19" t="n">
        <v>11</v>
      </c>
      <c r="D1313" s="19" t="n">
        <v>2026</v>
      </c>
      <c r="E1313" s="57" t="n">
        <v>2</v>
      </c>
      <c r="F1313" s="29">
        <f>ROUND(((SUMIFS(Calendar!$F$2:$F$9997,Calendar!$B$2:$B$9997,D1313,Calendar!$C$2:$C$9997,C1313)*INDEX(ForeCalc!$B$37:$Y$274,MATCH(_xlfn.CONCAT(H1313," ",I1313),ForeCalc!$A$37:$A$274,0),MATCH(_xlfn.CONCAT(B1313," ",E1313),ForeCalc!$B$36:$Y$36,0))))*VLOOKUP(A1313,Calendar!$A$2:$H$9997,8,FALSE),0)</f>
        <v/>
      </c>
      <c r="G1313" s="29">
        <f>VLOOKUP(A1313,Calendar!$A$1:$H$9997,6,FALSE)-F1313</f>
        <v/>
      </c>
      <c r="H1313" s="19" t="n">
        <v>1</v>
      </c>
      <c r="I1313" s="57" t="n">
        <v>8</v>
      </c>
    </row>
    <row r="1314">
      <c r="A1314" s="62" t="n">
        <v>46329</v>
      </c>
      <c r="B1314" s="3" t="inlineStr">
        <is>
          <t>Week</t>
        </is>
      </c>
      <c r="C1314" s="19" t="n">
        <v>11</v>
      </c>
      <c r="D1314" s="19" t="n">
        <v>2026</v>
      </c>
      <c r="E1314" s="57" t="n">
        <v>2</v>
      </c>
      <c r="F1314" s="29">
        <f>ROUND(((SUMIFS(Calendar!$F$2:$F$9997,Calendar!$B$2:$B$9997,D1314,Calendar!$C$2:$C$9997,C1314)*INDEX(ForeCalc!$B$37:$Y$274,MATCH(_xlfn.CONCAT(H1314," ",I1314),ForeCalc!$A$37:$A$274,0),MATCH(_xlfn.CONCAT(B1314," ",E1314),ForeCalc!$B$36:$Y$36,0))))*VLOOKUP(A1314,Calendar!$A$2:$H$9997,8,FALSE),0)</f>
        <v/>
      </c>
      <c r="G1314" s="29">
        <f>VLOOKUP(A1314,Calendar!$A$1:$H$9997,6,FALSE)-F1314</f>
        <v/>
      </c>
      <c r="H1314" s="19" t="n">
        <v>1</v>
      </c>
      <c r="I1314" s="57" t="n">
        <v>8</v>
      </c>
    </row>
    <row r="1315">
      <c r="A1315" s="62" t="n">
        <v>46330</v>
      </c>
      <c r="B1315" s="3" t="inlineStr">
        <is>
          <t>Week</t>
        </is>
      </c>
      <c r="C1315" s="19" t="n">
        <v>11</v>
      </c>
      <c r="D1315" s="19" t="n">
        <v>2026</v>
      </c>
      <c r="E1315" s="57" t="n">
        <v>2</v>
      </c>
      <c r="F1315" s="29">
        <f>ROUND(((SUMIFS(Calendar!$F$2:$F$9997,Calendar!$B$2:$B$9997,D1315,Calendar!$C$2:$C$9997,C1315)*INDEX(ForeCalc!$B$37:$Y$274,MATCH(_xlfn.CONCAT(H1315," ",I1315),ForeCalc!$A$37:$A$274,0),MATCH(_xlfn.CONCAT(B1315," ",E1315),ForeCalc!$B$36:$Y$36,0))))*VLOOKUP(A1315,Calendar!$A$2:$H$9997,8,FALSE),0)</f>
        <v/>
      </c>
      <c r="G1315" s="29">
        <f>VLOOKUP(A1315,Calendar!$A$1:$H$9997,6,FALSE)-F1315</f>
        <v/>
      </c>
      <c r="H1315" s="19" t="n">
        <v>1</v>
      </c>
      <c r="I1315" s="57" t="n">
        <v>8</v>
      </c>
    </row>
    <row r="1316">
      <c r="A1316" s="62" t="n">
        <v>46331</v>
      </c>
      <c r="B1316" s="3" t="inlineStr">
        <is>
          <t>Week</t>
        </is>
      </c>
      <c r="C1316" s="19" t="n">
        <v>11</v>
      </c>
      <c r="D1316" s="19" t="n">
        <v>2026</v>
      </c>
      <c r="E1316" s="57" t="n">
        <v>2</v>
      </c>
      <c r="F1316" s="29">
        <f>ROUND(((SUMIFS(Calendar!$F$2:$F$9997,Calendar!$B$2:$B$9997,D1316,Calendar!$C$2:$C$9997,C1316)*INDEX(ForeCalc!$B$37:$Y$274,MATCH(_xlfn.CONCAT(H1316," ",I1316),ForeCalc!$A$37:$A$274,0),MATCH(_xlfn.CONCAT(B1316," ",E1316),ForeCalc!$B$36:$Y$36,0))))*VLOOKUP(A1316,Calendar!$A$2:$H$9997,8,FALSE),0)</f>
        <v/>
      </c>
      <c r="G1316" s="29">
        <f>VLOOKUP(A1316,Calendar!$A$1:$H$9997,6,FALSE)-F1316</f>
        <v/>
      </c>
      <c r="H1316" s="19" t="n">
        <v>1</v>
      </c>
      <c r="I1316" s="57" t="n">
        <v>8</v>
      </c>
    </row>
    <row r="1317">
      <c r="A1317" s="62" t="n">
        <v>46332</v>
      </c>
      <c r="B1317" s="3" t="inlineStr">
        <is>
          <t>Week</t>
        </is>
      </c>
      <c r="C1317" s="19" t="n">
        <v>11</v>
      </c>
      <c r="D1317" s="19" t="n">
        <v>2026</v>
      </c>
      <c r="E1317" s="57" t="n">
        <v>2</v>
      </c>
      <c r="F1317" s="29">
        <f>ROUND(((SUMIFS(Calendar!$F$2:$F$9997,Calendar!$B$2:$B$9997,D1317,Calendar!$C$2:$C$9997,C1317)*INDEX(ForeCalc!$B$37:$Y$274,MATCH(_xlfn.CONCAT(H1317," ",I1317),ForeCalc!$A$37:$A$274,0),MATCH(_xlfn.CONCAT(B1317," ",E1317),ForeCalc!$B$36:$Y$36,0))))*VLOOKUP(A1317,Calendar!$A$2:$H$9997,8,FALSE),0)</f>
        <v/>
      </c>
      <c r="G1317" s="29">
        <f>VLOOKUP(A1317,Calendar!$A$1:$H$9997,6,FALSE)-F1317</f>
        <v/>
      </c>
      <c r="H1317" s="19" t="n">
        <v>1</v>
      </c>
      <c r="I1317" s="57" t="n">
        <v>8</v>
      </c>
    </row>
    <row r="1318">
      <c r="A1318" s="62" t="n">
        <v>46333</v>
      </c>
      <c r="B1318" s="3" t="inlineStr">
        <is>
          <t>Sat</t>
        </is>
      </c>
      <c r="C1318" s="19" t="n">
        <v>11</v>
      </c>
      <c r="D1318" s="19" t="n">
        <v>2026</v>
      </c>
      <c r="E1318" s="57" t="n">
        <v>2</v>
      </c>
      <c r="F1318" s="29">
        <f>ROUND(((SUMIFS(Calendar!$F$2:$F$9997,Calendar!$B$2:$B$9997,D1318,Calendar!$C$2:$C$9997,C1318)*INDEX(ForeCalc!$B$37:$Y$274,MATCH(_xlfn.CONCAT(H1318," ",I1318),ForeCalc!$A$37:$A$274,0),MATCH(_xlfn.CONCAT(B1318," ",E1318),ForeCalc!$B$36:$Y$36,0))))*VLOOKUP(A1318,Calendar!$A$2:$H$9997,8,FALSE),0)</f>
        <v/>
      </c>
      <c r="G1318" s="29">
        <f>VLOOKUP(A1318,Calendar!$A$1:$H$9997,6,FALSE)-F1318</f>
        <v/>
      </c>
      <c r="H1318" s="19" t="n">
        <v>1</v>
      </c>
      <c r="I1318" s="57" t="n">
        <v>8</v>
      </c>
    </row>
    <row r="1319">
      <c r="A1319" s="62" t="n">
        <v>46334</v>
      </c>
      <c r="B1319" s="3" t="inlineStr">
        <is>
          <t>Sun</t>
        </is>
      </c>
      <c r="C1319" s="19" t="n">
        <v>11</v>
      </c>
      <c r="D1319" s="19" t="n">
        <v>2026</v>
      </c>
      <c r="E1319" s="57" t="n">
        <v>2</v>
      </c>
      <c r="F1319" s="29">
        <f>ROUND(((SUMIFS(Calendar!$F$2:$F$9997,Calendar!$B$2:$B$9997,D1319,Calendar!$C$2:$C$9997,C1319)*INDEX(ForeCalc!$B$37:$Y$274,MATCH(_xlfn.CONCAT(H1319," ",I1319),ForeCalc!$A$37:$A$274,0),MATCH(_xlfn.CONCAT(B1319," ",E1319),ForeCalc!$B$36:$Y$36,0))))*VLOOKUP(A1319,Calendar!$A$2:$H$9997,8,FALSE),0)</f>
        <v/>
      </c>
      <c r="G1319" s="29">
        <f>VLOOKUP(A1319,Calendar!$A$1:$H$9997,6,FALSE)-F1319</f>
        <v/>
      </c>
      <c r="H1319" s="19" t="n">
        <v>1</v>
      </c>
      <c r="I1319" s="57" t="n">
        <v>8</v>
      </c>
    </row>
    <row r="1320">
      <c r="A1320" s="62" t="n">
        <v>46335</v>
      </c>
      <c r="B1320" s="3" t="inlineStr">
        <is>
          <t>Week</t>
        </is>
      </c>
      <c r="C1320" s="19" t="n">
        <v>11</v>
      </c>
      <c r="D1320" s="19" t="n">
        <v>2026</v>
      </c>
      <c r="E1320" s="57" t="n">
        <v>2</v>
      </c>
      <c r="F1320" s="29">
        <f>ROUND(((SUMIFS(Calendar!$F$2:$F$9997,Calendar!$B$2:$B$9997,D1320,Calendar!$C$2:$C$9997,C1320)*INDEX(ForeCalc!$B$37:$Y$274,MATCH(_xlfn.CONCAT(H1320," ",I1320),ForeCalc!$A$37:$A$274,0),MATCH(_xlfn.CONCAT(B1320," ",E1320),ForeCalc!$B$36:$Y$36,0))))*VLOOKUP(A1320,Calendar!$A$2:$H$9997,8,FALSE),0)</f>
        <v/>
      </c>
      <c r="G1320" s="29">
        <f>VLOOKUP(A1320,Calendar!$A$1:$H$9997,6,FALSE)-F1320</f>
        <v/>
      </c>
      <c r="H1320" s="19" t="n">
        <v>1</v>
      </c>
      <c r="I1320" s="57" t="n">
        <v>8</v>
      </c>
    </row>
    <row r="1321">
      <c r="A1321" s="62" t="n">
        <v>46336</v>
      </c>
      <c r="B1321" s="3" t="inlineStr">
        <is>
          <t>Week</t>
        </is>
      </c>
      <c r="C1321" s="19" t="n">
        <v>11</v>
      </c>
      <c r="D1321" s="19" t="n">
        <v>2026</v>
      </c>
      <c r="E1321" s="57" t="n">
        <v>2</v>
      </c>
      <c r="F1321" s="29">
        <f>ROUND(((SUMIFS(Calendar!$F$2:$F$9997,Calendar!$B$2:$B$9997,D1321,Calendar!$C$2:$C$9997,C1321)*INDEX(ForeCalc!$B$37:$Y$274,MATCH(_xlfn.CONCAT(H1321," ",I1321),ForeCalc!$A$37:$A$274,0),MATCH(_xlfn.CONCAT(B1321," ",E1321),ForeCalc!$B$36:$Y$36,0))))*VLOOKUP(A1321,Calendar!$A$2:$H$9997,8,FALSE),0)</f>
        <v/>
      </c>
      <c r="G1321" s="29">
        <f>VLOOKUP(A1321,Calendar!$A$1:$H$9997,6,FALSE)-F1321</f>
        <v/>
      </c>
      <c r="H1321" s="19" t="n">
        <v>1</v>
      </c>
      <c r="I1321" s="57" t="n">
        <v>8</v>
      </c>
    </row>
    <row r="1322">
      <c r="A1322" s="62" t="n">
        <v>46337</v>
      </c>
      <c r="B1322" s="3" t="inlineStr">
        <is>
          <t>Week</t>
        </is>
      </c>
      <c r="C1322" s="19" t="n">
        <v>11</v>
      </c>
      <c r="D1322" s="19" t="n">
        <v>2026</v>
      </c>
      <c r="E1322" s="57" t="n">
        <v>2</v>
      </c>
      <c r="F1322" s="29">
        <f>ROUND(((SUMIFS(Calendar!$F$2:$F$9997,Calendar!$B$2:$B$9997,D1322,Calendar!$C$2:$C$9997,C1322)*INDEX(ForeCalc!$B$37:$Y$274,MATCH(_xlfn.CONCAT(H1322," ",I1322),ForeCalc!$A$37:$A$274,0),MATCH(_xlfn.CONCAT(B1322," ",E1322),ForeCalc!$B$36:$Y$36,0))))*VLOOKUP(A1322,Calendar!$A$2:$H$9997,8,FALSE),0)</f>
        <v/>
      </c>
      <c r="G1322" s="29">
        <f>VLOOKUP(A1322,Calendar!$A$1:$H$9997,6,FALSE)-F1322</f>
        <v/>
      </c>
      <c r="H1322" s="19" t="n">
        <v>1</v>
      </c>
      <c r="I1322" s="57" t="n">
        <v>8</v>
      </c>
    </row>
    <row r="1323">
      <c r="A1323" s="62" t="n">
        <v>46338</v>
      </c>
      <c r="B1323" s="3" t="inlineStr">
        <is>
          <t>Week</t>
        </is>
      </c>
      <c r="C1323" s="19" t="n">
        <v>11</v>
      </c>
      <c r="D1323" s="19" t="n">
        <v>2026</v>
      </c>
      <c r="E1323" s="57" t="n">
        <v>2</v>
      </c>
      <c r="F1323" s="29">
        <f>ROUND(((SUMIFS(Calendar!$F$2:$F$9997,Calendar!$B$2:$B$9997,D1323,Calendar!$C$2:$C$9997,C1323)*INDEX(ForeCalc!$B$37:$Y$274,MATCH(_xlfn.CONCAT(H1323," ",I1323),ForeCalc!$A$37:$A$274,0),MATCH(_xlfn.CONCAT(B1323," ",E1323),ForeCalc!$B$36:$Y$36,0))))*VLOOKUP(A1323,Calendar!$A$2:$H$9997,8,FALSE),0)</f>
        <v/>
      </c>
      <c r="G1323" s="29">
        <f>VLOOKUP(A1323,Calendar!$A$1:$H$9997,6,FALSE)-F1323</f>
        <v/>
      </c>
      <c r="H1323" s="19" t="n">
        <v>1</v>
      </c>
      <c r="I1323" s="57" t="n">
        <v>8</v>
      </c>
    </row>
    <row r="1324">
      <c r="A1324" s="62" t="n">
        <v>46339</v>
      </c>
      <c r="B1324" s="3" t="inlineStr">
        <is>
          <t>Week</t>
        </is>
      </c>
      <c r="C1324" s="19" t="n">
        <v>11</v>
      </c>
      <c r="D1324" s="19" t="n">
        <v>2026</v>
      </c>
      <c r="E1324" s="57" t="n">
        <v>2</v>
      </c>
      <c r="F1324" s="29">
        <f>ROUND(((SUMIFS(Calendar!$F$2:$F$9997,Calendar!$B$2:$B$9997,D1324,Calendar!$C$2:$C$9997,C1324)*INDEX(ForeCalc!$B$37:$Y$274,MATCH(_xlfn.CONCAT(H1324," ",I1324),ForeCalc!$A$37:$A$274,0),MATCH(_xlfn.CONCAT(B1324," ",E1324),ForeCalc!$B$36:$Y$36,0))))*VLOOKUP(A1324,Calendar!$A$2:$H$9997,8,FALSE),0)</f>
        <v/>
      </c>
      <c r="G1324" s="29">
        <f>VLOOKUP(A1324,Calendar!$A$1:$H$9997,6,FALSE)-F1324</f>
        <v/>
      </c>
      <c r="H1324" s="19" t="n">
        <v>1</v>
      </c>
      <c r="I1324" s="57" t="n">
        <v>8</v>
      </c>
    </row>
    <row r="1325">
      <c r="A1325" s="62" t="n">
        <v>46340</v>
      </c>
      <c r="B1325" s="3" t="inlineStr">
        <is>
          <t>Sat</t>
        </is>
      </c>
      <c r="C1325" s="19" t="n">
        <v>11</v>
      </c>
      <c r="D1325" s="19" t="n">
        <v>2026</v>
      </c>
      <c r="E1325" s="57" t="n">
        <v>2</v>
      </c>
      <c r="F1325" s="29">
        <f>ROUND(((SUMIFS(Calendar!$F$2:$F$9997,Calendar!$B$2:$B$9997,D1325,Calendar!$C$2:$C$9997,C1325)*INDEX(ForeCalc!$B$37:$Y$274,MATCH(_xlfn.CONCAT(H1325," ",I1325),ForeCalc!$A$37:$A$274,0),MATCH(_xlfn.CONCAT(B1325," ",E1325),ForeCalc!$B$36:$Y$36,0))))*VLOOKUP(A1325,Calendar!$A$2:$H$9997,8,FALSE),0)</f>
        <v/>
      </c>
      <c r="G1325" s="29">
        <f>VLOOKUP(A1325,Calendar!$A$1:$H$9997,6,FALSE)-F1325</f>
        <v/>
      </c>
      <c r="H1325" s="19" t="n">
        <v>1</v>
      </c>
      <c r="I1325" s="57" t="n">
        <v>8</v>
      </c>
    </row>
    <row r="1326">
      <c r="A1326" s="62" t="n">
        <v>46341</v>
      </c>
      <c r="B1326" s="3" t="inlineStr">
        <is>
          <t>Sun</t>
        </is>
      </c>
      <c r="C1326" s="19" t="n">
        <v>11</v>
      </c>
      <c r="D1326" s="19" t="n">
        <v>2026</v>
      </c>
      <c r="E1326" s="57" t="n">
        <v>2</v>
      </c>
      <c r="F1326" s="29">
        <f>ROUND(((SUMIFS(Calendar!$F$2:$F$9997,Calendar!$B$2:$B$9997,D1326,Calendar!$C$2:$C$9997,C1326)*INDEX(ForeCalc!$B$37:$Y$274,MATCH(_xlfn.CONCAT(H1326," ",I1326),ForeCalc!$A$37:$A$274,0),MATCH(_xlfn.CONCAT(B1326," ",E1326),ForeCalc!$B$36:$Y$36,0))))*VLOOKUP(A1326,Calendar!$A$2:$H$9997,8,FALSE),0)</f>
        <v/>
      </c>
      <c r="G1326" s="29">
        <f>VLOOKUP(A1326,Calendar!$A$1:$H$9997,6,FALSE)-F1326</f>
        <v/>
      </c>
      <c r="H1326" s="19" t="n">
        <v>1</v>
      </c>
      <c r="I1326" s="57" t="n">
        <v>8</v>
      </c>
    </row>
    <row r="1327">
      <c r="A1327" s="62" t="n">
        <v>46342</v>
      </c>
      <c r="B1327" s="3" t="inlineStr">
        <is>
          <t>Week</t>
        </is>
      </c>
      <c r="C1327" s="19" t="n">
        <v>11</v>
      </c>
      <c r="D1327" s="19" t="n">
        <v>2026</v>
      </c>
      <c r="E1327" s="57" t="n">
        <v>2</v>
      </c>
      <c r="F1327" s="29">
        <f>ROUND(((SUMIFS(Calendar!$F$2:$F$9997,Calendar!$B$2:$B$9997,D1327,Calendar!$C$2:$C$9997,C1327)*INDEX(ForeCalc!$B$37:$Y$274,MATCH(_xlfn.CONCAT(H1327," ",I1327),ForeCalc!$A$37:$A$274,0),MATCH(_xlfn.CONCAT(B1327," ",E1327),ForeCalc!$B$36:$Y$36,0))))*VLOOKUP(A1327,Calendar!$A$2:$H$9997,8,FALSE),0)</f>
        <v/>
      </c>
      <c r="G1327" s="29">
        <f>VLOOKUP(A1327,Calendar!$A$1:$H$9997,6,FALSE)-F1327</f>
        <v/>
      </c>
      <c r="H1327" s="19" t="n">
        <v>1</v>
      </c>
      <c r="I1327" s="57" t="n">
        <v>8</v>
      </c>
    </row>
    <row r="1328">
      <c r="A1328" s="62" t="n">
        <v>46343</v>
      </c>
      <c r="B1328" s="3" t="inlineStr">
        <is>
          <t>Week</t>
        </is>
      </c>
      <c r="C1328" s="19" t="n">
        <v>11</v>
      </c>
      <c r="D1328" s="19" t="n">
        <v>2026</v>
      </c>
      <c r="E1328" s="57" t="n">
        <v>2</v>
      </c>
      <c r="F1328" s="29">
        <f>ROUND(((SUMIFS(Calendar!$F$2:$F$9997,Calendar!$B$2:$B$9997,D1328,Calendar!$C$2:$C$9997,C1328)*INDEX(ForeCalc!$B$37:$Y$274,MATCH(_xlfn.CONCAT(H1328," ",I1328),ForeCalc!$A$37:$A$274,0),MATCH(_xlfn.CONCAT(B1328," ",E1328),ForeCalc!$B$36:$Y$36,0))))*VLOOKUP(A1328,Calendar!$A$2:$H$9997,8,FALSE),0)</f>
        <v/>
      </c>
      <c r="G1328" s="29">
        <f>VLOOKUP(A1328,Calendar!$A$1:$H$9997,6,FALSE)-F1328</f>
        <v/>
      </c>
      <c r="H1328" s="19" t="n">
        <v>1</v>
      </c>
      <c r="I1328" s="57" t="n">
        <v>8</v>
      </c>
    </row>
    <row r="1329">
      <c r="A1329" s="62" t="n">
        <v>46344</v>
      </c>
      <c r="B1329" s="3" t="inlineStr">
        <is>
          <t>Week</t>
        </is>
      </c>
      <c r="C1329" s="19" t="n">
        <v>11</v>
      </c>
      <c r="D1329" s="19" t="n">
        <v>2026</v>
      </c>
      <c r="E1329" s="57" t="n">
        <v>2</v>
      </c>
      <c r="F1329" s="29">
        <f>ROUND(((SUMIFS(Calendar!$F$2:$F$9997,Calendar!$B$2:$B$9997,D1329,Calendar!$C$2:$C$9997,C1329)*INDEX(ForeCalc!$B$37:$Y$274,MATCH(_xlfn.CONCAT(H1329," ",I1329),ForeCalc!$A$37:$A$274,0),MATCH(_xlfn.CONCAT(B1329," ",E1329),ForeCalc!$B$36:$Y$36,0))))*VLOOKUP(A1329,Calendar!$A$2:$H$9997,8,FALSE),0)</f>
        <v/>
      </c>
      <c r="G1329" s="29">
        <f>VLOOKUP(A1329,Calendar!$A$1:$H$9997,6,FALSE)-F1329</f>
        <v/>
      </c>
      <c r="H1329" s="19" t="n">
        <v>1</v>
      </c>
      <c r="I1329" s="57" t="n">
        <v>8</v>
      </c>
    </row>
    <row r="1330">
      <c r="A1330" s="62" t="n">
        <v>46345</v>
      </c>
      <c r="B1330" s="3" t="inlineStr">
        <is>
          <t>Week</t>
        </is>
      </c>
      <c r="C1330" s="19" t="n">
        <v>11</v>
      </c>
      <c r="D1330" s="19" t="n">
        <v>2026</v>
      </c>
      <c r="E1330" s="57" t="n">
        <v>2</v>
      </c>
      <c r="F1330" s="29">
        <f>ROUND(((SUMIFS(Calendar!$F$2:$F$9997,Calendar!$B$2:$B$9997,D1330,Calendar!$C$2:$C$9997,C1330)*INDEX(ForeCalc!$B$37:$Y$274,MATCH(_xlfn.CONCAT(H1330," ",I1330),ForeCalc!$A$37:$A$274,0),MATCH(_xlfn.CONCAT(B1330," ",E1330),ForeCalc!$B$36:$Y$36,0))))*VLOOKUP(A1330,Calendar!$A$2:$H$9997,8,FALSE),0)</f>
        <v/>
      </c>
      <c r="G1330" s="29">
        <f>VLOOKUP(A1330,Calendar!$A$1:$H$9997,6,FALSE)-F1330</f>
        <v/>
      </c>
      <c r="H1330" s="19" t="n">
        <v>1</v>
      </c>
      <c r="I1330" s="57" t="n">
        <v>8</v>
      </c>
    </row>
    <row r="1331">
      <c r="A1331" s="62" t="n">
        <v>46346</v>
      </c>
      <c r="B1331" s="3" t="inlineStr">
        <is>
          <t>Week</t>
        </is>
      </c>
      <c r="C1331" s="19" t="n">
        <v>11</v>
      </c>
      <c r="D1331" s="19" t="n">
        <v>2026</v>
      </c>
      <c r="E1331" s="57" t="n">
        <v>2</v>
      </c>
      <c r="F1331" s="29">
        <f>ROUND(((SUMIFS(Calendar!$F$2:$F$9997,Calendar!$B$2:$B$9997,D1331,Calendar!$C$2:$C$9997,C1331)*INDEX(ForeCalc!$B$37:$Y$274,MATCH(_xlfn.CONCAT(H1331," ",I1331),ForeCalc!$A$37:$A$274,0),MATCH(_xlfn.CONCAT(B1331," ",E1331),ForeCalc!$B$36:$Y$36,0))))*VLOOKUP(A1331,Calendar!$A$2:$H$9997,8,FALSE),0)</f>
        <v/>
      </c>
      <c r="G1331" s="29">
        <f>VLOOKUP(A1331,Calendar!$A$1:$H$9997,6,FALSE)-F1331</f>
        <v/>
      </c>
      <c r="H1331" s="19" t="n">
        <v>1</v>
      </c>
      <c r="I1331" s="57" t="n">
        <v>8</v>
      </c>
    </row>
    <row r="1332">
      <c r="A1332" s="62" t="n">
        <v>46347</v>
      </c>
      <c r="B1332" s="3" t="inlineStr">
        <is>
          <t>Sat</t>
        </is>
      </c>
      <c r="C1332" s="19" t="n">
        <v>11</v>
      </c>
      <c r="D1332" s="19" t="n">
        <v>2026</v>
      </c>
      <c r="E1332" s="57" t="n">
        <v>2</v>
      </c>
      <c r="F1332" s="29">
        <f>ROUND(((SUMIFS(Calendar!$F$2:$F$9997,Calendar!$B$2:$B$9997,D1332,Calendar!$C$2:$C$9997,C1332)*INDEX(ForeCalc!$B$37:$Y$274,MATCH(_xlfn.CONCAT(H1332," ",I1332),ForeCalc!$A$37:$A$274,0),MATCH(_xlfn.CONCAT(B1332," ",E1332),ForeCalc!$B$36:$Y$36,0))))*VLOOKUP(A1332,Calendar!$A$2:$H$9997,8,FALSE),0)</f>
        <v/>
      </c>
      <c r="G1332" s="29">
        <f>VLOOKUP(A1332,Calendar!$A$1:$H$9997,6,FALSE)-F1332</f>
        <v/>
      </c>
      <c r="H1332" s="19" t="n">
        <v>1</v>
      </c>
      <c r="I1332" s="57" t="n">
        <v>8</v>
      </c>
    </row>
    <row r="1333">
      <c r="A1333" s="62" t="n">
        <v>46348</v>
      </c>
      <c r="B1333" s="3" t="inlineStr">
        <is>
          <t>Sun</t>
        </is>
      </c>
      <c r="C1333" s="19" t="n">
        <v>11</v>
      </c>
      <c r="D1333" s="19" t="n">
        <v>2026</v>
      </c>
      <c r="E1333" s="57" t="n">
        <v>2</v>
      </c>
      <c r="F1333" s="29">
        <f>ROUND(((SUMIFS(Calendar!$F$2:$F$9997,Calendar!$B$2:$B$9997,D1333,Calendar!$C$2:$C$9997,C1333)*INDEX(ForeCalc!$B$37:$Y$274,MATCH(_xlfn.CONCAT(H1333," ",I1333),ForeCalc!$A$37:$A$274,0),MATCH(_xlfn.CONCAT(B1333," ",E1333),ForeCalc!$B$36:$Y$36,0))))*VLOOKUP(A1333,Calendar!$A$2:$H$9997,8,FALSE),0)</f>
        <v/>
      </c>
      <c r="G1333" s="29">
        <f>VLOOKUP(A1333,Calendar!$A$1:$H$9997,6,FALSE)-F1333</f>
        <v/>
      </c>
      <c r="H1333" s="19" t="n">
        <v>1</v>
      </c>
      <c r="I1333" s="57" t="n">
        <v>8</v>
      </c>
    </row>
    <row r="1334">
      <c r="A1334" s="62" t="n">
        <v>46349</v>
      </c>
      <c r="B1334" s="3" t="inlineStr">
        <is>
          <t>Week</t>
        </is>
      </c>
      <c r="C1334" s="19" t="n">
        <v>11</v>
      </c>
      <c r="D1334" s="19" t="n">
        <v>2026</v>
      </c>
      <c r="E1334" s="57" t="n">
        <v>2</v>
      </c>
      <c r="F1334" s="29">
        <f>ROUND(((SUMIFS(Calendar!$F$2:$F$9997,Calendar!$B$2:$B$9997,D1334,Calendar!$C$2:$C$9997,C1334)*INDEX(ForeCalc!$B$37:$Y$274,MATCH(_xlfn.CONCAT(H1334," ",I1334),ForeCalc!$A$37:$A$274,0),MATCH(_xlfn.CONCAT(B1334," ",E1334),ForeCalc!$B$36:$Y$36,0))))*VLOOKUP(A1334,Calendar!$A$2:$H$9997,8,FALSE),0)</f>
        <v/>
      </c>
      <c r="G1334" s="29">
        <f>VLOOKUP(A1334,Calendar!$A$1:$H$9997,6,FALSE)-F1334</f>
        <v/>
      </c>
      <c r="H1334" s="19" t="n">
        <v>1</v>
      </c>
      <c r="I1334" s="57" t="n">
        <v>8</v>
      </c>
    </row>
    <row r="1335">
      <c r="A1335" s="62" t="n">
        <v>46350</v>
      </c>
      <c r="B1335" s="3" t="inlineStr">
        <is>
          <t>Week</t>
        </is>
      </c>
      <c r="C1335" s="19" t="n">
        <v>11</v>
      </c>
      <c r="D1335" s="19" t="n">
        <v>2026</v>
      </c>
      <c r="E1335" s="57" t="n">
        <v>2</v>
      </c>
      <c r="F1335" s="29">
        <f>ROUND(((SUMIFS(Calendar!$F$2:$F$9997,Calendar!$B$2:$B$9997,D1335,Calendar!$C$2:$C$9997,C1335)*INDEX(ForeCalc!$B$37:$Y$274,MATCH(_xlfn.CONCAT(H1335," ",I1335),ForeCalc!$A$37:$A$274,0),MATCH(_xlfn.CONCAT(B1335," ",E1335),ForeCalc!$B$36:$Y$36,0))))*VLOOKUP(A1335,Calendar!$A$2:$H$9997,8,FALSE),0)</f>
        <v/>
      </c>
      <c r="G1335" s="29">
        <f>VLOOKUP(A1335,Calendar!$A$1:$H$9997,6,FALSE)-F1335</f>
        <v/>
      </c>
      <c r="H1335" s="19" t="n">
        <v>1</v>
      </c>
      <c r="I1335" s="57" t="n">
        <v>8</v>
      </c>
    </row>
    <row r="1336">
      <c r="A1336" s="62" t="n">
        <v>46351</v>
      </c>
      <c r="B1336" s="3" t="inlineStr">
        <is>
          <t>Week</t>
        </is>
      </c>
      <c r="C1336" s="19" t="n">
        <v>11</v>
      </c>
      <c r="D1336" s="19" t="n">
        <v>2026</v>
      </c>
      <c r="E1336" s="57" t="n">
        <v>2</v>
      </c>
      <c r="F1336" s="29">
        <f>ROUND(((SUMIFS(Calendar!$F$2:$F$9997,Calendar!$B$2:$B$9997,D1336,Calendar!$C$2:$C$9997,C1336)*INDEX(ForeCalc!$B$37:$Y$274,MATCH(_xlfn.CONCAT(H1336," ",I1336),ForeCalc!$A$37:$A$274,0),MATCH(_xlfn.CONCAT(B1336," ",E1336),ForeCalc!$B$36:$Y$36,0))))*VLOOKUP(A1336,Calendar!$A$2:$H$9997,8,FALSE),0)</f>
        <v/>
      </c>
      <c r="G1336" s="29">
        <f>VLOOKUP(A1336,Calendar!$A$1:$H$9997,6,FALSE)-F1336</f>
        <v/>
      </c>
      <c r="H1336" s="19" t="n">
        <v>1</v>
      </c>
      <c r="I1336" s="57" t="n">
        <v>8</v>
      </c>
    </row>
    <row r="1337">
      <c r="A1337" s="62" t="n">
        <v>46352</v>
      </c>
      <c r="B1337" s="3" t="inlineStr">
        <is>
          <t>Week</t>
        </is>
      </c>
      <c r="C1337" s="19" t="n">
        <v>11</v>
      </c>
      <c r="D1337" s="19" t="n">
        <v>2026</v>
      </c>
      <c r="E1337" s="57" t="n">
        <v>2</v>
      </c>
      <c r="F1337" s="29">
        <f>ROUND(((SUMIFS(Calendar!$F$2:$F$9997,Calendar!$B$2:$B$9997,D1337,Calendar!$C$2:$C$9997,C1337)*INDEX(ForeCalc!$B$37:$Y$274,MATCH(_xlfn.CONCAT(H1337," ",I1337),ForeCalc!$A$37:$A$274,0),MATCH(_xlfn.CONCAT(B1337," ",E1337),ForeCalc!$B$36:$Y$36,0))))*VLOOKUP(A1337,Calendar!$A$2:$H$9997,8,FALSE),0)</f>
        <v/>
      </c>
      <c r="G1337" s="29">
        <f>VLOOKUP(A1337,Calendar!$A$1:$H$9997,6,FALSE)-F1337</f>
        <v/>
      </c>
      <c r="H1337" s="19" t="n">
        <v>1</v>
      </c>
      <c r="I1337" s="57" t="n">
        <v>8</v>
      </c>
    </row>
    <row r="1338">
      <c r="A1338" s="62" t="n">
        <v>46353</v>
      </c>
      <c r="B1338" s="3" t="inlineStr">
        <is>
          <t>Week</t>
        </is>
      </c>
      <c r="C1338" s="19" t="n">
        <v>11</v>
      </c>
      <c r="D1338" s="19" t="n">
        <v>2026</v>
      </c>
      <c r="E1338" s="57" t="n">
        <v>2</v>
      </c>
      <c r="F1338" s="29">
        <f>ROUND(((SUMIFS(Calendar!$F$2:$F$9997,Calendar!$B$2:$B$9997,D1338,Calendar!$C$2:$C$9997,C1338)*INDEX(ForeCalc!$B$37:$Y$274,MATCH(_xlfn.CONCAT(H1338," ",I1338),ForeCalc!$A$37:$A$274,0),MATCH(_xlfn.CONCAT(B1338," ",E1338),ForeCalc!$B$36:$Y$36,0))))*VLOOKUP(A1338,Calendar!$A$2:$H$9997,8,FALSE),0)</f>
        <v/>
      </c>
      <c r="G1338" s="29">
        <f>VLOOKUP(A1338,Calendar!$A$1:$H$9997,6,FALSE)-F1338</f>
        <v/>
      </c>
      <c r="H1338" s="19" t="n">
        <v>1</v>
      </c>
      <c r="I1338" s="57" t="n">
        <v>8</v>
      </c>
    </row>
    <row r="1339">
      <c r="A1339" s="62" t="n">
        <v>46354</v>
      </c>
      <c r="B1339" s="3" t="inlineStr">
        <is>
          <t>Sat</t>
        </is>
      </c>
      <c r="C1339" s="19" t="n">
        <v>11</v>
      </c>
      <c r="D1339" s="19" t="n">
        <v>2026</v>
      </c>
      <c r="E1339" s="57" t="n">
        <v>2</v>
      </c>
      <c r="F1339" s="29">
        <f>ROUND(((SUMIFS(Calendar!$F$2:$F$9997,Calendar!$B$2:$B$9997,D1339,Calendar!$C$2:$C$9997,C1339)*INDEX(ForeCalc!$B$37:$Y$274,MATCH(_xlfn.CONCAT(H1339," ",I1339),ForeCalc!$A$37:$A$274,0),MATCH(_xlfn.CONCAT(B1339," ",E1339),ForeCalc!$B$36:$Y$36,0))))*VLOOKUP(A1339,Calendar!$A$2:$H$9997,8,FALSE),0)</f>
        <v/>
      </c>
      <c r="G1339" s="29">
        <f>VLOOKUP(A1339,Calendar!$A$1:$H$9997,6,FALSE)-F1339</f>
        <v/>
      </c>
      <c r="H1339" s="19" t="n">
        <v>1</v>
      </c>
      <c r="I1339" s="57" t="n">
        <v>8</v>
      </c>
    </row>
    <row r="1340">
      <c r="A1340" s="62" t="n">
        <v>46355</v>
      </c>
      <c r="B1340" s="3" t="inlineStr">
        <is>
          <t>Sun</t>
        </is>
      </c>
      <c r="C1340" s="19" t="n">
        <v>11</v>
      </c>
      <c r="D1340" s="19" t="n">
        <v>2026</v>
      </c>
      <c r="E1340" s="57" t="n">
        <v>2</v>
      </c>
      <c r="F1340" s="29">
        <f>ROUND(((SUMIFS(Calendar!$F$2:$F$9997,Calendar!$B$2:$B$9997,D1340,Calendar!$C$2:$C$9997,C1340)*INDEX(ForeCalc!$B$37:$Y$274,MATCH(_xlfn.CONCAT(H1340," ",I1340),ForeCalc!$A$37:$A$274,0),MATCH(_xlfn.CONCAT(B1340," ",E1340),ForeCalc!$B$36:$Y$36,0))))*VLOOKUP(A1340,Calendar!$A$2:$H$9997,8,FALSE),0)</f>
        <v/>
      </c>
      <c r="G1340" s="29">
        <f>VLOOKUP(A1340,Calendar!$A$1:$H$9997,6,FALSE)-F1340</f>
        <v/>
      </c>
      <c r="H1340" s="19" t="n">
        <v>1</v>
      </c>
      <c r="I1340" s="57" t="n">
        <v>8</v>
      </c>
    </row>
    <row r="1341">
      <c r="A1341" s="62" t="n">
        <v>46356</v>
      </c>
      <c r="B1341" s="3" t="inlineStr">
        <is>
          <t>Week</t>
        </is>
      </c>
      <c r="C1341" s="19" t="n">
        <v>11</v>
      </c>
      <c r="D1341" s="19" t="n">
        <v>2026</v>
      </c>
      <c r="E1341" s="57" t="n">
        <v>2</v>
      </c>
      <c r="F1341" s="29">
        <f>ROUND(((SUMIFS(Calendar!$F$2:$F$9997,Calendar!$B$2:$B$9997,D1341,Calendar!$C$2:$C$9997,C1341)*INDEX(ForeCalc!$B$37:$Y$274,MATCH(_xlfn.CONCAT(H1341," ",I1341),ForeCalc!$A$37:$A$274,0),MATCH(_xlfn.CONCAT(B1341," ",E1341),ForeCalc!$B$36:$Y$36,0))))*VLOOKUP(A1341,Calendar!$A$2:$H$9997,8,FALSE),0)</f>
        <v/>
      </c>
      <c r="G1341" s="29">
        <f>VLOOKUP(A1341,Calendar!$A$1:$H$9997,6,FALSE)-F1341</f>
        <v/>
      </c>
      <c r="H1341" s="19" t="n">
        <v>1</v>
      </c>
      <c r="I1341" s="57" t="n">
        <v>8</v>
      </c>
    </row>
    <row r="1342">
      <c r="A1342" s="62" t="n">
        <v>46357</v>
      </c>
      <c r="B1342" s="3" t="inlineStr">
        <is>
          <t>Week</t>
        </is>
      </c>
      <c r="C1342" s="19" t="n">
        <v>12</v>
      </c>
      <c r="D1342" s="19" t="n">
        <v>2026</v>
      </c>
      <c r="E1342" s="57" t="n">
        <v>2</v>
      </c>
      <c r="F1342" s="29">
        <f>ROUND(((SUMIFS(Calendar!$F$2:$F$9997,Calendar!$B$2:$B$9997,D1342,Calendar!$C$2:$C$9997,C1342)*INDEX(ForeCalc!$B$37:$Y$274,MATCH(_xlfn.CONCAT(H1342," ",I1342),ForeCalc!$A$37:$A$274,0),MATCH(_xlfn.CONCAT(B1342," ",E1342),ForeCalc!$B$36:$Y$36,0))))*VLOOKUP(A1342,Calendar!$A$2:$H$9997,8,FALSE),0)</f>
        <v/>
      </c>
      <c r="G1342" s="29">
        <f>VLOOKUP(A1342,Calendar!$A$1:$H$9997,6,FALSE)-F1342</f>
        <v/>
      </c>
      <c r="H1342" s="19" t="n">
        <v>1</v>
      </c>
      <c r="I1342" s="57" t="n">
        <v>9</v>
      </c>
    </row>
    <row r="1343">
      <c r="A1343" s="62" t="n">
        <v>46358</v>
      </c>
      <c r="B1343" s="3" t="inlineStr">
        <is>
          <t>Week</t>
        </is>
      </c>
      <c r="C1343" s="19" t="n">
        <v>12</v>
      </c>
      <c r="D1343" s="19" t="n">
        <v>2026</v>
      </c>
      <c r="E1343" s="57" t="n">
        <v>2</v>
      </c>
      <c r="F1343" s="29">
        <f>ROUND(((SUMIFS(Calendar!$F$2:$F$9997,Calendar!$B$2:$B$9997,D1343,Calendar!$C$2:$C$9997,C1343)*INDEX(ForeCalc!$B$37:$Y$274,MATCH(_xlfn.CONCAT(H1343," ",I1343),ForeCalc!$A$37:$A$274,0),MATCH(_xlfn.CONCAT(B1343," ",E1343),ForeCalc!$B$36:$Y$36,0))))*VLOOKUP(A1343,Calendar!$A$2:$H$9997,8,FALSE),0)</f>
        <v/>
      </c>
      <c r="G1343" s="29">
        <f>VLOOKUP(A1343,Calendar!$A$1:$H$9997,6,FALSE)-F1343</f>
        <v/>
      </c>
      <c r="H1343" s="19" t="n">
        <v>1</v>
      </c>
      <c r="I1343" s="57" t="n">
        <v>9</v>
      </c>
    </row>
    <row r="1344">
      <c r="A1344" s="62" t="n">
        <v>46359</v>
      </c>
      <c r="B1344" s="3" t="inlineStr">
        <is>
          <t>Week</t>
        </is>
      </c>
      <c r="C1344" s="19" t="n">
        <v>12</v>
      </c>
      <c r="D1344" s="19" t="n">
        <v>2026</v>
      </c>
      <c r="E1344" s="57" t="n">
        <v>2</v>
      </c>
      <c r="F1344" s="29">
        <f>ROUND(((SUMIFS(Calendar!$F$2:$F$9997,Calendar!$B$2:$B$9997,D1344,Calendar!$C$2:$C$9997,C1344)*INDEX(ForeCalc!$B$37:$Y$274,MATCH(_xlfn.CONCAT(H1344," ",I1344),ForeCalc!$A$37:$A$274,0),MATCH(_xlfn.CONCAT(B1344," ",E1344),ForeCalc!$B$36:$Y$36,0))))*VLOOKUP(A1344,Calendar!$A$2:$H$9997,8,FALSE),0)</f>
        <v/>
      </c>
      <c r="G1344" s="29">
        <f>VLOOKUP(A1344,Calendar!$A$1:$H$9997,6,FALSE)-F1344</f>
        <v/>
      </c>
      <c r="H1344" s="19" t="n">
        <v>1</v>
      </c>
      <c r="I1344" s="57" t="n">
        <v>9</v>
      </c>
    </row>
    <row r="1345">
      <c r="A1345" s="62" t="n">
        <v>46360</v>
      </c>
      <c r="B1345" s="3" t="inlineStr">
        <is>
          <t>Week</t>
        </is>
      </c>
      <c r="C1345" s="19" t="n">
        <v>12</v>
      </c>
      <c r="D1345" s="19" t="n">
        <v>2026</v>
      </c>
      <c r="E1345" s="57" t="n">
        <v>2</v>
      </c>
      <c r="F1345" s="29">
        <f>ROUND(((SUMIFS(Calendar!$F$2:$F$9997,Calendar!$B$2:$B$9997,D1345,Calendar!$C$2:$C$9997,C1345)*INDEX(ForeCalc!$B$37:$Y$274,MATCH(_xlfn.CONCAT(H1345," ",I1345),ForeCalc!$A$37:$A$274,0),MATCH(_xlfn.CONCAT(B1345," ",E1345),ForeCalc!$B$36:$Y$36,0))))*VLOOKUP(A1345,Calendar!$A$2:$H$9997,8,FALSE),0)</f>
        <v/>
      </c>
      <c r="G1345" s="29">
        <f>VLOOKUP(A1345,Calendar!$A$1:$H$9997,6,FALSE)-F1345</f>
        <v/>
      </c>
      <c r="H1345" s="19" t="n">
        <v>1</v>
      </c>
      <c r="I1345" s="57" t="n">
        <v>9</v>
      </c>
    </row>
    <row r="1346">
      <c r="A1346" s="62" t="n">
        <v>46361</v>
      </c>
      <c r="B1346" s="3" t="inlineStr">
        <is>
          <t>Sat</t>
        </is>
      </c>
      <c r="C1346" s="19" t="n">
        <v>12</v>
      </c>
      <c r="D1346" s="19" t="n">
        <v>2026</v>
      </c>
      <c r="E1346" s="57" t="n">
        <v>2</v>
      </c>
      <c r="F1346" s="29">
        <f>ROUND(((SUMIFS(Calendar!$F$2:$F$9997,Calendar!$B$2:$B$9997,D1346,Calendar!$C$2:$C$9997,C1346)*INDEX(ForeCalc!$B$37:$Y$274,MATCH(_xlfn.CONCAT(H1346," ",I1346),ForeCalc!$A$37:$A$274,0),MATCH(_xlfn.CONCAT(B1346," ",E1346),ForeCalc!$B$36:$Y$36,0))))*VLOOKUP(A1346,Calendar!$A$2:$H$9997,8,FALSE),0)</f>
        <v/>
      </c>
      <c r="G1346" s="29">
        <f>VLOOKUP(A1346,Calendar!$A$1:$H$9997,6,FALSE)-F1346</f>
        <v/>
      </c>
      <c r="H1346" s="19" t="n">
        <v>1</v>
      </c>
      <c r="I1346" s="57" t="n">
        <v>9</v>
      </c>
    </row>
    <row r="1347">
      <c r="A1347" s="62" t="n">
        <v>46362</v>
      </c>
      <c r="B1347" s="3" t="inlineStr">
        <is>
          <t>Sun</t>
        </is>
      </c>
      <c r="C1347" s="19" t="n">
        <v>12</v>
      </c>
      <c r="D1347" s="19" t="n">
        <v>2026</v>
      </c>
      <c r="E1347" s="57" t="n">
        <v>2</v>
      </c>
      <c r="F1347" s="29">
        <f>ROUND(((SUMIFS(Calendar!$F$2:$F$9997,Calendar!$B$2:$B$9997,D1347,Calendar!$C$2:$C$9997,C1347)*INDEX(ForeCalc!$B$37:$Y$274,MATCH(_xlfn.CONCAT(H1347," ",I1347),ForeCalc!$A$37:$A$274,0),MATCH(_xlfn.CONCAT(B1347," ",E1347),ForeCalc!$B$36:$Y$36,0))))*VLOOKUP(A1347,Calendar!$A$2:$H$9997,8,FALSE),0)</f>
        <v/>
      </c>
      <c r="G1347" s="29">
        <f>VLOOKUP(A1347,Calendar!$A$1:$H$9997,6,FALSE)-F1347</f>
        <v/>
      </c>
      <c r="H1347" s="19" t="n">
        <v>1</v>
      </c>
      <c r="I1347" s="57" t="n">
        <v>9</v>
      </c>
    </row>
    <row r="1348">
      <c r="A1348" s="62" t="n">
        <v>46363</v>
      </c>
      <c r="B1348" s="3" t="inlineStr">
        <is>
          <t>Week</t>
        </is>
      </c>
      <c r="C1348" s="19" t="n">
        <v>12</v>
      </c>
      <c r="D1348" s="19" t="n">
        <v>2026</v>
      </c>
      <c r="E1348" s="57" t="n">
        <v>2</v>
      </c>
      <c r="F1348" s="29">
        <f>ROUND(((SUMIFS(Calendar!$F$2:$F$9997,Calendar!$B$2:$B$9997,D1348,Calendar!$C$2:$C$9997,C1348)*INDEX(ForeCalc!$B$37:$Y$274,MATCH(_xlfn.CONCAT(H1348," ",I1348),ForeCalc!$A$37:$A$274,0),MATCH(_xlfn.CONCAT(B1348," ",E1348),ForeCalc!$B$36:$Y$36,0))))*VLOOKUP(A1348,Calendar!$A$2:$H$9997,8,FALSE),0)</f>
        <v/>
      </c>
      <c r="G1348" s="29">
        <f>VLOOKUP(A1348,Calendar!$A$1:$H$9997,6,FALSE)-F1348</f>
        <v/>
      </c>
      <c r="H1348" s="19" t="n">
        <v>1</v>
      </c>
      <c r="I1348" s="57" t="n">
        <v>9</v>
      </c>
    </row>
    <row r="1349">
      <c r="A1349" s="62" t="n">
        <v>46364</v>
      </c>
      <c r="B1349" s="3" t="inlineStr">
        <is>
          <t>Week</t>
        </is>
      </c>
      <c r="C1349" s="19" t="n">
        <v>12</v>
      </c>
      <c r="D1349" s="19" t="n">
        <v>2026</v>
      </c>
      <c r="E1349" s="57" t="n">
        <v>2</v>
      </c>
      <c r="F1349" s="29">
        <f>ROUND(((SUMIFS(Calendar!$F$2:$F$9997,Calendar!$B$2:$B$9997,D1349,Calendar!$C$2:$C$9997,C1349)*INDEX(ForeCalc!$B$37:$Y$274,MATCH(_xlfn.CONCAT(H1349," ",I1349),ForeCalc!$A$37:$A$274,0),MATCH(_xlfn.CONCAT(B1349," ",E1349),ForeCalc!$B$36:$Y$36,0))))*VLOOKUP(A1349,Calendar!$A$2:$H$9997,8,FALSE),0)</f>
        <v/>
      </c>
      <c r="G1349" s="29">
        <f>VLOOKUP(A1349,Calendar!$A$1:$H$9997,6,FALSE)-F1349</f>
        <v/>
      </c>
      <c r="H1349" s="19" t="n">
        <v>1</v>
      </c>
      <c r="I1349" s="57" t="n">
        <v>9</v>
      </c>
    </row>
    <row r="1350">
      <c r="A1350" s="62" t="n">
        <v>46365</v>
      </c>
      <c r="B1350" s="3" t="inlineStr">
        <is>
          <t>Week</t>
        </is>
      </c>
      <c r="C1350" s="19" t="n">
        <v>12</v>
      </c>
      <c r="D1350" s="19" t="n">
        <v>2026</v>
      </c>
      <c r="E1350" s="57" t="n">
        <v>2</v>
      </c>
      <c r="F1350" s="29">
        <f>ROUND(((SUMIFS(Calendar!$F$2:$F$9997,Calendar!$B$2:$B$9997,D1350,Calendar!$C$2:$C$9997,C1350)*INDEX(ForeCalc!$B$37:$Y$274,MATCH(_xlfn.CONCAT(H1350," ",I1350),ForeCalc!$A$37:$A$274,0),MATCH(_xlfn.CONCAT(B1350," ",E1350),ForeCalc!$B$36:$Y$36,0))))*VLOOKUP(A1350,Calendar!$A$2:$H$9997,8,FALSE),0)</f>
        <v/>
      </c>
      <c r="G1350" s="29">
        <f>VLOOKUP(A1350,Calendar!$A$1:$H$9997,6,FALSE)-F1350</f>
        <v/>
      </c>
      <c r="H1350" s="19" t="n">
        <v>1</v>
      </c>
      <c r="I1350" s="57" t="n">
        <v>9</v>
      </c>
    </row>
    <row r="1351">
      <c r="A1351" s="62" t="n">
        <v>46366</v>
      </c>
      <c r="B1351" s="3" t="inlineStr">
        <is>
          <t>Week</t>
        </is>
      </c>
      <c r="C1351" s="19" t="n">
        <v>12</v>
      </c>
      <c r="D1351" s="19" t="n">
        <v>2026</v>
      </c>
      <c r="E1351" s="57" t="n">
        <v>2</v>
      </c>
      <c r="F1351" s="29">
        <f>ROUND(((SUMIFS(Calendar!$F$2:$F$9997,Calendar!$B$2:$B$9997,D1351,Calendar!$C$2:$C$9997,C1351)*INDEX(ForeCalc!$B$37:$Y$274,MATCH(_xlfn.CONCAT(H1351," ",I1351),ForeCalc!$A$37:$A$274,0),MATCH(_xlfn.CONCAT(B1351," ",E1351),ForeCalc!$B$36:$Y$36,0))))*VLOOKUP(A1351,Calendar!$A$2:$H$9997,8,FALSE),0)</f>
        <v/>
      </c>
      <c r="G1351" s="29">
        <f>VLOOKUP(A1351,Calendar!$A$1:$H$9997,6,FALSE)-F1351</f>
        <v/>
      </c>
      <c r="H1351" s="19" t="n">
        <v>1</v>
      </c>
      <c r="I1351" s="57" t="n">
        <v>9</v>
      </c>
    </row>
    <row r="1352">
      <c r="A1352" s="62" t="n">
        <v>46367</v>
      </c>
      <c r="B1352" s="3" t="inlineStr">
        <is>
          <t>Week</t>
        </is>
      </c>
      <c r="C1352" s="19" t="n">
        <v>12</v>
      </c>
      <c r="D1352" s="19" t="n">
        <v>2026</v>
      </c>
      <c r="E1352" s="57" t="n">
        <v>2</v>
      </c>
      <c r="F1352" s="29">
        <f>ROUND(((SUMIFS(Calendar!$F$2:$F$9997,Calendar!$B$2:$B$9997,D1352,Calendar!$C$2:$C$9997,C1352)*INDEX(ForeCalc!$B$37:$Y$274,MATCH(_xlfn.CONCAT(H1352," ",I1352),ForeCalc!$A$37:$A$274,0),MATCH(_xlfn.CONCAT(B1352," ",E1352),ForeCalc!$B$36:$Y$36,0))))*VLOOKUP(A1352,Calendar!$A$2:$H$9997,8,FALSE),0)</f>
        <v/>
      </c>
      <c r="G1352" s="29">
        <f>VLOOKUP(A1352,Calendar!$A$1:$H$9997,6,FALSE)-F1352</f>
        <v/>
      </c>
      <c r="H1352" s="19" t="n">
        <v>1</v>
      </c>
      <c r="I1352" s="57" t="n">
        <v>9</v>
      </c>
    </row>
    <row r="1353">
      <c r="A1353" s="62" t="n">
        <v>46368</v>
      </c>
      <c r="B1353" s="3" t="inlineStr">
        <is>
          <t>Sat</t>
        </is>
      </c>
      <c r="C1353" s="19" t="n">
        <v>12</v>
      </c>
      <c r="D1353" s="19" t="n">
        <v>2026</v>
      </c>
      <c r="E1353" s="57" t="n">
        <v>2</v>
      </c>
      <c r="F1353" s="29">
        <f>ROUND(((SUMIFS(Calendar!$F$2:$F$9997,Calendar!$B$2:$B$9997,D1353,Calendar!$C$2:$C$9997,C1353)*INDEX(ForeCalc!$B$37:$Y$274,MATCH(_xlfn.CONCAT(H1353," ",I1353),ForeCalc!$A$37:$A$274,0),MATCH(_xlfn.CONCAT(B1353," ",E1353),ForeCalc!$B$36:$Y$36,0))))*VLOOKUP(A1353,Calendar!$A$2:$H$9997,8,FALSE),0)</f>
        <v/>
      </c>
      <c r="G1353" s="29">
        <f>VLOOKUP(A1353,Calendar!$A$1:$H$9997,6,FALSE)-F1353</f>
        <v/>
      </c>
      <c r="H1353" s="19" t="n">
        <v>1</v>
      </c>
      <c r="I1353" s="57" t="n">
        <v>9</v>
      </c>
    </row>
    <row r="1354">
      <c r="A1354" s="62" t="n">
        <v>46369</v>
      </c>
      <c r="B1354" s="3" t="inlineStr">
        <is>
          <t>Sun</t>
        </is>
      </c>
      <c r="C1354" s="19" t="n">
        <v>12</v>
      </c>
      <c r="D1354" s="19" t="n">
        <v>2026</v>
      </c>
      <c r="E1354" s="57" t="n">
        <v>2</v>
      </c>
      <c r="F1354" s="29">
        <f>ROUND(((SUMIFS(Calendar!$F$2:$F$9997,Calendar!$B$2:$B$9997,D1354,Calendar!$C$2:$C$9997,C1354)*INDEX(ForeCalc!$B$37:$Y$274,MATCH(_xlfn.CONCAT(H1354," ",I1354),ForeCalc!$A$37:$A$274,0),MATCH(_xlfn.CONCAT(B1354," ",E1354),ForeCalc!$B$36:$Y$36,0))))*VLOOKUP(A1354,Calendar!$A$2:$H$9997,8,FALSE),0)</f>
        <v/>
      </c>
      <c r="G1354" s="29">
        <f>VLOOKUP(A1354,Calendar!$A$1:$H$9997,6,FALSE)-F1354</f>
        <v/>
      </c>
      <c r="H1354" s="19" t="n">
        <v>1</v>
      </c>
      <c r="I1354" s="57" t="n">
        <v>9</v>
      </c>
    </row>
    <row r="1355">
      <c r="A1355" s="62" t="n">
        <v>46370</v>
      </c>
      <c r="B1355" s="3" t="inlineStr">
        <is>
          <t>Week</t>
        </is>
      </c>
      <c r="C1355" s="19" t="n">
        <v>12</v>
      </c>
      <c r="D1355" s="19" t="n">
        <v>2026</v>
      </c>
      <c r="E1355" s="57" t="n">
        <v>2</v>
      </c>
      <c r="F1355" s="29">
        <f>ROUND(((SUMIFS(Calendar!$F$2:$F$9997,Calendar!$B$2:$B$9997,D1355,Calendar!$C$2:$C$9997,C1355)*INDEX(ForeCalc!$B$37:$Y$274,MATCH(_xlfn.CONCAT(H1355," ",I1355),ForeCalc!$A$37:$A$274,0),MATCH(_xlfn.CONCAT(B1355," ",E1355),ForeCalc!$B$36:$Y$36,0))))*VLOOKUP(A1355,Calendar!$A$2:$H$9997,8,FALSE),0)</f>
        <v/>
      </c>
      <c r="G1355" s="29">
        <f>VLOOKUP(A1355,Calendar!$A$1:$H$9997,6,FALSE)-F1355</f>
        <v/>
      </c>
      <c r="H1355" s="19" t="n">
        <v>1</v>
      </c>
      <c r="I1355" s="57" t="n">
        <v>9</v>
      </c>
    </row>
    <row r="1356">
      <c r="A1356" s="62" t="n">
        <v>46371</v>
      </c>
      <c r="B1356" s="3" t="inlineStr">
        <is>
          <t>Week</t>
        </is>
      </c>
      <c r="C1356" s="19" t="n">
        <v>12</v>
      </c>
      <c r="D1356" s="19" t="n">
        <v>2026</v>
      </c>
      <c r="E1356" s="57" t="n">
        <v>2</v>
      </c>
      <c r="F1356" s="29">
        <f>ROUND(((SUMIFS(Calendar!$F$2:$F$9997,Calendar!$B$2:$B$9997,D1356,Calendar!$C$2:$C$9997,C1356)*INDEX(ForeCalc!$B$37:$Y$274,MATCH(_xlfn.CONCAT(H1356," ",I1356),ForeCalc!$A$37:$A$274,0),MATCH(_xlfn.CONCAT(B1356," ",E1356),ForeCalc!$B$36:$Y$36,0))))*VLOOKUP(A1356,Calendar!$A$2:$H$9997,8,FALSE),0)</f>
        <v/>
      </c>
      <c r="G1356" s="29">
        <f>VLOOKUP(A1356,Calendar!$A$1:$H$9997,6,FALSE)-F1356</f>
        <v/>
      </c>
      <c r="H1356" s="19" t="n">
        <v>1</v>
      </c>
      <c r="I1356" s="57" t="n">
        <v>9</v>
      </c>
    </row>
    <row r="1357">
      <c r="A1357" s="62" t="n">
        <v>46372</v>
      </c>
      <c r="B1357" s="3" t="inlineStr">
        <is>
          <t>Week</t>
        </is>
      </c>
      <c r="C1357" s="19" t="n">
        <v>12</v>
      </c>
      <c r="D1357" s="19" t="n">
        <v>2026</v>
      </c>
      <c r="E1357" s="57" t="n">
        <v>2</v>
      </c>
      <c r="F1357" s="29">
        <f>ROUND(((SUMIFS(Calendar!$F$2:$F$9997,Calendar!$B$2:$B$9997,D1357,Calendar!$C$2:$C$9997,C1357)*INDEX(ForeCalc!$B$37:$Y$274,MATCH(_xlfn.CONCAT(H1357," ",I1357),ForeCalc!$A$37:$A$274,0),MATCH(_xlfn.CONCAT(B1357," ",E1357),ForeCalc!$B$36:$Y$36,0))))*VLOOKUP(A1357,Calendar!$A$2:$H$9997,8,FALSE),0)</f>
        <v/>
      </c>
      <c r="G1357" s="29">
        <f>VLOOKUP(A1357,Calendar!$A$1:$H$9997,6,FALSE)-F1357</f>
        <v/>
      </c>
      <c r="H1357" s="19" t="n">
        <v>1</v>
      </c>
      <c r="I1357" s="57" t="n">
        <v>9</v>
      </c>
    </row>
    <row r="1358">
      <c r="A1358" s="62" t="n">
        <v>46373</v>
      </c>
      <c r="B1358" s="3" t="inlineStr">
        <is>
          <t>Week</t>
        </is>
      </c>
      <c r="C1358" s="19" t="n">
        <v>12</v>
      </c>
      <c r="D1358" s="19" t="n">
        <v>2026</v>
      </c>
      <c r="E1358" s="57" t="n">
        <v>2</v>
      </c>
      <c r="F1358" s="29">
        <f>ROUND(((SUMIFS(Calendar!$F$2:$F$9997,Calendar!$B$2:$B$9997,D1358,Calendar!$C$2:$C$9997,C1358)*INDEX(ForeCalc!$B$37:$Y$274,MATCH(_xlfn.CONCAT(H1358," ",I1358),ForeCalc!$A$37:$A$274,0),MATCH(_xlfn.CONCAT(B1358," ",E1358),ForeCalc!$B$36:$Y$36,0))))*VLOOKUP(A1358,Calendar!$A$2:$H$9997,8,FALSE),0)</f>
        <v/>
      </c>
      <c r="G1358" s="29">
        <f>VLOOKUP(A1358,Calendar!$A$1:$H$9997,6,FALSE)-F1358</f>
        <v/>
      </c>
      <c r="H1358" s="19" t="n">
        <v>1</v>
      </c>
      <c r="I1358" s="57" t="n">
        <v>9</v>
      </c>
    </row>
    <row r="1359">
      <c r="A1359" s="62" t="n">
        <v>46374</v>
      </c>
      <c r="B1359" s="3" t="inlineStr">
        <is>
          <t>Week</t>
        </is>
      </c>
      <c r="C1359" s="19" t="n">
        <v>12</v>
      </c>
      <c r="D1359" s="19" t="n">
        <v>2026</v>
      </c>
      <c r="E1359" s="57" t="n">
        <v>2</v>
      </c>
      <c r="F1359" s="29">
        <f>ROUND(((SUMIFS(Calendar!$F$2:$F$9997,Calendar!$B$2:$B$9997,D1359,Calendar!$C$2:$C$9997,C1359)*INDEX(ForeCalc!$B$37:$Y$274,MATCH(_xlfn.CONCAT(H1359," ",I1359),ForeCalc!$A$37:$A$274,0),MATCH(_xlfn.CONCAT(B1359," ",E1359),ForeCalc!$B$36:$Y$36,0))))*VLOOKUP(A1359,Calendar!$A$2:$H$9997,8,FALSE),0)</f>
        <v/>
      </c>
      <c r="G1359" s="29">
        <f>VLOOKUP(A1359,Calendar!$A$1:$H$9997,6,FALSE)-F1359</f>
        <v/>
      </c>
      <c r="H1359" s="19" t="n">
        <v>1</v>
      </c>
      <c r="I1359" s="57" t="n">
        <v>9</v>
      </c>
    </row>
    <row r="1360">
      <c r="A1360" s="62" t="n">
        <v>46375</v>
      </c>
      <c r="B1360" s="3" t="inlineStr">
        <is>
          <t>Sat</t>
        </is>
      </c>
      <c r="C1360" s="19" t="n">
        <v>12</v>
      </c>
      <c r="D1360" s="19" t="n">
        <v>2026</v>
      </c>
      <c r="E1360" s="57" t="n">
        <v>2</v>
      </c>
      <c r="F1360" s="29">
        <f>ROUND(((SUMIFS(Calendar!$F$2:$F$9997,Calendar!$B$2:$B$9997,D1360,Calendar!$C$2:$C$9997,C1360)*INDEX(ForeCalc!$B$37:$Y$274,MATCH(_xlfn.CONCAT(H1360," ",I1360),ForeCalc!$A$37:$A$274,0),MATCH(_xlfn.CONCAT(B1360," ",E1360),ForeCalc!$B$36:$Y$36,0))))*VLOOKUP(A1360,Calendar!$A$2:$H$9997,8,FALSE),0)</f>
        <v/>
      </c>
      <c r="G1360" s="29">
        <f>VLOOKUP(A1360,Calendar!$A$1:$H$9997,6,FALSE)-F1360</f>
        <v/>
      </c>
      <c r="H1360" s="19" t="n">
        <v>1</v>
      </c>
      <c r="I1360" s="57" t="n">
        <v>9</v>
      </c>
    </row>
    <row r="1361">
      <c r="A1361" s="62" t="n">
        <v>46376</v>
      </c>
      <c r="B1361" s="3" t="inlineStr">
        <is>
          <t>Sun</t>
        </is>
      </c>
      <c r="C1361" s="19" t="n">
        <v>12</v>
      </c>
      <c r="D1361" s="19" t="n">
        <v>2026</v>
      </c>
      <c r="E1361" s="57" t="n">
        <v>2</v>
      </c>
      <c r="F1361" s="29">
        <f>ROUND(((SUMIFS(Calendar!$F$2:$F$9997,Calendar!$B$2:$B$9997,D1361,Calendar!$C$2:$C$9997,C1361)*INDEX(ForeCalc!$B$37:$Y$274,MATCH(_xlfn.CONCAT(H1361," ",I1361),ForeCalc!$A$37:$A$274,0),MATCH(_xlfn.CONCAT(B1361," ",E1361),ForeCalc!$B$36:$Y$36,0))))*VLOOKUP(A1361,Calendar!$A$2:$H$9997,8,FALSE),0)</f>
        <v/>
      </c>
      <c r="G1361" s="29">
        <f>VLOOKUP(A1361,Calendar!$A$1:$H$9997,6,FALSE)-F1361</f>
        <v/>
      </c>
      <c r="H1361" s="19" t="n">
        <v>1</v>
      </c>
      <c r="I1361" s="57" t="n">
        <v>9</v>
      </c>
    </row>
    <row r="1362">
      <c r="A1362" s="62" t="n">
        <v>46377</v>
      </c>
      <c r="B1362" s="3" t="inlineStr">
        <is>
          <t>Week</t>
        </is>
      </c>
      <c r="C1362" s="19" t="n">
        <v>12</v>
      </c>
      <c r="D1362" s="19" t="n">
        <v>2026</v>
      </c>
      <c r="E1362" s="57" t="n">
        <v>2</v>
      </c>
      <c r="F1362" s="29">
        <f>ROUND(((SUMIFS(Calendar!$F$2:$F$9997,Calendar!$B$2:$B$9997,D1362,Calendar!$C$2:$C$9997,C1362)*INDEX(ForeCalc!$B$37:$Y$274,MATCH(_xlfn.CONCAT(H1362," ",I1362),ForeCalc!$A$37:$A$274,0),MATCH(_xlfn.CONCAT(B1362," ",E1362),ForeCalc!$B$36:$Y$36,0))))*VLOOKUP(A1362,Calendar!$A$2:$H$9997,8,FALSE),0)</f>
        <v/>
      </c>
      <c r="G1362" s="29">
        <f>VLOOKUP(A1362,Calendar!$A$1:$H$9997,6,FALSE)-F1362</f>
        <v/>
      </c>
      <c r="H1362" s="19" t="n">
        <v>1</v>
      </c>
      <c r="I1362" s="57" t="n">
        <v>9</v>
      </c>
    </row>
    <row r="1363">
      <c r="A1363" s="62" t="n">
        <v>46378</v>
      </c>
      <c r="B1363" s="3" t="inlineStr">
        <is>
          <t>Week</t>
        </is>
      </c>
      <c r="C1363" s="19" t="n">
        <v>12</v>
      </c>
      <c r="D1363" s="19" t="n">
        <v>2026</v>
      </c>
      <c r="E1363" s="57" t="n">
        <v>2</v>
      </c>
      <c r="F1363" s="29">
        <f>ROUND(((SUMIFS(Calendar!$F$2:$F$9997,Calendar!$B$2:$B$9997,D1363,Calendar!$C$2:$C$9997,C1363)*INDEX(ForeCalc!$B$37:$Y$274,MATCH(_xlfn.CONCAT(H1363," ",I1363),ForeCalc!$A$37:$A$274,0),MATCH(_xlfn.CONCAT(B1363," ",E1363),ForeCalc!$B$36:$Y$36,0))))*VLOOKUP(A1363,Calendar!$A$2:$H$9997,8,FALSE),0)</f>
        <v/>
      </c>
      <c r="G1363" s="29">
        <f>VLOOKUP(A1363,Calendar!$A$1:$H$9997,6,FALSE)-F1363</f>
        <v/>
      </c>
      <c r="H1363" s="19" t="n">
        <v>1</v>
      </c>
      <c r="I1363" s="57" t="n">
        <v>9</v>
      </c>
    </row>
    <row r="1364">
      <c r="A1364" s="62" t="n">
        <v>46379</v>
      </c>
      <c r="B1364" s="3" t="inlineStr">
        <is>
          <t>Week</t>
        </is>
      </c>
      <c r="C1364" s="19" t="n">
        <v>12</v>
      </c>
      <c r="D1364" s="19" t="n">
        <v>2026</v>
      </c>
      <c r="E1364" s="57" t="n">
        <v>2</v>
      </c>
      <c r="F1364" s="29">
        <f>ROUND(((SUMIFS(Calendar!$F$2:$F$9997,Calendar!$B$2:$B$9997,D1364,Calendar!$C$2:$C$9997,C1364)*INDEX(ForeCalc!$B$37:$Y$274,MATCH(_xlfn.CONCAT(H1364," ",I1364),ForeCalc!$A$37:$A$274,0),MATCH(_xlfn.CONCAT(B1364," ",E1364),ForeCalc!$B$36:$Y$36,0))))*VLOOKUP(A1364,Calendar!$A$2:$H$9997,8,FALSE),0)</f>
        <v/>
      </c>
      <c r="G1364" s="29">
        <f>VLOOKUP(A1364,Calendar!$A$1:$H$9997,6,FALSE)-F1364</f>
        <v/>
      </c>
      <c r="H1364" s="19" t="n">
        <v>1</v>
      </c>
      <c r="I1364" s="57" t="n">
        <v>9</v>
      </c>
    </row>
    <row r="1365">
      <c r="A1365" s="62" t="n">
        <v>46380</v>
      </c>
      <c r="B1365" s="3" t="inlineStr">
        <is>
          <t>Week</t>
        </is>
      </c>
      <c r="C1365" s="19" t="n">
        <v>12</v>
      </c>
      <c r="D1365" s="19" t="n">
        <v>2026</v>
      </c>
      <c r="E1365" s="57" t="n">
        <v>2</v>
      </c>
      <c r="F1365" s="29">
        <f>ROUND(((SUMIFS(Calendar!$F$2:$F$9997,Calendar!$B$2:$B$9997,D1365,Calendar!$C$2:$C$9997,C1365)*INDEX(ForeCalc!$B$37:$Y$274,MATCH(_xlfn.CONCAT(H1365," ",I1365),ForeCalc!$A$37:$A$274,0),MATCH(_xlfn.CONCAT(B1365," ",E1365),ForeCalc!$B$36:$Y$36,0))))*VLOOKUP(A1365,Calendar!$A$2:$H$9997,8,FALSE),0)</f>
        <v/>
      </c>
      <c r="G1365" s="29">
        <f>VLOOKUP(A1365,Calendar!$A$1:$H$9997,6,FALSE)-F1365</f>
        <v/>
      </c>
      <c r="H1365" s="19" t="n">
        <v>1</v>
      </c>
      <c r="I1365" s="57" t="n">
        <v>9</v>
      </c>
    </row>
    <row r="1366">
      <c r="A1366" s="62" t="n">
        <v>46381</v>
      </c>
      <c r="B1366" s="3" t="inlineStr">
        <is>
          <t>Week</t>
        </is>
      </c>
      <c r="C1366" s="19" t="n">
        <v>12</v>
      </c>
      <c r="D1366" s="19" t="n">
        <v>2026</v>
      </c>
      <c r="E1366" s="57" t="n">
        <v>2</v>
      </c>
      <c r="F1366" s="29">
        <f>ROUND(((SUMIFS(Calendar!$F$2:$F$9997,Calendar!$B$2:$B$9997,D1366,Calendar!$C$2:$C$9997,C1366)*INDEX(ForeCalc!$B$37:$Y$274,MATCH(_xlfn.CONCAT(H1366," ",I1366),ForeCalc!$A$37:$A$274,0),MATCH(_xlfn.CONCAT(B1366," ",E1366),ForeCalc!$B$36:$Y$36,0))))*VLOOKUP(A1366,Calendar!$A$2:$H$9997,8,FALSE),0)</f>
        <v/>
      </c>
      <c r="G1366" s="29">
        <f>VLOOKUP(A1366,Calendar!$A$1:$H$9997,6,FALSE)-F1366</f>
        <v/>
      </c>
      <c r="H1366" s="19" t="n">
        <v>1</v>
      </c>
      <c r="I1366" s="57" t="n">
        <v>9</v>
      </c>
    </row>
    <row r="1367">
      <c r="A1367" s="62" t="n">
        <v>46382</v>
      </c>
      <c r="B1367" s="3" t="inlineStr">
        <is>
          <t>Sat</t>
        </is>
      </c>
      <c r="C1367" s="19" t="n">
        <v>12</v>
      </c>
      <c r="D1367" s="19" t="n">
        <v>2026</v>
      </c>
      <c r="E1367" s="57" t="n">
        <v>2</v>
      </c>
      <c r="F1367" s="29">
        <f>ROUND(((SUMIFS(Calendar!$F$2:$F$9997,Calendar!$B$2:$B$9997,D1367,Calendar!$C$2:$C$9997,C1367)*INDEX(ForeCalc!$B$37:$Y$274,MATCH(_xlfn.CONCAT(H1367," ",I1367),ForeCalc!$A$37:$A$274,0),MATCH(_xlfn.CONCAT(B1367," ",E1367),ForeCalc!$B$36:$Y$36,0))))*VLOOKUP(A1367,Calendar!$A$2:$H$9997,8,FALSE),0)</f>
        <v/>
      </c>
      <c r="G1367" s="29">
        <f>VLOOKUP(A1367,Calendar!$A$1:$H$9997,6,FALSE)-F1367</f>
        <v/>
      </c>
      <c r="H1367" s="19" t="n">
        <v>1</v>
      </c>
      <c r="I1367" s="57" t="n">
        <v>9</v>
      </c>
    </row>
    <row r="1368">
      <c r="A1368" s="62" t="n">
        <v>46383</v>
      </c>
      <c r="B1368" s="3" t="inlineStr">
        <is>
          <t>Sun</t>
        </is>
      </c>
      <c r="C1368" s="19" t="n">
        <v>12</v>
      </c>
      <c r="D1368" s="19" t="n">
        <v>2026</v>
      </c>
      <c r="E1368" s="57" t="n">
        <v>2</v>
      </c>
      <c r="F1368" s="29">
        <f>ROUND(((SUMIFS(Calendar!$F$2:$F$9997,Calendar!$B$2:$B$9997,D1368,Calendar!$C$2:$C$9997,C1368)*INDEX(ForeCalc!$B$37:$Y$274,MATCH(_xlfn.CONCAT(H1368," ",I1368),ForeCalc!$A$37:$A$274,0),MATCH(_xlfn.CONCAT(B1368," ",E1368),ForeCalc!$B$36:$Y$36,0))))*VLOOKUP(A1368,Calendar!$A$2:$H$9997,8,FALSE),0)</f>
        <v/>
      </c>
      <c r="G1368" s="29">
        <f>VLOOKUP(A1368,Calendar!$A$1:$H$9997,6,FALSE)-F1368</f>
        <v/>
      </c>
      <c r="H1368" s="19" t="n">
        <v>1</v>
      </c>
      <c r="I1368" s="57" t="n">
        <v>9</v>
      </c>
    </row>
    <row r="1369">
      <c r="A1369" s="62" t="n">
        <v>46384</v>
      </c>
      <c r="B1369" s="3" t="inlineStr">
        <is>
          <t>Week</t>
        </is>
      </c>
      <c r="C1369" s="19" t="n">
        <v>12</v>
      </c>
      <c r="D1369" s="19" t="n">
        <v>2026</v>
      </c>
      <c r="E1369" s="57" t="n">
        <v>2</v>
      </c>
      <c r="F1369" s="29">
        <f>ROUND(((SUMIFS(Calendar!$F$2:$F$9997,Calendar!$B$2:$B$9997,D1369,Calendar!$C$2:$C$9997,C1369)*INDEX(ForeCalc!$B$37:$Y$274,MATCH(_xlfn.CONCAT(H1369," ",I1369),ForeCalc!$A$37:$A$274,0),MATCH(_xlfn.CONCAT(B1369," ",E1369),ForeCalc!$B$36:$Y$36,0))))*VLOOKUP(A1369,Calendar!$A$2:$H$9997,8,FALSE),0)</f>
        <v/>
      </c>
      <c r="G1369" s="29">
        <f>VLOOKUP(A1369,Calendar!$A$1:$H$9997,6,FALSE)-F1369</f>
        <v/>
      </c>
      <c r="H1369" s="19" t="n">
        <v>1</v>
      </c>
      <c r="I1369" s="57" t="n">
        <v>9</v>
      </c>
    </row>
    <row r="1370">
      <c r="A1370" s="62" t="n">
        <v>46385</v>
      </c>
      <c r="B1370" s="3" t="inlineStr">
        <is>
          <t>Week</t>
        </is>
      </c>
      <c r="C1370" s="19" t="n">
        <v>12</v>
      </c>
      <c r="D1370" s="19" t="n">
        <v>2026</v>
      </c>
      <c r="E1370" s="57" t="n">
        <v>2</v>
      </c>
      <c r="F1370" s="29">
        <f>ROUND(((SUMIFS(Calendar!$F$2:$F$9997,Calendar!$B$2:$B$9997,D1370,Calendar!$C$2:$C$9997,C1370)*INDEX(ForeCalc!$B$37:$Y$274,MATCH(_xlfn.CONCAT(H1370," ",I1370),ForeCalc!$A$37:$A$274,0),MATCH(_xlfn.CONCAT(B1370," ",E1370),ForeCalc!$B$36:$Y$36,0))))*VLOOKUP(A1370,Calendar!$A$2:$H$9997,8,FALSE),0)</f>
        <v/>
      </c>
      <c r="G1370" s="29">
        <f>VLOOKUP(A1370,Calendar!$A$1:$H$9997,6,FALSE)-F1370</f>
        <v/>
      </c>
      <c r="H1370" s="19" t="n">
        <v>1</v>
      </c>
      <c r="I1370" s="57" t="n">
        <v>9</v>
      </c>
    </row>
    <row r="1371">
      <c r="A1371" s="62" t="n">
        <v>46386</v>
      </c>
      <c r="B1371" s="3" t="inlineStr">
        <is>
          <t>Week</t>
        </is>
      </c>
      <c r="C1371" s="19" t="n">
        <v>12</v>
      </c>
      <c r="D1371" s="19" t="n">
        <v>2026</v>
      </c>
      <c r="E1371" s="57" t="n">
        <v>2</v>
      </c>
      <c r="F1371" s="29">
        <f>ROUND(((SUMIFS(Calendar!$F$2:$F$9997,Calendar!$B$2:$B$9997,D1371,Calendar!$C$2:$C$9997,C1371)*INDEX(ForeCalc!$B$37:$Y$274,MATCH(_xlfn.CONCAT(H1371," ",I1371),ForeCalc!$A$37:$A$274,0),MATCH(_xlfn.CONCAT(B1371," ",E1371),ForeCalc!$B$36:$Y$36,0))))*VLOOKUP(A1371,Calendar!$A$2:$H$9997,8,FALSE),0)</f>
        <v/>
      </c>
      <c r="G1371" s="29">
        <f>VLOOKUP(A1371,Calendar!$A$1:$H$9997,6,FALSE)-F1371</f>
        <v/>
      </c>
      <c r="H1371" s="19" t="n">
        <v>1</v>
      </c>
      <c r="I1371" s="57" t="n">
        <v>9</v>
      </c>
    </row>
    <row r="1372">
      <c r="A1372" s="62" t="n">
        <v>46387</v>
      </c>
      <c r="B1372" s="3" t="inlineStr">
        <is>
          <t>Week</t>
        </is>
      </c>
      <c r="C1372" s="19" t="n">
        <v>12</v>
      </c>
      <c r="D1372" s="19" t="n">
        <v>2026</v>
      </c>
      <c r="E1372" s="57" t="n">
        <v>2</v>
      </c>
      <c r="F1372" s="29">
        <f>ROUND(((SUMIFS(Calendar!$F$2:$F$9997,Calendar!$B$2:$B$9997,D1372,Calendar!$C$2:$C$9997,C1372)*INDEX(ForeCalc!$B$37:$Y$274,MATCH(_xlfn.CONCAT(H1372," ",I1372),ForeCalc!$A$37:$A$274,0),MATCH(_xlfn.CONCAT(B1372," ",E1372),ForeCalc!$B$36:$Y$36,0))))*VLOOKUP(A1372,Calendar!$A$2:$H$9997,8,FALSE),0)</f>
        <v/>
      </c>
      <c r="G1372" s="29">
        <f>VLOOKUP(A1372,Calendar!$A$1:$H$9997,6,FALSE)-F1372</f>
        <v/>
      </c>
      <c r="H1372" s="19" t="n">
        <v>1</v>
      </c>
      <c r="I1372" s="57" t="n">
        <v>9</v>
      </c>
    </row>
    <row r="1373">
      <c r="A1373" s="62" t="n">
        <v>46388</v>
      </c>
      <c r="B1373" s="3" t="inlineStr">
        <is>
          <t>Week</t>
        </is>
      </c>
      <c r="C1373" s="19" t="n">
        <v>1</v>
      </c>
      <c r="D1373" s="19" t="n">
        <v>2027</v>
      </c>
      <c r="E1373" s="57" t="n">
        <v>2</v>
      </c>
      <c r="F1373" s="29">
        <f>ROUND(((SUMIFS(Calendar!$F$2:$F$9997,Calendar!$B$2:$B$9997,D1373,Calendar!$C$2:$C$9997,C1373)*INDEX(ForeCalc!$B$37:$Y$274,MATCH(_xlfn.CONCAT(H1373," ",I1373),ForeCalc!$A$37:$A$274,0),MATCH(_xlfn.CONCAT(B1373," ",E1373),ForeCalc!$B$36:$Y$36,0))))*VLOOKUP(A1373,Calendar!$A$2:$H$9997,8,FALSE),0)</f>
        <v/>
      </c>
      <c r="G1373" s="29">
        <f>VLOOKUP(A1373,Calendar!$A$1:$H$9997,6,FALSE)-F1373</f>
        <v/>
      </c>
      <c r="H1373" s="19" t="n">
        <v>1</v>
      </c>
      <c r="I1373" s="57" t="n">
        <v>10</v>
      </c>
    </row>
    <row r="1374">
      <c r="A1374" s="62" t="n">
        <v>46389</v>
      </c>
      <c r="B1374" s="3" t="inlineStr">
        <is>
          <t>Sat</t>
        </is>
      </c>
      <c r="C1374" s="19" t="n">
        <v>1</v>
      </c>
      <c r="D1374" s="19" t="n">
        <v>2027</v>
      </c>
      <c r="E1374" s="57" t="n">
        <v>2</v>
      </c>
      <c r="F1374" s="29">
        <f>ROUND(((SUMIFS(Calendar!$F$2:$F$9997,Calendar!$B$2:$B$9997,D1374,Calendar!$C$2:$C$9997,C1374)*INDEX(ForeCalc!$B$37:$Y$274,MATCH(_xlfn.CONCAT(H1374," ",I1374),ForeCalc!$A$37:$A$274,0),MATCH(_xlfn.CONCAT(B1374," ",E1374),ForeCalc!$B$36:$Y$36,0))))*VLOOKUP(A1374,Calendar!$A$2:$H$9997,8,FALSE),0)</f>
        <v/>
      </c>
      <c r="G1374" s="29">
        <f>VLOOKUP(A1374,Calendar!$A$1:$H$9997,6,FALSE)-F1374</f>
        <v/>
      </c>
      <c r="H1374" s="19" t="n">
        <v>1</v>
      </c>
      <c r="I1374" s="57" t="n">
        <v>10</v>
      </c>
    </row>
    <row r="1375">
      <c r="A1375" s="62" t="n">
        <v>46390</v>
      </c>
      <c r="B1375" s="3" t="inlineStr">
        <is>
          <t>Sun</t>
        </is>
      </c>
      <c r="C1375" s="19" t="n">
        <v>1</v>
      </c>
      <c r="D1375" s="19" t="n">
        <v>2027</v>
      </c>
      <c r="E1375" s="57" t="n">
        <v>2</v>
      </c>
      <c r="F1375" s="29">
        <f>ROUND(((SUMIFS(Calendar!$F$2:$F$9997,Calendar!$B$2:$B$9997,D1375,Calendar!$C$2:$C$9997,C1375)*INDEX(ForeCalc!$B$37:$Y$274,MATCH(_xlfn.CONCAT(H1375," ",I1375),ForeCalc!$A$37:$A$274,0),MATCH(_xlfn.CONCAT(B1375," ",E1375),ForeCalc!$B$36:$Y$36,0))))*VLOOKUP(A1375,Calendar!$A$2:$H$9997,8,FALSE),0)</f>
        <v/>
      </c>
      <c r="G1375" s="29">
        <f>VLOOKUP(A1375,Calendar!$A$1:$H$9997,6,FALSE)-F1375</f>
        <v/>
      </c>
      <c r="H1375" s="19" t="n">
        <v>1</v>
      </c>
      <c r="I1375" s="57" t="n">
        <v>10</v>
      </c>
    </row>
    <row r="1376">
      <c r="A1376" s="62" t="n">
        <v>46391</v>
      </c>
      <c r="B1376" s="3" t="inlineStr">
        <is>
          <t>Week</t>
        </is>
      </c>
      <c r="C1376" s="19" t="n">
        <v>1</v>
      </c>
      <c r="D1376" s="19" t="n">
        <v>2027</v>
      </c>
      <c r="E1376" s="57" t="n">
        <v>2</v>
      </c>
      <c r="F1376" s="29">
        <f>ROUND(((SUMIFS(Calendar!$F$2:$F$9997,Calendar!$B$2:$B$9997,D1376,Calendar!$C$2:$C$9997,C1376)*INDEX(ForeCalc!$B$37:$Y$274,MATCH(_xlfn.CONCAT(H1376," ",I1376),ForeCalc!$A$37:$A$274,0),MATCH(_xlfn.CONCAT(B1376," ",E1376),ForeCalc!$B$36:$Y$36,0))))*VLOOKUP(A1376,Calendar!$A$2:$H$9997,8,FALSE),0)</f>
        <v/>
      </c>
      <c r="G1376" s="29">
        <f>VLOOKUP(A1376,Calendar!$A$1:$H$9997,6,FALSE)-F1376</f>
        <v/>
      </c>
      <c r="H1376" s="19" t="n">
        <v>1</v>
      </c>
      <c r="I1376" s="57" t="n">
        <v>10</v>
      </c>
    </row>
    <row r="1377">
      <c r="A1377" s="62" t="n">
        <v>46392</v>
      </c>
      <c r="B1377" s="3" t="inlineStr">
        <is>
          <t>Week</t>
        </is>
      </c>
      <c r="C1377" s="19" t="n">
        <v>1</v>
      </c>
      <c r="D1377" s="19" t="n">
        <v>2027</v>
      </c>
      <c r="E1377" s="57" t="n">
        <v>2</v>
      </c>
      <c r="F1377" s="29">
        <f>ROUND(((SUMIFS(Calendar!$F$2:$F$9997,Calendar!$B$2:$B$9997,D1377,Calendar!$C$2:$C$9997,C1377)*INDEX(ForeCalc!$B$37:$Y$274,MATCH(_xlfn.CONCAT(H1377," ",I1377),ForeCalc!$A$37:$A$274,0),MATCH(_xlfn.CONCAT(B1377," ",E1377),ForeCalc!$B$36:$Y$36,0))))*VLOOKUP(A1377,Calendar!$A$2:$H$9997,8,FALSE),0)</f>
        <v/>
      </c>
      <c r="G1377" s="29">
        <f>VLOOKUP(A1377,Calendar!$A$1:$H$9997,6,FALSE)-F1377</f>
        <v/>
      </c>
      <c r="H1377" s="19" t="n">
        <v>1</v>
      </c>
      <c r="I1377" s="57" t="n">
        <v>10</v>
      </c>
    </row>
    <row r="1378">
      <c r="A1378" s="62" t="n">
        <v>46393</v>
      </c>
      <c r="B1378" s="3" t="inlineStr">
        <is>
          <t>Week</t>
        </is>
      </c>
      <c r="C1378" s="19" t="n">
        <v>1</v>
      </c>
      <c r="D1378" s="19" t="n">
        <v>2027</v>
      </c>
      <c r="E1378" s="57" t="n">
        <v>2</v>
      </c>
      <c r="F1378" s="29">
        <f>ROUND(((SUMIFS(Calendar!$F$2:$F$9997,Calendar!$B$2:$B$9997,D1378,Calendar!$C$2:$C$9997,C1378)*INDEX(ForeCalc!$B$37:$Y$274,MATCH(_xlfn.CONCAT(H1378," ",I1378),ForeCalc!$A$37:$A$274,0),MATCH(_xlfn.CONCAT(B1378," ",E1378),ForeCalc!$B$36:$Y$36,0))))*VLOOKUP(A1378,Calendar!$A$2:$H$9997,8,FALSE),0)</f>
        <v/>
      </c>
      <c r="G1378" s="29">
        <f>VLOOKUP(A1378,Calendar!$A$1:$H$9997,6,FALSE)-F1378</f>
        <v/>
      </c>
      <c r="H1378" s="19" t="n">
        <v>1</v>
      </c>
      <c r="I1378" s="57" t="n">
        <v>10</v>
      </c>
    </row>
    <row r="1379">
      <c r="A1379" s="62" t="n">
        <v>46394</v>
      </c>
      <c r="B1379" s="3" t="inlineStr">
        <is>
          <t>Week</t>
        </is>
      </c>
      <c r="C1379" s="19" t="n">
        <v>1</v>
      </c>
      <c r="D1379" s="19" t="n">
        <v>2027</v>
      </c>
      <c r="E1379" s="57" t="n">
        <v>2</v>
      </c>
      <c r="F1379" s="29">
        <f>ROUND(((SUMIFS(Calendar!$F$2:$F$9997,Calendar!$B$2:$B$9997,D1379,Calendar!$C$2:$C$9997,C1379)*INDEX(ForeCalc!$B$37:$Y$274,MATCH(_xlfn.CONCAT(H1379," ",I1379),ForeCalc!$A$37:$A$274,0),MATCH(_xlfn.CONCAT(B1379," ",E1379),ForeCalc!$B$36:$Y$36,0))))*VLOOKUP(A1379,Calendar!$A$2:$H$9997,8,FALSE),0)</f>
        <v/>
      </c>
      <c r="G1379" s="29">
        <f>VLOOKUP(A1379,Calendar!$A$1:$H$9997,6,FALSE)-F1379</f>
        <v/>
      </c>
      <c r="H1379" s="19" t="n">
        <v>1</v>
      </c>
      <c r="I1379" s="57" t="n">
        <v>10</v>
      </c>
    </row>
    <row r="1380">
      <c r="A1380" s="62" t="n">
        <v>46395</v>
      </c>
      <c r="B1380" s="3" t="inlineStr">
        <is>
          <t>Week</t>
        </is>
      </c>
      <c r="C1380" s="19" t="n">
        <v>1</v>
      </c>
      <c r="D1380" s="19" t="n">
        <v>2027</v>
      </c>
      <c r="E1380" s="57" t="n">
        <v>2</v>
      </c>
      <c r="F1380" s="29">
        <f>ROUND(((SUMIFS(Calendar!$F$2:$F$9997,Calendar!$B$2:$B$9997,D1380,Calendar!$C$2:$C$9997,C1380)*INDEX(ForeCalc!$B$37:$Y$274,MATCH(_xlfn.CONCAT(H1380," ",I1380),ForeCalc!$A$37:$A$274,0),MATCH(_xlfn.CONCAT(B1380," ",E1380),ForeCalc!$B$36:$Y$36,0))))*VLOOKUP(A1380,Calendar!$A$2:$H$9997,8,FALSE),0)</f>
        <v/>
      </c>
      <c r="G1380" s="29">
        <f>VLOOKUP(A1380,Calendar!$A$1:$H$9997,6,FALSE)-F1380</f>
        <v/>
      </c>
      <c r="H1380" s="19" t="n">
        <v>1</v>
      </c>
      <c r="I1380" s="57" t="n">
        <v>10</v>
      </c>
    </row>
    <row r="1381">
      <c r="A1381" s="62" t="n">
        <v>46396</v>
      </c>
      <c r="B1381" s="3" t="inlineStr">
        <is>
          <t>Sat</t>
        </is>
      </c>
      <c r="C1381" s="19" t="n">
        <v>1</v>
      </c>
      <c r="D1381" s="19" t="n">
        <v>2027</v>
      </c>
      <c r="E1381" s="57" t="n">
        <v>2</v>
      </c>
      <c r="F1381" s="29">
        <f>ROUND(((SUMIFS(Calendar!$F$2:$F$9997,Calendar!$B$2:$B$9997,D1381,Calendar!$C$2:$C$9997,C1381)*INDEX(ForeCalc!$B$37:$Y$274,MATCH(_xlfn.CONCAT(H1381," ",I1381),ForeCalc!$A$37:$A$274,0),MATCH(_xlfn.CONCAT(B1381," ",E1381),ForeCalc!$B$36:$Y$36,0))))*VLOOKUP(A1381,Calendar!$A$2:$H$9997,8,FALSE),0)</f>
        <v/>
      </c>
      <c r="G1381" s="29">
        <f>VLOOKUP(A1381,Calendar!$A$1:$H$9997,6,FALSE)-F1381</f>
        <v/>
      </c>
      <c r="H1381" s="19" t="n">
        <v>1</v>
      </c>
      <c r="I1381" s="57" t="n">
        <v>10</v>
      </c>
    </row>
    <row r="1382">
      <c r="A1382" s="62" t="n">
        <v>46397</v>
      </c>
      <c r="B1382" s="3" t="inlineStr">
        <is>
          <t>Sun</t>
        </is>
      </c>
      <c r="C1382" s="19" t="n">
        <v>1</v>
      </c>
      <c r="D1382" s="19" t="n">
        <v>2027</v>
      </c>
      <c r="E1382" s="57" t="n">
        <v>2</v>
      </c>
      <c r="F1382" s="29">
        <f>ROUND(((SUMIFS(Calendar!$F$2:$F$9997,Calendar!$B$2:$B$9997,D1382,Calendar!$C$2:$C$9997,C1382)*INDEX(ForeCalc!$B$37:$Y$274,MATCH(_xlfn.CONCAT(H1382," ",I1382),ForeCalc!$A$37:$A$274,0),MATCH(_xlfn.CONCAT(B1382," ",E1382),ForeCalc!$B$36:$Y$36,0))))*VLOOKUP(A1382,Calendar!$A$2:$H$9997,8,FALSE),0)</f>
        <v/>
      </c>
      <c r="G1382" s="29">
        <f>VLOOKUP(A1382,Calendar!$A$1:$H$9997,6,FALSE)-F1382</f>
        <v/>
      </c>
      <c r="H1382" s="19" t="n">
        <v>1</v>
      </c>
      <c r="I1382" s="57" t="n">
        <v>10</v>
      </c>
    </row>
    <row r="1383">
      <c r="A1383" s="62" t="n">
        <v>46398</v>
      </c>
      <c r="B1383" s="3" t="inlineStr">
        <is>
          <t>Week</t>
        </is>
      </c>
      <c r="C1383" s="19" t="n">
        <v>1</v>
      </c>
      <c r="D1383" s="19" t="n">
        <v>2027</v>
      </c>
      <c r="E1383" s="57" t="n">
        <v>2</v>
      </c>
      <c r="F1383" s="29">
        <f>ROUND(((SUMIFS(Calendar!$F$2:$F$9997,Calendar!$B$2:$B$9997,D1383,Calendar!$C$2:$C$9997,C1383)*INDEX(ForeCalc!$B$37:$Y$274,MATCH(_xlfn.CONCAT(H1383," ",I1383),ForeCalc!$A$37:$A$274,0),MATCH(_xlfn.CONCAT(B1383," ",E1383),ForeCalc!$B$36:$Y$36,0))))*VLOOKUP(A1383,Calendar!$A$2:$H$9997,8,FALSE),0)</f>
        <v/>
      </c>
      <c r="G1383" s="29">
        <f>VLOOKUP(A1383,Calendar!$A$1:$H$9997,6,FALSE)-F1383</f>
        <v/>
      </c>
      <c r="H1383" s="19" t="n">
        <v>1</v>
      </c>
      <c r="I1383" s="57" t="n">
        <v>10</v>
      </c>
    </row>
    <row r="1384">
      <c r="A1384" s="62" t="n">
        <v>46399</v>
      </c>
      <c r="B1384" s="3" t="inlineStr">
        <is>
          <t>Week</t>
        </is>
      </c>
      <c r="C1384" s="19" t="n">
        <v>1</v>
      </c>
      <c r="D1384" s="19" t="n">
        <v>2027</v>
      </c>
      <c r="E1384" s="57" t="n">
        <v>2</v>
      </c>
      <c r="F1384" s="29">
        <f>ROUND(((SUMIFS(Calendar!$F$2:$F$9997,Calendar!$B$2:$B$9997,D1384,Calendar!$C$2:$C$9997,C1384)*INDEX(ForeCalc!$B$37:$Y$274,MATCH(_xlfn.CONCAT(H1384," ",I1384),ForeCalc!$A$37:$A$274,0),MATCH(_xlfn.CONCAT(B1384," ",E1384),ForeCalc!$B$36:$Y$36,0))))*VLOOKUP(A1384,Calendar!$A$2:$H$9997,8,FALSE),0)</f>
        <v/>
      </c>
      <c r="G1384" s="29">
        <f>VLOOKUP(A1384,Calendar!$A$1:$H$9997,6,FALSE)-F1384</f>
        <v/>
      </c>
      <c r="H1384" s="19" t="n">
        <v>1</v>
      </c>
      <c r="I1384" s="57" t="n">
        <v>10</v>
      </c>
    </row>
    <row r="1385">
      <c r="A1385" s="62" t="n">
        <v>46400</v>
      </c>
      <c r="B1385" s="3" t="inlineStr">
        <is>
          <t>Week</t>
        </is>
      </c>
      <c r="C1385" s="19" t="n">
        <v>1</v>
      </c>
      <c r="D1385" s="19" t="n">
        <v>2027</v>
      </c>
      <c r="E1385" s="57" t="n">
        <v>2</v>
      </c>
      <c r="F1385" s="29">
        <f>ROUND(((SUMIFS(Calendar!$F$2:$F$9997,Calendar!$B$2:$B$9997,D1385,Calendar!$C$2:$C$9997,C1385)*INDEX(ForeCalc!$B$37:$Y$274,MATCH(_xlfn.CONCAT(H1385," ",I1385),ForeCalc!$A$37:$A$274,0),MATCH(_xlfn.CONCAT(B1385," ",E1385),ForeCalc!$B$36:$Y$36,0))))*VLOOKUP(A1385,Calendar!$A$2:$H$9997,8,FALSE),0)</f>
        <v/>
      </c>
      <c r="G1385" s="29">
        <f>VLOOKUP(A1385,Calendar!$A$1:$H$9997,6,FALSE)-F1385</f>
        <v/>
      </c>
      <c r="H1385" s="19" t="n">
        <v>1</v>
      </c>
      <c r="I1385" s="57" t="n">
        <v>10</v>
      </c>
    </row>
    <row r="1386">
      <c r="A1386" s="62" t="n">
        <v>46401</v>
      </c>
      <c r="B1386" s="3" t="inlineStr">
        <is>
          <t>Week</t>
        </is>
      </c>
      <c r="C1386" s="19" t="n">
        <v>1</v>
      </c>
      <c r="D1386" s="19" t="n">
        <v>2027</v>
      </c>
      <c r="E1386" s="57" t="n">
        <v>2</v>
      </c>
      <c r="F1386" s="29">
        <f>ROUND(((SUMIFS(Calendar!$F$2:$F$9997,Calendar!$B$2:$B$9997,D1386,Calendar!$C$2:$C$9997,C1386)*INDEX(ForeCalc!$B$37:$Y$274,MATCH(_xlfn.CONCAT(H1386," ",I1386),ForeCalc!$A$37:$A$274,0),MATCH(_xlfn.CONCAT(B1386," ",E1386),ForeCalc!$B$36:$Y$36,0))))*VLOOKUP(A1386,Calendar!$A$2:$H$9997,8,FALSE),0)</f>
        <v/>
      </c>
      <c r="G1386" s="29">
        <f>VLOOKUP(A1386,Calendar!$A$1:$H$9997,6,FALSE)-F1386</f>
        <v/>
      </c>
      <c r="H1386" s="19" t="n">
        <v>1</v>
      </c>
      <c r="I1386" s="57" t="n">
        <v>10</v>
      </c>
    </row>
    <row r="1387">
      <c r="A1387" s="62" t="n">
        <v>46402</v>
      </c>
      <c r="B1387" s="3" t="inlineStr">
        <is>
          <t>Week</t>
        </is>
      </c>
      <c r="C1387" s="19" t="n">
        <v>1</v>
      </c>
      <c r="D1387" s="19" t="n">
        <v>2027</v>
      </c>
      <c r="E1387" s="57" t="n">
        <v>2</v>
      </c>
      <c r="F1387" s="29">
        <f>ROUND(((SUMIFS(Calendar!$F$2:$F$9997,Calendar!$B$2:$B$9997,D1387,Calendar!$C$2:$C$9997,C1387)*INDEX(ForeCalc!$B$37:$Y$274,MATCH(_xlfn.CONCAT(H1387," ",I1387),ForeCalc!$A$37:$A$274,0),MATCH(_xlfn.CONCAT(B1387," ",E1387),ForeCalc!$B$36:$Y$36,0))))*VLOOKUP(A1387,Calendar!$A$2:$H$9997,8,FALSE),0)</f>
        <v/>
      </c>
      <c r="G1387" s="29">
        <f>VLOOKUP(A1387,Calendar!$A$1:$H$9997,6,FALSE)-F1387</f>
        <v/>
      </c>
      <c r="H1387" s="19" t="n">
        <v>1</v>
      </c>
      <c r="I1387" s="57" t="n">
        <v>10</v>
      </c>
    </row>
    <row r="1388">
      <c r="A1388" s="62" t="n">
        <v>46403</v>
      </c>
      <c r="B1388" s="3" t="inlineStr">
        <is>
          <t>Sat</t>
        </is>
      </c>
      <c r="C1388" s="19" t="n">
        <v>1</v>
      </c>
      <c r="D1388" s="19" t="n">
        <v>2027</v>
      </c>
      <c r="E1388" s="57" t="n">
        <v>2</v>
      </c>
      <c r="F1388" s="29">
        <f>ROUND(((SUMIFS(Calendar!$F$2:$F$9997,Calendar!$B$2:$B$9997,D1388,Calendar!$C$2:$C$9997,C1388)*INDEX(ForeCalc!$B$37:$Y$274,MATCH(_xlfn.CONCAT(H1388," ",I1388),ForeCalc!$A$37:$A$274,0),MATCH(_xlfn.CONCAT(B1388," ",E1388),ForeCalc!$B$36:$Y$36,0))))*VLOOKUP(A1388,Calendar!$A$2:$H$9997,8,FALSE),0)</f>
        <v/>
      </c>
      <c r="G1388" s="29">
        <f>VLOOKUP(A1388,Calendar!$A$1:$H$9997,6,FALSE)-F1388</f>
        <v/>
      </c>
      <c r="H1388" s="19" t="n">
        <v>1</v>
      </c>
      <c r="I1388" s="57" t="n">
        <v>10</v>
      </c>
    </row>
    <row r="1389">
      <c r="A1389" s="62" t="n">
        <v>46404</v>
      </c>
      <c r="B1389" s="3" t="inlineStr">
        <is>
          <t>Sun</t>
        </is>
      </c>
      <c r="C1389" s="19" t="n">
        <v>1</v>
      </c>
      <c r="D1389" s="19" t="n">
        <v>2027</v>
      </c>
      <c r="E1389" s="57" t="n">
        <v>2</v>
      </c>
      <c r="F1389" s="29">
        <f>ROUND(((SUMIFS(Calendar!$F$2:$F$9997,Calendar!$B$2:$B$9997,D1389,Calendar!$C$2:$C$9997,C1389)*INDEX(ForeCalc!$B$37:$Y$274,MATCH(_xlfn.CONCAT(H1389," ",I1389),ForeCalc!$A$37:$A$274,0),MATCH(_xlfn.CONCAT(B1389," ",E1389),ForeCalc!$B$36:$Y$36,0))))*VLOOKUP(A1389,Calendar!$A$2:$H$9997,8,FALSE),0)</f>
        <v/>
      </c>
      <c r="G1389" s="29">
        <f>VLOOKUP(A1389,Calendar!$A$1:$H$9997,6,FALSE)-F1389</f>
        <v/>
      </c>
      <c r="H1389" s="19" t="n">
        <v>1</v>
      </c>
      <c r="I1389" s="57" t="n">
        <v>10</v>
      </c>
    </row>
    <row r="1390">
      <c r="A1390" s="62" t="n">
        <v>46405</v>
      </c>
      <c r="B1390" s="3" t="inlineStr">
        <is>
          <t>Week</t>
        </is>
      </c>
      <c r="C1390" s="19" t="n">
        <v>1</v>
      </c>
      <c r="D1390" s="19" t="n">
        <v>2027</v>
      </c>
      <c r="E1390" s="57" t="n">
        <v>2</v>
      </c>
      <c r="F1390" s="29">
        <f>ROUND(((SUMIFS(Calendar!$F$2:$F$9997,Calendar!$B$2:$B$9997,D1390,Calendar!$C$2:$C$9997,C1390)*INDEX(ForeCalc!$B$37:$Y$274,MATCH(_xlfn.CONCAT(H1390," ",I1390),ForeCalc!$A$37:$A$274,0),MATCH(_xlfn.CONCAT(B1390," ",E1390),ForeCalc!$B$36:$Y$36,0))))*VLOOKUP(A1390,Calendar!$A$2:$H$9997,8,FALSE),0)</f>
        <v/>
      </c>
      <c r="G1390" s="29">
        <f>VLOOKUP(A1390,Calendar!$A$1:$H$9997,6,FALSE)-F1390</f>
        <v/>
      </c>
      <c r="H1390" s="19" t="n">
        <v>1</v>
      </c>
      <c r="I1390" s="57" t="n">
        <v>10</v>
      </c>
    </row>
    <row r="1391">
      <c r="A1391" s="62" t="n">
        <v>46406</v>
      </c>
      <c r="B1391" s="3" t="inlineStr">
        <is>
          <t>Week</t>
        </is>
      </c>
      <c r="C1391" s="19" t="n">
        <v>1</v>
      </c>
      <c r="D1391" s="19" t="n">
        <v>2027</v>
      </c>
      <c r="E1391" s="57" t="n">
        <v>2</v>
      </c>
      <c r="F1391" s="29">
        <f>ROUND(((SUMIFS(Calendar!$F$2:$F$9997,Calendar!$B$2:$B$9997,D1391,Calendar!$C$2:$C$9997,C1391)*INDEX(ForeCalc!$B$37:$Y$274,MATCH(_xlfn.CONCAT(H1391," ",I1391),ForeCalc!$A$37:$A$274,0),MATCH(_xlfn.CONCAT(B1391," ",E1391),ForeCalc!$B$36:$Y$36,0))))*VLOOKUP(A1391,Calendar!$A$2:$H$9997,8,FALSE),0)</f>
        <v/>
      </c>
      <c r="G1391" s="29">
        <f>VLOOKUP(A1391,Calendar!$A$1:$H$9997,6,FALSE)-F1391</f>
        <v/>
      </c>
      <c r="H1391" s="19" t="n">
        <v>1</v>
      </c>
      <c r="I1391" s="57" t="n">
        <v>10</v>
      </c>
    </row>
    <row r="1392">
      <c r="A1392" s="62" t="n">
        <v>46407</v>
      </c>
      <c r="B1392" s="3" t="inlineStr">
        <is>
          <t>Week</t>
        </is>
      </c>
      <c r="C1392" s="19" t="n">
        <v>1</v>
      </c>
      <c r="D1392" s="19" t="n">
        <v>2027</v>
      </c>
      <c r="E1392" s="57" t="n">
        <v>2</v>
      </c>
      <c r="F1392" s="29">
        <f>ROUND(((SUMIFS(Calendar!$F$2:$F$9997,Calendar!$B$2:$B$9997,D1392,Calendar!$C$2:$C$9997,C1392)*INDEX(ForeCalc!$B$37:$Y$274,MATCH(_xlfn.CONCAT(H1392," ",I1392),ForeCalc!$A$37:$A$274,0),MATCH(_xlfn.CONCAT(B1392," ",E1392),ForeCalc!$B$36:$Y$36,0))))*VLOOKUP(A1392,Calendar!$A$2:$H$9997,8,FALSE),0)</f>
        <v/>
      </c>
      <c r="G1392" s="29">
        <f>VLOOKUP(A1392,Calendar!$A$1:$H$9997,6,FALSE)-F1392</f>
        <v/>
      </c>
      <c r="H1392" s="19" t="n">
        <v>1</v>
      </c>
      <c r="I1392" s="57" t="n">
        <v>10</v>
      </c>
    </row>
    <row r="1393">
      <c r="A1393" s="62" t="n">
        <v>46408</v>
      </c>
      <c r="B1393" s="3" t="inlineStr">
        <is>
          <t>Week</t>
        </is>
      </c>
      <c r="C1393" s="19" t="n">
        <v>1</v>
      </c>
      <c r="D1393" s="19" t="n">
        <v>2027</v>
      </c>
      <c r="E1393" s="57" t="n">
        <v>2</v>
      </c>
      <c r="F1393" s="29">
        <f>ROUND(((SUMIFS(Calendar!$F$2:$F$9997,Calendar!$B$2:$B$9997,D1393,Calendar!$C$2:$C$9997,C1393)*INDEX(ForeCalc!$B$37:$Y$274,MATCH(_xlfn.CONCAT(H1393," ",I1393),ForeCalc!$A$37:$A$274,0),MATCH(_xlfn.CONCAT(B1393," ",E1393),ForeCalc!$B$36:$Y$36,0))))*VLOOKUP(A1393,Calendar!$A$2:$H$9997,8,FALSE),0)</f>
        <v/>
      </c>
      <c r="G1393" s="29">
        <f>VLOOKUP(A1393,Calendar!$A$1:$H$9997,6,FALSE)-F1393</f>
        <v/>
      </c>
      <c r="H1393" s="19" t="n">
        <v>1</v>
      </c>
      <c r="I1393" s="57" t="n">
        <v>10</v>
      </c>
    </row>
    <row r="1394">
      <c r="A1394" s="62" t="n">
        <v>46409</v>
      </c>
      <c r="B1394" s="3" t="inlineStr">
        <is>
          <t>Week</t>
        </is>
      </c>
      <c r="C1394" s="19" t="n">
        <v>1</v>
      </c>
      <c r="D1394" s="19" t="n">
        <v>2027</v>
      </c>
      <c r="E1394" s="57" t="n">
        <v>2</v>
      </c>
      <c r="F1394" s="29">
        <f>ROUND(((SUMIFS(Calendar!$F$2:$F$9997,Calendar!$B$2:$B$9997,D1394,Calendar!$C$2:$C$9997,C1394)*INDEX(ForeCalc!$B$37:$Y$274,MATCH(_xlfn.CONCAT(H1394," ",I1394),ForeCalc!$A$37:$A$274,0),MATCH(_xlfn.CONCAT(B1394," ",E1394),ForeCalc!$B$36:$Y$36,0))))*VLOOKUP(A1394,Calendar!$A$2:$H$9997,8,FALSE),0)</f>
        <v/>
      </c>
      <c r="G1394" s="29">
        <f>VLOOKUP(A1394,Calendar!$A$1:$H$9997,6,FALSE)-F1394</f>
        <v/>
      </c>
      <c r="H1394" s="19" t="n">
        <v>1</v>
      </c>
      <c r="I1394" s="57" t="n">
        <v>10</v>
      </c>
    </row>
    <row r="1395">
      <c r="A1395" s="62" t="n">
        <v>46410</v>
      </c>
      <c r="B1395" s="3" t="inlineStr">
        <is>
          <t>Sat</t>
        </is>
      </c>
      <c r="C1395" s="19" t="n">
        <v>1</v>
      </c>
      <c r="D1395" s="19" t="n">
        <v>2027</v>
      </c>
      <c r="E1395" s="57" t="n">
        <v>2</v>
      </c>
      <c r="F1395" s="29">
        <f>ROUND(((SUMIFS(Calendar!$F$2:$F$9997,Calendar!$B$2:$B$9997,D1395,Calendar!$C$2:$C$9997,C1395)*INDEX(ForeCalc!$B$37:$Y$274,MATCH(_xlfn.CONCAT(H1395," ",I1395),ForeCalc!$A$37:$A$274,0),MATCH(_xlfn.CONCAT(B1395," ",E1395),ForeCalc!$B$36:$Y$36,0))))*VLOOKUP(A1395,Calendar!$A$2:$H$9997,8,FALSE),0)</f>
        <v/>
      </c>
      <c r="G1395" s="29">
        <f>VLOOKUP(A1395,Calendar!$A$1:$H$9997,6,FALSE)-F1395</f>
        <v/>
      </c>
      <c r="H1395" s="19" t="n">
        <v>1</v>
      </c>
      <c r="I1395" s="57" t="n">
        <v>10</v>
      </c>
    </row>
    <row r="1396">
      <c r="A1396" s="62" t="n">
        <v>46411</v>
      </c>
      <c r="B1396" s="3" t="inlineStr">
        <is>
          <t>Sun</t>
        </is>
      </c>
      <c r="C1396" s="19" t="n">
        <v>1</v>
      </c>
      <c r="D1396" s="19" t="n">
        <v>2027</v>
      </c>
      <c r="E1396" s="57" t="n">
        <v>2</v>
      </c>
      <c r="F1396" s="29">
        <f>ROUND(((SUMIFS(Calendar!$F$2:$F$9997,Calendar!$B$2:$B$9997,D1396,Calendar!$C$2:$C$9997,C1396)*INDEX(ForeCalc!$B$37:$Y$274,MATCH(_xlfn.CONCAT(H1396," ",I1396),ForeCalc!$A$37:$A$274,0),MATCH(_xlfn.CONCAT(B1396," ",E1396),ForeCalc!$B$36:$Y$36,0))))*VLOOKUP(A1396,Calendar!$A$2:$H$9997,8,FALSE),0)</f>
        <v/>
      </c>
      <c r="G1396" s="29">
        <f>VLOOKUP(A1396,Calendar!$A$1:$H$9997,6,FALSE)-F1396</f>
        <v/>
      </c>
      <c r="H1396" s="19" t="n">
        <v>1</v>
      </c>
      <c r="I1396" s="57" t="n">
        <v>10</v>
      </c>
    </row>
    <row r="1397">
      <c r="A1397" s="62" t="n">
        <v>46412</v>
      </c>
      <c r="B1397" s="3" t="inlineStr">
        <is>
          <t>Week</t>
        </is>
      </c>
      <c r="C1397" s="19" t="n">
        <v>1</v>
      </c>
      <c r="D1397" s="19" t="n">
        <v>2027</v>
      </c>
      <c r="E1397" s="57" t="n">
        <v>2</v>
      </c>
      <c r="F1397" s="29">
        <f>ROUND(((SUMIFS(Calendar!$F$2:$F$9997,Calendar!$B$2:$B$9997,D1397,Calendar!$C$2:$C$9997,C1397)*INDEX(ForeCalc!$B$37:$Y$274,MATCH(_xlfn.CONCAT(H1397," ",I1397),ForeCalc!$A$37:$A$274,0),MATCH(_xlfn.CONCAT(B1397," ",E1397),ForeCalc!$B$36:$Y$36,0))))*VLOOKUP(A1397,Calendar!$A$2:$H$9997,8,FALSE),0)</f>
        <v/>
      </c>
      <c r="G1397" s="29">
        <f>VLOOKUP(A1397,Calendar!$A$1:$H$9997,6,FALSE)-F1397</f>
        <v/>
      </c>
      <c r="H1397" s="19" t="n">
        <v>1</v>
      </c>
      <c r="I1397" s="57" t="n">
        <v>10</v>
      </c>
    </row>
    <row r="1398">
      <c r="A1398" s="62" t="n">
        <v>46413</v>
      </c>
      <c r="B1398" s="3" t="inlineStr">
        <is>
          <t>Week</t>
        </is>
      </c>
      <c r="C1398" s="19" t="n">
        <v>1</v>
      </c>
      <c r="D1398" s="19" t="n">
        <v>2027</v>
      </c>
      <c r="E1398" s="57" t="n">
        <v>2</v>
      </c>
      <c r="F1398" s="29">
        <f>ROUND(((SUMIFS(Calendar!$F$2:$F$9997,Calendar!$B$2:$B$9997,D1398,Calendar!$C$2:$C$9997,C1398)*INDEX(ForeCalc!$B$37:$Y$274,MATCH(_xlfn.CONCAT(H1398," ",I1398),ForeCalc!$A$37:$A$274,0),MATCH(_xlfn.CONCAT(B1398," ",E1398),ForeCalc!$B$36:$Y$36,0))))*VLOOKUP(A1398,Calendar!$A$2:$H$9997,8,FALSE),0)</f>
        <v/>
      </c>
      <c r="G1398" s="29">
        <f>VLOOKUP(A1398,Calendar!$A$1:$H$9997,6,FALSE)-F1398</f>
        <v/>
      </c>
      <c r="H1398" s="19" t="n">
        <v>1</v>
      </c>
      <c r="I1398" s="57" t="n">
        <v>10</v>
      </c>
    </row>
    <row r="1399">
      <c r="A1399" s="62" t="n">
        <v>46414</v>
      </c>
      <c r="B1399" s="3" t="inlineStr">
        <is>
          <t>Week</t>
        </is>
      </c>
      <c r="C1399" s="19" t="n">
        <v>1</v>
      </c>
      <c r="D1399" s="19" t="n">
        <v>2027</v>
      </c>
      <c r="E1399" s="57" t="n">
        <v>2</v>
      </c>
      <c r="F1399" s="29">
        <f>ROUND(((SUMIFS(Calendar!$F$2:$F$9997,Calendar!$B$2:$B$9997,D1399,Calendar!$C$2:$C$9997,C1399)*INDEX(ForeCalc!$B$37:$Y$274,MATCH(_xlfn.CONCAT(H1399," ",I1399),ForeCalc!$A$37:$A$274,0),MATCH(_xlfn.CONCAT(B1399," ",E1399),ForeCalc!$B$36:$Y$36,0))))*VLOOKUP(A1399,Calendar!$A$2:$H$9997,8,FALSE),0)</f>
        <v/>
      </c>
      <c r="G1399" s="29">
        <f>VLOOKUP(A1399,Calendar!$A$1:$H$9997,6,FALSE)-F1399</f>
        <v/>
      </c>
      <c r="H1399" s="19" t="n">
        <v>1</v>
      </c>
      <c r="I1399" s="57" t="n">
        <v>10</v>
      </c>
    </row>
    <row r="1400">
      <c r="A1400" s="62" t="n">
        <v>46415</v>
      </c>
      <c r="B1400" s="3" t="inlineStr">
        <is>
          <t>Week</t>
        </is>
      </c>
      <c r="C1400" s="19" t="n">
        <v>1</v>
      </c>
      <c r="D1400" s="19" t="n">
        <v>2027</v>
      </c>
      <c r="E1400" s="57" t="n">
        <v>2</v>
      </c>
      <c r="F1400" s="29">
        <f>ROUND(((SUMIFS(Calendar!$F$2:$F$9997,Calendar!$B$2:$B$9997,D1400,Calendar!$C$2:$C$9997,C1400)*INDEX(ForeCalc!$B$37:$Y$274,MATCH(_xlfn.CONCAT(H1400," ",I1400),ForeCalc!$A$37:$A$274,0),MATCH(_xlfn.CONCAT(B1400," ",E1400),ForeCalc!$B$36:$Y$36,0))))*VLOOKUP(A1400,Calendar!$A$2:$H$9997,8,FALSE),0)</f>
        <v/>
      </c>
      <c r="G1400" s="29">
        <f>VLOOKUP(A1400,Calendar!$A$1:$H$9997,6,FALSE)-F1400</f>
        <v/>
      </c>
      <c r="H1400" s="19" t="n">
        <v>1</v>
      </c>
      <c r="I1400" s="57" t="n">
        <v>10</v>
      </c>
    </row>
    <row r="1401">
      <c r="A1401" s="62" t="n">
        <v>46416</v>
      </c>
      <c r="B1401" s="3" t="inlineStr">
        <is>
          <t>Week</t>
        </is>
      </c>
      <c r="C1401" s="19" t="n">
        <v>1</v>
      </c>
      <c r="D1401" s="19" t="n">
        <v>2027</v>
      </c>
      <c r="E1401" s="57" t="n">
        <v>2</v>
      </c>
      <c r="F1401" s="29">
        <f>ROUND(((SUMIFS(Calendar!$F$2:$F$9997,Calendar!$B$2:$B$9997,D1401,Calendar!$C$2:$C$9997,C1401)*INDEX(ForeCalc!$B$37:$Y$274,MATCH(_xlfn.CONCAT(H1401," ",I1401),ForeCalc!$A$37:$A$274,0),MATCH(_xlfn.CONCAT(B1401," ",E1401),ForeCalc!$B$36:$Y$36,0))))*VLOOKUP(A1401,Calendar!$A$2:$H$9997,8,FALSE),0)</f>
        <v/>
      </c>
      <c r="G1401" s="29">
        <f>VLOOKUP(A1401,Calendar!$A$1:$H$9997,6,FALSE)-F1401</f>
        <v/>
      </c>
      <c r="H1401" s="19" t="n">
        <v>1</v>
      </c>
      <c r="I1401" s="57" t="n">
        <v>10</v>
      </c>
    </row>
    <row r="1402">
      <c r="A1402" s="62" t="n">
        <v>46417</v>
      </c>
      <c r="B1402" s="3" t="inlineStr">
        <is>
          <t>Sat</t>
        </is>
      </c>
      <c r="C1402" s="19" t="n">
        <v>1</v>
      </c>
      <c r="D1402" s="19" t="n">
        <v>2027</v>
      </c>
      <c r="E1402" s="57" t="n">
        <v>2</v>
      </c>
      <c r="F1402" s="29">
        <f>ROUND(((SUMIFS(Calendar!$F$2:$F$9997,Calendar!$B$2:$B$9997,D1402,Calendar!$C$2:$C$9997,C1402)*INDEX(ForeCalc!$B$37:$Y$274,MATCH(_xlfn.CONCAT(H1402," ",I1402),ForeCalc!$A$37:$A$274,0),MATCH(_xlfn.CONCAT(B1402," ",E1402),ForeCalc!$B$36:$Y$36,0))))*VLOOKUP(A1402,Calendar!$A$2:$H$9997,8,FALSE),0)</f>
        <v/>
      </c>
      <c r="G1402" s="29">
        <f>VLOOKUP(A1402,Calendar!$A$1:$H$9997,6,FALSE)-F1402</f>
        <v/>
      </c>
      <c r="H1402" s="19" t="n">
        <v>1</v>
      </c>
      <c r="I1402" s="57" t="n">
        <v>10</v>
      </c>
    </row>
    <row r="1403">
      <c r="A1403" s="62" t="n">
        <v>46418</v>
      </c>
      <c r="B1403" s="3" t="inlineStr">
        <is>
          <t>Sun</t>
        </is>
      </c>
      <c r="C1403" s="19" t="n">
        <v>1</v>
      </c>
      <c r="D1403" s="19" t="n">
        <v>2027</v>
      </c>
      <c r="E1403" s="57" t="n">
        <v>2</v>
      </c>
      <c r="F1403" s="29">
        <f>ROUND(((SUMIFS(Calendar!$F$2:$F$9997,Calendar!$B$2:$B$9997,D1403,Calendar!$C$2:$C$9997,C1403)*INDEX(ForeCalc!$B$37:$Y$274,MATCH(_xlfn.CONCAT(H1403," ",I1403),ForeCalc!$A$37:$A$274,0),MATCH(_xlfn.CONCAT(B1403," ",E1403),ForeCalc!$B$36:$Y$36,0))))*VLOOKUP(A1403,Calendar!$A$2:$H$9997,8,FALSE),0)</f>
        <v/>
      </c>
      <c r="G1403" s="29">
        <f>VLOOKUP(A1403,Calendar!$A$1:$H$9997,6,FALSE)-F1403</f>
        <v/>
      </c>
      <c r="H1403" s="19" t="n">
        <v>1</v>
      </c>
      <c r="I1403" s="57" t="n">
        <v>10</v>
      </c>
    </row>
    <row r="1404">
      <c r="A1404" s="62" t="n">
        <v>46419</v>
      </c>
      <c r="B1404" s="3" t="inlineStr">
        <is>
          <t>Week</t>
        </is>
      </c>
      <c r="C1404" s="19" t="n">
        <v>2</v>
      </c>
      <c r="D1404" s="19" t="n">
        <v>2027</v>
      </c>
      <c r="E1404" s="57" t="n">
        <v>2</v>
      </c>
      <c r="F1404" s="29">
        <f>ROUND(((SUMIFS(Calendar!$F$2:$F$9997,Calendar!$B$2:$B$9997,D1404,Calendar!$C$2:$C$9997,C1404)*INDEX(ForeCalc!$B$37:$Y$274,MATCH(_xlfn.CONCAT(H1404," ",I1404),ForeCalc!$A$37:$A$274,0),MATCH(_xlfn.CONCAT(B1404," ",E1404),ForeCalc!$B$36:$Y$36,0))))*VLOOKUP(A1404,Calendar!$A$2:$H$9997,8,FALSE),0)</f>
        <v/>
      </c>
      <c r="G1404" s="29">
        <f>VLOOKUP(A1404,Calendar!$A$1:$H$9997,6,FALSE)-F1404</f>
        <v/>
      </c>
      <c r="H1404" s="19" t="n">
        <v>1</v>
      </c>
      <c r="I1404" s="57" t="n">
        <v>11</v>
      </c>
    </row>
    <row r="1405">
      <c r="A1405" s="62" t="n">
        <v>46420</v>
      </c>
      <c r="B1405" s="3" t="inlineStr">
        <is>
          <t>Week</t>
        </is>
      </c>
      <c r="C1405" s="19" t="n">
        <v>2</v>
      </c>
      <c r="D1405" s="19" t="n">
        <v>2027</v>
      </c>
      <c r="E1405" s="57" t="n">
        <v>2</v>
      </c>
      <c r="F1405" s="29">
        <f>ROUND(((SUMIFS(Calendar!$F$2:$F$9997,Calendar!$B$2:$B$9997,D1405,Calendar!$C$2:$C$9997,C1405)*INDEX(ForeCalc!$B$37:$Y$274,MATCH(_xlfn.CONCAT(H1405," ",I1405),ForeCalc!$A$37:$A$274,0),MATCH(_xlfn.CONCAT(B1405," ",E1405),ForeCalc!$B$36:$Y$36,0))))*VLOOKUP(A1405,Calendar!$A$2:$H$9997,8,FALSE),0)</f>
        <v/>
      </c>
      <c r="G1405" s="29">
        <f>VLOOKUP(A1405,Calendar!$A$1:$H$9997,6,FALSE)-F1405</f>
        <v/>
      </c>
      <c r="H1405" s="19" t="n">
        <v>1</v>
      </c>
      <c r="I1405" s="57" t="n">
        <v>11</v>
      </c>
    </row>
    <row r="1406">
      <c r="A1406" s="62" t="n">
        <v>46421</v>
      </c>
      <c r="B1406" s="3" t="inlineStr">
        <is>
          <t>Week</t>
        </is>
      </c>
      <c r="C1406" s="19" t="n">
        <v>2</v>
      </c>
      <c r="D1406" s="19" t="n">
        <v>2027</v>
      </c>
      <c r="E1406" s="57" t="n">
        <v>2</v>
      </c>
      <c r="F1406" s="29">
        <f>ROUND(((SUMIFS(Calendar!$F$2:$F$9997,Calendar!$B$2:$B$9997,D1406,Calendar!$C$2:$C$9997,C1406)*INDEX(ForeCalc!$B$37:$Y$274,MATCH(_xlfn.CONCAT(H1406," ",I1406),ForeCalc!$A$37:$A$274,0),MATCH(_xlfn.CONCAT(B1406," ",E1406),ForeCalc!$B$36:$Y$36,0))))*VLOOKUP(A1406,Calendar!$A$2:$H$9997,8,FALSE),0)</f>
        <v/>
      </c>
      <c r="G1406" s="29">
        <f>VLOOKUP(A1406,Calendar!$A$1:$H$9997,6,FALSE)-F1406</f>
        <v/>
      </c>
      <c r="H1406" s="19" t="n">
        <v>1</v>
      </c>
      <c r="I1406" s="57" t="n">
        <v>11</v>
      </c>
    </row>
    <row r="1407">
      <c r="A1407" s="62" t="n">
        <v>46422</v>
      </c>
      <c r="B1407" s="3" t="inlineStr">
        <is>
          <t>Week</t>
        </is>
      </c>
      <c r="C1407" s="19" t="n">
        <v>2</v>
      </c>
      <c r="D1407" s="19" t="n">
        <v>2027</v>
      </c>
      <c r="E1407" s="57" t="n">
        <v>2</v>
      </c>
      <c r="F1407" s="29">
        <f>ROUND(((SUMIFS(Calendar!$F$2:$F$9997,Calendar!$B$2:$B$9997,D1407,Calendar!$C$2:$C$9997,C1407)*INDEX(ForeCalc!$B$37:$Y$274,MATCH(_xlfn.CONCAT(H1407," ",I1407),ForeCalc!$A$37:$A$274,0),MATCH(_xlfn.CONCAT(B1407," ",E1407),ForeCalc!$B$36:$Y$36,0))))*VLOOKUP(A1407,Calendar!$A$2:$H$9997,8,FALSE),0)</f>
        <v/>
      </c>
      <c r="G1407" s="29">
        <f>VLOOKUP(A1407,Calendar!$A$1:$H$9997,6,FALSE)-F1407</f>
        <v/>
      </c>
      <c r="H1407" s="19" t="n">
        <v>1</v>
      </c>
      <c r="I1407" s="57" t="n">
        <v>11</v>
      </c>
    </row>
    <row r="1408">
      <c r="A1408" s="62" t="n">
        <v>46423</v>
      </c>
      <c r="B1408" s="3" t="inlineStr">
        <is>
          <t>Week</t>
        </is>
      </c>
      <c r="C1408" s="19" t="n">
        <v>2</v>
      </c>
      <c r="D1408" s="19" t="n">
        <v>2027</v>
      </c>
      <c r="E1408" s="57" t="n">
        <v>2</v>
      </c>
      <c r="F1408" s="29">
        <f>ROUND(((SUMIFS(Calendar!$F$2:$F$9997,Calendar!$B$2:$B$9997,D1408,Calendar!$C$2:$C$9997,C1408)*INDEX(ForeCalc!$B$37:$Y$274,MATCH(_xlfn.CONCAT(H1408," ",I1408),ForeCalc!$A$37:$A$274,0),MATCH(_xlfn.CONCAT(B1408," ",E1408),ForeCalc!$B$36:$Y$36,0))))*VLOOKUP(A1408,Calendar!$A$2:$H$9997,8,FALSE),0)</f>
        <v/>
      </c>
      <c r="G1408" s="29">
        <f>VLOOKUP(A1408,Calendar!$A$1:$H$9997,6,FALSE)-F1408</f>
        <v/>
      </c>
      <c r="H1408" s="19" t="n">
        <v>1</v>
      </c>
      <c r="I1408" s="57" t="n">
        <v>11</v>
      </c>
    </row>
    <row r="1409">
      <c r="A1409" s="62" t="n">
        <v>46424</v>
      </c>
      <c r="B1409" s="3" t="inlineStr">
        <is>
          <t>Sat</t>
        </is>
      </c>
      <c r="C1409" s="19" t="n">
        <v>2</v>
      </c>
      <c r="D1409" s="19" t="n">
        <v>2027</v>
      </c>
      <c r="E1409" s="57" t="n">
        <v>2</v>
      </c>
      <c r="F1409" s="29">
        <f>ROUND(((SUMIFS(Calendar!$F$2:$F$9997,Calendar!$B$2:$B$9997,D1409,Calendar!$C$2:$C$9997,C1409)*INDEX(ForeCalc!$B$37:$Y$274,MATCH(_xlfn.CONCAT(H1409," ",I1409),ForeCalc!$A$37:$A$274,0),MATCH(_xlfn.CONCAT(B1409," ",E1409),ForeCalc!$B$36:$Y$36,0))))*VLOOKUP(A1409,Calendar!$A$2:$H$9997,8,FALSE),0)</f>
        <v/>
      </c>
      <c r="G1409" s="29">
        <f>VLOOKUP(A1409,Calendar!$A$1:$H$9997,6,FALSE)-F1409</f>
        <v/>
      </c>
      <c r="H1409" s="19" t="n">
        <v>1</v>
      </c>
      <c r="I1409" s="57" t="n">
        <v>11</v>
      </c>
    </row>
    <row r="1410">
      <c r="A1410" s="62" t="n">
        <v>46425</v>
      </c>
      <c r="B1410" s="3" t="inlineStr">
        <is>
          <t>Sun</t>
        </is>
      </c>
      <c r="C1410" s="19" t="n">
        <v>2</v>
      </c>
      <c r="D1410" s="19" t="n">
        <v>2027</v>
      </c>
      <c r="E1410" s="57" t="n">
        <v>2</v>
      </c>
      <c r="F1410" s="29">
        <f>ROUND(((SUMIFS(Calendar!$F$2:$F$9997,Calendar!$B$2:$B$9997,D1410,Calendar!$C$2:$C$9997,C1410)*INDEX(ForeCalc!$B$37:$Y$274,MATCH(_xlfn.CONCAT(H1410," ",I1410),ForeCalc!$A$37:$A$274,0),MATCH(_xlfn.CONCAT(B1410," ",E1410),ForeCalc!$B$36:$Y$36,0))))*VLOOKUP(A1410,Calendar!$A$2:$H$9997,8,FALSE),0)</f>
        <v/>
      </c>
      <c r="G1410" s="29">
        <f>VLOOKUP(A1410,Calendar!$A$1:$H$9997,6,FALSE)-F1410</f>
        <v/>
      </c>
      <c r="H1410" s="19" t="n">
        <v>1</v>
      </c>
      <c r="I1410" s="57" t="n">
        <v>11</v>
      </c>
    </row>
    <row r="1411">
      <c r="A1411" s="62" t="n">
        <v>46426</v>
      </c>
      <c r="B1411" s="3" t="inlineStr">
        <is>
          <t>Week</t>
        </is>
      </c>
      <c r="C1411" s="19" t="n">
        <v>2</v>
      </c>
      <c r="D1411" s="19" t="n">
        <v>2027</v>
      </c>
      <c r="E1411" s="57" t="n">
        <v>2</v>
      </c>
      <c r="F1411" s="29">
        <f>ROUND(((SUMIFS(Calendar!$F$2:$F$9997,Calendar!$B$2:$B$9997,D1411,Calendar!$C$2:$C$9997,C1411)*INDEX(ForeCalc!$B$37:$Y$274,MATCH(_xlfn.CONCAT(H1411," ",I1411),ForeCalc!$A$37:$A$274,0),MATCH(_xlfn.CONCAT(B1411," ",E1411),ForeCalc!$B$36:$Y$36,0))))*VLOOKUP(A1411,Calendar!$A$2:$H$9997,8,FALSE),0)</f>
        <v/>
      </c>
      <c r="G1411" s="29">
        <f>VLOOKUP(A1411,Calendar!$A$1:$H$9997,6,FALSE)-F1411</f>
        <v/>
      </c>
      <c r="H1411" s="19" t="n">
        <v>1</v>
      </c>
      <c r="I1411" s="57" t="n">
        <v>11</v>
      </c>
    </row>
    <row r="1412">
      <c r="A1412" s="62" t="n">
        <v>46427</v>
      </c>
      <c r="B1412" s="3" t="inlineStr">
        <is>
          <t>Week</t>
        </is>
      </c>
      <c r="C1412" s="19" t="n">
        <v>2</v>
      </c>
      <c r="D1412" s="19" t="n">
        <v>2027</v>
      </c>
      <c r="E1412" s="57" t="n">
        <v>2</v>
      </c>
      <c r="F1412" s="29">
        <f>ROUND(((SUMIFS(Calendar!$F$2:$F$9997,Calendar!$B$2:$B$9997,D1412,Calendar!$C$2:$C$9997,C1412)*INDEX(ForeCalc!$B$37:$Y$274,MATCH(_xlfn.CONCAT(H1412," ",I1412),ForeCalc!$A$37:$A$274,0),MATCH(_xlfn.CONCAT(B1412," ",E1412),ForeCalc!$B$36:$Y$36,0))))*VLOOKUP(A1412,Calendar!$A$2:$H$9997,8,FALSE),0)</f>
        <v/>
      </c>
      <c r="G1412" s="29">
        <f>VLOOKUP(A1412,Calendar!$A$1:$H$9997,6,FALSE)-F1412</f>
        <v/>
      </c>
      <c r="H1412" s="19" t="n">
        <v>1</v>
      </c>
      <c r="I1412" s="57" t="n">
        <v>11</v>
      </c>
    </row>
    <row r="1413">
      <c r="A1413" s="62" t="n">
        <v>46428</v>
      </c>
      <c r="B1413" s="3" t="inlineStr">
        <is>
          <t>Week</t>
        </is>
      </c>
      <c r="C1413" s="19" t="n">
        <v>2</v>
      </c>
      <c r="D1413" s="19" t="n">
        <v>2027</v>
      </c>
      <c r="E1413" s="57" t="n">
        <v>2</v>
      </c>
      <c r="F1413" s="29">
        <f>ROUND(((SUMIFS(Calendar!$F$2:$F$9997,Calendar!$B$2:$B$9997,D1413,Calendar!$C$2:$C$9997,C1413)*INDEX(ForeCalc!$B$37:$Y$274,MATCH(_xlfn.CONCAT(H1413," ",I1413),ForeCalc!$A$37:$A$274,0),MATCH(_xlfn.CONCAT(B1413," ",E1413),ForeCalc!$B$36:$Y$36,0))))*VLOOKUP(A1413,Calendar!$A$2:$H$9997,8,FALSE),0)</f>
        <v/>
      </c>
      <c r="G1413" s="29">
        <f>VLOOKUP(A1413,Calendar!$A$1:$H$9997,6,FALSE)-F1413</f>
        <v/>
      </c>
      <c r="H1413" s="19" t="n">
        <v>1</v>
      </c>
      <c r="I1413" s="57" t="n">
        <v>11</v>
      </c>
    </row>
    <row r="1414">
      <c r="A1414" s="62" t="n">
        <v>46429</v>
      </c>
      <c r="B1414" s="3" t="inlineStr">
        <is>
          <t>Week</t>
        </is>
      </c>
      <c r="C1414" s="19" t="n">
        <v>2</v>
      </c>
      <c r="D1414" s="19" t="n">
        <v>2027</v>
      </c>
      <c r="E1414" s="57" t="n">
        <v>2</v>
      </c>
      <c r="F1414" s="29">
        <f>ROUND(((SUMIFS(Calendar!$F$2:$F$9997,Calendar!$B$2:$B$9997,D1414,Calendar!$C$2:$C$9997,C1414)*INDEX(ForeCalc!$B$37:$Y$274,MATCH(_xlfn.CONCAT(H1414," ",I1414),ForeCalc!$A$37:$A$274,0),MATCH(_xlfn.CONCAT(B1414," ",E1414),ForeCalc!$B$36:$Y$36,0))))*VLOOKUP(A1414,Calendar!$A$2:$H$9997,8,FALSE),0)</f>
        <v/>
      </c>
      <c r="G1414" s="29">
        <f>VLOOKUP(A1414,Calendar!$A$1:$H$9997,6,FALSE)-F1414</f>
        <v/>
      </c>
      <c r="H1414" s="19" t="n">
        <v>1</v>
      </c>
      <c r="I1414" s="57" t="n">
        <v>11</v>
      </c>
    </row>
    <row r="1415">
      <c r="A1415" s="62" t="n">
        <v>46430</v>
      </c>
      <c r="B1415" s="3" t="inlineStr">
        <is>
          <t>Week</t>
        </is>
      </c>
      <c r="C1415" s="19" t="n">
        <v>2</v>
      </c>
      <c r="D1415" s="19" t="n">
        <v>2027</v>
      </c>
      <c r="E1415" s="57" t="n">
        <v>2</v>
      </c>
      <c r="F1415" s="29">
        <f>ROUND(((SUMIFS(Calendar!$F$2:$F$9997,Calendar!$B$2:$B$9997,D1415,Calendar!$C$2:$C$9997,C1415)*INDEX(ForeCalc!$B$37:$Y$274,MATCH(_xlfn.CONCAT(H1415," ",I1415),ForeCalc!$A$37:$A$274,0),MATCH(_xlfn.CONCAT(B1415," ",E1415),ForeCalc!$B$36:$Y$36,0))))*VLOOKUP(A1415,Calendar!$A$2:$H$9997,8,FALSE),0)</f>
        <v/>
      </c>
      <c r="G1415" s="29">
        <f>VLOOKUP(A1415,Calendar!$A$1:$H$9997,6,FALSE)-F1415</f>
        <v/>
      </c>
      <c r="H1415" s="19" t="n">
        <v>1</v>
      </c>
      <c r="I1415" s="57" t="n">
        <v>11</v>
      </c>
    </row>
    <row r="1416">
      <c r="A1416" s="62" t="n">
        <v>46431</v>
      </c>
      <c r="B1416" s="3" t="inlineStr">
        <is>
          <t>Sat</t>
        </is>
      </c>
      <c r="C1416" s="19" t="n">
        <v>2</v>
      </c>
      <c r="D1416" s="19" t="n">
        <v>2027</v>
      </c>
      <c r="E1416" s="57" t="n">
        <v>2</v>
      </c>
      <c r="F1416" s="29">
        <f>ROUND(((SUMIFS(Calendar!$F$2:$F$9997,Calendar!$B$2:$B$9997,D1416,Calendar!$C$2:$C$9997,C1416)*INDEX(ForeCalc!$B$37:$Y$274,MATCH(_xlfn.CONCAT(H1416," ",I1416),ForeCalc!$A$37:$A$274,0),MATCH(_xlfn.CONCAT(B1416," ",E1416),ForeCalc!$B$36:$Y$36,0))))*VLOOKUP(A1416,Calendar!$A$2:$H$9997,8,FALSE),0)</f>
        <v/>
      </c>
      <c r="G1416" s="29">
        <f>VLOOKUP(A1416,Calendar!$A$1:$H$9997,6,FALSE)-F1416</f>
        <v/>
      </c>
      <c r="H1416" s="19" t="n">
        <v>1</v>
      </c>
      <c r="I1416" s="57" t="n">
        <v>11</v>
      </c>
    </row>
    <row r="1417">
      <c r="A1417" s="62" t="n">
        <v>46432</v>
      </c>
      <c r="B1417" s="3" t="inlineStr">
        <is>
          <t>Sun</t>
        </is>
      </c>
      <c r="C1417" s="19" t="n">
        <v>2</v>
      </c>
      <c r="D1417" s="19" t="n">
        <v>2027</v>
      </c>
      <c r="E1417" s="57" t="n">
        <v>2</v>
      </c>
      <c r="F1417" s="29">
        <f>ROUND(((SUMIFS(Calendar!$F$2:$F$9997,Calendar!$B$2:$B$9997,D1417,Calendar!$C$2:$C$9997,C1417)*INDEX(ForeCalc!$B$37:$Y$274,MATCH(_xlfn.CONCAT(H1417," ",I1417),ForeCalc!$A$37:$A$274,0),MATCH(_xlfn.CONCAT(B1417," ",E1417),ForeCalc!$B$36:$Y$36,0))))*VLOOKUP(A1417,Calendar!$A$2:$H$9997,8,FALSE),0)</f>
        <v/>
      </c>
      <c r="G1417" s="29">
        <f>VLOOKUP(A1417,Calendar!$A$1:$H$9997,6,FALSE)-F1417</f>
        <v/>
      </c>
      <c r="H1417" s="19" t="n">
        <v>1</v>
      </c>
      <c r="I1417" s="57" t="n">
        <v>11</v>
      </c>
    </row>
    <row r="1418">
      <c r="A1418" s="62" t="n">
        <v>46433</v>
      </c>
      <c r="B1418" s="3" t="inlineStr">
        <is>
          <t>Week</t>
        </is>
      </c>
      <c r="C1418" s="19" t="n">
        <v>2</v>
      </c>
      <c r="D1418" s="19" t="n">
        <v>2027</v>
      </c>
      <c r="E1418" s="57" t="n">
        <v>2</v>
      </c>
      <c r="F1418" s="29">
        <f>ROUND(((SUMIFS(Calendar!$F$2:$F$9997,Calendar!$B$2:$B$9997,D1418,Calendar!$C$2:$C$9997,C1418)*INDEX(ForeCalc!$B$37:$Y$274,MATCH(_xlfn.CONCAT(H1418," ",I1418),ForeCalc!$A$37:$A$274,0),MATCH(_xlfn.CONCAT(B1418," ",E1418),ForeCalc!$B$36:$Y$36,0))))*VLOOKUP(A1418,Calendar!$A$2:$H$9997,8,FALSE),0)</f>
        <v/>
      </c>
      <c r="G1418" s="29">
        <f>VLOOKUP(A1418,Calendar!$A$1:$H$9997,6,FALSE)-F1418</f>
        <v/>
      </c>
      <c r="H1418" s="19" t="n">
        <v>1</v>
      </c>
      <c r="I1418" s="57" t="n">
        <v>11</v>
      </c>
    </row>
    <row r="1419">
      <c r="A1419" s="62" t="n">
        <v>46434</v>
      </c>
      <c r="B1419" s="3" t="inlineStr">
        <is>
          <t>Week</t>
        </is>
      </c>
      <c r="C1419" s="19" t="n">
        <v>2</v>
      </c>
      <c r="D1419" s="19" t="n">
        <v>2027</v>
      </c>
      <c r="E1419" s="57" t="n">
        <v>2</v>
      </c>
      <c r="F1419" s="29">
        <f>ROUND(((SUMIFS(Calendar!$F$2:$F$9997,Calendar!$B$2:$B$9997,D1419,Calendar!$C$2:$C$9997,C1419)*INDEX(ForeCalc!$B$37:$Y$274,MATCH(_xlfn.CONCAT(H1419," ",I1419),ForeCalc!$A$37:$A$274,0),MATCH(_xlfn.CONCAT(B1419," ",E1419),ForeCalc!$B$36:$Y$36,0))))*VLOOKUP(A1419,Calendar!$A$2:$H$9997,8,FALSE),0)</f>
        <v/>
      </c>
      <c r="G1419" s="29">
        <f>VLOOKUP(A1419,Calendar!$A$1:$H$9997,6,FALSE)-F1419</f>
        <v/>
      </c>
      <c r="H1419" s="19" t="n">
        <v>1</v>
      </c>
      <c r="I1419" s="57" t="n">
        <v>11</v>
      </c>
    </row>
    <row r="1420">
      <c r="A1420" s="62" t="n">
        <v>46435</v>
      </c>
      <c r="B1420" s="3" t="inlineStr">
        <is>
          <t>Week</t>
        </is>
      </c>
      <c r="C1420" s="19" t="n">
        <v>2</v>
      </c>
      <c r="D1420" s="19" t="n">
        <v>2027</v>
      </c>
      <c r="E1420" s="57" t="n">
        <v>2</v>
      </c>
      <c r="F1420" s="29">
        <f>ROUND(((SUMIFS(Calendar!$F$2:$F$9997,Calendar!$B$2:$B$9997,D1420,Calendar!$C$2:$C$9997,C1420)*INDEX(ForeCalc!$B$37:$Y$274,MATCH(_xlfn.CONCAT(H1420," ",I1420),ForeCalc!$A$37:$A$274,0),MATCH(_xlfn.CONCAT(B1420," ",E1420),ForeCalc!$B$36:$Y$36,0))))*VLOOKUP(A1420,Calendar!$A$2:$H$9997,8,FALSE),0)</f>
        <v/>
      </c>
      <c r="G1420" s="29">
        <f>VLOOKUP(A1420,Calendar!$A$1:$H$9997,6,FALSE)-F1420</f>
        <v/>
      </c>
      <c r="H1420" s="19" t="n">
        <v>1</v>
      </c>
      <c r="I1420" s="57" t="n">
        <v>11</v>
      </c>
    </row>
    <row r="1421">
      <c r="A1421" s="62" t="n">
        <v>46436</v>
      </c>
      <c r="B1421" s="3" t="inlineStr">
        <is>
          <t>Week</t>
        </is>
      </c>
      <c r="C1421" s="19" t="n">
        <v>2</v>
      </c>
      <c r="D1421" s="19" t="n">
        <v>2027</v>
      </c>
      <c r="E1421" s="57" t="n">
        <v>2</v>
      </c>
      <c r="F1421" s="29">
        <f>ROUND(((SUMIFS(Calendar!$F$2:$F$9997,Calendar!$B$2:$B$9997,D1421,Calendar!$C$2:$C$9997,C1421)*INDEX(ForeCalc!$B$37:$Y$274,MATCH(_xlfn.CONCAT(H1421," ",I1421),ForeCalc!$A$37:$A$274,0),MATCH(_xlfn.CONCAT(B1421," ",E1421),ForeCalc!$B$36:$Y$36,0))))*VLOOKUP(A1421,Calendar!$A$2:$H$9997,8,FALSE),0)</f>
        <v/>
      </c>
      <c r="G1421" s="29">
        <f>VLOOKUP(A1421,Calendar!$A$1:$H$9997,6,FALSE)-F1421</f>
        <v/>
      </c>
      <c r="H1421" s="19" t="n">
        <v>1</v>
      </c>
      <c r="I1421" s="57" t="n">
        <v>11</v>
      </c>
    </row>
    <row r="1422">
      <c r="A1422" s="62" t="n">
        <v>46437</v>
      </c>
      <c r="B1422" s="3" t="inlineStr">
        <is>
          <t>Week</t>
        </is>
      </c>
      <c r="C1422" s="19" t="n">
        <v>2</v>
      </c>
      <c r="D1422" s="19" t="n">
        <v>2027</v>
      </c>
      <c r="E1422" s="57" t="n">
        <v>2</v>
      </c>
      <c r="F1422" s="29">
        <f>ROUND(((SUMIFS(Calendar!$F$2:$F$9997,Calendar!$B$2:$B$9997,D1422,Calendar!$C$2:$C$9997,C1422)*INDEX(ForeCalc!$B$37:$Y$274,MATCH(_xlfn.CONCAT(H1422," ",I1422),ForeCalc!$A$37:$A$274,0),MATCH(_xlfn.CONCAT(B1422," ",E1422),ForeCalc!$B$36:$Y$36,0))))*VLOOKUP(A1422,Calendar!$A$2:$H$9997,8,FALSE),0)</f>
        <v/>
      </c>
      <c r="G1422" s="29">
        <f>VLOOKUP(A1422,Calendar!$A$1:$H$9997,6,FALSE)-F1422</f>
        <v/>
      </c>
      <c r="H1422" s="19" t="n">
        <v>1</v>
      </c>
      <c r="I1422" s="57" t="n">
        <v>11</v>
      </c>
    </row>
    <row r="1423">
      <c r="A1423" s="62" t="n">
        <v>46438</v>
      </c>
      <c r="B1423" s="3" t="inlineStr">
        <is>
          <t>Sat</t>
        </is>
      </c>
      <c r="C1423" s="19" t="n">
        <v>2</v>
      </c>
      <c r="D1423" s="19" t="n">
        <v>2027</v>
      </c>
      <c r="E1423" s="57" t="n">
        <v>2</v>
      </c>
      <c r="F1423" s="29">
        <f>ROUND(((SUMIFS(Calendar!$F$2:$F$9997,Calendar!$B$2:$B$9997,D1423,Calendar!$C$2:$C$9997,C1423)*INDEX(ForeCalc!$B$37:$Y$274,MATCH(_xlfn.CONCAT(H1423," ",I1423),ForeCalc!$A$37:$A$274,0),MATCH(_xlfn.CONCAT(B1423," ",E1423),ForeCalc!$B$36:$Y$36,0))))*VLOOKUP(A1423,Calendar!$A$2:$H$9997,8,FALSE),0)</f>
        <v/>
      </c>
      <c r="G1423" s="29">
        <f>VLOOKUP(A1423,Calendar!$A$1:$H$9997,6,FALSE)-F1423</f>
        <v/>
      </c>
      <c r="H1423" s="19" t="n">
        <v>1</v>
      </c>
      <c r="I1423" s="57" t="n">
        <v>11</v>
      </c>
    </row>
    <row r="1424">
      <c r="A1424" s="62" t="n">
        <v>46439</v>
      </c>
      <c r="B1424" s="3" t="inlineStr">
        <is>
          <t>Sun</t>
        </is>
      </c>
      <c r="C1424" s="19" t="n">
        <v>2</v>
      </c>
      <c r="D1424" s="19" t="n">
        <v>2027</v>
      </c>
      <c r="E1424" s="57" t="n">
        <v>2</v>
      </c>
      <c r="F1424" s="29">
        <f>ROUND(((SUMIFS(Calendar!$F$2:$F$9997,Calendar!$B$2:$B$9997,D1424,Calendar!$C$2:$C$9997,C1424)*INDEX(ForeCalc!$B$37:$Y$274,MATCH(_xlfn.CONCAT(H1424," ",I1424),ForeCalc!$A$37:$A$274,0),MATCH(_xlfn.CONCAT(B1424," ",E1424),ForeCalc!$B$36:$Y$36,0))))*VLOOKUP(A1424,Calendar!$A$2:$H$9997,8,FALSE),0)</f>
        <v/>
      </c>
      <c r="G1424" s="29">
        <f>VLOOKUP(A1424,Calendar!$A$1:$H$9997,6,FALSE)-F1424</f>
        <v/>
      </c>
      <c r="H1424" s="19" t="n">
        <v>1</v>
      </c>
      <c r="I1424" s="57" t="n">
        <v>11</v>
      </c>
    </row>
    <row r="1425">
      <c r="A1425" s="62" t="n">
        <v>46440</v>
      </c>
      <c r="B1425" s="3" t="inlineStr">
        <is>
          <t>Week</t>
        </is>
      </c>
      <c r="C1425" s="19" t="n">
        <v>2</v>
      </c>
      <c r="D1425" s="19" t="n">
        <v>2027</v>
      </c>
      <c r="E1425" s="57" t="n">
        <v>2</v>
      </c>
      <c r="F1425" s="29">
        <f>ROUND(((SUMIFS(Calendar!$F$2:$F$9997,Calendar!$B$2:$B$9997,D1425,Calendar!$C$2:$C$9997,C1425)*INDEX(ForeCalc!$B$37:$Y$274,MATCH(_xlfn.CONCAT(H1425," ",I1425),ForeCalc!$A$37:$A$274,0),MATCH(_xlfn.CONCAT(B1425," ",E1425),ForeCalc!$B$36:$Y$36,0))))*VLOOKUP(A1425,Calendar!$A$2:$H$9997,8,FALSE),0)</f>
        <v/>
      </c>
      <c r="G1425" s="29">
        <f>VLOOKUP(A1425,Calendar!$A$1:$H$9997,6,FALSE)-F1425</f>
        <v/>
      </c>
      <c r="H1425" s="19" t="n">
        <v>1</v>
      </c>
      <c r="I1425" s="57" t="n">
        <v>11</v>
      </c>
    </row>
    <row r="1426">
      <c r="A1426" s="62" t="n">
        <v>46441</v>
      </c>
      <c r="B1426" s="3" t="inlineStr">
        <is>
          <t>Week</t>
        </is>
      </c>
      <c r="C1426" s="19" t="n">
        <v>2</v>
      </c>
      <c r="D1426" s="19" t="n">
        <v>2027</v>
      </c>
      <c r="E1426" s="57" t="n">
        <v>2</v>
      </c>
      <c r="F1426" s="29">
        <f>ROUND(((SUMIFS(Calendar!$F$2:$F$9997,Calendar!$B$2:$B$9997,D1426,Calendar!$C$2:$C$9997,C1426)*INDEX(ForeCalc!$B$37:$Y$274,MATCH(_xlfn.CONCAT(H1426," ",I1426),ForeCalc!$A$37:$A$274,0),MATCH(_xlfn.CONCAT(B1426," ",E1426),ForeCalc!$B$36:$Y$36,0))))*VLOOKUP(A1426,Calendar!$A$2:$H$9997,8,FALSE),0)</f>
        <v/>
      </c>
      <c r="G1426" s="29">
        <f>VLOOKUP(A1426,Calendar!$A$1:$H$9997,6,FALSE)-F1426</f>
        <v/>
      </c>
      <c r="H1426" s="19" t="n">
        <v>1</v>
      </c>
      <c r="I1426" s="57" t="n">
        <v>11</v>
      </c>
    </row>
    <row r="1427">
      <c r="A1427" s="62" t="n">
        <v>46442</v>
      </c>
      <c r="B1427" s="3" t="inlineStr">
        <is>
          <t>Week</t>
        </is>
      </c>
      <c r="C1427" s="19" t="n">
        <v>2</v>
      </c>
      <c r="D1427" s="19" t="n">
        <v>2027</v>
      </c>
      <c r="E1427" s="57" t="n">
        <v>2</v>
      </c>
      <c r="F1427" s="29">
        <f>ROUND(((SUMIFS(Calendar!$F$2:$F$9997,Calendar!$B$2:$B$9997,D1427,Calendar!$C$2:$C$9997,C1427)*INDEX(ForeCalc!$B$37:$Y$274,MATCH(_xlfn.CONCAT(H1427," ",I1427),ForeCalc!$A$37:$A$274,0),MATCH(_xlfn.CONCAT(B1427," ",E1427),ForeCalc!$B$36:$Y$36,0))))*VLOOKUP(A1427,Calendar!$A$2:$H$9997,8,FALSE),0)</f>
        <v/>
      </c>
      <c r="G1427" s="29">
        <f>VLOOKUP(A1427,Calendar!$A$1:$H$9997,6,FALSE)-F1427</f>
        <v/>
      </c>
      <c r="H1427" s="19" t="n">
        <v>1</v>
      </c>
      <c r="I1427" s="57" t="n">
        <v>11</v>
      </c>
    </row>
    <row r="1428">
      <c r="A1428" s="62" t="n">
        <v>46443</v>
      </c>
      <c r="B1428" s="3" t="inlineStr">
        <is>
          <t>Week</t>
        </is>
      </c>
      <c r="C1428" s="19" t="n">
        <v>2</v>
      </c>
      <c r="D1428" s="19" t="n">
        <v>2027</v>
      </c>
      <c r="E1428" s="57" t="n">
        <v>2</v>
      </c>
      <c r="F1428" s="29">
        <f>ROUND(((SUMIFS(Calendar!$F$2:$F$9997,Calendar!$B$2:$B$9997,D1428,Calendar!$C$2:$C$9997,C1428)*INDEX(ForeCalc!$B$37:$Y$274,MATCH(_xlfn.CONCAT(H1428," ",I1428),ForeCalc!$A$37:$A$274,0),MATCH(_xlfn.CONCAT(B1428," ",E1428),ForeCalc!$B$36:$Y$36,0))))*VLOOKUP(A1428,Calendar!$A$2:$H$9997,8,FALSE),0)</f>
        <v/>
      </c>
      <c r="G1428" s="29">
        <f>VLOOKUP(A1428,Calendar!$A$1:$H$9997,6,FALSE)-F1428</f>
        <v/>
      </c>
      <c r="H1428" s="19" t="n">
        <v>1</v>
      </c>
      <c r="I1428" s="57" t="n">
        <v>11</v>
      </c>
    </row>
    <row r="1429">
      <c r="A1429" s="62" t="n">
        <v>46444</v>
      </c>
      <c r="B1429" s="3" t="inlineStr">
        <is>
          <t>Week</t>
        </is>
      </c>
      <c r="C1429" s="19" t="n">
        <v>2</v>
      </c>
      <c r="D1429" s="19" t="n">
        <v>2027</v>
      </c>
      <c r="E1429" s="57" t="n">
        <v>2</v>
      </c>
      <c r="F1429" s="29">
        <f>ROUND(((SUMIFS(Calendar!$F$2:$F$9997,Calendar!$B$2:$B$9997,D1429,Calendar!$C$2:$C$9997,C1429)*INDEX(ForeCalc!$B$37:$Y$274,MATCH(_xlfn.CONCAT(H1429," ",I1429),ForeCalc!$A$37:$A$274,0),MATCH(_xlfn.CONCAT(B1429," ",E1429),ForeCalc!$B$36:$Y$36,0))))*VLOOKUP(A1429,Calendar!$A$2:$H$9997,8,FALSE),0)</f>
        <v/>
      </c>
      <c r="G1429" s="29">
        <f>VLOOKUP(A1429,Calendar!$A$1:$H$9997,6,FALSE)-F1429</f>
        <v/>
      </c>
      <c r="H1429" s="19" t="n">
        <v>1</v>
      </c>
      <c r="I1429" s="57" t="n">
        <v>11</v>
      </c>
    </row>
    <row r="1430">
      <c r="A1430" s="62" t="n">
        <v>46445</v>
      </c>
      <c r="B1430" s="3" t="inlineStr">
        <is>
          <t>Sat</t>
        </is>
      </c>
      <c r="C1430" s="19" t="n">
        <v>2</v>
      </c>
      <c r="D1430" s="19" t="n">
        <v>2027</v>
      </c>
      <c r="E1430" s="57" t="n">
        <v>2</v>
      </c>
      <c r="F1430" s="29">
        <f>ROUND(((SUMIFS(Calendar!$F$2:$F$9997,Calendar!$B$2:$B$9997,D1430,Calendar!$C$2:$C$9997,C1430)*INDEX(ForeCalc!$B$37:$Y$274,MATCH(_xlfn.CONCAT(H1430," ",I1430),ForeCalc!$A$37:$A$274,0),MATCH(_xlfn.CONCAT(B1430," ",E1430),ForeCalc!$B$36:$Y$36,0))))*VLOOKUP(A1430,Calendar!$A$2:$H$9997,8,FALSE),0)</f>
        <v/>
      </c>
      <c r="G1430" s="29">
        <f>VLOOKUP(A1430,Calendar!$A$1:$H$9997,6,FALSE)-F1430</f>
        <v/>
      </c>
      <c r="H1430" s="19" t="n">
        <v>1</v>
      </c>
      <c r="I1430" s="57" t="n">
        <v>11</v>
      </c>
    </row>
    <row r="1431">
      <c r="A1431" s="62" t="n">
        <v>46446</v>
      </c>
      <c r="B1431" s="3" t="inlineStr">
        <is>
          <t>Sun</t>
        </is>
      </c>
      <c r="C1431" s="19" t="n">
        <v>2</v>
      </c>
      <c r="D1431" s="19" t="n">
        <v>2027</v>
      </c>
      <c r="E1431" s="57" t="n">
        <v>2</v>
      </c>
      <c r="F1431" s="29">
        <f>ROUND(((SUMIFS(Calendar!$F$2:$F$9997,Calendar!$B$2:$B$9997,D1431,Calendar!$C$2:$C$9997,C1431)*INDEX(ForeCalc!$B$37:$Y$274,MATCH(_xlfn.CONCAT(H1431," ",I1431),ForeCalc!$A$37:$A$274,0),MATCH(_xlfn.CONCAT(B1431," ",E1431),ForeCalc!$B$36:$Y$36,0))))*VLOOKUP(A1431,Calendar!$A$2:$H$9997,8,FALSE),0)</f>
        <v/>
      </c>
      <c r="G1431" s="29">
        <f>VLOOKUP(A1431,Calendar!$A$1:$H$9997,6,FALSE)-F1431</f>
        <v/>
      </c>
      <c r="H1431" s="19" t="n">
        <v>1</v>
      </c>
      <c r="I1431" s="57" t="n">
        <v>11</v>
      </c>
    </row>
    <row r="1432">
      <c r="A1432" s="62" t="n">
        <v>46447</v>
      </c>
      <c r="B1432" s="3" t="inlineStr">
        <is>
          <t>Week</t>
        </is>
      </c>
      <c r="C1432" s="19" t="n">
        <v>3</v>
      </c>
      <c r="D1432" s="19" t="n">
        <v>2027</v>
      </c>
      <c r="E1432" s="57" t="n">
        <v>2</v>
      </c>
      <c r="F1432" s="29">
        <f>ROUND(((SUMIFS(Calendar!$F$2:$F$9997,Calendar!$B$2:$B$9997,D1432,Calendar!$C$2:$C$9997,C1432)*INDEX(ForeCalc!$B$37:$Y$274,MATCH(_xlfn.CONCAT(H1432," ",I1432),ForeCalc!$A$37:$A$274,0),MATCH(_xlfn.CONCAT(B1432," ",E1432),ForeCalc!$B$36:$Y$36,0))))*VLOOKUP(A1432,Calendar!$A$2:$H$9997,8,FALSE),0)</f>
        <v/>
      </c>
      <c r="G1432" s="29">
        <f>VLOOKUP(A1432,Calendar!$A$1:$H$9997,6,FALSE)-F1432</f>
        <v/>
      </c>
      <c r="H1432" s="19" t="n">
        <v>1</v>
      </c>
      <c r="I1432" s="57" t="n">
        <v>12</v>
      </c>
    </row>
    <row r="1433">
      <c r="A1433" s="62" t="n">
        <v>46448</v>
      </c>
      <c r="B1433" s="3" t="inlineStr">
        <is>
          <t>Week</t>
        </is>
      </c>
      <c r="C1433" s="19" t="n">
        <v>3</v>
      </c>
      <c r="D1433" s="19" t="n">
        <v>2027</v>
      </c>
      <c r="E1433" s="57" t="n">
        <v>2</v>
      </c>
      <c r="F1433" s="29">
        <f>ROUND(((SUMIFS(Calendar!$F$2:$F$9997,Calendar!$B$2:$B$9997,D1433,Calendar!$C$2:$C$9997,C1433)*INDEX(ForeCalc!$B$37:$Y$274,MATCH(_xlfn.CONCAT(H1433," ",I1433),ForeCalc!$A$37:$A$274,0),MATCH(_xlfn.CONCAT(B1433," ",E1433),ForeCalc!$B$36:$Y$36,0))))*VLOOKUP(A1433,Calendar!$A$2:$H$9997,8,FALSE),0)</f>
        <v/>
      </c>
      <c r="G1433" s="29">
        <f>VLOOKUP(A1433,Calendar!$A$1:$H$9997,6,FALSE)-F1433</f>
        <v/>
      </c>
      <c r="H1433" s="19" t="n">
        <v>1</v>
      </c>
      <c r="I1433" s="57" t="n">
        <v>12</v>
      </c>
    </row>
    <row r="1434">
      <c r="A1434" s="62" t="n">
        <v>46449</v>
      </c>
      <c r="B1434" s="3" t="inlineStr">
        <is>
          <t>Week</t>
        </is>
      </c>
      <c r="C1434" s="19" t="n">
        <v>3</v>
      </c>
      <c r="D1434" s="19" t="n">
        <v>2027</v>
      </c>
      <c r="E1434" s="57" t="n">
        <v>2</v>
      </c>
      <c r="F1434" s="29">
        <f>ROUND(((SUMIFS(Calendar!$F$2:$F$9997,Calendar!$B$2:$B$9997,D1434,Calendar!$C$2:$C$9997,C1434)*INDEX(ForeCalc!$B$37:$Y$274,MATCH(_xlfn.CONCAT(H1434," ",I1434),ForeCalc!$A$37:$A$274,0),MATCH(_xlfn.CONCAT(B1434," ",E1434),ForeCalc!$B$36:$Y$36,0))))*VLOOKUP(A1434,Calendar!$A$2:$H$9997,8,FALSE),0)</f>
        <v/>
      </c>
      <c r="G1434" s="29">
        <f>VLOOKUP(A1434,Calendar!$A$1:$H$9997,6,FALSE)-F1434</f>
        <v/>
      </c>
      <c r="H1434" s="19" t="n">
        <v>1</v>
      </c>
      <c r="I1434" s="57" t="n">
        <v>12</v>
      </c>
    </row>
    <row r="1435">
      <c r="A1435" s="62" t="n">
        <v>46450</v>
      </c>
      <c r="B1435" s="3" t="inlineStr">
        <is>
          <t>Week</t>
        </is>
      </c>
      <c r="C1435" s="19" t="n">
        <v>3</v>
      </c>
      <c r="D1435" s="19" t="n">
        <v>2027</v>
      </c>
      <c r="E1435" s="57" t="n">
        <v>2</v>
      </c>
      <c r="F1435" s="29">
        <f>ROUND(((SUMIFS(Calendar!$F$2:$F$9997,Calendar!$B$2:$B$9997,D1435,Calendar!$C$2:$C$9997,C1435)*INDEX(ForeCalc!$B$37:$Y$274,MATCH(_xlfn.CONCAT(H1435," ",I1435),ForeCalc!$A$37:$A$274,0),MATCH(_xlfn.CONCAT(B1435," ",E1435),ForeCalc!$B$36:$Y$36,0))))*VLOOKUP(A1435,Calendar!$A$2:$H$9997,8,FALSE),0)</f>
        <v/>
      </c>
      <c r="G1435" s="29">
        <f>VLOOKUP(A1435,Calendar!$A$1:$H$9997,6,FALSE)-F1435</f>
        <v/>
      </c>
      <c r="H1435" s="19" t="n">
        <v>1</v>
      </c>
      <c r="I1435" s="57" t="n">
        <v>12</v>
      </c>
    </row>
    <row r="1436">
      <c r="A1436" s="62" t="n">
        <v>46451</v>
      </c>
      <c r="B1436" s="3" t="inlineStr">
        <is>
          <t>Week</t>
        </is>
      </c>
      <c r="C1436" s="19" t="n">
        <v>3</v>
      </c>
      <c r="D1436" s="19" t="n">
        <v>2027</v>
      </c>
      <c r="E1436" s="57" t="n">
        <v>2</v>
      </c>
      <c r="F1436" s="29">
        <f>ROUND(((SUMIFS(Calendar!$F$2:$F$9997,Calendar!$B$2:$B$9997,D1436,Calendar!$C$2:$C$9997,C1436)*INDEX(ForeCalc!$B$37:$Y$274,MATCH(_xlfn.CONCAT(H1436," ",I1436),ForeCalc!$A$37:$A$274,0),MATCH(_xlfn.CONCAT(B1436," ",E1436),ForeCalc!$B$36:$Y$36,0))))*VLOOKUP(A1436,Calendar!$A$2:$H$9997,8,FALSE),0)</f>
        <v/>
      </c>
      <c r="G1436" s="29">
        <f>VLOOKUP(A1436,Calendar!$A$1:$H$9997,6,FALSE)-F1436</f>
        <v/>
      </c>
      <c r="H1436" s="19" t="n">
        <v>1</v>
      </c>
      <c r="I1436" s="57" t="n">
        <v>12</v>
      </c>
    </row>
    <row r="1437">
      <c r="A1437" s="62" t="n">
        <v>46452</v>
      </c>
      <c r="B1437" s="3" t="inlineStr">
        <is>
          <t>Sat</t>
        </is>
      </c>
      <c r="C1437" s="19" t="n">
        <v>3</v>
      </c>
      <c r="D1437" s="19" t="n">
        <v>2027</v>
      </c>
      <c r="E1437" s="57" t="n">
        <v>2</v>
      </c>
      <c r="F1437" s="29">
        <f>ROUND(((SUMIFS(Calendar!$F$2:$F$9997,Calendar!$B$2:$B$9997,D1437,Calendar!$C$2:$C$9997,C1437)*INDEX(ForeCalc!$B$37:$Y$274,MATCH(_xlfn.CONCAT(H1437," ",I1437),ForeCalc!$A$37:$A$274,0),MATCH(_xlfn.CONCAT(B1437," ",E1437),ForeCalc!$B$36:$Y$36,0))))*VLOOKUP(A1437,Calendar!$A$2:$H$9997,8,FALSE),0)</f>
        <v/>
      </c>
      <c r="G1437" s="29">
        <f>VLOOKUP(A1437,Calendar!$A$1:$H$9997,6,FALSE)-F1437</f>
        <v/>
      </c>
      <c r="H1437" s="19" t="n">
        <v>1</v>
      </c>
      <c r="I1437" s="57" t="n">
        <v>12</v>
      </c>
    </row>
    <row r="1438">
      <c r="A1438" s="62" t="n">
        <v>46453</v>
      </c>
      <c r="B1438" s="3" t="inlineStr">
        <is>
          <t>Sun</t>
        </is>
      </c>
      <c r="C1438" s="19" t="n">
        <v>3</v>
      </c>
      <c r="D1438" s="19" t="n">
        <v>2027</v>
      </c>
      <c r="E1438" s="57" t="n">
        <v>2</v>
      </c>
      <c r="F1438" s="29">
        <f>ROUND(((SUMIFS(Calendar!$F$2:$F$9997,Calendar!$B$2:$B$9997,D1438,Calendar!$C$2:$C$9997,C1438)*INDEX(ForeCalc!$B$37:$Y$274,MATCH(_xlfn.CONCAT(H1438," ",I1438),ForeCalc!$A$37:$A$274,0),MATCH(_xlfn.CONCAT(B1438," ",E1438),ForeCalc!$B$36:$Y$36,0))))*VLOOKUP(A1438,Calendar!$A$2:$H$9997,8,FALSE),0)</f>
        <v/>
      </c>
      <c r="G1438" s="29">
        <f>VLOOKUP(A1438,Calendar!$A$1:$H$9997,6,FALSE)-F1438</f>
        <v/>
      </c>
      <c r="H1438" s="19" t="n">
        <v>1</v>
      </c>
      <c r="I1438" s="57" t="n">
        <v>12</v>
      </c>
    </row>
    <row r="1439">
      <c r="A1439" s="62" t="n">
        <v>46454</v>
      </c>
      <c r="B1439" s="3" t="inlineStr">
        <is>
          <t>Week</t>
        </is>
      </c>
      <c r="C1439" s="19" t="n">
        <v>3</v>
      </c>
      <c r="D1439" s="19" t="n">
        <v>2027</v>
      </c>
      <c r="E1439" s="57" t="n">
        <v>2</v>
      </c>
      <c r="F1439" s="29">
        <f>ROUND(((SUMIFS(Calendar!$F$2:$F$9997,Calendar!$B$2:$B$9997,D1439,Calendar!$C$2:$C$9997,C1439)*INDEX(ForeCalc!$B$37:$Y$274,MATCH(_xlfn.CONCAT(H1439," ",I1439),ForeCalc!$A$37:$A$274,0),MATCH(_xlfn.CONCAT(B1439," ",E1439),ForeCalc!$B$36:$Y$36,0))))*VLOOKUP(A1439,Calendar!$A$2:$H$9997,8,FALSE),0)</f>
        <v/>
      </c>
      <c r="G1439" s="29">
        <f>VLOOKUP(A1439,Calendar!$A$1:$H$9997,6,FALSE)-F1439</f>
        <v/>
      </c>
      <c r="H1439" s="19" t="n">
        <v>1</v>
      </c>
      <c r="I1439" s="57" t="n">
        <v>12</v>
      </c>
    </row>
    <row r="1440">
      <c r="A1440" s="62" t="n">
        <v>46455</v>
      </c>
      <c r="B1440" s="3" t="inlineStr">
        <is>
          <t>Week</t>
        </is>
      </c>
      <c r="C1440" s="19" t="n">
        <v>3</v>
      </c>
      <c r="D1440" s="19" t="n">
        <v>2027</v>
      </c>
      <c r="E1440" s="57" t="n">
        <v>2</v>
      </c>
      <c r="F1440" s="29">
        <f>ROUND(((SUMIFS(Calendar!$F$2:$F$9997,Calendar!$B$2:$B$9997,D1440,Calendar!$C$2:$C$9997,C1440)*INDEX(ForeCalc!$B$37:$Y$274,MATCH(_xlfn.CONCAT(H1440," ",I1440),ForeCalc!$A$37:$A$274,0),MATCH(_xlfn.CONCAT(B1440," ",E1440),ForeCalc!$B$36:$Y$36,0))))*VLOOKUP(A1440,Calendar!$A$2:$H$9997,8,FALSE),0)</f>
        <v/>
      </c>
      <c r="G1440" s="29">
        <f>VLOOKUP(A1440,Calendar!$A$1:$H$9997,6,FALSE)-F1440</f>
        <v/>
      </c>
      <c r="H1440" s="19" t="n">
        <v>1</v>
      </c>
      <c r="I1440" s="57" t="n">
        <v>12</v>
      </c>
    </row>
    <row r="1441">
      <c r="A1441" s="62" t="n">
        <v>46456</v>
      </c>
      <c r="B1441" s="3" t="inlineStr">
        <is>
          <t>Week</t>
        </is>
      </c>
      <c r="C1441" s="19" t="n">
        <v>3</v>
      </c>
      <c r="D1441" s="19" t="n">
        <v>2027</v>
      </c>
      <c r="E1441" s="57" t="n">
        <v>2</v>
      </c>
      <c r="F1441" s="29">
        <f>ROUND(((SUMIFS(Calendar!$F$2:$F$9997,Calendar!$B$2:$B$9997,D1441,Calendar!$C$2:$C$9997,C1441)*INDEX(ForeCalc!$B$37:$Y$274,MATCH(_xlfn.CONCAT(H1441," ",I1441),ForeCalc!$A$37:$A$274,0),MATCH(_xlfn.CONCAT(B1441," ",E1441),ForeCalc!$B$36:$Y$36,0))))*VLOOKUP(A1441,Calendar!$A$2:$H$9997,8,FALSE),0)</f>
        <v/>
      </c>
      <c r="G1441" s="29">
        <f>VLOOKUP(A1441,Calendar!$A$1:$H$9997,6,FALSE)-F1441</f>
        <v/>
      </c>
      <c r="H1441" s="19" t="n">
        <v>1</v>
      </c>
      <c r="I1441" s="57" t="n">
        <v>12</v>
      </c>
    </row>
    <row r="1442">
      <c r="A1442" s="62" t="n">
        <v>46457</v>
      </c>
      <c r="B1442" s="3" t="inlineStr">
        <is>
          <t>Week</t>
        </is>
      </c>
      <c r="C1442" s="19" t="n">
        <v>3</v>
      </c>
      <c r="D1442" s="19" t="n">
        <v>2027</v>
      </c>
      <c r="E1442" s="57" t="n">
        <v>2</v>
      </c>
      <c r="F1442" s="29">
        <f>ROUND(((SUMIFS(Calendar!$F$2:$F$9997,Calendar!$B$2:$B$9997,D1442,Calendar!$C$2:$C$9997,C1442)*INDEX(ForeCalc!$B$37:$Y$274,MATCH(_xlfn.CONCAT(H1442," ",I1442),ForeCalc!$A$37:$A$274,0),MATCH(_xlfn.CONCAT(B1442," ",E1442),ForeCalc!$B$36:$Y$36,0))))*VLOOKUP(A1442,Calendar!$A$2:$H$9997,8,FALSE),0)</f>
        <v/>
      </c>
      <c r="G1442" s="29">
        <f>VLOOKUP(A1442,Calendar!$A$1:$H$9997,6,FALSE)-F1442</f>
        <v/>
      </c>
      <c r="H1442" s="19" t="n">
        <v>1</v>
      </c>
      <c r="I1442" s="57" t="n">
        <v>12</v>
      </c>
    </row>
    <row r="1443">
      <c r="A1443" s="62" t="n">
        <v>46458</v>
      </c>
      <c r="B1443" s="3" t="inlineStr">
        <is>
          <t>Week</t>
        </is>
      </c>
      <c r="C1443" s="19" t="n">
        <v>3</v>
      </c>
      <c r="D1443" s="19" t="n">
        <v>2027</v>
      </c>
      <c r="E1443" s="57" t="n">
        <v>2</v>
      </c>
      <c r="F1443" s="29">
        <f>ROUND(((SUMIFS(Calendar!$F$2:$F$9997,Calendar!$B$2:$B$9997,D1443,Calendar!$C$2:$C$9997,C1443)*INDEX(ForeCalc!$B$37:$Y$274,MATCH(_xlfn.CONCAT(H1443," ",I1443),ForeCalc!$A$37:$A$274,0),MATCH(_xlfn.CONCAT(B1443," ",E1443),ForeCalc!$B$36:$Y$36,0))))*VLOOKUP(A1443,Calendar!$A$2:$H$9997,8,FALSE),0)</f>
        <v/>
      </c>
      <c r="G1443" s="29">
        <f>VLOOKUP(A1443,Calendar!$A$1:$H$9997,6,FALSE)-F1443</f>
        <v/>
      </c>
      <c r="H1443" s="19" t="n">
        <v>1</v>
      </c>
      <c r="I1443" s="57" t="n">
        <v>12</v>
      </c>
    </row>
    <row r="1444">
      <c r="A1444" s="62" t="n">
        <v>46459</v>
      </c>
      <c r="B1444" s="3" t="inlineStr">
        <is>
          <t>Sat</t>
        </is>
      </c>
      <c r="C1444" s="19" t="n">
        <v>3</v>
      </c>
      <c r="D1444" s="19" t="n">
        <v>2027</v>
      </c>
      <c r="E1444" s="57" t="n">
        <v>2</v>
      </c>
      <c r="F1444" s="29">
        <f>ROUND(((SUMIFS(Calendar!$F$2:$F$9997,Calendar!$B$2:$B$9997,D1444,Calendar!$C$2:$C$9997,C1444)*INDEX(ForeCalc!$B$37:$Y$274,MATCH(_xlfn.CONCAT(H1444," ",I1444),ForeCalc!$A$37:$A$274,0),MATCH(_xlfn.CONCAT(B1444," ",E1444),ForeCalc!$B$36:$Y$36,0))))*VLOOKUP(A1444,Calendar!$A$2:$H$9997,8,FALSE),0)</f>
        <v/>
      </c>
      <c r="G1444" s="29">
        <f>VLOOKUP(A1444,Calendar!$A$1:$H$9997,6,FALSE)-F1444</f>
        <v/>
      </c>
      <c r="H1444" s="19" t="n">
        <v>1</v>
      </c>
      <c r="I1444" s="57" t="n">
        <v>12</v>
      </c>
    </row>
    <row r="1445">
      <c r="A1445" s="62" t="n">
        <v>46460</v>
      </c>
      <c r="B1445" s="3" t="inlineStr">
        <is>
          <t>Sun</t>
        </is>
      </c>
      <c r="C1445" s="19" t="n">
        <v>3</v>
      </c>
      <c r="D1445" s="19" t="n">
        <v>2027</v>
      </c>
      <c r="E1445" s="57" t="n">
        <v>2</v>
      </c>
      <c r="F1445" s="29">
        <f>ROUND(((SUMIFS(Calendar!$F$2:$F$9997,Calendar!$B$2:$B$9997,D1445,Calendar!$C$2:$C$9997,C1445)*INDEX(ForeCalc!$B$37:$Y$274,MATCH(_xlfn.CONCAT(H1445," ",I1445),ForeCalc!$A$37:$A$274,0),MATCH(_xlfn.CONCAT(B1445," ",E1445),ForeCalc!$B$36:$Y$36,0))))*VLOOKUP(A1445,Calendar!$A$2:$H$9997,8,FALSE),0)</f>
        <v/>
      </c>
      <c r="G1445" s="29">
        <f>VLOOKUP(A1445,Calendar!$A$1:$H$9997,6,FALSE)-F1445</f>
        <v/>
      </c>
      <c r="H1445" s="19" t="n">
        <v>1</v>
      </c>
      <c r="I1445" s="57" t="n">
        <v>12</v>
      </c>
    </row>
    <row r="1446">
      <c r="A1446" s="62" t="n">
        <v>46461</v>
      </c>
      <c r="B1446" s="3" t="inlineStr">
        <is>
          <t>Week</t>
        </is>
      </c>
      <c r="C1446" s="19" t="n">
        <v>3</v>
      </c>
      <c r="D1446" s="19" t="n">
        <v>2027</v>
      </c>
      <c r="E1446" s="57" t="n">
        <v>2</v>
      </c>
      <c r="F1446" s="29">
        <f>ROUND(((SUMIFS(Calendar!$F$2:$F$9997,Calendar!$B$2:$B$9997,D1446,Calendar!$C$2:$C$9997,C1446)*INDEX(ForeCalc!$B$37:$Y$274,MATCH(_xlfn.CONCAT(H1446," ",I1446),ForeCalc!$A$37:$A$274,0),MATCH(_xlfn.CONCAT(B1446," ",E1446),ForeCalc!$B$36:$Y$36,0))))*VLOOKUP(A1446,Calendar!$A$2:$H$9997,8,FALSE),0)</f>
        <v/>
      </c>
      <c r="G1446" s="29">
        <f>VLOOKUP(A1446,Calendar!$A$1:$H$9997,6,FALSE)-F1446</f>
        <v/>
      </c>
      <c r="H1446" s="19" t="n">
        <v>1</v>
      </c>
      <c r="I1446" s="57" t="n">
        <v>12</v>
      </c>
    </row>
    <row r="1447">
      <c r="A1447" s="62" t="n">
        <v>46462</v>
      </c>
      <c r="B1447" s="3" t="inlineStr">
        <is>
          <t>Week</t>
        </is>
      </c>
      <c r="C1447" s="19" t="n">
        <v>3</v>
      </c>
      <c r="D1447" s="19" t="n">
        <v>2027</v>
      </c>
      <c r="E1447" s="57" t="n">
        <v>2</v>
      </c>
      <c r="F1447" s="29">
        <f>ROUND(((SUMIFS(Calendar!$F$2:$F$9997,Calendar!$B$2:$B$9997,D1447,Calendar!$C$2:$C$9997,C1447)*INDEX(ForeCalc!$B$37:$Y$274,MATCH(_xlfn.CONCAT(H1447," ",I1447),ForeCalc!$A$37:$A$274,0),MATCH(_xlfn.CONCAT(B1447," ",E1447),ForeCalc!$B$36:$Y$36,0))))*VLOOKUP(A1447,Calendar!$A$2:$H$9997,8,FALSE),0)</f>
        <v/>
      </c>
      <c r="G1447" s="29">
        <f>VLOOKUP(A1447,Calendar!$A$1:$H$9997,6,FALSE)-F1447</f>
        <v/>
      </c>
      <c r="H1447" s="19" t="n">
        <v>1</v>
      </c>
      <c r="I1447" s="57" t="n">
        <v>12</v>
      </c>
    </row>
    <row r="1448">
      <c r="A1448" s="62" t="n">
        <v>46463</v>
      </c>
      <c r="B1448" s="3" t="inlineStr">
        <is>
          <t>Week</t>
        </is>
      </c>
      <c r="C1448" s="19" t="n">
        <v>3</v>
      </c>
      <c r="D1448" s="19" t="n">
        <v>2027</v>
      </c>
      <c r="E1448" s="57" t="n">
        <v>2</v>
      </c>
      <c r="F1448" s="29">
        <f>ROUND(((SUMIFS(Calendar!$F$2:$F$9997,Calendar!$B$2:$B$9997,D1448,Calendar!$C$2:$C$9997,C1448)*INDEX(ForeCalc!$B$37:$Y$274,MATCH(_xlfn.CONCAT(H1448," ",I1448),ForeCalc!$A$37:$A$274,0),MATCH(_xlfn.CONCAT(B1448," ",E1448),ForeCalc!$B$36:$Y$36,0))))*VLOOKUP(A1448,Calendar!$A$2:$H$9997,8,FALSE),0)</f>
        <v/>
      </c>
      <c r="G1448" s="29">
        <f>VLOOKUP(A1448,Calendar!$A$1:$H$9997,6,FALSE)-F1448</f>
        <v/>
      </c>
      <c r="H1448" s="19" t="n">
        <v>1</v>
      </c>
      <c r="I1448" s="57" t="n">
        <v>12</v>
      </c>
    </row>
    <row r="1449">
      <c r="A1449" s="62" t="n">
        <v>46464</v>
      </c>
      <c r="B1449" s="3" t="inlineStr">
        <is>
          <t>Week</t>
        </is>
      </c>
      <c r="C1449" s="19" t="n">
        <v>3</v>
      </c>
      <c r="D1449" s="19" t="n">
        <v>2027</v>
      </c>
      <c r="E1449" s="57" t="n">
        <v>2</v>
      </c>
      <c r="F1449" s="29">
        <f>ROUND(((SUMIFS(Calendar!$F$2:$F$9997,Calendar!$B$2:$B$9997,D1449,Calendar!$C$2:$C$9997,C1449)*INDEX(ForeCalc!$B$37:$Y$274,MATCH(_xlfn.CONCAT(H1449," ",I1449),ForeCalc!$A$37:$A$274,0),MATCH(_xlfn.CONCAT(B1449," ",E1449),ForeCalc!$B$36:$Y$36,0))))*VLOOKUP(A1449,Calendar!$A$2:$H$9997,8,FALSE),0)</f>
        <v/>
      </c>
      <c r="G1449" s="29">
        <f>VLOOKUP(A1449,Calendar!$A$1:$H$9997,6,FALSE)-F1449</f>
        <v/>
      </c>
      <c r="H1449" s="19" t="n">
        <v>1</v>
      </c>
      <c r="I1449" s="57" t="n">
        <v>12</v>
      </c>
    </row>
    <row r="1450">
      <c r="A1450" s="62" t="n">
        <v>46465</v>
      </c>
      <c r="B1450" s="3" t="inlineStr">
        <is>
          <t>Week</t>
        </is>
      </c>
      <c r="C1450" s="19" t="n">
        <v>3</v>
      </c>
      <c r="D1450" s="19" t="n">
        <v>2027</v>
      </c>
      <c r="E1450" s="57" t="n">
        <v>2</v>
      </c>
      <c r="F1450" s="29">
        <f>ROUND(((SUMIFS(Calendar!$F$2:$F$9997,Calendar!$B$2:$B$9997,D1450,Calendar!$C$2:$C$9997,C1450)*INDEX(ForeCalc!$B$37:$Y$274,MATCH(_xlfn.CONCAT(H1450," ",I1450),ForeCalc!$A$37:$A$274,0),MATCH(_xlfn.CONCAT(B1450," ",E1450),ForeCalc!$B$36:$Y$36,0))))*VLOOKUP(A1450,Calendar!$A$2:$H$9997,8,FALSE),0)</f>
        <v/>
      </c>
      <c r="G1450" s="29">
        <f>VLOOKUP(A1450,Calendar!$A$1:$H$9997,6,FALSE)-F1450</f>
        <v/>
      </c>
      <c r="H1450" s="19" t="n">
        <v>1</v>
      </c>
      <c r="I1450" s="57" t="n">
        <v>12</v>
      </c>
    </row>
    <row r="1451">
      <c r="A1451" s="62" t="n">
        <v>46466</v>
      </c>
      <c r="B1451" s="3" t="inlineStr">
        <is>
          <t>Sat</t>
        </is>
      </c>
      <c r="C1451" s="19" t="n">
        <v>3</v>
      </c>
      <c r="D1451" s="19" t="n">
        <v>2027</v>
      </c>
      <c r="E1451" s="57" t="n">
        <v>2</v>
      </c>
      <c r="F1451" s="29">
        <f>ROUND(((SUMIFS(Calendar!$F$2:$F$9997,Calendar!$B$2:$B$9997,D1451,Calendar!$C$2:$C$9997,C1451)*INDEX(ForeCalc!$B$37:$Y$274,MATCH(_xlfn.CONCAT(H1451," ",I1451),ForeCalc!$A$37:$A$274,0),MATCH(_xlfn.CONCAT(B1451," ",E1451),ForeCalc!$B$36:$Y$36,0))))*VLOOKUP(A1451,Calendar!$A$2:$H$9997,8,FALSE),0)</f>
        <v/>
      </c>
      <c r="G1451" s="29">
        <f>VLOOKUP(A1451,Calendar!$A$1:$H$9997,6,FALSE)-F1451</f>
        <v/>
      </c>
      <c r="H1451" s="19" t="n">
        <v>1</v>
      </c>
      <c r="I1451" s="57" t="n">
        <v>12</v>
      </c>
    </row>
    <row r="1452">
      <c r="A1452" s="62" t="n">
        <v>46467</v>
      </c>
      <c r="B1452" s="3" t="inlineStr">
        <is>
          <t>Sun</t>
        </is>
      </c>
      <c r="C1452" s="19" t="n">
        <v>3</v>
      </c>
      <c r="D1452" s="19" t="n">
        <v>2027</v>
      </c>
      <c r="E1452" s="57" t="n">
        <v>2</v>
      </c>
      <c r="F1452" s="29">
        <f>ROUND(((SUMIFS(Calendar!$F$2:$F$9997,Calendar!$B$2:$B$9997,D1452,Calendar!$C$2:$C$9997,C1452)*INDEX(ForeCalc!$B$37:$Y$274,MATCH(_xlfn.CONCAT(H1452," ",I1452),ForeCalc!$A$37:$A$274,0),MATCH(_xlfn.CONCAT(B1452," ",E1452),ForeCalc!$B$36:$Y$36,0))))*VLOOKUP(A1452,Calendar!$A$2:$H$9997,8,FALSE),0)</f>
        <v/>
      </c>
      <c r="G1452" s="29">
        <f>VLOOKUP(A1452,Calendar!$A$1:$H$9997,6,FALSE)-F1452</f>
        <v/>
      </c>
      <c r="H1452" s="19" t="n">
        <v>1</v>
      </c>
      <c r="I1452" s="57" t="n">
        <v>12</v>
      </c>
    </row>
    <row r="1453">
      <c r="A1453" s="62" t="n">
        <v>46468</v>
      </c>
      <c r="B1453" s="3" t="inlineStr">
        <is>
          <t>Week</t>
        </is>
      </c>
      <c r="C1453" s="19" t="n">
        <v>3</v>
      </c>
      <c r="D1453" s="19" t="n">
        <v>2027</v>
      </c>
      <c r="E1453" s="57" t="n">
        <v>2</v>
      </c>
      <c r="F1453" s="29">
        <f>ROUND(((SUMIFS(Calendar!$F$2:$F$9997,Calendar!$B$2:$B$9997,D1453,Calendar!$C$2:$C$9997,C1453)*INDEX(ForeCalc!$B$37:$Y$274,MATCH(_xlfn.CONCAT(H1453," ",I1453),ForeCalc!$A$37:$A$274,0),MATCH(_xlfn.CONCAT(B1453," ",E1453),ForeCalc!$B$36:$Y$36,0))))*VLOOKUP(A1453,Calendar!$A$2:$H$9997,8,FALSE),0)</f>
        <v/>
      </c>
      <c r="G1453" s="29">
        <f>VLOOKUP(A1453,Calendar!$A$1:$H$9997,6,FALSE)-F1453</f>
        <v/>
      </c>
      <c r="H1453" s="19" t="n">
        <v>1</v>
      </c>
      <c r="I1453" s="57" t="n">
        <v>12</v>
      </c>
    </row>
    <row r="1454">
      <c r="A1454" s="62" t="n">
        <v>46469</v>
      </c>
      <c r="B1454" s="3" t="inlineStr">
        <is>
          <t>Week</t>
        </is>
      </c>
      <c r="C1454" s="19" t="n">
        <v>3</v>
      </c>
      <c r="D1454" s="19" t="n">
        <v>2027</v>
      </c>
      <c r="E1454" s="57" t="n">
        <v>2</v>
      </c>
      <c r="F1454" s="29">
        <f>ROUND(((SUMIFS(Calendar!$F$2:$F$9997,Calendar!$B$2:$B$9997,D1454,Calendar!$C$2:$C$9997,C1454)*INDEX(ForeCalc!$B$37:$Y$274,MATCH(_xlfn.CONCAT(H1454," ",I1454),ForeCalc!$A$37:$A$274,0),MATCH(_xlfn.CONCAT(B1454," ",E1454),ForeCalc!$B$36:$Y$36,0))))*VLOOKUP(A1454,Calendar!$A$2:$H$9997,8,FALSE),0)</f>
        <v/>
      </c>
      <c r="G1454" s="29">
        <f>VLOOKUP(A1454,Calendar!$A$1:$H$9997,6,FALSE)-F1454</f>
        <v/>
      </c>
      <c r="H1454" s="19" t="n">
        <v>1</v>
      </c>
      <c r="I1454" s="57" t="n">
        <v>12</v>
      </c>
    </row>
    <row r="1455">
      <c r="A1455" s="62" t="n">
        <v>46470</v>
      </c>
      <c r="B1455" s="3" t="inlineStr">
        <is>
          <t>Week</t>
        </is>
      </c>
      <c r="C1455" s="19" t="n">
        <v>3</v>
      </c>
      <c r="D1455" s="19" t="n">
        <v>2027</v>
      </c>
      <c r="E1455" s="57" t="n">
        <v>2</v>
      </c>
      <c r="F1455" s="29">
        <f>ROUND(((SUMIFS(Calendar!$F$2:$F$9997,Calendar!$B$2:$B$9997,D1455,Calendar!$C$2:$C$9997,C1455)*INDEX(ForeCalc!$B$37:$Y$274,MATCH(_xlfn.CONCAT(H1455," ",I1455),ForeCalc!$A$37:$A$274,0),MATCH(_xlfn.CONCAT(B1455," ",E1455),ForeCalc!$B$36:$Y$36,0))))*VLOOKUP(A1455,Calendar!$A$2:$H$9997,8,FALSE),0)</f>
        <v/>
      </c>
      <c r="G1455" s="29">
        <f>VLOOKUP(A1455,Calendar!$A$1:$H$9997,6,FALSE)-F1455</f>
        <v/>
      </c>
      <c r="H1455" s="19" t="n">
        <v>1</v>
      </c>
      <c r="I1455" s="57" t="n">
        <v>12</v>
      </c>
    </row>
    <row r="1456">
      <c r="A1456" s="62" t="n">
        <v>46471</v>
      </c>
      <c r="B1456" s="3" t="inlineStr">
        <is>
          <t>Week</t>
        </is>
      </c>
      <c r="C1456" s="19" t="n">
        <v>3</v>
      </c>
      <c r="D1456" s="19" t="n">
        <v>2027</v>
      </c>
      <c r="E1456" s="57" t="n">
        <v>2</v>
      </c>
      <c r="F1456" s="29">
        <f>ROUND(((SUMIFS(Calendar!$F$2:$F$9997,Calendar!$B$2:$B$9997,D1456,Calendar!$C$2:$C$9997,C1456)*INDEX(ForeCalc!$B$37:$Y$274,MATCH(_xlfn.CONCAT(H1456," ",I1456),ForeCalc!$A$37:$A$274,0),MATCH(_xlfn.CONCAT(B1456," ",E1456),ForeCalc!$B$36:$Y$36,0))))*VLOOKUP(A1456,Calendar!$A$2:$H$9997,8,FALSE),0)</f>
        <v/>
      </c>
      <c r="G1456" s="29">
        <f>VLOOKUP(A1456,Calendar!$A$1:$H$9997,6,FALSE)-F1456</f>
        <v/>
      </c>
      <c r="H1456" s="19" t="n">
        <v>1</v>
      </c>
      <c r="I1456" s="57" t="n">
        <v>12</v>
      </c>
    </row>
    <row r="1457">
      <c r="A1457" s="62" t="n">
        <v>46472</v>
      </c>
      <c r="B1457" s="3" t="inlineStr">
        <is>
          <t>Week</t>
        </is>
      </c>
      <c r="C1457" s="19" t="n">
        <v>3</v>
      </c>
      <c r="D1457" s="19" t="n">
        <v>2027</v>
      </c>
      <c r="E1457" s="57" t="n">
        <v>2</v>
      </c>
      <c r="F1457" s="29">
        <f>ROUND(((SUMIFS(Calendar!$F$2:$F$9997,Calendar!$B$2:$B$9997,D1457,Calendar!$C$2:$C$9997,C1457)*INDEX(ForeCalc!$B$37:$Y$274,MATCH(_xlfn.CONCAT(H1457," ",I1457),ForeCalc!$A$37:$A$274,0),MATCH(_xlfn.CONCAT(B1457," ",E1457),ForeCalc!$B$36:$Y$36,0))))*VLOOKUP(A1457,Calendar!$A$2:$H$9997,8,FALSE),0)</f>
        <v/>
      </c>
      <c r="G1457" s="29">
        <f>VLOOKUP(A1457,Calendar!$A$1:$H$9997,6,FALSE)-F1457</f>
        <v/>
      </c>
      <c r="H1457" s="19" t="n">
        <v>1</v>
      </c>
      <c r="I1457" s="57" t="n">
        <v>12</v>
      </c>
    </row>
    <row r="1458">
      <c r="A1458" s="62" t="n">
        <v>46473</v>
      </c>
      <c r="B1458" s="3" t="inlineStr">
        <is>
          <t>Sat</t>
        </is>
      </c>
      <c r="C1458" s="19" t="n">
        <v>3</v>
      </c>
      <c r="D1458" s="19" t="n">
        <v>2027</v>
      </c>
      <c r="E1458" s="57" t="n">
        <v>2</v>
      </c>
      <c r="F1458" s="29">
        <f>ROUND(((SUMIFS(Calendar!$F$2:$F$9997,Calendar!$B$2:$B$9997,D1458,Calendar!$C$2:$C$9997,C1458)*INDEX(ForeCalc!$B$37:$Y$274,MATCH(_xlfn.CONCAT(H1458," ",I1458),ForeCalc!$A$37:$A$274,0),MATCH(_xlfn.CONCAT(B1458," ",E1458),ForeCalc!$B$36:$Y$36,0))))*VLOOKUP(A1458,Calendar!$A$2:$H$9997,8,FALSE),0)</f>
        <v/>
      </c>
      <c r="G1458" s="29">
        <f>VLOOKUP(A1458,Calendar!$A$1:$H$9997,6,FALSE)-F1458</f>
        <v/>
      </c>
      <c r="H1458" s="19" t="n">
        <v>1</v>
      </c>
      <c r="I1458" s="57" t="n">
        <v>12</v>
      </c>
    </row>
    <row r="1459">
      <c r="A1459" s="62" t="n">
        <v>46474</v>
      </c>
      <c r="B1459" s="3" t="inlineStr">
        <is>
          <t>Sun</t>
        </is>
      </c>
      <c r="C1459" s="19" t="n">
        <v>3</v>
      </c>
      <c r="D1459" s="19" t="n">
        <v>2027</v>
      </c>
      <c r="E1459" s="57" t="n">
        <v>2</v>
      </c>
      <c r="F1459" s="29">
        <f>ROUND(((SUMIFS(Calendar!$F$2:$F$9997,Calendar!$B$2:$B$9997,D1459,Calendar!$C$2:$C$9997,C1459)*INDEX(ForeCalc!$B$37:$Y$274,MATCH(_xlfn.CONCAT(H1459," ",I1459),ForeCalc!$A$37:$A$274,0),MATCH(_xlfn.CONCAT(B1459," ",E1459),ForeCalc!$B$36:$Y$36,0))))*VLOOKUP(A1459,Calendar!$A$2:$H$9997,8,FALSE),0)</f>
        <v/>
      </c>
      <c r="G1459" s="29">
        <f>VLOOKUP(A1459,Calendar!$A$1:$H$9997,6,FALSE)-F1459</f>
        <v/>
      </c>
      <c r="H1459" s="19" t="n">
        <v>1</v>
      </c>
      <c r="I1459" s="57" t="n">
        <v>12</v>
      </c>
    </row>
    <row r="1460">
      <c r="A1460" s="62" t="n">
        <v>46475</v>
      </c>
      <c r="B1460" s="3" t="inlineStr">
        <is>
          <t>Week</t>
        </is>
      </c>
      <c r="C1460" s="19" t="n">
        <v>3</v>
      </c>
      <c r="D1460" s="19" t="n">
        <v>2027</v>
      </c>
      <c r="E1460" s="57" t="n">
        <v>2</v>
      </c>
      <c r="F1460" s="29">
        <f>ROUND(((SUMIFS(Calendar!$F$2:$F$9997,Calendar!$B$2:$B$9997,D1460,Calendar!$C$2:$C$9997,C1460)*INDEX(ForeCalc!$B$37:$Y$274,MATCH(_xlfn.CONCAT(H1460," ",I1460),ForeCalc!$A$37:$A$274,0),MATCH(_xlfn.CONCAT(B1460," ",E1460),ForeCalc!$B$36:$Y$36,0))))*VLOOKUP(A1460,Calendar!$A$2:$H$9997,8,FALSE),0)</f>
        <v/>
      </c>
      <c r="G1460" s="29">
        <f>VLOOKUP(A1460,Calendar!$A$1:$H$9997,6,FALSE)-F1460</f>
        <v/>
      </c>
      <c r="H1460" s="19" t="n">
        <v>1</v>
      </c>
      <c r="I1460" s="57" t="n">
        <v>12</v>
      </c>
    </row>
    <row r="1461">
      <c r="A1461" s="62" t="n">
        <v>46476</v>
      </c>
      <c r="B1461" s="3" t="inlineStr">
        <is>
          <t>Week</t>
        </is>
      </c>
      <c r="C1461" s="19" t="n">
        <v>3</v>
      </c>
      <c r="D1461" s="19" t="n">
        <v>2027</v>
      </c>
      <c r="E1461" s="57" t="n">
        <v>2</v>
      </c>
      <c r="F1461" s="29">
        <f>ROUND(((SUMIFS(Calendar!$F$2:$F$9997,Calendar!$B$2:$B$9997,D1461,Calendar!$C$2:$C$9997,C1461)*INDEX(ForeCalc!$B$37:$Y$274,MATCH(_xlfn.CONCAT(H1461," ",I1461),ForeCalc!$A$37:$A$274,0),MATCH(_xlfn.CONCAT(B1461," ",E1461),ForeCalc!$B$36:$Y$36,0))))*VLOOKUP(A1461,Calendar!$A$2:$H$9997,8,FALSE),0)</f>
        <v/>
      </c>
      <c r="G1461" s="29">
        <f>VLOOKUP(A1461,Calendar!$A$1:$H$9997,6,FALSE)-F1461</f>
        <v/>
      </c>
      <c r="H1461" s="19" t="n">
        <v>1</v>
      </c>
      <c r="I1461" s="57" t="n">
        <v>12</v>
      </c>
    </row>
    <row r="1462">
      <c r="A1462" s="62" t="n">
        <v>46477</v>
      </c>
      <c r="B1462" s="3" t="inlineStr">
        <is>
          <t>Week</t>
        </is>
      </c>
      <c r="C1462" s="19" t="n">
        <v>3</v>
      </c>
      <c r="D1462" s="19" t="n">
        <v>2027</v>
      </c>
      <c r="E1462" s="57" t="n">
        <v>2</v>
      </c>
      <c r="F1462" s="29">
        <f>ROUND(((SUMIFS(Calendar!$F$2:$F$9997,Calendar!$B$2:$B$9997,D1462,Calendar!$C$2:$C$9997,C1462)*INDEX(ForeCalc!$B$37:$Y$274,MATCH(_xlfn.CONCAT(H1462," ",I1462),ForeCalc!$A$37:$A$274,0),MATCH(_xlfn.CONCAT(B1462," ",E1462),ForeCalc!$B$36:$Y$36,0))))*VLOOKUP(A1462,Calendar!$A$2:$H$9997,8,FALSE),0)</f>
        <v/>
      </c>
      <c r="G1462" s="29">
        <f>VLOOKUP(A1462,Calendar!$A$1:$H$9997,6,FALSE)-F1462</f>
        <v/>
      </c>
      <c r="H1462" s="19" t="n">
        <v>1</v>
      </c>
      <c r="I1462" s="57" t="n">
        <v>12</v>
      </c>
    </row>
    <row r="1463">
      <c r="A1463" s="62" t="n">
        <v>46478</v>
      </c>
      <c r="B1463" s="3" t="inlineStr">
        <is>
          <t>Week</t>
        </is>
      </c>
      <c r="C1463" s="19" t="n">
        <v>4</v>
      </c>
      <c r="D1463" s="19" t="n">
        <v>2027</v>
      </c>
      <c r="E1463" s="57" t="n">
        <v>2</v>
      </c>
      <c r="F1463" s="29">
        <f>ROUND(((SUMIFS(Calendar!$F$2:$F$9997,Calendar!$B$2:$B$9997,D1463,Calendar!$C$2:$C$9997,C1463)*INDEX(ForeCalc!$B$37:$Y$274,MATCH(_xlfn.CONCAT(H1463," ",I1463),ForeCalc!$A$37:$A$274,0),MATCH(_xlfn.CONCAT(B1463," ",E1463),ForeCalc!$B$36:$Y$36,0))))*VLOOKUP(A1463,Calendar!$A$2:$H$9997,8,FALSE),0)</f>
        <v/>
      </c>
      <c r="G1463" s="29">
        <f>VLOOKUP(A1463,Calendar!$A$1:$H$9997,6,FALSE)-F1463</f>
        <v/>
      </c>
      <c r="H1463" s="19" t="n">
        <v>2</v>
      </c>
      <c r="I1463" s="57" t="n">
        <v>1</v>
      </c>
    </row>
    <row r="1464">
      <c r="A1464" s="62" t="n">
        <v>46479</v>
      </c>
      <c r="B1464" s="3" t="inlineStr">
        <is>
          <t>Week</t>
        </is>
      </c>
      <c r="C1464" s="19" t="n">
        <v>4</v>
      </c>
      <c r="D1464" s="19" t="n">
        <v>2027</v>
      </c>
      <c r="E1464" s="57" t="n">
        <v>2</v>
      </c>
      <c r="F1464" s="29">
        <f>ROUND(((SUMIFS(Calendar!$F$2:$F$9997,Calendar!$B$2:$B$9997,D1464,Calendar!$C$2:$C$9997,C1464)*INDEX(ForeCalc!$B$37:$Y$274,MATCH(_xlfn.CONCAT(H1464," ",I1464),ForeCalc!$A$37:$A$274,0),MATCH(_xlfn.CONCAT(B1464," ",E1464),ForeCalc!$B$36:$Y$36,0))))*VLOOKUP(A1464,Calendar!$A$2:$H$9997,8,FALSE),0)</f>
        <v/>
      </c>
      <c r="G1464" s="29">
        <f>VLOOKUP(A1464,Calendar!$A$1:$H$9997,6,FALSE)-F1464</f>
        <v/>
      </c>
      <c r="H1464" s="19" t="n">
        <v>2</v>
      </c>
      <c r="I1464" s="57" t="n">
        <v>1</v>
      </c>
    </row>
    <row r="1465">
      <c r="A1465" s="62" t="n">
        <v>46480</v>
      </c>
      <c r="B1465" s="3" t="inlineStr">
        <is>
          <t>Sat</t>
        </is>
      </c>
      <c r="C1465" s="19" t="n">
        <v>4</v>
      </c>
      <c r="D1465" s="19" t="n">
        <v>2027</v>
      </c>
      <c r="E1465" s="57" t="n">
        <v>2</v>
      </c>
      <c r="F1465" s="29">
        <f>ROUND(((SUMIFS(Calendar!$F$2:$F$9997,Calendar!$B$2:$B$9997,D1465,Calendar!$C$2:$C$9997,C1465)*INDEX(ForeCalc!$B$37:$Y$274,MATCH(_xlfn.CONCAT(H1465," ",I1465),ForeCalc!$A$37:$A$274,0),MATCH(_xlfn.CONCAT(B1465," ",E1465),ForeCalc!$B$36:$Y$36,0))))*VLOOKUP(A1465,Calendar!$A$2:$H$9997,8,FALSE),0)</f>
        <v/>
      </c>
      <c r="G1465" s="29">
        <f>VLOOKUP(A1465,Calendar!$A$1:$H$9997,6,FALSE)-F1465</f>
        <v/>
      </c>
      <c r="H1465" s="19" t="n">
        <v>2</v>
      </c>
      <c r="I1465" s="57" t="n">
        <v>1</v>
      </c>
    </row>
    <row r="1466">
      <c r="A1466" s="62" t="n">
        <v>46481</v>
      </c>
      <c r="B1466" s="3" t="inlineStr">
        <is>
          <t>Sun</t>
        </is>
      </c>
      <c r="C1466" s="19" t="n">
        <v>4</v>
      </c>
      <c r="D1466" s="19" t="n">
        <v>2027</v>
      </c>
      <c r="E1466" s="57" t="n">
        <v>2</v>
      </c>
      <c r="F1466" s="29">
        <f>ROUND(((SUMIFS(Calendar!$F$2:$F$9997,Calendar!$B$2:$B$9997,D1466,Calendar!$C$2:$C$9997,C1466)*INDEX(ForeCalc!$B$37:$Y$274,MATCH(_xlfn.CONCAT(H1466," ",I1466),ForeCalc!$A$37:$A$274,0),MATCH(_xlfn.CONCAT(B1466," ",E1466),ForeCalc!$B$36:$Y$36,0))))*VLOOKUP(A1466,Calendar!$A$2:$H$9997,8,FALSE),0)</f>
        <v/>
      </c>
      <c r="G1466" s="29">
        <f>VLOOKUP(A1466,Calendar!$A$1:$H$9997,6,FALSE)-F1466</f>
        <v/>
      </c>
      <c r="H1466" s="19" t="n">
        <v>2</v>
      </c>
      <c r="I1466" s="57" t="n">
        <v>1</v>
      </c>
    </row>
    <row r="1467">
      <c r="A1467" s="62" t="n">
        <v>46482</v>
      </c>
      <c r="B1467" s="3" t="inlineStr">
        <is>
          <t>Week</t>
        </is>
      </c>
      <c r="C1467" s="19" t="n">
        <v>4</v>
      </c>
      <c r="D1467" s="19" t="n">
        <v>2027</v>
      </c>
      <c r="E1467" s="57" t="n">
        <v>2</v>
      </c>
      <c r="F1467" s="29">
        <f>ROUND(((SUMIFS(Calendar!$F$2:$F$9997,Calendar!$B$2:$B$9997,D1467,Calendar!$C$2:$C$9997,C1467)*INDEX(ForeCalc!$B$37:$Y$274,MATCH(_xlfn.CONCAT(H1467," ",I1467),ForeCalc!$A$37:$A$274,0),MATCH(_xlfn.CONCAT(B1467," ",E1467),ForeCalc!$B$36:$Y$36,0))))*VLOOKUP(A1467,Calendar!$A$2:$H$9997,8,FALSE),0)</f>
        <v/>
      </c>
      <c r="G1467" s="29">
        <f>VLOOKUP(A1467,Calendar!$A$1:$H$9997,6,FALSE)-F1467</f>
        <v/>
      </c>
      <c r="H1467" s="19" t="n">
        <v>2</v>
      </c>
      <c r="I1467" s="57" t="n">
        <v>1</v>
      </c>
    </row>
    <row r="1468">
      <c r="A1468" s="62" t="n">
        <v>46483</v>
      </c>
      <c r="B1468" s="3" t="inlineStr">
        <is>
          <t>Week</t>
        </is>
      </c>
      <c r="C1468" s="19" t="n">
        <v>4</v>
      </c>
      <c r="D1468" s="19" t="n">
        <v>2027</v>
      </c>
      <c r="E1468" s="57" t="n">
        <v>2</v>
      </c>
      <c r="F1468" s="29">
        <f>ROUND(((SUMIFS(Calendar!$F$2:$F$9997,Calendar!$B$2:$B$9997,D1468,Calendar!$C$2:$C$9997,C1468)*INDEX(ForeCalc!$B$37:$Y$274,MATCH(_xlfn.CONCAT(H1468," ",I1468),ForeCalc!$A$37:$A$274,0),MATCH(_xlfn.CONCAT(B1468," ",E1468),ForeCalc!$B$36:$Y$36,0))))*VLOOKUP(A1468,Calendar!$A$2:$H$9997,8,FALSE),0)</f>
        <v/>
      </c>
      <c r="G1468" s="29">
        <f>VLOOKUP(A1468,Calendar!$A$1:$H$9997,6,FALSE)-F1468</f>
        <v/>
      </c>
      <c r="H1468" s="19" t="n">
        <v>2</v>
      </c>
      <c r="I1468" s="57" t="n">
        <v>1</v>
      </c>
    </row>
    <row r="1469">
      <c r="A1469" s="62" t="n">
        <v>46484</v>
      </c>
      <c r="B1469" s="3" t="inlineStr">
        <is>
          <t>Week</t>
        </is>
      </c>
      <c r="C1469" s="19" t="n">
        <v>4</v>
      </c>
      <c r="D1469" s="19" t="n">
        <v>2027</v>
      </c>
      <c r="E1469" s="57" t="n">
        <v>2</v>
      </c>
      <c r="F1469" s="29">
        <f>ROUND(((SUMIFS(Calendar!$F$2:$F$9997,Calendar!$B$2:$B$9997,D1469,Calendar!$C$2:$C$9997,C1469)*INDEX(ForeCalc!$B$37:$Y$274,MATCH(_xlfn.CONCAT(H1469," ",I1469),ForeCalc!$A$37:$A$274,0),MATCH(_xlfn.CONCAT(B1469," ",E1469),ForeCalc!$B$36:$Y$36,0))))*VLOOKUP(A1469,Calendar!$A$2:$H$9997,8,FALSE),0)</f>
        <v/>
      </c>
      <c r="G1469" s="29">
        <f>VLOOKUP(A1469,Calendar!$A$1:$H$9997,6,FALSE)-F1469</f>
        <v/>
      </c>
      <c r="H1469" s="19" t="n">
        <v>2</v>
      </c>
      <c r="I1469" s="57" t="n">
        <v>1</v>
      </c>
    </row>
    <row r="1470">
      <c r="A1470" s="62" t="n">
        <v>46485</v>
      </c>
      <c r="B1470" s="3" t="inlineStr">
        <is>
          <t>Week</t>
        </is>
      </c>
      <c r="C1470" s="19" t="n">
        <v>4</v>
      </c>
      <c r="D1470" s="19" t="n">
        <v>2027</v>
      </c>
      <c r="E1470" s="57" t="n">
        <v>2</v>
      </c>
      <c r="F1470" s="29">
        <f>ROUND(((SUMIFS(Calendar!$F$2:$F$9997,Calendar!$B$2:$B$9997,D1470,Calendar!$C$2:$C$9997,C1470)*INDEX(ForeCalc!$B$37:$Y$274,MATCH(_xlfn.CONCAT(H1470," ",I1470),ForeCalc!$A$37:$A$274,0),MATCH(_xlfn.CONCAT(B1470," ",E1470),ForeCalc!$B$36:$Y$36,0))))*VLOOKUP(A1470,Calendar!$A$2:$H$9997,8,FALSE),0)</f>
        <v/>
      </c>
      <c r="G1470" s="29">
        <f>VLOOKUP(A1470,Calendar!$A$1:$H$9997,6,FALSE)-F1470</f>
        <v/>
      </c>
      <c r="H1470" s="19" t="n">
        <v>2</v>
      </c>
      <c r="I1470" s="57" t="n">
        <v>1</v>
      </c>
    </row>
    <row r="1471">
      <c r="A1471" s="62" t="n">
        <v>46486</v>
      </c>
      <c r="B1471" s="3" t="inlineStr">
        <is>
          <t>Week</t>
        </is>
      </c>
      <c r="C1471" s="19" t="n">
        <v>4</v>
      </c>
      <c r="D1471" s="19" t="n">
        <v>2027</v>
      </c>
      <c r="E1471" s="57" t="n">
        <v>2</v>
      </c>
      <c r="F1471" s="29">
        <f>ROUND(((SUMIFS(Calendar!$F$2:$F$9997,Calendar!$B$2:$B$9997,D1471,Calendar!$C$2:$C$9997,C1471)*INDEX(ForeCalc!$B$37:$Y$274,MATCH(_xlfn.CONCAT(H1471," ",I1471),ForeCalc!$A$37:$A$274,0),MATCH(_xlfn.CONCAT(B1471," ",E1471),ForeCalc!$B$36:$Y$36,0))))*VLOOKUP(A1471,Calendar!$A$2:$H$9997,8,FALSE),0)</f>
        <v/>
      </c>
      <c r="G1471" s="29">
        <f>VLOOKUP(A1471,Calendar!$A$1:$H$9997,6,FALSE)-F1471</f>
        <v/>
      </c>
      <c r="H1471" s="19" t="n">
        <v>2</v>
      </c>
      <c r="I1471" s="57" t="n">
        <v>1</v>
      </c>
    </row>
    <row r="1472">
      <c r="A1472" s="62" t="n">
        <v>46487</v>
      </c>
      <c r="B1472" s="3" t="inlineStr">
        <is>
          <t>Sat</t>
        </is>
      </c>
      <c r="C1472" s="19" t="n">
        <v>4</v>
      </c>
      <c r="D1472" s="19" t="n">
        <v>2027</v>
      </c>
      <c r="E1472" s="57" t="n">
        <v>2</v>
      </c>
      <c r="F1472" s="29">
        <f>ROUND(((SUMIFS(Calendar!$F$2:$F$9997,Calendar!$B$2:$B$9997,D1472,Calendar!$C$2:$C$9997,C1472)*INDEX(ForeCalc!$B$37:$Y$274,MATCH(_xlfn.CONCAT(H1472," ",I1472),ForeCalc!$A$37:$A$274,0),MATCH(_xlfn.CONCAT(B1472," ",E1472),ForeCalc!$B$36:$Y$36,0))))*VLOOKUP(A1472,Calendar!$A$2:$H$9997,8,FALSE),0)</f>
        <v/>
      </c>
      <c r="G1472" s="29">
        <f>VLOOKUP(A1472,Calendar!$A$1:$H$9997,6,FALSE)-F1472</f>
        <v/>
      </c>
      <c r="H1472" s="19" t="n">
        <v>2</v>
      </c>
      <c r="I1472" s="57" t="n">
        <v>1</v>
      </c>
    </row>
    <row r="1473">
      <c r="A1473" s="62" t="n">
        <v>46488</v>
      </c>
      <c r="B1473" s="3" t="inlineStr">
        <is>
          <t>Sun</t>
        </is>
      </c>
      <c r="C1473" s="19" t="n">
        <v>4</v>
      </c>
      <c r="D1473" s="19" t="n">
        <v>2027</v>
      </c>
      <c r="E1473" s="57" t="n">
        <v>2</v>
      </c>
      <c r="F1473" s="29">
        <f>ROUND(((SUMIFS(Calendar!$F$2:$F$9997,Calendar!$B$2:$B$9997,D1473,Calendar!$C$2:$C$9997,C1473)*INDEX(ForeCalc!$B$37:$Y$274,MATCH(_xlfn.CONCAT(H1473," ",I1473),ForeCalc!$A$37:$A$274,0),MATCH(_xlfn.CONCAT(B1473," ",E1473),ForeCalc!$B$36:$Y$36,0))))*VLOOKUP(A1473,Calendar!$A$2:$H$9997,8,FALSE),0)</f>
        <v/>
      </c>
      <c r="G1473" s="29">
        <f>VLOOKUP(A1473,Calendar!$A$1:$H$9997,6,FALSE)-F1473</f>
        <v/>
      </c>
      <c r="H1473" s="19" t="n">
        <v>2</v>
      </c>
      <c r="I1473" s="57" t="n">
        <v>1</v>
      </c>
    </row>
    <row r="1474">
      <c r="A1474" s="62" t="n">
        <v>46489</v>
      </c>
      <c r="B1474" s="3" t="inlineStr">
        <is>
          <t>Week</t>
        </is>
      </c>
      <c r="C1474" s="19" t="n">
        <v>4</v>
      </c>
      <c r="D1474" s="19" t="n">
        <v>2027</v>
      </c>
      <c r="E1474" s="57" t="n">
        <v>2</v>
      </c>
      <c r="F1474" s="29">
        <f>ROUND(((SUMIFS(Calendar!$F$2:$F$9997,Calendar!$B$2:$B$9997,D1474,Calendar!$C$2:$C$9997,C1474)*INDEX(ForeCalc!$B$37:$Y$274,MATCH(_xlfn.CONCAT(H1474," ",I1474),ForeCalc!$A$37:$A$274,0),MATCH(_xlfn.CONCAT(B1474," ",E1474),ForeCalc!$B$36:$Y$36,0))))*VLOOKUP(A1474,Calendar!$A$2:$H$9997,8,FALSE),0)</f>
        <v/>
      </c>
      <c r="G1474" s="29">
        <f>VLOOKUP(A1474,Calendar!$A$1:$H$9997,6,FALSE)-F1474</f>
        <v/>
      </c>
      <c r="H1474" s="19" t="n">
        <v>2</v>
      </c>
      <c r="I1474" s="57" t="n">
        <v>1</v>
      </c>
    </row>
    <row r="1475">
      <c r="A1475" s="62" t="n">
        <v>46490</v>
      </c>
      <c r="B1475" s="3" t="inlineStr">
        <is>
          <t>Week</t>
        </is>
      </c>
      <c r="C1475" s="19" t="n">
        <v>4</v>
      </c>
      <c r="D1475" s="19" t="n">
        <v>2027</v>
      </c>
      <c r="E1475" s="57" t="n">
        <v>2</v>
      </c>
      <c r="F1475" s="29">
        <f>ROUND(((SUMIFS(Calendar!$F$2:$F$9997,Calendar!$B$2:$B$9997,D1475,Calendar!$C$2:$C$9997,C1475)*INDEX(ForeCalc!$B$37:$Y$274,MATCH(_xlfn.CONCAT(H1475," ",I1475),ForeCalc!$A$37:$A$274,0),MATCH(_xlfn.CONCAT(B1475," ",E1475),ForeCalc!$B$36:$Y$36,0))))*VLOOKUP(A1475,Calendar!$A$2:$H$9997,8,FALSE),0)</f>
        <v/>
      </c>
      <c r="G1475" s="29">
        <f>VLOOKUP(A1475,Calendar!$A$1:$H$9997,6,FALSE)-F1475</f>
        <v/>
      </c>
      <c r="H1475" s="19" t="n">
        <v>2</v>
      </c>
      <c r="I1475" s="57" t="n">
        <v>1</v>
      </c>
    </row>
    <row r="1476">
      <c r="A1476" s="62" t="n">
        <v>46491</v>
      </c>
      <c r="B1476" s="3" t="inlineStr">
        <is>
          <t>Week</t>
        </is>
      </c>
      <c r="C1476" s="19" t="n">
        <v>4</v>
      </c>
      <c r="D1476" s="19" t="n">
        <v>2027</v>
      </c>
      <c r="E1476" s="57" t="n">
        <v>2</v>
      </c>
      <c r="F1476" s="29">
        <f>ROUND(((SUMIFS(Calendar!$F$2:$F$9997,Calendar!$B$2:$B$9997,D1476,Calendar!$C$2:$C$9997,C1476)*INDEX(ForeCalc!$B$37:$Y$274,MATCH(_xlfn.CONCAT(H1476," ",I1476),ForeCalc!$A$37:$A$274,0),MATCH(_xlfn.CONCAT(B1476," ",E1476),ForeCalc!$B$36:$Y$36,0))))*VLOOKUP(A1476,Calendar!$A$2:$H$9997,8,FALSE),0)</f>
        <v/>
      </c>
      <c r="G1476" s="29">
        <f>VLOOKUP(A1476,Calendar!$A$1:$H$9997,6,FALSE)-F1476</f>
        <v/>
      </c>
      <c r="H1476" s="19" t="n">
        <v>2</v>
      </c>
      <c r="I1476" s="57" t="n">
        <v>1</v>
      </c>
    </row>
    <row r="1477">
      <c r="A1477" s="62" t="n">
        <v>46492</v>
      </c>
      <c r="B1477" s="3" t="inlineStr">
        <is>
          <t>Week</t>
        </is>
      </c>
      <c r="C1477" s="19" t="n">
        <v>4</v>
      </c>
      <c r="D1477" s="19" t="n">
        <v>2027</v>
      </c>
      <c r="E1477" s="57" t="n">
        <v>2</v>
      </c>
      <c r="F1477" s="29">
        <f>ROUND(((SUMIFS(Calendar!$F$2:$F$9997,Calendar!$B$2:$B$9997,D1477,Calendar!$C$2:$C$9997,C1477)*INDEX(ForeCalc!$B$37:$Y$274,MATCH(_xlfn.CONCAT(H1477," ",I1477),ForeCalc!$A$37:$A$274,0),MATCH(_xlfn.CONCAT(B1477," ",E1477),ForeCalc!$B$36:$Y$36,0))))*VLOOKUP(A1477,Calendar!$A$2:$H$9997,8,FALSE),0)</f>
        <v/>
      </c>
      <c r="G1477" s="29">
        <f>VLOOKUP(A1477,Calendar!$A$1:$H$9997,6,FALSE)-F1477</f>
        <v/>
      </c>
      <c r="H1477" s="19" t="n">
        <v>2</v>
      </c>
      <c r="I1477" s="57" t="n">
        <v>1</v>
      </c>
    </row>
    <row r="1478">
      <c r="A1478" s="62" t="n">
        <v>46493</v>
      </c>
      <c r="B1478" s="3" t="inlineStr">
        <is>
          <t>Week</t>
        </is>
      </c>
      <c r="C1478" s="19" t="n">
        <v>4</v>
      </c>
      <c r="D1478" s="19" t="n">
        <v>2027</v>
      </c>
      <c r="E1478" s="57" t="n">
        <v>2</v>
      </c>
      <c r="F1478" s="29">
        <f>ROUND(((SUMIFS(Calendar!$F$2:$F$9997,Calendar!$B$2:$B$9997,D1478,Calendar!$C$2:$C$9997,C1478)*INDEX(ForeCalc!$B$37:$Y$274,MATCH(_xlfn.CONCAT(H1478," ",I1478),ForeCalc!$A$37:$A$274,0),MATCH(_xlfn.CONCAT(B1478," ",E1478),ForeCalc!$B$36:$Y$36,0))))*VLOOKUP(A1478,Calendar!$A$2:$H$9997,8,FALSE),0)</f>
        <v/>
      </c>
      <c r="G1478" s="29">
        <f>VLOOKUP(A1478,Calendar!$A$1:$H$9997,6,FALSE)-F1478</f>
        <v/>
      </c>
      <c r="H1478" s="19" t="n">
        <v>2</v>
      </c>
      <c r="I1478" s="57" t="n">
        <v>1</v>
      </c>
    </row>
    <row r="1479">
      <c r="A1479" s="62" t="n">
        <v>46494</v>
      </c>
      <c r="B1479" s="3" t="inlineStr">
        <is>
          <t>Sat</t>
        </is>
      </c>
      <c r="C1479" s="19" t="n">
        <v>4</v>
      </c>
      <c r="D1479" s="19" t="n">
        <v>2027</v>
      </c>
      <c r="E1479" s="57" t="n">
        <v>2</v>
      </c>
      <c r="F1479" s="29">
        <f>ROUND(((SUMIFS(Calendar!$F$2:$F$9997,Calendar!$B$2:$B$9997,D1479,Calendar!$C$2:$C$9997,C1479)*INDEX(ForeCalc!$B$37:$Y$274,MATCH(_xlfn.CONCAT(H1479," ",I1479),ForeCalc!$A$37:$A$274,0),MATCH(_xlfn.CONCAT(B1479," ",E1479),ForeCalc!$B$36:$Y$36,0))))*VLOOKUP(A1479,Calendar!$A$2:$H$9997,8,FALSE),0)</f>
        <v/>
      </c>
      <c r="G1479" s="29">
        <f>VLOOKUP(A1479,Calendar!$A$1:$H$9997,6,FALSE)-F1479</f>
        <v/>
      </c>
      <c r="H1479" s="19" t="n">
        <v>2</v>
      </c>
      <c r="I1479" s="57" t="n">
        <v>1</v>
      </c>
    </row>
    <row r="1480">
      <c r="A1480" s="62" t="n">
        <v>46495</v>
      </c>
      <c r="B1480" s="3" t="inlineStr">
        <is>
          <t>Sun</t>
        </is>
      </c>
      <c r="C1480" s="19" t="n">
        <v>4</v>
      </c>
      <c r="D1480" s="19" t="n">
        <v>2027</v>
      </c>
      <c r="E1480" s="57" t="n">
        <v>2</v>
      </c>
      <c r="F1480" s="29">
        <f>ROUND(((SUMIFS(Calendar!$F$2:$F$9997,Calendar!$B$2:$B$9997,D1480,Calendar!$C$2:$C$9997,C1480)*INDEX(ForeCalc!$B$37:$Y$274,MATCH(_xlfn.CONCAT(H1480," ",I1480),ForeCalc!$A$37:$A$274,0),MATCH(_xlfn.CONCAT(B1480," ",E1480),ForeCalc!$B$36:$Y$36,0))))*VLOOKUP(A1480,Calendar!$A$2:$H$9997,8,FALSE),0)</f>
        <v/>
      </c>
      <c r="G1480" s="29">
        <f>VLOOKUP(A1480,Calendar!$A$1:$H$9997,6,FALSE)-F1480</f>
        <v/>
      </c>
      <c r="H1480" s="19" t="n">
        <v>2</v>
      </c>
      <c r="I1480" s="57" t="n">
        <v>1</v>
      </c>
    </row>
    <row r="1481">
      <c r="A1481" s="62" t="n">
        <v>46496</v>
      </c>
      <c r="B1481" s="3" t="inlineStr">
        <is>
          <t>Week</t>
        </is>
      </c>
      <c r="C1481" s="19" t="n">
        <v>4</v>
      </c>
      <c r="D1481" s="19" t="n">
        <v>2027</v>
      </c>
      <c r="E1481" s="57" t="n">
        <v>2</v>
      </c>
      <c r="F1481" s="29">
        <f>ROUND(((SUMIFS(Calendar!$F$2:$F$9997,Calendar!$B$2:$B$9997,D1481,Calendar!$C$2:$C$9997,C1481)*INDEX(ForeCalc!$B$37:$Y$274,MATCH(_xlfn.CONCAT(H1481," ",I1481),ForeCalc!$A$37:$A$274,0),MATCH(_xlfn.CONCAT(B1481," ",E1481),ForeCalc!$B$36:$Y$36,0))))*VLOOKUP(A1481,Calendar!$A$2:$H$9997,8,FALSE),0)</f>
        <v/>
      </c>
      <c r="G1481" s="29">
        <f>VLOOKUP(A1481,Calendar!$A$1:$H$9997,6,FALSE)-F1481</f>
        <v/>
      </c>
      <c r="H1481" s="19" t="n">
        <v>2</v>
      </c>
      <c r="I1481" s="57" t="n">
        <v>1</v>
      </c>
    </row>
    <row r="1482">
      <c r="A1482" s="62" t="n">
        <v>46497</v>
      </c>
      <c r="B1482" s="3" t="inlineStr">
        <is>
          <t>Week</t>
        </is>
      </c>
      <c r="C1482" s="19" t="n">
        <v>4</v>
      </c>
      <c r="D1482" s="19" t="n">
        <v>2027</v>
      </c>
      <c r="E1482" s="57" t="n">
        <v>2</v>
      </c>
      <c r="F1482" s="29">
        <f>ROUND(((SUMIFS(Calendar!$F$2:$F$9997,Calendar!$B$2:$B$9997,D1482,Calendar!$C$2:$C$9997,C1482)*INDEX(ForeCalc!$B$37:$Y$274,MATCH(_xlfn.CONCAT(H1482," ",I1482),ForeCalc!$A$37:$A$274,0),MATCH(_xlfn.CONCAT(B1482," ",E1482),ForeCalc!$B$36:$Y$36,0))))*VLOOKUP(A1482,Calendar!$A$2:$H$9997,8,FALSE),0)</f>
        <v/>
      </c>
      <c r="G1482" s="29">
        <f>VLOOKUP(A1482,Calendar!$A$1:$H$9997,6,FALSE)-F1482</f>
        <v/>
      </c>
      <c r="H1482" s="19" t="n">
        <v>2</v>
      </c>
      <c r="I1482" s="57" t="n">
        <v>1</v>
      </c>
    </row>
    <row r="1483">
      <c r="A1483" s="62" t="n">
        <v>46498</v>
      </c>
      <c r="B1483" s="3" t="inlineStr">
        <is>
          <t>Week</t>
        </is>
      </c>
      <c r="C1483" s="19" t="n">
        <v>4</v>
      </c>
      <c r="D1483" s="19" t="n">
        <v>2027</v>
      </c>
      <c r="E1483" s="57" t="n">
        <v>2</v>
      </c>
      <c r="F1483" s="29">
        <f>ROUND(((SUMIFS(Calendar!$F$2:$F$9997,Calendar!$B$2:$B$9997,D1483,Calendar!$C$2:$C$9997,C1483)*INDEX(ForeCalc!$B$37:$Y$274,MATCH(_xlfn.CONCAT(H1483," ",I1483),ForeCalc!$A$37:$A$274,0),MATCH(_xlfn.CONCAT(B1483," ",E1483),ForeCalc!$B$36:$Y$36,0))))*VLOOKUP(A1483,Calendar!$A$2:$H$9997,8,FALSE),0)</f>
        <v/>
      </c>
      <c r="G1483" s="29">
        <f>VLOOKUP(A1483,Calendar!$A$1:$H$9997,6,FALSE)-F1483</f>
        <v/>
      </c>
      <c r="H1483" s="19" t="n">
        <v>2</v>
      </c>
      <c r="I1483" s="57" t="n">
        <v>1</v>
      </c>
    </row>
    <row r="1484">
      <c r="A1484" s="62" t="n">
        <v>46499</v>
      </c>
      <c r="B1484" s="3" t="inlineStr">
        <is>
          <t>Week</t>
        </is>
      </c>
      <c r="C1484" s="19" t="n">
        <v>4</v>
      </c>
      <c r="D1484" s="19" t="n">
        <v>2027</v>
      </c>
      <c r="E1484" s="57" t="n">
        <v>2</v>
      </c>
      <c r="F1484" s="29">
        <f>ROUND(((SUMIFS(Calendar!$F$2:$F$9997,Calendar!$B$2:$B$9997,D1484,Calendar!$C$2:$C$9997,C1484)*INDEX(ForeCalc!$B$37:$Y$274,MATCH(_xlfn.CONCAT(H1484," ",I1484),ForeCalc!$A$37:$A$274,0),MATCH(_xlfn.CONCAT(B1484," ",E1484),ForeCalc!$B$36:$Y$36,0))))*VLOOKUP(A1484,Calendar!$A$2:$H$9997,8,FALSE),0)</f>
        <v/>
      </c>
      <c r="G1484" s="29">
        <f>VLOOKUP(A1484,Calendar!$A$1:$H$9997,6,FALSE)-F1484</f>
        <v/>
      </c>
      <c r="H1484" s="19" t="n">
        <v>2</v>
      </c>
      <c r="I1484" s="57" t="n">
        <v>1</v>
      </c>
    </row>
    <row r="1485">
      <c r="A1485" s="62" t="n">
        <v>46500</v>
      </c>
      <c r="B1485" s="3" t="inlineStr">
        <is>
          <t>Week</t>
        </is>
      </c>
      <c r="C1485" s="19" t="n">
        <v>4</v>
      </c>
      <c r="D1485" s="19" t="n">
        <v>2027</v>
      </c>
      <c r="E1485" s="57" t="n">
        <v>2</v>
      </c>
      <c r="F1485" s="29">
        <f>ROUND(((SUMIFS(Calendar!$F$2:$F$9997,Calendar!$B$2:$B$9997,D1485,Calendar!$C$2:$C$9997,C1485)*INDEX(ForeCalc!$B$37:$Y$274,MATCH(_xlfn.CONCAT(H1485," ",I1485),ForeCalc!$A$37:$A$274,0),MATCH(_xlfn.CONCAT(B1485," ",E1485),ForeCalc!$B$36:$Y$36,0))))*VLOOKUP(A1485,Calendar!$A$2:$H$9997,8,FALSE),0)</f>
        <v/>
      </c>
      <c r="G1485" s="29">
        <f>VLOOKUP(A1485,Calendar!$A$1:$H$9997,6,FALSE)-F1485</f>
        <v/>
      </c>
      <c r="H1485" s="19" t="n">
        <v>2</v>
      </c>
      <c r="I1485" s="57" t="n">
        <v>1</v>
      </c>
    </row>
    <row r="1486">
      <c r="A1486" s="62" t="n">
        <v>46501</v>
      </c>
      <c r="B1486" s="3" t="inlineStr">
        <is>
          <t>Sat</t>
        </is>
      </c>
      <c r="C1486" s="19" t="n">
        <v>4</v>
      </c>
      <c r="D1486" s="19" t="n">
        <v>2027</v>
      </c>
      <c r="E1486" s="57" t="n">
        <v>2</v>
      </c>
      <c r="F1486" s="29">
        <f>ROUND(((SUMIFS(Calendar!$F$2:$F$9997,Calendar!$B$2:$B$9997,D1486,Calendar!$C$2:$C$9997,C1486)*INDEX(ForeCalc!$B$37:$Y$274,MATCH(_xlfn.CONCAT(H1486," ",I1486),ForeCalc!$A$37:$A$274,0),MATCH(_xlfn.CONCAT(B1486," ",E1486),ForeCalc!$B$36:$Y$36,0))))*VLOOKUP(A1486,Calendar!$A$2:$H$9997,8,FALSE),0)</f>
        <v/>
      </c>
      <c r="G1486" s="29">
        <f>VLOOKUP(A1486,Calendar!$A$1:$H$9997,6,FALSE)-F1486</f>
        <v/>
      </c>
      <c r="H1486" s="19" t="n">
        <v>2</v>
      </c>
      <c r="I1486" s="57" t="n">
        <v>1</v>
      </c>
    </row>
    <row r="1487">
      <c r="A1487" s="62" t="n">
        <v>46502</v>
      </c>
      <c r="B1487" s="3" t="inlineStr">
        <is>
          <t>Sun</t>
        </is>
      </c>
      <c r="C1487" s="19" t="n">
        <v>4</v>
      </c>
      <c r="D1487" s="19" t="n">
        <v>2027</v>
      </c>
      <c r="E1487" s="57" t="n">
        <v>2</v>
      </c>
      <c r="F1487" s="29">
        <f>ROUND(((SUMIFS(Calendar!$F$2:$F$9997,Calendar!$B$2:$B$9997,D1487,Calendar!$C$2:$C$9997,C1487)*INDEX(ForeCalc!$B$37:$Y$274,MATCH(_xlfn.CONCAT(H1487," ",I1487),ForeCalc!$A$37:$A$274,0),MATCH(_xlfn.CONCAT(B1487," ",E1487),ForeCalc!$B$36:$Y$36,0))))*VLOOKUP(A1487,Calendar!$A$2:$H$9997,8,FALSE),0)</f>
        <v/>
      </c>
      <c r="G1487" s="29">
        <f>VLOOKUP(A1487,Calendar!$A$1:$H$9997,6,FALSE)-F1487</f>
        <v/>
      </c>
      <c r="H1487" s="19" t="n">
        <v>2</v>
      </c>
      <c r="I1487" s="57" t="n">
        <v>1</v>
      </c>
    </row>
    <row r="1488">
      <c r="A1488" s="62" t="n">
        <v>46503</v>
      </c>
      <c r="B1488" s="3" t="inlineStr">
        <is>
          <t>Week</t>
        </is>
      </c>
      <c r="C1488" s="19" t="n">
        <v>4</v>
      </c>
      <c r="D1488" s="19" t="n">
        <v>2027</v>
      </c>
      <c r="E1488" s="57" t="n">
        <v>2</v>
      </c>
      <c r="F1488" s="29">
        <f>ROUND(((SUMIFS(Calendar!$F$2:$F$9997,Calendar!$B$2:$B$9997,D1488,Calendar!$C$2:$C$9997,C1488)*INDEX(ForeCalc!$B$37:$Y$274,MATCH(_xlfn.CONCAT(H1488," ",I1488),ForeCalc!$A$37:$A$274,0),MATCH(_xlfn.CONCAT(B1488," ",E1488),ForeCalc!$B$36:$Y$36,0))))*VLOOKUP(A1488,Calendar!$A$2:$H$9997,8,FALSE),0)</f>
        <v/>
      </c>
      <c r="G1488" s="29">
        <f>VLOOKUP(A1488,Calendar!$A$1:$H$9997,6,FALSE)-F1488</f>
        <v/>
      </c>
      <c r="H1488" s="19" t="n">
        <v>2</v>
      </c>
      <c r="I1488" s="57" t="n">
        <v>1</v>
      </c>
    </row>
    <row r="1489">
      <c r="A1489" s="62" t="n">
        <v>46504</v>
      </c>
      <c r="B1489" s="3" t="inlineStr">
        <is>
          <t>Week</t>
        </is>
      </c>
      <c r="C1489" s="19" t="n">
        <v>4</v>
      </c>
      <c r="D1489" s="19" t="n">
        <v>2027</v>
      </c>
      <c r="E1489" s="57" t="n">
        <v>2</v>
      </c>
      <c r="F1489" s="29">
        <f>ROUND(((SUMIFS(Calendar!$F$2:$F$9997,Calendar!$B$2:$B$9997,D1489,Calendar!$C$2:$C$9997,C1489)*INDEX(ForeCalc!$B$37:$Y$274,MATCH(_xlfn.CONCAT(H1489," ",I1489),ForeCalc!$A$37:$A$274,0),MATCH(_xlfn.CONCAT(B1489," ",E1489),ForeCalc!$B$36:$Y$36,0))))*VLOOKUP(A1489,Calendar!$A$2:$H$9997,8,FALSE),0)</f>
        <v/>
      </c>
      <c r="G1489" s="29">
        <f>VLOOKUP(A1489,Calendar!$A$1:$H$9997,6,FALSE)-F1489</f>
        <v/>
      </c>
      <c r="H1489" s="19" t="n">
        <v>2</v>
      </c>
      <c r="I1489" s="57" t="n">
        <v>1</v>
      </c>
    </row>
    <row r="1490">
      <c r="A1490" s="62" t="n">
        <v>46505</v>
      </c>
      <c r="B1490" s="3" t="inlineStr">
        <is>
          <t>Week</t>
        </is>
      </c>
      <c r="C1490" s="19" t="n">
        <v>4</v>
      </c>
      <c r="D1490" s="19" t="n">
        <v>2027</v>
      </c>
      <c r="E1490" s="57" t="n">
        <v>2</v>
      </c>
      <c r="F1490" s="29">
        <f>ROUND(((SUMIFS(Calendar!$F$2:$F$9997,Calendar!$B$2:$B$9997,D1490,Calendar!$C$2:$C$9997,C1490)*INDEX(ForeCalc!$B$37:$Y$274,MATCH(_xlfn.CONCAT(H1490," ",I1490),ForeCalc!$A$37:$A$274,0),MATCH(_xlfn.CONCAT(B1490," ",E1490),ForeCalc!$B$36:$Y$36,0))))*VLOOKUP(A1490,Calendar!$A$2:$H$9997,8,FALSE),0)</f>
        <v/>
      </c>
      <c r="G1490" s="29">
        <f>VLOOKUP(A1490,Calendar!$A$1:$H$9997,6,FALSE)-F1490</f>
        <v/>
      </c>
      <c r="H1490" s="19" t="n">
        <v>2</v>
      </c>
      <c r="I1490" s="57" t="n">
        <v>1</v>
      </c>
    </row>
    <row r="1491">
      <c r="A1491" s="62" t="n">
        <v>46506</v>
      </c>
      <c r="B1491" s="3" t="inlineStr">
        <is>
          <t>Week</t>
        </is>
      </c>
      <c r="C1491" s="19" t="n">
        <v>4</v>
      </c>
      <c r="D1491" s="19" t="n">
        <v>2027</v>
      </c>
      <c r="E1491" s="57" t="n">
        <v>2</v>
      </c>
      <c r="F1491" s="29">
        <f>ROUND(((SUMIFS(Calendar!$F$2:$F$9997,Calendar!$B$2:$B$9997,D1491,Calendar!$C$2:$C$9997,C1491)*INDEX(ForeCalc!$B$37:$Y$274,MATCH(_xlfn.CONCAT(H1491," ",I1491),ForeCalc!$A$37:$A$274,0),MATCH(_xlfn.CONCAT(B1491," ",E1491),ForeCalc!$B$36:$Y$36,0))))*VLOOKUP(A1491,Calendar!$A$2:$H$9997,8,FALSE),0)</f>
        <v/>
      </c>
      <c r="G1491" s="29">
        <f>VLOOKUP(A1491,Calendar!$A$1:$H$9997,6,FALSE)-F1491</f>
        <v/>
      </c>
      <c r="H1491" s="19" t="n">
        <v>2</v>
      </c>
      <c r="I1491" s="57" t="n">
        <v>1</v>
      </c>
    </row>
    <row r="1492">
      <c r="A1492" s="62" t="n">
        <v>46507</v>
      </c>
      <c r="B1492" s="3" t="inlineStr">
        <is>
          <t>Week</t>
        </is>
      </c>
      <c r="C1492" s="19" t="n">
        <v>4</v>
      </c>
      <c r="D1492" s="19" t="n">
        <v>2027</v>
      </c>
      <c r="E1492" s="57" t="n">
        <v>2</v>
      </c>
      <c r="F1492" s="29">
        <f>ROUND(((SUMIFS(Calendar!$F$2:$F$9997,Calendar!$B$2:$B$9997,D1492,Calendar!$C$2:$C$9997,C1492)*INDEX(ForeCalc!$B$37:$Y$274,MATCH(_xlfn.CONCAT(H1492," ",I1492),ForeCalc!$A$37:$A$274,0),MATCH(_xlfn.CONCAT(B1492," ",E1492),ForeCalc!$B$36:$Y$36,0))))*VLOOKUP(A1492,Calendar!$A$2:$H$9997,8,FALSE),0)</f>
        <v/>
      </c>
      <c r="G1492" s="29">
        <f>VLOOKUP(A1492,Calendar!$A$1:$H$9997,6,FALSE)-F1492</f>
        <v/>
      </c>
      <c r="H1492" s="19" t="n">
        <v>2</v>
      </c>
      <c r="I1492" s="57" t="n">
        <v>1</v>
      </c>
    </row>
    <row r="1493">
      <c r="A1493" s="62" t="n">
        <v>46508</v>
      </c>
      <c r="B1493" s="3" t="inlineStr">
        <is>
          <t>Sat</t>
        </is>
      </c>
      <c r="C1493" s="19" t="n">
        <v>5</v>
      </c>
      <c r="D1493" s="19" t="n">
        <v>2027</v>
      </c>
      <c r="E1493" s="57" t="n">
        <v>2</v>
      </c>
      <c r="F1493" s="29">
        <f>ROUND(((SUMIFS(Calendar!$F$2:$F$9997,Calendar!$B$2:$B$9997,D1493,Calendar!$C$2:$C$9997,C1493)*INDEX(ForeCalc!$B$37:$Y$274,MATCH(_xlfn.CONCAT(H1493," ",I1493),ForeCalc!$A$37:$A$274,0),MATCH(_xlfn.CONCAT(B1493," ",E1493),ForeCalc!$B$36:$Y$36,0))))*VLOOKUP(A1493,Calendar!$A$2:$H$9997,8,FALSE),0)</f>
        <v/>
      </c>
      <c r="G1493" s="29">
        <f>VLOOKUP(A1493,Calendar!$A$1:$H$9997,6,FALSE)-F1493</f>
        <v/>
      </c>
      <c r="H1493" s="19" t="n">
        <v>2</v>
      </c>
      <c r="I1493" s="57" t="n">
        <v>2</v>
      </c>
    </row>
    <row r="1494">
      <c r="A1494" s="62" t="n">
        <v>46509</v>
      </c>
      <c r="B1494" s="3" t="inlineStr">
        <is>
          <t>Sun</t>
        </is>
      </c>
      <c r="C1494" s="19" t="n">
        <v>5</v>
      </c>
      <c r="D1494" s="19" t="n">
        <v>2027</v>
      </c>
      <c r="E1494" s="57" t="n">
        <v>2</v>
      </c>
      <c r="F1494" s="29">
        <f>ROUND(((SUMIFS(Calendar!$F$2:$F$9997,Calendar!$B$2:$B$9997,D1494,Calendar!$C$2:$C$9997,C1494)*INDEX(ForeCalc!$B$37:$Y$274,MATCH(_xlfn.CONCAT(H1494," ",I1494),ForeCalc!$A$37:$A$274,0),MATCH(_xlfn.CONCAT(B1494," ",E1494),ForeCalc!$B$36:$Y$36,0))))*VLOOKUP(A1494,Calendar!$A$2:$H$9997,8,FALSE),0)</f>
        <v/>
      </c>
      <c r="G1494" s="29">
        <f>VLOOKUP(A1494,Calendar!$A$1:$H$9997,6,FALSE)-F1494</f>
        <v/>
      </c>
      <c r="H1494" s="19" t="n">
        <v>2</v>
      </c>
      <c r="I1494" s="57" t="n">
        <v>2</v>
      </c>
    </row>
    <row r="1495">
      <c r="A1495" s="62" t="n">
        <v>46510</v>
      </c>
      <c r="B1495" s="3" t="inlineStr">
        <is>
          <t>Week</t>
        </is>
      </c>
      <c r="C1495" s="19" t="n">
        <v>5</v>
      </c>
      <c r="D1495" s="19" t="n">
        <v>2027</v>
      </c>
      <c r="E1495" s="57" t="n">
        <v>2</v>
      </c>
      <c r="F1495" s="29">
        <f>ROUND(((SUMIFS(Calendar!$F$2:$F$9997,Calendar!$B$2:$B$9997,D1495,Calendar!$C$2:$C$9997,C1495)*INDEX(ForeCalc!$B$37:$Y$274,MATCH(_xlfn.CONCAT(H1495," ",I1495),ForeCalc!$A$37:$A$274,0),MATCH(_xlfn.CONCAT(B1495," ",E1495),ForeCalc!$B$36:$Y$36,0))))*VLOOKUP(A1495,Calendar!$A$2:$H$9997,8,FALSE),0)</f>
        <v/>
      </c>
      <c r="G1495" s="29">
        <f>VLOOKUP(A1495,Calendar!$A$1:$H$9997,6,FALSE)-F1495</f>
        <v/>
      </c>
      <c r="H1495" s="19" t="n">
        <v>2</v>
      </c>
      <c r="I1495" s="57" t="n">
        <v>2</v>
      </c>
    </row>
    <row r="1496">
      <c r="A1496" s="62" t="n">
        <v>46511</v>
      </c>
      <c r="B1496" s="3" t="inlineStr">
        <is>
          <t>Week</t>
        </is>
      </c>
      <c r="C1496" s="19" t="n">
        <v>5</v>
      </c>
      <c r="D1496" s="19" t="n">
        <v>2027</v>
      </c>
      <c r="E1496" s="57" t="n">
        <v>2</v>
      </c>
      <c r="F1496" s="29">
        <f>ROUND(((SUMIFS(Calendar!$F$2:$F$9997,Calendar!$B$2:$B$9997,D1496,Calendar!$C$2:$C$9997,C1496)*INDEX(ForeCalc!$B$37:$Y$274,MATCH(_xlfn.CONCAT(H1496," ",I1496),ForeCalc!$A$37:$A$274,0),MATCH(_xlfn.CONCAT(B1496," ",E1496),ForeCalc!$B$36:$Y$36,0))))*VLOOKUP(A1496,Calendar!$A$2:$H$9997,8,FALSE),0)</f>
        <v/>
      </c>
      <c r="G1496" s="29">
        <f>VLOOKUP(A1496,Calendar!$A$1:$H$9997,6,FALSE)-F1496</f>
        <v/>
      </c>
      <c r="H1496" s="19" t="n">
        <v>2</v>
      </c>
      <c r="I1496" s="57" t="n">
        <v>2</v>
      </c>
    </row>
    <row r="1497">
      <c r="A1497" s="62" t="n">
        <v>46512</v>
      </c>
      <c r="B1497" s="3" t="inlineStr">
        <is>
          <t>Week</t>
        </is>
      </c>
      <c r="C1497" s="19" t="n">
        <v>5</v>
      </c>
      <c r="D1497" s="19" t="n">
        <v>2027</v>
      </c>
      <c r="E1497" s="57" t="n">
        <v>2</v>
      </c>
      <c r="F1497" s="29">
        <f>ROUND(((SUMIFS(Calendar!$F$2:$F$9997,Calendar!$B$2:$B$9997,D1497,Calendar!$C$2:$C$9997,C1497)*INDEX(ForeCalc!$B$37:$Y$274,MATCH(_xlfn.CONCAT(H1497," ",I1497),ForeCalc!$A$37:$A$274,0),MATCH(_xlfn.CONCAT(B1497," ",E1497),ForeCalc!$B$36:$Y$36,0))))*VLOOKUP(A1497,Calendar!$A$2:$H$9997,8,FALSE),0)</f>
        <v/>
      </c>
      <c r="G1497" s="29">
        <f>VLOOKUP(A1497,Calendar!$A$1:$H$9997,6,FALSE)-F1497</f>
        <v/>
      </c>
      <c r="H1497" s="19" t="n">
        <v>2</v>
      </c>
      <c r="I1497" s="57" t="n">
        <v>2</v>
      </c>
    </row>
    <row r="1498">
      <c r="A1498" s="62" t="n">
        <v>46513</v>
      </c>
      <c r="B1498" s="3" t="inlineStr">
        <is>
          <t>Week</t>
        </is>
      </c>
      <c r="C1498" s="19" t="n">
        <v>5</v>
      </c>
      <c r="D1498" s="19" t="n">
        <v>2027</v>
      </c>
      <c r="E1498" s="57" t="n">
        <v>2</v>
      </c>
      <c r="F1498" s="29">
        <f>ROUND(((SUMIFS(Calendar!$F$2:$F$9997,Calendar!$B$2:$B$9997,D1498,Calendar!$C$2:$C$9997,C1498)*INDEX(ForeCalc!$B$37:$Y$274,MATCH(_xlfn.CONCAT(H1498," ",I1498),ForeCalc!$A$37:$A$274,0),MATCH(_xlfn.CONCAT(B1498," ",E1498),ForeCalc!$B$36:$Y$36,0))))*VLOOKUP(A1498,Calendar!$A$2:$H$9997,8,FALSE),0)</f>
        <v/>
      </c>
      <c r="G1498" s="29">
        <f>VLOOKUP(A1498,Calendar!$A$1:$H$9997,6,FALSE)-F1498</f>
        <v/>
      </c>
      <c r="H1498" s="19" t="n">
        <v>2</v>
      </c>
      <c r="I1498" s="57" t="n">
        <v>2</v>
      </c>
    </row>
    <row r="1499">
      <c r="A1499" s="62" t="n">
        <v>46514</v>
      </c>
      <c r="B1499" s="3" t="inlineStr">
        <is>
          <t>Week</t>
        </is>
      </c>
      <c r="C1499" s="19" t="n">
        <v>5</v>
      </c>
      <c r="D1499" s="19" t="n">
        <v>2027</v>
      </c>
      <c r="E1499" s="57" t="n">
        <v>2</v>
      </c>
      <c r="F1499" s="29">
        <f>ROUND(((SUMIFS(Calendar!$F$2:$F$9997,Calendar!$B$2:$B$9997,D1499,Calendar!$C$2:$C$9997,C1499)*INDEX(ForeCalc!$B$37:$Y$274,MATCH(_xlfn.CONCAT(H1499," ",I1499),ForeCalc!$A$37:$A$274,0),MATCH(_xlfn.CONCAT(B1499," ",E1499),ForeCalc!$B$36:$Y$36,0))))*VLOOKUP(A1499,Calendar!$A$2:$H$9997,8,FALSE),0)</f>
        <v/>
      </c>
      <c r="G1499" s="29">
        <f>VLOOKUP(A1499,Calendar!$A$1:$H$9997,6,FALSE)-F1499</f>
        <v/>
      </c>
      <c r="H1499" s="19" t="n">
        <v>2</v>
      </c>
      <c r="I1499" s="57" t="n">
        <v>2</v>
      </c>
    </row>
    <row r="1500">
      <c r="A1500" s="62" t="n">
        <v>46515</v>
      </c>
      <c r="B1500" s="3" t="inlineStr">
        <is>
          <t>Sat</t>
        </is>
      </c>
      <c r="C1500" s="19" t="n">
        <v>5</v>
      </c>
      <c r="D1500" s="19" t="n">
        <v>2027</v>
      </c>
      <c r="E1500" s="57" t="n">
        <v>2</v>
      </c>
      <c r="F1500" s="29">
        <f>ROUND(((SUMIFS(Calendar!$F$2:$F$9997,Calendar!$B$2:$B$9997,D1500,Calendar!$C$2:$C$9997,C1500)*INDEX(ForeCalc!$B$37:$Y$274,MATCH(_xlfn.CONCAT(H1500," ",I1500),ForeCalc!$A$37:$A$274,0),MATCH(_xlfn.CONCAT(B1500," ",E1500),ForeCalc!$B$36:$Y$36,0))))*VLOOKUP(A1500,Calendar!$A$2:$H$9997,8,FALSE),0)</f>
        <v/>
      </c>
      <c r="G1500" s="29">
        <f>VLOOKUP(A1500,Calendar!$A$1:$H$9997,6,FALSE)-F1500</f>
        <v/>
      </c>
      <c r="H1500" s="19" t="n">
        <v>2</v>
      </c>
      <c r="I1500" s="57" t="n">
        <v>2</v>
      </c>
    </row>
    <row r="1501">
      <c r="A1501" s="62" t="n">
        <v>46516</v>
      </c>
      <c r="B1501" s="3" t="inlineStr">
        <is>
          <t>Sun</t>
        </is>
      </c>
      <c r="C1501" s="19" t="n">
        <v>5</v>
      </c>
      <c r="D1501" s="19" t="n">
        <v>2027</v>
      </c>
      <c r="E1501" s="57" t="n">
        <v>2</v>
      </c>
      <c r="F1501" s="29">
        <f>ROUND(((SUMIFS(Calendar!$F$2:$F$9997,Calendar!$B$2:$B$9997,D1501,Calendar!$C$2:$C$9997,C1501)*INDEX(ForeCalc!$B$37:$Y$274,MATCH(_xlfn.CONCAT(H1501," ",I1501),ForeCalc!$A$37:$A$274,0),MATCH(_xlfn.CONCAT(B1501," ",E1501),ForeCalc!$B$36:$Y$36,0))))*VLOOKUP(A1501,Calendar!$A$2:$H$9997,8,FALSE),0)</f>
        <v/>
      </c>
      <c r="G1501" s="29">
        <f>VLOOKUP(A1501,Calendar!$A$1:$H$9997,6,FALSE)-F1501</f>
        <v/>
      </c>
      <c r="H1501" s="19" t="n">
        <v>2</v>
      </c>
      <c r="I1501" s="57" t="n">
        <v>2</v>
      </c>
    </row>
    <row r="1502">
      <c r="A1502" s="62" t="n">
        <v>46517</v>
      </c>
      <c r="B1502" s="3" t="inlineStr">
        <is>
          <t>Week</t>
        </is>
      </c>
      <c r="C1502" s="19" t="n">
        <v>5</v>
      </c>
      <c r="D1502" s="19" t="n">
        <v>2027</v>
      </c>
      <c r="E1502" s="57" t="n">
        <v>2</v>
      </c>
      <c r="F1502" s="29">
        <f>ROUND(((SUMIFS(Calendar!$F$2:$F$9997,Calendar!$B$2:$B$9997,D1502,Calendar!$C$2:$C$9997,C1502)*INDEX(ForeCalc!$B$37:$Y$274,MATCH(_xlfn.CONCAT(H1502," ",I1502),ForeCalc!$A$37:$A$274,0),MATCH(_xlfn.CONCAT(B1502," ",E1502),ForeCalc!$B$36:$Y$36,0))))*VLOOKUP(A1502,Calendar!$A$2:$H$9997,8,FALSE),0)</f>
        <v/>
      </c>
      <c r="G1502" s="29">
        <f>VLOOKUP(A1502,Calendar!$A$1:$H$9997,6,FALSE)-F1502</f>
        <v/>
      </c>
      <c r="H1502" s="19" t="n">
        <v>2</v>
      </c>
      <c r="I1502" s="57" t="n">
        <v>2</v>
      </c>
    </row>
    <row r="1503">
      <c r="A1503" s="62" t="n">
        <v>46518</v>
      </c>
      <c r="B1503" s="3" t="inlineStr">
        <is>
          <t>Week</t>
        </is>
      </c>
      <c r="C1503" s="19" t="n">
        <v>5</v>
      </c>
      <c r="D1503" s="19" t="n">
        <v>2027</v>
      </c>
      <c r="E1503" s="57" t="n">
        <v>2</v>
      </c>
      <c r="F1503" s="29">
        <f>ROUND(((SUMIFS(Calendar!$F$2:$F$9997,Calendar!$B$2:$B$9997,D1503,Calendar!$C$2:$C$9997,C1503)*INDEX(ForeCalc!$B$37:$Y$274,MATCH(_xlfn.CONCAT(H1503," ",I1503),ForeCalc!$A$37:$A$274,0),MATCH(_xlfn.CONCAT(B1503," ",E1503),ForeCalc!$B$36:$Y$36,0))))*VLOOKUP(A1503,Calendar!$A$2:$H$9997,8,FALSE),0)</f>
        <v/>
      </c>
      <c r="G1503" s="29">
        <f>VLOOKUP(A1503,Calendar!$A$1:$H$9997,6,FALSE)-F1503</f>
        <v/>
      </c>
      <c r="H1503" s="19" t="n">
        <v>2</v>
      </c>
      <c r="I1503" s="57" t="n">
        <v>2</v>
      </c>
    </row>
    <row r="1504">
      <c r="A1504" s="62" t="n">
        <v>46519</v>
      </c>
      <c r="B1504" s="3" t="inlineStr">
        <is>
          <t>Week</t>
        </is>
      </c>
      <c r="C1504" s="19" t="n">
        <v>5</v>
      </c>
      <c r="D1504" s="19" t="n">
        <v>2027</v>
      </c>
      <c r="E1504" s="57" t="n">
        <v>2</v>
      </c>
      <c r="F1504" s="29">
        <f>ROUND(((SUMIFS(Calendar!$F$2:$F$9997,Calendar!$B$2:$B$9997,D1504,Calendar!$C$2:$C$9997,C1504)*INDEX(ForeCalc!$B$37:$Y$274,MATCH(_xlfn.CONCAT(H1504," ",I1504),ForeCalc!$A$37:$A$274,0),MATCH(_xlfn.CONCAT(B1504," ",E1504),ForeCalc!$B$36:$Y$36,0))))*VLOOKUP(A1504,Calendar!$A$2:$H$9997,8,FALSE),0)</f>
        <v/>
      </c>
      <c r="G1504" s="29">
        <f>VLOOKUP(A1504,Calendar!$A$1:$H$9997,6,FALSE)-F1504</f>
        <v/>
      </c>
      <c r="H1504" s="19" t="n">
        <v>2</v>
      </c>
      <c r="I1504" s="57" t="n">
        <v>2</v>
      </c>
    </row>
    <row r="1505">
      <c r="A1505" s="62" t="n">
        <v>46520</v>
      </c>
      <c r="B1505" s="3" t="inlineStr">
        <is>
          <t>Week</t>
        </is>
      </c>
      <c r="C1505" s="19" t="n">
        <v>5</v>
      </c>
      <c r="D1505" s="19" t="n">
        <v>2027</v>
      </c>
      <c r="E1505" s="57" t="n">
        <v>2</v>
      </c>
      <c r="F1505" s="29">
        <f>ROUND(((SUMIFS(Calendar!$F$2:$F$9997,Calendar!$B$2:$B$9997,D1505,Calendar!$C$2:$C$9997,C1505)*INDEX(ForeCalc!$B$37:$Y$274,MATCH(_xlfn.CONCAT(H1505," ",I1505),ForeCalc!$A$37:$A$274,0),MATCH(_xlfn.CONCAT(B1505," ",E1505),ForeCalc!$B$36:$Y$36,0))))*VLOOKUP(A1505,Calendar!$A$2:$H$9997,8,FALSE),0)</f>
        <v/>
      </c>
      <c r="G1505" s="29">
        <f>VLOOKUP(A1505,Calendar!$A$1:$H$9997,6,FALSE)-F1505</f>
        <v/>
      </c>
      <c r="H1505" s="19" t="n">
        <v>2</v>
      </c>
      <c r="I1505" s="57" t="n">
        <v>2</v>
      </c>
    </row>
    <row r="1506">
      <c r="A1506" s="62" t="n">
        <v>46521</v>
      </c>
      <c r="B1506" s="3" t="inlineStr">
        <is>
          <t>Week</t>
        </is>
      </c>
      <c r="C1506" s="19" t="n">
        <v>5</v>
      </c>
      <c r="D1506" s="19" t="n">
        <v>2027</v>
      </c>
      <c r="E1506" s="57" t="n">
        <v>2</v>
      </c>
      <c r="F1506" s="29">
        <f>ROUND(((SUMIFS(Calendar!$F$2:$F$9997,Calendar!$B$2:$B$9997,D1506,Calendar!$C$2:$C$9997,C1506)*INDEX(ForeCalc!$B$37:$Y$274,MATCH(_xlfn.CONCAT(H1506," ",I1506),ForeCalc!$A$37:$A$274,0),MATCH(_xlfn.CONCAT(B1506," ",E1506),ForeCalc!$B$36:$Y$36,0))))*VLOOKUP(A1506,Calendar!$A$2:$H$9997,8,FALSE),0)</f>
        <v/>
      </c>
      <c r="G1506" s="29">
        <f>VLOOKUP(A1506,Calendar!$A$1:$H$9997,6,FALSE)-F1506</f>
        <v/>
      </c>
      <c r="H1506" s="19" t="n">
        <v>2</v>
      </c>
      <c r="I1506" s="57" t="n">
        <v>2</v>
      </c>
    </row>
    <row r="1507">
      <c r="A1507" s="62" t="n">
        <v>46522</v>
      </c>
      <c r="B1507" s="3" t="inlineStr">
        <is>
          <t>Sat</t>
        </is>
      </c>
      <c r="C1507" s="19" t="n">
        <v>5</v>
      </c>
      <c r="D1507" s="19" t="n">
        <v>2027</v>
      </c>
      <c r="E1507" s="57" t="n">
        <v>2</v>
      </c>
      <c r="F1507" s="29">
        <f>ROUND(((SUMIFS(Calendar!$F$2:$F$9997,Calendar!$B$2:$B$9997,D1507,Calendar!$C$2:$C$9997,C1507)*INDEX(ForeCalc!$B$37:$Y$274,MATCH(_xlfn.CONCAT(H1507," ",I1507),ForeCalc!$A$37:$A$274,0),MATCH(_xlfn.CONCAT(B1507," ",E1507),ForeCalc!$B$36:$Y$36,0))))*VLOOKUP(A1507,Calendar!$A$2:$H$9997,8,FALSE),0)</f>
        <v/>
      </c>
      <c r="G1507" s="29">
        <f>VLOOKUP(A1507,Calendar!$A$1:$H$9997,6,FALSE)-F1507</f>
        <v/>
      </c>
      <c r="H1507" s="19" t="n">
        <v>2</v>
      </c>
      <c r="I1507" s="57" t="n">
        <v>2</v>
      </c>
    </row>
    <row r="1508">
      <c r="A1508" s="62" t="n">
        <v>46523</v>
      </c>
      <c r="B1508" s="3" t="inlineStr">
        <is>
          <t>Sun</t>
        </is>
      </c>
      <c r="C1508" s="19" t="n">
        <v>5</v>
      </c>
      <c r="D1508" s="19" t="n">
        <v>2027</v>
      </c>
      <c r="E1508" s="57" t="n">
        <v>2</v>
      </c>
      <c r="F1508" s="29">
        <f>ROUND(((SUMIFS(Calendar!$F$2:$F$9997,Calendar!$B$2:$B$9997,D1508,Calendar!$C$2:$C$9997,C1508)*INDEX(ForeCalc!$B$37:$Y$274,MATCH(_xlfn.CONCAT(H1508," ",I1508),ForeCalc!$A$37:$A$274,0),MATCH(_xlfn.CONCAT(B1508," ",E1508),ForeCalc!$B$36:$Y$36,0))))*VLOOKUP(A1508,Calendar!$A$2:$H$9997,8,FALSE),0)</f>
        <v/>
      </c>
      <c r="G1508" s="29">
        <f>VLOOKUP(A1508,Calendar!$A$1:$H$9997,6,FALSE)-F1508</f>
        <v/>
      </c>
      <c r="H1508" s="19" t="n">
        <v>2</v>
      </c>
      <c r="I1508" s="57" t="n">
        <v>2</v>
      </c>
    </row>
    <row r="1509">
      <c r="A1509" s="62" t="n">
        <v>46524</v>
      </c>
      <c r="B1509" s="3" t="inlineStr">
        <is>
          <t>Week</t>
        </is>
      </c>
      <c r="C1509" s="19" t="n">
        <v>5</v>
      </c>
      <c r="D1509" s="19" t="n">
        <v>2027</v>
      </c>
      <c r="E1509" s="57" t="n">
        <v>2</v>
      </c>
      <c r="F1509" s="29">
        <f>ROUND(((SUMIFS(Calendar!$F$2:$F$9997,Calendar!$B$2:$B$9997,D1509,Calendar!$C$2:$C$9997,C1509)*INDEX(ForeCalc!$B$37:$Y$274,MATCH(_xlfn.CONCAT(H1509," ",I1509),ForeCalc!$A$37:$A$274,0),MATCH(_xlfn.CONCAT(B1509," ",E1509),ForeCalc!$B$36:$Y$36,0))))*VLOOKUP(A1509,Calendar!$A$2:$H$9997,8,FALSE),0)</f>
        <v/>
      </c>
      <c r="G1509" s="29">
        <f>VLOOKUP(A1509,Calendar!$A$1:$H$9997,6,FALSE)-F1509</f>
        <v/>
      </c>
      <c r="H1509" s="19" t="n">
        <v>2</v>
      </c>
      <c r="I1509" s="57" t="n">
        <v>2</v>
      </c>
    </row>
    <row r="1510">
      <c r="A1510" s="62" t="n">
        <v>46525</v>
      </c>
      <c r="B1510" s="3" t="inlineStr">
        <is>
          <t>Week</t>
        </is>
      </c>
      <c r="C1510" s="19" t="n">
        <v>5</v>
      </c>
      <c r="D1510" s="19" t="n">
        <v>2027</v>
      </c>
      <c r="E1510" s="57" t="n">
        <v>2</v>
      </c>
      <c r="F1510" s="29">
        <f>ROUND(((SUMIFS(Calendar!$F$2:$F$9997,Calendar!$B$2:$B$9997,D1510,Calendar!$C$2:$C$9997,C1510)*INDEX(ForeCalc!$B$37:$Y$274,MATCH(_xlfn.CONCAT(H1510," ",I1510),ForeCalc!$A$37:$A$274,0),MATCH(_xlfn.CONCAT(B1510," ",E1510),ForeCalc!$B$36:$Y$36,0))))*VLOOKUP(A1510,Calendar!$A$2:$H$9997,8,FALSE),0)</f>
        <v/>
      </c>
      <c r="G1510" s="29">
        <f>VLOOKUP(A1510,Calendar!$A$1:$H$9997,6,FALSE)-F1510</f>
        <v/>
      </c>
      <c r="H1510" s="19" t="n">
        <v>2</v>
      </c>
      <c r="I1510" s="57" t="n">
        <v>2</v>
      </c>
    </row>
    <row r="1511">
      <c r="A1511" s="62" t="n">
        <v>46526</v>
      </c>
      <c r="B1511" s="3" t="inlineStr">
        <is>
          <t>Week</t>
        </is>
      </c>
      <c r="C1511" s="19" t="n">
        <v>5</v>
      </c>
      <c r="D1511" s="19" t="n">
        <v>2027</v>
      </c>
      <c r="E1511" s="57" t="n">
        <v>2</v>
      </c>
      <c r="F1511" s="29">
        <f>ROUND(((SUMIFS(Calendar!$F$2:$F$9997,Calendar!$B$2:$B$9997,D1511,Calendar!$C$2:$C$9997,C1511)*INDEX(ForeCalc!$B$37:$Y$274,MATCH(_xlfn.CONCAT(H1511," ",I1511),ForeCalc!$A$37:$A$274,0),MATCH(_xlfn.CONCAT(B1511," ",E1511),ForeCalc!$B$36:$Y$36,0))))*VLOOKUP(A1511,Calendar!$A$2:$H$9997,8,FALSE),0)</f>
        <v/>
      </c>
      <c r="G1511" s="29">
        <f>VLOOKUP(A1511,Calendar!$A$1:$H$9997,6,FALSE)-F1511</f>
        <v/>
      </c>
      <c r="H1511" s="19" t="n">
        <v>2</v>
      </c>
      <c r="I1511" s="57" t="n">
        <v>2</v>
      </c>
    </row>
    <row r="1512">
      <c r="A1512" s="62" t="n">
        <v>46527</v>
      </c>
      <c r="B1512" s="3" t="inlineStr">
        <is>
          <t>Week</t>
        </is>
      </c>
      <c r="C1512" s="19" t="n">
        <v>5</v>
      </c>
      <c r="D1512" s="19" t="n">
        <v>2027</v>
      </c>
      <c r="E1512" s="57" t="n">
        <v>2</v>
      </c>
      <c r="F1512" s="29">
        <f>ROUND(((SUMIFS(Calendar!$F$2:$F$9997,Calendar!$B$2:$B$9997,D1512,Calendar!$C$2:$C$9997,C1512)*INDEX(ForeCalc!$B$37:$Y$274,MATCH(_xlfn.CONCAT(H1512," ",I1512),ForeCalc!$A$37:$A$274,0),MATCH(_xlfn.CONCAT(B1512," ",E1512),ForeCalc!$B$36:$Y$36,0))))*VLOOKUP(A1512,Calendar!$A$2:$H$9997,8,FALSE),0)</f>
        <v/>
      </c>
      <c r="G1512" s="29">
        <f>VLOOKUP(A1512,Calendar!$A$1:$H$9997,6,FALSE)-F1512</f>
        <v/>
      </c>
      <c r="H1512" s="19" t="n">
        <v>2</v>
      </c>
      <c r="I1512" s="57" t="n">
        <v>2</v>
      </c>
    </row>
    <row r="1513">
      <c r="A1513" s="62" t="n">
        <v>46528</v>
      </c>
      <c r="B1513" s="3" t="inlineStr">
        <is>
          <t>Week</t>
        </is>
      </c>
      <c r="C1513" s="19" t="n">
        <v>5</v>
      </c>
      <c r="D1513" s="19" t="n">
        <v>2027</v>
      </c>
      <c r="E1513" s="57" t="n">
        <v>2</v>
      </c>
      <c r="F1513" s="29">
        <f>ROUND(((SUMIFS(Calendar!$F$2:$F$9997,Calendar!$B$2:$B$9997,D1513,Calendar!$C$2:$C$9997,C1513)*INDEX(ForeCalc!$B$37:$Y$274,MATCH(_xlfn.CONCAT(H1513," ",I1513),ForeCalc!$A$37:$A$274,0),MATCH(_xlfn.CONCAT(B1513," ",E1513),ForeCalc!$B$36:$Y$36,0))))*VLOOKUP(A1513,Calendar!$A$2:$H$9997,8,FALSE),0)</f>
        <v/>
      </c>
      <c r="G1513" s="29">
        <f>VLOOKUP(A1513,Calendar!$A$1:$H$9997,6,FALSE)-F1513</f>
        <v/>
      </c>
      <c r="H1513" s="19" t="n">
        <v>2</v>
      </c>
      <c r="I1513" s="57" t="n">
        <v>2</v>
      </c>
    </row>
    <row r="1514">
      <c r="A1514" s="62" t="n">
        <v>46529</v>
      </c>
      <c r="B1514" s="3" t="inlineStr">
        <is>
          <t>Sat</t>
        </is>
      </c>
      <c r="C1514" s="19" t="n">
        <v>5</v>
      </c>
      <c r="D1514" s="19" t="n">
        <v>2027</v>
      </c>
      <c r="E1514" s="57" t="n">
        <v>2</v>
      </c>
      <c r="F1514" s="29">
        <f>ROUND(((SUMIFS(Calendar!$F$2:$F$9997,Calendar!$B$2:$B$9997,D1514,Calendar!$C$2:$C$9997,C1514)*INDEX(ForeCalc!$B$37:$Y$274,MATCH(_xlfn.CONCAT(H1514," ",I1514),ForeCalc!$A$37:$A$274,0),MATCH(_xlfn.CONCAT(B1514," ",E1514),ForeCalc!$B$36:$Y$36,0))))*VLOOKUP(A1514,Calendar!$A$2:$H$9997,8,FALSE),0)</f>
        <v/>
      </c>
      <c r="G1514" s="29">
        <f>VLOOKUP(A1514,Calendar!$A$1:$H$9997,6,FALSE)-F1514</f>
        <v/>
      </c>
      <c r="H1514" s="19" t="n">
        <v>2</v>
      </c>
      <c r="I1514" s="57" t="n">
        <v>2</v>
      </c>
    </row>
    <row r="1515">
      <c r="A1515" s="62" t="n">
        <v>46530</v>
      </c>
      <c r="B1515" s="3" t="inlineStr">
        <is>
          <t>Sun</t>
        </is>
      </c>
      <c r="C1515" s="19" t="n">
        <v>5</v>
      </c>
      <c r="D1515" s="19" t="n">
        <v>2027</v>
      </c>
      <c r="E1515" s="57" t="n">
        <v>2</v>
      </c>
      <c r="F1515" s="29">
        <f>ROUND(((SUMIFS(Calendar!$F$2:$F$9997,Calendar!$B$2:$B$9997,D1515,Calendar!$C$2:$C$9997,C1515)*INDEX(ForeCalc!$B$37:$Y$274,MATCH(_xlfn.CONCAT(H1515," ",I1515),ForeCalc!$A$37:$A$274,0),MATCH(_xlfn.CONCAT(B1515," ",E1515),ForeCalc!$B$36:$Y$36,0))))*VLOOKUP(A1515,Calendar!$A$2:$H$9997,8,FALSE),0)</f>
        <v/>
      </c>
      <c r="G1515" s="29">
        <f>VLOOKUP(A1515,Calendar!$A$1:$H$9997,6,FALSE)-F1515</f>
        <v/>
      </c>
      <c r="H1515" s="19" t="n">
        <v>2</v>
      </c>
      <c r="I1515" s="57" t="n">
        <v>2</v>
      </c>
    </row>
    <row r="1516">
      <c r="A1516" s="62" t="n">
        <v>46531</v>
      </c>
      <c r="B1516" s="3" t="inlineStr">
        <is>
          <t>Week</t>
        </is>
      </c>
      <c r="C1516" s="19" t="n">
        <v>5</v>
      </c>
      <c r="D1516" s="19" t="n">
        <v>2027</v>
      </c>
      <c r="E1516" s="57" t="n">
        <v>2</v>
      </c>
      <c r="F1516" s="29">
        <f>ROUND(((SUMIFS(Calendar!$F$2:$F$9997,Calendar!$B$2:$B$9997,D1516,Calendar!$C$2:$C$9997,C1516)*INDEX(ForeCalc!$B$37:$Y$274,MATCH(_xlfn.CONCAT(H1516," ",I1516),ForeCalc!$A$37:$A$274,0),MATCH(_xlfn.CONCAT(B1516," ",E1516),ForeCalc!$B$36:$Y$36,0))))*VLOOKUP(A1516,Calendar!$A$2:$H$9997,8,FALSE),0)</f>
        <v/>
      </c>
      <c r="G1516" s="29">
        <f>VLOOKUP(A1516,Calendar!$A$1:$H$9997,6,FALSE)-F1516</f>
        <v/>
      </c>
      <c r="H1516" s="19" t="n">
        <v>2</v>
      </c>
      <c r="I1516" s="57" t="n">
        <v>2</v>
      </c>
    </row>
    <row r="1517">
      <c r="A1517" s="62" t="n">
        <v>46532</v>
      </c>
      <c r="B1517" s="3" t="inlineStr">
        <is>
          <t>Week</t>
        </is>
      </c>
      <c r="C1517" s="19" t="n">
        <v>5</v>
      </c>
      <c r="D1517" s="19" t="n">
        <v>2027</v>
      </c>
      <c r="E1517" s="57" t="n">
        <v>2</v>
      </c>
      <c r="F1517" s="29">
        <f>ROUND(((SUMIFS(Calendar!$F$2:$F$9997,Calendar!$B$2:$B$9997,D1517,Calendar!$C$2:$C$9997,C1517)*INDEX(ForeCalc!$B$37:$Y$274,MATCH(_xlfn.CONCAT(H1517," ",I1517),ForeCalc!$A$37:$A$274,0),MATCH(_xlfn.CONCAT(B1517," ",E1517),ForeCalc!$B$36:$Y$36,0))))*VLOOKUP(A1517,Calendar!$A$2:$H$9997,8,FALSE),0)</f>
        <v/>
      </c>
      <c r="G1517" s="29">
        <f>VLOOKUP(A1517,Calendar!$A$1:$H$9997,6,FALSE)-F1517</f>
        <v/>
      </c>
      <c r="H1517" s="19" t="n">
        <v>2</v>
      </c>
      <c r="I1517" s="57" t="n">
        <v>2</v>
      </c>
    </row>
    <row r="1518">
      <c r="A1518" s="62" t="n">
        <v>46533</v>
      </c>
      <c r="B1518" s="3" t="inlineStr">
        <is>
          <t>Week</t>
        </is>
      </c>
      <c r="C1518" s="19" t="n">
        <v>5</v>
      </c>
      <c r="D1518" s="19" t="n">
        <v>2027</v>
      </c>
      <c r="E1518" s="57" t="n">
        <v>2</v>
      </c>
      <c r="F1518" s="29">
        <f>ROUND(((SUMIFS(Calendar!$F$2:$F$9997,Calendar!$B$2:$B$9997,D1518,Calendar!$C$2:$C$9997,C1518)*INDEX(ForeCalc!$B$37:$Y$274,MATCH(_xlfn.CONCAT(H1518," ",I1518),ForeCalc!$A$37:$A$274,0),MATCH(_xlfn.CONCAT(B1518," ",E1518),ForeCalc!$B$36:$Y$36,0))))*VLOOKUP(A1518,Calendar!$A$2:$H$9997,8,FALSE),0)</f>
        <v/>
      </c>
      <c r="G1518" s="29">
        <f>VLOOKUP(A1518,Calendar!$A$1:$H$9997,6,FALSE)-F1518</f>
        <v/>
      </c>
      <c r="H1518" s="19" t="n">
        <v>2</v>
      </c>
      <c r="I1518" s="57" t="n">
        <v>2</v>
      </c>
    </row>
    <row r="1519">
      <c r="A1519" s="62" t="n">
        <v>46534</v>
      </c>
      <c r="B1519" s="3" t="inlineStr">
        <is>
          <t>Week</t>
        </is>
      </c>
      <c r="C1519" s="19" t="n">
        <v>5</v>
      </c>
      <c r="D1519" s="19" t="n">
        <v>2027</v>
      </c>
      <c r="E1519" s="57" t="n">
        <v>2</v>
      </c>
      <c r="F1519" s="29">
        <f>ROUND(((SUMIFS(Calendar!$F$2:$F$9997,Calendar!$B$2:$B$9997,D1519,Calendar!$C$2:$C$9997,C1519)*INDEX(ForeCalc!$B$37:$Y$274,MATCH(_xlfn.CONCAT(H1519," ",I1519),ForeCalc!$A$37:$A$274,0),MATCH(_xlfn.CONCAT(B1519," ",E1519),ForeCalc!$B$36:$Y$36,0))))*VLOOKUP(A1519,Calendar!$A$2:$H$9997,8,FALSE),0)</f>
        <v/>
      </c>
      <c r="G1519" s="29">
        <f>VLOOKUP(A1519,Calendar!$A$1:$H$9997,6,FALSE)-F1519</f>
        <v/>
      </c>
      <c r="H1519" s="19" t="n">
        <v>2</v>
      </c>
      <c r="I1519" s="57" t="n">
        <v>2</v>
      </c>
    </row>
    <row r="1520">
      <c r="A1520" s="62" t="n">
        <v>46535</v>
      </c>
      <c r="B1520" s="3" t="inlineStr">
        <is>
          <t>Week</t>
        </is>
      </c>
      <c r="C1520" s="19" t="n">
        <v>5</v>
      </c>
      <c r="D1520" s="19" t="n">
        <v>2027</v>
      </c>
      <c r="E1520" s="57" t="n">
        <v>2</v>
      </c>
      <c r="F1520" s="29">
        <f>ROUND(((SUMIFS(Calendar!$F$2:$F$9997,Calendar!$B$2:$B$9997,D1520,Calendar!$C$2:$C$9997,C1520)*INDEX(ForeCalc!$B$37:$Y$274,MATCH(_xlfn.CONCAT(H1520," ",I1520),ForeCalc!$A$37:$A$274,0),MATCH(_xlfn.CONCAT(B1520," ",E1520),ForeCalc!$B$36:$Y$36,0))))*VLOOKUP(A1520,Calendar!$A$2:$H$9997,8,FALSE),0)</f>
        <v/>
      </c>
      <c r="G1520" s="29">
        <f>VLOOKUP(A1520,Calendar!$A$1:$H$9997,6,FALSE)-F1520</f>
        <v/>
      </c>
      <c r="H1520" s="19" t="n">
        <v>2</v>
      </c>
      <c r="I1520" s="57" t="n">
        <v>2</v>
      </c>
    </row>
    <row r="1521">
      <c r="A1521" s="62" t="n">
        <v>46536</v>
      </c>
      <c r="B1521" s="3" t="inlineStr">
        <is>
          <t>Sat</t>
        </is>
      </c>
      <c r="C1521" s="19" t="n">
        <v>5</v>
      </c>
      <c r="D1521" s="19" t="n">
        <v>2027</v>
      </c>
      <c r="E1521" s="57" t="n">
        <v>2</v>
      </c>
      <c r="F1521" s="29">
        <f>ROUND(((SUMIFS(Calendar!$F$2:$F$9997,Calendar!$B$2:$B$9997,D1521,Calendar!$C$2:$C$9997,C1521)*INDEX(ForeCalc!$B$37:$Y$274,MATCH(_xlfn.CONCAT(H1521," ",I1521),ForeCalc!$A$37:$A$274,0),MATCH(_xlfn.CONCAT(B1521," ",E1521),ForeCalc!$B$36:$Y$36,0))))*VLOOKUP(A1521,Calendar!$A$2:$H$9997,8,FALSE),0)</f>
        <v/>
      </c>
      <c r="G1521" s="29">
        <f>VLOOKUP(A1521,Calendar!$A$1:$H$9997,6,FALSE)-F1521</f>
        <v/>
      </c>
      <c r="H1521" s="19" t="n">
        <v>2</v>
      </c>
      <c r="I1521" s="57" t="n">
        <v>2</v>
      </c>
    </row>
    <row r="1522">
      <c r="A1522" s="62" t="n">
        <v>46537</v>
      </c>
      <c r="B1522" s="3" t="inlineStr">
        <is>
          <t>Sun</t>
        </is>
      </c>
      <c r="C1522" s="19" t="n">
        <v>5</v>
      </c>
      <c r="D1522" s="19" t="n">
        <v>2027</v>
      </c>
      <c r="E1522" s="57" t="n">
        <v>2</v>
      </c>
      <c r="F1522" s="29">
        <f>ROUND(((SUMIFS(Calendar!$F$2:$F$9997,Calendar!$B$2:$B$9997,D1522,Calendar!$C$2:$C$9997,C1522)*INDEX(ForeCalc!$B$37:$Y$274,MATCH(_xlfn.CONCAT(H1522," ",I1522),ForeCalc!$A$37:$A$274,0),MATCH(_xlfn.CONCAT(B1522," ",E1522),ForeCalc!$B$36:$Y$36,0))))*VLOOKUP(A1522,Calendar!$A$2:$H$9997,8,FALSE),0)</f>
        <v/>
      </c>
      <c r="G1522" s="29">
        <f>VLOOKUP(A1522,Calendar!$A$1:$H$9997,6,FALSE)-F1522</f>
        <v/>
      </c>
      <c r="H1522" s="19" t="n">
        <v>2</v>
      </c>
      <c r="I1522" s="57" t="n">
        <v>2</v>
      </c>
    </row>
    <row r="1523">
      <c r="A1523" s="62" t="n">
        <v>46538</v>
      </c>
      <c r="B1523" s="3" t="inlineStr">
        <is>
          <t>Week</t>
        </is>
      </c>
      <c r="C1523" s="19" t="n">
        <v>5</v>
      </c>
      <c r="D1523" s="19" t="n">
        <v>2027</v>
      </c>
      <c r="E1523" s="57" t="n">
        <v>2</v>
      </c>
      <c r="F1523" s="29">
        <f>ROUND(((SUMIFS(Calendar!$F$2:$F$9997,Calendar!$B$2:$B$9997,D1523,Calendar!$C$2:$C$9997,C1523)*INDEX(ForeCalc!$B$37:$Y$274,MATCH(_xlfn.CONCAT(H1523," ",I1523),ForeCalc!$A$37:$A$274,0),MATCH(_xlfn.CONCAT(B1523," ",E1523),ForeCalc!$B$36:$Y$36,0))))*VLOOKUP(A1523,Calendar!$A$2:$H$9997,8,FALSE),0)</f>
        <v/>
      </c>
      <c r="G1523" s="29">
        <f>VLOOKUP(A1523,Calendar!$A$1:$H$9997,6,FALSE)-F1523</f>
        <v/>
      </c>
      <c r="H1523" s="19" t="n">
        <v>2</v>
      </c>
      <c r="I1523" s="57" t="n">
        <v>2</v>
      </c>
    </row>
    <row r="1524">
      <c r="A1524" s="62" t="n">
        <v>46539</v>
      </c>
      <c r="B1524" s="3" t="inlineStr">
        <is>
          <t>Week</t>
        </is>
      </c>
      <c r="C1524" s="19" t="n">
        <v>6</v>
      </c>
      <c r="D1524" s="19" t="n">
        <v>2027</v>
      </c>
      <c r="E1524" s="57" t="n">
        <v>2</v>
      </c>
      <c r="F1524" s="29">
        <f>ROUND(((SUMIFS(Calendar!$F$2:$F$9997,Calendar!$B$2:$B$9997,D1524,Calendar!$C$2:$C$9997,C1524)*INDEX(ForeCalc!$B$37:$Y$274,MATCH(_xlfn.CONCAT(H1524," ",I1524),ForeCalc!$A$37:$A$274,0),MATCH(_xlfn.CONCAT(B1524," ",E1524),ForeCalc!$B$36:$Y$36,0))))*VLOOKUP(A1524,Calendar!$A$2:$H$9997,8,FALSE),0)</f>
        <v/>
      </c>
      <c r="G1524" s="29">
        <f>VLOOKUP(A1524,Calendar!$A$1:$H$9997,6,FALSE)-F1524</f>
        <v/>
      </c>
      <c r="H1524" s="19" t="n">
        <v>2</v>
      </c>
      <c r="I1524" s="57" t="n">
        <v>3</v>
      </c>
    </row>
    <row r="1525">
      <c r="A1525" s="62" t="n">
        <v>46540</v>
      </c>
      <c r="B1525" s="3" t="inlineStr">
        <is>
          <t>Week</t>
        </is>
      </c>
      <c r="C1525" s="19" t="n">
        <v>6</v>
      </c>
      <c r="D1525" s="19" t="n">
        <v>2027</v>
      </c>
      <c r="E1525" s="57" t="n">
        <v>2</v>
      </c>
      <c r="F1525" s="29">
        <f>ROUND(((SUMIFS(Calendar!$F$2:$F$9997,Calendar!$B$2:$B$9997,D1525,Calendar!$C$2:$C$9997,C1525)*INDEX(ForeCalc!$B$37:$Y$274,MATCH(_xlfn.CONCAT(H1525," ",I1525),ForeCalc!$A$37:$A$274,0),MATCH(_xlfn.CONCAT(B1525," ",E1525),ForeCalc!$B$36:$Y$36,0))))*VLOOKUP(A1525,Calendar!$A$2:$H$9997,8,FALSE),0)</f>
        <v/>
      </c>
      <c r="G1525" s="29">
        <f>VLOOKUP(A1525,Calendar!$A$1:$H$9997,6,FALSE)-F1525</f>
        <v/>
      </c>
      <c r="H1525" s="19" t="n">
        <v>2</v>
      </c>
      <c r="I1525" s="57" t="n">
        <v>3</v>
      </c>
    </row>
    <row r="1526">
      <c r="A1526" s="62" t="n">
        <v>46541</v>
      </c>
      <c r="B1526" s="3" t="inlineStr">
        <is>
          <t>Week</t>
        </is>
      </c>
      <c r="C1526" s="19" t="n">
        <v>6</v>
      </c>
      <c r="D1526" s="19" t="n">
        <v>2027</v>
      </c>
      <c r="E1526" s="57" t="n">
        <v>2</v>
      </c>
      <c r="F1526" s="29">
        <f>ROUND(((SUMIFS(Calendar!$F$2:$F$9997,Calendar!$B$2:$B$9997,D1526,Calendar!$C$2:$C$9997,C1526)*INDEX(ForeCalc!$B$37:$Y$274,MATCH(_xlfn.CONCAT(H1526," ",I1526),ForeCalc!$A$37:$A$274,0),MATCH(_xlfn.CONCAT(B1526," ",E1526),ForeCalc!$B$36:$Y$36,0))))*VLOOKUP(A1526,Calendar!$A$2:$H$9997,8,FALSE),0)</f>
        <v/>
      </c>
      <c r="G1526" s="29">
        <f>VLOOKUP(A1526,Calendar!$A$1:$H$9997,6,FALSE)-F1526</f>
        <v/>
      </c>
      <c r="H1526" s="19" t="n">
        <v>2</v>
      </c>
      <c r="I1526" s="57" t="n">
        <v>3</v>
      </c>
    </row>
    <row r="1527">
      <c r="A1527" s="62" t="n">
        <v>46542</v>
      </c>
      <c r="B1527" s="3" t="inlineStr">
        <is>
          <t>Week</t>
        </is>
      </c>
      <c r="C1527" s="19" t="n">
        <v>6</v>
      </c>
      <c r="D1527" s="19" t="n">
        <v>2027</v>
      </c>
      <c r="E1527" s="57" t="n">
        <v>2</v>
      </c>
      <c r="F1527" s="29">
        <f>ROUND(((SUMIFS(Calendar!$F$2:$F$9997,Calendar!$B$2:$B$9997,D1527,Calendar!$C$2:$C$9997,C1527)*INDEX(ForeCalc!$B$37:$Y$274,MATCH(_xlfn.CONCAT(H1527," ",I1527),ForeCalc!$A$37:$A$274,0),MATCH(_xlfn.CONCAT(B1527," ",E1527),ForeCalc!$B$36:$Y$36,0))))*VLOOKUP(A1527,Calendar!$A$2:$H$9997,8,FALSE),0)</f>
        <v/>
      </c>
      <c r="G1527" s="29">
        <f>VLOOKUP(A1527,Calendar!$A$1:$H$9997,6,FALSE)-F1527</f>
        <v/>
      </c>
      <c r="H1527" s="19" t="n">
        <v>2</v>
      </c>
      <c r="I1527" s="57" t="n">
        <v>3</v>
      </c>
    </row>
    <row r="1528">
      <c r="A1528" s="62" t="n">
        <v>46543</v>
      </c>
      <c r="B1528" s="3" t="inlineStr">
        <is>
          <t>Sat</t>
        </is>
      </c>
      <c r="C1528" s="19" t="n">
        <v>6</v>
      </c>
      <c r="D1528" s="19" t="n">
        <v>2027</v>
      </c>
      <c r="E1528" s="57" t="n">
        <v>2</v>
      </c>
      <c r="F1528" s="29">
        <f>ROUND(((SUMIFS(Calendar!$F$2:$F$9997,Calendar!$B$2:$B$9997,D1528,Calendar!$C$2:$C$9997,C1528)*INDEX(ForeCalc!$B$37:$Y$274,MATCH(_xlfn.CONCAT(H1528," ",I1528),ForeCalc!$A$37:$A$274,0),MATCH(_xlfn.CONCAT(B1528," ",E1528),ForeCalc!$B$36:$Y$36,0))))*VLOOKUP(A1528,Calendar!$A$2:$H$9997,8,FALSE),0)</f>
        <v/>
      </c>
      <c r="G1528" s="29">
        <f>VLOOKUP(A1528,Calendar!$A$1:$H$9997,6,FALSE)-F1528</f>
        <v/>
      </c>
      <c r="H1528" s="19" t="n">
        <v>2</v>
      </c>
      <c r="I1528" s="57" t="n">
        <v>3</v>
      </c>
    </row>
    <row r="1529">
      <c r="A1529" s="62" t="n">
        <v>46544</v>
      </c>
      <c r="B1529" s="3" t="inlineStr">
        <is>
          <t>Sun</t>
        </is>
      </c>
      <c r="C1529" s="19" t="n">
        <v>6</v>
      </c>
      <c r="D1529" s="19" t="n">
        <v>2027</v>
      </c>
      <c r="E1529" s="57" t="n">
        <v>2</v>
      </c>
      <c r="F1529" s="29">
        <f>ROUND(((SUMIFS(Calendar!$F$2:$F$9997,Calendar!$B$2:$B$9997,D1529,Calendar!$C$2:$C$9997,C1529)*INDEX(ForeCalc!$B$37:$Y$274,MATCH(_xlfn.CONCAT(H1529," ",I1529),ForeCalc!$A$37:$A$274,0),MATCH(_xlfn.CONCAT(B1529," ",E1529),ForeCalc!$B$36:$Y$36,0))))*VLOOKUP(A1529,Calendar!$A$2:$H$9997,8,FALSE),0)</f>
        <v/>
      </c>
      <c r="G1529" s="29">
        <f>VLOOKUP(A1529,Calendar!$A$1:$H$9997,6,FALSE)-F1529</f>
        <v/>
      </c>
      <c r="H1529" s="19" t="n">
        <v>2</v>
      </c>
      <c r="I1529" s="57" t="n">
        <v>3</v>
      </c>
    </row>
    <row r="1530">
      <c r="A1530" s="62" t="n">
        <v>46545</v>
      </c>
      <c r="B1530" s="3" t="inlineStr">
        <is>
          <t>Week</t>
        </is>
      </c>
      <c r="C1530" s="19" t="n">
        <v>6</v>
      </c>
      <c r="D1530" s="19" t="n">
        <v>2027</v>
      </c>
      <c r="E1530" s="57" t="n">
        <v>2</v>
      </c>
      <c r="F1530" s="29">
        <f>ROUND(((SUMIFS(Calendar!$F$2:$F$9997,Calendar!$B$2:$B$9997,D1530,Calendar!$C$2:$C$9997,C1530)*INDEX(ForeCalc!$B$37:$Y$274,MATCH(_xlfn.CONCAT(H1530," ",I1530),ForeCalc!$A$37:$A$274,0),MATCH(_xlfn.CONCAT(B1530," ",E1530),ForeCalc!$B$36:$Y$36,0))))*VLOOKUP(A1530,Calendar!$A$2:$H$9997,8,FALSE),0)</f>
        <v/>
      </c>
      <c r="G1530" s="29">
        <f>VLOOKUP(A1530,Calendar!$A$1:$H$9997,6,FALSE)-F1530</f>
        <v/>
      </c>
      <c r="H1530" s="19" t="n">
        <v>2</v>
      </c>
      <c r="I1530" s="57" t="n">
        <v>3</v>
      </c>
    </row>
    <row r="1531">
      <c r="A1531" s="62" t="n">
        <v>46546</v>
      </c>
      <c r="B1531" s="3" t="inlineStr">
        <is>
          <t>Week</t>
        </is>
      </c>
      <c r="C1531" s="19" t="n">
        <v>6</v>
      </c>
      <c r="D1531" s="19" t="n">
        <v>2027</v>
      </c>
      <c r="E1531" s="57" t="n">
        <v>2</v>
      </c>
      <c r="F1531" s="29">
        <f>ROUND(((SUMIFS(Calendar!$F$2:$F$9997,Calendar!$B$2:$B$9997,D1531,Calendar!$C$2:$C$9997,C1531)*INDEX(ForeCalc!$B$37:$Y$274,MATCH(_xlfn.CONCAT(H1531," ",I1531),ForeCalc!$A$37:$A$274,0),MATCH(_xlfn.CONCAT(B1531," ",E1531),ForeCalc!$B$36:$Y$36,0))))*VLOOKUP(A1531,Calendar!$A$2:$H$9997,8,FALSE),0)</f>
        <v/>
      </c>
      <c r="G1531" s="29">
        <f>VLOOKUP(A1531,Calendar!$A$1:$H$9997,6,FALSE)-F1531</f>
        <v/>
      </c>
      <c r="H1531" s="19" t="n">
        <v>2</v>
      </c>
      <c r="I1531" s="57" t="n">
        <v>3</v>
      </c>
    </row>
    <row r="1532">
      <c r="A1532" s="62" t="n">
        <v>46547</v>
      </c>
      <c r="B1532" s="3" t="inlineStr">
        <is>
          <t>Week</t>
        </is>
      </c>
      <c r="C1532" s="19" t="n">
        <v>6</v>
      </c>
      <c r="D1532" s="19" t="n">
        <v>2027</v>
      </c>
      <c r="E1532" s="57" t="n">
        <v>2</v>
      </c>
      <c r="F1532" s="29">
        <f>ROUND(((SUMIFS(Calendar!$F$2:$F$9997,Calendar!$B$2:$B$9997,D1532,Calendar!$C$2:$C$9997,C1532)*INDEX(ForeCalc!$B$37:$Y$274,MATCH(_xlfn.CONCAT(H1532," ",I1532),ForeCalc!$A$37:$A$274,0),MATCH(_xlfn.CONCAT(B1532," ",E1532),ForeCalc!$B$36:$Y$36,0))))*VLOOKUP(A1532,Calendar!$A$2:$H$9997,8,FALSE),0)</f>
        <v/>
      </c>
      <c r="G1532" s="29">
        <f>VLOOKUP(A1532,Calendar!$A$1:$H$9997,6,FALSE)-F1532</f>
        <v/>
      </c>
      <c r="H1532" s="19" t="n">
        <v>2</v>
      </c>
      <c r="I1532" s="57" t="n">
        <v>3</v>
      </c>
    </row>
    <row r="1533">
      <c r="A1533" s="62" t="n">
        <v>46548</v>
      </c>
      <c r="B1533" s="3" t="inlineStr">
        <is>
          <t>Week</t>
        </is>
      </c>
      <c r="C1533" s="19" t="n">
        <v>6</v>
      </c>
      <c r="D1533" s="19" t="n">
        <v>2027</v>
      </c>
      <c r="E1533" s="57" t="n">
        <v>2</v>
      </c>
      <c r="F1533" s="29">
        <f>ROUND(((SUMIFS(Calendar!$F$2:$F$9997,Calendar!$B$2:$B$9997,D1533,Calendar!$C$2:$C$9997,C1533)*INDEX(ForeCalc!$B$37:$Y$274,MATCH(_xlfn.CONCAT(H1533," ",I1533),ForeCalc!$A$37:$A$274,0),MATCH(_xlfn.CONCAT(B1533," ",E1533),ForeCalc!$B$36:$Y$36,0))))*VLOOKUP(A1533,Calendar!$A$2:$H$9997,8,FALSE),0)</f>
        <v/>
      </c>
      <c r="G1533" s="29">
        <f>VLOOKUP(A1533,Calendar!$A$1:$H$9997,6,FALSE)-F1533</f>
        <v/>
      </c>
      <c r="H1533" s="19" t="n">
        <v>2</v>
      </c>
      <c r="I1533" s="57" t="n">
        <v>3</v>
      </c>
    </row>
    <row r="1534">
      <c r="A1534" s="62" t="n">
        <v>46549</v>
      </c>
      <c r="B1534" s="3" t="inlineStr">
        <is>
          <t>Week</t>
        </is>
      </c>
      <c r="C1534" s="19" t="n">
        <v>6</v>
      </c>
      <c r="D1534" s="19" t="n">
        <v>2027</v>
      </c>
      <c r="E1534" s="57" t="n">
        <v>2</v>
      </c>
      <c r="F1534" s="29">
        <f>ROUND(((SUMIFS(Calendar!$F$2:$F$9997,Calendar!$B$2:$B$9997,D1534,Calendar!$C$2:$C$9997,C1534)*INDEX(ForeCalc!$B$37:$Y$274,MATCH(_xlfn.CONCAT(H1534," ",I1534),ForeCalc!$A$37:$A$274,0),MATCH(_xlfn.CONCAT(B1534," ",E1534),ForeCalc!$B$36:$Y$36,0))))*VLOOKUP(A1534,Calendar!$A$2:$H$9997,8,FALSE),0)</f>
        <v/>
      </c>
      <c r="G1534" s="29">
        <f>VLOOKUP(A1534,Calendar!$A$1:$H$9997,6,FALSE)-F1534</f>
        <v/>
      </c>
      <c r="H1534" s="19" t="n">
        <v>2</v>
      </c>
      <c r="I1534" s="57" t="n">
        <v>3</v>
      </c>
    </row>
    <row r="1535">
      <c r="A1535" s="62" t="n">
        <v>46550</v>
      </c>
      <c r="B1535" s="3" t="inlineStr">
        <is>
          <t>Sat</t>
        </is>
      </c>
      <c r="C1535" s="19" t="n">
        <v>6</v>
      </c>
      <c r="D1535" s="19" t="n">
        <v>2027</v>
      </c>
      <c r="E1535" s="57" t="n">
        <v>2</v>
      </c>
      <c r="F1535" s="29">
        <f>ROUND(((SUMIFS(Calendar!$F$2:$F$9997,Calendar!$B$2:$B$9997,D1535,Calendar!$C$2:$C$9997,C1535)*INDEX(ForeCalc!$B$37:$Y$274,MATCH(_xlfn.CONCAT(H1535," ",I1535),ForeCalc!$A$37:$A$274,0),MATCH(_xlfn.CONCAT(B1535," ",E1535),ForeCalc!$B$36:$Y$36,0))))*VLOOKUP(A1535,Calendar!$A$2:$H$9997,8,FALSE),0)</f>
        <v/>
      </c>
      <c r="G1535" s="29">
        <f>VLOOKUP(A1535,Calendar!$A$1:$H$9997,6,FALSE)-F1535</f>
        <v/>
      </c>
      <c r="H1535" s="19" t="n">
        <v>2</v>
      </c>
      <c r="I1535" s="57" t="n">
        <v>3</v>
      </c>
    </row>
    <row r="1536">
      <c r="A1536" s="62" t="n">
        <v>46551</v>
      </c>
      <c r="B1536" s="3" t="inlineStr">
        <is>
          <t>Sun</t>
        </is>
      </c>
      <c r="C1536" s="19" t="n">
        <v>6</v>
      </c>
      <c r="D1536" s="19" t="n">
        <v>2027</v>
      </c>
      <c r="E1536" s="57" t="n">
        <v>2</v>
      </c>
      <c r="F1536" s="29">
        <f>ROUND(((SUMIFS(Calendar!$F$2:$F$9997,Calendar!$B$2:$B$9997,D1536,Calendar!$C$2:$C$9997,C1536)*INDEX(ForeCalc!$B$37:$Y$274,MATCH(_xlfn.CONCAT(H1536," ",I1536),ForeCalc!$A$37:$A$274,0),MATCH(_xlfn.CONCAT(B1536," ",E1536),ForeCalc!$B$36:$Y$36,0))))*VLOOKUP(A1536,Calendar!$A$2:$H$9997,8,FALSE),0)</f>
        <v/>
      </c>
      <c r="G1536" s="29">
        <f>VLOOKUP(A1536,Calendar!$A$1:$H$9997,6,FALSE)-F1536</f>
        <v/>
      </c>
      <c r="H1536" s="19" t="n">
        <v>2</v>
      </c>
      <c r="I1536" s="57" t="n">
        <v>3</v>
      </c>
    </row>
    <row r="1537">
      <c r="A1537" s="62" t="n">
        <v>46552</v>
      </c>
      <c r="B1537" s="3" t="inlineStr">
        <is>
          <t>Week</t>
        </is>
      </c>
      <c r="C1537" s="19" t="n">
        <v>6</v>
      </c>
      <c r="D1537" s="19" t="n">
        <v>2027</v>
      </c>
      <c r="E1537" s="57" t="n">
        <v>2</v>
      </c>
      <c r="F1537" s="29">
        <f>ROUND(((SUMIFS(Calendar!$F$2:$F$9997,Calendar!$B$2:$B$9997,D1537,Calendar!$C$2:$C$9997,C1537)*INDEX(ForeCalc!$B$37:$Y$274,MATCH(_xlfn.CONCAT(H1537," ",I1537),ForeCalc!$A$37:$A$274,0),MATCH(_xlfn.CONCAT(B1537," ",E1537),ForeCalc!$B$36:$Y$36,0))))*VLOOKUP(A1537,Calendar!$A$2:$H$9997,8,FALSE),0)</f>
        <v/>
      </c>
      <c r="G1537" s="29">
        <f>VLOOKUP(A1537,Calendar!$A$1:$H$9997,6,FALSE)-F1537</f>
        <v/>
      </c>
      <c r="H1537" s="19" t="n">
        <v>2</v>
      </c>
      <c r="I1537" s="57" t="n">
        <v>3</v>
      </c>
    </row>
    <row r="1538">
      <c r="A1538" s="62" t="n">
        <v>46553</v>
      </c>
      <c r="B1538" s="3" t="inlineStr">
        <is>
          <t>Week</t>
        </is>
      </c>
      <c r="C1538" s="19" t="n">
        <v>6</v>
      </c>
      <c r="D1538" s="19" t="n">
        <v>2027</v>
      </c>
      <c r="E1538" s="57" t="n">
        <v>2</v>
      </c>
      <c r="F1538" s="29">
        <f>ROUND(((SUMIFS(Calendar!$F$2:$F$9997,Calendar!$B$2:$B$9997,D1538,Calendar!$C$2:$C$9997,C1538)*INDEX(ForeCalc!$B$37:$Y$274,MATCH(_xlfn.CONCAT(H1538," ",I1538),ForeCalc!$A$37:$A$274,0),MATCH(_xlfn.CONCAT(B1538," ",E1538),ForeCalc!$B$36:$Y$36,0))))*VLOOKUP(A1538,Calendar!$A$2:$H$9997,8,FALSE),0)</f>
        <v/>
      </c>
      <c r="G1538" s="29">
        <f>VLOOKUP(A1538,Calendar!$A$1:$H$9997,6,FALSE)-F1538</f>
        <v/>
      </c>
      <c r="H1538" s="19" t="n">
        <v>2</v>
      </c>
      <c r="I1538" s="57" t="n">
        <v>3</v>
      </c>
    </row>
    <row r="1539">
      <c r="A1539" s="62" t="n">
        <v>46554</v>
      </c>
      <c r="B1539" s="3" t="inlineStr">
        <is>
          <t>Week</t>
        </is>
      </c>
      <c r="C1539" s="19" t="n">
        <v>6</v>
      </c>
      <c r="D1539" s="19" t="n">
        <v>2027</v>
      </c>
      <c r="E1539" s="57" t="n">
        <v>2</v>
      </c>
      <c r="F1539" s="29">
        <f>ROUND(((SUMIFS(Calendar!$F$2:$F$9997,Calendar!$B$2:$B$9997,D1539,Calendar!$C$2:$C$9997,C1539)*INDEX(ForeCalc!$B$37:$Y$274,MATCH(_xlfn.CONCAT(H1539," ",I1539),ForeCalc!$A$37:$A$274,0),MATCH(_xlfn.CONCAT(B1539," ",E1539),ForeCalc!$B$36:$Y$36,0))))*VLOOKUP(A1539,Calendar!$A$2:$H$9997,8,FALSE),0)</f>
        <v/>
      </c>
      <c r="G1539" s="29">
        <f>VLOOKUP(A1539,Calendar!$A$1:$H$9997,6,FALSE)-F1539</f>
        <v/>
      </c>
      <c r="H1539" s="19" t="n">
        <v>2</v>
      </c>
      <c r="I1539" s="57" t="n">
        <v>3</v>
      </c>
    </row>
    <row r="1540">
      <c r="A1540" s="62" t="n">
        <v>46555</v>
      </c>
      <c r="B1540" s="3" t="inlineStr">
        <is>
          <t>Week</t>
        </is>
      </c>
      <c r="C1540" s="19" t="n">
        <v>6</v>
      </c>
      <c r="D1540" s="19" t="n">
        <v>2027</v>
      </c>
      <c r="E1540" s="57" t="n">
        <v>2</v>
      </c>
      <c r="F1540" s="29">
        <f>ROUND(((SUMIFS(Calendar!$F$2:$F$9997,Calendar!$B$2:$B$9997,D1540,Calendar!$C$2:$C$9997,C1540)*INDEX(ForeCalc!$B$37:$Y$274,MATCH(_xlfn.CONCAT(H1540," ",I1540),ForeCalc!$A$37:$A$274,0),MATCH(_xlfn.CONCAT(B1540," ",E1540),ForeCalc!$B$36:$Y$36,0))))*VLOOKUP(A1540,Calendar!$A$2:$H$9997,8,FALSE),0)</f>
        <v/>
      </c>
      <c r="G1540" s="29">
        <f>VLOOKUP(A1540,Calendar!$A$1:$H$9997,6,FALSE)-F1540</f>
        <v/>
      </c>
      <c r="H1540" s="19" t="n">
        <v>2</v>
      </c>
      <c r="I1540" s="57" t="n">
        <v>3</v>
      </c>
    </row>
    <row r="1541">
      <c r="A1541" s="62" t="n">
        <v>46556</v>
      </c>
      <c r="B1541" s="3" t="inlineStr">
        <is>
          <t>Week</t>
        </is>
      </c>
      <c r="C1541" s="19" t="n">
        <v>6</v>
      </c>
      <c r="D1541" s="19" t="n">
        <v>2027</v>
      </c>
      <c r="E1541" s="57" t="n">
        <v>2</v>
      </c>
      <c r="F1541" s="29">
        <f>ROUND(((SUMIFS(Calendar!$F$2:$F$9997,Calendar!$B$2:$B$9997,D1541,Calendar!$C$2:$C$9997,C1541)*INDEX(ForeCalc!$B$37:$Y$274,MATCH(_xlfn.CONCAT(H1541," ",I1541),ForeCalc!$A$37:$A$274,0),MATCH(_xlfn.CONCAT(B1541," ",E1541),ForeCalc!$B$36:$Y$36,0))))*VLOOKUP(A1541,Calendar!$A$2:$H$9997,8,FALSE),0)</f>
        <v/>
      </c>
      <c r="G1541" s="29">
        <f>VLOOKUP(A1541,Calendar!$A$1:$H$9997,6,FALSE)-F1541</f>
        <v/>
      </c>
      <c r="H1541" s="19" t="n">
        <v>2</v>
      </c>
      <c r="I1541" s="57" t="n">
        <v>3</v>
      </c>
    </row>
    <row r="1542">
      <c r="A1542" s="62" t="n">
        <v>46557</v>
      </c>
      <c r="B1542" s="3" t="inlineStr">
        <is>
          <t>Sat</t>
        </is>
      </c>
      <c r="C1542" s="19" t="n">
        <v>6</v>
      </c>
      <c r="D1542" s="19" t="n">
        <v>2027</v>
      </c>
      <c r="E1542" s="57" t="n">
        <v>2</v>
      </c>
      <c r="F1542" s="29">
        <f>ROUND(((SUMIFS(Calendar!$F$2:$F$9997,Calendar!$B$2:$B$9997,D1542,Calendar!$C$2:$C$9997,C1542)*INDEX(ForeCalc!$B$37:$Y$274,MATCH(_xlfn.CONCAT(H1542," ",I1542),ForeCalc!$A$37:$A$274,0),MATCH(_xlfn.CONCAT(B1542," ",E1542),ForeCalc!$B$36:$Y$36,0))))*VLOOKUP(A1542,Calendar!$A$2:$H$9997,8,FALSE),0)</f>
        <v/>
      </c>
      <c r="G1542" s="29">
        <f>VLOOKUP(A1542,Calendar!$A$1:$H$9997,6,FALSE)-F1542</f>
        <v/>
      </c>
      <c r="H1542" s="19" t="n">
        <v>2</v>
      </c>
      <c r="I1542" s="57" t="n">
        <v>3</v>
      </c>
    </row>
    <row r="1543">
      <c r="A1543" s="62" t="n">
        <v>46558</v>
      </c>
      <c r="B1543" s="3" t="inlineStr">
        <is>
          <t>Sun</t>
        </is>
      </c>
      <c r="C1543" s="19" t="n">
        <v>6</v>
      </c>
      <c r="D1543" s="19" t="n">
        <v>2027</v>
      </c>
      <c r="E1543" s="57" t="n">
        <v>2</v>
      </c>
      <c r="F1543" s="29">
        <f>ROUND(((SUMIFS(Calendar!$F$2:$F$9997,Calendar!$B$2:$B$9997,D1543,Calendar!$C$2:$C$9997,C1543)*INDEX(ForeCalc!$B$37:$Y$274,MATCH(_xlfn.CONCAT(H1543," ",I1543),ForeCalc!$A$37:$A$274,0),MATCH(_xlfn.CONCAT(B1543," ",E1543),ForeCalc!$B$36:$Y$36,0))))*VLOOKUP(A1543,Calendar!$A$2:$H$9997,8,FALSE),0)</f>
        <v/>
      </c>
      <c r="G1543" s="29">
        <f>VLOOKUP(A1543,Calendar!$A$1:$H$9997,6,FALSE)-F1543</f>
        <v/>
      </c>
      <c r="H1543" s="19" t="n">
        <v>2</v>
      </c>
      <c r="I1543" s="57" t="n">
        <v>3</v>
      </c>
    </row>
    <row r="1544">
      <c r="A1544" s="62" t="n">
        <v>46559</v>
      </c>
      <c r="B1544" s="3" t="inlineStr">
        <is>
          <t>Week</t>
        </is>
      </c>
      <c r="C1544" s="19" t="n">
        <v>6</v>
      </c>
      <c r="D1544" s="19" t="n">
        <v>2027</v>
      </c>
      <c r="E1544" s="57" t="n">
        <v>2</v>
      </c>
      <c r="F1544" s="29">
        <f>ROUND(((SUMIFS(Calendar!$F$2:$F$9997,Calendar!$B$2:$B$9997,D1544,Calendar!$C$2:$C$9997,C1544)*INDEX(ForeCalc!$B$37:$Y$274,MATCH(_xlfn.CONCAT(H1544," ",I1544),ForeCalc!$A$37:$A$274,0),MATCH(_xlfn.CONCAT(B1544," ",E1544),ForeCalc!$B$36:$Y$36,0))))*VLOOKUP(A1544,Calendar!$A$2:$H$9997,8,FALSE),0)</f>
        <v/>
      </c>
      <c r="G1544" s="29">
        <f>VLOOKUP(A1544,Calendar!$A$1:$H$9997,6,FALSE)-F1544</f>
        <v/>
      </c>
      <c r="H1544" s="19" t="n">
        <v>2</v>
      </c>
      <c r="I1544" s="57" t="n">
        <v>3</v>
      </c>
    </row>
    <row r="1545">
      <c r="A1545" s="62" t="n">
        <v>46560</v>
      </c>
      <c r="B1545" s="3" t="inlineStr">
        <is>
          <t>Week</t>
        </is>
      </c>
      <c r="C1545" s="19" t="n">
        <v>6</v>
      </c>
      <c r="D1545" s="19" t="n">
        <v>2027</v>
      </c>
      <c r="E1545" s="57" t="n">
        <v>2</v>
      </c>
      <c r="F1545" s="29">
        <f>ROUND(((SUMIFS(Calendar!$F$2:$F$9997,Calendar!$B$2:$B$9997,D1545,Calendar!$C$2:$C$9997,C1545)*INDEX(ForeCalc!$B$37:$Y$274,MATCH(_xlfn.CONCAT(H1545," ",I1545),ForeCalc!$A$37:$A$274,0),MATCH(_xlfn.CONCAT(B1545," ",E1545),ForeCalc!$B$36:$Y$36,0))))*VLOOKUP(A1545,Calendar!$A$2:$H$9997,8,FALSE),0)</f>
        <v/>
      </c>
      <c r="G1545" s="29">
        <f>VLOOKUP(A1545,Calendar!$A$1:$H$9997,6,FALSE)-F1545</f>
        <v/>
      </c>
      <c r="H1545" s="19" t="n">
        <v>2</v>
      </c>
      <c r="I1545" s="57" t="n">
        <v>3</v>
      </c>
    </row>
    <row r="1546">
      <c r="A1546" s="62" t="n">
        <v>46561</v>
      </c>
      <c r="B1546" s="3" t="inlineStr">
        <is>
          <t>Week</t>
        </is>
      </c>
      <c r="C1546" s="19" t="n">
        <v>6</v>
      </c>
      <c r="D1546" s="19" t="n">
        <v>2027</v>
      </c>
      <c r="E1546" s="57" t="n">
        <v>2</v>
      </c>
      <c r="F1546" s="29">
        <f>ROUND(((SUMIFS(Calendar!$F$2:$F$9997,Calendar!$B$2:$B$9997,D1546,Calendar!$C$2:$C$9997,C1546)*INDEX(ForeCalc!$B$37:$Y$274,MATCH(_xlfn.CONCAT(H1546," ",I1546),ForeCalc!$A$37:$A$274,0),MATCH(_xlfn.CONCAT(B1546," ",E1546),ForeCalc!$B$36:$Y$36,0))))*VLOOKUP(A1546,Calendar!$A$2:$H$9997,8,FALSE),0)</f>
        <v/>
      </c>
      <c r="G1546" s="29">
        <f>VLOOKUP(A1546,Calendar!$A$1:$H$9997,6,FALSE)-F1546</f>
        <v/>
      </c>
      <c r="H1546" s="19" t="n">
        <v>2</v>
      </c>
      <c r="I1546" s="57" t="n">
        <v>3</v>
      </c>
    </row>
    <row r="1547">
      <c r="A1547" s="62" t="n">
        <v>46562</v>
      </c>
      <c r="B1547" s="3" t="inlineStr">
        <is>
          <t>Week</t>
        </is>
      </c>
      <c r="C1547" s="19" t="n">
        <v>6</v>
      </c>
      <c r="D1547" s="19" t="n">
        <v>2027</v>
      </c>
      <c r="E1547" s="57" t="n">
        <v>2</v>
      </c>
      <c r="F1547" s="29">
        <f>ROUND(((SUMIFS(Calendar!$F$2:$F$9997,Calendar!$B$2:$B$9997,D1547,Calendar!$C$2:$C$9997,C1547)*INDEX(ForeCalc!$B$37:$Y$274,MATCH(_xlfn.CONCAT(H1547," ",I1547),ForeCalc!$A$37:$A$274,0),MATCH(_xlfn.CONCAT(B1547," ",E1547),ForeCalc!$B$36:$Y$36,0))))*VLOOKUP(A1547,Calendar!$A$2:$H$9997,8,FALSE),0)</f>
        <v/>
      </c>
      <c r="G1547" s="29">
        <f>VLOOKUP(A1547,Calendar!$A$1:$H$9997,6,FALSE)-F1547</f>
        <v/>
      </c>
      <c r="H1547" s="19" t="n">
        <v>2</v>
      </c>
      <c r="I1547" s="57" t="n">
        <v>3</v>
      </c>
    </row>
    <row r="1548">
      <c r="A1548" s="62" t="n">
        <v>46563</v>
      </c>
      <c r="B1548" s="3" t="inlineStr">
        <is>
          <t>Week</t>
        </is>
      </c>
      <c r="C1548" s="19" t="n">
        <v>6</v>
      </c>
      <c r="D1548" s="19" t="n">
        <v>2027</v>
      </c>
      <c r="E1548" s="57" t="n">
        <v>2</v>
      </c>
      <c r="F1548" s="29">
        <f>ROUND(((SUMIFS(Calendar!$F$2:$F$9997,Calendar!$B$2:$B$9997,D1548,Calendar!$C$2:$C$9997,C1548)*INDEX(ForeCalc!$B$37:$Y$274,MATCH(_xlfn.CONCAT(H1548," ",I1548),ForeCalc!$A$37:$A$274,0),MATCH(_xlfn.CONCAT(B1548," ",E1548),ForeCalc!$B$36:$Y$36,0))))*VLOOKUP(A1548,Calendar!$A$2:$H$9997,8,FALSE),0)</f>
        <v/>
      </c>
      <c r="G1548" s="29">
        <f>VLOOKUP(A1548,Calendar!$A$1:$H$9997,6,FALSE)-F1548</f>
        <v/>
      </c>
      <c r="H1548" s="19" t="n">
        <v>2</v>
      </c>
      <c r="I1548" s="57" t="n">
        <v>3</v>
      </c>
    </row>
    <row r="1549">
      <c r="A1549" s="62" t="n">
        <v>46564</v>
      </c>
      <c r="B1549" s="3" t="inlineStr">
        <is>
          <t>Sat</t>
        </is>
      </c>
      <c r="C1549" s="19" t="n">
        <v>6</v>
      </c>
      <c r="D1549" s="19" t="n">
        <v>2027</v>
      </c>
      <c r="E1549" s="57" t="n">
        <v>2</v>
      </c>
      <c r="F1549" s="29">
        <f>ROUND(((SUMIFS(Calendar!$F$2:$F$9997,Calendar!$B$2:$B$9997,D1549,Calendar!$C$2:$C$9997,C1549)*INDEX(ForeCalc!$B$37:$Y$274,MATCH(_xlfn.CONCAT(H1549," ",I1549),ForeCalc!$A$37:$A$274,0),MATCH(_xlfn.CONCAT(B1549," ",E1549),ForeCalc!$B$36:$Y$36,0))))*VLOOKUP(A1549,Calendar!$A$2:$H$9997,8,FALSE),0)</f>
        <v/>
      </c>
      <c r="G1549" s="29">
        <f>VLOOKUP(A1549,Calendar!$A$1:$H$9997,6,FALSE)-F1549</f>
        <v/>
      </c>
      <c r="H1549" s="19" t="n">
        <v>2</v>
      </c>
      <c r="I1549" s="57" t="n">
        <v>3</v>
      </c>
    </row>
    <row r="1550">
      <c r="A1550" s="62" t="n">
        <v>46565</v>
      </c>
      <c r="B1550" s="3" t="inlineStr">
        <is>
          <t>Sun</t>
        </is>
      </c>
      <c r="C1550" s="19" t="n">
        <v>6</v>
      </c>
      <c r="D1550" s="19" t="n">
        <v>2027</v>
      </c>
      <c r="E1550" s="57" t="n">
        <v>2</v>
      </c>
      <c r="F1550" s="29">
        <f>ROUND(((SUMIFS(Calendar!$F$2:$F$9997,Calendar!$B$2:$B$9997,D1550,Calendar!$C$2:$C$9997,C1550)*INDEX(ForeCalc!$B$37:$Y$274,MATCH(_xlfn.CONCAT(H1550," ",I1550),ForeCalc!$A$37:$A$274,0),MATCH(_xlfn.CONCAT(B1550," ",E1550),ForeCalc!$B$36:$Y$36,0))))*VLOOKUP(A1550,Calendar!$A$2:$H$9997,8,FALSE),0)</f>
        <v/>
      </c>
      <c r="G1550" s="29">
        <f>VLOOKUP(A1550,Calendar!$A$1:$H$9997,6,FALSE)-F1550</f>
        <v/>
      </c>
      <c r="H1550" s="19" t="n">
        <v>2</v>
      </c>
      <c r="I1550" s="57" t="n">
        <v>3</v>
      </c>
    </row>
    <row r="1551">
      <c r="A1551" s="62" t="n">
        <v>46566</v>
      </c>
      <c r="B1551" s="3" t="inlineStr">
        <is>
          <t>Week</t>
        </is>
      </c>
      <c r="C1551" s="19" t="n">
        <v>6</v>
      </c>
      <c r="D1551" s="19" t="n">
        <v>2027</v>
      </c>
      <c r="E1551" s="57" t="n">
        <v>2</v>
      </c>
      <c r="F1551" s="29">
        <f>ROUND(((SUMIFS(Calendar!$F$2:$F$9997,Calendar!$B$2:$B$9997,D1551,Calendar!$C$2:$C$9997,C1551)*INDEX(ForeCalc!$B$37:$Y$274,MATCH(_xlfn.CONCAT(H1551," ",I1551),ForeCalc!$A$37:$A$274,0),MATCH(_xlfn.CONCAT(B1551," ",E1551),ForeCalc!$B$36:$Y$36,0))))*VLOOKUP(A1551,Calendar!$A$2:$H$9997,8,FALSE),0)</f>
        <v/>
      </c>
      <c r="G1551" s="29">
        <f>VLOOKUP(A1551,Calendar!$A$1:$H$9997,6,FALSE)-F1551</f>
        <v/>
      </c>
      <c r="H1551" s="19" t="n">
        <v>2</v>
      </c>
      <c r="I1551" s="57" t="n">
        <v>3</v>
      </c>
    </row>
    <row r="1552">
      <c r="A1552" s="62" t="n">
        <v>46567</v>
      </c>
      <c r="B1552" s="3" t="inlineStr">
        <is>
          <t>Week</t>
        </is>
      </c>
      <c r="C1552" s="19" t="n">
        <v>6</v>
      </c>
      <c r="D1552" s="19" t="n">
        <v>2027</v>
      </c>
      <c r="E1552" s="57" t="n">
        <v>2</v>
      </c>
      <c r="F1552" s="29">
        <f>ROUND(((SUMIFS(Calendar!$F$2:$F$9997,Calendar!$B$2:$B$9997,D1552,Calendar!$C$2:$C$9997,C1552)*INDEX(ForeCalc!$B$37:$Y$274,MATCH(_xlfn.CONCAT(H1552," ",I1552),ForeCalc!$A$37:$A$274,0),MATCH(_xlfn.CONCAT(B1552," ",E1552),ForeCalc!$B$36:$Y$36,0))))*VLOOKUP(A1552,Calendar!$A$2:$H$9997,8,FALSE),0)</f>
        <v/>
      </c>
      <c r="G1552" s="29">
        <f>VLOOKUP(A1552,Calendar!$A$1:$H$9997,6,FALSE)-F1552</f>
        <v/>
      </c>
      <c r="H1552" s="19" t="n">
        <v>2</v>
      </c>
      <c r="I1552" s="57" t="n">
        <v>3</v>
      </c>
    </row>
    <row r="1553">
      <c r="A1553" s="62" t="n">
        <v>46568</v>
      </c>
      <c r="B1553" s="3" t="inlineStr">
        <is>
          <t>Week</t>
        </is>
      </c>
      <c r="C1553" s="19" t="n">
        <v>6</v>
      </c>
      <c r="D1553" s="19" t="n">
        <v>2027</v>
      </c>
      <c r="E1553" s="57" t="n">
        <v>2</v>
      </c>
      <c r="F1553" s="29">
        <f>ROUND(((SUMIFS(Calendar!$F$2:$F$9997,Calendar!$B$2:$B$9997,D1553,Calendar!$C$2:$C$9997,C1553)*INDEX(ForeCalc!$B$37:$Y$274,MATCH(_xlfn.CONCAT(H1553," ",I1553),ForeCalc!$A$37:$A$274,0),MATCH(_xlfn.CONCAT(B1553," ",E1553),ForeCalc!$B$36:$Y$36,0))))*VLOOKUP(A1553,Calendar!$A$2:$H$9997,8,FALSE),0)</f>
        <v/>
      </c>
      <c r="G1553" s="29">
        <f>VLOOKUP(A1553,Calendar!$A$1:$H$9997,6,FALSE)-F1553</f>
        <v/>
      </c>
      <c r="H1553" s="19" t="n">
        <v>2</v>
      </c>
      <c r="I1553" s="57" t="n">
        <v>3</v>
      </c>
    </row>
    <row r="1554">
      <c r="A1554" s="62" t="n">
        <v>46569</v>
      </c>
      <c r="B1554" s="3" t="inlineStr">
        <is>
          <t>Week</t>
        </is>
      </c>
      <c r="C1554" s="19" t="n">
        <v>7</v>
      </c>
      <c r="D1554" s="19" t="n">
        <v>2027</v>
      </c>
      <c r="E1554" s="57" t="n">
        <v>2</v>
      </c>
      <c r="F1554" s="29">
        <f>ROUND(((SUMIFS(Calendar!$F$2:$F$9997,Calendar!$B$2:$B$9997,D1554,Calendar!$C$2:$C$9997,C1554)*INDEX(ForeCalc!$B$37:$Y$274,MATCH(_xlfn.CONCAT(H1554," ",I1554),ForeCalc!$A$37:$A$274,0),MATCH(_xlfn.CONCAT(B1554," ",E1554),ForeCalc!$B$36:$Y$36,0))))*VLOOKUP(A1554,Calendar!$A$2:$H$9997,8,FALSE),0)</f>
        <v/>
      </c>
      <c r="G1554" s="29">
        <f>VLOOKUP(A1554,Calendar!$A$1:$H$9997,6,FALSE)-F1554</f>
        <v/>
      </c>
      <c r="H1554" s="19" t="n">
        <v>2</v>
      </c>
      <c r="I1554" s="57" t="n">
        <v>4</v>
      </c>
    </row>
    <row r="1555">
      <c r="A1555" s="62" t="n">
        <v>46570</v>
      </c>
      <c r="B1555" s="3" t="inlineStr">
        <is>
          <t>Week</t>
        </is>
      </c>
      <c r="C1555" s="19" t="n">
        <v>7</v>
      </c>
      <c r="D1555" s="19" t="n">
        <v>2027</v>
      </c>
      <c r="E1555" s="57" t="n">
        <v>2</v>
      </c>
      <c r="F1555" s="29">
        <f>ROUND(((SUMIFS(Calendar!$F$2:$F$9997,Calendar!$B$2:$B$9997,D1555,Calendar!$C$2:$C$9997,C1555)*INDEX(ForeCalc!$B$37:$Y$274,MATCH(_xlfn.CONCAT(H1555," ",I1555),ForeCalc!$A$37:$A$274,0),MATCH(_xlfn.CONCAT(B1555," ",E1555),ForeCalc!$B$36:$Y$36,0))))*VLOOKUP(A1555,Calendar!$A$2:$H$9997,8,FALSE),0)</f>
        <v/>
      </c>
      <c r="G1555" s="29">
        <f>VLOOKUP(A1555,Calendar!$A$1:$H$9997,6,FALSE)-F1555</f>
        <v/>
      </c>
      <c r="H1555" s="19" t="n">
        <v>2</v>
      </c>
      <c r="I1555" s="57" t="n">
        <v>4</v>
      </c>
    </row>
    <row r="1556">
      <c r="A1556" s="62" t="n">
        <v>46571</v>
      </c>
      <c r="B1556" s="3" t="inlineStr">
        <is>
          <t>Sat</t>
        </is>
      </c>
      <c r="C1556" s="19" t="n">
        <v>7</v>
      </c>
      <c r="D1556" s="19" t="n">
        <v>2027</v>
      </c>
      <c r="E1556" s="57" t="n">
        <v>2</v>
      </c>
      <c r="F1556" s="29">
        <f>ROUND(((SUMIFS(Calendar!$F$2:$F$9997,Calendar!$B$2:$B$9997,D1556,Calendar!$C$2:$C$9997,C1556)*INDEX(ForeCalc!$B$37:$Y$274,MATCH(_xlfn.CONCAT(H1556," ",I1556),ForeCalc!$A$37:$A$274,0),MATCH(_xlfn.CONCAT(B1556," ",E1556),ForeCalc!$B$36:$Y$36,0))))*VLOOKUP(A1556,Calendar!$A$2:$H$9997,8,FALSE),0)</f>
        <v/>
      </c>
      <c r="G1556" s="29">
        <f>VLOOKUP(A1556,Calendar!$A$1:$H$9997,6,FALSE)-F1556</f>
        <v/>
      </c>
      <c r="H1556" s="19" t="n">
        <v>2</v>
      </c>
      <c r="I1556" s="57" t="n">
        <v>4</v>
      </c>
    </row>
    <row r="1557">
      <c r="A1557" s="62" t="n">
        <v>46572</v>
      </c>
      <c r="B1557" s="3" t="inlineStr">
        <is>
          <t>Sun</t>
        </is>
      </c>
      <c r="C1557" s="19" t="n">
        <v>7</v>
      </c>
      <c r="D1557" s="19" t="n">
        <v>2027</v>
      </c>
      <c r="E1557" s="57" t="n">
        <v>2</v>
      </c>
      <c r="F1557" s="29">
        <f>ROUND(((SUMIFS(Calendar!$F$2:$F$9997,Calendar!$B$2:$B$9997,D1557,Calendar!$C$2:$C$9997,C1557)*INDEX(ForeCalc!$B$37:$Y$274,MATCH(_xlfn.CONCAT(H1557," ",I1557),ForeCalc!$A$37:$A$274,0),MATCH(_xlfn.CONCAT(B1557," ",E1557),ForeCalc!$B$36:$Y$36,0))))*VLOOKUP(A1557,Calendar!$A$2:$H$9997,8,FALSE),0)</f>
        <v/>
      </c>
      <c r="G1557" s="29">
        <f>VLOOKUP(A1557,Calendar!$A$1:$H$9997,6,FALSE)-F1557</f>
        <v/>
      </c>
      <c r="H1557" s="19" t="n">
        <v>2</v>
      </c>
      <c r="I1557" s="57" t="n">
        <v>4</v>
      </c>
    </row>
    <row r="1558">
      <c r="A1558" s="62" t="n">
        <v>46573</v>
      </c>
      <c r="B1558" s="3" t="inlineStr">
        <is>
          <t>Week</t>
        </is>
      </c>
      <c r="C1558" s="19" t="n">
        <v>7</v>
      </c>
      <c r="D1558" s="19" t="n">
        <v>2027</v>
      </c>
      <c r="E1558" s="57" t="n">
        <v>2</v>
      </c>
      <c r="F1558" s="29">
        <f>ROUND(((SUMIFS(Calendar!$F$2:$F$9997,Calendar!$B$2:$B$9997,D1558,Calendar!$C$2:$C$9997,C1558)*INDEX(ForeCalc!$B$37:$Y$274,MATCH(_xlfn.CONCAT(H1558," ",I1558),ForeCalc!$A$37:$A$274,0),MATCH(_xlfn.CONCAT(B1558," ",E1558),ForeCalc!$B$36:$Y$36,0))))*VLOOKUP(A1558,Calendar!$A$2:$H$9997,8,FALSE),0)</f>
        <v/>
      </c>
      <c r="G1558" s="29">
        <f>VLOOKUP(A1558,Calendar!$A$1:$H$9997,6,FALSE)-F1558</f>
        <v/>
      </c>
      <c r="H1558" s="19" t="n">
        <v>2</v>
      </c>
      <c r="I1558" s="57" t="n">
        <v>4</v>
      </c>
    </row>
    <row r="1559">
      <c r="A1559" s="62" t="n">
        <v>46574</v>
      </c>
      <c r="B1559" s="3" t="inlineStr">
        <is>
          <t>Week</t>
        </is>
      </c>
      <c r="C1559" s="19" t="n">
        <v>7</v>
      </c>
      <c r="D1559" s="19" t="n">
        <v>2027</v>
      </c>
      <c r="E1559" s="57" t="n">
        <v>2</v>
      </c>
      <c r="F1559" s="29">
        <f>ROUND(((SUMIFS(Calendar!$F$2:$F$9997,Calendar!$B$2:$B$9997,D1559,Calendar!$C$2:$C$9997,C1559)*INDEX(ForeCalc!$B$37:$Y$274,MATCH(_xlfn.CONCAT(H1559," ",I1559),ForeCalc!$A$37:$A$274,0),MATCH(_xlfn.CONCAT(B1559," ",E1559),ForeCalc!$B$36:$Y$36,0))))*VLOOKUP(A1559,Calendar!$A$2:$H$9997,8,FALSE),0)</f>
        <v/>
      </c>
      <c r="G1559" s="29">
        <f>VLOOKUP(A1559,Calendar!$A$1:$H$9997,6,FALSE)-F1559</f>
        <v/>
      </c>
      <c r="H1559" s="19" t="n">
        <v>2</v>
      </c>
      <c r="I1559" s="57" t="n">
        <v>4</v>
      </c>
    </row>
    <row r="1560">
      <c r="A1560" s="62" t="n">
        <v>46575</v>
      </c>
      <c r="B1560" s="3" t="inlineStr">
        <is>
          <t>Week</t>
        </is>
      </c>
      <c r="C1560" s="19" t="n">
        <v>7</v>
      </c>
      <c r="D1560" s="19" t="n">
        <v>2027</v>
      </c>
      <c r="E1560" s="57" t="n">
        <v>2</v>
      </c>
      <c r="F1560" s="29">
        <f>ROUND(((SUMIFS(Calendar!$F$2:$F$9997,Calendar!$B$2:$B$9997,D1560,Calendar!$C$2:$C$9997,C1560)*INDEX(ForeCalc!$B$37:$Y$274,MATCH(_xlfn.CONCAT(H1560," ",I1560),ForeCalc!$A$37:$A$274,0),MATCH(_xlfn.CONCAT(B1560," ",E1560),ForeCalc!$B$36:$Y$36,0))))*VLOOKUP(A1560,Calendar!$A$2:$H$9997,8,FALSE),0)</f>
        <v/>
      </c>
      <c r="G1560" s="29">
        <f>VLOOKUP(A1560,Calendar!$A$1:$H$9997,6,FALSE)-F1560</f>
        <v/>
      </c>
      <c r="H1560" s="19" t="n">
        <v>2</v>
      </c>
      <c r="I1560" s="57" t="n">
        <v>4</v>
      </c>
    </row>
    <row r="1561">
      <c r="A1561" s="62" t="n">
        <v>46576</v>
      </c>
      <c r="B1561" s="3" t="inlineStr">
        <is>
          <t>Week</t>
        </is>
      </c>
      <c r="C1561" s="19" t="n">
        <v>7</v>
      </c>
      <c r="D1561" s="19" t="n">
        <v>2027</v>
      </c>
      <c r="E1561" s="57" t="n">
        <v>2</v>
      </c>
      <c r="F1561" s="29">
        <f>ROUND(((SUMIFS(Calendar!$F$2:$F$9997,Calendar!$B$2:$B$9997,D1561,Calendar!$C$2:$C$9997,C1561)*INDEX(ForeCalc!$B$37:$Y$274,MATCH(_xlfn.CONCAT(H1561," ",I1561),ForeCalc!$A$37:$A$274,0),MATCH(_xlfn.CONCAT(B1561," ",E1561),ForeCalc!$B$36:$Y$36,0))))*VLOOKUP(A1561,Calendar!$A$2:$H$9997,8,FALSE),0)</f>
        <v/>
      </c>
      <c r="G1561" s="29">
        <f>VLOOKUP(A1561,Calendar!$A$1:$H$9997,6,FALSE)-F1561</f>
        <v/>
      </c>
      <c r="H1561" s="19" t="n">
        <v>2</v>
      </c>
      <c r="I1561" s="57" t="n">
        <v>4</v>
      </c>
    </row>
    <row r="1562">
      <c r="A1562" s="62" t="n">
        <v>46577</v>
      </c>
      <c r="B1562" s="3" t="inlineStr">
        <is>
          <t>Week</t>
        </is>
      </c>
      <c r="C1562" s="19" t="n">
        <v>7</v>
      </c>
      <c r="D1562" s="19" t="n">
        <v>2027</v>
      </c>
      <c r="E1562" s="57" t="n">
        <v>2</v>
      </c>
      <c r="F1562" s="29">
        <f>ROUND(((SUMIFS(Calendar!$F$2:$F$9997,Calendar!$B$2:$B$9997,D1562,Calendar!$C$2:$C$9997,C1562)*INDEX(ForeCalc!$B$37:$Y$274,MATCH(_xlfn.CONCAT(H1562," ",I1562),ForeCalc!$A$37:$A$274,0),MATCH(_xlfn.CONCAT(B1562," ",E1562),ForeCalc!$B$36:$Y$36,0))))*VLOOKUP(A1562,Calendar!$A$2:$H$9997,8,FALSE),0)</f>
        <v/>
      </c>
      <c r="G1562" s="29">
        <f>VLOOKUP(A1562,Calendar!$A$1:$H$9997,6,FALSE)-F1562</f>
        <v/>
      </c>
      <c r="H1562" s="19" t="n">
        <v>2</v>
      </c>
      <c r="I1562" s="57" t="n">
        <v>4</v>
      </c>
    </row>
    <row r="1563">
      <c r="A1563" s="62" t="n">
        <v>46578</v>
      </c>
      <c r="B1563" s="3" t="inlineStr">
        <is>
          <t>Sat</t>
        </is>
      </c>
      <c r="C1563" s="19" t="n">
        <v>7</v>
      </c>
      <c r="D1563" s="19" t="n">
        <v>2027</v>
      </c>
      <c r="E1563" s="57" t="n">
        <v>2</v>
      </c>
      <c r="F1563" s="29">
        <f>ROUND(((SUMIFS(Calendar!$F$2:$F$9997,Calendar!$B$2:$B$9997,D1563,Calendar!$C$2:$C$9997,C1563)*INDEX(ForeCalc!$B$37:$Y$274,MATCH(_xlfn.CONCAT(H1563," ",I1563),ForeCalc!$A$37:$A$274,0),MATCH(_xlfn.CONCAT(B1563," ",E1563),ForeCalc!$B$36:$Y$36,0))))*VLOOKUP(A1563,Calendar!$A$2:$H$9997,8,FALSE),0)</f>
        <v/>
      </c>
      <c r="G1563" s="29">
        <f>VLOOKUP(A1563,Calendar!$A$1:$H$9997,6,FALSE)-F1563</f>
        <v/>
      </c>
      <c r="H1563" s="19" t="n">
        <v>2</v>
      </c>
      <c r="I1563" s="57" t="n">
        <v>4</v>
      </c>
    </row>
    <row r="1564">
      <c r="A1564" s="62" t="n">
        <v>46579</v>
      </c>
      <c r="B1564" s="3" t="inlineStr">
        <is>
          <t>Sun</t>
        </is>
      </c>
      <c r="C1564" s="19" t="n">
        <v>7</v>
      </c>
      <c r="D1564" s="19" t="n">
        <v>2027</v>
      </c>
      <c r="E1564" s="57" t="n">
        <v>2</v>
      </c>
      <c r="F1564" s="29">
        <f>ROUND(((SUMIFS(Calendar!$F$2:$F$9997,Calendar!$B$2:$B$9997,D1564,Calendar!$C$2:$C$9997,C1564)*INDEX(ForeCalc!$B$37:$Y$274,MATCH(_xlfn.CONCAT(H1564," ",I1564),ForeCalc!$A$37:$A$274,0),MATCH(_xlfn.CONCAT(B1564," ",E1564),ForeCalc!$B$36:$Y$36,0))))*VLOOKUP(A1564,Calendar!$A$2:$H$9997,8,FALSE),0)</f>
        <v/>
      </c>
      <c r="G1564" s="29">
        <f>VLOOKUP(A1564,Calendar!$A$1:$H$9997,6,FALSE)-F1564</f>
        <v/>
      </c>
      <c r="H1564" s="19" t="n">
        <v>2</v>
      </c>
      <c r="I1564" s="57" t="n">
        <v>4</v>
      </c>
    </row>
    <row r="1565">
      <c r="A1565" s="62" t="n">
        <v>46580</v>
      </c>
      <c r="B1565" s="3" t="inlineStr">
        <is>
          <t>Week</t>
        </is>
      </c>
      <c r="C1565" s="19" t="n">
        <v>7</v>
      </c>
      <c r="D1565" s="19" t="n">
        <v>2027</v>
      </c>
      <c r="E1565" s="57" t="n">
        <v>2</v>
      </c>
      <c r="F1565" s="29">
        <f>ROUND(((SUMIFS(Calendar!$F$2:$F$9997,Calendar!$B$2:$B$9997,D1565,Calendar!$C$2:$C$9997,C1565)*INDEX(ForeCalc!$B$37:$Y$274,MATCH(_xlfn.CONCAT(H1565," ",I1565),ForeCalc!$A$37:$A$274,0),MATCH(_xlfn.CONCAT(B1565," ",E1565),ForeCalc!$B$36:$Y$36,0))))*VLOOKUP(A1565,Calendar!$A$2:$H$9997,8,FALSE),0)</f>
        <v/>
      </c>
      <c r="G1565" s="29">
        <f>VLOOKUP(A1565,Calendar!$A$1:$H$9997,6,FALSE)-F1565</f>
        <v/>
      </c>
      <c r="H1565" s="19" t="n">
        <v>2</v>
      </c>
      <c r="I1565" s="57" t="n">
        <v>4</v>
      </c>
    </row>
    <row r="1566">
      <c r="A1566" s="62" t="n">
        <v>46581</v>
      </c>
      <c r="B1566" s="3" t="inlineStr">
        <is>
          <t>Week</t>
        </is>
      </c>
      <c r="C1566" s="19" t="n">
        <v>7</v>
      </c>
      <c r="D1566" s="19" t="n">
        <v>2027</v>
      </c>
      <c r="E1566" s="57" t="n">
        <v>2</v>
      </c>
      <c r="F1566" s="29">
        <f>ROUND(((SUMIFS(Calendar!$F$2:$F$9997,Calendar!$B$2:$B$9997,D1566,Calendar!$C$2:$C$9997,C1566)*INDEX(ForeCalc!$B$37:$Y$274,MATCH(_xlfn.CONCAT(H1566," ",I1566),ForeCalc!$A$37:$A$274,0),MATCH(_xlfn.CONCAT(B1566," ",E1566),ForeCalc!$B$36:$Y$36,0))))*VLOOKUP(A1566,Calendar!$A$2:$H$9997,8,FALSE),0)</f>
        <v/>
      </c>
      <c r="G1566" s="29">
        <f>VLOOKUP(A1566,Calendar!$A$1:$H$9997,6,FALSE)-F1566</f>
        <v/>
      </c>
      <c r="H1566" s="19" t="n">
        <v>2</v>
      </c>
      <c r="I1566" s="57" t="n">
        <v>4</v>
      </c>
    </row>
    <row r="1567">
      <c r="A1567" s="62" t="n">
        <v>46582</v>
      </c>
      <c r="B1567" s="3" t="inlineStr">
        <is>
          <t>Week</t>
        </is>
      </c>
      <c r="C1567" s="19" t="n">
        <v>7</v>
      </c>
      <c r="D1567" s="19" t="n">
        <v>2027</v>
      </c>
      <c r="E1567" s="57" t="n">
        <v>2</v>
      </c>
      <c r="F1567" s="29">
        <f>ROUND(((SUMIFS(Calendar!$F$2:$F$9997,Calendar!$B$2:$B$9997,D1567,Calendar!$C$2:$C$9997,C1567)*INDEX(ForeCalc!$B$37:$Y$274,MATCH(_xlfn.CONCAT(H1567," ",I1567),ForeCalc!$A$37:$A$274,0),MATCH(_xlfn.CONCAT(B1567," ",E1567),ForeCalc!$B$36:$Y$36,0))))*VLOOKUP(A1567,Calendar!$A$2:$H$9997,8,FALSE),0)</f>
        <v/>
      </c>
      <c r="G1567" s="29">
        <f>VLOOKUP(A1567,Calendar!$A$1:$H$9997,6,FALSE)-F1567</f>
        <v/>
      </c>
      <c r="H1567" s="19" t="n">
        <v>2</v>
      </c>
      <c r="I1567" s="57" t="n">
        <v>4</v>
      </c>
    </row>
    <row r="1568">
      <c r="A1568" s="62" t="n">
        <v>46583</v>
      </c>
      <c r="B1568" s="3" t="inlineStr">
        <is>
          <t>Week</t>
        </is>
      </c>
      <c r="C1568" s="19" t="n">
        <v>7</v>
      </c>
      <c r="D1568" s="19" t="n">
        <v>2027</v>
      </c>
      <c r="E1568" s="57" t="n">
        <v>2</v>
      </c>
      <c r="F1568" s="29">
        <f>ROUND(((SUMIFS(Calendar!$F$2:$F$9997,Calendar!$B$2:$B$9997,D1568,Calendar!$C$2:$C$9997,C1568)*INDEX(ForeCalc!$B$37:$Y$274,MATCH(_xlfn.CONCAT(H1568," ",I1568),ForeCalc!$A$37:$A$274,0),MATCH(_xlfn.CONCAT(B1568," ",E1568),ForeCalc!$B$36:$Y$36,0))))*VLOOKUP(A1568,Calendar!$A$2:$H$9997,8,FALSE),0)</f>
        <v/>
      </c>
      <c r="G1568" s="29">
        <f>VLOOKUP(A1568,Calendar!$A$1:$H$9997,6,FALSE)-F1568</f>
        <v/>
      </c>
      <c r="H1568" s="19" t="n">
        <v>2</v>
      </c>
      <c r="I1568" s="57" t="n">
        <v>4</v>
      </c>
    </row>
    <row r="1569">
      <c r="A1569" s="62" t="n">
        <v>46584</v>
      </c>
      <c r="B1569" s="3" t="inlineStr">
        <is>
          <t>Week</t>
        </is>
      </c>
      <c r="C1569" s="19" t="n">
        <v>7</v>
      </c>
      <c r="D1569" s="19" t="n">
        <v>2027</v>
      </c>
      <c r="E1569" s="57" t="n">
        <v>2</v>
      </c>
      <c r="F1569" s="29">
        <f>ROUND(((SUMIFS(Calendar!$F$2:$F$9997,Calendar!$B$2:$B$9997,D1569,Calendar!$C$2:$C$9997,C1569)*INDEX(ForeCalc!$B$37:$Y$274,MATCH(_xlfn.CONCAT(H1569," ",I1569),ForeCalc!$A$37:$A$274,0),MATCH(_xlfn.CONCAT(B1569," ",E1569),ForeCalc!$B$36:$Y$36,0))))*VLOOKUP(A1569,Calendar!$A$2:$H$9997,8,FALSE),0)</f>
        <v/>
      </c>
      <c r="G1569" s="29">
        <f>VLOOKUP(A1569,Calendar!$A$1:$H$9997,6,FALSE)-F1569</f>
        <v/>
      </c>
      <c r="H1569" s="19" t="n">
        <v>2</v>
      </c>
      <c r="I1569" s="57" t="n">
        <v>4</v>
      </c>
    </row>
    <row r="1570">
      <c r="A1570" s="62" t="n">
        <v>46585</v>
      </c>
      <c r="B1570" s="3" t="inlineStr">
        <is>
          <t>Sat</t>
        </is>
      </c>
      <c r="C1570" s="19" t="n">
        <v>7</v>
      </c>
      <c r="D1570" s="19" t="n">
        <v>2027</v>
      </c>
      <c r="E1570" s="57" t="n">
        <v>2</v>
      </c>
      <c r="F1570" s="29">
        <f>ROUND(((SUMIFS(Calendar!$F$2:$F$9997,Calendar!$B$2:$B$9997,D1570,Calendar!$C$2:$C$9997,C1570)*INDEX(ForeCalc!$B$37:$Y$274,MATCH(_xlfn.CONCAT(H1570," ",I1570),ForeCalc!$A$37:$A$274,0),MATCH(_xlfn.CONCAT(B1570," ",E1570),ForeCalc!$B$36:$Y$36,0))))*VLOOKUP(A1570,Calendar!$A$2:$H$9997,8,FALSE),0)</f>
        <v/>
      </c>
      <c r="G1570" s="29">
        <f>VLOOKUP(A1570,Calendar!$A$1:$H$9997,6,FALSE)-F1570</f>
        <v/>
      </c>
      <c r="H1570" s="19" t="n">
        <v>2</v>
      </c>
      <c r="I1570" s="57" t="n">
        <v>4</v>
      </c>
    </row>
    <row r="1571">
      <c r="A1571" s="62" t="n">
        <v>46586</v>
      </c>
      <c r="B1571" s="3" t="inlineStr">
        <is>
          <t>Sun</t>
        </is>
      </c>
      <c r="C1571" s="19" t="n">
        <v>7</v>
      </c>
      <c r="D1571" s="19" t="n">
        <v>2027</v>
      </c>
      <c r="E1571" s="57" t="n">
        <v>2</v>
      </c>
      <c r="F1571" s="29">
        <f>ROUND(((SUMIFS(Calendar!$F$2:$F$9997,Calendar!$B$2:$B$9997,D1571,Calendar!$C$2:$C$9997,C1571)*INDEX(ForeCalc!$B$37:$Y$274,MATCH(_xlfn.CONCAT(H1571," ",I1571),ForeCalc!$A$37:$A$274,0),MATCH(_xlfn.CONCAT(B1571," ",E1571),ForeCalc!$B$36:$Y$36,0))))*VLOOKUP(A1571,Calendar!$A$2:$H$9997,8,FALSE),0)</f>
        <v/>
      </c>
      <c r="G1571" s="29">
        <f>VLOOKUP(A1571,Calendar!$A$1:$H$9997,6,FALSE)-F1571</f>
        <v/>
      </c>
      <c r="H1571" s="19" t="n">
        <v>2</v>
      </c>
      <c r="I1571" s="57" t="n">
        <v>4</v>
      </c>
    </row>
    <row r="1572">
      <c r="A1572" s="62" t="n">
        <v>46587</v>
      </c>
      <c r="B1572" s="3" t="inlineStr">
        <is>
          <t>Week</t>
        </is>
      </c>
      <c r="C1572" s="19" t="n">
        <v>7</v>
      </c>
      <c r="D1572" s="19" t="n">
        <v>2027</v>
      </c>
      <c r="E1572" s="57" t="n">
        <v>2</v>
      </c>
      <c r="F1572" s="29">
        <f>ROUND(((SUMIFS(Calendar!$F$2:$F$9997,Calendar!$B$2:$B$9997,D1572,Calendar!$C$2:$C$9997,C1572)*INDEX(ForeCalc!$B$37:$Y$274,MATCH(_xlfn.CONCAT(H1572," ",I1572),ForeCalc!$A$37:$A$274,0),MATCH(_xlfn.CONCAT(B1572," ",E1572),ForeCalc!$B$36:$Y$36,0))))*VLOOKUP(A1572,Calendar!$A$2:$H$9997,8,FALSE),0)</f>
        <v/>
      </c>
      <c r="G1572" s="29">
        <f>VLOOKUP(A1572,Calendar!$A$1:$H$9997,6,FALSE)-F1572</f>
        <v/>
      </c>
      <c r="H1572" s="19" t="n">
        <v>2</v>
      </c>
      <c r="I1572" s="57" t="n">
        <v>4</v>
      </c>
    </row>
    <row r="1573">
      <c r="A1573" s="62" t="n">
        <v>46588</v>
      </c>
      <c r="B1573" s="3" t="inlineStr">
        <is>
          <t>Week</t>
        </is>
      </c>
      <c r="C1573" s="19" t="n">
        <v>7</v>
      </c>
      <c r="D1573" s="19" t="n">
        <v>2027</v>
      </c>
      <c r="E1573" s="57" t="n">
        <v>2</v>
      </c>
      <c r="F1573" s="29">
        <f>ROUND(((SUMIFS(Calendar!$F$2:$F$9997,Calendar!$B$2:$B$9997,D1573,Calendar!$C$2:$C$9997,C1573)*INDEX(ForeCalc!$B$37:$Y$274,MATCH(_xlfn.CONCAT(H1573," ",I1573),ForeCalc!$A$37:$A$274,0),MATCH(_xlfn.CONCAT(B1573," ",E1573),ForeCalc!$B$36:$Y$36,0))))*VLOOKUP(A1573,Calendar!$A$2:$H$9997,8,FALSE),0)</f>
        <v/>
      </c>
      <c r="G1573" s="29">
        <f>VLOOKUP(A1573,Calendar!$A$1:$H$9997,6,FALSE)-F1573</f>
        <v/>
      </c>
      <c r="H1573" s="19" t="n">
        <v>2</v>
      </c>
      <c r="I1573" s="57" t="n">
        <v>4</v>
      </c>
    </row>
    <row r="1574">
      <c r="A1574" s="62" t="n">
        <v>46589</v>
      </c>
      <c r="B1574" s="3" t="inlineStr">
        <is>
          <t>Week</t>
        </is>
      </c>
      <c r="C1574" s="19" t="n">
        <v>7</v>
      </c>
      <c r="D1574" s="19" t="n">
        <v>2027</v>
      </c>
      <c r="E1574" s="57" t="n">
        <v>2</v>
      </c>
      <c r="F1574" s="29">
        <f>ROUND(((SUMIFS(Calendar!$F$2:$F$9997,Calendar!$B$2:$B$9997,D1574,Calendar!$C$2:$C$9997,C1574)*INDEX(ForeCalc!$B$37:$Y$274,MATCH(_xlfn.CONCAT(H1574," ",I1574),ForeCalc!$A$37:$A$274,0),MATCH(_xlfn.CONCAT(B1574," ",E1574),ForeCalc!$B$36:$Y$36,0))))*VLOOKUP(A1574,Calendar!$A$2:$H$9997,8,FALSE),0)</f>
        <v/>
      </c>
      <c r="G1574" s="29">
        <f>VLOOKUP(A1574,Calendar!$A$1:$H$9997,6,FALSE)-F1574</f>
        <v/>
      </c>
      <c r="H1574" s="19" t="n">
        <v>2</v>
      </c>
      <c r="I1574" s="57" t="n">
        <v>4</v>
      </c>
    </row>
    <row r="1575">
      <c r="A1575" s="62" t="n">
        <v>46590</v>
      </c>
      <c r="B1575" s="3" t="inlineStr">
        <is>
          <t>Week</t>
        </is>
      </c>
      <c r="C1575" s="19" t="n">
        <v>7</v>
      </c>
      <c r="D1575" s="19" t="n">
        <v>2027</v>
      </c>
      <c r="E1575" s="57" t="n">
        <v>2</v>
      </c>
      <c r="F1575" s="29">
        <f>ROUND(((SUMIFS(Calendar!$F$2:$F$9997,Calendar!$B$2:$B$9997,D1575,Calendar!$C$2:$C$9997,C1575)*INDEX(ForeCalc!$B$37:$Y$274,MATCH(_xlfn.CONCAT(H1575," ",I1575),ForeCalc!$A$37:$A$274,0),MATCH(_xlfn.CONCAT(B1575," ",E1575),ForeCalc!$B$36:$Y$36,0))))*VLOOKUP(A1575,Calendar!$A$2:$H$9997,8,FALSE),0)</f>
        <v/>
      </c>
      <c r="G1575" s="29">
        <f>VLOOKUP(A1575,Calendar!$A$1:$H$9997,6,FALSE)-F1575</f>
        <v/>
      </c>
      <c r="H1575" s="19" t="n">
        <v>2</v>
      </c>
      <c r="I1575" s="57" t="n">
        <v>4</v>
      </c>
    </row>
    <row r="1576">
      <c r="A1576" s="62" t="n">
        <v>46591</v>
      </c>
      <c r="B1576" s="3" t="inlineStr">
        <is>
          <t>Week</t>
        </is>
      </c>
      <c r="C1576" s="19" t="n">
        <v>7</v>
      </c>
      <c r="D1576" s="19" t="n">
        <v>2027</v>
      </c>
      <c r="E1576" s="57" t="n">
        <v>2</v>
      </c>
      <c r="F1576" s="29">
        <f>ROUND(((SUMIFS(Calendar!$F$2:$F$9997,Calendar!$B$2:$B$9997,D1576,Calendar!$C$2:$C$9997,C1576)*INDEX(ForeCalc!$B$37:$Y$274,MATCH(_xlfn.CONCAT(H1576," ",I1576),ForeCalc!$A$37:$A$274,0),MATCH(_xlfn.CONCAT(B1576," ",E1576),ForeCalc!$B$36:$Y$36,0))))*VLOOKUP(A1576,Calendar!$A$2:$H$9997,8,FALSE),0)</f>
        <v/>
      </c>
      <c r="G1576" s="29">
        <f>VLOOKUP(A1576,Calendar!$A$1:$H$9997,6,FALSE)-F1576</f>
        <v/>
      </c>
      <c r="H1576" s="19" t="n">
        <v>2</v>
      </c>
      <c r="I1576" s="57" t="n">
        <v>4</v>
      </c>
    </row>
    <row r="1577">
      <c r="A1577" s="62" t="n">
        <v>46592</v>
      </c>
      <c r="B1577" s="3" t="inlineStr">
        <is>
          <t>Sat</t>
        </is>
      </c>
      <c r="C1577" s="19" t="n">
        <v>7</v>
      </c>
      <c r="D1577" s="19" t="n">
        <v>2027</v>
      </c>
      <c r="E1577" s="57" t="n">
        <v>2</v>
      </c>
      <c r="F1577" s="29">
        <f>ROUND(((SUMIFS(Calendar!$F$2:$F$9997,Calendar!$B$2:$B$9997,D1577,Calendar!$C$2:$C$9997,C1577)*INDEX(ForeCalc!$B$37:$Y$274,MATCH(_xlfn.CONCAT(H1577," ",I1577),ForeCalc!$A$37:$A$274,0),MATCH(_xlfn.CONCAT(B1577," ",E1577),ForeCalc!$B$36:$Y$36,0))))*VLOOKUP(A1577,Calendar!$A$2:$H$9997,8,FALSE),0)</f>
        <v/>
      </c>
      <c r="G1577" s="29">
        <f>VLOOKUP(A1577,Calendar!$A$1:$H$9997,6,FALSE)-F1577</f>
        <v/>
      </c>
      <c r="H1577" s="19" t="n">
        <v>2</v>
      </c>
      <c r="I1577" s="57" t="n">
        <v>4</v>
      </c>
    </row>
    <row r="1578">
      <c r="A1578" s="62" t="n">
        <v>46593</v>
      </c>
      <c r="B1578" s="3" t="inlineStr">
        <is>
          <t>Sun</t>
        </is>
      </c>
      <c r="C1578" s="19" t="n">
        <v>7</v>
      </c>
      <c r="D1578" s="19" t="n">
        <v>2027</v>
      </c>
      <c r="E1578" s="57" t="n">
        <v>2</v>
      </c>
      <c r="F1578" s="29">
        <f>ROUND(((SUMIFS(Calendar!$F$2:$F$9997,Calendar!$B$2:$B$9997,D1578,Calendar!$C$2:$C$9997,C1578)*INDEX(ForeCalc!$B$37:$Y$274,MATCH(_xlfn.CONCAT(H1578," ",I1578),ForeCalc!$A$37:$A$274,0),MATCH(_xlfn.CONCAT(B1578," ",E1578),ForeCalc!$B$36:$Y$36,0))))*VLOOKUP(A1578,Calendar!$A$2:$H$9997,8,FALSE),0)</f>
        <v/>
      </c>
      <c r="G1578" s="29">
        <f>VLOOKUP(A1578,Calendar!$A$1:$H$9997,6,FALSE)-F1578</f>
        <v/>
      </c>
      <c r="H1578" s="19" t="n">
        <v>2</v>
      </c>
      <c r="I1578" s="57" t="n">
        <v>4</v>
      </c>
    </row>
    <row r="1579">
      <c r="A1579" s="62" t="n">
        <v>46594</v>
      </c>
      <c r="B1579" s="3" t="inlineStr">
        <is>
          <t>Week</t>
        </is>
      </c>
      <c r="C1579" s="19" t="n">
        <v>7</v>
      </c>
      <c r="D1579" s="19" t="n">
        <v>2027</v>
      </c>
      <c r="E1579" s="57" t="n">
        <v>2</v>
      </c>
      <c r="F1579" s="29">
        <f>ROUND(((SUMIFS(Calendar!$F$2:$F$9997,Calendar!$B$2:$B$9997,D1579,Calendar!$C$2:$C$9997,C1579)*INDEX(ForeCalc!$B$37:$Y$274,MATCH(_xlfn.CONCAT(H1579," ",I1579),ForeCalc!$A$37:$A$274,0),MATCH(_xlfn.CONCAT(B1579," ",E1579),ForeCalc!$B$36:$Y$36,0))))*VLOOKUP(A1579,Calendar!$A$2:$H$9997,8,FALSE),0)</f>
        <v/>
      </c>
      <c r="G1579" s="29">
        <f>VLOOKUP(A1579,Calendar!$A$1:$H$9997,6,FALSE)-F1579</f>
        <v/>
      </c>
      <c r="H1579" s="19" t="n">
        <v>2</v>
      </c>
      <c r="I1579" s="57" t="n">
        <v>4</v>
      </c>
    </row>
    <row r="1580">
      <c r="A1580" s="62" t="n">
        <v>46595</v>
      </c>
      <c r="B1580" s="3" t="inlineStr">
        <is>
          <t>Week</t>
        </is>
      </c>
      <c r="C1580" s="19" t="n">
        <v>7</v>
      </c>
      <c r="D1580" s="19" t="n">
        <v>2027</v>
      </c>
      <c r="E1580" s="57" t="n">
        <v>2</v>
      </c>
      <c r="F1580" s="29">
        <f>ROUND(((SUMIFS(Calendar!$F$2:$F$9997,Calendar!$B$2:$B$9997,D1580,Calendar!$C$2:$C$9997,C1580)*INDEX(ForeCalc!$B$37:$Y$274,MATCH(_xlfn.CONCAT(H1580," ",I1580),ForeCalc!$A$37:$A$274,0),MATCH(_xlfn.CONCAT(B1580," ",E1580),ForeCalc!$B$36:$Y$36,0))))*VLOOKUP(A1580,Calendar!$A$2:$H$9997,8,FALSE),0)</f>
        <v/>
      </c>
      <c r="G1580" s="29">
        <f>VLOOKUP(A1580,Calendar!$A$1:$H$9997,6,FALSE)-F1580</f>
        <v/>
      </c>
      <c r="H1580" s="19" t="n">
        <v>2</v>
      </c>
      <c r="I1580" s="57" t="n">
        <v>4</v>
      </c>
    </row>
    <row r="1581">
      <c r="A1581" s="62" t="n">
        <v>46596</v>
      </c>
      <c r="B1581" s="3" t="inlineStr">
        <is>
          <t>Week</t>
        </is>
      </c>
      <c r="C1581" s="19" t="n">
        <v>7</v>
      </c>
      <c r="D1581" s="19" t="n">
        <v>2027</v>
      </c>
      <c r="E1581" s="57" t="n">
        <v>2</v>
      </c>
      <c r="F1581" s="29">
        <f>ROUND(((SUMIFS(Calendar!$F$2:$F$9997,Calendar!$B$2:$B$9997,D1581,Calendar!$C$2:$C$9997,C1581)*INDEX(ForeCalc!$B$37:$Y$274,MATCH(_xlfn.CONCAT(H1581," ",I1581),ForeCalc!$A$37:$A$274,0),MATCH(_xlfn.CONCAT(B1581," ",E1581),ForeCalc!$B$36:$Y$36,0))))*VLOOKUP(A1581,Calendar!$A$2:$H$9997,8,FALSE),0)</f>
        <v/>
      </c>
      <c r="G1581" s="29">
        <f>VLOOKUP(A1581,Calendar!$A$1:$H$9997,6,FALSE)-F1581</f>
        <v/>
      </c>
      <c r="H1581" s="19" t="n">
        <v>2</v>
      </c>
      <c r="I1581" s="57" t="n">
        <v>4</v>
      </c>
    </row>
    <row r="1582">
      <c r="A1582" s="62" t="n">
        <v>46597</v>
      </c>
      <c r="B1582" s="3" t="inlineStr">
        <is>
          <t>Week</t>
        </is>
      </c>
      <c r="C1582" s="19" t="n">
        <v>7</v>
      </c>
      <c r="D1582" s="19" t="n">
        <v>2027</v>
      </c>
      <c r="E1582" s="57" t="n">
        <v>2</v>
      </c>
      <c r="F1582" s="29">
        <f>ROUND(((SUMIFS(Calendar!$F$2:$F$9997,Calendar!$B$2:$B$9997,D1582,Calendar!$C$2:$C$9997,C1582)*INDEX(ForeCalc!$B$37:$Y$274,MATCH(_xlfn.CONCAT(H1582," ",I1582),ForeCalc!$A$37:$A$274,0),MATCH(_xlfn.CONCAT(B1582," ",E1582),ForeCalc!$B$36:$Y$36,0))))*VLOOKUP(A1582,Calendar!$A$2:$H$9997,8,FALSE),0)</f>
        <v/>
      </c>
      <c r="G1582" s="29">
        <f>VLOOKUP(A1582,Calendar!$A$1:$H$9997,6,FALSE)-F1582</f>
        <v/>
      </c>
      <c r="H1582" s="19" t="n">
        <v>2</v>
      </c>
      <c r="I1582" s="57" t="n">
        <v>4</v>
      </c>
    </row>
    <row r="1583">
      <c r="A1583" s="62" t="n">
        <v>46598</v>
      </c>
      <c r="B1583" s="3" t="inlineStr">
        <is>
          <t>Week</t>
        </is>
      </c>
      <c r="C1583" s="19" t="n">
        <v>7</v>
      </c>
      <c r="D1583" s="19" t="n">
        <v>2027</v>
      </c>
      <c r="E1583" s="57" t="n">
        <v>2</v>
      </c>
      <c r="F1583" s="29">
        <f>ROUND(((SUMIFS(Calendar!$F$2:$F$9997,Calendar!$B$2:$B$9997,D1583,Calendar!$C$2:$C$9997,C1583)*INDEX(ForeCalc!$B$37:$Y$274,MATCH(_xlfn.CONCAT(H1583," ",I1583),ForeCalc!$A$37:$A$274,0),MATCH(_xlfn.CONCAT(B1583," ",E1583),ForeCalc!$B$36:$Y$36,0))))*VLOOKUP(A1583,Calendar!$A$2:$H$9997,8,FALSE),0)</f>
        <v/>
      </c>
      <c r="G1583" s="29">
        <f>VLOOKUP(A1583,Calendar!$A$1:$H$9997,6,FALSE)-F1583</f>
        <v/>
      </c>
      <c r="H1583" s="19" t="n">
        <v>2</v>
      </c>
      <c r="I1583" s="57" t="n">
        <v>4</v>
      </c>
    </row>
    <row r="1584">
      <c r="A1584" s="62" t="n">
        <v>46599</v>
      </c>
      <c r="B1584" s="3" t="inlineStr">
        <is>
          <t>Sat</t>
        </is>
      </c>
      <c r="C1584" s="19" t="n">
        <v>7</v>
      </c>
      <c r="D1584" s="19" t="n">
        <v>2027</v>
      </c>
      <c r="E1584" s="57" t="n">
        <v>2</v>
      </c>
      <c r="F1584" s="29">
        <f>ROUND(((SUMIFS(Calendar!$F$2:$F$9997,Calendar!$B$2:$B$9997,D1584,Calendar!$C$2:$C$9997,C1584)*INDEX(ForeCalc!$B$37:$Y$274,MATCH(_xlfn.CONCAT(H1584," ",I1584),ForeCalc!$A$37:$A$274,0),MATCH(_xlfn.CONCAT(B1584," ",E1584),ForeCalc!$B$36:$Y$36,0))))*VLOOKUP(A1584,Calendar!$A$2:$H$9997,8,FALSE),0)</f>
        <v/>
      </c>
      <c r="G1584" s="29">
        <f>VLOOKUP(A1584,Calendar!$A$1:$H$9997,6,FALSE)-F1584</f>
        <v/>
      </c>
      <c r="H1584" s="19" t="n">
        <v>2</v>
      </c>
      <c r="I1584" s="57" t="n">
        <v>4</v>
      </c>
    </row>
    <row r="1585">
      <c r="A1585" s="62" t="n">
        <v>46600</v>
      </c>
      <c r="B1585" s="3" t="inlineStr">
        <is>
          <t>Sun</t>
        </is>
      </c>
      <c r="C1585" s="19" t="n">
        <v>8</v>
      </c>
      <c r="D1585" s="19" t="n">
        <v>2027</v>
      </c>
      <c r="E1585" s="57" t="n">
        <v>2</v>
      </c>
      <c r="F1585" s="29">
        <f>ROUND(((SUMIFS(Calendar!$F$2:$F$9997,Calendar!$B$2:$B$9997,D1585,Calendar!$C$2:$C$9997,C1585)*INDEX(ForeCalc!$B$37:$Y$274,MATCH(_xlfn.CONCAT(H1585," ",I1585),ForeCalc!$A$37:$A$274,0),MATCH(_xlfn.CONCAT(B1585," ",E1585),ForeCalc!$B$36:$Y$36,0))))*VLOOKUP(A1585,Calendar!$A$2:$H$9997,8,FALSE),0)</f>
        <v/>
      </c>
      <c r="G1585" s="29">
        <f>VLOOKUP(A1585,Calendar!$A$1:$H$9997,6,FALSE)-F1585</f>
        <v/>
      </c>
      <c r="H1585" s="19" t="n">
        <v>2</v>
      </c>
      <c r="I1585" s="57" t="n">
        <v>5</v>
      </c>
    </row>
    <row r="1586">
      <c r="A1586" s="62" t="n">
        <v>46601</v>
      </c>
      <c r="B1586" s="3" t="inlineStr">
        <is>
          <t>Week</t>
        </is>
      </c>
      <c r="C1586" s="19" t="n">
        <v>8</v>
      </c>
      <c r="D1586" s="19" t="n">
        <v>2027</v>
      </c>
      <c r="E1586" s="57" t="n">
        <v>2</v>
      </c>
      <c r="F1586" s="29">
        <f>ROUND(((SUMIFS(Calendar!$F$2:$F$9997,Calendar!$B$2:$B$9997,D1586,Calendar!$C$2:$C$9997,C1586)*INDEX(ForeCalc!$B$37:$Y$274,MATCH(_xlfn.CONCAT(H1586," ",I1586),ForeCalc!$A$37:$A$274,0),MATCH(_xlfn.CONCAT(B1586," ",E1586),ForeCalc!$B$36:$Y$36,0))))*VLOOKUP(A1586,Calendar!$A$2:$H$9997,8,FALSE),0)</f>
        <v/>
      </c>
      <c r="G1586" s="29">
        <f>VLOOKUP(A1586,Calendar!$A$1:$H$9997,6,FALSE)-F1586</f>
        <v/>
      </c>
      <c r="H1586" s="19" t="n">
        <v>2</v>
      </c>
      <c r="I1586" s="57" t="n">
        <v>5</v>
      </c>
    </row>
    <row r="1587">
      <c r="A1587" s="62" t="n">
        <v>46602</v>
      </c>
      <c r="B1587" s="3" t="inlineStr">
        <is>
          <t>Week</t>
        </is>
      </c>
      <c r="C1587" s="19" t="n">
        <v>8</v>
      </c>
      <c r="D1587" s="19" t="n">
        <v>2027</v>
      </c>
      <c r="E1587" s="57" t="n">
        <v>2</v>
      </c>
      <c r="F1587" s="29">
        <f>ROUND(((SUMIFS(Calendar!$F$2:$F$9997,Calendar!$B$2:$B$9997,D1587,Calendar!$C$2:$C$9997,C1587)*INDEX(ForeCalc!$B$37:$Y$274,MATCH(_xlfn.CONCAT(H1587," ",I1587),ForeCalc!$A$37:$A$274,0),MATCH(_xlfn.CONCAT(B1587," ",E1587),ForeCalc!$B$36:$Y$36,0))))*VLOOKUP(A1587,Calendar!$A$2:$H$9997,8,FALSE),0)</f>
        <v/>
      </c>
      <c r="G1587" s="29">
        <f>VLOOKUP(A1587,Calendar!$A$1:$H$9997,6,FALSE)-F1587</f>
        <v/>
      </c>
      <c r="H1587" s="19" t="n">
        <v>2</v>
      </c>
      <c r="I1587" s="57" t="n">
        <v>5</v>
      </c>
    </row>
    <row r="1588">
      <c r="A1588" s="62" t="n">
        <v>46603</v>
      </c>
      <c r="B1588" s="3" t="inlineStr">
        <is>
          <t>Week</t>
        </is>
      </c>
      <c r="C1588" s="19" t="n">
        <v>8</v>
      </c>
      <c r="D1588" s="19" t="n">
        <v>2027</v>
      </c>
      <c r="E1588" s="57" t="n">
        <v>2</v>
      </c>
      <c r="F1588" s="29">
        <f>ROUND(((SUMIFS(Calendar!$F$2:$F$9997,Calendar!$B$2:$B$9997,D1588,Calendar!$C$2:$C$9997,C1588)*INDEX(ForeCalc!$B$37:$Y$274,MATCH(_xlfn.CONCAT(H1588," ",I1588),ForeCalc!$A$37:$A$274,0),MATCH(_xlfn.CONCAT(B1588," ",E1588),ForeCalc!$B$36:$Y$36,0))))*VLOOKUP(A1588,Calendar!$A$2:$H$9997,8,FALSE),0)</f>
        <v/>
      </c>
      <c r="G1588" s="29">
        <f>VLOOKUP(A1588,Calendar!$A$1:$H$9997,6,FALSE)-F1588</f>
        <v/>
      </c>
      <c r="H1588" s="19" t="n">
        <v>2</v>
      </c>
      <c r="I1588" s="57" t="n">
        <v>5</v>
      </c>
    </row>
    <row r="1589">
      <c r="A1589" s="62" t="n">
        <v>46604</v>
      </c>
      <c r="B1589" s="3" t="inlineStr">
        <is>
          <t>Week</t>
        </is>
      </c>
      <c r="C1589" s="19" t="n">
        <v>8</v>
      </c>
      <c r="D1589" s="19" t="n">
        <v>2027</v>
      </c>
      <c r="E1589" s="57" t="n">
        <v>2</v>
      </c>
      <c r="F1589" s="29">
        <f>ROUND(((SUMIFS(Calendar!$F$2:$F$9997,Calendar!$B$2:$B$9997,D1589,Calendar!$C$2:$C$9997,C1589)*INDEX(ForeCalc!$B$37:$Y$274,MATCH(_xlfn.CONCAT(H1589," ",I1589),ForeCalc!$A$37:$A$274,0),MATCH(_xlfn.CONCAT(B1589," ",E1589),ForeCalc!$B$36:$Y$36,0))))*VLOOKUP(A1589,Calendar!$A$2:$H$9997,8,FALSE),0)</f>
        <v/>
      </c>
      <c r="G1589" s="29">
        <f>VLOOKUP(A1589,Calendar!$A$1:$H$9997,6,FALSE)-F1589</f>
        <v/>
      </c>
      <c r="H1589" s="19" t="n">
        <v>2</v>
      </c>
      <c r="I1589" s="57" t="n">
        <v>5</v>
      </c>
    </row>
    <row r="1590">
      <c r="A1590" s="62" t="n">
        <v>46605</v>
      </c>
      <c r="B1590" s="3" t="inlineStr">
        <is>
          <t>Week</t>
        </is>
      </c>
      <c r="C1590" s="19" t="n">
        <v>8</v>
      </c>
      <c r="D1590" s="19" t="n">
        <v>2027</v>
      </c>
      <c r="E1590" s="57" t="n">
        <v>2</v>
      </c>
      <c r="F1590" s="29">
        <f>ROUND(((SUMIFS(Calendar!$F$2:$F$9997,Calendar!$B$2:$B$9997,D1590,Calendar!$C$2:$C$9997,C1590)*INDEX(ForeCalc!$B$37:$Y$274,MATCH(_xlfn.CONCAT(H1590," ",I1590),ForeCalc!$A$37:$A$274,0),MATCH(_xlfn.CONCAT(B1590," ",E1590),ForeCalc!$B$36:$Y$36,0))))*VLOOKUP(A1590,Calendar!$A$2:$H$9997,8,FALSE),0)</f>
        <v/>
      </c>
      <c r="G1590" s="29">
        <f>VLOOKUP(A1590,Calendar!$A$1:$H$9997,6,FALSE)-F1590</f>
        <v/>
      </c>
      <c r="H1590" s="19" t="n">
        <v>2</v>
      </c>
      <c r="I1590" s="57" t="n">
        <v>5</v>
      </c>
    </row>
    <row r="1591">
      <c r="A1591" s="62" t="n">
        <v>46606</v>
      </c>
      <c r="B1591" s="3" t="inlineStr">
        <is>
          <t>Sat</t>
        </is>
      </c>
      <c r="C1591" s="19" t="n">
        <v>8</v>
      </c>
      <c r="D1591" s="19" t="n">
        <v>2027</v>
      </c>
      <c r="E1591" s="57" t="n">
        <v>2</v>
      </c>
      <c r="F1591" s="29">
        <f>ROUND(((SUMIFS(Calendar!$F$2:$F$9997,Calendar!$B$2:$B$9997,D1591,Calendar!$C$2:$C$9997,C1591)*INDEX(ForeCalc!$B$37:$Y$274,MATCH(_xlfn.CONCAT(H1591," ",I1591),ForeCalc!$A$37:$A$274,0),MATCH(_xlfn.CONCAT(B1591," ",E1591),ForeCalc!$B$36:$Y$36,0))))*VLOOKUP(A1591,Calendar!$A$2:$H$9997,8,FALSE),0)</f>
        <v/>
      </c>
      <c r="G1591" s="29">
        <f>VLOOKUP(A1591,Calendar!$A$1:$H$9997,6,FALSE)-F1591</f>
        <v/>
      </c>
      <c r="H1591" s="19" t="n">
        <v>2</v>
      </c>
      <c r="I1591" s="57" t="n">
        <v>5</v>
      </c>
    </row>
    <row r="1592">
      <c r="A1592" s="62" t="n">
        <v>46607</v>
      </c>
      <c r="B1592" s="3" t="inlineStr">
        <is>
          <t>Sun</t>
        </is>
      </c>
      <c r="C1592" s="19" t="n">
        <v>8</v>
      </c>
      <c r="D1592" s="19" t="n">
        <v>2027</v>
      </c>
      <c r="E1592" s="57" t="n">
        <v>2</v>
      </c>
      <c r="F1592" s="29">
        <f>ROUND(((SUMIFS(Calendar!$F$2:$F$9997,Calendar!$B$2:$B$9997,D1592,Calendar!$C$2:$C$9997,C1592)*INDEX(ForeCalc!$B$37:$Y$274,MATCH(_xlfn.CONCAT(H1592," ",I1592),ForeCalc!$A$37:$A$274,0),MATCH(_xlfn.CONCAT(B1592," ",E1592),ForeCalc!$B$36:$Y$36,0))))*VLOOKUP(A1592,Calendar!$A$2:$H$9997,8,FALSE),0)</f>
        <v/>
      </c>
      <c r="G1592" s="29">
        <f>VLOOKUP(A1592,Calendar!$A$1:$H$9997,6,FALSE)-F1592</f>
        <v/>
      </c>
      <c r="H1592" s="19" t="n">
        <v>2</v>
      </c>
      <c r="I1592" s="57" t="n">
        <v>5</v>
      </c>
    </row>
    <row r="1593">
      <c r="A1593" s="62" t="n">
        <v>46608</v>
      </c>
      <c r="B1593" s="3" t="inlineStr">
        <is>
          <t>Week</t>
        </is>
      </c>
      <c r="C1593" s="19" t="n">
        <v>8</v>
      </c>
      <c r="D1593" s="19" t="n">
        <v>2027</v>
      </c>
      <c r="E1593" s="57" t="n">
        <v>2</v>
      </c>
      <c r="F1593" s="29">
        <f>ROUND(((SUMIFS(Calendar!$F$2:$F$9997,Calendar!$B$2:$B$9997,D1593,Calendar!$C$2:$C$9997,C1593)*INDEX(ForeCalc!$B$37:$Y$274,MATCH(_xlfn.CONCAT(H1593," ",I1593),ForeCalc!$A$37:$A$274,0),MATCH(_xlfn.CONCAT(B1593," ",E1593),ForeCalc!$B$36:$Y$36,0))))*VLOOKUP(A1593,Calendar!$A$2:$H$9997,8,FALSE),0)</f>
        <v/>
      </c>
      <c r="G1593" s="29">
        <f>VLOOKUP(A1593,Calendar!$A$1:$H$9997,6,FALSE)-F1593</f>
        <v/>
      </c>
      <c r="H1593" s="19" t="n">
        <v>2</v>
      </c>
      <c r="I1593" s="57" t="n">
        <v>5</v>
      </c>
    </row>
    <row r="1594">
      <c r="A1594" s="62" t="n">
        <v>46609</v>
      </c>
      <c r="B1594" s="3" t="inlineStr">
        <is>
          <t>Week</t>
        </is>
      </c>
      <c r="C1594" s="19" t="n">
        <v>8</v>
      </c>
      <c r="D1594" s="19" t="n">
        <v>2027</v>
      </c>
      <c r="E1594" s="57" t="n">
        <v>2</v>
      </c>
      <c r="F1594" s="29">
        <f>ROUND(((SUMIFS(Calendar!$F$2:$F$9997,Calendar!$B$2:$B$9997,D1594,Calendar!$C$2:$C$9997,C1594)*INDEX(ForeCalc!$B$37:$Y$274,MATCH(_xlfn.CONCAT(H1594," ",I1594),ForeCalc!$A$37:$A$274,0),MATCH(_xlfn.CONCAT(B1594," ",E1594),ForeCalc!$B$36:$Y$36,0))))*VLOOKUP(A1594,Calendar!$A$2:$H$9997,8,FALSE),0)</f>
        <v/>
      </c>
      <c r="G1594" s="29">
        <f>VLOOKUP(A1594,Calendar!$A$1:$H$9997,6,FALSE)-F1594</f>
        <v/>
      </c>
      <c r="H1594" s="19" t="n">
        <v>2</v>
      </c>
      <c r="I1594" s="57" t="n">
        <v>5</v>
      </c>
    </row>
    <row r="1595">
      <c r="A1595" s="62" t="n">
        <v>46610</v>
      </c>
      <c r="B1595" s="3" t="inlineStr">
        <is>
          <t>Week</t>
        </is>
      </c>
      <c r="C1595" s="19" t="n">
        <v>8</v>
      </c>
      <c r="D1595" s="19" t="n">
        <v>2027</v>
      </c>
      <c r="E1595" s="57" t="n">
        <v>2</v>
      </c>
      <c r="F1595" s="29">
        <f>ROUND(((SUMIFS(Calendar!$F$2:$F$9997,Calendar!$B$2:$B$9997,D1595,Calendar!$C$2:$C$9997,C1595)*INDEX(ForeCalc!$B$37:$Y$274,MATCH(_xlfn.CONCAT(H1595," ",I1595),ForeCalc!$A$37:$A$274,0),MATCH(_xlfn.CONCAT(B1595," ",E1595),ForeCalc!$B$36:$Y$36,0))))*VLOOKUP(A1595,Calendar!$A$2:$H$9997,8,FALSE),0)</f>
        <v/>
      </c>
      <c r="G1595" s="29">
        <f>VLOOKUP(A1595,Calendar!$A$1:$H$9997,6,FALSE)-F1595</f>
        <v/>
      </c>
      <c r="H1595" s="19" t="n">
        <v>2</v>
      </c>
      <c r="I1595" s="57" t="n">
        <v>5</v>
      </c>
    </row>
    <row r="1596">
      <c r="A1596" s="62" t="n">
        <v>46611</v>
      </c>
      <c r="B1596" s="3" t="inlineStr">
        <is>
          <t>Week</t>
        </is>
      </c>
      <c r="C1596" s="19" t="n">
        <v>8</v>
      </c>
      <c r="D1596" s="19" t="n">
        <v>2027</v>
      </c>
      <c r="E1596" s="57" t="n">
        <v>2</v>
      </c>
      <c r="F1596" s="29">
        <f>ROUND(((SUMIFS(Calendar!$F$2:$F$9997,Calendar!$B$2:$B$9997,D1596,Calendar!$C$2:$C$9997,C1596)*INDEX(ForeCalc!$B$37:$Y$274,MATCH(_xlfn.CONCAT(H1596," ",I1596),ForeCalc!$A$37:$A$274,0),MATCH(_xlfn.CONCAT(B1596," ",E1596),ForeCalc!$B$36:$Y$36,0))))*VLOOKUP(A1596,Calendar!$A$2:$H$9997,8,FALSE),0)</f>
        <v/>
      </c>
      <c r="G1596" s="29">
        <f>VLOOKUP(A1596,Calendar!$A$1:$H$9997,6,FALSE)-F1596</f>
        <v/>
      </c>
      <c r="H1596" s="19" t="n">
        <v>2</v>
      </c>
      <c r="I1596" s="57" t="n">
        <v>5</v>
      </c>
    </row>
    <row r="1597">
      <c r="A1597" s="62" t="n">
        <v>46612</v>
      </c>
      <c r="B1597" s="3" t="inlineStr">
        <is>
          <t>Week</t>
        </is>
      </c>
      <c r="C1597" s="19" t="n">
        <v>8</v>
      </c>
      <c r="D1597" s="19" t="n">
        <v>2027</v>
      </c>
      <c r="E1597" s="57" t="n">
        <v>2</v>
      </c>
      <c r="F1597" s="29">
        <f>ROUND(((SUMIFS(Calendar!$F$2:$F$9997,Calendar!$B$2:$B$9997,D1597,Calendar!$C$2:$C$9997,C1597)*INDEX(ForeCalc!$B$37:$Y$274,MATCH(_xlfn.CONCAT(H1597," ",I1597),ForeCalc!$A$37:$A$274,0),MATCH(_xlfn.CONCAT(B1597," ",E1597),ForeCalc!$B$36:$Y$36,0))))*VLOOKUP(A1597,Calendar!$A$2:$H$9997,8,FALSE),0)</f>
        <v/>
      </c>
      <c r="G1597" s="29">
        <f>VLOOKUP(A1597,Calendar!$A$1:$H$9997,6,FALSE)-F1597</f>
        <v/>
      </c>
      <c r="H1597" s="19" t="n">
        <v>2</v>
      </c>
      <c r="I1597" s="57" t="n">
        <v>5</v>
      </c>
    </row>
    <row r="1598">
      <c r="A1598" s="62" t="n">
        <v>46613</v>
      </c>
      <c r="B1598" s="3" t="inlineStr">
        <is>
          <t>Sat</t>
        </is>
      </c>
      <c r="C1598" s="19" t="n">
        <v>8</v>
      </c>
      <c r="D1598" s="19" t="n">
        <v>2027</v>
      </c>
      <c r="E1598" s="57" t="n">
        <v>2</v>
      </c>
      <c r="F1598" s="29">
        <f>ROUND(((SUMIFS(Calendar!$F$2:$F$9997,Calendar!$B$2:$B$9997,D1598,Calendar!$C$2:$C$9997,C1598)*INDEX(ForeCalc!$B$37:$Y$274,MATCH(_xlfn.CONCAT(H1598," ",I1598),ForeCalc!$A$37:$A$274,0),MATCH(_xlfn.CONCAT(B1598," ",E1598),ForeCalc!$B$36:$Y$36,0))))*VLOOKUP(A1598,Calendar!$A$2:$H$9997,8,FALSE),0)</f>
        <v/>
      </c>
      <c r="G1598" s="29">
        <f>VLOOKUP(A1598,Calendar!$A$1:$H$9997,6,FALSE)-F1598</f>
        <v/>
      </c>
      <c r="H1598" s="19" t="n">
        <v>2</v>
      </c>
      <c r="I1598" s="57" t="n">
        <v>5</v>
      </c>
    </row>
    <row r="1599">
      <c r="A1599" s="62" t="n">
        <v>46614</v>
      </c>
      <c r="B1599" s="3" t="inlineStr">
        <is>
          <t>Sun</t>
        </is>
      </c>
      <c r="C1599" s="19" t="n">
        <v>8</v>
      </c>
      <c r="D1599" s="19" t="n">
        <v>2027</v>
      </c>
      <c r="E1599" s="57" t="n">
        <v>2</v>
      </c>
      <c r="F1599" s="29">
        <f>ROUND(((SUMIFS(Calendar!$F$2:$F$9997,Calendar!$B$2:$B$9997,D1599,Calendar!$C$2:$C$9997,C1599)*INDEX(ForeCalc!$B$37:$Y$274,MATCH(_xlfn.CONCAT(H1599," ",I1599),ForeCalc!$A$37:$A$274,0),MATCH(_xlfn.CONCAT(B1599," ",E1599),ForeCalc!$B$36:$Y$36,0))))*VLOOKUP(A1599,Calendar!$A$2:$H$9997,8,FALSE),0)</f>
        <v/>
      </c>
      <c r="G1599" s="29">
        <f>VLOOKUP(A1599,Calendar!$A$1:$H$9997,6,FALSE)-F1599</f>
        <v/>
      </c>
      <c r="H1599" s="19" t="n">
        <v>2</v>
      </c>
      <c r="I1599" s="57" t="n">
        <v>5</v>
      </c>
    </row>
    <row r="1600">
      <c r="A1600" s="62" t="n">
        <v>46615</v>
      </c>
      <c r="B1600" s="3" t="inlineStr">
        <is>
          <t>Week</t>
        </is>
      </c>
      <c r="C1600" s="19" t="n">
        <v>8</v>
      </c>
      <c r="D1600" s="19" t="n">
        <v>2027</v>
      </c>
      <c r="E1600" s="57" t="n">
        <v>2</v>
      </c>
      <c r="F1600" s="29">
        <f>ROUND(((SUMIFS(Calendar!$F$2:$F$9997,Calendar!$B$2:$B$9997,D1600,Calendar!$C$2:$C$9997,C1600)*INDEX(ForeCalc!$B$37:$Y$274,MATCH(_xlfn.CONCAT(H1600," ",I1600),ForeCalc!$A$37:$A$274,0),MATCH(_xlfn.CONCAT(B1600," ",E1600),ForeCalc!$B$36:$Y$36,0))))*VLOOKUP(A1600,Calendar!$A$2:$H$9997,8,FALSE),0)</f>
        <v/>
      </c>
      <c r="G1600" s="29">
        <f>VLOOKUP(A1600,Calendar!$A$1:$H$9997,6,FALSE)-F1600</f>
        <v/>
      </c>
      <c r="H1600" s="19" t="n">
        <v>2</v>
      </c>
      <c r="I1600" s="57" t="n">
        <v>5</v>
      </c>
    </row>
    <row r="1601">
      <c r="A1601" s="62" t="n">
        <v>46616</v>
      </c>
      <c r="B1601" s="3" t="inlineStr">
        <is>
          <t>Week</t>
        </is>
      </c>
      <c r="C1601" s="19" t="n">
        <v>8</v>
      </c>
      <c r="D1601" s="19" t="n">
        <v>2027</v>
      </c>
      <c r="E1601" s="57" t="n">
        <v>2</v>
      </c>
      <c r="F1601" s="29">
        <f>ROUND(((SUMIFS(Calendar!$F$2:$F$9997,Calendar!$B$2:$B$9997,D1601,Calendar!$C$2:$C$9997,C1601)*INDEX(ForeCalc!$B$37:$Y$274,MATCH(_xlfn.CONCAT(H1601," ",I1601),ForeCalc!$A$37:$A$274,0),MATCH(_xlfn.CONCAT(B1601," ",E1601),ForeCalc!$B$36:$Y$36,0))))*VLOOKUP(A1601,Calendar!$A$2:$H$9997,8,FALSE),0)</f>
        <v/>
      </c>
      <c r="G1601" s="29">
        <f>VLOOKUP(A1601,Calendar!$A$1:$H$9997,6,FALSE)-F1601</f>
        <v/>
      </c>
      <c r="H1601" s="19" t="n">
        <v>2</v>
      </c>
      <c r="I1601" s="57" t="n">
        <v>5</v>
      </c>
    </row>
    <row r="1602">
      <c r="A1602" s="62" t="n">
        <v>46617</v>
      </c>
      <c r="B1602" s="3" t="inlineStr">
        <is>
          <t>Week</t>
        </is>
      </c>
      <c r="C1602" s="19" t="n">
        <v>8</v>
      </c>
      <c r="D1602" s="19" t="n">
        <v>2027</v>
      </c>
      <c r="E1602" s="57" t="n">
        <v>2</v>
      </c>
      <c r="F1602" s="29">
        <f>ROUND(((SUMIFS(Calendar!$F$2:$F$9997,Calendar!$B$2:$B$9997,D1602,Calendar!$C$2:$C$9997,C1602)*INDEX(ForeCalc!$B$37:$Y$274,MATCH(_xlfn.CONCAT(H1602," ",I1602),ForeCalc!$A$37:$A$274,0),MATCH(_xlfn.CONCAT(B1602," ",E1602),ForeCalc!$B$36:$Y$36,0))))*VLOOKUP(A1602,Calendar!$A$2:$H$9997,8,FALSE),0)</f>
        <v/>
      </c>
      <c r="G1602" s="29">
        <f>VLOOKUP(A1602,Calendar!$A$1:$H$9997,6,FALSE)-F1602</f>
        <v/>
      </c>
      <c r="H1602" s="19" t="n">
        <v>2</v>
      </c>
      <c r="I1602" s="57" t="n">
        <v>5</v>
      </c>
    </row>
    <row r="1603">
      <c r="A1603" s="62" t="n">
        <v>46618</v>
      </c>
      <c r="B1603" s="3" t="inlineStr">
        <is>
          <t>Week</t>
        </is>
      </c>
      <c r="C1603" s="19" t="n">
        <v>8</v>
      </c>
      <c r="D1603" s="19" t="n">
        <v>2027</v>
      </c>
      <c r="E1603" s="57" t="n">
        <v>2</v>
      </c>
      <c r="F1603" s="29">
        <f>ROUND(((SUMIFS(Calendar!$F$2:$F$9997,Calendar!$B$2:$B$9997,D1603,Calendar!$C$2:$C$9997,C1603)*INDEX(ForeCalc!$B$37:$Y$274,MATCH(_xlfn.CONCAT(H1603," ",I1603),ForeCalc!$A$37:$A$274,0),MATCH(_xlfn.CONCAT(B1603," ",E1603),ForeCalc!$B$36:$Y$36,0))))*VLOOKUP(A1603,Calendar!$A$2:$H$9997,8,FALSE),0)</f>
        <v/>
      </c>
      <c r="G1603" s="29">
        <f>VLOOKUP(A1603,Calendar!$A$1:$H$9997,6,FALSE)-F1603</f>
        <v/>
      </c>
      <c r="H1603" s="19" t="n">
        <v>2</v>
      </c>
      <c r="I1603" s="57" t="n">
        <v>5</v>
      </c>
    </row>
    <row r="1604">
      <c r="A1604" s="62" t="n">
        <v>46619</v>
      </c>
      <c r="B1604" s="3" t="inlineStr">
        <is>
          <t>Week</t>
        </is>
      </c>
      <c r="C1604" s="19" t="n">
        <v>8</v>
      </c>
      <c r="D1604" s="19" t="n">
        <v>2027</v>
      </c>
      <c r="E1604" s="57" t="n">
        <v>2</v>
      </c>
      <c r="F1604" s="29">
        <f>ROUND(((SUMIFS(Calendar!$F$2:$F$9997,Calendar!$B$2:$B$9997,D1604,Calendar!$C$2:$C$9997,C1604)*INDEX(ForeCalc!$B$37:$Y$274,MATCH(_xlfn.CONCAT(H1604," ",I1604),ForeCalc!$A$37:$A$274,0),MATCH(_xlfn.CONCAT(B1604," ",E1604),ForeCalc!$B$36:$Y$36,0))))*VLOOKUP(A1604,Calendar!$A$2:$H$9997,8,FALSE),0)</f>
        <v/>
      </c>
      <c r="G1604" s="29">
        <f>VLOOKUP(A1604,Calendar!$A$1:$H$9997,6,FALSE)-F1604</f>
        <v/>
      </c>
      <c r="H1604" s="19" t="n">
        <v>2</v>
      </c>
      <c r="I1604" s="57" t="n">
        <v>5</v>
      </c>
    </row>
    <row r="1605">
      <c r="A1605" s="62" t="n">
        <v>46620</v>
      </c>
      <c r="B1605" s="3" t="inlineStr">
        <is>
          <t>Sat</t>
        </is>
      </c>
      <c r="C1605" s="19" t="n">
        <v>8</v>
      </c>
      <c r="D1605" s="19" t="n">
        <v>2027</v>
      </c>
      <c r="E1605" s="57" t="n">
        <v>2</v>
      </c>
      <c r="F1605" s="29">
        <f>ROUND(((SUMIFS(Calendar!$F$2:$F$9997,Calendar!$B$2:$B$9997,D1605,Calendar!$C$2:$C$9997,C1605)*INDEX(ForeCalc!$B$37:$Y$274,MATCH(_xlfn.CONCAT(H1605," ",I1605),ForeCalc!$A$37:$A$274,0),MATCH(_xlfn.CONCAT(B1605," ",E1605),ForeCalc!$B$36:$Y$36,0))))*VLOOKUP(A1605,Calendar!$A$2:$H$9997,8,FALSE),0)</f>
        <v/>
      </c>
      <c r="G1605" s="29">
        <f>VLOOKUP(A1605,Calendar!$A$1:$H$9997,6,FALSE)-F1605</f>
        <v/>
      </c>
      <c r="H1605" s="19" t="n">
        <v>2</v>
      </c>
      <c r="I1605" s="57" t="n">
        <v>5</v>
      </c>
    </row>
    <row r="1606">
      <c r="A1606" s="62" t="n">
        <v>46621</v>
      </c>
      <c r="B1606" s="3" t="inlineStr">
        <is>
          <t>Sun</t>
        </is>
      </c>
      <c r="C1606" s="19" t="n">
        <v>8</v>
      </c>
      <c r="D1606" s="19" t="n">
        <v>2027</v>
      </c>
      <c r="E1606" s="57" t="n">
        <v>2</v>
      </c>
      <c r="F1606" s="29">
        <f>ROUND(((SUMIFS(Calendar!$F$2:$F$9997,Calendar!$B$2:$B$9997,D1606,Calendar!$C$2:$C$9997,C1606)*INDEX(ForeCalc!$B$37:$Y$274,MATCH(_xlfn.CONCAT(H1606," ",I1606),ForeCalc!$A$37:$A$274,0),MATCH(_xlfn.CONCAT(B1606," ",E1606),ForeCalc!$B$36:$Y$36,0))))*VLOOKUP(A1606,Calendar!$A$2:$H$9997,8,FALSE),0)</f>
        <v/>
      </c>
      <c r="G1606" s="29">
        <f>VLOOKUP(A1606,Calendar!$A$1:$H$9997,6,FALSE)-F1606</f>
        <v/>
      </c>
      <c r="H1606" s="19" t="n">
        <v>2</v>
      </c>
      <c r="I1606" s="57" t="n">
        <v>5</v>
      </c>
    </row>
    <row r="1607">
      <c r="A1607" s="62" t="n">
        <v>46622</v>
      </c>
      <c r="B1607" s="3" t="inlineStr">
        <is>
          <t>Week</t>
        </is>
      </c>
      <c r="C1607" s="19" t="n">
        <v>8</v>
      </c>
      <c r="D1607" s="19" t="n">
        <v>2027</v>
      </c>
      <c r="E1607" s="57" t="n">
        <v>2</v>
      </c>
      <c r="F1607" s="29">
        <f>ROUND(((SUMIFS(Calendar!$F$2:$F$9997,Calendar!$B$2:$B$9997,D1607,Calendar!$C$2:$C$9997,C1607)*INDEX(ForeCalc!$B$37:$Y$274,MATCH(_xlfn.CONCAT(H1607," ",I1607),ForeCalc!$A$37:$A$274,0),MATCH(_xlfn.CONCAT(B1607," ",E1607),ForeCalc!$B$36:$Y$36,0))))*VLOOKUP(A1607,Calendar!$A$2:$H$9997,8,FALSE),0)</f>
        <v/>
      </c>
      <c r="G1607" s="29">
        <f>VLOOKUP(A1607,Calendar!$A$1:$H$9997,6,FALSE)-F1607</f>
        <v/>
      </c>
      <c r="H1607" s="19" t="n">
        <v>2</v>
      </c>
      <c r="I1607" s="57" t="n">
        <v>5</v>
      </c>
    </row>
    <row r="1608">
      <c r="A1608" s="62" t="n">
        <v>46623</v>
      </c>
      <c r="B1608" s="3" t="inlineStr">
        <is>
          <t>Week</t>
        </is>
      </c>
      <c r="C1608" s="19" t="n">
        <v>8</v>
      </c>
      <c r="D1608" s="19" t="n">
        <v>2027</v>
      </c>
      <c r="E1608" s="57" t="n">
        <v>2</v>
      </c>
      <c r="F1608" s="29">
        <f>ROUND(((SUMIFS(Calendar!$F$2:$F$9997,Calendar!$B$2:$B$9997,D1608,Calendar!$C$2:$C$9997,C1608)*INDEX(ForeCalc!$B$37:$Y$274,MATCH(_xlfn.CONCAT(H1608," ",I1608),ForeCalc!$A$37:$A$274,0),MATCH(_xlfn.CONCAT(B1608," ",E1608),ForeCalc!$B$36:$Y$36,0))))*VLOOKUP(A1608,Calendar!$A$2:$H$9997,8,FALSE),0)</f>
        <v/>
      </c>
      <c r="G1608" s="29">
        <f>VLOOKUP(A1608,Calendar!$A$1:$H$9997,6,FALSE)-F1608</f>
        <v/>
      </c>
      <c r="H1608" s="19" t="n">
        <v>2</v>
      </c>
      <c r="I1608" s="57" t="n">
        <v>5</v>
      </c>
    </row>
    <row r="1609">
      <c r="A1609" s="62" t="n">
        <v>46624</v>
      </c>
      <c r="B1609" s="3" t="inlineStr">
        <is>
          <t>Week</t>
        </is>
      </c>
      <c r="C1609" s="19" t="n">
        <v>8</v>
      </c>
      <c r="D1609" s="19" t="n">
        <v>2027</v>
      </c>
      <c r="E1609" s="57" t="n">
        <v>2</v>
      </c>
      <c r="F1609" s="29">
        <f>ROUND(((SUMIFS(Calendar!$F$2:$F$9997,Calendar!$B$2:$B$9997,D1609,Calendar!$C$2:$C$9997,C1609)*INDEX(ForeCalc!$B$37:$Y$274,MATCH(_xlfn.CONCAT(H1609," ",I1609),ForeCalc!$A$37:$A$274,0),MATCH(_xlfn.CONCAT(B1609," ",E1609),ForeCalc!$B$36:$Y$36,0))))*VLOOKUP(A1609,Calendar!$A$2:$H$9997,8,FALSE),0)</f>
        <v/>
      </c>
      <c r="G1609" s="29">
        <f>VLOOKUP(A1609,Calendar!$A$1:$H$9997,6,FALSE)-F1609</f>
        <v/>
      </c>
      <c r="H1609" s="19" t="n">
        <v>2</v>
      </c>
      <c r="I1609" s="57" t="n">
        <v>5</v>
      </c>
    </row>
    <row r="1610">
      <c r="A1610" s="62" t="n">
        <v>46625</v>
      </c>
      <c r="B1610" s="3" t="inlineStr">
        <is>
          <t>Week</t>
        </is>
      </c>
      <c r="C1610" s="19" t="n">
        <v>8</v>
      </c>
      <c r="D1610" s="19" t="n">
        <v>2027</v>
      </c>
      <c r="E1610" s="57" t="n">
        <v>2</v>
      </c>
      <c r="F1610" s="29">
        <f>ROUND(((SUMIFS(Calendar!$F$2:$F$9997,Calendar!$B$2:$B$9997,D1610,Calendar!$C$2:$C$9997,C1610)*INDEX(ForeCalc!$B$37:$Y$274,MATCH(_xlfn.CONCAT(H1610," ",I1610),ForeCalc!$A$37:$A$274,0),MATCH(_xlfn.CONCAT(B1610," ",E1610),ForeCalc!$B$36:$Y$36,0))))*VLOOKUP(A1610,Calendar!$A$2:$H$9997,8,FALSE),0)</f>
        <v/>
      </c>
      <c r="G1610" s="29">
        <f>VLOOKUP(A1610,Calendar!$A$1:$H$9997,6,FALSE)-F1610</f>
        <v/>
      </c>
      <c r="H1610" s="19" t="n">
        <v>2</v>
      </c>
      <c r="I1610" s="57" t="n">
        <v>5</v>
      </c>
    </row>
    <row r="1611">
      <c r="A1611" s="62" t="n">
        <v>46626</v>
      </c>
      <c r="B1611" s="3" t="inlineStr">
        <is>
          <t>Week</t>
        </is>
      </c>
      <c r="C1611" s="19" t="n">
        <v>8</v>
      </c>
      <c r="D1611" s="19" t="n">
        <v>2027</v>
      </c>
      <c r="E1611" s="57" t="n">
        <v>2</v>
      </c>
      <c r="F1611" s="29">
        <f>ROUND(((SUMIFS(Calendar!$F$2:$F$9997,Calendar!$B$2:$B$9997,D1611,Calendar!$C$2:$C$9997,C1611)*INDEX(ForeCalc!$B$37:$Y$274,MATCH(_xlfn.CONCAT(H1611," ",I1611),ForeCalc!$A$37:$A$274,0),MATCH(_xlfn.CONCAT(B1611," ",E1611),ForeCalc!$B$36:$Y$36,0))))*VLOOKUP(A1611,Calendar!$A$2:$H$9997,8,FALSE),0)</f>
        <v/>
      </c>
      <c r="G1611" s="29">
        <f>VLOOKUP(A1611,Calendar!$A$1:$H$9997,6,FALSE)-F1611</f>
        <v/>
      </c>
      <c r="H1611" s="19" t="n">
        <v>2</v>
      </c>
      <c r="I1611" s="57" t="n">
        <v>5</v>
      </c>
    </row>
    <row r="1612">
      <c r="A1612" s="62" t="n">
        <v>46627</v>
      </c>
      <c r="B1612" s="3" t="inlineStr">
        <is>
          <t>Sat</t>
        </is>
      </c>
      <c r="C1612" s="19" t="n">
        <v>8</v>
      </c>
      <c r="D1612" s="19" t="n">
        <v>2027</v>
      </c>
      <c r="E1612" s="57" t="n">
        <v>2</v>
      </c>
      <c r="F1612" s="29">
        <f>ROUND(((SUMIFS(Calendar!$F$2:$F$9997,Calendar!$B$2:$B$9997,D1612,Calendar!$C$2:$C$9997,C1612)*INDEX(ForeCalc!$B$37:$Y$274,MATCH(_xlfn.CONCAT(H1612," ",I1612),ForeCalc!$A$37:$A$274,0),MATCH(_xlfn.CONCAT(B1612," ",E1612),ForeCalc!$B$36:$Y$36,0))))*VLOOKUP(A1612,Calendar!$A$2:$H$9997,8,FALSE),0)</f>
        <v/>
      </c>
      <c r="G1612" s="29">
        <f>VLOOKUP(A1612,Calendar!$A$1:$H$9997,6,FALSE)-F1612</f>
        <v/>
      </c>
      <c r="H1612" s="19" t="n">
        <v>2</v>
      </c>
      <c r="I1612" s="57" t="n">
        <v>5</v>
      </c>
    </row>
    <row r="1613">
      <c r="A1613" s="62" t="n">
        <v>46628</v>
      </c>
      <c r="B1613" s="3" t="inlineStr">
        <is>
          <t>Sun</t>
        </is>
      </c>
      <c r="C1613" s="19" t="n">
        <v>8</v>
      </c>
      <c r="D1613" s="19" t="n">
        <v>2027</v>
      </c>
      <c r="E1613" s="57" t="n">
        <v>2</v>
      </c>
      <c r="F1613" s="29">
        <f>ROUND(((SUMIFS(Calendar!$F$2:$F$9997,Calendar!$B$2:$B$9997,D1613,Calendar!$C$2:$C$9997,C1613)*INDEX(ForeCalc!$B$37:$Y$274,MATCH(_xlfn.CONCAT(H1613," ",I1613),ForeCalc!$A$37:$A$274,0),MATCH(_xlfn.CONCAT(B1613," ",E1613),ForeCalc!$B$36:$Y$36,0))))*VLOOKUP(A1613,Calendar!$A$2:$H$9997,8,FALSE),0)</f>
        <v/>
      </c>
      <c r="G1613" s="29">
        <f>VLOOKUP(A1613,Calendar!$A$1:$H$9997,6,FALSE)-F1613</f>
        <v/>
      </c>
      <c r="H1613" s="19" t="n">
        <v>2</v>
      </c>
      <c r="I1613" s="57" t="n">
        <v>5</v>
      </c>
    </row>
    <row r="1614">
      <c r="A1614" s="62" t="n">
        <v>46629</v>
      </c>
      <c r="B1614" s="3" t="inlineStr">
        <is>
          <t>Week</t>
        </is>
      </c>
      <c r="C1614" s="19" t="n">
        <v>8</v>
      </c>
      <c r="D1614" s="19" t="n">
        <v>2027</v>
      </c>
      <c r="E1614" s="57" t="n">
        <v>2</v>
      </c>
      <c r="F1614" s="29">
        <f>ROUND(((SUMIFS(Calendar!$F$2:$F$9997,Calendar!$B$2:$B$9997,D1614,Calendar!$C$2:$C$9997,C1614)*INDEX(ForeCalc!$B$37:$Y$274,MATCH(_xlfn.CONCAT(H1614," ",I1614),ForeCalc!$A$37:$A$274,0),MATCH(_xlfn.CONCAT(B1614," ",E1614),ForeCalc!$B$36:$Y$36,0))))*VLOOKUP(A1614,Calendar!$A$2:$H$9997,8,FALSE),0)</f>
        <v/>
      </c>
      <c r="G1614" s="29">
        <f>VLOOKUP(A1614,Calendar!$A$1:$H$9997,6,FALSE)-F1614</f>
        <v/>
      </c>
      <c r="H1614" s="19" t="n">
        <v>2</v>
      </c>
      <c r="I1614" s="57" t="n">
        <v>5</v>
      </c>
    </row>
    <row r="1615">
      <c r="A1615" s="62" t="n">
        <v>46630</v>
      </c>
      <c r="B1615" s="3" t="inlineStr">
        <is>
          <t>Week</t>
        </is>
      </c>
      <c r="C1615" s="19" t="n">
        <v>8</v>
      </c>
      <c r="D1615" s="19" t="n">
        <v>2027</v>
      </c>
      <c r="E1615" s="57" t="n">
        <v>2</v>
      </c>
      <c r="F1615" s="29">
        <f>ROUND(((SUMIFS(Calendar!$F$2:$F$9997,Calendar!$B$2:$B$9997,D1615,Calendar!$C$2:$C$9997,C1615)*INDEX(ForeCalc!$B$37:$Y$274,MATCH(_xlfn.CONCAT(H1615," ",I1615),ForeCalc!$A$37:$A$274,0),MATCH(_xlfn.CONCAT(B1615," ",E1615),ForeCalc!$B$36:$Y$36,0))))*VLOOKUP(A1615,Calendar!$A$2:$H$9997,8,FALSE),0)</f>
        <v/>
      </c>
      <c r="G1615" s="29">
        <f>VLOOKUP(A1615,Calendar!$A$1:$H$9997,6,FALSE)-F1615</f>
        <v/>
      </c>
      <c r="H1615" s="19" t="n">
        <v>2</v>
      </c>
      <c r="I1615" s="57" t="n">
        <v>5</v>
      </c>
    </row>
    <row r="1616">
      <c r="A1616" s="62" t="n">
        <v>46631</v>
      </c>
      <c r="B1616" s="3" t="inlineStr">
        <is>
          <t>Week</t>
        </is>
      </c>
      <c r="C1616" s="19" t="n">
        <v>9</v>
      </c>
      <c r="D1616" s="19" t="n">
        <v>2027</v>
      </c>
      <c r="E1616" s="57" t="n">
        <v>2</v>
      </c>
      <c r="F1616" s="29">
        <f>ROUND(((SUMIFS(Calendar!$F$2:$F$9997,Calendar!$B$2:$B$9997,D1616,Calendar!$C$2:$C$9997,C1616)*INDEX(ForeCalc!$B$37:$Y$274,MATCH(_xlfn.CONCAT(H1616," ",I1616),ForeCalc!$A$37:$A$274,0),MATCH(_xlfn.CONCAT(B1616," ",E1616),ForeCalc!$B$36:$Y$36,0))))*VLOOKUP(A1616,Calendar!$A$2:$H$9997,8,FALSE),0)</f>
        <v/>
      </c>
      <c r="G1616" s="29">
        <f>VLOOKUP(A1616,Calendar!$A$1:$H$9997,6,FALSE)-F1616</f>
        <v/>
      </c>
      <c r="H1616" s="19" t="n">
        <v>2</v>
      </c>
      <c r="I1616" s="57" t="n">
        <v>6</v>
      </c>
    </row>
    <row r="1617">
      <c r="A1617" s="62" t="n">
        <v>46632</v>
      </c>
      <c r="B1617" s="3" t="inlineStr">
        <is>
          <t>Week</t>
        </is>
      </c>
      <c r="C1617" s="19" t="n">
        <v>9</v>
      </c>
      <c r="D1617" s="19" t="n">
        <v>2027</v>
      </c>
      <c r="E1617" s="57" t="n">
        <v>2</v>
      </c>
      <c r="F1617" s="29">
        <f>ROUND(((SUMIFS(Calendar!$F$2:$F$9997,Calendar!$B$2:$B$9997,D1617,Calendar!$C$2:$C$9997,C1617)*INDEX(ForeCalc!$B$37:$Y$274,MATCH(_xlfn.CONCAT(H1617," ",I1617),ForeCalc!$A$37:$A$274,0),MATCH(_xlfn.CONCAT(B1617," ",E1617),ForeCalc!$B$36:$Y$36,0))))*VLOOKUP(A1617,Calendar!$A$2:$H$9997,8,FALSE),0)</f>
        <v/>
      </c>
      <c r="G1617" s="29">
        <f>VLOOKUP(A1617,Calendar!$A$1:$H$9997,6,FALSE)-F1617</f>
        <v/>
      </c>
      <c r="H1617" s="19" t="n">
        <v>2</v>
      </c>
      <c r="I1617" s="57" t="n">
        <v>6</v>
      </c>
    </row>
    <row r="1618">
      <c r="A1618" s="62" t="n">
        <v>46633</v>
      </c>
      <c r="B1618" s="3" t="inlineStr">
        <is>
          <t>Week</t>
        </is>
      </c>
      <c r="C1618" s="19" t="n">
        <v>9</v>
      </c>
      <c r="D1618" s="19" t="n">
        <v>2027</v>
      </c>
      <c r="E1618" s="57" t="n">
        <v>2</v>
      </c>
      <c r="F1618" s="29">
        <f>ROUND(((SUMIFS(Calendar!$F$2:$F$9997,Calendar!$B$2:$B$9997,D1618,Calendar!$C$2:$C$9997,C1618)*INDEX(ForeCalc!$B$37:$Y$274,MATCH(_xlfn.CONCAT(H1618," ",I1618),ForeCalc!$A$37:$A$274,0),MATCH(_xlfn.CONCAT(B1618," ",E1618),ForeCalc!$B$36:$Y$36,0))))*VLOOKUP(A1618,Calendar!$A$2:$H$9997,8,FALSE),0)</f>
        <v/>
      </c>
      <c r="G1618" s="29">
        <f>VLOOKUP(A1618,Calendar!$A$1:$H$9997,6,FALSE)-F1618</f>
        <v/>
      </c>
      <c r="H1618" s="19" t="n">
        <v>2</v>
      </c>
      <c r="I1618" s="57" t="n">
        <v>6</v>
      </c>
    </row>
    <row r="1619">
      <c r="A1619" s="62" t="n">
        <v>46634</v>
      </c>
      <c r="B1619" s="3" t="inlineStr">
        <is>
          <t>Sat</t>
        </is>
      </c>
      <c r="C1619" s="19" t="n">
        <v>9</v>
      </c>
      <c r="D1619" s="19" t="n">
        <v>2027</v>
      </c>
      <c r="E1619" s="57" t="n">
        <v>2</v>
      </c>
      <c r="F1619" s="29">
        <f>ROUND(((SUMIFS(Calendar!$F$2:$F$9997,Calendar!$B$2:$B$9997,D1619,Calendar!$C$2:$C$9997,C1619)*INDEX(ForeCalc!$B$37:$Y$274,MATCH(_xlfn.CONCAT(H1619," ",I1619),ForeCalc!$A$37:$A$274,0),MATCH(_xlfn.CONCAT(B1619," ",E1619),ForeCalc!$B$36:$Y$36,0))))*VLOOKUP(A1619,Calendar!$A$2:$H$9997,8,FALSE),0)</f>
        <v/>
      </c>
      <c r="G1619" s="29">
        <f>VLOOKUP(A1619,Calendar!$A$1:$H$9997,6,FALSE)-F1619</f>
        <v/>
      </c>
      <c r="H1619" s="19" t="n">
        <v>2</v>
      </c>
      <c r="I1619" s="57" t="n">
        <v>6</v>
      </c>
    </row>
    <row r="1620">
      <c r="A1620" s="62" t="n">
        <v>46635</v>
      </c>
      <c r="B1620" s="3" t="inlineStr">
        <is>
          <t>Sun</t>
        </is>
      </c>
      <c r="C1620" s="19" t="n">
        <v>9</v>
      </c>
      <c r="D1620" s="19" t="n">
        <v>2027</v>
      </c>
      <c r="E1620" s="57" t="n">
        <v>2</v>
      </c>
      <c r="F1620" s="29">
        <f>ROUND(((SUMIFS(Calendar!$F$2:$F$9997,Calendar!$B$2:$B$9997,D1620,Calendar!$C$2:$C$9997,C1620)*INDEX(ForeCalc!$B$37:$Y$274,MATCH(_xlfn.CONCAT(H1620," ",I1620),ForeCalc!$A$37:$A$274,0),MATCH(_xlfn.CONCAT(B1620," ",E1620),ForeCalc!$B$36:$Y$36,0))))*VLOOKUP(A1620,Calendar!$A$2:$H$9997,8,FALSE),0)</f>
        <v/>
      </c>
      <c r="G1620" s="29">
        <f>VLOOKUP(A1620,Calendar!$A$1:$H$9997,6,FALSE)-F1620</f>
        <v/>
      </c>
      <c r="H1620" s="19" t="n">
        <v>2</v>
      </c>
      <c r="I1620" s="57" t="n">
        <v>6</v>
      </c>
    </row>
    <row r="1621">
      <c r="A1621" s="62" t="n">
        <v>46636</v>
      </c>
      <c r="B1621" s="3" t="inlineStr">
        <is>
          <t>Week</t>
        </is>
      </c>
      <c r="C1621" s="19" t="n">
        <v>9</v>
      </c>
      <c r="D1621" s="19" t="n">
        <v>2027</v>
      </c>
      <c r="E1621" s="57" t="n">
        <v>2</v>
      </c>
      <c r="F1621" s="29">
        <f>ROUND(((SUMIFS(Calendar!$F$2:$F$9997,Calendar!$B$2:$B$9997,D1621,Calendar!$C$2:$C$9997,C1621)*INDEX(ForeCalc!$B$37:$Y$274,MATCH(_xlfn.CONCAT(H1621," ",I1621),ForeCalc!$A$37:$A$274,0),MATCH(_xlfn.CONCAT(B1621," ",E1621),ForeCalc!$B$36:$Y$36,0))))*VLOOKUP(A1621,Calendar!$A$2:$H$9997,8,FALSE),0)</f>
        <v/>
      </c>
      <c r="G1621" s="29">
        <f>VLOOKUP(A1621,Calendar!$A$1:$H$9997,6,FALSE)-F1621</f>
        <v/>
      </c>
      <c r="H1621" s="19" t="n">
        <v>2</v>
      </c>
      <c r="I1621" s="57" t="n">
        <v>6</v>
      </c>
    </row>
    <row r="1622">
      <c r="A1622" s="62" t="n">
        <v>46637</v>
      </c>
      <c r="B1622" s="3" t="inlineStr">
        <is>
          <t>Week</t>
        </is>
      </c>
      <c r="C1622" s="19" t="n">
        <v>9</v>
      </c>
      <c r="D1622" s="19" t="n">
        <v>2027</v>
      </c>
      <c r="E1622" s="57" t="n">
        <v>2</v>
      </c>
      <c r="F1622" s="29">
        <f>ROUND(((SUMIFS(Calendar!$F$2:$F$9997,Calendar!$B$2:$B$9997,D1622,Calendar!$C$2:$C$9997,C1622)*INDEX(ForeCalc!$B$37:$Y$274,MATCH(_xlfn.CONCAT(H1622," ",I1622),ForeCalc!$A$37:$A$274,0),MATCH(_xlfn.CONCAT(B1622," ",E1622),ForeCalc!$B$36:$Y$36,0))))*VLOOKUP(A1622,Calendar!$A$2:$H$9997,8,FALSE),0)</f>
        <v/>
      </c>
      <c r="G1622" s="29">
        <f>VLOOKUP(A1622,Calendar!$A$1:$H$9997,6,FALSE)-F1622</f>
        <v/>
      </c>
      <c r="H1622" s="19" t="n">
        <v>2</v>
      </c>
      <c r="I1622" s="57" t="n">
        <v>6</v>
      </c>
    </row>
    <row r="1623">
      <c r="A1623" s="62" t="n">
        <v>46638</v>
      </c>
      <c r="B1623" s="3" t="inlineStr">
        <is>
          <t>Week</t>
        </is>
      </c>
      <c r="C1623" s="19" t="n">
        <v>9</v>
      </c>
      <c r="D1623" s="19" t="n">
        <v>2027</v>
      </c>
      <c r="E1623" s="57" t="n">
        <v>2</v>
      </c>
      <c r="F1623" s="29">
        <f>ROUND(((SUMIFS(Calendar!$F$2:$F$9997,Calendar!$B$2:$B$9997,D1623,Calendar!$C$2:$C$9997,C1623)*INDEX(ForeCalc!$B$37:$Y$274,MATCH(_xlfn.CONCAT(H1623," ",I1623),ForeCalc!$A$37:$A$274,0),MATCH(_xlfn.CONCAT(B1623," ",E1623),ForeCalc!$B$36:$Y$36,0))))*VLOOKUP(A1623,Calendar!$A$2:$H$9997,8,FALSE),0)</f>
        <v/>
      </c>
      <c r="G1623" s="29">
        <f>VLOOKUP(A1623,Calendar!$A$1:$H$9997,6,FALSE)-F1623</f>
        <v/>
      </c>
      <c r="H1623" s="19" t="n">
        <v>2</v>
      </c>
      <c r="I1623" s="57" t="n">
        <v>6</v>
      </c>
    </row>
    <row r="1624">
      <c r="A1624" s="62" t="n">
        <v>46639</v>
      </c>
      <c r="B1624" s="3" t="inlineStr">
        <is>
          <t>Week</t>
        </is>
      </c>
      <c r="C1624" s="19" t="n">
        <v>9</v>
      </c>
      <c r="D1624" s="19" t="n">
        <v>2027</v>
      </c>
      <c r="E1624" s="57" t="n">
        <v>2</v>
      </c>
      <c r="F1624" s="29">
        <f>ROUND(((SUMIFS(Calendar!$F$2:$F$9997,Calendar!$B$2:$B$9997,D1624,Calendar!$C$2:$C$9997,C1624)*INDEX(ForeCalc!$B$37:$Y$274,MATCH(_xlfn.CONCAT(H1624," ",I1624),ForeCalc!$A$37:$A$274,0),MATCH(_xlfn.CONCAT(B1624," ",E1624),ForeCalc!$B$36:$Y$36,0))))*VLOOKUP(A1624,Calendar!$A$2:$H$9997,8,FALSE),0)</f>
        <v/>
      </c>
      <c r="G1624" s="29">
        <f>VLOOKUP(A1624,Calendar!$A$1:$H$9997,6,FALSE)-F1624</f>
        <v/>
      </c>
      <c r="H1624" s="19" t="n">
        <v>2</v>
      </c>
      <c r="I1624" s="57" t="n">
        <v>6</v>
      </c>
    </row>
    <row r="1625">
      <c r="A1625" s="62" t="n">
        <v>46640</v>
      </c>
      <c r="B1625" s="3" t="inlineStr">
        <is>
          <t>Week</t>
        </is>
      </c>
      <c r="C1625" s="19" t="n">
        <v>9</v>
      </c>
      <c r="D1625" s="19" t="n">
        <v>2027</v>
      </c>
      <c r="E1625" s="57" t="n">
        <v>2</v>
      </c>
      <c r="F1625" s="29">
        <f>ROUND(((SUMIFS(Calendar!$F$2:$F$9997,Calendar!$B$2:$B$9997,D1625,Calendar!$C$2:$C$9997,C1625)*INDEX(ForeCalc!$B$37:$Y$274,MATCH(_xlfn.CONCAT(H1625," ",I1625),ForeCalc!$A$37:$A$274,0),MATCH(_xlfn.CONCAT(B1625," ",E1625),ForeCalc!$B$36:$Y$36,0))))*VLOOKUP(A1625,Calendar!$A$2:$H$9997,8,FALSE),0)</f>
        <v/>
      </c>
      <c r="G1625" s="29">
        <f>VLOOKUP(A1625,Calendar!$A$1:$H$9997,6,FALSE)-F1625</f>
        <v/>
      </c>
      <c r="H1625" s="19" t="n">
        <v>2</v>
      </c>
      <c r="I1625" s="57" t="n">
        <v>6</v>
      </c>
    </row>
    <row r="1626">
      <c r="A1626" s="62" t="n">
        <v>46641</v>
      </c>
      <c r="B1626" s="3" t="inlineStr">
        <is>
          <t>Sat</t>
        </is>
      </c>
      <c r="C1626" s="19" t="n">
        <v>9</v>
      </c>
      <c r="D1626" s="19" t="n">
        <v>2027</v>
      </c>
      <c r="E1626" s="57" t="n">
        <v>2</v>
      </c>
      <c r="F1626" s="29">
        <f>ROUND(((SUMIFS(Calendar!$F$2:$F$9997,Calendar!$B$2:$B$9997,D1626,Calendar!$C$2:$C$9997,C1626)*INDEX(ForeCalc!$B$37:$Y$274,MATCH(_xlfn.CONCAT(H1626," ",I1626),ForeCalc!$A$37:$A$274,0),MATCH(_xlfn.CONCAT(B1626," ",E1626),ForeCalc!$B$36:$Y$36,0))))*VLOOKUP(A1626,Calendar!$A$2:$H$9997,8,FALSE),0)</f>
        <v/>
      </c>
      <c r="G1626" s="29">
        <f>VLOOKUP(A1626,Calendar!$A$1:$H$9997,6,FALSE)-F1626</f>
        <v/>
      </c>
      <c r="H1626" s="19" t="n">
        <v>2</v>
      </c>
      <c r="I1626" s="57" t="n">
        <v>6</v>
      </c>
    </row>
    <row r="1627">
      <c r="A1627" s="62" t="n">
        <v>46642</v>
      </c>
      <c r="B1627" s="3" t="inlineStr">
        <is>
          <t>Sun</t>
        </is>
      </c>
      <c r="C1627" s="19" t="n">
        <v>9</v>
      </c>
      <c r="D1627" s="19" t="n">
        <v>2027</v>
      </c>
      <c r="E1627" s="57" t="n">
        <v>2</v>
      </c>
      <c r="F1627" s="29">
        <f>ROUND(((SUMIFS(Calendar!$F$2:$F$9997,Calendar!$B$2:$B$9997,D1627,Calendar!$C$2:$C$9997,C1627)*INDEX(ForeCalc!$B$37:$Y$274,MATCH(_xlfn.CONCAT(H1627," ",I1627),ForeCalc!$A$37:$A$274,0),MATCH(_xlfn.CONCAT(B1627," ",E1627),ForeCalc!$B$36:$Y$36,0))))*VLOOKUP(A1627,Calendar!$A$2:$H$9997,8,FALSE),0)</f>
        <v/>
      </c>
      <c r="G1627" s="29">
        <f>VLOOKUP(A1627,Calendar!$A$1:$H$9997,6,FALSE)-F1627</f>
        <v/>
      </c>
      <c r="H1627" s="19" t="n">
        <v>2</v>
      </c>
      <c r="I1627" s="57" t="n">
        <v>6</v>
      </c>
    </row>
    <row r="1628">
      <c r="A1628" s="62" t="n">
        <v>46643</v>
      </c>
      <c r="B1628" s="3" t="inlineStr">
        <is>
          <t>Week</t>
        </is>
      </c>
      <c r="C1628" s="19" t="n">
        <v>9</v>
      </c>
      <c r="D1628" s="19" t="n">
        <v>2027</v>
      </c>
      <c r="E1628" s="57" t="n">
        <v>2</v>
      </c>
      <c r="F1628" s="29">
        <f>ROUND(((SUMIFS(Calendar!$F$2:$F$9997,Calendar!$B$2:$B$9997,D1628,Calendar!$C$2:$C$9997,C1628)*INDEX(ForeCalc!$B$37:$Y$274,MATCH(_xlfn.CONCAT(H1628," ",I1628),ForeCalc!$A$37:$A$274,0),MATCH(_xlfn.CONCAT(B1628," ",E1628),ForeCalc!$B$36:$Y$36,0))))*VLOOKUP(A1628,Calendar!$A$2:$H$9997,8,FALSE),0)</f>
        <v/>
      </c>
      <c r="G1628" s="29">
        <f>VLOOKUP(A1628,Calendar!$A$1:$H$9997,6,FALSE)-F1628</f>
        <v/>
      </c>
      <c r="H1628" s="19" t="n">
        <v>2</v>
      </c>
      <c r="I1628" s="57" t="n">
        <v>6</v>
      </c>
    </row>
    <row r="1629">
      <c r="A1629" s="62" t="n">
        <v>46644</v>
      </c>
      <c r="B1629" s="3" t="inlineStr">
        <is>
          <t>Week</t>
        </is>
      </c>
      <c r="C1629" s="19" t="n">
        <v>9</v>
      </c>
      <c r="D1629" s="19" t="n">
        <v>2027</v>
      </c>
      <c r="E1629" s="57" t="n">
        <v>2</v>
      </c>
      <c r="F1629" s="29">
        <f>ROUND(((SUMIFS(Calendar!$F$2:$F$9997,Calendar!$B$2:$B$9997,D1629,Calendar!$C$2:$C$9997,C1629)*INDEX(ForeCalc!$B$37:$Y$274,MATCH(_xlfn.CONCAT(H1629," ",I1629),ForeCalc!$A$37:$A$274,0),MATCH(_xlfn.CONCAT(B1629," ",E1629),ForeCalc!$B$36:$Y$36,0))))*VLOOKUP(A1629,Calendar!$A$2:$H$9997,8,FALSE),0)</f>
        <v/>
      </c>
      <c r="G1629" s="29">
        <f>VLOOKUP(A1629,Calendar!$A$1:$H$9997,6,FALSE)-F1629</f>
        <v/>
      </c>
      <c r="H1629" s="19" t="n">
        <v>2</v>
      </c>
      <c r="I1629" s="57" t="n">
        <v>6</v>
      </c>
    </row>
    <row r="1630">
      <c r="A1630" s="62" t="n">
        <v>46645</v>
      </c>
      <c r="B1630" s="3" t="inlineStr">
        <is>
          <t>Week</t>
        </is>
      </c>
      <c r="C1630" s="19" t="n">
        <v>9</v>
      </c>
      <c r="D1630" s="19" t="n">
        <v>2027</v>
      </c>
      <c r="E1630" s="57" t="n">
        <v>2</v>
      </c>
      <c r="F1630" s="29">
        <f>ROUND(((SUMIFS(Calendar!$F$2:$F$9997,Calendar!$B$2:$B$9997,D1630,Calendar!$C$2:$C$9997,C1630)*INDEX(ForeCalc!$B$37:$Y$274,MATCH(_xlfn.CONCAT(H1630," ",I1630),ForeCalc!$A$37:$A$274,0),MATCH(_xlfn.CONCAT(B1630," ",E1630),ForeCalc!$B$36:$Y$36,0))))*VLOOKUP(A1630,Calendar!$A$2:$H$9997,8,FALSE),0)</f>
        <v/>
      </c>
      <c r="G1630" s="29">
        <f>VLOOKUP(A1630,Calendar!$A$1:$H$9997,6,FALSE)-F1630</f>
        <v/>
      </c>
      <c r="H1630" s="19" t="n">
        <v>2</v>
      </c>
      <c r="I1630" s="57" t="n">
        <v>6</v>
      </c>
    </row>
    <row r="1631">
      <c r="A1631" s="62" t="n">
        <v>46646</v>
      </c>
      <c r="B1631" s="3" t="inlineStr">
        <is>
          <t>Week</t>
        </is>
      </c>
      <c r="C1631" s="19" t="n">
        <v>9</v>
      </c>
      <c r="D1631" s="19" t="n">
        <v>2027</v>
      </c>
      <c r="E1631" s="57" t="n">
        <v>2</v>
      </c>
      <c r="F1631" s="29">
        <f>ROUND(((SUMIFS(Calendar!$F$2:$F$9997,Calendar!$B$2:$B$9997,D1631,Calendar!$C$2:$C$9997,C1631)*INDEX(ForeCalc!$B$37:$Y$274,MATCH(_xlfn.CONCAT(H1631," ",I1631),ForeCalc!$A$37:$A$274,0),MATCH(_xlfn.CONCAT(B1631," ",E1631),ForeCalc!$B$36:$Y$36,0))))*VLOOKUP(A1631,Calendar!$A$2:$H$9997,8,FALSE),0)</f>
        <v/>
      </c>
      <c r="G1631" s="29">
        <f>VLOOKUP(A1631,Calendar!$A$1:$H$9997,6,FALSE)-F1631</f>
        <v/>
      </c>
      <c r="H1631" s="19" t="n">
        <v>2</v>
      </c>
      <c r="I1631" s="57" t="n">
        <v>6</v>
      </c>
    </row>
    <row r="1632">
      <c r="A1632" s="62" t="n">
        <v>46647</v>
      </c>
      <c r="B1632" s="3" t="inlineStr">
        <is>
          <t>Week</t>
        </is>
      </c>
      <c r="C1632" s="19" t="n">
        <v>9</v>
      </c>
      <c r="D1632" s="19" t="n">
        <v>2027</v>
      </c>
      <c r="E1632" s="57" t="n">
        <v>2</v>
      </c>
      <c r="F1632" s="29">
        <f>ROUND(((SUMIFS(Calendar!$F$2:$F$9997,Calendar!$B$2:$B$9997,D1632,Calendar!$C$2:$C$9997,C1632)*INDEX(ForeCalc!$B$37:$Y$274,MATCH(_xlfn.CONCAT(H1632," ",I1632),ForeCalc!$A$37:$A$274,0),MATCH(_xlfn.CONCAT(B1632," ",E1632),ForeCalc!$B$36:$Y$36,0))))*VLOOKUP(A1632,Calendar!$A$2:$H$9997,8,FALSE),0)</f>
        <v/>
      </c>
      <c r="G1632" s="29">
        <f>VLOOKUP(A1632,Calendar!$A$1:$H$9997,6,FALSE)-F1632</f>
        <v/>
      </c>
      <c r="H1632" s="19" t="n">
        <v>2</v>
      </c>
      <c r="I1632" s="57" t="n">
        <v>6</v>
      </c>
    </row>
    <row r="1633">
      <c r="A1633" s="62" t="n">
        <v>46648</v>
      </c>
      <c r="B1633" s="3" t="inlineStr">
        <is>
          <t>Sat</t>
        </is>
      </c>
      <c r="C1633" s="19" t="n">
        <v>9</v>
      </c>
      <c r="D1633" s="19" t="n">
        <v>2027</v>
      </c>
      <c r="E1633" s="57" t="n">
        <v>2</v>
      </c>
      <c r="F1633" s="29">
        <f>ROUND(((SUMIFS(Calendar!$F$2:$F$9997,Calendar!$B$2:$B$9997,D1633,Calendar!$C$2:$C$9997,C1633)*INDEX(ForeCalc!$B$37:$Y$274,MATCH(_xlfn.CONCAT(H1633," ",I1633),ForeCalc!$A$37:$A$274,0),MATCH(_xlfn.CONCAT(B1633," ",E1633),ForeCalc!$B$36:$Y$36,0))))*VLOOKUP(A1633,Calendar!$A$2:$H$9997,8,FALSE),0)</f>
        <v/>
      </c>
      <c r="G1633" s="29">
        <f>VLOOKUP(A1633,Calendar!$A$1:$H$9997,6,FALSE)-F1633</f>
        <v/>
      </c>
      <c r="H1633" s="19" t="n">
        <v>2</v>
      </c>
      <c r="I1633" s="57" t="n">
        <v>6</v>
      </c>
    </row>
    <row r="1634">
      <c r="A1634" s="62" t="n">
        <v>46649</v>
      </c>
      <c r="B1634" s="3" t="inlineStr">
        <is>
          <t>Sun</t>
        </is>
      </c>
      <c r="C1634" s="19" t="n">
        <v>9</v>
      </c>
      <c r="D1634" s="19" t="n">
        <v>2027</v>
      </c>
      <c r="E1634" s="57" t="n">
        <v>2</v>
      </c>
      <c r="F1634" s="29">
        <f>ROUND(((SUMIFS(Calendar!$F$2:$F$9997,Calendar!$B$2:$B$9997,D1634,Calendar!$C$2:$C$9997,C1634)*INDEX(ForeCalc!$B$37:$Y$274,MATCH(_xlfn.CONCAT(H1634," ",I1634),ForeCalc!$A$37:$A$274,0),MATCH(_xlfn.CONCAT(B1634," ",E1634),ForeCalc!$B$36:$Y$36,0))))*VLOOKUP(A1634,Calendar!$A$2:$H$9997,8,FALSE),0)</f>
        <v/>
      </c>
      <c r="G1634" s="29">
        <f>VLOOKUP(A1634,Calendar!$A$1:$H$9997,6,FALSE)-F1634</f>
        <v/>
      </c>
      <c r="H1634" s="19" t="n">
        <v>2</v>
      </c>
      <c r="I1634" s="57" t="n">
        <v>6</v>
      </c>
    </row>
    <row r="1635">
      <c r="A1635" s="62" t="n">
        <v>46650</v>
      </c>
      <c r="B1635" s="3" t="inlineStr">
        <is>
          <t>Week</t>
        </is>
      </c>
      <c r="C1635" s="19" t="n">
        <v>9</v>
      </c>
      <c r="D1635" s="19" t="n">
        <v>2027</v>
      </c>
      <c r="E1635" s="57" t="n">
        <v>2</v>
      </c>
      <c r="F1635" s="29">
        <f>ROUND(((SUMIFS(Calendar!$F$2:$F$9997,Calendar!$B$2:$B$9997,D1635,Calendar!$C$2:$C$9997,C1635)*INDEX(ForeCalc!$B$37:$Y$274,MATCH(_xlfn.CONCAT(H1635," ",I1635),ForeCalc!$A$37:$A$274,0),MATCH(_xlfn.CONCAT(B1635," ",E1635),ForeCalc!$B$36:$Y$36,0))))*VLOOKUP(A1635,Calendar!$A$2:$H$9997,8,FALSE),0)</f>
        <v/>
      </c>
      <c r="G1635" s="29">
        <f>VLOOKUP(A1635,Calendar!$A$1:$H$9997,6,FALSE)-F1635</f>
        <v/>
      </c>
      <c r="H1635" s="19" t="n">
        <v>2</v>
      </c>
      <c r="I1635" s="57" t="n">
        <v>6</v>
      </c>
    </row>
    <row r="1636">
      <c r="A1636" s="62" t="n">
        <v>46651</v>
      </c>
      <c r="B1636" s="3" t="inlineStr">
        <is>
          <t>Week</t>
        </is>
      </c>
      <c r="C1636" s="19" t="n">
        <v>9</v>
      </c>
      <c r="D1636" s="19" t="n">
        <v>2027</v>
      </c>
      <c r="E1636" s="57" t="n">
        <v>2</v>
      </c>
      <c r="F1636" s="29">
        <f>ROUND(((SUMIFS(Calendar!$F$2:$F$9997,Calendar!$B$2:$B$9997,D1636,Calendar!$C$2:$C$9997,C1636)*INDEX(ForeCalc!$B$37:$Y$274,MATCH(_xlfn.CONCAT(H1636," ",I1636),ForeCalc!$A$37:$A$274,0),MATCH(_xlfn.CONCAT(B1636," ",E1636),ForeCalc!$B$36:$Y$36,0))))*VLOOKUP(A1636,Calendar!$A$2:$H$9997,8,FALSE),0)</f>
        <v/>
      </c>
      <c r="G1636" s="29">
        <f>VLOOKUP(A1636,Calendar!$A$1:$H$9997,6,FALSE)-F1636</f>
        <v/>
      </c>
      <c r="H1636" s="19" t="n">
        <v>2</v>
      </c>
      <c r="I1636" s="57" t="n">
        <v>6</v>
      </c>
    </row>
    <row r="1637">
      <c r="A1637" s="62" t="n">
        <v>46652</v>
      </c>
      <c r="B1637" s="3" t="inlineStr">
        <is>
          <t>Week</t>
        </is>
      </c>
      <c r="C1637" s="19" t="n">
        <v>9</v>
      </c>
      <c r="D1637" s="19" t="n">
        <v>2027</v>
      </c>
      <c r="E1637" s="57" t="n">
        <v>2</v>
      </c>
      <c r="F1637" s="29">
        <f>ROUND(((SUMIFS(Calendar!$F$2:$F$9997,Calendar!$B$2:$B$9997,D1637,Calendar!$C$2:$C$9997,C1637)*INDEX(ForeCalc!$B$37:$Y$274,MATCH(_xlfn.CONCAT(H1637," ",I1637),ForeCalc!$A$37:$A$274,0),MATCH(_xlfn.CONCAT(B1637," ",E1637),ForeCalc!$B$36:$Y$36,0))))*VLOOKUP(A1637,Calendar!$A$2:$H$9997,8,FALSE),0)</f>
        <v/>
      </c>
      <c r="G1637" s="29">
        <f>VLOOKUP(A1637,Calendar!$A$1:$H$9997,6,FALSE)-F1637</f>
        <v/>
      </c>
      <c r="H1637" s="19" t="n">
        <v>2</v>
      </c>
      <c r="I1637" s="57" t="n">
        <v>6</v>
      </c>
    </row>
    <row r="1638">
      <c r="A1638" s="62" t="n">
        <v>46653</v>
      </c>
      <c r="B1638" s="3" t="inlineStr">
        <is>
          <t>Week</t>
        </is>
      </c>
      <c r="C1638" s="19" t="n">
        <v>9</v>
      </c>
      <c r="D1638" s="19" t="n">
        <v>2027</v>
      </c>
      <c r="E1638" s="57" t="n">
        <v>2</v>
      </c>
      <c r="F1638" s="29">
        <f>ROUND(((SUMIFS(Calendar!$F$2:$F$9997,Calendar!$B$2:$B$9997,D1638,Calendar!$C$2:$C$9997,C1638)*INDEX(ForeCalc!$B$37:$Y$274,MATCH(_xlfn.CONCAT(H1638," ",I1638),ForeCalc!$A$37:$A$274,0),MATCH(_xlfn.CONCAT(B1638," ",E1638),ForeCalc!$B$36:$Y$36,0))))*VLOOKUP(A1638,Calendar!$A$2:$H$9997,8,FALSE),0)</f>
        <v/>
      </c>
      <c r="G1638" s="29">
        <f>VLOOKUP(A1638,Calendar!$A$1:$H$9997,6,FALSE)-F1638</f>
        <v/>
      </c>
      <c r="H1638" s="19" t="n">
        <v>2</v>
      </c>
      <c r="I1638" s="57" t="n">
        <v>6</v>
      </c>
    </row>
    <row r="1639">
      <c r="A1639" s="62" t="n">
        <v>46654</v>
      </c>
      <c r="B1639" s="3" t="inlineStr">
        <is>
          <t>Week</t>
        </is>
      </c>
      <c r="C1639" s="19" t="n">
        <v>9</v>
      </c>
      <c r="D1639" s="19" t="n">
        <v>2027</v>
      </c>
      <c r="E1639" s="57" t="n">
        <v>2</v>
      </c>
      <c r="F1639" s="29">
        <f>ROUND(((SUMIFS(Calendar!$F$2:$F$9997,Calendar!$B$2:$B$9997,D1639,Calendar!$C$2:$C$9997,C1639)*INDEX(ForeCalc!$B$37:$Y$274,MATCH(_xlfn.CONCAT(H1639," ",I1639),ForeCalc!$A$37:$A$274,0),MATCH(_xlfn.CONCAT(B1639," ",E1639),ForeCalc!$B$36:$Y$36,0))))*VLOOKUP(A1639,Calendar!$A$2:$H$9997,8,FALSE),0)</f>
        <v/>
      </c>
      <c r="G1639" s="29">
        <f>VLOOKUP(A1639,Calendar!$A$1:$H$9997,6,FALSE)-F1639</f>
        <v/>
      </c>
      <c r="H1639" s="19" t="n">
        <v>2</v>
      </c>
      <c r="I1639" s="57" t="n">
        <v>6</v>
      </c>
    </row>
    <row r="1640">
      <c r="A1640" s="62" t="n">
        <v>46655</v>
      </c>
      <c r="B1640" s="3" t="inlineStr">
        <is>
          <t>Sat</t>
        </is>
      </c>
      <c r="C1640" s="19" t="n">
        <v>9</v>
      </c>
      <c r="D1640" s="19" t="n">
        <v>2027</v>
      </c>
      <c r="E1640" s="57" t="n">
        <v>2</v>
      </c>
      <c r="F1640" s="29">
        <f>ROUND(((SUMIFS(Calendar!$F$2:$F$9997,Calendar!$B$2:$B$9997,D1640,Calendar!$C$2:$C$9997,C1640)*INDEX(ForeCalc!$B$37:$Y$274,MATCH(_xlfn.CONCAT(H1640," ",I1640),ForeCalc!$A$37:$A$274,0),MATCH(_xlfn.CONCAT(B1640," ",E1640),ForeCalc!$B$36:$Y$36,0))))*VLOOKUP(A1640,Calendar!$A$2:$H$9997,8,FALSE),0)</f>
        <v/>
      </c>
      <c r="G1640" s="29">
        <f>VLOOKUP(A1640,Calendar!$A$1:$H$9997,6,FALSE)-F1640</f>
        <v/>
      </c>
      <c r="H1640" s="19" t="n">
        <v>2</v>
      </c>
      <c r="I1640" s="57" t="n">
        <v>6</v>
      </c>
    </row>
    <row r="1641">
      <c r="A1641" s="62" t="n">
        <v>46656</v>
      </c>
      <c r="B1641" s="3" t="inlineStr">
        <is>
          <t>Sun</t>
        </is>
      </c>
      <c r="C1641" s="19" t="n">
        <v>9</v>
      </c>
      <c r="D1641" s="19" t="n">
        <v>2027</v>
      </c>
      <c r="E1641" s="57" t="n">
        <v>2</v>
      </c>
      <c r="F1641" s="29">
        <f>ROUND(((SUMIFS(Calendar!$F$2:$F$9997,Calendar!$B$2:$B$9997,D1641,Calendar!$C$2:$C$9997,C1641)*INDEX(ForeCalc!$B$37:$Y$274,MATCH(_xlfn.CONCAT(H1641," ",I1641),ForeCalc!$A$37:$A$274,0),MATCH(_xlfn.CONCAT(B1641," ",E1641),ForeCalc!$B$36:$Y$36,0))))*VLOOKUP(A1641,Calendar!$A$2:$H$9997,8,FALSE),0)</f>
        <v/>
      </c>
      <c r="G1641" s="29">
        <f>VLOOKUP(A1641,Calendar!$A$1:$H$9997,6,FALSE)-F1641</f>
        <v/>
      </c>
      <c r="H1641" s="19" t="n">
        <v>2</v>
      </c>
      <c r="I1641" s="57" t="n">
        <v>6</v>
      </c>
    </row>
    <row r="1642">
      <c r="A1642" s="62" t="n">
        <v>46657</v>
      </c>
      <c r="B1642" s="3" t="inlineStr">
        <is>
          <t>Week</t>
        </is>
      </c>
      <c r="C1642" s="19" t="n">
        <v>9</v>
      </c>
      <c r="D1642" s="19" t="n">
        <v>2027</v>
      </c>
      <c r="E1642" s="57" t="n">
        <v>2</v>
      </c>
      <c r="F1642" s="29">
        <f>ROUND(((SUMIFS(Calendar!$F$2:$F$9997,Calendar!$B$2:$B$9997,D1642,Calendar!$C$2:$C$9997,C1642)*INDEX(ForeCalc!$B$37:$Y$274,MATCH(_xlfn.CONCAT(H1642," ",I1642),ForeCalc!$A$37:$A$274,0),MATCH(_xlfn.CONCAT(B1642," ",E1642),ForeCalc!$B$36:$Y$36,0))))*VLOOKUP(A1642,Calendar!$A$2:$H$9997,8,FALSE),0)</f>
        <v/>
      </c>
      <c r="G1642" s="29">
        <f>VLOOKUP(A1642,Calendar!$A$1:$H$9997,6,FALSE)-F1642</f>
        <v/>
      </c>
      <c r="H1642" s="19" t="n">
        <v>2</v>
      </c>
      <c r="I1642" s="57" t="n">
        <v>6</v>
      </c>
    </row>
    <row r="1643">
      <c r="A1643" s="62" t="n">
        <v>46658</v>
      </c>
      <c r="B1643" s="3" t="inlineStr">
        <is>
          <t>Week</t>
        </is>
      </c>
      <c r="C1643" s="19" t="n">
        <v>9</v>
      </c>
      <c r="D1643" s="19" t="n">
        <v>2027</v>
      </c>
      <c r="E1643" s="57" t="n">
        <v>2</v>
      </c>
      <c r="F1643" s="29">
        <f>ROUND(((SUMIFS(Calendar!$F$2:$F$9997,Calendar!$B$2:$B$9997,D1643,Calendar!$C$2:$C$9997,C1643)*INDEX(ForeCalc!$B$37:$Y$274,MATCH(_xlfn.CONCAT(H1643," ",I1643),ForeCalc!$A$37:$A$274,0),MATCH(_xlfn.CONCAT(B1643," ",E1643),ForeCalc!$B$36:$Y$36,0))))*VLOOKUP(A1643,Calendar!$A$2:$H$9997,8,FALSE),0)</f>
        <v/>
      </c>
      <c r="G1643" s="29">
        <f>VLOOKUP(A1643,Calendar!$A$1:$H$9997,6,FALSE)-F1643</f>
        <v/>
      </c>
      <c r="H1643" s="19" t="n">
        <v>2</v>
      </c>
      <c r="I1643" s="57" t="n">
        <v>6</v>
      </c>
    </row>
    <row r="1644">
      <c r="A1644" s="62" t="n">
        <v>46659</v>
      </c>
      <c r="B1644" s="3" t="inlineStr">
        <is>
          <t>Week</t>
        </is>
      </c>
      <c r="C1644" s="19" t="n">
        <v>9</v>
      </c>
      <c r="D1644" s="19" t="n">
        <v>2027</v>
      </c>
      <c r="E1644" s="57" t="n">
        <v>2</v>
      </c>
      <c r="F1644" s="29">
        <f>ROUND(((SUMIFS(Calendar!$F$2:$F$9997,Calendar!$B$2:$B$9997,D1644,Calendar!$C$2:$C$9997,C1644)*INDEX(ForeCalc!$B$37:$Y$274,MATCH(_xlfn.CONCAT(H1644," ",I1644),ForeCalc!$A$37:$A$274,0),MATCH(_xlfn.CONCAT(B1644," ",E1644),ForeCalc!$B$36:$Y$36,0))))*VLOOKUP(A1644,Calendar!$A$2:$H$9997,8,FALSE),0)</f>
        <v/>
      </c>
      <c r="G1644" s="29">
        <f>VLOOKUP(A1644,Calendar!$A$1:$H$9997,6,FALSE)-F1644</f>
        <v/>
      </c>
      <c r="H1644" s="19" t="n">
        <v>2</v>
      </c>
      <c r="I1644" s="57" t="n">
        <v>6</v>
      </c>
    </row>
    <row r="1645">
      <c r="A1645" s="62" t="n">
        <v>46660</v>
      </c>
      <c r="B1645" s="3" t="inlineStr">
        <is>
          <t>Week</t>
        </is>
      </c>
      <c r="C1645" s="19" t="n">
        <v>9</v>
      </c>
      <c r="D1645" s="19" t="n">
        <v>2027</v>
      </c>
      <c r="E1645" s="57" t="n">
        <v>2</v>
      </c>
      <c r="F1645" s="29">
        <f>ROUND(((SUMIFS(Calendar!$F$2:$F$9997,Calendar!$B$2:$B$9997,D1645,Calendar!$C$2:$C$9997,C1645)*INDEX(ForeCalc!$B$37:$Y$274,MATCH(_xlfn.CONCAT(H1645," ",I1645),ForeCalc!$A$37:$A$274,0),MATCH(_xlfn.CONCAT(B1645," ",E1645),ForeCalc!$B$36:$Y$36,0))))*VLOOKUP(A1645,Calendar!$A$2:$H$9997,8,FALSE),0)</f>
        <v/>
      </c>
      <c r="G1645" s="29">
        <f>VLOOKUP(A1645,Calendar!$A$1:$H$9997,6,FALSE)-F1645</f>
        <v/>
      </c>
      <c r="H1645" s="19" t="n">
        <v>2</v>
      </c>
      <c r="I1645" s="57" t="n">
        <v>6</v>
      </c>
    </row>
    <row r="1646">
      <c r="A1646" s="62" t="n">
        <v>46661</v>
      </c>
      <c r="B1646" s="3" t="inlineStr">
        <is>
          <t>Week</t>
        </is>
      </c>
      <c r="C1646" s="19" t="n">
        <v>10</v>
      </c>
      <c r="D1646" s="19" t="n">
        <v>2027</v>
      </c>
      <c r="E1646" s="57" t="n">
        <v>2</v>
      </c>
      <c r="F1646" s="29">
        <f>ROUND(((SUMIFS(Calendar!$F$2:$F$9997,Calendar!$B$2:$B$9997,D1646,Calendar!$C$2:$C$9997,C1646)*INDEX(ForeCalc!$B$37:$Y$274,MATCH(_xlfn.CONCAT(H1646," ",I1646),ForeCalc!$A$37:$A$274,0),MATCH(_xlfn.CONCAT(B1646," ",E1646),ForeCalc!$B$36:$Y$36,0))))*VLOOKUP(A1646,Calendar!$A$2:$H$9997,8,FALSE),0)</f>
        <v/>
      </c>
      <c r="G1646" s="29">
        <f>VLOOKUP(A1646,Calendar!$A$1:$H$9997,6,FALSE)-F1646</f>
        <v/>
      </c>
      <c r="H1646" s="19" t="n">
        <v>2</v>
      </c>
      <c r="I1646" s="57" t="n">
        <v>7</v>
      </c>
    </row>
    <row r="1647">
      <c r="A1647" s="62" t="n">
        <v>46662</v>
      </c>
      <c r="B1647" s="3" t="inlineStr">
        <is>
          <t>Sat</t>
        </is>
      </c>
      <c r="C1647" s="19" t="n">
        <v>10</v>
      </c>
      <c r="D1647" s="19" t="n">
        <v>2027</v>
      </c>
      <c r="E1647" s="57" t="n">
        <v>2</v>
      </c>
      <c r="F1647" s="29">
        <f>ROUND(((SUMIFS(Calendar!$F$2:$F$9997,Calendar!$B$2:$B$9997,D1647,Calendar!$C$2:$C$9997,C1647)*INDEX(ForeCalc!$B$37:$Y$274,MATCH(_xlfn.CONCAT(H1647," ",I1647),ForeCalc!$A$37:$A$274,0),MATCH(_xlfn.CONCAT(B1647," ",E1647),ForeCalc!$B$36:$Y$36,0))))*VLOOKUP(A1647,Calendar!$A$2:$H$9997,8,FALSE),0)</f>
        <v/>
      </c>
      <c r="G1647" s="29">
        <f>VLOOKUP(A1647,Calendar!$A$1:$H$9997,6,FALSE)-F1647</f>
        <v/>
      </c>
      <c r="H1647" s="19" t="n">
        <v>2</v>
      </c>
      <c r="I1647" s="57" t="n">
        <v>7</v>
      </c>
    </row>
    <row r="1648">
      <c r="A1648" s="62" t="n">
        <v>46663</v>
      </c>
      <c r="B1648" s="3" t="inlineStr">
        <is>
          <t>Sun</t>
        </is>
      </c>
      <c r="C1648" s="19" t="n">
        <v>10</v>
      </c>
      <c r="D1648" s="19" t="n">
        <v>2027</v>
      </c>
      <c r="E1648" s="57" t="n">
        <v>2</v>
      </c>
      <c r="F1648" s="29">
        <f>ROUND(((SUMIFS(Calendar!$F$2:$F$9997,Calendar!$B$2:$B$9997,D1648,Calendar!$C$2:$C$9997,C1648)*INDEX(ForeCalc!$B$37:$Y$274,MATCH(_xlfn.CONCAT(H1648," ",I1648),ForeCalc!$A$37:$A$274,0),MATCH(_xlfn.CONCAT(B1648," ",E1648),ForeCalc!$B$36:$Y$36,0))))*VLOOKUP(A1648,Calendar!$A$2:$H$9997,8,FALSE),0)</f>
        <v/>
      </c>
      <c r="G1648" s="29">
        <f>VLOOKUP(A1648,Calendar!$A$1:$H$9997,6,FALSE)-F1648</f>
        <v/>
      </c>
      <c r="H1648" s="19" t="n">
        <v>2</v>
      </c>
      <c r="I1648" s="57" t="n">
        <v>7</v>
      </c>
    </row>
    <row r="1649">
      <c r="A1649" s="62" t="n">
        <v>46664</v>
      </c>
      <c r="B1649" s="3" t="inlineStr">
        <is>
          <t>Week</t>
        </is>
      </c>
      <c r="C1649" s="19" t="n">
        <v>10</v>
      </c>
      <c r="D1649" s="19" t="n">
        <v>2027</v>
      </c>
      <c r="E1649" s="57" t="n">
        <v>2</v>
      </c>
      <c r="F1649" s="29">
        <f>ROUND(((SUMIFS(Calendar!$F$2:$F$9997,Calendar!$B$2:$B$9997,D1649,Calendar!$C$2:$C$9997,C1649)*INDEX(ForeCalc!$B$37:$Y$274,MATCH(_xlfn.CONCAT(H1649," ",I1649),ForeCalc!$A$37:$A$274,0),MATCH(_xlfn.CONCAT(B1649," ",E1649),ForeCalc!$B$36:$Y$36,0))))*VLOOKUP(A1649,Calendar!$A$2:$H$9997,8,FALSE),0)</f>
        <v/>
      </c>
      <c r="G1649" s="29">
        <f>VLOOKUP(A1649,Calendar!$A$1:$H$9997,6,FALSE)-F1649</f>
        <v/>
      </c>
      <c r="H1649" s="19" t="n">
        <v>2</v>
      </c>
      <c r="I1649" s="57" t="n">
        <v>7</v>
      </c>
    </row>
    <row r="1650">
      <c r="A1650" s="62" t="n">
        <v>46665</v>
      </c>
      <c r="B1650" s="3" t="inlineStr">
        <is>
          <t>Week</t>
        </is>
      </c>
      <c r="C1650" s="19" t="n">
        <v>10</v>
      </c>
      <c r="D1650" s="19" t="n">
        <v>2027</v>
      </c>
      <c r="E1650" s="57" t="n">
        <v>2</v>
      </c>
      <c r="F1650" s="29">
        <f>ROUND(((SUMIFS(Calendar!$F$2:$F$9997,Calendar!$B$2:$B$9997,D1650,Calendar!$C$2:$C$9997,C1650)*INDEX(ForeCalc!$B$37:$Y$274,MATCH(_xlfn.CONCAT(H1650," ",I1650),ForeCalc!$A$37:$A$274,0),MATCH(_xlfn.CONCAT(B1650," ",E1650),ForeCalc!$B$36:$Y$36,0))))*VLOOKUP(A1650,Calendar!$A$2:$H$9997,8,FALSE),0)</f>
        <v/>
      </c>
      <c r="G1650" s="29">
        <f>VLOOKUP(A1650,Calendar!$A$1:$H$9997,6,FALSE)-F1650</f>
        <v/>
      </c>
      <c r="H1650" s="19" t="n">
        <v>2</v>
      </c>
      <c r="I1650" s="57" t="n">
        <v>7</v>
      </c>
    </row>
    <row r="1651">
      <c r="A1651" s="62" t="n">
        <v>46666</v>
      </c>
      <c r="B1651" s="3" t="inlineStr">
        <is>
          <t>Week</t>
        </is>
      </c>
      <c r="C1651" s="19" t="n">
        <v>10</v>
      </c>
      <c r="D1651" s="19" t="n">
        <v>2027</v>
      </c>
      <c r="E1651" s="57" t="n">
        <v>2</v>
      </c>
      <c r="F1651" s="29">
        <f>ROUND(((SUMIFS(Calendar!$F$2:$F$9997,Calendar!$B$2:$B$9997,D1651,Calendar!$C$2:$C$9997,C1651)*INDEX(ForeCalc!$B$37:$Y$274,MATCH(_xlfn.CONCAT(H1651," ",I1651),ForeCalc!$A$37:$A$274,0),MATCH(_xlfn.CONCAT(B1651," ",E1651),ForeCalc!$B$36:$Y$36,0))))*VLOOKUP(A1651,Calendar!$A$2:$H$9997,8,FALSE),0)</f>
        <v/>
      </c>
      <c r="G1651" s="29">
        <f>VLOOKUP(A1651,Calendar!$A$1:$H$9997,6,FALSE)-F1651</f>
        <v/>
      </c>
      <c r="H1651" s="19" t="n">
        <v>2</v>
      </c>
      <c r="I1651" s="57" t="n">
        <v>7</v>
      </c>
    </row>
    <row r="1652">
      <c r="A1652" s="62" t="n">
        <v>46667</v>
      </c>
      <c r="B1652" s="3" t="inlineStr">
        <is>
          <t>Week</t>
        </is>
      </c>
      <c r="C1652" s="19" t="n">
        <v>10</v>
      </c>
      <c r="D1652" s="19" t="n">
        <v>2027</v>
      </c>
      <c r="E1652" s="57" t="n">
        <v>2</v>
      </c>
      <c r="F1652" s="29">
        <f>ROUND(((SUMIFS(Calendar!$F$2:$F$9997,Calendar!$B$2:$B$9997,D1652,Calendar!$C$2:$C$9997,C1652)*INDEX(ForeCalc!$B$37:$Y$274,MATCH(_xlfn.CONCAT(H1652," ",I1652),ForeCalc!$A$37:$A$274,0),MATCH(_xlfn.CONCAT(B1652," ",E1652),ForeCalc!$B$36:$Y$36,0))))*VLOOKUP(A1652,Calendar!$A$2:$H$9997,8,FALSE),0)</f>
        <v/>
      </c>
      <c r="G1652" s="29">
        <f>VLOOKUP(A1652,Calendar!$A$1:$H$9997,6,FALSE)-F1652</f>
        <v/>
      </c>
      <c r="H1652" s="19" t="n">
        <v>2</v>
      </c>
      <c r="I1652" s="57" t="n">
        <v>7</v>
      </c>
    </row>
    <row r="1653">
      <c r="A1653" s="62" t="n">
        <v>46668</v>
      </c>
      <c r="B1653" s="3" t="inlineStr">
        <is>
          <t>Week</t>
        </is>
      </c>
      <c r="C1653" s="19" t="n">
        <v>10</v>
      </c>
      <c r="D1653" s="19" t="n">
        <v>2027</v>
      </c>
      <c r="E1653" s="57" t="n">
        <v>2</v>
      </c>
      <c r="F1653" s="29">
        <f>ROUND(((SUMIFS(Calendar!$F$2:$F$9997,Calendar!$B$2:$B$9997,D1653,Calendar!$C$2:$C$9997,C1653)*INDEX(ForeCalc!$B$37:$Y$274,MATCH(_xlfn.CONCAT(H1653," ",I1653),ForeCalc!$A$37:$A$274,0),MATCH(_xlfn.CONCAT(B1653," ",E1653),ForeCalc!$B$36:$Y$36,0))))*VLOOKUP(A1653,Calendar!$A$2:$H$9997,8,FALSE),0)</f>
        <v/>
      </c>
      <c r="G1653" s="29">
        <f>VLOOKUP(A1653,Calendar!$A$1:$H$9997,6,FALSE)-F1653</f>
        <v/>
      </c>
      <c r="H1653" s="19" t="n">
        <v>2</v>
      </c>
      <c r="I1653" s="57" t="n">
        <v>7</v>
      </c>
    </row>
    <row r="1654">
      <c r="A1654" s="62" t="n">
        <v>46669</v>
      </c>
      <c r="B1654" s="3" t="inlineStr">
        <is>
          <t>Sat</t>
        </is>
      </c>
      <c r="C1654" s="19" t="n">
        <v>10</v>
      </c>
      <c r="D1654" s="19" t="n">
        <v>2027</v>
      </c>
      <c r="E1654" s="57" t="n">
        <v>2</v>
      </c>
      <c r="F1654" s="29">
        <f>ROUND(((SUMIFS(Calendar!$F$2:$F$9997,Calendar!$B$2:$B$9997,D1654,Calendar!$C$2:$C$9997,C1654)*INDEX(ForeCalc!$B$37:$Y$274,MATCH(_xlfn.CONCAT(H1654," ",I1654),ForeCalc!$A$37:$A$274,0),MATCH(_xlfn.CONCAT(B1654," ",E1654),ForeCalc!$B$36:$Y$36,0))))*VLOOKUP(A1654,Calendar!$A$2:$H$9997,8,FALSE),0)</f>
        <v/>
      </c>
      <c r="G1654" s="29">
        <f>VLOOKUP(A1654,Calendar!$A$1:$H$9997,6,FALSE)-F1654</f>
        <v/>
      </c>
      <c r="H1654" s="19" t="n">
        <v>2</v>
      </c>
      <c r="I1654" s="57" t="n">
        <v>7</v>
      </c>
    </row>
    <row r="1655">
      <c r="A1655" s="62" t="n">
        <v>46670</v>
      </c>
      <c r="B1655" s="3" t="inlineStr">
        <is>
          <t>Sun</t>
        </is>
      </c>
      <c r="C1655" s="19" t="n">
        <v>10</v>
      </c>
      <c r="D1655" s="19" t="n">
        <v>2027</v>
      </c>
      <c r="E1655" s="57" t="n">
        <v>2</v>
      </c>
      <c r="F1655" s="29">
        <f>ROUND(((SUMIFS(Calendar!$F$2:$F$9997,Calendar!$B$2:$B$9997,D1655,Calendar!$C$2:$C$9997,C1655)*INDEX(ForeCalc!$B$37:$Y$274,MATCH(_xlfn.CONCAT(H1655," ",I1655),ForeCalc!$A$37:$A$274,0),MATCH(_xlfn.CONCAT(B1655," ",E1655),ForeCalc!$B$36:$Y$36,0))))*VLOOKUP(A1655,Calendar!$A$2:$H$9997,8,FALSE),0)</f>
        <v/>
      </c>
      <c r="G1655" s="29">
        <f>VLOOKUP(A1655,Calendar!$A$1:$H$9997,6,FALSE)-F1655</f>
        <v/>
      </c>
      <c r="H1655" s="19" t="n">
        <v>2</v>
      </c>
      <c r="I1655" s="57" t="n">
        <v>7</v>
      </c>
    </row>
    <row r="1656">
      <c r="A1656" s="62" t="n">
        <v>46671</v>
      </c>
      <c r="B1656" s="3" t="inlineStr">
        <is>
          <t>Week</t>
        </is>
      </c>
      <c r="C1656" s="19" t="n">
        <v>10</v>
      </c>
      <c r="D1656" s="19" t="n">
        <v>2027</v>
      </c>
      <c r="E1656" s="57" t="n">
        <v>2</v>
      </c>
      <c r="F1656" s="29">
        <f>ROUND(((SUMIFS(Calendar!$F$2:$F$9997,Calendar!$B$2:$B$9997,D1656,Calendar!$C$2:$C$9997,C1656)*INDEX(ForeCalc!$B$37:$Y$274,MATCH(_xlfn.CONCAT(H1656," ",I1656),ForeCalc!$A$37:$A$274,0),MATCH(_xlfn.CONCAT(B1656," ",E1656),ForeCalc!$B$36:$Y$36,0))))*VLOOKUP(A1656,Calendar!$A$2:$H$9997,8,FALSE),0)</f>
        <v/>
      </c>
      <c r="G1656" s="29">
        <f>VLOOKUP(A1656,Calendar!$A$1:$H$9997,6,FALSE)-F1656</f>
        <v/>
      </c>
      <c r="H1656" s="19" t="n">
        <v>2</v>
      </c>
      <c r="I1656" s="57" t="n">
        <v>7</v>
      </c>
    </row>
    <row r="1657">
      <c r="A1657" s="62" t="n">
        <v>46672</v>
      </c>
      <c r="B1657" s="3" t="inlineStr">
        <is>
          <t>Week</t>
        </is>
      </c>
      <c r="C1657" s="19" t="n">
        <v>10</v>
      </c>
      <c r="D1657" s="19" t="n">
        <v>2027</v>
      </c>
      <c r="E1657" s="57" t="n">
        <v>2</v>
      </c>
      <c r="F1657" s="29">
        <f>ROUND(((SUMIFS(Calendar!$F$2:$F$9997,Calendar!$B$2:$B$9997,D1657,Calendar!$C$2:$C$9997,C1657)*INDEX(ForeCalc!$B$37:$Y$274,MATCH(_xlfn.CONCAT(H1657," ",I1657),ForeCalc!$A$37:$A$274,0),MATCH(_xlfn.CONCAT(B1657," ",E1657),ForeCalc!$B$36:$Y$36,0))))*VLOOKUP(A1657,Calendar!$A$2:$H$9997,8,FALSE),0)</f>
        <v/>
      </c>
      <c r="G1657" s="29">
        <f>VLOOKUP(A1657,Calendar!$A$1:$H$9997,6,FALSE)-F1657</f>
        <v/>
      </c>
      <c r="H1657" s="19" t="n">
        <v>2</v>
      </c>
      <c r="I1657" s="57" t="n">
        <v>7</v>
      </c>
    </row>
    <row r="1658">
      <c r="A1658" s="62" t="n">
        <v>46673</v>
      </c>
      <c r="B1658" s="3" t="inlineStr">
        <is>
          <t>Week</t>
        </is>
      </c>
      <c r="C1658" s="19" t="n">
        <v>10</v>
      </c>
      <c r="D1658" s="19" t="n">
        <v>2027</v>
      </c>
      <c r="E1658" s="57" t="n">
        <v>2</v>
      </c>
      <c r="F1658" s="29">
        <f>ROUND(((SUMIFS(Calendar!$F$2:$F$9997,Calendar!$B$2:$B$9997,D1658,Calendar!$C$2:$C$9997,C1658)*INDEX(ForeCalc!$B$37:$Y$274,MATCH(_xlfn.CONCAT(H1658," ",I1658),ForeCalc!$A$37:$A$274,0),MATCH(_xlfn.CONCAT(B1658," ",E1658),ForeCalc!$B$36:$Y$36,0))))*VLOOKUP(A1658,Calendar!$A$2:$H$9997,8,FALSE),0)</f>
        <v/>
      </c>
      <c r="G1658" s="29">
        <f>VLOOKUP(A1658,Calendar!$A$1:$H$9997,6,FALSE)-F1658</f>
        <v/>
      </c>
      <c r="H1658" s="19" t="n">
        <v>2</v>
      </c>
      <c r="I1658" s="57" t="n">
        <v>7</v>
      </c>
    </row>
    <row r="1659">
      <c r="A1659" s="62" t="n">
        <v>46674</v>
      </c>
      <c r="B1659" s="3" t="inlineStr">
        <is>
          <t>Week</t>
        </is>
      </c>
      <c r="C1659" s="19" t="n">
        <v>10</v>
      </c>
      <c r="D1659" s="19" t="n">
        <v>2027</v>
      </c>
      <c r="E1659" s="57" t="n">
        <v>2</v>
      </c>
      <c r="F1659" s="29">
        <f>ROUND(((SUMIFS(Calendar!$F$2:$F$9997,Calendar!$B$2:$B$9997,D1659,Calendar!$C$2:$C$9997,C1659)*INDEX(ForeCalc!$B$37:$Y$274,MATCH(_xlfn.CONCAT(H1659," ",I1659),ForeCalc!$A$37:$A$274,0),MATCH(_xlfn.CONCAT(B1659," ",E1659),ForeCalc!$B$36:$Y$36,0))))*VLOOKUP(A1659,Calendar!$A$2:$H$9997,8,FALSE),0)</f>
        <v/>
      </c>
      <c r="G1659" s="29">
        <f>VLOOKUP(A1659,Calendar!$A$1:$H$9997,6,FALSE)-F1659</f>
        <v/>
      </c>
      <c r="H1659" s="19" t="n">
        <v>2</v>
      </c>
      <c r="I1659" s="57" t="n">
        <v>7</v>
      </c>
    </row>
    <row r="1660">
      <c r="A1660" s="62" t="n">
        <v>46675</v>
      </c>
      <c r="B1660" s="3" t="inlineStr">
        <is>
          <t>Week</t>
        </is>
      </c>
      <c r="C1660" s="19" t="n">
        <v>10</v>
      </c>
      <c r="D1660" s="19" t="n">
        <v>2027</v>
      </c>
      <c r="E1660" s="57" t="n">
        <v>2</v>
      </c>
      <c r="F1660" s="29">
        <f>ROUND(((SUMIFS(Calendar!$F$2:$F$9997,Calendar!$B$2:$B$9997,D1660,Calendar!$C$2:$C$9997,C1660)*INDEX(ForeCalc!$B$37:$Y$274,MATCH(_xlfn.CONCAT(H1660," ",I1660),ForeCalc!$A$37:$A$274,0),MATCH(_xlfn.CONCAT(B1660," ",E1660),ForeCalc!$B$36:$Y$36,0))))*VLOOKUP(A1660,Calendar!$A$2:$H$9997,8,FALSE),0)</f>
        <v/>
      </c>
      <c r="G1660" s="29">
        <f>VLOOKUP(A1660,Calendar!$A$1:$H$9997,6,FALSE)-F1660</f>
        <v/>
      </c>
      <c r="H1660" s="19" t="n">
        <v>2</v>
      </c>
      <c r="I1660" s="57" t="n">
        <v>7</v>
      </c>
    </row>
    <row r="1661">
      <c r="A1661" s="62" t="n">
        <v>46676</v>
      </c>
      <c r="B1661" s="3" t="inlineStr">
        <is>
          <t>Sat</t>
        </is>
      </c>
      <c r="C1661" s="19" t="n">
        <v>10</v>
      </c>
      <c r="D1661" s="19" t="n">
        <v>2027</v>
      </c>
      <c r="E1661" s="57" t="n">
        <v>2</v>
      </c>
      <c r="F1661" s="29">
        <f>ROUND(((SUMIFS(Calendar!$F$2:$F$9997,Calendar!$B$2:$B$9997,D1661,Calendar!$C$2:$C$9997,C1661)*INDEX(ForeCalc!$B$37:$Y$274,MATCH(_xlfn.CONCAT(H1661," ",I1661),ForeCalc!$A$37:$A$274,0),MATCH(_xlfn.CONCAT(B1661," ",E1661),ForeCalc!$B$36:$Y$36,0))))*VLOOKUP(A1661,Calendar!$A$2:$H$9997,8,FALSE),0)</f>
        <v/>
      </c>
      <c r="G1661" s="29">
        <f>VLOOKUP(A1661,Calendar!$A$1:$H$9997,6,FALSE)-F1661</f>
        <v/>
      </c>
      <c r="H1661" s="19" t="n">
        <v>2</v>
      </c>
      <c r="I1661" s="57" t="n">
        <v>7</v>
      </c>
    </row>
    <row r="1662">
      <c r="A1662" s="62" t="n">
        <v>46677</v>
      </c>
      <c r="B1662" s="3" t="inlineStr">
        <is>
          <t>Sun</t>
        </is>
      </c>
      <c r="C1662" s="19" t="n">
        <v>10</v>
      </c>
      <c r="D1662" s="19" t="n">
        <v>2027</v>
      </c>
      <c r="E1662" s="57" t="n">
        <v>2</v>
      </c>
      <c r="F1662" s="29">
        <f>ROUND(((SUMIFS(Calendar!$F$2:$F$9997,Calendar!$B$2:$B$9997,D1662,Calendar!$C$2:$C$9997,C1662)*INDEX(ForeCalc!$B$37:$Y$274,MATCH(_xlfn.CONCAT(H1662," ",I1662),ForeCalc!$A$37:$A$274,0),MATCH(_xlfn.CONCAT(B1662," ",E1662),ForeCalc!$B$36:$Y$36,0))))*VLOOKUP(A1662,Calendar!$A$2:$H$9997,8,FALSE),0)</f>
        <v/>
      </c>
      <c r="G1662" s="29">
        <f>VLOOKUP(A1662,Calendar!$A$1:$H$9997,6,FALSE)-F1662</f>
        <v/>
      </c>
      <c r="H1662" s="19" t="n">
        <v>2</v>
      </c>
      <c r="I1662" s="57" t="n">
        <v>7</v>
      </c>
    </row>
    <row r="1663">
      <c r="A1663" s="62" t="n">
        <v>46678</v>
      </c>
      <c r="B1663" s="3" t="inlineStr">
        <is>
          <t>Week</t>
        </is>
      </c>
      <c r="C1663" s="19" t="n">
        <v>10</v>
      </c>
      <c r="D1663" s="19" t="n">
        <v>2027</v>
      </c>
      <c r="E1663" s="57" t="n">
        <v>2</v>
      </c>
      <c r="F1663" s="29">
        <f>ROUND(((SUMIFS(Calendar!$F$2:$F$9997,Calendar!$B$2:$B$9997,D1663,Calendar!$C$2:$C$9997,C1663)*INDEX(ForeCalc!$B$37:$Y$274,MATCH(_xlfn.CONCAT(H1663," ",I1663),ForeCalc!$A$37:$A$274,0),MATCH(_xlfn.CONCAT(B1663," ",E1663),ForeCalc!$B$36:$Y$36,0))))*VLOOKUP(A1663,Calendar!$A$2:$H$9997,8,FALSE),0)</f>
        <v/>
      </c>
      <c r="G1663" s="29">
        <f>VLOOKUP(A1663,Calendar!$A$1:$H$9997,6,FALSE)-F1663</f>
        <v/>
      </c>
      <c r="H1663" s="19" t="n">
        <v>2</v>
      </c>
      <c r="I1663" s="57" t="n">
        <v>7</v>
      </c>
    </row>
    <row r="1664">
      <c r="A1664" s="62" t="n">
        <v>46679</v>
      </c>
      <c r="B1664" s="3" t="inlineStr">
        <is>
          <t>Week</t>
        </is>
      </c>
      <c r="C1664" s="19" t="n">
        <v>10</v>
      </c>
      <c r="D1664" s="19" t="n">
        <v>2027</v>
      </c>
      <c r="E1664" s="57" t="n">
        <v>2</v>
      </c>
      <c r="F1664" s="29">
        <f>ROUND(((SUMIFS(Calendar!$F$2:$F$9997,Calendar!$B$2:$B$9997,D1664,Calendar!$C$2:$C$9997,C1664)*INDEX(ForeCalc!$B$37:$Y$274,MATCH(_xlfn.CONCAT(H1664," ",I1664),ForeCalc!$A$37:$A$274,0),MATCH(_xlfn.CONCAT(B1664," ",E1664),ForeCalc!$B$36:$Y$36,0))))*VLOOKUP(A1664,Calendar!$A$2:$H$9997,8,FALSE),0)</f>
        <v/>
      </c>
      <c r="G1664" s="29">
        <f>VLOOKUP(A1664,Calendar!$A$1:$H$9997,6,FALSE)-F1664</f>
        <v/>
      </c>
      <c r="H1664" s="19" t="n">
        <v>2</v>
      </c>
      <c r="I1664" s="57" t="n">
        <v>7</v>
      </c>
    </row>
    <row r="1665">
      <c r="A1665" s="62" t="n">
        <v>46680</v>
      </c>
      <c r="B1665" s="3" t="inlineStr">
        <is>
          <t>Week</t>
        </is>
      </c>
      <c r="C1665" s="19" t="n">
        <v>10</v>
      </c>
      <c r="D1665" s="19" t="n">
        <v>2027</v>
      </c>
      <c r="E1665" s="57" t="n">
        <v>2</v>
      </c>
      <c r="F1665" s="29">
        <f>ROUND(((SUMIFS(Calendar!$F$2:$F$9997,Calendar!$B$2:$B$9997,D1665,Calendar!$C$2:$C$9997,C1665)*INDEX(ForeCalc!$B$37:$Y$274,MATCH(_xlfn.CONCAT(H1665," ",I1665),ForeCalc!$A$37:$A$274,0),MATCH(_xlfn.CONCAT(B1665," ",E1665),ForeCalc!$B$36:$Y$36,0))))*VLOOKUP(A1665,Calendar!$A$2:$H$9997,8,FALSE),0)</f>
        <v/>
      </c>
      <c r="G1665" s="29">
        <f>VLOOKUP(A1665,Calendar!$A$1:$H$9997,6,FALSE)-F1665</f>
        <v/>
      </c>
      <c r="H1665" s="19" t="n">
        <v>2</v>
      </c>
      <c r="I1665" s="57" t="n">
        <v>7</v>
      </c>
    </row>
    <row r="1666">
      <c r="A1666" s="62" t="n">
        <v>46681</v>
      </c>
      <c r="B1666" s="3" t="inlineStr">
        <is>
          <t>Week</t>
        </is>
      </c>
      <c r="C1666" s="19" t="n">
        <v>10</v>
      </c>
      <c r="D1666" s="19" t="n">
        <v>2027</v>
      </c>
      <c r="E1666" s="57" t="n">
        <v>2</v>
      </c>
      <c r="F1666" s="29">
        <f>ROUND(((SUMIFS(Calendar!$F$2:$F$9997,Calendar!$B$2:$B$9997,D1666,Calendar!$C$2:$C$9997,C1666)*INDEX(ForeCalc!$B$37:$Y$274,MATCH(_xlfn.CONCAT(H1666," ",I1666),ForeCalc!$A$37:$A$274,0),MATCH(_xlfn.CONCAT(B1666," ",E1666),ForeCalc!$B$36:$Y$36,0))))*VLOOKUP(A1666,Calendar!$A$2:$H$9997,8,FALSE),0)</f>
        <v/>
      </c>
      <c r="G1666" s="29">
        <f>VLOOKUP(A1666,Calendar!$A$1:$H$9997,6,FALSE)-F1666</f>
        <v/>
      </c>
      <c r="H1666" s="19" t="n">
        <v>2</v>
      </c>
      <c r="I1666" s="57" t="n">
        <v>7</v>
      </c>
    </row>
    <row r="1667">
      <c r="A1667" s="62" t="n">
        <v>46682</v>
      </c>
      <c r="B1667" s="3" t="inlineStr">
        <is>
          <t>Week</t>
        </is>
      </c>
      <c r="C1667" s="19" t="n">
        <v>10</v>
      </c>
      <c r="D1667" s="19" t="n">
        <v>2027</v>
      </c>
      <c r="E1667" s="57" t="n">
        <v>2</v>
      </c>
      <c r="F1667" s="29">
        <f>ROUND(((SUMIFS(Calendar!$F$2:$F$9997,Calendar!$B$2:$B$9997,D1667,Calendar!$C$2:$C$9997,C1667)*INDEX(ForeCalc!$B$37:$Y$274,MATCH(_xlfn.CONCAT(H1667," ",I1667),ForeCalc!$A$37:$A$274,0),MATCH(_xlfn.CONCAT(B1667," ",E1667),ForeCalc!$B$36:$Y$36,0))))*VLOOKUP(A1667,Calendar!$A$2:$H$9997,8,FALSE),0)</f>
        <v/>
      </c>
      <c r="G1667" s="29">
        <f>VLOOKUP(A1667,Calendar!$A$1:$H$9997,6,FALSE)-F1667</f>
        <v/>
      </c>
      <c r="H1667" s="19" t="n">
        <v>2</v>
      </c>
      <c r="I1667" s="57" t="n">
        <v>7</v>
      </c>
    </row>
    <row r="1668">
      <c r="A1668" s="62" t="n">
        <v>46683</v>
      </c>
      <c r="B1668" s="3" t="inlineStr">
        <is>
          <t>Sat</t>
        </is>
      </c>
      <c r="C1668" s="19" t="n">
        <v>10</v>
      </c>
      <c r="D1668" s="19" t="n">
        <v>2027</v>
      </c>
      <c r="E1668" s="57" t="n">
        <v>2</v>
      </c>
      <c r="F1668" s="29">
        <f>ROUND(((SUMIFS(Calendar!$F$2:$F$9997,Calendar!$B$2:$B$9997,D1668,Calendar!$C$2:$C$9997,C1668)*INDEX(ForeCalc!$B$37:$Y$274,MATCH(_xlfn.CONCAT(H1668," ",I1668),ForeCalc!$A$37:$A$274,0),MATCH(_xlfn.CONCAT(B1668," ",E1668),ForeCalc!$B$36:$Y$36,0))))*VLOOKUP(A1668,Calendar!$A$2:$H$9997,8,FALSE),0)</f>
        <v/>
      </c>
      <c r="G1668" s="29">
        <f>VLOOKUP(A1668,Calendar!$A$1:$H$9997,6,FALSE)-F1668</f>
        <v/>
      </c>
      <c r="H1668" s="19" t="n">
        <v>2</v>
      </c>
      <c r="I1668" s="57" t="n">
        <v>7</v>
      </c>
    </row>
    <row r="1669">
      <c r="A1669" s="62" t="n">
        <v>46684</v>
      </c>
      <c r="B1669" s="3" t="inlineStr">
        <is>
          <t>Sun</t>
        </is>
      </c>
      <c r="C1669" s="19" t="n">
        <v>10</v>
      </c>
      <c r="D1669" s="19" t="n">
        <v>2027</v>
      </c>
      <c r="E1669" s="57" t="n">
        <v>2</v>
      </c>
      <c r="F1669" s="29">
        <f>ROUND(((SUMIFS(Calendar!$F$2:$F$9997,Calendar!$B$2:$B$9997,D1669,Calendar!$C$2:$C$9997,C1669)*INDEX(ForeCalc!$B$37:$Y$274,MATCH(_xlfn.CONCAT(H1669," ",I1669),ForeCalc!$A$37:$A$274,0),MATCH(_xlfn.CONCAT(B1669," ",E1669),ForeCalc!$B$36:$Y$36,0))))*VLOOKUP(A1669,Calendar!$A$2:$H$9997,8,FALSE),0)</f>
        <v/>
      </c>
      <c r="G1669" s="29">
        <f>VLOOKUP(A1669,Calendar!$A$1:$H$9997,6,FALSE)-F1669</f>
        <v/>
      </c>
      <c r="H1669" s="19" t="n">
        <v>2</v>
      </c>
      <c r="I1669" s="57" t="n">
        <v>7</v>
      </c>
    </row>
    <row r="1670">
      <c r="A1670" s="62" t="n">
        <v>46685</v>
      </c>
      <c r="B1670" s="3" t="inlineStr">
        <is>
          <t>Week</t>
        </is>
      </c>
      <c r="C1670" s="19" t="n">
        <v>10</v>
      </c>
      <c r="D1670" s="19" t="n">
        <v>2027</v>
      </c>
      <c r="E1670" s="57" t="n">
        <v>2</v>
      </c>
      <c r="F1670" s="29">
        <f>ROUND(((SUMIFS(Calendar!$F$2:$F$9997,Calendar!$B$2:$B$9997,D1670,Calendar!$C$2:$C$9997,C1670)*INDEX(ForeCalc!$B$37:$Y$274,MATCH(_xlfn.CONCAT(H1670," ",I1670),ForeCalc!$A$37:$A$274,0),MATCH(_xlfn.CONCAT(B1670," ",E1670),ForeCalc!$B$36:$Y$36,0))))*VLOOKUP(A1670,Calendar!$A$2:$H$9997,8,FALSE),0)</f>
        <v/>
      </c>
      <c r="G1670" s="29">
        <f>VLOOKUP(A1670,Calendar!$A$1:$H$9997,6,FALSE)-F1670</f>
        <v/>
      </c>
      <c r="H1670" s="19" t="n">
        <v>2</v>
      </c>
      <c r="I1670" s="57" t="n">
        <v>7</v>
      </c>
    </row>
    <row r="1671">
      <c r="A1671" s="62" t="n">
        <v>46686</v>
      </c>
      <c r="B1671" s="3" t="inlineStr">
        <is>
          <t>Week</t>
        </is>
      </c>
      <c r="C1671" s="19" t="n">
        <v>10</v>
      </c>
      <c r="D1671" s="19" t="n">
        <v>2027</v>
      </c>
      <c r="E1671" s="57" t="n">
        <v>2</v>
      </c>
      <c r="F1671" s="29">
        <f>ROUND(((SUMIFS(Calendar!$F$2:$F$9997,Calendar!$B$2:$B$9997,D1671,Calendar!$C$2:$C$9997,C1671)*INDEX(ForeCalc!$B$37:$Y$274,MATCH(_xlfn.CONCAT(H1671," ",I1671),ForeCalc!$A$37:$A$274,0),MATCH(_xlfn.CONCAT(B1671," ",E1671),ForeCalc!$B$36:$Y$36,0))))*VLOOKUP(A1671,Calendar!$A$2:$H$9997,8,FALSE),0)</f>
        <v/>
      </c>
      <c r="G1671" s="29">
        <f>VLOOKUP(A1671,Calendar!$A$1:$H$9997,6,FALSE)-F1671</f>
        <v/>
      </c>
      <c r="H1671" s="19" t="n">
        <v>2</v>
      </c>
      <c r="I1671" s="57" t="n">
        <v>7</v>
      </c>
    </row>
    <row r="1672">
      <c r="A1672" s="62" t="n">
        <v>46687</v>
      </c>
      <c r="B1672" s="3" t="inlineStr">
        <is>
          <t>Week</t>
        </is>
      </c>
      <c r="C1672" s="19" t="n">
        <v>10</v>
      </c>
      <c r="D1672" s="19" t="n">
        <v>2027</v>
      </c>
      <c r="E1672" s="57" t="n">
        <v>2</v>
      </c>
      <c r="F1672" s="29">
        <f>ROUND(((SUMIFS(Calendar!$F$2:$F$9997,Calendar!$B$2:$B$9997,D1672,Calendar!$C$2:$C$9997,C1672)*INDEX(ForeCalc!$B$37:$Y$274,MATCH(_xlfn.CONCAT(H1672," ",I1672),ForeCalc!$A$37:$A$274,0),MATCH(_xlfn.CONCAT(B1672," ",E1672),ForeCalc!$B$36:$Y$36,0))))*VLOOKUP(A1672,Calendar!$A$2:$H$9997,8,FALSE),0)</f>
        <v/>
      </c>
      <c r="G1672" s="29">
        <f>VLOOKUP(A1672,Calendar!$A$1:$H$9997,6,FALSE)-F1672</f>
        <v/>
      </c>
      <c r="H1672" s="19" t="n">
        <v>2</v>
      </c>
      <c r="I1672" s="57" t="n">
        <v>7</v>
      </c>
    </row>
    <row r="1673">
      <c r="A1673" s="62" t="n">
        <v>46688</v>
      </c>
      <c r="B1673" s="3" t="inlineStr">
        <is>
          <t>Week</t>
        </is>
      </c>
      <c r="C1673" s="19" t="n">
        <v>10</v>
      </c>
      <c r="D1673" s="19" t="n">
        <v>2027</v>
      </c>
      <c r="E1673" s="57" t="n">
        <v>2</v>
      </c>
      <c r="F1673" s="29">
        <f>ROUND(((SUMIFS(Calendar!$F$2:$F$9997,Calendar!$B$2:$B$9997,D1673,Calendar!$C$2:$C$9997,C1673)*INDEX(ForeCalc!$B$37:$Y$274,MATCH(_xlfn.CONCAT(H1673," ",I1673),ForeCalc!$A$37:$A$274,0),MATCH(_xlfn.CONCAT(B1673," ",E1673),ForeCalc!$B$36:$Y$36,0))))*VLOOKUP(A1673,Calendar!$A$2:$H$9997,8,FALSE),0)</f>
        <v/>
      </c>
      <c r="G1673" s="29">
        <f>VLOOKUP(A1673,Calendar!$A$1:$H$9997,6,FALSE)-F1673</f>
        <v/>
      </c>
      <c r="H1673" s="19" t="n">
        <v>2</v>
      </c>
      <c r="I1673" s="57" t="n">
        <v>7</v>
      </c>
    </row>
    <row r="1674">
      <c r="A1674" s="62" t="n">
        <v>46689</v>
      </c>
      <c r="B1674" s="3" t="inlineStr">
        <is>
          <t>Week</t>
        </is>
      </c>
      <c r="C1674" s="19" t="n">
        <v>10</v>
      </c>
      <c r="D1674" s="19" t="n">
        <v>2027</v>
      </c>
      <c r="E1674" s="57" t="n">
        <v>2</v>
      </c>
      <c r="F1674" s="29">
        <f>ROUND(((SUMIFS(Calendar!$F$2:$F$9997,Calendar!$B$2:$B$9997,D1674,Calendar!$C$2:$C$9997,C1674)*INDEX(ForeCalc!$B$37:$Y$274,MATCH(_xlfn.CONCAT(H1674," ",I1674),ForeCalc!$A$37:$A$274,0),MATCH(_xlfn.CONCAT(B1674," ",E1674),ForeCalc!$B$36:$Y$36,0))))*VLOOKUP(A1674,Calendar!$A$2:$H$9997,8,FALSE),0)</f>
        <v/>
      </c>
      <c r="G1674" s="29">
        <f>VLOOKUP(A1674,Calendar!$A$1:$H$9997,6,FALSE)-F1674</f>
        <v/>
      </c>
      <c r="H1674" s="19" t="n">
        <v>2</v>
      </c>
      <c r="I1674" s="57" t="n">
        <v>7</v>
      </c>
    </row>
    <row r="1675">
      <c r="A1675" s="62" t="n">
        <v>46690</v>
      </c>
      <c r="B1675" s="3" t="inlineStr">
        <is>
          <t>Sat</t>
        </is>
      </c>
      <c r="C1675" s="19" t="n">
        <v>10</v>
      </c>
      <c r="D1675" s="19" t="n">
        <v>2027</v>
      </c>
      <c r="E1675" s="57" t="n">
        <v>2</v>
      </c>
      <c r="F1675" s="29">
        <f>ROUND(((SUMIFS(Calendar!$F$2:$F$9997,Calendar!$B$2:$B$9997,D1675,Calendar!$C$2:$C$9997,C1675)*INDEX(ForeCalc!$B$37:$Y$274,MATCH(_xlfn.CONCAT(H1675," ",I1675),ForeCalc!$A$37:$A$274,0),MATCH(_xlfn.CONCAT(B1675," ",E1675),ForeCalc!$B$36:$Y$36,0))))*VLOOKUP(A1675,Calendar!$A$2:$H$9997,8,FALSE),0)</f>
        <v/>
      </c>
      <c r="G1675" s="29">
        <f>VLOOKUP(A1675,Calendar!$A$1:$H$9997,6,FALSE)-F1675</f>
        <v/>
      </c>
      <c r="H1675" s="19" t="n">
        <v>2</v>
      </c>
      <c r="I1675" s="57" t="n">
        <v>7</v>
      </c>
    </row>
    <row r="1676">
      <c r="A1676" s="62" t="n">
        <v>46691</v>
      </c>
      <c r="B1676" s="3" t="inlineStr">
        <is>
          <t>Sun</t>
        </is>
      </c>
      <c r="C1676" s="19" t="n">
        <v>10</v>
      </c>
      <c r="D1676" s="19" t="n">
        <v>2027</v>
      </c>
      <c r="E1676" s="57" t="n">
        <v>2</v>
      </c>
      <c r="F1676" s="29">
        <f>ROUND(((SUMIFS(Calendar!$F$2:$F$9997,Calendar!$B$2:$B$9997,D1676,Calendar!$C$2:$C$9997,C1676)*INDEX(ForeCalc!$B$37:$Y$274,MATCH(_xlfn.CONCAT(H1676," ",I1676),ForeCalc!$A$37:$A$274,0),MATCH(_xlfn.CONCAT(B1676," ",E1676),ForeCalc!$B$36:$Y$36,0))))*VLOOKUP(A1676,Calendar!$A$2:$H$9997,8,FALSE),0)</f>
        <v/>
      </c>
      <c r="G1676" s="29">
        <f>VLOOKUP(A1676,Calendar!$A$1:$H$9997,6,FALSE)-F1676</f>
        <v/>
      </c>
      <c r="H1676" s="19" t="n">
        <v>2</v>
      </c>
      <c r="I1676" s="57" t="n">
        <v>7</v>
      </c>
    </row>
    <row r="1677">
      <c r="A1677" s="62" t="n">
        <v>46692</v>
      </c>
      <c r="B1677" s="3" t="inlineStr">
        <is>
          <t>Week</t>
        </is>
      </c>
      <c r="C1677" s="19" t="n">
        <v>11</v>
      </c>
      <c r="D1677" s="19" t="n">
        <v>2027</v>
      </c>
      <c r="E1677" s="57" t="n">
        <v>2</v>
      </c>
      <c r="F1677" s="29">
        <f>ROUND(((SUMIFS(Calendar!$F$2:$F$9997,Calendar!$B$2:$B$9997,D1677,Calendar!$C$2:$C$9997,C1677)*INDEX(ForeCalc!$B$37:$Y$274,MATCH(_xlfn.CONCAT(H1677," ",I1677),ForeCalc!$A$37:$A$274,0),MATCH(_xlfn.CONCAT(B1677," ",E1677),ForeCalc!$B$36:$Y$36,0))))*VLOOKUP(A1677,Calendar!$A$2:$H$9997,8,FALSE),0)</f>
        <v/>
      </c>
      <c r="G1677" s="29">
        <f>VLOOKUP(A1677,Calendar!$A$1:$H$9997,6,FALSE)-F1677</f>
        <v/>
      </c>
      <c r="H1677" s="19" t="n">
        <v>2</v>
      </c>
      <c r="I1677" s="57" t="n">
        <v>8</v>
      </c>
    </row>
    <row r="1678">
      <c r="A1678" s="62" t="n">
        <v>46693</v>
      </c>
      <c r="B1678" s="3" t="inlineStr">
        <is>
          <t>Week</t>
        </is>
      </c>
      <c r="C1678" s="19" t="n">
        <v>11</v>
      </c>
      <c r="D1678" s="19" t="n">
        <v>2027</v>
      </c>
      <c r="E1678" s="57" t="n">
        <v>2</v>
      </c>
      <c r="F1678" s="29">
        <f>ROUND(((SUMIFS(Calendar!$F$2:$F$9997,Calendar!$B$2:$B$9997,D1678,Calendar!$C$2:$C$9997,C1678)*INDEX(ForeCalc!$B$37:$Y$274,MATCH(_xlfn.CONCAT(H1678," ",I1678),ForeCalc!$A$37:$A$274,0),MATCH(_xlfn.CONCAT(B1678," ",E1678),ForeCalc!$B$36:$Y$36,0))))*VLOOKUP(A1678,Calendar!$A$2:$H$9997,8,FALSE),0)</f>
        <v/>
      </c>
      <c r="G1678" s="29">
        <f>VLOOKUP(A1678,Calendar!$A$1:$H$9997,6,FALSE)-F1678</f>
        <v/>
      </c>
      <c r="H1678" s="19" t="n">
        <v>2</v>
      </c>
      <c r="I1678" s="57" t="n">
        <v>8</v>
      </c>
    </row>
    <row r="1679">
      <c r="A1679" s="62" t="n">
        <v>46694</v>
      </c>
      <c r="B1679" s="3" t="inlineStr">
        <is>
          <t>Week</t>
        </is>
      </c>
      <c r="C1679" s="19" t="n">
        <v>11</v>
      </c>
      <c r="D1679" s="19" t="n">
        <v>2027</v>
      </c>
      <c r="E1679" s="57" t="n">
        <v>2</v>
      </c>
      <c r="F1679" s="29">
        <f>ROUND(((SUMIFS(Calendar!$F$2:$F$9997,Calendar!$B$2:$B$9997,D1679,Calendar!$C$2:$C$9997,C1679)*INDEX(ForeCalc!$B$37:$Y$274,MATCH(_xlfn.CONCAT(H1679," ",I1679),ForeCalc!$A$37:$A$274,0),MATCH(_xlfn.CONCAT(B1679," ",E1679),ForeCalc!$B$36:$Y$36,0))))*VLOOKUP(A1679,Calendar!$A$2:$H$9997,8,FALSE),0)</f>
        <v/>
      </c>
      <c r="G1679" s="29">
        <f>VLOOKUP(A1679,Calendar!$A$1:$H$9997,6,FALSE)-F1679</f>
        <v/>
      </c>
      <c r="H1679" s="19" t="n">
        <v>2</v>
      </c>
      <c r="I1679" s="57" t="n">
        <v>8</v>
      </c>
    </row>
    <row r="1680">
      <c r="A1680" s="62" t="n">
        <v>46695</v>
      </c>
      <c r="B1680" s="3" t="inlineStr">
        <is>
          <t>Week</t>
        </is>
      </c>
      <c r="C1680" s="19" t="n">
        <v>11</v>
      </c>
      <c r="D1680" s="19" t="n">
        <v>2027</v>
      </c>
      <c r="E1680" s="57" t="n">
        <v>2</v>
      </c>
      <c r="F1680" s="29">
        <f>ROUND(((SUMIFS(Calendar!$F$2:$F$9997,Calendar!$B$2:$B$9997,D1680,Calendar!$C$2:$C$9997,C1680)*INDEX(ForeCalc!$B$37:$Y$274,MATCH(_xlfn.CONCAT(H1680," ",I1680),ForeCalc!$A$37:$A$274,0),MATCH(_xlfn.CONCAT(B1680," ",E1680),ForeCalc!$B$36:$Y$36,0))))*VLOOKUP(A1680,Calendar!$A$2:$H$9997,8,FALSE),0)</f>
        <v/>
      </c>
      <c r="G1680" s="29">
        <f>VLOOKUP(A1680,Calendar!$A$1:$H$9997,6,FALSE)-F1680</f>
        <v/>
      </c>
      <c r="H1680" s="19" t="n">
        <v>2</v>
      </c>
      <c r="I1680" s="57" t="n">
        <v>8</v>
      </c>
    </row>
    <row r="1681">
      <c r="A1681" s="62" t="n">
        <v>46696</v>
      </c>
      <c r="B1681" s="3" t="inlineStr">
        <is>
          <t>Week</t>
        </is>
      </c>
      <c r="C1681" s="19" t="n">
        <v>11</v>
      </c>
      <c r="D1681" s="19" t="n">
        <v>2027</v>
      </c>
      <c r="E1681" s="57" t="n">
        <v>2</v>
      </c>
      <c r="F1681" s="29">
        <f>ROUND(((SUMIFS(Calendar!$F$2:$F$9997,Calendar!$B$2:$B$9997,D1681,Calendar!$C$2:$C$9997,C1681)*INDEX(ForeCalc!$B$37:$Y$274,MATCH(_xlfn.CONCAT(H1681," ",I1681),ForeCalc!$A$37:$A$274,0),MATCH(_xlfn.CONCAT(B1681," ",E1681),ForeCalc!$B$36:$Y$36,0))))*VLOOKUP(A1681,Calendar!$A$2:$H$9997,8,FALSE),0)</f>
        <v/>
      </c>
      <c r="G1681" s="29">
        <f>VLOOKUP(A1681,Calendar!$A$1:$H$9997,6,FALSE)-F1681</f>
        <v/>
      </c>
      <c r="H1681" s="19" t="n">
        <v>2</v>
      </c>
      <c r="I1681" s="57" t="n">
        <v>8</v>
      </c>
    </row>
    <row r="1682">
      <c r="A1682" s="62" t="n">
        <v>46697</v>
      </c>
      <c r="B1682" s="3" t="inlineStr">
        <is>
          <t>Sat</t>
        </is>
      </c>
      <c r="C1682" s="19" t="n">
        <v>11</v>
      </c>
      <c r="D1682" s="19" t="n">
        <v>2027</v>
      </c>
      <c r="E1682" s="57" t="n">
        <v>2</v>
      </c>
      <c r="F1682" s="29">
        <f>ROUND(((SUMIFS(Calendar!$F$2:$F$9997,Calendar!$B$2:$B$9997,D1682,Calendar!$C$2:$C$9997,C1682)*INDEX(ForeCalc!$B$37:$Y$274,MATCH(_xlfn.CONCAT(H1682," ",I1682),ForeCalc!$A$37:$A$274,0),MATCH(_xlfn.CONCAT(B1682," ",E1682),ForeCalc!$B$36:$Y$36,0))))*VLOOKUP(A1682,Calendar!$A$2:$H$9997,8,FALSE),0)</f>
        <v/>
      </c>
      <c r="G1682" s="29">
        <f>VLOOKUP(A1682,Calendar!$A$1:$H$9997,6,FALSE)-F1682</f>
        <v/>
      </c>
      <c r="H1682" s="19" t="n">
        <v>2</v>
      </c>
      <c r="I1682" s="57" t="n">
        <v>8</v>
      </c>
    </row>
    <row r="1683">
      <c r="A1683" s="62" t="n">
        <v>46698</v>
      </c>
      <c r="B1683" s="3" t="inlineStr">
        <is>
          <t>Sun</t>
        </is>
      </c>
      <c r="C1683" s="19" t="n">
        <v>11</v>
      </c>
      <c r="D1683" s="19" t="n">
        <v>2027</v>
      </c>
      <c r="E1683" s="57" t="n">
        <v>2</v>
      </c>
      <c r="F1683" s="29">
        <f>ROUND(((SUMIFS(Calendar!$F$2:$F$9997,Calendar!$B$2:$B$9997,D1683,Calendar!$C$2:$C$9997,C1683)*INDEX(ForeCalc!$B$37:$Y$274,MATCH(_xlfn.CONCAT(H1683," ",I1683),ForeCalc!$A$37:$A$274,0),MATCH(_xlfn.CONCAT(B1683," ",E1683),ForeCalc!$B$36:$Y$36,0))))*VLOOKUP(A1683,Calendar!$A$2:$H$9997,8,FALSE),0)</f>
        <v/>
      </c>
      <c r="G1683" s="29">
        <f>VLOOKUP(A1683,Calendar!$A$1:$H$9997,6,FALSE)-F1683</f>
        <v/>
      </c>
      <c r="H1683" s="19" t="n">
        <v>2</v>
      </c>
      <c r="I1683" s="57" t="n">
        <v>8</v>
      </c>
    </row>
    <row r="1684">
      <c r="A1684" s="62" t="n">
        <v>46699</v>
      </c>
      <c r="B1684" s="3" t="inlineStr">
        <is>
          <t>Week</t>
        </is>
      </c>
      <c r="C1684" s="19" t="n">
        <v>11</v>
      </c>
      <c r="D1684" s="19" t="n">
        <v>2027</v>
      </c>
      <c r="E1684" s="57" t="n">
        <v>2</v>
      </c>
      <c r="F1684" s="29">
        <f>ROUND(((SUMIFS(Calendar!$F$2:$F$9997,Calendar!$B$2:$B$9997,D1684,Calendar!$C$2:$C$9997,C1684)*INDEX(ForeCalc!$B$37:$Y$274,MATCH(_xlfn.CONCAT(H1684," ",I1684),ForeCalc!$A$37:$A$274,0),MATCH(_xlfn.CONCAT(B1684," ",E1684),ForeCalc!$B$36:$Y$36,0))))*VLOOKUP(A1684,Calendar!$A$2:$H$9997,8,FALSE),0)</f>
        <v/>
      </c>
      <c r="G1684" s="29">
        <f>VLOOKUP(A1684,Calendar!$A$1:$H$9997,6,FALSE)-F1684</f>
        <v/>
      </c>
      <c r="H1684" s="19" t="n">
        <v>2</v>
      </c>
      <c r="I1684" s="57" t="n">
        <v>8</v>
      </c>
    </row>
    <row r="1685">
      <c r="A1685" s="62" t="n">
        <v>46700</v>
      </c>
      <c r="B1685" s="3" t="inlineStr">
        <is>
          <t>Week</t>
        </is>
      </c>
      <c r="C1685" s="19" t="n">
        <v>11</v>
      </c>
      <c r="D1685" s="19" t="n">
        <v>2027</v>
      </c>
      <c r="E1685" s="57" t="n">
        <v>2</v>
      </c>
      <c r="F1685" s="29">
        <f>ROUND(((SUMIFS(Calendar!$F$2:$F$9997,Calendar!$B$2:$B$9997,D1685,Calendar!$C$2:$C$9997,C1685)*INDEX(ForeCalc!$B$37:$Y$274,MATCH(_xlfn.CONCAT(H1685," ",I1685),ForeCalc!$A$37:$A$274,0),MATCH(_xlfn.CONCAT(B1685," ",E1685),ForeCalc!$B$36:$Y$36,0))))*VLOOKUP(A1685,Calendar!$A$2:$H$9997,8,FALSE),0)</f>
        <v/>
      </c>
      <c r="G1685" s="29">
        <f>VLOOKUP(A1685,Calendar!$A$1:$H$9997,6,FALSE)-F1685</f>
        <v/>
      </c>
      <c r="H1685" s="19" t="n">
        <v>2</v>
      </c>
      <c r="I1685" s="57" t="n">
        <v>8</v>
      </c>
    </row>
    <row r="1686">
      <c r="A1686" s="62" t="n">
        <v>46701</v>
      </c>
      <c r="B1686" s="3" t="inlineStr">
        <is>
          <t>Week</t>
        </is>
      </c>
      <c r="C1686" s="19" t="n">
        <v>11</v>
      </c>
      <c r="D1686" s="19" t="n">
        <v>2027</v>
      </c>
      <c r="E1686" s="57" t="n">
        <v>2</v>
      </c>
      <c r="F1686" s="29">
        <f>ROUND(((SUMIFS(Calendar!$F$2:$F$9997,Calendar!$B$2:$B$9997,D1686,Calendar!$C$2:$C$9997,C1686)*INDEX(ForeCalc!$B$37:$Y$274,MATCH(_xlfn.CONCAT(H1686," ",I1686),ForeCalc!$A$37:$A$274,0),MATCH(_xlfn.CONCAT(B1686," ",E1686),ForeCalc!$B$36:$Y$36,0))))*VLOOKUP(A1686,Calendar!$A$2:$H$9997,8,FALSE),0)</f>
        <v/>
      </c>
      <c r="G1686" s="29">
        <f>VLOOKUP(A1686,Calendar!$A$1:$H$9997,6,FALSE)-F1686</f>
        <v/>
      </c>
      <c r="H1686" s="19" t="n">
        <v>2</v>
      </c>
      <c r="I1686" s="57" t="n">
        <v>8</v>
      </c>
    </row>
    <row r="1687">
      <c r="A1687" s="62" t="n">
        <v>46702</v>
      </c>
      <c r="B1687" s="3" t="inlineStr">
        <is>
          <t>Week</t>
        </is>
      </c>
      <c r="C1687" s="19" t="n">
        <v>11</v>
      </c>
      <c r="D1687" s="19" t="n">
        <v>2027</v>
      </c>
      <c r="E1687" s="57" t="n">
        <v>2</v>
      </c>
      <c r="F1687" s="29">
        <f>ROUND(((SUMIFS(Calendar!$F$2:$F$9997,Calendar!$B$2:$B$9997,D1687,Calendar!$C$2:$C$9997,C1687)*INDEX(ForeCalc!$B$37:$Y$274,MATCH(_xlfn.CONCAT(H1687," ",I1687),ForeCalc!$A$37:$A$274,0),MATCH(_xlfn.CONCAT(B1687," ",E1687),ForeCalc!$B$36:$Y$36,0))))*VLOOKUP(A1687,Calendar!$A$2:$H$9997,8,FALSE),0)</f>
        <v/>
      </c>
      <c r="G1687" s="29">
        <f>VLOOKUP(A1687,Calendar!$A$1:$H$9997,6,FALSE)-F1687</f>
        <v/>
      </c>
      <c r="H1687" s="19" t="n">
        <v>2</v>
      </c>
      <c r="I1687" s="57" t="n">
        <v>8</v>
      </c>
    </row>
    <row r="1688">
      <c r="A1688" s="62" t="n">
        <v>46703</v>
      </c>
      <c r="B1688" s="3" t="inlineStr">
        <is>
          <t>Week</t>
        </is>
      </c>
      <c r="C1688" s="19" t="n">
        <v>11</v>
      </c>
      <c r="D1688" s="19" t="n">
        <v>2027</v>
      </c>
      <c r="E1688" s="57" t="n">
        <v>2</v>
      </c>
      <c r="F1688" s="29">
        <f>ROUND(((SUMIFS(Calendar!$F$2:$F$9997,Calendar!$B$2:$B$9997,D1688,Calendar!$C$2:$C$9997,C1688)*INDEX(ForeCalc!$B$37:$Y$274,MATCH(_xlfn.CONCAT(H1688," ",I1688),ForeCalc!$A$37:$A$274,0),MATCH(_xlfn.CONCAT(B1688," ",E1688),ForeCalc!$B$36:$Y$36,0))))*VLOOKUP(A1688,Calendar!$A$2:$H$9997,8,FALSE),0)</f>
        <v/>
      </c>
      <c r="G1688" s="29">
        <f>VLOOKUP(A1688,Calendar!$A$1:$H$9997,6,FALSE)-F1688</f>
        <v/>
      </c>
      <c r="H1688" s="19" t="n">
        <v>2</v>
      </c>
      <c r="I1688" s="57" t="n">
        <v>8</v>
      </c>
    </row>
    <row r="1689">
      <c r="A1689" s="62" t="n">
        <v>46704</v>
      </c>
      <c r="B1689" s="3" t="inlineStr">
        <is>
          <t>Sat</t>
        </is>
      </c>
      <c r="C1689" s="19" t="n">
        <v>11</v>
      </c>
      <c r="D1689" s="19" t="n">
        <v>2027</v>
      </c>
      <c r="E1689" s="57" t="n">
        <v>2</v>
      </c>
      <c r="F1689" s="29">
        <f>ROUND(((SUMIFS(Calendar!$F$2:$F$9997,Calendar!$B$2:$B$9997,D1689,Calendar!$C$2:$C$9997,C1689)*INDEX(ForeCalc!$B$37:$Y$274,MATCH(_xlfn.CONCAT(H1689," ",I1689),ForeCalc!$A$37:$A$274,0),MATCH(_xlfn.CONCAT(B1689," ",E1689),ForeCalc!$B$36:$Y$36,0))))*VLOOKUP(A1689,Calendar!$A$2:$H$9997,8,FALSE),0)</f>
        <v/>
      </c>
      <c r="G1689" s="29">
        <f>VLOOKUP(A1689,Calendar!$A$1:$H$9997,6,FALSE)-F1689</f>
        <v/>
      </c>
      <c r="H1689" s="19" t="n">
        <v>2</v>
      </c>
      <c r="I1689" s="57" t="n">
        <v>8</v>
      </c>
    </row>
    <row r="1690">
      <c r="A1690" s="62" t="n">
        <v>46705</v>
      </c>
      <c r="B1690" s="3" t="inlineStr">
        <is>
          <t>Sun</t>
        </is>
      </c>
      <c r="C1690" s="19" t="n">
        <v>11</v>
      </c>
      <c r="D1690" s="19" t="n">
        <v>2027</v>
      </c>
      <c r="E1690" s="57" t="n">
        <v>2</v>
      </c>
      <c r="F1690" s="29">
        <f>ROUND(((SUMIFS(Calendar!$F$2:$F$9997,Calendar!$B$2:$B$9997,D1690,Calendar!$C$2:$C$9997,C1690)*INDEX(ForeCalc!$B$37:$Y$274,MATCH(_xlfn.CONCAT(H1690," ",I1690),ForeCalc!$A$37:$A$274,0),MATCH(_xlfn.CONCAT(B1690," ",E1690),ForeCalc!$B$36:$Y$36,0))))*VLOOKUP(A1690,Calendar!$A$2:$H$9997,8,FALSE),0)</f>
        <v/>
      </c>
      <c r="G1690" s="29">
        <f>VLOOKUP(A1690,Calendar!$A$1:$H$9997,6,FALSE)-F1690</f>
        <v/>
      </c>
      <c r="H1690" s="19" t="n">
        <v>2</v>
      </c>
      <c r="I1690" s="57" t="n">
        <v>8</v>
      </c>
    </row>
    <row r="1691">
      <c r="A1691" s="62" t="n">
        <v>46706</v>
      </c>
      <c r="B1691" s="3" t="inlineStr">
        <is>
          <t>Week</t>
        </is>
      </c>
      <c r="C1691" s="19" t="n">
        <v>11</v>
      </c>
      <c r="D1691" s="19" t="n">
        <v>2027</v>
      </c>
      <c r="E1691" s="57" t="n">
        <v>2</v>
      </c>
      <c r="F1691" s="29">
        <f>ROUND(((SUMIFS(Calendar!$F$2:$F$9997,Calendar!$B$2:$B$9997,D1691,Calendar!$C$2:$C$9997,C1691)*INDEX(ForeCalc!$B$37:$Y$274,MATCH(_xlfn.CONCAT(H1691," ",I1691),ForeCalc!$A$37:$A$274,0),MATCH(_xlfn.CONCAT(B1691," ",E1691),ForeCalc!$B$36:$Y$36,0))))*VLOOKUP(A1691,Calendar!$A$2:$H$9997,8,FALSE),0)</f>
        <v/>
      </c>
      <c r="G1691" s="29">
        <f>VLOOKUP(A1691,Calendar!$A$1:$H$9997,6,FALSE)-F1691</f>
        <v/>
      </c>
      <c r="H1691" s="19" t="n">
        <v>2</v>
      </c>
      <c r="I1691" s="57" t="n">
        <v>8</v>
      </c>
    </row>
    <row r="1692">
      <c r="A1692" s="62" t="n">
        <v>46707</v>
      </c>
      <c r="B1692" s="3" t="inlineStr">
        <is>
          <t>Week</t>
        </is>
      </c>
      <c r="C1692" s="19" t="n">
        <v>11</v>
      </c>
      <c r="D1692" s="19" t="n">
        <v>2027</v>
      </c>
      <c r="E1692" s="57" t="n">
        <v>2</v>
      </c>
      <c r="F1692" s="29">
        <f>ROUND(((SUMIFS(Calendar!$F$2:$F$9997,Calendar!$B$2:$B$9997,D1692,Calendar!$C$2:$C$9997,C1692)*INDEX(ForeCalc!$B$37:$Y$274,MATCH(_xlfn.CONCAT(H1692," ",I1692),ForeCalc!$A$37:$A$274,0),MATCH(_xlfn.CONCAT(B1692," ",E1692),ForeCalc!$B$36:$Y$36,0))))*VLOOKUP(A1692,Calendar!$A$2:$H$9997,8,FALSE),0)</f>
        <v/>
      </c>
      <c r="G1692" s="29">
        <f>VLOOKUP(A1692,Calendar!$A$1:$H$9997,6,FALSE)-F1692</f>
        <v/>
      </c>
      <c r="H1692" s="19" t="n">
        <v>2</v>
      </c>
      <c r="I1692" s="57" t="n">
        <v>8</v>
      </c>
    </row>
    <row r="1693">
      <c r="A1693" s="62" t="n">
        <v>46708</v>
      </c>
      <c r="B1693" s="3" t="inlineStr">
        <is>
          <t>Week</t>
        </is>
      </c>
      <c r="C1693" s="19" t="n">
        <v>11</v>
      </c>
      <c r="D1693" s="19" t="n">
        <v>2027</v>
      </c>
      <c r="E1693" s="57" t="n">
        <v>2</v>
      </c>
      <c r="F1693" s="29">
        <f>ROUND(((SUMIFS(Calendar!$F$2:$F$9997,Calendar!$B$2:$B$9997,D1693,Calendar!$C$2:$C$9997,C1693)*INDEX(ForeCalc!$B$37:$Y$274,MATCH(_xlfn.CONCAT(H1693," ",I1693),ForeCalc!$A$37:$A$274,0),MATCH(_xlfn.CONCAT(B1693," ",E1693),ForeCalc!$B$36:$Y$36,0))))*VLOOKUP(A1693,Calendar!$A$2:$H$9997,8,FALSE),0)</f>
        <v/>
      </c>
      <c r="G1693" s="29">
        <f>VLOOKUP(A1693,Calendar!$A$1:$H$9997,6,FALSE)-F1693</f>
        <v/>
      </c>
      <c r="H1693" s="19" t="n">
        <v>2</v>
      </c>
      <c r="I1693" s="57" t="n">
        <v>8</v>
      </c>
    </row>
    <row r="1694">
      <c r="A1694" s="62" t="n">
        <v>46709</v>
      </c>
      <c r="B1694" s="3" t="inlineStr">
        <is>
          <t>Week</t>
        </is>
      </c>
      <c r="C1694" s="19" t="n">
        <v>11</v>
      </c>
      <c r="D1694" s="19" t="n">
        <v>2027</v>
      </c>
      <c r="E1694" s="57" t="n">
        <v>2</v>
      </c>
      <c r="F1694" s="29">
        <f>ROUND(((SUMIFS(Calendar!$F$2:$F$9997,Calendar!$B$2:$B$9997,D1694,Calendar!$C$2:$C$9997,C1694)*INDEX(ForeCalc!$B$37:$Y$274,MATCH(_xlfn.CONCAT(H1694," ",I1694),ForeCalc!$A$37:$A$274,0),MATCH(_xlfn.CONCAT(B1694," ",E1694),ForeCalc!$B$36:$Y$36,0))))*VLOOKUP(A1694,Calendar!$A$2:$H$9997,8,FALSE),0)</f>
        <v/>
      </c>
      <c r="G1694" s="29">
        <f>VLOOKUP(A1694,Calendar!$A$1:$H$9997,6,FALSE)-F1694</f>
        <v/>
      </c>
      <c r="H1694" s="19" t="n">
        <v>2</v>
      </c>
      <c r="I1694" s="57" t="n">
        <v>8</v>
      </c>
    </row>
    <row r="1695">
      <c r="A1695" s="62" t="n">
        <v>46710</v>
      </c>
      <c r="B1695" s="3" t="inlineStr">
        <is>
          <t>Week</t>
        </is>
      </c>
      <c r="C1695" s="19" t="n">
        <v>11</v>
      </c>
      <c r="D1695" s="19" t="n">
        <v>2027</v>
      </c>
      <c r="E1695" s="57" t="n">
        <v>2</v>
      </c>
      <c r="F1695" s="29">
        <f>ROUND(((SUMIFS(Calendar!$F$2:$F$9997,Calendar!$B$2:$B$9997,D1695,Calendar!$C$2:$C$9997,C1695)*INDEX(ForeCalc!$B$37:$Y$274,MATCH(_xlfn.CONCAT(H1695," ",I1695),ForeCalc!$A$37:$A$274,0),MATCH(_xlfn.CONCAT(B1695," ",E1695),ForeCalc!$B$36:$Y$36,0))))*VLOOKUP(A1695,Calendar!$A$2:$H$9997,8,FALSE),0)</f>
        <v/>
      </c>
      <c r="G1695" s="29">
        <f>VLOOKUP(A1695,Calendar!$A$1:$H$9997,6,FALSE)-F1695</f>
        <v/>
      </c>
      <c r="H1695" s="19" t="n">
        <v>2</v>
      </c>
      <c r="I1695" s="57" t="n">
        <v>8</v>
      </c>
    </row>
    <row r="1696">
      <c r="A1696" s="62" t="n">
        <v>46711</v>
      </c>
      <c r="B1696" s="3" t="inlineStr">
        <is>
          <t>Sat</t>
        </is>
      </c>
      <c r="C1696" s="19" t="n">
        <v>11</v>
      </c>
      <c r="D1696" s="19" t="n">
        <v>2027</v>
      </c>
      <c r="E1696" s="57" t="n">
        <v>2</v>
      </c>
      <c r="F1696" s="29">
        <f>ROUND(((SUMIFS(Calendar!$F$2:$F$9997,Calendar!$B$2:$B$9997,D1696,Calendar!$C$2:$C$9997,C1696)*INDEX(ForeCalc!$B$37:$Y$274,MATCH(_xlfn.CONCAT(H1696," ",I1696),ForeCalc!$A$37:$A$274,0),MATCH(_xlfn.CONCAT(B1696," ",E1696),ForeCalc!$B$36:$Y$36,0))))*VLOOKUP(A1696,Calendar!$A$2:$H$9997,8,FALSE),0)</f>
        <v/>
      </c>
      <c r="G1696" s="29">
        <f>VLOOKUP(A1696,Calendar!$A$1:$H$9997,6,FALSE)-F1696</f>
        <v/>
      </c>
      <c r="H1696" s="19" t="n">
        <v>2</v>
      </c>
      <c r="I1696" s="57" t="n">
        <v>8</v>
      </c>
    </row>
    <row r="1697">
      <c r="A1697" s="62" t="n">
        <v>46712</v>
      </c>
      <c r="B1697" s="3" t="inlineStr">
        <is>
          <t>Sun</t>
        </is>
      </c>
      <c r="C1697" s="19" t="n">
        <v>11</v>
      </c>
      <c r="D1697" s="19" t="n">
        <v>2027</v>
      </c>
      <c r="E1697" s="57" t="n">
        <v>2</v>
      </c>
      <c r="F1697" s="29">
        <f>ROUND(((SUMIFS(Calendar!$F$2:$F$9997,Calendar!$B$2:$B$9997,D1697,Calendar!$C$2:$C$9997,C1697)*INDEX(ForeCalc!$B$37:$Y$274,MATCH(_xlfn.CONCAT(H1697," ",I1697),ForeCalc!$A$37:$A$274,0),MATCH(_xlfn.CONCAT(B1697," ",E1697),ForeCalc!$B$36:$Y$36,0))))*VLOOKUP(A1697,Calendar!$A$2:$H$9997,8,FALSE),0)</f>
        <v/>
      </c>
      <c r="G1697" s="29">
        <f>VLOOKUP(A1697,Calendar!$A$1:$H$9997,6,FALSE)-F1697</f>
        <v/>
      </c>
      <c r="H1697" s="19" t="n">
        <v>2</v>
      </c>
      <c r="I1697" s="57" t="n">
        <v>8</v>
      </c>
    </row>
    <row r="1698">
      <c r="A1698" s="62" t="n">
        <v>46713</v>
      </c>
      <c r="B1698" s="3" t="inlineStr">
        <is>
          <t>Week</t>
        </is>
      </c>
      <c r="C1698" s="19" t="n">
        <v>11</v>
      </c>
      <c r="D1698" s="19" t="n">
        <v>2027</v>
      </c>
      <c r="E1698" s="57" t="n">
        <v>2</v>
      </c>
      <c r="F1698" s="29">
        <f>ROUND(((SUMIFS(Calendar!$F$2:$F$9997,Calendar!$B$2:$B$9997,D1698,Calendar!$C$2:$C$9997,C1698)*INDEX(ForeCalc!$B$37:$Y$274,MATCH(_xlfn.CONCAT(H1698," ",I1698),ForeCalc!$A$37:$A$274,0),MATCH(_xlfn.CONCAT(B1698," ",E1698),ForeCalc!$B$36:$Y$36,0))))*VLOOKUP(A1698,Calendar!$A$2:$H$9997,8,FALSE),0)</f>
        <v/>
      </c>
      <c r="G1698" s="29">
        <f>VLOOKUP(A1698,Calendar!$A$1:$H$9997,6,FALSE)-F1698</f>
        <v/>
      </c>
      <c r="H1698" s="19" t="n">
        <v>2</v>
      </c>
      <c r="I1698" s="57" t="n">
        <v>8</v>
      </c>
    </row>
    <row r="1699">
      <c r="A1699" s="62" t="n">
        <v>46714</v>
      </c>
      <c r="B1699" s="3" t="inlineStr">
        <is>
          <t>Week</t>
        </is>
      </c>
      <c r="C1699" s="19" t="n">
        <v>11</v>
      </c>
      <c r="D1699" s="19" t="n">
        <v>2027</v>
      </c>
      <c r="E1699" s="57" t="n">
        <v>2</v>
      </c>
      <c r="F1699" s="29">
        <f>ROUND(((SUMIFS(Calendar!$F$2:$F$9997,Calendar!$B$2:$B$9997,D1699,Calendar!$C$2:$C$9997,C1699)*INDEX(ForeCalc!$B$37:$Y$274,MATCH(_xlfn.CONCAT(H1699," ",I1699),ForeCalc!$A$37:$A$274,0),MATCH(_xlfn.CONCAT(B1699," ",E1699),ForeCalc!$B$36:$Y$36,0))))*VLOOKUP(A1699,Calendar!$A$2:$H$9997,8,FALSE),0)</f>
        <v/>
      </c>
      <c r="G1699" s="29">
        <f>VLOOKUP(A1699,Calendar!$A$1:$H$9997,6,FALSE)-F1699</f>
        <v/>
      </c>
      <c r="H1699" s="19" t="n">
        <v>2</v>
      </c>
      <c r="I1699" s="57" t="n">
        <v>8</v>
      </c>
    </row>
    <row r="1700">
      <c r="A1700" s="62" t="n">
        <v>46715</v>
      </c>
      <c r="B1700" s="3" t="inlineStr">
        <is>
          <t>Week</t>
        </is>
      </c>
      <c r="C1700" s="19" t="n">
        <v>11</v>
      </c>
      <c r="D1700" s="19" t="n">
        <v>2027</v>
      </c>
      <c r="E1700" s="57" t="n">
        <v>2</v>
      </c>
      <c r="F1700" s="29">
        <f>ROUND(((SUMIFS(Calendar!$F$2:$F$9997,Calendar!$B$2:$B$9997,D1700,Calendar!$C$2:$C$9997,C1700)*INDEX(ForeCalc!$B$37:$Y$274,MATCH(_xlfn.CONCAT(H1700," ",I1700),ForeCalc!$A$37:$A$274,0),MATCH(_xlfn.CONCAT(B1700," ",E1700),ForeCalc!$B$36:$Y$36,0))))*VLOOKUP(A1700,Calendar!$A$2:$H$9997,8,FALSE),0)</f>
        <v/>
      </c>
      <c r="G1700" s="29">
        <f>VLOOKUP(A1700,Calendar!$A$1:$H$9997,6,FALSE)-F1700</f>
        <v/>
      </c>
      <c r="H1700" s="19" t="n">
        <v>2</v>
      </c>
      <c r="I1700" s="57" t="n">
        <v>8</v>
      </c>
    </row>
    <row r="1701">
      <c r="A1701" s="62" t="n">
        <v>46716</v>
      </c>
      <c r="B1701" s="3" t="inlineStr">
        <is>
          <t>Week</t>
        </is>
      </c>
      <c r="C1701" s="19" t="n">
        <v>11</v>
      </c>
      <c r="D1701" s="19" t="n">
        <v>2027</v>
      </c>
      <c r="E1701" s="57" t="n">
        <v>2</v>
      </c>
      <c r="F1701" s="29">
        <f>ROUND(((SUMIFS(Calendar!$F$2:$F$9997,Calendar!$B$2:$B$9997,D1701,Calendar!$C$2:$C$9997,C1701)*INDEX(ForeCalc!$B$37:$Y$274,MATCH(_xlfn.CONCAT(H1701," ",I1701),ForeCalc!$A$37:$A$274,0),MATCH(_xlfn.CONCAT(B1701," ",E1701),ForeCalc!$B$36:$Y$36,0))))*VLOOKUP(A1701,Calendar!$A$2:$H$9997,8,FALSE),0)</f>
        <v/>
      </c>
      <c r="G1701" s="29">
        <f>VLOOKUP(A1701,Calendar!$A$1:$H$9997,6,FALSE)-F1701</f>
        <v/>
      </c>
      <c r="H1701" s="19" t="n">
        <v>2</v>
      </c>
      <c r="I1701" s="57" t="n">
        <v>8</v>
      </c>
    </row>
    <row r="1702">
      <c r="A1702" s="62" t="n">
        <v>46717</v>
      </c>
      <c r="B1702" s="3" t="inlineStr">
        <is>
          <t>Week</t>
        </is>
      </c>
      <c r="C1702" s="19" t="n">
        <v>11</v>
      </c>
      <c r="D1702" s="19" t="n">
        <v>2027</v>
      </c>
      <c r="E1702" s="57" t="n">
        <v>2</v>
      </c>
      <c r="F1702" s="29">
        <f>ROUND(((SUMIFS(Calendar!$F$2:$F$9997,Calendar!$B$2:$B$9997,D1702,Calendar!$C$2:$C$9997,C1702)*INDEX(ForeCalc!$B$37:$Y$274,MATCH(_xlfn.CONCAT(H1702," ",I1702),ForeCalc!$A$37:$A$274,0),MATCH(_xlfn.CONCAT(B1702," ",E1702),ForeCalc!$B$36:$Y$36,0))))*VLOOKUP(A1702,Calendar!$A$2:$H$9997,8,FALSE),0)</f>
        <v/>
      </c>
      <c r="G1702" s="29">
        <f>VLOOKUP(A1702,Calendar!$A$1:$H$9997,6,FALSE)-F1702</f>
        <v/>
      </c>
      <c r="H1702" s="19" t="n">
        <v>2</v>
      </c>
      <c r="I1702" s="57" t="n">
        <v>8</v>
      </c>
    </row>
    <row r="1703">
      <c r="A1703" s="62" t="n">
        <v>46718</v>
      </c>
      <c r="B1703" s="3" t="inlineStr">
        <is>
          <t>Sat</t>
        </is>
      </c>
      <c r="C1703" s="19" t="n">
        <v>11</v>
      </c>
      <c r="D1703" s="19" t="n">
        <v>2027</v>
      </c>
      <c r="E1703" s="57" t="n">
        <v>2</v>
      </c>
      <c r="F1703" s="29">
        <f>ROUND(((SUMIFS(Calendar!$F$2:$F$9997,Calendar!$B$2:$B$9997,D1703,Calendar!$C$2:$C$9997,C1703)*INDEX(ForeCalc!$B$37:$Y$274,MATCH(_xlfn.CONCAT(H1703," ",I1703),ForeCalc!$A$37:$A$274,0),MATCH(_xlfn.CONCAT(B1703," ",E1703),ForeCalc!$B$36:$Y$36,0))))*VLOOKUP(A1703,Calendar!$A$2:$H$9997,8,FALSE),0)</f>
        <v/>
      </c>
      <c r="G1703" s="29">
        <f>VLOOKUP(A1703,Calendar!$A$1:$H$9997,6,FALSE)-F1703</f>
        <v/>
      </c>
      <c r="H1703" s="19" t="n">
        <v>2</v>
      </c>
      <c r="I1703" s="57" t="n">
        <v>8</v>
      </c>
    </row>
    <row r="1704">
      <c r="A1704" s="62" t="n">
        <v>46719</v>
      </c>
      <c r="B1704" s="3" t="inlineStr">
        <is>
          <t>Sun</t>
        </is>
      </c>
      <c r="C1704" s="19" t="n">
        <v>11</v>
      </c>
      <c r="D1704" s="19" t="n">
        <v>2027</v>
      </c>
      <c r="E1704" s="57" t="n">
        <v>2</v>
      </c>
      <c r="F1704" s="29">
        <f>ROUND(((SUMIFS(Calendar!$F$2:$F$9997,Calendar!$B$2:$B$9997,D1704,Calendar!$C$2:$C$9997,C1704)*INDEX(ForeCalc!$B$37:$Y$274,MATCH(_xlfn.CONCAT(H1704," ",I1704),ForeCalc!$A$37:$A$274,0),MATCH(_xlfn.CONCAT(B1704," ",E1704),ForeCalc!$B$36:$Y$36,0))))*VLOOKUP(A1704,Calendar!$A$2:$H$9997,8,FALSE),0)</f>
        <v/>
      </c>
      <c r="G1704" s="29">
        <f>VLOOKUP(A1704,Calendar!$A$1:$H$9997,6,FALSE)-F1704</f>
        <v/>
      </c>
      <c r="H1704" s="19" t="n">
        <v>2</v>
      </c>
      <c r="I1704" s="57" t="n">
        <v>8</v>
      </c>
    </row>
    <row r="1705">
      <c r="A1705" s="62" t="n">
        <v>46720</v>
      </c>
      <c r="B1705" s="3" t="inlineStr">
        <is>
          <t>Week</t>
        </is>
      </c>
      <c r="C1705" s="19" t="n">
        <v>11</v>
      </c>
      <c r="D1705" s="19" t="n">
        <v>2027</v>
      </c>
      <c r="E1705" s="57" t="n">
        <v>2</v>
      </c>
      <c r="F1705" s="29">
        <f>ROUND(((SUMIFS(Calendar!$F$2:$F$9997,Calendar!$B$2:$B$9997,D1705,Calendar!$C$2:$C$9997,C1705)*INDEX(ForeCalc!$B$37:$Y$274,MATCH(_xlfn.CONCAT(H1705," ",I1705),ForeCalc!$A$37:$A$274,0),MATCH(_xlfn.CONCAT(B1705," ",E1705),ForeCalc!$B$36:$Y$36,0))))*VLOOKUP(A1705,Calendar!$A$2:$H$9997,8,FALSE),0)</f>
        <v/>
      </c>
      <c r="G1705" s="29">
        <f>VLOOKUP(A1705,Calendar!$A$1:$H$9997,6,FALSE)-F1705</f>
        <v/>
      </c>
      <c r="H1705" s="19" t="n">
        <v>2</v>
      </c>
      <c r="I1705" s="57" t="n">
        <v>8</v>
      </c>
    </row>
    <row r="1706">
      <c r="A1706" s="62" t="n">
        <v>46721</v>
      </c>
      <c r="B1706" s="3" t="inlineStr">
        <is>
          <t>Week</t>
        </is>
      </c>
      <c r="C1706" s="19" t="n">
        <v>11</v>
      </c>
      <c r="D1706" s="19" t="n">
        <v>2027</v>
      </c>
      <c r="E1706" s="57" t="n">
        <v>2</v>
      </c>
      <c r="F1706" s="29">
        <f>ROUND(((SUMIFS(Calendar!$F$2:$F$9997,Calendar!$B$2:$B$9997,D1706,Calendar!$C$2:$C$9997,C1706)*INDEX(ForeCalc!$B$37:$Y$274,MATCH(_xlfn.CONCAT(H1706," ",I1706),ForeCalc!$A$37:$A$274,0),MATCH(_xlfn.CONCAT(B1706," ",E1706),ForeCalc!$B$36:$Y$36,0))))*VLOOKUP(A1706,Calendar!$A$2:$H$9997,8,FALSE),0)</f>
        <v/>
      </c>
      <c r="G1706" s="29">
        <f>VLOOKUP(A1706,Calendar!$A$1:$H$9997,6,FALSE)-F1706</f>
        <v/>
      </c>
      <c r="H1706" s="19" t="n">
        <v>2</v>
      </c>
      <c r="I1706" s="57" t="n">
        <v>8</v>
      </c>
    </row>
    <row r="1707">
      <c r="A1707" s="62" t="n">
        <v>46722</v>
      </c>
      <c r="B1707" s="3" t="inlineStr">
        <is>
          <t>Week</t>
        </is>
      </c>
      <c r="C1707" s="19" t="n">
        <v>12</v>
      </c>
      <c r="D1707" s="19" t="n">
        <v>2027</v>
      </c>
      <c r="E1707" s="57" t="n">
        <v>2</v>
      </c>
      <c r="F1707" s="29">
        <f>ROUND(((SUMIFS(Calendar!$F$2:$F$9997,Calendar!$B$2:$B$9997,D1707,Calendar!$C$2:$C$9997,C1707)*INDEX(ForeCalc!$B$37:$Y$274,MATCH(_xlfn.CONCAT(H1707," ",I1707),ForeCalc!$A$37:$A$274,0),MATCH(_xlfn.CONCAT(B1707," ",E1707),ForeCalc!$B$36:$Y$36,0))))*VLOOKUP(A1707,Calendar!$A$2:$H$9997,8,FALSE),0)</f>
        <v/>
      </c>
      <c r="G1707" s="29">
        <f>VLOOKUP(A1707,Calendar!$A$1:$H$9997,6,FALSE)-F1707</f>
        <v/>
      </c>
      <c r="H1707" s="19" t="n">
        <v>2</v>
      </c>
      <c r="I1707" s="57" t="n">
        <v>9</v>
      </c>
    </row>
    <row r="1708">
      <c r="A1708" s="62" t="n">
        <v>46723</v>
      </c>
      <c r="B1708" s="3" t="inlineStr">
        <is>
          <t>Week</t>
        </is>
      </c>
      <c r="C1708" s="19" t="n">
        <v>12</v>
      </c>
      <c r="D1708" s="19" t="n">
        <v>2027</v>
      </c>
      <c r="E1708" s="57" t="n">
        <v>2</v>
      </c>
      <c r="F1708" s="29">
        <f>ROUND(((SUMIFS(Calendar!$F$2:$F$9997,Calendar!$B$2:$B$9997,D1708,Calendar!$C$2:$C$9997,C1708)*INDEX(ForeCalc!$B$37:$Y$274,MATCH(_xlfn.CONCAT(H1708," ",I1708),ForeCalc!$A$37:$A$274,0),MATCH(_xlfn.CONCAT(B1708," ",E1708),ForeCalc!$B$36:$Y$36,0))))*VLOOKUP(A1708,Calendar!$A$2:$H$9997,8,FALSE),0)</f>
        <v/>
      </c>
      <c r="G1708" s="29">
        <f>VLOOKUP(A1708,Calendar!$A$1:$H$9997,6,FALSE)-F1708</f>
        <v/>
      </c>
      <c r="H1708" s="19" t="n">
        <v>2</v>
      </c>
      <c r="I1708" s="57" t="n">
        <v>9</v>
      </c>
    </row>
    <row r="1709">
      <c r="A1709" s="62" t="n">
        <v>46724</v>
      </c>
      <c r="B1709" s="3" t="inlineStr">
        <is>
          <t>Week</t>
        </is>
      </c>
      <c r="C1709" s="19" t="n">
        <v>12</v>
      </c>
      <c r="D1709" s="19" t="n">
        <v>2027</v>
      </c>
      <c r="E1709" s="57" t="n">
        <v>2</v>
      </c>
      <c r="F1709" s="29">
        <f>ROUND(((SUMIFS(Calendar!$F$2:$F$9997,Calendar!$B$2:$B$9997,D1709,Calendar!$C$2:$C$9997,C1709)*INDEX(ForeCalc!$B$37:$Y$274,MATCH(_xlfn.CONCAT(H1709," ",I1709),ForeCalc!$A$37:$A$274,0),MATCH(_xlfn.CONCAT(B1709," ",E1709),ForeCalc!$B$36:$Y$36,0))))*VLOOKUP(A1709,Calendar!$A$2:$H$9997,8,FALSE),0)</f>
        <v/>
      </c>
      <c r="G1709" s="29">
        <f>VLOOKUP(A1709,Calendar!$A$1:$H$9997,6,FALSE)-F1709</f>
        <v/>
      </c>
      <c r="H1709" s="19" t="n">
        <v>2</v>
      </c>
      <c r="I1709" s="57" t="n">
        <v>9</v>
      </c>
    </row>
    <row r="1710">
      <c r="A1710" s="62" t="n">
        <v>46725</v>
      </c>
      <c r="B1710" s="3" t="inlineStr">
        <is>
          <t>Sat</t>
        </is>
      </c>
      <c r="C1710" s="19" t="n">
        <v>12</v>
      </c>
      <c r="D1710" s="19" t="n">
        <v>2027</v>
      </c>
      <c r="E1710" s="57" t="n">
        <v>2</v>
      </c>
      <c r="F1710" s="29">
        <f>ROUND(((SUMIFS(Calendar!$F$2:$F$9997,Calendar!$B$2:$B$9997,D1710,Calendar!$C$2:$C$9997,C1710)*INDEX(ForeCalc!$B$37:$Y$274,MATCH(_xlfn.CONCAT(H1710," ",I1710),ForeCalc!$A$37:$A$274,0),MATCH(_xlfn.CONCAT(B1710," ",E1710),ForeCalc!$B$36:$Y$36,0))))*VLOOKUP(A1710,Calendar!$A$2:$H$9997,8,FALSE),0)</f>
        <v/>
      </c>
      <c r="G1710" s="29">
        <f>VLOOKUP(A1710,Calendar!$A$1:$H$9997,6,FALSE)-F1710</f>
        <v/>
      </c>
      <c r="H1710" s="19" t="n">
        <v>2</v>
      </c>
      <c r="I1710" s="57" t="n">
        <v>9</v>
      </c>
    </row>
    <row r="1711">
      <c r="A1711" s="62" t="n">
        <v>46726</v>
      </c>
      <c r="B1711" s="3" t="inlineStr">
        <is>
          <t>Sun</t>
        </is>
      </c>
      <c r="C1711" s="19" t="n">
        <v>12</v>
      </c>
      <c r="D1711" s="19" t="n">
        <v>2027</v>
      </c>
      <c r="E1711" s="57" t="n">
        <v>2</v>
      </c>
      <c r="F1711" s="29">
        <f>ROUND(((SUMIFS(Calendar!$F$2:$F$9997,Calendar!$B$2:$B$9997,D1711,Calendar!$C$2:$C$9997,C1711)*INDEX(ForeCalc!$B$37:$Y$274,MATCH(_xlfn.CONCAT(H1711," ",I1711),ForeCalc!$A$37:$A$274,0),MATCH(_xlfn.CONCAT(B1711," ",E1711),ForeCalc!$B$36:$Y$36,0))))*VLOOKUP(A1711,Calendar!$A$2:$H$9997,8,FALSE),0)</f>
        <v/>
      </c>
      <c r="G1711" s="29">
        <f>VLOOKUP(A1711,Calendar!$A$1:$H$9997,6,FALSE)-F1711</f>
        <v/>
      </c>
      <c r="H1711" s="19" t="n">
        <v>2</v>
      </c>
      <c r="I1711" s="57" t="n">
        <v>9</v>
      </c>
    </row>
    <row r="1712">
      <c r="A1712" s="62" t="n">
        <v>46727</v>
      </c>
      <c r="B1712" s="3" t="inlineStr">
        <is>
          <t>Week</t>
        </is>
      </c>
      <c r="C1712" s="19" t="n">
        <v>12</v>
      </c>
      <c r="D1712" s="19" t="n">
        <v>2027</v>
      </c>
      <c r="E1712" s="57" t="n">
        <v>2</v>
      </c>
      <c r="F1712" s="29">
        <f>ROUND(((SUMIFS(Calendar!$F$2:$F$9997,Calendar!$B$2:$B$9997,D1712,Calendar!$C$2:$C$9997,C1712)*INDEX(ForeCalc!$B$37:$Y$274,MATCH(_xlfn.CONCAT(H1712," ",I1712),ForeCalc!$A$37:$A$274,0),MATCH(_xlfn.CONCAT(B1712," ",E1712),ForeCalc!$B$36:$Y$36,0))))*VLOOKUP(A1712,Calendar!$A$2:$H$9997,8,FALSE),0)</f>
        <v/>
      </c>
      <c r="G1712" s="29">
        <f>VLOOKUP(A1712,Calendar!$A$1:$H$9997,6,FALSE)-F1712</f>
        <v/>
      </c>
      <c r="H1712" s="19" t="n">
        <v>2</v>
      </c>
      <c r="I1712" s="57" t="n">
        <v>9</v>
      </c>
    </row>
    <row r="1713">
      <c r="A1713" s="62" t="n">
        <v>46728</v>
      </c>
      <c r="B1713" s="3" t="inlineStr">
        <is>
          <t>Week</t>
        </is>
      </c>
      <c r="C1713" s="19" t="n">
        <v>12</v>
      </c>
      <c r="D1713" s="19" t="n">
        <v>2027</v>
      </c>
      <c r="E1713" s="57" t="n">
        <v>2</v>
      </c>
      <c r="F1713" s="29">
        <f>ROUND(((SUMIFS(Calendar!$F$2:$F$9997,Calendar!$B$2:$B$9997,D1713,Calendar!$C$2:$C$9997,C1713)*INDEX(ForeCalc!$B$37:$Y$274,MATCH(_xlfn.CONCAT(H1713," ",I1713),ForeCalc!$A$37:$A$274,0),MATCH(_xlfn.CONCAT(B1713," ",E1713),ForeCalc!$B$36:$Y$36,0))))*VLOOKUP(A1713,Calendar!$A$2:$H$9997,8,FALSE),0)</f>
        <v/>
      </c>
      <c r="G1713" s="29">
        <f>VLOOKUP(A1713,Calendar!$A$1:$H$9997,6,FALSE)-F1713</f>
        <v/>
      </c>
      <c r="H1713" s="19" t="n">
        <v>2</v>
      </c>
      <c r="I1713" s="57" t="n">
        <v>9</v>
      </c>
    </row>
    <row r="1714">
      <c r="A1714" s="62" t="n">
        <v>46729</v>
      </c>
      <c r="B1714" s="3" t="inlineStr">
        <is>
          <t>Week</t>
        </is>
      </c>
      <c r="C1714" s="19" t="n">
        <v>12</v>
      </c>
      <c r="D1714" s="19" t="n">
        <v>2027</v>
      </c>
      <c r="E1714" s="57" t="n">
        <v>2</v>
      </c>
      <c r="F1714" s="29">
        <f>ROUND(((SUMIFS(Calendar!$F$2:$F$9997,Calendar!$B$2:$B$9997,D1714,Calendar!$C$2:$C$9997,C1714)*INDEX(ForeCalc!$B$37:$Y$274,MATCH(_xlfn.CONCAT(H1714," ",I1714),ForeCalc!$A$37:$A$274,0),MATCH(_xlfn.CONCAT(B1714," ",E1714),ForeCalc!$B$36:$Y$36,0))))*VLOOKUP(A1714,Calendar!$A$2:$H$9997,8,FALSE),0)</f>
        <v/>
      </c>
      <c r="G1714" s="29">
        <f>VLOOKUP(A1714,Calendar!$A$1:$H$9997,6,FALSE)-F1714</f>
        <v/>
      </c>
      <c r="H1714" s="19" t="n">
        <v>2</v>
      </c>
      <c r="I1714" s="57" t="n">
        <v>9</v>
      </c>
    </row>
    <row r="1715">
      <c r="A1715" s="62" t="n">
        <v>46730</v>
      </c>
      <c r="B1715" s="3" t="inlineStr">
        <is>
          <t>Week</t>
        </is>
      </c>
      <c r="C1715" s="19" t="n">
        <v>12</v>
      </c>
      <c r="D1715" s="19" t="n">
        <v>2027</v>
      </c>
      <c r="E1715" s="57" t="n">
        <v>2</v>
      </c>
      <c r="F1715" s="29">
        <f>ROUND(((SUMIFS(Calendar!$F$2:$F$9997,Calendar!$B$2:$B$9997,D1715,Calendar!$C$2:$C$9997,C1715)*INDEX(ForeCalc!$B$37:$Y$274,MATCH(_xlfn.CONCAT(H1715," ",I1715),ForeCalc!$A$37:$A$274,0),MATCH(_xlfn.CONCAT(B1715," ",E1715),ForeCalc!$B$36:$Y$36,0))))*VLOOKUP(A1715,Calendar!$A$2:$H$9997,8,FALSE),0)</f>
        <v/>
      </c>
      <c r="G1715" s="29">
        <f>VLOOKUP(A1715,Calendar!$A$1:$H$9997,6,FALSE)-F1715</f>
        <v/>
      </c>
      <c r="H1715" s="19" t="n">
        <v>2</v>
      </c>
      <c r="I1715" s="57" t="n">
        <v>9</v>
      </c>
    </row>
    <row r="1716">
      <c r="A1716" s="62" t="n">
        <v>46731</v>
      </c>
      <c r="B1716" s="3" t="inlineStr">
        <is>
          <t>Week</t>
        </is>
      </c>
      <c r="C1716" s="19" t="n">
        <v>12</v>
      </c>
      <c r="D1716" s="19" t="n">
        <v>2027</v>
      </c>
      <c r="E1716" s="57" t="n">
        <v>2</v>
      </c>
      <c r="F1716" s="29">
        <f>ROUND(((SUMIFS(Calendar!$F$2:$F$9997,Calendar!$B$2:$B$9997,D1716,Calendar!$C$2:$C$9997,C1716)*INDEX(ForeCalc!$B$37:$Y$274,MATCH(_xlfn.CONCAT(H1716," ",I1716),ForeCalc!$A$37:$A$274,0),MATCH(_xlfn.CONCAT(B1716," ",E1716),ForeCalc!$B$36:$Y$36,0))))*VLOOKUP(A1716,Calendar!$A$2:$H$9997,8,FALSE),0)</f>
        <v/>
      </c>
      <c r="G1716" s="29">
        <f>VLOOKUP(A1716,Calendar!$A$1:$H$9997,6,FALSE)-F1716</f>
        <v/>
      </c>
      <c r="H1716" s="19" t="n">
        <v>2</v>
      </c>
      <c r="I1716" s="57" t="n">
        <v>9</v>
      </c>
    </row>
    <row r="1717">
      <c r="A1717" s="62" t="n">
        <v>46732</v>
      </c>
      <c r="B1717" s="3" t="inlineStr">
        <is>
          <t>Sat</t>
        </is>
      </c>
      <c r="C1717" s="19" t="n">
        <v>12</v>
      </c>
      <c r="D1717" s="19" t="n">
        <v>2027</v>
      </c>
      <c r="E1717" s="57" t="n">
        <v>2</v>
      </c>
      <c r="F1717" s="29">
        <f>ROUND(((SUMIFS(Calendar!$F$2:$F$9997,Calendar!$B$2:$B$9997,D1717,Calendar!$C$2:$C$9997,C1717)*INDEX(ForeCalc!$B$37:$Y$274,MATCH(_xlfn.CONCAT(H1717," ",I1717),ForeCalc!$A$37:$A$274,0),MATCH(_xlfn.CONCAT(B1717," ",E1717),ForeCalc!$B$36:$Y$36,0))))*VLOOKUP(A1717,Calendar!$A$2:$H$9997,8,FALSE),0)</f>
        <v/>
      </c>
      <c r="G1717" s="29">
        <f>VLOOKUP(A1717,Calendar!$A$1:$H$9997,6,FALSE)-F1717</f>
        <v/>
      </c>
      <c r="H1717" s="19" t="n">
        <v>2</v>
      </c>
      <c r="I1717" s="57" t="n">
        <v>9</v>
      </c>
    </row>
    <row r="1718">
      <c r="A1718" s="62" t="n">
        <v>46733</v>
      </c>
      <c r="B1718" s="3" t="inlineStr">
        <is>
          <t>Sun</t>
        </is>
      </c>
      <c r="C1718" s="19" t="n">
        <v>12</v>
      </c>
      <c r="D1718" s="19" t="n">
        <v>2027</v>
      </c>
      <c r="E1718" s="57" t="n">
        <v>2</v>
      </c>
      <c r="F1718" s="29">
        <f>ROUND(((SUMIFS(Calendar!$F$2:$F$9997,Calendar!$B$2:$B$9997,D1718,Calendar!$C$2:$C$9997,C1718)*INDEX(ForeCalc!$B$37:$Y$274,MATCH(_xlfn.CONCAT(H1718," ",I1718),ForeCalc!$A$37:$A$274,0),MATCH(_xlfn.CONCAT(B1718," ",E1718),ForeCalc!$B$36:$Y$36,0))))*VLOOKUP(A1718,Calendar!$A$2:$H$9997,8,FALSE),0)</f>
        <v/>
      </c>
      <c r="G1718" s="29">
        <f>VLOOKUP(A1718,Calendar!$A$1:$H$9997,6,FALSE)-F1718</f>
        <v/>
      </c>
      <c r="H1718" s="19" t="n">
        <v>2</v>
      </c>
      <c r="I1718" s="57" t="n">
        <v>9</v>
      </c>
    </row>
    <row r="1719">
      <c r="A1719" s="62" t="n">
        <v>46734</v>
      </c>
      <c r="B1719" s="3" t="inlineStr">
        <is>
          <t>Week</t>
        </is>
      </c>
      <c r="C1719" s="19" t="n">
        <v>12</v>
      </c>
      <c r="D1719" s="19" t="n">
        <v>2027</v>
      </c>
      <c r="E1719" s="57" t="n">
        <v>2</v>
      </c>
      <c r="F1719" s="29">
        <f>ROUND(((SUMIFS(Calendar!$F$2:$F$9997,Calendar!$B$2:$B$9997,D1719,Calendar!$C$2:$C$9997,C1719)*INDEX(ForeCalc!$B$37:$Y$274,MATCH(_xlfn.CONCAT(H1719," ",I1719),ForeCalc!$A$37:$A$274,0),MATCH(_xlfn.CONCAT(B1719," ",E1719),ForeCalc!$B$36:$Y$36,0))))*VLOOKUP(A1719,Calendar!$A$2:$H$9997,8,FALSE),0)</f>
        <v/>
      </c>
      <c r="G1719" s="29">
        <f>VLOOKUP(A1719,Calendar!$A$1:$H$9997,6,FALSE)-F1719</f>
        <v/>
      </c>
      <c r="H1719" s="19" t="n">
        <v>2</v>
      </c>
      <c r="I1719" s="57" t="n">
        <v>9</v>
      </c>
    </row>
    <row r="1720">
      <c r="A1720" s="62" t="n">
        <v>46735</v>
      </c>
      <c r="B1720" s="3" t="inlineStr">
        <is>
          <t>Week</t>
        </is>
      </c>
      <c r="C1720" s="19" t="n">
        <v>12</v>
      </c>
      <c r="D1720" s="19" t="n">
        <v>2027</v>
      </c>
      <c r="E1720" s="57" t="n">
        <v>2</v>
      </c>
      <c r="F1720" s="29">
        <f>ROUND(((SUMIFS(Calendar!$F$2:$F$9997,Calendar!$B$2:$B$9997,D1720,Calendar!$C$2:$C$9997,C1720)*INDEX(ForeCalc!$B$37:$Y$274,MATCH(_xlfn.CONCAT(H1720," ",I1720),ForeCalc!$A$37:$A$274,0),MATCH(_xlfn.CONCAT(B1720," ",E1720),ForeCalc!$B$36:$Y$36,0))))*VLOOKUP(A1720,Calendar!$A$2:$H$9997,8,FALSE),0)</f>
        <v/>
      </c>
      <c r="G1720" s="29">
        <f>VLOOKUP(A1720,Calendar!$A$1:$H$9997,6,FALSE)-F1720</f>
        <v/>
      </c>
      <c r="H1720" s="19" t="n">
        <v>2</v>
      </c>
      <c r="I1720" s="57" t="n">
        <v>9</v>
      </c>
    </row>
    <row r="1721">
      <c r="A1721" s="62" t="n">
        <v>46736</v>
      </c>
      <c r="B1721" s="3" t="inlineStr">
        <is>
          <t>Week</t>
        </is>
      </c>
      <c r="C1721" s="19" t="n">
        <v>12</v>
      </c>
      <c r="D1721" s="19" t="n">
        <v>2027</v>
      </c>
      <c r="E1721" s="57" t="n">
        <v>2</v>
      </c>
      <c r="F1721" s="29">
        <f>ROUND(((SUMIFS(Calendar!$F$2:$F$9997,Calendar!$B$2:$B$9997,D1721,Calendar!$C$2:$C$9997,C1721)*INDEX(ForeCalc!$B$37:$Y$274,MATCH(_xlfn.CONCAT(H1721," ",I1721),ForeCalc!$A$37:$A$274,0),MATCH(_xlfn.CONCAT(B1721," ",E1721),ForeCalc!$B$36:$Y$36,0))))*VLOOKUP(A1721,Calendar!$A$2:$H$9997,8,FALSE),0)</f>
        <v/>
      </c>
      <c r="G1721" s="29">
        <f>VLOOKUP(A1721,Calendar!$A$1:$H$9997,6,FALSE)-F1721</f>
        <v/>
      </c>
      <c r="H1721" s="19" t="n">
        <v>2</v>
      </c>
      <c r="I1721" s="57" t="n">
        <v>9</v>
      </c>
    </row>
    <row r="1722">
      <c r="A1722" s="62" t="n">
        <v>46737</v>
      </c>
      <c r="B1722" s="3" t="inlineStr">
        <is>
          <t>Week</t>
        </is>
      </c>
      <c r="C1722" s="19" t="n">
        <v>12</v>
      </c>
      <c r="D1722" s="19" t="n">
        <v>2027</v>
      </c>
      <c r="E1722" s="57" t="n">
        <v>2</v>
      </c>
      <c r="F1722" s="29">
        <f>ROUND(((SUMIFS(Calendar!$F$2:$F$9997,Calendar!$B$2:$B$9997,D1722,Calendar!$C$2:$C$9997,C1722)*INDEX(ForeCalc!$B$37:$Y$274,MATCH(_xlfn.CONCAT(H1722," ",I1722),ForeCalc!$A$37:$A$274,0),MATCH(_xlfn.CONCAT(B1722," ",E1722),ForeCalc!$B$36:$Y$36,0))))*VLOOKUP(A1722,Calendar!$A$2:$H$9997,8,FALSE),0)</f>
        <v/>
      </c>
      <c r="G1722" s="29">
        <f>VLOOKUP(A1722,Calendar!$A$1:$H$9997,6,FALSE)-F1722</f>
        <v/>
      </c>
      <c r="H1722" s="19" t="n">
        <v>2</v>
      </c>
      <c r="I1722" s="57" t="n">
        <v>9</v>
      </c>
    </row>
    <row r="1723">
      <c r="A1723" s="62" t="n">
        <v>46738</v>
      </c>
      <c r="B1723" s="3" t="inlineStr">
        <is>
          <t>Week</t>
        </is>
      </c>
      <c r="C1723" s="19" t="n">
        <v>12</v>
      </c>
      <c r="D1723" s="19" t="n">
        <v>2027</v>
      </c>
      <c r="E1723" s="57" t="n">
        <v>2</v>
      </c>
      <c r="F1723" s="29">
        <f>ROUND(((SUMIFS(Calendar!$F$2:$F$9997,Calendar!$B$2:$B$9997,D1723,Calendar!$C$2:$C$9997,C1723)*INDEX(ForeCalc!$B$37:$Y$274,MATCH(_xlfn.CONCAT(H1723," ",I1723),ForeCalc!$A$37:$A$274,0),MATCH(_xlfn.CONCAT(B1723," ",E1723),ForeCalc!$B$36:$Y$36,0))))*VLOOKUP(A1723,Calendar!$A$2:$H$9997,8,FALSE),0)</f>
        <v/>
      </c>
      <c r="G1723" s="29">
        <f>VLOOKUP(A1723,Calendar!$A$1:$H$9997,6,FALSE)-F1723</f>
        <v/>
      </c>
      <c r="H1723" s="19" t="n">
        <v>2</v>
      </c>
      <c r="I1723" s="57" t="n">
        <v>9</v>
      </c>
    </row>
    <row r="1724">
      <c r="A1724" s="62" t="n">
        <v>46739</v>
      </c>
      <c r="B1724" s="3" t="inlineStr">
        <is>
          <t>Sat</t>
        </is>
      </c>
      <c r="C1724" s="19" t="n">
        <v>12</v>
      </c>
      <c r="D1724" s="19" t="n">
        <v>2027</v>
      </c>
      <c r="E1724" s="57" t="n">
        <v>2</v>
      </c>
      <c r="F1724" s="29">
        <f>ROUND(((SUMIFS(Calendar!$F$2:$F$9997,Calendar!$B$2:$B$9997,D1724,Calendar!$C$2:$C$9997,C1724)*INDEX(ForeCalc!$B$37:$Y$274,MATCH(_xlfn.CONCAT(H1724," ",I1724),ForeCalc!$A$37:$A$274,0),MATCH(_xlfn.CONCAT(B1724," ",E1724),ForeCalc!$B$36:$Y$36,0))))*VLOOKUP(A1724,Calendar!$A$2:$H$9997,8,FALSE),0)</f>
        <v/>
      </c>
      <c r="G1724" s="29">
        <f>VLOOKUP(A1724,Calendar!$A$1:$H$9997,6,FALSE)-F1724</f>
        <v/>
      </c>
      <c r="H1724" s="19" t="n">
        <v>2</v>
      </c>
      <c r="I1724" s="57" t="n">
        <v>9</v>
      </c>
    </row>
    <row r="1725">
      <c r="A1725" s="62" t="n">
        <v>46740</v>
      </c>
      <c r="B1725" s="3" t="inlineStr">
        <is>
          <t>Sun</t>
        </is>
      </c>
      <c r="C1725" s="19" t="n">
        <v>12</v>
      </c>
      <c r="D1725" s="19" t="n">
        <v>2027</v>
      </c>
      <c r="E1725" s="57" t="n">
        <v>2</v>
      </c>
      <c r="F1725" s="29">
        <f>ROUND(((SUMIFS(Calendar!$F$2:$F$9997,Calendar!$B$2:$B$9997,D1725,Calendar!$C$2:$C$9997,C1725)*INDEX(ForeCalc!$B$37:$Y$274,MATCH(_xlfn.CONCAT(H1725," ",I1725),ForeCalc!$A$37:$A$274,0),MATCH(_xlfn.CONCAT(B1725," ",E1725),ForeCalc!$B$36:$Y$36,0))))*VLOOKUP(A1725,Calendar!$A$2:$H$9997,8,FALSE),0)</f>
        <v/>
      </c>
      <c r="G1725" s="29">
        <f>VLOOKUP(A1725,Calendar!$A$1:$H$9997,6,FALSE)-F1725</f>
        <v/>
      </c>
      <c r="H1725" s="19" t="n">
        <v>2</v>
      </c>
      <c r="I1725" s="57" t="n">
        <v>9</v>
      </c>
    </row>
    <row r="1726">
      <c r="A1726" s="62" t="n">
        <v>46741</v>
      </c>
      <c r="B1726" s="3" t="inlineStr">
        <is>
          <t>Week</t>
        </is>
      </c>
      <c r="C1726" s="19" t="n">
        <v>12</v>
      </c>
      <c r="D1726" s="19" t="n">
        <v>2027</v>
      </c>
      <c r="E1726" s="57" t="n">
        <v>2</v>
      </c>
      <c r="F1726" s="29">
        <f>ROUND(((SUMIFS(Calendar!$F$2:$F$9997,Calendar!$B$2:$B$9997,D1726,Calendar!$C$2:$C$9997,C1726)*INDEX(ForeCalc!$B$37:$Y$274,MATCH(_xlfn.CONCAT(H1726," ",I1726),ForeCalc!$A$37:$A$274,0),MATCH(_xlfn.CONCAT(B1726," ",E1726),ForeCalc!$B$36:$Y$36,0))))*VLOOKUP(A1726,Calendar!$A$2:$H$9997,8,FALSE),0)</f>
        <v/>
      </c>
      <c r="G1726" s="29">
        <f>VLOOKUP(A1726,Calendar!$A$1:$H$9997,6,FALSE)-F1726</f>
        <v/>
      </c>
      <c r="H1726" s="19" t="n">
        <v>2</v>
      </c>
      <c r="I1726" s="57" t="n">
        <v>9</v>
      </c>
    </row>
    <row r="1727">
      <c r="A1727" s="62" t="n">
        <v>46742</v>
      </c>
      <c r="B1727" s="3" t="inlineStr">
        <is>
          <t>Week</t>
        </is>
      </c>
      <c r="C1727" s="19" t="n">
        <v>12</v>
      </c>
      <c r="D1727" s="19" t="n">
        <v>2027</v>
      </c>
      <c r="E1727" s="57" t="n">
        <v>2</v>
      </c>
      <c r="F1727" s="29">
        <f>ROUND(((SUMIFS(Calendar!$F$2:$F$9997,Calendar!$B$2:$B$9997,D1727,Calendar!$C$2:$C$9997,C1727)*INDEX(ForeCalc!$B$37:$Y$274,MATCH(_xlfn.CONCAT(H1727," ",I1727),ForeCalc!$A$37:$A$274,0),MATCH(_xlfn.CONCAT(B1727," ",E1727),ForeCalc!$B$36:$Y$36,0))))*VLOOKUP(A1727,Calendar!$A$2:$H$9997,8,FALSE),0)</f>
        <v/>
      </c>
      <c r="G1727" s="29">
        <f>VLOOKUP(A1727,Calendar!$A$1:$H$9997,6,FALSE)-F1727</f>
        <v/>
      </c>
      <c r="H1727" s="19" t="n">
        <v>2</v>
      </c>
      <c r="I1727" s="57" t="n">
        <v>9</v>
      </c>
    </row>
    <row r="1728">
      <c r="A1728" s="62" t="n">
        <v>46743</v>
      </c>
      <c r="B1728" s="3" t="inlineStr">
        <is>
          <t>Week</t>
        </is>
      </c>
      <c r="C1728" s="19" t="n">
        <v>12</v>
      </c>
      <c r="D1728" s="19" t="n">
        <v>2027</v>
      </c>
      <c r="E1728" s="57" t="n">
        <v>2</v>
      </c>
      <c r="F1728" s="29">
        <f>ROUND(((SUMIFS(Calendar!$F$2:$F$9997,Calendar!$B$2:$B$9997,D1728,Calendar!$C$2:$C$9997,C1728)*INDEX(ForeCalc!$B$37:$Y$274,MATCH(_xlfn.CONCAT(H1728," ",I1728),ForeCalc!$A$37:$A$274,0),MATCH(_xlfn.CONCAT(B1728," ",E1728),ForeCalc!$B$36:$Y$36,0))))*VLOOKUP(A1728,Calendar!$A$2:$H$9997,8,FALSE),0)</f>
        <v/>
      </c>
      <c r="G1728" s="29">
        <f>VLOOKUP(A1728,Calendar!$A$1:$H$9997,6,FALSE)-F1728</f>
        <v/>
      </c>
      <c r="H1728" s="19" t="n">
        <v>2</v>
      </c>
      <c r="I1728" s="57" t="n">
        <v>9</v>
      </c>
    </row>
    <row r="1729">
      <c r="A1729" s="62" t="n">
        <v>46744</v>
      </c>
      <c r="B1729" s="3" t="inlineStr">
        <is>
          <t>Week</t>
        </is>
      </c>
      <c r="C1729" s="19" t="n">
        <v>12</v>
      </c>
      <c r="D1729" s="19" t="n">
        <v>2027</v>
      </c>
      <c r="E1729" s="57" t="n">
        <v>2</v>
      </c>
      <c r="F1729" s="29">
        <f>ROUND(((SUMIFS(Calendar!$F$2:$F$9997,Calendar!$B$2:$B$9997,D1729,Calendar!$C$2:$C$9997,C1729)*INDEX(ForeCalc!$B$37:$Y$274,MATCH(_xlfn.CONCAT(H1729," ",I1729),ForeCalc!$A$37:$A$274,0),MATCH(_xlfn.CONCAT(B1729," ",E1729),ForeCalc!$B$36:$Y$36,0))))*VLOOKUP(A1729,Calendar!$A$2:$H$9997,8,FALSE),0)</f>
        <v/>
      </c>
      <c r="G1729" s="29">
        <f>VLOOKUP(A1729,Calendar!$A$1:$H$9997,6,FALSE)-F1729</f>
        <v/>
      </c>
      <c r="H1729" s="19" t="n">
        <v>2</v>
      </c>
      <c r="I1729" s="57" t="n">
        <v>9</v>
      </c>
    </row>
    <row r="1730">
      <c r="A1730" s="62" t="n">
        <v>46745</v>
      </c>
      <c r="B1730" s="3" t="inlineStr">
        <is>
          <t>Week</t>
        </is>
      </c>
      <c r="C1730" s="19" t="n">
        <v>12</v>
      </c>
      <c r="D1730" s="19" t="n">
        <v>2027</v>
      </c>
      <c r="E1730" s="57" t="n">
        <v>2</v>
      </c>
      <c r="F1730" s="29">
        <f>ROUND(((SUMIFS(Calendar!$F$2:$F$9997,Calendar!$B$2:$B$9997,D1730,Calendar!$C$2:$C$9997,C1730)*INDEX(ForeCalc!$B$37:$Y$274,MATCH(_xlfn.CONCAT(H1730," ",I1730),ForeCalc!$A$37:$A$274,0),MATCH(_xlfn.CONCAT(B1730," ",E1730),ForeCalc!$B$36:$Y$36,0))))*VLOOKUP(A1730,Calendar!$A$2:$H$9997,8,FALSE),0)</f>
        <v/>
      </c>
      <c r="G1730" s="29">
        <f>VLOOKUP(A1730,Calendar!$A$1:$H$9997,6,FALSE)-F1730</f>
        <v/>
      </c>
      <c r="H1730" s="19" t="n">
        <v>2</v>
      </c>
      <c r="I1730" s="57" t="n">
        <v>9</v>
      </c>
    </row>
    <row r="1731">
      <c r="A1731" s="62" t="n">
        <v>46746</v>
      </c>
      <c r="B1731" s="3" t="inlineStr">
        <is>
          <t>Sat</t>
        </is>
      </c>
      <c r="C1731" s="19" t="n">
        <v>12</v>
      </c>
      <c r="D1731" s="19" t="n">
        <v>2027</v>
      </c>
      <c r="E1731" s="57" t="n">
        <v>2</v>
      </c>
      <c r="F1731" s="29">
        <f>ROUND(((SUMIFS(Calendar!$F$2:$F$9997,Calendar!$B$2:$B$9997,D1731,Calendar!$C$2:$C$9997,C1731)*INDEX(ForeCalc!$B$37:$Y$274,MATCH(_xlfn.CONCAT(H1731," ",I1731),ForeCalc!$A$37:$A$274,0),MATCH(_xlfn.CONCAT(B1731," ",E1731),ForeCalc!$B$36:$Y$36,0))))*VLOOKUP(A1731,Calendar!$A$2:$H$9997,8,FALSE),0)</f>
        <v/>
      </c>
      <c r="G1731" s="29">
        <f>VLOOKUP(A1731,Calendar!$A$1:$H$9997,6,FALSE)-F1731</f>
        <v/>
      </c>
      <c r="H1731" s="19" t="n">
        <v>2</v>
      </c>
      <c r="I1731" s="57" t="n">
        <v>9</v>
      </c>
    </row>
    <row r="1732">
      <c r="A1732" s="62" t="n">
        <v>46747</v>
      </c>
      <c r="B1732" s="3" t="inlineStr">
        <is>
          <t>Sun</t>
        </is>
      </c>
      <c r="C1732" s="19" t="n">
        <v>12</v>
      </c>
      <c r="D1732" s="19" t="n">
        <v>2027</v>
      </c>
      <c r="E1732" s="57" t="n">
        <v>2</v>
      </c>
      <c r="F1732" s="29">
        <f>ROUND(((SUMIFS(Calendar!$F$2:$F$9997,Calendar!$B$2:$B$9997,D1732,Calendar!$C$2:$C$9997,C1732)*INDEX(ForeCalc!$B$37:$Y$274,MATCH(_xlfn.CONCAT(H1732," ",I1732),ForeCalc!$A$37:$A$274,0),MATCH(_xlfn.CONCAT(B1732," ",E1732),ForeCalc!$B$36:$Y$36,0))))*VLOOKUP(A1732,Calendar!$A$2:$H$9997,8,FALSE),0)</f>
        <v/>
      </c>
      <c r="G1732" s="29">
        <f>VLOOKUP(A1732,Calendar!$A$1:$H$9997,6,FALSE)-F1732</f>
        <v/>
      </c>
      <c r="H1732" s="19" t="n">
        <v>2</v>
      </c>
      <c r="I1732" s="57" t="n">
        <v>9</v>
      </c>
    </row>
    <row r="1733">
      <c r="A1733" s="62" t="n">
        <v>46748</v>
      </c>
      <c r="B1733" s="3" t="inlineStr">
        <is>
          <t>Week</t>
        </is>
      </c>
      <c r="C1733" s="19" t="n">
        <v>12</v>
      </c>
      <c r="D1733" s="19" t="n">
        <v>2027</v>
      </c>
      <c r="E1733" s="57" t="n">
        <v>2</v>
      </c>
      <c r="F1733" s="29">
        <f>ROUND(((SUMIFS(Calendar!$F$2:$F$9997,Calendar!$B$2:$B$9997,D1733,Calendar!$C$2:$C$9997,C1733)*INDEX(ForeCalc!$B$37:$Y$274,MATCH(_xlfn.CONCAT(H1733," ",I1733),ForeCalc!$A$37:$A$274,0),MATCH(_xlfn.CONCAT(B1733," ",E1733),ForeCalc!$B$36:$Y$36,0))))*VLOOKUP(A1733,Calendar!$A$2:$H$9997,8,FALSE),0)</f>
        <v/>
      </c>
      <c r="G1733" s="29">
        <f>VLOOKUP(A1733,Calendar!$A$1:$H$9997,6,FALSE)-F1733</f>
        <v/>
      </c>
      <c r="H1733" s="19" t="n">
        <v>2</v>
      </c>
      <c r="I1733" s="57" t="n">
        <v>9</v>
      </c>
    </row>
    <row r="1734">
      <c r="A1734" s="62" t="n">
        <v>46749</v>
      </c>
      <c r="B1734" s="3" t="inlineStr">
        <is>
          <t>Week</t>
        </is>
      </c>
      <c r="C1734" s="19" t="n">
        <v>12</v>
      </c>
      <c r="D1734" s="19" t="n">
        <v>2027</v>
      </c>
      <c r="E1734" s="57" t="n">
        <v>2</v>
      </c>
      <c r="F1734" s="29">
        <f>ROUND(((SUMIFS(Calendar!$F$2:$F$9997,Calendar!$B$2:$B$9997,D1734,Calendar!$C$2:$C$9997,C1734)*INDEX(ForeCalc!$B$37:$Y$274,MATCH(_xlfn.CONCAT(H1734," ",I1734),ForeCalc!$A$37:$A$274,0),MATCH(_xlfn.CONCAT(B1734," ",E1734),ForeCalc!$B$36:$Y$36,0))))*VLOOKUP(A1734,Calendar!$A$2:$H$9997,8,FALSE),0)</f>
        <v/>
      </c>
      <c r="G1734" s="29">
        <f>VLOOKUP(A1734,Calendar!$A$1:$H$9997,6,FALSE)-F1734</f>
        <v/>
      </c>
      <c r="H1734" s="19" t="n">
        <v>2</v>
      </c>
      <c r="I1734" s="57" t="n">
        <v>9</v>
      </c>
    </row>
    <row r="1735">
      <c r="A1735" s="62" t="n">
        <v>46750</v>
      </c>
      <c r="B1735" s="3" t="inlineStr">
        <is>
          <t>Week</t>
        </is>
      </c>
      <c r="C1735" s="19" t="n">
        <v>12</v>
      </c>
      <c r="D1735" s="19" t="n">
        <v>2027</v>
      </c>
      <c r="E1735" s="57" t="n">
        <v>2</v>
      </c>
      <c r="F1735" s="29">
        <f>ROUND(((SUMIFS(Calendar!$F$2:$F$9997,Calendar!$B$2:$B$9997,D1735,Calendar!$C$2:$C$9997,C1735)*INDEX(ForeCalc!$B$37:$Y$274,MATCH(_xlfn.CONCAT(H1735," ",I1735),ForeCalc!$A$37:$A$274,0),MATCH(_xlfn.CONCAT(B1735," ",E1735),ForeCalc!$B$36:$Y$36,0))))*VLOOKUP(A1735,Calendar!$A$2:$H$9997,8,FALSE),0)</f>
        <v/>
      </c>
      <c r="G1735" s="29">
        <f>VLOOKUP(A1735,Calendar!$A$1:$H$9997,6,FALSE)-F1735</f>
        <v/>
      </c>
      <c r="H1735" s="19" t="n">
        <v>2</v>
      </c>
      <c r="I1735" s="57" t="n">
        <v>9</v>
      </c>
    </row>
    <row r="1736">
      <c r="A1736" s="62" t="n">
        <v>46751</v>
      </c>
      <c r="B1736" s="3" t="inlineStr">
        <is>
          <t>Week</t>
        </is>
      </c>
      <c r="C1736" s="19" t="n">
        <v>12</v>
      </c>
      <c r="D1736" s="19" t="n">
        <v>2027</v>
      </c>
      <c r="E1736" s="57" t="n">
        <v>2</v>
      </c>
      <c r="F1736" s="29">
        <f>ROUND(((SUMIFS(Calendar!$F$2:$F$9997,Calendar!$B$2:$B$9997,D1736,Calendar!$C$2:$C$9997,C1736)*INDEX(ForeCalc!$B$37:$Y$274,MATCH(_xlfn.CONCAT(H1736," ",I1736),ForeCalc!$A$37:$A$274,0),MATCH(_xlfn.CONCAT(B1736," ",E1736),ForeCalc!$B$36:$Y$36,0))))*VLOOKUP(A1736,Calendar!$A$2:$H$9997,8,FALSE),0)</f>
        <v/>
      </c>
      <c r="G1736" s="29">
        <f>VLOOKUP(A1736,Calendar!$A$1:$H$9997,6,FALSE)-F1736</f>
        <v/>
      </c>
      <c r="H1736" s="19" t="n">
        <v>2</v>
      </c>
      <c r="I1736" s="57" t="n">
        <v>9</v>
      </c>
    </row>
    <row r="1737">
      <c r="A1737" s="62" t="n">
        <v>46752</v>
      </c>
      <c r="B1737" s="3" t="inlineStr">
        <is>
          <t>Week</t>
        </is>
      </c>
      <c r="C1737" s="19" t="n">
        <v>12</v>
      </c>
      <c r="D1737" s="19" t="n">
        <v>2027</v>
      </c>
      <c r="E1737" s="57" t="n">
        <v>2</v>
      </c>
      <c r="F1737" s="29">
        <f>ROUND(((SUMIFS(Calendar!$F$2:$F$9997,Calendar!$B$2:$B$9997,D1737,Calendar!$C$2:$C$9997,C1737)*INDEX(ForeCalc!$B$37:$Y$274,MATCH(_xlfn.CONCAT(H1737," ",I1737),ForeCalc!$A$37:$A$274,0),MATCH(_xlfn.CONCAT(B1737," ",E1737),ForeCalc!$B$36:$Y$36,0))))*VLOOKUP(A1737,Calendar!$A$2:$H$9997,8,FALSE),0)</f>
        <v/>
      </c>
      <c r="G1737" s="29">
        <f>VLOOKUP(A1737,Calendar!$A$1:$H$9997,6,FALSE)-F1737</f>
        <v/>
      </c>
      <c r="H1737" s="19" t="n">
        <v>2</v>
      </c>
      <c r="I1737" s="57" t="n">
        <v>9</v>
      </c>
    </row>
    <row r="1738">
      <c r="A1738" s="62" t="n">
        <v>46753</v>
      </c>
      <c r="B1738" s="3" t="inlineStr">
        <is>
          <t>Sat</t>
        </is>
      </c>
      <c r="C1738" s="19" t="n">
        <v>1</v>
      </c>
      <c r="D1738" s="19" t="n">
        <v>2028</v>
      </c>
      <c r="E1738" s="57" t="n">
        <v>2</v>
      </c>
      <c r="F1738" s="29">
        <f>ROUND(((SUMIFS(Calendar!$F$2:$F$9997,Calendar!$B$2:$B$9997,D1738,Calendar!$C$2:$C$9997,C1738)*INDEX(ForeCalc!$B$37:$Y$274,MATCH(_xlfn.CONCAT(H1738," ",I1738),ForeCalc!$A$37:$A$274,0),MATCH(_xlfn.CONCAT(B1738," ",E1738),ForeCalc!$B$36:$Y$36,0))))*VLOOKUP(A1738,Calendar!$A$2:$H$9997,8,FALSE),0)</f>
        <v/>
      </c>
      <c r="G1738" s="29">
        <f>VLOOKUP(A1738,Calendar!$A$1:$H$9997,6,FALSE)-F1738</f>
        <v/>
      </c>
      <c r="H1738" s="19" t="n">
        <v>2</v>
      </c>
      <c r="I1738" s="57" t="n">
        <v>10</v>
      </c>
    </row>
    <row r="1739">
      <c r="A1739" s="62" t="n">
        <v>46754</v>
      </c>
      <c r="B1739" s="3" t="inlineStr">
        <is>
          <t>Sun</t>
        </is>
      </c>
      <c r="C1739" s="19" t="n">
        <v>1</v>
      </c>
      <c r="D1739" s="19" t="n">
        <v>2028</v>
      </c>
      <c r="E1739" s="57" t="n">
        <v>2</v>
      </c>
      <c r="F1739" s="29">
        <f>ROUND(((SUMIFS(Calendar!$F$2:$F$9997,Calendar!$B$2:$B$9997,D1739,Calendar!$C$2:$C$9997,C1739)*INDEX(ForeCalc!$B$37:$Y$274,MATCH(_xlfn.CONCAT(H1739," ",I1739),ForeCalc!$A$37:$A$274,0),MATCH(_xlfn.CONCAT(B1739," ",E1739),ForeCalc!$B$36:$Y$36,0))))*VLOOKUP(A1739,Calendar!$A$2:$H$9997,8,FALSE),0)</f>
        <v/>
      </c>
      <c r="G1739" s="29">
        <f>VLOOKUP(A1739,Calendar!$A$1:$H$9997,6,FALSE)-F1739</f>
        <v/>
      </c>
      <c r="H1739" s="19" t="n">
        <v>2</v>
      </c>
      <c r="I1739" s="57" t="n">
        <v>10</v>
      </c>
    </row>
    <row r="1740">
      <c r="A1740" s="62" t="n">
        <v>46755</v>
      </c>
      <c r="B1740" s="3" t="inlineStr">
        <is>
          <t>Week</t>
        </is>
      </c>
      <c r="C1740" s="19" t="n">
        <v>1</v>
      </c>
      <c r="D1740" s="19" t="n">
        <v>2028</v>
      </c>
      <c r="E1740" s="57" t="n">
        <v>2</v>
      </c>
      <c r="F1740" s="29">
        <f>ROUND(((SUMIFS(Calendar!$F$2:$F$9997,Calendar!$B$2:$B$9997,D1740,Calendar!$C$2:$C$9997,C1740)*INDEX(ForeCalc!$B$37:$Y$274,MATCH(_xlfn.CONCAT(H1740," ",I1740),ForeCalc!$A$37:$A$274,0),MATCH(_xlfn.CONCAT(B1740," ",E1740),ForeCalc!$B$36:$Y$36,0))))*VLOOKUP(A1740,Calendar!$A$2:$H$9997,8,FALSE),0)</f>
        <v/>
      </c>
      <c r="G1740" s="29">
        <f>VLOOKUP(A1740,Calendar!$A$1:$H$9997,6,FALSE)-F1740</f>
        <v/>
      </c>
      <c r="H1740" s="19" t="n">
        <v>2</v>
      </c>
      <c r="I1740" s="57" t="n">
        <v>10</v>
      </c>
    </row>
    <row r="1741">
      <c r="A1741" s="62" t="n">
        <v>46756</v>
      </c>
      <c r="B1741" s="3" t="inlineStr">
        <is>
          <t>Week</t>
        </is>
      </c>
      <c r="C1741" s="19" t="n">
        <v>1</v>
      </c>
      <c r="D1741" s="19" t="n">
        <v>2028</v>
      </c>
      <c r="E1741" s="57" t="n">
        <v>2</v>
      </c>
      <c r="F1741" s="29">
        <f>ROUND(((SUMIFS(Calendar!$F$2:$F$9997,Calendar!$B$2:$B$9997,D1741,Calendar!$C$2:$C$9997,C1741)*INDEX(ForeCalc!$B$37:$Y$274,MATCH(_xlfn.CONCAT(H1741," ",I1741),ForeCalc!$A$37:$A$274,0),MATCH(_xlfn.CONCAT(B1741," ",E1741),ForeCalc!$B$36:$Y$36,0))))*VLOOKUP(A1741,Calendar!$A$2:$H$9997,8,FALSE),0)</f>
        <v/>
      </c>
      <c r="G1741" s="29">
        <f>VLOOKUP(A1741,Calendar!$A$1:$H$9997,6,FALSE)-F1741</f>
        <v/>
      </c>
      <c r="H1741" s="19" t="n">
        <v>2</v>
      </c>
      <c r="I1741" s="57" t="n">
        <v>10</v>
      </c>
    </row>
    <row r="1742">
      <c r="A1742" s="62" t="n">
        <v>46757</v>
      </c>
      <c r="B1742" s="3" t="inlineStr">
        <is>
          <t>Week</t>
        </is>
      </c>
      <c r="C1742" s="19" t="n">
        <v>1</v>
      </c>
      <c r="D1742" s="19" t="n">
        <v>2028</v>
      </c>
      <c r="E1742" s="57" t="n">
        <v>2</v>
      </c>
      <c r="F1742" s="29">
        <f>ROUND(((SUMIFS(Calendar!$F$2:$F$9997,Calendar!$B$2:$B$9997,D1742,Calendar!$C$2:$C$9997,C1742)*INDEX(ForeCalc!$B$37:$Y$274,MATCH(_xlfn.CONCAT(H1742," ",I1742),ForeCalc!$A$37:$A$274,0),MATCH(_xlfn.CONCAT(B1742," ",E1742),ForeCalc!$B$36:$Y$36,0))))*VLOOKUP(A1742,Calendar!$A$2:$H$9997,8,FALSE),0)</f>
        <v/>
      </c>
      <c r="G1742" s="29">
        <f>VLOOKUP(A1742,Calendar!$A$1:$H$9997,6,FALSE)-F1742</f>
        <v/>
      </c>
      <c r="H1742" s="19" t="n">
        <v>2</v>
      </c>
      <c r="I1742" s="57" t="n">
        <v>10</v>
      </c>
    </row>
    <row r="1743">
      <c r="A1743" s="62" t="n">
        <v>46758</v>
      </c>
      <c r="B1743" s="3" t="inlineStr">
        <is>
          <t>Week</t>
        </is>
      </c>
      <c r="C1743" s="19" t="n">
        <v>1</v>
      </c>
      <c r="D1743" s="19" t="n">
        <v>2028</v>
      </c>
      <c r="E1743" s="57" t="n">
        <v>2</v>
      </c>
      <c r="F1743" s="29">
        <f>ROUND(((SUMIFS(Calendar!$F$2:$F$9997,Calendar!$B$2:$B$9997,D1743,Calendar!$C$2:$C$9997,C1743)*INDEX(ForeCalc!$B$37:$Y$274,MATCH(_xlfn.CONCAT(H1743," ",I1743),ForeCalc!$A$37:$A$274,0),MATCH(_xlfn.CONCAT(B1743," ",E1743),ForeCalc!$B$36:$Y$36,0))))*VLOOKUP(A1743,Calendar!$A$2:$H$9997,8,FALSE),0)</f>
        <v/>
      </c>
      <c r="G1743" s="29">
        <f>VLOOKUP(A1743,Calendar!$A$1:$H$9997,6,FALSE)-F1743</f>
        <v/>
      </c>
      <c r="H1743" s="19" t="n">
        <v>2</v>
      </c>
      <c r="I1743" s="57" t="n">
        <v>10</v>
      </c>
    </row>
    <row r="1744">
      <c r="A1744" s="62" t="n">
        <v>46759</v>
      </c>
      <c r="B1744" s="3" t="inlineStr">
        <is>
          <t>Week</t>
        </is>
      </c>
      <c r="C1744" s="19" t="n">
        <v>1</v>
      </c>
      <c r="D1744" s="19" t="n">
        <v>2028</v>
      </c>
      <c r="E1744" s="57" t="n">
        <v>2</v>
      </c>
      <c r="F1744" s="29">
        <f>ROUND(((SUMIFS(Calendar!$F$2:$F$9997,Calendar!$B$2:$B$9997,D1744,Calendar!$C$2:$C$9997,C1744)*INDEX(ForeCalc!$B$37:$Y$274,MATCH(_xlfn.CONCAT(H1744," ",I1744),ForeCalc!$A$37:$A$274,0),MATCH(_xlfn.CONCAT(B1744," ",E1744),ForeCalc!$B$36:$Y$36,0))))*VLOOKUP(A1744,Calendar!$A$2:$H$9997,8,FALSE),0)</f>
        <v/>
      </c>
      <c r="G1744" s="29">
        <f>VLOOKUP(A1744,Calendar!$A$1:$H$9997,6,FALSE)-F1744</f>
        <v/>
      </c>
      <c r="H1744" s="19" t="n">
        <v>2</v>
      </c>
      <c r="I1744" s="57" t="n">
        <v>10</v>
      </c>
    </row>
    <row r="1745">
      <c r="A1745" s="62" t="n">
        <v>46760</v>
      </c>
      <c r="B1745" s="3" t="inlineStr">
        <is>
          <t>Sat</t>
        </is>
      </c>
      <c r="C1745" s="19" t="n">
        <v>1</v>
      </c>
      <c r="D1745" s="19" t="n">
        <v>2028</v>
      </c>
      <c r="E1745" s="57" t="n">
        <v>2</v>
      </c>
      <c r="F1745" s="29">
        <f>ROUND(((SUMIFS(Calendar!$F$2:$F$9997,Calendar!$B$2:$B$9997,D1745,Calendar!$C$2:$C$9997,C1745)*INDEX(ForeCalc!$B$37:$Y$274,MATCH(_xlfn.CONCAT(H1745," ",I1745),ForeCalc!$A$37:$A$274,0),MATCH(_xlfn.CONCAT(B1745," ",E1745),ForeCalc!$B$36:$Y$36,0))))*VLOOKUP(A1745,Calendar!$A$2:$H$9997,8,FALSE),0)</f>
        <v/>
      </c>
      <c r="G1745" s="29">
        <f>VLOOKUP(A1745,Calendar!$A$1:$H$9997,6,FALSE)-F1745</f>
        <v/>
      </c>
      <c r="H1745" s="19" t="n">
        <v>2</v>
      </c>
      <c r="I1745" s="57" t="n">
        <v>10</v>
      </c>
    </row>
    <row r="1746">
      <c r="A1746" s="62" t="n">
        <v>46761</v>
      </c>
      <c r="B1746" s="3" t="inlineStr">
        <is>
          <t>Sun</t>
        </is>
      </c>
      <c r="C1746" s="19" t="n">
        <v>1</v>
      </c>
      <c r="D1746" s="19" t="n">
        <v>2028</v>
      </c>
      <c r="E1746" s="57" t="n">
        <v>2</v>
      </c>
      <c r="F1746" s="29">
        <f>ROUND(((SUMIFS(Calendar!$F$2:$F$9997,Calendar!$B$2:$B$9997,D1746,Calendar!$C$2:$C$9997,C1746)*INDEX(ForeCalc!$B$37:$Y$274,MATCH(_xlfn.CONCAT(H1746," ",I1746),ForeCalc!$A$37:$A$274,0),MATCH(_xlfn.CONCAT(B1746," ",E1746),ForeCalc!$B$36:$Y$36,0))))*VLOOKUP(A1746,Calendar!$A$2:$H$9997,8,FALSE),0)</f>
        <v/>
      </c>
      <c r="G1746" s="29">
        <f>VLOOKUP(A1746,Calendar!$A$1:$H$9997,6,FALSE)-F1746</f>
        <v/>
      </c>
      <c r="H1746" s="19" t="n">
        <v>2</v>
      </c>
      <c r="I1746" s="57" t="n">
        <v>10</v>
      </c>
    </row>
    <row r="1747">
      <c r="A1747" s="62" t="n">
        <v>46762</v>
      </c>
      <c r="B1747" s="3" t="inlineStr">
        <is>
          <t>Week</t>
        </is>
      </c>
      <c r="C1747" s="19" t="n">
        <v>1</v>
      </c>
      <c r="D1747" s="19" t="n">
        <v>2028</v>
      </c>
      <c r="E1747" s="57" t="n">
        <v>2</v>
      </c>
      <c r="F1747" s="29">
        <f>ROUND(((SUMIFS(Calendar!$F$2:$F$9997,Calendar!$B$2:$B$9997,D1747,Calendar!$C$2:$C$9997,C1747)*INDEX(ForeCalc!$B$37:$Y$274,MATCH(_xlfn.CONCAT(H1747," ",I1747),ForeCalc!$A$37:$A$274,0),MATCH(_xlfn.CONCAT(B1747," ",E1747),ForeCalc!$B$36:$Y$36,0))))*VLOOKUP(A1747,Calendar!$A$2:$H$9997,8,FALSE),0)</f>
        <v/>
      </c>
      <c r="G1747" s="29">
        <f>VLOOKUP(A1747,Calendar!$A$1:$H$9997,6,FALSE)-F1747</f>
        <v/>
      </c>
      <c r="H1747" s="19" t="n">
        <v>2</v>
      </c>
      <c r="I1747" s="57" t="n">
        <v>10</v>
      </c>
    </row>
    <row r="1748">
      <c r="A1748" s="62" t="n">
        <v>46763</v>
      </c>
      <c r="B1748" s="3" t="inlineStr">
        <is>
          <t>Week</t>
        </is>
      </c>
      <c r="C1748" s="19" t="n">
        <v>1</v>
      </c>
      <c r="D1748" s="19" t="n">
        <v>2028</v>
      </c>
      <c r="E1748" s="57" t="n">
        <v>2</v>
      </c>
      <c r="F1748" s="29">
        <f>ROUND(((SUMIFS(Calendar!$F$2:$F$9997,Calendar!$B$2:$B$9997,D1748,Calendar!$C$2:$C$9997,C1748)*INDEX(ForeCalc!$B$37:$Y$274,MATCH(_xlfn.CONCAT(H1748," ",I1748),ForeCalc!$A$37:$A$274,0),MATCH(_xlfn.CONCAT(B1748," ",E1748),ForeCalc!$B$36:$Y$36,0))))*VLOOKUP(A1748,Calendar!$A$2:$H$9997,8,FALSE),0)</f>
        <v/>
      </c>
      <c r="G1748" s="29">
        <f>VLOOKUP(A1748,Calendar!$A$1:$H$9997,6,FALSE)-F1748</f>
        <v/>
      </c>
      <c r="H1748" s="19" t="n">
        <v>2</v>
      </c>
      <c r="I1748" s="57" t="n">
        <v>10</v>
      </c>
    </row>
    <row r="1749">
      <c r="A1749" s="62" t="n">
        <v>46764</v>
      </c>
      <c r="B1749" s="3" t="inlineStr">
        <is>
          <t>Week</t>
        </is>
      </c>
      <c r="C1749" s="19" t="n">
        <v>1</v>
      </c>
      <c r="D1749" s="19" t="n">
        <v>2028</v>
      </c>
      <c r="E1749" s="57" t="n">
        <v>2</v>
      </c>
      <c r="F1749" s="29">
        <f>ROUND(((SUMIFS(Calendar!$F$2:$F$9997,Calendar!$B$2:$B$9997,D1749,Calendar!$C$2:$C$9997,C1749)*INDEX(ForeCalc!$B$37:$Y$274,MATCH(_xlfn.CONCAT(H1749," ",I1749),ForeCalc!$A$37:$A$274,0),MATCH(_xlfn.CONCAT(B1749," ",E1749),ForeCalc!$B$36:$Y$36,0))))*VLOOKUP(A1749,Calendar!$A$2:$H$9997,8,FALSE),0)</f>
        <v/>
      </c>
      <c r="G1749" s="29">
        <f>VLOOKUP(A1749,Calendar!$A$1:$H$9997,6,FALSE)-F1749</f>
        <v/>
      </c>
      <c r="H1749" s="19" t="n">
        <v>2</v>
      </c>
      <c r="I1749" s="57" t="n">
        <v>10</v>
      </c>
    </row>
    <row r="1750">
      <c r="A1750" s="62" t="n">
        <v>46765</v>
      </c>
      <c r="B1750" s="3" t="inlineStr">
        <is>
          <t>Week</t>
        </is>
      </c>
      <c r="C1750" s="19" t="n">
        <v>1</v>
      </c>
      <c r="D1750" s="19" t="n">
        <v>2028</v>
      </c>
      <c r="E1750" s="57" t="n">
        <v>2</v>
      </c>
      <c r="F1750" s="29">
        <f>ROUND(((SUMIFS(Calendar!$F$2:$F$9997,Calendar!$B$2:$B$9997,D1750,Calendar!$C$2:$C$9997,C1750)*INDEX(ForeCalc!$B$37:$Y$274,MATCH(_xlfn.CONCAT(H1750," ",I1750),ForeCalc!$A$37:$A$274,0),MATCH(_xlfn.CONCAT(B1750," ",E1750),ForeCalc!$B$36:$Y$36,0))))*VLOOKUP(A1750,Calendar!$A$2:$H$9997,8,FALSE),0)</f>
        <v/>
      </c>
      <c r="G1750" s="29">
        <f>VLOOKUP(A1750,Calendar!$A$1:$H$9997,6,FALSE)-F1750</f>
        <v/>
      </c>
      <c r="H1750" s="19" t="n">
        <v>2</v>
      </c>
      <c r="I1750" s="57" t="n">
        <v>10</v>
      </c>
    </row>
    <row r="1751">
      <c r="A1751" s="62" t="n">
        <v>46766</v>
      </c>
      <c r="B1751" s="3" t="inlineStr">
        <is>
          <t>Week</t>
        </is>
      </c>
      <c r="C1751" s="19" t="n">
        <v>1</v>
      </c>
      <c r="D1751" s="19" t="n">
        <v>2028</v>
      </c>
      <c r="E1751" s="57" t="n">
        <v>2</v>
      </c>
      <c r="F1751" s="29">
        <f>ROUND(((SUMIFS(Calendar!$F$2:$F$9997,Calendar!$B$2:$B$9997,D1751,Calendar!$C$2:$C$9997,C1751)*INDEX(ForeCalc!$B$37:$Y$274,MATCH(_xlfn.CONCAT(H1751," ",I1751),ForeCalc!$A$37:$A$274,0),MATCH(_xlfn.CONCAT(B1751," ",E1751),ForeCalc!$B$36:$Y$36,0))))*VLOOKUP(A1751,Calendar!$A$2:$H$9997,8,FALSE),0)</f>
        <v/>
      </c>
      <c r="G1751" s="29">
        <f>VLOOKUP(A1751,Calendar!$A$1:$H$9997,6,FALSE)-F1751</f>
        <v/>
      </c>
      <c r="H1751" s="19" t="n">
        <v>2</v>
      </c>
      <c r="I1751" s="57" t="n">
        <v>10</v>
      </c>
    </row>
    <row r="1752">
      <c r="A1752" s="62" t="n">
        <v>46767</v>
      </c>
      <c r="B1752" s="3" t="inlineStr">
        <is>
          <t>Sat</t>
        </is>
      </c>
      <c r="C1752" s="19" t="n">
        <v>1</v>
      </c>
      <c r="D1752" s="19" t="n">
        <v>2028</v>
      </c>
      <c r="E1752" s="57" t="n">
        <v>2</v>
      </c>
      <c r="F1752" s="29">
        <f>ROUND(((SUMIFS(Calendar!$F$2:$F$9997,Calendar!$B$2:$B$9997,D1752,Calendar!$C$2:$C$9997,C1752)*INDEX(ForeCalc!$B$37:$Y$274,MATCH(_xlfn.CONCAT(H1752," ",I1752),ForeCalc!$A$37:$A$274,0),MATCH(_xlfn.CONCAT(B1752," ",E1752),ForeCalc!$B$36:$Y$36,0))))*VLOOKUP(A1752,Calendar!$A$2:$H$9997,8,FALSE),0)</f>
        <v/>
      </c>
      <c r="G1752" s="29">
        <f>VLOOKUP(A1752,Calendar!$A$1:$H$9997,6,FALSE)-F1752</f>
        <v/>
      </c>
      <c r="H1752" s="19" t="n">
        <v>2</v>
      </c>
      <c r="I1752" s="57" t="n">
        <v>10</v>
      </c>
    </row>
    <row r="1753">
      <c r="A1753" s="62" t="n">
        <v>46768</v>
      </c>
      <c r="B1753" s="3" t="inlineStr">
        <is>
          <t>Sun</t>
        </is>
      </c>
      <c r="C1753" s="19" t="n">
        <v>1</v>
      </c>
      <c r="D1753" s="19" t="n">
        <v>2028</v>
      </c>
      <c r="E1753" s="57" t="n">
        <v>2</v>
      </c>
      <c r="F1753" s="29">
        <f>ROUND(((SUMIFS(Calendar!$F$2:$F$9997,Calendar!$B$2:$B$9997,D1753,Calendar!$C$2:$C$9997,C1753)*INDEX(ForeCalc!$B$37:$Y$274,MATCH(_xlfn.CONCAT(H1753," ",I1753),ForeCalc!$A$37:$A$274,0),MATCH(_xlfn.CONCAT(B1753," ",E1753),ForeCalc!$B$36:$Y$36,0))))*VLOOKUP(A1753,Calendar!$A$2:$H$9997,8,FALSE),0)</f>
        <v/>
      </c>
      <c r="G1753" s="29">
        <f>VLOOKUP(A1753,Calendar!$A$1:$H$9997,6,FALSE)-F1753</f>
        <v/>
      </c>
      <c r="H1753" s="19" t="n">
        <v>2</v>
      </c>
      <c r="I1753" s="57" t="n">
        <v>10</v>
      </c>
    </row>
    <row r="1754">
      <c r="A1754" s="62" t="n">
        <v>46769</v>
      </c>
      <c r="B1754" s="3" t="inlineStr">
        <is>
          <t>Week</t>
        </is>
      </c>
      <c r="C1754" s="19" t="n">
        <v>1</v>
      </c>
      <c r="D1754" s="19" t="n">
        <v>2028</v>
      </c>
      <c r="E1754" s="57" t="n">
        <v>2</v>
      </c>
      <c r="F1754" s="29">
        <f>ROUND(((SUMIFS(Calendar!$F$2:$F$9997,Calendar!$B$2:$B$9997,D1754,Calendar!$C$2:$C$9997,C1754)*INDEX(ForeCalc!$B$37:$Y$274,MATCH(_xlfn.CONCAT(H1754," ",I1754),ForeCalc!$A$37:$A$274,0),MATCH(_xlfn.CONCAT(B1754," ",E1754),ForeCalc!$B$36:$Y$36,0))))*VLOOKUP(A1754,Calendar!$A$2:$H$9997,8,FALSE),0)</f>
        <v/>
      </c>
      <c r="G1754" s="29">
        <f>VLOOKUP(A1754,Calendar!$A$1:$H$9997,6,FALSE)-F1754</f>
        <v/>
      </c>
      <c r="H1754" s="19" t="n">
        <v>2</v>
      </c>
      <c r="I1754" s="57" t="n">
        <v>10</v>
      </c>
    </row>
    <row r="1755">
      <c r="A1755" s="62" t="n">
        <v>46770</v>
      </c>
      <c r="B1755" s="3" t="inlineStr">
        <is>
          <t>Week</t>
        </is>
      </c>
      <c r="C1755" s="19" t="n">
        <v>1</v>
      </c>
      <c r="D1755" s="19" t="n">
        <v>2028</v>
      </c>
      <c r="E1755" s="57" t="n">
        <v>2</v>
      </c>
      <c r="F1755" s="29">
        <f>ROUND(((SUMIFS(Calendar!$F$2:$F$9997,Calendar!$B$2:$B$9997,D1755,Calendar!$C$2:$C$9997,C1755)*INDEX(ForeCalc!$B$37:$Y$274,MATCH(_xlfn.CONCAT(H1755," ",I1755),ForeCalc!$A$37:$A$274,0),MATCH(_xlfn.CONCAT(B1755," ",E1755),ForeCalc!$B$36:$Y$36,0))))*VLOOKUP(A1755,Calendar!$A$2:$H$9997,8,FALSE),0)</f>
        <v/>
      </c>
      <c r="G1755" s="29">
        <f>VLOOKUP(A1755,Calendar!$A$1:$H$9997,6,FALSE)-F1755</f>
        <v/>
      </c>
      <c r="H1755" s="19" t="n">
        <v>2</v>
      </c>
      <c r="I1755" s="57" t="n">
        <v>10</v>
      </c>
    </row>
    <row r="1756">
      <c r="A1756" s="62" t="n">
        <v>46771</v>
      </c>
      <c r="B1756" s="3" t="inlineStr">
        <is>
          <t>Week</t>
        </is>
      </c>
      <c r="C1756" s="19" t="n">
        <v>1</v>
      </c>
      <c r="D1756" s="19" t="n">
        <v>2028</v>
      </c>
      <c r="E1756" s="57" t="n">
        <v>2</v>
      </c>
      <c r="F1756" s="29">
        <f>ROUND(((SUMIFS(Calendar!$F$2:$F$9997,Calendar!$B$2:$B$9997,D1756,Calendar!$C$2:$C$9997,C1756)*INDEX(ForeCalc!$B$37:$Y$274,MATCH(_xlfn.CONCAT(H1756," ",I1756),ForeCalc!$A$37:$A$274,0),MATCH(_xlfn.CONCAT(B1756," ",E1756),ForeCalc!$B$36:$Y$36,0))))*VLOOKUP(A1756,Calendar!$A$2:$H$9997,8,FALSE),0)</f>
        <v/>
      </c>
      <c r="G1756" s="29">
        <f>VLOOKUP(A1756,Calendar!$A$1:$H$9997,6,FALSE)-F1756</f>
        <v/>
      </c>
      <c r="H1756" s="19" t="n">
        <v>2</v>
      </c>
      <c r="I1756" s="57" t="n">
        <v>10</v>
      </c>
    </row>
    <row r="1757">
      <c r="A1757" s="62" t="n">
        <v>46772</v>
      </c>
      <c r="B1757" s="3" t="inlineStr">
        <is>
          <t>Week</t>
        </is>
      </c>
      <c r="C1757" s="19" t="n">
        <v>1</v>
      </c>
      <c r="D1757" s="19" t="n">
        <v>2028</v>
      </c>
      <c r="E1757" s="57" t="n">
        <v>2</v>
      </c>
      <c r="F1757" s="29">
        <f>ROUND(((SUMIFS(Calendar!$F$2:$F$9997,Calendar!$B$2:$B$9997,D1757,Calendar!$C$2:$C$9997,C1757)*INDEX(ForeCalc!$B$37:$Y$274,MATCH(_xlfn.CONCAT(H1757," ",I1757),ForeCalc!$A$37:$A$274,0),MATCH(_xlfn.CONCAT(B1757," ",E1757),ForeCalc!$B$36:$Y$36,0))))*VLOOKUP(A1757,Calendar!$A$2:$H$9997,8,FALSE),0)</f>
        <v/>
      </c>
      <c r="G1757" s="29">
        <f>VLOOKUP(A1757,Calendar!$A$1:$H$9997,6,FALSE)-F1757</f>
        <v/>
      </c>
      <c r="H1757" s="19" t="n">
        <v>2</v>
      </c>
      <c r="I1757" s="57" t="n">
        <v>10</v>
      </c>
    </row>
    <row r="1758">
      <c r="A1758" s="62" t="n">
        <v>46773</v>
      </c>
      <c r="B1758" s="3" t="inlineStr">
        <is>
          <t>Week</t>
        </is>
      </c>
      <c r="C1758" s="19" t="n">
        <v>1</v>
      </c>
      <c r="D1758" s="19" t="n">
        <v>2028</v>
      </c>
      <c r="E1758" s="57" t="n">
        <v>2</v>
      </c>
      <c r="F1758" s="29">
        <f>ROUND(((SUMIFS(Calendar!$F$2:$F$9997,Calendar!$B$2:$B$9997,D1758,Calendar!$C$2:$C$9997,C1758)*INDEX(ForeCalc!$B$37:$Y$274,MATCH(_xlfn.CONCAT(H1758," ",I1758),ForeCalc!$A$37:$A$274,0),MATCH(_xlfn.CONCAT(B1758," ",E1758),ForeCalc!$B$36:$Y$36,0))))*VLOOKUP(A1758,Calendar!$A$2:$H$9997,8,FALSE),0)</f>
        <v/>
      </c>
      <c r="G1758" s="29">
        <f>VLOOKUP(A1758,Calendar!$A$1:$H$9997,6,FALSE)-F1758</f>
        <v/>
      </c>
      <c r="H1758" s="19" t="n">
        <v>2</v>
      </c>
      <c r="I1758" s="57" t="n">
        <v>10</v>
      </c>
    </row>
    <row r="1759">
      <c r="A1759" s="62" t="n">
        <v>46774</v>
      </c>
      <c r="B1759" s="3" t="inlineStr">
        <is>
          <t>Sat</t>
        </is>
      </c>
      <c r="C1759" s="19" t="n">
        <v>1</v>
      </c>
      <c r="D1759" s="19" t="n">
        <v>2028</v>
      </c>
      <c r="E1759" s="57" t="n">
        <v>2</v>
      </c>
      <c r="F1759" s="29">
        <f>ROUND(((SUMIFS(Calendar!$F$2:$F$9997,Calendar!$B$2:$B$9997,D1759,Calendar!$C$2:$C$9997,C1759)*INDEX(ForeCalc!$B$37:$Y$274,MATCH(_xlfn.CONCAT(H1759," ",I1759),ForeCalc!$A$37:$A$274,0),MATCH(_xlfn.CONCAT(B1759," ",E1759),ForeCalc!$B$36:$Y$36,0))))*VLOOKUP(A1759,Calendar!$A$2:$H$9997,8,FALSE),0)</f>
        <v/>
      </c>
      <c r="G1759" s="29">
        <f>VLOOKUP(A1759,Calendar!$A$1:$H$9997,6,FALSE)-F1759</f>
        <v/>
      </c>
      <c r="H1759" s="19" t="n">
        <v>2</v>
      </c>
      <c r="I1759" s="57" t="n">
        <v>10</v>
      </c>
    </row>
    <row r="1760">
      <c r="A1760" s="62" t="n">
        <v>46775</v>
      </c>
      <c r="B1760" s="3" t="inlineStr">
        <is>
          <t>Sun</t>
        </is>
      </c>
      <c r="C1760" s="19" t="n">
        <v>1</v>
      </c>
      <c r="D1760" s="19" t="n">
        <v>2028</v>
      </c>
      <c r="E1760" s="57" t="n">
        <v>2</v>
      </c>
      <c r="F1760" s="29">
        <f>ROUND(((SUMIFS(Calendar!$F$2:$F$9997,Calendar!$B$2:$B$9997,D1760,Calendar!$C$2:$C$9997,C1760)*INDEX(ForeCalc!$B$37:$Y$274,MATCH(_xlfn.CONCAT(H1760," ",I1760),ForeCalc!$A$37:$A$274,0),MATCH(_xlfn.CONCAT(B1760," ",E1760),ForeCalc!$B$36:$Y$36,0))))*VLOOKUP(A1760,Calendar!$A$2:$H$9997,8,FALSE),0)</f>
        <v/>
      </c>
      <c r="G1760" s="29">
        <f>VLOOKUP(A1760,Calendar!$A$1:$H$9997,6,FALSE)-F1760</f>
        <v/>
      </c>
      <c r="H1760" s="19" t="n">
        <v>2</v>
      </c>
      <c r="I1760" s="57" t="n">
        <v>10</v>
      </c>
    </row>
    <row r="1761">
      <c r="A1761" s="62" t="n">
        <v>46776</v>
      </c>
      <c r="B1761" s="3" t="inlineStr">
        <is>
          <t>Week</t>
        </is>
      </c>
      <c r="C1761" s="19" t="n">
        <v>1</v>
      </c>
      <c r="D1761" s="19" t="n">
        <v>2028</v>
      </c>
      <c r="E1761" s="57" t="n">
        <v>2</v>
      </c>
      <c r="F1761" s="29">
        <f>ROUND(((SUMIFS(Calendar!$F$2:$F$9997,Calendar!$B$2:$B$9997,D1761,Calendar!$C$2:$C$9997,C1761)*INDEX(ForeCalc!$B$37:$Y$274,MATCH(_xlfn.CONCAT(H1761," ",I1761),ForeCalc!$A$37:$A$274,0),MATCH(_xlfn.CONCAT(B1761," ",E1761),ForeCalc!$B$36:$Y$36,0))))*VLOOKUP(A1761,Calendar!$A$2:$H$9997,8,FALSE),0)</f>
        <v/>
      </c>
      <c r="G1761" s="29">
        <f>VLOOKUP(A1761,Calendar!$A$1:$H$9997,6,FALSE)-F1761</f>
        <v/>
      </c>
      <c r="H1761" s="19" t="n">
        <v>2</v>
      </c>
      <c r="I1761" s="57" t="n">
        <v>10</v>
      </c>
    </row>
    <row r="1762">
      <c r="A1762" s="62" t="n">
        <v>46777</v>
      </c>
      <c r="B1762" s="3" t="inlineStr">
        <is>
          <t>Week</t>
        </is>
      </c>
      <c r="C1762" s="19" t="n">
        <v>1</v>
      </c>
      <c r="D1762" s="19" t="n">
        <v>2028</v>
      </c>
      <c r="E1762" s="57" t="n">
        <v>2</v>
      </c>
      <c r="F1762" s="29">
        <f>ROUND(((SUMIFS(Calendar!$F$2:$F$9997,Calendar!$B$2:$B$9997,D1762,Calendar!$C$2:$C$9997,C1762)*INDEX(ForeCalc!$B$37:$Y$274,MATCH(_xlfn.CONCAT(H1762," ",I1762),ForeCalc!$A$37:$A$274,0),MATCH(_xlfn.CONCAT(B1762," ",E1762),ForeCalc!$B$36:$Y$36,0))))*VLOOKUP(A1762,Calendar!$A$2:$H$9997,8,FALSE),0)</f>
        <v/>
      </c>
      <c r="G1762" s="29">
        <f>VLOOKUP(A1762,Calendar!$A$1:$H$9997,6,FALSE)-F1762</f>
        <v/>
      </c>
      <c r="H1762" s="19" t="n">
        <v>2</v>
      </c>
      <c r="I1762" s="57" t="n">
        <v>10</v>
      </c>
    </row>
    <row r="1763">
      <c r="A1763" s="62" t="n">
        <v>46778</v>
      </c>
      <c r="B1763" s="3" t="inlineStr">
        <is>
          <t>Week</t>
        </is>
      </c>
      <c r="C1763" s="19" t="n">
        <v>1</v>
      </c>
      <c r="D1763" s="19" t="n">
        <v>2028</v>
      </c>
      <c r="E1763" s="57" t="n">
        <v>2</v>
      </c>
      <c r="F1763" s="29">
        <f>ROUND(((SUMIFS(Calendar!$F$2:$F$9997,Calendar!$B$2:$B$9997,D1763,Calendar!$C$2:$C$9997,C1763)*INDEX(ForeCalc!$B$37:$Y$274,MATCH(_xlfn.CONCAT(H1763," ",I1763),ForeCalc!$A$37:$A$274,0),MATCH(_xlfn.CONCAT(B1763," ",E1763),ForeCalc!$B$36:$Y$36,0))))*VLOOKUP(A1763,Calendar!$A$2:$H$9997,8,FALSE),0)</f>
        <v/>
      </c>
      <c r="G1763" s="29">
        <f>VLOOKUP(A1763,Calendar!$A$1:$H$9997,6,FALSE)-F1763</f>
        <v/>
      </c>
      <c r="H1763" s="19" t="n">
        <v>2</v>
      </c>
      <c r="I1763" s="57" t="n">
        <v>10</v>
      </c>
    </row>
    <row r="1764">
      <c r="A1764" s="62" t="n">
        <v>46779</v>
      </c>
      <c r="B1764" s="3" t="inlineStr">
        <is>
          <t>Week</t>
        </is>
      </c>
      <c r="C1764" s="19" t="n">
        <v>1</v>
      </c>
      <c r="D1764" s="19" t="n">
        <v>2028</v>
      </c>
      <c r="E1764" s="57" t="n">
        <v>2</v>
      </c>
      <c r="F1764" s="29">
        <f>ROUND(((SUMIFS(Calendar!$F$2:$F$9997,Calendar!$B$2:$B$9997,D1764,Calendar!$C$2:$C$9997,C1764)*INDEX(ForeCalc!$B$37:$Y$274,MATCH(_xlfn.CONCAT(H1764," ",I1764),ForeCalc!$A$37:$A$274,0),MATCH(_xlfn.CONCAT(B1764," ",E1764),ForeCalc!$B$36:$Y$36,0))))*VLOOKUP(A1764,Calendar!$A$2:$H$9997,8,FALSE),0)</f>
        <v/>
      </c>
      <c r="G1764" s="29">
        <f>VLOOKUP(A1764,Calendar!$A$1:$H$9997,6,FALSE)-F1764</f>
        <v/>
      </c>
      <c r="H1764" s="19" t="n">
        <v>2</v>
      </c>
      <c r="I1764" s="57" t="n">
        <v>10</v>
      </c>
    </row>
    <row r="1765">
      <c r="A1765" s="62" t="n">
        <v>46780</v>
      </c>
      <c r="B1765" s="3" t="inlineStr">
        <is>
          <t>Week</t>
        </is>
      </c>
      <c r="C1765" s="19" t="n">
        <v>1</v>
      </c>
      <c r="D1765" s="19" t="n">
        <v>2028</v>
      </c>
      <c r="E1765" s="57" t="n">
        <v>2</v>
      </c>
      <c r="F1765" s="29">
        <f>ROUND(((SUMIFS(Calendar!$F$2:$F$9997,Calendar!$B$2:$B$9997,D1765,Calendar!$C$2:$C$9997,C1765)*INDEX(ForeCalc!$B$37:$Y$274,MATCH(_xlfn.CONCAT(H1765," ",I1765),ForeCalc!$A$37:$A$274,0),MATCH(_xlfn.CONCAT(B1765," ",E1765),ForeCalc!$B$36:$Y$36,0))))*VLOOKUP(A1765,Calendar!$A$2:$H$9997,8,FALSE),0)</f>
        <v/>
      </c>
      <c r="G1765" s="29">
        <f>VLOOKUP(A1765,Calendar!$A$1:$H$9997,6,FALSE)-F1765</f>
        <v/>
      </c>
      <c r="H1765" s="19" t="n">
        <v>2</v>
      </c>
      <c r="I1765" s="57" t="n">
        <v>10</v>
      </c>
    </row>
    <row r="1766">
      <c r="A1766" s="62" t="n">
        <v>46781</v>
      </c>
      <c r="B1766" s="3" t="inlineStr">
        <is>
          <t>Sat</t>
        </is>
      </c>
      <c r="C1766" s="19" t="n">
        <v>1</v>
      </c>
      <c r="D1766" s="19" t="n">
        <v>2028</v>
      </c>
      <c r="E1766" s="57" t="n">
        <v>2</v>
      </c>
      <c r="F1766" s="29">
        <f>ROUND(((SUMIFS(Calendar!$F$2:$F$9997,Calendar!$B$2:$B$9997,D1766,Calendar!$C$2:$C$9997,C1766)*INDEX(ForeCalc!$B$37:$Y$274,MATCH(_xlfn.CONCAT(H1766," ",I1766),ForeCalc!$A$37:$A$274,0),MATCH(_xlfn.CONCAT(B1766," ",E1766),ForeCalc!$B$36:$Y$36,0))))*VLOOKUP(A1766,Calendar!$A$2:$H$9997,8,FALSE),0)</f>
        <v/>
      </c>
      <c r="G1766" s="29">
        <f>VLOOKUP(A1766,Calendar!$A$1:$H$9997,6,FALSE)-F1766</f>
        <v/>
      </c>
      <c r="H1766" s="19" t="n">
        <v>2</v>
      </c>
      <c r="I1766" s="57" t="n">
        <v>10</v>
      </c>
    </row>
    <row r="1767">
      <c r="A1767" s="62" t="n">
        <v>46782</v>
      </c>
      <c r="B1767" s="3" t="inlineStr">
        <is>
          <t>Sun</t>
        </is>
      </c>
      <c r="C1767" s="19" t="n">
        <v>1</v>
      </c>
      <c r="D1767" s="19" t="n">
        <v>2028</v>
      </c>
      <c r="E1767" s="57" t="n">
        <v>2</v>
      </c>
      <c r="F1767" s="29">
        <f>ROUND(((SUMIFS(Calendar!$F$2:$F$9997,Calendar!$B$2:$B$9997,D1767,Calendar!$C$2:$C$9997,C1767)*INDEX(ForeCalc!$B$37:$Y$274,MATCH(_xlfn.CONCAT(H1767," ",I1767),ForeCalc!$A$37:$A$274,0),MATCH(_xlfn.CONCAT(B1767," ",E1767),ForeCalc!$B$36:$Y$36,0))))*VLOOKUP(A1767,Calendar!$A$2:$H$9997,8,FALSE),0)</f>
        <v/>
      </c>
      <c r="G1767" s="29">
        <f>VLOOKUP(A1767,Calendar!$A$1:$H$9997,6,FALSE)-F1767</f>
        <v/>
      </c>
      <c r="H1767" s="19" t="n">
        <v>2</v>
      </c>
      <c r="I1767" s="57" t="n">
        <v>10</v>
      </c>
    </row>
    <row r="1768">
      <c r="A1768" s="62" t="n">
        <v>46783</v>
      </c>
      <c r="B1768" s="3" t="inlineStr">
        <is>
          <t>Week</t>
        </is>
      </c>
      <c r="C1768" s="19" t="n">
        <v>1</v>
      </c>
      <c r="D1768" s="19" t="n">
        <v>2028</v>
      </c>
      <c r="E1768" s="57" t="n">
        <v>2</v>
      </c>
      <c r="F1768" s="29">
        <f>ROUND(((SUMIFS(Calendar!$F$2:$F$9997,Calendar!$B$2:$B$9997,D1768,Calendar!$C$2:$C$9997,C1768)*INDEX(ForeCalc!$B$37:$Y$274,MATCH(_xlfn.CONCAT(H1768," ",I1768),ForeCalc!$A$37:$A$274,0),MATCH(_xlfn.CONCAT(B1768," ",E1768),ForeCalc!$B$36:$Y$36,0))))*VLOOKUP(A1768,Calendar!$A$2:$H$9997,8,FALSE),0)</f>
        <v/>
      </c>
      <c r="G1768" s="29">
        <f>VLOOKUP(A1768,Calendar!$A$1:$H$9997,6,FALSE)-F1768</f>
        <v/>
      </c>
      <c r="H1768" s="19" t="n">
        <v>2</v>
      </c>
      <c r="I1768" s="57" t="n">
        <v>10</v>
      </c>
    </row>
    <row r="1769">
      <c r="A1769" s="62" t="n">
        <v>46784</v>
      </c>
      <c r="B1769" s="3" t="inlineStr">
        <is>
          <t>Week</t>
        </is>
      </c>
      <c r="C1769" s="19" t="n">
        <v>2</v>
      </c>
      <c r="D1769" s="19" t="n">
        <v>2028</v>
      </c>
      <c r="E1769" s="57" t="n">
        <v>2</v>
      </c>
      <c r="F1769" s="29">
        <f>ROUND(((SUMIFS(Calendar!$F$2:$F$9997,Calendar!$B$2:$B$9997,D1769,Calendar!$C$2:$C$9997,C1769)*INDEX(ForeCalc!$B$37:$Y$274,MATCH(_xlfn.CONCAT(H1769," ",I1769),ForeCalc!$A$37:$A$274,0),MATCH(_xlfn.CONCAT(B1769," ",E1769),ForeCalc!$B$36:$Y$36,0))))*VLOOKUP(A1769,Calendar!$A$2:$H$9997,8,FALSE),0)</f>
        <v/>
      </c>
      <c r="G1769" s="29">
        <f>VLOOKUP(A1769,Calendar!$A$1:$H$9997,6,FALSE)-F1769</f>
        <v/>
      </c>
      <c r="H1769" s="19" t="n">
        <v>2</v>
      </c>
      <c r="I1769" s="57" t="n">
        <v>11</v>
      </c>
    </row>
    <row r="1770">
      <c r="A1770" s="62" t="n">
        <v>46785</v>
      </c>
      <c r="B1770" s="3" t="inlineStr">
        <is>
          <t>Week</t>
        </is>
      </c>
      <c r="C1770" s="19" t="n">
        <v>2</v>
      </c>
      <c r="D1770" s="19" t="n">
        <v>2028</v>
      </c>
      <c r="E1770" s="57" t="n">
        <v>2</v>
      </c>
      <c r="F1770" s="29">
        <f>ROUND(((SUMIFS(Calendar!$F$2:$F$9997,Calendar!$B$2:$B$9997,D1770,Calendar!$C$2:$C$9997,C1770)*INDEX(ForeCalc!$B$37:$Y$274,MATCH(_xlfn.CONCAT(H1770," ",I1770),ForeCalc!$A$37:$A$274,0),MATCH(_xlfn.CONCAT(B1770," ",E1770),ForeCalc!$B$36:$Y$36,0))))*VLOOKUP(A1770,Calendar!$A$2:$H$9997,8,FALSE),0)</f>
        <v/>
      </c>
      <c r="G1770" s="29">
        <f>VLOOKUP(A1770,Calendar!$A$1:$H$9997,6,FALSE)-F1770</f>
        <v/>
      </c>
      <c r="H1770" s="19" t="n">
        <v>2</v>
      </c>
      <c r="I1770" s="57" t="n">
        <v>11</v>
      </c>
    </row>
    <row r="1771">
      <c r="A1771" s="62" t="n">
        <v>46786</v>
      </c>
      <c r="B1771" s="3" t="inlineStr">
        <is>
          <t>Week</t>
        </is>
      </c>
      <c r="C1771" s="19" t="n">
        <v>2</v>
      </c>
      <c r="D1771" s="19" t="n">
        <v>2028</v>
      </c>
      <c r="E1771" s="57" t="n">
        <v>2</v>
      </c>
      <c r="F1771" s="29">
        <f>ROUND(((SUMIFS(Calendar!$F$2:$F$9997,Calendar!$B$2:$B$9997,D1771,Calendar!$C$2:$C$9997,C1771)*INDEX(ForeCalc!$B$37:$Y$274,MATCH(_xlfn.CONCAT(H1771," ",I1771),ForeCalc!$A$37:$A$274,0),MATCH(_xlfn.CONCAT(B1771," ",E1771),ForeCalc!$B$36:$Y$36,0))))*VLOOKUP(A1771,Calendar!$A$2:$H$9997,8,FALSE),0)</f>
        <v/>
      </c>
      <c r="G1771" s="29">
        <f>VLOOKUP(A1771,Calendar!$A$1:$H$9997,6,FALSE)-F1771</f>
        <v/>
      </c>
      <c r="H1771" s="19" t="n">
        <v>2</v>
      </c>
      <c r="I1771" s="57" t="n">
        <v>11</v>
      </c>
    </row>
    <row r="1772">
      <c r="A1772" s="62" t="n">
        <v>46787</v>
      </c>
      <c r="B1772" s="3" t="inlineStr">
        <is>
          <t>Week</t>
        </is>
      </c>
      <c r="C1772" s="19" t="n">
        <v>2</v>
      </c>
      <c r="D1772" s="19" t="n">
        <v>2028</v>
      </c>
      <c r="E1772" s="57" t="n">
        <v>2</v>
      </c>
      <c r="F1772" s="29">
        <f>ROUND(((SUMIFS(Calendar!$F$2:$F$9997,Calendar!$B$2:$B$9997,D1772,Calendar!$C$2:$C$9997,C1772)*INDEX(ForeCalc!$B$37:$Y$274,MATCH(_xlfn.CONCAT(H1772," ",I1772),ForeCalc!$A$37:$A$274,0),MATCH(_xlfn.CONCAT(B1772," ",E1772),ForeCalc!$B$36:$Y$36,0))))*VLOOKUP(A1772,Calendar!$A$2:$H$9997,8,FALSE),0)</f>
        <v/>
      </c>
      <c r="G1772" s="29">
        <f>VLOOKUP(A1772,Calendar!$A$1:$H$9997,6,FALSE)-F1772</f>
        <v/>
      </c>
      <c r="H1772" s="19" t="n">
        <v>2</v>
      </c>
      <c r="I1772" s="57" t="n">
        <v>11</v>
      </c>
    </row>
    <row r="1773">
      <c r="A1773" s="62" t="n">
        <v>46788</v>
      </c>
      <c r="B1773" s="3" t="inlineStr">
        <is>
          <t>Sat</t>
        </is>
      </c>
      <c r="C1773" s="19" t="n">
        <v>2</v>
      </c>
      <c r="D1773" s="19" t="n">
        <v>2028</v>
      </c>
      <c r="E1773" s="57" t="n">
        <v>2</v>
      </c>
      <c r="F1773" s="29">
        <f>ROUND(((SUMIFS(Calendar!$F$2:$F$9997,Calendar!$B$2:$B$9997,D1773,Calendar!$C$2:$C$9997,C1773)*INDEX(ForeCalc!$B$37:$Y$274,MATCH(_xlfn.CONCAT(H1773," ",I1773),ForeCalc!$A$37:$A$274,0),MATCH(_xlfn.CONCAT(B1773," ",E1773),ForeCalc!$B$36:$Y$36,0))))*VLOOKUP(A1773,Calendar!$A$2:$H$9997,8,FALSE),0)</f>
        <v/>
      </c>
      <c r="G1773" s="29">
        <f>VLOOKUP(A1773,Calendar!$A$1:$H$9997,6,FALSE)-F1773</f>
        <v/>
      </c>
      <c r="H1773" s="19" t="n">
        <v>2</v>
      </c>
      <c r="I1773" s="57" t="n">
        <v>11</v>
      </c>
    </row>
    <row r="1774">
      <c r="A1774" s="62" t="n">
        <v>46789</v>
      </c>
      <c r="B1774" s="3" t="inlineStr">
        <is>
          <t>Sun</t>
        </is>
      </c>
      <c r="C1774" s="19" t="n">
        <v>2</v>
      </c>
      <c r="D1774" s="19" t="n">
        <v>2028</v>
      </c>
      <c r="E1774" s="57" t="n">
        <v>2</v>
      </c>
      <c r="F1774" s="29">
        <f>ROUND(((SUMIFS(Calendar!$F$2:$F$9997,Calendar!$B$2:$B$9997,D1774,Calendar!$C$2:$C$9997,C1774)*INDEX(ForeCalc!$B$37:$Y$274,MATCH(_xlfn.CONCAT(H1774," ",I1774),ForeCalc!$A$37:$A$274,0),MATCH(_xlfn.CONCAT(B1774," ",E1774),ForeCalc!$B$36:$Y$36,0))))*VLOOKUP(A1774,Calendar!$A$2:$H$9997,8,FALSE),0)</f>
        <v/>
      </c>
      <c r="G1774" s="29">
        <f>VLOOKUP(A1774,Calendar!$A$1:$H$9997,6,FALSE)-F1774</f>
        <v/>
      </c>
      <c r="H1774" s="19" t="n">
        <v>2</v>
      </c>
      <c r="I1774" s="57" t="n">
        <v>11</v>
      </c>
    </row>
    <row r="1775">
      <c r="A1775" s="62" t="n">
        <v>46790</v>
      </c>
      <c r="B1775" s="3" t="inlineStr">
        <is>
          <t>Week</t>
        </is>
      </c>
      <c r="C1775" s="19" t="n">
        <v>2</v>
      </c>
      <c r="D1775" s="19" t="n">
        <v>2028</v>
      </c>
      <c r="E1775" s="57" t="n">
        <v>2</v>
      </c>
      <c r="F1775" s="29">
        <f>ROUND(((SUMIFS(Calendar!$F$2:$F$9997,Calendar!$B$2:$B$9997,D1775,Calendar!$C$2:$C$9997,C1775)*INDEX(ForeCalc!$B$37:$Y$274,MATCH(_xlfn.CONCAT(H1775," ",I1775),ForeCalc!$A$37:$A$274,0),MATCH(_xlfn.CONCAT(B1775," ",E1775),ForeCalc!$B$36:$Y$36,0))))*VLOOKUP(A1775,Calendar!$A$2:$H$9997,8,FALSE),0)</f>
        <v/>
      </c>
      <c r="G1775" s="29">
        <f>VLOOKUP(A1775,Calendar!$A$1:$H$9997,6,FALSE)-F1775</f>
        <v/>
      </c>
      <c r="H1775" s="19" t="n">
        <v>2</v>
      </c>
      <c r="I1775" s="57" t="n">
        <v>11</v>
      </c>
    </row>
    <row r="1776">
      <c r="A1776" s="62" t="n">
        <v>46791</v>
      </c>
      <c r="B1776" s="3" t="inlineStr">
        <is>
          <t>Week</t>
        </is>
      </c>
      <c r="C1776" s="19" t="n">
        <v>2</v>
      </c>
      <c r="D1776" s="19" t="n">
        <v>2028</v>
      </c>
      <c r="E1776" s="57" t="n">
        <v>2</v>
      </c>
      <c r="F1776" s="29">
        <f>ROUND(((SUMIFS(Calendar!$F$2:$F$9997,Calendar!$B$2:$B$9997,D1776,Calendar!$C$2:$C$9997,C1776)*INDEX(ForeCalc!$B$37:$Y$274,MATCH(_xlfn.CONCAT(H1776," ",I1776),ForeCalc!$A$37:$A$274,0),MATCH(_xlfn.CONCAT(B1776," ",E1776),ForeCalc!$B$36:$Y$36,0))))*VLOOKUP(A1776,Calendar!$A$2:$H$9997,8,FALSE),0)</f>
        <v/>
      </c>
      <c r="G1776" s="29">
        <f>VLOOKUP(A1776,Calendar!$A$1:$H$9997,6,FALSE)-F1776</f>
        <v/>
      </c>
      <c r="H1776" s="19" t="n">
        <v>2</v>
      </c>
      <c r="I1776" s="57" t="n">
        <v>11</v>
      </c>
    </row>
    <row r="1777">
      <c r="A1777" s="62" t="n">
        <v>46792</v>
      </c>
      <c r="B1777" s="3" t="inlineStr">
        <is>
          <t>Week</t>
        </is>
      </c>
      <c r="C1777" s="19" t="n">
        <v>2</v>
      </c>
      <c r="D1777" s="19" t="n">
        <v>2028</v>
      </c>
      <c r="E1777" s="57" t="n">
        <v>2</v>
      </c>
      <c r="F1777" s="29">
        <f>ROUND(((SUMIFS(Calendar!$F$2:$F$9997,Calendar!$B$2:$B$9997,D1777,Calendar!$C$2:$C$9997,C1777)*INDEX(ForeCalc!$B$37:$Y$274,MATCH(_xlfn.CONCAT(H1777," ",I1777),ForeCalc!$A$37:$A$274,0),MATCH(_xlfn.CONCAT(B1777," ",E1777),ForeCalc!$B$36:$Y$36,0))))*VLOOKUP(A1777,Calendar!$A$2:$H$9997,8,FALSE),0)</f>
        <v/>
      </c>
      <c r="G1777" s="29">
        <f>VLOOKUP(A1777,Calendar!$A$1:$H$9997,6,FALSE)-F1777</f>
        <v/>
      </c>
      <c r="H1777" s="19" t="n">
        <v>2</v>
      </c>
      <c r="I1777" s="57" t="n">
        <v>11</v>
      </c>
    </row>
    <row r="1778">
      <c r="A1778" s="62" t="n">
        <v>46793</v>
      </c>
      <c r="B1778" s="3" t="inlineStr">
        <is>
          <t>Week</t>
        </is>
      </c>
      <c r="C1778" s="19" t="n">
        <v>2</v>
      </c>
      <c r="D1778" s="19" t="n">
        <v>2028</v>
      </c>
      <c r="E1778" s="57" t="n">
        <v>2</v>
      </c>
      <c r="F1778" s="29">
        <f>ROUND(((SUMIFS(Calendar!$F$2:$F$9997,Calendar!$B$2:$B$9997,D1778,Calendar!$C$2:$C$9997,C1778)*INDEX(ForeCalc!$B$37:$Y$274,MATCH(_xlfn.CONCAT(H1778," ",I1778),ForeCalc!$A$37:$A$274,0),MATCH(_xlfn.CONCAT(B1778," ",E1778),ForeCalc!$B$36:$Y$36,0))))*VLOOKUP(A1778,Calendar!$A$2:$H$9997,8,FALSE),0)</f>
        <v/>
      </c>
      <c r="G1778" s="29">
        <f>VLOOKUP(A1778,Calendar!$A$1:$H$9997,6,FALSE)-F1778</f>
        <v/>
      </c>
      <c r="H1778" s="19" t="n">
        <v>2</v>
      </c>
      <c r="I1778" s="57" t="n">
        <v>11</v>
      </c>
    </row>
    <row r="1779">
      <c r="A1779" s="62" t="n">
        <v>46794</v>
      </c>
      <c r="B1779" s="3" t="inlineStr">
        <is>
          <t>Week</t>
        </is>
      </c>
      <c r="C1779" s="19" t="n">
        <v>2</v>
      </c>
      <c r="D1779" s="19" t="n">
        <v>2028</v>
      </c>
      <c r="E1779" s="57" t="n">
        <v>2</v>
      </c>
      <c r="F1779" s="29">
        <f>ROUND(((SUMIFS(Calendar!$F$2:$F$9997,Calendar!$B$2:$B$9997,D1779,Calendar!$C$2:$C$9997,C1779)*INDEX(ForeCalc!$B$37:$Y$274,MATCH(_xlfn.CONCAT(H1779," ",I1779),ForeCalc!$A$37:$A$274,0),MATCH(_xlfn.CONCAT(B1779," ",E1779),ForeCalc!$B$36:$Y$36,0))))*VLOOKUP(A1779,Calendar!$A$2:$H$9997,8,FALSE),0)</f>
        <v/>
      </c>
      <c r="G1779" s="29">
        <f>VLOOKUP(A1779,Calendar!$A$1:$H$9997,6,FALSE)-F1779</f>
        <v/>
      </c>
      <c r="H1779" s="19" t="n">
        <v>2</v>
      </c>
      <c r="I1779" s="57" t="n">
        <v>11</v>
      </c>
    </row>
    <row r="1780">
      <c r="A1780" s="62" t="n">
        <v>46795</v>
      </c>
      <c r="B1780" s="3" t="inlineStr">
        <is>
          <t>Sat</t>
        </is>
      </c>
      <c r="C1780" s="19" t="n">
        <v>2</v>
      </c>
      <c r="D1780" s="19" t="n">
        <v>2028</v>
      </c>
      <c r="E1780" s="57" t="n">
        <v>2</v>
      </c>
      <c r="F1780" s="29">
        <f>ROUND(((SUMIFS(Calendar!$F$2:$F$9997,Calendar!$B$2:$B$9997,D1780,Calendar!$C$2:$C$9997,C1780)*INDEX(ForeCalc!$B$37:$Y$274,MATCH(_xlfn.CONCAT(H1780," ",I1780),ForeCalc!$A$37:$A$274,0),MATCH(_xlfn.CONCAT(B1780," ",E1780),ForeCalc!$B$36:$Y$36,0))))*VLOOKUP(A1780,Calendar!$A$2:$H$9997,8,FALSE),0)</f>
        <v/>
      </c>
      <c r="G1780" s="29">
        <f>VLOOKUP(A1780,Calendar!$A$1:$H$9997,6,FALSE)-F1780</f>
        <v/>
      </c>
      <c r="H1780" s="19" t="n">
        <v>2</v>
      </c>
      <c r="I1780" s="57" t="n">
        <v>11</v>
      </c>
    </row>
    <row r="1781">
      <c r="A1781" s="62" t="n">
        <v>46796</v>
      </c>
      <c r="B1781" s="3" t="inlineStr">
        <is>
          <t>Sun</t>
        </is>
      </c>
      <c r="C1781" s="19" t="n">
        <v>2</v>
      </c>
      <c r="D1781" s="19" t="n">
        <v>2028</v>
      </c>
      <c r="E1781" s="57" t="n">
        <v>2</v>
      </c>
      <c r="F1781" s="29">
        <f>ROUND(((SUMIFS(Calendar!$F$2:$F$9997,Calendar!$B$2:$B$9997,D1781,Calendar!$C$2:$C$9997,C1781)*INDEX(ForeCalc!$B$37:$Y$274,MATCH(_xlfn.CONCAT(H1781," ",I1781),ForeCalc!$A$37:$A$274,0),MATCH(_xlfn.CONCAT(B1781," ",E1781),ForeCalc!$B$36:$Y$36,0))))*VLOOKUP(A1781,Calendar!$A$2:$H$9997,8,FALSE),0)</f>
        <v/>
      </c>
      <c r="G1781" s="29">
        <f>VLOOKUP(A1781,Calendar!$A$1:$H$9997,6,FALSE)-F1781</f>
        <v/>
      </c>
      <c r="H1781" s="19" t="n">
        <v>2</v>
      </c>
      <c r="I1781" s="57" t="n">
        <v>11</v>
      </c>
    </row>
    <row r="1782">
      <c r="A1782" s="62" t="n">
        <v>46797</v>
      </c>
      <c r="B1782" s="3" t="inlineStr">
        <is>
          <t>Week</t>
        </is>
      </c>
      <c r="C1782" s="19" t="n">
        <v>2</v>
      </c>
      <c r="D1782" s="19" t="n">
        <v>2028</v>
      </c>
      <c r="E1782" s="57" t="n">
        <v>2</v>
      </c>
      <c r="F1782" s="29">
        <f>ROUND(((SUMIFS(Calendar!$F$2:$F$9997,Calendar!$B$2:$B$9997,D1782,Calendar!$C$2:$C$9997,C1782)*INDEX(ForeCalc!$B$37:$Y$274,MATCH(_xlfn.CONCAT(H1782," ",I1782),ForeCalc!$A$37:$A$274,0),MATCH(_xlfn.CONCAT(B1782," ",E1782),ForeCalc!$B$36:$Y$36,0))))*VLOOKUP(A1782,Calendar!$A$2:$H$9997,8,FALSE),0)</f>
        <v/>
      </c>
      <c r="G1782" s="29">
        <f>VLOOKUP(A1782,Calendar!$A$1:$H$9997,6,FALSE)-F1782</f>
        <v/>
      </c>
      <c r="H1782" s="19" t="n">
        <v>2</v>
      </c>
      <c r="I1782" s="57" t="n">
        <v>11</v>
      </c>
    </row>
    <row r="1783">
      <c r="A1783" s="62" t="n">
        <v>46798</v>
      </c>
      <c r="B1783" s="3" t="inlineStr">
        <is>
          <t>Week</t>
        </is>
      </c>
      <c r="C1783" s="19" t="n">
        <v>2</v>
      </c>
      <c r="D1783" s="19" t="n">
        <v>2028</v>
      </c>
      <c r="E1783" s="57" t="n">
        <v>2</v>
      </c>
      <c r="F1783" s="29">
        <f>ROUND(((SUMIFS(Calendar!$F$2:$F$9997,Calendar!$B$2:$B$9997,D1783,Calendar!$C$2:$C$9997,C1783)*INDEX(ForeCalc!$B$37:$Y$274,MATCH(_xlfn.CONCAT(H1783," ",I1783),ForeCalc!$A$37:$A$274,0),MATCH(_xlfn.CONCAT(B1783," ",E1783),ForeCalc!$B$36:$Y$36,0))))*VLOOKUP(A1783,Calendar!$A$2:$H$9997,8,FALSE),0)</f>
        <v/>
      </c>
      <c r="G1783" s="29">
        <f>VLOOKUP(A1783,Calendar!$A$1:$H$9997,6,FALSE)-F1783</f>
        <v/>
      </c>
      <c r="H1783" s="19" t="n">
        <v>2</v>
      </c>
      <c r="I1783" s="57" t="n">
        <v>11</v>
      </c>
    </row>
    <row r="1784">
      <c r="A1784" s="62" t="n">
        <v>46799</v>
      </c>
      <c r="B1784" s="3" t="inlineStr">
        <is>
          <t>Week</t>
        </is>
      </c>
      <c r="C1784" s="19" t="n">
        <v>2</v>
      </c>
      <c r="D1784" s="19" t="n">
        <v>2028</v>
      </c>
      <c r="E1784" s="57" t="n">
        <v>2</v>
      </c>
      <c r="F1784" s="29">
        <f>ROUND(((SUMIFS(Calendar!$F$2:$F$9997,Calendar!$B$2:$B$9997,D1784,Calendar!$C$2:$C$9997,C1784)*INDEX(ForeCalc!$B$37:$Y$274,MATCH(_xlfn.CONCAT(H1784," ",I1784),ForeCalc!$A$37:$A$274,0),MATCH(_xlfn.CONCAT(B1784," ",E1784),ForeCalc!$B$36:$Y$36,0))))*VLOOKUP(A1784,Calendar!$A$2:$H$9997,8,FALSE),0)</f>
        <v/>
      </c>
      <c r="G1784" s="29">
        <f>VLOOKUP(A1784,Calendar!$A$1:$H$9997,6,FALSE)-F1784</f>
        <v/>
      </c>
      <c r="H1784" s="19" t="n">
        <v>2</v>
      </c>
      <c r="I1784" s="57" t="n">
        <v>11</v>
      </c>
    </row>
    <row r="1785">
      <c r="A1785" s="62" t="n">
        <v>46800</v>
      </c>
      <c r="B1785" s="3" t="inlineStr">
        <is>
          <t>Week</t>
        </is>
      </c>
      <c r="C1785" s="19" t="n">
        <v>2</v>
      </c>
      <c r="D1785" s="19" t="n">
        <v>2028</v>
      </c>
      <c r="E1785" s="57" t="n">
        <v>2</v>
      </c>
      <c r="F1785" s="29">
        <f>ROUND(((SUMIFS(Calendar!$F$2:$F$9997,Calendar!$B$2:$B$9997,D1785,Calendar!$C$2:$C$9997,C1785)*INDEX(ForeCalc!$B$37:$Y$274,MATCH(_xlfn.CONCAT(H1785," ",I1785),ForeCalc!$A$37:$A$274,0),MATCH(_xlfn.CONCAT(B1785," ",E1785),ForeCalc!$B$36:$Y$36,0))))*VLOOKUP(A1785,Calendar!$A$2:$H$9997,8,FALSE),0)</f>
        <v/>
      </c>
      <c r="G1785" s="29">
        <f>VLOOKUP(A1785,Calendar!$A$1:$H$9997,6,FALSE)-F1785</f>
        <v/>
      </c>
      <c r="H1785" s="19" t="n">
        <v>2</v>
      </c>
      <c r="I1785" s="57" t="n">
        <v>11</v>
      </c>
    </row>
    <row r="1786">
      <c r="A1786" s="62" t="n">
        <v>46801</v>
      </c>
      <c r="B1786" s="3" t="inlineStr">
        <is>
          <t>Week</t>
        </is>
      </c>
      <c r="C1786" s="19" t="n">
        <v>2</v>
      </c>
      <c r="D1786" s="19" t="n">
        <v>2028</v>
      </c>
      <c r="E1786" s="57" t="n">
        <v>2</v>
      </c>
      <c r="F1786" s="29">
        <f>ROUND(((SUMIFS(Calendar!$F$2:$F$9997,Calendar!$B$2:$B$9997,D1786,Calendar!$C$2:$C$9997,C1786)*INDEX(ForeCalc!$B$37:$Y$274,MATCH(_xlfn.CONCAT(H1786," ",I1786),ForeCalc!$A$37:$A$274,0),MATCH(_xlfn.CONCAT(B1786," ",E1786),ForeCalc!$B$36:$Y$36,0))))*VLOOKUP(A1786,Calendar!$A$2:$H$9997,8,FALSE),0)</f>
        <v/>
      </c>
      <c r="G1786" s="29">
        <f>VLOOKUP(A1786,Calendar!$A$1:$H$9997,6,FALSE)-F1786</f>
        <v/>
      </c>
      <c r="H1786" s="19" t="n">
        <v>2</v>
      </c>
      <c r="I1786" s="57" t="n">
        <v>11</v>
      </c>
    </row>
    <row r="1787">
      <c r="A1787" s="62" t="n">
        <v>46802</v>
      </c>
      <c r="B1787" s="3" t="inlineStr">
        <is>
          <t>Sat</t>
        </is>
      </c>
      <c r="C1787" s="19" t="n">
        <v>2</v>
      </c>
      <c r="D1787" s="19" t="n">
        <v>2028</v>
      </c>
      <c r="E1787" s="57" t="n">
        <v>2</v>
      </c>
      <c r="F1787" s="29">
        <f>ROUND(((SUMIFS(Calendar!$F$2:$F$9997,Calendar!$B$2:$B$9997,D1787,Calendar!$C$2:$C$9997,C1787)*INDEX(ForeCalc!$B$37:$Y$274,MATCH(_xlfn.CONCAT(H1787," ",I1787),ForeCalc!$A$37:$A$274,0),MATCH(_xlfn.CONCAT(B1787," ",E1787),ForeCalc!$B$36:$Y$36,0))))*VLOOKUP(A1787,Calendar!$A$2:$H$9997,8,FALSE),0)</f>
        <v/>
      </c>
      <c r="G1787" s="29">
        <f>VLOOKUP(A1787,Calendar!$A$1:$H$9997,6,FALSE)-F1787</f>
        <v/>
      </c>
      <c r="H1787" s="19" t="n">
        <v>2</v>
      </c>
      <c r="I1787" s="57" t="n">
        <v>11</v>
      </c>
    </row>
    <row r="1788">
      <c r="A1788" s="62" t="n">
        <v>46803</v>
      </c>
      <c r="B1788" s="3" t="inlineStr">
        <is>
          <t>Sun</t>
        </is>
      </c>
      <c r="C1788" s="19" t="n">
        <v>2</v>
      </c>
      <c r="D1788" s="19" t="n">
        <v>2028</v>
      </c>
      <c r="E1788" s="57" t="n">
        <v>2</v>
      </c>
      <c r="F1788" s="29">
        <f>ROUND(((SUMIFS(Calendar!$F$2:$F$9997,Calendar!$B$2:$B$9997,D1788,Calendar!$C$2:$C$9997,C1788)*INDEX(ForeCalc!$B$37:$Y$274,MATCH(_xlfn.CONCAT(H1788," ",I1788),ForeCalc!$A$37:$A$274,0),MATCH(_xlfn.CONCAT(B1788," ",E1788),ForeCalc!$B$36:$Y$36,0))))*VLOOKUP(A1788,Calendar!$A$2:$H$9997,8,FALSE),0)</f>
        <v/>
      </c>
      <c r="G1788" s="29">
        <f>VLOOKUP(A1788,Calendar!$A$1:$H$9997,6,FALSE)-F1788</f>
        <v/>
      </c>
      <c r="H1788" s="19" t="n">
        <v>2</v>
      </c>
      <c r="I1788" s="57" t="n">
        <v>11</v>
      </c>
    </row>
    <row r="1789">
      <c r="A1789" s="62" t="n">
        <v>46804</v>
      </c>
      <c r="B1789" s="3" t="inlineStr">
        <is>
          <t>Week</t>
        </is>
      </c>
      <c r="C1789" s="19" t="n">
        <v>2</v>
      </c>
      <c r="D1789" s="19" t="n">
        <v>2028</v>
      </c>
      <c r="E1789" s="57" t="n">
        <v>2</v>
      </c>
      <c r="F1789" s="29">
        <f>ROUND(((SUMIFS(Calendar!$F$2:$F$9997,Calendar!$B$2:$B$9997,D1789,Calendar!$C$2:$C$9997,C1789)*INDEX(ForeCalc!$B$37:$Y$274,MATCH(_xlfn.CONCAT(H1789," ",I1789),ForeCalc!$A$37:$A$274,0),MATCH(_xlfn.CONCAT(B1789," ",E1789),ForeCalc!$B$36:$Y$36,0))))*VLOOKUP(A1789,Calendar!$A$2:$H$9997,8,FALSE),0)</f>
        <v/>
      </c>
      <c r="G1789" s="29">
        <f>VLOOKUP(A1789,Calendar!$A$1:$H$9997,6,FALSE)-F1789</f>
        <v/>
      </c>
      <c r="H1789" s="19" t="n">
        <v>2</v>
      </c>
      <c r="I1789" s="57" t="n">
        <v>11</v>
      </c>
    </row>
    <row r="1790">
      <c r="A1790" s="62" t="n">
        <v>46805</v>
      </c>
      <c r="B1790" s="3" t="inlineStr">
        <is>
          <t>Week</t>
        </is>
      </c>
      <c r="C1790" s="19" t="n">
        <v>2</v>
      </c>
      <c r="D1790" s="19" t="n">
        <v>2028</v>
      </c>
      <c r="E1790" s="57" t="n">
        <v>2</v>
      </c>
      <c r="F1790" s="29">
        <f>ROUND(((SUMIFS(Calendar!$F$2:$F$9997,Calendar!$B$2:$B$9997,D1790,Calendar!$C$2:$C$9997,C1790)*INDEX(ForeCalc!$B$37:$Y$274,MATCH(_xlfn.CONCAT(H1790," ",I1790),ForeCalc!$A$37:$A$274,0),MATCH(_xlfn.CONCAT(B1790," ",E1790),ForeCalc!$B$36:$Y$36,0))))*VLOOKUP(A1790,Calendar!$A$2:$H$9997,8,FALSE),0)</f>
        <v/>
      </c>
      <c r="G1790" s="29">
        <f>VLOOKUP(A1790,Calendar!$A$1:$H$9997,6,FALSE)-F1790</f>
        <v/>
      </c>
      <c r="H1790" s="19" t="n">
        <v>2</v>
      </c>
      <c r="I1790" s="57" t="n">
        <v>11</v>
      </c>
    </row>
    <row r="1791">
      <c r="A1791" s="62" t="n">
        <v>46806</v>
      </c>
      <c r="B1791" s="3" t="inlineStr">
        <is>
          <t>Week</t>
        </is>
      </c>
      <c r="C1791" s="19" t="n">
        <v>2</v>
      </c>
      <c r="D1791" s="19" t="n">
        <v>2028</v>
      </c>
      <c r="E1791" s="57" t="n">
        <v>2</v>
      </c>
      <c r="F1791" s="29">
        <f>ROUND(((SUMIFS(Calendar!$F$2:$F$9997,Calendar!$B$2:$B$9997,D1791,Calendar!$C$2:$C$9997,C1791)*INDEX(ForeCalc!$B$37:$Y$274,MATCH(_xlfn.CONCAT(H1791," ",I1791),ForeCalc!$A$37:$A$274,0),MATCH(_xlfn.CONCAT(B1791," ",E1791),ForeCalc!$B$36:$Y$36,0))))*VLOOKUP(A1791,Calendar!$A$2:$H$9997,8,FALSE),0)</f>
        <v/>
      </c>
      <c r="G1791" s="29">
        <f>VLOOKUP(A1791,Calendar!$A$1:$H$9997,6,FALSE)-F1791</f>
        <v/>
      </c>
      <c r="H1791" s="19" t="n">
        <v>2</v>
      </c>
      <c r="I1791" s="57" t="n">
        <v>11</v>
      </c>
    </row>
    <row r="1792">
      <c r="A1792" s="62" t="n">
        <v>46807</v>
      </c>
      <c r="B1792" s="3" t="inlineStr">
        <is>
          <t>Week</t>
        </is>
      </c>
      <c r="C1792" s="19" t="n">
        <v>2</v>
      </c>
      <c r="D1792" s="19" t="n">
        <v>2028</v>
      </c>
      <c r="E1792" s="57" t="n">
        <v>2</v>
      </c>
      <c r="F1792" s="29">
        <f>ROUND(((SUMIFS(Calendar!$F$2:$F$9997,Calendar!$B$2:$B$9997,D1792,Calendar!$C$2:$C$9997,C1792)*INDEX(ForeCalc!$B$37:$Y$274,MATCH(_xlfn.CONCAT(H1792," ",I1792),ForeCalc!$A$37:$A$274,0),MATCH(_xlfn.CONCAT(B1792," ",E1792),ForeCalc!$B$36:$Y$36,0))))*VLOOKUP(A1792,Calendar!$A$2:$H$9997,8,FALSE),0)</f>
        <v/>
      </c>
      <c r="G1792" s="29">
        <f>VLOOKUP(A1792,Calendar!$A$1:$H$9997,6,FALSE)-F1792</f>
        <v/>
      </c>
      <c r="H1792" s="19" t="n">
        <v>2</v>
      </c>
      <c r="I1792" s="57" t="n">
        <v>11</v>
      </c>
    </row>
    <row r="1793">
      <c r="A1793" s="62" t="n">
        <v>46808</v>
      </c>
      <c r="B1793" s="3" t="inlineStr">
        <is>
          <t>Week</t>
        </is>
      </c>
      <c r="C1793" s="19" t="n">
        <v>2</v>
      </c>
      <c r="D1793" s="19" t="n">
        <v>2028</v>
      </c>
      <c r="E1793" s="57" t="n">
        <v>2</v>
      </c>
      <c r="F1793" s="29">
        <f>ROUND(((SUMIFS(Calendar!$F$2:$F$9997,Calendar!$B$2:$B$9997,D1793,Calendar!$C$2:$C$9997,C1793)*INDEX(ForeCalc!$B$37:$Y$274,MATCH(_xlfn.CONCAT(H1793," ",I1793),ForeCalc!$A$37:$A$274,0),MATCH(_xlfn.CONCAT(B1793," ",E1793),ForeCalc!$B$36:$Y$36,0))))*VLOOKUP(A1793,Calendar!$A$2:$H$9997,8,FALSE),0)</f>
        <v/>
      </c>
      <c r="G1793" s="29">
        <f>VLOOKUP(A1793,Calendar!$A$1:$H$9997,6,FALSE)-F1793</f>
        <v/>
      </c>
      <c r="H1793" s="19" t="n">
        <v>2</v>
      </c>
      <c r="I1793" s="57" t="n">
        <v>11</v>
      </c>
    </row>
    <row r="1794">
      <c r="A1794" s="62" t="n">
        <v>46809</v>
      </c>
      <c r="B1794" s="3" t="inlineStr">
        <is>
          <t>Sat</t>
        </is>
      </c>
      <c r="C1794" s="19" t="n">
        <v>2</v>
      </c>
      <c r="D1794" s="19" t="n">
        <v>2028</v>
      </c>
      <c r="E1794" s="57" t="n">
        <v>2</v>
      </c>
      <c r="F1794" s="29">
        <f>ROUND(((SUMIFS(Calendar!$F$2:$F$9997,Calendar!$B$2:$B$9997,D1794,Calendar!$C$2:$C$9997,C1794)*INDEX(ForeCalc!$B$37:$Y$274,MATCH(_xlfn.CONCAT(H1794," ",I1794),ForeCalc!$A$37:$A$274,0),MATCH(_xlfn.CONCAT(B1794," ",E1794),ForeCalc!$B$36:$Y$36,0))))*VLOOKUP(A1794,Calendar!$A$2:$H$9997,8,FALSE),0)</f>
        <v/>
      </c>
      <c r="G1794" s="29">
        <f>VLOOKUP(A1794,Calendar!$A$1:$H$9997,6,FALSE)-F1794</f>
        <v/>
      </c>
      <c r="H1794" s="19" t="n">
        <v>2</v>
      </c>
      <c r="I1794" s="57" t="n">
        <v>11</v>
      </c>
    </row>
    <row r="1795">
      <c r="A1795" s="62" t="n">
        <v>46810</v>
      </c>
      <c r="B1795" s="3" t="inlineStr">
        <is>
          <t>Sun</t>
        </is>
      </c>
      <c r="C1795" s="19" t="n">
        <v>2</v>
      </c>
      <c r="D1795" s="19" t="n">
        <v>2028</v>
      </c>
      <c r="E1795" s="57" t="n">
        <v>2</v>
      </c>
      <c r="F1795" s="29">
        <f>ROUND(((SUMIFS(Calendar!$F$2:$F$9997,Calendar!$B$2:$B$9997,D1795,Calendar!$C$2:$C$9997,C1795)*INDEX(ForeCalc!$B$37:$Y$274,MATCH(_xlfn.CONCAT(H1795," ",I1795),ForeCalc!$A$37:$A$274,0),MATCH(_xlfn.CONCAT(B1795," ",E1795),ForeCalc!$B$36:$Y$36,0))))*VLOOKUP(A1795,Calendar!$A$2:$H$9997,8,FALSE),0)</f>
        <v/>
      </c>
      <c r="G1795" s="29">
        <f>VLOOKUP(A1795,Calendar!$A$1:$H$9997,6,FALSE)-F1795</f>
        <v/>
      </c>
      <c r="H1795" s="19" t="n">
        <v>2</v>
      </c>
      <c r="I1795" s="57" t="n">
        <v>11</v>
      </c>
    </row>
    <row r="1796">
      <c r="A1796" s="62" t="n">
        <v>46811</v>
      </c>
      <c r="B1796" s="3" t="inlineStr">
        <is>
          <t>Week</t>
        </is>
      </c>
      <c r="C1796" s="19" t="n">
        <v>2</v>
      </c>
      <c r="D1796" s="19" t="n">
        <v>2028</v>
      </c>
      <c r="E1796" s="57" t="n">
        <v>2</v>
      </c>
      <c r="F1796" s="29">
        <f>ROUND(((SUMIFS(Calendar!$F$2:$F$9997,Calendar!$B$2:$B$9997,D1796,Calendar!$C$2:$C$9997,C1796)*INDEX(ForeCalc!$B$37:$Y$274,MATCH(_xlfn.CONCAT(H1796," ",I1796),ForeCalc!$A$37:$A$274,0),MATCH(_xlfn.CONCAT(B1796," ",E1796),ForeCalc!$B$36:$Y$36,0))))*VLOOKUP(A1796,Calendar!$A$2:$H$9997,8,FALSE),0)</f>
        <v/>
      </c>
      <c r="G1796" s="29">
        <f>VLOOKUP(A1796,Calendar!$A$1:$H$9997,6,FALSE)-F1796</f>
        <v/>
      </c>
      <c r="H1796" s="19" t="n">
        <v>2</v>
      </c>
      <c r="I1796" s="57" t="n">
        <v>11</v>
      </c>
    </row>
    <row r="1797">
      <c r="A1797" s="62" t="n">
        <v>46812</v>
      </c>
      <c r="B1797" s="3" t="inlineStr">
        <is>
          <t>Week</t>
        </is>
      </c>
      <c r="C1797" s="19" t="n">
        <v>2</v>
      </c>
      <c r="D1797" s="19" t="n">
        <v>2028</v>
      </c>
      <c r="E1797" s="57" t="n">
        <v>2</v>
      </c>
      <c r="F1797" s="29">
        <f>ROUND(((SUMIFS(Calendar!$F$2:$F$9997,Calendar!$B$2:$B$9997,D1797,Calendar!$C$2:$C$9997,C1797)*INDEX(ForeCalc!$B$37:$Y$274,MATCH(_xlfn.CONCAT(H1797," ",I1797),ForeCalc!$A$37:$A$274,0),MATCH(_xlfn.CONCAT(B1797," ",E1797),ForeCalc!$B$36:$Y$36,0))))*VLOOKUP(A1797,Calendar!$A$2:$H$9997,8,FALSE),0)</f>
        <v/>
      </c>
      <c r="G1797" s="29">
        <f>VLOOKUP(A1797,Calendar!$A$1:$H$9997,6,FALSE)-F1797</f>
        <v/>
      </c>
      <c r="H1797" s="19" t="n">
        <v>2</v>
      </c>
      <c r="I1797" s="57" t="n">
        <v>11</v>
      </c>
    </row>
    <row r="1798">
      <c r="A1798" s="62" t="n">
        <v>46813</v>
      </c>
      <c r="B1798" s="3" t="inlineStr">
        <is>
          <t>Week</t>
        </is>
      </c>
      <c r="C1798" s="19" t="n">
        <v>3</v>
      </c>
      <c r="D1798" s="19" t="n">
        <v>2028</v>
      </c>
      <c r="E1798" s="57" t="n">
        <v>2</v>
      </c>
      <c r="F1798" s="29">
        <f>ROUND(((SUMIFS(Calendar!$F$2:$F$9997,Calendar!$B$2:$B$9997,D1798,Calendar!$C$2:$C$9997,C1798)*INDEX(ForeCalc!$B$37:$Y$274,MATCH(_xlfn.CONCAT(H1798," ",I1798),ForeCalc!$A$37:$A$274,0),MATCH(_xlfn.CONCAT(B1798," ",E1798),ForeCalc!$B$36:$Y$36,0))))*VLOOKUP(A1798,Calendar!$A$2:$H$9997,8,FALSE),0)</f>
        <v/>
      </c>
      <c r="G1798" s="29">
        <f>VLOOKUP(A1798,Calendar!$A$1:$H$9997,6,FALSE)-F1798</f>
        <v/>
      </c>
      <c r="H1798" s="19" t="n">
        <v>2</v>
      </c>
      <c r="I1798" s="57" t="n">
        <v>12</v>
      </c>
    </row>
    <row r="1799">
      <c r="A1799" s="62" t="n">
        <v>46814</v>
      </c>
      <c r="B1799" s="3" t="inlineStr">
        <is>
          <t>Week</t>
        </is>
      </c>
      <c r="C1799" s="19" t="n">
        <v>3</v>
      </c>
      <c r="D1799" s="19" t="n">
        <v>2028</v>
      </c>
      <c r="E1799" s="57" t="n">
        <v>2</v>
      </c>
      <c r="F1799" s="29">
        <f>ROUND(((SUMIFS(Calendar!$F$2:$F$9997,Calendar!$B$2:$B$9997,D1799,Calendar!$C$2:$C$9997,C1799)*INDEX(ForeCalc!$B$37:$Y$274,MATCH(_xlfn.CONCAT(H1799," ",I1799),ForeCalc!$A$37:$A$274,0),MATCH(_xlfn.CONCAT(B1799," ",E1799),ForeCalc!$B$36:$Y$36,0))))*VLOOKUP(A1799,Calendar!$A$2:$H$9997,8,FALSE),0)</f>
        <v/>
      </c>
      <c r="G1799" s="29">
        <f>VLOOKUP(A1799,Calendar!$A$1:$H$9997,6,FALSE)-F1799</f>
        <v/>
      </c>
      <c r="H1799" s="19" t="n">
        <v>2</v>
      </c>
      <c r="I1799" s="57" t="n">
        <v>12</v>
      </c>
    </row>
    <row r="1800">
      <c r="A1800" s="62" t="n">
        <v>46815</v>
      </c>
      <c r="B1800" s="3" t="inlineStr">
        <is>
          <t>Week</t>
        </is>
      </c>
      <c r="C1800" s="19" t="n">
        <v>3</v>
      </c>
      <c r="D1800" s="19" t="n">
        <v>2028</v>
      </c>
      <c r="E1800" s="57" t="n">
        <v>2</v>
      </c>
      <c r="F1800" s="29">
        <f>ROUND(((SUMIFS(Calendar!$F$2:$F$9997,Calendar!$B$2:$B$9997,D1800,Calendar!$C$2:$C$9997,C1800)*INDEX(ForeCalc!$B$37:$Y$274,MATCH(_xlfn.CONCAT(H1800," ",I1800),ForeCalc!$A$37:$A$274,0),MATCH(_xlfn.CONCAT(B1800," ",E1800),ForeCalc!$B$36:$Y$36,0))))*VLOOKUP(A1800,Calendar!$A$2:$H$9997,8,FALSE),0)</f>
        <v/>
      </c>
      <c r="G1800" s="29">
        <f>VLOOKUP(A1800,Calendar!$A$1:$H$9997,6,FALSE)-F1800</f>
        <v/>
      </c>
      <c r="H1800" s="19" t="n">
        <v>2</v>
      </c>
      <c r="I1800" s="57" t="n">
        <v>12</v>
      </c>
    </row>
    <row r="1801">
      <c r="A1801" s="62" t="n">
        <v>46816</v>
      </c>
      <c r="B1801" s="3" t="inlineStr">
        <is>
          <t>Sat</t>
        </is>
      </c>
      <c r="C1801" s="19" t="n">
        <v>3</v>
      </c>
      <c r="D1801" s="19" t="n">
        <v>2028</v>
      </c>
      <c r="E1801" s="57" t="n">
        <v>2</v>
      </c>
      <c r="F1801" s="29">
        <f>ROUND(((SUMIFS(Calendar!$F$2:$F$9997,Calendar!$B$2:$B$9997,D1801,Calendar!$C$2:$C$9997,C1801)*INDEX(ForeCalc!$B$37:$Y$274,MATCH(_xlfn.CONCAT(H1801," ",I1801),ForeCalc!$A$37:$A$274,0),MATCH(_xlfn.CONCAT(B1801," ",E1801),ForeCalc!$B$36:$Y$36,0))))*VLOOKUP(A1801,Calendar!$A$2:$H$9997,8,FALSE),0)</f>
        <v/>
      </c>
      <c r="G1801" s="29">
        <f>VLOOKUP(A1801,Calendar!$A$1:$H$9997,6,FALSE)-F1801</f>
        <v/>
      </c>
      <c r="H1801" s="19" t="n">
        <v>2</v>
      </c>
      <c r="I1801" s="57" t="n">
        <v>12</v>
      </c>
    </row>
    <row r="1802">
      <c r="A1802" s="62" t="n">
        <v>46817</v>
      </c>
      <c r="B1802" s="3" t="inlineStr">
        <is>
          <t>Sun</t>
        </is>
      </c>
      <c r="C1802" s="19" t="n">
        <v>3</v>
      </c>
      <c r="D1802" s="19" t="n">
        <v>2028</v>
      </c>
      <c r="E1802" s="57" t="n">
        <v>2</v>
      </c>
      <c r="F1802" s="29">
        <f>ROUND(((SUMIFS(Calendar!$F$2:$F$9997,Calendar!$B$2:$B$9997,D1802,Calendar!$C$2:$C$9997,C1802)*INDEX(ForeCalc!$B$37:$Y$274,MATCH(_xlfn.CONCAT(H1802," ",I1802),ForeCalc!$A$37:$A$274,0),MATCH(_xlfn.CONCAT(B1802," ",E1802),ForeCalc!$B$36:$Y$36,0))))*VLOOKUP(A1802,Calendar!$A$2:$H$9997,8,FALSE),0)</f>
        <v/>
      </c>
      <c r="G1802" s="29">
        <f>VLOOKUP(A1802,Calendar!$A$1:$H$9997,6,FALSE)-F1802</f>
        <v/>
      </c>
      <c r="H1802" s="19" t="n">
        <v>2</v>
      </c>
      <c r="I1802" s="57" t="n">
        <v>12</v>
      </c>
    </row>
    <row r="1803">
      <c r="A1803" s="62" t="n">
        <v>46818</v>
      </c>
      <c r="B1803" s="3" t="inlineStr">
        <is>
          <t>Week</t>
        </is>
      </c>
      <c r="C1803" s="19" t="n">
        <v>3</v>
      </c>
      <c r="D1803" s="19" t="n">
        <v>2028</v>
      </c>
      <c r="E1803" s="57" t="n">
        <v>2</v>
      </c>
      <c r="F1803" s="29">
        <f>ROUND(((SUMIFS(Calendar!$F$2:$F$9997,Calendar!$B$2:$B$9997,D1803,Calendar!$C$2:$C$9997,C1803)*INDEX(ForeCalc!$B$37:$Y$274,MATCH(_xlfn.CONCAT(H1803," ",I1803),ForeCalc!$A$37:$A$274,0),MATCH(_xlfn.CONCAT(B1803," ",E1803),ForeCalc!$B$36:$Y$36,0))))*VLOOKUP(A1803,Calendar!$A$2:$H$9997,8,FALSE),0)</f>
        <v/>
      </c>
      <c r="G1803" s="29">
        <f>VLOOKUP(A1803,Calendar!$A$1:$H$9997,6,FALSE)-F1803</f>
        <v/>
      </c>
      <c r="H1803" s="19" t="n">
        <v>2</v>
      </c>
      <c r="I1803" s="57" t="n">
        <v>12</v>
      </c>
    </row>
    <row r="1804">
      <c r="A1804" s="62" t="n">
        <v>46819</v>
      </c>
      <c r="B1804" s="3" t="inlineStr">
        <is>
          <t>Week</t>
        </is>
      </c>
      <c r="C1804" s="19" t="n">
        <v>3</v>
      </c>
      <c r="D1804" s="19" t="n">
        <v>2028</v>
      </c>
      <c r="E1804" s="57" t="n">
        <v>2</v>
      </c>
      <c r="F1804" s="29">
        <f>ROUND(((SUMIFS(Calendar!$F$2:$F$9997,Calendar!$B$2:$B$9997,D1804,Calendar!$C$2:$C$9997,C1804)*INDEX(ForeCalc!$B$37:$Y$274,MATCH(_xlfn.CONCAT(H1804," ",I1804),ForeCalc!$A$37:$A$274,0),MATCH(_xlfn.CONCAT(B1804," ",E1804),ForeCalc!$B$36:$Y$36,0))))*VLOOKUP(A1804,Calendar!$A$2:$H$9997,8,FALSE),0)</f>
        <v/>
      </c>
      <c r="G1804" s="29">
        <f>VLOOKUP(A1804,Calendar!$A$1:$H$9997,6,FALSE)-F1804</f>
        <v/>
      </c>
      <c r="H1804" s="19" t="n">
        <v>2</v>
      </c>
      <c r="I1804" s="57" t="n">
        <v>12</v>
      </c>
    </row>
    <row r="1805">
      <c r="A1805" s="62" t="n">
        <v>46820</v>
      </c>
      <c r="B1805" s="3" t="inlineStr">
        <is>
          <t>Week</t>
        </is>
      </c>
      <c r="C1805" s="19" t="n">
        <v>3</v>
      </c>
      <c r="D1805" s="19" t="n">
        <v>2028</v>
      </c>
      <c r="E1805" s="57" t="n">
        <v>2</v>
      </c>
      <c r="F1805" s="29">
        <f>ROUND(((SUMIFS(Calendar!$F$2:$F$9997,Calendar!$B$2:$B$9997,D1805,Calendar!$C$2:$C$9997,C1805)*INDEX(ForeCalc!$B$37:$Y$274,MATCH(_xlfn.CONCAT(H1805," ",I1805),ForeCalc!$A$37:$A$274,0),MATCH(_xlfn.CONCAT(B1805," ",E1805),ForeCalc!$B$36:$Y$36,0))))*VLOOKUP(A1805,Calendar!$A$2:$H$9997,8,FALSE),0)</f>
        <v/>
      </c>
      <c r="G1805" s="29">
        <f>VLOOKUP(A1805,Calendar!$A$1:$H$9997,6,FALSE)-F1805</f>
        <v/>
      </c>
      <c r="H1805" s="19" t="n">
        <v>2</v>
      </c>
      <c r="I1805" s="57" t="n">
        <v>12</v>
      </c>
    </row>
    <row r="1806">
      <c r="A1806" s="62" t="n">
        <v>46821</v>
      </c>
      <c r="B1806" s="3" t="inlineStr">
        <is>
          <t>Week</t>
        </is>
      </c>
      <c r="C1806" s="19" t="n">
        <v>3</v>
      </c>
      <c r="D1806" s="19" t="n">
        <v>2028</v>
      </c>
      <c r="E1806" s="57" t="n">
        <v>2</v>
      </c>
      <c r="F1806" s="29">
        <f>ROUND(((SUMIFS(Calendar!$F$2:$F$9997,Calendar!$B$2:$B$9997,D1806,Calendar!$C$2:$C$9997,C1806)*INDEX(ForeCalc!$B$37:$Y$274,MATCH(_xlfn.CONCAT(H1806," ",I1806),ForeCalc!$A$37:$A$274,0),MATCH(_xlfn.CONCAT(B1806," ",E1806),ForeCalc!$B$36:$Y$36,0))))*VLOOKUP(A1806,Calendar!$A$2:$H$9997,8,FALSE),0)</f>
        <v/>
      </c>
      <c r="G1806" s="29">
        <f>VLOOKUP(A1806,Calendar!$A$1:$H$9997,6,FALSE)-F1806</f>
        <v/>
      </c>
      <c r="H1806" s="19" t="n">
        <v>2</v>
      </c>
      <c r="I1806" s="57" t="n">
        <v>12</v>
      </c>
    </row>
    <row r="1807">
      <c r="A1807" s="62" t="n">
        <v>46822</v>
      </c>
      <c r="B1807" s="3" t="inlineStr">
        <is>
          <t>Week</t>
        </is>
      </c>
      <c r="C1807" s="19" t="n">
        <v>3</v>
      </c>
      <c r="D1807" s="19" t="n">
        <v>2028</v>
      </c>
      <c r="E1807" s="57" t="n">
        <v>2</v>
      </c>
      <c r="F1807" s="29">
        <f>ROUND(((SUMIFS(Calendar!$F$2:$F$9997,Calendar!$B$2:$B$9997,D1807,Calendar!$C$2:$C$9997,C1807)*INDEX(ForeCalc!$B$37:$Y$274,MATCH(_xlfn.CONCAT(H1807," ",I1807),ForeCalc!$A$37:$A$274,0),MATCH(_xlfn.CONCAT(B1807," ",E1807),ForeCalc!$B$36:$Y$36,0))))*VLOOKUP(A1807,Calendar!$A$2:$H$9997,8,FALSE),0)</f>
        <v/>
      </c>
      <c r="G1807" s="29">
        <f>VLOOKUP(A1807,Calendar!$A$1:$H$9997,6,FALSE)-F1807</f>
        <v/>
      </c>
      <c r="H1807" s="19" t="n">
        <v>2</v>
      </c>
      <c r="I1807" s="57" t="n">
        <v>12</v>
      </c>
    </row>
    <row r="1808">
      <c r="A1808" s="62" t="n">
        <v>46823</v>
      </c>
      <c r="B1808" s="3" t="inlineStr">
        <is>
          <t>Sat</t>
        </is>
      </c>
      <c r="C1808" s="19" t="n">
        <v>3</v>
      </c>
      <c r="D1808" s="19" t="n">
        <v>2028</v>
      </c>
      <c r="E1808" s="57" t="n">
        <v>2</v>
      </c>
      <c r="F1808" s="29">
        <f>ROUND(((SUMIFS(Calendar!$F$2:$F$9997,Calendar!$B$2:$B$9997,D1808,Calendar!$C$2:$C$9997,C1808)*INDEX(ForeCalc!$B$37:$Y$274,MATCH(_xlfn.CONCAT(H1808," ",I1808),ForeCalc!$A$37:$A$274,0),MATCH(_xlfn.CONCAT(B1808," ",E1808),ForeCalc!$B$36:$Y$36,0))))*VLOOKUP(A1808,Calendar!$A$2:$H$9997,8,FALSE),0)</f>
        <v/>
      </c>
      <c r="G1808" s="29">
        <f>VLOOKUP(A1808,Calendar!$A$1:$H$9997,6,FALSE)-F1808</f>
        <v/>
      </c>
      <c r="H1808" s="19" t="n">
        <v>2</v>
      </c>
      <c r="I1808" s="57" t="n">
        <v>12</v>
      </c>
    </row>
    <row r="1809">
      <c r="A1809" s="62" t="n">
        <v>46824</v>
      </c>
      <c r="B1809" s="3" t="inlineStr">
        <is>
          <t>Sun</t>
        </is>
      </c>
      <c r="C1809" s="19" t="n">
        <v>3</v>
      </c>
      <c r="D1809" s="19" t="n">
        <v>2028</v>
      </c>
      <c r="E1809" s="57" t="n">
        <v>2</v>
      </c>
      <c r="F1809" s="29">
        <f>ROUND(((SUMIFS(Calendar!$F$2:$F$9997,Calendar!$B$2:$B$9997,D1809,Calendar!$C$2:$C$9997,C1809)*INDEX(ForeCalc!$B$37:$Y$274,MATCH(_xlfn.CONCAT(H1809," ",I1809),ForeCalc!$A$37:$A$274,0),MATCH(_xlfn.CONCAT(B1809," ",E1809),ForeCalc!$B$36:$Y$36,0))))*VLOOKUP(A1809,Calendar!$A$2:$H$9997,8,FALSE),0)</f>
        <v/>
      </c>
      <c r="G1809" s="29">
        <f>VLOOKUP(A1809,Calendar!$A$1:$H$9997,6,FALSE)-F1809</f>
        <v/>
      </c>
      <c r="H1809" s="19" t="n">
        <v>2</v>
      </c>
      <c r="I1809" s="57" t="n">
        <v>12</v>
      </c>
    </row>
    <row r="1810">
      <c r="A1810" s="62" t="n">
        <v>46825</v>
      </c>
      <c r="B1810" s="3" t="inlineStr">
        <is>
          <t>Week</t>
        </is>
      </c>
      <c r="C1810" s="19" t="n">
        <v>3</v>
      </c>
      <c r="D1810" s="19" t="n">
        <v>2028</v>
      </c>
      <c r="E1810" s="57" t="n">
        <v>2</v>
      </c>
      <c r="F1810" s="29">
        <f>ROUND(((SUMIFS(Calendar!$F$2:$F$9997,Calendar!$B$2:$B$9997,D1810,Calendar!$C$2:$C$9997,C1810)*INDEX(ForeCalc!$B$37:$Y$274,MATCH(_xlfn.CONCAT(H1810," ",I1810),ForeCalc!$A$37:$A$274,0),MATCH(_xlfn.CONCAT(B1810," ",E1810),ForeCalc!$B$36:$Y$36,0))))*VLOOKUP(A1810,Calendar!$A$2:$H$9997,8,FALSE),0)</f>
        <v/>
      </c>
      <c r="G1810" s="29">
        <f>VLOOKUP(A1810,Calendar!$A$1:$H$9997,6,FALSE)-F1810</f>
        <v/>
      </c>
      <c r="H1810" s="19" t="n">
        <v>2</v>
      </c>
      <c r="I1810" s="57" t="n">
        <v>12</v>
      </c>
    </row>
    <row r="1811">
      <c r="A1811" s="62" t="n">
        <v>46826</v>
      </c>
      <c r="B1811" s="3" t="inlineStr">
        <is>
          <t>Week</t>
        </is>
      </c>
      <c r="C1811" s="19" t="n">
        <v>3</v>
      </c>
      <c r="D1811" s="19" t="n">
        <v>2028</v>
      </c>
      <c r="E1811" s="57" t="n">
        <v>2</v>
      </c>
      <c r="F1811" s="29">
        <f>ROUND(((SUMIFS(Calendar!$F$2:$F$9997,Calendar!$B$2:$B$9997,D1811,Calendar!$C$2:$C$9997,C1811)*INDEX(ForeCalc!$B$37:$Y$274,MATCH(_xlfn.CONCAT(H1811," ",I1811),ForeCalc!$A$37:$A$274,0),MATCH(_xlfn.CONCAT(B1811," ",E1811),ForeCalc!$B$36:$Y$36,0))))*VLOOKUP(A1811,Calendar!$A$2:$H$9997,8,FALSE),0)</f>
        <v/>
      </c>
      <c r="G1811" s="29">
        <f>VLOOKUP(A1811,Calendar!$A$1:$H$9997,6,FALSE)-F1811</f>
        <v/>
      </c>
      <c r="H1811" s="19" t="n">
        <v>2</v>
      </c>
      <c r="I1811" s="57" t="n">
        <v>12</v>
      </c>
    </row>
    <row r="1812">
      <c r="A1812" s="62" t="n">
        <v>46827</v>
      </c>
      <c r="B1812" s="3" t="inlineStr">
        <is>
          <t>Week</t>
        </is>
      </c>
      <c r="C1812" s="19" t="n">
        <v>3</v>
      </c>
      <c r="D1812" s="19" t="n">
        <v>2028</v>
      </c>
      <c r="E1812" s="57" t="n">
        <v>2</v>
      </c>
      <c r="F1812" s="29">
        <f>ROUND(((SUMIFS(Calendar!$F$2:$F$9997,Calendar!$B$2:$B$9997,D1812,Calendar!$C$2:$C$9997,C1812)*INDEX(ForeCalc!$B$37:$Y$274,MATCH(_xlfn.CONCAT(H1812," ",I1812),ForeCalc!$A$37:$A$274,0),MATCH(_xlfn.CONCAT(B1812," ",E1812),ForeCalc!$B$36:$Y$36,0))))*VLOOKUP(A1812,Calendar!$A$2:$H$9997,8,FALSE),0)</f>
        <v/>
      </c>
      <c r="G1812" s="29">
        <f>VLOOKUP(A1812,Calendar!$A$1:$H$9997,6,FALSE)-F1812</f>
        <v/>
      </c>
      <c r="H1812" s="19" t="n">
        <v>2</v>
      </c>
      <c r="I1812" s="57" t="n">
        <v>12</v>
      </c>
    </row>
    <row r="1813">
      <c r="A1813" s="62" t="n">
        <v>46828</v>
      </c>
      <c r="B1813" s="3" t="inlineStr">
        <is>
          <t>Week</t>
        </is>
      </c>
      <c r="C1813" s="19" t="n">
        <v>3</v>
      </c>
      <c r="D1813" s="19" t="n">
        <v>2028</v>
      </c>
      <c r="E1813" s="57" t="n">
        <v>2</v>
      </c>
      <c r="F1813" s="29">
        <f>ROUND(((SUMIFS(Calendar!$F$2:$F$9997,Calendar!$B$2:$B$9997,D1813,Calendar!$C$2:$C$9997,C1813)*INDEX(ForeCalc!$B$37:$Y$274,MATCH(_xlfn.CONCAT(H1813," ",I1813),ForeCalc!$A$37:$A$274,0),MATCH(_xlfn.CONCAT(B1813," ",E1813),ForeCalc!$B$36:$Y$36,0))))*VLOOKUP(A1813,Calendar!$A$2:$H$9997,8,FALSE),0)</f>
        <v/>
      </c>
      <c r="G1813" s="29">
        <f>VLOOKUP(A1813,Calendar!$A$1:$H$9997,6,FALSE)-F1813</f>
        <v/>
      </c>
      <c r="H1813" s="19" t="n">
        <v>2</v>
      </c>
      <c r="I1813" s="57" t="n">
        <v>12</v>
      </c>
    </row>
    <row r="1814">
      <c r="A1814" s="62" t="n">
        <v>46829</v>
      </c>
      <c r="B1814" s="3" t="inlineStr">
        <is>
          <t>Week</t>
        </is>
      </c>
      <c r="C1814" s="19" t="n">
        <v>3</v>
      </c>
      <c r="D1814" s="19" t="n">
        <v>2028</v>
      </c>
      <c r="E1814" s="57" t="n">
        <v>2</v>
      </c>
      <c r="F1814" s="29">
        <f>ROUND(((SUMIFS(Calendar!$F$2:$F$9997,Calendar!$B$2:$B$9997,D1814,Calendar!$C$2:$C$9997,C1814)*INDEX(ForeCalc!$B$37:$Y$274,MATCH(_xlfn.CONCAT(H1814," ",I1814),ForeCalc!$A$37:$A$274,0),MATCH(_xlfn.CONCAT(B1814," ",E1814),ForeCalc!$B$36:$Y$36,0))))*VLOOKUP(A1814,Calendar!$A$2:$H$9997,8,FALSE),0)</f>
        <v/>
      </c>
      <c r="G1814" s="29">
        <f>VLOOKUP(A1814,Calendar!$A$1:$H$9997,6,FALSE)-F1814</f>
        <v/>
      </c>
      <c r="H1814" s="19" t="n">
        <v>2</v>
      </c>
      <c r="I1814" s="57" t="n">
        <v>12</v>
      </c>
    </row>
    <row r="1815">
      <c r="A1815" s="62" t="n">
        <v>46830</v>
      </c>
      <c r="B1815" s="3" t="inlineStr">
        <is>
          <t>Sat</t>
        </is>
      </c>
      <c r="C1815" s="19" t="n">
        <v>3</v>
      </c>
      <c r="D1815" s="19" t="n">
        <v>2028</v>
      </c>
      <c r="E1815" s="57" t="n">
        <v>2</v>
      </c>
      <c r="F1815" s="29">
        <f>ROUND(((SUMIFS(Calendar!$F$2:$F$9997,Calendar!$B$2:$B$9997,D1815,Calendar!$C$2:$C$9997,C1815)*INDEX(ForeCalc!$B$37:$Y$274,MATCH(_xlfn.CONCAT(H1815," ",I1815),ForeCalc!$A$37:$A$274,0),MATCH(_xlfn.CONCAT(B1815," ",E1815),ForeCalc!$B$36:$Y$36,0))))*VLOOKUP(A1815,Calendar!$A$2:$H$9997,8,FALSE),0)</f>
        <v/>
      </c>
      <c r="G1815" s="29">
        <f>VLOOKUP(A1815,Calendar!$A$1:$H$9997,6,FALSE)-F1815</f>
        <v/>
      </c>
      <c r="H1815" s="19" t="n">
        <v>2</v>
      </c>
      <c r="I1815" s="57" t="n">
        <v>12</v>
      </c>
    </row>
    <row r="1816">
      <c r="A1816" s="62" t="n">
        <v>46831</v>
      </c>
      <c r="B1816" s="3" t="inlineStr">
        <is>
          <t>Sun</t>
        </is>
      </c>
      <c r="C1816" s="19" t="n">
        <v>3</v>
      </c>
      <c r="D1816" s="19" t="n">
        <v>2028</v>
      </c>
      <c r="E1816" s="57" t="n">
        <v>2</v>
      </c>
      <c r="F1816" s="29">
        <f>ROUND(((SUMIFS(Calendar!$F$2:$F$9997,Calendar!$B$2:$B$9997,D1816,Calendar!$C$2:$C$9997,C1816)*INDEX(ForeCalc!$B$37:$Y$274,MATCH(_xlfn.CONCAT(H1816," ",I1816),ForeCalc!$A$37:$A$274,0),MATCH(_xlfn.CONCAT(B1816," ",E1816),ForeCalc!$B$36:$Y$36,0))))*VLOOKUP(A1816,Calendar!$A$2:$H$9997,8,FALSE),0)</f>
        <v/>
      </c>
      <c r="G1816" s="29">
        <f>VLOOKUP(A1816,Calendar!$A$1:$H$9997,6,FALSE)-F1816</f>
        <v/>
      </c>
      <c r="H1816" s="19" t="n">
        <v>2</v>
      </c>
      <c r="I1816" s="57" t="n">
        <v>12</v>
      </c>
    </row>
    <row r="1817">
      <c r="A1817" s="62" t="n">
        <v>46832</v>
      </c>
      <c r="B1817" s="3" t="inlineStr">
        <is>
          <t>Week</t>
        </is>
      </c>
      <c r="C1817" s="19" t="n">
        <v>3</v>
      </c>
      <c r="D1817" s="19" t="n">
        <v>2028</v>
      </c>
      <c r="E1817" s="57" t="n">
        <v>2</v>
      </c>
      <c r="F1817" s="29">
        <f>ROUND(((SUMIFS(Calendar!$F$2:$F$9997,Calendar!$B$2:$B$9997,D1817,Calendar!$C$2:$C$9997,C1817)*INDEX(ForeCalc!$B$37:$Y$274,MATCH(_xlfn.CONCAT(H1817," ",I1817),ForeCalc!$A$37:$A$274,0),MATCH(_xlfn.CONCAT(B1817," ",E1817),ForeCalc!$B$36:$Y$36,0))))*VLOOKUP(A1817,Calendar!$A$2:$H$9997,8,FALSE),0)</f>
        <v/>
      </c>
      <c r="G1817" s="29">
        <f>VLOOKUP(A1817,Calendar!$A$1:$H$9997,6,FALSE)-F1817</f>
        <v/>
      </c>
      <c r="H1817" s="19" t="n">
        <v>2</v>
      </c>
      <c r="I1817" s="57" t="n">
        <v>12</v>
      </c>
    </row>
    <row r="1818">
      <c r="A1818" s="62" t="n">
        <v>46833</v>
      </c>
      <c r="B1818" s="3" t="inlineStr">
        <is>
          <t>Week</t>
        </is>
      </c>
      <c r="C1818" s="19" t="n">
        <v>3</v>
      </c>
      <c r="D1818" s="19" t="n">
        <v>2028</v>
      </c>
      <c r="E1818" s="57" t="n">
        <v>2</v>
      </c>
      <c r="F1818" s="29">
        <f>ROUND(((SUMIFS(Calendar!$F$2:$F$9997,Calendar!$B$2:$B$9997,D1818,Calendar!$C$2:$C$9997,C1818)*INDEX(ForeCalc!$B$37:$Y$274,MATCH(_xlfn.CONCAT(H1818," ",I1818),ForeCalc!$A$37:$A$274,0),MATCH(_xlfn.CONCAT(B1818," ",E1818),ForeCalc!$B$36:$Y$36,0))))*VLOOKUP(A1818,Calendar!$A$2:$H$9997,8,FALSE),0)</f>
        <v/>
      </c>
      <c r="G1818" s="29">
        <f>VLOOKUP(A1818,Calendar!$A$1:$H$9997,6,FALSE)-F1818</f>
        <v/>
      </c>
      <c r="H1818" s="19" t="n">
        <v>2</v>
      </c>
      <c r="I1818" s="57" t="n">
        <v>12</v>
      </c>
    </row>
    <row r="1819">
      <c r="A1819" s="62" t="n">
        <v>46834</v>
      </c>
      <c r="B1819" s="3" t="inlineStr">
        <is>
          <t>Week</t>
        </is>
      </c>
      <c r="C1819" s="19" t="n">
        <v>3</v>
      </c>
      <c r="D1819" s="19" t="n">
        <v>2028</v>
      </c>
      <c r="E1819" s="57" t="n">
        <v>2</v>
      </c>
      <c r="F1819" s="29">
        <f>ROUND(((SUMIFS(Calendar!$F$2:$F$9997,Calendar!$B$2:$B$9997,D1819,Calendar!$C$2:$C$9997,C1819)*INDEX(ForeCalc!$B$37:$Y$274,MATCH(_xlfn.CONCAT(H1819," ",I1819),ForeCalc!$A$37:$A$274,0),MATCH(_xlfn.CONCAT(B1819," ",E1819),ForeCalc!$B$36:$Y$36,0))))*VLOOKUP(A1819,Calendar!$A$2:$H$9997,8,FALSE),0)</f>
        <v/>
      </c>
      <c r="G1819" s="29">
        <f>VLOOKUP(A1819,Calendar!$A$1:$H$9997,6,FALSE)-F1819</f>
        <v/>
      </c>
      <c r="H1819" s="19" t="n">
        <v>2</v>
      </c>
      <c r="I1819" s="57" t="n">
        <v>12</v>
      </c>
    </row>
    <row r="1820">
      <c r="A1820" s="62" t="n">
        <v>46835</v>
      </c>
      <c r="B1820" s="3" t="inlineStr">
        <is>
          <t>Week</t>
        </is>
      </c>
      <c r="C1820" s="19" t="n">
        <v>3</v>
      </c>
      <c r="D1820" s="19" t="n">
        <v>2028</v>
      </c>
      <c r="E1820" s="57" t="n">
        <v>2</v>
      </c>
      <c r="F1820" s="29">
        <f>ROUND(((SUMIFS(Calendar!$F$2:$F$9997,Calendar!$B$2:$B$9997,D1820,Calendar!$C$2:$C$9997,C1820)*INDEX(ForeCalc!$B$37:$Y$274,MATCH(_xlfn.CONCAT(H1820," ",I1820),ForeCalc!$A$37:$A$274,0),MATCH(_xlfn.CONCAT(B1820," ",E1820),ForeCalc!$B$36:$Y$36,0))))*VLOOKUP(A1820,Calendar!$A$2:$H$9997,8,FALSE),0)</f>
        <v/>
      </c>
      <c r="G1820" s="29">
        <f>VLOOKUP(A1820,Calendar!$A$1:$H$9997,6,FALSE)-F1820</f>
        <v/>
      </c>
      <c r="H1820" s="19" t="n">
        <v>2</v>
      </c>
      <c r="I1820" s="57" t="n">
        <v>12</v>
      </c>
    </row>
    <row r="1821">
      <c r="A1821" s="62" t="n">
        <v>46836</v>
      </c>
      <c r="B1821" s="3" t="inlineStr">
        <is>
          <t>Week</t>
        </is>
      </c>
      <c r="C1821" s="19" t="n">
        <v>3</v>
      </c>
      <c r="D1821" s="19" t="n">
        <v>2028</v>
      </c>
      <c r="E1821" s="57" t="n">
        <v>2</v>
      </c>
      <c r="F1821" s="29">
        <f>ROUND(((SUMIFS(Calendar!$F$2:$F$9997,Calendar!$B$2:$B$9997,D1821,Calendar!$C$2:$C$9997,C1821)*INDEX(ForeCalc!$B$37:$Y$274,MATCH(_xlfn.CONCAT(H1821," ",I1821),ForeCalc!$A$37:$A$274,0),MATCH(_xlfn.CONCAT(B1821," ",E1821),ForeCalc!$B$36:$Y$36,0))))*VLOOKUP(A1821,Calendar!$A$2:$H$9997,8,FALSE),0)</f>
        <v/>
      </c>
      <c r="G1821" s="29">
        <f>VLOOKUP(A1821,Calendar!$A$1:$H$9997,6,FALSE)-F1821</f>
        <v/>
      </c>
      <c r="H1821" s="19" t="n">
        <v>2</v>
      </c>
      <c r="I1821" s="57" t="n">
        <v>12</v>
      </c>
    </row>
    <row r="1822">
      <c r="A1822" s="62" t="n">
        <v>46837</v>
      </c>
      <c r="B1822" s="3" t="inlineStr">
        <is>
          <t>Sat</t>
        </is>
      </c>
      <c r="C1822" s="19" t="n">
        <v>3</v>
      </c>
      <c r="D1822" s="19" t="n">
        <v>2028</v>
      </c>
      <c r="E1822" s="57" t="n">
        <v>2</v>
      </c>
      <c r="F1822" s="29">
        <f>ROUND(((SUMIFS(Calendar!$F$2:$F$9997,Calendar!$B$2:$B$9997,D1822,Calendar!$C$2:$C$9997,C1822)*INDEX(ForeCalc!$B$37:$Y$274,MATCH(_xlfn.CONCAT(H1822," ",I1822),ForeCalc!$A$37:$A$274,0),MATCH(_xlfn.CONCAT(B1822," ",E1822),ForeCalc!$B$36:$Y$36,0))))*VLOOKUP(A1822,Calendar!$A$2:$H$9997,8,FALSE),0)</f>
        <v/>
      </c>
      <c r="G1822" s="29">
        <f>VLOOKUP(A1822,Calendar!$A$1:$H$9997,6,FALSE)-F1822</f>
        <v/>
      </c>
      <c r="H1822" s="19" t="n">
        <v>2</v>
      </c>
      <c r="I1822" s="57" t="n">
        <v>12</v>
      </c>
    </row>
    <row r="1823">
      <c r="A1823" s="62" t="n">
        <v>46838</v>
      </c>
      <c r="B1823" s="3" t="inlineStr">
        <is>
          <t>Sun</t>
        </is>
      </c>
      <c r="C1823" s="19" t="n">
        <v>3</v>
      </c>
      <c r="D1823" s="19" t="n">
        <v>2028</v>
      </c>
      <c r="E1823" s="57" t="n">
        <v>2</v>
      </c>
      <c r="F1823" s="29">
        <f>ROUND(((SUMIFS(Calendar!$F$2:$F$9997,Calendar!$B$2:$B$9997,D1823,Calendar!$C$2:$C$9997,C1823)*INDEX(ForeCalc!$B$37:$Y$274,MATCH(_xlfn.CONCAT(H1823," ",I1823),ForeCalc!$A$37:$A$274,0),MATCH(_xlfn.CONCAT(B1823," ",E1823),ForeCalc!$B$36:$Y$36,0))))*VLOOKUP(A1823,Calendar!$A$2:$H$9997,8,FALSE),0)</f>
        <v/>
      </c>
      <c r="G1823" s="29">
        <f>VLOOKUP(A1823,Calendar!$A$1:$H$9997,6,FALSE)-F1823</f>
        <v/>
      </c>
      <c r="H1823" s="19" t="n">
        <v>2</v>
      </c>
      <c r="I1823" s="57" t="n">
        <v>12</v>
      </c>
    </row>
    <row r="1824">
      <c r="A1824" s="62" t="n">
        <v>46839</v>
      </c>
      <c r="B1824" s="3" t="inlineStr">
        <is>
          <t>Week</t>
        </is>
      </c>
      <c r="C1824" s="19" t="n">
        <v>3</v>
      </c>
      <c r="D1824" s="19" t="n">
        <v>2028</v>
      </c>
      <c r="E1824" s="57" t="n">
        <v>2</v>
      </c>
      <c r="F1824" s="29">
        <f>ROUND(((SUMIFS(Calendar!$F$2:$F$9997,Calendar!$B$2:$B$9997,D1824,Calendar!$C$2:$C$9997,C1824)*INDEX(ForeCalc!$B$37:$Y$274,MATCH(_xlfn.CONCAT(H1824," ",I1824),ForeCalc!$A$37:$A$274,0),MATCH(_xlfn.CONCAT(B1824," ",E1824),ForeCalc!$B$36:$Y$36,0))))*VLOOKUP(A1824,Calendar!$A$2:$H$9997,8,FALSE),0)</f>
        <v/>
      </c>
      <c r="G1824" s="29">
        <f>VLOOKUP(A1824,Calendar!$A$1:$H$9997,6,FALSE)-F1824</f>
        <v/>
      </c>
      <c r="H1824" s="19" t="n">
        <v>2</v>
      </c>
      <c r="I1824" s="57" t="n">
        <v>12</v>
      </c>
    </row>
    <row r="1825">
      <c r="A1825" s="62" t="n">
        <v>46840</v>
      </c>
      <c r="B1825" s="3" t="inlineStr">
        <is>
          <t>Week</t>
        </is>
      </c>
      <c r="C1825" s="19" t="n">
        <v>3</v>
      </c>
      <c r="D1825" s="19" t="n">
        <v>2028</v>
      </c>
      <c r="E1825" s="57" t="n">
        <v>2</v>
      </c>
      <c r="F1825" s="29">
        <f>ROUND(((SUMIFS(Calendar!$F$2:$F$9997,Calendar!$B$2:$B$9997,D1825,Calendar!$C$2:$C$9997,C1825)*INDEX(ForeCalc!$B$37:$Y$274,MATCH(_xlfn.CONCAT(H1825," ",I1825),ForeCalc!$A$37:$A$274,0),MATCH(_xlfn.CONCAT(B1825," ",E1825),ForeCalc!$B$36:$Y$36,0))))*VLOOKUP(A1825,Calendar!$A$2:$H$9997,8,FALSE),0)</f>
        <v/>
      </c>
      <c r="G1825" s="29">
        <f>VLOOKUP(A1825,Calendar!$A$1:$H$9997,6,FALSE)-F1825</f>
        <v/>
      </c>
      <c r="H1825" s="19" t="n">
        <v>2</v>
      </c>
      <c r="I1825" s="57" t="n">
        <v>12</v>
      </c>
    </row>
    <row r="1826">
      <c r="A1826" s="62" t="n">
        <v>46841</v>
      </c>
      <c r="B1826" s="3" t="inlineStr">
        <is>
          <t>Week</t>
        </is>
      </c>
      <c r="C1826" s="19" t="n">
        <v>3</v>
      </c>
      <c r="D1826" s="19" t="n">
        <v>2028</v>
      </c>
      <c r="E1826" s="57" t="n">
        <v>2</v>
      </c>
      <c r="F1826" s="29">
        <f>ROUND(((SUMIFS(Calendar!$F$2:$F$9997,Calendar!$B$2:$B$9997,D1826,Calendar!$C$2:$C$9997,C1826)*INDEX(ForeCalc!$B$37:$Y$274,MATCH(_xlfn.CONCAT(H1826," ",I1826),ForeCalc!$A$37:$A$274,0),MATCH(_xlfn.CONCAT(B1826," ",E1826),ForeCalc!$B$36:$Y$36,0))))*VLOOKUP(A1826,Calendar!$A$2:$H$9997,8,FALSE),0)</f>
        <v/>
      </c>
      <c r="G1826" s="29">
        <f>VLOOKUP(A1826,Calendar!$A$1:$H$9997,6,FALSE)-F1826</f>
        <v/>
      </c>
      <c r="H1826" s="19" t="n">
        <v>2</v>
      </c>
      <c r="I1826" s="57" t="n">
        <v>12</v>
      </c>
    </row>
    <row r="1827">
      <c r="A1827" s="62" t="n">
        <v>46842</v>
      </c>
      <c r="B1827" s="3" t="inlineStr">
        <is>
          <t>Week</t>
        </is>
      </c>
      <c r="C1827" s="19" t="n">
        <v>3</v>
      </c>
      <c r="D1827" s="19" t="n">
        <v>2028</v>
      </c>
      <c r="E1827" s="57" t="n">
        <v>2</v>
      </c>
      <c r="F1827" s="29">
        <f>ROUND(((SUMIFS(Calendar!$F$2:$F$9997,Calendar!$B$2:$B$9997,D1827,Calendar!$C$2:$C$9997,C1827)*INDEX(ForeCalc!$B$37:$Y$274,MATCH(_xlfn.CONCAT(H1827," ",I1827),ForeCalc!$A$37:$A$274,0),MATCH(_xlfn.CONCAT(B1827," ",E1827),ForeCalc!$B$36:$Y$36,0))))*VLOOKUP(A1827,Calendar!$A$2:$H$9997,8,FALSE),0)</f>
        <v/>
      </c>
      <c r="G1827" s="29">
        <f>VLOOKUP(A1827,Calendar!$A$1:$H$9997,6,FALSE)-F1827</f>
        <v/>
      </c>
      <c r="H1827" s="19" t="n">
        <v>2</v>
      </c>
      <c r="I1827" s="57" t="n">
        <v>12</v>
      </c>
    </row>
    <row r="1828">
      <c r="A1828" s="62" t="n">
        <v>46843</v>
      </c>
      <c r="B1828" s="3" t="inlineStr">
        <is>
          <t>Week</t>
        </is>
      </c>
      <c r="C1828" s="19" t="n">
        <v>3</v>
      </c>
      <c r="D1828" s="19" t="n">
        <v>2028</v>
      </c>
      <c r="E1828" s="57" t="n">
        <v>2</v>
      </c>
      <c r="F1828" s="29">
        <f>ROUND(((SUMIFS(Calendar!$F$2:$F$9997,Calendar!$B$2:$B$9997,D1828,Calendar!$C$2:$C$9997,C1828)*INDEX(ForeCalc!$B$37:$Y$274,MATCH(_xlfn.CONCAT(H1828," ",I1828),ForeCalc!$A$37:$A$274,0),MATCH(_xlfn.CONCAT(B1828," ",E1828),ForeCalc!$B$36:$Y$36,0))))*VLOOKUP(A1828,Calendar!$A$2:$H$9997,8,FALSE),0)</f>
        <v/>
      </c>
      <c r="G1828" s="29">
        <f>VLOOKUP(A1828,Calendar!$A$1:$H$9997,6,FALSE)-F1828</f>
        <v/>
      </c>
      <c r="H1828" s="19" t="n">
        <v>2</v>
      </c>
      <c r="I1828" s="57" t="n">
        <v>12</v>
      </c>
    </row>
    <row r="1829">
      <c r="A1829" s="62" t="n">
        <v>46844</v>
      </c>
      <c r="B1829" s="3" t="inlineStr">
        <is>
          <t>Sat</t>
        </is>
      </c>
      <c r="C1829" s="19" t="n">
        <v>4</v>
      </c>
      <c r="D1829" s="19" t="n">
        <v>2028</v>
      </c>
      <c r="E1829" s="57" t="n">
        <v>2</v>
      </c>
      <c r="F1829" s="29">
        <f>ROUND(((SUMIFS(Calendar!$F$2:$F$9997,Calendar!$B$2:$B$9997,D1829,Calendar!$C$2:$C$9997,C1829)*INDEX(ForeCalc!$B$37:$Y$274,MATCH(_xlfn.CONCAT(H1829," ",I1829),ForeCalc!$A$37:$A$274,0),MATCH(_xlfn.CONCAT(B1829," ",E1829),ForeCalc!$B$36:$Y$36,0))))*VLOOKUP(A1829,Calendar!$A$2:$H$9997,8,FALSE),0)</f>
        <v/>
      </c>
      <c r="G1829" s="29">
        <f>VLOOKUP(A1829,Calendar!$A$1:$H$9997,6,FALSE)-F1829</f>
        <v/>
      </c>
      <c r="H1829" s="19" t="n">
        <v>3</v>
      </c>
      <c r="I1829" s="57" t="n">
        <v>1</v>
      </c>
    </row>
    <row r="1830">
      <c r="A1830" s="62" t="n">
        <v>46845</v>
      </c>
      <c r="B1830" s="3" t="inlineStr">
        <is>
          <t>Sun</t>
        </is>
      </c>
      <c r="C1830" s="19" t="n">
        <v>4</v>
      </c>
      <c r="D1830" s="19" t="n">
        <v>2028</v>
      </c>
      <c r="E1830" s="57" t="n">
        <v>2</v>
      </c>
      <c r="F1830" s="29">
        <f>ROUND(((SUMIFS(Calendar!$F$2:$F$9997,Calendar!$B$2:$B$9997,D1830,Calendar!$C$2:$C$9997,C1830)*INDEX(ForeCalc!$B$37:$Y$274,MATCH(_xlfn.CONCAT(H1830," ",I1830),ForeCalc!$A$37:$A$274,0),MATCH(_xlfn.CONCAT(B1830," ",E1830),ForeCalc!$B$36:$Y$36,0))))*VLOOKUP(A1830,Calendar!$A$2:$H$9997,8,FALSE),0)</f>
        <v/>
      </c>
      <c r="G1830" s="29">
        <f>VLOOKUP(A1830,Calendar!$A$1:$H$9997,6,FALSE)-F1830</f>
        <v/>
      </c>
      <c r="H1830" s="19" t="n">
        <v>3</v>
      </c>
      <c r="I1830" s="57" t="n">
        <v>1</v>
      </c>
    </row>
    <row r="1831">
      <c r="A1831" s="62" t="n">
        <v>46846</v>
      </c>
      <c r="B1831" s="3" t="inlineStr">
        <is>
          <t>Week</t>
        </is>
      </c>
      <c r="C1831" s="19" t="n">
        <v>4</v>
      </c>
      <c r="D1831" s="19" t="n">
        <v>2028</v>
      </c>
      <c r="E1831" s="57" t="n">
        <v>2</v>
      </c>
      <c r="F1831" s="29">
        <f>ROUND(((SUMIFS(Calendar!$F$2:$F$9997,Calendar!$B$2:$B$9997,D1831,Calendar!$C$2:$C$9997,C1831)*INDEX(ForeCalc!$B$37:$Y$274,MATCH(_xlfn.CONCAT(H1831," ",I1831),ForeCalc!$A$37:$A$274,0),MATCH(_xlfn.CONCAT(B1831," ",E1831),ForeCalc!$B$36:$Y$36,0))))*VLOOKUP(A1831,Calendar!$A$2:$H$9997,8,FALSE),0)</f>
        <v/>
      </c>
      <c r="G1831" s="29">
        <f>VLOOKUP(A1831,Calendar!$A$1:$H$9997,6,FALSE)-F1831</f>
        <v/>
      </c>
      <c r="H1831" s="19" t="n">
        <v>3</v>
      </c>
      <c r="I1831" s="57" t="n">
        <v>1</v>
      </c>
    </row>
    <row r="1832">
      <c r="A1832" s="62" t="n">
        <v>46847</v>
      </c>
      <c r="B1832" s="3" t="inlineStr">
        <is>
          <t>Week</t>
        </is>
      </c>
      <c r="C1832" s="19" t="n">
        <v>4</v>
      </c>
      <c r="D1832" s="19" t="n">
        <v>2028</v>
      </c>
      <c r="E1832" s="57" t="n">
        <v>2</v>
      </c>
      <c r="F1832" s="29">
        <f>ROUND(((SUMIFS(Calendar!$F$2:$F$9997,Calendar!$B$2:$B$9997,D1832,Calendar!$C$2:$C$9997,C1832)*INDEX(ForeCalc!$B$37:$Y$274,MATCH(_xlfn.CONCAT(H1832," ",I1832),ForeCalc!$A$37:$A$274,0),MATCH(_xlfn.CONCAT(B1832," ",E1832),ForeCalc!$B$36:$Y$36,0))))*VLOOKUP(A1832,Calendar!$A$2:$H$9997,8,FALSE),0)</f>
        <v/>
      </c>
      <c r="G1832" s="29">
        <f>VLOOKUP(A1832,Calendar!$A$1:$H$9997,6,FALSE)-F1832</f>
        <v/>
      </c>
      <c r="H1832" s="19" t="n">
        <v>3</v>
      </c>
      <c r="I1832" s="57" t="n">
        <v>1</v>
      </c>
    </row>
    <row r="1833">
      <c r="A1833" s="62" t="n">
        <v>46848</v>
      </c>
      <c r="B1833" s="3" t="inlineStr">
        <is>
          <t>Week</t>
        </is>
      </c>
      <c r="C1833" s="19" t="n">
        <v>4</v>
      </c>
      <c r="D1833" s="19" t="n">
        <v>2028</v>
      </c>
      <c r="E1833" s="57" t="n">
        <v>2</v>
      </c>
      <c r="F1833" s="29">
        <f>ROUND(((SUMIFS(Calendar!$F$2:$F$9997,Calendar!$B$2:$B$9997,D1833,Calendar!$C$2:$C$9997,C1833)*INDEX(ForeCalc!$B$37:$Y$274,MATCH(_xlfn.CONCAT(H1833," ",I1833),ForeCalc!$A$37:$A$274,0),MATCH(_xlfn.CONCAT(B1833," ",E1833),ForeCalc!$B$36:$Y$36,0))))*VLOOKUP(A1833,Calendar!$A$2:$H$9997,8,FALSE),0)</f>
        <v/>
      </c>
      <c r="G1833" s="29">
        <f>VLOOKUP(A1833,Calendar!$A$1:$H$9997,6,FALSE)-F1833</f>
        <v/>
      </c>
      <c r="H1833" s="19" t="n">
        <v>3</v>
      </c>
      <c r="I1833" s="57" t="n">
        <v>1</v>
      </c>
    </row>
    <row r="1834">
      <c r="A1834" s="62" t="n">
        <v>46849</v>
      </c>
      <c r="B1834" s="3" t="inlineStr">
        <is>
          <t>Week</t>
        </is>
      </c>
      <c r="C1834" s="19" t="n">
        <v>4</v>
      </c>
      <c r="D1834" s="19" t="n">
        <v>2028</v>
      </c>
      <c r="E1834" s="57" t="n">
        <v>2</v>
      </c>
      <c r="F1834" s="29">
        <f>ROUND(((SUMIFS(Calendar!$F$2:$F$9997,Calendar!$B$2:$B$9997,D1834,Calendar!$C$2:$C$9997,C1834)*INDEX(ForeCalc!$B$37:$Y$274,MATCH(_xlfn.CONCAT(H1834," ",I1834),ForeCalc!$A$37:$A$274,0),MATCH(_xlfn.CONCAT(B1834," ",E1834),ForeCalc!$B$36:$Y$36,0))))*VLOOKUP(A1834,Calendar!$A$2:$H$9997,8,FALSE),0)</f>
        <v/>
      </c>
      <c r="G1834" s="29">
        <f>VLOOKUP(A1834,Calendar!$A$1:$H$9997,6,FALSE)-F1834</f>
        <v/>
      </c>
      <c r="H1834" s="19" t="n">
        <v>3</v>
      </c>
      <c r="I1834" s="57" t="n">
        <v>1</v>
      </c>
    </row>
    <row r="1835">
      <c r="A1835" s="62" t="n">
        <v>46850</v>
      </c>
      <c r="B1835" s="3" t="inlineStr">
        <is>
          <t>Week</t>
        </is>
      </c>
      <c r="C1835" s="19" t="n">
        <v>4</v>
      </c>
      <c r="D1835" s="19" t="n">
        <v>2028</v>
      </c>
      <c r="E1835" s="57" t="n">
        <v>2</v>
      </c>
      <c r="F1835" s="29">
        <f>ROUND(((SUMIFS(Calendar!$F$2:$F$9997,Calendar!$B$2:$B$9997,D1835,Calendar!$C$2:$C$9997,C1835)*INDEX(ForeCalc!$B$37:$Y$274,MATCH(_xlfn.CONCAT(H1835," ",I1835),ForeCalc!$A$37:$A$274,0),MATCH(_xlfn.CONCAT(B1835," ",E1835),ForeCalc!$B$36:$Y$36,0))))*VLOOKUP(A1835,Calendar!$A$2:$H$9997,8,FALSE),0)</f>
        <v/>
      </c>
      <c r="G1835" s="29">
        <f>VLOOKUP(A1835,Calendar!$A$1:$H$9997,6,FALSE)-F1835</f>
        <v/>
      </c>
      <c r="H1835" s="19" t="n">
        <v>3</v>
      </c>
      <c r="I1835" s="57" t="n">
        <v>1</v>
      </c>
    </row>
    <row r="1836">
      <c r="A1836" s="62" t="n">
        <v>46851</v>
      </c>
      <c r="B1836" s="3" t="inlineStr">
        <is>
          <t>Sat</t>
        </is>
      </c>
      <c r="C1836" s="19" t="n">
        <v>4</v>
      </c>
      <c r="D1836" s="19" t="n">
        <v>2028</v>
      </c>
      <c r="E1836" s="57" t="n">
        <v>2</v>
      </c>
      <c r="F1836" s="29">
        <f>ROUND(((SUMIFS(Calendar!$F$2:$F$9997,Calendar!$B$2:$B$9997,D1836,Calendar!$C$2:$C$9997,C1836)*INDEX(ForeCalc!$B$37:$Y$274,MATCH(_xlfn.CONCAT(H1836," ",I1836),ForeCalc!$A$37:$A$274,0),MATCH(_xlfn.CONCAT(B1836," ",E1836),ForeCalc!$B$36:$Y$36,0))))*VLOOKUP(A1836,Calendar!$A$2:$H$9997,8,FALSE),0)</f>
        <v/>
      </c>
      <c r="G1836" s="29">
        <f>VLOOKUP(A1836,Calendar!$A$1:$H$9997,6,FALSE)-F1836</f>
        <v/>
      </c>
      <c r="H1836" s="19" t="n">
        <v>3</v>
      </c>
      <c r="I1836" s="57" t="n">
        <v>1</v>
      </c>
    </row>
    <row r="1837">
      <c r="A1837" s="62" t="n">
        <v>46852</v>
      </c>
      <c r="B1837" s="3" t="inlineStr">
        <is>
          <t>Sun</t>
        </is>
      </c>
      <c r="C1837" s="19" t="n">
        <v>4</v>
      </c>
      <c r="D1837" s="19" t="n">
        <v>2028</v>
      </c>
      <c r="E1837" s="57" t="n">
        <v>2</v>
      </c>
      <c r="F1837" s="29">
        <f>ROUND(((SUMIFS(Calendar!$F$2:$F$9997,Calendar!$B$2:$B$9997,D1837,Calendar!$C$2:$C$9997,C1837)*INDEX(ForeCalc!$B$37:$Y$274,MATCH(_xlfn.CONCAT(H1837," ",I1837),ForeCalc!$A$37:$A$274,0),MATCH(_xlfn.CONCAT(B1837," ",E1837),ForeCalc!$B$36:$Y$36,0))))*VLOOKUP(A1837,Calendar!$A$2:$H$9997,8,FALSE),0)</f>
        <v/>
      </c>
      <c r="G1837" s="29">
        <f>VLOOKUP(A1837,Calendar!$A$1:$H$9997,6,FALSE)-F1837</f>
        <v/>
      </c>
      <c r="H1837" s="19" t="n">
        <v>3</v>
      </c>
      <c r="I1837" s="57" t="n">
        <v>1</v>
      </c>
    </row>
    <row r="1838">
      <c r="A1838" s="62" t="n">
        <v>46853</v>
      </c>
      <c r="B1838" s="3" t="inlineStr">
        <is>
          <t>Week</t>
        </is>
      </c>
      <c r="C1838" s="19" t="n">
        <v>4</v>
      </c>
      <c r="D1838" s="19" t="n">
        <v>2028</v>
      </c>
      <c r="E1838" s="57" t="n">
        <v>2</v>
      </c>
      <c r="F1838" s="29">
        <f>ROUND(((SUMIFS(Calendar!$F$2:$F$9997,Calendar!$B$2:$B$9997,D1838,Calendar!$C$2:$C$9997,C1838)*INDEX(ForeCalc!$B$37:$Y$274,MATCH(_xlfn.CONCAT(H1838," ",I1838),ForeCalc!$A$37:$A$274,0),MATCH(_xlfn.CONCAT(B1838," ",E1838),ForeCalc!$B$36:$Y$36,0))))*VLOOKUP(A1838,Calendar!$A$2:$H$9997,8,FALSE),0)</f>
        <v/>
      </c>
      <c r="G1838" s="29">
        <f>VLOOKUP(A1838,Calendar!$A$1:$H$9997,6,FALSE)-F1838</f>
        <v/>
      </c>
      <c r="H1838" s="19" t="n">
        <v>3</v>
      </c>
      <c r="I1838" s="57" t="n">
        <v>1</v>
      </c>
    </row>
    <row r="1839">
      <c r="A1839" s="62" t="n">
        <v>46854</v>
      </c>
      <c r="B1839" s="3" t="inlineStr">
        <is>
          <t>Week</t>
        </is>
      </c>
      <c r="C1839" s="19" t="n">
        <v>4</v>
      </c>
      <c r="D1839" s="19" t="n">
        <v>2028</v>
      </c>
      <c r="E1839" s="57" t="n">
        <v>2</v>
      </c>
      <c r="F1839" s="29">
        <f>ROUND(((SUMIFS(Calendar!$F$2:$F$9997,Calendar!$B$2:$B$9997,D1839,Calendar!$C$2:$C$9997,C1839)*INDEX(ForeCalc!$B$37:$Y$274,MATCH(_xlfn.CONCAT(H1839," ",I1839),ForeCalc!$A$37:$A$274,0),MATCH(_xlfn.CONCAT(B1839," ",E1839),ForeCalc!$B$36:$Y$36,0))))*VLOOKUP(A1839,Calendar!$A$2:$H$9997,8,FALSE),0)</f>
        <v/>
      </c>
      <c r="G1839" s="29">
        <f>VLOOKUP(A1839,Calendar!$A$1:$H$9997,6,FALSE)-F1839</f>
        <v/>
      </c>
      <c r="H1839" s="19" t="n">
        <v>3</v>
      </c>
      <c r="I1839" s="57" t="n">
        <v>1</v>
      </c>
    </row>
    <row r="1840">
      <c r="A1840" s="62" t="n">
        <v>46855</v>
      </c>
      <c r="B1840" s="3" t="inlineStr">
        <is>
          <t>Week</t>
        </is>
      </c>
      <c r="C1840" s="19" t="n">
        <v>4</v>
      </c>
      <c r="D1840" s="19" t="n">
        <v>2028</v>
      </c>
      <c r="E1840" s="57" t="n">
        <v>2</v>
      </c>
      <c r="F1840" s="29">
        <f>ROUND(((SUMIFS(Calendar!$F$2:$F$9997,Calendar!$B$2:$B$9997,D1840,Calendar!$C$2:$C$9997,C1840)*INDEX(ForeCalc!$B$37:$Y$274,MATCH(_xlfn.CONCAT(H1840," ",I1840),ForeCalc!$A$37:$A$274,0),MATCH(_xlfn.CONCAT(B1840," ",E1840),ForeCalc!$B$36:$Y$36,0))))*VLOOKUP(A1840,Calendar!$A$2:$H$9997,8,FALSE),0)</f>
        <v/>
      </c>
      <c r="G1840" s="29">
        <f>VLOOKUP(A1840,Calendar!$A$1:$H$9997,6,FALSE)-F1840</f>
        <v/>
      </c>
      <c r="H1840" s="19" t="n">
        <v>3</v>
      </c>
      <c r="I1840" s="57" t="n">
        <v>1</v>
      </c>
    </row>
    <row r="1841">
      <c r="A1841" s="62" t="n">
        <v>46856</v>
      </c>
      <c r="B1841" s="3" t="inlineStr">
        <is>
          <t>Week</t>
        </is>
      </c>
      <c r="C1841" s="19" t="n">
        <v>4</v>
      </c>
      <c r="D1841" s="19" t="n">
        <v>2028</v>
      </c>
      <c r="E1841" s="57" t="n">
        <v>2</v>
      </c>
      <c r="F1841" s="29">
        <f>ROUND(((SUMIFS(Calendar!$F$2:$F$9997,Calendar!$B$2:$B$9997,D1841,Calendar!$C$2:$C$9997,C1841)*INDEX(ForeCalc!$B$37:$Y$274,MATCH(_xlfn.CONCAT(H1841," ",I1841),ForeCalc!$A$37:$A$274,0),MATCH(_xlfn.CONCAT(B1841," ",E1841),ForeCalc!$B$36:$Y$36,0))))*VLOOKUP(A1841,Calendar!$A$2:$H$9997,8,FALSE),0)</f>
        <v/>
      </c>
      <c r="G1841" s="29">
        <f>VLOOKUP(A1841,Calendar!$A$1:$H$9997,6,FALSE)-F1841</f>
        <v/>
      </c>
      <c r="H1841" s="19" t="n">
        <v>3</v>
      </c>
      <c r="I1841" s="57" t="n">
        <v>1</v>
      </c>
    </row>
    <row r="1842">
      <c r="A1842" s="62" t="n">
        <v>46857</v>
      </c>
      <c r="B1842" s="3" t="inlineStr">
        <is>
          <t>Week</t>
        </is>
      </c>
      <c r="C1842" s="19" t="n">
        <v>4</v>
      </c>
      <c r="D1842" s="19" t="n">
        <v>2028</v>
      </c>
      <c r="E1842" s="57" t="n">
        <v>2</v>
      </c>
      <c r="F1842" s="29">
        <f>ROUND(((SUMIFS(Calendar!$F$2:$F$9997,Calendar!$B$2:$B$9997,D1842,Calendar!$C$2:$C$9997,C1842)*INDEX(ForeCalc!$B$37:$Y$274,MATCH(_xlfn.CONCAT(H1842," ",I1842),ForeCalc!$A$37:$A$274,0),MATCH(_xlfn.CONCAT(B1842," ",E1842),ForeCalc!$B$36:$Y$36,0))))*VLOOKUP(A1842,Calendar!$A$2:$H$9997,8,FALSE),0)</f>
        <v/>
      </c>
      <c r="G1842" s="29">
        <f>VLOOKUP(A1842,Calendar!$A$1:$H$9997,6,FALSE)-F1842</f>
        <v/>
      </c>
      <c r="H1842" s="19" t="n">
        <v>3</v>
      </c>
      <c r="I1842" s="57" t="n">
        <v>1</v>
      </c>
    </row>
    <row r="1843">
      <c r="A1843" s="62" t="n">
        <v>46858</v>
      </c>
      <c r="B1843" s="3" t="inlineStr">
        <is>
          <t>Sat</t>
        </is>
      </c>
      <c r="C1843" s="19" t="n">
        <v>4</v>
      </c>
      <c r="D1843" s="19" t="n">
        <v>2028</v>
      </c>
      <c r="E1843" s="57" t="n">
        <v>2</v>
      </c>
      <c r="F1843" s="29">
        <f>ROUND(((SUMIFS(Calendar!$F$2:$F$9997,Calendar!$B$2:$B$9997,D1843,Calendar!$C$2:$C$9997,C1843)*INDEX(ForeCalc!$B$37:$Y$274,MATCH(_xlfn.CONCAT(H1843," ",I1843),ForeCalc!$A$37:$A$274,0),MATCH(_xlfn.CONCAT(B1843," ",E1843),ForeCalc!$B$36:$Y$36,0))))*VLOOKUP(A1843,Calendar!$A$2:$H$9997,8,FALSE),0)</f>
        <v/>
      </c>
      <c r="G1843" s="29">
        <f>VLOOKUP(A1843,Calendar!$A$1:$H$9997,6,FALSE)-F1843</f>
        <v/>
      </c>
      <c r="H1843" s="19" t="n">
        <v>3</v>
      </c>
      <c r="I1843" s="57" t="n">
        <v>1</v>
      </c>
    </row>
    <row r="1844">
      <c r="A1844" s="62" t="n">
        <v>46859</v>
      </c>
      <c r="B1844" s="3" t="inlineStr">
        <is>
          <t>Sun</t>
        </is>
      </c>
      <c r="C1844" s="19" t="n">
        <v>4</v>
      </c>
      <c r="D1844" s="19" t="n">
        <v>2028</v>
      </c>
      <c r="E1844" s="57" t="n">
        <v>2</v>
      </c>
      <c r="F1844" s="29">
        <f>ROUND(((SUMIFS(Calendar!$F$2:$F$9997,Calendar!$B$2:$B$9997,D1844,Calendar!$C$2:$C$9997,C1844)*INDEX(ForeCalc!$B$37:$Y$274,MATCH(_xlfn.CONCAT(H1844," ",I1844),ForeCalc!$A$37:$A$274,0),MATCH(_xlfn.CONCAT(B1844," ",E1844),ForeCalc!$B$36:$Y$36,0))))*VLOOKUP(A1844,Calendar!$A$2:$H$9997,8,FALSE),0)</f>
        <v/>
      </c>
      <c r="G1844" s="29">
        <f>VLOOKUP(A1844,Calendar!$A$1:$H$9997,6,FALSE)-F1844</f>
        <v/>
      </c>
      <c r="H1844" s="19" t="n">
        <v>3</v>
      </c>
      <c r="I1844" s="57" t="n">
        <v>1</v>
      </c>
    </row>
    <row r="1845">
      <c r="A1845" s="62" t="n">
        <v>46860</v>
      </c>
      <c r="B1845" s="3" t="inlineStr">
        <is>
          <t>Week</t>
        </is>
      </c>
      <c r="C1845" s="19" t="n">
        <v>4</v>
      </c>
      <c r="D1845" s="19" t="n">
        <v>2028</v>
      </c>
      <c r="E1845" s="57" t="n">
        <v>2</v>
      </c>
      <c r="F1845" s="29">
        <f>ROUND(((SUMIFS(Calendar!$F$2:$F$9997,Calendar!$B$2:$B$9997,D1845,Calendar!$C$2:$C$9997,C1845)*INDEX(ForeCalc!$B$37:$Y$274,MATCH(_xlfn.CONCAT(H1845," ",I1845),ForeCalc!$A$37:$A$274,0),MATCH(_xlfn.CONCAT(B1845," ",E1845),ForeCalc!$B$36:$Y$36,0))))*VLOOKUP(A1845,Calendar!$A$2:$H$9997,8,FALSE),0)</f>
        <v/>
      </c>
      <c r="G1845" s="29">
        <f>VLOOKUP(A1845,Calendar!$A$1:$H$9997,6,FALSE)-F1845</f>
        <v/>
      </c>
      <c r="H1845" s="19" t="n">
        <v>3</v>
      </c>
      <c r="I1845" s="57" t="n">
        <v>1</v>
      </c>
    </row>
    <row r="1846">
      <c r="A1846" s="62" t="n">
        <v>46861</v>
      </c>
      <c r="B1846" s="3" t="inlineStr">
        <is>
          <t>Week</t>
        </is>
      </c>
      <c r="C1846" s="19" t="n">
        <v>4</v>
      </c>
      <c r="D1846" s="19" t="n">
        <v>2028</v>
      </c>
      <c r="E1846" s="57" t="n">
        <v>2</v>
      </c>
      <c r="F1846" s="29">
        <f>ROUND(((SUMIFS(Calendar!$F$2:$F$9997,Calendar!$B$2:$B$9997,D1846,Calendar!$C$2:$C$9997,C1846)*INDEX(ForeCalc!$B$37:$Y$274,MATCH(_xlfn.CONCAT(H1846," ",I1846),ForeCalc!$A$37:$A$274,0),MATCH(_xlfn.CONCAT(B1846," ",E1846),ForeCalc!$B$36:$Y$36,0))))*VLOOKUP(A1846,Calendar!$A$2:$H$9997,8,FALSE),0)</f>
        <v/>
      </c>
      <c r="G1846" s="29">
        <f>VLOOKUP(A1846,Calendar!$A$1:$H$9997,6,FALSE)-F1846</f>
        <v/>
      </c>
      <c r="H1846" s="19" t="n">
        <v>3</v>
      </c>
      <c r="I1846" s="57" t="n">
        <v>1</v>
      </c>
    </row>
    <row r="1847">
      <c r="A1847" s="62" t="n">
        <v>46862</v>
      </c>
      <c r="B1847" s="3" t="inlineStr">
        <is>
          <t>Week</t>
        </is>
      </c>
      <c r="C1847" s="19" t="n">
        <v>4</v>
      </c>
      <c r="D1847" s="19" t="n">
        <v>2028</v>
      </c>
      <c r="E1847" s="57" t="n">
        <v>2</v>
      </c>
      <c r="F1847" s="29">
        <f>ROUND(((SUMIFS(Calendar!$F$2:$F$9997,Calendar!$B$2:$B$9997,D1847,Calendar!$C$2:$C$9997,C1847)*INDEX(ForeCalc!$B$37:$Y$274,MATCH(_xlfn.CONCAT(H1847," ",I1847),ForeCalc!$A$37:$A$274,0),MATCH(_xlfn.CONCAT(B1847," ",E1847),ForeCalc!$B$36:$Y$36,0))))*VLOOKUP(A1847,Calendar!$A$2:$H$9997,8,FALSE),0)</f>
        <v/>
      </c>
      <c r="G1847" s="29">
        <f>VLOOKUP(A1847,Calendar!$A$1:$H$9997,6,FALSE)-F1847</f>
        <v/>
      </c>
      <c r="H1847" s="19" t="n">
        <v>3</v>
      </c>
      <c r="I1847" s="57" t="n">
        <v>1</v>
      </c>
    </row>
    <row r="1848">
      <c r="A1848" s="62" t="n">
        <v>46863</v>
      </c>
      <c r="B1848" s="3" t="inlineStr">
        <is>
          <t>Week</t>
        </is>
      </c>
      <c r="C1848" s="19" t="n">
        <v>4</v>
      </c>
      <c r="D1848" s="19" t="n">
        <v>2028</v>
      </c>
      <c r="E1848" s="57" t="n">
        <v>2</v>
      </c>
      <c r="F1848" s="29">
        <f>ROUND(((SUMIFS(Calendar!$F$2:$F$9997,Calendar!$B$2:$B$9997,D1848,Calendar!$C$2:$C$9997,C1848)*INDEX(ForeCalc!$B$37:$Y$274,MATCH(_xlfn.CONCAT(H1848," ",I1848),ForeCalc!$A$37:$A$274,0),MATCH(_xlfn.CONCAT(B1848," ",E1848),ForeCalc!$B$36:$Y$36,0))))*VLOOKUP(A1848,Calendar!$A$2:$H$9997,8,FALSE),0)</f>
        <v/>
      </c>
      <c r="G1848" s="29">
        <f>VLOOKUP(A1848,Calendar!$A$1:$H$9997,6,FALSE)-F1848</f>
        <v/>
      </c>
      <c r="H1848" s="19" t="n">
        <v>3</v>
      </c>
      <c r="I1848" s="57" t="n">
        <v>1</v>
      </c>
    </row>
    <row r="1849">
      <c r="A1849" s="62" t="n">
        <v>46864</v>
      </c>
      <c r="B1849" s="3" t="inlineStr">
        <is>
          <t>Week</t>
        </is>
      </c>
      <c r="C1849" s="19" t="n">
        <v>4</v>
      </c>
      <c r="D1849" s="19" t="n">
        <v>2028</v>
      </c>
      <c r="E1849" s="57" t="n">
        <v>2</v>
      </c>
      <c r="F1849" s="29">
        <f>ROUND(((SUMIFS(Calendar!$F$2:$F$9997,Calendar!$B$2:$B$9997,D1849,Calendar!$C$2:$C$9997,C1849)*INDEX(ForeCalc!$B$37:$Y$274,MATCH(_xlfn.CONCAT(H1849," ",I1849),ForeCalc!$A$37:$A$274,0),MATCH(_xlfn.CONCAT(B1849," ",E1849),ForeCalc!$B$36:$Y$36,0))))*VLOOKUP(A1849,Calendar!$A$2:$H$9997,8,FALSE),0)</f>
        <v/>
      </c>
      <c r="G1849" s="29">
        <f>VLOOKUP(A1849,Calendar!$A$1:$H$9997,6,FALSE)-F1849</f>
        <v/>
      </c>
      <c r="H1849" s="19" t="n">
        <v>3</v>
      </c>
      <c r="I1849" s="57" t="n">
        <v>1</v>
      </c>
    </row>
    <row r="1850">
      <c r="A1850" s="62" t="n">
        <v>46865</v>
      </c>
      <c r="B1850" s="3" t="inlineStr">
        <is>
          <t>Sat</t>
        </is>
      </c>
      <c r="C1850" s="19" t="n">
        <v>4</v>
      </c>
      <c r="D1850" s="19" t="n">
        <v>2028</v>
      </c>
      <c r="E1850" s="57" t="n">
        <v>2</v>
      </c>
      <c r="F1850" s="29">
        <f>ROUND(((SUMIFS(Calendar!$F$2:$F$9997,Calendar!$B$2:$B$9997,D1850,Calendar!$C$2:$C$9997,C1850)*INDEX(ForeCalc!$B$37:$Y$274,MATCH(_xlfn.CONCAT(H1850," ",I1850),ForeCalc!$A$37:$A$274,0),MATCH(_xlfn.CONCAT(B1850," ",E1850),ForeCalc!$B$36:$Y$36,0))))*VLOOKUP(A1850,Calendar!$A$2:$H$9997,8,FALSE),0)</f>
        <v/>
      </c>
      <c r="G1850" s="29">
        <f>VLOOKUP(A1850,Calendar!$A$1:$H$9997,6,FALSE)-F1850</f>
        <v/>
      </c>
      <c r="H1850" s="19" t="n">
        <v>3</v>
      </c>
      <c r="I1850" s="57" t="n">
        <v>1</v>
      </c>
    </row>
    <row r="1851">
      <c r="A1851" s="62" t="n">
        <v>46866</v>
      </c>
      <c r="B1851" s="3" t="inlineStr">
        <is>
          <t>Sun</t>
        </is>
      </c>
      <c r="C1851" s="19" t="n">
        <v>4</v>
      </c>
      <c r="D1851" s="19" t="n">
        <v>2028</v>
      </c>
      <c r="E1851" s="57" t="n">
        <v>2</v>
      </c>
      <c r="F1851" s="29">
        <f>ROUND(((SUMIFS(Calendar!$F$2:$F$9997,Calendar!$B$2:$B$9997,D1851,Calendar!$C$2:$C$9997,C1851)*INDEX(ForeCalc!$B$37:$Y$274,MATCH(_xlfn.CONCAT(H1851," ",I1851),ForeCalc!$A$37:$A$274,0),MATCH(_xlfn.CONCAT(B1851," ",E1851),ForeCalc!$B$36:$Y$36,0))))*VLOOKUP(A1851,Calendar!$A$2:$H$9997,8,FALSE),0)</f>
        <v/>
      </c>
      <c r="G1851" s="29">
        <f>VLOOKUP(A1851,Calendar!$A$1:$H$9997,6,FALSE)-F1851</f>
        <v/>
      </c>
      <c r="H1851" s="19" t="n">
        <v>3</v>
      </c>
      <c r="I1851" s="57" t="n">
        <v>1</v>
      </c>
    </row>
    <row r="1852">
      <c r="A1852" s="62" t="n">
        <v>46867</v>
      </c>
      <c r="B1852" s="3" t="inlineStr">
        <is>
          <t>Week</t>
        </is>
      </c>
      <c r="C1852" s="19" t="n">
        <v>4</v>
      </c>
      <c r="D1852" s="19" t="n">
        <v>2028</v>
      </c>
      <c r="E1852" s="57" t="n">
        <v>2</v>
      </c>
      <c r="F1852" s="29">
        <f>ROUND(((SUMIFS(Calendar!$F$2:$F$9997,Calendar!$B$2:$B$9997,D1852,Calendar!$C$2:$C$9997,C1852)*INDEX(ForeCalc!$B$37:$Y$274,MATCH(_xlfn.CONCAT(H1852," ",I1852),ForeCalc!$A$37:$A$274,0),MATCH(_xlfn.CONCAT(B1852," ",E1852),ForeCalc!$B$36:$Y$36,0))))*VLOOKUP(A1852,Calendar!$A$2:$H$9997,8,FALSE),0)</f>
        <v/>
      </c>
      <c r="G1852" s="29">
        <f>VLOOKUP(A1852,Calendar!$A$1:$H$9997,6,FALSE)-F1852</f>
        <v/>
      </c>
      <c r="H1852" s="19" t="n">
        <v>3</v>
      </c>
      <c r="I1852" s="57" t="n">
        <v>1</v>
      </c>
    </row>
    <row r="1853">
      <c r="A1853" s="62" t="n">
        <v>46868</v>
      </c>
      <c r="B1853" s="3" t="inlineStr">
        <is>
          <t>Week</t>
        </is>
      </c>
      <c r="C1853" s="19" t="n">
        <v>4</v>
      </c>
      <c r="D1853" s="19" t="n">
        <v>2028</v>
      </c>
      <c r="E1853" s="57" t="n">
        <v>2</v>
      </c>
      <c r="F1853" s="29">
        <f>ROUND(((SUMIFS(Calendar!$F$2:$F$9997,Calendar!$B$2:$B$9997,D1853,Calendar!$C$2:$C$9997,C1853)*INDEX(ForeCalc!$B$37:$Y$274,MATCH(_xlfn.CONCAT(H1853," ",I1853),ForeCalc!$A$37:$A$274,0),MATCH(_xlfn.CONCAT(B1853," ",E1853),ForeCalc!$B$36:$Y$36,0))))*VLOOKUP(A1853,Calendar!$A$2:$H$9997,8,FALSE),0)</f>
        <v/>
      </c>
      <c r="G1853" s="29">
        <f>VLOOKUP(A1853,Calendar!$A$1:$H$9997,6,FALSE)-F1853</f>
        <v/>
      </c>
      <c r="H1853" s="19" t="n">
        <v>3</v>
      </c>
      <c r="I1853" s="57" t="n">
        <v>1</v>
      </c>
    </row>
    <row r="1854">
      <c r="A1854" s="62" t="n">
        <v>46869</v>
      </c>
      <c r="B1854" s="3" t="inlineStr">
        <is>
          <t>Week</t>
        </is>
      </c>
      <c r="C1854" s="19" t="n">
        <v>4</v>
      </c>
      <c r="D1854" s="19" t="n">
        <v>2028</v>
      </c>
      <c r="E1854" s="57" t="n">
        <v>2</v>
      </c>
      <c r="F1854" s="29">
        <f>ROUND(((SUMIFS(Calendar!$F$2:$F$9997,Calendar!$B$2:$B$9997,D1854,Calendar!$C$2:$C$9997,C1854)*INDEX(ForeCalc!$B$37:$Y$274,MATCH(_xlfn.CONCAT(H1854," ",I1854),ForeCalc!$A$37:$A$274,0),MATCH(_xlfn.CONCAT(B1854," ",E1854),ForeCalc!$B$36:$Y$36,0))))*VLOOKUP(A1854,Calendar!$A$2:$H$9997,8,FALSE),0)</f>
        <v/>
      </c>
      <c r="G1854" s="29">
        <f>VLOOKUP(A1854,Calendar!$A$1:$H$9997,6,FALSE)-F1854</f>
        <v/>
      </c>
      <c r="H1854" s="19" t="n">
        <v>3</v>
      </c>
      <c r="I1854" s="57" t="n">
        <v>1</v>
      </c>
    </row>
    <row r="1855">
      <c r="A1855" s="62" t="n">
        <v>46870</v>
      </c>
      <c r="B1855" s="3" t="inlineStr">
        <is>
          <t>Week</t>
        </is>
      </c>
      <c r="C1855" s="19" t="n">
        <v>4</v>
      </c>
      <c r="D1855" s="19" t="n">
        <v>2028</v>
      </c>
      <c r="E1855" s="57" t="n">
        <v>2</v>
      </c>
      <c r="F1855" s="29">
        <f>ROUND(((SUMIFS(Calendar!$F$2:$F$9997,Calendar!$B$2:$B$9997,D1855,Calendar!$C$2:$C$9997,C1855)*INDEX(ForeCalc!$B$37:$Y$274,MATCH(_xlfn.CONCAT(H1855," ",I1855),ForeCalc!$A$37:$A$274,0),MATCH(_xlfn.CONCAT(B1855," ",E1855),ForeCalc!$B$36:$Y$36,0))))*VLOOKUP(A1855,Calendar!$A$2:$H$9997,8,FALSE),0)</f>
        <v/>
      </c>
      <c r="G1855" s="29">
        <f>VLOOKUP(A1855,Calendar!$A$1:$H$9997,6,FALSE)-F1855</f>
        <v/>
      </c>
      <c r="H1855" s="19" t="n">
        <v>3</v>
      </c>
      <c r="I1855" s="57" t="n">
        <v>1</v>
      </c>
    </row>
    <row r="1856">
      <c r="A1856" s="62" t="n">
        <v>46871</v>
      </c>
      <c r="B1856" s="3" t="inlineStr">
        <is>
          <t>Week</t>
        </is>
      </c>
      <c r="C1856" s="19" t="n">
        <v>4</v>
      </c>
      <c r="D1856" s="19" t="n">
        <v>2028</v>
      </c>
      <c r="E1856" s="57" t="n">
        <v>2</v>
      </c>
      <c r="F1856" s="29">
        <f>ROUND(((SUMIFS(Calendar!$F$2:$F$9997,Calendar!$B$2:$B$9997,D1856,Calendar!$C$2:$C$9997,C1856)*INDEX(ForeCalc!$B$37:$Y$274,MATCH(_xlfn.CONCAT(H1856," ",I1856),ForeCalc!$A$37:$A$274,0),MATCH(_xlfn.CONCAT(B1856," ",E1856),ForeCalc!$B$36:$Y$36,0))))*VLOOKUP(A1856,Calendar!$A$2:$H$9997,8,FALSE),0)</f>
        <v/>
      </c>
      <c r="G1856" s="29">
        <f>VLOOKUP(A1856,Calendar!$A$1:$H$9997,6,FALSE)-F1856</f>
        <v/>
      </c>
      <c r="H1856" s="19" t="n">
        <v>3</v>
      </c>
      <c r="I1856" s="57" t="n">
        <v>1</v>
      </c>
    </row>
    <row r="1857">
      <c r="A1857" s="62" t="n">
        <v>46872</v>
      </c>
      <c r="B1857" s="3" t="inlineStr">
        <is>
          <t>Sat</t>
        </is>
      </c>
      <c r="C1857" s="19" t="n">
        <v>4</v>
      </c>
      <c r="D1857" s="19" t="n">
        <v>2028</v>
      </c>
      <c r="E1857" s="57" t="n">
        <v>2</v>
      </c>
      <c r="F1857" s="29">
        <f>ROUND(((SUMIFS(Calendar!$F$2:$F$9997,Calendar!$B$2:$B$9997,D1857,Calendar!$C$2:$C$9997,C1857)*INDEX(ForeCalc!$B$37:$Y$274,MATCH(_xlfn.CONCAT(H1857," ",I1857),ForeCalc!$A$37:$A$274,0),MATCH(_xlfn.CONCAT(B1857," ",E1857),ForeCalc!$B$36:$Y$36,0))))*VLOOKUP(A1857,Calendar!$A$2:$H$9997,8,FALSE),0)</f>
        <v/>
      </c>
      <c r="G1857" s="29">
        <f>VLOOKUP(A1857,Calendar!$A$1:$H$9997,6,FALSE)-F1857</f>
        <v/>
      </c>
      <c r="H1857" s="19" t="n">
        <v>3</v>
      </c>
      <c r="I1857" s="57" t="n">
        <v>1</v>
      </c>
    </row>
    <row r="1858">
      <c r="A1858" s="62" t="n">
        <v>46873</v>
      </c>
      <c r="B1858" s="3" t="inlineStr">
        <is>
          <t>Sun</t>
        </is>
      </c>
      <c r="C1858" s="19" t="n">
        <v>4</v>
      </c>
      <c r="D1858" s="19" t="n">
        <v>2028</v>
      </c>
      <c r="E1858" s="57" t="n">
        <v>2</v>
      </c>
      <c r="F1858" s="29">
        <f>ROUND(((SUMIFS(Calendar!$F$2:$F$9997,Calendar!$B$2:$B$9997,D1858,Calendar!$C$2:$C$9997,C1858)*INDEX(ForeCalc!$B$37:$Y$274,MATCH(_xlfn.CONCAT(H1858," ",I1858),ForeCalc!$A$37:$A$274,0),MATCH(_xlfn.CONCAT(B1858," ",E1858),ForeCalc!$B$36:$Y$36,0))))*VLOOKUP(A1858,Calendar!$A$2:$H$9997,8,FALSE),0)</f>
        <v/>
      </c>
      <c r="G1858" s="29">
        <f>VLOOKUP(A1858,Calendar!$A$1:$H$9997,6,FALSE)-F1858</f>
        <v/>
      </c>
      <c r="H1858" s="19" t="n">
        <v>3</v>
      </c>
      <c r="I1858" s="57" t="n">
        <v>1</v>
      </c>
    </row>
    <row r="1859">
      <c r="A1859" s="62" t="n">
        <v>46874</v>
      </c>
      <c r="B1859" s="3" t="inlineStr">
        <is>
          <t>Week</t>
        </is>
      </c>
      <c r="C1859" s="19" t="n">
        <v>5</v>
      </c>
      <c r="D1859" s="19" t="n">
        <v>2028</v>
      </c>
      <c r="E1859" s="57" t="n">
        <v>2</v>
      </c>
      <c r="F1859" s="29">
        <f>ROUND(((SUMIFS(Calendar!$F$2:$F$9997,Calendar!$B$2:$B$9997,D1859,Calendar!$C$2:$C$9997,C1859)*INDEX(ForeCalc!$B$37:$Y$274,MATCH(_xlfn.CONCAT(H1859," ",I1859),ForeCalc!$A$37:$A$274,0),MATCH(_xlfn.CONCAT(B1859," ",E1859),ForeCalc!$B$36:$Y$36,0))))*VLOOKUP(A1859,Calendar!$A$2:$H$9997,8,FALSE),0)</f>
        <v/>
      </c>
      <c r="G1859" s="29">
        <f>VLOOKUP(A1859,Calendar!$A$1:$H$9997,6,FALSE)-F1859</f>
        <v/>
      </c>
      <c r="H1859" s="19" t="n">
        <v>3</v>
      </c>
      <c r="I1859" s="57" t="n">
        <v>2</v>
      </c>
    </row>
    <row r="1860">
      <c r="A1860" s="62" t="n">
        <v>46875</v>
      </c>
      <c r="B1860" s="3" t="inlineStr">
        <is>
          <t>Week</t>
        </is>
      </c>
      <c r="C1860" s="19" t="n">
        <v>5</v>
      </c>
      <c r="D1860" s="19" t="n">
        <v>2028</v>
      </c>
      <c r="E1860" s="57" t="n">
        <v>2</v>
      </c>
      <c r="F1860" s="29">
        <f>ROUND(((SUMIFS(Calendar!$F$2:$F$9997,Calendar!$B$2:$B$9997,D1860,Calendar!$C$2:$C$9997,C1860)*INDEX(ForeCalc!$B$37:$Y$274,MATCH(_xlfn.CONCAT(H1860," ",I1860),ForeCalc!$A$37:$A$274,0),MATCH(_xlfn.CONCAT(B1860," ",E1860),ForeCalc!$B$36:$Y$36,0))))*VLOOKUP(A1860,Calendar!$A$2:$H$9997,8,FALSE),0)</f>
        <v/>
      </c>
      <c r="G1860" s="29">
        <f>VLOOKUP(A1860,Calendar!$A$1:$H$9997,6,FALSE)-F1860</f>
        <v/>
      </c>
      <c r="H1860" s="19" t="n">
        <v>3</v>
      </c>
      <c r="I1860" s="57" t="n">
        <v>2</v>
      </c>
    </row>
    <row r="1861">
      <c r="A1861" s="62" t="n">
        <v>46876</v>
      </c>
      <c r="B1861" s="3" t="inlineStr">
        <is>
          <t>Week</t>
        </is>
      </c>
      <c r="C1861" s="19" t="n">
        <v>5</v>
      </c>
      <c r="D1861" s="19" t="n">
        <v>2028</v>
      </c>
      <c r="E1861" s="57" t="n">
        <v>2</v>
      </c>
      <c r="F1861" s="29">
        <f>ROUND(((SUMIFS(Calendar!$F$2:$F$9997,Calendar!$B$2:$B$9997,D1861,Calendar!$C$2:$C$9997,C1861)*INDEX(ForeCalc!$B$37:$Y$274,MATCH(_xlfn.CONCAT(H1861," ",I1861),ForeCalc!$A$37:$A$274,0),MATCH(_xlfn.CONCAT(B1861," ",E1861),ForeCalc!$B$36:$Y$36,0))))*VLOOKUP(A1861,Calendar!$A$2:$H$9997,8,FALSE),0)</f>
        <v/>
      </c>
      <c r="G1861" s="29">
        <f>VLOOKUP(A1861,Calendar!$A$1:$H$9997,6,FALSE)-F1861</f>
        <v/>
      </c>
      <c r="H1861" s="19" t="n">
        <v>3</v>
      </c>
      <c r="I1861" s="57" t="n">
        <v>2</v>
      </c>
    </row>
    <row r="1862">
      <c r="A1862" s="62" t="n">
        <v>46877</v>
      </c>
      <c r="B1862" s="3" t="inlineStr">
        <is>
          <t>Week</t>
        </is>
      </c>
      <c r="C1862" s="19" t="n">
        <v>5</v>
      </c>
      <c r="D1862" s="19" t="n">
        <v>2028</v>
      </c>
      <c r="E1862" s="57" t="n">
        <v>2</v>
      </c>
      <c r="F1862" s="29">
        <f>ROUND(((SUMIFS(Calendar!$F$2:$F$9997,Calendar!$B$2:$B$9997,D1862,Calendar!$C$2:$C$9997,C1862)*INDEX(ForeCalc!$B$37:$Y$274,MATCH(_xlfn.CONCAT(H1862," ",I1862),ForeCalc!$A$37:$A$274,0),MATCH(_xlfn.CONCAT(B1862," ",E1862),ForeCalc!$B$36:$Y$36,0))))*VLOOKUP(A1862,Calendar!$A$2:$H$9997,8,FALSE),0)</f>
        <v/>
      </c>
      <c r="G1862" s="29">
        <f>VLOOKUP(A1862,Calendar!$A$1:$H$9997,6,FALSE)-F1862</f>
        <v/>
      </c>
      <c r="H1862" s="19" t="n">
        <v>3</v>
      </c>
      <c r="I1862" s="57" t="n">
        <v>2</v>
      </c>
    </row>
    <row r="1863">
      <c r="A1863" s="62" t="n">
        <v>46878</v>
      </c>
      <c r="B1863" s="3" t="inlineStr">
        <is>
          <t>Week</t>
        </is>
      </c>
      <c r="C1863" s="19" t="n">
        <v>5</v>
      </c>
      <c r="D1863" s="19" t="n">
        <v>2028</v>
      </c>
      <c r="E1863" s="57" t="n">
        <v>2</v>
      </c>
      <c r="F1863" s="29">
        <f>ROUND(((SUMIFS(Calendar!$F$2:$F$9997,Calendar!$B$2:$B$9997,D1863,Calendar!$C$2:$C$9997,C1863)*INDEX(ForeCalc!$B$37:$Y$274,MATCH(_xlfn.CONCAT(H1863," ",I1863),ForeCalc!$A$37:$A$274,0),MATCH(_xlfn.CONCAT(B1863," ",E1863),ForeCalc!$B$36:$Y$36,0))))*VLOOKUP(A1863,Calendar!$A$2:$H$9997,8,FALSE),0)</f>
        <v/>
      </c>
      <c r="G1863" s="29">
        <f>VLOOKUP(A1863,Calendar!$A$1:$H$9997,6,FALSE)-F1863</f>
        <v/>
      </c>
      <c r="H1863" s="19" t="n">
        <v>3</v>
      </c>
      <c r="I1863" s="57" t="n">
        <v>2</v>
      </c>
    </row>
    <row r="1864">
      <c r="A1864" s="62" t="n">
        <v>46879</v>
      </c>
      <c r="B1864" s="3" t="inlineStr">
        <is>
          <t>Sat</t>
        </is>
      </c>
      <c r="C1864" s="19" t="n">
        <v>5</v>
      </c>
      <c r="D1864" s="19" t="n">
        <v>2028</v>
      </c>
      <c r="E1864" s="57" t="n">
        <v>2</v>
      </c>
      <c r="F1864" s="29">
        <f>ROUND(((SUMIFS(Calendar!$F$2:$F$9997,Calendar!$B$2:$B$9997,D1864,Calendar!$C$2:$C$9997,C1864)*INDEX(ForeCalc!$B$37:$Y$274,MATCH(_xlfn.CONCAT(H1864," ",I1864),ForeCalc!$A$37:$A$274,0),MATCH(_xlfn.CONCAT(B1864," ",E1864),ForeCalc!$B$36:$Y$36,0))))*VLOOKUP(A1864,Calendar!$A$2:$H$9997,8,FALSE),0)</f>
        <v/>
      </c>
      <c r="G1864" s="29">
        <f>VLOOKUP(A1864,Calendar!$A$1:$H$9997,6,FALSE)-F1864</f>
        <v/>
      </c>
      <c r="H1864" s="19" t="n">
        <v>3</v>
      </c>
      <c r="I1864" s="57" t="n">
        <v>2</v>
      </c>
    </row>
    <row r="1865">
      <c r="A1865" s="62" t="n">
        <v>46880</v>
      </c>
      <c r="B1865" s="3" t="inlineStr">
        <is>
          <t>Sun</t>
        </is>
      </c>
      <c r="C1865" s="19" t="n">
        <v>5</v>
      </c>
      <c r="D1865" s="19" t="n">
        <v>2028</v>
      </c>
      <c r="E1865" s="57" t="n">
        <v>2</v>
      </c>
      <c r="F1865" s="29">
        <f>ROUND(((SUMIFS(Calendar!$F$2:$F$9997,Calendar!$B$2:$B$9997,D1865,Calendar!$C$2:$C$9997,C1865)*INDEX(ForeCalc!$B$37:$Y$274,MATCH(_xlfn.CONCAT(H1865," ",I1865),ForeCalc!$A$37:$A$274,0),MATCH(_xlfn.CONCAT(B1865," ",E1865),ForeCalc!$B$36:$Y$36,0))))*VLOOKUP(A1865,Calendar!$A$2:$H$9997,8,FALSE),0)</f>
        <v/>
      </c>
      <c r="G1865" s="29">
        <f>VLOOKUP(A1865,Calendar!$A$1:$H$9997,6,FALSE)-F1865</f>
        <v/>
      </c>
      <c r="H1865" s="19" t="n">
        <v>3</v>
      </c>
      <c r="I1865" s="57" t="n">
        <v>2</v>
      </c>
    </row>
    <row r="1866">
      <c r="A1866" s="62" t="n">
        <v>46881</v>
      </c>
      <c r="B1866" s="3" t="inlineStr">
        <is>
          <t>Week</t>
        </is>
      </c>
      <c r="C1866" s="19" t="n">
        <v>5</v>
      </c>
      <c r="D1866" s="19" t="n">
        <v>2028</v>
      </c>
      <c r="E1866" s="57" t="n">
        <v>2</v>
      </c>
      <c r="F1866" s="29">
        <f>ROUND(((SUMIFS(Calendar!$F$2:$F$9997,Calendar!$B$2:$B$9997,D1866,Calendar!$C$2:$C$9997,C1866)*INDEX(ForeCalc!$B$37:$Y$274,MATCH(_xlfn.CONCAT(H1866," ",I1866),ForeCalc!$A$37:$A$274,0),MATCH(_xlfn.CONCAT(B1866," ",E1866),ForeCalc!$B$36:$Y$36,0))))*VLOOKUP(A1866,Calendar!$A$2:$H$9997,8,FALSE),0)</f>
        <v/>
      </c>
      <c r="G1866" s="29">
        <f>VLOOKUP(A1866,Calendar!$A$1:$H$9997,6,FALSE)-F1866</f>
        <v/>
      </c>
      <c r="H1866" s="19" t="n">
        <v>3</v>
      </c>
      <c r="I1866" s="57" t="n">
        <v>2</v>
      </c>
    </row>
    <row r="1867">
      <c r="A1867" s="62" t="n">
        <v>46882</v>
      </c>
      <c r="B1867" s="3" t="inlineStr">
        <is>
          <t>Week</t>
        </is>
      </c>
      <c r="C1867" s="19" t="n">
        <v>5</v>
      </c>
      <c r="D1867" s="19" t="n">
        <v>2028</v>
      </c>
      <c r="E1867" s="57" t="n">
        <v>2</v>
      </c>
      <c r="F1867" s="29">
        <f>ROUND(((SUMIFS(Calendar!$F$2:$F$9997,Calendar!$B$2:$B$9997,D1867,Calendar!$C$2:$C$9997,C1867)*INDEX(ForeCalc!$B$37:$Y$274,MATCH(_xlfn.CONCAT(H1867," ",I1867),ForeCalc!$A$37:$A$274,0),MATCH(_xlfn.CONCAT(B1867," ",E1867),ForeCalc!$B$36:$Y$36,0))))*VLOOKUP(A1867,Calendar!$A$2:$H$9997,8,FALSE),0)</f>
        <v/>
      </c>
      <c r="G1867" s="29">
        <f>VLOOKUP(A1867,Calendar!$A$1:$H$9997,6,FALSE)-F1867</f>
        <v/>
      </c>
      <c r="H1867" s="19" t="n">
        <v>3</v>
      </c>
      <c r="I1867" s="57" t="n">
        <v>2</v>
      </c>
    </row>
    <row r="1868">
      <c r="A1868" s="62" t="n">
        <v>46883</v>
      </c>
      <c r="B1868" s="3" t="inlineStr">
        <is>
          <t>Week</t>
        </is>
      </c>
      <c r="C1868" s="19" t="n">
        <v>5</v>
      </c>
      <c r="D1868" s="19" t="n">
        <v>2028</v>
      </c>
      <c r="E1868" s="57" t="n">
        <v>2</v>
      </c>
      <c r="F1868" s="29">
        <f>ROUND(((SUMIFS(Calendar!$F$2:$F$9997,Calendar!$B$2:$B$9997,D1868,Calendar!$C$2:$C$9997,C1868)*INDEX(ForeCalc!$B$37:$Y$274,MATCH(_xlfn.CONCAT(H1868," ",I1868),ForeCalc!$A$37:$A$274,0),MATCH(_xlfn.CONCAT(B1868," ",E1868),ForeCalc!$B$36:$Y$36,0))))*VLOOKUP(A1868,Calendar!$A$2:$H$9997,8,FALSE),0)</f>
        <v/>
      </c>
      <c r="G1868" s="29">
        <f>VLOOKUP(A1868,Calendar!$A$1:$H$9997,6,FALSE)-F1868</f>
        <v/>
      </c>
      <c r="H1868" s="19" t="n">
        <v>3</v>
      </c>
      <c r="I1868" s="57" t="n">
        <v>2</v>
      </c>
    </row>
    <row r="1869">
      <c r="A1869" s="62" t="n">
        <v>46884</v>
      </c>
      <c r="B1869" s="3" t="inlineStr">
        <is>
          <t>Week</t>
        </is>
      </c>
      <c r="C1869" s="19" t="n">
        <v>5</v>
      </c>
      <c r="D1869" s="19" t="n">
        <v>2028</v>
      </c>
      <c r="E1869" s="57" t="n">
        <v>2</v>
      </c>
      <c r="F1869" s="29">
        <f>ROUND(((SUMIFS(Calendar!$F$2:$F$9997,Calendar!$B$2:$B$9997,D1869,Calendar!$C$2:$C$9997,C1869)*INDEX(ForeCalc!$B$37:$Y$274,MATCH(_xlfn.CONCAT(H1869," ",I1869),ForeCalc!$A$37:$A$274,0),MATCH(_xlfn.CONCAT(B1869," ",E1869),ForeCalc!$B$36:$Y$36,0))))*VLOOKUP(A1869,Calendar!$A$2:$H$9997,8,FALSE),0)</f>
        <v/>
      </c>
      <c r="G1869" s="29">
        <f>VLOOKUP(A1869,Calendar!$A$1:$H$9997,6,FALSE)-F1869</f>
        <v/>
      </c>
      <c r="H1869" s="19" t="n">
        <v>3</v>
      </c>
      <c r="I1869" s="57" t="n">
        <v>2</v>
      </c>
    </row>
    <row r="1870">
      <c r="A1870" s="62" t="n">
        <v>46885</v>
      </c>
      <c r="B1870" s="3" t="inlineStr">
        <is>
          <t>Week</t>
        </is>
      </c>
      <c r="C1870" s="19" t="n">
        <v>5</v>
      </c>
      <c r="D1870" s="19" t="n">
        <v>2028</v>
      </c>
      <c r="E1870" s="57" t="n">
        <v>2</v>
      </c>
      <c r="F1870" s="29">
        <f>ROUND(((SUMIFS(Calendar!$F$2:$F$9997,Calendar!$B$2:$B$9997,D1870,Calendar!$C$2:$C$9997,C1870)*INDEX(ForeCalc!$B$37:$Y$274,MATCH(_xlfn.CONCAT(H1870," ",I1870),ForeCalc!$A$37:$A$274,0),MATCH(_xlfn.CONCAT(B1870," ",E1870),ForeCalc!$B$36:$Y$36,0))))*VLOOKUP(A1870,Calendar!$A$2:$H$9997,8,FALSE),0)</f>
        <v/>
      </c>
      <c r="G1870" s="29">
        <f>VLOOKUP(A1870,Calendar!$A$1:$H$9997,6,FALSE)-F1870</f>
        <v/>
      </c>
      <c r="H1870" s="19" t="n">
        <v>3</v>
      </c>
      <c r="I1870" s="57" t="n">
        <v>2</v>
      </c>
    </row>
    <row r="1871">
      <c r="A1871" s="62" t="n">
        <v>46886</v>
      </c>
      <c r="B1871" s="3" t="inlineStr">
        <is>
          <t>Sat</t>
        </is>
      </c>
      <c r="C1871" s="19" t="n">
        <v>5</v>
      </c>
      <c r="D1871" s="19" t="n">
        <v>2028</v>
      </c>
      <c r="E1871" s="57" t="n">
        <v>2</v>
      </c>
      <c r="F1871" s="29">
        <f>ROUND(((SUMIFS(Calendar!$F$2:$F$9997,Calendar!$B$2:$B$9997,D1871,Calendar!$C$2:$C$9997,C1871)*INDEX(ForeCalc!$B$37:$Y$274,MATCH(_xlfn.CONCAT(H1871," ",I1871),ForeCalc!$A$37:$A$274,0),MATCH(_xlfn.CONCAT(B1871," ",E1871),ForeCalc!$B$36:$Y$36,0))))*VLOOKUP(A1871,Calendar!$A$2:$H$9997,8,FALSE),0)</f>
        <v/>
      </c>
      <c r="G1871" s="29">
        <f>VLOOKUP(A1871,Calendar!$A$1:$H$9997,6,FALSE)-F1871</f>
        <v/>
      </c>
      <c r="H1871" s="19" t="n">
        <v>3</v>
      </c>
      <c r="I1871" s="57" t="n">
        <v>2</v>
      </c>
    </row>
    <row r="1872">
      <c r="A1872" s="62" t="n">
        <v>46887</v>
      </c>
      <c r="B1872" s="3" t="inlineStr">
        <is>
          <t>Sun</t>
        </is>
      </c>
      <c r="C1872" s="19" t="n">
        <v>5</v>
      </c>
      <c r="D1872" s="19" t="n">
        <v>2028</v>
      </c>
      <c r="E1872" s="57" t="n">
        <v>2</v>
      </c>
      <c r="F1872" s="29">
        <f>ROUND(((SUMIFS(Calendar!$F$2:$F$9997,Calendar!$B$2:$B$9997,D1872,Calendar!$C$2:$C$9997,C1872)*INDEX(ForeCalc!$B$37:$Y$274,MATCH(_xlfn.CONCAT(H1872," ",I1872),ForeCalc!$A$37:$A$274,0),MATCH(_xlfn.CONCAT(B1872," ",E1872),ForeCalc!$B$36:$Y$36,0))))*VLOOKUP(A1872,Calendar!$A$2:$H$9997,8,FALSE),0)</f>
        <v/>
      </c>
      <c r="G1872" s="29">
        <f>VLOOKUP(A1872,Calendar!$A$1:$H$9997,6,FALSE)-F1872</f>
        <v/>
      </c>
      <c r="H1872" s="19" t="n">
        <v>3</v>
      </c>
      <c r="I1872" s="57" t="n">
        <v>2</v>
      </c>
    </row>
    <row r="1873">
      <c r="A1873" s="62" t="n">
        <v>46888</v>
      </c>
      <c r="B1873" s="3" t="inlineStr">
        <is>
          <t>Week</t>
        </is>
      </c>
      <c r="C1873" s="19" t="n">
        <v>5</v>
      </c>
      <c r="D1873" s="19" t="n">
        <v>2028</v>
      </c>
      <c r="E1873" s="57" t="n">
        <v>2</v>
      </c>
      <c r="F1873" s="29">
        <f>ROUND(((SUMIFS(Calendar!$F$2:$F$9997,Calendar!$B$2:$B$9997,D1873,Calendar!$C$2:$C$9997,C1873)*INDEX(ForeCalc!$B$37:$Y$274,MATCH(_xlfn.CONCAT(H1873," ",I1873),ForeCalc!$A$37:$A$274,0),MATCH(_xlfn.CONCAT(B1873," ",E1873),ForeCalc!$B$36:$Y$36,0))))*VLOOKUP(A1873,Calendar!$A$2:$H$9997,8,FALSE),0)</f>
        <v/>
      </c>
      <c r="G1873" s="29">
        <f>VLOOKUP(A1873,Calendar!$A$1:$H$9997,6,FALSE)-F1873</f>
        <v/>
      </c>
      <c r="H1873" s="19" t="n">
        <v>3</v>
      </c>
      <c r="I1873" s="57" t="n">
        <v>2</v>
      </c>
    </row>
    <row r="1874">
      <c r="A1874" s="62" t="n">
        <v>46889</v>
      </c>
      <c r="B1874" s="3" t="inlineStr">
        <is>
          <t>Week</t>
        </is>
      </c>
      <c r="C1874" s="19" t="n">
        <v>5</v>
      </c>
      <c r="D1874" s="19" t="n">
        <v>2028</v>
      </c>
      <c r="E1874" s="57" t="n">
        <v>2</v>
      </c>
      <c r="F1874" s="29">
        <f>ROUND(((SUMIFS(Calendar!$F$2:$F$9997,Calendar!$B$2:$B$9997,D1874,Calendar!$C$2:$C$9997,C1874)*INDEX(ForeCalc!$B$37:$Y$274,MATCH(_xlfn.CONCAT(H1874," ",I1874),ForeCalc!$A$37:$A$274,0),MATCH(_xlfn.CONCAT(B1874," ",E1874),ForeCalc!$B$36:$Y$36,0))))*VLOOKUP(A1874,Calendar!$A$2:$H$9997,8,FALSE),0)</f>
        <v/>
      </c>
      <c r="G1874" s="29">
        <f>VLOOKUP(A1874,Calendar!$A$1:$H$9997,6,FALSE)-F1874</f>
        <v/>
      </c>
      <c r="H1874" s="19" t="n">
        <v>3</v>
      </c>
      <c r="I1874" s="57" t="n">
        <v>2</v>
      </c>
    </row>
    <row r="1875">
      <c r="A1875" s="62" t="n">
        <v>46890</v>
      </c>
      <c r="B1875" s="3" t="inlineStr">
        <is>
          <t>Week</t>
        </is>
      </c>
      <c r="C1875" s="19" t="n">
        <v>5</v>
      </c>
      <c r="D1875" s="19" t="n">
        <v>2028</v>
      </c>
      <c r="E1875" s="57" t="n">
        <v>2</v>
      </c>
      <c r="F1875" s="29">
        <f>ROUND(((SUMIFS(Calendar!$F$2:$F$9997,Calendar!$B$2:$B$9997,D1875,Calendar!$C$2:$C$9997,C1875)*INDEX(ForeCalc!$B$37:$Y$274,MATCH(_xlfn.CONCAT(H1875," ",I1875),ForeCalc!$A$37:$A$274,0),MATCH(_xlfn.CONCAT(B1875," ",E1875),ForeCalc!$B$36:$Y$36,0))))*VLOOKUP(A1875,Calendar!$A$2:$H$9997,8,FALSE),0)</f>
        <v/>
      </c>
      <c r="G1875" s="29">
        <f>VLOOKUP(A1875,Calendar!$A$1:$H$9997,6,FALSE)-F1875</f>
        <v/>
      </c>
      <c r="H1875" s="19" t="n">
        <v>3</v>
      </c>
      <c r="I1875" s="57" t="n">
        <v>2</v>
      </c>
    </row>
    <row r="1876">
      <c r="A1876" s="62" t="n">
        <v>46891</v>
      </c>
      <c r="B1876" s="3" t="inlineStr">
        <is>
          <t>Week</t>
        </is>
      </c>
      <c r="C1876" s="19" t="n">
        <v>5</v>
      </c>
      <c r="D1876" s="19" t="n">
        <v>2028</v>
      </c>
      <c r="E1876" s="57" t="n">
        <v>2</v>
      </c>
      <c r="F1876" s="29">
        <f>ROUND(((SUMIFS(Calendar!$F$2:$F$9997,Calendar!$B$2:$B$9997,D1876,Calendar!$C$2:$C$9997,C1876)*INDEX(ForeCalc!$B$37:$Y$274,MATCH(_xlfn.CONCAT(H1876," ",I1876),ForeCalc!$A$37:$A$274,0),MATCH(_xlfn.CONCAT(B1876," ",E1876),ForeCalc!$B$36:$Y$36,0))))*VLOOKUP(A1876,Calendar!$A$2:$H$9997,8,FALSE),0)</f>
        <v/>
      </c>
      <c r="G1876" s="29">
        <f>VLOOKUP(A1876,Calendar!$A$1:$H$9997,6,FALSE)-F1876</f>
        <v/>
      </c>
      <c r="H1876" s="19" t="n">
        <v>3</v>
      </c>
      <c r="I1876" s="57" t="n">
        <v>2</v>
      </c>
    </row>
    <row r="1877">
      <c r="A1877" s="62" t="n">
        <v>46892</v>
      </c>
      <c r="B1877" s="3" t="inlineStr">
        <is>
          <t>Week</t>
        </is>
      </c>
      <c r="C1877" s="19" t="n">
        <v>5</v>
      </c>
      <c r="D1877" s="19" t="n">
        <v>2028</v>
      </c>
      <c r="E1877" s="57" t="n">
        <v>2</v>
      </c>
      <c r="F1877" s="29">
        <f>ROUND(((SUMIFS(Calendar!$F$2:$F$9997,Calendar!$B$2:$B$9997,D1877,Calendar!$C$2:$C$9997,C1877)*INDEX(ForeCalc!$B$37:$Y$274,MATCH(_xlfn.CONCAT(H1877," ",I1877),ForeCalc!$A$37:$A$274,0),MATCH(_xlfn.CONCAT(B1877," ",E1877),ForeCalc!$B$36:$Y$36,0))))*VLOOKUP(A1877,Calendar!$A$2:$H$9997,8,FALSE),0)</f>
        <v/>
      </c>
      <c r="G1877" s="29">
        <f>VLOOKUP(A1877,Calendar!$A$1:$H$9997,6,FALSE)-F1877</f>
        <v/>
      </c>
      <c r="H1877" s="19" t="n">
        <v>3</v>
      </c>
      <c r="I1877" s="57" t="n">
        <v>2</v>
      </c>
    </row>
    <row r="1878">
      <c r="A1878" s="62" t="n">
        <v>46893</v>
      </c>
      <c r="B1878" s="3" t="inlineStr">
        <is>
          <t>Sat</t>
        </is>
      </c>
      <c r="C1878" s="19" t="n">
        <v>5</v>
      </c>
      <c r="D1878" s="19" t="n">
        <v>2028</v>
      </c>
      <c r="E1878" s="57" t="n">
        <v>2</v>
      </c>
      <c r="F1878" s="29">
        <f>ROUND(((SUMIFS(Calendar!$F$2:$F$9997,Calendar!$B$2:$B$9997,D1878,Calendar!$C$2:$C$9997,C1878)*INDEX(ForeCalc!$B$37:$Y$274,MATCH(_xlfn.CONCAT(H1878," ",I1878),ForeCalc!$A$37:$A$274,0),MATCH(_xlfn.CONCAT(B1878," ",E1878),ForeCalc!$B$36:$Y$36,0))))*VLOOKUP(A1878,Calendar!$A$2:$H$9997,8,FALSE),0)</f>
        <v/>
      </c>
      <c r="G1878" s="29">
        <f>VLOOKUP(A1878,Calendar!$A$1:$H$9997,6,FALSE)-F1878</f>
        <v/>
      </c>
      <c r="H1878" s="19" t="n">
        <v>3</v>
      </c>
      <c r="I1878" s="57" t="n">
        <v>2</v>
      </c>
    </row>
    <row r="1879">
      <c r="A1879" s="62" t="n">
        <v>46894</v>
      </c>
      <c r="B1879" s="3" t="inlineStr">
        <is>
          <t>Sun</t>
        </is>
      </c>
      <c r="C1879" s="19" t="n">
        <v>5</v>
      </c>
      <c r="D1879" s="19" t="n">
        <v>2028</v>
      </c>
      <c r="E1879" s="57" t="n">
        <v>2</v>
      </c>
      <c r="F1879" s="29">
        <f>ROUND(((SUMIFS(Calendar!$F$2:$F$9997,Calendar!$B$2:$B$9997,D1879,Calendar!$C$2:$C$9997,C1879)*INDEX(ForeCalc!$B$37:$Y$274,MATCH(_xlfn.CONCAT(H1879," ",I1879),ForeCalc!$A$37:$A$274,0),MATCH(_xlfn.CONCAT(B1879," ",E1879),ForeCalc!$B$36:$Y$36,0))))*VLOOKUP(A1879,Calendar!$A$2:$H$9997,8,FALSE),0)</f>
        <v/>
      </c>
      <c r="G1879" s="29">
        <f>VLOOKUP(A1879,Calendar!$A$1:$H$9997,6,FALSE)-F1879</f>
        <v/>
      </c>
      <c r="H1879" s="19" t="n">
        <v>3</v>
      </c>
      <c r="I1879" s="57" t="n">
        <v>2</v>
      </c>
    </row>
    <row r="1880">
      <c r="A1880" s="62" t="n">
        <v>46895</v>
      </c>
      <c r="B1880" s="3" t="inlineStr">
        <is>
          <t>Week</t>
        </is>
      </c>
      <c r="C1880" s="19" t="n">
        <v>5</v>
      </c>
      <c r="D1880" s="19" t="n">
        <v>2028</v>
      </c>
      <c r="E1880" s="57" t="n">
        <v>2</v>
      </c>
      <c r="F1880" s="29">
        <f>ROUND(((SUMIFS(Calendar!$F$2:$F$9997,Calendar!$B$2:$B$9997,D1880,Calendar!$C$2:$C$9997,C1880)*INDEX(ForeCalc!$B$37:$Y$274,MATCH(_xlfn.CONCAT(H1880," ",I1880),ForeCalc!$A$37:$A$274,0),MATCH(_xlfn.CONCAT(B1880," ",E1880),ForeCalc!$B$36:$Y$36,0))))*VLOOKUP(A1880,Calendar!$A$2:$H$9997,8,FALSE),0)</f>
        <v/>
      </c>
      <c r="G1880" s="29">
        <f>VLOOKUP(A1880,Calendar!$A$1:$H$9997,6,FALSE)-F1880</f>
        <v/>
      </c>
      <c r="H1880" s="19" t="n">
        <v>3</v>
      </c>
      <c r="I1880" s="57" t="n">
        <v>2</v>
      </c>
    </row>
    <row r="1881">
      <c r="A1881" s="62" t="n">
        <v>46896</v>
      </c>
      <c r="B1881" s="3" t="inlineStr">
        <is>
          <t>Week</t>
        </is>
      </c>
      <c r="C1881" s="19" t="n">
        <v>5</v>
      </c>
      <c r="D1881" s="19" t="n">
        <v>2028</v>
      </c>
      <c r="E1881" s="57" t="n">
        <v>2</v>
      </c>
      <c r="F1881" s="29">
        <f>ROUND(((SUMIFS(Calendar!$F$2:$F$9997,Calendar!$B$2:$B$9997,D1881,Calendar!$C$2:$C$9997,C1881)*INDEX(ForeCalc!$B$37:$Y$274,MATCH(_xlfn.CONCAT(H1881," ",I1881),ForeCalc!$A$37:$A$274,0),MATCH(_xlfn.CONCAT(B1881," ",E1881),ForeCalc!$B$36:$Y$36,0))))*VLOOKUP(A1881,Calendar!$A$2:$H$9997,8,FALSE),0)</f>
        <v/>
      </c>
      <c r="G1881" s="29">
        <f>VLOOKUP(A1881,Calendar!$A$1:$H$9997,6,FALSE)-F1881</f>
        <v/>
      </c>
      <c r="H1881" s="19" t="n">
        <v>3</v>
      </c>
      <c r="I1881" s="57" t="n">
        <v>2</v>
      </c>
    </row>
    <row r="1882">
      <c r="A1882" s="62" t="n">
        <v>46897</v>
      </c>
      <c r="B1882" s="3" t="inlineStr">
        <is>
          <t>Week</t>
        </is>
      </c>
      <c r="C1882" s="19" t="n">
        <v>5</v>
      </c>
      <c r="D1882" s="19" t="n">
        <v>2028</v>
      </c>
      <c r="E1882" s="57" t="n">
        <v>2</v>
      </c>
      <c r="F1882" s="29">
        <f>ROUND(((SUMIFS(Calendar!$F$2:$F$9997,Calendar!$B$2:$B$9997,D1882,Calendar!$C$2:$C$9997,C1882)*INDEX(ForeCalc!$B$37:$Y$274,MATCH(_xlfn.CONCAT(H1882," ",I1882),ForeCalc!$A$37:$A$274,0),MATCH(_xlfn.CONCAT(B1882," ",E1882),ForeCalc!$B$36:$Y$36,0))))*VLOOKUP(A1882,Calendar!$A$2:$H$9997,8,FALSE),0)</f>
        <v/>
      </c>
      <c r="G1882" s="29">
        <f>VLOOKUP(A1882,Calendar!$A$1:$H$9997,6,FALSE)-F1882</f>
        <v/>
      </c>
      <c r="H1882" s="19" t="n">
        <v>3</v>
      </c>
      <c r="I1882" s="57" t="n">
        <v>2</v>
      </c>
    </row>
    <row r="1883">
      <c r="A1883" s="62" t="n">
        <v>46898</v>
      </c>
      <c r="B1883" s="3" t="inlineStr">
        <is>
          <t>Week</t>
        </is>
      </c>
      <c r="C1883" s="19" t="n">
        <v>5</v>
      </c>
      <c r="D1883" s="19" t="n">
        <v>2028</v>
      </c>
      <c r="E1883" s="57" t="n">
        <v>2</v>
      </c>
      <c r="F1883" s="29">
        <f>ROUND(((SUMIFS(Calendar!$F$2:$F$9997,Calendar!$B$2:$B$9997,D1883,Calendar!$C$2:$C$9997,C1883)*INDEX(ForeCalc!$B$37:$Y$274,MATCH(_xlfn.CONCAT(H1883," ",I1883),ForeCalc!$A$37:$A$274,0),MATCH(_xlfn.CONCAT(B1883," ",E1883),ForeCalc!$B$36:$Y$36,0))))*VLOOKUP(A1883,Calendar!$A$2:$H$9997,8,FALSE),0)</f>
        <v/>
      </c>
      <c r="G1883" s="29">
        <f>VLOOKUP(A1883,Calendar!$A$1:$H$9997,6,FALSE)-F1883</f>
        <v/>
      </c>
      <c r="H1883" s="19" t="n">
        <v>3</v>
      </c>
      <c r="I1883" s="57" t="n">
        <v>2</v>
      </c>
    </row>
    <row r="1884">
      <c r="A1884" s="62" t="n">
        <v>46899</v>
      </c>
      <c r="B1884" s="3" t="inlineStr">
        <is>
          <t>Week</t>
        </is>
      </c>
      <c r="C1884" s="19" t="n">
        <v>5</v>
      </c>
      <c r="D1884" s="19" t="n">
        <v>2028</v>
      </c>
      <c r="E1884" s="57" t="n">
        <v>2</v>
      </c>
      <c r="F1884" s="29">
        <f>ROUND(((SUMIFS(Calendar!$F$2:$F$9997,Calendar!$B$2:$B$9997,D1884,Calendar!$C$2:$C$9997,C1884)*INDEX(ForeCalc!$B$37:$Y$274,MATCH(_xlfn.CONCAT(H1884," ",I1884),ForeCalc!$A$37:$A$274,0),MATCH(_xlfn.CONCAT(B1884," ",E1884),ForeCalc!$B$36:$Y$36,0))))*VLOOKUP(A1884,Calendar!$A$2:$H$9997,8,FALSE),0)</f>
        <v/>
      </c>
      <c r="G1884" s="29">
        <f>VLOOKUP(A1884,Calendar!$A$1:$H$9997,6,FALSE)-F1884</f>
        <v/>
      </c>
      <c r="H1884" s="19" t="n">
        <v>3</v>
      </c>
      <c r="I1884" s="57" t="n">
        <v>2</v>
      </c>
    </row>
    <row r="1885">
      <c r="A1885" s="62" t="n">
        <v>46900</v>
      </c>
      <c r="B1885" s="3" t="inlineStr">
        <is>
          <t>Sat</t>
        </is>
      </c>
      <c r="C1885" s="19" t="n">
        <v>5</v>
      </c>
      <c r="D1885" s="19" t="n">
        <v>2028</v>
      </c>
      <c r="E1885" s="57" t="n">
        <v>2</v>
      </c>
      <c r="F1885" s="29">
        <f>ROUND(((SUMIFS(Calendar!$F$2:$F$9997,Calendar!$B$2:$B$9997,D1885,Calendar!$C$2:$C$9997,C1885)*INDEX(ForeCalc!$B$37:$Y$274,MATCH(_xlfn.CONCAT(H1885," ",I1885),ForeCalc!$A$37:$A$274,0),MATCH(_xlfn.CONCAT(B1885," ",E1885),ForeCalc!$B$36:$Y$36,0))))*VLOOKUP(A1885,Calendar!$A$2:$H$9997,8,FALSE),0)</f>
        <v/>
      </c>
      <c r="G1885" s="29">
        <f>VLOOKUP(A1885,Calendar!$A$1:$H$9997,6,FALSE)-F1885</f>
        <v/>
      </c>
      <c r="H1885" s="19" t="n">
        <v>3</v>
      </c>
      <c r="I1885" s="57" t="n">
        <v>2</v>
      </c>
    </row>
    <row r="1886">
      <c r="A1886" s="62" t="n">
        <v>46901</v>
      </c>
      <c r="B1886" s="3" t="inlineStr">
        <is>
          <t>Sun</t>
        </is>
      </c>
      <c r="C1886" s="19" t="n">
        <v>5</v>
      </c>
      <c r="D1886" s="19" t="n">
        <v>2028</v>
      </c>
      <c r="E1886" s="57" t="n">
        <v>2</v>
      </c>
      <c r="F1886" s="29">
        <f>ROUND(((SUMIFS(Calendar!$F$2:$F$9997,Calendar!$B$2:$B$9997,D1886,Calendar!$C$2:$C$9997,C1886)*INDEX(ForeCalc!$B$37:$Y$274,MATCH(_xlfn.CONCAT(H1886," ",I1886),ForeCalc!$A$37:$A$274,0),MATCH(_xlfn.CONCAT(B1886," ",E1886),ForeCalc!$B$36:$Y$36,0))))*VLOOKUP(A1886,Calendar!$A$2:$H$9997,8,FALSE),0)</f>
        <v/>
      </c>
      <c r="G1886" s="29">
        <f>VLOOKUP(A1886,Calendar!$A$1:$H$9997,6,FALSE)-F1886</f>
        <v/>
      </c>
      <c r="H1886" s="19" t="n">
        <v>3</v>
      </c>
      <c r="I1886" s="57" t="n">
        <v>2</v>
      </c>
    </row>
    <row r="1887">
      <c r="A1887" s="62" t="n">
        <v>46902</v>
      </c>
      <c r="B1887" s="3" t="inlineStr">
        <is>
          <t>Week</t>
        </is>
      </c>
      <c r="C1887" s="19" t="n">
        <v>5</v>
      </c>
      <c r="D1887" s="19" t="n">
        <v>2028</v>
      </c>
      <c r="E1887" s="57" t="n">
        <v>2</v>
      </c>
      <c r="F1887" s="29">
        <f>ROUND(((SUMIFS(Calendar!$F$2:$F$9997,Calendar!$B$2:$B$9997,D1887,Calendar!$C$2:$C$9997,C1887)*INDEX(ForeCalc!$B$37:$Y$274,MATCH(_xlfn.CONCAT(H1887," ",I1887),ForeCalc!$A$37:$A$274,0),MATCH(_xlfn.CONCAT(B1887," ",E1887),ForeCalc!$B$36:$Y$36,0))))*VLOOKUP(A1887,Calendar!$A$2:$H$9997,8,FALSE),0)</f>
        <v/>
      </c>
      <c r="G1887" s="29">
        <f>VLOOKUP(A1887,Calendar!$A$1:$H$9997,6,FALSE)-F1887</f>
        <v/>
      </c>
      <c r="H1887" s="19" t="n">
        <v>3</v>
      </c>
      <c r="I1887" s="57" t="n">
        <v>2</v>
      </c>
    </row>
    <row r="1888">
      <c r="A1888" s="62" t="n">
        <v>46903</v>
      </c>
      <c r="B1888" s="3" t="inlineStr">
        <is>
          <t>Week</t>
        </is>
      </c>
      <c r="C1888" s="19" t="n">
        <v>5</v>
      </c>
      <c r="D1888" s="19" t="n">
        <v>2028</v>
      </c>
      <c r="E1888" s="57" t="n">
        <v>2</v>
      </c>
      <c r="F1888" s="29">
        <f>ROUND(((SUMIFS(Calendar!$F$2:$F$9997,Calendar!$B$2:$B$9997,D1888,Calendar!$C$2:$C$9997,C1888)*INDEX(ForeCalc!$B$37:$Y$274,MATCH(_xlfn.CONCAT(H1888," ",I1888),ForeCalc!$A$37:$A$274,0),MATCH(_xlfn.CONCAT(B1888," ",E1888),ForeCalc!$B$36:$Y$36,0))))*VLOOKUP(A1888,Calendar!$A$2:$H$9997,8,FALSE),0)</f>
        <v/>
      </c>
      <c r="G1888" s="29">
        <f>VLOOKUP(A1888,Calendar!$A$1:$H$9997,6,FALSE)-F1888</f>
        <v/>
      </c>
      <c r="H1888" s="19" t="n">
        <v>3</v>
      </c>
      <c r="I1888" s="57" t="n">
        <v>2</v>
      </c>
    </row>
    <row r="1889">
      <c r="A1889" s="62" t="n">
        <v>46904</v>
      </c>
      <c r="B1889" s="3" t="inlineStr">
        <is>
          <t>Week</t>
        </is>
      </c>
      <c r="C1889" s="19" t="n">
        <v>5</v>
      </c>
      <c r="D1889" s="19" t="n">
        <v>2028</v>
      </c>
      <c r="E1889" s="57" t="n">
        <v>2</v>
      </c>
      <c r="F1889" s="29">
        <f>ROUND(((SUMIFS(Calendar!$F$2:$F$9997,Calendar!$B$2:$B$9997,D1889,Calendar!$C$2:$C$9997,C1889)*INDEX(ForeCalc!$B$37:$Y$274,MATCH(_xlfn.CONCAT(H1889," ",I1889),ForeCalc!$A$37:$A$274,0),MATCH(_xlfn.CONCAT(B1889," ",E1889),ForeCalc!$B$36:$Y$36,0))))*VLOOKUP(A1889,Calendar!$A$2:$H$9997,8,FALSE),0)</f>
        <v/>
      </c>
      <c r="G1889" s="29">
        <f>VLOOKUP(A1889,Calendar!$A$1:$H$9997,6,FALSE)-F1889</f>
        <v/>
      </c>
      <c r="H1889" s="19" t="n">
        <v>3</v>
      </c>
      <c r="I1889" s="57" t="n">
        <v>2</v>
      </c>
    </row>
    <row r="1890">
      <c r="A1890" s="62" t="n">
        <v>46905</v>
      </c>
      <c r="B1890" s="3" t="inlineStr">
        <is>
          <t>Week</t>
        </is>
      </c>
      <c r="C1890" s="19" t="n">
        <v>6</v>
      </c>
      <c r="D1890" s="19" t="n">
        <v>2028</v>
      </c>
      <c r="E1890" s="57" t="n">
        <v>2</v>
      </c>
      <c r="F1890" s="29">
        <f>ROUND(((SUMIFS(Calendar!$F$2:$F$9997,Calendar!$B$2:$B$9997,D1890,Calendar!$C$2:$C$9997,C1890)*INDEX(ForeCalc!$B$37:$Y$274,MATCH(_xlfn.CONCAT(H1890," ",I1890),ForeCalc!$A$37:$A$274,0),MATCH(_xlfn.CONCAT(B1890," ",E1890),ForeCalc!$B$36:$Y$36,0))))*VLOOKUP(A1890,Calendar!$A$2:$H$9997,8,FALSE),0)</f>
        <v/>
      </c>
      <c r="G1890" s="29">
        <f>VLOOKUP(A1890,Calendar!$A$1:$H$9997,6,FALSE)-F1890</f>
        <v/>
      </c>
      <c r="H1890" s="19" t="n">
        <v>3</v>
      </c>
      <c r="I1890" s="57" t="n">
        <v>3</v>
      </c>
    </row>
    <row r="1891">
      <c r="A1891" s="62" t="n">
        <v>46906</v>
      </c>
      <c r="B1891" s="3" t="inlineStr">
        <is>
          <t>Week</t>
        </is>
      </c>
      <c r="C1891" s="19" t="n">
        <v>6</v>
      </c>
      <c r="D1891" s="19" t="n">
        <v>2028</v>
      </c>
      <c r="E1891" s="57" t="n">
        <v>2</v>
      </c>
      <c r="F1891" s="29">
        <f>ROUND(((SUMIFS(Calendar!$F$2:$F$9997,Calendar!$B$2:$B$9997,D1891,Calendar!$C$2:$C$9997,C1891)*INDEX(ForeCalc!$B$37:$Y$274,MATCH(_xlfn.CONCAT(H1891," ",I1891),ForeCalc!$A$37:$A$274,0),MATCH(_xlfn.CONCAT(B1891," ",E1891),ForeCalc!$B$36:$Y$36,0))))*VLOOKUP(A1891,Calendar!$A$2:$H$9997,8,FALSE),0)</f>
        <v/>
      </c>
      <c r="G1891" s="29">
        <f>VLOOKUP(A1891,Calendar!$A$1:$H$9997,6,FALSE)-F1891</f>
        <v/>
      </c>
      <c r="H1891" s="19" t="n">
        <v>3</v>
      </c>
      <c r="I1891" s="57" t="n">
        <v>3</v>
      </c>
    </row>
    <row r="1892">
      <c r="A1892" s="62" t="n">
        <v>46907</v>
      </c>
      <c r="B1892" s="3" t="inlineStr">
        <is>
          <t>Sat</t>
        </is>
      </c>
      <c r="C1892" s="19" t="n">
        <v>6</v>
      </c>
      <c r="D1892" s="19" t="n">
        <v>2028</v>
      </c>
      <c r="E1892" s="57" t="n">
        <v>2</v>
      </c>
      <c r="F1892" s="29">
        <f>ROUND(((SUMIFS(Calendar!$F$2:$F$9997,Calendar!$B$2:$B$9997,D1892,Calendar!$C$2:$C$9997,C1892)*INDEX(ForeCalc!$B$37:$Y$274,MATCH(_xlfn.CONCAT(H1892," ",I1892),ForeCalc!$A$37:$A$274,0),MATCH(_xlfn.CONCAT(B1892," ",E1892),ForeCalc!$B$36:$Y$36,0))))*VLOOKUP(A1892,Calendar!$A$2:$H$9997,8,FALSE),0)</f>
        <v/>
      </c>
      <c r="G1892" s="29">
        <f>VLOOKUP(A1892,Calendar!$A$1:$H$9997,6,FALSE)-F1892</f>
        <v/>
      </c>
      <c r="H1892" s="19" t="n">
        <v>3</v>
      </c>
      <c r="I1892" s="57" t="n">
        <v>3</v>
      </c>
    </row>
    <row r="1893">
      <c r="A1893" s="62" t="n">
        <v>46908</v>
      </c>
      <c r="B1893" s="3" t="inlineStr">
        <is>
          <t>Sun</t>
        </is>
      </c>
      <c r="C1893" s="19" t="n">
        <v>6</v>
      </c>
      <c r="D1893" s="19" t="n">
        <v>2028</v>
      </c>
      <c r="E1893" s="57" t="n">
        <v>2</v>
      </c>
      <c r="F1893" s="29">
        <f>ROUND(((SUMIFS(Calendar!$F$2:$F$9997,Calendar!$B$2:$B$9997,D1893,Calendar!$C$2:$C$9997,C1893)*INDEX(ForeCalc!$B$37:$Y$274,MATCH(_xlfn.CONCAT(H1893," ",I1893),ForeCalc!$A$37:$A$274,0),MATCH(_xlfn.CONCAT(B1893," ",E1893),ForeCalc!$B$36:$Y$36,0))))*VLOOKUP(A1893,Calendar!$A$2:$H$9997,8,FALSE),0)</f>
        <v/>
      </c>
      <c r="G1893" s="29">
        <f>VLOOKUP(A1893,Calendar!$A$1:$H$9997,6,FALSE)-F1893</f>
        <v/>
      </c>
      <c r="H1893" s="19" t="n">
        <v>3</v>
      </c>
      <c r="I1893" s="57" t="n">
        <v>3</v>
      </c>
    </row>
    <row r="1894">
      <c r="A1894" s="62" t="n">
        <v>46909</v>
      </c>
      <c r="B1894" s="3" t="inlineStr">
        <is>
          <t>Week</t>
        </is>
      </c>
      <c r="C1894" s="19" t="n">
        <v>6</v>
      </c>
      <c r="D1894" s="19" t="n">
        <v>2028</v>
      </c>
      <c r="E1894" s="57" t="n">
        <v>2</v>
      </c>
      <c r="F1894" s="29">
        <f>ROUND(((SUMIFS(Calendar!$F$2:$F$9997,Calendar!$B$2:$B$9997,D1894,Calendar!$C$2:$C$9997,C1894)*INDEX(ForeCalc!$B$37:$Y$274,MATCH(_xlfn.CONCAT(H1894," ",I1894),ForeCalc!$A$37:$A$274,0),MATCH(_xlfn.CONCAT(B1894," ",E1894),ForeCalc!$B$36:$Y$36,0))))*VLOOKUP(A1894,Calendar!$A$2:$H$9997,8,FALSE),0)</f>
        <v/>
      </c>
      <c r="G1894" s="29">
        <f>VLOOKUP(A1894,Calendar!$A$1:$H$9997,6,FALSE)-F1894</f>
        <v/>
      </c>
      <c r="H1894" s="19" t="n">
        <v>3</v>
      </c>
      <c r="I1894" s="57" t="n">
        <v>3</v>
      </c>
    </row>
    <row r="1895">
      <c r="A1895" s="62" t="n">
        <v>46910</v>
      </c>
      <c r="B1895" s="3" t="inlineStr">
        <is>
          <t>Week</t>
        </is>
      </c>
      <c r="C1895" s="19" t="n">
        <v>6</v>
      </c>
      <c r="D1895" s="19" t="n">
        <v>2028</v>
      </c>
      <c r="E1895" s="57" t="n">
        <v>2</v>
      </c>
      <c r="F1895" s="29">
        <f>ROUND(((SUMIFS(Calendar!$F$2:$F$9997,Calendar!$B$2:$B$9997,D1895,Calendar!$C$2:$C$9997,C1895)*INDEX(ForeCalc!$B$37:$Y$274,MATCH(_xlfn.CONCAT(H1895," ",I1895),ForeCalc!$A$37:$A$274,0),MATCH(_xlfn.CONCAT(B1895," ",E1895),ForeCalc!$B$36:$Y$36,0))))*VLOOKUP(A1895,Calendar!$A$2:$H$9997,8,FALSE),0)</f>
        <v/>
      </c>
      <c r="G1895" s="29">
        <f>VLOOKUP(A1895,Calendar!$A$1:$H$9997,6,FALSE)-F1895</f>
        <v/>
      </c>
      <c r="H1895" s="19" t="n">
        <v>3</v>
      </c>
      <c r="I1895" s="57" t="n">
        <v>3</v>
      </c>
    </row>
    <row r="1896">
      <c r="A1896" s="62" t="n">
        <v>46911</v>
      </c>
      <c r="B1896" s="3" t="inlineStr">
        <is>
          <t>Week</t>
        </is>
      </c>
      <c r="C1896" s="19" t="n">
        <v>6</v>
      </c>
      <c r="D1896" s="19" t="n">
        <v>2028</v>
      </c>
      <c r="E1896" s="57" t="n">
        <v>2</v>
      </c>
      <c r="F1896" s="29">
        <f>ROUND(((SUMIFS(Calendar!$F$2:$F$9997,Calendar!$B$2:$B$9997,D1896,Calendar!$C$2:$C$9997,C1896)*INDEX(ForeCalc!$B$37:$Y$274,MATCH(_xlfn.CONCAT(H1896," ",I1896),ForeCalc!$A$37:$A$274,0),MATCH(_xlfn.CONCAT(B1896," ",E1896),ForeCalc!$B$36:$Y$36,0))))*VLOOKUP(A1896,Calendar!$A$2:$H$9997,8,FALSE),0)</f>
        <v/>
      </c>
      <c r="G1896" s="29">
        <f>VLOOKUP(A1896,Calendar!$A$1:$H$9997,6,FALSE)-F1896</f>
        <v/>
      </c>
      <c r="H1896" s="19" t="n">
        <v>3</v>
      </c>
      <c r="I1896" s="57" t="n">
        <v>3</v>
      </c>
    </row>
    <row r="1897">
      <c r="A1897" s="62" t="n">
        <v>46912</v>
      </c>
      <c r="B1897" s="3" t="inlineStr">
        <is>
          <t>Week</t>
        </is>
      </c>
      <c r="C1897" s="19" t="n">
        <v>6</v>
      </c>
      <c r="D1897" s="19" t="n">
        <v>2028</v>
      </c>
      <c r="E1897" s="57" t="n">
        <v>2</v>
      </c>
      <c r="F1897" s="29">
        <f>ROUND(((SUMIFS(Calendar!$F$2:$F$9997,Calendar!$B$2:$B$9997,D1897,Calendar!$C$2:$C$9997,C1897)*INDEX(ForeCalc!$B$37:$Y$274,MATCH(_xlfn.CONCAT(H1897," ",I1897),ForeCalc!$A$37:$A$274,0),MATCH(_xlfn.CONCAT(B1897," ",E1897),ForeCalc!$B$36:$Y$36,0))))*VLOOKUP(A1897,Calendar!$A$2:$H$9997,8,FALSE),0)</f>
        <v/>
      </c>
      <c r="G1897" s="29">
        <f>VLOOKUP(A1897,Calendar!$A$1:$H$9997,6,FALSE)-F1897</f>
        <v/>
      </c>
      <c r="H1897" s="19" t="n">
        <v>3</v>
      </c>
      <c r="I1897" s="57" t="n">
        <v>3</v>
      </c>
    </row>
    <row r="1898">
      <c r="A1898" s="62" t="n">
        <v>46913</v>
      </c>
      <c r="B1898" s="3" t="inlineStr">
        <is>
          <t>Week</t>
        </is>
      </c>
      <c r="C1898" s="19" t="n">
        <v>6</v>
      </c>
      <c r="D1898" s="19" t="n">
        <v>2028</v>
      </c>
      <c r="E1898" s="57" t="n">
        <v>2</v>
      </c>
      <c r="F1898" s="29">
        <f>ROUND(((SUMIFS(Calendar!$F$2:$F$9997,Calendar!$B$2:$B$9997,D1898,Calendar!$C$2:$C$9997,C1898)*INDEX(ForeCalc!$B$37:$Y$274,MATCH(_xlfn.CONCAT(H1898," ",I1898),ForeCalc!$A$37:$A$274,0),MATCH(_xlfn.CONCAT(B1898," ",E1898),ForeCalc!$B$36:$Y$36,0))))*VLOOKUP(A1898,Calendar!$A$2:$H$9997,8,FALSE),0)</f>
        <v/>
      </c>
      <c r="G1898" s="29">
        <f>VLOOKUP(A1898,Calendar!$A$1:$H$9997,6,FALSE)-F1898</f>
        <v/>
      </c>
      <c r="H1898" s="19" t="n">
        <v>3</v>
      </c>
      <c r="I1898" s="57" t="n">
        <v>3</v>
      </c>
    </row>
    <row r="1899">
      <c r="A1899" s="62" t="n">
        <v>46914</v>
      </c>
      <c r="B1899" s="3" t="inlineStr">
        <is>
          <t>Sat</t>
        </is>
      </c>
      <c r="C1899" s="19" t="n">
        <v>6</v>
      </c>
      <c r="D1899" s="19" t="n">
        <v>2028</v>
      </c>
      <c r="E1899" s="57" t="n">
        <v>2</v>
      </c>
      <c r="F1899" s="29">
        <f>ROUND(((SUMIFS(Calendar!$F$2:$F$9997,Calendar!$B$2:$B$9997,D1899,Calendar!$C$2:$C$9997,C1899)*INDEX(ForeCalc!$B$37:$Y$274,MATCH(_xlfn.CONCAT(H1899," ",I1899),ForeCalc!$A$37:$A$274,0),MATCH(_xlfn.CONCAT(B1899," ",E1899),ForeCalc!$B$36:$Y$36,0))))*VLOOKUP(A1899,Calendar!$A$2:$H$9997,8,FALSE),0)</f>
        <v/>
      </c>
      <c r="G1899" s="29">
        <f>VLOOKUP(A1899,Calendar!$A$1:$H$9997,6,FALSE)-F1899</f>
        <v/>
      </c>
      <c r="H1899" s="19" t="n">
        <v>3</v>
      </c>
      <c r="I1899" s="57" t="n">
        <v>3</v>
      </c>
    </row>
    <row r="1900">
      <c r="A1900" s="62" t="n">
        <v>46915</v>
      </c>
      <c r="B1900" s="3" t="inlineStr">
        <is>
          <t>Sun</t>
        </is>
      </c>
      <c r="C1900" s="19" t="n">
        <v>6</v>
      </c>
      <c r="D1900" s="19" t="n">
        <v>2028</v>
      </c>
      <c r="E1900" s="57" t="n">
        <v>2</v>
      </c>
      <c r="F1900" s="29">
        <f>ROUND(((SUMIFS(Calendar!$F$2:$F$9997,Calendar!$B$2:$B$9997,D1900,Calendar!$C$2:$C$9997,C1900)*INDEX(ForeCalc!$B$37:$Y$274,MATCH(_xlfn.CONCAT(H1900," ",I1900),ForeCalc!$A$37:$A$274,0),MATCH(_xlfn.CONCAT(B1900," ",E1900),ForeCalc!$B$36:$Y$36,0))))*VLOOKUP(A1900,Calendar!$A$2:$H$9997,8,FALSE),0)</f>
        <v/>
      </c>
      <c r="G1900" s="29">
        <f>VLOOKUP(A1900,Calendar!$A$1:$H$9997,6,FALSE)-F1900</f>
        <v/>
      </c>
      <c r="H1900" s="19" t="n">
        <v>3</v>
      </c>
      <c r="I1900" s="57" t="n">
        <v>3</v>
      </c>
    </row>
    <row r="1901">
      <c r="A1901" s="62" t="n">
        <v>46916</v>
      </c>
      <c r="B1901" s="3" t="inlineStr">
        <is>
          <t>Week</t>
        </is>
      </c>
      <c r="C1901" s="19" t="n">
        <v>6</v>
      </c>
      <c r="D1901" s="19" t="n">
        <v>2028</v>
      </c>
      <c r="E1901" s="57" t="n">
        <v>2</v>
      </c>
      <c r="F1901" s="29">
        <f>ROUND(((SUMIFS(Calendar!$F$2:$F$9997,Calendar!$B$2:$B$9997,D1901,Calendar!$C$2:$C$9997,C1901)*INDEX(ForeCalc!$B$37:$Y$274,MATCH(_xlfn.CONCAT(H1901," ",I1901),ForeCalc!$A$37:$A$274,0),MATCH(_xlfn.CONCAT(B1901," ",E1901),ForeCalc!$B$36:$Y$36,0))))*VLOOKUP(A1901,Calendar!$A$2:$H$9997,8,FALSE),0)</f>
        <v/>
      </c>
      <c r="G1901" s="29">
        <f>VLOOKUP(A1901,Calendar!$A$1:$H$9997,6,FALSE)-F1901</f>
        <v/>
      </c>
      <c r="H1901" s="19" t="n">
        <v>3</v>
      </c>
      <c r="I1901" s="57" t="n">
        <v>3</v>
      </c>
    </row>
    <row r="1902">
      <c r="A1902" s="62" t="n">
        <v>46917</v>
      </c>
      <c r="B1902" s="3" t="inlineStr">
        <is>
          <t>Week</t>
        </is>
      </c>
      <c r="C1902" s="19" t="n">
        <v>6</v>
      </c>
      <c r="D1902" s="19" t="n">
        <v>2028</v>
      </c>
      <c r="E1902" s="57" t="n">
        <v>2</v>
      </c>
      <c r="F1902" s="29">
        <f>ROUND(((SUMIFS(Calendar!$F$2:$F$9997,Calendar!$B$2:$B$9997,D1902,Calendar!$C$2:$C$9997,C1902)*INDEX(ForeCalc!$B$37:$Y$274,MATCH(_xlfn.CONCAT(H1902," ",I1902),ForeCalc!$A$37:$A$274,0),MATCH(_xlfn.CONCAT(B1902," ",E1902),ForeCalc!$B$36:$Y$36,0))))*VLOOKUP(A1902,Calendar!$A$2:$H$9997,8,FALSE),0)</f>
        <v/>
      </c>
      <c r="G1902" s="29">
        <f>VLOOKUP(A1902,Calendar!$A$1:$H$9997,6,FALSE)-F1902</f>
        <v/>
      </c>
      <c r="H1902" s="19" t="n">
        <v>3</v>
      </c>
      <c r="I1902" s="57" t="n">
        <v>3</v>
      </c>
    </row>
    <row r="1903">
      <c r="A1903" s="62" t="n">
        <v>46918</v>
      </c>
      <c r="B1903" s="3" t="inlineStr">
        <is>
          <t>Week</t>
        </is>
      </c>
      <c r="C1903" s="19" t="n">
        <v>6</v>
      </c>
      <c r="D1903" s="19" t="n">
        <v>2028</v>
      </c>
      <c r="E1903" s="57" t="n">
        <v>2</v>
      </c>
      <c r="F1903" s="29">
        <f>ROUND(((SUMIFS(Calendar!$F$2:$F$9997,Calendar!$B$2:$B$9997,D1903,Calendar!$C$2:$C$9997,C1903)*INDEX(ForeCalc!$B$37:$Y$274,MATCH(_xlfn.CONCAT(H1903," ",I1903),ForeCalc!$A$37:$A$274,0),MATCH(_xlfn.CONCAT(B1903," ",E1903),ForeCalc!$B$36:$Y$36,0))))*VLOOKUP(A1903,Calendar!$A$2:$H$9997,8,FALSE),0)</f>
        <v/>
      </c>
      <c r="G1903" s="29">
        <f>VLOOKUP(A1903,Calendar!$A$1:$H$9997,6,FALSE)-F1903</f>
        <v/>
      </c>
      <c r="H1903" s="19" t="n">
        <v>3</v>
      </c>
      <c r="I1903" s="57" t="n">
        <v>3</v>
      </c>
    </row>
    <row r="1904">
      <c r="A1904" s="62" t="n">
        <v>46919</v>
      </c>
      <c r="B1904" s="3" t="inlineStr">
        <is>
          <t>Week</t>
        </is>
      </c>
      <c r="C1904" s="19" t="n">
        <v>6</v>
      </c>
      <c r="D1904" s="19" t="n">
        <v>2028</v>
      </c>
      <c r="E1904" s="57" t="n">
        <v>2</v>
      </c>
      <c r="F1904" s="29">
        <f>ROUND(((SUMIFS(Calendar!$F$2:$F$9997,Calendar!$B$2:$B$9997,D1904,Calendar!$C$2:$C$9997,C1904)*INDEX(ForeCalc!$B$37:$Y$274,MATCH(_xlfn.CONCAT(H1904," ",I1904),ForeCalc!$A$37:$A$274,0),MATCH(_xlfn.CONCAT(B1904," ",E1904),ForeCalc!$B$36:$Y$36,0))))*VLOOKUP(A1904,Calendar!$A$2:$H$9997,8,FALSE),0)</f>
        <v/>
      </c>
      <c r="G1904" s="29">
        <f>VLOOKUP(A1904,Calendar!$A$1:$H$9997,6,FALSE)-F1904</f>
        <v/>
      </c>
      <c r="H1904" s="19" t="n">
        <v>3</v>
      </c>
      <c r="I1904" s="57" t="n">
        <v>3</v>
      </c>
    </row>
    <row r="1905">
      <c r="A1905" s="62" t="n">
        <v>46920</v>
      </c>
      <c r="B1905" s="3" t="inlineStr">
        <is>
          <t>Week</t>
        </is>
      </c>
      <c r="C1905" s="19" t="n">
        <v>6</v>
      </c>
      <c r="D1905" s="19" t="n">
        <v>2028</v>
      </c>
      <c r="E1905" s="57" t="n">
        <v>2</v>
      </c>
      <c r="F1905" s="29">
        <f>ROUND(((SUMIFS(Calendar!$F$2:$F$9997,Calendar!$B$2:$B$9997,D1905,Calendar!$C$2:$C$9997,C1905)*INDEX(ForeCalc!$B$37:$Y$274,MATCH(_xlfn.CONCAT(H1905," ",I1905),ForeCalc!$A$37:$A$274,0),MATCH(_xlfn.CONCAT(B1905," ",E1905),ForeCalc!$B$36:$Y$36,0))))*VLOOKUP(A1905,Calendar!$A$2:$H$9997,8,FALSE),0)</f>
        <v/>
      </c>
      <c r="G1905" s="29">
        <f>VLOOKUP(A1905,Calendar!$A$1:$H$9997,6,FALSE)-F1905</f>
        <v/>
      </c>
      <c r="H1905" s="19" t="n">
        <v>3</v>
      </c>
      <c r="I1905" s="57" t="n">
        <v>3</v>
      </c>
    </row>
    <row r="1906">
      <c r="A1906" s="62" t="n">
        <v>46921</v>
      </c>
      <c r="B1906" s="3" t="inlineStr">
        <is>
          <t>Sat</t>
        </is>
      </c>
      <c r="C1906" s="19" t="n">
        <v>6</v>
      </c>
      <c r="D1906" s="19" t="n">
        <v>2028</v>
      </c>
      <c r="E1906" s="57" t="n">
        <v>2</v>
      </c>
      <c r="F1906" s="29">
        <f>ROUND(((SUMIFS(Calendar!$F$2:$F$9997,Calendar!$B$2:$B$9997,D1906,Calendar!$C$2:$C$9997,C1906)*INDEX(ForeCalc!$B$37:$Y$274,MATCH(_xlfn.CONCAT(H1906," ",I1906),ForeCalc!$A$37:$A$274,0),MATCH(_xlfn.CONCAT(B1906," ",E1906),ForeCalc!$B$36:$Y$36,0))))*VLOOKUP(A1906,Calendar!$A$2:$H$9997,8,FALSE),0)</f>
        <v/>
      </c>
      <c r="G1906" s="29">
        <f>VLOOKUP(A1906,Calendar!$A$1:$H$9997,6,FALSE)-F1906</f>
        <v/>
      </c>
      <c r="H1906" s="19" t="n">
        <v>3</v>
      </c>
      <c r="I1906" s="57" t="n">
        <v>3</v>
      </c>
    </row>
    <row r="1907">
      <c r="A1907" s="62" t="n">
        <v>46922</v>
      </c>
      <c r="B1907" s="3" t="inlineStr">
        <is>
          <t>Sun</t>
        </is>
      </c>
      <c r="C1907" s="19" t="n">
        <v>6</v>
      </c>
      <c r="D1907" s="19" t="n">
        <v>2028</v>
      </c>
      <c r="E1907" s="57" t="n">
        <v>2</v>
      </c>
      <c r="F1907" s="29">
        <f>ROUND(((SUMIFS(Calendar!$F$2:$F$9997,Calendar!$B$2:$B$9997,D1907,Calendar!$C$2:$C$9997,C1907)*INDEX(ForeCalc!$B$37:$Y$274,MATCH(_xlfn.CONCAT(H1907," ",I1907),ForeCalc!$A$37:$A$274,0),MATCH(_xlfn.CONCAT(B1907," ",E1907),ForeCalc!$B$36:$Y$36,0))))*VLOOKUP(A1907,Calendar!$A$2:$H$9997,8,FALSE),0)</f>
        <v/>
      </c>
      <c r="G1907" s="29">
        <f>VLOOKUP(A1907,Calendar!$A$1:$H$9997,6,FALSE)-F1907</f>
        <v/>
      </c>
      <c r="H1907" s="19" t="n">
        <v>3</v>
      </c>
      <c r="I1907" s="57" t="n">
        <v>3</v>
      </c>
    </row>
    <row r="1908">
      <c r="A1908" s="62" t="n">
        <v>46923</v>
      </c>
      <c r="B1908" s="3" t="inlineStr">
        <is>
          <t>Week</t>
        </is>
      </c>
      <c r="C1908" s="19" t="n">
        <v>6</v>
      </c>
      <c r="D1908" s="19" t="n">
        <v>2028</v>
      </c>
      <c r="E1908" s="57" t="n">
        <v>2</v>
      </c>
      <c r="F1908" s="29">
        <f>ROUND(((SUMIFS(Calendar!$F$2:$F$9997,Calendar!$B$2:$B$9997,D1908,Calendar!$C$2:$C$9997,C1908)*INDEX(ForeCalc!$B$37:$Y$274,MATCH(_xlfn.CONCAT(H1908," ",I1908),ForeCalc!$A$37:$A$274,0),MATCH(_xlfn.CONCAT(B1908," ",E1908),ForeCalc!$B$36:$Y$36,0))))*VLOOKUP(A1908,Calendar!$A$2:$H$9997,8,FALSE),0)</f>
        <v/>
      </c>
      <c r="G1908" s="29">
        <f>VLOOKUP(A1908,Calendar!$A$1:$H$9997,6,FALSE)-F1908</f>
        <v/>
      </c>
      <c r="H1908" s="19" t="n">
        <v>3</v>
      </c>
      <c r="I1908" s="57" t="n">
        <v>3</v>
      </c>
    </row>
    <row r="1909">
      <c r="A1909" s="62" t="n">
        <v>46924</v>
      </c>
      <c r="B1909" s="3" t="inlineStr">
        <is>
          <t>Week</t>
        </is>
      </c>
      <c r="C1909" s="19" t="n">
        <v>6</v>
      </c>
      <c r="D1909" s="19" t="n">
        <v>2028</v>
      </c>
      <c r="E1909" s="57" t="n">
        <v>2</v>
      </c>
      <c r="F1909" s="29">
        <f>ROUND(((SUMIFS(Calendar!$F$2:$F$9997,Calendar!$B$2:$B$9997,D1909,Calendar!$C$2:$C$9997,C1909)*INDEX(ForeCalc!$B$37:$Y$274,MATCH(_xlfn.CONCAT(H1909," ",I1909),ForeCalc!$A$37:$A$274,0),MATCH(_xlfn.CONCAT(B1909," ",E1909),ForeCalc!$B$36:$Y$36,0))))*VLOOKUP(A1909,Calendar!$A$2:$H$9997,8,FALSE),0)</f>
        <v/>
      </c>
      <c r="G1909" s="29">
        <f>VLOOKUP(A1909,Calendar!$A$1:$H$9997,6,FALSE)-F1909</f>
        <v/>
      </c>
      <c r="H1909" s="19" t="n">
        <v>3</v>
      </c>
      <c r="I1909" s="57" t="n">
        <v>3</v>
      </c>
    </row>
    <row r="1910">
      <c r="A1910" s="62" t="n">
        <v>46925</v>
      </c>
      <c r="B1910" s="3" t="inlineStr">
        <is>
          <t>Week</t>
        </is>
      </c>
      <c r="C1910" s="19" t="n">
        <v>6</v>
      </c>
      <c r="D1910" s="19" t="n">
        <v>2028</v>
      </c>
      <c r="E1910" s="57" t="n">
        <v>2</v>
      </c>
      <c r="F1910" s="29">
        <f>ROUND(((SUMIFS(Calendar!$F$2:$F$9997,Calendar!$B$2:$B$9997,D1910,Calendar!$C$2:$C$9997,C1910)*INDEX(ForeCalc!$B$37:$Y$274,MATCH(_xlfn.CONCAT(H1910," ",I1910),ForeCalc!$A$37:$A$274,0),MATCH(_xlfn.CONCAT(B1910," ",E1910),ForeCalc!$B$36:$Y$36,0))))*VLOOKUP(A1910,Calendar!$A$2:$H$9997,8,FALSE),0)</f>
        <v/>
      </c>
      <c r="G1910" s="29">
        <f>VLOOKUP(A1910,Calendar!$A$1:$H$9997,6,FALSE)-F1910</f>
        <v/>
      </c>
      <c r="H1910" s="19" t="n">
        <v>3</v>
      </c>
      <c r="I1910" s="57" t="n">
        <v>3</v>
      </c>
    </row>
    <row r="1911">
      <c r="A1911" s="62" t="n">
        <v>46926</v>
      </c>
      <c r="B1911" s="3" t="inlineStr">
        <is>
          <t>Week</t>
        </is>
      </c>
      <c r="C1911" s="19" t="n">
        <v>6</v>
      </c>
      <c r="D1911" s="19" t="n">
        <v>2028</v>
      </c>
      <c r="E1911" s="57" t="n">
        <v>2</v>
      </c>
      <c r="F1911" s="29">
        <f>ROUND(((SUMIFS(Calendar!$F$2:$F$9997,Calendar!$B$2:$B$9997,D1911,Calendar!$C$2:$C$9997,C1911)*INDEX(ForeCalc!$B$37:$Y$274,MATCH(_xlfn.CONCAT(H1911," ",I1911),ForeCalc!$A$37:$A$274,0),MATCH(_xlfn.CONCAT(B1911," ",E1911),ForeCalc!$B$36:$Y$36,0))))*VLOOKUP(A1911,Calendar!$A$2:$H$9997,8,FALSE),0)</f>
        <v/>
      </c>
      <c r="G1911" s="29">
        <f>VLOOKUP(A1911,Calendar!$A$1:$H$9997,6,FALSE)-F1911</f>
        <v/>
      </c>
      <c r="H1911" s="19" t="n">
        <v>3</v>
      </c>
      <c r="I1911" s="57" t="n">
        <v>3</v>
      </c>
    </row>
    <row r="1912">
      <c r="A1912" s="62" t="n">
        <v>46927</v>
      </c>
      <c r="B1912" s="3" t="inlineStr">
        <is>
          <t>Week</t>
        </is>
      </c>
      <c r="C1912" s="19" t="n">
        <v>6</v>
      </c>
      <c r="D1912" s="19" t="n">
        <v>2028</v>
      </c>
      <c r="E1912" s="57" t="n">
        <v>2</v>
      </c>
      <c r="F1912" s="29">
        <f>ROUND(((SUMIFS(Calendar!$F$2:$F$9997,Calendar!$B$2:$B$9997,D1912,Calendar!$C$2:$C$9997,C1912)*INDEX(ForeCalc!$B$37:$Y$274,MATCH(_xlfn.CONCAT(H1912," ",I1912),ForeCalc!$A$37:$A$274,0),MATCH(_xlfn.CONCAT(B1912," ",E1912),ForeCalc!$B$36:$Y$36,0))))*VLOOKUP(A1912,Calendar!$A$2:$H$9997,8,FALSE),0)</f>
        <v/>
      </c>
      <c r="G1912" s="29">
        <f>VLOOKUP(A1912,Calendar!$A$1:$H$9997,6,FALSE)-F1912</f>
        <v/>
      </c>
      <c r="H1912" s="19" t="n">
        <v>3</v>
      </c>
      <c r="I1912" s="57" t="n">
        <v>3</v>
      </c>
    </row>
    <row r="1913">
      <c r="A1913" s="62" t="n">
        <v>46928</v>
      </c>
      <c r="B1913" s="3" t="inlineStr">
        <is>
          <t>Sat</t>
        </is>
      </c>
      <c r="C1913" s="19" t="n">
        <v>6</v>
      </c>
      <c r="D1913" s="19" t="n">
        <v>2028</v>
      </c>
      <c r="E1913" s="57" t="n">
        <v>2</v>
      </c>
      <c r="F1913" s="29">
        <f>ROUND(((SUMIFS(Calendar!$F$2:$F$9997,Calendar!$B$2:$B$9997,D1913,Calendar!$C$2:$C$9997,C1913)*INDEX(ForeCalc!$B$37:$Y$274,MATCH(_xlfn.CONCAT(H1913," ",I1913),ForeCalc!$A$37:$A$274,0),MATCH(_xlfn.CONCAT(B1913," ",E1913),ForeCalc!$B$36:$Y$36,0))))*VLOOKUP(A1913,Calendar!$A$2:$H$9997,8,FALSE),0)</f>
        <v/>
      </c>
      <c r="G1913" s="29">
        <f>VLOOKUP(A1913,Calendar!$A$1:$H$9997,6,FALSE)-F1913</f>
        <v/>
      </c>
      <c r="H1913" s="19" t="n">
        <v>3</v>
      </c>
      <c r="I1913" s="57" t="n">
        <v>3</v>
      </c>
    </row>
    <row r="1914">
      <c r="A1914" s="62" t="n">
        <v>46929</v>
      </c>
      <c r="B1914" s="3" t="inlineStr">
        <is>
          <t>Sun</t>
        </is>
      </c>
      <c r="C1914" s="19" t="n">
        <v>6</v>
      </c>
      <c r="D1914" s="19" t="n">
        <v>2028</v>
      </c>
      <c r="E1914" s="57" t="n">
        <v>2</v>
      </c>
      <c r="F1914" s="29">
        <f>ROUND(((SUMIFS(Calendar!$F$2:$F$9997,Calendar!$B$2:$B$9997,D1914,Calendar!$C$2:$C$9997,C1914)*INDEX(ForeCalc!$B$37:$Y$274,MATCH(_xlfn.CONCAT(H1914," ",I1914),ForeCalc!$A$37:$A$274,0),MATCH(_xlfn.CONCAT(B1914," ",E1914),ForeCalc!$B$36:$Y$36,0))))*VLOOKUP(A1914,Calendar!$A$2:$H$9997,8,FALSE),0)</f>
        <v/>
      </c>
      <c r="G1914" s="29">
        <f>VLOOKUP(A1914,Calendar!$A$1:$H$9997,6,FALSE)-F1914</f>
        <v/>
      </c>
      <c r="H1914" s="19" t="n">
        <v>3</v>
      </c>
      <c r="I1914" s="57" t="n">
        <v>3</v>
      </c>
    </row>
    <row r="1915">
      <c r="A1915" s="62" t="n">
        <v>46930</v>
      </c>
      <c r="B1915" s="3" t="inlineStr">
        <is>
          <t>Week</t>
        </is>
      </c>
      <c r="C1915" s="19" t="n">
        <v>6</v>
      </c>
      <c r="D1915" s="19" t="n">
        <v>2028</v>
      </c>
      <c r="E1915" s="57" t="n">
        <v>2</v>
      </c>
      <c r="F1915" s="29">
        <f>ROUND(((SUMIFS(Calendar!$F$2:$F$9997,Calendar!$B$2:$B$9997,D1915,Calendar!$C$2:$C$9997,C1915)*INDEX(ForeCalc!$B$37:$Y$274,MATCH(_xlfn.CONCAT(H1915," ",I1915),ForeCalc!$A$37:$A$274,0),MATCH(_xlfn.CONCAT(B1915," ",E1915),ForeCalc!$B$36:$Y$36,0))))*VLOOKUP(A1915,Calendar!$A$2:$H$9997,8,FALSE),0)</f>
        <v/>
      </c>
      <c r="G1915" s="29">
        <f>VLOOKUP(A1915,Calendar!$A$1:$H$9997,6,FALSE)-F1915</f>
        <v/>
      </c>
      <c r="H1915" s="19" t="n">
        <v>3</v>
      </c>
      <c r="I1915" s="57" t="n">
        <v>3</v>
      </c>
    </row>
    <row r="1916">
      <c r="A1916" s="62" t="n">
        <v>46931</v>
      </c>
      <c r="B1916" s="3" t="inlineStr">
        <is>
          <t>Week</t>
        </is>
      </c>
      <c r="C1916" s="19" t="n">
        <v>6</v>
      </c>
      <c r="D1916" s="19" t="n">
        <v>2028</v>
      </c>
      <c r="E1916" s="57" t="n">
        <v>2</v>
      </c>
      <c r="F1916" s="29">
        <f>ROUND(((SUMIFS(Calendar!$F$2:$F$9997,Calendar!$B$2:$B$9997,D1916,Calendar!$C$2:$C$9997,C1916)*INDEX(ForeCalc!$B$37:$Y$274,MATCH(_xlfn.CONCAT(H1916," ",I1916),ForeCalc!$A$37:$A$274,0),MATCH(_xlfn.CONCAT(B1916," ",E1916),ForeCalc!$B$36:$Y$36,0))))*VLOOKUP(A1916,Calendar!$A$2:$H$9997,8,FALSE),0)</f>
        <v/>
      </c>
      <c r="G1916" s="29">
        <f>VLOOKUP(A1916,Calendar!$A$1:$H$9997,6,FALSE)-F1916</f>
        <v/>
      </c>
      <c r="H1916" s="19" t="n">
        <v>3</v>
      </c>
      <c r="I1916" s="57" t="n">
        <v>3</v>
      </c>
    </row>
    <row r="1917">
      <c r="A1917" s="62" t="n">
        <v>46932</v>
      </c>
      <c r="B1917" s="3" t="inlineStr">
        <is>
          <t>Week</t>
        </is>
      </c>
      <c r="C1917" s="19" t="n">
        <v>6</v>
      </c>
      <c r="D1917" s="19" t="n">
        <v>2028</v>
      </c>
      <c r="E1917" s="57" t="n">
        <v>2</v>
      </c>
      <c r="F1917" s="29">
        <f>ROUND(((SUMIFS(Calendar!$F$2:$F$9997,Calendar!$B$2:$B$9997,D1917,Calendar!$C$2:$C$9997,C1917)*INDEX(ForeCalc!$B$37:$Y$274,MATCH(_xlfn.CONCAT(H1917," ",I1917),ForeCalc!$A$37:$A$274,0),MATCH(_xlfn.CONCAT(B1917," ",E1917),ForeCalc!$B$36:$Y$36,0))))*VLOOKUP(A1917,Calendar!$A$2:$H$9997,8,FALSE),0)</f>
        <v/>
      </c>
      <c r="G1917" s="29">
        <f>VLOOKUP(A1917,Calendar!$A$1:$H$9997,6,FALSE)-F1917</f>
        <v/>
      </c>
      <c r="H1917" s="19" t="n">
        <v>3</v>
      </c>
      <c r="I1917" s="57" t="n">
        <v>3</v>
      </c>
    </row>
    <row r="1918">
      <c r="A1918" s="62" t="n">
        <v>46933</v>
      </c>
      <c r="B1918" s="3" t="inlineStr">
        <is>
          <t>Week</t>
        </is>
      </c>
      <c r="C1918" s="19" t="n">
        <v>6</v>
      </c>
      <c r="D1918" s="19" t="n">
        <v>2028</v>
      </c>
      <c r="E1918" s="57" t="n">
        <v>2</v>
      </c>
      <c r="F1918" s="29">
        <f>ROUND(((SUMIFS(Calendar!$F$2:$F$9997,Calendar!$B$2:$B$9997,D1918,Calendar!$C$2:$C$9997,C1918)*INDEX(ForeCalc!$B$37:$Y$274,MATCH(_xlfn.CONCAT(H1918," ",I1918),ForeCalc!$A$37:$A$274,0),MATCH(_xlfn.CONCAT(B1918," ",E1918),ForeCalc!$B$36:$Y$36,0))))*VLOOKUP(A1918,Calendar!$A$2:$H$9997,8,FALSE),0)</f>
        <v/>
      </c>
      <c r="G1918" s="29">
        <f>VLOOKUP(A1918,Calendar!$A$1:$H$9997,6,FALSE)-F1918</f>
        <v/>
      </c>
      <c r="H1918" s="19" t="n">
        <v>3</v>
      </c>
      <c r="I1918" s="57" t="n">
        <v>3</v>
      </c>
    </row>
    <row r="1919">
      <c r="A1919" s="62" t="n">
        <v>46934</v>
      </c>
      <c r="B1919" s="3" t="inlineStr">
        <is>
          <t>Week</t>
        </is>
      </c>
      <c r="C1919" s="19" t="n">
        <v>6</v>
      </c>
      <c r="D1919" s="19" t="n">
        <v>2028</v>
      </c>
      <c r="E1919" s="57" t="n">
        <v>2</v>
      </c>
      <c r="F1919" s="29">
        <f>ROUND(((SUMIFS(Calendar!$F$2:$F$9997,Calendar!$B$2:$B$9997,D1919,Calendar!$C$2:$C$9997,C1919)*INDEX(ForeCalc!$B$37:$Y$274,MATCH(_xlfn.CONCAT(H1919," ",I1919),ForeCalc!$A$37:$A$274,0),MATCH(_xlfn.CONCAT(B1919," ",E1919),ForeCalc!$B$36:$Y$36,0))))*VLOOKUP(A1919,Calendar!$A$2:$H$9997,8,FALSE),0)</f>
        <v/>
      </c>
      <c r="G1919" s="29">
        <f>VLOOKUP(A1919,Calendar!$A$1:$H$9997,6,FALSE)-F1919</f>
        <v/>
      </c>
      <c r="H1919" s="19" t="n">
        <v>3</v>
      </c>
      <c r="I1919" s="57" t="n">
        <v>3</v>
      </c>
    </row>
    <row r="1920">
      <c r="A1920" s="62" t="n">
        <v>46935</v>
      </c>
      <c r="B1920" s="3" t="inlineStr">
        <is>
          <t>Sat</t>
        </is>
      </c>
      <c r="C1920" s="19" t="n">
        <v>7</v>
      </c>
      <c r="D1920" s="19" t="n">
        <v>2028</v>
      </c>
      <c r="E1920" s="57" t="n">
        <v>2</v>
      </c>
      <c r="F1920" s="29">
        <f>ROUND(((SUMIFS(Calendar!$F$2:$F$9997,Calendar!$B$2:$B$9997,D1920,Calendar!$C$2:$C$9997,C1920)*INDEX(ForeCalc!$B$37:$Y$274,MATCH(_xlfn.CONCAT(H1920," ",I1920),ForeCalc!$A$37:$A$274,0),MATCH(_xlfn.CONCAT(B1920," ",E1920),ForeCalc!$B$36:$Y$36,0))))*VLOOKUP(A1920,Calendar!$A$2:$H$9997,8,FALSE),0)</f>
        <v/>
      </c>
      <c r="G1920" s="29">
        <f>VLOOKUP(A1920,Calendar!$A$1:$H$9997,6,FALSE)-F1920</f>
        <v/>
      </c>
      <c r="H1920" s="19" t="n">
        <v>3</v>
      </c>
      <c r="I1920" s="57" t="n">
        <v>4</v>
      </c>
    </row>
    <row r="1921">
      <c r="A1921" s="62" t="n">
        <v>46936</v>
      </c>
      <c r="B1921" s="3" t="inlineStr">
        <is>
          <t>Sun</t>
        </is>
      </c>
      <c r="C1921" s="19" t="n">
        <v>7</v>
      </c>
      <c r="D1921" s="19" t="n">
        <v>2028</v>
      </c>
      <c r="E1921" s="57" t="n">
        <v>2</v>
      </c>
      <c r="F1921" s="29">
        <f>ROUND(((SUMIFS(Calendar!$F$2:$F$9997,Calendar!$B$2:$B$9997,D1921,Calendar!$C$2:$C$9997,C1921)*INDEX(ForeCalc!$B$37:$Y$274,MATCH(_xlfn.CONCAT(H1921," ",I1921),ForeCalc!$A$37:$A$274,0),MATCH(_xlfn.CONCAT(B1921," ",E1921),ForeCalc!$B$36:$Y$36,0))))*VLOOKUP(A1921,Calendar!$A$2:$H$9997,8,FALSE),0)</f>
        <v/>
      </c>
      <c r="G1921" s="29">
        <f>VLOOKUP(A1921,Calendar!$A$1:$H$9997,6,FALSE)-F1921</f>
        <v/>
      </c>
      <c r="H1921" s="19" t="n">
        <v>3</v>
      </c>
      <c r="I1921" s="57" t="n">
        <v>4</v>
      </c>
    </row>
    <row r="1922">
      <c r="A1922" s="62" t="n">
        <v>46937</v>
      </c>
      <c r="B1922" s="3" t="inlineStr">
        <is>
          <t>Week</t>
        </is>
      </c>
      <c r="C1922" s="19" t="n">
        <v>7</v>
      </c>
      <c r="D1922" s="19" t="n">
        <v>2028</v>
      </c>
      <c r="E1922" s="57" t="n">
        <v>2</v>
      </c>
      <c r="F1922" s="29">
        <f>ROUND(((SUMIFS(Calendar!$F$2:$F$9997,Calendar!$B$2:$B$9997,D1922,Calendar!$C$2:$C$9997,C1922)*INDEX(ForeCalc!$B$37:$Y$274,MATCH(_xlfn.CONCAT(H1922," ",I1922),ForeCalc!$A$37:$A$274,0),MATCH(_xlfn.CONCAT(B1922," ",E1922),ForeCalc!$B$36:$Y$36,0))))*VLOOKUP(A1922,Calendar!$A$2:$H$9997,8,FALSE),0)</f>
        <v/>
      </c>
      <c r="G1922" s="29">
        <f>VLOOKUP(A1922,Calendar!$A$1:$H$9997,6,FALSE)-F1922</f>
        <v/>
      </c>
      <c r="H1922" s="19" t="n">
        <v>3</v>
      </c>
      <c r="I1922" s="57" t="n">
        <v>4</v>
      </c>
    </row>
    <row r="1923">
      <c r="A1923" s="62" t="n">
        <v>46938</v>
      </c>
      <c r="B1923" s="3" t="inlineStr">
        <is>
          <t>Week</t>
        </is>
      </c>
      <c r="C1923" s="19" t="n">
        <v>7</v>
      </c>
      <c r="D1923" s="19" t="n">
        <v>2028</v>
      </c>
      <c r="E1923" s="57" t="n">
        <v>2</v>
      </c>
      <c r="F1923" s="29">
        <f>ROUND(((SUMIFS(Calendar!$F$2:$F$9997,Calendar!$B$2:$B$9997,D1923,Calendar!$C$2:$C$9997,C1923)*INDEX(ForeCalc!$B$37:$Y$274,MATCH(_xlfn.CONCAT(H1923," ",I1923),ForeCalc!$A$37:$A$274,0),MATCH(_xlfn.CONCAT(B1923," ",E1923),ForeCalc!$B$36:$Y$36,0))))*VLOOKUP(A1923,Calendar!$A$2:$H$9997,8,FALSE),0)</f>
        <v/>
      </c>
      <c r="G1923" s="29">
        <f>VLOOKUP(A1923,Calendar!$A$1:$H$9997,6,FALSE)-F1923</f>
        <v/>
      </c>
      <c r="H1923" s="19" t="n">
        <v>3</v>
      </c>
      <c r="I1923" s="57" t="n">
        <v>4</v>
      </c>
    </row>
    <row r="1924">
      <c r="A1924" s="62" t="n">
        <v>46939</v>
      </c>
      <c r="B1924" s="3" t="inlineStr">
        <is>
          <t>Week</t>
        </is>
      </c>
      <c r="C1924" s="19" t="n">
        <v>7</v>
      </c>
      <c r="D1924" s="19" t="n">
        <v>2028</v>
      </c>
      <c r="E1924" s="57" t="n">
        <v>2</v>
      </c>
      <c r="F1924" s="29">
        <f>ROUND(((SUMIFS(Calendar!$F$2:$F$9997,Calendar!$B$2:$B$9997,D1924,Calendar!$C$2:$C$9997,C1924)*INDEX(ForeCalc!$B$37:$Y$274,MATCH(_xlfn.CONCAT(H1924," ",I1924),ForeCalc!$A$37:$A$274,0),MATCH(_xlfn.CONCAT(B1924," ",E1924),ForeCalc!$B$36:$Y$36,0))))*VLOOKUP(A1924,Calendar!$A$2:$H$9997,8,FALSE),0)</f>
        <v/>
      </c>
      <c r="G1924" s="29">
        <f>VLOOKUP(A1924,Calendar!$A$1:$H$9997,6,FALSE)-F1924</f>
        <v/>
      </c>
      <c r="H1924" s="19" t="n">
        <v>3</v>
      </c>
      <c r="I1924" s="57" t="n">
        <v>4</v>
      </c>
    </row>
    <row r="1925">
      <c r="A1925" s="62" t="n">
        <v>46940</v>
      </c>
      <c r="B1925" s="3" t="inlineStr">
        <is>
          <t>Week</t>
        </is>
      </c>
      <c r="C1925" s="19" t="n">
        <v>7</v>
      </c>
      <c r="D1925" s="19" t="n">
        <v>2028</v>
      </c>
      <c r="E1925" s="57" t="n">
        <v>2</v>
      </c>
      <c r="F1925" s="29">
        <f>ROUND(((SUMIFS(Calendar!$F$2:$F$9997,Calendar!$B$2:$B$9997,D1925,Calendar!$C$2:$C$9997,C1925)*INDEX(ForeCalc!$B$37:$Y$274,MATCH(_xlfn.CONCAT(H1925," ",I1925),ForeCalc!$A$37:$A$274,0),MATCH(_xlfn.CONCAT(B1925," ",E1925),ForeCalc!$B$36:$Y$36,0))))*VLOOKUP(A1925,Calendar!$A$2:$H$9997,8,FALSE),0)</f>
        <v/>
      </c>
      <c r="G1925" s="29">
        <f>VLOOKUP(A1925,Calendar!$A$1:$H$9997,6,FALSE)-F1925</f>
        <v/>
      </c>
      <c r="H1925" s="19" t="n">
        <v>3</v>
      </c>
      <c r="I1925" s="57" t="n">
        <v>4</v>
      </c>
    </row>
    <row r="1926">
      <c r="A1926" s="62" t="n">
        <v>46941</v>
      </c>
      <c r="B1926" s="3" t="inlineStr">
        <is>
          <t>Week</t>
        </is>
      </c>
      <c r="C1926" s="19" t="n">
        <v>7</v>
      </c>
      <c r="D1926" s="19" t="n">
        <v>2028</v>
      </c>
      <c r="E1926" s="57" t="n">
        <v>2</v>
      </c>
      <c r="F1926" s="29">
        <f>ROUND(((SUMIFS(Calendar!$F$2:$F$9997,Calendar!$B$2:$B$9997,D1926,Calendar!$C$2:$C$9997,C1926)*INDEX(ForeCalc!$B$37:$Y$274,MATCH(_xlfn.CONCAT(H1926," ",I1926),ForeCalc!$A$37:$A$274,0),MATCH(_xlfn.CONCAT(B1926," ",E1926),ForeCalc!$B$36:$Y$36,0))))*VLOOKUP(A1926,Calendar!$A$2:$H$9997,8,FALSE),0)</f>
        <v/>
      </c>
      <c r="G1926" s="29">
        <f>VLOOKUP(A1926,Calendar!$A$1:$H$9997,6,FALSE)-F1926</f>
        <v/>
      </c>
      <c r="H1926" s="19" t="n">
        <v>3</v>
      </c>
      <c r="I1926" s="57" t="n">
        <v>4</v>
      </c>
    </row>
    <row r="1927">
      <c r="A1927" s="62" t="n">
        <v>46942</v>
      </c>
      <c r="B1927" s="3" t="inlineStr">
        <is>
          <t>Sat</t>
        </is>
      </c>
      <c r="C1927" s="19" t="n">
        <v>7</v>
      </c>
      <c r="D1927" s="19" t="n">
        <v>2028</v>
      </c>
      <c r="E1927" s="57" t="n">
        <v>2</v>
      </c>
      <c r="F1927" s="29">
        <f>ROUND(((SUMIFS(Calendar!$F$2:$F$9997,Calendar!$B$2:$B$9997,D1927,Calendar!$C$2:$C$9997,C1927)*INDEX(ForeCalc!$B$37:$Y$274,MATCH(_xlfn.CONCAT(H1927," ",I1927),ForeCalc!$A$37:$A$274,0),MATCH(_xlfn.CONCAT(B1927," ",E1927),ForeCalc!$B$36:$Y$36,0))))*VLOOKUP(A1927,Calendar!$A$2:$H$9997,8,FALSE),0)</f>
        <v/>
      </c>
      <c r="G1927" s="29">
        <f>VLOOKUP(A1927,Calendar!$A$1:$H$9997,6,FALSE)-F1927</f>
        <v/>
      </c>
      <c r="H1927" s="19" t="n">
        <v>3</v>
      </c>
      <c r="I1927" s="57" t="n">
        <v>4</v>
      </c>
    </row>
    <row r="1928">
      <c r="A1928" s="62" t="n">
        <v>46943</v>
      </c>
      <c r="B1928" s="3" t="inlineStr">
        <is>
          <t>Sun</t>
        </is>
      </c>
      <c r="C1928" s="19" t="n">
        <v>7</v>
      </c>
      <c r="D1928" s="19" t="n">
        <v>2028</v>
      </c>
      <c r="E1928" s="57" t="n">
        <v>2</v>
      </c>
      <c r="F1928" s="29">
        <f>ROUND(((SUMIFS(Calendar!$F$2:$F$9997,Calendar!$B$2:$B$9997,D1928,Calendar!$C$2:$C$9997,C1928)*INDEX(ForeCalc!$B$37:$Y$274,MATCH(_xlfn.CONCAT(H1928," ",I1928),ForeCalc!$A$37:$A$274,0),MATCH(_xlfn.CONCAT(B1928," ",E1928),ForeCalc!$B$36:$Y$36,0))))*VLOOKUP(A1928,Calendar!$A$2:$H$9997,8,FALSE),0)</f>
        <v/>
      </c>
      <c r="G1928" s="29">
        <f>VLOOKUP(A1928,Calendar!$A$1:$H$9997,6,FALSE)-F1928</f>
        <v/>
      </c>
      <c r="H1928" s="19" t="n">
        <v>3</v>
      </c>
      <c r="I1928" s="57" t="n">
        <v>4</v>
      </c>
    </row>
    <row r="1929">
      <c r="A1929" s="62" t="n">
        <v>46944</v>
      </c>
      <c r="B1929" s="3" t="inlineStr">
        <is>
          <t>Week</t>
        </is>
      </c>
      <c r="C1929" s="19" t="n">
        <v>7</v>
      </c>
      <c r="D1929" s="19" t="n">
        <v>2028</v>
      </c>
      <c r="E1929" s="57" t="n">
        <v>2</v>
      </c>
      <c r="F1929" s="29">
        <f>ROUND(((SUMIFS(Calendar!$F$2:$F$9997,Calendar!$B$2:$B$9997,D1929,Calendar!$C$2:$C$9997,C1929)*INDEX(ForeCalc!$B$37:$Y$274,MATCH(_xlfn.CONCAT(H1929," ",I1929),ForeCalc!$A$37:$A$274,0),MATCH(_xlfn.CONCAT(B1929," ",E1929),ForeCalc!$B$36:$Y$36,0))))*VLOOKUP(A1929,Calendar!$A$2:$H$9997,8,FALSE),0)</f>
        <v/>
      </c>
      <c r="G1929" s="29">
        <f>VLOOKUP(A1929,Calendar!$A$1:$H$9997,6,FALSE)-F1929</f>
        <v/>
      </c>
      <c r="H1929" s="19" t="n">
        <v>3</v>
      </c>
      <c r="I1929" s="57" t="n">
        <v>4</v>
      </c>
    </row>
    <row r="1930">
      <c r="A1930" s="62" t="n">
        <v>46945</v>
      </c>
      <c r="B1930" s="3" t="inlineStr">
        <is>
          <t>Week</t>
        </is>
      </c>
      <c r="C1930" s="19" t="n">
        <v>7</v>
      </c>
      <c r="D1930" s="19" t="n">
        <v>2028</v>
      </c>
      <c r="E1930" s="57" t="n">
        <v>2</v>
      </c>
      <c r="F1930" s="29">
        <f>ROUND(((SUMIFS(Calendar!$F$2:$F$9997,Calendar!$B$2:$B$9997,D1930,Calendar!$C$2:$C$9997,C1930)*INDEX(ForeCalc!$B$37:$Y$274,MATCH(_xlfn.CONCAT(H1930," ",I1930),ForeCalc!$A$37:$A$274,0),MATCH(_xlfn.CONCAT(B1930," ",E1930),ForeCalc!$B$36:$Y$36,0))))*VLOOKUP(A1930,Calendar!$A$2:$H$9997,8,FALSE),0)</f>
        <v/>
      </c>
      <c r="G1930" s="29">
        <f>VLOOKUP(A1930,Calendar!$A$1:$H$9997,6,FALSE)-F1930</f>
        <v/>
      </c>
      <c r="H1930" s="19" t="n">
        <v>3</v>
      </c>
      <c r="I1930" s="57" t="n">
        <v>4</v>
      </c>
    </row>
    <row r="1931">
      <c r="A1931" s="62" t="n">
        <v>46946</v>
      </c>
      <c r="B1931" s="3" t="inlineStr">
        <is>
          <t>Week</t>
        </is>
      </c>
      <c r="C1931" s="19" t="n">
        <v>7</v>
      </c>
      <c r="D1931" s="19" t="n">
        <v>2028</v>
      </c>
      <c r="E1931" s="57" t="n">
        <v>2</v>
      </c>
      <c r="F1931" s="29">
        <f>ROUND(((SUMIFS(Calendar!$F$2:$F$9997,Calendar!$B$2:$B$9997,D1931,Calendar!$C$2:$C$9997,C1931)*INDEX(ForeCalc!$B$37:$Y$274,MATCH(_xlfn.CONCAT(H1931," ",I1931),ForeCalc!$A$37:$A$274,0),MATCH(_xlfn.CONCAT(B1931," ",E1931),ForeCalc!$B$36:$Y$36,0))))*VLOOKUP(A1931,Calendar!$A$2:$H$9997,8,FALSE),0)</f>
        <v/>
      </c>
      <c r="G1931" s="29">
        <f>VLOOKUP(A1931,Calendar!$A$1:$H$9997,6,FALSE)-F1931</f>
        <v/>
      </c>
      <c r="H1931" s="19" t="n">
        <v>3</v>
      </c>
      <c r="I1931" s="57" t="n">
        <v>4</v>
      </c>
    </row>
    <row r="1932">
      <c r="A1932" s="62" t="n">
        <v>46947</v>
      </c>
      <c r="B1932" s="3" t="inlineStr">
        <is>
          <t>Week</t>
        </is>
      </c>
      <c r="C1932" s="19" t="n">
        <v>7</v>
      </c>
      <c r="D1932" s="19" t="n">
        <v>2028</v>
      </c>
      <c r="E1932" s="57" t="n">
        <v>2</v>
      </c>
      <c r="F1932" s="29">
        <f>ROUND(((SUMIFS(Calendar!$F$2:$F$9997,Calendar!$B$2:$B$9997,D1932,Calendar!$C$2:$C$9997,C1932)*INDEX(ForeCalc!$B$37:$Y$274,MATCH(_xlfn.CONCAT(H1932," ",I1932),ForeCalc!$A$37:$A$274,0),MATCH(_xlfn.CONCAT(B1932," ",E1932),ForeCalc!$B$36:$Y$36,0))))*VLOOKUP(A1932,Calendar!$A$2:$H$9997,8,FALSE),0)</f>
        <v/>
      </c>
      <c r="G1932" s="29">
        <f>VLOOKUP(A1932,Calendar!$A$1:$H$9997,6,FALSE)-F1932</f>
        <v/>
      </c>
      <c r="H1932" s="19" t="n">
        <v>3</v>
      </c>
      <c r="I1932" s="57" t="n">
        <v>4</v>
      </c>
    </row>
    <row r="1933">
      <c r="A1933" s="62" t="n">
        <v>46948</v>
      </c>
      <c r="B1933" s="3" t="inlineStr">
        <is>
          <t>Week</t>
        </is>
      </c>
      <c r="C1933" s="19" t="n">
        <v>7</v>
      </c>
      <c r="D1933" s="19" t="n">
        <v>2028</v>
      </c>
      <c r="E1933" s="57" t="n">
        <v>2</v>
      </c>
      <c r="F1933" s="29">
        <f>ROUND(((SUMIFS(Calendar!$F$2:$F$9997,Calendar!$B$2:$B$9997,D1933,Calendar!$C$2:$C$9997,C1933)*INDEX(ForeCalc!$B$37:$Y$274,MATCH(_xlfn.CONCAT(H1933," ",I1933),ForeCalc!$A$37:$A$274,0),MATCH(_xlfn.CONCAT(B1933," ",E1933),ForeCalc!$B$36:$Y$36,0))))*VLOOKUP(A1933,Calendar!$A$2:$H$9997,8,FALSE),0)</f>
        <v/>
      </c>
      <c r="G1933" s="29">
        <f>VLOOKUP(A1933,Calendar!$A$1:$H$9997,6,FALSE)-F1933</f>
        <v/>
      </c>
      <c r="H1933" s="19" t="n">
        <v>3</v>
      </c>
      <c r="I1933" s="57" t="n">
        <v>4</v>
      </c>
    </row>
    <row r="1934">
      <c r="A1934" s="62" t="n">
        <v>46949</v>
      </c>
      <c r="B1934" s="3" t="inlineStr">
        <is>
          <t>Sat</t>
        </is>
      </c>
      <c r="C1934" s="19" t="n">
        <v>7</v>
      </c>
      <c r="D1934" s="19" t="n">
        <v>2028</v>
      </c>
      <c r="E1934" s="57" t="n">
        <v>2</v>
      </c>
      <c r="F1934" s="29">
        <f>ROUND(((SUMIFS(Calendar!$F$2:$F$9997,Calendar!$B$2:$B$9997,D1934,Calendar!$C$2:$C$9997,C1934)*INDEX(ForeCalc!$B$37:$Y$274,MATCH(_xlfn.CONCAT(H1934," ",I1934),ForeCalc!$A$37:$A$274,0),MATCH(_xlfn.CONCAT(B1934," ",E1934),ForeCalc!$B$36:$Y$36,0))))*VLOOKUP(A1934,Calendar!$A$2:$H$9997,8,FALSE),0)</f>
        <v/>
      </c>
      <c r="G1934" s="29">
        <f>VLOOKUP(A1934,Calendar!$A$1:$H$9997,6,FALSE)-F1934</f>
        <v/>
      </c>
      <c r="H1934" s="19" t="n">
        <v>3</v>
      </c>
      <c r="I1934" s="57" t="n">
        <v>4</v>
      </c>
    </row>
    <row r="1935">
      <c r="A1935" s="62" t="n">
        <v>46950</v>
      </c>
      <c r="B1935" s="3" t="inlineStr">
        <is>
          <t>Sun</t>
        </is>
      </c>
      <c r="C1935" s="19" t="n">
        <v>7</v>
      </c>
      <c r="D1935" s="19" t="n">
        <v>2028</v>
      </c>
      <c r="E1935" s="57" t="n">
        <v>2</v>
      </c>
      <c r="F1935" s="29">
        <f>ROUND(((SUMIFS(Calendar!$F$2:$F$9997,Calendar!$B$2:$B$9997,D1935,Calendar!$C$2:$C$9997,C1935)*INDEX(ForeCalc!$B$37:$Y$274,MATCH(_xlfn.CONCAT(H1935," ",I1935),ForeCalc!$A$37:$A$274,0),MATCH(_xlfn.CONCAT(B1935," ",E1935),ForeCalc!$B$36:$Y$36,0))))*VLOOKUP(A1935,Calendar!$A$2:$H$9997,8,FALSE),0)</f>
        <v/>
      </c>
      <c r="G1935" s="29">
        <f>VLOOKUP(A1935,Calendar!$A$1:$H$9997,6,FALSE)-F1935</f>
        <v/>
      </c>
      <c r="H1935" s="19" t="n">
        <v>3</v>
      </c>
      <c r="I1935" s="57" t="n">
        <v>4</v>
      </c>
    </row>
    <row r="1936">
      <c r="A1936" s="62" t="n">
        <v>46951</v>
      </c>
      <c r="B1936" s="3" t="inlineStr">
        <is>
          <t>Week</t>
        </is>
      </c>
      <c r="C1936" s="19" t="n">
        <v>7</v>
      </c>
      <c r="D1936" s="19" t="n">
        <v>2028</v>
      </c>
      <c r="E1936" s="57" t="n">
        <v>2</v>
      </c>
      <c r="F1936" s="29">
        <f>ROUND(((SUMIFS(Calendar!$F$2:$F$9997,Calendar!$B$2:$B$9997,D1936,Calendar!$C$2:$C$9997,C1936)*INDEX(ForeCalc!$B$37:$Y$274,MATCH(_xlfn.CONCAT(H1936," ",I1936),ForeCalc!$A$37:$A$274,0),MATCH(_xlfn.CONCAT(B1936," ",E1936),ForeCalc!$B$36:$Y$36,0))))*VLOOKUP(A1936,Calendar!$A$2:$H$9997,8,FALSE),0)</f>
        <v/>
      </c>
      <c r="G1936" s="29">
        <f>VLOOKUP(A1936,Calendar!$A$1:$H$9997,6,FALSE)-F1936</f>
        <v/>
      </c>
      <c r="H1936" s="19" t="n">
        <v>3</v>
      </c>
      <c r="I1936" s="57" t="n">
        <v>4</v>
      </c>
    </row>
    <row r="1937">
      <c r="A1937" s="62" t="n">
        <v>46952</v>
      </c>
      <c r="B1937" s="3" t="inlineStr">
        <is>
          <t>Week</t>
        </is>
      </c>
      <c r="C1937" s="19" t="n">
        <v>7</v>
      </c>
      <c r="D1937" s="19" t="n">
        <v>2028</v>
      </c>
      <c r="E1937" s="57" t="n">
        <v>2</v>
      </c>
      <c r="F1937" s="29">
        <f>ROUND(((SUMIFS(Calendar!$F$2:$F$9997,Calendar!$B$2:$B$9997,D1937,Calendar!$C$2:$C$9997,C1937)*INDEX(ForeCalc!$B$37:$Y$274,MATCH(_xlfn.CONCAT(H1937," ",I1937),ForeCalc!$A$37:$A$274,0),MATCH(_xlfn.CONCAT(B1937," ",E1937),ForeCalc!$B$36:$Y$36,0))))*VLOOKUP(A1937,Calendar!$A$2:$H$9997,8,FALSE),0)</f>
        <v/>
      </c>
      <c r="G1937" s="29">
        <f>VLOOKUP(A1937,Calendar!$A$1:$H$9997,6,FALSE)-F1937</f>
        <v/>
      </c>
      <c r="H1937" s="19" t="n">
        <v>3</v>
      </c>
      <c r="I1937" s="57" t="n">
        <v>4</v>
      </c>
    </row>
    <row r="1938">
      <c r="A1938" s="62" t="n">
        <v>46953</v>
      </c>
      <c r="B1938" s="3" t="inlineStr">
        <is>
          <t>Week</t>
        </is>
      </c>
      <c r="C1938" s="19" t="n">
        <v>7</v>
      </c>
      <c r="D1938" s="19" t="n">
        <v>2028</v>
      </c>
      <c r="E1938" s="57" t="n">
        <v>2</v>
      </c>
      <c r="F1938" s="29">
        <f>ROUND(((SUMIFS(Calendar!$F$2:$F$9997,Calendar!$B$2:$B$9997,D1938,Calendar!$C$2:$C$9997,C1938)*INDEX(ForeCalc!$B$37:$Y$274,MATCH(_xlfn.CONCAT(H1938," ",I1938),ForeCalc!$A$37:$A$274,0),MATCH(_xlfn.CONCAT(B1938," ",E1938),ForeCalc!$B$36:$Y$36,0))))*VLOOKUP(A1938,Calendar!$A$2:$H$9997,8,FALSE),0)</f>
        <v/>
      </c>
      <c r="G1938" s="29">
        <f>VLOOKUP(A1938,Calendar!$A$1:$H$9997,6,FALSE)-F1938</f>
        <v/>
      </c>
      <c r="H1938" s="19" t="n">
        <v>3</v>
      </c>
      <c r="I1938" s="57" t="n">
        <v>4</v>
      </c>
    </row>
    <row r="1939">
      <c r="A1939" s="62" t="n">
        <v>46954</v>
      </c>
      <c r="B1939" s="3" t="inlineStr">
        <is>
          <t>Week</t>
        </is>
      </c>
      <c r="C1939" s="19" t="n">
        <v>7</v>
      </c>
      <c r="D1939" s="19" t="n">
        <v>2028</v>
      </c>
      <c r="E1939" s="57" t="n">
        <v>2</v>
      </c>
      <c r="F1939" s="29">
        <f>ROUND(((SUMIFS(Calendar!$F$2:$F$9997,Calendar!$B$2:$B$9997,D1939,Calendar!$C$2:$C$9997,C1939)*INDEX(ForeCalc!$B$37:$Y$274,MATCH(_xlfn.CONCAT(H1939," ",I1939),ForeCalc!$A$37:$A$274,0),MATCH(_xlfn.CONCAT(B1939," ",E1939),ForeCalc!$B$36:$Y$36,0))))*VLOOKUP(A1939,Calendar!$A$2:$H$9997,8,FALSE),0)</f>
        <v/>
      </c>
      <c r="G1939" s="29">
        <f>VLOOKUP(A1939,Calendar!$A$1:$H$9997,6,FALSE)-F1939</f>
        <v/>
      </c>
      <c r="H1939" s="19" t="n">
        <v>3</v>
      </c>
      <c r="I1939" s="57" t="n">
        <v>4</v>
      </c>
    </row>
    <row r="1940">
      <c r="A1940" s="62" t="n">
        <v>46955</v>
      </c>
      <c r="B1940" s="3" t="inlineStr">
        <is>
          <t>Week</t>
        </is>
      </c>
      <c r="C1940" s="19" t="n">
        <v>7</v>
      </c>
      <c r="D1940" s="19" t="n">
        <v>2028</v>
      </c>
      <c r="E1940" s="57" t="n">
        <v>2</v>
      </c>
      <c r="F1940" s="29">
        <f>ROUND(((SUMIFS(Calendar!$F$2:$F$9997,Calendar!$B$2:$B$9997,D1940,Calendar!$C$2:$C$9997,C1940)*INDEX(ForeCalc!$B$37:$Y$274,MATCH(_xlfn.CONCAT(H1940," ",I1940),ForeCalc!$A$37:$A$274,0),MATCH(_xlfn.CONCAT(B1940," ",E1940),ForeCalc!$B$36:$Y$36,0))))*VLOOKUP(A1940,Calendar!$A$2:$H$9997,8,FALSE),0)</f>
        <v/>
      </c>
      <c r="G1940" s="29">
        <f>VLOOKUP(A1940,Calendar!$A$1:$H$9997,6,FALSE)-F1940</f>
        <v/>
      </c>
      <c r="H1940" s="19" t="n">
        <v>3</v>
      </c>
      <c r="I1940" s="57" t="n">
        <v>4</v>
      </c>
    </row>
    <row r="1941">
      <c r="A1941" s="62" t="n">
        <v>46956</v>
      </c>
      <c r="B1941" s="3" t="inlineStr">
        <is>
          <t>Sat</t>
        </is>
      </c>
      <c r="C1941" s="19" t="n">
        <v>7</v>
      </c>
      <c r="D1941" s="19" t="n">
        <v>2028</v>
      </c>
      <c r="E1941" s="57" t="n">
        <v>2</v>
      </c>
      <c r="F1941" s="29">
        <f>ROUND(((SUMIFS(Calendar!$F$2:$F$9997,Calendar!$B$2:$B$9997,D1941,Calendar!$C$2:$C$9997,C1941)*INDEX(ForeCalc!$B$37:$Y$274,MATCH(_xlfn.CONCAT(H1941," ",I1941),ForeCalc!$A$37:$A$274,0),MATCH(_xlfn.CONCAT(B1941," ",E1941),ForeCalc!$B$36:$Y$36,0))))*VLOOKUP(A1941,Calendar!$A$2:$H$9997,8,FALSE),0)</f>
        <v/>
      </c>
      <c r="G1941" s="29">
        <f>VLOOKUP(A1941,Calendar!$A$1:$H$9997,6,FALSE)-F1941</f>
        <v/>
      </c>
      <c r="H1941" s="19" t="n">
        <v>3</v>
      </c>
      <c r="I1941" s="57" t="n">
        <v>4</v>
      </c>
    </row>
    <row r="1942">
      <c r="A1942" s="62" t="n">
        <v>46957</v>
      </c>
      <c r="B1942" s="3" t="inlineStr">
        <is>
          <t>Sun</t>
        </is>
      </c>
      <c r="C1942" s="19" t="n">
        <v>7</v>
      </c>
      <c r="D1942" s="19" t="n">
        <v>2028</v>
      </c>
      <c r="E1942" s="57" t="n">
        <v>2</v>
      </c>
      <c r="F1942" s="29">
        <f>ROUND(((SUMIFS(Calendar!$F$2:$F$9997,Calendar!$B$2:$B$9997,D1942,Calendar!$C$2:$C$9997,C1942)*INDEX(ForeCalc!$B$37:$Y$274,MATCH(_xlfn.CONCAT(H1942," ",I1942),ForeCalc!$A$37:$A$274,0),MATCH(_xlfn.CONCAT(B1942," ",E1942),ForeCalc!$B$36:$Y$36,0))))*VLOOKUP(A1942,Calendar!$A$2:$H$9997,8,FALSE),0)</f>
        <v/>
      </c>
      <c r="G1942" s="29">
        <f>VLOOKUP(A1942,Calendar!$A$1:$H$9997,6,FALSE)-F1942</f>
        <v/>
      </c>
      <c r="H1942" s="19" t="n">
        <v>3</v>
      </c>
      <c r="I1942" s="57" t="n">
        <v>4</v>
      </c>
    </row>
    <row r="1943">
      <c r="A1943" s="62" t="n">
        <v>46958</v>
      </c>
      <c r="B1943" s="3" t="inlineStr">
        <is>
          <t>Week</t>
        </is>
      </c>
      <c r="C1943" s="19" t="n">
        <v>7</v>
      </c>
      <c r="D1943" s="19" t="n">
        <v>2028</v>
      </c>
      <c r="E1943" s="57" t="n">
        <v>2</v>
      </c>
      <c r="F1943" s="29">
        <f>ROUND(((SUMIFS(Calendar!$F$2:$F$9997,Calendar!$B$2:$B$9997,D1943,Calendar!$C$2:$C$9997,C1943)*INDEX(ForeCalc!$B$37:$Y$274,MATCH(_xlfn.CONCAT(H1943," ",I1943),ForeCalc!$A$37:$A$274,0),MATCH(_xlfn.CONCAT(B1943," ",E1943),ForeCalc!$B$36:$Y$36,0))))*VLOOKUP(A1943,Calendar!$A$2:$H$9997,8,FALSE),0)</f>
        <v/>
      </c>
      <c r="G1943" s="29">
        <f>VLOOKUP(A1943,Calendar!$A$1:$H$9997,6,FALSE)-F1943</f>
        <v/>
      </c>
      <c r="H1943" s="19" t="n">
        <v>3</v>
      </c>
      <c r="I1943" s="57" t="n">
        <v>4</v>
      </c>
    </row>
    <row r="1944">
      <c r="A1944" s="62" t="n">
        <v>46959</v>
      </c>
      <c r="B1944" s="3" t="inlineStr">
        <is>
          <t>Week</t>
        </is>
      </c>
      <c r="C1944" s="19" t="n">
        <v>7</v>
      </c>
      <c r="D1944" s="19" t="n">
        <v>2028</v>
      </c>
      <c r="E1944" s="57" t="n">
        <v>2</v>
      </c>
      <c r="F1944" s="29">
        <f>ROUND(((SUMIFS(Calendar!$F$2:$F$9997,Calendar!$B$2:$B$9997,D1944,Calendar!$C$2:$C$9997,C1944)*INDEX(ForeCalc!$B$37:$Y$274,MATCH(_xlfn.CONCAT(H1944," ",I1944),ForeCalc!$A$37:$A$274,0),MATCH(_xlfn.CONCAT(B1944," ",E1944),ForeCalc!$B$36:$Y$36,0))))*VLOOKUP(A1944,Calendar!$A$2:$H$9997,8,FALSE),0)</f>
        <v/>
      </c>
      <c r="G1944" s="29">
        <f>VLOOKUP(A1944,Calendar!$A$1:$H$9997,6,FALSE)-F1944</f>
        <v/>
      </c>
      <c r="H1944" s="19" t="n">
        <v>3</v>
      </c>
      <c r="I1944" s="57" t="n">
        <v>4</v>
      </c>
    </row>
    <row r="1945">
      <c r="A1945" s="62" t="n">
        <v>46960</v>
      </c>
      <c r="B1945" s="3" t="inlineStr">
        <is>
          <t>Week</t>
        </is>
      </c>
      <c r="C1945" s="19" t="n">
        <v>7</v>
      </c>
      <c r="D1945" s="19" t="n">
        <v>2028</v>
      </c>
      <c r="E1945" s="57" t="n">
        <v>2</v>
      </c>
      <c r="F1945" s="29">
        <f>ROUND(((SUMIFS(Calendar!$F$2:$F$9997,Calendar!$B$2:$B$9997,D1945,Calendar!$C$2:$C$9997,C1945)*INDEX(ForeCalc!$B$37:$Y$274,MATCH(_xlfn.CONCAT(H1945," ",I1945),ForeCalc!$A$37:$A$274,0),MATCH(_xlfn.CONCAT(B1945," ",E1945),ForeCalc!$B$36:$Y$36,0))))*VLOOKUP(A1945,Calendar!$A$2:$H$9997,8,FALSE),0)</f>
        <v/>
      </c>
      <c r="G1945" s="29">
        <f>VLOOKUP(A1945,Calendar!$A$1:$H$9997,6,FALSE)-F1945</f>
        <v/>
      </c>
      <c r="H1945" s="19" t="n">
        <v>3</v>
      </c>
      <c r="I1945" s="57" t="n">
        <v>4</v>
      </c>
    </row>
    <row r="1946">
      <c r="A1946" s="62" t="n">
        <v>46961</v>
      </c>
      <c r="B1946" s="3" t="inlineStr">
        <is>
          <t>Week</t>
        </is>
      </c>
      <c r="C1946" s="19" t="n">
        <v>7</v>
      </c>
      <c r="D1946" s="19" t="n">
        <v>2028</v>
      </c>
      <c r="E1946" s="57" t="n">
        <v>2</v>
      </c>
      <c r="F1946" s="29">
        <f>ROUND(((SUMIFS(Calendar!$F$2:$F$9997,Calendar!$B$2:$B$9997,D1946,Calendar!$C$2:$C$9997,C1946)*INDEX(ForeCalc!$B$37:$Y$274,MATCH(_xlfn.CONCAT(H1946," ",I1946),ForeCalc!$A$37:$A$274,0),MATCH(_xlfn.CONCAT(B1946," ",E1946),ForeCalc!$B$36:$Y$36,0))))*VLOOKUP(A1946,Calendar!$A$2:$H$9997,8,FALSE),0)</f>
        <v/>
      </c>
      <c r="G1946" s="29">
        <f>VLOOKUP(A1946,Calendar!$A$1:$H$9997,6,FALSE)-F1946</f>
        <v/>
      </c>
      <c r="H1946" s="19" t="n">
        <v>3</v>
      </c>
      <c r="I1946" s="57" t="n">
        <v>4</v>
      </c>
    </row>
    <row r="1947">
      <c r="A1947" s="62" t="n">
        <v>46962</v>
      </c>
      <c r="B1947" s="3" t="inlineStr">
        <is>
          <t>Week</t>
        </is>
      </c>
      <c r="C1947" s="19" t="n">
        <v>7</v>
      </c>
      <c r="D1947" s="19" t="n">
        <v>2028</v>
      </c>
      <c r="E1947" s="57" t="n">
        <v>2</v>
      </c>
      <c r="F1947" s="29">
        <f>ROUND(((SUMIFS(Calendar!$F$2:$F$9997,Calendar!$B$2:$B$9997,D1947,Calendar!$C$2:$C$9997,C1947)*INDEX(ForeCalc!$B$37:$Y$274,MATCH(_xlfn.CONCAT(H1947," ",I1947),ForeCalc!$A$37:$A$274,0),MATCH(_xlfn.CONCAT(B1947," ",E1947),ForeCalc!$B$36:$Y$36,0))))*VLOOKUP(A1947,Calendar!$A$2:$H$9997,8,FALSE),0)</f>
        <v/>
      </c>
      <c r="G1947" s="29">
        <f>VLOOKUP(A1947,Calendar!$A$1:$H$9997,6,FALSE)-F1947</f>
        <v/>
      </c>
      <c r="H1947" s="19" t="n">
        <v>3</v>
      </c>
      <c r="I1947" s="57" t="n">
        <v>4</v>
      </c>
    </row>
    <row r="1948">
      <c r="A1948" s="62" t="n">
        <v>46963</v>
      </c>
      <c r="B1948" s="3" t="inlineStr">
        <is>
          <t>Sat</t>
        </is>
      </c>
      <c r="C1948" s="19" t="n">
        <v>7</v>
      </c>
      <c r="D1948" s="19" t="n">
        <v>2028</v>
      </c>
      <c r="E1948" s="57" t="n">
        <v>2</v>
      </c>
      <c r="F1948" s="29">
        <f>ROUND(((SUMIFS(Calendar!$F$2:$F$9997,Calendar!$B$2:$B$9997,D1948,Calendar!$C$2:$C$9997,C1948)*INDEX(ForeCalc!$B$37:$Y$274,MATCH(_xlfn.CONCAT(H1948," ",I1948),ForeCalc!$A$37:$A$274,0),MATCH(_xlfn.CONCAT(B1948," ",E1948),ForeCalc!$B$36:$Y$36,0))))*VLOOKUP(A1948,Calendar!$A$2:$H$9997,8,FALSE),0)</f>
        <v/>
      </c>
      <c r="G1948" s="29">
        <f>VLOOKUP(A1948,Calendar!$A$1:$H$9997,6,FALSE)-F1948</f>
        <v/>
      </c>
      <c r="H1948" s="19" t="n">
        <v>3</v>
      </c>
      <c r="I1948" s="57" t="n">
        <v>4</v>
      </c>
    </row>
    <row r="1949">
      <c r="A1949" s="62" t="n">
        <v>46964</v>
      </c>
      <c r="B1949" s="3" t="inlineStr">
        <is>
          <t>Sun</t>
        </is>
      </c>
      <c r="C1949" s="19" t="n">
        <v>7</v>
      </c>
      <c r="D1949" s="19" t="n">
        <v>2028</v>
      </c>
      <c r="E1949" s="57" t="n">
        <v>2</v>
      </c>
      <c r="F1949" s="29">
        <f>ROUND(((SUMIFS(Calendar!$F$2:$F$9997,Calendar!$B$2:$B$9997,D1949,Calendar!$C$2:$C$9997,C1949)*INDEX(ForeCalc!$B$37:$Y$274,MATCH(_xlfn.CONCAT(H1949," ",I1949),ForeCalc!$A$37:$A$274,0),MATCH(_xlfn.CONCAT(B1949," ",E1949),ForeCalc!$B$36:$Y$36,0))))*VLOOKUP(A1949,Calendar!$A$2:$H$9997,8,FALSE),0)</f>
        <v/>
      </c>
      <c r="G1949" s="29">
        <f>VLOOKUP(A1949,Calendar!$A$1:$H$9997,6,FALSE)-F1949</f>
        <v/>
      </c>
      <c r="H1949" s="19" t="n">
        <v>3</v>
      </c>
      <c r="I1949" s="57" t="n">
        <v>4</v>
      </c>
    </row>
    <row r="1950">
      <c r="A1950" s="62" t="n">
        <v>46965</v>
      </c>
      <c r="B1950" s="3" t="inlineStr">
        <is>
          <t>Week</t>
        </is>
      </c>
      <c r="C1950" s="19" t="n">
        <v>7</v>
      </c>
      <c r="D1950" s="19" t="n">
        <v>2028</v>
      </c>
      <c r="E1950" s="57" t="n">
        <v>2</v>
      </c>
      <c r="F1950" s="29">
        <f>ROUND(((SUMIFS(Calendar!$F$2:$F$9997,Calendar!$B$2:$B$9997,D1950,Calendar!$C$2:$C$9997,C1950)*INDEX(ForeCalc!$B$37:$Y$274,MATCH(_xlfn.CONCAT(H1950," ",I1950),ForeCalc!$A$37:$A$274,0),MATCH(_xlfn.CONCAT(B1950," ",E1950),ForeCalc!$B$36:$Y$36,0))))*VLOOKUP(A1950,Calendar!$A$2:$H$9997,8,FALSE),0)</f>
        <v/>
      </c>
      <c r="G1950" s="29">
        <f>VLOOKUP(A1950,Calendar!$A$1:$H$9997,6,FALSE)-F1950</f>
        <v/>
      </c>
      <c r="H1950" s="19" t="n">
        <v>3</v>
      </c>
      <c r="I1950" s="57" t="n">
        <v>4</v>
      </c>
    </row>
    <row r="1951">
      <c r="A1951" s="62" t="n">
        <v>46966</v>
      </c>
      <c r="B1951" s="3" t="inlineStr">
        <is>
          <t>Week</t>
        </is>
      </c>
      <c r="C1951" s="19" t="n">
        <v>8</v>
      </c>
      <c r="D1951" s="19" t="n">
        <v>2028</v>
      </c>
      <c r="E1951" s="57" t="n">
        <v>2</v>
      </c>
      <c r="F1951" s="29">
        <f>ROUND(((SUMIFS(Calendar!$F$2:$F$9997,Calendar!$B$2:$B$9997,D1951,Calendar!$C$2:$C$9997,C1951)*INDEX(ForeCalc!$B$37:$Y$274,MATCH(_xlfn.CONCAT(H1951," ",I1951),ForeCalc!$A$37:$A$274,0),MATCH(_xlfn.CONCAT(B1951," ",E1951),ForeCalc!$B$36:$Y$36,0))))*VLOOKUP(A1951,Calendar!$A$2:$H$9997,8,FALSE),0)</f>
        <v/>
      </c>
      <c r="G1951" s="29">
        <f>VLOOKUP(A1951,Calendar!$A$1:$H$9997,6,FALSE)-F1951</f>
        <v/>
      </c>
      <c r="H1951" s="19" t="n">
        <v>3</v>
      </c>
      <c r="I1951" s="57" t="n">
        <v>5</v>
      </c>
    </row>
    <row r="1952">
      <c r="A1952" s="62" t="n">
        <v>46967</v>
      </c>
      <c r="B1952" s="3" t="inlineStr">
        <is>
          <t>Week</t>
        </is>
      </c>
      <c r="C1952" s="19" t="n">
        <v>8</v>
      </c>
      <c r="D1952" s="19" t="n">
        <v>2028</v>
      </c>
      <c r="E1952" s="57" t="n">
        <v>2</v>
      </c>
      <c r="F1952" s="29">
        <f>ROUND(((SUMIFS(Calendar!$F$2:$F$9997,Calendar!$B$2:$B$9997,D1952,Calendar!$C$2:$C$9997,C1952)*INDEX(ForeCalc!$B$37:$Y$274,MATCH(_xlfn.CONCAT(H1952," ",I1952),ForeCalc!$A$37:$A$274,0),MATCH(_xlfn.CONCAT(B1952," ",E1952),ForeCalc!$B$36:$Y$36,0))))*VLOOKUP(A1952,Calendar!$A$2:$H$9997,8,FALSE),0)</f>
        <v/>
      </c>
      <c r="G1952" s="29">
        <f>VLOOKUP(A1952,Calendar!$A$1:$H$9997,6,FALSE)-F1952</f>
        <v/>
      </c>
      <c r="H1952" s="19" t="n">
        <v>3</v>
      </c>
      <c r="I1952" s="57" t="n">
        <v>5</v>
      </c>
    </row>
    <row r="1953">
      <c r="A1953" s="62" t="n">
        <v>46968</v>
      </c>
      <c r="B1953" s="3" t="inlineStr">
        <is>
          <t>Week</t>
        </is>
      </c>
      <c r="C1953" s="19" t="n">
        <v>8</v>
      </c>
      <c r="D1953" s="19" t="n">
        <v>2028</v>
      </c>
      <c r="E1953" s="57" t="n">
        <v>2</v>
      </c>
      <c r="F1953" s="29">
        <f>ROUND(((SUMIFS(Calendar!$F$2:$F$9997,Calendar!$B$2:$B$9997,D1953,Calendar!$C$2:$C$9997,C1953)*INDEX(ForeCalc!$B$37:$Y$274,MATCH(_xlfn.CONCAT(H1953," ",I1953),ForeCalc!$A$37:$A$274,0),MATCH(_xlfn.CONCAT(B1953," ",E1953),ForeCalc!$B$36:$Y$36,0))))*VLOOKUP(A1953,Calendar!$A$2:$H$9997,8,FALSE),0)</f>
        <v/>
      </c>
      <c r="G1953" s="29">
        <f>VLOOKUP(A1953,Calendar!$A$1:$H$9997,6,FALSE)-F1953</f>
        <v/>
      </c>
      <c r="H1953" s="19" t="n">
        <v>3</v>
      </c>
      <c r="I1953" s="57" t="n">
        <v>5</v>
      </c>
    </row>
    <row r="1954">
      <c r="A1954" s="62" t="n">
        <v>46969</v>
      </c>
      <c r="B1954" s="3" t="inlineStr">
        <is>
          <t>Week</t>
        </is>
      </c>
      <c r="C1954" s="19" t="n">
        <v>8</v>
      </c>
      <c r="D1954" s="19" t="n">
        <v>2028</v>
      </c>
      <c r="E1954" s="57" t="n">
        <v>2</v>
      </c>
      <c r="F1954" s="29">
        <f>ROUND(((SUMIFS(Calendar!$F$2:$F$9997,Calendar!$B$2:$B$9997,D1954,Calendar!$C$2:$C$9997,C1954)*INDEX(ForeCalc!$B$37:$Y$274,MATCH(_xlfn.CONCAT(H1954," ",I1954),ForeCalc!$A$37:$A$274,0),MATCH(_xlfn.CONCAT(B1954," ",E1954),ForeCalc!$B$36:$Y$36,0))))*VLOOKUP(A1954,Calendar!$A$2:$H$9997,8,FALSE),0)</f>
        <v/>
      </c>
      <c r="G1954" s="29">
        <f>VLOOKUP(A1954,Calendar!$A$1:$H$9997,6,FALSE)-F1954</f>
        <v/>
      </c>
      <c r="H1954" s="19" t="n">
        <v>3</v>
      </c>
      <c r="I1954" s="57" t="n">
        <v>5</v>
      </c>
    </row>
    <row r="1955">
      <c r="A1955" s="62" t="n">
        <v>46970</v>
      </c>
      <c r="B1955" s="3" t="inlineStr">
        <is>
          <t>Sat</t>
        </is>
      </c>
      <c r="C1955" s="19" t="n">
        <v>8</v>
      </c>
      <c r="D1955" s="19" t="n">
        <v>2028</v>
      </c>
      <c r="E1955" s="57" t="n">
        <v>2</v>
      </c>
      <c r="F1955" s="29">
        <f>ROUND(((SUMIFS(Calendar!$F$2:$F$9997,Calendar!$B$2:$B$9997,D1955,Calendar!$C$2:$C$9997,C1955)*INDEX(ForeCalc!$B$37:$Y$274,MATCH(_xlfn.CONCAT(H1955," ",I1955),ForeCalc!$A$37:$A$274,0),MATCH(_xlfn.CONCAT(B1955," ",E1955),ForeCalc!$B$36:$Y$36,0))))*VLOOKUP(A1955,Calendar!$A$2:$H$9997,8,FALSE),0)</f>
        <v/>
      </c>
      <c r="G1955" s="29">
        <f>VLOOKUP(A1955,Calendar!$A$1:$H$9997,6,FALSE)-F1955</f>
        <v/>
      </c>
      <c r="H1955" s="19" t="n">
        <v>3</v>
      </c>
      <c r="I1955" s="57" t="n">
        <v>5</v>
      </c>
    </row>
    <row r="1956">
      <c r="A1956" s="62" t="n">
        <v>46971</v>
      </c>
      <c r="B1956" s="3" t="inlineStr">
        <is>
          <t>Sun</t>
        </is>
      </c>
      <c r="C1956" s="19" t="n">
        <v>8</v>
      </c>
      <c r="D1956" s="19" t="n">
        <v>2028</v>
      </c>
      <c r="E1956" s="57" t="n">
        <v>2</v>
      </c>
      <c r="F1956" s="29">
        <f>ROUND(((SUMIFS(Calendar!$F$2:$F$9997,Calendar!$B$2:$B$9997,D1956,Calendar!$C$2:$C$9997,C1956)*INDEX(ForeCalc!$B$37:$Y$274,MATCH(_xlfn.CONCAT(H1956," ",I1956),ForeCalc!$A$37:$A$274,0),MATCH(_xlfn.CONCAT(B1956," ",E1956),ForeCalc!$B$36:$Y$36,0))))*VLOOKUP(A1956,Calendar!$A$2:$H$9997,8,FALSE),0)</f>
        <v/>
      </c>
      <c r="G1956" s="29">
        <f>VLOOKUP(A1956,Calendar!$A$1:$H$9997,6,FALSE)-F1956</f>
        <v/>
      </c>
      <c r="H1956" s="19" t="n">
        <v>3</v>
      </c>
      <c r="I1956" s="57" t="n">
        <v>5</v>
      </c>
    </row>
    <row r="1957">
      <c r="A1957" s="62" t="n">
        <v>46972</v>
      </c>
      <c r="B1957" s="3" t="inlineStr">
        <is>
          <t>Week</t>
        </is>
      </c>
      <c r="C1957" s="19" t="n">
        <v>8</v>
      </c>
      <c r="D1957" s="19" t="n">
        <v>2028</v>
      </c>
      <c r="E1957" s="57" t="n">
        <v>2</v>
      </c>
      <c r="F1957" s="29">
        <f>ROUND(((SUMIFS(Calendar!$F$2:$F$9997,Calendar!$B$2:$B$9997,D1957,Calendar!$C$2:$C$9997,C1957)*INDEX(ForeCalc!$B$37:$Y$274,MATCH(_xlfn.CONCAT(H1957," ",I1957),ForeCalc!$A$37:$A$274,0),MATCH(_xlfn.CONCAT(B1957," ",E1957),ForeCalc!$B$36:$Y$36,0))))*VLOOKUP(A1957,Calendar!$A$2:$H$9997,8,FALSE),0)</f>
        <v/>
      </c>
      <c r="G1957" s="29">
        <f>VLOOKUP(A1957,Calendar!$A$1:$H$9997,6,FALSE)-F1957</f>
        <v/>
      </c>
      <c r="H1957" s="19" t="n">
        <v>3</v>
      </c>
      <c r="I1957" s="57" t="n">
        <v>5</v>
      </c>
    </row>
    <row r="1958">
      <c r="A1958" s="62" t="n">
        <v>46973</v>
      </c>
      <c r="B1958" s="3" t="inlineStr">
        <is>
          <t>Week</t>
        </is>
      </c>
      <c r="C1958" s="19" t="n">
        <v>8</v>
      </c>
      <c r="D1958" s="19" t="n">
        <v>2028</v>
      </c>
      <c r="E1958" s="57" t="n">
        <v>2</v>
      </c>
      <c r="F1958" s="29">
        <f>ROUND(((SUMIFS(Calendar!$F$2:$F$9997,Calendar!$B$2:$B$9997,D1958,Calendar!$C$2:$C$9997,C1958)*INDEX(ForeCalc!$B$37:$Y$274,MATCH(_xlfn.CONCAT(H1958," ",I1958),ForeCalc!$A$37:$A$274,0),MATCH(_xlfn.CONCAT(B1958," ",E1958),ForeCalc!$B$36:$Y$36,0))))*VLOOKUP(A1958,Calendar!$A$2:$H$9997,8,FALSE),0)</f>
        <v/>
      </c>
      <c r="G1958" s="29">
        <f>VLOOKUP(A1958,Calendar!$A$1:$H$9997,6,FALSE)-F1958</f>
        <v/>
      </c>
      <c r="H1958" s="19" t="n">
        <v>3</v>
      </c>
      <c r="I1958" s="57" t="n">
        <v>5</v>
      </c>
    </row>
    <row r="1959">
      <c r="A1959" s="62" t="n">
        <v>46974</v>
      </c>
      <c r="B1959" s="3" t="inlineStr">
        <is>
          <t>Week</t>
        </is>
      </c>
      <c r="C1959" s="19" t="n">
        <v>8</v>
      </c>
      <c r="D1959" s="19" t="n">
        <v>2028</v>
      </c>
      <c r="E1959" s="57" t="n">
        <v>2</v>
      </c>
      <c r="F1959" s="29">
        <f>ROUND(((SUMIFS(Calendar!$F$2:$F$9997,Calendar!$B$2:$B$9997,D1959,Calendar!$C$2:$C$9997,C1959)*INDEX(ForeCalc!$B$37:$Y$274,MATCH(_xlfn.CONCAT(H1959," ",I1959),ForeCalc!$A$37:$A$274,0),MATCH(_xlfn.CONCAT(B1959," ",E1959),ForeCalc!$B$36:$Y$36,0))))*VLOOKUP(A1959,Calendar!$A$2:$H$9997,8,FALSE),0)</f>
        <v/>
      </c>
      <c r="G1959" s="29">
        <f>VLOOKUP(A1959,Calendar!$A$1:$H$9997,6,FALSE)-F1959</f>
        <v/>
      </c>
      <c r="H1959" s="19" t="n">
        <v>3</v>
      </c>
      <c r="I1959" s="57" t="n">
        <v>5</v>
      </c>
    </row>
    <row r="1960">
      <c r="A1960" s="62" t="n">
        <v>46975</v>
      </c>
      <c r="B1960" s="3" t="inlineStr">
        <is>
          <t>Week</t>
        </is>
      </c>
      <c r="C1960" s="19" t="n">
        <v>8</v>
      </c>
      <c r="D1960" s="19" t="n">
        <v>2028</v>
      </c>
      <c r="E1960" s="57" t="n">
        <v>2</v>
      </c>
      <c r="F1960" s="29">
        <f>ROUND(((SUMIFS(Calendar!$F$2:$F$9997,Calendar!$B$2:$B$9997,D1960,Calendar!$C$2:$C$9997,C1960)*INDEX(ForeCalc!$B$37:$Y$274,MATCH(_xlfn.CONCAT(H1960," ",I1960),ForeCalc!$A$37:$A$274,0),MATCH(_xlfn.CONCAT(B1960," ",E1960),ForeCalc!$B$36:$Y$36,0))))*VLOOKUP(A1960,Calendar!$A$2:$H$9997,8,FALSE),0)</f>
        <v/>
      </c>
      <c r="G1960" s="29">
        <f>VLOOKUP(A1960,Calendar!$A$1:$H$9997,6,FALSE)-F1960</f>
        <v/>
      </c>
      <c r="H1960" s="19" t="n">
        <v>3</v>
      </c>
      <c r="I1960" s="57" t="n">
        <v>5</v>
      </c>
    </row>
    <row r="1961">
      <c r="A1961" s="62" t="n">
        <v>46976</v>
      </c>
      <c r="B1961" s="3" t="inlineStr">
        <is>
          <t>Week</t>
        </is>
      </c>
      <c r="C1961" s="19" t="n">
        <v>8</v>
      </c>
      <c r="D1961" s="19" t="n">
        <v>2028</v>
      </c>
      <c r="E1961" s="57" t="n">
        <v>2</v>
      </c>
      <c r="F1961" s="29">
        <f>ROUND(((SUMIFS(Calendar!$F$2:$F$9997,Calendar!$B$2:$B$9997,D1961,Calendar!$C$2:$C$9997,C1961)*INDEX(ForeCalc!$B$37:$Y$274,MATCH(_xlfn.CONCAT(H1961," ",I1961),ForeCalc!$A$37:$A$274,0),MATCH(_xlfn.CONCAT(B1961," ",E1961),ForeCalc!$B$36:$Y$36,0))))*VLOOKUP(A1961,Calendar!$A$2:$H$9997,8,FALSE),0)</f>
        <v/>
      </c>
      <c r="G1961" s="29">
        <f>VLOOKUP(A1961,Calendar!$A$1:$H$9997,6,FALSE)-F1961</f>
        <v/>
      </c>
      <c r="H1961" s="19" t="n">
        <v>3</v>
      </c>
      <c r="I1961" s="57" t="n">
        <v>5</v>
      </c>
    </row>
    <row r="1962">
      <c r="A1962" s="62" t="n">
        <v>46977</v>
      </c>
      <c r="B1962" s="3" t="inlineStr">
        <is>
          <t>Sat</t>
        </is>
      </c>
      <c r="C1962" s="19" t="n">
        <v>8</v>
      </c>
      <c r="D1962" s="19" t="n">
        <v>2028</v>
      </c>
      <c r="E1962" s="57" t="n">
        <v>2</v>
      </c>
      <c r="F1962" s="29">
        <f>ROUND(((SUMIFS(Calendar!$F$2:$F$9997,Calendar!$B$2:$B$9997,D1962,Calendar!$C$2:$C$9997,C1962)*INDEX(ForeCalc!$B$37:$Y$274,MATCH(_xlfn.CONCAT(H1962," ",I1962),ForeCalc!$A$37:$A$274,0),MATCH(_xlfn.CONCAT(B1962," ",E1962),ForeCalc!$B$36:$Y$36,0))))*VLOOKUP(A1962,Calendar!$A$2:$H$9997,8,FALSE),0)</f>
        <v/>
      </c>
      <c r="G1962" s="29">
        <f>VLOOKUP(A1962,Calendar!$A$1:$H$9997,6,FALSE)-F1962</f>
        <v/>
      </c>
      <c r="H1962" s="19" t="n">
        <v>3</v>
      </c>
      <c r="I1962" s="57" t="n">
        <v>5</v>
      </c>
    </row>
    <row r="1963">
      <c r="A1963" s="62" t="n">
        <v>46978</v>
      </c>
      <c r="B1963" s="3" t="inlineStr">
        <is>
          <t>Sun</t>
        </is>
      </c>
      <c r="C1963" s="19" t="n">
        <v>8</v>
      </c>
      <c r="D1963" s="19" t="n">
        <v>2028</v>
      </c>
      <c r="E1963" s="57" t="n">
        <v>2</v>
      </c>
      <c r="F1963" s="29">
        <f>ROUND(((SUMIFS(Calendar!$F$2:$F$9997,Calendar!$B$2:$B$9997,D1963,Calendar!$C$2:$C$9997,C1963)*INDEX(ForeCalc!$B$37:$Y$274,MATCH(_xlfn.CONCAT(H1963," ",I1963),ForeCalc!$A$37:$A$274,0),MATCH(_xlfn.CONCAT(B1963," ",E1963),ForeCalc!$B$36:$Y$36,0))))*VLOOKUP(A1963,Calendar!$A$2:$H$9997,8,FALSE),0)</f>
        <v/>
      </c>
      <c r="G1963" s="29">
        <f>VLOOKUP(A1963,Calendar!$A$1:$H$9997,6,FALSE)-F1963</f>
        <v/>
      </c>
      <c r="H1963" s="19" t="n">
        <v>3</v>
      </c>
      <c r="I1963" s="57" t="n">
        <v>5</v>
      </c>
    </row>
    <row r="1964">
      <c r="A1964" s="62" t="n">
        <v>46979</v>
      </c>
      <c r="B1964" s="3" t="inlineStr">
        <is>
          <t>Week</t>
        </is>
      </c>
      <c r="C1964" s="19" t="n">
        <v>8</v>
      </c>
      <c r="D1964" s="19" t="n">
        <v>2028</v>
      </c>
      <c r="E1964" s="57" t="n">
        <v>2</v>
      </c>
      <c r="F1964" s="29">
        <f>ROUND(((SUMIFS(Calendar!$F$2:$F$9997,Calendar!$B$2:$B$9997,D1964,Calendar!$C$2:$C$9997,C1964)*INDEX(ForeCalc!$B$37:$Y$274,MATCH(_xlfn.CONCAT(H1964," ",I1964),ForeCalc!$A$37:$A$274,0),MATCH(_xlfn.CONCAT(B1964," ",E1964),ForeCalc!$B$36:$Y$36,0))))*VLOOKUP(A1964,Calendar!$A$2:$H$9997,8,FALSE),0)</f>
        <v/>
      </c>
      <c r="G1964" s="29">
        <f>VLOOKUP(A1964,Calendar!$A$1:$H$9997,6,FALSE)-F1964</f>
        <v/>
      </c>
      <c r="H1964" s="19" t="n">
        <v>3</v>
      </c>
      <c r="I1964" s="57" t="n">
        <v>5</v>
      </c>
    </row>
    <row r="1965">
      <c r="A1965" s="62" t="n">
        <v>46980</v>
      </c>
      <c r="B1965" s="3" t="inlineStr">
        <is>
          <t>Week</t>
        </is>
      </c>
      <c r="C1965" s="19" t="n">
        <v>8</v>
      </c>
      <c r="D1965" s="19" t="n">
        <v>2028</v>
      </c>
      <c r="E1965" s="57" t="n">
        <v>2</v>
      </c>
      <c r="F1965" s="29">
        <f>ROUND(((SUMIFS(Calendar!$F$2:$F$9997,Calendar!$B$2:$B$9997,D1965,Calendar!$C$2:$C$9997,C1965)*INDEX(ForeCalc!$B$37:$Y$274,MATCH(_xlfn.CONCAT(H1965," ",I1965),ForeCalc!$A$37:$A$274,0),MATCH(_xlfn.CONCAT(B1965," ",E1965),ForeCalc!$B$36:$Y$36,0))))*VLOOKUP(A1965,Calendar!$A$2:$H$9997,8,FALSE),0)</f>
        <v/>
      </c>
      <c r="G1965" s="29">
        <f>VLOOKUP(A1965,Calendar!$A$1:$H$9997,6,FALSE)-F1965</f>
        <v/>
      </c>
      <c r="H1965" s="19" t="n">
        <v>3</v>
      </c>
      <c r="I1965" s="57" t="n">
        <v>5</v>
      </c>
    </row>
    <row r="1966">
      <c r="A1966" s="62" t="n">
        <v>46981</v>
      </c>
      <c r="B1966" s="3" t="inlineStr">
        <is>
          <t>Week</t>
        </is>
      </c>
      <c r="C1966" s="19" t="n">
        <v>8</v>
      </c>
      <c r="D1966" s="19" t="n">
        <v>2028</v>
      </c>
      <c r="E1966" s="57" t="n">
        <v>2</v>
      </c>
      <c r="F1966" s="29">
        <f>ROUND(((SUMIFS(Calendar!$F$2:$F$9997,Calendar!$B$2:$B$9997,D1966,Calendar!$C$2:$C$9997,C1966)*INDEX(ForeCalc!$B$37:$Y$274,MATCH(_xlfn.CONCAT(H1966," ",I1966),ForeCalc!$A$37:$A$274,0),MATCH(_xlfn.CONCAT(B1966," ",E1966),ForeCalc!$B$36:$Y$36,0))))*VLOOKUP(A1966,Calendar!$A$2:$H$9997,8,FALSE),0)</f>
        <v/>
      </c>
      <c r="G1966" s="29">
        <f>VLOOKUP(A1966,Calendar!$A$1:$H$9997,6,FALSE)-F1966</f>
        <v/>
      </c>
      <c r="H1966" s="19" t="n">
        <v>3</v>
      </c>
      <c r="I1966" s="57" t="n">
        <v>5</v>
      </c>
    </row>
    <row r="1967">
      <c r="A1967" s="62" t="n">
        <v>46982</v>
      </c>
      <c r="B1967" s="3" t="inlineStr">
        <is>
          <t>Week</t>
        </is>
      </c>
      <c r="C1967" s="19" t="n">
        <v>8</v>
      </c>
      <c r="D1967" s="19" t="n">
        <v>2028</v>
      </c>
      <c r="E1967" s="57" t="n">
        <v>2</v>
      </c>
      <c r="F1967" s="29">
        <f>ROUND(((SUMIFS(Calendar!$F$2:$F$9997,Calendar!$B$2:$B$9997,D1967,Calendar!$C$2:$C$9997,C1967)*INDEX(ForeCalc!$B$37:$Y$274,MATCH(_xlfn.CONCAT(H1967," ",I1967),ForeCalc!$A$37:$A$274,0),MATCH(_xlfn.CONCAT(B1967," ",E1967),ForeCalc!$B$36:$Y$36,0))))*VLOOKUP(A1967,Calendar!$A$2:$H$9997,8,FALSE),0)</f>
        <v/>
      </c>
      <c r="G1967" s="29">
        <f>VLOOKUP(A1967,Calendar!$A$1:$H$9997,6,FALSE)-F1967</f>
        <v/>
      </c>
      <c r="H1967" s="19" t="n">
        <v>3</v>
      </c>
      <c r="I1967" s="57" t="n">
        <v>5</v>
      </c>
    </row>
    <row r="1968">
      <c r="A1968" s="62" t="n">
        <v>46983</v>
      </c>
      <c r="B1968" s="3" t="inlineStr">
        <is>
          <t>Week</t>
        </is>
      </c>
      <c r="C1968" s="19" t="n">
        <v>8</v>
      </c>
      <c r="D1968" s="19" t="n">
        <v>2028</v>
      </c>
      <c r="E1968" s="57" t="n">
        <v>2</v>
      </c>
      <c r="F1968" s="29">
        <f>ROUND(((SUMIFS(Calendar!$F$2:$F$9997,Calendar!$B$2:$B$9997,D1968,Calendar!$C$2:$C$9997,C1968)*INDEX(ForeCalc!$B$37:$Y$274,MATCH(_xlfn.CONCAT(H1968," ",I1968),ForeCalc!$A$37:$A$274,0),MATCH(_xlfn.CONCAT(B1968," ",E1968),ForeCalc!$B$36:$Y$36,0))))*VLOOKUP(A1968,Calendar!$A$2:$H$9997,8,FALSE),0)</f>
        <v/>
      </c>
      <c r="G1968" s="29">
        <f>VLOOKUP(A1968,Calendar!$A$1:$H$9997,6,FALSE)-F1968</f>
        <v/>
      </c>
      <c r="H1968" s="19" t="n">
        <v>3</v>
      </c>
      <c r="I1968" s="57" t="n">
        <v>5</v>
      </c>
    </row>
    <row r="1969">
      <c r="A1969" s="62" t="n">
        <v>46984</v>
      </c>
      <c r="B1969" s="3" t="inlineStr">
        <is>
          <t>Sat</t>
        </is>
      </c>
      <c r="C1969" s="19" t="n">
        <v>8</v>
      </c>
      <c r="D1969" s="19" t="n">
        <v>2028</v>
      </c>
      <c r="E1969" s="57" t="n">
        <v>2</v>
      </c>
      <c r="F1969" s="29">
        <f>ROUND(((SUMIFS(Calendar!$F$2:$F$9997,Calendar!$B$2:$B$9997,D1969,Calendar!$C$2:$C$9997,C1969)*INDEX(ForeCalc!$B$37:$Y$274,MATCH(_xlfn.CONCAT(H1969," ",I1969),ForeCalc!$A$37:$A$274,0),MATCH(_xlfn.CONCAT(B1969," ",E1969),ForeCalc!$B$36:$Y$36,0))))*VLOOKUP(A1969,Calendar!$A$2:$H$9997,8,FALSE),0)</f>
        <v/>
      </c>
      <c r="G1969" s="29">
        <f>VLOOKUP(A1969,Calendar!$A$1:$H$9997,6,FALSE)-F1969</f>
        <v/>
      </c>
      <c r="H1969" s="19" t="n">
        <v>3</v>
      </c>
      <c r="I1969" s="57" t="n">
        <v>5</v>
      </c>
    </row>
    <row r="1970">
      <c r="A1970" s="62" t="n">
        <v>46985</v>
      </c>
      <c r="B1970" s="3" t="inlineStr">
        <is>
          <t>Sun</t>
        </is>
      </c>
      <c r="C1970" s="19" t="n">
        <v>8</v>
      </c>
      <c r="D1970" s="19" t="n">
        <v>2028</v>
      </c>
      <c r="E1970" s="57" t="n">
        <v>2</v>
      </c>
      <c r="F1970" s="29">
        <f>ROUND(((SUMIFS(Calendar!$F$2:$F$9997,Calendar!$B$2:$B$9997,D1970,Calendar!$C$2:$C$9997,C1970)*INDEX(ForeCalc!$B$37:$Y$274,MATCH(_xlfn.CONCAT(H1970," ",I1970),ForeCalc!$A$37:$A$274,0),MATCH(_xlfn.CONCAT(B1970," ",E1970),ForeCalc!$B$36:$Y$36,0))))*VLOOKUP(A1970,Calendar!$A$2:$H$9997,8,FALSE),0)</f>
        <v/>
      </c>
      <c r="G1970" s="29">
        <f>VLOOKUP(A1970,Calendar!$A$1:$H$9997,6,FALSE)-F1970</f>
        <v/>
      </c>
      <c r="H1970" s="19" t="n">
        <v>3</v>
      </c>
      <c r="I1970" s="57" t="n">
        <v>5</v>
      </c>
    </row>
    <row r="1971">
      <c r="A1971" s="62" t="n">
        <v>46986</v>
      </c>
      <c r="B1971" s="3" t="inlineStr">
        <is>
          <t>Week</t>
        </is>
      </c>
      <c r="C1971" s="19" t="n">
        <v>8</v>
      </c>
      <c r="D1971" s="19" t="n">
        <v>2028</v>
      </c>
      <c r="E1971" s="57" t="n">
        <v>2</v>
      </c>
      <c r="F1971" s="29">
        <f>ROUND(((SUMIFS(Calendar!$F$2:$F$9997,Calendar!$B$2:$B$9997,D1971,Calendar!$C$2:$C$9997,C1971)*INDEX(ForeCalc!$B$37:$Y$274,MATCH(_xlfn.CONCAT(H1971," ",I1971),ForeCalc!$A$37:$A$274,0),MATCH(_xlfn.CONCAT(B1971," ",E1971),ForeCalc!$B$36:$Y$36,0))))*VLOOKUP(A1971,Calendar!$A$2:$H$9997,8,FALSE),0)</f>
        <v/>
      </c>
      <c r="G1971" s="29">
        <f>VLOOKUP(A1971,Calendar!$A$1:$H$9997,6,FALSE)-F1971</f>
        <v/>
      </c>
      <c r="H1971" s="19" t="n">
        <v>3</v>
      </c>
      <c r="I1971" s="57" t="n">
        <v>5</v>
      </c>
    </row>
    <row r="1972">
      <c r="A1972" s="62" t="n">
        <v>46987</v>
      </c>
      <c r="B1972" s="3" t="inlineStr">
        <is>
          <t>Week</t>
        </is>
      </c>
      <c r="C1972" s="19" t="n">
        <v>8</v>
      </c>
      <c r="D1972" s="19" t="n">
        <v>2028</v>
      </c>
      <c r="E1972" s="57" t="n">
        <v>2</v>
      </c>
      <c r="F1972" s="29">
        <f>ROUND(((SUMIFS(Calendar!$F$2:$F$9997,Calendar!$B$2:$B$9997,D1972,Calendar!$C$2:$C$9997,C1972)*INDEX(ForeCalc!$B$37:$Y$274,MATCH(_xlfn.CONCAT(H1972," ",I1972),ForeCalc!$A$37:$A$274,0),MATCH(_xlfn.CONCAT(B1972," ",E1972),ForeCalc!$B$36:$Y$36,0))))*VLOOKUP(A1972,Calendar!$A$2:$H$9997,8,FALSE),0)</f>
        <v/>
      </c>
      <c r="G1972" s="29">
        <f>VLOOKUP(A1972,Calendar!$A$1:$H$9997,6,FALSE)-F1972</f>
        <v/>
      </c>
      <c r="H1972" s="19" t="n">
        <v>3</v>
      </c>
      <c r="I1972" s="57" t="n">
        <v>5</v>
      </c>
    </row>
    <row r="1973">
      <c r="A1973" s="62" t="n">
        <v>46988</v>
      </c>
      <c r="B1973" s="3" t="inlineStr">
        <is>
          <t>Week</t>
        </is>
      </c>
      <c r="C1973" s="19" t="n">
        <v>8</v>
      </c>
      <c r="D1973" s="19" t="n">
        <v>2028</v>
      </c>
      <c r="E1973" s="57" t="n">
        <v>2</v>
      </c>
      <c r="F1973" s="29">
        <f>ROUND(((SUMIFS(Calendar!$F$2:$F$9997,Calendar!$B$2:$B$9997,D1973,Calendar!$C$2:$C$9997,C1973)*INDEX(ForeCalc!$B$37:$Y$274,MATCH(_xlfn.CONCAT(H1973," ",I1973),ForeCalc!$A$37:$A$274,0),MATCH(_xlfn.CONCAT(B1973," ",E1973),ForeCalc!$B$36:$Y$36,0))))*VLOOKUP(A1973,Calendar!$A$2:$H$9997,8,FALSE),0)</f>
        <v/>
      </c>
      <c r="G1973" s="29">
        <f>VLOOKUP(A1973,Calendar!$A$1:$H$9997,6,FALSE)-F1973</f>
        <v/>
      </c>
      <c r="H1973" s="19" t="n">
        <v>3</v>
      </c>
      <c r="I1973" s="57" t="n">
        <v>5</v>
      </c>
    </row>
    <row r="1974">
      <c r="A1974" s="62" t="n">
        <v>46989</v>
      </c>
      <c r="B1974" s="3" t="inlineStr">
        <is>
          <t>Week</t>
        </is>
      </c>
      <c r="C1974" s="19" t="n">
        <v>8</v>
      </c>
      <c r="D1974" s="19" t="n">
        <v>2028</v>
      </c>
      <c r="E1974" s="57" t="n">
        <v>2</v>
      </c>
      <c r="F1974" s="29">
        <f>ROUND(((SUMIFS(Calendar!$F$2:$F$9997,Calendar!$B$2:$B$9997,D1974,Calendar!$C$2:$C$9997,C1974)*INDEX(ForeCalc!$B$37:$Y$274,MATCH(_xlfn.CONCAT(H1974," ",I1974),ForeCalc!$A$37:$A$274,0),MATCH(_xlfn.CONCAT(B1974," ",E1974),ForeCalc!$B$36:$Y$36,0))))*VLOOKUP(A1974,Calendar!$A$2:$H$9997,8,FALSE),0)</f>
        <v/>
      </c>
      <c r="G1974" s="29">
        <f>VLOOKUP(A1974,Calendar!$A$1:$H$9997,6,FALSE)-F1974</f>
        <v/>
      </c>
      <c r="H1974" s="19" t="n">
        <v>3</v>
      </c>
      <c r="I1974" s="57" t="n">
        <v>5</v>
      </c>
    </row>
    <row r="1975">
      <c r="A1975" s="62" t="n">
        <v>46990</v>
      </c>
      <c r="B1975" s="3" t="inlineStr">
        <is>
          <t>Week</t>
        </is>
      </c>
      <c r="C1975" s="19" t="n">
        <v>8</v>
      </c>
      <c r="D1975" s="19" t="n">
        <v>2028</v>
      </c>
      <c r="E1975" s="57" t="n">
        <v>2</v>
      </c>
      <c r="F1975" s="29">
        <f>ROUND(((SUMIFS(Calendar!$F$2:$F$9997,Calendar!$B$2:$B$9997,D1975,Calendar!$C$2:$C$9997,C1975)*INDEX(ForeCalc!$B$37:$Y$274,MATCH(_xlfn.CONCAT(H1975," ",I1975),ForeCalc!$A$37:$A$274,0),MATCH(_xlfn.CONCAT(B1975," ",E1975),ForeCalc!$B$36:$Y$36,0))))*VLOOKUP(A1975,Calendar!$A$2:$H$9997,8,FALSE),0)</f>
        <v/>
      </c>
      <c r="G1975" s="29">
        <f>VLOOKUP(A1975,Calendar!$A$1:$H$9997,6,FALSE)-F1975</f>
        <v/>
      </c>
      <c r="H1975" s="19" t="n">
        <v>3</v>
      </c>
      <c r="I1975" s="57" t="n">
        <v>5</v>
      </c>
    </row>
    <row r="1976">
      <c r="A1976" s="62" t="n">
        <v>46991</v>
      </c>
      <c r="B1976" s="3" t="inlineStr">
        <is>
          <t>Sat</t>
        </is>
      </c>
      <c r="C1976" s="19" t="n">
        <v>8</v>
      </c>
      <c r="D1976" s="19" t="n">
        <v>2028</v>
      </c>
      <c r="E1976" s="57" t="n">
        <v>2</v>
      </c>
      <c r="F1976" s="29">
        <f>ROUND(((SUMIFS(Calendar!$F$2:$F$9997,Calendar!$B$2:$B$9997,D1976,Calendar!$C$2:$C$9997,C1976)*INDEX(ForeCalc!$B$37:$Y$274,MATCH(_xlfn.CONCAT(H1976," ",I1976),ForeCalc!$A$37:$A$274,0),MATCH(_xlfn.CONCAT(B1976," ",E1976),ForeCalc!$B$36:$Y$36,0))))*VLOOKUP(A1976,Calendar!$A$2:$H$9997,8,FALSE),0)</f>
        <v/>
      </c>
      <c r="G1976" s="29">
        <f>VLOOKUP(A1976,Calendar!$A$1:$H$9997,6,FALSE)-F1976</f>
        <v/>
      </c>
      <c r="H1976" s="19" t="n">
        <v>3</v>
      </c>
      <c r="I1976" s="57" t="n">
        <v>5</v>
      </c>
    </row>
    <row r="1977">
      <c r="A1977" s="62" t="n">
        <v>46992</v>
      </c>
      <c r="B1977" s="3" t="inlineStr">
        <is>
          <t>Sun</t>
        </is>
      </c>
      <c r="C1977" s="19" t="n">
        <v>8</v>
      </c>
      <c r="D1977" s="19" t="n">
        <v>2028</v>
      </c>
      <c r="E1977" s="57" t="n">
        <v>2</v>
      </c>
      <c r="F1977" s="29">
        <f>ROUND(((SUMIFS(Calendar!$F$2:$F$9997,Calendar!$B$2:$B$9997,D1977,Calendar!$C$2:$C$9997,C1977)*INDEX(ForeCalc!$B$37:$Y$274,MATCH(_xlfn.CONCAT(H1977," ",I1977),ForeCalc!$A$37:$A$274,0),MATCH(_xlfn.CONCAT(B1977," ",E1977),ForeCalc!$B$36:$Y$36,0))))*VLOOKUP(A1977,Calendar!$A$2:$H$9997,8,FALSE),0)</f>
        <v/>
      </c>
      <c r="G1977" s="29">
        <f>VLOOKUP(A1977,Calendar!$A$1:$H$9997,6,FALSE)-F1977</f>
        <v/>
      </c>
      <c r="H1977" s="19" t="n">
        <v>3</v>
      </c>
      <c r="I1977" s="57" t="n">
        <v>5</v>
      </c>
    </row>
    <row r="1978">
      <c r="A1978" s="62" t="n">
        <v>46993</v>
      </c>
      <c r="B1978" s="3" t="inlineStr">
        <is>
          <t>Week</t>
        </is>
      </c>
      <c r="C1978" s="19" t="n">
        <v>8</v>
      </c>
      <c r="D1978" s="19" t="n">
        <v>2028</v>
      </c>
      <c r="E1978" s="57" t="n">
        <v>2</v>
      </c>
      <c r="F1978" s="29">
        <f>ROUND(((SUMIFS(Calendar!$F$2:$F$9997,Calendar!$B$2:$B$9997,D1978,Calendar!$C$2:$C$9997,C1978)*INDEX(ForeCalc!$B$37:$Y$274,MATCH(_xlfn.CONCAT(H1978," ",I1978),ForeCalc!$A$37:$A$274,0),MATCH(_xlfn.CONCAT(B1978," ",E1978),ForeCalc!$B$36:$Y$36,0))))*VLOOKUP(A1978,Calendar!$A$2:$H$9997,8,FALSE),0)</f>
        <v/>
      </c>
      <c r="G1978" s="29">
        <f>VLOOKUP(A1978,Calendar!$A$1:$H$9997,6,FALSE)-F1978</f>
        <v/>
      </c>
      <c r="H1978" s="19" t="n">
        <v>3</v>
      </c>
      <c r="I1978" s="57" t="n">
        <v>5</v>
      </c>
    </row>
    <row r="1979">
      <c r="A1979" s="62" t="n">
        <v>46994</v>
      </c>
      <c r="B1979" s="3" t="inlineStr">
        <is>
          <t>Week</t>
        </is>
      </c>
      <c r="C1979" s="19" t="n">
        <v>8</v>
      </c>
      <c r="D1979" s="19" t="n">
        <v>2028</v>
      </c>
      <c r="E1979" s="57" t="n">
        <v>2</v>
      </c>
      <c r="F1979" s="29">
        <f>ROUND(((SUMIFS(Calendar!$F$2:$F$9997,Calendar!$B$2:$B$9997,D1979,Calendar!$C$2:$C$9997,C1979)*INDEX(ForeCalc!$B$37:$Y$274,MATCH(_xlfn.CONCAT(H1979," ",I1979),ForeCalc!$A$37:$A$274,0),MATCH(_xlfn.CONCAT(B1979," ",E1979),ForeCalc!$B$36:$Y$36,0))))*VLOOKUP(A1979,Calendar!$A$2:$H$9997,8,FALSE),0)</f>
        <v/>
      </c>
      <c r="G1979" s="29">
        <f>VLOOKUP(A1979,Calendar!$A$1:$H$9997,6,FALSE)-F1979</f>
        <v/>
      </c>
      <c r="H1979" s="19" t="n">
        <v>3</v>
      </c>
      <c r="I1979" s="57" t="n">
        <v>5</v>
      </c>
    </row>
    <row r="1980">
      <c r="A1980" s="62" t="n">
        <v>46995</v>
      </c>
      <c r="B1980" s="3" t="inlineStr">
        <is>
          <t>Week</t>
        </is>
      </c>
      <c r="C1980" s="19" t="n">
        <v>8</v>
      </c>
      <c r="D1980" s="19" t="n">
        <v>2028</v>
      </c>
      <c r="E1980" s="57" t="n">
        <v>2</v>
      </c>
      <c r="F1980" s="29">
        <f>ROUND(((SUMIFS(Calendar!$F$2:$F$9997,Calendar!$B$2:$B$9997,D1980,Calendar!$C$2:$C$9997,C1980)*INDEX(ForeCalc!$B$37:$Y$274,MATCH(_xlfn.CONCAT(H1980," ",I1980),ForeCalc!$A$37:$A$274,0),MATCH(_xlfn.CONCAT(B1980," ",E1980),ForeCalc!$B$36:$Y$36,0))))*VLOOKUP(A1980,Calendar!$A$2:$H$9997,8,FALSE),0)</f>
        <v/>
      </c>
      <c r="G1980" s="29">
        <f>VLOOKUP(A1980,Calendar!$A$1:$H$9997,6,FALSE)-F1980</f>
        <v/>
      </c>
      <c r="H1980" s="19" t="n">
        <v>3</v>
      </c>
      <c r="I1980" s="57" t="n">
        <v>5</v>
      </c>
    </row>
    <row r="1981">
      <c r="A1981" s="62" t="n">
        <v>46996</v>
      </c>
      <c r="B1981" s="3" t="inlineStr">
        <is>
          <t>Week</t>
        </is>
      </c>
      <c r="C1981" s="19" t="n">
        <v>8</v>
      </c>
      <c r="D1981" s="19" t="n">
        <v>2028</v>
      </c>
      <c r="E1981" s="57" t="n">
        <v>2</v>
      </c>
      <c r="F1981" s="29">
        <f>ROUND(((SUMIFS(Calendar!$F$2:$F$9997,Calendar!$B$2:$B$9997,D1981,Calendar!$C$2:$C$9997,C1981)*INDEX(ForeCalc!$B$37:$Y$274,MATCH(_xlfn.CONCAT(H1981," ",I1981),ForeCalc!$A$37:$A$274,0),MATCH(_xlfn.CONCAT(B1981," ",E1981),ForeCalc!$B$36:$Y$36,0))))*VLOOKUP(A1981,Calendar!$A$2:$H$9997,8,FALSE),0)</f>
        <v/>
      </c>
      <c r="G1981" s="29">
        <f>VLOOKUP(A1981,Calendar!$A$1:$H$9997,6,FALSE)-F1981</f>
        <v/>
      </c>
      <c r="H1981" s="19" t="n">
        <v>3</v>
      </c>
      <c r="I1981" s="57" t="n">
        <v>5</v>
      </c>
    </row>
    <row r="1982">
      <c r="A1982" s="62" t="n">
        <v>46997</v>
      </c>
      <c r="B1982" s="3" t="inlineStr">
        <is>
          <t>Week</t>
        </is>
      </c>
      <c r="C1982" s="19" t="n">
        <v>9</v>
      </c>
      <c r="D1982" s="19" t="n">
        <v>2028</v>
      </c>
      <c r="E1982" s="57" t="n">
        <v>2</v>
      </c>
      <c r="F1982" s="29">
        <f>ROUND(((SUMIFS(Calendar!$F$2:$F$9997,Calendar!$B$2:$B$9997,D1982,Calendar!$C$2:$C$9997,C1982)*INDEX(ForeCalc!$B$37:$Y$274,MATCH(_xlfn.CONCAT(H1982," ",I1982),ForeCalc!$A$37:$A$274,0),MATCH(_xlfn.CONCAT(B1982," ",E1982),ForeCalc!$B$36:$Y$36,0))))*VLOOKUP(A1982,Calendar!$A$2:$H$9997,8,FALSE),0)</f>
        <v/>
      </c>
      <c r="G1982" s="29">
        <f>VLOOKUP(A1982,Calendar!$A$1:$H$9997,6,FALSE)-F1982</f>
        <v/>
      </c>
      <c r="H1982" s="19" t="n">
        <v>3</v>
      </c>
      <c r="I1982" s="57" t="n">
        <v>6</v>
      </c>
    </row>
    <row r="1983">
      <c r="A1983" s="62" t="n">
        <v>46998</v>
      </c>
      <c r="B1983" s="3" t="inlineStr">
        <is>
          <t>Sat</t>
        </is>
      </c>
      <c r="C1983" s="19" t="n">
        <v>9</v>
      </c>
      <c r="D1983" s="19" t="n">
        <v>2028</v>
      </c>
      <c r="E1983" s="57" t="n">
        <v>2</v>
      </c>
      <c r="F1983" s="29">
        <f>ROUND(((SUMIFS(Calendar!$F$2:$F$9997,Calendar!$B$2:$B$9997,D1983,Calendar!$C$2:$C$9997,C1983)*INDEX(ForeCalc!$B$37:$Y$274,MATCH(_xlfn.CONCAT(H1983," ",I1983),ForeCalc!$A$37:$A$274,0),MATCH(_xlfn.CONCAT(B1983," ",E1983),ForeCalc!$B$36:$Y$36,0))))*VLOOKUP(A1983,Calendar!$A$2:$H$9997,8,FALSE),0)</f>
        <v/>
      </c>
      <c r="G1983" s="29">
        <f>VLOOKUP(A1983,Calendar!$A$1:$H$9997,6,FALSE)-F1983</f>
        <v/>
      </c>
      <c r="H1983" s="19" t="n">
        <v>3</v>
      </c>
      <c r="I1983" s="57" t="n">
        <v>6</v>
      </c>
    </row>
    <row r="1984">
      <c r="A1984" s="62" t="n">
        <v>46999</v>
      </c>
      <c r="B1984" s="3" t="inlineStr">
        <is>
          <t>Sun</t>
        </is>
      </c>
      <c r="C1984" s="19" t="n">
        <v>9</v>
      </c>
      <c r="D1984" s="19" t="n">
        <v>2028</v>
      </c>
      <c r="E1984" s="57" t="n">
        <v>2</v>
      </c>
      <c r="F1984" s="29">
        <f>ROUND(((SUMIFS(Calendar!$F$2:$F$9997,Calendar!$B$2:$B$9997,D1984,Calendar!$C$2:$C$9997,C1984)*INDEX(ForeCalc!$B$37:$Y$274,MATCH(_xlfn.CONCAT(H1984," ",I1984),ForeCalc!$A$37:$A$274,0),MATCH(_xlfn.CONCAT(B1984," ",E1984),ForeCalc!$B$36:$Y$36,0))))*VLOOKUP(A1984,Calendar!$A$2:$H$9997,8,FALSE),0)</f>
        <v/>
      </c>
      <c r="G1984" s="29">
        <f>VLOOKUP(A1984,Calendar!$A$1:$H$9997,6,FALSE)-F1984</f>
        <v/>
      </c>
      <c r="H1984" s="19" t="n">
        <v>3</v>
      </c>
      <c r="I1984" s="57" t="n">
        <v>6</v>
      </c>
    </row>
    <row r="1985">
      <c r="A1985" s="62" t="n">
        <v>47000</v>
      </c>
      <c r="B1985" s="3" t="inlineStr">
        <is>
          <t>Week</t>
        </is>
      </c>
      <c r="C1985" s="19" t="n">
        <v>9</v>
      </c>
      <c r="D1985" s="19" t="n">
        <v>2028</v>
      </c>
      <c r="E1985" s="57" t="n">
        <v>2</v>
      </c>
      <c r="F1985" s="29">
        <f>ROUND(((SUMIFS(Calendar!$F$2:$F$9997,Calendar!$B$2:$B$9997,D1985,Calendar!$C$2:$C$9997,C1985)*INDEX(ForeCalc!$B$37:$Y$274,MATCH(_xlfn.CONCAT(H1985," ",I1985),ForeCalc!$A$37:$A$274,0),MATCH(_xlfn.CONCAT(B1985," ",E1985),ForeCalc!$B$36:$Y$36,0))))*VLOOKUP(A1985,Calendar!$A$2:$H$9997,8,FALSE),0)</f>
        <v/>
      </c>
      <c r="G1985" s="29">
        <f>VLOOKUP(A1985,Calendar!$A$1:$H$9997,6,FALSE)-F1985</f>
        <v/>
      </c>
      <c r="H1985" s="19" t="n">
        <v>3</v>
      </c>
      <c r="I1985" s="57" t="n">
        <v>6</v>
      </c>
    </row>
    <row r="1986">
      <c r="A1986" s="62" t="n">
        <v>47001</v>
      </c>
      <c r="B1986" s="3" t="inlineStr">
        <is>
          <t>Week</t>
        </is>
      </c>
      <c r="C1986" s="19" t="n">
        <v>9</v>
      </c>
      <c r="D1986" s="19" t="n">
        <v>2028</v>
      </c>
      <c r="E1986" s="57" t="n">
        <v>2</v>
      </c>
      <c r="F1986" s="29">
        <f>ROUND(((SUMIFS(Calendar!$F$2:$F$9997,Calendar!$B$2:$B$9997,D1986,Calendar!$C$2:$C$9997,C1986)*INDEX(ForeCalc!$B$37:$Y$274,MATCH(_xlfn.CONCAT(H1986," ",I1986),ForeCalc!$A$37:$A$274,0),MATCH(_xlfn.CONCAT(B1986," ",E1986),ForeCalc!$B$36:$Y$36,0))))*VLOOKUP(A1986,Calendar!$A$2:$H$9997,8,FALSE),0)</f>
        <v/>
      </c>
      <c r="G1986" s="29">
        <f>VLOOKUP(A1986,Calendar!$A$1:$H$9997,6,FALSE)-F1986</f>
        <v/>
      </c>
      <c r="H1986" s="19" t="n">
        <v>3</v>
      </c>
      <c r="I1986" s="57" t="n">
        <v>6</v>
      </c>
    </row>
    <row r="1987">
      <c r="A1987" s="62" t="n">
        <v>47002</v>
      </c>
      <c r="B1987" s="3" t="inlineStr">
        <is>
          <t>Week</t>
        </is>
      </c>
      <c r="C1987" s="19" t="n">
        <v>9</v>
      </c>
      <c r="D1987" s="19" t="n">
        <v>2028</v>
      </c>
      <c r="E1987" s="57" t="n">
        <v>2</v>
      </c>
      <c r="F1987" s="29">
        <f>ROUND(((SUMIFS(Calendar!$F$2:$F$9997,Calendar!$B$2:$B$9997,D1987,Calendar!$C$2:$C$9997,C1987)*INDEX(ForeCalc!$B$37:$Y$274,MATCH(_xlfn.CONCAT(H1987," ",I1987),ForeCalc!$A$37:$A$274,0),MATCH(_xlfn.CONCAT(B1987," ",E1987),ForeCalc!$B$36:$Y$36,0))))*VLOOKUP(A1987,Calendar!$A$2:$H$9997,8,FALSE),0)</f>
        <v/>
      </c>
      <c r="G1987" s="29">
        <f>VLOOKUP(A1987,Calendar!$A$1:$H$9997,6,FALSE)-F1987</f>
        <v/>
      </c>
      <c r="H1987" s="19" t="n">
        <v>3</v>
      </c>
      <c r="I1987" s="57" t="n">
        <v>6</v>
      </c>
    </row>
    <row r="1988">
      <c r="A1988" s="62" t="n">
        <v>47003</v>
      </c>
      <c r="B1988" s="3" t="inlineStr">
        <is>
          <t>Week</t>
        </is>
      </c>
      <c r="C1988" s="19" t="n">
        <v>9</v>
      </c>
      <c r="D1988" s="19" t="n">
        <v>2028</v>
      </c>
      <c r="E1988" s="57" t="n">
        <v>2</v>
      </c>
      <c r="F1988" s="29">
        <f>ROUND(((SUMIFS(Calendar!$F$2:$F$9997,Calendar!$B$2:$B$9997,D1988,Calendar!$C$2:$C$9997,C1988)*INDEX(ForeCalc!$B$37:$Y$274,MATCH(_xlfn.CONCAT(H1988," ",I1988),ForeCalc!$A$37:$A$274,0),MATCH(_xlfn.CONCAT(B1988," ",E1988),ForeCalc!$B$36:$Y$36,0))))*VLOOKUP(A1988,Calendar!$A$2:$H$9997,8,FALSE),0)</f>
        <v/>
      </c>
      <c r="G1988" s="29">
        <f>VLOOKUP(A1988,Calendar!$A$1:$H$9997,6,FALSE)-F1988</f>
        <v/>
      </c>
      <c r="H1988" s="19" t="n">
        <v>3</v>
      </c>
      <c r="I1988" s="57" t="n">
        <v>6</v>
      </c>
    </row>
    <row r="1989">
      <c r="A1989" s="62" t="n">
        <v>47004</v>
      </c>
      <c r="B1989" s="3" t="inlineStr">
        <is>
          <t>Week</t>
        </is>
      </c>
      <c r="C1989" s="19" t="n">
        <v>9</v>
      </c>
      <c r="D1989" s="19" t="n">
        <v>2028</v>
      </c>
      <c r="E1989" s="57" t="n">
        <v>2</v>
      </c>
      <c r="F1989" s="29">
        <f>ROUND(((SUMIFS(Calendar!$F$2:$F$9997,Calendar!$B$2:$B$9997,D1989,Calendar!$C$2:$C$9997,C1989)*INDEX(ForeCalc!$B$37:$Y$274,MATCH(_xlfn.CONCAT(H1989," ",I1989),ForeCalc!$A$37:$A$274,0),MATCH(_xlfn.CONCAT(B1989," ",E1989),ForeCalc!$B$36:$Y$36,0))))*VLOOKUP(A1989,Calendar!$A$2:$H$9997,8,FALSE),0)</f>
        <v/>
      </c>
      <c r="G1989" s="29">
        <f>VLOOKUP(A1989,Calendar!$A$1:$H$9997,6,FALSE)-F1989</f>
        <v/>
      </c>
      <c r="H1989" s="19" t="n">
        <v>3</v>
      </c>
      <c r="I1989" s="57" t="n">
        <v>6</v>
      </c>
    </row>
    <row r="1990">
      <c r="A1990" s="62" t="n">
        <v>47005</v>
      </c>
      <c r="B1990" s="3" t="inlineStr">
        <is>
          <t>Sat</t>
        </is>
      </c>
      <c r="C1990" s="19" t="n">
        <v>9</v>
      </c>
      <c r="D1990" s="19" t="n">
        <v>2028</v>
      </c>
      <c r="E1990" s="57" t="n">
        <v>2</v>
      </c>
      <c r="F1990" s="29">
        <f>ROUND(((SUMIFS(Calendar!$F$2:$F$9997,Calendar!$B$2:$B$9997,D1990,Calendar!$C$2:$C$9997,C1990)*INDEX(ForeCalc!$B$37:$Y$274,MATCH(_xlfn.CONCAT(H1990," ",I1990),ForeCalc!$A$37:$A$274,0),MATCH(_xlfn.CONCAT(B1990," ",E1990),ForeCalc!$B$36:$Y$36,0))))*VLOOKUP(A1990,Calendar!$A$2:$H$9997,8,FALSE),0)</f>
        <v/>
      </c>
      <c r="G1990" s="29">
        <f>VLOOKUP(A1990,Calendar!$A$1:$H$9997,6,FALSE)-F1990</f>
        <v/>
      </c>
      <c r="H1990" s="19" t="n">
        <v>3</v>
      </c>
      <c r="I1990" s="57" t="n">
        <v>6</v>
      </c>
    </row>
    <row r="1991">
      <c r="A1991" s="62" t="n">
        <v>47006</v>
      </c>
      <c r="B1991" s="3" t="inlineStr">
        <is>
          <t>Sun</t>
        </is>
      </c>
      <c r="C1991" s="19" t="n">
        <v>9</v>
      </c>
      <c r="D1991" s="19" t="n">
        <v>2028</v>
      </c>
      <c r="E1991" s="57" t="n">
        <v>2</v>
      </c>
      <c r="F1991" s="29">
        <f>ROUND(((SUMIFS(Calendar!$F$2:$F$9997,Calendar!$B$2:$B$9997,D1991,Calendar!$C$2:$C$9997,C1991)*INDEX(ForeCalc!$B$37:$Y$274,MATCH(_xlfn.CONCAT(H1991," ",I1991),ForeCalc!$A$37:$A$274,0),MATCH(_xlfn.CONCAT(B1991," ",E1991),ForeCalc!$B$36:$Y$36,0))))*VLOOKUP(A1991,Calendar!$A$2:$H$9997,8,FALSE),0)</f>
        <v/>
      </c>
      <c r="G1991" s="29">
        <f>VLOOKUP(A1991,Calendar!$A$1:$H$9997,6,FALSE)-F1991</f>
        <v/>
      </c>
      <c r="H1991" s="19" t="n">
        <v>3</v>
      </c>
      <c r="I1991" s="57" t="n">
        <v>6</v>
      </c>
    </row>
    <row r="1992">
      <c r="A1992" s="62" t="n">
        <v>47007</v>
      </c>
      <c r="B1992" s="3" t="inlineStr">
        <is>
          <t>Week</t>
        </is>
      </c>
      <c r="C1992" s="19" t="n">
        <v>9</v>
      </c>
      <c r="D1992" s="19" t="n">
        <v>2028</v>
      </c>
      <c r="E1992" s="57" t="n">
        <v>2</v>
      </c>
      <c r="F1992" s="29">
        <f>ROUND(((SUMIFS(Calendar!$F$2:$F$9997,Calendar!$B$2:$B$9997,D1992,Calendar!$C$2:$C$9997,C1992)*INDEX(ForeCalc!$B$37:$Y$274,MATCH(_xlfn.CONCAT(H1992," ",I1992),ForeCalc!$A$37:$A$274,0),MATCH(_xlfn.CONCAT(B1992," ",E1992),ForeCalc!$B$36:$Y$36,0))))*VLOOKUP(A1992,Calendar!$A$2:$H$9997,8,FALSE),0)</f>
        <v/>
      </c>
      <c r="G1992" s="29">
        <f>VLOOKUP(A1992,Calendar!$A$1:$H$9997,6,FALSE)-F1992</f>
        <v/>
      </c>
      <c r="H1992" s="19" t="n">
        <v>3</v>
      </c>
      <c r="I1992" s="57" t="n">
        <v>6</v>
      </c>
    </row>
    <row r="1993">
      <c r="A1993" s="62" t="n">
        <v>47008</v>
      </c>
      <c r="B1993" s="3" t="inlineStr">
        <is>
          <t>Week</t>
        </is>
      </c>
      <c r="C1993" s="19" t="n">
        <v>9</v>
      </c>
      <c r="D1993" s="19" t="n">
        <v>2028</v>
      </c>
      <c r="E1993" s="57" t="n">
        <v>2</v>
      </c>
      <c r="F1993" s="29">
        <f>ROUND(((SUMIFS(Calendar!$F$2:$F$9997,Calendar!$B$2:$B$9997,D1993,Calendar!$C$2:$C$9997,C1993)*INDEX(ForeCalc!$B$37:$Y$274,MATCH(_xlfn.CONCAT(H1993," ",I1993),ForeCalc!$A$37:$A$274,0),MATCH(_xlfn.CONCAT(B1993," ",E1993),ForeCalc!$B$36:$Y$36,0))))*VLOOKUP(A1993,Calendar!$A$2:$H$9997,8,FALSE),0)</f>
        <v/>
      </c>
      <c r="G1993" s="29">
        <f>VLOOKUP(A1993,Calendar!$A$1:$H$9997,6,FALSE)-F1993</f>
        <v/>
      </c>
      <c r="H1993" s="19" t="n">
        <v>3</v>
      </c>
      <c r="I1993" s="57" t="n">
        <v>6</v>
      </c>
    </row>
    <row r="1994">
      <c r="A1994" s="62" t="n">
        <v>47009</v>
      </c>
      <c r="B1994" s="3" t="inlineStr">
        <is>
          <t>Week</t>
        </is>
      </c>
      <c r="C1994" s="19" t="n">
        <v>9</v>
      </c>
      <c r="D1994" s="19" t="n">
        <v>2028</v>
      </c>
      <c r="E1994" s="57" t="n">
        <v>2</v>
      </c>
      <c r="F1994" s="29">
        <f>ROUND(((SUMIFS(Calendar!$F$2:$F$9997,Calendar!$B$2:$B$9997,D1994,Calendar!$C$2:$C$9997,C1994)*INDEX(ForeCalc!$B$37:$Y$274,MATCH(_xlfn.CONCAT(H1994," ",I1994),ForeCalc!$A$37:$A$274,0),MATCH(_xlfn.CONCAT(B1994," ",E1994),ForeCalc!$B$36:$Y$36,0))))*VLOOKUP(A1994,Calendar!$A$2:$H$9997,8,FALSE),0)</f>
        <v/>
      </c>
      <c r="G1994" s="29">
        <f>VLOOKUP(A1994,Calendar!$A$1:$H$9997,6,FALSE)-F1994</f>
        <v/>
      </c>
      <c r="H1994" s="19" t="n">
        <v>3</v>
      </c>
      <c r="I1994" s="57" t="n">
        <v>6</v>
      </c>
    </row>
    <row r="1995">
      <c r="A1995" s="62" t="n">
        <v>47010</v>
      </c>
      <c r="B1995" s="3" t="inlineStr">
        <is>
          <t>Week</t>
        </is>
      </c>
      <c r="C1995" s="19" t="n">
        <v>9</v>
      </c>
      <c r="D1995" s="19" t="n">
        <v>2028</v>
      </c>
      <c r="E1995" s="57" t="n">
        <v>2</v>
      </c>
      <c r="F1995" s="29">
        <f>ROUND(((SUMIFS(Calendar!$F$2:$F$9997,Calendar!$B$2:$B$9997,D1995,Calendar!$C$2:$C$9997,C1995)*INDEX(ForeCalc!$B$37:$Y$274,MATCH(_xlfn.CONCAT(H1995," ",I1995),ForeCalc!$A$37:$A$274,0),MATCH(_xlfn.CONCAT(B1995," ",E1995),ForeCalc!$B$36:$Y$36,0))))*VLOOKUP(A1995,Calendar!$A$2:$H$9997,8,FALSE),0)</f>
        <v/>
      </c>
      <c r="G1995" s="29">
        <f>VLOOKUP(A1995,Calendar!$A$1:$H$9997,6,FALSE)-F1995</f>
        <v/>
      </c>
      <c r="H1995" s="19" t="n">
        <v>3</v>
      </c>
      <c r="I1995" s="57" t="n">
        <v>6</v>
      </c>
    </row>
    <row r="1996">
      <c r="A1996" s="62" t="n">
        <v>47011</v>
      </c>
      <c r="B1996" s="3" t="inlineStr">
        <is>
          <t>Week</t>
        </is>
      </c>
      <c r="C1996" s="19" t="n">
        <v>9</v>
      </c>
      <c r="D1996" s="19" t="n">
        <v>2028</v>
      </c>
      <c r="E1996" s="57" t="n">
        <v>2</v>
      </c>
      <c r="F1996" s="29">
        <f>ROUND(((SUMIFS(Calendar!$F$2:$F$9997,Calendar!$B$2:$B$9997,D1996,Calendar!$C$2:$C$9997,C1996)*INDEX(ForeCalc!$B$37:$Y$274,MATCH(_xlfn.CONCAT(H1996," ",I1996),ForeCalc!$A$37:$A$274,0),MATCH(_xlfn.CONCAT(B1996," ",E1996),ForeCalc!$B$36:$Y$36,0))))*VLOOKUP(A1996,Calendar!$A$2:$H$9997,8,FALSE),0)</f>
        <v/>
      </c>
      <c r="G1996" s="29">
        <f>VLOOKUP(A1996,Calendar!$A$1:$H$9997,6,FALSE)-F1996</f>
        <v/>
      </c>
      <c r="H1996" s="19" t="n">
        <v>3</v>
      </c>
      <c r="I1996" s="57" t="n">
        <v>6</v>
      </c>
    </row>
    <row r="1997">
      <c r="A1997" s="62" t="n">
        <v>47012</v>
      </c>
      <c r="B1997" s="3" t="inlineStr">
        <is>
          <t>Sat</t>
        </is>
      </c>
      <c r="C1997" s="19" t="n">
        <v>9</v>
      </c>
      <c r="D1997" s="19" t="n">
        <v>2028</v>
      </c>
      <c r="E1997" s="57" t="n">
        <v>2</v>
      </c>
      <c r="F1997" s="29">
        <f>ROUND(((SUMIFS(Calendar!$F$2:$F$9997,Calendar!$B$2:$B$9997,D1997,Calendar!$C$2:$C$9997,C1997)*INDEX(ForeCalc!$B$37:$Y$274,MATCH(_xlfn.CONCAT(H1997," ",I1997),ForeCalc!$A$37:$A$274,0),MATCH(_xlfn.CONCAT(B1997," ",E1997),ForeCalc!$B$36:$Y$36,0))))*VLOOKUP(A1997,Calendar!$A$2:$H$9997,8,FALSE),0)</f>
        <v/>
      </c>
      <c r="G1997" s="29">
        <f>VLOOKUP(A1997,Calendar!$A$1:$H$9997,6,FALSE)-F1997</f>
        <v/>
      </c>
      <c r="H1997" s="19" t="n">
        <v>3</v>
      </c>
      <c r="I1997" s="57" t="n">
        <v>6</v>
      </c>
    </row>
    <row r="1998">
      <c r="A1998" s="62" t="n">
        <v>47013</v>
      </c>
      <c r="B1998" s="3" t="inlineStr">
        <is>
          <t>Sun</t>
        </is>
      </c>
      <c r="C1998" s="19" t="n">
        <v>9</v>
      </c>
      <c r="D1998" s="19" t="n">
        <v>2028</v>
      </c>
      <c r="E1998" s="57" t="n">
        <v>2</v>
      </c>
      <c r="F1998" s="29">
        <f>ROUND(((SUMIFS(Calendar!$F$2:$F$9997,Calendar!$B$2:$B$9997,D1998,Calendar!$C$2:$C$9997,C1998)*INDEX(ForeCalc!$B$37:$Y$274,MATCH(_xlfn.CONCAT(H1998," ",I1998),ForeCalc!$A$37:$A$274,0),MATCH(_xlfn.CONCAT(B1998," ",E1998),ForeCalc!$B$36:$Y$36,0))))*VLOOKUP(A1998,Calendar!$A$2:$H$9997,8,FALSE),0)</f>
        <v/>
      </c>
      <c r="G1998" s="29">
        <f>VLOOKUP(A1998,Calendar!$A$1:$H$9997,6,FALSE)-F1998</f>
        <v/>
      </c>
      <c r="H1998" s="19" t="n">
        <v>3</v>
      </c>
      <c r="I1998" s="57" t="n">
        <v>6</v>
      </c>
    </row>
    <row r="1999">
      <c r="A1999" s="62" t="n">
        <v>47014</v>
      </c>
      <c r="B1999" s="3" t="inlineStr">
        <is>
          <t>Week</t>
        </is>
      </c>
      <c r="C1999" s="19" t="n">
        <v>9</v>
      </c>
      <c r="D1999" s="19" t="n">
        <v>2028</v>
      </c>
      <c r="E1999" s="57" t="n">
        <v>2</v>
      </c>
      <c r="F1999" s="29">
        <f>ROUND(((SUMIFS(Calendar!$F$2:$F$9997,Calendar!$B$2:$B$9997,D1999,Calendar!$C$2:$C$9997,C1999)*INDEX(ForeCalc!$B$37:$Y$274,MATCH(_xlfn.CONCAT(H1999," ",I1999),ForeCalc!$A$37:$A$274,0),MATCH(_xlfn.CONCAT(B1999," ",E1999),ForeCalc!$B$36:$Y$36,0))))*VLOOKUP(A1999,Calendar!$A$2:$H$9997,8,FALSE),0)</f>
        <v/>
      </c>
      <c r="G1999" s="29">
        <f>VLOOKUP(A1999,Calendar!$A$1:$H$9997,6,FALSE)-F1999</f>
        <v/>
      </c>
      <c r="H1999" s="19" t="n">
        <v>3</v>
      </c>
      <c r="I1999" s="57" t="n">
        <v>6</v>
      </c>
    </row>
    <row r="2000">
      <c r="A2000" s="62" t="n">
        <v>47015</v>
      </c>
      <c r="B2000" s="3" t="inlineStr">
        <is>
          <t>Week</t>
        </is>
      </c>
      <c r="C2000" s="19" t="n">
        <v>9</v>
      </c>
      <c r="D2000" s="19" t="n">
        <v>2028</v>
      </c>
      <c r="E2000" s="57" t="n">
        <v>2</v>
      </c>
      <c r="F2000" s="29">
        <f>ROUND(((SUMIFS(Calendar!$F$2:$F$9997,Calendar!$B$2:$B$9997,D2000,Calendar!$C$2:$C$9997,C2000)*INDEX(ForeCalc!$B$37:$Y$274,MATCH(_xlfn.CONCAT(H2000," ",I2000),ForeCalc!$A$37:$A$274,0),MATCH(_xlfn.CONCAT(B2000," ",E2000),ForeCalc!$B$36:$Y$36,0))))*VLOOKUP(A2000,Calendar!$A$2:$H$9997,8,FALSE),0)</f>
        <v/>
      </c>
      <c r="G2000" s="29">
        <f>VLOOKUP(A2000,Calendar!$A$1:$H$9997,6,FALSE)-F2000</f>
        <v/>
      </c>
      <c r="H2000" s="19" t="n">
        <v>3</v>
      </c>
      <c r="I2000" s="57" t="n">
        <v>6</v>
      </c>
    </row>
    <row r="2001">
      <c r="A2001" s="62" t="n">
        <v>47016</v>
      </c>
      <c r="B2001" s="3" t="inlineStr">
        <is>
          <t>Week</t>
        </is>
      </c>
      <c r="C2001" s="19" t="n">
        <v>9</v>
      </c>
      <c r="D2001" s="19" t="n">
        <v>2028</v>
      </c>
      <c r="E2001" s="57" t="n">
        <v>2</v>
      </c>
      <c r="F2001" s="29">
        <f>ROUND(((SUMIFS(Calendar!$F$2:$F$9997,Calendar!$B$2:$B$9997,D2001,Calendar!$C$2:$C$9997,C2001)*INDEX(ForeCalc!$B$37:$Y$274,MATCH(_xlfn.CONCAT(H2001," ",I2001),ForeCalc!$A$37:$A$274,0),MATCH(_xlfn.CONCAT(B2001," ",E2001),ForeCalc!$B$36:$Y$36,0))))*VLOOKUP(A2001,Calendar!$A$2:$H$9997,8,FALSE),0)</f>
        <v/>
      </c>
      <c r="G2001" s="29">
        <f>VLOOKUP(A2001,Calendar!$A$1:$H$9997,6,FALSE)-F2001</f>
        <v/>
      </c>
      <c r="H2001" s="19" t="n">
        <v>3</v>
      </c>
      <c r="I2001" s="57" t="n">
        <v>6</v>
      </c>
    </row>
    <row r="2002">
      <c r="A2002" s="62" t="n">
        <v>47017</v>
      </c>
      <c r="B2002" s="3" t="inlineStr">
        <is>
          <t>Week</t>
        </is>
      </c>
      <c r="C2002" s="19" t="n">
        <v>9</v>
      </c>
      <c r="D2002" s="19" t="n">
        <v>2028</v>
      </c>
      <c r="E2002" s="57" t="n">
        <v>2</v>
      </c>
      <c r="F2002" s="29">
        <f>ROUND(((SUMIFS(Calendar!$F$2:$F$9997,Calendar!$B$2:$B$9997,D2002,Calendar!$C$2:$C$9997,C2002)*INDEX(ForeCalc!$B$37:$Y$274,MATCH(_xlfn.CONCAT(H2002," ",I2002),ForeCalc!$A$37:$A$274,0),MATCH(_xlfn.CONCAT(B2002," ",E2002),ForeCalc!$B$36:$Y$36,0))))*VLOOKUP(A2002,Calendar!$A$2:$H$9997,8,FALSE),0)</f>
        <v/>
      </c>
      <c r="G2002" s="29">
        <f>VLOOKUP(A2002,Calendar!$A$1:$H$9997,6,FALSE)-F2002</f>
        <v/>
      </c>
      <c r="H2002" s="19" t="n">
        <v>3</v>
      </c>
      <c r="I2002" s="57" t="n">
        <v>6</v>
      </c>
    </row>
    <row r="2003">
      <c r="A2003" s="62" t="n">
        <v>47018</v>
      </c>
      <c r="B2003" s="3" t="inlineStr">
        <is>
          <t>Week</t>
        </is>
      </c>
      <c r="C2003" s="19" t="n">
        <v>9</v>
      </c>
      <c r="D2003" s="19" t="n">
        <v>2028</v>
      </c>
      <c r="E2003" s="57" t="n">
        <v>2</v>
      </c>
      <c r="F2003" s="29">
        <f>ROUND(((SUMIFS(Calendar!$F$2:$F$9997,Calendar!$B$2:$B$9997,D2003,Calendar!$C$2:$C$9997,C2003)*INDEX(ForeCalc!$B$37:$Y$274,MATCH(_xlfn.CONCAT(H2003," ",I2003),ForeCalc!$A$37:$A$274,0),MATCH(_xlfn.CONCAT(B2003," ",E2003),ForeCalc!$B$36:$Y$36,0))))*VLOOKUP(A2003,Calendar!$A$2:$H$9997,8,FALSE),0)</f>
        <v/>
      </c>
      <c r="G2003" s="29">
        <f>VLOOKUP(A2003,Calendar!$A$1:$H$9997,6,FALSE)-F2003</f>
        <v/>
      </c>
      <c r="H2003" s="19" t="n">
        <v>3</v>
      </c>
      <c r="I2003" s="57" t="n">
        <v>6</v>
      </c>
    </row>
    <row r="2004">
      <c r="A2004" s="62" t="n">
        <v>47019</v>
      </c>
      <c r="B2004" s="3" t="inlineStr">
        <is>
          <t>Sat</t>
        </is>
      </c>
      <c r="C2004" s="19" t="n">
        <v>9</v>
      </c>
      <c r="D2004" s="19" t="n">
        <v>2028</v>
      </c>
      <c r="E2004" s="57" t="n">
        <v>2</v>
      </c>
      <c r="F2004" s="29">
        <f>ROUND(((SUMIFS(Calendar!$F$2:$F$9997,Calendar!$B$2:$B$9997,D2004,Calendar!$C$2:$C$9997,C2004)*INDEX(ForeCalc!$B$37:$Y$274,MATCH(_xlfn.CONCAT(H2004," ",I2004),ForeCalc!$A$37:$A$274,0),MATCH(_xlfn.CONCAT(B2004," ",E2004),ForeCalc!$B$36:$Y$36,0))))*VLOOKUP(A2004,Calendar!$A$2:$H$9997,8,FALSE),0)</f>
        <v/>
      </c>
      <c r="G2004" s="29">
        <f>VLOOKUP(A2004,Calendar!$A$1:$H$9997,6,FALSE)-F2004</f>
        <v/>
      </c>
      <c r="H2004" s="19" t="n">
        <v>3</v>
      </c>
      <c r="I2004" s="57" t="n">
        <v>6</v>
      </c>
    </row>
    <row r="2005">
      <c r="A2005" s="62" t="n">
        <v>47020</v>
      </c>
      <c r="B2005" s="3" t="inlineStr">
        <is>
          <t>Sun</t>
        </is>
      </c>
      <c r="C2005" s="19" t="n">
        <v>9</v>
      </c>
      <c r="D2005" s="19" t="n">
        <v>2028</v>
      </c>
      <c r="E2005" s="57" t="n">
        <v>2</v>
      </c>
      <c r="F2005" s="29">
        <f>ROUND(((SUMIFS(Calendar!$F$2:$F$9997,Calendar!$B$2:$B$9997,D2005,Calendar!$C$2:$C$9997,C2005)*INDEX(ForeCalc!$B$37:$Y$274,MATCH(_xlfn.CONCAT(H2005," ",I2005),ForeCalc!$A$37:$A$274,0),MATCH(_xlfn.CONCAT(B2005," ",E2005),ForeCalc!$B$36:$Y$36,0))))*VLOOKUP(A2005,Calendar!$A$2:$H$9997,8,FALSE),0)</f>
        <v/>
      </c>
      <c r="G2005" s="29">
        <f>VLOOKUP(A2005,Calendar!$A$1:$H$9997,6,FALSE)-F2005</f>
        <v/>
      </c>
      <c r="H2005" s="19" t="n">
        <v>3</v>
      </c>
      <c r="I2005" s="57" t="n">
        <v>6</v>
      </c>
    </row>
    <row r="2006">
      <c r="A2006" s="62" t="n">
        <v>47021</v>
      </c>
      <c r="B2006" s="3" t="inlineStr">
        <is>
          <t>Week</t>
        </is>
      </c>
      <c r="C2006" s="19" t="n">
        <v>9</v>
      </c>
      <c r="D2006" s="19" t="n">
        <v>2028</v>
      </c>
      <c r="E2006" s="57" t="n">
        <v>2</v>
      </c>
      <c r="F2006" s="29">
        <f>ROUND(((SUMIFS(Calendar!$F$2:$F$9997,Calendar!$B$2:$B$9997,D2006,Calendar!$C$2:$C$9997,C2006)*INDEX(ForeCalc!$B$37:$Y$274,MATCH(_xlfn.CONCAT(H2006," ",I2006),ForeCalc!$A$37:$A$274,0),MATCH(_xlfn.CONCAT(B2006," ",E2006),ForeCalc!$B$36:$Y$36,0))))*VLOOKUP(A2006,Calendar!$A$2:$H$9997,8,FALSE),0)</f>
        <v/>
      </c>
      <c r="G2006" s="29">
        <f>VLOOKUP(A2006,Calendar!$A$1:$H$9997,6,FALSE)-F2006</f>
        <v/>
      </c>
      <c r="H2006" s="19" t="n">
        <v>3</v>
      </c>
      <c r="I2006" s="57" t="n">
        <v>6</v>
      </c>
    </row>
    <row r="2007">
      <c r="A2007" s="62" t="n">
        <v>47022</v>
      </c>
      <c r="B2007" s="3" t="inlineStr">
        <is>
          <t>Week</t>
        </is>
      </c>
      <c r="C2007" s="19" t="n">
        <v>9</v>
      </c>
      <c r="D2007" s="19" t="n">
        <v>2028</v>
      </c>
      <c r="E2007" s="57" t="n">
        <v>2</v>
      </c>
      <c r="F2007" s="29">
        <f>ROUND(((SUMIFS(Calendar!$F$2:$F$9997,Calendar!$B$2:$B$9997,D2007,Calendar!$C$2:$C$9997,C2007)*INDEX(ForeCalc!$B$37:$Y$274,MATCH(_xlfn.CONCAT(H2007," ",I2007),ForeCalc!$A$37:$A$274,0),MATCH(_xlfn.CONCAT(B2007," ",E2007),ForeCalc!$B$36:$Y$36,0))))*VLOOKUP(A2007,Calendar!$A$2:$H$9997,8,FALSE),0)</f>
        <v/>
      </c>
      <c r="G2007" s="29">
        <f>VLOOKUP(A2007,Calendar!$A$1:$H$9997,6,FALSE)-F2007</f>
        <v/>
      </c>
      <c r="H2007" s="19" t="n">
        <v>3</v>
      </c>
      <c r="I2007" s="57" t="n">
        <v>6</v>
      </c>
    </row>
    <row r="2008">
      <c r="A2008" s="62" t="n">
        <v>47023</v>
      </c>
      <c r="B2008" s="3" t="inlineStr">
        <is>
          <t>Week</t>
        </is>
      </c>
      <c r="C2008" s="19" t="n">
        <v>9</v>
      </c>
      <c r="D2008" s="19" t="n">
        <v>2028</v>
      </c>
      <c r="E2008" s="57" t="n">
        <v>2</v>
      </c>
      <c r="F2008" s="29">
        <f>ROUND(((SUMIFS(Calendar!$F$2:$F$9997,Calendar!$B$2:$B$9997,D2008,Calendar!$C$2:$C$9997,C2008)*INDEX(ForeCalc!$B$37:$Y$274,MATCH(_xlfn.CONCAT(H2008," ",I2008),ForeCalc!$A$37:$A$274,0),MATCH(_xlfn.CONCAT(B2008," ",E2008),ForeCalc!$B$36:$Y$36,0))))*VLOOKUP(A2008,Calendar!$A$2:$H$9997,8,FALSE),0)</f>
        <v/>
      </c>
      <c r="G2008" s="29">
        <f>VLOOKUP(A2008,Calendar!$A$1:$H$9997,6,FALSE)-F2008</f>
        <v/>
      </c>
      <c r="H2008" s="19" t="n">
        <v>3</v>
      </c>
      <c r="I2008" s="57" t="n">
        <v>6</v>
      </c>
    </row>
    <row r="2009">
      <c r="A2009" s="62" t="n">
        <v>47024</v>
      </c>
      <c r="B2009" s="3" t="inlineStr">
        <is>
          <t>Week</t>
        </is>
      </c>
      <c r="C2009" s="19" t="n">
        <v>9</v>
      </c>
      <c r="D2009" s="19" t="n">
        <v>2028</v>
      </c>
      <c r="E2009" s="57" t="n">
        <v>2</v>
      </c>
      <c r="F2009" s="29">
        <f>ROUND(((SUMIFS(Calendar!$F$2:$F$9997,Calendar!$B$2:$B$9997,D2009,Calendar!$C$2:$C$9997,C2009)*INDEX(ForeCalc!$B$37:$Y$274,MATCH(_xlfn.CONCAT(H2009," ",I2009),ForeCalc!$A$37:$A$274,0),MATCH(_xlfn.CONCAT(B2009," ",E2009),ForeCalc!$B$36:$Y$36,0))))*VLOOKUP(A2009,Calendar!$A$2:$H$9997,8,FALSE),0)</f>
        <v/>
      </c>
      <c r="G2009" s="29">
        <f>VLOOKUP(A2009,Calendar!$A$1:$H$9997,6,FALSE)-F2009</f>
        <v/>
      </c>
      <c r="H2009" s="19" t="n">
        <v>3</v>
      </c>
      <c r="I2009" s="57" t="n">
        <v>6</v>
      </c>
    </row>
    <row r="2010">
      <c r="A2010" s="62" t="n">
        <v>47025</v>
      </c>
      <c r="B2010" s="3" t="inlineStr">
        <is>
          <t>Week</t>
        </is>
      </c>
      <c r="C2010" s="19" t="n">
        <v>9</v>
      </c>
      <c r="D2010" s="19" t="n">
        <v>2028</v>
      </c>
      <c r="E2010" s="57" t="n">
        <v>2</v>
      </c>
      <c r="F2010" s="29">
        <f>ROUND(((SUMIFS(Calendar!$F$2:$F$9997,Calendar!$B$2:$B$9997,D2010,Calendar!$C$2:$C$9997,C2010)*INDEX(ForeCalc!$B$37:$Y$274,MATCH(_xlfn.CONCAT(H2010," ",I2010),ForeCalc!$A$37:$A$274,0),MATCH(_xlfn.CONCAT(B2010," ",E2010),ForeCalc!$B$36:$Y$36,0))))*VLOOKUP(A2010,Calendar!$A$2:$H$9997,8,FALSE),0)</f>
        <v/>
      </c>
      <c r="G2010" s="29">
        <f>VLOOKUP(A2010,Calendar!$A$1:$H$9997,6,FALSE)-F2010</f>
        <v/>
      </c>
      <c r="H2010" s="19" t="n">
        <v>3</v>
      </c>
      <c r="I2010" s="57" t="n">
        <v>6</v>
      </c>
    </row>
    <row r="2011">
      <c r="A2011" s="62" t="n">
        <v>47026</v>
      </c>
      <c r="B2011" s="3" t="inlineStr">
        <is>
          <t>Sat</t>
        </is>
      </c>
      <c r="C2011" s="19" t="n">
        <v>9</v>
      </c>
      <c r="D2011" s="19" t="n">
        <v>2028</v>
      </c>
      <c r="E2011" s="57" t="n">
        <v>2</v>
      </c>
      <c r="F2011" s="29">
        <f>ROUND(((SUMIFS(Calendar!$F$2:$F$9997,Calendar!$B$2:$B$9997,D2011,Calendar!$C$2:$C$9997,C2011)*INDEX(ForeCalc!$B$37:$Y$274,MATCH(_xlfn.CONCAT(H2011," ",I2011),ForeCalc!$A$37:$A$274,0),MATCH(_xlfn.CONCAT(B2011," ",E2011),ForeCalc!$B$36:$Y$36,0))))*VLOOKUP(A2011,Calendar!$A$2:$H$9997,8,FALSE),0)</f>
        <v/>
      </c>
      <c r="G2011" s="29">
        <f>VLOOKUP(A2011,Calendar!$A$1:$H$9997,6,FALSE)-F2011</f>
        <v/>
      </c>
      <c r="H2011" s="19" t="n">
        <v>3</v>
      </c>
      <c r="I2011" s="57" t="n">
        <v>6</v>
      </c>
    </row>
    <row r="2012">
      <c r="A2012" s="62" t="n">
        <v>47027</v>
      </c>
      <c r="B2012" s="3" t="inlineStr">
        <is>
          <t>Sun</t>
        </is>
      </c>
      <c r="C2012" s="19" t="n">
        <v>10</v>
      </c>
      <c r="D2012" s="19" t="n">
        <v>2028</v>
      </c>
      <c r="E2012" s="57" t="n">
        <v>2</v>
      </c>
      <c r="F2012" s="29">
        <f>ROUND(((SUMIFS(Calendar!$F$2:$F$9997,Calendar!$B$2:$B$9997,D2012,Calendar!$C$2:$C$9997,C2012)*INDEX(ForeCalc!$B$37:$Y$274,MATCH(_xlfn.CONCAT(H2012," ",I2012),ForeCalc!$A$37:$A$274,0),MATCH(_xlfn.CONCAT(B2012," ",E2012),ForeCalc!$B$36:$Y$36,0))))*VLOOKUP(A2012,Calendar!$A$2:$H$9997,8,FALSE),0)</f>
        <v/>
      </c>
      <c r="G2012" s="29">
        <f>VLOOKUP(A2012,Calendar!$A$1:$H$9997,6,FALSE)-F2012</f>
        <v/>
      </c>
      <c r="H2012" s="19" t="n">
        <v>3</v>
      </c>
      <c r="I2012" s="57" t="n">
        <v>7</v>
      </c>
    </row>
    <row r="2013">
      <c r="A2013" s="62" t="n">
        <v>47028</v>
      </c>
      <c r="B2013" s="3" t="inlineStr">
        <is>
          <t>Week</t>
        </is>
      </c>
      <c r="C2013" s="19" t="n">
        <v>10</v>
      </c>
      <c r="D2013" s="19" t="n">
        <v>2028</v>
      </c>
      <c r="E2013" s="57" t="n">
        <v>2</v>
      </c>
      <c r="F2013" s="29">
        <f>ROUND(((SUMIFS(Calendar!$F$2:$F$9997,Calendar!$B$2:$B$9997,D2013,Calendar!$C$2:$C$9997,C2013)*INDEX(ForeCalc!$B$37:$Y$274,MATCH(_xlfn.CONCAT(H2013," ",I2013),ForeCalc!$A$37:$A$274,0),MATCH(_xlfn.CONCAT(B2013," ",E2013),ForeCalc!$B$36:$Y$36,0))))*VLOOKUP(A2013,Calendar!$A$2:$H$9997,8,FALSE),0)</f>
        <v/>
      </c>
      <c r="G2013" s="29">
        <f>VLOOKUP(A2013,Calendar!$A$1:$H$9997,6,FALSE)-F2013</f>
        <v/>
      </c>
      <c r="H2013" s="19" t="n">
        <v>3</v>
      </c>
      <c r="I2013" s="57" t="n">
        <v>7</v>
      </c>
    </row>
    <row r="2014">
      <c r="A2014" s="62" t="n">
        <v>47029</v>
      </c>
      <c r="B2014" s="3" t="inlineStr">
        <is>
          <t>Week</t>
        </is>
      </c>
      <c r="C2014" s="19" t="n">
        <v>10</v>
      </c>
      <c r="D2014" s="19" t="n">
        <v>2028</v>
      </c>
      <c r="E2014" s="57" t="n">
        <v>2</v>
      </c>
      <c r="F2014" s="29">
        <f>ROUND(((SUMIFS(Calendar!$F$2:$F$9997,Calendar!$B$2:$B$9997,D2014,Calendar!$C$2:$C$9997,C2014)*INDEX(ForeCalc!$B$37:$Y$274,MATCH(_xlfn.CONCAT(H2014," ",I2014),ForeCalc!$A$37:$A$274,0),MATCH(_xlfn.CONCAT(B2014," ",E2014),ForeCalc!$B$36:$Y$36,0))))*VLOOKUP(A2014,Calendar!$A$2:$H$9997,8,FALSE),0)</f>
        <v/>
      </c>
      <c r="G2014" s="29">
        <f>VLOOKUP(A2014,Calendar!$A$1:$H$9997,6,FALSE)-F2014</f>
        <v/>
      </c>
      <c r="H2014" s="19" t="n">
        <v>3</v>
      </c>
      <c r="I2014" s="57" t="n">
        <v>7</v>
      </c>
    </row>
    <row r="2015">
      <c r="A2015" s="62" t="n">
        <v>47030</v>
      </c>
      <c r="B2015" s="3" t="inlineStr">
        <is>
          <t>Week</t>
        </is>
      </c>
      <c r="C2015" s="19" t="n">
        <v>10</v>
      </c>
      <c r="D2015" s="19" t="n">
        <v>2028</v>
      </c>
      <c r="E2015" s="57" t="n">
        <v>2</v>
      </c>
      <c r="F2015" s="29">
        <f>ROUND(((SUMIFS(Calendar!$F$2:$F$9997,Calendar!$B$2:$B$9997,D2015,Calendar!$C$2:$C$9997,C2015)*INDEX(ForeCalc!$B$37:$Y$274,MATCH(_xlfn.CONCAT(H2015," ",I2015),ForeCalc!$A$37:$A$274,0),MATCH(_xlfn.CONCAT(B2015," ",E2015),ForeCalc!$B$36:$Y$36,0))))*VLOOKUP(A2015,Calendar!$A$2:$H$9997,8,FALSE),0)</f>
        <v/>
      </c>
      <c r="G2015" s="29">
        <f>VLOOKUP(A2015,Calendar!$A$1:$H$9997,6,FALSE)-F2015</f>
        <v/>
      </c>
      <c r="H2015" s="19" t="n">
        <v>3</v>
      </c>
      <c r="I2015" s="57" t="n">
        <v>7</v>
      </c>
    </row>
    <row r="2016">
      <c r="A2016" s="62" t="n">
        <v>47031</v>
      </c>
      <c r="B2016" s="3" t="inlineStr">
        <is>
          <t>Week</t>
        </is>
      </c>
      <c r="C2016" s="19" t="n">
        <v>10</v>
      </c>
      <c r="D2016" s="19" t="n">
        <v>2028</v>
      </c>
      <c r="E2016" s="57" t="n">
        <v>2</v>
      </c>
      <c r="F2016" s="29">
        <f>ROUND(((SUMIFS(Calendar!$F$2:$F$9997,Calendar!$B$2:$B$9997,D2016,Calendar!$C$2:$C$9997,C2016)*INDEX(ForeCalc!$B$37:$Y$274,MATCH(_xlfn.CONCAT(H2016," ",I2016),ForeCalc!$A$37:$A$274,0),MATCH(_xlfn.CONCAT(B2016," ",E2016),ForeCalc!$B$36:$Y$36,0))))*VLOOKUP(A2016,Calendar!$A$2:$H$9997,8,FALSE),0)</f>
        <v/>
      </c>
      <c r="G2016" s="29">
        <f>VLOOKUP(A2016,Calendar!$A$1:$H$9997,6,FALSE)-F2016</f>
        <v/>
      </c>
      <c r="H2016" s="19" t="n">
        <v>3</v>
      </c>
      <c r="I2016" s="57" t="n">
        <v>7</v>
      </c>
    </row>
    <row r="2017">
      <c r="A2017" s="62" t="n">
        <v>47032</v>
      </c>
      <c r="B2017" s="3" t="inlineStr">
        <is>
          <t>Week</t>
        </is>
      </c>
      <c r="C2017" s="19" t="n">
        <v>10</v>
      </c>
      <c r="D2017" s="19" t="n">
        <v>2028</v>
      </c>
      <c r="E2017" s="57" t="n">
        <v>2</v>
      </c>
      <c r="F2017" s="29">
        <f>ROUND(((SUMIFS(Calendar!$F$2:$F$9997,Calendar!$B$2:$B$9997,D2017,Calendar!$C$2:$C$9997,C2017)*INDEX(ForeCalc!$B$37:$Y$274,MATCH(_xlfn.CONCAT(H2017," ",I2017),ForeCalc!$A$37:$A$274,0),MATCH(_xlfn.CONCAT(B2017," ",E2017),ForeCalc!$B$36:$Y$36,0))))*VLOOKUP(A2017,Calendar!$A$2:$H$9997,8,FALSE),0)</f>
        <v/>
      </c>
      <c r="G2017" s="29">
        <f>VLOOKUP(A2017,Calendar!$A$1:$H$9997,6,FALSE)-F2017</f>
        <v/>
      </c>
      <c r="H2017" s="19" t="n">
        <v>3</v>
      </c>
      <c r="I2017" s="57" t="n">
        <v>7</v>
      </c>
    </row>
    <row r="2018">
      <c r="A2018" s="62" t="n">
        <v>47033</v>
      </c>
      <c r="B2018" s="3" t="inlineStr">
        <is>
          <t>Sat</t>
        </is>
      </c>
      <c r="C2018" s="19" t="n">
        <v>10</v>
      </c>
      <c r="D2018" s="19" t="n">
        <v>2028</v>
      </c>
      <c r="E2018" s="57" t="n">
        <v>2</v>
      </c>
      <c r="F2018" s="29">
        <f>ROUND(((SUMIFS(Calendar!$F$2:$F$9997,Calendar!$B$2:$B$9997,D2018,Calendar!$C$2:$C$9997,C2018)*INDEX(ForeCalc!$B$37:$Y$274,MATCH(_xlfn.CONCAT(H2018," ",I2018),ForeCalc!$A$37:$A$274,0),MATCH(_xlfn.CONCAT(B2018," ",E2018),ForeCalc!$B$36:$Y$36,0))))*VLOOKUP(A2018,Calendar!$A$2:$H$9997,8,FALSE),0)</f>
        <v/>
      </c>
      <c r="G2018" s="29">
        <f>VLOOKUP(A2018,Calendar!$A$1:$H$9997,6,FALSE)-F2018</f>
        <v/>
      </c>
      <c r="H2018" s="19" t="n">
        <v>3</v>
      </c>
      <c r="I2018" s="57" t="n">
        <v>7</v>
      </c>
    </row>
    <row r="2019">
      <c r="A2019" s="62" t="n">
        <v>47034</v>
      </c>
      <c r="B2019" s="3" t="inlineStr">
        <is>
          <t>Sun</t>
        </is>
      </c>
      <c r="C2019" s="19" t="n">
        <v>10</v>
      </c>
      <c r="D2019" s="19" t="n">
        <v>2028</v>
      </c>
      <c r="E2019" s="57" t="n">
        <v>2</v>
      </c>
      <c r="F2019" s="29">
        <f>ROUND(((SUMIFS(Calendar!$F$2:$F$9997,Calendar!$B$2:$B$9997,D2019,Calendar!$C$2:$C$9997,C2019)*INDEX(ForeCalc!$B$37:$Y$274,MATCH(_xlfn.CONCAT(H2019," ",I2019),ForeCalc!$A$37:$A$274,0),MATCH(_xlfn.CONCAT(B2019," ",E2019),ForeCalc!$B$36:$Y$36,0))))*VLOOKUP(A2019,Calendar!$A$2:$H$9997,8,FALSE),0)</f>
        <v/>
      </c>
      <c r="G2019" s="29">
        <f>VLOOKUP(A2019,Calendar!$A$1:$H$9997,6,FALSE)-F2019</f>
        <v/>
      </c>
      <c r="H2019" s="19" t="n">
        <v>3</v>
      </c>
      <c r="I2019" s="57" t="n">
        <v>7</v>
      </c>
    </row>
    <row r="2020">
      <c r="A2020" s="62" t="n">
        <v>47035</v>
      </c>
      <c r="B2020" s="3" t="inlineStr">
        <is>
          <t>Week</t>
        </is>
      </c>
      <c r="C2020" s="19" t="n">
        <v>10</v>
      </c>
      <c r="D2020" s="19" t="n">
        <v>2028</v>
      </c>
      <c r="E2020" s="57" t="n">
        <v>2</v>
      </c>
      <c r="F2020" s="29">
        <f>ROUND(((SUMIFS(Calendar!$F$2:$F$9997,Calendar!$B$2:$B$9997,D2020,Calendar!$C$2:$C$9997,C2020)*INDEX(ForeCalc!$B$37:$Y$274,MATCH(_xlfn.CONCAT(H2020," ",I2020),ForeCalc!$A$37:$A$274,0),MATCH(_xlfn.CONCAT(B2020," ",E2020),ForeCalc!$B$36:$Y$36,0))))*VLOOKUP(A2020,Calendar!$A$2:$H$9997,8,FALSE),0)</f>
        <v/>
      </c>
      <c r="G2020" s="29">
        <f>VLOOKUP(A2020,Calendar!$A$1:$H$9997,6,FALSE)-F2020</f>
        <v/>
      </c>
      <c r="H2020" s="19" t="n">
        <v>3</v>
      </c>
      <c r="I2020" s="57" t="n">
        <v>7</v>
      </c>
    </row>
    <row r="2021">
      <c r="A2021" s="62" t="n">
        <v>47036</v>
      </c>
      <c r="B2021" s="3" t="inlineStr">
        <is>
          <t>Week</t>
        </is>
      </c>
      <c r="C2021" s="19" t="n">
        <v>10</v>
      </c>
      <c r="D2021" s="19" t="n">
        <v>2028</v>
      </c>
      <c r="E2021" s="57" t="n">
        <v>2</v>
      </c>
      <c r="F2021" s="29">
        <f>ROUND(((SUMIFS(Calendar!$F$2:$F$9997,Calendar!$B$2:$B$9997,D2021,Calendar!$C$2:$C$9997,C2021)*INDEX(ForeCalc!$B$37:$Y$274,MATCH(_xlfn.CONCAT(H2021," ",I2021),ForeCalc!$A$37:$A$274,0),MATCH(_xlfn.CONCAT(B2021," ",E2021),ForeCalc!$B$36:$Y$36,0))))*VLOOKUP(A2021,Calendar!$A$2:$H$9997,8,FALSE),0)</f>
        <v/>
      </c>
      <c r="G2021" s="29">
        <f>VLOOKUP(A2021,Calendar!$A$1:$H$9997,6,FALSE)-F2021</f>
        <v/>
      </c>
      <c r="H2021" s="19" t="n">
        <v>3</v>
      </c>
      <c r="I2021" s="57" t="n">
        <v>7</v>
      </c>
    </row>
    <row r="2022">
      <c r="A2022" s="62" t="n">
        <v>47037</v>
      </c>
      <c r="B2022" s="3" t="inlineStr">
        <is>
          <t>Week</t>
        </is>
      </c>
      <c r="C2022" s="19" t="n">
        <v>10</v>
      </c>
      <c r="D2022" s="19" t="n">
        <v>2028</v>
      </c>
      <c r="E2022" s="57" t="n">
        <v>2</v>
      </c>
      <c r="F2022" s="29">
        <f>ROUND(((SUMIFS(Calendar!$F$2:$F$9997,Calendar!$B$2:$B$9997,D2022,Calendar!$C$2:$C$9997,C2022)*INDEX(ForeCalc!$B$37:$Y$274,MATCH(_xlfn.CONCAT(H2022," ",I2022),ForeCalc!$A$37:$A$274,0),MATCH(_xlfn.CONCAT(B2022," ",E2022),ForeCalc!$B$36:$Y$36,0))))*VLOOKUP(A2022,Calendar!$A$2:$H$9997,8,FALSE),0)</f>
        <v/>
      </c>
      <c r="G2022" s="29">
        <f>VLOOKUP(A2022,Calendar!$A$1:$H$9997,6,FALSE)-F2022</f>
        <v/>
      </c>
      <c r="H2022" s="19" t="n">
        <v>3</v>
      </c>
      <c r="I2022" s="57" t="n">
        <v>7</v>
      </c>
    </row>
    <row r="2023">
      <c r="A2023" s="62" t="n">
        <v>47038</v>
      </c>
      <c r="B2023" s="3" t="inlineStr">
        <is>
          <t>Week</t>
        </is>
      </c>
      <c r="C2023" s="19" t="n">
        <v>10</v>
      </c>
      <c r="D2023" s="19" t="n">
        <v>2028</v>
      </c>
      <c r="E2023" s="57" t="n">
        <v>2</v>
      </c>
      <c r="F2023" s="29">
        <f>ROUND(((SUMIFS(Calendar!$F$2:$F$9997,Calendar!$B$2:$B$9997,D2023,Calendar!$C$2:$C$9997,C2023)*INDEX(ForeCalc!$B$37:$Y$274,MATCH(_xlfn.CONCAT(H2023," ",I2023),ForeCalc!$A$37:$A$274,0),MATCH(_xlfn.CONCAT(B2023," ",E2023),ForeCalc!$B$36:$Y$36,0))))*VLOOKUP(A2023,Calendar!$A$2:$H$9997,8,FALSE),0)</f>
        <v/>
      </c>
      <c r="G2023" s="29">
        <f>VLOOKUP(A2023,Calendar!$A$1:$H$9997,6,FALSE)-F2023</f>
        <v/>
      </c>
      <c r="H2023" s="19" t="n">
        <v>3</v>
      </c>
      <c r="I2023" s="57" t="n">
        <v>7</v>
      </c>
    </row>
    <row r="2024">
      <c r="A2024" s="62" t="n">
        <v>47039</v>
      </c>
      <c r="B2024" s="3" t="inlineStr">
        <is>
          <t>Week</t>
        </is>
      </c>
      <c r="C2024" s="19" t="n">
        <v>10</v>
      </c>
      <c r="D2024" s="19" t="n">
        <v>2028</v>
      </c>
      <c r="E2024" s="57" t="n">
        <v>2</v>
      </c>
      <c r="F2024" s="29">
        <f>ROUND(((SUMIFS(Calendar!$F$2:$F$9997,Calendar!$B$2:$B$9997,D2024,Calendar!$C$2:$C$9997,C2024)*INDEX(ForeCalc!$B$37:$Y$274,MATCH(_xlfn.CONCAT(H2024," ",I2024),ForeCalc!$A$37:$A$274,0),MATCH(_xlfn.CONCAT(B2024," ",E2024),ForeCalc!$B$36:$Y$36,0))))*VLOOKUP(A2024,Calendar!$A$2:$H$9997,8,FALSE),0)</f>
        <v/>
      </c>
      <c r="G2024" s="29">
        <f>VLOOKUP(A2024,Calendar!$A$1:$H$9997,6,FALSE)-F2024</f>
        <v/>
      </c>
      <c r="H2024" s="19" t="n">
        <v>3</v>
      </c>
      <c r="I2024" s="57" t="n">
        <v>7</v>
      </c>
    </row>
    <row r="2025">
      <c r="A2025" s="62" t="n">
        <v>47040</v>
      </c>
      <c r="B2025" s="3" t="inlineStr">
        <is>
          <t>Sat</t>
        </is>
      </c>
      <c r="C2025" s="19" t="n">
        <v>10</v>
      </c>
      <c r="D2025" s="19" t="n">
        <v>2028</v>
      </c>
      <c r="E2025" s="57" t="n">
        <v>2</v>
      </c>
      <c r="F2025" s="29">
        <f>ROUND(((SUMIFS(Calendar!$F$2:$F$9997,Calendar!$B$2:$B$9997,D2025,Calendar!$C$2:$C$9997,C2025)*INDEX(ForeCalc!$B$37:$Y$274,MATCH(_xlfn.CONCAT(H2025," ",I2025),ForeCalc!$A$37:$A$274,0),MATCH(_xlfn.CONCAT(B2025," ",E2025),ForeCalc!$B$36:$Y$36,0))))*VLOOKUP(A2025,Calendar!$A$2:$H$9997,8,FALSE),0)</f>
        <v/>
      </c>
      <c r="G2025" s="29">
        <f>VLOOKUP(A2025,Calendar!$A$1:$H$9997,6,FALSE)-F2025</f>
        <v/>
      </c>
      <c r="H2025" s="19" t="n">
        <v>3</v>
      </c>
      <c r="I2025" s="57" t="n">
        <v>7</v>
      </c>
    </row>
    <row r="2026">
      <c r="A2026" s="62" t="n">
        <v>47041</v>
      </c>
      <c r="B2026" s="3" t="inlineStr">
        <is>
          <t>Sun</t>
        </is>
      </c>
      <c r="C2026" s="19" t="n">
        <v>10</v>
      </c>
      <c r="D2026" s="19" t="n">
        <v>2028</v>
      </c>
      <c r="E2026" s="57" t="n">
        <v>2</v>
      </c>
      <c r="F2026" s="29">
        <f>ROUND(((SUMIFS(Calendar!$F$2:$F$9997,Calendar!$B$2:$B$9997,D2026,Calendar!$C$2:$C$9997,C2026)*INDEX(ForeCalc!$B$37:$Y$274,MATCH(_xlfn.CONCAT(H2026," ",I2026),ForeCalc!$A$37:$A$274,0),MATCH(_xlfn.CONCAT(B2026," ",E2026),ForeCalc!$B$36:$Y$36,0))))*VLOOKUP(A2026,Calendar!$A$2:$H$9997,8,FALSE),0)</f>
        <v/>
      </c>
      <c r="G2026" s="29">
        <f>VLOOKUP(A2026,Calendar!$A$1:$H$9997,6,FALSE)-F2026</f>
        <v/>
      </c>
      <c r="H2026" s="19" t="n">
        <v>3</v>
      </c>
      <c r="I2026" s="57" t="n">
        <v>7</v>
      </c>
    </row>
    <row r="2027">
      <c r="A2027" s="62" t="n">
        <v>47042</v>
      </c>
      <c r="B2027" s="3" t="inlineStr">
        <is>
          <t>Week</t>
        </is>
      </c>
      <c r="C2027" s="19" t="n">
        <v>10</v>
      </c>
      <c r="D2027" s="19" t="n">
        <v>2028</v>
      </c>
      <c r="E2027" s="57" t="n">
        <v>2</v>
      </c>
      <c r="F2027" s="29">
        <f>ROUND(((SUMIFS(Calendar!$F$2:$F$9997,Calendar!$B$2:$B$9997,D2027,Calendar!$C$2:$C$9997,C2027)*INDEX(ForeCalc!$B$37:$Y$274,MATCH(_xlfn.CONCAT(H2027," ",I2027),ForeCalc!$A$37:$A$274,0),MATCH(_xlfn.CONCAT(B2027," ",E2027),ForeCalc!$B$36:$Y$36,0))))*VLOOKUP(A2027,Calendar!$A$2:$H$9997,8,FALSE),0)</f>
        <v/>
      </c>
      <c r="G2027" s="29">
        <f>VLOOKUP(A2027,Calendar!$A$1:$H$9997,6,FALSE)-F2027</f>
        <v/>
      </c>
      <c r="H2027" s="19" t="n">
        <v>3</v>
      </c>
      <c r="I2027" s="57" t="n">
        <v>7</v>
      </c>
    </row>
    <row r="2028">
      <c r="A2028" s="62" t="n">
        <v>47043</v>
      </c>
      <c r="B2028" s="3" t="inlineStr">
        <is>
          <t>Week</t>
        </is>
      </c>
      <c r="C2028" s="19" t="n">
        <v>10</v>
      </c>
      <c r="D2028" s="19" t="n">
        <v>2028</v>
      </c>
      <c r="E2028" s="57" t="n">
        <v>2</v>
      </c>
      <c r="F2028" s="29">
        <f>ROUND(((SUMIFS(Calendar!$F$2:$F$9997,Calendar!$B$2:$B$9997,D2028,Calendar!$C$2:$C$9997,C2028)*INDEX(ForeCalc!$B$37:$Y$274,MATCH(_xlfn.CONCAT(H2028," ",I2028),ForeCalc!$A$37:$A$274,0),MATCH(_xlfn.CONCAT(B2028," ",E2028),ForeCalc!$B$36:$Y$36,0))))*VLOOKUP(A2028,Calendar!$A$2:$H$9997,8,FALSE),0)</f>
        <v/>
      </c>
      <c r="G2028" s="29">
        <f>VLOOKUP(A2028,Calendar!$A$1:$H$9997,6,FALSE)-F2028</f>
        <v/>
      </c>
      <c r="H2028" s="19" t="n">
        <v>3</v>
      </c>
      <c r="I2028" s="57" t="n">
        <v>7</v>
      </c>
    </row>
    <row r="2029">
      <c r="A2029" s="62" t="n">
        <v>47044</v>
      </c>
      <c r="B2029" s="3" t="inlineStr">
        <is>
          <t>Week</t>
        </is>
      </c>
      <c r="C2029" s="19" t="n">
        <v>10</v>
      </c>
      <c r="D2029" s="19" t="n">
        <v>2028</v>
      </c>
      <c r="E2029" s="57" t="n">
        <v>2</v>
      </c>
      <c r="F2029" s="29">
        <f>ROUND(((SUMIFS(Calendar!$F$2:$F$9997,Calendar!$B$2:$B$9997,D2029,Calendar!$C$2:$C$9997,C2029)*INDEX(ForeCalc!$B$37:$Y$274,MATCH(_xlfn.CONCAT(H2029," ",I2029),ForeCalc!$A$37:$A$274,0),MATCH(_xlfn.CONCAT(B2029," ",E2029),ForeCalc!$B$36:$Y$36,0))))*VLOOKUP(A2029,Calendar!$A$2:$H$9997,8,FALSE),0)</f>
        <v/>
      </c>
      <c r="G2029" s="29">
        <f>VLOOKUP(A2029,Calendar!$A$1:$H$9997,6,FALSE)-F2029</f>
        <v/>
      </c>
      <c r="H2029" s="19" t="n">
        <v>3</v>
      </c>
      <c r="I2029" s="57" t="n">
        <v>7</v>
      </c>
    </row>
    <row r="2030">
      <c r="A2030" s="62" t="n">
        <v>47045</v>
      </c>
      <c r="B2030" s="3" t="inlineStr">
        <is>
          <t>Week</t>
        </is>
      </c>
      <c r="C2030" s="19" t="n">
        <v>10</v>
      </c>
      <c r="D2030" s="19" t="n">
        <v>2028</v>
      </c>
      <c r="E2030" s="57" t="n">
        <v>2</v>
      </c>
      <c r="F2030" s="29">
        <f>ROUND(((SUMIFS(Calendar!$F$2:$F$9997,Calendar!$B$2:$B$9997,D2030,Calendar!$C$2:$C$9997,C2030)*INDEX(ForeCalc!$B$37:$Y$274,MATCH(_xlfn.CONCAT(H2030," ",I2030),ForeCalc!$A$37:$A$274,0),MATCH(_xlfn.CONCAT(B2030," ",E2030),ForeCalc!$B$36:$Y$36,0))))*VLOOKUP(A2030,Calendar!$A$2:$H$9997,8,FALSE),0)</f>
        <v/>
      </c>
      <c r="G2030" s="29">
        <f>VLOOKUP(A2030,Calendar!$A$1:$H$9997,6,FALSE)-F2030</f>
        <v/>
      </c>
      <c r="H2030" s="19" t="n">
        <v>3</v>
      </c>
      <c r="I2030" s="57" t="n">
        <v>7</v>
      </c>
    </row>
    <row r="2031">
      <c r="A2031" s="62" t="n">
        <v>47046</v>
      </c>
      <c r="B2031" s="3" t="inlineStr">
        <is>
          <t>Week</t>
        </is>
      </c>
      <c r="C2031" s="19" t="n">
        <v>10</v>
      </c>
      <c r="D2031" s="19" t="n">
        <v>2028</v>
      </c>
      <c r="E2031" s="57" t="n">
        <v>2</v>
      </c>
      <c r="F2031" s="29">
        <f>ROUND(((SUMIFS(Calendar!$F$2:$F$9997,Calendar!$B$2:$B$9997,D2031,Calendar!$C$2:$C$9997,C2031)*INDEX(ForeCalc!$B$37:$Y$274,MATCH(_xlfn.CONCAT(H2031," ",I2031),ForeCalc!$A$37:$A$274,0),MATCH(_xlfn.CONCAT(B2031," ",E2031),ForeCalc!$B$36:$Y$36,0))))*VLOOKUP(A2031,Calendar!$A$2:$H$9997,8,FALSE),0)</f>
        <v/>
      </c>
      <c r="G2031" s="29">
        <f>VLOOKUP(A2031,Calendar!$A$1:$H$9997,6,FALSE)-F2031</f>
        <v/>
      </c>
      <c r="H2031" s="19" t="n">
        <v>3</v>
      </c>
      <c r="I2031" s="57" t="n">
        <v>7</v>
      </c>
    </row>
    <row r="2032">
      <c r="A2032" s="62" t="n">
        <v>47047</v>
      </c>
      <c r="B2032" s="3" t="inlineStr">
        <is>
          <t>Sat</t>
        </is>
      </c>
      <c r="C2032" s="19" t="n">
        <v>10</v>
      </c>
      <c r="D2032" s="19" t="n">
        <v>2028</v>
      </c>
      <c r="E2032" s="57" t="n">
        <v>2</v>
      </c>
      <c r="F2032" s="29">
        <f>ROUND(((SUMIFS(Calendar!$F$2:$F$9997,Calendar!$B$2:$B$9997,D2032,Calendar!$C$2:$C$9997,C2032)*INDEX(ForeCalc!$B$37:$Y$274,MATCH(_xlfn.CONCAT(H2032," ",I2032),ForeCalc!$A$37:$A$274,0),MATCH(_xlfn.CONCAT(B2032," ",E2032),ForeCalc!$B$36:$Y$36,0))))*VLOOKUP(A2032,Calendar!$A$2:$H$9997,8,FALSE),0)</f>
        <v/>
      </c>
      <c r="G2032" s="29">
        <f>VLOOKUP(A2032,Calendar!$A$1:$H$9997,6,FALSE)-F2032</f>
        <v/>
      </c>
      <c r="H2032" s="19" t="n">
        <v>3</v>
      </c>
      <c r="I2032" s="57" t="n">
        <v>7</v>
      </c>
    </row>
    <row r="2033">
      <c r="A2033" s="62" t="n">
        <v>47048</v>
      </c>
      <c r="B2033" s="3" t="inlineStr">
        <is>
          <t>Sun</t>
        </is>
      </c>
      <c r="C2033" s="19" t="n">
        <v>10</v>
      </c>
      <c r="D2033" s="19" t="n">
        <v>2028</v>
      </c>
      <c r="E2033" s="57" t="n">
        <v>2</v>
      </c>
      <c r="F2033" s="29">
        <f>ROUND(((SUMIFS(Calendar!$F$2:$F$9997,Calendar!$B$2:$B$9997,D2033,Calendar!$C$2:$C$9997,C2033)*INDEX(ForeCalc!$B$37:$Y$274,MATCH(_xlfn.CONCAT(H2033," ",I2033),ForeCalc!$A$37:$A$274,0),MATCH(_xlfn.CONCAT(B2033," ",E2033),ForeCalc!$B$36:$Y$36,0))))*VLOOKUP(A2033,Calendar!$A$2:$H$9997,8,FALSE),0)</f>
        <v/>
      </c>
      <c r="G2033" s="29">
        <f>VLOOKUP(A2033,Calendar!$A$1:$H$9997,6,FALSE)-F2033</f>
        <v/>
      </c>
      <c r="H2033" s="19" t="n">
        <v>3</v>
      </c>
      <c r="I2033" s="57" t="n">
        <v>7</v>
      </c>
    </row>
    <row r="2034">
      <c r="A2034" s="62" t="n">
        <v>47049</v>
      </c>
      <c r="B2034" s="3" t="inlineStr">
        <is>
          <t>Week</t>
        </is>
      </c>
      <c r="C2034" s="19" t="n">
        <v>10</v>
      </c>
      <c r="D2034" s="19" t="n">
        <v>2028</v>
      </c>
      <c r="E2034" s="57" t="n">
        <v>2</v>
      </c>
      <c r="F2034" s="29">
        <f>ROUND(((SUMIFS(Calendar!$F$2:$F$9997,Calendar!$B$2:$B$9997,D2034,Calendar!$C$2:$C$9997,C2034)*INDEX(ForeCalc!$B$37:$Y$274,MATCH(_xlfn.CONCAT(H2034," ",I2034),ForeCalc!$A$37:$A$274,0),MATCH(_xlfn.CONCAT(B2034," ",E2034),ForeCalc!$B$36:$Y$36,0))))*VLOOKUP(A2034,Calendar!$A$2:$H$9997,8,FALSE),0)</f>
        <v/>
      </c>
      <c r="G2034" s="29">
        <f>VLOOKUP(A2034,Calendar!$A$1:$H$9997,6,FALSE)-F2034</f>
        <v/>
      </c>
      <c r="H2034" s="19" t="n">
        <v>3</v>
      </c>
      <c r="I2034" s="57" t="n">
        <v>7</v>
      </c>
    </row>
    <row r="2035">
      <c r="A2035" s="62" t="n">
        <v>47050</v>
      </c>
      <c r="B2035" s="3" t="inlineStr">
        <is>
          <t>Week</t>
        </is>
      </c>
      <c r="C2035" s="19" t="n">
        <v>10</v>
      </c>
      <c r="D2035" s="19" t="n">
        <v>2028</v>
      </c>
      <c r="E2035" s="57" t="n">
        <v>2</v>
      </c>
      <c r="F2035" s="29">
        <f>ROUND(((SUMIFS(Calendar!$F$2:$F$9997,Calendar!$B$2:$B$9997,D2035,Calendar!$C$2:$C$9997,C2035)*INDEX(ForeCalc!$B$37:$Y$274,MATCH(_xlfn.CONCAT(H2035," ",I2035),ForeCalc!$A$37:$A$274,0),MATCH(_xlfn.CONCAT(B2035," ",E2035),ForeCalc!$B$36:$Y$36,0))))*VLOOKUP(A2035,Calendar!$A$2:$H$9997,8,FALSE),0)</f>
        <v/>
      </c>
      <c r="G2035" s="29">
        <f>VLOOKUP(A2035,Calendar!$A$1:$H$9997,6,FALSE)-F2035</f>
        <v/>
      </c>
      <c r="H2035" s="19" t="n">
        <v>3</v>
      </c>
      <c r="I2035" s="57" t="n">
        <v>7</v>
      </c>
    </row>
    <row r="2036">
      <c r="A2036" s="62" t="n">
        <v>47051</v>
      </c>
      <c r="B2036" s="3" t="inlineStr">
        <is>
          <t>Week</t>
        </is>
      </c>
      <c r="C2036" s="19" t="n">
        <v>10</v>
      </c>
      <c r="D2036" s="19" t="n">
        <v>2028</v>
      </c>
      <c r="E2036" s="57" t="n">
        <v>2</v>
      </c>
      <c r="F2036" s="29">
        <f>ROUND(((SUMIFS(Calendar!$F$2:$F$9997,Calendar!$B$2:$B$9997,D2036,Calendar!$C$2:$C$9997,C2036)*INDEX(ForeCalc!$B$37:$Y$274,MATCH(_xlfn.CONCAT(H2036," ",I2036),ForeCalc!$A$37:$A$274,0),MATCH(_xlfn.CONCAT(B2036," ",E2036),ForeCalc!$B$36:$Y$36,0))))*VLOOKUP(A2036,Calendar!$A$2:$H$9997,8,FALSE),0)</f>
        <v/>
      </c>
      <c r="G2036" s="29">
        <f>VLOOKUP(A2036,Calendar!$A$1:$H$9997,6,FALSE)-F2036</f>
        <v/>
      </c>
      <c r="H2036" s="19" t="n">
        <v>3</v>
      </c>
      <c r="I2036" s="57" t="n">
        <v>7</v>
      </c>
    </row>
    <row r="2037">
      <c r="A2037" s="62" t="n">
        <v>47052</v>
      </c>
      <c r="B2037" s="3" t="inlineStr">
        <is>
          <t>Week</t>
        </is>
      </c>
      <c r="C2037" s="19" t="n">
        <v>10</v>
      </c>
      <c r="D2037" s="19" t="n">
        <v>2028</v>
      </c>
      <c r="E2037" s="57" t="n">
        <v>2</v>
      </c>
      <c r="F2037" s="29">
        <f>ROUND(((SUMIFS(Calendar!$F$2:$F$9997,Calendar!$B$2:$B$9997,D2037,Calendar!$C$2:$C$9997,C2037)*INDEX(ForeCalc!$B$37:$Y$274,MATCH(_xlfn.CONCAT(H2037," ",I2037),ForeCalc!$A$37:$A$274,0),MATCH(_xlfn.CONCAT(B2037," ",E2037),ForeCalc!$B$36:$Y$36,0))))*VLOOKUP(A2037,Calendar!$A$2:$H$9997,8,FALSE),0)</f>
        <v/>
      </c>
      <c r="G2037" s="29">
        <f>VLOOKUP(A2037,Calendar!$A$1:$H$9997,6,FALSE)-F2037</f>
        <v/>
      </c>
      <c r="H2037" s="19" t="n">
        <v>3</v>
      </c>
      <c r="I2037" s="57" t="n">
        <v>7</v>
      </c>
    </row>
    <row r="2038">
      <c r="A2038" s="62" t="n">
        <v>47053</v>
      </c>
      <c r="B2038" s="3" t="inlineStr">
        <is>
          <t>Week</t>
        </is>
      </c>
      <c r="C2038" s="19" t="n">
        <v>10</v>
      </c>
      <c r="D2038" s="19" t="n">
        <v>2028</v>
      </c>
      <c r="E2038" s="57" t="n">
        <v>2</v>
      </c>
      <c r="F2038" s="29">
        <f>ROUND(((SUMIFS(Calendar!$F$2:$F$9997,Calendar!$B$2:$B$9997,D2038,Calendar!$C$2:$C$9997,C2038)*INDEX(ForeCalc!$B$37:$Y$274,MATCH(_xlfn.CONCAT(H2038," ",I2038),ForeCalc!$A$37:$A$274,0),MATCH(_xlfn.CONCAT(B2038," ",E2038),ForeCalc!$B$36:$Y$36,0))))*VLOOKUP(A2038,Calendar!$A$2:$H$9997,8,FALSE),0)</f>
        <v/>
      </c>
      <c r="G2038" s="29">
        <f>VLOOKUP(A2038,Calendar!$A$1:$H$9997,6,FALSE)-F2038</f>
        <v/>
      </c>
      <c r="H2038" s="19" t="n">
        <v>3</v>
      </c>
      <c r="I2038" s="57" t="n">
        <v>7</v>
      </c>
    </row>
    <row r="2039">
      <c r="A2039" s="62" t="n">
        <v>47054</v>
      </c>
      <c r="B2039" s="3" t="inlineStr">
        <is>
          <t>Sat</t>
        </is>
      </c>
      <c r="C2039" s="19" t="n">
        <v>10</v>
      </c>
      <c r="D2039" s="19" t="n">
        <v>2028</v>
      </c>
      <c r="E2039" s="57" t="n">
        <v>2</v>
      </c>
      <c r="F2039" s="29">
        <f>ROUND(((SUMIFS(Calendar!$F$2:$F$9997,Calendar!$B$2:$B$9997,D2039,Calendar!$C$2:$C$9997,C2039)*INDEX(ForeCalc!$B$37:$Y$274,MATCH(_xlfn.CONCAT(H2039," ",I2039),ForeCalc!$A$37:$A$274,0),MATCH(_xlfn.CONCAT(B2039," ",E2039),ForeCalc!$B$36:$Y$36,0))))*VLOOKUP(A2039,Calendar!$A$2:$H$9997,8,FALSE),0)</f>
        <v/>
      </c>
      <c r="G2039" s="29">
        <f>VLOOKUP(A2039,Calendar!$A$1:$H$9997,6,FALSE)-F2039</f>
        <v/>
      </c>
      <c r="H2039" s="19" t="n">
        <v>3</v>
      </c>
      <c r="I2039" s="57" t="n">
        <v>7</v>
      </c>
    </row>
    <row r="2040">
      <c r="A2040" s="62" t="n">
        <v>47055</v>
      </c>
      <c r="B2040" s="3" t="inlineStr">
        <is>
          <t>Sun</t>
        </is>
      </c>
      <c r="C2040" s="19" t="n">
        <v>10</v>
      </c>
      <c r="D2040" s="19" t="n">
        <v>2028</v>
      </c>
      <c r="E2040" s="57" t="n">
        <v>2</v>
      </c>
      <c r="F2040" s="29">
        <f>ROUND(((SUMIFS(Calendar!$F$2:$F$9997,Calendar!$B$2:$B$9997,D2040,Calendar!$C$2:$C$9997,C2040)*INDEX(ForeCalc!$B$37:$Y$274,MATCH(_xlfn.CONCAT(H2040," ",I2040),ForeCalc!$A$37:$A$274,0),MATCH(_xlfn.CONCAT(B2040," ",E2040),ForeCalc!$B$36:$Y$36,0))))*VLOOKUP(A2040,Calendar!$A$2:$H$9997,8,FALSE),0)</f>
        <v/>
      </c>
      <c r="G2040" s="29">
        <f>VLOOKUP(A2040,Calendar!$A$1:$H$9997,6,FALSE)-F2040</f>
        <v/>
      </c>
      <c r="H2040" s="19" t="n">
        <v>3</v>
      </c>
      <c r="I2040" s="57" t="n">
        <v>7</v>
      </c>
    </row>
    <row r="2041">
      <c r="A2041" s="62" t="n">
        <v>47056</v>
      </c>
      <c r="B2041" s="3" t="inlineStr">
        <is>
          <t>Week</t>
        </is>
      </c>
      <c r="C2041" s="19" t="n">
        <v>10</v>
      </c>
      <c r="D2041" s="19" t="n">
        <v>2028</v>
      </c>
      <c r="E2041" s="57" t="n">
        <v>2</v>
      </c>
      <c r="F2041" s="29">
        <f>ROUND(((SUMIFS(Calendar!$F$2:$F$9997,Calendar!$B$2:$B$9997,D2041,Calendar!$C$2:$C$9997,C2041)*INDEX(ForeCalc!$B$37:$Y$274,MATCH(_xlfn.CONCAT(H2041," ",I2041),ForeCalc!$A$37:$A$274,0),MATCH(_xlfn.CONCAT(B2041," ",E2041),ForeCalc!$B$36:$Y$36,0))))*VLOOKUP(A2041,Calendar!$A$2:$H$9997,8,FALSE),0)</f>
        <v/>
      </c>
      <c r="G2041" s="29">
        <f>VLOOKUP(A2041,Calendar!$A$1:$H$9997,6,FALSE)-F2041</f>
        <v/>
      </c>
      <c r="H2041" s="19" t="n">
        <v>3</v>
      </c>
      <c r="I2041" s="57" t="n">
        <v>7</v>
      </c>
    </row>
    <row r="2042">
      <c r="A2042" s="62" t="n">
        <v>47057</v>
      </c>
      <c r="B2042" s="3" t="inlineStr">
        <is>
          <t>Week</t>
        </is>
      </c>
      <c r="C2042" s="19" t="n">
        <v>10</v>
      </c>
      <c r="D2042" s="19" t="n">
        <v>2028</v>
      </c>
      <c r="E2042" s="57" t="n">
        <v>2</v>
      </c>
      <c r="F2042" s="29">
        <f>ROUND(((SUMIFS(Calendar!$F$2:$F$9997,Calendar!$B$2:$B$9997,D2042,Calendar!$C$2:$C$9997,C2042)*INDEX(ForeCalc!$B$37:$Y$274,MATCH(_xlfn.CONCAT(H2042," ",I2042),ForeCalc!$A$37:$A$274,0),MATCH(_xlfn.CONCAT(B2042," ",E2042),ForeCalc!$B$36:$Y$36,0))))*VLOOKUP(A2042,Calendar!$A$2:$H$9997,8,FALSE),0)</f>
        <v/>
      </c>
      <c r="G2042" s="29">
        <f>VLOOKUP(A2042,Calendar!$A$1:$H$9997,6,FALSE)-F2042</f>
        <v/>
      </c>
      <c r="H2042" s="19" t="n">
        <v>3</v>
      </c>
      <c r="I2042" s="57" t="n">
        <v>7</v>
      </c>
    </row>
    <row r="2043">
      <c r="A2043" s="62" t="n">
        <v>47058</v>
      </c>
      <c r="B2043" s="3" t="inlineStr">
        <is>
          <t>Week</t>
        </is>
      </c>
      <c r="C2043" s="19" t="n">
        <v>11</v>
      </c>
      <c r="D2043" s="19" t="n">
        <v>2028</v>
      </c>
      <c r="E2043" s="57" t="n">
        <v>2</v>
      </c>
      <c r="F2043" s="29">
        <f>ROUND(((SUMIFS(Calendar!$F$2:$F$9997,Calendar!$B$2:$B$9997,D2043,Calendar!$C$2:$C$9997,C2043)*INDEX(ForeCalc!$B$37:$Y$274,MATCH(_xlfn.CONCAT(H2043," ",I2043),ForeCalc!$A$37:$A$274,0),MATCH(_xlfn.CONCAT(B2043," ",E2043),ForeCalc!$B$36:$Y$36,0))))*VLOOKUP(A2043,Calendar!$A$2:$H$9997,8,FALSE),0)</f>
        <v/>
      </c>
      <c r="G2043" s="29">
        <f>VLOOKUP(A2043,Calendar!$A$1:$H$9997,6,FALSE)-F2043</f>
        <v/>
      </c>
      <c r="H2043" s="19" t="n">
        <v>3</v>
      </c>
      <c r="I2043" s="57" t="n">
        <v>8</v>
      </c>
    </row>
    <row r="2044">
      <c r="A2044" s="62" t="n">
        <v>47059</v>
      </c>
      <c r="B2044" s="3" t="inlineStr">
        <is>
          <t>Week</t>
        </is>
      </c>
      <c r="C2044" s="19" t="n">
        <v>11</v>
      </c>
      <c r="D2044" s="19" t="n">
        <v>2028</v>
      </c>
      <c r="E2044" s="57" t="n">
        <v>2</v>
      </c>
      <c r="F2044" s="29">
        <f>ROUND(((SUMIFS(Calendar!$F$2:$F$9997,Calendar!$B$2:$B$9997,D2044,Calendar!$C$2:$C$9997,C2044)*INDEX(ForeCalc!$B$37:$Y$274,MATCH(_xlfn.CONCAT(H2044," ",I2044),ForeCalc!$A$37:$A$274,0),MATCH(_xlfn.CONCAT(B2044," ",E2044),ForeCalc!$B$36:$Y$36,0))))*VLOOKUP(A2044,Calendar!$A$2:$H$9997,8,FALSE),0)</f>
        <v/>
      </c>
      <c r="G2044" s="29">
        <f>VLOOKUP(A2044,Calendar!$A$1:$H$9997,6,FALSE)-F2044</f>
        <v/>
      </c>
      <c r="H2044" s="19" t="n">
        <v>3</v>
      </c>
      <c r="I2044" s="57" t="n">
        <v>8</v>
      </c>
    </row>
    <row r="2045">
      <c r="A2045" s="62" t="n">
        <v>47060</v>
      </c>
      <c r="B2045" s="3" t="inlineStr">
        <is>
          <t>Week</t>
        </is>
      </c>
      <c r="C2045" s="19" t="n">
        <v>11</v>
      </c>
      <c r="D2045" s="19" t="n">
        <v>2028</v>
      </c>
      <c r="E2045" s="57" t="n">
        <v>2</v>
      </c>
      <c r="F2045" s="29">
        <f>ROUND(((SUMIFS(Calendar!$F$2:$F$9997,Calendar!$B$2:$B$9997,D2045,Calendar!$C$2:$C$9997,C2045)*INDEX(ForeCalc!$B$37:$Y$274,MATCH(_xlfn.CONCAT(H2045," ",I2045),ForeCalc!$A$37:$A$274,0),MATCH(_xlfn.CONCAT(B2045," ",E2045),ForeCalc!$B$36:$Y$36,0))))*VLOOKUP(A2045,Calendar!$A$2:$H$9997,8,FALSE),0)</f>
        <v/>
      </c>
      <c r="G2045" s="29">
        <f>VLOOKUP(A2045,Calendar!$A$1:$H$9997,6,FALSE)-F2045</f>
        <v/>
      </c>
      <c r="H2045" s="19" t="n">
        <v>3</v>
      </c>
      <c r="I2045" s="57" t="n">
        <v>8</v>
      </c>
    </row>
    <row r="2046">
      <c r="A2046" s="62" t="n">
        <v>47061</v>
      </c>
      <c r="B2046" s="3" t="inlineStr">
        <is>
          <t>Sat</t>
        </is>
      </c>
      <c r="C2046" s="19" t="n">
        <v>11</v>
      </c>
      <c r="D2046" s="19" t="n">
        <v>2028</v>
      </c>
      <c r="E2046" s="57" t="n">
        <v>2</v>
      </c>
      <c r="F2046" s="29">
        <f>ROUND(((SUMIFS(Calendar!$F$2:$F$9997,Calendar!$B$2:$B$9997,D2046,Calendar!$C$2:$C$9997,C2046)*INDEX(ForeCalc!$B$37:$Y$274,MATCH(_xlfn.CONCAT(H2046," ",I2046),ForeCalc!$A$37:$A$274,0),MATCH(_xlfn.CONCAT(B2046," ",E2046),ForeCalc!$B$36:$Y$36,0))))*VLOOKUP(A2046,Calendar!$A$2:$H$9997,8,FALSE),0)</f>
        <v/>
      </c>
      <c r="G2046" s="29">
        <f>VLOOKUP(A2046,Calendar!$A$1:$H$9997,6,FALSE)-F2046</f>
        <v/>
      </c>
      <c r="H2046" s="19" t="n">
        <v>3</v>
      </c>
      <c r="I2046" s="57" t="n">
        <v>8</v>
      </c>
    </row>
    <row r="2047">
      <c r="A2047" s="62" t="n">
        <v>47062</v>
      </c>
      <c r="B2047" s="3" t="inlineStr">
        <is>
          <t>Sun</t>
        </is>
      </c>
      <c r="C2047" s="19" t="n">
        <v>11</v>
      </c>
      <c r="D2047" s="19" t="n">
        <v>2028</v>
      </c>
      <c r="E2047" s="57" t="n">
        <v>2</v>
      </c>
      <c r="F2047" s="29">
        <f>ROUND(((SUMIFS(Calendar!$F$2:$F$9997,Calendar!$B$2:$B$9997,D2047,Calendar!$C$2:$C$9997,C2047)*INDEX(ForeCalc!$B$37:$Y$274,MATCH(_xlfn.CONCAT(H2047," ",I2047),ForeCalc!$A$37:$A$274,0),MATCH(_xlfn.CONCAT(B2047," ",E2047),ForeCalc!$B$36:$Y$36,0))))*VLOOKUP(A2047,Calendar!$A$2:$H$9997,8,FALSE),0)</f>
        <v/>
      </c>
      <c r="G2047" s="29">
        <f>VLOOKUP(A2047,Calendar!$A$1:$H$9997,6,FALSE)-F2047</f>
        <v/>
      </c>
      <c r="H2047" s="19" t="n">
        <v>3</v>
      </c>
      <c r="I2047" s="57" t="n">
        <v>8</v>
      </c>
    </row>
    <row r="2048">
      <c r="A2048" s="62" t="n">
        <v>47063</v>
      </c>
      <c r="B2048" s="3" t="inlineStr">
        <is>
          <t>Week</t>
        </is>
      </c>
      <c r="C2048" s="19" t="n">
        <v>11</v>
      </c>
      <c r="D2048" s="19" t="n">
        <v>2028</v>
      </c>
      <c r="E2048" s="57" t="n">
        <v>2</v>
      </c>
      <c r="F2048" s="29">
        <f>ROUND(((SUMIFS(Calendar!$F$2:$F$9997,Calendar!$B$2:$B$9997,D2048,Calendar!$C$2:$C$9997,C2048)*INDEX(ForeCalc!$B$37:$Y$274,MATCH(_xlfn.CONCAT(H2048," ",I2048),ForeCalc!$A$37:$A$274,0),MATCH(_xlfn.CONCAT(B2048," ",E2048),ForeCalc!$B$36:$Y$36,0))))*VLOOKUP(A2048,Calendar!$A$2:$H$9997,8,FALSE),0)</f>
        <v/>
      </c>
      <c r="G2048" s="29">
        <f>VLOOKUP(A2048,Calendar!$A$1:$H$9997,6,FALSE)-F2048</f>
        <v/>
      </c>
      <c r="H2048" s="19" t="n">
        <v>3</v>
      </c>
      <c r="I2048" s="57" t="n">
        <v>8</v>
      </c>
    </row>
    <row r="2049">
      <c r="A2049" s="62" t="n">
        <v>47064</v>
      </c>
      <c r="B2049" s="3" t="inlineStr">
        <is>
          <t>Week</t>
        </is>
      </c>
      <c r="C2049" s="19" t="n">
        <v>11</v>
      </c>
      <c r="D2049" s="19" t="n">
        <v>2028</v>
      </c>
      <c r="E2049" s="57" t="n">
        <v>2</v>
      </c>
      <c r="F2049" s="29">
        <f>ROUND(((SUMIFS(Calendar!$F$2:$F$9997,Calendar!$B$2:$B$9997,D2049,Calendar!$C$2:$C$9997,C2049)*INDEX(ForeCalc!$B$37:$Y$274,MATCH(_xlfn.CONCAT(H2049," ",I2049),ForeCalc!$A$37:$A$274,0),MATCH(_xlfn.CONCAT(B2049," ",E2049),ForeCalc!$B$36:$Y$36,0))))*VLOOKUP(A2049,Calendar!$A$2:$H$9997,8,FALSE),0)</f>
        <v/>
      </c>
      <c r="G2049" s="29">
        <f>VLOOKUP(A2049,Calendar!$A$1:$H$9997,6,FALSE)-F2049</f>
        <v/>
      </c>
      <c r="H2049" s="19" t="n">
        <v>3</v>
      </c>
      <c r="I2049" s="57" t="n">
        <v>8</v>
      </c>
    </row>
    <row r="2050">
      <c r="A2050" s="62" t="n">
        <v>47065</v>
      </c>
      <c r="B2050" s="3" t="inlineStr">
        <is>
          <t>Week</t>
        </is>
      </c>
      <c r="C2050" s="19" t="n">
        <v>11</v>
      </c>
      <c r="D2050" s="19" t="n">
        <v>2028</v>
      </c>
      <c r="E2050" s="57" t="n">
        <v>2</v>
      </c>
      <c r="F2050" s="29">
        <f>ROUND(((SUMIFS(Calendar!$F$2:$F$9997,Calendar!$B$2:$B$9997,D2050,Calendar!$C$2:$C$9997,C2050)*INDEX(ForeCalc!$B$37:$Y$274,MATCH(_xlfn.CONCAT(H2050," ",I2050),ForeCalc!$A$37:$A$274,0),MATCH(_xlfn.CONCAT(B2050," ",E2050),ForeCalc!$B$36:$Y$36,0))))*VLOOKUP(A2050,Calendar!$A$2:$H$9997,8,FALSE),0)</f>
        <v/>
      </c>
      <c r="G2050" s="29">
        <f>VLOOKUP(A2050,Calendar!$A$1:$H$9997,6,FALSE)-F2050</f>
        <v/>
      </c>
      <c r="H2050" s="19" t="n">
        <v>3</v>
      </c>
      <c r="I2050" s="57" t="n">
        <v>8</v>
      </c>
    </row>
    <row r="2051">
      <c r="A2051" s="62" t="n">
        <v>47066</v>
      </c>
      <c r="B2051" s="3" t="inlineStr">
        <is>
          <t>Week</t>
        </is>
      </c>
      <c r="C2051" s="19" t="n">
        <v>11</v>
      </c>
      <c r="D2051" s="19" t="n">
        <v>2028</v>
      </c>
      <c r="E2051" s="57" t="n">
        <v>2</v>
      </c>
      <c r="F2051" s="29">
        <f>ROUND(((SUMIFS(Calendar!$F$2:$F$9997,Calendar!$B$2:$B$9997,D2051,Calendar!$C$2:$C$9997,C2051)*INDEX(ForeCalc!$B$37:$Y$274,MATCH(_xlfn.CONCAT(H2051," ",I2051),ForeCalc!$A$37:$A$274,0),MATCH(_xlfn.CONCAT(B2051," ",E2051),ForeCalc!$B$36:$Y$36,0))))*VLOOKUP(A2051,Calendar!$A$2:$H$9997,8,FALSE),0)</f>
        <v/>
      </c>
      <c r="G2051" s="29">
        <f>VLOOKUP(A2051,Calendar!$A$1:$H$9997,6,FALSE)-F2051</f>
        <v/>
      </c>
      <c r="H2051" s="19" t="n">
        <v>3</v>
      </c>
      <c r="I2051" s="57" t="n">
        <v>8</v>
      </c>
    </row>
    <row r="2052">
      <c r="A2052" s="62" t="n">
        <v>47067</v>
      </c>
      <c r="B2052" s="3" t="inlineStr">
        <is>
          <t>Week</t>
        </is>
      </c>
      <c r="C2052" s="19" t="n">
        <v>11</v>
      </c>
      <c r="D2052" s="19" t="n">
        <v>2028</v>
      </c>
      <c r="E2052" s="57" t="n">
        <v>2</v>
      </c>
      <c r="F2052" s="29">
        <f>ROUND(((SUMIFS(Calendar!$F$2:$F$9997,Calendar!$B$2:$B$9997,D2052,Calendar!$C$2:$C$9997,C2052)*INDEX(ForeCalc!$B$37:$Y$274,MATCH(_xlfn.CONCAT(H2052," ",I2052),ForeCalc!$A$37:$A$274,0),MATCH(_xlfn.CONCAT(B2052," ",E2052),ForeCalc!$B$36:$Y$36,0))))*VLOOKUP(A2052,Calendar!$A$2:$H$9997,8,FALSE),0)</f>
        <v/>
      </c>
      <c r="G2052" s="29">
        <f>VLOOKUP(A2052,Calendar!$A$1:$H$9997,6,FALSE)-F2052</f>
        <v/>
      </c>
      <c r="H2052" s="19" t="n">
        <v>3</v>
      </c>
      <c r="I2052" s="57" t="n">
        <v>8</v>
      </c>
    </row>
    <row r="2053">
      <c r="A2053" s="62" t="n">
        <v>47068</v>
      </c>
      <c r="B2053" s="3" t="inlineStr">
        <is>
          <t>Sat</t>
        </is>
      </c>
      <c r="C2053" s="19" t="n">
        <v>11</v>
      </c>
      <c r="D2053" s="19" t="n">
        <v>2028</v>
      </c>
      <c r="E2053" s="57" t="n">
        <v>2</v>
      </c>
      <c r="F2053" s="29">
        <f>ROUND(((SUMIFS(Calendar!$F$2:$F$9997,Calendar!$B$2:$B$9997,D2053,Calendar!$C$2:$C$9997,C2053)*INDEX(ForeCalc!$B$37:$Y$274,MATCH(_xlfn.CONCAT(H2053," ",I2053),ForeCalc!$A$37:$A$274,0),MATCH(_xlfn.CONCAT(B2053," ",E2053),ForeCalc!$B$36:$Y$36,0))))*VLOOKUP(A2053,Calendar!$A$2:$H$9997,8,FALSE),0)</f>
        <v/>
      </c>
      <c r="G2053" s="29">
        <f>VLOOKUP(A2053,Calendar!$A$1:$H$9997,6,FALSE)-F2053</f>
        <v/>
      </c>
      <c r="H2053" s="19" t="n">
        <v>3</v>
      </c>
      <c r="I2053" s="57" t="n">
        <v>8</v>
      </c>
    </row>
    <row r="2054">
      <c r="A2054" s="62" t="n">
        <v>47069</v>
      </c>
      <c r="B2054" s="3" t="inlineStr">
        <is>
          <t>Sun</t>
        </is>
      </c>
      <c r="C2054" s="19" t="n">
        <v>11</v>
      </c>
      <c r="D2054" s="19" t="n">
        <v>2028</v>
      </c>
      <c r="E2054" s="57" t="n">
        <v>2</v>
      </c>
      <c r="F2054" s="29">
        <f>ROUND(((SUMIFS(Calendar!$F$2:$F$9997,Calendar!$B$2:$B$9997,D2054,Calendar!$C$2:$C$9997,C2054)*INDEX(ForeCalc!$B$37:$Y$274,MATCH(_xlfn.CONCAT(H2054," ",I2054),ForeCalc!$A$37:$A$274,0),MATCH(_xlfn.CONCAT(B2054," ",E2054),ForeCalc!$B$36:$Y$36,0))))*VLOOKUP(A2054,Calendar!$A$2:$H$9997,8,FALSE),0)</f>
        <v/>
      </c>
      <c r="G2054" s="29">
        <f>VLOOKUP(A2054,Calendar!$A$1:$H$9997,6,FALSE)-F2054</f>
        <v/>
      </c>
      <c r="H2054" s="19" t="n">
        <v>3</v>
      </c>
      <c r="I2054" s="57" t="n">
        <v>8</v>
      </c>
    </row>
    <row r="2055">
      <c r="A2055" s="62" t="n">
        <v>47070</v>
      </c>
      <c r="B2055" s="3" t="inlineStr">
        <is>
          <t>Week</t>
        </is>
      </c>
      <c r="C2055" s="19" t="n">
        <v>11</v>
      </c>
      <c r="D2055" s="19" t="n">
        <v>2028</v>
      </c>
      <c r="E2055" s="57" t="n">
        <v>2</v>
      </c>
      <c r="F2055" s="29">
        <f>ROUND(((SUMIFS(Calendar!$F$2:$F$9997,Calendar!$B$2:$B$9997,D2055,Calendar!$C$2:$C$9997,C2055)*INDEX(ForeCalc!$B$37:$Y$274,MATCH(_xlfn.CONCAT(H2055," ",I2055),ForeCalc!$A$37:$A$274,0),MATCH(_xlfn.CONCAT(B2055," ",E2055),ForeCalc!$B$36:$Y$36,0))))*VLOOKUP(A2055,Calendar!$A$2:$H$9997,8,FALSE),0)</f>
        <v/>
      </c>
      <c r="G2055" s="29">
        <f>VLOOKUP(A2055,Calendar!$A$1:$H$9997,6,FALSE)-F2055</f>
        <v/>
      </c>
      <c r="H2055" s="19" t="n">
        <v>3</v>
      </c>
      <c r="I2055" s="57" t="n">
        <v>8</v>
      </c>
    </row>
    <row r="2056">
      <c r="A2056" s="62" t="n">
        <v>47071</v>
      </c>
      <c r="B2056" s="3" t="inlineStr">
        <is>
          <t>Week</t>
        </is>
      </c>
      <c r="C2056" s="19" t="n">
        <v>11</v>
      </c>
      <c r="D2056" s="19" t="n">
        <v>2028</v>
      </c>
      <c r="E2056" s="57" t="n">
        <v>2</v>
      </c>
      <c r="F2056" s="29">
        <f>ROUND(((SUMIFS(Calendar!$F$2:$F$9997,Calendar!$B$2:$B$9997,D2056,Calendar!$C$2:$C$9997,C2056)*INDEX(ForeCalc!$B$37:$Y$274,MATCH(_xlfn.CONCAT(H2056," ",I2056),ForeCalc!$A$37:$A$274,0),MATCH(_xlfn.CONCAT(B2056," ",E2056),ForeCalc!$B$36:$Y$36,0))))*VLOOKUP(A2056,Calendar!$A$2:$H$9997,8,FALSE),0)</f>
        <v/>
      </c>
      <c r="G2056" s="29">
        <f>VLOOKUP(A2056,Calendar!$A$1:$H$9997,6,FALSE)-F2056</f>
        <v/>
      </c>
      <c r="H2056" s="19" t="n">
        <v>3</v>
      </c>
      <c r="I2056" s="57" t="n">
        <v>8</v>
      </c>
    </row>
    <row r="2057">
      <c r="A2057" s="62" t="n">
        <v>47072</v>
      </c>
      <c r="B2057" s="3" t="inlineStr">
        <is>
          <t>Week</t>
        </is>
      </c>
      <c r="C2057" s="19" t="n">
        <v>11</v>
      </c>
      <c r="D2057" s="19" t="n">
        <v>2028</v>
      </c>
      <c r="E2057" s="57" t="n">
        <v>2</v>
      </c>
      <c r="F2057" s="29">
        <f>ROUND(((SUMIFS(Calendar!$F$2:$F$9997,Calendar!$B$2:$B$9997,D2057,Calendar!$C$2:$C$9997,C2057)*INDEX(ForeCalc!$B$37:$Y$274,MATCH(_xlfn.CONCAT(H2057," ",I2057),ForeCalc!$A$37:$A$274,0),MATCH(_xlfn.CONCAT(B2057," ",E2057),ForeCalc!$B$36:$Y$36,0))))*VLOOKUP(A2057,Calendar!$A$2:$H$9997,8,FALSE),0)</f>
        <v/>
      </c>
      <c r="G2057" s="29">
        <f>VLOOKUP(A2057,Calendar!$A$1:$H$9997,6,FALSE)-F2057</f>
        <v/>
      </c>
      <c r="H2057" s="19" t="n">
        <v>3</v>
      </c>
      <c r="I2057" s="57" t="n">
        <v>8</v>
      </c>
    </row>
    <row r="2058">
      <c r="A2058" s="62" t="n">
        <v>47073</v>
      </c>
      <c r="B2058" s="3" t="inlineStr">
        <is>
          <t>Week</t>
        </is>
      </c>
      <c r="C2058" s="19" t="n">
        <v>11</v>
      </c>
      <c r="D2058" s="19" t="n">
        <v>2028</v>
      </c>
      <c r="E2058" s="57" t="n">
        <v>2</v>
      </c>
      <c r="F2058" s="29">
        <f>ROUND(((SUMIFS(Calendar!$F$2:$F$9997,Calendar!$B$2:$B$9997,D2058,Calendar!$C$2:$C$9997,C2058)*INDEX(ForeCalc!$B$37:$Y$274,MATCH(_xlfn.CONCAT(H2058," ",I2058),ForeCalc!$A$37:$A$274,0),MATCH(_xlfn.CONCAT(B2058," ",E2058),ForeCalc!$B$36:$Y$36,0))))*VLOOKUP(A2058,Calendar!$A$2:$H$9997,8,FALSE),0)</f>
        <v/>
      </c>
      <c r="G2058" s="29">
        <f>VLOOKUP(A2058,Calendar!$A$1:$H$9997,6,FALSE)-F2058</f>
        <v/>
      </c>
      <c r="H2058" s="19" t="n">
        <v>3</v>
      </c>
      <c r="I2058" s="57" t="n">
        <v>8</v>
      </c>
    </row>
    <row r="2059">
      <c r="A2059" s="62" t="n">
        <v>47074</v>
      </c>
      <c r="B2059" s="3" t="inlineStr">
        <is>
          <t>Week</t>
        </is>
      </c>
      <c r="C2059" s="19" t="n">
        <v>11</v>
      </c>
      <c r="D2059" s="19" t="n">
        <v>2028</v>
      </c>
      <c r="E2059" s="57" t="n">
        <v>2</v>
      </c>
      <c r="F2059" s="29">
        <f>ROUND(((SUMIFS(Calendar!$F$2:$F$9997,Calendar!$B$2:$B$9997,D2059,Calendar!$C$2:$C$9997,C2059)*INDEX(ForeCalc!$B$37:$Y$274,MATCH(_xlfn.CONCAT(H2059," ",I2059),ForeCalc!$A$37:$A$274,0),MATCH(_xlfn.CONCAT(B2059," ",E2059),ForeCalc!$B$36:$Y$36,0))))*VLOOKUP(A2059,Calendar!$A$2:$H$9997,8,FALSE),0)</f>
        <v/>
      </c>
      <c r="G2059" s="29">
        <f>VLOOKUP(A2059,Calendar!$A$1:$H$9997,6,FALSE)-F2059</f>
        <v/>
      </c>
      <c r="H2059" s="19" t="n">
        <v>3</v>
      </c>
      <c r="I2059" s="57" t="n">
        <v>8</v>
      </c>
    </row>
    <row r="2060">
      <c r="A2060" s="62" t="n">
        <v>47075</v>
      </c>
      <c r="B2060" s="3" t="inlineStr">
        <is>
          <t>Sat</t>
        </is>
      </c>
      <c r="C2060" s="19" t="n">
        <v>11</v>
      </c>
      <c r="D2060" s="19" t="n">
        <v>2028</v>
      </c>
      <c r="E2060" s="57" t="n">
        <v>2</v>
      </c>
      <c r="F2060" s="29">
        <f>ROUND(((SUMIFS(Calendar!$F$2:$F$9997,Calendar!$B$2:$B$9997,D2060,Calendar!$C$2:$C$9997,C2060)*INDEX(ForeCalc!$B$37:$Y$274,MATCH(_xlfn.CONCAT(H2060," ",I2060),ForeCalc!$A$37:$A$274,0),MATCH(_xlfn.CONCAT(B2060," ",E2060),ForeCalc!$B$36:$Y$36,0))))*VLOOKUP(A2060,Calendar!$A$2:$H$9997,8,FALSE),0)</f>
        <v/>
      </c>
      <c r="G2060" s="29">
        <f>VLOOKUP(A2060,Calendar!$A$1:$H$9997,6,FALSE)-F2060</f>
        <v/>
      </c>
      <c r="H2060" s="19" t="n">
        <v>3</v>
      </c>
      <c r="I2060" s="57" t="n">
        <v>8</v>
      </c>
    </row>
    <row r="2061">
      <c r="A2061" s="62" t="n">
        <v>47076</v>
      </c>
      <c r="B2061" s="3" t="inlineStr">
        <is>
          <t>Sun</t>
        </is>
      </c>
      <c r="C2061" s="19" t="n">
        <v>11</v>
      </c>
      <c r="D2061" s="19" t="n">
        <v>2028</v>
      </c>
      <c r="E2061" s="57" t="n">
        <v>2</v>
      </c>
      <c r="F2061" s="29">
        <f>ROUND(((SUMIFS(Calendar!$F$2:$F$9997,Calendar!$B$2:$B$9997,D2061,Calendar!$C$2:$C$9997,C2061)*INDEX(ForeCalc!$B$37:$Y$274,MATCH(_xlfn.CONCAT(H2061," ",I2061),ForeCalc!$A$37:$A$274,0),MATCH(_xlfn.CONCAT(B2061," ",E2061),ForeCalc!$B$36:$Y$36,0))))*VLOOKUP(A2061,Calendar!$A$2:$H$9997,8,FALSE),0)</f>
        <v/>
      </c>
      <c r="G2061" s="29">
        <f>VLOOKUP(A2061,Calendar!$A$1:$H$9997,6,FALSE)-F2061</f>
        <v/>
      </c>
      <c r="H2061" s="19" t="n">
        <v>3</v>
      </c>
      <c r="I2061" s="57" t="n">
        <v>8</v>
      </c>
    </row>
    <row r="2062">
      <c r="A2062" s="62" t="n">
        <v>47077</v>
      </c>
      <c r="B2062" s="3" t="inlineStr">
        <is>
          <t>Week</t>
        </is>
      </c>
      <c r="C2062" s="19" t="n">
        <v>11</v>
      </c>
      <c r="D2062" s="19" t="n">
        <v>2028</v>
      </c>
      <c r="E2062" s="57" t="n">
        <v>2</v>
      </c>
      <c r="F2062" s="29">
        <f>ROUND(((SUMIFS(Calendar!$F$2:$F$9997,Calendar!$B$2:$B$9997,D2062,Calendar!$C$2:$C$9997,C2062)*INDEX(ForeCalc!$B$37:$Y$274,MATCH(_xlfn.CONCAT(H2062," ",I2062),ForeCalc!$A$37:$A$274,0),MATCH(_xlfn.CONCAT(B2062," ",E2062),ForeCalc!$B$36:$Y$36,0))))*VLOOKUP(A2062,Calendar!$A$2:$H$9997,8,FALSE),0)</f>
        <v/>
      </c>
      <c r="G2062" s="29">
        <f>VLOOKUP(A2062,Calendar!$A$1:$H$9997,6,FALSE)-F2062</f>
        <v/>
      </c>
      <c r="H2062" s="19" t="n">
        <v>3</v>
      </c>
      <c r="I2062" s="57" t="n">
        <v>8</v>
      </c>
    </row>
    <row r="2063">
      <c r="A2063" s="62" t="n">
        <v>47078</v>
      </c>
      <c r="B2063" s="3" t="inlineStr">
        <is>
          <t>Week</t>
        </is>
      </c>
      <c r="C2063" s="19" t="n">
        <v>11</v>
      </c>
      <c r="D2063" s="19" t="n">
        <v>2028</v>
      </c>
      <c r="E2063" s="57" t="n">
        <v>2</v>
      </c>
      <c r="F2063" s="29">
        <f>ROUND(((SUMIFS(Calendar!$F$2:$F$9997,Calendar!$B$2:$B$9997,D2063,Calendar!$C$2:$C$9997,C2063)*INDEX(ForeCalc!$B$37:$Y$274,MATCH(_xlfn.CONCAT(H2063," ",I2063),ForeCalc!$A$37:$A$274,0),MATCH(_xlfn.CONCAT(B2063," ",E2063),ForeCalc!$B$36:$Y$36,0))))*VLOOKUP(A2063,Calendar!$A$2:$H$9997,8,FALSE),0)</f>
        <v/>
      </c>
      <c r="G2063" s="29">
        <f>VLOOKUP(A2063,Calendar!$A$1:$H$9997,6,FALSE)-F2063</f>
        <v/>
      </c>
      <c r="H2063" s="19" t="n">
        <v>3</v>
      </c>
      <c r="I2063" s="57" t="n">
        <v>8</v>
      </c>
    </row>
    <row r="2064">
      <c r="A2064" s="62" t="n">
        <v>47079</v>
      </c>
      <c r="B2064" s="3" t="inlineStr">
        <is>
          <t>Week</t>
        </is>
      </c>
      <c r="C2064" s="19" t="n">
        <v>11</v>
      </c>
      <c r="D2064" s="19" t="n">
        <v>2028</v>
      </c>
      <c r="E2064" s="57" t="n">
        <v>2</v>
      </c>
      <c r="F2064" s="29">
        <f>ROUND(((SUMIFS(Calendar!$F$2:$F$9997,Calendar!$B$2:$B$9997,D2064,Calendar!$C$2:$C$9997,C2064)*INDEX(ForeCalc!$B$37:$Y$274,MATCH(_xlfn.CONCAT(H2064," ",I2064),ForeCalc!$A$37:$A$274,0),MATCH(_xlfn.CONCAT(B2064," ",E2064),ForeCalc!$B$36:$Y$36,0))))*VLOOKUP(A2064,Calendar!$A$2:$H$9997,8,FALSE),0)</f>
        <v/>
      </c>
      <c r="G2064" s="29">
        <f>VLOOKUP(A2064,Calendar!$A$1:$H$9997,6,FALSE)-F2064</f>
        <v/>
      </c>
      <c r="H2064" s="19" t="n">
        <v>3</v>
      </c>
      <c r="I2064" s="57" t="n">
        <v>8</v>
      </c>
    </row>
    <row r="2065">
      <c r="A2065" s="62" t="n">
        <v>47080</v>
      </c>
      <c r="B2065" s="3" t="inlineStr">
        <is>
          <t>Week</t>
        </is>
      </c>
      <c r="C2065" s="19" t="n">
        <v>11</v>
      </c>
      <c r="D2065" s="19" t="n">
        <v>2028</v>
      </c>
      <c r="E2065" s="57" t="n">
        <v>2</v>
      </c>
      <c r="F2065" s="29">
        <f>ROUND(((SUMIFS(Calendar!$F$2:$F$9997,Calendar!$B$2:$B$9997,D2065,Calendar!$C$2:$C$9997,C2065)*INDEX(ForeCalc!$B$37:$Y$274,MATCH(_xlfn.CONCAT(H2065," ",I2065),ForeCalc!$A$37:$A$274,0),MATCH(_xlfn.CONCAT(B2065," ",E2065),ForeCalc!$B$36:$Y$36,0))))*VLOOKUP(A2065,Calendar!$A$2:$H$9997,8,FALSE),0)</f>
        <v/>
      </c>
      <c r="G2065" s="29">
        <f>VLOOKUP(A2065,Calendar!$A$1:$H$9997,6,FALSE)-F2065</f>
        <v/>
      </c>
      <c r="H2065" s="19" t="n">
        <v>3</v>
      </c>
      <c r="I2065" s="57" t="n">
        <v>8</v>
      </c>
    </row>
    <row r="2066">
      <c r="A2066" s="62" t="n">
        <v>47081</v>
      </c>
      <c r="B2066" s="3" t="inlineStr">
        <is>
          <t>Week</t>
        </is>
      </c>
      <c r="C2066" s="19" t="n">
        <v>11</v>
      </c>
      <c r="D2066" s="19" t="n">
        <v>2028</v>
      </c>
      <c r="E2066" s="57" t="n">
        <v>2</v>
      </c>
      <c r="F2066" s="29">
        <f>ROUND(((SUMIFS(Calendar!$F$2:$F$9997,Calendar!$B$2:$B$9997,D2066,Calendar!$C$2:$C$9997,C2066)*INDEX(ForeCalc!$B$37:$Y$274,MATCH(_xlfn.CONCAT(H2066," ",I2066),ForeCalc!$A$37:$A$274,0),MATCH(_xlfn.CONCAT(B2066," ",E2066),ForeCalc!$B$36:$Y$36,0))))*VLOOKUP(A2066,Calendar!$A$2:$H$9997,8,FALSE),0)</f>
        <v/>
      </c>
      <c r="G2066" s="29">
        <f>VLOOKUP(A2066,Calendar!$A$1:$H$9997,6,FALSE)-F2066</f>
        <v/>
      </c>
      <c r="H2066" s="19" t="n">
        <v>3</v>
      </c>
      <c r="I2066" s="57" t="n">
        <v>8</v>
      </c>
    </row>
    <row r="2067">
      <c r="A2067" s="62" t="n">
        <v>47082</v>
      </c>
      <c r="B2067" s="3" t="inlineStr">
        <is>
          <t>Sat</t>
        </is>
      </c>
      <c r="C2067" s="19" t="n">
        <v>11</v>
      </c>
      <c r="D2067" s="19" t="n">
        <v>2028</v>
      </c>
      <c r="E2067" s="57" t="n">
        <v>2</v>
      </c>
      <c r="F2067" s="29">
        <f>ROUND(((SUMIFS(Calendar!$F$2:$F$9997,Calendar!$B$2:$B$9997,D2067,Calendar!$C$2:$C$9997,C2067)*INDEX(ForeCalc!$B$37:$Y$274,MATCH(_xlfn.CONCAT(H2067," ",I2067),ForeCalc!$A$37:$A$274,0),MATCH(_xlfn.CONCAT(B2067," ",E2067),ForeCalc!$B$36:$Y$36,0))))*VLOOKUP(A2067,Calendar!$A$2:$H$9997,8,FALSE),0)</f>
        <v/>
      </c>
      <c r="G2067" s="29">
        <f>VLOOKUP(A2067,Calendar!$A$1:$H$9997,6,FALSE)-F2067</f>
        <v/>
      </c>
      <c r="H2067" s="19" t="n">
        <v>3</v>
      </c>
      <c r="I2067" s="57" t="n">
        <v>8</v>
      </c>
    </row>
    <row r="2068">
      <c r="A2068" s="62" t="n">
        <v>47083</v>
      </c>
      <c r="B2068" s="3" t="inlineStr">
        <is>
          <t>Sun</t>
        </is>
      </c>
      <c r="C2068" s="19" t="n">
        <v>11</v>
      </c>
      <c r="D2068" s="19" t="n">
        <v>2028</v>
      </c>
      <c r="E2068" s="57" t="n">
        <v>2</v>
      </c>
      <c r="F2068" s="29">
        <f>ROUND(((SUMIFS(Calendar!$F$2:$F$9997,Calendar!$B$2:$B$9997,D2068,Calendar!$C$2:$C$9997,C2068)*INDEX(ForeCalc!$B$37:$Y$274,MATCH(_xlfn.CONCAT(H2068," ",I2068),ForeCalc!$A$37:$A$274,0),MATCH(_xlfn.CONCAT(B2068," ",E2068),ForeCalc!$B$36:$Y$36,0))))*VLOOKUP(A2068,Calendar!$A$2:$H$9997,8,FALSE),0)</f>
        <v/>
      </c>
      <c r="G2068" s="29">
        <f>VLOOKUP(A2068,Calendar!$A$1:$H$9997,6,FALSE)-F2068</f>
        <v/>
      </c>
      <c r="H2068" s="19" t="n">
        <v>3</v>
      </c>
      <c r="I2068" s="57" t="n">
        <v>8</v>
      </c>
    </row>
    <row r="2069">
      <c r="A2069" s="62" t="n">
        <v>47084</v>
      </c>
      <c r="B2069" s="3" t="inlineStr">
        <is>
          <t>Week</t>
        </is>
      </c>
      <c r="C2069" s="19" t="n">
        <v>11</v>
      </c>
      <c r="D2069" s="19" t="n">
        <v>2028</v>
      </c>
      <c r="E2069" s="57" t="n">
        <v>2</v>
      </c>
      <c r="F2069" s="29">
        <f>ROUND(((SUMIFS(Calendar!$F$2:$F$9997,Calendar!$B$2:$B$9997,D2069,Calendar!$C$2:$C$9997,C2069)*INDEX(ForeCalc!$B$37:$Y$274,MATCH(_xlfn.CONCAT(H2069," ",I2069),ForeCalc!$A$37:$A$274,0),MATCH(_xlfn.CONCAT(B2069," ",E2069),ForeCalc!$B$36:$Y$36,0))))*VLOOKUP(A2069,Calendar!$A$2:$H$9997,8,FALSE),0)</f>
        <v/>
      </c>
      <c r="G2069" s="29">
        <f>VLOOKUP(A2069,Calendar!$A$1:$H$9997,6,FALSE)-F2069</f>
        <v/>
      </c>
      <c r="H2069" s="19" t="n">
        <v>3</v>
      </c>
      <c r="I2069" s="57" t="n">
        <v>8</v>
      </c>
    </row>
    <row r="2070">
      <c r="A2070" s="62" t="n">
        <v>47085</v>
      </c>
      <c r="B2070" s="3" t="inlineStr">
        <is>
          <t>Week</t>
        </is>
      </c>
      <c r="C2070" s="19" t="n">
        <v>11</v>
      </c>
      <c r="D2070" s="19" t="n">
        <v>2028</v>
      </c>
      <c r="E2070" s="57" t="n">
        <v>2</v>
      </c>
      <c r="F2070" s="29">
        <f>ROUND(((SUMIFS(Calendar!$F$2:$F$9997,Calendar!$B$2:$B$9997,D2070,Calendar!$C$2:$C$9997,C2070)*INDEX(ForeCalc!$B$37:$Y$274,MATCH(_xlfn.CONCAT(H2070," ",I2070),ForeCalc!$A$37:$A$274,0),MATCH(_xlfn.CONCAT(B2070," ",E2070),ForeCalc!$B$36:$Y$36,0))))*VLOOKUP(A2070,Calendar!$A$2:$H$9997,8,FALSE),0)</f>
        <v/>
      </c>
      <c r="G2070" s="29">
        <f>VLOOKUP(A2070,Calendar!$A$1:$H$9997,6,FALSE)-F2070</f>
        <v/>
      </c>
      <c r="H2070" s="19" t="n">
        <v>3</v>
      </c>
      <c r="I2070" s="57" t="n">
        <v>8</v>
      </c>
    </row>
    <row r="2071">
      <c r="A2071" s="62" t="n">
        <v>47086</v>
      </c>
      <c r="B2071" s="3" t="inlineStr">
        <is>
          <t>Week</t>
        </is>
      </c>
      <c r="C2071" s="19" t="n">
        <v>11</v>
      </c>
      <c r="D2071" s="19" t="n">
        <v>2028</v>
      </c>
      <c r="E2071" s="57" t="n">
        <v>2</v>
      </c>
      <c r="F2071" s="29">
        <f>ROUND(((SUMIFS(Calendar!$F$2:$F$9997,Calendar!$B$2:$B$9997,D2071,Calendar!$C$2:$C$9997,C2071)*INDEX(ForeCalc!$B$37:$Y$274,MATCH(_xlfn.CONCAT(H2071," ",I2071),ForeCalc!$A$37:$A$274,0),MATCH(_xlfn.CONCAT(B2071," ",E2071),ForeCalc!$B$36:$Y$36,0))))*VLOOKUP(A2071,Calendar!$A$2:$H$9997,8,FALSE),0)</f>
        <v/>
      </c>
      <c r="G2071" s="29">
        <f>VLOOKUP(A2071,Calendar!$A$1:$H$9997,6,FALSE)-F2071</f>
        <v/>
      </c>
      <c r="H2071" s="19" t="n">
        <v>3</v>
      </c>
      <c r="I2071" s="57" t="n">
        <v>8</v>
      </c>
    </row>
    <row r="2072">
      <c r="A2072" s="62" t="n">
        <v>47087</v>
      </c>
      <c r="B2072" s="3" t="inlineStr">
        <is>
          <t>Week</t>
        </is>
      </c>
      <c r="C2072" s="19" t="n">
        <v>11</v>
      </c>
      <c r="D2072" s="19" t="n">
        <v>2028</v>
      </c>
      <c r="E2072" s="57" t="n">
        <v>2</v>
      </c>
      <c r="F2072" s="29">
        <f>ROUND(((SUMIFS(Calendar!$F$2:$F$9997,Calendar!$B$2:$B$9997,D2072,Calendar!$C$2:$C$9997,C2072)*INDEX(ForeCalc!$B$37:$Y$274,MATCH(_xlfn.CONCAT(H2072," ",I2072),ForeCalc!$A$37:$A$274,0),MATCH(_xlfn.CONCAT(B2072," ",E2072),ForeCalc!$B$36:$Y$36,0))))*VLOOKUP(A2072,Calendar!$A$2:$H$9997,8,FALSE),0)</f>
        <v/>
      </c>
      <c r="G2072" s="29">
        <f>VLOOKUP(A2072,Calendar!$A$1:$H$9997,6,FALSE)-F2072</f>
        <v/>
      </c>
      <c r="H2072" s="19" t="n">
        <v>3</v>
      </c>
      <c r="I2072" s="57" t="n">
        <v>8</v>
      </c>
    </row>
    <row r="2073">
      <c r="A2073" s="62" t="n">
        <v>47088</v>
      </c>
      <c r="B2073" s="3" t="inlineStr">
        <is>
          <t>Week</t>
        </is>
      </c>
      <c r="C2073" s="19" t="n">
        <v>12</v>
      </c>
      <c r="D2073" s="19" t="n">
        <v>2028</v>
      </c>
      <c r="E2073" s="57" t="n">
        <v>2</v>
      </c>
      <c r="F2073" s="29">
        <f>ROUND(((SUMIFS(Calendar!$F$2:$F$9997,Calendar!$B$2:$B$9997,D2073,Calendar!$C$2:$C$9997,C2073)*INDEX(ForeCalc!$B$37:$Y$274,MATCH(_xlfn.CONCAT(H2073," ",I2073),ForeCalc!$A$37:$A$274,0),MATCH(_xlfn.CONCAT(B2073," ",E2073),ForeCalc!$B$36:$Y$36,0))))*VLOOKUP(A2073,Calendar!$A$2:$H$9997,8,FALSE),0)</f>
        <v/>
      </c>
      <c r="G2073" s="29">
        <f>VLOOKUP(A2073,Calendar!$A$1:$H$9997,6,FALSE)-F2073</f>
        <v/>
      </c>
      <c r="H2073" s="19" t="n">
        <v>3</v>
      </c>
      <c r="I2073" s="57" t="n">
        <v>9</v>
      </c>
    </row>
    <row r="2074">
      <c r="A2074" s="62" t="n">
        <v>47089</v>
      </c>
      <c r="B2074" s="3" t="inlineStr">
        <is>
          <t>Sat</t>
        </is>
      </c>
      <c r="C2074" s="19" t="n">
        <v>12</v>
      </c>
      <c r="D2074" s="19" t="n">
        <v>2028</v>
      </c>
      <c r="E2074" s="57" t="n">
        <v>2</v>
      </c>
      <c r="F2074" s="29">
        <f>ROUND(((SUMIFS(Calendar!$F$2:$F$9997,Calendar!$B$2:$B$9997,D2074,Calendar!$C$2:$C$9997,C2074)*INDEX(ForeCalc!$B$37:$Y$274,MATCH(_xlfn.CONCAT(H2074," ",I2074),ForeCalc!$A$37:$A$274,0),MATCH(_xlfn.CONCAT(B2074," ",E2074),ForeCalc!$B$36:$Y$36,0))))*VLOOKUP(A2074,Calendar!$A$2:$H$9997,8,FALSE),0)</f>
        <v/>
      </c>
      <c r="G2074" s="29">
        <f>VLOOKUP(A2074,Calendar!$A$1:$H$9997,6,FALSE)-F2074</f>
        <v/>
      </c>
      <c r="H2074" s="19" t="n">
        <v>3</v>
      </c>
      <c r="I2074" s="57" t="n">
        <v>9</v>
      </c>
    </row>
    <row r="2075">
      <c r="A2075" s="62" t="n">
        <v>47090</v>
      </c>
      <c r="B2075" s="3" t="inlineStr">
        <is>
          <t>Sun</t>
        </is>
      </c>
      <c r="C2075" s="19" t="n">
        <v>12</v>
      </c>
      <c r="D2075" s="19" t="n">
        <v>2028</v>
      </c>
      <c r="E2075" s="57" t="n">
        <v>2</v>
      </c>
      <c r="F2075" s="29">
        <f>ROUND(((SUMIFS(Calendar!$F$2:$F$9997,Calendar!$B$2:$B$9997,D2075,Calendar!$C$2:$C$9997,C2075)*INDEX(ForeCalc!$B$37:$Y$274,MATCH(_xlfn.CONCAT(H2075," ",I2075),ForeCalc!$A$37:$A$274,0),MATCH(_xlfn.CONCAT(B2075," ",E2075),ForeCalc!$B$36:$Y$36,0))))*VLOOKUP(A2075,Calendar!$A$2:$H$9997,8,FALSE),0)</f>
        <v/>
      </c>
      <c r="G2075" s="29">
        <f>VLOOKUP(A2075,Calendar!$A$1:$H$9997,6,FALSE)-F2075</f>
        <v/>
      </c>
      <c r="H2075" s="19" t="n">
        <v>3</v>
      </c>
      <c r="I2075" s="57" t="n">
        <v>9</v>
      </c>
    </row>
    <row r="2076">
      <c r="A2076" s="62" t="n">
        <v>47091</v>
      </c>
      <c r="B2076" s="3" t="inlineStr">
        <is>
          <t>Week</t>
        </is>
      </c>
      <c r="C2076" s="19" t="n">
        <v>12</v>
      </c>
      <c r="D2076" s="19" t="n">
        <v>2028</v>
      </c>
      <c r="E2076" s="57" t="n">
        <v>2</v>
      </c>
      <c r="F2076" s="29">
        <f>ROUND(((SUMIFS(Calendar!$F$2:$F$9997,Calendar!$B$2:$B$9997,D2076,Calendar!$C$2:$C$9997,C2076)*INDEX(ForeCalc!$B$37:$Y$274,MATCH(_xlfn.CONCAT(H2076," ",I2076),ForeCalc!$A$37:$A$274,0),MATCH(_xlfn.CONCAT(B2076," ",E2076),ForeCalc!$B$36:$Y$36,0))))*VLOOKUP(A2076,Calendar!$A$2:$H$9997,8,FALSE),0)</f>
        <v/>
      </c>
      <c r="G2076" s="29">
        <f>VLOOKUP(A2076,Calendar!$A$1:$H$9997,6,FALSE)-F2076</f>
        <v/>
      </c>
      <c r="H2076" s="19" t="n">
        <v>3</v>
      </c>
      <c r="I2076" s="57" t="n">
        <v>9</v>
      </c>
    </row>
    <row r="2077">
      <c r="A2077" s="62" t="n">
        <v>47092</v>
      </c>
      <c r="B2077" s="3" t="inlineStr">
        <is>
          <t>Week</t>
        </is>
      </c>
      <c r="C2077" s="19" t="n">
        <v>12</v>
      </c>
      <c r="D2077" s="19" t="n">
        <v>2028</v>
      </c>
      <c r="E2077" s="57" t="n">
        <v>2</v>
      </c>
      <c r="F2077" s="29">
        <f>ROUND(((SUMIFS(Calendar!$F$2:$F$9997,Calendar!$B$2:$B$9997,D2077,Calendar!$C$2:$C$9997,C2077)*INDEX(ForeCalc!$B$37:$Y$274,MATCH(_xlfn.CONCAT(H2077," ",I2077),ForeCalc!$A$37:$A$274,0),MATCH(_xlfn.CONCAT(B2077," ",E2077),ForeCalc!$B$36:$Y$36,0))))*VLOOKUP(A2077,Calendar!$A$2:$H$9997,8,FALSE),0)</f>
        <v/>
      </c>
      <c r="G2077" s="29">
        <f>VLOOKUP(A2077,Calendar!$A$1:$H$9997,6,FALSE)-F2077</f>
        <v/>
      </c>
      <c r="H2077" s="19" t="n">
        <v>3</v>
      </c>
      <c r="I2077" s="57" t="n">
        <v>9</v>
      </c>
    </row>
    <row r="2078">
      <c r="A2078" s="62" t="n">
        <v>47093</v>
      </c>
      <c r="B2078" s="3" t="inlineStr">
        <is>
          <t>Week</t>
        </is>
      </c>
      <c r="C2078" s="19" t="n">
        <v>12</v>
      </c>
      <c r="D2078" s="19" t="n">
        <v>2028</v>
      </c>
      <c r="E2078" s="57" t="n">
        <v>2</v>
      </c>
      <c r="F2078" s="29">
        <f>ROUND(((SUMIFS(Calendar!$F$2:$F$9997,Calendar!$B$2:$B$9997,D2078,Calendar!$C$2:$C$9997,C2078)*INDEX(ForeCalc!$B$37:$Y$274,MATCH(_xlfn.CONCAT(H2078," ",I2078),ForeCalc!$A$37:$A$274,0),MATCH(_xlfn.CONCAT(B2078," ",E2078),ForeCalc!$B$36:$Y$36,0))))*VLOOKUP(A2078,Calendar!$A$2:$H$9997,8,FALSE),0)</f>
        <v/>
      </c>
      <c r="G2078" s="29">
        <f>VLOOKUP(A2078,Calendar!$A$1:$H$9997,6,FALSE)-F2078</f>
        <v/>
      </c>
      <c r="H2078" s="19" t="n">
        <v>3</v>
      </c>
      <c r="I2078" s="57" t="n">
        <v>9</v>
      </c>
    </row>
    <row r="2079">
      <c r="A2079" s="62" t="n">
        <v>47094</v>
      </c>
      <c r="B2079" s="3" t="inlineStr">
        <is>
          <t>Week</t>
        </is>
      </c>
      <c r="C2079" s="19" t="n">
        <v>12</v>
      </c>
      <c r="D2079" s="19" t="n">
        <v>2028</v>
      </c>
      <c r="E2079" s="57" t="n">
        <v>2</v>
      </c>
      <c r="F2079" s="29">
        <f>ROUND(((SUMIFS(Calendar!$F$2:$F$9997,Calendar!$B$2:$B$9997,D2079,Calendar!$C$2:$C$9997,C2079)*INDEX(ForeCalc!$B$37:$Y$274,MATCH(_xlfn.CONCAT(H2079," ",I2079),ForeCalc!$A$37:$A$274,0),MATCH(_xlfn.CONCAT(B2079," ",E2079),ForeCalc!$B$36:$Y$36,0))))*VLOOKUP(A2079,Calendar!$A$2:$H$9997,8,FALSE),0)</f>
        <v/>
      </c>
      <c r="G2079" s="29">
        <f>VLOOKUP(A2079,Calendar!$A$1:$H$9997,6,FALSE)-F2079</f>
        <v/>
      </c>
      <c r="H2079" s="19" t="n">
        <v>3</v>
      </c>
      <c r="I2079" s="57" t="n">
        <v>9</v>
      </c>
    </row>
    <row r="2080">
      <c r="A2080" s="62" t="n">
        <v>47095</v>
      </c>
      <c r="B2080" s="3" t="inlineStr">
        <is>
          <t>Week</t>
        </is>
      </c>
      <c r="C2080" s="19" t="n">
        <v>12</v>
      </c>
      <c r="D2080" s="19" t="n">
        <v>2028</v>
      </c>
      <c r="E2080" s="57" t="n">
        <v>2</v>
      </c>
      <c r="F2080" s="29">
        <f>ROUND(((SUMIFS(Calendar!$F$2:$F$9997,Calendar!$B$2:$B$9997,D2080,Calendar!$C$2:$C$9997,C2080)*INDEX(ForeCalc!$B$37:$Y$274,MATCH(_xlfn.CONCAT(H2080," ",I2080),ForeCalc!$A$37:$A$274,0),MATCH(_xlfn.CONCAT(B2080," ",E2080),ForeCalc!$B$36:$Y$36,0))))*VLOOKUP(A2080,Calendar!$A$2:$H$9997,8,FALSE),0)</f>
        <v/>
      </c>
      <c r="G2080" s="29">
        <f>VLOOKUP(A2080,Calendar!$A$1:$H$9997,6,FALSE)-F2080</f>
        <v/>
      </c>
      <c r="H2080" s="19" t="n">
        <v>3</v>
      </c>
      <c r="I2080" s="57" t="n">
        <v>9</v>
      </c>
    </row>
    <row r="2081">
      <c r="A2081" s="62" t="n">
        <v>47096</v>
      </c>
      <c r="B2081" s="3" t="inlineStr">
        <is>
          <t>Sat</t>
        </is>
      </c>
      <c r="C2081" s="19" t="n">
        <v>12</v>
      </c>
      <c r="D2081" s="19" t="n">
        <v>2028</v>
      </c>
      <c r="E2081" s="57" t="n">
        <v>2</v>
      </c>
      <c r="F2081" s="29">
        <f>ROUND(((SUMIFS(Calendar!$F$2:$F$9997,Calendar!$B$2:$B$9997,D2081,Calendar!$C$2:$C$9997,C2081)*INDEX(ForeCalc!$B$37:$Y$274,MATCH(_xlfn.CONCAT(H2081," ",I2081),ForeCalc!$A$37:$A$274,0),MATCH(_xlfn.CONCAT(B2081," ",E2081),ForeCalc!$B$36:$Y$36,0))))*VLOOKUP(A2081,Calendar!$A$2:$H$9997,8,FALSE),0)</f>
        <v/>
      </c>
      <c r="G2081" s="29">
        <f>VLOOKUP(A2081,Calendar!$A$1:$H$9997,6,FALSE)-F2081</f>
        <v/>
      </c>
      <c r="H2081" s="19" t="n">
        <v>3</v>
      </c>
      <c r="I2081" s="57" t="n">
        <v>9</v>
      </c>
    </row>
    <row r="2082">
      <c r="A2082" s="62" t="n">
        <v>47097</v>
      </c>
      <c r="B2082" s="3" t="inlineStr">
        <is>
          <t>Sun</t>
        </is>
      </c>
      <c r="C2082" s="19" t="n">
        <v>12</v>
      </c>
      <c r="D2082" s="19" t="n">
        <v>2028</v>
      </c>
      <c r="E2082" s="57" t="n">
        <v>2</v>
      </c>
      <c r="F2082" s="29">
        <f>ROUND(((SUMIFS(Calendar!$F$2:$F$9997,Calendar!$B$2:$B$9997,D2082,Calendar!$C$2:$C$9997,C2082)*INDEX(ForeCalc!$B$37:$Y$274,MATCH(_xlfn.CONCAT(H2082," ",I2082),ForeCalc!$A$37:$A$274,0),MATCH(_xlfn.CONCAT(B2082," ",E2082),ForeCalc!$B$36:$Y$36,0))))*VLOOKUP(A2082,Calendar!$A$2:$H$9997,8,FALSE),0)</f>
        <v/>
      </c>
      <c r="G2082" s="29">
        <f>VLOOKUP(A2082,Calendar!$A$1:$H$9997,6,FALSE)-F2082</f>
        <v/>
      </c>
      <c r="H2082" s="19" t="n">
        <v>3</v>
      </c>
      <c r="I2082" s="57" t="n">
        <v>9</v>
      </c>
    </row>
    <row r="2083">
      <c r="A2083" s="62" t="n">
        <v>47098</v>
      </c>
      <c r="B2083" s="3" t="inlineStr">
        <is>
          <t>Week</t>
        </is>
      </c>
      <c r="C2083" s="19" t="n">
        <v>12</v>
      </c>
      <c r="D2083" s="19" t="n">
        <v>2028</v>
      </c>
      <c r="E2083" s="57" t="n">
        <v>2</v>
      </c>
      <c r="F2083" s="29">
        <f>ROUND(((SUMIFS(Calendar!$F$2:$F$9997,Calendar!$B$2:$B$9997,D2083,Calendar!$C$2:$C$9997,C2083)*INDEX(ForeCalc!$B$37:$Y$274,MATCH(_xlfn.CONCAT(H2083," ",I2083),ForeCalc!$A$37:$A$274,0),MATCH(_xlfn.CONCAT(B2083," ",E2083),ForeCalc!$B$36:$Y$36,0))))*VLOOKUP(A2083,Calendar!$A$2:$H$9997,8,FALSE),0)</f>
        <v/>
      </c>
      <c r="G2083" s="29">
        <f>VLOOKUP(A2083,Calendar!$A$1:$H$9997,6,FALSE)-F2083</f>
        <v/>
      </c>
      <c r="H2083" s="19" t="n">
        <v>3</v>
      </c>
      <c r="I2083" s="57" t="n">
        <v>9</v>
      </c>
    </row>
    <row r="2084">
      <c r="A2084" s="62" t="n">
        <v>47099</v>
      </c>
      <c r="B2084" s="3" t="inlineStr">
        <is>
          <t>Week</t>
        </is>
      </c>
      <c r="C2084" s="19" t="n">
        <v>12</v>
      </c>
      <c r="D2084" s="19" t="n">
        <v>2028</v>
      </c>
      <c r="E2084" s="57" t="n">
        <v>2</v>
      </c>
      <c r="F2084" s="29">
        <f>ROUND(((SUMIFS(Calendar!$F$2:$F$9997,Calendar!$B$2:$B$9997,D2084,Calendar!$C$2:$C$9997,C2084)*INDEX(ForeCalc!$B$37:$Y$274,MATCH(_xlfn.CONCAT(H2084," ",I2084),ForeCalc!$A$37:$A$274,0),MATCH(_xlfn.CONCAT(B2084," ",E2084),ForeCalc!$B$36:$Y$36,0))))*VLOOKUP(A2084,Calendar!$A$2:$H$9997,8,FALSE),0)</f>
        <v/>
      </c>
      <c r="G2084" s="29">
        <f>VLOOKUP(A2084,Calendar!$A$1:$H$9997,6,FALSE)-F2084</f>
        <v/>
      </c>
      <c r="H2084" s="19" t="n">
        <v>3</v>
      </c>
      <c r="I2084" s="57" t="n">
        <v>9</v>
      </c>
    </row>
    <row r="2085">
      <c r="A2085" s="62" t="n">
        <v>47100</v>
      </c>
      <c r="B2085" s="3" t="inlineStr">
        <is>
          <t>Week</t>
        </is>
      </c>
      <c r="C2085" s="19" t="n">
        <v>12</v>
      </c>
      <c r="D2085" s="19" t="n">
        <v>2028</v>
      </c>
      <c r="E2085" s="57" t="n">
        <v>2</v>
      </c>
      <c r="F2085" s="29">
        <f>ROUND(((SUMIFS(Calendar!$F$2:$F$9997,Calendar!$B$2:$B$9997,D2085,Calendar!$C$2:$C$9997,C2085)*INDEX(ForeCalc!$B$37:$Y$274,MATCH(_xlfn.CONCAT(H2085," ",I2085),ForeCalc!$A$37:$A$274,0),MATCH(_xlfn.CONCAT(B2085," ",E2085),ForeCalc!$B$36:$Y$36,0))))*VLOOKUP(A2085,Calendar!$A$2:$H$9997,8,FALSE),0)</f>
        <v/>
      </c>
      <c r="G2085" s="29">
        <f>VLOOKUP(A2085,Calendar!$A$1:$H$9997,6,FALSE)-F2085</f>
        <v/>
      </c>
      <c r="H2085" s="19" t="n">
        <v>3</v>
      </c>
      <c r="I2085" s="57" t="n">
        <v>9</v>
      </c>
    </row>
    <row r="2086">
      <c r="A2086" s="62" t="n">
        <v>47101</v>
      </c>
      <c r="B2086" s="3" t="inlineStr">
        <is>
          <t>Week</t>
        </is>
      </c>
      <c r="C2086" s="19" t="n">
        <v>12</v>
      </c>
      <c r="D2086" s="19" t="n">
        <v>2028</v>
      </c>
      <c r="E2086" s="57" t="n">
        <v>2</v>
      </c>
      <c r="F2086" s="29">
        <f>ROUND(((SUMIFS(Calendar!$F$2:$F$9997,Calendar!$B$2:$B$9997,D2086,Calendar!$C$2:$C$9997,C2086)*INDEX(ForeCalc!$B$37:$Y$274,MATCH(_xlfn.CONCAT(H2086," ",I2086),ForeCalc!$A$37:$A$274,0),MATCH(_xlfn.CONCAT(B2086," ",E2086),ForeCalc!$B$36:$Y$36,0))))*VLOOKUP(A2086,Calendar!$A$2:$H$9997,8,FALSE),0)</f>
        <v/>
      </c>
      <c r="G2086" s="29">
        <f>VLOOKUP(A2086,Calendar!$A$1:$H$9997,6,FALSE)-F2086</f>
        <v/>
      </c>
      <c r="H2086" s="19" t="n">
        <v>3</v>
      </c>
      <c r="I2086" s="57" t="n">
        <v>9</v>
      </c>
    </row>
    <row r="2087">
      <c r="A2087" s="62" t="n">
        <v>47102</v>
      </c>
      <c r="B2087" s="3" t="inlineStr">
        <is>
          <t>Week</t>
        </is>
      </c>
      <c r="C2087" s="19" t="n">
        <v>12</v>
      </c>
      <c r="D2087" s="19" t="n">
        <v>2028</v>
      </c>
      <c r="E2087" s="57" t="n">
        <v>2</v>
      </c>
      <c r="F2087" s="29">
        <f>ROUND(((SUMIFS(Calendar!$F$2:$F$9997,Calendar!$B$2:$B$9997,D2087,Calendar!$C$2:$C$9997,C2087)*INDEX(ForeCalc!$B$37:$Y$274,MATCH(_xlfn.CONCAT(H2087," ",I2087),ForeCalc!$A$37:$A$274,0),MATCH(_xlfn.CONCAT(B2087," ",E2087),ForeCalc!$B$36:$Y$36,0))))*VLOOKUP(A2087,Calendar!$A$2:$H$9997,8,FALSE),0)</f>
        <v/>
      </c>
      <c r="G2087" s="29">
        <f>VLOOKUP(A2087,Calendar!$A$1:$H$9997,6,FALSE)-F2087</f>
        <v/>
      </c>
      <c r="H2087" s="19" t="n">
        <v>3</v>
      </c>
      <c r="I2087" s="57" t="n">
        <v>9</v>
      </c>
    </row>
    <row r="2088">
      <c r="A2088" s="62" t="n">
        <v>47103</v>
      </c>
      <c r="B2088" s="3" t="inlineStr">
        <is>
          <t>Sat</t>
        </is>
      </c>
      <c r="C2088" s="19" t="n">
        <v>12</v>
      </c>
      <c r="D2088" s="19" t="n">
        <v>2028</v>
      </c>
      <c r="E2088" s="57" t="n">
        <v>2</v>
      </c>
      <c r="F2088" s="29">
        <f>ROUND(((SUMIFS(Calendar!$F$2:$F$9997,Calendar!$B$2:$B$9997,D2088,Calendar!$C$2:$C$9997,C2088)*INDEX(ForeCalc!$B$37:$Y$274,MATCH(_xlfn.CONCAT(H2088," ",I2088),ForeCalc!$A$37:$A$274,0),MATCH(_xlfn.CONCAT(B2088," ",E2088),ForeCalc!$B$36:$Y$36,0))))*VLOOKUP(A2088,Calendar!$A$2:$H$9997,8,FALSE),0)</f>
        <v/>
      </c>
      <c r="G2088" s="29">
        <f>VLOOKUP(A2088,Calendar!$A$1:$H$9997,6,FALSE)-F2088</f>
        <v/>
      </c>
      <c r="H2088" s="19" t="n">
        <v>3</v>
      </c>
      <c r="I2088" s="57" t="n">
        <v>9</v>
      </c>
    </row>
    <row r="2089">
      <c r="A2089" s="62" t="n">
        <v>47104</v>
      </c>
      <c r="B2089" s="3" t="inlineStr">
        <is>
          <t>Sun</t>
        </is>
      </c>
      <c r="C2089" s="19" t="n">
        <v>12</v>
      </c>
      <c r="D2089" s="19" t="n">
        <v>2028</v>
      </c>
      <c r="E2089" s="57" t="n">
        <v>2</v>
      </c>
      <c r="F2089" s="29">
        <f>ROUND(((SUMIFS(Calendar!$F$2:$F$9997,Calendar!$B$2:$B$9997,D2089,Calendar!$C$2:$C$9997,C2089)*INDEX(ForeCalc!$B$37:$Y$274,MATCH(_xlfn.CONCAT(H2089," ",I2089),ForeCalc!$A$37:$A$274,0),MATCH(_xlfn.CONCAT(B2089," ",E2089),ForeCalc!$B$36:$Y$36,0))))*VLOOKUP(A2089,Calendar!$A$2:$H$9997,8,FALSE),0)</f>
        <v/>
      </c>
      <c r="G2089" s="29">
        <f>VLOOKUP(A2089,Calendar!$A$1:$H$9997,6,FALSE)-F2089</f>
        <v/>
      </c>
      <c r="H2089" s="19" t="n">
        <v>3</v>
      </c>
      <c r="I2089" s="57" t="n">
        <v>9</v>
      </c>
    </row>
    <row r="2090">
      <c r="A2090" s="62" t="n">
        <v>47105</v>
      </c>
      <c r="B2090" s="3" t="inlineStr">
        <is>
          <t>Week</t>
        </is>
      </c>
      <c r="C2090" s="19" t="n">
        <v>12</v>
      </c>
      <c r="D2090" s="19" t="n">
        <v>2028</v>
      </c>
      <c r="E2090" s="57" t="n">
        <v>2</v>
      </c>
      <c r="F2090" s="29">
        <f>ROUND(((SUMIFS(Calendar!$F$2:$F$9997,Calendar!$B$2:$B$9997,D2090,Calendar!$C$2:$C$9997,C2090)*INDEX(ForeCalc!$B$37:$Y$274,MATCH(_xlfn.CONCAT(H2090," ",I2090),ForeCalc!$A$37:$A$274,0),MATCH(_xlfn.CONCAT(B2090," ",E2090),ForeCalc!$B$36:$Y$36,0))))*VLOOKUP(A2090,Calendar!$A$2:$H$9997,8,FALSE),0)</f>
        <v/>
      </c>
      <c r="G2090" s="29">
        <f>VLOOKUP(A2090,Calendar!$A$1:$H$9997,6,FALSE)-F2090</f>
        <v/>
      </c>
      <c r="H2090" s="19" t="n">
        <v>3</v>
      </c>
      <c r="I2090" s="57" t="n">
        <v>9</v>
      </c>
    </row>
    <row r="2091">
      <c r="A2091" s="62" t="n">
        <v>47106</v>
      </c>
      <c r="B2091" s="3" t="inlineStr">
        <is>
          <t>Week</t>
        </is>
      </c>
      <c r="C2091" s="19" t="n">
        <v>12</v>
      </c>
      <c r="D2091" s="19" t="n">
        <v>2028</v>
      </c>
      <c r="E2091" s="57" t="n">
        <v>2</v>
      </c>
      <c r="F2091" s="29">
        <f>ROUND(((SUMIFS(Calendar!$F$2:$F$9997,Calendar!$B$2:$B$9997,D2091,Calendar!$C$2:$C$9997,C2091)*INDEX(ForeCalc!$B$37:$Y$274,MATCH(_xlfn.CONCAT(H2091," ",I2091),ForeCalc!$A$37:$A$274,0),MATCH(_xlfn.CONCAT(B2091," ",E2091),ForeCalc!$B$36:$Y$36,0))))*VLOOKUP(A2091,Calendar!$A$2:$H$9997,8,FALSE),0)</f>
        <v/>
      </c>
      <c r="G2091" s="29">
        <f>VLOOKUP(A2091,Calendar!$A$1:$H$9997,6,FALSE)-F2091</f>
        <v/>
      </c>
      <c r="H2091" s="19" t="n">
        <v>3</v>
      </c>
      <c r="I2091" s="57" t="n">
        <v>9</v>
      </c>
    </row>
    <row r="2092">
      <c r="A2092" s="62" t="n">
        <v>47107</v>
      </c>
      <c r="B2092" s="3" t="inlineStr">
        <is>
          <t>Week</t>
        </is>
      </c>
      <c r="C2092" s="19" t="n">
        <v>12</v>
      </c>
      <c r="D2092" s="19" t="n">
        <v>2028</v>
      </c>
      <c r="E2092" s="57" t="n">
        <v>2</v>
      </c>
      <c r="F2092" s="29">
        <f>ROUND(((SUMIFS(Calendar!$F$2:$F$9997,Calendar!$B$2:$B$9997,D2092,Calendar!$C$2:$C$9997,C2092)*INDEX(ForeCalc!$B$37:$Y$274,MATCH(_xlfn.CONCAT(H2092," ",I2092),ForeCalc!$A$37:$A$274,0),MATCH(_xlfn.CONCAT(B2092," ",E2092),ForeCalc!$B$36:$Y$36,0))))*VLOOKUP(A2092,Calendar!$A$2:$H$9997,8,FALSE),0)</f>
        <v/>
      </c>
      <c r="G2092" s="29">
        <f>VLOOKUP(A2092,Calendar!$A$1:$H$9997,6,FALSE)-F2092</f>
        <v/>
      </c>
      <c r="H2092" s="19" t="n">
        <v>3</v>
      </c>
      <c r="I2092" s="57" t="n">
        <v>9</v>
      </c>
    </row>
    <row r="2093">
      <c r="A2093" s="62" t="n">
        <v>47108</v>
      </c>
      <c r="B2093" s="3" t="inlineStr">
        <is>
          <t>Week</t>
        </is>
      </c>
      <c r="C2093" s="19" t="n">
        <v>12</v>
      </c>
      <c r="D2093" s="19" t="n">
        <v>2028</v>
      </c>
      <c r="E2093" s="57" t="n">
        <v>2</v>
      </c>
      <c r="F2093" s="29">
        <f>ROUND(((SUMIFS(Calendar!$F$2:$F$9997,Calendar!$B$2:$B$9997,D2093,Calendar!$C$2:$C$9997,C2093)*INDEX(ForeCalc!$B$37:$Y$274,MATCH(_xlfn.CONCAT(H2093," ",I2093),ForeCalc!$A$37:$A$274,0),MATCH(_xlfn.CONCAT(B2093," ",E2093),ForeCalc!$B$36:$Y$36,0))))*VLOOKUP(A2093,Calendar!$A$2:$H$9997,8,FALSE),0)</f>
        <v/>
      </c>
      <c r="G2093" s="29">
        <f>VLOOKUP(A2093,Calendar!$A$1:$H$9997,6,FALSE)-F2093</f>
        <v/>
      </c>
      <c r="H2093" s="19" t="n">
        <v>3</v>
      </c>
      <c r="I2093" s="57" t="n">
        <v>9</v>
      </c>
    </row>
    <row r="2094">
      <c r="A2094" s="62" t="n">
        <v>47109</v>
      </c>
      <c r="B2094" s="3" t="inlineStr">
        <is>
          <t>Week</t>
        </is>
      </c>
      <c r="C2094" s="19" t="n">
        <v>12</v>
      </c>
      <c r="D2094" s="19" t="n">
        <v>2028</v>
      </c>
      <c r="E2094" s="57" t="n">
        <v>2</v>
      </c>
      <c r="F2094" s="29">
        <f>ROUND(((SUMIFS(Calendar!$F$2:$F$9997,Calendar!$B$2:$B$9997,D2094,Calendar!$C$2:$C$9997,C2094)*INDEX(ForeCalc!$B$37:$Y$274,MATCH(_xlfn.CONCAT(H2094," ",I2094),ForeCalc!$A$37:$A$274,0),MATCH(_xlfn.CONCAT(B2094," ",E2094),ForeCalc!$B$36:$Y$36,0))))*VLOOKUP(A2094,Calendar!$A$2:$H$9997,8,FALSE),0)</f>
        <v/>
      </c>
      <c r="G2094" s="29">
        <f>VLOOKUP(A2094,Calendar!$A$1:$H$9997,6,FALSE)-F2094</f>
        <v/>
      </c>
      <c r="H2094" s="19" t="n">
        <v>3</v>
      </c>
      <c r="I2094" s="57" t="n">
        <v>9</v>
      </c>
    </row>
    <row r="2095">
      <c r="A2095" s="62" t="n">
        <v>47110</v>
      </c>
      <c r="B2095" s="3" t="inlineStr">
        <is>
          <t>Sat</t>
        </is>
      </c>
      <c r="C2095" s="19" t="n">
        <v>12</v>
      </c>
      <c r="D2095" s="19" t="n">
        <v>2028</v>
      </c>
      <c r="E2095" s="57" t="n">
        <v>2</v>
      </c>
      <c r="F2095" s="29">
        <f>ROUND(((SUMIFS(Calendar!$F$2:$F$9997,Calendar!$B$2:$B$9997,D2095,Calendar!$C$2:$C$9997,C2095)*INDEX(ForeCalc!$B$37:$Y$274,MATCH(_xlfn.CONCAT(H2095," ",I2095),ForeCalc!$A$37:$A$274,0),MATCH(_xlfn.CONCAT(B2095," ",E2095),ForeCalc!$B$36:$Y$36,0))))*VLOOKUP(A2095,Calendar!$A$2:$H$9997,8,FALSE),0)</f>
        <v/>
      </c>
      <c r="G2095" s="29">
        <f>VLOOKUP(A2095,Calendar!$A$1:$H$9997,6,FALSE)-F2095</f>
        <v/>
      </c>
      <c r="H2095" s="19" t="n">
        <v>3</v>
      </c>
      <c r="I2095" s="57" t="n">
        <v>9</v>
      </c>
    </row>
    <row r="2096">
      <c r="A2096" s="62" t="n">
        <v>47111</v>
      </c>
      <c r="B2096" s="3" t="inlineStr">
        <is>
          <t>Sun</t>
        </is>
      </c>
      <c r="C2096" s="19" t="n">
        <v>12</v>
      </c>
      <c r="D2096" s="19" t="n">
        <v>2028</v>
      </c>
      <c r="E2096" s="57" t="n">
        <v>2</v>
      </c>
      <c r="F2096" s="29">
        <f>ROUND(((SUMIFS(Calendar!$F$2:$F$9997,Calendar!$B$2:$B$9997,D2096,Calendar!$C$2:$C$9997,C2096)*INDEX(ForeCalc!$B$37:$Y$274,MATCH(_xlfn.CONCAT(H2096," ",I2096),ForeCalc!$A$37:$A$274,0),MATCH(_xlfn.CONCAT(B2096," ",E2096),ForeCalc!$B$36:$Y$36,0))))*VLOOKUP(A2096,Calendar!$A$2:$H$9997,8,FALSE),0)</f>
        <v/>
      </c>
      <c r="G2096" s="29">
        <f>VLOOKUP(A2096,Calendar!$A$1:$H$9997,6,FALSE)-F2096</f>
        <v/>
      </c>
      <c r="H2096" s="19" t="n">
        <v>3</v>
      </c>
      <c r="I2096" s="57" t="n">
        <v>9</v>
      </c>
    </row>
    <row r="2097">
      <c r="A2097" s="62" t="n">
        <v>47112</v>
      </c>
      <c r="B2097" s="3" t="inlineStr">
        <is>
          <t>Week</t>
        </is>
      </c>
      <c r="C2097" s="19" t="n">
        <v>12</v>
      </c>
      <c r="D2097" s="19" t="n">
        <v>2028</v>
      </c>
      <c r="E2097" s="57" t="n">
        <v>2</v>
      </c>
      <c r="F2097" s="29">
        <f>ROUND(((SUMIFS(Calendar!$F$2:$F$9997,Calendar!$B$2:$B$9997,D2097,Calendar!$C$2:$C$9997,C2097)*INDEX(ForeCalc!$B$37:$Y$274,MATCH(_xlfn.CONCAT(H2097," ",I2097),ForeCalc!$A$37:$A$274,0),MATCH(_xlfn.CONCAT(B2097," ",E2097),ForeCalc!$B$36:$Y$36,0))))*VLOOKUP(A2097,Calendar!$A$2:$H$9997,8,FALSE),0)</f>
        <v/>
      </c>
      <c r="G2097" s="29">
        <f>VLOOKUP(A2097,Calendar!$A$1:$H$9997,6,FALSE)-F2097</f>
        <v/>
      </c>
      <c r="H2097" s="19" t="n">
        <v>3</v>
      </c>
      <c r="I2097" s="57" t="n">
        <v>9</v>
      </c>
    </row>
    <row r="2098">
      <c r="A2098" s="62" t="n">
        <v>47113</v>
      </c>
      <c r="B2098" s="3" t="inlineStr">
        <is>
          <t>Week</t>
        </is>
      </c>
      <c r="C2098" s="19" t="n">
        <v>12</v>
      </c>
      <c r="D2098" s="19" t="n">
        <v>2028</v>
      </c>
      <c r="E2098" s="57" t="n">
        <v>2</v>
      </c>
      <c r="F2098" s="29">
        <f>ROUND(((SUMIFS(Calendar!$F$2:$F$9997,Calendar!$B$2:$B$9997,D2098,Calendar!$C$2:$C$9997,C2098)*INDEX(ForeCalc!$B$37:$Y$274,MATCH(_xlfn.CONCAT(H2098," ",I2098),ForeCalc!$A$37:$A$274,0),MATCH(_xlfn.CONCAT(B2098," ",E2098),ForeCalc!$B$36:$Y$36,0))))*VLOOKUP(A2098,Calendar!$A$2:$H$9997,8,FALSE),0)</f>
        <v/>
      </c>
      <c r="G2098" s="29">
        <f>VLOOKUP(A2098,Calendar!$A$1:$H$9997,6,FALSE)-F2098</f>
        <v/>
      </c>
      <c r="H2098" s="19" t="n">
        <v>3</v>
      </c>
      <c r="I2098" s="57" t="n">
        <v>9</v>
      </c>
    </row>
    <row r="2099">
      <c r="A2099" s="62" t="n">
        <v>47114</v>
      </c>
      <c r="B2099" s="3" t="inlineStr">
        <is>
          <t>Week</t>
        </is>
      </c>
      <c r="C2099" s="19" t="n">
        <v>12</v>
      </c>
      <c r="D2099" s="19" t="n">
        <v>2028</v>
      </c>
      <c r="E2099" s="57" t="n">
        <v>2</v>
      </c>
      <c r="F2099" s="29">
        <f>ROUND(((SUMIFS(Calendar!$F$2:$F$9997,Calendar!$B$2:$B$9997,D2099,Calendar!$C$2:$C$9997,C2099)*INDEX(ForeCalc!$B$37:$Y$274,MATCH(_xlfn.CONCAT(H2099," ",I2099),ForeCalc!$A$37:$A$274,0),MATCH(_xlfn.CONCAT(B2099," ",E2099),ForeCalc!$B$36:$Y$36,0))))*VLOOKUP(A2099,Calendar!$A$2:$H$9997,8,FALSE),0)</f>
        <v/>
      </c>
      <c r="G2099" s="29">
        <f>VLOOKUP(A2099,Calendar!$A$1:$H$9997,6,FALSE)-F2099</f>
        <v/>
      </c>
      <c r="H2099" s="19" t="n">
        <v>3</v>
      </c>
      <c r="I2099" s="57" t="n">
        <v>9</v>
      </c>
    </row>
    <row r="2100">
      <c r="A2100" s="62" t="n">
        <v>47115</v>
      </c>
      <c r="B2100" s="3" t="inlineStr">
        <is>
          <t>Week</t>
        </is>
      </c>
      <c r="C2100" s="19" t="n">
        <v>12</v>
      </c>
      <c r="D2100" s="19" t="n">
        <v>2028</v>
      </c>
      <c r="E2100" s="57" t="n">
        <v>2</v>
      </c>
      <c r="F2100" s="29">
        <f>ROUND(((SUMIFS(Calendar!$F$2:$F$9997,Calendar!$B$2:$B$9997,D2100,Calendar!$C$2:$C$9997,C2100)*INDEX(ForeCalc!$B$37:$Y$274,MATCH(_xlfn.CONCAT(H2100," ",I2100),ForeCalc!$A$37:$A$274,0),MATCH(_xlfn.CONCAT(B2100," ",E2100),ForeCalc!$B$36:$Y$36,0))))*VLOOKUP(A2100,Calendar!$A$2:$H$9997,8,FALSE),0)</f>
        <v/>
      </c>
      <c r="G2100" s="29">
        <f>VLOOKUP(A2100,Calendar!$A$1:$H$9997,6,FALSE)-F2100</f>
        <v/>
      </c>
      <c r="H2100" s="19" t="n">
        <v>3</v>
      </c>
      <c r="I2100" s="57" t="n">
        <v>9</v>
      </c>
    </row>
    <row r="2101">
      <c r="A2101" s="62" t="n">
        <v>47116</v>
      </c>
      <c r="B2101" s="3" t="inlineStr">
        <is>
          <t>Week</t>
        </is>
      </c>
      <c r="C2101" s="19" t="n">
        <v>12</v>
      </c>
      <c r="D2101" s="19" t="n">
        <v>2028</v>
      </c>
      <c r="E2101" s="57" t="n">
        <v>2</v>
      </c>
      <c r="F2101" s="29">
        <f>ROUND(((SUMIFS(Calendar!$F$2:$F$9997,Calendar!$B$2:$B$9997,D2101,Calendar!$C$2:$C$9997,C2101)*INDEX(ForeCalc!$B$37:$Y$274,MATCH(_xlfn.CONCAT(H2101," ",I2101),ForeCalc!$A$37:$A$274,0),MATCH(_xlfn.CONCAT(B2101," ",E2101),ForeCalc!$B$36:$Y$36,0))))*VLOOKUP(A2101,Calendar!$A$2:$H$9997,8,FALSE),0)</f>
        <v/>
      </c>
      <c r="G2101" s="29">
        <f>VLOOKUP(A2101,Calendar!$A$1:$H$9997,6,FALSE)-F2101</f>
        <v/>
      </c>
      <c r="H2101" s="19" t="n">
        <v>3</v>
      </c>
      <c r="I2101" s="57" t="n">
        <v>9</v>
      </c>
    </row>
    <row r="2102">
      <c r="A2102" s="62" t="n">
        <v>47117</v>
      </c>
      <c r="B2102" s="3" t="inlineStr">
        <is>
          <t>Sat</t>
        </is>
      </c>
      <c r="C2102" s="19" t="n">
        <v>12</v>
      </c>
      <c r="D2102" s="19" t="n">
        <v>2028</v>
      </c>
      <c r="E2102" s="57" t="n">
        <v>2</v>
      </c>
      <c r="F2102" s="29">
        <f>ROUND(((SUMIFS(Calendar!$F$2:$F$9997,Calendar!$B$2:$B$9997,D2102,Calendar!$C$2:$C$9997,C2102)*INDEX(ForeCalc!$B$37:$Y$274,MATCH(_xlfn.CONCAT(H2102," ",I2102),ForeCalc!$A$37:$A$274,0),MATCH(_xlfn.CONCAT(B2102," ",E2102),ForeCalc!$B$36:$Y$36,0))))*VLOOKUP(A2102,Calendar!$A$2:$H$9997,8,FALSE),0)</f>
        <v/>
      </c>
      <c r="G2102" s="29">
        <f>VLOOKUP(A2102,Calendar!$A$1:$H$9997,6,FALSE)-F2102</f>
        <v/>
      </c>
      <c r="H2102" s="19" t="n">
        <v>3</v>
      </c>
      <c r="I2102" s="57" t="n">
        <v>9</v>
      </c>
    </row>
    <row r="2103">
      <c r="A2103" s="62" t="n">
        <v>47118</v>
      </c>
      <c r="B2103" s="3" t="inlineStr">
        <is>
          <t>Sun</t>
        </is>
      </c>
      <c r="C2103" s="19" t="n">
        <v>12</v>
      </c>
      <c r="D2103" s="19" t="n">
        <v>2028</v>
      </c>
      <c r="E2103" s="57" t="n">
        <v>2</v>
      </c>
      <c r="F2103" s="29">
        <f>ROUND(((SUMIFS(Calendar!$F$2:$F$9997,Calendar!$B$2:$B$9997,D2103,Calendar!$C$2:$C$9997,C2103)*INDEX(ForeCalc!$B$37:$Y$274,MATCH(_xlfn.CONCAT(H2103," ",I2103),ForeCalc!$A$37:$A$274,0),MATCH(_xlfn.CONCAT(B2103," ",E2103),ForeCalc!$B$36:$Y$36,0))))*VLOOKUP(A2103,Calendar!$A$2:$H$9997,8,FALSE),0)</f>
        <v/>
      </c>
      <c r="G2103" s="29">
        <f>VLOOKUP(A2103,Calendar!$A$1:$H$9997,6,FALSE)-F2103</f>
        <v/>
      </c>
      <c r="H2103" s="19" t="n">
        <v>3</v>
      </c>
      <c r="I2103" s="57" t="n">
        <v>9</v>
      </c>
    </row>
    <row r="2104">
      <c r="A2104" s="62" t="n">
        <v>47119</v>
      </c>
      <c r="B2104" s="3" t="inlineStr">
        <is>
          <t>Week</t>
        </is>
      </c>
      <c r="C2104" s="19" t="n">
        <v>1</v>
      </c>
      <c r="D2104" s="19" t="n">
        <v>2029</v>
      </c>
      <c r="E2104" s="57" t="n">
        <v>2</v>
      </c>
      <c r="F2104" s="29">
        <f>ROUND(((SUMIFS(Calendar!$F$2:$F$9997,Calendar!$B$2:$B$9997,D2104,Calendar!$C$2:$C$9997,C2104)*INDEX(ForeCalc!$B$37:$Y$274,MATCH(_xlfn.CONCAT(H2104," ",I2104),ForeCalc!$A$37:$A$274,0),MATCH(_xlfn.CONCAT(B2104," ",E2104),ForeCalc!$B$36:$Y$36,0))))*VLOOKUP(A2104,Calendar!$A$2:$H$9997,8,FALSE),0)</f>
        <v/>
      </c>
      <c r="G2104" s="29">
        <f>VLOOKUP(A2104,Calendar!$A$1:$H$9997,6,FALSE)-F2104</f>
        <v/>
      </c>
      <c r="H2104" s="19" t="n">
        <v>3</v>
      </c>
      <c r="I2104" s="57" t="n">
        <v>10</v>
      </c>
    </row>
    <row r="2105">
      <c r="A2105" s="62" t="n">
        <v>47120</v>
      </c>
      <c r="B2105" s="3" t="inlineStr">
        <is>
          <t>Week</t>
        </is>
      </c>
      <c r="C2105" s="19" t="n">
        <v>1</v>
      </c>
      <c r="D2105" s="19" t="n">
        <v>2029</v>
      </c>
      <c r="E2105" s="57" t="n">
        <v>2</v>
      </c>
      <c r="F2105" s="29">
        <f>ROUND(((SUMIFS(Calendar!$F$2:$F$9997,Calendar!$B$2:$B$9997,D2105,Calendar!$C$2:$C$9997,C2105)*INDEX(ForeCalc!$B$37:$Y$274,MATCH(_xlfn.CONCAT(H2105," ",I2105),ForeCalc!$A$37:$A$274,0),MATCH(_xlfn.CONCAT(B2105," ",E2105),ForeCalc!$B$36:$Y$36,0))))*VLOOKUP(A2105,Calendar!$A$2:$H$9997,8,FALSE),0)</f>
        <v/>
      </c>
      <c r="G2105" s="29">
        <f>VLOOKUP(A2105,Calendar!$A$1:$H$9997,6,FALSE)-F2105</f>
        <v/>
      </c>
      <c r="H2105" s="19" t="n">
        <v>3</v>
      </c>
      <c r="I2105" s="57" t="n">
        <v>10</v>
      </c>
    </row>
    <row r="2106">
      <c r="A2106" s="62" t="n">
        <v>47121</v>
      </c>
      <c r="B2106" s="3" t="inlineStr">
        <is>
          <t>Week</t>
        </is>
      </c>
      <c r="C2106" s="19" t="n">
        <v>1</v>
      </c>
      <c r="D2106" s="19" t="n">
        <v>2029</v>
      </c>
      <c r="E2106" s="57" t="n">
        <v>2</v>
      </c>
      <c r="F2106" s="29">
        <f>ROUND(((SUMIFS(Calendar!$F$2:$F$9997,Calendar!$B$2:$B$9997,D2106,Calendar!$C$2:$C$9997,C2106)*INDEX(ForeCalc!$B$37:$Y$274,MATCH(_xlfn.CONCAT(H2106," ",I2106),ForeCalc!$A$37:$A$274,0),MATCH(_xlfn.CONCAT(B2106," ",E2106),ForeCalc!$B$36:$Y$36,0))))*VLOOKUP(A2106,Calendar!$A$2:$H$9997,8,FALSE),0)</f>
        <v/>
      </c>
      <c r="G2106" s="29">
        <f>VLOOKUP(A2106,Calendar!$A$1:$H$9997,6,FALSE)-F2106</f>
        <v/>
      </c>
      <c r="H2106" s="19" t="n">
        <v>3</v>
      </c>
      <c r="I2106" s="57" t="n">
        <v>10</v>
      </c>
    </row>
    <row r="2107">
      <c r="A2107" s="62" t="n">
        <v>47122</v>
      </c>
      <c r="B2107" s="3" t="inlineStr">
        <is>
          <t>Week</t>
        </is>
      </c>
      <c r="C2107" s="19" t="n">
        <v>1</v>
      </c>
      <c r="D2107" s="19" t="n">
        <v>2029</v>
      </c>
      <c r="E2107" s="57" t="n">
        <v>2</v>
      </c>
      <c r="F2107" s="29">
        <f>ROUND(((SUMIFS(Calendar!$F$2:$F$9997,Calendar!$B$2:$B$9997,D2107,Calendar!$C$2:$C$9997,C2107)*INDEX(ForeCalc!$B$37:$Y$274,MATCH(_xlfn.CONCAT(H2107," ",I2107),ForeCalc!$A$37:$A$274,0),MATCH(_xlfn.CONCAT(B2107," ",E2107),ForeCalc!$B$36:$Y$36,0))))*VLOOKUP(A2107,Calendar!$A$2:$H$9997,8,FALSE),0)</f>
        <v/>
      </c>
      <c r="G2107" s="29">
        <f>VLOOKUP(A2107,Calendar!$A$1:$H$9997,6,FALSE)-F2107</f>
        <v/>
      </c>
      <c r="H2107" s="19" t="n">
        <v>3</v>
      </c>
      <c r="I2107" s="57" t="n">
        <v>10</v>
      </c>
    </row>
    <row r="2108">
      <c r="A2108" s="62" t="n">
        <v>47123</v>
      </c>
      <c r="B2108" s="3" t="inlineStr">
        <is>
          <t>Week</t>
        </is>
      </c>
      <c r="C2108" s="19" t="n">
        <v>1</v>
      </c>
      <c r="D2108" s="19" t="n">
        <v>2029</v>
      </c>
      <c r="E2108" s="57" t="n">
        <v>2</v>
      </c>
      <c r="F2108" s="29">
        <f>ROUND(((SUMIFS(Calendar!$F$2:$F$9997,Calendar!$B$2:$B$9997,D2108,Calendar!$C$2:$C$9997,C2108)*INDEX(ForeCalc!$B$37:$Y$274,MATCH(_xlfn.CONCAT(H2108," ",I2108),ForeCalc!$A$37:$A$274,0),MATCH(_xlfn.CONCAT(B2108," ",E2108),ForeCalc!$B$36:$Y$36,0))))*VLOOKUP(A2108,Calendar!$A$2:$H$9997,8,FALSE),0)</f>
        <v/>
      </c>
      <c r="G2108" s="29">
        <f>VLOOKUP(A2108,Calendar!$A$1:$H$9997,6,FALSE)-F2108</f>
        <v/>
      </c>
      <c r="H2108" s="19" t="n">
        <v>3</v>
      </c>
      <c r="I2108" s="57" t="n">
        <v>10</v>
      </c>
    </row>
    <row r="2109">
      <c r="A2109" s="62" t="n">
        <v>47124</v>
      </c>
      <c r="B2109" s="3" t="inlineStr">
        <is>
          <t>Sat</t>
        </is>
      </c>
      <c r="C2109" s="19" t="n">
        <v>1</v>
      </c>
      <c r="D2109" s="19" t="n">
        <v>2029</v>
      </c>
      <c r="E2109" s="57" t="n">
        <v>2</v>
      </c>
      <c r="F2109" s="29">
        <f>ROUND(((SUMIFS(Calendar!$F$2:$F$9997,Calendar!$B$2:$B$9997,D2109,Calendar!$C$2:$C$9997,C2109)*INDEX(ForeCalc!$B$37:$Y$274,MATCH(_xlfn.CONCAT(H2109," ",I2109),ForeCalc!$A$37:$A$274,0),MATCH(_xlfn.CONCAT(B2109," ",E2109),ForeCalc!$B$36:$Y$36,0))))*VLOOKUP(A2109,Calendar!$A$2:$H$9997,8,FALSE),0)</f>
        <v/>
      </c>
      <c r="G2109" s="29">
        <f>VLOOKUP(A2109,Calendar!$A$1:$H$9997,6,FALSE)-F2109</f>
        <v/>
      </c>
      <c r="H2109" s="19" t="n">
        <v>3</v>
      </c>
      <c r="I2109" s="57" t="n">
        <v>10</v>
      </c>
    </row>
    <row r="2110">
      <c r="A2110" s="62" t="n">
        <v>47125</v>
      </c>
      <c r="B2110" s="3" t="inlineStr">
        <is>
          <t>Sun</t>
        </is>
      </c>
      <c r="C2110" s="19" t="n">
        <v>1</v>
      </c>
      <c r="D2110" s="19" t="n">
        <v>2029</v>
      </c>
      <c r="E2110" s="57" t="n">
        <v>2</v>
      </c>
      <c r="F2110" s="29">
        <f>ROUND(((SUMIFS(Calendar!$F$2:$F$9997,Calendar!$B$2:$B$9997,D2110,Calendar!$C$2:$C$9997,C2110)*INDEX(ForeCalc!$B$37:$Y$274,MATCH(_xlfn.CONCAT(H2110," ",I2110),ForeCalc!$A$37:$A$274,0),MATCH(_xlfn.CONCAT(B2110," ",E2110),ForeCalc!$B$36:$Y$36,0))))*VLOOKUP(A2110,Calendar!$A$2:$H$9997,8,FALSE),0)</f>
        <v/>
      </c>
      <c r="G2110" s="29">
        <f>VLOOKUP(A2110,Calendar!$A$1:$H$9997,6,FALSE)-F2110</f>
        <v/>
      </c>
      <c r="H2110" s="19" t="n">
        <v>3</v>
      </c>
      <c r="I2110" s="57" t="n">
        <v>10</v>
      </c>
    </row>
    <row r="2111">
      <c r="A2111" s="62" t="n">
        <v>47126</v>
      </c>
      <c r="B2111" s="3" t="inlineStr">
        <is>
          <t>Week</t>
        </is>
      </c>
      <c r="C2111" s="19" t="n">
        <v>1</v>
      </c>
      <c r="D2111" s="19" t="n">
        <v>2029</v>
      </c>
      <c r="E2111" s="57" t="n">
        <v>2</v>
      </c>
      <c r="F2111" s="29">
        <f>ROUND(((SUMIFS(Calendar!$F$2:$F$9997,Calendar!$B$2:$B$9997,D2111,Calendar!$C$2:$C$9997,C2111)*INDEX(ForeCalc!$B$37:$Y$274,MATCH(_xlfn.CONCAT(H2111," ",I2111),ForeCalc!$A$37:$A$274,0),MATCH(_xlfn.CONCAT(B2111," ",E2111),ForeCalc!$B$36:$Y$36,0))))*VLOOKUP(A2111,Calendar!$A$2:$H$9997,8,FALSE),0)</f>
        <v/>
      </c>
      <c r="G2111" s="29">
        <f>VLOOKUP(A2111,Calendar!$A$1:$H$9997,6,FALSE)-F2111</f>
        <v/>
      </c>
      <c r="H2111" s="19" t="n">
        <v>3</v>
      </c>
      <c r="I2111" s="57" t="n">
        <v>10</v>
      </c>
    </row>
    <row r="2112">
      <c r="A2112" s="62" t="n">
        <v>47127</v>
      </c>
      <c r="B2112" s="3" t="inlineStr">
        <is>
          <t>Week</t>
        </is>
      </c>
      <c r="C2112" s="19" t="n">
        <v>1</v>
      </c>
      <c r="D2112" s="19" t="n">
        <v>2029</v>
      </c>
      <c r="E2112" s="57" t="n">
        <v>2</v>
      </c>
      <c r="F2112" s="29">
        <f>ROUND(((SUMIFS(Calendar!$F$2:$F$9997,Calendar!$B$2:$B$9997,D2112,Calendar!$C$2:$C$9997,C2112)*INDEX(ForeCalc!$B$37:$Y$274,MATCH(_xlfn.CONCAT(H2112," ",I2112),ForeCalc!$A$37:$A$274,0),MATCH(_xlfn.CONCAT(B2112," ",E2112),ForeCalc!$B$36:$Y$36,0))))*VLOOKUP(A2112,Calendar!$A$2:$H$9997,8,FALSE),0)</f>
        <v/>
      </c>
      <c r="G2112" s="29">
        <f>VLOOKUP(A2112,Calendar!$A$1:$H$9997,6,FALSE)-F2112</f>
        <v/>
      </c>
      <c r="H2112" s="19" t="n">
        <v>3</v>
      </c>
      <c r="I2112" s="57" t="n">
        <v>10</v>
      </c>
    </row>
    <row r="2113">
      <c r="A2113" s="62" t="n">
        <v>47128</v>
      </c>
      <c r="B2113" s="3" t="inlineStr">
        <is>
          <t>Week</t>
        </is>
      </c>
      <c r="C2113" s="19" t="n">
        <v>1</v>
      </c>
      <c r="D2113" s="19" t="n">
        <v>2029</v>
      </c>
      <c r="E2113" s="57" t="n">
        <v>2</v>
      </c>
      <c r="F2113" s="29">
        <f>ROUND(((SUMIFS(Calendar!$F$2:$F$9997,Calendar!$B$2:$B$9997,D2113,Calendar!$C$2:$C$9997,C2113)*INDEX(ForeCalc!$B$37:$Y$274,MATCH(_xlfn.CONCAT(H2113," ",I2113),ForeCalc!$A$37:$A$274,0),MATCH(_xlfn.CONCAT(B2113," ",E2113),ForeCalc!$B$36:$Y$36,0))))*VLOOKUP(A2113,Calendar!$A$2:$H$9997,8,FALSE),0)</f>
        <v/>
      </c>
      <c r="G2113" s="29">
        <f>VLOOKUP(A2113,Calendar!$A$1:$H$9997,6,FALSE)-F2113</f>
        <v/>
      </c>
      <c r="H2113" s="19" t="n">
        <v>3</v>
      </c>
      <c r="I2113" s="57" t="n">
        <v>10</v>
      </c>
    </row>
    <row r="2114">
      <c r="A2114" s="62" t="n">
        <v>47129</v>
      </c>
      <c r="B2114" s="3" t="inlineStr">
        <is>
          <t>Week</t>
        </is>
      </c>
      <c r="C2114" s="19" t="n">
        <v>1</v>
      </c>
      <c r="D2114" s="19" t="n">
        <v>2029</v>
      </c>
      <c r="E2114" s="57" t="n">
        <v>2</v>
      </c>
      <c r="F2114" s="29">
        <f>ROUND(((SUMIFS(Calendar!$F$2:$F$9997,Calendar!$B$2:$B$9997,D2114,Calendar!$C$2:$C$9997,C2114)*INDEX(ForeCalc!$B$37:$Y$274,MATCH(_xlfn.CONCAT(H2114," ",I2114),ForeCalc!$A$37:$A$274,0),MATCH(_xlfn.CONCAT(B2114," ",E2114),ForeCalc!$B$36:$Y$36,0))))*VLOOKUP(A2114,Calendar!$A$2:$H$9997,8,FALSE),0)</f>
        <v/>
      </c>
      <c r="G2114" s="29">
        <f>VLOOKUP(A2114,Calendar!$A$1:$H$9997,6,FALSE)-F2114</f>
        <v/>
      </c>
      <c r="H2114" s="19" t="n">
        <v>3</v>
      </c>
      <c r="I2114" s="57" t="n">
        <v>10</v>
      </c>
    </row>
    <row r="2115">
      <c r="A2115" s="62" t="n">
        <v>47130</v>
      </c>
      <c r="B2115" s="3" t="inlineStr">
        <is>
          <t>Week</t>
        </is>
      </c>
      <c r="C2115" s="19" t="n">
        <v>1</v>
      </c>
      <c r="D2115" s="19" t="n">
        <v>2029</v>
      </c>
      <c r="E2115" s="57" t="n">
        <v>2</v>
      </c>
      <c r="F2115" s="29">
        <f>ROUND(((SUMIFS(Calendar!$F$2:$F$9997,Calendar!$B$2:$B$9997,D2115,Calendar!$C$2:$C$9997,C2115)*INDEX(ForeCalc!$B$37:$Y$274,MATCH(_xlfn.CONCAT(H2115," ",I2115),ForeCalc!$A$37:$A$274,0),MATCH(_xlfn.CONCAT(B2115," ",E2115),ForeCalc!$B$36:$Y$36,0))))*VLOOKUP(A2115,Calendar!$A$2:$H$9997,8,FALSE),0)</f>
        <v/>
      </c>
      <c r="G2115" s="29">
        <f>VLOOKUP(A2115,Calendar!$A$1:$H$9997,6,FALSE)-F2115</f>
        <v/>
      </c>
      <c r="H2115" s="19" t="n">
        <v>3</v>
      </c>
      <c r="I2115" s="57" t="n">
        <v>10</v>
      </c>
    </row>
    <row r="2116">
      <c r="A2116" s="62" t="n">
        <v>47131</v>
      </c>
      <c r="B2116" s="3" t="inlineStr">
        <is>
          <t>Sat</t>
        </is>
      </c>
      <c r="C2116" s="19" t="n">
        <v>1</v>
      </c>
      <c r="D2116" s="19" t="n">
        <v>2029</v>
      </c>
      <c r="E2116" s="57" t="n">
        <v>2</v>
      </c>
      <c r="F2116" s="29">
        <f>ROUND(((SUMIFS(Calendar!$F$2:$F$9997,Calendar!$B$2:$B$9997,D2116,Calendar!$C$2:$C$9997,C2116)*INDEX(ForeCalc!$B$37:$Y$274,MATCH(_xlfn.CONCAT(H2116," ",I2116),ForeCalc!$A$37:$A$274,0),MATCH(_xlfn.CONCAT(B2116," ",E2116),ForeCalc!$B$36:$Y$36,0))))*VLOOKUP(A2116,Calendar!$A$2:$H$9997,8,FALSE),0)</f>
        <v/>
      </c>
      <c r="G2116" s="29">
        <f>VLOOKUP(A2116,Calendar!$A$1:$H$9997,6,FALSE)-F2116</f>
        <v/>
      </c>
      <c r="H2116" s="19" t="n">
        <v>3</v>
      </c>
      <c r="I2116" s="57" t="n">
        <v>10</v>
      </c>
    </row>
    <row r="2117">
      <c r="A2117" s="62" t="n">
        <v>47132</v>
      </c>
      <c r="B2117" s="3" t="inlineStr">
        <is>
          <t>Sun</t>
        </is>
      </c>
      <c r="C2117" s="19" t="n">
        <v>1</v>
      </c>
      <c r="D2117" s="19" t="n">
        <v>2029</v>
      </c>
      <c r="E2117" s="57" t="n">
        <v>2</v>
      </c>
      <c r="F2117" s="29">
        <f>ROUND(((SUMIFS(Calendar!$F$2:$F$9997,Calendar!$B$2:$B$9997,D2117,Calendar!$C$2:$C$9997,C2117)*INDEX(ForeCalc!$B$37:$Y$274,MATCH(_xlfn.CONCAT(H2117," ",I2117),ForeCalc!$A$37:$A$274,0),MATCH(_xlfn.CONCAT(B2117," ",E2117),ForeCalc!$B$36:$Y$36,0))))*VLOOKUP(A2117,Calendar!$A$2:$H$9997,8,FALSE),0)</f>
        <v/>
      </c>
      <c r="G2117" s="29">
        <f>VLOOKUP(A2117,Calendar!$A$1:$H$9997,6,FALSE)-F2117</f>
        <v/>
      </c>
      <c r="H2117" s="19" t="n">
        <v>3</v>
      </c>
      <c r="I2117" s="57" t="n">
        <v>10</v>
      </c>
    </row>
    <row r="2118">
      <c r="A2118" s="62" t="n">
        <v>47133</v>
      </c>
      <c r="B2118" s="3" t="inlineStr">
        <is>
          <t>Week</t>
        </is>
      </c>
      <c r="C2118" s="19" t="n">
        <v>1</v>
      </c>
      <c r="D2118" s="19" t="n">
        <v>2029</v>
      </c>
      <c r="E2118" s="57" t="n">
        <v>2</v>
      </c>
      <c r="F2118" s="29">
        <f>ROUND(((SUMIFS(Calendar!$F$2:$F$9997,Calendar!$B$2:$B$9997,D2118,Calendar!$C$2:$C$9997,C2118)*INDEX(ForeCalc!$B$37:$Y$274,MATCH(_xlfn.CONCAT(H2118," ",I2118),ForeCalc!$A$37:$A$274,0),MATCH(_xlfn.CONCAT(B2118," ",E2118),ForeCalc!$B$36:$Y$36,0))))*VLOOKUP(A2118,Calendar!$A$2:$H$9997,8,FALSE),0)</f>
        <v/>
      </c>
      <c r="G2118" s="29">
        <f>VLOOKUP(A2118,Calendar!$A$1:$H$9997,6,FALSE)-F2118</f>
        <v/>
      </c>
      <c r="H2118" s="19" t="n">
        <v>3</v>
      </c>
      <c r="I2118" s="57" t="n">
        <v>10</v>
      </c>
    </row>
    <row r="2119">
      <c r="A2119" s="62" t="n">
        <v>47134</v>
      </c>
      <c r="B2119" s="3" t="inlineStr">
        <is>
          <t>Week</t>
        </is>
      </c>
      <c r="C2119" s="19" t="n">
        <v>1</v>
      </c>
      <c r="D2119" s="19" t="n">
        <v>2029</v>
      </c>
      <c r="E2119" s="57" t="n">
        <v>2</v>
      </c>
      <c r="F2119" s="29">
        <f>ROUND(((SUMIFS(Calendar!$F$2:$F$9997,Calendar!$B$2:$B$9997,D2119,Calendar!$C$2:$C$9997,C2119)*INDEX(ForeCalc!$B$37:$Y$274,MATCH(_xlfn.CONCAT(H2119," ",I2119),ForeCalc!$A$37:$A$274,0),MATCH(_xlfn.CONCAT(B2119," ",E2119),ForeCalc!$B$36:$Y$36,0))))*VLOOKUP(A2119,Calendar!$A$2:$H$9997,8,FALSE),0)</f>
        <v/>
      </c>
      <c r="G2119" s="29">
        <f>VLOOKUP(A2119,Calendar!$A$1:$H$9997,6,FALSE)-F2119</f>
        <v/>
      </c>
      <c r="H2119" s="19" t="n">
        <v>3</v>
      </c>
      <c r="I2119" s="57" t="n">
        <v>10</v>
      </c>
    </row>
    <row r="2120">
      <c r="A2120" s="62" t="n">
        <v>47135</v>
      </c>
      <c r="B2120" s="3" t="inlineStr">
        <is>
          <t>Week</t>
        </is>
      </c>
      <c r="C2120" s="19" t="n">
        <v>1</v>
      </c>
      <c r="D2120" s="19" t="n">
        <v>2029</v>
      </c>
      <c r="E2120" s="57" t="n">
        <v>2</v>
      </c>
      <c r="F2120" s="29">
        <f>ROUND(((SUMIFS(Calendar!$F$2:$F$9997,Calendar!$B$2:$B$9997,D2120,Calendar!$C$2:$C$9997,C2120)*INDEX(ForeCalc!$B$37:$Y$274,MATCH(_xlfn.CONCAT(H2120," ",I2120),ForeCalc!$A$37:$A$274,0),MATCH(_xlfn.CONCAT(B2120," ",E2120),ForeCalc!$B$36:$Y$36,0))))*VLOOKUP(A2120,Calendar!$A$2:$H$9997,8,FALSE),0)</f>
        <v/>
      </c>
      <c r="G2120" s="29">
        <f>VLOOKUP(A2120,Calendar!$A$1:$H$9997,6,FALSE)-F2120</f>
        <v/>
      </c>
      <c r="H2120" s="19" t="n">
        <v>3</v>
      </c>
      <c r="I2120" s="57" t="n">
        <v>10</v>
      </c>
    </row>
    <row r="2121">
      <c r="A2121" s="62" t="n">
        <v>47136</v>
      </c>
      <c r="B2121" s="3" t="inlineStr">
        <is>
          <t>Week</t>
        </is>
      </c>
      <c r="C2121" s="19" t="n">
        <v>1</v>
      </c>
      <c r="D2121" s="19" t="n">
        <v>2029</v>
      </c>
      <c r="E2121" s="57" t="n">
        <v>2</v>
      </c>
      <c r="F2121" s="29">
        <f>ROUND(((SUMIFS(Calendar!$F$2:$F$9997,Calendar!$B$2:$B$9997,D2121,Calendar!$C$2:$C$9997,C2121)*INDEX(ForeCalc!$B$37:$Y$274,MATCH(_xlfn.CONCAT(H2121," ",I2121),ForeCalc!$A$37:$A$274,0),MATCH(_xlfn.CONCAT(B2121," ",E2121),ForeCalc!$B$36:$Y$36,0))))*VLOOKUP(A2121,Calendar!$A$2:$H$9997,8,FALSE),0)</f>
        <v/>
      </c>
      <c r="G2121" s="29">
        <f>VLOOKUP(A2121,Calendar!$A$1:$H$9997,6,FALSE)-F2121</f>
        <v/>
      </c>
      <c r="H2121" s="19" t="n">
        <v>3</v>
      </c>
      <c r="I2121" s="57" t="n">
        <v>10</v>
      </c>
    </row>
    <row r="2122">
      <c r="A2122" s="62" t="n">
        <v>47137</v>
      </c>
      <c r="B2122" s="3" t="inlineStr">
        <is>
          <t>Week</t>
        </is>
      </c>
      <c r="C2122" s="19" t="n">
        <v>1</v>
      </c>
      <c r="D2122" s="19" t="n">
        <v>2029</v>
      </c>
      <c r="E2122" s="57" t="n">
        <v>2</v>
      </c>
      <c r="F2122" s="29">
        <f>ROUND(((SUMIFS(Calendar!$F$2:$F$9997,Calendar!$B$2:$B$9997,D2122,Calendar!$C$2:$C$9997,C2122)*INDEX(ForeCalc!$B$37:$Y$274,MATCH(_xlfn.CONCAT(H2122," ",I2122),ForeCalc!$A$37:$A$274,0),MATCH(_xlfn.CONCAT(B2122," ",E2122),ForeCalc!$B$36:$Y$36,0))))*VLOOKUP(A2122,Calendar!$A$2:$H$9997,8,FALSE),0)</f>
        <v/>
      </c>
      <c r="G2122" s="29">
        <f>VLOOKUP(A2122,Calendar!$A$1:$H$9997,6,FALSE)-F2122</f>
        <v/>
      </c>
      <c r="H2122" s="19" t="n">
        <v>3</v>
      </c>
      <c r="I2122" s="57" t="n">
        <v>10</v>
      </c>
    </row>
    <row r="2123">
      <c r="A2123" s="62" t="n">
        <v>47138</v>
      </c>
      <c r="B2123" s="3" t="inlineStr">
        <is>
          <t>Sat</t>
        </is>
      </c>
      <c r="C2123" s="19" t="n">
        <v>1</v>
      </c>
      <c r="D2123" s="19" t="n">
        <v>2029</v>
      </c>
      <c r="E2123" s="57" t="n">
        <v>2</v>
      </c>
      <c r="F2123" s="29">
        <f>ROUND(((SUMIFS(Calendar!$F$2:$F$9997,Calendar!$B$2:$B$9997,D2123,Calendar!$C$2:$C$9997,C2123)*INDEX(ForeCalc!$B$37:$Y$274,MATCH(_xlfn.CONCAT(H2123," ",I2123),ForeCalc!$A$37:$A$274,0),MATCH(_xlfn.CONCAT(B2123," ",E2123),ForeCalc!$B$36:$Y$36,0))))*VLOOKUP(A2123,Calendar!$A$2:$H$9997,8,FALSE),0)</f>
        <v/>
      </c>
      <c r="G2123" s="29">
        <f>VLOOKUP(A2123,Calendar!$A$1:$H$9997,6,FALSE)-F2123</f>
        <v/>
      </c>
      <c r="H2123" s="19" t="n">
        <v>3</v>
      </c>
      <c r="I2123" s="57" t="n">
        <v>10</v>
      </c>
    </row>
    <row r="2124">
      <c r="A2124" s="62" t="n">
        <v>47139</v>
      </c>
      <c r="B2124" s="3" t="inlineStr">
        <is>
          <t>Sun</t>
        </is>
      </c>
      <c r="C2124" s="19" t="n">
        <v>1</v>
      </c>
      <c r="D2124" s="19" t="n">
        <v>2029</v>
      </c>
      <c r="E2124" s="57" t="n">
        <v>2</v>
      </c>
      <c r="F2124" s="29">
        <f>ROUND(((SUMIFS(Calendar!$F$2:$F$9997,Calendar!$B$2:$B$9997,D2124,Calendar!$C$2:$C$9997,C2124)*INDEX(ForeCalc!$B$37:$Y$274,MATCH(_xlfn.CONCAT(H2124," ",I2124),ForeCalc!$A$37:$A$274,0),MATCH(_xlfn.CONCAT(B2124," ",E2124),ForeCalc!$B$36:$Y$36,0))))*VLOOKUP(A2124,Calendar!$A$2:$H$9997,8,FALSE),0)</f>
        <v/>
      </c>
      <c r="G2124" s="29">
        <f>VLOOKUP(A2124,Calendar!$A$1:$H$9997,6,FALSE)-F2124</f>
        <v/>
      </c>
      <c r="H2124" s="19" t="n">
        <v>3</v>
      </c>
      <c r="I2124" s="57" t="n">
        <v>10</v>
      </c>
    </row>
    <row r="2125">
      <c r="A2125" s="62" t="n">
        <v>47140</v>
      </c>
      <c r="B2125" s="3" t="inlineStr">
        <is>
          <t>Week</t>
        </is>
      </c>
      <c r="C2125" s="19" t="n">
        <v>1</v>
      </c>
      <c r="D2125" s="19" t="n">
        <v>2029</v>
      </c>
      <c r="E2125" s="57" t="n">
        <v>2</v>
      </c>
      <c r="F2125" s="29">
        <f>ROUND(((SUMIFS(Calendar!$F$2:$F$9997,Calendar!$B$2:$B$9997,D2125,Calendar!$C$2:$C$9997,C2125)*INDEX(ForeCalc!$B$37:$Y$274,MATCH(_xlfn.CONCAT(H2125," ",I2125),ForeCalc!$A$37:$A$274,0),MATCH(_xlfn.CONCAT(B2125," ",E2125),ForeCalc!$B$36:$Y$36,0))))*VLOOKUP(A2125,Calendar!$A$2:$H$9997,8,FALSE),0)</f>
        <v/>
      </c>
      <c r="G2125" s="29">
        <f>VLOOKUP(A2125,Calendar!$A$1:$H$9997,6,FALSE)-F2125</f>
        <v/>
      </c>
      <c r="H2125" s="19" t="n">
        <v>3</v>
      </c>
      <c r="I2125" s="57" t="n">
        <v>10</v>
      </c>
    </row>
    <row r="2126">
      <c r="A2126" s="62" t="n">
        <v>47141</v>
      </c>
      <c r="B2126" s="3" t="inlineStr">
        <is>
          <t>Week</t>
        </is>
      </c>
      <c r="C2126" s="19" t="n">
        <v>1</v>
      </c>
      <c r="D2126" s="19" t="n">
        <v>2029</v>
      </c>
      <c r="E2126" s="57" t="n">
        <v>2</v>
      </c>
      <c r="F2126" s="29">
        <f>ROUND(((SUMIFS(Calendar!$F$2:$F$9997,Calendar!$B$2:$B$9997,D2126,Calendar!$C$2:$C$9997,C2126)*INDEX(ForeCalc!$B$37:$Y$274,MATCH(_xlfn.CONCAT(H2126," ",I2126),ForeCalc!$A$37:$A$274,0),MATCH(_xlfn.CONCAT(B2126," ",E2126),ForeCalc!$B$36:$Y$36,0))))*VLOOKUP(A2126,Calendar!$A$2:$H$9997,8,FALSE),0)</f>
        <v/>
      </c>
      <c r="G2126" s="29">
        <f>VLOOKUP(A2126,Calendar!$A$1:$H$9997,6,FALSE)-F2126</f>
        <v/>
      </c>
      <c r="H2126" s="19" t="n">
        <v>3</v>
      </c>
      <c r="I2126" s="57" t="n">
        <v>10</v>
      </c>
    </row>
    <row r="2127">
      <c r="A2127" s="62" t="n">
        <v>47142</v>
      </c>
      <c r="B2127" s="3" t="inlineStr">
        <is>
          <t>Week</t>
        </is>
      </c>
      <c r="C2127" s="19" t="n">
        <v>1</v>
      </c>
      <c r="D2127" s="19" t="n">
        <v>2029</v>
      </c>
      <c r="E2127" s="57" t="n">
        <v>2</v>
      </c>
      <c r="F2127" s="29">
        <f>ROUND(((SUMIFS(Calendar!$F$2:$F$9997,Calendar!$B$2:$B$9997,D2127,Calendar!$C$2:$C$9997,C2127)*INDEX(ForeCalc!$B$37:$Y$274,MATCH(_xlfn.CONCAT(H2127," ",I2127),ForeCalc!$A$37:$A$274,0),MATCH(_xlfn.CONCAT(B2127," ",E2127),ForeCalc!$B$36:$Y$36,0))))*VLOOKUP(A2127,Calendar!$A$2:$H$9997,8,FALSE),0)</f>
        <v/>
      </c>
      <c r="G2127" s="29">
        <f>VLOOKUP(A2127,Calendar!$A$1:$H$9997,6,FALSE)-F2127</f>
        <v/>
      </c>
      <c r="H2127" s="19" t="n">
        <v>3</v>
      </c>
      <c r="I2127" s="57" t="n">
        <v>10</v>
      </c>
    </row>
    <row r="2128">
      <c r="A2128" s="62" t="n">
        <v>47143</v>
      </c>
      <c r="B2128" s="3" t="inlineStr">
        <is>
          <t>Week</t>
        </is>
      </c>
      <c r="C2128" s="19" t="n">
        <v>1</v>
      </c>
      <c r="D2128" s="19" t="n">
        <v>2029</v>
      </c>
      <c r="E2128" s="57" t="n">
        <v>2</v>
      </c>
      <c r="F2128" s="29">
        <f>ROUND(((SUMIFS(Calendar!$F$2:$F$9997,Calendar!$B$2:$B$9997,D2128,Calendar!$C$2:$C$9997,C2128)*INDEX(ForeCalc!$B$37:$Y$274,MATCH(_xlfn.CONCAT(H2128," ",I2128),ForeCalc!$A$37:$A$274,0),MATCH(_xlfn.CONCAT(B2128," ",E2128),ForeCalc!$B$36:$Y$36,0))))*VLOOKUP(A2128,Calendar!$A$2:$H$9997,8,FALSE),0)</f>
        <v/>
      </c>
      <c r="G2128" s="29">
        <f>VLOOKUP(A2128,Calendar!$A$1:$H$9997,6,FALSE)-F2128</f>
        <v/>
      </c>
      <c r="H2128" s="19" t="n">
        <v>3</v>
      </c>
      <c r="I2128" s="57" t="n">
        <v>10</v>
      </c>
    </row>
    <row r="2129">
      <c r="A2129" s="62" t="n">
        <v>47144</v>
      </c>
      <c r="B2129" s="3" t="inlineStr">
        <is>
          <t>Week</t>
        </is>
      </c>
      <c r="C2129" s="19" t="n">
        <v>1</v>
      </c>
      <c r="D2129" s="19" t="n">
        <v>2029</v>
      </c>
      <c r="E2129" s="57" t="n">
        <v>2</v>
      </c>
      <c r="F2129" s="29">
        <f>ROUND(((SUMIFS(Calendar!$F$2:$F$9997,Calendar!$B$2:$B$9997,D2129,Calendar!$C$2:$C$9997,C2129)*INDEX(ForeCalc!$B$37:$Y$274,MATCH(_xlfn.CONCAT(H2129," ",I2129),ForeCalc!$A$37:$A$274,0),MATCH(_xlfn.CONCAT(B2129," ",E2129),ForeCalc!$B$36:$Y$36,0))))*VLOOKUP(A2129,Calendar!$A$2:$H$9997,8,FALSE),0)</f>
        <v/>
      </c>
      <c r="G2129" s="29">
        <f>VLOOKUP(A2129,Calendar!$A$1:$H$9997,6,FALSE)-F2129</f>
        <v/>
      </c>
      <c r="H2129" s="19" t="n">
        <v>3</v>
      </c>
      <c r="I2129" s="57" t="n">
        <v>10</v>
      </c>
    </row>
    <row r="2130">
      <c r="A2130" s="62" t="n">
        <v>47145</v>
      </c>
      <c r="B2130" s="3" t="inlineStr">
        <is>
          <t>Sat</t>
        </is>
      </c>
      <c r="C2130" s="19" t="n">
        <v>1</v>
      </c>
      <c r="D2130" s="19" t="n">
        <v>2029</v>
      </c>
      <c r="E2130" s="57" t="n">
        <v>2</v>
      </c>
      <c r="F2130" s="29">
        <f>ROUND(((SUMIFS(Calendar!$F$2:$F$9997,Calendar!$B$2:$B$9997,D2130,Calendar!$C$2:$C$9997,C2130)*INDEX(ForeCalc!$B$37:$Y$274,MATCH(_xlfn.CONCAT(H2130," ",I2130),ForeCalc!$A$37:$A$274,0),MATCH(_xlfn.CONCAT(B2130," ",E2130),ForeCalc!$B$36:$Y$36,0))))*VLOOKUP(A2130,Calendar!$A$2:$H$9997,8,FALSE),0)</f>
        <v/>
      </c>
      <c r="G2130" s="29">
        <f>VLOOKUP(A2130,Calendar!$A$1:$H$9997,6,FALSE)-F2130</f>
        <v/>
      </c>
      <c r="H2130" s="19" t="n">
        <v>3</v>
      </c>
      <c r="I2130" s="57" t="n">
        <v>10</v>
      </c>
    </row>
    <row r="2131">
      <c r="A2131" s="62" t="n">
        <v>47146</v>
      </c>
      <c r="B2131" s="3" t="inlineStr">
        <is>
          <t>Sun</t>
        </is>
      </c>
      <c r="C2131" s="19" t="n">
        <v>1</v>
      </c>
      <c r="D2131" s="19" t="n">
        <v>2029</v>
      </c>
      <c r="E2131" s="57" t="n">
        <v>2</v>
      </c>
      <c r="F2131" s="29">
        <f>ROUND(((SUMIFS(Calendar!$F$2:$F$9997,Calendar!$B$2:$B$9997,D2131,Calendar!$C$2:$C$9997,C2131)*INDEX(ForeCalc!$B$37:$Y$274,MATCH(_xlfn.CONCAT(H2131," ",I2131),ForeCalc!$A$37:$A$274,0),MATCH(_xlfn.CONCAT(B2131," ",E2131),ForeCalc!$B$36:$Y$36,0))))*VLOOKUP(A2131,Calendar!$A$2:$H$9997,8,FALSE),0)</f>
        <v/>
      </c>
      <c r="G2131" s="29">
        <f>VLOOKUP(A2131,Calendar!$A$1:$H$9997,6,FALSE)-F2131</f>
        <v/>
      </c>
      <c r="H2131" s="19" t="n">
        <v>3</v>
      </c>
      <c r="I2131" s="57" t="n">
        <v>10</v>
      </c>
    </row>
    <row r="2132">
      <c r="A2132" s="62" t="n">
        <v>47147</v>
      </c>
      <c r="B2132" s="3" t="inlineStr">
        <is>
          <t>Week</t>
        </is>
      </c>
      <c r="C2132" s="19" t="n">
        <v>1</v>
      </c>
      <c r="D2132" s="19" t="n">
        <v>2029</v>
      </c>
      <c r="E2132" s="57" t="n">
        <v>2</v>
      </c>
      <c r="F2132" s="29">
        <f>ROUND(((SUMIFS(Calendar!$F$2:$F$9997,Calendar!$B$2:$B$9997,D2132,Calendar!$C$2:$C$9997,C2132)*INDEX(ForeCalc!$B$37:$Y$274,MATCH(_xlfn.CONCAT(H2132," ",I2132),ForeCalc!$A$37:$A$274,0),MATCH(_xlfn.CONCAT(B2132," ",E2132),ForeCalc!$B$36:$Y$36,0))))*VLOOKUP(A2132,Calendar!$A$2:$H$9997,8,FALSE),0)</f>
        <v/>
      </c>
      <c r="G2132" s="29">
        <f>VLOOKUP(A2132,Calendar!$A$1:$H$9997,6,FALSE)-F2132</f>
        <v/>
      </c>
      <c r="H2132" s="19" t="n">
        <v>3</v>
      </c>
      <c r="I2132" s="57" t="n">
        <v>10</v>
      </c>
    </row>
    <row r="2133">
      <c r="A2133" s="62" t="n">
        <v>47148</v>
      </c>
      <c r="B2133" s="3" t="inlineStr">
        <is>
          <t>Week</t>
        </is>
      </c>
      <c r="C2133" s="19" t="n">
        <v>1</v>
      </c>
      <c r="D2133" s="19" t="n">
        <v>2029</v>
      </c>
      <c r="E2133" s="57" t="n">
        <v>2</v>
      </c>
      <c r="F2133" s="29">
        <f>ROUND(((SUMIFS(Calendar!$F$2:$F$9997,Calendar!$B$2:$B$9997,D2133,Calendar!$C$2:$C$9997,C2133)*INDEX(ForeCalc!$B$37:$Y$274,MATCH(_xlfn.CONCAT(H2133," ",I2133),ForeCalc!$A$37:$A$274,0),MATCH(_xlfn.CONCAT(B2133," ",E2133),ForeCalc!$B$36:$Y$36,0))))*VLOOKUP(A2133,Calendar!$A$2:$H$9997,8,FALSE),0)</f>
        <v/>
      </c>
      <c r="G2133" s="29">
        <f>VLOOKUP(A2133,Calendar!$A$1:$H$9997,6,FALSE)-F2133</f>
        <v/>
      </c>
      <c r="H2133" s="19" t="n">
        <v>3</v>
      </c>
      <c r="I2133" s="57" t="n">
        <v>10</v>
      </c>
    </row>
    <row r="2134">
      <c r="A2134" s="62" t="n">
        <v>47149</v>
      </c>
      <c r="B2134" s="3" t="inlineStr">
        <is>
          <t>Week</t>
        </is>
      </c>
      <c r="C2134" s="19" t="n">
        <v>1</v>
      </c>
      <c r="D2134" s="19" t="n">
        <v>2029</v>
      </c>
      <c r="E2134" s="57" t="n">
        <v>2</v>
      </c>
      <c r="F2134" s="29">
        <f>ROUND(((SUMIFS(Calendar!$F$2:$F$9997,Calendar!$B$2:$B$9997,D2134,Calendar!$C$2:$C$9997,C2134)*INDEX(ForeCalc!$B$37:$Y$274,MATCH(_xlfn.CONCAT(H2134," ",I2134),ForeCalc!$A$37:$A$274,0),MATCH(_xlfn.CONCAT(B2134," ",E2134),ForeCalc!$B$36:$Y$36,0))))*VLOOKUP(A2134,Calendar!$A$2:$H$9997,8,FALSE),0)</f>
        <v/>
      </c>
      <c r="G2134" s="29">
        <f>VLOOKUP(A2134,Calendar!$A$1:$H$9997,6,FALSE)-F2134</f>
        <v/>
      </c>
      <c r="H2134" s="19" t="n">
        <v>3</v>
      </c>
      <c r="I2134" s="57" t="n">
        <v>10</v>
      </c>
    </row>
    <row r="2135">
      <c r="A2135" s="62" t="n">
        <v>47150</v>
      </c>
      <c r="B2135" s="3" t="inlineStr">
        <is>
          <t>Week</t>
        </is>
      </c>
      <c r="C2135" s="19" t="n">
        <v>2</v>
      </c>
      <c r="D2135" s="19" t="n">
        <v>2029</v>
      </c>
      <c r="E2135" s="57" t="n">
        <v>2</v>
      </c>
      <c r="F2135" s="29">
        <f>ROUND(((SUMIFS(Calendar!$F$2:$F$9997,Calendar!$B$2:$B$9997,D2135,Calendar!$C$2:$C$9997,C2135)*INDEX(ForeCalc!$B$37:$Y$274,MATCH(_xlfn.CONCAT(H2135," ",I2135),ForeCalc!$A$37:$A$274,0),MATCH(_xlfn.CONCAT(B2135," ",E2135),ForeCalc!$B$36:$Y$36,0))))*VLOOKUP(A2135,Calendar!$A$2:$H$9997,8,FALSE),0)</f>
        <v/>
      </c>
      <c r="G2135" s="29">
        <f>VLOOKUP(A2135,Calendar!$A$1:$H$9997,6,FALSE)-F2135</f>
        <v/>
      </c>
      <c r="H2135" s="19" t="n">
        <v>3</v>
      </c>
      <c r="I2135" s="57" t="n">
        <v>11</v>
      </c>
    </row>
    <row r="2136">
      <c r="A2136" s="62" t="n">
        <v>47151</v>
      </c>
      <c r="B2136" s="3" t="inlineStr">
        <is>
          <t>Week</t>
        </is>
      </c>
      <c r="C2136" s="19" t="n">
        <v>2</v>
      </c>
      <c r="D2136" s="19" t="n">
        <v>2029</v>
      </c>
      <c r="E2136" s="57" t="n">
        <v>2</v>
      </c>
      <c r="F2136" s="29">
        <f>ROUND(((SUMIFS(Calendar!$F$2:$F$9997,Calendar!$B$2:$B$9997,D2136,Calendar!$C$2:$C$9997,C2136)*INDEX(ForeCalc!$B$37:$Y$274,MATCH(_xlfn.CONCAT(H2136," ",I2136),ForeCalc!$A$37:$A$274,0),MATCH(_xlfn.CONCAT(B2136," ",E2136),ForeCalc!$B$36:$Y$36,0))))*VLOOKUP(A2136,Calendar!$A$2:$H$9997,8,FALSE),0)</f>
        <v/>
      </c>
      <c r="G2136" s="29">
        <f>VLOOKUP(A2136,Calendar!$A$1:$H$9997,6,FALSE)-F2136</f>
        <v/>
      </c>
      <c r="H2136" s="19" t="n">
        <v>3</v>
      </c>
      <c r="I2136" s="57" t="n">
        <v>11</v>
      </c>
    </row>
    <row r="2137">
      <c r="A2137" s="62" t="n">
        <v>47152</v>
      </c>
      <c r="B2137" s="3" t="inlineStr">
        <is>
          <t>Sat</t>
        </is>
      </c>
      <c r="C2137" s="19" t="n">
        <v>2</v>
      </c>
      <c r="D2137" s="19" t="n">
        <v>2029</v>
      </c>
      <c r="E2137" s="57" t="n">
        <v>2</v>
      </c>
      <c r="F2137" s="29">
        <f>ROUND(((SUMIFS(Calendar!$F$2:$F$9997,Calendar!$B$2:$B$9997,D2137,Calendar!$C$2:$C$9997,C2137)*INDEX(ForeCalc!$B$37:$Y$274,MATCH(_xlfn.CONCAT(H2137," ",I2137),ForeCalc!$A$37:$A$274,0),MATCH(_xlfn.CONCAT(B2137," ",E2137),ForeCalc!$B$36:$Y$36,0))))*VLOOKUP(A2137,Calendar!$A$2:$H$9997,8,FALSE),0)</f>
        <v/>
      </c>
      <c r="G2137" s="29">
        <f>VLOOKUP(A2137,Calendar!$A$1:$H$9997,6,FALSE)-F2137</f>
        <v/>
      </c>
      <c r="H2137" s="19" t="n">
        <v>3</v>
      </c>
      <c r="I2137" s="57" t="n">
        <v>11</v>
      </c>
    </row>
    <row r="2138">
      <c r="A2138" s="62" t="n">
        <v>47153</v>
      </c>
      <c r="B2138" s="3" t="inlineStr">
        <is>
          <t>Sun</t>
        </is>
      </c>
      <c r="C2138" s="19" t="n">
        <v>2</v>
      </c>
      <c r="D2138" s="19" t="n">
        <v>2029</v>
      </c>
      <c r="E2138" s="57" t="n">
        <v>2</v>
      </c>
      <c r="F2138" s="29">
        <f>ROUND(((SUMIFS(Calendar!$F$2:$F$9997,Calendar!$B$2:$B$9997,D2138,Calendar!$C$2:$C$9997,C2138)*INDEX(ForeCalc!$B$37:$Y$274,MATCH(_xlfn.CONCAT(H2138," ",I2138),ForeCalc!$A$37:$A$274,0),MATCH(_xlfn.CONCAT(B2138," ",E2138),ForeCalc!$B$36:$Y$36,0))))*VLOOKUP(A2138,Calendar!$A$2:$H$9997,8,FALSE),0)</f>
        <v/>
      </c>
      <c r="G2138" s="29">
        <f>VLOOKUP(A2138,Calendar!$A$1:$H$9997,6,FALSE)-F2138</f>
        <v/>
      </c>
      <c r="H2138" s="19" t="n">
        <v>3</v>
      </c>
      <c r="I2138" s="57" t="n">
        <v>11</v>
      </c>
    </row>
    <row r="2139">
      <c r="A2139" s="62" t="n">
        <v>47154</v>
      </c>
      <c r="B2139" s="3" t="inlineStr">
        <is>
          <t>Week</t>
        </is>
      </c>
      <c r="C2139" s="19" t="n">
        <v>2</v>
      </c>
      <c r="D2139" s="19" t="n">
        <v>2029</v>
      </c>
      <c r="E2139" s="57" t="n">
        <v>2</v>
      </c>
      <c r="F2139" s="29">
        <f>ROUND(((SUMIFS(Calendar!$F$2:$F$9997,Calendar!$B$2:$B$9997,D2139,Calendar!$C$2:$C$9997,C2139)*INDEX(ForeCalc!$B$37:$Y$274,MATCH(_xlfn.CONCAT(H2139," ",I2139),ForeCalc!$A$37:$A$274,0),MATCH(_xlfn.CONCAT(B2139," ",E2139),ForeCalc!$B$36:$Y$36,0))))*VLOOKUP(A2139,Calendar!$A$2:$H$9997,8,FALSE),0)</f>
        <v/>
      </c>
      <c r="G2139" s="29">
        <f>VLOOKUP(A2139,Calendar!$A$1:$H$9997,6,FALSE)-F2139</f>
        <v/>
      </c>
      <c r="H2139" s="19" t="n">
        <v>3</v>
      </c>
      <c r="I2139" s="57" t="n">
        <v>11</v>
      </c>
    </row>
    <row r="2140">
      <c r="A2140" s="62" t="n">
        <v>47155</v>
      </c>
      <c r="B2140" s="3" t="inlineStr">
        <is>
          <t>Week</t>
        </is>
      </c>
      <c r="C2140" s="19" t="n">
        <v>2</v>
      </c>
      <c r="D2140" s="19" t="n">
        <v>2029</v>
      </c>
      <c r="E2140" s="57" t="n">
        <v>2</v>
      </c>
      <c r="F2140" s="29">
        <f>ROUND(((SUMIFS(Calendar!$F$2:$F$9997,Calendar!$B$2:$B$9997,D2140,Calendar!$C$2:$C$9997,C2140)*INDEX(ForeCalc!$B$37:$Y$274,MATCH(_xlfn.CONCAT(H2140," ",I2140),ForeCalc!$A$37:$A$274,0),MATCH(_xlfn.CONCAT(B2140," ",E2140),ForeCalc!$B$36:$Y$36,0))))*VLOOKUP(A2140,Calendar!$A$2:$H$9997,8,FALSE),0)</f>
        <v/>
      </c>
      <c r="G2140" s="29">
        <f>VLOOKUP(A2140,Calendar!$A$1:$H$9997,6,FALSE)-F2140</f>
        <v/>
      </c>
      <c r="H2140" s="19" t="n">
        <v>3</v>
      </c>
      <c r="I2140" s="57" t="n">
        <v>11</v>
      </c>
    </row>
    <row r="2141">
      <c r="A2141" s="62" t="n">
        <v>47156</v>
      </c>
      <c r="B2141" s="3" t="inlineStr">
        <is>
          <t>Week</t>
        </is>
      </c>
      <c r="C2141" s="19" t="n">
        <v>2</v>
      </c>
      <c r="D2141" s="19" t="n">
        <v>2029</v>
      </c>
      <c r="E2141" s="57" t="n">
        <v>2</v>
      </c>
      <c r="F2141" s="29">
        <f>ROUND(((SUMIFS(Calendar!$F$2:$F$9997,Calendar!$B$2:$B$9997,D2141,Calendar!$C$2:$C$9997,C2141)*INDEX(ForeCalc!$B$37:$Y$274,MATCH(_xlfn.CONCAT(H2141," ",I2141),ForeCalc!$A$37:$A$274,0),MATCH(_xlfn.CONCAT(B2141," ",E2141),ForeCalc!$B$36:$Y$36,0))))*VLOOKUP(A2141,Calendar!$A$2:$H$9997,8,FALSE),0)</f>
        <v/>
      </c>
      <c r="G2141" s="29">
        <f>VLOOKUP(A2141,Calendar!$A$1:$H$9997,6,FALSE)-F2141</f>
        <v/>
      </c>
      <c r="H2141" s="19" t="n">
        <v>3</v>
      </c>
      <c r="I2141" s="57" t="n">
        <v>11</v>
      </c>
    </row>
    <row r="2142">
      <c r="A2142" s="62" t="n">
        <v>47157</v>
      </c>
      <c r="B2142" s="3" t="inlineStr">
        <is>
          <t>Week</t>
        </is>
      </c>
      <c r="C2142" s="19" t="n">
        <v>2</v>
      </c>
      <c r="D2142" s="19" t="n">
        <v>2029</v>
      </c>
      <c r="E2142" s="57" t="n">
        <v>2</v>
      </c>
      <c r="F2142" s="29">
        <f>ROUND(((SUMIFS(Calendar!$F$2:$F$9997,Calendar!$B$2:$B$9997,D2142,Calendar!$C$2:$C$9997,C2142)*INDEX(ForeCalc!$B$37:$Y$274,MATCH(_xlfn.CONCAT(H2142," ",I2142),ForeCalc!$A$37:$A$274,0),MATCH(_xlfn.CONCAT(B2142," ",E2142),ForeCalc!$B$36:$Y$36,0))))*VLOOKUP(A2142,Calendar!$A$2:$H$9997,8,FALSE),0)</f>
        <v/>
      </c>
      <c r="G2142" s="29">
        <f>VLOOKUP(A2142,Calendar!$A$1:$H$9997,6,FALSE)-F2142</f>
        <v/>
      </c>
      <c r="H2142" s="19" t="n">
        <v>3</v>
      </c>
      <c r="I2142" s="57" t="n">
        <v>11</v>
      </c>
    </row>
    <row r="2143">
      <c r="A2143" s="62" t="n">
        <v>47158</v>
      </c>
      <c r="B2143" s="3" t="inlineStr">
        <is>
          <t>Week</t>
        </is>
      </c>
      <c r="C2143" s="19" t="n">
        <v>2</v>
      </c>
      <c r="D2143" s="19" t="n">
        <v>2029</v>
      </c>
      <c r="E2143" s="57" t="n">
        <v>2</v>
      </c>
      <c r="F2143" s="29">
        <f>ROUND(((SUMIFS(Calendar!$F$2:$F$9997,Calendar!$B$2:$B$9997,D2143,Calendar!$C$2:$C$9997,C2143)*INDEX(ForeCalc!$B$37:$Y$274,MATCH(_xlfn.CONCAT(H2143," ",I2143),ForeCalc!$A$37:$A$274,0),MATCH(_xlfn.CONCAT(B2143," ",E2143),ForeCalc!$B$36:$Y$36,0))))*VLOOKUP(A2143,Calendar!$A$2:$H$9997,8,FALSE),0)</f>
        <v/>
      </c>
      <c r="G2143" s="29">
        <f>VLOOKUP(A2143,Calendar!$A$1:$H$9997,6,FALSE)-F2143</f>
        <v/>
      </c>
      <c r="H2143" s="19" t="n">
        <v>3</v>
      </c>
      <c r="I2143" s="57" t="n">
        <v>11</v>
      </c>
    </row>
    <row r="2144">
      <c r="A2144" s="62" t="n">
        <v>47159</v>
      </c>
      <c r="B2144" s="3" t="inlineStr">
        <is>
          <t>Sat</t>
        </is>
      </c>
      <c r="C2144" s="19" t="n">
        <v>2</v>
      </c>
      <c r="D2144" s="19" t="n">
        <v>2029</v>
      </c>
      <c r="E2144" s="57" t="n">
        <v>2</v>
      </c>
      <c r="F2144" s="29">
        <f>ROUND(((SUMIFS(Calendar!$F$2:$F$9997,Calendar!$B$2:$B$9997,D2144,Calendar!$C$2:$C$9997,C2144)*INDEX(ForeCalc!$B$37:$Y$274,MATCH(_xlfn.CONCAT(H2144," ",I2144),ForeCalc!$A$37:$A$274,0),MATCH(_xlfn.CONCAT(B2144," ",E2144),ForeCalc!$B$36:$Y$36,0))))*VLOOKUP(A2144,Calendar!$A$2:$H$9997,8,FALSE),0)</f>
        <v/>
      </c>
      <c r="G2144" s="29">
        <f>VLOOKUP(A2144,Calendar!$A$1:$H$9997,6,FALSE)-F2144</f>
        <v/>
      </c>
      <c r="H2144" s="19" t="n">
        <v>3</v>
      </c>
      <c r="I2144" s="57" t="n">
        <v>11</v>
      </c>
    </row>
    <row r="2145">
      <c r="A2145" s="62" t="n">
        <v>47160</v>
      </c>
      <c r="B2145" s="3" t="inlineStr">
        <is>
          <t>Sun</t>
        </is>
      </c>
      <c r="C2145" s="19" t="n">
        <v>2</v>
      </c>
      <c r="D2145" s="19" t="n">
        <v>2029</v>
      </c>
      <c r="E2145" s="57" t="n">
        <v>2</v>
      </c>
      <c r="F2145" s="29">
        <f>ROUND(((SUMIFS(Calendar!$F$2:$F$9997,Calendar!$B$2:$B$9997,D2145,Calendar!$C$2:$C$9997,C2145)*INDEX(ForeCalc!$B$37:$Y$274,MATCH(_xlfn.CONCAT(H2145," ",I2145),ForeCalc!$A$37:$A$274,0),MATCH(_xlfn.CONCAT(B2145," ",E2145),ForeCalc!$B$36:$Y$36,0))))*VLOOKUP(A2145,Calendar!$A$2:$H$9997,8,FALSE),0)</f>
        <v/>
      </c>
      <c r="G2145" s="29">
        <f>VLOOKUP(A2145,Calendar!$A$1:$H$9997,6,FALSE)-F2145</f>
        <v/>
      </c>
      <c r="H2145" s="19" t="n">
        <v>3</v>
      </c>
      <c r="I2145" s="57" t="n">
        <v>11</v>
      </c>
    </row>
    <row r="2146">
      <c r="A2146" s="62" t="n">
        <v>47161</v>
      </c>
      <c r="B2146" s="3" t="inlineStr">
        <is>
          <t>Week</t>
        </is>
      </c>
      <c r="C2146" s="19" t="n">
        <v>2</v>
      </c>
      <c r="D2146" s="19" t="n">
        <v>2029</v>
      </c>
      <c r="E2146" s="57" t="n">
        <v>2</v>
      </c>
      <c r="F2146" s="29">
        <f>ROUND(((SUMIFS(Calendar!$F$2:$F$9997,Calendar!$B$2:$B$9997,D2146,Calendar!$C$2:$C$9997,C2146)*INDEX(ForeCalc!$B$37:$Y$274,MATCH(_xlfn.CONCAT(H2146," ",I2146),ForeCalc!$A$37:$A$274,0),MATCH(_xlfn.CONCAT(B2146," ",E2146),ForeCalc!$B$36:$Y$36,0))))*VLOOKUP(A2146,Calendar!$A$2:$H$9997,8,FALSE),0)</f>
        <v/>
      </c>
      <c r="G2146" s="29">
        <f>VLOOKUP(A2146,Calendar!$A$1:$H$9997,6,FALSE)-F2146</f>
        <v/>
      </c>
      <c r="H2146" s="19" t="n">
        <v>3</v>
      </c>
      <c r="I2146" s="57" t="n">
        <v>11</v>
      </c>
    </row>
    <row r="2147">
      <c r="A2147" s="62" t="n">
        <v>47162</v>
      </c>
      <c r="B2147" s="3" t="inlineStr">
        <is>
          <t>Week</t>
        </is>
      </c>
      <c r="C2147" s="19" t="n">
        <v>2</v>
      </c>
      <c r="D2147" s="19" t="n">
        <v>2029</v>
      </c>
      <c r="E2147" s="57" t="n">
        <v>2</v>
      </c>
      <c r="F2147" s="29">
        <f>ROUND(((SUMIFS(Calendar!$F$2:$F$9997,Calendar!$B$2:$B$9997,D2147,Calendar!$C$2:$C$9997,C2147)*INDEX(ForeCalc!$B$37:$Y$274,MATCH(_xlfn.CONCAT(H2147," ",I2147),ForeCalc!$A$37:$A$274,0),MATCH(_xlfn.CONCAT(B2147," ",E2147),ForeCalc!$B$36:$Y$36,0))))*VLOOKUP(A2147,Calendar!$A$2:$H$9997,8,FALSE),0)</f>
        <v/>
      </c>
      <c r="G2147" s="29">
        <f>VLOOKUP(A2147,Calendar!$A$1:$H$9997,6,FALSE)-F2147</f>
        <v/>
      </c>
      <c r="H2147" s="19" t="n">
        <v>3</v>
      </c>
      <c r="I2147" s="57" t="n">
        <v>11</v>
      </c>
    </row>
    <row r="2148">
      <c r="A2148" s="62" t="n">
        <v>47163</v>
      </c>
      <c r="B2148" s="3" t="inlineStr">
        <is>
          <t>Week</t>
        </is>
      </c>
      <c r="C2148" s="19" t="n">
        <v>2</v>
      </c>
      <c r="D2148" s="19" t="n">
        <v>2029</v>
      </c>
      <c r="E2148" s="57" t="n">
        <v>2</v>
      </c>
      <c r="F2148" s="29">
        <f>ROUND(((SUMIFS(Calendar!$F$2:$F$9997,Calendar!$B$2:$B$9997,D2148,Calendar!$C$2:$C$9997,C2148)*INDEX(ForeCalc!$B$37:$Y$274,MATCH(_xlfn.CONCAT(H2148," ",I2148),ForeCalc!$A$37:$A$274,0),MATCH(_xlfn.CONCAT(B2148," ",E2148),ForeCalc!$B$36:$Y$36,0))))*VLOOKUP(A2148,Calendar!$A$2:$H$9997,8,FALSE),0)</f>
        <v/>
      </c>
      <c r="G2148" s="29">
        <f>VLOOKUP(A2148,Calendar!$A$1:$H$9997,6,FALSE)-F2148</f>
        <v/>
      </c>
      <c r="H2148" s="19" t="n">
        <v>3</v>
      </c>
      <c r="I2148" s="57" t="n">
        <v>11</v>
      </c>
    </row>
    <row r="2149">
      <c r="A2149" s="62" t="n">
        <v>47164</v>
      </c>
      <c r="B2149" s="3" t="inlineStr">
        <is>
          <t>Week</t>
        </is>
      </c>
      <c r="C2149" s="19" t="n">
        <v>2</v>
      </c>
      <c r="D2149" s="19" t="n">
        <v>2029</v>
      </c>
      <c r="E2149" s="57" t="n">
        <v>2</v>
      </c>
      <c r="F2149" s="29">
        <f>ROUND(((SUMIFS(Calendar!$F$2:$F$9997,Calendar!$B$2:$B$9997,D2149,Calendar!$C$2:$C$9997,C2149)*INDEX(ForeCalc!$B$37:$Y$274,MATCH(_xlfn.CONCAT(H2149," ",I2149),ForeCalc!$A$37:$A$274,0),MATCH(_xlfn.CONCAT(B2149," ",E2149),ForeCalc!$B$36:$Y$36,0))))*VLOOKUP(A2149,Calendar!$A$2:$H$9997,8,FALSE),0)</f>
        <v/>
      </c>
      <c r="G2149" s="29">
        <f>VLOOKUP(A2149,Calendar!$A$1:$H$9997,6,FALSE)-F2149</f>
        <v/>
      </c>
      <c r="H2149" s="19" t="n">
        <v>3</v>
      </c>
      <c r="I2149" s="57" t="n">
        <v>11</v>
      </c>
    </row>
    <row r="2150">
      <c r="A2150" s="62" t="n">
        <v>47165</v>
      </c>
      <c r="B2150" s="3" t="inlineStr">
        <is>
          <t>Week</t>
        </is>
      </c>
      <c r="C2150" s="19" t="n">
        <v>2</v>
      </c>
      <c r="D2150" s="19" t="n">
        <v>2029</v>
      </c>
      <c r="E2150" s="57" t="n">
        <v>2</v>
      </c>
      <c r="F2150" s="29">
        <f>ROUND(((SUMIFS(Calendar!$F$2:$F$9997,Calendar!$B$2:$B$9997,D2150,Calendar!$C$2:$C$9997,C2150)*INDEX(ForeCalc!$B$37:$Y$274,MATCH(_xlfn.CONCAT(H2150," ",I2150),ForeCalc!$A$37:$A$274,0),MATCH(_xlfn.CONCAT(B2150," ",E2150),ForeCalc!$B$36:$Y$36,0))))*VLOOKUP(A2150,Calendar!$A$2:$H$9997,8,FALSE),0)</f>
        <v/>
      </c>
      <c r="G2150" s="29">
        <f>VLOOKUP(A2150,Calendar!$A$1:$H$9997,6,FALSE)-F2150</f>
        <v/>
      </c>
      <c r="H2150" s="19" t="n">
        <v>3</v>
      </c>
      <c r="I2150" s="57" t="n">
        <v>11</v>
      </c>
    </row>
    <row r="2151">
      <c r="A2151" s="62" t="n">
        <v>47166</v>
      </c>
      <c r="B2151" s="3" t="inlineStr">
        <is>
          <t>Sat</t>
        </is>
      </c>
      <c r="C2151" s="19" t="n">
        <v>2</v>
      </c>
      <c r="D2151" s="19" t="n">
        <v>2029</v>
      </c>
      <c r="E2151" s="57" t="n">
        <v>2</v>
      </c>
      <c r="F2151" s="29">
        <f>ROUND(((SUMIFS(Calendar!$F$2:$F$9997,Calendar!$B$2:$B$9997,D2151,Calendar!$C$2:$C$9997,C2151)*INDEX(ForeCalc!$B$37:$Y$274,MATCH(_xlfn.CONCAT(H2151," ",I2151),ForeCalc!$A$37:$A$274,0),MATCH(_xlfn.CONCAT(B2151," ",E2151),ForeCalc!$B$36:$Y$36,0))))*VLOOKUP(A2151,Calendar!$A$2:$H$9997,8,FALSE),0)</f>
        <v/>
      </c>
      <c r="G2151" s="29">
        <f>VLOOKUP(A2151,Calendar!$A$1:$H$9997,6,FALSE)-F2151</f>
        <v/>
      </c>
      <c r="H2151" s="19" t="n">
        <v>3</v>
      </c>
      <c r="I2151" s="57" t="n">
        <v>11</v>
      </c>
    </row>
    <row r="2152">
      <c r="A2152" s="62" t="n">
        <v>47167</v>
      </c>
      <c r="B2152" s="3" t="inlineStr">
        <is>
          <t>Sun</t>
        </is>
      </c>
      <c r="C2152" s="19" t="n">
        <v>2</v>
      </c>
      <c r="D2152" s="19" t="n">
        <v>2029</v>
      </c>
      <c r="E2152" s="57" t="n">
        <v>2</v>
      </c>
      <c r="F2152" s="29">
        <f>ROUND(((SUMIFS(Calendar!$F$2:$F$9997,Calendar!$B$2:$B$9997,D2152,Calendar!$C$2:$C$9997,C2152)*INDEX(ForeCalc!$B$37:$Y$274,MATCH(_xlfn.CONCAT(H2152," ",I2152),ForeCalc!$A$37:$A$274,0),MATCH(_xlfn.CONCAT(B2152," ",E2152),ForeCalc!$B$36:$Y$36,0))))*VLOOKUP(A2152,Calendar!$A$2:$H$9997,8,FALSE),0)</f>
        <v/>
      </c>
      <c r="G2152" s="29">
        <f>VLOOKUP(A2152,Calendar!$A$1:$H$9997,6,FALSE)-F2152</f>
        <v/>
      </c>
      <c r="H2152" s="19" t="n">
        <v>3</v>
      </c>
      <c r="I2152" s="57" t="n">
        <v>11</v>
      </c>
    </row>
    <row r="2153">
      <c r="A2153" s="62" t="n">
        <v>47168</v>
      </c>
      <c r="B2153" s="3" t="inlineStr">
        <is>
          <t>Week</t>
        </is>
      </c>
      <c r="C2153" s="19" t="n">
        <v>2</v>
      </c>
      <c r="D2153" s="19" t="n">
        <v>2029</v>
      </c>
      <c r="E2153" s="57" t="n">
        <v>2</v>
      </c>
      <c r="F2153" s="29">
        <f>ROUND(((SUMIFS(Calendar!$F$2:$F$9997,Calendar!$B$2:$B$9997,D2153,Calendar!$C$2:$C$9997,C2153)*INDEX(ForeCalc!$B$37:$Y$274,MATCH(_xlfn.CONCAT(H2153," ",I2153),ForeCalc!$A$37:$A$274,0),MATCH(_xlfn.CONCAT(B2153," ",E2153),ForeCalc!$B$36:$Y$36,0))))*VLOOKUP(A2153,Calendar!$A$2:$H$9997,8,FALSE),0)</f>
        <v/>
      </c>
      <c r="G2153" s="29">
        <f>VLOOKUP(A2153,Calendar!$A$1:$H$9997,6,FALSE)-F2153</f>
        <v/>
      </c>
      <c r="H2153" s="19" t="n">
        <v>3</v>
      </c>
      <c r="I2153" s="57" t="n">
        <v>11</v>
      </c>
    </row>
    <row r="2154">
      <c r="A2154" s="62" t="n">
        <v>47169</v>
      </c>
      <c r="B2154" s="3" t="inlineStr">
        <is>
          <t>Week</t>
        </is>
      </c>
      <c r="C2154" s="19" t="n">
        <v>2</v>
      </c>
      <c r="D2154" s="19" t="n">
        <v>2029</v>
      </c>
      <c r="E2154" s="57" t="n">
        <v>2</v>
      </c>
      <c r="F2154" s="29">
        <f>ROUND(((SUMIFS(Calendar!$F$2:$F$9997,Calendar!$B$2:$B$9997,D2154,Calendar!$C$2:$C$9997,C2154)*INDEX(ForeCalc!$B$37:$Y$274,MATCH(_xlfn.CONCAT(H2154," ",I2154),ForeCalc!$A$37:$A$274,0),MATCH(_xlfn.CONCAT(B2154," ",E2154),ForeCalc!$B$36:$Y$36,0))))*VLOOKUP(A2154,Calendar!$A$2:$H$9997,8,FALSE),0)</f>
        <v/>
      </c>
      <c r="G2154" s="29">
        <f>VLOOKUP(A2154,Calendar!$A$1:$H$9997,6,FALSE)-F2154</f>
        <v/>
      </c>
      <c r="H2154" s="19" t="n">
        <v>3</v>
      </c>
      <c r="I2154" s="57" t="n">
        <v>11</v>
      </c>
    </row>
    <row r="2155">
      <c r="A2155" s="62" t="n">
        <v>47170</v>
      </c>
      <c r="B2155" s="3" t="inlineStr">
        <is>
          <t>Week</t>
        </is>
      </c>
      <c r="C2155" s="19" t="n">
        <v>2</v>
      </c>
      <c r="D2155" s="19" t="n">
        <v>2029</v>
      </c>
      <c r="E2155" s="57" t="n">
        <v>2</v>
      </c>
      <c r="F2155" s="29">
        <f>ROUND(((SUMIFS(Calendar!$F$2:$F$9997,Calendar!$B$2:$B$9997,D2155,Calendar!$C$2:$C$9997,C2155)*INDEX(ForeCalc!$B$37:$Y$274,MATCH(_xlfn.CONCAT(H2155," ",I2155),ForeCalc!$A$37:$A$274,0),MATCH(_xlfn.CONCAT(B2155," ",E2155),ForeCalc!$B$36:$Y$36,0))))*VLOOKUP(A2155,Calendar!$A$2:$H$9997,8,FALSE),0)</f>
        <v/>
      </c>
      <c r="G2155" s="29">
        <f>VLOOKUP(A2155,Calendar!$A$1:$H$9997,6,FALSE)-F2155</f>
        <v/>
      </c>
      <c r="H2155" s="19" t="n">
        <v>3</v>
      </c>
      <c r="I2155" s="57" t="n">
        <v>11</v>
      </c>
    </row>
    <row r="2156">
      <c r="A2156" s="62" t="n">
        <v>47171</v>
      </c>
      <c r="B2156" s="3" t="inlineStr">
        <is>
          <t>Week</t>
        </is>
      </c>
      <c r="C2156" s="19" t="n">
        <v>2</v>
      </c>
      <c r="D2156" s="19" t="n">
        <v>2029</v>
      </c>
      <c r="E2156" s="57" t="n">
        <v>2</v>
      </c>
      <c r="F2156" s="29">
        <f>ROUND(((SUMIFS(Calendar!$F$2:$F$9997,Calendar!$B$2:$B$9997,D2156,Calendar!$C$2:$C$9997,C2156)*INDEX(ForeCalc!$B$37:$Y$274,MATCH(_xlfn.CONCAT(H2156," ",I2156),ForeCalc!$A$37:$A$274,0),MATCH(_xlfn.CONCAT(B2156," ",E2156),ForeCalc!$B$36:$Y$36,0))))*VLOOKUP(A2156,Calendar!$A$2:$H$9997,8,FALSE),0)</f>
        <v/>
      </c>
      <c r="G2156" s="29">
        <f>VLOOKUP(A2156,Calendar!$A$1:$H$9997,6,FALSE)-F2156</f>
        <v/>
      </c>
      <c r="H2156" s="19" t="n">
        <v>3</v>
      </c>
      <c r="I2156" s="57" t="n">
        <v>11</v>
      </c>
    </row>
    <row r="2157">
      <c r="A2157" s="62" t="n">
        <v>47172</v>
      </c>
      <c r="B2157" s="3" t="inlineStr">
        <is>
          <t>Week</t>
        </is>
      </c>
      <c r="C2157" s="19" t="n">
        <v>2</v>
      </c>
      <c r="D2157" s="19" t="n">
        <v>2029</v>
      </c>
      <c r="E2157" s="57" t="n">
        <v>2</v>
      </c>
      <c r="F2157" s="29">
        <f>ROUND(((SUMIFS(Calendar!$F$2:$F$9997,Calendar!$B$2:$B$9997,D2157,Calendar!$C$2:$C$9997,C2157)*INDEX(ForeCalc!$B$37:$Y$274,MATCH(_xlfn.CONCAT(H2157," ",I2157),ForeCalc!$A$37:$A$274,0),MATCH(_xlfn.CONCAT(B2157," ",E2157),ForeCalc!$B$36:$Y$36,0))))*VLOOKUP(A2157,Calendar!$A$2:$H$9997,8,FALSE),0)</f>
        <v/>
      </c>
      <c r="G2157" s="29">
        <f>VLOOKUP(A2157,Calendar!$A$1:$H$9997,6,FALSE)-F2157</f>
        <v/>
      </c>
      <c r="H2157" s="19" t="n">
        <v>3</v>
      </c>
      <c r="I2157" s="57" t="n">
        <v>11</v>
      </c>
    </row>
    <row r="2158">
      <c r="A2158" s="62" t="n">
        <v>47173</v>
      </c>
      <c r="B2158" s="3" t="inlineStr">
        <is>
          <t>Sat</t>
        </is>
      </c>
      <c r="C2158" s="19" t="n">
        <v>2</v>
      </c>
      <c r="D2158" s="19" t="n">
        <v>2029</v>
      </c>
      <c r="E2158" s="57" t="n">
        <v>2</v>
      </c>
      <c r="F2158" s="29">
        <f>ROUND(((SUMIFS(Calendar!$F$2:$F$9997,Calendar!$B$2:$B$9997,D2158,Calendar!$C$2:$C$9997,C2158)*INDEX(ForeCalc!$B$37:$Y$274,MATCH(_xlfn.CONCAT(H2158," ",I2158),ForeCalc!$A$37:$A$274,0),MATCH(_xlfn.CONCAT(B2158," ",E2158),ForeCalc!$B$36:$Y$36,0))))*VLOOKUP(A2158,Calendar!$A$2:$H$9997,8,FALSE),0)</f>
        <v/>
      </c>
      <c r="G2158" s="29">
        <f>VLOOKUP(A2158,Calendar!$A$1:$H$9997,6,FALSE)-F2158</f>
        <v/>
      </c>
      <c r="H2158" s="19" t="n">
        <v>3</v>
      </c>
      <c r="I2158" s="57" t="n">
        <v>11</v>
      </c>
    </row>
    <row r="2159">
      <c r="A2159" s="62" t="n">
        <v>47174</v>
      </c>
      <c r="B2159" s="3" t="inlineStr">
        <is>
          <t>Sun</t>
        </is>
      </c>
      <c r="C2159" s="19" t="n">
        <v>2</v>
      </c>
      <c r="D2159" s="19" t="n">
        <v>2029</v>
      </c>
      <c r="E2159" s="57" t="n">
        <v>2</v>
      </c>
      <c r="F2159" s="29">
        <f>ROUND(((SUMIFS(Calendar!$F$2:$F$9997,Calendar!$B$2:$B$9997,D2159,Calendar!$C$2:$C$9997,C2159)*INDEX(ForeCalc!$B$37:$Y$274,MATCH(_xlfn.CONCAT(H2159," ",I2159),ForeCalc!$A$37:$A$274,0),MATCH(_xlfn.CONCAT(B2159," ",E2159),ForeCalc!$B$36:$Y$36,0))))*VLOOKUP(A2159,Calendar!$A$2:$H$9997,8,FALSE),0)</f>
        <v/>
      </c>
      <c r="G2159" s="29">
        <f>VLOOKUP(A2159,Calendar!$A$1:$H$9997,6,FALSE)-F2159</f>
        <v/>
      </c>
      <c r="H2159" s="19" t="n">
        <v>3</v>
      </c>
      <c r="I2159" s="57" t="n">
        <v>11</v>
      </c>
    </row>
    <row r="2160">
      <c r="A2160" s="62" t="n">
        <v>47175</v>
      </c>
      <c r="B2160" s="3" t="inlineStr">
        <is>
          <t>Week</t>
        </is>
      </c>
      <c r="C2160" s="19" t="n">
        <v>2</v>
      </c>
      <c r="D2160" s="19" t="n">
        <v>2029</v>
      </c>
      <c r="E2160" s="57" t="n">
        <v>2</v>
      </c>
      <c r="F2160" s="29">
        <f>ROUND(((SUMIFS(Calendar!$F$2:$F$9997,Calendar!$B$2:$B$9997,D2160,Calendar!$C$2:$C$9997,C2160)*INDEX(ForeCalc!$B$37:$Y$274,MATCH(_xlfn.CONCAT(H2160," ",I2160),ForeCalc!$A$37:$A$274,0),MATCH(_xlfn.CONCAT(B2160," ",E2160),ForeCalc!$B$36:$Y$36,0))))*VLOOKUP(A2160,Calendar!$A$2:$H$9997,8,FALSE),0)</f>
        <v/>
      </c>
      <c r="G2160" s="29">
        <f>VLOOKUP(A2160,Calendar!$A$1:$H$9997,6,FALSE)-F2160</f>
        <v/>
      </c>
      <c r="H2160" s="19" t="n">
        <v>3</v>
      </c>
      <c r="I2160" s="57" t="n">
        <v>11</v>
      </c>
    </row>
    <row r="2161">
      <c r="A2161" s="62" t="n">
        <v>47176</v>
      </c>
      <c r="B2161" s="3" t="inlineStr">
        <is>
          <t>Week</t>
        </is>
      </c>
      <c r="C2161" s="19" t="n">
        <v>2</v>
      </c>
      <c r="D2161" s="19" t="n">
        <v>2029</v>
      </c>
      <c r="E2161" s="57" t="n">
        <v>2</v>
      </c>
      <c r="F2161" s="29">
        <f>ROUND(((SUMIFS(Calendar!$F$2:$F$9997,Calendar!$B$2:$B$9997,D2161,Calendar!$C$2:$C$9997,C2161)*INDEX(ForeCalc!$B$37:$Y$274,MATCH(_xlfn.CONCAT(H2161," ",I2161),ForeCalc!$A$37:$A$274,0),MATCH(_xlfn.CONCAT(B2161," ",E2161),ForeCalc!$B$36:$Y$36,0))))*VLOOKUP(A2161,Calendar!$A$2:$H$9997,8,FALSE),0)</f>
        <v/>
      </c>
      <c r="G2161" s="29">
        <f>VLOOKUP(A2161,Calendar!$A$1:$H$9997,6,FALSE)-F2161</f>
        <v/>
      </c>
      <c r="H2161" s="19" t="n">
        <v>3</v>
      </c>
      <c r="I2161" s="57" t="n">
        <v>11</v>
      </c>
    </row>
    <row r="2162">
      <c r="A2162" s="62" t="n">
        <v>47177</v>
      </c>
      <c r="B2162" s="3" t="inlineStr">
        <is>
          <t>Week</t>
        </is>
      </c>
      <c r="C2162" s="19" t="n">
        <v>2</v>
      </c>
      <c r="D2162" s="19" t="n">
        <v>2029</v>
      </c>
      <c r="E2162" s="57" t="n">
        <v>2</v>
      </c>
      <c r="F2162" s="29">
        <f>ROUND(((SUMIFS(Calendar!$F$2:$F$9997,Calendar!$B$2:$B$9997,D2162,Calendar!$C$2:$C$9997,C2162)*INDEX(ForeCalc!$B$37:$Y$274,MATCH(_xlfn.CONCAT(H2162," ",I2162),ForeCalc!$A$37:$A$274,0),MATCH(_xlfn.CONCAT(B2162," ",E2162),ForeCalc!$B$36:$Y$36,0))))*VLOOKUP(A2162,Calendar!$A$2:$H$9997,8,FALSE),0)</f>
        <v/>
      </c>
      <c r="G2162" s="29">
        <f>VLOOKUP(A2162,Calendar!$A$1:$H$9997,6,FALSE)-F2162</f>
        <v/>
      </c>
      <c r="H2162" s="19" t="n">
        <v>3</v>
      </c>
      <c r="I2162" s="57" t="n">
        <v>11</v>
      </c>
    </row>
    <row r="2163">
      <c r="A2163" s="62" t="n">
        <v>47178</v>
      </c>
      <c r="B2163" s="3" t="inlineStr">
        <is>
          <t>Week</t>
        </is>
      </c>
      <c r="C2163" s="19" t="n">
        <v>3</v>
      </c>
      <c r="D2163" s="19" t="n">
        <v>2029</v>
      </c>
      <c r="E2163" s="57" t="n">
        <v>2</v>
      </c>
      <c r="F2163" s="29">
        <f>ROUND(((SUMIFS(Calendar!$F$2:$F$9997,Calendar!$B$2:$B$9997,D2163,Calendar!$C$2:$C$9997,C2163)*INDEX(ForeCalc!$B$37:$Y$274,MATCH(_xlfn.CONCAT(H2163," ",I2163),ForeCalc!$A$37:$A$274,0),MATCH(_xlfn.CONCAT(B2163," ",E2163),ForeCalc!$B$36:$Y$36,0))))*VLOOKUP(A2163,Calendar!$A$2:$H$9997,8,FALSE),0)</f>
        <v/>
      </c>
      <c r="G2163" s="29">
        <f>VLOOKUP(A2163,Calendar!$A$1:$H$9997,6,FALSE)-F2163</f>
        <v/>
      </c>
      <c r="H2163" s="19" t="n">
        <v>3</v>
      </c>
      <c r="I2163" s="57" t="n">
        <v>12</v>
      </c>
    </row>
    <row r="2164">
      <c r="A2164" s="62" t="n">
        <v>47179</v>
      </c>
      <c r="B2164" s="3" t="inlineStr">
        <is>
          <t>Week</t>
        </is>
      </c>
      <c r="C2164" s="19" t="n">
        <v>3</v>
      </c>
      <c r="D2164" s="19" t="n">
        <v>2029</v>
      </c>
      <c r="E2164" s="57" t="n">
        <v>2</v>
      </c>
      <c r="F2164" s="29">
        <f>ROUND(((SUMIFS(Calendar!$F$2:$F$9997,Calendar!$B$2:$B$9997,D2164,Calendar!$C$2:$C$9997,C2164)*INDEX(ForeCalc!$B$37:$Y$274,MATCH(_xlfn.CONCAT(H2164," ",I2164),ForeCalc!$A$37:$A$274,0),MATCH(_xlfn.CONCAT(B2164," ",E2164),ForeCalc!$B$36:$Y$36,0))))*VLOOKUP(A2164,Calendar!$A$2:$H$9997,8,FALSE),0)</f>
        <v/>
      </c>
      <c r="G2164" s="29">
        <f>VLOOKUP(A2164,Calendar!$A$1:$H$9997,6,FALSE)-F2164</f>
        <v/>
      </c>
      <c r="H2164" s="19" t="n">
        <v>3</v>
      </c>
      <c r="I2164" s="57" t="n">
        <v>12</v>
      </c>
    </row>
    <row r="2165">
      <c r="A2165" s="62" t="n">
        <v>47180</v>
      </c>
      <c r="B2165" s="3" t="inlineStr">
        <is>
          <t>Sat</t>
        </is>
      </c>
      <c r="C2165" s="19" t="n">
        <v>3</v>
      </c>
      <c r="D2165" s="19" t="n">
        <v>2029</v>
      </c>
      <c r="E2165" s="57" t="n">
        <v>2</v>
      </c>
      <c r="F2165" s="29">
        <f>ROUND(((SUMIFS(Calendar!$F$2:$F$9997,Calendar!$B$2:$B$9997,D2165,Calendar!$C$2:$C$9997,C2165)*INDEX(ForeCalc!$B$37:$Y$274,MATCH(_xlfn.CONCAT(H2165," ",I2165),ForeCalc!$A$37:$A$274,0),MATCH(_xlfn.CONCAT(B2165," ",E2165),ForeCalc!$B$36:$Y$36,0))))*VLOOKUP(A2165,Calendar!$A$2:$H$9997,8,FALSE),0)</f>
        <v/>
      </c>
      <c r="G2165" s="29">
        <f>VLOOKUP(A2165,Calendar!$A$1:$H$9997,6,FALSE)-F2165</f>
        <v/>
      </c>
      <c r="H2165" s="19" t="n">
        <v>3</v>
      </c>
      <c r="I2165" s="57" t="n">
        <v>12</v>
      </c>
    </row>
    <row r="2166">
      <c r="A2166" s="62" t="n">
        <v>47181</v>
      </c>
      <c r="B2166" s="3" t="inlineStr">
        <is>
          <t>Sun</t>
        </is>
      </c>
      <c r="C2166" s="19" t="n">
        <v>3</v>
      </c>
      <c r="D2166" s="19" t="n">
        <v>2029</v>
      </c>
      <c r="E2166" s="57" t="n">
        <v>2</v>
      </c>
      <c r="F2166" s="29">
        <f>ROUND(((SUMIFS(Calendar!$F$2:$F$9997,Calendar!$B$2:$B$9997,D2166,Calendar!$C$2:$C$9997,C2166)*INDEX(ForeCalc!$B$37:$Y$274,MATCH(_xlfn.CONCAT(H2166," ",I2166),ForeCalc!$A$37:$A$274,0),MATCH(_xlfn.CONCAT(B2166," ",E2166),ForeCalc!$B$36:$Y$36,0))))*VLOOKUP(A2166,Calendar!$A$2:$H$9997,8,FALSE),0)</f>
        <v/>
      </c>
      <c r="G2166" s="29">
        <f>VLOOKUP(A2166,Calendar!$A$1:$H$9997,6,FALSE)-F2166</f>
        <v/>
      </c>
      <c r="H2166" s="19" t="n">
        <v>3</v>
      </c>
      <c r="I2166" s="57" t="n">
        <v>12</v>
      </c>
    </row>
    <row r="2167">
      <c r="A2167" s="62" t="n">
        <v>47182</v>
      </c>
      <c r="B2167" s="3" t="inlineStr">
        <is>
          <t>Week</t>
        </is>
      </c>
      <c r="C2167" s="19" t="n">
        <v>3</v>
      </c>
      <c r="D2167" s="19" t="n">
        <v>2029</v>
      </c>
      <c r="E2167" s="57" t="n">
        <v>2</v>
      </c>
      <c r="F2167" s="29">
        <f>ROUND(((SUMIFS(Calendar!$F$2:$F$9997,Calendar!$B$2:$B$9997,D2167,Calendar!$C$2:$C$9997,C2167)*INDEX(ForeCalc!$B$37:$Y$274,MATCH(_xlfn.CONCAT(H2167," ",I2167),ForeCalc!$A$37:$A$274,0),MATCH(_xlfn.CONCAT(B2167," ",E2167),ForeCalc!$B$36:$Y$36,0))))*VLOOKUP(A2167,Calendar!$A$2:$H$9997,8,FALSE),0)</f>
        <v/>
      </c>
      <c r="G2167" s="29">
        <f>VLOOKUP(A2167,Calendar!$A$1:$H$9997,6,FALSE)-F2167</f>
        <v/>
      </c>
      <c r="H2167" s="19" t="n">
        <v>3</v>
      </c>
      <c r="I2167" s="57" t="n">
        <v>12</v>
      </c>
    </row>
    <row r="2168">
      <c r="A2168" s="62" t="n">
        <v>47183</v>
      </c>
      <c r="B2168" s="3" t="inlineStr">
        <is>
          <t>Week</t>
        </is>
      </c>
      <c r="C2168" s="19" t="n">
        <v>3</v>
      </c>
      <c r="D2168" s="19" t="n">
        <v>2029</v>
      </c>
      <c r="E2168" s="57" t="n">
        <v>2</v>
      </c>
      <c r="F2168" s="29">
        <f>ROUND(((SUMIFS(Calendar!$F$2:$F$9997,Calendar!$B$2:$B$9997,D2168,Calendar!$C$2:$C$9997,C2168)*INDEX(ForeCalc!$B$37:$Y$274,MATCH(_xlfn.CONCAT(H2168," ",I2168),ForeCalc!$A$37:$A$274,0),MATCH(_xlfn.CONCAT(B2168," ",E2168),ForeCalc!$B$36:$Y$36,0))))*VLOOKUP(A2168,Calendar!$A$2:$H$9997,8,FALSE),0)</f>
        <v/>
      </c>
      <c r="G2168" s="29">
        <f>VLOOKUP(A2168,Calendar!$A$1:$H$9997,6,FALSE)-F2168</f>
        <v/>
      </c>
      <c r="H2168" s="19" t="n">
        <v>3</v>
      </c>
      <c r="I2168" s="57" t="n">
        <v>12</v>
      </c>
    </row>
    <row r="2169">
      <c r="A2169" s="62" t="n">
        <v>47184</v>
      </c>
      <c r="B2169" s="3" t="inlineStr">
        <is>
          <t>Week</t>
        </is>
      </c>
      <c r="C2169" s="19" t="n">
        <v>3</v>
      </c>
      <c r="D2169" s="19" t="n">
        <v>2029</v>
      </c>
      <c r="E2169" s="57" t="n">
        <v>2</v>
      </c>
      <c r="F2169" s="29">
        <f>ROUND(((SUMIFS(Calendar!$F$2:$F$9997,Calendar!$B$2:$B$9997,D2169,Calendar!$C$2:$C$9997,C2169)*INDEX(ForeCalc!$B$37:$Y$274,MATCH(_xlfn.CONCAT(H2169," ",I2169),ForeCalc!$A$37:$A$274,0),MATCH(_xlfn.CONCAT(B2169," ",E2169),ForeCalc!$B$36:$Y$36,0))))*VLOOKUP(A2169,Calendar!$A$2:$H$9997,8,FALSE),0)</f>
        <v/>
      </c>
      <c r="G2169" s="29">
        <f>VLOOKUP(A2169,Calendar!$A$1:$H$9997,6,FALSE)-F2169</f>
        <v/>
      </c>
      <c r="H2169" s="19" t="n">
        <v>3</v>
      </c>
      <c r="I2169" s="57" t="n">
        <v>12</v>
      </c>
    </row>
    <row r="2170">
      <c r="A2170" s="62" t="n">
        <v>47185</v>
      </c>
      <c r="B2170" s="3" t="inlineStr">
        <is>
          <t>Week</t>
        </is>
      </c>
      <c r="C2170" s="19" t="n">
        <v>3</v>
      </c>
      <c r="D2170" s="19" t="n">
        <v>2029</v>
      </c>
      <c r="E2170" s="57" t="n">
        <v>2</v>
      </c>
      <c r="F2170" s="29">
        <f>ROUND(((SUMIFS(Calendar!$F$2:$F$9997,Calendar!$B$2:$B$9997,D2170,Calendar!$C$2:$C$9997,C2170)*INDEX(ForeCalc!$B$37:$Y$274,MATCH(_xlfn.CONCAT(H2170," ",I2170),ForeCalc!$A$37:$A$274,0),MATCH(_xlfn.CONCAT(B2170," ",E2170),ForeCalc!$B$36:$Y$36,0))))*VLOOKUP(A2170,Calendar!$A$2:$H$9997,8,FALSE),0)</f>
        <v/>
      </c>
      <c r="G2170" s="29">
        <f>VLOOKUP(A2170,Calendar!$A$1:$H$9997,6,FALSE)-F2170</f>
        <v/>
      </c>
      <c r="H2170" s="19" t="n">
        <v>3</v>
      </c>
      <c r="I2170" s="57" t="n">
        <v>12</v>
      </c>
    </row>
    <row r="2171">
      <c r="A2171" s="62" t="n">
        <v>47186</v>
      </c>
      <c r="B2171" s="3" t="inlineStr">
        <is>
          <t>Week</t>
        </is>
      </c>
      <c r="C2171" s="19" t="n">
        <v>3</v>
      </c>
      <c r="D2171" s="19" t="n">
        <v>2029</v>
      </c>
      <c r="E2171" s="57" t="n">
        <v>2</v>
      </c>
      <c r="F2171" s="29">
        <f>ROUND(((SUMIFS(Calendar!$F$2:$F$9997,Calendar!$B$2:$B$9997,D2171,Calendar!$C$2:$C$9997,C2171)*INDEX(ForeCalc!$B$37:$Y$274,MATCH(_xlfn.CONCAT(H2171," ",I2171),ForeCalc!$A$37:$A$274,0),MATCH(_xlfn.CONCAT(B2171," ",E2171),ForeCalc!$B$36:$Y$36,0))))*VLOOKUP(A2171,Calendar!$A$2:$H$9997,8,FALSE),0)</f>
        <v/>
      </c>
      <c r="G2171" s="29">
        <f>VLOOKUP(A2171,Calendar!$A$1:$H$9997,6,FALSE)-F2171</f>
        <v/>
      </c>
      <c r="H2171" s="19" t="n">
        <v>3</v>
      </c>
      <c r="I2171" s="57" t="n">
        <v>12</v>
      </c>
    </row>
    <row r="2172">
      <c r="A2172" s="62" t="n">
        <v>47187</v>
      </c>
      <c r="B2172" s="3" t="inlineStr">
        <is>
          <t>Sat</t>
        </is>
      </c>
      <c r="C2172" s="19" t="n">
        <v>3</v>
      </c>
      <c r="D2172" s="19" t="n">
        <v>2029</v>
      </c>
      <c r="E2172" s="57" t="n">
        <v>2</v>
      </c>
      <c r="F2172" s="29">
        <f>ROUND(((SUMIFS(Calendar!$F$2:$F$9997,Calendar!$B$2:$B$9997,D2172,Calendar!$C$2:$C$9997,C2172)*INDEX(ForeCalc!$B$37:$Y$274,MATCH(_xlfn.CONCAT(H2172," ",I2172),ForeCalc!$A$37:$A$274,0),MATCH(_xlfn.CONCAT(B2172," ",E2172),ForeCalc!$B$36:$Y$36,0))))*VLOOKUP(A2172,Calendar!$A$2:$H$9997,8,FALSE),0)</f>
        <v/>
      </c>
      <c r="G2172" s="29">
        <f>VLOOKUP(A2172,Calendar!$A$1:$H$9997,6,FALSE)-F2172</f>
        <v/>
      </c>
      <c r="H2172" s="19" t="n">
        <v>3</v>
      </c>
      <c r="I2172" s="57" t="n">
        <v>12</v>
      </c>
    </row>
    <row r="2173">
      <c r="A2173" s="62" t="n">
        <v>47188</v>
      </c>
      <c r="B2173" s="3" t="inlineStr">
        <is>
          <t>Sun</t>
        </is>
      </c>
      <c r="C2173" s="19" t="n">
        <v>3</v>
      </c>
      <c r="D2173" s="19" t="n">
        <v>2029</v>
      </c>
      <c r="E2173" s="57" t="n">
        <v>2</v>
      </c>
      <c r="F2173" s="29">
        <f>ROUND(((SUMIFS(Calendar!$F$2:$F$9997,Calendar!$B$2:$B$9997,D2173,Calendar!$C$2:$C$9997,C2173)*INDEX(ForeCalc!$B$37:$Y$274,MATCH(_xlfn.CONCAT(H2173," ",I2173),ForeCalc!$A$37:$A$274,0),MATCH(_xlfn.CONCAT(B2173," ",E2173),ForeCalc!$B$36:$Y$36,0))))*VLOOKUP(A2173,Calendar!$A$2:$H$9997,8,FALSE),0)</f>
        <v/>
      </c>
      <c r="G2173" s="29">
        <f>VLOOKUP(A2173,Calendar!$A$1:$H$9997,6,FALSE)-F2173</f>
        <v/>
      </c>
      <c r="H2173" s="19" t="n">
        <v>3</v>
      </c>
      <c r="I2173" s="57" t="n">
        <v>12</v>
      </c>
    </row>
    <row r="2174">
      <c r="A2174" s="62" t="n">
        <v>47189</v>
      </c>
      <c r="B2174" s="3" t="inlineStr">
        <is>
          <t>Week</t>
        </is>
      </c>
      <c r="C2174" s="19" t="n">
        <v>3</v>
      </c>
      <c r="D2174" s="19" t="n">
        <v>2029</v>
      </c>
      <c r="E2174" s="57" t="n">
        <v>2</v>
      </c>
      <c r="F2174" s="29">
        <f>ROUND(((SUMIFS(Calendar!$F$2:$F$9997,Calendar!$B$2:$B$9997,D2174,Calendar!$C$2:$C$9997,C2174)*INDEX(ForeCalc!$B$37:$Y$274,MATCH(_xlfn.CONCAT(H2174," ",I2174),ForeCalc!$A$37:$A$274,0),MATCH(_xlfn.CONCAT(B2174," ",E2174),ForeCalc!$B$36:$Y$36,0))))*VLOOKUP(A2174,Calendar!$A$2:$H$9997,8,FALSE),0)</f>
        <v/>
      </c>
      <c r="G2174" s="29">
        <f>VLOOKUP(A2174,Calendar!$A$1:$H$9997,6,FALSE)-F2174</f>
        <v/>
      </c>
      <c r="H2174" s="19" t="n">
        <v>3</v>
      </c>
      <c r="I2174" s="57" t="n">
        <v>12</v>
      </c>
    </row>
    <row r="2175">
      <c r="A2175" s="62" t="n">
        <v>47190</v>
      </c>
      <c r="B2175" s="3" t="inlineStr">
        <is>
          <t>Week</t>
        </is>
      </c>
      <c r="C2175" s="19" t="n">
        <v>3</v>
      </c>
      <c r="D2175" s="19" t="n">
        <v>2029</v>
      </c>
      <c r="E2175" s="57" t="n">
        <v>2</v>
      </c>
      <c r="F2175" s="29">
        <f>ROUND(((SUMIFS(Calendar!$F$2:$F$9997,Calendar!$B$2:$B$9997,D2175,Calendar!$C$2:$C$9997,C2175)*INDEX(ForeCalc!$B$37:$Y$274,MATCH(_xlfn.CONCAT(H2175," ",I2175),ForeCalc!$A$37:$A$274,0),MATCH(_xlfn.CONCAT(B2175," ",E2175),ForeCalc!$B$36:$Y$36,0))))*VLOOKUP(A2175,Calendar!$A$2:$H$9997,8,FALSE),0)</f>
        <v/>
      </c>
      <c r="G2175" s="29">
        <f>VLOOKUP(A2175,Calendar!$A$1:$H$9997,6,FALSE)-F2175</f>
        <v/>
      </c>
      <c r="H2175" s="19" t="n">
        <v>3</v>
      </c>
      <c r="I2175" s="57" t="n">
        <v>12</v>
      </c>
    </row>
    <row r="2176">
      <c r="A2176" s="62" t="n">
        <v>47191</v>
      </c>
      <c r="B2176" s="3" t="inlineStr">
        <is>
          <t>Week</t>
        </is>
      </c>
      <c r="C2176" s="19" t="n">
        <v>3</v>
      </c>
      <c r="D2176" s="19" t="n">
        <v>2029</v>
      </c>
      <c r="E2176" s="57" t="n">
        <v>2</v>
      </c>
      <c r="F2176" s="29">
        <f>ROUND(((SUMIFS(Calendar!$F$2:$F$9997,Calendar!$B$2:$B$9997,D2176,Calendar!$C$2:$C$9997,C2176)*INDEX(ForeCalc!$B$37:$Y$274,MATCH(_xlfn.CONCAT(H2176," ",I2176),ForeCalc!$A$37:$A$274,0),MATCH(_xlfn.CONCAT(B2176," ",E2176),ForeCalc!$B$36:$Y$36,0))))*VLOOKUP(A2176,Calendar!$A$2:$H$9997,8,FALSE),0)</f>
        <v/>
      </c>
      <c r="G2176" s="29">
        <f>VLOOKUP(A2176,Calendar!$A$1:$H$9997,6,FALSE)-F2176</f>
        <v/>
      </c>
      <c r="H2176" s="19" t="n">
        <v>3</v>
      </c>
      <c r="I2176" s="57" t="n">
        <v>12</v>
      </c>
    </row>
    <row r="2177">
      <c r="A2177" s="62" t="n">
        <v>47192</v>
      </c>
      <c r="B2177" s="3" t="inlineStr">
        <is>
          <t>Week</t>
        </is>
      </c>
      <c r="C2177" s="19" t="n">
        <v>3</v>
      </c>
      <c r="D2177" s="19" t="n">
        <v>2029</v>
      </c>
      <c r="E2177" s="57" t="n">
        <v>2</v>
      </c>
      <c r="F2177" s="29">
        <f>ROUND(((SUMIFS(Calendar!$F$2:$F$9997,Calendar!$B$2:$B$9997,D2177,Calendar!$C$2:$C$9997,C2177)*INDEX(ForeCalc!$B$37:$Y$274,MATCH(_xlfn.CONCAT(H2177," ",I2177),ForeCalc!$A$37:$A$274,0),MATCH(_xlfn.CONCAT(B2177," ",E2177),ForeCalc!$B$36:$Y$36,0))))*VLOOKUP(A2177,Calendar!$A$2:$H$9997,8,FALSE),0)</f>
        <v/>
      </c>
      <c r="G2177" s="29">
        <f>VLOOKUP(A2177,Calendar!$A$1:$H$9997,6,FALSE)-F2177</f>
        <v/>
      </c>
      <c r="H2177" s="19" t="n">
        <v>3</v>
      </c>
      <c r="I2177" s="57" t="n">
        <v>12</v>
      </c>
    </row>
    <row r="2178">
      <c r="A2178" s="62" t="n">
        <v>47193</v>
      </c>
      <c r="B2178" s="3" t="inlineStr">
        <is>
          <t>Week</t>
        </is>
      </c>
      <c r="C2178" s="19" t="n">
        <v>3</v>
      </c>
      <c r="D2178" s="19" t="n">
        <v>2029</v>
      </c>
      <c r="E2178" s="57" t="n">
        <v>2</v>
      </c>
      <c r="F2178" s="29">
        <f>ROUND(((SUMIFS(Calendar!$F$2:$F$9997,Calendar!$B$2:$B$9997,D2178,Calendar!$C$2:$C$9997,C2178)*INDEX(ForeCalc!$B$37:$Y$274,MATCH(_xlfn.CONCAT(H2178," ",I2178),ForeCalc!$A$37:$A$274,0),MATCH(_xlfn.CONCAT(B2178," ",E2178),ForeCalc!$B$36:$Y$36,0))))*VLOOKUP(A2178,Calendar!$A$2:$H$9997,8,FALSE),0)</f>
        <v/>
      </c>
      <c r="G2178" s="29">
        <f>VLOOKUP(A2178,Calendar!$A$1:$H$9997,6,FALSE)-F2178</f>
        <v/>
      </c>
      <c r="H2178" s="19" t="n">
        <v>3</v>
      </c>
      <c r="I2178" s="57" t="n">
        <v>12</v>
      </c>
    </row>
    <row r="2179">
      <c r="A2179" s="62" t="n">
        <v>47194</v>
      </c>
      <c r="B2179" s="3" t="inlineStr">
        <is>
          <t>Sat</t>
        </is>
      </c>
      <c r="C2179" s="19" t="n">
        <v>3</v>
      </c>
      <c r="D2179" s="19" t="n">
        <v>2029</v>
      </c>
      <c r="E2179" s="57" t="n">
        <v>2</v>
      </c>
      <c r="F2179" s="29">
        <f>ROUND(((SUMIFS(Calendar!$F$2:$F$9997,Calendar!$B$2:$B$9997,D2179,Calendar!$C$2:$C$9997,C2179)*INDEX(ForeCalc!$B$37:$Y$274,MATCH(_xlfn.CONCAT(H2179," ",I2179),ForeCalc!$A$37:$A$274,0),MATCH(_xlfn.CONCAT(B2179," ",E2179),ForeCalc!$B$36:$Y$36,0))))*VLOOKUP(A2179,Calendar!$A$2:$H$9997,8,FALSE),0)</f>
        <v/>
      </c>
      <c r="G2179" s="29">
        <f>VLOOKUP(A2179,Calendar!$A$1:$H$9997,6,FALSE)-F2179</f>
        <v/>
      </c>
      <c r="H2179" s="19" t="n">
        <v>3</v>
      </c>
      <c r="I2179" s="57" t="n">
        <v>12</v>
      </c>
    </row>
    <row r="2180">
      <c r="A2180" s="62" t="n">
        <v>47195</v>
      </c>
      <c r="B2180" s="3" t="inlineStr">
        <is>
          <t>Sun</t>
        </is>
      </c>
      <c r="C2180" s="19" t="n">
        <v>3</v>
      </c>
      <c r="D2180" s="19" t="n">
        <v>2029</v>
      </c>
      <c r="E2180" s="57" t="n">
        <v>2</v>
      </c>
      <c r="F2180" s="29">
        <f>ROUND(((SUMIFS(Calendar!$F$2:$F$9997,Calendar!$B$2:$B$9997,D2180,Calendar!$C$2:$C$9997,C2180)*INDEX(ForeCalc!$B$37:$Y$274,MATCH(_xlfn.CONCAT(H2180," ",I2180),ForeCalc!$A$37:$A$274,0),MATCH(_xlfn.CONCAT(B2180," ",E2180),ForeCalc!$B$36:$Y$36,0))))*VLOOKUP(A2180,Calendar!$A$2:$H$9997,8,FALSE),0)</f>
        <v/>
      </c>
      <c r="G2180" s="29">
        <f>VLOOKUP(A2180,Calendar!$A$1:$H$9997,6,FALSE)-F2180</f>
        <v/>
      </c>
      <c r="H2180" s="19" t="n">
        <v>3</v>
      </c>
      <c r="I2180" s="57" t="n">
        <v>12</v>
      </c>
    </row>
    <row r="2181">
      <c r="A2181" s="62" t="n">
        <v>47196</v>
      </c>
      <c r="B2181" s="3" t="inlineStr">
        <is>
          <t>Week</t>
        </is>
      </c>
      <c r="C2181" s="19" t="n">
        <v>3</v>
      </c>
      <c r="D2181" s="19" t="n">
        <v>2029</v>
      </c>
      <c r="E2181" s="57" t="n">
        <v>2</v>
      </c>
      <c r="F2181" s="29">
        <f>ROUND(((SUMIFS(Calendar!$F$2:$F$9997,Calendar!$B$2:$B$9997,D2181,Calendar!$C$2:$C$9997,C2181)*INDEX(ForeCalc!$B$37:$Y$274,MATCH(_xlfn.CONCAT(H2181," ",I2181),ForeCalc!$A$37:$A$274,0),MATCH(_xlfn.CONCAT(B2181," ",E2181),ForeCalc!$B$36:$Y$36,0))))*VLOOKUP(A2181,Calendar!$A$2:$H$9997,8,FALSE),0)</f>
        <v/>
      </c>
      <c r="G2181" s="29">
        <f>VLOOKUP(A2181,Calendar!$A$1:$H$9997,6,FALSE)-F2181</f>
        <v/>
      </c>
      <c r="H2181" s="19" t="n">
        <v>3</v>
      </c>
      <c r="I2181" s="57" t="n">
        <v>12</v>
      </c>
    </row>
    <row r="2182">
      <c r="A2182" s="62" t="n">
        <v>47197</v>
      </c>
      <c r="B2182" s="3" t="inlineStr">
        <is>
          <t>Week</t>
        </is>
      </c>
      <c r="C2182" s="19" t="n">
        <v>3</v>
      </c>
      <c r="D2182" s="19" t="n">
        <v>2029</v>
      </c>
      <c r="E2182" s="57" t="n">
        <v>2</v>
      </c>
      <c r="F2182" s="29">
        <f>ROUND(((SUMIFS(Calendar!$F$2:$F$9997,Calendar!$B$2:$B$9997,D2182,Calendar!$C$2:$C$9997,C2182)*INDEX(ForeCalc!$B$37:$Y$274,MATCH(_xlfn.CONCAT(H2182," ",I2182),ForeCalc!$A$37:$A$274,0),MATCH(_xlfn.CONCAT(B2182," ",E2182),ForeCalc!$B$36:$Y$36,0))))*VLOOKUP(A2182,Calendar!$A$2:$H$9997,8,FALSE),0)</f>
        <v/>
      </c>
      <c r="G2182" s="29">
        <f>VLOOKUP(A2182,Calendar!$A$1:$H$9997,6,FALSE)-F2182</f>
        <v/>
      </c>
      <c r="H2182" s="19" t="n">
        <v>3</v>
      </c>
      <c r="I2182" s="57" t="n">
        <v>12</v>
      </c>
    </row>
    <row r="2183">
      <c r="A2183" s="62" t="n">
        <v>47198</v>
      </c>
      <c r="B2183" s="3" t="inlineStr">
        <is>
          <t>Week</t>
        </is>
      </c>
      <c r="C2183" s="19" t="n">
        <v>3</v>
      </c>
      <c r="D2183" s="19" t="n">
        <v>2029</v>
      </c>
      <c r="E2183" s="57" t="n">
        <v>2</v>
      </c>
      <c r="F2183" s="29">
        <f>ROUND(((SUMIFS(Calendar!$F$2:$F$9997,Calendar!$B$2:$B$9997,D2183,Calendar!$C$2:$C$9997,C2183)*INDEX(ForeCalc!$B$37:$Y$274,MATCH(_xlfn.CONCAT(H2183," ",I2183),ForeCalc!$A$37:$A$274,0),MATCH(_xlfn.CONCAT(B2183," ",E2183),ForeCalc!$B$36:$Y$36,0))))*VLOOKUP(A2183,Calendar!$A$2:$H$9997,8,FALSE),0)</f>
        <v/>
      </c>
      <c r="G2183" s="29">
        <f>VLOOKUP(A2183,Calendar!$A$1:$H$9997,6,FALSE)-F2183</f>
        <v/>
      </c>
      <c r="H2183" s="19" t="n">
        <v>3</v>
      </c>
      <c r="I2183" s="57" t="n">
        <v>12</v>
      </c>
    </row>
    <row r="2184">
      <c r="A2184" s="62" t="n">
        <v>47199</v>
      </c>
      <c r="B2184" s="3" t="inlineStr">
        <is>
          <t>Week</t>
        </is>
      </c>
      <c r="C2184" s="19" t="n">
        <v>3</v>
      </c>
      <c r="D2184" s="19" t="n">
        <v>2029</v>
      </c>
      <c r="E2184" s="57" t="n">
        <v>2</v>
      </c>
      <c r="F2184" s="29">
        <f>ROUND(((SUMIFS(Calendar!$F$2:$F$9997,Calendar!$B$2:$B$9997,D2184,Calendar!$C$2:$C$9997,C2184)*INDEX(ForeCalc!$B$37:$Y$274,MATCH(_xlfn.CONCAT(H2184," ",I2184),ForeCalc!$A$37:$A$274,0),MATCH(_xlfn.CONCAT(B2184," ",E2184),ForeCalc!$B$36:$Y$36,0))))*VLOOKUP(A2184,Calendar!$A$2:$H$9997,8,FALSE),0)</f>
        <v/>
      </c>
      <c r="G2184" s="29">
        <f>VLOOKUP(A2184,Calendar!$A$1:$H$9997,6,FALSE)-F2184</f>
        <v/>
      </c>
      <c r="H2184" s="19" t="n">
        <v>3</v>
      </c>
      <c r="I2184" s="57" t="n">
        <v>12</v>
      </c>
    </row>
    <row r="2185">
      <c r="A2185" s="62" t="n">
        <v>47200</v>
      </c>
      <c r="B2185" s="3" t="inlineStr">
        <is>
          <t>Week</t>
        </is>
      </c>
      <c r="C2185" s="19" t="n">
        <v>3</v>
      </c>
      <c r="D2185" s="19" t="n">
        <v>2029</v>
      </c>
      <c r="E2185" s="57" t="n">
        <v>2</v>
      </c>
      <c r="F2185" s="29">
        <f>ROUND(((SUMIFS(Calendar!$F$2:$F$9997,Calendar!$B$2:$B$9997,D2185,Calendar!$C$2:$C$9997,C2185)*INDEX(ForeCalc!$B$37:$Y$274,MATCH(_xlfn.CONCAT(H2185," ",I2185),ForeCalc!$A$37:$A$274,0),MATCH(_xlfn.CONCAT(B2185," ",E2185),ForeCalc!$B$36:$Y$36,0))))*VLOOKUP(A2185,Calendar!$A$2:$H$9997,8,FALSE),0)</f>
        <v/>
      </c>
      <c r="G2185" s="29">
        <f>VLOOKUP(A2185,Calendar!$A$1:$H$9997,6,FALSE)-F2185</f>
        <v/>
      </c>
      <c r="H2185" s="19" t="n">
        <v>3</v>
      </c>
      <c r="I2185" s="57" t="n">
        <v>12</v>
      </c>
    </row>
    <row r="2186">
      <c r="A2186" s="62" t="n">
        <v>47201</v>
      </c>
      <c r="B2186" s="3" t="inlineStr">
        <is>
          <t>Sat</t>
        </is>
      </c>
      <c r="C2186" s="19" t="n">
        <v>3</v>
      </c>
      <c r="D2186" s="19" t="n">
        <v>2029</v>
      </c>
      <c r="E2186" s="57" t="n">
        <v>2</v>
      </c>
      <c r="F2186" s="29">
        <f>ROUND(((SUMIFS(Calendar!$F$2:$F$9997,Calendar!$B$2:$B$9997,D2186,Calendar!$C$2:$C$9997,C2186)*INDEX(ForeCalc!$B$37:$Y$274,MATCH(_xlfn.CONCAT(H2186," ",I2186),ForeCalc!$A$37:$A$274,0),MATCH(_xlfn.CONCAT(B2186," ",E2186),ForeCalc!$B$36:$Y$36,0))))*VLOOKUP(A2186,Calendar!$A$2:$H$9997,8,FALSE),0)</f>
        <v/>
      </c>
      <c r="G2186" s="29">
        <f>VLOOKUP(A2186,Calendar!$A$1:$H$9997,6,FALSE)-F2186</f>
        <v/>
      </c>
      <c r="H2186" s="19" t="n">
        <v>3</v>
      </c>
      <c r="I2186" s="57" t="n">
        <v>12</v>
      </c>
    </row>
    <row r="2187">
      <c r="A2187" s="62" t="n">
        <v>47202</v>
      </c>
      <c r="B2187" s="3" t="inlineStr">
        <is>
          <t>Sun</t>
        </is>
      </c>
      <c r="C2187" s="19" t="n">
        <v>3</v>
      </c>
      <c r="D2187" s="19" t="n">
        <v>2029</v>
      </c>
      <c r="E2187" s="57" t="n">
        <v>2</v>
      </c>
      <c r="F2187" s="29">
        <f>ROUND(((SUMIFS(Calendar!$F$2:$F$9997,Calendar!$B$2:$B$9997,D2187,Calendar!$C$2:$C$9997,C2187)*INDEX(ForeCalc!$B$37:$Y$274,MATCH(_xlfn.CONCAT(H2187," ",I2187),ForeCalc!$A$37:$A$274,0),MATCH(_xlfn.CONCAT(B2187," ",E2187),ForeCalc!$B$36:$Y$36,0))))*VLOOKUP(A2187,Calendar!$A$2:$H$9997,8,FALSE),0)</f>
        <v/>
      </c>
      <c r="G2187" s="29">
        <f>VLOOKUP(A2187,Calendar!$A$1:$H$9997,6,FALSE)-F2187</f>
        <v/>
      </c>
      <c r="H2187" s="19" t="n">
        <v>3</v>
      </c>
      <c r="I2187" s="57" t="n">
        <v>12</v>
      </c>
    </row>
    <row r="2188">
      <c r="A2188" s="62" t="n">
        <v>47203</v>
      </c>
      <c r="B2188" s="3" t="inlineStr">
        <is>
          <t>Week</t>
        </is>
      </c>
      <c r="C2188" s="19" t="n">
        <v>3</v>
      </c>
      <c r="D2188" s="19" t="n">
        <v>2029</v>
      </c>
      <c r="E2188" s="57" t="n">
        <v>2</v>
      </c>
      <c r="F2188" s="29">
        <f>ROUND(((SUMIFS(Calendar!$F$2:$F$9997,Calendar!$B$2:$B$9997,D2188,Calendar!$C$2:$C$9997,C2188)*INDEX(ForeCalc!$B$37:$Y$274,MATCH(_xlfn.CONCAT(H2188," ",I2188),ForeCalc!$A$37:$A$274,0),MATCH(_xlfn.CONCAT(B2188," ",E2188),ForeCalc!$B$36:$Y$36,0))))*VLOOKUP(A2188,Calendar!$A$2:$H$9997,8,FALSE),0)</f>
        <v/>
      </c>
      <c r="G2188" s="29">
        <f>VLOOKUP(A2188,Calendar!$A$1:$H$9997,6,FALSE)-F2188</f>
        <v/>
      </c>
      <c r="H2188" s="19" t="n">
        <v>3</v>
      </c>
      <c r="I2188" s="57" t="n">
        <v>12</v>
      </c>
    </row>
    <row r="2189">
      <c r="A2189" s="62" t="n">
        <v>47204</v>
      </c>
      <c r="B2189" s="3" t="inlineStr">
        <is>
          <t>Week</t>
        </is>
      </c>
      <c r="C2189" s="19" t="n">
        <v>3</v>
      </c>
      <c r="D2189" s="19" t="n">
        <v>2029</v>
      </c>
      <c r="E2189" s="57" t="n">
        <v>2</v>
      </c>
      <c r="F2189" s="29">
        <f>ROUND(((SUMIFS(Calendar!$F$2:$F$9997,Calendar!$B$2:$B$9997,D2189,Calendar!$C$2:$C$9997,C2189)*INDEX(ForeCalc!$B$37:$Y$274,MATCH(_xlfn.CONCAT(H2189," ",I2189),ForeCalc!$A$37:$A$274,0),MATCH(_xlfn.CONCAT(B2189," ",E2189),ForeCalc!$B$36:$Y$36,0))))*VLOOKUP(A2189,Calendar!$A$2:$H$9997,8,FALSE),0)</f>
        <v/>
      </c>
      <c r="G2189" s="29">
        <f>VLOOKUP(A2189,Calendar!$A$1:$H$9997,6,FALSE)-F2189</f>
        <v/>
      </c>
      <c r="H2189" s="19" t="n">
        <v>3</v>
      </c>
      <c r="I2189" s="57" t="n">
        <v>12</v>
      </c>
    </row>
    <row r="2190">
      <c r="A2190" s="62" t="n">
        <v>47205</v>
      </c>
      <c r="B2190" s="3" t="inlineStr">
        <is>
          <t>Week</t>
        </is>
      </c>
      <c r="C2190" s="19" t="n">
        <v>3</v>
      </c>
      <c r="D2190" s="19" t="n">
        <v>2029</v>
      </c>
      <c r="E2190" s="57" t="n">
        <v>2</v>
      </c>
      <c r="F2190" s="29">
        <f>ROUND(((SUMIFS(Calendar!$F$2:$F$9997,Calendar!$B$2:$B$9997,D2190,Calendar!$C$2:$C$9997,C2190)*INDEX(ForeCalc!$B$37:$Y$274,MATCH(_xlfn.CONCAT(H2190," ",I2190),ForeCalc!$A$37:$A$274,0),MATCH(_xlfn.CONCAT(B2190," ",E2190),ForeCalc!$B$36:$Y$36,0))))*VLOOKUP(A2190,Calendar!$A$2:$H$9997,8,FALSE),0)</f>
        <v/>
      </c>
      <c r="G2190" s="29">
        <f>VLOOKUP(A2190,Calendar!$A$1:$H$9997,6,FALSE)-F2190</f>
        <v/>
      </c>
      <c r="H2190" s="19" t="n">
        <v>3</v>
      </c>
      <c r="I2190" s="57" t="n">
        <v>12</v>
      </c>
    </row>
    <row r="2191">
      <c r="A2191" s="62" t="n">
        <v>47206</v>
      </c>
      <c r="B2191" s="3" t="inlineStr">
        <is>
          <t>Week</t>
        </is>
      </c>
      <c r="C2191" s="19" t="n">
        <v>3</v>
      </c>
      <c r="D2191" s="19" t="n">
        <v>2029</v>
      </c>
      <c r="E2191" s="57" t="n">
        <v>2</v>
      </c>
      <c r="F2191" s="29">
        <f>ROUND(((SUMIFS(Calendar!$F$2:$F$9997,Calendar!$B$2:$B$9997,D2191,Calendar!$C$2:$C$9997,C2191)*INDEX(ForeCalc!$B$37:$Y$274,MATCH(_xlfn.CONCAT(H2191," ",I2191),ForeCalc!$A$37:$A$274,0),MATCH(_xlfn.CONCAT(B2191," ",E2191),ForeCalc!$B$36:$Y$36,0))))*VLOOKUP(A2191,Calendar!$A$2:$H$9997,8,FALSE),0)</f>
        <v/>
      </c>
      <c r="G2191" s="29">
        <f>VLOOKUP(A2191,Calendar!$A$1:$H$9997,6,FALSE)-F2191</f>
        <v/>
      </c>
      <c r="H2191" s="19" t="n">
        <v>3</v>
      </c>
      <c r="I2191" s="57" t="n">
        <v>12</v>
      </c>
    </row>
    <row r="2192">
      <c r="A2192" s="62" t="n">
        <v>47207</v>
      </c>
      <c r="B2192" s="3" t="inlineStr">
        <is>
          <t>Week</t>
        </is>
      </c>
      <c r="C2192" s="19" t="n">
        <v>3</v>
      </c>
      <c r="D2192" s="19" t="n">
        <v>2029</v>
      </c>
      <c r="E2192" s="57" t="n">
        <v>2</v>
      </c>
      <c r="F2192" s="29">
        <f>ROUND(((SUMIFS(Calendar!$F$2:$F$9997,Calendar!$B$2:$B$9997,D2192,Calendar!$C$2:$C$9997,C2192)*INDEX(ForeCalc!$B$37:$Y$274,MATCH(_xlfn.CONCAT(H2192," ",I2192),ForeCalc!$A$37:$A$274,0),MATCH(_xlfn.CONCAT(B2192," ",E2192),ForeCalc!$B$36:$Y$36,0))))*VLOOKUP(A2192,Calendar!$A$2:$H$9997,8,FALSE),0)</f>
        <v/>
      </c>
      <c r="G2192" s="29">
        <f>VLOOKUP(A2192,Calendar!$A$1:$H$9997,6,FALSE)-F2192</f>
        <v/>
      </c>
      <c r="H2192" s="19" t="n">
        <v>3</v>
      </c>
      <c r="I2192" s="57" t="n">
        <v>12</v>
      </c>
    </row>
    <row r="2193">
      <c r="A2193" s="62" t="n">
        <v>47208</v>
      </c>
      <c r="B2193" s="3" t="inlineStr">
        <is>
          <t>Sat</t>
        </is>
      </c>
      <c r="C2193" s="19" t="n">
        <v>3</v>
      </c>
      <c r="D2193" s="19" t="n">
        <v>2029</v>
      </c>
      <c r="E2193" s="57" t="n">
        <v>2</v>
      </c>
      <c r="F2193" s="29">
        <f>ROUND(((SUMIFS(Calendar!$F$2:$F$9997,Calendar!$B$2:$B$9997,D2193,Calendar!$C$2:$C$9997,C2193)*INDEX(ForeCalc!$B$37:$Y$274,MATCH(_xlfn.CONCAT(H2193," ",I2193),ForeCalc!$A$37:$A$274,0),MATCH(_xlfn.CONCAT(B2193," ",E2193),ForeCalc!$B$36:$Y$36,0))))*VLOOKUP(A2193,Calendar!$A$2:$H$9997,8,FALSE),0)</f>
        <v/>
      </c>
      <c r="G2193" s="29">
        <f>VLOOKUP(A2193,Calendar!$A$1:$H$9997,6,FALSE)-F2193</f>
        <v/>
      </c>
      <c r="H2193" s="19" t="n">
        <v>3</v>
      </c>
      <c r="I2193" s="57" t="n">
        <v>12</v>
      </c>
    </row>
    <row r="2194">
      <c r="A2194" s="62" t="n">
        <v>46113</v>
      </c>
      <c r="B2194" s="3" t="inlineStr">
        <is>
          <t>Week</t>
        </is>
      </c>
      <c r="C2194" s="19" t="n">
        <v>4</v>
      </c>
      <c r="D2194" s="19" t="n">
        <v>2026</v>
      </c>
      <c r="E2194" s="57" t="n">
        <v>3</v>
      </c>
      <c r="F2194" s="29">
        <f>ROUND(((SUMIFS(Calendar!$F$2:$F$9997,Calendar!$B$2:$B$9997,D2194,Calendar!$C$2:$C$9997,C2194)*INDEX(ForeCalc!$B$37:$Y$274,MATCH(_xlfn.CONCAT(H2194," ",I2194),ForeCalc!$A$37:$A$274,0),MATCH(_xlfn.CONCAT(B2194," ",E2194),ForeCalc!$B$36:$Y$36,0))))*VLOOKUP(A2194,Calendar!$A$2:$H$9997,8,FALSE),0)</f>
        <v/>
      </c>
      <c r="G2194" s="29">
        <f>VLOOKUP(A2194,Calendar!$A$1:$H$9997,6,FALSE)-F2194</f>
        <v/>
      </c>
      <c r="H2194" s="19" t="n">
        <v>1</v>
      </c>
      <c r="I2194" s="57" t="n">
        <v>1</v>
      </c>
    </row>
    <row r="2195">
      <c r="A2195" s="62" t="n">
        <v>46114</v>
      </c>
      <c r="B2195" s="3" t="inlineStr">
        <is>
          <t>Week</t>
        </is>
      </c>
      <c r="C2195" s="19" t="n">
        <v>4</v>
      </c>
      <c r="D2195" s="19" t="n">
        <v>2026</v>
      </c>
      <c r="E2195" s="57" t="n">
        <v>3</v>
      </c>
      <c r="F2195" s="29">
        <f>ROUND(((SUMIFS(Calendar!$F$2:$F$9997,Calendar!$B$2:$B$9997,D2195,Calendar!$C$2:$C$9997,C2195)*INDEX(ForeCalc!$B$37:$Y$274,MATCH(_xlfn.CONCAT(H2195," ",I2195),ForeCalc!$A$37:$A$274,0),MATCH(_xlfn.CONCAT(B2195," ",E2195),ForeCalc!$B$36:$Y$36,0))))*VLOOKUP(A2195,Calendar!$A$2:$H$9997,8,FALSE),0)</f>
        <v/>
      </c>
      <c r="G2195" s="29">
        <f>VLOOKUP(A2195,Calendar!$A$1:$H$9997,6,FALSE)-F2195</f>
        <v/>
      </c>
      <c r="H2195" s="19" t="n">
        <v>1</v>
      </c>
      <c r="I2195" s="57" t="n">
        <v>1</v>
      </c>
    </row>
    <row r="2196">
      <c r="A2196" s="62" t="n">
        <v>46115</v>
      </c>
      <c r="B2196" s="3" t="inlineStr">
        <is>
          <t>Week</t>
        </is>
      </c>
      <c r="C2196" s="19" t="n">
        <v>4</v>
      </c>
      <c r="D2196" s="19" t="n">
        <v>2026</v>
      </c>
      <c r="E2196" s="57" t="n">
        <v>3</v>
      </c>
      <c r="F2196" s="29">
        <f>ROUND(((SUMIFS(Calendar!$F$2:$F$9997,Calendar!$B$2:$B$9997,D2196,Calendar!$C$2:$C$9997,C2196)*INDEX(ForeCalc!$B$37:$Y$274,MATCH(_xlfn.CONCAT(H2196," ",I2196),ForeCalc!$A$37:$A$274,0),MATCH(_xlfn.CONCAT(B2196," ",E2196),ForeCalc!$B$36:$Y$36,0))))*VLOOKUP(A2196,Calendar!$A$2:$H$9997,8,FALSE),0)</f>
        <v/>
      </c>
      <c r="G2196" s="29">
        <f>VLOOKUP(A2196,Calendar!$A$1:$H$9997,6,FALSE)-F2196</f>
        <v/>
      </c>
      <c r="H2196" s="19" t="n">
        <v>1</v>
      </c>
      <c r="I2196" s="57" t="n">
        <v>1</v>
      </c>
    </row>
    <row r="2197">
      <c r="A2197" s="62" t="n">
        <v>46116</v>
      </c>
      <c r="B2197" s="3" t="inlineStr">
        <is>
          <t>Sat</t>
        </is>
      </c>
      <c r="C2197" s="19" t="n">
        <v>4</v>
      </c>
      <c r="D2197" s="19" t="n">
        <v>2026</v>
      </c>
      <c r="E2197" s="57" t="n">
        <v>3</v>
      </c>
      <c r="F2197" s="29">
        <f>ROUND(((SUMIFS(Calendar!$F$2:$F$9997,Calendar!$B$2:$B$9997,D2197,Calendar!$C$2:$C$9997,C2197)*INDEX(ForeCalc!$B$37:$Y$274,MATCH(_xlfn.CONCAT(H2197," ",I2197),ForeCalc!$A$37:$A$274,0),MATCH(_xlfn.CONCAT(B2197," ",E2197),ForeCalc!$B$36:$Y$36,0))))*VLOOKUP(A2197,Calendar!$A$2:$H$9997,8,FALSE),0)</f>
        <v/>
      </c>
      <c r="G2197" s="29">
        <f>VLOOKUP(A2197,Calendar!$A$1:$H$9997,6,FALSE)-F2197</f>
        <v/>
      </c>
      <c r="H2197" s="19" t="n">
        <v>1</v>
      </c>
      <c r="I2197" s="57" t="n">
        <v>1</v>
      </c>
    </row>
    <row r="2198">
      <c r="A2198" s="62" t="n">
        <v>46117</v>
      </c>
      <c r="B2198" s="3" t="inlineStr">
        <is>
          <t>Sun</t>
        </is>
      </c>
      <c r="C2198" s="19" t="n">
        <v>4</v>
      </c>
      <c r="D2198" s="19" t="n">
        <v>2026</v>
      </c>
      <c r="E2198" s="57" t="n">
        <v>3</v>
      </c>
      <c r="F2198" s="29">
        <f>ROUND(((SUMIFS(Calendar!$F$2:$F$9997,Calendar!$B$2:$B$9997,D2198,Calendar!$C$2:$C$9997,C2198)*INDEX(ForeCalc!$B$37:$Y$274,MATCH(_xlfn.CONCAT(H2198," ",I2198),ForeCalc!$A$37:$A$274,0),MATCH(_xlfn.CONCAT(B2198," ",E2198),ForeCalc!$B$36:$Y$36,0))))*VLOOKUP(A2198,Calendar!$A$2:$H$9997,8,FALSE),0)</f>
        <v/>
      </c>
      <c r="G2198" s="29">
        <f>VLOOKUP(A2198,Calendar!$A$1:$H$9997,6,FALSE)-F2198</f>
        <v/>
      </c>
      <c r="H2198" s="19" t="n">
        <v>1</v>
      </c>
      <c r="I2198" s="57" t="n">
        <v>1</v>
      </c>
    </row>
    <row r="2199">
      <c r="A2199" s="62" t="n">
        <v>46118</v>
      </c>
      <c r="B2199" s="3" t="inlineStr">
        <is>
          <t>Week</t>
        </is>
      </c>
      <c r="C2199" s="19" t="n">
        <v>4</v>
      </c>
      <c r="D2199" s="19" t="n">
        <v>2026</v>
      </c>
      <c r="E2199" s="57" t="n">
        <v>3</v>
      </c>
      <c r="F2199" s="29">
        <f>ROUND(((SUMIFS(Calendar!$F$2:$F$9997,Calendar!$B$2:$B$9997,D2199,Calendar!$C$2:$C$9997,C2199)*INDEX(ForeCalc!$B$37:$Y$274,MATCH(_xlfn.CONCAT(H2199," ",I2199),ForeCalc!$A$37:$A$274,0),MATCH(_xlfn.CONCAT(B2199," ",E2199),ForeCalc!$B$36:$Y$36,0))))*VLOOKUP(A2199,Calendar!$A$2:$H$9997,8,FALSE),0)</f>
        <v/>
      </c>
      <c r="G2199" s="29">
        <f>VLOOKUP(A2199,Calendar!$A$1:$H$9997,6,FALSE)-F2199</f>
        <v/>
      </c>
      <c r="H2199" s="19" t="n">
        <v>1</v>
      </c>
      <c r="I2199" s="57" t="n">
        <v>1</v>
      </c>
    </row>
    <row r="2200">
      <c r="A2200" s="62" t="n">
        <v>46119</v>
      </c>
      <c r="B2200" s="3" t="inlineStr">
        <is>
          <t>Week</t>
        </is>
      </c>
      <c r="C2200" s="19" t="n">
        <v>4</v>
      </c>
      <c r="D2200" s="19" t="n">
        <v>2026</v>
      </c>
      <c r="E2200" s="57" t="n">
        <v>3</v>
      </c>
      <c r="F2200" s="29">
        <f>ROUND(((SUMIFS(Calendar!$F$2:$F$9997,Calendar!$B$2:$B$9997,D2200,Calendar!$C$2:$C$9997,C2200)*INDEX(ForeCalc!$B$37:$Y$274,MATCH(_xlfn.CONCAT(H2200," ",I2200),ForeCalc!$A$37:$A$274,0),MATCH(_xlfn.CONCAT(B2200," ",E2200),ForeCalc!$B$36:$Y$36,0))))*VLOOKUP(A2200,Calendar!$A$2:$H$9997,8,FALSE),0)</f>
        <v/>
      </c>
      <c r="G2200" s="29">
        <f>VLOOKUP(A2200,Calendar!$A$1:$H$9997,6,FALSE)-F2200</f>
        <v/>
      </c>
      <c r="H2200" s="19" t="n">
        <v>1</v>
      </c>
      <c r="I2200" s="57" t="n">
        <v>1</v>
      </c>
    </row>
    <row r="2201">
      <c r="A2201" s="62" t="n">
        <v>46120</v>
      </c>
      <c r="B2201" s="3" t="inlineStr">
        <is>
          <t>Week</t>
        </is>
      </c>
      <c r="C2201" s="19" t="n">
        <v>4</v>
      </c>
      <c r="D2201" s="19" t="n">
        <v>2026</v>
      </c>
      <c r="E2201" s="57" t="n">
        <v>3</v>
      </c>
      <c r="F2201" s="29">
        <f>ROUND(((SUMIFS(Calendar!$F$2:$F$9997,Calendar!$B$2:$B$9997,D2201,Calendar!$C$2:$C$9997,C2201)*INDEX(ForeCalc!$B$37:$Y$274,MATCH(_xlfn.CONCAT(H2201," ",I2201),ForeCalc!$A$37:$A$274,0),MATCH(_xlfn.CONCAT(B2201," ",E2201),ForeCalc!$B$36:$Y$36,0))))*VLOOKUP(A2201,Calendar!$A$2:$H$9997,8,FALSE),0)</f>
        <v/>
      </c>
      <c r="G2201" s="29">
        <f>VLOOKUP(A2201,Calendar!$A$1:$H$9997,6,FALSE)-F2201</f>
        <v/>
      </c>
      <c r="H2201" s="19" t="n">
        <v>1</v>
      </c>
      <c r="I2201" s="57" t="n">
        <v>1</v>
      </c>
    </row>
    <row r="2202">
      <c r="A2202" s="62" t="n">
        <v>46121</v>
      </c>
      <c r="B2202" s="3" t="inlineStr">
        <is>
          <t>Week</t>
        </is>
      </c>
      <c r="C2202" s="19" t="n">
        <v>4</v>
      </c>
      <c r="D2202" s="19" t="n">
        <v>2026</v>
      </c>
      <c r="E2202" s="57" t="n">
        <v>3</v>
      </c>
      <c r="F2202" s="29">
        <f>ROUND(((SUMIFS(Calendar!$F$2:$F$9997,Calendar!$B$2:$B$9997,D2202,Calendar!$C$2:$C$9997,C2202)*INDEX(ForeCalc!$B$37:$Y$274,MATCH(_xlfn.CONCAT(H2202," ",I2202),ForeCalc!$A$37:$A$274,0),MATCH(_xlfn.CONCAT(B2202," ",E2202),ForeCalc!$B$36:$Y$36,0))))*VLOOKUP(A2202,Calendar!$A$2:$H$9997,8,FALSE),0)</f>
        <v/>
      </c>
      <c r="G2202" s="29">
        <f>VLOOKUP(A2202,Calendar!$A$1:$H$9997,6,FALSE)-F2202</f>
        <v/>
      </c>
      <c r="H2202" s="19" t="n">
        <v>1</v>
      </c>
      <c r="I2202" s="57" t="n">
        <v>1</v>
      </c>
    </row>
    <row r="2203">
      <c r="A2203" s="62" t="n">
        <v>46122</v>
      </c>
      <c r="B2203" s="3" t="inlineStr">
        <is>
          <t>Week</t>
        </is>
      </c>
      <c r="C2203" s="19" t="n">
        <v>4</v>
      </c>
      <c r="D2203" s="19" t="n">
        <v>2026</v>
      </c>
      <c r="E2203" s="57" t="n">
        <v>3</v>
      </c>
      <c r="F2203" s="29">
        <f>ROUND(((SUMIFS(Calendar!$F$2:$F$9997,Calendar!$B$2:$B$9997,D2203,Calendar!$C$2:$C$9997,C2203)*INDEX(ForeCalc!$B$37:$Y$274,MATCH(_xlfn.CONCAT(H2203," ",I2203),ForeCalc!$A$37:$A$274,0),MATCH(_xlfn.CONCAT(B2203," ",E2203),ForeCalc!$B$36:$Y$36,0))))*VLOOKUP(A2203,Calendar!$A$2:$H$9997,8,FALSE),0)</f>
        <v/>
      </c>
      <c r="G2203" s="29">
        <f>VLOOKUP(A2203,Calendar!$A$1:$H$9997,6,FALSE)-F2203</f>
        <v/>
      </c>
      <c r="H2203" s="19" t="n">
        <v>1</v>
      </c>
      <c r="I2203" s="57" t="n">
        <v>1</v>
      </c>
    </row>
    <row r="2204">
      <c r="A2204" s="62" t="n">
        <v>46123</v>
      </c>
      <c r="B2204" s="3" t="inlineStr">
        <is>
          <t>Sat</t>
        </is>
      </c>
      <c r="C2204" s="19" t="n">
        <v>4</v>
      </c>
      <c r="D2204" s="19" t="n">
        <v>2026</v>
      </c>
      <c r="E2204" s="57" t="n">
        <v>3</v>
      </c>
      <c r="F2204" s="29">
        <f>ROUND(((SUMIFS(Calendar!$F$2:$F$9997,Calendar!$B$2:$B$9997,D2204,Calendar!$C$2:$C$9997,C2204)*INDEX(ForeCalc!$B$37:$Y$274,MATCH(_xlfn.CONCAT(H2204," ",I2204),ForeCalc!$A$37:$A$274,0),MATCH(_xlfn.CONCAT(B2204," ",E2204),ForeCalc!$B$36:$Y$36,0))))*VLOOKUP(A2204,Calendar!$A$2:$H$9997,8,FALSE),0)</f>
        <v/>
      </c>
      <c r="G2204" s="29">
        <f>VLOOKUP(A2204,Calendar!$A$1:$H$9997,6,FALSE)-F2204</f>
        <v/>
      </c>
      <c r="H2204" s="19" t="n">
        <v>1</v>
      </c>
      <c r="I2204" s="57" t="n">
        <v>1</v>
      </c>
    </row>
    <row r="2205">
      <c r="A2205" s="62" t="n">
        <v>46124</v>
      </c>
      <c r="B2205" s="3" t="inlineStr">
        <is>
          <t>Sun</t>
        </is>
      </c>
      <c r="C2205" s="19" t="n">
        <v>4</v>
      </c>
      <c r="D2205" s="19" t="n">
        <v>2026</v>
      </c>
      <c r="E2205" s="57" t="n">
        <v>3</v>
      </c>
      <c r="F2205" s="29">
        <f>ROUND(((SUMIFS(Calendar!$F$2:$F$9997,Calendar!$B$2:$B$9997,D2205,Calendar!$C$2:$C$9997,C2205)*INDEX(ForeCalc!$B$37:$Y$274,MATCH(_xlfn.CONCAT(H2205," ",I2205),ForeCalc!$A$37:$A$274,0),MATCH(_xlfn.CONCAT(B2205," ",E2205),ForeCalc!$B$36:$Y$36,0))))*VLOOKUP(A2205,Calendar!$A$2:$H$9997,8,FALSE),0)</f>
        <v/>
      </c>
      <c r="G2205" s="29">
        <f>VLOOKUP(A2205,Calendar!$A$1:$H$9997,6,FALSE)-F2205</f>
        <v/>
      </c>
      <c r="H2205" s="19" t="n">
        <v>1</v>
      </c>
      <c r="I2205" s="57" t="n">
        <v>1</v>
      </c>
    </row>
    <row r="2206">
      <c r="A2206" s="62" t="n">
        <v>46125</v>
      </c>
      <c r="B2206" s="3" t="inlineStr">
        <is>
          <t>Week</t>
        </is>
      </c>
      <c r="C2206" s="19" t="n">
        <v>4</v>
      </c>
      <c r="D2206" s="19" t="n">
        <v>2026</v>
      </c>
      <c r="E2206" s="57" t="n">
        <v>3</v>
      </c>
      <c r="F2206" s="29">
        <f>ROUND(((SUMIFS(Calendar!$F$2:$F$9997,Calendar!$B$2:$B$9997,D2206,Calendar!$C$2:$C$9997,C2206)*INDEX(ForeCalc!$B$37:$Y$274,MATCH(_xlfn.CONCAT(H2206," ",I2206),ForeCalc!$A$37:$A$274,0),MATCH(_xlfn.CONCAT(B2206," ",E2206),ForeCalc!$B$36:$Y$36,0))))*VLOOKUP(A2206,Calendar!$A$2:$H$9997,8,FALSE),0)</f>
        <v/>
      </c>
      <c r="G2206" s="29">
        <f>VLOOKUP(A2206,Calendar!$A$1:$H$9997,6,FALSE)-F2206</f>
        <v/>
      </c>
      <c r="H2206" s="19" t="n">
        <v>1</v>
      </c>
      <c r="I2206" s="57" t="n">
        <v>1</v>
      </c>
    </row>
    <row r="2207">
      <c r="A2207" s="62" t="n">
        <v>46126</v>
      </c>
      <c r="B2207" s="3" t="inlineStr">
        <is>
          <t>Week</t>
        </is>
      </c>
      <c r="C2207" s="19" t="n">
        <v>4</v>
      </c>
      <c r="D2207" s="19" t="n">
        <v>2026</v>
      </c>
      <c r="E2207" s="57" t="n">
        <v>3</v>
      </c>
      <c r="F2207" s="29">
        <f>ROUND(((SUMIFS(Calendar!$F$2:$F$9997,Calendar!$B$2:$B$9997,D2207,Calendar!$C$2:$C$9997,C2207)*INDEX(ForeCalc!$B$37:$Y$274,MATCH(_xlfn.CONCAT(H2207," ",I2207),ForeCalc!$A$37:$A$274,0),MATCH(_xlfn.CONCAT(B2207," ",E2207),ForeCalc!$B$36:$Y$36,0))))*VLOOKUP(A2207,Calendar!$A$2:$H$9997,8,FALSE),0)</f>
        <v/>
      </c>
      <c r="G2207" s="29">
        <f>VLOOKUP(A2207,Calendar!$A$1:$H$9997,6,FALSE)-F2207</f>
        <v/>
      </c>
      <c r="H2207" s="19" t="n">
        <v>1</v>
      </c>
      <c r="I2207" s="57" t="n">
        <v>1</v>
      </c>
    </row>
    <row r="2208">
      <c r="A2208" s="62" t="n">
        <v>46127</v>
      </c>
      <c r="B2208" s="3" t="inlineStr">
        <is>
          <t>Week</t>
        </is>
      </c>
      <c r="C2208" s="19" t="n">
        <v>4</v>
      </c>
      <c r="D2208" s="19" t="n">
        <v>2026</v>
      </c>
      <c r="E2208" s="57" t="n">
        <v>3</v>
      </c>
      <c r="F2208" s="29">
        <f>ROUND(((SUMIFS(Calendar!$F$2:$F$9997,Calendar!$B$2:$B$9997,D2208,Calendar!$C$2:$C$9997,C2208)*INDEX(ForeCalc!$B$37:$Y$274,MATCH(_xlfn.CONCAT(H2208," ",I2208),ForeCalc!$A$37:$A$274,0),MATCH(_xlfn.CONCAT(B2208," ",E2208),ForeCalc!$B$36:$Y$36,0))))*VLOOKUP(A2208,Calendar!$A$2:$H$9997,8,FALSE),0)</f>
        <v/>
      </c>
      <c r="G2208" s="29">
        <f>VLOOKUP(A2208,Calendar!$A$1:$H$9997,6,FALSE)-F2208</f>
        <v/>
      </c>
      <c r="H2208" s="19" t="n">
        <v>1</v>
      </c>
      <c r="I2208" s="57" t="n">
        <v>1</v>
      </c>
    </row>
    <row r="2209">
      <c r="A2209" s="62" t="n">
        <v>46128</v>
      </c>
      <c r="B2209" s="3" t="inlineStr">
        <is>
          <t>Week</t>
        </is>
      </c>
      <c r="C2209" s="19" t="n">
        <v>4</v>
      </c>
      <c r="D2209" s="19" t="n">
        <v>2026</v>
      </c>
      <c r="E2209" s="57" t="n">
        <v>3</v>
      </c>
      <c r="F2209" s="29">
        <f>ROUND(((SUMIFS(Calendar!$F$2:$F$9997,Calendar!$B$2:$B$9997,D2209,Calendar!$C$2:$C$9997,C2209)*INDEX(ForeCalc!$B$37:$Y$274,MATCH(_xlfn.CONCAT(H2209," ",I2209),ForeCalc!$A$37:$A$274,0),MATCH(_xlfn.CONCAT(B2209," ",E2209),ForeCalc!$B$36:$Y$36,0))))*VLOOKUP(A2209,Calendar!$A$2:$H$9997,8,FALSE),0)</f>
        <v/>
      </c>
      <c r="G2209" s="29">
        <f>VLOOKUP(A2209,Calendar!$A$1:$H$9997,6,FALSE)-F2209</f>
        <v/>
      </c>
      <c r="H2209" s="19" t="n">
        <v>1</v>
      </c>
      <c r="I2209" s="57" t="n">
        <v>1</v>
      </c>
    </row>
    <row r="2210">
      <c r="A2210" s="62" t="n">
        <v>46129</v>
      </c>
      <c r="B2210" s="3" t="inlineStr">
        <is>
          <t>Week</t>
        </is>
      </c>
      <c r="C2210" s="19" t="n">
        <v>4</v>
      </c>
      <c r="D2210" s="19" t="n">
        <v>2026</v>
      </c>
      <c r="E2210" s="57" t="n">
        <v>3</v>
      </c>
      <c r="F2210" s="29">
        <f>ROUND(((SUMIFS(Calendar!$F$2:$F$9997,Calendar!$B$2:$B$9997,D2210,Calendar!$C$2:$C$9997,C2210)*INDEX(ForeCalc!$B$37:$Y$274,MATCH(_xlfn.CONCAT(H2210," ",I2210),ForeCalc!$A$37:$A$274,0),MATCH(_xlfn.CONCAT(B2210," ",E2210),ForeCalc!$B$36:$Y$36,0))))*VLOOKUP(A2210,Calendar!$A$2:$H$9997,8,FALSE),0)</f>
        <v/>
      </c>
      <c r="G2210" s="29">
        <f>VLOOKUP(A2210,Calendar!$A$1:$H$9997,6,FALSE)-F2210</f>
        <v/>
      </c>
      <c r="H2210" s="19" t="n">
        <v>1</v>
      </c>
      <c r="I2210" s="57" t="n">
        <v>1</v>
      </c>
    </row>
    <row r="2211">
      <c r="A2211" s="62" t="n">
        <v>46130</v>
      </c>
      <c r="B2211" s="3" t="inlineStr">
        <is>
          <t>Sat</t>
        </is>
      </c>
      <c r="C2211" s="19" t="n">
        <v>4</v>
      </c>
      <c r="D2211" s="19" t="n">
        <v>2026</v>
      </c>
      <c r="E2211" s="57" t="n">
        <v>3</v>
      </c>
      <c r="F2211" s="29">
        <f>ROUND(((SUMIFS(Calendar!$F$2:$F$9997,Calendar!$B$2:$B$9997,D2211,Calendar!$C$2:$C$9997,C2211)*INDEX(ForeCalc!$B$37:$Y$274,MATCH(_xlfn.CONCAT(H2211," ",I2211),ForeCalc!$A$37:$A$274,0),MATCH(_xlfn.CONCAT(B2211," ",E2211),ForeCalc!$B$36:$Y$36,0))))*VLOOKUP(A2211,Calendar!$A$2:$H$9997,8,FALSE),0)</f>
        <v/>
      </c>
      <c r="G2211" s="29">
        <f>VLOOKUP(A2211,Calendar!$A$1:$H$9997,6,FALSE)-F2211</f>
        <v/>
      </c>
      <c r="H2211" s="19" t="n">
        <v>1</v>
      </c>
      <c r="I2211" s="57" t="n">
        <v>1</v>
      </c>
    </row>
    <row r="2212">
      <c r="A2212" s="62" t="n">
        <v>46131</v>
      </c>
      <c r="B2212" s="3" t="inlineStr">
        <is>
          <t>Sun</t>
        </is>
      </c>
      <c r="C2212" s="19" t="n">
        <v>4</v>
      </c>
      <c r="D2212" s="19" t="n">
        <v>2026</v>
      </c>
      <c r="E2212" s="57" t="n">
        <v>3</v>
      </c>
      <c r="F2212" s="29">
        <f>ROUND(((SUMIFS(Calendar!$F$2:$F$9997,Calendar!$B$2:$B$9997,D2212,Calendar!$C$2:$C$9997,C2212)*INDEX(ForeCalc!$B$37:$Y$274,MATCH(_xlfn.CONCAT(H2212," ",I2212),ForeCalc!$A$37:$A$274,0),MATCH(_xlfn.CONCAT(B2212," ",E2212),ForeCalc!$B$36:$Y$36,0))))*VLOOKUP(A2212,Calendar!$A$2:$H$9997,8,FALSE),0)</f>
        <v/>
      </c>
      <c r="G2212" s="29">
        <f>VLOOKUP(A2212,Calendar!$A$1:$H$9997,6,FALSE)-F2212</f>
        <v/>
      </c>
      <c r="H2212" s="19" t="n">
        <v>1</v>
      </c>
      <c r="I2212" s="57" t="n">
        <v>1</v>
      </c>
    </row>
    <row r="2213">
      <c r="A2213" s="62" t="n">
        <v>46132</v>
      </c>
      <c r="B2213" s="3" t="inlineStr">
        <is>
          <t>Week</t>
        </is>
      </c>
      <c r="C2213" s="19" t="n">
        <v>4</v>
      </c>
      <c r="D2213" s="19" t="n">
        <v>2026</v>
      </c>
      <c r="E2213" s="57" t="n">
        <v>3</v>
      </c>
      <c r="F2213" s="29">
        <f>ROUND(((SUMIFS(Calendar!$F$2:$F$9997,Calendar!$B$2:$B$9997,D2213,Calendar!$C$2:$C$9997,C2213)*INDEX(ForeCalc!$B$37:$Y$274,MATCH(_xlfn.CONCAT(H2213," ",I2213),ForeCalc!$A$37:$A$274,0),MATCH(_xlfn.CONCAT(B2213," ",E2213),ForeCalc!$B$36:$Y$36,0))))*VLOOKUP(A2213,Calendar!$A$2:$H$9997,8,FALSE),0)</f>
        <v/>
      </c>
      <c r="G2213" s="29">
        <f>VLOOKUP(A2213,Calendar!$A$1:$H$9997,6,FALSE)-F2213</f>
        <v/>
      </c>
      <c r="H2213" s="19" t="n">
        <v>1</v>
      </c>
      <c r="I2213" s="57" t="n">
        <v>1</v>
      </c>
    </row>
    <row r="2214">
      <c r="A2214" s="62" t="n">
        <v>46133</v>
      </c>
      <c r="B2214" s="3" t="inlineStr">
        <is>
          <t>Week</t>
        </is>
      </c>
      <c r="C2214" s="19" t="n">
        <v>4</v>
      </c>
      <c r="D2214" s="19" t="n">
        <v>2026</v>
      </c>
      <c r="E2214" s="57" t="n">
        <v>3</v>
      </c>
      <c r="F2214" s="29">
        <f>ROUND(((SUMIFS(Calendar!$F$2:$F$9997,Calendar!$B$2:$B$9997,D2214,Calendar!$C$2:$C$9997,C2214)*INDEX(ForeCalc!$B$37:$Y$274,MATCH(_xlfn.CONCAT(H2214," ",I2214),ForeCalc!$A$37:$A$274,0),MATCH(_xlfn.CONCAT(B2214," ",E2214),ForeCalc!$B$36:$Y$36,0))))*VLOOKUP(A2214,Calendar!$A$2:$H$9997,8,FALSE),0)</f>
        <v/>
      </c>
      <c r="G2214" s="29">
        <f>VLOOKUP(A2214,Calendar!$A$1:$H$9997,6,FALSE)-F2214</f>
        <v/>
      </c>
      <c r="H2214" s="19" t="n">
        <v>1</v>
      </c>
      <c r="I2214" s="57" t="n">
        <v>1</v>
      </c>
    </row>
    <row r="2215">
      <c r="A2215" s="62" t="n">
        <v>46134</v>
      </c>
      <c r="B2215" s="3" t="inlineStr">
        <is>
          <t>Week</t>
        </is>
      </c>
      <c r="C2215" s="19" t="n">
        <v>4</v>
      </c>
      <c r="D2215" s="19" t="n">
        <v>2026</v>
      </c>
      <c r="E2215" s="57" t="n">
        <v>3</v>
      </c>
      <c r="F2215" s="29">
        <f>ROUND(((SUMIFS(Calendar!$F$2:$F$9997,Calendar!$B$2:$B$9997,D2215,Calendar!$C$2:$C$9997,C2215)*INDEX(ForeCalc!$B$37:$Y$274,MATCH(_xlfn.CONCAT(H2215," ",I2215),ForeCalc!$A$37:$A$274,0),MATCH(_xlfn.CONCAT(B2215," ",E2215),ForeCalc!$B$36:$Y$36,0))))*VLOOKUP(A2215,Calendar!$A$2:$H$9997,8,FALSE),0)</f>
        <v/>
      </c>
      <c r="G2215" s="29">
        <f>VLOOKUP(A2215,Calendar!$A$1:$H$9997,6,FALSE)-F2215</f>
        <v/>
      </c>
      <c r="H2215" s="19" t="n">
        <v>1</v>
      </c>
      <c r="I2215" s="57" t="n">
        <v>1</v>
      </c>
    </row>
    <row r="2216">
      <c r="A2216" s="62" t="n">
        <v>46135</v>
      </c>
      <c r="B2216" s="3" t="inlineStr">
        <is>
          <t>Week</t>
        </is>
      </c>
      <c r="C2216" s="19" t="n">
        <v>4</v>
      </c>
      <c r="D2216" s="19" t="n">
        <v>2026</v>
      </c>
      <c r="E2216" s="57" t="n">
        <v>3</v>
      </c>
      <c r="F2216" s="29">
        <f>ROUND(((SUMIFS(Calendar!$F$2:$F$9997,Calendar!$B$2:$B$9997,D2216,Calendar!$C$2:$C$9997,C2216)*INDEX(ForeCalc!$B$37:$Y$274,MATCH(_xlfn.CONCAT(H2216," ",I2216),ForeCalc!$A$37:$A$274,0),MATCH(_xlfn.CONCAT(B2216," ",E2216),ForeCalc!$B$36:$Y$36,0))))*VLOOKUP(A2216,Calendar!$A$2:$H$9997,8,FALSE),0)</f>
        <v/>
      </c>
      <c r="G2216" s="29">
        <f>VLOOKUP(A2216,Calendar!$A$1:$H$9997,6,FALSE)-F2216</f>
        <v/>
      </c>
      <c r="H2216" s="19" t="n">
        <v>1</v>
      </c>
      <c r="I2216" s="57" t="n">
        <v>1</v>
      </c>
    </row>
    <row r="2217">
      <c r="A2217" s="62" t="n">
        <v>46136</v>
      </c>
      <c r="B2217" s="3" t="inlineStr">
        <is>
          <t>Week</t>
        </is>
      </c>
      <c r="C2217" s="19" t="n">
        <v>4</v>
      </c>
      <c r="D2217" s="19" t="n">
        <v>2026</v>
      </c>
      <c r="E2217" s="57" t="n">
        <v>3</v>
      </c>
      <c r="F2217" s="29">
        <f>ROUND(((SUMIFS(Calendar!$F$2:$F$9997,Calendar!$B$2:$B$9997,D2217,Calendar!$C$2:$C$9997,C2217)*INDEX(ForeCalc!$B$37:$Y$274,MATCH(_xlfn.CONCAT(H2217," ",I2217),ForeCalc!$A$37:$A$274,0),MATCH(_xlfn.CONCAT(B2217," ",E2217),ForeCalc!$B$36:$Y$36,0))))*VLOOKUP(A2217,Calendar!$A$2:$H$9997,8,FALSE),0)</f>
        <v/>
      </c>
      <c r="G2217" s="29">
        <f>VLOOKUP(A2217,Calendar!$A$1:$H$9997,6,FALSE)-F2217</f>
        <v/>
      </c>
      <c r="H2217" s="19" t="n">
        <v>1</v>
      </c>
      <c r="I2217" s="57" t="n">
        <v>1</v>
      </c>
    </row>
    <row r="2218">
      <c r="A2218" s="62" t="n">
        <v>46137</v>
      </c>
      <c r="B2218" s="3" t="inlineStr">
        <is>
          <t>Sat</t>
        </is>
      </c>
      <c r="C2218" s="19" t="n">
        <v>4</v>
      </c>
      <c r="D2218" s="19" t="n">
        <v>2026</v>
      </c>
      <c r="E2218" s="57" t="n">
        <v>3</v>
      </c>
      <c r="F2218" s="29">
        <f>ROUND(((SUMIFS(Calendar!$F$2:$F$9997,Calendar!$B$2:$B$9997,D2218,Calendar!$C$2:$C$9997,C2218)*INDEX(ForeCalc!$B$37:$Y$274,MATCH(_xlfn.CONCAT(H2218," ",I2218),ForeCalc!$A$37:$A$274,0),MATCH(_xlfn.CONCAT(B2218," ",E2218),ForeCalc!$B$36:$Y$36,0))))*VLOOKUP(A2218,Calendar!$A$2:$H$9997,8,FALSE),0)</f>
        <v/>
      </c>
      <c r="G2218" s="29">
        <f>VLOOKUP(A2218,Calendar!$A$1:$H$9997,6,FALSE)-F2218</f>
        <v/>
      </c>
      <c r="H2218" s="19" t="n">
        <v>1</v>
      </c>
      <c r="I2218" s="57" t="n">
        <v>1</v>
      </c>
    </row>
    <row r="2219">
      <c r="A2219" s="62" t="n">
        <v>46138</v>
      </c>
      <c r="B2219" s="3" t="inlineStr">
        <is>
          <t>Sun</t>
        </is>
      </c>
      <c r="C2219" s="19" t="n">
        <v>4</v>
      </c>
      <c r="D2219" s="19" t="n">
        <v>2026</v>
      </c>
      <c r="E2219" s="57" t="n">
        <v>3</v>
      </c>
      <c r="F2219" s="29">
        <f>ROUND(((SUMIFS(Calendar!$F$2:$F$9997,Calendar!$B$2:$B$9997,D2219,Calendar!$C$2:$C$9997,C2219)*INDEX(ForeCalc!$B$37:$Y$274,MATCH(_xlfn.CONCAT(H2219," ",I2219),ForeCalc!$A$37:$A$274,0),MATCH(_xlfn.CONCAT(B2219," ",E2219),ForeCalc!$B$36:$Y$36,0))))*VLOOKUP(A2219,Calendar!$A$2:$H$9997,8,FALSE),0)</f>
        <v/>
      </c>
      <c r="G2219" s="29">
        <f>VLOOKUP(A2219,Calendar!$A$1:$H$9997,6,FALSE)-F2219</f>
        <v/>
      </c>
      <c r="H2219" s="19" t="n">
        <v>1</v>
      </c>
      <c r="I2219" s="57" t="n">
        <v>1</v>
      </c>
    </row>
    <row r="2220">
      <c r="A2220" s="62" t="n">
        <v>46139</v>
      </c>
      <c r="B2220" s="3" t="inlineStr">
        <is>
          <t>Week</t>
        </is>
      </c>
      <c r="C2220" s="19" t="n">
        <v>4</v>
      </c>
      <c r="D2220" s="19" t="n">
        <v>2026</v>
      </c>
      <c r="E2220" s="57" t="n">
        <v>3</v>
      </c>
      <c r="F2220" s="29">
        <f>ROUND(((SUMIFS(Calendar!$F$2:$F$9997,Calendar!$B$2:$B$9997,D2220,Calendar!$C$2:$C$9997,C2220)*INDEX(ForeCalc!$B$37:$Y$274,MATCH(_xlfn.CONCAT(H2220," ",I2220),ForeCalc!$A$37:$A$274,0),MATCH(_xlfn.CONCAT(B2220," ",E2220),ForeCalc!$B$36:$Y$36,0))))*VLOOKUP(A2220,Calendar!$A$2:$H$9997,8,FALSE),0)</f>
        <v/>
      </c>
      <c r="G2220" s="29">
        <f>VLOOKUP(A2220,Calendar!$A$1:$H$9997,6,FALSE)-F2220</f>
        <v/>
      </c>
      <c r="H2220" s="19" t="n">
        <v>1</v>
      </c>
      <c r="I2220" s="57" t="n">
        <v>1</v>
      </c>
    </row>
    <row r="2221">
      <c r="A2221" s="62" t="n">
        <v>46140</v>
      </c>
      <c r="B2221" s="3" t="inlineStr">
        <is>
          <t>Week</t>
        </is>
      </c>
      <c r="C2221" s="19" t="n">
        <v>4</v>
      </c>
      <c r="D2221" s="19" t="n">
        <v>2026</v>
      </c>
      <c r="E2221" s="57" t="n">
        <v>3</v>
      </c>
      <c r="F2221" s="29">
        <f>ROUND(((SUMIFS(Calendar!$F$2:$F$9997,Calendar!$B$2:$B$9997,D2221,Calendar!$C$2:$C$9997,C2221)*INDEX(ForeCalc!$B$37:$Y$274,MATCH(_xlfn.CONCAT(H2221," ",I2221),ForeCalc!$A$37:$A$274,0),MATCH(_xlfn.CONCAT(B2221," ",E2221),ForeCalc!$B$36:$Y$36,0))))*VLOOKUP(A2221,Calendar!$A$2:$H$9997,8,FALSE),0)</f>
        <v/>
      </c>
      <c r="G2221" s="29">
        <f>VLOOKUP(A2221,Calendar!$A$1:$H$9997,6,FALSE)-F2221</f>
        <v/>
      </c>
      <c r="H2221" s="19" t="n">
        <v>1</v>
      </c>
      <c r="I2221" s="57" t="n">
        <v>1</v>
      </c>
    </row>
    <row r="2222">
      <c r="A2222" s="62" t="n">
        <v>46141</v>
      </c>
      <c r="B2222" s="3" t="inlineStr">
        <is>
          <t>Week</t>
        </is>
      </c>
      <c r="C2222" s="19" t="n">
        <v>4</v>
      </c>
      <c r="D2222" s="19" t="n">
        <v>2026</v>
      </c>
      <c r="E2222" s="57" t="n">
        <v>3</v>
      </c>
      <c r="F2222" s="29">
        <f>ROUND(((SUMIFS(Calendar!$F$2:$F$9997,Calendar!$B$2:$B$9997,D2222,Calendar!$C$2:$C$9997,C2222)*INDEX(ForeCalc!$B$37:$Y$274,MATCH(_xlfn.CONCAT(H2222," ",I2222),ForeCalc!$A$37:$A$274,0),MATCH(_xlfn.CONCAT(B2222," ",E2222),ForeCalc!$B$36:$Y$36,0))))*VLOOKUP(A2222,Calendar!$A$2:$H$9997,8,FALSE),0)</f>
        <v/>
      </c>
      <c r="G2222" s="29">
        <f>VLOOKUP(A2222,Calendar!$A$1:$H$9997,6,FALSE)-F2222</f>
        <v/>
      </c>
      <c r="H2222" s="19" t="n">
        <v>1</v>
      </c>
      <c r="I2222" s="57" t="n">
        <v>1</v>
      </c>
    </row>
    <row r="2223">
      <c r="A2223" s="62" t="n">
        <v>46142</v>
      </c>
      <c r="B2223" s="3" t="inlineStr">
        <is>
          <t>Week</t>
        </is>
      </c>
      <c r="C2223" s="19" t="n">
        <v>4</v>
      </c>
      <c r="D2223" s="19" t="n">
        <v>2026</v>
      </c>
      <c r="E2223" s="57" t="n">
        <v>3</v>
      </c>
      <c r="F2223" s="29">
        <f>ROUND(((SUMIFS(Calendar!$F$2:$F$9997,Calendar!$B$2:$B$9997,D2223,Calendar!$C$2:$C$9997,C2223)*INDEX(ForeCalc!$B$37:$Y$274,MATCH(_xlfn.CONCAT(H2223," ",I2223),ForeCalc!$A$37:$A$274,0),MATCH(_xlfn.CONCAT(B2223," ",E2223),ForeCalc!$B$36:$Y$36,0))))*VLOOKUP(A2223,Calendar!$A$2:$H$9997,8,FALSE),0)</f>
        <v/>
      </c>
      <c r="G2223" s="29">
        <f>VLOOKUP(A2223,Calendar!$A$1:$H$9997,6,FALSE)-F2223</f>
        <v/>
      </c>
      <c r="H2223" s="19" t="n">
        <v>1</v>
      </c>
      <c r="I2223" s="57" t="n">
        <v>1</v>
      </c>
    </row>
    <row r="2224">
      <c r="A2224" s="62" t="n">
        <v>46143</v>
      </c>
      <c r="B2224" s="3" t="inlineStr">
        <is>
          <t>Week</t>
        </is>
      </c>
      <c r="C2224" s="19" t="n">
        <v>5</v>
      </c>
      <c r="D2224" s="19" t="n">
        <v>2026</v>
      </c>
      <c r="E2224" s="57" t="n">
        <v>3</v>
      </c>
      <c r="F2224" s="29">
        <f>ROUND(((SUMIFS(Calendar!$F$2:$F$9997,Calendar!$B$2:$B$9997,D2224,Calendar!$C$2:$C$9997,C2224)*INDEX(ForeCalc!$B$37:$Y$274,MATCH(_xlfn.CONCAT(H2224," ",I2224),ForeCalc!$A$37:$A$274,0),MATCH(_xlfn.CONCAT(B2224," ",E2224),ForeCalc!$B$36:$Y$36,0))))*VLOOKUP(A2224,Calendar!$A$2:$H$9997,8,FALSE),0)</f>
        <v/>
      </c>
      <c r="G2224" s="29">
        <f>VLOOKUP(A2224,Calendar!$A$1:$H$9997,6,FALSE)-F2224</f>
        <v/>
      </c>
      <c r="H2224" s="19" t="n">
        <v>1</v>
      </c>
      <c r="I2224" s="57" t="n">
        <v>2</v>
      </c>
    </row>
    <row r="2225">
      <c r="A2225" s="62" t="n">
        <v>46144</v>
      </c>
      <c r="B2225" s="3" t="inlineStr">
        <is>
          <t>Sat</t>
        </is>
      </c>
      <c r="C2225" s="19" t="n">
        <v>5</v>
      </c>
      <c r="D2225" s="19" t="n">
        <v>2026</v>
      </c>
      <c r="E2225" s="57" t="n">
        <v>3</v>
      </c>
      <c r="F2225" s="29">
        <f>ROUND(((SUMIFS(Calendar!$F$2:$F$9997,Calendar!$B$2:$B$9997,D2225,Calendar!$C$2:$C$9997,C2225)*INDEX(ForeCalc!$B$37:$Y$274,MATCH(_xlfn.CONCAT(H2225," ",I2225),ForeCalc!$A$37:$A$274,0),MATCH(_xlfn.CONCAT(B2225," ",E2225),ForeCalc!$B$36:$Y$36,0))))*VLOOKUP(A2225,Calendar!$A$2:$H$9997,8,FALSE),0)</f>
        <v/>
      </c>
      <c r="G2225" s="29">
        <f>VLOOKUP(A2225,Calendar!$A$1:$H$9997,6,FALSE)-F2225</f>
        <v/>
      </c>
      <c r="H2225" s="19" t="n">
        <v>1</v>
      </c>
      <c r="I2225" s="57" t="n">
        <v>2</v>
      </c>
    </row>
    <row r="2226">
      <c r="A2226" s="62" t="n">
        <v>46145</v>
      </c>
      <c r="B2226" s="3" t="inlineStr">
        <is>
          <t>Sun</t>
        </is>
      </c>
      <c r="C2226" s="19" t="n">
        <v>5</v>
      </c>
      <c r="D2226" s="19" t="n">
        <v>2026</v>
      </c>
      <c r="E2226" s="57" t="n">
        <v>3</v>
      </c>
      <c r="F2226" s="29">
        <f>ROUND(((SUMIFS(Calendar!$F$2:$F$9997,Calendar!$B$2:$B$9997,D2226,Calendar!$C$2:$C$9997,C2226)*INDEX(ForeCalc!$B$37:$Y$274,MATCH(_xlfn.CONCAT(H2226," ",I2226),ForeCalc!$A$37:$A$274,0),MATCH(_xlfn.CONCAT(B2226," ",E2226),ForeCalc!$B$36:$Y$36,0))))*VLOOKUP(A2226,Calendar!$A$2:$H$9997,8,FALSE),0)</f>
        <v/>
      </c>
      <c r="G2226" s="29">
        <f>VLOOKUP(A2226,Calendar!$A$1:$H$9997,6,FALSE)-F2226</f>
        <v/>
      </c>
      <c r="H2226" s="19" t="n">
        <v>1</v>
      </c>
      <c r="I2226" s="57" t="n">
        <v>2</v>
      </c>
    </row>
    <row r="2227">
      <c r="A2227" s="62" t="n">
        <v>46146</v>
      </c>
      <c r="B2227" s="3" t="inlineStr">
        <is>
          <t>Week</t>
        </is>
      </c>
      <c r="C2227" s="19" t="n">
        <v>5</v>
      </c>
      <c r="D2227" s="19" t="n">
        <v>2026</v>
      </c>
      <c r="E2227" s="57" t="n">
        <v>3</v>
      </c>
      <c r="F2227" s="29">
        <f>ROUND(((SUMIFS(Calendar!$F$2:$F$9997,Calendar!$B$2:$B$9997,D2227,Calendar!$C$2:$C$9997,C2227)*INDEX(ForeCalc!$B$37:$Y$274,MATCH(_xlfn.CONCAT(H2227," ",I2227),ForeCalc!$A$37:$A$274,0),MATCH(_xlfn.CONCAT(B2227," ",E2227),ForeCalc!$B$36:$Y$36,0))))*VLOOKUP(A2227,Calendar!$A$2:$H$9997,8,FALSE),0)</f>
        <v/>
      </c>
      <c r="G2227" s="29">
        <f>VLOOKUP(A2227,Calendar!$A$1:$H$9997,6,FALSE)-F2227</f>
        <v/>
      </c>
      <c r="H2227" s="19" t="n">
        <v>1</v>
      </c>
      <c r="I2227" s="57" t="n">
        <v>2</v>
      </c>
    </row>
    <row r="2228">
      <c r="A2228" s="62" t="n">
        <v>46147</v>
      </c>
      <c r="B2228" s="3" t="inlineStr">
        <is>
          <t>Week</t>
        </is>
      </c>
      <c r="C2228" s="19" t="n">
        <v>5</v>
      </c>
      <c r="D2228" s="19" t="n">
        <v>2026</v>
      </c>
      <c r="E2228" s="57" t="n">
        <v>3</v>
      </c>
      <c r="F2228" s="29">
        <f>ROUND(((SUMIFS(Calendar!$F$2:$F$9997,Calendar!$B$2:$B$9997,D2228,Calendar!$C$2:$C$9997,C2228)*INDEX(ForeCalc!$B$37:$Y$274,MATCH(_xlfn.CONCAT(H2228," ",I2228),ForeCalc!$A$37:$A$274,0),MATCH(_xlfn.CONCAT(B2228," ",E2228),ForeCalc!$B$36:$Y$36,0))))*VLOOKUP(A2228,Calendar!$A$2:$H$9997,8,FALSE),0)</f>
        <v/>
      </c>
      <c r="G2228" s="29">
        <f>VLOOKUP(A2228,Calendar!$A$1:$H$9997,6,FALSE)-F2228</f>
        <v/>
      </c>
      <c r="H2228" s="19" t="n">
        <v>1</v>
      </c>
      <c r="I2228" s="57" t="n">
        <v>2</v>
      </c>
    </row>
    <row r="2229">
      <c r="A2229" s="62" t="n">
        <v>46148</v>
      </c>
      <c r="B2229" s="3" t="inlineStr">
        <is>
          <t>Week</t>
        </is>
      </c>
      <c r="C2229" s="19" t="n">
        <v>5</v>
      </c>
      <c r="D2229" s="19" t="n">
        <v>2026</v>
      </c>
      <c r="E2229" s="57" t="n">
        <v>3</v>
      </c>
      <c r="F2229" s="29">
        <f>ROUND(((SUMIFS(Calendar!$F$2:$F$9997,Calendar!$B$2:$B$9997,D2229,Calendar!$C$2:$C$9997,C2229)*INDEX(ForeCalc!$B$37:$Y$274,MATCH(_xlfn.CONCAT(H2229," ",I2229),ForeCalc!$A$37:$A$274,0),MATCH(_xlfn.CONCAT(B2229," ",E2229),ForeCalc!$B$36:$Y$36,0))))*VLOOKUP(A2229,Calendar!$A$2:$H$9997,8,FALSE),0)</f>
        <v/>
      </c>
      <c r="G2229" s="29">
        <f>VLOOKUP(A2229,Calendar!$A$1:$H$9997,6,FALSE)-F2229</f>
        <v/>
      </c>
      <c r="H2229" s="19" t="n">
        <v>1</v>
      </c>
      <c r="I2229" s="57" t="n">
        <v>2</v>
      </c>
    </row>
    <row r="2230">
      <c r="A2230" s="62" t="n">
        <v>46149</v>
      </c>
      <c r="B2230" s="3" t="inlineStr">
        <is>
          <t>Week</t>
        </is>
      </c>
      <c r="C2230" s="19" t="n">
        <v>5</v>
      </c>
      <c r="D2230" s="19" t="n">
        <v>2026</v>
      </c>
      <c r="E2230" s="57" t="n">
        <v>3</v>
      </c>
      <c r="F2230" s="29">
        <f>ROUND(((SUMIFS(Calendar!$F$2:$F$9997,Calendar!$B$2:$B$9997,D2230,Calendar!$C$2:$C$9997,C2230)*INDEX(ForeCalc!$B$37:$Y$274,MATCH(_xlfn.CONCAT(H2230," ",I2230),ForeCalc!$A$37:$A$274,0),MATCH(_xlfn.CONCAT(B2230," ",E2230),ForeCalc!$B$36:$Y$36,0))))*VLOOKUP(A2230,Calendar!$A$2:$H$9997,8,FALSE),0)</f>
        <v/>
      </c>
      <c r="G2230" s="29">
        <f>VLOOKUP(A2230,Calendar!$A$1:$H$9997,6,FALSE)-F2230</f>
        <v/>
      </c>
      <c r="H2230" s="19" t="n">
        <v>1</v>
      </c>
      <c r="I2230" s="57" t="n">
        <v>2</v>
      </c>
    </row>
    <row r="2231">
      <c r="A2231" s="62" t="n">
        <v>46150</v>
      </c>
      <c r="B2231" s="3" t="inlineStr">
        <is>
          <t>Week</t>
        </is>
      </c>
      <c r="C2231" s="19" t="n">
        <v>5</v>
      </c>
      <c r="D2231" s="19" t="n">
        <v>2026</v>
      </c>
      <c r="E2231" s="57" t="n">
        <v>3</v>
      </c>
      <c r="F2231" s="29">
        <f>ROUND(((SUMIFS(Calendar!$F$2:$F$9997,Calendar!$B$2:$B$9997,D2231,Calendar!$C$2:$C$9997,C2231)*INDEX(ForeCalc!$B$37:$Y$274,MATCH(_xlfn.CONCAT(H2231," ",I2231),ForeCalc!$A$37:$A$274,0),MATCH(_xlfn.CONCAT(B2231," ",E2231),ForeCalc!$B$36:$Y$36,0))))*VLOOKUP(A2231,Calendar!$A$2:$H$9997,8,FALSE),0)</f>
        <v/>
      </c>
      <c r="G2231" s="29">
        <f>VLOOKUP(A2231,Calendar!$A$1:$H$9997,6,FALSE)-F2231</f>
        <v/>
      </c>
      <c r="H2231" s="19" t="n">
        <v>1</v>
      </c>
      <c r="I2231" s="57" t="n">
        <v>2</v>
      </c>
    </row>
    <row r="2232">
      <c r="A2232" s="62" t="n">
        <v>46151</v>
      </c>
      <c r="B2232" s="3" t="inlineStr">
        <is>
          <t>Sat</t>
        </is>
      </c>
      <c r="C2232" s="19" t="n">
        <v>5</v>
      </c>
      <c r="D2232" s="19" t="n">
        <v>2026</v>
      </c>
      <c r="E2232" s="57" t="n">
        <v>3</v>
      </c>
      <c r="F2232" s="29">
        <f>ROUND(((SUMIFS(Calendar!$F$2:$F$9997,Calendar!$B$2:$B$9997,D2232,Calendar!$C$2:$C$9997,C2232)*INDEX(ForeCalc!$B$37:$Y$274,MATCH(_xlfn.CONCAT(H2232," ",I2232),ForeCalc!$A$37:$A$274,0),MATCH(_xlfn.CONCAT(B2232," ",E2232),ForeCalc!$B$36:$Y$36,0))))*VLOOKUP(A2232,Calendar!$A$2:$H$9997,8,FALSE),0)</f>
        <v/>
      </c>
      <c r="G2232" s="29">
        <f>VLOOKUP(A2232,Calendar!$A$1:$H$9997,6,FALSE)-F2232</f>
        <v/>
      </c>
      <c r="H2232" s="19" t="n">
        <v>1</v>
      </c>
      <c r="I2232" s="57" t="n">
        <v>2</v>
      </c>
    </row>
    <row r="2233">
      <c r="A2233" s="62" t="n">
        <v>46152</v>
      </c>
      <c r="B2233" s="3" t="inlineStr">
        <is>
          <t>Sun</t>
        </is>
      </c>
      <c r="C2233" s="19" t="n">
        <v>5</v>
      </c>
      <c r="D2233" s="19" t="n">
        <v>2026</v>
      </c>
      <c r="E2233" s="57" t="n">
        <v>3</v>
      </c>
      <c r="F2233" s="29">
        <f>ROUND(((SUMIFS(Calendar!$F$2:$F$9997,Calendar!$B$2:$B$9997,D2233,Calendar!$C$2:$C$9997,C2233)*INDEX(ForeCalc!$B$37:$Y$274,MATCH(_xlfn.CONCAT(H2233," ",I2233),ForeCalc!$A$37:$A$274,0),MATCH(_xlfn.CONCAT(B2233," ",E2233),ForeCalc!$B$36:$Y$36,0))))*VLOOKUP(A2233,Calendar!$A$2:$H$9997,8,FALSE),0)</f>
        <v/>
      </c>
      <c r="G2233" s="29">
        <f>VLOOKUP(A2233,Calendar!$A$1:$H$9997,6,FALSE)-F2233</f>
        <v/>
      </c>
      <c r="H2233" s="19" t="n">
        <v>1</v>
      </c>
      <c r="I2233" s="57" t="n">
        <v>2</v>
      </c>
    </row>
    <row r="2234">
      <c r="A2234" s="62" t="n">
        <v>46153</v>
      </c>
      <c r="B2234" s="3" t="inlineStr">
        <is>
          <t>Week</t>
        </is>
      </c>
      <c r="C2234" s="19" t="n">
        <v>5</v>
      </c>
      <c r="D2234" s="19" t="n">
        <v>2026</v>
      </c>
      <c r="E2234" s="57" t="n">
        <v>3</v>
      </c>
      <c r="F2234" s="29">
        <f>ROUND(((SUMIFS(Calendar!$F$2:$F$9997,Calendar!$B$2:$B$9997,D2234,Calendar!$C$2:$C$9997,C2234)*INDEX(ForeCalc!$B$37:$Y$274,MATCH(_xlfn.CONCAT(H2234," ",I2234),ForeCalc!$A$37:$A$274,0),MATCH(_xlfn.CONCAT(B2234," ",E2234),ForeCalc!$B$36:$Y$36,0))))*VLOOKUP(A2234,Calendar!$A$2:$H$9997,8,FALSE),0)</f>
        <v/>
      </c>
      <c r="G2234" s="29">
        <f>VLOOKUP(A2234,Calendar!$A$1:$H$9997,6,FALSE)-F2234</f>
        <v/>
      </c>
      <c r="H2234" s="19" t="n">
        <v>1</v>
      </c>
      <c r="I2234" s="57" t="n">
        <v>2</v>
      </c>
    </row>
    <row r="2235">
      <c r="A2235" s="62" t="n">
        <v>46154</v>
      </c>
      <c r="B2235" s="3" t="inlineStr">
        <is>
          <t>Week</t>
        </is>
      </c>
      <c r="C2235" s="19" t="n">
        <v>5</v>
      </c>
      <c r="D2235" s="19" t="n">
        <v>2026</v>
      </c>
      <c r="E2235" s="57" t="n">
        <v>3</v>
      </c>
      <c r="F2235" s="29">
        <f>ROUND(((SUMIFS(Calendar!$F$2:$F$9997,Calendar!$B$2:$B$9997,D2235,Calendar!$C$2:$C$9997,C2235)*INDEX(ForeCalc!$B$37:$Y$274,MATCH(_xlfn.CONCAT(H2235," ",I2235),ForeCalc!$A$37:$A$274,0),MATCH(_xlfn.CONCAT(B2235," ",E2235),ForeCalc!$B$36:$Y$36,0))))*VLOOKUP(A2235,Calendar!$A$2:$H$9997,8,FALSE),0)</f>
        <v/>
      </c>
      <c r="G2235" s="29">
        <f>VLOOKUP(A2235,Calendar!$A$1:$H$9997,6,FALSE)-F2235</f>
        <v/>
      </c>
      <c r="H2235" s="19" t="n">
        <v>1</v>
      </c>
      <c r="I2235" s="57" t="n">
        <v>2</v>
      </c>
    </row>
    <row r="2236">
      <c r="A2236" s="62" t="n">
        <v>46155</v>
      </c>
      <c r="B2236" s="3" t="inlineStr">
        <is>
          <t>Week</t>
        </is>
      </c>
      <c r="C2236" s="19" t="n">
        <v>5</v>
      </c>
      <c r="D2236" s="19" t="n">
        <v>2026</v>
      </c>
      <c r="E2236" s="57" t="n">
        <v>3</v>
      </c>
      <c r="F2236" s="29">
        <f>ROUND(((SUMIFS(Calendar!$F$2:$F$9997,Calendar!$B$2:$B$9997,D2236,Calendar!$C$2:$C$9997,C2236)*INDEX(ForeCalc!$B$37:$Y$274,MATCH(_xlfn.CONCAT(H2236," ",I2236),ForeCalc!$A$37:$A$274,0),MATCH(_xlfn.CONCAT(B2236," ",E2236),ForeCalc!$B$36:$Y$36,0))))*VLOOKUP(A2236,Calendar!$A$2:$H$9997,8,FALSE),0)</f>
        <v/>
      </c>
      <c r="G2236" s="29">
        <f>VLOOKUP(A2236,Calendar!$A$1:$H$9997,6,FALSE)-F2236</f>
        <v/>
      </c>
      <c r="H2236" s="19" t="n">
        <v>1</v>
      </c>
      <c r="I2236" s="57" t="n">
        <v>2</v>
      </c>
    </row>
    <row r="2237">
      <c r="A2237" s="62" t="n">
        <v>46156</v>
      </c>
      <c r="B2237" s="3" t="inlineStr">
        <is>
          <t>Week</t>
        </is>
      </c>
      <c r="C2237" s="19" t="n">
        <v>5</v>
      </c>
      <c r="D2237" s="19" t="n">
        <v>2026</v>
      </c>
      <c r="E2237" s="57" t="n">
        <v>3</v>
      </c>
      <c r="F2237" s="29">
        <f>ROUND(((SUMIFS(Calendar!$F$2:$F$9997,Calendar!$B$2:$B$9997,D2237,Calendar!$C$2:$C$9997,C2237)*INDEX(ForeCalc!$B$37:$Y$274,MATCH(_xlfn.CONCAT(H2237," ",I2237),ForeCalc!$A$37:$A$274,0),MATCH(_xlfn.CONCAT(B2237," ",E2237),ForeCalc!$B$36:$Y$36,0))))*VLOOKUP(A2237,Calendar!$A$2:$H$9997,8,FALSE),0)</f>
        <v/>
      </c>
      <c r="G2237" s="29">
        <f>VLOOKUP(A2237,Calendar!$A$1:$H$9997,6,FALSE)-F2237</f>
        <v/>
      </c>
      <c r="H2237" s="19" t="n">
        <v>1</v>
      </c>
      <c r="I2237" s="57" t="n">
        <v>2</v>
      </c>
    </row>
    <row r="2238">
      <c r="A2238" s="62" t="n">
        <v>46157</v>
      </c>
      <c r="B2238" s="3" t="inlineStr">
        <is>
          <t>Week</t>
        </is>
      </c>
      <c r="C2238" s="19" t="n">
        <v>5</v>
      </c>
      <c r="D2238" s="19" t="n">
        <v>2026</v>
      </c>
      <c r="E2238" s="57" t="n">
        <v>3</v>
      </c>
      <c r="F2238" s="29">
        <f>ROUND(((SUMIFS(Calendar!$F$2:$F$9997,Calendar!$B$2:$B$9997,D2238,Calendar!$C$2:$C$9997,C2238)*INDEX(ForeCalc!$B$37:$Y$274,MATCH(_xlfn.CONCAT(H2238," ",I2238),ForeCalc!$A$37:$A$274,0),MATCH(_xlfn.CONCAT(B2238," ",E2238),ForeCalc!$B$36:$Y$36,0))))*VLOOKUP(A2238,Calendar!$A$2:$H$9997,8,FALSE),0)</f>
        <v/>
      </c>
      <c r="G2238" s="29">
        <f>VLOOKUP(A2238,Calendar!$A$1:$H$9997,6,FALSE)-F2238</f>
        <v/>
      </c>
      <c r="H2238" s="19" t="n">
        <v>1</v>
      </c>
      <c r="I2238" s="57" t="n">
        <v>2</v>
      </c>
    </row>
    <row r="2239">
      <c r="A2239" s="62" t="n">
        <v>46158</v>
      </c>
      <c r="B2239" s="3" t="inlineStr">
        <is>
          <t>Sat</t>
        </is>
      </c>
      <c r="C2239" s="19" t="n">
        <v>5</v>
      </c>
      <c r="D2239" s="19" t="n">
        <v>2026</v>
      </c>
      <c r="E2239" s="57" t="n">
        <v>3</v>
      </c>
      <c r="F2239" s="29">
        <f>ROUND(((SUMIFS(Calendar!$F$2:$F$9997,Calendar!$B$2:$B$9997,D2239,Calendar!$C$2:$C$9997,C2239)*INDEX(ForeCalc!$B$37:$Y$274,MATCH(_xlfn.CONCAT(H2239," ",I2239),ForeCalc!$A$37:$A$274,0),MATCH(_xlfn.CONCAT(B2239," ",E2239),ForeCalc!$B$36:$Y$36,0))))*VLOOKUP(A2239,Calendar!$A$2:$H$9997,8,FALSE),0)</f>
        <v/>
      </c>
      <c r="G2239" s="29">
        <f>VLOOKUP(A2239,Calendar!$A$1:$H$9997,6,FALSE)-F2239</f>
        <v/>
      </c>
      <c r="H2239" s="19" t="n">
        <v>1</v>
      </c>
      <c r="I2239" s="57" t="n">
        <v>2</v>
      </c>
    </row>
    <row r="2240">
      <c r="A2240" s="62" t="n">
        <v>46159</v>
      </c>
      <c r="B2240" s="3" t="inlineStr">
        <is>
          <t>Sun</t>
        </is>
      </c>
      <c r="C2240" s="19" t="n">
        <v>5</v>
      </c>
      <c r="D2240" s="19" t="n">
        <v>2026</v>
      </c>
      <c r="E2240" s="57" t="n">
        <v>3</v>
      </c>
      <c r="F2240" s="29">
        <f>ROUND(((SUMIFS(Calendar!$F$2:$F$9997,Calendar!$B$2:$B$9997,D2240,Calendar!$C$2:$C$9997,C2240)*INDEX(ForeCalc!$B$37:$Y$274,MATCH(_xlfn.CONCAT(H2240," ",I2240),ForeCalc!$A$37:$A$274,0),MATCH(_xlfn.CONCAT(B2240," ",E2240),ForeCalc!$B$36:$Y$36,0))))*VLOOKUP(A2240,Calendar!$A$2:$H$9997,8,FALSE),0)</f>
        <v/>
      </c>
      <c r="G2240" s="29">
        <f>VLOOKUP(A2240,Calendar!$A$1:$H$9997,6,FALSE)-F2240</f>
        <v/>
      </c>
      <c r="H2240" s="19" t="n">
        <v>1</v>
      </c>
      <c r="I2240" s="57" t="n">
        <v>2</v>
      </c>
    </row>
    <row r="2241">
      <c r="A2241" s="62" t="n">
        <v>46160</v>
      </c>
      <c r="B2241" s="3" t="inlineStr">
        <is>
          <t>Week</t>
        </is>
      </c>
      <c r="C2241" s="19" t="n">
        <v>5</v>
      </c>
      <c r="D2241" s="19" t="n">
        <v>2026</v>
      </c>
      <c r="E2241" s="57" t="n">
        <v>3</v>
      </c>
      <c r="F2241" s="29">
        <f>ROUND(((SUMIFS(Calendar!$F$2:$F$9997,Calendar!$B$2:$B$9997,D2241,Calendar!$C$2:$C$9997,C2241)*INDEX(ForeCalc!$B$37:$Y$274,MATCH(_xlfn.CONCAT(H2241," ",I2241),ForeCalc!$A$37:$A$274,0),MATCH(_xlfn.CONCAT(B2241," ",E2241),ForeCalc!$B$36:$Y$36,0))))*VLOOKUP(A2241,Calendar!$A$2:$H$9997,8,FALSE),0)</f>
        <v/>
      </c>
      <c r="G2241" s="29">
        <f>VLOOKUP(A2241,Calendar!$A$1:$H$9997,6,FALSE)-F2241</f>
        <v/>
      </c>
      <c r="H2241" s="19" t="n">
        <v>1</v>
      </c>
      <c r="I2241" s="57" t="n">
        <v>2</v>
      </c>
    </row>
    <row r="2242">
      <c r="A2242" s="62" t="n">
        <v>46161</v>
      </c>
      <c r="B2242" s="3" t="inlineStr">
        <is>
          <t>Week</t>
        </is>
      </c>
      <c r="C2242" s="19" t="n">
        <v>5</v>
      </c>
      <c r="D2242" s="19" t="n">
        <v>2026</v>
      </c>
      <c r="E2242" s="57" t="n">
        <v>3</v>
      </c>
      <c r="F2242" s="29">
        <f>ROUND(((SUMIFS(Calendar!$F$2:$F$9997,Calendar!$B$2:$B$9997,D2242,Calendar!$C$2:$C$9997,C2242)*INDEX(ForeCalc!$B$37:$Y$274,MATCH(_xlfn.CONCAT(H2242," ",I2242),ForeCalc!$A$37:$A$274,0),MATCH(_xlfn.CONCAT(B2242," ",E2242),ForeCalc!$B$36:$Y$36,0))))*VLOOKUP(A2242,Calendar!$A$2:$H$9997,8,FALSE),0)</f>
        <v/>
      </c>
      <c r="G2242" s="29">
        <f>VLOOKUP(A2242,Calendar!$A$1:$H$9997,6,FALSE)-F2242</f>
        <v/>
      </c>
      <c r="H2242" s="19" t="n">
        <v>1</v>
      </c>
      <c r="I2242" s="57" t="n">
        <v>2</v>
      </c>
    </row>
    <row r="2243">
      <c r="A2243" s="62" t="n">
        <v>46162</v>
      </c>
      <c r="B2243" s="3" t="inlineStr">
        <is>
          <t>Week</t>
        </is>
      </c>
      <c r="C2243" s="19" t="n">
        <v>5</v>
      </c>
      <c r="D2243" s="19" t="n">
        <v>2026</v>
      </c>
      <c r="E2243" s="57" t="n">
        <v>3</v>
      </c>
      <c r="F2243" s="29">
        <f>ROUND(((SUMIFS(Calendar!$F$2:$F$9997,Calendar!$B$2:$B$9997,D2243,Calendar!$C$2:$C$9997,C2243)*INDEX(ForeCalc!$B$37:$Y$274,MATCH(_xlfn.CONCAT(H2243," ",I2243),ForeCalc!$A$37:$A$274,0),MATCH(_xlfn.CONCAT(B2243," ",E2243),ForeCalc!$B$36:$Y$36,0))))*VLOOKUP(A2243,Calendar!$A$2:$H$9997,8,FALSE),0)</f>
        <v/>
      </c>
      <c r="G2243" s="29">
        <f>VLOOKUP(A2243,Calendar!$A$1:$H$9997,6,FALSE)-F2243</f>
        <v/>
      </c>
      <c r="H2243" s="19" t="n">
        <v>1</v>
      </c>
      <c r="I2243" s="57" t="n">
        <v>2</v>
      </c>
    </row>
    <row r="2244">
      <c r="A2244" s="62" t="n">
        <v>46163</v>
      </c>
      <c r="B2244" s="3" t="inlineStr">
        <is>
          <t>Week</t>
        </is>
      </c>
      <c r="C2244" s="19" t="n">
        <v>5</v>
      </c>
      <c r="D2244" s="19" t="n">
        <v>2026</v>
      </c>
      <c r="E2244" s="57" t="n">
        <v>3</v>
      </c>
      <c r="F2244" s="29">
        <f>ROUND(((SUMIFS(Calendar!$F$2:$F$9997,Calendar!$B$2:$B$9997,D2244,Calendar!$C$2:$C$9997,C2244)*INDEX(ForeCalc!$B$37:$Y$274,MATCH(_xlfn.CONCAT(H2244," ",I2244),ForeCalc!$A$37:$A$274,0),MATCH(_xlfn.CONCAT(B2244," ",E2244),ForeCalc!$B$36:$Y$36,0))))*VLOOKUP(A2244,Calendar!$A$2:$H$9997,8,FALSE),0)</f>
        <v/>
      </c>
      <c r="G2244" s="29">
        <f>VLOOKUP(A2244,Calendar!$A$1:$H$9997,6,FALSE)-F2244</f>
        <v/>
      </c>
      <c r="H2244" s="19" t="n">
        <v>1</v>
      </c>
      <c r="I2244" s="57" t="n">
        <v>2</v>
      </c>
    </row>
    <row r="2245">
      <c r="A2245" s="62" t="n">
        <v>46164</v>
      </c>
      <c r="B2245" s="3" t="inlineStr">
        <is>
          <t>Week</t>
        </is>
      </c>
      <c r="C2245" s="19" t="n">
        <v>5</v>
      </c>
      <c r="D2245" s="19" t="n">
        <v>2026</v>
      </c>
      <c r="E2245" s="57" t="n">
        <v>3</v>
      </c>
      <c r="F2245" s="29">
        <f>ROUND(((SUMIFS(Calendar!$F$2:$F$9997,Calendar!$B$2:$B$9997,D2245,Calendar!$C$2:$C$9997,C2245)*INDEX(ForeCalc!$B$37:$Y$274,MATCH(_xlfn.CONCAT(H2245," ",I2245),ForeCalc!$A$37:$A$274,0),MATCH(_xlfn.CONCAT(B2245," ",E2245),ForeCalc!$B$36:$Y$36,0))))*VLOOKUP(A2245,Calendar!$A$2:$H$9997,8,FALSE),0)</f>
        <v/>
      </c>
      <c r="G2245" s="29">
        <f>VLOOKUP(A2245,Calendar!$A$1:$H$9997,6,FALSE)-F2245</f>
        <v/>
      </c>
      <c r="H2245" s="19" t="n">
        <v>1</v>
      </c>
      <c r="I2245" s="57" t="n">
        <v>2</v>
      </c>
    </row>
    <row r="2246">
      <c r="A2246" s="62" t="n">
        <v>46165</v>
      </c>
      <c r="B2246" s="3" t="inlineStr">
        <is>
          <t>Sat</t>
        </is>
      </c>
      <c r="C2246" s="19" t="n">
        <v>5</v>
      </c>
      <c r="D2246" s="19" t="n">
        <v>2026</v>
      </c>
      <c r="E2246" s="57" t="n">
        <v>3</v>
      </c>
      <c r="F2246" s="29">
        <f>ROUND(((SUMIFS(Calendar!$F$2:$F$9997,Calendar!$B$2:$B$9997,D2246,Calendar!$C$2:$C$9997,C2246)*INDEX(ForeCalc!$B$37:$Y$274,MATCH(_xlfn.CONCAT(H2246," ",I2246),ForeCalc!$A$37:$A$274,0),MATCH(_xlfn.CONCAT(B2246," ",E2246),ForeCalc!$B$36:$Y$36,0))))*VLOOKUP(A2246,Calendar!$A$2:$H$9997,8,FALSE),0)</f>
        <v/>
      </c>
      <c r="G2246" s="29">
        <f>VLOOKUP(A2246,Calendar!$A$1:$H$9997,6,FALSE)-F2246</f>
        <v/>
      </c>
      <c r="H2246" s="19" t="n">
        <v>1</v>
      </c>
      <c r="I2246" s="57" t="n">
        <v>2</v>
      </c>
    </row>
    <row r="2247">
      <c r="A2247" s="62" t="n">
        <v>46166</v>
      </c>
      <c r="B2247" s="3" t="inlineStr">
        <is>
          <t>Sun</t>
        </is>
      </c>
      <c r="C2247" s="19" t="n">
        <v>5</v>
      </c>
      <c r="D2247" s="19" t="n">
        <v>2026</v>
      </c>
      <c r="E2247" s="57" t="n">
        <v>3</v>
      </c>
      <c r="F2247" s="29">
        <f>ROUND(((SUMIFS(Calendar!$F$2:$F$9997,Calendar!$B$2:$B$9997,D2247,Calendar!$C$2:$C$9997,C2247)*INDEX(ForeCalc!$B$37:$Y$274,MATCH(_xlfn.CONCAT(H2247," ",I2247),ForeCalc!$A$37:$A$274,0),MATCH(_xlfn.CONCAT(B2247," ",E2247),ForeCalc!$B$36:$Y$36,0))))*VLOOKUP(A2247,Calendar!$A$2:$H$9997,8,FALSE),0)</f>
        <v/>
      </c>
      <c r="G2247" s="29">
        <f>VLOOKUP(A2247,Calendar!$A$1:$H$9997,6,FALSE)-F2247</f>
        <v/>
      </c>
      <c r="H2247" s="19" t="n">
        <v>1</v>
      </c>
      <c r="I2247" s="57" t="n">
        <v>2</v>
      </c>
    </row>
    <row r="2248">
      <c r="A2248" s="62" t="n">
        <v>46167</v>
      </c>
      <c r="B2248" s="3" t="inlineStr">
        <is>
          <t>Week</t>
        </is>
      </c>
      <c r="C2248" s="19" t="n">
        <v>5</v>
      </c>
      <c r="D2248" s="19" t="n">
        <v>2026</v>
      </c>
      <c r="E2248" s="57" t="n">
        <v>3</v>
      </c>
      <c r="F2248" s="29">
        <f>ROUND(((SUMIFS(Calendar!$F$2:$F$9997,Calendar!$B$2:$B$9997,D2248,Calendar!$C$2:$C$9997,C2248)*INDEX(ForeCalc!$B$37:$Y$274,MATCH(_xlfn.CONCAT(H2248," ",I2248),ForeCalc!$A$37:$A$274,0),MATCH(_xlfn.CONCAT(B2248," ",E2248),ForeCalc!$B$36:$Y$36,0))))*VLOOKUP(A2248,Calendar!$A$2:$H$9997,8,FALSE),0)</f>
        <v/>
      </c>
      <c r="G2248" s="29">
        <f>VLOOKUP(A2248,Calendar!$A$1:$H$9997,6,FALSE)-F2248</f>
        <v/>
      </c>
      <c r="H2248" s="19" t="n">
        <v>1</v>
      </c>
      <c r="I2248" s="57" t="n">
        <v>2</v>
      </c>
    </row>
    <row r="2249">
      <c r="A2249" s="62" t="n">
        <v>46168</v>
      </c>
      <c r="B2249" s="3" t="inlineStr">
        <is>
          <t>Week</t>
        </is>
      </c>
      <c r="C2249" s="19" t="n">
        <v>5</v>
      </c>
      <c r="D2249" s="19" t="n">
        <v>2026</v>
      </c>
      <c r="E2249" s="57" t="n">
        <v>3</v>
      </c>
      <c r="F2249" s="29">
        <f>ROUND(((SUMIFS(Calendar!$F$2:$F$9997,Calendar!$B$2:$B$9997,D2249,Calendar!$C$2:$C$9997,C2249)*INDEX(ForeCalc!$B$37:$Y$274,MATCH(_xlfn.CONCAT(H2249," ",I2249),ForeCalc!$A$37:$A$274,0),MATCH(_xlfn.CONCAT(B2249," ",E2249),ForeCalc!$B$36:$Y$36,0))))*VLOOKUP(A2249,Calendar!$A$2:$H$9997,8,FALSE),0)</f>
        <v/>
      </c>
      <c r="G2249" s="29">
        <f>VLOOKUP(A2249,Calendar!$A$1:$H$9997,6,FALSE)-F2249</f>
        <v/>
      </c>
      <c r="H2249" s="19" t="n">
        <v>1</v>
      </c>
      <c r="I2249" s="57" t="n">
        <v>2</v>
      </c>
    </row>
    <row r="2250">
      <c r="A2250" s="62" t="n">
        <v>46169</v>
      </c>
      <c r="B2250" s="3" t="inlineStr">
        <is>
          <t>Week</t>
        </is>
      </c>
      <c r="C2250" s="19" t="n">
        <v>5</v>
      </c>
      <c r="D2250" s="19" t="n">
        <v>2026</v>
      </c>
      <c r="E2250" s="57" t="n">
        <v>3</v>
      </c>
      <c r="F2250" s="29">
        <f>ROUND(((SUMIFS(Calendar!$F$2:$F$9997,Calendar!$B$2:$B$9997,D2250,Calendar!$C$2:$C$9997,C2250)*INDEX(ForeCalc!$B$37:$Y$274,MATCH(_xlfn.CONCAT(H2250," ",I2250),ForeCalc!$A$37:$A$274,0),MATCH(_xlfn.CONCAT(B2250," ",E2250),ForeCalc!$B$36:$Y$36,0))))*VLOOKUP(A2250,Calendar!$A$2:$H$9997,8,FALSE),0)</f>
        <v/>
      </c>
      <c r="G2250" s="29">
        <f>VLOOKUP(A2250,Calendar!$A$1:$H$9997,6,FALSE)-F2250</f>
        <v/>
      </c>
      <c r="H2250" s="19" t="n">
        <v>1</v>
      </c>
      <c r="I2250" s="57" t="n">
        <v>2</v>
      </c>
    </row>
    <row r="2251">
      <c r="A2251" s="62" t="n">
        <v>46170</v>
      </c>
      <c r="B2251" s="3" t="inlineStr">
        <is>
          <t>Week</t>
        </is>
      </c>
      <c r="C2251" s="19" t="n">
        <v>5</v>
      </c>
      <c r="D2251" s="19" t="n">
        <v>2026</v>
      </c>
      <c r="E2251" s="57" t="n">
        <v>3</v>
      </c>
      <c r="F2251" s="29">
        <f>ROUND(((SUMIFS(Calendar!$F$2:$F$9997,Calendar!$B$2:$B$9997,D2251,Calendar!$C$2:$C$9997,C2251)*INDEX(ForeCalc!$B$37:$Y$274,MATCH(_xlfn.CONCAT(H2251," ",I2251),ForeCalc!$A$37:$A$274,0),MATCH(_xlfn.CONCAT(B2251," ",E2251),ForeCalc!$B$36:$Y$36,0))))*VLOOKUP(A2251,Calendar!$A$2:$H$9997,8,FALSE),0)</f>
        <v/>
      </c>
      <c r="G2251" s="29">
        <f>VLOOKUP(A2251,Calendar!$A$1:$H$9997,6,FALSE)-F2251</f>
        <v/>
      </c>
      <c r="H2251" s="19" t="n">
        <v>1</v>
      </c>
      <c r="I2251" s="57" t="n">
        <v>2</v>
      </c>
    </row>
    <row r="2252">
      <c r="A2252" s="62" t="n">
        <v>46171</v>
      </c>
      <c r="B2252" s="3" t="inlineStr">
        <is>
          <t>Week</t>
        </is>
      </c>
      <c r="C2252" s="19" t="n">
        <v>5</v>
      </c>
      <c r="D2252" s="19" t="n">
        <v>2026</v>
      </c>
      <c r="E2252" s="57" t="n">
        <v>3</v>
      </c>
      <c r="F2252" s="29">
        <f>ROUND(((SUMIFS(Calendar!$F$2:$F$9997,Calendar!$B$2:$B$9997,D2252,Calendar!$C$2:$C$9997,C2252)*INDEX(ForeCalc!$B$37:$Y$274,MATCH(_xlfn.CONCAT(H2252," ",I2252),ForeCalc!$A$37:$A$274,0),MATCH(_xlfn.CONCAT(B2252," ",E2252),ForeCalc!$B$36:$Y$36,0))))*VLOOKUP(A2252,Calendar!$A$2:$H$9997,8,FALSE),0)</f>
        <v/>
      </c>
      <c r="G2252" s="29">
        <f>VLOOKUP(A2252,Calendar!$A$1:$H$9997,6,FALSE)-F2252</f>
        <v/>
      </c>
      <c r="H2252" s="19" t="n">
        <v>1</v>
      </c>
      <c r="I2252" s="57" t="n">
        <v>2</v>
      </c>
    </row>
    <row r="2253">
      <c r="A2253" s="62" t="n">
        <v>46172</v>
      </c>
      <c r="B2253" s="3" t="inlineStr">
        <is>
          <t>Sat</t>
        </is>
      </c>
      <c r="C2253" s="19" t="n">
        <v>5</v>
      </c>
      <c r="D2253" s="19" t="n">
        <v>2026</v>
      </c>
      <c r="E2253" s="57" t="n">
        <v>3</v>
      </c>
      <c r="F2253" s="29">
        <f>ROUND(((SUMIFS(Calendar!$F$2:$F$9997,Calendar!$B$2:$B$9997,D2253,Calendar!$C$2:$C$9997,C2253)*INDEX(ForeCalc!$B$37:$Y$274,MATCH(_xlfn.CONCAT(H2253," ",I2253),ForeCalc!$A$37:$A$274,0),MATCH(_xlfn.CONCAT(B2253," ",E2253),ForeCalc!$B$36:$Y$36,0))))*VLOOKUP(A2253,Calendar!$A$2:$H$9997,8,FALSE),0)</f>
        <v/>
      </c>
      <c r="G2253" s="29">
        <f>VLOOKUP(A2253,Calendar!$A$1:$H$9997,6,FALSE)-F2253</f>
        <v/>
      </c>
      <c r="H2253" s="19" t="n">
        <v>1</v>
      </c>
      <c r="I2253" s="57" t="n">
        <v>2</v>
      </c>
    </row>
    <row r="2254">
      <c r="A2254" s="62" t="n">
        <v>46173</v>
      </c>
      <c r="B2254" s="3" t="inlineStr">
        <is>
          <t>Sun</t>
        </is>
      </c>
      <c r="C2254" s="19" t="n">
        <v>5</v>
      </c>
      <c r="D2254" s="19" t="n">
        <v>2026</v>
      </c>
      <c r="E2254" s="57" t="n">
        <v>3</v>
      </c>
      <c r="F2254" s="29">
        <f>ROUND(((SUMIFS(Calendar!$F$2:$F$9997,Calendar!$B$2:$B$9997,D2254,Calendar!$C$2:$C$9997,C2254)*INDEX(ForeCalc!$B$37:$Y$274,MATCH(_xlfn.CONCAT(H2254," ",I2254),ForeCalc!$A$37:$A$274,0),MATCH(_xlfn.CONCAT(B2254," ",E2254),ForeCalc!$B$36:$Y$36,0))))*VLOOKUP(A2254,Calendar!$A$2:$H$9997,8,FALSE),0)</f>
        <v/>
      </c>
      <c r="G2254" s="29">
        <f>VLOOKUP(A2254,Calendar!$A$1:$H$9997,6,FALSE)-F2254</f>
        <v/>
      </c>
      <c r="H2254" s="19" t="n">
        <v>1</v>
      </c>
      <c r="I2254" s="57" t="n">
        <v>2</v>
      </c>
    </row>
    <row r="2255">
      <c r="A2255" s="62" t="n">
        <v>46174</v>
      </c>
      <c r="B2255" s="3" t="inlineStr">
        <is>
          <t>Week</t>
        </is>
      </c>
      <c r="C2255" s="19" t="n">
        <v>6</v>
      </c>
      <c r="D2255" s="19" t="n">
        <v>2026</v>
      </c>
      <c r="E2255" s="57" t="n">
        <v>3</v>
      </c>
      <c r="F2255" s="29">
        <f>ROUND(((SUMIFS(Calendar!$F$2:$F$9997,Calendar!$B$2:$B$9997,D2255,Calendar!$C$2:$C$9997,C2255)*INDEX(ForeCalc!$B$37:$Y$274,MATCH(_xlfn.CONCAT(H2255," ",I2255),ForeCalc!$A$37:$A$274,0),MATCH(_xlfn.CONCAT(B2255," ",E2255),ForeCalc!$B$36:$Y$36,0))))*VLOOKUP(A2255,Calendar!$A$2:$H$9997,8,FALSE),0)</f>
        <v/>
      </c>
      <c r="G2255" s="29">
        <f>VLOOKUP(A2255,Calendar!$A$1:$H$9997,6,FALSE)-F2255</f>
        <v/>
      </c>
      <c r="H2255" s="19" t="n">
        <v>1</v>
      </c>
      <c r="I2255" s="57" t="n">
        <v>3</v>
      </c>
    </row>
    <row r="2256">
      <c r="A2256" s="62" t="n">
        <v>46175</v>
      </c>
      <c r="B2256" s="3" t="inlineStr">
        <is>
          <t>Week</t>
        </is>
      </c>
      <c r="C2256" s="19" t="n">
        <v>6</v>
      </c>
      <c r="D2256" s="19" t="n">
        <v>2026</v>
      </c>
      <c r="E2256" s="57" t="n">
        <v>3</v>
      </c>
      <c r="F2256" s="29">
        <f>ROUND(((SUMIFS(Calendar!$F$2:$F$9997,Calendar!$B$2:$B$9997,D2256,Calendar!$C$2:$C$9997,C2256)*INDEX(ForeCalc!$B$37:$Y$274,MATCH(_xlfn.CONCAT(H2256," ",I2256),ForeCalc!$A$37:$A$274,0),MATCH(_xlfn.CONCAT(B2256," ",E2256),ForeCalc!$B$36:$Y$36,0))))*VLOOKUP(A2256,Calendar!$A$2:$H$9997,8,FALSE),0)</f>
        <v/>
      </c>
      <c r="G2256" s="29">
        <f>VLOOKUP(A2256,Calendar!$A$1:$H$9997,6,FALSE)-F2256</f>
        <v/>
      </c>
      <c r="H2256" s="19" t="n">
        <v>1</v>
      </c>
      <c r="I2256" s="57" t="n">
        <v>3</v>
      </c>
    </row>
    <row r="2257">
      <c r="A2257" s="62" t="n">
        <v>46176</v>
      </c>
      <c r="B2257" s="3" t="inlineStr">
        <is>
          <t>Week</t>
        </is>
      </c>
      <c r="C2257" s="19" t="n">
        <v>6</v>
      </c>
      <c r="D2257" s="19" t="n">
        <v>2026</v>
      </c>
      <c r="E2257" s="57" t="n">
        <v>3</v>
      </c>
      <c r="F2257" s="29">
        <f>ROUND(((SUMIFS(Calendar!$F$2:$F$9997,Calendar!$B$2:$B$9997,D2257,Calendar!$C$2:$C$9997,C2257)*INDEX(ForeCalc!$B$37:$Y$274,MATCH(_xlfn.CONCAT(H2257," ",I2257),ForeCalc!$A$37:$A$274,0),MATCH(_xlfn.CONCAT(B2257," ",E2257),ForeCalc!$B$36:$Y$36,0))))*VLOOKUP(A2257,Calendar!$A$2:$H$9997,8,FALSE),0)</f>
        <v/>
      </c>
      <c r="G2257" s="29">
        <f>VLOOKUP(A2257,Calendar!$A$1:$H$9997,6,FALSE)-F2257</f>
        <v/>
      </c>
      <c r="H2257" s="19" t="n">
        <v>1</v>
      </c>
      <c r="I2257" s="57" t="n">
        <v>3</v>
      </c>
    </row>
    <row r="2258">
      <c r="A2258" s="62" t="n">
        <v>46177</v>
      </c>
      <c r="B2258" s="3" t="inlineStr">
        <is>
          <t>Week</t>
        </is>
      </c>
      <c r="C2258" s="19" t="n">
        <v>6</v>
      </c>
      <c r="D2258" s="19" t="n">
        <v>2026</v>
      </c>
      <c r="E2258" s="57" t="n">
        <v>3</v>
      </c>
      <c r="F2258" s="29">
        <f>ROUND(((SUMIFS(Calendar!$F$2:$F$9997,Calendar!$B$2:$B$9997,D2258,Calendar!$C$2:$C$9997,C2258)*INDEX(ForeCalc!$B$37:$Y$274,MATCH(_xlfn.CONCAT(H2258," ",I2258),ForeCalc!$A$37:$A$274,0),MATCH(_xlfn.CONCAT(B2258," ",E2258),ForeCalc!$B$36:$Y$36,0))))*VLOOKUP(A2258,Calendar!$A$2:$H$9997,8,FALSE),0)</f>
        <v/>
      </c>
      <c r="G2258" s="29">
        <f>VLOOKUP(A2258,Calendar!$A$1:$H$9997,6,FALSE)-F2258</f>
        <v/>
      </c>
      <c r="H2258" s="19" t="n">
        <v>1</v>
      </c>
      <c r="I2258" s="57" t="n">
        <v>3</v>
      </c>
    </row>
    <row r="2259">
      <c r="A2259" s="62" t="n">
        <v>46178</v>
      </c>
      <c r="B2259" s="3" t="inlineStr">
        <is>
          <t>Week</t>
        </is>
      </c>
      <c r="C2259" s="19" t="n">
        <v>6</v>
      </c>
      <c r="D2259" s="19" t="n">
        <v>2026</v>
      </c>
      <c r="E2259" s="57" t="n">
        <v>3</v>
      </c>
      <c r="F2259" s="29">
        <f>ROUND(((SUMIFS(Calendar!$F$2:$F$9997,Calendar!$B$2:$B$9997,D2259,Calendar!$C$2:$C$9997,C2259)*INDEX(ForeCalc!$B$37:$Y$274,MATCH(_xlfn.CONCAT(H2259," ",I2259),ForeCalc!$A$37:$A$274,0),MATCH(_xlfn.CONCAT(B2259," ",E2259),ForeCalc!$B$36:$Y$36,0))))*VLOOKUP(A2259,Calendar!$A$2:$H$9997,8,FALSE),0)</f>
        <v/>
      </c>
      <c r="G2259" s="29">
        <f>VLOOKUP(A2259,Calendar!$A$1:$H$9997,6,FALSE)-F2259</f>
        <v/>
      </c>
      <c r="H2259" s="19" t="n">
        <v>1</v>
      </c>
      <c r="I2259" s="57" t="n">
        <v>3</v>
      </c>
    </row>
    <row r="2260">
      <c r="A2260" s="62" t="n">
        <v>46179</v>
      </c>
      <c r="B2260" s="3" t="inlineStr">
        <is>
          <t>Sat</t>
        </is>
      </c>
      <c r="C2260" s="19" t="n">
        <v>6</v>
      </c>
      <c r="D2260" s="19" t="n">
        <v>2026</v>
      </c>
      <c r="E2260" s="57" t="n">
        <v>3</v>
      </c>
      <c r="F2260" s="29">
        <f>ROUND(((SUMIFS(Calendar!$F$2:$F$9997,Calendar!$B$2:$B$9997,D2260,Calendar!$C$2:$C$9997,C2260)*INDEX(ForeCalc!$B$37:$Y$274,MATCH(_xlfn.CONCAT(H2260," ",I2260),ForeCalc!$A$37:$A$274,0),MATCH(_xlfn.CONCAT(B2260," ",E2260),ForeCalc!$B$36:$Y$36,0))))*VLOOKUP(A2260,Calendar!$A$2:$H$9997,8,FALSE),0)</f>
        <v/>
      </c>
      <c r="G2260" s="29">
        <f>VLOOKUP(A2260,Calendar!$A$1:$H$9997,6,FALSE)-F2260</f>
        <v/>
      </c>
      <c r="H2260" s="19" t="n">
        <v>1</v>
      </c>
      <c r="I2260" s="57" t="n">
        <v>3</v>
      </c>
    </row>
    <row r="2261">
      <c r="A2261" s="62" t="n">
        <v>46180</v>
      </c>
      <c r="B2261" s="3" t="inlineStr">
        <is>
          <t>Sun</t>
        </is>
      </c>
      <c r="C2261" s="19" t="n">
        <v>6</v>
      </c>
      <c r="D2261" s="19" t="n">
        <v>2026</v>
      </c>
      <c r="E2261" s="57" t="n">
        <v>3</v>
      </c>
      <c r="F2261" s="29">
        <f>ROUND(((SUMIFS(Calendar!$F$2:$F$9997,Calendar!$B$2:$B$9997,D2261,Calendar!$C$2:$C$9997,C2261)*INDEX(ForeCalc!$B$37:$Y$274,MATCH(_xlfn.CONCAT(H2261," ",I2261),ForeCalc!$A$37:$A$274,0),MATCH(_xlfn.CONCAT(B2261," ",E2261),ForeCalc!$B$36:$Y$36,0))))*VLOOKUP(A2261,Calendar!$A$2:$H$9997,8,FALSE),0)</f>
        <v/>
      </c>
      <c r="G2261" s="29">
        <f>VLOOKUP(A2261,Calendar!$A$1:$H$9997,6,FALSE)-F2261</f>
        <v/>
      </c>
      <c r="H2261" s="19" t="n">
        <v>1</v>
      </c>
      <c r="I2261" s="57" t="n">
        <v>3</v>
      </c>
    </row>
    <row r="2262">
      <c r="A2262" s="62" t="n">
        <v>46181</v>
      </c>
      <c r="B2262" s="3" t="inlineStr">
        <is>
          <t>Week</t>
        </is>
      </c>
      <c r="C2262" s="19" t="n">
        <v>6</v>
      </c>
      <c r="D2262" s="19" t="n">
        <v>2026</v>
      </c>
      <c r="E2262" s="57" t="n">
        <v>3</v>
      </c>
      <c r="F2262" s="29">
        <f>ROUND(((SUMIFS(Calendar!$F$2:$F$9997,Calendar!$B$2:$B$9997,D2262,Calendar!$C$2:$C$9997,C2262)*INDEX(ForeCalc!$B$37:$Y$274,MATCH(_xlfn.CONCAT(H2262," ",I2262),ForeCalc!$A$37:$A$274,0),MATCH(_xlfn.CONCAT(B2262," ",E2262),ForeCalc!$B$36:$Y$36,0))))*VLOOKUP(A2262,Calendar!$A$2:$H$9997,8,FALSE),0)</f>
        <v/>
      </c>
      <c r="G2262" s="29">
        <f>VLOOKUP(A2262,Calendar!$A$1:$H$9997,6,FALSE)-F2262</f>
        <v/>
      </c>
      <c r="H2262" s="19" t="n">
        <v>1</v>
      </c>
      <c r="I2262" s="57" t="n">
        <v>3</v>
      </c>
    </row>
    <row r="2263">
      <c r="A2263" s="62" t="n">
        <v>46182</v>
      </c>
      <c r="B2263" s="3" t="inlineStr">
        <is>
          <t>Week</t>
        </is>
      </c>
      <c r="C2263" s="19" t="n">
        <v>6</v>
      </c>
      <c r="D2263" s="19" t="n">
        <v>2026</v>
      </c>
      <c r="E2263" s="57" t="n">
        <v>3</v>
      </c>
      <c r="F2263" s="29">
        <f>ROUND(((SUMIFS(Calendar!$F$2:$F$9997,Calendar!$B$2:$B$9997,D2263,Calendar!$C$2:$C$9997,C2263)*INDEX(ForeCalc!$B$37:$Y$274,MATCH(_xlfn.CONCAT(H2263," ",I2263),ForeCalc!$A$37:$A$274,0),MATCH(_xlfn.CONCAT(B2263," ",E2263),ForeCalc!$B$36:$Y$36,0))))*VLOOKUP(A2263,Calendar!$A$2:$H$9997,8,FALSE),0)</f>
        <v/>
      </c>
      <c r="G2263" s="29">
        <f>VLOOKUP(A2263,Calendar!$A$1:$H$9997,6,FALSE)-F2263</f>
        <v/>
      </c>
      <c r="H2263" s="19" t="n">
        <v>1</v>
      </c>
      <c r="I2263" s="57" t="n">
        <v>3</v>
      </c>
    </row>
    <row r="2264">
      <c r="A2264" s="62" t="n">
        <v>46183</v>
      </c>
      <c r="B2264" s="3" t="inlineStr">
        <is>
          <t>Week</t>
        </is>
      </c>
      <c r="C2264" s="19" t="n">
        <v>6</v>
      </c>
      <c r="D2264" s="19" t="n">
        <v>2026</v>
      </c>
      <c r="E2264" s="57" t="n">
        <v>3</v>
      </c>
      <c r="F2264" s="29">
        <f>ROUND(((SUMIFS(Calendar!$F$2:$F$9997,Calendar!$B$2:$B$9997,D2264,Calendar!$C$2:$C$9997,C2264)*INDEX(ForeCalc!$B$37:$Y$274,MATCH(_xlfn.CONCAT(H2264," ",I2264),ForeCalc!$A$37:$A$274,0),MATCH(_xlfn.CONCAT(B2264," ",E2264),ForeCalc!$B$36:$Y$36,0))))*VLOOKUP(A2264,Calendar!$A$2:$H$9997,8,FALSE),0)</f>
        <v/>
      </c>
      <c r="G2264" s="29">
        <f>VLOOKUP(A2264,Calendar!$A$1:$H$9997,6,FALSE)-F2264</f>
        <v/>
      </c>
      <c r="H2264" s="19" t="n">
        <v>1</v>
      </c>
      <c r="I2264" s="57" t="n">
        <v>3</v>
      </c>
    </row>
    <row r="2265">
      <c r="A2265" s="62" t="n">
        <v>46184</v>
      </c>
      <c r="B2265" s="3" t="inlineStr">
        <is>
          <t>Week</t>
        </is>
      </c>
      <c r="C2265" s="19" t="n">
        <v>6</v>
      </c>
      <c r="D2265" s="19" t="n">
        <v>2026</v>
      </c>
      <c r="E2265" s="57" t="n">
        <v>3</v>
      </c>
      <c r="F2265" s="29">
        <f>ROUND(((SUMIFS(Calendar!$F$2:$F$9997,Calendar!$B$2:$B$9997,D2265,Calendar!$C$2:$C$9997,C2265)*INDEX(ForeCalc!$B$37:$Y$274,MATCH(_xlfn.CONCAT(H2265," ",I2265),ForeCalc!$A$37:$A$274,0),MATCH(_xlfn.CONCAT(B2265," ",E2265),ForeCalc!$B$36:$Y$36,0))))*VLOOKUP(A2265,Calendar!$A$2:$H$9997,8,FALSE),0)</f>
        <v/>
      </c>
      <c r="G2265" s="29">
        <f>VLOOKUP(A2265,Calendar!$A$1:$H$9997,6,FALSE)-F2265</f>
        <v/>
      </c>
      <c r="H2265" s="19" t="n">
        <v>1</v>
      </c>
      <c r="I2265" s="57" t="n">
        <v>3</v>
      </c>
    </row>
    <row r="2266">
      <c r="A2266" s="62" t="n">
        <v>46185</v>
      </c>
      <c r="B2266" s="3" t="inlineStr">
        <is>
          <t>Week</t>
        </is>
      </c>
      <c r="C2266" s="19" t="n">
        <v>6</v>
      </c>
      <c r="D2266" s="19" t="n">
        <v>2026</v>
      </c>
      <c r="E2266" s="57" t="n">
        <v>3</v>
      </c>
      <c r="F2266" s="29">
        <f>ROUND(((SUMIFS(Calendar!$F$2:$F$9997,Calendar!$B$2:$B$9997,D2266,Calendar!$C$2:$C$9997,C2266)*INDEX(ForeCalc!$B$37:$Y$274,MATCH(_xlfn.CONCAT(H2266," ",I2266),ForeCalc!$A$37:$A$274,0),MATCH(_xlfn.CONCAT(B2266," ",E2266),ForeCalc!$B$36:$Y$36,0))))*VLOOKUP(A2266,Calendar!$A$2:$H$9997,8,FALSE),0)</f>
        <v/>
      </c>
      <c r="G2266" s="29">
        <f>VLOOKUP(A2266,Calendar!$A$1:$H$9997,6,FALSE)-F2266</f>
        <v/>
      </c>
      <c r="H2266" s="19" t="n">
        <v>1</v>
      </c>
      <c r="I2266" s="57" t="n">
        <v>3</v>
      </c>
    </row>
    <row r="2267">
      <c r="A2267" s="62" t="n">
        <v>46186</v>
      </c>
      <c r="B2267" s="3" t="inlineStr">
        <is>
          <t>Sat</t>
        </is>
      </c>
      <c r="C2267" s="19" t="n">
        <v>6</v>
      </c>
      <c r="D2267" s="19" t="n">
        <v>2026</v>
      </c>
      <c r="E2267" s="57" t="n">
        <v>3</v>
      </c>
      <c r="F2267" s="29">
        <f>ROUND(((SUMIFS(Calendar!$F$2:$F$9997,Calendar!$B$2:$B$9997,D2267,Calendar!$C$2:$C$9997,C2267)*INDEX(ForeCalc!$B$37:$Y$274,MATCH(_xlfn.CONCAT(H2267," ",I2267),ForeCalc!$A$37:$A$274,0),MATCH(_xlfn.CONCAT(B2267," ",E2267),ForeCalc!$B$36:$Y$36,0))))*VLOOKUP(A2267,Calendar!$A$2:$H$9997,8,FALSE),0)</f>
        <v/>
      </c>
      <c r="G2267" s="29">
        <f>VLOOKUP(A2267,Calendar!$A$1:$H$9997,6,FALSE)-F2267</f>
        <v/>
      </c>
      <c r="H2267" s="19" t="n">
        <v>1</v>
      </c>
      <c r="I2267" s="57" t="n">
        <v>3</v>
      </c>
    </row>
    <row r="2268">
      <c r="A2268" s="62" t="n">
        <v>46187</v>
      </c>
      <c r="B2268" s="3" t="inlineStr">
        <is>
          <t>Sun</t>
        </is>
      </c>
      <c r="C2268" s="19" t="n">
        <v>6</v>
      </c>
      <c r="D2268" s="19" t="n">
        <v>2026</v>
      </c>
      <c r="E2268" s="57" t="n">
        <v>3</v>
      </c>
      <c r="F2268" s="29">
        <f>ROUND(((SUMIFS(Calendar!$F$2:$F$9997,Calendar!$B$2:$B$9997,D2268,Calendar!$C$2:$C$9997,C2268)*INDEX(ForeCalc!$B$37:$Y$274,MATCH(_xlfn.CONCAT(H2268," ",I2268),ForeCalc!$A$37:$A$274,0),MATCH(_xlfn.CONCAT(B2268," ",E2268),ForeCalc!$B$36:$Y$36,0))))*VLOOKUP(A2268,Calendar!$A$2:$H$9997,8,FALSE),0)</f>
        <v/>
      </c>
      <c r="G2268" s="29">
        <f>VLOOKUP(A2268,Calendar!$A$1:$H$9997,6,FALSE)-F2268</f>
        <v/>
      </c>
      <c r="H2268" s="19" t="n">
        <v>1</v>
      </c>
      <c r="I2268" s="57" t="n">
        <v>3</v>
      </c>
    </row>
    <row r="2269">
      <c r="A2269" s="62" t="n">
        <v>46188</v>
      </c>
      <c r="B2269" s="3" t="inlineStr">
        <is>
          <t>Week</t>
        </is>
      </c>
      <c r="C2269" s="19" t="n">
        <v>6</v>
      </c>
      <c r="D2269" s="19" t="n">
        <v>2026</v>
      </c>
      <c r="E2269" s="57" t="n">
        <v>3</v>
      </c>
      <c r="F2269" s="29">
        <f>ROUND(((SUMIFS(Calendar!$F$2:$F$9997,Calendar!$B$2:$B$9997,D2269,Calendar!$C$2:$C$9997,C2269)*INDEX(ForeCalc!$B$37:$Y$274,MATCH(_xlfn.CONCAT(H2269," ",I2269),ForeCalc!$A$37:$A$274,0),MATCH(_xlfn.CONCAT(B2269," ",E2269),ForeCalc!$B$36:$Y$36,0))))*VLOOKUP(A2269,Calendar!$A$2:$H$9997,8,FALSE),0)</f>
        <v/>
      </c>
      <c r="G2269" s="29">
        <f>VLOOKUP(A2269,Calendar!$A$1:$H$9997,6,FALSE)-F2269</f>
        <v/>
      </c>
      <c r="H2269" s="19" t="n">
        <v>1</v>
      </c>
      <c r="I2269" s="57" t="n">
        <v>3</v>
      </c>
    </row>
    <row r="2270">
      <c r="A2270" s="62" t="n">
        <v>46189</v>
      </c>
      <c r="B2270" s="3" t="inlineStr">
        <is>
          <t>Week</t>
        </is>
      </c>
      <c r="C2270" s="19" t="n">
        <v>6</v>
      </c>
      <c r="D2270" s="19" t="n">
        <v>2026</v>
      </c>
      <c r="E2270" s="57" t="n">
        <v>3</v>
      </c>
      <c r="F2270" s="29">
        <f>ROUND(((SUMIFS(Calendar!$F$2:$F$9997,Calendar!$B$2:$B$9997,D2270,Calendar!$C$2:$C$9997,C2270)*INDEX(ForeCalc!$B$37:$Y$274,MATCH(_xlfn.CONCAT(H2270," ",I2270),ForeCalc!$A$37:$A$274,0),MATCH(_xlfn.CONCAT(B2270," ",E2270),ForeCalc!$B$36:$Y$36,0))))*VLOOKUP(A2270,Calendar!$A$2:$H$9997,8,FALSE),0)</f>
        <v/>
      </c>
      <c r="G2270" s="29">
        <f>VLOOKUP(A2270,Calendar!$A$1:$H$9997,6,FALSE)-F2270</f>
        <v/>
      </c>
      <c r="H2270" s="19" t="n">
        <v>1</v>
      </c>
      <c r="I2270" s="57" t="n">
        <v>3</v>
      </c>
    </row>
    <row r="2271">
      <c r="A2271" s="62" t="n">
        <v>46190</v>
      </c>
      <c r="B2271" s="3" t="inlineStr">
        <is>
          <t>Week</t>
        </is>
      </c>
      <c r="C2271" s="19" t="n">
        <v>6</v>
      </c>
      <c r="D2271" s="19" t="n">
        <v>2026</v>
      </c>
      <c r="E2271" s="57" t="n">
        <v>3</v>
      </c>
      <c r="F2271" s="29">
        <f>ROUND(((SUMIFS(Calendar!$F$2:$F$9997,Calendar!$B$2:$B$9997,D2271,Calendar!$C$2:$C$9997,C2271)*INDEX(ForeCalc!$B$37:$Y$274,MATCH(_xlfn.CONCAT(H2271," ",I2271),ForeCalc!$A$37:$A$274,0),MATCH(_xlfn.CONCAT(B2271," ",E2271),ForeCalc!$B$36:$Y$36,0))))*VLOOKUP(A2271,Calendar!$A$2:$H$9997,8,FALSE),0)</f>
        <v/>
      </c>
      <c r="G2271" s="29">
        <f>VLOOKUP(A2271,Calendar!$A$1:$H$9997,6,FALSE)-F2271</f>
        <v/>
      </c>
      <c r="H2271" s="19" t="n">
        <v>1</v>
      </c>
      <c r="I2271" s="57" t="n">
        <v>3</v>
      </c>
    </row>
    <row r="2272">
      <c r="A2272" s="62" t="n">
        <v>46191</v>
      </c>
      <c r="B2272" s="3" t="inlineStr">
        <is>
          <t>Week</t>
        </is>
      </c>
      <c r="C2272" s="19" t="n">
        <v>6</v>
      </c>
      <c r="D2272" s="19" t="n">
        <v>2026</v>
      </c>
      <c r="E2272" s="57" t="n">
        <v>3</v>
      </c>
      <c r="F2272" s="29">
        <f>ROUND(((SUMIFS(Calendar!$F$2:$F$9997,Calendar!$B$2:$B$9997,D2272,Calendar!$C$2:$C$9997,C2272)*INDEX(ForeCalc!$B$37:$Y$274,MATCH(_xlfn.CONCAT(H2272," ",I2272),ForeCalc!$A$37:$A$274,0),MATCH(_xlfn.CONCAT(B2272," ",E2272),ForeCalc!$B$36:$Y$36,0))))*VLOOKUP(A2272,Calendar!$A$2:$H$9997,8,FALSE),0)</f>
        <v/>
      </c>
      <c r="G2272" s="29">
        <f>VLOOKUP(A2272,Calendar!$A$1:$H$9997,6,FALSE)-F2272</f>
        <v/>
      </c>
      <c r="H2272" s="19" t="n">
        <v>1</v>
      </c>
      <c r="I2272" s="57" t="n">
        <v>3</v>
      </c>
    </row>
    <row r="2273">
      <c r="A2273" s="62" t="n">
        <v>46192</v>
      </c>
      <c r="B2273" s="3" t="inlineStr">
        <is>
          <t>Week</t>
        </is>
      </c>
      <c r="C2273" s="19" t="n">
        <v>6</v>
      </c>
      <c r="D2273" s="19" t="n">
        <v>2026</v>
      </c>
      <c r="E2273" s="57" t="n">
        <v>3</v>
      </c>
      <c r="F2273" s="29">
        <f>ROUND(((SUMIFS(Calendar!$F$2:$F$9997,Calendar!$B$2:$B$9997,D2273,Calendar!$C$2:$C$9997,C2273)*INDEX(ForeCalc!$B$37:$Y$274,MATCH(_xlfn.CONCAT(H2273," ",I2273),ForeCalc!$A$37:$A$274,0),MATCH(_xlfn.CONCAT(B2273," ",E2273),ForeCalc!$B$36:$Y$36,0))))*VLOOKUP(A2273,Calendar!$A$2:$H$9997,8,FALSE),0)</f>
        <v/>
      </c>
      <c r="G2273" s="29">
        <f>VLOOKUP(A2273,Calendar!$A$1:$H$9997,6,FALSE)-F2273</f>
        <v/>
      </c>
      <c r="H2273" s="19" t="n">
        <v>1</v>
      </c>
      <c r="I2273" s="57" t="n">
        <v>3</v>
      </c>
    </row>
    <row r="2274">
      <c r="A2274" s="62" t="n">
        <v>46193</v>
      </c>
      <c r="B2274" s="3" t="inlineStr">
        <is>
          <t>Sat</t>
        </is>
      </c>
      <c r="C2274" s="19" t="n">
        <v>6</v>
      </c>
      <c r="D2274" s="19" t="n">
        <v>2026</v>
      </c>
      <c r="E2274" s="57" t="n">
        <v>3</v>
      </c>
      <c r="F2274" s="29">
        <f>ROUND(((SUMIFS(Calendar!$F$2:$F$9997,Calendar!$B$2:$B$9997,D2274,Calendar!$C$2:$C$9997,C2274)*INDEX(ForeCalc!$B$37:$Y$274,MATCH(_xlfn.CONCAT(H2274," ",I2274),ForeCalc!$A$37:$A$274,0),MATCH(_xlfn.CONCAT(B2274," ",E2274),ForeCalc!$B$36:$Y$36,0))))*VLOOKUP(A2274,Calendar!$A$2:$H$9997,8,FALSE),0)</f>
        <v/>
      </c>
      <c r="G2274" s="29">
        <f>VLOOKUP(A2274,Calendar!$A$1:$H$9997,6,FALSE)-F2274</f>
        <v/>
      </c>
      <c r="H2274" s="19" t="n">
        <v>1</v>
      </c>
      <c r="I2274" s="57" t="n">
        <v>3</v>
      </c>
    </row>
    <row r="2275">
      <c r="A2275" s="62" t="n">
        <v>46194</v>
      </c>
      <c r="B2275" s="3" t="inlineStr">
        <is>
          <t>Sun</t>
        </is>
      </c>
      <c r="C2275" s="19" t="n">
        <v>6</v>
      </c>
      <c r="D2275" s="19" t="n">
        <v>2026</v>
      </c>
      <c r="E2275" s="57" t="n">
        <v>3</v>
      </c>
      <c r="F2275" s="29">
        <f>ROUND(((SUMIFS(Calendar!$F$2:$F$9997,Calendar!$B$2:$B$9997,D2275,Calendar!$C$2:$C$9997,C2275)*INDEX(ForeCalc!$B$37:$Y$274,MATCH(_xlfn.CONCAT(H2275," ",I2275),ForeCalc!$A$37:$A$274,0),MATCH(_xlfn.CONCAT(B2275," ",E2275),ForeCalc!$B$36:$Y$36,0))))*VLOOKUP(A2275,Calendar!$A$2:$H$9997,8,FALSE),0)</f>
        <v/>
      </c>
      <c r="G2275" s="29">
        <f>VLOOKUP(A2275,Calendar!$A$1:$H$9997,6,FALSE)-F2275</f>
        <v/>
      </c>
      <c r="H2275" s="19" t="n">
        <v>1</v>
      </c>
      <c r="I2275" s="57" t="n">
        <v>3</v>
      </c>
    </row>
    <row r="2276">
      <c r="A2276" s="62" t="n">
        <v>46195</v>
      </c>
      <c r="B2276" s="3" t="inlineStr">
        <is>
          <t>Week</t>
        </is>
      </c>
      <c r="C2276" s="19" t="n">
        <v>6</v>
      </c>
      <c r="D2276" s="19" t="n">
        <v>2026</v>
      </c>
      <c r="E2276" s="57" t="n">
        <v>3</v>
      </c>
      <c r="F2276" s="29">
        <f>ROUND(((SUMIFS(Calendar!$F$2:$F$9997,Calendar!$B$2:$B$9997,D2276,Calendar!$C$2:$C$9997,C2276)*INDEX(ForeCalc!$B$37:$Y$274,MATCH(_xlfn.CONCAT(H2276," ",I2276),ForeCalc!$A$37:$A$274,0),MATCH(_xlfn.CONCAT(B2276," ",E2276),ForeCalc!$B$36:$Y$36,0))))*VLOOKUP(A2276,Calendar!$A$2:$H$9997,8,FALSE),0)</f>
        <v/>
      </c>
      <c r="G2276" s="29">
        <f>VLOOKUP(A2276,Calendar!$A$1:$H$9997,6,FALSE)-F2276</f>
        <v/>
      </c>
      <c r="H2276" s="19" t="n">
        <v>1</v>
      </c>
      <c r="I2276" s="57" t="n">
        <v>3</v>
      </c>
    </row>
    <row r="2277">
      <c r="A2277" s="62" t="n">
        <v>46196</v>
      </c>
      <c r="B2277" s="3" t="inlineStr">
        <is>
          <t>Week</t>
        </is>
      </c>
      <c r="C2277" s="19" t="n">
        <v>6</v>
      </c>
      <c r="D2277" s="19" t="n">
        <v>2026</v>
      </c>
      <c r="E2277" s="57" t="n">
        <v>3</v>
      </c>
      <c r="F2277" s="29">
        <f>ROUND(((SUMIFS(Calendar!$F$2:$F$9997,Calendar!$B$2:$B$9997,D2277,Calendar!$C$2:$C$9997,C2277)*INDEX(ForeCalc!$B$37:$Y$274,MATCH(_xlfn.CONCAT(H2277," ",I2277),ForeCalc!$A$37:$A$274,0),MATCH(_xlfn.CONCAT(B2277," ",E2277),ForeCalc!$B$36:$Y$36,0))))*VLOOKUP(A2277,Calendar!$A$2:$H$9997,8,FALSE),0)</f>
        <v/>
      </c>
      <c r="G2277" s="29">
        <f>VLOOKUP(A2277,Calendar!$A$1:$H$9997,6,FALSE)-F2277</f>
        <v/>
      </c>
      <c r="H2277" s="19" t="n">
        <v>1</v>
      </c>
      <c r="I2277" s="57" t="n">
        <v>3</v>
      </c>
    </row>
    <row r="2278">
      <c r="A2278" s="62" t="n">
        <v>46197</v>
      </c>
      <c r="B2278" s="3" t="inlineStr">
        <is>
          <t>Week</t>
        </is>
      </c>
      <c r="C2278" s="19" t="n">
        <v>6</v>
      </c>
      <c r="D2278" s="19" t="n">
        <v>2026</v>
      </c>
      <c r="E2278" s="57" t="n">
        <v>3</v>
      </c>
      <c r="F2278" s="29">
        <f>ROUND(((SUMIFS(Calendar!$F$2:$F$9997,Calendar!$B$2:$B$9997,D2278,Calendar!$C$2:$C$9997,C2278)*INDEX(ForeCalc!$B$37:$Y$274,MATCH(_xlfn.CONCAT(H2278," ",I2278),ForeCalc!$A$37:$A$274,0),MATCH(_xlfn.CONCAT(B2278," ",E2278),ForeCalc!$B$36:$Y$36,0))))*VLOOKUP(A2278,Calendar!$A$2:$H$9997,8,FALSE),0)</f>
        <v/>
      </c>
      <c r="G2278" s="29">
        <f>VLOOKUP(A2278,Calendar!$A$1:$H$9997,6,FALSE)-F2278</f>
        <v/>
      </c>
      <c r="H2278" s="19" t="n">
        <v>1</v>
      </c>
      <c r="I2278" s="57" t="n">
        <v>3</v>
      </c>
    </row>
    <row r="2279">
      <c r="A2279" s="62" t="n">
        <v>46198</v>
      </c>
      <c r="B2279" s="3" t="inlineStr">
        <is>
          <t>Week</t>
        </is>
      </c>
      <c r="C2279" s="19" t="n">
        <v>6</v>
      </c>
      <c r="D2279" s="19" t="n">
        <v>2026</v>
      </c>
      <c r="E2279" s="57" t="n">
        <v>3</v>
      </c>
      <c r="F2279" s="29">
        <f>ROUND(((SUMIFS(Calendar!$F$2:$F$9997,Calendar!$B$2:$B$9997,D2279,Calendar!$C$2:$C$9997,C2279)*INDEX(ForeCalc!$B$37:$Y$274,MATCH(_xlfn.CONCAT(H2279," ",I2279),ForeCalc!$A$37:$A$274,0),MATCH(_xlfn.CONCAT(B2279," ",E2279),ForeCalc!$B$36:$Y$36,0))))*VLOOKUP(A2279,Calendar!$A$2:$H$9997,8,FALSE),0)</f>
        <v/>
      </c>
      <c r="G2279" s="29">
        <f>VLOOKUP(A2279,Calendar!$A$1:$H$9997,6,FALSE)-F2279</f>
        <v/>
      </c>
      <c r="H2279" s="19" t="n">
        <v>1</v>
      </c>
      <c r="I2279" s="57" t="n">
        <v>3</v>
      </c>
    </row>
    <row r="2280">
      <c r="A2280" s="62" t="n">
        <v>46199</v>
      </c>
      <c r="B2280" s="3" t="inlineStr">
        <is>
          <t>Week</t>
        </is>
      </c>
      <c r="C2280" s="19" t="n">
        <v>6</v>
      </c>
      <c r="D2280" s="19" t="n">
        <v>2026</v>
      </c>
      <c r="E2280" s="57" t="n">
        <v>3</v>
      </c>
      <c r="F2280" s="29">
        <f>ROUND(((SUMIFS(Calendar!$F$2:$F$9997,Calendar!$B$2:$B$9997,D2280,Calendar!$C$2:$C$9997,C2280)*INDEX(ForeCalc!$B$37:$Y$274,MATCH(_xlfn.CONCAT(H2280," ",I2280),ForeCalc!$A$37:$A$274,0),MATCH(_xlfn.CONCAT(B2280," ",E2280),ForeCalc!$B$36:$Y$36,0))))*VLOOKUP(A2280,Calendar!$A$2:$H$9997,8,FALSE),0)</f>
        <v/>
      </c>
      <c r="G2280" s="29">
        <f>VLOOKUP(A2280,Calendar!$A$1:$H$9997,6,FALSE)-F2280</f>
        <v/>
      </c>
      <c r="H2280" s="19" t="n">
        <v>1</v>
      </c>
      <c r="I2280" s="57" t="n">
        <v>3</v>
      </c>
    </row>
    <row r="2281">
      <c r="A2281" s="62" t="n">
        <v>46200</v>
      </c>
      <c r="B2281" s="3" t="inlineStr">
        <is>
          <t>Sat</t>
        </is>
      </c>
      <c r="C2281" s="19" t="n">
        <v>6</v>
      </c>
      <c r="D2281" s="19" t="n">
        <v>2026</v>
      </c>
      <c r="E2281" s="57" t="n">
        <v>3</v>
      </c>
      <c r="F2281" s="29">
        <f>ROUND(((SUMIFS(Calendar!$F$2:$F$9997,Calendar!$B$2:$B$9997,D2281,Calendar!$C$2:$C$9997,C2281)*INDEX(ForeCalc!$B$37:$Y$274,MATCH(_xlfn.CONCAT(H2281," ",I2281),ForeCalc!$A$37:$A$274,0),MATCH(_xlfn.CONCAT(B2281," ",E2281),ForeCalc!$B$36:$Y$36,0))))*VLOOKUP(A2281,Calendar!$A$2:$H$9997,8,FALSE),0)</f>
        <v/>
      </c>
      <c r="G2281" s="29">
        <f>VLOOKUP(A2281,Calendar!$A$1:$H$9997,6,FALSE)-F2281</f>
        <v/>
      </c>
      <c r="H2281" s="19" t="n">
        <v>1</v>
      </c>
      <c r="I2281" s="57" t="n">
        <v>3</v>
      </c>
    </row>
    <row r="2282">
      <c r="A2282" s="62" t="n">
        <v>46201</v>
      </c>
      <c r="B2282" s="3" t="inlineStr">
        <is>
          <t>Sun</t>
        </is>
      </c>
      <c r="C2282" s="19" t="n">
        <v>6</v>
      </c>
      <c r="D2282" s="19" t="n">
        <v>2026</v>
      </c>
      <c r="E2282" s="57" t="n">
        <v>3</v>
      </c>
      <c r="F2282" s="29">
        <f>ROUND(((SUMIFS(Calendar!$F$2:$F$9997,Calendar!$B$2:$B$9997,D2282,Calendar!$C$2:$C$9997,C2282)*INDEX(ForeCalc!$B$37:$Y$274,MATCH(_xlfn.CONCAT(H2282," ",I2282),ForeCalc!$A$37:$A$274,0),MATCH(_xlfn.CONCAT(B2282," ",E2282),ForeCalc!$B$36:$Y$36,0))))*VLOOKUP(A2282,Calendar!$A$2:$H$9997,8,FALSE),0)</f>
        <v/>
      </c>
      <c r="G2282" s="29">
        <f>VLOOKUP(A2282,Calendar!$A$1:$H$9997,6,FALSE)-F2282</f>
        <v/>
      </c>
      <c r="H2282" s="19" t="n">
        <v>1</v>
      </c>
      <c r="I2282" s="57" t="n">
        <v>3</v>
      </c>
    </row>
    <row r="2283">
      <c r="A2283" s="62" t="n">
        <v>46202</v>
      </c>
      <c r="B2283" s="3" t="inlineStr">
        <is>
          <t>Week</t>
        </is>
      </c>
      <c r="C2283" s="19" t="n">
        <v>6</v>
      </c>
      <c r="D2283" s="19" t="n">
        <v>2026</v>
      </c>
      <c r="E2283" s="57" t="n">
        <v>3</v>
      </c>
      <c r="F2283" s="29">
        <f>ROUND(((SUMIFS(Calendar!$F$2:$F$9997,Calendar!$B$2:$B$9997,D2283,Calendar!$C$2:$C$9997,C2283)*INDEX(ForeCalc!$B$37:$Y$274,MATCH(_xlfn.CONCAT(H2283," ",I2283),ForeCalc!$A$37:$A$274,0),MATCH(_xlfn.CONCAT(B2283," ",E2283),ForeCalc!$B$36:$Y$36,0))))*VLOOKUP(A2283,Calendar!$A$2:$H$9997,8,FALSE),0)</f>
        <v/>
      </c>
      <c r="G2283" s="29">
        <f>VLOOKUP(A2283,Calendar!$A$1:$H$9997,6,FALSE)-F2283</f>
        <v/>
      </c>
      <c r="H2283" s="19" t="n">
        <v>1</v>
      </c>
      <c r="I2283" s="57" t="n">
        <v>3</v>
      </c>
    </row>
    <row r="2284">
      <c r="A2284" s="62" t="n">
        <v>46203</v>
      </c>
      <c r="B2284" s="3" t="inlineStr">
        <is>
          <t>Week</t>
        </is>
      </c>
      <c r="C2284" s="19" t="n">
        <v>6</v>
      </c>
      <c r="D2284" s="19" t="n">
        <v>2026</v>
      </c>
      <c r="E2284" s="57" t="n">
        <v>3</v>
      </c>
      <c r="F2284" s="29">
        <f>ROUND(((SUMIFS(Calendar!$F$2:$F$9997,Calendar!$B$2:$B$9997,D2284,Calendar!$C$2:$C$9997,C2284)*INDEX(ForeCalc!$B$37:$Y$274,MATCH(_xlfn.CONCAT(H2284," ",I2284),ForeCalc!$A$37:$A$274,0),MATCH(_xlfn.CONCAT(B2284," ",E2284),ForeCalc!$B$36:$Y$36,0))))*VLOOKUP(A2284,Calendar!$A$2:$H$9997,8,FALSE),0)</f>
        <v/>
      </c>
      <c r="G2284" s="29">
        <f>VLOOKUP(A2284,Calendar!$A$1:$H$9997,6,FALSE)-F2284</f>
        <v/>
      </c>
      <c r="H2284" s="19" t="n">
        <v>1</v>
      </c>
      <c r="I2284" s="57" t="n">
        <v>3</v>
      </c>
    </row>
    <row r="2285">
      <c r="A2285" s="62" t="n">
        <v>46204</v>
      </c>
      <c r="B2285" s="3" t="inlineStr">
        <is>
          <t>Week</t>
        </is>
      </c>
      <c r="C2285" s="19" t="n">
        <v>7</v>
      </c>
      <c r="D2285" s="19" t="n">
        <v>2026</v>
      </c>
      <c r="E2285" s="57" t="n">
        <v>3</v>
      </c>
      <c r="F2285" s="29">
        <f>ROUND(((SUMIFS(Calendar!$F$2:$F$9997,Calendar!$B$2:$B$9997,D2285,Calendar!$C$2:$C$9997,C2285)*INDEX(ForeCalc!$B$37:$Y$274,MATCH(_xlfn.CONCAT(H2285," ",I2285),ForeCalc!$A$37:$A$274,0),MATCH(_xlfn.CONCAT(B2285," ",E2285),ForeCalc!$B$36:$Y$36,0))))*VLOOKUP(A2285,Calendar!$A$2:$H$9997,8,FALSE),0)</f>
        <v/>
      </c>
      <c r="G2285" s="29">
        <f>VLOOKUP(A2285,Calendar!$A$1:$H$9997,6,FALSE)-F2285</f>
        <v/>
      </c>
      <c r="H2285" s="19" t="n">
        <v>1</v>
      </c>
      <c r="I2285" s="57" t="n">
        <v>4</v>
      </c>
    </row>
    <row r="2286">
      <c r="A2286" s="62" t="n">
        <v>46205</v>
      </c>
      <c r="B2286" s="3" t="inlineStr">
        <is>
          <t>Week</t>
        </is>
      </c>
      <c r="C2286" s="19" t="n">
        <v>7</v>
      </c>
      <c r="D2286" s="19" t="n">
        <v>2026</v>
      </c>
      <c r="E2286" s="57" t="n">
        <v>3</v>
      </c>
      <c r="F2286" s="29">
        <f>ROUND(((SUMIFS(Calendar!$F$2:$F$9997,Calendar!$B$2:$B$9997,D2286,Calendar!$C$2:$C$9997,C2286)*INDEX(ForeCalc!$B$37:$Y$274,MATCH(_xlfn.CONCAT(H2286," ",I2286),ForeCalc!$A$37:$A$274,0),MATCH(_xlfn.CONCAT(B2286," ",E2286),ForeCalc!$B$36:$Y$36,0))))*VLOOKUP(A2286,Calendar!$A$2:$H$9997,8,FALSE),0)</f>
        <v/>
      </c>
      <c r="G2286" s="29">
        <f>VLOOKUP(A2286,Calendar!$A$1:$H$9997,6,FALSE)-F2286</f>
        <v/>
      </c>
      <c r="H2286" s="19" t="n">
        <v>1</v>
      </c>
      <c r="I2286" s="57" t="n">
        <v>4</v>
      </c>
    </row>
    <row r="2287">
      <c r="A2287" s="62" t="n">
        <v>46206</v>
      </c>
      <c r="B2287" s="3" t="inlineStr">
        <is>
          <t>Week</t>
        </is>
      </c>
      <c r="C2287" s="19" t="n">
        <v>7</v>
      </c>
      <c r="D2287" s="19" t="n">
        <v>2026</v>
      </c>
      <c r="E2287" s="57" t="n">
        <v>3</v>
      </c>
      <c r="F2287" s="29">
        <f>ROUND(((SUMIFS(Calendar!$F$2:$F$9997,Calendar!$B$2:$B$9997,D2287,Calendar!$C$2:$C$9997,C2287)*INDEX(ForeCalc!$B$37:$Y$274,MATCH(_xlfn.CONCAT(H2287," ",I2287),ForeCalc!$A$37:$A$274,0),MATCH(_xlfn.CONCAT(B2287," ",E2287),ForeCalc!$B$36:$Y$36,0))))*VLOOKUP(A2287,Calendar!$A$2:$H$9997,8,FALSE),0)</f>
        <v/>
      </c>
      <c r="G2287" s="29">
        <f>VLOOKUP(A2287,Calendar!$A$1:$H$9997,6,FALSE)-F2287</f>
        <v/>
      </c>
      <c r="H2287" s="19" t="n">
        <v>1</v>
      </c>
      <c r="I2287" s="57" t="n">
        <v>4</v>
      </c>
    </row>
    <row r="2288">
      <c r="A2288" s="62" t="n">
        <v>46207</v>
      </c>
      <c r="B2288" s="3" t="inlineStr">
        <is>
          <t>Sat</t>
        </is>
      </c>
      <c r="C2288" s="19" t="n">
        <v>7</v>
      </c>
      <c r="D2288" s="19" t="n">
        <v>2026</v>
      </c>
      <c r="E2288" s="57" t="n">
        <v>3</v>
      </c>
      <c r="F2288" s="29">
        <f>ROUND(((SUMIFS(Calendar!$F$2:$F$9997,Calendar!$B$2:$B$9997,D2288,Calendar!$C$2:$C$9997,C2288)*INDEX(ForeCalc!$B$37:$Y$274,MATCH(_xlfn.CONCAT(H2288," ",I2288),ForeCalc!$A$37:$A$274,0),MATCH(_xlfn.CONCAT(B2288," ",E2288),ForeCalc!$B$36:$Y$36,0))))*VLOOKUP(A2288,Calendar!$A$2:$H$9997,8,FALSE),0)</f>
        <v/>
      </c>
      <c r="G2288" s="29">
        <f>VLOOKUP(A2288,Calendar!$A$1:$H$9997,6,FALSE)-F2288</f>
        <v/>
      </c>
      <c r="H2288" s="19" t="n">
        <v>1</v>
      </c>
      <c r="I2288" s="57" t="n">
        <v>4</v>
      </c>
    </row>
    <row r="2289">
      <c r="A2289" s="62" t="n">
        <v>46208</v>
      </c>
      <c r="B2289" s="3" t="inlineStr">
        <is>
          <t>Sun</t>
        </is>
      </c>
      <c r="C2289" s="19" t="n">
        <v>7</v>
      </c>
      <c r="D2289" s="19" t="n">
        <v>2026</v>
      </c>
      <c r="E2289" s="57" t="n">
        <v>3</v>
      </c>
      <c r="F2289" s="29">
        <f>ROUND(((SUMIFS(Calendar!$F$2:$F$9997,Calendar!$B$2:$B$9997,D2289,Calendar!$C$2:$C$9997,C2289)*INDEX(ForeCalc!$B$37:$Y$274,MATCH(_xlfn.CONCAT(H2289," ",I2289),ForeCalc!$A$37:$A$274,0),MATCH(_xlfn.CONCAT(B2289," ",E2289),ForeCalc!$B$36:$Y$36,0))))*VLOOKUP(A2289,Calendar!$A$2:$H$9997,8,FALSE),0)</f>
        <v/>
      </c>
      <c r="G2289" s="29">
        <f>VLOOKUP(A2289,Calendar!$A$1:$H$9997,6,FALSE)-F2289</f>
        <v/>
      </c>
      <c r="H2289" s="19" t="n">
        <v>1</v>
      </c>
      <c r="I2289" s="57" t="n">
        <v>4</v>
      </c>
    </row>
    <row r="2290">
      <c r="A2290" s="62" t="n">
        <v>46209</v>
      </c>
      <c r="B2290" s="3" t="inlineStr">
        <is>
          <t>Week</t>
        </is>
      </c>
      <c r="C2290" s="19" t="n">
        <v>7</v>
      </c>
      <c r="D2290" s="19" t="n">
        <v>2026</v>
      </c>
      <c r="E2290" s="57" t="n">
        <v>3</v>
      </c>
      <c r="F2290" s="29">
        <f>ROUND(((SUMIFS(Calendar!$F$2:$F$9997,Calendar!$B$2:$B$9997,D2290,Calendar!$C$2:$C$9997,C2290)*INDEX(ForeCalc!$B$37:$Y$274,MATCH(_xlfn.CONCAT(H2290," ",I2290),ForeCalc!$A$37:$A$274,0),MATCH(_xlfn.CONCAT(B2290," ",E2290),ForeCalc!$B$36:$Y$36,0))))*VLOOKUP(A2290,Calendar!$A$2:$H$9997,8,FALSE),0)</f>
        <v/>
      </c>
      <c r="G2290" s="29">
        <f>VLOOKUP(A2290,Calendar!$A$1:$H$9997,6,FALSE)-F2290</f>
        <v/>
      </c>
      <c r="H2290" s="19" t="n">
        <v>1</v>
      </c>
      <c r="I2290" s="57" t="n">
        <v>4</v>
      </c>
    </row>
    <row r="2291">
      <c r="A2291" s="62" t="n">
        <v>46210</v>
      </c>
      <c r="B2291" s="3" t="inlineStr">
        <is>
          <t>Week</t>
        </is>
      </c>
      <c r="C2291" s="19" t="n">
        <v>7</v>
      </c>
      <c r="D2291" s="19" t="n">
        <v>2026</v>
      </c>
      <c r="E2291" s="57" t="n">
        <v>3</v>
      </c>
      <c r="F2291" s="29">
        <f>ROUND(((SUMIFS(Calendar!$F$2:$F$9997,Calendar!$B$2:$B$9997,D2291,Calendar!$C$2:$C$9997,C2291)*INDEX(ForeCalc!$B$37:$Y$274,MATCH(_xlfn.CONCAT(H2291," ",I2291),ForeCalc!$A$37:$A$274,0),MATCH(_xlfn.CONCAT(B2291," ",E2291),ForeCalc!$B$36:$Y$36,0))))*VLOOKUP(A2291,Calendar!$A$2:$H$9997,8,FALSE),0)</f>
        <v/>
      </c>
      <c r="G2291" s="29">
        <f>VLOOKUP(A2291,Calendar!$A$1:$H$9997,6,FALSE)-F2291</f>
        <v/>
      </c>
      <c r="H2291" s="19" t="n">
        <v>1</v>
      </c>
      <c r="I2291" s="57" t="n">
        <v>4</v>
      </c>
    </row>
    <row r="2292">
      <c r="A2292" s="62" t="n">
        <v>46211</v>
      </c>
      <c r="B2292" s="3" t="inlineStr">
        <is>
          <t>Week</t>
        </is>
      </c>
      <c r="C2292" s="19" t="n">
        <v>7</v>
      </c>
      <c r="D2292" s="19" t="n">
        <v>2026</v>
      </c>
      <c r="E2292" s="57" t="n">
        <v>3</v>
      </c>
      <c r="F2292" s="29">
        <f>ROUND(((SUMIFS(Calendar!$F$2:$F$9997,Calendar!$B$2:$B$9997,D2292,Calendar!$C$2:$C$9997,C2292)*INDEX(ForeCalc!$B$37:$Y$274,MATCH(_xlfn.CONCAT(H2292," ",I2292),ForeCalc!$A$37:$A$274,0),MATCH(_xlfn.CONCAT(B2292," ",E2292),ForeCalc!$B$36:$Y$36,0))))*VLOOKUP(A2292,Calendar!$A$2:$H$9997,8,FALSE),0)</f>
        <v/>
      </c>
      <c r="G2292" s="29">
        <f>VLOOKUP(A2292,Calendar!$A$1:$H$9997,6,FALSE)-F2292</f>
        <v/>
      </c>
      <c r="H2292" s="19" t="n">
        <v>1</v>
      </c>
      <c r="I2292" s="57" t="n">
        <v>4</v>
      </c>
    </row>
    <row r="2293">
      <c r="A2293" s="62" t="n">
        <v>46212</v>
      </c>
      <c r="B2293" s="3" t="inlineStr">
        <is>
          <t>Week</t>
        </is>
      </c>
      <c r="C2293" s="19" t="n">
        <v>7</v>
      </c>
      <c r="D2293" s="19" t="n">
        <v>2026</v>
      </c>
      <c r="E2293" s="57" t="n">
        <v>3</v>
      </c>
      <c r="F2293" s="29">
        <f>ROUND(((SUMIFS(Calendar!$F$2:$F$9997,Calendar!$B$2:$B$9997,D2293,Calendar!$C$2:$C$9997,C2293)*INDEX(ForeCalc!$B$37:$Y$274,MATCH(_xlfn.CONCAT(H2293," ",I2293),ForeCalc!$A$37:$A$274,0),MATCH(_xlfn.CONCAT(B2293," ",E2293),ForeCalc!$B$36:$Y$36,0))))*VLOOKUP(A2293,Calendar!$A$2:$H$9997,8,FALSE),0)</f>
        <v/>
      </c>
      <c r="G2293" s="29">
        <f>VLOOKUP(A2293,Calendar!$A$1:$H$9997,6,FALSE)-F2293</f>
        <v/>
      </c>
      <c r="H2293" s="19" t="n">
        <v>1</v>
      </c>
      <c r="I2293" s="57" t="n">
        <v>4</v>
      </c>
    </row>
    <row r="2294">
      <c r="A2294" s="62" t="n">
        <v>46213</v>
      </c>
      <c r="B2294" s="3" t="inlineStr">
        <is>
          <t>Week</t>
        </is>
      </c>
      <c r="C2294" s="19" t="n">
        <v>7</v>
      </c>
      <c r="D2294" s="19" t="n">
        <v>2026</v>
      </c>
      <c r="E2294" s="57" t="n">
        <v>3</v>
      </c>
      <c r="F2294" s="29">
        <f>ROUND(((SUMIFS(Calendar!$F$2:$F$9997,Calendar!$B$2:$B$9997,D2294,Calendar!$C$2:$C$9997,C2294)*INDEX(ForeCalc!$B$37:$Y$274,MATCH(_xlfn.CONCAT(H2294," ",I2294),ForeCalc!$A$37:$A$274,0),MATCH(_xlfn.CONCAT(B2294," ",E2294),ForeCalc!$B$36:$Y$36,0))))*VLOOKUP(A2294,Calendar!$A$2:$H$9997,8,FALSE),0)</f>
        <v/>
      </c>
      <c r="G2294" s="29">
        <f>VLOOKUP(A2294,Calendar!$A$1:$H$9997,6,FALSE)-F2294</f>
        <v/>
      </c>
      <c r="H2294" s="19" t="n">
        <v>1</v>
      </c>
      <c r="I2294" s="57" t="n">
        <v>4</v>
      </c>
    </row>
    <row r="2295">
      <c r="A2295" s="62" t="n">
        <v>46214</v>
      </c>
      <c r="B2295" s="3" t="inlineStr">
        <is>
          <t>Sat</t>
        </is>
      </c>
      <c r="C2295" s="19" t="n">
        <v>7</v>
      </c>
      <c r="D2295" s="19" t="n">
        <v>2026</v>
      </c>
      <c r="E2295" s="57" t="n">
        <v>3</v>
      </c>
      <c r="F2295" s="29">
        <f>ROUND(((SUMIFS(Calendar!$F$2:$F$9997,Calendar!$B$2:$B$9997,D2295,Calendar!$C$2:$C$9997,C2295)*INDEX(ForeCalc!$B$37:$Y$274,MATCH(_xlfn.CONCAT(H2295," ",I2295),ForeCalc!$A$37:$A$274,0),MATCH(_xlfn.CONCAT(B2295," ",E2295),ForeCalc!$B$36:$Y$36,0))))*VLOOKUP(A2295,Calendar!$A$2:$H$9997,8,FALSE),0)</f>
        <v/>
      </c>
      <c r="G2295" s="29">
        <f>VLOOKUP(A2295,Calendar!$A$1:$H$9997,6,FALSE)-F2295</f>
        <v/>
      </c>
      <c r="H2295" s="19" t="n">
        <v>1</v>
      </c>
      <c r="I2295" s="57" t="n">
        <v>4</v>
      </c>
    </row>
    <row r="2296">
      <c r="A2296" s="62" t="n">
        <v>46215</v>
      </c>
      <c r="B2296" s="3" t="inlineStr">
        <is>
          <t>Sun</t>
        </is>
      </c>
      <c r="C2296" s="19" t="n">
        <v>7</v>
      </c>
      <c r="D2296" s="19" t="n">
        <v>2026</v>
      </c>
      <c r="E2296" s="57" t="n">
        <v>3</v>
      </c>
      <c r="F2296" s="29">
        <f>ROUND(((SUMIFS(Calendar!$F$2:$F$9997,Calendar!$B$2:$B$9997,D2296,Calendar!$C$2:$C$9997,C2296)*INDEX(ForeCalc!$B$37:$Y$274,MATCH(_xlfn.CONCAT(H2296," ",I2296),ForeCalc!$A$37:$A$274,0),MATCH(_xlfn.CONCAT(B2296," ",E2296),ForeCalc!$B$36:$Y$36,0))))*VLOOKUP(A2296,Calendar!$A$2:$H$9997,8,FALSE),0)</f>
        <v/>
      </c>
      <c r="G2296" s="29">
        <f>VLOOKUP(A2296,Calendar!$A$1:$H$9997,6,FALSE)-F2296</f>
        <v/>
      </c>
      <c r="H2296" s="19" t="n">
        <v>1</v>
      </c>
      <c r="I2296" s="57" t="n">
        <v>4</v>
      </c>
    </row>
    <row r="2297">
      <c r="A2297" s="62" t="n">
        <v>46216</v>
      </c>
      <c r="B2297" s="3" t="inlineStr">
        <is>
          <t>Week</t>
        </is>
      </c>
      <c r="C2297" s="19" t="n">
        <v>7</v>
      </c>
      <c r="D2297" s="19" t="n">
        <v>2026</v>
      </c>
      <c r="E2297" s="57" t="n">
        <v>3</v>
      </c>
      <c r="F2297" s="29">
        <f>ROUND(((SUMIFS(Calendar!$F$2:$F$9997,Calendar!$B$2:$B$9997,D2297,Calendar!$C$2:$C$9997,C2297)*INDEX(ForeCalc!$B$37:$Y$274,MATCH(_xlfn.CONCAT(H2297," ",I2297),ForeCalc!$A$37:$A$274,0),MATCH(_xlfn.CONCAT(B2297," ",E2297),ForeCalc!$B$36:$Y$36,0))))*VLOOKUP(A2297,Calendar!$A$2:$H$9997,8,FALSE),0)</f>
        <v/>
      </c>
      <c r="G2297" s="29">
        <f>VLOOKUP(A2297,Calendar!$A$1:$H$9997,6,FALSE)-F2297</f>
        <v/>
      </c>
      <c r="H2297" s="19" t="n">
        <v>1</v>
      </c>
      <c r="I2297" s="57" t="n">
        <v>4</v>
      </c>
    </row>
    <row r="2298">
      <c r="A2298" s="62" t="n">
        <v>46217</v>
      </c>
      <c r="B2298" s="3" t="inlineStr">
        <is>
          <t>Week</t>
        </is>
      </c>
      <c r="C2298" s="19" t="n">
        <v>7</v>
      </c>
      <c r="D2298" s="19" t="n">
        <v>2026</v>
      </c>
      <c r="E2298" s="57" t="n">
        <v>3</v>
      </c>
      <c r="F2298" s="29">
        <f>ROUND(((SUMIFS(Calendar!$F$2:$F$9997,Calendar!$B$2:$B$9997,D2298,Calendar!$C$2:$C$9997,C2298)*INDEX(ForeCalc!$B$37:$Y$274,MATCH(_xlfn.CONCAT(H2298," ",I2298),ForeCalc!$A$37:$A$274,0),MATCH(_xlfn.CONCAT(B2298," ",E2298),ForeCalc!$B$36:$Y$36,0))))*VLOOKUP(A2298,Calendar!$A$2:$H$9997,8,FALSE),0)</f>
        <v/>
      </c>
      <c r="G2298" s="29">
        <f>VLOOKUP(A2298,Calendar!$A$1:$H$9997,6,FALSE)-F2298</f>
        <v/>
      </c>
      <c r="H2298" s="19" t="n">
        <v>1</v>
      </c>
      <c r="I2298" s="57" t="n">
        <v>4</v>
      </c>
    </row>
    <row r="2299">
      <c r="A2299" s="62" t="n">
        <v>46218</v>
      </c>
      <c r="B2299" s="3" t="inlineStr">
        <is>
          <t>Week</t>
        </is>
      </c>
      <c r="C2299" s="19" t="n">
        <v>7</v>
      </c>
      <c r="D2299" s="19" t="n">
        <v>2026</v>
      </c>
      <c r="E2299" s="57" t="n">
        <v>3</v>
      </c>
      <c r="F2299" s="29">
        <f>ROUND(((SUMIFS(Calendar!$F$2:$F$9997,Calendar!$B$2:$B$9997,D2299,Calendar!$C$2:$C$9997,C2299)*INDEX(ForeCalc!$B$37:$Y$274,MATCH(_xlfn.CONCAT(H2299," ",I2299),ForeCalc!$A$37:$A$274,0),MATCH(_xlfn.CONCAT(B2299," ",E2299),ForeCalc!$B$36:$Y$36,0))))*VLOOKUP(A2299,Calendar!$A$2:$H$9997,8,FALSE),0)</f>
        <v/>
      </c>
      <c r="G2299" s="29">
        <f>VLOOKUP(A2299,Calendar!$A$1:$H$9997,6,FALSE)-F2299</f>
        <v/>
      </c>
      <c r="H2299" s="19" t="n">
        <v>1</v>
      </c>
      <c r="I2299" s="57" t="n">
        <v>4</v>
      </c>
    </row>
    <row r="2300">
      <c r="A2300" s="62" t="n">
        <v>46219</v>
      </c>
      <c r="B2300" s="3" t="inlineStr">
        <is>
          <t>Week</t>
        </is>
      </c>
      <c r="C2300" s="19" t="n">
        <v>7</v>
      </c>
      <c r="D2300" s="19" t="n">
        <v>2026</v>
      </c>
      <c r="E2300" s="57" t="n">
        <v>3</v>
      </c>
      <c r="F2300" s="29">
        <f>ROUND(((SUMIFS(Calendar!$F$2:$F$9997,Calendar!$B$2:$B$9997,D2300,Calendar!$C$2:$C$9997,C2300)*INDEX(ForeCalc!$B$37:$Y$274,MATCH(_xlfn.CONCAT(H2300," ",I2300),ForeCalc!$A$37:$A$274,0),MATCH(_xlfn.CONCAT(B2300," ",E2300),ForeCalc!$B$36:$Y$36,0))))*VLOOKUP(A2300,Calendar!$A$2:$H$9997,8,FALSE),0)</f>
        <v/>
      </c>
      <c r="G2300" s="29">
        <f>VLOOKUP(A2300,Calendar!$A$1:$H$9997,6,FALSE)-F2300</f>
        <v/>
      </c>
      <c r="H2300" s="19" t="n">
        <v>1</v>
      </c>
      <c r="I2300" s="57" t="n">
        <v>4</v>
      </c>
    </row>
    <row r="2301">
      <c r="A2301" s="62" t="n">
        <v>46220</v>
      </c>
      <c r="B2301" s="3" t="inlineStr">
        <is>
          <t>Week</t>
        </is>
      </c>
      <c r="C2301" s="19" t="n">
        <v>7</v>
      </c>
      <c r="D2301" s="19" t="n">
        <v>2026</v>
      </c>
      <c r="E2301" s="57" t="n">
        <v>3</v>
      </c>
      <c r="F2301" s="29">
        <f>ROUND(((SUMIFS(Calendar!$F$2:$F$9997,Calendar!$B$2:$B$9997,D2301,Calendar!$C$2:$C$9997,C2301)*INDEX(ForeCalc!$B$37:$Y$274,MATCH(_xlfn.CONCAT(H2301," ",I2301),ForeCalc!$A$37:$A$274,0),MATCH(_xlfn.CONCAT(B2301," ",E2301),ForeCalc!$B$36:$Y$36,0))))*VLOOKUP(A2301,Calendar!$A$2:$H$9997,8,FALSE),0)</f>
        <v/>
      </c>
      <c r="G2301" s="29">
        <f>VLOOKUP(A2301,Calendar!$A$1:$H$9997,6,FALSE)-F2301</f>
        <v/>
      </c>
      <c r="H2301" s="19" t="n">
        <v>1</v>
      </c>
      <c r="I2301" s="57" t="n">
        <v>4</v>
      </c>
    </row>
    <row r="2302">
      <c r="A2302" s="62" t="n">
        <v>46221</v>
      </c>
      <c r="B2302" s="3" t="inlineStr">
        <is>
          <t>Sat</t>
        </is>
      </c>
      <c r="C2302" s="19" t="n">
        <v>7</v>
      </c>
      <c r="D2302" s="19" t="n">
        <v>2026</v>
      </c>
      <c r="E2302" s="57" t="n">
        <v>3</v>
      </c>
      <c r="F2302" s="29">
        <f>ROUND(((SUMIFS(Calendar!$F$2:$F$9997,Calendar!$B$2:$B$9997,D2302,Calendar!$C$2:$C$9997,C2302)*INDEX(ForeCalc!$B$37:$Y$274,MATCH(_xlfn.CONCAT(H2302," ",I2302),ForeCalc!$A$37:$A$274,0),MATCH(_xlfn.CONCAT(B2302," ",E2302),ForeCalc!$B$36:$Y$36,0))))*VLOOKUP(A2302,Calendar!$A$2:$H$9997,8,FALSE),0)</f>
        <v/>
      </c>
      <c r="G2302" s="29">
        <f>VLOOKUP(A2302,Calendar!$A$1:$H$9997,6,FALSE)-F2302</f>
        <v/>
      </c>
      <c r="H2302" s="19" t="n">
        <v>1</v>
      </c>
      <c r="I2302" s="57" t="n">
        <v>4</v>
      </c>
    </row>
    <row r="2303">
      <c r="A2303" s="62" t="n">
        <v>46222</v>
      </c>
      <c r="B2303" s="3" t="inlineStr">
        <is>
          <t>Sun</t>
        </is>
      </c>
      <c r="C2303" s="19" t="n">
        <v>7</v>
      </c>
      <c r="D2303" s="19" t="n">
        <v>2026</v>
      </c>
      <c r="E2303" s="57" t="n">
        <v>3</v>
      </c>
      <c r="F2303" s="29">
        <f>ROUND(((SUMIFS(Calendar!$F$2:$F$9997,Calendar!$B$2:$B$9997,D2303,Calendar!$C$2:$C$9997,C2303)*INDEX(ForeCalc!$B$37:$Y$274,MATCH(_xlfn.CONCAT(H2303," ",I2303),ForeCalc!$A$37:$A$274,0),MATCH(_xlfn.CONCAT(B2303," ",E2303),ForeCalc!$B$36:$Y$36,0))))*VLOOKUP(A2303,Calendar!$A$2:$H$9997,8,FALSE),0)</f>
        <v/>
      </c>
      <c r="G2303" s="29">
        <f>VLOOKUP(A2303,Calendar!$A$1:$H$9997,6,FALSE)-F2303</f>
        <v/>
      </c>
      <c r="H2303" s="19" t="n">
        <v>1</v>
      </c>
      <c r="I2303" s="57" t="n">
        <v>4</v>
      </c>
    </row>
    <row r="2304">
      <c r="A2304" s="62" t="n">
        <v>46223</v>
      </c>
      <c r="B2304" s="3" t="inlineStr">
        <is>
          <t>Week</t>
        </is>
      </c>
      <c r="C2304" s="19" t="n">
        <v>7</v>
      </c>
      <c r="D2304" s="19" t="n">
        <v>2026</v>
      </c>
      <c r="E2304" s="57" t="n">
        <v>3</v>
      </c>
      <c r="F2304" s="29">
        <f>ROUND(((SUMIFS(Calendar!$F$2:$F$9997,Calendar!$B$2:$B$9997,D2304,Calendar!$C$2:$C$9997,C2304)*INDEX(ForeCalc!$B$37:$Y$274,MATCH(_xlfn.CONCAT(H2304," ",I2304),ForeCalc!$A$37:$A$274,0),MATCH(_xlfn.CONCAT(B2304," ",E2304),ForeCalc!$B$36:$Y$36,0))))*VLOOKUP(A2304,Calendar!$A$2:$H$9997,8,FALSE),0)</f>
        <v/>
      </c>
      <c r="G2304" s="29">
        <f>VLOOKUP(A2304,Calendar!$A$1:$H$9997,6,FALSE)-F2304</f>
        <v/>
      </c>
      <c r="H2304" s="19" t="n">
        <v>1</v>
      </c>
      <c r="I2304" s="57" t="n">
        <v>4</v>
      </c>
    </row>
    <row r="2305">
      <c r="A2305" s="62" t="n">
        <v>46224</v>
      </c>
      <c r="B2305" s="3" t="inlineStr">
        <is>
          <t>Week</t>
        </is>
      </c>
      <c r="C2305" s="19" t="n">
        <v>7</v>
      </c>
      <c r="D2305" s="19" t="n">
        <v>2026</v>
      </c>
      <c r="E2305" s="57" t="n">
        <v>3</v>
      </c>
      <c r="F2305" s="29">
        <f>ROUND(((SUMIFS(Calendar!$F$2:$F$9997,Calendar!$B$2:$B$9997,D2305,Calendar!$C$2:$C$9997,C2305)*INDEX(ForeCalc!$B$37:$Y$274,MATCH(_xlfn.CONCAT(H2305," ",I2305),ForeCalc!$A$37:$A$274,0),MATCH(_xlfn.CONCAT(B2305," ",E2305),ForeCalc!$B$36:$Y$36,0))))*VLOOKUP(A2305,Calendar!$A$2:$H$9997,8,FALSE),0)</f>
        <v/>
      </c>
      <c r="G2305" s="29">
        <f>VLOOKUP(A2305,Calendar!$A$1:$H$9997,6,FALSE)-F2305</f>
        <v/>
      </c>
      <c r="H2305" s="19" t="n">
        <v>1</v>
      </c>
      <c r="I2305" s="57" t="n">
        <v>4</v>
      </c>
    </row>
    <row r="2306">
      <c r="A2306" s="62" t="n">
        <v>46225</v>
      </c>
      <c r="B2306" s="3" t="inlineStr">
        <is>
          <t>Week</t>
        </is>
      </c>
      <c r="C2306" s="19" t="n">
        <v>7</v>
      </c>
      <c r="D2306" s="19" t="n">
        <v>2026</v>
      </c>
      <c r="E2306" s="57" t="n">
        <v>3</v>
      </c>
      <c r="F2306" s="29">
        <f>ROUND(((SUMIFS(Calendar!$F$2:$F$9997,Calendar!$B$2:$B$9997,D2306,Calendar!$C$2:$C$9997,C2306)*INDEX(ForeCalc!$B$37:$Y$274,MATCH(_xlfn.CONCAT(H2306," ",I2306),ForeCalc!$A$37:$A$274,0),MATCH(_xlfn.CONCAT(B2306," ",E2306),ForeCalc!$B$36:$Y$36,0))))*VLOOKUP(A2306,Calendar!$A$2:$H$9997,8,FALSE),0)</f>
        <v/>
      </c>
      <c r="G2306" s="29">
        <f>VLOOKUP(A2306,Calendar!$A$1:$H$9997,6,FALSE)-F2306</f>
        <v/>
      </c>
      <c r="H2306" s="19" t="n">
        <v>1</v>
      </c>
      <c r="I2306" s="57" t="n">
        <v>4</v>
      </c>
    </row>
    <row r="2307">
      <c r="A2307" s="62" t="n">
        <v>46226</v>
      </c>
      <c r="B2307" s="3" t="inlineStr">
        <is>
          <t>Week</t>
        </is>
      </c>
      <c r="C2307" s="19" t="n">
        <v>7</v>
      </c>
      <c r="D2307" s="19" t="n">
        <v>2026</v>
      </c>
      <c r="E2307" s="57" t="n">
        <v>3</v>
      </c>
      <c r="F2307" s="29">
        <f>ROUND(((SUMIFS(Calendar!$F$2:$F$9997,Calendar!$B$2:$B$9997,D2307,Calendar!$C$2:$C$9997,C2307)*INDEX(ForeCalc!$B$37:$Y$274,MATCH(_xlfn.CONCAT(H2307," ",I2307),ForeCalc!$A$37:$A$274,0),MATCH(_xlfn.CONCAT(B2307," ",E2307),ForeCalc!$B$36:$Y$36,0))))*VLOOKUP(A2307,Calendar!$A$2:$H$9997,8,FALSE),0)</f>
        <v/>
      </c>
      <c r="G2307" s="29">
        <f>VLOOKUP(A2307,Calendar!$A$1:$H$9997,6,FALSE)-F2307</f>
        <v/>
      </c>
      <c r="H2307" s="19" t="n">
        <v>1</v>
      </c>
      <c r="I2307" s="57" t="n">
        <v>4</v>
      </c>
    </row>
    <row r="2308">
      <c r="A2308" s="62" t="n">
        <v>46227</v>
      </c>
      <c r="B2308" s="3" t="inlineStr">
        <is>
          <t>Week</t>
        </is>
      </c>
      <c r="C2308" s="19" t="n">
        <v>7</v>
      </c>
      <c r="D2308" s="19" t="n">
        <v>2026</v>
      </c>
      <c r="E2308" s="57" t="n">
        <v>3</v>
      </c>
      <c r="F2308" s="29">
        <f>ROUND(((SUMIFS(Calendar!$F$2:$F$9997,Calendar!$B$2:$B$9997,D2308,Calendar!$C$2:$C$9997,C2308)*INDEX(ForeCalc!$B$37:$Y$274,MATCH(_xlfn.CONCAT(H2308," ",I2308),ForeCalc!$A$37:$A$274,0),MATCH(_xlfn.CONCAT(B2308," ",E2308),ForeCalc!$B$36:$Y$36,0))))*VLOOKUP(A2308,Calendar!$A$2:$H$9997,8,FALSE),0)</f>
        <v/>
      </c>
      <c r="G2308" s="29">
        <f>VLOOKUP(A2308,Calendar!$A$1:$H$9997,6,FALSE)-F2308</f>
        <v/>
      </c>
      <c r="H2308" s="19" t="n">
        <v>1</v>
      </c>
      <c r="I2308" s="57" t="n">
        <v>4</v>
      </c>
    </row>
    <row r="2309">
      <c r="A2309" s="62" t="n">
        <v>46228</v>
      </c>
      <c r="B2309" s="3" t="inlineStr">
        <is>
          <t>Sat</t>
        </is>
      </c>
      <c r="C2309" s="19" t="n">
        <v>7</v>
      </c>
      <c r="D2309" s="19" t="n">
        <v>2026</v>
      </c>
      <c r="E2309" s="57" t="n">
        <v>3</v>
      </c>
      <c r="F2309" s="29">
        <f>ROUND(((SUMIFS(Calendar!$F$2:$F$9997,Calendar!$B$2:$B$9997,D2309,Calendar!$C$2:$C$9997,C2309)*INDEX(ForeCalc!$B$37:$Y$274,MATCH(_xlfn.CONCAT(H2309," ",I2309),ForeCalc!$A$37:$A$274,0),MATCH(_xlfn.CONCAT(B2309," ",E2309),ForeCalc!$B$36:$Y$36,0))))*VLOOKUP(A2309,Calendar!$A$2:$H$9997,8,FALSE),0)</f>
        <v/>
      </c>
      <c r="G2309" s="29">
        <f>VLOOKUP(A2309,Calendar!$A$1:$H$9997,6,FALSE)-F2309</f>
        <v/>
      </c>
      <c r="H2309" s="19" t="n">
        <v>1</v>
      </c>
      <c r="I2309" s="57" t="n">
        <v>4</v>
      </c>
    </row>
    <row r="2310">
      <c r="A2310" s="62" t="n">
        <v>46229</v>
      </c>
      <c r="B2310" s="3" t="inlineStr">
        <is>
          <t>Sun</t>
        </is>
      </c>
      <c r="C2310" s="19" t="n">
        <v>7</v>
      </c>
      <c r="D2310" s="19" t="n">
        <v>2026</v>
      </c>
      <c r="E2310" s="57" t="n">
        <v>3</v>
      </c>
      <c r="F2310" s="29">
        <f>ROUND(((SUMIFS(Calendar!$F$2:$F$9997,Calendar!$B$2:$B$9997,D2310,Calendar!$C$2:$C$9997,C2310)*INDEX(ForeCalc!$B$37:$Y$274,MATCH(_xlfn.CONCAT(H2310," ",I2310),ForeCalc!$A$37:$A$274,0),MATCH(_xlfn.CONCAT(B2310," ",E2310),ForeCalc!$B$36:$Y$36,0))))*VLOOKUP(A2310,Calendar!$A$2:$H$9997,8,FALSE),0)</f>
        <v/>
      </c>
      <c r="G2310" s="29">
        <f>VLOOKUP(A2310,Calendar!$A$1:$H$9997,6,FALSE)-F2310</f>
        <v/>
      </c>
      <c r="H2310" s="19" t="n">
        <v>1</v>
      </c>
      <c r="I2310" s="57" t="n">
        <v>4</v>
      </c>
    </row>
    <row r="2311">
      <c r="A2311" s="62" t="n">
        <v>46230</v>
      </c>
      <c r="B2311" s="3" t="inlineStr">
        <is>
          <t>Week</t>
        </is>
      </c>
      <c r="C2311" s="19" t="n">
        <v>7</v>
      </c>
      <c r="D2311" s="19" t="n">
        <v>2026</v>
      </c>
      <c r="E2311" s="57" t="n">
        <v>3</v>
      </c>
      <c r="F2311" s="29">
        <f>ROUND(((SUMIFS(Calendar!$F$2:$F$9997,Calendar!$B$2:$B$9997,D2311,Calendar!$C$2:$C$9997,C2311)*INDEX(ForeCalc!$B$37:$Y$274,MATCH(_xlfn.CONCAT(H2311," ",I2311),ForeCalc!$A$37:$A$274,0),MATCH(_xlfn.CONCAT(B2311," ",E2311),ForeCalc!$B$36:$Y$36,0))))*VLOOKUP(A2311,Calendar!$A$2:$H$9997,8,FALSE),0)</f>
        <v/>
      </c>
      <c r="G2311" s="29">
        <f>VLOOKUP(A2311,Calendar!$A$1:$H$9997,6,FALSE)-F2311</f>
        <v/>
      </c>
      <c r="H2311" s="19" t="n">
        <v>1</v>
      </c>
      <c r="I2311" s="57" t="n">
        <v>4</v>
      </c>
    </row>
    <row r="2312">
      <c r="A2312" s="62" t="n">
        <v>46231</v>
      </c>
      <c r="B2312" s="3" t="inlineStr">
        <is>
          <t>Week</t>
        </is>
      </c>
      <c r="C2312" s="19" t="n">
        <v>7</v>
      </c>
      <c r="D2312" s="19" t="n">
        <v>2026</v>
      </c>
      <c r="E2312" s="57" t="n">
        <v>3</v>
      </c>
      <c r="F2312" s="29">
        <f>ROUND(((SUMIFS(Calendar!$F$2:$F$9997,Calendar!$B$2:$B$9997,D2312,Calendar!$C$2:$C$9997,C2312)*INDEX(ForeCalc!$B$37:$Y$274,MATCH(_xlfn.CONCAT(H2312," ",I2312),ForeCalc!$A$37:$A$274,0),MATCH(_xlfn.CONCAT(B2312," ",E2312),ForeCalc!$B$36:$Y$36,0))))*VLOOKUP(A2312,Calendar!$A$2:$H$9997,8,FALSE),0)</f>
        <v/>
      </c>
      <c r="G2312" s="29">
        <f>VLOOKUP(A2312,Calendar!$A$1:$H$9997,6,FALSE)-F2312</f>
        <v/>
      </c>
      <c r="H2312" s="19" t="n">
        <v>1</v>
      </c>
      <c r="I2312" s="57" t="n">
        <v>4</v>
      </c>
    </row>
    <row r="2313">
      <c r="A2313" s="62" t="n">
        <v>46232</v>
      </c>
      <c r="B2313" s="3" t="inlineStr">
        <is>
          <t>Week</t>
        </is>
      </c>
      <c r="C2313" s="19" t="n">
        <v>7</v>
      </c>
      <c r="D2313" s="19" t="n">
        <v>2026</v>
      </c>
      <c r="E2313" s="57" t="n">
        <v>3</v>
      </c>
      <c r="F2313" s="29">
        <f>ROUND(((SUMIFS(Calendar!$F$2:$F$9997,Calendar!$B$2:$B$9997,D2313,Calendar!$C$2:$C$9997,C2313)*INDEX(ForeCalc!$B$37:$Y$274,MATCH(_xlfn.CONCAT(H2313," ",I2313),ForeCalc!$A$37:$A$274,0),MATCH(_xlfn.CONCAT(B2313," ",E2313),ForeCalc!$B$36:$Y$36,0))))*VLOOKUP(A2313,Calendar!$A$2:$H$9997,8,FALSE),0)</f>
        <v/>
      </c>
      <c r="G2313" s="29">
        <f>VLOOKUP(A2313,Calendar!$A$1:$H$9997,6,FALSE)-F2313</f>
        <v/>
      </c>
      <c r="H2313" s="19" t="n">
        <v>1</v>
      </c>
      <c r="I2313" s="57" t="n">
        <v>4</v>
      </c>
    </row>
    <row r="2314">
      <c r="A2314" s="62" t="n">
        <v>46233</v>
      </c>
      <c r="B2314" s="3" t="inlineStr">
        <is>
          <t>Week</t>
        </is>
      </c>
      <c r="C2314" s="19" t="n">
        <v>7</v>
      </c>
      <c r="D2314" s="19" t="n">
        <v>2026</v>
      </c>
      <c r="E2314" s="57" t="n">
        <v>3</v>
      </c>
      <c r="F2314" s="29">
        <f>ROUND(((SUMIFS(Calendar!$F$2:$F$9997,Calendar!$B$2:$B$9997,D2314,Calendar!$C$2:$C$9997,C2314)*INDEX(ForeCalc!$B$37:$Y$274,MATCH(_xlfn.CONCAT(H2314," ",I2314),ForeCalc!$A$37:$A$274,0),MATCH(_xlfn.CONCAT(B2314," ",E2314),ForeCalc!$B$36:$Y$36,0))))*VLOOKUP(A2314,Calendar!$A$2:$H$9997,8,FALSE),0)</f>
        <v/>
      </c>
      <c r="G2314" s="29">
        <f>VLOOKUP(A2314,Calendar!$A$1:$H$9997,6,FALSE)-F2314</f>
        <v/>
      </c>
      <c r="H2314" s="19" t="n">
        <v>1</v>
      </c>
      <c r="I2314" s="57" t="n">
        <v>4</v>
      </c>
    </row>
    <row r="2315">
      <c r="A2315" s="62" t="n">
        <v>46234</v>
      </c>
      <c r="B2315" s="3" t="inlineStr">
        <is>
          <t>Week</t>
        </is>
      </c>
      <c r="C2315" s="19" t="n">
        <v>7</v>
      </c>
      <c r="D2315" s="19" t="n">
        <v>2026</v>
      </c>
      <c r="E2315" s="57" t="n">
        <v>3</v>
      </c>
      <c r="F2315" s="29">
        <f>ROUND(((SUMIFS(Calendar!$F$2:$F$9997,Calendar!$B$2:$B$9997,D2315,Calendar!$C$2:$C$9997,C2315)*INDEX(ForeCalc!$B$37:$Y$274,MATCH(_xlfn.CONCAT(H2315," ",I2315),ForeCalc!$A$37:$A$274,0),MATCH(_xlfn.CONCAT(B2315," ",E2315),ForeCalc!$B$36:$Y$36,0))))*VLOOKUP(A2315,Calendar!$A$2:$H$9997,8,FALSE),0)</f>
        <v/>
      </c>
      <c r="G2315" s="29">
        <f>VLOOKUP(A2315,Calendar!$A$1:$H$9997,6,FALSE)-F2315</f>
        <v/>
      </c>
      <c r="H2315" s="19" t="n">
        <v>1</v>
      </c>
      <c r="I2315" s="57" t="n">
        <v>4</v>
      </c>
    </row>
    <row r="2316">
      <c r="A2316" s="62" t="n">
        <v>46235</v>
      </c>
      <c r="B2316" s="3" t="inlineStr">
        <is>
          <t>Sat</t>
        </is>
      </c>
      <c r="C2316" s="19" t="n">
        <v>8</v>
      </c>
      <c r="D2316" s="19" t="n">
        <v>2026</v>
      </c>
      <c r="E2316" s="57" t="n">
        <v>3</v>
      </c>
      <c r="F2316" s="29">
        <f>ROUND(((SUMIFS(Calendar!$F$2:$F$9997,Calendar!$B$2:$B$9997,D2316,Calendar!$C$2:$C$9997,C2316)*INDEX(ForeCalc!$B$37:$Y$274,MATCH(_xlfn.CONCAT(H2316," ",I2316),ForeCalc!$A$37:$A$274,0),MATCH(_xlfn.CONCAT(B2316," ",E2316),ForeCalc!$B$36:$Y$36,0))))*VLOOKUP(A2316,Calendar!$A$2:$H$9997,8,FALSE),0)</f>
        <v/>
      </c>
      <c r="G2316" s="29">
        <f>VLOOKUP(A2316,Calendar!$A$1:$H$9997,6,FALSE)-F2316</f>
        <v/>
      </c>
      <c r="H2316" s="19" t="n">
        <v>1</v>
      </c>
      <c r="I2316" s="57" t="n">
        <v>5</v>
      </c>
    </row>
    <row r="2317">
      <c r="A2317" s="62" t="n">
        <v>46236</v>
      </c>
      <c r="B2317" s="3" t="inlineStr">
        <is>
          <t>Sun</t>
        </is>
      </c>
      <c r="C2317" s="19" t="n">
        <v>8</v>
      </c>
      <c r="D2317" s="19" t="n">
        <v>2026</v>
      </c>
      <c r="E2317" s="57" t="n">
        <v>3</v>
      </c>
      <c r="F2317" s="29">
        <f>ROUND(((SUMIFS(Calendar!$F$2:$F$9997,Calendar!$B$2:$B$9997,D2317,Calendar!$C$2:$C$9997,C2317)*INDEX(ForeCalc!$B$37:$Y$274,MATCH(_xlfn.CONCAT(H2317," ",I2317),ForeCalc!$A$37:$A$274,0),MATCH(_xlfn.CONCAT(B2317," ",E2317),ForeCalc!$B$36:$Y$36,0))))*VLOOKUP(A2317,Calendar!$A$2:$H$9997,8,FALSE),0)</f>
        <v/>
      </c>
      <c r="G2317" s="29">
        <f>VLOOKUP(A2317,Calendar!$A$1:$H$9997,6,FALSE)-F2317</f>
        <v/>
      </c>
      <c r="H2317" s="19" t="n">
        <v>1</v>
      </c>
      <c r="I2317" s="57" t="n">
        <v>5</v>
      </c>
    </row>
    <row r="2318">
      <c r="A2318" s="62" t="n">
        <v>46237</v>
      </c>
      <c r="B2318" s="3" t="inlineStr">
        <is>
          <t>Week</t>
        </is>
      </c>
      <c r="C2318" s="19" t="n">
        <v>8</v>
      </c>
      <c r="D2318" s="19" t="n">
        <v>2026</v>
      </c>
      <c r="E2318" s="57" t="n">
        <v>3</v>
      </c>
      <c r="F2318" s="29">
        <f>ROUND(((SUMIFS(Calendar!$F$2:$F$9997,Calendar!$B$2:$B$9997,D2318,Calendar!$C$2:$C$9997,C2318)*INDEX(ForeCalc!$B$37:$Y$274,MATCH(_xlfn.CONCAT(H2318," ",I2318),ForeCalc!$A$37:$A$274,0),MATCH(_xlfn.CONCAT(B2318," ",E2318),ForeCalc!$B$36:$Y$36,0))))*VLOOKUP(A2318,Calendar!$A$2:$H$9997,8,FALSE),0)</f>
        <v/>
      </c>
      <c r="G2318" s="29">
        <f>VLOOKUP(A2318,Calendar!$A$1:$H$9997,6,FALSE)-F2318</f>
        <v/>
      </c>
      <c r="H2318" s="19" t="n">
        <v>1</v>
      </c>
      <c r="I2318" s="57" t="n">
        <v>5</v>
      </c>
    </row>
    <row r="2319">
      <c r="A2319" s="62" t="n">
        <v>46238</v>
      </c>
      <c r="B2319" s="3" t="inlineStr">
        <is>
          <t>Week</t>
        </is>
      </c>
      <c r="C2319" s="19" t="n">
        <v>8</v>
      </c>
      <c r="D2319" s="19" t="n">
        <v>2026</v>
      </c>
      <c r="E2319" s="57" t="n">
        <v>3</v>
      </c>
      <c r="F2319" s="29">
        <f>ROUND(((SUMIFS(Calendar!$F$2:$F$9997,Calendar!$B$2:$B$9997,D2319,Calendar!$C$2:$C$9997,C2319)*INDEX(ForeCalc!$B$37:$Y$274,MATCH(_xlfn.CONCAT(H2319," ",I2319),ForeCalc!$A$37:$A$274,0),MATCH(_xlfn.CONCAT(B2319," ",E2319),ForeCalc!$B$36:$Y$36,0))))*VLOOKUP(A2319,Calendar!$A$2:$H$9997,8,FALSE),0)</f>
        <v/>
      </c>
      <c r="G2319" s="29">
        <f>VLOOKUP(A2319,Calendar!$A$1:$H$9997,6,FALSE)-F2319</f>
        <v/>
      </c>
      <c r="H2319" s="19" t="n">
        <v>1</v>
      </c>
      <c r="I2319" s="57" t="n">
        <v>5</v>
      </c>
    </row>
    <row r="2320">
      <c r="A2320" s="62" t="n">
        <v>46239</v>
      </c>
      <c r="B2320" s="3" t="inlineStr">
        <is>
          <t>Week</t>
        </is>
      </c>
      <c r="C2320" s="19" t="n">
        <v>8</v>
      </c>
      <c r="D2320" s="19" t="n">
        <v>2026</v>
      </c>
      <c r="E2320" s="57" t="n">
        <v>3</v>
      </c>
      <c r="F2320" s="29">
        <f>ROUND(((SUMIFS(Calendar!$F$2:$F$9997,Calendar!$B$2:$B$9997,D2320,Calendar!$C$2:$C$9997,C2320)*INDEX(ForeCalc!$B$37:$Y$274,MATCH(_xlfn.CONCAT(H2320," ",I2320),ForeCalc!$A$37:$A$274,0),MATCH(_xlfn.CONCAT(B2320," ",E2320),ForeCalc!$B$36:$Y$36,0))))*VLOOKUP(A2320,Calendar!$A$2:$H$9997,8,FALSE),0)</f>
        <v/>
      </c>
      <c r="G2320" s="29">
        <f>VLOOKUP(A2320,Calendar!$A$1:$H$9997,6,FALSE)-F2320</f>
        <v/>
      </c>
      <c r="H2320" s="19" t="n">
        <v>1</v>
      </c>
      <c r="I2320" s="57" t="n">
        <v>5</v>
      </c>
    </row>
    <row r="2321">
      <c r="A2321" s="62" t="n">
        <v>46240</v>
      </c>
      <c r="B2321" s="3" t="inlineStr">
        <is>
          <t>Week</t>
        </is>
      </c>
      <c r="C2321" s="19" t="n">
        <v>8</v>
      </c>
      <c r="D2321" s="19" t="n">
        <v>2026</v>
      </c>
      <c r="E2321" s="57" t="n">
        <v>3</v>
      </c>
      <c r="F2321" s="29">
        <f>ROUND(((SUMIFS(Calendar!$F$2:$F$9997,Calendar!$B$2:$B$9997,D2321,Calendar!$C$2:$C$9997,C2321)*INDEX(ForeCalc!$B$37:$Y$274,MATCH(_xlfn.CONCAT(H2321," ",I2321),ForeCalc!$A$37:$A$274,0),MATCH(_xlfn.CONCAT(B2321," ",E2321),ForeCalc!$B$36:$Y$36,0))))*VLOOKUP(A2321,Calendar!$A$2:$H$9997,8,FALSE),0)</f>
        <v/>
      </c>
      <c r="G2321" s="29">
        <f>VLOOKUP(A2321,Calendar!$A$1:$H$9997,6,FALSE)-F2321</f>
        <v/>
      </c>
      <c r="H2321" s="19" t="n">
        <v>1</v>
      </c>
      <c r="I2321" s="57" t="n">
        <v>5</v>
      </c>
    </row>
    <row r="2322">
      <c r="A2322" s="62" t="n">
        <v>46241</v>
      </c>
      <c r="B2322" s="3" t="inlineStr">
        <is>
          <t>Week</t>
        </is>
      </c>
      <c r="C2322" s="19" t="n">
        <v>8</v>
      </c>
      <c r="D2322" s="19" t="n">
        <v>2026</v>
      </c>
      <c r="E2322" s="57" t="n">
        <v>3</v>
      </c>
      <c r="F2322" s="29">
        <f>ROUND(((SUMIFS(Calendar!$F$2:$F$9997,Calendar!$B$2:$B$9997,D2322,Calendar!$C$2:$C$9997,C2322)*INDEX(ForeCalc!$B$37:$Y$274,MATCH(_xlfn.CONCAT(H2322," ",I2322),ForeCalc!$A$37:$A$274,0),MATCH(_xlfn.CONCAT(B2322," ",E2322),ForeCalc!$B$36:$Y$36,0))))*VLOOKUP(A2322,Calendar!$A$2:$H$9997,8,FALSE),0)</f>
        <v/>
      </c>
      <c r="G2322" s="29">
        <f>VLOOKUP(A2322,Calendar!$A$1:$H$9997,6,FALSE)-F2322</f>
        <v/>
      </c>
      <c r="H2322" s="19" t="n">
        <v>1</v>
      </c>
      <c r="I2322" s="57" t="n">
        <v>5</v>
      </c>
    </row>
    <row r="2323">
      <c r="A2323" s="62" t="n">
        <v>46242</v>
      </c>
      <c r="B2323" s="3" t="inlineStr">
        <is>
          <t>Sat</t>
        </is>
      </c>
      <c r="C2323" s="19" t="n">
        <v>8</v>
      </c>
      <c r="D2323" s="19" t="n">
        <v>2026</v>
      </c>
      <c r="E2323" s="57" t="n">
        <v>3</v>
      </c>
      <c r="F2323" s="29">
        <f>ROUND(((SUMIFS(Calendar!$F$2:$F$9997,Calendar!$B$2:$B$9997,D2323,Calendar!$C$2:$C$9997,C2323)*INDEX(ForeCalc!$B$37:$Y$274,MATCH(_xlfn.CONCAT(H2323," ",I2323),ForeCalc!$A$37:$A$274,0),MATCH(_xlfn.CONCAT(B2323," ",E2323),ForeCalc!$B$36:$Y$36,0))))*VLOOKUP(A2323,Calendar!$A$2:$H$9997,8,FALSE),0)</f>
        <v/>
      </c>
      <c r="G2323" s="29">
        <f>VLOOKUP(A2323,Calendar!$A$1:$H$9997,6,FALSE)-F2323</f>
        <v/>
      </c>
      <c r="H2323" s="19" t="n">
        <v>1</v>
      </c>
      <c r="I2323" s="57" t="n">
        <v>5</v>
      </c>
    </row>
    <row r="2324">
      <c r="A2324" s="62" t="n">
        <v>46243</v>
      </c>
      <c r="B2324" s="3" t="inlineStr">
        <is>
          <t>Sun</t>
        </is>
      </c>
      <c r="C2324" s="19" t="n">
        <v>8</v>
      </c>
      <c r="D2324" s="19" t="n">
        <v>2026</v>
      </c>
      <c r="E2324" s="57" t="n">
        <v>3</v>
      </c>
      <c r="F2324" s="29">
        <f>ROUND(((SUMIFS(Calendar!$F$2:$F$9997,Calendar!$B$2:$B$9997,D2324,Calendar!$C$2:$C$9997,C2324)*INDEX(ForeCalc!$B$37:$Y$274,MATCH(_xlfn.CONCAT(H2324," ",I2324),ForeCalc!$A$37:$A$274,0),MATCH(_xlfn.CONCAT(B2324," ",E2324),ForeCalc!$B$36:$Y$36,0))))*VLOOKUP(A2324,Calendar!$A$2:$H$9997,8,FALSE),0)</f>
        <v/>
      </c>
      <c r="G2324" s="29">
        <f>VLOOKUP(A2324,Calendar!$A$1:$H$9997,6,FALSE)-F2324</f>
        <v/>
      </c>
      <c r="H2324" s="19" t="n">
        <v>1</v>
      </c>
      <c r="I2324" s="57" t="n">
        <v>5</v>
      </c>
    </row>
    <row r="2325">
      <c r="A2325" s="62" t="n">
        <v>46244</v>
      </c>
      <c r="B2325" s="3" t="inlineStr">
        <is>
          <t>Week</t>
        </is>
      </c>
      <c r="C2325" s="19" t="n">
        <v>8</v>
      </c>
      <c r="D2325" s="19" t="n">
        <v>2026</v>
      </c>
      <c r="E2325" s="57" t="n">
        <v>3</v>
      </c>
      <c r="F2325" s="29">
        <f>ROUND(((SUMIFS(Calendar!$F$2:$F$9997,Calendar!$B$2:$B$9997,D2325,Calendar!$C$2:$C$9997,C2325)*INDEX(ForeCalc!$B$37:$Y$274,MATCH(_xlfn.CONCAT(H2325," ",I2325),ForeCalc!$A$37:$A$274,0),MATCH(_xlfn.CONCAT(B2325," ",E2325),ForeCalc!$B$36:$Y$36,0))))*VLOOKUP(A2325,Calendar!$A$2:$H$9997,8,FALSE),0)</f>
        <v/>
      </c>
      <c r="G2325" s="29">
        <f>VLOOKUP(A2325,Calendar!$A$1:$H$9997,6,FALSE)-F2325</f>
        <v/>
      </c>
      <c r="H2325" s="19" t="n">
        <v>1</v>
      </c>
      <c r="I2325" s="57" t="n">
        <v>5</v>
      </c>
    </row>
    <row r="2326">
      <c r="A2326" s="62" t="n">
        <v>46245</v>
      </c>
      <c r="B2326" s="3" t="inlineStr">
        <is>
          <t>Week</t>
        </is>
      </c>
      <c r="C2326" s="19" t="n">
        <v>8</v>
      </c>
      <c r="D2326" s="19" t="n">
        <v>2026</v>
      </c>
      <c r="E2326" s="57" t="n">
        <v>3</v>
      </c>
      <c r="F2326" s="29">
        <f>ROUND(((SUMIFS(Calendar!$F$2:$F$9997,Calendar!$B$2:$B$9997,D2326,Calendar!$C$2:$C$9997,C2326)*INDEX(ForeCalc!$B$37:$Y$274,MATCH(_xlfn.CONCAT(H2326," ",I2326),ForeCalc!$A$37:$A$274,0),MATCH(_xlfn.CONCAT(B2326," ",E2326),ForeCalc!$B$36:$Y$36,0))))*VLOOKUP(A2326,Calendar!$A$2:$H$9997,8,FALSE),0)</f>
        <v/>
      </c>
      <c r="G2326" s="29">
        <f>VLOOKUP(A2326,Calendar!$A$1:$H$9997,6,FALSE)-F2326</f>
        <v/>
      </c>
      <c r="H2326" s="19" t="n">
        <v>1</v>
      </c>
      <c r="I2326" s="57" t="n">
        <v>5</v>
      </c>
    </row>
    <row r="2327">
      <c r="A2327" s="62" t="n">
        <v>46246</v>
      </c>
      <c r="B2327" s="3" t="inlineStr">
        <is>
          <t>Week</t>
        </is>
      </c>
      <c r="C2327" s="19" t="n">
        <v>8</v>
      </c>
      <c r="D2327" s="19" t="n">
        <v>2026</v>
      </c>
      <c r="E2327" s="57" t="n">
        <v>3</v>
      </c>
      <c r="F2327" s="29">
        <f>ROUND(((SUMIFS(Calendar!$F$2:$F$9997,Calendar!$B$2:$B$9997,D2327,Calendar!$C$2:$C$9997,C2327)*INDEX(ForeCalc!$B$37:$Y$274,MATCH(_xlfn.CONCAT(H2327," ",I2327),ForeCalc!$A$37:$A$274,0),MATCH(_xlfn.CONCAT(B2327," ",E2327),ForeCalc!$B$36:$Y$36,0))))*VLOOKUP(A2327,Calendar!$A$2:$H$9997,8,FALSE),0)</f>
        <v/>
      </c>
      <c r="G2327" s="29">
        <f>VLOOKUP(A2327,Calendar!$A$1:$H$9997,6,FALSE)-F2327</f>
        <v/>
      </c>
      <c r="H2327" s="19" t="n">
        <v>1</v>
      </c>
      <c r="I2327" s="57" t="n">
        <v>5</v>
      </c>
    </row>
    <row r="2328">
      <c r="A2328" s="62" t="n">
        <v>46247</v>
      </c>
      <c r="B2328" s="3" t="inlineStr">
        <is>
          <t>Week</t>
        </is>
      </c>
      <c r="C2328" s="19" t="n">
        <v>8</v>
      </c>
      <c r="D2328" s="19" t="n">
        <v>2026</v>
      </c>
      <c r="E2328" s="57" t="n">
        <v>3</v>
      </c>
      <c r="F2328" s="29">
        <f>ROUND(((SUMIFS(Calendar!$F$2:$F$9997,Calendar!$B$2:$B$9997,D2328,Calendar!$C$2:$C$9997,C2328)*INDEX(ForeCalc!$B$37:$Y$274,MATCH(_xlfn.CONCAT(H2328," ",I2328),ForeCalc!$A$37:$A$274,0),MATCH(_xlfn.CONCAT(B2328," ",E2328),ForeCalc!$B$36:$Y$36,0))))*VLOOKUP(A2328,Calendar!$A$2:$H$9997,8,FALSE),0)</f>
        <v/>
      </c>
      <c r="G2328" s="29">
        <f>VLOOKUP(A2328,Calendar!$A$1:$H$9997,6,FALSE)-F2328</f>
        <v/>
      </c>
      <c r="H2328" s="19" t="n">
        <v>1</v>
      </c>
      <c r="I2328" s="57" t="n">
        <v>5</v>
      </c>
    </row>
    <row r="2329">
      <c r="A2329" s="62" t="n">
        <v>46248</v>
      </c>
      <c r="B2329" s="3" t="inlineStr">
        <is>
          <t>Week</t>
        </is>
      </c>
      <c r="C2329" s="19" t="n">
        <v>8</v>
      </c>
      <c r="D2329" s="19" t="n">
        <v>2026</v>
      </c>
      <c r="E2329" s="57" t="n">
        <v>3</v>
      </c>
      <c r="F2329" s="29">
        <f>ROUND(((SUMIFS(Calendar!$F$2:$F$9997,Calendar!$B$2:$B$9997,D2329,Calendar!$C$2:$C$9997,C2329)*INDEX(ForeCalc!$B$37:$Y$274,MATCH(_xlfn.CONCAT(H2329," ",I2329),ForeCalc!$A$37:$A$274,0),MATCH(_xlfn.CONCAT(B2329," ",E2329),ForeCalc!$B$36:$Y$36,0))))*VLOOKUP(A2329,Calendar!$A$2:$H$9997,8,FALSE),0)</f>
        <v/>
      </c>
      <c r="G2329" s="29">
        <f>VLOOKUP(A2329,Calendar!$A$1:$H$9997,6,FALSE)-F2329</f>
        <v/>
      </c>
      <c r="H2329" s="19" t="n">
        <v>1</v>
      </c>
      <c r="I2329" s="57" t="n">
        <v>5</v>
      </c>
    </row>
    <row r="2330">
      <c r="A2330" s="62" t="n">
        <v>46249</v>
      </c>
      <c r="B2330" s="3" t="inlineStr">
        <is>
          <t>Sat</t>
        </is>
      </c>
      <c r="C2330" s="19" t="n">
        <v>8</v>
      </c>
      <c r="D2330" s="19" t="n">
        <v>2026</v>
      </c>
      <c r="E2330" s="57" t="n">
        <v>3</v>
      </c>
      <c r="F2330" s="29">
        <f>ROUND(((SUMIFS(Calendar!$F$2:$F$9997,Calendar!$B$2:$B$9997,D2330,Calendar!$C$2:$C$9997,C2330)*INDEX(ForeCalc!$B$37:$Y$274,MATCH(_xlfn.CONCAT(H2330," ",I2330),ForeCalc!$A$37:$A$274,0),MATCH(_xlfn.CONCAT(B2330," ",E2330),ForeCalc!$B$36:$Y$36,0))))*VLOOKUP(A2330,Calendar!$A$2:$H$9997,8,FALSE),0)</f>
        <v/>
      </c>
      <c r="G2330" s="29">
        <f>VLOOKUP(A2330,Calendar!$A$1:$H$9997,6,FALSE)-F2330</f>
        <v/>
      </c>
      <c r="H2330" s="19" t="n">
        <v>1</v>
      </c>
      <c r="I2330" s="57" t="n">
        <v>5</v>
      </c>
    </row>
    <row r="2331">
      <c r="A2331" s="62" t="n">
        <v>46250</v>
      </c>
      <c r="B2331" s="3" t="inlineStr">
        <is>
          <t>Sun</t>
        </is>
      </c>
      <c r="C2331" s="19" t="n">
        <v>8</v>
      </c>
      <c r="D2331" s="19" t="n">
        <v>2026</v>
      </c>
      <c r="E2331" s="57" t="n">
        <v>3</v>
      </c>
      <c r="F2331" s="29">
        <f>ROUND(((SUMIFS(Calendar!$F$2:$F$9997,Calendar!$B$2:$B$9997,D2331,Calendar!$C$2:$C$9997,C2331)*INDEX(ForeCalc!$B$37:$Y$274,MATCH(_xlfn.CONCAT(H2331," ",I2331),ForeCalc!$A$37:$A$274,0),MATCH(_xlfn.CONCAT(B2331," ",E2331),ForeCalc!$B$36:$Y$36,0))))*VLOOKUP(A2331,Calendar!$A$2:$H$9997,8,FALSE),0)</f>
        <v/>
      </c>
      <c r="G2331" s="29">
        <f>VLOOKUP(A2331,Calendar!$A$1:$H$9997,6,FALSE)-F2331</f>
        <v/>
      </c>
      <c r="H2331" s="19" t="n">
        <v>1</v>
      </c>
      <c r="I2331" s="57" t="n">
        <v>5</v>
      </c>
    </row>
    <row r="2332">
      <c r="A2332" s="62" t="n">
        <v>46251</v>
      </c>
      <c r="B2332" s="3" t="inlineStr">
        <is>
          <t>Week</t>
        </is>
      </c>
      <c r="C2332" s="19" t="n">
        <v>8</v>
      </c>
      <c r="D2332" s="19" t="n">
        <v>2026</v>
      </c>
      <c r="E2332" s="57" t="n">
        <v>3</v>
      </c>
      <c r="F2332" s="29">
        <f>ROUND(((SUMIFS(Calendar!$F$2:$F$9997,Calendar!$B$2:$B$9997,D2332,Calendar!$C$2:$C$9997,C2332)*INDEX(ForeCalc!$B$37:$Y$274,MATCH(_xlfn.CONCAT(H2332," ",I2332),ForeCalc!$A$37:$A$274,0),MATCH(_xlfn.CONCAT(B2332," ",E2332),ForeCalc!$B$36:$Y$36,0))))*VLOOKUP(A2332,Calendar!$A$2:$H$9997,8,FALSE),0)</f>
        <v/>
      </c>
      <c r="G2332" s="29">
        <f>VLOOKUP(A2332,Calendar!$A$1:$H$9997,6,FALSE)-F2332</f>
        <v/>
      </c>
      <c r="H2332" s="19" t="n">
        <v>1</v>
      </c>
      <c r="I2332" s="57" t="n">
        <v>5</v>
      </c>
    </row>
    <row r="2333">
      <c r="A2333" s="62" t="n">
        <v>46252</v>
      </c>
      <c r="B2333" s="3" t="inlineStr">
        <is>
          <t>Week</t>
        </is>
      </c>
      <c r="C2333" s="19" t="n">
        <v>8</v>
      </c>
      <c r="D2333" s="19" t="n">
        <v>2026</v>
      </c>
      <c r="E2333" s="57" t="n">
        <v>3</v>
      </c>
      <c r="F2333" s="29">
        <f>ROUND(((SUMIFS(Calendar!$F$2:$F$9997,Calendar!$B$2:$B$9997,D2333,Calendar!$C$2:$C$9997,C2333)*INDEX(ForeCalc!$B$37:$Y$274,MATCH(_xlfn.CONCAT(H2333," ",I2333),ForeCalc!$A$37:$A$274,0),MATCH(_xlfn.CONCAT(B2333," ",E2333),ForeCalc!$B$36:$Y$36,0))))*VLOOKUP(A2333,Calendar!$A$2:$H$9997,8,FALSE),0)</f>
        <v/>
      </c>
      <c r="G2333" s="29">
        <f>VLOOKUP(A2333,Calendar!$A$1:$H$9997,6,FALSE)-F2333</f>
        <v/>
      </c>
      <c r="H2333" s="19" t="n">
        <v>1</v>
      </c>
      <c r="I2333" s="57" t="n">
        <v>5</v>
      </c>
    </row>
    <row r="2334">
      <c r="A2334" s="62" t="n">
        <v>46253</v>
      </c>
      <c r="B2334" s="3" t="inlineStr">
        <is>
          <t>Week</t>
        </is>
      </c>
      <c r="C2334" s="19" t="n">
        <v>8</v>
      </c>
      <c r="D2334" s="19" t="n">
        <v>2026</v>
      </c>
      <c r="E2334" s="57" t="n">
        <v>3</v>
      </c>
      <c r="F2334" s="29">
        <f>ROUND(((SUMIFS(Calendar!$F$2:$F$9997,Calendar!$B$2:$B$9997,D2334,Calendar!$C$2:$C$9997,C2334)*INDEX(ForeCalc!$B$37:$Y$274,MATCH(_xlfn.CONCAT(H2334," ",I2334),ForeCalc!$A$37:$A$274,0),MATCH(_xlfn.CONCAT(B2334," ",E2334),ForeCalc!$B$36:$Y$36,0))))*VLOOKUP(A2334,Calendar!$A$2:$H$9997,8,FALSE),0)</f>
        <v/>
      </c>
      <c r="G2334" s="29">
        <f>VLOOKUP(A2334,Calendar!$A$1:$H$9997,6,FALSE)-F2334</f>
        <v/>
      </c>
      <c r="H2334" s="19" t="n">
        <v>1</v>
      </c>
      <c r="I2334" s="57" t="n">
        <v>5</v>
      </c>
    </row>
    <row r="2335">
      <c r="A2335" s="62" t="n">
        <v>46254</v>
      </c>
      <c r="B2335" s="3" t="inlineStr">
        <is>
          <t>Week</t>
        </is>
      </c>
      <c r="C2335" s="19" t="n">
        <v>8</v>
      </c>
      <c r="D2335" s="19" t="n">
        <v>2026</v>
      </c>
      <c r="E2335" s="57" t="n">
        <v>3</v>
      </c>
      <c r="F2335" s="29">
        <f>ROUND(((SUMIFS(Calendar!$F$2:$F$9997,Calendar!$B$2:$B$9997,D2335,Calendar!$C$2:$C$9997,C2335)*INDEX(ForeCalc!$B$37:$Y$274,MATCH(_xlfn.CONCAT(H2335," ",I2335),ForeCalc!$A$37:$A$274,0),MATCH(_xlfn.CONCAT(B2335," ",E2335),ForeCalc!$B$36:$Y$36,0))))*VLOOKUP(A2335,Calendar!$A$2:$H$9997,8,FALSE),0)</f>
        <v/>
      </c>
      <c r="G2335" s="29">
        <f>VLOOKUP(A2335,Calendar!$A$1:$H$9997,6,FALSE)-F2335</f>
        <v/>
      </c>
      <c r="H2335" s="19" t="n">
        <v>1</v>
      </c>
      <c r="I2335" s="57" t="n">
        <v>5</v>
      </c>
    </row>
    <row r="2336">
      <c r="A2336" s="62" t="n">
        <v>46255</v>
      </c>
      <c r="B2336" s="3" t="inlineStr">
        <is>
          <t>Week</t>
        </is>
      </c>
      <c r="C2336" s="19" t="n">
        <v>8</v>
      </c>
      <c r="D2336" s="19" t="n">
        <v>2026</v>
      </c>
      <c r="E2336" s="57" t="n">
        <v>3</v>
      </c>
      <c r="F2336" s="29">
        <f>ROUND(((SUMIFS(Calendar!$F$2:$F$9997,Calendar!$B$2:$B$9997,D2336,Calendar!$C$2:$C$9997,C2336)*INDEX(ForeCalc!$B$37:$Y$274,MATCH(_xlfn.CONCAT(H2336," ",I2336),ForeCalc!$A$37:$A$274,0),MATCH(_xlfn.CONCAT(B2336," ",E2336),ForeCalc!$B$36:$Y$36,0))))*VLOOKUP(A2336,Calendar!$A$2:$H$9997,8,FALSE),0)</f>
        <v/>
      </c>
      <c r="G2336" s="29">
        <f>VLOOKUP(A2336,Calendar!$A$1:$H$9997,6,FALSE)-F2336</f>
        <v/>
      </c>
      <c r="H2336" s="19" t="n">
        <v>1</v>
      </c>
      <c r="I2336" s="57" t="n">
        <v>5</v>
      </c>
    </row>
    <row r="2337">
      <c r="A2337" s="62" t="n">
        <v>46256</v>
      </c>
      <c r="B2337" s="3" t="inlineStr">
        <is>
          <t>Sat</t>
        </is>
      </c>
      <c r="C2337" s="19" t="n">
        <v>8</v>
      </c>
      <c r="D2337" s="19" t="n">
        <v>2026</v>
      </c>
      <c r="E2337" s="57" t="n">
        <v>3</v>
      </c>
      <c r="F2337" s="29">
        <f>ROUND(((SUMIFS(Calendar!$F$2:$F$9997,Calendar!$B$2:$B$9997,D2337,Calendar!$C$2:$C$9997,C2337)*INDEX(ForeCalc!$B$37:$Y$274,MATCH(_xlfn.CONCAT(H2337," ",I2337),ForeCalc!$A$37:$A$274,0),MATCH(_xlfn.CONCAT(B2337," ",E2337),ForeCalc!$B$36:$Y$36,0))))*VLOOKUP(A2337,Calendar!$A$2:$H$9997,8,FALSE),0)</f>
        <v/>
      </c>
      <c r="G2337" s="29">
        <f>VLOOKUP(A2337,Calendar!$A$1:$H$9997,6,FALSE)-F2337</f>
        <v/>
      </c>
      <c r="H2337" s="19" t="n">
        <v>1</v>
      </c>
      <c r="I2337" s="57" t="n">
        <v>5</v>
      </c>
    </row>
    <row r="2338">
      <c r="A2338" s="62" t="n">
        <v>46257</v>
      </c>
      <c r="B2338" s="3" t="inlineStr">
        <is>
          <t>Sun</t>
        </is>
      </c>
      <c r="C2338" s="19" t="n">
        <v>8</v>
      </c>
      <c r="D2338" s="19" t="n">
        <v>2026</v>
      </c>
      <c r="E2338" s="57" t="n">
        <v>3</v>
      </c>
      <c r="F2338" s="29">
        <f>ROUND(((SUMIFS(Calendar!$F$2:$F$9997,Calendar!$B$2:$B$9997,D2338,Calendar!$C$2:$C$9997,C2338)*INDEX(ForeCalc!$B$37:$Y$274,MATCH(_xlfn.CONCAT(H2338," ",I2338),ForeCalc!$A$37:$A$274,0),MATCH(_xlfn.CONCAT(B2338," ",E2338),ForeCalc!$B$36:$Y$36,0))))*VLOOKUP(A2338,Calendar!$A$2:$H$9997,8,FALSE),0)</f>
        <v/>
      </c>
      <c r="G2338" s="29">
        <f>VLOOKUP(A2338,Calendar!$A$1:$H$9997,6,FALSE)-F2338</f>
        <v/>
      </c>
      <c r="H2338" s="19" t="n">
        <v>1</v>
      </c>
      <c r="I2338" s="57" t="n">
        <v>5</v>
      </c>
    </row>
    <row r="2339">
      <c r="A2339" s="62" t="n">
        <v>46258</v>
      </c>
      <c r="B2339" s="3" t="inlineStr">
        <is>
          <t>Week</t>
        </is>
      </c>
      <c r="C2339" s="19" t="n">
        <v>8</v>
      </c>
      <c r="D2339" s="19" t="n">
        <v>2026</v>
      </c>
      <c r="E2339" s="57" t="n">
        <v>3</v>
      </c>
      <c r="F2339" s="29">
        <f>ROUND(((SUMIFS(Calendar!$F$2:$F$9997,Calendar!$B$2:$B$9997,D2339,Calendar!$C$2:$C$9997,C2339)*INDEX(ForeCalc!$B$37:$Y$274,MATCH(_xlfn.CONCAT(H2339," ",I2339),ForeCalc!$A$37:$A$274,0),MATCH(_xlfn.CONCAT(B2339," ",E2339),ForeCalc!$B$36:$Y$36,0))))*VLOOKUP(A2339,Calendar!$A$2:$H$9997,8,FALSE),0)</f>
        <v/>
      </c>
      <c r="G2339" s="29">
        <f>VLOOKUP(A2339,Calendar!$A$1:$H$9997,6,FALSE)-F2339</f>
        <v/>
      </c>
      <c r="H2339" s="19" t="n">
        <v>1</v>
      </c>
      <c r="I2339" s="57" t="n">
        <v>5</v>
      </c>
    </row>
    <row r="2340">
      <c r="A2340" s="62" t="n">
        <v>46259</v>
      </c>
      <c r="B2340" s="3" t="inlineStr">
        <is>
          <t>Week</t>
        </is>
      </c>
      <c r="C2340" s="19" t="n">
        <v>8</v>
      </c>
      <c r="D2340" s="19" t="n">
        <v>2026</v>
      </c>
      <c r="E2340" s="57" t="n">
        <v>3</v>
      </c>
      <c r="F2340" s="29">
        <f>ROUND(((SUMIFS(Calendar!$F$2:$F$9997,Calendar!$B$2:$B$9997,D2340,Calendar!$C$2:$C$9997,C2340)*INDEX(ForeCalc!$B$37:$Y$274,MATCH(_xlfn.CONCAT(H2340," ",I2340),ForeCalc!$A$37:$A$274,0),MATCH(_xlfn.CONCAT(B2340," ",E2340),ForeCalc!$B$36:$Y$36,0))))*VLOOKUP(A2340,Calendar!$A$2:$H$9997,8,FALSE),0)</f>
        <v/>
      </c>
      <c r="G2340" s="29">
        <f>VLOOKUP(A2340,Calendar!$A$1:$H$9997,6,FALSE)-F2340</f>
        <v/>
      </c>
      <c r="H2340" s="19" t="n">
        <v>1</v>
      </c>
      <c r="I2340" s="57" t="n">
        <v>5</v>
      </c>
    </row>
    <row r="2341">
      <c r="A2341" s="62" t="n">
        <v>46260</v>
      </c>
      <c r="B2341" s="3" t="inlineStr">
        <is>
          <t>Week</t>
        </is>
      </c>
      <c r="C2341" s="19" t="n">
        <v>8</v>
      </c>
      <c r="D2341" s="19" t="n">
        <v>2026</v>
      </c>
      <c r="E2341" s="57" t="n">
        <v>3</v>
      </c>
      <c r="F2341" s="29">
        <f>ROUND(((SUMIFS(Calendar!$F$2:$F$9997,Calendar!$B$2:$B$9997,D2341,Calendar!$C$2:$C$9997,C2341)*INDEX(ForeCalc!$B$37:$Y$274,MATCH(_xlfn.CONCAT(H2341," ",I2341),ForeCalc!$A$37:$A$274,0),MATCH(_xlfn.CONCAT(B2341," ",E2341),ForeCalc!$B$36:$Y$36,0))))*VLOOKUP(A2341,Calendar!$A$2:$H$9997,8,FALSE),0)</f>
        <v/>
      </c>
      <c r="G2341" s="29">
        <f>VLOOKUP(A2341,Calendar!$A$1:$H$9997,6,FALSE)-F2341</f>
        <v/>
      </c>
      <c r="H2341" s="19" t="n">
        <v>1</v>
      </c>
      <c r="I2341" s="57" t="n">
        <v>5</v>
      </c>
    </row>
    <row r="2342">
      <c r="A2342" s="62" t="n">
        <v>46261</v>
      </c>
      <c r="B2342" s="3" t="inlineStr">
        <is>
          <t>Week</t>
        </is>
      </c>
      <c r="C2342" s="19" t="n">
        <v>8</v>
      </c>
      <c r="D2342" s="19" t="n">
        <v>2026</v>
      </c>
      <c r="E2342" s="57" t="n">
        <v>3</v>
      </c>
      <c r="F2342" s="29">
        <f>ROUND(((SUMIFS(Calendar!$F$2:$F$9997,Calendar!$B$2:$B$9997,D2342,Calendar!$C$2:$C$9997,C2342)*INDEX(ForeCalc!$B$37:$Y$274,MATCH(_xlfn.CONCAT(H2342," ",I2342),ForeCalc!$A$37:$A$274,0),MATCH(_xlfn.CONCAT(B2342," ",E2342),ForeCalc!$B$36:$Y$36,0))))*VLOOKUP(A2342,Calendar!$A$2:$H$9997,8,FALSE),0)</f>
        <v/>
      </c>
      <c r="G2342" s="29">
        <f>VLOOKUP(A2342,Calendar!$A$1:$H$9997,6,FALSE)-F2342</f>
        <v/>
      </c>
      <c r="H2342" s="19" t="n">
        <v>1</v>
      </c>
      <c r="I2342" s="57" t="n">
        <v>5</v>
      </c>
    </row>
    <row r="2343">
      <c r="A2343" s="62" t="n">
        <v>46262</v>
      </c>
      <c r="B2343" s="3" t="inlineStr">
        <is>
          <t>Week</t>
        </is>
      </c>
      <c r="C2343" s="19" t="n">
        <v>8</v>
      </c>
      <c r="D2343" s="19" t="n">
        <v>2026</v>
      </c>
      <c r="E2343" s="57" t="n">
        <v>3</v>
      </c>
      <c r="F2343" s="29">
        <f>ROUND(((SUMIFS(Calendar!$F$2:$F$9997,Calendar!$B$2:$B$9997,D2343,Calendar!$C$2:$C$9997,C2343)*INDEX(ForeCalc!$B$37:$Y$274,MATCH(_xlfn.CONCAT(H2343," ",I2343),ForeCalc!$A$37:$A$274,0),MATCH(_xlfn.CONCAT(B2343," ",E2343),ForeCalc!$B$36:$Y$36,0))))*VLOOKUP(A2343,Calendar!$A$2:$H$9997,8,FALSE),0)</f>
        <v/>
      </c>
      <c r="G2343" s="29">
        <f>VLOOKUP(A2343,Calendar!$A$1:$H$9997,6,FALSE)-F2343</f>
        <v/>
      </c>
      <c r="H2343" s="19" t="n">
        <v>1</v>
      </c>
      <c r="I2343" s="57" t="n">
        <v>5</v>
      </c>
    </row>
    <row r="2344">
      <c r="A2344" s="62" t="n">
        <v>46263</v>
      </c>
      <c r="B2344" s="3" t="inlineStr">
        <is>
          <t>Sat</t>
        </is>
      </c>
      <c r="C2344" s="19" t="n">
        <v>8</v>
      </c>
      <c r="D2344" s="19" t="n">
        <v>2026</v>
      </c>
      <c r="E2344" s="57" t="n">
        <v>3</v>
      </c>
      <c r="F2344" s="29">
        <f>ROUND(((SUMIFS(Calendar!$F$2:$F$9997,Calendar!$B$2:$B$9997,D2344,Calendar!$C$2:$C$9997,C2344)*INDEX(ForeCalc!$B$37:$Y$274,MATCH(_xlfn.CONCAT(H2344," ",I2344),ForeCalc!$A$37:$A$274,0),MATCH(_xlfn.CONCAT(B2344," ",E2344),ForeCalc!$B$36:$Y$36,0))))*VLOOKUP(A2344,Calendar!$A$2:$H$9997,8,FALSE),0)</f>
        <v/>
      </c>
      <c r="G2344" s="29">
        <f>VLOOKUP(A2344,Calendar!$A$1:$H$9997,6,FALSE)-F2344</f>
        <v/>
      </c>
      <c r="H2344" s="19" t="n">
        <v>1</v>
      </c>
      <c r="I2344" s="57" t="n">
        <v>5</v>
      </c>
    </row>
    <row r="2345">
      <c r="A2345" s="62" t="n">
        <v>46264</v>
      </c>
      <c r="B2345" s="3" t="inlineStr">
        <is>
          <t>Sun</t>
        </is>
      </c>
      <c r="C2345" s="19" t="n">
        <v>8</v>
      </c>
      <c r="D2345" s="19" t="n">
        <v>2026</v>
      </c>
      <c r="E2345" s="57" t="n">
        <v>3</v>
      </c>
      <c r="F2345" s="29">
        <f>ROUND(((SUMIFS(Calendar!$F$2:$F$9997,Calendar!$B$2:$B$9997,D2345,Calendar!$C$2:$C$9997,C2345)*INDEX(ForeCalc!$B$37:$Y$274,MATCH(_xlfn.CONCAT(H2345," ",I2345),ForeCalc!$A$37:$A$274,0),MATCH(_xlfn.CONCAT(B2345," ",E2345),ForeCalc!$B$36:$Y$36,0))))*VLOOKUP(A2345,Calendar!$A$2:$H$9997,8,FALSE),0)</f>
        <v/>
      </c>
      <c r="G2345" s="29">
        <f>VLOOKUP(A2345,Calendar!$A$1:$H$9997,6,FALSE)-F2345</f>
        <v/>
      </c>
      <c r="H2345" s="19" t="n">
        <v>1</v>
      </c>
      <c r="I2345" s="57" t="n">
        <v>5</v>
      </c>
    </row>
    <row r="2346">
      <c r="A2346" s="62" t="n">
        <v>46265</v>
      </c>
      <c r="B2346" s="3" t="inlineStr">
        <is>
          <t>Week</t>
        </is>
      </c>
      <c r="C2346" s="19" t="n">
        <v>8</v>
      </c>
      <c r="D2346" s="19" t="n">
        <v>2026</v>
      </c>
      <c r="E2346" s="57" t="n">
        <v>3</v>
      </c>
      <c r="F2346" s="29">
        <f>ROUND(((SUMIFS(Calendar!$F$2:$F$9997,Calendar!$B$2:$B$9997,D2346,Calendar!$C$2:$C$9997,C2346)*INDEX(ForeCalc!$B$37:$Y$274,MATCH(_xlfn.CONCAT(H2346," ",I2346),ForeCalc!$A$37:$A$274,0),MATCH(_xlfn.CONCAT(B2346," ",E2346),ForeCalc!$B$36:$Y$36,0))))*VLOOKUP(A2346,Calendar!$A$2:$H$9997,8,FALSE),0)</f>
        <v/>
      </c>
      <c r="G2346" s="29">
        <f>VLOOKUP(A2346,Calendar!$A$1:$H$9997,6,FALSE)-F2346</f>
        <v/>
      </c>
      <c r="H2346" s="19" t="n">
        <v>1</v>
      </c>
      <c r="I2346" s="57" t="n">
        <v>5</v>
      </c>
    </row>
    <row r="2347">
      <c r="A2347" s="62" t="n">
        <v>46266</v>
      </c>
      <c r="B2347" s="3" t="inlineStr">
        <is>
          <t>Week</t>
        </is>
      </c>
      <c r="C2347" s="19" t="n">
        <v>9</v>
      </c>
      <c r="D2347" s="19" t="n">
        <v>2026</v>
      </c>
      <c r="E2347" s="57" t="n">
        <v>3</v>
      </c>
      <c r="F2347" s="29">
        <f>ROUND(((SUMIFS(Calendar!$F$2:$F$9997,Calendar!$B$2:$B$9997,D2347,Calendar!$C$2:$C$9997,C2347)*INDEX(ForeCalc!$B$37:$Y$274,MATCH(_xlfn.CONCAT(H2347," ",I2347),ForeCalc!$A$37:$A$274,0),MATCH(_xlfn.CONCAT(B2347," ",E2347),ForeCalc!$B$36:$Y$36,0))))*VLOOKUP(A2347,Calendar!$A$2:$H$9997,8,FALSE),0)</f>
        <v/>
      </c>
      <c r="G2347" s="29">
        <f>VLOOKUP(A2347,Calendar!$A$1:$H$9997,6,FALSE)-F2347</f>
        <v/>
      </c>
      <c r="H2347" s="19" t="n">
        <v>1</v>
      </c>
      <c r="I2347" s="57" t="n">
        <v>6</v>
      </c>
    </row>
    <row r="2348">
      <c r="A2348" s="62" t="n">
        <v>46267</v>
      </c>
      <c r="B2348" s="3" t="inlineStr">
        <is>
          <t>Week</t>
        </is>
      </c>
      <c r="C2348" s="19" t="n">
        <v>9</v>
      </c>
      <c r="D2348" s="19" t="n">
        <v>2026</v>
      </c>
      <c r="E2348" s="57" t="n">
        <v>3</v>
      </c>
      <c r="F2348" s="29">
        <f>ROUND(((SUMIFS(Calendar!$F$2:$F$9997,Calendar!$B$2:$B$9997,D2348,Calendar!$C$2:$C$9997,C2348)*INDEX(ForeCalc!$B$37:$Y$274,MATCH(_xlfn.CONCAT(H2348," ",I2348),ForeCalc!$A$37:$A$274,0),MATCH(_xlfn.CONCAT(B2348," ",E2348),ForeCalc!$B$36:$Y$36,0))))*VLOOKUP(A2348,Calendar!$A$2:$H$9997,8,FALSE),0)</f>
        <v/>
      </c>
      <c r="G2348" s="29">
        <f>VLOOKUP(A2348,Calendar!$A$1:$H$9997,6,FALSE)-F2348</f>
        <v/>
      </c>
      <c r="H2348" s="19" t="n">
        <v>1</v>
      </c>
      <c r="I2348" s="57" t="n">
        <v>6</v>
      </c>
    </row>
    <row r="2349">
      <c r="A2349" s="62" t="n">
        <v>46268</v>
      </c>
      <c r="B2349" s="3" t="inlineStr">
        <is>
          <t>Week</t>
        </is>
      </c>
      <c r="C2349" s="19" t="n">
        <v>9</v>
      </c>
      <c r="D2349" s="19" t="n">
        <v>2026</v>
      </c>
      <c r="E2349" s="57" t="n">
        <v>3</v>
      </c>
      <c r="F2349" s="29">
        <f>ROUND(((SUMIFS(Calendar!$F$2:$F$9997,Calendar!$B$2:$B$9997,D2349,Calendar!$C$2:$C$9997,C2349)*INDEX(ForeCalc!$B$37:$Y$274,MATCH(_xlfn.CONCAT(H2349," ",I2349),ForeCalc!$A$37:$A$274,0),MATCH(_xlfn.CONCAT(B2349," ",E2349),ForeCalc!$B$36:$Y$36,0))))*VLOOKUP(A2349,Calendar!$A$2:$H$9997,8,FALSE),0)</f>
        <v/>
      </c>
      <c r="G2349" s="29">
        <f>VLOOKUP(A2349,Calendar!$A$1:$H$9997,6,FALSE)-F2349</f>
        <v/>
      </c>
      <c r="H2349" s="19" t="n">
        <v>1</v>
      </c>
      <c r="I2349" s="57" t="n">
        <v>6</v>
      </c>
    </row>
    <row r="2350">
      <c r="A2350" s="62" t="n">
        <v>46269</v>
      </c>
      <c r="B2350" s="3" t="inlineStr">
        <is>
          <t>Week</t>
        </is>
      </c>
      <c r="C2350" s="19" t="n">
        <v>9</v>
      </c>
      <c r="D2350" s="19" t="n">
        <v>2026</v>
      </c>
      <c r="E2350" s="57" t="n">
        <v>3</v>
      </c>
      <c r="F2350" s="29">
        <f>ROUND(((SUMIFS(Calendar!$F$2:$F$9997,Calendar!$B$2:$B$9997,D2350,Calendar!$C$2:$C$9997,C2350)*INDEX(ForeCalc!$B$37:$Y$274,MATCH(_xlfn.CONCAT(H2350," ",I2350),ForeCalc!$A$37:$A$274,0),MATCH(_xlfn.CONCAT(B2350," ",E2350),ForeCalc!$B$36:$Y$36,0))))*VLOOKUP(A2350,Calendar!$A$2:$H$9997,8,FALSE),0)</f>
        <v/>
      </c>
      <c r="G2350" s="29">
        <f>VLOOKUP(A2350,Calendar!$A$1:$H$9997,6,FALSE)-F2350</f>
        <v/>
      </c>
      <c r="H2350" s="19" t="n">
        <v>1</v>
      </c>
      <c r="I2350" s="57" t="n">
        <v>6</v>
      </c>
    </row>
    <row r="2351">
      <c r="A2351" s="62" t="n">
        <v>46270</v>
      </c>
      <c r="B2351" s="3" t="inlineStr">
        <is>
          <t>Sat</t>
        </is>
      </c>
      <c r="C2351" s="19" t="n">
        <v>9</v>
      </c>
      <c r="D2351" s="19" t="n">
        <v>2026</v>
      </c>
      <c r="E2351" s="57" t="n">
        <v>3</v>
      </c>
      <c r="F2351" s="29">
        <f>ROUND(((SUMIFS(Calendar!$F$2:$F$9997,Calendar!$B$2:$B$9997,D2351,Calendar!$C$2:$C$9997,C2351)*INDEX(ForeCalc!$B$37:$Y$274,MATCH(_xlfn.CONCAT(H2351," ",I2351),ForeCalc!$A$37:$A$274,0),MATCH(_xlfn.CONCAT(B2351," ",E2351),ForeCalc!$B$36:$Y$36,0))))*VLOOKUP(A2351,Calendar!$A$2:$H$9997,8,FALSE),0)</f>
        <v/>
      </c>
      <c r="G2351" s="29">
        <f>VLOOKUP(A2351,Calendar!$A$1:$H$9997,6,FALSE)-F2351</f>
        <v/>
      </c>
      <c r="H2351" s="19" t="n">
        <v>1</v>
      </c>
      <c r="I2351" s="57" t="n">
        <v>6</v>
      </c>
    </row>
    <row r="2352">
      <c r="A2352" s="62" t="n">
        <v>46271</v>
      </c>
      <c r="B2352" s="3" t="inlineStr">
        <is>
          <t>Sun</t>
        </is>
      </c>
      <c r="C2352" s="19" t="n">
        <v>9</v>
      </c>
      <c r="D2352" s="19" t="n">
        <v>2026</v>
      </c>
      <c r="E2352" s="57" t="n">
        <v>3</v>
      </c>
      <c r="F2352" s="29">
        <f>ROUND(((SUMIFS(Calendar!$F$2:$F$9997,Calendar!$B$2:$B$9997,D2352,Calendar!$C$2:$C$9997,C2352)*INDEX(ForeCalc!$B$37:$Y$274,MATCH(_xlfn.CONCAT(H2352," ",I2352),ForeCalc!$A$37:$A$274,0),MATCH(_xlfn.CONCAT(B2352," ",E2352),ForeCalc!$B$36:$Y$36,0))))*VLOOKUP(A2352,Calendar!$A$2:$H$9997,8,FALSE),0)</f>
        <v/>
      </c>
      <c r="G2352" s="29">
        <f>VLOOKUP(A2352,Calendar!$A$1:$H$9997,6,FALSE)-F2352</f>
        <v/>
      </c>
      <c r="H2352" s="19" t="n">
        <v>1</v>
      </c>
      <c r="I2352" s="57" t="n">
        <v>6</v>
      </c>
    </row>
    <row r="2353">
      <c r="A2353" s="62" t="n">
        <v>46272</v>
      </c>
      <c r="B2353" s="3" t="inlineStr">
        <is>
          <t>Week</t>
        </is>
      </c>
      <c r="C2353" s="19" t="n">
        <v>9</v>
      </c>
      <c r="D2353" s="19" t="n">
        <v>2026</v>
      </c>
      <c r="E2353" s="57" t="n">
        <v>3</v>
      </c>
      <c r="F2353" s="29">
        <f>ROUND(((SUMIFS(Calendar!$F$2:$F$9997,Calendar!$B$2:$B$9997,D2353,Calendar!$C$2:$C$9997,C2353)*INDEX(ForeCalc!$B$37:$Y$274,MATCH(_xlfn.CONCAT(H2353," ",I2353),ForeCalc!$A$37:$A$274,0),MATCH(_xlfn.CONCAT(B2353," ",E2353),ForeCalc!$B$36:$Y$36,0))))*VLOOKUP(A2353,Calendar!$A$2:$H$9997,8,FALSE),0)</f>
        <v/>
      </c>
      <c r="G2353" s="29">
        <f>VLOOKUP(A2353,Calendar!$A$1:$H$9997,6,FALSE)-F2353</f>
        <v/>
      </c>
      <c r="H2353" s="19" t="n">
        <v>1</v>
      </c>
      <c r="I2353" s="57" t="n">
        <v>6</v>
      </c>
    </row>
    <row r="2354">
      <c r="A2354" s="62" t="n">
        <v>46273</v>
      </c>
      <c r="B2354" s="3" t="inlineStr">
        <is>
          <t>Week</t>
        </is>
      </c>
      <c r="C2354" s="19" t="n">
        <v>9</v>
      </c>
      <c r="D2354" s="19" t="n">
        <v>2026</v>
      </c>
      <c r="E2354" s="57" t="n">
        <v>3</v>
      </c>
      <c r="F2354" s="29">
        <f>ROUND(((SUMIFS(Calendar!$F$2:$F$9997,Calendar!$B$2:$B$9997,D2354,Calendar!$C$2:$C$9997,C2354)*INDEX(ForeCalc!$B$37:$Y$274,MATCH(_xlfn.CONCAT(H2354," ",I2354),ForeCalc!$A$37:$A$274,0),MATCH(_xlfn.CONCAT(B2354," ",E2354),ForeCalc!$B$36:$Y$36,0))))*VLOOKUP(A2354,Calendar!$A$2:$H$9997,8,FALSE),0)</f>
        <v/>
      </c>
      <c r="G2354" s="29">
        <f>VLOOKUP(A2354,Calendar!$A$1:$H$9997,6,FALSE)-F2354</f>
        <v/>
      </c>
      <c r="H2354" s="19" t="n">
        <v>1</v>
      </c>
      <c r="I2354" s="57" t="n">
        <v>6</v>
      </c>
    </row>
    <row r="2355">
      <c r="A2355" s="62" t="n">
        <v>46274</v>
      </c>
      <c r="B2355" s="3" t="inlineStr">
        <is>
          <t>Week</t>
        </is>
      </c>
      <c r="C2355" s="19" t="n">
        <v>9</v>
      </c>
      <c r="D2355" s="19" t="n">
        <v>2026</v>
      </c>
      <c r="E2355" s="57" t="n">
        <v>3</v>
      </c>
      <c r="F2355" s="29">
        <f>ROUND(((SUMIFS(Calendar!$F$2:$F$9997,Calendar!$B$2:$B$9997,D2355,Calendar!$C$2:$C$9997,C2355)*INDEX(ForeCalc!$B$37:$Y$274,MATCH(_xlfn.CONCAT(H2355," ",I2355),ForeCalc!$A$37:$A$274,0),MATCH(_xlfn.CONCAT(B2355," ",E2355),ForeCalc!$B$36:$Y$36,0))))*VLOOKUP(A2355,Calendar!$A$2:$H$9997,8,FALSE),0)</f>
        <v/>
      </c>
      <c r="G2355" s="29">
        <f>VLOOKUP(A2355,Calendar!$A$1:$H$9997,6,FALSE)-F2355</f>
        <v/>
      </c>
      <c r="H2355" s="19" t="n">
        <v>1</v>
      </c>
      <c r="I2355" s="57" t="n">
        <v>6</v>
      </c>
    </row>
    <row r="2356">
      <c r="A2356" s="62" t="n">
        <v>46275</v>
      </c>
      <c r="B2356" s="3" t="inlineStr">
        <is>
          <t>Week</t>
        </is>
      </c>
      <c r="C2356" s="19" t="n">
        <v>9</v>
      </c>
      <c r="D2356" s="19" t="n">
        <v>2026</v>
      </c>
      <c r="E2356" s="57" t="n">
        <v>3</v>
      </c>
      <c r="F2356" s="29">
        <f>ROUND(((SUMIFS(Calendar!$F$2:$F$9997,Calendar!$B$2:$B$9997,D2356,Calendar!$C$2:$C$9997,C2356)*INDEX(ForeCalc!$B$37:$Y$274,MATCH(_xlfn.CONCAT(H2356," ",I2356),ForeCalc!$A$37:$A$274,0),MATCH(_xlfn.CONCAT(B2356," ",E2356),ForeCalc!$B$36:$Y$36,0))))*VLOOKUP(A2356,Calendar!$A$2:$H$9997,8,FALSE),0)</f>
        <v/>
      </c>
      <c r="G2356" s="29">
        <f>VLOOKUP(A2356,Calendar!$A$1:$H$9997,6,FALSE)-F2356</f>
        <v/>
      </c>
      <c r="H2356" s="19" t="n">
        <v>1</v>
      </c>
      <c r="I2356" s="57" t="n">
        <v>6</v>
      </c>
    </row>
    <row r="2357">
      <c r="A2357" s="62" t="n">
        <v>46276</v>
      </c>
      <c r="B2357" s="3" t="inlineStr">
        <is>
          <t>Week</t>
        </is>
      </c>
      <c r="C2357" s="19" t="n">
        <v>9</v>
      </c>
      <c r="D2357" s="19" t="n">
        <v>2026</v>
      </c>
      <c r="E2357" s="57" t="n">
        <v>3</v>
      </c>
      <c r="F2357" s="29">
        <f>ROUND(((SUMIFS(Calendar!$F$2:$F$9997,Calendar!$B$2:$B$9997,D2357,Calendar!$C$2:$C$9997,C2357)*INDEX(ForeCalc!$B$37:$Y$274,MATCH(_xlfn.CONCAT(H2357," ",I2357),ForeCalc!$A$37:$A$274,0),MATCH(_xlfn.CONCAT(B2357," ",E2357),ForeCalc!$B$36:$Y$36,0))))*VLOOKUP(A2357,Calendar!$A$2:$H$9997,8,FALSE),0)</f>
        <v/>
      </c>
      <c r="G2357" s="29">
        <f>VLOOKUP(A2357,Calendar!$A$1:$H$9997,6,FALSE)-F2357</f>
        <v/>
      </c>
      <c r="H2357" s="19" t="n">
        <v>1</v>
      </c>
      <c r="I2357" s="57" t="n">
        <v>6</v>
      </c>
    </row>
    <row r="2358">
      <c r="A2358" s="62" t="n">
        <v>46277</v>
      </c>
      <c r="B2358" s="3" t="inlineStr">
        <is>
          <t>Sat</t>
        </is>
      </c>
      <c r="C2358" s="19" t="n">
        <v>9</v>
      </c>
      <c r="D2358" s="19" t="n">
        <v>2026</v>
      </c>
      <c r="E2358" s="57" t="n">
        <v>3</v>
      </c>
      <c r="F2358" s="29">
        <f>ROUND(((SUMIFS(Calendar!$F$2:$F$9997,Calendar!$B$2:$B$9997,D2358,Calendar!$C$2:$C$9997,C2358)*INDEX(ForeCalc!$B$37:$Y$274,MATCH(_xlfn.CONCAT(H2358," ",I2358),ForeCalc!$A$37:$A$274,0),MATCH(_xlfn.CONCAT(B2358," ",E2358),ForeCalc!$B$36:$Y$36,0))))*VLOOKUP(A2358,Calendar!$A$2:$H$9997,8,FALSE),0)</f>
        <v/>
      </c>
      <c r="G2358" s="29">
        <f>VLOOKUP(A2358,Calendar!$A$1:$H$9997,6,FALSE)-F2358</f>
        <v/>
      </c>
      <c r="H2358" s="19" t="n">
        <v>1</v>
      </c>
      <c r="I2358" s="57" t="n">
        <v>6</v>
      </c>
    </row>
    <row r="2359">
      <c r="A2359" s="62" t="n">
        <v>46278</v>
      </c>
      <c r="B2359" s="3" t="inlineStr">
        <is>
          <t>Sun</t>
        </is>
      </c>
      <c r="C2359" s="19" t="n">
        <v>9</v>
      </c>
      <c r="D2359" s="19" t="n">
        <v>2026</v>
      </c>
      <c r="E2359" s="57" t="n">
        <v>3</v>
      </c>
      <c r="F2359" s="29">
        <f>ROUND(((SUMIFS(Calendar!$F$2:$F$9997,Calendar!$B$2:$B$9997,D2359,Calendar!$C$2:$C$9997,C2359)*INDEX(ForeCalc!$B$37:$Y$274,MATCH(_xlfn.CONCAT(H2359," ",I2359),ForeCalc!$A$37:$A$274,0),MATCH(_xlfn.CONCAT(B2359," ",E2359),ForeCalc!$B$36:$Y$36,0))))*VLOOKUP(A2359,Calendar!$A$2:$H$9997,8,FALSE),0)</f>
        <v/>
      </c>
      <c r="G2359" s="29">
        <f>VLOOKUP(A2359,Calendar!$A$1:$H$9997,6,FALSE)-F2359</f>
        <v/>
      </c>
      <c r="H2359" s="19" t="n">
        <v>1</v>
      </c>
      <c r="I2359" s="57" t="n">
        <v>6</v>
      </c>
    </row>
    <row r="2360">
      <c r="A2360" s="62" t="n">
        <v>46279</v>
      </c>
      <c r="B2360" s="3" t="inlineStr">
        <is>
          <t>Week</t>
        </is>
      </c>
      <c r="C2360" s="19" t="n">
        <v>9</v>
      </c>
      <c r="D2360" s="19" t="n">
        <v>2026</v>
      </c>
      <c r="E2360" s="57" t="n">
        <v>3</v>
      </c>
      <c r="F2360" s="29">
        <f>ROUND(((SUMIFS(Calendar!$F$2:$F$9997,Calendar!$B$2:$B$9997,D2360,Calendar!$C$2:$C$9997,C2360)*INDEX(ForeCalc!$B$37:$Y$274,MATCH(_xlfn.CONCAT(H2360," ",I2360),ForeCalc!$A$37:$A$274,0),MATCH(_xlfn.CONCAT(B2360," ",E2360),ForeCalc!$B$36:$Y$36,0))))*VLOOKUP(A2360,Calendar!$A$2:$H$9997,8,FALSE),0)</f>
        <v/>
      </c>
      <c r="G2360" s="29">
        <f>VLOOKUP(A2360,Calendar!$A$1:$H$9997,6,FALSE)-F2360</f>
        <v/>
      </c>
      <c r="H2360" s="19" t="n">
        <v>1</v>
      </c>
      <c r="I2360" s="57" t="n">
        <v>6</v>
      </c>
    </row>
    <row r="2361">
      <c r="A2361" s="62" t="n">
        <v>46280</v>
      </c>
      <c r="B2361" s="3" t="inlineStr">
        <is>
          <t>Week</t>
        </is>
      </c>
      <c r="C2361" s="19" t="n">
        <v>9</v>
      </c>
      <c r="D2361" s="19" t="n">
        <v>2026</v>
      </c>
      <c r="E2361" s="57" t="n">
        <v>3</v>
      </c>
      <c r="F2361" s="29">
        <f>ROUND(((SUMIFS(Calendar!$F$2:$F$9997,Calendar!$B$2:$B$9997,D2361,Calendar!$C$2:$C$9997,C2361)*INDEX(ForeCalc!$B$37:$Y$274,MATCH(_xlfn.CONCAT(H2361," ",I2361),ForeCalc!$A$37:$A$274,0),MATCH(_xlfn.CONCAT(B2361," ",E2361),ForeCalc!$B$36:$Y$36,0))))*VLOOKUP(A2361,Calendar!$A$2:$H$9997,8,FALSE),0)</f>
        <v/>
      </c>
      <c r="G2361" s="29">
        <f>VLOOKUP(A2361,Calendar!$A$1:$H$9997,6,FALSE)-F2361</f>
        <v/>
      </c>
      <c r="H2361" s="19" t="n">
        <v>1</v>
      </c>
      <c r="I2361" s="57" t="n">
        <v>6</v>
      </c>
    </row>
    <row r="2362">
      <c r="A2362" s="62" t="n">
        <v>46281</v>
      </c>
      <c r="B2362" s="3" t="inlineStr">
        <is>
          <t>Week</t>
        </is>
      </c>
      <c r="C2362" s="19" t="n">
        <v>9</v>
      </c>
      <c r="D2362" s="19" t="n">
        <v>2026</v>
      </c>
      <c r="E2362" s="57" t="n">
        <v>3</v>
      </c>
      <c r="F2362" s="29">
        <f>ROUND(((SUMIFS(Calendar!$F$2:$F$9997,Calendar!$B$2:$B$9997,D2362,Calendar!$C$2:$C$9997,C2362)*INDEX(ForeCalc!$B$37:$Y$274,MATCH(_xlfn.CONCAT(H2362," ",I2362),ForeCalc!$A$37:$A$274,0),MATCH(_xlfn.CONCAT(B2362," ",E2362),ForeCalc!$B$36:$Y$36,0))))*VLOOKUP(A2362,Calendar!$A$2:$H$9997,8,FALSE),0)</f>
        <v/>
      </c>
      <c r="G2362" s="29">
        <f>VLOOKUP(A2362,Calendar!$A$1:$H$9997,6,FALSE)-F2362</f>
        <v/>
      </c>
      <c r="H2362" s="19" t="n">
        <v>1</v>
      </c>
      <c r="I2362" s="57" t="n">
        <v>6</v>
      </c>
    </row>
    <row r="2363">
      <c r="A2363" s="62" t="n">
        <v>46282</v>
      </c>
      <c r="B2363" s="3" t="inlineStr">
        <is>
          <t>Week</t>
        </is>
      </c>
      <c r="C2363" s="19" t="n">
        <v>9</v>
      </c>
      <c r="D2363" s="19" t="n">
        <v>2026</v>
      </c>
      <c r="E2363" s="57" t="n">
        <v>3</v>
      </c>
      <c r="F2363" s="29">
        <f>ROUND(((SUMIFS(Calendar!$F$2:$F$9997,Calendar!$B$2:$B$9997,D2363,Calendar!$C$2:$C$9997,C2363)*INDEX(ForeCalc!$B$37:$Y$274,MATCH(_xlfn.CONCAT(H2363," ",I2363),ForeCalc!$A$37:$A$274,0),MATCH(_xlfn.CONCAT(B2363," ",E2363),ForeCalc!$B$36:$Y$36,0))))*VLOOKUP(A2363,Calendar!$A$2:$H$9997,8,FALSE),0)</f>
        <v/>
      </c>
      <c r="G2363" s="29">
        <f>VLOOKUP(A2363,Calendar!$A$1:$H$9997,6,FALSE)-F2363</f>
        <v/>
      </c>
      <c r="H2363" s="19" t="n">
        <v>1</v>
      </c>
      <c r="I2363" s="57" t="n">
        <v>6</v>
      </c>
    </row>
    <row r="2364">
      <c r="A2364" s="62" t="n">
        <v>46283</v>
      </c>
      <c r="B2364" s="3" t="inlineStr">
        <is>
          <t>Week</t>
        </is>
      </c>
      <c r="C2364" s="19" t="n">
        <v>9</v>
      </c>
      <c r="D2364" s="19" t="n">
        <v>2026</v>
      </c>
      <c r="E2364" s="57" t="n">
        <v>3</v>
      </c>
      <c r="F2364" s="29">
        <f>ROUND(((SUMIFS(Calendar!$F$2:$F$9997,Calendar!$B$2:$B$9997,D2364,Calendar!$C$2:$C$9997,C2364)*INDEX(ForeCalc!$B$37:$Y$274,MATCH(_xlfn.CONCAT(H2364," ",I2364),ForeCalc!$A$37:$A$274,0),MATCH(_xlfn.CONCAT(B2364," ",E2364),ForeCalc!$B$36:$Y$36,0))))*VLOOKUP(A2364,Calendar!$A$2:$H$9997,8,FALSE),0)</f>
        <v/>
      </c>
      <c r="G2364" s="29">
        <f>VLOOKUP(A2364,Calendar!$A$1:$H$9997,6,FALSE)-F2364</f>
        <v/>
      </c>
      <c r="H2364" s="19" t="n">
        <v>1</v>
      </c>
      <c r="I2364" s="57" t="n">
        <v>6</v>
      </c>
    </row>
    <row r="2365">
      <c r="A2365" s="62" t="n">
        <v>46284</v>
      </c>
      <c r="B2365" s="3" t="inlineStr">
        <is>
          <t>Sat</t>
        </is>
      </c>
      <c r="C2365" s="19" t="n">
        <v>9</v>
      </c>
      <c r="D2365" s="19" t="n">
        <v>2026</v>
      </c>
      <c r="E2365" s="57" t="n">
        <v>3</v>
      </c>
      <c r="F2365" s="29">
        <f>ROUND(((SUMIFS(Calendar!$F$2:$F$9997,Calendar!$B$2:$B$9997,D2365,Calendar!$C$2:$C$9997,C2365)*INDEX(ForeCalc!$B$37:$Y$274,MATCH(_xlfn.CONCAT(H2365," ",I2365),ForeCalc!$A$37:$A$274,0),MATCH(_xlfn.CONCAT(B2365," ",E2365),ForeCalc!$B$36:$Y$36,0))))*VLOOKUP(A2365,Calendar!$A$2:$H$9997,8,FALSE),0)</f>
        <v/>
      </c>
      <c r="G2365" s="29">
        <f>VLOOKUP(A2365,Calendar!$A$1:$H$9997,6,FALSE)-F2365</f>
        <v/>
      </c>
      <c r="H2365" s="19" t="n">
        <v>1</v>
      </c>
      <c r="I2365" s="57" t="n">
        <v>6</v>
      </c>
    </row>
    <row r="2366">
      <c r="A2366" s="62" t="n">
        <v>46285</v>
      </c>
      <c r="B2366" s="3" t="inlineStr">
        <is>
          <t>Sun</t>
        </is>
      </c>
      <c r="C2366" s="19" t="n">
        <v>9</v>
      </c>
      <c r="D2366" s="19" t="n">
        <v>2026</v>
      </c>
      <c r="E2366" s="57" t="n">
        <v>3</v>
      </c>
      <c r="F2366" s="29">
        <f>ROUND(((SUMIFS(Calendar!$F$2:$F$9997,Calendar!$B$2:$B$9997,D2366,Calendar!$C$2:$C$9997,C2366)*INDEX(ForeCalc!$B$37:$Y$274,MATCH(_xlfn.CONCAT(H2366," ",I2366),ForeCalc!$A$37:$A$274,0),MATCH(_xlfn.CONCAT(B2366," ",E2366),ForeCalc!$B$36:$Y$36,0))))*VLOOKUP(A2366,Calendar!$A$2:$H$9997,8,FALSE),0)</f>
        <v/>
      </c>
      <c r="G2366" s="29">
        <f>VLOOKUP(A2366,Calendar!$A$1:$H$9997,6,FALSE)-F2366</f>
        <v/>
      </c>
      <c r="H2366" s="19" t="n">
        <v>1</v>
      </c>
      <c r="I2366" s="57" t="n">
        <v>6</v>
      </c>
    </row>
    <row r="2367">
      <c r="A2367" s="62" t="n">
        <v>46286</v>
      </c>
      <c r="B2367" s="3" t="inlineStr">
        <is>
          <t>Week</t>
        </is>
      </c>
      <c r="C2367" s="19" t="n">
        <v>9</v>
      </c>
      <c r="D2367" s="19" t="n">
        <v>2026</v>
      </c>
      <c r="E2367" s="57" t="n">
        <v>3</v>
      </c>
      <c r="F2367" s="29">
        <f>ROUND(((SUMIFS(Calendar!$F$2:$F$9997,Calendar!$B$2:$B$9997,D2367,Calendar!$C$2:$C$9997,C2367)*INDEX(ForeCalc!$B$37:$Y$274,MATCH(_xlfn.CONCAT(H2367," ",I2367),ForeCalc!$A$37:$A$274,0),MATCH(_xlfn.CONCAT(B2367," ",E2367),ForeCalc!$B$36:$Y$36,0))))*VLOOKUP(A2367,Calendar!$A$2:$H$9997,8,FALSE),0)</f>
        <v/>
      </c>
      <c r="G2367" s="29">
        <f>VLOOKUP(A2367,Calendar!$A$1:$H$9997,6,FALSE)-F2367</f>
        <v/>
      </c>
      <c r="H2367" s="19" t="n">
        <v>1</v>
      </c>
      <c r="I2367" s="57" t="n">
        <v>6</v>
      </c>
    </row>
    <row r="2368">
      <c r="A2368" s="62" t="n">
        <v>46287</v>
      </c>
      <c r="B2368" s="3" t="inlineStr">
        <is>
          <t>Week</t>
        </is>
      </c>
      <c r="C2368" s="19" t="n">
        <v>9</v>
      </c>
      <c r="D2368" s="19" t="n">
        <v>2026</v>
      </c>
      <c r="E2368" s="57" t="n">
        <v>3</v>
      </c>
      <c r="F2368" s="29">
        <f>ROUND(((SUMIFS(Calendar!$F$2:$F$9997,Calendar!$B$2:$B$9997,D2368,Calendar!$C$2:$C$9997,C2368)*INDEX(ForeCalc!$B$37:$Y$274,MATCH(_xlfn.CONCAT(H2368," ",I2368),ForeCalc!$A$37:$A$274,0),MATCH(_xlfn.CONCAT(B2368," ",E2368),ForeCalc!$B$36:$Y$36,0))))*VLOOKUP(A2368,Calendar!$A$2:$H$9997,8,FALSE),0)</f>
        <v/>
      </c>
      <c r="G2368" s="29">
        <f>VLOOKUP(A2368,Calendar!$A$1:$H$9997,6,FALSE)-F2368</f>
        <v/>
      </c>
      <c r="H2368" s="19" t="n">
        <v>1</v>
      </c>
      <c r="I2368" s="57" t="n">
        <v>6</v>
      </c>
    </row>
    <row r="2369">
      <c r="A2369" s="62" t="n">
        <v>46288</v>
      </c>
      <c r="B2369" s="3" t="inlineStr">
        <is>
          <t>Week</t>
        </is>
      </c>
      <c r="C2369" s="19" t="n">
        <v>9</v>
      </c>
      <c r="D2369" s="19" t="n">
        <v>2026</v>
      </c>
      <c r="E2369" s="57" t="n">
        <v>3</v>
      </c>
      <c r="F2369" s="29">
        <f>ROUND(((SUMIFS(Calendar!$F$2:$F$9997,Calendar!$B$2:$B$9997,D2369,Calendar!$C$2:$C$9997,C2369)*INDEX(ForeCalc!$B$37:$Y$274,MATCH(_xlfn.CONCAT(H2369," ",I2369),ForeCalc!$A$37:$A$274,0),MATCH(_xlfn.CONCAT(B2369," ",E2369),ForeCalc!$B$36:$Y$36,0))))*VLOOKUP(A2369,Calendar!$A$2:$H$9997,8,FALSE),0)</f>
        <v/>
      </c>
      <c r="G2369" s="29">
        <f>VLOOKUP(A2369,Calendar!$A$1:$H$9997,6,FALSE)-F2369</f>
        <v/>
      </c>
      <c r="H2369" s="19" t="n">
        <v>1</v>
      </c>
      <c r="I2369" s="57" t="n">
        <v>6</v>
      </c>
    </row>
    <row r="2370">
      <c r="A2370" s="62" t="n">
        <v>46289</v>
      </c>
      <c r="B2370" s="3" t="inlineStr">
        <is>
          <t>Week</t>
        </is>
      </c>
      <c r="C2370" s="19" t="n">
        <v>9</v>
      </c>
      <c r="D2370" s="19" t="n">
        <v>2026</v>
      </c>
      <c r="E2370" s="57" t="n">
        <v>3</v>
      </c>
      <c r="F2370" s="29">
        <f>ROUND(((SUMIFS(Calendar!$F$2:$F$9997,Calendar!$B$2:$B$9997,D2370,Calendar!$C$2:$C$9997,C2370)*INDEX(ForeCalc!$B$37:$Y$274,MATCH(_xlfn.CONCAT(H2370," ",I2370),ForeCalc!$A$37:$A$274,0),MATCH(_xlfn.CONCAT(B2370," ",E2370),ForeCalc!$B$36:$Y$36,0))))*VLOOKUP(A2370,Calendar!$A$2:$H$9997,8,FALSE),0)</f>
        <v/>
      </c>
      <c r="G2370" s="29">
        <f>VLOOKUP(A2370,Calendar!$A$1:$H$9997,6,FALSE)-F2370</f>
        <v/>
      </c>
      <c r="H2370" s="19" t="n">
        <v>1</v>
      </c>
      <c r="I2370" s="57" t="n">
        <v>6</v>
      </c>
    </row>
    <row r="2371">
      <c r="A2371" s="62" t="n">
        <v>46290</v>
      </c>
      <c r="B2371" s="3" t="inlineStr">
        <is>
          <t>Week</t>
        </is>
      </c>
      <c r="C2371" s="19" t="n">
        <v>9</v>
      </c>
      <c r="D2371" s="19" t="n">
        <v>2026</v>
      </c>
      <c r="E2371" s="57" t="n">
        <v>3</v>
      </c>
      <c r="F2371" s="29">
        <f>ROUND(((SUMIFS(Calendar!$F$2:$F$9997,Calendar!$B$2:$B$9997,D2371,Calendar!$C$2:$C$9997,C2371)*INDEX(ForeCalc!$B$37:$Y$274,MATCH(_xlfn.CONCAT(H2371," ",I2371),ForeCalc!$A$37:$A$274,0),MATCH(_xlfn.CONCAT(B2371," ",E2371),ForeCalc!$B$36:$Y$36,0))))*VLOOKUP(A2371,Calendar!$A$2:$H$9997,8,FALSE),0)</f>
        <v/>
      </c>
      <c r="G2371" s="29">
        <f>VLOOKUP(A2371,Calendar!$A$1:$H$9997,6,FALSE)-F2371</f>
        <v/>
      </c>
      <c r="H2371" s="19" t="n">
        <v>1</v>
      </c>
      <c r="I2371" s="57" t="n">
        <v>6</v>
      </c>
    </row>
    <row r="2372">
      <c r="A2372" s="62" t="n">
        <v>46291</v>
      </c>
      <c r="B2372" s="3" t="inlineStr">
        <is>
          <t>Sat</t>
        </is>
      </c>
      <c r="C2372" s="19" t="n">
        <v>9</v>
      </c>
      <c r="D2372" s="19" t="n">
        <v>2026</v>
      </c>
      <c r="E2372" s="57" t="n">
        <v>3</v>
      </c>
      <c r="F2372" s="29">
        <f>ROUND(((SUMIFS(Calendar!$F$2:$F$9997,Calendar!$B$2:$B$9997,D2372,Calendar!$C$2:$C$9997,C2372)*INDEX(ForeCalc!$B$37:$Y$274,MATCH(_xlfn.CONCAT(H2372," ",I2372),ForeCalc!$A$37:$A$274,0),MATCH(_xlfn.CONCAT(B2372," ",E2372),ForeCalc!$B$36:$Y$36,0))))*VLOOKUP(A2372,Calendar!$A$2:$H$9997,8,FALSE),0)</f>
        <v/>
      </c>
      <c r="G2372" s="29">
        <f>VLOOKUP(A2372,Calendar!$A$1:$H$9997,6,FALSE)-F2372</f>
        <v/>
      </c>
      <c r="H2372" s="19" t="n">
        <v>1</v>
      </c>
      <c r="I2372" s="57" t="n">
        <v>6</v>
      </c>
    </row>
    <row r="2373">
      <c r="A2373" s="62" t="n">
        <v>46292</v>
      </c>
      <c r="B2373" s="3" t="inlineStr">
        <is>
          <t>Sun</t>
        </is>
      </c>
      <c r="C2373" s="19" t="n">
        <v>9</v>
      </c>
      <c r="D2373" s="19" t="n">
        <v>2026</v>
      </c>
      <c r="E2373" s="57" t="n">
        <v>3</v>
      </c>
      <c r="F2373" s="29">
        <f>ROUND(((SUMIFS(Calendar!$F$2:$F$9997,Calendar!$B$2:$B$9997,D2373,Calendar!$C$2:$C$9997,C2373)*INDEX(ForeCalc!$B$37:$Y$274,MATCH(_xlfn.CONCAT(H2373," ",I2373),ForeCalc!$A$37:$A$274,0),MATCH(_xlfn.CONCAT(B2373," ",E2373),ForeCalc!$B$36:$Y$36,0))))*VLOOKUP(A2373,Calendar!$A$2:$H$9997,8,FALSE),0)</f>
        <v/>
      </c>
      <c r="G2373" s="29">
        <f>VLOOKUP(A2373,Calendar!$A$1:$H$9997,6,FALSE)-F2373</f>
        <v/>
      </c>
      <c r="H2373" s="19" t="n">
        <v>1</v>
      </c>
      <c r="I2373" s="57" t="n">
        <v>6</v>
      </c>
    </row>
    <row r="2374">
      <c r="A2374" s="62" t="n">
        <v>46293</v>
      </c>
      <c r="B2374" s="3" t="inlineStr">
        <is>
          <t>Week</t>
        </is>
      </c>
      <c r="C2374" s="19" t="n">
        <v>9</v>
      </c>
      <c r="D2374" s="19" t="n">
        <v>2026</v>
      </c>
      <c r="E2374" s="57" t="n">
        <v>3</v>
      </c>
      <c r="F2374" s="29">
        <f>ROUND(((SUMIFS(Calendar!$F$2:$F$9997,Calendar!$B$2:$B$9997,D2374,Calendar!$C$2:$C$9997,C2374)*INDEX(ForeCalc!$B$37:$Y$274,MATCH(_xlfn.CONCAT(H2374," ",I2374),ForeCalc!$A$37:$A$274,0),MATCH(_xlfn.CONCAT(B2374," ",E2374),ForeCalc!$B$36:$Y$36,0))))*VLOOKUP(A2374,Calendar!$A$2:$H$9997,8,FALSE),0)</f>
        <v/>
      </c>
      <c r="G2374" s="29">
        <f>VLOOKUP(A2374,Calendar!$A$1:$H$9997,6,FALSE)-F2374</f>
        <v/>
      </c>
      <c r="H2374" s="19" t="n">
        <v>1</v>
      </c>
      <c r="I2374" s="57" t="n">
        <v>6</v>
      </c>
    </row>
    <row r="2375">
      <c r="A2375" s="62" t="n">
        <v>46294</v>
      </c>
      <c r="B2375" s="3" t="inlineStr">
        <is>
          <t>Week</t>
        </is>
      </c>
      <c r="C2375" s="19" t="n">
        <v>9</v>
      </c>
      <c r="D2375" s="19" t="n">
        <v>2026</v>
      </c>
      <c r="E2375" s="57" t="n">
        <v>3</v>
      </c>
      <c r="F2375" s="29">
        <f>ROUND(((SUMIFS(Calendar!$F$2:$F$9997,Calendar!$B$2:$B$9997,D2375,Calendar!$C$2:$C$9997,C2375)*INDEX(ForeCalc!$B$37:$Y$274,MATCH(_xlfn.CONCAT(H2375," ",I2375),ForeCalc!$A$37:$A$274,0),MATCH(_xlfn.CONCAT(B2375," ",E2375),ForeCalc!$B$36:$Y$36,0))))*VLOOKUP(A2375,Calendar!$A$2:$H$9997,8,FALSE),0)</f>
        <v/>
      </c>
      <c r="G2375" s="29">
        <f>VLOOKUP(A2375,Calendar!$A$1:$H$9997,6,FALSE)-F2375</f>
        <v/>
      </c>
      <c r="H2375" s="19" t="n">
        <v>1</v>
      </c>
      <c r="I2375" s="57" t="n">
        <v>6</v>
      </c>
    </row>
    <row r="2376">
      <c r="A2376" s="62" t="n">
        <v>46295</v>
      </c>
      <c r="B2376" s="3" t="inlineStr">
        <is>
          <t>Week</t>
        </is>
      </c>
      <c r="C2376" s="19" t="n">
        <v>9</v>
      </c>
      <c r="D2376" s="19" t="n">
        <v>2026</v>
      </c>
      <c r="E2376" s="57" t="n">
        <v>3</v>
      </c>
      <c r="F2376" s="29">
        <f>ROUND(((SUMIFS(Calendar!$F$2:$F$9997,Calendar!$B$2:$B$9997,D2376,Calendar!$C$2:$C$9997,C2376)*INDEX(ForeCalc!$B$37:$Y$274,MATCH(_xlfn.CONCAT(H2376," ",I2376),ForeCalc!$A$37:$A$274,0),MATCH(_xlfn.CONCAT(B2376," ",E2376),ForeCalc!$B$36:$Y$36,0))))*VLOOKUP(A2376,Calendar!$A$2:$H$9997,8,FALSE),0)</f>
        <v/>
      </c>
      <c r="G2376" s="29">
        <f>VLOOKUP(A2376,Calendar!$A$1:$H$9997,6,FALSE)-F2376</f>
        <v/>
      </c>
      <c r="H2376" s="19" t="n">
        <v>1</v>
      </c>
      <c r="I2376" s="57" t="n">
        <v>6</v>
      </c>
    </row>
    <row r="2377">
      <c r="A2377" s="62" t="n">
        <v>46296</v>
      </c>
      <c r="B2377" s="3" t="inlineStr">
        <is>
          <t>Week</t>
        </is>
      </c>
      <c r="C2377" s="19" t="n">
        <v>10</v>
      </c>
      <c r="D2377" s="19" t="n">
        <v>2026</v>
      </c>
      <c r="E2377" s="57" t="n">
        <v>3</v>
      </c>
      <c r="F2377" s="29">
        <f>ROUND(((SUMIFS(Calendar!$F$2:$F$9997,Calendar!$B$2:$B$9997,D2377,Calendar!$C$2:$C$9997,C2377)*INDEX(ForeCalc!$B$37:$Y$274,MATCH(_xlfn.CONCAT(H2377," ",I2377),ForeCalc!$A$37:$A$274,0),MATCH(_xlfn.CONCAT(B2377," ",E2377),ForeCalc!$B$36:$Y$36,0))))*VLOOKUP(A2377,Calendar!$A$2:$H$9997,8,FALSE),0)</f>
        <v/>
      </c>
      <c r="G2377" s="29">
        <f>VLOOKUP(A2377,Calendar!$A$1:$H$9997,6,FALSE)-F2377</f>
        <v/>
      </c>
      <c r="H2377" s="19" t="n">
        <v>1</v>
      </c>
      <c r="I2377" s="57" t="n">
        <v>7</v>
      </c>
    </row>
    <row r="2378">
      <c r="A2378" s="62" t="n">
        <v>46297</v>
      </c>
      <c r="B2378" s="3" t="inlineStr">
        <is>
          <t>Week</t>
        </is>
      </c>
      <c r="C2378" s="19" t="n">
        <v>10</v>
      </c>
      <c r="D2378" s="19" t="n">
        <v>2026</v>
      </c>
      <c r="E2378" s="57" t="n">
        <v>3</v>
      </c>
      <c r="F2378" s="29">
        <f>ROUND(((SUMIFS(Calendar!$F$2:$F$9997,Calendar!$B$2:$B$9997,D2378,Calendar!$C$2:$C$9997,C2378)*INDEX(ForeCalc!$B$37:$Y$274,MATCH(_xlfn.CONCAT(H2378," ",I2378),ForeCalc!$A$37:$A$274,0),MATCH(_xlfn.CONCAT(B2378," ",E2378),ForeCalc!$B$36:$Y$36,0))))*VLOOKUP(A2378,Calendar!$A$2:$H$9997,8,FALSE),0)</f>
        <v/>
      </c>
      <c r="G2378" s="29">
        <f>VLOOKUP(A2378,Calendar!$A$1:$H$9997,6,FALSE)-F2378</f>
        <v/>
      </c>
      <c r="H2378" s="19" t="n">
        <v>1</v>
      </c>
      <c r="I2378" s="57" t="n">
        <v>7</v>
      </c>
    </row>
    <row r="2379">
      <c r="A2379" s="62" t="n">
        <v>46298</v>
      </c>
      <c r="B2379" s="3" t="inlineStr">
        <is>
          <t>Sat</t>
        </is>
      </c>
      <c r="C2379" s="19" t="n">
        <v>10</v>
      </c>
      <c r="D2379" s="19" t="n">
        <v>2026</v>
      </c>
      <c r="E2379" s="57" t="n">
        <v>3</v>
      </c>
      <c r="F2379" s="29">
        <f>ROUND(((SUMIFS(Calendar!$F$2:$F$9997,Calendar!$B$2:$B$9997,D2379,Calendar!$C$2:$C$9997,C2379)*INDEX(ForeCalc!$B$37:$Y$274,MATCH(_xlfn.CONCAT(H2379," ",I2379),ForeCalc!$A$37:$A$274,0),MATCH(_xlfn.CONCAT(B2379," ",E2379),ForeCalc!$B$36:$Y$36,0))))*VLOOKUP(A2379,Calendar!$A$2:$H$9997,8,FALSE),0)</f>
        <v/>
      </c>
      <c r="G2379" s="29">
        <f>VLOOKUP(A2379,Calendar!$A$1:$H$9997,6,FALSE)-F2379</f>
        <v/>
      </c>
      <c r="H2379" s="19" t="n">
        <v>1</v>
      </c>
      <c r="I2379" s="57" t="n">
        <v>7</v>
      </c>
    </row>
    <row r="2380">
      <c r="A2380" s="62" t="n">
        <v>46299</v>
      </c>
      <c r="B2380" s="3" t="inlineStr">
        <is>
          <t>Sun</t>
        </is>
      </c>
      <c r="C2380" s="19" t="n">
        <v>10</v>
      </c>
      <c r="D2380" s="19" t="n">
        <v>2026</v>
      </c>
      <c r="E2380" s="57" t="n">
        <v>3</v>
      </c>
      <c r="F2380" s="29">
        <f>ROUND(((SUMIFS(Calendar!$F$2:$F$9997,Calendar!$B$2:$B$9997,D2380,Calendar!$C$2:$C$9997,C2380)*INDEX(ForeCalc!$B$37:$Y$274,MATCH(_xlfn.CONCAT(H2380," ",I2380),ForeCalc!$A$37:$A$274,0),MATCH(_xlfn.CONCAT(B2380," ",E2380),ForeCalc!$B$36:$Y$36,0))))*VLOOKUP(A2380,Calendar!$A$2:$H$9997,8,FALSE),0)</f>
        <v/>
      </c>
      <c r="G2380" s="29">
        <f>VLOOKUP(A2380,Calendar!$A$1:$H$9997,6,FALSE)-F2380</f>
        <v/>
      </c>
      <c r="H2380" s="19" t="n">
        <v>1</v>
      </c>
      <c r="I2380" s="57" t="n">
        <v>7</v>
      </c>
    </row>
    <row r="2381">
      <c r="A2381" s="62" t="n">
        <v>46300</v>
      </c>
      <c r="B2381" s="3" t="inlineStr">
        <is>
          <t>Week</t>
        </is>
      </c>
      <c r="C2381" s="19" t="n">
        <v>10</v>
      </c>
      <c r="D2381" s="19" t="n">
        <v>2026</v>
      </c>
      <c r="E2381" s="57" t="n">
        <v>3</v>
      </c>
      <c r="F2381" s="29">
        <f>ROUND(((SUMIFS(Calendar!$F$2:$F$9997,Calendar!$B$2:$B$9997,D2381,Calendar!$C$2:$C$9997,C2381)*INDEX(ForeCalc!$B$37:$Y$274,MATCH(_xlfn.CONCAT(H2381," ",I2381),ForeCalc!$A$37:$A$274,0),MATCH(_xlfn.CONCAT(B2381," ",E2381),ForeCalc!$B$36:$Y$36,0))))*VLOOKUP(A2381,Calendar!$A$2:$H$9997,8,FALSE),0)</f>
        <v/>
      </c>
      <c r="G2381" s="29">
        <f>VLOOKUP(A2381,Calendar!$A$1:$H$9997,6,FALSE)-F2381</f>
        <v/>
      </c>
      <c r="H2381" s="19" t="n">
        <v>1</v>
      </c>
      <c r="I2381" s="57" t="n">
        <v>7</v>
      </c>
    </row>
    <row r="2382">
      <c r="A2382" s="62" t="n">
        <v>46301</v>
      </c>
      <c r="B2382" s="3" t="inlineStr">
        <is>
          <t>Week</t>
        </is>
      </c>
      <c r="C2382" s="19" t="n">
        <v>10</v>
      </c>
      <c r="D2382" s="19" t="n">
        <v>2026</v>
      </c>
      <c r="E2382" s="57" t="n">
        <v>3</v>
      </c>
      <c r="F2382" s="29">
        <f>ROUND(((SUMIFS(Calendar!$F$2:$F$9997,Calendar!$B$2:$B$9997,D2382,Calendar!$C$2:$C$9997,C2382)*INDEX(ForeCalc!$B$37:$Y$274,MATCH(_xlfn.CONCAT(H2382," ",I2382),ForeCalc!$A$37:$A$274,0),MATCH(_xlfn.CONCAT(B2382," ",E2382),ForeCalc!$B$36:$Y$36,0))))*VLOOKUP(A2382,Calendar!$A$2:$H$9997,8,FALSE),0)</f>
        <v/>
      </c>
      <c r="G2382" s="29">
        <f>VLOOKUP(A2382,Calendar!$A$1:$H$9997,6,FALSE)-F2382</f>
        <v/>
      </c>
      <c r="H2382" s="19" t="n">
        <v>1</v>
      </c>
      <c r="I2382" s="57" t="n">
        <v>7</v>
      </c>
    </row>
    <row r="2383">
      <c r="A2383" s="62" t="n">
        <v>46302</v>
      </c>
      <c r="B2383" s="3" t="inlineStr">
        <is>
          <t>Week</t>
        </is>
      </c>
      <c r="C2383" s="19" t="n">
        <v>10</v>
      </c>
      <c r="D2383" s="19" t="n">
        <v>2026</v>
      </c>
      <c r="E2383" s="57" t="n">
        <v>3</v>
      </c>
      <c r="F2383" s="29">
        <f>ROUND(((SUMIFS(Calendar!$F$2:$F$9997,Calendar!$B$2:$B$9997,D2383,Calendar!$C$2:$C$9997,C2383)*INDEX(ForeCalc!$B$37:$Y$274,MATCH(_xlfn.CONCAT(H2383," ",I2383),ForeCalc!$A$37:$A$274,0),MATCH(_xlfn.CONCAT(B2383," ",E2383),ForeCalc!$B$36:$Y$36,0))))*VLOOKUP(A2383,Calendar!$A$2:$H$9997,8,FALSE),0)</f>
        <v/>
      </c>
      <c r="G2383" s="29">
        <f>VLOOKUP(A2383,Calendar!$A$1:$H$9997,6,FALSE)-F2383</f>
        <v/>
      </c>
      <c r="H2383" s="19" t="n">
        <v>1</v>
      </c>
      <c r="I2383" s="57" t="n">
        <v>7</v>
      </c>
    </row>
    <row r="2384">
      <c r="A2384" s="62" t="n">
        <v>46303</v>
      </c>
      <c r="B2384" s="3" t="inlineStr">
        <is>
          <t>Week</t>
        </is>
      </c>
      <c r="C2384" s="19" t="n">
        <v>10</v>
      </c>
      <c r="D2384" s="19" t="n">
        <v>2026</v>
      </c>
      <c r="E2384" s="57" t="n">
        <v>3</v>
      </c>
      <c r="F2384" s="29">
        <f>ROUND(((SUMIFS(Calendar!$F$2:$F$9997,Calendar!$B$2:$B$9997,D2384,Calendar!$C$2:$C$9997,C2384)*INDEX(ForeCalc!$B$37:$Y$274,MATCH(_xlfn.CONCAT(H2384," ",I2384),ForeCalc!$A$37:$A$274,0),MATCH(_xlfn.CONCAT(B2384," ",E2384),ForeCalc!$B$36:$Y$36,0))))*VLOOKUP(A2384,Calendar!$A$2:$H$9997,8,FALSE),0)</f>
        <v/>
      </c>
      <c r="G2384" s="29">
        <f>VLOOKUP(A2384,Calendar!$A$1:$H$9997,6,FALSE)-F2384</f>
        <v/>
      </c>
      <c r="H2384" s="19" t="n">
        <v>1</v>
      </c>
      <c r="I2384" s="57" t="n">
        <v>7</v>
      </c>
    </row>
    <row r="2385">
      <c r="A2385" s="62" t="n">
        <v>46304</v>
      </c>
      <c r="B2385" s="3" t="inlineStr">
        <is>
          <t>Week</t>
        </is>
      </c>
      <c r="C2385" s="19" t="n">
        <v>10</v>
      </c>
      <c r="D2385" s="19" t="n">
        <v>2026</v>
      </c>
      <c r="E2385" s="57" t="n">
        <v>3</v>
      </c>
      <c r="F2385" s="29">
        <f>ROUND(((SUMIFS(Calendar!$F$2:$F$9997,Calendar!$B$2:$B$9997,D2385,Calendar!$C$2:$C$9997,C2385)*INDEX(ForeCalc!$B$37:$Y$274,MATCH(_xlfn.CONCAT(H2385," ",I2385),ForeCalc!$A$37:$A$274,0),MATCH(_xlfn.CONCAT(B2385," ",E2385),ForeCalc!$B$36:$Y$36,0))))*VLOOKUP(A2385,Calendar!$A$2:$H$9997,8,FALSE),0)</f>
        <v/>
      </c>
      <c r="G2385" s="29">
        <f>VLOOKUP(A2385,Calendar!$A$1:$H$9997,6,FALSE)-F2385</f>
        <v/>
      </c>
      <c r="H2385" s="19" t="n">
        <v>1</v>
      </c>
      <c r="I2385" s="57" t="n">
        <v>7</v>
      </c>
    </row>
    <row r="2386">
      <c r="A2386" s="62" t="n">
        <v>46305</v>
      </c>
      <c r="B2386" s="3" t="inlineStr">
        <is>
          <t>Sat</t>
        </is>
      </c>
      <c r="C2386" s="19" t="n">
        <v>10</v>
      </c>
      <c r="D2386" s="19" t="n">
        <v>2026</v>
      </c>
      <c r="E2386" s="57" t="n">
        <v>3</v>
      </c>
      <c r="F2386" s="29">
        <f>ROUND(((SUMIFS(Calendar!$F$2:$F$9997,Calendar!$B$2:$B$9997,D2386,Calendar!$C$2:$C$9997,C2386)*INDEX(ForeCalc!$B$37:$Y$274,MATCH(_xlfn.CONCAT(H2386," ",I2386),ForeCalc!$A$37:$A$274,0),MATCH(_xlfn.CONCAT(B2386," ",E2386),ForeCalc!$B$36:$Y$36,0))))*VLOOKUP(A2386,Calendar!$A$2:$H$9997,8,FALSE),0)</f>
        <v/>
      </c>
      <c r="G2386" s="29">
        <f>VLOOKUP(A2386,Calendar!$A$1:$H$9997,6,FALSE)-F2386</f>
        <v/>
      </c>
      <c r="H2386" s="19" t="n">
        <v>1</v>
      </c>
      <c r="I2386" s="57" t="n">
        <v>7</v>
      </c>
    </row>
    <row r="2387">
      <c r="A2387" s="62" t="n">
        <v>46306</v>
      </c>
      <c r="B2387" s="3" t="inlineStr">
        <is>
          <t>Sun</t>
        </is>
      </c>
      <c r="C2387" s="19" t="n">
        <v>10</v>
      </c>
      <c r="D2387" s="19" t="n">
        <v>2026</v>
      </c>
      <c r="E2387" s="57" t="n">
        <v>3</v>
      </c>
      <c r="F2387" s="29">
        <f>ROUND(((SUMIFS(Calendar!$F$2:$F$9997,Calendar!$B$2:$B$9997,D2387,Calendar!$C$2:$C$9997,C2387)*INDEX(ForeCalc!$B$37:$Y$274,MATCH(_xlfn.CONCAT(H2387," ",I2387),ForeCalc!$A$37:$A$274,0),MATCH(_xlfn.CONCAT(B2387," ",E2387),ForeCalc!$B$36:$Y$36,0))))*VLOOKUP(A2387,Calendar!$A$2:$H$9997,8,FALSE),0)</f>
        <v/>
      </c>
      <c r="G2387" s="29">
        <f>VLOOKUP(A2387,Calendar!$A$1:$H$9997,6,FALSE)-F2387</f>
        <v/>
      </c>
      <c r="H2387" s="19" t="n">
        <v>1</v>
      </c>
      <c r="I2387" s="57" t="n">
        <v>7</v>
      </c>
    </row>
    <row r="2388">
      <c r="A2388" s="62" t="n">
        <v>46307</v>
      </c>
      <c r="B2388" s="3" t="inlineStr">
        <is>
          <t>Week</t>
        </is>
      </c>
      <c r="C2388" s="19" t="n">
        <v>10</v>
      </c>
      <c r="D2388" s="19" t="n">
        <v>2026</v>
      </c>
      <c r="E2388" s="57" t="n">
        <v>3</v>
      </c>
      <c r="F2388" s="29">
        <f>ROUND(((SUMIFS(Calendar!$F$2:$F$9997,Calendar!$B$2:$B$9997,D2388,Calendar!$C$2:$C$9997,C2388)*INDEX(ForeCalc!$B$37:$Y$274,MATCH(_xlfn.CONCAT(H2388," ",I2388),ForeCalc!$A$37:$A$274,0),MATCH(_xlfn.CONCAT(B2388," ",E2388),ForeCalc!$B$36:$Y$36,0))))*VLOOKUP(A2388,Calendar!$A$2:$H$9997,8,FALSE),0)</f>
        <v/>
      </c>
      <c r="G2388" s="29">
        <f>VLOOKUP(A2388,Calendar!$A$1:$H$9997,6,FALSE)-F2388</f>
        <v/>
      </c>
      <c r="H2388" s="19" t="n">
        <v>1</v>
      </c>
      <c r="I2388" s="57" t="n">
        <v>7</v>
      </c>
    </row>
    <row r="2389">
      <c r="A2389" s="62" t="n">
        <v>46308</v>
      </c>
      <c r="B2389" s="3" t="inlineStr">
        <is>
          <t>Week</t>
        </is>
      </c>
      <c r="C2389" s="19" t="n">
        <v>10</v>
      </c>
      <c r="D2389" s="19" t="n">
        <v>2026</v>
      </c>
      <c r="E2389" s="57" t="n">
        <v>3</v>
      </c>
      <c r="F2389" s="29">
        <f>ROUND(((SUMIFS(Calendar!$F$2:$F$9997,Calendar!$B$2:$B$9997,D2389,Calendar!$C$2:$C$9997,C2389)*INDEX(ForeCalc!$B$37:$Y$274,MATCH(_xlfn.CONCAT(H2389," ",I2389),ForeCalc!$A$37:$A$274,0),MATCH(_xlfn.CONCAT(B2389," ",E2389),ForeCalc!$B$36:$Y$36,0))))*VLOOKUP(A2389,Calendar!$A$2:$H$9997,8,FALSE),0)</f>
        <v/>
      </c>
      <c r="G2389" s="29">
        <f>VLOOKUP(A2389,Calendar!$A$1:$H$9997,6,FALSE)-F2389</f>
        <v/>
      </c>
      <c r="H2389" s="19" t="n">
        <v>1</v>
      </c>
      <c r="I2389" s="57" t="n">
        <v>7</v>
      </c>
    </row>
    <row r="2390">
      <c r="A2390" s="62" t="n">
        <v>46309</v>
      </c>
      <c r="B2390" s="3" t="inlineStr">
        <is>
          <t>Week</t>
        </is>
      </c>
      <c r="C2390" s="19" t="n">
        <v>10</v>
      </c>
      <c r="D2390" s="19" t="n">
        <v>2026</v>
      </c>
      <c r="E2390" s="57" t="n">
        <v>3</v>
      </c>
      <c r="F2390" s="29">
        <f>ROUND(((SUMIFS(Calendar!$F$2:$F$9997,Calendar!$B$2:$B$9997,D2390,Calendar!$C$2:$C$9997,C2390)*INDEX(ForeCalc!$B$37:$Y$274,MATCH(_xlfn.CONCAT(H2390," ",I2390),ForeCalc!$A$37:$A$274,0),MATCH(_xlfn.CONCAT(B2390," ",E2390),ForeCalc!$B$36:$Y$36,0))))*VLOOKUP(A2390,Calendar!$A$2:$H$9997,8,FALSE),0)</f>
        <v/>
      </c>
      <c r="G2390" s="29">
        <f>VLOOKUP(A2390,Calendar!$A$1:$H$9997,6,FALSE)-F2390</f>
        <v/>
      </c>
      <c r="H2390" s="19" t="n">
        <v>1</v>
      </c>
      <c r="I2390" s="57" t="n">
        <v>7</v>
      </c>
    </row>
    <row r="2391">
      <c r="A2391" s="62" t="n">
        <v>46310</v>
      </c>
      <c r="B2391" s="3" t="inlineStr">
        <is>
          <t>Week</t>
        </is>
      </c>
      <c r="C2391" s="19" t="n">
        <v>10</v>
      </c>
      <c r="D2391" s="19" t="n">
        <v>2026</v>
      </c>
      <c r="E2391" s="57" t="n">
        <v>3</v>
      </c>
      <c r="F2391" s="29">
        <f>ROUND(((SUMIFS(Calendar!$F$2:$F$9997,Calendar!$B$2:$B$9997,D2391,Calendar!$C$2:$C$9997,C2391)*INDEX(ForeCalc!$B$37:$Y$274,MATCH(_xlfn.CONCAT(H2391," ",I2391),ForeCalc!$A$37:$A$274,0),MATCH(_xlfn.CONCAT(B2391," ",E2391),ForeCalc!$B$36:$Y$36,0))))*VLOOKUP(A2391,Calendar!$A$2:$H$9997,8,FALSE),0)</f>
        <v/>
      </c>
      <c r="G2391" s="29">
        <f>VLOOKUP(A2391,Calendar!$A$1:$H$9997,6,FALSE)-F2391</f>
        <v/>
      </c>
      <c r="H2391" s="19" t="n">
        <v>1</v>
      </c>
      <c r="I2391" s="57" t="n">
        <v>7</v>
      </c>
    </row>
    <row r="2392">
      <c r="A2392" s="62" t="n">
        <v>46311</v>
      </c>
      <c r="B2392" s="3" t="inlineStr">
        <is>
          <t>Week</t>
        </is>
      </c>
      <c r="C2392" s="19" t="n">
        <v>10</v>
      </c>
      <c r="D2392" s="19" t="n">
        <v>2026</v>
      </c>
      <c r="E2392" s="57" t="n">
        <v>3</v>
      </c>
      <c r="F2392" s="29">
        <f>ROUND(((SUMIFS(Calendar!$F$2:$F$9997,Calendar!$B$2:$B$9997,D2392,Calendar!$C$2:$C$9997,C2392)*INDEX(ForeCalc!$B$37:$Y$274,MATCH(_xlfn.CONCAT(H2392," ",I2392),ForeCalc!$A$37:$A$274,0),MATCH(_xlfn.CONCAT(B2392," ",E2392),ForeCalc!$B$36:$Y$36,0))))*VLOOKUP(A2392,Calendar!$A$2:$H$9997,8,FALSE),0)</f>
        <v/>
      </c>
      <c r="G2392" s="29">
        <f>VLOOKUP(A2392,Calendar!$A$1:$H$9997,6,FALSE)-F2392</f>
        <v/>
      </c>
      <c r="H2392" s="19" t="n">
        <v>1</v>
      </c>
      <c r="I2392" s="57" t="n">
        <v>7</v>
      </c>
    </row>
    <row r="2393">
      <c r="A2393" s="62" t="n">
        <v>46312</v>
      </c>
      <c r="B2393" s="3" t="inlineStr">
        <is>
          <t>Sat</t>
        </is>
      </c>
      <c r="C2393" s="19" t="n">
        <v>10</v>
      </c>
      <c r="D2393" s="19" t="n">
        <v>2026</v>
      </c>
      <c r="E2393" s="57" t="n">
        <v>3</v>
      </c>
      <c r="F2393" s="29">
        <f>ROUND(((SUMIFS(Calendar!$F$2:$F$9997,Calendar!$B$2:$B$9997,D2393,Calendar!$C$2:$C$9997,C2393)*INDEX(ForeCalc!$B$37:$Y$274,MATCH(_xlfn.CONCAT(H2393," ",I2393),ForeCalc!$A$37:$A$274,0),MATCH(_xlfn.CONCAT(B2393," ",E2393),ForeCalc!$B$36:$Y$36,0))))*VLOOKUP(A2393,Calendar!$A$2:$H$9997,8,FALSE),0)</f>
        <v/>
      </c>
      <c r="G2393" s="29">
        <f>VLOOKUP(A2393,Calendar!$A$1:$H$9997,6,FALSE)-F2393</f>
        <v/>
      </c>
      <c r="H2393" s="19" t="n">
        <v>1</v>
      </c>
      <c r="I2393" s="57" t="n">
        <v>7</v>
      </c>
    </row>
    <row r="2394">
      <c r="A2394" s="62" t="n">
        <v>46313</v>
      </c>
      <c r="B2394" s="3" t="inlineStr">
        <is>
          <t>Sun</t>
        </is>
      </c>
      <c r="C2394" s="19" t="n">
        <v>10</v>
      </c>
      <c r="D2394" s="19" t="n">
        <v>2026</v>
      </c>
      <c r="E2394" s="57" t="n">
        <v>3</v>
      </c>
      <c r="F2394" s="29">
        <f>ROUND(((SUMIFS(Calendar!$F$2:$F$9997,Calendar!$B$2:$B$9997,D2394,Calendar!$C$2:$C$9997,C2394)*INDEX(ForeCalc!$B$37:$Y$274,MATCH(_xlfn.CONCAT(H2394," ",I2394),ForeCalc!$A$37:$A$274,0),MATCH(_xlfn.CONCAT(B2394," ",E2394),ForeCalc!$B$36:$Y$36,0))))*VLOOKUP(A2394,Calendar!$A$2:$H$9997,8,FALSE),0)</f>
        <v/>
      </c>
      <c r="G2394" s="29">
        <f>VLOOKUP(A2394,Calendar!$A$1:$H$9997,6,FALSE)-F2394</f>
        <v/>
      </c>
      <c r="H2394" s="19" t="n">
        <v>1</v>
      </c>
      <c r="I2394" s="57" t="n">
        <v>7</v>
      </c>
    </row>
    <row r="2395">
      <c r="A2395" s="62" t="n">
        <v>46314</v>
      </c>
      <c r="B2395" s="3" t="inlineStr">
        <is>
          <t>Week</t>
        </is>
      </c>
      <c r="C2395" s="19" t="n">
        <v>10</v>
      </c>
      <c r="D2395" s="19" t="n">
        <v>2026</v>
      </c>
      <c r="E2395" s="57" t="n">
        <v>3</v>
      </c>
      <c r="F2395" s="29">
        <f>ROUND(((SUMIFS(Calendar!$F$2:$F$9997,Calendar!$B$2:$B$9997,D2395,Calendar!$C$2:$C$9997,C2395)*INDEX(ForeCalc!$B$37:$Y$274,MATCH(_xlfn.CONCAT(H2395," ",I2395),ForeCalc!$A$37:$A$274,0),MATCH(_xlfn.CONCAT(B2395," ",E2395),ForeCalc!$B$36:$Y$36,0))))*VLOOKUP(A2395,Calendar!$A$2:$H$9997,8,FALSE),0)</f>
        <v/>
      </c>
      <c r="G2395" s="29">
        <f>VLOOKUP(A2395,Calendar!$A$1:$H$9997,6,FALSE)-F2395</f>
        <v/>
      </c>
      <c r="H2395" s="19" t="n">
        <v>1</v>
      </c>
      <c r="I2395" s="57" t="n">
        <v>7</v>
      </c>
    </row>
    <row r="2396">
      <c r="A2396" s="62" t="n">
        <v>46315</v>
      </c>
      <c r="B2396" s="3" t="inlineStr">
        <is>
          <t>Week</t>
        </is>
      </c>
      <c r="C2396" s="19" t="n">
        <v>10</v>
      </c>
      <c r="D2396" s="19" t="n">
        <v>2026</v>
      </c>
      <c r="E2396" s="57" t="n">
        <v>3</v>
      </c>
      <c r="F2396" s="29">
        <f>ROUND(((SUMIFS(Calendar!$F$2:$F$9997,Calendar!$B$2:$B$9997,D2396,Calendar!$C$2:$C$9997,C2396)*INDEX(ForeCalc!$B$37:$Y$274,MATCH(_xlfn.CONCAT(H2396," ",I2396),ForeCalc!$A$37:$A$274,0),MATCH(_xlfn.CONCAT(B2396," ",E2396),ForeCalc!$B$36:$Y$36,0))))*VLOOKUP(A2396,Calendar!$A$2:$H$9997,8,FALSE),0)</f>
        <v/>
      </c>
      <c r="G2396" s="29">
        <f>VLOOKUP(A2396,Calendar!$A$1:$H$9997,6,FALSE)-F2396</f>
        <v/>
      </c>
      <c r="H2396" s="19" t="n">
        <v>1</v>
      </c>
      <c r="I2396" s="57" t="n">
        <v>7</v>
      </c>
    </row>
    <row r="2397">
      <c r="A2397" s="62" t="n">
        <v>46316</v>
      </c>
      <c r="B2397" s="3" t="inlineStr">
        <is>
          <t>Week</t>
        </is>
      </c>
      <c r="C2397" s="19" t="n">
        <v>10</v>
      </c>
      <c r="D2397" s="19" t="n">
        <v>2026</v>
      </c>
      <c r="E2397" s="57" t="n">
        <v>3</v>
      </c>
      <c r="F2397" s="29">
        <f>ROUND(((SUMIFS(Calendar!$F$2:$F$9997,Calendar!$B$2:$B$9997,D2397,Calendar!$C$2:$C$9997,C2397)*INDEX(ForeCalc!$B$37:$Y$274,MATCH(_xlfn.CONCAT(H2397," ",I2397),ForeCalc!$A$37:$A$274,0),MATCH(_xlfn.CONCAT(B2397," ",E2397),ForeCalc!$B$36:$Y$36,0))))*VLOOKUP(A2397,Calendar!$A$2:$H$9997,8,FALSE),0)</f>
        <v/>
      </c>
      <c r="G2397" s="29">
        <f>VLOOKUP(A2397,Calendar!$A$1:$H$9997,6,FALSE)-F2397</f>
        <v/>
      </c>
      <c r="H2397" s="19" t="n">
        <v>1</v>
      </c>
      <c r="I2397" s="57" t="n">
        <v>7</v>
      </c>
    </row>
    <row r="2398">
      <c r="A2398" s="62" t="n">
        <v>46317</v>
      </c>
      <c r="B2398" s="3" t="inlineStr">
        <is>
          <t>Week</t>
        </is>
      </c>
      <c r="C2398" s="19" t="n">
        <v>10</v>
      </c>
      <c r="D2398" s="19" t="n">
        <v>2026</v>
      </c>
      <c r="E2398" s="57" t="n">
        <v>3</v>
      </c>
      <c r="F2398" s="29">
        <f>ROUND(((SUMIFS(Calendar!$F$2:$F$9997,Calendar!$B$2:$B$9997,D2398,Calendar!$C$2:$C$9997,C2398)*INDEX(ForeCalc!$B$37:$Y$274,MATCH(_xlfn.CONCAT(H2398," ",I2398),ForeCalc!$A$37:$A$274,0),MATCH(_xlfn.CONCAT(B2398," ",E2398),ForeCalc!$B$36:$Y$36,0))))*VLOOKUP(A2398,Calendar!$A$2:$H$9997,8,FALSE),0)</f>
        <v/>
      </c>
      <c r="G2398" s="29">
        <f>VLOOKUP(A2398,Calendar!$A$1:$H$9997,6,FALSE)-F2398</f>
        <v/>
      </c>
      <c r="H2398" s="19" t="n">
        <v>1</v>
      </c>
      <c r="I2398" s="57" t="n">
        <v>7</v>
      </c>
    </row>
    <row r="2399">
      <c r="A2399" s="62" t="n">
        <v>46318</v>
      </c>
      <c r="B2399" s="3" t="inlineStr">
        <is>
          <t>Week</t>
        </is>
      </c>
      <c r="C2399" s="19" t="n">
        <v>10</v>
      </c>
      <c r="D2399" s="19" t="n">
        <v>2026</v>
      </c>
      <c r="E2399" s="57" t="n">
        <v>3</v>
      </c>
      <c r="F2399" s="29">
        <f>ROUND(((SUMIFS(Calendar!$F$2:$F$9997,Calendar!$B$2:$B$9997,D2399,Calendar!$C$2:$C$9997,C2399)*INDEX(ForeCalc!$B$37:$Y$274,MATCH(_xlfn.CONCAT(H2399," ",I2399),ForeCalc!$A$37:$A$274,0),MATCH(_xlfn.CONCAT(B2399," ",E2399),ForeCalc!$B$36:$Y$36,0))))*VLOOKUP(A2399,Calendar!$A$2:$H$9997,8,FALSE),0)</f>
        <v/>
      </c>
      <c r="G2399" s="29">
        <f>VLOOKUP(A2399,Calendar!$A$1:$H$9997,6,FALSE)-F2399</f>
        <v/>
      </c>
      <c r="H2399" s="19" t="n">
        <v>1</v>
      </c>
      <c r="I2399" s="57" t="n">
        <v>7</v>
      </c>
    </row>
    <row r="2400">
      <c r="A2400" s="62" t="n">
        <v>46319</v>
      </c>
      <c r="B2400" s="3" t="inlineStr">
        <is>
          <t>Sat</t>
        </is>
      </c>
      <c r="C2400" s="19" t="n">
        <v>10</v>
      </c>
      <c r="D2400" s="19" t="n">
        <v>2026</v>
      </c>
      <c r="E2400" s="57" t="n">
        <v>3</v>
      </c>
      <c r="F2400" s="29">
        <f>ROUND(((SUMIFS(Calendar!$F$2:$F$9997,Calendar!$B$2:$B$9997,D2400,Calendar!$C$2:$C$9997,C2400)*INDEX(ForeCalc!$B$37:$Y$274,MATCH(_xlfn.CONCAT(H2400," ",I2400),ForeCalc!$A$37:$A$274,0),MATCH(_xlfn.CONCAT(B2400," ",E2400),ForeCalc!$B$36:$Y$36,0))))*VLOOKUP(A2400,Calendar!$A$2:$H$9997,8,FALSE),0)</f>
        <v/>
      </c>
      <c r="G2400" s="29">
        <f>VLOOKUP(A2400,Calendar!$A$1:$H$9997,6,FALSE)-F2400</f>
        <v/>
      </c>
      <c r="H2400" s="19" t="n">
        <v>1</v>
      </c>
      <c r="I2400" s="57" t="n">
        <v>7</v>
      </c>
    </row>
    <row r="2401">
      <c r="A2401" s="62" t="n">
        <v>46320</v>
      </c>
      <c r="B2401" s="3" t="inlineStr">
        <is>
          <t>Sun</t>
        </is>
      </c>
      <c r="C2401" s="19" t="n">
        <v>10</v>
      </c>
      <c r="D2401" s="19" t="n">
        <v>2026</v>
      </c>
      <c r="E2401" s="57" t="n">
        <v>3</v>
      </c>
      <c r="F2401" s="29">
        <f>ROUND(((SUMIFS(Calendar!$F$2:$F$9997,Calendar!$B$2:$B$9997,D2401,Calendar!$C$2:$C$9997,C2401)*INDEX(ForeCalc!$B$37:$Y$274,MATCH(_xlfn.CONCAT(H2401," ",I2401),ForeCalc!$A$37:$A$274,0),MATCH(_xlfn.CONCAT(B2401," ",E2401),ForeCalc!$B$36:$Y$36,0))))*VLOOKUP(A2401,Calendar!$A$2:$H$9997,8,FALSE),0)</f>
        <v/>
      </c>
      <c r="G2401" s="29">
        <f>VLOOKUP(A2401,Calendar!$A$1:$H$9997,6,FALSE)-F2401</f>
        <v/>
      </c>
      <c r="H2401" s="19" t="n">
        <v>1</v>
      </c>
      <c r="I2401" s="57" t="n">
        <v>7</v>
      </c>
    </row>
    <row r="2402">
      <c r="A2402" s="62" t="n">
        <v>46321</v>
      </c>
      <c r="B2402" s="3" t="inlineStr">
        <is>
          <t>Week</t>
        </is>
      </c>
      <c r="C2402" s="19" t="n">
        <v>10</v>
      </c>
      <c r="D2402" s="19" t="n">
        <v>2026</v>
      </c>
      <c r="E2402" s="57" t="n">
        <v>3</v>
      </c>
      <c r="F2402" s="29">
        <f>ROUND(((SUMIFS(Calendar!$F$2:$F$9997,Calendar!$B$2:$B$9997,D2402,Calendar!$C$2:$C$9997,C2402)*INDEX(ForeCalc!$B$37:$Y$274,MATCH(_xlfn.CONCAT(H2402," ",I2402),ForeCalc!$A$37:$A$274,0),MATCH(_xlfn.CONCAT(B2402," ",E2402),ForeCalc!$B$36:$Y$36,0))))*VLOOKUP(A2402,Calendar!$A$2:$H$9997,8,FALSE),0)</f>
        <v/>
      </c>
      <c r="G2402" s="29">
        <f>VLOOKUP(A2402,Calendar!$A$1:$H$9997,6,FALSE)-F2402</f>
        <v/>
      </c>
      <c r="H2402" s="19" t="n">
        <v>1</v>
      </c>
      <c r="I2402" s="57" t="n">
        <v>7</v>
      </c>
    </row>
    <row r="2403">
      <c r="A2403" s="62" t="n">
        <v>46322</v>
      </c>
      <c r="B2403" s="3" t="inlineStr">
        <is>
          <t>Week</t>
        </is>
      </c>
      <c r="C2403" s="19" t="n">
        <v>10</v>
      </c>
      <c r="D2403" s="19" t="n">
        <v>2026</v>
      </c>
      <c r="E2403" s="57" t="n">
        <v>3</v>
      </c>
      <c r="F2403" s="29">
        <f>ROUND(((SUMIFS(Calendar!$F$2:$F$9997,Calendar!$B$2:$B$9997,D2403,Calendar!$C$2:$C$9997,C2403)*INDEX(ForeCalc!$B$37:$Y$274,MATCH(_xlfn.CONCAT(H2403," ",I2403),ForeCalc!$A$37:$A$274,0),MATCH(_xlfn.CONCAT(B2403," ",E2403),ForeCalc!$B$36:$Y$36,0))))*VLOOKUP(A2403,Calendar!$A$2:$H$9997,8,FALSE),0)</f>
        <v/>
      </c>
      <c r="G2403" s="29">
        <f>VLOOKUP(A2403,Calendar!$A$1:$H$9997,6,FALSE)-F2403</f>
        <v/>
      </c>
      <c r="H2403" s="19" t="n">
        <v>1</v>
      </c>
      <c r="I2403" s="57" t="n">
        <v>7</v>
      </c>
    </row>
    <row r="2404">
      <c r="A2404" s="62" t="n">
        <v>46323</v>
      </c>
      <c r="B2404" s="3" t="inlineStr">
        <is>
          <t>Week</t>
        </is>
      </c>
      <c r="C2404" s="19" t="n">
        <v>10</v>
      </c>
      <c r="D2404" s="19" t="n">
        <v>2026</v>
      </c>
      <c r="E2404" s="57" t="n">
        <v>3</v>
      </c>
      <c r="F2404" s="29">
        <f>ROUND(((SUMIFS(Calendar!$F$2:$F$9997,Calendar!$B$2:$B$9997,D2404,Calendar!$C$2:$C$9997,C2404)*INDEX(ForeCalc!$B$37:$Y$274,MATCH(_xlfn.CONCAT(H2404," ",I2404),ForeCalc!$A$37:$A$274,0),MATCH(_xlfn.CONCAT(B2404," ",E2404),ForeCalc!$B$36:$Y$36,0))))*VLOOKUP(A2404,Calendar!$A$2:$H$9997,8,FALSE),0)</f>
        <v/>
      </c>
      <c r="G2404" s="29">
        <f>VLOOKUP(A2404,Calendar!$A$1:$H$9997,6,FALSE)-F2404</f>
        <v/>
      </c>
      <c r="H2404" s="19" t="n">
        <v>1</v>
      </c>
      <c r="I2404" s="57" t="n">
        <v>7</v>
      </c>
    </row>
    <row r="2405">
      <c r="A2405" s="62" t="n">
        <v>46324</v>
      </c>
      <c r="B2405" s="3" t="inlineStr">
        <is>
          <t>Week</t>
        </is>
      </c>
      <c r="C2405" s="19" t="n">
        <v>10</v>
      </c>
      <c r="D2405" s="19" t="n">
        <v>2026</v>
      </c>
      <c r="E2405" s="57" t="n">
        <v>3</v>
      </c>
      <c r="F2405" s="29">
        <f>ROUND(((SUMIFS(Calendar!$F$2:$F$9997,Calendar!$B$2:$B$9997,D2405,Calendar!$C$2:$C$9997,C2405)*INDEX(ForeCalc!$B$37:$Y$274,MATCH(_xlfn.CONCAT(H2405," ",I2405),ForeCalc!$A$37:$A$274,0),MATCH(_xlfn.CONCAT(B2405," ",E2405),ForeCalc!$B$36:$Y$36,0))))*VLOOKUP(A2405,Calendar!$A$2:$H$9997,8,FALSE),0)</f>
        <v/>
      </c>
      <c r="G2405" s="29">
        <f>VLOOKUP(A2405,Calendar!$A$1:$H$9997,6,FALSE)-F2405</f>
        <v/>
      </c>
      <c r="H2405" s="19" t="n">
        <v>1</v>
      </c>
      <c r="I2405" s="57" t="n">
        <v>7</v>
      </c>
    </row>
    <row r="2406">
      <c r="A2406" s="62" t="n">
        <v>46325</v>
      </c>
      <c r="B2406" s="3" t="inlineStr">
        <is>
          <t>Week</t>
        </is>
      </c>
      <c r="C2406" s="19" t="n">
        <v>10</v>
      </c>
      <c r="D2406" s="19" t="n">
        <v>2026</v>
      </c>
      <c r="E2406" s="57" t="n">
        <v>3</v>
      </c>
      <c r="F2406" s="29">
        <f>ROUND(((SUMIFS(Calendar!$F$2:$F$9997,Calendar!$B$2:$B$9997,D2406,Calendar!$C$2:$C$9997,C2406)*INDEX(ForeCalc!$B$37:$Y$274,MATCH(_xlfn.CONCAT(H2406," ",I2406),ForeCalc!$A$37:$A$274,0),MATCH(_xlfn.CONCAT(B2406," ",E2406),ForeCalc!$B$36:$Y$36,0))))*VLOOKUP(A2406,Calendar!$A$2:$H$9997,8,FALSE),0)</f>
        <v/>
      </c>
      <c r="G2406" s="29">
        <f>VLOOKUP(A2406,Calendar!$A$1:$H$9997,6,FALSE)-F2406</f>
        <v/>
      </c>
      <c r="H2406" s="19" t="n">
        <v>1</v>
      </c>
      <c r="I2406" s="57" t="n">
        <v>7</v>
      </c>
    </row>
    <row r="2407">
      <c r="A2407" s="62" t="n">
        <v>46326</v>
      </c>
      <c r="B2407" s="3" t="inlineStr">
        <is>
          <t>Sat</t>
        </is>
      </c>
      <c r="C2407" s="19" t="n">
        <v>10</v>
      </c>
      <c r="D2407" s="19" t="n">
        <v>2026</v>
      </c>
      <c r="E2407" s="57" t="n">
        <v>3</v>
      </c>
      <c r="F2407" s="29">
        <f>ROUND(((SUMIFS(Calendar!$F$2:$F$9997,Calendar!$B$2:$B$9997,D2407,Calendar!$C$2:$C$9997,C2407)*INDEX(ForeCalc!$B$37:$Y$274,MATCH(_xlfn.CONCAT(H2407," ",I2407),ForeCalc!$A$37:$A$274,0),MATCH(_xlfn.CONCAT(B2407," ",E2407),ForeCalc!$B$36:$Y$36,0))))*VLOOKUP(A2407,Calendar!$A$2:$H$9997,8,FALSE),0)</f>
        <v/>
      </c>
      <c r="G2407" s="29">
        <f>VLOOKUP(A2407,Calendar!$A$1:$H$9997,6,FALSE)-F2407</f>
        <v/>
      </c>
      <c r="H2407" s="19" t="n">
        <v>1</v>
      </c>
      <c r="I2407" s="57" t="n">
        <v>7</v>
      </c>
    </row>
    <row r="2408">
      <c r="A2408" s="62" t="n">
        <v>46327</v>
      </c>
      <c r="B2408" s="3" t="inlineStr">
        <is>
          <t>Sun</t>
        </is>
      </c>
      <c r="C2408" s="19" t="n">
        <v>11</v>
      </c>
      <c r="D2408" s="19" t="n">
        <v>2026</v>
      </c>
      <c r="E2408" s="57" t="n">
        <v>3</v>
      </c>
      <c r="F2408" s="29">
        <f>ROUND(((SUMIFS(Calendar!$F$2:$F$9997,Calendar!$B$2:$B$9997,D2408,Calendar!$C$2:$C$9997,C2408)*INDEX(ForeCalc!$B$37:$Y$274,MATCH(_xlfn.CONCAT(H2408," ",I2408),ForeCalc!$A$37:$A$274,0),MATCH(_xlfn.CONCAT(B2408," ",E2408),ForeCalc!$B$36:$Y$36,0))))*VLOOKUP(A2408,Calendar!$A$2:$H$9997,8,FALSE),0)</f>
        <v/>
      </c>
      <c r="G2408" s="29">
        <f>VLOOKUP(A2408,Calendar!$A$1:$H$9997,6,FALSE)-F2408</f>
        <v/>
      </c>
      <c r="H2408" s="19" t="n">
        <v>1</v>
      </c>
      <c r="I2408" s="57" t="n">
        <v>8</v>
      </c>
    </row>
    <row r="2409">
      <c r="A2409" s="62" t="n">
        <v>46328</v>
      </c>
      <c r="B2409" s="3" t="inlineStr">
        <is>
          <t>Week</t>
        </is>
      </c>
      <c r="C2409" s="19" t="n">
        <v>11</v>
      </c>
      <c r="D2409" s="19" t="n">
        <v>2026</v>
      </c>
      <c r="E2409" s="57" t="n">
        <v>3</v>
      </c>
      <c r="F2409" s="29">
        <f>ROUND(((SUMIFS(Calendar!$F$2:$F$9997,Calendar!$B$2:$B$9997,D2409,Calendar!$C$2:$C$9997,C2409)*INDEX(ForeCalc!$B$37:$Y$274,MATCH(_xlfn.CONCAT(H2409," ",I2409),ForeCalc!$A$37:$A$274,0),MATCH(_xlfn.CONCAT(B2409," ",E2409),ForeCalc!$B$36:$Y$36,0))))*VLOOKUP(A2409,Calendar!$A$2:$H$9997,8,FALSE),0)</f>
        <v/>
      </c>
      <c r="G2409" s="29">
        <f>VLOOKUP(A2409,Calendar!$A$1:$H$9997,6,FALSE)-F2409</f>
        <v/>
      </c>
      <c r="H2409" s="19" t="n">
        <v>1</v>
      </c>
      <c r="I2409" s="57" t="n">
        <v>8</v>
      </c>
    </row>
    <row r="2410">
      <c r="A2410" s="62" t="n">
        <v>46329</v>
      </c>
      <c r="B2410" s="3" t="inlineStr">
        <is>
          <t>Week</t>
        </is>
      </c>
      <c r="C2410" s="19" t="n">
        <v>11</v>
      </c>
      <c r="D2410" s="19" t="n">
        <v>2026</v>
      </c>
      <c r="E2410" s="57" t="n">
        <v>3</v>
      </c>
      <c r="F2410" s="29">
        <f>ROUND(((SUMIFS(Calendar!$F$2:$F$9997,Calendar!$B$2:$B$9997,D2410,Calendar!$C$2:$C$9997,C2410)*INDEX(ForeCalc!$B$37:$Y$274,MATCH(_xlfn.CONCAT(H2410," ",I2410),ForeCalc!$A$37:$A$274,0),MATCH(_xlfn.CONCAT(B2410," ",E2410),ForeCalc!$B$36:$Y$36,0))))*VLOOKUP(A2410,Calendar!$A$2:$H$9997,8,FALSE),0)</f>
        <v/>
      </c>
      <c r="G2410" s="29">
        <f>VLOOKUP(A2410,Calendar!$A$1:$H$9997,6,FALSE)-F2410</f>
        <v/>
      </c>
      <c r="H2410" s="19" t="n">
        <v>1</v>
      </c>
      <c r="I2410" s="57" t="n">
        <v>8</v>
      </c>
    </row>
    <row r="2411">
      <c r="A2411" s="62" t="n">
        <v>46330</v>
      </c>
      <c r="B2411" s="3" t="inlineStr">
        <is>
          <t>Week</t>
        </is>
      </c>
      <c r="C2411" s="19" t="n">
        <v>11</v>
      </c>
      <c r="D2411" s="19" t="n">
        <v>2026</v>
      </c>
      <c r="E2411" s="57" t="n">
        <v>3</v>
      </c>
      <c r="F2411" s="29">
        <f>ROUND(((SUMIFS(Calendar!$F$2:$F$9997,Calendar!$B$2:$B$9997,D2411,Calendar!$C$2:$C$9997,C2411)*INDEX(ForeCalc!$B$37:$Y$274,MATCH(_xlfn.CONCAT(H2411," ",I2411),ForeCalc!$A$37:$A$274,0),MATCH(_xlfn.CONCAT(B2411," ",E2411),ForeCalc!$B$36:$Y$36,0))))*VLOOKUP(A2411,Calendar!$A$2:$H$9997,8,FALSE),0)</f>
        <v/>
      </c>
      <c r="G2411" s="29">
        <f>VLOOKUP(A2411,Calendar!$A$1:$H$9997,6,FALSE)-F2411</f>
        <v/>
      </c>
      <c r="H2411" s="19" t="n">
        <v>1</v>
      </c>
      <c r="I2411" s="57" t="n">
        <v>8</v>
      </c>
    </row>
    <row r="2412">
      <c r="A2412" s="62" t="n">
        <v>46331</v>
      </c>
      <c r="B2412" s="3" t="inlineStr">
        <is>
          <t>Week</t>
        </is>
      </c>
      <c r="C2412" s="19" t="n">
        <v>11</v>
      </c>
      <c r="D2412" s="19" t="n">
        <v>2026</v>
      </c>
      <c r="E2412" s="57" t="n">
        <v>3</v>
      </c>
      <c r="F2412" s="29">
        <f>ROUND(((SUMIFS(Calendar!$F$2:$F$9997,Calendar!$B$2:$B$9997,D2412,Calendar!$C$2:$C$9997,C2412)*INDEX(ForeCalc!$B$37:$Y$274,MATCH(_xlfn.CONCAT(H2412," ",I2412),ForeCalc!$A$37:$A$274,0),MATCH(_xlfn.CONCAT(B2412," ",E2412),ForeCalc!$B$36:$Y$36,0))))*VLOOKUP(A2412,Calendar!$A$2:$H$9997,8,FALSE),0)</f>
        <v/>
      </c>
      <c r="G2412" s="29">
        <f>VLOOKUP(A2412,Calendar!$A$1:$H$9997,6,FALSE)-F2412</f>
        <v/>
      </c>
      <c r="H2412" s="19" t="n">
        <v>1</v>
      </c>
      <c r="I2412" s="57" t="n">
        <v>8</v>
      </c>
    </row>
    <row r="2413">
      <c r="A2413" s="62" t="n">
        <v>46332</v>
      </c>
      <c r="B2413" s="3" t="inlineStr">
        <is>
          <t>Week</t>
        </is>
      </c>
      <c r="C2413" s="19" t="n">
        <v>11</v>
      </c>
      <c r="D2413" s="19" t="n">
        <v>2026</v>
      </c>
      <c r="E2413" s="57" t="n">
        <v>3</v>
      </c>
      <c r="F2413" s="29">
        <f>ROUND(((SUMIFS(Calendar!$F$2:$F$9997,Calendar!$B$2:$B$9997,D2413,Calendar!$C$2:$C$9997,C2413)*INDEX(ForeCalc!$B$37:$Y$274,MATCH(_xlfn.CONCAT(H2413," ",I2413),ForeCalc!$A$37:$A$274,0),MATCH(_xlfn.CONCAT(B2413," ",E2413),ForeCalc!$B$36:$Y$36,0))))*VLOOKUP(A2413,Calendar!$A$2:$H$9997,8,FALSE),0)</f>
        <v/>
      </c>
      <c r="G2413" s="29">
        <f>VLOOKUP(A2413,Calendar!$A$1:$H$9997,6,FALSE)-F2413</f>
        <v/>
      </c>
      <c r="H2413" s="19" t="n">
        <v>1</v>
      </c>
      <c r="I2413" s="57" t="n">
        <v>8</v>
      </c>
    </row>
    <row r="2414">
      <c r="A2414" s="62" t="n">
        <v>46333</v>
      </c>
      <c r="B2414" s="3" t="inlineStr">
        <is>
          <t>Sat</t>
        </is>
      </c>
      <c r="C2414" s="19" t="n">
        <v>11</v>
      </c>
      <c r="D2414" s="19" t="n">
        <v>2026</v>
      </c>
      <c r="E2414" s="57" t="n">
        <v>3</v>
      </c>
      <c r="F2414" s="29">
        <f>ROUND(((SUMIFS(Calendar!$F$2:$F$9997,Calendar!$B$2:$B$9997,D2414,Calendar!$C$2:$C$9997,C2414)*INDEX(ForeCalc!$B$37:$Y$274,MATCH(_xlfn.CONCAT(H2414," ",I2414),ForeCalc!$A$37:$A$274,0),MATCH(_xlfn.CONCAT(B2414," ",E2414),ForeCalc!$B$36:$Y$36,0))))*VLOOKUP(A2414,Calendar!$A$2:$H$9997,8,FALSE),0)</f>
        <v/>
      </c>
      <c r="G2414" s="29">
        <f>VLOOKUP(A2414,Calendar!$A$1:$H$9997,6,FALSE)-F2414</f>
        <v/>
      </c>
      <c r="H2414" s="19" t="n">
        <v>1</v>
      </c>
      <c r="I2414" s="57" t="n">
        <v>8</v>
      </c>
    </row>
    <row r="2415">
      <c r="A2415" s="62" t="n">
        <v>46334</v>
      </c>
      <c r="B2415" s="3" t="inlineStr">
        <is>
          <t>Sun</t>
        </is>
      </c>
      <c r="C2415" s="19" t="n">
        <v>11</v>
      </c>
      <c r="D2415" s="19" t="n">
        <v>2026</v>
      </c>
      <c r="E2415" s="57" t="n">
        <v>3</v>
      </c>
      <c r="F2415" s="29">
        <f>ROUND(((SUMIFS(Calendar!$F$2:$F$9997,Calendar!$B$2:$B$9997,D2415,Calendar!$C$2:$C$9997,C2415)*INDEX(ForeCalc!$B$37:$Y$274,MATCH(_xlfn.CONCAT(H2415," ",I2415),ForeCalc!$A$37:$A$274,0),MATCH(_xlfn.CONCAT(B2415," ",E2415),ForeCalc!$B$36:$Y$36,0))))*VLOOKUP(A2415,Calendar!$A$2:$H$9997,8,FALSE),0)</f>
        <v/>
      </c>
      <c r="G2415" s="29">
        <f>VLOOKUP(A2415,Calendar!$A$1:$H$9997,6,FALSE)-F2415</f>
        <v/>
      </c>
      <c r="H2415" s="19" t="n">
        <v>1</v>
      </c>
      <c r="I2415" s="57" t="n">
        <v>8</v>
      </c>
    </row>
    <row r="2416">
      <c r="A2416" s="62" t="n">
        <v>46335</v>
      </c>
      <c r="B2416" s="3" t="inlineStr">
        <is>
          <t>Week</t>
        </is>
      </c>
      <c r="C2416" s="19" t="n">
        <v>11</v>
      </c>
      <c r="D2416" s="19" t="n">
        <v>2026</v>
      </c>
      <c r="E2416" s="57" t="n">
        <v>3</v>
      </c>
      <c r="F2416" s="29">
        <f>ROUND(((SUMIFS(Calendar!$F$2:$F$9997,Calendar!$B$2:$B$9997,D2416,Calendar!$C$2:$C$9997,C2416)*INDEX(ForeCalc!$B$37:$Y$274,MATCH(_xlfn.CONCAT(H2416," ",I2416),ForeCalc!$A$37:$A$274,0),MATCH(_xlfn.CONCAT(B2416," ",E2416),ForeCalc!$B$36:$Y$36,0))))*VLOOKUP(A2416,Calendar!$A$2:$H$9997,8,FALSE),0)</f>
        <v/>
      </c>
      <c r="G2416" s="29">
        <f>VLOOKUP(A2416,Calendar!$A$1:$H$9997,6,FALSE)-F2416</f>
        <v/>
      </c>
      <c r="H2416" s="19" t="n">
        <v>1</v>
      </c>
      <c r="I2416" s="57" t="n">
        <v>8</v>
      </c>
    </row>
    <row r="2417">
      <c r="A2417" s="62" t="n">
        <v>46336</v>
      </c>
      <c r="B2417" s="3" t="inlineStr">
        <is>
          <t>Week</t>
        </is>
      </c>
      <c r="C2417" s="19" t="n">
        <v>11</v>
      </c>
      <c r="D2417" s="19" t="n">
        <v>2026</v>
      </c>
      <c r="E2417" s="57" t="n">
        <v>3</v>
      </c>
      <c r="F2417" s="29">
        <f>ROUND(((SUMIFS(Calendar!$F$2:$F$9997,Calendar!$B$2:$B$9997,D2417,Calendar!$C$2:$C$9997,C2417)*INDEX(ForeCalc!$B$37:$Y$274,MATCH(_xlfn.CONCAT(H2417," ",I2417),ForeCalc!$A$37:$A$274,0),MATCH(_xlfn.CONCAT(B2417," ",E2417),ForeCalc!$B$36:$Y$36,0))))*VLOOKUP(A2417,Calendar!$A$2:$H$9997,8,FALSE),0)</f>
        <v/>
      </c>
      <c r="G2417" s="29">
        <f>VLOOKUP(A2417,Calendar!$A$1:$H$9997,6,FALSE)-F2417</f>
        <v/>
      </c>
      <c r="H2417" s="19" t="n">
        <v>1</v>
      </c>
      <c r="I2417" s="57" t="n">
        <v>8</v>
      </c>
    </row>
    <row r="2418">
      <c r="A2418" s="62" t="n">
        <v>46337</v>
      </c>
      <c r="B2418" s="3" t="inlineStr">
        <is>
          <t>Week</t>
        </is>
      </c>
      <c r="C2418" s="19" t="n">
        <v>11</v>
      </c>
      <c r="D2418" s="19" t="n">
        <v>2026</v>
      </c>
      <c r="E2418" s="57" t="n">
        <v>3</v>
      </c>
      <c r="F2418" s="29">
        <f>ROUND(((SUMIFS(Calendar!$F$2:$F$9997,Calendar!$B$2:$B$9997,D2418,Calendar!$C$2:$C$9997,C2418)*INDEX(ForeCalc!$B$37:$Y$274,MATCH(_xlfn.CONCAT(H2418," ",I2418),ForeCalc!$A$37:$A$274,0),MATCH(_xlfn.CONCAT(B2418," ",E2418),ForeCalc!$B$36:$Y$36,0))))*VLOOKUP(A2418,Calendar!$A$2:$H$9997,8,FALSE),0)</f>
        <v/>
      </c>
      <c r="G2418" s="29">
        <f>VLOOKUP(A2418,Calendar!$A$1:$H$9997,6,FALSE)-F2418</f>
        <v/>
      </c>
      <c r="H2418" s="19" t="n">
        <v>1</v>
      </c>
      <c r="I2418" s="57" t="n">
        <v>8</v>
      </c>
    </row>
    <row r="2419">
      <c r="A2419" s="62" t="n">
        <v>46338</v>
      </c>
      <c r="B2419" s="3" t="inlineStr">
        <is>
          <t>Week</t>
        </is>
      </c>
      <c r="C2419" s="19" t="n">
        <v>11</v>
      </c>
      <c r="D2419" s="19" t="n">
        <v>2026</v>
      </c>
      <c r="E2419" s="57" t="n">
        <v>3</v>
      </c>
      <c r="F2419" s="29">
        <f>ROUND(((SUMIFS(Calendar!$F$2:$F$9997,Calendar!$B$2:$B$9997,D2419,Calendar!$C$2:$C$9997,C2419)*INDEX(ForeCalc!$B$37:$Y$274,MATCH(_xlfn.CONCAT(H2419," ",I2419),ForeCalc!$A$37:$A$274,0),MATCH(_xlfn.CONCAT(B2419," ",E2419),ForeCalc!$B$36:$Y$36,0))))*VLOOKUP(A2419,Calendar!$A$2:$H$9997,8,FALSE),0)</f>
        <v/>
      </c>
      <c r="G2419" s="29">
        <f>VLOOKUP(A2419,Calendar!$A$1:$H$9997,6,FALSE)-F2419</f>
        <v/>
      </c>
      <c r="H2419" s="19" t="n">
        <v>1</v>
      </c>
      <c r="I2419" s="57" t="n">
        <v>8</v>
      </c>
    </row>
    <row r="2420">
      <c r="A2420" s="62" t="n">
        <v>46339</v>
      </c>
      <c r="B2420" s="3" t="inlineStr">
        <is>
          <t>Week</t>
        </is>
      </c>
      <c r="C2420" s="19" t="n">
        <v>11</v>
      </c>
      <c r="D2420" s="19" t="n">
        <v>2026</v>
      </c>
      <c r="E2420" s="57" t="n">
        <v>3</v>
      </c>
      <c r="F2420" s="29">
        <f>ROUND(((SUMIFS(Calendar!$F$2:$F$9997,Calendar!$B$2:$B$9997,D2420,Calendar!$C$2:$C$9997,C2420)*INDEX(ForeCalc!$B$37:$Y$274,MATCH(_xlfn.CONCAT(H2420," ",I2420),ForeCalc!$A$37:$A$274,0),MATCH(_xlfn.CONCAT(B2420," ",E2420),ForeCalc!$B$36:$Y$36,0))))*VLOOKUP(A2420,Calendar!$A$2:$H$9997,8,FALSE),0)</f>
        <v/>
      </c>
      <c r="G2420" s="29">
        <f>VLOOKUP(A2420,Calendar!$A$1:$H$9997,6,FALSE)-F2420</f>
        <v/>
      </c>
      <c r="H2420" s="19" t="n">
        <v>1</v>
      </c>
      <c r="I2420" s="57" t="n">
        <v>8</v>
      </c>
    </row>
    <row r="2421">
      <c r="A2421" s="62" t="n">
        <v>46340</v>
      </c>
      <c r="B2421" s="3" t="inlineStr">
        <is>
          <t>Sat</t>
        </is>
      </c>
      <c r="C2421" s="19" t="n">
        <v>11</v>
      </c>
      <c r="D2421" s="19" t="n">
        <v>2026</v>
      </c>
      <c r="E2421" s="57" t="n">
        <v>3</v>
      </c>
      <c r="F2421" s="29">
        <f>ROUND(((SUMIFS(Calendar!$F$2:$F$9997,Calendar!$B$2:$B$9997,D2421,Calendar!$C$2:$C$9997,C2421)*INDEX(ForeCalc!$B$37:$Y$274,MATCH(_xlfn.CONCAT(H2421," ",I2421),ForeCalc!$A$37:$A$274,0),MATCH(_xlfn.CONCAT(B2421," ",E2421),ForeCalc!$B$36:$Y$36,0))))*VLOOKUP(A2421,Calendar!$A$2:$H$9997,8,FALSE),0)</f>
        <v/>
      </c>
      <c r="G2421" s="29">
        <f>VLOOKUP(A2421,Calendar!$A$1:$H$9997,6,FALSE)-F2421</f>
        <v/>
      </c>
      <c r="H2421" s="19" t="n">
        <v>1</v>
      </c>
      <c r="I2421" s="57" t="n">
        <v>8</v>
      </c>
    </row>
    <row r="2422">
      <c r="A2422" s="62" t="n">
        <v>46341</v>
      </c>
      <c r="B2422" s="3" t="inlineStr">
        <is>
          <t>Sun</t>
        </is>
      </c>
      <c r="C2422" s="19" t="n">
        <v>11</v>
      </c>
      <c r="D2422" s="19" t="n">
        <v>2026</v>
      </c>
      <c r="E2422" s="57" t="n">
        <v>3</v>
      </c>
      <c r="F2422" s="29">
        <f>ROUND(((SUMIFS(Calendar!$F$2:$F$9997,Calendar!$B$2:$B$9997,D2422,Calendar!$C$2:$C$9997,C2422)*INDEX(ForeCalc!$B$37:$Y$274,MATCH(_xlfn.CONCAT(H2422," ",I2422),ForeCalc!$A$37:$A$274,0),MATCH(_xlfn.CONCAT(B2422," ",E2422),ForeCalc!$B$36:$Y$36,0))))*VLOOKUP(A2422,Calendar!$A$2:$H$9997,8,FALSE),0)</f>
        <v/>
      </c>
      <c r="G2422" s="29">
        <f>VLOOKUP(A2422,Calendar!$A$1:$H$9997,6,FALSE)-F2422</f>
        <v/>
      </c>
      <c r="H2422" s="19" t="n">
        <v>1</v>
      </c>
      <c r="I2422" s="57" t="n">
        <v>8</v>
      </c>
    </row>
    <row r="2423">
      <c r="A2423" s="62" t="n">
        <v>46342</v>
      </c>
      <c r="B2423" s="3" t="inlineStr">
        <is>
          <t>Week</t>
        </is>
      </c>
      <c r="C2423" s="19" t="n">
        <v>11</v>
      </c>
      <c r="D2423" s="19" t="n">
        <v>2026</v>
      </c>
      <c r="E2423" s="57" t="n">
        <v>3</v>
      </c>
      <c r="F2423" s="29">
        <f>ROUND(((SUMIFS(Calendar!$F$2:$F$9997,Calendar!$B$2:$B$9997,D2423,Calendar!$C$2:$C$9997,C2423)*INDEX(ForeCalc!$B$37:$Y$274,MATCH(_xlfn.CONCAT(H2423," ",I2423),ForeCalc!$A$37:$A$274,0),MATCH(_xlfn.CONCAT(B2423," ",E2423),ForeCalc!$B$36:$Y$36,0))))*VLOOKUP(A2423,Calendar!$A$2:$H$9997,8,FALSE),0)</f>
        <v/>
      </c>
      <c r="G2423" s="29">
        <f>VLOOKUP(A2423,Calendar!$A$1:$H$9997,6,FALSE)-F2423</f>
        <v/>
      </c>
      <c r="H2423" s="19" t="n">
        <v>1</v>
      </c>
      <c r="I2423" s="57" t="n">
        <v>8</v>
      </c>
    </row>
    <row r="2424">
      <c r="A2424" s="62" t="n">
        <v>46343</v>
      </c>
      <c r="B2424" s="3" t="inlineStr">
        <is>
          <t>Week</t>
        </is>
      </c>
      <c r="C2424" s="19" t="n">
        <v>11</v>
      </c>
      <c r="D2424" s="19" t="n">
        <v>2026</v>
      </c>
      <c r="E2424" s="57" t="n">
        <v>3</v>
      </c>
      <c r="F2424" s="29">
        <f>ROUND(((SUMIFS(Calendar!$F$2:$F$9997,Calendar!$B$2:$B$9997,D2424,Calendar!$C$2:$C$9997,C2424)*INDEX(ForeCalc!$B$37:$Y$274,MATCH(_xlfn.CONCAT(H2424," ",I2424),ForeCalc!$A$37:$A$274,0),MATCH(_xlfn.CONCAT(B2424," ",E2424),ForeCalc!$B$36:$Y$36,0))))*VLOOKUP(A2424,Calendar!$A$2:$H$9997,8,FALSE),0)</f>
        <v/>
      </c>
      <c r="G2424" s="29">
        <f>VLOOKUP(A2424,Calendar!$A$1:$H$9997,6,FALSE)-F2424</f>
        <v/>
      </c>
      <c r="H2424" s="19" t="n">
        <v>1</v>
      </c>
      <c r="I2424" s="57" t="n">
        <v>8</v>
      </c>
    </row>
    <row r="2425">
      <c r="A2425" s="62" t="n">
        <v>46344</v>
      </c>
      <c r="B2425" s="3" t="inlineStr">
        <is>
          <t>Week</t>
        </is>
      </c>
      <c r="C2425" s="19" t="n">
        <v>11</v>
      </c>
      <c r="D2425" s="19" t="n">
        <v>2026</v>
      </c>
      <c r="E2425" s="57" t="n">
        <v>3</v>
      </c>
      <c r="F2425" s="29">
        <f>ROUND(((SUMIFS(Calendar!$F$2:$F$9997,Calendar!$B$2:$B$9997,D2425,Calendar!$C$2:$C$9997,C2425)*INDEX(ForeCalc!$B$37:$Y$274,MATCH(_xlfn.CONCAT(H2425," ",I2425),ForeCalc!$A$37:$A$274,0),MATCH(_xlfn.CONCAT(B2425," ",E2425),ForeCalc!$B$36:$Y$36,0))))*VLOOKUP(A2425,Calendar!$A$2:$H$9997,8,FALSE),0)</f>
        <v/>
      </c>
      <c r="G2425" s="29">
        <f>VLOOKUP(A2425,Calendar!$A$1:$H$9997,6,FALSE)-F2425</f>
        <v/>
      </c>
      <c r="H2425" s="19" t="n">
        <v>1</v>
      </c>
      <c r="I2425" s="57" t="n">
        <v>8</v>
      </c>
    </row>
    <row r="2426">
      <c r="A2426" s="62" t="n">
        <v>46345</v>
      </c>
      <c r="B2426" s="3" t="inlineStr">
        <is>
          <t>Week</t>
        </is>
      </c>
      <c r="C2426" s="19" t="n">
        <v>11</v>
      </c>
      <c r="D2426" s="19" t="n">
        <v>2026</v>
      </c>
      <c r="E2426" s="57" t="n">
        <v>3</v>
      </c>
      <c r="F2426" s="29">
        <f>ROUND(((SUMIFS(Calendar!$F$2:$F$9997,Calendar!$B$2:$B$9997,D2426,Calendar!$C$2:$C$9997,C2426)*INDEX(ForeCalc!$B$37:$Y$274,MATCH(_xlfn.CONCAT(H2426," ",I2426),ForeCalc!$A$37:$A$274,0),MATCH(_xlfn.CONCAT(B2426," ",E2426),ForeCalc!$B$36:$Y$36,0))))*VLOOKUP(A2426,Calendar!$A$2:$H$9997,8,FALSE),0)</f>
        <v/>
      </c>
      <c r="G2426" s="29">
        <f>VLOOKUP(A2426,Calendar!$A$1:$H$9997,6,FALSE)-F2426</f>
        <v/>
      </c>
      <c r="H2426" s="19" t="n">
        <v>1</v>
      </c>
      <c r="I2426" s="57" t="n">
        <v>8</v>
      </c>
    </row>
    <row r="2427">
      <c r="A2427" s="62" t="n">
        <v>46346</v>
      </c>
      <c r="B2427" s="3" t="inlineStr">
        <is>
          <t>Week</t>
        </is>
      </c>
      <c r="C2427" s="19" t="n">
        <v>11</v>
      </c>
      <c r="D2427" s="19" t="n">
        <v>2026</v>
      </c>
      <c r="E2427" s="57" t="n">
        <v>3</v>
      </c>
      <c r="F2427" s="29">
        <f>ROUND(((SUMIFS(Calendar!$F$2:$F$9997,Calendar!$B$2:$B$9997,D2427,Calendar!$C$2:$C$9997,C2427)*INDEX(ForeCalc!$B$37:$Y$274,MATCH(_xlfn.CONCAT(H2427," ",I2427),ForeCalc!$A$37:$A$274,0),MATCH(_xlfn.CONCAT(B2427," ",E2427),ForeCalc!$B$36:$Y$36,0))))*VLOOKUP(A2427,Calendar!$A$2:$H$9997,8,FALSE),0)</f>
        <v/>
      </c>
      <c r="G2427" s="29">
        <f>VLOOKUP(A2427,Calendar!$A$1:$H$9997,6,FALSE)-F2427</f>
        <v/>
      </c>
      <c r="H2427" s="19" t="n">
        <v>1</v>
      </c>
      <c r="I2427" s="57" t="n">
        <v>8</v>
      </c>
    </row>
    <row r="2428">
      <c r="A2428" s="62" t="n">
        <v>46347</v>
      </c>
      <c r="B2428" s="3" t="inlineStr">
        <is>
          <t>Sat</t>
        </is>
      </c>
      <c r="C2428" s="19" t="n">
        <v>11</v>
      </c>
      <c r="D2428" s="19" t="n">
        <v>2026</v>
      </c>
      <c r="E2428" s="57" t="n">
        <v>3</v>
      </c>
      <c r="F2428" s="29">
        <f>ROUND(((SUMIFS(Calendar!$F$2:$F$9997,Calendar!$B$2:$B$9997,D2428,Calendar!$C$2:$C$9997,C2428)*INDEX(ForeCalc!$B$37:$Y$274,MATCH(_xlfn.CONCAT(H2428," ",I2428),ForeCalc!$A$37:$A$274,0),MATCH(_xlfn.CONCAT(B2428," ",E2428),ForeCalc!$B$36:$Y$36,0))))*VLOOKUP(A2428,Calendar!$A$2:$H$9997,8,FALSE),0)</f>
        <v/>
      </c>
      <c r="G2428" s="29">
        <f>VLOOKUP(A2428,Calendar!$A$1:$H$9997,6,FALSE)-F2428</f>
        <v/>
      </c>
      <c r="H2428" s="19" t="n">
        <v>1</v>
      </c>
      <c r="I2428" s="57" t="n">
        <v>8</v>
      </c>
    </row>
    <row r="2429">
      <c r="A2429" s="62" t="n">
        <v>46348</v>
      </c>
      <c r="B2429" s="3" t="inlineStr">
        <is>
          <t>Sun</t>
        </is>
      </c>
      <c r="C2429" s="19" t="n">
        <v>11</v>
      </c>
      <c r="D2429" s="19" t="n">
        <v>2026</v>
      </c>
      <c r="E2429" s="57" t="n">
        <v>3</v>
      </c>
      <c r="F2429" s="29">
        <f>ROUND(((SUMIFS(Calendar!$F$2:$F$9997,Calendar!$B$2:$B$9997,D2429,Calendar!$C$2:$C$9997,C2429)*INDEX(ForeCalc!$B$37:$Y$274,MATCH(_xlfn.CONCAT(H2429," ",I2429),ForeCalc!$A$37:$A$274,0),MATCH(_xlfn.CONCAT(B2429," ",E2429),ForeCalc!$B$36:$Y$36,0))))*VLOOKUP(A2429,Calendar!$A$2:$H$9997,8,FALSE),0)</f>
        <v/>
      </c>
      <c r="G2429" s="29">
        <f>VLOOKUP(A2429,Calendar!$A$1:$H$9997,6,FALSE)-F2429</f>
        <v/>
      </c>
      <c r="H2429" s="19" t="n">
        <v>1</v>
      </c>
      <c r="I2429" s="57" t="n">
        <v>8</v>
      </c>
    </row>
    <row r="2430">
      <c r="A2430" s="62" t="n">
        <v>46349</v>
      </c>
      <c r="B2430" s="3" t="inlineStr">
        <is>
          <t>Week</t>
        </is>
      </c>
      <c r="C2430" s="19" t="n">
        <v>11</v>
      </c>
      <c r="D2430" s="19" t="n">
        <v>2026</v>
      </c>
      <c r="E2430" s="57" t="n">
        <v>3</v>
      </c>
      <c r="F2430" s="29">
        <f>ROUND(((SUMIFS(Calendar!$F$2:$F$9997,Calendar!$B$2:$B$9997,D2430,Calendar!$C$2:$C$9997,C2430)*INDEX(ForeCalc!$B$37:$Y$274,MATCH(_xlfn.CONCAT(H2430," ",I2430),ForeCalc!$A$37:$A$274,0),MATCH(_xlfn.CONCAT(B2430," ",E2430),ForeCalc!$B$36:$Y$36,0))))*VLOOKUP(A2430,Calendar!$A$2:$H$9997,8,FALSE),0)</f>
        <v/>
      </c>
      <c r="G2430" s="29">
        <f>VLOOKUP(A2430,Calendar!$A$1:$H$9997,6,FALSE)-F2430</f>
        <v/>
      </c>
      <c r="H2430" s="19" t="n">
        <v>1</v>
      </c>
      <c r="I2430" s="57" t="n">
        <v>8</v>
      </c>
    </row>
    <row r="2431">
      <c r="A2431" s="62" t="n">
        <v>46350</v>
      </c>
      <c r="B2431" s="3" t="inlineStr">
        <is>
          <t>Week</t>
        </is>
      </c>
      <c r="C2431" s="19" t="n">
        <v>11</v>
      </c>
      <c r="D2431" s="19" t="n">
        <v>2026</v>
      </c>
      <c r="E2431" s="57" t="n">
        <v>3</v>
      </c>
      <c r="F2431" s="29">
        <f>ROUND(((SUMIFS(Calendar!$F$2:$F$9997,Calendar!$B$2:$B$9997,D2431,Calendar!$C$2:$C$9997,C2431)*INDEX(ForeCalc!$B$37:$Y$274,MATCH(_xlfn.CONCAT(H2431," ",I2431),ForeCalc!$A$37:$A$274,0),MATCH(_xlfn.CONCAT(B2431," ",E2431),ForeCalc!$B$36:$Y$36,0))))*VLOOKUP(A2431,Calendar!$A$2:$H$9997,8,FALSE),0)</f>
        <v/>
      </c>
      <c r="G2431" s="29">
        <f>VLOOKUP(A2431,Calendar!$A$1:$H$9997,6,FALSE)-F2431</f>
        <v/>
      </c>
      <c r="H2431" s="19" t="n">
        <v>1</v>
      </c>
      <c r="I2431" s="57" t="n">
        <v>8</v>
      </c>
    </row>
    <row r="2432">
      <c r="A2432" s="62" t="n">
        <v>46351</v>
      </c>
      <c r="B2432" s="3" t="inlineStr">
        <is>
          <t>Week</t>
        </is>
      </c>
      <c r="C2432" s="19" t="n">
        <v>11</v>
      </c>
      <c r="D2432" s="19" t="n">
        <v>2026</v>
      </c>
      <c r="E2432" s="57" t="n">
        <v>3</v>
      </c>
      <c r="F2432" s="29">
        <f>ROUND(((SUMIFS(Calendar!$F$2:$F$9997,Calendar!$B$2:$B$9997,D2432,Calendar!$C$2:$C$9997,C2432)*INDEX(ForeCalc!$B$37:$Y$274,MATCH(_xlfn.CONCAT(H2432," ",I2432),ForeCalc!$A$37:$A$274,0),MATCH(_xlfn.CONCAT(B2432," ",E2432),ForeCalc!$B$36:$Y$36,0))))*VLOOKUP(A2432,Calendar!$A$2:$H$9997,8,FALSE),0)</f>
        <v/>
      </c>
      <c r="G2432" s="29">
        <f>VLOOKUP(A2432,Calendar!$A$1:$H$9997,6,FALSE)-F2432</f>
        <v/>
      </c>
      <c r="H2432" s="19" t="n">
        <v>1</v>
      </c>
      <c r="I2432" s="57" t="n">
        <v>8</v>
      </c>
    </row>
    <row r="2433">
      <c r="A2433" s="62" t="n">
        <v>46352</v>
      </c>
      <c r="B2433" s="3" t="inlineStr">
        <is>
          <t>Week</t>
        </is>
      </c>
      <c r="C2433" s="19" t="n">
        <v>11</v>
      </c>
      <c r="D2433" s="19" t="n">
        <v>2026</v>
      </c>
      <c r="E2433" s="57" t="n">
        <v>3</v>
      </c>
      <c r="F2433" s="29">
        <f>ROUND(((SUMIFS(Calendar!$F$2:$F$9997,Calendar!$B$2:$B$9997,D2433,Calendar!$C$2:$C$9997,C2433)*INDEX(ForeCalc!$B$37:$Y$274,MATCH(_xlfn.CONCAT(H2433," ",I2433),ForeCalc!$A$37:$A$274,0),MATCH(_xlfn.CONCAT(B2433," ",E2433),ForeCalc!$B$36:$Y$36,0))))*VLOOKUP(A2433,Calendar!$A$2:$H$9997,8,FALSE),0)</f>
        <v/>
      </c>
      <c r="G2433" s="29">
        <f>VLOOKUP(A2433,Calendar!$A$1:$H$9997,6,FALSE)-F2433</f>
        <v/>
      </c>
      <c r="H2433" s="19" t="n">
        <v>1</v>
      </c>
      <c r="I2433" s="57" t="n">
        <v>8</v>
      </c>
    </row>
    <row r="2434">
      <c r="A2434" s="62" t="n">
        <v>46353</v>
      </c>
      <c r="B2434" s="3" t="inlineStr">
        <is>
          <t>Week</t>
        </is>
      </c>
      <c r="C2434" s="19" t="n">
        <v>11</v>
      </c>
      <c r="D2434" s="19" t="n">
        <v>2026</v>
      </c>
      <c r="E2434" s="57" t="n">
        <v>3</v>
      </c>
      <c r="F2434" s="29">
        <f>ROUND(((SUMIFS(Calendar!$F$2:$F$9997,Calendar!$B$2:$B$9997,D2434,Calendar!$C$2:$C$9997,C2434)*INDEX(ForeCalc!$B$37:$Y$274,MATCH(_xlfn.CONCAT(H2434," ",I2434),ForeCalc!$A$37:$A$274,0),MATCH(_xlfn.CONCAT(B2434," ",E2434),ForeCalc!$B$36:$Y$36,0))))*VLOOKUP(A2434,Calendar!$A$2:$H$9997,8,FALSE),0)</f>
        <v/>
      </c>
      <c r="G2434" s="29">
        <f>VLOOKUP(A2434,Calendar!$A$1:$H$9997,6,FALSE)-F2434</f>
        <v/>
      </c>
      <c r="H2434" s="19" t="n">
        <v>1</v>
      </c>
      <c r="I2434" s="57" t="n">
        <v>8</v>
      </c>
    </row>
    <row r="2435">
      <c r="A2435" s="62" t="n">
        <v>46354</v>
      </c>
      <c r="B2435" s="3" t="inlineStr">
        <is>
          <t>Sat</t>
        </is>
      </c>
      <c r="C2435" s="19" t="n">
        <v>11</v>
      </c>
      <c r="D2435" s="19" t="n">
        <v>2026</v>
      </c>
      <c r="E2435" s="57" t="n">
        <v>3</v>
      </c>
      <c r="F2435" s="29">
        <f>ROUND(((SUMIFS(Calendar!$F$2:$F$9997,Calendar!$B$2:$B$9997,D2435,Calendar!$C$2:$C$9997,C2435)*INDEX(ForeCalc!$B$37:$Y$274,MATCH(_xlfn.CONCAT(H2435," ",I2435),ForeCalc!$A$37:$A$274,0),MATCH(_xlfn.CONCAT(B2435," ",E2435),ForeCalc!$B$36:$Y$36,0))))*VLOOKUP(A2435,Calendar!$A$2:$H$9997,8,FALSE),0)</f>
        <v/>
      </c>
      <c r="G2435" s="29">
        <f>VLOOKUP(A2435,Calendar!$A$1:$H$9997,6,FALSE)-F2435</f>
        <v/>
      </c>
      <c r="H2435" s="19" t="n">
        <v>1</v>
      </c>
      <c r="I2435" s="57" t="n">
        <v>8</v>
      </c>
    </row>
    <row r="2436">
      <c r="A2436" s="62" t="n">
        <v>46355</v>
      </c>
      <c r="B2436" s="3" t="inlineStr">
        <is>
          <t>Sun</t>
        </is>
      </c>
      <c r="C2436" s="19" t="n">
        <v>11</v>
      </c>
      <c r="D2436" s="19" t="n">
        <v>2026</v>
      </c>
      <c r="E2436" s="57" t="n">
        <v>3</v>
      </c>
      <c r="F2436" s="29">
        <f>ROUND(((SUMIFS(Calendar!$F$2:$F$9997,Calendar!$B$2:$B$9997,D2436,Calendar!$C$2:$C$9997,C2436)*INDEX(ForeCalc!$B$37:$Y$274,MATCH(_xlfn.CONCAT(H2436," ",I2436),ForeCalc!$A$37:$A$274,0),MATCH(_xlfn.CONCAT(B2436," ",E2436),ForeCalc!$B$36:$Y$36,0))))*VLOOKUP(A2436,Calendar!$A$2:$H$9997,8,FALSE),0)</f>
        <v/>
      </c>
      <c r="G2436" s="29">
        <f>VLOOKUP(A2436,Calendar!$A$1:$H$9997,6,FALSE)-F2436</f>
        <v/>
      </c>
      <c r="H2436" s="19" t="n">
        <v>1</v>
      </c>
      <c r="I2436" s="57" t="n">
        <v>8</v>
      </c>
    </row>
    <row r="2437">
      <c r="A2437" s="62" t="n">
        <v>46356</v>
      </c>
      <c r="B2437" s="3" t="inlineStr">
        <is>
          <t>Week</t>
        </is>
      </c>
      <c r="C2437" s="19" t="n">
        <v>11</v>
      </c>
      <c r="D2437" s="19" t="n">
        <v>2026</v>
      </c>
      <c r="E2437" s="57" t="n">
        <v>3</v>
      </c>
      <c r="F2437" s="29">
        <f>ROUND(((SUMIFS(Calendar!$F$2:$F$9997,Calendar!$B$2:$B$9997,D2437,Calendar!$C$2:$C$9997,C2437)*INDEX(ForeCalc!$B$37:$Y$274,MATCH(_xlfn.CONCAT(H2437," ",I2437),ForeCalc!$A$37:$A$274,0),MATCH(_xlfn.CONCAT(B2437," ",E2437),ForeCalc!$B$36:$Y$36,0))))*VLOOKUP(A2437,Calendar!$A$2:$H$9997,8,FALSE),0)</f>
        <v/>
      </c>
      <c r="G2437" s="29">
        <f>VLOOKUP(A2437,Calendar!$A$1:$H$9997,6,FALSE)-F2437</f>
        <v/>
      </c>
      <c r="H2437" s="19" t="n">
        <v>1</v>
      </c>
      <c r="I2437" s="57" t="n">
        <v>8</v>
      </c>
    </row>
    <row r="2438">
      <c r="A2438" s="62" t="n">
        <v>46357</v>
      </c>
      <c r="B2438" s="3" t="inlineStr">
        <is>
          <t>Week</t>
        </is>
      </c>
      <c r="C2438" s="19" t="n">
        <v>12</v>
      </c>
      <c r="D2438" s="19" t="n">
        <v>2026</v>
      </c>
      <c r="E2438" s="57" t="n">
        <v>3</v>
      </c>
      <c r="F2438" s="29">
        <f>ROUND(((SUMIFS(Calendar!$F$2:$F$9997,Calendar!$B$2:$B$9997,D2438,Calendar!$C$2:$C$9997,C2438)*INDEX(ForeCalc!$B$37:$Y$274,MATCH(_xlfn.CONCAT(H2438," ",I2438),ForeCalc!$A$37:$A$274,0),MATCH(_xlfn.CONCAT(B2438," ",E2438),ForeCalc!$B$36:$Y$36,0))))*VLOOKUP(A2438,Calendar!$A$2:$H$9997,8,FALSE),0)</f>
        <v/>
      </c>
      <c r="G2438" s="29">
        <f>VLOOKUP(A2438,Calendar!$A$1:$H$9997,6,FALSE)-F2438</f>
        <v/>
      </c>
      <c r="H2438" s="19" t="n">
        <v>1</v>
      </c>
      <c r="I2438" s="57" t="n">
        <v>9</v>
      </c>
    </row>
    <row r="2439">
      <c r="A2439" s="62" t="n">
        <v>46358</v>
      </c>
      <c r="B2439" s="3" t="inlineStr">
        <is>
          <t>Week</t>
        </is>
      </c>
      <c r="C2439" s="19" t="n">
        <v>12</v>
      </c>
      <c r="D2439" s="19" t="n">
        <v>2026</v>
      </c>
      <c r="E2439" s="57" t="n">
        <v>3</v>
      </c>
      <c r="F2439" s="29">
        <f>ROUND(((SUMIFS(Calendar!$F$2:$F$9997,Calendar!$B$2:$B$9997,D2439,Calendar!$C$2:$C$9997,C2439)*INDEX(ForeCalc!$B$37:$Y$274,MATCH(_xlfn.CONCAT(H2439," ",I2439),ForeCalc!$A$37:$A$274,0),MATCH(_xlfn.CONCAT(B2439," ",E2439),ForeCalc!$B$36:$Y$36,0))))*VLOOKUP(A2439,Calendar!$A$2:$H$9997,8,FALSE),0)</f>
        <v/>
      </c>
      <c r="G2439" s="29">
        <f>VLOOKUP(A2439,Calendar!$A$1:$H$9997,6,FALSE)-F2439</f>
        <v/>
      </c>
      <c r="H2439" s="19" t="n">
        <v>1</v>
      </c>
      <c r="I2439" s="57" t="n">
        <v>9</v>
      </c>
    </row>
    <row r="2440">
      <c r="A2440" s="62" t="n">
        <v>46359</v>
      </c>
      <c r="B2440" s="3" t="inlineStr">
        <is>
          <t>Week</t>
        </is>
      </c>
      <c r="C2440" s="19" t="n">
        <v>12</v>
      </c>
      <c r="D2440" s="19" t="n">
        <v>2026</v>
      </c>
      <c r="E2440" s="57" t="n">
        <v>3</v>
      </c>
      <c r="F2440" s="29">
        <f>ROUND(((SUMIFS(Calendar!$F$2:$F$9997,Calendar!$B$2:$B$9997,D2440,Calendar!$C$2:$C$9997,C2440)*INDEX(ForeCalc!$B$37:$Y$274,MATCH(_xlfn.CONCAT(H2440," ",I2440),ForeCalc!$A$37:$A$274,0),MATCH(_xlfn.CONCAT(B2440," ",E2440),ForeCalc!$B$36:$Y$36,0))))*VLOOKUP(A2440,Calendar!$A$2:$H$9997,8,FALSE),0)</f>
        <v/>
      </c>
      <c r="G2440" s="29">
        <f>VLOOKUP(A2440,Calendar!$A$1:$H$9997,6,FALSE)-F2440</f>
        <v/>
      </c>
      <c r="H2440" s="19" t="n">
        <v>1</v>
      </c>
      <c r="I2440" s="57" t="n">
        <v>9</v>
      </c>
    </row>
    <row r="2441">
      <c r="A2441" s="62" t="n">
        <v>46360</v>
      </c>
      <c r="B2441" s="3" t="inlineStr">
        <is>
          <t>Week</t>
        </is>
      </c>
      <c r="C2441" s="19" t="n">
        <v>12</v>
      </c>
      <c r="D2441" s="19" t="n">
        <v>2026</v>
      </c>
      <c r="E2441" s="57" t="n">
        <v>3</v>
      </c>
      <c r="F2441" s="29">
        <f>ROUND(((SUMIFS(Calendar!$F$2:$F$9997,Calendar!$B$2:$B$9997,D2441,Calendar!$C$2:$C$9997,C2441)*INDEX(ForeCalc!$B$37:$Y$274,MATCH(_xlfn.CONCAT(H2441," ",I2441),ForeCalc!$A$37:$A$274,0),MATCH(_xlfn.CONCAT(B2441," ",E2441),ForeCalc!$B$36:$Y$36,0))))*VLOOKUP(A2441,Calendar!$A$2:$H$9997,8,FALSE),0)</f>
        <v/>
      </c>
      <c r="G2441" s="29">
        <f>VLOOKUP(A2441,Calendar!$A$1:$H$9997,6,FALSE)-F2441</f>
        <v/>
      </c>
      <c r="H2441" s="19" t="n">
        <v>1</v>
      </c>
      <c r="I2441" s="57" t="n">
        <v>9</v>
      </c>
    </row>
    <row r="2442">
      <c r="A2442" s="62" t="n">
        <v>46361</v>
      </c>
      <c r="B2442" s="3" t="inlineStr">
        <is>
          <t>Sat</t>
        </is>
      </c>
      <c r="C2442" s="19" t="n">
        <v>12</v>
      </c>
      <c r="D2442" s="19" t="n">
        <v>2026</v>
      </c>
      <c r="E2442" s="57" t="n">
        <v>3</v>
      </c>
      <c r="F2442" s="29">
        <f>ROUND(((SUMIFS(Calendar!$F$2:$F$9997,Calendar!$B$2:$B$9997,D2442,Calendar!$C$2:$C$9997,C2442)*INDEX(ForeCalc!$B$37:$Y$274,MATCH(_xlfn.CONCAT(H2442," ",I2442),ForeCalc!$A$37:$A$274,0),MATCH(_xlfn.CONCAT(B2442," ",E2442),ForeCalc!$B$36:$Y$36,0))))*VLOOKUP(A2442,Calendar!$A$2:$H$9997,8,FALSE),0)</f>
        <v/>
      </c>
      <c r="G2442" s="29">
        <f>VLOOKUP(A2442,Calendar!$A$1:$H$9997,6,FALSE)-F2442</f>
        <v/>
      </c>
      <c r="H2442" s="19" t="n">
        <v>1</v>
      </c>
      <c r="I2442" s="57" t="n">
        <v>9</v>
      </c>
    </row>
    <row r="2443">
      <c r="A2443" s="62" t="n">
        <v>46362</v>
      </c>
      <c r="B2443" s="3" t="inlineStr">
        <is>
          <t>Sun</t>
        </is>
      </c>
      <c r="C2443" s="19" t="n">
        <v>12</v>
      </c>
      <c r="D2443" s="19" t="n">
        <v>2026</v>
      </c>
      <c r="E2443" s="57" t="n">
        <v>3</v>
      </c>
      <c r="F2443" s="29">
        <f>ROUND(((SUMIFS(Calendar!$F$2:$F$9997,Calendar!$B$2:$B$9997,D2443,Calendar!$C$2:$C$9997,C2443)*INDEX(ForeCalc!$B$37:$Y$274,MATCH(_xlfn.CONCAT(H2443," ",I2443),ForeCalc!$A$37:$A$274,0),MATCH(_xlfn.CONCAT(B2443," ",E2443),ForeCalc!$B$36:$Y$36,0))))*VLOOKUP(A2443,Calendar!$A$2:$H$9997,8,FALSE),0)</f>
        <v/>
      </c>
      <c r="G2443" s="29">
        <f>VLOOKUP(A2443,Calendar!$A$1:$H$9997,6,FALSE)-F2443</f>
        <v/>
      </c>
      <c r="H2443" s="19" t="n">
        <v>1</v>
      </c>
      <c r="I2443" s="57" t="n">
        <v>9</v>
      </c>
    </row>
    <row r="2444">
      <c r="A2444" s="62" t="n">
        <v>46363</v>
      </c>
      <c r="B2444" s="3" t="inlineStr">
        <is>
          <t>Week</t>
        </is>
      </c>
      <c r="C2444" s="19" t="n">
        <v>12</v>
      </c>
      <c r="D2444" s="19" t="n">
        <v>2026</v>
      </c>
      <c r="E2444" s="57" t="n">
        <v>3</v>
      </c>
      <c r="F2444" s="29">
        <f>ROUND(((SUMIFS(Calendar!$F$2:$F$9997,Calendar!$B$2:$B$9997,D2444,Calendar!$C$2:$C$9997,C2444)*INDEX(ForeCalc!$B$37:$Y$274,MATCH(_xlfn.CONCAT(H2444," ",I2444),ForeCalc!$A$37:$A$274,0),MATCH(_xlfn.CONCAT(B2444," ",E2444),ForeCalc!$B$36:$Y$36,0))))*VLOOKUP(A2444,Calendar!$A$2:$H$9997,8,FALSE),0)</f>
        <v/>
      </c>
      <c r="G2444" s="29">
        <f>VLOOKUP(A2444,Calendar!$A$1:$H$9997,6,FALSE)-F2444</f>
        <v/>
      </c>
      <c r="H2444" s="19" t="n">
        <v>1</v>
      </c>
      <c r="I2444" s="57" t="n">
        <v>9</v>
      </c>
    </row>
    <row r="2445">
      <c r="A2445" s="62" t="n">
        <v>46364</v>
      </c>
      <c r="B2445" s="3" t="inlineStr">
        <is>
          <t>Week</t>
        </is>
      </c>
      <c r="C2445" s="19" t="n">
        <v>12</v>
      </c>
      <c r="D2445" s="19" t="n">
        <v>2026</v>
      </c>
      <c r="E2445" s="57" t="n">
        <v>3</v>
      </c>
      <c r="F2445" s="29">
        <f>ROUND(((SUMIFS(Calendar!$F$2:$F$9997,Calendar!$B$2:$B$9997,D2445,Calendar!$C$2:$C$9997,C2445)*INDEX(ForeCalc!$B$37:$Y$274,MATCH(_xlfn.CONCAT(H2445," ",I2445),ForeCalc!$A$37:$A$274,0),MATCH(_xlfn.CONCAT(B2445," ",E2445),ForeCalc!$B$36:$Y$36,0))))*VLOOKUP(A2445,Calendar!$A$2:$H$9997,8,FALSE),0)</f>
        <v/>
      </c>
      <c r="G2445" s="29">
        <f>VLOOKUP(A2445,Calendar!$A$1:$H$9997,6,FALSE)-F2445</f>
        <v/>
      </c>
      <c r="H2445" s="19" t="n">
        <v>1</v>
      </c>
      <c r="I2445" s="57" t="n">
        <v>9</v>
      </c>
    </row>
    <row r="2446">
      <c r="A2446" s="62" t="n">
        <v>46365</v>
      </c>
      <c r="B2446" s="3" t="inlineStr">
        <is>
          <t>Week</t>
        </is>
      </c>
      <c r="C2446" s="19" t="n">
        <v>12</v>
      </c>
      <c r="D2446" s="19" t="n">
        <v>2026</v>
      </c>
      <c r="E2446" s="57" t="n">
        <v>3</v>
      </c>
      <c r="F2446" s="29">
        <f>ROUND(((SUMIFS(Calendar!$F$2:$F$9997,Calendar!$B$2:$B$9997,D2446,Calendar!$C$2:$C$9997,C2446)*INDEX(ForeCalc!$B$37:$Y$274,MATCH(_xlfn.CONCAT(H2446," ",I2446),ForeCalc!$A$37:$A$274,0),MATCH(_xlfn.CONCAT(B2446," ",E2446),ForeCalc!$B$36:$Y$36,0))))*VLOOKUP(A2446,Calendar!$A$2:$H$9997,8,FALSE),0)</f>
        <v/>
      </c>
      <c r="G2446" s="29">
        <f>VLOOKUP(A2446,Calendar!$A$1:$H$9997,6,FALSE)-F2446</f>
        <v/>
      </c>
      <c r="H2446" s="19" t="n">
        <v>1</v>
      </c>
      <c r="I2446" s="57" t="n">
        <v>9</v>
      </c>
    </row>
    <row r="2447">
      <c r="A2447" s="62" t="n">
        <v>46366</v>
      </c>
      <c r="B2447" s="3" t="inlineStr">
        <is>
          <t>Week</t>
        </is>
      </c>
      <c r="C2447" s="19" t="n">
        <v>12</v>
      </c>
      <c r="D2447" s="19" t="n">
        <v>2026</v>
      </c>
      <c r="E2447" s="57" t="n">
        <v>3</v>
      </c>
      <c r="F2447" s="29">
        <f>ROUND(((SUMIFS(Calendar!$F$2:$F$9997,Calendar!$B$2:$B$9997,D2447,Calendar!$C$2:$C$9997,C2447)*INDEX(ForeCalc!$B$37:$Y$274,MATCH(_xlfn.CONCAT(H2447," ",I2447),ForeCalc!$A$37:$A$274,0),MATCH(_xlfn.CONCAT(B2447," ",E2447),ForeCalc!$B$36:$Y$36,0))))*VLOOKUP(A2447,Calendar!$A$2:$H$9997,8,FALSE),0)</f>
        <v/>
      </c>
      <c r="G2447" s="29">
        <f>VLOOKUP(A2447,Calendar!$A$1:$H$9997,6,FALSE)-F2447</f>
        <v/>
      </c>
      <c r="H2447" s="19" t="n">
        <v>1</v>
      </c>
      <c r="I2447" s="57" t="n">
        <v>9</v>
      </c>
    </row>
    <row r="2448">
      <c r="A2448" s="62" t="n">
        <v>46367</v>
      </c>
      <c r="B2448" s="3" t="inlineStr">
        <is>
          <t>Week</t>
        </is>
      </c>
      <c r="C2448" s="19" t="n">
        <v>12</v>
      </c>
      <c r="D2448" s="19" t="n">
        <v>2026</v>
      </c>
      <c r="E2448" s="57" t="n">
        <v>3</v>
      </c>
      <c r="F2448" s="29">
        <f>ROUND(((SUMIFS(Calendar!$F$2:$F$9997,Calendar!$B$2:$B$9997,D2448,Calendar!$C$2:$C$9997,C2448)*INDEX(ForeCalc!$B$37:$Y$274,MATCH(_xlfn.CONCAT(H2448," ",I2448),ForeCalc!$A$37:$A$274,0),MATCH(_xlfn.CONCAT(B2448," ",E2448),ForeCalc!$B$36:$Y$36,0))))*VLOOKUP(A2448,Calendar!$A$2:$H$9997,8,FALSE),0)</f>
        <v/>
      </c>
      <c r="G2448" s="29">
        <f>VLOOKUP(A2448,Calendar!$A$1:$H$9997,6,FALSE)-F2448</f>
        <v/>
      </c>
      <c r="H2448" s="19" t="n">
        <v>1</v>
      </c>
      <c r="I2448" s="57" t="n">
        <v>9</v>
      </c>
    </row>
    <row r="2449">
      <c r="A2449" s="62" t="n">
        <v>46368</v>
      </c>
      <c r="B2449" s="3" t="inlineStr">
        <is>
          <t>Sat</t>
        </is>
      </c>
      <c r="C2449" s="19" t="n">
        <v>12</v>
      </c>
      <c r="D2449" s="19" t="n">
        <v>2026</v>
      </c>
      <c r="E2449" s="57" t="n">
        <v>3</v>
      </c>
      <c r="F2449" s="29">
        <f>ROUND(((SUMIFS(Calendar!$F$2:$F$9997,Calendar!$B$2:$B$9997,D2449,Calendar!$C$2:$C$9997,C2449)*INDEX(ForeCalc!$B$37:$Y$274,MATCH(_xlfn.CONCAT(H2449," ",I2449),ForeCalc!$A$37:$A$274,0),MATCH(_xlfn.CONCAT(B2449," ",E2449),ForeCalc!$B$36:$Y$36,0))))*VLOOKUP(A2449,Calendar!$A$2:$H$9997,8,FALSE),0)</f>
        <v/>
      </c>
      <c r="G2449" s="29">
        <f>VLOOKUP(A2449,Calendar!$A$1:$H$9997,6,FALSE)-F2449</f>
        <v/>
      </c>
      <c r="H2449" s="19" t="n">
        <v>1</v>
      </c>
      <c r="I2449" s="57" t="n">
        <v>9</v>
      </c>
    </row>
    <row r="2450">
      <c r="A2450" s="62" t="n">
        <v>46369</v>
      </c>
      <c r="B2450" s="3" t="inlineStr">
        <is>
          <t>Sun</t>
        </is>
      </c>
      <c r="C2450" s="19" t="n">
        <v>12</v>
      </c>
      <c r="D2450" s="19" t="n">
        <v>2026</v>
      </c>
      <c r="E2450" s="57" t="n">
        <v>3</v>
      </c>
      <c r="F2450" s="29">
        <f>ROUND(((SUMIFS(Calendar!$F$2:$F$9997,Calendar!$B$2:$B$9997,D2450,Calendar!$C$2:$C$9997,C2450)*INDEX(ForeCalc!$B$37:$Y$274,MATCH(_xlfn.CONCAT(H2450," ",I2450),ForeCalc!$A$37:$A$274,0),MATCH(_xlfn.CONCAT(B2450," ",E2450),ForeCalc!$B$36:$Y$36,0))))*VLOOKUP(A2450,Calendar!$A$2:$H$9997,8,FALSE),0)</f>
        <v/>
      </c>
      <c r="G2450" s="29">
        <f>VLOOKUP(A2450,Calendar!$A$1:$H$9997,6,FALSE)-F2450</f>
        <v/>
      </c>
      <c r="H2450" s="19" t="n">
        <v>1</v>
      </c>
      <c r="I2450" s="57" t="n">
        <v>9</v>
      </c>
    </row>
    <row r="2451">
      <c r="A2451" s="62" t="n">
        <v>46370</v>
      </c>
      <c r="B2451" s="3" t="inlineStr">
        <is>
          <t>Week</t>
        </is>
      </c>
      <c r="C2451" s="19" t="n">
        <v>12</v>
      </c>
      <c r="D2451" s="19" t="n">
        <v>2026</v>
      </c>
      <c r="E2451" s="57" t="n">
        <v>3</v>
      </c>
      <c r="F2451" s="29">
        <f>ROUND(((SUMIFS(Calendar!$F$2:$F$9997,Calendar!$B$2:$B$9997,D2451,Calendar!$C$2:$C$9997,C2451)*INDEX(ForeCalc!$B$37:$Y$274,MATCH(_xlfn.CONCAT(H2451," ",I2451),ForeCalc!$A$37:$A$274,0),MATCH(_xlfn.CONCAT(B2451," ",E2451),ForeCalc!$B$36:$Y$36,0))))*VLOOKUP(A2451,Calendar!$A$2:$H$9997,8,FALSE),0)</f>
        <v/>
      </c>
      <c r="G2451" s="29">
        <f>VLOOKUP(A2451,Calendar!$A$1:$H$9997,6,FALSE)-F2451</f>
        <v/>
      </c>
      <c r="H2451" s="19" t="n">
        <v>1</v>
      </c>
      <c r="I2451" s="57" t="n">
        <v>9</v>
      </c>
    </row>
    <row r="2452">
      <c r="A2452" s="62" t="n">
        <v>46371</v>
      </c>
      <c r="B2452" s="3" t="inlineStr">
        <is>
          <t>Week</t>
        </is>
      </c>
      <c r="C2452" s="19" t="n">
        <v>12</v>
      </c>
      <c r="D2452" s="19" t="n">
        <v>2026</v>
      </c>
      <c r="E2452" s="57" t="n">
        <v>3</v>
      </c>
      <c r="F2452" s="29">
        <f>ROUND(((SUMIFS(Calendar!$F$2:$F$9997,Calendar!$B$2:$B$9997,D2452,Calendar!$C$2:$C$9997,C2452)*INDEX(ForeCalc!$B$37:$Y$274,MATCH(_xlfn.CONCAT(H2452," ",I2452),ForeCalc!$A$37:$A$274,0),MATCH(_xlfn.CONCAT(B2452," ",E2452),ForeCalc!$B$36:$Y$36,0))))*VLOOKUP(A2452,Calendar!$A$2:$H$9997,8,FALSE),0)</f>
        <v/>
      </c>
      <c r="G2452" s="29">
        <f>VLOOKUP(A2452,Calendar!$A$1:$H$9997,6,FALSE)-F2452</f>
        <v/>
      </c>
      <c r="H2452" s="19" t="n">
        <v>1</v>
      </c>
      <c r="I2452" s="57" t="n">
        <v>9</v>
      </c>
    </row>
    <row r="2453">
      <c r="A2453" s="62" t="n">
        <v>46372</v>
      </c>
      <c r="B2453" s="3" t="inlineStr">
        <is>
          <t>Week</t>
        </is>
      </c>
      <c r="C2453" s="19" t="n">
        <v>12</v>
      </c>
      <c r="D2453" s="19" t="n">
        <v>2026</v>
      </c>
      <c r="E2453" s="57" t="n">
        <v>3</v>
      </c>
      <c r="F2453" s="29">
        <f>ROUND(((SUMIFS(Calendar!$F$2:$F$9997,Calendar!$B$2:$B$9997,D2453,Calendar!$C$2:$C$9997,C2453)*INDEX(ForeCalc!$B$37:$Y$274,MATCH(_xlfn.CONCAT(H2453," ",I2453),ForeCalc!$A$37:$A$274,0),MATCH(_xlfn.CONCAT(B2453," ",E2453),ForeCalc!$B$36:$Y$36,0))))*VLOOKUP(A2453,Calendar!$A$2:$H$9997,8,FALSE),0)</f>
        <v/>
      </c>
      <c r="G2453" s="29">
        <f>VLOOKUP(A2453,Calendar!$A$1:$H$9997,6,FALSE)-F2453</f>
        <v/>
      </c>
      <c r="H2453" s="19" t="n">
        <v>1</v>
      </c>
      <c r="I2453" s="57" t="n">
        <v>9</v>
      </c>
    </row>
    <row r="2454">
      <c r="A2454" s="62" t="n">
        <v>46373</v>
      </c>
      <c r="B2454" s="3" t="inlineStr">
        <is>
          <t>Week</t>
        </is>
      </c>
      <c r="C2454" s="19" t="n">
        <v>12</v>
      </c>
      <c r="D2454" s="19" t="n">
        <v>2026</v>
      </c>
      <c r="E2454" s="57" t="n">
        <v>3</v>
      </c>
      <c r="F2454" s="29">
        <f>ROUND(((SUMIFS(Calendar!$F$2:$F$9997,Calendar!$B$2:$B$9997,D2454,Calendar!$C$2:$C$9997,C2454)*INDEX(ForeCalc!$B$37:$Y$274,MATCH(_xlfn.CONCAT(H2454," ",I2454),ForeCalc!$A$37:$A$274,0),MATCH(_xlfn.CONCAT(B2454," ",E2454),ForeCalc!$B$36:$Y$36,0))))*VLOOKUP(A2454,Calendar!$A$2:$H$9997,8,FALSE),0)</f>
        <v/>
      </c>
      <c r="G2454" s="29">
        <f>VLOOKUP(A2454,Calendar!$A$1:$H$9997,6,FALSE)-F2454</f>
        <v/>
      </c>
      <c r="H2454" s="19" t="n">
        <v>1</v>
      </c>
      <c r="I2454" s="57" t="n">
        <v>9</v>
      </c>
    </row>
    <row r="2455">
      <c r="A2455" s="62" t="n">
        <v>46374</v>
      </c>
      <c r="B2455" s="3" t="inlineStr">
        <is>
          <t>Week</t>
        </is>
      </c>
      <c r="C2455" s="19" t="n">
        <v>12</v>
      </c>
      <c r="D2455" s="19" t="n">
        <v>2026</v>
      </c>
      <c r="E2455" s="57" t="n">
        <v>3</v>
      </c>
      <c r="F2455" s="29">
        <f>ROUND(((SUMIFS(Calendar!$F$2:$F$9997,Calendar!$B$2:$B$9997,D2455,Calendar!$C$2:$C$9997,C2455)*INDEX(ForeCalc!$B$37:$Y$274,MATCH(_xlfn.CONCAT(H2455," ",I2455),ForeCalc!$A$37:$A$274,0),MATCH(_xlfn.CONCAT(B2455," ",E2455),ForeCalc!$B$36:$Y$36,0))))*VLOOKUP(A2455,Calendar!$A$2:$H$9997,8,FALSE),0)</f>
        <v/>
      </c>
      <c r="G2455" s="29">
        <f>VLOOKUP(A2455,Calendar!$A$1:$H$9997,6,FALSE)-F2455</f>
        <v/>
      </c>
      <c r="H2455" s="19" t="n">
        <v>1</v>
      </c>
      <c r="I2455" s="57" t="n">
        <v>9</v>
      </c>
    </row>
    <row r="2456">
      <c r="A2456" s="62" t="n">
        <v>46375</v>
      </c>
      <c r="B2456" s="3" t="inlineStr">
        <is>
          <t>Sat</t>
        </is>
      </c>
      <c r="C2456" s="19" t="n">
        <v>12</v>
      </c>
      <c r="D2456" s="19" t="n">
        <v>2026</v>
      </c>
      <c r="E2456" s="57" t="n">
        <v>3</v>
      </c>
      <c r="F2456" s="29">
        <f>ROUND(((SUMIFS(Calendar!$F$2:$F$9997,Calendar!$B$2:$B$9997,D2456,Calendar!$C$2:$C$9997,C2456)*INDEX(ForeCalc!$B$37:$Y$274,MATCH(_xlfn.CONCAT(H2456," ",I2456),ForeCalc!$A$37:$A$274,0),MATCH(_xlfn.CONCAT(B2456," ",E2456),ForeCalc!$B$36:$Y$36,0))))*VLOOKUP(A2456,Calendar!$A$2:$H$9997,8,FALSE),0)</f>
        <v/>
      </c>
      <c r="G2456" s="29">
        <f>VLOOKUP(A2456,Calendar!$A$1:$H$9997,6,FALSE)-F2456</f>
        <v/>
      </c>
      <c r="H2456" s="19" t="n">
        <v>1</v>
      </c>
      <c r="I2456" s="57" t="n">
        <v>9</v>
      </c>
    </row>
    <row r="2457">
      <c r="A2457" s="62" t="n">
        <v>46376</v>
      </c>
      <c r="B2457" s="3" t="inlineStr">
        <is>
          <t>Sun</t>
        </is>
      </c>
      <c r="C2457" s="19" t="n">
        <v>12</v>
      </c>
      <c r="D2457" s="19" t="n">
        <v>2026</v>
      </c>
      <c r="E2457" s="57" t="n">
        <v>3</v>
      </c>
      <c r="F2457" s="29">
        <f>ROUND(((SUMIFS(Calendar!$F$2:$F$9997,Calendar!$B$2:$B$9997,D2457,Calendar!$C$2:$C$9997,C2457)*INDEX(ForeCalc!$B$37:$Y$274,MATCH(_xlfn.CONCAT(H2457," ",I2457),ForeCalc!$A$37:$A$274,0),MATCH(_xlfn.CONCAT(B2457," ",E2457),ForeCalc!$B$36:$Y$36,0))))*VLOOKUP(A2457,Calendar!$A$2:$H$9997,8,FALSE),0)</f>
        <v/>
      </c>
      <c r="G2457" s="29">
        <f>VLOOKUP(A2457,Calendar!$A$1:$H$9997,6,FALSE)-F2457</f>
        <v/>
      </c>
      <c r="H2457" s="19" t="n">
        <v>1</v>
      </c>
      <c r="I2457" s="57" t="n">
        <v>9</v>
      </c>
    </row>
    <row r="2458">
      <c r="A2458" s="62" t="n">
        <v>46377</v>
      </c>
      <c r="B2458" s="3" t="inlineStr">
        <is>
          <t>Week</t>
        </is>
      </c>
      <c r="C2458" s="19" t="n">
        <v>12</v>
      </c>
      <c r="D2458" s="19" t="n">
        <v>2026</v>
      </c>
      <c r="E2458" s="57" t="n">
        <v>3</v>
      </c>
      <c r="F2458" s="29">
        <f>ROUND(((SUMIFS(Calendar!$F$2:$F$9997,Calendar!$B$2:$B$9997,D2458,Calendar!$C$2:$C$9997,C2458)*INDEX(ForeCalc!$B$37:$Y$274,MATCH(_xlfn.CONCAT(H2458," ",I2458),ForeCalc!$A$37:$A$274,0),MATCH(_xlfn.CONCAT(B2458," ",E2458),ForeCalc!$B$36:$Y$36,0))))*VLOOKUP(A2458,Calendar!$A$2:$H$9997,8,FALSE),0)</f>
        <v/>
      </c>
      <c r="G2458" s="29">
        <f>VLOOKUP(A2458,Calendar!$A$1:$H$9997,6,FALSE)-F2458</f>
        <v/>
      </c>
      <c r="H2458" s="19" t="n">
        <v>1</v>
      </c>
      <c r="I2458" s="57" t="n">
        <v>9</v>
      </c>
    </row>
    <row r="2459">
      <c r="A2459" s="62" t="n">
        <v>46378</v>
      </c>
      <c r="B2459" s="3" t="inlineStr">
        <is>
          <t>Week</t>
        </is>
      </c>
      <c r="C2459" s="19" t="n">
        <v>12</v>
      </c>
      <c r="D2459" s="19" t="n">
        <v>2026</v>
      </c>
      <c r="E2459" s="57" t="n">
        <v>3</v>
      </c>
      <c r="F2459" s="29">
        <f>ROUND(((SUMIFS(Calendar!$F$2:$F$9997,Calendar!$B$2:$B$9997,D2459,Calendar!$C$2:$C$9997,C2459)*INDEX(ForeCalc!$B$37:$Y$274,MATCH(_xlfn.CONCAT(H2459," ",I2459),ForeCalc!$A$37:$A$274,0),MATCH(_xlfn.CONCAT(B2459," ",E2459),ForeCalc!$B$36:$Y$36,0))))*VLOOKUP(A2459,Calendar!$A$2:$H$9997,8,FALSE),0)</f>
        <v/>
      </c>
      <c r="G2459" s="29">
        <f>VLOOKUP(A2459,Calendar!$A$1:$H$9997,6,FALSE)-F2459</f>
        <v/>
      </c>
      <c r="H2459" s="19" t="n">
        <v>1</v>
      </c>
      <c r="I2459" s="57" t="n">
        <v>9</v>
      </c>
    </row>
    <row r="2460">
      <c r="A2460" s="62" t="n">
        <v>46379</v>
      </c>
      <c r="B2460" s="3" t="inlineStr">
        <is>
          <t>Week</t>
        </is>
      </c>
      <c r="C2460" s="19" t="n">
        <v>12</v>
      </c>
      <c r="D2460" s="19" t="n">
        <v>2026</v>
      </c>
      <c r="E2460" s="57" t="n">
        <v>3</v>
      </c>
      <c r="F2460" s="29">
        <f>ROUND(((SUMIFS(Calendar!$F$2:$F$9997,Calendar!$B$2:$B$9997,D2460,Calendar!$C$2:$C$9997,C2460)*INDEX(ForeCalc!$B$37:$Y$274,MATCH(_xlfn.CONCAT(H2460," ",I2460),ForeCalc!$A$37:$A$274,0),MATCH(_xlfn.CONCAT(B2460," ",E2460),ForeCalc!$B$36:$Y$36,0))))*VLOOKUP(A2460,Calendar!$A$2:$H$9997,8,FALSE),0)</f>
        <v/>
      </c>
      <c r="G2460" s="29">
        <f>VLOOKUP(A2460,Calendar!$A$1:$H$9997,6,FALSE)-F2460</f>
        <v/>
      </c>
      <c r="H2460" s="19" t="n">
        <v>1</v>
      </c>
      <c r="I2460" s="57" t="n">
        <v>9</v>
      </c>
    </row>
    <row r="2461">
      <c r="A2461" s="62" t="n">
        <v>46380</v>
      </c>
      <c r="B2461" s="3" t="inlineStr">
        <is>
          <t>Week</t>
        </is>
      </c>
      <c r="C2461" s="19" t="n">
        <v>12</v>
      </c>
      <c r="D2461" s="19" t="n">
        <v>2026</v>
      </c>
      <c r="E2461" s="57" t="n">
        <v>3</v>
      </c>
      <c r="F2461" s="29">
        <f>ROUND(((SUMIFS(Calendar!$F$2:$F$9997,Calendar!$B$2:$B$9997,D2461,Calendar!$C$2:$C$9997,C2461)*INDEX(ForeCalc!$B$37:$Y$274,MATCH(_xlfn.CONCAT(H2461," ",I2461),ForeCalc!$A$37:$A$274,0),MATCH(_xlfn.CONCAT(B2461," ",E2461),ForeCalc!$B$36:$Y$36,0))))*VLOOKUP(A2461,Calendar!$A$2:$H$9997,8,FALSE),0)</f>
        <v/>
      </c>
      <c r="G2461" s="29">
        <f>VLOOKUP(A2461,Calendar!$A$1:$H$9997,6,FALSE)-F2461</f>
        <v/>
      </c>
      <c r="H2461" s="19" t="n">
        <v>1</v>
      </c>
      <c r="I2461" s="57" t="n">
        <v>9</v>
      </c>
    </row>
    <row r="2462">
      <c r="A2462" s="62" t="n">
        <v>46381</v>
      </c>
      <c r="B2462" s="3" t="inlineStr">
        <is>
          <t>Week</t>
        </is>
      </c>
      <c r="C2462" s="19" t="n">
        <v>12</v>
      </c>
      <c r="D2462" s="19" t="n">
        <v>2026</v>
      </c>
      <c r="E2462" s="57" t="n">
        <v>3</v>
      </c>
      <c r="F2462" s="29">
        <f>ROUND(((SUMIFS(Calendar!$F$2:$F$9997,Calendar!$B$2:$B$9997,D2462,Calendar!$C$2:$C$9997,C2462)*INDEX(ForeCalc!$B$37:$Y$274,MATCH(_xlfn.CONCAT(H2462," ",I2462),ForeCalc!$A$37:$A$274,0),MATCH(_xlfn.CONCAT(B2462," ",E2462),ForeCalc!$B$36:$Y$36,0))))*VLOOKUP(A2462,Calendar!$A$2:$H$9997,8,FALSE),0)</f>
        <v/>
      </c>
      <c r="G2462" s="29">
        <f>VLOOKUP(A2462,Calendar!$A$1:$H$9997,6,FALSE)-F2462</f>
        <v/>
      </c>
      <c r="H2462" s="19" t="n">
        <v>1</v>
      </c>
      <c r="I2462" s="57" t="n">
        <v>9</v>
      </c>
    </row>
    <row r="2463">
      <c r="A2463" s="62" t="n">
        <v>46382</v>
      </c>
      <c r="B2463" s="3" t="inlineStr">
        <is>
          <t>Sat</t>
        </is>
      </c>
      <c r="C2463" s="19" t="n">
        <v>12</v>
      </c>
      <c r="D2463" s="19" t="n">
        <v>2026</v>
      </c>
      <c r="E2463" s="57" t="n">
        <v>3</v>
      </c>
      <c r="F2463" s="29">
        <f>ROUND(((SUMIFS(Calendar!$F$2:$F$9997,Calendar!$B$2:$B$9997,D2463,Calendar!$C$2:$C$9997,C2463)*INDEX(ForeCalc!$B$37:$Y$274,MATCH(_xlfn.CONCAT(H2463," ",I2463),ForeCalc!$A$37:$A$274,0),MATCH(_xlfn.CONCAT(B2463," ",E2463),ForeCalc!$B$36:$Y$36,0))))*VLOOKUP(A2463,Calendar!$A$2:$H$9997,8,FALSE),0)</f>
        <v/>
      </c>
      <c r="G2463" s="29">
        <f>VLOOKUP(A2463,Calendar!$A$1:$H$9997,6,FALSE)-F2463</f>
        <v/>
      </c>
      <c r="H2463" s="19" t="n">
        <v>1</v>
      </c>
      <c r="I2463" s="57" t="n">
        <v>9</v>
      </c>
    </row>
    <row r="2464">
      <c r="A2464" s="62" t="n">
        <v>46383</v>
      </c>
      <c r="B2464" s="3" t="inlineStr">
        <is>
          <t>Sun</t>
        </is>
      </c>
      <c r="C2464" s="19" t="n">
        <v>12</v>
      </c>
      <c r="D2464" s="19" t="n">
        <v>2026</v>
      </c>
      <c r="E2464" s="57" t="n">
        <v>3</v>
      </c>
      <c r="F2464" s="29">
        <f>ROUND(((SUMIFS(Calendar!$F$2:$F$9997,Calendar!$B$2:$B$9997,D2464,Calendar!$C$2:$C$9997,C2464)*INDEX(ForeCalc!$B$37:$Y$274,MATCH(_xlfn.CONCAT(H2464," ",I2464),ForeCalc!$A$37:$A$274,0),MATCH(_xlfn.CONCAT(B2464," ",E2464),ForeCalc!$B$36:$Y$36,0))))*VLOOKUP(A2464,Calendar!$A$2:$H$9997,8,FALSE),0)</f>
        <v/>
      </c>
      <c r="G2464" s="29">
        <f>VLOOKUP(A2464,Calendar!$A$1:$H$9997,6,FALSE)-F2464</f>
        <v/>
      </c>
      <c r="H2464" s="19" t="n">
        <v>1</v>
      </c>
      <c r="I2464" s="57" t="n">
        <v>9</v>
      </c>
    </row>
    <row r="2465">
      <c r="A2465" s="62" t="n">
        <v>46384</v>
      </c>
      <c r="B2465" s="3" t="inlineStr">
        <is>
          <t>Week</t>
        </is>
      </c>
      <c r="C2465" s="19" t="n">
        <v>12</v>
      </c>
      <c r="D2465" s="19" t="n">
        <v>2026</v>
      </c>
      <c r="E2465" s="57" t="n">
        <v>3</v>
      </c>
      <c r="F2465" s="29">
        <f>ROUND(((SUMIFS(Calendar!$F$2:$F$9997,Calendar!$B$2:$B$9997,D2465,Calendar!$C$2:$C$9997,C2465)*INDEX(ForeCalc!$B$37:$Y$274,MATCH(_xlfn.CONCAT(H2465," ",I2465),ForeCalc!$A$37:$A$274,0),MATCH(_xlfn.CONCAT(B2465," ",E2465),ForeCalc!$B$36:$Y$36,0))))*VLOOKUP(A2465,Calendar!$A$2:$H$9997,8,FALSE),0)</f>
        <v/>
      </c>
      <c r="G2465" s="29">
        <f>VLOOKUP(A2465,Calendar!$A$1:$H$9997,6,FALSE)-F2465</f>
        <v/>
      </c>
      <c r="H2465" s="19" t="n">
        <v>1</v>
      </c>
      <c r="I2465" s="57" t="n">
        <v>9</v>
      </c>
    </row>
    <row r="2466">
      <c r="A2466" s="62" t="n">
        <v>46385</v>
      </c>
      <c r="B2466" s="3" t="inlineStr">
        <is>
          <t>Week</t>
        </is>
      </c>
      <c r="C2466" s="19" t="n">
        <v>12</v>
      </c>
      <c r="D2466" s="19" t="n">
        <v>2026</v>
      </c>
      <c r="E2466" s="57" t="n">
        <v>3</v>
      </c>
      <c r="F2466" s="29">
        <f>ROUND(((SUMIFS(Calendar!$F$2:$F$9997,Calendar!$B$2:$B$9997,D2466,Calendar!$C$2:$C$9997,C2466)*INDEX(ForeCalc!$B$37:$Y$274,MATCH(_xlfn.CONCAT(H2466," ",I2466),ForeCalc!$A$37:$A$274,0),MATCH(_xlfn.CONCAT(B2466," ",E2466),ForeCalc!$B$36:$Y$36,0))))*VLOOKUP(A2466,Calendar!$A$2:$H$9997,8,FALSE),0)</f>
        <v/>
      </c>
      <c r="G2466" s="29">
        <f>VLOOKUP(A2466,Calendar!$A$1:$H$9997,6,FALSE)-F2466</f>
        <v/>
      </c>
      <c r="H2466" s="19" t="n">
        <v>1</v>
      </c>
      <c r="I2466" s="57" t="n">
        <v>9</v>
      </c>
    </row>
    <row r="2467">
      <c r="A2467" s="62" t="n">
        <v>46386</v>
      </c>
      <c r="B2467" s="3" t="inlineStr">
        <is>
          <t>Week</t>
        </is>
      </c>
      <c r="C2467" s="19" t="n">
        <v>12</v>
      </c>
      <c r="D2467" s="19" t="n">
        <v>2026</v>
      </c>
      <c r="E2467" s="57" t="n">
        <v>3</v>
      </c>
      <c r="F2467" s="29">
        <f>ROUND(((SUMIFS(Calendar!$F$2:$F$9997,Calendar!$B$2:$B$9997,D2467,Calendar!$C$2:$C$9997,C2467)*INDEX(ForeCalc!$B$37:$Y$274,MATCH(_xlfn.CONCAT(H2467," ",I2467),ForeCalc!$A$37:$A$274,0),MATCH(_xlfn.CONCAT(B2467," ",E2467),ForeCalc!$B$36:$Y$36,0))))*VLOOKUP(A2467,Calendar!$A$2:$H$9997,8,FALSE),0)</f>
        <v/>
      </c>
      <c r="G2467" s="29">
        <f>VLOOKUP(A2467,Calendar!$A$1:$H$9997,6,FALSE)-F2467</f>
        <v/>
      </c>
      <c r="H2467" s="19" t="n">
        <v>1</v>
      </c>
      <c r="I2467" s="57" t="n">
        <v>9</v>
      </c>
    </row>
    <row r="2468">
      <c r="A2468" s="62" t="n">
        <v>46387</v>
      </c>
      <c r="B2468" s="3" t="inlineStr">
        <is>
          <t>Week</t>
        </is>
      </c>
      <c r="C2468" s="19" t="n">
        <v>12</v>
      </c>
      <c r="D2468" s="19" t="n">
        <v>2026</v>
      </c>
      <c r="E2468" s="57" t="n">
        <v>3</v>
      </c>
      <c r="F2468" s="29">
        <f>ROUND(((SUMIFS(Calendar!$F$2:$F$9997,Calendar!$B$2:$B$9997,D2468,Calendar!$C$2:$C$9997,C2468)*INDEX(ForeCalc!$B$37:$Y$274,MATCH(_xlfn.CONCAT(H2468," ",I2468),ForeCalc!$A$37:$A$274,0),MATCH(_xlfn.CONCAT(B2468," ",E2468),ForeCalc!$B$36:$Y$36,0))))*VLOOKUP(A2468,Calendar!$A$2:$H$9997,8,FALSE),0)</f>
        <v/>
      </c>
      <c r="G2468" s="29">
        <f>VLOOKUP(A2468,Calendar!$A$1:$H$9997,6,FALSE)-F2468</f>
        <v/>
      </c>
      <c r="H2468" s="19" t="n">
        <v>1</v>
      </c>
      <c r="I2468" s="57" t="n">
        <v>9</v>
      </c>
    </row>
    <row r="2469">
      <c r="A2469" s="62" t="n">
        <v>46388</v>
      </c>
      <c r="B2469" s="3" t="inlineStr">
        <is>
          <t>Week</t>
        </is>
      </c>
      <c r="C2469" s="19" t="n">
        <v>1</v>
      </c>
      <c r="D2469" s="19" t="n">
        <v>2027</v>
      </c>
      <c r="E2469" s="57" t="n">
        <v>3</v>
      </c>
      <c r="F2469" s="29">
        <f>ROUND(((SUMIFS(Calendar!$F$2:$F$9997,Calendar!$B$2:$B$9997,D2469,Calendar!$C$2:$C$9997,C2469)*INDEX(ForeCalc!$B$37:$Y$274,MATCH(_xlfn.CONCAT(H2469," ",I2469),ForeCalc!$A$37:$A$274,0),MATCH(_xlfn.CONCAT(B2469," ",E2469),ForeCalc!$B$36:$Y$36,0))))*VLOOKUP(A2469,Calendar!$A$2:$H$9997,8,FALSE),0)</f>
        <v/>
      </c>
      <c r="G2469" s="29">
        <f>VLOOKUP(A2469,Calendar!$A$1:$H$9997,6,FALSE)-F2469</f>
        <v/>
      </c>
      <c r="H2469" s="19" t="n">
        <v>1</v>
      </c>
      <c r="I2469" s="57" t="n">
        <v>10</v>
      </c>
    </row>
    <row r="2470">
      <c r="A2470" s="62" t="n">
        <v>46389</v>
      </c>
      <c r="B2470" s="3" t="inlineStr">
        <is>
          <t>Sat</t>
        </is>
      </c>
      <c r="C2470" s="19" t="n">
        <v>1</v>
      </c>
      <c r="D2470" s="19" t="n">
        <v>2027</v>
      </c>
      <c r="E2470" s="57" t="n">
        <v>3</v>
      </c>
      <c r="F2470" s="29">
        <f>ROUND(((SUMIFS(Calendar!$F$2:$F$9997,Calendar!$B$2:$B$9997,D2470,Calendar!$C$2:$C$9997,C2470)*INDEX(ForeCalc!$B$37:$Y$274,MATCH(_xlfn.CONCAT(H2470," ",I2470),ForeCalc!$A$37:$A$274,0),MATCH(_xlfn.CONCAT(B2470," ",E2470),ForeCalc!$B$36:$Y$36,0))))*VLOOKUP(A2470,Calendar!$A$2:$H$9997,8,FALSE),0)</f>
        <v/>
      </c>
      <c r="G2470" s="29">
        <f>VLOOKUP(A2470,Calendar!$A$1:$H$9997,6,FALSE)-F2470</f>
        <v/>
      </c>
      <c r="H2470" s="19" t="n">
        <v>1</v>
      </c>
      <c r="I2470" s="57" t="n">
        <v>10</v>
      </c>
    </row>
    <row r="2471">
      <c r="A2471" s="62" t="n">
        <v>46390</v>
      </c>
      <c r="B2471" s="3" t="inlineStr">
        <is>
          <t>Sun</t>
        </is>
      </c>
      <c r="C2471" s="19" t="n">
        <v>1</v>
      </c>
      <c r="D2471" s="19" t="n">
        <v>2027</v>
      </c>
      <c r="E2471" s="57" t="n">
        <v>3</v>
      </c>
      <c r="F2471" s="29">
        <f>ROUND(((SUMIFS(Calendar!$F$2:$F$9997,Calendar!$B$2:$B$9997,D2471,Calendar!$C$2:$C$9997,C2471)*INDEX(ForeCalc!$B$37:$Y$274,MATCH(_xlfn.CONCAT(H2471," ",I2471),ForeCalc!$A$37:$A$274,0),MATCH(_xlfn.CONCAT(B2471," ",E2471),ForeCalc!$B$36:$Y$36,0))))*VLOOKUP(A2471,Calendar!$A$2:$H$9997,8,FALSE),0)</f>
        <v/>
      </c>
      <c r="G2471" s="29">
        <f>VLOOKUP(A2471,Calendar!$A$1:$H$9997,6,FALSE)-F2471</f>
        <v/>
      </c>
      <c r="H2471" s="19" t="n">
        <v>1</v>
      </c>
      <c r="I2471" s="57" t="n">
        <v>10</v>
      </c>
    </row>
    <row r="2472">
      <c r="A2472" s="62" t="n">
        <v>46391</v>
      </c>
      <c r="B2472" s="3" t="inlineStr">
        <is>
          <t>Week</t>
        </is>
      </c>
      <c r="C2472" s="19" t="n">
        <v>1</v>
      </c>
      <c r="D2472" s="19" t="n">
        <v>2027</v>
      </c>
      <c r="E2472" s="57" t="n">
        <v>3</v>
      </c>
      <c r="F2472" s="29">
        <f>ROUND(((SUMIFS(Calendar!$F$2:$F$9997,Calendar!$B$2:$B$9997,D2472,Calendar!$C$2:$C$9997,C2472)*INDEX(ForeCalc!$B$37:$Y$274,MATCH(_xlfn.CONCAT(H2472," ",I2472),ForeCalc!$A$37:$A$274,0),MATCH(_xlfn.CONCAT(B2472," ",E2472),ForeCalc!$B$36:$Y$36,0))))*VLOOKUP(A2472,Calendar!$A$2:$H$9997,8,FALSE),0)</f>
        <v/>
      </c>
      <c r="G2472" s="29">
        <f>VLOOKUP(A2472,Calendar!$A$1:$H$9997,6,FALSE)-F2472</f>
        <v/>
      </c>
      <c r="H2472" s="19" t="n">
        <v>1</v>
      </c>
      <c r="I2472" s="57" t="n">
        <v>10</v>
      </c>
    </row>
    <row r="2473">
      <c r="A2473" s="62" t="n">
        <v>46392</v>
      </c>
      <c r="B2473" s="3" t="inlineStr">
        <is>
          <t>Week</t>
        </is>
      </c>
      <c r="C2473" s="19" t="n">
        <v>1</v>
      </c>
      <c r="D2473" s="19" t="n">
        <v>2027</v>
      </c>
      <c r="E2473" s="57" t="n">
        <v>3</v>
      </c>
      <c r="F2473" s="29">
        <f>ROUND(((SUMIFS(Calendar!$F$2:$F$9997,Calendar!$B$2:$B$9997,D2473,Calendar!$C$2:$C$9997,C2473)*INDEX(ForeCalc!$B$37:$Y$274,MATCH(_xlfn.CONCAT(H2473," ",I2473),ForeCalc!$A$37:$A$274,0),MATCH(_xlfn.CONCAT(B2473," ",E2473),ForeCalc!$B$36:$Y$36,0))))*VLOOKUP(A2473,Calendar!$A$2:$H$9997,8,FALSE),0)</f>
        <v/>
      </c>
      <c r="G2473" s="29">
        <f>VLOOKUP(A2473,Calendar!$A$1:$H$9997,6,FALSE)-F2473</f>
        <v/>
      </c>
      <c r="H2473" s="19" t="n">
        <v>1</v>
      </c>
      <c r="I2473" s="57" t="n">
        <v>10</v>
      </c>
    </row>
    <row r="2474">
      <c r="A2474" s="62" t="n">
        <v>46393</v>
      </c>
      <c r="B2474" s="3" t="inlineStr">
        <is>
          <t>Week</t>
        </is>
      </c>
      <c r="C2474" s="19" t="n">
        <v>1</v>
      </c>
      <c r="D2474" s="19" t="n">
        <v>2027</v>
      </c>
      <c r="E2474" s="57" t="n">
        <v>3</v>
      </c>
      <c r="F2474" s="29">
        <f>ROUND(((SUMIFS(Calendar!$F$2:$F$9997,Calendar!$B$2:$B$9997,D2474,Calendar!$C$2:$C$9997,C2474)*INDEX(ForeCalc!$B$37:$Y$274,MATCH(_xlfn.CONCAT(H2474," ",I2474),ForeCalc!$A$37:$A$274,0),MATCH(_xlfn.CONCAT(B2474," ",E2474),ForeCalc!$B$36:$Y$36,0))))*VLOOKUP(A2474,Calendar!$A$2:$H$9997,8,FALSE),0)</f>
        <v/>
      </c>
      <c r="G2474" s="29">
        <f>VLOOKUP(A2474,Calendar!$A$1:$H$9997,6,FALSE)-F2474</f>
        <v/>
      </c>
      <c r="H2474" s="19" t="n">
        <v>1</v>
      </c>
      <c r="I2474" s="57" t="n">
        <v>10</v>
      </c>
    </row>
    <row r="2475">
      <c r="A2475" s="62" t="n">
        <v>46394</v>
      </c>
      <c r="B2475" s="3" t="inlineStr">
        <is>
          <t>Week</t>
        </is>
      </c>
      <c r="C2475" s="19" t="n">
        <v>1</v>
      </c>
      <c r="D2475" s="19" t="n">
        <v>2027</v>
      </c>
      <c r="E2475" s="57" t="n">
        <v>3</v>
      </c>
      <c r="F2475" s="29">
        <f>ROUND(((SUMIFS(Calendar!$F$2:$F$9997,Calendar!$B$2:$B$9997,D2475,Calendar!$C$2:$C$9997,C2475)*INDEX(ForeCalc!$B$37:$Y$274,MATCH(_xlfn.CONCAT(H2475," ",I2475),ForeCalc!$A$37:$A$274,0),MATCH(_xlfn.CONCAT(B2475," ",E2475),ForeCalc!$B$36:$Y$36,0))))*VLOOKUP(A2475,Calendar!$A$2:$H$9997,8,FALSE),0)</f>
        <v/>
      </c>
      <c r="G2475" s="29">
        <f>VLOOKUP(A2475,Calendar!$A$1:$H$9997,6,FALSE)-F2475</f>
        <v/>
      </c>
      <c r="H2475" s="19" t="n">
        <v>1</v>
      </c>
      <c r="I2475" s="57" t="n">
        <v>10</v>
      </c>
    </row>
    <row r="2476">
      <c r="A2476" s="62" t="n">
        <v>46395</v>
      </c>
      <c r="B2476" s="3" t="inlineStr">
        <is>
          <t>Week</t>
        </is>
      </c>
      <c r="C2476" s="19" t="n">
        <v>1</v>
      </c>
      <c r="D2476" s="19" t="n">
        <v>2027</v>
      </c>
      <c r="E2476" s="57" t="n">
        <v>3</v>
      </c>
      <c r="F2476" s="29">
        <f>ROUND(((SUMIFS(Calendar!$F$2:$F$9997,Calendar!$B$2:$B$9997,D2476,Calendar!$C$2:$C$9997,C2476)*INDEX(ForeCalc!$B$37:$Y$274,MATCH(_xlfn.CONCAT(H2476," ",I2476),ForeCalc!$A$37:$A$274,0),MATCH(_xlfn.CONCAT(B2476," ",E2476),ForeCalc!$B$36:$Y$36,0))))*VLOOKUP(A2476,Calendar!$A$2:$H$9997,8,FALSE),0)</f>
        <v/>
      </c>
      <c r="G2476" s="29">
        <f>VLOOKUP(A2476,Calendar!$A$1:$H$9997,6,FALSE)-F2476</f>
        <v/>
      </c>
      <c r="H2476" s="19" t="n">
        <v>1</v>
      </c>
      <c r="I2476" s="57" t="n">
        <v>10</v>
      </c>
    </row>
    <row r="2477">
      <c r="A2477" s="62" t="n">
        <v>46396</v>
      </c>
      <c r="B2477" s="3" t="inlineStr">
        <is>
          <t>Sat</t>
        </is>
      </c>
      <c r="C2477" s="19" t="n">
        <v>1</v>
      </c>
      <c r="D2477" s="19" t="n">
        <v>2027</v>
      </c>
      <c r="E2477" s="57" t="n">
        <v>3</v>
      </c>
      <c r="F2477" s="29">
        <f>ROUND(((SUMIFS(Calendar!$F$2:$F$9997,Calendar!$B$2:$B$9997,D2477,Calendar!$C$2:$C$9997,C2477)*INDEX(ForeCalc!$B$37:$Y$274,MATCH(_xlfn.CONCAT(H2477," ",I2477),ForeCalc!$A$37:$A$274,0),MATCH(_xlfn.CONCAT(B2477," ",E2477),ForeCalc!$B$36:$Y$36,0))))*VLOOKUP(A2477,Calendar!$A$2:$H$9997,8,FALSE),0)</f>
        <v/>
      </c>
      <c r="G2477" s="29">
        <f>VLOOKUP(A2477,Calendar!$A$1:$H$9997,6,FALSE)-F2477</f>
        <v/>
      </c>
      <c r="H2477" s="19" t="n">
        <v>1</v>
      </c>
      <c r="I2477" s="57" t="n">
        <v>10</v>
      </c>
    </row>
    <row r="2478">
      <c r="A2478" s="62" t="n">
        <v>46397</v>
      </c>
      <c r="B2478" s="3" t="inlineStr">
        <is>
          <t>Sun</t>
        </is>
      </c>
      <c r="C2478" s="19" t="n">
        <v>1</v>
      </c>
      <c r="D2478" s="19" t="n">
        <v>2027</v>
      </c>
      <c r="E2478" s="57" t="n">
        <v>3</v>
      </c>
      <c r="F2478" s="29">
        <f>ROUND(((SUMIFS(Calendar!$F$2:$F$9997,Calendar!$B$2:$B$9997,D2478,Calendar!$C$2:$C$9997,C2478)*INDEX(ForeCalc!$B$37:$Y$274,MATCH(_xlfn.CONCAT(H2478," ",I2478),ForeCalc!$A$37:$A$274,0),MATCH(_xlfn.CONCAT(B2478," ",E2478),ForeCalc!$B$36:$Y$36,0))))*VLOOKUP(A2478,Calendar!$A$2:$H$9997,8,FALSE),0)</f>
        <v/>
      </c>
      <c r="G2478" s="29">
        <f>VLOOKUP(A2478,Calendar!$A$1:$H$9997,6,FALSE)-F2478</f>
        <v/>
      </c>
      <c r="H2478" s="19" t="n">
        <v>1</v>
      </c>
      <c r="I2478" s="57" t="n">
        <v>10</v>
      </c>
    </row>
    <row r="2479">
      <c r="A2479" s="62" t="n">
        <v>46398</v>
      </c>
      <c r="B2479" s="3" t="inlineStr">
        <is>
          <t>Week</t>
        </is>
      </c>
      <c r="C2479" s="19" t="n">
        <v>1</v>
      </c>
      <c r="D2479" s="19" t="n">
        <v>2027</v>
      </c>
      <c r="E2479" s="57" t="n">
        <v>3</v>
      </c>
      <c r="F2479" s="29">
        <f>ROUND(((SUMIFS(Calendar!$F$2:$F$9997,Calendar!$B$2:$B$9997,D2479,Calendar!$C$2:$C$9997,C2479)*INDEX(ForeCalc!$B$37:$Y$274,MATCH(_xlfn.CONCAT(H2479," ",I2479),ForeCalc!$A$37:$A$274,0),MATCH(_xlfn.CONCAT(B2479," ",E2479),ForeCalc!$B$36:$Y$36,0))))*VLOOKUP(A2479,Calendar!$A$2:$H$9997,8,FALSE),0)</f>
        <v/>
      </c>
      <c r="G2479" s="29">
        <f>VLOOKUP(A2479,Calendar!$A$1:$H$9997,6,FALSE)-F2479</f>
        <v/>
      </c>
      <c r="H2479" s="19" t="n">
        <v>1</v>
      </c>
      <c r="I2479" s="57" t="n">
        <v>10</v>
      </c>
    </row>
    <row r="2480">
      <c r="A2480" s="62" t="n">
        <v>46399</v>
      </c>
      <c r="B2480" s="3" t="inlineStr">
        <is>
          <t>Week</t>
        </is>
      </c>
      <c r="C2480" s="19" t="n">
        <v>1</v>
      </c>
      <c r="D2480" s="19" t="n">
        <v>2027</v>
      </c>
      <c r="E2480" s="57" t="n">
        <v>3</v>
      </c>
      <c r="F2480" s="29">
        <f>ROUND(((SUMIFS(Calendar!$F$2:$F$9997,Calendar!$B$2:$B$9997,D2480,Calendar!$C$2:$C$9997,C2480)*INDEX(ForeCalc!$B$37:$Y$274,MATCH(_xlfn.CONCAT(H2480," ",I2480),ForeCalc!$A$37:$A$274,0),MATCH(_xlfn.CONCAT(B2480," ",E2480),ForeCalc!$B$36:$Y$36,0))))*VLOOKUP(A2480,Calendar!$A$2:$H$9997,8,FALSE),0)</f>
        <v/>
      </c>
      <c r="G2480" s="29">
        <f>VLOOKUP(A2480,Calendar!$A$1:$H$9997,6,FALSE)-F2480</f>
        <v/>
      </c>
      <c r="H2480" s="19" t="n">
        <v>1</v>
      </c>
      <c r="I2480" s="57" t="n">
        <v>10</v>
      </c>
    </row>
    <row r="2481">
      <c r="A2481" s="62" t="n">
        <v>46400</v>
      </c>
      <c r="B2481" s="3" t="inlineStr">
        <is>
          <t>Week</t>
        </is>
      </c>
      <c r="C2481" s="19" t="n">
        <v>1</v>
      </c>
      <c r="D2481" s="19" t="n">
        <v>2027</v>
      </c>
      <c r="E2481" s="57" t="n">
        <v>3</v>
      </c>
      <c r="F2481" s="29">
        <f>ROUND(((SUMIFS(Calendar!$F$2:$F$9997,Calendar!$B$2:$B$9997,D2481,Calendar!$C$2:$C$9997,C2481)*INDEX(ForeCalc!$B$37:$Y$274,MATCH(_xlfn.CONCAT(H2481," ",I2481),ForeCalc!$A$37:$A$274,0),MATCH(_xlfn.CONCAT(B2481," ",E2481),ForeCalc!$B$36:$Y$36,0))))*VLOOKUP(A2481,Calendar!$A$2:$H$9997,8,FALSE),0)</f>
        <v/>
      </c>
      <c r="G2481" s="29">
        <f>VLOOKUP(A2481,Calendar!$A$1:$H$9997,6,FALSE)-F2481</f>
        <v/>
      </c>
      <c r="H2481" s="19" t="n">
        <v>1</v>
      </c>
      <c r="I2481" s="57" t="n">
        <v>10</v>
      </c>
    </row>
    <row r="2482">
      <c r="A2482" s="62" t="n">
        <v>46401</v>
      </c>
      <c r="B2482" s="3" t="inlineStr">
        <is>
          <t>Week</t>
        </is>
      </c>
      <c r="C2482" s="19" t="n">
        <v>1</v>
      </c>
      <c r="D2482" s="19" t="n">
        <v>2027</v>
      </c>
      <c r="E2482" s="57" t="n">
        <v>3</v>
      </c>
      <c r="F2482" s="29">
        <f>ROUND(((SUMIFS(Calendar!$F$2:$F$9997,Calendar!$B$2:$B$9997,D2482,Calendar!$C$2:$C$9997,C2482)*INDEX(ForeCalc!$B$37:$Y$274,MATCH(_xlfn.CONCAT(H2482," ",I2482),ForeCalc!$A$37:$A$274,0),MATCH(_xlfn.CONCAT(B2482," ",E2482),ForeCalc!$B$36:$Y$36,0))))*VLOOKUP(A2482,Calendar!$A$2:$H$9997,8,FALSE),0)</f>
        <v/>
      </c>
      <c r="G2482" s="29">
        <f>VLOOKUP(A2482,Calendar!$A$1:$H$9997,6,FALSE)-F2482</f>
        <v/>
      </c>
      <c r="H2482" s="19" t="n">
        <v>1</v>
      </c>
      <c r="I2482" s="57" t="n">
        <v>10</v>
      </c>
    </row>
    <row r="2483">
      <c r="A2483" s="62" t="n">
        <v>46402</v>
      </c>
      <c r="B2483" s="3" t="inlineStr">
        <is>
          <t>Week</t>
        </is>
      </c>
      <c r="C2483" s="19" t="n">
        <v>1</v>
      </c>
      <c r="D2483" s="19" t="n">
        <v>2027</v>
      </c>
      <c r="E2483" s="57" t="n">
        <v>3</v>
      </c>
      <c r="F2483" s="29">
        <f>ROUND(((SUMIFS(Calendar!$F$2:$F$9997,Calendar!$B$2:$B$9997,D2483,Calendar!$C$2:$C$9997,C2483)*INDEX(ForeCalc!$B$37:$Y$274,MATCH(_xlfn.CONCAT(H2483," ",I2483),ForeCalc!$A$37:$A$274,0),MATCH(_xlfn.CONCAT(B2483," ",E2483),ForeCalc!$B$36:$Y$36,0))))*VLOOKUP(A2483,Calendar!$A$2:$H$9997,8,FALSE),0)</f>
        <v/>
      </c>
      <c r="G2483" s="29">
        <f>VLOOKUP(A2483,Calendar!$A$1:$H$9997,6,FALSE)-F2483</f>
        <v/>
      </c>
      <c r="H2483" s="19" t="n">
        <v>1</v>
      </c>
      <c r="I2483" s="57" t="n">
        <v>10</v>
      </c>
    </row>
    <row r="2484">
      <c r="A2484" s="62" t="n">
        <v>46403</v>
      </c>
      <c r="B2484" s="3" t="inlineStr">
        <is>
          <t>Sat</t>
        </is>
      </c>
      <c r="C2484" s="19" t="n">
        <v>1</v>
      </c>
      <c r="D2484" s="19" t="n">
        <v>2027</v>
      </c>
      <c r="E2484" s="57" t="n">
        <v>3</v>
      </c>
      <c r="F2484" s="29">
        <f>ROUND(((SUMIFS(Calendar!$F$2:$F$9997,Calendar!$B$2:$B$9997,D2484,Calendar!$C$2:$C$9997,C2484)*INDEX(ForeCalc!$B$37:$Y$274,MATCH(_xlfn.CONCAT(H2484," ",I2484),ForeCalc!$A$37:$A$274,0),MATCH(_xlfn.CONCAT(B2484," ",E2484),ForeCalc!$B$36:$Y$36,0))))*VLOOKUP(A2484,Calendar!$A$2:$H$9997,8,FALSE),0)</f>
        <v/>
      </c>
      <c r="G2484" s="29">
        <f>VLOOKUP(A2484,Calendar!$A$1:$H$9997,6,FALSE)-F2484</f>
        <v/>
      </c>
      <c r="H2484" s="19" t="n">
        <v>1</v>
      </c>
      <c r="I2484" s="57" t="n">
        <v>10</v>
      </c>
    </row>
    <row r="2485">
      <c r="A2485" s="62" t="n">
        <v>46404</v>
      </c>
      <c r="B2485" s="3" t="inlineStr">
        <is>
          <t>Sun</t>
        </is>
      </c>
      <c r="C2485" s="19" t="n">
        <v>1</v>
      </c>
      <c r="D2485" s="19" t="n">
        <v>2027</v>
      </c>
      <c r="E2485" s="57" t="n">
        <v>3</v>
      </c>
      <c r="F2485" s="29">
        <f>ROUND(((SUMIFS(Calendar!$F$2:$F$9997,Calendar!$B$2:$B$9997,D2485,Calendar!$C$2:$C$9997,C2485)*INDEX(ForeCalc!$B$37:$Y$274,MATCH(_xlfn.CONCAT(H2485," ",I2485),ForeCalc!$A$37:$A$274,0),MATCH(_xlfn.CONCAT(B2485," ",E2485),ForeCalc!$B$36:$Y$36,0))))*VLOOKUP(A2485,Calendar!$A$2:$H$9997,8,FALSE),0)</f>
        <v/>
      </c>
      <c r="G2485" s="29">
        <f>VLOOKUP(A2485,Calendar!$A$1:$H$9997,6,FALSE)-F2485</f>
        <v/>
      </c>
      <c r="H2485" s="19" t="n">
        <v>1</v>
      </c>
      <c r="I2485" s="57" t="n">
        <v>10</v>
      </c>
    </row>
    <row r="2486">
      <c r="A2486" s="62" t="n">
        <v>46405</v>
      </c>
      <c r="B2486" s="3" t="inlineStr">
        <is>
          <t>Week</t>
        </is>
      </c>
      <c r="C2486" s="19" t="n">
        <v>1</v>
      </c>
      <c r="D2486" s="19" t="n">
        <v>2027</v>
      </c>
      <c r="E2486" s="57" t="n">
        <v>3</v>
      </c>
      <c r="F2486" s="29">
        <f>ROUND(((SUMIFS(Calendar!$F$2:$F$9997,Calendar!$B$2:$B$9997,D2486,Calendar!$C$2:$C$9997,C2486)*INDEX(ForeCalc!$B$37:$Y$274,MATCH(_xlfn.CONCAT(H2486," ",I2486),ForeCalc!$A$37:$A$274,0),MATCH(_xlfn.CONCAT(B2486," ",E2486),ForeCalc!$B$36:$Y$36,0))))*VLOOKUP(A2486,Calendar!$A$2:$H$9997,8,FALSE),0)</f>
        <v/>
      </c>
      <c r="G2486" s="29">
        <f>VLOOKUP(A2486,Calendar!$A$1:$H$9997,6,FALSE)-F2486</f>
        <v/>
      </c>
      <c r="H2486" s="19" t="n">
        <v>1</v>
      </c>
      <c r="I2486" s="57" t="n">
        <v>10</v>
      </c>
    </row>
    <row r="2487">
      <c r="A2487" s="62" t="n">
        <v>46406</v>
      </c>
      <c r="B2487" s="3" t="inlineStr">
        <is>
          <t>Week</t>
        </is>
      </c>
      <c r="C2487" s="19" t="n">
        <v>1</v>
      </c>
      <c r="D2487" s="19" t="n">
        <v>2027</v>
      </c>
      <c r="E2487" s="57" t="n">
        <v>3</v>
      </c>
      <c r="F2487" s="29">
        <f>ROUND(((SUMIFS(Calendar!$F$2:$F$9997,Calendar!$B$2:$B$9997,D2487,Calendar!$C$2:$C$9997,C2487)*INDEX(ForeCalc!$B$37:$Y$274,MATCH(_xlfn.CONCAT(H2487," ",I2487),ForeCalc!$A$37:$A$274,0),MATCH(_xlfn.CONCAT(B2487," ",E2487),ForeCalc!$B$36:$Y$36,0))))*VLOOKUP(A2487,Calendar!$A$2:$H$9997,8,FALSE),0)</f>
        <v/>
      </c>
      <c r="G2487" s="29">
        <f>VLOOKUP(A2487,Calendar!$A$1:$H$9997,6,FALSE)-F2487</f>
        <v/>
      </c>
      <c r="H2487" s="19" t="n">
        <v>1</v>
      </c>
      <c r="I2487" s="57" t="n">
        <v>10</v>
      </c>
    </row>
    <row r="2488">
      <c r="A2488" s="62" t="n">
        <v>46407</v>
      </c>
      <c r="B2488" s="3" t="inlineStr">
        <is>
          <t>Week</t>
        </is>
      </c>
      <c r="C2488" s="19" t="n">
        <v>1</v>
      </c>
      <c r="D2488" s="19" t="n">
        <v>2027</v>
      </c>
      <c r="E2488" s="57" t="n">
        <v>3</v>
      </c>
      <c r="F2488" s="29">
        <f>ROUND(((SUMIFS(Calendar!$F$2:$F$9997,Calendar!$B$2:$B$9997,D2488,Calendar!$C$2:$C$9997,C2488)*INDEX(ForeCalc!$B$37:$Y$274,MATCH(_xlfn.CONCAT(H2488," ",I2488),ForeCalc!$A$37:$A$274,0),MATCH(_xlfn.CONCAT(B2488," ",E2488),ForeCalc!$B$36:$Y$36,0))))*VLOOKUP(A2488,Calendar!$A$2:$H$9997,8,FALSE),0)</f>
        <v/>
      </c>
      <c r="G2488" s="29">
        <f>VLOOKUP(A2488,Calendar!$A$1:$H$9997,6,FALSE)-F2488</f>
        <v/>
      </c>
      <c r="H2488" s="19" t="n">
        <v>1</v>
      </c>
      <c r="I2488" s="57" t="n">
        <v>10</v>
      </c>
    </row>
    <row r="2489">
      <c r="A2489" s="62" t="n">
        <v>46408</v>
      </c>
      <c r="B2489" s="3" t="inlineStr">
        <is>
          <t>Week</t>
        </is>
      </c>
      <c r="C2489" s="19" t="n">
        <v>1</v>
      </c>
      <c r="D2489" s="19" t="n">
        <v>2027</v>
      </c>
      <c r="E2489" s="57" t="n">
        <v>3</v>
      </c>
      <c r="F2489" s="29">
        <f>ROUND(((SUMIFS(Calendar!$F$2:$F$9997,Calendar!$B$2:$B$9997,D2489,Calendar!$C$2:$C$9997,C2489)*INDEX(ForeCalc!$B$37:$Y$274,MATCH(_xlfn.CONCAT(H2489," ",I2489),ForeCalc!$A$37:$A$274,0),MATCH(_xlfn.CONCAT(B2489," ",E2489),ForeCalc!$B$36:$Y$36,0))))*VLOOKUP(A2489,Calendar!$A$2:$H$9997,8,FALSE),0)</f>
        <v/>
      </c>
      <c r="G2489" s="29">
        <f>VLOOKUP(A2489,Calendar!$A$1:$H$9997,6,FALSE)-F2489</f>
        <v/>
      </c>
      <c r="H2489" s="19" t="n">
        <v>1</v>
      </c>
      <c r="I2489" s="57" t="n">
        <v>10</v>
      </c>
    </row>
    <row r="2490">
      <c r="A2490" s="62" t="n">
        <v>46409</v>
      </c>
      <c r="B2490" s="3" t="inlineStr">
        <is>
          <t>Week</t>
        </is>
      </c>
      <c r="C2490" s="19" t="n">
        <v>1</v>
      </c>
      <c r="D2490" s="19" t="n">
        <v>2027</v>
      </c>
      <c r="E2490" s="57" t="n">
        <v>3</v>
      </c>
      <c r="F2490" s="29">
        <f>ROUND(((SUMIFS(Calendar!$F$2:$F$9997,Calendar!$B$2:$B$9997,D2490,Calendar!$C$2:$C$9997,C2490)*INDEX(ForeCalc!$B$37:$Y$274,MATCH(_xlfn.CONCAT(H2490," ",I2490),ForeCalc!$A$37:$A$274,0),MATCH(_xlfn.CONCAT(B2490," ",E2490),ForeCalc!$B$36:$Y$36,0))))*VLOOKUP(A2490,Calendar!$A$2:$H$9997,8,FALSE),0)</f>
        <v/>
      </c>
      <c r="G2490" s="29">
        <f>VLOOKUP(A2490,Calendar!$A$1:$H$9997,6,FALSE)-F2490</f>
        <v/>
      </c>
      <c r="H2490" s="19" t="n">
        <v>1</v>
      </c>
      <c r="I2490" s="57" t="n">
        <v>10</v>
      </c>
    </row>
    <row r="2491">
      <c r="A2491" s="62" t="n">
        <v>46410</v>
      </c>
      <c r="B2491" s="3" t="inlineStr">
        <is>
          <t>Sat</t>
        </is>
      </c>
      <c r="C2491" s="19" t="n">
        <v>1</v>
      </c>
      <c r="D2491" s="19" t="n">
        <v>2027</v>
      </c>
      <c r="E2491" s="57" t="n">
        <v>3</v>
      </c>
      <c r="F2491" s="29">
        <f>ROUND(((SUMIFS(Calendar!$F$2:$F$9997,Calendar!$B$2:$B$9997,D2491,Calendar!$C$2:$C$9997,C2491)*INDEX(ForeCalc!$B$37:$Y$274,MATCH(_xlfn.CONCAT(H2491," ",I2491),ForeCalc!$A$37:$A$274,0),MATCH(_xlfn.CONCAT(B2491," ",E2491),ForeCalc!$B$36:$Y$36,0))))*VLOOKUP(A2491,Calendar!$A$2:$H$9997,8,FALSE),0)</f>
        <v/>
      </c>
      <c r="G2491" s="29">
        <f>VLOOKUP(A2491,Calendar!$A$1:$H$9997,6,FALSE)-F2491</f>
        <v/>
      </c>
      <c r="H2491" s="19" t="n">
        <v>1</v>
      </c>
      <c r="I2491" s="57" t="n">
        <v>10</v>
      </c>
    </row>
    <row r="2492">
      <c r="A2492" s="62" t="n">
        <v>46411</v>
      </c>
      <c r="B2492" s="3" t="inlineStr">
        <is>
          <t>Sun</t>
        </is>
      </c>
      <c r="C2492" s="19" t="n">
        <v>1</v>
      </c>
      <c r="D2492" s="19" t="n">
        <v>2027</v>
      </c>
      <c r="E2492" s="57" t="n">
        <v>3</v>
      </c>
      <c r="F2492" s="29">
        <f>ROUND(((SUMIFS(Calendar!$F$2:$F$9997,Calendar!$B$2:$B$9997,D2492,Calendar!$C$2:$C$9997,C2492)*INDEX(ForeCalc!$B$37:$Y$274,MATCH(_xlfn.CONCAT(H2492," ",I2492),ForeCalc!$A$37:$A$274,0),MATCH(_xlfn.CONCAT(B2492," ",E2492),ForeCalc!$B$36:$Y$36,0))))*VLOOKUP(A2492,Calendar!$A$2:$H$9997,8,FALSE),0)</f>
        <v/>
      </c>
      <c r="G2492" s="29">
        <f>VLOOKUP(A2492,Calendar!$A$1:$H$9997,6,FALSE)-F2492</f>
        <v/>
      </c>
      <c r="H2492" s="19" t="n">
        <v>1</v>
      </c>
      <c r="I2492" s="57" t="n">
        <v>10</v>
      </c>
    </row>
    <row r="2493">
      <c r="A2493" s="62" t="n">
        <v>46412</v>
      </c>
      <c r="B2493" s="3" t="inlineStr">
        <is>
          <t>Week</t>
        </is>
      </c>
      <c r="C2493" s="19" t="n">
        <v>1</v>
      </c>
      <c r="D2493" s="19" t="n">
        <v>2027</v>
      </c>
      <c r="E2493" s="57" t="n">
        <v>3</v>
      </c>
      <c r="F2493" s="29">
        <f>ROUND(((SUMIFS(Calendar!$F$2:$F$9997,Calendar!$B$2:$B$9997,D2493,Calendar!$C$2:$C$9997,C2493)*INDEX(ForeCalc!$B$37:$Y$274,MATCH(_xlfn.CONCAT(H2493," ",I2493),ForeCalc!$A$37:$A$274,0),MATCH(_xlfn.CONCAT(B2493," ",E2493),ForeCalc!$B$36:$Y$36,0))))*VLOOKUP(A2493,Calendar!$A$2:$H$9997,8,FALSE),0)</f>
        <v/>
      </c>
      <c r="G2493" s="29">
        <f>VLOOKUP(A2493,Calendar!$A$1:$H$9997,6,FALSE)-F2493</f>
        <v/>
      </c>
      <c r="H2493" s="19" t="n">
        <v>1</v>
      </c>
      <c r="I2493" s="57" t="n">
        <v>10</v>
      </c>
    </row>
    <row r="2494">
      <c r="A2494" s="62" t="n">
        <v>46413</v>
      </c>
      <c r="B2494" s="3" t="inlineStr">
        <is>
          <t>Week</t>
        </is>
      </c>
      <c r="C2494" s="19" t="n">
        <v>1</v>
      </c>
      <c r="D2494" s="19" t="n">
        <v>2027</v>
      </c>
      <c r="E2494" s="57" t="n">
        <v>3</v>
      </c>
      <c r="F2494" s="29">
        <f>ROUND(((SUMIFS(Calendar!$F$2:$F$9997,Calendar!$B$2:$B$9997,D2494,Calendar!$C$2:$C$9997,C2494)*INDEX(ForeCalc!$B$37:$Y$274,MATCH(_xlfn.CONCAT(H2494," ",I2494),ForeCalc!$A$37:$A$274,0),MATCH(_xlfn.CONCAT(B2494," ",E2494),ForeCalc!$B$36:$Y$36,0))))*VLOOKUP(A2494,Calendar!$A$2:$H$9997,8,FALSE),0)</f>
        <v/>
      </c>
      <c r="G2494" s="29">
        <f>VLOOKUP(A2494,Calendar!$A$1:$H$9997,6,FALSE)-F2494</f>
        <v/>
      </c>
      <c r="H2494" s="19" t="n">
        <v>1</v>
      </c>
      <c r="I2494" s="57" t="n">
        <v>10</v>
      </c>
    </row>
    <row r="2495">
      <c r="A2495" s="62" t="n">
        <v>46414</v>
      </c>
      <c r="B2495" s="3" t="inlineStr">
        <is>
          <t>Week</t>
        </is>
      </c>
      <c r="C2495" s="19" t="n">
        <v>1</v>
      </c>
      <c r="D2495" s="19" t="n">
        <v>2027</v>
      </c>
      <c r="E2495" s="57" t="n">
        <v>3</v>
      </c>
      <c r="F2495" s="29">
        <f>ROUND(((SUMIFS(Calendar!$F$2:$F$9997,Calendar!$B$2:$B$9997,D2495,Calendar!$C$2:$C$9997,C2495)*INDEX(ForeCalc!$B$37:$Y$274,MATCH(_xlfn.CONCAT(H2495," ",I2495),ForeCalc!$A$37:$A$274,0),MATCH(_xlfn.CONCAT(B2495," ",E2495),ForeCalc!$B$36:$Y$36,0))))*VLOOKUP(A2495,Calendar!$A$2:$H$9997,8,FALSE),0)</f>
        <v/>
      </c>
      <c r="G2495" s="29">
        <f>VLOOKUP(A2495,Calendar!$A$1:$H$9997,6,FALSE)-F2495</f>
        <v/>
      </c>
      <c r="H2495" s="19" t="n">
        <v>1</v>
      </c>
      <c r="I2495" s="57" t="n">
        <v>10</v>
      </c>
    </row>
    <row r="2496">
      <c r="A2496" s="62" t="n">
        <v>46415</v>
      </c>
      <c r="B2496" s="3" t="inlineStr">
        <is>
          <t>Week</t>
        </is>
      </c>
      <c r="C2496" s="19" t="n">
        <v>1</v>
      </c>
      <c r="D2496" s="19" t="n">
        <v>2027</v>
      </c>
      <c r="E2496" s="57" t="n">
        <v>3</v>
      </c>
      <c r="F2496" s="29">
        <f>ROUND(((SUMIFS(Calendar!$F$2:$F$9997,Calendar!$B$2:$B$9997,D2496,Calendar!$C$2:$C$9997,C2496)*INDEX(ForeCalc!$B$37:$Y$274,MATCH(_xlfn.CONCAT(H2496," ",I2496),ForeCalc!$A$37:$A$274,0),MATCH(_xlfn.CONCAT(B2496," ",E2496),ForeCalc!$B$36:$Y$36,0))))*VLOOKUP(A2496,Calendar!$A$2:$H$9997,8,FALSE),0)</f>
        <v/>
      </c>
      <c r="G2496" s="29">
        <f>VLOOKUP(A2496,Calendar!$A$1:$H$9997,6,FALSE)-F2496</f>
        <v/>
      </c>
      <c r="H2496" s="19" t="n">
        <v>1</v>
      </c>
      <c r="I2496" s="57" t="n">
        <v>10</v>
      </c>
    </row>
    <row r="2497">
      <c r="A2497" s="62" t="n">
        <v>46416</v>
      </c>
      <c r="B2497" s="3" t="inlineStr">
        <is>
          <t>Week</t>
        </is>
      </c>
      <c r="C2497" s="19" t="n">
        <v>1</v>
      </c>
      <c r="D2497" s="19" t="n">
        <v>2027</v>
      </c>
      <c r="E2497" s="57" t="n">
        <v>3</v>
      </c>
      <c r="F2497" s="29">
        <f>ROUND(((SUMIFS(Calendar!$F$2:$F$9997,Calendar!$B$2:$B$9997,D2497,Calendar!$C$2:$C$9997,C2497)*INDEX(ForeCalc!$B$37:$Y$274,MATCH(_xlfn.CONCAT(H2497," ",I2497),ForeCalc!$A$37:$A$274,0),MATCH(_xlfn.CONCAT(B2497," ",E2497),ForeCalc!$B$36:$Y$36,0))))*VLOOKUP(A2497,Calendar!$A$2:$H$9997,8,FALSE),0)</f>
        <v/>
      </c>
      <c r="G2497" s="29">
        <f>VLOOKUP(A2497,Calendar!$A$1:$H$9997,6,FALSE)-F2497</f>
        <v/>
      </c>
      <c r="H2497" s="19" t="n">
        <v>1</v>
      </c>
      <c r="I2497" s="57" t="n">
        <v>10</v>
      </c>
    </row>
    <row r="2498">
      <c r="A2498" s="62" t="n">
        <v>46417</v>
      </c>
      <c r="B2498" s="3" t="inlineStr">
        <is>
          <t>Sat</t>
        </is>
      </c>
      <c r="C2498" s="19" t="n">
        <v>1</v>
      </c>
      <c r="D2498" s="19" t="n">
        <v>2027</v>
      </c>
      <c r="E2498" s="57" t="n">
        <v>3</v>
      </c>
      <c r="F2498" s="29">
        <f>ROUND(((SUMIFS(Calendar!$F$2:$F$9997,Calendar!$B$2:$B$9997,D2498,Calendar!$C$2:$C$9997,C2498)*INDEX(ForeCalc!$B$37:$Y$274,MATCH(_xlfn.CONCAT(H2498," ",I2498),ForeCalc!$A$37:$A$274,0),MATCH(_xlfn.CONCAT(B2498," ",E2498),ForeCalc!$B$36:$Y$36,0))))*VLOOKUP(A2498,Calendar!$A$2:$H$9997,8,FALSE),0)</f>
        <v/>
      </c>
      <c r="G2498" s="29">
        <f>VLOOKUP(A2498,Calendar!$A$1:$H$9997,6,FALSE)-F2498</f>
        <v/>
      </c>
      <c r="H2498" s="19" t="n">
        <v>1</v>
      </c>
      <c r="I2498" s="57" t="n">
        <v>10</v>
      </c>
    </row>
    <row r="2499">
      <c r="A2499" s="62" t="n">
        <v>46418</v>
      </c>
      <c r="B2499" s="3" t="inlineStr">
        <is>
          <t>Sun</t>
        </is>
      </c>
      <c r="C2499" s="19" t="n">
        <v>1</v>
      </c>
      <c r="D2499" s="19" t="n">
        <v>2027</v>
      </c>
      <c r="E2499" s="57" t="n">
        <v>3</v>
      </c>
      <c r="F2499" s="29">
        <f>ROUND(((SUMIFS(Calendar!$F$2:$F$9997,Calendar!$B$2:$B$9997,D2499,Calendar!$C$2:$C$9997,C2499)*INDEX(ForeCalc!$B$37:$Y$274,MATCH(_xlfn.CONCAT(H2499," ",I2499),ForeCalc!$A$37:$A$274,0),MATCH(_xlfn.CONCAT(B2499," ",E2499),ForeCalc!$B$36:$Y$36,0))))*VLOOKUP(A2499,Calendar!$A$2:$H$9997,8,FALSE),0)</f>
        <v/>
      </c>
      <c r="G2499" s="29">
        <f>VLOOKUP(A2499,Calendar!$A$1:$H$9997,6,FALSE)-F2499</f>
        <v/>
      </c>
      <c r="H2499" s="19" t="n">
        <v>1</v>
      </c>
      <c r="I2499" s="57" t="n">
        <v>10</v>
      </c>
    </row>
    <row r="2500">
      <c r="A2500" s="62" t="n">
        <v>46419</v>
      </c>
      <c r="B2500" s="3" t="inlineStr">
        <is>
          <t>Week</t>
        </is>
      </c>
      <c r="C2500" s="19" t="n">
        <v>2</v>
      </c>
      <c r="D2500" s="19" t="n">
        <v>2027</v>
      </c>
      <c r="E2500" s="57" t="n">
        <v>3</v>
      </c>
      <c r="F2500" s="29">
        <f>ROUND(((SUMIFS(Calendar!$F$2:$F$9997,Calendar!$B$2:$B$9997,D2500,Calendar!$C$2:$C$9997,C2500)*INDEX(ForeCalc!$B$37:$Y$274,MATCH(_xlfn.CONCAT(H2500," ",I2500),ForeCalc!$A$37:$A$274,0),MATCH(_xlfn.CONCAT(B2500," ",E2500),ForeCalc!$B$36:$Y$36,0))))*VLOOKUP(A2500,Calendar!$A$2:$H$9997,8,FALSE),0)</f>
        <v/>
      </c>
      <c r="G2500" s="29">
        <f>VLOOKUP(A2500,Calendar!$A$1:$H$9997,6,FALSE)-F2500</f>
        <v/>
      </c>
      <c r="H2500" s="19" t="n">
        <v>1</v>
      </c>
      <c r="I2500" s="57" t="n">
        <v>11</v>
      </c>
    </row>
    <row r="2501">
      <c r="A2501" s="62" t="n">
        <v>46420</v>
      </c>
      <c r="B2501" s="3" t="inlineStr">
        <is>
          <t>Week</t>
        </is>
      </c>
      <c r="C2501" s="19" t="n">
        <v>2</v>
      </c>
      <c r="D2501" s="19" t="n">
        <v>2027</v>
      </c>
      <c r="E2501" s="57" t="n">
        <v>3</v>
      </c>
      <c r="F2501" s="29">
        <f>ROUND(((SUMIFS(Calendar!$F$2:$F$9997,Calendar!$B$2:$B$9997,D2501,Calendar!$C$2:$C$9997,C2501)*INDEX(ForeCalc!$B$37:$Y$274,MATCH(_xlfn.CONCAT(H2501," ",I2501),ForeCalc!$A$37:$A$274,0),MATCH(_xlfn.CONCAT(B2501," ",E2501),ForeCalc!$B$36:$Y$36,0))))*VLOOKUP(A2501,Calendar!$A$2:$H$9997,8,FALSE),0)</f>
        <v/>
      </c>
      <c r="G2501" s="29">
        <f>VLOOKUP(A2501,Calendar!$A$1:$H$9997,6,FALSE)-F2501</f>
        <v/>
      </c>
      <c r="H2501" s="19" t="n">
        <v>1</v>
      </c>
      <c r="I2501" s="57" t="n">
        <v>11</v>
      </c>
    </row>
    <row r="2502">
      <c r="A2502" s="62" t="n">
        <v>46421</v>
      </c>
      <c r="B2502" s="3" t="inlineStr">
        <is>
          <t>Week</t>
        </is>
      </c>
      <c r="C2502" s="19" t="n">
        <v>2</v>
      </c>
      <c r="D2502" s="19" t="n">
        <v>2027</v>
      </c>
      <c r="E2502" s="57" t="n">
        <v>3</v>
      </c>
      <c r="F2502" s="29">
        <f>ROUND(((SUMIFS(Calendar!$F$2:$F$9997,Calendar!$B$2:$B$9997,D2502,Calendar!$C$2:$C$9997,C2502)*INDEX(ForeCalc!$B$37:$Y$274,MATCH(_xlfn.CONCAT(H2502," ",I2502),ForeCalc!$A$37:$A$274,0),MATCH(_xlfn.CONCAT(B2502," ",E2502),ForeCalc!$B$36:$Y$36,0))))*VLOOKUP(A2502,Calendar!$A$2:$H$9997,8,FALSE),0)</f>
        <v/>
      </c>
      <c r="G2502" s="29">
        <f>VLOOKUP(A2502,Calendar!$A$1:$H$9997,6,FALSE)-F2502</f>
        <v/>
      </c>
      <c r="H2502" s="19" t="n">
        <v>1</v>
      </c>
      <c r="I2502" s="57" t="n">
        <v>11</v>
      </c>
    </row>
    <row r="2503">
      <c r="A2503" s="62" t="n">
        <v>46422</v>
      </c>
      <c r="B2503" s="3" t="inlineStr">
        <is>
          <t>Week</t>
        </is>
      </c>
      <c r="C2503" s="19" t="n">
        <v>2</v>
      </c>
      <c r="D2503" s="19" t="n">
        <v>2027</v>
      </c>
      <c r="E2503" s="57" t="n">
        <v>3</v>
      </c>
      <c r="F2503" s="29">
        <f>ROUND(((SUMIFS(Calendar!$F$2:$F$9997,Calendar!$B$2:$B$9997,D2503,Calendar!$C$2:$C$9997,C2503)*INDEX(ForeCalc!$B$37:$Y$274,MATCH(_xlfn.CONCAT(H2503," ",I2503),ForeCalc!$A$37:$A$274,0),MATCH(_xlfn.CONCAT(B2503," ",E2503),ForeCalc!$B$36:$Y$36,0))))*VLOOKUP(A2503,Calendar!$A$2:$H$9997,8,FALSE),0)</f>
        <v/>
      </c>
      <c r="G2503" s="29">
        <f>VLOOKUP(A2503,Calendar!$A$1:$H$9997,6,FALSE)-F2503</f>
        <v/>
      </c>
      <c r="H2503" s="19" t="n">
        <v>1</v>
      </c>
      <c r="I2503" s="57" t="n">
        <v>11</v>
      </c>
    </row>
    <row r="2504">
      <c r="A2504" s="62" t="n">
        <v>46423</v>
      </c>
      <c r="B2504" s="3" t="inlineStr">
        <is>
          <t>Week</t>
        </is>
      </c>
      <c r="C2504" s="19" t="n">
        <v>2</v>
      </c>
      <c r="D2504" s="19" t="n">
        <v>2027</v>
      </c>
      <c r="E2504" s="57" t="n">
        <v>3</v>
      </c>
      <c r="F2504" s="29">
        <f>ROUND(((SUMIFS(Calendar!$F$2:$F$9997,Calendar!$B$2:$B$9997,D2504,Calendar!$C$2:$C$9997,C2504)*INDEX(ForeCalc!$B$37:$Y$274,MATCH(_xlfn.CONCAT(H2504," ",I2504),ForeCalc!$A$37:$A$274,0),MATCH(_xlfn.CONCAT(B2504," ",E2504),ForeCalc!$B$36:$Y$36,0))))*VLOOKUP(A2504,Calendar!$A$2:$H$9997,8,FALSE),0)</f>
        <v/>
      </c>
      <c r="G2504" s="29">
        <f>VLOOKUP(A2504,Calendar!$A$1:$H$9997,6,FALSE)-F2504</f>
        <v/>
      </c>
      <c r="H2504" s="19" t="n">
        <v>1</v>
      </c>
      <c r="I2504" s="57" t="n">
        <v>11</v>
      </c>
    </row>
    <row r="2505">
      <c r="A2505" s="62" t="n">
        <v>46424</v>
      </c>
      <c r="B2505" s="3" t="inlineStr">
        <is>
          <t>Sat</t>
        </is>
      </c>
      <c r="C2505" s="19" t="n">
        <v>2</v>
      </c>
      <c r="D2505" s="19" t="n">
        <v>2027</v>
      </c>
      <c r="E2505" s="57" t="n">
        <v>3</v>
      </c>
      <c r="F2505" s="29">
        <f>ROUND(((SUMIFS(Calendar!$F$2:$F$9997,Calendar!$B$2:$B$9997,D2505,Calendar!$C$2:$C$9997,C2505)*INDEX(ForeCalc!$B$37:$Y$274,MATCH(_xlfn.CONCAT(H2505," ",I2505),ForeCalc!$A$37:$A$274,0),MATCH(_xlfn.CONCAT(B2505," ",E2505),ForeCalc!$B$36:$Y$36,0))))*VLOOKUP(A2505,Calendar!$A$2:$H$9997,8,FALSE),0)</f>
        <v/>
      </c>
      <c r="G2505" s="29">
        <f>VLOOKUP(A2505,Calendar!$A$1:$H$9997,6,FALSE)-F2505</f>
        <v/>
      </c>
      <c r="H2505" s="19" t="n">
        <v>1</v>
      </c>
      <c r="I2505" s="57" t="n">
        <v>11</v>
      </c>
    </row>
    <row r="2506">
      <c r="A2506" s="62" t="n">
        <v>46425</v>
      </c>
      <c r="B2506" s="3" t="inlineStr">
        <is>
          <t>Sun</t>
        </is>
      </c>
      <c r="C2506" s="19" t="n">
        <v>2</v>
      </c>
      <c r="D2506" s="19" t="n">
        <v>2027</v>
      </c>
      <c r="E2506" s="57" t="n">
        <v>3</v>
      </c>
      <c r="F2506" s="29">
        <f>ROUND(((SUMIFS(Calendar!$F$2:$F$9997,Calendar!$B$2:$B$9997,D2506,Calendar!$C$2:$C$9997,C2506)*INDEX(ForeCalc!$B$37:$Y$274,MATCH(_xlfn.CONCAT(H2506," ",I2506),ForeCalc!$A$37:$A$274,0),MATCH(_xlfn.CONCAT(B2506," ",E2506),ForeCalc!$B$36:$Y$36,0))))*VLOOKUP(A2506,Calendar!$A$2:$H$9997,8,FALSE),0)</f>
        <v/>
      </c>
      <c r="G2506" s="29">
        <f>VLOOKUP(A2506,Calendar!$A$1:$H$9997,6,FALSE)-F2506</f>
        <v/>
      </c>
      <c r="H2506" s="19" t="n">
        <v>1</v>
      </c>
      <c r="I2506" s="57" t="n">
        <v>11</v>
      </c>
    </row>
    <row r="2507">
      <c r="A2507" s="62" t="n">
        <v>46426</v>
      </c>
      <c r="B2507" s="3" t="inlineStr">
        <is>
          <t>Week</t>
        </is>
      </c>
      <c r="C2507" s="19" t="n">
        <v>2</v>
      </c>
      <c r="D2507" s="19" t="n">
        <v>2027</v>
      </c>
      <c r="E2507" s="57" t="n">
        <v>3</v>
      </c>
      <c r="F2507" s="29">
        <f>ROUND(((SUMIFS(Calendar!$F$2:$F$9997,Calendar!$B$2:$B$9997,D2507,Calendar!$C$2:$C$9997,C2507)*INDEX(ForeCalc!$B$37:$Y$274,MATCH(_xlfn.CONCAT(H2507," ",I2507),ForeCalc!$A$37:$A$274,0),MATCH(_xlfn.CONCAT(B2507," ",E2507),ForeCalc!$B$36:$Y$36,0))))*VLOOKUP(A2507,Calendar!$A$2:$H$9997,8,FALSE),0)</f>
        <v/>
      </c>
      <c r="G2507" s="29">
        <f>VLOOKUP(A2507,Calendar!$A$1:$H$9997,6,FALSE)-F2507</f>
        <v/>
      </c>
      <c r="H2507" s="19" t="n">
        <v>1</v>
      </c>
      <c r="I2507" s="57" t="n">
        <v>11</v>
      </c>
    </row>
    <row r="2508">
      <c r="A2508" s="62" t="n">
        <v>46427</v>
      </c>
      <c r="B2508" s="3" t="inlineStr">
        <is>
          <t>Week</t>
        </is>
      </c>
      <c r="C2508" s="19" t="n">
        <v>2</v>
      </c>
      <c r="D2508" s="19" t="n">
        <v>2027</v>
      </c>
      <c r="E2508" s="57" t="n">
        <v>3</v>
      </c>
      <c r="F2508" s="29">
        <f>ROUND(((SUMIFS(Calendar!$F$2:$F$9997,Calendar!$B$2:$B$9997,D2508,Calendar!$C$2:$C$9997,C2508)*INDEX(ForeCalc!$B$37:$Y$274,MATCH(_xlfn.CONCAT(H2508," ",I2508),ForeCalc!$A$37:$A$274,0),MATCH(_xlfn.CONCAT(B2508," ",E2508),ForeCalc!$B$36:$Y$36,0))))*VLOOKUP(A2508,Calendar!$A$2:$H$9997,8,FALSE),0)</f>
        <v/>
      </c>
      <c r="G2508" s="29">
        <f>VLOOKUP(A2508,Calendar!$A$1:$H$9997,6,FALSE)-F2508</f>
        <v/>
      </c>
      <c r="H2508" s="19" t="n">
        <v>1</v>
      </c>
      <c r="I2508" s="57" t="n">
        <v>11</v>
      </c>
    </row>
    <row r="2509">
      <c r="A2509" s="62" t="n">
        <v>46428</v>
      </c>
      <c r="B2509" s="3" t="inlineStr">
        <is>
          <t>Week</t>
        </is>
      </c>
      <c r="C2509" s="19" t="n">
        <v>2</v>
      </c>
      <c r="D2509" s="19" t="n">
        <v>2027</v>
      </c>
      <c r="E2509" s="57" t="n">
        <v>3</v>
      </c>
      <c r="F2509" s="29">
        <f>ROUND(((SUMIFS(Calendar!$F$2:$F$9997,Calendar!$B$2:$B$9997,D2509,Calendar!$C$2:$C$9997,C2509)*INDEX(ForeCalc!$B$37:$Y$274,MATCH(_xlfn.CONCAT(H2509," ",I2509),ForeCalc!$A$37:$A$274,0),MATCH(_xlfn.CONCAT(B2509," ",E2509),ForeCalc!$B$36:$Y$36,0))))*VLOOKUP(A2509,Calendar!$A$2:$H$9997,8,FALSE),0)</f>
        <v/>
      </c>
      <c r="G2509" s="29">
        <f>VLOOKUP(A2509,Calendar!$A$1:$H$9997,6,FALSE)-F2509</f>
        <v/>
      </c>
      <c r="H2509" s="19" t="n">
        <v>1</v>
      </c>
      <c r="I2509" s="57" t="n">
        <v>11</v>
      </c>
    </row>
    <row r="2510">
      <c r="A2510" s="62" t="n">
        <v>46429</v>
      </c>
      <c r="B2510" s="3" t="inlineStr">
        <is>
          <t>Week</t>
        </is>
      </c>
      <c r="C2510" s="19" t="n">
        <v>2</v>
      </c>
      <c r="D2510" s="19" t="n">
        <v>2027</v>
      </c>
      <c r="E2510" s="57" t="n">
        <v>3</v>
      </c>
      <c r="F2510" s="29">
        <f>ROUND(((SUMIFS(Calendar!$F$2:$F$9997,Calendar!$B$2:$B$9997,D2510,Calendar!$C$2:$C$9997,C2510)*INDEX(ForeCalc!$B$37:$Y$274,MATCH(_xlfn.CONCAT(H2510," ",I2510),ForeCalc!$A$37:$A$274,0),MATCH(_xlfn.CONCAT(B2510," ",E2510),ForeCalc!$B$36:$Y$36,0))))*VLOOKUP(A2510,Calendar!$A$2:$H$9997,8,FALSE),0)</f>
        <v/>
      </c>
      <c r="G2510" s="29">
        <f>VLOOKUP(A2510,Calendar!$A$1:$H$9997,6,FALSE)-F2510</f>
        <v/>
      </c>
      <c r="H2510" s="19" t="n">
        <v>1</v>
      </c>
      <c r="I2510" s="57" t="n">
        <v>11</v>
      </c>
    </row>
    <row r="2511">
      <c r="A2511" s="62" t="n">
        <v>46430</v>
      </c>
      <c r="B2511" s="3" t="inlineStr">
        <is>
          <t>Week</t>
        </is>
      </c>
      <c r="C2511" s="19" t="n">
        <v>2</v>
      </c>
      <c r="D2511" s="19" t="n">
        <v>2027</v>
      </c>
      <c r="E2511" s="57" t="n">
        <v>3</v>
      </c>
      <c r="F2511" s="29">
        <f>ROUND(((SUMIFS(Calendar!$F$2:$F$9997,Calendar!$B$2:$B$9997,D2511,Calendar!$C$2:$C$9997,C2511)*INDEX(ForeCalc!$B$37:$Y$274,MATCH(_xlfn.CONCAT(H2511," ",I2511),ForeCalc!$A$37:$A$274,0),MATCH(_xlfn.CONCAT(B2511," ",E2511),ForeCalc!$B$36:$Y$36,0))))*VLOOKUP(A2511,Calendar!$A$2:$H$9997,8,FALSE),0)</f>
        <v/>
      </c>
      <c r="G2511" s="29">
        <f>VLOOKUP(A2511,Calendar!$A$1:$H$9997,6,FALSE)-F2511</f>
        <v/>
      </c>
      <c r="H2511" s="19" t="n">
        <v>1</v>
      </c>
      <c r="I2511" s="57" t="n">
        <v>11</v>
      </c>
    </row>
    <row r="2512">
      <c r="A2512" s="62" t="n">
        <v>46431</v>
      </c>
      <c r="B2512" s="3" t="inlineStr">
        <is>
          <t>Sat</t>
        </is>
      </c>
      <c r="C2512" s="19" t="n">
        <v>2</v>
      </c>
      <c r="D2512" s="19" t="n">
        <v>2027</v>
      </c>
      <c r="E2512" s="57" t="n">
        <v>3</v>
      </c>
      <c r="F2512" s="29">
        <f>ROUND(((SUMIFS(Calendar!$F$2:$F$9997,Calendar!$B$2:$B$9997,D2512,Calendar!$C$2:$C$9997,C2512)*INDEX(ForeCalc!$B$37:$Y$274,MATCH(_xlfn.CONCAT(H2512," ",I2512),ForeCalc!$A$37:$A$274,0),MATCH(_xlfn.CONCAT(B2512," ",E2512),ForeCalc!$B$36:$Y$36,0))))*VLOOKUP(A2512,Calendar!$A$2:$H$9997,8,FALSE),0)</f>
        <v/>
      </c>
      <c r="G2512" s="29">
        <f>VLOOKUP(A2512,Calendar!$A$1:$H$9997,6,FALSE)-F2512</f>
        <v/>
      </c>
      <c r="H2512" s="19" t="n">
        <v>1</v>
      </c>
      <c r="I2512" s="57" t="n">
        <v>11</v>
      </c>
    </row>
    <row r="2513">
      <c r="A2513" s="62" t="n">
        <v>46432</v>
      </c>
      <c r="B2513" s="3" t="inlineStr">
        <is>
          <t>Sun</t>
        </is>
      </c>
      <c r="C2513" s="19" t="n">
        <v>2</v>
      </c>
      <c r="D2513" s="19" t="n">
        <v>2027</v>
      </c>
      <c r="E2513" s="57" t="n">
        <v>3</v>
      </c>
      <c r="F2513" s="29">
        <f>ROUND(((SUMIFS(Calendar!$F$2:$F$9997,Calendar!$B$2:$B$9997,D2513,Calendar!$C$2:$C$9997,C2513)*INDEX(ForeCalc!$B$37:$Y$274,MATCH(_xlfn.CONCAT(H2513," ",I2513),ForeCalc!$A$37:$A$274,0),MATCH(_xlfn.CONCAT(B2513," ",E2513),ForeCalc!$B$36:$Y$36,0))))*VLOOKUP(A2513,Calendar!$A$2:$H$9997,8,FALSE),0)</f>
        <v/>
      </c>
      <c r="G2513" s="29">
        <f>VLOOKUP(A2513,Calendar!$A$1:$H$9997,6,FALSE)-F2513</f>
        <v/>
      </c>
      <c r="H2513" s="19" t="n">
        <v>1</v>
      </c>
      <c r="I2513" s="57" t="n">
        <v>11</v>
      </c>
    </row>
    <row r="2514">
      <c r="A2514" s="62" t="n">
        <v>46433</v>
      </c>
      <c r="B2514" s="3" t="inlineStr">
        <is>
          <t>Week</t>
        </is>
      </c>
      <c r="C2514" s="19" t="n">
        <v>2</v>
      </c>
      <c r="D2514" s="19" t="n">
        <v>2027</v>
      </c>
      <c r="E2514" s="57" t="n">
        <v>3</v>
      </c>
      <c r="F2514" s="29">
        <f>ROUND(((SUMIFS(Calendar!$F$2:$F$9997,Calendar!$B$2:$B$9997,D2514,Calendar!$C$2:$C$9997,C2514)*INDEX(ForeCalc!$B$37:$Y$274,MATCH(_xlfn.CONCAT(H2514," ",I2514),ForeCalc!$A$37:$A$274,0),MATCH(_xlfn.CONCAT(B2514," ",E2514),ForeCalc!$B$36:$Y$36,0))))*VLOOKUP(A2514,Calendar!$A$2:$H$9997,8,FALSE),0)</f>
        <v/>
      </c>
      <c r="G2514" s="29">
        <f>VLOOKUP(A2514,Calendar!$A$1:$H$9997,6,FALSE)-F2514</f>
        <v/>
      </c>
      <c r="H2514" s="19" t="n">
        <v>1</v>
      </c>
      <c r="I2514" s="57" t="n">
        <v>11</v>
      </c>
    </row>
    <row r="2515">
      <c r="A2515" s="62" t="n">
        <v>46434</v>
      </c>
      <c r="B2515" s="3" t="inlineStr">
        <is>
          <t>Week</t>
        </is>
      </c>
      <c r="C2515" s="19" t="n">
        <v>2</v>
      </c>
      <c r="D2515" s="19" t="n">
        <v>2027</v>
      </c>
      <c r="E2515" s="57" t="n">
        <v>3</v>
      </c>
      <c r="F2515" s="29">
        <f>ROUND(((SUMIFS(Calendar!$F$2:$F$9997,Calendar!$B$2:$B$9997,D2515,Calendar!$C$2:$C$9997,C2515)*INDEX(ForeCalc!$B$37:$Y$274,MATCH(_xlfn.CONCAT(H2515," ",I2515),ForeCalc!$A$37:$A$274,0),MATCH(_xlfn.CONCAT(B2515," ",E2515),ForeCalc!$B$36:$Y$36,0))))*VLOOKUP(A2515,Calendar!$A$2:$H$9997,8,FALSE),0)</f>
        <v/>
      </c>
      <c r="G2515" s="29">
        <f>VLOOKUP(A2515,Calendar!$A$1:$H$9997,6,FALSE)-F2515</f>
        <v/>
      </c>
      <c r="H2515" s="19" t="n">
        <v>1</v>
      </c>
      <c r="I2515" s="57" t="n">
        <v>11</v>
      </c>
    </row>
    <row r="2516">
      <c r="A2516" s="62" t="n">
        <v>46435</v>
      </c>
      <c r="B2516" s="3" t="inlineStr">
        <is>
          <t>Week</t>
        </is>
      </c>
      <c r="C2516" s="19" t="n">
        <v>2</v>
      </c>
      <c r="D2516" s="19" t="n">
        <v>2027</v>
      </c>
      <c r="E2516" s="57" t="n">
        <v>3</v>
      </c>
      <c r="F2516" s="29">
        <f>ROUND(((SUMIFS(Calendar!$F$2:$F$9997,Calendar!$B$2:$B$9997,D2516,Calendar!$C$2:$C$9997,C2516)*INDEX(ForeCalc!$B$37:$Y$274,MATCH(_xlfn.CONCAT(H2516," ",I2516),ForeCalc!$A$37:$A$274,0),MATCH(_xlfn.CONCAT(B2516," ",E2516),ForeCalc!$B$36:$Y$36,0))))*VLOOKUP(A2516,Calendar!$A$2:$H$9997,8,FALSE),0)</f>
        <v/>
      </c>
      <c r="G2516" s="29">
        <f>VLOOKUP(A2516,Calendar!$A$1:$H$9997,6,FALSE)-F2516</f>
        <v/>
      </c>
      <c r="H2516" s="19" t="n">
        <v>1</v>
      </c>
      <c r="I2516" s="57" t="n">
        <v>11</v>
      </c>
    </row>
    <row r="2517">
      <c r="A2517" s="62" t="n">
        <v>46436</v>
      </c>
      <c r="B2517" s="3" t="inlineStr">
        <is>
          <t>Week</t>
        </is>
      </c>
      <c r="C2517" s="19" t="n">
        <v>2</v>
      </c>
      <c r="D2517" s="19" t="n">
        <v>2027</v>
      </c>
      <c r="E2517" s="57" t="n">
        <v>3</v>
      </c>
      <c r="F2517" s="29">
        <f>ROUND(((SUMIFS(Calendar!$F$2:$F$9997,Calendar!$B$2:$B$9997,D2517,Calendar!$C$2:$C$9997,C2517)*INDEX(ForeCalc!$B$37:$Y$274,MATCH(_xlfn.CONCAT(H2517," ",I2517),ForeCalc!$A$37:$A$274,0),MATCH(_xlfn.CONCAT(B2517," ",E2517),ForeCalc!$B$36:$Y$36,0))))*VLOOKUP(A2517,Calendar!$A$2:$H$9997,8,FALSE),0)</f>
        <v/>
      </c>
      <c r="G2517" s="29">
        <f>VLOOKUP(A2517,Calendar!$A$1:$H$9997,6,FALSE)-F2517</f>
        <v/>
      </c>
      <c r="H2517" s="19" t="n">
        <v>1</v>
      </c>
      <c r="I2517" s="57" t="n">
        <v>11</v>
      </c>
    </row>
    <row r="2518">
      <c r="A2518" s="62" t="n">
        <v>46437</v>
      </c>
      <c r="B2518" s="3" t="inlineStr">
        <is>
          <t>Week</t>
        </is>
      </c>
      <c r="C2518" s="19" t="n">
        <v>2</v>
      </c>
      <c r="D2518" s="19" t="n">
        <v>2027</v>
      </c>
      <c r="E2518" s="57" t="n">
        <v>3</v>
      </c>
      <c r="F2518" s="29">
        <f>ROUND(((SUMIFS(Calendar!$F$2:$F$9997,Calendar!$B$2:$B$9997,D2518,Calendar!$C$2:$C$9997,C2518)*INDEX(ForeCalc!$B$37:$Y$274,MATCH(_xlfn.CONCAT(H2518," ",I2518),ForeCalc!$A$37:$A$274,0),MATCH(_xlfn.CONCAT(B2518," ",E2518),ForeCalc!$B$36:$Y$36,0))))*VLOOKUP(A2518,Calendar!$A$2:$H$9997,8,FALSE),0)</f>
        <v/>
      </c>
      <c r="G2518" s="29">
        <f>VLOOKUP(A2518,Calendar!$A$1:$H$9997,6,FALSE)-F2518</f>
        <v/>
      </c>
      <c r="H2518" s="19" t="n">
        <v>1</v>
      </c>
      <c r="I2518" s="57" t="n">
        <v>11</v>
      </c>
    </row>
    <row r="2519">
      <c r="A2519" s="62" t="n">
        <v>46438</v>
      </c>
      <c r="B2519" s="3" t="inlineStr">
        <is>
          <t>Sat</t>
        </is>
      </c>
      <c r="C2519" s="19" t="n">
        <v>2</v>
      </c>
      <c r="D2519" s="19" t="n">
        <v>2027</v>
      </c>
      <c r="E2519" s="57" t="n">
        <v>3</v>
      </c>
      <c r="F2519" s="29">
        <f>ROUND(((SUMIFS(Calendar!$F$2:$F$9997,Calendar!$B$2:$B$9997,D2519,Calendar!$C$2:$C$9997,C2519)*INDEX(ForeCalc!$B$37:$Y$274,MATCH(_xlfn.CONCAT(H2519," ",I2519),ForeCalc!$A$37:$A$274,0),MATCH(_xlfn.CONCAT(B2519," ",E2519),ForeCalc!$B$36:$Y$36,0))))*VLOOKUP(A2519,Calendar!$A$2:$H$9997,8,FALSE),0)</f>
        <v/>
      </c>
      <c r="G2519" s="29">
        <f>VLOOKUP(A2519,Calendar!$A$1:$H$9997,6,FALSE)-F2519</f>
        <v/>
      </c>
      <c r="H2519" s="19" t="n">
        <v>1</v>
      </c>
      <c r="I2519" s="57" t="n">
        <v>11</v>
      </c>
    </row>
    <row r="2520">
      <c r="A2520" s="62" t="n">
        <v>46439</v>
      </c>
      <c r="B2520" s="3" t="inlineStr">
        <is>
          <t>Sun</t>
        </is>
      </c>
      <c r="C2520" s="19" t="n">
        <v>2</v>
      </c>
      <c r="D2520" s="19" t="n">
        <v>2027</v>
      </c>
      <c r="E2520" s="57" t="n">
        <v>3</v>
      </c>
      <c r="F2520" s="29">
        <f>ROUND(((SUMIFS(Calendar!$F$2:$F$9997,Calendar!$B$2:$B$9997,D2520,Calendar!$C$2:$C$9997,C2520)*INDEX(ForeCalc!$B$37:$Y$274,MATCH(_xlfn.CONCAT(H2520," ",I2520),ForeCalc!$A$37:$A$274,0),MATCH(_xlfn.CONCAT(B2520," ",E2520),ForeCalc!$B$36:$Y$36,0))))*VLOOKUP(A2520,Calendar!$A$2:$H$9997,8,FALSE),0)</f>
        <v/>
      </c>
      <c r="G2520" s="29">
        <f>VLOOKUP(A2520,Calendar!$A$1:$H$9997,6,FALSE)-F2520</f>
        <v/>
      </c>
      <c r="H2520" s="19" t="n">
        <v>1</v>
      </c>
      <c r="I2520" s="57" t="n">
        <v>11</v>
      </c>
    </row>
    <row r="2521">
      <c r="A2521" s="62" t="n">
        <v>46440</v>
      </c>
      <c r="B2521" s="3" t="inlineStr">
        <is>
          <t>Week</t>
        </is>
      </c>
      <c r="C2521" s="19" t="n">
        <v>2</v>
      </c>
      <c r="D2521" s="19" t="n">
        <v>2027</v>
      </c>
      <c r="E2521" s="57" t="n">
        <v>3</v>
      </c>
      <c r="F2521" s="29">
        <f>ROUND(((SUMIFS(Calendar!$F$2:$F$9997,Calendar!$B$2:$B$9997,D2521,Calendar!$C$2:$C$9997,C2521)*INDEX(ForeCalc!$B$37:$Y$274,MATCH(_xlfn.CONCAT(H2521," ",I2521),ForeCalc!$A$37:$A$274,0),MATCH(_xlfn.CONCAT(B2521," ",E2521),ForeCalc!$B$36:$Y$36,0))))*VLOOKUP(A2521,Calendar!$A$2:$H$9997,8,FALSE),0)</f>
        <v/>
      </c>
      <c r="G2521" s="29">
        <f>VLOOKUP(A2521,Calendar!$A$1:$H$9997,6,FALSE)-F2521</f>
        <v/>
      </c>
      <c r="H2521" s="19" t="n">
        <v>1</v>
      </c>
      <c r="I2521" s="57" t="n">
        <v>11</v>
      </c>
    </row>
    <row r="2522">
      <c r="A2522" s="62" t="n">
        <v>46441</v>
      </c>
      <c r="B2522" s="3" t="inlineStr">
        <is>
          <t>Week</t>
        </is>
      </c>
      <c r="C2522" s="19" t="n">
        <v>2</v>
      </c>
      <c r="D2522" s="19" t="n">
        <v>2027</v>
      </c>
      <c r="E2522" s="57" t="n">
        <v>3</v>
      </c>
      <c r="F2522" s="29">
        <f>ROUND(((SUMIFS(Calendar!$F$2:$F$9997,Calendar!$B$2:$B$9997,D2522,Calendar!$C$2:$C$9997,C2522)*INDEX(ForeCalc!$B$37:$Y$274,MATCH(_xlfn.CONCAT(H2522," ",I2522),ForeCalc!$A$37:$A$274,0),MATCH(_xlfn.CONCAT(B2522," ",E2522),ForeCalc!$B$36:$Y$36,0))))*VLOOKUP(A2522,Calendar!$A$2:$H$9997,8,FALSE),0)</f>
        <v/>
      </c>
      <c r="G2522" s="29">
        <f>VLOOKUP(A2522,Calendar!$A$1:$H$9997,6,FALSE)-F2522</f>
        <v/>
      </c>
      <c r="H2522" s="19" t="n">
        <v>1</v>
      </c>
      <c r="I2522" s="57" t="n">
        <v>11</v>
      </c>
    </row>
    <row r="2523">
      <c r="A2523" s="62" t="n">
        <v>46442</v>
      </c>
      <c r="B2523" s="3" t="inlineStr">
        <is>
          <t>Week</t>
        </is>
      </c>
      <c r="C2523" s="19" t="n">
        <v>2</v>
      </c>
      <c r="D2523" s="19" t="n">
        <v>2027</v>
      </c>
      <c r="E2523" s="57" t="n">
        <v>3</v>
      </c>
      <c r="F2523" s="29">
        <f>ROUND(((SUMIFS(Calendar!$F$2:$F$9997,Calendar!$B$2:$B$9997,D2523,Calendar!$C$2:$C$9997,C2523)*INDEX(ForeCalc!$B$37:$Y$274,MATCH(_xlfn.CONCAT(H2523," ",I2523),ForeCalc!$A$37:$A$274,0),MATCH(_xlfn.CONCAT(B2523," ",E2523),ForeCalc!$B$36:$Y$36,0))))*VLOOKUP(A2523,Calendar!$A$2:$H$9997,8,FALSE),0)</f>
        <v/>
      </c>
      <c r="G2523" s="29">
        <f>VLOOKUP(A2523,Calendar!$A$1:$H$9997,6,FALSE)-F2523</f>
        <v/>
      </c>
      <c r="H2523" s="19" t="n">
        <v>1</v>
      </c>
      <c r="I2523" s="57" t="n">
        <v>11</v>
      </c>
    </row>
    <row r="2524">
      <c r="A2524" s="62" t="n">
        <v>46443</v>
      </c>
      <c r="B2524" s="3" t="inlineStr">
        <is>
          <t>Week</t>
        </is>
      </c>
      <c r="C2524" s="19" t="n">
        <v>2</v>
      </c>
      <c r="D2524" s="19" t="n">
        <v>2027</v>
      </c>
      <c r="E2524" s="57" t="n">
        <v>3</v>
      </c>
      <c r="F2524" s="29">
        <f>ROUND(((SUMIFS(Calendar!$F$2:$F$9997,Calendar!$B$2:$B$9997,D2524,Calendar!$C$2:$C$9997,C2524)*INDEX(ForeCalc!$B$37:$Y$274,MATCH(_xlfn.CONCAT(H2524," ",I2524),ForeCalc!$A$37:$A$274,0),MATCH(_xlfn.CONCAT(B2524," ",E2524),ForeCalc!$B$36:$Y$36,0))))*VLOOKUP(A2524,Calendar!$A$2:$H$9997,8,FALSE),0)</f>
        <v/>
      </c>
      <c r="G2524" s="29">
        <f>VLOOKUP(A2524,Calendar!$A$1:$H$9997,6,FALSE)-F2524</f>
        <v/>
      </c>
      <c r="H2524" s="19" t="n">
        <v>1</v>
      </c>
      <c r="I2524" s="57" t="n">
        <v>11</v>
      </c>
    </row>
    <row r="2525">
      <c r="A2525" s="62" t="n">
        <v>46444</v>
      </c>
      <c r="B2525" s="3" t="inlineStr">
        <is>
          <t>Week</t>
        </is>
      </c>
      <c r="C2525" s="19" t="n">
        <v>2</v>
      </c>
      <c r="D2525" s="19" t="n">
        <v>2027</v>
      </c>
      <c r="E2525" s="57" t="n">
        <v>3</v>
      </c>
      <c r="F2525" s="29">
        <f>ROUND(((SUMIFS(Calendar!$F$2:$F$9997,Calendar!$B$2:$B$9997,D2525,Calendar!$C$2:$C$9997,C2525)*INDEX(ForeCalc!$B$37:$Y$274,MATCH(_xlfn.CONCAT(H2525," ",I2525),ForeCalc!$A$37:$A$274,0),MATCH(_xlfn.CONCAT(B2525," ",E2525),ForeCalc!$B$36:$Y$36,0))))*VLOOKUP(A2525,Calendar!$A$2:$H$9997,8,FALSE),0)</f>
        <v/>
      </c>
      <c r="G2525" s="29">
        <f>VLOOKUP(A2525,Calendar!$A$1:$H$9997,6,FALSE)-F2525</f>
        <v/>
      </c>
      <c r="H2525" s="19" t="n">
        <v>1</v>
      </c>
      <c r="I2525" s="57" t="n">
        <v>11</v>
      </c>
    </row>
    <row r="2526">
      <c r="A2526" s="62" t="n">
        <v>46445</v>
      </c>
      <c r="B2526" s="3" t="inlineStr">
        <is>
          <t>Sat</t>
        </is>
      </c>
      <c r="C2526" s="19" t="n">
        <v>2</v>
      </c>
      <c r="D2526" s="19" t="n">
        <v>2027</v>
      </c>
      <c r="E2526" s="57" t="n">
        <v>3</v>
      </c>
      <c r="F2526" s="29">
        <f>ROUND(((SUMIFS(Calendar!$F$2:$F$9997,Calendar!$B$2:$B$9997,D2526,Calendar!$C$2:$C$9997,C2526)*INDEX(ForeCalc!$B$37:$Y$274,MATCH(_xlfn.CONCAT(H2526," ",I2526),ForeCalc!$A$37:$A$274,0),MATCH(_xlfn.CONCAT(B2526," ",E2526),ForeCalc!$B$36:$Y$36,0))))*VLOOKUP(A2526,Calendar!$A$2:$H$9997,8,FALSE),0)</f>
        <v/>
      </c>
      <c r="G2526" s="29">
        <f>VLOOKUP(A2526,Calendar!$A$1:$H$9997,6,FALSE)-F2526</f>
        <v/>
      </c>
      <c r="H2526" s="19" t="n">
        <v>1</v>
      </c>
      <c r="I2526" s="57" t="n">
        <v>11</v>
      </c>
    </row>
    <row r="2527">
      <c r="A2527" s="62" t="n">
        <v>46446</v>
      </c>
      <c r="B2527" s="3" t="inlineStr">
        <is>
          <t>Sun</t>
        </is>
      </c>
      <c r="C2527" s="19" t="n">
        <v>2</v>
      </c>
      <c r="D2527" s="19" t="n">
        <v>2027</v>
      </c>
      <c r="E2527" s="57" t="n">
        <v>3</v>
      </c>
      <c r="F2527" s="29">
        <f>ROUND(((SUMIFS(Calendar!$F$2:$F$9997,Calendar!$B$2:$B$9997,D2527,Calendar!$C$2:$C$9997,C2527)*INDEX(ForeCalc!$B$37:$Y$274,MATCH(_xlfn.CONCAT(H2527," ",I2527),ForeCalc!$A$37:$A$274,0),MATCH(_xlfn.CONCAT(B2527," ",E2527),ForeCalc!$B$36:$Y$36,0))))*VLOOKUP(A2527,Calendar!$A$2:$H$9997,8,FALSE),0)</f>
        <v/>
      </c>
      <c r="G2527" s="29">
        <f>VLOOKUP(A2527,Calendar!$A$1:$H$9997,6,FALSE)-F2527</f>
        <v/>
      </c>
      <c r="H2527" s="19" t="n">
        <v>1</v>
      </c>
      <c r="I2527" s="57" t="n">
        <v>11</v>
      </c>
    </row>
    <row r="2528">
      <c r="A2528" s="62" t="n">
        <v>46447</v>
      </c>
      <c r="B2528" s="3" t="inlineStr">
        <is>
          <t>Week</t>
        </is>
      </c>
      <c r="C2528" s="19" t="n">
        <v>3</v>
      </c>
      <c r="D2528" s="19" t="n">
        <v>2027</v>
      </c>
      <c r="E2528" s="57" t="n">
        <v>3</v>
      </c>
      <c r="F2528" s="29">
        <f>ROUND(((SUMIFS(Calendar!$F$2:$F$9997,Calendar!$B$2:$B$9997,D2528,Calendar!$C$2:$C$9997,C2528)*INDEX(ForeCalc!$B$37:$Y$274,MATCH(_xlfn.CONCAT(H2528," ",I2528),ForeCalc!$A$37:$A$274,0),MATCH(_xlfn.CONCAT(B2528," ",E2528),ForeCalc!$B$36:$Y$36,0))))*VLOOKUP(A2528,Calendar!$A$2:$H$9997,8,FALSE),0)</f>
        <v/>
      </c>
      <c r="G2528" s="29">
        <f>VLOOKUP(A2528,Calendar!$A$1:$H$9997,6,FALSE)-F2528</f>
        <v/>
      </c>
      <c r="H2528" s="19" t="n">
        <v>1</v>
      </c>
      <c r="I2528" s="57" t="n">
        <v>12</v>
      </c>
    </row>
    <row r="2529">
      <c r="A2529" s="62" t="n">
        <v>46448</v>
      </c>
      <c r="B2529" s="3" t="inlineStr">
        <is>
          <t>Week</t>
        </is>
      </c>
      <c r="C2529" s="19" t="n">
        <v>3</v>
      </c>
      <c r="D2529" s="19" t="n">
        <v>2027</v>
      </c>
      <c r="E2529" s="57" t="n">
        <v>3</v>
      </c>
      <c r="F2529" s="29">
        <f>ROUND(((SUMIFS(Calendar!$F$2:$F$9997,Calendar!$B$2:$B$9997,D2529,Calendar!$C$2:$C$9997,C2529)*INDEX(ForeCalc!$B$37:$Y$274,MATCH(_xlfn.CONCAT(H2529," ",I2529),ForeCalc!$A$37:$A$274,0),MATCH(_xlfn.CONCAT(B2529," ",E2529),ForeCalc!$B$36:$Y$36,0))))*VLOOKUP(A2529,Calendar!$A$2:$H$9997,8,FALSE),0)</f>
        <v/>
      </c>
      <c r="G2529" s="29">
        <f>VLOOKUP(A2529,Calendar!$A$1:$H$9997,6,FALSE)-F2529</f>
        <v/>
      </c>
      <c r="H2529" s="19" t="n">
        <v>1</v>
      </c>
      <c r="I2529" s="57" t="n">
        <v>12</v>
      </c>
    </row>
    <row r="2530">
      <c r="A2530" s="62" t="n">
        <v>46449</v>
      </c>
      <c r="B2530" s="3" t="inlineStr">
        <is>
          <t>Week</t>
        </is>
      </c>
      <c r="C2530" s="19" t="n">
        <v>3</v>
      </c>
      <c r="D2530" s="19" t="n">
        <v>2027</v>
      </c>
      <c r="E2530" s="57" t="n">
        <v>3</v>
      </c>
      <c r="F2530" s="29">
        <f>ROUND(((SUMIFS(Calendar!$F$2:$F$9997,Calendar!$B$2:$B$9997,D2530,Calendar!$C$2:$C$9997,C2530)*INDEX(ForeCalc!$B$37:$Y$274,MATCH(_xlfn.CONCAT(H2530," ",I2530),ForeCalc!$A$37:$A$274,0),MATCH(_xlfn.CONCAT(B2530," ",E2530),ForeCalc!$B$36:$Y$36,0))))*VLOOKUP(A2530,Calendar!$A$2:$H$9997,8,FALSE),0)</f>
        <v/>
      </c>
      <c r="G2530" s="29">
        <f>VLOOKUP(A2530,Calendar!$A$1:$H$9997,6,FALSE)-F2530</f>
        <v/>
      </c>
      <c r="H2530" s="19" t="n">
        <v>1</v>
      </c>
      <c r="I2530" s="57" t="n">
        <v>12</v>
      </c>
    </row>
    <row r="2531">
      <c r="A2531" s="62" t="n">
        <v>46450</v>
      </c>
      <c r="B2531" s="3" t="inlineStr">
        <is>
          <t>Week</t>
        </is>
      </c>
      <c r="C2531" s="19" t="n">
        <v>3</v>
      </c>
      <c r="D2531" s="19" t="n">
        <v>2027</v>
      </c>
      <c r="E2531" s="57" t="n">
        <v>3</v>
      </c>
      <c r="F2531" s="29">
        <f>ROUND(((SUMIFS(Calendar!$F$2:$F$9997,Calendar!$B$2:$B$9997,D2531,Calendar!$C$2:$C$9997,C2531)*INDEX(ForeCalc!$B$37:$Y$274,MATCH(_xlfn.CONCAT(H2531," ",I2531),ForeCalc!$A$37:$A$274,0),MATCH(_xlfn.CONCAT(B2531," ",E2531),ForeCalc!$B$36:$Y$36,0))))*VLOOKUP(A2531,Calendar!$A$2:$H$9997,8,FALSE),0)</f>
        <v/>
      </c>
      <c r="G2531" s="29">
        <f>VLOOKUP(A2531,Calendar!$A$1:$H$9997,6,FALSE)-F2531</f>
        <v/>
      </c>
      <c r="H2531" s="19" t="n">
        <v>1</v>
      </c>
      <c r="I2531" s="57" t="n">
        <v>12</v>
      </c>
    </row>
    <row r="2532">
      <c r="A2532" s="62" t="n">
        <v>46451</v>
      </c>
      <c r="B2532" s="3" t="inlineStr">
        <is>
          <t>Week</t>
        </is>
      </c>
      <c r="C2532" s="19" t="n">
        <v>3</v>
      </c>
      <c r="D2532" s="19" t="n">
        <v>2027</v>
      </c>
      <c r="E2532" s="57" t="n">
        <v>3</v>
      </c>
      <c r="F2532" s="29">
        <f>ROUND(((SUMIFS(Calendar!$F$2:$F$9997,Calendar!$B$2:$B$9997,D2532,Calendar!$C$2:$C$9997,C2532)*INDEX(ForeCalc!$B$37:$Y$274,MATCH(_xlfn.CONCAT(H2532," ",I2532),ForeCalc!$A$37:$A$274,0),MATCH(_xlfn.CONCAT(B2532," ",E2532),ForeCalc!$B$36:$Y$36,0))))*VLOOKUP(A2532,Calendar!$A$2:$H$9997,8,FALSE),0)</f>
        <v/>
      </c>
      <c r="G2532" s="29">
        <f>VLOOKUP(A2532,Calendar!$A$1:$H$9997,6,FALSE)-F2532</f>
        <v/>
      </c>
      <c r="H2532" s="19" t="n">
        <v>1</v>
      </c>
      <c r="I2532" s="57" t="n">
        <v>12</v>
      </c>
    </row>
    <row r="2533">
      <c r="A2533" s="62" t="n">
        <v>46452</v>
      </c>
      <c r="B2533" s="3" t="inlineStr">
        <is>
          <t>Sat</t>
        </is>
      </c>
      <c r="C2533" s="19" t="n">
        <v>3</v>
      </c>
      <c r="D2533" s="19" t="n">
        <v>2027</v>
      </c>
      <c r="E2533" s="57" t="n">
        <v>3</v>
      </c>
      <c r="F2533" s="29">
        <f>ROUND(((SUMIFS(Calendar!$F$2:$F$9997,Calendar!$B$2:$B$9997,D2533,Calendar!$C$2:$C$9997,C2533)*INDEX(ForeCalc!$B$37:$Y$274,MATCH(_xlfn.CONCAT(H2533," ",I2533),ForeCalc!$A$37:$A$274,0),MATCH(_xlfn.CONCAT(B2533," ",E2533),ForeCalc!$B$36:$Y$36,0))))*VLOOKUP(A2533,Calendar!$A$2:$H$9997,8,FALSE),0)</f>
        <v/>
      </c>
      <c r="G2533" s="29">
        <f>VLOOKUP(A2533,Calendar!$A$1:$H$9997,6,FALSE)-F2533</f>
        <v/>
      </c>
      <c r="H2533" s="19" t="n">
        <v>1</v>
      </c>
      <c r="I2533" s="57" t="n">
        <v>12</v>
      </c>
    </row>
    <row r="2534">
      <c r="A2534" s="62" t="n">
        <v>46453</v>
      </c>
      <c r="B2534" s="3" t="inlineStr">
        <is>
          <t>Sun</t>
        </is>
      </c>
      <c r="C2534" s="19" t="n">
        <v>3</v>
      </c>
      <c r="D2534" s="19" t="n">
        <v>2027</v>
      </c>
      <c r="E2534" s="57" t="n">
        <v>3</v>
      </c>
      <c r="F2534" s="29">
        <f>ROUND(((SUMIFS(Calendar!$F$2:$F$9997,Calendar!$B$2:$B$9997,D2534,Calendar!$C$2:$C$9997,C2534)*INDEX(ForeCalc!$B$37:$Y$274,MATCH(_xlfn.CONCAT(H2534," ",I2534),ForeCalc!$A$37:$A$274,0),MATCH(_xlfn.CONCAT(B2534," ",E2534),ForeCalc!$B$36:$Y$36,0))))*VLOOKUP(A2534,Calendar!$A$2:$H$9997,8,FALSE),0)</f>
        <v/>
      </c>
      <c r="G2534" s="29">
        <f>VLOOKUP(A2534,Calendar!$A$1:$H$9997,6,FALSE)-F2534</f>
        <v/>
      </c>
      <c r="H2534" s="19" t="n">
        <v>1</v>
      </c>
      <c r="I2534" s="57" t="n">
        <v>12</v>
      </c>
    </row>
    <row r="2535">
      <c r="A2535" s="62" t="n">
        <v>46454</v>
      </c>
      <c r="B2535" s="3" t="inlineStr">
        <is>
          <t>Week</t>
        </is>
      </c>
      <c r="C2535" s="19" t="n">
        <v>3</v>
      </c>
      <c r="D2535" s="19" t="n">
        <v>2027</v>
      </c>
      <c r="E2535" s="57" t="n">
        <v>3</v>
      </c>
      <c r="F2535" s="29">
        <f>ROUND(((SUMIFS(Calendar!$F$2:$F$9997,Calendar!$B$2:$B$9997,D2535,Calendar!$C$2:$C$9997,C2535)*INDEX(ForeCalc!$B$37:$Y$274,MATCH(_xlfn.CONCAT(H2535," ",I2535),ForeCalc!$A$37:$A$274,0),MATCH(_xlfn.CONCAT(B2535," ",E2535),ForeCalc!$B$36:$Y$36,0))))*VLOOKUP(A2535,Calendar!$A$2:$H$9997,8,FALSE),0)</f>
        <v/>
      </c>
      <c r="G2535" s="29">
        <f>VLOOKUP(A2535,Calendar!$A$1:$H$9997,6,FALSE)-F2535</f>
        <v/>
      </c>
      <c r="H2535" s="19" t="n">
        <v>1</v>
      </c>
      <c r="I2535" s="57" t="n">
        <v>12</v>
      </c>
    </row>
    <row r="2536">
      <c r="A2536" s="62" t="n">
        <v>46455</v>
      </c>
      <c r="B2536" s="3" t="inlineStr">
        <is>
          <t>Week</t>
        </is>
      </c>
      <c r="C2536" s="19" t="n">
        <v>3</v>
      </c>
      <c r="D2536" s="19" t="n">
        <v>2027</v>
      </c>
      <c r="E2536" s="57" t="n">
        <v>3</v>
      </c>
      <c r="F2536" s="29">
        <f>ROUND(((SUMIFS(Calendar!$F$2:$F$9997,Calendar!$B$2:$B$9997,D2536,Calendar!$C$2:$C$9997,C2536)*INDEX(ForeCalc!$B$37:$Y$274,MATCH(_xlfn.CONCAT(H2536," ",I2536),ForeCalc!$A$37:$A$274,0),MATCH(_xlfn.CONCAT(B2536," ",E2536),ForeCalc!$B$36:$Y$36,0))))*VLOOKUP(A2536,Calendar!$A$2:$H$9997,8,FALSE),0)</f>
        <v/>
      </c>
      <c r="G2536" s="29">
        <f>VLOOKUP(A2536,Calendar!$A$1:$H$9997,6,FALSE)-F2536</f>
        <v/>
      </c>
      <c r="H2536" s="19" t="n">
        <v>1</v>
      </c>
      <c r="I2536" s="57" t="n">
        <v>12</v>
      </c>
    </row>
    <row r="2537">
      <c r="A2537" s="62" t="n">
        <v>46456</v>
      </c>
      <c r="B2537" s="3" t="inlineStr">
        <is>
          <t>Week</t>
        </is>
      </c>
      <c r="C2537" s="19" t="n">
        <v>3</v>
      </c>
      <c r="D2537" s="19" t="n">
        <v>2027</v>
      </c>
      <c r="E2537" s="57" t="n">
        <v>3</v>
      </c>
      <c r="F2537" s="29">
        <f>ROUND(((SUMIFS(Calendar!$F$2:$F$9997,Calendar!$B$2:$B$9997,D2537,Calendar!$C$2:$C$9997,C2537)*INDEX(ForeCalc!$B$37:$Y$274,MATCH(_xlfn.CONCAT(H2537," ",I2537),ForeCalc!$A$37:$A$274,0),MATCH(_xlfn.CONCAT(B2537," ",E2537),ForeCalc!$B$36:$Y$36,0))))*VLOOKUP(A2537,Calendar!$A$2:$H$9997,8,FALSE),0)</f>
        <v/>
      </c>
      <c r="G2537" s="29">
        <f>VLOOKUP(A2537,Calendar!$A$1:$H$9997,6,FALSE)-F2537</f>
        <v/>
      </c>
      <c r="H2537" s="19" t="n">
        <v>1</v>
      </c>
      <c r="I2537" s="57" t="n">
        <v>12</v>
      </c>
    </row>
    <row r="2538">
      <c r="A2538" s="62" t="n">
        <v>46457</v>
      </c>
      <c r="B2538" s="3" t="inlineStr">
        <is>
          <t>Week</t>
        </is>
      </c>
      <c r="C2538" s="19" t="n">
        <v>3</v>
      </c>
      <c r="D2538" s="19" t="n">
        <v>2027</v>
      </c>
      <c r="E2538" s="57" t="n">
        <v>3</v>
      </c>
      <c r="F2538" s="29">
        <f>ROUND(((SUMIFS(Calendar!$F$2:$F$9997,Calendar!$B$2:$B$9997,D2538,Calendar!$C$2:$C$9997,C2538)*INDEX(ForeCalc!$B$37:$Y$274,MATCH(_xlfn.CONCAT(H2538," ",I2538),ForeCalc!$A$37:$A$274,0),MATCH(_xlfn.CONCAT(B2538," ",E2538),ForeCalc!$B$36:$Y$36,0))))*VLOOKUP(A2538,Calendar!$A$2:$H$9997,8,FALSE),0)</f>
        <v/>
      </c>
      <c r="G2538" s="29">
        <f>VLOOKUP(A2538,Calendar!$A$1:$H$9997,6,FALSE)-F2538</f>
        <v/>
      </c>
      <c r="H2538" s="19" t="n">
        <v>1</v>
      </c>
      <c r="I2538" s="57" t="n">
        <v>12</v>
      </c>
    </row>
    <row r="2539">
      <c r="A2539" s="62" t="n">
        <v>46458</v>
      </c>
      <c r="B2539" s="3" t="inlineStr">
        <is>
          <t>Week</t>
        </is>
      </c>
      <c r="C2539" s="19" t="n">
        <v>3</v>
      </c>
      <c r="D2539" s="19" t="n">
        <v>2027</v>
      </c>
      <c r="E2539" s="57" t="n">
        <v>3</v>
      </c>
      <c r="F2539" s="29">
        <f>ROUND(((SUMIFS(Calendar!$F$2:$F$9997,Calendar!$B$2:$B$9997,D2539,Calendar!$C$2:$C$9997,C2539)*INDEX(ForeCalc!$B$37:$Y$274,MATCH(_xlfn.CONCAT(H2539," ",I2539),ForeCalc!$A$37:$A$274,0),MATCH(_xlfn.CONCAT(B2539," ",E2539),ForeCalc!$B$36:$Y$36,0))))*VLOOKUP(A2539,Calendar!$A$2:$H$9997,8,FALSE),0)</f>
        <v/>
      </c>
      <c r="G2539" s="29">
        <f>VLOOKUP(A2539,Calendar!$A$1:$H$9997,6,FALSE)-F2539</f>
        <v/>
      </c>
      <c r="H2539" s="19" t="n">
        <v>1</v>
      </c>
      <c r="I2539" s="57" t="n">
        <v>12</v>
      </c>
    </row>
    <row r="2540">
      <c r="A2540" s="62" t="n">
        <v>46459</v>
      </c>
      <c r="B2540" s="3" t="inlineStr">
        <is>
          <t>Sat</t>
        </is>
      </c>
      <c r="C2540" s="19" t="n">
        <v>3</v>
      </c>
      <c r="D2540" s="19" t="n">
        <v>2027</v>
      </c>
      <c r="E2540" s="57" t="n">
        <v>3</v>
      </c>
      <c r="F2540" s="29">
        <f>ROUND(((SUMIFS(Calendar!$F$2:$F$9997,Calendar!$B$2:$B$9997,D2540,Calendar!$C$2:$C$9997,C2540)*INDEX(ForeCalc!$B$37:$Y$274,MATCH(_xlfn.CONCAT(H2540," ",I2540),ForeCalc!$A$37:$A$274,0),MATCH(_xlfn.CONCAT(B2540," ",E2540),ForeCalc!$B$36:$Y$36,0))))*VLOOKUP(A2540,Calendar!$A$2:$H$9997,8,FALSE),0)</f>
        <v/>
      </c>
      <c r="G2540" s="29">
        <f>VLOOKUP(A2540,Calendar!$A$1:$H$9997,6,FALSE)-F2540</f>
        <v/>
      </c>
      <c r="H2540" s="19" t="n">
        <v>1</v>
      </c>
      <c r="I2540" s="57" t="n">
        <v>12</v>
      </c>
    </row>
    <row r="2541">
      <c r="A2541" s="62" t="n">
        <v>46460</v>
      </c>
      <c r="B2541" s="3" t="inlineStr">
        <is>
          <t>Sun</t>
        </is>
      </c>
      <c r="C2541" s="19" t="n">
        <v>3</v>
      </c>
      <c r="D2541" s="19" t="n">
        <v>2027</v>
      </c>
      <c r="E2541" s="57" t="n">
        <v>3</v>
      </c>
      <c r="F2541" s="29">
        <f>ROUND(((SUMIFS(Calendar!$F$2:$F$9997,Calendar!$B$2:$B$9997,D2541,Calendar!$C$2:$C$9997,C2541)*INDEX(ForeCalc!$B$37:$Y$274,MATCH(_xlfn.CONCAT(H2541," ",I2541),ForeCalc!$A$37:$A$274,0),MATCH(_xlfn.CONCAT(B2541," ",E2541),ForeCalc!$B$36:$Y$36,0))))*VLOOKUP(A2541,Calendar!$A$2:$H$9997,8,FALSE),0)</f>
        <v/>
      </c>
      <c r="G2541" s="29">
        <f>VLOOKUP(A2541,Calendar!$A$1:$H$9997,6,FALSE)-F2541</f>
        <v/>
      </c>
      <c r="H2541" s="19" t="n">
        <v>1</v>
      </c>
      <c r="I2541" s="57" t="n">
        <v>12</v>
      </c>
    </row>
    <row r="2542">
      <c r="A2542" s="62" t="n">
        <v>46461</v>
      </c>
      <c r="B2542" s="3" t="inlineStr">
        <is>
          <t>Week</t>
        </is>
      </c>
      <c r="C2542" s="19" t="n">
        <v>3</v>
      </c>
      <c r="D2542" s="19" t="n">
        <v>2027</v>
      </c>
      <c r="E2542" s="57" t="n">
        <v>3</v>
      </c>
      <c r="F2542" s="29">
        <f>ROUND(((SUMIFS(Calendar!$F$2:$F$9997,Calendar!$B$2:$B$9997,D2542,Calendar!$C$2:$C$9997,C2542)*INDEX(ForeCalc!$B$37:$Y$274,MATCH(_xlfn.CONCAT(H2542," ",I2542),ForeCalc!$A$37:$A$274,0),MATCH(_xlfn.CONCAT(B2542," ",E2542),ForeCalc!$B$36:$Y$36,0))))*VLOOKUP(A2542,Calendar!$A$2:$H$9997,8,FALSE),0)</f>
        <v/>
      </c>
      <c r="G2542" s="29">
        <f>VLOOKUP(A2542,Calendar!$A$1:$H$9997,6,FALSE)-F2542</f>
        <v/>
      </c>
      <c r="H2542" s="19" t="n">
        <v>1</v>
      </c>
      <c r="I2542" s="57" t="n">
        <v>12</v>
      </c>
    </row>
    <row r="2543">
      <c r="A2543" s="62" t="n">
        <v>46462</v>
      </c>
      <c r="B2543" s="3" t="inlineStr">
        <is>
          <t>Week</t>
        </is>
      </c>
      <c r="C2543" s="19" t="n">
        <v>3</v>
      </c>
      <c r="D2543" s="19" t="n">
        <v>2027</v>
      </c>
      <c r="E2543" s="57" t="n">
        <v>3</v>
      </c>
      <c r="F2543" s="29">
        <f>ROUND(((SUMIFS(Calendar!$F$2:$F$9997,Calendar!$B$2:$B$9997,D2543,Calendar!$C$2:$C$9997,C2543)*INDEX(ForeCalc!$B$37:$Y$274,MATCH(_xlfn.CONCAT(H2543," ",I2543),ForeCalc!$A$37:$A$274,0),MATCH(_xlfn.CONCAT(B2543," ",E2543),ForeCalc!$B$36:$Y$36,0))))*VLOOKUP(A2543,Calendar!$A$2:$H$9997,8,FALSE),0)</f>
        <v/>
      </c>
      <c r="G2543" s="29">
        <f>VLOOKUP(A2543,Calendar!$A$1:$H$9997,6,FALSE)-F2543</f>
        <v/>
      </c>
      <c r="H2543" s="19" t="n">
        <v>1</v>
      </c>
      <c r="I2543" s="57" t="n">
        <v>12</v>
      </c>
    </row>
    <row r="2544">
      <c r="A2544" s="62" t="n">
        <v>46463</v>
      </c>
      <c r="B2544" s="3" t="inlineStr">
        <is>
          <t>Week</t>
        </is>
      </c>
      <c r="C2544" s="19" t="n">
        <v>3</v>
      </c>
      <c r="D2544" s="19" t="n">
        <v>2027</v>
      </c>
      <c r="E2544" s="57" t="n">
        <v>3</v>
      </c>
      <c r="F2544" s="29">
        <f>ROUND(((SUMIFS(Calendar!$F$2:$F$9997,Calendar!$B$2:$B$9997,D2544,Calendar!$C$2:$C$9997,C2544)*INDEX(ForeCalc!$B$37:$Y$274,MATCH(_xlfn.CONCAT(H2544," ",I2544),ForeCalc!$A$37:$A$274,0),MATCH(_xlfn.CONCAT(B2544," ",E2544),ForeCalc!$B$36:$Y$36,0))))*VLOOKUP(A2544,Calendar!$A$2:$H$9997,8,FALSE),0)</f>
        <v/>
      </c>
      <c r="G2544" s="29">
        <f>VLOOKUP(A2544,Calendar!$A$1:$H$9997,6,FALSE)-F2544</f>
        <v/>
      </c>
      <c r="H2544" s="19" t="n">
        <v>1</v>
      </c>
      <c r="I2544" s="57" t="n">
        <v>12</v>
      </c>
    </row>
    <row r="2545">
      <c r="A2545" s="62" t="n">
        <v>46464</v>
      </c>
      <c r="B2545" s="3" t="inlineStr">
        <is>
          <t>Week</t>
        </is>
      </c>
      <c r="C2545" s="19" t="n">
        <v>3</v>
      </c>
      <c r="D2545" s="19" t="n">
        <v>2027</v>
      </c>
      <c r="E2545" s="57" t="n">
        <v>3</v>
      </c>
      <c r="F2545" s="29">
        <f>ROUND(((SUMIFS(Calendar!$F$2:$F$9997,Calendar!$B$2:$B$9997,D2545,Calendar!$C$2:$C$9997,C2545)*INDEX(ForeCalc!$B$37:$Y$274,MATCH(_xlfn.CONCAT(H2545," ",I2545),ForeCalc!$A$37:$A$274,0),MATCH(_xlfn.CONCAT(B2545," ",E2545),ForeCalc!$B$36:$Y$36,0))))*VLOOKUP(A2545,Calendar!$A$2:$H$9997,8,FALSE),0)</f>
        <v/>
      </c>
      <c r="G2545" s="29">
        <f>VLOOKUP(A2545,Calendar!$A$1:$H$9997,6,FALSE)-F2545</f>
        <v/>
      </c>
      <c r="H2545" s="19" t="n">
        <v>1</v>
      </c>
      <c r="I2545" s="57" t="n">
        <v>12</v>
      </c>
    </row>
    <row r="2546">
      <c r="A2546" s="62" t="n">
        <v>46465</v>
      </c>
      <c r="B2546" s="3" t="inlineStr">
        <is>
          <t>Week</t>
        </is>
      </c>
      <c r="C2546" s="19" t="n">
        <v>3</v>
      </c>
      <c r="D2546" s="19" t="n">
        <v>2027</v>
      </c>
      <c r="E2546" s="57" t="n">
        <v>3</v>
      </c>
      <c r="F2546" s="29">
        <f>ROUND(((SUMIFS(Calendar!$F$2:$F$9997,Calendar!$B$2:$B$9997,D2546,Calendar!$C$2:$C$9997,C2546)*INDEX(ForeCalc!$B$37:$Y$274,MATCH(_xlfn.CONCAT(H2546," ",I2546),ForeCalc!$A$37:$A$274,0),MATCH(_xlfn.CONCAT(B2546," ",E2546),ForeCalc!$B$36:$Y$36,0))))*VLOOKUP(A2546,Calendar!$A$2:$H$9997,8,FALSE),0)</f>
        <v/>
      </c>
      <c r="G2546" s="29">
        <f>VLOOKUP(A2546,Calendar!$A$1:$H$9997,6,FALSE)-F2546</f>
        <v/>
      </c>
      <c r="H2546" s="19" t="n">
        <v>1</v>
      </c>
      <c r="I2546" s="57" t="n">
        <v>12</v>
      </c>
    </row>
    <row r="2547">
      <c r="A2547" s="62" t="n">
        <v>46466</v>
      </c>
      <c r="B2547" s="3" t="inlineStr">
        <is>
          <t>Sat</t>
        </is>
      </c>
      <c r="C2547" s="19" t="n">
        <v>3</v>
      </c>
      <c r="D2547" s="19" t="n">
        <v>2027</v>
      </c>
      <c r="E2547" s="57" t="n">
        <v>3</v>
      </c>
      <c r="F2547" s="29">
        <f>ROUND(((SUMIFS(Calendar!$F$2:$F$9997,Calendar!$B$2:$B$9997,D2547,Calendar!$C$2:$C$9997,C2547)*INDEX(ForeCalc!$B$37:$Y$274,MATCH(_xlfn.CONCAT(H2547," ",I2547),ForeCalc!$A$37:$A$274,0),MATCH(_xlfn.CONCAT(B2547," ",E2547),ForeCalc!$B$36:$Y$36,0))))*VLOOKUP(A2547,Calendar!$A$2:$H$9997,8,FALSE),0)</f>
        <v/>
      </c>
      <c r="G2547" s="29">
        <f>VLOOKUP(A2547,Calendar!$A$1:$H$9997,6,FALSE)-F2547</f>
        <v/>
      </c>
      <c r="H2547" s="19" t="n">
        <v>1</v>
      </c>
      <c r="I2547" s="57" t="n">
        <v>12</v>
      </c>
    </row>
    <row r="2548">
      <c r="A2548" s="62" t="n">
        <v>46467</v>
      </c>
      <c r="B2548" s="3" t="inlineStr">
        <is>
          <t>Sun</t>
        </is>
      </c>
      <c r="C2548" s="19" t="n">
        <v>3</v>
      </c>
      <c r="D2548" s="19" t="n">
        <v>2027</v>
      </c>
      <c r="E2548" s="57" t="n">
        <v>3</v>
      </c>
      <c r="F2548" s="29">
        <f>ROUND(((SUMIFS(Calendar!$F$2:$F$9997,Calendar!$B$2:$B$9997,D2548,Calendar!$C$2:$C$9997,C2548)*INDEX(ForeCalc!$B$37:$Y$274,MATCH(_xlfn.CONCAT(H2548," ",I2548),ForeCalc!$A$37:$A$274,0),MATCH(_xlfn.CONCAT(B2548," ",E2548),ForeCalc!$B$36:$Y$36,0))))*VLOOKUP(A2548,Calendar!$A$2:$H$9997,8,FALSE),0)</f>
        <v/>
      </c>
      <c r="G2548" s="29">
        <f>VLOOKUP(A2548,Calendar!$A$1:$H$9997,6,FALSE)-F2548</f>
        <v/>
      </c>
      <c r="H2548" s="19" t="n">
        <v>1</v>
      </c>
      <c r="I2548" s="57" t="n">
        <v>12</v>
      </c>
    </row>
    <row r="2549">
      <c r="A2549" s="62" t="n">
        <v>46468</v>
      </c>
      <c r="B2549" s="3" t="inlineStr">
        <is>
          <t>Week</t>
        </is>
      </c>
      <c r="C2549" s="19" t="n">
        <v>3</v>
      </c>
      <c r="D2549" s="19" t="n">
        <v>2027</v>
      </c>
      <c r="E2549" s="57" t="n">
        <v>3</v>
      </c>
      <c r="F2549" s="29">
        <f>ROUND(((SUMIFS(Calendar!$F$2:$F$9997,Calendar!$B$2:$B$9997,D2549,Calendar!$C$2:$C$9997,C2549)*INDEX(ForeCalc!$B$37:$Y$274,MATCH(_xlfn.CONCAT(H2549," ",I2549),ForeCalc!$A$37:$A$274,0),MATCH(_xlfn.CONCAT(B2549," ",E2549),ForeCalc!$B$36:$Y$36,0))))*VLOOKUP(A2549,Calendar!$A$2:$H$9997,8,FALSE),0)</f>
        <v/>
      </c>
      <c r="G2549" s="29">
        <f>VLOOKUP(A2549,Calendar!$A$1:$H$9997,6,FALSE)-F2549</f>
        <v/>
      </c>
      <c r="H2549" s="19" t="n">
        <v>1</v>
      </c>
      <c r="I2549" s="57" t="n">
        <v>12</v>
      </c>
    </row>
    <row r="2550">
      <c r="A2550" s="62" t="n">
        <v>46469</v>
      </c>
      <c r="B2550" s="3" t="inlineStr">
        <is>
          <t>Week</t>
        </is>
      </c>
      <c r="C2550" s="19" t="n">
        <v>3</v>
      </c>
      <c r="D2550" s="19" t="n">
        <v>2027</v>
      </c>
      <c r="E2550" s="57" t="n">
        <v>3</v>
      </c>
      <c r="F2550" s="29">
        <f>ROUND(((SUMIFS(Calendar!$F$2:$F$9997,Calendar!$B$2:$B$9997,D2550,Calendar!$C$2:$C$9997,C2550)*INDEX(ForeCalc!$B$37:$Y$274,MATCH(_xlfn.CONCAT(H2550," ",I2550),ForeCalc!$A$37:$A$274,0),MATCH(_xlfn.CONCAT(B2550," ",E2550),ForeCalc!$B$36:$Y$36,0))))*VLOOKUP(A2550,Calendar!$A$2:$H$9997,8,FALSE),0)</f>
        <v/>
      </c>
      <c r="G2550" s="29">
        <f>VLOOKUP(A2550,Calendar!$A$1:$H$9997,6,FALSE)-F2550</f>
        <v/>
      </c>
      <c r="H2550" s="19" t="n">
        <v>1</v>
      </c>
      <c r="I2550" s="57" t="n">
        <v>12</v>
      </c>
    </row>
    <row r="2551">
      <c r="A2551" s="62" t="n">
        <v>46470</v>
      </c>
      <c r="B2551" s="3" t="inlineStr">
        <is>
          <t>Week</t>
        </is>
      </c>
      <c r="C2551" s="19" t="n">
        <v>3</v>
      </c>
      <c r="D2551" s="19" t="n">
        <v>2027</v>
      </c>
      <c r="E2551" s="57" t="n">
        <v>3</v>
      </c>
      <c r="F2551" s="29">
        <f>ROUND(((SUMIFS(Calendar!$F$2:$F$9997,Calendar!$B$2:$B$9997,D2551,Calendar!$C$2:$C$9997,C2551)*INDEX(ForeCalc!$B$37:$Y$274,MATCH(_xlfn.CONCAT(H2551," ",I2551),ForeCalc!$A$37:$A$274,0),MATCH(_xlfn.CONCAT(B2551," ",E2551),ForeCalc!$B$36:$Y$36,0))))*VLOOKUP(A2551,Calendar!$A$2:$H$9997,8,FALSE),0)</f>
        <v/>
      </c>
      <c r="G2551" s="29">
        <f>VLOOKUP(A2551,Calendar!$A$1:$H$9997,6,FALSE)-F2551</f>
        <v/>
      </c>
      <c r="H2551" s="19" t="n">
        <v>1</v>
      </c>
      <c r="I2551" s="57" t="n">
        <v>12</v>
      </c>
    </row>
    <row r="2552">
      <c r="A2552" s="62" t="n">
        <v>46471</v>
      </c>
      <c r="B2552" s="3" t="inlineStr">
        <is>
          <t>Week</t>
        </is>
      </c>
      <c r="C2552" s="19" t="n">
        <v>3</v>
      </c>
      <c r="D2552" s="19" t="n">
        <v>2027</v>
      </c>
      <c r="E2552" s="57" t="n">
        <v>3</v>
      </c>
      <c r="F2552" s="29">
        <f>ROUND(((SUMIFS(Calendar!$F$2:$F$9997,Calendar!$B$2:$B$9997,D2552,Calendar!$C$2:$C$9997,C2552)*INDEX(ForeCalc!$B$37:$Y$274,MATCH(_xlfn.CONCAT(H2552," ",I2552),ForeCalc!$A$37:$A$274,0),MATCH(_xlfn.CONCAT(B2552," ",E2552),ForeCalc!$B$36:$Y$36,0))))*VLOOKUP(A2552,Calendar!$A$2:$H$9997,8,FALSE),0)</f>
        <v/>
      </c>
      <c r="G2552" s="29">
        <f>VLOOKUP(A2552,Calendar!$A$1:$H$9997,6,FALSE)-F2552</f>
        <v/>
      </c>
      <c r="H2552" s="19" t="n">
        <v>1</v>
      </c>
      <c r="I2552" s="57" t="n">
        <v>12</v>
      </c>
    </row>
    <row r="2553">
      <c r="A2553" s="62" t="n">
        <v>46472</v>
      </c>
      <c r="B2553" s="3" t="inlineStr">
        <is>
          <t>Week</t>
        </is>
      </c>
      <c r="C2553" s="19" t="n">
        <v>3</v>
      </c>
      <c r="D2553" s="19" t="n">
        <v>2027</v>
      </c>
      <c r="E2553" s="57" t="n">
        <v>3</v>
      </c>
      <c r="F2553" s="29">
        <f>ROUND(((SUMIFS(Calendar!$F$2:$F$9997,Calendar!$B$2:$B$9997,D2553,Calendar!$C$2:$C$9997,C2553)*INDEX(ForeCalc!$B$37:$Y$274,MATCH(_xlfn.CONCAT(H2553," ",I2553),ForeCalc!$A$37:$A$274,0),MATCH(_xlfn.CONCAT(B2553," ",E2553),ForeCalc!$B$36:$Y$36,0))))*VLOOKUP(A2553,Calendar!$A$2:$H$9997,8,FALSE),0)</f>
        <v/>
      </c>
      <c r="G2553" s="29">
        <f>VLOOKUP(A2553,Calendar!$A$1:$H$9997,6,FALSE)-F2553</f>
        <v/>
      </c>
      <c r="H2553" s="19" t="n">
        <v>1</v>
      </c>
      <c r="I2553" s="57" t="n">
        <v>12</v>
      </c>
    </row>
    <row r="2554">
      <c r="A2554" s="62" t="n">
        <v>46473</v>
      </c>
      <c r="B2554" s="3" t="inlineStr">
        <is>
          <t>Sat</t>
        </is>
      </c>
      <c r="C2554" s="19" t="n">
        <v>3</v>
      </c>
      <c r="D2554" s="19" t="n">
        <v>2027</v>
      </c>
      <c r="E2554" s="57" t="n">
        <v>3</v>
      </c>
      <c r="F2554" s="29">
        <f>ROUND(((SUMIFS(Calendar!$F$2:$F$9997,Calendar!$B$2:$B$9997,D2554,Calendar!$C$2:$C$9997,C2554)*INDEX(ForeCalc!$B$37:$Y$274,MATCH(_xlfn.CONCAT(H2554," ",I2554),ForeCalc!$A$37:$A$274,0),MATCH(_xlfn.CONCAT(B2554," ",E2554),ForeCalc!$B$36:$Y$36,0))))*VLOOKUP(A2554,Calendar!$A$2:$H$9997,8,FALSE),0)</f>
        <v/>
      </c>
      <c r="G2554" s="29">
        <f>VLOOKUP(A2554,Calendar!$A$1:$H$9997,6,FALSE)-F2554</f>
        <v/>
      </c>
      <c r="H2554" s="19" t="n">
        <v>1</v>
      </c>
      <c r="I2554" s="57" t="n">
        <v>12</v>
      </c>
    </row>
    <row r="2555">
      <c r="A2555" s="62" t="n">
        <v>46474</v>
      </c>
      <c r="B2555" s="3" t="inlineStr">
        <is>
          <t>Sun</t>
        </is>
      </c>
      <c r="C2555" s="19" t="n">
        <v>3</v>
      </c>
      <c r="D2555" s="19" t="n">
        <v>2027</v>
      </c>
      <c r="E2555" s="57" t="n">
        <v>3</v>
      </c>
      <c r="F2555" s="29">
        <f>ROUND(((SUMIFS(Calendar!$F$2:$F$9997,Calendar!$B$2:$B$9997,D2555,Calendar!$C$2:$C$9997,C2555)*INDEX(ForeCalc!$B$37:$Y$274,MATCH(_xlfn.CONCAT(H2555," ",I2555),ForeCalc!$A$37:$A$274,0),MATCH(_xlfn.CONCAT(B2555," ",E2555),ForeCalc!$B$36:$Y$36,0))))*VLOOKUP(A2555,Calendar!$A$2:$H$9997,8,FALSE),0)</f>
        <v/>
      </c>
      <c r="G2555" s="29">
        <f>VLOOKUP(A2555,Calendar!$A$1:$H$9997,6,FALSE)-F2555</f>
        <v/>
      </c>
      <c r="H2555" s="19" t="n">
        <v>1</v>
      </c>
      <c r="I2555" s="57" t="n">
        <v>12</v>
      </c>
    </row>
    <row r="2556">
      <c r="A2556" s="62" t="n">
        <v>46475</v>
      </c>
      <c r="B2556" s="3" t="inlineStr">
        <is>
          <t>Week</t>
        </is>
      </c>
      <c r="C2556" s="19" t="n">
        <v>3</v>
      </c>
      <c r="D2556" s="19" t="n">
        <v>2027</v>
      </c>
      <c r="E2556" s="57" t="n">
        <v>3</v>
      </c>
      <c r="F2556" s="29">
        <f>ROUND(((SUMIFS(Calendar!$F$2:$F$9997,Calendar!$B$2:$B$9997,D2556,Calendar!$C$2:$C$9997,C2556)*INDEX(ForeCalc!$B$37:$Y$274,MATCH(_xlfn.CONCAT(H2556," ",I2556),ForeCalc!$A$37:$A$274,0),MATCH(_xlfn.CONCAT(B2556," ",E2556),ForeCalc!$B$36:$Y$36,0))))*VLOOKUP(A2556,Calendar!$A$2:$H$9997,8,FALSE),0)</f>
        <v/>
      </c>
      <c r="G2556" s="29">
        <f>VLOOKUP(A2556,Calendar!$A$1:$H$9997,6,FALSE)-F2556</f>
        <v/>
      </c>
      <c r="H2556" s="19" t="n">
        <v>1</v>
      </c>
      <c r="I2556" s="57" t="n">
        <v>12</v>
      </c>
    </row>
    <row r="2557">
      <c r="A2557" s="62" t="n">
        <v>46476</v>
      </c>
      <c r="B2557" s="3" t="inlineStr">
        <is>
          <t>Week</t>
        </is>
      </c>
      <c r="C2557" s="19" t="n">
        <v>3</v>
      </c>
      <c r="D2557" s="19" t="n">
        <v>2027</v>
      </c>
      <c r="E2557" s="57" t="n">
        <v>3</v>
      </c>
      <c r="F2557" s="29">
        <f>ROUND(((SUMIFS(Calendar!$F$2:$F$9997,Calendar!$B$2:$B$9997,D2557,Calendar!$C$2:$C$9997,C2557)*INDEX(ForeCalc!$B$37:$Y$274,MATCH(_xlfn.CONCAT(H2557," ",I2557),ForeCalc!$A$37:$A$274,0),MATCH(_xlfn.CONCAT(B2557," ",E2557),ForeCalc!$B$36:$Y$36,0))))*VLOOKUP(A2557,Calendar!$A$2:$H$9997,8,FALSE),0)</f>
        <v/>
      </c>
      <c r="G2557" s="29">
        <f>VLOOKUP(A2557,Calendar!$A$1:$H$9997,6,FALSE)-F2557</f>
        <v/>
      </c>
      <c r="H2557" s="19" t="n">
        <v>1</v>
      </c>
      <c r="I2557" s="57" t="n">
        <v>12</v>
      </c>
    </row>
    <row r="2558">
      <c r="A2558" s="62" t="n">
        <v>46477</v>
      </c>
      <c r="B2558" s="3" t="inlineStr">
        <is>
          <t>Week</t>
        </is>
      </c>
      <c r="C2558" s="19" t="n">
        <v>3</v>
      </c>
      <c r="D2558" s="19" t="n">
        <v>2027</v>
      </c>
      <c r="E2558" s="57" t="n">
        <v>3</v>
      </c>
      <c r="F2558" s="29">
        <f>ROUND(((SUMIFS(Calendar!$F$2:$F$9997,Calendar!$B$2:$B$9997,D2558,Calendar!$C$2:$C$9997,C2558)*INDEX(ForeCalc!$B$37:$Y$274,MATCH(_xlfn.CONCAT(H2558," ",I2558),ForeCalc!$A$37:$A$274,0),MATCH(_xlfn.CONCAT(B2558," ",E2558),ForeCalc!$B$36:$Y$36,0))))*VLOOKUP(A2558,Calendar!$A$2:$H$9997,8,FALSE),0)</f>
        <v/>
      </c>
      <c r="G2558" s="29">
        <f>VLOOKUP(A2558,Calendar!$A$1:$H$9997,6,FALSE)-F2558</f>
        <v/>
      </c>
      <c r="H2558" s="19" t="n">
        <v>1</v>
      </c>
      <c r="I2558" s="57" t="n">
        <v>12</v>
      </c>
    </row>
    <row r="2559">
      <c r="A2559" s="62" t="n">
        <v>46478</v>
      </c>
      <c r="B2559" s="3" t="inlineStr">
        <is>
          <t>Week</t>
        </is>
      </c>
      <c r="C2559" s="19" t="n">
        <v>4</v>
      </c>
      <c r="D2559" s="19" t="n">
        <v>2027</v>
      </c>
      <c r="E2559" s="57" t="n">
        <v>3</v>
      </c>
      <c r="F2559" s="29">
        <f>ROUND(((SUMIFS(Calendar!$F$2:$F$9997,Calendar!$B$2:$B$9997,D2559,Calendar!$C$2:$C$9997,C2559)*INDEX(ForeCalc!$B$37:$Y$274,MATCH(_xlfn.CONCAT(H2559," ",I2559),ForeCalc!$A$37:$A$274,0),MATCH(_xlfn.CONCAT(B2559," ",E2559),ForeCalc!$B$36:$Y$36,0))))*VLOOKUP(A2559,Calendar!$A$2:$H$9997,8,FALSE),0)</f>
        <v/>
      </c>
      <c r="G2559" s="29">
        <f>VLOOKUP(A2559,Calendar!$A$1:$H$9997,6,FALSE)-F2559</f>
        <v/>
      </c>
      <c r="H2559" s="19" t="n">
        <v>2</v>
      </c>
      <c r="I2559" s="57" t="n">
        <v>1</v>
      </c>
    </row>
    <row r="2560">
      <c r="A2560" s="62" t="n">
        <v>46479</v>
      </c>
      <c r="B2560" s="3" t="inlineStr">
        <is>
          <t>Week</t>
        </is>
      </c>
      <c r="C2560" s="19" t="n">
        <v>4</v>
      </c>
      <c r="D2560" s="19" t="n">
        <v>2027</v>
      </c>
      <c r="E2560" s="57" t="n">
        <v>3</v>
      </c>
      <c r="F2560" s="29">
        <f>ROUND(((SUMIFS(Calendar!$F$2:$F$9997,Calendar!$B$2:$B$9997,D2560,Calendar!$C$2:$C$9997,C2560)*INDEX(ForeCalc!$B$37:$Y$274,MATCH(_xlfn.CONCAT(H2560," ",I2560),ForeCalc!$A$37:$A$274,0),MATCH(_xlfn.CONCAT(B2560," ",E2560),ForeCalc!$B$36:$Y$36,0))))*VLOOKUP(A2560,Calendar!$A$2:$H$9997,8,FALSE),0)</f>
        <v/>
      </c>
      <c r="G2560" s="29">
        <f>VLOOKUP(A2560,Calendar!$A$1:$H$9997,6,FALSE)-F2560</f>
        <v/>
      </c>
      <c r="H2560" s="19" t="n">
        <v>2</v>
      </c>
      <c r="I2560" s="57" t="n">
        <v>1</v>
      </c>
    </row>
    <row r="2561">
      <c r="A2561" s="62" t="n">
        <v>46480</v>
      </c>
      <c r="B2561" s="3" t="inlineStr">
        <is>
          <t>Sat</t>
        </is>
      </c>
      <c r="C2561" s="19" t="n">
        <v>4</v>
      </c>
      <c r="D2561" s="19" t="n">
        <v>2027</v>
      </c>
      <c r="E2561" s="57" t="n">
        <v>3</v>
      </c>
      <c r="F2561" s="29">
        <f>ROUND(((SUMIFS(Calendar!$F$2:$F$9997,Calendar!$B$2:$B$9997,D2561,Calendar!$C$2:$C$9997,C2561)*INDEX(ForeCalc!$B$37:$Y$274,MATCH(_xlfn.CONCAT(H2561," ",I2561),ForeCalc!$A$37:$A$274,0),MATCH(_xlfn.CONCAT(B2561," ",E2561),ForeCalc!$B$36:$Y$36,0))))*VLOOKUP(A2561,Calendar!$A$2:$H$9997,8,FALSE),0)</f>
        <v/>
      </c>
      <c r="G2561" s="29">
        <f>VLOOKUP(A2561,Calendar!$A$1:$H$9997,6,FALSE)-F2561</f>
        <v/>
      </c>
      <c r="H2561" s="19" t="n">
        <v>2</v>
      </c>
      <c r="I2561" s="57" t="n">
        <v>1</v>
      </c>
    </row>
    <row r="2562">
      <c r="A2562" s="62" t="n">
        <v>46481</v>
      </c>
      <c r="B2562" s="3" t="inlineStr">
        <is>
          <t>Sun</t>
        </is>
      </c>
      <c r="C2562" s="19" t="n">
        <v>4</v>
      </c>
      <c r="D2562" s="19" t="n">
        <v>2027</v>
      </c>
      <c r="E2562" s="57" t="n">
        <v>3</v>
      </c>
      <c r="F2562" s="29">
        <f>ROUND(((SUMIFS(Calendar!$F$2:$F$9997,Calendar!$B$2:$B$9997,D2562,Calendar!$C$2:$C$9997,C2562)*INDEX(ForeCalc!$B$37:$Y$274,MATCH(_xlfn.CONCAT(H2562," ",I2562),ForeCalc!$A$37:$A$274,0),MATCH(_xlfn.CONCAT(B2562," ",E2562),ForeCalc!$B$36:$Y$36,0))))*VLOOKUP(A2562,Calendar!$A$2:$H$9997,8,FALSE),0)</f>
        <v/>
      </c>
      <c r="G2562" s="29">
        <f>VLOOKUP(A2562,Calendar!$A$1:$H$9997,6,FALSE)-F2562</f>
        <v/>
      </c>
      <c r="H2562" s="19" t="n">
        <v>2</v>
      </c>
      <c r="I2562" s="57" t="n">
        <v>1</v>
      </c>
    </row>
    <row r="2563">
      <c r="A2563" s="62" t="n">
        <v>46482</v>
      </c>
      <c r="B2563" s="3" t="inlineStr">
        <is>
          <t>Week</t>
        </is>
      </c>
      <c r="C2563" s="19" t="n">
        <v>4</v>
      </c>
      <c r="D2563" s="19" t="n">
        <v>2027</v>
      </c>
      <c r="E2563" s="57" t="n">
        <v>3</v>
      </c>
      <c r="F2563" s="29">
        <f>ROUND(((SUMIFS(Calendar!$F$2:$F$9997,Calendar!$B$2:$B$9997,D2563,Calendar!$C$2:$C$9997,C2563)*INDEX(ForeCalc!$B$37:$Y$274,MATCH(_xlfn.CONCAT(H2563," ",I2563),ForeCalc!$A$37:$A$274,0),MATCH(_xlfn.CONCAT(B2563," ",E2563),ForeCalc!$B$36:$Y$36,0))))*VLOOKUP(A2563,Calendar!$A$2:$H$9997,8,FALSE),0)</f>
        <v/>
      </c>
      <c r="G2563" s="29">
        <f>VLOOKUP(A2563,Calendar!$A$1:$H$9997,6,FALSE)-F2563</f>
        <v/>
      </c>
      <c r="H2563" s="19" t="n">
        <v>2</v>
      </c>
      <c r="I2563" s="57" t="n">
        <v>1</v>
      </c>
    </row>
    <row r="2564">
      <c r="A2564" s="62" t="n">
        <v>46483</v>
      </c>
      <c r="B2564" s="3" t="inlineStr">
        <is>
          <t>Week</t>
        </is>
      </c>
      <c r="C2564" s="19" t="n">
        <v>4</v>
      </c>
      <c r="D2564" s="19" t="n">
        <v>2027</v>
      </c>
      <c r="E2564" s="57" t="n">
        <v>3</v>
      </c>
      <c r="F2564" s="29">
        <f>ROUND(((SUMIFS(Calendar!$F$2:$F$9997,Calendar!$B$2:$B$9997,D2564,Calendar!$C$2:$C$9997,C2564)*INDEX(ForeCalc!$B$37:$Y$274,MATCH(_xlfn.CONCAT(H2564," ",I2564),ForeCalc!$A$37:$A$274,0),MATCH(_xlfn.CONCAT(B2564," ",E2564),ForeCalc!$B$36:$Y$36,0))))*VLOOKUP(A2564,Calendar!$A$2:$H$9997,8,FALSE),0)</f>
        <v/>
      </c>
      <c r="G2564" s="29">
        <f>VLOOKUP(A2564,Calendar!$A$1:$H$9997,6,FALSE)-F2564</f>
        <v/>
      </c>
      <c r="H2564" s="19" t="n">
        <v>2</v>
      </c>
      <c r="I2564" s="57" t="n">
        <v>1</v>
      </c>
    </row>
    <row r="2565">
      <c r="A2565" s="62" t="n">
        <v>46484</v>
      </c>
      <c r="B2565" s="3" t="inlineStr">
        <is>
          <t>Week</t>
        </is>
      </c>
      <c r="C2565" s="19" t="n">
        <v>4</v>
      </c>
      <c r="D2565" s="19" t="n">
        <v>2027</v>
      </c>
      <c r="E2565" s="57" t="n">
        <v>3</v>
      </c>
      <c r="F2565" s="29">
        <f>ROUND(((SUMIFS(Calendar!$F$2:$F$9997,Calendar!$B$2:$B$9997,D2565,Calendar!$C$2:$C$9997,C2565)*INDEX(ForeCalc!$B$37:$Y$274,MATCH(_xlfn.CONCAT(H2565," ",I2565),ForeCalc!$A$37:$A$274,0),MATCH(_xlfn.CONCAT(B2565," ",E2565),ForeCalc!$B$36:$Y$36,0))))*VLOOKUP(A2565,Calendar!$A$2:$H$9997,8,FALSE),0)</f>
        <v/>
      </c>
      <c r="G2565" s="29">
        <f>VLOOKUP(A2565,Calendar!$A$1:$H$9997,6,FALSE)-F2565</f>
        <v/>
      </c>
      <c r="H2565" s="19" t="n">
        <v>2</v>
      </c>
      <c r="I2565" s="57" t="n">
        <v>1</v>
      </c>
    </row>
    <row r="2566">
      <c r="A2566" s="62" t="n">
        <v>46485</v>
      </c>
      <c r="B2566" s="3" t="inlineStr">
        <is>
          <t>Week</t>
        </is>
      </c>
      <c r="C2566" s="19" t="n">
        <v>4</v>
      </c>
      <c r="D2566" s="19" t="n">
        <v>2027</v>
      </c>
      <c r="E2566" s="57" t="n">
        <v>3</v>
      </c>
      <c r="F2566" s="29">
        <f>ROUND(((SUMIFS(Calendar!$F$2:$F$9997,Calendar!$B$2:$B$9997,D2566,Calendar!$C$2:$C$9997,C2566)*INDEX(ForeCalc!$B$37:$Y$274,MATCH(_xlfn.CONCAT(H2566," ",I2566),ForeCalc!$A$37:$A$274,0),MATCH(_xlfn.CONCAT(B2566," ",E2566),ForeCalc!$B$36:$Y$36,0))))*VLOOKUP(A2566,Calendar!$A$2:$H$9997,8,FALSE),0)</f>
        <v/>
      </c>
      <c r="G2566" s="29">
        <f>VLOOKUP(A2566,Calendar!$A$1:$H$9997,6,FALSE)-F2566</f>
        <v/>
      </c>
      <c r="H2566" s="19" t="n">
        <v>2</v>
      </c>
      <c r="I2566" s="57" t="n">
        <v>1</v>
      </c>
    </row>
    <row r="2567">
      <c r="A2567" s="62" t="n">
        <v>46486</v>
      </c>
      <c r="B2567" s="3" t="inlineStr">
        <is>
          <t>Week</t>
        </is>
      </c>
      <c r="C2567" s="19" t="n">
        <v>4</v>
      </c>
      <c r="D2567" s="19" t="n">
        <v>2027</v>
      </c>
      <c r="E2567" s="57" t="n">
        <v>3</v>
      </c>
      <c r="F2567" s="29">
        <f>ROUND(((SUMIFS(Calendar!$F$2:$F$9997,Calendar!$B$2:$B$9997,D2567,Calendar!$C$2:$C$9997,C2567)*INDEX(ForeCalc!$B$37:$Y$274,MATCH(_xlfn.CONCAT(H2567," ",I2567),ForeCalc!$A$37:$A$274,0),MATCH(_xlfn.CONCAT(B2567," ",E2567),ForeCalc!$B$36:$Y$36,0))))*VLOOKUP(A2567,Calendar!$A$2:$H$9997,8,FALSE),0)</f>
        <v/>
      </c>
      <c r="G2567" s="29">
        <f>VLOOKUP(A2567,Calendar!$A$1:$H$9997,6,FALSE)-F2567</f>
        <v/>
      </c>
      <c r="H2567" s="19" t="n">
        <v>2</v>
      </c>
      <c r="I2567" s="57" t="n">
        <v>1</v>
      </c>
    </row>
    <row r="2568">
      <c r="A2568" s="62" t="n">
        <v>46487</v>
      </c>
      <c r="B2568" s="3" t="inlineStr">
        <is>
          <t>Sat</t>
        </is>
      </c>
      <c r="C2568" s="19" t="n">
        <v>4</v>
      </c>
      <c r="D2568" s="19" t="n">
        <v>2027</v>
      </c>
      <c r="E2568" s="57" t="n">
        <v>3</v>
      </c>
      <c r="F2568" s="29">
        <f>ROUND(((SUMIFS(Calendar!$F$2:$F$9997,Calendar!$B$2:$B$9997,D2568,Calendar!$C$2:$C$9997,C2568)*INDEX(ForeCalc!$B$37:$Y$274,MATCH(_xlfn.CONCAT(H2568," ",I2568),ForeCalc!$A$37:$A$274,0),MATCH(_xlfn.CONCAT(B2568," ",E2568),ForeCalc!$B$36:$Y$36,0))))*VLOOKUP(A2568,Calendar!$A$2:$H$9997,8,FALSE),0)</f>
        <v/>
      </c>
      <c r="G2568" s="29">
        <f>VLOOKUP(A2568,Calendar!$A$1:$H$9997,6,FALSE)-F2568</f>
        <v/>
      </c>
      <c r="H2568" s="19" t="n">
        <v>2</v>
      </c>
      <c r="I2568" s="57" t="n">
        <v>1</v>
      </c>
    </row>
    <row r="2569">
      <c r="A2569" s="62" t="n">
        <v>46488</v>
      </c>
      <c r="B2569" s="3" t="inlineStr">
        <is>
          <t>Sun</t>
        </is>
      </c>
      <c r="C2569" s="19" t="n">
        <v>4</v>
      </c>
      <c r="D2569" s="19" t="n">
        <v>2027</v>
      </c>
      <c r="E2569" s="57" t="n">
        <v>3</v>
      </c>
      <c r="F2569" s="29">
        <f>ROUND(((SUMIFS(Calendar!$F$2:$F$9997,Calendar!$B$2:$B$9997,D2569,Calendar!$C$2:$C$9997,C2569)*INDEX(ForeCalc!$B$37:$Y$274,MATCH(_xlfn.CONCAT(H2569," ",I2569),ForeCalc!$A$37:$A$274,0),MATCH(_xlfn.CONCAT(B2569," ",E2569),ForeCalc!$B$36:$Y$36,0))))*VLOOKUP(A2569,Calendar!$A$2:$H$9997,8,FALSE),0)</f>
        <v/>
      </c>
      <c r="G2569" s="29">
        <f>VLOOKUP(A2569,Calendar!$A$1:$H$9997,6,FALSE)-F2569</f>
        <v/>
      </c>
      <c r="H2569" s="19" t="n">
        <v>2</v>
      </c>
      <c r="I2569" s="57" t="n">
        <v>1</v>
      </c>
    </row>
    <row r="2570">
      <c r="A2570" s="62" t="n">
        <v>46489</v>
      </c>
      <c r="B2570" s="3" t="inlineStr">
        <is>
          <t>Week</t>
        </is>
      </c>
      <c r="C2570" s="19" t="n">
        <v>4</v>
      </c>
      <c r="D2570" s="19" t="n">
        <v>2027</v>
      </c>
      <c r="E2570" s="57" t="n">
        <v>3</v>
      </c>
      <c r="F2570" s="29">
        <f>ROUND(((SUMIFS(Calendar!$F$2:$F$9997,Calendar!$B$2:$B$9997,D2570,Calendar!$C$2:$C$9997,C2570)*INDEX(ForeCalc!$B$37:$Y$274,MATCH(_xlfn.CONCAT(H2570," ",I2570),ForeCalc!$A$37:$A$274,0),MATCH(_xlfn.CONCAT(B2570," ",E2570),ForeCalc!$B$36:$Y$36,0))))*VLOOKUP(A2570,Calendar!$A$2:$H$9997,8,FALSE),0)</f>
        <v/>
      </c>
      <c r="G2570" s="29">
        <f>VLOOKUP(A2570,Calendar!$A$1:$H$9997,6,FALSE)-F2570</f>
        <v/>
      </c>
      <c r="H2570" s="19" t="n">
        <v>2</v>
      </c>
      <c r="I2570" s="57" t="n">
        <v>1</v>
      </c>
    </row>
    <row r="2571">
      <c r="A2571" s="62" t="n">
        <v>46490</v>
      </c>
      <c r="B2571" s="3" t="inlineStr">
        <is>
          <t>Week</t>
        </is>
      </c>
      <c r="C2571" s="19" t="n">
        <v>4</v>
      </c>
      <c r="D2571" s="19" t="n">
        <v>2027</v>
      </c>
      <c r="E2571" s="57" t="n">
        <v>3</v>
      </c>
      <c r="F2571" s="29">
        <f>ROUND(((SUMIFS(Calendar!$F$2:$F$9997,Calendar!$B$2:$B$9997,D2571,Calendar!$C$2:$C$9997,C2571)*INDEX(ForeCalc!$B$37:$Y$274,MATCH(_xlfn.CONCAT(H2571," ",I2571),ForeCalc!$A$37:$A$274,0),MATCH(_xlfn.CONCAT(B2571," ",E2571),ForeCalc!$B$36:$Y$36,0))))*VLOOKUP(A2571,Calendar!$A$2:$H$9997,8,FALSE),0)</f>
        <v/>
      </c>
      <c r="G2571" s="29">
        <f>VLOOKUP(A2571,Calendar!$A$1:$H$9997,6,FALSE)-F2571</f>
        <v/>
      </c>
      <c r="H2571" s="19" t="n">
        <v>2</v>
      </c>
      <c r="I2571" s="57" t="n">
        <v>1</v>
      </c>
    </row>
    <row r="2572">
      <c r="A2572" s="62" t="n">
        <v>46491</v>
      </c>
      <c r="B2572" s="3" t="inlineStr">
        <is>
          <t>Week</t>
        </is>
      </c>
      <c r="C2572" s="19" t="n">
        <v>4</v>
      </c>
      <c r="D2572" s="19" t="n">
        <v>2027</v>
      </c>
      <c r="E2572" s="57" t="n">
        <v>3</v>
      </c>
      <c r="F2572" s="29">
        <f>ROUND(((SUMIFS(Calendar!$F$2:$F$9997,Calendar!$B$2:$B$9997,D2572,Calendar!$C$2:$C$9997,C2572)*INDEX(ForeCalc!$B$37:$Y$274,MATCH(_xlfn.CONCAT(H2572," ",I2572),ForeCalc!$A$37:$A$274,0),MATCH(_xlfn.CONCAT(B2572," ",E2572),ForeCalc!$B$36:$Y$36,0))))*VLOOKUP(A2572,Calendar!$A$2:$H$9997,8,FALSE),0)</f>
        <v/>
      </c>
      <c r="G2572" s="29">
        <f>VLOOKUP(A2572,Calendar!$A$1:$H$9997,6,FALSE)-F2572</f>
        <v/>
      </c>
      <c r="H2572" s="19" t="n">
        <v>2</v>
      </c>
      <c r="I2572" s="57" t="n">
        <v>1</v>
      </c>
    </row>
    <row r="2573">
      <c r="A2573" s="62" t="n">
        <v>46492</v>
      </c>
      <c r="B2573" s="3" t="inlineStr">
        <is>
          <t>Week</t>
        </is>
      </c>
      <c r="C2573" s="19" t="n">
        <v>4</v>
      </c>
      <c r="D2573" s="19" t="n">
        <v>2027</v>
      </c>
      <c r="E2573" s="57" t="n">
        <v>3</v>
      </c>
      <c r="F2573" s="29">
        <f>ROUND(((SUMIFS(Calendar!$F$2:$F$9997,Calendar!$B$2:$B$9997,D2573,Calendar!$C$2:$C$9997,C2573)*INDEX(ForeCalc!$B$37:$Y$274,MATCH(_xlfn.CONCAT(H2573," ",I2573),ForeCalc!$A$37:$A$274,0),MATCH(_xlfn.CONCAT(B2573," ",E2573),ForeCalc!$B$36:$Y$36,0))))*VLOOKUP(A2573,Calendar!$A$2:$H$9997,8,FALSE),0)</f>
        <v/>
      </c>
      <c r="G2573" s="29">
        <f>VLOOKUP(A2573,Calendar!$A$1:$H$9997,6,FALSE)-F2573</f>
        <v/>
      </c>
      <c r="H2573" s="19" t="n">
        <v>2</v>
      </c>
      <c r="I2573" s="57" t="n">
        <v>1</v>
      </c>
    </row>
    <row r="2574">
      <c r="A2574" s="62" t="n">
        <v>46493</v>
      </c>
      <c r="B2574" s="3" t="inlineStr">
        <is>
          <t>Week</t>
        </is>
      </c>
      <c r="C2574" s="19" t="n">
        <v>4</v>
      </c>
      <c r="D2574" s="19" t="n">
        <v>2027</v>
      </c>
      <c r="E2574" s="57" t="n">
        <v>3</v>
      </c>
      <c r="F2574" s="29">
        <f>ROUND(((SUMIFS(Calendar!$F$2:$F$9997,Calendar!$B$2:$B$9997,D2574,Calendar!$C$2:$C$9997,C2574)*INDEX(ForeCalc!$B$37:$Y$274,MATCH(_xlfn.CONCAT(H2574," ",I2574),ForeCalc!$A$37:$A$274,0),MATCH(_xlfn.CONCAT(B2574," ",E2574),ForeCalc!$B$36:$Y$36,0))))*VLOOKUP(A2574,Calendar!$A$2:$H$9997,8,FALSE),0)</f>
        <v/>
      </c>
      <c r="G2574" s="29">
        <f>VLOOKUP(A2574,Calendar!$A$1:$H$9997,6,FALSE)-F2574</f>
        <v/>
      </c>
      <c r="H2574" s="19" t="n">
        <v>2</v>
      </c>
      <c r="I2574" s="57" t="n">
        <v>1</v>
      </c>
    </row>
    <row r="2575">
      <c r="A2575" s="62" t="n">
        <v>46494</v>
      </c>
      <c r="B2575" s="3" t="inlineStr">
        <is>
          <t>Sat</t>
        </is>
      </c>
      <c r="C2575" s="19" t="n">
        <v>4</v>
      </c>
      <c r="D2575" s="19" t="n">
        <v>2027</v>
      </c>
      <c r="E2575" s="57" t="n">
        <v>3</v>
      </c>
      <c r="F2575" s="29">
        <f>ROUND(((SUMIFS(Calendar!$F$2:$F$9997,Calendar!$B$2:$B$9997,D2575,Calendar!$C$2:$C$9997,C2575)*INDEX(ForeCalc!$B$37:$Y$274,MATCH(_xlfn.CONCAT(H2575," ",I2575),ForeCalc!$A$37:$A$274,0),MATCH(_xlfn.CONCAT(B2575," ",E2575),ForeCalc!$B$36:$Y$36,0))))*VLOOKUP(A2575,Calendar!$A$2:$H$9997,8,FALSE),0)</f>
        <v/>
      </c>
      <c r="G2575" s="29">
        <f>VLOOKUP(A2575,Calendar!$A$1:$H$9997,6,FALSE)-F2575</f>
        <v/>
      </c>
      <c r="H2575" s="19" t="n">
        <v>2</v>
      </c>
      <c r="I2575" s="57" t="n">
        <v>1</v>
      </c>
    </row>
    <row r="2576">
      <c r="A2576" s="62" t="n">
        <v>46495</v>
      </c>
      <c r="B2576" s="3" t="inlineStr">
        <is>
          <t>Sun</t>
        </is>
      </c>
      <c r="C2576" s="19" t="n">
        <v>4</v>
      </c>
      <c r="D2576" s="19" t="n">
        <v>2027</v>
      </c>
      <c r="E2576" s="57" t="n">
        <v>3</v>
      </c>
      <c r="F2576" s="29">
        <f>ROUND(((SUMIFS(Calendar!$F$2:$F$9997,Calendar!$B$2:$B$9997,D2576,Calendar!$C$2:$C$9997,C2576)*INDEX(ForeCalc!$B$37:$Y$274,MATCH(_xlfn.CONCAT(H2576," ",I2576),ForeCalc!$A$37:$A$274,0),MATCH(_xlfn.CONCAT(B2576," ",E2576),ForeCalc!$B$36:$Y$36,0))))*VLOOKUP(A2576,Calendar!$A$2:$H$9997,8,FALSE),0)</f>
        <v/>
      </c>
      <c r="G2576" s="29">
        <f>VLOOKUP(A2576,Calendar!$A$1:$H$9997,6,FALSE)-F2576</f>
        <v/>
      </c>
      <c r="H2576" s="19" t="n">
        <v>2</v>
      </c>
      <c r="I2576" s="57" t="n">
        <v>1</v>
      </c>
    </row>
    <row r="2577">
      <c r="A2577" s="62" t="n">
        <v>46496</v>
      </c>
      <c r="B2577" s="3" t="inlineStr">
        <is>
          <t>Week</t>
        </is>
      </c>
      <c r="C2577" s="19" t="n">
        <v>4</v>
      </c>
      <c r="D2577" s="19" t="n">
        <v>2027</v>
      </c>
      <c r="E2577" s="57" t="n">
        <v>3</v>
      </c>
      <c r="F2577" s="29">
        <f>ROUND(((SUMIFS(Calendar!$F$2:$F$9997,Calendar!$B$2:$B$9997,D2577,Calendar!$C$2:$C$9997,C2577)*INDEX(ForeCalc!$B$37:$Y$274,MATCH(_xlfn.CONCAT(H2577," ",I2577),ForeCalc!$A$37:$A$274,0),MATCH(_xlfn.CONCAT(B2577," ",E2577),ForeCalc!$B$36:$Y$36,0))))*VLOOKUP(A2577,Calendar!$A$2:$H$9997,8,FALSE),0)</f>
        <v/>
      </c>
      <c r="G2577" s="29">
        <f>VLOOKUP(A2577,Calendar!$A$1:$H$9997,6,FALSE)-F2577</f>
        <v/>
      </c>
      <c r="H2577" s="19" t="n">
        <v>2</v>
      </c>
      <c r="I2577" s="57" t="n">
        <v>1</v>
      </c>
    </row>
    <row r="2578">
      <c r="A2578" s="62" t="n">
        <v>46497</v>
      </c>
      <c r="B2578" s="3" t="inlineStr">
        <is>
          <t>Week</t>
        </is>
      </c>
      <c r="C2578" s="19" t="n">
        <v>4</v>
      </c>
      <c r="D2578" s="19" t="n">
        <v>2027</v>
      </c>
      <c r="E2578" s="57" t="n">
        <v>3</v>
      </c>
      <c r="F2578" s="29">
        <f>ROUND(((SUMIFS(Calendar!$F$2:$F$9997,Calendar!$B$2:$B$9997,D2578,Calendar!$C$2:$C$9997,C2578)*INDEX(ForeCalc!$B$37:$Y$274,MATCH(_xlfn.CONCAT(H2578," ",I2578),ForeCalc!$A$37:$A$274,0),MATCH(_xlfn.CONCAT(B2578," ",E2578),ForeCalc!$B$36:$Y$36,0))))*VLOOKUP(A2578,Calendar!$A$2:$H$9997,8,FALSE),0)</f>
        <v/>
      </c>
      <c r="G2578" s="29">
        <f>VLOOKUP(A2578,Calendar!$A$1:$H$9997,6,FALSE)-F2578</f>
        <v/>
      </c>
      <c r="H2578" s="19" t="n">
        <v>2</v>
      </c>
      <c r="I2578" s="57" t="n">
        <v>1</v>
      </c>
    </row>
    <row r="2579">
      <c r="A2579" s="62" t="n">
        <v>46498</v>
      </c>
      <c r="B2579" s="3" t="inlineStr">
        <is>
          <t>Week</t>
        </is>
      </c>
      <c r="C2579" s="19" t="n">
        <v>4</v>
      </c>
      <c r="D2579" s="19" t="n">
        <v>2027</v>
      </c>
      <c r="E2579" s="57" t="n">
        <v>3</v>
      </c>
      <c r="F2579" s="29">
        <f>ROUND(((SUMIFS(Calendar!$F$2:$F$9997,Calendar!$B$2:$B$9997,D2579,Calendar!$C$2:$C$9997,C2579)*INDEX(ForeCalc!$B$37:$Y$274,MATCH(_xlfn.CONCAT(H2579," ",I2579),ForeCalc!$A$37:$A$274,0),MATCH(_xlfn.CONCAT(B2579," ",E2579),ForeCalc!$B$36:$Y$36,0))))*VLOOKUP(A2579,Calendar!$A$2:$H$9997,8,FALSE),0)</f>
        <v/>
      </c>
      <c r="G2579" s="29">
        <f>VLOOKUP(A2579,Calendar!$A$1:$H$9997,6,FALSE)-F2579</f>
        <v/>
      </c>
      <c r="H2579" s="19" t="n">
        <v>2</v>
      </c>
      <c r="I2579" s="57" t="n">
        <v>1</v>
      </c>
    </row>
    <row r="2580">
      <c r="A2580" s="62" t="n">
        <v>46499</v>
      </c>
      <c r="B2580" s="3" t="inlineStr">
        <is>
          <t>Week</t>
        </is>
      </c>
      <c r="C2580" s="19" t="n">
        <v>4</v>
      </c>
      <c r="D2580" s="19" t="n">
        <v>2027</v>
      </c>
      <c r="E2580" s="57" t="n">
        <v>3</v>
      </c>
      <c r="F2580" s="29">
        <f>ROUND(((SUMIFS(Calendar!$F$2:$F$9997,Calendar!$B$2:$B$9997,D2580,Calendar!$C$2:$C$9997,C2580)*INDEX(ForeCalc!$B$37:$Y$274,MATCH(_xlfn.CONCAT(H2580," ",I2580),ForeCalc!$A$37:$A$274,0),MATCH(_xlfn.CONCAT(B2580," ",E2580),ForeCalc!$B$36:$Y$36,0))))*VLOOKUP(A2580,Calendar!$A$2:$H$9997,8,FALSE),0)</f>
        <v/>
      </c>
      <c r="G2580" s="29">
        <f>VLOOKUP(A2580,Calendar!$A$1:$H$9997,6,FALSE)-F2580</f>
        <v/>
      </c>
      <c r="H2580" s="19" t="n">
        <v>2</v>
      </c>
      <c r="I2580" s="57" t="n">
        <v>1</v>
      </c>
    </row>
    <row r="2581">
      <c r="A2581" s="62" t="n">
        <v>46500</v>
      </c>
      <c r="B2581" s="3" t="inlineStr">
        <is>
          <t>Week</t>
        </is>
      </c>
      <c r="C2581" s="19" t="n">
        <v>4</v>
      </c>
      <c r="D2581" s="19" t="n">
        <v>2027</v>
      </c>
      <c r="E2581" s="57" t="n">
        <v>3</v>
      </c>
      <c r="F2581" s="29">
        <f>ROUND(((SUMIFS(Calendar!$F$2:$F$9997,Calendar!$B$2:$B$9997,D2581,Calendar!$C$2:$C$9997,C2581)*INDEX(ForeCalc!$B$37:$Y$274,MATCH(_xlfn.CONCAT(H2581," ",I2581),ForeCalc!$A$37:$A$274,0),MATCH(_xlfn.CONCAT(B2581," ",E2581),ForeCalc!$B$36:$Y$36,0))))*VLOOKUP(A2581,Calendar!$A$2:$H$9997,8,FALSE),0)</f>
        <v/>
      </c>
      <c r="G2581" s="29">
        <f>VLOOKUP(A2581,Calendar!$A$1:$H$9997,6,FALSE)-F2581</f>
        <v/>
      </c>
      <c r="H2581" s="19" t="n">
        <v>2</v>
      </c>
      <c r="I2581" s="57" t="n">
        <v>1</v>
      </c>
    </row>
    <row r="2582">
      <c r="A2582" s="62" t="n">
        <v>46501</v>
      </c>
      <c r="B2582" s="3" t="inlineStr">
        <is>
          <t>Sat</t>
        </is>
      </c>
      <c r="C2582" s="19" t="n">
        <v>4</v>
      </c>
      <c r="D2582" s="19" t="n">
        <v>2027</v>
      </c>
      <c r="E2582" s="57" t="n">
        <v>3</v>
      </c>
      <c r="F2582" s="29">
        <f>ROUND(((SUMIFS(Calendar!$F$2:$F$9997,Calendar!$B$2:$B$9997,D2582,Calendar!$C$2:$C$9997,C2582)*INDEX(ForeCalc!$B$37:$Y$274,MATCH(_xlfn.CONCAT(H2582," ",I2582),ForeCalc!$A$37:$A$274,0),MATCH(_xlfn.CONCAT(B2582," ",E2582),ForeCalc!$B$36:$Y$36,0))))*VLOOKUP(A2582,Calendar!$A$2:$H$9997,8,FALSE),0)</f>
        <v/>
      </c>
      <c r="G2582" s="29">
        <f>VLOOKUP(A2582,Calendar!$A$1:$H$9997,6,FALSE)-F2582</f>
        <v/>
      </c>
      <c r="H2582" s="19" t="n">
        <v>2</v>
      </c>
      <c r="I2582" s="57" t="n">
        <v>1</v>
      </c>
    </row>
    <row r="2583">
      <c r="A2583" s="62" t="n">
        <v>46502</v>
      </c>
      <c r="B2583" s="3" t="inlineStr">
        <is>
          <t>Sun</t>
        </is>
      </c>
      <c r="C2583" s="19" t="n">
        <v>4</v>
      </c>
      <c r="D2583" s="19" t="n">
        <v>2027</v>
      </c>
      <c r="E2583" s="57" t="n">
        <v>3</v>
      </c>
      <c r="F2583" s="29">
        <f>ROUND(((SUMIFS(Calendar!$F$2:$F$9997,Calendar!$B$2:$B$9997,D2583,Calendar!$C$2:$C$9997,C2583)*INDEX(ForeCalc!$B$37:$Y$274,MATCH(_xlfn.CONCAT(H2583," ",I2583),ForeCalc!$A$37:$A$274,0),MATCH(_xlfn.CONCAT(B2583," ",E2583),ForeCalc!$B$36:$Y$36,0))))*VLOOKUP(A2583,Calendar!$A$2:$H$9997,8,FALSE),0)</f>
        <v/>
      </c>
      <c r="G2583" s="29">
        <f>VLOOKUP(A2583,Calendar!$A$1:$H$9997,6,FALSE)-F2583</f>
        <v/>
      </c>
      <c r="H2583" s="19" t="n">
        <v>2</v>
      </c>
      <c r="I2583" s="57" t="n">
        <v>1</v>
      </c>
    </row>
    <row r="2584">
      <c r="A2584" s="62" t="n">
        <v>46503</v>
      </c>
      <c r="B2584" s="3" t="inlineStr">
        <is>
          <t>Week</t>
        </is>
      </c>
      <c r="C2584" s="19" t="n">
        <v>4</v>
      </c>
      <c r="D2584" s="19" t="n">
        <v>2027</v>
      </c>
      <c r="E2584" s="57" t="n">
        <v>3</v>
      </c>
      <c r="F2584" s="29">
        <f>ROUND(((SUMIFS(Calendar!$F$2:$F$9997,Calendar!$B$2:$B$9997,D2584,Calendar!$C$2:$C$9997,C2584)*INDEX(ForeCalc!$B$37:$Y$274,MATCH(_xlfn.CONCAT(H2584," ",I2584),ForeCalc!$A$37:$A$274,0),MATCH(_xlfn.CONCAT(B2584," ",E2584),ForeCalc!$B$36:$Y$36,0))))*VLOOKUP(A2584,Calendar!$A$2:$H$9997,8,FALSE),0)</f>
        <v/>
      </c>
      <c r="G2584" s="29">
        <f>VLOOKUP(A2584,Calendar!$A$1:$H$9997,6,FALSE)-F2584</f>
        <v/>
      </c>
      <c r="H2584" s="19" t="n">
        <v>2</v>
      </c>
      <c r="I2584" s="57" t="n">
        <v>1</v>
      </c>
    </row>
    <row r="2585">
      <c r="A2585" s="62" t="n">
        <v>46504</v>
      </c>
      <c r="B2585" s="3" t="inlineStr">
        <is>
          <t>Week</t>
        </is>
      </c>
      <c r="C2585" s="19" t="n">
        <v>4</v>
      </c>
      <c r="D2585" s="19" t="n">
        <v>2027</v>
      </c>
      <c r="E2585" s="57" t="n">
        <v>3</v>
      </c>
      <c r="F2585" s="29">
        <f>ROUND(((SUMIFS(Calendar!$F$2:$F$9997,Calendar!$B$2:$B$9997,D2585,Calendar!$C$2:$C$9997,C2585)*INDEX(ForeCalc!$B$37:$Y$274,MATCH(_xlfn.CONCAT(H2585," ",I2585),ForeCalc!$A$37:$A$274,0),MATCH(_xlfn.CONCAT(B2585," ",E2585),ForeCalc!$B$36:$Y$36,0))))*VLOOKUP(A2585,Calendar!$A$2:$H$9997,8,FALSE),0)</f>
        <v/>
      </c>
      <c r="G2585" s="29">
        <f>VLOOKUP(A2585,Calendar!$A$1:$H$9997,6,FALSE)-F2585</f>
        <v/>
      </c>
      <c r="H2585" s="19" t="n">
        <v>2</v>
      </c>
      <c r="I2585" s="57" t="n">
        <v>1</v>
      </c>
    </row>
    <row r="2586">
      <c r="A2586" s="62" t="n">
        <v>46505</v>
      </c>
      <c r="B2586" s="3" t="inlineStr">
        <is>
          <t>Week</t>
        </is>
      </c>
      <c r="C2586" s="19" t="n">
        <v>4</v>
      </c>
      <c r="D2586" s="19" t="n">
        <v>2027</v>
      </c>
      <c r="E2586" s="57" t="n">
        <v>3</v>
      </c>
      <c r="F2586" s="29">
        <f>ROUND(((SUMIFS(Calendar!$F$2:$F$9997,Calendar!$B$2:$B$9997,D2586,Calendar!$C$2:$C$9997,C2586)*INDEX(ForeCalc!$B$37:$Y$274,MATCH(_xlfn.CONCAT(H2586," ",I2586),ForeCalc!$A$37:$A$274,0),MATCH(_xlfn.CONCAT(B2586," ",E2586),ForeCalc!$B$36:$Y$36,0))))*VLOOKUP(A2586,Calendar!$A$2:$H$9997,8,FALSE),0)</f>
        <v/>
      </c>
      <c r="G2586" s="29">
        <f>VLOOKUP(A2586,Calendar!$A$1:$H$9997,6,FALSE)-F2586</f>
        <v/>
      </c>
      <c r="H2586" s="19" t="n">
        <v>2</v>
      </c>
      <c r="I2586" s="57" t="n">
        <v>1</v>
      </c>
    </row>
    <row r="2587">
      <c r="A2587" s="62" t="n">
        <v>46506</v>
      </c>
      <c r="B2587" s="3" t="inlineStr">
        <is>
          <t>Week</t>
        </is>
      </c>
      <c r="C2587" s="19" t="n">
        <v>4</v>
      </c>
      <c r="D2587" s="19" t="n">
        <v>2027</v>
      </c>
      <c r="E2587" s="57" t="n">
        <v>3</v>
      </c>
      <c r="F2587" s="29">
        <f>ROUND(((SUMIFS(Calendar!$F$2:$F$9997,Calendar!$B$2:$B$9997,D2587,Calendar!$C$2:$C$9997,C2587)*INDEX(ForeCalc!$B$37:$Y$274,MATCH(_xlfn.CONCAT(H2587," ",I2587),ForeCalc!$A$37:$A$274,0),MATCH(_xlfn.CONCAT(B2587," ",E2587),ForeCalc!$B$36:$Y$36,0))))*VLOOKUP(A2587,Calendar!$A$2:$H$9997,8,FALSE),0)</f>
        <v/>
      </c>
      <c r="G2587" s="29">
        <f>VLOOKUP(A2587,Calendar!$A$1:$H$9997,6,FALSE)-F2587</f>
        <v/>
      </c>
      <c r="H2587" s="19" t="n">
        <v>2</v>
      </c>
      <c r="I2587" s="57" t="n">
        <v>1</v>
      </c>
    </row>
    <row r="2588">
      <c r="A2588" s="62" t="n">
        <v>46507</v>
      </c>
      <c r="B2588" s="3" t="inlineStr">
        <is>
          <t>Week</t>
        </is>
      </c>
      <c r="C2588" s="19" t="n">
        <v>4</v>
      </c>
      <c r="D2588" s="19" t="n">
        <v>2027</v>
      </c>
      <c r="E2588" s="57" t="n">
        <v>3</v>
      </c>
      <c r="F2588" s="29">
        <f>ROUND(((SUMIFS(Calendar!$F$2:$F$9997,Calendar!$B$2:$B$9997,D2588,Calendar!$C$2:$C$9997,C2588)*INDEX(ForeCalc!$B$37:$Y$274,MATCH(_xlfn.CONCAT(H2588," ",I2588),ForeCalc!$A$37:$A$274,0),MATCH(_xlfn.CONCAT(B2588," ",E2588),ForeCalc!$B$36:$Y$36,0))))*VLOOKUP(A2588,Calendar!$A$2:$H$9997,8,FALSE),0)</f>
        <v/>
      </c>
      <c r="G2588" s="29">
        <f>VLOOKUP(A2588,Calendar!$A$1:$H$9997,6,FALSE)-F2588</f>
        <v/>
      </c>
      <c r="H2588" s="19" t="n">
        <v>2</v>
      </c>
      <c r="I2588" s="57" t="n">
        <v>1</v>
      </c>
    </row>
    <row r="2589">
      <c r="A2589" s="62" t="n">
        <v>46508</v>
      </c>
      <c r="B2589" s="3" t="inlineStr">
        <is>
          <t>Sat</t>
        </is>
      </c>
      <c r="C2589" s="19" t="n">
        <v>5</v>
      </c>
      <c r="D2589" s="19" t="n">
        <v>2027</v>
      </c>
      <c r="E2589" s="57" t="n">
        <v>3</v>
      </c>
      <c r="F2589" s="29">
        <f>ROUND(((SUMIFS(Calendar!$F$2:$F$9997,Calendar!$B$2:$B$9997,D2589,Calendar!$C$2:$C$9997,C2589)*INDEX(ForeCalc!$B$37:$Y$274,MATCH(_xlfn.CONCAT(H2589," ",I2589),ForeCalc!$A$37:$A$274,0),MATCH(_xlfn.CONCAT(B2589," ",E2589),ForeCalc!$B$36:$Y$36,0))))*VLOOKUP(A2589,Calendar!$A$2:$H$9997,8,FALSE),0)</f>
        <v/>
      </c>
      <c r="G2589" s="29">
        <f>VLOOKUP(A2589,Calendar!$A$1:$H$9997,6,FALSE)-F2589</f>
        <v/>
      </c>
      <c r="H2589" s="19" t="n">
        <v>2</v>
      </c>
      <c r="I2589" s="57" t="n">
        <v>2</v>
      </c>
    </row>
    <row r="2590">
      <c r="A2590" s="62" t="n">
        <v>46509</v>
      </c>
      <c r="B2590" s="3" t="inlineStr">
        <is>
          <t>Sun</t>
        </is>
      </c>
      <c r="C2590" s="19" t="n">
        <v>5</v>
      </c>
      <c r="D2590" s="19" t="n">
        <v>2027</v>
      </c>
      <c r="E2590" s="57" t="n">
        <v>3</v>
      </c>
      <c r="F2590" s="29">
        <f>ROUND(((SUMIFS(Calendar!$F$2:$F$9997,Calendar!$B$2:$B$9997,D2590,Calendar!$C$2:$C$9997,C2590)*INDEX(ForeCalc!$B$37:$Y$274,MATCH(_xlfn.CONCAT(H2590," ",I2590),ForeCalc!$A$37:$A$274,0),MATCH(_xlfn.CONCAT(B2590," ",E2590),ForeCalc!$B$36:$Y$36,0))))*VLOOKUP(A2590,Calendar!$A$2:$H$9997,8,FALSE),0)</f>
        <v/>
      </c>
      <c r="G2590" s="29">
        <f>VLOOKUP(A2590,Calendar!$A$1:$H$9997,6,FALSE)-F2590</f>
        <v/>
      </c>
      <c r="H2590" s="19" t="n">
        <v>2</v>
      </c>
      <c r="I2590" s="57" t="n">
        <v>2</v>
      </c>
    </row>
    <row r="2591">
      <c r="A2591" s="62" t="n">
        <v>46510</v>
      </c>
      <c r="B2591" s="3" t="inlineStr">
        <is>
          <t>Week</t>
        </is>
      </c>
      <c r="C2591" s="19" t="n">
        <v>5</v>
      </c>
      <c r="D2591" s="19" t="n">
        <v>2027</v>
      </c>
      <c r="E2591" s="57" t="n">
        <v>3</v>
      </c>
      <c r="F2591" s="29">
        <f>ROUND(((SUMIFS(Calendar!$F$2:$F$9997,Calendar!$B$2:$B$9997,D2591,Calendar!$C$2:$C$9997,C2591)*INDEX(ForeCalc!$B$37:$Y$274,MATCH(_xlfn.CONCAT(H2591," ",I2591),ForeCalc!$A$37:$A$274,0),MATCH(_xlfn.CONCAT(B2591," ",E2591),ForeCalc!$B$36:$Y$36,0))))*VLOOKUP(A2591,Calendar!$A$2:$H$9997,8,FALSE),0)</f>
        <v/>
      </c>
      <c r="G2591" s="29">
        <f>VLOOKUP(A2591,Calendar!$A$1:$H$9997,6,FALSE)-F2591</f>
        <v/>
      </c>
      <c r="H2591" s="19" t="n">
        <v>2</v>
      </c>
      <c r="I2591" s="57" t="n">
        <v>2</v>
      </c>
    </row>
    <row r="2592">
      <c r="A2592" s="62" t="n">
        <v>46511</v>
      </c>
      <c r="B2592" s="3" t="inlineStr">
        <is>
          <t>Week</t>
        </is>
      </c>
      <c r="C2592" s="19" t="n">
        <v>5</v>
      </c>
      <c r="D2592" s="19" t="n">
        <v>2027</v>
      </c>
      <c r="E2592" s="57" t="n">
        <v>3</v>
      </c>
      <c r="F2592" s="29">
        <f>ROUND(((SUMIFS(Calendar!$F$2:$F$9997,Calendar!$B$2:$B$9997,D2592,Calendar!$C$2:$C$9997,C2592)*INDEX(ForeCalc!$B$37:$Y$274,MATCH(_xlfn.CONCAT(H2592," ",I2592),ForeCalc!$A$37:$A$274,0),MATCH(_xlfn.CONCAT(B2592," ",E2592),ForeCalc!$B$36:$Y$36,0))))*VLOOKUP(A2592,Calendar!$A$2:$H$9997,8,FALSE),0)</f>
        <v/>
      </c>
      <c r="G2592" s="29">
        <f>VLOOKUP(A2592,Calendar!$A$1:$H$9997,6,FALSE)-F2592</f>
        <v/>
      </c>
      <c r="H2592" s="19" t="n">
        <v>2</v>
      </c>
      <c r="I2592" s="57" t="n">
        <v>2</v>
      </c>
    </row>
    <row r="2593">
      <c r="A2593" s="62" t="n">
        <v>46512</v>
      </c>
      <c r="B2593" s="3" t="inlineStr">
        <is>
          <t>Week</t>
        </is>
      </c>
      <c r="C2593" s="19" t="n">
        <v>5</v>
      </c>
      <c r="D2593" s="19" t="n">
        <v>2027</v>
      </c>
      <c r="E2593" s="57" t="n">
        <v>3</v>
      </c>
      <c r="F2593" s="29">
        <f>ROUND(((SUMIFS(Calendar!$F$2:$F$9997,Calendar!$B$2:$B$9997,D2593,Calendar!$C$2:$C$9997,C2593)*INDEX(ForeCalc!$B$37:$Y$274,MATCH(_xlfn.CONCAT(H2593," ",I2593),ForeCalc!$A$37:$A$274,0),MATCH(_xlfn.CONCAT(B2593," ",E2593),ForeCalc!$B$36:$Y$36,0))))*VLOOKUP(A2593,Calendar!$A$2:$H$9997,8,FALSE),0)</f>
        <v/>
      </c>
      <c r="G2593" s="29">
        <f>VLOOKUP(A2593,Calendar!$A$1:$H$9997,6,FALSE)-F2593</f>
        <v/>
      </c>
      <c r="H2593" s="19" t="n">
        <v>2</v>
      </c>
      <c r="I2593" s="57" t="n">
        <v>2</v>
      </c>
    </row>
    <row r="2594">
      <c r="A2594" s="62" t="n">
        <v>46513</v>
      </c>
      <c r="B2594" s="3" t="inlineStr">
        <is>
          <t>Week</t>
        </is>
      </c>
      <c r="C2594" s="19" t="n">
        <v>5</v>
      </c>
      <c r="D2594" s="19" t="n">
        <v>2027</v>
      </c>
      <c r="E2594" s="57" t="n">
        <v>3</v>
      </c>
      <c r="F2594" s="29">
        <f>ROUND(((SUMIFS(Calendar!$F$2:$F$9997,Calendar!$B$2:$B$9997,D2594,Calendar!$C$2:$C$9997,C2594)*INDEX(ForeCalc!$B$37:$Y$274,MATCH(_xlfn.CONCAT(H2594," ",I2594),ForeCalc!$A$37:$A$274,0),MATCH(_xlfn.CONCAT(B2594," ",E2594),ForeCalc!$B$36:$Y$36,0))))*VLOOKUP(A2594,Calendar!$A$2:$H$9997,8,FALSE),0)</f>
        <v/>
      </c>
      <c r="G2594" s="29">
        <f>VLOOKUP(A2594,Calendar!$A$1:$H$9997,6,FALSE)-F2594</f>
        <v/>
      </c>
      <c r="H2594" s="19" t="n">
        <v>2</v>
      </c>
      <c r="I2594" s="57" t="n">
        <v>2</v>
      </c>
    </row>
    <row r="2595">
      <c r="A2595" s="62" t="n">
        <v>46514</v>
      </c>
      <c r="B2595" s="3" t="inlineStr">
        <is>
          <t>Week</t>
        </is>
      </c>
      <c r="C2595" s="19" t="n">
        <v>5</v>
      </c>
      <c r="D2595" s="19" t="n">
        <v>2027</v>
      </c>
      <c r="E2595" s="57" t="n">
        <v>3</v>
      </c>
      <c r="F2595" s="29">
        <f>ROUND(((SUMIFS(Calendar!$F$2:$F$9997,Calendar!$B$2:$B$9997,D2595,Calendar!$C$2:$C$9997,C2595)*INDEX(ForeCalc!$B$37:$Y$274,MATCH(_xlfn.CONCAT(H2595," ",I2595),ForeCalc!$A$37:$A$274,0),MATCH(_xlfn.CONCAT(B2595," ",E2595),ForeCalc!$B$36:$Y$36,0))))*VLOOKUP(A2595,Calendar!$A$2:$H$9997,8,FALSE),0)</f>
        <v/>
      </c>
      <c r="G2595" s="29">
        <f>VLOOKUP(A2595,Calendar!$A$1:$H$9997,6,FALSE)-F2595</f>
        <v/>
      </c>
      <c r="H2595" s="19" t="n">
        <v>2</v>
      </c>
      <c r="I2595" s="57" t="n">
        <v>2</v>
      </c>
    </row>
    <row r="2596">
      <c r="A2596" s="62" t="n">
        <v>46515</v>
      </c>
      <c r="B2596" s="3" t="inlineStr">
        <is>
          <t>Sat</t>
        </is>
      </c>
      <c r="C2596" s="19" t="n">
        <v>5</v>
      </c>
      <c r="D2596" s="19" t="n">
        <v>2027</v>
      </c>
      <c r="E2596" s="57" t="n">
        <v>3</v>
      </c>
      <c r="F2596" s="29">
        <f>ROUND(((SUMIFS(Calendar!$F$2:$F$9997,Calendar!$B$2:$B$9997,D2596,Calendar!$C$2:$C$9997,C2596)*INDEX(ForeCalc!$B$37:$Y$274,MATCH(_xlfn.CONCAT(H2596," ",I2596),ForeCalc!$A$37:$A$274,0),MATCH(_xlfn.CONCAT(B2596," ",E2596),ForeCalc!$B$36:$Y$36,0))))*VLOOKUP(A2596,Calendar!$A$2:$H$9997,8,FALSE),0)</f>
        <v/>
      </c>
      <c r="G2596" s="29">
        <f>VLOOKUP(A2596,Calendar!$A$1:$H$9997,6,FALSE)-F2596</f>
        <v/>
      </c>
      <c r="H2596" s="19" t="n">
        <v>2</v>
      </c>
      <c r="I2596" s="57" t="n">
        <v>2</v>
      </c>
    </row>
    <row r="2597">
      <c r="A2597" s="62" t="n">
        <v>46516</v>
      </c>
      <c r="B2597" s="3" t="inlineStr">
        <is>
          <t>Sun</t>
        </is>
      </c>
      <c r="C2597" s="19" t="n">
        <v>5</v>
      </c>
      <c r="D2597" s="19" t="n">
        <v>2027</v>
      </c>
      <c r="E2597" s="57" t="n">
        <v>3</v>
      </c>
      <c r="F2597" s="29">
        <f>ROUND(((SUMIFS(Calendar!$F$2:$F$9997,Calendar!$B$2:$B$9997,D2597,Calendar!$C$2:$C$9997,C2597)*INDEX(ForeCalc!$B$37:$Y$274,MATCH(_xlfn.CONCAT(H2597," ",I2597),ForeCalc!$A$37:$A$274,0),MATCH(_xlfn.CONCAT(B2597," ",E2597),ForeCalc!$B$36:$Y$36,0))))*VLOOKUP(A2597,Calendar!$A$2:$H$9997,8,FALSE),0)</f>
        <v/>
      </c>
      <c r="G2597" s="29">
        <f>VLOOKUP(A2597,Calendar!$A$1:$H$9997,6,FALSE)-F2597</f>
        <v/>
      </c>
      <c r="H2597" s="19" t="n">
        <v>2</v>
      </c>
      <c r="I2597" s="57" t="n">
        <v>2</v>
      </c>
    </row>
    <row r="2598">
      <c r="A2598" s="62" t="n">
        <v>46517</v>
      </c>
      <c r="B2598" s="3" t="inlineStr">
        <is>
          <t>Week</t>
        </is>
      </c>
      <c r="C2598" s="19" t="n">
        <v>5</v>
      </c>
      <c r="D2598" s="19" t="n">
        <v>2027</v>
      </c>
      <c r="E2598" s="57" t="n">
        <v>3</v>
      </c>
      <c r="F2598" s="29">
        <f>ROUND(((SUMIFS(Calendar!$F$2:$F$9997,Calendar!$B$2:$B$9997,D2598,Calendar!$C$2:$C$9997,C2598)*INDEX(ForeCalc!$B$37:$Y$274,MATCH(_xlfn.CONCAT(H2598," ",I2598),ForeCalc!$A$37:$A$274,0),MATCH(_xlfn.CONCAT(B2598," ",E2598),ForeCalc!$B$36:$Y$36,0))))*VLOOKUP(A2598,Calendar!$A$2:$H$9997,8,FALSE),0)</f>
        <v/>
      </c>
      <c r="G2598" s="29">
        <f>VLOOKUP(A2598,Calendar!$A$1:$H$9997,6,FALSE)-F2598</f>
        <v/>
      </c>
      <c r="H2598" s="19" t="n">
        <v>2</v>
      </c>
      <c r="I2598" s="57" t="n">
        <v>2</v>
      </c>
    </row>
    <row r="2599">
      <c r="A2599" s="62" t="n">
        <v>46518</v>
      </c>
      <c r="B2599" s="3" t="inlineStr">
        <is>
          <t>Week</t>
        </is>
      </c>
      <c r="C2599" s="19" t="n">
        <v>5</v>
      </c>
      <c r="D2599" s="19" t="n">
        <v>2027</v>
      </c>
      <c r="E2599" s="57" t="n">
        <v>3</v>
      </c>
      <c r="F2599" s="29">
        <f>ROUND(((SUMIFS(Calendar!$F$2:$F$9997,Calendar!$B$2:$B$9997,D2599,Calendar!$C$2:$C$9997,C2599)*INDEX(ForeCalc!$B$37:$Y$274,MATCH(_xlfn.CONCAT(H2599," ",I2599),ForeCalc!$A$37:$A$274,0),MATCH(_xlfn.CONCAT(B2599," ",E2599),ForeCalc!$B$36:$Y$36,0))))*VLOOKUP(A2599,Calendar!$A$2:$H$9997,8,FALSE),0)</f>
        <v/>
      </c>
      <c r="G2599" s="29">
        <f>VLOOKUP(A2599,Calendar!$A$1:$H$9997,6,FALSE)-F2599</f>
        <v/>
      </c>
      <c r="H2599" s="19" t="n">
        <v>2</v>
      </c>
      <c r="I2599" s="57" t="n">
        <v>2</v>
      </c>
    </row>
    <row r="2600">
      <c r="A2600" s="62" t="n">
        <v>46519</v>
      </c>
      <c r="B2600" s="3" t="inlineStr">
        <is>
          <t>Week</t>
        </is>
      </c>
      <c r="C2600" s="19" t="n">
        <v>5</v>
      </c>
      <c r="D2600" s="19" t="n">
        <v>2027</v>
      </c>
      <c r="E2600" s="57" t="n">
        <v>3</v>
      </c>
      <c r="F2600" s="29">
        <f>ROUND(((SUMIFS(Calendar!$F$2:$F$9997,Calendar!$B$2:$B$9997,D2600,Calendar!$C$2:$C$9997,C2600)*INDEX(ForeCalc!$B$37:$Y$274,MATCH(_xlfn.CONCAT(H2600," ",I2600),ForeCalc!$A$37:$A$274,0),MATCH(_xlfn.CONCAT(B2600," ",E2600),ForeCalc!$B$36:$Y$36,0))))*VLOOKUP(A2600,Calendar!$A$2:$H$9997,8,FALSE),0)</f>
        <v/>
      </c>
      <c r="G2600" s="29">
        <f>VLOOKUP(A2600,Calendar!$A$1:$H$9997,6,FALSE)-F2600</f>
        <v/>
      </c>
      <c r="H2600" s="19" t="n">
        <v>2</v>
      </c>
      <c r="I2600" s="57" t="n">
        <v>2</v>
      </c>
    </row>
    <row r="2601">
      <c r="A2601" s="62" t="n">
        <v>46520</v>
      </c>
      <c r="B2601" s="3" t="inlineStr">
        <is>
          <t>Week</t>
        </is>
      </c>
      <c r="C2601" s="19" t="n">
        <v>5</v>
      </c>
      <c r="D2601" s="19" t="n">
        <v>2027</v>
      </c>
      <c r="E2601" s="57" t="n">
        <v>3</v>
      </c>
      <c r="F2601" s="29">
        <f>ROUND(((SUMIFS(Calendar!$F$2:$F$9997,Calendar!$B$2:$B$9997,D2601,Calendar!$C$2:$C$9997,C2601)*INDEX(ForeCalc!$B$37:$Y$274,MATCH(_xlfn.CONCAT(H2601," ",I2601),ForeCalc!$A$37:$A$274,0),MATCH(_xlfn.CONCAT(B2601," ",E2601),ForeCalc!$B$36:$Y$36,0))))*VLOOKUP(A2601,Calendar!$A$2:$H$9997,8,FALSE),0)</f>
        <v/>
      </c>
      <c r="G2601" s="29">
        <f>VLOOKUP(A2601,Calendar!$A$1:$H$9997,6,FALSE)-F2601</f>
        <v/>
      </c>
      <c r="H2601" s="19" t="n">
        <v>2</v>
      </c>
      <c r="I2601" s="57" t="n">
        <v>2</v>
      </c>
    </row>
    <row r="2602">
      <c r="A2602" s="62" t="n">
        <v>46521</v>
      </c>
      <c r="B2602" s="3" t="inlineStr">
        <is>
          <t>Week</t>
        </is>
      </c>
      <c r="C2602" s="19" t="n">
        <v>5</v>
      </c>
      <c r="D2602" s="19" t="n">
        <v>2027</v>
      </c>
      <c r="E2602" s="57" t="n">
        <v>3</v>
      </c>
      <c r="F2602" s="29">
        <f>ROUND(((SUMIFS(Calendar!$F$2:$F$9997,Calendar!$B$2:$B$9997,D2602,Calendar!$C$2:$C$9997,C2602)*INDEX(ForeCalc!$B$37:$Y$274,MATCH(_xlfn.CONCAT(H2602," ",I2602),ForeCalc!$A$37:$A$274,0),MATCH(_xlfn.CONCAT(B2602," ",E2602),ForeCalc!$B$36:$Y$36,0))))*VLOOKUP(A2602,Calendar!$A$2:$H$9997,8,FALSE),0)</f>
        <v/>
      </c>
      <c r="G2602" s="29">
        <f>VLOOKUP(A2602,Calendar!$A$1:$H$9997,6,FALSE)-F2602</f>
        <v/>
      </c>
      <c r="H2602" s="19" t="n">
        <v>2</v>
      </c>
      <c r="I2602" s="57" t="n">
        <v>2</v>
      </c>
    </row>
    <row r="2603">
      <c r="A2603" s="62" t="n">
        <v>46522</v>
      </c>
      <c r="B2603" s="3" t="inlineStr">
        <is>
          <t>Sat</t>
        </is>
      </c>
      <c r="C2603" s="19" t="n">
        <v>5</v>
      </c>
      <c r="D2603" s="19" t="n">
        <v>2027</v>
      </c>
      <c r="E2603" s="57" t="n">
        <v>3</v>
      </c>
      <c r="F2603" s="29">
        <f>ROUND(((SUMIFS(Calendar!$F$2:$F$9997,Calendar!$B$2:$B$9997,D2603,Calendar!$C$2:$C$9997,C2603)*INDEX(ForeCalc!$B$37:$Y$274,MATCH(_xlfn.CONCAT(H2603," ",I2603),ForeCalc!$A$37:$A$274,0),MATCH(_xlfn.CONCAT(B2603," ",E2603),ForeCalc!$B$36:$Y$36,0))))*VLOOKUP(A2603,Calendar!$A$2:$H$9997,8,FALSE),0)</f>
        <v/>
      </c>
      <c r="G2603" s="29">
        <f>VLOOKUP(A2603,Calendar!$A$1:$H$9997,6,FALSE)-F2603</f>
        <v/>
      </c>
      <c r="H2603" s="19" t="n">
        <v>2</v>
      </c>
      <c r="I2603" s="57" t="n">
        <v>2</v>
      </c>
    </row>
    <row r="2604">
      <c r="A2604" s="62" t="n">
        <v>46523</v>
      </c>
      <c r="B2604" s="3" t="inlineStr">
        <is>
          <t>Sun</t>
        </is>
      </c>
      <c r="C2604" s="19" t="n">
        <v>5</v>
      </c>
      <c r="D2604" s="19" t="n">
        <v>2027</v>
      </c>
      <c r="E2604" s="57" t="n">
        <v>3</v>
      </c>
      <c r="F2604" s="29">
        <f>ROUND(((SUMIFS(Calendar!$F$2:$F$9997,Calendar!$B$2:$B$9997,D2604,Calendar!$C$2:$C$9997,C2604)*INDEX(ForeCalc!$B$37:$Y$274,MATCH(_xlfn.CONCAT(H2604," ",I2604),ForeCalc!$A$37:$A$274,0),MATCH(_xlfn.CONCAT(B2604," ",E2604),ForeCalc!$B$36:$Y$36,0))))*VLOOKUP(A2604,Calendar!$A$2:$H$9997,8,FALSE),0)</f>
        <v/>
      </c>
      <c r="G2604" s="29">
        <f>VLOOKUP(A2604,Calendar!$A$1:$H$9997,6,FALSE)-F2604</f>
        <v/>
      </c>
      <c r="H2604" s="19" t="n">
        <v>2</v>
      </c>
      <c r="I2604" s="57" t="n">
        <v>2</v>
      </c>
    </row>
    <row r="2605">
      <c r="A2605" s="62" t="n">
        <v>46524</v>
      </c>
      <c r="B2605" s="3" t="inlineStr">
        <is>
          <t>Week</t>
        </is>
      </c>
      <c r="C2605" s="19" t="n">
        <v>5</v>
      </c>
      <c r="D2605" s="19" t="n">
        <v>2027</v>
      </c>
      <c r="E2605" s="57" t="n">
        <v>3</v>
      </c>
      <c r="F2605" s="29">
        <f>ROUND(((SUMIFS(Calendar!$F$2:$F$9997,Calendar!$B$2:$B$9997,D2605,Calendar!$C$2:$C$9997,C2605)*INDEX(ForeCalc!$B$37:$Y$274,MATCH(_xlfn.CONCAT(H2605," ",I2605),ForeCalc!$A$37:$A$274,0),MATCH(_xlfn.CONCAT(B2605," ",E2605),ForeCalc!$B$36:$Y$36,0))))*VLOOKUP(A2605,Calendar!$A$2:$H$9997,8,FALSE),0)</f>
        <v/>
      </c>
      <c r="G2605" s="29">
        <f>VLOOKUP(A2605,Calendar!$A$1:$H$9997,6,FALSE)-F2605</f>
        <v/>
      </c>
      <c r="H2605" s="19" t="n">
        <v>2</v>
      </c>
      <c r="I2605" s="57" t="n">
        <v>2</v>
      </c>
    </row>
    <row r="2606">
      <c r="A2606" s="62" t="n">
        <v>46525</v>
      </c>
      <c r="B2606" s="3" t="inlineStr">
        <is>
          <t>Week</t>
        </is>
      </c>
      <c r="C2606" s="19" t="n">
        <v>5</v>
      </c>
      <c r="D2606" s="19" t="n">
        <v>2027</v>
      </c>
      <c r="E2606" s="57" t="n">
        <v>3</v>
      </c>
      <c r="F2606" s="29">
        <f>ROUND(((SUMIFS(Calendar!$F$2:$F$9997,Calendar!$B$2:$B$9997,D2606,Calendar!$C$2:$C$9997,C2606)*INDEX(ForeCalc!$B$37:$Y$274,MATCH(_xlfn.CONCAT(H2606," ",I2606),ForeCalc!$A$37:$A$274,0),MATCH(_xlfn.CONCAT(B2606," ",E2606),ForeCalc!$B$36:$Y$36,0))))*VLOOKUP(A2606,Calendar!$A$2:$H$9997,8,FALSE),0)</f>
        <v/>
      </c>
      <c r="G2606" s="29">
        <f>VLOOKUP(A2606,Calendar!$A$1:$H$9997,6,FALSE)-F2606</f>
        <v/>
      </c>
      <c r="H2606" s="19" t="n">
        <v>2</v>
      </c>
      <c r="I2606" s="57" t="n">
        <v>2</v>
      </c>
    </row>
    <row r="2607">
      <c r="A2607" s="62" t="n">
        <v>46526</v>
      </c>
      <c r="B2607" s="3" t="inlineStr">
        <is>
          <t>Week</t>
        </is>
      </c>
      <c r="C2607" s="19" t="n">
        <v>5</v>
      </c>
      <c r="D2607" s="19" t="n">
        <v>2027</v>
      </c>
      <c r="E2607" s="57" t="n">
        <v>3</v>
      </c>
      <c r="F2607" s="29">
        <f>ROUND(((SUMIFS(Calendar!$F$2:$F$9997,Calendar!$B$2:$B$9997,D2607,Calendar!$C$2:$C$9997,C2607)*INDEX(ForeCalc!$B$37:$Y$274,MATCH(_xlfn.CONCAT(H2607," ",I2607),ForeCalc!$A$37:$A$274,0),MATCH(_xlfn.CONCAT(B2607," ",E2607),ForeCalc!$B$36:$Y$36,0))))*VLOOKUP(A2607,Calendar!$A$2:$H$9997,8,FALSE),0)</f>
        <v/>
      </c>
      <c r="G2607" s="29">
        <f>VLOOKUP(A2607,Calendar!$A$1:$H$9997,6,FALSE)-F2607</f>
        <v/>
      </c>
      <c r="H2607" s="19" t="n">
        <v>2</v>
      </c>
      <c r="I2607" s="57" t="n">
        <v>2</v>
      </c>
    </row>
    <row r="2608">
      <c r="A2608" s="62" t="n">
        <v>46527</v>
      </c>
      <c r="B2608" s="3" t="inlineStr">
        <is>
          <t>Week</t>
        </is>
      </c>
      <c r="C2608" s="19" t="n">
        <v>5</v>
      </c>
      <c r="D2608" s="19" t="n">
        <v>2027</v>
      </c>
      <c r="E2608" s="57" t="n">
        <v>3</v>
      </c>
      <c r="F2608" s="29">
        <f>ROUND(((SUMIFS(Calendar!$F$2:$F$9997,Calendar!$B$2:$B$9997,D2608,Calendar!$C$2:$C$9997,C2608)*INDEX(ForeCalc!$B$37:$Y$274,MATCH(_xlfn.CONCAT(H2608," ",I2608),ForeCalc!$A$37:$A$274,0),MATCH(_xlfn.CONCAT(B2608," ",E2608),ForeCalc!$B$36:$Y$36,0))))*VLOOKUP(A2608,Calendar!$A$2:$H$9997,8,FALSE),0)</f>
        <v/>
      </c>
      <c r="G2608" s="29">
        <f>VLOOKUP(A2608,Calendar!$A$1:$H$9997,6,FALSE)-F2608</f>
        <v/>
      </c>
      <c r="H2608" s="19" t="n">
        <v>2</v>
      </c>
      <c r="I2608" s="57" t="n">
        <v>2</v>
      </c>
    </row>
    <row r="2609">
      <c r="A2609" s="62" t="n">
        <v>46528</v>
      </c>
      <c r="B2609" s="3" t="inlineStr">
        <is>
          <t>Week</t>
        </is>
      </c>
      <c r="C2609" s="19" t="n">
        <v>5</v>
      </c>
      <c r="D2609" s="19" t="n">
        <v>2027</v>
      </c>
      <c r="E2609" s="57" t="n">
        <v>3</v>
      </c>
      <c r="F2609" s="29">
        <f>ROUND(((SUMIFS(Calendar!$F$2:$F$9997,Calendar!$B$2:$B$9997,D2609,Calendar!$C$2:$C$9997,C2609)*INDEX(ForeCalc!$B$37:$Y$274,MATCH(_xlfn.CONCAT(H2609," ",I2609),ForeCalc!$A$37:$A$274,0),MATCH(_xlfn.CONCAT(B2609," ",E2609),ForeCalc!$B$36:$Y$36,0))))*VLOOKUP(A2609,Calendar!$A$2:$H$9997,8,FALSE),0)</f>
        <v/>
      </c>
      <c r="G2609" s="29">
        <f>VLOOKUP(A2609,Calendar!$A$1:$H$9997,6,FALSE)-F2609</f>
        <v/>
      </c>
      <c r="H2609" s="19" t="n">
        <v>2</v>
      </c>
      <c r="I2609" s="57" t="n">
        <v>2</v>
      </c>
    </row>
    <row r="2610">
      <c r="A2610" s="62" t="n">
        <v>46529</v>
      </c>
      <c r="B2610" s="3" t="inlineStr">
        <is>
          <t>Sat</t>
        </is>
      </c>
      <c r="C2610" s="19" t="n">
        <v>5</v>
      </c>
      <c r="D2610" s="19" t="n">
        <v>2027</v>
      </c>
      <c r="E2610" s="57" t="n">
        <v>3</v>
      </c>
      <c r="F2610" s="29">
        <f>ROUND(((SUMIFS(Calendar!$F$2:$F$9997,Calendar!$B$2:$B$9997,D2610,Calendar!$C$2:$C$9997,C2610)*INDEX(ForeCalc!$B$37:$Y$274,MATCH(_xlfn.CONCAT(H2610," ",I2610),ForeCalc!$A$37:$A$274,0),MATCH(_xlfn.CONCAT(B2610," ",E2610),ForeCalc!$B$36:$Y$36,0))))*VLOOKUP(A2610,Calendar!$A$2:$H$9997,8,FALSE),0)</f>
        <v/>
      </c>
      <c r="G2610" s="29">
        <f>VLOOKUP(A2610,Calendar!$A$1:$H$9997,6,FALSE)-F2610</f>
        <v/>
      </c>
      <c r="H2610" s="19" t="n">
        <v>2</v>
      </c>
      <c r="I2610" s="57" t="n">
        <v>2</v>
      </c>
    </row>
    <row r="2611">
      <c r="A2611" s="62" t="n">
        <v>46530</v>
      </c>
      <c r="B2611" s="3" t="inlineStr">
        <is>
          <t>Sun</t>
        </is>
      </c>
      <c r="C2611" s="19" t="n">
        <v>5</v>
      </c>
      <c r="D2611" s="19" t="n">
        <v>2027</v>
      </c>
      <c r="E2611" s="57" t="n">
        <v>3</v>
      </c>
      <c r="F2611" s="29">
        <f>ROUND(((SUMIFS(Calendar!$F$2:$F$9997,Calendar!$B$2:$B$9997,D2611,Calendar!$C$2:$C$9997,C2611)*INDEX(ForeCalc!$B$37:$Y$274,MATCH(_xlfn.CONCAT(H2611," ",I2611),ForeCalc!$A$37:$A$274,0),MATCH(_xlfn.CONCAT(B2611," ",E2611),ForeCalc!$B$36:$Y$36,0))))*VLOOKUP(A2611,Calendar!$A$2:$H$9997,8,FALSE),0)</f>
        <v/>
      </c>
      <c r="G2611" s="29">
        <f>VLOOKUP(A2611,Calendar!$A$1:$H$9997,6,FALSE)-F2611</f>
        <v/>
      </c>
      <c r="H2611" s="19" t="n">
        <v>2</v>
      </c>
      <c r="I2611" s="57" t="n">
        <v>2</v>
      </c>
    </row>
    <row r="2612">
      <c r="A2612" s="62" t="n">
        <v>46531</v>
      </c>
      <c r="B2612" s="3" t="inlineStr">
        <is>
          <t>Week</t>
        </is>
      </c>
      <c r="C2612" s="19" t="n">
        <v>5</v>
      </c>
      <c r="D2612" s="19" t="n">
        <v>2027</v>
      </c>
      <c r="E2612" s="57" t="n">
        <v>3</v>
      </c>
      <c r="F2612" s="29">
        <f>ROUND(((SUMIFS(Calendar!$F$2:$F$9997,Calendar!$B$2:$B$9997,D2612,Calendar!$C$2:$C$9997,C2612)*INDEX(ForeCalc!$B$37:$Y$274,MATCH(_xlfn.CONCAT(H2612," ",I2612),ForeCalc!$A$37:$A$274,0),MATCH(_xlfn.CONCAT(B2612," ",E2612),ForeCalc!$B$36:$Y$36,0))))*VLOOKUP(A2612,Calendar!$A$2:$H$9997,8,FALSE),0)</f>
        <v/>
      </c>
      <c r="G2612" s="29">
        <f>VLOOKUP(A2612,Calendar!$A$1:$H$9997,6,FALSE)-F2612</f>
        <v/>
      </c>
      <c r="H2612" s="19" t="n">
        <v>2</v>
      </c>
      <c r="I2612" s="57" t="n">
        <v>2</v>
      </c>
    </row>
    <row r="2613">
      <c r="A2613" s="62" t="n">
        <v>46532</v>
      </c>
      <c r="B2613" s="3" t="inlineStr">
        <is>
          <t>Week</t>
        </is>
      </c>
      <c r="C2613" s="19" t="n">
        <v>5</v>
      </c>
      <c r="D2613" s="19" t="n">
        <v>2027</v>
      </c>
      <c r="E2613" s="57" t="n">
        <v>3</v>
      </c>
      <c r="F2613" s="29">
        <f>ROUND(((SUMIFS(Calendar!$F$2:$F$9997,Calendar!$B$2:$B$9997,D2613,Calendar!$C$2:$C$9997,C2613)*INDEX(ForeCalc!$B$37:$Y$274,MATCH(_xlfn.CONCAT(H2613," ",I2613),ForeCalc!$A$37:$A$274,0),MATCH(_xlfn.CONCAT(B2613," ",E2613),ForeCalc!$B$36:$Y$36,0))))*VLOOKUP(A2613,Calendar!$A$2:$H$9997,8,FALSE),0)</f>
        <v/>
      </c>
      <c r="G2613" s="29">
        <f>VLOOKUP(A2613,Calendar!$A$1:$H$9997,6,FALSE)-F2613</f>
        <v/>
      </c>
      <c r="H2613" s="19" t="n">
        <v>2</v>
      </c>
      <c r="I2613" s="57" t="n">
        <v>2</v>
      </c>
    </row>
    <row r="2614">
      <c r="A2614" s="62" t="n">
        <v>46533</v>
      </c>
      <c r="B2614" s="3" t="inlineStr">
        <is>
          <t>Week</t>
        </is>
      </c>
      <c r="C2614" s="19" t="n">
        <v>5</v>
      </c>
      <c r="D2614" s="19" t="n">
        <v>2027</v>
      </c>
      <c r="E2614" s="57" t="n">
        <v>3</v>
      </c>
      <c r="F2614" s="29">
        <f>ROUND(((SUMIFS(Calendar!$F$2:$F$9997,Calendar!$B$2:$B$9997,D2614,Calendar!$C$2:$C$9997,C2614)*INDEX(ForeCalc!$B$37:$Y$274,MATCH(_xlfn.CONCAT(H2614," ",I2614),ForeCalc!$A$37:$A$274,0),MATCH(_xlfn.CONCAT(B2614," ",E2614),ForeCalc!$B$36:$Y$36,0))))*VLOOKUP(A2614,Calendar!$A$2:$H$9997,8,FALSE),0)</f>
        <v/>
      </c>
      <c r="G2614" s="29">
        <f>VLOOKUP(A2614,Calendar!$A$1:$H$9997,6,FALSE)-F2614</f>
        <v/>
      </c>
      <c r="H2614" s="19" t="n">
        <v>2</v>
      </c>
      <c r="I2614" s="57" t="n">
        <v>2</v>
      </c>
    </row>
    <row r="2615">
      <c r="A2615" s="62" t="n">
        <v>46534</v>
      </c>
      <c r="B2615" s="3" t="inlineStr">
        <is>
          <t>Week</t>
        </is>
      </c>
      <c r="C2615" s="19" t="n">
        <v>5</v>
      </c>
      <c r="D2615" s="19" t="n">
        <v>2027</v>
      </c>
      <c r="E2615" s="57" t="n">
        <v>3</v>
      </c>
      <c r="F2615" s="29">
        <f>ROUND(((SUMIFS(Calendar!$F$2:$F$9997,Calendar!$B$2:$B$9997,D2615,Calendar!$C$2:$C$9997,C2615)*INDEX(ForeCalc!$B$37:$Y$274,MATCH(_xlfn.CONCAT(H2615," ",I2615),ForeCalc!$A$37:$A$274,0),MATCH(_xlfn.CONCAT(B2615," ",E2615),ForeCalc!$B$36:$Y$36,0))))*VLOOKUP(A2615,Calendar!$A$2:$H$9997,8,FALSE),0)</f>
        <v/>
      </c>
      <c r="G2615" s="29">
        <f>VLOOKUP(A2615,Calendar!$A$1:$H$9997,6,FALSE)-F2615</f>
        <v/>
      </c>
      <c r="H2615" s="19" t="n">
        <v>2</v>
      </c>
      <c r="I2615" s="57" t="n">
        <v>2</v>
      </c>
    </row>
    <row r="2616">
      <c r="A2616" s="62" t="n">
        <v>46535</v>
      </c>
      <c r="B2616" s="3" t="inlineStr">
        <is>
          <t>Week</t>
        </is>
      </c>
      <c r="C2616" s="19" t="n">
        <v>5</v>
      </c>
      <c r="D2616" s="19" t="n">
        <v>2027</v>
      </c>
      <c r="E2616" s="57" t="n">
        <v>3</v>
      </c>
      <c r="F2616" s="29">
        <f>ROUND(((SUMIFS(Calendar!$F$2:$F$9997,Calendar!$B$2:$B$9997,D2616,Calendar!$C$2:$C$9997,C2616)*INDEX(ForeCalc!$B$37:$Y$274,MATCH(_xlfn.CONCAT(H2616," ",I2616),ForeCalc!$A$37:$A$274,0),MATCH(_xlfn.CONCAT(B2616," ",E2616),ForeCalc!$B$36:$Y$36,0))))*VLOOKUP(A2616,Calendar!$A$2:$H$9997,8,FALSE),0)</f>
        <v/>
      </c>
      <c r="G2616" s="29">
        <f>VLOOKUP(A2616,Calendar!$A$1:$H$9997,6,FALSE)-F2616</f>
        <v/>
      </c>
      <c r="H2616" s="19" t="n">
        <v>2</v>
      </c>
      <c r="I2616" s="57" t="n">
        <v>2</v>
      </c>
    </row>
    <row r="2617">
      <c r="A2617" s="62" t="n">
        <v>46536</v>
      </c>
      <c r="B2617" s="3" t="inlineStr">
        <is>
          <t>Sat</t>
        </is>
      </c>
      <c r="C2617" s="19" t="n">
        <v>5</v>
      </c>
      <c r="D2617" s="19" t="n">
        <v>2027</v>
      </c>
      <c r="E2617" s="57" t="n">
        <v>3</v>
      </c>
      <c r="F2617" s="29">
        <f>ROUND(((SUMIFS(Calendar!$F$2:$F$9997,Calendar!$B$2:$B$9997,D2617,Calendar!$C$2:$C$9997,C2617)*INDEX(ForeCalc!$B$37:$Y$274,MATCH(_xlfn.CONCAT(H2617," ",I2617),ForeCalc!$A$37:$A$274,0),MATCH(_xlfn.CONCAT(B2617," ",E2617),ForeCalc!$B$36:$Y$36,0))))*VLOOKUP(A2617,Calendar!$A$2:$H$9997,8,FALSE),0)</f>
        <v/>
      </c>
      <c r="G2617" s="29">
        <f>VLOOKUP(A2617,Calendar!$A$1:$H$9997,6,FALSE)-F2617</f>
        <v/>
      </c>
      <c r="H2617" s="19" t="n">
        <v>2</v>
      </c>
      <c r="I2617" s="57" t="n">
        <v>2</v>
      </c>
    </row>
    <row r="2618">
      <c r="A2618" s="62" t="n">
        <v>46537</v>
      </c>
      <c r="B2618" s="3" t="inlineStr">
        <is>
          <t>Sun</t>
        </is>
      </c>
      <c r="C2618" s="19" t="n">
        <v>5</v>
      </c>
      <c r="D2618" s="19" t="n">
        <v>2027</v>
      </c>
      <c r="E2618" s="57" t="n">
        <v>3</v>
      </c>
      <c r="F2618" s="29">
        <f>ROUND(((SUMIFS(Calendar!$F$2:$F$9997,Calendar!$B$2:$B$9997,D2618,Calendar!$C$2:$C$9997,C2618)*INDEX(ForeCalc!$B$37:$Y$274,MATCH(_xlfn.CONCAT(H2618," ",I2618),ForeCalc!$A$37:$A$274,0),MATCH(_xlfn.CONCAT(B2618," ",E2618),ForeCalc!$B$36:$Y$36,0))))*VLOOKUP(A2618,Calendar!$A$2:$H$9997,8,FALSE),0)</f>
        <v/>
      </c>
      <c r="G2618" s="29">
        <f>VLOOKUP(A2618,Calendar!$A$1:$H$9997,6,FALSE)-F2618</f>
        <v/>
      </c>
      <c r="H2618" s="19" t="n">
        <v>2</v>
      </c>
      <c r="I2618" s="57" t="n">
        <v>2</v>
      </c>
    </row>
    <row r="2619">
      <c r="A2619" s="62" t="n">
        <v>46538</v>
      </c>
      <c r="B2619" s="3" t="inlineStr">
        <is>
          <t>Week</t>
        </is>
      </c>
      <c r="C2619" s="19" t="n">
        <v>5</v>
      </c>
      <c r="D2619" s="19" t="n">
        <v>2027</v>
      </c>
      <c r="E2619" s="57" t="n">
        <v>3</v>
      </c>
      <c r="F2619" s="29">
        <f>ROUND(((SUMIFS(Calendar!$F$2:$F$9997,Calendar!$B$2:$B$9997,D2619,Calendar!$C$2:$C$9997,C2619)*INDEX(ForeCalc!$B$37:$Y$274,MATCH(_xlfn.CONCAT(H2619," ",I2619),ForeCalc!$A$37:$A$274,0),MATCH(_xlfn.CONCAT(B2619," ",E2619),ForeCalc!$B$36:$Y$36,0))))*VLOOKUP(A2619,Calendar!$A$2:$H$9997,8,FALSE),0)</f>
        <v/>
      </c>
      <c r="G2619" s="29">
        <f>VLOOKUP(A2619,Calendar!$A$1:$H$9997,6,FALSE)-F2619</f>
        <v/>
      </c>
      <c r="H2619" s="19" t="n">
        <v>2</v>
      </c>
      <c r="I2619" s="57" t="n">
        <v>2</v>
      </c>
    </row>
    <row r="2620">
      <c r="A2620" s="62" t="n">
        <v>46539</v>
      </c>
      <c r="B2620" s="3" t="inlineStr">
        <is>
          <t>Week</t>
        </is>
      </c>
      <c r="C2620" s="19" t="n">
        <v>6</v>
      </c>
      <c r="D2620" s="19" t="n">
        <v>2027</v>
      </c>
      <c r="E2620" s="57" t="n">
        <v>3</v>
      </c>
      <c r="F2620" s="29">
        <f>ROUND(((SUMIFS(Calendar!$F$2:$F$9997,Calendar!$B$2:$B$9997,D2620,Calendar!$C$2:$C$9997,C2620)*INDEX(ForeCalc!$B$37:$Y$274,MATCH(_xlfn.CONCAT(H2620," ",I2620),ForeCalc!$A$37:$A$274,0),MATCH(_xlfn.CONCAT(B2620," ",E2620),ForeCalc!$B$36:$Y$36,0))))*VLOOKUP(A2620,Calendar!$A$2:$H$9997,8,FALSE),0)</f>
        <v/>
      </c>
      <c r="G2620" s="29">
        <f>VLOOKUP(A2620,Calendar!$A$1:$H$9997,6,FALSE)-F2620</f>
        <v/>
      </c>
      <c r="H2620" s="19" t="n">
        <v>2</v>
      </c>
      <c r="I2620" s="57" t="n">
        <v>3</v>
      </c>
    </row>
    <row r="2621">
      <c r="A2621" s="62" t="n">
        <v>46540</v>
      </c>
      <c r="B2621" s="3" t="inlineStr">
        <is>
          <t>Week</t>
        </is>
      </c>
      <c r="C2621" s="19" t="n">
        <v>6</v>
      </c>
      <c r="D2621" s="19" t="n">
        <v>2027</v>
      </c>
      <c r="E2621" s="57" t="n">
        <v>3</v>
      </c>
      <c r="F2621" s="29">
        <f>ROUND(((SUMIFS(Calendar!$F$2:$F$9997,Calendar!$B$2:$B$9997,D2621,Calendar!$C$2:$C$9997,C2621)*INDEX(ForeCalc!$B$37:$Y$274,MATCH(_xlfn.CONCAT(H2621," ",I2621),ForeCalc!$A$37:$A$274,0),MATCH(_xlfn.CONCAT(B2621," ",E2621),ForeCalc!$B$36:$Y$36,0))))*VLOOKUP(A2621,Calendar!$A$2:$H$9997,8,FALSE),0)</f>
        <v/>
      </c>
      <c r="G2621" s="29">
        <f>VLOOKUP(A2621,Calendar!$A$1:$H$9997,6,FALSE)-F2621</f>
        <v/>
      </c>
      <c r="H2621" s="19" t="n">
        <v>2</v>
      </c>
      <c r="I2621" s="57" t="n">
        <v>3</v>
      </c>
    </row>
    <row r="2622">
      <c r="A2622" s="62" t="n">
        <v>46541</v>
      </c>
      <c r="B2622" s="3" t="inlineStr">
        <is>
          <t>Week</t>
        </is>
      </c>
      <c r="C2622" s="19" t="n">
        <v>6</v>
      </c>
      <c r="D2622" s="19" t="n">
        <v>2027</v>
      </c>
      <c r="E2622" s="57" t="n">
        <v>3</v>
      </c>
      <c r="F2622" s="29">
        <f>ROUND(((SUMIFS(Calendar!$F$2:$F$9997,Calendar!$B$2:$B$9997,D2622,Calendar!$C$2:$C$9997,C2622)*INDEX(ForeCalc!$B$37:$Y$274,MATCH(_xlfn.CONCAT(H2622," ",I2622),ForeCalc!$A$37:$A$274,0),MATCH(_xlfn.CONCAT(B2622," ",E2622),ForeCalc!$B$36:$Y$36,0))))*VLOOKUP(A2622,Calendar!$A$2:$H$9997,8,FALSE),0)</f>
        <v/>
      </c>
      <c r="G2622" s="29">
        <f>VLOOKUP(A2622,Calendar!$A$1:$H$9997,6,FALSE)-F2622</f>
        <v/>
      </c>
      <c r="H2622" s="19" t="n">
        <v>2</v>
      </c>
      <c r="I2622" s="57" t="n">
        <v>3</v>
      </c>
    </row>
    <row r="2623">
      <c r="A2623" s="62" t="n">
        <v>46542</v>
      </c>
      <c r="B2623" s="3" t="inlineStr">
        <is>
          <t>Week</t>
        </is>
      </c>
      <c r="C2623" s="19" t="n">
        <v>6</v>
      </c>
      <c r="D2623" s="19" t="n">
        <v>2027</v>
      </c>
      <c r="E2623" s="57" t="n">
        <v>3</v>
      </c>
      <c r="F2623" s="29">
        <f>ROUND(((SUMIFS(Calendar!$F$2:$F$9997,Calendar!$B$2:$B$9997,D2623,Calendar!$C$2:$C$9997,C2623)*INDEX(ForeCalc!$B$37:$Y$274,MATCH(_xlfn.CONCAT(H2623," ",I2623),ForeCalc!$A$37:$A$274,0),MATCH(_xlfn.CONCAT(B2623," ",E2623),ForeCalc!$B$36:$Y$36,0))))*VLOOKUP(A2623,Calendar!$A$2:$H$9997,8,FALSE),0)</f>
        <v/>
      </c>
      <c r="G2623" s="29">
        <f>VLOOKUP(A2623,Calendar!$A$1:$H$9997,6,FALSE)-F2623</f>
        <v/>
      </c>
      <c r="H2623" s="19" t="n">
        <v>2</v>
      </c>
      <c r="I2623" s="57" t="n">
        <v>3</v>
      </c>
    </row>
    <row r="2624">
      <c r="A2624" s="62" t="n">
        <v>46543</v>
      </c>
      <c r="B2624" s="3" t="inlineStr">
        <is>
          <t>Sat</t>
        </is>
      </c>
      <c r="C2624" s="19" t="n">
        <v>6</v>
      </c>
      <c r="D2624" s="19" t="n">
        <v>2027</v>
      </c>
      <c r="E2624" s="57" t="n">
        <v>3</v>
      </c>
      <c r="F2624" s="29">
        <f>ROUND(((SUMIFS(Calendar!$F$2:$F$9997,Calendar!$B$2:$B$9997,D2624,Calendar!$C$2:$C$9997,C2624)*INDEX(ForeCalc!$B$37:$Y$274,MATCH(_xlfn.CONCAT(H2624," ",I2624),ForeCalc!$A$37:$A$274,0),MATCH(_xlfn.CONCAT(B2624," ",E2624),ForeCalc!$B$36:$Y$36,0))))*VLOOKUP(A2624,Calendar!$A$2:$H$9997,8,FALSE),0)</f>
        <v/>
      </c>
      <c r="G2624" s="29">
        <f>VLOOKUP(A2624,Calendar!$A$1:$H$9997,6,FALSE)-F2624</f>
        <v/>
      </c>
      <c r="H2624" s="19" t="n">
        <v>2</v>
      </c>
      <c r="I2624" s="57" t="n">
        <v>3</v>
      </c>
    </row>
    <row r="2625">
      <c r="A2625" s="62" t="n">
        <v>46544</v>
      </c>
      <c r="B2625" s="3" t="inlineStr">
        <is>
          <t>Sun</t>
        </is>
      </c>
      <c r="C2625" s="19" t="n">
        <v>6</v>
      </c>
      <c r="D2625" s="19" t="n">
        <v>2027</v>
      </c>
      <c r="E2625" s="57" t="n">
        <v>3</v>
      </c>
      <c r="F2625" s="29">
        <f>ROUND(((SUMIFS(Calendar!$F$2:$F$9997,Calendar!$B$2:$B$9997,D2625,Calendar!$C$2:$C$9997,C2625)*INDEX(ForeCalc!$B$37:$Y$274,MATCH(_xlfn.CONCAT(H2625," ",I2625),ForeCalc!$A$37:$A$274,0),MATCH(_xlfn.CONCAT(B2625," ",E2625),ForeCalc!$B$36:$Y$36,0))))*VLOOKUP(A2625,Calendar!$A$2:$H$9997,8,FALSE),0)</f>
        <v/>
      </c>
      <c r="G2625" s="29">
        <f>VLOOKUP(A2625,Calendar!$A$1:$H$9997,6,FALSE)-F2625</f>
        <v/>
      </c>
      <c r="H2625" s="19" t="n">
        <v>2</v>
      </c>
      <c r="I2625" s="57" t="n">
        <v>3</v>
      </c>
    </row>
    <row r="2626">
      <c r="A2626" s="62" t="n">
        <v>46545</v>
      </c>
      <c r="B2626" s="3" t="inlineStr">
        <is>
          <t>Week</t>
        </is>
      </c>
      <c r="C2626" s="19" t="n">
        <v>6</v>
      </c>
      <c r="D2626" s="19" t="n">
        <v>2027</v>
      </c>
      <c r="E2626" s="57" t="n">
        <v>3</v>
      </c>
      <c r="F2626" s="29">
        <f>ROUND(((SUMIFS(Calendar!$F$2:$F$9997,Calendar!$B$2:$B$9997,D2626,Calendar!$C$2:$C$9997,C2626)*INDEX(ForeCalc!$B$37:$Y$274,MATCH(_xlfn.CONCAT(H2626," ",I2626),ForeCalc!$A$37:$A$274,0),MATCH(_xlfn.CONCAT(B2626," ",E2626),ForeCalc!$B$36:$Y$36,0))))*VLOOKUP(A2626,Calendar!$A$2:$H$9997,8,FALSE),0)</f>
        <v/>
      </c>
      <c r="G2626" s="29">
        <f>VLOOKUP(A2626,Calendar!$A$1:$H$9997,6,FALSE)-F2626</f>
        <v/>
      </c>
      <c r="H2626" s="19" t="n">
        <v>2</v>
      </c>
      <c r="I2626" s="57" t="n">
        <v>3</v>
      </c>
    </row>
    <row r="2627">
      <c r="A2627" s="62" t="n">
        <v>46546</v>
      </c>
      <c r="B2627" s="3" t="inlineStr">
        <is>
          <t>Week</t>
        </is>
      </c>
      <c r="C2627" s="19" t="n">
        <v>6</v>
      </c>
      <c r="D2627" s="19" t="n">
        <v>2027</v>
      </c>
      <c r="E2627" s="57" t="n">
        <v>3</v>
      </c>
      <c r="F2627" s="29">
        <f>ROUND(((SUMIFS(Calendar!$F$2:$F$9997,Calendar!$B$2:$B$9997,D2627,Calendar!$C$2:$C$9997,C2627)*INDEX(ForeCalc!$B$37:$Y$274,MATCH(_xlfn.CONCAT(H2627," ",I2627),ForeCalc!$A$37:$A$274,0),MATCH(_xlfn.CONCAT(B2627," ",E2627),ForeCalc!$B$36:$Y$36,0))))*VLOOKUP(A2627,Calendar!$A$2:$H$9997,8,FALSE),0)</f>
        <v/>
      </c>
      <c r="G2627" s="29">
        <f>VLOOKUP(A2627,Calendar!$A$1:$H$9997,6,FALSE)-F2627</f>
        <v/>
      </c>
      <c r="H2627" s="19" t="n">
        <v>2</v>
      </c>
      <c r="I2627" s="57" t="n">
        <v>3</v>
      </c>
    </row>
    <row r="2628">
      <c r="A2628" s="62" t="n">
        <v>46547</v>
      </c>
      <c r="B2628" s="3" t="inlineStr">
        <is>
          <t>Week</t>
        </is>
      </c>
      <c r="C2628" s="19" t="n">
        <v>6</v>
      </c>
      <c r="D2628" s="19" t="n">
        <v>2027</v>
      </c>
      <c r="E2628" s="57" t="n">
        <v>3</v>
      </c>
      <c r="F2628" s="29">
        <f>ROUND(((SUMIFS(Calendar!$F$2:$F$9997,Calendar!$B$2:$B$9997,D2628,Calendar!$C$2:$C$9997,C2628)*INDEX(ForeCalc!$B$37:$Y$274,MATCH(_xlfn.CONCAT(H2628," ",I2628),ForeCalc!$A$37:$A$274,0),MATCH(_xlfn.CONCAT(B2628," ",E2628),ForeCalc!$B$36:$Y$36,0))))*VLOOKUP(A2628,Calendar!$A$2:$H$9997,8,FALSE),0)</f>
        <v/>
      </c>
      <c r="G2628" s="29">
        <f>VLOOKUP(A2628,Calendar!$A$1:$H$9997,6,FALSE)-F2628</f>
        <v/>
      </c>
      <c r="H2628" s="19" t="n">
        <v>2</v>
      </c>
      <c r="I2628" s="57" t="n">
        <v>3</v>
      </c>
    </row>
    <row r="2629">
      <c r="A2629" s="62" t="n">
        <v>46548</v>
      </c>
      <c r="B2629" s="3" t="inlineStr">
        <is>
          <t>Week</t>
        </is>
      </c>
      <c r="C2629" s="19" t="n">
        <v>6</v>
      </c>
      <c r="D2629" s="19" t="n">
        <v>2027</v>
      </c>
      <c r="E2629" s="57" t="n">
        <v>3</v>
      </c>
      <c r="F2629" s="29">
        <f>ROUND(((SUMIFS(Calendar!$F$2:$F$9997,Calendar!$B$2:$B$9997,D2629,Calendar!$C$2:$C$9997,C2629)*INDEX(ForeCalc!$B$37:$Y$274,MATCH(_xlfn.CONCAT(H2629," ",I2629),ForeCalc!$A$37:$A$274,0),MATCH(_xlfn.CONCAT(B2629," ",E2629),ForeCalc!$B$36:$Y$36,0))))*VLOOKUP(A2629,Calendar!$A$2:$H$9997,8,FALSE),0)</f>
        <v/>
      </c>
      <c r="G2629" s="29">
        <f>VLOOKUP(A2629,Calendar!$A$1:$H$9997,6,FALSE)-F2629</f>
        <v/>
      </c>
      <c r="H2629" s="19" t="n">
        <v>2</v>
      </c>
      <c r="I2629" s="57" t="n">
        <v>3</v>
      </c>
    </row>
    <row r="2630">
      <c r="A2630" s="62" t="n">
        <v>46549</v>
      </c>
      <c r="B2630" s="3" t="inlineStr">
        <is>
          <t>Week</t>
        </is>
      </c>
      <c r="C2630" s="19" t="n">
        <v>6</v>
      </c>
      <c r="D2630" s="19" t="n">
        <v>2027</v>
      </c>
      <c r="E2630" s="57" t="n">
        <v>3</v>
      </c>
      <c r="F2630" s="29">
        <f>ROUND(((SUMIFS(Calendar!$F$2:$F$9997,Calendar!$B$2:$B$9997,D2630,Calendar!$C$2:$C$9997,C2630)*INDEX(ForeCalc!$B$37:$Y$274,MATCH(_xlfn.CONCAT(H2630," ",I2630),ForeCalc!$A$37:$A$274,0),MATCH(_xlfn.CONCAT(B2630," ",E2630),ForeCalc!$B$36:$Y$36,0))))*VLOOKUP(A2630,Calendar!$A$2:$H$9997,8,FALSE),0)</f>
        <v/>
      </c>
      <c r="G2630" s="29">
        <f>VLOOKUP(A2630,Calendar!$A$1:$H$9997,6,FALSE)-F2630</f>
        <v/>
      </c>
      <c r="H2630" s="19" t="n">
        <v>2</v>
      </c>
      <c r="I2630" s="57" t="n">
        <v>3</v>
      </c>
    </row>
    <row r="2631">
      <c r="A2631" s="62" t="n">
        <v>46550</v>
      </c>
      <c r="B2631" s="3" t="inlineStr">
        <is>
          <t>Sat</t>
        </is>
      </c>
      <c r="C2631" s="19" t="n">
        <v>6</v>
      </c>
      <c r="D2631" s="19" t="n">
        <v>2027</v>
      </c>
      <c r="E2631" s="57" t="n">
        <v>3</v>
      </c>
      <c r="F2631" s="29">
        <f>ROUND(((SUMIFS(Calendar!$F$2:$F$9997,Calendar!$B$2:$B$9997,D2631,Calendar!$C$2:$C$9997,C2631)*INDEX(ForeCalc!$B$37:$Y$274,MATCH(_xlfn.CONCAT(H2631," ",I2631),ForeCalc!$A$37:$A$274,0),MATCH(_xlfn.CONCAT(B2631," ",E2631),ForeCalc!$B$36:$Y$36,0))))*VLOOKUP(A2631,Calendar!$A$2:$H$9997,8,FALSE),0)</f>
        <v/>
      </c>
      <c r="G2631" s="29">
        <f>VLOOKUP(A2631,Calendar!$A$1:$H$9997,6,FALSE)-F2631</f>
        <v/>
      </c>
      <c r="H2631" s="19" t="n">
        <v>2</v>
      </c>
      <c r="I2631" s="57" t="n">
        <v>3</v>
      </c>
    </row>
    <row r="2632">
      <c r="A2632" s="62" t="n">
        <v>46551</v>
      </c>
      <c r="B2632" s="3" t="inlineStr">
        <is>
          <t>Sun</t>
        </is>
      </c>
      <c r="C2632" s="19" t="n">
        <v>6</v>
      </c>
      <c r="D2632" s="19" t="n">
        <v>2027</v>
      </c>
      <c r="E2632" s="57" t="n">
        <v>3</v>
      </c>
      <c r="F2632" s="29">
        <f>ROUND(((SUMIFS(Calendar!$F$2:$F$9997,Calendar!$B$2:$B$9997,D2632,Calendar!$C$2:$C$9997,C2632)*INDEX(ForeCalc!$B$37:$Y$274,MATCH(_xlfn.CONCAT(H2632," ",I2632),ForeCalc!$A$37:$A$274,0),MATCH(_xlfn.CONCAT(B2632," ",E2632),ForeCalc!$B$36:$Y$36,0))))*VLOOKUP(A2632,Calendar!$A$2:$H$9997,8,FALSE),0)</f>
        <v/>
      </c>
      <c r="G2632" s="29">
        <f>VLOOKUP(A2632,Calendar!$A$1:$H$9997,6,FALSE)-F2632</f>
        <v/>
      </c>
      <c r="H2632" s="19" t="n">
        <v>2</v>
      </c>
      <c r="I2632" s="57" t="n">
        <v>3</v>
      </c>
    </row>
    <row r="2633">
      <c r="A2633" s="62" t="n">
        <v>46552</v>
      </c>
      <c r="B2633" s="3" t="inlineStr">
        <is>
          <t>Week</t>
        </is>
      </c>
      <c r="C2633" s="19" t="n">
        <v>6</v>
      </c>
      <c r="D2633" s="19" t="n">
        <v>2027</v>
      </c>
      <c r="E2633" s="57" t="n">
        <v>3</v>
      </c>
      <c r="F2633" s="29">
        <f>ROUND(((SUMIFS(Calendar!$F$2:$F$9997,Calendar!$B$2:$B$9997,D2633,Calendar!$C$2:$C$9997,C2633)*INDEX(ForeCalc!$B$37:$Y$274,MATCH(_xlfn.CONCAT(H2633," ",I2633),ForeCalc!$A$37:$A$274,0),MATCH(_xlfn.CONCAT(B2633," ",E2633),ForeCalc!$B$36:$Y$36,0))))*VLOOKUP(A2633,Calendar!$A$2:$H$9997,8,FALSE),0)</f>
        <v/>
      </c>
      <c r="G2633" s="29">
        <f>VLOOKUP(A2633,Calendar!$A$1:$H$9997,6,FALSE)-F2633</f>
        <v/>
      </c>
      <c r="H2633" s="19" t="n">
        <v>2</v>
      </c>
      <c r="I2633" s="57" t="n">
        <v>3</v>
      </c>
    </row>
    <row r="2634">
      <c r="A2634" s="62" t="n">
        <v>46553</v>
      </c>
      <c r="B2634" s="3" t="inlineStr">
        <is>
          <t>Week</t>
        </is>
      </c>
      <c r="C2634" s="19" t="n">
        <v>6</v>
      </c>
      <c r="D2634" s="19" t="n">
        <v>2027</v>
      </c>
      <c r="E2634" s="57" t="n">
        <v>3</v>
      </c>
      <c r="F2634" s="29">
        <f>ROUND(((SUMIFS(Calendar!$F$2:$F$9997,Calendar!$B$2:$B$9997,D2634,Calendar!$C$2:$C$9997,C2634)*INDEX(ForeCalc!$B$37:$Y$274,MATCH(_xlfn.CONCAT(H2634," ",I2634),ForeCalc!$A$37:$A$274,0),MATCH(_xlfn.CONCAT(B2634," ",E2634),ForeCalc!$B$36:$Y$36,0))))*VLOOKUP(A2634,Calendar!$A$2:$H$9997,8,FALSE),0)</f>
        <v/>
      </c>
      <c r="G2634" s="29">
        <f>VLOOKUP(A2634,Calendar!$A$1:$H$9997,6,FALSE)-F2634</f>
        <v/>
      </c>
      <c r="H2634" s="19" t="n">
        <v>2</v>
      </c>
      <c r="I2634" s="57" t="n">
        <v>3</v>
      </c>
    </row>
    <row r="2635">
      <c r="A2635" s="62" t="n">
        <v>46554</v>
      </c>
      <c r="B2635" s="3" t="inlineStr">
        <is>
          <t>Week</t>
        </is>
      </c>
      <c r="C2635" s="19" t="n">
        <v>6</v>
      </c>
      <c r="D2635" s="19" t="n">
        <v>2027</v>
      </c>
      <c r="E2635" s="57" t="n">
        <v>3</v>
      </c>
      <c r="F2635" s="29">
        <f>ROUND(((SUMIFS(Calendar!$F$2:$F$9997,Calendar!$B$2:$B$9997,D2635,Calendar!$C$2:$C$9997,C2635)*INDEX(ForeCalc!$B$37:$Y$274,MATCH(_xlfn.CONCAT(H2635," ",I2635),ForeCalc!$A$37:$A$274,0),MATCH(_xlfn.CONCAT(B2635," ",E2635),ForeCalc!$B$36:$Y$36,0))))*VLOOKUP(A2635,Calendar!$A$2:$H$9997,8,FALSE),0)</f>
        <v/>
      </c>
      <c r="G2635" s="29">
        <f>VLOOKUP(A2635,Calendar!$A$1:$H$9997,6,FALSE)-F2635</f>
        <v/>
      </c>
      <c r="H2635" s="19" t="n">
        <v>2</v>
      </c>
      <c r="I2635" s="57" t="n">
        <v>3</v>
      </c>
    </row>
    <row r="2636">
      <c r="A2636" s="62" t="n">
        <v>46555</v>
      </c>
      <c r="B2636" s="3" t="inlineStr">
        <is>
          <t>Week</t>
        </is>
      </c>
      <c r="C2636" s="19" t="n">
        <v>6</v>
      </c>
      <c r="D2636" s="19" t="n">
        <v>2027</v>
      </c>
      <c r="E2636" s="57" t="n">
        <v>3</v>
      </c>
      <c r="F2636" s="29">
        <f>ROUND(((SUMIFS(Calendar!$F$2:$F$9997,Calendar!$B$2:$B$9997,D2636,Calendar!$C$2:$C$9997,C2636)*INDEX(ForeCalc!$B$37:$Y$274,MATCH(_xlfn.CONCAT(H2636," ",I2636),ForeCalc!$A$37:$A$274,0),MATCH(_xlfn.CONCAT(B2636," ",E2636),ForeCalc!$B$36:$Y$36,0))))*VLOOKUP(A2636,Calendar!$A$2:$H$9997,8,FALSE),0)</f>
        <v/>
      </c>
      <c r="G2636" s="29">
        <f>VLOOKUP(A2636,Calendar!$A$1:$H$9997,6,FALSE)-F2636</f>
        <v/>
      </c>
      <c r="H2636" s="19" t="n">
        <v>2</v>
      </c>
      <c r="I2636" s="57" t="n">
        <v>3</v>
      </c>
    </row>
    <row r="2637">
      <c r="A2637" s="62" t="n">
        <v>46556</v>
      </c>
      <c r="B2637" s="3" t="inlineStr">
        <is>
          <t>Week</t>
        </is>
      </c>
      <c r="C2637" s="19" t="n">
        <v>6</v>
      </c>
      <c r="D2637" s="19" t="n">
        <v>2027</v>
      </c>
      <c r="E2637" s="57" t="n">
        <v>3</v>
      </c>
      <c r="F2637" s="29">
        <f>ROUND(((SUMIFS(Calendar!$F$2:$F$9997,Calendar!$B$2:$B$9997,D2637,Calendar!$C$2:$C$9997,C2637)*INDEX(ForeCalc!$B$37:$Y$274,MATCH(_xlfn.CONCAT(H2637," ",I2637),ForeCalc!$A$37:$A$274,0),MATCH(_xlfn.CONCAT(B2637," ",E2637),ForeCalc!$B$36:$Y$36,0))))*VLOOKUP(A2637,Calendar!$A$2:$H$9997,8,FALSE),0)</f>
        <v/>
      </c>
      <c r="G2637" s="29">
        <f>VLOOKUP(A2637,Calendar!$A$1:$H$9997,6,FALSE)-F2637</f>
        <v/>
      </c>
      <c r="H2637" s="19" t="n">
        <v>2</v>
      </c>
      <c r="I2637" s="57" t="n">
        <v>3</v>
      </c>
    </row>
    <row r="2638">
      <c r="A2638" s="62" t="n">
        <v>46557</v>
      </c>
      <c r="B2638" s="3" t="inlineStr">
        <is>
          <t>Sat</t>
        </is>
      </c>
      <c r="C2638" s="19" t="n">
        <v>6</v>
      </c>
      <c r="D2638" s="19" t="n">
        <v>2027</v>
      </c>
      <c r="E2638" s="57" t="n">
        <v>3</v>
      </c>
      <c r="F2638" s="29">
        <f>ROUND(((SUMIFS(Calendar!$F$2:$F$9997,Calendar!$B$2:$B$9997,D2638,Calendar!$C$2:$C$9997,C2638)*INDEX(ForeCalc!$B$37:$Y$274,MATCH(_xlfn.CONCAT(H2638," ",I2638),ForeCalc!$A$37:$A$274,0),MATCH(_xlfn.CONCAT(B2638," ",E2638),ForeCalc!$B$36:$Y$36,0))))*VLOOKUP(A2638,Calendar!$A$2:$H$9997,8,FALSE),0)</f>
        <v/>
      </c>
      <c r="G2638" s="29">
        <f>VLOOKUP(A2638,Calendar!$A$1:$H$9997,6,FALSE)-F2638</f>
        <v/>
      </c>
      <c r="H2638" s="19" t="n">
        <v>2</v>
      </c>
      <c r="I2638" s="57" t="n">
        <v>3</v>
      </c>
    </row>
    <row r="2639">
      <c r="A2639" s="62" t="n">
        <v>46558</v>
      </c>
      <c r="B2639" s="3" t="inlineStr">
        <is>
          <t>Sun</t>
        </is>
      </c>
      <c r="C2639" s="19" t="n">
        <v>6</v>
      </c>
      <c r="D2639" s="19" t="n">
        <v>2027</v>
      </c>
      <c r="E2639" s="57" t="n">
        <v>3</v>
      </c>
      <c r="F2639" s="29">
        <f>ROUND(((SUMIFS(Calendar!$F$2:$F$9997,Calendar!$B$2:$B$9997,D2639,Calendar!$C$2:$C$9997,C2639)*INDEX(ForeCalc!$B$37:$Y$274,MATCH(_xlfn.CONCAT(H2639," ",I2639),ForeCalc!$A$37:$A$274,0),MATCH(_xlfn.CONCAT(B2639," ",E2639),ForeCalc!$B$36:$Y$36,0))))*VLOOKUP(A2639,Calendar!$A$2:$H$9997,8,FALSE),0)</f>
        <v/>
      </c>
      <c r="G2639" s="29">
        <f>VLOOKUP(A2639,Calendar!$A$1:$H$9997,6,FALSE)-F2639</f>
        <v/>
      </c>
      <c r="H2639" s="19" t="n">
        <v>2</v>
      </c>
      <c r="I2639" s="57" t="n">
        <v>3</v>
      </c>
    </row>
    <row r="2640">
      <c r="A2640" s="62" t="n">
        <v>46559</v>
      </c>
      <c r="B2640" s="3" t="inlineStr">
        <is>
          <t>Week</t>
        </is>
      </c>
      <c r="C2640" s="19" t="n">
        <v>6</v>
      </c>
      <c r="D2640" s="19" t="n">
        <v>2027</v>
      </c>
      <c r="E2640" s="57" t="n">
        <v>3</v>
      </c>
      <c r="F2640" s="29">
        <f>ROUND(((SUMIFS(Calendar!$F$2:$F$9997,Calendar!$B$2:$B$9997,D2640,Calendar!$C$2:$C$9997,C2640)*INDEX(ForeCalc!$B$37:$Y$274,MATCH(_xlfn.CONCAT(H2640," ",I2640),ForeCalc!$A$37:$A$274,0),MATCH(_xlfn.CONCAT(B2640," ",E2640),ForeCalc!$B$36:$Y$36,0))))*VLOOKUP(A2640,Calendar!$A$2:$H$9997,8,FALSE),0)</f>
        <v/>
      </c>
      <c r="G2640" s="29">
        <f>VLOOKUP(A2640,Calendar!$A$1:$H$9997,6,FALSE)-F2640</f>
        <v/>
      </c>
      <c r="H2640" s="19" t="n">
        <v>2</v>
      </c>
      <c r="I2640" s="57" t="n">
        <v>3</v>
      </c>
    </row>
    <row r="2641">
      <c r="A2641" s="62" t="n">
        <v>46560</v>
      </c>
      <c r="B2641" s="3" t="inlineStr">
        <is>
          <t>Week</t>
        </is>
      </c>
      <c r="C2641" s="19" t="n">
        <v>6</v>
      </c>
      <c r="D2641" s="19" t="n">
        <v>2027</v>
      </c>
      <c r="E2641" s="57" t="n">
        <v>3</v>
      </c>
      <c r="F2641" s="29">
        <f>ROUND(((SUMIFS(Calendar!$F$2:$F$9997,Calendar!$B$2:$B$9997,D2641,Calendar!$C$2:$C$9997,C2641)*INDEX(ForeCalc!$B$37:$Y$274,MATCH(_xlfn.CONCAT(H2641," ",I2641),ForeCalc!$A$37:$A$274,0),MATCH(_xlfn.CONCAT(B2641," ",E2641),ForeCalc!$B$36:$Y$36,0))))*VLOOKUP(A2641,Calendar!$A$2:$H$9997,8,FALSE),0)</f>
        <v/>
      </c>
      <c r="G2641" s="29">
        <f>VLOOKUP(A2641,Calendar!$A$1:$H$9997,6,FALSE)-F2641</f>
        <v/>
      </c>
      <c r="H2641" s="19" t="n">
        <v>2</v>
      </c>
      <c r="I2641" s="57" t="n">
        <v>3</v>
      </c>
    </row>
    <row r="2642">
      <c r="A2642" s="62" t="n">
        <v>46561</v>
      </c>
      <c r="B2642" s="3" t="inlineStr">
        <is>
          <t>Week</t>
        </is>
      </c>
      <c r="C2642" s="19" t="n">
        <v>6</v>
      </c>
      <c r="D2642" s="19" t="n">
        <v>2027</v>
      </c>
      <c r="E2642" s="57" t="n">
        <v>3</v>
      </c>
      <c r="F2642" s="29">
        <f>ROUND(((SUMIFS(Calendar!$F$2:$F$9997,Calendar!$B$2:$B$9997,D2642,Calendar!$C$2:$C$9997,C2642)*INDEX(ForeCalc!$B$37:$Y$274,MATCH(_xlfn.CONCAT(H2642," ",I2642),ForeCalc!$A$37:$A$274,0),MATCH(_xlfn.CONCAT(B2642," ",E2642),ForeCalc!$B$36:$Y$36,0))))*VLOOKUP(A2642,Calendar!$A$2:$H$9997,8,FALSE),0)</f>
        <v/>
      </c>
      <c r="G2642" s="29">
        <f>VLOOKUP(A2642,Calendar!$A$1:$H$9997,6,FALSE)-F2642</f>
        <v/>
      </c>
      <c r="H2642" s="19" t="n">
        <v>2</v>
      </c>
      <c r="I2642" s="57" t="n">
        <v>3</v>
      </c>
    </row>
    <row r="2643">
      <c r="A2643" s="62" t="n">
        <v>46562</v>
      </c>
      <c r="B2643" s="3" t="inlineStr">
        <is>
          <t>Week</t>
        </is>
      </c>
      <c r="C2643" s="19" t="n">
        <v>6</v>
      </c>
      <c r="D2643" s="19" t="n">
        <v>2027</v>
      </c>
      <c r="E2643" s="57" t="n">
        <v>3</v>
      </c>
      <c r="F2643" s="29">
        <f>ROUND(((SUMIFS(Calendar!$F$2:$F$9997,Calendar!$B$2:$B$9997,D2643,Calendar!$C$2:$C$9997,C2643)*INDEX(ForeCalc!$B$37:$Y$274,MATCH(_xlfn.CONCAT(H2643," ",I2643),ForeCalc!$A$37:$A$274,0),MATCH(_xlfn.CONCAT(B2643," ",E2643),ForeCalc!$B$36:$Y$36,0))))*VLOOKUP(A2643,Calendar!$A$2:$H$9997,8,FALSE),0)</f>
        <v/>
      </c>
      <c r="G2643" s="29">
        <f>VLOOKUP(A2643,Calendar!$A$1:$H$9997,6,FALSE)-F2643</f>
        <v/>
      </c>
      <c r="H2643" s="19" t="n">
        <v>2</v>
      </c>
      <c r="I2643" s="57" t="n">
        <v>3</v>
      </c>
    </row>
    <row r="2644">
      <c r="A2644" s="62" t="n">
        <v>46563</v>
      </c>
      <c r="B2644" s="3" t="inlineStr">
        <is>
          <t>Week</t>
        </is>
      </c>
      <c r="C2644" s="19" t="n">
        <v>6</v>
      </c>
      <c r="D2644" s="19" t="n">
        <v>2027</v>
      </c>
      <c r="E2644" s="57" t="n">
        <v>3</v>
      </c>
      <c r="F2644" s="29">
        <f>ROUND(((SUMIFS(Calendar!$F$2:$F$9997,Calendar!$B$2:$B$9997,D2644,Calendar!$C$2:$C$9997,C2644)*INDEX(ForeCalc!$B$37:$Y$274,MATCH(_xlfn.CONCAT(H2644," ",I2644),ForeCalc!$A$37:$A$274,0),MATCH(_xlfn.CONCAT(B2644," ",E2644),ForeCalc!$B$36:$Y$36,0))))*VLOOKUP(A2644,Calendar!$A$2:$H$9997,8,FALSE),0)</f>
        <v/>
      </c>
      <c r="G2644" s="29">
        <f>VLOOKUP(A2644,Calendar!$A$1:$H$9997,6,FALSE)-F2644</f>
        <v/>
      </c>
      <c r="H2644" s="19" t="n">
        <v>2</v>
      </c>
      <c r="I2644" s="57" t="n">
        <v>3</v>
      </c>
    </row>
    <row r="2645">
      <c r="A2645" s="62" t="n">
        <v>46564</v>
      </c>
      <c r="B2645" s="3" t="inlineStr">
        <is>
          <t>Sat</t>
        </is>
      </c>
      <c r="C2645" s="19" t="n">
        <v>6</v>
      </c>
      <c r="D2645" s="19" t="n">
        <v>2027</v>
      </c>
      <c r="E2645" s="57" t="n">
        <v>3</v>
      </c>
      <c r="F2645" s="29">
        <f>ROUND(((SUMIFS(Calendar!$F$2:$F$9997,Calendar!$B$2:$B$9997,D2645,Calendar!$C$2:$C$9997,C2645)*INDEX(ForeCalc!$B$37:$Y$274,MATCH(_xlfn.CONCAT(H2645," ",I2645),ForeCalc!$A$37:$A$274,0),MATCH(_xlfn.CONCAT(B2645," ",E2645),ForeCalc!$B$36:$Y$36,0))))*VLOOKUP(A2645,Calendar!$A$2:$H$9997,8,FALSE),0)</f>
        <v/>
      </c>
      <c r="G2645" s="29">
        <f>VLOOKUP(A2645,Calendar!$A$1:$H$9997,6,FALSE)-F2645</f>
        <v/>
      </c>
      <c r="H2645" s="19" t="n">
        <v>2</v>
      </c>
      <c r="I2645" s="57" t="n">
        <v>3</v>
      </c>
    </row>
    <row r="2646">
      <c r="A2646" s="62" t="n">
        <v>46565</v>
      </c>
      <c r="B2646" s="3" t="inlineStr">
        <is>
          <t>Sun</t>
        </is>
      </c>
      <c r="C2646" s="19" t="n">
        <v>6</v>
      </c>
      <c r="D2646" s="19" t="n">
        <v>2027</v>
      </c>
      <c r="E2646" s="57" t="n">
        <v>3</v>
      </c>
      <c r="F2646" s="29">
        <f>ROUND(((SUMIFS(Calendar!$F$2:$F$9997,Calendar!$B$2:$B$9997,D2646,Calendar!$C$2:$C$9997,C2646)*INDEX(ForeCalc!$B$37:$Y$274,MATCH(_xlfn.CONCAT(H2646," ",I2646),ForeCalc!$A$37:$A$274,0),MATCH(_xlfn.CONCAT(B2646," ",E2646),ForeCalc!$B$36:$Y$36,0))))*VLOOKUP(A2646,Calendar!$A$2:$H$9997,8,FALSE),0)</f>
        <v/>
      </c>
      <c r="G2646" s="29">
        <f>VLOOKUP(A2646,Calendar!$A$1:$H$9997,6,FALSE)-F2646</f>
        <v/>
      </c>
      <c r="H2646" s="19" t="n">
        <v>2</v>
      </c>
      <c r="I2646" s="57" t="n">
        <v>3</v>
      </c>
    </row>
    <row r="2647">
      <c r="A2647" s="62" t="n">
        <v>46566</v>
      </c>
      <c r="B2647" s="3" t="inlineStr">
        <is>
          <t>Week</t>
        </is>
      </c>
      <c r="C2647" s="19" t="n">
        <v>6</v>
      </c>
      <c r="D2647" s="19" t="n">
        <v>2027</v>
      </c>
      <c r="E2647" s="57" t="n">
        <v>3</v>
      </c>
      <c r="F2647" s="29">
        <f>ROUND(((SUMIFS(Calendar!$F$2:$F$9997,Calendar!$B$2:$B$9997,D2647,Calendar!$C$2:$C$9997,C2647)*INDEX(ForeCalc!$B$37:$Y$274,MATCH(_xlfn.CONCAT(H2647," ",I2647),ForeCalc!$A$37:$A$274,0),MATCH(_xlfn.CONCAT(B2647," ",E2647),ForeCalc!$B$36:$Y$36,0))))*VLOOKUP(A2647,Calendar!$A$2:$H$9997,8,FALSE),0)</f>
        <v/>
      </c>
      <c r="G2647" s="29">
        <f>VLOOKUP(A2647,Calendar!$A$1:$H$9997,6,FALSE)-F2647</f>
        <v/>
      </c>
      <c r="H2647" s="19" t="n">
        <v>2</v>
      </c>
      <c r="I2647" s="57" t="n">
        <v>3</v>
      </c>
    </row>
    <row r="2648">
      <c r="A2648" s="62" t="n">
        <v>46567</v>
      </c>
      <c r="B2648" s="3" t="inlineStr">
        <is>
          <t>Week</t>
        </is>
      </c>
      <c r="C2648" s="19" t="n">
        <v>6</v>
      </c>
      <c r="D2648" s="19" t="n">
        <v>2027</v>
      </c>
      <c r="E2648" s="57" t="n">
        <v>3</v>
      </c>
      <c r="F2648" s="29">
        <f>ROUND(((SUMIFS(Calendar!$F$2:$F$9997,Calendar!$B$2:$B$9997,D2648,Calendar!$C$2:$C$9997,C2648)*INDEX(ForeCalc!$B$37:$Y$274,MATCH(_xlfn.CONCAT(H2648," ",I2648),ForeCalc!$A$37:$A$274,0),MATCH(_xlfn.CONCAT(B2648," ",E2648),ForeCalc!$B$36:$Y$36,0))))*VLOOKUP(A2648,Calendar!$A$2:$H$9997,8,FALSE),0)</f>
        <v/>
      </c>
      <c r="G2648" s="29">
        <f>VLOOKUP(A2648,Calendar!$A$1:$H$9997,6,FALSE)-F2648</f>
        <v/>
      </c>
      <c r="H2648" s="19" t="n">
        <v>2</v>
      </c>
      <c r="I2648" s="57" t="n">
        <v>3</v>
      </c>
    </row>
    <row r="2649">
      <c r="A2649" s="62" t="n">
        <v>46568</v>
      </c>
      <c r="B2649" s="3" t="inlineStr">
        <is>
          <t>Week</t>
        </is>
      </c>
      <c r="C2649" s="19" t="n">
        <v>6</v>
      </c>
      <c r="D2649" s="19" t="n">
        <v>2027</v>
      </c>
      <c r="E2649" s="57" t="n">
        <v>3</v>
      </c>
      <c r="F2649" s="29">
        <f>ROUND(((SUMIFS(Calendar!$F$2:$F$9997,Calendar!$B$2:$B$9997,D2649,Calendar!$C$2:$C$9997,C2649)*INDEX(ForeCalc!$B$37:$Y$274,MATCH(_xlfn.CONCAT(H2649," ",I2649),ForeCalc!$A$37:$A$274,0),MATCH(_xlfn.CONCAT(B2649," ",E2649),ForeCalc!$B$36:$Y$36,0))))*VLOOKUP(A2649,Calendar!$A$2:$H$9997,8,FALSE),0)</f>
        <v/>
      </c>
      <c r="G2649" s="29">
        <f>VLOOKUP(A2649,Calendar!$A$1:$H$9997,6,FALSE)-F2649</f>
        <v/>
      </c>
      <c r="H2649" s="19" t="n">
        <v>2</v>
      </c>
      <c r="I2649" s="57" t="n">
        <v>3</v>
      </c>
    </row>
    <row r="2650">
      <c r="A2650" s="62" t="n">
        <v>46569</v>
      </c>
      <c r="B2650" s="3" t="inlineStr">
        <is>
          <t>Week</t>
        </is>
      </c>
      <c r="C2650" s="19" t="n">
        <v>7</v>
      </c>
      <c r="D2650" s="19" t="n">
        <v>2027</v>
      </c>
      <c r="E2650" s="57" t="n">
        <v>3</v>
      </c>
      <c r="F2650" s="29">
        <f>ROUND(((SUMIFS(Calendar!$F$2:$F$9997,Calendar!$B$2:$B$9997,D2650,Calendar!$C$2:$C$9997,C2650)*INDEX(ForeCalc!$B$37:$Y$274,MATCH(_xlfn.CONCAT(H2650," ",I2650),ForeCalc!$A$37:$A$274,0),MATCH(_xlfn.CONCAT(B2650," ",E2650),ForeCalc!$B$36:$Y$36,0))))*VLOOKUP(A2650,Calendar!$A$2:$H$9997,8,FALSE),0)</f>
        <v/>
      </c>
      <c r="G2650" s="29">
        <f>VLOOKUP(A2650,Calendar!$A$1:$H$9997,6,FALSE)-F2650</f>
        <v/>
      </c>
      <c r="H2650" s="19" t="n">
        <v>2</v>
      </c>
      <c r="I2650" s="57" t="n">
        <v>4</v>
      </c>
    </row>
    <row r="2651">
      <c r="A2651" s="62" t="n">
        <v>46570</v>
      </c>
      <c r="B2651" s="3" t="inlineStr">
        <is>
          <t>Week</t>
        </is>
      </c>
      <c r="C2651" s="19" t="n">
        <v>7</v>
      </c>
      <c r="D2651" s="19" t="n">
        <v>2027</v>
      </c>
      <c r="E2651" s="57" t="n">
        <v>3</v>
      </c>
      <c r="F2651" s="29">
        <f>ROUND(((SUMIFS(Calendar!$F$2:$F$9997,Calendar!$B$2:$B$9997,D2651,Calendar!$C$2:$C$9997,C2651)*INDEX(ForeCalc!$B$37:$Y$274,MATCH(_xlfn.CONCAT(H2651," ",I2651),ForeCalc!$A$37:$A$274,0),MATCH(_xlfn.CONCAT(B2651," ",E2651),ForeCalc!$B$36:$Y$36,0))))*VLOOKUP(A2651,Calendar!$A$2:$H$9997,8,FALSE),0)</f>
        <v/>
      </c>
      <c r="G2651" s="29">
        <f>VLOOKUP(A2651,Calendar!$A$1:$H$9997,6,FALSE)-F2651</f>
        <v/>
      </c>
      <c r="H2651" s="19" t="n">
        <v>2</v>
      </c>
      <c r="I2651" s="57" t="n">
        <v>4</v>
      </c>
    </row>
    <row r="2652">
      <c r="A2652" s="62" t="n">
        <v>46571</v>
      </c>
      <c r="B2652" s="3" t="inlineStr">
        <is>
          <t>Sat</t>
        </is>
      </c>
      <c r="C2652" s="19" t="n">
        <v>7</v>
      </c>
      <c r="D2652" s="19" t="n">
        <v>2027</v>
      </c>
      <c r="E2652" s="57" t="n">
        <v>3</v>
      </c>
      <c r="F2652" s="29">
        <f>ROUND(((SUMIFS(Calendar!$F$2:$F$9997,Calendar!$B$2:$B$9997,D2652,Calendar!$C$2:$C$9997,C2652)*INDEX(ForeCalc!$B$37:$Y$274,MATCH(_xlfn.CONCAT(H2652," ",I2652),ForeCalc!$A$37:$A$274,0),MATCH(_xlfn.CONCAT(B2652," ",E2652),ForeCalc!$B$36:$Y$36,0))))*VLOOKUP(A2652,Calendar!$A$2:$H$9997,8,FALSE),0)</f>
        <v/>
      </c>
      <c r="G2652" s="29">
        <f>VLOOKUP(A2652,Calendar!$A$1:$H$9997,6,FALSE)-F2652</f>
        <v/>
      </c>
      <c r="H2652" s="19" t="n">
        <v>2</v>
      </c>
      <c r="I2652" s="57" t="n">
        <v>4</v>
      </c>
    </row>
    <row r="2653">
      <c r="A2653" s="62" t="n">
        <v>46572</v>
      </c>
      <c r="B2653" s="3" t="inlineStr">
        <is>
          <t>Sun</t>
        </is>
      </c>
      <c r="C2653" s="19" t="n">
        <v>7</v>
      </c>
      <c r="D2653" s="19" t="n">
        <v>2027</v>
      </c>
      <c r="E2653" s="57" t="n">
        <v>3</v>
      </c>
      <c r="F2653" s="29">
        <f>ROUND(((SUMIFS(Calendar!$F$2:$F$9997,Calendar!$B$2:$B$9997,D2653,Calendar!$C$2:$C$9997,C2653)*INDEX(ForeCalc!$B$37:$Y$274,MATCH(_xlfn.CONCAT(H2653," ",I2653),ForeCalc!$A$37:$A$274,0),MATCH(_xlfn.CONCAT(B2653," ",E2653),ForeCalc!$B$36:$Y$36,0))))*VLOOKUP(A2653,Calendar!$A$2:$H$9997,8,FALSE),0)</f>
        <v/>
      </c>
      <c r="G2653" s="29">
        <f>VLOOKUP(A2653,Calendar!$A$1:$H$9997,6,FALSE)-F2653</f>
        <v/>
      </c>
      <c r="H2653" s="19" t="n">
        <v>2</v>
      </c>
      <c r="I2653" s="57" t="n">
        <v>4</v>
      </c>
    </row>
    <row r="2654">
      <c r="A2654" s="62" t="n">
        <v>46573</v>
      </c>
      <c r="B2654" s="3" t="inlineStr">
        <is>
          <t>Week</t>
        </is>
      </c>
      <c r="C2654" s="19" t="n">
        <v>7</v>
      </c>
      <c r="D2654" s="19" t="n">
        <v>2027</v>
      </c>
      <c r="E2654" s="57" t="n">
        <v>3</v>
      </c>
      <c r="F2654" s="29">
        <f>ROUND(((SUMIFS(Calendar!$F$2:$F$9997,Calendar!$B$2:$B$9997,D2654,Calendar!$C$2:$C$9997,C2654)*INDEX(ForeCalc!$B$37:$Y$274,MATCH(_xlfn.CONCAT(H2654," ",I2654),ForeCalc!$A$37:$A$274,0),MATCH(_xlfn.CONCAT(B2654," ",E2654),ForeCalc!$B$36:$Y$36,0))))*VLOOKUP(A2654,Calendar!$A$2:$H$9997,8,FALSE),0)</f>
        <v/>
      </c>
      <c r="G2654" s="29">
        <f>VLOOKUP(A2654,Calendar!$A$1:$H$9997,6,FALSE)-F2654</f>
        <v/>
      </c>
      <c r="H2654" s="19" t="n">
        <v>2</v>
      </c>
      <c r="I2654" s="57" t="n">
        <v>4</v>
      </c>
    </row>
    <row r="2655">
      <c r="A2655" s="62" t="n">
        <v>46574</v>
      </c>
      <c r="B2655" s="3" t="inlineStr">
        <is>
          <t>Week</t>
        </is>
      </c>
      <c r="C2655" s="19" t="n">
        <v>7</v>
      </c>
      <c r="D2655" s="19" t="n">
        <v>2027</v>
      </c>
      <c r="E2655" s="57" t="n">
        <v>3</v>
      </c>
      <c r="F2655" s="29">
        <f>ROUND(((SUMIFS(Calendar!$F$2:$F$9997,Calendar!$B$2:$B$9997,D2655,Calendar!$C$2:$C$9997,C2655)*INDEX(ForeCalc!$B$37:$Y$274,MATCH(_xlfn.CONCAT(H2655," ",I2655),ForeCalc!$A$37:$A$274,0),MATCH(_xlfn.CONCAT(B2655," ",E2655),ForeCalc!$B$36:$Y$36,0))))*VLOOKUP(A2655,Calendar!$A$2:$H$9997,8,FALSE),0)</f>
        <v/>
      </c>
      <c r="G2655" s="29">
        <f>VLOOKUP(A2655,Calendar!$A$1:$H$9997,6,FALSE)-F2655</f>
        <v/>
      </c>
      <c r="H2655" s="19" t="n">
        <v>2</v>
      </c>
      <c r="I2655" s="57" t="n">
        <v>4</v>
      </c>
    </row>
    <row r="2656">
      <c r="A2656" s="62" t="n">
        <v>46575</v>
      </c>
      <c r="B2656" s="3" t="inlineStr">
        <is>
          <t>Week</t>
        </is>
      </c>
      <c r="C2656" s="19" t="n">
        <v>7</v>
      </c>
      <c r="D2656" s="19" t="n">
        <v>2027</v>
      </c>
      <c r="E2656" s="57" t="n">
        <v>3</v>
      </c>
      <c r="F2656" s="29">
        <f>ROUND(((SUMIFS(Calendar!$F$2:$F$9997,Calendar!$B$2:$B$9997,D2656,Calendar!$C$2:$C$9997,C2656)*INDEX(ForeCalc!$B$37:$Y$274,MATCH(_xlfn.CONCAT(H2656," ",I2656),ForeCalc!$A$37:$A$274,0),MATCH(_xlfn.CONCAT(B2656," ",E2656),ForeCalc!$B$36:$Y$36,0))))*VLOOKUP(A2656,Calendar!$A$2:$H$9997,8,FALSE),0)</f>
        <v/>
      </c>
      <c r="G2656" s="29">
        <f>VLOOKUP(A2656,Calendar!$A$1:$H$9997,6,FALSE)-F2656</f>
        <v/>
      </c>
      <c r="H2656" s="19" t="n">
        <v>2</v>
      </c>
      <c r="I2656" s="57" t="n">
        <v>4</v>
      </c>
    </row>
    <row r="2657">
      <c r="A2657" s="62" t="n">
        <v>46576</v>
      </c>
      <c r="B2657" s="3" t="inlineStr">
        <is>
          <t>Week</t>
        </is>
      </c>
      <c r="C2657" s="19" t="n">
        <v>7</v>
      </c>
      <c r="D2657" s="19" t="n">
        <v>2027</v>
      </c>
      <c r="E2657" s="57" t="n">
        <v>3</v>
      </c>
      <c r="F2657" s="29">
        <f>ROUND(((SUMIFS(Calendar!$F$2:$F$9997,Calendar!$B$2:$B$9997,D2657,Calendar!$C$2:$C$9997,C2657)*INDEX(ForeCalc!$B$37:$Y$274,MATCH(_xlfn.CONCAT(H2657," ",I2657),ForeCalc!$A$37:$A$274,0),MATCH(_xlfn.CONCAT(B2657," ",E2657),ForeCalc!$B$36:$Y$36,0))))*VLOOKUP(A2657,Calendar!$A$2:$H$9997,8,FALSE),0)</f>
        <v/>
      </c>
      <c r="G2657" s="29">
        <f>VLOOKUP(A2657,Calendar!$A$1:$H$9997,6,FALSE)-F2657</f>
        <v/>
      </c>
      <c r="H2657" s="19" t="n">
        <v>2</v>
      </c>
      <c r="I2657" s="57" t="n">
        <v>4</v>
      </c>
    </row>
    <row r="2658">
      <c r="A2658" s="62" t="n">
        <v>46577</v>
      </c>
      <c r="B2658" s="3" t="inlineStr">
        <is>
          <t>Week</t>
        </is>
      </c>
      <c r="C2658" s="19" t="n">
        <v>7</v>
      </c>
      <c r="D2658" s="19" t="n">
        <v>2027</v>
      </c>
      <c r="E2658" s="57" t="n">
        <v>3</v>
      </c>
      <c r="F2658" s="29">
        <f>ROUND(((SUMIFS(Calendar!$F$2:$F$9997,Calendar!$B$2:$B$9997,D2658,Calendar!$C$2:$C$9997,C2658)*INDEX(ForeCalc!$B$37:$Y$274,MATCH(_xlfn.CONCAT(H2658," ",I2658),ForeCalc!$A$37:$A$274,0),MATCH(_xlfn.CONCAT(B2658," ",E2658),ForeCalc!$B$36:$Y$36,0))))*VLOOKUP(A2658,Calendar!$A$2:$H$9997,8,FALSE),0)</f>
        <v/>
      </c>
      <c r="G2658" s="29">
        <f>VLOOKUP(A2658,Calendar!$A$1:$H$9997,6,FALSE)-F2658</f>
        <v/>
      </c>
      <c r="H2658" s="19" t="n">
        <v>2</v>
      </c>
      <c r="I2658" s="57" t="n">
        <v>4</v>
      </c>
    </row>
    <row r="2659">
      <c r="A2659" s="62" t="n">
        <v>46578</v>
      </c>
      <c r="B2659" s="3" t="inlineStr">
        <is>
          <t>Sat</t>
        </is>
      </c>
      <c r="C2659" s="19" t="n">
        <v>7</v>
      </c>
      <c r="D2659" s="19" t="n">
        <v>2027</v>
      </c>
      <c r="E2659" s="57" t="n">
        <v>3</v>
      </c>
      <c r="F2659" s="29">
        <f>ROUND(((SUMIFS(Calendar!$F$2:$F$9997,Calendar!$B$2:$B$9997,D2659,Calendar!$C$2:$C$9997,C2659)*INDEX(ForeCalc!$B$37:$Y$274,MATCH(_xlfn.CONCAT(H2659," ",I2659),ForeCalc!$A$37:$A$274,0),MATCH(_xlfn.CONCAT(B2659," ",E2659),ForeCalc!$B$36:$Y$36,0))))*VLOOKUP(A2659,Calendar!$A$2:$H$9997,8,FALSE),0)</f>
        <v/>
      </c>
      <c r="G2659" s="29">
        <f>VLOOKUP(A2659,Calendar!$A$1:$H$9997,6,FALSE)-F2659</f>
        <v/>
      </c>
      <c r="H2659" s="19" t="n">
        <v>2</v>
      </c>
      <c r="I2659" s="57" t="n">
        <v>4</v>
      </c>
    </row>
    <row r="2660">
      <c r="A2660" s="62" t="n">
        <v>46579</v>
      </c>
      <c r="B2660" s="3" t="inlineStr">
        <is>
          <t>Sun</t>
        </is>
      </c>
      <c r="C2660" s="19" t="n">
        <v>7</v>
      </c>
      <c r="D2660" s="19" t="n">
        <v>2027</v>
      </c>
      <c r="E2660" s="57" t="n">
        <v>3</v>
      </c>
      <c r="F2660" s="29">
        <f>ROUND(((SUMIFS(Calendar!$F$2:$F$9997,Calendar!$B$2:$B$9997,D2660,Calendar!$C$2:$C$9997,C2660)*INDEX(ForeCalc!$B$37:$Y$274,MATCH(_xlfn.CONCAT(H2660," ",I2660),ForeCalc!$A$37:$A$274,0),MATCH(_xlfn.CONCAT(B2660," ",E2660),ForeCalc!$B$36:$Y$36,0))))*VLOOKUP(A2660,Calendar!$A$2:$H$9997,8,FALSE),0)</f>
        <v/>
      </c>
      <c r="G2660" s="29">
        <f>VLOOKUP(A2660,Calendar!$A$1:$H$9997,6,FALSE)-F2660</f>
        <v/>
      </c>
      <c r="H2660" s="19" t="n">
        <v>2</v>
      </c>
      <c r="I2660" s="57" t="n">
        <v>4</v>
      </c>
    </row>
    <row r="2661">
      <c r="A2661" s="62" t="n">
        <v>46580</v>
      </c>
      <c r="B2661" s="3" t="inlineStr">
        <is>
          <t>Week</t>
        </is>
      </c>
      <c r="C2661" s="19" t="n">
        <v>7</v>
      </c>
      <c r="D2661" s="19" t="n">
        <v>2027</v>
      </c>
      <c r="E2661" s="57" t="n">
        <v>3</v>
      </c>
      <c r="F2661" s="29">
        <f>ROUND(((SUMIFS(Calendar!$F$2:$F$9997,Calendar!$B$2:$B$9997,D2661,Calendar!$C$2:$C$9997,C2661)*INDEX(ForeCalc!$B$37:$Y$274,MATCH(_xlfn.CONCAT(H2661," ",I2661),ForeCalc!$A$37:$A$274,0),MATCH(_xlfn.CONCAT(B2661," ",E2661),ForeCalc!$B$36:$Y$36,0))))*VLOOKUP(A2661,Calendar!$A$2:$H$9997,8,FALSE),0)</f>
        <v/>
      </c>
      <c r="G2661" s="29">
        <f>VLOOKUP(A2661,Calendar!$A$1:$H$9997,6,FALSE)-F2661</f>
        <v/>
      </c>
      <c r="H2661" s="19" t="n">
        <v>2</v>
      </c>
      <c r="I2661" s="57" t="n">
        <v>4</v>
      </c>
    </row>
    <row r="2662">
      <c r="A2662" s="62" t="n">
        <v>46581</v>
      </c>
      <c r="B2662" s="3" t="inlineStr">
        <is>
          <t>Week</t>
        </is>
      </c>
      <c r="C2662" s="19" t="n">
        <v>7</v>
      </c>
      <c r="D2662" s="19" t="n">
        <v>2027</v>
      </c>
      <c r="E2662" s="57" t="n">
        <v>3</v>
      </c>
      <c r="F2662" s="29">
        <f>ROUND(((SUMIFS(Calendar!$F$2:$F$9997,Calendar!$B$2:$B$9997,D2662,Calendar!$C$2:$C$9997,C2662)*INDEX(ForeCalc!$B$37:$Y$274,MATCH(_xlfn.CONCAT(H2662," ",I2662),ForeCalc!$A$37:$A$274,0),MATCH(_xlfn.CONCAT(B2662," ",E2662),ForeCalc!$B$36:$Y$36,0))))*VLOOKUP(A2662,Calendar!$A$2:$H$9997,8,FALSE),0)</f>
        <v/>
      </c>
      <c r="G2662" s="29">
        <f>VLOOKUP(A2662,Calendar!$A$1:$H$9997,6,FALSE)-F2662</f>
        <v/>
      </c>
      <c r="H2662" s="19" t="n">
        <v>2</v>
      </c>
      <c r="I2662" s="57" t="n">
        <v>4</v>
      </c>
    </row>
    <row r="2663">
      <c r="A2663" s="62" t="n">
        <v>46582</v>
      </c>
      <c r="B2663" s="3" t="inlineStr">
        <is>
          <t>Week</t>
        </is>
      </c>
      <c r="C2663" s="19" t="n">
        <v>7</v>
      </c>
      <c r="D2663" s="19" t="n">
        <v>2027</v>
      </c>
      <c r="E2663" s="57" t="n">
        <v>3</v>
      </c>
      <c r="F2663" s="29">
        <f>ROUND(((SUMIFS(Calendar!$F$2:$F$9997,Calendar!$B$2:$B$9997,D2663,Calendar!$C$2:$C$9997,C2663)*INDEX(ForeCalc!$B$37:$Y$274,MATCH(_xlfn.CONCAT(H2663," ",I2663),ForeCalc!$A$37:$A$274,0),MATCH(_xlfn.CONCAT(B2663," ",E2663),ForeCalc!$B$36:$Y$36,0))))*VLOOKUP(A2663,Calendar!$A$2:$H$9997,8,FALSE),0)</f>
        <v/>
      </c>
      <c r="G2663" s="29">
        <f>VLOOKUP(A2663,Calendar!$A$1:$H$9997,6,FALSE)-F2663</f>
        <v/>
      </c>
      <c r="H2663" s="19" t="n">
        <v>2</v>
      </c>
      <c r="I2663" s="57" t="n">
        <v>4</v>
      </c>
    </row>
    <row r="2664">
      <c r="A2664" s="62" t="n">
        <v>46583</v>
      </c>
      <c r="B2664" s="3" t="inlineStr">
        <is>
          <t>Week</t>
        </is>
      </c>
      <c r="C2664" s="19" t="n">
        <v>7</v>
      </c>
      <c r="D2664" s="19" t="n">
        <v>2027</v>
      </c>
      <c r="E2664" s="57" t="n">
        <v>3</v>
      </c>
      <c r="F2664" s="29">
        <f>ROUND(((SUMIFS(Calendar!$F$2:$F$9997,Calendar!$B$2:$B$9997,D2664,Calendar!$C$2:$C$9997,C2664)*INDEX(ForeCalc!$B$37:$Y$274,MATCH(_xlfn.CONCAT(H2664," ",I2664),ForeCalc!$A$37:$A$274,0),MATCH(_xlfn.CONCAT(B2664," ",E2664),ForeCalc!$B$36:$Y$36,0))))*VLOOKUP(A2664,Calendar!$A$2:$H$9997,8,FALSE),0)</f>
        <v/>
      </c>
      <c r="G2664" s="29">
        <f>VLOOKUP(A2664,Calendar!$A$1:$H$9997,6,FALSE)-F2664</f>
        <v/>
      </c>
      <c r="H2664" s="19" t="n">
        <v>2</v>
      </c>
      <c r="I2664" s="57" t="n">
        <v>4</v>
      </c>
    </row>
    <row r="2665">
      <c r="A2665" s="62" t="n">
        <v>46584</v>
      </c>
      <c r="B2665" s="3" t="inlineStr">
        <is>
          <t>Week</t>
        </is>
      </c>
      <c r="C2665" s="19" t="n">
        <v>7</v>
      </c>
      <c r="D2665" s="19" t="n">
        <v>2027</v>
      </c>
      <c r="E2665" s="57" t="n">
        <v>3</v>
      </c>
      <c r="F2665" s="29">
        <f>ROUND(((SUMIFS(Calendar!$F$2:$F$9997,Calendar!$B$2:$B$9997,D2665,Calendar!$C$2:$C$9997,C2665)*INDEX(ForeCalc!$B$37:$Y$274,MATCH(_xlfn.CONCAT(H2665," ",I2665),ForeCalc!$A$37:$A$274,0),MATCH(_xlfn.CONCAT(B2665," ",E2665),ForeCalc!$B$36:$Y$36,0))))*VLOOKUP(A2665,Calendar!$A$2:$H$9997,8,FALSE),0)</f>
        <v/>
      </c>
      <c r="G2665" s="29">
        <f>VLOOKUP(A2665,Calendar!$A$1:$H$9997,6,FALSE)-F2665</f>
        <v/>
      </c>
      <c r="H2665" s="19" t="n">
        <v>2</v>
      </c>
      <c r="I2665" s="57" t="n">
        <v>4</v>
      </c>
    </row>
    <row r="2666">
      <c r="A2666" s="62" t="n">
        <v>46585</v>
      </c>
      <c r="B2666" s="3" t="inlineStr">
        <is>
          <t>Sat</t>
        </is>
      </c>
      <c r="C2666" s="19" t="n">
        <v>7</v>
      </c>
      <c r="D2666" s="19" t="n">
        <v>2027</v>
      </c>
      <c r="E2666" s="57" t="n">
        <v>3</v>
      </c>
      <c r="F2666" s="29">
        <f>ROUND(((SUMIFS(Calendar!$F$2:$F$9997,Calendar!$B$2:$B$9997,D2666,Calendar!$C$2:$C$9997,C2666)*INDEX(ForeCalc!$B$37:$Y$274,MATCH(_xlfn.CONCAT(H2666," ",I2666),ForeCalc!$A$37:$A$274,0),MATCH(_xlfn.CONCAT(B2666," ",E2666),ForeCalc!$B$36:$Y$36,0))))*VLOOKUP(A2666,Calendar!$A$2:$H$9997,8,FALSE),0)</f>
        <v/>
      </c>
      <c r="G2666" s="29">
        <f>VLOOKUP(A2666,Calendar!$A$1:$H$9997,6,FALSE)-F2666</f>
        <v/>
      </c>
      <c r="H2666" s="19" t="n">
        <v>2</v>
      </c>
      <c r="I2666" s="57" t="n">
        <v>4</v>
      </c>
    </row>
    <row r="2667">
      <c r="A2667" s="62" t="n">
        <v>46586</v>
      </c>
      <c r="B2667" s="3" t="inlineStr">
        <is>
          <t>Sun</t>
        </is>
      </c>
      <c r="C2667" s="19" t="n">
        <v>7</v>
      </c>
      <c r="D2667" s="19" t="n">
        <v>2027</v>
      </c>
      <c r="E2667" s="57" t="n">
        <v>3</v>
      </c>
      <c r="F2667" s="29">
        <f>ROUND(((SUMIFS(Calendar!$F$2:$F$9997,Calendar!$B$2:$B$9997,D2667,Calendar!$C$2:$C$9997,C2667)*INDEX(ForeCalc!$B$37:$Y$274,MATCH(_xlfn.CONCAT(H2667," ",I2667),ForeCalc!$A$37:$A$274,0),MATCH(_xlfn.CONCAT(B2667," ",E2667),ForeCalc!$B$36:$Y$36,0))))*VLOOKUP(A2667,Calendar!$A$2:$H$9997,8,FALSE),0)</f>
        <v/>
      </c>
      <c r="G2667" s="29">
        <f>VLOOKUP(A2667,Calendar!$A$1:$H$9997,6,FALSE)-F2667</f>
        <v/>
      </c>
      <c r="H2667" s="19" t="n">
        <v>2</v>
      </c>
      <c r="I2667" s="57" t="n">
        <v>4</v>
      </c>
    </row>
    <row r="2668">
      <c r="A2668" s="62" t="n">
        <v>46587</v>
      </c>
      <c r="B2668" s="3" t="inlineStr">
        <is>
          <t>Week</t>
        </is>
      </c>
      <c r="C2668" s="19" t="n">
        <v>7</v>
      </c>
      <c r="D2668" s="19" t="n">
        <v>2027</v>
      </c>
      <c r="E2668" s="57" t="n">
        <v>3</v>
      </c>
      <c r="F2668" s="29">
        <f>ROUND(((SUMIFS(Calendar!$F$2:$F$9997,Calendar!$B$2:$B$9997,D2668,Calendar!$C$2:$C$9997,C2668)*INDEX(ForeCalc!$B$37:$Y$274,MATCH(_xlfn.CONCAT(H2668," ",I2668),ForeCalc!$A$37:$A$274,0),MATCH(_xlfn.CONCAT(B2668," ",E2668),ForeCalc!$B$36:$Y$36,0))))*VLOOKUP(A2668,Calendar!$A$2:$H$9997,8,FALSE),0)</f>
        <v/>
      </c>
      <c r="G2668" s="29">
        <f>VLOOKUP(A2668,Calendar!$A$1:$H$9997,6,FALSE)-F2668</f>
        <v/>
      </c>
      <c r="H2668" s="19" t="n">
        <v>2</v>
      </c>
      <c r="I2668" s="57" t="n">
        <v>4</v>
      </c>
    </row>
    <row r="2669">
      <c r="A2669" s="62" t="n">
        <v>46588</v>
      </c>
      <c r="B2669" s="3" t="inlineStr">
        <is>
          <t>Week</t>
        </is>
      </c>
      <c r="C2669" s="19" t="n">
        <v>7</v>
      </c>
      <c r="D2669" s="19" t="n">
        <v>2027</v>
      </c>
      <c r="E2669" s="57" t="n">
        <v>3</v>
      </c>
      <c r="F2669" s="29">
        <f>ROUND(((SUMIFS(Calendar!$F$2:$F$9997,Calendar!$B$2:$B$9997,D2669,Calendar!$C$2:$C$9997,C2669)*INDEX(ForeCalc!$B$37:$Y$274,MATCH(_xlfn.CONCAT(H2669," ",I2669),ForeCalc!$A$37:$A$274,0),MATCH(_xlfn.CONCAT(B2669," ",E2669),ForeCalc!$B$36:$Y$36,0))))*VLOOKUP(A2669,Calendar!$A$2:$H$9997,8,FALSE),0)</f>
        <v/>
      </c>
      <c r="G2669" s="29">
        <f>VLOOKUP(A2669,Calendar!$A$1:$H$9997,6,FALSE)-F2669</f>
        <v/>
      </c>
      <c r="H2669" s="19" t="n">
        <v>2</v>
      </c>
      <c r="I2669" s="57" t="n">
        <v>4</v>
      </c>
    </row>
    <row r="2670">
      <c r="A2670" s="62" t="n">
        <v>46589</v>
      </c>
      <c r="B2670" s="3" t="inlineStr">
        <is>
          <t>Week</t>
        </is>
      </c>
      <c r="C2670" s="19" t="n">
        <v>7</v>
      </c>
      <c r="D2670" s="19" t="n">
        <v>2027</v>
      </c>
      <c r="E2670" s="57" t="n">
        <v>3</v>
      </c>
      <c r="F2670" s="29">
        <f>ROUND(((SUMIFS(Calendar!$F$2:$F$9997,Calendar!$B$2:$B$9997,D2670,Calendar!$C$2:$C$9997,C2670)*INDEX(ForeCalc!$B$37:$Y$274,MATCH(_xlfn.CONCAT(H2670," ",I2670),ForeCalc!$A$37:$A$274,0),MATCH(_xlfn.CONCAT(B2670," ",E2670),ForeCalc!$B$36:$Y$36,0))))*VLOOKUP(A2670,Calendar!$A$2:$H$9997,8,FALSE),0)</f>
        <v/>
      </c>
      <c r="G2670" s="29">
        <f>VLOOKUP(A2670,Calendar!$A$1:$H$9997,6,FALSE)-F2670</f>
        <v/>
      </c>
      <c r="H2670" s="19" t="n">
        <v>2</v>
      </c>
      <c r="I2670" s="57" t="n">
        <v>4</v>
      </c>
    </row>
    <row r="2671">
      <c r="A2671" s="62" t="n">
        <v>46590</v>
      </c>
      <c r="B2671" s="3" t="inlineStr">
        <is>
          <t>Week</t>
        </is>
      </c>
      <c r="C2671" s="19" t="n">
        <v>7</v>
      </c>
      <c r="D2671" s="19" t="n">
        <v>2027</v>
      </c>
      <c r="E2671" s="57" t="n">
        <v>3</v>
      </c>
      <c r="F2671" s="29">
        <f>ROUND(((SUMIFS(Calendar!$F$2:$F$9997,Calendar!$B$2:$B$9997,D2671,Calendar!$C$2:$C$9997,C2671)*INDEX(ForeCalc!$B$37:$Y$274,MATCH(_xlfn.CONCAT(H2671," ",I2671),ForeCalc!$A$37:$A$274,0),MATCH(_xlfn.CONCAT(B2671," ",E2671),ForeCalc!$B$36:$Y$36,0))))*VLOOKUP(A2671,Calendar!$A$2:$H$9997,8,FALSE),0)</f>
        <v/>
      </c>
      <c r="G2671" s="29">
        <f>VLOOKUP(A2671,Calendar!$A$1:$H$9997,6,FALSE)-F2671</f>
        <v/>
      </c>
      <c r="H2671" s="19" t="n">
        <v>2</v>
      </c>
      <c r="I2671" s="57" t="n">
        <v>4</v>
      </c>
    </row>
    <row r="2672">
      <c r="A2672" s="62" t="n">
        <v>46591</v>
      </c>
      <c r="B2672" s="3" t="inlineStr">
        <is>
          <t>Week</t>
        </is>
      </c>
      <c r="C2672" s="19" t="n">
        <v>7</v>
      </c>
      <c r="D2672" s="19" t="n">
        <v>2027</v>
      </c>
      <c r="E2672" s="57" t="n">
        <v>3</v>
      </c>
      <c r="F2672" s="29">
        <f>ROUND(((SUMIFS(Calendar!$F$2:$F$9997,Calendar!$B$2:$B$9997,D2672,Calendar!$C$2:$C$9997,C2672)*INDEX(ForeCalc!$B$37:$Y$274,MATCH(_xlfn.CONCAT(H2672," ",I2672),ForeCalc!$A$37:$A$274,0),MATCH(_xlfn.CONCAT(B2672," ",E2672),ForeCalc!$B$36:$Y$36,0))))*VLOOKUP(A2672,Calendar!$A$2:$H$9997,8,FALSE),0)</f>
        <v/>
      </c>
      <c r="G2672" s="29">
        <f>VLOOKUP(A2672,Calendar!$A$1:$H$9997,6,FALSE)-F2672</f>
        <v/>
      </c>
      <c r="H2672" s="19" t="n">
        <v>2</v>
      </c>
      <c r="I2672" s="57" t="n">
        <v>4</v>
      </c>
    </row>
    <row r="2673">
      <c r="A2673" s="62" t="n">
        <v>46592</v>
      </c>
      <c r="B2673" s="3" t="inlineStr">
        <is>
          <t>Sat</t>
        </is>
      </c>
      <c r="C2673" s="19" t="n">
        <v>7</v>
      </c>
      <c r="D2673" s="19" t="n">
        <v>2027</v>
      </c>
      <c r="E2673" s="57" t="n">
        <v>3</v>
      </c>
      <c r="F2673" s="29">
        <f>ROUND(((SUMIFS(Calendar!$F$2:$F$9997,Calendar!$B$2:$B$9997,D2673,Calendar!$C$2:$C$9997,C2673)*INDEX(ForeCalc!$B$37:$Y$274,MATCH(_xlfn.CONCAT(H2673," ",I2673),ForeCalc!$A$37:$A$274,0),MATCH(_xlfn.CONCAT(B2673," ",E2673),ForeCalc!$B$36:$Y$36,0))))*VLOOKUP(A2673,Calendar!$A$2:$H$9997,8,FALSE),0)</f>
        <v/>
      </c>
      <c r="G2673" s="29">
        <f>VLOOKUP(A2673,Calendar!$A$1:$H$9997,6,FALSE)-F2673</f>
        <v/>
      </c>
      <c r="H2673" s="19" t="n">
        <v>2</v>
      </c>
      <c r="I2673" s="57" t="n">
        <v>4</v>
      </c>
    </row>
    <row r="2674">
      <c r="A2674" s="62" t="n">
        <v>46593</v>
      </c>
      <c r="B2674" s="3" t="inlineStr">
        <is>
          <t>Sun</t>
        </is>
      </c>
      <c r="C2674" s="19" t="n">
        <v>7</v>
      </c>
      <c r="D2674" s="19" t="n">
        <v>2027</v>
      </c>
      <c r="E2674" s="57" t="n">
        <v>3</v>
      </c>
      <c r="F2674" s="29">
        <f>ROUND(((SUMIFS(Calendar!$F$2:$F$9997,Calendar!$B$2:$B$9997,D2674,Calendar!$C$2:$C$9997,C2674)*INDEX(ForeCalc!$B$37:$Y$274,MATCH(_xlfn.CONCAT(H2674," ",I2674),ForeCalc!$A$37:$A$274,0),MATCH(_xlfn.CONCAT(B2674," ",E2674),ForeCalc!$B$36:$Y$36,0))))*VLOOKUP(A2674,Calendar!$A$2:$H$9997,8,FALSE),0)</f>
        <v/>
      </c>
      <c r="G2674" s="29">
        <f>VLOOKUP(A2674,Calendar!$A$1:$H$9997,6,FALSE)-F2674</f>
        <v/>
      </c>
      <c r="H2674" s="19" t="n">
        <v>2</v>
      </c>
      <c r="I2674" s="57" t="n">
        <v>4</v>
      </c>
    </row>
    <row r="2675">
      <c r="A2675" s="62" t="n">
        <v>46594</v>
      </c>
      <c r="B2675" s="3" t="inlineStr">
        <is>
          <t>Week</t>
        </is>
      </c>
      <c r="C2675" s="19" t="n">
        <v>7</v>
      </c>
      <c r="D2675" s="19" t="n">
        <v>2027</v>
      </c>
      <c r="E2675" s="57" t="n">
        <v>3</v>
      </c>
      <c r="F2675" s="29">
        <f>ROUND(((SUMIFS(Calendar!$F$2:$F$9997,Calendar!$B$2:$B$9997,D2675,Calendar!$C$2:$C$9997,C2675)*INDEX(ForeCalc!$B$37:$Y$274,MATCH(_xlfn.CONCAT(H2675," ",I2675),ForeCalc!$A$37:$A$274,0),MATCH(_xlfn.CONCAT(B2675," ",E2675),ForeCalc!$B$36:$Y$36,0))))*VLOOKUP(A2675,Calendar!$A$2:$H$9997,8,FALSE),0)</f>
        <v/>
      </c>
      <c r="G2675" s="29">
        <f>VLOOKUP(A2675,Calendar!$A$1:$H$9997,6,FALSE)-F2675</f>
        <v/>
      </c>
      <c r="H2675" s="19" t="n">
        <v>2</v>
      </c>
      <c r="I2675" s="57" t="n">
        <v>4</v>
      </c>
    </row>
    <row r="2676">
      <c r="A2676" s="62" t="n">
        <v>46595</v>
      </c>
      <c r="B2676" s="3" t="inlineStr">
        <is>
          <t>Week</t>
        </is>
      </c>
      <c r="C2676" s="19" t="n">
        <v>7</v>
      </c>
      <c r="D2676" s="19" t="n">
        <v>2027</v>
      </c>
      <c r="E2676" s="57" t="n">
        <v>3</v>
      </c>
      <c r="F2676" s="29">
        <f>ROUND(((SUMIFS(Calendar!$F$2:$F$9997,Calendar!$B$2:$B$9997,D2676,Calendar!$C$2:$C$9997,C2676)*INDEX(ForeCalc!$B$37:$Y$274,MATCH(_xlfn.CONCAT(H2676," ",I2676),ForeCalc!$A$37:$A$274,0),MATCH(_xlfn.CONCAT(B2676," ",E2676),ForeCalc!$B$36:$Y$36,0))))*VLOOKUP(A2676,Calendar!$A$2:$H$9997,8,FALSE),0)</f>
        <v/>
      </c>
      <c r="G2676" s="29">
        <f>VLOOKUP(A2676,Calendar!$A$1:$H$9997,6,FALSE)-F2676</f>
        <v/>
      </c>
      <c r="H2676" s="19" t="n">
        <v>2</v>
      </c>
      <c r="I2676" s="57" t="n">
        <v>4</v>
      </c>
    </row>
    <row r="2677">
      <c r="A2677" s="62" t="n">
        <v>46596</v>
      </c>
      <c r="B2677" s="3" t="inlineStr">
        <is>
          <t>Week</t>
        </is>
      </c>
      <c r="C2677" s="19" t="n">
        <v>7</v>
      </c>
      <c r="D2677" s="19" t="n">
        <v>2027</v>
      </c>
      <c r="E2677" s="57" t="n">
        <v>3</v>
      </c>
      <c r="F2677" s="29">
        <f>ROUND(((SUMIFS(Calendar!$F$2:$F$9997,Calendar!$B$2:$B$9997,D2677,Calendar!$C$2:$C$9997,C2677)*INDEX(ForeCalc!$B$37:$Y$274,MATCH(_xlfn.CONCAT(H2677," ",I2677),ForeCalc!$A$37:$A$274,0),MATCH(_xlfn.CONCAT(B2677," ",E2677),ForeCalc!$B$36:$Y$36,0))))*VLOOKUP(A2677,Calendar!$A$2:$H$9997,8,FALSE),0)</f>
        <v/>
      </c>
      <c r="G2677" s="29">
        <f>VLOOKUP(A2677,Calendar!$A$1:$H$9997,6,FALSE)-F2677</f>
        <v/>
      </c>
      <c r="H2677" s="19" t="n">
        <v>2</v>
      </c>
      <c r="I2677" s="57" t="n">
        <v>4</v>
      </c>
    </row>
    <row r="2678">
      <c r="A2678" s="62" t="n">
        <v>46597</v>
      </c>
      <c r="B2678" s="3" t="inlineStr">
        <is>
          <t>Week</t>
        </is>
      </c>
      <c r="C2678" s="19" t="n">
        <v>7</v>
      </c>
      <c r="D2678" s="19" t="n">
        <v>2027</v>
      </c>
      <c r="E2678" s="57" t="n">
        <v>3</v>
      </c>
      <c r="F2678" s="29">
        <f>ROUND(((SUMIFS(Calendar!$F$2:$F$9997,Calendar!$B$2:$B$9997,D2678,Calendar!$C$2:$C$9997,C2678)*INDEX(ForeCalc!$B$37:$Y$274,MATCH(_xlfn.CONCAT(H2678," ",I2678),ForeCalc!$A$37:$A$274,0),MATCH(_xlfn.CONCAT(B2678," ",E2678),ForeCalc!$B$36:$Y$36,0))))*VLOOKUP(A2678,Calendar!$A$2:$H$9997,8,FALSE),0)</f>
        <v/>
      </c>
      <c r="G2678" s="29">
        <f>VLOOKUP(A2678,Calendar!$A$1:$H$9997,6,FALSE)-F2678</f>
        <v/>
      </c>
      <c r="H2678" s="19" t="n">
        <v>2</v>
      </c>
      <c r="I2678" s="57" t="n">
        <v>4</v>
      </c>
    </row>
    <row r="2679">
      <c r="A2679" s="62" t="n">
        <v>46598</v>
      </c>
      <c r="B2679" s="3" t="inlineStr">
        <is>
          <t>Week</t>
        </is>
      </c>
      <c r="C2679" s="19" t="n">
        <v>7</v>
      </c>
      <c r="D2679" s="19" t="n">
        <v>2027</v>
      </c>
      <c r="E2679" s="57" t="n">
        <v>3</v>
      </c>
      <c r="F2679" s="29">
        <f>ROUND(((SUMIFS(Calendar!$F$2:$F$9997,Calendar!$B$2:$B$9997,D2679,Calendar!$C$2:$C$9997,C2679)*INDEX(ForeCalc!$B$37:$Y$274,MATCH(_xlfn.CONCAT(H2679," ",I2679),ForeCalc!$A$37:$A$274,0),MATCH(_xlfn.CONCAT(B2679," ",E2679),ForeCalc!$B$36:$Y$36,0))))*VLOOKUP(A2679,Calendar!$A$2:$H$9997,8,FALSE),0)</f>
        <v/>
      </c>
      <c r="G2679" s="29">
        <f>VLOOKUP(A2679,Calendar!$A$1:$H$9997,6,FALSE)-F2679</f>
        <v/>
      </c>
      <c r="H2679" s="19" t="n">
        <v>2</v>
      </c>
      <c r="I2679" s="57" t="n">
        <v>4</v>
      </c>
    </row>
    <row r="2680">
      <c r="A2680" s="62" t="n">
        <v>46599</v>
      </c>
      <c r="B2680" s="3" t="inlineStr">
        <is>
          <t>Sat</t>
        </is>
      </c>
      <c r="C2680" s="19" t="n">
        <v>7</v>
      </c>
      <c r="D2680" s="19" t="n">
        <v>2027</v>
      </c>
      <c r="E2680" s="57" t="n">
        <v>3</v>
      </c>
      <c r="F2680" s="29">
        <f>ROUND(((SUMIFS(Calendar!$F$2:$F$9997,Calendar!$B$2:$B$9997,D2680,Calendar!$C$2:$C$9997,C2680)*INDEX(ForeCalc!$B$37:$Y$274,MATCH(_xlfn.CONCAT(H2680," ",I2680),ForeCalc!$A$37:$A$274,0),MATCH(_xlfn.CONCAT(B2680," ",E2680),ForeCalc!$B$36:$Y$36,0))))*VLOOKUP(A2680,Calendar!$A$2:$H$9997,8,FALSE),0)</f>
        <v/>
      </c>
      <c r="G2680" s="29">
        <f>VLOOKUP(A2680,Calendar!$A$1:$H$9997,6,FALSE)-F2680</f>
        <v/>
      </c>
      <c r="H2680" s="19" t="n">
        <v>2</v>
      </c>
      <c r="I2680" s="57" t="n">
        <v>4</v>
      </c>
    </row>
    <row r="2681">
      <c r="A2681" s="62" t="n">
        <v>46600</v>
      </c>
      <c r="B2681" s="3" t="inlineStr">
        <is>
          <t>Sun</t>
        </is>
      </c>
      <c r="C2681" s="19" t="n">
        <v>8</v>
      </c>
      <c r="D2681" s="19" t="n">
        <v>2027</v>
      </c>
      <c r="E2681" s="57" t="n">
        <v>3</v>
      </c>
      <c r="F2681" s="29">
        <f>ROUND(((SUMIFS(Calendar!$F$2:$F$9997,Calendar!$B$2:$B$9997,D2681,Calendar!$C$2:$C$9997,C2681)*INDEX(ForeCalc!$B$37:$Y$274,MATCH(_xlfn.CONCAT(H2681," ",I2681),ForeCalc!$A$37:$A$274,0),MATCH(_xlfn.CONCAT(B2681," ",E2681),ForeCalc!$B$36:$Y$36,0))))*VLOOKUP(A2681,Calendar!$A$2:$H$9997,8,FALSE),0)</f>
        <v/>
      </c>
      <c r="G2681" s="29">
        <f>VLOOKUP(A2681,Calendar!$A$1:$H$9997,6,FALSE)-F2681</f>
        <v/>
      </c>
      <c r="H2681" s="19" t="n">
        <v>2</v>
      </c>
      <c r="I2681" s="57" t="n">
        <v>5</v>
      </c>
    </row>
    <row r="2682">
      <c r="A2682" s="62" t="n">
        <v>46601</v>
      </c>
      <c r="B2682" s="3" t="inlineStr">
        <is>
          <t>Week</t>
        </is>
      </c>
      <c r="C2682" s="19" t="n">
        <v>8</v>
      </c>
      <c r="D2682" s="19" t="n">
        <v>2027</v>
      </c>
      <c r="E2682" s="57" t="n">
        <v>3</v>
      </c>
      <c r="F2682" s="29">
        <f>ROUND(((SUMIFS(Calendar!$F$2:$F$9997,Calendar!$B$2:$B$9997,D2682,Calendar!$C$2:$C$9997,C2682)*INDEX(ForeCalc!$B$37:$Y$274,MATCH(_xlfn.CONCAT(H2682," ",I2682),ForeCalc!$A$37:$A$274,0),MATCH(_xlfn.CONCAT(B2682," ",E2682),ForeCalc!$B$36:$Y$36,0))))*VLOOKUP(A2682,Calendar!$A$2:$H$9997,8,FALSE),0)</f>
        <v/>
      </c>
      <c r="G2682" s="29">
        <f>VLOOKUP(A2682,Calendar!$A$1:$H$9997,6,FALSE)-F2682</f>
        <v/>
      </c>
      <c r="H2682" s="19" t="n">
        <v>2</v>
      </c>
      <c r="I2682" s="57" t="n">
        <v>5</v>
      </c>
    </row>
    <row r="2683">
      <c r="A2683" s="62" t="n">
        <v>46602</v>
      </c>
      <c r="B2683" s="3" t="inlineStr">
        <is>
          <t>Week</t>
        </is>
      </c>
      <c r="C2683" s="19" t="n">
        <v>8</v>
      </c>
      <c r="D2683" s="19" t="n">
        <v>2027</v>
      </c>
      <c r="E2683" s="57" t="n">
        <v>3</v>
      </c>
      <c r="F2683" s="29">
        <f>ROUND(((SUMIFS(Calendar!$F$2:$F$9997,Calendar!$B$2:$B$9997,D2683,Calendar!$C$2:$C$9997,C2683)*INDEX(ForeCalc!$B$37:$Y$274,MATCH(_xlfn.CONCAT(H2683," ",I2683),ForeCalc!$A$37:$A$274,0),MATCH(_xlfn.CONCAT(B2683," ",E2683),ForeCalc!$B$36:$Y$36,0))))*VLOOKUP(A2683,Calendar!$A$2:$H$9997,8,FALSE),0)</f>
        <v/>
      </c>
      <c r="G2683" s="29">
        <f>VLOOKUP(A2683,Calendar!$A$1:$H$9997,6,FALSE)-F2683</f>
        <v/>
      </c>
      <c r="H2683" s="19" t="n">
        <v>2</v>
      </c>
      <c r="I2683" s="57" t="n">
        <v>5</v>
      </c>
    </row>
    <row r="2684">
      <c r="A2684" s="62" t="n">
        <v>46603</v>
      </c>
      <c r="B2684" s="3" t="inlineStr">
        <is>
          <t>Week</t>
        </is>
      </c>
      <c r="C2684" s="19" t="n">
        <v>8</v>
      </c>
      <c r="D2684" s="19" t="n">
        <v>2027</v>
      </c>
      <c r="E2684" s="57" t="n">
        <v>3</v>
      </c>
      <c r="F2684" s="29">
        <f>ROUND(((SUMIFS(Calendar!$F$2:$F$9997,Calendar!$B$2:$B$9997,D2684,Calendar!$C$2:$C$9997,C2684)*INDEX(ForeCalc!$B$37:$Y$274,MATCH(_xlfn.CONCAT(H2684," ",I2684),ForeCalc!$A$37:$A$274,0),MATCH(_xlfn.CONCAT(B2684," ",E2684),ForeCalc!$B$36:$Y$36,0))))*VLOOKUP(A2684,Calendar!$A$2:$H$9997,8,FALSE),0)</f>
        <v/>
      </c>
      <c r="G2684" s="29">
        <f>VLOOKUP(A2684,Calendar!$A$1:$H$9997,6,FALSE)-F2684</f>
        <v/>
      </c>
      <c r="H2684" s="19" t="n">
        <v>2</v>
      </c>
      <c r="I2684" s="57" t="n">
        <v>5</v>
      </c>
    </row>
    <row r="2685">
      <c r="A2685" s="62" t="n">
        <v>46604</v>
      </c>
      <c r="B2685" s="3" t="inlineStr">
        <is>
          <t>Week</t>
        </is>
      </c>
      <c r="C2685" s="19" t="n">
        <v>8</v>
      </c>
      <c r="D2685" s="19" t="n">
        <v>2027</v>
      </c>
      <c r="E2685" s="57" t="n">
        <v>3</v>
      </c>
      <c r="F2685" s="29">
        <f>ROUND(((SUMIFS(Calendar!$F$2:$F$9997,Calendar!$B$2:$B$9997,D2685,Calendar!$C$2:$C$9997,C2685)*INDEX(ForeCalc!$B$37:$Y$274,MATCH(_xlfn.CONCAT(H2685," ",I2685),ForeCalc!$A$37:$A$274,0),MATCH(_xlfn.CONCAT(B2685," ",E2685),ForeCalc!$B$36:$Y$36,0))))*VLOOKUP(A2685,Calendar!$A$2:$H$9997,8,FALSE),0)</f>
        <v/>
      </c>
      <c r="G2685" s="29">
        <f>VLOOKUP(A2685,Calendar!$A$1:$H$9997,6,FALSE)-F2685</f>
        <v/>
      </c>
      <c r="H2685" s="19" t="n">
        <v>2</v>
      </c>
      <c r="I2685" s="57" t="n">
        <v>5</v>
      </c>
    </row>
    <row r="2686">
      <c r="A2686" s="62" t="n">
        <v>46605</v>
      </c>
      <c r="B2686" s="3" t="inlineStr">
        <is>
          <t>Week</t>
        </is>
      </c>
      <c r="C2686" s="19" t="n">
        <v>8</v>
      </c>
      <c r="D2686" s="19" t="n">
        <v>2027</v>
      </c>
      <c r="E2686" s="57" t="n">
        <v>3</v>
      </c>
      <c r="F2686" s="29">
        <f>ROUND(((SUMIFS(Calendar!$F$2:$F$9997,Calendar!$B$2:$B$9997,D2686,Calendar!$C$2:$C$9997,C2686)*INDEX(ForeCalc!$B$37:$Y$274,MATCH(_xlfn.CONCAT(H2686," ",I2686),ForeCalc!$A$37:$A$274,0),MATCH(_xlfn.CONCAT(B2686," ",E2686),ForeCalc!$B$36:$Y$36,0))))*VLOOKUP(A2686,Calendar!$A$2:$H$9997,8,FALSE),0)</f>
        <v/>
      </c>
      <c r="G2686" s="29">
        <f>VLOOKUP(A2686,Calendar!$A$1:$H$9997,6,FALSE)-F2686</f>
        <v/>
      </c>
      <c r="H2686" s="19" t="n">
        <v>2</v>
      </c>
      <c r="I2686" s="57" t="n">
        <v>5</v>
      </c>
    </row>
    <row r="2687">
      <c r="A2687" s="62" t="n">
        <v>46606</v>
      </c>
      <c r="B2687" s="3" t="inlineStr">
        <is>
          <t>Sat</t>
        </is>
      </c>
      <c r="C2687" s="19" t="n">
        <v>8</v>
      </c>
      <c r="D2687" s="19" t="n">
        <v>2027</v>
      </c>
      <c r="E2687" s="57" t="n">
        <v>3</v>
      </c>
      <c r="F2687" s="29">
        <f>ROUND(((SUMIFS(Calendar!$F$2:$F$9997,Calendar!$B$2:$B$9997,D2687,Calendar!$C$2:$C$9997,C2687)*INDEX(ForeCalc!$B$37:$Y$274,MATCH(_xlfn.CONCAT(H2687," ",I2687),ForeCalc!$A$37:$A$274,0),MATCH(_xlfn.CONCAT(B2687," ",E2687),ForeCalc!$B$36:$Y$36,0))))*VLOOKUP(A2687,Calendar!$A$2:$H$9997,8,FALSE),0)</f>
        <v/>
      </c>
      <c r="G2687" s="29">
        <f>VLOOKUP(A2687,Calendar!$A$1:$H$9997,6,FALSE)-F2687</f>
        <v/>
      </c>
      <c r="H2687" s="19" t="n">
        <v>2</v>
      </c>
      <c r="I2687" s="57" t="n">
        <v>5</v>
      </c>
    </row>
    <row r="2688">
      <c r="A2688" s="62" t="n">
        <v>46607</v>
      </c>
      <c r="B2688" s="3" t="inlineStr">
        <is>
          <t>Sun</t>
        </is>
      </c>
      <c r="C2688" s="19" t="n">
        <v>8</v>
      </c>
      <c r="D2688" s="19" t="n">
        <v>2027</v>
      </c>
      <c r="E2688" s="57" t="n">
        <v>3</v>
      </c>
      <c r="F2688" s="29">
        <f>ROUND(((SUMIFS(Calendar!$F$2:$F$9997,Calendar!$B$2:$B$9997,D2688,Calendar!$C$2:$C$9997,C2688)*INDEX(ForeCalc!$B$37:$Y$274,MATCH(_xlfn.CONCAT(H2688," ",I2688),ForeCalc!$A$37:$A$274,0),MATCH(_xlfn.CONCAT(B2688," ",E2688),ForeCalc!$B$36:$Y$36,0))))*VLOOKUP(A2688,Calendar!$A$2:$H$9997,8,FALSE),0)</f>
        <v/>
      </c>
      <c r="G2688" s="29">
        <f>VLOOKUP(A2688,Calendar!$A$1:$H$9997,6,FALSE)-F2688</f>
        <v/>
      </c>
      <c r="H2688" s="19" t="n">
        <v>2</v>
      </c>
      <c r="I2688" s="57" t="n">
        <v>5</v>
      </c>
    </row>
    <row r="2689">
      <c r="A2689" s="62" t="n">
        <v>46608</v>
      </c>
      <c r="B2689" s="3" t="inlineStr">
        <is>
          <t>Week</t>
        </is>
      </c>
      <c r="C2689" s="19" t="n">
        <v>8</v>
      </c>
      <c r="D2689" s="19" t="n">
        <v>2027</v>
      </c>
      <c r="E2689" s="57" t="n">
        <v>3</v>
      </c>
      <c r="F2689" s="29">
        <f>ROUND(((SUMIFS(Calendar!$F$2:$F$9997,Calendar!$B$2:$B$9997,D2689,Calendar!$C$2:$C$9997,C2689)*INDEX(ForeCalc!$B$37:$Y$274,MATCH(_xlfn.CONCAT(H2689," ",I2689),ForeCalc!$A$37:$A$274,0),MATCH(_xlfn.CONCAT(B2689," ",E2689),ForeCalc!$B$36:$Y$36,0))))*VLOOKUP(A2689,Calendar!$A$2:$H$9997,8,FALSE),0)</f>
        <v/>
      </c>
      <c r="G2689" s="29">
        <f>VLOOKUP(A2689,Calendar!$A$1:$H$9997,6,FALSE)-F2689</f>
        <v/>
      </c>
      <c r="H2689" s="19" t="n">
        <v>2</v>
      </c>
      <c r="I2689" s="57" t="n">
        <v>5</v>
      </c>
    </row>
    <row r="2690">
      <c r="A2690" s="62" t="n">
        <v>46609</v>
      </c>
      <c r="B2690" s="3" t="inlineStr">
        <is>
          <t>Week</t>
        </is>
      </c>
      <c r="C2690" s="19" t="n">
        <v>8</v>
      </c>
      <c r="D2690" s="19" t="n">
        <v>2027</v>
      </c>
      <c r="E2690" s="57" t="n">
        <v>3</v>
      </c>
      <c r="F2690" s="29">
        <f>ROUND(((SUMIFS(Calendar!$F$2:$F$9997,Calendar!$B$2:$B$9997,D2690,Calendar!$C$2:$C$9997,C2690)*INDEX(ForeCalc!$B$37:$Y$274,MATCH(_xlfn.CONCAT(H2690," ",I2690),ForeCalc!$A$37:$A$274,0),MATCH(_xlfn.CONCAT(B2690," ",E2690),ForeCalc!$B$36:$Y$36,0))))*VLOOKUP(A2690,Calendar!$A$2:$H$9997,8,FALSE),0)</f>
        <v/>
      </c>
      <c r="G2690" s="29">
        <f>VLOOKUP(A2690,Calendar!$A$1:$H$9997,6,FALSE)-F2690</f>
        <v/>
      </c>
      <c r="H2690" s="19" t="n">
        <v>2</v>
      </c>
      <c r="I2690" s="57" t="n">
        <v>5</v>
      </c>
    </row>
    <row r="2691">
      <c r="A2691" s="62" t="n">
        <v>46610</v>
      </c>
      <c r="B2691" s="3" t="inlineStr">
        <is>
          <t>Week</t>
        </is>
      </c>
      <c r="C2691" s="19" t="n">
        <v>8</v>
      </c>
      <c r="D2691" s="19" t="n">
        <v>2027</v>
      </c>
      <c r="E2691" s="57" t="n">
        <v>3</v>
      </c>
      <c r="F2691" s="29">
        <f>ROUND(((SUMIFS(Calendar!$F$2:$F$9997,Calendar!$B$2:$B$9997,D2691,Calendar!$C$2:$C$9997,C2691)*INDEX(ForeCalc!$B$37:$Y$274,MATCH(_xlfn.CONCAT(H2691," ",I2691),ForeCalc!$A$37:$A$274,0),MATCH(_xlfn.CONCAT(B2691," ",E2691),ForeCalc!$B$36:$Y$36,0))))*VLOOKUP(A2691,Calendar!$A$2:$H$9997,8,FALSE),0)</f>
        <v/>
      </c>
      <c r="G2691" s="29">
        <f>VLOOKUP(A2691,Calendar!$A$1:$H$9997,6,FALSE)-F2691</f>
        <v/>
      </c>
      <c r="H2691" s="19" t="n">
        <v>2</v>
      </c>
      <c r="I2691" s="57" t="n">
        <v>5</v>
      </c>
    </row>
    <row r="2692">
      <c r="A2692" s="62" t="n">
        <v>46611</v>
      </c>
      <c r="B2692" s="3" t="inlineStr">
        <is>
          <t>Week</t>
        </is>
      </c>
      <c r="C2692" s="19" t="n">
        <v>8</v>
      </c>
      <c r="D2692" s="19" t="n">
        <v>2027</v>
      </c>
      <c r="E2692" s="57" t="n">
        <v>3</v>
      </c>
      <c r="F2692" s="29">
        <f>ROUND(((SUMIFS(Calendar!$F$2:$F$9997,Calendar!$B$2:$B$9997,D2692,Calendar!$C$2:$C$9997,C2692)*INDEX(ForeCalc!$B$37:$Y$274,MATCH(_xlfn.CONCAT(H2692," ",I2692),ForeCalc!$A$37:$A$274,0),MATCH(_xlfn.CONCAT(B2692," ",E2692),ForeCalc!$B$36:$Y$36,0))))*VLOOKUP(A2692,Calendar!$A$2:$H$9997,8,FALSE),0)</f>
        <v/>
      </c>
      <c r="G2692" s="29">
        <f>VLOOKUP(A2692,Calendar!$A$1:$H$9997,6,FALSE)-F2692</f>
        <v/>
      </c>
      <c r="H2692" s="19" t="n">
        <v>2</v>
      </c>
      <c r="I2692" s="57" t="n">
        <v>5</v>
      </c>
    </row>
    <row r="2693">
      <c r="A2693" s="62" t="n">
        <v>46612</v>
      </c>
      <c r="B2693" s="3" t="inlineStr">
        <is>
          <t>Week</t>
        </is>
      </c>
      <c r="C2693" s="19" t="n">
        <v>8</v>
      </c>
      <c r="D2693" s="19" t="n">
        <v>2027</v>
      </c>
      <c r="E2693" s="57" t="n">
        <v>3</v>
      </c>
      <c r="F2693" s="29">
        <f>ROUND(((SUMIFS(Calendar!$F$2:$F$9997,Calendar!$B$2:$B$9997,D2693,Calendar!$C$2:$C$9997,C2693)*INDEX(ForeCalc!$B$37:$Y$274,MATCH(_xlfn.CONCAT(H2693," ",I2693),ForeCalc!$A$37:$A$274,0),MATCH(_xlfn.CONCAT(B2693," ",E2693),ForeCalc!$B$36:$Y$36,0))))*VLOOKUP(A2693,Calendar!$A$2:$H$9997,8,FALSE),0)</f>
        <v/>
      </c>
      <c r="G2693" s="29">
        <f>VLOOKUP(A2693,Calendar!$A$1:$H$9997,6,FALSE)-F2693</f>
        <v/>
      </c>
      <c r="H2693" s="19" t="n">
        <v>2</v>
      </c>
      <c r="I2693" s="57" t="n">
        <v>5</v>
      </c>
    </row>
    <row r="2694">
      <c r="A2694" s="62" t="n">
        <v>46613</v>
      </c>
      <c r="B2694" s="3" t="inlineStr">
        <is>
          <t>Sat</t>
        </is>
      </c>
      <c r="C2694" s="19" t="n">
        <v>8</v>
      </c>
      <c r="D2694" s="19" t="n">
        <v>2027</v>
      </c>
      <c r="E2694" s="57" t="n">
        <v>3</v>
      </c>
      <c r="F2694" s="29">
        <f>ROUND(((SUMIFS(Calendar!$F$2:$F$9997,Calendar!$B$2:$B$9997,D2694,Calendar!$C$2:$C$9997,C2694)*INDEX(ForeCalc!$B$37:$Y$274,MATCH(_xlfn.CONCAT(H2694," ",I2694),ForeCalc!$A$37:$A$274,0),MATCH(_xlfn.CONCAT(B2694," ",E2694),ForeCalc!$B$36:$Y$36,0))))*VLOOKUP(A2694,Calendar!$A$2:$H$9997,8,FALSE),0)</f>
        <v/>
      </c>
      <c r="G2694" s="29">
        <f>VLOOKUP(A2694,Calendar!$A$1:$H$9997,6,FALSE)-F2694</f>
        <v/>
      </c>
      <c r="H2694" s="19" t="n">
        <v>2</v>
      </c>
      <c r="I2694" s="57" t="n">
        <v>5</v>
      </c>
    </row>
    <row r="2695">
      <c r="A2695" s="62" t="n">
        <v>46614</v>
      </c>
      <c r="B2695" s="3" t="inlineStr">
        <is>
          <t>Sun</t>
        </is>
      </c>
      <c r="C2695" s="19" t="n">
        <v>8</v>
      </c>
      <c r="D2695" s="19" t="n">
        <v>2027</v>
      </c>
      <c r="E2695" s="57" t="n">
        <v>3</v>
      </c>
      <c r="F2695" s="29">
        <f>ROUND(((SUMIFS(Calendar!$F$2:$F$9997,Calendar!$B$2:$B$9997,D2695,Calendar!$C$2:$C$9997,C2695)*INDEX(ForeCalc!$B$37:$Y$274,MATCH(_xlfn.CONCAT(H2695," ",I2695),ForeCalc!$A$37:$A$274,0),MATCH(_xlfn.CONCAT(B2695," ",E2695),ForeCalc!$B$36:$Y$36,0))))*VLOOKUP(A2695,Calendar!$A$2:$H$9997,8,FALSE),0)</f>
        <v/>
      </c>
      <c r="G2695" s="29">
        <f>VLOOKUP(A2695,Calendar!$A$1:$H$9997,6,FALSE)-F2695</f>
        <v/>
      </c>
      <c r="H2695" s="19" t="n">
        <v>2</v>
      </c>
      <c r="I2695" s="57" t="n">
        <v>5</v>
      </c>
    </row>
    <row r="2696">
      <c r="A2696" s="62" t="n">
        <v>46615</v>
      </c>
      <c r="B2696" s="3" t="inlineStr">
        <is>
          <t>Week</t>
        </is>
      </c>
      <c r="C2696" s="19" t="n">
        <v>8</v>
      </c>
      <c r="D2696" s="19" t="n">
        <v>2027</v>
      </c>
      <c r="E2696" s="57" t="n">
        <v>3</v>
      </c>
      <c r="F2696" s="29">
        <f>ROUND(((SUMIFS(Calendar!$F$2:$F$9997,Calendar!$B$2:$B$9997,D2696,Calendar!$C$2:$C$9997,C2696)*INDEX(ForeCalc!$B$37:$Y$274,MATCH(_xlfn.CONCAT(H2696," ",I2696),ForeCalc!$A$37:$A$274,0),MATCH(_xlfn.CONCAT(B2696," ",E2696),ForeCalc!$B$36:$Y$36,0))))*VLOOKUP(A2696,Calendar!$A$2:$H$9997,8,FALSE),0)</f>
        <v/>
      </c>
      <c r="G2696" s="29">
        <f>VLOOKUP(A2696,Calendar!$A$1:$H$9997,6,FALSE)-F2696</f>
        <v/>
      </c>
      <c r="H2696" s="19" t="n">
        <v>2</v>
      </c>
      <c r="I2696" s="57" t="n">
        <v>5</v>
      </c>
    </row>
    <row r="2697">
      <c r="A2697" s="62" t="n">
        <v>46616</v>
      </c>
      <c r="B2697" s="3" t="inlineStr">
        <is>
          <t>Week</t>
        </is>
      </c>
      <c r="C2697" s="19" t="n">
        <v>8</v>
      </c>
      <c r="D2697" s="19" t="n">
        <v>2027</v>
      </c>
      <c r="E2697" s="57" t="n">
        <v>3</v>
      </c>
      <c r="F2697" s="29">
        <f>ROUND(((SUMIFS(Calendar!$F$2:$F$9997,Calendar!$B$2:$B$9997,D2697,Calendar!$C$2:$C$9997,C2697)*INDEX(ForeCalc!$B$37:$Y$274,MATCH(_xlfn.CONCAT(H2697," ",I2697),ForeCalc!$A$37:$A$274,0),MATCH(_xlfn.CONCAT(B2697," ",E2697),ForeCalc!$B$36:$Y$36,0))))*VLOOKUP(A2697,Calendar!$A$2:$H$9997,8,FALSE),0)</f>
        <v/>
      </c>
      <c r="G2697" s="29">
        <f>VLOOKUP(A2697,Calendar!$A$1:$H$9997,6,FALSE)-F2697</f>
        <v/>
      </c>
      <c r="H2697" s="19" t="n">
        <v>2</v>
      </c>
      <c r="I2697" s="57" t="n">
        <v>5</v>
      </c>
    </row>
    <row r="2698">
      <c r="A2698" s="62" t="n">
        <v>46617</v>
      </c>
      <c r="B2698" s="3" t="inlineStr">
        <is>
          <t>Week</t>
        </is>
      </c>
      <c r="C2698" s="19" t="n">
        <v>8</v>
      </c>
      <c r="D2698" s="19" t="n">
        <v>2027</v>
      </c>
      <c r="E2698" s="57" t="n">
        <v>3</v>
      </c>
      <c r="F2698" s="29">
        <f>ROUND(((SUMIFS(Calendar!$F$2:$F$9997,Calendar!$B$2:$B$9997,D2698,Calendar!$C$2:$C$9997,C2698)*INDEX(ForeCalc!$B$37:$Y$274,MATCH(_xlfn.CONCAT(H2698," ",I2698),ForeCalc!$A$37:$A$274,0),MATCH(_xlfn.CONCAT(B2698," ",E2698),ForeCalc!$B$36:$Y$36,0))))*VLOOKUP(A2698,Calendar!$A$2:$H$9997,8,FALSE),0)</f>
        <v/>
      </c>
      <c r="G2698" s="29">
        <f>VLOOKUP(A2698,Calendar!$A$1:$H$9997,6,FALSE)-F2698</f>
        <v/>
      </c>
      <c r="H2698" s="19" t="n">
        <v>2</v>
      </c>
      <c r="I2698" s="57" t="n">
        <v>5</v>
      </c>
    </row>
    <row r="2699">
      <c r="A2699" s="62" t="n">
        <v>46618</v>
      </c>
      <c r="B2699" s="3" t="inlineStr">
        <is>
          <t>Week</t>
        </is>
      </c>
      <c r="C2699" s="19" t="n">
        <v>8</v>
      </c>
      <c r="D2699" s="19" t="n">
        <v>2027</v>
      </c>
      <c r="E2699" s="57" t="n">
        <v>3</v>
      </c>
      <c r="F2699" s="29">
        <f>ROUND(((SUMIFS(Calendar!$F$2:$F$9997,Calendar!$B$2:$B$9997,D2699,Calendar!$C$2:$C$9997,C2699)*INDEX(ForeCalc!$B$37:$Y$274,MATCH(_xlfn.CONCAT(H2699," ",I2699),ForeCalc!$A$37:$A$274,0),MATCH(_xlfn.CONCAT(B2699," ",E2699),ForeCalc!$B$36:$Y$36,0))))*VLOOKUP(A2699,Calendar!$A$2:$H$9997,8,FALSE),0)</f>
        <v/>
      </c>
      <c r="G2699" s="29">
        <f>VLOOKUP(A2699,Calendar!$A$1:$H$9997,6,FALSE)-F2699</f>
        <v/>
      </c>
      <c r="H2699" s="19" t="n">
        <v>2</v>
      </c>
      <c r="I2699" s="57" t="n">
        <v>5</v>
      </c>
    </row>
    <row r="2700">
      <c r="A2700" s="62" t="n">
        <v>46619</v>
      </c>
      <c r="B2700" s="3" t="inlineStr">
        <is>
          <t>Week</t>
        </is>
      </c>
      <c r="C2700" s="19" t="n">
        <v>8</v>
      </c>
      <c r="D2700" s="19" t="n">
        <v>2027</v>
      </c>
      <c r="E2700" s="57" t="n">
        <v>3</v>
      </c>
      <c r="F2700" s="29">
        <f>ROUND(((SUMIFS(Calendar!$F$2:$F$9997,Calendar!$B$2:$B$9997,D2700,Calendar!$C$2:$C$9997,C2700)*INDEX(ForeCalc!$B$37:$Y$274,MATCH(_xlfn.CONCAT(H2700," ",I2700),ForeCalc!$A$37:$A$274,0),MATCH(_xlfn.CONCAT(B2700," ",E2700),ForeCalc!$B$36:$Y$36,0))))*VLOOKUP(A2700,Calendar!$A$2:$H$9997,8,FALSE),0)</f>
        <v/>
      </c>
      <c r="G2700" s="29">
        <f>VLOOKUP(A2700,Calendar!$A$1:$H$9997,6,FALSE)-F2700</f>
        <v/>
      </c>
      <c r="H2700" s="19" t="n">
        <v>2</v>
      </c>
      <c r="I2700" s="57" t="n">
        <v>5</v>
      </c>
    </row>
    <row r="2701">
      <c r="A2701" s="62" t="n">
        <v>46620</v>
      </c>
      <c r="B2701" s="3" t="inlineStr">
        <is>
          <t>Sat</t>
        </is>
      </c>
      <c r="C2701" s="19" t="n">
        <v>8</v>
      </c>
      <c r="D2701" s="19" t="n">
        <v>2027</v>
      </c>
      <c r="E2701" s="57" t="n">
        <v>3</v>
      </c>
      <c r="F2701" s="29">
        <f>ROUND(((SUMIFS(Calendar!$F$2:$F$9997,Calendar!$B$2:$B$9997,D2701,Calendar!$C$2:$C$9997,C2701)*INDEX(ForeCalc!$B$37:$Y$274,MATCH(_xlfn.CONCAT(H2701," ",I2701),ForeCalc!$A$37:$A$274,0),MATCH(_xlfn.CONCAT(B2701," ",E2701),ForeCalc!$B$36:$Y$36,0))))*VLOOKUP(A2701,Calendar!$A$2:$H$9997,8,FALSE),0)</f>
        <v/>
      </c>
      <c r="G2701" s="29">
        <f>VLOOKUP(A2701,Calendar!$A$1:$H$9997,6,FALSE)-F2701</f>
        <v/>
      </c>
      <c r="H2701" s="19" t="n">
        <v>2</v>
      </c>
      <c r="I2701" s="57" t="n">
        <v>5</v>
      </c>
    </row>
    <row r="2702">
      <c r="A2702" s="62" t="n">
        <v>46621</v>
      </c>
      <c r="B2702" s="3" t="inlineStr">
        <is>
          <t>Sun</t>
        </is>
      </c>
      <c r="C2702" s="19" t="n">
        <v>8</v>
      </c>
      <c r="D2702" s="19" t="n">
        <v>2027</v>
      </c>
      <c r="E2702" s="57" t="n">
        <v>3</v>
      </c>
      <c r="F2702" s="29">
        <f>ROUND(((SUMIFS(Calendar!$F$2:$F$9997,Calendar!$B$2:$B$9997,D2702,Calendar!$C$2:$C$9997,C2702)*INDEX(ForeCalc!$B$37:$Y$274,MATCH(_xlfn.CONCAT(H2702," ",I2702),ForeCalc!$A$37:$A$274,0),MATCH(_xlfn.CONCAT(B2702," ",E2702),ForeCalc!$B$36:$Y$36,0))))*VLOOKUP(A2702,Calendar!$A$2:$H$9997,8,FALSE),0)</f>
        <v/>
      </c>
      <c r="G2702" s="29">
        <f>VLOOKUP(A2702,Calendar!$A$1:$H$9997,6,FALSE)-F2702</f>
        <v/>
      </c>
      <c r="H2702" s="19" t="n">
        <v>2</v>
      </c>
      <c r="I2702" s="57" t="n">
        <v>5</v>
      </c>
    </row>
    <row r="2703">
      <c r="A2703" s="62" t="n">
        <v>46622</v>
      </c>
      <c r="B2703" s="3" t="inlineStr">
        <is>
          <t>Week</t>
        </is>
      </c>
      <c r="C2703" s="19" t="n">
        <v>8</v>
      </c>
      <c r="D2703" s="19" t="n">
        <v>2027</v>
      </c>
      <c r="E2703" s="57" t="n">
        <v>3</v>
      </c>
      <c r="F2703" s="29">
        <f>ROUND(((SUMIFS(Calendar!$F$2:$F$9997,Calendar!$B$2:$B$9997,D2703,Calendar!$C$2:$C$9997,C2703)*INDEX(ForeCalc!$B$37:$Y$274,MATCH(_xlfn.CONCAT(H2703," ",I2703),ForeCalc!$A$37:$A$274,0),MATCH(_xlfn.CONCAT(B2703," ",E2703),ForeCalc!$B$36:$Y$36,0))))*VLOOKUP(A2703,Calendar!$A$2:$H$9997,8,FALSE),0)</f>
        <v/>
      </c>
      <c r="G2703" s="29">
        <f>VLOOKUP(A2703,Calendar!$A$1:$H$9997,6,FALSE)-F2703</f>
        <v/>
      </c>
      <c r="H2703" s="19" t="n">
        <v>2</v>
      </c>
      <c r="I2703" s="57" t="n">
        <v>5</v>
      </c>
    </row>
    <row r="2704">
      <c r="A2704" s="62" t="n">
        <v>46623</v>
      </c>
      <c r="B2704" s="3" t="inlineStr">
        <is>
          <t>Week</t>
        </is>
      </c>
      <c r="C2704" s="19" t="n">
        <v>8</v>
      </c>
      <c r="D2704" s="19" t="n">
        <v>2027</v>
      </c>
      <c r="E2704" s="57" t="n">
        <v>3</v>
      </c>
      <c r="F2704" s="29">
        <f>ROUND(((SUMIFS(Calendar!$F$2:$F$9997,Calendar!$B$2:$B$9997,D2704,Calendar!$C$2:$C$9997,C2704)*INDEX(ForeCalc!$B$37:$Y$274,MATCH(_xlfn.CONCAT(H2704," ",I2704),ForeCalc!$A$37:$A$274,0),MATCH(_xlfn.CONCAT(B2704," ",E2704),ForeCalc!$B$36:$Y$36,0))))*VLOOKUP(A2704,Calendar!$A$2:$H$9997,8,FALSE),0)</f>
        <v/>
      </c>
      <c r="G2704" s="29">
        <f>VLOOKUP(A2704,Calendar!$A$1:$H$9997,6,FALSE)-F2704</f>
        <v/>
      </c>
      <c r="H2704" s="19" t="n">
        <v>2</v>
      </c>
      <c r="I2704" s="57" t="n">
        <v>5</v>
      </c>
    </row>
    <row r="2705">
      <c r="A2705" s="62" t="n">
        <v>46624</v>
      </c>
      <c r="B2705" s="3" t="inlineStr">
        <is>
          <t>Week</t>
        </is>
      </c>
      <c r="C2705" s="19" t="n">
        <v>8</v>
      </c>
      <c r="D2705" s="19" t="n">
        <v>2027</v>
      </c>
      <c r="E2705" s="57" t="n">
        <v>3</v>
      </c>
      <c r="F2705" s="29">
        <f>ROUND(((SUMIFS(Calendar!$F$2:$F$9997,Calendar!$B$2:$B$9997,D2705,Calendar!$C$2:$C$9997,C2705)*INDEX(ForeCalc!$B$37:$Y$274,MATCH(_xlfn.CONCAT(H2705," ",I2705),ForeCalc!$A$37:$A$274,0),MATCH(_xlfn.CONCAT(B2705," ",E2705),ForeCalc!$B$36:$Y$36,0))))*VLOOKUP(A2705,Calendar!$A$2:$H$9997,8,FALSE),0)</f>
        <v/>
      </c>
      <c r="G2705" s="29">
        <f>VLOOKUP(A2705,Calendar!$A$1:$H$9997,6,FALSE)-F2705</f>
        <v/>
      </c>
      <c r="H2705" s="19" t="n">
        <v>2</v>
      </c>
      <c r="I2705" s="57" t="n">
        <v>5</v>
      </c>
    </row>
    <row r="2706">
      <c r="A2706" s="62" t="n">
        <v>46625</v>
      </c>
      <c r="B2706" s="3" t="inlineStr">
        <is>
          <t>Week</t>
        </is>
      </c>
      <c r="C2706" s="19" t="n">
        <v>8</v>
      </c>
      <c r="D2706" s="19" t="n">
        <v>2027</v>
      </c>
      <c r="E2706" s="57" t="n">
        <v>3</v>
      </c>
      <c r="F2706" s="29">
        <f>ROUND(((SUMIFS(Calendar!$F$2:$F$9997,Calendar!$B$2:$B$9997,D2706,Calendar!$C$2:$C$9997,C2706)*INDEX(ForeCalc!$B$37:$Y$274,MATCH(_xlfn.CONCAT(H2706," ",I2706),ForeCalc!$A$37:$A$274,0),MATCH(_xlfn.CONCAT(B2706," ",E2706),ForeCalc!$B$36:$Y$36,0))))*VLOOKUP(A2706,Calendar!$A$2:$H$9997,8,FALSE),0)</f>
        <v/>
      </c>
      <c r="G2706" s="29">
        <f>VLOOKUP(A2706,Calendar!$A$1:$H$9997,6,FALSE)-F2706</f>
        <v/>
      </c>
      <c r="H2706" s="19" t="n">
        <v>2</v>
      </c>
      <c r="I2706" s="57" t="n">
        <v>5</v>
      </c>
    </row>
    <row r="2707">
      <c r="A2707" s="62" t="n">
        <v>46626</v>
      </c>
      <c r="B2707" s="3" t="inlineStr">
        <is>
          <t>Week</t>
        </is>
      </c>
      <c r="C2707" s="19" t="n">
        <v>8</v>
      </c>
      <c r="D2707" s="19" t="n">
        <v>2027</v>
      </c>
      <c r="E2707" s="57" t="n">
        <v>3</v>
      </c>
      <c r="F2707" s="29">
        <f>ROUND(((SUMIFS(Calendar!$F$2:$F$9997,Calendar!$B$2:$B$9997,D2707,Calendar!$C$2:$C$9997,C2707)*INDEX(ForeCalc!$B$37:$Y$274,MATCH(_xlfn.CONCAT(H2707," ",I2707),ForeCalc!$A$37:$A$274,0),MATCH(_xlfn.CONCAT(B2707," ",E2707),ForeCalc!$B$36:$Y$36,0))))*VLOOKUP(A2707,Calendar!$A$2:$H$9997,8,FALSE),0)</f>
        <v/>
      </c>
      <c r="G2707" s="29">
        <f>VLOOKUP(A2707,Calendar!$A$1:$H$9997,6,FALSE)-F2707</f>
        <v/>
      </c>
      <c r="H2707" s="19" t="n">
        <v>2</v>
      </c>
      <c r="I2707" s="57" t="n">
        <v>5</v>
      </c>
    </row>
    <row r="2708">
      <c r="A2708" s="62" t="n">
        <v>46627</v>
      </c>
      <c r="B2708" s="3" t="inlineStr">
        <is>
          <t>Sat</t>
        </is>
      </c>
      <c r="C2708" s="19" t="n">
        <v>8</v>
      </c>
      <c r="D2708" s="19" t="n">
        <v>2027</v>
      </c>
      <c r="E2708" s="57" t="n">
        <v>3</v>
      </c>
      <c r="F2708" s="29">
        <f>ROUND(((SUMIFS(Calendar!$F$2:$F$9997,Calendar!$B$2:$B$9997,D2708,Calendar!$C$2:$C$9997,C2708)*INDEX(ForeCalc!$B$37:$Y$274,MATCH(_xlfn.CONCAT(H2708," ",I2708),ForeCalc!$A$37:$A$274,0),MATCH(_xlfn.CONCAT(B2708," ",E2708),ForeCalc!$B$36:$Y$36,0))))*VLOOKUP(A2708,Calendar!$A$2:$H$9997,8,FALSE),0)</f>
        <v/>
      </c>
      <c r="G2708" s="29">
        <f>VLOOKUP(A2708,Calendar!$A$1:$H$9997,6,FALSE)-F2708</f>
        <v/>
      </c>
      <c r="H2708" s="19" t="n">
        <v>2</v>
      </c>
      <c r="I2708" s="57" t="n">
        <v>5</v>
      </c>
    </row>
    <row r="2709">
      <c r="A2709" s="62" t="n">
        <v>46628</v>
      </c>
      <c r="B2709" s="3" t="inlineStr">
        <is>
          <t>Sun</t>
        </is>
      </c>
      <c r="C2709" s="19" t="n">
        <v>8</v>
      </c>
      <c r="D2709" s="19" t="n">
        <v>2027</v>
      </c>
      <c r="E2709" s="57" t="n">
        <v>3</v>
      </c>
      <c r="F2709" s="29">
        <f>ROUND(((SUMIFS(Calendar!$F$2:$F$9997,Calendar!$B$2:$B$9997,D2709,Calendar!$C$2:$C$9997,C2709)*INDEX(ForeCalc!$B$37:$Y$274,MATCH(_xlfn.CONCAT(H2709," ",I2709),ForeCalc!$A$37:$A$274,0),MATCH(_xlfn.CONCAT(B2709," ",E2709),ForeCalc!$B$36:$Y$36,0))))*VLOOKUP(A2709,Calendar!$A$2:$H$9997,8,FALSE),0)</f>
        <v/>
      </c>
      <c r="G2709" s="29">
        <f>VLOOKUP(A2709,Calendar!$A$1:$H$9997,6,FALSE)-F2709</f>
        <v/>
      </c>
      <c r="H2709" s="19" t="n">
        <v>2</v>
      </c>
      <c r="I2709" s="57" t="n">
        <v>5</v>
      </c>
    </row>
    <row r="2710">
      <c r="A2710" s="62" t="n">
        <v>46629</v>
      </c>
      <c r="B2710" s="3" t="inlineStr">
        <is>
          <t>Week</t>
        </is>
      </c>
      <c r="C2710" s="19" t="n">
        <v>8</v>
      </c>
      <c r="D2710" s="19" t="n">
        <v>2027</v>
      </c>
      <c r="E2710" s="57" t="n">
        <v>3</v>
      </c>
      <c r="F2710" s="29">
        <f>ROUND(((SUMIFS(Calendar!$F$2:$F$9997,Calendar!$B$2:$B$9997,D2710,Calendar!$C$2:$C$9997,C2710)*INDEX(ForeCalc!$B$37:$Y$274,MATCH(_xlfn.CONCAT(H2710," ",I2710),ForeCalc!$A$37:$A$274,0),MATCH(_xlfn.CONCAT(B2710," ",E2710),ForeCalc!$B$36:$Y$36,0))))*VLOOKUP(A2710,Calendar!$A$2:$H$9997,8,FALSE),0)</f>
        <v/>
      </c>
      <c r="G2710" s="29">
        <f>VLOOKUP(A2710,Calendar!$A$1:$H$9997,6,FALSE)-F2710</f>
        <v/>
      </c>
      <c r="H2710" s="19" t="n">
        <v>2</v>
      </c>
      <c r="I2710" s="57" t="n">
        <v>5</v>
      </c>
    </row>
    <row r="2711">
      <c r="A2711" s="62" t="n">
        <v>46630</v>
      </c>
      <c r="B2711" s="3" t="inlineStr">
        <is>
          <t>Week</t>
        </is>
      </c>
      <c r="C2711" s="19" t="n">
        <v>8</v>
      </c>
      <c r="D2711" s="19" t="n">
        <v>2027</v>
      </c>
      <c r="E2711" s="57" t="n">
        <v>3</v>
      </c>
      <c r="F2711" s="29">
        <f>ROUND(((SUMIFS(Calendar!$F$2:$F$9997,Calendar!$B$2:$B$9997,D2711,Calendar!$C$2:$C$9997,C2711)*INDEX(ForeCalc!$B$37:$Y$274,MATCH(_xlfn.CONCAT(H2711," ",I2711),ForeCalc!$A$37:$A$274,0),MATCH(_xlfn.CONCAT(B2711," ",E2711),ForeCalc!$B$36:$Y$36,0))))*VLOOKUP(A2711,Calendar!$A$2:$H$9997,8,FALSE),0)</f>
        <v/>
      </c>
      <c r="G2711" s="29">
        <f>VLOOKUP(A2711,Calendar!$A$1:$H$9997,6,FALSE)-F2711</f>
        <v/>
      </c>
      <c r="H2711" s="19" t="n">
        <v>2</v>
      </c>
      <c r="I2711" s="57" t="n">
        <v>5</v>
      </c>
    </row>
    <row r="2712">
      <c r="A2712" s="62" t="n">
        <v>46631</v>
      </c>
      <c r="B2712" s="3" t="inlineStr">
        <is>
          <t>Week</t>
        </is>
      </c>
      <c r="C2712" s="19" t="n">
        <v>9</v>
      </c>
      <c r="D2712" s="19" t="n">
        <v>2027</v>
      </c>
      <c r="E2712" s="57" t="n">
        <v>3</v>
      </c>
      <c r="F2712" s="29">
        <f>ROUND(((SUMIFS(Calendar!$F$2:$F$9997,Calendar!$B$2:$B$9997,D2712,Calendar!$C$2:$C$9997,C2712)*INDEX(ForeCalc!$B$37:$Y$274,MATCH(_xlfn.CONCAT(H2712," ",I2712),ForeCalc!$A$37:$A$274,0),MATCH(_xlfn.CONCAT(B2712," ",E2712),ForeCalc!$B$36:$Y$36,0))))*VLOOKUP(A2712,Calendar!$A$2:$H$9997,8,FALSE),0)</f>
        <v/>
      </c>
      <c r="G2712" s="29">
        <f>VLOOKUP(A2712,Calendar!$A$1:$H$9997,6,FALSE)-F2712</f>
        <v/>
      </c>
      <c r="H2712" s="19" t="n">
        <v>2</v>
      </c>
      <c r="I2712" s="57" t="n">
        <v>6</v>
      </c>
    </row>
    <row r="2713">
      <c r="A2713" s="62" t="n">
        <v>46632</v>
      </c>
      <c r="B2713" s="3" t="inlineStr">
        <is>
          <t>Week</t>
        </is>
      </c>
      <c r="C2713" s="19" t="n">
        <v>9</v>
      </c>
      <c r="D2713" s="19" t="n">
        <v>2027</v>
      </c>
      <c r="E2713" s="57" t="n">
        <v>3</v>
      </c>
      <c r="F2713" s="29">
        <f>ROUND(((SUMIFS(Calendar!$F$2:$F$9997,Calendar!$B$2:$B$9997,D2713,Calendar!$C$2:$C$9997,C2713)*INDEX(ForeCalc!$B$37:$Y$274,MATCH(_xlfn.CONCAT(H2713," ",I2713),ForeCalc!$A$37:$A$274,0),MATCH(_xlfn.CONCAT(B2713," ",E2713),ForeCalc!$B$36:$Y$36,0))))*VLOOKUP(A2713,Calendar!$A$2:$H$9997,8,FALSE),0)</f>
        <v/>
      </c>
      <c r="G2713" s="29">
        <f>VLOOKUP(A2713,Calendar!$A$1:$H$9997,6,FALSE)-F2713</f>
        <v/>
      </c>
      <c r="H2713" s="19" t="n">
        <v>2</v>
      </c>
      <c r="I2713" s="57" t="n">
        <v>6</v>
      </c>
    </row>
    <row r="2714">
      <c r="A2714" s="62" t="n">
        <v>46633</v>
      </c>
      <c r="B2714" s="3" t="inlineStr">
        <is>
          <t>Week</t>
        </is>
      </c>
      <c r="C2714" s="19" t="n">
        <v>9</v>
      </c>
      <c r="D2714" s="19" t="n">
        <v>2027</v>
      </c>
      <c r="E2714" s="57" t="n">
        <v>3</v>
      </c>
      <c r="F2714" s="29">
        <f>ROUND(((SUMIFS(Calendar!$F$2:$F$9997,Calendar!$B$2:$B$9997,D2714,Calendar!$C$2:$C$9997,C2714)*INDEX(ForeCalc!$B$37:$Y$274,MATCH(_xlfn.CONCAT(H2714," ",I2714),ForeCalc!$A$37:$A$274,0),MATCH(_xlfn.CONCAT(B2714," ",E2714),ForeCalc!$B$36:$Y$36,0))))*VLOOKUP(A2714,Calendar!$A$2:$H$9997,8,FALSE),0)</f>
        <v/>
      </c>
      <c r="G2714" s="29">
        <f>VLOOKUP(A2714,Calendar!$A$1:$H$9997,6,FALSE)-F2714</f>
        <v/>
      </c>
      <c r="H2714" s="19" t="n">
        <v>2</v>
      </c>
      <c r="I2714" s="57" t="n">
        <v>6</v>
      </c>
    </row>
    <row r="2715">
      <c r="A2715" s="62" t="n">
        <v>46634</v>
      </c>
      <c r="B2715" s="3" t="inlineStr">
        <is>
          <t>Sat</t>
        </is>
      </c>
      <c r="C2715" s="19" t="n">
        <v>9</v>
      </c>
      <c r="D2715" s="19" t="n">
        <v>2027</v>
      </c>
      <c r="E2715" s="57" t="n">
        <v>3</v>
      </c>
      <c r="F2715" s="29">
        <f>ROUND(((SUMIFS(Calendar!$F$2:$F$9997,Calendar!$B$2:$B$9997,D2715,Calendar!$C$2:$C$9997,C2715)*INDEX(ForeCalc!$B$37:$Y$274,MATCH(_xlfn.CONCAT(H2715," ",I2715),ForeCalc!$A$37:$A$274,0),MATCH(_xlfn.CONCAT(B2715," ",E2715),ForeCalc!$B$36:$Y$36,0))))*VLOOKUP(A2715,Calendar!$A$2:$H$9997,8,FALSE),0)</f>
        <v/>
      </c>
      <c r="G2715" s="29">
        <f>VLOOKUP(A2715,Calendar!$A$1:$H$9997,6,FALSE)-F2715</f>
        <v/>
      </c>
      <c r="H2715" s="19" t="n">
        <v>2</v>
      </c>
      <c r="I2715" s="57" t="n">
        <v>6</v>
      </c>
    </row>
    <row r="2716">
      <c r="A2716" s="62" t="n">
        <v>46635</v>
      </c>
      <c r="B2716" s="3" t="inlineStr">
        <is>
          <t>Sun</t>
        </is>
      </c>
      <c r="C2716" s="19" t="n">
        <v>9</v>
      </c>
      <c r="D2716" s="19" t="n">
        <v>2027</v>
      </c>
      <c r="E2716" s="57" t="n">
        <v>3</v>
      </c>
      <c r="F2716" s="29">
        <f>ROUND(((SUMIFS(Calendar!$F$2:$F$9997,Calendar!$B$2:$B$9997,D2716,Calendar!$C$2:$C$9997,C2716)*INDEX(ForeCalc!$B$37:$Y$274,MATCH(_xlfn.CONCAT(H2716," ",I2716),ForeCalc!$A$37:$A$274,0),MATCH(_xlfn.CONCAT(B2716," ",E2716),ForeCalc!$B$36:$Y$36,0))))*VLOOKUP(A2716,Calendar!$A$2:$H$9997,8,FALSE),0)</f>
        <v/>
      </c>
      <c r="G2716" s="29">
        <f>VLOOKUP(A2716,Calendar!$A$1:$H$9997,6,FALSE)-F2716</f>
        <v/>
      </c>
      <c r="H2716" s="19" t="n">
        <v>2</v>
      </c>
      <c r="I2716" s="57" t="n">
        <v>6</v>
      </c>
    </row>
    <row r="2717">
      <c r="A2717" s="62" t="n">
        <v>46636</v>
      </c>
      <c r="B2717" s="3" t="inlineStr">
        <is>
          <t>Week</t>
        </is>
      </c>
      <c r="C2717" s="19" t="n">
        <v>9</v>
      </c>
      <c r="D2717" s="19" t="n">
        <v>2027</v>
      </c>
      <c r="E2717" s="57" t="n">
        <v>3</v>
      </c>
      <c r="F2717" s="29">
        <f>ROUND(((SUMIFS(Calendar!$F$2:$F$9997,Calendar!$B$2:$B$9997,D2717,Calendar!$C$2:$C$9997,C2717)*INDEX(ForeCalc!$B$37:$Y$274,MATCH(_xlfn.CONCAT(H2717," ",I2717),ForeCalc!$A$37:$A$274,0),MATCH(_xlfn.CONCAT(B2717," ",E2717),ForeCalc!$B$36:$Y$36,0))))*VLOOKUP(A2717,Calendar!$A$2:$H$9997,8,FALSE),0)</f>
        <v/>
      </c>
      <c r="G2717" s="29">
        <f>VLOOKUP(A2717,Calendar!$A$1:$H$9997,6,FALSE)-F2717</f>
        <v/>
      </c>
      <c r="H2717" s="19" t="n">
        <v>2</v>
      </c>
      <c r="I2717" s="57" t="n">
        <v>6</v>
      </c>
    </row>
    <row r="2718">
      <c r="A2718" s="62" t="n">
        <v>46637</v>
      </c>
      <c r="B2718" s="3" t="inlineStr">
        <is>
          <t>Week</t>
        </is>
      </c>
      <c r="C2718" s="19" t="n">
        <v>9</v>
      </c>
      <c r="D2718" s="19" t="n">
        <v>2027</v>
      </c>
      <c r="E2718" s="57" t="n">
        <v>3</v>
      </c>
      <c r="F2718" s="29">
        <f>ROUND(((SUMIFS(Calendar!$F$2:$F$9997,Calendar!$B$2:$B$9997,D2718,Calendar!$C$2:$C$9997,C2718)*INDEX(ForeCalc!$B$37:$Y$274,MATCH(_xlfn.CONCAT(H2718," ",I2718),ForeCalc!$A$37:$A$274,0),MATCH(_xlfn.CONCAT(B2718," ",E2718),ForeCalc!$B$36:$Y$36,0))))*VLOOKUP(A2718,Calendar!$A$2:$H$9997,8,FALSE),0)</f>
        <v/>
      </c>
      <c r="G2718" s="29">
        <f>VLOOKUP(A2718,Calendar!$A$1:$H$9997,6,FALSE)-F2718</f>
        <v/>
      </c>
      <c r="H2718" s="19" t="n">
        <v>2</v>
      </c>
      <c r="I2718" s="57" t="n">
        <v>6</v>
      </c>
    </row>
    <row r="2719">
      <c r="A2719" s="62" t="n">
        <v>46638</v>
      </c>
      <c r="B2719" s="3" t="inlineStr">
        <is>
          <t>Week</t>
        </is>
      </c>
      <c r="C2719" s="19" t="n">
        <v>9</v>
      </c>
      <c r="D2719" s="19" t="n">
        <v>2027</v>
      </c>
      <c r="E2719" s="57" t="n">
        <v>3</v>
      </c>
      <c r="F2719" s="29">
        <f>ROUND(((SUMIFS(Calendar!$F$2:$F$9997,Calendar!$B$2:$B$9997,D2719,Calendar!$C$2:$C$9997,C2719)*INDEX(ForeCalc!$B$37:$Y$274,MATCH(_xlfn.CONCAT(H2719," ",I2719),ForeCalc!$A$37:$A$274,0),MATCH(_xlfn.CONCAT(B2719," ",E2719),ForeCalc!$B$36:$Y$36,0))))*VLOOKUP(A2719,Calendar!$A$2:$H$9997,8,FALSE),0)</f>
        <v/>
      </c>
      <c r="G2719" s="29">
        <f>VLOOKUP(A2719,Calendar!$A$1:$H$9997,6,FALSE)-F2719</f>
        <v/>
      </c>
      <c r="H2719" s="19" t="n">
        <v>2</v>
      </c>
      <c r="I2719" s="57" t="n">
        <v>6</v>
      </c>
    </row>
    <row r="2720">
      <c r="A2720" s="62" t="n">
        <v>46639</v>
      </c>
      <c r="B2720" s="3" t="inlineStr">
        <is>
          <t>Week</t>
        </is>
      </c>
      <c r="C2720" s="19" t="n">
        <v>9</v>
      </c>
      <c r="D2720" s="19" t="n">
        <v>2027</v>
      </c>
      <c r="E2720" s="57" t="n">
        <v>3</v>
      </c>
      <c r="F2720" s="29">
        <f>ROUND(((SUMIFS(Calendar!$F$2:$F$9997,Calendar!$B$2:$B$9997,D2720,Calendar!$C$2:$C$9997,C2720)*INDEX(ForeCalc!$B$37:$Y$274,MATCH(_xlfn.CONCAT(H2720," ",I2720),ForeCalc!$A$37:$A$274,0),MATCH(_xlfn.CONCAT(B2720," ",E2720),ForeCalc!$B$36:$Y$36,0))))*VLOOKUP(A2720,Calendar!$A$2:$H$9997,8,FALSE),0)</f>
        <v/>
      </c>
      <c r="G2720" s="29">
        <f>VLOOKUP(A2720,Calendar!$A$1:$H$9997,6,FALSE)-F2720</f>
        <v/>
      </c>
      <c r="H2720" s="19" t="n">
        <v>2</v>
      </c>
      <c r="I2720" s="57" t="n">
        <v>6</v>
      </c>
    </row>
    <row r="2721">
      <c r="A2721" s="62" t="n">
        <v>46640</v>
      </c>
      <c r="B2721" s="3" t="inlineStr">
        <is>
          <t>Week</t>
        </is>
      </c>
      <c r="C2721" s="19" t="n">
        <v>9</v>
      </c>
      <c r="D2721" s="19" t="n">
        <v>2027</v>
      </c>
      <c r="E2721" s="57" t="n">
        <v>3</v>
      </c>
      <c r="F2721" s="29">
        <f>ROUND(((SUMIFS(Calendar!$F$2:$F$9997,Calendar!$B$2:$B$9997,D2721,Calendar!$C$2:$C$9997,C2721)*INDEX(ForeCalc!$B$37:$Y$274,MATCH(_xlfn.CONCAT(H2721," ",I2721),ForeCalc!$A$37:$A$274,0),MATCH(_xlfn.CONCAT(B2721," ",E2721),ForeCalc!$B$36:$Y$36,0))))*VLOOKUP(A2721,Calendar!$A$2:$H$9997,8,FALSE),0)</f>
        <v/>
      </c>
      <c r="G2721" s="29">
        <f>VLOOKUP(A2721,Calendar!$A$1:$H$9997,6,FALSE)-F2721</f>
        <v/>
      </c>
      <c r="H2721" s="19" t="n">
        <v>2</v>
      </c>
      <c r="I2721" s="57" t="n">
        <v>6</v>
      </c>
    </row>
    <row r="2722">
      <c r="A2722" s="62" t="n">
        <v>46641</v>
      </c>
      <c r="B2722" s="3" t="inlineStr">
        <is>
          <t>Sat</t>
        </is>
      </c>
      <c r="C2722" s="19" t="n">
        <v>9</v>
      </c>
      <c r="D2722" s="19" t="n">
        <v>2027</v>
      </c>
      <c r="E2722" s="57" t="n">
        <v>3</v>
      </c>
      <c r="F2722" s="29">
        <f>ROUND(((SUMIFS(Calendar!$F$2:$F$9997,Calendar!$B$2:$B$9997,D2722,Calendar!$C$2:$C$9997,C2722)*INDEX(ForeCalc!$B$37:$Y$274,MATCH(_xlfn.CONCAT(H2722," ",I2722),ForeCalc!$A$37:$A$274,0),MATCH(_xlfn.CONCAT(B2722," ",E2722),ForeCalc!$B$36:$Y$36,0))))*VLOOKUP(A2722,Calendar!$A$2:$H$9997,8,FALSE),0)</f>
        <v/>
      </c>
      <c r="G2722" s="29">
        <f>VLOOKUP(A2722,Calendar!$A$1:$H$9997,6,FALSE)-F2722</f>
        <v/>
      </c>
      <c r="H2722" s="19" t="n">
        <v>2</v>
      </c>
      <c r="I2722" s="57" t="n">
        <v>6</v>
      </c>
    </row>
    <row r="2723">
      <c r="A2723" s="62" t="n">
        <v>46642</v>
      </c>
      <c r="B2723" s="3" t="inlineStr">
        <is>
          <t>Sun</t>
        </is>
      </c>
      <c r="C2723" s="19" t="n">
        <v>9</v>
      </c>
      <c r="D2723" s="19" t="n">
        <v>2027</v>
      </c>
      <c r="E2723" s="57" t="n">
        <v>3</v>
      </c>
      <c r="F2723" s="29">
        <f>ROUND(((SUMIFS(Calendar!$F$2:$F$9997,Calendar!$B$2:$B$9997,D2723,Calendar!$C$2:$C$9997,C2723)*INDEX(ForeCalc!$B$37:$Y$274,MATCH(_xlfn.CONCAT(H2723," ",I2723),ForeCalc!$A$37:$A$274,0),MATCH(_xlfn.CONCAT(B2723," ",E2723),ForeCalc!$B$36:$Y$36,0))))*VLOOKUP(A2723,Calendar!$A$2:$H$9997,8,FALSE),0)</f>
        <v/>
      </c>
      <c r="G2723" s="29">
        <f>VLOOKUP(A2723,Calendar!$A$1:$H$9997,6,FALSE)-F2723</f>
        <v/>
      </c>
      <c r="H2723" s="19" t="n">
        <v>2</v>
      </c>
      <c r="I2723" s="57" t="n">
        <v>6</v>
      </c>
    </row>
    <row r="2724">
      <c r="A2724" s="62" t="n">
        <v>46643</v>
      </c>
      <c r="B2724" s="3" t="inlineStr">
        <is>
          <t>Week</t>
        </is>
      </c>
      <c r="C2724" s="19" t="n">
        <v>9</v>
      </c>
      <c r="D2724" s="19" t="n">
        <v>2027</v>
      </c>
      <c r="E2724" s="57" t="n">
        <v>3</v>
      </c>
      <c r="F2724" s="29">
        <f>ROUND(((SUMIFS(Calendar!$F$2:$F$9997,Calendar!$B$2:$B$9997,D2724,Calendar!$C$2:$C$9997,C2724)*INDEX(ForeCalc!$B$37:$Y$274,MATCH(_xlfn.CONCAT(H2724," ",I2724),ForeCalc!$A$37:$A$274,0),MATCH(_xlfn.CONCAT(B2724," ",E2724),ForeCalc!$B$36:$Y$36,0))))*VLOOKUP(A2724,Calendar!$A$2:$H$9997,8,FALSE),0)</f>
        <v/>
      </c>
      <c r="G2724" s="29">
        <f>VLOOKUP(A2724,Calendar!$A$1:$H$9997,6,FALSE)-F2724</f>
        <v/>
      </c>
      <c r="H2724" s="19" t="n">
        <v>2</v>
      </c>
      <c r="I2724" s="57" t="n">
        <v>6</v>
      </c>
    </row>
    <row r="2725">
      <c r="A2725" s="62" t="n">
        <v>46644</v>
      </c>
      <c r="B2725" s="3" t="inlineStr">
        <is>
          <t>Week</t>
        </is>
      </c>
      <c r="C2725" s="19" t="n">
        <v>9</v>
      </c>
      <c r="D2725" s="19" t="n">
        <v>2027</v>
      </c>
      <c r="E2725" s="57" t="n">
        <v>3</v>
      </c>
      <c r="F2725" s="29">
        <f>ROUND(((SUMIFS(Calendar!$F$2:$F$9997,Calendar!$B$2:$B$9997,D2725,Calendar!$C$2:$C$9997,C2725)*INDEX(ForeCalc!$B$37:$Y$274,MATCH(_xlfn.CONCAT(H2725," ",I2725),ForeCalc!$A$37:$A$274,0),MATCH(_xlfn.CONCAT(B2725," ",E2725),ForeCalc!$B$36:$Y$36,0))))*VLOOKUP(A2725,Calendar!$A$2:$H$9997,8,FALSE),0)</f>
        <v/>
      </c>
      <c r="G2725" s="29">
        <f>VLOOKUP(A2725,Calendar!$A$1:$H$9997,6,FALSE)-F2725</f>
        <v/>
      </c>
      <c r="H2725" s="19" t="n">
        <v>2</v>
      </c>
      <c r="I2725" s="57" t="n">
        <v>6</v>
      </c>
    </row>
    <row r="2726">
      <c r="A2726" s="62" t="n">
        <v>46645</v>
      </c>
      <c r="B2726" s="3" t="inlineStr">
        <is>
          <t>Week</t>
        </is>
      </c>
      <c r="C2726" s="19" t="n">
        <v>9</v>
      </c>
      <c r="D2726" s="19" t="n">
        <v>2027</v>
      </c>
      <c r="E2726" s="57" t="n">
        <v>3</v>
      </c>
      <c r="F2726" s="29">
        <f>ROUND(((SUMIFS(Calendar!$F$2:$F$9997,Calendar!$B$2:$B$9997,D2726,Calendar!$C$2:$C$9997,C2726)*INDEX(ForeCalc!$B$37:$Y$274,MATCH(_xlfn.CONCAT(H2726," ",I2726),ForeCalc!$A$37:$A$274,0),MATCH(_xlfn.CONCAT(B2726," ",E2726),ForeCalc!$B$36:$Y$36,0))))*VLOOKUP(A2726,Calendar!$A$2:$H$9997,8,FALSE),0)</f>
        <v/>
      </c>
      <c r="G2726" s="29">
        <f>VLOOKUP(A2726,Calendar!$A$1:$H$9997,6,FALSE)-F2726</f>
        <v/>
      </c>
      <c r="H2726" s="19" t="n">
        <v>2</v>
      </c>
      <c r="I2726" s="57" t="n">
        <v>6</v>
      </c>
    </row>
    <row r="2727">
      <c r="A2727" s="62" t="n">
        <v>46646</v>
      </c>
      <c r="B2727" s="3" t="inlineStr">
        <is>
          <t>Week</t>
        </is>
      </c>
      <c r="C2727" s="19" t="n">
        <v>9</v>
      </c>
      <c r="D2727" s="19" t="n">
        <v>2027</v>
      </c>
      <c r="E2727" s="57" t="n">
        <v>3</v>
      </c>
      <c r="F2727" s="29">
        <f>ROUND(((SUMIFS(Calendar!$F$2:$F$9997,Calendar!$B$2:$B$9997,D2727,Calendar!$C$2:$C$9997,C2727)*INDEX(ForeCalc!$B$37:$Y$274,MATCH(_xlfn.CONCAT(H2727," ",I2727),ForeCalc!$A$37:$A$274,0),MATCH(_xlfn.CONCAT(B2727," ",E2727),ForeCalc!$B$36:$Y$36,0))))*VLOOKUP(A2727,Calendar!$A$2:$H$9997,8,FALSE),0)</f>
        <v/>
      </c>
      <c r="G2727" s="29">
        <f>VLOOKUP(A2727,Calendar!$A$1:$H$9997,6,FALSE)-F2727</f>
        <v/>
      </c>
      <c r="H2727" s="19" t="n">
        <v>2</v>
      </c>
      <c r="I2727" s="57" t="n">
        <v>6</v>
      </c>
    </row>
    <row r="2728">
      <c r="A2728" s="62" t="n">
        <v>46647</v>
      </c>
      <c r="B2728" s="3" t="inlineStr">
        <is>
          <t>Week</t>
        </is>
      </c>
      <c r="C2728" s="19" t="n">
        <v>9</v>
      </c>
      <c r="D2728" s="19" t="n">
        <v>2027</v>
      </c>
      <c r="E2728" s="57" t="n">
        <v>3</v>
      </c>
      <c r="F2728" s="29">
        <f>ROUND(((SUMIFS(Calendar!$F$2:$F$9997,Calendar!$B$2:$B$9997,D2728,Calendar!$C$2:$C$9997,C2728)*INDEX(ForeCalc!$B$37:$Y$274,MATCH(_xlfn.CONCAT(H2728," ",I2728),ForeCalc!$A$37:$A$274,0),MATCH(_xlfn.CONCAT(B2728," ",E2728),ForeCalc!$B$36:$Y$36,0))))*VLOOKUP(A2728,Calendar!$A$2:$H$9997,8,FALSE),0)</f>
        <v/>
      </c>
      <c r="G2728" s="29">
        <f>VLOOKUP(A2728,Calendar!$A$1:$H$9997,6,FALSE)-F2728</f>
        <v/>
      </c>
      <c r="H2728" s="19" t="n">
        <v>2</v>
      </c>
      <c r="I2728" s="57" t="n">
        <v>6</v>
      </c>
    </row>
    <row r="2729">
      <c r="A2729" s="62" t="n">
        <v>46648</v>
      </c>
      <c r="B2729" s="3" t="inlineStr">
        <is>
          <t>Sat</t>
        </is>
      </c>
      <c r="C2729" s="19" t="n">
        <v>9</v>
      </c>
      <c r="D2729" s="19" t="n">
        <v>2027</v>
      </c>
      <c r="E2729" s="57" t="n">
        <v>3</v>
      </c>
      <c r="F2729" s="29">
        <f>ROUND(((SUMIFS(Calendar!$F$2:$F$9997,Calendar!$B$2:$B$9997,D2729,Calendar!$C$2:$C$9997,C2729)*INDEX(ForeCalc!$B$37:$Y$274,MATCH(_xlfn.CONCAT(H2729," ",I2729),ForeCalc!$A$37:$A$274,0),MATCH(_xlfn.CONCAT(B2729," ",E2729),ForeCalc!$B$36:$Y$36,0))))*VLOOKUP(A2729,Calendar!$A$2:$H$9997,8,FALSE),0)</f>
        <v/>
      </c>
      <c r="G2729" s="29">
        <f>VLOOKUP(A2729,Calendar!$A$1:$H$9997,6,FALSE)-F2729</f>
        <v/>
      </c>
      <c r="H2729" s="19" t="n">
        <v>2</v>
      </c>
      <c r="I2729" s="57" t="n">
        <v>6</v>
      </c>
    </row>
    <row r="2730">
      <c r="A2730" s="62" t="n">
        <v>46649</v>
      </c>
      <c r="B2730" s="3" t="inlineStr">
        <is>
          <t>Sun</t>
        </is>
      </c>
      <c r="C2730" s="19" t="n">
        <v>9</v>
      </c>
      <c r="D2730" s="19" t="n">
        <v>2027</v>
      </c>
      <c r="E2730" s="57" t="n">
        <v>3</v>
      </c>
      <c r="F2730" s="29">
        <f>ROUND(((SUMIFS(Calendar!$F$2:$F$9997,Calendar!$B$2:$B$9997,D2730,Calendar!$C$2:$C$9997,C2730)*INDEX(ForeCalc!$B$37:$Y$274,MATCH(_xlfn.CONCAT(H2730," ",I2730),ForeCalc!$A$37:$A$274,0),MATCH(_xlfn.CONCAT(B2730," ",E2730),ForeCalc!$B$36:$Y$36,0))))*VLOOKUP(A2730,Calendar!$A$2:$H$9997,8,FALSE),0)</f>
        <v/>
      </c>
      <c r="G2730" s="29">
        <f>VLOOKUP(A2730,Calendar!$A$1:$H$9997,6,FALSE)-F2730</f>
        <v/>
      </c>
      <c r="H2730" s="19" t="n">
        <v>2</v>
      </c>
      <c r="I2730" s="57" t="n">
        <v>6</v>
      </c>
    </row>
    <row r="2731">
      <c r="A2731" s="62" t="n">
        <v>46650</v>
      </c>
      <c r="B2731" s="3" t="inlineStr">
        <is>
          <t>Week</t>
        </is>
      </c>
      <c r="C2731" s="19" t="n">
        <v>9</v>
      </c>
      <c r="D2731" s="19" t="n">
        <v>2027</v>
      </c>
      <c r="E2731" s="57" t="n">
        <v>3</v>
      </c>
      <c r="F2731" s="29">
        <f>ROUND(((SUMIFS(Calendar!$F$2:$F$9997,Calendar!$B$2:$B$9997,D2731,Calendar!$C$2:$C$9997,C2731)*INDEX(ForeCalc!$B$37:$Y$274,MATCH(_xlfn.CONCAT(H2731," ",I2731),ForeCalc!$A$37:$A$274,0),MATCH(_xlfn.CONCAT(B2731," ",E2731),ForeCalc!$B$36:$Y$36,0))))*VLOOKUP(A2731,Calendar!$A$2:$H$9997,8,FALSE),0)</f>
        <v/>
      </c>
      <c r="G2731" s="29">
        <f>VLOOKUP(A2731,Calendar!$A$1:$H$9997,6,FALSE)-F2731</f>
        <v/>
      </c>
      <c r="H2731" s="19" t="n">
        <v>2</v>
      </c>
      <c r="I2731" s="57" t="n">
        <v>6</v>
      </c>
    </row>
    <row r="2732">
      <c r="A2732" s="62" t="n">
        <v>46651</v>
      </c>
      <c r="B2732" s="3" t="inlineStr">
        <is>
          <t>Week</t>
        </is>
      </c>
      <c r="C2732" s="19" t="n">
        <v>9</v>
      </c>
      <c r="D2732" s="19" t="n">
        <v>2027</v>
      </c>
      <c r="E2732" s="57" t="n">
        <v>3</v>
      </c>
      <c r="F2732" s="29">
        <f>ROUND(((SUMIFS(Calendar!$F$2:$F$9997,Calendar!$B$2:$B$9997,D2732,Calendar!$C$2:$C$9997,C2732)*INDEX(ForeCalc!$B$37:$Y$274,MATCH(_xlfn.CONCAT(H2732," ",I2732),ForeCalc!$A$37:$A$274,0),MATCH(_xlfn.CONCAT(B2732," ",E2732),ForeCalc!$B$36:$Y$36,0))))*VLOOKUP(A2732,Calendar!$A$2:$H$9997,8,FALSE),0)</f>
        <v/>
      </c>
      <c r="G2732" s="29">
        <f>VLOOKUP(A2732,Calendar!$A$1:$H$9997,6,FALSE)-F2732</f>
        <v/>
      </c>
      <c r="H2732" s="19" t="n">
        <v>2</v>
      </c>
      <c r="I2732" s="57" t="n">
        <v>6</v>
      </c>
    </row>
    <row r="2733">
      <c r="A2733" s="62" t="n">
        <v>46652</v>
      </c>
      <c r="B2733" s="3" t="inlineStr">
        <is>
          <t>Week</t>
        </is>
      </c>
      <c r="C2733" s="19" t="n">
        <v>9</v>
      </c>
      <c r="D2733" s="19" t="n">
        <v>2027</v>
      </c>
      <c r="E2733" s="57" t="n">
        <v>3</v>
      </c>
      <c r="F2733" s="29">
        <f>ROUND(((SUMIFS(Calendar!$F$2:$F$9997,Calendar!$B$2:$B$9997,D2733,Calendar!$C$2:$C$9997,C2733)*INDEX(ForeCalc!$B$37:$Y$274,MATCH(_xlfn.CONCAT(H2733," ",I2733),ForeCalc!$A$37:$A$274,0),MATCH(_xlfn.CONCAT(B2733," ",E2733),ForeCalc!$B$36:$Y$36,0))))*VLOOKUP(A2733,Calendar!$A$2:$H$9997,8,FALSE),0)</f>
        <v/>
      </c>
      <c r="G2733" s="29">
        <f>VLOOKUP(A2733,Calendar!$A$1:$H$9997,6,FALSE)-F2733</f>
        <v/>
      </c>
      <c r="H2733" s="19" t="n">
        <v>2</v>
      </c>
      <c r="I2733" s="57" t="n">
        <v>6</v>
      </c>
    </row>
    <row r="2734">
      <c r="A2734" s="62" t="n">
        <v>46653</v>
      </c>
      <c r="B2734" s="3" t="inlineStr">
        <is>
          <t>Week</t>
        </is>
      </c>
      <c r="C2734" s="19" t="n">
        <v>9</v>
      </c>
      <c r="D2734" s="19" t="n">
        <v>2027</v>
      </c>
      <c r="E2734" s="57" t="n">
        <v>3</v>
      </c>
      <c r="F2734" s="29">
        <f>ROUND(((SUMIFS(Calendar!$F$2:$F$9997,Calendar!$B$2:$B$9997,D2734,Calendar!$C$2:$C$9997,C2734)*INDEX(ForeCalc!$B$37:$Y$274,MATCH(_xlfn.CONCAT(H2734," ",I2734),ForeCalc!$A$37:$A$274,0),MATCH(_xlfn.CONCAT(B2734," ",E2734),ForeCalc!$B$36:$Y$36,0))))*VLOOKUP(A2734,Calendar!$A$2:$H$9997,8,FALSE),0)</f>
        <v/>
      </c>
      <c r="G2734" s="29">
        <f>VLOOKUP(A2734,Calendar!$A$1:$H$9997,6,FALSE)-F2734</f>
        <v/>
      </c>
      <c r="H2734" s="19" t="n">
        <v>2</v>
      </c>
      <c r="I2734" s="57" t="n">
        <v>6</v>
      </c>
    </row>
    <row r="2735">
      <c r="A2735" s="62" t="n">
        <v>46654</v>
      </c>
      <c r="B2735" s="3" t="inlineStr">
        <is>
          <t>Week</t>
        </is>
      </c>
      <c r="C2735" s="19" t="n">
        <v>9</v>
      </c>
      <c r="D2735" s="19" t="n">
        <v>2027</v>
      </c>
      <c r="E2735" s="57" t="n">
        <v>3</v>
      </c>
      <c r="F2735" s="29">
        <f>ROUND(((SUMIFS(Calendar!$F$2:$F$9997,Calendar!$B$2:$B$9997,D2735,Calendar!$C$2:$C$9997,C2735)*INDEX(ForeCalc!$B$37:$Y$274,MATCH(_xlfn.CONCAT(H2735," ",I2735),ForeCalc!$A$37:$A$274,0),MATCH(_xlfn.CONCAT(B2735," ",E2735),ForeCalc!$B$36:$Y$36,0))))*VLOOKUP(A2735,Calendar!$A$2:$H$9997,8,FALSE),0)</f>
        <v/>
      </c>
      <c r="G2735" s="29">
        <f>VLOOKUP(A2735,Calendar!$A$1:$H$9997,6,FALSE)-F2735</f>
        <v/>
      </c>
      <c r="H2735" s="19" t="n">
        <v>2</v>
      </c>
      <c r="I2735" s="57" t="n">
        <v>6</v>
      </c>
    </row>
    <row r="2736">
      <c r="A2736" s="62" t="n">
        <v>46655</v>
      </c>
      <c r="B2736" s="3" t="inlineStr">
        <is>
          <t>Sat</t>
        </is>
      </c>
      <c r="C2736" s="19" t="n">
        <v>9</v>
      </c>
      <c r="D2736" s="19" t="n">
        <v>2027</v>
      </c>
      <c r="E2736" s="57" t="n">
        <v>3</v>
      </c>
      <c r="F2736" s="29">
        <f>ROUND(((SUMIFS(Calendar!$F$2:$F$9997,Calendar!$B$2:$B$9997,D2736,Calendar!$C$2:$C$9997,C2736)*INDEX(ForeCalc!$B$37:$Y$274,MATCH(_xlfn.CONCAT(H2736," ",I2736),ForeCalc!$A$37:$A$274,0),MATCH(_xlfn.CONCAT(B2736," ",E2736),ForeCalc!$B$36:$Y$36,0))))*VLOOKUP(A2736,Calendar!$A$2:$H$9997,8,FALSE),0)</f>
        <v/>
      </c>
      <c r="G2736" s="29">
        <f>VLOOKUP(A2736,Calendar!$A$1:$H$9997,6,FALSE)-F2736</f>
        <v/>
      </c>
      <c r="H2736" s="19" t="n">
        <v>2</v>
      </c>
      <c r="I2736" s="57" t="n">
        <v>6</v>
      </c>
    </row>
    <row r="2737">
      <c r="A2737" s="62" t="n">
        <v>46656</v>
      </c>
      <c r="B2737" s="3" t="inlineStr">
        <is>
          <t>Sun</t>
        </is>
      </c>
      <c r="C2737" s="19" t="n">
        <v>9</v>
      </c>
      <c r="D2737" s="19" t="n">
        <v>2027</v>
      </c>
      <c r="E2737" s="57" t="n">
        <v>3</v>
      </c>
      <c r="F2737" s="29">
        <f>ROUND(((SUMIFS(Calendar!$F$2:$F$9997,Calendar!$B$2:$B$9997,D2737,Calendar!$C$2:$C$9997,C2737)*INDEX(ForeCalc!$B$37:$Y$274,MATCH(_xlfn.CONCAT(H2737," ",I2737),ForeCalc!$A$37:$A$274,0),MATCH(_xlfn.CONCAT(B2737," ",E2737),ForeCalc!$B$36:$Y$36,0))))*VLOOKUP(A2737,Calendar!$A$2:$H$9997,8,FALSE),0)</f>
        <v/>
      </c>
      <c r="G2737" s="29">
        <f>VLOOKUP(A2737,Calendar!$A$1:$H$9997,6,FALSE)-F2737</f>
        <v/>
      </c>
      <c r="H2737" s="19" t="n">
        <v>2</v>
      </c>
      <c r="I2737" s="57" t="n">
        <v>6</v>
      </c>
    </row>
    <row r="2738">
      <c r="A2738" s="62" t="n">
        <v>46657</v>
      </c>
      <c r="B2738" s="3" t="inlineStr">
        <is>
          <t>Week</t>
        </is>
      </c>
      <c r="C2738" s="19" t="n">
        <v>9</v>
      </c>
      <c r="D2738" s="19" t="n">
        <v>2027</v>
      </c>
      <c r="E2738" s="57" t="n">
        <v>3</v>
      </c>
      <c r="F2738" s="29">
        <f>ROUND(((SUMIFS(Calendar!$F$2:$F$9997,Calendar!$B$2:$B$9997,D2738,Calendar!$C$2:$C$9997,C2738)*INDEX(ForeCalc!$B$37:$Y$274,MATCH(_xlfn.CONCAT(H2738," ",I2738),ForeCalc!$A$37:$A$274,0),MATCH(_xlfn.CONCAT(B2738," ",E2738),ForeCalc!$B$36:$Y$36,0))))*VLOOKUP(A2738,Calendar!$A$2:$H$9997,8,FALSE),0)</f>
        <v/>
      </c>
      <c r="G2738" s="29">
        <f>VLOOKUP(A2738,Calendar!$A$1:$H$9997,6,FALSE)-F2738</f>
        <v/>
      </c>
      <c r="H2738" s="19" t="n">
        <v>2</v>
      </c>
      <c r="I2738" s="57" t="n">
        <v>6</v>
      </c>
    </row>
    <row r="2739">
      <c r="A2739" s="62" t="n">
        <v>46658</v>
      </c>
      <c r="B2739" s="3" t="inlineStr">
        <is>
          <t>Week</t>
        </is>
      </c>
      <c r="C2739" s="19" t="n">
        <v>9</v>
      </c>
      <c r="D2739" s="19" t="n">
        <v>2027</v>
      </c>
      <c r="E2739" s="57" t="n">
        <v>3</v>
      </c>
      <c r="F2739" s="29">
        <f>ROUND(((SUMIFS(Calendar!$F$2:$F$9997,Calendar!$B$2:$B$9997,D2739,Calendar!$C$2:$C$9997,C2739)*INDEX(ForeCalc!$B$37:$Y$274,MATCH(_xlfn.CONCAT(H2739," ",I2739),ForeCalc!$A$37:$A$274,0),MATCH(_xlfn.CONCAT(B2739," ",E2739),ForeCalc!$B$36:$Y$36,0))))*VLOOKUP(A2739,Calendar!$A$2:$H$9997,8,FALSE),0)</f>
        <v/>
      </c>
      <c r="G2739" s="29">
        <f>VLOOKUP(A2739,Calendar!$A$1:$H$9997,6,FALSE)-F2739</f>
        <v/>
      </c>
      <c r="H2739" s="19" t="n">
        <v>2</v>
      </c>
      <c r="I2739" s="57" t="n">
        <v>6</v>
      </c>
    </row>
    <row r="2740">
      <c r="A2740" s="62" t="n">
        <v>46659</v>
      </c>
      <c r="B2740" s="3" t="inlineStr">
        <is>
          <t>Week</t>
        </is>
      </c>
      <c r="C2740" s="19" t="n">
        <v>9</v>
      </c>
      <c r="D2740" s="19" t="n">
        <v>2027</v>
      </c>
      <c r="E2740" s="57" t="n">
        <v>3</v>
      </c>
      <c r="F2740" s="29">
        <f>ROUND(((SUMIFS(Calendar!$F$2:$F$9997,Calendar!$B$2:$B$9997,D2740,Calendar!$C$2:$C$9997,C2740)*INDEX(ForeCalc!$B$37:$Y$274,MATCH(_xlfn.CONCAT(H2740," ",I2740),ForeCalc!$A$37:$A$274,0),MATCH(_xlfn.CONCAT(B2740," ",E2740),ForeCalc!$B$36:$Y$36,0))))*VLOOKUP(A2740,Calendar!$A$2:$H$9997,8,FALSE),0)</f>
        <v/>
      </c>
      <c r="G2740" s="29">
        <f>VLOOKUP(A2740,Calendar!$A$1:$H$9997,6,FALSE)-F2740</f>
        <v/>
      </c>
      <c r="H2740" s="19" t="n">
        <v>2</v>
      </c>
      <c r="I2740" s="57" t="n">
        <v>6</v>
      </c>
    </row>
    <row r="2741">
      <c r="A2741" s="62" t="n">
        <v>46660</v>
      </c>
      <c r="B2741" s="3" t="inlineStr">
        <is>
          <t>Week</t>
        </is>
      </c>
      <c r="C2741" s="19" t="n">
        <v>9</v>
      </c>
      <c r="D2741" s="19" t="n">
        <v>2027</v>
      </c>
      <c r="E2741" s="57" t="n">
        <v>3</v>
      </c>
      <c r="F2741" s="29">
        <f>ROUND(((SUMIFS(Calendar!$F$2:$F$9997,Calendar!$B$2:$B$9997,D2741,Calendar!$C$2:$C$9997,C2741)*INDEX(ForeCalc!$B$37:$Y$274,MATCH(_xlfn.CONCAT(H2741," ",I2741),ForeCalc!$A$37:$A$274,0),MATCH(_xlfn.CONCAT(B2741," ",E2741),ForeCalc!$B$36:$Y$36,0))))*VLOOKUP(A2741,Calendar!$A$2:$H$9997,8,FALSE),0)</f>
        <v/>
      </c>
      <c r="G2741" s="29">
        <f>VLOOKUP(A2741,Calendar!$A$1:$H$9997,6,FALSE)-F2741</f>
        <v/>
      </c>
      <c r="H2741" s="19" t="n">
        <v>2</v>
      </c>
      <c r="I2741" s="57" t="n">
        <v>6</v>
      </c>
    </row>
    <row r="2742">
      <c r="A2742" s="62" t="n">
        <v>46661</v>
      </c>
      <c r="B2742" s="3" t="inlineStr">
        <is>
          <t>Week</t>
        </is>
      </c>
      <c r="C2742" s="19" t="n">
        <v>10</v>
      </c>
      <c r="D2742" s="19" t="n">
        <v>2027</v>
      </c>
      <c r="E2742" s="57" t="n">
        <v>3</v>
      </c>
      <c r="F2742" s="29">
        <f>ROUND(((SUMIFS(Calendar!$F$2:$F$9997,Calendar!$B$2:$B$9997,D2742,Calendar!$C$2:$C$9997,C2742)*INDEX(ForeCalc!$B$37:$Y$274,MATCH(_xlfn.CONCAT(H2742," ",I2742),ForeCalc!$A$37:$A$274,0),MATCH(_xlfn.CONCAT(B2742," ",E2742),ForeCalc!$B$36:$Y$36,0))))*VLOOKUP(A2742,Calendar!$A$2:$H$9997,8,FALSE),0)</f>
        <v/>
      </c>
      <c r="G2742" s="29">
        <f>VLOOKUP(A2742,Calendar!$A$1:$H$9997,6,FALSE)-F2742</f>
        <v/>
      </c>
      <c r="H2742" s="19" t="n">
        <v>2</v>
      </c>
      <c r="I2742" s="57" t="n">
        <v>7</v>
      </c>
    </row>
    <row r="2743">
      <c r="A2743" s="62" t="n">
        <v>46662</v>
      </c>
      <c r="B2743" s="3" t="inlineStr">
        <is>
          <t>Sat</t>
        </is>
      </c>
      <c r="C2743" s="19" t="n">
        <v>10</v>
      </c>
      <c r="D2743" s="19" t="n">
        <v>2027</v>
      </c>
      <c r="E2743" s="57" t="n">
        <v>3</v>
      </c>
      <c r="F2743" s="29">
        <f>ROUND(((SUMIFS(Calendar!$F$2:$F$9997,Calendar!$B$2:$B$9997,D2743,Calendar!$C$2:$C$9997,C2743)*INDEX(ForeCalc!$B$37:$Y$274,MATCH(_xlfn.CONCAT(H2743," ",I2743),ForeCalc!$A$37:$A$274,0),MATCH(_xlfn.CONCAT(B2743," ",E2743),ForeCalc!$B$36:$Y$36,0))))*VLOOKUP(A2743,Calendar!$A$2:$H$9997,8,FALSE),0)</f>
        <v/>
      </c>
      <c r="G2743" s="29">
        <f>VLOOKUP(A2743,Calendar!$A$1:$H$9997,6,FALSE)-F2743</f>
        <v/>
      </c>
      <c r="H2743" s="19" t="n">
        <v>2</v>
      </c>
      <c r="I2743" s="57" t="n">
        <v>7</v>
      </c>
    </row>
    <row r="2744">
      <c r="A2744" s="62" t="n">
        <v>46663</v>
      </c>
      <c r="B2744" s="3" t="inlineStr">
        <is>
          <t>Sun</t>
        </is>
      </c>
      <c r="C2744" s="19" t="n">
        <v>10</v>
      </c>
      <c r="D2744" s="19" t="n">
        <v>2027</v>
      </c>
      <c r="E2744" s="57" t="n">
        <v>3</v>
      </c>
      <c r="F2744" s="29">
        <f>ROUND(((SUMIFS(Calendar!$F$2:$F$9997,Calendar!$B$2:$B$9997,D2744,Calendar!$C$2:$C$9997,C2744)*INDEX(ForeCalc!$B$37:$Y$274,MATCH(_xlfn.CONCAT(H2744," ",I2744),ForeCalc!$A$37:$A$274,0),MATCH(_xlfn.CONCAT(B2744," ",E2744),ForeCalc!$B$36:$Y$36,0))))*VLOOKUP(A2744,Calendar!$A$2:$H$9997,8,FALSE),0)</f>
        <v/>
      </c>
      <c r="G2744" s="29">
        <f>VLOOKUP(A2744,Calendar!$A$1:$H$9997,6,FALSE)-F2744</f>
        <v/>
      </c>
      <c r="H2744" s="19" t="n">
        <v>2</v>
      </c>
      <c r="I2744" s="57" t="n">
        <v>7</v>
      </c>
    </row>
    <row r="2745">
      <c r="A2745" s="62" t="n">
        <v>46664</v>
      </c>
      <c r="B2745" s="3" t="inlineStr">
        <is>
          <t>Week</t>
        </is>
      </c>
      <c r="C2745" s="19" t="n">
        <v>10</v>
      </c>
      <c r="D2745" s="19" t="n">
        <v>2027</v>
      </c>
      <c r="E2745" s="57" t="n">
        <v>3</v>
      </c>
      <c r="F2745" s="29">
        <f>ROUND(((SUMIFS(Calendar!$F$2:$F$9997,Calendar!$B$2:$B$9997,D2745,Calendar!$C$2:$C$9997,C2745)*INDEX(ForeCalc!$B$37:$Y$274,MATCH(_xlfn.CONCAT(H2745," ",I2745),ForeCalc!$A$37:$A$274,0),MATCH(_xlfn.CONCAT(B2745," ",E2745),ForeCalc!$B$36:$Y$36,0))))*VLOOKUP(A2745,Calendar!$A$2:$H$9997,8,FALSE),0)</f>
        <v/>
      </c>
      <c r="G2745" s="29">
        <f>VLOOKUP(A2745,Calendar!$A$1:$H$9997,6,FALSE)-F2745</f>
        <v/>
      </c>
      <c r="H2745" s="19" t="n">
        <v>2</v>
      </c>
      <c r="I2745" s="57" t="n">
        <v>7</v>
      </c>
    </row>
    <row r="2746">
      <c r="A2746" s="62" t="n">
        <v>46665</v>
      </c>
      <c r="B2746" s="3" t="inlineStr">
        <is>
          <t>Week</t>
        </is>
      </c>
      <c r="C2746" s="19" t="n">
        <v>10</v>
      </c>
      <c r="D2746" s="19" t="n">
        <v>2027</v>
      </c>
      <c r="E2746" s="57" t="n">
        <v>3</v>
      </c>
      <c r="F2746" s="29">
        <f>ROUND(((SUMIFS(Calendar!$F$2:$F$9997,Calendar!$B$2:$B$9997,D2746,Calendar!$C$2:$C$9997,C2746)*INDEX(ForeCalc!$B$37:$Y$274,MATCH(_xlfn.CONCAT(H2746," ",I2746),ForeCalc!$A$37:$A$274,0),MATCH(_xlfn.CONCAT(B2746," ",E2746),ForeCalc!$B$36:$Y$36,0))))*VLOOKUP(A2746,Calendar!$A$2:$H$9997,8,FALSE),0)</f>
        <v/>
      </c>
      <c r="G2746" s="29">
        <f>VLOOKUP(A2746,Calendar!$A$1:$H$9997,6,FALSE)-F2746</f>
        <v/>
      </c>
      <c r="H2746" s="19" t="n">
        <v>2</v>
      </c>
      <c r="I2746" s="57" t="n">
        <v>7</v>
      </c>
    </row>
    <row r="2747">
      <c r="A2747" s="62" t="n">
        <v>46666</v>
      </c>
      <c r="B2747" s="3" t="inlineStr">
        <is>
          <t>Week</t>
        </is>
      </c>
      <c r="C2747" s="19" t="n">
        <v>10</v>
      </c>
      <c r="D2747" s="19" t="n">
        <v>2027</v>
      </c>
      <c r="E2747" s="57" t="n">
        <v>3</v>
      </c>
      <c r="F2747" s="29">
        <f>ROUND(((SUMIFS(Calendar!$F$2:$F$9997,Calendar!$B$2:$B$9997,D2747,Calendar!$C$2:$C$9997,C2747)*INDEX(ForeCalc!$B$37:$Y$274,MATCH(_xlfn.CONCAT(H2747," ",I2747),ForeCalc!$A$37:$A$274,0),MATCH(_xlfn.CONCAT(B2747," ",E2747),ForeCalc!$B$36:$Y$36,0))))*VLOOKUP(A2747,Calendar!$A$2:$H$9997,8,FALSE),0)</f>
        <v/>
      </c>
      <c r="G2747" s="29">
        <f>VLOOKUP(A2747,Calendar!$A$1:$H$9997,6,FALSE)-F2747</f>
        <v/>
      </c>
      <c r="H2747" s="19" t="n">
        <v>2</v>
      </c>
      <c r="I2747" s="57" t="n">
        <v>7</v>
      </c>
    </row>
    <row r="2748">
      <c r="A2748" s="62" t="n">
        <v>46667</v>
      </c>
      <c r="B2748" s="3" t="inlineStr">
        <is>
          <t>Week</t>
        </is>
      </c>
      <c r="C2748" s="19" t="n">
        <v>10</v>
      </c>
      <c r="D2748" s="19" t="n">
        <v>2027</v>
      </c>
      <c r="E2748" s="57" t="n">
        <v>3</v>
      </c>
      <c r="F2748" s="29">
        <f>ROUND(((SUMIFS(Calendar!$F$2:$F$9997,Calendar!$B$2:$B$9997,D2748,Calendar!$C$2:$C$9997,C2748)*INDEX(ForeCalc!$B$37:$Y$274,MATCH(_xlfn.CONCAT(H2748," ",I2748),ForeCalc!$A$37:$A$274,0),MATCH(_xlfn.CONCAT(B2748," ",E2748),ForeCalc!$B$36:$Y$36,0))))*VLOOKUP(A2748,Calendar!$A$2:$H$9997,8,FALSE),0)</f>
        <v/>
      </c>
      <c r="G2748" s="29">
        <f>VLOOKUP(A2748,Calendar!$A$1:$H$9997,6,FALSE)-F2748</f>
        <v/>
      </c>
      <c r="H2748" s="19" t="n">
        <v>2</v>
      </c>
      <c r="I2748" s="57" t="n">
        <v>7</v>
      </c>
    </row>
    <row r="2749">
      <c r="A2749" s="62" t="n">
        <v>46668</v>
      </c>
      <c r="B2749" s="3" t="inlineStr">
        <is>
          <t>Week</t>
        </is>
      </c>
      <c r="C2749" s="19" t="n">
        <v>10</v>
      </c>
      <c r="D2749" s="19" t="n">
        <v>2027</v>
      </c>
      <c r="E2749" s="57" t="n">
        <v>3</v>
      </c>
      <c r="F2749" s="29">
        <f>ROUND(((SUMIFS(Calendar!$F$2:$F$9997,Calendar!$B$2:$B$9997,D2749,Calendar!$C$2:$C$9997,C2749)*INDEX(ForeCalc!$B$37:$Y$274,MATCH(_xlfn.CONCAT(H2749," ",I2749),ForeCalc!$A$37:$A$274,0),MATCH(_xlfn.CONCAT(B2749," ",E2749),ForeCalc!$B$36:$Y$36,0))))*VLOOKUP(A2749,Calendar!$A$2:$H$9997,8,FALSE),0)</f>
        <v/>
      </c>
      <c r="G2749" s="29">
        <f>VLOOKUP(A2749,Calendar!$A$1:$H$9997,6,FALSE)-F2749</f>
        <v/>
      </c>
      <c r="H2749" s="19" t="n">
        <v>2</v>
      </c>
      <c r="I2749" s="57" t="n">
        <v>7</v>
      </c>
    </row>
    <row r="2750">
      <c r="A2750" s="62" t="n">
        <v>46669</v>
      </c>
      <c r="B2750" s="3" t="inlineStr">
        <is>
          <t>Sat</t>
        </is>
      </c>
      <c r="C2750" s="19" t="n">
        <v>10</v>
      </c>
      <c r="D2750" s="19" t="n">
        <v>2027</v>
      </c>
      <c r="E2750" s="57" t="n">
        <v>3</v>
      </c>
      <c r="F2750" s="29">
        <f>ROUND(((SUMIFS(Calendar!$F$2:$F$9997,Calendar!$B$2:$B$9997,D2750,Calendar!$C$2:$C$9997,C2750)*INDEX(ForeCalc!$B$37:$Y$274,MATCH(_xlfn.CONCAT(H2750," ",I2750),ForeCalc!$A$37:$A$274,0),MATCH(_xlfn.CONCAT(B2750," ",E2750),ForeCalc!$B$36:$Y$36,0))))*VLOOKUP(A2750,Calendar!$A$2:$H$9997,8,FALSE),0)</f>
        <v/>
      </c>
      <c r="G2750" s="29">
        <f>VLOOKUP(A2750,Calendar!$A$1:$H$9997,6,FALSE)-F2750</f>
        <v/>
      </c>
      <c r="H2750" s="19" t="n">
        <v>2</v>
      </c>
      <c r="I2750" s="57" t="n">
        <v>7</v>
      </c>
    </row>
    <row r="2751">
      <c r="A2751" s="62" t="n">
        <v>46670</v>
      </c>
      <c r="B2751" s="3" t="inlineStr">
        <is>
          <t>Sun</t>
        </is>
      </c>
      <c r="C2751" s="19" t="n">
        <v>10</v>
      </c>
      <c r="D2751" s="19" t="n">
        <v>2027</v>
      </c>
      <c r="E2751" s="57" t="n">
        <v>3</v>
      </c>
      <c r="F2751" s="29">
        <f>ROUND(((SUMIFS(Calendar!$F$2:$F$9997,Calendar!$B$2:$B$9997,D2751,Calendar!$C$2:$C$9997,C2751)*INDEX(ForeCalc!$B$37:$Y$274,MATCH(_xlfn.CONCAT(H2751," ",I2751),ForeCalc!$A$37:$A$274,0),MATCH(_xlfn.CONCAT(B2751," ",E2751),ForeCalc!$B$36:$Y$36,0))))*VLOOKUP(A2751,Calendar!$A$2:$H$9997,8,FALSE),0)</f>
        <v/>
      </c>
      <c r="G2751" s="29">
        <f>VLOOKUP(A2751,Calendar!$A$1:$H$9997,6,FALSE)-F2751</f>
        <v/>
      </c>
      <c r="H2751" s="19" t="n">
        <v>2</v>
      </c>
      <c r="I2751" s="57" t="n">
        <v>7</v>
      </c>
    </row>
    <row r="2752">
      <c r="A2752" s="62" t="n">
        <v>46671</v>
      </c>
      <c r="B2752" s="3" t="inlineStr">
        <is>
          <t>Week</t>
        </is>
      </c>
      <c r="C2752" s="19" t="n">
        <v>10</v>
      </c>
      <c r="D2752" s="19" t="n">
        <v>2027</v>
      </c>
      <c r="E2752" s="57" t="n">
        <v>3</v>
      </c>
      <c r="F2752" s="29">
        <f>ROUND(((SUMIFS(Calendar!$F$2:$F$9997,Calendar!$B$2:$B$9997,D2752,Calendar!$C$2:$C$9997,C2752)*INDEX(ForeCalc!$B$37:$Y$274,MATCH(_xlfn.CONCAT(H2752," ",I2752),ForeCalc!$A$37:$A$274,0),MATCH(_xlfn.CONCAT(B2752," ",E2752),ForeCalc!$B$36:$Y$36,0))))*VLOOKUP(A2752,Calendar!$A$2:$H$9997,8,FALSE),0)</f>
        <v/>
      </c>
      <c r="G2752" s="29">
        <f>VLOOKUP(A2752,Calendar!$A$1:$H$9997,6,FALSE)-F2752</f>
        <v/>
      </c>
      <c r="H2752" s="19" t="n">
        <v>2</v>
      </c>
      <c r="I2752" s="57" t="n">
        <v>7</v>
      </c>
    </row>
    <row r="2753">
      <c r="A2753" s="62" t="n">
        <v>46672</v>
      </c>
      <c r="B2753" s="3" t="inlineStr">
        <is>
          <t>Week</t>
        </is>
      </c>
      <c r="C2753" s="19" t="n">
        <v>10</v>
      </c>
      <c r="D2753" s="19" t="n">
        <v>2027</v>
      </c>
      <c r="E2753" s="57" t="n">
        <v>3</v>
      </c>
      <c r="F2753" s="29">
        <f>ROUND(((SUMIFS(Calendar!$F$2:$F$9997,Calendar!$B$2:$B$9997,D2753,Calendar!$C$2:$C$9997,C2753)*INDEX(ForeCalc!$B$37:$Y$274,MATCH(_xlfn.CONCAT(H2753," ",I2753),ForeCalc!$A$37:$A$274,0),MATCH(_xlfn.CONCAT(B2753," ",E2753),ForeCalc!$B$36:$Y$36,0))))*VLOOKUP(A2753,Calendar!$A$2:$H$9997,8,FALSE),0)</f>
        <v/>
      </c>
      <c r="G2753" s="29">
        <f>VLOOKUP(A2753,Calendar!$A$1:$H$9997,6,FALSE)-F2753</f>
        <v/>
      </c>
      <c r="H2753" s="19" t="n">
        <v>2</v>
      </c>
      <c r="I2753" s="57" t="n">
        <v>7</v>
      </c>
    </row>
    <row r="2754">
      <c r="A2754" s="62" t="n">
        <v>46673</v>
      </c>
      <c r="B2754" s="3" t="inlineStr">
        <is>
          <t>Week</t>
        </is>
      </c>
      <c r="C2754" s="19" t="n">
        <v>10</v>
      </c>
      <c r="D2754" s="19" t="n">
        <v>2027</v>
      </c>
      <c r="E2754" s="57" t="n">
        <v>3</v>
      </c>
      <c r="F2754" s="29">
        <f>ROUND(((SUMIFS(Calendar!$F$2:$F$9997,Calendar!$B$2:$B$9997,D2754,Calendar!$C$2:$C$9997,C2754)*INDEX(ForeCalc!$B$37:$Y$274,MATCH(_xlfn.CONCAT(H2754," ",I2754),ForeCalc!$A$37:$A$274,0),MATCH(_xlfn.CONCAT(B2754," ",E2754),ForeCalc!$B$36:$Y$36,0))))*VLOOKUP(A2754,Calendar!$A$2:$H$9997,8,FALSE),0)</f>
        <v/>
      </c>
      <c r="G2754" s="29">
        <f>VLOOKUP(A2754,Calendar!$A$1:$H$9997,6,FALSE)-F2754</f>
        <v/>
      </c>
      <c r="H2754" s="19" t="n">
        <v>2</v>
      </c>
      <c r="I2754" s="57" t="n">
        <v>7</v>
      </c>
    </row>
    <row r="2755">
      <c r="A2755" s="62" t="n">
        <v>46674</v>
      </c>
      <c r="B2755" s="3" t="inlineStr">
        <is>
          <t>Week</t>
        </is>
      </c>
      <c r="C2755" s="19" t="n">
        <v>10</v>
      </c>
      <c r="D2755" s="19" t="n">
        <v>2027</v>
      </c>
      <c r="E2755" s="57" t="n">
        <v>3</v>
      </c>
      <c r="F2755" s="29">
        <f>ROUND(((SUMIFS(Calendar!$F$2:$F$9997,Calendar!$B$2:$B$9997,D2755,Calendar!$C$2:$C$9997,C2755)*INDEX(ForeCalc!$B$37:$Y$274,MATCH(_xlfn.CONCAT(H2755," ",I2755),ForeCalc!$A$37:$A$274,0),MATCH(_xlfn.CONCAT(B2755," ",E2755),ForeCalc!$B$36:$Y$36,0))))*VLOOKUP(A2755,Calendar!$A$2:$H$9997,8,FALSE),0)</f>
        <v/>
      </c>
      <c r="G2755" s="29">
        <f>VLOOKUP(A2755,Calendar!$A$1:$H$9997,6,FALSE)-F2755</f>
        <v/>
      </c>
      <c r="H2755" s="19" t="n">
        <v>2</v>
      </c>
      <c r="I2755" s="57" t="n">
        <v>7</v>
      </c>
    </row>
    <row r="2756">
      <c r="A2756" s="62" t="n">
        <v>46675</v>
      </c>
      <c r="B2756" s="3" t="inlineStr">
        <is>
          <t>Week</t>
        </is>
      </c>
      <c r="C2756" s="19" t="n">
        <v>10</v>
      </c>
      <c r="D2756" s="19" t="n">
        <v>2027</v>
      </c>
      <c r="E2756" s="57" t="n">
        <v>3</v>
      </c>
      <c r="F2756" s="29">
        <f>ROUND(((SUMIFS(Calendar!$F$2:$F$9997,Calendar!$B$2:$B$9997,D2756,Calendar!$C$2:$C$9997,C2756)*INDEX(ForeCalc!$B$37:$Y$274,MATCH(_xlfn.CONCAT(H2756," ",I2756),ForeCalc!$A$37:$A$274,0),MATCH(_xlfn.CONCAT(B2756," ",E2756),ForeCalc!$B$36:$Y$36,0))))*VLOOKUP(A2756,Calendar!$A$2:$H$9997,8,FALSE),0)</f>
        <v/>
      </c>
      <c r="G2756" s="29">
        <f>VLOOKUP(A2756,Calendar!$A$1:$H$9997,6,FALSE)-F2756</f>
        <v/>
      </c>
      <c r="H2756" s="19" t="n">
        <v>2</v>
      </c>
      <c r="I2756" s="57" t="n">
        <v>7</v>
      </c>
    </row>
    <row r="2757">
      <c r="A2757" s="62" t="n">
        <v>46676</v>
      </c>
      <c r="B2757" s="3" t="inlineStr">
        <is>
          <t>Sat</t>
        </is>
      </c>
      <c r="C2757" s="19" t="n">
        <v>10</v>
      </c>
      <c r="D2757" s="19" t="n">
        <v>2027</v>
      </c>
      <c r="E2757" s="57" t="n">
        <v>3</v>
      </c>
      <c r="F2757" s="29">
        <f>ROUND(((SUMIFS(Calendar!$F$2:$F$9997,Calendar!$B$2:$B$9997,D2757,Calendar!$C$2:$C$9997,C2757)*INDEX(ForeCalc!$B$37:$Y$274,MATCH(_xlfn.CONCAT(H2757," ",I2757),ForeCalc!$A$37:$A$274,0),MATCH(_xlfn.CONCAT(B2757," ",E2757),ForeCalc!$B$36:$Y$36,0))))*VLOOKUP(A2757,Calendar!$A$2:$H$9997,8,FALSE),0)</f>
        <v/>
      </c>
      <c r="G2757" s="29">
        <f>VLOOKUP(A2757,Calendar!$A$1:$H$9997,6,FALSE)-F2757</f>
        <v/>
      </c>
      <c r="H2757" s="19" t="n">
        <v>2</v>
      </c>
      <c r="I2757" s="57" t="n">
        <v>7</v>
      </c>
    </row>
    <row r="2758">
      <c r="A2758" s="62" t="n">
        <v>46677</v>
      </c>
      <c r="B2758" s="3" t="inlineStr">
        <is>
          <t>Sun</t>
        </is>
      </c>
      <c r="C2758" s="19" t="n">
        <v>10</v>
      </c>
      <c r="D2758" s="19" t="n">
        <v>2027</v>
      </c>
      <c r="E2758" s="57" t="n">
        <v>3</v>
      </c>
      <c r="F2758" s="29">
        <f>ROUND(((SUMIFS(Calendar!$F$2:$F$9997,Calendar!$B$2:$B$9997,D2758,Calendar!$C$2:$C$9997,C2758)*INDEX(ForeCalc!$B$37:$Y$274,MATCH(_xlfn.CONCAT(H2758," ",I2758),ForeCalc!$A$37:$A$274,0),MATCH(_xlfn.CONCAT(B2758," ",E2758),ForeCalc!$B$36:$Y$36,0))))*VLOOKUP(A2758,Calendar!$A$2:$H$9997,8,FALSE),0)</f>
        <v/>
      </c>
      <c r="G2758" s="29">
        <f>VLOOKUP(A2758,Calendar!$A$1:$H$9997,6,FALSE)-F2758</f>
        <v/>
      </c>
      <c r="H2758" s="19" t="n">
        <v>2</v>
      </c>
      <c r="I2758" s="57" t="n">
        <v>7</v>
      </c>
    </row>
    <row r="2759">
      <c r="A2759" s="62" t="n">
        <v>46678</v>
      </c>
      <c r="B2759" s="3" t="inlineStr">
        <is>
          <t>Week</t>
        </is>
      </c>
      <c r="C2759" s="19" t="n">
        <v>10</v>
      </c>
      <c r="D2759" s="19" t="n">
        <v>2027</v>
      </c>
      <c r="E2759" s="57" t="n">
        <v>3</v>
      </c>
      <c r="F2759" s="29">
        <f>ROUND(((SUMIFS(Calendar!$F$2:$F$9997,Calendar!$B$2:$B$9997,D2759,Calendar!$C$2:$C$9997,C2759)*INDEX(ForeCalc!$B$37:$Y$274,MATCH(_xlfn.CONCAT(H2759," ",I2759),ForeCalc!$A$37:$A$274,0),MATCH(_xlfn.CONCAT(B2759," ",E2759),ForeCalc!$B$36:$Y$36,0))))*VLOOKUP(A2759,Calendar!$A$2:$H$9997,8,FALSE),0)</f>
        <v/>
      </c>
      <c r="G2759" s="29">
        <f>VLOOKUP(A2759,Calendar!$A$1:$H$9997,6,FALSE)-F2759</f>
        <v/>
      </c>
      <c r="H2759" s="19" t="n">
        <v>2</v>
      </c>
      <c r="I2759" s="57" t="n">
        <v>7</v>
      </c>
    </row>
    <row r="2760">
      <c r="A2760" s="62" t="n">
        <v>46679</v>
      </c>
      <c r="B2760" s="3" t="inlineStr">
        <is>
          <t>Week</t>
        </is>
      </c>
      <c r="C2760" s="19" t="n">
        <v>10</v>
      </c>
      <c r="D2760" s="19" t="n">
        <v>2027</v>
      </c>
      <c r="E2760" s="57" t="n">
        <v>3</v>
      </c>
      <c r="F2760" s="29">
        <f>ROUND(((SUMIFS(Calendar!$F$2:$F$9997,Calendar!$B$2:$B$9997,D2760,Calendar!$C$2:$C$9997,C2760)*INDEX(ForeCalc!$B$37:$Y$274,MATCH(_xlfn.CONCAT(H2760," ",I2760),ForeCalc!$A$37:$A$274,0),MATCH(_xlfn.CONCAT(B2760," ",E2760),ForeCalc!$B$36:$Y$36,0))))*VLOOKUP(A2760,Calendar!$A$2:$H$9997,8,FALSE),0)</f>
        <v/>
      </c>
      <c r="G2760" s="29">
        <f>VLOOKUP(A2760,Calendar!$A$1:$H$9997,6,FALSE)-F2760</f>
        <v/>
      </c>
      <c r="H2760" s="19" t="n">
        <v>2</v>
      </c>
      <c r="I2760" s="57" t="n">
        <v>7</v>
      </c>
    </row>
    <row r="2761">
      <c r="A2761" s="62" t="n">
        <v>46680</v>
      </c>
      <c r="B2761" s="3" t="inlineStr">
        <is>
          <t>Week</t>
        </is>
      </c>
      <c r="C2761" s="19" t="n">
        <v>10</v>
      </c>
      <c r="D2761" s="19" t="n">
        <v>2027</v>
      </c>
      <c r="E2761" s="57" t="n">
        <v>3</v>
      </c>
      <c r="F2761" s="29">
        <f>ROUND(((SUMIFS(Calendar!$F$2:$F$9997,Calendar!$B$2:$B$9997,D2761,Calendar!$C$2:$C$9997,C2761)*INDEX(ForeCalc!$B$37:$Y$274,MATCH(_xlfn.CONCAT(H2761," ",I2761),ForeCalc!$A$37:$A$274,0),MATCH(_xlfn.CONCAT(B2761," ",E2761),ForeCalc!$B$36:$Y$36,0))))*VLOOKUP(A2761,Calendar!$A$2:$H$9997,8,FALSE),0)</f>
        <v/>
      </c>
      <c r="G2761" s="29">
        <f>VLOOKUP(A2761,Calendar!$A$1:$H$9997,6,FALSE)-F2761</f>
        <v/>
      </c>
      <c r="H2761" s="19" t="n">
        <v>2</v>
      </c>
      <c r="I2761" s="57" t="n">
        <v>7</v>
      </c>
    </row>
    <row r="2762">
      <c r="A2762" s="62" t="n">
        <v>46681</v>
      </c>
      <c r="B2762" s="3" t="inlineStr">
        <is>
          <t>Week</t>
        </is>
      </c>
      <c r="C2762" s="19" t="n">
        <v>10</v>
      </c>
      <c r="D2762" s="19" t="n">
        <v>2027</v>
      </c>
      <c r="E2762" s="57" t="n">
        <v>3</v>
      </c>
      <c r="F2762" s="29">
        <f>ROUND(((SUMIFS(Calendar!$F$2:$F$9997,Calendar!$B$2:$B$9997,D2762,Calendar!$C$2:$C$9997,C2762)*INDEX(ForeCalc!$B$37:$Y$274,MATCH(_xlfn.CONCAT(H2762," ",I2762),ForeCalc!$A$37:$A$274,0),MATCH(_xlfn.CONCAT(B2762," ",E2762),ForeCalc!$B$36:$Y$36,0))))*VLOOKUP(A2762,Calendar!$A$2:$H$9997,8,FALSE),0)</f>
        <v/>
      </c>
      <c r="G2762" s="29">
        <f>VLOOKUP(A2762,Calendar!$A$1:$H$9997,6,FALSE)-F2762</f>
        <v/>
      </c>
      <c r="H2762" s="19" t="n">
        <v>2</v>
      </c>
      <c r="I2762" s="57" t="n">
        <v>7</v>
      </c>
    </row>
    <row r="2763">
      <c r="A2763" s="62" t="n">
        <v>46682</v>
      </c>
      <c r="B2763" s="3" t="inlineStr">
        <is>
          <t>Week</t>
        </is>
      </c>
      <c r="C2763" s="19" t="n">
        <v>10</v>
      </c>
      <c r="D2763" s="19" t="n">
        <v>2027</v>
      </c>
      <c r="E2763" s="57" t="n">
        <v>3</v>
      </c>
      <c r="F2763" s="29">
        <f>ROUND(((SUMIFS(Calendar!$F$2:$F$9997,Calendar!$B$2:$B$9997,D2763,Calendar!$C$2:$C$9997,C2763)*INDEX(ForeCalc!$B$37:$Y$274,MATCH(_xlfn.CONCAT(H2763," ",I2763),ForeCalc!$A$37:$A$274,0),MATCH(_xlfn.CONCAT(B2763," ",E2763),ForeCalc!$B$36:$Y$36,0))))*VLOOKUP(A2763,Calendar!$A$2:$H$9997,8,FALSE),0)</f>
        <v/>
      </c>
      <c r="G2763" s="29">
        <f>VLOOKUP(A2763,Calendar!$A$1:$H$9997,6,FALSE)-F2763</f>
        <v/>
      </c>
      <c r="H2763" s="19" t="n">
        <v>2</v>
      </c>
      <c r="I2763" s="57" t="n">
        <v>7</v>
      </c>
    </row>
    <row r="2764">
      <c r="A2764" s="62" t="n">
        <v>46683</v>
      </c>
      <c r="B2764" s="3" t="inlineStr">
        <is>
          <t>Sat</t>
        </is>
      </c>
      <c r="C2764" s="19" t="n">
        <v>10</v>
      </c>
      <c r="D2764" s="19" t="n">
        <v>2027</v>
      </c>
      <c r="E2764" s="57" t="n">
        <v>3</v>
      </c>
      <c r="F2764" s="29">
        <f>ROUND(((SUMIFS(Calendar!$F$2:$F$9997,Calendar!$B$2:$B$9997,D2764,Calendar!$C$2:$C$9997,C2764)*INDEX(ForeCalc!$B$37:$Y$274,MATCH(_xlfn.CONCAT(H2764," ",I2764),ForeCalc!$A$37:$A$274,0),MATCH(_xlfn.CONCAT(B2764," ",E2764),ForeCalc!$B$36:$Y$36,0))))*VLOOKUP(A2764,Calendar!$A$2:$H$9997,8,FALSE),0)</f>
        <v/>
      </c>
      <c r="G2764" s="29">
        <f>VLOOKUP(A2764,Calendar!$A$1:$H$9997,6,FALSE)-F2764</f>
        <v/>
      </c>
      <c r="H2764" s="19" t="n">
        <v>2</v>
      </c>
      <c r="I2764" s="57" t="n">
        <v>7</v>
      </c>
    </row>
    <row r="2765">
      <c r="A2765" s="62" t="n">
        <v>46684</v>
      </c>
      <c r="B2765" s="3" t="inlineStr">
        <is>
          <t>Sun</t>
        </is>
      </c>
      <c r="C2765" s="19" t="n">
        <v>10</v>
      </c>
      <c r="D2765" s="19" t="n">
        <v>2027</v>
      </c>
      <c r="E2765" s="57" t="n">
        <v>3</v>
      </c>
      <c r="F2765" s="29">
        <f>ROUND(((SUMIFS(Calendar!$F$2:$F$9997,Calendar!$B$2:$B$9997,D2765,Calendar!$C$2:$C$9997,C2765)*INDEX(ForeCalc!$B$37:$Y$274,MATCH(_xlfn.CONCAT(H2765," ",I2765),ForeCalc!$A$37:$A$274,0),MATCH(_xlfn.CONCAT(B2765," ",E2765),ForeCalc!$B$36:$Y$36,0))))*VLOOKUP(A2765,Calendar!$A$2:$H$9997,8,FALSE),0)</f>
        <v/>
      </c>
      <c r="G2765" s="29">
        <f>VLOOKUP(A2765,Calendar!$A$1:$H$9997,6,FALSE)-F2765</f>
        <v/>
      </c>
      <c r="H2765" s="19" t="n">
        <v>2</v>
      </c>
      <c r="I2765" s="57" t="n">
        <v>7</v>
      </c>
    </row>
    <row r="2766">
      <c r="A2766" s="62" t="n">
        <v>46685</v>
      </c>
      <c r="B2766" s="3" t="inlineStr">
        <is>
          <t>Week</t>
        </is>
      </c>
      <c r="C2766" s="19" t="n">
        <v>10</v>
      </c>
      <c r="D2766" s="19" t="n">
        <v>2027</v>
      </c>
      <c r="E2766" s="57" t="n">
        <v>3</v>
      </c>
      <c r="F2766" s="29">
        <f>ROUND(((SUMIFS(Calendar!$F$2:$F$9997,Calendar!$B$2:$B$9997,D2766,Calendar!$C$2:$C$9997,C2766)*INDEX(ForeCalc!$B$37:$Y$274,MATCH(_xlfn.CONCAT(H2766," ",I2766),ForeCalc!$A$37:$A$274,0),MATCH(_xlfn.CONCAT(B2766," ",E2766),ForeCalc!$B$36:$Y$36,0))))*VLOOKUP(A2766,Calendar!$A$2:$H$9997,8,FALSE),0)</f>
        <v/>
      </c>
      <c r="G2766" s="29">
        <f>VLOOKUP(A2766,Calendar!$A$1:$H$9997,6,FALSE)-F2766</f>
        <v/>
      </c>
      <c r="H2766" s="19" t="n">
        <v>2</v>
      </c>
      <c r="I2766" s="57" t="n">
        <v>7</v>
      </c>
    </row>
    <row r="2767">
      <c r="A2767" s="62" t="n">
        <v>46686</v>
      </c>
      <c r="B2767" s="3" t="inlineStr">
        <is>
          <t>Week</t>
        </is>
      </c>
      <c r="C2767" s="19" t="n">
        <v>10</v>
      </c>
      <c r="D2767" s="19" t="n">
        <v>2027</v>
      </c>
      <c r="E2767" s="57" t="n">
        <v>3</v>
      </c>
      <c r="F2767" s="29">
        <f>ROUND(((SUMIFS(Calendar!$F$2:$F$9997,Calendar!$B$2:$B$9997,D2767,Calendar!$C$2:$C$9997,C2767)*INDEX(ForeCalc!$B$37:$Y$274,MATCH(_xlfn.CONCAT(H2767," ",I2767),ForeCalc!$A$37:$A$274,0),MATCH(_xlfn.CONCAT(B2767," ",E2767),ForeCalc!$B$36:$Y$36,0))))*VLOOKUP(A2767,Calendar!$A$2:$H$9997,8,FALSE),0)</f>
        <v/>
      </c>
      <c r="G2767" s="29">
        <f>VLOOKUP(A2767,Calendar!$A$1:$H$9997,6,FALSE)-F2767</f>
        <v/>
      </c>
      <c r="H2767" s="19" t="n">
        <v>2</v>
      </c>
      <c r="I2767" s="57" t="n">
        <v>7</v>
      </c>
    </row>
    <row r="2768">
      <c r="A2768" s="62" t="n">
        <v>46687</v>
      </c>
      <c r="B2768" s="3" t="inlineStr">
        <is>
          <t>Week</t>
        </is>
      </c>
      <c r="C2768" s="19" t="n">
        <v>10</v>
      </c>
      <c r="D2768" s="19" t="n">
        <v>2027</v>
      </c>
      <c r="E2768" s="57" t="n">
        <v>3</v>
      </c>
      <c r="F2768" s="29">
        <f>ROUND(((SUMIFS(Calendar!$F$2:$F$9997,Calendar!$B$2:$B$9997,D2768,Calendar!$C$2:$C$9997,C2768)*INDEX(ForeCalc!$B$37:$Y$274,MATCH(_xlfn.CONCAT(H2768," ",I2768),ForeCalc!$A$37:$A$274,0),MATCH(_xlfn.CONCAT(B2768," ",E2768),ForeCalc!$B$36:$Y$36,0))))*VLOOKUP(A2768,Calendar!$A$2:$H$9997,8,FALSE),0)</f>
        <v/>
      </c>
      <c r="G2768" s="29">
        <f>VLOOKUP(A2768,Calendar!$A$1:$H$9997,6,FALSE)-F2768</f>
        <v/>
      </c>
      <c r="H2768" s="19" t="n">
        <v>2</v>
      </c>
      <c r="I2768" s="57" t="n">
        <v>7</v>
      </c>
    </row>
    <row r="2769">
      <c r="A2769" s="62" t="n">
        <v>46688</v>
      </c>
      <c r="B2769" s="3" t="inlineStr">
        <is>
          <t>Week</t>
        </is>
      </c>
      <c r="C2769" s="19" t="n">
        <v>10</v>
      </c>
      <c r="D2769" s="19" t="n">
        <v>2027</v>
      </c>
      <c r="E2769" s="57" t="n">
        <v>3</v>
      </c>
      <c r="F2769" s="29">
        <f>ROUND(((SUMIFS(Calendar!$F$2:$F$9997,Calendar!$B$2:$B$9997,D2769,Calendar!$C$2:$C$9997,C2769)*INDEX(ForeCalc!$B$37:$Y$274,MATCH(_xlfn.CONCAT(H2769," ",I2769),ForeCalc!$A$37:$A$274,0),MATCH(_xlfn.CONCAT(B2769," ",E2769),ForeCalc!$B$36:$Y$36,0))))*VLOOKUP(A2769,Calendar!$A$2:$H$9997,8,FALSE),0)</f>
        <v/>
      </c>
      <c r="G2769" s="29">
        <f>VLOOKUP(A2769,Calendar!$A$1:$H$9997,6,FALSE)-F2769</f>
        <v/>
      </c>
      <c r="H2769" s="19" t="n">
        <v>2</v>
      </c>
      <c r="I2769" s="57" t="n">
        <v>7</v>
      </c>
    </row>
    <row r="2770">
      <c r="A2770" s="62" t="n">
        <v>46689</v>
      </c>
      <c r="B2770" s="3" t="inlineStr">
        <is>
          <t>Week</t>
        </is>
      </c>
      <c r="C2770" s="19" t="n">
        <v>10</v>
      </c>
      <c r="D2770" s="19" t="n">
        <v>2027</v>
      </c>
      <c r="E2770" s="57" t="n">
        <v>3</v>
      </c>
      <c r="F2770" s="29">
        <f>ROUND(((SUMIFS(Calendar!$F$2:$F$9997,Calendar!$B$2:$B$9997,D2770,Calendar!$C$2:$C$9997,C2770)*INDEX(ForeCalc!$B$37:$Y$274,MATCH(_xlfn.CONCAT(H2770," ",I2770),ForeCalc!$A$37:$A$274,0),MATCH(_xlfn.CONCAT(B2770," ",E2770),ForeCalc!$B$36:$Y$36,0))))*VLOOKUP(A2770,Calendar!$A$2:$H$9997,8,FALSE),0)</f>
        <v/>
      </c>
      <c r="G2770" s="29">
        <f>VLOOKUP(A2770,Calendar!$A$1:$H$9997,6,FALSE)-F2770</f>
        <v/>
      </c>
      <c r="H2770" s="19" t="n">
        <v>2</v>
      </c>
      <c r="I2770" s="57" t="n">
        <v>7</v>
      </c>
    </row>
    <row r="2771">
      <c r="A2771" s="62" t="n">
        <v>46690</v>
      </c>
      <c r="B2771" s="3" t="inlineStr">
        <is>
          <t>Sat</t>
        </is>
      </c>
      <c r="C2771" s="19" t="n">
        <v>10</v>
      </c>
      <c r="D2771" s="19" t="n">
        <v>2027</v>
      </c>
      <c r="E2771" s="57" t="n">
        <v>3</v>
      </c>
      <c r="F2771" s="29">
        <f>ROUND(((SUMIFS(Calendar!$F$2:$F$9997,Calendar!$B$2:$B$9997,D2771,Calendar!$C$2:$C$9997,C2771)*INDEX(ForeCalc!$B$37:$Y$274,MATCH(_xlfn.CONCAT(H2771," ",I2771),ForeCalc!$A$37:$A$274,0),MATCH(_xlfn.CONCAT(B2771," ",E2771),ForeCalc!$B$36:$Y$36,0))))*VLOOKUP(A2771,Calendar!$A$2:$H$9997,8,FALSE),0)</f>
        <v/>
      </c>
      <c r="G2771" s="29">
        <f>VLOOKUP(A2771,Calendar!$A$1:$H$9997,6,FALSE)-F2771</f>
        <v/>
      </c>
      <c r="H2771" s="19" t="n">
        <v>2</v>
      </c>
      <c r="I2771" s="57" t="n">
        <v>7</v>
      </c>
    </row>
    <row r="2772">
      <c r="A2772" s="62" t="n">
        <v>46691</v>
      </c>
      <c r="B2772" s="3" t="inlineStr">
        <is>
          <t>Sun</t>
        </is>
      </c>
      <c r="C2772" s="19" t="n">
        <v>10</v>
      </c>
      <c r="D2772" s="19" t="n">
        <v>2027</v>
      </c>
      <c r="E2772" s="57" t="n">
        <v>3</v>
      </c>
      <c r="F2772" s="29">
        <f>ROUND(((SUMIFS(Calendar!$F$2:$F$9997,Calendar!$B$2:$B$9997,D2772,Calendar!$C$2:$C$9997,C2772)*INDEX(ForeCalc!$B$37:$Y$274,MATCH(_xlfn.CONCAT(H2772," ",I2772),ForeCalc!$A$37:$A$274,0),MATCH(_xlfn.CONCAT(B2772," ",E2772),ForeCalc!$B$36:$Y$36,0))))*VLOOKUP(A2772,Calendar!$A$2:$H$9997,8,FALSE),0)</f>
        <v/>
      </c>
      <c r="G2772" s="29">
        <f>VLOOKUP(A2772,Calendar!$A$1:$H$9997,6,FALSE)-F2772</f>
        <v/>
      </c>
      <c r="H2772" s="19" t="n">
        <v>2</v>
      </c>
      <c r="I2772" s="57" t="n">
        <v>7</v>
      </c>
    </row>
    <row r="2773">
      <c r="A2773" s="62" t="n">
        <v>46692</v>
      </c>
      <c r="B2773" s="3" t="inlineStr">
        <is>
          <t>Week</t>
        </is>
      </c>
      <c r="C2773" s="19" t="n">
        <v>11</v>
      </c>
      <c r="D2773" s="19" t="n">
        <v>2027</v>
      </c>
      <c r="E2773" s="57" t="n">
        <v>3</v>
      </c>
      <c r="F2773" s="29">
        <f>ROUND(((SUMIFS(Calendar!$F$2:$F$9997,Calendar!$B$2:$B$9997,D2773,Calendar!$C$2:$C$9997,C2773)*INDEX(ForeCalc!$B$37:$Y$274,MATCH(_xlfn.CONCAT(H2773," ",I2773),ForeCalc!$A$37:$A$274,0),MATCH(_xlfn.CONCAT(B2773," ",E2773),ForeCalc!$B$36:$Y$36,0))))*VLOOKUP(A2773,Calendar!$A$2:$H$9997,8,FALSE),0)</f>
        <v/>
      </c>
      <c r="G2773" s="29">
        <f>VLOOKUP(A2773,Calendar!$A$1:$H$9997,6,FALSE)-F2773</f>
        <v/>
      </c>
      <c r="H2773" s="19" t="n">
        <v>2</v>
      </c>
      <c r="I2773" s="57" t="n">
        <v>8</v>
      </c>
    </row>
    <row r="2774">
      <c r="A2774" s="62" t="n">
        <v>46693</v>
      </c>
      <c r="B2774" s="3" t="inlineStr">
        <is>
          <t>Week</t>
        </is>
      </c>
      <c r="C2774" s="19" t="n">
        <v>11</v>
      </c>
      <c r="D2774" s="19" t="n">
        <v>2027</v>
      </c>
      <c r="E2774" s="57" t="n">
        <v>3</v>
      </c>
      <c r="F2774" s="29">
        <f>ROUND(((SUMIFS(Calendar!$F$2:$F$9997,Calendar!$B$2:$B$9997,D2774,Calendar!$C$2:$C$9997,C2774)*INDEX(ForeCalc!$B$37:$Y$274,MATCH(_xlfn.CONCAT(H2774," ",I2774),ForeCalc!$A$37:$A$274,0),MATCH(_xlfn.CONCAT(B2774," ",E2774),ForeCalc!$B$36:$Y$36,0))))*VLOOKUP(A2774,Calendar!$A$2:$H$9997,8,FALSE),0)</f>
        <v/>
      </c>
      <c r="G2774" s="29">
        <f>VLOOKUP(A2774,Calendar!$A$1:$H$9997,6,FALSE)-F2774</f>
        <v/>
      </c>
      <c r="H2774" s="19" t="n">
        <v>2</v>
      </c>
      <c r="I2774" s="57" t="n">
        <v>8</v>
      </c>
    </row>
    <row r="2775">
      <c r="A2775" s="62" t="n">
        <v>46694</v>
      </c>
      <c r="B2775" s="3" t="inlineStr">
        <is>
          <t>Week</t>
        </is>
      </c>
      <c r="C2775" s="19" t="n">
        <v>11</v>
      </c>
      <c r="D2775" s="19" t="n">
        <v>2027</v>
      </c>
      <c r="E2775" s="57" t="n">
        <v>3</v>
      </c>
      <c r="F2775" s="29">
        <f>ROUND(((SUMIFS(Calendar!$F$2:$F$9997,Calendar!$B$2:$B$9997,D2775,Calendar!$C$2:$C$9997,C2775)*INDEX(ForeCalc!$B$37:$Y$274,MATCH(_xlfn.CONCAT(H2775," ",I2775),ForeCalc!$A$37:$A$274,0),MATCH(_xlfn.CONCAT(B2775," ",E2775),ForeCalc!$B$36:$Y$36,0))))*VLOOKUP(A2775,Calendar!$A$2:$H$9997,8,FALSE),0)</f>
        <v/>
      </c>
      <c r="G2775" s="29">
        <f>VLOOKUP(A2775,Calendar!$A$1:$H$9997,6,FALSE)-F2775</f>
        <v/>
      </c>
      <c r="H2775" s="19" t="n">
        <v>2</v>
      </c>
      <c r="I2775" s="57" t="n">
        <v>8</v>
      </c>
    </row>
    <row r="2776">
      <c r="A2776" s="62" t="n">
        <v>46695</v>
      </c>
      <c r="B2776" s="3" t="inlineStr">
        <is>
          <t>Week</t>
        </is>
      </c>
      <c r="C2776" s="19" t="n">
        <v>11</v>
      </c>
      <c r="D2776" s="19" t="n">
        <v>2027</v>
      </c>
      <c r="E2776" s="57" t="n">
        <v>3</v>
      </c>
      <c r="F2776" s="29">
        <f>ROUND(((SUMIFS(Calendar!$F$2:$F$9997,Calendar!$B$2:$B$9997,D2776,Calendar!$C$2:$C$9997,C2776)*INDEX(ForeCalc!$B$37:$Y$274,MATCH(_xlfn.CONCAT(H2776," ",I2776),ForeCalc!$A$37:$A$274,0),MATCH(_xlfn.CONCAT(B2776," ",E2776),ForeCalc!$B$36:$Y$36,0))))*VLOOKUP(A2776,Calendar!$A$2:$H$9997,8,FALSE),0)</f>
        <v/>
      </c>
      <c r="G2776" s="29">
        <f>VLOOKUP(A2776,Calendar!$A$1:$H$9997,6,FALSE)-F2776</f>
        <v/>
      </c>
      <c r="H2776" s="19" t="n">
        <v>2</v>
      </c>
      <c r="I2776" s="57" t="n">
        <v>8</v>
      </c>
    </row>
    <row r="2777">
      <c r="A2777" s="62" t="n">
        <v>46696</v>
      </c>
      <c r="B2777" s="3" t="inlineStr">
        <is>
          <t>Week</t>
        </is>
      </c>
      <c r="C2777" s="19" t="n">
        <v>11</v>
      </c>
      <c r="D2777" s="19" t="n">
        <v>2027</v>
      </c>
      <c r="E2777" s="57" t="n">
        <v>3</v>
      </c>
      <c r="F2777" s="29">
        <f>ROUND(((SUMIFS(Calendar!$F$2:$F$9997,Calendar!$B$2:$B$9997,D2777,Calendar!$C$2:$C$9997,C2777)*INDEX(ForeCalc!$B$37:$Y$274,MATCH(_xlfn.CONCAT(H2777," ",I2777),ForeCalc!$A$37:$A$274,0),MATCH(_xlfn.CONCAT(B2777," ",E2777),ForeCalc!$B$36:$Y$36,0))))*VLOOKUP(A2777,Calendar!$A$2:$H$9997,8,FALSE),0)</f>
        <v/>
      </c>
      <c r="G2777" s="29">
        <f>VLOOKUP(A2777,Calendar!$A$1:$H$9997,6,FALSE)-F2777</f>
        <v/>
      </c>
      <c r="H2777" s="19" t="n">
        <v>2</v>
      </c>
      <c r="I2777" s="57" t="n">
        <v>8</v>
      </c>
    </row>
    <row r="2778">
      <c r="A2778" s="62" t="n">
        <v>46697</v>
      </c>
      <c r="B2778" s="3" t="inlineStr">
        <is>
          <t>Sat</t>
        </is>
      </c>
      <c r="C2778" s="19" t="n">
        <v>11</v>
      </c>
      <c r="D2778" s="19" t="n">
        <v>2027</v>
      </c>
      <c r="E2778" s="57" t="n">
        <v>3</v>
      </c>
      <c r="F2778" s="29">
        <f>ROUND(((SUMIFS(Calendar!$F$2:$F$9997,Calendar!$B$2:$B$9997,D2778,Calendar!$C$2:$C$9997,C2778)*INDEX(ForeCalc!$B$37:$Y$274,MATCH(_xlfn.CONCAT(H2778," ",I2778),ForeCalc!$A$37:$A$274,0),MATCH(_xlfn.CONCAT(B2778," ",E2778),ForeCalc!$B$36:$Y$36,0))))*VLOOKUP(A2778,Calendar!$A$2:$H$9997,8,FALSE),0)</f>
        <v/>
      </c>
      <c r="G2778" s="29">
        <f>VLOOKUP(A2778,Calendar!$A$1:$H$9997,6,FALSE)-F2778</f>
        <v/>
      </c>
      <c r="H2778" s="19" t="n">
        <v>2</v>
      </c>
      <c r="I2778" s="57" t="n">
        <v>8</v>
      </c>
    </row>
    <row r="2779">
      <c r="A2779" s="62" t="n">
        <v>46698</v>
      </c>
      <c r="B2779" s="3" t="inlineStr">
        <is>
          <t>Sun</t>
        </is>
      </c>
      <c r="C2779" s="19" t="n">
        <v>11</v>
      </c>
      <c r="D2779" s="19" t="n">
        <v>2027</v>
      </c>
      <c r="E2779" s="57" t="n">
        <v>3</v>
      </c>
      <c r="F2779" s="29">
        <f>ROUND(((SUMIFS(Calendar!$F$2:$F$9997,Calendar!$B$2:$B$9997,D2779,Calendar!$C$2:$C$9997,C2779)*INDEX(ForeCalc!$B$37:$Y$274,MATCH(_xlfn.CONCAT(H2779," ",I2779),ForeCalc!$A$37:$A$274,0),MATCH(_xlfn.CONCAT(B2779," ",E2779),ForeCalc!$B$36:$Y$36,0))))*VLOOKUP(A2779,Calendar!$A$2:$H$9997,8,FALSE),0)</f>
        <v/>
      </c>
      <c r="G2779" s="29">
        <f>VLOOKUP(A2779,Calendar!$A$1:$H$9997,6,FALSE)-F2779</f>
        <v/>
      </c>
      <c r="H2779" s="19" t="n">
        <v>2</v>
      </c>
      <c r="I2779" s="57" t="n">
        <v>8</v>
      </c>
    </row>
    <row r="2780">
      <c r="A2780" s="62" t="n">
        <v>46699</v>
      </c>
      <c r="B2780" s="3" t="inlineStr">
        <is>
          <t>Week</t>
        </is>
      </c>
      <c r="C2780" s="19" t="n">
        <v>11</v>
      </c>
      <c r="D2780" s="19" t="n">
        <v>2027</v>
      </c>
      <c r="E2780" s="57" t="n">
        <v>3</v>
      </c>
      <c r="F2780" s="29">
        <f>ROUND(((SUMIFS(Calendar!$F$2:$F$9997,Calendar!$B$2:$B$9997,D2780,Calendar!$C$2:$C$9997,C2780)*INDEX(ForeCalc!$B$37:$Y$274,MATCH(_xlfn.CONCAT(H2780," ",I2780),ForeCalc!$A$37:$A$274,0),MATCH(_xlfn.CONCAT(B2780," ",E2780),ForeCalc!$B$36:$Y$36,0))))*VLOOKUP(A2780,Calendar!$A$2:$H$9997,8,FALSE),0)</f>
        <v/>
      </c>
      <c r="G2780" s="29">
        <f>VLOOKUP(A2780,Calendar!$A$1:$H$9997,6,FALSE)-F2780</f>
        <v/>
      </c>
      <c r="H2780" s="19" t="n">
        <v>2</v>
      </c>
      <c r="I2780" s="57" t="n">
        <v>8</v>
      </c>
    </row>
    <row r="2781">
      <c r="A2781" s="62" t="n">
        <v>46700</v>
      </c>
      <c r="B2781" s="3" t="inlineStr">
        <is>
          <t>Week</t>
        </is>
      </c>
      <c r="C2781" s="19" t="n">
        <v>11</v>
      </c>
      <c r="D2781" s="19" t="n">
        <v>2027</v>
      </c>
      <c r="E2781" s="57" t="n">
        <v>3</v>
      </c>
      <c r="F2781" s="29">
        <f>ROUND(((SUMIFS(Calendar!$F$2:$F$9997,Calendar!$B$2:$B$9997,D2781,Calendar!$C$2:$C$9997,C2781)*INDEX(ForeCalc!$B$37:$Y$274,MATCH(_xlfn.CONCAT(H2781," ",I2781),ForeCalc!$A$37:$A$274,0),MATCH(_xlfn.CONCAT(B2781," ",E2781),ForeCalc!$B$36:$Y$36,0))))*VLOOKUP(A2781,Calendar!$A$2:$H$9997,8,FALSE),0)</f>
        <v/>
      </c>
      <c r="G2781" s="29">
        <f>VLOOKUP(A2781,Calendar!$A$1:$H$9997,6,FALSE)-F2781</f>
        <v/>
      </c>
      <c r="H2781" s="19" t="n">
        <v>2</v>
      </c>
      <c r="I2781" s="57" t="n">
        <v>8</v>
      </c>
    </row>
    <row r="2782">
      <c r="A2782" s="62" t="n">
        <v>46701</v>
      </c>
      <c r="B2782" s="3" t="inlineStr">
        <is>
          <t>Week</t>
        </is>
      </c>
      <c r="C2782" s="19" t="n">
        <v>11</v>
      </c>
      <c r="D2782" s="19" t="n">
        <v>2027</v>
      </c>
      <c r="E2782" s="57" t="n">
        <v>3</v>
      </c>
      <c r="F2782" s="29">
        <f>ROUND(((SUMIFS(Calendar!$F$2:$F$9997,Calendar!$B$2:$B$9997,D2782,Calendar!$C$2:$C$9997,C2782)*INDEX(ForeCalc!$B$37:$Y$274,MATCH(_xlfn.CONCAT(H2782," ",I2782),ForeCalc!$A$37:$A$274,0),MATCH(_xlfn.CONCAT(B2782," ",E2782),ForeCalc!$B$36:$Y$36,0))))*VLOOKUP(A2782,Calendar!$A$2:$H$9997,8,FALSE),0)</f>
        <v/>
      </c>
      <c r="G2782" s="29">
        <f>VLOOKUP(A2782,Calendar!$A$1:$H$9997,6,FALSE)-F2782</f>
        <v/>
      </c>
      <c r="H2782" s="19" t="n">
        <v>2</v>
      </c>
      <c r="I2782" s="57" t="n">
        <v>8</v>
      </c>
    </row>
    <row r="2783">
      <c r="A2783" s="62" t="n">
        <v>46702</v>
      </c>
      <c r="B2783" s="3" t="inlineStr">
        <is>
          <t>Week</t>
        </is>
      </c>
      <c r="C2783" s="19" t="n">
        <v>11</v>
      </c>
      <c r="D2783" s="19" t="n">
        <v>2027</v>
      </c>
      <c r="E2783" s="57" t="n">
        <v>3</v>
      </c>
      <c r="F2783" s="29">
        <f>ROUND(((SUMIFS(Calendar!$F$2:$F$9997,Calendar!$B$2:$B$9997,D2783,Calendar!$C$2:$C$9997,C2783)*INDEX(ForeCalc!$B$37:$Y$274,MATCH(_xlfn.CONCAT(H2783," ",I2783),ForeCalc!$A$37:$A$274,0),MATCH(_xlfn.CONCAT(B2783," ",E2783),ForeCalc!$B$36:$Y$36,0))))*VLOOKUP(A2783,Calendar!$A$2:$H$9997,8,FALSE),0)</f>
        <v/>
      </c>
      <c r="G2783" s="29">
        <f>VLOOKUP(A2783,Calendar!$A$1:$H$9997,6,FALSE)-F2783</f>
        <v/>
      </c>
      <c r="H2783" s="19" t="n">
        <v>2</v>
      </c>
      <c r="I2783" s="57" t="n">
        <v>8</v>
      </c>
    </row>
    <row r="2784">
      <c r="A2784" s="62" t="n">
        <v>46703</v>
      </c>
      <c r="B2784" s="3" t="inlineStr">
        <is>
          <t>Week</t>
        </is>
      </c>
      <c r="C2784" s="19" t="n">
        <v>11</v>
      </c>
      <c r="D2784" s="19" t="n">
        <v>2027</v>
      </c>
      <c r="E2784" s="57" t="n">
        <v>3</v>
      </c>
      <c r="F2784" s="29">
        <f>ROUND(((SUMIFS(Calendar!$F$2:$F$9997,Calendar!$B$2:$B$9997,D2784,Calendar!$C$2:$C$9997,C2784)*INDEX(ForeCalc!$B$37:$Y$274,MATCH(_xlfn.CONCAT(H2784," ",I2784),ForeCalc!$A$37:$A$274,0),MATCH(_xlfn.CONCAT(B2784," ",E2784),ForeCalc!$B$36:$Y$36,0))))*VLOOKUP(A2784,Calendar!$A$2:$H$9997,8,FALSE),0)</f>
        <v/>
      </c>
      <c r="G2784" s="29">
        <f>VLOOKUP(A2784,Calendar!$A$1:$H$9997,6,FALSE)-F2784</f>
        <v/>
      </c>
      <c r="H2784" s="19" t="n">
        <v>2</v>
      </c>
      <c r="I2784" s="57" t="n">
        <v>8</v>
      </c>
    </row>
    <row r="2785">
      <c r="A2785" s="62" t="n">
        <v>46704</v>
      </c>
      <c r="B2785" s="3" t="inlineStr">
        <is>
          <t>Sat</t>
        </is>
      </c>
      <c r="C2785" s="19" t="n">
        <v>11</v>
      </c>
      <c r="D2785" s="19" t="n">
        <v>2027</v>
      </c>
      <c r="E2785" s="57" t="n">
        <v>3</v>
      </c>
      <c r="F2785" s="29">
        <f>ROUND(((SUMIFS(Calendar!$F$2:$F$9997,Calendar!$B$2:$B$9997,D2785,Calendar!$C$2:$C$9997,C2785)*INDEX(ForeCalc!$B$37:$Y$274,MATCH(_xlfn.CONCAT(H2785," ",I2785),ForeCalc!$A$37:$A$274,0),MATCH(_xlfn.CONCAT(B2785," ",E2785),ForeCalc!$B$36:$Y$36,0))))*VLOOKUP(A2785,Calendar!$A$2:$H$9997,8,FALSE),0)</f>
        <v/>
      </c>
      <c r="G2785" s="29">
        <f>VLOOKUP(A2785,Calendar!$A$1:$H$9997,6,FALSE)-F2785</f>
        <v/>
      </c>
      <c r="H2785" s="19" t="n">
        <v>2</v>
      </c>
      <c r="I2785" s="57" t="n">
        <v>8</v>
      </c>
    </row>
    <row r="2786">
      <c r="A2786" s="62" t="n">
        <v>46705</v>
      </c>
      <c r="B2786" s="3" t="inlineStr">
        <is>
          <t>Sun</t>
        </is>
      </c>
      <c r="C2786" s="19" t="n">
        <v>11</v>
      </c>
      <c r="D2786" s="19" t="n">
        <v>2027</v>
      </c>
      <c r="E2786" s="57" t="n">
        <v>3</v>
      </c>
      <c r="F2786" s="29">
        <f>ROUND(((SUMIFS(Calendar!$F$2:$F$9997,Calendar!$B$2:$B$9997,D2786,Calendar!$C$2:$C$9997,C2786)*INDEX(ForeCalc!$B$37:$Y$274,MATCH(_xlfn.CONCAT(H2786," ",I2786),ForeCalc!$A$37:$A$274,0),MATCH(_xlfn.CONCAT(B2786," ",E2786),ForeCalc!$B$36:$Y$36,0))))*VLOOKUP(A2786,Calendar!$A$2:$H$9997,8,FALSE),0)</f>
        <v/>
      </c>
      <c r="G2786" s="29">
        <f>VLOOKUP(A2786,Calendar!$A$1:$H$9997,6,FALSE)-F2786</f>
        <v/>
      </c>
      <c r="H2786" s="19" t="n">
        <v>2</v>
      </c>
      <c r="I2786" s="57" t="n">
        <v>8</v>
      </c>
    </row>
    <row r="2787">
      <c r="A2787" s="62" t="n">
        <v>46706</v>
      </c>
      <c r="B2787" s="3" t="inlineStr">
        <is>
          <t>Week</t>
        </is>
      </c>
      <c r="C2787" s="19" t="n">
        <v>11</v>
      </c>
      <c r="D2787" s="19" t="n">
        <v>2027</v>
      </c>
      <c r="E2787" s="57" t="n">
        <v>3</v>
      </c>
      <c r="F2787" s="29">
        <f>ROUND(((SUMIFS(Calendar!$F$2:$F$9997,Calendar!$B$2:$B$9997,D2787,Calendar!$C$2:$C$9997,C2787)*INDEX(ForeCalc!$B$37:$Y$274,MATCH(_xlfn.CONCAT(H2787," ",I2787),ForeCalc!$A$37:$A$274,0),MATCH(_xlfn.CONCAT(B2787," ",E2787),ForeCalc!$B$36:$Y$36,0))))*VLOOKUP(A2787,Calendar!$A$2:$H$9997,8,FALSE),0)</f>
        <v/>
      </c>
      <c r="G2787" s="29">
        <f>VLOOKUP(A2787,Calendar!$A$1:$H$9997,6,FALSE)-F2787</f>
        <v/>
      </c>
      <c r="H2787" s="19" t="n">
        <v>2</v>
      </c>
      <c r="I2787" s="57" t="n">
        <v>8</v>
      </c>
    </row>
    <row r="2788">
      <c r="A2788" s="62" t="n">
        <v>46707</v>
      </c>
      <c r="B2788" s="3" t="inlineStr">
        <is>
          <t>Week</t>
        </is>
      </c>
      <c r="C2788" s="19" t="n">
        <v>11</v>
      </c>
      <c r="D2788" s="19" t="n">
        <v>2027</v>
      </c>
      <c r="E2788" s="57" t="n">
        <v>3</v>
      </c>
      <c r="F2788" s="29">
        <f>ROUND(((SUMIFS(Calendar!$F$2:$F$9997,Calendar!$B$2:$B$9997,D2788,Calendar!$C$2:$C$9997,C2788)*INDEX(ForeCalc!$B$37:$Y$274,MATCH(_xlfn.CONCAT(H2788," ",I2788),ForeCalc!$A$37:$A$274,0),MATCH(_xlfn.CONCAT(B2788," ",E2788),ForeCalc!$B$36:$Y$36,0))))*VLOOKUP(A2788,Calendar!$A$2:$H$9997,8,FALSE),0)</f>
        <v/>
      </c>
      <c r="G2788" s="29">
        <f>VLOOKUP(A2788,Calendar!$A$1:$H$9997,6,FALSE)-F2788</f>
        <v/>
      </c>
      <c r="H2788" s="19" t="n">
        <v>2</v>
      </c>
      <c r="I2788" s="57" t="n">
        <v>8</v>
      </c>
    </row>
    <row r="2789">
      <c r="A2789" s="62" t="n">
        <v>46708</v>
      </c>
      <c r="B2789" s="3" t="inlineStr">
        <is>
          <t>Week</t>
        </is>
      </c>
      <c r="C2789" s="19" t="n">
        <v>11</v>
      </c>
      <c r="D2789" s="19" t="n">
        <v>2027</v>
      </c>
      <c r="E2789" s="57" t="n">
        <v>3</v>
      </c>
      <c r="F2789" s="29">
        <f>ROUND(((SUMIFS(Calendar!$F$2:$F$9997,Calendar!$B$2:$B$9997,D2789,Calendar!$C$2:$C$9997,C2789)*INDEX(ForeCalc!$B$37:$Y$274,MATCH(_xlfn.CONCAT(H2789," ",I2789),ForeCalc!$A$37:$A$274,0),MATCH(_xlfn.CONCAT(B2789," ",E2789),ForeCalc!$B$36:$Y$36,0))))*VLOOKUP(A2789,Calendar!$A$2:$H$9997,8,FALSE),0)</f>
        <v/>
      </c>
      <c r="G2789" s="29">
        <f>VLOOKUP(A2789,Calendar!$A$1:$H$9997,6,FALSE)-F2789</f>
        <v/>
      </c>
      <c r="H2789" s="19" t="n">
        <v>2</v>
      </c>
      <c r="I2789" s="57" t="n">
        <v>8</v>
      </c>
    </row>
    <row r="2790">
      <c r="A2790" s="62" t="n">
        <v>46709</v>
      </c>
      <c r="B2790" s="3" t="inlineStr">
        <is>
          <t>Week</t>
        </is>
      </c>
      <c r="C2790" s="19" t="n">
        <v>11</v>
      </c>
      <c r="D2790" s="19" t="n">
        <v>2027</v>
      </c>
      <c r="E2790" s="57" t="n">
        <v>3</v>
      </c>
      <c r="F2790" s="29">
        <f>ROUND(((SUMIFS(Calendar!$F$2:$F$9997,Calendar!$B$2:$B$9997,D2790,Calendar!$C$2:$C$9997,C2790)*INDEX(ForeCalc!$B$37:$Y$274,MATCH(_xlfn.CONCAT(H2790," ",I2790),ForeCalc!$A$37:$A$274,0),MATCH(_xlfn.CONCAT(B2790," ",E2790),ForeCalc!$B$36:$Y$36,0))))*VLOOKUP(A2790,Calendar!$A$2:$H$9997,8,FALSE),0)</f>
        <v/>
      </c>
      <c r="G2790" s="29">
        <f>VLOOKUP(A2790,Calendar!$A$1:$H$9997,6,FALSE)-F2790</f>
        <v/>
      </c>
      <c r="H2790" s="19" t="n">
        <v>2</v>
      </c>
      <c r="I2790" s="57" t="n">
        <v>8</v>
      </c>
    </row>
    <row r="2791">
      <c r="A2791" s="62" t="n">
        <v>46710</v>
      </c>
      <c r="B2791" s="3" t="inlineStr">
        <is>
          <t>Week</t>
        </is>
      </c>
      <c r="C2791" s="19" t="n">
        <v>11</v>
      </c>
      <c r="D2791" s="19" t="n">
        <v>2027</v>
      </c>
      <c r="E2791" s="57" t="n">
        <v>3</v>
      </c>
      <c r="F2791" s="29">
        <f>ROUND(((SUMIFS(Calendar!$F$2:$F$9997,Calendar!$B$2:$B$9997,D2791,Calendar!$C$2:$C$9997,C2791)*INDEX(ForeCalc!$B$37:$Y$274,MATCH(_xlfn.CONCAT(H2791," ",I2791),ForeCalc!$A$37:$A$274,0),MATCH(_xlfn.CONCAT(B2791," ",E2791),ForeCalc!$B$36:$Y$36,0))))*VLOOKUP(A2791,Calendar!$A$2:$H$9997,8,FALSE),0)</f>
        <v/>
      </c>
      <c r="G2791" s="29">
        <f>VLOOKUP(A2791,Calendar!$A$1:$H$9997,6,FALSE)-F2791</f>
        <v/>
      </c>
      <c r="H2791" s="19" t="n">
        <v>2</v>
      </c>
      <c r="I2791" s="57" t="n">
        <v>8</v>
      </c>
    </row>
    <row r="2792">
      <c r="A2792" s="62" t="n">
        <v>46711</v>
      </c>
      <c r="B2792" s="3" t="inlineStr">
        <is>
          <t>Sat</t>
        </is>
      </c>
      <c r="C2792" s="19" t="n">
        <v>11</v>
      </c>
      <c r="D2792" s="19" t="n">
        <v>2027</v>
      </c>
      <c r="E2792" s="57" t="n">
        <v>3</v>
      </c>
      <c r="F2792" s="29">
        <f>ROUND(((SUMIFS(Calendar!$F$2:$F$9997,Calendar!$B$2:$B$9997,D2792,Calendar!$C$2:$C$9997,C2792)*INDEX(ForeCalc!$B$37:$Y$274,MATCH(_xlfn.CONCAT(H2792," ",I2792),ForeCalc!$A$37:$A$274,0),MATCH(_xlfn.CONCAT(B2792," ",E2792),ForeCalc!$B$36:$Y$36,0))))*VLOOKUP(A2792,Calendar!$A$2:$H$9997,8,FALSE),0)</f>
        <v/>
      </c>
      <c r="G2792" s="29">
        <f>VLOOKUP(A2792,Calendar!$A$1:$H$9997,6,FALSE)-F2792</f>
        <v/>
      </c>
      <c r="H2792" s="19" t="n">
        <v>2</v>
      </c>
      <c r="I2792" s="57" t="n">
        <v>8</v>
      </c>
    </row>
    <row r="2793">
      <c r="A2793" s="62" t="n">
        <v>46712</v>
      </c>
      <c r="B2793" s="3" t="inlineStr">
        <is>
          <t>Sun</t>
        </is>
      </c>
      <c r="C2793" s="19" t="n">
        <v>11</v>
      </c>
      <c r="D2793" s="19" t="n">
        <v>2027</v>
      </c>
      <c r="E2793" s="57" t="n">
        <v>3</v>
      </c>
      <c r="F2793" s="29">
        <f>ROUND(((SUMIFS(Calendar!$F$2:$F$9997,Calendar!$B$2:$B$9997,D2793,Calendar!$C$2:$C$9997,C2793)*INDEX(ForeCalc!$B$37:$Y$274,MATCH(_xlfn.CONCAT(H2793," ",I2793),ForeCalc!$A$37:$A$274,0),MATCH(_xlfn.CONCAT(B2793," ",E2793),ForeCalc!$B$36:$Y$36,0))))*VLOOKUP(A2793,Calendar!$A$2:$H$9997,8,FALSE),0)</f>
        <v/>
      </c>
      <c r="G2793" s="29">
        <f>VLOOKUP(A2793,Calendar!$A$1:$H$9997,6,FALSE)-F2793</f>
        <v/>
      </c>
      <c r="H2793" s="19" t="n">
        <v>2</v>
      </c>
      <c r="I2793" s="57" t="n">
        <v>8</v>
      </c>
    </row>
    <row r="2794">
      <c r="A2794" s="62" t="n">
        <v>46713</v>
      </c>
      <c r="B2794" s="3" t="inlineStr">
        <is>
          <t>Week</t>
        </is>
      </c>
      <c r="C2794" s="19" t="n">
        <v>11</v>
      </c>
      <c r="D2794" s="19" t="n">
        <v>2027</v>
      </c>
      <c r="E2794" s="57" t="n">
        <v>3</v>
      </c>
      <c r="F2794" s="29">
        <f>ROUND(((SUMIFS(Calendar!$F$2:$F$9997,Calendar!$B$2:$B$9997,D2794,Calendar!$C$2:$C$9997,C2794)*INDEX(ForeCalc!$B$37:$Y$274,MATCH(_xlfn.CONCAT(H2794," ",I2794),ForeCalc!$A$37:$A$274,0),MATCH(_xlfn.CONCAT(B2794," ",E2794),ForeCalc!$B$36:$Y$36,0))))*VLOOKUP(A2794,Calendar!$A$2:$H$9997,8,FALSE),0)</f>
        <v/>
      </c>
      <c r="G2794" s="29">
        <f>VLOOKUP(A2794,Calendar!$A$1:$H$9997,6,FALSE)-F2794</f>
        <v/>
      </c>
      <c r="H2794" s="19" t="n">
        <v>2</v>
      </c>
      <c r="I2794" s="57" t="n">
        <v>8</v>
      </c>
    </row>
    <row r="2795">
      <c r="A2795" s="62" t="n">
        <v>46714</v>
      </c>
      <c r="B2795" s="3" t="inlineStr">
        <is>
          <t>Week</t>
        </is>
      </c>
      <c r="C2795" s="19" t="n">
        <v>11</v>
      </c>
      <c r="D2795" s="19" t="n">
        <v>2027</v>
      </c>
      <c r="E2795" s="57" t="n">
        <v>3</v>
      </c>
      <c r="F2795" s="29">
        <f>ROUND(((SUMIFS(Calendar!$F$2:$F$9997,Calendar!$B$2:$B$9997,D2795,Calendar!$C$2:$C$9997,C2795)*INDEX(ForeCalc!$B$37:$Y$274,MATCH(_xlfn.CONCAT(H2795," ",I2795),ForeCalc!$A$37:$A$274,0),MATCH(_xlfn.CONCAT(B2795," ",E2795),ForeCalc!$B$36:$Y$36,0))))*VLOOKUP(A2795,Calendar!$A$2:$H$9997,8,FALSE),0)</f>
        <v/>
      </c>
      <c r="G2795" s="29">
        <f>VLOOKUP(A2795,Calendar!$A$1:$H$9997,6,FALSE)-F2795</f>
        <v/>
      </c>
      <c r="H2795" s="19" t="n">
        <v>2</v>
      </c>
      <c r="I2795" s="57" t="n">
        <v>8</v>
      </c>
    </row>
    <row r="2796">
      <c r="A2796" s="62" t="n">
        <v>46715</v>
      </c>
      <c r="B2796" s="3" t="inlineStr">
        <is>
          <t>Week</t>
        </is>
      </c>
      <c r="C2796" s="19" t="n">
        <v>11</v>
      </c>
      <c r="D2796" s="19" t="n">
        <v>2027</v>
      </c>
      <c r="E2796" s="57" t="n">
        <v>3</v>
      </c>
      <c r="F2796" s="29">
        <f>ROUND(((SUMIFS(Calendar!$F$2:$F$9997,Calendar!$B$2:$B$9997,D2796,Calendar!$C$2:$C$9997,C2796)*INDEX(ForeCalc!$B$37:$Y$274,MATCH(_xlfn.CONCAT(H2796," ",I2796),ForeCalc!$A$37:$A$274,0),MATCH(_xlfn.CONCAT(B2796," ",E2796),ForeCalc!$B$36:$Y$36,0))))*VLOOKUP(A2796,Calendar!$A$2:$H$9997,8,FALSE),0)</f>
        <v/>
      </c>
      <c r="G2796" s="29">
        <f>VLOOKUP(A2796,Calendar!$A$1:$H$9997,6,FALSE)-F2796</f>
        <v/>
      </c>
      <c r="H2796" s="19" t="n">
        <v>2</v>
      </c>
      <c r="I2796" s="57" t="n">
        <v>8</v>
      </c>
    </row>
    <row r="2797">
      <c r="A2797" s="62" t="n">
        <v>46716</v>
      </c>
      <c r="B2797" s="3" t="inlineStr">
        <is>
          <t>Week</t>
        </is>
      </c>
      <c r="C2797" s="19" t="n">
        <v>11</v>
      </c>
      <c r="D2797" s="19" t="n">
        <v>2027</v>
      </c>
      <c r="E2797" s="57" t="n">
        <v>3</v>
      </c>
      <c r="F2797" s="29">
        <f>ROUND(((SUMIFS(Calendar!$F$2:$F$9997,Calendar!$B$2:$B$9997,D2797,Calendar!$C$2:$C$9997,C2797)*INDEX(ForeCalc!$B$37:$Y$274,MATCH(_xlfn.CONCAT(H2797," ",I2797),ForeCalc!$A$37:$A$274,0),MATCH(_xlfn.CONCAT(B2797," ",E2797),ForeCalc!$B$36:$Y$36,0))))*VLOOKUP(A2797,Calendar!$A$2:$H$9997,8,FALSE),0)</f>
        <v/>
      </c>
      <c r="G2797" s="29">
        <f>VLOOKUP(A2797,Calendar!$A$1:$H$9997,6,FALSE)-F2797</f>
        <v/>
      </c>
      <c r="H2797" s="19" t="n">
        <v>2</v>
      </c>
      <c r="I2797" s="57" t="n">
        <v>8</v>
      </c>
    </row>
    <row r="2798">
      <c r="A2798" s="62" t="n">
        <v>46717</v>
      </c>
      <c r="B2798" s="3" t="inlineStr">
        <is>
          <t>Week</t>
        </is>
      </c>
      <c r="C2798" s="19" t="n">
        <v>11</v>
      </c>
      <c r="D2798" s="19" t="n">
        <v>2027</v>
      </c>
      <c r="E2798" s="57" t="n">
        <v>3</v>
      </c>
      <c r="F2798" s="29">
        <f>ROUND(((SUMIFS(Calendar!$F$2:$F$9997,Calendar!$B$2:$B$9997,D2798,Calendar!$C$2:$C$9997,C2798)*INDEX(ForeCalc!$B$37:$Y$274,MATCH(_xlfn.CONCAT(H2798," ",I2798),ForeCalc!$A$37:$A$274,0),MATCH(_xlfn.CONCAT(B2798," ",E2798),ForeCalc!$B$36:$Y$36,0))))*VLOOKUP(A2798,Calendar!$A$2:$H$9997,8,FALSE),0)</f>
        <v/>
      </c>
      <c r="G2798" s="29">
        <f>VLOOKUP(A2798,Calendar!$A$1:$H$9997,6,FALSE)-F2798</f>
        <v/>
      </c>
      <c r="H2798" s="19" t="n">
        <v>2</v>
      </c>
      <c r="I2798" s="57" t="n">
        <v>8</v>
      </c>
    </row>
    <row r="2799">
      <c r="A2799" s="62" t="n">
        <v>46718</v>
      </c>
      <c r="B2799" s="3" t="inlineStr">
        <is>
          <t>Sat</t>
        </is>
      </c>
      <c r="C2799" s="19" t="n">
        <v>11</v>
      </c>
      <c r="D2799" s="19" t="n">
        <v>2027</v>
      </c>
      <c r="E2799" s="57" t="n">
        <v>3</v>
      </c>
      <c r="F2799" s="29">
        <f>ROUND(((SUMIFS(Calendar!$F$2:$F$9997,Calendar!$B$2:$B$9997,D2799,Calendar!$C$2:$C$9997,C2799)*INDEX(ForeCalc!$B$37:$Y$274,MATCH(_xlfn.CONCAT(H2799," ",I2799),ForeCalc!$A$37:$A$274,0),MATCH(_xlfn.CONCAT(B2799," ",E2799),ForeCalc!$B$36:$Y$36,0))))*VLOOKUP(A2799,Calendar!$A$2:$H$9997,8,FALSE),0)</f>
        <v/>
      </c>
      <c r="G2799" s="29">
        <f>VLOOKUP(A2799,Calendar!$A$1:$H$9997,6,FALSE)-F2799</f>
        <v/>
      </c>
      <c r="H2799" s="19" t="n">
        <v>2</v>
      </c>
      <c r="I2799" s="57" t="n">
        <v>8</v>
      </c>
    </row>
    <row r="2800">
      <c r="A2800" s="62" t="n">
        <v>46719</v>
      </c>
      <c r="B2800" s="3" t="inlineStr">
        <is>
          <t>Sun</t>
        </is>
      </c>
      <c r="C2800" s="19" t="n">
        <v>11</v>
      </c>
      <c r="D2800" s="19" t="n">
        <v>2027</v>
      </c>
      <c r="E2800" s="57" t="n">
        <v>3</v>
      </c>
      <c r="F2800" s="29">
        <f>ROUND(((SUMIFS(Calendar!$F$2:$F$9997,Calendar!$B$2:$B$9997,D2800,Calendar!$C$2:$C$9997,C2800)*INDEX(ForeCalc!$B$37:$Y$274,MATCH(_xlfn.CONCAT(H2800," ",I2800),ForeCalc!$A$37:$A$274,0),MATCH(_xlfn.CONCAT(B2800," ",E2800),ForeCalc!$B$36:$Y$36,0))))*VLOOKUP(A2800,Calendar!$A$2:$H$9997,8,FALSE),0)</f>
        <v/>
      </c>
      <c r="G2800" s="29">
        <f>VLOOKUP(A2800,Calendar!$A$1:$H$9997,6,FALSE)-F2800</f>
        <v/>
      </c>
      <c r="H2800" s="19" t="n">
        <v>2</v>
      </c>
      <c r="I2800" s="57" t="n">
        <v>8</v>
      </c>
    </row>
    <row r="2801">
      <c r="A2801" s="62" t="n">
        <v>46720</v>
      </c>
      <c r="B2801" s="3" t="inlineStr">
        <is>
          <t>Week</t>
        </is>
      </c>
      <c r="C2801" s="19" t="n">
        <v>11</v>
      </c>
      <c r="D2801" s="19" t="n">
        <v>2027</v>
      </c>
      <c r="E2801" s="57" t="n">
        <v>3</v>
      </c>
      <c r="F2801" s="29">
        <f>ROUND(((SUMIFS(Calendar!$F$2:$F$9997,Calendar!$B$2:$B$9997,D2801,Calendar!$C$2:$C$9997,C2801)*INDEX(ForeCalc!$B$37:$Y$274,MATCH(_xlfn.CONCAT(H2801," ",I2801),ForeCalc!$A$37:$A$274,0),MATCH(_xlfn.CONCAT(B2801," ",E2801),ForeCalc!$B$36:$Y$36,0))))*VLOOKUP(A2801,Calendar!$A$2:$H$9997,8,FALSE),0)</f>
        <v/>
      </c>
      <c r="G2801" s="29">
        <f>VLOOKUP(A2801,Calendar!$A$1:$H$9997,6,FALSE)-F2801</f>
        <v/>
      </c>
      <c r="H2801" s="19" t="n">
        <v>2</v>
      </c>
      <c r="I2801" s="57" t="n">
        <v>8</v>
      </c>
    </row>
    <row r="2802">
      <c r="A2802" s="62" t="n">
        <v>46721</v>
      </c>
      <c r="B2802" s="3" t="inlineStr">
        <is>
          <t>Week</t>
        </is>
      </c>
      <c r="C2802" s="19" t="n">
        <v>11</v>
      </c>
      <c r="D2802" s="19" t="n">
        <v>2027</v>
      </c>
      <c r="E2802" s="57" t="n">
        <v>3</v>
      </c>
      <c r="F2802" s="29">
        <f>ROUND(((SUMIFS(Calendar!$F$2:$F$9997,Calendar!$B$2:$B$9997,D2802,Calendar!$C$2:$C$9997,C2802)*INDEX(ForeCalc!$B$37:$Y$274,MATCH(_xlfn.CONCAT(H2802," ",I2802),ForeCalc!$A$37:$A$274,0),MATCH(_xlfn.CONCAT(B2802," ",E2802),ForeCalc!$B$36:$Y$36,0))))*VLOOKUP(A2802,Calendar!$A$2:$H$9997,8,FALSE),0)</f>
        <v/>
      </c>
      <c r="G2802" s="29">
        <f>VLOOKUP(A2802,Calendar!$A$1:$H$9997,6,FALSE)-F2802</f>
        <v/>
      </c>
      <c r="H2802" s="19" t="n">
        <v>2</v>
      </c>
      <c r="I2802" s="57" t="n">
        <v>8</v>
      </c>
    </row>
    <row r="2803">
      <c r="A2803" s="62" t="n">
        <v>46722</v>
      </c>
      <c r="B2803" s="3" t="inlineStr">
        <is>
          <t>Week</t>
        </is>
      </c>
      <c r="C2803" s="19" t="n">
        <v>12</v>
      </c>
      <c r="D2803" s="19" t="n">
        <v>2027</v>
      </c>
      <c r="E2803" s="57" t="n">
        <v>3</v>
      </c>
      <c r="F2803" s="29">
        <f>ROUND(((SUMIFS(Calendar!$F$2:$F$9997,Calendar!$B$2:$B$9997,D2803,Calendar!$C$2:$C$9997,C2803)*INDEX(ForeCalc!$B$37:$Y$274,MATCH(_xlfn.CONCAT(H2803," ",I2803),ForeCalc!$A$37:$A$274,0),MATCH(_xlfn.CONCAT(B2803," ",E2803),ForeCalc!$B$36:$Y$36,0))))*VLOOKUP(A2803,Calendar!$A$2:$H$9997,8,FALSE),0)</f>
        <v/>
      </c>
      <c r="G2803" s="29">
        <f>VLOOKUP(A2803,Calendar!$A$1:$H$9997,6,FALSE)-F2803</f>
        <v/>
      </c>
      <c r="H2803" s="19" t="n">
        <v>2</v>
      </c>
      <c r="I2803" s="57" t="n">
        <v>9</v>
      </c>
    </row>
    <row r="2804">
      <c r="A2804" s="62" t="n">
        <v>46723</v>
      </c>
      <c r="B2804" s="3" t="inlineStr">
        <is>
          <t>Week</t>
        </is>
      </c>
      <c r="C2804" s="19" t="n">
        <v>12</v>
      </c>
      <c r="D2804" s="19" t="n">
        <v>2027</v>
      </c>
      <c r="E2804" s="57" t="n">
        <v>3</v>
      </c>
      <c r="F2804" s="29">
        <f>ROUND(((SUMIFS(Calendar!$F$2:$F$9997,Calendar!$B$2:$B$9997,D2804,Calendar!$C$2:$C$9997,C2804)*INDEX(ForeCalc!$B$37:$Y$274,MATCH(_xlfn.CONCAT(H2804," ",I2804),ForeCalc!$A$37:$A$274,0),MATCH(_xlfn.CONCAT(B2804," ",E2804),ForeCalc!$B$36:$Y$36,0))))*VLOOKUP(A2804,Calendar!$A$2:$H$9997,8,FALSE),0)</f>
        <v/>
      </c>
      <c r="G2804" s="29">
        <f>VLOOKUP(A2804,Calendar!$A$1:$H$9997,6,FALSE)-F2804</f>
        <v/>
      </c>
      <c r="H2804" s="19" t="n">
        <v>2</v>
      </c>
      <c r="I2804" s="57" t="n">
        <v>9</v>
      </c>
    </row>
    <row r="2805">
      <c r="A2805" s="62" t="n">
        <v>46724</v>
      </c>
      <c r="B2805" s="3" t="inlineStr">
        <is>
          <t>Week</t>
        </is>
      </c>
      <c r="C2805" s="19" t="n">
        <v>12</v>
      </c>
      <c r="D2805" s="19" t="n">
        <v>2027</v>
      </c>
      <c r="E2805" s="57" t="n">
        <v>3</v>
      </c>
      <c r="F2805" s="29">
        <f>ROUND(((SUMIFS(Calendar!$F$2:$F$9997,Calendar!$B$2:$B$9997,D2805,Calendar!$C$2:$C$9997,C2805)*INDEX(ForeCalc!$B$37:$Y$274,MATCH(_xlfn.CONCAT(H2805," ",I2805),ForeCalc!$A$37:$A$274,0),MATCH(_xlfn.CONCAT(B2805," ",E2805),ForeCalc!$B$36:$Y$36,0))))*VLOOKUP(A2805,Calendar!$A$2:$H$9997,8,FALSE),0)</f>
        <v/>
      </c>
      <c r="G2805" s="29">
        <f>VLOOKUP(A2805,Calendar!$A$1:$H$9997,6,FALSE)-F2805</f>
        <v/>
      </c>
      <c r="H2805" s="19" t="n">
        <v>2</v>
      </c>
      <c r="I2805" s="57" t="n">
        <v>9</v>
      </c>
    </row>
    <row r="2806">
      <c r="A2806" s="62" t="n">
        <v>46725</v>
      </c>
      <c r="B2806" s="3" t="inlineStr">
        <is>
          <t>Sat</t>
        </is>
      </c>
      <c r="C2806" s="19" t="n">
        <v>12</v>
      </c>
      <c r="D2806" s="19" t="n">
        <v>2027</v>
      </c>
      <c r="E2806" s="57" t="n">
        <v>3</v>
      </c>
      <c r="F2806" s="29">
        <f>ROUND(((SUMIFS(Calendar!$F$2:$F$9997,Calendar!$B$2:$B$9997,D2806,Calendar!$C$2:$C$9997,C2806)*INDEX(ForeCalc!$B$37:$Y$274,MATCH(_xlfn.CONCAT(H2806," ",I2806),ForeCalc!$A$37:$A$274,0),MATCH(_xlfn.CONCAT(B2806," ",E2806),ForeCalc!$B$36:$Y$36,0))))*VLOOKUP(A2806,Calendar!$A$2:$H$9997,8,FALSE),0)</f>
        <v/>
      </c>
      <c r="G2806" s="29">
        <f>VLOOKUP(A2806,Calendar!$A$1:$H$9997,6,FALSE)-F2806</f>
        <v/>
      </c>
      <c r="H2806" s="19" t="n">
        <v>2</v>
      </c>
      <c r="I2806" s="57" t="n">
        <v>9</v>
      </c>
    </row>
    <row r="2807">
      <c r="A2807" s="62" t="n">
        <v>46726</v>
      </c>
      <c r="B2807" s="3" t="inlineStr">
        <is>
          <t>Sun</t>
        </is>
      </c>
      <c r="C2807" s="19" t="n">
        <v>12</v>
      </c>
      <c r="D2807" s="19" t="n">
        <v>2027</v>
      </c>
      <c r="E2807" s="57" t="n">
        <v>3</v>
      </c>
      <c r="F2807" s="29">
        <f>ROUND(((SUMIFS(Calendar!$F$2:$F$9997,Calendar!$B$2:$B$9997,D2807,Calendar!$C$2:$C$9997,C2807)*INDEX(ForeCalc!$B$37:$Y$274,MATCH(_xlfn.CONCAT(H2807," ",I2807),ForeCalc!$A$37:$A$274,0),MATCH(_xlfn.CONCAT(B2807," ",E2807),ForeCalc!$B$36:$Y$36,0))))*VLOOKUP(A2807,Calendar!$A$2:$H$9997,8,FALSE),0)</f>
        <v/>
      </c>
      <c r="G2807" s="29">
        <f>VLOOKUP(A2807,Calendar!$A$1:$H$9997,6,FALSE)-F2807</f>
        <v/>
      </c>
      <c r="H2807" s="19" t="n">
        <v>2</v>
      </c>
      <c r="I2807" s="57" t="n">
        <v>9</v>
      </c>
    </row>
    <row r="2808">
      <c r="A2808" s="62" t="n">
        <v>46727</v>
      </c>
      <c r="B2808" s="3" t="inlineStr">
        <is>
          <t>Week</t>
        </is>
      </c>
      <c r="C2808" s="19" t="n">
        <v>12</v>
      </c>
      <c r="D2808" s="19" t="n">
        <v>2027</v>
      </c>
      <c r="E2808" s="57" t="n">
        <v>3</v>
      </c>
      <c r="F2808" s="29">
        <f>ROUND(((SUMIFS(Calendar!$F$2:$F$9997,Calendar!$B$2:$B$9997,D2808,Calendar!$C$2:$C$9997,C2808)*INDEX(ForeCalc!$B$37:$Y$274,MATCH(_xlfn.CONCAT(H2808," ",I2808),ForeCalc!$A$37:$A$274,0),MATCH(_xlfn.CONCAT(B2808," ",E2808),ForeCalc!$B$36:$Y$36,0))))*VLOOKUP(A2808,Calendar!$A$2:$H$9997,8,FALSE),0)</f>
        <v/>
      </c>
      <c r="G2808" s="29">
        <f>VLOOKUP(A2808,Calendar!$A$1:$H$9997,6,FALSE)-F2808</f>
        <v/>
      </c>
      <c r="H2808" s="19" t="n">
        <v>2</v>
      </c>
      <c r="I2808" s="57" t="n">
        <v>9</v>
      </c>
    </row>
    <row r="2809">
      <c r="A2809" s="62" t="n">
        <v>46728</v>
      </c>
      <c r="B2809" s="3" t="inlineStr">
        <is>
          <t>Week</t>
        </is>
      </c>
      <c r="C2809" s="19" t="n">
        <v>12</v>
      </c>
      <c r="D2809" s="19" t="n">
        <v>2027</v>
      </c>
      <c r="E2809" s="57" t="n">
        <v>3</v>
      </c>
      <c r="F2809" s="29">
        <f>ROUND(((SUMIFS(Calendar!$F$2:$F$9997,Calendar!$B$2:$B$9997,D2809,Calendar!$C$2:$C$9997,C2809)*INDEX(ForeCalc!$B$37:$Y$274,MATCH(_xlfn.CONCAT(H2809," ",I2809),ForeCalc!$A$37:$A$274,0),MATCH(_xlfn.CONCAT(B2809," ",E2809),ForeCalc!$B$36:$Y$36,0))))*VLOOKUP(A2809,Calendar!$A$2:$H$9997,8,FALSE),0)</f>
        <v/>
      </c>
      <c r="G2809" s="29">
        <f>VLOOKUP(A2809,Calendar!$A$1:$H$9997,6,FALSE)-F2809</f>
        <v/>
      </c>
      <c r="H2809" s="19" t="n">
        <v>2</v>
      </c>
      <c r="I2809" s="57" t="n">
        <v>9</v>
      </c>
    </row>
    <row r="2810">
      <c r="A2810" s="62" t="n">
        <v>46729</v>
      </c>
      <c r="B2810" s="3" t="inlineStr">
        <is>
          <t>Week</t>
        </is>
      </c>
      <c r="C2810" s="19" t="n">
        <v>12</v>
      </c>
      <c r="D2810" s="19" t="n">
        <v>2027</v>
      </c>
      <c r="E2810" s="57" t="n">
        <v>3</v>
      </c>
      <c r="F2810" s="29">
        <f>ROUND(((SUMIFS(Calendar!$F$2:$F$9997,Calendar!$B$2:$B$9997,D2810,Calendar!$C$2:$C$9997,C2810)*INDEX(ForeCalc!$B$37:$Y$274,MATCH(_xlfn.CONCAT(H2810," ",I2810),ForeCalc!$A$37:$A$274,0),MATCH(_xlfn.CONCAT(B2810," ",E2810),ForeCalc!$B$36:$Y$36,0))))*VLOOKUP(A2810,Calendar!$A$2:$H$9997,8,FALSE),0)</f>
        <v/>
      </c>
      <c r="G2810" s="29">
        <f>VLOOKUP(A2810,Calendar!$A$1:$H$9997,6,FALSE)-F2810</f>
        <v/>
      </c>
      <c r="H2810" s="19" t="n">
        <v>2</v>
      </c>
      <c r="I2810" s="57" t="n">
        <v>9</v>
      </c>
    </row>
    <row r="2811">
      <c r="A2811" s="62" t="n">
        <v>46730</v>
      </c>
      <c r="B2811" s="3" t="inlineStr">
        <is>
          <t>Week</t>
        </is>
      </c>
      <c r="C2811" s="19" t="n">
        <v>12</v>
      </c>
      <c r="D2811" s="19" t="n">
        <v>2027</v>
      </c>
      <c r="E2811" s="57" t="n">
        <v>3</v>
      </c>
      <c r="F2811" s="29">
        <f>ROUND(((SUMIFS(Calendar!$F$2:$F$9997,Calendar!$B$2:$B$9997,D2811,Calendar!$C$2:$C$9997,C2811)*INDEX(ForeCalc!$B$37:$Y$274,MATCH(_xlfn.CONCAT(H2811," ",I2811),ForeCalc!$A$37:$A$274,0),MATCH(_xlfn.CONCAT(B2811," ",E2811),ForeCalc!$B$36:$Y$36,0))))*VLOOKUP(A2811,Calendar!$A$2:$H$9997,8,FALSE),0)</f>
        <v/>
      </c>
      <c r="G2811" s="29">
        <f>VLOOKUP(A2811,Calendar!$A$1:$H$9997,6,FALSE)-F2811</f>
        <v/>
      </c>
      <c r="H2811" s="19" t="n">
        <v>2</v>
      </c>
      <c r="I2811" s="57" t="n">
        <v>9</v>
      </c>
    </row>
    <row r="2812">
      <c r="A2812" s="62" t="n">
        <v>46731</v>
      </c>
      <c r="B2812" s="3" t="inlineStr">
        <is>
          <t>Week</t>
        </is>
      </c>
      <c r="C2812" s="19" t="n">
        <v>12</v>
      </c>
      <c r="D2812" s="19" t="n">
        <v>2027</v>
      </c>
      <c r="E2812" s="57" t="n">
        <v>3</v>
      </c>
      <c r="F2812" s="29">
        <f>ROUND(((SUMIFS(Calendar!$F$2:$F$9997,Calendar!$B$2:$B$9997,D2812,Calendar!$C$2:$C$9997,C2812)*INDEX(ForeCalc!$B$37:$Y$274,MATCH(_xlfn.CONCAT(H2812," ",I2812),ForeCalc!$A$37:$A$274,0),MATCH(_xlfn.CONCAT(B2812," ",E2812),ForeCalc!$B$36:$Y$36,0))))*VLOOKUP(A2812,Calendar!$A$2:$H$9997,8,FALSE),0)</f>
        <v/>
      </c>
      <c r="G2812" s="29">
        <f>VLOOKUP(A2812,Calendar!$A$1:$H$9997,6,FALSE)-F2812</f>
        <v/>
      </c>
      <c r="H2812" s="19" t="n">
        <v>2</v>
      </c>
      <c r="I2812" s="57" t="n">
        <v>9</v>
      </c>
    </row>
    <row r="2813">
      <c r="A2813" s="62" t="n">
        <v>46732</v>
      </c>
      <c r="B2813" s="3" t="inlineStr">
        <is>
          <t>Sat</t>
        </is>
      </c>
      <c r="C2813" s="19" t="n">
        <v>12</v>
      </c>
      <c r="D2813" s="19" t="n">
        <v>2027</v>
      </c>
      <c r="E2813" s="57" t="n">
        <v>3</v>
      </c>
      <c r="F2813" s="29">
        <f>ROUND(((SUMIFS(Calendar!$F$2:$F$9997,Calendar!$B$2:$B$9997,D2813,Calendar!$C$2:$C$9997,C2813)*INDEX(ForeCalc!$B$37:$Y$274,MATCH(_xlfn.CONCAT(H2813," ",I2813),ForeCalc!$A$37:$A$274,0),MATCH(_xlfn.CONCAT(B2813," ",E2813),ForeCalc!$B$36:$Y$36,0))))*VLOOKUP(A2813,Calendar!$A$2:$H$9997,8,FALSE),0)</f>
        <v/>
      </c>
      <c r="G2813" s="29">
        <f>VLOOKUP(A2813,Calendar!$A$1:$H$9997,6,FALSE)-F2813</f>
        <v/>
      </c>
      <c r="H2813" s="19" t="n">
        <v>2</v>
      </c>
      <c r="I2813" s="57" t="n">
        <v>9</v>
      </c>
    </row>
    <row r="2814">
      <c r="A2814" s="62" t="n">
        <v>46733</v>
      </c>
      <c r="B2814" s="3" t="inlineStr">
        <is>
          <t>Sun</t>
        </is>
      </c>
      <c r="C2814" s="19" t="n">
        <v>12</v>
      </c>
      <c r="D2814" s="19" t="n">
        <v>2027</v>
      </c>
      <c r="E2814" s="57" t="n">
        <v>3</v>
      </c>
      <c r="F2814" s="29">
        <f>ROUND(((SUMIFS(Calendar!$F$2:$F$9997,Calendar!$B$2:$B$9997,D2814,Calendar!$C$2:$C$9997,C2814)*INDEX(ForeCalc!$B$37:$Y$274,MATCH(_xlfn.CONCAT(H2814," ",I2814),ForeCalc!$A$37:$A$274,0),MATCH(_xlfn.CONCAT(B2814," ",E2814),ForeCalc!$B$36:$Y$36,0))))*VLOOKUP(A2814,Calendar!$A$2:$H$9997,8,FALSE),0)</f>
        <v/>
      </c>
      <c r="G2814" s="29">
        <f>VLOOKUP(A2814,Calendar!$A$1:$H$9997,6,FALSE)-F2814</f>
        <v/>
      </c>
      <c r="H2814" s="19" t="n">
        <v>2</v>
      </c>
      <c r="I2814" s="57" t="n">
        <v>9</v>
      </c>
    </row>
    <row r="2815">
      <c r="A2815" s="62" t="n">
        <v>46734</v>
      </c>
      <c r="B2815" s="3" t="inlineStr">
        <is>
          <t>Week</t>
        </is>
      </c>
      <c r="C2815" s="19" t="n">
        <v>12</v>
      </c>
      <c r="D2815" s="19" t="n">
        <v>2027</v>
      </c>
      <c r="E2815" s="57" t="n">
        <v>3</v>
      </c>
      <c r="F2815" s="29">
        <f>ROUND(((SUMIFS(Calendar!$F$2:$F$9997,Calendar!$B$2:$B$9997,D2815,Calendar!$C$2:$C$9997,C2815)*INDEX(ForeCalc!$B$37:$Y$274,MATCH(_xlfn.CONCAT(H2815," ",I2815),ForeCalc!$A$37:$A$274,0),MATCH(_xlfn.CONCAT(B2815," ",E2815),ForeCalc!$B$36:$Y$36,0))))*VLOOKUP(A2815,Calendar!$A$2:$H$9997,8,FALSE),0)</f>
        <v/>
      </c>
      <c r="G2815" s="29">
        <f>VLOOKUP(A2815,Calendar!$A$1:$H$9997,6,FALSE)-F2815</f>
        <v/>
      </c>
      <c r="H2815" s="19" t="n">
        <v>2</v>
      </c>
      <c r="I2815" s="57" t="n">
        <v>9</v>
      </c>
    </row>
    <row r="2816">
      <c r="A2816" s="62" t="n">
        <v>46735</v>
      </c>
      <c r="B2816" s="3" t="inlineStr">
        <is>
          <t>Week</t>
        </is>
      </c>
      <c r="C2816" s="19" t="n">
        <v>12</v>
      </c>
      <c r="D2816" s="19" t="n">
        <v>2027</v>
      </c>
      <c r="E2816" s="57" t="n">
        <v>3</v>
      </c>
      <c r="F2816" s="29">
        <f>ROUND(((SUMIFS(Calendar!$F$2:$F$9997,Calendar!$B$2:$B$9997,D2816,Calendar!$C$2:$C$9997,C2816)*INDEX(ForeCalc!$B$37:$Y$274,MATCH(_xlfn.CONCAT(H2816," ",I2816),ForeCalc!$A$37:$A$274,0),MATCH(_xlfn.CONCAT(B2816," ",E2816),ForeCalc!$B$36:$Y$36,0))))*VLOOKUP(A2816,Calendar!$A$2:$H$9997,8,FALSE),0)</f>
        <v/>
      </c>
      <c r="G2816" s="29">
        <f>VLOOKUP(A2816,Calendar!$A$1:$H$9997,6,FALSE)-F2816</f>
        <v/>
      </c>
      <c r="H2816" s="19" t="n">
        <v>2</v>
      </c>
      <c r="I2816" s="57" t="n">
        <v>9</v>
      </c>
    </row>
    <row r="2817">
      <c r="A2817" s="62" t="n">
        <v>46736</v>
      </c>
      <c r="B2817" s="3" t="inlineStr">
        <is>
          <t>Week</t>
        </is>
      </c>
      <c r="C2817" s="19" t="n">
        <v>12</v>
      </c>
      <c r="D2817" s="19" t="n">
        <v>2027</v>
      </c>
      <c r="E2817" s="57" t="n">
        <v>3</v>
      </c>
      <c r="F2817" s="29">
        <f>ROUND(((SUMIFS(Calendar!$F$2:$F$9997,Calendar!$B$2:$B$9997,D2817,Calendar!$C$2:$C$9997,C2817)*INDEX(ForeCalc!$B$37:$Y$274,MATCH(_xlfn.CONCAT(H2817," ",I2817),ForeCalc!$A$37:$A$274,0),MATCH(_xlfn.CONCAT(B2817," ",E2817),ForeCalc!$B$36:$Y$36,0))))*VLOOKUP(A2817,Calendar!$A$2:$H$9997,8,FALSE),0)</f>
        <v/>
      </c>
      <c r="G2817" s="29">
        <f>VLOOKUP(A2817,Calendar!$A$1:$H$9997,6,FALSE)-F2817</f>
        <v/>
      </c>
      <c r="H2817" s="19" t="n">
        <v>2</v>
      </c>
      <c r="I2817" s="57" t="n">
        <v>9</v>
      </c>
    </row>
    <row r="2818">
      <c r="A2818" s="62" t="n">
        <v>46737</v>
      </c>
      <c r="B2818" s="3" t="inlineStr">
        <is>
          <t>Week</t>
        </is>
      </c>
      <c r="C2818" s="19" t="n">
        <v>12</v>
      </c>
      <c r="D2818" s="19" t="n">
        <v>2027</v>
      </c>
      <c r="E2818" s="57" t="n">
        <v>3</v>
      </c>
      <c r="F2818" s="29">
        <f>ROUND(((SUMIFS(Calendar!$F$2:$F$9997,Calendar!$B$2:$B$9997,D2818,Calendar!$C$2:$C$9997,C2818)*INDEX(ForeCalc!$B$37:$Y$274,MATCH(_xlfn.CONCAT(H2818," ",I2818),ForeCalc!$A$37:$A$274,0),MATCH(_xlfn.CONCAT(B2818," ",E2818),ForeCalc!$B$36:$Y$36,0))))*VLOOKUP(A2818,Calendar!$A$2:$H$9997,8,FALSE),0)</f>
        <v/>
      </c>
      <c r="G2818" s="29">
        <f>VLOOKUP(A2818,Calendar!$A$1:$H$9997,6,FALSE)-F2818</f>
        <v/>
      </c>
      <c r="H2818" s="19" t="n">
        <v>2</v>
      </c>
      <c r="I2818" s="57" t="n">
        <v>9</v>
      </c>
    </row>
    <row r="2819">
      <c r="A2819" s="62" t="n">
        <v>46738</v>
      </c>
      <c r="B2819" s="3" t="inlineStr">
        <is>
          <t>Week</t>
        </is>
      </c>
      <c r="C2819" s="19" t="n">
        <v>12</v>
      </c>
      <c r="D2819" s="19" t="n">
        <v>2027</v>
      </c>
      <c r="E2819" s="57" t="n">
        <v>3</v>
      </c>
      <c r="F2819" s="29">
        <f>ROUND(((SUMIFS(Calendar!$F$2:$F$9997,Calendar!$B$2:$B$9997,D2819,Calendar!$C$2:$C$9997,C2819)*INDEX(ForeCalc!$B$37:$Y$274,MATCH(_xlfn.CONCAT(H2819," ",I2819),ForeCalc!$A$37:$A$274,0),MATCH(_xlfn.CONCAT(B2819," ",E2819),ForeCalc!$B$36:$Y$36,0))))*VLOOKUP(A2819,Calendar!$A$2:$H$9997,8,FALSE),0)</f>
        <v/>
      </c>
      <c r="G2819" s="29">
        <f>VLOOKUP(A2819,Calendar!$A$1:$H$9997,6,FALSE)-F2819</f>
        <v/>
      </c>
      <c r="H2819" s="19" t="n">
        <v>2</v>
      </c>
      <c r="I2819" s="57" t="n">
        <v>9</v>
      </c>
    </row>
    <row r="2820">
      <c r="A2820" s="62" t="n">
        <v>46739</v>
      </c>
      <c r="B2820" s="3" t="inlineStr">
        <is>
          <t>Sat</t>
        </is>
      </c>
      <c r="C2820" s="19" t="n">
        <v>12</v>
      </c>
      <c r="D2820" s="19" t="n">
        <v>2027</v>
      </c>
      <c r="E2820" s="57" t="n">
        <v>3</v>
      </c>
      <c r="F2820" s="29">
        <f>ROUND(((SUMIFS(Calendar!$F$2:$F$9997,Calendar!$B$2:$B$9997,D2820,Calendar!$C$2:$C$9997,C2820)*INDEX(ForeCalc!$B$37:$Y$274,MATCH(_xlfn.CONCAT(H2820," ",I2820),ForeCalc!$A$37:$A$274,0),MATCH(_xlfn.CONCAT(B2820," ",E2820),ForeCalc!$B$36:$Y$36,0))))*VLOOKUP(A2820,Calendar!$A$2:$H$9997,8,FALSE),0)</f>
        <v/>
      </c>
      <c r="G2820" s="29">
        <f>VLOOKUP(A2820,Calendar!$A$1:$H$9997,6,FALSE)-F2820</f>
        <v/>
      </c>
      <c r="H2820" s="19" t="n">
        <v>2</v>
      </c>
      <c r="I2820" s="57" t="n">
        <v>9</v>
      </c>
    </row>
    <row r="2821">
      <c r="A2821" s="62" t="n">
        <v>46740</v>
      </c>
      <c r="B2821" s="3" t="inlineStr">
        <is>
          <t>Sun</t>
        </is>
      </c>
      <c r="C2821" s="19" t="n">
        <v>12</v>
      </c>
      <c r="D2821" s="19" t="n">
        <v>2027</v>
      </c>
      <c r="E2821" s="57" t="n">
        <v>3</v>
      </c>
      <c r="F2821" s="29">
        <f>ROUND(((SUMIFS(Calendar!$F$2:$F$9997,Calendar!$B$2:$B$9997,D2821,Calendar!$C$2:$C$9997,C2821)*INDEX(ForeCalc!$B$37:$Y$274,MATCH(_xlfn.CONCAT(H2821," ",I2821),ForeCalc!$A$37:$A$274,0),MATCH(_xlfn.CONCAT(B2821," ",E2821),ForeCalc!$B$36:$Y$36,0))))*VLOOKUP(A2821,Calendar!$A$2:$H$9997,8,FALSE),0)</f>
        <v/>
      </c>
      <c r="G2821" s="29">
        <f>VLOOKUP(A2821,Calendar!$A$1:$H$9997,6,FALSE)-F2821</f>
        <v/>
      </c>
      <c r="H2821" s="19" t="n">
        <v>2</v>
      </c>
      <c r="I2821" s="57" t="n">
        <v>9</v>
      </c>
    </row>
    <row r="2822">
      <c r="A2822" s="62" t="n">
        <v>46741</v>
      </c>
      <c r="B2822" s="3" t="inlineStr">
        <is>
          <t>Week</t>
        </is>
      </c>
      <c r="C2822" s="19" t="n">
        <v>12</v>
      </c>
      <c r="D2822" s="19" t="n">
        <v>2027</v>
      </c>
      <c r="E2822" s="57" t="n">
        <v>3</v>
      </c>
      <c r="F2822" s="29">
        <f>ROUND(((SUMIFS(Calendar!$F$2:$F$9997,Calendar!$B$2:$B$9997,D2822,Calendar!$C$2:$C$9997,C2822)*INDEX(ForeCalc!$B$37:$Y$274,MATCH(_xlfn.CONCAT(H2822," ",I2822),ForeCalc!$A$37:$A$274,0),MATCH(_xlfn.CONCAT(B2822," ",E2822),ForeCalc!$B$36:$Y$36,0))))*VLOOKUP(A2822,Calendar!$A$2:$H$9997,8,FALSE),0)</f>
        <v/>
      </c>
      <c r="G2822" s="29">
        <f>VLOOKUP(A2822,Calendar!$A$1:$H$9997,6,FALSE)-F2822</f>
        <v/>
      </c>
      <c r="H2822" s="19" t="n">
        <v>2</v>
      </c>
      <c r="I2822" s="57" t="n">
        <v>9</v>
      </c>
    </row>
    <row r="2823">
      <c r="A2823" s="62" t="n">
        <v>46742</v>
      </c>
      <c r="B2823" s="3" t="inlineStr">
        <is>
          <t>Week</t>
        </is>
      </c>
      <c r="C2823" s="19" t="n">
        <v>12</v>
      </c>
      <c r="D2823" s="19" t="n">
        <v>2027</v>
      </c>
      <c r="E2823" s="57" t="n">
        <v>3</v>
      </c>
      <c r="F2823" s="29">
        <f>ROUND(((SUMIFS(Calendar!$F$2:$F$9997,Calendar!$B$2:$B$9997,D2823,Calendar!$C$2:$C$9997,C2823)*INDEX(ForeCalc!$B$37:$Y$274,MATCH(_xlfn.CONCAT(H2823," ",I2823),ForeCalc!$A$37:$A$274,0),MATCH(_xlfn.CONCAT(B2823," ",E2823),ForeCalc!$B$36:$Y$36,0))))*VLOOKUP(A2823,Calendar!$A$2:$H$9997,8,FALSE),0)</f>
        <v/>
      </c>
      <c r="G2823" s="29">
        <f>VLOOKUP(A2823,Calendar!$A$1:$H$9997,6,FALSE)-F2823</f>
        <v/>
      </c>
      <c r="H2823" s="19" t="n">
        <v>2</v>
      </c>
      <c r="I2823" s="57" t="n">
        <v>9</v>
      </c>
    </row>
    <row r="2824">
      <c r="A2824" s="62" t="n">
        <v>46743</v>
      </c>
      <c r="B2824" s="3" t="inlineStr">
        <is>
          <t>Week</t>
        </is>
      </c>
      <c r="C2824" s="19" t="n">
        <v>12</v>
      </c>
      <c r="D2824" s="19" t="n">
        <v>2027</v>
      </c>
      <c r="E2824" s="57" t="n">
        <v>3</v>
      </c>
      <c r="F2824" s="29">
        <f>ROUND(((SUMIFS(Calendar!$F$2:$F$9997,Calendar!$B$2:$B$9997,D2824,Calendar!$C$2:$C$9997,C2824)*INDEX(ForeCalc!$B$37:$Y$274,MATCH(_xlfn.CONCAT(H2824," ",I2824),ForeCalc!$A$37:$A$274,0),MATCH(_xlfn.CONCAT(B2824," ",E2824),ForeCalc!$B$36:$Y$36,0))))*VLOOKUP(A2824,Calendar!$A$2:$H$9997,8,FALSE),0)</f>
        <v/>
      </c>
      <c r="G2824" s="29">
        <f>VLOOKUP(A2824,Calendar!$A$1:$H$9997,6,FALSE)-F2824</f>
        <v/>
      </c>
      <c r="H2824" s="19" t="n">
        <v>2</v>
      </c>
      <c r="I2824" s="57" t="n">
        <v>9</v>
      </c>
    </row>
    <row r="2825">
      <c r="A2825" s="62" t="n">
        <v>46744</v>
      </c>
      <c r="B2825" s="3" t="inlineStr">
        <is>
          <t>Week</t>
        </is>
      </c>
      <c r="C2825" s="19" t="n">
        <v>12</v>
      </c>
      <c r="D2825" s="19" t="n">
        <v>2027</v>
      </c>
      <c r="E2825" s="57" t="n">
        <v>3</v>
      </c>
      <c r="F2825" s="29">
        <f>ROUND(((SUMIFS(Calendar!$F$2:$F$9997,Calendar!$B$2:$B$9997,D2825,Calendar!$C$2:$C$9997,C2825)*INDEX(ForeCalc!$B$37:$Y$274,MATCH(_xlfn.CONCAT(H2825," ",I2825),ForeCalc!$A$37:$A$274,0),MATCH(_xlfn.CONCAT(B2825," ",E2825),ForeCalc!$B$36:$Y$36,0))))*VLOOKUP(A2825,Calendar!$A$2:$H$9997,8,FALSE),0)</f>
        <v/>
      </c>
      <c r="G2825" s="29">
        <f>VLOOKUP(A2825,Calendar!$A$1:$H$9997,6,FALSE)-F2825</f>
        <v/>
      </c>
      <c r="H2825" s="19" t="n">
        <v>2</v>
      </c>
      <c r="I2825" s="57" t="n">
        <v>9</v>
      </c>
    </row>
    <row r="2826">
      <c r="A2826" s="62" t="n">
        <v>46745</v>
      </c>
      <c r="B2826" s="3" t="inlineStr">
        <is>
          <t>Week</t>
        </is>
      </c>
      <c r="C2826" s="19" t="n">
        <v>12</v>
      </c>
      <c r="D2826" s="19" t="n">
        <v>2027</v>
      </c>
      <c r="E2826" s="57" t="n">
        <v>3</v>
      </c>
      <c r="F2826" s="29">
        <f>ROUND(((SUMIFS(Calendar!$F$2:$F$9997,Calendar!$B$2:$B$9997,D2826,Calendar!$C$2:$C$9997,C2826)*INDEX(ForeCalc!$B$37:$Y$274,MATCH(_xlfn.CONCAT(H2826," ",I2826),ForeCalc!$A$37:$A$274,0),MATCH(_xlfn.CONCAT(B2826," ",E2826),ForeCalc!$B$36:$Y$36,0))))*VLOOKUP(A2826,Calendar!$A$2:$H$9997,8,FALSE),0)</f>
        <v/>
      </c>
      <c r="G2826" s="29">
        <f>VLOOKUP(A2826,Calendar!$A$1:$H$9997,6,FALSE)-F2826</f>
        <v/>
      </c>
      <c r="H2826" s="19" t="n">
        <v>2</v>
      </c>
      <c r="I2826" s="57" t="n">
        <v>9</v>
      </c>
    </row>
    <row r="2827">
      <c r="A2827" s="62" t="n">
        <v>46746</v>
      </c>
      <c r="B2827" s="3" t="inlineStr">
        <is>
          <t>Sat</t>
        </is>
      </c>
      <c r="C2827" s="19" t="n">
        <v>12</v>
      </c>
      <c r="D2827" s="19" t="n">
        <v>2027</v>
      </c>
      <c r="E2827" s="57" t="n">
        <v>3</v>
      </c>
      <c r="F2827" s="29">
        <f>ROUND(((SUMIFS(Calendar!$F$2:$F$9997,Calendar!$B$2:$B$9997,D2827,Calendar!$C$2:$C$9997,C2827)*INDEX(ForeCalc!$B$37:$Y$274,MATCH(_xlfn.CONCAT(H2827," ",I2827),ForeCalc!$A$37:$A$274,0),MATCH(_xlfn.CONCAT(B2827," ",E2827),ForeCalc!$B$36:$Y$36,0))))*VLOOKUP(A2827,Calendar!$A$2:$H$9997,8,FALSE),0)</f>
        <v/>
      </c>
      <c r="G2827" s="29">
        <f>VLOOKUP(A2827,Calendar!$A$1:$H$9997,6,FALSE)-F2827</f>
        <v/>
      </c>
      <c r="H2827" s="19" t="n">
        <v>2</v>
      </c>
      <c r="I2827" s="57" t="n">
        <v>9</v>
      </c>
    </row>
    <row r="2828">
      <c r="A2828" s="62" t="n">
        <v>46747</v>
      </c>
      <c r="B2828" s="3" t="inlineStr">
        <is>
          <t>Sun</t>
        </is>
      </c>
      <c r="C2828" s="19" t="n">
        <v>12</v>
      </c>
      <c r="D2828" s="19" t="n">
        <v>2027</v>
      </c>
      <c r="E2828" s="57" t="n">
        <v>3</v>
      </c>
      <c r="F2828" s="29">
        <f>ROUND(((SUMIFS(Calendar!$F$2:$F$9997,Calendar!$B$2:$B$9997,D2828,Calendar!$C$2:$C$9997,C2828)*INDEX(ForeCalc!$B$37:$Y$274,MATCH(_xlfn.CONCAT(H2828," ",I2828),ForeCalc!$A$37:$A$274,0),MATCH(_xlfn.CONCAT(B2828," ",E2828),ForeCalc!$B$36:$Y$36,0))))*VLOOKUP(A2828,Calendar!$A$2:$H$9997,8,FALSE),0)</f>
        <v/>
      </c>
      <c r="G2828" s="29">
        <f>VLOOKUP(A2828,Calendar!$A$1:$H$9997,6,FALSE)-F2828</f>
        <v/>
      </c>
      <c r="H2828" s="19" t="n">
        <v>2</v>
      </c>
      <c r="I2828" s="57" t="n">
        <v>9</v>
      </c>
    </row>
    <row r="2829">
      <c r="A2829" s="62" t="n">
        <v>46748</v>
      </c>
      <c r="B2829" s="3" t="inlineStr">
        <is>
          <t>Week</t>
        </is>
      </c>
      <c r="C2829" s="19" t="n">
        <v>12</v>
      </c>
      <c r="D2829" s="19" t="n">
        <v>2027</v>
      </c>
      <c r="E2829" s="57" t="n">
        <v>3</v>
      </c>
      <c r="F2829" s="29">
        <f>ROUND(((SUMIFS(Calendar!$F$2:$F$9997,Calendar!$B$2:$B$9997,D2829,Calendar!$C$2:$C$9997,C2829)*INDEX(ForeCalc!$B$37:$Y$274,MATCH(_xlfn.CONCAT(H2829," ",I2829),ForeCalc!$A$37:$A$274,0),MATCH(_xlfn.CONCAT(B2829," ",E2829),ForeCalc!$B$36:$Y$36,0))))*VLOOKUP(A2829,Calendar!$A$2:$H$9997,8,FALSE),0)</f>
        <v/>
      </c>
      <c r="G2829" s="29">
        <f>VLOOKUP(A2829,Calendar!$A$1:$H$9997,6,FALSE)-F2829</f>
        <v/>
      </c>
      <c r="H2829" s="19" t="n">
        <v>2</v>
      </c>
      <c r="I2829" s="57" t="n">
        <v>9</v>
      </c>
    </row>
    <row r="2830">
      <c r="A2830" s="62" t="n">
        <v>46749</v>
      </c>
      <c r="B2830" s="3" t="inlineStr">
        <is>
          <t>Week</t>
        </is>
      </c>
      <c r="C2830" s="19" t="n">
        <v>12</v>
      </c>
      <c r="D2830" s="19" t="n">
        <v>2027</v>
      </c>
      <c r="E2830" s="57" t="n">
        <v>3</v>
      </c>
      <c r="F2830" s="29">
        <f>ROUND(((SUMIFS(Calendar!$F$2:$F$9997,Calendar!$B$2:$B$9997,D2830,Calendar!$C$2:$C$9997,C2830)*INDEX(ForeCalc!$B$37:$Y$274,MATCH(_xlfn.CONCAT(H2830," ",I2830),ForeCalc!$A$37:$A$274,0),MATCH(_xlfn.CONCAT(B2830," ",E2830),ForeCalc!$B$36:$Y$36,0))))*VLOOKUP(A2830,Calendar!$A$2:$H$9997,8,FALSE),0)</f>
        <v/>
      </c>
      <c r="G2830" s="29">
        <f>VLOOKUP(A2830,Calendar!$A$1:$H$9997,6,FALSE)-F2830</f>
        <v/>
      </c>
      <c r="H2830" s="19" t="n">
        <v>2</v>
      </c>
      <c r="I2830" s="57" t="n">
        <v>9</v>
      </c>
    </row>
    <row r="2831">
      <c r="A2831" s="62" t="n">
        <v>46750</v>
      </c>
      <c r="B2831" s="3" t="inlineStr">
        <is>
          <t>Week</t>
        </is>
      </c>
      <c r="C2831" s="19" t="n">
        <v>12</v>
      </c>
      <c r="D2831" s="19" t="n">
        <v>2027</v>
      </c>
      <c r="E2831" s="57" t="n">
        <v>3</v>
      </c>
      <c r="F2831" s="29">
        <f>ROUND(((SUMIFS(Calendar!$F$2:$F$9997,Calendar!$B$2:$B$9997,D2831,Calendar!$C$2:$C$9997,C2831)*INDEX(ForeCalc!$B$37:$Y$274,MATCH(_xlfn.CONCAT(H2831," ",I2831),ForeCalc!$A$37:$A$274,0),MATCH(_xlfn.CONCAT(B2831," ",E2831),ForeCalc!$B$36:$Y$36,0))))*VLOOKUP(A2831,Calendar!$A$2:$H$9997,8,FALSE),0)</f>
        <v/>
      </c>
      <c r="G2831" s="29">
        <f>VLOOKUP(A2831,Calendar!$A$1:$H$9997,6,FALSE)-F2831</f>
        <v/>
      </c>
      <c r="H2831" s="19" t="n">
        <v>2</v>
      </c>
      <c r="I2831" s="57" t="n">
        <v>9</v>
      </c>
    </row>
    <row r="2832">
      <c r="A2832" s="62" t="n">
        <v>46751</v>
      </c>
      <c r="B2832" s="3" t="inlineStr">
        <is>
          <t>Week</t>
        </is>
      </c>
      <c r="C2832" s="19" t="n">
        <v>12</v>
      </c>
      <c r="D2832" s="19" t="n">
        <v>2027</v>
      </c>
      <c r="E2832" s="57" t="n">
        <v>3</v>
      </c>
      <c r="F2832" s="29">
        <f>ROUND(((SUMIFS(Calendar!$F$2:$F$9997,Calendar!$B$2:$B$9997,D2832,Calendar!$C$2:$C$9997,C2832)*INDEX(ForeCalc!$B$37:$Y$274,MATCH(_xlfn.CONCAT(H2832," ",I2832),ForeCalc!$A$37:$A$274,0),MATCH(_xlfn.CONCAT(B2832," ",E2832),ForeCalc!$B$36:$Y$36,0))))*VLOOKUP(A2832,Calendar!$A$2:$H$9997,8,FALSE),0)</f>
        <v/>
      </c>
      <c r="G2832" s="29">
        <f>VLOOKUP(A2832,Calendar!$A$1:$H$9997,6,FALSE)-F2832</f>
        <v/>
      </c>
      <c r="H2832" s="19" t="n">
        <v>2</v>
      </c>
      <c r="I2832" s="57" t="n">
        <v>9</v>
      </c>
    </row>
    <row r="2833">
      <c r="A2833" s="62" t="n">
        <v>46752</v>
      </c>
      <c r="B2833" s="3" t="inlineStr">
        <is>
          <t>Week</t>
        </is>
      </c>
      <c r="C2833" s="19" t="n">
        <v>12</v>
      </c>
      <c r="D2833" s="19" t="n">
        <v>2027</v>
      </c>
      <c r="E2833" s="57" t="n">
        <v>3</v>
      </c>
      <c r="F2833" s="29">
        <f>ROUND(((SUMIFS(Calendar!$F$2:$F$9997,Calendar!$B$2:$B$9997,D2833,Calendar!$C$2:$C$9997,C2833)*INDEX(ForeCalc!$B$37:$Y$274,MATCH(_xlfn.CONCAT(H2833," ",I2833),ForeCalc!$A$37:$A$274,0),MATCH(_xlfn.CONCAT(B2833," ",E2833),ForeCalc!$B$36:$Y$36,0))))*VLOOKUP(A2833,Calendar!$A$2:$H$9997,8,FALSE),0)</f>
        <v/>
      </c>
      <c r="G2833" s="29">
        <f>VLOOKUP(A2833,Calendar!$A$1:$H$9997,6,FALSE)-F2833</f>
        <v/>
      </c>
      <c r="H2833" s="19" t="n">
        <v>2</v>
      </c>
      <c r="I2833" s="57" t="n">
        <v>9</v>
      </c>
    </row>
    <row r="2834">
      <c r="A2834" s="62" t="n">
        <v>46753</v>
      </c>
      <c r="B2834" s="3" t="inlineStr">
        <is>
          <t>Sat</t>
        </is>
      </c>
      <c r="C2834" s="19" t="n">
        <v>1</v>
      </c>
      <c r="D2834" s="19" t="n">
        <v>2028</v>
      </c>
      <c r="E2834" s="57" t="n">
        <v>3</v>
      </c>
      <c r="F2834" s="29">
        <f>ROUND(((SUMIFS(Calendar!$F$2:$F$9997,Calendar!$B$2:$B$9997,D2834,Calendar!$C$2:$C$9997,C2834)*INDEX(ForeCalc!$B$37:$Y$274,MATCH(_xlfn.CONCAT(H2834," ",I2834),ForeCalc!$A$37:$A$274,0),MATCH(_xlfn.CONCAT(B2834," ",E2834),ForeCalc!$B$36:$Y$36,0))))*VLOOKUP(A2834,Calendar!$A$2:$H$9997,8,FALSE),0)</f>
        <v/>
      </c>
      <c r="G2834" s="29">
        <f>VLOOKUP(A2834,Calendar!$A$1:$H$9997,6,FALSE)-F2834</f>
        <v/>
      </c>
      <c r="H2834" s="19" t="n">
        <v>2</v>
      </c>
      <c r="I2834" s="57" t="n">
        <v>10</v>
      </c>
    </row>
    <row r="2835">
      <c r="A2835" s="62" t="n">
        <v>46754</v>
      </c>
      <c r="B2835" s="3" t="inlineStr">
        <is>
          <t>Sun</t>
        </is>
      </c>
      <c r="C2835" s="19" t="n">
        <v>1</v>
      </c>
      <c r="D2835" s="19" t="n">
        <v>2028</v>
      </c>
      <c r="E2835" s="57" t="n">
        <v>3</v>
      </c>
      <c r="F2835" s="29">
        <f>ROUND(((SUMIFS(Calendar!$F$2:$F$9997,Calendar!$B$2:$B$9997,D2835,Calendar!$C$2:$C$9997,C2835)*INDEX(ForeCalc!$B$37:$Y$274,MATCH(_xlfn.CONCAT(H2835," ",I2835),ForeCalc!$A$37:$A$274,0),MATCH(_xlfn.CONCAT(B2835," ",E2835),ForeCalc!$B$36:$Y$36,0))))*VLOOKUP(A2835,Calendar!$A$2:$H$9997,8,FALSE),0)</f>
        <v/>
      </c>
      <c r="G2835" s="29">
        <f>VLOOKUP(A2835,Calendar!$A$1:$H$9997,6,FALSE)-F2835</f>
        <v/>
      </c>
      <c r="H2835" s="19" t="n">
        <v>2</v>
      </c>
      <c r="I2835" s="57" t="n">
        <v>10</v>
      </c>
    </row>
    <row r="2836">
      <c r="A2836" s="62" t="n">
        <v>46755</v>
      </c>
      <c r="B2836" s="3" t="inlineStr">
        <is>
          <t>Week</t>
        </is>
      </c>
      <c r="C2836" s="19" t="n">
        <v>1</v>
      </c>
      <c r="D2836" s="19" t="n">
        <v>2028</v>
      </c>
      <c r="E2836" s="57" t="n">
        <v>3</v>
      </c>
      <c r="F2836" s="29">
        <f>ROUND(((SUMIFS(Calendar!$F$2:$F$9997,Calendar!$B$2:$B$9997,D2836,Calendar!$C$2:$C$9997,C2836)*INDEX(ForeCalc!$B$37:$Y$274,MATCH(_xlfn.CONCAT(H2836," ",I2836),ForeCalc!$A$37:$A$274,0),MATCH(_xlfn.CONCAT(B2836," ",E2836),ForeCalc!$B$36:$Y$36,0))))*VLOOKUP(A2836,Calendar!$A$2:$H$9997,8,FALSE),0)</f>
        <v/>
      </c>
      <c r="G2836" s="29">
        <f>VLOOKUP(A2836,Calendar!$A$1:$H$9997,6,FALSE)-F2836</f>
        <v/>
      </c>
      <c r="H2836" s="19" t="n">
        <v>2</v>
      </c>
      <c r="I2836" s="57" t="n">
        <v>10</v>
      </c>
    </row>
    <row r="2837">
      <c r="A2837" s="62" t="n">
        <v>46756</v>
      </c>
      <c r="B2837" s="3" t="inlineStr">
        <is>
          <t>Week</t>
        </is>
      </c>
      <c r="C2837" s="19" t="n">
        <v>1</v>
      </c>
      <c r="D2837" s="19" t="n">
        <v>2028</v>
      </c>
      <c r="E2837" s="57" t="n">
        <v>3</v>
      </c>
      <c r="F2837" s="29">
        <f>ROUND(((SUMIFS(Calendar!$F$2:$F$9997,Calendar!$B$2:$B$9997,D2837,Calendar!$C$2:$C$9997,C2837)*INDEX(ForeCalc!$B$37:$Y$274,MATCH(_xlfn.CONCAT(H2837," ",I2837),ForeCalc!$A$37:$A$274,0),MATCH(_xlfn.CONCAT(B2837," ",E2837),ForeCalc!$B$36:$Y$36,0))))*VLOOKUP(A2837,Calendar!$A$2:$H$9997,8,FALSE),0)</f>
        <v/>
      </c>
      <c r="G2837" s="29">
        <f>VLOOKUP(A2837,Calendar!$A$1:$H$9997,6,FALSE)-F2837</f>
        <v/>
      </c>
      <c r="H2837" s="19" t="n">
        <v>2</v>
      </c>
      <c r="I2837" s="57" t="n">
        <v>10</v>
      </c>
    </row>
    <row r="2838">
      <c r="A2838" s="62" t="n">
        <v>46757</v>
      </c>
      <c r="B2838" s="3" t="inlineStr">
        <is>
          <t>Week</t>
        </is>
      </c>
      <c r="C2838" s="19" t="n">
        <v>1</v>
      </c>
      <c r="D2838" s="19" t="n">
        <v>2028</v>
      </c>
      <c r="E2838" s="57" t="n">
        <v>3</v>
      </c>
      <c r="F2838" s="29">
        <f>ROUND(((SUMIFS(Calendar!$F$2:$F$9997,Calendar!$B$2:$B$9997,D2838,Calendar!$C$2:$C$9997,C2838)*INDEX(ForeCalc!$B$37:$Y$274,MATCH(_xlfn.CONCAT(H2838," ",I2838),ForeCalc!$A$37:$A$274,0),MATCH(_xlfn.CONCAT(B2838," ",E2838),ForeCalc!$B$36:$Y$36,0))))*VLOOKUP(A2838,Calendar!$A$2:$H$9997,8,FALSE),0)</f>
        <v/>
      </c>
      <c r="G2838" s="29">
        <f>VLOOKUP(A2838,Calendar!$A$1:$H$9997,6,FALSE)-F2838</f>
        <v/>
      </c>
      <c r="H2838" s="19" t="n">
        <v>2</v>
      </c>
      <c r="I2838" s="57" t="n">
        <v>10</v>
      </c>
    </row>
    <row r="2839">
      <c r="A2839" s="62" t="n">
        <v>46758</v>
      </c>
      <c r="B2839" s="3" t="inlineStr">
        <is>
          <t>Week</t>
        </is>
      </c>
      <c r="C2839" s="19" t="n">
        <v>1</v>
      </c>
      <c r="D2839" s="19" t="n">
        <v>2028</v>
      </c>
      <c r="E2839" s="57" t="n">
        <v>3</v>
      </c>
      <c r="F2839" s="29">
        <f>ROUND(((SUMIFS(Calendar!$F$2:$F$9997,Calendar!$B$2:$B$9997,D2839,Calendar!$C$2:$C$9997,C2839)*INDEX(ForeCalc!$B$37:$Y$274,MATCH(_xlfn.CONCAT(H2839," ",I2839),ForeCalc!$A$37:$A$274,0),MATCH(_xlfn.CONCAT(B2839," ",E2839),ForeCalc!$B$36:$Y$36,0))))*VLOOKUP(A2839,Calendar!$A$2:$H$9997,8,FALSE),0)</f>
        <v/>
      </c>
      <c r="G2839" s="29">
        <f>VLOOKUP(A2839,Calendar!$A$1:$H$9997,6,FALSE)-F2839</f>
        <v/>
      </c>
      <c r="H2839" s="19" t="n">
        <v>2</v>
      </c>
      <c r="I2839" s="57" t="n">
        <v>10</v>
      </c>
    </row>
    <row r="2840">
      <c r="A2840" s="62" t="n">
        <v>46759</v>
      </c>
      <c r="B2840" s="3" t="inlineStr">
        <is>
          <t>Week</t>
        </is>
      </c>
      <c r="C2840" s="19" t="n">
        <v>1</v>
      </c>
      <c r="D2840" s="19" t="n">
        <v>2028</v>
      </c>
      <c r="E2840" s="57" t="n">
        <v>3</v>
      </c>
      <c r="F2840" s="29">
        <f>ROUND(((SUMIFS(Calendar!$F$2:$F$9997,Calendar!$B$2:$B$9997,D2840,Calendar!$C$2:$C$9997,C2840)*INDEX(ForeCalc!$B$37:$Y$274,MATCH(_xlfn.CONCAT(H2840," ",I2840),ForeCalc!$A$37:$A$274,0),MATCH(_xlfn.CONCAT(B2840," ",E2840),ForeCalc!$B$36:$Y$36,0))))*VLOOKUP(A2840,Calendar!$A$2:$H$9997,8,FALSE),0)</f>
        <v/>
      </c>
      <c r="G2840" s="29">
        <f>VLOOKUP(A2840,Calendar!$A$1:$H$9997,6,FALSE)-F2840</f>
        <v/>
      </c>
      <c r="H2840" s="19" t="n">
        <v>2</v>
      </c>
      <c r="I2840" s="57" t="n">
        <v>10</v>
      </c>
    </row>
    <row r="2841">
      <c r="A2841" s="62" t="n">
        <v>46760</v>
      </c>
      <c r="B2841" s="3" t="inlineStr">
        <is>
          <t>Sat</t>
        </is>
      </c>
      <c r="C2841" s="19" t="n">
        <v>1</v>
      </c>
      <c r="D2841" s="19" t="n">
        <v>2028</v>
      </c>
      <c r="E2841" s="57" t="n">
        <v>3</v>
      </c>
      <c r="F2841" s="29">
        <f>ROUND(((SUMIFS(Calendar!$F$2:$F$9997,Calendar!$B$2:$B$9997,D2841,Calendar!$C$2:$C$9997,C2841)*INDEX(ForeCalc!$B$37:$Y$274,MATCH(_xlfn.CONCAT(H2841," ",I2841),ForeCalc!$A$37:$A$274,0),MATCH(_xlfn.CONCAT(B2841," ",E2841),ForeCalc!$B$36:$Y$36,0))))*VLOOKUP(A2841,Calendar!$A$2:$H$9997,8,FALSE),0)</f>
        <v/>
      </c>
      <c r="G2841" s="29">
        <f>VLOOKUP(A2841,Calendar!$A$1:$H$9997,6,FALSE)-F2841</f>
        <v/>
      </c>
      <c r="H2841" s="19" t="n">
        <v>2</v>
      </c>
      <c r="I2841" s="57" t="n">
        <v>10</v>
      </c>
    </row>
    <row r="2842">
      <c r="A2842" s="62" t="n">
        <v>46761</v>
      </c>
      <c r="B2842" s="3" t="inlineStr">
        <is>
          <t>Sun</t>
        </is>
      </c>
      <c r="C2842" s="19" t="n">
        <v>1</v>
      </c>
      <c r="D2842" s="19" t="n">
        <v>2028</v>
      </c>
      <c r="E2842" s="57" t="n">
        <v>3</v>
      </c>
      <c r="F2842" s="29">
        <f>ROUND(((SUMIFS(Calendar!$F$2:$F$9997,Calendar!$B$2:$B$9997,D2842,Calendar!$C$2:$C$9997,C2842)*INDEX(ForeCalc!$B$37:$Y$274,MATCH(_xlfn.CONCAT(H2842," ",I2842),ForeCalc!$A$37:$A$274,0),MATCH(_xlfn.CONCAT(B2842," ",E2842),ForeCalc!$B$36:$Y$36,0))))*VLOOKUP(A2842,Calendar!$A$2:$H$9997,8,FALSE),0)</f>
        <v/>
      </c>
      <c r="G2842" s="29">
        <f>VLOOKUP(A2842,Calendar!$A$1:$H$9997,6,FALSE)-F2842</f>
        <v/>
      </c>
      <c r="H2842" s="19" t="n">
        <v>2</v>
      </c>
      <c r="I2842" s="57" t="n">
        <v>10</v>
      </c>
    </row>
    <row r="2843">
      <c r="A2843" s="62" t="n">
        <v>46762</v>
      </c>
      <c r="B2843" s="3" t="inlineStr">
        <is>
          <t>Week</t>
        </is>
      </c>
      <c r="C2843" s="19" t="n">
        <v>1</v>
      </c>
      <c r="D2843" s="19" t="n">
        <v>2028</v>
      </c>
      <c r="E2843" s="57" t="n">
        <v>3</v>
      </c>
      <c r="F2843" s="29">
        <f>ROUND(((SUMIFS(Calendar!$F$2:$F$9997,Calendar!$B$2:$B$9997,D2843,Calendar!$C$2:$C$9997,C2843)*INDEX(ForeCalc!$B$37:$Y$274,MATCH(_xlfn.CONCAT(H2843," ",I2843),ForeCalc!$A$37:$A$274,0),MATCH(_xlfn.CONCAT(B2843," ",E2843),ForeCalc!$B$36:$Y$36,0))))*VLOOKUP(A2843,Calendar!$A$2:$H$9997,8,FALSE),0)</f>
        <v/>
      </c>
      <c r="G2843" s="29">
        <f>VLOOKUP(A2843,Calendar!$A$1:$H$9997,6,FALSE)-F2843</f>
        <v/>
      </c>
      <c r="H2843" s="19" t="n">
        <v>2</v>
      </c>
      <c r="I2843" s="57" t="n">
        <v>10</v>
      </c>
    </row>
    <row r="2844">
      <c r="A2844" s="62" t="n">
        <v>46763</v>
      </c>
      <c r="B2844" s="3" t="inlineStr">
        <is>
          <t>Week</t>
        </is>
      </c>
      <c r="C2844" s="19" t="n">
        <v>1</v>
      </c>
      <c r="D2844" s="19" t="n">
        <v>2028</v>
      </c>
      <c r="E2844" s="57" t="n">
        <v>3</v>
      </c>
      <c r="F2844" s="29">
        <f>ROUND(((SUMIFS(Calendar!$F$2:$F$9997,Calendar!$B$2:$B$9997,D2844,Calendar!$C$2:$C$9997,C2844)*INDEX(ForeCalc!$B$37:$Y$274,MATCH(_xlfn.CONCAT(H2844," ",I2844),ForeCalc!$A$37:$A$274,0),MATCH(_xlfn.CONCAT(B2844," ",E2844),ForeCalc!$B$36:$Y$36,0))))*VLOOKUP(A2844,Calendar!$A$2:$H$9997,8,FALSE),0)</f>
        <v/>
      </c>
      <c r="G2844" s="29">
        <f>VLOOKUP(A2844,Calendar!$A$1:$H$9997,6,FALSE)-F2844</f>
        <v/>
      </c>
      <c r="H2844" s="19" t="n">
        <v>2</v>
      </c>
      <c r="I2844" s="57" t="n">
        <v>10</v>
      </c>
    </row>
    <row r="2845">
      <c r="A2845" s="62" t="n">
        <v>46764</v>
      </c>
      <c r="B2845" s="3" t="inlineStr">
        <is>
          <t>Week</t>
        </is>
      </c>
      <c r="C2845" s="19" t="n">
        <v>1</v>
      </c>
      <c r="D2845" s="19" t="n">
        <v>2028</v>
      </c>
      <c r="E2845" s="57" t="n">
        <v>3</v>
      </c>
      <c r="F2845" s="29">
        <f>ROUND(((SUMIFS(Calendar!$F$2:$F$9997,Calendar!$B$2:$B$9997,D2845,Calendar!$C$2:$C$9997,C2845)*INDEX(ForeCalc!$B$37:$Y$274,MATCH(_xlfn.CONCAT(H2845," ",I2845),ForeCalc!$A$37:$A$274,0),MATCH(_xlfn.CONCAT(B2845," ",E2845),ForeCalc!$B$36:$Y$36,0))))*VLOOKUP(A2845,Calendar!$A$2:$H$9997,8,FALSE),0)</f>
        <v/>
      </c>
      <c r="G2845" s="29">
        <f>VLOOKUP(A2845,Calendar!$A$1:$H$9997,6,FALSE)-F2845</f>
        <v/>
      </c>
      <c r="H2845" s="19" t="n">
        <v>2</v>
      </c>
      <c r="I2845" s="57" t="n">
        <v>10</v>
      </c>
    </row>
    <row r="2846">
      <c r="A2846" s="62" t="n">
        <v>46765</v>
      </c>
      <c r="B2846" s="3" t="inlineStr">
        <is>
          <t>Week</t>
        </is>
      </c>
      <c r="C2846" s="19" t="n">
        <v>1</v>
      </c>
      <c r="D2846" s="19" t="n">
        <v>2028</v>
      </c>
      <c r="E2846" s="57" t="n">
        <v>3</v>
      </c>
      <c r="F2846" s="29">
        <f>ROUND(((SUMIFS(Calendar!$F$2:$F$9997,Calendar!$B$2:$B$9997,D2846,Calendar!$C$2:$C$9997,C2846)*INDEX(ForeCalc!$B$37:$Y$274,MATCH(_xlfn.CONCAT(H2846," ",I2846),ForeCalc!$A$37:$A$274,0),MATCH(_xlfn.CONCAT(B2846," ",E2846),ForeCalc!$B$36:$Y$36,0))))*VLOOKUP(A2846,Calendar!$A$2:$H$9997,8,FALSE),0)</f>
        <v/>
      </c>
      <c r="G2846" s="29">
        <f>VLOOKUP(A2846,Calendar!$A$1:$H$9997,6,FALSE)-F2846</f>
        <v/>
      </c>
      <c r="H2846" s="19" t="n">
        <v>2</v>
      </c>
      <c r="I2846" s="57" t="n">
        <v>10</v>
      </c>
    </row>
    <row r="2847">
      <c r="A2847" s="62" t="n">
        <v>46766</v>
      </c>
      <c r="B2847" s="3" t="inlineStr">
        <is>
          <t>Week</t>
        </is>
      </c>
      <c r="C2847" s="19" t="n">
        <v>1</v>
      </c>
      <c r="D2847" s="19" t="n">
        <v>2028</v>
      </c>
      <c r="E2847" s="57" t="n">
        <v>3</v>
      </c>
      <c r="F2847" s="29">
        <f>ROUND(((SUMIFS(Calendar!$F$2:$F$9997,Calendar!$B$2:$B$9997,D2847,Calendar!$C$2:$C$9997,C2847)*INDEX(ForeCalc!$B$37:$Y$274,MATCH(_xlfn.CONCAT(H2847," ",I2847),ForeCalc!$A$37:$A$274,0),MATCH(_xlfn.CONCAT(B2847," ",E2847),ForeCalc!$B$36:$Y$36,0))))*VLOOKUP(A2847,Calendar!$A$2:$H$9997,8,FALSE),0)</f>
        <v/>
      </c>
      <c r="G2847" s="29">
        <f>VLOOKUP(A2847,Calendar!$A$1:$H$9997,6,FALSE)-F2847</f>
        <v/>
      </c>
      <c r="H2847" s="19" t="n">
        <v>2</v>
      </c>
      <c r="I2847" s="57" t="n">
        <v>10</v>
      </c>
    </row>
    <row r="2848">
      <c r="A2848" s="62" t="n">
        <v>46767</v>
      </c>
      <c r="B2848" s="3" t="inlineStr">
        <is>
          <t>Sat</t>
        </is>
      </c>
      <c r="C2848" s="19" t="n">
        <v>1</v>
      </c>
      <c r="D2848" s="19" t="n">
        <v>2028</v>
      </c>
      <c r="E2848" s="57" t="n">
        <v>3</v>
      </c>
      <c r="F2848" s="29">
        <f>ROUND(((SUMIFS(Calendar!$F$2:$F$9997,Calendar!$B$2:$B$9997,D2848,Calendar!$C$2:$C$9997,C2848)*INDEX(ForeCalc!$B$37:$Y$274,MATCH(_xlfn.CONCAT(H2848," ",I2848),ForeCalc!$A$37:$A$274,0),MATCH(_xlfn.CONCAT(B2848," ",E2848),ForeCalc!$B$36:$Y$36,0))))*VLOOKUP(A2848,Calendar!$A$2:$H$9997,8,FALSE),0)</f>
        <v/>
      </c>
      <c r="G2848" s="29">
        <f>VLOOKUP(A2848,Calendar!$A$1:$H$9997,6,FALSE)-F2848</f>
        <v/>
      </c>
      <c r="H2848" s="19" t="n">
        <v>2</v>
      </c>
      <c r="I2848" s="57" t="n">
        <v>10</v>
      </c>
    </row>
    <row r="2849">
      <c r="A2849" s="62" t="n">
        <v>46768</v>
      </c>
      <c r="B2849" s="3" t="inlineStr">
        <is>
          <t>Sun</t>
        </is>
      </c>
      <c r="C2849" s="19" t="n">
        <v>1</v>
      </c>
      <c r="D2849" s="19" t="n">
        <v>2028</v>
      </c>
      <c r="E2849" s="57" t="n">
        <v>3</v>
      </c>
      <c r="F2849" s="29">
        <f>ROUND(((SUMIFS(Calendar!$F$2:$F$9997,Calendar!$B$2:$B$9997,D2849,Calendar!$C$2:$C$9997,C2849)*INDEX(ForeCalc!$B$37:$Y$274,MATCH(_xlfn.CONCAT(H2849," ",I2849),ForeCalc!$A$37:$A$274,0),MATCH(_xlfn.CONCAT(B2849," ",E2849),ForeCalc!$B$36:$Y$36,0))))*VLOOKUP(A2849,Calendar!$A$2:$H$9997,8,FALSE),0)</f>
        <v/>
      </c>
      <c r="G2849" s="29">
        <f>VLOOKUP(A2849,Calendar!$A$1:$H$9997,6,FALSE)-F2849</f>
        <v/>
      </c>
      <c r="H2849" s="19" t="n">
        <v>2</v>
      </c>
      <c r="I2849" s="57" t="n">
        <v>10</v>
      </c>
    </row>
    <row r="2850">
      <c r="A2850" s="62" t="n">
        <v>46769</v>
      </c>
      <c r="B2850" s="3" t="inlineStr">
        <is>
          <t>Week</t>
        </is>
      </c>
      <c r="C2850" s="19" t="n">
        <v>1</v>
      </c>
      <c r="D2850" s="19" t="n">
        <v>2028</v>
      </c>
      <c r="E2850" s="57" t="n">
        <v>3</v>
      </c>
      <c r="F2850" s="29">
        <f>ROUND(((SUMIFS(Calendar!$F$2:$F$9997,Calendar!$B$2:$B$9997,D2850,Calendar!$C$2:$C$9997,C2850)*INDEX(ForeCalc!$B$37:$Y$274,MATCH(_xlfn.CONCAT(H2850," ",I2850),ForeCalc!$A$37:$A$274,0),MATCH(_xlfn.CONCAT(B2850," ",E2850),ForeCalc!$B$36:$Y$36,0))))*VLOOKUP(A2850,Calendar!$A$2:$H$9997,8,FALSE),0)</f>
        <v/>
      </c>
      <c r="G2850" s="29">
        <f>VLOOKUP(A2850,Calendar!$A$1:$H$9997,6,FALSE)-F2850</f>
        <v/>
      </c>
      <c r="H2850" s="19" t="n">
        <v>2</v>
      </c>
      <c r="I2850" s="57" t="n">
        <v>10</v>
      </c>
    </row>
    <row r="2851">
      <c r="A2851" s="62" t="n">
        <v>46770</v>
      </c>
      <c r="B2851" s="3" t="inlineStr">
        <is>
          <t>Week</t>
        </is>
      </c>
      <c r="C2851" s="19" t="n">
        <v>1</v>
      </c>
      <c r="D2851" s="19" t="n">
        <v>2028</v>
      </c>
      <c r="E2851" s="57" t="n">
        <v>3</v>
      </c>
      <c r="F2851" s="29">
        <f>ROUND(((SUMIFS(Calendar!$F$2:$F$9997,Calendar!$B$2:$B$9997,D2851,Calendar!$C$2:$C$9997,C2851)*INDEX(ForeCalc!$B$37:$Y$274,MATCH(_xlfn.CONCAT(H2851," ",I2851),ForeCalc!$A$37:$A$274,0),MATCH(_xlfn.CONCAT(B2851," ",E2851),ForeCalc!$B$36:$Y$36,0))))*VLOOKUP(A2851,Calendar!$A$2:$H$9997,8,FALSE),0)</f>
        <v/>
      </c>
      <c r="G2851" s="29">
        <f>VLOOKUP(A2851,Calendar!$A$1:$H$9997,6,FALSE)-F2851</f>
        <v/>
      </c>
      <c r="H2851" s="19" t="n">
        <v>2</v>
      </c>
      <c r="I2851" s="57" t="n">
        <v>10</v>
      </c>
    </row>
    <row r="2852">
      <c r="A2852" s="62" t="n">
        <v>46771</v>
      </c>
      <c r="B2852" s="3" t="inlineStr">
        <is>
          <t>Week</t>
        </is>
      </c>
      <c r="C2852" s="19" t="n">
        <v>1</v>
      </c>
      <c r="D2852" s="19" t="n">
        <v>2028</v>
      </c>
      <c r="E2852" s="57" t="n">
        <v>3</v>
      </c>
      <c r="F2852" s="29">
        <f>ROUND(((SUMIFS(Calendar!$F$2:$F$9997,Calendar!$B$2:$B$9997,D2852,Calendar!$C$2:$C$9997,C2852)*INDEX(ForeCalc!$B$37:$Y$274,MATCH(_xlfn.CONCAT(H2852," ",I2852),ForeCalc!$A$37:$A$274,0),MATCH(_xlfn.CONCAT(B2852," ",E2852),ForeCalc!$B$36:$Y$36,0))))*VLOOKUP(A2852,Calendar!$A$2:$H$9997,8,FALSE),0)</f>
        <v/>
      </c>
      <c r="G2852" s="29">
        <f>VLOOKUP(A2852,Calendar!$A$1:$H$9997,6,FALSE)-F2852</f>
        <v/>
      </c>
      <c r="H2852" s="19" t="n">
        <v>2</v>
      </c>
      <c r="I2852" s="57" t="n">
        <v>10</v>
      </c>
    </row>
    <row r="2853">
      <c r="A2853" s="62" t="n">
        <v>46772</v>
      </c>
      <c r="B2853" s="3" t="inlineStr">
        <is>
          <t>Week</t>
        </is>
      </c>
      <c r="C2853" s="19" t="n">
        <v>1</v>
      </c>
      <c r="D2853" s="19" t="n">
        <v>2028</v>
      </c>
      <c r="E2853" s="57" t="n">
        <v>3</v>
      </c>
      <c r="F2853" s="29">
        <f>ROUND(((SUMIFS(Calendar!$F$2:$F$9997,Calendar!$B$2:$B$9997,D2853,Calendar!$C$2:$C$9997,C2853)*INDEX(ForeCalc!$B$37:$Y$274,MATCH(_xlfn.CONCAT(H2853," ",I2853),ForeCalc!$A$37:$A$274,0),MATCH(_xlfn.CONCAT(B2853," ",E2853),ForeCalc!$B$36:$Y$36,0))))*VLOOKUP(A2853,Calendar!$A$2:$H$9997,8,FALSE),0)</f>
        <v/>
      </c>
      <c r="G2853" s="29">
        <f>VLOOKUP(A2853,Calendar!$A$1:$H$9997,6,FALSE)-F2853</f>
        <v/>
      </c>
      <c r="H2853" s="19" t="n">
        <v>2</v>
      </c>
      <c r="I2853" s="57" t="n">
        <v>10</v>
      </c>
    </row>
    <row r="2854">
      <c r="A2854" s="62" t="n">
        <v>46773</v>
      </c>
      <c r="B2854" s="3" t="inlineStr">
        <is>
          <t>Week</t>
        </is>
      </c>
      <c r="C2854" s="19" t="n">
        <v>1</v>
      </c>
      <c r="D2854" s="19" t="n">
        <v>2028</v>
      </c>
      <c r="E2854" s="57" t="n">
        <v>3</v>
      </c>
      <c r="F2854" s="29">
        <f>ROUND(((SUMIFS(Calendar!$F$2:$F$9997,Calendar!$B$2:$B$9997,D2854,Calendar!$C$2:$C$9997,C2854)*INDEX(ForeCalc!$B$37:$Y$274,MATCH(_xlfn.CONCAT(H2854," ",I2854),ForeCalc!$A$37:$A$274,0),MATCH(_xlfn.CONCAT(B2854," ",E2854),ForeCalc!$B$36:$Y$36,0))))*VLOOKUP(A2854,Calendar!$A$2:$H$9997,8,FALSE),0)</f>
        <v/>
      </c>
      <c r="G2854" s="29">
        <f>VLOOKUP(A2854,Calendar!$A$1:$H$9997,6,FALSE)-F2854</f>
        <v/>
      </c>
      <c r="H2854" s="19" t="n">
        <v>2</v>
      </c>
      <c r="I2854" s="57" t="n">
        <v>10</v>
      </c>
    </row>
    <row r="2855">
      <c r="A2855" s="62" t="n">
        <v>46774</v>
      </c>
      <c r="B2855" s="3" t="inlineStr">
        <is>
          <t>Sat</t>
        </is>
      </c>
      <c r="C2855" s="19" t="n">
        <v>1</v>
      </c>
      <c r="D2855" s="19" t="n">
        <v>2028</v>
      </c>
      <c r="E2855" s="57" t="n">
        <v>3</v>
      </c>
      <c r="F2855" s="29">
        <f>ROUND(((SUMIFS(Calendar!$F$2:$F$9997,Calendar!$B$2:$B$9997,D2855,Calendar!$C$2:$C$9997,C2855)*INDEX(ForeCalc!$B$37:$Y$274,MATCH(_xlfn.CONCAT(H2855," ",I2855),ForeCalc!$A$37:$A$274,0),MATCH(_xlfn.CONCAT(B2855," ",E2855),ForeCalc!$B$36:$Y$36,0))))*VLOOKUP(A2855,Calendar!$A$2:$H$9997,8,FALSE),0)</f>
        <v/>
      </c>
      <c r="G2855" s="29">
        <f>VLOOKUP(A2855,Calendar!$A$1:$H$9997,6,FALSE)-F2855</f>
        <v/>
      </c>
      <c r="H2855" s="19" t="n">
        <v>2</v>
      </c>
      <c r="I2855" s="57" t="n">
        <v>10</v>
      </c>
    </row>
    <row r="2856">
      <c r="A2856" s="62" t="n">
        <v>46775</v>
      </c>
      <c r="B2856" s="3" t="inlineStr">
        <is>
          <t>Sun</t>
        </is>
      </c>
      <c r="C2856" s="19" t="n">
        <v>1</v>
      </c>
      <c r="D2856" s="19" t="n">
        <v>2028</v>
      </c>
      <c r="E2856" s="57" t="n">
        <v>3</v>
      </c>
      <c r="F2856" s="29">
        <f>ROUND(((SUMIFS(Calendar!$F$2:$F$9997,Calendar!$B$2:$B$9997,D2856,Calendar!$C$2:$C$9997,C2856)*INDEX(ForeCalc!$B$37:$Y$274,MATCH(_xlfn.CONCAT(H2856," ",I2856),ForeCalc!$A$37:$A$274,0),MATCH(_xlfn.CONCAT(B2856," ",E2856),ForeCalc!$B$36:$Y$36,0))))*VLOOKUP(A2856,Calendar!$A$2:$H$9997,8,FALSE),0)</f>
        <v/>
      </c>
      <c r="G2856" s="29">
        <f>VLOOKUP(A2856,Calendar!$A$1:$H$9997,6,FALSE)-F2856</f>
        <v/>
      </c>
      <c r="H2856" s="19" t="n">
        <v>2</v>
      </c>
      <c r="I2856" s="57" t="n">
        <v>10</v>
      </c>
    </row>
    <row r="2857">
      <c r="A2857" s="62" t="n">
        <v>46776</v>
      </c>
      <c r="B2857" s="3" t="inlineStr">
        <is>
          <t>Week</t>
        </is>
      </c>
      <c r="C2857" s="19" t="n">
        <v>1</v>
      </c>
      <c r="D2857" s="19" t="n">
        <v>2028</v>
      </c>
      <c r="E2857" s="57" t="n">
        <v>3</v>
      </c>
      <c r="F2857" s="29">
        <f>ROUND(((SUMIFS(Calendar!$F$2:$F$9997,Calendar!$B$2:$B$9997,D2857,Calendar!$C$2:$C$9997,C2857)*INDEX(ForeCalc!$B$37:$Y$274,MATCH(_xlfn.CONCAT(H2857," ",I2857),ForeCalc!$A$37:$A$274,0),MATCH(_xlfn.CONCAT(B2857," ",E2857),ForeCalc!$B$36:$Y$36,0))))*VLOOKUP(A2857,Calendar!$A$2:$H$9997,8,FALSE),0)</f>
        <v/>
      </c>
      <c r="G2857" s="29">
        <f>VLOOKUP(A2857,Calendar!$A$1:$H$9997,6,FALSE)-F2857</f>
        <v/>
      </c>
      <c r="H2857" s="19" t="n">
        <v>2</v>
      </c>
      <c r="I2857" s="57" t="n">
        <v>10</v>
      </c>
    </row>
    <row r="2858">
      <c r="A2858" s="62" t="n">
        <v>46777</v>
      </c>
      <c r="B2858" s="3" t="inlineStr">
        <is>
          <t>Week</t>
        </is>
      </c>
      <c r="C2858" s="19" t="n">
        <v>1</v>
      </c>
      <c r="D2858" s="19" t="n">
        <v>2028</v>
      </c>
      <c r="E2858" s="57" t="n">
        <v>3</v>
      </c>
      <c r="F2858" s="29">
        <f>ROUND(((SUMIFS(Calendar!$F$2:$F$9997,Calendar!$B$2:$B$9997,D2858,Calendar!$C$2:$C$9997,C2858)*INDEX(ForeCalc!$B$37:$Y$274,MATCH(_xlfn.CONCAT(H2858," ",I2858),ForeCalc!$A$37:$A$274,0),MATCH(_xlfn.CONCAT(B2858," ",E2858),ForeCalc!$B$36:$Y$36,0))))*VLOOKUP(A2858,Calendar!$A$2:$H$9997,8,FALSE),0)</f>
        <v/>
      </c>
      <c r="G2858" s="29">
        <f>VLOOKUP(A2858,Calendar!$A$1:$H$9997,6,FALSE)-F2858</f>
        <v/>
      </c>
      <c r="H2858" s="19" t="n">
        <v>2</v>
      </c>
      <c r="I2858" s="57" t="n">
        <v>10</v>
      </c>
    </row>
    <row r="2859">
      <c r="A2859" s="62" t="n">
        <v>46778</v>
      </c>
      <c r="B2859" s="3" t="inlineStr">
        <is>
          <t>Week</t>
        </is>
      </c>
      <c r="C2859" s="19" t="n">
        <v>1</v>
      </c>
      <c r="D2859" s="19" t="n">
        <v>2028</v>
      </c>
      <c r="E2859" s="57" t="n">
        <v>3</v>
      </c>
      <c r="F2859" s="29">
        <f>ROUND(((SUMIFS(Calendar!$F$2:$F$9997,Calendar!$B$2:$B$9997,D2859,Calendar!$C$2:$C$9997,C2859)*INDEX(ForeCalc!$B$37:$Y$274,MATCH(_xlfn.CONCAT(H2859," ",I2859),ForeCalc!$A$37:$A$274,0),MATCH(_xlfn.CONCAT(B2859," ",E2859),ForeCalc!$B$36:$Y$36,0))))*VLOOKUP(A2859,Calendar!$A$2:$H$9997,8,FALSE),0)</f>
        <v/>
      </c>
      <c r="G2859" s="29">
        <f>VLOOKUP(A2859,Calendar!$A$1:$H$9997,6,FALSE)-F2859</f>
        <v/>
      </c>
      <c r="H2859" s="19" t="n">
        <v>2</v>
      </c>
      <c r="I2859" s="57" t="n">
        <v>10</v>
      </c>
    </row>
    <row r="2860">
      <c r="A2860" s="62" t="n">
        <v>46779</v>
      </c>
      <c r="B2860" s="3" t="inlineStr">
        <is>
          <t>Week</t>
        </is>
      </c>
      <c r="C2860" s="19" t="n">
        <v>1</v>
      </c>
      <c r="D2860" s="19" t="n">
        <v>2028</v>
      </c>
      <c r="E2860" s="57" t="n">
        <v>3</v>
      </c>
      <c r="F2860" s="29">
        <f>ROUND(((SUMIFS(Calendar!$F$2:$F$9997,Calendar!$B$2:$B$9997,D2860,Calendar!$C$2:$C$9997,C2860)*INDEX(ForeCalc!$B$37:$Y$274,MATCH(_xlfn.CONCAT(H2860," ",I2860),ForeCalc!$A$37:$A$274,0),MATCH(_xlfn.CONCAT(B2860," ",E2860),ForeCalc!$B$36:$Y$36,0))))*VLOOKUP(A2860,Calendar!$A$2:$H$9997,8,FALSE),0)</f>
        <v/>
      </c>
      <c r="G2860" s="29">
        <f>VLOOKUP(A2860,Calendar!$A$1:$H$9997,6,FALSE)-F2860</f>
        <v/>
      </c>
      <c r="H2860" s="19" t="n">
        <v>2</v>
      </c>
      <c r="I2860" s="57" t="n">
        <v>10</v>
      </c>
    </row>
    <row r="2861">
      <c r="A2861" s="62" t="n">
        <v>46780</v>
      </c>
      <c r="B2861" s="3" t="inlineStr">
        <is>
          <t>Week</t>
        </is>
      </c>
      <c r="C2861" s="19" t="n">
        <v>1</v>
      </c>
      <c r="D2861" s="19" t="n">
        <v>2028</v>
      </c>
      <c r="E2861" s="57" t="n">
        <v>3</v>
      </c>
      <c r="F2861" s="29">
        <f>ROUND(((SUMIFS(Calendar!$F$2:$F$9997,Calendar!$B$2:$B$9997,D2861,Calendar!$C$2:$C$9997,C2861)*INDEX(ForeCalc!$B$37:$Y$274,MATCH(_xlfn.CONCAT(H2861," ",I2861),ForeCalc!$A$37:$A$274,0),MATCH(_xlfn.CONCAT(B2861," ",E2861),ForeCalc!$B$36:$Y$36,0))))*VLOOKUP(A2861,Calendar!$A$2:$H$9997,8,FALSE),0)</f>
        <v/>
      </c>
      <c r="G2861" s="29">
        <f>VLOOKUP(A2861,Calendar!$A$1:$H$9997,6,FALSE)-F2861</f>
        <v/>
      </c>
      <c r="H2861" s="19" t="n">
        <v>2</v>
      </c>
      <c r="I2861" s="57" t="n">
        <v>10</v>
      </c>
    </row>
    <row r="2862">
      <c r="A2862" s="62" t="n">
        <v>46781</v>
      </c>
      <c r="B2862" s="3" t="inlineStr">
        <is>
          <t>Sat</t>
        </is>
      </c>
      <c r="C2862" s="19" t="n">
        <v>1</v>
      </c>
      <c r="D2862" s="19" t="n">
        <v>2028</v>
      </c>
      <c r="E2862" s="57" t="n">
        <v>3</v>
      </c>
      <c r="F2862" s="29">
        <f>ROUND(((SUMIFS(Calendar!$F$2:$F$9997,Calendar!$B$2:$B$9997,D2862,Calendar!$C$2:$C$9997,C2862)*INDEX(ForeCalc!$B$37:$Y$274,MATCH(_xlfn.CONCAT(H2862," ",I2862),ForeCalc!$A$37:$A$274,0),MATCH(_xlfn.CONCAT(B2862," ",E2862),ForeCalc!$B$36:$Y$36,0))))*VLOOKUP(A2862,Calendar!$A$2:$H$9997,8,FALSE),0)</f>
        <v/>
      </c>
      <c r="G2862" s="29">
        <f>VLOOKUP(A2862,Calendar!$A$1:$H$9997,6,FALSE)-F2862</f>
        <v/>
      </c>
      <c r="H2862" s="19" t="n">
        <v>2</v>
      </c>
      <c r="I2862" s="57" t="n">
        <v>10</v>
      </c>
    </row>
    <row r="2863">
      <c r="A2863" s="62" t="n">
        <v>46782</v>
      </c>
      <c r="B2863" s="3" t="inlineStr">
        <is>
          <t>Sun</t>
        </is>
      </c>
      <c r="C2863" s="19" t="n">
        <v>1</v>
      </c>
      <c r="D2863" s="19" t="n">
        <v>2028</v>
      </c>
      <c r="E2863" s="57" t="n">
        <v>3</v>
      </c>
      <c r="F2863" s="29">
        <f>ROUND(((SUMIFS(Calendar!$F$2:$F$9997,Calendar!$B$2:$B$9997,D2863,Calendar!$C$2:$C$9997,C2863)*INDEX(ForeCalc!$B$37:$Y$274,MATCH(_xlfn.CONCAT(H2863," ",I2863),ForeCalc!$A$37:$A$274,0),MATCH(_xlfn.CONCAT(B2863," ",E2863),ForeCalc!$B$36:$Y$36,0))))*VLOOKUP(A2863,Calendar!$A$2:$H$9997,8,FALSE),0)</f>
        <v/>
      </c>
      <c r="G2863" s="29">
        <f>VLOOKUP(A2863,Calendar!$A$1:$H$9997,6,FALSE)-F2863</f>
        <v/>
      </c>
      <c r="H2863" s="19" t="n">
        <v>2</v>
      </c>
      <c r="I2863" s="57" t="n">
        <v>10</v>
      </c>
    </row>
    <row r="2864">
      <c r="A2864" s="62" t="n">
        <v>46783</v>
      </c>
      <c r="B2864" s="3" t="inlineStr">
        <is>
          <t>Week</t>
        </is>
      </c>
      <c r="C2864" s="19" t="n">
        <v>1</v>
      </c>
      <c r="D2864" s="19" t="n">
        <v>2028</v>
      </c>
      <c r="E2864" s="57" t="n">
        <v>3</v>
      </c>
      <c r="F2864" s="29">
        <f>ROUND(((SUMIFS(Calendar!$F$2:$F$9997,Calendar!$B$2:$B$9997,D2864,Calendar!$C$2:$C$9997,C2864)*INDEX(ForeCalc!$B$37:$Y$274,MATCH(_xlfn.CONCAT(H2864," ",I2864),ForeCalc!$A$37:$A$274,0),MATCH(_xlfn.CONCAT(B2864," ",E2864),ForeCalc!$B$36:$Y$36,0))))*VLOOKUP(A2864,Calendar!$A$2:$H$9997,8,FALSE),0)</f>
        <v/>
      </c>
      <c r="G2864" s="29">
        <f>VLOOKUP(A2864,Calendar!$A$1:$H$9997,6,FALSE)-F2864</f>
        <v/>
      </c>
      <c r="H2864" s="19" t="n">
        <v>2</v>
      </c>
      <c r="I2864" s="57" t="n">
        <v>10</v>
      </c>
    </row>
    <row r="2865">
      <c r="A2865" s="62" t="n">
        <v>46784</v>
      </c>
      <c r="B2865" s="3" t="inlineStr">
        <is>
          <t>Week</t>
        </is>
      </c>
      <c r="C2865" s="19" t="n">
        <v>2</v>
      </c>
      <c r="D2865" s="19" t="n">
        <v>2028</v>
      </c>
      <c r="E2865" s="57" t="n">
        <v>3</v>
      </c>
      <c r="F2865" s="29">
        <f>ROUND(((SUMIFS(Calendar!$F$2:$F$9997,Calendar!$B$2:$B$9997,D2865,Calendar!$C$2:$C$9997,C2865)*INDEX(ForeCalc!$B$37:$Y$274,MATCH(_xlfn.CONCAT(H2865," ",I2865),ForeCalc!$A$37:$A$274,0),MATCH(_xlfn.CONCAT(B2865," ",E2865),ForeCalc!$B$36:$Y$36,0))))*VLOOKUP(A2865,Calendar!$A$2:$H$9997,8,FALSE),0)</f>
        <v/>
      </c>
      <c r="G2865" s="29">
        <f>VLOOKUP(A2865,Calendar!$A$1:$H$9997,6,FALSE)-F2865</f>
        <v/>
      </c>
      <c r="H2865" s="19" t="n">
        <v>2</v>
      </c>
      <c r="I2865" s="57" t="n">
        <v>11</v>
      </c>
    </row>
    <row r="2866">
      <c r="A2866" s="62" t="n">
        <v>46785</v>
      </c>
      <c r="B2866" s="3" t="inlineStr">
        <is>
          <t>Week</t>
        </is>
      </c>
      <c r="C2866" s="19" t="n">
        <v>2</v>
      </c>
      <c r="D2866" s="19" t="n">
        <v>2028</v>
      </c>
      <c r="E2866" s="57" t="n">
        <v>3</v>
      </c>
      <c r="F2866" s="29">
        <f>ROUND(((SUMIFS(Calendar!$F$2:$F$9997,Calendar!$B$2:$B$9997,D2866,Calendar!$C$2:$C$9997,C2866)*INDEX(ForeCalc!$B$37:$Y$274,MATCH(_xlfn.CONCAT(H2866," ",I2866),ForeCalc!$A$37:$A$274,0),MATCH(_xlfn.CONCAT(B2866," ",E2866),ForeCalc!$B$36:$Y$36,0))))*VLOOKUP(A2866,Calendar!$A$2:$H$9997,8,FALSE),0)</f>
        <v/>
      </c>
      <c r="G2866" s="29">
        <f>VLOOKUP(A2866,Calendar!$A$1:$H$9997,6,FALSE)-F2866</f>
        <v/>
      </c>
      <c r="H2866" s="19" t="n">
        <v>2</v>
      </c>
      <c r="I2866" s="57" t="n">
        <v>11</v>
      </c>
    </row>
    <row r="2867">
      <c r="A2867" s="62" t="n">
        <v>46786</v>
      </c>
      <c r="B2867" s="3" t="inlineStr">
        <is>
          <t>Week</t>
        </is>
      </c>
      <c r="C2867" s="19" t="n">
        <v>2</v>
      </c>
      <c r="D2867" s="19" t="n">
        <v>2028</v>
      </c>
      <c r="E2867" s="57" t="n">
        <v>3</v>
      </c>
      <c r="F2867" s="29">
        <f>ROUND(((SUMIFS(Calendar!$F$2:$F$9997,Calendar!$B$2:$B$9997,D2867,Calendar!$C$2:$C$9997,C2867)*INDEX(ForeCalc!$B$37:$Y$274,MATCH(_xlfn.CONCAT(H2867," ",I2867),ForeCalc!$A$37:$A$274,0),MATCH(_xlfn.CONCAT(B2867," ",E2867),ForeCalc!$B$36:$Y$36,0))))*VLOOKUP(A2867,Calendar!$A$2:$H$9997,8,FALSE),0)</f>
        <v/>
      </c>
      <c r="G2867" s="29">
        <f>VLOOKUP(A2867,Calendar!$A$1:$H$9997,6,FALSE)-F2867</f>
        <v/>
      </c>
      <c r="H2867" s="19" t="n">
        <v>2</v>
      </c>
      <c r="I2867" s="57" t="n">
        <v>11</v>
      </c>
    </row>
    <row r="2868">
      <c r="A2868" s="62" t="n">
        <v>46787</v>
      </c>
      <c r="B2868" s="3" t="inlineStr">
        <is>
          <t>Week</t>
        </is>
      </c>
      <c r="C2868" s="19" t="n">
        <v>2</v>
      </c>
      <c r="D2868" s="19" t="n">
        <v>2028</v>
      </c>
      <c r="E2868" s="57" t="n">
        <v>3</v>
      </c>
      <c r="F2868" s="29">
        <f>ROUND(((SUMIFS(Calendar!$F$2:$F$9997,Calendar!$B$2:$B$9997,D2868,Calendar!$C$2:$C$9997,C2868)*INDEX(ForeCalc!$B$37:$Y$274,MATCH(_xlfn.CONCAT(H2868," ",I2868),ForeCalc!$A$37:$A$274,0),MATCH(_xlfn.CONCAT(B2868," ",E2868),ForeCalc!$B$36:$Y$36,0))))*VLOOKUP(A2868,Calendar!$A$2:$H$9997,8,FALSE),0)</f>
        <v/>
      </c>
      <c r="G2868" s="29">
        <f>VLOOKUP(A2868,Calendar!$A$1:$H$9997,6,FALSE)-F2868</f>
        <v/>
      </c>
      <c r="H2868" s="19" t="n">
        <v>2</v>
      </c>
      <c r="I2868" s="57" t="n">
        <v>11</v>
      </c>
    </row>
    <row r="2869">
      <c r="A2869" s="62" t="n">
        <v>46788</v>
      </c>
      <c r="B2869" s="3" t="inlineStr">
        <is>
          <t>Sat</t>
        </is>
      </c>
      <c r="C2869" s="19" t="n">
        <v>2</v>
      </c>
      <c r="D2869" s="19" t="n">
        <v>2028</v>
      </c>
      <c r="E2869" s="57" t="n">
        <v>3</v>
      </c>
      <c r="F2869" s="29">
        <f>ROUND(((SUMIFS(Calendar!$F$2:$F$9997,Calendar!$B$2:$B$9997,D2869,Calendar!$C$2:$C$9997,C2869)*INDEX(ForeCalc!$B$37:$Y$274,MATCH(_xlfn.CONCAT(H2869," ",I2869),ForeCalc!$A$37:$A$274,0),MATCH(_xlfn.CONCAT(B2869," ",E2869),ForeCalc!$B$36:$Y$36,0))))*VLOOKUP(A2869,Calendar!$A$2:$H$9997,8,FALSE),0)</f>
        <v/>
      </c>
      <c r="G2869" s="29">
        <f>VLOOKUP(A2869,Calendar!$A$1:$H$9997,6,FALSE)-F2869</f>
        <v/>
      </c>
      <c r="H2869" s="19" t="n">
        <v>2</v>
      </c>
      <c r="I2869" s="57" t="n">
        <v>11</v>
      </c>
    </row>
    <row r="2870">
      <c r="A2870" s="62" t="n">
        <v>46789</v>
      </c>
      <c r="B2870" s="3" t="inlineStr">
        <is>
          <t>Sun</t>
        </is>
      </c>
      <c r="C2870" s="19" t="n">
        <v>2</v>
      </c>
      <c r="D2870" s="19" t="n">
        <v>2028</v>
      </c>
      <c r="E2870" s="57" t="n">
        <v>3</v>
      </c>
      <c r="F2870" s="29">
        <f>ROUND(((SUMIFS(Calendar!$F$2:$F$9997,Calendar!$B$2:$B$9997,D2870,Calendar!$C$2:$C$9997,C2870)*INDEX(ForeCalc!$B$37:$Y$274,MATCH(_xlfn.CONCAT(H2870," ",I2870),ForeCalc!$A$37:$A$274,0),MATCH(_xlfn.CONCAT(B2870," ",E2870),ForeCalc!$B$36:$Y$36,0))))*VLOOKUP(A2870,Calendar!$A$2:$H$9997,8,FALSE),0)</f>
        <v/>
      </c>
      <c r="G2870" s="29">
        <f>VLOOKUP(A2870,Calendar!$A$1:$H$9997,6,FALSE)-F2870</f>
        <v/>
      </c>
      <c r="H2870" s="19" t="n">
        <v>2</v>
      </c>
      <c r="I2870" s="57" t="n">
        <v>11</v>
      </c>
    </row>
    <row r="2871">
      <c r="A2871" s="62" t="n">
        <v>46790</v>
      </c>
      <c r="B2871" s="3" t="inlineStr">
        <is>
          <t>Week</t>
        </is>
      </c>
      <c r="C2871" s="19" t="n">
        <v>2</v>
      </c>
      <c r="D2871" s="19" t="n">
        <v>2028</v>
      </c>
      <c r="E2871" s="57" t="n">
        <v>3</v>
      </c>
      <c r="F2871" s="29">
        <f>ROUND(((SUMIFS(Calendar!$F$2:$F$9997,Calendar!$B$2:$B$9997,D2871,Calendar!$C$2:$C$9997,C2871)*INDEX(ForeCalc!$B$37:$Y$274,MATCH(_xlfn.CONCAT(H2871," ",I2871),ForeCalc!$A$37:$A$274,0),MATCH(_xlfn.CONCAT(B2871," ",E2871),ForeCalc!$B$36:$Y$36,0))))*VLOOKUP(A2871,Calendar!$A$2:$H$9997,8,FALSE),0)</f>
        <v/>
      </c>
      <c r="G2871" s="29">
        <f>VLOOKUP(A2871,Calendar!$A$1:$H$9997,6,FALSE)-F2871</f>
        <v/>
      </c>
      <c r="H2871" s="19" t="n">
        <v>2</v>
      </c>
      <c r="I2871" s="57" t="n">
        <v>11</v>
      </c>
    </row>
    <row r="2872">
      <c r="A2872" s="62" t="n">
        <v>46791</v>
      </c>
      <c r="B2872" s="3" t="inlineStr">
        <is>
          <t>Week</t>
        </is>
      </c>
      <c r="C2872" s="19" t="n">
        <v>2</v>
      </c>
      <c r="D2872" s="19" t="n">
        <v>2028</v>
      </c>
      <c r="E2872" s="57" t="n">
        <v>3</v>
      </c>
      <c r="F2872" s="29">
        <f>ROUND(((SUMIFS(Calendar!$F$2:$F$9997,Calendar!$B$2:$B$9997,D2872,Calendar!$C$2:$C$9997,C2872)*INDEX(ForeCalc!$B$37:$Y$274,MATCH(_xlfn.CONCAT(H2872," ",I2872),ForeCalc!$A$37:$A$274,0),MATCH(_xlfn.CONCAT(B2872," ",E2872),ForeCalc!$B$36:$Y$36,0))))*VLOOKUP(A2872,Calendar!$A$2:$H$9997,8,FALSE),0)</f>
        <v/>
      </c>
      <c r="G2872" s="29">
        <f>VLOOKUP(A2872,Calendar!$A$1:$H$9997,6,FALSE)-F2872</f>
        <v/>
      </c>
      <c r="H2872" s="19" t="n">
        <v>2</v>
      </c>
      <c r="I2872" s="57" t="n">
        <v>11</v>
      </c>
    </row>
    <row r="2873">
      <c r="A2873" s="62" t="n">
        <v>46792</v>
      </c>
      <c r="B2873" s="3" t="inlineStr">
        <is>
          <t>Week</t>
        </is>
      </c>
      <c r="C2873" s="19" t="n">
        <v>2</v>
      </c>
      <c r="D2873" s="19" t="n">
        <v>2028</v>
      </c>
      <c r="E2873" s="57" t="n">
        <v>3</v>
      </c>
      <c r="F2873" s="29">
        <f>ROUND(((SUMIFS(Calendar!$F$2:$F$9997,Calendar!$B$2:$B$9997,D2873,Calendar!$C$2:$C$9997,C2873)*INDEX(ForeCalc!$B$37:$Y$274,MATCH(_xlfn.CONCAT(H2873," ",I2873),ForeCalc!$A$37:$A$274,0),MATCH(_xlfn.CONCAT(B2873," ",E2873),ForeCalc!$B$36:$Y$36,0))))*VLOOKUP(A2873,Calendar!$A$2:$H$9997,8,FALSE),0)</f>
        <v/>
      </c>
      <c r="G2873" s="29">
        <f>VLOOKUP(A2873,Calendar!$A$1:$H$9997,6,FALSE)-F2873</f>
        <v/>
      </c>
      <c r="H2873" s="19" t="n">
        <v>2</v>
      </c>
      <c r="I2873" s="57" t="n">
        <v>11</v>
      </c>
    </row>
    <row r="2874">
      <c r="A2874" s="62" t="n">
        <v>46793</v>
      </c>
      <c r="B2874" s="3" t="inlineStr">
        <is>
          <t>Week</t>
        </is>
      </c>
      <c r="C2874" s="19" t="n">
        <v>2</v>
      </c>
      <c r="D2874" s="19" t="n">
        <v>2028</v>
      </c>
      <c r="E2874" s="57" t="n">
        <v>3</v>
      </c>
      <c r="F2874" s="29">
        <f>ROUND(((SUMIFS(Calendar!$F$2:$F$9997,Calendar!$B$2:$B$9997,D2874,Calendar!$C$2:$C$9997,C2874)*INDEX(ForeCalc!$B$37:$Y$274,MATCH(_xlfn.CONCAT(H2874," ",I2874),ForeCalc!$A$37:$A$274,0),MATCH(_xlfn.CONCAT(B2874," ",E2874),ForeCalc!$B$36:$Y$36,0))))*VLOOKUP(A2874,Calendar!$A$2:$H$9997,8,FALSE),0)</f>
        <v/>
      </c>
      <c r="G2874" s="29">
        <f>VLOOKUP(A2874,Calendar!$A$1:$H$9997,6,FALSE)-F2874</f>
        <v/>
      </c>
      <c r="H2874" s="19" t="n">
        <v>2</v>
      </c>
      <c r="I2874" s="57" t="n">
        <v>11</v>
      </c>
    </row>
    <row r="2875">
      <c r="A2875" s="62" t="n">
        <v>46794</v>
      </c>
      <c r="B2875" s="3" t="inlineStr">
        <is>
          <t>Week</t>
        </is>
      </c>
      <c r="C2875" s="19" t="n">
        <v>2</v>
      </c>
      <c r="D2875" s="19" t="n">
        <v>2028</v>
      </c>
      <c r="E2875" s="57" t="n">
        <v>3</v>
      </c>
      <c r="F2875" s="29">
        <f>ROUND(((SUMIFS(Calendar!$F$2:$F$9997,Calendar!$B$2:$B$9997,D2875,Calendar!$C$2:$C$9997,C2875)*INDEX(ForeCalc!$B$37:$Y$274,MATCH(_xlfn.CONCAT(H2875," ",I2875),ForeCalc!$A$37:$A$274,0),MATCH(_xlfn.CONCAT(B2875," ",E2875),ForeCalc!$B$36:$Y$36,0))))*VLOOKUP(A2875,Calendar!$A$2:$H$9997,8,FALSE),0)</f>
        <v/>
      </c>
      <c r="G2875" s="29">
        <f>VLOOKUP(A2875,Calendar!$A$1:$H$9997,6,FALSE)-F2875</f>
        <v/>
      </c>
      <c r="H2875" s="19" t="n">
        <v>2</v>
      </c>
      <c r="I2875" s="57" t="n">
        <v>11</v>
      </c>
    </row>
    <row r="2876">
      <c r="A2876" s="62" t="n">
        <v>46795</v>
      </c>
      <c r="B2876" s="3" t="inlineStr">
        <is>
          <t>Sat</t>
        </is>
      </c>
      <c r="C2876" s="19" t="n">
        <v>2</v>
      </c>
      <c r="D2876" s="19" t="n">
        <v>2028</v>
      </c>
      <c r="E2876" s="57" t="n">
        <v>3</v>
      </c>
      <c r="F2876" s="29">
        <f>ROUND(((SUMIFS(Calendar!$F$2:$F$9997,Calendar!$B$2:$B$9997,D2876,Calendar!$C$2:$C$9997,C2876)*INDEX(ForeCalc!$B$37:$Y$274,MATCH(_xlfn.CONCAT(H2876," ",I2876),ForeCalc!$A$37:$A$274,0),MATCH(_xlfn.CONCAT(B2876," ",E2876),ForeCalc!$B$36:$Y$36,0))))*VLOOKUP(A2876,Calendar!$A$2:$H$9997,8,FALSE),0)</f>
        <v/>
      </c>
      <c r="G2876" s="29">
        <f>VLOOKUP(A2876,Calendar!$A$1:$H$9997,6,FALSE)-F2876</f>
        <v/>
      </c>
      <c r="H2876" s="19" t="n">
        <v>2</v>
      </c>
      <c r="I2876" s="57" t="n">
        <v>11</v>
      </c>
    </row>
    <row r="2877">
      <c r="A2877" s="62" t="n">
        <v>46796</v>
      </c>
      <c r="B2877" s="3" t="inlineStr">
        <is>
          <t>Sun</t>
        </is>
      </c>
      <c r="C2877" s="19" t="n">
        <v>2</v>
      </c>
      <c r="D2877" s="19" t="n">
        <v>2028</v>
      </c>
      <c r="E2877" s="57" t="n">
        <v>3</v>
      </c>
      <c r="F2877" s="29">
        <f>ROUND(((SUMIFS(Calendar!$F$2:$F$9997,Calendar!$B$2:$B$9997,D2877,Calendar!$C$2:$C$9997,C2877)*INDEX(ForeCalc!$B$37:$Y$274,MATCH(_xlfn.CONCAT(H2877," ",I2877),ForeCalc!$A$37:$A$274,0),MATCH(_xlfn.CONCAT(B2877," ",E2877),ForeCalc!$B$36:$Y$36,0))))*VLOOKUP(A2877,Calendar!$A$2:$H$9997,8,FALSE),0)</f>
        <v/>
      </c>
      <c r="G2877" s="29">
        <f>VLOOKUP(A2877,Calendar!$A$1:$H$9997,6,FALSE)-F2877</f>
        <v/>
      </c>
      <c r="H2877" s="19" t="n">
        <v>2</v>
      </c>
      <c r="I2877" s="57" t="n">
        <v>11</v>
      </c>
    </row>
    <row r="2878">
      <c r="A2878" s="62" t="n">
        <v>46797</v>
      </c>
      <c r="B2878" s="3" t="inlineStr">
        <is>
          <t>Week</t>
        </is>
      </c>
      <c r="C2878" s="19" t="n">
        <v>2</v>
      </c>
      <c r="D2878" s="19" t="n">
        <v>2028</v>
      </c>
      <c r="E2878" s="57" t="n">
        <v>3</v>
      </c>
      <c r="F2878" s="29">
        <f>ROUND(((SUMIFS(Calendar!$F$2:$F$9997,Calendar!$B$2:$B$9997,D2878,Calendar!$C$2:$C$9997,C2878)*INDEX(ForeCalc!$B$37:$Y$274,MATCH(_xlfn.CONCAT(H2878," ",I2878),ForeCalc!$A$37:$A$274,0),MATCH(_xlfn.CONCAT(B2878," ",E2878),ForeCalc!$B$36:$Y$36,0))))*VLOOKUP(A2878,Calendar!$A$2:$H$9997,8,FALSE),0)</f>
        <v/>
      </c>
      <c r="G2878" s="29">
        <f>VLOOKUP(A2878,Calendar!$A$1:$H$9997,6,FALSE)-F2878</f>
        <v/>
      </c>
      <c r="H2878" s="19" t="n">
        <v>2</v>
      </c>
      <c r="I2878" s="57" t="n">
        <v>11</v>
      </c>
    </row>
    <row r="2879">
      <c r="A2879" s="62" t="n">
        <v>46798</v>
      </c>
      <c r="B2879" s="3" t="inlineStr">
        <is>
          <t>Week</t>
        </is>
      </c>
      <c r="C2879" s="19" t="n">
        <v>2</v>
      </c>
      <c r="D2879" s="19" t="n">
        <v>2028</v>
      </c>
      <c r="E2879" s="57" t="n">
        <v>3</v>
      </c>
      <c r="F2879" s="29">
        <f>ROUND(((SUMIFS(Calendar!$F$2:$F$9997,Calendar!$B$2:$B$9997,D2879,Calendar!$C$2:$C$9997,C2879)*INDEX(ForeCalc!$B$37:$Y$274,MATCH(_xlfn.CONCAT(H2879," ",I2879),ForeCalc!$A$37:$A$274,0),MATCH(_xlfn.CONCAT(B2879," ",E2879),ForeCalc!$B$36:$Y$36,0))))*VLOOKUP(A2879,Calendar!$A$2:$H$9997,8,FALSE),0)</f>
        <v/>
      </c>
      <c r="G2879" s="29">
        <f>VLOOKUP(A2879,Calendar!$A$1:$H$9997,6,FALSE)-F2879</f>
        <v/>
      </c>
      <c r="H2879" s="19" t="n">
        <v>2</v>
      </c>
      <c r="I2879" s="57" t="n">
        <v>11</v>
      </c>
    </row>
    <row r="2880">
      <c r="A2880" s="62" t="n">
        <v>46799</v>
      </c>
      <c r="B2880" s="3" t="inlineStr">
        <is>
          <t>Week</t>
        </is>
      </c>
      <c r="C2880" s="19" t="n">
        <v>2</v>
      </c>
      <c r="D2880" s="19" t="n">
        <v>2028</v>
      </c>
      <c r="E2880" s="57" t="n">
        <v>3</v>
      </c>
      <c r="F2880" s="29">
        <f>ROUND(((SUMIFS(Calendar!$F$2:$F$9997,Calendar!$B$2:$B$9997,D2880,Calendar!$C$2:$C$9997,C2880)*INDEX(ForeCalc!$B$37:$Y$274,MATCH(_xlfn.CONCAT(H2880," ",I2880),ForeCalc!$A$37:$A$274,0),MATCH(_xlfn.CONCAT(B2880," ",E2880),ForeCalc!$B$36:$Y$36,0))))*VLOOKUP(A2880,Calendar!$A$2:$H$9997,8,FALSE),0)</f>
        <v/>
      </c>
      <c r="G2880" s="29">
        <f>VLOOKUP(A2880,Calendar!$A$1:$H$9997,6,FALSE)-F2880</f>
        <v/>
      </c>
      <c r="H2880" s="19" t="n">
        <v>2</v>
      </c>
      <c r="I2880" s="57" t="n">
        <v>11</v>
      </c>
    </row>
    <row r="2881">
      <c r="A2881" s="62" t="n">
        <v>46800</v>
      </c>
      <c r="B2881" s="3" t="inlineStr">
        <is>
          <t>Week</t>
        </is>
      </c>
      <c r="C2881" s="19" t="n">
        <v>2</v>
      </c>
      <c r="D2881" s="19" t="n">
        <v>2028</v>
      </c>
      <c r="E2881" s="57" t="n">
        <v>3</v>
      </c>
      <c r="F2881" s="29">
        <f>ROUND(((SUMIFS(Calendar!$F$2:$F$9997,Calendar!$B$2:$B$9997,D2881,Calendar!$C$2:$C$9997,C2881)*INDEX(ForeCalc!$B$37:$Y$274,MATCH(_xlfn.CONCAT(H2881," ",I2881),ForeCalc!$A$37:$A$274,0),MATCH(_xlfn.CONCAT(B2881," ",E2881),ForeCalc!$B$36:$Y$36,0))))*VLOOKUP(A2881,Calendar!$A$2:$H$9997,8,FALSE),0)</f>
        <v/>
      </c>
      <c r="G2881" s="29">
        <f>VLOOKUP(A2881,Calendar!$A$1:$H$9997,6,FALSE)-F2881</f>
        <v/>
      </c>
      <c r="H2881" s="19" t="n">
        <v>2</v>
      </c>
      <c r="I2881" s="57" t="n">
        <v>11</v>
      </c>
    </row>
    <row r="2882">
      <c r="A2882" s="62" t="n">
        <v>46801</v>
      </c>
      <c r="B2882" s="3" t="inlineStr">
        <is>
          <t>Week</t>
        </is>
      </c>
      <c r="C2882" s="19" t="n">
        <v>2</v>
      </c>
      <c r="D2882" s="19" t="n">
        <v>2028</v>
      </c>
      <c r="E2882" s="57" t="n">
        <v>3</v>
      </c>
      <c r="F2882" s="29">
        <f>ROUND(((SUMIFS(Calendar!$F$2:$F$9997,Calendar!$B$2:$B$9997,D2882,Calendar!$C$2:$C$9997,C2882)*INDEX(ForeCalc!$B$37:$Y$274,MATCH(_xlfn.CONCAT(H2882," ",I2882),ForeCalc!$A$37:$A$274,0),MATCH(_xlfn.CONCAT(B2882," ",E2882),ForeCalc!$B$36:$Y$36,0))))*VLOOKUP(A2882,Calendar!$A$2:$H$9997,8,FALSE),0)</f>
        <v/>
      </c>
      <c r="G2882" s="29">
        <f>VLOOKUP(A2882,Calendar!$A$1:$H$9997,6,FALSE)-F2882</f>
        <v/>
      </c>
      <c r="H2882" s="19" t="n">
        <v>2</v>
      </c>
      <c r="I2882" s="57" t="n">
        <v>11</v>
      </c>
    </row>
    <row r="2883">
      <c r="A2883" s="62" t="n">
        <v>46802</v>
      </c>
      <c r="B2883" s="3" t="inlineStr">
        <is>
          <t>Sat</t>
        </is>
      </c>
      <c r="C2883" s="19" t="n">
        <v>2</v>
      </c>
      <c r="D2883" s="19" t="n">
        <v>2028</v>
      </c>
      <c r="E2883" s="57" t="n">
        <v>3</v>
      </c>
      <c r="F2883" s="29">
        <f>ROUND(((SUMIFS(Calendar!$F$2:$F$9997,Calendar!$B$2:$B$9997,D2883,Calendar!$C$2:$C$9997,C2883)*INDEX(ForeCalc!$B$37:$Y$274,MATCH(_xlfn.CONCAT(H2883," ",I2883),ForeCalc!$A$37:$A$274,0),MATCH(_xlfn.CONCAT(B2883," ",E2883),ForeCalc!$B$36:$Y$36,0))))*VLOOKUP(A2883,Calendar!$A$2:$H$9997,8,FALSE),0)</f>
        <v/>
      </c>
      <c r="G2883" s="29">
        <f>VLOOKUP(A2883,Calendar!$A$1:$H$9997,6,FALSE)-F2883</f>
        <v/>
      </c>
      <c r="H2883" s="19" t="n">
        <v>2</v>
      </c>
      <c r="I2883" s="57" t="n">
        <v>11</v>
      </c>
    </row>
    <row r="2884">
      <c r="A2884" s="62" t="n">
        <v>46803</v>
      </c>
      <c r="B2884" s="3" t="inlineStr">
        <is>
          <t>Sun</t>
        </is>
      </c>
      <c r="C2884" s="19" t="n">
        <v>2</v>
      </c>
      <c r="D2884" s="19" t="n">
        <v>2028</v>
      </c>
      <c r="E2884" s="57" t="n">
        <v>3</v>
      </c>
      <c r="F2884" s="29">
        <f>ROUND(((SUMIFS(Calendar!$F$2:$F$9997,Calendar!$B$2:$B$9997,D2884,Calendar!$C$2:$C$9997,C2884)*INDEX(ForeCalc!$B$37:$Y$274,MATCH(_xlfn.CONCAT(H2884," ",I2884),ForeCalc!$A$37:$A$274,0),MATCH(_xlfn.CONCAT(B2884," ",E2884),ForeCalc!$B$36:$Y$36,0))))*VLOOKUP(A2884,Calendar!$A$2:$H$9997,8,FALSE),0)</f>
        <v/>
      </c>
      <c r="G2884" s="29">
        <f>VLOOKUP(A2884,Calendar!$A$1:$H$9997,6,FALSE)-F2884</f>
        <v/>
      </c>
      <c r="H2884" s="19" t="n">
        <v>2</v>
      </c>
      <c r="I2884" s="57" t="n">
        <v>11</v>
      </c>
    </row>
    <row r="2885">
      <c r="A2885" s="62" t="n">
        <v>46804</v>
      </c>
      <c r="B2885" s="3" t="inlineStr">
        <is>
          <t>Week</t>
        </is>
      </c>
      <c r="C2885" s="19" t="n">
        <v>2</v>
      </c>
      <c r="D2885" s="19" t="n">
        <v>2028</v>
      </c>
      <c r="E2885" s="57" t="n">
        <v>3</v>
      </c>
      <c r="F2885" s="29">
        <f>ROUND(((SUMIFS(Calendar!$F$2:$F$9997,Calendar!$B$2:$B$9997,D2885,Calendar!$C$2:$C$9997,C2885)*INDEX(ForeCalc!$B$37:$Y$274,MATCH(_xlfn.CONCAT(H2885," ",I2885),ForeCalc!$A$37:$A$274,0),MATCH(_xlfn.CONCAT(B2885," ",E2885),ForeCalc!$B$36:$Y$36,0))))*VLOOKUP(A2885,Calendar!$A$2:$H$9997,8,FALSE),0)</f>
        <v/>
      </c>
      <c r="G2885" s="29">
        <f>VLOOKUP(A2885,Calendar!$A$1:$H$9997,6,FALSE)-F2885</f>
        <v/>
      </c>
      <c r="H2885" s="19" t="n">
        <v>2</v>
      </c>
      <c r="I2885" s="57" t="n">
        <v>11</v>
      </c>
    </row>
    <row r="2886">
      <c r="A2886" s="62" t="n">
        <v>46805</v>
      </c>
      <c r="B2886" s="3" t="inlineStr">
        <is>
          <t>Week</t>
        </is>
      </c>
      <c r="C2886" s="19" t="n">
        <v>2</v>
      </c>
      <c r="D2886" s="19" t="n">
        <v>2028</v>
      </c>
      <c r="E2886" s="57" t="n">
        <v>3</v>
      </c>
      <c r="F2886" s="29">
        <f>ROUND(((SUMIFS(Calendar!$F$2:$F$9997,Calendar!$B$2:$B$9997,D2886,Calendar!$C$2:$C$9997,C2886)*INDEX(ForeCalc!$B$37:$Y$274,MATCH(_xlfn.CONCAT(H2886," ",I2886),ForeCalc!$A$37:$A$274,0),MATCH(_xlfn.CONCAT(B2886," ",E2886),ForeCalc!$B$36:$Y$36,0))))*VLOOKUP(A2886,Calendar!$A$2:$H$9997,8,FALSE),0)</f>
        <v/>
      </c>
      <c r="G2886" s="29">
        <f>VLOOKUP(A2886,Calendar!$A$1:$H$9997,6,FALSE)-F2886</f>
        <v/>
      </c>
      <c r="H2886" s="19" t="n">
        <v>2</v>
      </c>
      <c r="I2886" s="57" t="n">
        <v>11</v>
      </c>
    </row>
    <row r="2887">
      <c r="A2887" s="62" t="n">
        <v>46806</v>
      </c>
      <c r="B2887" s="3" t="inlineStr">
        <is>
          <t>Week</t>
        </is>
      </c>
      <c r="C2887" s="19" t="n">
        <v>2</v>
      </c>
      <c r="D2887" s="19" t="n">
        <v>2028</v>
      </c>
      <c r="E2887" s="57" t="n">
        <v>3</v>
      </c>
      <c r="F2887" s="29">
        <f>ROUND(((SUMIFS(Calendar!$F$2:$F$9997,Calendar!$B$2:$B$9997,D2887,Calendar!$C$2:$C$9997,C2887)*INDEX(ForeCalc!$B$37:$Y$274,MATCH(_xlfn.CONCAT(H2887," ",I2887),ForeCalc!$A$37:$A$274,0),MATCH(_xlfn.CONCAT(B2887," ",E2887),ForeCalc!$B$36:$Y$36,0))))*VLOOKUP(A2887,Calendar!$A$2:$H$9997,8,FALSE),0)</f>
        <v/>
      </c>
      <c r="G2887" s="29">
        <f>VLOOKUP(A2887,Calendar!$A$1:$H$9997,6,FALSE)-F2887</f>
        <v/>
      </c>
      <c r="H2887" s="19" t="n">
        <v>2</v>
      </c>
      <c r="I2887" s="57" t="n">
        <v>11</v>
      </c>
    </row>
    <row r="2888">
      <c r="A2888" s="62" t="n">
        <v>46807</v>
      </c>
      <c r="B2888" s="3" t="inlineStr">
        <is>
          <t>Week</t>
        </is>
      </c>
      <c r="C2888" s="19" t="n">
        <v>2</v>
      </c>
      <c r="D2888" s="19" t="n">
        <v>2028</v>
      </c>
      <c r="E2888" s="57" t="n">
        <v>3</v>
      </c>
      <c r="F2888" s="29">
        <f>ROUND(((SUMIFS(Calendar!$F$2:$F$9997,Calendar!$B$2:$B$9997,D2888,Calendar!$C$2:$C$9997,C2888)*INDEX(ForeCalc!$B$37:$Y$274,MATCH(_xlfn.CONCAT(H2888," ",I2888),ForeCalc!$A$37:$A$274,0),MATCH(_xlfn.CONCAT(B2888," ",E2888),ForeCalc!$B$36:$Y$36,0))))*VLOOKUP(A2888,Calendar!$A$2:$H$9997,8,FALSE),0)</f>
        <v/>
      </c>
      <c r="G2888" s="29">
        <f>VLOOKUP(A2888,Calendar!$A$1:$H$9997,6,FALSE)-F2888</f>
        <v/>
      </c>
      <c r="H2888" s="19" t="n">
        <v>2</v>
      </c>
      <c r="I2888" s="57" t="n">
        <v>11</v>
      </c>
    </row>
    <row r="2889">
      <c r="A2889" s="62" t="n">
        <v>46808</v>
      </c>
      <c r="B2889" s="3" t="inlineStr">
        <is>
          <t>Week</t>
        </is>
      </c>
      <c r="C2889" s="19" t="n">
        <v>2</v>
      </c>
      <c r="D2889" s="19" t="n">
        <v>2028</v>
      </c>
      <c r="E2889" s="57" t="n">
        <v>3</v>
      </c>
      <c r="F2889" s="29">
        <f>ROUND(((SUMIFS(Calendar!$F$2:$F$9997,Calendar!$B$2:$B$9997,D2889,Calendar!$C$2:$C$9997,C2889)*INDEX(ForeCalc!$B$37:$Y$274,MATCH(_xlfn.CONCAT(H2889," ",I2889),ForeCalc!$A$37:$A$274,0),MATCH(_xlfn.CONCAT(B2889," ",E2889),ForeCalc!$B$36:$Y$36,0))))*VLOOKUP(A2889,Calendar!$A$2:$H$9997,8,FALSE),0)</f>
        <v/>
      </c>
      <c r="G2889" s="29">
        <f>VLOOKUP(A2889,Calendar!$A$1:$H$9997,6,FALSE)-F2889</f>
        <v/>
      </c>
      <c r="H2889" s="19" t="n">
        <v>2</v>
      </c>
      <c r="I2889" s="57" t="n">
        <v>11</v>
      </c>
    </row>
    <row r="2890">
      <c r="A2890" s="62" t="n">
        <v>46809</v>
      </c>
      <c r="B2890" s="3" t="inlineStr">
        <is>
          <t>Sat</t>
        </is>
      </c>
      <c r="C2890" s="19" t="n">
        <v>2</v>
      </c>
      <c r="D2890" s="19" t="n">
        <v>2028</v>
      </c>
      <c r="E2890" s="57" t="n">
        <v>3</v>
      </c>
      <c r="F2890" s="29">
        <f>ROUND(((SUMIFS(Calendar!$F$2:$F$9997,Calendar!$B$2:$B$9997,D2890,Calendar!$C$2:$C$9997,C2890)*INDEX(ForeCalc!$B$37:$Y$274,MATCH(_xlfn.CONCAT(H2890," ",I2890),ForeCalc!$A$37:$A$274,0),MATCH(_xlfn.CONCAT(B2890," ",E2890),ForeCalc!$B$36:$Y$36,0))))*VLOOKUP(A2890,Calendar!$A$2:$H$9997,8,FALSE),0)</f>
        <v/>
      </c>
      <c r="G2890" s="29">
        <f>VLOOKUP(A2890,Calendar!$A$1:$H$9997,6,FALSE)-F2890</f>
        <v/>
      </c>
      <c r="H2890" s="19" t="n">
        <v>2</v>
      </c>
      <c r="I2890" s="57" t="n">
        <v>11</v>
      </c>
    </row>
    <row r="2891">
      <c r="A2891" s="62" t="n">
        <v>46810</v>
      </c>
      <c r="B2891" s="3" t="inlineStr">
        <is>
          <t>Sun</t>
        </is>
      </c>
      <c r="C2891" s="19" t="n">
        <v>2</v>
      </c>
      <c r="D2891" s="19" t="n">
        <v>2028</v>
      </c>
      <c r="E2891" s="57" t="n">
        <v>3</v>
      </c>
      <c r="F2891" s="29">
        <f>ROUND(((SUMIFS(Calendar!$F$2:$F$9997,Calendar!$B$2:$B$9997,D2891,Calendar!$C$2:$C$9997,C2891)*INDEX(ForeCalc!$B$37:$Y$274,MATCH(_xlfn.CONCAT(H2891," ",I2891),ForeCalc!$A$37:$A$274,0),MATCH(_xlfn.CONCAT(B2891," ",E2891),ForeCalc!$B$36:$Y$36,0))))*VLOOKUP(A2891,Calendar!$A$2:$H$9997,8,FALSE),0)</f>
        <v/>
      </c>
      <c r="G2891" s="29">
        <f>VLOOKUP(A2891,Calendar!$A$1:$H$9997,6,FALSE)-F2891</f>
        <v/>
      </c>
      <c r="H2891" s="19" t="n">
        <v>2</v>
      </c>
      <c r="I2891" s="57" t="n">
        <v>11</v>
      </c>
    </row>
    <row r="2892">
      <c r="A2892" s="62" t="n">
        <v>46811</v>
      </c>
      <c r="B2892" s="3" t="inlineStr">
        <is>
          <t>Week</t>
        </is>
      </c>
      <c r="C2892" s="19" t="n">
        <v>2</v>
      </c>
      <c r="D2892" s="19" t="n">
        <v>2028</v>
      </c>
      <c r="E2892" s="57" t="n">
        <v>3</v>
      </c>
      <c r="F2892" s="29">
        <f>ROUND(((SUMIFS(Calendar!$F$2:$F$9997,Calendar!$B$2:$B$9997,D2892,Calendar!$C$2:$C$9997,C2892)*INDEX(ForeCalc!$B$37:$Y$274,MATCH(_xlfn.CONCAT(H2892," ",I2892),ForeCalc!$A$37:$A$274,0),MATCH(_xlfn.CONCAT(B2892," ",E2892),ForeCalc!$B$36:$Y$36,0))))*VLOOKUP(A2892,Calendar!$A$2:$H$9997,8,FALSE),0)</f>
        <v/>
      </c>
      <c r="G2892" s="29">
        <f>VLOOKUP(A2892,Calendar!$A$1:$H$9997,6,FALSE)-F2892</f>
        <v/>
      </c>
      <c r="H2892" s="19" t="n">
        <v>2</v>
      </c>
      <c r="I2892" s="57" t="n">
        <v>11</v>
      </c>
    </row>
    <row r="2893">
      <c r="A2893" s="62" t="n">
        <v>46812</v>
      </c>
      <c r="B2893" s="3" t="inlineStr">
        <is>
          <t>Week</t>
        </is>
      </c>
      <c r="C2893" s="19" t="n">
        <v>2</v>
      </c>
      <c r="D2893" s="19" t="n">
        <v>2028</v>
      </c>
      <c r="E2893" s="57" t="n">
        <v>3</v>
      </c>
      <c r="F2893" s="29">
        <f>ROUND(((SUMIFS(Calendar!$F$2:$F$9997,Calendar!$B$2:$B$9997,D2893,Calendar!$C$2:$C$9997,C2893)*INDEX(ForeCalc!$B$37:$Y$274,MATCH(_xlfn.CONCAT(H2893," ",I2893),ForeCalc!$A$37:$A$274,0),MATCH(_xlfn.CONCAT(B2893," ",E2893),ForeCalc!$B$36:$Y$36,0))))*VLOOKUP(A2893,Calendar!$A$2:$H$9997,8,FALSE),0)</f>
        <v/>
      </c>
      <c r="G2893" s="29">
        <f>VLOOKUP(A2893,Calendar!$A$1:$H$9997,6,FALSE)-F2893</f>
        <v/>
      </c>
      <c r="H2893" s="19" t="n">
        <v>2</v>
      </c>
      <c r="I2893" s="57" t="n">
        <v>11</v>
      </c>
    </row>
    <row r="2894">
      <c r="A2894" s="62" t="n">
        <v>46813</v>
      </c>
      <c r="B2894" s="3" t="inlineStr">
        <is>
          <t>Week</t>
        </is>
      </c>
      <c r="C2894" s="19" t="n">
        <v>3</v>
      </c>
      <c r="D2894" s="19" t="n">
        <v>2028</v>
      </c>
      <c r="E2894" s="57" t="n">
        <v>3</v>
      </c>
      <c r="F2894" s="29">
        <f>ROUND(((SUMIFS(Calendar!$F$2:$F$9997,Calendar!$B$2:$B$9997,D2894,Calendar!$C$2:$C$9997,C2894)*INDEX(ForeCalc!$B$37:$Y$274,MATCH(_xlfn.CONCAT(H2894," ",I2894),ForeCalc!$A$37:$A$274,0),MATCH(_xlfn.CONCAT(B2894," ",E2894),ForeCalc!$B$36:$Y$36,0))))*VLOOKUP(A2894,Calendar!$A$2:$H$9997,8,FALSE),0)</f>
        <v/>
      </c>
      <c r="G2894" s="29">
        <f>VLOOKUP(A2894,Calendar!$A$1:$H$9997,6,FALSE)-F2894</f>
        <v/>
      </c>
      <c r="H2894" s="19" t="n">
        <v>2</v>
      </c>
      <c r="I2894" s="57" t="n">
        <v>12</v>
      </c>
    </row>
    <row r="2895">
      <c r="A2895" s="62" t="n">
        <v>46814</v>
      </c>
      <c r="B2895" s="3" t="inlineStr">
        <is>
          <t>Week</t>
        </is>
      </c>
      <c r="C2895" s="19" t="n">
        <v>3</v>
      </c>
      <c r="D2895" s="19" t="n">
        <v>2028</v>
      </c>
      <c r="E2895" s="57" t="n">
        <v>3</v>
      </c>
      <c r="F2895" s="29">
        <f>ROUND(((SUMIFS(Calendar!$F$2:$F$9997,Calendar!$B$2:$B$9997,D2895,Calendar!$C$2:$C$9997,C2895)*INDEX(ForeCalc!$B$37:$Y$274,MATCH(_xlfn.CONCAT(H2895," ",I2895),ForeCalc!$A$37:$A$274,0),MATCH(_xlfn.CONCAT(B2895," ",E2895),ForeCalc!$B$36:$Y$36,0))))*VLOOKUP(A2895,Calendar!$A$2:$H$9997,8,FALSE),0)</f>
        <v/>
      </c>
      <c r="G2895" s="29">
        <f>VLOOKUP(A2895,Calendar!$A$1:$H$9997,6,FALSE)-F2895</f>
        <v/>
      </c>
      <c r="H2895" s="19" t="n">
        <v>2</v>
      </c>
      <c r="I2895" s="57" t="n">
        <v>12</v>
      </c>
    </row>
    <row r="2896">
      <c r="A2896" s="62" t="n">
        <v>46815</v>
      </c>
      <c r="B2896" s="3" t="inlineStr">
        <is>
          <t>Week</t>
        </is>
      </c>
      <c r="C2896" s="19" t="n">
        <v>3</v>
      </c>
      <c r="D2896" s="19" t="n">
        <v>2028</v>
      </c>
      <c r="E2896" s="57" t="n">
        <v>3</v>
      </c>
      <c r="F2896" s="29">
        <f>ROUND(((SUMIFS(Calendar!$F$2:$F$9997,Calendar!$B$2:$B$9997,D2896,Calendar!$C$2:$C$9997,C2896)*INDEX(ForeCalc!$B$37:$Y$274,MATCH(_xlfn.CONCAT(H2896," ",I2896),ForeCalc!$A$37:$A$274,0),MATCH(_xlfn.CONCAT(B2896," ",E2896),ForeCalc!$B$36:$Y$36,0))))*VLOOKUP(A2896,Calendar!$A$2:$H$9997,8,FALSE),0)</f>
        <v/>
      </c>
      <c r="G2896" s="29">
        <f>VLOOKUP(A2896,Calendar!$A$1:$H$9997,6,FALSE)-F2896</f>
        <v/>
      </c>
      <c r="H2896" s="19" t="n">
        <v>2</v>
      </c>
      <c r="I2896" s="57" t="n">
        <v>12</v>
      </c>
    </row>
    <row r="2897">
      <c r="A2897" s="62" t="n">
        <v>46816</v>
      </c>
      <c r="B2897" s="3" t="inlineStr">
        <is>
          <t>Sat</t>
        </is>
      </c>
      <c r="C2897" s="19" t="n">
        <v>3</v>
      </c>
      <c r="D2897" s="19" t="n">
        <v>2028</v>
      </c>
      <c r="E2897" s="57" t="n">
        <v>3</v>
      </c>
      <c r="F2897" s="29">
        <f>ROUND(((SUMIFS(Calendar!$F$2:$F$9997,Calendar!$B$2:$B$9997,D2897,Calendar!$C$2:$C$9997,C2897)*INDEX(ForeCalc!$B$37:$Y$274,MATCH(_xlfn.CONCAT(H2897," ",I2897),ForeCalc!$A$37:$A$274,0),MATCH(_xlfn.CONCAT(B2897," ",E2897),ForeCalc!$B$36:$Y$36,0))))*VLOOKUP(A2897,Calendar!$A$2:$H$9997,8,FALSE),0)</f>
        <v/>
      </c>
      <c r="G2897" s="29">
        <f>VLOOKUP(A2897,Calendar!$A$1:$H$9997,6,FALSE)-F2897</f>
        <v/>
      </c>
      <c r="H2897" s="19" t="n">
        <v>2</v>
      </c>
      <c r="I2897" s="57" t="n">
        <v>12</v>
      </c>
    </row>
    <row r="2898">
      <c r="A2898" s="62" t="n">
        <v>46817</v>
      </c>
      <c r="B2898" s="3" t="inlineStr">
        <is>
          <t>Sun</t>
        </is>
      </c>
      <c r="C2898" s="19" t="n">
        <v>3</v>
      </c>
      <c r="D2898" s="19" t="n">
        <v>2028</v>
      </c>
      <c r="E2898" s="57" t="n">
        <v>3</v>
      </c>
      <c r="F2898" s="29">
        <f>ROUND(((SUMIFS(Calendar!$F$2:$F$9997,Calendar!$B$2:$B$9997,D2898,Calendar!$C$2:$C$9997,C2898)*INDEX(ForeCalc!$B$37:$Y$274,MATCH(_xlfn.CONCAT(H2898," ",I2898),ForeCalc!$A$37:$A$274,0),MATCH(_xlfn.CONCAT(B2898," ",E2898),ForeCalc!$B$36:$Y$36,0))))*VLOOKUP(A2898,Calendar!$A$2:$H$9997,8,FALSE),0)</f>
        <v/>
      </c>
      <c r="G2898" s="29">
        <f>VLOOKUP(A2898,Calendar!$A$1:$H$9997,6,FALSE)-F2898</f>
        <v/>
      </c>
      <c r="H2898" s="19" t="n">
        <v>2</v>
      </c>
      <c r="I2898" s="57" t="n">
        <v>12</v>
      </c>
    </row>
    <row r="2899">
      <c r="A2899" s="62" t="n">
        <v>46818</v>
      </c>
      <c r="B2899" s="3" t="inlineStr">
        <is>
          <t>Week</t>
        </is>
      </c>
      <c r="C2899" s="19" t="n">
        <v>3</v>
      </c>
      <c r="D2899" s="19" t="n">
        <v>2028</v>
      </c>
      <c r="E2899" s="57" t="n">
        <v>3</v>
      </c>
      <c r="F2899" s="29">
        <f>ROUND(((SUMIFS(Calendar!$F$2:$F$9997,Calendar!$B$2:$B$9997,D2899,Calendar!$C$2:$C$9997,C2899)*INDEX(ForeCalc!$B$37:$Y$274,MATCH(_xlfn.CONCAT(H2899," ",I2899),ForeCalc!$A$37:$A$274,0),MATCH(_xlfn.CONCAT(B2899," ",E2899),ForeCalc!$B$36:$Y$36,0))))*VLOOKUP(A2899,Calendar!$A$2:$H$9997,8,FALSE),0)</f>
        <v/>
      </c>
      <c r="G2899" s="29">
        <f>VLOOKUP(A2899,Calendar!$A$1:$H$9997,6,FALSE)-F2899</f>
        <v/>
      </c>
      <c r="H2899" s="19" t="n">
        <v>2</v>
      </c>
      <c r="I2899" s="57" t="n">
        <v>12</v>
      </c>
    </row>
    <row r="2900">
      <c r="A2900" s="62" t="n">
        <v>46819</v>
      </c>
      <c r="B2900" s="3" t="inlineStr">
        <is>
          <t>Week</t>
        </is>
      </c>
      <c r="C2900" s="19" t="n">
        <v>3</v>
      </c>
      <c r="D2900" s="19" t="n">
        <v>2028</v>
      </c>
      <c r="E2900" s="57" t="n">
        <v>3</v>
      </c>
      <c r="F2900" s="29">
        <f>ROUND(((SUMIFS(Calendar!$F$2:$F$9997,Calendar!$B$2:$B$9997,D2900,Calendar!$C$2:$C$9997,C2900)*INDEX(ForeCalc!$B$37:$Y$274,MATCH(_xlfn.CONCAT(H2900," ",I2900),ForeCalc!$A$37:$A$274,0),MATCH(_xlfn.CONCAT(B2900," ",E2900),ForeCalc!$B$36:$Y$36,0))))*VLOOKUP(A2900,Calendar!$A$2:$H$9997,8,FALSE),0)</f>
        <v/>
      </c>
      <c r="G2900" s="29">
        <f>VLOOKUP(A2900,Calendar!$A$1:$H$9997,6,FALSE)-F2900</f>
        <v/>
      </c>
      <c r="H2900" s="19" t="n">
        <v>2</v>
      </c>
      <c r="I2900" s="57" t="n">
        <v>12</v>
      </c>
    </row>
    <row r="2901">
      <c r="A2901" s="62" t="n">
        <v>46820</v>
      </c>
      <c r="B2901" s="3" t="inlineStr">
        <is>
          <t>Week</t>
        </is>
      </c>
      <c r="C2901" s="19" t="n">
        <v>3</v>
      </c>
      <c r="D2901" s="19" t="n">
        <v>2028</v>
      </c>
      <c r="E2901" s="57" t="n">
        <v>3</v>
      </c>
      <c r="F2901" s="29">
        <f>ROUND(((SUMIFS(Calendar!$F$2:$F$9997,Calendar!$B$2:$B$9997,D2901,Calendar!$C$2:$C$9997,C2901)*INDEX(ForeCalc!$B$37:$Y$274,MATCH(_xlfn.CONCAT(H2901," ",I2901),ForeCalc!$A$37:$A$274,0),MATCH(_xlfn.CONCAT(B2901," ",E2901),ForeCalc!$B$36:$Y$36,0))))*VLOOKUP(A2901,Calendar!$A$2:$H$9997,8,FALSE),0)</f>
        <v/>
      </c>
      <c r="G2901" s="29">
        <f>VLOOKUP(A2901,Calendar!$A$1:$H$9997,6,FALSE)-F2901</f>
        <v/>
      </c>
      <c r="H2901" s="19" t="n">
        <v>2</v>
      </c>
      <c r="I2901" s="57" t="n">
        <v>12</v>
      </c>
    </row>
    <row r="2902">
      <c r="A2902" s="62" t="n">
        <v>46821</v>
      </c>
      <c r="B2902" s="3" t="inlineStr">
        <is>
          <t>Week</t>
        </is>
      </c>
      <c r="C2902" s="19" t="n">
        <v>3</v>
      </c>
      <c r="D2902" s="19" t="n">
        <v>2028</v>
      </c>
      <c r="E2902" s="57" t="n">
        <v>3</v>
      </c>
      <c r="F2902" s="29">
        <f>ROUND(((SUMIFS(Calendar!$F$2:$F$9997,Calendar!$B$2:$B$9997,D2902,Calendar!$C$2:$C$9997,C2902)*INDEX(ForeCalc!$B$37:$Y$274,MATCH(_xlfn.CONCAT(H2902," ",I2902),ForeCalc!$A$37:$A$274,0),MATCH(_xlfn.CONCAT(B2902," ",E2902),ForeCalc!$B$36:$Y$36,0))))*VLOOKUP(A2902,Calendar!$A$2:$H$9997,8,FALSE),0)</f>
        <v/>
      </c>
      <c r="G2902" s="29">
        <f>VLOOKUP(A2902,Calendar!$A$1:$H$9997,6,FALSE)-F2902</f>
        <v/>
      </c>
      <c r="H2902" s="19" t="n">
        <v>2</v>
      </c>
      <c r="I2902" s="57" t="n">
        <v>12</v>
      </c>
    </row>
    <row r="2903">
      <c r="A2903" s="62" t="n">
        <v>46822</v>
      </c>
      <c r="B2903" s="3" t="inlineStr">
        <is>
          <t>Week</t>
        </is>
      </c>
      <c r="C2903" s="19" t="n">
        <v>3</v>
      </c>
      <c r="D2903" s="19" t="n">
        <v>2028</v>
      </c>
      <c r="E2903" s="57" t="n">
        <v>3</v>
      </c>
      <c r="F2903" s="29">
        <f>ROUND(((SUMIFS(Calendar!$F$2:$F$9997,Calendar!$B$2:$B$9997,D2903,Calendar!$C$2:$C$9997,C2903)*INDEX(ForeCalc!$B$37:$Y$274,MATCH(_xlfn.CONCAT(H2903," ",I2903),ForeCalc!$A$37:$A$274,0),MATCH(_xlfn.CONCAT(B2903," ",E2903),ForeCalc!$B$36:$Y$36,0))))*VLOOKUP(A2903,Calendar!$A$2:$H$9997,8,FALSE),0)</f>
        <v/>
      </c>
      <c r="G2903" s="29">
        <f>VLOOKUP(A2903,Calendar!$A$1:$H$9997,6,FALSE)-F2903</f>
        <v/>
      </c>
      <c r="H2903" s="19" t="n">
        <v>2</v>
      </c>
      <c r="I2903" s="57" t="n">
        <v>12</v>
      </c>
    </row>
    <row r="2904">
      <c r="A2904" s="62" t="n">
        <v>46823</v>
      </c>
      <c r="B2904" s="3" t="inlineStr">
        <is>
          <t>Sat</t>
        </is>
      </c>
      <c r="C2904" s="19" t="n">
        <v>3</v>
      </c>
      <c r="D2904" s="19" t="n">
        <v>2028</v>
      </c>
      <c r="E2904" s="57" t="n">
        <v>3</v>
      </c>
      <c r="F2904" s="29">
        <f>ROUND(((SUMIFS(Calendar!$F$2:$F$9997,Calendar!$B$2:$B$9997,D2904,Calendar!$C$2:$C$9997,C2904)*INDEX(ForeCalc!$B$37:$Y$274,MATCH(_xlfn.CONCAT(H2904," ",I2904),ForeCalc!$A$37:$A$274,0),MATCH(_xlfn.CONCAT(B2904," ",E2904),ForeCalc!$B$36:$Y$36,0))))*VLOOKUP(A2904,Calendar!$A$2:$H$9997,8,FALSE),0)</f>
        <v/>
      </c>
      <c r="G2904" s="29">
        <f>VLOOKUP(A2904,Calendar!$A$1:$H$9997,6,FALSE)-F2904</f>
        <v/>
      </c>
      <c r="H2904" s="19" t="n">
        <v>2</v>
      </c>
      <c r="I2904" s="57" t="n">
        <v>12</v>
      </c>
    </row>
    <row r="2905">
      <c r="A2905" s="62" t="n">
        <v>46824</v>
      </c>
      <c r="B2905" s="3" t="inlineStr">
        <is>
          <t>Sun</t>
        </is>
      </c>
      <c r="C2905" s="19" t="n">
        <v>3</v>
      </c>
      <c r="D2905" s="19" t="n">
        <v>2028</v>
      </c>
      <c r="E2905" s="57" t="n">
        <v>3</v>
      </c>
      <c r="F2905" s="29">
        <f>ROUND(((SUMIFS(Calendar!$F$2:$F$9997,Calendar!$B$2:$B$9997,D2905,Calendar!$C$2:$C$9997,C2905)*INDEX(ForeCalc!$B$37:$Y$274,MATCH(_xlfn.CONCAT(H2905," ",I2905),ForeCalc!$A$37:$A$274,0),MATCH(_xlfn.CONCAT(B2905," ",E2905),ForeCalc!$B$36:$Y$36,0))))*VLOOKUP(A2905,Calendar!$A$2:$H$9997,8,FALSE),0)</f>
        <v/>
      </c>
      <c r="G2905" s="29">
        <f>VLOOKUP(A2905,Calendar!$A$1:$H$9997,6,FALSE)-F2905</f>
        <v/>
      </c>
      <c r="H2905" s="19" t="n">
        <v>2</v>
      </c>
      <c r="I2905" s="57" t="n">
        <v>12</v>
      </c>
    </row>
    <row r="2906">
      <c r="A2906" s="62" t="n">
        <v>46825</v>
      </c>
      <c r="B2906" s="3" t="inlineStr">
        <is>
          <t>Week</t>
        </is>
      </c>
      <c r="C2906" s="19" t="n">
        <v>3</v>
      </c>
      <c r="D2906" s="19" t="n">
        <v>2028</v>
      </c>
      <c r="E2906" s="57" t="n">
        <v>3</v>
      </c>
      <c r="F2906" s="29">
        <f>ROUND(((SUMIFS(Calendar!$F$2:$F$9997,Calendar!$B$2:$B$9997,D2906,Calendar!$C$2:$C$9997,C2906)*INDEX(ForeCalc!$B$37:$Y$274,MATCH(_xlfn.CONCAT(H2906," ",I2906),ForeCalc!$A$37:$A$274,0),MATCH(_xlfn.CONCAT(B2906," ",E2906),ForeCalc!$B$36:$Y$36,0))))*VLOOKUP(A2906,Calendar!$A$2:$H$9997,8,FALSE),0)</f>
        <v/>
      </c>
      <c r="G2906" s="29">
        <f>VLOOKUP(A2906,Calendar!$A$1:$H$9997,6,FALSE)-F2906</f>
        <v/>
      </c>
      <c r="H2906" s="19" t="n">
        <v>2</v>
      </c>
      <c r="I2906" s="57" t="n">
        <v>12</v>
      </c>
    </row>
    <row r="2907">
      <c r="A2907" s="62" t="n">
        <v>46826</v>
      </c>
      <c r="B2907" s="3" t="inlineStr">
        <is>
          <t>Week</t>
        </is>
      </c>
      <c r="C2907" s="19" t="n">
        <v>3</v>
      </c>
      <c r="D2907" s="19" t="n">
        <v>2028</v>
      </c>
      <c r="E2907" s="57" t="n">
        <v>3</v>
      </c>
      <c r="F2907" s="29">
        <f>ROUND(((SUMIFS(Calendar!$F$2:$F$9997,Calendar!$B$2:$B$9997,D2907,Calendar!$C$2:$C$9997,C2907)*INDEX(ForeCalc!$B$37:$Y$274,MATCH(_xlfn.CONCAT(H2907," ",I2907),ForeCalc!$A$37:$A$274,0),MATCH(_xlfn.CONCAT(B2907," ",E2907),ForeCalc!$B$36:$Y$36,0))))*VLOOKUP(A2907,Calendar!$A$2:$H$9997,8,FALSE),0)</f>
        <v/>
      </c>
      <c r="G2907" s="29">
        <f>VLOOKUP(A2907,Calendar!$A$1:$H$9997,6,FALSE)-F2907</f>
        <v/>
      </c>
      <c r="H2907" s="19" t="n">
        <v>2</v>
      </c>
      <c r="I2907" s="57" t="n">
        <v>12</v>
      </c>
    </row>
    <row r="2908">
      <c r="A2908" s="62" t="n">
        <v>46827</v>
      </c>
      <c r="B2908" s="3" t="inlineStr">
        <is>
          <t>Week</t>
        </is>
      </c>
      <c r="C2908" s="19" t="n">
        <v>3</v>
      </c>
      <c r="D2908" s="19" t="n">
        <v>2028</v>
      </c>
      <c r="E2908" s="57" t="n">
        <v>3</v>
      </c>
      <c r="F2908" s="29">
        <f>ROUND(((SUMIFS(Calendar!$F$2:$F$9997,Calendar!$B$2:$B$9997,D2908,Calendar!$C$2:$C$9997,C2908)*INDEX(ForeCalc!$B$37:$Y$274,MATCH(_xlfn.CONCAT(H2908," ",I2908),ForeCalc!$A$37:$A$274,0),MATCH(_xlfn.CONCAT(B2908," ",E2908),ForeCalc!$B$36:$Y$36,0))))*VLOOKUP(A2908,Calendar!$A$2:$H$9997,8,FALSE),0)</f>
        <v/>
      </c>
      <c r="G2908" s="29">
        <f>VLOOKUP(A2908,Calendar!$A$1:$H$9997,6,FALSE)-F2908</f>
        <v/>
      </c>
      <c r="H2908" s="19" t="n">
        <v>2</v>
      </c>
      <c r="I2908" s="57" t="n">
        <v>12</v>
      </c>
    </row>
    <row r="2909">
      <c r="A2909" s="62" t="n">
        <v>46828</v>
      </c>
      <c r="B2909" s="3" t="inlineStr">
        <is>
          <t>Week</t>
        </is>
      </c>
      <c r="C2909" s="19" t="n">
        <v>3</v>
      </c>
      <c r="D2909" s="19" t="n">
        <v>2028</v>
      </c>
      <c r="E2909" s="57" t="n">
        <v>3</v>
      </c>
      <c r="F2909" s="29">
        <f>ROUND(((SUMIFS(Calendar!$F$2:$F$9997,Calendar!$B$2:$B$9997,D2909,Calendar!$C$2:$C$9997,C2909)*INDEX(ForeCalc!$B$37:$Y$274,MATCH(_xlfn.CONCAT(H2909," ",I2909),ForeCalc!$A$37:$A$274,0),MATCH(_xlfn.CONCAT(B2909," ",E2909),ForeCalc!$B$36:$Y$36,0))))*VLOOKUP(A2909,Calendar!$A$2:$H$9997,8,FALSE),0)</f>
        <v/>
      </c>
      <c r="G2909" s="29">
        <f>VLOOKUP(A2909,Calendar!$A$1:$H$9997,6,FALSE)-F2909</f>
        <v/>
      </c>
      <c r="H2909" s="19" t="n">
        <v>2</v>
      </c>
      <c r="I2909" s="57" t="n">
        <v>12</v>
      </c>
    </row>
    <row r="2910">
      <c r="A2910" s="62" t="n">
        <v>46829</v>
      </c>
      <c r="B2910" s="3" t="inlineStr">
        <is>
          <t>Week</t>
        </is>
      </c>
      <c r="C2910" s="19" t="n">
        <v>3</v>
      </c>
      <c r="D2910" s="19" t="n">
        <v>2028</v>
      </c>
      <c r="E2910" s="57" t="n">
        <v>3</v>
      </c>
      <c r="F2910" s="29">
        <f>ROUND(((SUMIFS(Calendar!$F$2:$F$9997,Calendar!$B$2:$B$9997,D2910,Calendar!$C$2:$C$9997,C2910)*INDEX(ForeCalc!$B$37:$Y$274,MATCH(_xlfn.CONCAT(H2910," ",I2910),ForeCalc!$A$37:$A$274,0),MATCH(_xlfn.CONCAT(B2910," ",E2910),ForeCalc!$B$36:$Y$36,0))))*VLOOKUP(A2910,Calendar!$A$2:$H$9997,8,FALSE),0)</f>
        <v/>
      </c>
      <c r="G2910" s="29">
        <f>VLOOKUP(A2910,Calendar!$A$1:$H$9997,6,FALSE)-F2910</f>
        <v/>
      </c>
      <c r="H2910" s="19" t="n">
        <v>2</v>
      </c>
      <c r="I2910" s="57" t="n">
        <v>12</v>
      </c>
    </row>
    <row r="2911">
      <c r="A2911" s="62" t="n">
        <v>46830</v>
      </c>
      <c r="B2911" s="3" t="inlineStr">
        <is>
          <t>Sat</t>
        </is>
      </c>
      <c r="C2911" s="19" t="n">
        <v>3</v>
      </c>
      <c r="D2911" s="19" t="n">
        <v>2028</v>
      </c>
      <c r="E2911" s="57" t="n">
        <v>3</v>
      </c>
      <c r="F2911" s="29">
        <f>ROUND(((SUMIFS(Calendar!$F$2:$F$9997,Calendar!$B$2:$B$9997,D2911,Calendar!$C$2:$C$9997,C2911)*INDEX(ForeCalc!$B$37:$Y$274,MATCH(_xlfn.CONCAT(H2911," ",I2911),ForeCalc!$A$37:$A$274,0),MATCH(_xlfn.CONCAT(B2911," ",E2911),ForeCalc!$B$36:$Y$36,0))))*VLOOKUP(A2911,Calendar!$A$2:$H$9997,8,FALSE),0)</f>
        <v/>
      </c>
      <c r="G2911" s="29">
        <f>VLOOKUP(A2911,Calendar!$A$1:$H$9997,6,FALSE)-F2911</f>
        <v/>
      </c>
      <c r="H2911" s="19" t="n">
        <v>2</v>
      </c>
      <c r="I2911" s="57" t="n">
        <v>12</v>
      </c>
    </row>
    <row r="2912">
      <c r="A2912" s="62" t="n">
        <v>46831</v>
      </c>
      <c r="B2912" s="3" t="inlineStr">
        <is>
          <t>Sun</t>
        </is>
      </c>
      <c r="C2912" s="19" t="n">
        <v>3</v>
      </c>
      <c r="D2912" s="19" t="n">
        <v>2028</v>
      </c>
      <c r="E2912" s="57" t="n">
        <v>3</v>
      </c>
      <c r="F2912" s="29">
        <f>ROUND(((SUMIFS(Calendar!$F$2:$F$9997,Calendar!$B$2:$B$9997,D2912,Calendar!$C$2:$C$9997,C2912)*INDEX(ForeCalc!$B$37:$Y$274,MATCH(_xlfn.CONCAT(H2912," ",I2912),ForeCalc!$A$37:$A$274,0),MATCH(_xlfn.CONCAT(B2912," ",E2912),ForeCalc!$B$36:$Y$36,0))))*VLOOKUP(A2912,Calendar!$A$2:$H$9997,8,FALSE),0)</f>
        <v/>
      </c>
      <c r="G2912" s="29">
        <f>VLOOKUP(A2912,Calendar!$A$1:$H$9997,6,FALSE)-F2912</f>
        <v/>
      </c>
      <c r="H2912" s="19" t="n">
        <v>2</v>
      </c>
      <c r="I2912" s="57" t="n">
        <v>12</v>
      </c>
    </row>
    <row r="2913">
      <c r="A2913" s="62" t="n">
        <v>46832</v>
      </c>
      <c r="B2913" s="3" t="inlineStr">
        <is>
          <t>Week</t>
        </is>
      </c>
      <c r="C2913" s="19" t="n">
        <v>3</v>
      </c>
      <c r="D2913" s="19" t="n">
        <v>2028</v>
      </c>
      <c r="E2913" s="57" t="n">
        <v>3</v>
      </c>
      <c r="F2913" s="29">
        <f>ROUND(((SUMIFS(Calendar!$F$2:$F$9997,Calendar!$B$2:$B$9997,D2913,Calendar!$C$2:$C$9997,C2913)*INDEX(ForeCalc!$B$37:$Y$274,MATCH(_xlfn.CONCAT(H2913," ",I2913),ForeCalc!$A$37:$A$274,0),MATCH(_xlfn.CONCAT(B2913," ",E2913),ForeCalc!$B$36:$Y$36,0))))*VLOOKUP(A2913,Calendar!$A$2:$H$9997,8,FALSE),0)</f>
        <v/>
      </c>
      <c r="G2913" s="29">
        <f>VLOOKUP(A2913,Calendar!$A$1:$H$9997,6,FALSE)-F2913</f>
        <v/>
      </c>
      <c r="H2913" s="19" t="n">
        <v>2</v>
      </c>
      <c r="I2913" s="57" t="n">
        <v>12</v>
      </c>
    </row>
    <row r="2914">
      <c r="A2914" s="62" t="n">
        <v>46833</v>
      </c>
      <c r="B2914" s="3" t="inlineStr">
        <is>
          <t>Week</t>
        </is>
      </c>
      <c r="C2914" s="19" t="n">
        <v>3</v>
      </c>
      <c r="D2914" s="19" t="n">
        <v>2028</v>
      </c>
      <c r="E2914" s="57" t="n">
        <v>3</v>
      </c>
      <c r="F2914" s="29">
        <f>ROUND(((SUMIFS(Calendar!$F$2:$F$9997,Calendar!$B$2:$B$9997,D2914,Calendar!$C$2:$C$9997,C2914)*INDEX(ForeCalc!$B$37:$Y$274,MATCH(_xlfn.CONCAT(H2914," ",I2914),ForeCalc!$A$37:$A$274,0),MATCH(_xlfn.CONCAT(B2914," ",E2914),ForeCalc!$B$36:$Y$36,0))))*VLOOKUP(A2914,Calendar!$A$2:$H$9997,8,FALSE),0)</f>
        <v/>
      </c>
      <c r="G2914" s="29">
        <f>VLOOKUP(A2914,Calendar!$A$1:$H$9997,6,FALSE)-F2914</f>
        <v/>
      </c>
      <c r="H2914" s="19" t="n">
        <v>2</v>
      </c>
      <c r="I2914" s="57" t="n">
        <v>12</v>
      </c>
    </row>
    <row r="2915">
      <c r="A2915" s="62" t="n">
        <v>46834</v>
      </c>
      <c r="B2915" s="3" t="inlineStr">
        <is>
          <t>Week</t>
        </is>
      </c>
      <c r="C2915" s="19" t="n">
        <v>3</v>
      </c>
      <c r="D2915" s="19" t="n">
        <v>2028</v>
      </c>
      <c r="E2915" s="57" t="n">
        <v>3</v>
      </c>
      <c r="F2915" s="29">
        <f>ROUND(((SUMIFS(Calendar!$F$2:$F$9997,Calendar!$B$2:$B$9997,D2915,Calendar!$C$2:$C$9997,C2915)*INDEX(ForeCalc!$B$37:$Y$274,MATCH(_xlfn.CONCAT(H2915," ",I2915),ForeCalc!$A$37:$A$274,0),MATCH(_xlfn.CONCAT(B2915," ",E2915),ForeCalc!$B$36:$Y$36,0))))*VLOOKUP(A2915,Calendar!$A$2:$H$9997,8,FALSE),0)</f>
        <v/>
      </c>
      <c r="G2915" s="29">
        <f>VLOOKUP(A2915,Calendar!$A$1:$H$9997,6,FALSE)-F2915</f>
        <v/>
      </c>
      <c r="H2915" s="19" t="n">
        <v>2</v>
      </c>
      <c r="I2915" s="57" t="n">
        <v>12</v>
      </c>
    </row>
    <row r="2916">
      <c r="A2916" s="62" t="n">
        <v>46835</v>
      </c>
      <c r="B2916" s="3" t="inlineStr">
        <is>
          <t>Week</t>
        </is>
      </c>
      <c r="C2916" s="19" t="n">
        <v>3</v>
      </c>
      <c r="D2916" s="19" t="n">
        <v>2028</v>
      </c>
      <c r="E2916" s="57" t="n">
        <v>3</v>
      </c>
      <c r="F2916" s="29">
        <f>ROUND(((SUMIFS(Calendar!$F$2:$F$9997,Calendar!$B$2:$B$9997,D2916,Calendar!$C$2:$C$9997,C2916)*INDEX(ForeCalc!$B$37:$Y$274,MATCH(_xlfn.CONCAT(H2916," ",I2916),ForeCalc!$A$37:$A$274,0),MATCH(_xlfn.CONCAT(B2916," ",E2916),ForeCalc!$B$36:$Y$36,0))))*VLOOKUP(A2916,Calendar!$A$2:$H$9997,8,FALSE),0)</f>
        <v/>
      </c>
      <c r="G2916" s="29">
        <f>VLOOKUP(A2916,Calendar!$A$1:$H$9997,6,FALSE)-F2916</f>
        <v/>
      </c>
      <c r="H2916" s="19" t="n">
        <v>2</v>
      </c>
      <c r="I2916" s="57" t="n">
        <v>12</v>
      </c>
    </row>
    <row r="2917">
      <c r="A2917" s="62" t="n">
        <v>46836</v>
      </c>
      <c r="B2917" s="3" t="inlineStr">
        <is>
          <t>Week</t>
        </is>
      </c>
      <c r="C2917" s="19" t="n">
        <v>3</v>
      </c>
      <c r="D2917" s="19" t="n">
        <v>2028</v>
      </c>
      <c r="E2917" s="57" t="n">
        <v>3</v>
      </c>
      <c r="F2917" s="29">
        <f>ROUND(((SUMIFS(Calendar!$F$2:$F$9997,Calendar!$B$2:$B$9997,D2917,Calendar!$C$2:$C$9997,C2917)*INDEX(ForeCalc!$B$37:$Y$274,MATCH(_xlfn.CONCAT(H2917," ",I2917),ForeCalc!$A$37:$A$274,0),MATCH(_xlfn.CONCAT(B2917," ",E2917),ForeCalc!$B$36:$Y$36,0))))*VLOOKUP(A2917,Calendar!$A$2:$H$9997,8,FALSE),0)</f>
        <v/>
      </c>
      <c r="G2917" s="29">
        <f>VLOOKUP(A2917,Calendar!$A$1:$H$9997,6,FALSE)-F2917</f>
        <v/>
      </c>
      <c r="H2917" s="19" t="n">
        <v>2</v>
      </c>
      <c r="I2917" s="57" t="n">
        <v>12</v>
      </c>
    </row>
    <row r="2918">
      <c r="A2918" s="62" t="n">
        <v>46837</v>
      </c>
      <c r="B2918" s="3" t="inlineStr">
        <is>
          <t>Sat</t>
        </is>
      </c>
      <c r="C2918" s="19" t="n">
        <v>3</v>
      </c>
      <c r="D2918" s="19" t="n">
        <v>2028</v>
      </c>
      <c r="E2918" s="57" t="n">
        <v>3</v>
      </c>
      <c r="F2918" s="29">
        <f>ROUND(((SUMIFS(Calendar!$F$2:$F$9997,Calendar!$B$2:$B$9997,D2918,Calendar!$C$2:$C$9997,C2918)*INDEX(ForeCalc!$B$37:$Y$274,MATCH(_xlfn.CONCAT(H2918," ",I2918),ForeCalc!$A$37:$A$274,0),MATCH(_xlfn.CONCAT(B2918," ",E2918),ForeCalc!$B$36:$Y$36,0))))*VLOOKUP(A2918,Calendar!$A$2:$H$9997,8,FALSE),0)</f>
        <v/>
      </c>
      <c r="G2918" s="29">
        <f>VLOOKUP(A2918,Calendar!$A$1:$H$9997,6,FALSE)-F2918</f>
        <v/>
      </c>
      <c r="H2918" s="19" t="n">
        <v>2</v>
      </c>
      <c r="I2918" s="57" t="n">
        <v>12</v>
      </c>
    </row>
    <row r="2919">
      <c r="A2919" s="62" t="n">
        <v>46838</v>
      </c>
      <c r="B2919" s="3" t="inlineStr">
        <is>
          <t>Sun</t>
        </is>
      </c>
      <c r="C2919" s="19" t="n">
        <v>3</v>
      </c>
      <c r="D2919" s="19" t="n">
        <v>2028</v>
      </c>
      <c r="E2919" s="57" t="n">
        <v>3</v>
      </c>
      <c r="F2919" s="29">
        <f>ROUND(((SUMIFS(Calendar!$F$2:$F$9997,Calendar!$B$2:$B$9997,D2919,Calendar!$C$2:$C$9997,C2919)*INDEX(ForeCalc!$B$37:$Y$274,MATCH(_xlfn.CONCAT(H2919," ",I2919),ForeCalc!$A$37:$A$274,0),MATCH(_xlfn.CONCAT(B2919," ",E2919),ForeCalc!$B$36:$Y$36,0))))*VLOOKUP(A2919,Calendar!$A$2:$H$9997,8,FALSE),0)</f>
        <v/>
      </c>
      <c r="G2919" s="29">
        <f>VLOOKUP(A2919,Calendar!$A$1:$H$9997,6,FALSE)-F2919</f>
        <v/>
      </c>
      <c r="H2919" s="19" t="n">
        <v>2</v>
      </c>
      <c r="I2919" s="57" t="n">
        <v>12</v>
      </c>
    </row>
    <row r="2920">
      <c r="A2920" s="62" t="n">
        <v>46839</v>
      </c>
      <c r="B2920" s="3" t="inlineStr">
        <is>
          <t>Week</t>
        </is>
      </c>
      <c r="C2920" s="19" t="n">
        <v>3</v>
      </c>
      <c r="D2920" s="19" t="n">
        <v>2028</v>
      </c>
      <c r="E2920" s="57" t="n">
        <v>3</v>
      </c>
      <c r="F2920" s="29">
        <f>ROUND(((SUMIFS(Calendar!$F$2:$F$9997,Calendar!$B$2:$B$9997,D2920,Calendar!$C$2:$C$9997,C2920)*INDEX(ForeCalc!$B$37:$Y$274,MATCH(_xlfn.CONCAT(H2920," ",I2920),ForeCalc!$A$37:$A$274,0),MATCH(_xlfn.CONCAT(B2920," ",E2920),ForeCalc!$B$36:$Y$36,0))))*VLOOKUP(A2920,Calendar!$A$2:$H$9997,8,FALSE),0)</f>
        <v/>
      </c>
      <c r="G2920" s="29">
        <f>VLOOKUP(A2920,Calendar!$A$1:$H$9997,6,FALSE)-F2920</f>
        <v/>
      </c>
      <c r="H2920" s="19" t="n">
        <v>2</v>
      </c>
      <c r="I2920" s="57" t="n">
        <v>12</v>
      </c>
    </row>
    <row r="2921">
      <c r="A2921" s="62" t="n">
        <v>46840</v>
      </c>
      <c r="B2921" s="3" t="inlineStr">
        <is>
          <t>Week</t>
        </is>
      </c>
      <c r="C2921" s="19" t="n">
        <v>3</v>
      </c>
      <c r="D2921" s="19" t="n">
        <v>2028</v>
      </c>
      <c r="E2921" s="57" t="n">
        <v>3</v>
      </c>
      <c r="F2921" s="29">
        <f>ROUND(((SUMIFS(Calendar!$F$2:$F$9997,Calendar!$B$2:$B$9997,D2921,Calendar!$C$2:$C$9997,C2921)*INDEX(ForeCalc!$B$37:$Y$274,MATCH(_xlfn.CONCAT(H2921," ",I2921),ForeCalc!$A$37:$A$274,0),MATCH(_xlfn.CONCAT(B2921," ",E2921),ForeCalc!$B$36:$Y$36,0))))*VLOOKUP(A2921,Calendar!$A$2:$H$9997,8,FALSE),0)</f>
        <v/>
      </c>
      <c r="G2921" s="29">
        <f>VLOOKUP(A2921,Calendar!$A$1:$H$9997,6,FALSE)-F2921</f>
        <v/>
      </c>
      <c r="H2921" s="19" t="n">
        <v>2</v>
      </c>
      <c r="I2921" s="57" t="n">
        <v>12</v>
      </c>
    </row>
    <row r="2922">
      <c r="A2922" s="62" t="n">
        <v>46841</v>
      </c>
      <c r="B2922" s="3" t="inlineStr">
        <is>
          <t>Week</t>
        </is>
      </c>
      <c r="C2922" s="19" t="n">
        <v>3</v>
      </c>
      <c r="D2922" s="19" t="n">
        <v>2028</v>
      </c>
      <c r="E2922" s="57" t="n">
        <v>3</v>
      </c>
      <c r="F2922" s="29">
        <f>ROUND(((SUMIFS(Calendar!$F$2:$F$9997,Calendar!$B$2:$B$9997,D2922,Calendar!$C$2:$C$9997,C2922)*INDEX(ForeCalc!$B$37:$Y$274,MATCH(_xlfn.CONCAT(H2922," ",I2922),ForeCalc!$A$37:$A$274,0),MATCH(_xlfn.CONCAT(B2922," ",E2922),ForeCalc!$B$36:$Y$36,0))))*VLOOKUP(A2922,Calendar!$A$2:$H$9997,8,FALSE),0)</f>
        <v/>
      </c>
      <c r="G2922" s="29">
        <f>VLOOKUP(A2922,Calendar!$A$1:$H$9997,6,FALSE)-F2922</f>
        <v/>
      </c>
      <c r="H2922" s="19" t="n">
        <v>2</v>
      </c>
      <c r="I2922" s="57" t="n">
        <v>12</v>
      </c>
    </row>
    <row r="2923">
      <c r="A2923" s="62" t="n">
        <v>46842</v>
      </c>
      <c r="B2923" s="3" t="inlineStr">
        <is>
          <t>Week</t>
        </is>
      </c>
      <c r="C2923" s="19" t="n">
        <v>3</v>
      </c>
      <c r="D2923" s="19" t="n">
        <v>2028</v>
      </c>
      <c r="E2923" s="57" t="n">
        <v>3</v>
      </c>
      <c r="F2923" s="29">
        <f>ROUND(((SUMIFS(Calendar!$F$2:$F$9997,Calendar!$B$2:$B$9997,D2923,Calendar!$C$2:$C$9997,C2923)*INDEX(ForeCalc!$B$37:$Y$274,MATCH(_xlfn.CONCAT(H2923," ",I2923),ForeCalc!$A$37:$A$274,0),MATCH(_xlfn.CONCAT(B2923," ",E2923),ForeCalc!$B$36:$Y$36,0))))*VLOOKUP(A2923,Calendar!$A$2:$H$9997,8,FALSE),0)</f>
        <v/>
      </c>
      <c r="G2923" s="29">
        <f>VLOOKUP(A2923,Calendar!$A$1:$H$9997,6,FALSE)-F2923</f>
        <v/>
      </c>
      <c r="H2923" s="19" t="n">
        <v>2</v>
      </c>
      <c r="I2923" s="57" t="n">
        <v>12</v>
      </c>
    </row>
    <row r="2924">
      <c r="A2924" s="62" t="n">
        <v>46843</v>
      </c>
      <c r="B2924" s="3" t="inlineStr">
        <is>
          <t>Week</t>
        </is>
      </c>
      <c r="C2924" s="19" t="n">
        <v>3</v>
      </c>
      <c r="D2924" s="19" t="n">
        <v>2028</v>
      </c>
      <c r="E2924" s="57" t="n">
        <v>3</v>
      </c>
      <c r="F2924" s="29">
        <f>ROUND(((SUMIFS(Calendar!$F$2:$F$9997,Calendar!$B$2:$B$9997,D2924,Calendar!$C$2:$C$9997,C2924)*INDEX(ForeCalc!$B$37:$Y$274,MATCH(_xlfn.CONCAT(H2924," ",I2924),ForeCalc!$A$37:$A$274,0),MATCH(_xlfn.CONCAT(B2924," ",E2924),ForeCalc!$B$36:$Y$36,0))))*VLOOKUP(A2924,Calendar!$A$2:$H$9997,8,FALSE),0)</f>
        <v/>
      </c>
      <c r="G2924" s="29">
        <f>VLOOKUP(A2924,Calendar!$A$1:$H$9997,6,FALSE)-F2924</f>
        <v/>
      </c>
      <c r="H2924" s="19" t="n">
        <v>2</v>
      </c>
      <c r="I2924" s="57" t="n">
        <v>12</v>
      </c>
    </row>
    <row r="2925">
      <c r="A2925" s="62" t="n">
        <v>46844</v>
      </c>
      <c r="B2925" s="3" t="inlineStr">
        <is>
          <t>Sat</t>
        </is>
      </c>
      <c r="C2925" s="19" t="n">
        <v>4</v>
      </c>
      <c r="D2925" s="19" t="n">
        <v>2028</v>
      </c>
      <c r="E2925" s="57" t="n">
        <v>3</v>
      </c>
      <c r="F2925" s="29">
        <f>ROUND(((SUMIFS(Calendar!$F$2:$F$9997,Calendar!$B$2:$B$9997,D2925,Calendar!$C$2:$C$9997,C2925)*INDEX(ForeCalc!$B$37:$Y$274,MATCH(_xlfn.CONCAT(H2925," ",I2925),ForeCalc!$A$37:$A$274,0),MATCH(_xlfn.CONCAT(B2925," ",E2925),ForeCalc!$B$36:$Y$36,0))))*VLOOKUP(A2925,Calendar!$A$2:$H$9997,8,FALSE),0)</f>
        <v/>
      </c>
      <c r="G2925" s="29">
        <f>VLOOKUP(A2925,Calendar!$A$1:$H$9997,6,FALSE)-F2925</f>
        <v/>
      </c>
      <c r="H2925" s="19" t="n">
        <v>3</v>
      </c>
      <c r="I2925" s="57" t="n">
        <v>1</v>
      </c>
    </row>
    <row r="2926">
      <c r="A2926" s="62" t="n">
        <v>46845</v>
      </c>
      <c r="B2926" s="3" t="inlineStr">
        <is>
          <t>Sun</t>
        </is>
      </c>
      <c r="C2926" s="19" t="n">
        <v>4</v>
      </c>
      <c r="D2926" s="19" t="n">
        <v>2028</v>
      </c>
      <c r="E2926" s="57" t="n">
        <v>3</v>
      </c>
      <c r="F2926" s="29">
        <f>ROUND(((SUMIFS(Calendar!$F$2:$F$9997,Calendar!$B$2:$B$9997,D2926,Calendar!$C$2:$C$9997,C2926)*INDEX(ForeCalc!$B$37:$Y$274,MATCH(_xlfn.CONCAT(H2926," ",I2926),ForeCalc!$A$37:$A$274,0),MATCH(_xlfn.CONCAT(B2926," ",E2926),ForeCalc!$B$36:$Y$36,0))))*VLOOKUP(A2926,Calendar!$A$2:$H$9997,8,FALSE),0)</f>
        <v/>
      </c>
      <c r="G2926" s="29">
        <f>VLOOKUP(A2926,Calendar!$A$1:$H$9997,6,FALSE)-F2926</f>
        <v/>
      </c>
      <c r="H2926" s="19" t="n">
        <v>3</v>
      </c>
      <c r="I2926" s="57" t="n">
        <v>1</v>
      </c>
    </row>
    <row r="2927">
      <c r="A2927" s="62" t="n">
        <v>46846</v>
      </c>
      <c r="B2927" s="3" t="inlineStr">
        <is>
          <t>Week</t>
        </is>
      </c>
      <c r="C2927" s="19" t="n">
        <v>4</v>
      </c>
      <c r="D2927" s="19" t="n">
        <v>2028</v>
      </c>
      <c r="E2927" s="57" t="n">
        <v>3</v>
      </c>
      <c r="F2927" s="29">
        <f>ROUND(((SUMIFS(Calendar!$F$2:$F$9997,Calendar!$B$2:$B$9997,D2927,Calendar!$C$2:$C$9997,C2927)*INDEX(ForeCalc!$B$37:$Y$274,MATCH(_xlfn.CONCAT(H2927," ",I2927),ForeCalc!$A$37:$A$274,0),MATCH(_xlfn.CONCAT(B2927," ",E2927),ForeCalc!$B$36:$Y$36,0))))*VLOOKUP(A2927,Calendar!$A$2:$H$9997,8,FALSE),0)</f>
        <v/>
      </c>
      <c r="G2927" s="29">
        <f>VLOOKUP(A2927,Calendar!$A$1:$H$9997,6,FALSE)-F2927</f>
        <v/>
      </c>
      <c r="H2927" s="19" t="n">
        <v>3</v>
      </c>
      <c r="I2927" s="57" t="n">
        <v>1</v>
      </c>
    </row>
    <row r="2928">
      <c r="A2928" s="62" t="n">
        <v>46847</v>
      </c>
      <c r="B2928" s="3" t="inlineStr">
        <is>
          <t>Week</t>
        </is>
      </c>
      <c r="C2928" s="19" t="n">
        <v>4</v>
      </c>
      <c r="D2928" s="19" t="n">
        <v>2028</v>
      </c>
      <c r="E2928" s="57" t="n">
        <v>3</v>
      </c>
      <c r="F2928" s="29">
        <f>ROUND(((SUMIFS(Calendar!$F$2:$F$9997,Calendar!$B$2:$B$9997,D2928,Calendar!$C$2:$C$9997,C2928)*INDEX(ForeCalc!$B$37:$Y$274,MATCH(_xlfn.CONCAT(H2928," ",I2928),ForeCalc!$A$37:$A$274,0),MATCH(_xlfn.CONCAT(B2928," ",E2928),ForeCalc!$B$36:$Y$36,0))))*VLOOKUP(A2928,Calendar!$A$2:$H$9997,8,FALSE),0)</f>
        <v/>
      </c>
      <c r="G2928" s="29">
        <f>VLOOKUP(A2928,Calendar!$A$1:$H$9997,6,FALSE)-F2928</f>
        <v/>
      </c>
      <c r="H2928" s="19" t="n">
        <v>3</v>
      </c>
      <c r="I2928" s="57" t="n">
        <v>1</v>
      </c>
    </row>
    <row r="2929">
      <c r="A2929" s="62" t="n">
        <v>46848</v>
      </c>
      <c r="B2929" s="3" t="inlineStr">
        <is>
          <t>Week</t>
        </is>
      </c>
      <c r="C2929" s="19" t="n">
        <v>4</v>
      </c>
      <c r="D2929" s="19" t="n">
        <v>2028</v>
      </c>
      <c r="E2929" s="57" t="n">
        <v>3</v>
      </c>
      <c r="F2929" s="29">
        <f>ROUND(((SUMIFS(Calendar!$F$2:$F$9997,Calendar!$B$2:$B$9997,D2929,Calendar!$C$2:$C$9997,C2929)*INDEX(ForeCalc!$B$37:$Y$274,MATCH(_xlfn.CONCAT(H2929," ",I2929),ForeCalc!$A$37:$A$274,0),MATCH(_xlfn.CONCAT(B2929," ",E2929),ForeCalc!$B$36:$Y$36,0))))*VLOOKUP(A2929,Calendar!$A$2:$H$9997,8,FALSE),0)</f>
        <v/>
      </c>
      <c r="G2929" s="29">
        <f>VLOOKUP(A2929,Calendar!$A$1:$H$9997,6,FALSE)-F2929</f>
        <v/>
      </c>
      <c r="H2929" s="19" t="n">
        <v>3</v>
      </c>
      <c r="I2929" s="57" t="n">
        <v>1</v>
      </c>
    </row>
    <row r="2930">
      <c r="A2930" s="62" t="n">
        <v>46849</v>
      </c>
      <c r="B2930" s="3" t="inlineStr">
        <is>
          <t>Week</t>
        </is>
      </c>
      <c r="C2930" s="19" t="n">
        <v>4</v>
      </c>
      <c r="D2930" s="19" t="n">
        <v>2028</v>
      </c>
      <c r="E2930" s="57" t="n">
        <v>3</v>
      </c>
      <c r="F2930" s="29">
        <f>ROUND(((SUMIFS(Calendar!$F$2:$F$9997,Calendar!$B$2:$B$9997,D2930,Calendar!$C$2:$C$9997,C2930)*INDEX(ForeCalc!$B$37:$Y$274,MATCH(_xlfn.CONCAT(H2930," ",I2930),ForeCalc!$A$37:$A$274,0),MATCH(_xlfn.CONCAT(B2930," ",E2930),ForeCalc!$B$36:$Y$36,0))))*VLOOKUP(A2930,Calendar!$A$2:$H$9997,8,FALSE),0)</f>
        <v/>
      </c>
      <c r="G2930" s="29">
        <f>VLOOKUP(A2930,Calendar!$A$1:$H$9997,6,FALSE)-F2930</f>
        <v/>
      </c>
      <c r="H2930" s="19" t="n">
        <v>3</v>
      </c>
      <c r="I2930" s="57" t="n">
        <v>1</v>
      </c>
    </row>
    <row r="2931">
      <c r="A2931" s="62" t="n">
        <v>46850</v>
      </c>
      <c r="B2931" s="3" t="inlineStr">
        <is>
          <t>Week</t>
        </is>
      </c>
      <c r="C2931" s="19" t="n">
        <v>4</v>
      </c>
      <c r="D2931" s="19" t="n">
        <v>2028</v>
      </c>
      <c r="E2931" s="57" t="n">
        <v>3</v>
      </c>
      <c r="F2931" s="29">
        <f>ROUND(((SUMIFS(Calendar!$F$2:$F$9997,Calendar!$B$2:$B$9997,D2931,Calendar!$C$2:$C$9997,C2931)*INDEX(ForeCalc!$B$37:$Y$274,MATCH(_xlfn.CONCAT(H2931," ",I2931),ForeCalc!$A$37:$A$274,0),MATCH(_xlfn.CONCAT(B2931," ",E2931),ForeCalc!$B$36:$Y$36,0))))*VLOOKUP(A2931,Calendar!$A$2:$H$9997,8,FALSE),0)</f>
        <v/>
      </c>
      <c r="G2931" s="29">
        <f>VLOOKUP(A2931,Calendar!$A$1:$H$9997,6,FALSE)-F2931</f>
        <v/>
      </c>
      <c r="H2931" s="19" t="n">
        <v>3</v>
      </c>
      <c r="I2931" s="57" t="n">
        <v>1</v>
      </c>
    </row>
    <row r="2932">
      <c r="A2932" s="62" t="n">
        <v>46851</v>
      </c>
      <c r="B2932" s="3" t="inlineStr">
        <is>
          <t>Sat</t>
        </is>
      </c>
      <c r="C2932" s="19" t="n">
        <v>4</v>
      </c>
      <c r="D2932" s="19" t="n">
        <v>2028</v>
      </c>
      <c r="E2932" s="57" t="n">
        <v>3</v>
      </c>
      <c r="F2932" s="29">
        <f>ROUND(((SUMIFS(Calendar!$F$2:$F$9997,Calendar!$B$2:$B$9997,D2932,Calendar!$C$2:$C$9997,C2932)*INDEX(ForeCalc!$B$37:$Y$274,MATCH(_xlfn.CONCAT(H2932," ",I2932),ForeCalc!$A$37:$A$274,0),MATCH(_xlfn.CONCAT(B2932," ",E2932),ForeCalc!$B$36:$Y$36,0))))*VLOOKUP(A2932,Calendar!$A$2:$H$9997,8,FALSE),0)</f>
        <v/>
      </c>
      <c r="G2932" s="29">
        <f>VLOOKUP(A2932,Calendar!$A$1:$H$9997,6,FALSE)-F2932</f>
        <v/>
      </c>
      <c r="H2932" s="19" t="n">
        <v>3</v>
      </c>
      <c r="I2932" s="57" t="n">
        <v>1</v>
      </c>
    </row>
    <row r="2933">
      <c r="A2933" s="62" t="n">
        <v>46852</v>
      </c>
      <c r="B2933" s="3" t="inlineStr">
        <is>
          <t>Sun</t>
        </is>
      </c>
      <c r="C2933" s="19" t="n">
        <v>4</v>
      </c>
      <c r="D2933" s="19" t="n">
        <v>2028</v>
      </c>
      <c r="E2933" s="57" t="n">
        <v>3</v>
      </c>
      <c r="F2933" s="29">
        <f>ROUND(((SUMIFS(Calendar!$F$2:$F$9997,Calendar!$B$2:$B$9997,D2933,Calendar!$C$2:$C$9997,C2933)*INDEX(ForeCalc!$B$37:$Y$274,MATCH(_xlfn.CONCAT(H2933," ",I2933),ForeCalc!$A$37:$A$274,0),MATCH(_xlfn.CONCAT(B2933," ",E2933),ForeCalc!$B$36:$Y$36,0))))*VLOOKUP(A2933,Calendar!$A$2:$H$9997,8,FALSE),0)</f>
        <v/>
      </c>
      <c r="G2933" s="29">
        <f>VLOOKUP(A2933,Calendar!$A$1:$H$9997,6,FALSE)-F2933</f>
        <v/>
      </c>
      <c r="H2933" s="19" t="n">
        <v>3</v>
      </c>
      <c r="I2933" s="57" t="n">
        <v>1</v>
      </c>
    </row>
    <row r="2934">
      <c r="A2934" s="62" t="n">
        <v>46853</v>
      </c>
      <c r="B2934" s="3" t="inlineStr">
        <is>
          <t>Week</t>
        </is>
      </c>
      <c r="C2934" s="19" t="n">
        <v>4</v>
      </c>
      <c r="D2934" s="19" t="n">
        <v>2028</v>
      </c>
      <c r="E2934" s="57" t="n">
        <v>3</v>
      </c>
      <c r="F2934" s="29">
        <f>ROUND(((SUMIFS(Calendar!$F$2:$F$9997,Calendar!$B$2:$B$9997,D2934,Calendar!$C$2:$C$9997,C2934)*INDEX(ForeCalc!$B$37:$Y$274,MATCH(_xlfn.CONCAT(H2934," ",I2934),ForeCalc!$A$37:$A$274,0),MATCH(_xlfn.CONCAT(B2934," ",E2934),ForeCalc!$B$36:$Y$36,0))))*VLOOKUP(A2934,Calendar!$A$2:$H$9997,8,FALSE),0)</f>
        <v/>
      </c>
      <c r="G2934" s="29">
        <f>VLOOKUP(A2934,Calendar!$A$1:$H$9997,6,FALSE)-F2934</f>
        <v/>
      </c>
      <c r="H2934" s="19" t="n">
        <v>3</v>
      </c>
      <c r="I2934" s="57" t="n">
        <v>1</v>
      </c>
    </row>
    <row r="2935">
      <c r="A2935" s="62" t="n">
        <v>46854</v>
      </c>
      <c r="B2935" s="3" t="inlineStr">
        <is>
          <t>Week</t>
        </is>
      </c>
      <c r="C2935" s="19" t="n">
        <v>4</v>
      </c>
      <c r="D2935" s="19" t="n">
        <v>2028</v>
      </c>
      <c r="E2935" s="57" t="n">
        <v>3</v>
      </c>
      <c r="F2935" s="29">
        <f>ROUND(((SUMIFS(Calendar!$F$2:$F$9997,Calendar!$B$2:$B$9997,D2935,Calendar!$C$2:$C$9997,C2935)*INDEX(ForeCalc!$B$37:$Y$274,MATCH(_xlfn.CONCAT(H2935," ",I2935),ForeCalc!$A$37:$A$274,0),MATCH(_xlfn.CONCAT(B2935," ",E2935),ForeCalc!$B$36:$Y$36,0))))*VLOOKUP(A2935,Calendar!$A$2:$H$9997,8,FALSE),0)</f>
        <v/>
      </c>
      <c r="G2935" s="29">
        <f>VLOOKUP(A2935,Calendar!$A$1:$H$9997,6,FALSE)-F2935</f>
        <v/>
      </c>
      <c r="H2935" s="19" t="n">
        <v>3</v>
      </c>
      <c r="I2935" s="57" t="n">
        <v>1</v>
      </c>
    </row>
    <row r="2936">
      <c r="A2936" s="62" t="n">
        <v>46855</v>
      </c>
      <c r="B2936" s="3" t="inlineStr">
        <is>
          <t>Week</t>
        </is>
      </c>
      <c r="C2936" s="19" t="n">
        <v>4</v>
      </c>
      <c r="D2936" s="19" t="n">
        <v>2028</v>
      </c>
      <c r="E2936" s="57" t="n">
        <v>3</v>
      </c>
      <c r="F2936" s="29">
        <f>ROUND(((SUMIFS(Calendar!$F$2:$F$9997,Calendar!$B$2:$B$9997,D2936,Calendar!$C$2:$C$9997,C2936)*INDEX(ForeCalc!$B$37:$Y$274,MATCH(_xlfn.CONCAT(H2936," ",I2936),ForeCalc!$A$37:$A$274,0),MATCH(_xlfn.CONCAT(B2936," ",E2936),ForeCalc!$B$36:$Y$36,0))))*VLOOKUP(A2936,Calendar!$A$2:$H$9997,8,FALSE),0)</f>
        <v/>
      </c>
      <c r="G2936" s="29">
        <f>VLOOKUP(A2936,Calendar!$A$1:$H$9997,6,FALSE)-F2936</f>
        <v/>
      </c>
      <c r="H2936" s="19" t="n">
        <v>3</v>
      </c>
      <c r="I2936" s="57" t="n">
        <v>1</v>
      </c>
    </row>
    <row r="2937">
      <c r="A2937" s="62" t="n">
        <v>46856</v>
      </c>
      <c r="B2937" s="3" t="inlineStr">
        <is>
          <t>Week</t>
        </is>
      </c>
      <c r="C2937" s="19" t="n">
        <v>4</v>
      </c>
      <c r="D2937" s="19" t="n">
        <v>2028</v>
      </c>
      <c r="E2937" s="57" t="n">
        <v>3</v>
      </c>
      <c r="F2937" s="29">
        <f>ROUND(((SUMIFS(Calendar!$F$2:$F$9997,Calendar!$B$2:$B$9997,D2937,Calendar!$C$2:$C$9997,C2937)*INDEX(ForeCalc!$B$37:$Y$274,MATCH(_xlfn.CONCAT(H2937," ",I2937),ForeCalc!$A$37:$A$274,0),MATCH(_xlfn.CONCAT(B2937," ",E2937),ForeCalc!$B$36:$Y$36,0))))*VLOOKUP(A2937,Calendar!$A$2:$H$9997,8,FALSE),0)</f>
        <v/>
      </c>
      <c r="G2937" s="29">
        <f>VLOOKUP(A2937,Calendar!$A$1:$H$9997,6,FALSE)-F2937</f>
        <v/>
      </c>
      <c r="H2937" s="19" t="n">
        <v>3</v>
      </c>
      <c r="I2937" s="57" t="n">
        <v>1</v>
      </c>
    </row>
    <row r="2938">
      <c r="A2938" s="62" t="n">
        <v>46857</v>
      </c>
      <c r="B2938" s="3" t="inlineStr">
        <is>
          <t>Week</t>
        </is>
      </c>
      <c r="C2938" s="19" t="n">
        <v>4</v>
      </c>
      <c r="D2938" s="19" t="n">
        <v>2028</v>
      </c>
      <c r="E2938" s="57" t="n">
        <v>3</v>
      </c>
      <c r="F2938" s="29">
        <f>ROUND(((SUMIFS(Calendar!$F$2:$F$9997,Calendar!$B$2:$B$9997,D2938,Calendar!$C$2:$C$9997,C2938)*INDEX(ForeCalc!$B$37:$Y$274,MATCH(_xlfn.CONCAT(H2938," ",I2938),ForeCalc!$A$37:$A$274,0),MATCH(_xlfn.CONCAT(B2938," ",E2938),ForeCalc!$B$36:$Y$36,0))))*VLOOKUP(A2938,Calendar!$A$2:$H$9997,8,FALSE),0)</f>
        <v/>
      </c>
      <c r="G2938" s="29">
        <f>VLOOKUP(A2938,Calendar!$A$1:$H$9997,6,FALSE)-F2938</f>
        <v/>
      </c>
      <c r="H2938" s="19" t="n">
        <v>3</v>
      </c>
      <c r="I2938" s="57" t="n">
        <v>1</v>
      </c>
    </row>
    <row r="2939">
      <c r="A2939" s="62" t="n">
        <v>46858</v>
      </c>
      <c r="B2939" s="3" t="inlineStr">
        <is>
          <t>Sat</t>
        </is>
      </c>
      <c r="C2939" s="19" t="n">
        <v>4</v>
      </c>
      <c r="D2939" s="19" t="n">
        <v>2028</v>
      </c>
      <c r="E2939" s="57" t="n">
        <v>3</v>
      </c>
      <c r="F2939" s="29">
        <f>ROUND(((SUMIFS(Calendar!$F$2:$F$9997,Calendar!$B$2:$B$9997,D2939,Calendar!$C$2:$C$9997,C2939)*INDEX(ForeCalc!$B$37:$Y$274,MATCH(_xlfn.CONCAT(H2939," ",I2939),ForeCalc!$A$37:$A$274,0),MATCH(_xlfn.CONCAT(B2939," ",E2939),ForeCalc!$B$36:$Y$36,0))))*VLOOKUP(A2939,Calendar!$A$2:$H$9997,8,FALSE),0)</f>
        <v/>
      </c>
      <c r="G2939" s="29">
        <f>VLOOKUP(A2939,Calendar!$A$1:$H$9997,6,FALSE)-F2939</f>
        <v/>
      </c>
      <c r="H2939" s="19" t="n">
        <v>3</v>
      </c>
      <c r="I2939" s="57" t="n">
        <v>1</v>
      </c>
    </row>
    <row r="2940">
      <c r="A2940" s="62" t="n">
        <v>46859</v>
      </c>
      <c r="B2940" s="3" t="inlineStr">
        <is>
          <t>Sun</t>
        </is>
      </c>
      <c r="C2940" s="19" t="n">
        <v>4</v>
      </c>
      <c r="D2940" s="19" t="n">
        <v>2028</v>
      </c>
      <c r="E2940" s="57" t="n">
        <v>3</v>
      </c>
      <c r="F2940" s="29">
        <f>ROUND(((SUMIFS(Calendar!$F$2:$F$9997,Calendar!$B$2:$B$9997,D2940,Calendar!$C$2:$C$9997,C2940)*INDEX(ForeCalc!$B$37:$Y$274,MATCH(_xlfn.CONCAT(H2940," ",I2940),ForeCalc!$A$37:$A$274,0),MATCH(_xlfn.CONCAT(B2940," ",E2940),ForeCalc!$B$36:$Y$36,0))))*VLOOKUP(A2940,Calendar!$A$2:$H$9997,8,FALSE),0)</f>
        <v/>
      </c>
      <c r="G2940" s="29">
        <f>VLOOKUP(A2940,Calendar!$A$1:$H$9997,6,FALSE)-F2940</f>
        <v/>
      </c>
      <c r="H2940" s="19" t="n">
        <v>3</v>
      </c>
      <c r="I2940" s="57" t="n">
        <v>1</v>
      </c>
    </row>
    <row r="2941">
      <c r="A2941" s="62" t="n">
        <v>46860</v>
      </c>
      <c r="B2941" s="3" t="inlineStr">
        <is>
          <t>Week</t>
        </is>
      </c>
      <c r="C2941" s="19" t="n">
        <v>4</v>
      </c>
      <c r="D2941" s="19" t="n">
        <v>2028</v>
      </c>
      <c r="E2941" s="57" t="n">
        <v>3</v>
      </c>
      <c r="F2941" s="29">
        <f>ROUND(((SUMIFS(Calendar!$F$2:$F$9997,Calendar!$B$2:$B$9997,D2941,Calendar!$C$2:$C$9997,C2941)*INDEX(ForeCalc!$B$37:$Y$274,MATCH(_xlfn.CONCAT(H2941," ",I2941),ForeCalc!$A$37:$A$274,0),MATCH(_xlfn.CONCAT(B2941," ",E2941),ForeCalc!$B$36:$Y$36,0))))*VLOOKUP(A2941,Calendar!$A$2:$H$9997,8,FALSE),0)</f>
        <v/>
      </c>
      <c r="G2941" s="29">
        <f>VLOOKUP(A2941,Calendar!$A$1:$H$9997,6,FALSE)-F2941</f>
        <v/>
      </c>
      <c r="H2941" s="19" t="n">
        <v>3</v>
      </c>
      <c r="I2941" s="57" t="n">
        <v>1</v>
      </c>
    </row>
    <row r="2942">
      <c r="A2942" s="62" t="n">
        <v>46861</v>
      </c>
      <c r="B2942" s="3" t="inlineStr">
        <is>
          <t>Week</t>
        </is>
      </c>
      <c r="C2942" s="19" t="n">
        <v>4</v>
      </c>
      <c r="D2942" s="19" t="n">
        <v>2028</v>
      </c>
      <c r="E2942" s="57" t="n">
        <v>3</v>
      </c>
      <c r="F2942" s="29">
        <f>ROUND(((SUMIFS(Calendar!$F$2:$F$9997,Calendar!$B$2:$B$9997,D2942,Calendar!$C$2:$C$9997,C2942)*INDEX(ForeCalc!$B$37:$Y$274,MATCH(_xlfn.CONCAT(H2942," ",I2942),ForeCalc!$A$37:$A$274,0),MATCH(_xlfn.CONCAT(B2942," ",E2942),ForeCalc!$B$36:$Y$36,0))))*VLOOKUP(A2942,Calendar!$A$2:$H$9997,8,FALSE),0)</f>
        <v/>
      </c>
      <c r="G2942" s="29">
        <f>VLOOKUP(A2942,Calendar!$A$1:$H$9997,6,FALSE)-F2942</f>
        <v/>
      </c>
      <c r="H2942" s="19" t="n">
        <v>3</v>
      </c>
      <c r="I2942" s="57" t="n">
        <v>1</v>
      </c>
    </row>
    <row r="2943">
      <c r="A2943" s="62" t="n">
        <v>46862</v>
      </c>
      <c r="B2943" s="3" t="inlineStr">
        <is>
          <t>Week</t>
        </is>
      </c>
      <c r="C2943" s="19" t="n">
        <v>4</v>
      </c>
      <c r="D2943" s="19" t="n">
        <v>2028</v>
      </c>
      <c r="E2943" s="57" t="n">
        <v>3</v>
      </c>
      <c r="F2943" s="29">
        <f>ROUND(((SUMIFS(Calendar!$F$2:$F$9997,Calendar!$B$2:$B$9997,D2943,Calendar!$C$2:$C$9997,C2943)*INDEX(ForeCalc!$B$37:$Y$274,MATCH(_xlfn.CONCAT(H2943," ",I2943),ForeCalc!$A$37:$A$274,0),MATCH(_xlfn.CONCAT(B2943," ",E2943),ForeCalc!$B$36:$Y$36,0))))*VLOOKUP(A2943,Calendar!$A$2:$H$9997,8,FALSE),0)</f>
        <v/>
      </c>
      <c r="G2943" s="29">
        <f>VLOOKUP(A2943,Calendar!$A$1:$H$9997,6,FALSE)-F2943</f>
        <v/>
      </c>
      <c r="H2943" s="19" t="n">
        <v>3</v>
      </c>
      <c r="I2943" s="57" t="n">
        <v>1</v>
      </c>
    </row>
    <row r="2944">
      <c r="A2944" s="62" t="n">
        <v>46863</v>
      </c>
      <c r="B2944" s="3" t="inlineStr">
        <is>
          <t>Week</t>
        </is>
      </c>
      <c r="C2944" s="19" t="n">
        <v>4</v>
      </c>
      <c r="D2944" s="19" t="n">
        <v>2028</v>
      </c>
      <c r="E2944" s="57" t="n">
        <v>3</v>
      </c>
      <c r="F2944" s="29">
        <f>ROUND(((SUMIFS(Calendar!$F$2:$F$9997,Calendar!$B$2:$B$9997,D2944,Calendar!$C$2:$C$9997,C2944)*INDEX(ForeCalc!$B$37:$Y$274,MATCH(_xlfn.CONCAT(H2944," ",I2944),ForeCalc!$A$37:$A$274,0),MATCH(_xlfn.CONCAT(B2944," ",E2944),ForeCalc!$B$36:$Y$36,0))))*VLOOKUP(A2944,Calendar!$A$2:$H$9997,8,FALSE),0)</f>
        <v/>
      </c>
      <c r="G2944" s="29">
        <f>VLOOKUP(A2944,Calendar!$A$1:$H$9997,6,FALSE)-F2944</f>
        <v/>
      </c>
      <c r="H2944" s="19" t="n">
        <v>3</v>
      </c>
      <c r="I2944" s="57" t="n">
        <v>1</v>
      </c>
    </row>
    <row r="2945">
      <c r="A2945" s="62" t="n">
        <v>46864</v>
      </c>
      <c r="B2945" s="3" t="inlineStr">
        <is>
          <t>Week</t>
        </is>
      </c>
      <c r="C2945" s="19" t="n">
        <v>4</v>
      </c>
      <c r="D2945" s="19" t="n">
        <v>2028</v>
      </c>
      <c r="E2945" s="57" t="n">
        <v>3</v>
      </c>
      <c r="F2945" s="29">
        <f>ROUND(((SUMIFS(Calendar!$F$2:$F$9997,Calendar!$B$2:$B$9997,D2945,Calendar!$C$2:$C$9997,C2945)*INDEX(ForeCalc!$B$37:$Y$274,MATCH(_xlfn.CONCAT(H2945," ",I2945),ForeCalc!$A$37:$A$274,0),MATCH(_xlfn.CONCAT(B2945," ",E2945),ForeCalc!$B$36:$Y$36,0))))*VLOOKUP(A2945,Calendar!$A$2:$H$9997,8,FALSE),0)</f>
        <v/>
      </c>
      <c r="G2945" s="29">
        <f>VLOOKUP(A2945,Calendar!$A$1:$H$9997,6,FALSE)-F2945</f>
        <v/>
      </c>
      <c r="H2945" s="19" t="n">
        <v>3</v>
      </c>
      <c r="I2945" s="57" t="n">
        <v>1</v>
      </c>
    </row>
    <row r="2946">
      <c r="A2946" s="62" t="n">
        <v>46865</v>
      </c>
      <c r="B2946" s="3" t="inlineStr">
        <is>
          <t>Sat</t>
        </is>
      </c>
      <c r="C2946" s="19" t="n">
        <v>4</v>
      </c>
      <c r="D2946" s="19" t="n">
        <v>2028</v>
      </c>
      <c r="E2946" s="57" t="n">
        <v>3</v>
      </c>
      <c r="F2946" s="29">
        <f>ROUND(((SUMIFS(Calendar!$F$2:$F$9997,Calendar!$B$2:$B$9997,D2946,Calendar!$C$2:$C$9997,C2946)*INDEX(ForeCalc!$B$37:$Y$274,MATCH(_xlfn.CONCAT(H2946," ",I2946),ForeCalc!$A$37:$A$274,0),MATCH(_xlfn.CONCAT(B2946," ",E2946),ForeCalc!$B$36:$Y$36,0))))*VLOOKUP(A2946,Calendar!$A$2:$H$9997,8,FALSE),0)</f>
        <v/>
      </c>
      <c r="G2946" s="29">
        <f>VLOOKUP(A2946,Calendar!$A$1:$H$9997,6,FALSE)-F2946</f>
        <v/>
      </c>
      <c r="H2946" s="19" t="n">
        <v>3</v>
      </c>
      <c r="I2946" s="57" t="n">
        <v>1</v>
      </c>
    </row>
    <row r="2947">
      <c r="A2947" s="62" t="n">
        <v>46866</v>
      </c>
      <c r="B2947" s="3" t="inlineStr">
        <is>
          <t>Sun</t>
        </is>
      </c>
      <c r="C2947" s="19" t="n">
        <v>4</v>
      </c>
      <c r="D2947" s="19" t="n">
        <v>2028</v>
      </c>
      <c r="E2947" s="57" t="n">
        <v>3</v>
      </c>
      <c r="F2947" s="29">
        <f>ROUND(((SUMIFS(Calendar!$F$2:$F$9997,Calendar!$B$2:$B$9997,D2947,Calendar!$C$2:$C$9997,C2947)*INDEX(ForeCalc!$B$37:$Y$274,MATCH(_xlfn.CONCAT(H2947," ",I2947),ForeCalc!$A$37:$A$274,0),MATCH(_xlfn.CONCAT(B2947," ",E2947),ForeCalc!$B$36:$Y$36,0))))*VLOOKUP(A2947,Calendar!$A$2:$H$9997,8,FALSE),0)</f>
        <v/>
      </c>
      <c r="G2947" s="29">
        <f>VLOOKUP(A2947,Calendar!$A$1:$H$9997,6,FALSE)-F2947</f>
        <v/>
      </c>
      <c r="H2947" s="19" t="n">
        <v>3</v>
      </c>
      <c r="I2947" s="57" t="n">
        <v>1</v>
      </c>
    </row>
    <row r="2948">
      <c r="A2948" s="62" t="n">
        <v>46867</v>
      </c>
      <c r="B2948" s="3" t="inlineStr">
        <is>
          <t>Week</t>
        </is>
      </c>
      <c r="C2948" s="19" t="n">
        <v>4</v>
      </c>
      <c r="D2948" s="19" t="n">
        <v>2028</v>
      </c>
      <c r="E2948" s="57" t="n">
        <v>3</v>
      </c>
      <c r="F2948" s="29">
        <f>ROUND(((SUMIFS(Calendar!$F$2:$F$9997,Calendar!$B$2:$B$9997,D2948,Calendar!$C$2:$C$9997,C2948)*INDEX(ForeCalc!$B$37:$Y$274,MATCH(_xlfn.CONCAT(H2948," ",I2948),ForeCalc!$A$37:$A$274,0),MATCH(_xlfn.CONCAT(B2948," ",E2948),ForeCalc!$B$36:$Y$36,0))))*VLOOKUP(A2948,Calendar!$A$2:$H$9997,8,FALSE),0)</f>
        <v/>
      </c>
      <c r="G2948" s="29">
        <f>VLOOKUP(A2948,Calendar!$A$1:$H$9997,6,FALSE)-F2948</f>
        <v/>
      </c>
      <c r="H2948" s="19" t="n">
        <v>3</v>
      </c>
      <c r="I2948" s="57" t="n">
        <v>1</v>
      </c>
    </row>
    <row r="2949">
      <c r="A2949" s="62" t="n">
        <v>46868</v>
      </c>
      <c r="B2949" s="3" t="inlineStr">
        <is>
          <t>Week</t>
        </is>
      </c>
      <c r="C2949" s="19" t="n">
        <v>4</v>
      </c>
      <c r="D2949" s="19" t="n">
        <v>2028</v>
      </c>
      <c r="E2949" s="57" t="n">
        <v>3</v>
      </c>
      <c r="F2949" s="29">
        <f>ROUND(((SUMIFS(Calendar!$F$2:$F$9997,Calendar!$B$2:$B$9997,D2949,Calendar!$C$2:$C$9997,C2949)*INDEX(ForeCalc!$B$37:$Y$274,MATCH(_xlfn.CONCAT(H2949," ",I2949),ForeCalc!$A$37:$A$274,0),MATCH(_xlfn.CONCAT(B2949," ",E2949),ForeCalc!$B$36:$Y$36,0))))*VLOOKUP(A2949,Calendar!$A$2:$H$9997,8,FALSE),0)</f>
        <v/>
      </c>
      <c r="G2949" s="29">
        <f>VLOOKUP(A2949,Calendar!$A$1:$H$9997,6,FALSE)-F2949</f>
        <v/>
      </c>
      <c r="H2949" s="19" t="n">
        <v>3</v>
      </c>
      <c r="I2949" s="57" t="n">
        <v>1</v>
      </c>
    </row>
    <row r="2950">
      <c r="A2950" s="62" t="n">
        <v>46869</v>
      </c>
      <c r="B2950" s="3" t="inlineStr">
        <is>
          <t>Week</t>
        </is>
      </c>
      <c r="C2950" s="19" t="n">
        <v>4</v>
      </c>
      <c r="D2950" s="19" t="n">
        <v>2028</v>
      </c>
      <c r="E2950" s="57" t="n">
        <v>3</v>
      </c>
      <c r="F2950" s="29">
        <f>ROUND(((SUMIFS(Calendar!$F$2:$F$9997,Calendar!$B$2:$B$9997,D2950,Calendar!$C$2:$C$9997,C2950)*INDEX(ForeCalc!$B$37:$Y$274,MATCH(_xlfn.CONCAT(H2950," ",I2950),ForeCalc!$A$37:$A$274,0),MATCH(_xlfn.CONCAT(B2950," ",E2950),ForeCalc!$B$36:$Y$36,0))))*VLOOKUP(A2950,Calendar!$A$2:$H$9997,8,FALSE),0)</f>
        <v/>
      </c>
      <c r="G2950" s="29">
        <f>VLOOKUP(A2950,Calendar!$A$1:$H$9997,6,FALSE)-F2950</f>
        <v/>
      </c>
      <c r="H2950" s="19" t="n">
        <v>3</v>
      </c>
      <c r="I2950" s="57" t="n">
        <v>1</v>
      </c>
    </row>
    <row r="2951">
      <c r="A2951" s="62" t="n">
        <v>46870</v>
      </c>
      <c r="B2951" s="3" t="inlineStr">
        <is>
          <t>Week</t>
        </is>
      </c>
      <c r="C2951" s="19" t="n">
        <v>4</v>
      </c>
      <c r="D2951" s="19" t="n">
        <v>2028</v>
      </c>
      <c r="E2951" s="57" t="n">
        <v>3</v>
      </c>
      <c r="F2951" s="29">
        <f>ROUND(((SUMIFS(Calendar!$F$2:$F$9997,Calendar!$B$2:$B$9997,D2951,Calendar!$C$2:$C$9997,C2951)*INDEX(ForeCalc!$B$37:$Y$274,MATCH(_xlfn.CONCAT(H2951," ",I2951),ForeCalc!$A$37:$A$274,0),MATCH(_xlfn.CONCAT(B2951," ",E2951),ForeCalc!$B$36:$Y$36,0))))*VLOOKUP(A2951,Calendar!$A$2:$H$9997,8,FALSE),0)</f>
        <v/>
      </c>
      <c r="G2951" s="29">
        <f>VLOOKUP(A2951,Calendar!$A$1:$H$9997,6,FALSE)-F2951</f>
        <v/>
      </c>
      <c r="H2951" s="19" t="n">
        <v>3</v>
      </c>
      <c r="I2951" s="57" t="n">
        <v>1</v>
      </c>
    </row>
    <row r="2952">
      <c r="A2952" s="62" t="n">
        <v>46871</v>
      </c>
      <c r="B2952" s="3" t="inlineStr">
        <is>
          <t>Week</t>
        </is>
      </c>
      <c r="C2952" s="19" t="n">
        <v>4</v>
      </c>
      <c r="D2952" s="19" t="n">
        <v>2028</v>
      </c>
      <c r="E2952" s="57" t="n">
        <v>3</v>
      </c>
      <c r="F2952" s="29">
        <f>ROUND(((SUMIFS(Calendar!$F$2:$F$9997,Calendar!$B$2:$B$9997,D2952,Calendar!$C$2:$C$9997,C2952)*INDEX(ForeCalc!$B$37:$Y$274,MATCH(_xlfn.CONCAT(H2952," ",I2952),ForeCalc!$A$37:$A$274,0),MATCH(_xlfn.CONCAT(B2952," ",E2952),ForeCalc!$B$36:$Y$36,0))))*VLOOKUP(A2952,Calendar!$A$2:$H$9997,8,FALSE),0)</f>
        <v/>
      </c>
      <c r="G2952" s="29">
        <f>VLOOKUP(A2952,Calendar!$A$1:$H$9997,6,FALSE)-F2952</f>
        <v/>
      </c>
      <c r="H2952" s="19" t="n">
        <v>3</v>
      </c>
      <c r="I2952" s="57" t="n">
        <v>1</v>
      </c>
    </row>
    <row r="2953">
      <c r="A2953" s="62" t="n">
        <v>46872</v>
      </c>
      <c r="B2953" s="3" t="inlineStr">
        <is>
          <t>Sat</t>
        </is>
      </c>
      <c r="C2953" s="19" t="n">
        <v>4</v>
      </c>
      <c r="D2953" s="19" t="n">
        <v>2028</v>
      </c>
      <c r="E2953" s="57" t="n">
        <v>3</v>
      </c>
      <c r="F2953" s="29">
        <f>ROUND(((SUMIFS(Calendar!$F$2:$F$9997,Calendar!$B$2:$B$9997,D2953,Calendar!$C$2:$C$9997,C2953)*INDEX(ForeCalc!$B$37:$Y$274,MATCH(_xlfn.CONCAT(H2953," ",I2953),ForeCalc!$A$37:$A$274,0),MATCH(_xlfn.CONCAT(B2953," ",E2953),ForeCalc!$B$36:$Y$36,0))))*VLOOKUP(A2953,Calendar!$A$2:$H$9997,8,FALSE),0)</f>
        <v/>
      </c>
      <c r="G2953" s="29">
        <f>VLOOKUP(A2953,Calendar!$A$1:$H$9997,6,FALSE)-F2953</f>
        <v/>
      </c>
      <c r="H2953" s="19" t="n">
        <v>3</v>
      </c>
      <c r="I2953" s="57" t="n">
        <v>1</v>
      </c>
    </row>
    <row r="2954">
      <c r="A2954" s="62" t="n">
        <v>46873</v>
      </c>
      <c r="B2954" s="3" t="inlineStr">
        <is>
          <t>Sun</t>
        </is>
      </c>
      <c r="C2954" s="19" t="n">
        <v>4</v>
      </c>
      <c r="D2954" s="19" t="n">
        <v>2028</v>
      </c>
      <c r="E2954" s="57" t="n">
        <v>3</v>
      </c>
      <c r="F2954" s="29">
        <f>ROUND(((SUMIFS(Calendar!$F$2:$F$9997,Calendar!$B$2:$B$9997,D2954,Calendar!$C$2:$C$9997,C2954)*INDEX(ForeCalc!$B$37:$Y$274,MATCH(_xlfn.CONCAT(H2954," ",I2954),ForeCalc!$A$37:$A$274,0),MATCH(_xlfn.CONCAT(B2954," ",E2954),ForeCalc!$B$36:$Y$36,0))))*VLOOKUP(A2954,Calendar!$A$2:$H$9997,8,FALSE),0)</f>
        <v/>
      </c>
      <c r="G2954" s="29">
        <f>VLOOKUP(A2954,Calendar!$A$1:$H$9997,6,FALSE)-F2954</f>
        <v/>
      </c>
      <c r="H2954" s="19" t="n">
        <v>3</v>
      </c>
      <c r="I2954" s="57" t="n">
        <v>1</v>
      </c>
    </row>
    <row r="2955">
      <c r="A2955" s="62" t="n">
        <v>46874</v>
      </c>
      <c r="B2955" s="3" t="inlineStr">
        <is>
          <t>Week</t>
        </is>
      </c>
      <c r="C2955" s="19" t="n">
        <v>5</v>
      </c>
      <c r="D2955" s="19" t="n">
        <v>2028</v>
      </c>
      <c r="E2955" s="57" t="n">
        <v>3</v>
      </c>
      <c r="F2955" s="29">
        <f>ROUND(((SUMIFS(Calendar!$F$2:$F$9997,Calendar!$B$2:$B$9997,D2955,Calendar!$C$2:$C$9997,C2955)*INDEX(ForeCalc!$B$37:$Y$274,MATCH(_xlfn.CONCAT(H2955," ",I2955),ForeCalc!$A$37:$A$274,0),MATCH(_xlfn.CONCAT(B2955," ",E2955),ForeCalc!$B$36:$Y$36,0))))*VLOOKUP(A2955,Calendar!$A$2:$H$9997,8,FALSE),0)</f>
        <v/>
      </c>
      <c r="G2955" s="29">
        <f>VLOOKUP(A2955,Calendar!$A$1:$H$9997,6,FALSE)-F2955</f>
        <v/>
      </c>
      <c r="H2955" s="19" t="n">
        <v>3</v>
      </c>
      <c r="I2955" s="57" t="n">
        <v>2</v>
      </c>
    </row>
    <row r="2956">
      <c r="A2956" s="62" t="n">
        <v>46875</v>
      </c>
      <c r="B2956" s="3" t="inlineStr">
        <is>
          <t>Week</t>
        </is>
      </c>
      <c r="C2956" s="19" t="n">
        <v>5</v>
      </c>
      <c r="D2956" s="19" t="n">
        <v>2028</v>
      </c>
      <c r="E2956" s="57" t="n">
        <v>3</v>
      </c>
      <c r="F2956" s="29">
        <f>ROUND(((SUMIFS(Calendar!$F$2:$F$9997,Calendar!$B$2:$B$9997,D2956,Calendar!$C$2:$C$9997,C2956)*INDEX(ForeCalc!$B$37:$Y$274,MATCH(_xlfn.CONCAT(H2956," ",I2956),ForeCalc!$A$37:$A$274,0),MATCH(_xlfn.CONCAT(B2956," ",E2956),ForeCalc!$B$36:$Y$36,0))))*VLOOKUP(A2956,Calendar!$A$2:$H$9997,8,FALSE),0)</f>
        <v/>
      </c>
      <c r="G2956" s="29">
        <f>VLOOKUP(A2956,Calendar!$A$1:$H$9997,6,FALSE)-F2956</f>
        <v/>
      </c>
      <c r="H2956" s="19" t="n">
        <v>3</v>
      </c>
      <c r="I2956" s="57" t="n">
        <v>2</v>
      </c>
    </row>
    <row r="2957">
      <c r="A2957" s="62" t="n">
        <v>46876</v>
      </c>
      <c r="B2957" s="3" t="inlineStr">
        <is>
          <t>Week</t>
        </is>
      </c>
      <c r="C2957" s="19" t="n">
        <v>5</v>
      </c>
      <c r="D2957" s="19" t="n">
        <v>2028</v>
      </c>
      <c r="E2957" s="57" t="n">
        <v>3</v>
      </c>
      <c r="F2957" s="29">
        <f>ROUND(((SUMIFS(Calendar!$F$2:$F$9997,Calendar!$B$2:$B$9997,D2957,Calendar!$C$2:$C$9997,C2957)*INDEX(ForeCalc!$B$37:$Y$274,MATCH(_xlfn.CONCAT(H2957," ",I2957),ForeCalc!$A$37:$A$274,0),MATCH(_xlfn.CONCAT(B2957," ",E2957),ForeCalc!$B$36:$Y$36,0))))*VLOOKUP(A2957,Calendar!$A$2:$H$9997,8,FALSE),0)</f>
        <v/>
      </c>
      <c r="G2957" s="29">
        <f>VLOOKUP(A2957,Calendar!$A$1:$H$9997,6,FALSE)-F2957</f>
        <v/>
      </c>
      <c r="H2957" s="19" t="n">
        <v>3</v>
      </c>
      <c r="I2957" s="57" t="n">
        <v>2</v>
      </c>
    </row>
    <row r="2958">
      <c r="A2958" s="62" t="n">
        <v>46877</v>
      </c>
      <c r="B2958" s="3" t="inlineStr">
        <is>
          <t>Week</t>
        </is>
      </c>
      <c r="C2958" s="19" t="n">
        <v>5</v>
      </c>
      <c r="D2958" s="19" t="n">
        <v>2028</v>
      </c>
      <c r="E2958" s="57" t="n">
        <v>3</v>
      </c>
      <c r="F2958" s="29">
        <f>ROUND(((SUMIFS(Calendar!$F$2:$F$9997,Calendar!$B$2:$B$9997,D2958,Calendar!$C$2:$C$9997,C2958)*INDEX(ForeCalc!$B$37:$Y$274,MATCH(_xlfn.CONCAT(H2958," ",I2958),ForeCalc!$A$37:$A$274,0),MATCH(_xlfn.CONCAT(B2958," ",E2958),ForeCalc!$B$36:$Y$36,0))))*VLOOKUP(A2958,Calendar!$A$2:$H$9997,8,FALSE),0)</f>
        <v/>
      </c>
      <c r="G2958" s="29">
        <f>VLOOKUP(A2958,Calendar!$A$1:$H$9997,6,FALSE)-F2958</f>
        <v/>
      </c>
      <c r="H2958" s="19" t="n">
        <v>3</v>
      </c>
      <c r="I2958" s="57" t="n">
        <v>2</v>
      </c>
    </row>
    <row r="2959">
      <c r="A2959" s="62" t="n">
        <v>46878</v>
      </c>
      <c r="B2959" s="3" t="inlineStr">
        <is>
          <t>Week</t>
        </is>
      </c>
      <c r="C2959" s="19" t="n">
        <v>5</v>
      </c>
      <c r="D2959" s="19" t="n">
        <v>2028</v>
      </c>
      <c r="E2959" s="57" t="n">
        <v>3</v>
      </c>
      <c r="F2959" s="29">
        <f>ROUND(((SUMIFS(Calendar!$F$2:$F$9997,Calendar!$B$2:$B$9997,D2959,Calendar!$C$2:$C$9997,C2959)*INDEX(ForeCalc!$B$37:$Y$274,MATCH(_xlfn.CONCAT(H2959," ",I2959),ForeCalc!$A$37:$A$274,0),MATCH(_xlfn.CONCAT(B2959," ",E2959),ForeCalc!$B$36:$Y$36,0))))*VLOOKUP(A2959,Calendar!$A$2:$H$9997,8,FALSE),0)</f>
        <v/>
      </c>
      <c r="G2959" s="29">
        <f>VLOOKUP(A2959,Calendar!$A$1:$H$9997,6,FALSE)-F2959</f>
        <v/>
      </c>
      <c r="H2959" s="19" t="n">
        <v>3</v>
      </c>
      <c r="I2959" s="57" t="n">
        <v>2</v>
      </c>
    </row>
    <row r="2960">
      <c r="A2960" s="62" t="n">
        <v>46879</v>
      </c>
      <c r="B2960" s="3" t="inlineStr">
        <is>
          <t>Sat</t>
        </is>
      </c>
      <c r="C2960" s="19" t="n">
        <v>5</v>
      </c>
      <c r="D2960" s="19" t="n">
        <v>2028</v>
      </c>
      <c r="E2960" s="57" t="n">
        <v>3</v>
      </c>
      <c r="F2960" s="29">
        <f>ROUND(((SUMIFS(Calendar!$F$2:$F$9997,Calendar!$B$2:$B$9997,D2960,Calendar!$C$2:$C$9997,C2960)*INDEX(ForeCalc!$B$37:$Y$274,MATCH(_xlfn.CONCAT(H2960," ",I2960),ForeCalc!$A$37:$A$274,0),MATCH(_xlfn.CONCAT(B2960," ",E2960),ForeCalc!$B$36:$Y$36,0))))*VLOOKUP(A2960,Calendar!$A$2:$H$9997,8,FALSE),0)</f>
        <v/>
      </c>
      <c r="G2960" s="29">
        <f>VLOOKUP(A2960,Calendar!$A$1:$H$9997,6,FALSE)-F2960</f>
        <v/>
      </c>
      <c r="H2960" s="19" t="n">
        <v>3</v>
      </c>
      <c r="I2960" s="57" t="n">
        <v>2</v>
      </c>
    </row>
    <row r="2961">
      <c r="A2961" s="62" t="n">
        <v>46880</v>
      </c>
      <c r="B2961" s="3" t="inlineStr">
        <is>
          <t>Sun</t>
        </is>
      </c>
      <c r="C2961" s="19" t="n">
        <v>5</v>
      </c>
      <c r="D2961" s="19" t="n">
        <v>2028</v>
      </c>
      <c r="E2961" s="57" t="n">
        <v>3</v>
      </c>
      <c r="F2961" s="29">
        <f>ROUND(((SUMIFS(Calendar!$F$2:$F$9997,Calendar!$B$2:$B$9997,D2961,Calendar!$C$2:$C$9997,C2961)*INDEX(ForeCalc!$B$37:$Y$274,MATCH(_xlfn.CONCAT(H2961," ",I2961),ForeCalc!$A$37:$A$274,0),MATCH(_xlfn.CONCAT(B2961," ",E2961),ForeCalc!$B$36:$Y$36,0))))*VLOOKUP(A2961,Calendar!$A$2:$H$9997,8,FALSE),0)</f>
        <v/>
      </c>
      <c r="G2961" s="29">
        <f>VLOOKUP(A2961,Calendar!$A$1:$H$9997,6,FALSE)-F2961</f>
        <v/>
      </c>
      <c r="H2961" s="19" t="n">
        <v>3</v>
      </c>
      <c r="I2961" s="57" t="n">
        <v>2</v>
      </c>
    </row>
    <row r="2962">
      <c r="A2962" s="62" t="n">
        <v>46881</v>
      </c>
      <c r="B2962" s="3" t="inlineStr">
        <is>
          <t>Week</t>
        </is>
      </c>
      <c r="C2962" s="19" t="n">
        <v>5</v>
      </c>
      <c r="D2962" s="19" t="n">
        <v>2028</v>
      </c>
      <c r="E2962" s="57" t="n">
        <v>3</v>
      </c>
      <c r="F2962" s="29">
        <f>ROUND(((SUMIFS(Calendar!$F$2:$F$9997,Calendar!$B$2:$B$9997,D2962,Calendar!$C$2:$C$9997,C2962)*INDEX(ForeCalc!$B$37:$Y$274,MATCH(_xlfn.CONCAT(H2962," ",I2962),ForeCalc!$A$37:$A$274,0),MATCH(_xlfn.CONCAT(B2962," ",E2962),ForeCalc!$B$36:$Y$36,0))))*VLOOKUP(A2962,Calendar!$A$2:$H$9997,8,FALSE),0)</f>
        <v/>
      </c>
      <c r="G2962" s="29">
        <f>VLOOKUP(A2962,Calendar!$A$1:$H$9997,6,FALSE)-F2962</f>
        <v/>
      </c>
      <c r="H2962" s="19" t="n">
        <v>3</v>
      </c>
      <c r="I2962" s="57" t="n">
        <v>2</v>
      </c>
    </row>
    <row r="2963">
      <c r="A2963" s="62" t="n">
        <v>46882</v>
      </c>
      <c r="B2963" s="3" t="inlineStr">
        <is>
          <t>Week</t>
        </is>
      </c>
      <c r="C2963" s="19" t="n">
        <v>5</v>
      </c>
      <c r="D2963" s="19" t="n">
        <v>2028</v>
      </c>
      <c r="E2963" s="57" t="n">
        <v>3</v>
      </c>
      <c r="F2963" s="29">
        <f>ROUND(((SUMIFS(Calendar!$F$2:$F$9997,Calendar!$B$2:$B$9997,D2963,Calendar!$C$2:$C$9997,C2963)*INDEX(ForeCalc!$B$37:$Y$274,MATCH(_xlfn.CONCAT(H2963," ",I2963),ForeCalc!$A$37:$A$274,0),MATCH(_xlfn.CONCAT(B2963," ",E2963),ForeCalc!$B$36:$Y$36,0))))*VLOOKUP(A2963,Calendar!$A$2:$H$9997,8,FALSE),0)</f>
        <v/>
      </c>
      <c r="G2963" s="29">
        <f>VLOOKUP(A2963,Calendar!$A$1:$H$9997,6,FALSE)-F2963</f>
        <v/>
      </c>
      <c r="H2963" s="19" t="n">
        <v>3</v>
      </c>
      <c r="I2963" s="57" t="n">
        <v>2</v>
      </c>
    </row>
    <row r="2964">
      <c r="A2964" s="62" t="n">
        <v>46883</v>
      </c>
      <c r="B2964" s="3" t="inlineStr">
        <is>
          <t>Week</t>
        </is>
      </c>
      <c r="C2964" s="19" t="n">
        <v>5</v>
      </c>
      <c r="D2964" s="19" t="n">
        <v>2028</v>
      </c>
      <c r="E2964" s="57" t="n">
        <v>3</v>
      </c>
      <c r="F2964" s="29">
        <f>ROUND(((SUMIFS(Calendar!$F$2:$F$9997,Calendar!$B$2:$B$9997,D2964,Calendar!$C$2:$C$9997,C2964)*INDEX(ForeCalc!$B$37:$Y$274,MATCH(_xlfn.CONCAT(H2964," ",I2964),ForeCalc!$A$37:$A$274,0),MATCH(_xlfn.CONCAT(B2964," ",E2964),ForeCalc!$B$36:$Y$36,0))))*VLOOKUP(A2964,Calendar!$A$2:$H$9997,8,FALSE),0)</f>
        <v/>
      </c>
      <c r="G2964" s="29">
        <f>VLOOKUP(A2964,Calendar!$A$1:$H$9997,6,FALSE)-F2964</f>
        <v/>
      </c>
      <c r="H2964" s="19" t="n">
        <v>3</v>
      </c>
      <c r="I2964" s="57" t="n">
        <v>2</v>
      </c>
    </row>
    <row r="2965">
      <c r="A2965" s="62" t="n">
        <v>46884</v>
      </c>
      <c r="B2965" s="3" t="inlineStr">
        <is>
          <t>Week</t>
        </is>
      </c>
      <c r="C2965" s="19" t="n">
        <v>5</v>
      </c>
      <c r="D2965" s="19" t="n">
        <v>2028</v>
      </c>
      <c r="E2965" s="57" t="n">
        <v>3</v>
      </c>
      <c r="F2965" s="29">
        <f>ROUND(((SUMIFS(Calendar!$F$2:$F$9997,Calendar!$B$2:$B$9997,D2965,Calendar!$C$2:$C$9997,C2965)*INDEX(ForeCalc!$B$37:$Y$274,MATCH(_xlfn.CONCAT(H2965," ",I2965),ForeCalc!$A$37:$A$274,0),MATCH(_xlfn.CONCAT(B2965," ",E2965),ForeCalc!$B$36:$Y$36,0))))*VLOOKUP(A2965,Calendar!$A$2:$H$9997,8,FALSE),0)</f>
        <v/>
      </c>
      <c r="G2965" s="29">
        <f>VLOOKUP(A2965,Calendar!$A$1:$H$9997,6,FALSE)-F2965</f>
        <v/>
      </c>
      <c r="H2965" s="19" t="n">
        <v>3</v>
      </c>
      <c r="I2965" s="57" t="n">
        <v>2</v>
      </c>
    </row>
    <row r="2966">
      <c r="A2966" s="62" t="n">
        <v>46885</v>
      </c>
      <c r="B2966" s="3" t="inlineStr">
        <is>
          <t>Week</t>
        </is>
      </c>
      <c r="C2966" s="19" t="n">
        <v>5</v>
      </c>
      <c r="D2966" s="19" t="n">
        <v>2028</v>
      </c>
      <c r="E2966" s="57" t="n">
        <v>3</v>
      </c>
      <c r="F2966" s="29">
        <f>ROUND(((SUMIFS(Calendar!$F$2:$F$9997,Calendar!$B$2:$B$9997,D2966,Calendar!$C$2:$C$9997,C2966)*INDEX(ForeCalc!$B$37:$Y$274,MATCH(_xlfn.CONCAT(H2966," ",I2966),ForeCalc!$A$37:$A$274,0),MATCH(_xlfn.CONCAT(B2966," ",E2966),ForeCalc!$B$36:$Y$36,0))))*VLOOKUP(A2966,Calendar!$A$2:$H$9997,8,FALSE),0)</f>
        <v/>
      </c>
      <c r="G2966" s="29">
        <f>VLOOKUP(A2966,Calendar!$A$1:$H$9997,6,FALSE)-F2966</f>
        <v/>
      </c>
      <c r="H2966" s="19" t="n">
        <v>3</v>
      </c>
      <c r="I2966" s="57" t="n">
        <v>2</v>
      </c>
    </row>
    <row r="2967">
      <c r="A2967" s="62" t="n">
        <v>46886</v>
      </c>
      <c r="B2967" s="3" t="inlineStr">
        <is>
          <t>Sat</t>
        </is>
      </c>
      <c r="C2967" s="19" t="n">
        <v>5</v>
      </c>
      <c r="D2967" s="19" t="n">
        <v>2028</v>
      </c>
      <c r="E2967" s="57" t="n">
        <v>3</v>
      </c>
      <c r="F2967" s="29">
        <f>ROUND(((SUMIFS(Calendar!$F$2:$F$9997,Calendar!$B$2:$B$9997,D2967,Calendar!$C$2:$C$9997,C2967)*INDEX(ForeCalc!$B$37:$Y$274,MATCH(_xlfn.CONCAT(H2967," ",I2967),ForeCalc!$A$37:$A$274,0),MATCH(_xlfn.CONCAT(B2967," ",E2967),ForeCalc!$B$36:$Y$36,0))))*VLOOKUP(A2967,Calendar!$A$2:$H$9997,8,FALSE),0)</f>
        <v/>
      </c>
      <c r="G2967" s="29">
        <f>VLOOKUP(A2967,Calendar!$A$1:$H$9997,6,FALSE)-F2967</f>
        <v/>
      </c>
      <c r="H2967" s="19" t="n">
        <v>3</v>
      </c>
      <c r="I2967" s="57" t="n">
        <v>2</v>
      </c>
    </row>
    <row r="2968">
      <c r="A2968" s="62" t="n">
        <v>46887</v>
      </c>
      <c r="B2968" s="3" t="inlineStr">
        <is>
          <t>Sun</t>
        </is>
      </c>
      <c r="C2968" s="19" t="n">
        <v>5</v>
      </c>
      <c r="D2968" s="19" t="n">
        <v>2028</v>
      </c>
      <c r="E2968" s="57" t="n">
        <v>3</v>
      </c>
      <c r="F2968" s="29">
        <f>ROUND(((SUMIFS(Calendar!$F$2:$F$9997,Calendar!$B$2:$B$9997,D2968,Calendar!$C$2:$C$9997,C2968)*INDEX(ForeCalc!$B$37:$Y$274,MATCH(_xlfn.CONCAT(H2968," ",I2968),ForeCalc!$A$37:$A$274,0),MATCH(_xlfn.CONCAT(B2968," ",E2968),ForeCalc!$B$36:$Y$36,0))))*VLOOKUP(A2968,Calendar!$A$2:$H$9997,8,FALSE),0)</f>
        <v/>
      </c>
      <c r="G2968" s="29">
        <f>VLOOKUP(A2968,Calendar!$A$1:$H$9997,6,FALSE)-F2968</f>
        <v/>
      </c>
      <c r="H2968" s="19" t="n">
        <v>3</v>
      </c>
      <c r="I2968" s="57" t="n">
        <v>2</v>
      </c>
    </row>
    <row r="2969">
      <c r="A2969" s="62" t="n">
        <v>46888</v>
      </c>
      <c r="B2969" s="3" t="inlineStr">
        <is>
          <t>Week</t>
        </is>
      </c>
      <c r="C2969" s="19" t="n">
        <v>5</v>
      </c>
      <c r="D2969" s="19" t="n">
        <v>2028</v>
      </c>
      <c r="E2969" s="57" t="n">
        <v>3</v>
      </c>
      <c r="F2969" s="29">
        <f>ROUND(((SUMIFS(Calendar!$F$2:$F$9997,Calendar!$B$2:$B$9997,D2969,Calendar!$C$2:$C$9997,C2969)*INDEX(ForeCalc!$B$37:$Y$274,MATCH(_xlfn.CONCAT(H2969," ",I2969),ForeCalc!$A$37:$A$274,0),MATCH(_xlfn.CONCAT(B2969," ",E2969),ForeCalc!$B$36:$Y$36,0))))*VLOOKUP(A2969,Calendar!$A$2:$H$9997,8,FALSE),0)</f>
        <v/>
      </c>
      <c r="G2969" s="29">
        <f>VLOOKUP(A2969,Calendar!$A$1:$H$9997,6,FALSE)-F2969</f>
        <v/>
      </c>
      <c r="H2969" s="19" t="n">
        <v>3</v>
      </c>
      <c r="I2969" s="57" t="n">
        <v>2</v>
      </c>
    </row>
    <row r="2970">
      <c r="A2970" s="62" t="n">
        <v>46889</v>
      </c>
      <c r="B2970" s="3" t="inlineStr">
        <is>
          <t>Week</t>
        </is>
      </c>
      <c r="C2970" s="19" t="n">
        <v>5</v>
      </c>
      <c r="D2970" s="19" t="n">
        <v>2028</v>
      </c>
      <c r="E2970" s="57" t="n">
        <v>3</v>
      </c>
      <c r="F2970" s="29">
        <f>ROUND(((SUMIFS(Calendar!$F$2:$F$9997,Calendar!$B$2:$B$9997,D2970,Calendar!$C$2:$C$9997,C2970)*INDEX(ForeCalc!$B$37:$Y$274,MATCH(_xlfn.CONCAT(H2970," ",I2970),ForeCalc!$A$37:$A$274,0),MATCH(_xlfn.CONCAT(B2970," ",E2970),ForeCalc!$B$36:$Y$36,0))))*VLOOKUP(A2970,Calendar!$A$2:$H$9997,8,FALSE),0)</f>
        <v/>
      </c>
      <c r="G2970" s="29">
        <f>VLOOKUP(A2970,Calendar!$A$1:$H$9997,6,FALSE)-F2970</f>
        <v/>
      </c>
      <c r="H2970" s="19" t="n">
        <v>3</v>
      </c>
      <c r="I2970" s="57" t="n">
        <v>2</v>
      </c>
    </row>
    <row r="2971">
      <c r="A2971" s="62" t="n">
        <v>46890</v>
      </c>
      <c r="B2971" s="3" t="inlineStr">
        <is>
          <t>Week</t>
        </is>
      </c>
      <c r="C2971" s="19" t="n">
        <v>5</v>
      </c>
      <c r="D2971" s="19" t="n">
        <v>2028</v>
      </c>
      <c r="E2971" s="57" t="n">
        <v>3</v>
      </c>
      <c r="F2971" s="29">
        <f>ROUND(((SUMIFS(Calendar!$F$2:$F$9997,Calendar!$B$2:$B$9997,D2971,Calendar!$C$2:$C$9997,C2971)*INDEX(ForeCalc!$B$37:$Y$274,MATCH(_xlfn.CONCAT(H2971," ",I2971),ForeCalc!$A$37:$A$274,0),MATCH(_xlfn.CONCAT(B2971," ",E2971),ForeCalc!$B$36:$Y$36,0))))*VLOOKUP(A2971,Calendar!$A$2:$H$9997,8,FALSE),0)</f>
        <v/>
      </c>
      <c r="G2971" s="29">
        <f>VLOOKUP(A2971,Calendar!$A$1:$H$9997,6,FALSE)-F2971</f>
        <v/>
      </c>
      <c r="H2971" s="19" t="n">
        <v>3</v>
      </c>
      <c r="I2971" s="57" t="n">
        <v>2</v>
      </c>
    </row>
    <row r="2972">
      <c r="A2972" s="62" t="n">
        <v>46891</v>
      </c>
      <c r="B2972" s="3" t="inlineStr">
        <is>
          <t>Week</t>
        </is>
      </c>
      <c r="C2972" s="19" t="n">
        <v>5</v>
      </c>
      <c r="D2972" s="19" t="n">
        <v>2028</v>
      </c>
      <c r="E2972" s="57" t="n">
        <v>3</v>
      </c>
      <c r="F2972" s="29">
        <f>ROUND(((SUMIFS(Calendar!$F$2:$F$9997,Calendar!$B$2:$B$9997,D2972,Calendar!$C$2:$C$9997,C2972)*INDEX(ForeCalc!$B$37:$Y$274,MATCH(_xlfn.CONCAT(H2972," ",I2972),ForeCalc!$A$37:$A$274,0),MATCH(_xlfn.CONCAT(B2972," ",E2972),ForeCalc!$B$36:$Y$36,0))))*VLOOKUP(A2972,Calendar!$A$2:$H$9997,8,FALSE),0)</f>
        <v/>
      </c>
      <c r="G2972" s="29">
        <f>VLOOKUP(A2972,Calendar!$A$1:$H$9997,6,FALSE)-F2972</f>
        <v/>
      </c>
      <c r="H2972" s="19" t="n">
        <v>3</v>
      </c>
      <c r="I2972" s="57" t="n">
        <v>2</v>
      </c>
    </row>
    <row r="2973">
      <c r="A2973" s="62" t="n">
        <v>46892</v>
      </c>
      <c r="B2973" s="3" t="inlineStr">
        <is>
          <t>Week</t>
        </is>
      </c>
      <c r="C2973" s="19" t="n">
        <v>5</v>
      </c>
      <c r="D2973" s="19" t="n">
        <v>2028</v>
      </c>
      <c r="E2973" s="57" t="n">
        <v>3</v>
      </c>
      <c r="F2973" s="29">
        <f>ROUND(((SUMIFS(Calendar!$F$2:$F$9997,Calendar!$B$2:$B$9997,D2973,Calendar!$C$2:$C$9997,C2973)*INDEX(ForeCalc!$B$37:$Y$274,MATCH(_xlfn.CONCAT(H2973," ",I2973),ForeCalc!$A$37:$A$274,0),MATCH(_xlfn.CONCAT(B2973," ",E2973),ForeCalc!$B$36:$Y$36,0))))*VLOOKUP(A2973,Calendar!$A$2:$H$9997,8,FALSE),0)</f>
        <v/>
      </c>
      <c r="G2973" s="29">
        <f>VLOOKUP(A2973,Calendar!$A$1:$H$9997,6,FALSE)-F2973</f>
        <v/>
      </c>
      <c r="H2973" s="19" t="n">
        <v>3</v>
      </c>
      <c r="I2973" s="57" t="n">
        <v>2</v>
      </c>
    </row>
    <row r="2974">
      <c r="A2974" s="62" t="n">
        <v>46893</v>
      </c>
      <c r="B2974" s="3" t="inlineStr">
        <is>
          <t>Sat</t>
        </is>
      </c>
      <c r="C2974" s="19" t="n">
        <v>5</v>
      </c>
      <c r="D2974" s="19" t="n">
        <v>2028</v>
      </c>
      <c r="E2974" s="57" t="n">
        <v>3</v>
      </c>
      <c r="F2974" s="29">
        <f>ROUND(((SUMIFS(Calendar!$F$2:$F$9997,Calendar!$B$2:$B$9997,D2974,Calendar!$C$2:$C$9997,C2974)*INDEX(ForeCalc!$B$37:$Y$274,MATCH(_xlfn.CONCAT(H2974," ",I2974),ForeCalc!$A$37:$A$274,0),MATCH(_xlfn.CONCAT(B2974," ",E2974),ForeCalc!$B$36:$Y$36,0))))*VLOOKUP(A2974,Calendar!$A$2:$H$9997,8,FALSE),0)</f>
        <v/>
      </c>
      <c r="G2974" s="29">
        <f>VLOOKUP(A2974,Calendar!$A$1:$H$9997,6,FALSE)-F2974</f>
        <v/>
      </c>
      <c r="H2974" s="19" t="n">
        <v>3</v>
      </c>
      <c r="I2974" s="57" t="n">
        <v>2</v>
      </c>
    </row>
    <row r="2975">
      <c r="A2975" s="62" t="n">
        <v>46894</v>
      </c>
      <c r="B2975" s="3" t="inlineStr">
        <is>
          <t>Sun</t>
        </is>
      </c>
      <c r="C2975" s="19" t="n">
        <v>5</v>
      </c>
      <c r="D2975" s="19" t="n">
        <v>2028</v>
      </c>
      <c r="E2975" s="57" t="n">
        <v>3</v>
      </c>
      <c r="F2975" s="29">
        <f>ROUND(((SUMIFS(Calendar!$F$2:$F$9997,Calendar!$B$2:$B$9997,D2975,Calendar!$C$2:$C$9997,C2975)*INDEX(ForeCalc!$B$37:$Y$274,MATCH(_xlfn.CONCAT(H2975," ",I2975),ForeCalc!$A$37:$A$274,0),MATCH(_xlfn.CONCAT(B2975," ",E2975),ForeCalc!$B$36:$Y$36,0))))*VLOOKUP(A2975,Calendar!$A$2:$H$9997,8,FALSE),0)</f>
        <v/>
      </c>
      <c r="G2975" s="29">
        <f>VLOOKUP(A2975,Calendar!$A$1:$H$9997,6,FALSE)-F2975</f>
        <v/>
      </c>
      <c r="H2975" s="19" t="n">
        <v>3</v>
      </c>
      <c r="I2975" s="57" t="n">
        <v>2</v>
      </c>
    </row>
    <row r="2976">
      <c r="A2976" s="62" t="n">
        <v>46895</v>
      </c>
      <c r="B2976" s="3" t="inlineStr">
        <is>
          <t>Week</t>
        </is>
      </c>
      <c r="C2976" s="19" t="n">
        <v>5</v>
      </c>
      <c r="D2976" s="19" t="n">
        <v>2028</v>
      </c>
      <c r="E2976" s="57" t="n">
        <v>3</v>
      </c>
      <c r="F2976" s="29">
        <f>ROUND(((SUMIFS(Calendar!$F$2:$F$9997,Calendar!$B$2:$B$9997,D2976,Calendar!$C$2:$C$9997,C2976)*INDEX(ForeCalc!$B$37:$Y$274,MATCH(_xlfn.CONCAT(H2976," ",I2976),ForeCalc!$A$37:$A$274,0),MATCH(_xlfn.CONCAT(B2976," ",E2976),ForeCalc!$B$36:$Y$36,0))))*VLOOKUP(A2976,Calendar!$A$2:$H$9997,8,FALSE),0)</f>
        <v/>
      </c>
      <c r="G2976" s="29">
        <f>VLOOKUP(A2976,Calendar!$A$1:$H$9997,6,FALSE)-F2976</f>
        <v/>
      </c>
      <c r="H2976" s="19" t="n">
        <v>3</v>
      </c>
      <c r="I2976" s="57" t="n">
        <v>2</v>
      </c>
    </row>
    <row r="2977">
      <c r="A2977" s="62" t="n">
        <v>46896</v>
      </c>
      <c r="B2977" s="3" t="inlineStr">
        <is>
          <t>Week</t>
        </is>
      </c>
      <c r="C2977" s="19" t="n">
        <v>5</v>
      </c>
      <c r="D2977" s="19" t="n">
        <v>2028</v>
      </c>
      <c r="E2977" s="57" t="n">
        <v>3</v>
      </c>
      <c r="F2977" s="29">
        <f>ROUND(((SUMIFS(Calendar!$F$2:$F$9997,Calendar!$B$2:$B$9997,D2977,Calendar!$C$2:$C$9997,C2977)*INDEX(ForeCalc!$B$37:$Y$274,MATCH(_xlfn.CONCAT(H2977," ",I2977),ForeCalc!$A$37:$A$274,0),MATCH(_xlfn.CONCAT(B2977," ",E2977),ForeCalc!$B$36:$Y$36,0))))*VLOOKUP(A2977,Calendar!$A$2:$H$9997,8,FALSE),0)</f>
        <v/>
      </c>
      <c r="G2977" s="29">
        <f>VLOOKUP(A2977,Calendar!$A$1:$H$9997,6,FALSE)-F2977</f>
        <v/>
      </c>
      <c r="H2977" s="19" t="n">
        <v>3</v>
      </c>
      <c r="I2977" s="57" t="n">
        <v>2</v>
      </c>
    </row>
    <row r="2978">
      <c r="A2978" s="62" t="n">
        <v>46897</v>
      </c>
      <c r="B2978" s="3" t="inlineStr">
        <is>
          <t>Week</t>
        </is>
      </c>
      <c r="C2978" s="19" t="n">
        <v>5</v>
      </c>
      <c r="D2978" s="19" t="n">
        <v>2028</v>
      </c>
      <c r="E2978" s="57" t="n">
        <v>3</v>
      </c>
      <c r="F2978" s="29">
        <f>ROUND(((SUMIFS(Calendar!$F$2:$F$9997,Calendar!$B$2:$B$9997,D2978,Calendar!$C$2:$C$9997,C2978)*INDEX(ForeCalc!$B$37:$Y$274,MATCH(_xlfn.CONCAT(H2978," ",I2978),ForeCalc!$A$37:$A$274,0),MATCH(_xlfn.CONCAT(B2978," ",E2978),ForeCalc!$B$36:$Y$36,0))))*VLOOKUP(A2978,Calendar!$A$2:$H$9997,8,FALSE),0)</f>
        <v/>
      </c>
      <c r="G2978" s="29">
        <f>VLOOKUP(A2978,Calendar!$A$1:$H$9997,6,FALSE)-F2978</f>
        <v/>
      </c>
      <c r="H2978" s="19" t="n">
        <v>3</v>
      </c>
      <c r="I2978" s="57" t="n">
        <v>2</v>
      </c>
    </row>
    <row r="2979">
      <c r="A2979" s="62" t="n">
        <v>46898</v>
      </c>
      <c r="B2979" s="3" t="inlineStr">
        <is>
          <t>Week</t>
        </is>
      </c>
      <c r="C2979" s="19" t="n">
        <v>5</v>
      </c>
      <c r="D2979" s="19" t="n">
        <v>2028</v>
      </c>
      <c r="E2979" s="57" t="n">
        <v>3</v>
      </c>
      <c r="F2979" s="29">
        <f>ROUND(((SUMIFS(Calendar!$F$2:$F$9997,Calendar!$B$2:$B$9997,D2979,Calendar!$C$2:$C$9997,C2979)*INDEX(ForeCalc!$B$37:$Y$274,MATCH(_xlfn.CONCAT(H2979," ",I2979),ForeCalc!$A$37:$A$274,0),MATCH(_xlfn.CONCAT(B2979," ",E2979),ForeCalc!$B$36:$Y$36,0))))*VLOOKUP(A2979,Calendar!$A$2:$H$9997,8,FALSE),0)</f>
        <v/>
      </c>
      <c r="G2979" s="29">
        <f>VLOOKUP(A2979,Calendar!$A$1:$H$9997,6,FALSE)-F2979</f>
        <v/>
      </c>
      <c r="H2979" s="19" t="n">
        <v>3</v>
      </c>
      <c r="I2979" s="57" t="n">
        <v>2</v>
      </c>
    </row>
    <row r="2980">
      <c r="A2980" s="62" t="n">
        <v>46899</v>
      </c>
      <c r="B2980" s="3" t="inlineStr">
        <is>
          <t>Week</t>
        </is>
      </c>
      <c r="C2980" s="19" t="n">
        <v>5</v>
      </c>
      <c r="D2980" s="19" t="n">
        <v>2028</v>
      </c>
      <c r="E2980" s="57" t="n">
        <v>3</v>
      </c>
      <c r="F2980" s="29">
        <f>ROUND(((SUMIFS(Calendar!$F$2:$F$9997,Calendar!$B$2:$B$9997,D2980,Calendar!$C$2:$C$9997,C2980)*INDEX(ForeCalc!$B$37:$Y$274,MATCH(_xlfn.CONCAT(H2980," ",I2980),ForeCalc!$A$37:$A$274,0),MATCH(_xlfn.CONCAT(B2980," ",E2980),ForeCalc!$B$36:$Y$36,0))))*VLOOKUP(A2980,Calendar!$A$2:$H$9997,8,FALSE),0)</f>
        <v/>
      </c>
      <c r="G2980" s="29">
        <f>VLOOKUP(A2980,Calendar!$A$1:$H$9997,6,FALSE)-F2980</f>
        <v/>
      </c>
      <c r="H2980" s="19" t="n">
        <v>3</v>
      </c>
      <c r="I2980" s="57" t="n">
        <v>2</v>
      </c>
    </row>
    <row r="2981">
      <c r="A2981" s="62" t="n">
        <v>46900</v>
      </c>
      <c r="B2981" s="3" t="inlineStr">
        <is>
          <t>Sat</t>
        </is>
      </c>
      <c r="C2981" s="19" t="n">
        <v>5</v>
      </c>
      <c r="D2981" s="19" t="n">
        <v>2028</v>
      </c>
      <c r="E2981" s="57" t="n">
        <v>3</v>
      </c>
      <c r="F2981" s="29">
        <f>ROUND(((SUMIFS(Calendar!$F$2:$F$9997,Calendar!$B$2:$B$9997,D2981,Calendar!$C$2:$C$9997,C2981)*INDEX(ForeCalc!$B$37:$Y$274,MATCH(_xlfn.CONCAT(H2981," ",I2981),ForeCalc!$A$37:$A$274,0),MATCH(_xlfn.CONCAT(B2981," ",E2981),ForeCalc!$B$36:$Y$36,0))))*VLOOKUP(A2981,Calendar!$A$2:$H$9997,8,FALSE),0)</f>
        <v/>
      </c>
      <c r="G2981" s="29">
        <f>VLOOKUP(A2981,Calendar!$A$1:$H$9997,6,FALSE)-F2981</f>
        <v/>
      </c>
      <c r="H2981" s="19" t="n">
        <v>3</v>
      </c>
      <c r="I2981" s="57" t="n">
        <v>2</v>
      </c>
    </row>
    <row r="2982">
      <c r="A2982" s="62" t="n">
        <v>46901</v>
      </c>
      <c r="B2982" s="3" t="inlineStr">
        <is>
          <t>Sun</t>
        </is>
      </c>
      <c r="C2982" s="19" t="n">
        <v>5</v>
      </c>
      <c r="D2982" s="19" t="n">
        <v>2028</v>
      </c>
      <c r="E2982" s="57" t="n">
        <v>3</v>
      </c>
      <c r="F2982" s="29">
        <f>ROUND(((SUMIFS(Calendar!$F$2:$F$9997,Calendar!$B$2:$B$9997,D2982,Calendar!$C$2:$C$9997,C2982)*INDEX(ForeCalc!$B$37:$Y$274,MATCH(_xlfn.CONCAT(H2982," ",I2982),ForeCalc!$A$37:$A$274,0),MATCH(_xlfn.CONCAT(B2982," ",E2982),ForeCalc!$B$36:$Y$36,0))))*VLOOKUP(A2982,Calendar!$A$2:$H$9997,8,FALSE),0)</f>
        <v/>
      </c>
      <c r="G2982" s="29">
        <f>VLOOKUP(A2982,Calendar!$A$1:$H$9997,6,FALSE)-F2982</f>
        <v/>
      </c>
      <c r="H2982" s="19" t="n">
        <v>3</v>
      </c>
      <c r="I2982" s="57" t="n">
        <v>2</v>
      </c>
    </row>
    <row r="2983">
      <c r="A2983" s="62" t="n">
        <v>46902</v>
      </c>
      <c r="B2983" s="3" t="inlineStr">
        <is>
          <t>Week</t>
        </is>
      </c>
      <c r="C2983" s="19" t="n">
        <v>5</v>
      </c>
      <c r="D2983" s="19" t="n">
        <v>2028</v>
      </c>
      <c r="E2983" s="57" t="n">
        <v>3</v>
      </c>
      <c r="F2983" s="29">
        <f>ROUND(((SUMIFS(Calendar!$F$2:$F$9997,Calendar!$B$2:$B$9997,D2983,Calendar!$C$2:$C$9997,C2983)*INDEX(ForeCalc!$B$37:$Y$274,MATCH(_xlfn.CONCAT(H2983," ",I2983),ForeCalc!$A$37:$A$274,0),MATCH(_xlfn.CONCAT(B2983," ",E2983),ForeCalc!$B$36:$Y$36,0))))*VLOOKUP(A2983,Calendar!$A$2:$H$9997,8,FALSE),0)</f>
        <v/>
      </c>
      <c r="G2983" s="29">
        <f>VLOOKUP(A2983,Calendar!$A$1:$H$9997,6,FALSE)-F2983</f>
        <v/>
      </c>
      <c r="H2983" s="19" t="n">
        <v>3</v>
      </c>
      <c r="I2983" s="57" t="n">
        <v>2</v>
      </c>
    </row>
    <row r="2984">
      <c r="A2984" s="62" t="n">
        <v>46903</v>
      </c>
      <c r="B2984" s="3" t="inlineStr">
        <is>
          <t>Week</t>
        </is>
      </c>
      <c r="C2984" s="19" t="n">
        <v>5</v>
      </c>
      <c r="D2984" s="19" t="n">
        <v>2028</v>
      </c>
      <c r="E2984" s="57" t="n">
        <v>3</v>
      </c>
      <c r="F2984" s="29">
        <f>ROUND(((SUMIFS(Calendar!$F$2:$F$9997,Calendar!$B$2:$B$9997,D2984,Calendar!$C$2:$C$9997,C2984)*INDEX(ForeCalc!$B$37:$Y$274,MATCH(_xlfn.CONCAT(H2984," ",I2984),ForeCalc!$A$37:$A$274,0),MATCH(_xlfn.CONCAT(B2984," ",E2984),ForeCalc!$B$36:$Y$36,0))))*VLOOKUP(A2984,Calendar!$A$2:$H$9997,8,FALSE),0)</f>
        <v/>
      </c>
      <c r="G2984" s="29">
        <f>VLOOKUP(A2984,Calendar!$A$1:$H$9997,6,FALSE)-F2984</f>
        <v/>
      </c>
      <c r="H2984" s="19" t="n">
        <v>3</v>
      </c>
      <c r="I2984" s="57" t="n">
        <v>2</v>
      </c>
    </row>
    <row r="2985">
      <c r="A2985" s="62" t="n">
        <v>46904</v>
      </c>
      <c r="B2985" s="3" t="inlineStr">
        <is>
          <t>Week</t>
        </is>
      </c>
      <c r="C2985" s="19" t="n">
        <v>5</v>
      </c>
      <c r="D2985" s="19" t="n">
        <v>2028</v>
      </c>
      <c r="E2985" s="57" t="n">
        <v>3</v>
      </c>
      <c r="F2985" s="29">
        <f>ROUND(((SUMIFS(Calendar!$F$2:$F$9997,Calendar!$B$2:$B$9997,D2985,Calendar!$C$2:$C$9997,C2985)*INDEX(ForeCalc!$B$37:$Y$274,MATCH(_xlfn.CONCAT(H2985," ",I2985),ForeCalc!$A$37:$A$274,0),MATCH(_xlfn.CONCAT(B2985," ",E2985),ForeCalc!$B$36:$Y$36,0))))*VLOOKUP(A2985,Calendar!$A$2:$H$9997,8,FALSE),0)</f>
        <v/>
      </c>
      <c r="G2985" s="29">
        <f>VLOOKUP(A2985,Calendar!$A$1:$H$9997,6,FALSE)-F2985</f>
        <v/>
      </c>
      <c r="H2985" s="19" t="n">
        <v>3</v>
      </c>
      <c r="I2985" s="57" t="n">
        <v>2</v>
      </c>
    </row>
    <row r="2986">
      <c r="A2986" s="62" t="n">
        <v>46905</v>
      </c>
      <c r="B2986" s="3" t="inlineStr">
        <is>
          <t>Week</t>
        </is>
      </c>
      <c r="C2986" s="19" t="n">
        <v>6</v>
      </c>
      <c r="D2986" s="19" t="n">
        <v>2028</v>
      </c>
      <c r="E2986" s="57" t="n">
        <v>3</v>
      </c>
      <c r="F2986" s="29">
        <f>ROUND(((SUMIFS(Calendar!$F$2:$F$9997,Calendar!$B$2:$B$9997,D2986,Calendar!$C$2:$C$9997,C2986)*INDEX(ForeCalc!$B$37:$Y$274,MATCH(_xlfn.CONCAT(H2986," ",I2986),ForeCalc!$A$37:$A$274,0),MATCH(_xlfn.CONCAT(B2986," ",E2986),ForeCalc!$B$36:$Y$36,0))))*VLOOKUP(A2986,Calendar!$A$2:$H$9997,8,FALSE),0)</f>
        <v/>
      </c>
      <c r="G2986" s="29">
        <f>VLOOKUP(A2986,Calendar!$A$1:$H$9997,6,FALSE)-F2986</f>
        <v/>
      </c>
      <c r="H2986" s="19" t="n">
        <v>3</v>
      </c>
      <c r="I2986" s="57" t="n">
        <v>3</v>
      </c>
    </row>
    <row r="2987">
      <c r="A2987" s="62" t="n">
        <v>46906</v>
      </c>
      <c r="B2987" s="3" t="inlineStr">
        <is>
          <t>Week</t>
        </is>
      </c>
      <c r="C2987" s="19" t="n">
        <v>6</v>
      </c>
      <c r="D2987" s="19" t="n">
        <v>2028</v>
      </c>
      <c r="E2987" s="57" t="n">
        <v>3</v>
      </c>
      <c r="F2987" s="29">
        <f>ROUND(((SUMIFS(Calendar!$F$2:$F$9997,Calendar!$B$2:$B$9997,D2987,Calendar!$C$2:$C$9997,C2987)*INDEX(ForeCalc!$B$37:$Y$274,MATCH(_xlfn.CONCAT(H2987," ",I2987),ForeCalc!$A$37:$A$274,0),MATCH(_xlfn.CONCAT(B2987," ",E2987),ForeCalc!$B$36:$Y$36,0))))*VLOOKUP(A2987,Calendar!$A$2:$H$9997,8,FALSE),0)</f>
        <v/>
      </c>
      <c r="G2987" s="29">
        <f>VLOOKUP(A2987,Calendar!$A$1:$H$9997,6,FALSE)-F2987</f>
        <v/>
      </c>
      <c r="H2987" s="19" t="n">
        <v>3</v>
      </c>
      <c r="I2987" s="57" t="n">
        <v>3</v>
      </c>
    </row>
    <row r="2988">
      <c r="A2988" s="62" t="n">
        <v>46907</v>
      </c>
      <c r="B2988" s="3" t="inlineStr">
        <is>
          <t>Sat</t>
        </is>
      </c>
      <c r="C2988" s="19" t="n">
        <v>6</v>
      </c>
      <c r="D2988" s="19" t="n">
        <v>2028</v>
      </c>
      <c r="E2988" s="57" t="n">
        <v>3</v>
      </c>
      <c r="F2988" s="29">
        <f>ROUND(((SUMIFS(Calendar!$F$2:$F$9997,Calendar!$B$2:$B$9997,D2988,Calendar!$C$2:$C$9997,C2988)*INDEX(ForeCalc!$B$37:$Y$274,MATCH(_xlfn.CONCAT(H2988," ",I2988),ForeCalc!$A$37:$A$274,0),MATCH(_xlfn.CONCAT(B2988," ",E2988),ForeCalc!$B$36:$Y$36,0))))*VLOOKUP(A2988,Calendar!$A$2:$H$9997,8,FALSE),0)</f>
        <v/>
      </c>
      <c r="G2988" s="29">
        <f>VLOOKUP(A2988,Calendar!$A$1:$H$9997,6,FALSE)-F2988</f>
        <v/>
      </c>
      <c r="H2988" s="19" t="n">
        <v>3</v>
      </c>
      <c r="I2988" s="57" t="n">
        <v>3</v>
      </c>
    </row>
    <row r="2989">
      <c r="A2989" s="62" t="n">
        <v>46908</v>
      </c>
      <c r="B2989" s="3" t="inlineStr">
        <is>
          <t>Sun</t>
        </is>
      </c>
      <c r="C2989" s="19" t="n">
        <v>6</v>
      </c>
      <c r="D2989" s="19" t="n">
        <v>2028</v>
      </c>
      <c r="E2989" s="57" t="n">
        <v>3</v>
      </c>
      <c r="F2989" s="29">
        <f>ROUND(((SUMIFS(Calendar!$F$2:$F$9997,Calendar!$B$2:$B$9997,D2989,Calendar!$C$2:$C$9997,C2989)*INDEX(ForeCalc!$B$37:$Y$274,MATCH(_xlfn.CONCAT(H2989," ",I2989),ForeCalc!$A$37:$A$274,0),MATCH(_xlfn.CONCAT(B2989," ",E2989),ForeCalc!$B$36:$Y$36,0))))*VLOOKUP(A2989,Calendar!$A$2:$H$9997,8,FALSE),0)</f>
        <v/>
      </c>
      <c r="G2989" s="29">
        <f>VLOOKUP(A2989,Calendar!$A$1:$H$9997,6,FALSE)-F2989</f>
        <v/>
      </c>
      <c r="H2989" s="19" t="n">
        <v>3</v>
      </c>
      <c r="I2989" s="57" t="n">
        <v>3</v>
      </c>
    </row>
    <row r="2990">
      <c r="A2990" s="62" t="n">
        <v>46909</v>
      </c>
      <c r="B2990" s="3" t="inlineStr">
        <is>
          <t>Week</t>
        </is>
      </c>
      <c r="C2990" s="19" t="n">
        <v>6</v>
      </c>
      <c r="D2990" s="19" t="n">
        <v>2028</v>
      </c>
      <c r="E2990" s="57" t="n">
        <v>3</v>
      </c>
      <c r="F2990" s="29">
        <f>ROUND(((SUMIFS(Calendar!$F$2:$F$9997,Calendar!$B$2:$B$9997,D2990,Calendar!$C$2:$C$9997,C2990)*INDEX(ForeCalc!$B$37:$Y$274,MATCH(_xlfn.CONCAT(H2990," ",I2990),ForeCalc!$A$37:$A$274,0),MATCH(_xlfn.CONCAT(B2990," ",E2990),ForeCalc!$B$36:$Y$36,0))))*VLOOKUP(A2990,Calendar!$A$2:$H$9997,8,FALSE),0)</f>
        <v/>
      </c>
      <c r="G2990" s="29">
        <f>VLOOKUP(A2990,Calendar!$A$1:$H$9997,6,FALSE)-F2990</f>
        <v/>
      </c>
      <c r="H2990" s="19" t="n">
        <v>3</v>
      </c>
      <c r="I2990" s="57" t="n">
        <v>3</v>
      </c>
    </row>
    <row r="2991">
      <c r="A2991" s="62" t="n">
        <v>46910</v>
      </c>
      <c r="B2991" s="3" t="inlineStr">
        <is>
          <t>Week</t>
        </is>
      </c>
      <c r="C2991" s="19" t="n">
        <v>6</v>
      </c>
      <c r="D2991" s="19" t="n">
        <v>2028</v>
      </c>
      <c r="E2991" s="57" t="n">
        <v>3</v>
      </c>
      <c r="F2991" s="29">
        <f>ROUND(((SUMIFS(Calendar!$F$2:$F$9997,Calendar!$B$2:$B$9997,D2991,Calendar!$C$2:$C$9997,C2991)*INDEX(ForeCalc!$B$37:$Y$274,MATCH(_xlfn.CONCAT(H2991," ",I2991),ForeCalc!$A$37:$A$274,0),MATCH(_xlfn.CONCAT(B2991," ",E2991),ForeCalc!$B$36:$Y$36,0))))*VLOOKUP(A2991,Calendar!$A$2:$H$9997,8,FALSE),0)</f>
        <v/>
      </c>
      <c r="G2991" s="29">
        <f>VLOOKUP(A2991,Calendar!$A$1:$H$9997,6,FALSE)-F2991</f>
        <v/>
      </c>
      <c r="H2991" s="19" t="n">
        <v>3</v>
      </c>
      <c r="I2991" s="57" t="n">
        <v>3</v>
      </c>
    </row>
    <row r="2992">
      <c r="A2992" s="62" t="n">
        <v>46911</v>
      </c>
      <c r="B2992" s="3" t="inlineStr">
        <is>
          <t>Week</t>
        </is>
      </c>
      <c r="C2992" s="19" t="n">
        <v>6</v>
      </c>
      <c r="D2992" s="19" t="n">
        <v>2028</v>
      </c>
      <c r="E2992" s="57" t="n">
        <v>3</v>
      </c>
      <c r="F2992" s="29">
        <f>ROUND(((SUMIFS(Calendar!$F$2:$F$9997,Calendar!$B$2:$B$9997,D2992,Calendar!$C$2:$C$9997,C2992)*INDEX(ForeCalc!$B$37:$Y$274,MATCH(_xlfn.CONCAT(H2992," ",I2992),ForeCalc!$A$37:$A$274,0),MATCH(_xlfn.CONCAT(B2992," ",E2992),ForeCalc!$B$36:$Y$36,0))))*VLOOKUP(A2992,Calendar!$A$2:$H$9997,8,FALSE),0)</f>
        <v/>
      </c>
      <c r="G2992" s="29">
        <f>VLOOKUP(A2992,Calendar!$A$1:$H$9997,6,FALSE)-F2992</f>
        <v/>
      </c>
      <c r="H2992" s="19" t="n">
        <v>3</v>
      </c>
      <c r="I2992" s="57" t="n">
        <v>3</v>
      </c>
    </row>
    <row r="2993">
      <c r="A2993" s="62" t="n">
        <v>46912</v>
      </c>
      <c r="B2993" s="3" t="inlineStr">
        <is>
          <t>Week</t>
        </is>
      </c>
      <c r="C2993" s="19" t="n">
        <v>6</v>
      </c>
      <c r="D2993" s="19" t="n">
        <v>2028</v>
      </c>
      <c r="E2993" s="57" t="n">
        <v>3</v>
      </c>
      <c r="F2993" s="29">
        <f>ROUND(((SUMIFS(Calendar!$F$2:$F$9997,Calendar!$B$2:$B$9997,D2993,Calendar!$C$2:$C$9997,C2993)*INDEX(ForeCalc!$B$37:$Y$274,MATCH(_xlfn.CONCAT(H2993," ",I2993),ForeCalc!$A$37:$A$274,0),MATCH(_xlfn.CONCAT(B2993," ",E2993),ForeCalc!$B$36:$Y$36,0))))*VLOOKUP(A2993,Calendar!$A$2:$H$9997,8,FALSE),0)</f>
        <v/>
      </c>
      <c r="G2993" s="29">
        <f>VLOOKUP(A2993,Calendar!$A$1:$H$9997,6,FALSE)-F2993</f>
        <v/>
      </c>
      <c r="H2993" s="19" t="n">
        <v>3</v>
      </c>
      <c r="I2993" s="57" t="n">
        <v>3</v>
      </c>
    </row>
    <row r="2994">
      <c r="A2994" s="62" t="n">
        <v>46913</v>
      </c>
      <c r="B2994" s="3" t="inlineStr">
        <is>
          <t>Week</t>
        </is>
      </c>
      <c r="C2994" s="19" t="n">
        <v>6</v>
      </c>
      <c r="D2994" s="19" t="n">
        <v>2028</v>
      </c>
      <c r="E2994" s="57" t="n">
        <v>3</v>
      </c>
      <c r="F2994" s="29">
        <f>ROUND(((SUMIFS(Calendar!$F$2:$F$9997,Calendar!$B$2:$B$9997,D2994,Calendar!$C$2:$C$9997,C2994)*INDEX(ForeCalc!$B$37:$Y$274,MATCH(_xlfn.CONCAT(H2994," ",I2994),ForeCalc!$A$37:$A$274,0),MATCH(_xlfn.CONCAT(B2994," ",E2994),ForeCalc!$B$36:$Y$36,0))))*VLOOKUP(A2994,Calendar!$A$2:$H$9997,8,FALSE),0)</f>
        <v/>
      </c>
      <c r="G2994" s="29">
        <f>VLOOKUP(A2994,Calendar!$A$1:$H$9997,6,FALSE)-F2994</f>
        <v/>
      </c>
      <c r="H2994" s="19" t="n">
        <v>3</v>
      </c>
      <c r="I2994" s="57" t="n">
        <v>3</v>
      </c>
    </row>
    <row r="2995">
      <c r="A2995" s="62" t="n">
        <v>46914</v>
      </c>
      <c r="B2995" s="3" t="inlineStr">
        <is>
          <t>Sat</t>
        </is>
      </c>
      <c r="C2995" s="19" t="n">
        <v>6</v>
      </c>
      <c r="D2995" s="19" t="n">
        <v>2028</v>
      </c>
      <c r="E2995" s="57" t="n">
        <v>3</v>
      </c>
      <c r="F2995" s="29">
        <f>ROUND(((SUMIFS(Calendar!$F$2:$F$9997,Calendar!$B$2:$B$9997,D2995,Calendar!$C$2:$C$9997,C2995)*INDEX(ForeCalc!$B$37:$Y$274,MATCH(_xlfn.CONCAT(H2995," ",I2995),ForeCalc!$A$37:$A$274,0),MATCH(_xlfn.CONCAT(B2995," ",E2995),ForeCalc!$B$36:$Y$36,0))))*VLOOKUP(A2995,Calendar!$A$2:$H$9997,8,FALSE),0)</f>
        <v/>
      </c>
      <c r="G2995" s="29">
        <f>VLOOKUP(A2995,Calendar!$A$1:$H$9997,6,FALSE)-F2995</f>
        <v/>
      </c>
      <c r="H2995" s="19" t="n">
        <v>3</v>
      </c>
      <c r="I2995" s="57" t="n">
        <v>3</v>
      </c>
    </row>
    <row r="2996">
      <c r="A2996" s="62" t="n">
        <v>46915</v>
      </c>
      <c r="B2996" s="3" t="inlineStr">
        <is>
          <t>Sun</t>
        </is>
      </c>
      <c r="C2996" s="19" t="n">
        <v>6</v>
      </c>
      <c r="D2996" s="19" t="n">
        <v>2028</v>
      </c>
      <c r="E2996" s="57" t="n">
        <v>3</v>
      </c>
      <c r="F2996" s="29">
        <f>ROUND(((SUMIFS(Calendar!$F$2:$F$9997,Calendar!$B$2:$B$9997,D2996,Calendar!$C$2:$C$9997,C2996)*INDEX(ForeCalc!$B$37:$Y$274,MATCH(_xlfn.CONCAT(H2996," ",I2996),ForeCalc!$A$37:$A$274,0),MATCH(_xlfn.CONCAT(B2996," ",E2996),ForeCalc!$B$36:$Y$36,0))))*VLOOKUP(A2996,Calendar!$A$2:$H$9997,8,FALSE),0)</f>
        <v/>
      </c>
      <c r="G2996" s="29">
        <f>VLOOKUP(A2996,Calendar!$A$1:$H$9997,6,FALSE)-F2996</f>
        <v/>
      </c>
      <c r="H2996" s="19" t="n">
        <v>3</v>
      </c>
      <c r="I2996" s="57" t="n">
        <v>3</v>
      </c>
    </row>
    <row r="2997">
      <c r="A2997" s="62" t="n">
        <v>46916</v>
      </c>
      <c r="B2997" s="3" t="inlineStr">
        <is>
          <t>Week</t>
        </is>
      </c>
      <c r="C2997" s="19" t="n">
        <v>6</v>
      </c>
      <c r="D2997" s="19" t="n">
        <v>2028</v>
      </c>
      <c r="E2997" s="57" t="n">
        <v>3</v>
      </c>
      <c r="F2997" s="29">
        <f>ROUND(((SUMIFS(Calendar!$F$2:$F$9997,Calendar!$B$2:$B$9997,D2997,Calendar!$C$2:$C$9997,C2997)*INDEX(ForeCalc!$B$37:$Y$274,MATCH(_xlfn.CONCAT(H2997," ",I2997),ForeCalc!$A$37:$A$274,0),MATCH(_xlfn.CONCAT(B2997," ",E2997),ForeCalc!$B$36:$Y$36,0))))*VLOOKUP(A2997,Calendar!$A$2:$H$9997,8,FALSE),0)</f>
        <v/>
      </c>
      <c r="G2997" s="29">
        <f>VLOOKUP(A2997,Calendar!$A$1:$H$9997,6,FALSE)-F2997</f>
        <v/>
      </c>
      <c r="H2997" s="19" t="n">
        <v>3</v>
      </c>
      <c r="I2997" s="57" t="n">
        <v>3</v>
      </c>
    </row>
    <row r="2998">
      <c r="A2998" s="62" t="n">
        <v>46917</v>
      </c>
      <c r="B2998" s="3" t="inlineStr">
        <is>
          <t>Week</t>
        </is>
      </c>
      <c r="C2998" s="19" t="n">
        <v>6</v>
      </c>
      <c r="D2998" s="19" t="n">
        <v>2028</v>
      </c>
      <c r="E2998" s="57" t="n">
        <v>3</v>
      </c>
      <c r="F2998" s="29">
        <f>ROUND(((SUMIFS(Calendar!$F$2:$F$9997,Calendar!$B$2:$B$9997,D2998,Calendar!$C$2:$C$9997,C2998)*INDEX(ForeCalc!$B$37:$Y$274,MATCH(_xlfn.CONCAT(H2998," ",I2998),ForeCalc!$A$37:$A$274,0),MATCH(_xlfn.CONCAT(B2998," ",E2998),ForeCalc!$B$36:$Y$36,0))))*VLOOKUP(A2998,Calendar!$A$2:$H$9997,8,FALSE),0)</f>
        <v/>
      </c>
      <c r="G2998" s="29">
        <f>VLOOKUP(A2998,Calendar!$A$1:$H$9997,6,FALSE)-F2998</f>
        <v/>
      </c>
      <c r="H2998" s="19" t="n">
        <v>3</v>
      </c>
      <c r="I2998" s="57" t="n">
        <v>3</v>
      </c>
    </row>
    <row r="2999">
      <c r="A2999" s="62" t="n">
        <v>46918</v>
      </c>
      <c r="B2999" s="3" t="inlineStr">
        <is>
          <t>Week</t>
        </is>
      </c>
      <c r="C2999" s="19" t="n">
        <v>6</v>
      </c>
      <c r="D2999" s="19" t="n">
        <v>2028</v>
      </c>
      <c r="E2999" s="57" t="n">
        <v>3</v>
      </c>
      <c r="F2999" s="29">
        <f>ROUND(((SUMIFS(Calendar!$F$2:$F$9997,Calendar!$B$2:$B$9997,D2999,Calendar!$C$2:$C$9997,C2999)*INDEX(ForeCalc!$B$37:$Y$274,MATCH(_xlfn.CONCAT(H2999," ",I2999),ForeCalc!$A$37:$A$274,0),MATCH(_xlfn.CONCAT(B2999," ",E2999),ForeCalc!$B$36:$Y$36,0))))*VLOOKUP(A2999,Calendar!$A$2:$H$9997,8,FALSE),0)</f>
        <v/>
      </c>
      <c r="G2999" s="29">
        <f>VLOOKUP(A2999,Calendar!$A$1:$H$9997,6,FALSE)-F2999</f>
        <v/>
      </c>
      <c r="H2999" s="19" t="n">
        <v>3</v>
      </c>
      <c r="I2999" s="57" t="n">
        <v>3</v>
      </c>
    </row>
    <row r="3000">
      <c r="A3000" s="62" t="n">
        <v>46919</v>
      </c>
      <c r="B3000" s="3" t="inlineStr">
        <is>
          <t>Week</t>
        </is>
      </c>
      <c r="C3000" s="19" t="n">
        <v>6</v>
      </c>
      <c r="D3000" s="19" t="n">
        <v>2028</v>
      </c>
      <c r="E3000" s="57" t="n">
        <v>3</v>
      </c>
      <c r="F3000" s="29">
        <f>ROUND(((SUMIFS(Calendar!$F$2:$F$9997,Calendar!$B$2:$B$9997,D3000,Calendar!$C$2:$C$9997,C3000)*INDEX(ForeCalc!$B$37:$Y$274,MATCH(_xlfn.CONCAT(H3000," ",I3000),ForeCalc!$A$37:$A$274,0),MATCH(_xlfn.CONCAT(B3000," ",E3000),ForeCalc!$B$36:$Y$36,0))))*VLOOKUP(A3000,Calendar!$A$2:$H$9997,8,FALSE),0)</f>
        <v/>
      </c>
      <c r="G3000" s="29">
        <f>VLOOKUP(A3000,Calendar!$A$1:$H$9997,6,FALSE)-F3000</f>
        <v/>
      </c>
      <c r="H3000" s="19" t="n">
        <v>3</v>
      </c>
      <c r="I3000" s="57" t="n">
        <v>3</v>
      </c>
    </row>
    <row r="3001">
      <c r="A3001" s="62" t="n">
        <v>46920</v>
      </c>
      <c r="B3001" s="3" t="inlineStr">
        <is>
          <t>Week</t>
        </is>
      </c>
      <c r="C3001" s="19" t="n">
        <v>6</v>
      </c>
      <c r="D3001" s="19" t="n">
        <v>2028</v>
      </c>
      <c r="E3001" s="57" t="n">
        <v>3</v>
      </c>
      <c r="F3001" s="29">
        <f>ROUND(((SUMIFS(Calendar!$F$2:$F$9997,Calendar!$B$2:$B$9997,D3001,Calendar!$C$2:$C$9997,C3001)*INDEX(ForeCalc!$B$37:$Y$274,MATCH(_xlfn.CONCAT(H3001," ",I3001),ForeCalc!$A$37:$A$274,0),MATCH(_xlfn.CONCAT(B3001," ",E3001),ForeCalc!$B$36:$Y$36,0))))*VLOOKUP(A3001,Calendar!$A$2:$H$9997,8,FALSE),0)</f>
        <v/>
      </c>
      <c r="G3001" s="29">
        <f>VLOOKUP(A3001,Calendar!$A$1:$H$9997,6,FALSE)-F3001</f>
        <v/>
      </c>
      <c r="H3001" s="19" t="n">
        <v>3</v>
      </c>
      <c r="I3001" s="57" t="n">
        <v>3</v>
      </c>
    </row>
    <row r="3002">
      <c r="A3002" s="62" t="n">
        <v>46921</v>
      </c>
      <c r="B3002" s="3" t="inlineStr">
        <is>
          <t>Sat</t>
        </is>
      </c>
      <c r="C3002" s="19" t="n">
        <v>6</v>
      </c>
      <c r="D3002" s="19" t="n">
        <v>2028</v>
      </c>
      <c r="E3002" s="57" t="n">
        <v>3</v>
      </c>
      <c r="F3002" s="29">
        <f>ROUND(((SUMIFS(Calendar!$F$2:$F$9997,Calendar!$B$2:$B$9997,D3002,Calendar!$C$2:$C$9997,C3002)*INDEX(ForeCalc!$B$37:$Y$274,MATCH(_xlfn.CONCAT(H3002," ",I3002),ForeCalc!$A$37:$A$274,0),MATCH(_xlfn.CONCAT(B3002," ",E3002),ForeCalc!$B$36:$Y$36,0))))*VLOOKUP(A3002,Calendar!$A$2:$H$9997,8,FALSE),0)</f>
        <v/>
      </c>
      <c r="G3002" s="29">
        <f>VLOOKUP(A3002,Calendar!$A$1:$H$9997,6,FALSE)-F3002</f>
        <v/>
      </c>
      <c r="H3002" s="19" t="n">
        <v>3</v>
      </c>
      <c r="I3002" s="57" t="n">
        <v>3</v>
      </c>
    </row>
    <row r="3003">
      <c r="A3003" s="62" t="n">
        <v>46922</v>
      </c>
      <c r="B3003" s="3" t="inlineStr">
        <is>
          <t>Sun</t>
        </is>
      </c>
      <c r="C3003" s="19" t="n">
        <v>6</v>
      </c>
      <c r="D3003" s="19" t="n">
        <v>2028</v>
      </c>
      <c r="E3003" s="57" t="n">
        <v>3</v>
      </c>
      <c r="F3003" s="29">
        <f>ROUND(((SUMIFS(Calendar!$F$2:$F$9997,Calendar!$B$2:$B$9997,D3003,Calendar!$C$2:$C$9997,C3003)*INDEX(ForeCalc!$B$37:$Y$274,MATCH(_xlfn.CONCAT(H3003," ",I3003),ForeCalc!$A$37:$A$274,0),MATCH(_xlfn.CONCAT(B3003," ",E3003),ForeCalc!$B$36:$Y$36,0))))*VLOOKUP(A3003,Calendar!$A$2:$H$9997,8,FALSE),0)</f>
        <v/>
      </c>
      <c r="G3003" s="29">
        <f>VLOOKUP(A3003,Calendar!$A$1:$H$9997,6,FALSE)-F3003</f>
        <v/>
      </c>
      <c r="H3003" s="19" t="n">
        <v>3</v>
      </c>
      <c r="I3003" s="57" t="n">
        <v>3</v>
      </c>
    </row>
    <row r="3004">
      <c r="A3004" s="62" t="n">
        <v>46923</v>
      </c>
      <c r="B3004" s="3" t="inlineStr">
        <is>
          <t>Week</t>
        </is>
      </c>
      <c r="C3004" s="19" t="n">
        <v>6</v>
      </c>
      <c r="D3004" s="19" t="n">
        <v>2028</v>
      </c>
      <c r="E3004" s="57" t="n">
        <v>3</v>
      </c>
      <c r="F3004" s="29">
        <f>ROUND(((SUMIFS(Calendar!$F$2:$F$9997,Calendar!$B$2:$B$9997,D3004,Calendar!$C$2:$C$9997,C3004)*INDEX(ForeCalc!$B$37:$Y$274,MATCH(_xlfn.CONCAT(H3004," ",I3004),ForeCalc!$A$37:$A$274,0),MATCH(_xlfn.CONCAT(B3004," ",E3004),ForeCalc!$B$36:$Y$36,0))))*VLOOKUP(A3004,Calendar!$A$2:$H$9997,8,FALSE),0)</f>
        <v/>
      </c>
      <c r="G3004" s="29">
        <f>VLOOKUP(A3004,Calendar!$A$1:$H$9997,6,FALSE)-F3004</f>
        <v/>
      </c>
      <c r="H3004" s="19" t="n">
        <v>3</v>
      </c>
      <c r="I3004" s="57" t="n">
        <v>3</v>
      </c>
    </row>
    <row r="3005">
      <c r="A3005" s="62" t="n">
        <v>46924</v>
      </c>
      <c r="B3005" s="3" t="inlineStr">
        <is>
          <t>Week</t>
        </is>
      </c>
      <c r="C3005" s="19" t="n">
        <v>6</v>
      </c>
      <c r="D3005" s="19" t="n">
        <v>2028</v>
      </c>
      <c r="E3005" s="57" t="n">
        <v>3</v>
      </c>
      <c r="F3005" s="29">
        <f>ROUND(((SUMIFS(Calendar!$F$2:$F$9997,Calendar!$B$2:$B$9997,D3005,Calendar!$C$2:$C$9997,C3005)*INDEX(ForeCalc!$B$37:$Y$274,MATCH(_xlfn.CONCAT(H3005," ",I3005),ForeCalc!$A$37:$A$274,0),MATCH(_xlfn.CONCAT(B3005," ",E3005),ForeCalc!$B$36:$Y$36,0))))*VLOOKUP(A3005,Calendar!$A$2:$H$9997,8,FALSE),0)</f>
        <v/>
      </c>
      <c r="G3005" s="29">
        <f>VLOOKUP(A3005,Calendar!$A$1:$H$9997,6,FALSE)-F3005</f>
        <v/>
      </c>
      <c r="H3005" s="19" t="n">
        <v>3</v>
      </c>
      <c r="I3005" s="57" t="n">
        <v>3</v>
      </c>
    </row>
    <row r="3006">
      <c r="A3006" s="62" t="n">
        <v>46925</v>
      </c>
      <c r="B3006" s="3" t="inlineStr">
        <is>
          <t>Week</t>
        </is>
      </c>
      <c r="C3006" s="19" t="n">
        <v>6</v>
      </c>
      <c r="D3006" s="19" t="n">
        <v>2028</v>
      </c>
      <c r="E3006" s="57" t="n">
        <v>3</v>
      </c>
      <c r="F3006" s="29">
        <f>ROUND(((SUMIFS(Calendar!$F$2:$F$9997,Calendar!$B$2:$B$9997,D3006,Calendar!$C$2:$C$9997,C3006)*INDEX(ForeCalc!$B$37:$Y$274,MATCH(_xlfn.CONCAT(H3006," ",I3006),ForeCalc!$A$37:$A$274,0),MATCH(_xlfn.CONCAT(B3006," ",E3006),ForeCalc!$B$36:$Y$36,0))))*VLOOKUP(A3006,Calendar!$A$2:$H$9997,8,FALSE),0)</f>
        <v/>
      </c>
      <c r="G3006" s="29">
        <f>VLOOKUP(A3006,Calendar!$A$1:$H$9997,6,FALSE)-F3006</f>
        <v/>
      </c>
      <c r="H3006" s="19" t="n">
        <v>3</v>
      </c>
      <c r="I3006" s="57" t="n">
        <v>3</v>
      </c>
    </row>
    <row r="3007">
      <c r="A3007" s="62" t="n">
        <v>46926</v>
      </c>
      <c r="B3007" s="3" t="inlineStr">
        <is>
          <t>Week</t>
        </is>
      </c>
      <c r="C3007" s="19" t="n">
        <v>6</v>
      </c>
      <c r="D3007" s="19" t="n">
        <v>2028</v>
      </c>
      <c r="E3007" s="57" t="n">
        <v>3</v>
      </c>
      <c r="F3007" s="29">
        <f>ROUND(((SUMIFS(Calendar!$F$2:$F$9997,Calendar!$B$2:$B$9997,D3007,Calendar!$C$2:$C$9997,C3007)*INDEX(ForeCalc!$B$37:$Y$274,MATCH(_xlfn.CONCAT(H3007," ",I3007),ForeCalc!$A$37:$A$274,0),MATCH(_xlfn.CONCAT(B3007," ",E3007),ForeCalc!$B$36:$Y$36,0))))*VLOOKUP(A3007,Calendar!$A$2:$H$9997,8,FALSE),0)</f>
        <v/>
      </c>
      <c r="G3007" s="29">
        <f>VLOOKUP(A3007,Calendar!$A$1:$H$9997,6,FALSE)-F3007</f>
        <v/>
      </c>
      <c r="H3007" s="19" t="n">
        <v>3</v>
      </c>
      <c r="I3007" s="57" t="n">
        <v>3</v>
      </c>
    </row>
    <row r="3008">
      <c r="A3008" s="62" t="n">
        <v>46927</v>
      </c>
      <c r="B3008" s="3" t="inlineStr">
        <is>
          <t>Week</t>
        </is>
      </c>
      <c r="C3008" s="19" t="n">
        <v>6</v>
      </c>
      <c r="D3008" s="19" t="n">
        <v>2028</v>
      </c>
      <c r="E3008" s="57" t="n">
        <v>3</v>
      </c>
      <c r="F3008" s="29">
        <f>ROUND(((SUMIFS(Calendar!$F$2:$F$9997,Calendar!$B$2:$B$9997,D3008,Calendar!$C$2:$C$9997,C3008)*INDEX(ForeCalc!$B$37:$Y$274,MATCH(_xlfn.CONCAT(H3008," ",I3008),ForeCalc!$A$37:$A$274,0),MATCH(_xlfn.CONCAT(B3008," ",E3008),ForeCalc!$B$36:$Y$36,0))))*VLOOKUP(A3008,Calendar!$A$2:$H$9997,8,FALSE),0)</f>
        <v/>
      </c>
      <c r="G3008" s="29">
        <f>VLOOKUP(A3008,Calendar!$A$1:$H$9997,6,FALSE)-F3008</f>
        <v/>
      </c>
      <c r="H3008" s="19" t="n">
        <v>3</v>
      </c>
      <c r="I3008" s="57" t="n">
        <v>3</v>
      </c>
    </row>
    <row r="3009">
      <c r="A3009" s="62" t="n">
        <v>46928</v>
      </c>
      <c r="B3009" s="3" t="inlineStr">
        <is>
          <t>Sat</t>
        </is>
      </c>
      <c r="C3009" s="19" t="n">
        <v>6</v>
      </c>
      <c r="D3009" s="19" t="n">
        <v>2028</v>
      </c>
      <c r="E3009" s="57" t="n">
        <v>3</v>
      </c>
      <c r="F3009" s="29">
        <f>ROUND(((SUMIFS(Calendar!$F$2:$F$9997,Calendar!$B$2:$B$9997,D3009,Calendar!$C$2:$C$9997,C3009)*INDEX(ForeCalc!$B$37:$Y$274,MATCH(_xlfn.CONCAT(H3009," ",I3009),ForeCalc!$A$37:$A$274,0),MATCH(_xlfn.CONCAT(B3009," ",E3009),ForeCalc!$B$36:$Y$36,0))))*VLOOKUP(A3009,Calendar!$A$2:$H$9997,8,FALSE),0)</f>
        <v/>
      </c>
      <c r="G3009" s="29">
        <f>VLOOKUP(A3009,Calendar!$A$1:$H$9997,6,FALSE)-F3009</f>
        <v/>
      </c>
      <c r="H3009" s="19" t="n">
        <v>3</v>
      </c>
      <c r="I3009" s="57" t="n">
        <v>3</v>
      </c>
    </row>
    <row r="3010">
      <c r="A3010" s="62" t="n">
        <v>46929</v>
      </c>
      <c r="B3010" s="3" t="inlineStr">
        <is>
          <t>Sun</t>
        </is>
      </c>
      <c r="C3010" s="19" t="n">
        <v>6</v>
      </c>
      <c r="D3010" s="19" t="n">
        <v>2028</v>
      </c>
      <c r="E3010" s="57" t="n">
        <v>3</v>
      </c>
      <c r="F3010" s="29">
        <f>ROUND(((SUMIFS(Calendar!$F$2:$F$9997,Calendar!$B$2:$B$9997,D3010,Calendar!$C$2:$C$9997,C3010)*INDEX(ForeCalc!$B$37:$Y$274,MATCH(_xlfn.CONCAT(H3010," ",I3010),ForeCalc!$A$37:$A$274,0),MATCH(_xlfn.CONCAT(B3010," ",E3010),ForeCalc!$B$36:$Y$36,0))))*VLOOKUP(A3010,Calendar!$A$2:$H$9997,8,FALSE),0)</f>
        <v/>
      </c>
      <c r="G3010" s="29">
        <f>VLOOKUP(A3010,Calendar!$A$1:$H$9997,6,FALSE)-F3010</f>
        <v/>
      </c>
      <c r="H3010" s="19" t="n">
        <v>3</v>
      </c>
      <c r="I3010" s="57" t="n">
        <v>3</v>
      </c>
    </row>
    <row r="3011">
      <c r="A3011" s="62" t="n">
        <v>46930</v>
      </c>
      <c r="B3011" s="3" t="inlineStr">
        <is>
          <t>Week</t>
        </is>
      </c>
      <c r="C3011" s="19" t="n">
        <v>6</v>
      </c>
      <c r="D3011" s="19" t="n">
        <v>2028</v>
      </c>
      <c r="E3011" s="57" t="n">
        <v>3</v>
      </c>
      <c r="F3011" s="29">
        <f>ROUND(((SUMIFS(Calendar!$F$2:$F$9997,Calendar!$B$2:$B$9997,D3011,Calendar!$C$2:$C$9997,C3011)*INDEX(ForeCalc!$B$37:$Y$274,MATCH(_xlfn.CONCAT(H3011," ",I3011),ForeCalc!$A$37:$A$274,0),MATCH(_xlfn.CONCAT(B3011," ",E3011),ForeCalc!$B$36:$Y$36,0))))*VLOOKUP(A3011,Calendar!$A$2:$H$9997,8,FALSE),0)</f>
        <v/>
      </c>
      <c r="G3011" s="29">
        <f>VLOOKUP(A3011,Calendar!$A$1:$H$9997,6,FALSE)-F3011</f>
        <v/>
      </c>
      <c r="H3011" s="19" t="n">
        <v>3</v>
      </c>
      <c r="I3011" s="57" t="n">
        <v>3</v>
      </c>
    </row>
    <row r="3012">
      <c r="A3012" s="62" t="n">
        <v>46931</v>
      </c>
      <c r="B3012" s="3" t="inlineStr">
        <is>
          <t>Week</t>
        </is>
      </c>
      <c r="C3012" s="19" t="n">
        <v>6</v>
      </c>
      <c r="D3012" s="19" t="n">
        <v>2028</v>
      </c>
      <c r="E3012" s="57" t="n">
        <v>3</v>
      </c>
      <c r="F3012" s="29">
        <f>ROUND(((SUMIFS(Calendar!$F$2:$F$9997,Calendar!$B$2:$B$9997,D3012,Calendar!$C$2:$C$9997,C3012)*INDEX(ForeCalc!$B$37:$Y$274,MATCH(_xlfn.CONCAT(H3012," ",I3012),ForeCalc!$A$37:$A$274,0),MATCH(_xlfn.CONCAT(B3012," ",E3012),ForeCalc!$B$36:$Y$36,0))))*VLOOKUP(A3012,Calendar!$A$2:$H$9997,8,FALSE),0)</f>
        <v/>
      </c>
      <c r="G3012" s="29">
        <f>VLOOKUP(A3012,Calendar!$A$1:$H$9997,6,FALSE)-F3012</f>
        <v/>
      </c>
      <c r="H3012" s="19" t="n">
        <v>3</v>
      </c>
      <c r="I3012" s="57" t="n">
        <v>3</v>
      </c>
    </row>
    <row r="3013">
      <c r="A3013" s="62" t="n">
        <v>46932</v>
      </c>
      <c r="B3013" s="3" t="inlineStr">
        <is>
          <t>Week</t>
        </is>
      </c>
      <c r="C3013" s="19" t="n">
        <v>6</v>
      </c>
      <c r="D3013" s="19" t="n">
        <v>2028</v>
      </c>
      <c r="E3013" s="57" t="n">
        <v>3</v>
      </c>
      <c r="F3013" s="29">
        <f>ROUND(((SUMIFS(Calendar!$F$2:$F$9997,Calendar!$B$2:$B$9997,D3013,Calendar!$C$2:$C$9997,C3013)*INDEX(ForeCalc!$B$37:$Y$274,MATCH(_xlfn.CONCAT(H3013," ",I3013),ForeCalc!$A$37:$A$274,0),MATCH(_xlfn.CONCAT(B3013," ",E3013),ForeCalc!$B$36:$Y$36,0))))*VLOOKUP(A3013,Calendar!$A$2:$H$9997,8,FALSE),0)</f>
        <v/>
      </c>
      <c r="G3013" s="29">
        <f>VLOOKUP(A3013,Calendar!$A$1:$H$9997,6,FALSE)-F3013</f>
        <v/>
      </c>
      <c r="H3013" s="19" t="n">
        <v>3</v>
      </c>
      <c r="I3013" s="57" t="n">
        <v>3</v>
      </c>
    </row>
    <row r="3014">
      <c r="A3014" s="62" t="n">
        <v>46933</v>
      </c>
      <c r="B3014" s="3" t="inlineStr">
        <is>
          <t>Week</t>
        </is>
      </c>
      <c r="C3014" s="19" t="n">
        <v>6</v>
      </c>
      <c r="D3014" s="19" t="n">
        <v>2028</v>
      </c>
      <c r="E3014" s="57" t="n">
        <v>3</v>
      </c>
      <c r="F3014" s="29">
        <f>ROUND(((SUMIFS(Calendar!$F$2:$F$9997,Calendar!$B$2:$B$9997,D3014,Calendar!$C$2:$C$9997,C3014)*INDEX(ForeCalc!$B$37:$Y$274,MATCH(_xlfn.CONCAT(H3014," ",I3014),ForeCalc!$A$37:$A$274,0),MATCH(_xlfn.CONCAT(B3014," ",E3014),ForeCalc!$B$36:$Y$36,0))))*VLOOKUP(A3014,Calendar!$A$2:$H$9997,8,FALSE),0)</f>
        <v/>
      </c>
      <c r="G3014" s="29">
        <f>VLOOKUP(A3014,Calendar!$A$1:$H$9997,6,FALSE)-F3014</f>
        <v/>
      </c>
      <c r="H3014" s="19" t="n">
        <v>3</v>
      </c>
      <c r="I3014" s="57" t="n">
        <v>3</v>
      </c>
    </row>
    <row r="3015">
      <c r="A3015" s="62" t="n">
        <v>46934</v>
      </c>
      <c r="B3015" s="3" t="inlineStr">
        <is>
          <t>Week</t>
        </is>
      </c>
      <c r="C3015" s="19" t="n">
        <v>6</v>
      </c>
      <c r="D3015" s="19" t="n">
        <v>2028</v>
      </c>
      <c r="E3015" s="57" t="n">
        <v>3</v>
      </c>
      <c r="F3015" s="29">
        <f>ROUND(((SUMIFS(Calendar!$F$2:$F$9997,Calendar!$B$2:$B$9997,D3015,Calendar!$C$2:$C$9997,C3015)*INDEX(ForeCalc!$B$37:$Y$274,MATCH(_xlfn.CONCAT(H3015," ",I3015),ForeCalc!$A$37:$A$274,0),MATCH(_xlfn.CONCAT(B3015," ",E3015),ForeCalc!$B$36:$Y$36,0))))*VLOOKUP(A3015,Calendar!$A$2:$H$9997,8,FALSE),0)</f>
        <v/>
      </c>
      <c r="G3015" s="29">
        <f>VLOOKUP(A3015,Calendar!$A$1:$H$9997,6,FALSE)-F3015</f>
        <v/>
      </c>
      <c r="H3015" s="19" t="n">
        <v>3</v>
      </c>
      <c r="I3015" s="57" t="n">
        <v>3</v>
      </c>
    </row>
    <row r="3016">
      <c r="A3016" s="62" t="n">
        <v>46935</v>
      </c>
      <c r="B3016" s="3" t="inlineStr">
        <is>
          <t>Sat</t>
        </is>
      </c>
      <c r="C3016" s="19" t="n">
        <v>7</v>
      </c>
      <c r="D3016" s="19" t="n">
        <v>2028</v>
      </c>
      <c r="E3016" s="57" t="n">
        <v>3</v>
      </c>
      <c r="F3016" s="29">
        <f>ROUND(((SUMIFS(Calendar!$F$2:$F$9997,Calendar!$B$2:$B$9997,D3016,Calendar!$C$2:$C$9997,C3016)*INDEX(ForeCalc!$B$37:$Y$274,MATCH(_xlfn.CONCAT(H3016," ",I3016),ForeCalc!$A$37:$A$274,0),MATCH(_xlfn.CONCAT(B3016," ",E3016),ForeCalc!$B$36:$Y$36,0))))*VLOOKUP(A3016,Calendar!$A$2:$H$9997,8,FALSE),0)</f>
        <v/>
      </c>
      <c r="G3016" s="29">
        <f>VLOOKUP(A3016,Calendar!$A$1:$H$9997,6,FALSE)-F3016</f>
        <v/>
      </c>
      <c r="H3016" s="19" t="n">
        <v>3</v>
      </c>
      <c r="I3016" s="57" t="n">
        <v>4</v>
      </c>
    </row>
    <row r="3017">
      <c r="A3017" s="62" t="n">
        <v>46936</v>
      </c>
      <c r="B3017" s="3" t="inlineStr">
        <is>
          <t>Sun</t>
        </is>
      </c>
      <c r="C3017" s="19" t="n">
        <v>7</v>
      </c>
      <c r="D3017" s="19" t="n">
        <v>2028</v>
      </c>
      <c r="E3017" s="57" t="n">
        <v>3</v>
      </c>
      <c r="F3017" s="29">
        <f>ROUND(((SUMIFS(Calendar!$F$2:$F$9997,Calendar!$B$2:$B$9997,D3017,Calendar!$C$2:$C$9997,C3017)*INDEX(ForeCalc!$B$37:$Y$274,MATCH(_xlfn.CONCAT(H3017," ",I3017),ForeCalc!$A$37:$A$274,0),MATCH(_xlfn.CONCAT(B3017," ",E3017),ForeCalc!$B$36:$Y$36,0))))*VLOOKUP(A3017,Calendar!$A$2:$H$9997,8,FALSE),0)</f>
        <v/>
      </c>
      <c r="G3017" s="29">
        <f>VLOOKUP(A3017,Calendar!$A$1:$H$9997,6,FALSE)-F3017</f>
        <v/>
      </c>
      <c r="H3017" s="19" t="n">
        <v>3</v>
      </c>
      <c r="I3017" s="57" t="n">
        <v>4</v>
      </c>
    </row>
    <row r="3018">
      <c r="A3018" s="62" t="n">
        <v>46937</v>
      </c>
      <c r="B3018" s="3" t="inlineStr">
        <is>
          <t>Week</t>
        </is>
      </c>
      <c r="C3018" s="19" t="n">
        <v>7</v>
      </c>
      <c r="D3018" s="19" t="n">
        <v>2028</v>
      </c>
      <c r="E3018" s="57" t="n">
        <v>3</v>
      </c>
      <c r="F3018" s="29">
        <f>ROUND(((SUMIFS(Calendar!$F$2:$F$9997,Calendar!$B$2:$B$9997,D3018,Calendar!$C$2:$C$9997,C3018)*INDEX(ForeCalc!$B$37:$Y$274,MATCH(_xlfn.CONCAT(H3018," ",I3018),ForeCalc!$A$37:$A$274,0),MATCH(_xlfn.CONCAT(B3018," ",E3018),ForeCalc!$B$36:$Y$36,0))))*VLOOKUP(A3018,Calendar!$A$2:$H$9997,8,FALSE),0)</f>
        <v/>
      </c>
      <c r="G3018" s="29">
        <f>VLOOKUP(A3018,Calendar!$A$1:$H$9997,6,FALSE)-F3018</f>
        <v/>
      </c>
      <c r="H3018" s="19" t="n">
        <v>3</v>
      </c>
      <c r="I3018" s="57" t="n">
        <v>4</v>
      </c>
    </row>
    <row r="3019">
      <c r="A3019" s="62" t="n">
        <v>46938</v>
      </c>
      <c r="B3019" s="3" t="inlineStr">
        <is>
          <t>Week</t>
        </is>
      </c>
      <c r="C3019" s="19" t="n">
        <v>7</v>
      </c>
      <c r="D3019" s="19" t="n">
        <v>2028</v>
      </c>
      <c r="E3019" s="57" t="n">
        <v>3</v>
      </c>
      <c r="F3019" s="29">
        <f>ROUND(((SUMIFS(Calendar!$F$2:$F$9997,Calendar!$B$2:$B$9997,D3019,Calendar!$C$2:$C$9997,C3019)*INDEX(ForeCalc!$B$37:$Y$274,MATCH(_xlfn.CONCAT(H3019," ",I3019),ForeCalc!$A$37:$A$274,0),MATCH(_xlfn.CONCAT(B3019," ",E3019),ForeCalc!$B$36:$Y$36,0))))*VLOOKUP(A3019,Calendar!$A$2:$H$9997,8,FALSE),0)</f>
        <v/>
      </c>
      <c r="G3019" s="29">
        <f>VLOOKUP(A3019,Calendar!$A$1:$H$9997,6,FALSE)-F3019</f>
        <v/>
      </c>
      <c r="H3019" s="19" t="n">
        <v>3</v>
      </c>
      <c r="I3019" s="57" t="n">
        <v>4</v>
      </c>
    </row>
    <row r="3020">
      <c r="A3020" s="62" t="n">
        <v>46939</v>
      </c>
      <c r="B3020" s="3" t="inlineStr">
        <is>
          <t>Week</t>
        </is>
      </c>
      <c r="C3020" s="19" t="n">
        <v>7</v>
      </c>
      <c r="D3020" s="19" t="n">
        <v>2028</v>
      </c>
      <c r="E3020" s="57" t="n">
        <v>3</v>
      </c>
      <c r="F3020" s="29">
        <f>ROUND(((SUMIFS(Calendar!$F$2:$F$9997,Calendar!$B$2:$B$9997,D3020,Calendar!$C$2:$C$9997,C3020)*INDEX(ForeCalc!$B$37:$Y$274,MATCH(_xlfn.CONCAT(H3020," ",I3020),ForeCalc!$A$37:$A$274,0),MATCH(_xlfn.CONCAT(B3020," ",E3020),ForeCalc!$B$36:$Y$36,0))))*VLOOKUP(A3020,Calendar!$A$2:$H$9997,8,FALSE),0)</f>
        <v/>
      </c>
      <c r="G3020" s="29">
        <f>VLOOKUP(A3020,Calendar!$A$1:$H$9997,6,FALSE)-F3020</f>
        <v/>
      </c>
      <c r="H3020" s="19" t="n">
        <v>3</v>
      </c>
      <c r="I3020" s="57" t="n">
        <v>4</v>
      </c>
    </row>
    <row r="3021">
      <c r="A3021" s="62" t="n">
        <v>46940</v>
      </c>
      <c r="B3021" s="3" t="inlineStr">
        <is>
          <t>Week</t>
        </is>
      </c>
      <c r="C3021" s="19" t="n">
        <v>7</v>
      </c>
      <c r="D3021" s="19" t="n">
        <v>2028</v>
      </c>
      <c r="E3021" s="57" t="n">
        <v>3</v>
      </c>
      <c r="F3021" s="29">
        <f>ROUND(((SUMIFS(Calendar!$F$2:$F$9997,Calendar!$B$2:$B$9997,D3021,Calendar!$C$2:$C$9997,C3021)*INDEX(ForeCalc!$B$37:$Y$274,MATCH(_xlfn.CONCAT(H3021," ",I3021),ForeCalc!$A$37:$A$274,0),MATCH(_xlfn.CONCAT(B3021," ",E3021),ForeCalc!$B$36:$Y$36,0))))*VLOOKUP(A3021,Calendar!$A$2:$H$9997,8,FALSE),0)</f>
        <v/>
      </c>
      <c r="G3021" s="29">
        <f>VLOOKUP(A3021,Calendar!$A$1:$H$9997,6,FALSE)-F3021</f>
        <v/>
      </c>
      <c r="H3021" s="19" t="n">
        <v>3</v>
      </c>
      <c r="I3021" s="57" t="n">
        <v>4</v>
      </c>
    </row>
    <row r="3022">
      <c r="A3022" s="62" t="n">
        <v>46941</v>
      </c>
      <c r="B3022" s="3" t="inlineStr">
        <is>
          <t>Week</t>
        </is>
      </c>
      <c r="C3022" s="19" t="n">
        <v>7</v>
      </c>
      <c r="D3022" s="19" t="n">
        <v>2028</v>
      </c>
      <c r="E3022" s="57" t="n">
        <v>3</v>
      </c>
      <c r="F3022" s="29">
        <f>ROUND(((SUMIFS(Calendar!$F$2:$F$9997,Calendar!$B$2:$B$9997,D3022,Calendar!$C$2:$C$9997,C3022)*INDEX(ForeCalc!$B$37:$Y$274,MATCH(_xlfn.CONCAT(H3022," ",I3022),ForeCalc!$A$37:$A$274,0),MATCH(_xlfn.CONCAT(B3022," ",E3022),ForeCalc!$B$36:$Y$36,0))))*VLOOKUP(A3022,Calendar!$A$2:$H$9997,8,FALSE),0)</f>
        <v/>
      </c>
      <c r="G3022" s="29">
        <f>VLOOKUP(A3022,Calendar!$A$1:$H$9997,6,FALSE)-F3022</f>
        <v/>
      </c>
      <c r="H3022" s="19" t="n">
        <v>3</v>
      </c>
      <c r="I3022" s="57" t="n">
        <v>4</v>
      </c>
    </row>
    <row r="3023">
      <c r="A3023" s="62" t="n">
        <v>46942</v>
      </c>
      <c r="B3023" s="3" t="inlineStr">
        <is>
          <t>Sat</t>
        </is>
      </c>
      <c r="C3023" s="19" t="n">
        <v>7</v>
      </c>
      <c r="D3023" s="19" t="n">
        <v>2028</v>
      </c>
      <c r="E3023" s="57" t="n">
        <v>3</v>
      </c>
      <c r="F3023" s="29">
        <f>ROUND(((SUMIFS(Calendar!$F$2:$F$9997,Calendar!$B$2:$B$9997,D3023,Calendar!$C$2:$C$9997,C3023)*INDEX(ForeCalc!$B$37:$Y$274,MATCH(_xlfn.CONCAT(H3023," ",I3023),ForeCalc!$A$37:$A$274,0),MATCH(_xlfn.CONCAT(B3023," ",E3023),ForeCalc!$B$36:$Y$36,0))))*VLOOKUP(A3023,Calendar!$A$2:$H$9997,8,FALSE),0)</f>
        <v/>
      </c>
      <c r="G3023" s="29">
        <f>VLOOKUP(A3023,Calendar!$A$1:$H$9997,6,FALSE)-F3023</f>
        <v/>
      </c>
      <c r="H3023" s="19" t="n">
        <v>3</v>
      </c>
      <c r="I3023" s="57" t="n">
        <v>4</v>
      </c>
    </row>
    <row r="3024">
      <c r="A3024" s="62" t="n">
        <v>46943</v>
      </c>
      <c r="B3024" s="3" t="inlineStr">
        <is>
          <t>Sun</t>
        </is>
      </c>
      <c r="C3024" s="19" t="n">
        <v>7</v>
      </c>
      <c r="D3024" s="19" t="n">
        <v>2028</v>
      </c>
      <c r="E3024" s="57" t="n">
        <v>3</v>
      </c>
      <c r="F3024" s="29">
        <f>ROUND(((SUMIFS(Calendar!$F$2:$F$9997,Calendar!$B$2:$B$9997,D3024,Calendar!$C$2:$C$9997,C3024)*INDEX(ForeCalc!$B$37:$Y$274,MATCH(_xlfn.CONCAT(H3024," ",I3024),ForeCalc!$A$37:$A$274,0),MATCH(_xlfn.CONCAT(B3024," ",E3024),ForeCalc!$B$36:$Y$36,0))))*VLOOKUP(A3024,Calendar!$A$2:$H$9997,8,FALSE),0)</f>
        <v/>
      </c>
      <c r="G3024" s="29">
        <f>VLOOKUP(A3024,Calendar!$A$1:$H$9997,6,FALSE)-F3024</f>
        <v/>
      </c>
      <c r="H3024" s="19" t="n">
        <v>3</v>
      </c>
      <c r="I3024" s="57" t="n">
        <v>4</v>
      </c>
    </row>
    <row r="3025">
      <c r="A3025" s="62" t="n">
        <v>46944</v>
      </c>
      <c r="B3025" s="3" t="inlineStr">
        <is>
          <t>Week</t>
        </is>
      </c>
      <c r="C3025" s="19" t="n">
        <v>7</v>
      </c>
      <c r="D3025" s="19" t="n">
        <v>2028</v>
      </c>
      <c r="E3025" s="57" t="n">
        <v>3</v>
      </c>
      <c r="F3025" s="29">
        <f>ROUND(((SUMIFS(Calendar!$F$2:$F$9997,Calendar!$B$2:$B$9997,D3025,Calendar!$C$2:$C$9997,C3025)*INDEX(ForeCalc!$B$37:$Y$274,MATCH(_xlfn.CONCAT(H3025," ",I3025),ForeCalc!$A$37:$A$274,0),MATCH(_xlfn.CONCAT(B3025," ",E3025),ForeCalc!$B$36:$Y$36,0))))*VLOOKUP(A3025,Calendar!$A$2:$H$9997,8,FALSE),0)</f>
        <v/>
      </c>
      <c r="G3025" s="29">
        <f>VLOOKUP(A3025,Calendar!$A$1:$H$9997,6,FALSE)-F3025</f>
        <v/>
      </c>
      <c r="H3025" s="19" t="n">
        <v>3</v>
      </c>
      <c r="I3025" s="57" t="n">
        <v>4</v>
      </c>
    </row>
    <row r="3026">
      <c r="A3026" s="62" t="n">
        <v>46945</v>
      </c>
      <c r="B3026" s="3" t="inlineStr">
        <is>
          <t>Week</t>
        </is>
      </c>
      <c r="C3026" s="19" t="n">
        <v>7</v>
      </c>
      <c r="D3026" s="19" t="n">
        <v>2028</v>
      </c>
      <c r="E3026" s="57" t="n">
        <v>3</v>
      </c>
      <c r="F3026" s="29">
        <f>ROUND(((SUMIFS(Calendar!$F$2:$F$9997,Calendar!$B$2:$B$9997,D3026,Calendar!$C$2:$C$9997,C3026)*INDEX(ForeCalc!$B$37:$Y$274,MATCH(_xlfn.CONCAT(H3026," ",I3026),ForeCalc!$A$37:$A$274,0),MATCH(_xlfn.CONCAT(B3026," ",E3026),ForeCalc!$B$36:$Y$36,0))))*VLOOKUP(A3026,Calendar!$A$2:$H$9997,8,FALSE),0)</f>
        <v/>
      </c>
      <c r="G3026" s="29">
        <f>VLOOKUP(A3026,Calendar!$A$1:$H$9997,6,FALSE)-F3026</f>
        <v/>
      </c>
      <c r="H3026" s="19" t="n">
        <v>3</v>
      </c>
      <c r="I3026" s="57" t="n">
        <v>4</v>
      </c>
    </row>
    <row r="3027">
      <c r="A3027" s="62" t="n">
        <v>46946</v>
      </c>
      <c r="B3027" s="3" t="inlineStr">
        <is>
          <t>Week</t>
        </is>
      </c>
      <c r="C3027" s="19" t="n">
        <v>7</v>
      </c>
      <c r="D3027" s="19" t="n">
        <v>2028</v>
      </c>
      <c r="E3027" s="57" t="n">
        <v>3</v>
      </c>
      <c r="F3027" s="29">
        <f>ROUND(((SUMIFS(Calendar!$F$2:$F$9997,Calendar!$B$2:$B$9997,D3027,Calendar!$C$2:$C$9997,C3027)*INDEX(ForeCalc!$B$37:$Y$274,MATCH(_xlfn.CONCAT(H3027," ",I3027),ForeCalc!$A$37:$A$274,0),MATCH(_xlfn.CONCAT(B3027," ",E3027),ForeCalc!$B$36:$Y$36,0))))*VLOOKUP(A3027,Calendar!$A$2:$H$9997,8,FALSE),0)</f>
        <v/>
      </c>
      <c r="G3027" s="29">
        <f>VLOOKUP(A3027,Calendar!$A$1:$H$9997,6,FALSE)-F3027</f>
        <v/>
      </c>
      <c r="H3027" s="19" t="n">
        <v>3</v>
      </c>
      <c r="I3027" s="57" t="n">
        <v>4</v>
      </c>
    </row>
    <row r="3028">
      <c r="A3028" s="62" t="n">
        <v>46947</v>
      </c>
      <c r="B3028" s="3" t="inlineStr">
        <is>
          <t>Week</t>
        </is>
      </c>
      <c r="C3028" s="19" t="n">
        <v>7</v>
      </c>
      <c r="D3028" s="19" t="n">
        <v>2028</v>
      </c>
      <c r="E3028" s="57" t="n">
        <v>3</v>
      </c>
      <c r="F3028" s="29">
        <f>ROUND(((SUMIFS(Calendar!$F$2:$F$9997,Calendar!$B$2:$B$9997,D3028,Calendar!$C$2:$C$9997,C3028)*INDEX(ForeCalc!$B$37:$Y$274,MATCH(_xlfn.CONCAT(H3028," ",I3028),ForeCalc!$A$37:$A$274,0),MATCH(_xlfn.CONCAT(B3028," ",E3028),ForeCalc!$B$36:$Y$36,0))))*VLOOKUP(A3028,Calendar!$A$2:$H$9997,8,FALSE),0)</f>
        <v/>
      </c>
      <c r="G3028" s="29">
        <f>VLOOKUP(A3028,Calendar!$A$1:$H$9997,6,FALSE)-F3028</f>
        <v/>
      </c>
      <c r="H3028" s="19" t="n">
        <v>3</v>
      </c>
      <c r="I3028" s="57" t="n">
        <v>4</v>
      </c>
    </row>
    <row r="3029">
      <c r="A3029" s="62" t="n">
        <v>46948</v>
      </c>
      <c r="B3029" s="3" t="inlineStr">
        <is>
          <t>Week</t>
        </is>
      </c>
      <c r="C3029" s="19" t="n">
        <v>7</v>
      </c>
      <c r="D3029" s="19" t="n">
        <v>2028</v>
      </c>
      <c r="E3029" s="57" t="n">
        <v>3</v>
      </c>
      <c r="F3029" s="29">
        <f>ROUND(((SUMIFS(Calendar!$F$2:$F$9997,Calendar!$B$2:$B$9997,D3029,Calendar!$C$2:$C$9997,C3029)*INDEX(ForeCalc!$B$37:$Y$274,MATCH(_xlfn.CONCAT(H3029," ",I3029),ForeCalc!$A$37:$A$274,0),MATCH(_xlfn.CONCAT(B3029," ",E3029),ForeCalc!$B$36:$Y$36,0))))*VLOOKUP(A3029,Calendar!$A$2:$H$9997,8,FALSE),0)</f>
        <v/>
      </c>
      <c r="G3029" s="29">
        <f>VLOOKUP(A3029,Calendar!$A$1:$H$9997,6,FALSE)-F3029</f>
        <v/>
      </c>
      <c r="H3029" s="19" t="n">
        <v>3</v>
      </c>
      <c r="I3029" s="57" t="n">
        <v>4</v>
      </c>
    </row>
    <row r="3030">
      <c r="A3030" s="62" t="n">
        <v>46949</v>
      </c>
      <c r="B3030" s="3" t="inlineStr">
        <is>
          <t>Sat</t>
        </is>
      </c>
      <c r="C3030" s="19" t="n">
        <v>7</v>
      </c>
      <c r="D3030" s="19" t="n">
        <v>2028</v>
      </c>
      <c r="E3030" s="57" t="n">
        <v>3</v>
      </c>
      <c r="F3030" s="29">
        <f>ROUND(((SUMIFS(Calendar!$F$2:$F$9997,Calendar!$B$2:$B$9997,D3030,Calendar!$C$2:$C$9997,C3030)*INDEX(ForeCalc!$B$37:$Y$274,MATCH(_xlfn.CONCAT(H3030," ",I3030),ForeCalc!$A$37:$A$274,0),MATCH(_xlfn.CONCAT(B3030," ",E3030),ForeCalc!$B$36:$Y$36,0))))*VLOOKUP(A3030,Calendar!$A$2:$H$9997,8,FALSE),0)</f>
        <v/>
      </c>
      <c r="G3030" s="29">
        <f>VLOOKUP(A3030,Calendar!$A$1:$H$9997,6,FALSE)-F3030</f>
        <v/>
      </c>
      <c r="H3030" s="19" t="n">
        <v>3</v>
      </c>
      <c r="I3030" s="57" t="n">
        <v>4</v>
      </c>
    </row>
    <row r="3031">
      <c r="A3031" s="62" t="n">
        <v>46950</v>
      </c>
      <c r="B3031" s="3" t="inlineStr">
        <is>
          <t>Sun</t>
        </is>
      </c>
      <c r="C3031" s="19" t="n">
        <v>7</v>
      </c>
      <c r="D3031" s="19" t="n">
        <v>2028</v>
      </c>
      <c r="E3031" s="57" t="n">
        <v>3</v>
      </c>
      <c r="F3031" s="29">
        <f>ROUND(((SUMIFS(Calendar!$F$2:$F$9997,Calendar!$B$2:$B$9997,D3031,Calendar!$C$2:$C$9997,C3031)*INDEX(ForeCalc!$B$37:$Y$274,MATCH(_xlfn.CONCAT(H3031," ",I3031),ForeCalc!$A$37:$A$274,0),MATCH(_xlfn.CONCAT(B3031," ",E3031),ForeCalc!$B$36:$Y$36,0))))*VLOOKUP(A3031,Calendar!$A$2:$H$9997,8,FALSE),0)</f>
        <v/>
      </c>
      <c r="G3031" s="29">
        <f>VLOOKUP(A3031,Calendar!$A$1:$H$9997,6,FALSE)-F3031</f>
        <v/>
      </c>
      <c r="H3031" s="19" t="n">
        <v>3</v>
      </c>
      <c r="I3031" s="57" t="n">
        <v>4</v>
      </c>
    </row>
    <row r="3032">
      <c r="A3032" s="62" t="n">
        <v>46951</v>
      </c>
      <c r="B3032" s="3" t="inlineStr">
        <is>
          <t>Week</t>
        </is>
      </c>
      <c r="C3032" s="19" t="n">
        <v>7</v>
      </c>
      <c r="D3032" s="19" t="n">
        <v>2028</v>
      </c>
      <c r="E3032" s="57" t="n">
        <v>3</v>
      </c>
      <c r="F3032" s="29">
        <f>ROUND(((SUMIFS(Calendar!$F$2:$F$9997,Calendar!$B$2:$B$9997,D3032,Calendar!$C$2:$C$9997,C3032)*INDEX(ForeCalc!$B$37:$Y$274,MATCH(_xlfn.CONCAT(H3032," ",I3032),ForeCalc!$A$37:$A$274,0),MATCH(_xlfn.CONCAT(B3032," ",E3032),ForeCalc!$B$36:$Y$36,0))))*VLOOKUP(A3032,Calendar!$A$2:$H$9997,8,FALSE),0)</f>
        <v/>
      </c>
      <c r="G3032" s="29">
        <f>VLOOKUP(A3032,Calendar!$A$1:$H$9997,6,FALSE)-F3032</f>
        <v/>
      </c>
      <c r="H3032" s="19" t="n">
        <v>3</v>
      </c>
      <c r="I3032" s="57" t="n">
        <v>4</v>
      </c>
    </row>
    <row r="3033">
      <c r="A3033" s="62" t="n">
        <v>46952</v>
      </c>
      <c r="B3033" s="3" t="inlineStr">
        <is>
          <t>Week</t>
        </is>
      </c>
      <c r="C3033" s="19" t="n">
        <v>7</v>
      </c>
      <c r="D3033" s="19" t="n">
        <v>2028</v>
      </c>
      <c r="E3033" s="57" t="n">
        <v>3</v>
      </c>
      <c r="F3033" s="29">
        <f>ROUND(((SUMIFS(Calendar!$F$2:$F$9997,Calendar!$B$2:$B$9997,D3033,Calendar!$C$2:$C$9997,C3033)*INDEX(ForeCalc!$B$37:$Y$274,MATCH(_xlfn.CONCAT(H3033," ",I3033),ForeCalc!$A$37:$A$274,0),MATCH(_xlfn.CONCAT(B3033," ",E3033),ForeCalc!$B$36:$Y$36,0))))*VLOOKUP(A3033,Calendar!$A$2:$H$9997,8,FALSE),0)</f>
        <v/>
      </c>
      <c r="G3033" s="29">
        <f>VLOOKUP(A3033,Calendar!$A$1:$H$9997,6,FALSE)-F3033</f>
        <v/>
      </c>
      <c r="H3033" s="19" t="n">
        <v>3</v>
      </c>
      <c r="I3033" s="57" t="n">
        <v>4</v>
      </c>
    </row>
    <row r="3034">
      <c r="A3034" s="62" t="n">
        <v>46953</v>
      </c>
      <c r="B3034" s="3" t="inlineStr">
        <is>
          <t>Week</t>
        </is>
      </c>
      <c r="C3034" s="19" t="n">
        <v>7</v>
      </c>
      <c r="D3034" s="19" t="n">
        <v>2028</v>
      </c>
      <c r="E3034" s="57" t="n">
        <v>3</v>
      </c>
      <c r="F3034" s="29">
        <f>ROUND(((SUMIFS(Calendar!$F$2:$F$9997,Calendar!$B$2:$B$9997,D3034,Calendar!$C$2:$C$9997,C3034)*INDEX(ForeCalc!$B$37:$Y$274,MATCH(_xlfn.CONCAT(H3034," ",I3034),ForeCalc!$A$37:$A$274,0),MATCH(_xlfn.CONCAT(B3034," ",E3034),ForeCalc!$B$36:$Y$36,0))))*VLOOKUP(A3034,Calendar!$A$2:$H$9997,8,FALSE),0)</f>
        <v/>
      </c>
      <c r="G3034" s="29">
        <f>VLOOKUP(A3034,Calendar!$A$1:$H$9997,6,FALSE)-F3034</f>
        <v/>
      </c>
      <c r="H3034" s="19" t="n">
        <v>3</v>
      </c>
      <c r="I3034" s="57" t="n">
        <v>4</v>
      </c>
    </row>
    <row r="3035">
      <c r="A3035" s="62" t="n">
        <v>46954</v>
      </c>
      <c r="B3035" s="3" t="inlineStr">
        <is>
          <t>Week</t>
        </is>
      </c>
      <c r="C3035" s="19" t="n">
        <v>7</v>
      </c>
      <c r="D3035" s="19" t="n">
        <v>2028</v>
      </c>
      <c r="E3035" s="57" t="n">
        <v>3</v>
      </c>
      <c r="F3035" s="29">
        <f>ROUND(((SUMIFS(Calendar!$F$2:$F$9997,Calendar!$B$2:$B$9997,D3035,Calendar!$C$2:$C$9997,C3035)*INDEX(ForeCalc!$B$37:$Y$274,MATCH(_xlfn.CONCAT(H3035," ",I3035),ForeCalc!$A$37:$A$274,0),MATCH(_xlfn.CONCAT(B3035," ",E3035),ForeCalc!$B$36:$Y$36,0))))*VLOOKUP(A3035,Calendar!$A$2:$H$9997,8,FALSE),0)</f>
        <v/>
      </c>
      <c r="G3035" s="29">
        <f>VLOOKUP(A3035,Calendar!$A$1:$H$9997,6,FALSE)-F3035</f>
        <v/>
      </c>
      <c r="H3035" s="19" t="n">
        <v>3</v>
      </c>
      <c r="I3035" s="57" t="n">
        <v>4</v>
      </c>
    </row>
    <row r="3036">
      <c r="A3036" s="62" t="n">
        <v>46955</v>
      </c>
      <c r="B3036" s="3" t="inlineStr">
        <is>
          <t>Week</t>
        </is>
      </c>
      <c r="C3036" s="19" t="n">
        <v>7</v>
      </c>
      <c r="D3036" s="19" t="n">
        <v>2028</v>
      </c>
      <c r="E3036" s="57" t="n">
        <v>3</v>
      </c>
      <c r="F3036" s="29">
        <f>ROUND(((SUMIFS(Calendar!$F$2:$F$9997,Calendar!$B$2:$B$9997,D3036,Calendar!$C$2:$C$9997,C3036)*INDEX(ForeCalc!$B$37:$Y$274,MATCH(_xlfn.CONCAT(H3036," ",I3036),ForeCalc!$A$37:$A$274,0),MATCH(_xlfn.CONCAT(B3036," ",E3036),ForeCalc!$B$36:$Y$36,0))))*VLOOKUP(A3036,Calendar!$A$2:$H$9997,8,FALSE),0)</f>
        <v/>
      </c>
      <c r="G3036" s="29">
        <f>VLOOKUP(A3036,Calendar!$A$1:$H$9997,6,FALSE)-F3036</f>
        <v/>
      </c>
      <c r="H3036" s="19" t="n">
        <v>3</v>
      </c>
      <c r="I3036" s="57" t="n">
        <v>4</v>
      </c>
    </row>
    <row r="3037">
      <c r="A3037" s="62" t="n">
        <v>46956</v>
      </c>
      <c r="B3037" s="3" t="inlineStr">
        <is>
          <t>Sat</t>
        </is>
      </c>
      <c r="C3037" s="19" t="n">
        <v>7</v>
      </c>
      <c r="D3037" s="19" t="n">
        <v>2028</v>
      </c>
      <c r="E3037" s="57" t="n">
        <v>3</v>
      </c>
      <c r="F3037" s="29">
        <f>ROUND(((SUMIFS(Calendar!$F$2:$F$9997,Calendar!$B$2:$B$9997,D3037,Calendar!$C$2:$C$9997,C3037)*INDEX(ForeCalc!$B$37:$Y$274,MATCH(_xlfn.CONCAT(H3037," ",I3037),ForeCalc!$A$37:$A$274,0),MATCH(_xlfn.CONCAT(B3037," ",E3037),ForeCalc!$B$36:$Y$36,0))))*VLOOKUP(A3037,Calendar!$A$2:$H$9997,8,FALSE),0)</f>
        <v/>
      </c>
      <c r="G3037" s="29">
        <f>VLOOKUP(A3037,Calendar!$A$1:$H$9997,6,FALSE)-F3037</f>
        <v/>
      </c>
      <c r="H3037" s="19" t="n">
        <v>3</v>
      </c>
      <c r="I3037" s="57" t="n">
        <v>4</v>
      </c>
    </row>
    <row r="3038">
      <c r="A3038" s="62" t="n">
        <v>46957</v>
      </c>
      <c r="B3038" s="3" t="inlineStr">
        <is>
          <t>Sun</t>
        </is>
      </c>
      <c r="C3038" s="19" t="n">
        <v>7</v>
      </c>
      <c r="D3038" s="19" t="n">
        <v>2028</v>
      </c>
      <c r="E3038" s="57" t="n">
        <v>3</v>
      </c>
      <c r="F3038" s="29">
        <f>ROUND(((SUMIFS(Calendar!$F$2:$F$9997,Calendar!$B$2:$B$9997,D3038,Calendar!$C$2:$C$9997,C3038)*INDEX(ForeCalc!$B$37:$Y$274,MATCH(_xlfn.CONCAT(H3038," ",I3038),ForeCalc!$A$37:$A$274,0),MATCH(_xlfn.CONCAT(B3038," ",E3038),ForeCalc!$B$36:$Y$36,0))))*VLOOKUP(A3038,Calendar!$A$2:$H$9997,8,FALSE),0)</f>
        <v/>
      </c>
      <c r="G3038" s="29">
        <f>VLOOKUP(A3038,Calendar!$A$1:$H$9997,6,FALSE)-F3038</f>
        <v/>
      </c>
      <c r="H3038" s="19" t="n">
        <v>3</v>
      </c>
      <c r="I3038" s="57" t="n">
        <v>4</v>
      </c>
    </row>
    <row r="3039">
      <c r="A3039" s="62" t="n">
        <v>46958</v>
      </c>
      <c r="B3039" s="3" t="inlineStr">
        <is>
          <t>Week</t>
        </is>
      </c>
      <c r="C3039" s="19" t="n">
        <v>7</v>
      </c>
      <c r="D3039" s="19" t="n">
        <v>2028</v>
      </c>
      <c r="E3039" s="57" t="n">
        <v>3</v>
      </c>
      <c r="F3039" s="29">
        <f>ROUND(((SUMIFS(Calendar!$F$2:$F$9997,Calendar!$B$2:$B$9997,D3039,Calendar!$C$2:$C$9997,C3039)*INDEX(ForeCalc!$B$37:$Y$274,MATCH(_xlfn.CONCAT(H3039," ",I3039),ForeCalc!$A$37:$A$274,0),MATCH(_xlfn.CONCAT(B3039," ",E3039),ForeCalc!$B$36:$Y$36,0))))*VLOOKUP(A3039,Calendar!$A$2:$H$9997,8,FALSE),0)</f>
        <v/>
      </c>
      <c r="G3039" s="29">
        <f>VLOOKUP(A3039,Calendar!$A$1:$H$9997,6,FALSE)-F3039</f>
        <v/>
      </c>
      <c r="H3039" s="19" t="n">
        <v>3</v>
      </c>
      <c r="I3039" s="57" t="n">
        <v>4</v>
      </c>
    </row>
    <row r="3040">
      <c r="A3040" s="62" t="n">
        <v>46959</v>
      </c>
      <c r="B3040" s="3" t="inlineStr">
        <is>
          <t>Week</t>
        </is>
      </c>
      <c r="C3040" s="19" t="n">
        <v>7</v>
      </c>
      <c r="D3040" s="19" t="n">
        <v>2028</v>
      </c>
      <c r="E3040" s="57" t="n">
        <v>3</v>
      </c>
      <c r="F3040" s="29">
        <f>ROUND(((SUMIFS(Calendar!$F$2:$F$9997,Calendar!$B$2:$B$9997,D3040,Calendar!$C$2:$C$9997,C3040)*INDEX(ForeCalc!$B$37:$Y$274,MATCH(_xlfn.CONCAT(H3040," ",I3040),ForeCalc!$A$37:$A$274,0),MATCH(_xlfn.CONCAT(B3040," ",E3040),ForeCalc!$B$36:$Y$36,0))))*VLOOKUP(A3040,Calendar!$A$2:$H$9997,8,FALSE),0)</f>
        <v/>
      </c>
      <c r="G3040" s="29">
        <f>VLOOKUP(A3040,Calendar!$A$1:$H$9997,6,FALSE)-F3040</f>
        <v/>
      </c>
      <c r="H3040" s="19" t="n">
        <v>3</v>
      </c>
      <c r="I3040" s="57" t="n">
        <v>4</v>
      </c>
    </row>
    <row r="3041">
      <c r="A3041" s="62" t="n">
        <v>46960</v>
      </c>
      <c r="B3041" s="3" t="inlineStr">
        <is>
          <t>Week</t>
        </is>
      </c>
      <c r="C3041" s="19" t="n">
        <v>7</v>
      </c>
      <c r="D3041" s="19" t="n">
        <v>2028</v>
      </c>
      <c r="E3041" s="57" t="n">
        <v>3</v>
      </c>
      <c r="F3041" s="29">
        <f>ROUND(((SUMIFS(Calendar!$F$2:$F$9997,Calendar!$B$2:$B$9997,D3041,Calendar!$C$2:$C$9997,C3041)*INDEX(ForeCalc!$B$37:$Y$274,MATCH(_xlfn.CONCAT(H3041," ",I3041),ForeCalc!$A$37:$A$274,0),MATCH(_xlfn.CONCAT(B3041," ",E3041),ForeCalc!$B$36:$Y$36,0))))*VLOOKUP(A3041,Calendar!$A$2:$H$9997,8,FALSE),0)</f>
        <v/>
      </c>
      <c r="G3041" s="29">
        <f>VLOOKUP(A3041,Calendar!$A$1:$H$9997,6,FALSE)-F3041</f>
        <v/>
      </c>
      <c r="H3041" s="19" t="n">
        <v>3</v>
      </c>
      <c r="I3041" s="57" t="n">
        <v>4</v>
      </c>
    </row>
    <row r="3042">
      <c r="A3042" s="62" t="n">
        <v>46961</v>
      </c>
      <c r="B3042" s="3" t="inlineStr">
        <is>
          <t>Week</t>
        </is>
      </c>
      <c r="C3042" s="19" t="n">
        <v>7</v>
      </c>
      <c r="D3042" s="19" t="n">
        <v>2028</v>
      </c>
      <c r="E3042" s="57" t="n">
        <v>3</v>
      </c>
      <c r="F3042" s="29">
        <f>ROUND(((SUMIFS(Calendar!$F$2:$F$9997,Calendar!$B$2:$B$9997,D3042,Calendar!$C$2:$C$9997,C3042)*INDEX(ForeCalc!$B$37:$Y$274,MATCH(_xlfn.CONCAT(H3042," ",I3042),ForeCalc!$A$37:$A$274,0),MATCH(_xlfn.CONCAT(B3042," ",E3042),ForeCalc!$B$36:$Y$36,0))))*VLOOKUP(A3042,Calendar!$A$2:$H$9997,8,FALSE),0)</f>
        <v/>
      </c>
      <c r="G3042" s="29">
        <f>VLOOKUP(A3042,Calendar!$A$1:$H$9997,6,FALSE)-F3042</f>
        <v/>
      </c>
      <c r="H3042" s="19" t="n">
        <v>3</v>
      </c>
      <c r="I3042" s="57" t="n">
        <v>4</v>
      </c>
    </row>
    <row r="3043">
      <c r="A3043" s="62" t="n">
        <v>46962</v>
      </c>
      <c r="B3043" s="3" t="inlineStr">
        <is>
          <t>Week</t>
        </is>
      </c>
      <c r="C3043" s="19" t="n">
        <v>7</v>
      </c>
      <c r="D3043" s="19" t="n">
        <v>2028</v>
      </c>
      <c r="E3043" s="57" t="n">
        <v>3</v>
      </c>
      <c r="F3043" s="29">
        <f>ROUND(((SUMIFS(Calendar!$F$2:$F$9997,Calendar!$B$2:$B$9997,D3043,Calendar!$C$2:$C$9997,C3043)*INDEX(ForeCalc!$B$37:$Y$274,MATCH(_xlfn.CONCAT(H3043," ",I3043),ForeCalc!$A$37:$A$274,0),MATCH(_xlfn.CONCAT(B3043," ",E3043),ForeCalc!$B$36:$Y$36,0))))*VLOOKUP(A3043,Calendar!$A$2:$H$9997,8,FALSE),0)</f>
        <v/>
      </c>
      <c r="G3043" s="29">
        <f>VLOOKUP(A3043,Calendar!$A$1:$H$9997,6,FALSE)-F3043</f>
        <v/>
      </c>
      <c r="H3043" s="19" t="n">
        <v>3</v>
      </c>
      <c r="I3043" s="57" t="n">
        <v>4</v>
      </c>
    </row>
    <row r="3044">
      <c r="A3044" s="62" t="n">
        <v>46963</v>
      </c>
      <c r="B3044" s="3" t="inlineStr">
        <is>
          <t>Sat</t>
        </is>
      </c>
      <c r="C3044" s="19" t="n">
        <v>7</v>
      </c>
      <c r="D3044" s="19" t="n">
        <v>2028</v>
      </c>
      <c r="E3044" s="57" t="n">
        <v>3</v>
      </c>
      <c r="F3044" s="29">
        <f>ROUND(((SUMIFS(Calendar!$F$2:$F$9997,Calendar!$B$2:$B$9997,D3044,Calendar!$C$2:$C$9997,C3044)*INDEX(ForeCalc!$B$37:$Y$274,MATCH(_xlfn.CONCAT(H3044," ",I3044),ForeCalc!$A$37:$A$274,0),MATCH(_xlfn.CONCAT(B3044," ",E3044),ForeCalc!$B$36:$Y$36,0))))*VLOOKUP(A3044,Calendar!$A$2:$H$9997,8,FALSE),0)</f>
        <v/>
      </c>
      <c r="G3044" s="29">
        <f>VLOOKUP(A3044,Calendar!$A$1:$H$9997,6,FALSE)-F3044</f>
        <v/>
      </c>
      <c r="H3044" s="19" t="n">
        <v>3</v>
      </c>
      <c r="I3044" s="57" t="n">
        <v>4</v>
      </c>
    </row>
    <row r="3045">
      <c r="A3045" s="62" t="n">
        <v>46964</v>
      </c>
      <c r="B3045" s="3" t="inlineStr">
        <is>
          <t>Sun</t>
        </is>
      </c>
      <c r="C3045" s="19" t="n">
        <v>7</v>
      </c>
      <c r="D3045" s="19" t="n">
        <v>2028</v>
      </c>
      <c r="E3045" s="57" t="n">
        <v>3</v>
      </c>
      <c r="F3045" s="29">
        <f>ROUND(((SUMIFS(Calendar!$F$2:$F$9997,Calendar!$B$2:$B$9997,D3045,Calendar!$C$2:$C$9997,C3045)*INDEX(ForeCalc!$B$37:$Y$274,MATCH(_xlfn.CONCAT(H3045," ",I3045),ForeCalc!$A$37:$A$274,0),MATCH(_xlfn.CONCAT(B3045," ",E3045),ForeCalc!$B$36:$Y$36,0))))*VLOOKUP(A3045,Calendar!$A$2:$H$9997,8,FALSE),0)</f>
        <v/>
      </c>
      <c r="G3045" s="29">
        <f>VLOOKUP(A3045,Calendar!$A$1:$H$9997,6,FALSE)-F3045</f>
        <v/>
      </c>
      <c r="H3045" s="19" t="n">
        <v>3</v>
      </c>
      <c r="I3045" s="57" t="n">
        <v>4</v>
      </c>
    </row>
    <row r="3046">
      <c r="A3046" s="62" t="n">
        <v>46965</v>
      </c>
      <c r="B3046" s="3" t="inlineStr">
        <is>
          <t>Week</t>
        </is>
      </c>
      <c r="C3046" s="19" t="n">
        <v>7</v>
      </c>
      <c r="D3046" s="19" t="n">
        <v>2028</v>
      </c>
      <c r="E3046" s="57" t="n">
        <v>3</v>
      </c>
      <c r="F3046" s="29">
        <f>ROUND(((SUMIFS(Calendar!$F$2:$F$9997,Calendar!$B$2:$B$9997,D3046,Calendar!$C$2:$C$9997,C3046)*INDEX(ForeCalc!$B$37:$Y$274,MATCH(_xlfn.CONCAT(H3046," ",I3046),ForeCalc!$A$37:$A$274,0),MATCH(_xlfn.CONCAT(B3046," ",E3046),ForeCalc!$B$36:$Y$36,0))))*VLOOKUP(A3046,Calendar!$A$2:$H$9997,8,FALSE),0)</f>
        <v/>
      </c>
      <c r="G3046" s="29">
        <f>VLOOKUP(A3046,Calendar!$A$1:$H$9997,6,FALSE)-F3046</f>
        <v/>
      </c>
      <c r="H3046" s="19" t="n">
        <v>3</v>
      </c>
      <c r="I3046" s="57" t="n">
        <v>4</v>
      </c>
    </row>
    <row r="3047">
      <c r="A3047" s="62" t="n">
        <v>46966</v>
      </c>
      <c r="B3047" s="3" t="inlineStr">
        <is>
          <t>Week</t>
        </is>
      </c>
      <c r="C3047" s="19" t="n">
        <v>8</v>
      </c>
      <c r="D3047" s="19" t="n">
        <v>2028</v>
      </c>
      <c r="E3047" s="57" t="n">
        <v>3</v>
      </c>
      <c r="F3047" s="29">
        <f>ROUND(((SUMIFS(Calendar!$F$2:$F$9997,Calendar!$B$2:$B$9997,D3047,Calendar!$C$2:$C$9997,C3047)*INDEX(ForeCalc!$B$37:$Y$274,MATCH(_xlfn.CONCAT(H3047," ",I3047),ForeCalc!$A$37:$A$274,0),MATCH(_xlfn.CONCAT(B3047," ",E3047),ForeCalc!$B$36:$Y$36,0))))*VLOOKUP(A3047,Calendar!$A$2:$H$9997,8,FALSE),0)</f>
        <v/>
      </c>
      <c r="G3047" s="29">
        <f>VLOOKUP(A3047,Calendar!$A$1:$H$9997,6,FALSE)-F3047</f>
        <v/>
      </c>
      <c r="H3047" s="19" t="n">
        <v>3</v>
      </c>
      <c r="I3047" s="57" t="n">
        <v>5</v>
      </c>
    </row>
    <row r="3048">
      <c r="A3048" s="62" t="n">
        <v>46967</v>
      </c>
      <c r="B3048" s="3" t="inlineStr">
        <is>
          <t>Week</t>
        </is>
      </c>
      <c r="C3048" s="19" t="n">
        <v>8</v>
      </c>
      <c r="D3048" s="19" t="n">
        <v>2028</v>
      </c>
      <c r="E3048" s="57" t="n">
        <v>3</v>
      </c>
      <c r="F3048" s="29">
        <f>ROUND(((SUMIFS(Calendar!$F$2:$F$9997,Calendar!$B$2:$B$9997,D3048,Calendar!$C$2:$C$9997,C3048)*INDEX(ForeCalc!$B$37:$Y$274,MATCH(_xlfn.CONCAT(H3048," ",I3048),ForeCalc!$A$37:$A$274,0),MATCH(_xlfn.CONCAT(B3048," ",E3048),ForeCalc!$B$36:$Y$36,0))))*VLOOKUP(A3048,Calendar!$A$2:$H$9997,8,FALSE),0)</f>
        <v/>
      </c>
      <c r="G3048" s="29">
        <f>VLOOKUP(A3048,Calendar!$A$1:$H$9997,6,FALSE)-F3048</f>
        <v/>
      </c>
      <c r="H3048" s="19" t="n">
        <v>3</v>
      </c>
      <c r="I3048" s="57" t="n">
        <v>5</v>
      </c>
    </row>
    <row r="3049">
      <c r="A3049" s="62" t="n">
        <v>46968</v>
      </c>
      <c r="B3049" s="3" t="inlineStr">
        <is>
          <t>Week</t>
        </is>
      </c>
      <c r="C3049" s="19" t="n">
        <v>8</v>
      </c>
      <c r="D3049" s="19" t="n">
        <v>2028</v>
      </c>
      <c r="E3049" s="57" t="n">
        <v>3</v>
      </c>
      <c r="F3049" s="29">
        <f>ROUND(((SUMIFS(Calendar!$F$2:$F$9997,Calendar!$B$2:$B$9997,D3049,Calendar!$C$2:$C$9997,C3049)*INDEX(ForeCalc!$B$37:$Y$274,MATCH(_xlfn.CONCAT(H3049," ",I3049),ForeCalc!$A$37:$A$274,0),MATCH(_xlfn.CONCAT(B3049," ",E3049),ForeCalc!$B$36:$Y$36,0))))*VLOOKUP(A3049,Calendar!$A$2:$H$9997,8,FALSE),0)</f>
        <v/>
      </c>
      <c r="G3049" s="29">
        <f>VLOOKUP(A3049,Calendar!$A$1:$H$9997,6,FALSE)-F3049</f>
        <v/>
      </c>
      <c r="H3049" s="19" t="n">
        <v>3</v>
      </c>
      <c r="I3049" s="57" t="n">
        <v>5</v>
      </c>
    </row>
    <row r="3050">
      <c r="A3050" s="62" t="n">
        <v>46969</v>
      </c>
      <c r="B3050" s="3" t="inlineStr">
        <is>
          <t>Week</t>
        </is>
      </c>
      <c r="C3050" s="19" t="n">
        <v>8</v>
      </c>
      <c r="D3050" s="19" t="n">
        <v>2028</v>
      </c>
      <c r="E3050" s="57" t="n">
        <v>3</v>
      </c>
      <c r="F3050" s="29">
        <f>ROUND(((SUMIFS(Calendar!$F$2:$F$9997,Calendar!$B$2:$B$9997,D3050,Calendar!$C$2:$C$9997,C3050)*INDEX(ForeCalc!$B$37:$Y$274,MATCH(_xlfn.CONCAT(H3050," ",I3050),ForeCalc!$A$37:$A$274,0),MATCH(_xlfn.CONCAT(B3050," ",E3050),ForeCalc!$B$36:$Y$36,0))))*VLOOKUP(A3050,Calendar!$A$2:$H$9997,8,FALSE),0)</f>
        <v/>
      </c>
      <c r="G3050" s="29">
        <f>VLOOKUP(A3050,Calendar!$A$1:$H$9997,6,FALSE)-F3050</f>
        <v/>
      </c>
      <c r="H3050" s="19" t="n">
        <v>3</v>
      </c>
      <c r="I3050" s="57" t="n">
        <v>5</v>
      </c>
    </row>
    <row r="3051">
      <c r="A3051" s="62" t="n">
        <v>46970</v>
      </c>
      <c r="B3051" s="3" t="inlineStr">
        <is>
          <t>Sat</t>
        </is>
      </c>
      <c r="C3051" s="19" t="n">
        <v>8</v>
      </c>
      <c r="D3051" s="19" t="n">
        <v>2028</v>
      </c>
      <c r="E3051" s="57" t="n">
        <v>3</v>
      </c>
      <c r="F3051" s="29">
        <f>ROUND(((SUMIFS(Calendar!$F$2:$F$9997,Calendar!$B$2:$B$9997,D3051,Calendar!$C$2:$C$9997,C3051)*INDEX(ForeCalc!$B$37:$Y$274,MATCH(_xlfn.CONCAT(H3051," ",I3051),ForeCalc!$A$37:$A$274,0),MATCH(_xlfn.CONCAT(B3051," ",E3051),ForeCalc!$B$36:$Y$36,0))))*VLOOKUP(A3051,Calendar!$A$2:$H$9997,8,FALSE),0)</f>
        <v/>
      </c>
      <c r="G3051" s="29">
        <f>VLOOKUP(A3051,Calendar!$A$1:$H$9997,6,FALSE)-F3051</f>
        <v/>
      </c>
      <c r="H3051" s="19" t="n">
        <v>3</v>
      </c>
      <c r="I3051" s="57" t="n">
        <v>5</v>
      </c>
    </row>
    <row r="3052">
      <c r="A3052" s="62" t="n">
        <v>46971</v>
      </c>
      <c r="B3052" s="3" t="inlineStr">
        <is>
          <t>Sun</t>
        </is>
      </c>
      <c r="C3052" s="19" t="n">
        <v>8</v>
      </c>
      <c r="D3052" s="19" t="n">
        <v>2028</v>
      </c>
      <c r="E3052" s="57" t="n">
        <v>3</v>
      </c>
      <c r="F3052" s="29">
        <f>ROUND(((SUMIFS(Calendar!$F$2:$F$9997,Calendar!$B$2:$B$9997,D3052,Calendar!$C$2:$C$9997,C3052)*INDEX(ForeCalc!$B$37:$Y$274,MATCH(_xlfn.CONCAT(H3052," ",I3052),ForeCalc!$A$37:$A$274,0),MATCH(_xlfn.CONCAT(B3052," ",E3052),ForeCalc!$B$36:$Y$36,0))))*VLOOKUP(A3052,Calendar!$A$2:$H$9997,8,FALSE),0)</f>
        <v/>
      </c>
      <c r="G3052" s="29">
        <f>VLOOKUP(A3052,Calendar!$A$1:$H$9997,6,FALSE)-F3052</f>
        <v/>
      </c>
      <c r="H3052" s="19" t="n">
        <v>3</v>
      </c>
      <c r="I3052" s="57" t="n">
        <v>5</v>
      </c>
    </row>
    <row r="3053">
      <c r="A3053" s="62" t="n">
        <v>46972</v>
      </c>
      <c r="B3053" s="3" t="inlineStr">
        <is>
          <t>Week</t>
        </is>
      </c>
      <c r="C3053" s="19" t="n">
        <v>8</v>
      </c>
      <c r="D3053" s="19" t="n">
        <v>2028</v>
      </c>
      <c r="E3053" s="57" t="n">
        <v>3</v>
      </c>
      <c r="F3053" s="29">
        <f>ROUND(((SUMIFS(Calendar!$F$2:$F$9997,Calendar!$B$2:$B$9997,D3053,Calendar!$C$2:$C$9997,C3053)*INDEX(ForeCalc!$B$37:$Y$274,MATCH(_xlfn.CONCAT(H3053," ",I3053),ForeCalc!$A$37:$A$274,0),MATCH(_xlfn.CONCAT(B3053," ",E3053),ForeCalc!$B$36:$Y$36,0))))*VLOOKUP(A3053,Calendar!$A$2:$H$9997,8,FALSE),0)</f>
        <v/>
      </c>
      <c r="G3053" s="29">
        <f>VLOOKUP(A3053,Calendar!$A$1:$H$9997,6,FALSE)-F3053</f>
        <v/>
      </c>
      <c r="H3053" s="19" t="n">
        <v>3</v>
      </c>
      <c r="I3053" s="57" t="n">
        <v>5</v>
      </c>
    </row>
    <row r="3054">
      <c r="A3054" s="62" t="n">
        <v>46973</v>
      </c>
      <c r="B3054" s="3" t="inlineStr">
        <is>
          <t>Week</t>
        </is>
      </c>
      <c r="C3054" s="19" t="n">
        <v>8</v>
      </c>
      <c r="D3054" s="19" t="n">
        <v>2028</v>
      </c>
      <c r="E3054" s="57" t="n">
        <v>3</v>
      </c>
      <c r="F3054" s="29">
        <f>ROUND(((SUMIFS(Calendar!$F$2:$F$9997,Calendar!$B$2:$B$9997,D3054,Calendar!$C$2:$C$9997,C3054)*INDEX(ForeCalc!$B$37:$Y$274,MATCH(_xlfn.CONCAT(H3054," ",I3054),ForeCalc!$A$37:$A$274,0),MATCH(_xlfn.CONCAT(B3054," ",E3054),ForeCalc!$B$36:$Y$36,0))))*VLOOKUP(A3054,Calendar!$A$2:$H$9997,8,FALSE),0)</f>
        <v/>
      </c>
      <c r="G3054" s="29">
        <f>VLOOKUP(A3054,Calendar!$A$1:$H$9997,6,FALSE)-F3054</f>
        <v/>
      </c>
      <c r="H3054" s="19" t="n">
        <v>3</v>
      </c>
      <c r="I3054" s="57" t="n">
        <v>5</v>
      </c>
    </row>
    <row r="3055">
      <c r="A3055" s="62" t="n">
        <v>46974</v>
      </c>
      <c r="B3055" s="3" t="inlineStr">
        <is>
          <t>Week</t>
        </is>
      </c>
      <c r="C3055" s="19" t="n">
        <v>8</v>
      </c>
      <c r="D3055" s="19" t="n">
        <v>2028</v>
      </c>
      <c r="E3055" s="57" t="n">
        <v>3</v>
      </c>
      <c r="F3055" s="29">
        <f>ROUND(((SUMIFS(Calendar!$F$2:$F$9997,Calendar!$B$2:$B$9997,D3055,Calendar!$C$2:$C$9997,C3055)*INDEX(ForeCalc!$B$37:$Y$274,MATCH(_xlfn.CONCAT(H3055," ",I3055),ForeCalc!$A$37:$A$274,0),MATCH(_xlfn.CONCAT(B3055," ",E3055),ForeCalc!$B$36:$Y$36,0))))*VLOOKUP(A3055,Calendar!$A$2:$H$9997,8,FALSE),0)</f>
        <v/>
      </c>
      <c r="G3055" s="29">
        <f>VLOOKUP(A3055,Calendar!$A$1:$H$9997,6,FALSE)-F3055</f>
        <v/>
      </c>
      <c r="H3055" s="19" t="n">
        <v>3</v>
      </c>
      <c r="I3055" s="57" t="n">
        <v>5</v>
      </c>
    </row>
    <row r="3056">
      <c r="A3056" s="62" t="n">
        <v>46975</v>
      </c>
      <c r="B3056" s="3" t="inlineStr">
        <is>
          <t>Week</t>
        </is>
      </c>
      <c r="C3056" s="19" t="n">
        <v>8</v>
      </c>
      <c r="D3056" s="19" t="n">
        <v>2028</v>
      </c>
      <c r="E3056" s="57" t="n">
        <v>3</v>
      </c>
      <c r="F3056" s="29">
        <f>ROUND(((SUMIFS(Calendar!$F$2:$F$9997,Calendar!$B$2:$B$9997,D3056,Calendar!$C$2:$C$9997,C3056)*INDEX(ForeCalc!$B$37:$Y$274,MATCH(_xlfn.CONCAT(H3056," ",I3056),ForeCalc!$A$37:$A$274,0),MATCH(_xlfn.CONCAT(B3056," ",E3056),ForeCalc!$B$36:$Y$36,0))))*VLOOKUP(A3056,Calendar!$A$2:$H$9997,8,FALSE),0)</f>
        <v/>
      </c>
      <c r="G3056" s="29">
        <f>VLOOKUP(A3056,Calendar!$A$1:$H$9997,6,FALSE)-F3056</f>
        <v/>
      </c>
      <c r="H3056" s="19" t="n">
        <v>3</v>
      </c>
      <c r="I3056" s="57" t="n">
        <v>5</v>
      </c>
    </row>
    <row r="3057">
      <c r="A3057" s="62" t="n">
        <v>46976</v>
      </c>
      <c r="B3057" s="3" t="inlineStr">
        <is>
          <t>Week</t>
        </is>
      </c>
      <c r="C3057" s="19" t="n">
        <v>8</v>
      </c>
      <c r="D3057" s="19" t="n">
        <v>2028</v>
      </c>
      <c r="E3057" s="57" t="n">
        <v>3</v>
      </c>
      <c r="F3057" s="29">
        <f>ROUND(((SUMIFS(Calendar!$F$2:$F$9997,Calendar!$B$2:$B$9997,D3057,Calendar!$C$2:$C$9997,C3057)*INDEX(ForeCalc!$B$37:$Y$274,MATCH(_xlfn.CONCAT(H3057," ",I3057),ForeCalc!$A$37:$A$274,0),MATCH(_xlfn.CONCAT(B3057," ",E3057),ForeCalc!$B$36:$Y$36,0))))*VLOOKUP(A3057,Calendar!$A$2:$H$9997,8,FALSE),0)</f>
        <v/>
      </c>
      <c r="G3057" s="29">
        <f>VLOOKUP(A3057,Calendar!$A$1:$H$9997,6,FALSE)-F3057</f>
        <v/>
      </c>
      <c r="H3057" s="19" t="n">
        <v>3</v>
      </c>
      <c r="I3057" s="57" t="n">
        <v>5</v>
      </c>
    </row>
    <row r="3058">
      <c r="A3058" s="62" t="n">
        <v>46977</v>
      </c>
      <c r="B3058" s="3" t="inlineStr">
        <is>
          <t>Sat</t>
        </is>
      </c>
      <c r="C3058" s="19" t="n">
        <v>8</v>
      </c>
      <c r="D3058" s="19" t="n">
        <v>2028</v>
      </c>
      <c r="E3058" s="57" t="n">
        <v>3</v>
      </c>
      <c r="F3058" s="29">
        <f>ROUND(((SUMIFS(Calendar!$F$2:$F$9997,Calendar!$B$2:$B$9997,D3058,Calendar!$C$2:$C$9997,C3058)*INDEX(ForeCalc!$B$37:$Y$274,MATCH(_xlfn.CONCAT(H3058," ",I3058),ForeCalc!$A$37:$A$274,0),MATCH(_xlfn.CONCAT(B3058," ",E3058),ForeCalc!$B$36:$Y$36,0))))*VLOOKUP(A3058,Calendar!$A$2:$H$9997,8,FALSE),0)</f>
        <v/>
      </c>
      <c r="G3058" s="29">
        <f>VLOOKUP(A3058,Calendar!$A$1:$H$9997,6,FALSE)-F3058</f>
        <v/>
      </c>
      <c r="H3058" s="19" t="n">
        <v>3</v>
      </c>
      <c r="I3058" s="57" t="n">
        <v>5</v>
      </c>
    </row>
    <row r="3059">
      <c r="A3059" s="62" t="n">
        <v>46978</v>
      </c>
      <c r="B3059" s="3" t="inlineStr">
        <is>
          <t>Sun</t>
        </is>
      </c>
      <c r="C3059" s="19" t="n">
        <v>8</v>
      </c>
      <c r="D3059" s="19" t="n">
        <v>2028</v>
      </c>
      <c r="E3059" s="57" t="n">
        <v>3</v>
      </c>
      <c r="F3059" s="29">
        <f>ROUND(((SUMIFS(Calendar!$F$2:$F$9997,Calendar!$B$2:$B$9997,D3059,Calendar!$C$2:$C$9997,C3059)*INDEX(ForeCalc!$B$37:$Y$274,MATCH(_xlfn.CONCAT(H3059," ",I3059),ForeCalc!$A$37:$A$274,0),MATCH(_xlfn.CONCAT(B3059," ",E3059),ForeCalc!$B$36:$Y$36,0))))*VLOOKUP(A3059,Calendar!$A$2:$H$9997,8,FALSE),0)</f>
        <v/>
      </c>
      <c r="G3059" s="29">
        <f>VLOOKUP(A3059,Calendar!$A$1:$H$9997,6,FALSE)-F3059</f>
        <v/>
      </c>
      <c r="H3059" s="19" t="n">
        <v>3</v>
      </c>
      <c r="I3059" s="57" t="n">
        <v>5</v>
      </c>
    </row>
    <row r="3060">
      <c r="A3060" s="62" t="n">
        <v>46979</v>
      </c>
      <c r="B3060" s="3" t="inlineStr">
        <is>
          <t>Week</t>
        </is>
      </c>
      <c r="C3060" s="19" t="n">
        <v>8</v>
      </c>
      <c r="D3060" s="19" t="n">
        <v>2028</v>
      </c>
      <c r="E3060" s="57" t="n">
        <v>3</v>
      </c>
      <c r="F3060" s="29">
        <f>ROUND(((SUMIFS(Calendar!$F$2:$F$9997,Calendar!$B$2:$B$9997,D3060,Calendar!$C$2:$C$9997,C3060)*INDEX(ForeCalc!$B$37:$Y$274,MATCH(_xlfn.CONCAT(H3060," ",I3060),ForeCalc!$A$37:$A$274,0),MATCH(_xlfn.CONCAT(B3060," ",E3060),ForeCalc!$B$36:$Y$36,0))))*VLOOKUP(A3060,Calendar!$A$2:$H$9997,8,FALSE),0)</f>
        <v/>
      </c>
      <c r="G3060" s="29">
        <f>VLOOKUP(A3060,Calendar!$A$1:$H$9997,6,FALSE)-F3060</f>
        <v/>
      </c>
      <c r="H3060" s="19" t="n">
        <v>3</v>
      </c>
      <c r="I3060" s="57" t="n">
        <v>5</v>
      </c>
    </row>
    <row r="3061">
      <c r="A3061" s="62" t="n">
        <v>46980</v>
      </c>
      <c r="B3061" s="3" t="inlineStr">
        <is>
          <t>Week</t>
        </is>
      </c>
      <c r="C3061" s="19" t="n">
        <v>8</v>
      </c>
      <c r="D3061" s="19" t="n">
        <v>2028</v>
      </c>
      <c r="E3061" s="57" t="n">
        <v>3</v>
      </c>
      <c r="F3061" s="29">
        <f>ROUND(((SUMIFS(Calendar!$F$2:$F$9997,Calendar!$B$2:$B$9997,D3061,Calendar!$C$2:$C$9997,C3061)*INDEX(ForeCalc!$B$37:$Y$274,MATCH(_xlfn.CONCAT(H3061," ",I3061),ForeCalc!$A$37:$A$274,0),MATCH(_xlfn.CONCAT(B3061," ",E3061),ForeCalc!$B$36:$Y$36,0))))*VLOOKUP(A3061,Calendar!$A$2:$H$9997,8,FALSE),0)</f>
        <v/>
      </c>
      <c r="G3061" s="29">
        <f>VLOOKUP(A3061,Calendar!$A$1:$H$9997,6,FALSE)-F3061</f>
        <v/>
      </c>
      <c r="H3061" s="19" t="n">
        <v>3</v>
      </c>
      <c r="I3061" s="57" t="n">
        <v>5</v>
      </c>
    </row>
    <row r="3062">
      <c r="A3062" s="62" t="n">
        <v>46981</v>
      </c>
      <c r="B3062" s="3" t="inlineStr">
        <is>
          <t>Week</t>
        </is>
      </c>
      <c r="C3062" s="19" t="n">
        <v>8</v>
      </c>
      <c r="D3062" s="19" t="n">
        <v>2028</v>
      </c>
      <c r="E3062" s="57" t="n">
        <v>3</v>
      </c>
      <c r="F3062" s="29">
        <f>ROUND(((SUMIFS(Calendar!$F$2:$F$9997,Calendar!$B$2:$B$9997,D3062,Calendar!$C$2:$C$9997,C3062)*INDEX(ForeCalc!$B$37:$Y$274,MATCH(_xlfn.CONCAT(H3062," ",I3062),ForeCalc!$A$37:$A$274,0),MATCH(_xlfn.CONCAT(B3062," ",E3062),ForeCalc!$B$36:$Y$36,0))))*VLOOKUP(A3062,Calendar!$A$2:$H$9997,8,FALSE),0)</f>
        <v/>
      </c>
      <c r="G3062" s="29">
        <f>VLOOKUP(A3062,Calendar!$A$1:$H$9997,6,FALSE)-F3062</f>
        <v/>
      </c>
      <c r="H3062" s="19" t="n">
        <v>3</v>
      </c>
      <c r="I3062" s="57" t="n">
        <v>5</v>
      </c>
    </row>
    <row r="3063">
      <c r="A3063" s="62" t="n">
        <v>46982</v>
      </c>
      <c r="B3063" s="3" t="inlineStr">
        <is>
          <t>Week</t>
        </is>
      </c>
      <c r="C3063" s="19" t="n">
        <v>8</v>
      </c>
      <c r="D3063" s="19" t="n">
        <v>2028</v>
      </c>
      <c r="E3063" s="57" t="n">
        <v>3</v>
      </c>
      <c r="F3063" s="29">
        <f>ROUND(((SUMIFS(Calendar!$F$2:$F$9997,Calendar!$B$2:$B$9997,D3063,Calendar!$C$2:$C$9997,C3063)*INDEX(ForeCalc!$B$37:$Y$274,MATCH(_xlfn.CONCAT(H3063," ",I3063),ForeCalc!$A$37:$A$274,0),MATCH(_xlfn.CONCAT(B3063," ",E3063),ForeCalc!$B$36:$Y$36,0))))*VLOOKUP(A3063,Calendar!$A$2:$H$9997,8,FALSE),0)</f>
        <v/>
      </c>
      <c r="G3063" s="29">
        <f>VLOOKUP(A3063,Calendar!$A$1:$H$9997,6,FALSE)-F3063</f>
        <v/>
      </c>
      <c r="H3063" s="19" t="n">
        <v>3</v>
      </c>
      <c r="I3063" s="57" t="n">
        <v>5</v>
      </c>
    </row>
    <row r="3064">
      <c r="A3064" s="62" t="n">
        <v>46983</v>
      </c>
      <c r="B3064" s="3" t="inlineStr">
        <is>
          <t>Week</t>
        </is>
      </c>
      <c r="C3064" s="19" t="n">
        <v>8</v>
      </c>
      <c r="D3064" s="19" t="n">
        <v>2028</v>
      </c>
      <c r="E3064" s="57" t="n">
        <v>3</v>
      </c>
      <c r="F3064" s="29">
        <f>ROUND(((SUMIFS(Calendar!$F$2:$F$9997,Calendar!$B$2:$B$9997,D3064,Calendar!$C$2:$C$9997,C3064)*INDEX(ForeCalc!$B$37:$Y$274,MATCH(_xlfn.CONCAT(H3064," ",I3064),ForeCalc!$A$37:$A$274,0),MATCH(_xlfn.CONCAT(B3064," ",E3064),ForeCalc!$B$36:$Y$36,0))))*VLOOKUP(A3064,Calendar!$A$2:$H$9997,8,FALSE),0)</f>
        <v/>
      </c>
      <c r="G3064" s="29">
        <f>VLOOKUP(A3064,Calendar!$A$1:$H$9997,6,FALSE)-F3064</f>
        <v/>
      </c>
      <c r="H3064" s="19" t="n">
        <v>3</v>
      </c>
      <c r="I3064" s="57" t="n">
        <v>5</v>
      </c>
    </row>
    <row r="3065">
      <c r="A3065" s="62" t="n">
        <v>46984</v>
      </c>
      <c r="B3065" s="3" t="inlineStr">
        <is>
          <t>Sat</t>
        </is>
      </c>
      <c r="C3065" s="19" t="n">
        <v>8</v>
      </c>
      <c r="D3065" s="19" t="n">
        <v>2028</v>
      </c>
      <c r="E3065" s="57" t="n">
        <v>3</v>
      </c>
      <c r="F3065" s="29">
        <f>ROUND(((SUMIFS(Calendar!$F$2:$F$9997,Calendar!$B$2:$B$9997,D3065,Calendar!$C$2:$C$9997,C3065)*INDEX(ForeCalc!$B$37:$Y$274,MATCH(_xlfn.CONCAT(H3065," ",I3065),ForeCalc!$A$37:$A$274,0),MATCH(_xlfn.CONCAT(B3065," ",E3065),ForeCalc!$B$36:$Y$36,0))))*VLOOKUP(A3065,Calendar!$A$2:$H$9997,8,FALSE),0)</f>
        <v/>
      </c>
      <c r="G3065" s="29">
        <f>VLOOKUP(A3065,Calendar!$A$1:$H$9997,6,FALSE)-F3065</f>
        <v/>
      </c>
      <c r="H3065" s="19" t="n">
        <v>3</v>
      </c>
      <c r="I3065" s="57" t="n">
        <v>5</v>
      </c>
    </row>
    <row r="3066">
      <c r="A3066" s="62" t="n">
        <v>46985</v>
      </c>
      <c r="B3066" s="3" t="inlineStr">
        <is>
          <t>Sun</t>
        </is>
      </c>
      <c r="C3066" s="19" t="n">
        <v>8</v>
      </c>
      <c r="D3066" s="19" t="n">
        <v>2028</v>
      </c>
      <c r="E3066" s="57" t="n">
        <v>3</v>
      </c>
      <c r="F3066" s="29">
        <f>ROUND(((SUMIFS(Calendar!$F$2:$F$9997,Calendar!$B$2:$B$9997,D3066,Calendar!$C$2:$C$9997,C3066)*INDEX(ForeCalc!$B$37:$Y$274,MATCH(_xlfn.CONCAT(H3066," ",I3066),ForeCalc!$A$37:$A$274,0),MATCH(_xlfn.CONCAT(B3066," ",E3066),ForeCalc!$B$36:$Y$36,0))))*VLOOKUP(A3066,Calendar!$A$2:$H$9997,8,FALSE),0)</f>
        <v/>
      </c>
      <c r="G3066" s="29">
        <f>VLOOKUP(A3066,Calendar!$A$1:$H$9997,6,FALSE)-F3066</f>
        <v/>
      </c>
      <c r="H3066" s="19" t="n">
        <v>3</v>
      </c>
      <c r="I3066" s="57" t="n">
        <v>5</v>
      </c>
    </row>
    <row r="3067">
      <c r="A3067" s="62" t="n">
        <v>46986</v>
      </c>
      <c r="B3067" s="3" t="inlineStr">
        <is>
          <t>Week</t>
        </is>
      </c>
      <c r="C3067" s="19" t="n">
        <v>8</v>
      </c>
      <c r="D3067" s="19" t="n">
        <v>2028</v>
      </c>
      <c r="E3067" s="57" t="n">
        <v>3</v>
      </c>
      <c r="F3067" s="29">
        <f>ROUND(((SUMIFS(Calendar!$F$2:$F$9997,Calendar!$B$2:$B$9997,D3067,Calendar!$C$2:$C$9997,C3067)*INDEX(ForeCalc!$B$37:$Y$274,MATCH(_xlfn.CONCAT(H3067," ",I3067),ForeCalc!$A$37:$A$274,0),MATCH(_xlfn.CONCAT(B3067," ",E3067),ForeCalc!$B$36:$Y$36,0))))*VLOOKUP(A3067,Calendar!$A$2:$H$9997,8,FALSE),0)</f>
        <v/>
      </c>
      <c r="G3067" s="29">
        <f>VLOOKUP(A3067,Calendar!$A$1:$H$9997,6,FALSE)-F3067</f>
        <v/>
      </c>
      <c r="H3067" s="19" t="n">
        <v>3</v>
      </c>
      <c r="I3067" s="57" t="n">
        <v>5</v>
      </c>
    </row>
    <row r="3068">
      <c r="A3068" s="62" t="n">
        <v>46987</v>
      </c>
      <c r="B3068" s="3" t="inlineStr">
        <is>
          <t>Week</t>
        </is>
      </c>
      <c r="C3068" s="19" t="n">
        <v>8</v>
      </c>
      <c r="D3068" s="19" t="n">
        <v>2028</v>
      </c>
      <c r="E3068" s="57" t="n">
        <v>3</v>
      </c>
      <c r="F3068" s="29">
        <f>ROUND(((SUMIFS(Calendar!$F$2:$F$9997,Calendar!$B$2:$B$9997,D3068,Calendar!$C$2:$C$9997,C3068)*INDEX(ForeCalc!$B$37:$Y$274,MATCH(_xlfn.CONCAT(H3068," ",I3068),ForeCalc!$A$37:$A$274,0),MATCH(_xlfn.CONCAT(B3068," ",E3068),ForeCalc!$B$36:$Y$36,0))))*VLOOKUP(A3068,Calendar!$A$2:$H$9997,8,FALSE),0)</f>
        <v/>
      </c>
      <c r="G3068" s="29">
        <f>VLOOKUP(A3068,Calendar!$A$1:$H$9997,6,FALSE)-F3068</f>
        <v/>
      </c>
      <c r="H3068" s="19" t="n">
        <v>3</v>
      </c>
      <c r="I3068" s="57" t="n">
        <v>5</v>
      </c>
    </row>
    <row r="3069">
      <c r="A3069" s="62" t="n">
        <v>46988</v>
      </c>
      <c r="B3069" s="3" t="inlineStr">
        <is>
          <t>Week</t>
        </is>
      </c>
      <c r="C3069" s="19" t="n">
        <v>8</v>
      </c>
      <c r="D3069" s="19" t="n">
        <v>2028</v>
      </c>
      <c r="E3069" s="57" t="n">
        <v>3</v>
      </c>
      <c r="F3069" s="29">
        <f>ROUND(((SUMIFS(Calendar!$F$2:$F$9997,Calendar!$B$2:$B$9997,D3069,Calendar!$C$2:$C$9997,C3069)*INDEX(ForeCalc!$B$37:$Y$274,MATCH(_xlfn.CONCAT(H3069," ",I3069),ForeCalc!$A$37:$A$274,0),MATCH(_xlfn.CONCAT(B3069," ",E3069),ForeCalc!$B$36:$Y$36,0))))*VLOOKUP(A3069,Calendar!$A$2:$H$9997,8,FALSE),0)</f>
        <v/>
      </c>
      <c r="G3069" s="29">
        <f>VLOOKUP(A3069,Calendar!$A$1:$H$9997,6,FALSE)-F3069</f>
        <v/>
      </c>
      <c r="H3069" s="19" t="n">
        <v>3</v>
      </c>
      <c r="I3069" s="57" t="n">
        <v>5</v>
      </c>
    </row>
    <row r="3070">
      <c r="A3070" s="62" t="n">
        <v>46989</v>
      </c>
      <c r="B3070" s="3" t="inlineStr">
        <is>
          <t>Week</t>
        </is>
      </c>
      <c r="C3070" s="19" t="n">
        <v>8</v>
      </c>
      <c r="D3070" s="19" t="n">
        <v>2028</v>
      </c>
      <c r="E3070" s="57" t="n">
        <v>3</v>
      </c>
      <c r="F3070" s="29">
        <f>ROUND(((SUMIFS(Calendar!$F$2:$F$9997,Calendar!$B$2:$B$9997,D3070,Calendar!$C$2:$C$9997,C3070)*INDEX(ForeCalc!$B$37:$Y$274,MATCH(_xlfn.CONCAT(H3070," ",I3070),ForeCalc!$A$37:$A$274,0),MATCH(_xlfn.CONCAT(B3070," ",E3070),ForeCalc!$B$36:$Y$36,0))))*VLOOKUP(A3070,Calendar!$A$2:$H$9997,8,FALSE),0)</f>
        <v/>
      </c>
      <c r="G3070" s="29">
        <f>VLOOKUP(A3070,Calendar!$A$1:$H$9997,6,FALSE)-F3070</f>
        <v/>
      </c>
      <c r="H3070" s="19" t="n">
        <v>3</v>
      </c>
      <c r="I3070" s="57" t="n">
        <v>5</v>
      </c>
    </row>
    <row r="3071">
      <c r="A3071" s="62" t="n">
        <v>46990</v>
      </c>
      <c r="B3071" s="3" t="inlineStr">
        <is>
          <t>Week</t>
        </is>
      </c>
      <c r="C3071" s="19" t="n">
        <v>8</v>
      </c>
      <c r="D3071" s="19" t="n">
        <v>2028</v>
      </c>
      <c r="E3071" s="57" t="n">
        <v>3</v>
      </c>
      <c r="F3071" s="29">
        <f>ROUND(((SUMIFS(Calendar!$F$2:$F$9997,Calendar!$B$2:$B$9997,D3071,Calendar!$C$2:$C$9997,C3071)*INDEX(ForeCalc!$B$37:$Y$274,MATCH(_xlfn.CONCAT(H3071," ",I3071),ForeCalc!$A$37:$A$274,0),MATCH(_xlfn.CONCAT(B3071," ",E3071),ForeCalc!$B$36:$Y$36,0))))*VLOOKUP(A3071,Calendar!$A$2:$H$9997,8,FALSE),0)</f>
        <v/>
      </c>
      <c r="G3071" s="29">
        <f>VLOOKUP(A3071,Calendar!$A$1:$H$9997,6,FALSE)-F3071</f>
        <v/>
      </c>
      <c r="H3071" s="19" t="n">
        <v>3</v>
      </c>
      <c r="I3071" s="57" t="n">
        <v>5</v>
      </c>
    </row>
    <row r="3072">
      <c r="A3072" s="62" t="n">
        <v>46991</v>
      </c>
      <c r="B3072" s="3" t="inlineStr">
        <is>
          <t>Sat</t>
        </is>
      </c>
      <c r="C3072" s="19" t="n">
        <v>8</v>
      </c>
      <c r="D3072" s="19" t="n">
        <v>2028</v>
      </c>
      <c r="E3072" s="57" t="n">
        <v>3</v>
      </c>
      <c r="F3072" s="29">
        <f>ROUND(((SUMIFS(Calendar!$F$2:$F$9997,Calendar!$B$2:$B$9997,D3072,Calendar!$C$2:$C$9997,C3072)*INDEX(ForeCalc!$B$37:$Y$274,MATCH(_xlfn.CONCAT(H3072," ",I3072),ForeCalc!$A$37:$A$274,0),MATCH(_xlfn.CONCAT(B3072," ",E3072),ForeCalc!$B$36:$Y$36,0))))*VLOOKUP(A3072,Calendar!$A$2:$H$9997,8,FALSE),0)</f>
        <v/>
      </c>
      <c r="G3072" s="29">
        <f>VLOOKUP(A3072,Calendar!$A$1:$H$9997,6,FALSE)-F3072</f>
        <v/>
      </c>
      <c r="H3072" s="19" t="n">
        <v>3</v>
      </c>
      <c r="I3072" s="57" t="n">
        <v>5</v>
      </c>
    </row>
    <row r="3073">
      <c r="A3073" s="62" t="n">
        <v>46992</v>
      </c>
      <c r="B3073" s="3" t="inlineStr">
        <is>
          <t>Sun</t>
        </is>
      </c>
      <c r="C3073" s="19" t="n">
        <v>8</v>
      </c>
      <c r="D3073" s="19" t="n">
        <v>2028</v>
      </c>
      <c r="E3073" s="57" t="n">
        <v>3</v>
      </c>
      <c r="F3073" s="29">
        <f>ROUND(((SUMIFS(Calendar!$F$2:$F$9997,Calendar!$B$2:$B$9997,D3073,Calendar!$C$2:$C$9997,C3073)*INDEX(ForeCalc!$B$37:$Y$274,MATCH(_xlfn.CONCAT(H3073," ",I3073),ForeCalc!$A$37:$A$274,0),MATCH(_xlfn.CONCAT(B3073," ",E3073),ForeCalc!$B$36:$Y$36,0))))*VLOOKUP(A3073,Calendar!$A$2:$H$9997,8,FALSE),0)</f>
        <v/>
      </c>
      <c r="G3073" s="29">
        <f>VLOOKUP(A3073,Calendar!$A$1:$H$9997,6,FALSE)-F3073</f>
        <v/>
      </c>
      <c r="H3073" s="19" t="n">
        <v>3</v>
      </c>
      <c r="I3073" s="57" t="n">
        <v>5</v>
      </c>
    </row>
    <row r="3074">
      <c r="A3074" s="62" t="n">
        <v>46993</v>
      </c>
      <c r="B3074" s="3" t="inlineStr">
        <is>
          <t>Week</t>
        </is>
      </c>
      <c r="C3074" s="19" t="n">
        <v>8</v>
      </c>
      <c r="D3074" s="19" t="n">
        <v>2028</v>
      </c>
      <c r="E3074" s="57" t="n">
        <v>3</v>
      </c>
      <c r="F3074" s="29">
        <f>ROUND(((SUMIFS(Calendar!$F$2:$F$9997,Calendar!$B$2:$B$9997,D3074,Calendar!$C$2:$C$9997,C3074)*INDEX(ForeCalc!$B$37:$Y$274,MATCH(_xlfn.CONCAT(H3074," ",I3074),ForeCalc!$A$37:$A$274,0),MATCH(_xlfn.CONCAT(B3074," ",E3074),ForeCalc!$B$36:$Y$36,0))))*VLOOKUP(A3074,Calendar!$A$2:$H$9997,8,FALSE),0)</f>
        <v/>
      </c>
      <c r="G3074" s="29">
        <f>VLOOKUP(A3074,Calendar!$A$1:$H$9997,6,FALSE)-F3074</f>
        <v/>
      </c>
      <c r="H3074" s="19" t="n">
        <v>3</v>
      </c>
      <c r="I3074" s="57" t="n">
        <v>5</v>
      </c>
    </row>
    <row r="3075">
      <c r="A3075" s="62" t="n">
        <v>46994</v>
      </c>
      <c r="B3075" s="3" t="inlineStr">
        <is>
          <t>Week</t>
        </is>
      </c>
      <c r="C3075" s="19" t="n">
        <v>8</v>
      </c>
      <c r="D3075" s="19" t="n">
        <v>2028</v>
      </c>
      <c r="E3075" s="57" t="n">
        <v>3</v>
      </c>
      <c r="F3075" s="29">
        <f>ROUND(((SUMIFS(Calendar!$F$2:$F$9997,Calendar!$B$2:$B$9997,D3075,Calendar!$C$2:$C$9997,C3075)*INDEX(ForeCalc!$B$37:$Y$274,MATCH(_xlfn.CONCAT(H3075," ",I3075),ForeCalc!$A$37:$A$274,0),MATCH(_xlfn.CONCAT(B3075," ",E3075),ForeCalc!$B$36:$Y$36,0))))*VLOOKUP(A3075,Calendar!$A$2:$H$9997,8,FALSE),0)</f>
        <v/>
      </c>
      <c r="G3075" s="29">
        <f>VLOOKUP(A3075,Calendar!$A$1:$H$9997,6,FALSE)-F3075</f>
        <v/>
      </c>
      <c r="H3075" s="19" t="n">
        <v>3</v>
      </c>
      <c r="I3075" s="57" t="n">
        <v>5</v>
      </c>
    </row>
    <row r="3076">
      <c r="A3076" s="62" t="n">
        <v>46995</v>
      </c>
      <c r="B3076" s="3" t="inlineStr">
        <is>
          <t>Week</t>
        </is>
      </c>
      <c r="C3076" s="19" t="n">
        <v>8</v>
      </c>
      <c r="D3076" s="19" t="n">
        <v>2028</v>
      </c>
      <c r="E3076" s="57" t="n">
        <v>3</v>
      </c>
      <c r="F3076" s="29">
        <f>ROUND(((SUMIFS(Calendar!$F$2:$F$9997,Calendar!$B$2:$B$9997,D3076,Calendar!$C$2:$C$9997,C3076)*INDEX(ForeCalc!$B$37:$Y$274,MATCH(_xlfn.CONCAT(H3076," ",I3076),ForeCalc!$A$37:$A$274,0),MATCH(_xlfn.CONCAT(B3076," ",E3076),ForeCalc!$B$36:$Y$36,0))))*VLOOKUP(A3076,Calendar!$A$2:$H$9997,8,FALSE),0)</f>
        <v/>
      </c>
      <c r="G3076" s="29">
        <f>VLOOKUP(A3076,Calendar!$A$1:$H$9997,6,FALSE)-F3076</f>
        <v/>
      </c>
      <c r="H3076" s="19" t="n">
        <v>3</v>
      </c>
      <c r="I3076" s="57" t="n">
        <v>5</v>
      </c>
    </row>
    <row r="3077">
      <c r="A3077" s="62" t="n">
        <v>46996</v>
      </c>
      <c r="B3077" s="3" t="inlineStr">
        <is>
          <t>Week</t>
        </is>
      </c>
      <c r="C3077" s="19" t="n">
        <v>8</v>
      </c>
      <c r="D3077" s="19" t="n">
        <v>2028</v>
      </c>
      <c r="E3077" s="57" t="n">
        <v>3</v>
      </c>
      <c r="F3077" s="29">
        <f>ROUND(((SUMIFS(Calendar!$F$2:$F$9997,Calendar!$B$2:$B$9997,D3077,Calendar!$C$2:$C$9997,C3077)*INDEX(ForeCalc!$B$37:$Y$274,MATCH(_xlfn.CONCAT(H3077," ",I3077),ForeCalc!$A$37:$A$274,0),MATCH(_xlfn.CONCAT(B3077," ",E3077),ForeCalc!$B$36:$Y$36,0))))*VLOOKUP(A3077,Calendar!$A$2:$H$9997,8,FALSE),0)</f>
        <v/>
      </c>
      <c r="G3077" s="29">
        <f>VLOOKUP(A3077,Calendar!$A$1:$H$9997,6,FALSE)-F3077</f>
        <v/>
      </c>
      <c r="H3077" s="19" t="n">
        <v>3</v>
      </c>
      <c r="I3077" s="57" t="n">
        <v>5</v>
      </c>
    </row>
    <row r="3078">
      <c r="A3078" s="62" t="n">
        <v>46997</v>
      </c>
      <c r="B3078" s="3" t="inlineStr">
        <is>
          <t>Week</t>
        </is>
      </c>
      <c r="C3078" s="19" t="n">
        <v>9</v>
      </c>
      <c r="D3078" s="19" t="n">
        <v>2028</v>
      </c>
      <c r="E3078" s="57" t="n">
        <v>3</v>
      </c>
      <c r="F3078" s="29">
        <f>ROUND(((SUMIFS(Calendar!$F$2:$F$9997,Calendar!$B$2:$B$9997,D3078,Calendar!$C$2:$C$9997,C3078)*INDEX(ForeCalc!$B$37:$Y$274,MATCH(_xlfn.CONCAT(H3078," ",I3078),ForeCalc!$A$37:$A$274,0),MATCH(_xlfn.CONCAT(B3078," ",E3078),ForeCalc!$B$36:$Y$36,0))))*VLOOKUP(A3078,Calendar!$A$2:$H$9997,8,FALSE),0)</f>
        <v/>
      </c>
      <c r="G3078" s="29">
        <f>VLOOKUP(A3078,Calendar!$A$1:$H$9997,6,FALSE)-F3078</f>
        <v/>
      </c>
      <c r="H3078" s="19" t="n">
        <v>3</v>
      </c>
      <c r="I3078" s="57" t="n">
        <v>6</v>
      </c>
    </row>
    <row r="3079">
      <c r="A3079" s="62" t="n">
        <v>46998</v>
      </c>
      <c r="B3079" s="3" t="inlineStr">
        <is>
          <t>Sat</t>
        </is>
      </c>
      <c r="C3079" s="19" t="n">
        <v>9</v>
      </c>
      <c r="D3079" s="19" t="n">
        <v>2028</v>
      </c>
      <c r="E3079" s="57" t="n">
        <v>3</v>
      </c>
      <c r="F3079" s="29">
        <f>ROUND(((SUMIFS(Calendar!$F$2:$F$9997,Calendar!$B$2:$B$9997,D3079,Calendar!$C$2:$C$9997,C3079)*INDEX(ForeCalc!$B$37:$Y$274,MATCH(_xlfn.CONCAT(H3079," ",I3079),ForeCalc!$A$37:$A$274,0),MATCH(_xlfn.CONCAT(B3079," ",E3079),ForeCalc!$B$36:$Y$36,0))))*VLOOKUP(A3079,Calendar!$A$2:$H$9997,8,FALSE),0)</f>
        <v/>
      </c>
      <c r="G3079" s="29">
        <f>VLOOKUP(A3079,Calendar!$A$1:$H$9997,6,FALSE)-F3079</f>
        <v/>
      </c>
      <c r="H3079" s="19" t="n">
        <v>3</v>
      </c>
      <c r="I3079" s="57" t="n">
        <v>6</v>
      </c>
    </row>
    <row r="3080">
      <c r="A3080" s="62" t="n">
        <v>46999</v>
      </c>
      <c r="B3080" s="3" t="inlineStr">
        <is>
          <t>Sun</t>
        </is>
      </c>
      <c r="C3080" s="19" t="n">
        <v>9</v>
      </c>
      <c r="D3080" s="19" t="n">
        <v>2028</v>
      </c>
      <c r="E3080" s="57" t="n">
        <v>3</v>
      </c>
      <c r="F3080" s="29">
        <f>ROUND(((SUMIFS(Calendar!$F$2:$F$9997,Calendar!$B$2:$B$9997,D3080,Calendar!$C$2:$C$9997,C3080)*INDEX(ForeCalc!$B$37:$Y$274,MATCH(_xlfn.CONCAT(H3080," ",I3080),ForeCalc!$A$37:$A$274,0),MATCH(_xlfn.CONCAT(B3080," ",E3080),ForeCalc!$B$36:$Y$36,0))))*VLOOKUP(A3080,Calendar!$A$2:$H$9997,8,FALSE),0)</f>
        <v/>
      </c>
      <c r="G3080" s="29">
        <f>VLOOKUP(A3080,Calendar!$A$1:$H$9997,6,FALSE)-F3080</f>
        <v/>
      </c>
      <c r="H3080" s="19" t="n">
        <v>3</v>
      </c>
      <c r="I3080" s="57" t="n">
        <v>6</v>
      </c>
    </row>
    <row r="3081">
      <c r="A3081" s="62" t="n">
        <v>47000</v>
      </c>
      <c r="B3081" s="3" t="inlineStr">
        <is>
          <t>Week</t>
        </is>
      </c>
      <c r="C3081" s="19" t="n">
        <v>9</v>
      </c>
      <c r="D3081" s="19" t="n">
        <v>2028</v>
      </c>
      <c r="E3081" s="57" t="n">
        <v>3</v>
      </c>
      <c r="F3081" s="29">
        <f>ROUND(((SUMIFS(Calendar!$F$2:$F$9997,Calendar!$B$2:$B$9997,D3081,Calendar!$C$2:$C$9997,C3081)*INDEX(ForeCalc!$B$37:$Y$274,MATCH(_xlfn.CONCAT(H3081," ",I3081),ForeCalc!$A$37:$A$274,0),MATCH(_xlfn.CONCAT(B3081," ",E3081),ForeCalc!$B$36:$Y$36,0))))*VLOOKUP(A3081,Calendar!$A$2:$H$9997,8,FALSE),0)</f>
        <v/>
      </c>
      <c r="G3081" s="29">
        <f>VLOOKUP(A3081,Calendar!$A$1:$H$9997,6,FALSE)-F3081</f>
        <v/>
      </c>
      <c r="H3081" s="19" t="n">
        <v>3</v>
      </c>
      <c r="I3081" s="57" t="n">
        <v>6</v>
      </c>
    </row>
    <row r="3082">
      <c r="A3082" s="62" t="n">
        <v>47001</v>
      </c>
      <c r="B3082" s="3" t="inlineStr">
        <is>
          <t>Week</t>
        </is>
      </c>
      <c r="C3082" s="19" t="n">
        <v>9</v>
      </c>
      <c r="D3082" s="19" t="n">
        <v>2028</v>
      </c>
      <c r="E3082" s="57" t="n">
        <v>3</v>
      </c>
      <c r="F3082" s="29">
        <f>ROUND(((SUMIFS(Calendar!$F$2:$F$9997,Calendar!$B$2:$B$9997,D3082,Calendar!$C$2:$C$9997,C3082)*INDEX(ForeCalc!$B$37:$Y$274,MATCH(_xlfn.CONCAT(H3082," ",I3082),ForeCalc!$A$37:$A$274,0),MATCH(_xlfn.CONCAT(B3082," ",E3082),ForeCalc!$B$36:$Y$36,0))))*VLOOKUP(A3082,Calendar!$A$2:$H$9997,8,FALSE),0)</f>
        <v/>
      </c>
      <c r="G3082" s="29">
        <f>VLOOKUP(A3082,Calendar!$A$1:$H$9997,6,FALSE)-F3082</f>
        <v/>
      </c>
      <c r="H3082" s="19" t="n">
        <v>3</v>
      </c>
      <c r="I3082" s="57" t="n">
        <v>6</v>
      </c>
    </row>
    <row r="3083">
      <c r="A3083" s="62" t="n">
        <v>47002</v>
      </c>
      <c r="B3083" s="3" t="inlineStr">
        <is>
          <t>Week</t>
        </is>
      </c>
      <c r="C3083" s="19" t="n">
        <v>9</v>
      </c>
      <c r="D3083" s="19" t="n">
        <v>2028</v>
      </c>
      <c r="E3083" s="57" t="n">
        <v>3</v>
      </c>
      <c r="F3083" s="29">
        <f>ROUND(((SUMIFS(Calendar!$F$2:$F$9997,Calendar!$B$2:$B$9997,D3083,Calendar!$C$2:$C$9997,C3083)*INDEX(ForeCalc!$B$37:$Y$274,MATCH(_xlfn.CONCAT(H3083," ",I3083),ForeCalc!$A$37:$A$274,0),MATCH(_xlfn.CONCAT(B3083," ",E3083),ForeCalc!$B$36:$Y$36,0))))*VLOOKUP(A3083,Calendar!$A$2:$H$9997,8,FALSE),0)</f>
        <v/>
      </c>
      <c r="G3083" s="29">
        <f>VLOOKUP(A3083,Calendar!$A$1:$H$9997,6,FALSE)-F3083</f>
        <v/>
      </c>
      <c r="H3083" s="19" t="n">
        <v>3</v>
      </c>
      <c r="I3083" s="57" t="n">
        <v>6</v>
      </c>
    </row>
    <row r="3084">
      <c r="A3084" s="62" t="n">
        <v>47003</v>
      </c>
      <c r="B3084" s="3" t="inlineStr">
        <is>
          <t>Week</t>
        </is>
      </c>
      <c r="C3084" s="19" t="n">
        <v>9</v>
      </c>
      <c r="D3084" s="19" t="n">
        <v>2028</v>
      </c>
      <c r="E3084" s="57" t="n">
        <v>3</v>
      </c>
      <c r="F3084" s="29">
        <f>ROUND(((SUMIFS(Calendar!$F$2:$F$9997,Calendar!$B$2:$B$9997,D3084,Calendar!$C$2:$C$9997,C3084)*INDEX(ForeCalc!$B$37:$Y$274,MATCH(_xlfn.CONCAT(H3084," ",I3084),ForeCalc!$A$37:$A$274,0),MATCH(_xlfn.CONCAT(B3084," ",E3084),ForeCalc!$B$36:$Y$36,0))))*VLOOKUP(A3084,Calendar!$A$2:$H$9997,8,FALSE),0)</f>
        <v/>
      </c>
      <c r="G3084" s="29">
        <f>VLOOKUP(A3084,Calendar!$A$1:$H$9997,6,FALSE)-F3084</f>
        <v/>
      </c>
      <c r="H3084" s="19" t="n">
        <v>3</v>
      </c>
      <c r="I3084" s="57" t="n">
        <v>6</v>
      </c>
    </row>
    <row r="3085">
      <c r="A3085" s="62" t="n">
        <v>47004</v>
      </c>
      <c r="B3085" s="3" t="inlineStr">
        <is>
          <t>Week</t>
        </is>
      </c>
      <c r="C3085" s="19" t="n">
        <v>9</v>
      </c>
      <c r="D3085" s="19" t="n">
        <v>2028</v>
      </c>
      <c r="E3085" s="57" t="n">
        <v>3</v>
      </c>
      <c r="F3085" s="29">
        <f>ROUND(((SUMIFS(Calendar!$F$2:$F$9997,Calendar!$B$2:$B$9997,D3085,Calendar!$C$2:$C$9997,C3085)*INDEX(ForeCalc!$B$37:$Y$274,MATCH(_xlfn.CONCAT(H3085," ",I3085),ForeCalc!$A$37:$A$274,0),MATCH(_xlfn.CONCAT(B3085," ",E3085),ForeCalc!$B$36:$Y$36,0))))*VLOOKUP(A3085,Calendar!$A$2:$H$9997,8,FALSE),0)</f>
        <v/>
      </c>
      <c r="G3085" s="29">
        <f>VLOOKUP(A3085,Calendar!$A$1:$H$9997,6,FALSE)-F3085</f>
        <v/>
      </c>
      <c r="H3085" s="19" t="n">
        <v>3</v>
      </c>
      <c r="I3085" s="57" t="n">
        <v>6</v>
      </c>
    </row>
    <row r="3086">
      <c r="A3086" s="62" t="n">
        <v>47005</v>
      </c>
      <c r="B3086" s="3" t="inlineStr">
        <is>
          <t>Sat</t>
        </is>
      </c>
      <c r="C3086" s="19" t="n">
        <v>9</v>
      </c>
      <c r="D3086" s="19" t="n">
        <v>2028</v>
      </c>
      <c r="E3086" s="57" t="n">
        <v>3</v>
      </c>
      <c r="F3086" s="29">
        <f>ROUND(((SUMIFS(Calendar!$F$2:$F$9997,Calendar!$B$2:$B$9997,D3086,Calendar!$C$2:$C$9997,C3086)*INDEX(ForeCalc!$B$37:$Y$274,MATCH(_xlfn.CONCAT(H3086," ",I3086),ForeCalc!$A$37:$A$274,0),MATCH(_xlfn.CONCAT(B3086," ",E3086),ForeCalc!$B$36:$Y$36,0))))*VLOOKUP(A3086,Calendar!$A$2:$H$9997,8,FALSE),0)</f>
        <v/>
      </c>
      <c r="G3086" s="29">
        <f>VLOOKUP(A3086,Calendar!$A$1:$H$9997,6,FALSE)-F3086</f>
        <v/>
      </c>
      <c r="H3086" s="19" t="n">
        <v>3</v>
      </c>
      <c r="I3086" s="57" t="n">
        <v>6</v>
      </c>
    </row>
    <row r="3087">
      <c r="A3087" s="62" t="n">
        <v>47006</v>
      </c>
      <c r="B3087" s="3" t="inlineStr">
        <is>
          <t>Sun</t>
        </is>
      </c>
      <c r="C3087" s="19" t="n">
        <v>9</v>
      </c>
      <c r="D3087" s="19" t="n">
        <v>2028</v>
      </c>
      <c r="E3087" s="57" t="n">
        <v>3</v>
      </c>
      <c r="F3087" s="29">
        <f>ROUND(((SUMIFS(Calendar!$F$2:$F$9997,Calendar!$B$2:$B$9997,D3087,Calendar!$C$2:$C$9997,C3087)*INDEX(ForeCalc!$B$37:$Y$274,MATCH(_xlfn.CONCAT(H3087," ",I3087),ForeCalc!$A$37:$A$274,0),MATCH(_xlfn.CONCAT(B3087," ",E3087),ForeCalc!$B$36:$Y$36,0))))*VLOOKUP(A3087,Calendar!$A$2:$H$9997,8,FALSE),0)</f>
        <v/>
      </c>
      <c r="G3087" s="29">
        <f>VLOOKUP(A3087,Calendar!$A$1:$H$9997,6,FALSE)-F3087</f>
        <v/>
      </c>
      <c r="H3087" s="19" t="n">
        <v>3</v>
      </c>
      <c r="I3087" s="57" t="n">
        <v>6</v>
      </c>
    </row>
    <row r="3088">
      <c r="A3088" s="62" t="n">
        <v>47007</v>
      </c>
      <c r="B3088" s="3" t="inlineStr">
        <is>
          <t>Week</t>
        </is>
      </c>
      <c r="C3088" s="19" t="n">
        <v>9</v>
      </c>
      <c r="D3088" s="19" t="n">
        <v>2028</v>
      </c>
      <c r="E3088" s="57" t="n">
        <v>3</v>
      </c>
      <c r="F3088" s="29">
        <f>ROUND(((SUMIFS(Calendar!$F$2:$F$9997,Calendar!$B$2:$B$9997,D3088,Calendar!$C$2:$C$9997,C3088)*INDEX(ForeCalc!$B$37:$Y$274,MATCH(_xlfn.CONCAT(H3088," ",I3088),ForeCalc!$A$37:$A$274,0),MATCH(_xlfn.CONCAT(B3088," ",E3088),ForeCalc!$B$36:$Y$36,0))))*VLOOKUP(A3088,Calendar!$A$2:$H$9997,8,FALSE),0)</f>
        <v/>
      </c>
      <c r="G3088" s="29">
        <f>VLOOKUP(A3088,Calendar!$A$1:$H$9997,6,FALSE)-F3088</f>
        <v/>
      </c>
      <c r="H3088" s="19" t="n">
        <v>3</v>
      </c>
      <c r="I3088" s="57" t="n">
        <v>6</v>
      </c>
    </row>
    <row r="3089">
      <c r="A3089" s="62" t="n">
        <v>47008</v>
      </c>
      <c r="B3089" s="3" t="inlineStr">
        <is>
          <t>Week</t>
        </is>
      </c>
      <c r="C3089" s="19" t="n">
        <v>9</v>
      </c>
      <c r="D3089" s="19" t="n">
        <v>2028</v>
      </c>
      <c r="E3089" s="57" t="n">
        <v>3</v>
      </c>
      <c r="F3089" s="29">
        <f>ROUND(((SUMIFS(Calendar!$F$2:$F$9997,Calendar!$B$2:$B$9997,D3089,Calendar!$C$2:$C$9997,C3089)*INDEX(ForeCalc!$B$37:$Y$274,MATCH(_xlfn.CONCAT(H3089," ",I3089),ForeCalc!$A$37:$A$274,0),MATCH(_xlfn.CONCAT(B3089," ",E3089),ForeCalc!$B$36:$Y$36,0))))*VLOOKUP(A3089,Calendar!$A$2:$H$9997,8,FALSE),0)</f>
        <v/>
      </c>
      <c r="G3089" s="29">
        <f>VLOOKUP(A3089,Calendar!$A$1:$H$9997,6,FALSE)-F3089</f>
        <v/>
      </c>
      <c r="H3089" s="19" t="n">
        <v>3</v>
      </c>
      <c r="I3089" s="57" t="n">
        <v>6</v>
      </c>
    </row>
    <row r="3090">
      <c r="A3090" s="62" t="n">
        <v>47009</v>
      </c>
      <c r="B3090" s="3" t="inlineStr">
        <is>
          <t>Week</t>
        </is>
      </c>
      <c r="C3090" s="19" t="n">
        <v>9</v>
      </c>
      <c r="D3090" s="19" t="n">
        <v>2028</v>
      </c>
      <c r="E3090" s="57" t="n">
        <v>3</v>
      </c>
      <c r="F3090" s="29">
        <f>ROUND(((SUMIFS(Calendar!$F$2:$F$9997,Calendar!$B$2:$B$9997,D3090,Calendar!$C$2:$C$9997,C3090)*INDEX(ForeCalc!$B$37:$Y$274,MATCH(_xlfn.CONCAT(H3090," ",I3090),ForeCalc!$A$37:$A$274,0),MATCH(_xlfn.CONCAT(B3090," ",E3090),ForeCalc!$B$36:$Y$36,0))))*VLOOKUP(A3090,Calendar!$A$2:$H$9997,8,FALSE),0)</f>
        <v/>
      </c>
      <c r="G3090" s="29">
        <f>VLOOKUP(A3090,Calendar!$A$1:$H$9997,6,FALSE)-F3090</f>
        <v/>
      </c>
      <c r="H3090" s="19" t="n">
        <v>3</v>
      </c>
      <c r="I3090" s="57" t="n">
        <v>6</v>
      </c>
    </row>
    <row r="3091">
      <c r="A3091" s="62" t="n">
        <v>47010</v>
      </c>
      <c r="B3091" s="3" t="inlineStr">
        <is>
          <t>Week</t>
        </is>
      </c>
      <c r="C3091" s="19" t="n">
        <v>9</v>
      </c>
      <c r="D3091" s="19" t="n">
        <v>2028</v>
      </c>
      <c r="E3091" s="57" t="n">
        <v>3</v>
      </c>
      <c r="F3091" s="29">
        <f>ROUND(((SUMIFS(Calendar!$F$2:$F$9997,Calendar!$B$2:$B$9997,D3091,Calendar!$C$2:$C$9997,C3091)*INDEX(ForeCalc!$B$37:$Y$274,MATCH(_xlfn.CONCAT(H3091," ",I3091),ForeCalc!$A$37:$A$274,0),MATCH(_xlfn.CONCAT(B3091," ",E3091),ForeCalc!$B$36:$Y$36,0))))*VLOOKUP(A3091,Calendar!$A$2:$H$9997,8,FALSE),0)</f>
        <v/>
      </c>
      <c r="G3091" s="29">
        <f>VLOOKUP(A3091,Calendar!$A$1:$H$9997,6,FALSE)-F3091</f>
        <v/>
      </c>
      <c r="H3091" s="19" t="n">
        <v>3</v>
      </c>
      <c r="I3091" s="57" t="n">
        <v>6</v>
      </c>
    </row>
    <row r="3092">
      <c r="A3092" s="62" t="n">
        <v>47011</v>
      </c>
      <c r="B3092" s="3" t="inlineStr">
        <is>
          <t>Week</t>
        </is>
      </c>
      <c r="C3092" s="19" t="n">
        <v>9</v>
      </c>
      <c r="D3092" s="19" t="n">
        <v>2028</v>
      </c>
      <c r="E3092" s="57" t="n">
        <v>3</v>
      </c>
      <c r="F3092" s="29">
        <f>ROUND(((SUMIFS(Calendar!$F$2:$F$9997,Calendar!$B$2:$B$9997,D3092,Calendar!$C$2:$C$9997,C3092)*INDEX(ForeCalc!$B$37:$Y$274,MATCH(_xlfn.CONCAT(H3092," ",I3092),ForeCalc!$A$37:$A$274,0),MATCH(_xlfn.CONCAT(B3092," ",E3092),ForeCalc!$B$36:$Y$36,0))))*VLOOKUP(A3092,Calendar!$A$2:$H$9997,8,FALSE),0)</f>
        <v/>
      </c>
      <c r="G3092" s="29">
        <f>VLOOKUP(A3092,Calendar!$A$1:$H$9997,6,FALSE)-F3092</f>
        <v/>
      </c>
      <c r="H3092" s="19" t="n">
        <v>3</v>
      </c>
      <c r="I3092" s="57" t="n">
        <v>6</v>
      </c>
    </row>
    <row r="3093">
      <c r="A3093" s="62" t="n">
        <v>47012</v>
      </c>
      <c r="B3093" s="3" t="inlineStr">
        <is>
          <t>Sat</t>
        </is>
      </c>
      <c r="C3093" s="19" t="n">
        <v>9</v>
      </c>
      <c r="D3093" s="19" t="n">
        <v>2028</v>
      </c>
      <c r="E3093" s="57" t="n">
        <v>3</v>
      </c>
      <c r="F3093" s="29">
        <f>ROUND(((SUMIFS(Calendar!$F$2:$F$9997,Calendar!$B$2:$B$9997,D3093,Calendar!$C$2:$C$9997,C3093)*INDEX(ForeCalc!$B$37:$Y$274,MATCH(_xlfn.CONCAT(H3093," ",I3093),ForeCalc!$A$37:$A$274,0),MATCH(_xlfn.CONCAT(B3093," ",E3093),ForeCalc!$B$36:$Y$36,0))))*VLOOKUP(A3093,Calendar!$A$2:$H$9997,8,FALSE),0)</f>
        <v/>
      </c>
      <c r="G3093" s="29">
        <f>VLOOKUP(A3093,Calendar!$A$1:$H$9997,6,FALSE)-F3093</f>
        <v/>
      </c>
      <c r="H3093" s="19" t="n">
        <v>3</v>
      </c>
      <c r="I3093" s="57" t="n">
        <v>6</v>
      </c>
    </row>
    <row r="3094">
      <c r="A3094" s="62" t="n">
        <v>47013</v>
      </c>
      <c r="B3094" s="3" t="inlineStr">
        <is>
          <t>Sun</t>
        </is>
      </c>
      <c r="C3094" s="19" t="n">
        <v>9</v>
      </c>
      <c r="D3094" s="19" t="n">
        <v>2028</v>
      </c>
      <c r="E3094" s="57" t="n">
        <v>3</v>
      </c>
      <c r="F3094" s="29">
        <f>ROUND(((SUMIFS(Calendar!$F$2:$F$9997,Calendar!$B$2:$B$9997,D3094,Calendar!$C$2:$C$9997,C3094)*INDEX(ForeCalc!$B$37:$Y$274,MATCH(_xlfn.CONCAT(H3094," ",I3094),ForeCalc!$A$37:$A$274,0),MATCH(_xlfn.CONCAT(B3094," ",E3094),ForeCalc!$B$36:$Y$36,0))))*VLOOKUP(A3094,Calendar!$A$2:$H$9997,8,FALSE),0)</f>
        <v/>
      </c>
      <c r="G3094" s="29">
        <f>VLOOKUP(A3094,Calendar!$A$1:$H$9997,6,FALSE)-F3094</f>
        <v/>
      </c>
      <c r="H3094" s="19" t="n">
        <v>3</v>
      </c>
      <c r="I3094" s="57" t="n">
        <v>6</v>
      </c>
    </row>
    <row r="3095">
      <c r="A3095" s="62" t="n">
        <v>47014</v>
      </c>
      <c r="B3095" s="3" t="inlineStr">
        <is>
          <t>Week</t>
        </is>
      </c>
      <c r="C3095" s="19" t="n">
        <v>9</v>
      </c>
      <c r="D3095" s="19" t="n">
        <v>2028</v>
      </c>
      <c r="E3095" s="57" t="n">
        <v>3</v>
      </c>
      <c r="F3095" s="29">
        <f>ROUND(((SUMIFS(Calendar!$F$2:$F$9997,Calendar!$B$2:$B$9997,D3095,Calendar!$C$2:$C$9997,C3095)*INDEX(ForeCalc!$B$37:$Y$274,MATCH(_xlfn.CONCAT(H3095," ",I3095),ForeCalc!$A$37:$A$274,0),MATCH(_xlfn.CONCAT(B3095," ",E3095),ForeCalc!$B$36:$Y$36,0))))*VLOOKUP(A3095,Calendar!$A$2:$H$9997,8,FALSE),0)</f>
        <v/>
      </c>
      <c r="G3095" s="29">
        <f>VLOOKUP(A3095,Calendar!$A$1:$H$9997,6,FALSE)-F3095</f>
        <v/>
      </c>
      <c r="H3095" s="19" t="n">
        <v>3</v>
      </c>
      <c r="I3095" s="57" t="n">
        <v>6</v>
      </c>
    </row>
    <row r="3096">
      <c r="A3096" s="62" t="n">
        <v>47015</v>
      </c>
      <c r="B3096" s="3" t="inlineStr">
        <is>
          <t>Week</t>
        </is>
      </c>
      <c r="C3096" s="19" t="n">
        <v>9</v>
      </c>
      <c r="D3096" s="19" t="n">
        <v>2028</v>
      </c>
      <c r="E3096" s="57" t="n">
        <v>3</v>
      </c>
      <c r="F3096" s="29">
        <f>ROUND(((SUMIFS(Calendar!$F$2:$F$9997,Calendar!$B$2:$B$9997,D3096,Calendar!$C$2:$C$9997,C3096)*INDEX(ForeCalc!$B$37:$Y$274,MATCH(_xlfn.CONCAT(H3096," ",I3096),ForeCalc!$A$37:$A$274,0),MATCH(_xlfn.CONCAT(B3096," ",E3096),ForeCalc!$B$36:$Y$36,0))))*VLOOKUP(A3096,Calendar!$A$2:$H$9997,8,FALSE),0)</f>
        <v/>
      </c>
      <c r="G3096" s="29">
        <f>VLOOKUP(A3096,Calendar!$A$1:$H$9997,6,FALSE)-F3096</f>
        <v/>
      </c>
      <c r="H3096" s="19" t="n">
        <v>3</v>
      </c>
      <c r="I3096" s="57" t="n">
        <v>6</v>
      </c>
    </row>
    <row r="3097">
      <c r="A3097" s="62" t="n">
        <v>47016</v>
      </c>
      <c r="B3097" s="3" t="inlineStr">
        <is>
          <t>Week</t>
        </is>
      </c>
      <c r="C3097" s="19" t="n">
        <v>9</v>
      </c>
      <c r="D3097" s="19" t="n">
        <v>2028</v>
      </c>
      <c r="E3097" s="57" t="n">
        <v>3</v>
      </c>
      <c r="F3097" s="29">
        <f>ROUND(((SUMIFS(Calendar!$F$2:$F$9997,Calendar!$B$2:$B$9997,D3097,Calendar!$C$2:$C$9997,C3097)*INDEX(ForeCalc!$B$37:$Y$274,MATCH(_xlfn.CONCAT(H3097," ",I3097),ForeCalc!$A$37:$A$274,0),MATCH(_xlfn.CONCAT(B3097," ",E3097),ForeCalc!$B$36:$Y$36,0))))*VLOOKUP(A3097,Calendar!$A$2:$H$9997,8,FALSE),0)</f>
        <v/>
      </c>
      <c r="G3097" s="29">
        <f>VLOOKUP(A3097,Calendar!$A$1:$H$9997,6,FALSE)-F3097</f>
        <v/>
      </c>
      <c r="H3097" s="19" t="n">
        <v>3</v>
      </c>
      <c r="I3097" s="57" t="n">
        <v>6</v>
      </c>
    </row>
    <row r="3098">
      <c r="A3098" s="62" t="n">
        <v>47017</v>
      </c>
      <c r="B3098" s="3" t="inlineStr">
        <is>
          <t>Week</t>
        </is>
      </c>
      <c r="C3098" s="19" t="n">
        <v>9</v>
      </c>
      <c r="D3098" s="19" t="n">
        <v>2028</v>
      </c>
      <c r="E3098" s="57" t="n">
        <v>3</v>
      </c>
      <c r="F3098" s="29">
        <f>ROUND(((SUMIFS(Calendar!$F$2:$F$9997,Calendar!$B$2:$B$9997,D3098,Calendar!$C$2:$C$9997,C3098)*INDEX(ForeCalc!$B$37:$Y$274,MATCH(_xlfn.CONCAT(H3098," ",I3098),ForeCalc!$A$37:$A$274,0),MATCH(_xlfn.CONCAT(B3098," ",E3098),ForeCalc!$B$36:$Y$36,0))))*VLOOKUP(A3098,Calendar!$A$2:$H$9997,8,FALSE),0)</f>
        <v/>
      </c>
      <c r="G3098" s="29">
        <f>VLOOKUP(A3098,Calendar!$A$1:$H$9997,6,FALSE)-F3098</f>
        <v/>
      </c>
      <c r="H3098" s="19" t="n">
        <v>3</v>
      </c>
      <c r="I3098" s="57" t="n">
        <v>6</v>
      </c>
    </row>
    <row r="3099">
      <c r="A3099" s="62" t="n">
        <v>47018</v>
      </c>
      <c r="B3099" s="3" t="inlineStr">
        <is>
          <t>Week</t>
        </is>
      </c>
      <c r="C3099" s="19" t="n">
        <v>9</v>
      </c>
      <c r="D3099" s="19" t="n">
        <v>2028</v>
      </c>
      <c r="E3099" s="57" t="n">
        <v>3</v>
      </c>
      <c r="F3099" s="29">
        <f>ROUND(((SUMIFS(Calendar!$F$2:$F$9997,Calendar!$B$2:$B$9997,D3099,Calendar!$C$2:$C$9997,C3099)*INDEX(ForeCalc!$B$37:$Y$274,MATCH(_xlfn.CONCAT(H3099," ",I3099),ForeCalc!$A$37:$A$274,0),MATCH(_xlfn.CONCAT(B3099," ",E3099),ForeCalc!$B$36:$Y$36,0))))*VLOOKUP(A3099,Calendar!$A$2:$H$9997,8,FALSE),0)</f>
        <v/>
      </c>
      <c r="G3099" s="29">
        <f>VLOOKUP(A3099,Calendar!$A$1:$H$9997,6,FALSE)-F3099</f>
        <v/>
      </c>
      <c r="H3099" s="19" t="n">
        <v>3</v>
      </c>
      <c r="I3099" s="57" t="n">
        <v>6</v>
      </c>
    </row>
    <row r="3100">
      <c r="A3100" s="62" t="n">
        <v>47019</v>
      </c>
      <c r="B3100" s="3" t="inlineStr">
        <is>
          <t>Sat</t>
        </is>
      </c>
      <c r="C3100" s="19" t="n">
        <v>9</v>
      </c>
      <c r="D3100" s="19" t="n">
        <v>2028</v>
      </c>
      <c r="E3100" s="57" t="n">
        <v>3</v>
      </c>
      <c r="F3100" s="29">
        <f>ROUND(((SUMIFS(Calendar!$F$2:$F$9997,Calendar!$B$2:$B$9997,D3100,Calendar!$C$2:$C$9997,C3100)*INDEX(ForeCalc!$B$37:$Y$274,MATCH(_xlfn.CONCAT(H3100," ",I3100),ForeCalc!$A$37:$A$274,0),MATCH(_xlfn.CONCAT(B3100," ",E3100),ForeCalc!$B$36:$Y$36,0))))*VLOOKUP(A3100,Calendar!$A$2:$H$9997,8,FALSE),0)</f>
        <v/>
      </c>
      <c r="G3100" s="29">
        <f>VLOOKUP(A3100,Calendar!$A$1:$H$9997,6,FALSE)-F3100</f>
        <v/>
      </c>
      <c r="H3100" s="19" t="n">
        <v>3</v>
      </c>
      <c r="I3100" s="57" t="n">
        <v>6</v>
      </c>
    </row>
    <row r="3101">
      <c r="A3101" s="62" t="n">
        <v>47020</v>
      </c>
      <c r="B3101" s="3" t="inlineStr">
        <is>
          <t>Sun</t>
        </is>
      </c>
      <c r="C3101" s="19" t="n">
        <v>9</v>
      </c>
      <c r="D3101" s="19" t="n">
        <v>2028</v>
      </c>
      <c r="E3101" s="57" t="n">
        <v>3</v>
      </c>
      <c r="F3101" s="29">
        <f>ROUND(((SUMIFS(Calendar!$F$2:$F$9997,Calendar!$B$2:$B$9997,D3101,Calendar!$C$2:$C$9997,C3101)*INDEX(ForeCalc!$B$37:$Y$274,MATCH(_xlfn.CONCAT(H3101," ",I3101),ForeCalc!$A$37:$A$274,0),MATCH(_xlfn.CONCAT(B3101," ",E3101),ForeCalc!$B$36:$Y$36,0))))*VLOOKUP(A3101,Calendar!$A$2:$H$9997,8,FALSE),0)</f>
        <v/>
      </c>
      <c r="G3101" s="29">
        <f>VLOOKUP(A3101,Calendar!$A$1:$H$9997,6,FALSE)-F3101</f>
        <v/>
      </c>
      <c r="H3101" s="19" t="n">
        <v>3</v>
      </c>
      <c r="I3101" s="57" t="n">
        <v>6</v>
      </c>
    </row>
    <row r="3102">
      <c r="A3102" s="62" t="n">
        <v>47021</v>
      </c>
      <c r="B3102" s="3" t="inlineStr">
        <is>
          <t>Week</t>
        </is>
      </c>
      <c r="C3102" s="19" t="n">
        <v>9</v>
      </c>
      <c r="D3102" s="19" t="n">
        <v>2028</v>
      </c>
      <c r="E3102" s="57" t="n">
        <v>3</v>
      </c>
      <c r="F3102" s="29">
        <f>ROUND(((SUMIFS(Calendar!$F$2:$F$9997,Calendar!$B$2:$B$9997,D3102,Calendar!$C$2:$C$9997,C3102)*INDEX(ForeCalc!$B$37:$Y$274,MATCH(_xlfn.CONCAT(H3102," ",I3102),ForeCalc!$A$37:$A$274,0),MATCH(_xlfn.CONCAT(B3102," ",E3102),ForeCalc!$B$36:$Y$36,0))))*VLOOKUP(A3102,Calendar!$A$2:$H$9997,8,FALSE),0)</f>
        <v/>
      </c>
      <c r="G3102" s="29">
        <f>VLOOKUP(A3102,Calendar!$A$1:$H$9997,6,FALSE)-F3102</f>
        <v/>
      </c>
      <c r="H3102" s="19" t="n">
        <v>3</v>
      </c>
      <c r="I3102" s="57" t="n">
        <v>6</v>
      </c>
    </row>
    <row r="3103">
      <c r="A3103" s="62" t="n">
        <v>47022</v>
      </c>
      <c r="B3103" s="3" t="inlineStr">
        <is>
          <t>Week</t>
        </is>
      </c>
      <c r="C3103" s="19" t="n">
        <v>9</v>
      </c>
      <c r="D3103" s="19" t="n">
        <v>2028</v>
      </c>
      <c r="E3103" s="57" t="n">
        <v>3</v>
      </c>
      <c r="F3103" s="29">
        <f>ROUND(((SUMIFS(Calendar!$F$2:$F$9997,Calendar!$B$2:$B$9997,D3103,Calendar!$C$2:$C$9997,C3103)*INDEX(ForeCalc!$B$37:$Y$274,MATCH(_xlfn.CONCAT(H3103," ",I3103),ForeCalc!$A$37:$A$274,0),MATCH(_xlfn.CONCAT(B3103," ",E3103),ForeCalc!$B$36:$Y$36,0))))*VLOOKUP(A3103,Calendar!$A$2:$H$9997,8,FALSE),0)</f>
        <v/>
      </c>
      <c r="G3103" s="29">
        <f>VLOOKUP(A3103,Calendar!$A$1:$H$9997,6,FALSE)-F3103</f>
        <v/>
      </c>
      <c r="H3103" s="19" t="n">
        <v>3</v>
      </c>
      <c r="I3103" s="57" t="n">
        <v>6</v>
      </c>
    </row>
    <row r="3104">
      <c r="A3104" s="62" t="n">
        <v>47023</v>
      </c>
      <c r="B3104" s="3" t="inlineStr">
        <is>
          <t>Week</t>
        </is>
      </c>
      <c r="C3104" s="19" t="n">
        <v>9</v>
      </c>
      <c r="D3104" s="19" t="n">
        <v>2028</v>
      </c>
      <c r="E3104" s="57" t="n">
        <v>3</v>
      </c>
      <c r="F3104" s="29">
        <f>ROUND(((SUMIFS(Calendar!$F$2:$F$9997,Calendar!$B$2:$B$9997,D3104,Calendar!$C$2:$C$9997,C3104)*INDEX(ForeCalc!$B$37:$Y$274,MATCH(_xlfn.CONCAT(H3104," ",I3104),ForeCalc!$A$37:$A$274,0),MATCH(_xlfn.CONCAT(B3104," ",E3104),ForeCalc!$B$36:$Y$36,0))))*VLOOKUP(A3104,Calendar!$A$2:$H$9997,8,FALSE),0)</f>
        <v/>
      </c>
      <c r="G3104" s="29">
        <f>VLOOKUP(A3104,Calendar!$A$1:$H$9997,6,FALSE)-F3104</f>
        <v/>
      </c>
      <c r="H3104" s="19" t="n">
        <v>3</v>
      </c>
      <c r="I3104" s="57" t="n">
        <v>6</v>
      </c>
    </row>
    <row r="3105">
      <c r="A3105" s="62" t="n">
        <v>47024</v>
      </c>
      <c r="B3105" s="3" t="inlineStr">
        <is>
          <t>Week</t>
        </is>
      </c>
      <c r="C3105" s="19" t="n">
        <v>9</v>
      </c>
      <c r="D3105" s="19" t="n">
        <v>2028</v>
      </c>
      <c r="E3105" s="57" t="n">
        <v>3</v>
      </c>
      <c r="F3105" s="29">
        <f>ROUND(((SUMIFS(Calendar!$F$2:$F$9997,Calendar!$B$2:$B$9997,D3105,Calendar!$C$2:$C$9997,C3105)*INDEX(ForeCalc!$B$37:$Y$274,MATCH(_xlfn.CONCAT(H3105," ",I3105),ForeCalc!$A$37:$A$274,0),MATCH(_xlfn.CONCAT(B3105," ",E3105),ForeCalc!$B$36:$Y$36,0))))*VLOOKUP(A3105,Calendar!$A$2:$H$9997,8,FALSE),0)</f>
        <v/>
      </c>
      <c r="G3105" s="29">
        <f>VLOOKUP(A3105,Calendar!$A$1:$H$9997,6,FALSE)-F3105</f>
        <v/>
      </c>
      <c r="H3105" s="19" t="n">
        <v>3</v>
      </c>
      <c r="I3105" s="57" t="n">
        <v>6</v>
      </c>
    </row>
    <row r="3106">
      <c r="A3106" s="62" t="n">
        <v>47025</v>
      </c>
      <c r="B3106" s="3" t="inlineStr">
        <is>
          <t>Week</t>
        </is>
      </c>
      <c r="C3106" s="19" t="n">
        <v>9</v>
      </c>
      <c r="D3106" s="19" t="n">
        <v>2028</v>
      </c>
      <c r="E3106" s="57" t="n">
        <v>3</v>
      </c>
      <c r="F3106" s="29">
        <f>ROUND(((SUMIFS(Calendar!$F$2:$F$9997,Calendar!$B$2:$B$9997,D3106,Calendar!$C$2:$C$9997,C3106)*INDEX(ForeCalc!$B$37:$Y$274,MATCH(_xlfn.CONCAT(H3106," ",I3106),ForeCalc!$A$37:$A$274,0),MATCH(_xlfn.CONCAT(B3106," ",E3106),ForeCalc!$B$36:$Y$36,0))))*VLOOKUP(A3106,Calendar!$A$2:$H$9997,8,FALSE),0)</f>
        <v/>
      </c>
      <c r="G3106" s="29">
        <f>VLOOKUP(A3106,Calendar!$A$1:$H$9997,6,FALSE)-F3106</f>
        <v/>
      </c>
      <c r="H3106" s="19" t="n">
        <v>3</v>
      </c>
      <c r="I3106" s="57" t="n">
        <v>6</v>
      </c>
    </row>
    <row r="3107">
      <c r="A3107" s="62" t="n">
        <v>47026</v>
      </c>
      <c r="B3107" s="3" t="inlineStr">
        <is>
          <t>Sat</t>
        </is>
      </c>
      <c r="C3107" s="19" t="n">
        <v>9</v>
      </c>
      <c r="D3107" s="19" t="n">
        <v>2028</v>
      </c>
      <c r="E3107" s="57" t="n">
        <v>3</v>
      </c>
      <c r="F3107" s="29">
        <f>ROUND(((SUMIFS(Calendar!$F$2:$F$9997,Calendar!$B$2:$B$9997,D3107,Calendar!$C$2:$C$9997,C3107)*INDEX(ForeCalc!$B$37:$Y$274,MATCH(_xlfn.CONCAT(H3107," ",I3107),ForeCalc!$A$37:$A$274,0),MATCH(_xlfn.CONCAT(B3107," ",E3107),ForeCalc!$B$36:$Y$36,0))))*VLOOKUP(A3107,Calendar!$A$2:$H$9997,8,FALSE),0)</f>
        <v/>
      </c>
      <c r="G3107" s="29">
        <f>VLOOKUP(A3107,Calendar!$A$1:$H$9997,6,FALSE)-F3107</f>
        <v/>
      </c>
      <c r="H3107" s="19" t="n">
        <v>3</v>
      </c>
      <c r="I3107" s="57" t="n">
        <v>6</v>
      </c>
    </row>
    <row r="3108">
      <c r="A3108" s="62" t="n">
        <v>47027</v>
      </c>
      <c r="B3108" s="3" t="inlineStr">
        <is>
          <t>Sun</t>
        </is>
      </c>
      <c r="C3108" s="19" t="n">
        <v>10</v>
      </c>
      <c r="D3108" s="19" t="n">
        <v>2028</v>
      </c>
      <c r="E3108" s="57" t="n">
        <v>3</v>
      </c>
      <c r="F3108" s="29">
        <f>ROUND(((SUMIFS(Calendar!$F$2:$F$9997,Calendar!$B$2:$B$9997,D3108,Calendar!$C$2:$C$9997,C3108)*INDEX(ForeCalc!$B$37:$Y$274,MATCH(_xlfn.CONCAT(H3108," ",I3108),ForeCalc!$A$37:$A$274,0),MATCH(_xlfn.CONCAT(B3108," ",E3108),ForeCalc!$B$36:$Y$36,0))))*VLOOKUP(A3108,Calendar!$A$2:$H$9997,8,FALSE),0)</f>
        <v/>
      </c>
      <c r="G3108" s="29">
        <f>VLOOKUP(A3108,Calendar!$A$1:$H$9997,6,FALSE)-F3108</f>
        <v/>
      </c>
      <c r="H3108" s="19" t="n">
        <v>3</v>
      </c>
      <c r="I3108" s="57" t="n">
        <v>7</v>
      </c>
    </row>
    <row r="3109">
      <c r="A3109" s="62" t="n">
        <v>47028</v>
      </c>
      <c r="B3109" s="3" t="inlineStr">
        <is>
          <t>Week</t>
        </is>
      </c>
      <c r="C3109" s="19" t="n">
        <v>10</v>
      </c>
      <c r="D3109" s="19" t="n">
        <v>2028</v>
      </c>
      <c r="E3109" s="57" t="n">
        <v>3</v>
      </c>
      <c r="F3109" s="29">
        <f>ROUND(((SUMIFS(Calendar!$F$2:$F$9997,Calendar!$B$2:$B$9997,D3109,Calendar!$C$2:$C$9997,C3109)*INDEX(ForeCalc!$B$37:$Y$274,MATCH(_xlfn.CONCAT(H3109," ",I3109),ForeCalc!$A$37:$A$274,0),MATCH(_xlfn.CONCAT(B3109," ",E3109),ForeCalc!$B$36:$Y$36,0))))*VLOOKUP(A3109,Calendar!$A$2:$H$9997,8,FALSE),0)</f>
        <v/>
      </c>
      <c r="G3109" s="29">
        <f>VLOOKUP(A3109,Calendar!$A$1:$H$9997,6,FALSE)-F3109</f>
        <v/>
      </c>
      <c r="H3109" s="19" t="n">
        <v>3</v>
      </c>
      <c r="I3109" s="57" t="n">
        <v>7</v>
      </c>
    </row>
    <row r="3110">
      <c r="A3110" s="62" t="n">
        <v>47029</v>
      </c>
      <c r="B3110" s="3" t="inlineStr">
        <is>
          <t>Week</t>
        </is>
      </c>
      <c r="C3110" s="19" t="n">
        <v>10</v>
      </c>
      <c r="D3110" s="19" t="n">
        <v>2028</v>
      </c>
      <c r="E3110" s="57" t="n">
        <v>3</v>
      </c>
      <c r="F3110" s="29">
        <f>ROUND(((SUMIFS(Calendar!$F$2:$F$9997,Calendar!$B$2:$B$9997,D3110,Calendar!$C$2:$C$9997,C3110)*INDEX(ForeCalc!$B$37:$Y$274,MATCH(_xlfn.CONCAT(H3110," ",I3110),ForeCalc!$A$37:$A$274,0),MATCH(_xlfn.CONCAT(B3110," ",E3110),ForeCalc!$B$36:$Y$36,0))))*VLOOKUP(A3110,Calendar!$A$2:$H$9997,8,FALSE),0)</f>
        <v/>
      </c>
      <c r="G3110" s="29">
        <f>VLOOKUP(A3110,Calendar!$A$1:$H$9997,6,FALSE)-F3110</f>
        <v/>
      </c>
      <c r="H3110" s="19" t="n">
        <v>3</v>
      </c>
      <c r="I3110" s="57" t="n">
        <v>7</v>
      </c>
    </row>
    <row r="3111">
      <c r="A3111" s="62" t="n">
        <v>47030</v>
      </c>
      <c r="B3111" s="3" t="inlineStr">
        <is>
          <t>Week</t>
        </is>
      </c>
      <c r="C3111" s="19" t="n">
        <v>10</v>
      </c>
      <c r="D3111" s="19" t="n">
        <v>2028</v>
      </c>
      <c r="E3111" s="57" t="n">
        <v>3</v>
      </c>
      <c r="F3111" s="29">
        <f>ROUND(((SUMIFS(Calendar!$F$2:$F$9997,Calendar!$B$2:$B$9997,D3111,Calendar!$C$2:$C$9997,C3111)*INDEX(ForeCalc!$B$37:$Y$274,MATCH(_xlfn.CONCAT(H3111," ",I3111),ForeCalc!$A$37:$A$274,0),MATCH(_xlfn.CONCAT(B3111," ",E3111),ForeCalc!$B$36:$Y$36,0))))*VLOOKUP(A3111,Calendar!$A$2:$H$9997,8,FALSE),0)</f>
        <v/>
      </c>
      <c r="G3111" s="29">
        <f>VLOOKUP(A3111,Calendar!$A$1:$H$9997,6,FALSE)-F3111</f>
        <v/>
      </c>
      <c r="H3111" s="19" t="n">
        <v>3</v>
      </c>
      <c r="I3111" s="57" t="n">
        <v>7</v>
      </c>
    </row>
    <row r="3112">
      <c r="A3112" s="62" t="n">
        <v>47031</v>
      </c>
      <c r="B3112" s="3" t="inlineStr">
        <is>
          <t>Week</t>
        </is>
      </c>
      <c r="C3112" s="19" t="n">
        <v>10</v>
      </c>
      <c r="D3112" s="19" t="n">
        <v>2028</v>
      </c>
      <c r="E3112" s="57" t="n">
        <v>3</v>
      </c>
      <c r="F3112" s="29">
        <f>ROUND(((SUMIFS(Calendar!$F$2:$F$9997,Calendar!$B$2:$B$9997,D3112,Calendar!$C$2:$C$9997,C3112)*INDEX(ForeCalc!$B$37:$Y$274,MATCH(_xlfn.CONCAT(H3112," ",I3112),ForeCalc!$A$37:$A$274,0),MATCH(_xlfn.CONCAT(B3112," ",E3112),ForeCalc!$B$36:$Y$36,0))))*VLOOKUP(A3112,Calendar!$A$2:$H$9997,8,FALSE),0)</f>
        <v/>
      </c>
      <c r="G3112" s="29">
        <f>VLOOKUP(A3112,Calendar!$A$1:$H$9997,6,FALSE)-F3112</f>
        <v/>
      </c>
      <c r="H3112" s="19" t="n">
        <v>3</v>
      </c>
      <c r="I3112" s="57" t="n">
        <v>7</v>
      </c>
    </row>
    <row r="3113">
      <c r="A3113" s="62" t="n">
        <v>47032</v>
      </c>
      <c r="B3113" s="3" t="inlineStr">
        <is>
          <t>Week</t>
        </is>
      </c>
      <c r="C3113" s="19" t="n">
        <v>10</v>
      </c>
      <c r="D3113" s="19" t="n">
        <v>2028</v>
      </c>
      <c r="E3113" s="57" t="n">
        <v>3</v>
      </c>
      <c r="F3113" s="29">
        <f>ROUND(((SUMIFS(Calendar!$F$2:$F$9997,Calendar!$B$2:$B$9997,D3113,Calendar!$C$2:$C$9997,C3113)*INDEX(ForeCalc!$B$37:$Y$274,MATCH(_xlfn.CONCAT(H3113," ",I3113),ForeCalc!$A$37:$A$274,0),MATCH(_xlfn.CONCAT(B3113," ",E3113),ForeCalc!$B$36:$Y$36,0))))*VLOOKUP(A3113,Calendar!$A$2:$H$9997,8,FALSE),0)</f>
        <v/>
      </c>
      <c r="G3113" s="29">
        <f>VLOOKUP(A3113,Calendar!$A$1:$H$9997,6,FALSE)-F3113</f>
        <v/>
      </c>
      <c r="H3113" s="19" t="n">
        <v>3</v>
      </c>
      <c r="I3113" s="57" t="n">
        <v>7</v>
      </c>
    </row>
    <row r="3114">
      <c r="A3114" s="62" t="n">
        <v>47033</v>
      </c>
      <c r="B3114" s="3" t="inlineStr">
        <is>
          <t>Sat</t>
        </is>
      </c>
      <c r="C3114" s="19" t="n">
        <v>10</v>
      </c>
      <c r="D3114" s="19" t="n">
        <v>2028</v>
      </c>
      <c r="E3114" s="57" t="n">
        <v>3</v>
      </c>
      <c r="F3114" s="29">
        <f>ROUND(((SUMIFS(Calendar!$F$2:$F$9997,Calendar!$B$2:$B$9997,D3114,Calendar!$C$2:$C$9997,C3114)*INDEX(ForeCalc!$B$37:$Y$274,MATCH(_xlfn.CONCAT(H3114," ",I3114),ForeCalc!$A$37:$A$274,0),MATCH(_xlfn.CONCAT(B3114," ",E3114),ForeCalc!$B$36:$Y$36,0))))*VLOOKUP(A3114,Calendar!$A$2:$H$9997,8,FALSE),0)</f>
        <v/>
      </c>
      <c r="G3114" s="29">
        <f>VLOOKUP(A3114,Calendar!$A$1:$H$9997,6,FALSE)-F3114</f>
        <v/>
      </c>
      <c r="H3114" s="19" t="n">
        <v>3</v>
      </c>
      <c r="I3114" s="57" t="n">
        <v>7</v>
      </c>
    </row>
    <row r="3115">
      <c r="A3115" s="62" t="n">
        <v>47034</v>
      </c>
      <c r="B3115" s="3" t="inlineStr">
        <is>
          <t>Sun</t>
        </is>
      </c>
      <c r="C3115" s="19" t="n">
        <v>10</v>
      </c>
      <c r="D3115" s="19" t="n">
        <v>2028</v>
      </c>
      <c r="E3115" s="57" t="n">
        <v>3</v>
      </c>
      <c r="F3115" s="29">
        <f>ROUND(((SUMIFS(Calendar!$F$2:$F$9997,Calendar!$B$2:$B$9997,D3115,Calendar!$C$2:$C$9997,C3115)*INDEX(ForeCalc!$B$37:$Y$274,MATCH(_xlfn.CONCAT(H3115," ",I3115),ForeCalc!$A$37:$A$274,0),MATCH(_xlfn.CONCAT(B3115," ",E3115),ForeCalc!$B$36:$Y$36,0))))*VLOOKUP(A3115,Calendar!$A$2:$H$9997,8,FALSE),0)</f>
        <v/>
      </c>
      <c r="G3115" s="29">
        <f>VLOOKUP(A3115,Calendar!$A$1:$H$9997,6,FALSE)-F3115</f>
        <v/>
      </c>
      <c r="H3115" s="19" t="n">
        <v>3</v>
      </c>
      <c r="I3115" s="57" t="n">
        <v>7</v>
      </c>
    </row>
    <row r="3116">
      <c r="A3116" s="62" t="n">
        <v>47035</v>
      </c>
      <c r="B3116" s="3" t="inlineStr">
        <is>
          <t>Week</t>
        </is>
      </c>
      <c r="C3116" s="19" t="n">
        <v>10</v>
      </c>
      <c r="D3116" s="19" t="n">
        <v>2028</v>
      </c>
      <c r="E3116" s="57" t="n">
        <v>3</v>
      </c>
      <c r="F3116" s="29">
        <f>ROUND(((SUMIFS(Calendar!$F$2:$F$9997,Calendar!$B$2:$B$9997,D3116,Calendar!$C$2:$C$9997,C3116)*INDEX(ForeCalc!$B$37:$Y$274,MATCH(_xlfn.CONCAT(H3116," ",I3116),ForeCalc!$A$37:$A$274,0),MATCH(_xlfn.CONCAT(B3116," ",E3116),ForeCalc!$B$36:$Y$36,0))))*VLOOKUP(A3116,Calendar!$A$2:$H$9997,8,FALSE),0)</f>
        <v/>
      </c>
      <c r="G3116" s="29">
        <f>VLOOKUP(A3116,Calendar!$A$1:$H$9997,6,FALSE)-F3116</f>
        <v/>
      </c>
      <c r="H3116" s="19" t="n">
        <v>3</v>
      </c>
      <c r="I3116" s="57" t="n">
        <v>7</v>
      </c>
    </row>
    <row r="3117">
      <c r="A3117" s="62" t="n">
        <v>47036</v>
      </c>
      <c r="B3117" s="3" t="inlineStr">
        <is>
          <t>Week</t>
        </is>
      </c>
      <c r="C3117" s="19" t="n">
        <v>10</v>
      </c>
      <c r="D3117" s="19" t="n">
        <v>2028</v>
      </c>
      <c r="E3117" s="57" t="n">
        <v>3</v>
      </c>
      <c r="F3117" s="29">
        <f>ROUND(((SUMIFS(Calendar!$F$2:$F$9997,Calendar!$B$2:$B$9997,D3117,Calendar!$C$2:$C$9997,C3117)*INDEX(ForeCalc!$B$37:$Y$274,MATCH(_xlfn.CONCAT(H3117," ",I3117),ForeCalc!$A$37:$A$274,0),MATCH(_xlfn.CONCAT(B3117," ",E3117),ForeCalc!$B$36:$Y$36,0))))*VLOOKUP(A3117,Calendar!$A$2:$H$9997,8,FALSE),0)</f>
        <v/>
      </c>
      <c r="G3117" s="29">
        <f>VLOOKUP(A3117,Calendar!$A$1:$H$9997,6,FALSE)-F3117</f>
        <v/>
      </c>
      <c r="H3117" s="19" t="n">
        <v>3</v>
      </c>
      <c r="I3117" s="57" t="n">
        <v>7</v>
      </c>
    </row>
    <row r="3118">
      <c r="A3118" s="62" t="n">
        <v>47037</v>
      </c>
      <c r="B3118" s="3" t="inlineStr">
        <is>
          <t>Week</t>
        </is>
      </c>
      <c r="C3118" s="19" t="n">
        <v>10</v>
      </c>
      <c r="D3118" s="19" t="n">
        <v>2028</v>
      </c>
      <c r="E3118" s="57" t="n">
        <v>3</v>
      </c>
      <c r="F3118" s="29">
        <f>ROUND(((SUMIFS(Calendar!$F$2:$F$9997,Calendar!$B$2:$B$9997,D3118,Calendar!$C$2:$C$9997,C3118)*INDEX(ForeCalc!$B$37:$Y$274,MATCH(_xlfn.CONCAT(H3118," ",I3118),ForeCalc!$A$37:$A$274,0),MATCH(_xlfn.CONCAT(B3118," ",E3118),ForeCalc!$B$36:$Y$36,0))))*VLOOKUP(A3118,Calendar!$A$2:$H$9997,8,FALSE),0)</f>
        <v/>
      </c>
      <c r="G3118" s="29">
        <f>VLOOKUP(A3118,Calendar!$A$1:$H$9997,6,FALSE)-F3118</f>
        <v/>
      </c>
      <c r="H3118" s="19" t="n">
        <v>3</v>
      </c>
      <c r="I3118" s="57" t="n">
        <v>7</v>
      </c>
    </row>
    <row r="3119">
      <c r="A3119" s="62" t="n">
        <v>47038</v>
      </c>
      <c r="B3119" s="3" t="inlineStr">
        <is>
          <t>Week</t>
        </is>
      </c>
      <c r="C3119" s="19" t="n">
        <v>10</v>
      </c>
      <c r="D3119" s="19" t="n">
        <v>2028</v>
      </c>
      <c r="E3119" s="57" t="n">
        <v>3</v>
      </c>
      <c r="F3119" s="29">
        <f>ROUND(((SUMIFS(Calendar!$F$2:$F$9997,Calendar!$B$2:$B$9997,D3119,Calendar!$C$2:$C$9997,C3119)*INDEX(ForeCalc!$B$37:$Y$274,MATCH(_xlfn.CONCAT(H3119," ",I3119),ForeCalc!$A$37:$A$274,0),MATCH(_xlfn.CONCAT(B3119," ",E3119),ForeCalc!$B$36:$Y$36,0))))*VLOOKUP(A3119,Calendar!$A$2:$H$9997,8,FALSE),0)</f>
        <v/>
      </c>
      <c r="G3119" s="29">
        <f>VLOOKUP(A3119,Calendar!$A$1:$H$9997,6,FALSE)-F3119</f>
        <v/>
      </c>
      <c r="H3119" s="19" t="n">
        <v>3</v>
      </c>
      <c r="I3119" s="57" t="n">
        <v>7</v>
      </c>
    </row>
    <row r="3120">
      <c r="A3120" s="62" t="n">
        <v>47039</v>
      </c>
      <c r="B3120" s="3" t="inlineStr">
        <is>
          <t>Week</t>
        </is>
      </c>
      <c r="C3120" s="19" t="n">
        <v>10</v>
      </c>
      <c r="D3120" s="19" t="n">
        <v>2028</v>
      </c>
      <c r="E3120" s="57" t="n">
        <v>3</v>
      </c>
      <c r="F3120" s="29">
        <f>ROUND(((SUMIFS(Calendar!$F$2:$F$9997,Calendar!$B$2:$B$9997,D3120,Calendar!$C$2:$C$9997,C3120)*INDEX(ForeCalc!$B$37:$Y$274,MATCH(_xlfn.CONCAT(H3120," ",I3120),ForeCalc!$A$37:$A$274,0),MATCH(_xlfn.CONCAT(B3120," ",E3120),ForeCalc!$B$36:$Y$36,0))))*VLOOKUP(A3120,Calendar!$A$2:$H$9997,8,FALSE),0)</f>
        <v/>
      </c>
      <c r="G3120" s="29">
        <f>VLOOKUP(A3120,Calendar!$A$1:$H$9997,6,FALSE)-F3120</f>
        <v/>
      </c>
      <c r="H3120" s="19" t="n">
        <v>3</v>
      </c>
      <c r="I3120" s="57" t="n">
        <v>7</v>
      </c>
    </row>
    <row r="3121">
      <c r="A3121" s="62" t="n">
        <v>47040</v>
      </c>
      <c r="B3121" s="3" t="inlineStr">
        <is>
          <t>Sat</t>
        </is>
      </c>
      <c r="C3121" s="19" t="n">
        <v>10</v>
      </c>
      <c r="D3121" s="19" t="n">
        <v>2028</v>
      </c>
      <c r="E3121" s="57" t="n">
        <v>3</v>
      </c>
      <c r="F3121" s="29">
        <f>ROUND(((SUMIFS(Calendar!$F$2:$F$9997,Calendar!$B$2:$B$9997,D3121,Calendar!$C$2:$C$9997,C3121)*INDEX(ForeCalc!$B$37:$Y$274,MATCH(_xlfn.CONCAT(H3121," ",I3121),ForeCalc!$A$37:$A$274,0),MATCH(_xlfn.CONCAT(B3121," ",E3121),ForeCalc!$B$36:$Y$36,0))))*VLOOKUP(A3121,Calendar!$A$2:$H$9997,8,FALSE),0)</f>
        <v/>
      </c>
      <c r="G3121" s="29">
        <f>VLOOKUP(A3121,Calendar!$A$1:$H$9997,6,FALSE)-F3121</f>
        <v/>
      </c>
      <c r="H3121" s="19" t="n">
        <v>3</v>
      </c>
      <c r="I3121" s="57" t="n">
        <v>7</v>
      </c>
    </row>
    <row r="3122">
      <c r="A3122" s="62" t="n">
        <v>47041</v>
      </c>
      <c r="B3122" s="3" t="inlineStr">
        <is>
          <t>Sun</t>
        </is>
      </c>
      <c r="C3122" s="19" t="n">
        <v>10</v>
      </c>
      <c r="D3122" s="19" t="n">
        <v>2028</v>
      </c>
      <c r="E3122" s="57" t="n">
        <v>3</v>
      </c>
      <c r="F3122" s="29">
        <f>ROUND(((SUMIFS(Calendar!$F$2:$F$9997,Calendar!$B$2:$B$9997,D3122,Calendar!$C$2:$C$9997,C3122)*INDEX(ForeCalc!$B$37:$Y$274,MATCH(_xlfn.CONCAT(H3122," ",I3122),ForeCalc!$A$37:$A$274,0),MATCH(_xlfn.CONCAT(B3122," ",E3122),ForeCalc!$B$36:$Y$36,0))))*VLOOKUP(A3122,Calendar!$A$2:$H$9997,8,FALSE),0)</f>
        <v/>
      </c>
      <c r="G3122" s="29">
        <f>VLOOKUP(A3122,Calendar!$A$1:$H$9997,6,FALSE)-F3122</f>
        <v/>
      </c>
      <c r="H3122" s="19" t="n">
        <v>3</v>
      </c>
      <c r="I3122" s="57" t="n">
        <v>7</v>
      </c>
    </row>
    <row r="3123">
      <c r="A3123" s="62" t="n">
        <v>47042</v>
      </c>
      <c r="B3123" s="3" t="inlineStr">
        <is>
          <t>Week</t>
        </is>
      </c>
      <c r="C3123" s="19" t="n">
        <v>10</v>
      </c>
      <c r="D3123" s="19" t="n">
        <v>2028</v>
      </c>
      <c r="E3123" s="57" t="n">
        <v>3</v>
      </c>
      <c r="F3123" s="29">
        <f>ROUND(((SUMIFS(Calendar!$F$2:$F$9997,Calendar!$B$2:$B$9997,D3123,Calendar!$C$2:$C$9997,C3123)*INDEX(ForeCalc!$B$37:$Y$274,MATCH(_xlfn.CONCAT(H3123," ",I3123),ForeCalc!$A$37:$A$274,0),MATCH(_xlfn.CONCAT(B3123," ",E3123),ForeCalc!$B$36:$Y$36,0))))*VLOOKUP(A3123,Calendar!$A$2:$H$9997,8,FALSE),0)</f>
        <v/>
      </c>
      <c r="G3123" s="29">
        <f>VLOOKUP(A3123,Calendar!$A$1:$H$9997,6,FALSE)-F3123</f>
        <v/>
      </c>
      <c r="H3123" s="19" t="n">
        <v>3</v>
      </c>
      <c r="I3123" s="57" t="n">
        <v>7</v>
      </c>
    </row>
    <row r="3124">
      <c r="A3124" s="62" t="n">
        <v>47043</v>
      </c>
      <c r="B3124" s="3" t="inlineStr">
        <is>
          <t>Week</t>
        </is>
      </c>
      <c r="C3124" s="19" t="n">
        <v>10</v>
      </c>
      <c r="D3124" s="19" t="n">
        <v>2028</v>
      </c>
      <c r="E3124" s="57" t="n">
        <v>3</v>
      </c>
      <c r="F3124" s="29">
        <f>ROUND(((SUMIFS(Calendar!$F$2:$F$9997,Calendar!$B$2:$B$9997,D3124,Calendar!$C$2:$C$9997,C3124)*INDEX(ForeCalc!$B$37:$Y$274,MATCH(_xlfn.CONCAT(H3124," ",I3124),ForeCalc!$A$37:$A$274,0),MATCH(_xlfn.CONCAT(B3124," ",E3124),ForeCalc!$B$36:$Y$36,0))))*VLOOKUP(A3124,Calendar!$A$2:$H$9997,8,FALSE),0)</f>
        <v/>
      </c>
      <c r="G3124" s="29">
        <f>VLOOKUP(A3124,Calendar!$A$1:$H$9997,6,FALSE)-F3124</f>
        <v/>
      </c>
      <c r="H3124" s="19" t="n">
        <v>3</v>
      </c>
      <c r="I3124" s="57" t="n">
        <v>7</v>
      </c>
    </row>
    <row r="3125">
      <c r="A3125" s="62" t="n">
        <v>47044</v>
      </c>
      <c r="B3125" s="3" t="inlineStr">
        <is>
          <t>Week</t>
        </is>
      </c>
      <c r="C3125" s="19" t="n">
        <v>10</v>
      </c>
      <c r="D3125" s="19" t="n">
        <v>2028</v>
      </c>
      <c r="E3125" s="57" t="n">
        <v>3</v>
      </c>
      <c r="F3125" s="29">
        <f>ROUND(((SUMIFS(Calendar!$F$2:$F$9997,Calendar!$B$2:$B$9997,D3125,Calendar!$C$2:$C$9997,C3125)*INDEX(ForeCalc!$B$37:$Y$274,MATCH(_xlfn.CONCAT(H3125," ",I3125),ForeCalc!$A$37:$A$274,0),MATCH(_xlfn.CONCAT(B3125," ",E3125),ForeCalc!$B$36:$Y$36,0))))*VLOOKUP(A3125,Calendar!$A$2:$H$9997,8,FALSE),0)</f>
        <v/>
      </c>
      <c r="G3125" s="29">
        <f>VLOOKUP(A3125,Calendar!$A$1:$H$9997,6,FALSE)-F3125</f>
        <v/>
      </c>
      <c r="H3125" s="19" t="n">
        <v>3</v>
      </c>
      <c r="I3125" s="57" t="n">
        <v>7</v>
      </c>
    </row>
    <row r="3126">
      <c r="A3126" s="62" t="n">
        <v>47045</v>
      </c>
      <c r="B3126" s="3" t="inlineStr">
        <is>
          <t>Week</t>
        </is>
      </c>
      <c r="C3126" s="19" t="n">
        <v>10</v>
      </c>
      <c r="D3126" s="19" t="n">
        <v>2028</v>
      </c>
      <c r="E3126" s="57" t="n">
        <v>3</v>
      </c>
      <c r="F3126" s="29">
        <f>ROUND(((SUMIFS(Calendar!$F$2:$F$9997,Calendar!$B$2:$B$9997,D3126,Calendar!$C$2:$C$9997,C3126)*INDEX(ForeCalc!$B$37:$Y$274,MATCH(_xlfn.CONCAT(H3126," ",I3126),ForeCalc!$A$37:$A$274,0),MATCH(_xlfn.CONCAT(B3126," ",E3126),ForeCalc!$B$36:$Y$36,0))))*VLOOKUP(A3126,Calendar!$A$2:$H$9997,8,FALSE),0)</f>
        <v/>
      </c>
      <c r="G3126" s="29">
        <f>VLOOKUP(A3126,Calendar!$A$1:$H$9997,6,FALSE)-F3126</f>
        <v/>
      </c>
      <c r="H3126" s="19" t="n">
        <v>3</v>
      </c>
      <c r="I3126" s="57" t="n">
        <v>7</v>
      </c>
    </row>
    <row r="3127">
      <c r="A3127" s="62" t="n">
        <v>47046</v>
      </c>
      <c r="B3127" s="3" t="inlineStr">
        <is>
          <t>Week</t>
        </is>
      </c>
      <c r="C3127" s="19" t="n">
        <v>10</v>
      </c>
      <c r="D3127" s="19" t="n">
        <v>2028</v>
      </c>
      <c r="E3127" s="57" t="n">
        <v>3</v>
      </c>
      <c r="F3127" s="29">
        <f>ROUND(((SUMIFS(Calendar!$F$2:$F$9997,Calendar!$B$2:$B$9997,D3127,Calendar!$C$2:$C$9997,C3127)*INDEX(ForeCalc!$B$37:$Y$274,MATCH(_xlfn.CONCAT(H3127," ",I3127),ForeCalc!$A$37:$A$274,0),MATCH(_xlfn.CONCAT(B3127," ",E3127),ForeCalc!$B$36:$Y$36,0))))*VLOOKUP(A3127,Calendar!$A$2:$H$9997,8,FALSE),0)</f>
        <v/>
      </c>
      <c r="G3127" s="29">
        <f>VLOOKUP(A3127,Calendar!$A$1:$H$9997,6,FALSE)-F3127</f>
        <v/>
      </c>
      <c r="H3127" s="19" t="n">
        <v>3</v>
      </c>
      <c r="I3127" s="57" t="n">
        <v>7</v>
      </c>
    </row>
    <row r="3128">
      <c r="A3128" s="62" t="n">
        <v>47047</v>
      </c>
      <c r="B3128" s="3" t="inlineStr">
        <is>
          <t>Sat</t>
        </is>
      </c>
      <c r="C3128" s="19" t="n">
        <v>10</v>
      </c>
      <c r="D3128" s="19" t="n">
        <v>2028</v>
      </c>
      <c r="E3128" s="57" t="n">
        <v>3</v>
      </c>
      <c r="F3128" s="29">
        <f>ROUND(((SUMIFS(Calendar!$F$2:$F$9997,Calendar!$B$2:$B$9997,D3128,Calendar!$C$2:$C$9997,C3128)*INDEX(ForeCalc!$B$37:$Y$274,MATCH(_xlfn.CONCAT(H3128," ",I3128),ForeCalc!$A$37:$A$274,0),MATCH(_xlfn.CONCAT(B3128," ",E3128),ForeCalc!$B$36:$Y$36,0))))*VLOOKUP(A3128,Calendar!$A$2:$H$9997,8,FALSE),0)</f>
        <v/>
      </c>
      <c r="G3128" s="29">
        <f>VLOOKUP(A3128,Calendar!$A$1:$H$9997,6,FALSE)-F3128</f>
        <v/>
      </c>
      <c r="H3128" s="19" t="n">
        <v>3</v>
      </c>
      <c r="I3128" s="57" t="n">
        <v>7</v>
      </c>
    </row>
    <row r="3129">
      <c r="A3129" s="62" t="n">
        <v>47048</v>
      </c>
      <c r="B3129" s="3" t="inlineStr">
        <is>
          <t>Sun</t>
        </is>
      </c>
      <c r="C3129" s="19" t="n">
        <v>10</v>
      </c>
      <c r="D3129" s="19" t="n">
        <v>2028</v>
      </c>
      <c r="E3129" s="57" t="n">
        <v>3</v>
      </c>
      <c r="F3129" s="29">
        <f>ROUND(((SUMIFS(Calendar!$F$2:$F$9997,Calendar!$B$2:$B$9997,D3129,Calendar!$C$2:$C$9997,C3129)*INDEX(ForeCalc!$B$37:$Y$274,MATCH(_xlfn.CONCAT(H3129," ",I3129),ForeCalc!$A$37:$A$274,0),MATCH(_xlfn.CONCAT(B3129," ",E3129),ForeCalc!$B$36:$Y$36,0))))*VLOOKUP(A3129,Calendar!$A$2:$H$9997,8,FALSE),0)</f>
        <v/>
      </c>
      <c r="G3129" s="29">
        <f>VLOOKUP(A3129,Calendar!$A$1:$H$9997,6,FALSE)-F3129</f>
        <v/>
      </c>
      <c r="H3129" s="19" t="n">
        <v>3</v>
      </c>
      <c r="I3129" s="57" t="n">
        <v>7</v>
      </c>
    </row>
    <row r="3130">
      <c r="A3130" s="62" t="n">
        <v>47049</v>
      </c>
      <c r="B3130" s="3" t="inlineStr">
        <is>
          <t>Week</t>
        </is>
      </c>
      <c r="C3130" s="19" t="n">
        <v>10</v>
      </c>
      <c r="D3130" s="19" t="n">
        <v>2028</v>
      </c>
      <c r="E3130" s="57" t="n">
        <v>3</v>
      </c>
      <c r="F3130" s="29">
        <f>ROUND(((SUMIFS(Calendar!$F$2:$F$9997,Calendar!$B$2:$B$9997,D3130,Calendar!$C$2:$C$9997,C3130)*INDEX(ForeCalc!$B$37:$Y$274,MATCH(_xlfn.CONCAT(H3130," ",I3130),ForeCalc!$A$37:$A$274,0),MATCH(_xlfn.CONCAT(B3130," ",E3130),ForeCalc!$B$36:$Y$36,0))))*VLOOKUP(A3130,Calendar!$A$2:$H$9997,8,FALSE),0)</f>
        <v/>
      </c>
      <c r="G3130" s="29">
        <f>VLOOKUP(A3130,Calendar!$A$1:$H$9997,6,FALSE)-F3130</f>
        <v/>
      </c>
      <c r="H3130" s="19" t="n">
        <v>3</v>
      </c>
      <c r="I3130" s="57" t="n">
        <v>7</v>
      </c>
    </row>
    <row r="3131">
      <c r="A3131" s="62" t="n">
        <v>47050</v>
      </c>
      <c r="B3131" s="3" t="inlineStr">
        <is>
          <t>Week</t>
        </is>
      </c>
      <c r="C3131" s="19" t="n">
        <v>10</v>
      </c>
      <c r="D3131" s="19" t="n">
        <v>2028</v>
      </c>
      <c r="E3131" s="57" t="n">
        <v>3</v>
      </c>
      <c r="F3131" s="29">
        <f>ROUND(((SUMIFS(Calendar!$F$2:$F$9997,Calendar!$B$2:$B$9997,D3131,Calendar!$C$2:$C$9997,C3131)*INDEX(ForeCalc!$B$37:$Y$274,MATCH(_xlfn.CONCAT(H3131," ",I3131),ForeCalc!$A$37:$A$274,0),MATCH(_xlfn.CONCAT(B3131," ",E3131),ForeCalc!$B$36:$Y$36,0))))*VLOOKUP(A3131,Calendar!$A$2:$H$9997,8,FALSE),0)</f>
        <v/>
      </c>
      <c r="G3131" s="29">
        <f>VLOOKUP(A3131,Calendar!$A$1:$H$9997,6,FALSE)-F3131</f>
        <v/>
      </c>
      <c r="H3131" s="19" t="n">
        <v>3</v>
      </c>
      <c r="I3131" s="57" t="n">
        <v>7</v>
      </c>
    </row>
    <row r="3132">
      <c r="A3132" s="62" t="n">
        <v>47051</v>
      </c>
      <c r="B3132" s="3" t="inlineStr">
        <is>
          <t>Week</t>
        </is>
      </c>
      <c r="C3132" s="19" t="n">
        <v>10</v>
      </c>
      <c r="D3132" s="19" t="n">
        <v>2028</v>
      </c>
      <c r="E3132" s="57" t="n">
        <v>3</v>
      </c>
      <c r="F3132" s="29">
        <f>ROUND(((SUMIFS(Calendar!$F$2:$F$9997,Calendar!$B$2:$B$9997,D3132,Calendar!$C$2:$C$9997,C3132)*INDEX(ForeCalc!$B$37:$Y$274,MATCH(_xlfn.CONCAT(H3132," ",I3132),ForeCalc!$A$37:$A$274,0),MATCH(_xlfn.CONCAT(B3132," ",E3132),ForeCalc!$B$36:$Y$36,0))))*VLOOKUP(A3132,Calendar!$A$2:$H$9997,8,FALSE),0)</f>
        <v/>
      </c>
      <c r="G3132" s="29">
        <f>VLOOKUP(A3132,Calendar!$A$1:$H$9997,6,FALSE)-F3132</f>
        <v/>
      </c>
      <c r="H3132" s="19" t="n">
        <v>3</v>
      </c>
      <c r="I3132" s="57" t="n">
        <v>7</v>
      </c>
    </row>
    <row r="3133">
      <c r="A3133" s="62" t="n">
        <v>47052</v>
      </c>
      <c r="B3133" s="3" t="inlineStr">
        <is>
          <t>Week</t>
        </is>
      </c>
      <c r="C3133" s="19" t="n">
        <v>10</v>
      </c>
      <c r="D3133" s="19" t="n">
        <v>2028</v>
      </c>
      <c r="E3133" s="57" t="n">
        <v>3</v>
      </c>
      <c r="F3133" s="29">
        <f>ROUND(((SUMIFS(Calendar!$F$2:$F$9997,Calendar!$B$2:$B$9997,D3133,Calendar!$C$2:$C$9997,C3133)*INDEX(ForeCalc!$B$37:$Y$274,MATCH(_xlfn.CONCAT(H3133," ",I3133),ForeCalc!$A$37:$A$274,0),MATCH(_xlfn.CONCAT(B3133," ",E3133),ForeCalc!$B$36:$Y$36,0))))*VLOOKUP(A3133,Calendar!$A$2:$H$9997,8,FALSE),0)</f>
        <v/>
      </c>
      <c r="G3133" s="29">
        <f>VLOOKUP(A3133,Calendar!$A$1:$H$9997,6,FALSE)-F3133</f>
        <v/>
      </c>
      <c r="H3133" s="19" t="n">
        <v>3</v>
      </c>
      <c r="I3133" s="57" t="n">
        <v>7</v>
      </c>
    </row>
    <row r="3134">
      <c r="A3134" s="62" t="n">
        <v>47053</v>
      </c>
      <c r="B3134" s="3" t="inlineStr">
        <is>
          <t>Week</t>
        </is>
      </c>
      <c r="C3134" s="19" t="n">
        <v>10</v>
      </c>
      <c r="D3134" s="19" t="n">
        <v>2028</v>
      </c>
      <c r="E3134" s="57" t="n">
        <v>3</v>
      </c>
      <c r="F3134" s="29">
        <f>ROUND(((SUMIFS(Calendar!$F$2:$F$9997,Calendar!$B$2:$B$9997,D3134,Calendar!$C$2:$C$9997,C3134)*INDEX(ForeCalc!$B$37:$Y$274,MATCH(_xlfn.CONCAT(H3134," ",I3134),ForeCalc!$A$37:$A$274,0),MATCH(_xlfn.CONCAT(B3134," ",E3134),ForeCalc!$B$36:$Y$36,0))))*VLOOKUP(A3134,Calendar!$A$2:$H$9997,8,FALSE),0)</f>
        <v/>
      </c>
      <c r="G3134" s="29">
        <f>VLOOKUP(A3134,Calendar!$A$1:$H$9997,6,FALSE)-F3134</f>
        <v/>
      </c>
      <c r="H3134" s="19" t="n">
        <v>3</v>
      </c>
      <c r="I3134" s="57" t="n">
        <v>7</v>
      </c>
    </row>
    <row r="3135">
      <c r="A3135" s="62" t="n">
        <v>47054</v>
      </c>
      <c r="B3135" s="3" t="inlineStr">
        <is>
          <t>Sat</t>
        </is>
      </c>
      <c r="C3135" s="19" t="n">
        <v>10</v>
      </c>
      <c r="D3135" s="19" t="n">
        <v>2028</v>
      </c>
      <c r="E3135" s="57" t="n">
        <v>3</v>
      </c>
      <c r="F3135" s="29">
        <f>ROUND(((SUMIFS(Calendar!$F$2:$F$9997,Calendar!$B$2:$B$9997,D3135,Calendar!$C$2:$C$9997,C3135)*INDEX(ForeCalc!$B$37:$Y$274,MATCH(_xlfn.CONCAT(H3135," ",I3135),ForeCalc!$A$37:$A$274,0),MATCH(_xlfn.CONCAT(B3135," ",E3135),ForeCalc!$B$36:$Y$36,0))))*VLOOKUP(A3135,Calendar!$A$2:$H$9997,8,FALSE),0)</f>
        <v/>
      </c>
      <c r="G3135" s="29">
        <f>VLOOKUP(A3135,Calendar!$A$1:$H$9997,6,FALSE)-F3135</f>
        <v/>
      </c>
      <c r="H3135" s="19" t="n">
        <v>3</v>
      </c>
      <c r="I3135" s="57" t="n">
        <v>7</v>
      </c>
    </row>
    <row r="3136">
      <c r="A3136" s="62" t="n">
        <v>47055</v>
      </c>
      <c r="B3136" s="3" t="inlineStr">
        <is>
          <t>Sun</t>
        </is>
      </c>
      <c r="C3136" s="19" t="n">
        <v>10</v>
      </c>
      <c r="D3136" s="19" t="n">
        <v>2028</v>
      </c>
      <c r="E3136" s="57" t="n">
        <v>3</v>
      </c>
      <c r="F3136" s="29">
        <f>ROUND(((SUMIFS(Calendar!$F$2:$F$9997,Calendar!$B$2:$B$9997,D3136,Calendar!$C$2:$C$9997,C3136)*INDEX(ForeCalc!$B$37:$Y$274,MATCH(_xlfn.CONCAT(H3136," ",I3136),ForeCalc!$A$37:$A$274,0),MATCH(_xlfn.CONCAT(B3136," ",E3136),ForeCalc!$B$36:$Y$36,0))))*VLOOKUP(A3136,Calendar!$A$2:$H$9997,8,FALSE),0)</f>
        <v/>
      </c>
      <c r="G3136" s="29">
        <f>VLOOKUP(A3136,Calendar!$A$1:$H$9997,6,FALSE)-F3136</f>
        <v/>
      </c>
      <c r="H3136" s="19" t="n">
        <v>3</v>
      </c>
      <c r="I3136" s="57" t="n">
        <v>7</v>
      </c>
    </row>
    <row r="3137">
      <c r="A3137" s="62" t="n">
        <v>47056</v>
      </c>
      <c r="B3137" s="3" t="inlineStr">
        <is>
          <t>Week</t>
        </is>
      </c>
      <c r="C3137" s="19" t="n">
        <v>10</v>
      </c>
      <c r="D3137" s="19" t="n">
        <v>2028</v>
      </c>
      <c r="E3137" s="57" t="n">
        <v>3</v>
      </c>
      <c r="F3137" s="29">
        <f>ROUND(((SUMIFS(Calendar!$F$2:$F$9997,Calendar!$B$2:$B$9997,D3137,Calendar!$C$2:$C$9997,C3137)*INDEX(ForeCalc!$B$37:$Y$274,MATCH(_xlfn.CONCAT(H3137," ",I3137),ForeCalc!$A$37:$A$274,0),MATCH(_xlfn.CONCAT(B3137," ",E3137),ForeCalc!$B$36:$Y$36,0))))*VLOOKUP(A3137,Calendar!$A$2:$H$9997,8,FALSE),0)</f>
        <v/>
      </c>
      <c r="G3137" s="29">
        <f>VLOOKUP(A3137,Calendar!$A$1:$H$9997,6,FALSE)-F3137</f>
        <v/>
      </c>
      <c r="H3137" s="19" t="n">
        <v>3</v>
      </c>
      <c r="I3137" s="57" t="n">
        <v>7</v>
      </c>
    </row>
    <row r="3138">
      <c r="A3138" s="62" t="n">
        <v>47057</v>
      </c>
      <c r="B3138" s="3" t="inlineStr">
        <is>
          <t>Week</t>
        </is>
      </c>
      <c r="C3138" s="19" t="n">
        <v>10</v>
      </c>
      <c r="D3138" s="19" t="n">
        <v>2028</v>
      </c>
      <c r="E3138" s="57" t="n">
        <v>3</v>
      </c>
      <c r="F3138" s="29">
        <f>ROUND(((SUMIFS(Calendar!$F$2:$F$9997,Calendar!$B$2:$B$9997,D3138,Calendar!$C$2:$C$9997,C3138)*INDEX(ForeCalc!$B$37:$Y$274,MATCH(_xlfn.CONCAT(H3138," ",I3138),ForeCalc!$A$37:$A$274,0),MATCH(_xlfn.CONCAT(B3138," ",E3138),ForeCalc!$B$36:$Y$36,0))))*VLOOKUP(A3138,Calendar!$A$2:$H$9997,8,FALSE),0)</f>
        <v/>
      </c>
      <c r="G3138" s="29">
        <f>VLOOKUP(A3138,Calendar!$A$1:$H$9997,6,FALSE)-F3138</f>
        <v/>
      </c>
      <c r="H3138" s="19" t="n">
        <v>3</v>
      </c>
      <c r="I3138" s="57" t="n">
        <v>7</v>
      </c>
    </row>
    <row r="3139">
      <c r="A3139" s="62" t="n">
        <v>47058</v>
      </c>
      <c r="B3139" s="3" t="inlineStr">
        <is>
          <t>Week</t>
        </is>
      </c>
      <c r="C3139" s="19" t="n">
        <v>11</v>
      </c>
      <c r="D3139" s="19" t="n">
        <v>2028</v>
      </c>
      <c r="E3139" s="57" t="n">
        <v>3</v>
      </c>
      <c r="F3139" s="29">
        <f>ROUND(((SUMIFS(Calendar!$F$2:$F$9997,Calendar!$B$2:$B$9997,D3139,Calendar!$C$2:$C$9997,C3139)*INDEX(ForeCalc!$B$37:$Y$274,MATCH(_xlfn.CONCAT(H3139," ",I3139),ForeCalc!$A$37:$A$274,0),MATCH(_xlfn.CONCAT(B3139," ",E3139),ForeCalc!$B$36:$Y$36,0))))*VLOOKUP(A3139,Calendar!$A$2:$H$9997,8,FALSE),0)</f>
        <v/>
      </c>
      <c r="G3139" s="29">
        <f>VLOOKUP(A3139,Calendar!$A$1:$H$9997,6,FALSE)-F3139</f>
        <v/>
      </c>
      <c r="H3139" s="19" t="n">
        <v>3</v>
      </c>
      <c r="I3139" s="57" t="n">
        <v>8</v>
      </c>
    </row>
    <row r="3140">
      <c r="A3140" s="62" t="n">
        <v>47059</v>
      </c>
      <c r="B3140" s="3" t="inlineStr">
        <is>
          <t>Week</t>
        </is>
      </c>
      <c r="C3140" s="19" t="n">
        <v>11</v>
      </c>
      <c r="D3140" s="19" t="n">
        <v>2028</v>
      </c>
      <c r="E3140" s="57" t="n">
        <v>3</v>
      </c>
      <c r="F3140" s="29">
        <f>ROUND(((SUMIFS(Calendar!$F$2:$F$9997,Calendar!$B$2:$B$9997,D3140,Calendar!$C$2:$C$9997,C3140)*INDEX(ForeCalc!$B$37:$Y$274,MATCH(_xlfn.CONCAT(H3140," ",I3140),ForeCalc!$A$37:$A$274,0),MATCH(_xlfn.CONCAT(B3140," ",E3140),ForeCalc!$B$36:$Y$36,0))))*VLOOKUP(A3140,Calendar!$A$2:$H$9997,8,FALSE),0)</f>
        <v/>
      </c>
      <c r="G3140" s="29">
        <f>VLOOKUP(A3140,Calendar!$A$1:$H$9997,6,FALSE)-F3140</f>
        <v/>
      </c>
      <c r="H3140" s="19" t="n">
        <v>3</v>
      </c>
      <c r="I3140" s="57" t="n">
        <v>8</v>
      </c>
    </row>
    <row r="3141">
      <c r="A3141" s="62" t="n">
        <v>47060</v>
      </c>
      <c r="B3141" s="3" t="inlineStr">
        <is>
          <t>Week</t>
        </is>
      </c>
      <c r="C3141" s="19" t="n">
        <v>11</v>
      </c>
      <c r="D3141" s="19" t="n">
        <v>2028</v>
      </c>
      <c r="E3141" s="57" t="n">
        <v>3</v>
      </c>
      <c r="F3141" s="29">
        <f>ROUND(((SUMIFS(Calendar!$F$2:$F$9997,Calendar!$B$2:$B$9997,D3141,Calendar!$C$2:$C$9997,C3141)*INDEX(ForeCalc!$B$37:$Y$274,MATCH(_xlfn.CONCAT(H3141," ",I3141),ForeCalc!$A$37:$A$274,0),MATCH(_xlfn.CONCAT(B3141," ",E3141),ForeCalc!$B$36:$Y$36,0))))*VLOOKUP(A3141,Calendar!$A$2:$H$9997,8,FALSE),0)</f>
        <v/>
      </c>
      <c r="G3141" s="29">
        <f>VLOOKUP(A3141,Calendar!$A$1:$H$9997,6,FALSE)-F3141</f>
        <v/>
      </c>
      <c r="H3141" s="19" t="n">
        <v>3</v>
      </c>
      <c r="I3141" s="57" t="n">
        <v>8</v>
      </c>
    </row>
    <row r="3142">
      <c r="A3142" s="62" t="n">
        <v>47061</v>
      </c>
      <c r="B3142" s="3" t="inlineStr">
        <is>
          <t>Sat</t>
        </is>
      </c>
      <c r="C3142" s="19" t="n">
        <v>11</v>
      </c>
      <c r="D3142" s="19" t="n">
        <v>2028</v>
      </c>
      <c r="E3142" s="57" t="n">
        <v>3</v>
      </c>
      <c r="F3142" s="29">
        <f>ROUND(((SUMIFS(Calendar!$F$2:$F$9997,Calendar!$B$2:$B$9997,D3142,Calendar!$C$2:$C$9997,C3142)*INDEX(ForeCalc!$B$37:$Y$274,MATCH(_xlfn.CONCAT(H3142," ",I3142),ForeCalc!$A$37:$A$274,0),MATCH(_xlfn.CONCAT(B3142," ",E3142),ForeCalc!$B$36:$Y$36,0))))*VLOOKUP(A3142,Calendar!$A$2:$H$9997,8,FALSE),0)</f>
        <v/>
      </c>
      <c r="G3142" s="29">
        <f>VLOOKUP(A3142,Calendar!$A$1:$H$9997,6,FALSE)-F3142</f>
        <v/>
      </c>
      <c r="H3142" s="19" t="n">
        <v>3</v>
      </c>
      <c r="I3142" s="57" t="n">
        <v>8</v>
      </c>
    </row>
    <row r="3143">
      <c r="A3143" s="62" t="n">
        <v>47062</v>
      </c>
      <c r="B3143" s="3" t="inlineStr">
        <is>
          <t>Sun</t>
        </is>
      </c>
      <c r="C3143" s="19" t="n">
        <v>11</v>
      </c>
      <c r="D3143" s="19" t="n">
        <v>2028</v>
      </c>
      <c r="E3143" s="57" t="n">
        <v>3</v>
      </c>
      <c r="F3143" s="29">
        <f>ROUND(((SUMIFS(Calendar!$F$2:$F$9997,Calendar!$B$2:$B$9997,D3143,Calendar!$C$2:$C$9997,C3143)*INDEX(ForeCalc!$B$37:$Y$274,MATCH(_xlfn.CONCAT(H3143," ",I3143),ForeCalc!$A$37:$A$274,0),MATCH(_xlfn.CONCAT(B3143," ",E3143),ForeCalc!$B$36:$Y$36,0))))*VLOOKUP(A3143,Calendar!$A$2:$H$9997,8,FALSE),0)</f>
        <v/>
      </c>
      <c r="G3143" s="29">
        <f>VLOOKUP(A3143,Calendar!$A$1:$H$9997,6,FALSE)-F3143</f>
        <v/>
      </c>
      <c r="H3143" s="19" t="n">
        <v>3</v>
      </c>
      <c r="I3143" s="57" t="n">
        <v>8</v>
      </c>
    </row>
    <row r="3144">
      <c r="A3144" s="62" t="n">
        <v>47063</v>
      </c>
      <c r="B3144" s="3" t="inlineStr">
        <is>
          <t>Week</t>
        </is>
      </c>
      <c r="C3144" s="19" t="n">
        <v>11</v>
      </c>
      <c r="D3144" s="19" t="n">
        <v>2028</v>
      </c>
      <c r="E3144" s="57" t="n">
        <v>3</v>
      </c>
      <c r="F3144" s="29">
        <f>ROUND(((SUMIFS(Calendar!$F$2:$F$9997,Calendar!$B$2:$B$9997,D3144,Calendar!$C$2:$C$9997,C3144)*INDEX(ForeCalc!$B$37:$Y$274,MATCH(_xlfn.CONCAT(H3144," ",I3144),ForeCalc!$A$37:$A$274,0),MATCH(_xlfn.CONCAT(B3144," ",E3144),ForeCalc!$B$36:$Y$36,0))))*VLOOKUP(A3144,Calendar!$A$2:$H$9997,8,FALSE),0)</f>
        <v/>
      </c>
      <c r="G3144" s="29">
        <f>VLOOKUP(A3144,Calendar!$A$1:$H$9997,6,FALSE)-F3144</f>
        <v/>
      </c>
      <c r="H3144" s="19" t="n">
        <v>3</v>
      </c>
      <c r="I3144" s="57" t="n">
        <v>8</v>
      </c>
    </row>
    <row r="3145">
      <c r="A3145" s="62" t="n">
        <v>47064</v>
      </c>
      <c r="B3145" s="3" t="inlineStr">
        <is>
          <t>Week</t>
        </is>
      </c>
      <c r="C3145" s="19" t="n">
        <v>11</v>
      </c>
      <c r="D3145" s="19" t="n">
        <v>2028</v>
      </c>
      <c r="E3145" s="57" t="n">
        <v>3</v>
      </c>
      <c r="F3145" s="29">
        <f>ROUND(((SUMIFS(Calendar!$F$2:$F$9997,Calendar!$B$2:$B$9997,D3145,Calendar!$C$2:$C$9997,C3145)*INDEX(ForeCalc!$B$37:$Y$274,MATCH(_xlfn.CONCAT(H3145," ",I3145),ForeCalc!$A$37:$A$274,0),MATCH(_xlfn.CONCAT(B3145," ",E3145),ForeCalc!$B$36:$Y$36,0))))*VLOOKUP(A3145,Calendar!$A$2:$H$9997,8,FALSE),0)</f>
        <v/>
      </c>
      <c r="G3145" s="29">
        <f>VLOOKUP(A3145,Calendar!$A$1:$H$9997,6,FALSE)-F3145</f>
        <v/>
      </c>
      <c r="H3145" s="19" t="n">
        <v>3</v>
      </c>
      <c r="I3145" s="57" t="n">
        <v>8</v>
      </c>
    </row>
    <row r="3146">
      <c r="A3146" s="62" t="n">
        <v>47065</v>
      </c>
      <c r="B3146" s="3" t="inlineStr">
        <is>
          <t>Week</t>
        </is>
      </c>
      <c r="C3146" s="19" t="n">
        <v>11</v>
      </c>
      <c r="D3146" s="19" t="n">
        <v>2028</v>
      </c>
      <c r="E3146" s="57" t="n">
        <v>3</v>
      </c>
      <c r="F3146" s="29">
        <f>ROUND(((SUMIFS(Calendar!$F$2:$F$9997,Calendar!$B$2:$B$9997,D3146,Calendar!$C$2:$C$9997,C3146)*INDEX(ForeCalc!$B$37:$Y$274,MATCH(_xlfn.CONCAT(H3146," ",I3146),ForeCalc!$A$37:$A$274,0),MATCH(_xlfn.CONCAT(B3146," ",E3146),ForeCalc!$B$36:$Y$36,0))))*VLOOKUP(A3146,Calendar!$A$2:$H$9997,8,FALSE),0)</f>
        <v/>
      </c>
      <c r="G3146" s="29">
        <f>VLOOKUP(A3146,Calendar!$A$1:$H$9997,6,FALSE)-F3146</f>
        <v/>
      </c>
      <c r="H3146" s="19" t="n">
        <v>3</v>
      </c>
      <c r="I3146" s="57" t="n">
        <v>8</v>
      </c>
    </row>
    <row r="3147">
      <c r="A3147" s="62" t="n">
        <v>47066</v>
      </c>
      <c r="B3147" s="3" t="inlineStr">
        <is>
          <t>Week</t>
        </is>
      </c>
      <c r="C3147" s="19" t="n">
        <v>11</v>
      </c>
      <c r="D3147" s="19" t="n">
        <v>2028</v>
      </c>
      <c r="E3147" s="57" t="n">
        <v>3</v>
      </c>
      <c r="F3147" s="29">
        <f>ROUND(((SUMIFS(Calendar!$F$2:$F$9997,Calendar!$B$2:$B$9997,D3147,Calendar!$C$2:$C$9997,C3147)*INDEX(ForeCalc!$B$37:$Y$274,MATCH(_xlfn.CONCAT(H3147," ",I3147),ForeCalc!$A$37:$A$274,0),MATCH(_xlfn.CONCAT(B3147," ",E3147),ForeCalc!$B$36:$Y$36,0))))*VLOOKUP(A3147,Calendar!$A$2:$H$9997,8,FALSE),0)</f>
        <v/>
      </c>
      <c r="G3147" s="29">
        <f>VLOOKUP(A3147,Calendar!$A$1:$H$9997,6,FALSE)-F3147</f>
        <v/>
      </c>
      <c r="H3147" s="19" t="n">
        <v>3</v>
      </c>
      <c r="I3147" s="57" t="n">
        <v>8</v>
      </c>
    </row>
    <row r="3148">
      <c r="A3148" s="62" t="n">
        <v>47067</v>
      </c>
      <c r="B3148" s="3" t="inlineStr">
        <is>
          <t>Week</t>
        </is>
      </c>
      <c r="C3148" s="19" t="n">
        <v>11</v>
      </c>
      <c r="D3148" s="19" t="n">
        <v>2028</v>
      </c>
      <c r="E3148" s="57" t="n">
        <v>3</v>
      </c>
      <c r="F3148" s="29">
        <f>ROUND(((SUMIFS(Calendar!$F$2:$F$9997,Calendar!$B$2:$B$9997,D3148,Calendar!$C$2:$C$9997,C3148)*INDEX(ForeCalc!$B$37:$Y$274,MATCH(_xlfn.CONCAT(H3148," ",I3148),ForeCalc!$A$37:$A$274,0),MATCH(_xlfn.CONCAT(B3148," ",E3148),ForeCalc!$B$36:$Y$36,0))))*VLOOKUP(A3148,Calendar!$A$2:$H$9997,8,FALSE),0)</f>
        <v/>
      </c>
      <c r="G3148" s="29">
        <f>VLOOKUP(A3148,Calendar!$A$1:$H$9997,6,FALSE)-F3148</f>
        <v/>
      </c>
      <c r="H3148" s="19" t="n">
        <v>3</v>
      </c>
      <c r="I3148" s="57" t="n">
        <v>8</v>
      </c>
    </row>
    <row r="3149">
      <c r="A3149" s="62" t="n">
        <v>47068</v>
      </c>
      <c r="B3149" s="3" t="inlineStr">
        <is>
          <t>Sat</t>
        </is>
      </c>
      <c r="C3149" s="19" t="n">
        <v>11</v>
      </c>
      <c r="D3149" s="19" t="n">
        <v>2028</v>
      </c>
      <c r="E3149" s="57" t="n">
        <v>3</v>
      </c>
      <c r="F3149" s="29">
        <f>ROUND(((SUMIFS(Calendar!$F$2:$F$9997,Calendar!$B$2:$B$9997,D3149,Calendar!$C$2:$C$9997,C3149)*INDEX(ForeCalc!$B$37:$Y$274,MATCH(_xlfn.CONCAT(H3149," ",I3149),ForeCalc!$A$37:$A$274,0),MATCH(_xlfn.CONCAT(B3149," ",E3149),ForeCalc!$B$36:$Y$36,0))))*VLOOKUP(A3149,Calendar!$A$2:$H$9997,8,FALSE),0)</f>
        <v/>
      </c>
      <c r="G3149" s="29">
        <f>VLOOKUP(A3149,Calendar!$A$1:$H$9997,6,FALSE)-F3149</f>
        <v/>
      </c>
      <c r="H3149" s="19" t="n">
        <v>3</v>
      </c>
      <c r="I3149" s="57" t="n">
        <v>8</v>
      </c>
    </row>
    <row r="3150">
      <c r="A3150" s="62" t="n">
        <v>47069</v>
      </c>
      <c r="B3150" s="3" t="inlineStr">
        <is>
          <t>Sun</t>
        </is>
      </c>
      <c r="C3150" s="19" t="n">
        <v>11</v>
      </c>
      <c r="D3150" s="19" t="n">
        <v>2028</v>
      </c>
      <c r="E3150" s="57" t="n">
        <v>3</v>
      </c>
      <c r="F3150" s="29">
        <f>ROUND(((SUMIFS(Calendar!$F$2:$F$9997,Calendar!$B$2:$B$9997,D3150,Calendar!$C$2:$C$9997,C3150)*INDEX(ForeCalc!$B$37:$Y$274,MATCH(_xlfn.CONCAT(H3150," ",I3150),ForeCalc!$A$37:$A$274,0),MATCH(_xlfn.CONCAT(B3150," ",E3150),ForeCalc!$B$36:$Y$36,0))))*VLOOKUP(A3150,Calendar!$A$2:$H$9997,8,FALSE),0)</f>
        <v/>
      </c>
      <c r="G3150" s="29">
        <f>VLOOKUP(A3150,Calendar!$A$1:$H$9997,6,FALSE)-F3150</f>
        <v/>
      </c>
      <c r="H3150" s="19" t="n">
        <v>3</v>
      </c>
      <c r="I3150" s="57" t="n">
        <v>8</v>
      </c>
    </row>
    <row r="3151">
      <c r="A3151" s="62" t="n">
        <v>47070</v>
      </c>
      <c r="B3151" s="3" t="inlineStr">
        <is>
          <t>Week</t>
        </is>
      </c>
      <c r="C3151" s="19" t="n">
        <v>11</v>
      </c>
      <c r="D3151" s="19" t="n">
        <v>2028</v>
      </c>
      <c r="E3151" s="57" t="n">
        <v>3</v>
      </c>
      <c r="F3151" s="29">
        <f>ROUND(((SUMIFS(Calendar!$F$2:$F$9997,Calendar!$B$2:$B$9997,D3151,Calendar!$C$2:$C$9997,C3151)*INDEX(ForeCalc!$B$37:$Y$274,MATCH(_xlfn.CONCAT(H3151," ",I3151),ForeCalc!$A$37:$A$274,0),MATCH(_xlfn.CONCAT(B3151," ",E3151),ForeCalc!$B$36:$Y$36,0))))*VLOOKUP(A3151,Calendar!$A$2:$H$9997,8,FALSE),0)</f>
        <v/>
      </c>
      <c r="G3151" s="29">
        <f>VLOOKUP(A3151,Calendar!$A$1:$H$9997,6,FALSE)-F3151</f>
        <v/>
      </c>
      <c r="H3151" s="19" t="n">
        <v>3</v>
      </c>
      <c r="I3151" s="57" t="n">
        <v>8</v>
      </c>
    </row>
    <row r="3152">
      <c r="A3152" s="62" t="n">
        <v>47071</v>
      </c>
      <c r="B3152" s="3" t="inlineStr">
        <is>
          <t>Week</t>
        </is>
      </c>
      <c r="C3152" s="19" t="n">
        <v>11</v>
      </c>
      <c r="D3152" s="19" t="n">
        <v>2028</v>
      </c>
      <c r="E3152" s="57" t="n">
        <v>3</v>
      </c>
      <c r="F3152" s="29">
        <f>ROUND(((SUMIFS(Calendar!$F$2:$F$9997,Calendar!$B$2:$B$9997,D3152,Calendar!$C$2:$C$9997,C3152)*INDEX(ForeCalc!$B$37:$Y$274,MATCH(_xlfn.CONCAT(H3152," ",I3152),ForeCalc!$A$37:$A$274,0),MATCH(_xlfn.CONCAT(B3152," ",E3152),ForeCalc!$B$36:$Y$36,0))))*VLOOKUP(A3152,Calendar!$A$2:$H$9997,8,FALSE),0)</f>
        <v/>
      </c>
      <c r="G3152" s="29">
        <f>VLOOKUP(A3152,Calendar!$A$1:$H$9997,6,FALSE)-F3152</f>
        <v/>
      </c>
      <c r="H3152" s="19" t="n">
        <v>3</v>
      </c>
      <c r="I3152" s="57" t="n">
        <v>8</v>
      </c>
    </row>
    <row r="3153">
      <c r="A3153" s="62" t="n">
        <v>47072</v>
      </c>
      <c r="B3153" s="3" t="inlineStr">
        <is>
          <t>Week</t>
        </is>
      </c>
      <c r="C3153" s="19" t="n">
        <v>11</v>
      </c>
      <c r="D3153" s="19" t="n">
        <v>2028</v>
      </c>
      <c r="E3153" s="57" t="n">
        <v>3</v>
      </c>
      <c r="F3153" s="29">
        <f>ROUND(((SUMIFS(Calendar!$F$2:$F$9997,Calendar!$B$2:$B$9997,D3153,Calendar!$C$2:$C$9997,C3153)*INDEX(ForeCalc!$B$37:$Y$274,MATCH(_xlfn.CONCAT(H3153," ",I3153),ForeCalc!$A$37:$A$274,0),MATCH(_xlfn.CONCAT(B3153," ",E3153),ForeCalc!$B$36:$Y$36,0))))*VLOOKUP(A3153,Calendar!$A$2:$H$9997,8,FALSE),0)</f>
        <v/>
      </c>
      <c r="G3153" s="29">
        <f>VLOOKUP(A3153,Calendar!$A$1:$H$9997,6,FALSE)-F3153</f>
        <v/>
      </c>
      <c r="H3153" s="19" t="n">
        <v>3</v>
      </c>
      <c r="I3153" s="57" t="n">
        <v>8</v>
      </c>
    </row>
    <row r="3154">
      <c r="A3154" s="62" t="n">
        <v>47073</v>
      </c>
      <c r="B3154" s="3" t="inlineStr">
        <is>
          <t>Week</t>
        </is>
      </c>
      <c r="C3154" s="19" t="n">
        <v>11</v>
      </c>
      <c r="D3154" s="19" t="n">
        <v>2028</v>
      </c>
      <c r="E3154" s="57" t="n">
        <v>3</v>
      </c>
      <c r="F3154" s="29">
        <f>ROUND(((SUMIFS(Calendar!$F$2:$F$9997,Calendar!$B$2:$B$9997,D3154,Calendar!$C$2:$C$9997,C3154)*INDEX(ForeCalc!$B$37:$Y$274,MATCH(_xlfn.CONCAT(H3154," ",I3154),ForeCalc!$A$37:$A$274,0),MATCH(_xlfn.CONCAT(B3154," ",E3154),ForeCalc!$B$36:$Y$36,0))))*VLOOKUP(A3154,Calendar!$A$2:$H$9997,8,FALSE),0)</f>
        <v/>
      </c>
      <c r="G3154" s="29">
        <f>VLOOKUP(A3154,Calendar!$A$1:$H$9997,6,FALSE)-F3154</f>
        <v/>
      </c>
      <c r="H3154" s="19" t="n">
        <v>3</v>
      </c>
      <c r="I3154" s="57" t="n">
        <v>8</v>
      </c>
    </row>
    <row r="3155">
      <c r="A3155" s="62" t="n">
        <v>47074</v>
      </c>
      <c r="B3155" s="3" t="inlineStr">
        <is>
          <t>Week</t>
        </is>
      </c>
      <c r="C3155" s="19" t="n">
        <v>11</v>
      </c>
      <c r="D3155" s="19" t="n">
        <v>2028</v>
      </c>
      <c r="E3155" s="57" t="n">
        <v>3</v>
      </c>
      <c r="F3155" s="29">
        <f>ROUND(((SUMIFS(Calendar!$F$2:$F$9997,Calendar!$B$2:$B$9997,D3155,Calendar!$C$2:$C$9997,C3155)*INDEX(ForeCalc!$B$37:$Y$274,MATCH(_xlfn.CONCAT(H3155," ",I3155),ForeCalc!$A$37:$A$274,0),MATCH(_xlfn.CONCAT(B3155," ",E3155),ForeCalc!$B$36:$Y$36,0))))*VLOOKUP(A3155,Calendar!$A$2:$H$9997,8,FALSE),0)</f>
        <v/>
      </c>
      <c r="G3155" s="29">
        <f>VLOOKUP(A3155,Calendar!$A$1:$H$9997,6,FALSE)-F3155</f>
        <v/>
      </c>
      <c r="H3155" s="19" t="n">
        <v>3</v>
      </c>
      <c r="I3155" s="57" t="n">
        <v>8</v>
      </c>
    </row>
    <row r="3156">
      <c r="A3156" s="62" t="n">
        <v>47075</v>
      </c>
      <c r="B3156" s="3" t="inlineStr">
        <is>
          <t>Sat</t>
        </is>
      </c>
      <c r="C3156" s="19" t="n">
        <v>11</v>
      </c>
      <c r="D3156" s="19" t="n">
        <v>2028</v>
      </c>
      <c r="E3156" s="57" t="n">
        <v>3</v>
      </c>
      <c r="F3156" s="29">
        <f>ROUND(((SUMIFS(Calendar!$F$2:$F$9997,Calendar!$B$2:$B$9997,D3156,Calendar!$C$2:$C$9997,C3156)*INDEX(ForeCalc!$B$37:$Y$274,MATCH(_xlfn.CONCAT(H3156," ",I3156),ForeCalc!$A$37:$A$274,0),MATCH(_xlfn.CONCAT(B3156," ",E3156),ForeCalc!$B$36:$Y$36,0))))*VLOOKUP(A3156,Calendar!$A$2:$H$9997,8,FALSE),0)</f>
        <v/>
      </c>
      <c r="G3156" s="29">
        <f>VLOOKUP(A3156,Calendar!$A$1:$H$9997,6,FALSE)-F3156</f>
        <v/>
      </c>
      <c r="H3156" s="19" t="n">
        <v>3</v>
      </c>
      <c r="I3156" s="57" t="n">
        <v>8</v>
      </c>
    </row>
    <row r="3157">
      <c r="A3157" s="62" t="n">
        <v>47076</v>
      </c>
      <c r="B3157" s="3" t="inlineStr">
        <is>
          <t>Sun</t>
        </is>
      </c>
      <c r="C3157" s="19" t="n">
        <v>11</v>
      </c>
      <c r="D3157" s="19" t="n">
        <v>2028</v>
      </c>
      <c r="E3157" s="57" t="n">
        <v>3</v>
      </c>
      <c r="F3157" s="29">
        <f>ROUND(((SUMIFS(Calendar!$F$2:$F$9997,Calendar!$B$2:$B$9997,D3157,Calendar!$C$2:$C$9997,C3157)*INDEX(ForeCalc!$B$37:$Y$274,MATCH(_xlfn.CONCAT(H3157," ",I3157),ForeCalc!$A$37:$A$274,0),MATCH(_xlfn.CONCAT(B3157," ",E3157),ForeCalc!$B$36:$Y$36,0))))*VLOOKUP(A3157,Calendar!$A$2:$H$9997,8,FALSE),0)</f>
        <v/>
      </c>
      <c r="G3157" s="29">
        <f>VLOOKUP(A3157,Calendar!$A$1:$H$9997,6,FALSE)-F3157</f>
        <v/>
      </c>
      <c r="H3157" s="19" t="n">
        <v>3</v>
      </c>
      <c r="I3157" s="57" t="n">
        <v>8</v>
      </c>
    </row>
    <row r="3158">
      <c r="A3158" s="62" t="n">
        <v>47077</v>
      </c>
      <c r="B3158" s="3" t="inlineStr">
        <is>
          <t>Week</t>
        </is>
      </c>
      <c r="C3158" s="19" t="n">
        <v>11</v>
      </c>
      <c r="D3158" s="19" t="n">
        <v>2028</v>
      </c>
      <c r="E3158" s="57" t="n">
        <v>3</v>
      </c>
      <c r="F3158" s="29">
        <f>ROUND(((SUMIFS(Calendar!$F$2:$F$9997,Calendar!$B$2:$B$9997,D3158,Calendar!$C$2:$C$9997,C3158)*INDEX(ForeCalc!$B$37:$Y$274,MATCH(_xlfn.CONCAT(H3158," ",I3158),ForeCalc!$A$37:$A$274,0),MATCH(_xlfn.CONCAT(B3158," ",E3158),ForeCalc!$B$36:$Y$36,0))))*VLOOKUP(A3158,Calendar!$A$2:$H$9997,8,FALSE),0)</f>
        <v/>
      </c>
      <c r="G3158" s="29">
        <f>VLOOKUP(A3158,Calendar!$A$1:$H$9997,6,FALSE)-F3158</f>
        <v/>
      </c>
      <c r="H3158" s="19" t="n">
        <v>3</v>
      </c>
      <c r="I3158" s="57" t="n">
        <v>8</v>
      </c>
    </row>
    <row r="3159">
      <c r="A3159" s="62" t="n">
        <v>47078</v>
      </c>
      <c r="B3159" s="3" t="inlineStr">
        <is>
          <t>Week</t>
        </is>
      </c>
      <c r="C3159" s="19" t="n">
        <v>11</v>
      </c>
      <c r="D3159" s="19" t="n">
        <v>2028</v>
      </c>
      <c r="E3159" s="57" t="n">
        <v>3</v>
      </c>
      <c r="F3159" s="29">
        <f>ROUND(((SUMIFS(Calendar!$F$2:$F$9997,Calendar!$B$2:$B$9997,D3159,Calendar!$C$2:$C$9997,C3159)*INDEX(ForeCalc!$B$37:$Y$274,MATCH(_xlfn.CONCAT(H3159," ",I3159),ForeCalc!$A$37:$A$274,0),MATCH(_xlfn.CONCAT(B3159," ",E3159),ForeCalc!$B$36:$Y$36,0))))*VLOOKUP(A3159,Calendar!$A$2:$H$9997,8,FALSE),0)</f>
        <v/>
      </c>
      <c r="G3159" s="29">
        <f>VLOOKUP(A3159,Calendar!$A$1:$H$9997,6,FALSE)-F3159</f>
        <v/>
      </c>
      <c r="H3159" s="19" t="n">
        <v>3</v>
      </c>
      <c r="I3159" s="57" t="n">
        <v>8</v>
      </c>
    </row>
    <row r="3160">
      <c r="A3160" s="62" t="n">
        <v>47079</v>
      </c>
      <c r="B3160" s="3" t="inlineStr">
        <is>
          <t>Week</t>
        </is>
      </c>
      <c r="C3160" s="19" t="n">
        <v>11</v>
      </c>
      <c r="D3160" s="19" t="n">
        <v>2028</v>
      </c>
      <c r="E3160" s="57" t="n">
        <v>3</v>
      </c>
      <c r="F3160" s="29">
        <f>ROUND(((SUMIFS(Calendar!$F$2:$F$9997,Calendar!$B$2:$B$9997,D3160,Calendar!$C$2:$C$9997,C3160)*INDEX(ForeCalc!$B$37:$Y$274,MATCH(_xlfn.CONCAT(H3160," ",I3160),ForeCalc!$A$37:$A$274,0),MATCH(_xlfn.CONCAT(B3160," ",E3160),ForeCalc!$B$36:$Y$36,0))))*VLOOKUP(A3160,Calendar!$A$2:$H$9997,8,FALSE),0)</f>
        <v/>
      </c>
      <c r="G3160" s="29">
        <f>VLOOKUP(A3160,Calendar!$A$1:$H$9997,6,FALSE)-F3160</f>
        <v/>
      </c>
      <c r="H3160" s="19" t="n">
        <v>3</v>
      </c>
      <c r="I3160" s="57" t="n">
        <v>8</v>
      </c>
    </row>
    <row r="3161">
      <c r="A3161" s="62" t="n">
        <v>47080</v>
      </c>
      <c r="B3161" s="3" t="inlineStr">
        <is>
          <t>Week</t>
        </is>
      </c>
      <c r="C3161" s="19" t="n">
        <v>11</v>
      </c>
      <c r="D3161" s="19" t="n">
        <v>2028</v>
      </c>
      <c r="E3161" s="57" t="n">
        <v>3</v>
      </c>
      <c r="F3161" s="29">
        <f>ROUND(((SUMIFS(Calendar!$F$2:$F$9997,Calendar!$B$2:$B$9997,D3161,Calendar!$C$2:$C$9997,C3161)*INDEX(ForeCalc!$B$37:$Y$274,MATCH(_xlfn.CONCAT(H3161," ",I3161),ForeCalc!$A$37:$A$274,0),MATCH(_xlfn.CONCAT(B3161," ",E3161),ForeCalc!$B$36:$Y$36,0))))*VLOOKUP(A3161,Calendar!$A$2:$H$9997,8,FALSE),0)</f>
        <v/>
      </c>
      <c r="G3161" s="29">
        <f>VLOOKUP(A3161,Calendar!$A$1:$H$9997,6,FALSE)-F3161</f>
        <v/>
      </c>
      <c r="H3161" s="19" t="n">
        <v>3</v>
      </c>
      <c r="I3161" s="57" t="n">
        <v>8</v>
      </c>
    </row>
    <row r="3162">
      <c r="A3162" s="62" t="n">
        <v>47081</v>
      </c>
      <c r="B3162" s="3" t="inlineStr">
        <is>
          <t>Week</t>
        </is>
      </c>
      <c r="C3162" s="19" t="n">
        <v>11</v>
      </c>
      <c r="D3162" s="19" t="n">
        <v>2028</v>
      </c>
      <c r="E3162" s="57" t="n">
        <v>3</v>
      </c>
      <c r="F3162" s="29">
        <f>ROUND(((SUMIFS(Calendar!$F$2:$F$9997,Calendar!$B$2:$B$9997,D3162,Calendar!$C$2:$C$9997,C3162)*INDEX(ForeCalc!$B$37:$Y$274,MATCH(_xlfn.CONCAT(H3162," ",I3162),ForeCalc!$A$37:$A$274,0),MATCH(_xlfn.CONCAT(B3162," ",E3162),ForeCalc!$B$36:$Y$36,0))))*VLOOKUP(A3162,Calendar!$A$2:$H$9997,8,FALSE),0)</f>
        <v/>
      </c>
      <c r="G3162" s="29">
        <f>VLOOKUP(A3162,Calendar!$A$1:$H$9997,6,FALSE)-F3162</f>
        <v/>
      </c>
      <c r="H3162" s="19" t="n">
        <v>3</v>
      </c>
      <c r="I3162" s="57" t="n">
        <v>8</v>
      </c>
    </row>
    <row r="3163">
      <c r="A3163" s="62" t="n">
        <v>47082</v>
      </c>
      <c r="B3163" s="3" t="inlineStr">
        <is>
          <t>Sat</t>
        </is>
      </c>
      <c r="C3163" s="19" t="n">
        <v>11</v>
      </c>
      <c r="D3163" s="19" t="n">
        <v>2028</v>
      </c>
      <c r="E3163" s="57" t="n">
        <v>3</v>
      </c>
      <c r="F3163" s="29">
        <f>ROUND(((SUMIFS(Calendar!$F$2:$F$9997,Calendar!$B$2:$B$9997,D3163,Calendar!$C$2:$C$9997,C3163)*INDEX(ForeCalc!$B$37:$Y$274,MATCH(_xlfn.CONCAT(H3163," ",I3163),ForeCalc!$A$37:$A$274,0),MATCH(_xlfn.CONCAT(B3163," ",E3163),ForeCalc!$B$36:$Y$36,0))))*VLOOKUP(A3163,Calendar!$A$2:$H$9997,8,FALSE),0)</f>
        <v/>
      </c>
      <c r="G3163" s="29">
        <f>VLOOKUP(A3163,Calendar!$A$1:$H$9997,6,FALSE)-F3163</f>
        <v/>
      </c>
      <c r="H3163" s="19" t="n">
        <v>3</v>
      </c>
      <c r="I3163" s="57" t="n">
        <v>8</v>
      </c>
    </row>
    <row r="3164">
      <c r="A3164" s="62" t="n">
        <v>47083</v>
      </c>
      <c r="B3164" s="3" t="inlineStr">
        <is>
          <t>Sun</t>
        </is>
      </c>
      <c r="C3164" s="19" t="n">
        <v>11</v>
      </c>
      <c r="D3164" s="19" t="n">
        <v>2028</v>
      </c>
      <c r="E3164" s="57" t="n">
        <v>3</v>
      </c>
      <c r="F3164" s="29">
        <f>ROUND(((SUMIFS(Calendar!$F$2:$F$9997,Calendar!$B$2:$B$9997,D3164,Calendar!$C$2:$C$9997,C3164)*INDEX(ForeCalc!$B$37:$Y$274,MATCH(_xlfn.CONCAT(H3164," ",I3164),ForeCalc!$A$37:$A$274,0),MATCH(_xlfn.CONCAT(B3164," ",E3164),ForeCalc!$B$36:$Y$36,0))))*VLOOKUP(A3164,Calendar!$A$2:$H$9997,8,FALSE),0)</f>
        <v/>
      </c>
      <c r="G3164" s="29">
        <f>VLOOKUP(A3164,Calendar!$A$1:$H$9997,6,FALSE)-F3164</f>
        <v/>
      </c>
      <c r="H3164" s="19" t="n">
        <v>3</v>
      </c>
      <c r="I3164" s="57" t="n">
        <v>8</v>
      </c>
    </row>
    <row r="3165">
      <c r="A3165" s="62" t="n">
        <v>47084</v>
      </c>
      <c r="B3165" s="3" t="inlineStr">
        <is>
          <t>Week</t>
        </is>
      </c>
      <c r="C3165" s="19" t="n">
        <v>11</v>
      </c>
      <c r="D3165" s="19" t="n">
        <v>2028</v>
      </c>
      <c r="E3165" s="57" t="n">
        <v>3</v>
      </c>
      <c r="F3165" s="29">
        <f>ROUND(((SUMIFS(Calendar!$F$2:$F$9997,Calendar!$B$2:$B$9997,D3165,Calendar!$C$2:$C$9997,C3165)*INDEX(ForeCalc!$B$37:$Y$274,MATCH(_xlfn.CONCAT(H3165," ",I3165),ForeCalc!$A$37:$A$274,0),MATCH(_xlfn.CONCAT(B3165," ",E3165),ForeCalc!$B$36:$Y$36,0))))*VLOOKUP(A3165,Calendar!$A$2:$H$9997,8,FALSE),0)</f>
        <v/>
      </c>
      <c r="G3165" s="29">
        <f>VLOOKUP(A3165,Calendar!$A$1:$H$9997,6,FALSE)-F3165</f>
        <v/>
      </c>
      <c r="H3165" s="19" t="n">
        <v>3</v>
      </c>
      <c r="I3165" s="57" t="n">
        <v>8</v>
      </c>
    </row>
    <row r="3166">
      <c r="A3166" s="62" t="n">
        <v>47085</v>
      </c>
      <c r="B3166" s="3" t="inlineStr">
        <is>
          <t>Week</t>
        </is>
      </c>
      <c r="C3166" s="19" t="n">
        <v>11</v>
      </c>
      <c r="D3166" s="19" t="n">
        <v>2028</v>
      </c>
      <c r="E3166" s="57" t="n">
        <v>3</v>
      </c>
      <c r="F3166" s="29">
        <f>ROUND(((SUMIFS(Calendar!$F$2:$F$9997,Calendar!$B$2:$B$9997,D3166,Calendar!$C$2:$C$9997,C3166)*INDEX(ForeCalc!$B$37:$Y$274,MATCH(_xlfn.CONCAT(H3166," ",I3166),ForeCalc!$A$37:$A$274,0),MATCH(_xlfn.CONCAT(B3166," ",E3166),ForeCalc!$B$36:$Y$36,0))))*VLOOKUP(A3166,Calendar!$A$2:$H$9997,8,FALSE),0)</f>
        <v/>
      </c>
      <c r="G3166" s="29">
        <f>VLOOKUP(A3166,Calendar!$A$1:$H$9997,6,FALSE)-F3166</f>
        <v/>
      </c>
      <c r="H3166" s="19" t="n">
        <v>3</v>
      </c>
      <c r="I3166" s="57" t="n">
        <v>8</v>
      </c>
    </row>
    <row r="3167">
      <c r="A3167" s="62" t="n">
        <v>47086</v>
      </c>
      <c r="B3167" s="3" t="inlineStr">
        <is>
          <t>Week</t>
        </is>
      </c>
      <c r="C3167" s="19" t="n">
        <v>11</v>
      </c>
      <c r="D3167" s="19" t="n">
        <v>2028</v>
      </c>
      <c r="E3167" s="57" t="n">
        <v>3</v>
      </c>
      <c r="F3167" s="29">
        <f>ROUND(((SUMIFS(Calendar!$F$2:$F$9997,Calendar!$B$2:$B$9997,D3167,Calendar!$C$2:$C$9997,C3167)*INDEX(ForeCalc!$B$37:$Y$274,MATCH(_xlfn.CONCAT(H3167," ",I3167),ForeCalc!$A$37:$A$274,0),MATCH(_xlfn.CONCAT(B3167," ",E3167),ForeCalc!$B$36:$Y$36,0))))*VLOOKUP(A3167,Calendar!$A$2:$H$9997,8,FALSE),0)</f>
        <v/>
      </c>
      <c r="G3167" s="29">
        <f>VLOOKUP(A3167,Calendar!$A$1:$H$9997,6,FALSE)-F3167</f>
        <v/>
      </c>
      <c r="H3167" s="19" t="n">
        <v>3</v>
      </c>
      <c r="I3167" s="57" t="n">
        <v>8</v>
      </c>
    </row>
    <row r="3168">
      <c r="A3168" s="62" t="n">
        <v>47087</v>
      </c>
      <c r="B3168" s="3" t="inlineStr">
        <is>
          <t>Week</t>
        </is>
      </c>
      <c r="C3168" s="19" t="n">
        <v>11</v>
      </c>
      <c r="D3168" s="19" t="n">
        <v>2028</v>
      </c>
      <c r="E3168" s="57" t="n">
        <v>3</v>
      </c>
      <c r="F3168" s="29">
        <f>ROUND(((SUMIFS(Calendar!$F$2:$F$9997,Calendar!$B$2:$B$9997,D3168,Calendar!$C$2:$C$9997,C3168)*INDEX(ForeCalc!$B$37:$Y$274,MATCH(_xlfn.CONCAT(H3168," ",I3168),ForeCalc!$A$37:$A$274,0),MATCH(_xlfn.CONCAT(B3168," ",E3168),ForeCalc!$B$36:$Y$36,0))))*VLOOKUP(A3168,Calendar!$A$2:$H$9997,8,FALSE),0)</f>
        <v/>
      </c>
      <c r="G3168" s="29">
        <f>VLOOKUP(A3168,Calendar!$A$1:$H$9997,6,FALSE)-F3168</f>
        <v/>
      </c>
      <c r="H3168" s="19" t="n">
        <v>3</v>
      </c>
      <c r="I3168" s="57" t="n">
        <v>8</v>
      </c>
    </row>
    <row r="3169">
      <c r="A3169" s="62" t="n">
        <v>47088</v>
      </c>
      <c r="B3169" s="3" t="inlineStr">
        <is>
          <t>Week</t>
        </is>
      </c>
      <c r="C3169" s="19" t="n">
        <v>12</v>
      </c>
      <c r="D3169" s="19" t="n">
        <v>2028</v>
      </c>
      <c r="E3169" s="57" t="n">
        <v>3</v>
      </c>
      <c r="F3169" s="29">
        <f>ROUND(((SUMIFS(Calendar!$F$2:$F$9997,Calendar!$B$2:$B$9997,D3169,Calendar!$C$2:$C$9997,C3169)*INDEX(ForeCalc!$B$37:$Y$274,MATCH(_xlfn.CONCAT(H3169," ",I3169),ForeCalc!$A$37:$A$274,0),MATCH(_xlfn.CONCAT(B3169," ",E3169),ForeCalc!$B$36:$Y$36,0))))*VLOOKUP(A3169,Calendar!$A$2:$H$9997,8,FALSE),0)</f>
        <v/>
      </c>
      <c r="G3169" s="29">
        <f>VLOOKUP(A3169,Calendar!$A$1:$H$9997,6,FALSE)-F3169</f>
        <v/>
      </c>
      <c r="H3169" s="19" t="n">
        <v>3</v>
      </c>
      <c r="I3169" s="57" t="n">
        <v>9</v>
      </c>
    </row>
    <row r="3170">
      <c r="A3170" s="62" t="n">
        <v>47089</v>
      </c>
      <c r="B3170" s="3" t="inlineStr">
        <is>
          <t>Sat</t>
        </is>
      </c>
      <c r="C3170" s="19" t="n">
        <v>12</v>
      </c>
      <c r="D3170" s="19" t="n">
        <v>2028</v>
      </c>
      <c r="E3170" s="57" t="n">
        <v>3</v>
      </c>
      <c r="F3170" s="29">
        <f>ROUND(((SUMIFS(Calendar!$F$2:$F$9997,Calendar!$B$2:$B$9997,D3170,Calendar!$C$2:$C$9997,C3170)*INDEX(ForeCalc!$B$37:$Y$274,MATCH(_xlfn.CONCAT(H3170," ",I3170),ForeCalc!$A$37:$A$274,0),MATCH(_xlfn.CONCAT(B3170," ",E3170),ForeCalc!$B$36:$Y$36,0))))*VLOOKUP(A3170,Calendar!$A$2:$H$9997,8,FALSE),0)</f>
        <v/>
      </c>
      <c r="G3170" s="29">
        <f>VLOOKUP(A3170,Calendar!$A$1:$H$9997,6,FALSE)-F3170</f>
        <v/>
      </c>
      <c r="H3170" s="19" t="n">
        <v>3</v>
      </c>
      <c r="I3170" s="57" t="n">
        <v>9</v>
      </c>
    </row>
    <row r="3171">
      <c r="A3171" s="62" t="n">
        <v>47090</v>
      </c>
      <c r="B3171" s="3" t="inlineStr">
        <is>
          <t>Sun</t>
        </is>
      </c>
      <c r="C3171" s="19" t="n">
        <v>12</v>
      </c>
      <c r="D3171" s="19" t="n">
        <v>2028</v>
      </c>
      <c r="E3171" s="57" t="n">
        <v>3</v>
      </c>
      <c r="F3171" s="29">
        <f>ROUND(((SUMIFS(Calendar!$F$2:$F$9997,Calendar!$B$2:$B$9997,D3171,Calendar!$C$2:$C$9997,C3171)*INDEX(ForeCalc!$B$37:$Y$274,MATCH(_xlfn.CONCAT(H3171," ",I3171),ForeCalc!$A$37:$A$274,0),MATCH(_xlfn.CONCAT(B3171," ",E3171),ForeCalc!$B$36:$Y$36,0))))*VLOOKUP(A3171,Calendar!$A$2:$H$9997,8,FALSE),0)</f>
        <v/>
      </c>
      <c r="G3171" s="29">
        <f>VLOOKUP(A3171,Calendar!$A$1:$H$9997,6,FALSE)-F3171</f>
        <v/>
      </c>
      <c r="H3171" s="19" t="n">
        <v>3</v>
      </c>
      <c r="I3171" s="57" t="n">
        <v>9</v>
      </c>
    </row>
    <row r="3172">
      <c r="A3172" s="62" t="n">
        <v>47091</v>
      </c>
      <c r="B3172" s="3" t="inlineStr">
        <is>
          <t>Week</t>
        </is>
      </c>
      <c r="C3172" s="19" t="n">
        <v>12</v>
      </c>
      <c r="D3172" s="19" t="n">
        <v>2028</v>
      </c>
      <c r="E3172" s="57" t="n">
        <v>3</v>
      </c>
      <c r="F3172" s="29">
        <f>ROUND(((SUMIFS(Calendar!$F$2:$F$9997,Calendar!$B$2:$B$9997,D3172,Calendar!$C$2:$C$9997,C3172)*INDEX(ForeCalc!$B$37:$Y$274,MATCH(_xlfn.CONCAT(H3172," ",I3172),ForeCalc!$A$37:$A$274,0),MATCH(_xlfn.CONCAT(B3172," ",E3172),ForeCalc!$B$36:$Y$36,0))))*VLOOKUP(A3172,Calendar!$A$2:$H$9997,8,FALSE),0)</f>
        <v/>
      </c>
      <c r="G3172" s="29">
        <f>VLOOKUP(A3172,Calendar!$A$1:$H$9997,6,FALSE)-F3172</f>
        <v/>
      </c>
      <c r="H3172" s="19" t="n">
        <v>3</v>
      </c>
      <c r="I3172" s="57" t="n">
        <v>9</v>
      </c>
    </row>
    <row r="3173">
      <c r="A3173" s="62" t="n">
        <v>47092</v>
      </c>
      <c r="B3173" s="3" t="inlineStr">
        <is>
          <t>Week</t>
        </is>
      </c>
      <c r="C3173" s="19" t="n">
        <v>12</v>
      </c>
      <c r="D3173" s="19" t="n">
        <v>2028</v>
      </c>
      <c r="E3173" s="57" t="n">
        <v>3</v>
      </c>
      <c r="F3173" s="29">
        <f>ROUND(((SUMIFS(Calendar!$F$2:$F$9997,Calendar!$B$2:$B$9997,D3173,Calendar!$C$2:$C$9997,C3173)*INDEX(ForeCalc!$B$37:$Y$274,MATCH(_xlfn.CONCAT(H3173," ",I3173),ForeCalc!$A$37:$A$274,0),MATCH(_xlfn.CONCAT(B3173," ",E3173),ForeCalc!$B$36:$Y$36,0))))*VLOOKUP(A3173,Calendar!$A$2:$H$9997,8,FALSE),0)</f>
        <v/>
      </c>
      <c r="G3173" s="29">
        <f>VLOOKUP(A3173,Calendar!$A$1:$H$9997,6,FALSE)-F3173</f>
        <v/>
      </c>
      <c r="H3173" s="19" t="n">
        <v>3</v>
      </c>
      <c r="I3173" s="57" t="n">
        <v>9</v>
      </c>
    </row>
    <row r="3174">
      <c r="A3174" s="62" t="n">
        <v>47093</v>
      </c>
      <c r="B3174" s="3" t="inlineStr">
        <is>
          <t>Week</t>
        </is>
      </c>
      <c r="C3174" s="19" t="n">
        <v>12</v>
      </c>
      <c r="D3174" s="19" t="n">
        <v>2028</v>
      </c>
      <c r="E3174" s="57" t="n">
        <v>3</v>
      </c>
      <c r="F3174" s="29">
        <f>ROUND(((SUMIFS(Calendar!$F$2:$F$9997,Calendar!$B$2:$B$9997,D3174,Calendar!$C$2:$C$9997,C3174)*INDEX(ForeCalc!$B$37:$Y$274,MATCH(_xlfn.CONCAT(H3174," ",I3174),ForeCalc!$A$37:$A$274,0),MATCH(_xlfn.CONCAT(B3174," ",E3174),ForeCalc!$B$36:$Y$36,0))))*VLOOKUP(A3174,Calendar!$A$2:$H$9997,8,FALSE),0)</f>
        <v/>
      </c>
      <c r="G3174" s="29">
        <f>VLOOKUP(A3174,Calendar!$A$1:$H$9997,6,FALSE)-F3174</f>
        <v/>
      </c>
      <c r="H3174" s="19" t="n">
        <v>3</v>
      </c>
      <c r="I3174" s="57" t="n">
        <v>9</v>
      </c>
    </row>
    <row r="3175">
      <c r="A3175" s="62" t="n">
        <v>47094</v>
      </c>
      <c r="B3175" s="3" t="inlineStr">
        <is>
          <t>Week</t>
        </is>
      </c>
      <c r="C3175" s="19" t="n">
        <v>12</v>
      </c>
      <c r="D3175" s="19" t="n">
        <v>2028</v>
      </c>
      <c r="E3175" s="57" t="n">
        <v>3</v>
      </c>
      <c r="F3175" s="29">
        <f>ROUND(((SUMIFS(Calendar!$F$2:$F$9997,Calendar!$B$2:$B$9997,D3175,Calendar!$C$2:$C$9997,C3175)*INDEX(ForeCalc!$B$37:$Y$274,MATCH(_xlfn.CONCAT(H3175," ",I3175),ForeCalc!$A$37:$A$274,0),MATCH(_xlfn.CONCAT(B3175," ",E3175),ForeCalc!$B$36:$Y$36,0))))*VLOOKUP(A3175,Calendar!$A$2:$H$9997,8,FALSE),0)</f>
        <v/>
      </c>
      <c r="G3175" s="29">
        <f>VLOOKUP(A3175,Calendar!$A$1:$H$9997,6,FALSE)-F3175</f>
        <v/>
      </c>
      <c r="H3175" s="19" t="n">
        <v>3</v>
      </c>
      <c r="I3175" s="57" t="n">
        <v>9</v>
      </c>
    </row>
    <row r="3176">
      <c r="A3176" s="62" t="n">
        <v>47095</v>
      </c>
      <c r="B3176" s="3" t="inlineStr">
        <is>
          <t>Week</t>
        </is>
      </c>
      <c r="C3176" s="19" t="n">
        <v>12</v>
      </c>
      <c r="D3176" s="19" t="n">
        <v>2028</v>
      </c>
      <c r="E3176" s="57" t="n">
        <v>3</v>
      </c>
      <c r="F3176" s="29">
        <f>ROUND(((SUMIFS(Calendar!$F$2:$F$9997,Calendar!$B$2:$B$9997,D3176,Calendar!$C$2:$C$9997,C3176)*INDEX(ForeCalc!$B$37:$Y$274,MATCH(_xlfn.CONCAT(H3176," ",I3176),ForeCalc!$A$37:$A$274,0),MATCH(_xlfn.CONCAT(B3176," ",E3176),ForeCalc!$B$36:$Y$36,0))))*VLOOKUP(A3176,Calendar!$A$2:$H$9997,8,FALSE),0)</f>
        <v/>
      </c>
      <c r="G3176" s="29">
        <f>VLOOKUP(A3176,Calendar!$A$1:$H$9997,6,FALSE)-F3176</f>
        <v/>
      </c>
      <c r="H3176" s="19" t="n">
        <v>3</v>
      </c>
      <c r="I3176" s="57" t="n">
        <v>9</v>
      </c>
    </row>
    <row r="3177">
      <c r="A3177" s="62" t="n">
        <v>47096</v>
      </c>
      <c r="B3177" s="3" t="inlineStr">
        <is>
          <t>Sat</t>
        </is>
      </c>
      <c r="C3177" s="19" t="n">
        <v>12</v>
      </c>
      <c r="D3177" s="19" t="n">
        <v>2028</v>
      </c>
      <c r="E3177" s="57" t="n">
        <v>3</v>
      </c>
      <c r="F3177" s="29">
        <f>ROUND(((SUMIFS(Calendar!$F$2:$F$9997,Calendar!$B$2:$B$9997,D3177,Calendar!$C$2:$C$9997,C3177)*INDEX(ForeCalc!$B$37:$Y$274,MATCH(_xlfn.CONCAT(H3177," ",I3177),ForeCalc!$A$37:$A$274,0),MATCH(_xlfn.CONCAT(B3177," ",E3177),ForeCalc!$B$36:$Y$36,0))))*VLOOKUP(A3177,Calendar!$A$2:$H$9997,8,FALSE),0)</f>
        <v/>
      </c>
      <c r="G3177" s="29">
        <f>VLOOKUP(A3177,Calendar!$A$1:$H$9997,6,FALSE)-F3177</f>
        <v/>
      </c>
      <c r="H3177" s="19" t="n">
        <v>3</v>
      </c>
      <c r="I3177" s="57" t="n">
        <v>9</v>
      </c>
    </row>
    <row r="3178">
      <c r="A3178" s="62" t="n">
        <v>47097</v>
      </c>
      <c r="B3178" s="3" t="inlineStr">
        <is>
          <t>Sun</t>
        </is>
      </c>
      <c r="C3178" s="19" t="n">
        <v>12</v>
      </c>
      <c r="D3178" s="19" t="n">
        <v>2028</v>
      </c>
      <c r="E3178" s="57" t="n">
        <v>3</v>
      </c>
      <c r="F3178" s="29">
        <f>ROUND(((SUMIFS(Calendar!$F$2:$F$9997,Calendar!$B$2:$B$9997,D3178,Calendar!$C$2:$C$9997,C3178)*INDEX(ForeCalc!$B$37:$Y$274,MATCH(_xlfn.CONCAT(H3178," ",I3178),ForeCalc!$A$37:$A$274,0),MATCH(_xlfn.CONCAT(B3178," ",E3178),ForeCalc!$B$36:$Y$36,0))))*VLOOKUP(A3178,Calendar!$A$2:$H$9997,8,FALSE),0)</f>
        <v/>
      </c>
      <c r="G3178" s="29">
        <f>VLOOKUP(A3178,Calendar!$A$1:$H$9997,6,FALSE)-F3178</f>
        <v/>
      </c>
      <c r="H3178" s="19" t="n">
        <v>3</v>
      </c>
      <c r="I3178" s="57" t="n">
        <v>9</v>
      </c>
    </row>
    <row r="3179">
      <c r="A3179" s="62" t="n">
        <v>47098</v>
      </c>
      <c r="B3179" s="3" t="inlineStr">
        <is>
          <t>Week</t>
        </is>
      </c>
      <c r="C3179" s="19" t="n">
        <v>12</v>
      </c>
      <c r="D3179" s="19" t="n">
        <v>2028</v>
      </c>
      <c r="E3179" s="57" t="n">
        <v>3</v>
      </c>
      <c r="F3179" s="29">
        <f>ROUND(((SUMIFS(Calendar!$F$2:$F$9997,Calendar!$B$2:$B$9997,D3179,Calendar!$C$2:$C$9997,C3179)*INDEX(ForeCalc!$B$37:$Y$274,MATCH(_xlfn.CONCAT(H3179," ",I3179),ForeCalc!$A$37:$A$274,0),MATCH(_xlfn.CONCAT(B3179," ",E3179),ForeCalc!$B$36:$Y$36,0))))*VLOOKUP(A3179,Calendar!$A$2:$H$9997,8,FALSE),0)</f>
        <v/>
      </c>
      <c r="G3179" s="29">
        <f>VLOOKUP(A3179,Calendar!$A$1:$H$9997,6,FALSE)-F3179</f>
        <v/>
      </c>
      <c r="H3179" s="19" t="n">
        <v>3</v>
      </c>
      <c r="I3179" s="57" t="n">
        <v>9</v>
      </c>
    </row>
    <row r="3180">
      <c r="A3180" s="62" t="n">
        <v>47099</v>
      </c>
      <c r="B3180" s="3" t="inlineStr">
        <is>
          <t>Week</t>
        </is>
      </c>
      <c r="C3180" s="19" t="n">
        <v>12</v>
      </c>
      <c r="D3180" s="19" t="n">
        <v>2028</v>
      </c>
      <c r="E3180" s="57" t="n">
        <v>3</v>
      </c>
      <c r="F3180" s="29">
        <f>ROUND(((SUMIFS(Calendar!$F$2:$F$9997,Calendar!$B$2:$B$9997,D3180,Calendar!$C$2:$C$9997,C3180)*INDEX(ForeCalc!$B$37:$Y$274,MATCH(_xlfn.CONCAT(H3180," ",I3180),ForeCalc!$A$37:$A$274,0),MATCH(_xlfn.CONCAT(B3180," ",E3180),ForeCalc!$B$36:$Y$36,0))))*VLOOKUP(A3180,Calendar!$A$2:$H$9997,8,FALSE),0)</f>
        <v/>
      </c>
      <c r="G3180" s="29">
        <f>VLOOKUP(A3180,Calendar!$A$1:$H$9997,6,FALSE)-F3180</f>
        <v/>
      </c>
      <c r="H3180" s="19" t="n">
        <v>3</v>
      </c>
      <c r="I3180" s="57" t="n">
        <v>9</v>
      </c>
    </row>
    <row r="3181">
      <c r="A3181" s="62" t="n">
        <v>47100</v>
      </c>
      <c r="B3181" s="3" t="inlineStr">
        <is>
          <t>Week</t>
        </is>
      </c>
      <c r="C3181" s="19" t="n">
        <v>12</v>
      </c>
      <c r="D3181" s="19" t="n">
        <v>2028</v>
      </c>
      <c r="E3181" s="57" t="n">
        <v>3</v>
      </c>
      <c r="F3181" s="29">
        <f>ROUND(((SUMIFS(Calendar!$F$2:$F$9997,Calendar!$B$2:$B$9997,D3181,Calendar!$C$2:$C$9997,C3181)*INDEX(ForeCalc!$B$37:$Y$274,MATCH(_xlfn.CONCAT(H3181," ",I3181),ForeCalc!$A$37:$A$274,0),MATCH(_xlfn.CONCAT(B3181," ",E3181),ForeCalc!$B$36:$Y$36,0))))*VLOOKUP(A3181,Calendar!$A$2:$H$9997,8,FALSE),0)</f>
        <v/>
      </c>
      <c r="G3181" s="29">
        <f>VLOOKUP(A3181,Calendar!$A$1:$H$9997,6,FALSE)-F3181</f>
        <v/>
      </c>
      <c r="H3181" s="19" t="n">
        <v>3</v>
      </c>
      <c r="I3181" s="57" t="n">
        <v>9</v>
      </c>
    </row>
    <row r="3182">
      <c r="A3182" s="62" t="n">
        <v>47101</v>
      </c>
      <c r="B3182" s="3" t="inlineStr">
        <is>
          <t>Week</t>
        </is>
      </c>
      <c r="C3182" s="19" t="n">
        <v>12</v>
      </c>
      <c r="D3182" s="19" t="n">
        <v>2028</v>
      </c>
      <c r="E3182" s="57" t="n">
        <v>3</v>
      </c>
      <c r="F3182" s="29">
        <f>ROUND(((SUMIFS(Calendar!$F$2:$F$9997,Calendar!$B$2:$B$9997,D3182,Calendar!$C$2:$C$9997,C3182)*INDEX(ForeCalc!$B$37:$Y$274,MATCH(_xlfn.CONCAT(H3182," ",I3182),ForeCalc!$A$37:$A$274,0),MATCH(_xlfn.CONCAT(B3182," ",E3182),ForeCalc!$B$36:$Y$36,0))))*VLOOKUP(A3182,Calendar!$A$2:$H$9997,8,FALSE),0)</f>
        <v/>
      </c>
      <c r="G3182" s="29">
        <f>VLOOKUP(A3182,Calendar!$A$1:$H$9997,6,FALSE)-F3182</f>
        <v/>
      </c>
      <c r="H3182" s="19" t="n">
        <v>3</v>
      </c>
      <c r="I3182" s="57" t="n">
        <v>9</v>
      </c>
    </row>
    <row r="3183">
      <c r="A3183" s="62" t="n">
        <v>47102</v>
      </c>
      <c r="B3183" s="3" t="inlineStr">
        <is>
          <t>Week</t>
        </is>
      </c>
      <c r="C3183" s="19" t="n">
        <v>12</v>
      </c>
      <c r="D3183" s="19" t="n">
        <v>2028</v>
      </c>
      <c r="E3183" s="57" t="n">
        <v>3</v>
      </c>
      <c r="F3183" s="29">
        <f>ROUND(((SUMIFS(Calendar!$F$2:$F$9997,Calendar!$B$2:$B$9997,D3183,Calendar!$C$2:$C$9997,C3183)*INDEX(ForeCalc!$B$37:$Y$274,MATCH(_xlfn.CONCAT(H3183," ",I3183),ForeCalc!$A$37:$A$274,0),MATCH(_xlfn.CONCAT(B3183," ",E3183),ForeCalc!$B$36:$Y$36,0))))*VLOOKUP(A3183,Calendar!$A$2:$H$9997,8,FALSE),0)</f>
        <v/>
      </c>
      <c r="G3183" s="29">
        <f>VLOOKUP(A3183,Calendar!$A$1:$H$9997,6,FALSE)-F3183</f>
        <v/>
      </c>
      <c r="H3183" s="19" t="n">
        <v>3</v>
      </c>
      <c r="I3183" s="57" t="n">
        <v>9</v>
      </c>
    </row>
    <row r="3184">
      <c r="A3184" s="62" t="n">
        <v>47103</v>
      </c>
      <c r="B3184" s="3" t="inlineStr">
        <is>
          <t>Sat</t>
        </is>
      </c>
      <c r="C3184" s="19" t="n">
        <v>12</v>
      </c>
      <c r="D3184" s="19" t="n">
        <v>2028</v>
      </c>
      <c r="E3184" s="57" t="n">
        <v>3</v>
      </c>
      <c r="F3184" s="29">
        <f>ROUND(((SUMIFS(Calendar!$F$2:$F$9997,Calendar!$B$2:$B$9997,D3184,Calendar!$C$2:$C$9997,C3184)*INDEX(ForeCalc!$B$37:$Y$274,MATCH(_xlfn.CONCAT(H3184," ",I3184),ForeCalc!$A$37:$A$274,0),MATCH(_xlfn.CONCAT(B3184," ",E3184),ForeCalc!$B$36:$Y$36,0))))*VLOOKUP(A3184,Calendar!$A$2:$H$9997,8,FALSE),0)</f>
        <v/>
      </c>
      <c r="G3184" s="29">
        <f>VLOOKUP(A3184,Calendar!$A$1:$H$9997,6,FALSE)-F3184</f>
        <v/>
      </c>
      <c r="H3184" s="19" t="n">
        <v>3</v>
      </c>
      <c r="I3184" s="57" t="n">
        <v>9</v>
      </c>
    </row>
    <row r="3185">
      <c r="A3185" s="62" t="n">
        <v>47104</v>
      </c>
      <c r="B3185" s="3" t="inlineStr">
        <is>
          <t>Sun</t>
        </is>
      </c>
      <c r="C3185" s="19" t="n">
        <v>12</v>
      </c>
      <c r="D3185" s="19" t="n">
        <v>2028</v>
      </c>
      <c r="E3185" s="57" t="n">
        <v>3</v>
      </c>
      <c r="F3185" s="29">
        <f>ROUND(((SUMIFS(Calendar!$F$2:$F$9997,Calendar!$B$2:$B$9997,D3185,Calendar!$C$2:$C$9997,C3185)*INDEX(ForeCalc!$B$37:$Y$274,MATCH(_xlfn.CONCAT(H3185," ",I3185),ForeCalc!$A$37:$A$274,0),MATCH(_xlfn.CONCAT(B3185," ",E3185),ForeCalc!$B$36:$Y$36,0))))*VLOOKUP(A3185,Calendar!$A$2:$H$9997,8,FALSE),0)</f>
        <v/>
      </c>
      <c r="G3185" s="29">
        <f>VLOOKUP(A3185,Calendar!$A$1:$H$9997,6,FALSE)-F3185</f>
        <v/>
      </c>
      <c r="H3185" s="19" t="n">
        <v>3</v>
      </c>
      <c r="I3185" s="57" t="n">
        <v>9</v>
      </c>
    </row>
    <row r="3186">
      <c r="A3186" s="62" t="n">
        <v>47105</v>
      </c>
      <c r="B3186" s="3" t="inlineStr">
        <is>
          <t>Week</t>
        </is>
      </c>
      <c r="C3186" s="19" t="n">
        <v>12</v>
      </c>
      <c r="D3186" s="19" t="n">
        <v>2028</v>
      </c>
      <c r="E3186" s="57" t="n">
        <v>3</v>
      </c>
      <c r="F3186" s="29">
        <f>ROUND(((SUMIFS(Calendar!$F$2:$F$9997,Calendar!$B$2:$B$9997,D3186,Calendar!$C$2:$C$9997,C3186)*INDEX(ForeCalc!$B$37:$Y$274,MATCH(_xlfn.CONCAT(H3186," ",I3186),ForeCalc!$A$37:$A$274,0),MATCH(_xlfn.CONCAT(B3186," ",E3186),ForeCalc!$B$36:$Y$36,0))))*VLOOKUP(A3186,Calendar!$A$2:$H$9997,8,FALSE),0)</f>
        <v/>
      </c>
      <c r="G3186" s="29">
        <f>VLOOKUP(A3186,Calendar!$A$1:$H$9997,6,FALSE)-F3186</f>
        <v/>
      </c>
      <c r="H3186" s="19" t="n">
        <v>3</v>
      </c>
      <c r="I3186" s="57" t="n">
        <v>9</v>
      </c>
    </row>
    <row r="3187">
      <c r="A3187" s="62" t="n">
        <v>47106</v>
      </c>
      <c r="B3187" s="3" t="inlineStr">
        <is>
          <t>Week</t>
        </is>
      </c>
      <c r="C3187" s="19" t="n">
        <v>12</v>
      </c>
      <c r="D3187" s="19" t="n">
        <v>2028</v>
      </c>
      <c r="E3187" s="57" t="n">
        <v>3</v>
      </c>
      <c r="F3187" s="29">
        <f>ROUND(((SUMIFS(Calendar!$F$2:$F$9997,Calendar!$B$2:$B$9997,D3187,Calendar!$C$2:$C$9997,C3187)*INDEX(ForeCalc!$B$37:$Y$274,MATCH(_xlfn.CONCAT(H3187," ",I3187),ForeCalc!$A$37:$A$274,0),MATCH(_xlfn.CONCAT(B3187," ",E3187),ForeCalc!$B$36:$Y$36,0))))*VLOOKUP(A3187,Calendar!$A$2:$H$9997,8,FALSE),0)</f>
        <v/>
      </c>
      <c r="G3187" s="29">
        <f>VLOOKUP(A3187,Calendar!$A$1:$H$9997,6,FALSE)-F3187</f>
        <v/>
      </c>
      <c r="H3187" s="19" t="n">
        <v>3</v>
      </c>
      <c r="I3187" s="57" t="n">
        <v>9</v>
      </c>
    </row>
    <row r="3188">
      <c r="A3188" s="62" t="n">
        <v>47107</v>
      </c>
      <c r="B3188" s="3" t="inlineStr">
        <is>
          <t>Week</t>
        </is>
      </c>
      <c r="C3188" s="19" t="n">
        <v>12</v>
      </c>
      <c r="D3188" s="19" t="n">
        <v>2028</v>
      </c>
      <c r="E3188" s="57" t="n">
        <v>3</v>
      </c>
      <c r="F3188" s="29">
        <f>ROUND(((SUMIFS(Calendar!$F$2:$F$9997,Calendar!$B$2:$B$9997,D3188,Calendar!$C$2:$C$9997,C3188)*INDEX(ForeCalc!$B$37:$Y$274,MATCH(_xlfn.CONCAT(H3188," ",I3188),ForeCalc!$A$37:$A$274,0),MATCH(_xlfn.CONCAT(B3188," ",E3188),ForeCalc!$B$36:$Y$36,0))))*VLOOKUP(A3188,Calendar!$A$2:$H$9997,8,FALSE),0)</f>
        <v/>
      </c>
      <c r="G3188" s="29">
        <f>VLOOKUP(A3188,Calendar!$A$1:$H$9997,6,FALSE)-F3188</f>
        <v/>
      </c>
      <c r="H3188" s="19" t="n">
        <v>3</v>
      </c>
      <c r="I3188" s="57" t="n">
        <v>9</v>
      </c>
    </row>
    <row r="3189">
      <c r="A3189" s="62" t="n">
        <v>47108</v>
      </c>
      <c r="B3189" s="3" t="inlineStr">
        <is>
          <t>Week</t>
        </is>
      </c>
      <c r="C3189" s="19" t="n">
        <v>12</v>
      </c>
      <c r="D3189" s="19" t="n">
        <v>2028</v>
      </c>
      <c r="E3189" s="57" t="n">
        <v>3</v>
      </c>
      <c r="F3189" s="29">
        <f>ROUND(((SUMIFS(Calendar!$F$2:$F$9997,Calendar!$B$2:$B$9997,D3189,Calendar!$C$2:$C$9997,C3189)*INDEX(ForeCalc!$B$37:$Y$274,MATCH(_xlfn.CONCAT(H3189," ",I3189),ForeCalc!$A$37:$A$274,0),MATCH(_xlfn.CONCAT(B3189," ",E3189),ForeCalc!$B$36:$Y$36,0))))*VLOOKUP(A3189,Calendar!$A$2:$H$9997,8,FALSE),0)</f>
        <v/>
      </c>
      <c r="G3189" s="29">
        <f>VLOOKUP(A3189,Calendar!$A$1:$H$9997,6,FALSE)-F3189</f>
        <v/>
      </c>
      <c r="H3189" s="19" t="n">
        <v>3</v>
      </c>
      <c r="I3189" s="57" t="n">
        <v>9</v>
      </c>
    </row>
    <row r="3190">
      <c r="A3190" s="62" t="n">
        <v>47109</v>
      </c>
      <c r="B3190" s="3" t="inlineStr">
        <is>
          <t>Week</t>
        </is>
      </c>
      <c r="C3190" s="19" t="n">
        <v>12</v>
      </c>
      <c r="D3190" s="19" t="n">
        <v>2028</v>
      </c>
      <c r="E3190" s="57" t="n">
        <v>3</v>
      </c>
      <c r="F3190" s="29">
        <f>ROUND(((SUMIFS(Calendar!$F$2:$F$9997,Calendar!$B$2:$B$9997,D3190,Calendar!$C$2:$C$9997,C3190)*INDEX(ForeCalc!$B$37:$Y$274,MATCH(_xlfn.CONCAT(H3190," ",I3190),ForeCalc!$A$37:$A$274,0),MATCH(_xlfn.CONCAT(B3190," ",E3190),ForeCalc!$B$36:$Y$36,0))))*VLOOKUP(A3190,Calendar!$A$2:$H$9997,8,FALSE),0)</f>
        <v/>
      </c>
      <c r="G3190" s="29">
        <f>VLOOKUP(A3190,Calendar!$A$1:$H$9997,6,FALSE)-F3190</f>
        <v/>
      </c>
      <c r="H3190" s="19" t="n">
        <v>3</v>
      </c>
      <c r="I3190" s="57" t="n">
        <v>9</v>
      </c>
    </row>
    <row r="3191">
      <c r="A3191" s="62" t="n">
        <v>47110</v>
      </c>
      <c r="B3191" s="3" t="inlineStr">
        <is>
          <t>Sat</t>
        </is>
      </c>
      <c r="C3191" s="19" t="n">
        <v>12</v>
      </c>
      <c r="D3191" s="19" t="n">
        <v>2028</v>
      </c>
      <c r="E3191" s="57" t="n">
        <v>3</v>
      </c>
      <c r="F3191" s="29">
        <f>ROUND(((SUMIFS(Calendar!$F$2:$F$9997,Calendar!$B$2:$B$9997,D3191,Calendar!$C$2:$C$9997,C3191)*INDEX(ForeCalc!$B$37:$Y$274,MATCH(_xlfn.CONCAT(H3191," ",I3191),ForeCalc!$A$37:$A$274,0),MATCH(_xlfn.CONCAT(B3191," ",E3191),ForeCalc!$B$36:$Y$36,0))))*VLOOKUP(A3191,Calendar!$A$2:$H$9997,8,FALSE),0)</f>
        <v/>
      </c>
      <c r="G3191" s="29">
        <f>VLOOKUP(A3191,Calendar!$A$1:$H$9997,6,FALSE)-F3191</f>
        <v/>
      </c>
      <c r="H3191" s="19" t="n">
        <v>3</v>
      </c>
      <c r="I3191" s="57" t="n">
        <v>9</v>
      </c>
    </row>
    <row r="3192">
      <c r="A3192" s="62" t="n">
        <v>47111</v>
      </c>
      <c r="B3192" s="3" t="inlineStr">
        <is>
          <t>Sun</t>
        </is>
      </c>
      <c r="C3192" s="19" t="n">
        <v>12</v>
      </c>
      <c r="D3192" s="19" t="n">
        <v>2028</v>
      </c>
      <c r="E3192" s="57" t="n">
        <v>3</v>
      </c>
      <c r="F3192" s="29">
        <f>ROUND(((SUMIFS(Calendar!$F$2:$F$9997,Calendar!$B$2:$B$9997,D3192,Calendar!$C$2:$C$9997,C3192)*INDEX(ForeCalc!$B$37:$Y$274,MATCH(_xlfn.CONCAT(H3192," ",I3192),ForeCalc!$A$37:$A$274,0),MATCH(_xlfn.CONCAT(B3192," ",E3192),ForeCalc!$B$36:$Y$36,0))))*VLOOKUP(A3192,Calendar!$A$2:$H$9997,8,FALSE),0)</f>
        <v/>
      </c>
      <c r="G3192" s="29">
        <f>VLOOKUP(A3192,Calendar!$A$1:$H$9997,6,FALSE)-F3192</f>
        <v/>
      </c>
      <c r="H3192" s="19" t="n">
        <v>3</v>
      </c>
      <c r="I3192" s="57" t="n">
        <v>9</v>
      </c>
    </row>
    <row r="3193">
      <c r="A3193" s="62" t="n">
        <v>47112</v>
      </c>
      <c r="B3193" s="3" t="inlineStr">
        <is>
          <t>Week</t>
        </is>
      </c>
      <c r="C3193" s="19" t="n">
        <v>12</v>
      </c>
      <c r="D3193" s="19" t="n">
        <v>2028</v>
      </c>
      <c r="E3193" s="57" t="n">
        <v>3</v>
      </c>
      <c r="F3193" s="29">
        <f>ROUND(((SUMIFS(Calendar!$F$2:$F$9997,Calendar!$B$2:$B$9997,D3193,Calendar!$C$2:$C$9997,C3193)*INDEX(ForeCalc!$B$37:$Y$274,MATCH(_xlfn.CONCAT(H3193," ",I3193),ForeCalc!$A$37:$A$274,0),MATCH(_xlfn.CONCAT(B3193," ",E3193),ForeCalc!$B$36:$Y$36,0))))*VLOOKUP(A3193,Calendar!$A$2:$H$9997,8,FALSE),0)</f>
        <v/>
      </c>
      <c r="G3193" s="29">
        <f>VLOOKUP(A3193,Calendar!$A$1:$H$9997,6,FALSE)-F3193</f>
        <v/>
      </c>
      <c r="H3193" s="19" t="n">
        <v>3</v>
      </c>
      <c r="I3193" s="57" t="n">
        <v>9</v>
      </c>
    </row>
    <row r="3194">
      <c r="A3194" s="62" t="n">
        <v>47113</v>
      </c>
      <c r="B3194" s="3" t="inlineStr">
        <is>
          <t>Week</t>
        </is>
      </c>
      <c r="C3194" s="19" t="n">
        <v>12</v>
      </c>
      <c r="D3194" s="19" t="n">
        <v>2028</v>
      </c>
      <c r="E3194" s="57" t="n">
        <v>3</v>
      </c>
      <c r="F3194" s="29">
        <f>ROUND(((SUMIFS(Calendar!$F$2:$F$9997,Calendar!$B$2:$B$9997,D3194,Calendar!$C$2:$C$9997,C3194)*INDEX(ForeCalc!$B$37:$Y$274,MATCH(_xlfn.CONCAT(H3194," ",I3194),ForeCalc!$A$37:$A$274,0),MATCH(_xlfn.CONCAT(B3194," ",E3194),ForeCalc!$B$36:$Y$36,0))))*VLOOKUP(A3194,Calendar!$A$2:$H$9997,8,FALSE),0)</f>
        <v/>
      </c>
      <c r="G3194" s="29">
        <f>VLOOKUP(A3194,Calendar!$A$1:$H$9997,6,FALSE)-F3194</f>
        <v/>
      </c>
      <c r="H3194" s="19" t="n">
        <v>3</v>
      </c>
      <c r="I3194" s="57" t="n">
        <v>9</v>
      </c>
    </row>
    <row r="3195">
      <c r="A3195" s="62" t="n">
        <v>47114</v>
      </c>
      <c r="B3195" s="3" t="inlineStr">
        <is>
          <t>Week</t>
        </is>
      </c>
      <c r="C3195" s="19" t="n">
        <v>12</v>
      </c>
      <c r="D3195" s="19" t="n">
        <v>2028</v>
      </c>
      <c r="E3195" s="57" t="n">
        <v>3</v>
      </c>
      <c r="F3195" s="29">
        <f>ROUND(((SUMIFS(Calendar!$F$2:$F$9997,Calendar!$B$2:$B$9997,D3195,Calendar!$C$2:$C$9997,C3195)*INDEX(ForeCalc!$B$37:$Y$274,MATCH(_xlfn.CONCAT(H3195," ",I3195),ForeCalc!$A$37:$A$274,0),MATCH(_xlfn.CONCAT(B3195," ",E3195),ForeCalc!$B$36:$Y$36,0))))*VLOOKUP(A3195,Calendar!$A$2:$H$9997,8,FALSE),0)</f>
        <v/>
      </c>
      <c r="G3195" s="29">
        <f>VLOOKUP(A3195,Calendar!$A$1:$H$9997,6,FALSE)-F3195</f>
        <v/>
      </c>
      <c r="H3195" s="19" t="n">
        <v>3</v>
      </c>
      <c r="I3195" s="57" t="n">
        <v>9</v>
      </c>
    </row>
    <row r="3196">
      <c r="A3196" s="62" t="n">
        <v>47115</v>
      </c>
      <c r="B3196" s="3" t="inlineStr">
        <is>
          <t>Week</t>
        </is>
      </c>
      <c r="C3196" s="19" t="n">
        <v>12</v>
      </c>
      <c r="D3196" s="19" t="n">
        <v>2028</v>
      </c>
      <c r="E3196" s="57" t="n">
        <v>3</v>
      </c>
      <c r="F3196" s="29">
        <f>ROUND(((SUMIFS(Calendar!$F$2:$F$9997,Calendar!$B$2:$B$9997,D3196,Calendar!$C$2:$C$9997,C3196)*INDEX(ForeCalc!$B$37:$Y$274,MATCH(_xlfn.CONCAT(H3196," ",I3196),ForeCalc!$A$37:$A$274,0),MATCH(_xlfn.CONCAT(B3196," ",E3196),ForeCalc!$B$36:$Y$36,0))))*VLOOKUP(A3196,Calendar!$A$2:$H$9997,8,FALSE),0)</f>
        <v/>
      </c>
      <c r="G3196" s="29">
        <f>VLOOKUP(A3196,Calendar!$A$1:$H$9997,6,FALSE)-F3196</f>
        <v/>
      </c>
      <c r="H3196" s="19" t="n">
        <v>3</v>
      </c>
      <c r="I3196" s="57" t="n">
        <v>9</v>
      </c>
    </row>
    <row r="3197">
      <c r="A3197" s="62" t="n">
        <v>47116</v>
      </c>
      <c r="B3197" s="3" t="inlineStr">
        <is>
          <t>Week</t>
        </is>
      </c>
      <c r="C3197" s="19" t="n">
        <v>12</v>
      </c>
      <c r="D3197" s="19" t="n">
        <v>2028</v>
      </c>
      <c r="E3197" s="57" t="n">
        <v>3</v>
      </c>
      <c r="F3197" s="29">
        <f>ROUND(((SUMIFS(Calendar!$F$2:$F$9997,Calendar!$B$2:$B$9997,D3197,Calendar!$C$2:$C$9997,C3197)*INDEX(ForeCalc!$B$37:$Y$274,MATCH(_xlfn.CONCAT(H3197," ",I3197),ForeCalc!$A$37:$A$274,0),MATCH(_xlfn.CONCAT(B3197," ",E3197),ForeCalc!$B$36:$Y$36,0))))*VLOOKUP(A3197,Calendar!$A$2:$H$9997,8,FALSE),0)</f>
        <v/>
      </c>
      <c r="G3197" s="29">
        <f>VLOOKUP(A3197,Calendar!$A$1:$H$9997,6,FALSE)-F3197</f>
        <v/>
      </c>
      <c r="H3197" s="19" t="n">
        <v>3</v>
      </c>
      <c r="I3197" s="57" t="n">
        <v>9</v>
      </c>
    </row>
    <row r="3198">
      <c r="A3198" s="62" t="n">
        <v>47117</v>
      </c>
      <c r="B3198" s="3" t="inlineStr">
        <is>
          <t>Sat</t>
        </is>
      </c>
      <c r="C3198" s="19" t="n">
        <v>12</v>
      </c>
      <c r="D3198" s="19" t="n">
        <v>2028</v>
      </c>
      <c r="E3198" s="57" t="n">
        <v>3</v>
      </c>
      <c r="F3198" s="29">
        <f>ROUND(((SUMIFS(Calendar!$F$2:$F$9997,Calendar!$B$2:$B$9997,D3198,Calendar!$C$2:$C$9997,C3198)*INDEX(ForeCalc!$B$37:$Y$274,MATCH(_xlfn.CONCAT(H3198," ",I3198),ForeCalc!$A$37:$A$274,0),MATCH(_xlfn.CONCAT(B3198," ",E3198),ForeCalc!$B$36:$Y$36,0))))*VLOOKUP(A3198,Calendar!$A$2:$H$9997,8,FALSE),0)</f>
        <v/>
      </c>
      <c r="G3198" s="29">
        <f>VLOOKUP(A3198,Calendar!$A$1:$H$9997,6,FALSE)-F3198</f>
        <v/>
      </c>
      <c r="H3198" s="19" t="n">
        <v>3</v>
      </c>
      <c r="I3198" s="57" t="n">
        <v>9</v>
      </c>
    </row>
    <row r="3199">
      <c r="A3199" s="62" t="n">
        <v>47118</v>
      </c>
      <c r="B3199" s="3" t="inlineStr">
        <is>
          <t>Sun</t>
        </is>
      </c>
      <c r="C3199" s="19" t="n">
        <v>12</v>
      </c>
      <c r="D3199" s="19" t="n">
        <v>2028</v>
      </c>
      <c r="E3199" s="57" t="n">
        <v>3</v>
      </c>
      <c r="F3199" s="29">
        <f>ROUND(((SUMIFS(Calendar!$F$2:$F$9997,Calendar!$B$2:$B$9997,D3199,Calendar!$C$2:$C$9997,C3199)*INDEX(ForeCalc!$B$37:$Y$274,MATCH(_xlfn.CONCAT(H3199," ",I3199),ForeCalc!$A$37:$A$274,0),MATCH(_xlfn.CONCAT(B3199," ",E3199),ForeCalc!$B$36:$Y$36,0))))*VLOOKUP(A3199,Calendar!$A$2:$H$9997,8,FALSE),0)</f>
        <v/>
      </c>
      <c r="G3199" s="29">
        <f>VLOOKUP(A3199,Calendar!$A$1:$H$9997,6,FALSE)-F3199</f>
        <v/>
      </c>
      <c r="H3199" s="19" t="n">
        <v>3</v>
      </c>
      <c r="I3199" s="57" t="n">
        <v>9</v>
      </c>
    </row>
    <row r="3200">
      <c r="A3200" s="62" t="n">
        <v>47119</v>
      </c>
      <c r="B3200" s="3" t="inlineStr">
        <is>
          <t>Week</t>
        </is>
      </c>
      <c r="C3200" s="19" t="n">
        <v>1</v>
      </c>
      <c r="D3200" s="19" t="n">
        <v>2029</v>
      </c>
      <c r="E3200" s="57" t="n">
        <v>3</v>
      </c>
      <c r="F3200" s="29">
        <f>ROUND(((SUMIFS(Calendar!$F$2:$F$9997,Calendar!$B$2:$B$9997,D3200,Calendar!$C$2:$C$9997,C3200)*INDEX(ForeCalc!$B$37:$Y$274,MATCH(_xlfn.CONCAT(H3200," ",I3200),ForeCalc!$A$37:$A$274,0),MATCH(_xlfn.CONCAT(B3200," ",E3200),ForeCalc!$B$36:$Y$36,0))))*VLOOKUP(A3200,Calendar!$A$2:$H$9997,8,FALSE),0)</f>
        <v/>
      </c>
      <c r="G3200" s="29">
        <f>VLOOKUP(A3200,Calendar!$A$1:$H$9997,6,FALSE)-F3200</f>
        <v/>
      </c>
      <c r="H3200" s="19" t="n">
        <v>3</v>
      </c>
      <c r="I3200" s="57" t="n">
        <v>10</v>
      </c>
    </row>
    <row r="3201">
      <c r="A3201" s="62" t="n">
        <v>47120</v>
      </c>
      <c r="B3201" s="3" t="inlineStr">
        <is>
          <t>Week</t>
        </is>
      </c>
      <c r="C3201" s="19" t="n">
        <v>1</v>
      </c>
      <c r="D3201" s="19" t="n">
        <v>2029</v>
      </c>
      <c r="E3201" s="57" t="n">
        <v>3</v>
      </c>
      <c r="F3201" s="29">
        <f>ROUND(((SUMIFS(Calendar!$F$2:$F$9997,Calendar!$B$2:$B$9997,D3201,Calendar!$C$2:$C$9997,C3201)*INDEX(ForeCalc!$B$37:$Y$274,MATCH(_xlfn.CONCAT(H3201," ",I3201),ForeCalc!$A$37:$A$274,0),MATCH(_xlfn.CONCAT(B3201," ",E3201),ForeCalc!$B$36:$Y$36,0))))*VLOOKUP(A3201,Calendar!$A$2:$H$9997,8,FALSE),0)</f>
        <v/>
      </c>
      <c r="G3201" s="29">
        <f>VLOOKUP(A3201,Calendar!$A$1:$H$9997,6,FALSE)-F3201</f>
        <v/>
      </c>
      <c r="H3201" s="19" t="n">
        <v>3</v>
      </c>
      <c r="I3201" s="57" t="n">
        <v>10</v>
      </c>
    </row>
    <row r="3202">
      <c r="A3202" s="62" t="n">
        <v>47121</v>
      </c>
      <c r="B3202" s="3" t="inlineStr">
        <is>
          <t>Week</t>
        </is>
      </c>
      <c r="C3202" s="19" t="n">
        <v>1</v>
      </c>
      <c r="D3202" s="19" t="n">
        <v>2029</v>
      </c>
      <c r="E3202" s="57" t="n">
        <v>3</v>
      </c>
      <c r="F3202" s="29">
        <f>ROUND(((SUMIFS(Calendar!$F$2:$F$9997,Calendar!$B$2:$B$9997,D3202,Calendar!$C$2:$C$9997,C3202)*INDEX(ForeCalc!$B$37:$Y$274,MATCH(_xlfn.CONCAT(H3202," ",I3202),ForeCalc!$A$37:$A$274,0),MATCH(_xlfn.CONCAT(B3202," ",E3202),ForeCalc!$B$36:$Y$36,0))))*VLOOKUP(A3202,Calendar!$A$2:$H$9997,8,FALSE),0)</f>
        <v/>
      </c>
      <c r="G3202" s="29">
        <f>VLOOKUP(A3202,Calendar!$A$1:$H$9997,6,FALSE)-F3202</f>
        <v/>
      </c>
      <c r="H3202" s="19" t="n">
        <v>3</v>
      </c>
      <c r="I3202" s="57" t="n">
        <v>10</v>
      </c>
    </row>
    <row r="3203">
      <c r="A3203" s="62" t="n">
        <v>47122</v>
      </c>
      <c r="B3203" s="3" t="inlineStr">
        <is>
          <t>Week</t>
        </is>
      </c>
      <c r="C3203" s="19" t="n">
        <v>1</v>
      </c>
      <c r="D3203" s="19" t="n">
        <v>2029</v>
      </c>
      <c r="E3203" s="57" t="n">
        <v>3</v>
      </c>
      <c r="F3203" s="29">
        <f>ROUND(((SUMIFS(Calendar!$F$2:$F$9997,Calendar!$B$2:$B$9997,D3203,Calendar!$C$2:$C$9997,C3203)*INDEX(ForeCalc!$B$37:$Y$274,MATCH(_xlfn.CONCAT(H3203," ",I3203),ForeCalc!$A$37:$A$274,0),MATCH(_xlfn.CONCAT(B3203," ",E3203),ForeCalc!$B$36:$Y$36,0))))*VLOOKUP(A3203,Calendar!$A$2:$H$9997,8,FALSE),0)</f>
        <v/>
      </c>
      <c r="G3203" s="29">
        <f>VLOOKUP(A3203,Calendar!$A$1:$H$9997,6,FALSE)-F3203</f>
        <v/>
      </c>
      <c r="H3203" s="19" t="n">
        <v>3</v>
      </c>
      <c r="I3203" s="57" t="n">
        <v>10</v>
      </c>
    </row>
    <row r="3204">
      <c r="A3204" s="62" t="n">
        <v>47123</v>
      </c>
      <c r="B3204" s="3" t="inlineStr">
        <is>
          <t>Week</t>
        </is>
      </c>
      <c r="C3204" s="19" t="n">
        <v>1</v>
      </c>
      <c r="D3204" s="19" t="n">
        <v>2029</v>
      </c>
      <c r="E3204" s="57" t="n">
        <v>3</v>
      </c>
      <c r="F3204" s="29">
        <f>ROUND(((SUMIFS(Calendar!$F$2:$F$9997,Calendar!$B$2:$B$9997,D3204,Calendar!$C$2:$C$9997,C3204)*INDEX(ForeCalc!$B$37:$Y$274,MATCH(_xlfn.CONCAT(H3204," ",I3204),ForeCalc!$A$37:$A$274,0),MATCH(_xlfn.CONCAT(B3204," ",E3204),ForeCalc!$B$36:$Y$36,0))))*VLOOKUP(A3204,Calendar!$A$2:$H$9997,8,FALSE),0)</f>
        <v/>
      </c>
      <c r="G3204" s="29">
        <f>VLOOKUP(A3204,Calendar!$A$1:$H$9997,6,FALSE)-F3204</f>
        <v/>
      </c>
      <c r="H3204" s="19" t="n">
        <v>3</v>
      </c>
      <c r="I3204" s="57" t="n">
        <v>10</v>
      </c>
    </row>
    <row r="3205">
      <c r="A3205" s="62" t="n">
        <v>47124</v>
      </c>
      <c r="B3205" s="3" t="inlineStr">
        <is>
          <t>Sat</t>
        </is>
      </c>
      <c r="C3205" s="19" t="n">
        <v>1</v>
      </c>
      <c r="D3205" s="19" t="n">
        <v>2029</v>
      </c>
      <c r="E3205" s="57" t="n">
        <v>3</v>
      </c>
      <c r="F3205" s="29">
        <f>ROUND(((SUMIFS(Calendar!$F$2:$F$9997,Calendar!$B$2:$B$9997,D3205,Calendar!$C$2:$C$9997,C3205)*INDEX(ForeCalc!$B$37:$Y$274,MATCH(_xlfn.CONCAT(H3205," ",I3205),ForeCalc!$A$37:$A$274,0),MATCH(_xlfn.CONCAT(B3205," ",E3205),ForeCalc!$B$36:$Y$36,0))))*VLOOKUP(A3205,Calendar!$A$2:$H$9997,8,FALSE),0)</f>
        <v/>
      </c>
      <c r="G3205" s="29">
        <f>VLOOKUP(A3205,Calendar!$A$1:$H$9997,6,FALSE)-F3205</f>
        <v/>
      </c>
      <c r="H3205" s="19" t="n">
        <v>3</v>
      </c>
      <c r="I3205" s="57" t="n">
        <v>10</v>
      </c>
    </row>
    <row r="3206">
      <c r="A3206" s="62" t="n">
        <v>47125</v>
      </c>
      <c r="B3206" s="3" t="inlineStr">
        <is>
          <t>Sun</t>
        </is>
      </c>
      <c r="C3206" s="19" t="n">
        <v>1</v>
      </c>
      <c r="D3206" s="19" t="n">
        <v>2029</v>
      </c>
      <c r="E3206" s="57" t="n">
        <v>3</v>
      </c>
      <c r="F3206" s="29">
        <f>ROUND(((SUMIFS(Calendar!$F$2:$F$9997,Calendar!$B$2:$B$9997,D3206,Calendar!$C$2:$C$9997,C3206)*INDEX(ForeCalc!$B$37:$Y$274,MATCH(_xlfn.CONCAT(H3206," ",I3206),ForeCalc!$A$37:$A$274,0),MATCH(_xlfn.CONCAT(B3206," ",E3206),ForeCalc!$B$36:$Y$36,0))))*VLOOKUP(A3206,Calendar!$A$2:$H$9997,8,FALSE),0)</f>
        <v/>
      </c>
      <c r="G3206" s="29">
        <f>VLOOKUP(A3206,Calendar!$A$1:$H$9997,6,FALSE)-F3206</f>
        <v/>
      </c>
      <c r="H3206" s="19" t="n">
        <v>3</v>
      </c>
      <c r="I3206" s="57" t="n">
        <v>10</v>
      </c>
    </row>
    <row r="3207">
      <c r="A3207" s="62" t="n">
        <v>47126</v>
      </c>
      <c r="B3207" s="3" t="inlineStr">
        <is>
          <t>Week</t>
        </is>
      </c>
      <c r="C3207" s="19" t="n">
        <v>1</v>
      </c>
      <c r="D3207" s="19" t="n">
        <v>2029</v>
      </c>
      <c r="E3207" s="57" t="n">
        <v>3</v>
      </c>
      <c r="F3207" s="29">
        <f>ROUND(((SUMIFS(Calendar!$F$2:$F$9997,Calendar!$B$2:$B$9997,D3207,Calendar!$C$2:$C$9997,C3207)*INDEX(ForeCalc!$B$37:$Y$274,MATCH(_xlfn.CONCAT(H3207," ",I3207),ForeCalc!$A$37:$A$274,0),MATCH(_xlfn.CONCAT(B3207," ",E3207),ForeCalc!$B$36:$Y$36,0))))*VLOOKUP(A3207,Calendar!$A$2:$H$9997,8,FALSE),0)</f>
        <v/>
      </c>
      <c r="G3207" s="29">
        <f>VLOOKUP(A3207,Calendar!$A$1:$H$9997,6,FALSE)-F3207</f>
        <v/>
      </c>
      <c r="H3207" s="19" t="n">
        <v>3</v>
      </c>
      <c r="I3207" s="57" t="n">
        <v>10</v>
      </c>
    </row>
    <row r="3208">
      <c r="A3208" s="62" t="n">
        <v>47127</v>
      </c>
      <c r="B3208" s="3" t="inlineStr">
        <is>
          <t>Week</t>
        </is>
      </c>
      <c r="C3208" s="19" t="n">
        <v>1</v>
      </c>
      <c r="D3208" s="19" t="n">
        <v>2029</v>
      </c>
      <c r="E3208" s="57" t="n">
        <v>3</v>
      </c>
      <c r="F3208" s="29">
        <f>ROUND(((SUMIFS(Calendar!$F$2:$F$9997,Calendar!$B$2:$B$9997,D3208,Calendar!$C$2:$C$9997,C3208)*INDEX(ForeCalc!$B$37:$Y$274,MATCH(_xlfn.CONCAT(H3208," ",I3208),ForeCalc!$A$37:$A$274,0),MATCH(_xlfn.CONCAT(B3208," ",E3208),ForeCalc!$B$36:$Y$36,0))))*VLOOKUP(A3208,Calendar!$A$2:$H$9997,8,FALSE),0)</f>
        <v/>
      </c>
      <c r="G3208" s="29">
        <f>VLOOKUP(A3208,Calendar!$A$1:$H$9997,6,FALSE)-F3208</f>
        <v/>
      </c>
      <c r="H3208" s="19" t="n">
        <v>3</v>
      </c>
      <c r="I3208" s="57" t="n">
        <v>10</v>
      </c>
    </row>
    <row r="3209">
      <c r="A3209" s="62" t="n">
        <v>47128</v>
      </c>
      <c r="B3209" s="3" t="inlineStr">
        <is>
          <t>Week</t>
        </is>
      </c>
      <c r="C3209" s="19" t="n">
        <v>1</v>
      </c>
      <c r="D3209" s="19" t="n">
        <v>2029</v>
      </c>
      <c r="E3209" s="57" t="n">
        <v>3</v>
      </c>
      <c r="F3209" s="29">
        <f>ROUND(((SUMIFS(Calendar!$F$2:$F$9997,Calendar!$B$2:$B$9997,D3209,Calendar!$C$2:$C$9997,C3209)*INDEX(ForeCalc!$B$37:$Y$274,MATCH(_xlfn.CONCAT(H3209," ",I3209),ForeCalc!$A$37:$A$274,0),MATCH(_xlfn.CONCAT(B3209," ",E3209),ForeCalc!$B$36:$Y$36,0))))*VLOOKUP(A3209,Calendar!$A$2:$H$9997,8,FALSE),0)</f>
        <v/>
      </c>
      <c r="G3209" s="29">
        <f>VLOOKUP(A3209,Calendar!$A$1:$H$9997,6,FALSE)-F3209</f>
        <v/>
      </c>
      <c r="H3209" s="19" t="n">
        <v>3</v>
      </c>
      <c r="I3209" s="57" t="n">
        <v>10</v>
      </c>
    </row>
    <row r="3210">
      <c r="A3210" s="62" t="n">
        <v>47129</v>
      </c>
      <c r="B3210" s="3" t="inlineStr">
        <is>
          <t>Week</t>
        </is>
      </c>
      <c r="C3210" s="19" t="n">
        <v>1</v>
      </c>
      <c r="D3210" s="19" t="n">
        <v>2029</v>
      </c>
      <c r="E3210" s="57" t="n">
        <v>3</v>
      </c>
      <c r="F3210" s="29">
        <f>ROUND(((SUMIFS(Calendar!$F$2:$F$9997,Calendar!$B$2:$B$9997,D3210,Calendar!$C$2:$C$9997,C3210)*INDEX(ForeCalc!$B$37:$Y$274,MATCH(_xlfn.CONCAT(H3210," ",I3210),ForeCalc!$A$37:$A$274,0),MATCH(_xlfn.CONCAT(B3210," ",E3210),ForeCalc!$B$36:$Y$36,0))))*VLOOKUP(A3210,Calendar!$A$2:$H$9997,8,FALSE),0)</f>
        <v/>
      </c>
      <c r="G3210" s="29">
        <f>VLOOKUP(A3210,Calendar!$A$1:$H$9997,6,FALSE)-F3210</f>
        <v/>
      </c>
      <c r="H3210" s="19" t="n">
        <v>3</v>
      </c>
      <c r="I3210" s="57" t="n">
        <v>10</v>
      </c>
    </row>
    <row r="3211">
      <c r="A3211" s="62" t="n">
        <v>47130</v>
      </c>
      <c r="B3211" s="3" t="inlineStr">
        <is>
          <t>Week</t>
        </is>
      </c>
      <c r="C3211" s="19" t="n">
        <v>1</v>
      </c>
      <c r="D3211" s="19" t="n">
        <v>2029</v>
      </c>
      <c r="E3211" s="57" t="n">
        <v>3</v>
      </c>
      <c r="F3211" s="29">
        <f>ROUND(((SUMIFS(Calendar!$F$2:$F$9997,Calendar!$B$2:$B$9997,D3211,Calendar!$C$2:$C$9997,C3211)*INDEX(ForeCalc!$B$37:$Y$274,MATCH(_xlfn.CONCAT(H3211," ",I3211),ForeCalc!$A$37:$A$274,0),MATCH(_xlfn.CONCAT(B3211," ",E3211),ForeCalc!$B$36:$Y$36,0))))*VLOOKUP(A3211,Calendar!$A$2:$H$9997,8,FALSE),0)</f>
        <v/>
      </c>
      <c r="G3211" s="29">
        <f>VLOOKUP(A3211,Calendar!$A$1:$H$9997,6,FALSE)-F3211</f>
        <v/>
      </c>
      <c r="H3211" s="19" t="n">
        <v>3</v>
      </c>
      <c r="I3211" s="57" t="n">
        <v>10</v>
      </c>
    </row>
    <row r="3212">
      <c r="A3212" s="62" t="n">
        <v>47131</v>
      </c>
      <c r="B3212" s="3" t="inlineStr">
        <is>
          <t>Sat</t>
        </is>
      </c>
      <c r="C3212" s="19" t="n">
        <v>1</v>
      </c>
      <c r="D3212" s="19" t="n">
        <v>2029</v>
      </c>
      <c r="E3212" s="57" t="n">
        <v>3</v>
      </c>
      <c r="F3212" s="29">
        <f>ROUND(((SUMIFS(Calendar!$F$2:$F$9997,Calendar!$B$2:$B$9997,D3212,Calendar!$C$2:$C$9997,C3212)*INDEX(ForeCalc!$B$37:$Y$274,MATCH(_xlfn.CONCAT(H3212," ",I3212),ForeCalc!$A$37:$A$274,0),MATCH(_xlfn.CONCAT(B3212," ",E3212),ForeCalc!$B$36:$Y$36,0))))*VLOOKUP(A3212,Calendar!$A$2:$H$9997,8,FALSE),0)</f>
        <v/>
      </c>
      <c r="G3212" s="29">
        <f>VLOOKUP(A3212,Calendar!$A$1:$H$9997,6,FALSE)-F3212</f>
        <v/>
      </c>
      <c r="H3212" s="19" t="n">
        <v>3</v>
      </c>
      <c r="I3212" s="57" t="n">
        <v>10</v>
      </c>
    </row>
    <row r="3213">
      <c r="A3213" s="62" t="n">
        <v>47132</v>
      </c>
      <c r="B3213" s="3" t="inlineStr">
        <is>
          <t>Sun</t>
        </is>
      </c>
      <c r="C3213" s="19" t="n">
        <v>1</v>
      </c>
      <c r="D3213" s="19" t="n">
        <v>2029</v>
      </c>
      <c r="E3213" s="57" t="n">
        <v>3</v>
      </c>
      <c r="F3213" s="29">
        <f>ROUND(((SUMIFS(Calendar!$F$2:$F$9997,Calendar!$B$2:$B$9997,D3213,Calendar!$C$2:$C$9997,C3213)*INDEX(ForeCalc!$B$37:$Y$274,MATCH(_xlfn.CONCAT(H3213," ",I3213),ForeCalc!$A$37:$A$274,0),MATCH(_xlfn.CONCAT(B3213," ",E3213),ForeCalc!$B$36:$Y$36,0))))*VLOOKUP(A3213,Calendar!$A$2:$H$9997,8,FALSE),0)</f>
        <v/>
      </c>
      <c r="G3213" s="29">
        <f>VLOOKUP(A3213,Calendar!$A$1:$H$9997,6,FALSE)-F3213</f>
        <v/>
      </c>
      <c r="H3213" s="19" t="n">
        <v>3</v>
      </c>
      <c r="I3213" s="57" t="n">
        <v>10</v>
      </c>
    </row>
    <row r="3214">
      <c r="A3214" s="62" t="n">
        <v>47133</v>
      </c>
      <c r="B3214" s="3" t="inlineStr">
        <is>
          <t>Week</t>
        </is>
      </c>
      <c r="C3214" s="19" t="n">
        <v>1</v>
      </c>
      <c r="D3214" s="19" t="n">
        <v>2029</v>
      </c>
      <c r="E3214" s="57" t="n">
        <v>3</v>
      </c>
      <c r="F3214" s="29">
        <f>ROUND(((SUMIFS(Calendar!$F$2:$F$9997,Calendar!$B$2:$B$9997,D3214,Calendar!$C$2:$C$9997,C3214)*INDEX(ForeCalc!$B$37:$Y$274,MATCH(_xlfn.CONCAT(H3214," ",I3214),ForeCalc!$A$37:$A$274,0),MATCH(_xlfn.CONCAT(B3214," ",E3214),ForeCalc!$B$36:$Y$36,0))))*VLOOKUP(A3214,Calendar!$A$2:$H$9997,8,FALSE),0)</f>
        <v/>
      </c>
      <c r="G3214" s="29">
        <f>VLOOKUP(A3214,Calendar!$A$1:$H$9997,6,FALSE)-F3214</f>
        <v/>
      </c>
      <c r="H3214" s="19" t="n">
        <v>3</v>
      </c>
      <c r="I3214" s="57" t="n">
        <v>10</v>
      </c>
    </row>
    <row r="3215">
      <c r="A3215" s="62" t="n">
        <v>47134</v>
      </c>
      <c r="B3215" s="3" t="inlineStr">
        <is>
          <t>Week</t>
        </is>
      </c>
      <c r="C3215" s="19" t="n">
        <v>1</v>
      </c>
      <c r="D3215" s="19" t="n">
        <v>2029</v>
      </c>
      <c r="E3215" s="57" t="n">
        <v>3</v>
      </c>
      <c r="F3215" s="29">
        <f>ROUND(((SUMIFS(Calendar!$F$2:$F$9997,Calendar!$B$2:$B$9997,D3215,Calendar!$C$2:$C$9997,C3215)*INDEX(ForeCalc!$B$37:$Y$274,MATCH(_xlfn.CONCAT(H3215," ",I3215),ForeCalc!$A$37:$A$274,0),MATCH(_xlfn.CONCAT(B3215," ",E3215),ForeCalc!$B$36:$Y$36,0))))*VLOOKUP(A3215,Calendar!$A$2:$H$9997,8,FALSE),0)</f>
        <v/>
      </c>
      <c r="G3215" s="29">
        <f>VLOOKUP(A3215,Calendar!$A$1:$H$9997,6,FALSE)-F3215</f>
        <v/>
      </c>
      <c r="H3215" s="19" t="n">
        <v>3</v>
      </c>
      <c r="I3215" s="57" t="n">
        <v>10</v>
      </c>
    </row>
    <row r="3216">
      <c r="A3216" s="62" t="n">
        <v>47135</v>
      </c>
      <c r="B3216" s="3" t="inlineStr">
        <is>
          <t>Week</t>
        </is>
      </c>
      <c r="C3216" s="19" t="n">
        <v>1</v>
      </c>
      <c r="D3216" s="19" t="n">
        <v>2029</v>
      </c>
      <c r="E3216" s="57" t="n">
        <v>3</v>
      </c>
      <c r="F3216" s="29">
        <f>ROUND(((SUMIFS(Calendar!$F$2:$F$9997,Calendar!$B$2:$B$9997,D3216,Calendar!$C$2:$C$9997,C3216)*INDEX(ForeCalc!$B$37:$Y$274,MATCH(_xlfn.CONCAT(H3216," ",I3216),ForeCalc!$A$37:$A$274,0),MATCH(_xlfn.CONCAT(B3216," ",E3216),ForeCalc!$B$36:$Y$36,0))))*VLOOKUP(A3216,Calendar!$A$2:$H$9997,8,FALSE),0)</f>
        <v/>
      </c>
      <c r="G3216" s="29">
        <f>VLOOKUP(A3216,Calendar!$A$1:$H$9997,6,FALSE)-F3216</f>
        <v/>
      </c>
      <c r="H3216" s="19" t="n">
        <v>3</v>
      </c>
      <c r="I3216" s="57" t="n">
        <v>10</v>
      </c>
    </row>
    <row r="3217">
      <c r="A3217" s="62" t="n">
        <v>47136</v>
      </c>
      <c r="B3217" s="3" t="inlineStr">
        <is>
          <t>Week</t>
        </is>
      </c>
      <c r="C3217" s="19" t="n">
        <v>1</v>
      </c>
      <c r="D3217" s="19" t="n">
        <v>2029</v>
      </c>
      <c r="E3217" s="57" t="n">
        <v>3</v>
      </c>
      <c r="F3217" s="29">
        <f>ROUND(((SUMIFS(Calendar!$F$2:$F$9997,Calendar!$B$2:$B$9997,D3217,Calendar!$C$2:$C$9997,C3217)*INDEX(ForeCalc!$B$37:$Y$274,MATCH(_xlfn.CONCAT(H3217," ",I3217),ForeCalc!$A$37:$A$274,0),MATCH(_xlfn.CONCAT(B3217," ",E3217),ForeCalc!$B$36:$Y$36,0))))*VLOOKUP(A3217,Calendar!$A$2:$H$9997,8,FALSE),0)</f>
        <v/>
      </c>
      <c r="G3217" s="29">
        <f>VLOOKUP(A3217,Calendar!$A$1:$H$9997,6,FALSE)-F3217</f>
        <v/>
      </c>
      <c r="H3217" s="19" t="n">
        <v>3</v>
      </c>
      <c r="I3217" s="57" t="n">
        <v>10</v>
      </c>
    </row>
    <row r="3218">
      <c r="A3218" s="62" t="n">
        <v>47137</v>
      </c>
      <c r="B3218" s="3" t="inlineStr">
        <is>
          <t>Week</t>
        </is>
      </c>
      <c r="C3218" s="19" t="n">
        <v>1</v>
      </c>
      <c r="D3218" s="19" t="n">
        <v>2029</v>
      </c>
      <c r="E3218" s="57" t="n">
        <v>3</v>
      </c>
      <c r="F3218" s="29">
        <f>ROUND(((SUMIFS(Calendar!$F$2:$F$9997,Calendar!$B$2:$B$9997,D3218,Calendar!$C$2:$C$9997,C3218)*INDEX(ForeCalc!$B$37:$Y$274,MATCH(_xlfn.CONCAT(H3218," ",I3218),ForeCalc!$A$37:$A$274,0),MATCH(_xlfn.CONCAT(B3218," ",E3218),ForeCalc!$B$36:$Y$36,0))))*VLOOKUP(A3218,Calendar!$A$2:$H$9997,8,FALSE),0)</f>
        <v/>
      </c>
      <c r="G3218" s="29">
        <f>VLOOKUP(A3218,Calendar!$A$1:$H$9997,6,FALSE)-F3218</f>
        <v/>
      </c>
      <c r="H3218" s="19" t="n">
        <v>3</v>
      </c>
      <c r="I3218" s="57" t="n">
        <v>10</v>
      </c>
    </row>
    <row r="3219">
      <c r="A3219" s="62" t="n">
        <v>47138</v>
      </c>
      <c r="B3219" s="3" t="inlineStr">
        <is>
          <t>Sat</t>
        </is>
      </c>
      <c r="C3219" s="19" t="n">
        <v>1</v>
      </c>
      <c r="D3219" s="19" t="n">
        <v>2029</v>
      </c>
      <c r="E3219" s="57" t="n">
        <v>3</v>
      </c>
      <c r="F3219" s="29">
        <f>ROUND(((SUMIFS(Calendar!$F$2:$F$9997,Calendar!$B$2:$B$9997,D3219,Calendar!$C$2:$C$9997,C3219)*INDEX(ForeCalc!$B$37:$Y$274,MATCH(_xlfn.CONCAT(H3219," ",I3219),ForeCalc!$A$37:$A$274,0),MATCH(_xlfn.CONCAT(B3219," ",E3219),ForeCalc!$B$36:$Y$36,0))))*VLOOKUP(A3219,Calendar!$A$2:$H$9997,8,FALSE),0)</f>
        <v/>
      </c>
      <c r="G3219" s="29">
        <f>VLOOKUP(A3219,Calendar!$A$1:$H$9997,6,FALSE)-F3219</f>
        <v/>
      </c>
      <c r="H3219" s="19" t="n">
        <v>3</v>
      </c>
      <c r="I3219" s="57" t="n">
        <v>10</v>
      </c>
    </row>
    <row r="3220">
      <c r="A3220" s="62" t="n">
        <v>47139</v>
      </c>
      <c r="B3220" s="3" t="inlineStr">
        <is>
          <t>Sun</t>
        </is>
      </c>
      <c r="C3220" s="19" t="n">
        <v>1</v>
      </c>
      <c r="D3220" s="19" t="n">
        <v>2029</v>
      </c>
      <c r="E3220" s="57" t="n">
        <v>3</v>
      </c>
      <c r="F3220" s="29">
        <f>ROUND(((SUMIFS(Calendar!$F$2:$F$9997,Calendar!$B$2:$B$9997,D3220,Calendar!$C$2:$C$9997,C3220)*INDEX(ForeCalc!$B$37:$Y$274,MATCH(_xlfn.CONCAT(H3220," ",I3220),ForeCalc!$A$37:$A$274,0),MATCH(_xlfn.CONCAT(B3220," ",E3220),ForeCalc!$B$36:$Y$36,0))))*VLOOKUP(A3220,Calendar!$A$2:$H$9997,8,FALSE),0)</f>
        <v/>
      </c>
      <c r="G3220" s="29">
        <f>VLOOKUP(A3220,Calendar!$A$1:$H$9997,6,FALSE)-F3220</f>
        <v/>
      </c>
      <c r="H3220" s="19" t="n">
        <v>3</v>
      </c>
      <c r="I3220" s="57" t="n">
        <v>10</v>
      </c>
    </row>
    <row r="3221">
      <c r="A3221" s="62" t="n">
        <v>47140</v>
      </c>
      <c r="B3221" s="3" t="inlineStr">
        <is>
          <t>Week</t>
        </is>
      </c>
      <c r="C3221" s="19" t="n">
        <v>1</v>
      </c>
      <c r="D3221" s="19" t="n">
        <v>2029</v>
      </c>
      <c r="E3221" s="57" t="n">
        <v>3</v>
      </c>
      <c r="F3221" s="29">
        <f>ROUND(((SUMIFS(Calendar!$F$2:$F$9997,Calendar!$B$2:$B$9997,D3221,Calendar!$C$2:$C$9997,C3221)*INDEX(ForeCalc!$B$37:$Y$274,MATCH(_xlfn.CONCAT(H3221," ",I3221),ForeCalc!$A$37:$A$274,0),MATCH(_xlfn.CONCAT(B3221," ",E3221),ForeCalc!$B$36:$Y$36,0))))*VLOOKUP(A3221,Calendar!$A$2:$H$9997,8,FALSE),0)</f>
        <v/>
      </c>
      <c r="G3221" s="29">
        <f>VLOOKUP(A3221,Calendar!$A$1:$H$9997,6,FALSE)-F3221</f>
        <v/>
      </c>
      <c r="H3221" s="19" t="n">
        <v>3</v>
      </c>
      <c r="I3221" s="57" t="n">
        <v>10</v>
      </c>
    </row>
    <row r="3222">
      <c r="A3222" s="62" t="n">
        <v>47141</v>
      </c>
      <c r="B3222" s="3" t="inlineStr">
        <is>
          <t>Week</t>
        </is>
      </c>
      <c r="C3222" s="19" t="n">
        <v>1</v>
      </c>
      <c r="D3222" s="19" t="n">
        <v>2029</v>
      </c>
      <c r="E3222" s="57" t="n">
        <v>3</v>
      </c>
      <c r="F3222" s="29">
        <f>ROUND(((SUMIFS(Calendar!$F$2:$F$9997,Calendar!$B$2:$B$9997,D3222,Calendar!$C$2:$C$9997,C3222)*INDEX(ForeCalc!$B$37:$Y$274,MATCH(_xlfn.CONCAT(H3222," ",I3222),ForeCalc!$A$37:$A$274,0),MATCH(_xlfn.CONCAT(B3222," ",E3222),ForeCalc!$B$36:$Y$36,0))))*VLOOKUP(A3222,Calendar!$A$2:$H$9997,8,FALSE),0)</f>
        <v/>
      </c>
      <c r="G3222" s="29">
        <f>VLOOKUP(A3222,Calendar!$A$1:$H$9997,6,FALSE)-F3222</f>
        <v/>
      </c>
      <c r="H3222" s="19" t="n">
        <v>3</v>
      </c>
      <c r="I3222" s="57" t="n">
        <v>10</v>
      </c>
    </row>
    <row r="3223">
      <c r="A3223" s="62" t="n">
        <v>47142</v>
      </c>
      <c r="B3223" s="3" t="inlineStr">
        <is>
          <t>Week</t>
        </is>
      </c>
      <c r="C3223" s="19" t="n">
        <v>1</v>
      </c>
      <c r="D3223" s="19" t="n">
        <v>2029</v>
      </c>
      <c r="E3223" s="57" t="n">
        <v>3</v>
      </c>
      <c r="F3223" s="29">
        <f>ROUND(((SUMIFS(Calendar!$F$2:$F$9997,Calendar!$B$2:$B$9997,D3223,Calendar!$C$2:$C$9997,C3223)*INDEX(ForeCalc!$B$37:$Y$274,MATCH(_xlfn.CONCAT(H3223," ",I3223),ForeCalc!$A$37:$A$274,0),MATCH(_xlfn.CONCAT(B3223," ",E3223),ForeCalc!$B$36:$Y$36,0))))*VLOOKUP(A3223,Calendar!$A$2:$H$9997,8,FALSE),0)</f>
        <v/>
      </c>
      <c r="G3223" s="29">
        <f>VLOOKUP(A3223,Calendar!$A$1:$H$9997,6,FALSE)-F3223</f>
        <v/>
      </c>
      <c r="H3223" s="19" t="n">
        <v>3</v>
      </c>
      <c r="I3223" s="57" t="n">
        <v>10</v>
      </c>
    </row>
    <row r="3224">
      <c r="A3224" s="62" t="n">
        <v>47143</v>
      </c>
      <c r="B3224" s="3" t="inlineStr">
        <is>
          <t>Week</t>
        </is>
      </c>
      <c r="C3224" s="19" t="n">
        <v>1</v>
      </c>
      <c r="D3224" s="19" t="n">
        <v>2029</v>
      </c>
      <c r="E3224" s="57" t="n">
        <v>3</v>
      </c>
      <c r="F3224" s="29">
        <f>ROUND(((SUMIFS(Calendar!$F$2:$F$9997,Calendar!$B$2:$B$9997,D3224,Calendar!$C$2:$C$9997,C3224)*INDEX(ForeCalc!$B$37:$Y$274,MATCH(_xlfn.CONCAT(H3224," ",I3224),ForeCalc!$A$37:$A$274,0),MATCH(_xlfn.CONCAT(B3224," ",E3224),ForeCalc!$B$36:$Y$36,0))))*VLOOKUP(A3224,Calendar!$A$2:$H$9997,8,FALSE),0)</f>
        <v/>
      </c>
      <c r="G3224" s="29">
        <f>VLOOKUP(A3224,Calendar!$A$1:$H$9997,6,FALSE)-F3224</f>
        <v/>
      </c>
      <c r="H3224" s="19" t="n">
        <v>3</v>
      </c>
      <c r="I3224" s="57" t="n">
        <v>10</v>
      </c>
    </row>
    <row r="3225">
      <c r="A3225" s="62" t="n">
        <v>47144</v>
      </c>
      <c r="B3225" s="3" t="inlineStr">
        <is>
          <t>Week</t>
        </is>
      </c>
      <c r="C3225" s="19" t="n">
        <v>1</v>
      </c>
      <c r="D3225" s="19" t="n">
        <v>2029</v>
      </c>
      <c r="E3225" s="57" t="n">
        <v>3</v>
      </c>
      <c r="F3225" s="29">
        <f>ROUND(((SUMIFS(Calendar!$F$2:$F$9997,Calendar!$B$2:$B$9997,D3225,Calendar!$C$2:$C$9997,C3225)*INDEX(ForeCalc!$B$37:$Y$274,MATCH(_xlfn.CONCAT(H3225," ",I3225),ForeCalc!$A$37:$A$274,0),MATCH(_xlfn.CONCAT(B3225," ",E3225),ForeCalc!$B$36:$Y$36,0))))*VLOOKUP(A3225,Calendar!$A$2:$H$9997,8,FALSE),0)</f>
        <v/>
      </c>
      <c r="G3225" s="29">
        <f>VLOOKUP(A3225,Calendar!$A$1:$H$9997,6,FALSE)-F3225</f>
        <v/>
      </c>
      <c r="H3225" s="19" t="n">
        <v>3</v>
      </c>
      <c r="I3225" s="57" t="n">
        <v>10</v>
      </c>
    </row>
    <row r="3226">
      <c r="A3226" s="62" t="n">
        <v>47145</v>
      </c>
      <c r="B3226" s="3" t="inlineStr">
        <is>
          <t>Sat</t>
        </is>
      </c>
      <c r="C3226" s="19" t="n">
        <v>1</v>
      </c>
      <c r="D3226" s="19" t="n">
        <v>2029</v>
      </c>
      <c r="E3226" s="57" t="n">
        <v>3</v>
      </c>
      <c r="F3226" s="29">
        <f>ROUND(((SUMIFS(Calendar!$F$2:$F$9997,Calendar!$B$2:$B$9997,D3226,Calendar!$C$2:$C$9997,C3226)*INDEX(ForeCalc!$B$37:$Y$274,MATCH(_xlfn.CONCAT(H3226," ",I3226),ForeCalc!$A$37:$A$274,0),MATCH(_xlfn.CONCAT(B3226," ",E3226),ForeCalc!$B$36:$Y$36,0))))*VLOOKUP(A3226,Calendar!$A$2:$H$9997,8,FALSE),0)</f>
        <v/>
      </c>
      <c r="G3226" s="29">
        <f>VLOOKUP(A3226,Calendar!$A$1:$H$9997,6,FALSE)-F3226</f>
        <v/>
      </c>
      <c r="H3226" s="19" t="n">
        <v>3</v>
      </c>
      <c r="I3226" s="57" t="n">
        <v>10</v>
      </c>
    </row>
    <row r="3227">
      <c r="A3227" s="62" t="n">
        <v>47146</v>
      </c>
      <c r="B3227" s="3" t="inlineStr">
        <is>
          <t>Sun</t>
        </is>
      </c>
      <c r="C3227" s="19" t="n">
        <v>1</v>
      </c>
      <c r="D3227" s="19" t="n">
        <v>2029</v>
      </c>
      <c r="E3227" s="57" t="n">
        <v>3</v>
      </c>
      <c r="F3227" s="29">
        <f>ROUND(((SUMIFS(Calendar!$F$2:$F$9997,Calendar!$B$2:$B$9997,D3227,Calendar!$C$2:$C$9997,C3227)*INDEX(ForeCalc!$B$37:$Y$274,MATCH(_xlfn.CONCAT(H3227," ",I3227),ForeCalc!$A$37:$A$274,0),MATCH(_xlfn.CONCAT(B3227," ",E3227),ForeCalc!$B$36:$Y$36,0))))*VLOOKUP(A3227,Calendar!$A$2:$H$9997,8,FALSE),0)</f>
        <v/>
      </c>
      <c r="G3227" s="29">
        <f>VLOOKUP(A3227,Calendar!$A$1:$H$9997,6,FALSE)-F3227</f>
        <v/>
      </c>
      <c r="H3227" s="19" t="n">
        <v>3</v>
      </c>
      <c r="I3227" s="57" t="n">
        <v>10</v>
      </c>
    </row>
    <row r="3228">
      <c r="A3228" s="62" t="n">
        <v>47147</v>
      </c>
      <c r="B3228" s="3" t="inlineStr">
        <is>
          <t>Week</t>
        </is>
      </c>
      <c r="C3228" s="19" t="n">
        <v>1</v>
      </c>
      <c r="D3228" s="19" t="n">
        <v>2029</v>
      </c>
      <c r="E3228" s="57" t="n">
        <v>3</v>
      </c>
      <c r="F3228" s="29">
        <f>ROUND(((SUMIFS(Calendar!$F$2:$F$9997,Calendar!$B$2:$B$9997,D3228,Calendar!$C$2:$C$9997,C3228)*INDEX(ForeCalc!$B$37:$Y$274,MATCH(_xlfn.CONCAT(H3228," ",I3228),ForeCalc!$A$37:$A$274,0),MATCH(_xlfn.CONCAT(B3228," ",E3228),ForeCalc!$B$36:$Y$36,0))))*VLOOKUP(A3228,Calendar!$A$2:$H$9997,8,FALSE),0)</f>
        <v/>
      </c>
      <c r="G3228" s="29">
        <f>VLOOKUP(A3228,Calendar!$A$1:$H$9997,6,FALSE)-F3228</f>
        <v/>
      </c>
      <c r="H3228" s="19" t="n">
        <v>3</v>
      </c>
      <c r="I3228" s="57" t="n">
        <v>10</v>
      </c>
    </row>
    <row r="3229">
      <c r="A3229" s="62" t="n">
        <v>47148</v>
      </c>
      <c r="B3229" s="3" t="inlineStr">
        <is>
          <t>Week</t>
        </is>
      </c>
      <c r="C3229" s="19" t="n">
        <v>1</v>
      </c>
      <c r="D3229" s="19" t="n">
        <v>2029</v>
      </c>
      <c r="E3229" s="57" t="n">
        <v>3</v>
      </c>
      <c r="F3229" s="29">
        <f>ROUND(((SUMIFS(Calendar!$F$2:$F$9997,Calendar!$B$2:$B$9997,D3229,Calendar!$C$2:$C$9997,C3229)*INDEX(ForeCalc!$B$37:$Y$274,MATCH(_xlfn.CONCAT(H3229," ",I3229),ForeCalc!$A$37:$A$274,0),MATCH(_xlfn.CONCAT(B3229," ",E3229),ForeCalc!$B$36:$Y$36,0))))*VLOOKUP(A3229,Calendar!$A$2:$H$9997,8,FALSE),0)</f>
        <v/>
      </c>
      <c r="G3229" s="29">
        <f>VLOOKUP(A3229,Calendar!$A$1:$H$9997,6,FALSE)-F3229</f>
        <v/>
      </c>
      <c r="H3229" s="19" t="n">
        <v>3</v>
      </c>
      <c r="I3229" s="57" t="n">
        <v>10</v>
      </c>
    </row>
    <row r="3230">
      <c r="A3230" s="62" t="n">
        <v>47149</v>
      </c>
      <c r="B3230" s="3" t="inlineStr">
        <is>
          <t>Week</t>
        </is>
      </c>
      <c r="C3230" s="19" t="n">
        <v>1</v>
      </c>
      <c r="D3230" s="19" t="n">
        <v>2029</v>
      </c>
      <c r="E3230" s="57" t="n">
        <v>3</v>
      </c>
      <c r="F3230" s="29">
        <f>ROUND(((SUMIFS(Calendar!$F$2:$F$9997,Calendar!$B$2:$B$9997,D3230,Calendar!$C$2:$C$9997,C3230)*INDEX(ForeCalc!$B$37:$Y$274,MATCH(_xlfn.CONCAT(H3230," ",I3230),ForeCalc!$A$37:$A$274,0),MATCH(_xlfn.CONCAT(B3230," ",E3230),ForeCalc!$B$36:$Y$36,0))))*VLOOKUP(A3230,Calendar!$A$2:$H$9997,8,FALSE),0)</f>
        <v/>
      </c>
      <c r="G3230" s="29">
        <f>VLOOKUP(A3230,Calendar!$A$1:$H$9997,6,FALSE)-F3230</f>
        <v/>
      </c>
      <c r="H3230" s="19" t="n">
        <v>3</v>
      </c>
      <c r="I3230" s="57" t="n">
        <v>10</v>
      </c>
    </row>
    <row r="3231">
      <c r="A3231" s="62" t="n">
        <v>47150</v>
      </c>
      <c r="B3231" s="3" t="inlineStr">
        <is>
          <t>Week</t>
        </is>
      </c>
      <c r="C3231" s="19" t="n">
        <v>2</v>
      </c>
      <c r="D3231" s="19" t="n">
        <v>2029</v>
      </c>
      <c r="E3231" s="57" t="n">
        <v>3</v>
      </c>
      <c r="F3231" s="29">
        <f>ROUND(((SUMIFS(Calendar!$F$2:$F$9997,Calendar!$B$2:$B$9997,D3231,Calendar!$C$2:$C$9997,C3231)*INDEX(ForeCalc!$B$37:$Y$274,MATCH(_xlfn.CONCAT(H3231," ",I3231),ForeCalc!$A$37:$A$274,0),MATCH(_xlfn.CONCAT(B3231," ",E3231),ForeCalc!$B$36:$Y$36,0))))*VLOOKUP(A3231,Calendar!$A$2:$H$9997,8,FALSE),0)</f>
        <v/>
      </c>
      <c r="G3231" s="29">
        <f>VLOOKUP(A3231,Calendar!$A$1:$H$9997,6,FALSE)-F3231</f>
        <v/>
      </c>
      <c r="H3231" s="19" t="n">
        <v>3</v>
      </c>
      <c r="I3231" s="57" t="n">
        <v>11</v>
      </c>
    </row>
    <row r="3232">
      <c r="A3232" s="62" t="n">
        <v>47151</v>
      </c>
      <c r="B3232" s="3" t="inlineStr">
        <is>
          <t>Week</t>
        </is>
      </c>
      <c r="C3232" s="19" t="n">
        <v>2</v>
      </c>
      <c r="D3232" s="19" t="n">
        <v>2029</v>
      </c>
      <c r="E3232" s="57" t="n">
        <v>3</v>
      </c>
      <c r="F3232" s="29">
        <f>ROUND(((SUMIFS(Calendar!$F$2:$F$9997,Calendar!$B$2:$B$9997,D3232,Calendar!$C$2:$C$9997,C3232)*INDEX(ForeCalc!$B$37:$Y$274,MATCH(_xlfn.CONCAT(H3232," ",I3232),ForeCalc!$A$37:$A$274,0),MATCH(_xlfn.CONCAT(B3232," ",E3232),ForeCalc!$B$36:$Y$36,0))))*VLOOKUP(A3232,Calendar!$A$2:$H$9997,8,FALSE),0)</f>
        <v/>
      </c>
      <c r="G3232" s="29">
        <f>VLOOKUP(A3232,Calendar!$A$1:$H$9997,6,FALSE)-F3232</f>
        <v/>
      </c>
      <c r="H3232" s="19" t="n">
        <v>3</v>
      </c>
      <c r="I3232" s="57" t="n">
        <v>11</v>
      </c>
    </row>
    <row r="3233">
      <c r="A3233" s="62" t="n">
        <v>47152</v>
      </c>
      <c r="B3233" s="3" t="inlineStr">
        <is>
          <t>Sat</t>
        </is>
      </c>
      <c r="C3233" s="19" t="n">
        <v>2</v>
      </c>
      <c r="D3233" s="19" t="n">
        <v>2029</v>
      </c>
      <c r="E3233" s="57" t="n">
        <v>3</v>
      </c>
      <c r="F3233" s="29">
        <f>ROUND(((SUMIFS(Calendar!$F$2:$F$9997,Calendar!$B$2:$B$9997,D3233,Calendar!$C$2:$C$9997,C3233)*INDEX(ForeCalc!$B$37:$Y$274,MATCH(_xlfn.CONCAT(H3233," ",I3233),ForeCalc!$A$37:$A$274,0),MATCH(_xlfn.CONCAT(B3233," ",E3233),ForeCalc!$B$36:$Y$36,0))))*VLOOKUP(A3233,Calendar!$A$2:$H$9997,8,FALSE),0)</f>
        <v/>
      </c>
      <c r="G3233" s="29">
        <f>VLOOKUP(A3233,Calendar!$A$1:$H$9997,6,FALSE)-F3233</f>
        <v/>
      </c>
      <c r="H3233" s="19" t="n">
        <v>3</v>
      </c>
      <c r="I3233" s="57" t="n">
        <v>11</v>
      </c>
    </row>
    <row r="3234">
      <c r="A3234" s="62" t="n">
        <v>47153</v>
      </c>
      <c r="B3234" s="3" t="inlineStr">
        <is>
          <t>Sun</t>
        </is>
      </c>
      <c r="C3234" s="19" t="n">
        <v>2</v>
      </c>
      <c r="D3234" s="19" t="n">
        <v>2029</v>
      </c>
      <c r="E3234" s="57" t="n">
        <v>3</v>
      </c>
      <c r="F3234" s="29">
        <f>ROUND(((SUMIFS(Calendar!$F$2:$F$9997,Calendar!$B$2:$B$9997,D3234,Calendar!$C$2:$C$9997,C3234)*INDEX(ForeCalc!$B$37:$Y$274,MATCH(_xlfn.CONCAT(H3234," ",I3234),ForeCalc!$A$37:$A$274,0),MATCH(_xlfn.CONCAT(B3234," ",E3234),ForeCalc!$B$36:$Y$36,0))))*VLOOKUP(A3234,Calendar!$A$2:$H$9997,8,FALSE),0)</f>
        <v/>
      </c>
      <c r="G3234" s="29">
        <f>VLOOKUP(A3234,Calendar!$A$1:$H$9997,6,FALSE)-F3234</f>
        <v/>
      </c>
      <c r="H3234" s="19" t="n">
        <v>3</v>
      </c>
      <c r="I3234" s="57" t="n">
        <v>11</v>
      </c>
    </row>
    <row r="3235">
      <c r="A3235" s="62" t="n">
        <v>47154</v>
      </c>
      <c r="B3235" s="3" t="inlineStr">
        <is>
          <t>Week</t>
        </is>
      </c>
      <c r="C3235" s="19" t="n">
        <v>2</v>
      </c>
      <c r="D3235" s="19" t="n">
        <v>2029</v>
      </c>
      <c r="E3235" s="57" t="n">
        <v>3</v>
      </c>
      <c r="F3235" s="29">
        <f>ROUND(((SUMIFS(Calendar!$F$2:$F$9997,Calendar!$B$2:$B$9997,D3235,Calendar!$C$2:$C$9997,C3235)*INDEX(ForeCalc!$B$37:$Y$274,MATCH(_xlfn.CONCAT(H3235," ",I3235),ForeCalc!$A$37:$A$274,0),MATCH(_xlfn.CONCAT(B3235," ",E3235),ForeCalc!$B$36:$Y$36,0))))*VLOOKUP(A3235,Calendar!$A$2:$H$9997,8,FALSE),0)</f>
        <v/>
      </c>
      <c r="G3235" s="29">
        <f>VLOOKUP(A3235,Calendar!$A$1:$H$9997,6,FALSE)-F3235</f>
        <v/>
      </c>
      <c r="H3235" s="19" t="n">
        <v>3</v>
      </c>
      <c r="I3235" s="57" t="n">
        <v>11</v>
      </c>
    </row>
    <row r="3236">
      <c r="A3236" s="62" t="n">
        <v>47155</v>
      </c>
      <c r="B3236" s="3" t="inlineStr">
        <is>
          <t>Week</t>
        </is>
      </c>
      <c r="C3236" s="19" t="n">
        <v>2</v>
      </c>
      <c r="D3236" s="19" t="n">
        <v>2029</v>
      </c>
      <c r="E3236" s="57" t="n">
        <v>3</v>
      </c>
      <c r="F3236" s="29">
        <f>ROUND(((SUMIFS(Calendar!$F$2:$F$9997,Calendar!$B$2:$B$9997,D3236,Calendar!$C$2:$C$9997,C3236)*INDEX(ForeCalc!$B$37:$Y$274,MATCH(_xlfn.CONCAT(H3236," ",I3236),ForeCalc!$A$37:$A$274,0),MATCH(_xlfn.CONCAT(B3236," ",E3236),ForeCalc!$B$36:$Y$36,0))))*VLOOKUP(A3236,Calendar!$A$2:$H$9997,8,FALSE),0)</f>
        <v/>
      </c>
      <c r="G3236" s="29">
        <f>VLOOKUP(A3236,Calendar!$A$1:$H$9997,6,FALSE)-F3236</f>
        <v/>
      </c>
      <c r="H3236" s="19" t="n">
        <v>3</v>
      </c>
      <c r="I3236" s="57" t="n">
        <v>11</v>
      </c>
    </row>
    <row r="3237">
      <c r="A3237" s="62" t="n">
        <v>47156</v>
      </c>
      <c r="B3237" s="3" t="inlineStr">
        <is>
          <t>Week</t>
        </is>
      </c>
      <c r="C3237" s="19" t="n">
        <v>2</v>
      </c>
      <c r="D3237" s="19" t="n">
        <v>2029</v>
      </c>
      <c r="E3237" s="57" t="n">
        <v>3</v>
      </c>
      <c r="F3237" s="29">
        <f>ROUND(((SUMIFS(Calendar!$F$2:$F$9997,Calendar!$B$2:$B$9997,D3237,Calendar!$C$2:$C$9997,C3237)*INDEX(ForeCalc!$B$37:$Y$274,MATCH(_xlfn.CONCAT(H3237," ",I3237),ForeCalc!$A$37:$A$274,0),MATCH(_xlfn.CONCAT(B3237," ",E3237),ForeCalc!$B$36:$Y$36,0))))*VLOOKUP(A3237,Calendar!$A$2:$H$9997,8,FALSE),0)</f>
        <v/>
      </c>
      <c r="G3237" s="29">
        <f>VLOOKUP(A3237,Calendar!$A$1:$H$9997,6,FALSE)-F3237</f>
        <v/>
      </c>
      <c r="H3237" s="19" t="n">
        <v>3</v>
      </c>
      <c r="I3237" s="57" t="n">
        <v>11</v>
      </c>
    </row>
    <row r="3238">
      <c r="A3238" s="62" t="n">
        <v>47157</v>
      </c>
      <c r="B3238" s="3" t="inlineStr">
        <is>
          <t>Week</t>
        </is>
      </c>
      <c r="C3238" s="19" t="n">
        <v>2</v>
      </c>
      <c r="D3238" s="19" t="n">
        <v>2029</v>
      </c>
      <c r="E3238" s="57" t="n">
        <v>3</v>
      </c>
      <c r="F3238" s="29">
        <f>ROUND(((SUMIFS(Calendar!$F$2:$F$9997,Calendar!$B$2:$B$9997,D3238,Calendar!$C$2:$C$9997,C3238)*INDEX(ForeCalc!$B$37:$Y$274,MATCH(_xlfn.CONCAT(H3238," ",I3238),ForeCalc!$A$37:$A$274,0),MATCH(_xlfn.CONCAT(B3238," ",E3238),ForeCalc!$B$36:$Y$36,0))))*VLOOKUP(A3238,Calendar!$A$2:$H$9997,8,FALSE),0)</f>
        <v/>
      </c>
      <c r="G3238" s="29">
        <f>VLOOKUP(A3238,Calendar!$A$1:$H$9997,6,FALSE)-F3238</f>
        <v/>
      </c>
      <c r="H3238" s="19" t="n">
        <v>3</v>
      </c>
      <c r="I3238" s="57" t="n">
        <v>11</v>
      </c>
    </row>
    <row r="3239">
      <c r="A3239" s="62" t="n">
        <v>47158</v>
      </c>
      <c r="B3239" s="3" t="inlineStr">
        <is>
          <t>Week</t>
        </is>
      </c>
      <c r="C3239" s="19" t="n">
        <v>2</v>
      </c>
      <c r="D3239" s="19" t="n">
        <v>2029</v>
      </c>
      <c r="E3239" s="57" t="n">
        <v>3</v>
      </c>
      <c r="F3239" s="29">
        <f>ROUND(((SUMIFS(Calendar!$F$2:$F$9997,Calendar!$B$2:$B$9997,D3239,Calendar!$C$2:$C$9997,C3239)*INDEX(ForeCalc!$B$37:$Y$274,MATCH(_xlfn.CONCAT(H3239," ",I3239),ForeCalc!$A$37:$A$274,0),MATCH(_xlfn.CONCAT(B3239," ",E3239),ForeCalc!$B$36:$Y$36,0))))*VLOOKUP(A3239,Calendar!$A$2:$H$9997,8,FALSE),0)</f>
        <v/>
      </c>
      <c r="G3239" s="29">
        <f>VLOOKUP(A3239,Calendar!$A$1:$H$9997,6,FALSE)-F3239</f>
        <v/>
      </c>
      <c r="H3239" s="19" t="n">
        <v>3</v>
      </c>
      <c r="I3239" s="57" t="n">
        <v>11</v>
      </c>
    </row>
    <row r="3240">
      <c r="A3240" s="62" t="n">
        <v>47159</v>
      </c>
      <c r="B3240" s="3" t="inlineStr">
        <is>
          <t>Sat</t>
        </is>
      </c>
      <c r="C3240" s="19" t="n">
        <v>2</v>
      </c>
      <c r="D3240" s="19" t="n">
        <v>2029</v>
      </c>
      <c r="E3240" s="57" t="n">
        <v>3</v>
      </c>
      <c r="F3240" s="29">
        <f>ROUND(((SUMIFS(Calendar!$F$2:$F$9997,Calendar!$B$2:$B$9997,D3240,Calendar!$C$2:$C$9997,C3240)*INDEX(ForeCalc!$B$37:$Y$274,MATCH(_xlfn.CONCAT(H3240," ",I3240),ForeCalc!$A$37:$A$274,0),MATCH(_xlfn.CONCAT(B3240," ",E3240),ForeCalc!$B$36:$Y$36,0))))*VLOOKUP(A3240,Calendar!$A$2:$H$9997,8,FALSE),0)</f>
        <v/>
      </c>
      <c r="G3240" s="29">
        <f>VLOOKUP(A3240,Calendar!$A$1:$H$9997,6,FALSE)-F3240</f>
        <v/>
      </c>
      <c r="H3240" s="19" t="n">
        <v>3</v>
      </c>
      <c r="I3240" s="57" t="n">
        <v>11</v>
      </c>
    </row>
    <row r="3241">
      <c r="A3241" s="62" t="n">
        <v>47160</v>
      </c>
      <c r="B3241" s="3" t="inlineStr">
        <is>
          <t>Sun</t>
        </is>
      </c>
      <c r="C3241" s="19" t="n">
        <v>2</v>
      </c>
      <c r="D3241" s="19" t="n">
        <v>2029</v>
      </c>
      <c r="E3241" s="57" t="n">
        <v>3</v>
      </c>
      <c r="F3241" s="29">
        <f>ROUND(((SUMIFS(Calendar!$F$2:$F$9997,Calendar!$B$2:$B$9997,D3241,Calendar!$C$2:$C$9997,C3241)*INDEX(ForeCalc!$B$37:$Y$274,MATCH(_xlfn.CONCAT(H3241," ",I3241),ForeCalc!$A$37:$A$274,0),MATCH(_xlfn.CONCAT(B3241," ",E3241),ForeCalc!$B$36:$Y$36,0))))*VLOOKUP(A3241,Calendar!$A$2:$H$9997,8,FALSE),0)</f>
        <v/>
      </c>
      <c r="G3241" s="29">
        <f>VLOOKUP(A3241,Calendar!$A$1:$H$9997,6,FALSE)-F3241</f>
        <v/>
      </c>
      <c r="H3241" s="19" t="n">
        <v>3</v>
      </c>
      <c r="I3241" s="57" t="n">
        <v>11</v>
      </c>
    </row>
    <row r="3242">
      <c r="A3242" s="62" t="n">
        <v>47161</v>
      </c>
      <c r="B3242" s="3" t="inlineStr">
        <is>
          <t>Week</t>
        </is>
      </c>
      <c r="C3242" s="19" t="n">
        <v>2</v>
      </c>
      <c r="D3242" s="19" t="n">
        <v>2029</v>
      </c>
      <c r="E3242" s="57" t="n">
        <v>3</v>
      </c>
      <c r="F3242" s="29">
        <f>ROUND(((SUMIFS(Calendar!$F$2:$F$9997,Calendar!$B$2:$B$9997,D3242,Calendar!$C$2:$C$9997,C3242)*INDEX(ForeCalc!$B$37:$Y$274,MATCH(_xlfn.CONCAT(H3242," ",I3242),ForeCalc!$A$37:$A$274,0),MATCH(_xlfn.CONCAT(B3242," ",E3242),ForeCalc!$B$36:$Y$36,0))))*VLOOKUP(A3242,Calendar!$A$2:$H$9997,8,FALSE),0)</f>
        <v/>
      </c>
      <c r="G3242" s="29">
        <f>VLOOKUP(A3242,Calendar!$A$1:$H$9997,6,FALSE)-F3242</f>
        <v/>
      </c>
      <c r="H3242" s="19" t="n">
        <v>3</v>
      </c>
      <c r="I3242" s="57" t="n">
        <v>11</v>
      </c>
    </row>
    <row r="3243">
      <c r="A3243" s="62" t="n">
        <v>47162</v>
      </c>
      <c r="B3243" s="3" t="inlineStr">
        <is>
          <t>Week</t>
        </is>
      </c>
      <c r="C3243" s="19" t="n">
        <v>2</v>
      </c>
      <c r="D3243" s="19" t="n">
        <v>2029</v>
      </c>
      <c r="E3243" s="57" t="n">
        <v>3</v>
      </c>
      <c r="F3243" s="29">
        <f>ROUND(((SUMIFS(Calendar!$F$2:$F$9997,Calendar!$B$2:$B$9997,D3243,Calendar!$C$2:$C$9997,C3243)*INDEX(ForeCalc!$B$37:$Y$274,MATCH(_xlfn.CONCAT(H3243," ",I3243),ForeCalc!$A$37:$A$274,0),MATCH(_xlfn.CONCAT(B3243," ",E3243),ForeCalc!$B$36:$Y$36,0))))*VLOOKUP(A3243,Calendar!$A$2:$H$9997,8,FALSE),0)</f>
        <v/>
      </c>
      <c r="G3243" s="29">
        <f>VLOOKUP(A3243,Calendar!$A$1:$H$9997,6,FALSE)-F3243</f>
        <v/>
      </c>
      <c r="H3243" s="19" t="n">
        <v>3</v>
      </c>
      <c r="I3243" s="57" t="n">
        <v>11</v>
      </c>
    </row>
    <row r="3244">
      <c r="A3244" s="62" t="n">
        <v>47163</v>
      </c>
      <c r="B3244" s="3" t="inlineStr">
        <is>
          <t>Week</t>
        </is>
      </c>
      <c r="C3244" s="19" t="n">
        <v>2</v>
      </c>
      <c r="D3244" s="19" t="n">
        <v>2029</v>
      </c>
      <c r="E3244" s="57" t="n">
        <v>3</v>
      </c>
      <c r="F3244" s="29">
        <f>ROUND(((SUMIFS(Calendar!$F$2:$F$9997,Calendar!$B$2:$B$9997,D3244,Calendar!$C$2:$C$9997,C3244)*INDEX(ForeCalc!$B$37:$Y$274,MATCH(_xlfn.CONCAT(H3244," ",I3244),ForeCalc!$A$37:$A$274,0),MATCH(_xlfn.CONCAT(B3244," ",E3244),ForeCalc!$B$36:$Y$36,0))))*VLOOKUP(A3244,Calendar!$A$2:$H$9997,8,FALSE),0)</f>
        <v/>
      </c>
      <c r="G3244" s="29">
        <f>VLOOKUP(A3244,Calendar!$A$1:$H$9997,6,FALSE)-F3244</f>
        <v/>
      </c>
      <c r="H3244" s="19" t="n">
        <v>3</v>
      </c>
      <c r="I3244" s="57" t="n">
        <v>11</v>
      </c>
    </row>
    <row r="3245">
      <c r="A3245" s="62" t="n">
        <v>47164</v>
      </c>
      <c r="B3245" s="3" t="inlineStr">
        <is>
          <t>Week</t>
        </is>
      </c>
      <c r="C3245" s="19" t="n">
        <v>2</v>
      </c>
      <c r="D3245" s="19" t="n">
        <v>2029</v>
      </c>
      <c r="E3245" s="57" t="n">
        <v>3</v>
      </c>
      <c r="F3245" s="29">
        <f>ROUND(((SUMIFS(Calendar!$F$2:$F$9997,Calendar!$B$2:$B$9997,D3245,Calendar!$C$2:$C$9997,C3245)*INDEX(ForeCalc!$B$37:$Y$274,MATCH(_xlfn.CONCAT(H3245," ",I3245),ForeCalc!$A$37:$A$274,0),MATCH(_xlfn.CONCAT(B3245," ",E3245),ForeCalc!$B$36:$Y$36,0))))*VLOOKUP(A3245,Calendar!$A$2:$H$9997,8,FALSE),0)</f>
        <v/>
      </c>
      <c r="G3245" s="29">
        <f>VLOOKUP(A3245,Calendar!$A$1:$H$9997,6,FALSE)-F3245</f>
        <v/>
      </c>
      <c r="H3245" s="19" t="n">
        <v>3</v>
      </c>
      <c r="I3245" s="57" t="n">
        <v>11</v>
      </c>
    </row>
    <row r="3246">
      <c r="A3246" s="62" t="n">
        <v>47165</v>
      </c>
      <c r="B3246" s="3" t="inlineStr">
        <is>
          <t>Week</t>
        </is>
      </c>
      <c r="C3246" s="19" t="n">
        <v>2</v>
      </c>
      <c r="D3246" s="19" t="n">
        <v>2029</v>
      </c>
      <c r="E3246" s="57" t="n">
        <v>3</v>
      </c>
      <c r="F3246" s="29">
        <f>ROUND(((SUMIFS(Calendar!$F$2:$F$9997,Calendar!$B$2:$B$9997,D3246,Calendar!$C$2:$C$9997,C3246)*INDEX(ForeCalc!$B$37:$Y$274,MATCH(_xlfn.CONCAT(H3246," ",I3246),ForeCalc!$A$37:$A$274,0),MATCH(_xlfn.CONCAT(B3246," ",E3246),ForeCalc!$B$36:$Y$36,0))))*VLOOKUP(A3246,Calendar!$A$2:$H$9997,8,FALSE),0)</f>
        <v/>
      </c>
      <c r="G3246" s="29">
        <f>VLOOKUP(A3246,Calendar!$A$1:$H$9997,6,FALSE)-F3246</f>
        <v/>
      </c>
      <c r="H3246" s="19" t="n">
        <v>3</v>
      </c>
      <c r="I3246" s="57" t="n">
        <v>11</v>
      </c>
    </row>
    <row r="3247">
      <c r="A3247" s="62" t="n">
        <v>47166</v>
      </c>
      <c r="B3247" s="3" t="inlineStr">
        <is>
          <t>Sat</t>
        </is>
      </c>
      <c r="C3247" s="19" t="n">
        <v>2</v>
      </c>
      <c r="D3247" s="19" t="n">
        <v>2029</v>
      </c>
      <c r="E3247" s="57" t="n">
        <v>3</v>
      </c>
      <c r="F3247" s="29">
        <f>ROUND(((SUMIFS(Calendar!$F$2:$F$9997,Calendar!$B$2:$B$9997,D3247,Calendar!$C$2:$C$9997,C3247)*INDEX(ForeCalc!$B$37:$Y$274,MATCH(_xlfn.CONCAT(H3247," ",I3247),ForeCalc!$A$37:$A$274,0),MATCH(_xlfn.CONCAT(B3247," ",E3247),ForeCalc!$B$36:$Y$36,0))))*VLOOKUP(A3247,Calendar!$A$2:$H$9997,8,FALSE),0)</f>
        <v/>
      </c>
      <c r="G3247" s="29">
        <f>VLOOKUP(A3247,Calendar!$A$1:$H$9997,6,FALSE)-F3247</f>
        <v/>
      </c>
      <c r="H3247" s="19" t="n">
        <v>3</v>
      </c>
      <c r="I3247" s="57" t="n">
        <v>11</v>
      </c>
    </row>
    <row r="3248">
      <c r="A3248" s="62" t="n">
        <v>47167</v>
      </c>
      <c r="B3248" s="3" t="inlineStr">
        <is>
          <t>Sun</t>
        </is>
      </c>
      <c r="C3248" s="19" t="n">
        <v>2</v>
      </c>
      <c r="D3248" s="19" t="n">
        <v>2029</v>
      </c>
      <c r="E3248" s="57" t="n">
        <v>3</v>
      </c>
      <c r="F3248" s="29">
        <f>ROUND(((SUMIFS(Calendar!$F$2:$F$9997,Calendar!$B$2:$B$9997,D3248,Calendar!$C$2:$C$9997,C3248)*INDEX(ForeCalc!$B$37:$Y$274,MATCH(_xlfn.CONCAT(H3248," ",I3248),ForeCalc!$A$37:$A$274,0),MATCH(_xlfn.CONCAT(B3248," ",E3248),ForeCalc!$B$36:$Y$36,0))))*VLOOKUP(A3248,Calendar!$A$2:$H$9997,8,FALSE),0)</f>
        <v/>
      </c>
      <c r="G3248" s="29">
        <f>VLOOKUP(A3248,Calendar!$A$1:$H$9997,6,FALSE)-F3248</f>
        <v/>
      </c>
      <c r="H3248" s="19" t="n">
        <v>3</v>
      </c>
      <c r="I3248" s="57" t="n">
        <v>11</v>
      </c>
    </row>
    <row r="3249">
      <c r="A3249" s="62" t="n">
        <v>47168</v>
      </c>
      <c r="B3249" s="3" t="inlineStr">
        <is>
          <t>Week</t>
        </is>
      </c>
      <c r="C3249" s="19" t="n">
        <v>2</v>
      </c>
      <c r="D3249" s="19" t="n">
        <v>2029</v>
      </c>
      <c r="E3249" s="57" t="n">
        <v>3</v>
      </c>
      <c r="F3249" s="29">
        <f>ROUND(((SUMIFS(Calendar!$F$2:$F$9997,Calendar!$B$2:$B$9997,D3249,Calendar!$C$2:$C$9997,C3249)*INDEX(ForeCalc!$B$37:$Y$274,MATCH(_xlfn.CONCAT(H3249," ",I3249),ForeCalc!$A$37:$A$274,0),MATCH(_xlfn.CONCAT(B3249," ",E3249),ForeCalc!$B$36:$Y$36,0))))*VLOOKUP(A3249,Calendar!$A$2:$H$9997,8,FALSE),0)</f>
        <v/>
      </c>
      <c r="G3249" s="29">
        <f>VLOOKUP(A3249,Calendar!$A$1:$H$9997,6,FALSE)-F3249</f>
        <v/>
      </c>
      <c r="H3249" s="19" t="n">
        <v>3</v>
      </c>
      <c r="I3249" s="57" t="n">
        <v>11</v>
      </c>
    </row>
    <row r="3250">
      <c r="A3250" s="62" t="n">
        <v>47169</v>
      </c>
      <c r="B3250" s="3" t="inlineStr">
        <is>
          <t>Week</t>
        </is>
      </c>
      <c r="C3250" s="19" t="n">
        <v>2</v>
      </c>
      <c r="D3250" s="19" t="n">
        <v>2029</v>
      </c>
      <c r="E3250" s="57" t="n">
        <v>3</v>
      </c>
      <c r="F3250" s="29">
        <f>ROUND(((SUMIFS(Calendar!$F$2:$F$9997,Calendar!$B$2:$B$9997,D3250,Calendar!$C$2:$C$9997,C3250)*INDEX(ForeCalc!$B$37:$Y$274,MATCH(_xlfn.CONCAT(H3250," ",I3250),ForeCalc!$A$37:$A$274,0),MATCH(_xlfn.CONCAT(B3250," ",E3250),ForeCalc!$B$36:$Y$36,0))))*VLOOKUP(A3250,Calendar!$A$2:$H$9997,8,FALSE),0)</f>
        <v/>
      </c>
      <c r="G3250" s="29">
        <f>VLOOKUP(A3250,Calendar!$A$1:$H$9997,6,FALSE)-F3250</f>
        <v/>
      </c>
      <c r="H3250" s="19" t="n">
        <v>3</v>
      </c>
      <c r="I3250" s="57" t="n">
        <v>11</v>
      </c>
    </row>
    <row r="3251">
      <c r="A3251" s="62" t="n">
        <v>47170</v>
      </c>
      <c r="B3251" s="3" t="inlineStr">
        <is>
          <t>Week</t>
        </is>
      </c>
      <c r="C3251" s="19" t="n">
        <v>2</v>
      </c>
      <c r="D3251" s="19" t="n">
        <v>2029</v>
      </c>
      <c r="E3251" s="57" t="n">
        <v>3</v>
      </c>
      <c r="F3251" s="29">
        <f>ROUND(((SUMIFS(Calendar!$F$2:$F$9997,Calendar!$B$2:$B$9997,D3251,Calendar!$C$2:$C$9997,C3251)*INDEX(ForeCalc!$B$37:$Y$274,MATCH(_xlfn.CONCAT(H3251," ",I3251),ForeCalc!$A$37:$A$274,0),MATCH(_xlfn.CONCAT(B3251," ",E3251),ForeCalc!$B$36:$Y$36,0))))*VLOOKUP(A3251,Calendar!$A$2:$H$9997,8,FALSE),0)</f>
        <v/>
      </c>
      <c r="G3251" s="29">
        <f>VLOOKUP(A3251,Calendar!$A$1:$H$9997,6,FALSE)-F3251</f>
        <v/>
      </c>
      <c r="H3251" s="19" t="n">
        <v>3</v>
      </c>
      <c r="I3251" s="57" t="n">
        <v>11</v>
      </c>
    </row>
    <row r="3252">
      <c r="A3252" s="62" t="n">
        <v>47171</v>
      </c>
      <c r="B3252" s="3" t="inlineStr">
        <is>
          <t>Week</t>
        </is>
      </c>
      <c r="C3252" s="19" t="n">
        <v>2</v>
      </c>
      <c r="D3252" s="19" t="n">
        <v>2029</v>
      </c>
      <c r="E3252" s="57" t="n">
        <v>3</v>
      </c>
      <c r="F3252" s="29">
        <f>ROUND(((SUMIFS(Calendar!$F$2:$F$9997,Calendar!$B$2:$B$9997,D3252,Calendar!$C$2:$C$9997,C3252)*INDEX(ForeCalc!$B$37:$Y$274,MATCH(_xlfn.CONCAT(H3252," ",I3252),ForeCalc!$A$37:$A$274,0),MATCH(_xlfn.CONCAT(B3252," ",E3252),ForeCalc!$B$36:$Y$36,0))))*VLOOKUP(A3252,Calendar!$A$2:$H$9997,8,FALSE),0)</f>
        <v/>
      </c>
      <c r="G3252" s="29">
        <f>VLOOKUP(A3252,Calendar!$A$1:$H$9997,6,FALSE)-F3252</f>
        <v/>
      </c>
      <c r="H3252" s="19" t="n">
        <v>3</v>
      </c>
      <c r="I3252" s="57" t="n">
        <v>11</v>
      </c>
    </row>
    <row r="3253">
      <c r="A3253" s="62" t="n">
        <v>47172</v>
      </c>
      <c r="B3253" s="3" t="inlineStr">
        <is>
          <t>Week</t>
        </is>
      </c>
      <c r="C3253" s="19" t="n">
        <v>2</v>
      </c>
      <c r="D3253" s="19" t="n">
        <v>2029</v>
      </c>
      <c r="E3253" s="57" t="n">
        <v>3</v>
      </c>
      <c r="F3253" s="29">
        <f>ROUND(((SUMIFS(Calendar!$F$2:$F$9997,Calendar!$B$2:$B$9997,D3253,Calendar!$C$2:$C$9997,C3253)*INDEX(ForeCalc!$B$37:$Y$274,MATCH(_xlfn.CONCAT(H3253," ",I3253),ForeCalc!$A$37:$A$274,0),MATCH(_xlfn.CONCAT(B3253," ",E3253),ForeCalc!$B$36:$Y$36,0))))*VLOOKUP(A3253,Calendar!$A$2:$H$9997,8,FALSE),0)</f>
        <v/>
      </c>
      <c r="G3253" s="29">
        <f>VLOOKUP(A3253,Calendar!$A$1:$H$9997,6,FALSE)-F3253</f>
        <v/>
      </c>
      <c r="H3253" s="19" t="n">
        <v>3</v>
      </c>
      <c r="I3253" s="57" t="n">
        <v>11</v>
      </c>
    </row>
    <row r="3254">
      <c r="A3254" s="62" t="n">
        <v>47173</v>
      </c>
      <c r="B3254" s="3" t="inlineStr">
        <is>
          <t>Sat</t>
        </is>
      </c>
      <c r="C3254" s="19" t="n">
        <v>2</v>
      </c>
      <c r="D3254" s="19" t="n">
        <v>2029</v>
      </c>
      <c r="E3254" s="57" t="n">
        <v>3</v>
      </c>
      <c r="F3254" s="29">
        <f>ROUND(((SUMIFS(Calendar!$F$2:$F$9997,Calendar!$B$2:$B$9997,D3254,Calendar!$C$2:$C$9997,C3254)*INDEX(ForeCalc!$B$37:$Y$274,MATCH(_xlfn.CONCAT(H3254," ",I3254),ForeCalc!$A$37:$A$274,0),MATCH(_xlfn.CONCAT(B3254," ",E3254),ForeCalc!$B$36:$Y$36,0))))*VLOOKUP(A3254,Calendar!$A$2:$H$9997,8,FALSE),0)</f>
        <v/>
      </c>
      <c r="G3254" s="29">
        <f>VLOOKUP(A3254,Calendar!$A$1:$H$9997,6,FALSE)-F3254</f>
        <v/>
      </c>
      <c r="H3254" s="19" t="n">
        <v>3</v>
      </c>
      <c r="I3254" s="57" t="n">
        <v>11</v>
      </c>
    </row>
    <row r="3255">
      <c r="A3255" s="62" t="n">
        <v>47174</v>
      </c>
      <c r="B3255" s="3" t="inlineStr">
        <is>
          <t>Sun</t>
        </is>
      </c>
      <c r="C3255" s="19" t="n">
        <v>2</v>
      </c>
      <c r="D3255" s="19" t="n">
        <v>2029</v>
      </c>
      <c r="E3255" s="57" t="n">
        <v>3</v>
      </c>
      <c r="F3255" s="29">
        <f>ROUND(((SUMIFS(Calendar!$F$2:$F$9997,Calendar!$B$2:$B$9997,D3255,Calendar!$C$2:$C$9997,C3255)*INDEX(ForeCalc!$B$37:$Y$274,MATCH(_xlfn.CONCAT(H3255," ",I3255),ForeCalc!$A$37:$A$274,0),MATCH(_xlfn.CONCAT(B3255," ",E3255),ForeCalc!$B$36:$Y$36,0))))*VLOOKUP(A3255,Calendar!$A$2:$H$9997,8,FALSE),0)</f>
        <v/>
      </c>
      <c r="G3255" s="29">
        <f>VLOOKUP(A3255,Calendar!$A$1:$H$9997,6,FALSE)-F3255</f>
        <v/>
      </c>
      <c r="H3255" s="19" t="n">
        <v>3</v>
      </c>
      <c r="I3255" s="57" t="n">
        <v>11</v>
      </c>
    </row>
    <row r="3256">
      <c r="A3256" s="62" t="n">
        <v>47175</v>
      </c>
      <c r="B3256" s="3" t="inlineStr">
        <is>
          <t>Week</t>
        </is>
      </c>
      <c r="C3256" s="19" t="n">
        <v>2</v>
      </c>
      <c r="D3256" s="19" t="n">
        <v>2029</v>
      </c>
      <c r="E3256" s="57" t="n">
        <v>3</v>
      </c>
      <c r="F3256" s="29">
        <f>ROUND(((SUMIFS(Calendar!$F$2:$F$9997,Calendar!$B$2:$B$9997,D3256,Calendar!$C$2:$C$9997,C3256)*INDEX(ForeCalc!$B$37:$Y$274,MATCH(_xlfn.CONCAT(H3256," ",I3256),ForeCalc!$A$37:$A$274,0),MATCH(_xlfn.CONCAT(B3256," ",E3256),ForeCalc!$B$36:$Y$36,0))))*VLOOKUP(A3256,Calendar!$A$2:$H$9997,8,FALSE),0)</f>
        <v/>
      </c>
      <c r="G3256" s="29">
        <f>VLOOKUP(A3256,Calendar!$A$1:$H$9997,6,FALSE)-F3256</f>
        <v/>
      </c>
      <c r="H3256" s="19" t="n">
        <v>3</v>
      </c>
      <c r="I3256" s="57" t="n">
        <v>11</v>
      </c>
    </row>
    <row r="3257">
      <c r="A3257" s="62" t="n">
        <v>47176</v>
      </c>
      <c r="B3257" s="3" t="inlineStr">
        <is>
          <t>Week</t>
        </is>
      </c>
      <c r="C3257" s="19" t="n">
        <v>2</v>
      </c>
      <c r="D3257" s="19" t="n">
        <v>2029</v>
      </c>
      <c r="E3257" s="57" t="n">
        <v>3</v>
      </c>
      <c r="F3257" s="29">
        <f>ROUND(((SUMIFS(Calendar!$F$2:$F$9997,Calendar!$B$2:$B$9997,D3257,Calendar!$C$2:$C$9997,C3257)*INDEX(ForeCalc!$B$37:$Y$274,MATCH(_xlfn.CONCAT(H3257," ",I3257),ForeCalc!$A$37:$A$274,0),MATCH(_xlfn.CONCAT(B3257," ",E3257),ForeCalc!$B$36:$Y$36,0))))*VLOOKUP(A3257,Calendar!$A$2:$H$9997,8,FALSE),0)</f>
        <v/>
      </c>
      <c r="G3257" s="29">
        <f>VLOOKUP(A3257,Calendar!$A$1:$H$9997,6,FALSE)-F3257</f>
        <v/>
      </c>
      <c r="H3257" s="19" t="n">
        <v>3</v>
      </c>
      <c r="I3257" s="57" t="n">
        <v>11</v>
      </c>
    </row>
    <row r="3258">
      <c r="A3258" s="62" t="n">
        <v>47177</v>
      </c>
      <c r="B3258" s="3" t="inlineStr">
        <is>
          <t>Week</t>
        </is>
      </c>
      <c r="C3258" s="19" t="n">
        <v>2</v>
      </c>
      <c r="D3258" s="19" t="n">
        <v>2029</v>
      </c>
      <c r="E3258" s="57" t="n">
        <v>3</v>
      </c>
      <c r="F3258" s="29">
        <f>ROUND(((SUMIFS(Calendar!$F$2:$F$9997,Calendar!$B$2:$B$9997,D3258,Calendar!$C$2:$C$9997,C3258)*INDEX(ForeCalc!$B$37:$Y$274,MATCH(_xlfn.CONCAT(H3258," ",I3258),ForeCalc!$A$37:$A$274,0),MATCH(_xlfn.CONCAT(B3258," ",E3258),ForeCalc!$B$36:$Y$36,0))))*VLOOKUP(A3258,Calendar!$A$2:$H$9997,8,FALSE),0)</f>
        <v/>
      </c>
      <c r="G3258" s="29">
        <f>VLOOKUP(A3258,Calendar!$A$1:$H$9997,6,FALSE)-F3258</f>
        <v/>
      </c>
      <c r="H3258" s="19" t="n">
        <v>3</v>
      </c>
      <c r="I3258" s="57" t="n">
        <v>11</v>
      </c>
    </row>
    <row r="3259">
      <c r="A3259" s="62" t="n">
        <v>47178</v>
      </c>
      <c r="B3259" s="3" t="inlineStr">
        <is>
          <t>Week</t>
        </is>
      </c>
      <c r="C3259" s="19" t="n">
        <v>3</v>
      </c>
      <c r="D3259" s="19" t="n">
        <v>2029</v>
      </c>
      <c r="E3259" s="57" t="n">
        <v>3</v>
      </c>
      <c r="F3259" s="29">
        <f>ROUND(((SUMIFS(Calendar!$F$2:$F$9997,Calendar!$B$2:$B$9997,D3259,Calendar!$C$2:$C$9997,C3259)*INDEX(ForeCalc!$B$37:$Y$274,MATCH(_xlfn.CONCAT(H3259," ",I3259),ForeCalc!$A$37:$A$274,0),MATCH(_xlfn.CONCAT(B3259," ",E3259),ForeCalc!$B$36:$Y$36,0))))*VLOOKUP(A3259,Calendar!$A$2:$H$9997,8,FALSE),0)</f>
        <v/>
      </c>
      <c r="G3259" s="29">
        <f>VLOOKUP(A3259,Calendar!$A$1:$H$9997,6,FALSE)-F3259</f>
        <v/>
      </c>
      <c r="H3259" s="19" t="n">
        <v>3</v>
      </c>
      <c r="I3259" s="57" t="n">
        <v>12</v>
      </c>
    </row>
    <row r="3260">
      <c r="A3260" s="62" t="n">
        <v>47179</v>
      </c>
      <c r="B3260" s="3" t="inlineStr">
        <is>
          <t>Week</t>
        </is>
      </c>
      <c r="C3260" s="19" t="n">
        <v>3</v>
      </c>
      <c r="D3260" s="19" t="n">
        <v>2029</v>
      </c>
      <c r="E3260" s="57" t="n">
        <v>3</v>
      </c>
      <c r="F3260" s="29">
        <f>ROUND(((SUMIFS(Calendar!$F$2:$F$9997,Calendar!$B$2:$B$9997,D3260,Calendar!$C$2:$C$9997,C3260)*INDEX(ForeCalc!$B$37:$Y$274,MATCH(_xlfn.CONCAT(H3260," ",I3260),ForeCalc!$A$37:$A$274,0),MATCH(_xlfn.CONCAT(B3260," ",E3260),ForeCalc!$B$36:$Y$36,0))))*VLOOKUP(A3260,Calendar!$A$2:$H$9997,8,FALSE),0)</f>
        <v/>
      </c>
      <c r="G3260" s="29">
        <f>VLOOKUP(A3260,Calendar!$A$1:$H$9997,6,FALSE)-F3260</f>
        <v/>
      </c>
      <c r="H3260" s="19" t="n">
        <v>3</v>
      </c>
      <c r="I3260" s="57" t="n">
        <v>12</v>
      </c>
    </row>
    <row r="3261">
      <c r="A3261" s="62" t="n">
        <v>47180</v>
      </c>
      <c r="B3261" s="3" t="inlineStr">
        <is>
          <t>Sat</t>
        </is>
      </c>
      <c r="C3261" s="19" t="n">
        <v>3</v>
      </c>
      <c r="D3261" s="19" t="n">
        <v>2029</v>
      </c>
      <c r="E3261" s="57" t="n">
        <v>3</v>
      </c>
      <c r="F3261" s="29">
        <f>ROUND(((SUMIFS(Calendar!$F$2:$F$9997,Calendar!$B$2:$B$9997,D3261,Calendar!$C$2:$C$9997,C3261)*INDEX(ForeCalc!$B$37:$Y$274,MATCH(_xlfn.CONCAT(H3261," ",I3261),ForeCalc!$A$37:$A$274,0),MATCH(_xlfn.CONCAT(B3261," ",E3261),ForeCalc!$B$36:$Y$36,0))))*VLOOKUP(A3261,Calendar!$A$2:$H$9997,8,FALSE),0)</f>
        <v/>
      </c>
      <c r="G3261" s="29">
        <f>VLOOKUP(A3261,Calendar!$A$1:$H$9997,6,FALSE)-F3261</f>
        <v/>
      </c>
      <c r="H3261" s="19" t="n">
        <v>3</v>
      </c>
      <c r="I3261" s="57" t="n">
        <v>12</v>
      </c>
    </row>
    <row r="3262">
      <c r="A3262" s="62" t="n">
        <v>47181</v>
      </c>
      <c r="B3262" s="3" t="inlineStr">
        <is>
          <t>Sun</t>
        </is>
      </c>
      <c r="C3262" s="19" t="n">
        <v>3</v>
      </c>
      <c r="D3262" s="19" t="n">
        <v>2029</v>
      </c>
      <c r="E3262" s="57" t="n">
        <v>3</v>
      </c>
      <c r="F3262" s="29">
        <f>ROUND(((SUMIFS(Calendar!$F$2:$F$9997,Calendar!$B$2:$B$9997,D3262,Calendar!$C$2:$C$9997,C3262)*INDEX(ForeCalc!$B$37:$Y$274,MATCH(_xlfn.CONCAT(H3262," ",I3262),ForeCalc!$A$37:$A$274,0),MATCH(_xlfn.CONCAT(B3262," ",E3262),ForeCalc!$B$36:$Y$36,0))))*VLOOKUP(A3262,Calendar!$A$2:$H$9997,8,FALSE),0)</f>
        <v/>
      </c>
      <c r="G3262" s="29">
        <f>VLOOKUP(A3262,Calendar!$A$1:$H$9997,6,FALSE)-F3262</f>
        <v/>
      </c>
      <c r="H3262" s="19" t="n">
        <v>3</v>
      </c>
      <c r="I3262" s="57" t="n">
        <v>12</v>
      </c>
    </row>
    <row r="3263">
      <c r="A3263" s="62" t="n">
        <v>47182</v>
      </c>
      <c r="B3263" s="3" t="inlineStr">
        <is>
          <t>Week</t>
        </is>
      </c>
      <c r="C3263" s="19" t="n">
        <v>3</v>
      </c>
      <c r="D3263" s="19" t="n">
        <v>2029</v>
      </c>
      <c r="E3263" s="57" t="n">
        <v>3</v>
      </c>
      <c r="F3263" s="29">
        <f>ROUND(((SUMIFS(Calendar!$F$2:$F$9997,Calendar!$B$2:$B$9997,D3263,Calendar!$C$2:$C$9997,C3263)*INDEX(ForeCalc!$B$37:$Y$274,MATCH(_xlfn.CONCAT(H3263," ",I3263),ForeCalc!$A$37:$A$274,0),MATCH(_xlfn.CONCAT(B3263," ",E3263),ForeCalc!$B$36:$Y$36,0))))*VLOOKUP(A3263,Calendar!$A$2:$H$9997,8,FALSE),0)</f>
        <v/>
      </c>
      <c r="G3263" s="29">
        <f>VLOOKUP(A3263,Calendar!$A$1:$H$9997,6,FALSE)-F3263</f>
        <v/>
      </c>
      <c r="H3263" s="19" t="n">
        <v>3</v>
      </c>
      <c r="I3263" s="57" t="n">
        <v>12</v>
      </c>
    </row>
    <row r="3264">
      <c r="A3264" s="62" t="n">
        <v>47183</v>
      </c>
      <c r="B3264" s="3" t="inlineStr">
        <is>
          <t>Week</t>
        </is>
      </c>
      <c r="C3264" s="19" t="n">
        <v>3</v>
      </c>
      <c r="D3264" s="19" t="n">
        <v>2029</v>
      </c>
      <c r="E3264" s="57" t="n">
        <v>3</v>
      </c>
      <c r="F3264" s="29">
        <f>ROUND(((SUMIFS(Calendar!$F$2:$F$9997,Calendar!$B$2:$B$9997,D3264,Calendar!$C$2:$C$9997,C3264)*INDEX(ForeCalc!$B$37:$Y$274,MATCH(_xlfn.CONCAT(H3264," ",I3264),ForeCalc!$A$37:$A$274,0),MATCH(_xlfn.CONCAT(B3264," ",E3264),ForeCalc!$B$36:$Y$36,0))))*VLOOKUP(A3264,Calendar!$A$2:$H$9997,8,FALSE),0)</f>
        <v/>
      </c>
      <c r="G3264" s="29">
        <f>VLOOKUP(A3264,Calendar!$A$1:$H$9997,6,FALSE)-F3264</f>
        <v/>
      </c>
      <c r="H3264" s="19" t="n">
        <v>3</v>
      </c>
      <c r="I3264" s="57" t="n">
        <v>12</v>
      </c>
    </row>
    <row r="3265">
      <c r="A3265" s="62" t="n">
        <v>47184</v>
      </c>
      <c r="B3265" s="3" t="inlineStr">
        <is>
          <t>Week</t>
        </is>
      </c>
      <c r="C3265" s="19" t="n">
        <v>3</v>
      </c>
      <c r="D3265" s="19" t="n">
        <v>2029</v>
      </c>
      <c r="E3265" s="57" t="n">
        <v>3</v>
      </c>
      <c r="F3265" s="29">
        <f>ROUND(((SUMIFS(Calendar!$F$2:$F$9997,Calendar!$B$2:$B$9997,D3265,Calendar!$C$2:$C$9997,C3265)*INDEX(ForeCalc!$B$37:$Y$274,MATCH(_xlfn.CONCAT(H3265," ",I3265),ForeCalc!$A$37:$A$274,0),MATCH(_xlfn.CONCAT(B3265," ",E3265),ForeCalc!$B$36:$Y$36,0))))*VLOOKUP(A3265,Calendar!$A$2:$H$9997,8,FALSE),0)</f>
        <v/>
      </c>
      <c r="G3265" s="29">
        <f>VLOOKUP(A3265,Calendar!$A$1:$H$9997,6,FALSE)-F3265</f>
        <v/>
      </c>
      <c r="H3265" s="19" t="n">
        <v>3</v>
      </c>
      <c r="I3265" s="57" t="n">
        <v>12</v>
      </c>
    </row>
    <row r="3266">
      <c r="A3266" s="62" t="n">
        <v>47185</v>
      </c>
      <c r="B3266" s="3" t="inlineStr">
        <is>
          <t>Week</t>
        </is>
      </c>
      <c r="C3266" s="19" t="n">
        <v>3</v>
      </c>
      <c r="D3266" s="19" t="n">
        <v>2029</v>
      </c>
      <c r="E3266" s="57" t="n">
        <v>3</v>
      </c>
      <c r="F3266" s="29">
        <f>ROUND(((SUMIFS(Calendar!$F$2:$F$9997,Calendar!$B$2:$B$9997,D3266,Calendar!$C$2:$C$9997,C3266)*INDEX(ForeCalc!$B$37:$Y$274,MATCH(_xlfn.CONCAT(H3266," ",I3266),ForeCalc!$A$37:$A$274,0),MATCH(_xlfn.CONCAT(B3266," ",E3266),ForeCalc!$B$36:$Y$36,0))))*VLOOKUP(A3266,Calendar!$A$2:$H$9997,8,FALSE),0)</f>
        <v/>
      </c>
      <c r="G3266" s="29">
        <f>VLOOKUP(A3266,Calendar!$A$1:$H$9997,6,FALSE)-F3266</f>
        <v/>
      </c>
      <c r="H3266" s="19" t="n">
        <v>3</v>
      </c>
      <c r="I3266" s="57" t="n">
        <v>12</v>
      </c>
    </row>
    <row r="3267">
      <c r="A3267" s="62" t="n">
        <v>47186</v>
      </c>
      <c r="B3267" s="3" t="inlineStr">
        <is>
          <t>Week</t>
        </is>
      </c>
      <c r="C3267" s="19" t="n">
        <v>3</v>
      </c>
      <c r="D3267" s="19" t="n">
        <v>2029</v>
      </c>
      <c r="E3267" s="57" t="n">
        <v>3</v>
      </c>
      <c r="F3267" s="29">
        <f>ROUND(((SUMIFS(Calendar!$F$2:$F$9997,Calendar!$B$2:$B$9997,D3267,Calendar!$C$2:$C$9997,C3267)*INDEX(ForeCalc!$B$37:$Y$274,MATCH(_xlfn.CONCAT(H3267," ",I3267),ForeCalc!$A$37:$A$274,0),MATCH(_xlfn.CONCAT(B3267," ",E3267),ForeCalc!$B$36:$Y$36,0))))*VLOOKUP(A3267,Calendar!$A$2:$H$9997,8,FALSE),0)</f>
        <v/>
      </c>
      <c r="G3267" s="29">
        <f>VLOOKUP(A3267,Calendar!$A$1:$H$9997,6,FALSE)-F3267</f>
        <v/>
      </c>
      <c r="H3267" s="19" t="n">
        <v>3</v>
      </c>
      <c r="I3267" s="57" t="n">
        <v>12</v>
      </c>
    </row>
    <row r="3268">
      <c r="A3268" s="62" t="n">
        <v>47187</v>
      </c>
      <c r="B3268" s="3" t="inlineStr">
        <is>
          <t>Sat</t>
        </is>
      </c>
      <c r="C3268" s="19" t="n">
        <v>3</v>
      </c>
      <c r="D3268" s="19" t="n">
        <v>2029</v>
      </c>
      <c r="E3268" s="57" t="n">
        <v>3</v>
      </c>
      <c r="F3268" s="29">
        <f>ROUND(((SUMIFS(Calendar!$F$2:$F$9997,Calendar!$B$2:$B$9997,D3268,Calendar!$C$2:$C$9997,C3268)*INDEX(ForeCalc!$B$37:$Y$274,MATCH(_xlfn.CONCAT(H3268," ",I3268),ForeCalc!$A$37:$A$274,0),MATCH(_xlfn.CONCAT(B3268," ",E3268),ForeCalc!$B$36:$Y$36,0))))*VLOOKUP(A3268,Calendar!$A$2:$H$9997,8,FALSE),0)</f>
        <v/>
      </c>
      <c r="G3268" s="29">
        <f>VLOOKUP(A3268,Calendar!$A$1:$H$9997,6,FALSE)-F3268</f>
        <v/>
      </c>
      <c r="H3268" s="19" t="n">
        <v>3</v>
      </c>
      <c r="I3268" s="57" t="n">
        <v>12</v>
      </c>
    </row>
    <row r="3269">
      <c r="A3269" s="62" t="n">
        <v>47188</v>
      </c>
      <c r="B3269" s="3" t="inlineStr">
        <is>
          <t>Sun</t>
        </is>
      </c>
      <c r="C3269" s="19" t="n">
        <v>3</v>
      </c>
      <c r="D3269" s="19" t="n">
        <v>2029</v>
      </c>
      <c r="E3269" s="57" t="n">
        <v>3</v>
      </c>
      <c r="F3269" s="29">
        <f>ROUND(((SUMIFS(Calendar!$F$2:$F$9997,Calendar!$B$2:$B$9997,D3269,Calendar!$C$2:$C$9997,C3269)*INDEX(ForeCalc!$B$37:$Y$274,MATCH(_xlfn.CONCAT(H3269," ",I3269),ForeCalc!$A$37:$A$274,0),MATCH(_xlfn.CONCAT(B3269," ",E3269),ForeCalc!$B$36:$Y$36,0))))*VLOOKUP(A3269,Calendar!$A$2:$H$9997,8,FALSE),0)</f>
        <v/>
      </c>
      <c r="G3269" s="29">
        <f>VLOOKUP(A3269,Calendar!$A$1:$H$9997,6,FALSE)-F3269</f>
        <v/>
      </c>
      <c r="H3269" s="19" t="n">
        <v>3</v>
      </c>
      <c r="I3269" s="57" t="n">
        <v>12</v>
      </c>
    </row>
    <row r="3270">
      <c r="A3270" s="62" t="n">
        <v>47189</v>
      </c>
      <c r="B3270" s="3" t="inlineStr">
        <is>
          <t>Week</t>
        </is>
      </c>
      <c r="C3270" s="19" t="n">
        <v>3</v>
      </c>
      <c r="D3270" s="19" t="n">
        <v>2029</v>
      </c>
      <c r="E3270" s="57" t="n">
        <v>3</v>
      </c>
      <c r="F3270" s="29">
        <f>ROUND(((SUMIFS(Calendar!$F$2:$F$9997,Calendar!$B$2:$B$9997,D3270,Calendar!$C$2:$C$9997,C3270)*INDEX(ForeCalc!$B$37:$Y$274,MATCH(_xlfn.CONCAT(H3270," ",I3270),ForeCalc!$A$37:$A$274,0),MATCH(_xlfn.CONCAT(B3270," ",E3270),ForeCalc!$B$36:$Y$36,0))))*VLOOKUP(A3270,Calendar!$A$2:$H$9997,8,FALSE),0)</f>
        <v/>
      </c>
      <c r="G3270" s="29">
        <f>VLOOKUP(A3270,Calendar!$A$1:$H$9997,6,FALSE)-F3270</f>
        <v/>
      </c>
      <c r="H3270" s="19" t="n">
        <v>3</v>
      </c>
      <c r="I3270" s="57" t="n">
        <v>12</v>
      </c>
    </row>
    <row r="3271">
      <c r="A3271" s="62" t="n">
        <v>47190</v>
      </c>
      <c r="B3271" s="3" t="inlineStr">
        <is>
          <t>Week</t>
        </is>
      </c>
      <c r="C3271" s="19" t="n">
        <v>3</v>
      </c>
      <c r="D3271" s="19" t="n">
        <v>2029</v>
      </c>
      <c r="E3271" s="57" t="n">
        <v>3</v>
      </c>
      <c r="F3271" s="29">
        <f>ROUND(((SUMIFS(Calendar!$F$2:$F$9997,Calendar!$B$2:$B$9997,D3271,Calendar!$C$2:$C$9997,C3271)*INDEX(ForeCalc!$B$37:$Y$274,MATCH(_xlfn.CONCAT(H3271," ",I3271),ForeCalc!$A$37:$A$274,0),MATCH(_xlfn.CONCAT(B3271," ",E3271),ForeCalc!$B$36:$Y$36,0))))*VLOOKUP(A3271,Calendar!$A$2:$H$9997,8,FALSE),0)</f>
        <v/>
      </c>
      <c r="G3271" s="29">
        <f>VLOOKUP(A3271,Calendar!$A$1:$H$9997,6,FALSE)-F3271</f>
        <v/>
      </c>
      <c r="H3271" s="19" t="n">
        <v>3</v>
      </c>
      <c r="I3271" s="57" t="n">
        <v>12</v>
      </c>
    </row>
    <row r="3272">
      <c r="A3272" s="62" t="n">
        <v>47191</v>
      </c>
      <c r="B3272" s="3" t="inlineStr">
        <is>
          <t>Week</t>
        </is>
      </c>
      <c r="C3272" s="19" t="n">
        <v>3</v>
      </c>
      <c r="D3272" s="19" t="n">
        <v>2029</v>
      </c>
      <c r="E3272" s="57" t="n">
        <v>3</v>
      </c>
      <c r="F3272" s="29">
        <f>ROUND(((SUMIFS(Calendar!$F$2:$F$9997,Calendar!$B$2:$B$9997,D3272,Calendar!$C$2:$C$9997,C3272)*INDEX(ForeCalc!$B$37:$Y$274,MATCH(_xlfn.CONCAT(H3272," ",I3272),ForeCalc!$A$37:$A$274,0),MATCH(_xlfn.CONCAT(B3272," ",E3272),ForeCalc!$B$36:$Y$36,0))))*VLOOKUP(A3272,Calendar!$A$2:$H$9997,8,FALSE),0)</f>
        <v/>
      </c>
      <c r="G3272" s="29">
        <f>VLOOKUP(A3272,Calendar!$A$1:$H$9997,6,FALSE)-F3272</f>
        <v/>
      </c>
      <c r="H3272" s="19" t="n">
        <v>3</v>
      </c>
      <c r="I3272" s="57" t="n">
        <v>12</v>
      </c>
    </row>
    <row r="3273">
      <c r="A3273" s="62" t="n">
        <v>47192</v>
      </c>
      <c r="B3273" s="3" t="inlineStr">
        <is>
          <t>Week</t>
        </is>
      </c>
      <c r="C3273" s="19" t="n">
        <v>3</v>
      </c>
      <c r="D3273" s="19" t="n">
        <v>2029</v>
      </c>
      <c r="E3273" s="57" t="n">
        <v>3</v>
      </c>
      <c r="F3273" s="29">
        <f>ROUND(((SUMIFS(Calendar!$F$2:$F$9997,Calendar!$B$2:$B$9997,D3273,Calendar!$C$2:$C$9997,C3273)*INDEX(ForeCalc!$B$37:$Y$274,MATCH(_xlfn.CONCAT(H3273," ",I3273),ForeCalc!$A$37:$A$274,0),MATCH(_xlfn.CONCAT(B3273," ",E3273),ForeCalc!$B$36:$Y$36,0))))*VLOOKUP(A3273,Calendar!$A$2:$H$9997,8,FALSE),0)</f>
        <v/>
      </c>
      <c r="G3273" s="29">
        <f>VLOOKUP(A3273,Calendar!$A$1:$H$9997,6,FALSE)-F3273</f>
        <v/>
      </c>
      <c r="H3273" s="19" t="n">
        <v>3</v>
      </c>
      <c r="I3273" s="57" t="n">
        <v>12</v>
      </c>
    </row>
    <row r="3274">
      <c r="A3274" s="62" t="n">
        <v>47193</v>
      </c>
      <c r="B3274" s="3" t="inlineStr">
        <is>
          <t>Week</t>
        </is>
      </c>
      <c r="C3274" s="19" t="n">
        <v>3</v>
      </c>
      <c r="D3274" s="19" t="n">
        <v>2029</v>
      </c>
      <c r="E3274" s="57" t="n">
        <v>3</v>
      </c>
      <c r="F3274" s="29">
        <f>ROUND(((SUMIFS(Calendar!$F$2:$F$9997,Calendar!$B$2:$B$9997,D3274,Calendar!$C$2:$C$9997,C3274)*INDEX(ForeCalc!$B$37:$Y$274,MATCH(_xlfn.CONCAT(H3274," ",I3274),ForeCalc!$A$37:$A$274,0),MATCH(_xlfn.CONCAT(B3274," ",E3274),ForeCalc!$B$36:$Y$36,0))))*VLOOKUP(A3274,Calendar!$A$2:$H$9997,8,FALSE),0)</f>
        <v/>
      </c>
      <c r="G3274" s="29">
        <f>VLOOKUP(A3274,Calendar!$A$1:$H$9997,6,FALSE)-F3274</f>
        <v/>
      </c>
      <c r="H3274" s="19" t="n">
        <v>3</v>
      </c>
      <c r="I3274" s="57" t="n">
        <v>12</v>
      </c>
    </row>
    <row r="3275">
      <c r="A3275" s="62" t="n">
        <v>47194</v>
      </c>
      <c r="B3275" s="3" t="inlineStr">
        <is>
          <t>Sat</t>
        </is>
      </c>
      <c r="C3275" s="19" t="n">
        <v>3</v>
      </c>
      <c r="D3275" s="19" t="n">
        <v>2029</v>
      </c>
      <c r="E3275" s="57" t="n">
        <v>3</v>
      </c>
      <c r="F3275" s="29">
        <f>ROUND(((SUMIFS(Calendar!$F$2:$F$9997,Calendar!$B$2:$B$9997,D3275,Calendar!$C$2:$C$9997,C3275)*INDEX(ForeCalc!$B$37:$Y$274,MATCH(_xlfn.CONCAT(H3275," ",I3275),ForeCalc!$A$37:$A$274,0),MATCH(_xlfn.CONCAT(B3275," ",E3275),ForeCalc!$B$36:$Y$36,0))))*VLOOKUP(A3275,Calendar!$A$2:$H$9997,8,FALSE),0)</f>
        <v/>
      </c>
      <c r="G3275" s="29">
        <f>VLOOKUP(A3275,Calendar!$A$1:$H$9997,6,FALSE)-F3275</f>
        <v/>
      </c>
      <c r="H3275" s="19" t="n">
        <v>3</v>
      </c>
      <c r="I3275" s="57" t="n">
        <v>12</v>
      </c>
    </row>
    <row r="3276">
      <c r="A3276" s="62" t="n">
        <v>47195</v>
      </c>
      <c r="B3276" s="3" t="inlineStr">
        <is>
          <t>Sun</t>
        </is>
      </c>
      <c r="C3276" s="19" t="n">
        <v>3</v>
      </c>
      <c r="D3276" s="19" t="n">
        <v>2029</v>
      </c>
      <c r="E3276" s="57" t="n">
        <v>3</v>
      </c>
      <c r="F3276" s="29">
        <f>ROUND(((SUMIFS(Calendar!$F$2:$F$9997,Calendar!$B$2:$B$9997,D3276,Calendar!$C$2:$C$9997,C3276)*INDEX(ForeCalc!$B$37:$Y$274,MATCH(_xlfn.CONCAT(H3276," ",I3276),ForeCalc!$A$37:$A$274,0),MATCH(_xlfn.CONCAT(B3276," ",E3276),ForeCalc!$B$36:$Y$36,0))))*VLOOKUP(A3276,Calendar!$A$2:$H$9997,8,FALSE),0)</f>
        <v/>
      </c>
      <c r="G3276" s="29">
        <f>VLOOKUP(A3276,Calendar!$A$1:$H$9997,6,FALSE)-F3276</f>
        <v/>
      </c>
      <c r="H3276" s="19" t="n">
        <v>3</v>
      </c>
      <c r="I3276" s="57" t="n">
        <v>12</v>
      </c>
    </row>
    <row r="3277">
      <c r="A3277" s="62" t="n">
        <v>47196</v>
      </c>
      <c r="B3277" s="3" t="inlineStr">
        <is>
          <t>Week</t>
        </is>
      </c>
      <c r="C3277" s="19" t="n">
        <v>3</v>
      </c>
      <c r="D3277" s="19" t="n">
        <v>2029</v>
      </c>
      <c r="E3277" s="57" t="n">
        <v>3</v>
      </c>
      <c r="F3277" s="29">
        <f>ROUND(((SUMIFS(Calendar!$F$2:$F$9997,Calendar!$B$2:$B$9997,D3277,Calendar!$C$2:$C$9997,C3277)*INDEX(ForeCalc!$B$37:$Y$274,MATCH(_xlfn.CONCAT(H3277," ",I3277),ForeCalc!$A$37:$A$274,0),MATCH(_xlfn.CONCAT(B3277," ",E3277),ForeCalc!$B$36:$Y$36,0))))*VLOOKUP(A3277,Calendar!$A$2:$H$9997,8,FALSE),0)</f>
        <v/>
      </c>
      <c r="G3277" s="29">
        <f>VLOOKUP(A3277,Calendar!$A$1:$H$9997,6,FALSE)-F3277</f>
        <v/>
      </c>
      <c r="H3277" s="19" t="n">
        <v>3</v>
      </c>
      <c r="I3277" s="57" t="n">
        <v>12</v>
      </c>
    </row>
    <row r="3278">
      <c r="A3278" s="62" t="n">
        <v>47197</v>
      </c>
      <c r="B3278" s="3" t="inlineStr">
        <is>
          <t>Week</t>
        </is>
      </c>
      <c r="C3278" s="19" t="n">
        <v>3</v>
      </c>
      <c r="D3278" s="19" t="n">
        <v>2029</v>
      </c>
      <c r="E3278" s="57" t="n">
        <v>3</v>
      </c>
      <c r="F3278" s="29">
        <f>ROUND(((SUMIFS(Calendar!$F$2:$F$9997,Calendar!$B$2:$B$9997,D3278,Calendar!$C$2:$C$9997,C3278)*INDEX(ForeCalc!$B$37:$Y$274,MATCH(_xlfn.CONCAT(H3278," ",I3278),ForeCalc!$A$37:$A$274,0),MATCH(_xlfn.CONCAT(B3278," ",E3278),ForeCalc!$B$36:$Y$36,0))))*VLOOKUP(A3278,Calendar!$A$2:$H$9997,8,FALSE),0)</f>
        <v/>
      </c>
      <c r="G3278" s="29">
        <f>VLOOKUP(A3278,Calendar!$A$1:$H$9997,6,FALSE)-F3278</f>
        <v/>
      </c>
      <c r="H3278" s="19" t="n">
        <v>3</v>
      </c>
      <c r="I3278" s="57" t="n">
        <v>12</v>
      </c>
    </row>
    <row r="3279">
      <c r="A3279" s="62" t="n">
        <v>47198</v>
      </c>
      <c r="B3279" s="3" t="inlineStr">
        <is>
          <t>Week</t>
        </is>
      </c>
      <c r="C3279" s="19" t="n">
        <v>3</v>
      </c>
      <c r="D3279" s="19" t="n">
        <v>2029</v>
      </c>
      <c r="E3279" s="57" t="n">
        <v>3</v>
      </c>
      <c r="F3279" s="29">
        <f>ROUND(((SUMIFS(Calendar!$F$2:$F$9997,Calendar!$B$2:$B$9997,D3279,Calendar!$C$2:$C$9997,C3279)*INDEX(ForeCalc!$B$37:$Y$274,MATCH(_xlfn.CONCAT(H3279," ",I3279),ForeCalc!$A$37:$A$274,0),MATCH(_xlfn.CONCAT(B3279," ",E3279),ForeCalc!$B$36:$Y$36,0))))*VLOOKUP(A3279,Calendar!$A$2:$H$9997,8,FALSE),0)</f>
        <v/>
      </c>
      <c r="G3279" s="29">
        <f>VLOOKUP(A3279,Calendar!$A$1:$H$9997,6,FALSE)-F3279</f>
        <v/>
      </c>
      <c r="H3279" s="19" t="n">
        <v>3</v>
      </c>
      <c r="I3279" s="57" t="n">
        <v>12</v>
      </c>
    </row>
    <row r="3280">
      <c r="A3280" s="62" t="n">
        <v>47199</v>
      </c>
      <c r="B3280" s="3" t="inlineStr">
        <is>
          <t>Week</t>
        </is>
      </c>
      <c r="C3280" s="19" t="n">
        <v>3</v>
      </c>
      <c r="D3280" s="19" t="n">
        <v>2029</v>
      </c>
      <c r="E3280" s="57" t="n">
        <v>3</v>
      </c>
      <c r="F3280" s="29">
        <f>ROUND(((SUMIFS(Calendar!$F$2:$F$9997,Calendar!$B$2:$B$9997,D3280,Calendar!$C$2:$C$9997,C3280)*INDEX(ForeCalc!$B$37:$Y$274,MATCH(_xlfn.CONCAT(H3280," ",I3280),ForeCalc!$A$37:$A$274,0),MATCH(_xlfn.CONCAT(B3280," ",E3280),ForeCalc!$B$36:$Y$36,0))))*VLOOKUP(A3280,Calendar!$A$2:$H$9997,8,FALSE),0)</f>
        <v/>
      </c>
      <c r="G3280" s="29">
        <f>VLOOKUP(A3280,Calendar!$A$1:$H$9997,6,FALSE)-F3280</f>
        <v/>
      </c>
      <c r="H3280" s="19" t="n">
        <v>3</v>
      </c>
      <c r="I3280" s="57" t="n">
        <v>12</v>
      </c>
    </row>
    <row r="3281">
      <c r="A3281" s="62" t="n">
        <v>47200</v>
      </c>
      <c r="B3281" s="3" t="inlineStr">
        <is>
          <t>Week</t>
        </is>
      </c>
      <c r="C3281" s="19" t="n">
        <v>3</v>
      </c>
      <c r="D3281" s="19" t="n">
        <v>2029</v>
      </c>
      <c r="E3281" s="57" t="n">
        <v>3</v>
      </c>
      <c r="F3281" s="29">
        <f>ROUND(((SUMIFS(Calendar!$F$2:$F$9997,Calendar!$B$2:$B$9997,D3281,Calendar!$C$2:$C$9997,C3281)*INDEX(ForeCalc!$B$37:$Y$274,MATCH(_xlfn.CONCAT(H3281," ",I3281),ForeCalc!$A$37:$A$274,0),MATCH(_xlfn.CONCAT(B3281," ",E3281),ForeCalc!$B$36:$Y$36,0))))*VLOOKUP(A3281,Calendar!$A$2:$H$9997,8,FALSE),0)</f>
        <v/>
      </c>
      <c r="G3281" s="29">
        <f>VLOOKUP(A3281,Calendar!$A$1:$H$9997,6,FALSE)-F3281</f>
        <v/>
      </c>
      <c r="H3281" s="19" t="n">
        <v>3</v>
      </c>
      <c r="I3281" s="57" t="n">
        <v>12</v>
      </c>
    </row>
    <row r="3282">
      <c r="A3282" s="62" t="n">
        <v>47201</v>
      </c>
      <c r="B3282" s="3" t="inlineStr">
        <is>
          <t>Sat</t>
        </is>
      </c>
      <c r="C3282" s="19" t="n">
        <v>3</v>
      </c>
      <c r="D3282" s="19" t="n">
        <v>2029</v>
      </c>
      <c r="E3282" s="57" t="n">
        <v>3</v>
      </c>
      <c r="F3282" s="29">
        <f>ROUND(((SUMIFS(Calendar!$F$2:$F$9997,Calendar!$B$2:$B$9997,D3282,Calendar!$C$2:$C$9997,C3282)*INDEX(ForeCalc!$B$37:$Y$274,MATCH(_xlfn.CONCAT(H3282," ",I3282),ForeCalc!$A$37:$A$274,0),MATCH(_xlfn.CONCAT(B3282," ",E3282),ForeCalc!$B$36:$Y$36,0))))*VLOOKUP(A3282,Calendar!$A$2:$H$9997,8,FALSE),0)</f>
        <v/>
      </c>
      <c r="G3282" s="29">
        <f>VLOOKUP(A3282,Calendar!$A$1:$H$9997,6,FALSE)-F3282</f>
        <v/>
      </c>
      <c r="H3282" s="19" t="n">
        <v>3</v>
      </c>
      <c r="I3282" s="57" t="n">
        <v>12</v>
      </c>
    </row>
    <row r="3283">
      <c r="A3283" s="62" t="n">
        <v>47202</v>
      </c>
      <c r="B3283" s="3" t="inlineStr">
        <is>
          <t>Sun</t>
        </is>
      </c>
      <c r="C3283" s="19" t="n">
        <v>3</v>
      </c>
      <c r="D3283" s="19" t="n">
        <v>2029</v>
      </c>
      <c r="E3283" s="57" t="n">
        <v>3</v>
      </c>
      <c r="F3283" s="29">
        <f>ROUND(((SUMIFS(Calendar!$F$2:$F$9997,Calendar!$B$2:$B$9997,D3283,Calendar!$C$2:$C$9997,C3283)*INDEX(ForeCalc!$B$37:$Y$274,MATCH(_xlfn.CONCAT(H3283," ",I3283),ForeCalc!$A$37:$A$274,0),MATCH(_xlfn.CONCAT(B3283," ",E3283),ForeCalc!$B$36:$Y$36,0))))*VLOOKUP(A3283,Calendar!$A$2:$H$9997,8,FALSE),0)</f>
        <v/>
      </c>
      <c r="G3283" s="29">
        <f>VLOOKUP(A3283,Calendar!$A$1:$H$9997,6,FALSE)-F3283</f>
        <v/>
      </c>
      <c r="H3283" s="19" t="n">
        <v>3</v>
      </c>
      <c r="I3283" s="57" t="n">
        <v>12</v>
      </c>
    </row>
    <row r="3284">
      <c r="A3284" s="62" t="n">
        <v>47203</v>
      </c>
      <c r="B3284" s="3" t="inlineStr">
        <is>
          <t>Week</t>
        </is>
      </c>
      <c r="C3284" s="19" t="n">
        <v>3</v>
      </c>
      <c r="D3284" s="19" t="n">
        <v>2029</v>
      </c>
      <c r="E3284" s="57" t="n">
        <v>3</v>
      </c>
      <c r="F3284" s="29">
        <f>ROUND(((SUMIFS(Calendar!$F$2:$F$9997,Calendar!$B$2:$B$9997,D3284,Calendar!$C$2:$C$9997,C3284)*INDEX(ForeCalc!$B$37:$Y$274,MATCH(_xlfn.CONCAT(H3284," ",I3284),ForeCalc!$A$37:$A$274,0),MATCH(_xlfn.CONCAT(B3284," ",E3284),ForeCalc!$B$36:$Y$36,0))))*VLOOKUP(A3284,Calendar!$A$2:$H$9997,8,FALSE),0)</f>
        <v/>
      </c>
      <c r="G3284" s="29">
        <f>VLOOKUP(A3284,Calendar!$A$1:$H$9997,6,FALSE)-F3284</f>
        <v/>
      </c>
      <c r="H3284" s="19" t="n">
        <v>3</v>
      </c>
      <c r="I3284" s="57" t="n">
        <v>12</v>
      </c>
    </row>
    <row r="3285">
      <c r="A3285" s="62" t="n">
        <v>47204</v>
      </c>
      <c r="B3285" s="3" t="inlineStr">
        <is>
          <t>Week</t>
        </is>
      </c>
      <c r="C3285" s="19" t="n">
        <v>3</v>
      </c>
      <c r="D3285" s="19" t="n">
        <v>2029</v>
      </c>
      <c r="E3285" s="57" t="n">
        <v>3</v>
      </c>
      <c r="F3285" s="29">
        <f>ROUND(((SUMIFS(Calendar!$F$2:$F$9997,Calendar!$B$2:$B$9997,D3285,Calendar!$C$2:$C$9997,C3285)*INDEX(ForeCalc!$B$37:$Y$274,MATCH(_xlfn.CONCAT(H3285," ",I3285),ForeCalc!$A$37:$A$274,0),MATCH(_xlfn.CONCAT(B3285," ",E3285),ForeCalc!$B$36:$Y$36,0))))*VLOOKUP(A3285,Calendar!$A$2:$H$9997,8,FALSE),0)</f>
        <v/>
      </c>
      <c r="G3285" s="29">
        <f>VLOOKUP(A3285,Calendar!$A$1:$H$9997,6,FALSE)-F3285</f>
        <v/>
      </c>
      <c r="H3285" s="19" t="n">
        <v>3</v>
      </c>
      <c r="I3285" s="57" t="n">
        <v>12</v>
      </c>
    </row>
    <row r="3286">
      <c r="A3286" s="62" t="n">
        <v>47205</v>
      </c>
      <c r="B3286" s="3" t="inlineStr">
        <is>
          <t>Week</t>
        </is>
      </c>
      <c r="C3286" s="19" t="n">
        <v>3</v>
      </c>
      <c r="D3286" s="19" t="n">
        <v>2029</v>
      </c>
      <c r="E3286" s="57" t="n">
        <v>3</v>
      </c>
      <c r="F3286" s="29">
        <f>ROUND(((SUMIFS(Calendar!$F$2:$F$9997,Calendar!$B$2:$B$9997,D3286,Calendar!$C$2:$C$9997,C3286)*INDEX(ForeCalc!$B$37:$Y$274,MATCH(_xlfn.CONCAT(H3286," ",I3286),ForeCalc!$A$37:$A$274,0),MATCH(_xlfn.CONCAT(B3286," ",E3286),ForeCalc!$B$36:$Y$36,0))))*VLOOKUP(A3286,Calendar!$A$2:$H$9997,8,FALSE),0)</f>
        <v/>
      </c>
      <c r="G3286" s="29">
        <f>VLOOKUP(A3286,Calendar!$A$1:$H$9997,6,FALSE)-F3286</f>
        <v/>
      </c>
      <c r="H3286" s="19" t="n">
        <v>3</v>
      </c>
      <c r="I3286" s="57" t="n">
        <v>12</v>
      </c>
    </row>
    <row r="3287">
      <c r="A3287" s="62" t="n">
        <v>47206</v>
      </c>
      <c r="B3287" s="3" t="inlineStr">
        <is>
          <t>Week</t>
        </is>
      </c>
      <c r="C3287" s="19" t="n">
        <v>3</v>
      </c>
      <c r="D3287" s="19" t="n">
        <v>2029</v>
      </c>
      <c r="E3287" s="57" t="n">
        <v>3</v>
      </c>
      <c r="F3287" s="29">
        <f>ROUND(((SUMIFS(Calendar!$F$2:$F$9997,Calendar!$B$2:$B$9997,D3287,Calendar!$C$2:$C$9997,C3287)*INDEX(ForeCalc!$B$37:$Y$274,MATCH(_xlfn.CONCAT(H3287," ",I3287),ForeCalc!$A$37:$A$274,0),MATCH(_xlfn.CONCAT(B3287," ",E3287),ForeCalc!$B$36:$Y$36,0))))*VLOOKUP(A3287,Calendar!$A$2:$H$9997,8,FALSE),0)</f>
        <v/>
      </c>
      <c r="G3287" s="29">
        <f>VLOOKUP(A3287,Calendar!$A$1:$H$9997,6,FALSE)-F3287</f>
        <v/>
      </c>
      <c r="H3287" s="19" t="n">
        <v>3</v>
      </c>
      <c r="I3287" s="57" t="n">
        <v>12</v>
      </c>
    </row>
    <row r="3288">
      <c r="A3288" s="62" t="n">
        <v>47207</v>
      </c>
      <c r="B3288" s="3" t="inlineStr">
        <is>
          <t>Week</t>
        </is>
      </c>
      <c r="C3288" s="19" t="n">
        <v>3</v>
      </c>
      <c r="D3288" s="19" t="n">
        <v>2029</v>
      </c>
      <c r="E3288" s="57" t="n">
        <v>3</v>
      </c>
      <c r="F3288" s="29">
        <f>ROUND(((SUMIFS(Calendar!$F$2:$F$9997,Calendar!$B$2:$B$9997,D3288,Calendar!$C$2:$C$9997,C3288)*INDEX(ForeCalc!$B$37:$Y$274,MATCH(_xlfn.CONCAT(H3288," ",I3288),ForeCalc!$A$37:$A$274,0),MATCH(_xlfn.CONCAT(B3288," ",E3288),ForeCalc!$B$36:$Y$36,0))))*VLOOKUP(A3288,Calendar!$A$2:$H$9997,8,FALSE),0)</f>
        <v/>
      </c>
      <c r="G3288" s="29">
        <f>VLOOKUP(A3288,Calendar!$A$1:$H$9997,6,FALSE)-F3288</f>
        <v/>
      </c>
      <c r="H3288" s="19" t="n">
        <v>3</v>
      </c>
      <c r="I3288" s="57" t="n">
        <v>12</v>
      </c>
    </row>
    <row r="3289">
      <c r="A3289" s="62" t="n">
        <v>47208</v>
      </c>
      <c r="B3289" s="3" t="inlineStr">
        <is>
          <t>Sat</t>
        </is>
      </c>
      <c r="C3289" s="19" t="n">
        <v>3</v>
      </c>
      <c r="D3289" s="19" t="n">
        <v>2029</v>
      </c>
      <c r="E3289" s="57" t="n">
        <v>3</v>
      </c>
      <c r="F3289" s="29">
        <f>ROUND(((SUMIFS(Calendar!$F$2:$F$9997,Calendar!$B$2:$B$9997,D3289,Calendar!$C$2:$C$9997,C3289)*INDEX(ForeCalc!$B$37:$Y$274,MATCH(_xlfn.CONCAT(H3289," ",I3289),ForeCalc!$A$37:$A$274,0),MATCH(_xlfn.CONCAT(B3289," ",E3289),ForeCalc!$B$36:$Y$36,0))))*VLOOKUP(A3289,Calendar!$A$2:$H$9997,8,FALSE),0)</f>
        <v/>
      </c>
      <c r="G3289" s="29">
        <f>VLOOKUP(A3289,Calendar!$A$1:$H$9997,6,FALSE)-F3289</f>
        <v/>
      </c>
      <c r="H3289" s="19" t="n">
        <v>3</v>
      </c>
      <c r="I3289" s="57" t="n">
        <v>12</v>
      </c>
    </row>
    <row r="3290">
      <c r="A3290" s="62" t="n">
        <v>46113</v>
      </c>
      <c r="B3290" s="3" t="inlineStr">
        <is>
          <t>Week</t>
        </is>
      </c>
      <c r="C3290" s="19" t="n">
        <v>4</v>
      </c>
      <c r="D3290" s="19" t="n">
        <v>2026</v>
      </c>
      <c r="E3290" s="57" t="n">
        <v>4</v>
      </c>
      <c r="F3290" s="29">
        <f>ROUND(((SUMIFS(Calendar!$F$2:$F$9997,Calendar!$B$2:$B$9997,D3290,Calendar!$C$2:$C$9997,C3290)*INDEX(ForeCalc!$B$37:$Y$274,MATCH(_xlfn.CONCAT(H3290," ",I3290),ForeCalc!$A$37:$A$274,0),MATCH(_xlfn.CONCAT(B3290," ",E3290),ForeCalc!$B$36:$Y$36,0))))*VLOOKUP(A3290,Calendar!$A$2:$H$9997,8,FALSE),0)</f>
        <v/>
      </c>
      <c r="G3290" s="29">
        <f>VLOOKUP(A3290,Calendar!$A$1:$H$9997,6,FALSE)-F3290</f>
        <v/>
      </c>
      <c r="H3290" s="19" t="n">
        <v>1</v>
      </c>
      <c r="I3290" s="57" t="n">
        <v>1</v>
      </c>
    </row>
    <row r="3291">
      <c r="A3291" s="62" t="n">
        <v>46114</v>
      </c>
      <c r="B3291" s="3" t="inlineStr">
        <is>
          <t>Week</t>
        </is>
      </c>
      <c r="C3291" s="19" t="n">
        <v>4</v>
      </c>
      <c r="D3291" s="19" t="n">
        <v>2026</v>
      </c>
      <c r="E3291" s="57" t="n">
        <v>4</v>
      </c>
      <c r="F3291" s="29">
        <f>ROUND(((SUMIFS(Calendar!$F$2:$F$9997,Calendar!$B$2:$B$9997,D3291,Calendar!$C$2:$C$9997,C3291)*INDEX(ForeCalc!$B$37:$Y$274,MATCH(_xlfn.CONCAT(H3291," ",I3291),ForeCalc!$A$37:$A$274,0),MATCH(_xlfn.CONCAT(B3291," ",E3291),ForeCalc!$B$36:$Y$36,0))))*VLOOKUP(A3291,Calendar!$A$2:$H$9997,8,FALSE),0)</f>
        <v/>
      </c>
      <c r="G3291" s="29">
        <f>VLOOKUP(A3291,Calendar!$A$1:$H$9997,6,FALSE)-F3291</f>
        <v/>
      </c>
      <c r="H3291" s="19" t="n">
        <v>1</v>
      </c>
      <c r="I3291" s="57" t="n">
        <v>1</v>
      </c>
    </row>
    <row r="3292">
      <c r="A3292" s="62" t="n">
        <v>46115</v>
      </c>
      <c r="B3292" s="3" t="inlineStr">
        <is>
          <t>Week</t>
        </is>
      </c>
      <c r="C3292" s="19" t="n">
        <v>4</v>
      </c>
      <c r="D3292" s="19" t="n">
        <v>2026</v>
      </c>
      <c r="E3292" s="57" t="n">
        <v>4</v>
      </c>
      <c r="F3292" s="29">
        <f>ROUND(((SUMIFS(Calendar!$F$2:$F$9997,Calendar!$B$2:$B$9997,D3292,Calendar!$C$2:$C$9997,C3292)*INDEX(ForeCalc!$B$37:$Y$274,MATCH(_xlfn.CONCAT(H3292," ",I3292),ForeCalc!$A$37:$A$274,0),MATCH(_xlfn.CONCAT(B3292," ",E3292),ForeCalc!$B$36:$Y$36,0))))*VLOOKUP(A3292,Calendar!$A$2:$H$9997,8,FALSE),0)</f>
        <v/>
      </c>
      <c r="G3292" s="29">
        <f>VLOOKUP(A3292,Calendar!$A$1:$H$9997,6,FALSE)-F3292</f>
        <v/>
      </c>
      <c r="H3292" s="19" t="n">
        <v>1</v>
      </c>
      <c r="I3292" s="57" t="n">
        <v>1</v>
      </c>
    </row>
    <row r="3293">
      <c r="A3293" s="62" t="n">
        <v>46116</v>
      </c>
      <c r="B3293" s="3" t="inlineStr">
        <is>
          <t>Sat</t>
        </is>
      </c>
      <c r="C3293" s="19" t="n">
        <v>4</v>
      </c>
      <c r="D3293" s="19" t="n">
        <v>2026</v>
      </c>
      <c r="E3293" s="57" t="n">
        <v>4</v>
      </c>
      <c r="F3293" s="29">
        <f>ROUND(((SUMIFS(Calendar!$F$2:$F$9997,Calendar!$B$2:$B$9997,D3293,Calendar!$C$2:$C$9997,C3293)*INDEX(ForeCalc!$B$37:$Y$274,MATCH(_xlfn.CONCAT(H3293," ",I3293),ForeCalc!$A$37:$A$274,0),MATCH(_xlfn.CONCAT(B3293," ",E3293),ForeCalc!$B$36:$Y$36,0))))*VLOOKUP(A3293,Calendar!$A$2:$H$9997,8,FALSE),0)</f>
        <v/>
      </c>
      <c r="G3293" s="29">
        <f>VLOOKUP(A3293,Calendar!$A$1:$H$9997,6,FALSE)-F3293</f>
        <v/>
      </c>
      <c r="H3293" s="19" t="n">
        <v>1</v>
      </c>
      <c r="I3293" s="57" t="n">
        <v>1</v>
      </c>
    </row>
    <row r="3294">
      <c r="A3294" s="62" t="n">
        <v>46117</v>
      </c>
      <c r="B3294" s="3" t="inlineStr">
        <is>
          <t>Sun</t>
        </is>
      </c>
      <c r="C3294" s="19" t="n">
        <v>4</v>
      </c>
      <c r="D3294" s="19" t="n">
        <v>2026</v>
      </c>
      <c r="E3294" s="57" t="n">
        <v>4</v>
      </c>
      <c r="F3294" s="29">
        <f>ROUND(((SUMIFS(Calendar!$F$2:$F$9997,Calendar!$B$2:$B$9997,D3294,Calendar!$C$2:$C$9997,C3294)*INDEX(ForeCalc!$B$37:$Y$274,MATCH(_xlfn.CONCAT(H3294," ",I3294),ForeCalc!$A$37:$A$274,0),MATCH(_xlfn.CONCAT(B3294," ",E3294),ForeCalc!$B$36:$Y$36,0))))*VLOOKUP(A3294,Calendar!$A$2:$H$9997,8,FALSE),0)</f>
        <v/>
      </c>
      <c r="G3294" s="29">
        <f>VLOOKUP(A3294,Calendar!$A$1:$H$9997,6,FALSE)-F3294</f>
        <v/>
      </c>
      <c r="H3294" s="19" t="n">
        <v>1</v>
      </c>
      <c r="I3294" s="57" t="n">
        <v>1</v>
      </c>
    </row>
    <row r="3295">
      <c r="A3295" s="62" t="n">
        <v>46118</v>
      </c>
      <c r="B3295" s="3" t="inlineStr">
        <is>
          <t>Week</t>
        </is>
      </c>
      <c r="C3295" s="19" t="n">
        <v>4</v>
      </c>
      <c r="D3295" s="19" t="n">
        <v>2026</v>
      </c>
      <c r="E3295" s="57" t="n">
        <v>4</v>
      </c>
      <c r="F3295" s="29">
        <f>ROUND(((SUMIFS(Calendar!$F$2:$F$9997,Calendar!$B$2:$B$9997,D3295,Calendar!$C$2:$C$9997,C3295)*INDEX(ForeCalc!$B$37:$Y$274,MATCH(_xlfn.CONCAT(H3295," ",I3295),ForeCalc!$A$37:$A$274,0),MATCH(_xlfn.CONCAT(B3295," ",E3295),ForeCalc!$B$36:$Y$36,0))))*VLOOKUP(A3295,Calendar!$A$2:$H$9997,8,FALSE),0)</f>
        <v/>
      </c>
      <c r="G3295" s="29">
        <f>VLOOKUP(A3295,Calendar!$A$1:$H$9997,6,FALSE)-F3295</f>
        <v/>
      </c>
      <c r="H3295" s="19" t="n">
        <v>1</v>
      </c>
      <c r="I3295" s="57" t="n">
        <v>1</v>
      </c>
    </row>
    <row r="3296">
      <c r="A3296" s="62" t="n">
        <v>46119</v>
      </c>
      <c r="B3296" s="3" t="inlineStr">
        <is>
          <t>Week</t>
        </is>
      </c>
      <c r="C3296" s="19" t="n">
        <v>4</v>
      </c>
      <c r="D3296" s="19" t="n">
        <v>2026</v>
      </c>
      <c r="E3296" s="57" t="n">
        <v>4</v>
      </c>
      <c r="F3296" s="29">
        <f>ROUND(((SUMIFS(Calendar!$F$2:$F$9997,Calendar!$B$2:$B$9997,D3296,Calendar!$C$2:$C$9997,C3296)*INDEX(ForeCalc!$B$37:$Y$274,MATCH(_xlfn.CONCAT(H3296," ",I3296),ForeCalc!$A$37:$A$274,0),MATCH(_xlfn.CONCAT(B3296," ",E3296),ForeCalc!$B$36:$Y$36,0))))*VLOOKUP(A3296,Calendar!$A$2:$H$9997,8,FALSE),0)</f>
        <v/>
      </c>
      <c r="G3296" s="29">
        <f>VLOOKUP(A3296,Calendar!$A$1:$H$9997,6,FALSE)-F3296</f>
        <v/>
      </c>
      <c r="H3296" s="19" t="n">
        <v>1</v>
      </c>
      <c r="I3296" s="57" t="n">
        <v>1</v>
      </c>
    </row>
    <row r="3297">
      <c r="A3297" s="62" t="n">
        <v>46120</v>
      </c>
      <c r="B3297" s="3" t="inlineStr">
        <is>
          <t>Week</t>
        </is>
      </c>
      <c r="C3297" s="19" t="n">
        <v>4</v>
      </c>
      <c r="D3297" s="19" t="n">
        <v>2026</v>
      </c>
      <c r="E3297" s="57" t="n">
        <v>4</v>
      </c>
      <c r="F3297" s="29">
        <f>ROUND(((SUMIFS(Calendar!$F$2:$F$9997,Calendar!$B$2:$B$9997,D3297,Calendar!$C$2:$C$9997,C3297)*INDEX(ForeCalc!$B$37:$Y$274,MATCH(_xlfn.CONCAT(H3297," ",I3297),ForeCalc!$A$37:$A$274,0),MATCH(_xlfn.CONCAT(B3297," ",E3297),ForeCalc!$B$36:$Y$36,0))))*VLOOKUP(A3297,Calendar!$A$2:$H$9997,8,FALSE),0)</f>
        <v/>
      </c>
      <c r="G3297" s="29">
        <f>VLOOKUP(A3297,Calendar!$A$1:$H$9997,6,FALSE)-F3297</f>
        <v/>
      </c>
      <c r="H3297" s="19" t="n">
        <v>1</v>
      </c>
      <c r="I3297" s="57" t="n">
        <v>1</v>
      </c>
    </row>
    <row r="3298">
      <c r="A3298" s="62" t="n">
        <v>46121</v>
      </c>
      <c r="B3298" s="3" t="inlineStr">
        <is>
          <t>Week</t>
        </is>
      </c>
      <c r="C3298" s="19" t="n">
        <v>4</v>
      </c>
      <c r="D3298" s="19" t="n">
        <v>2026</v>
      </c>
      <c r="E3298" s="57" t="n">
        <v>4</v>
      </c>
      <c r="F3298" s="29">
        <f>ROUND(((SUMIFS(Calendar!$F$2:$F$9997,Calendar!$B$2:$B$9997,D3298,Calendar!$C$2:$C$9997,C3298)*INDEX(ForeCalc!$B$37:$Y$274,MATCH(_xlfn.CONCAT(H3298," ",I3298),ForeCalc!$A$37:$A$274,0),MATCH(_xlfn.CONCAT(B3298," ",E3298),ForeCalc!$B$36:$Y$36,0))))*VLOOKUP(A3298,Calendar!$A$2:$H$9997,8,FALSE),0)</f>
        <v/>
      </c>
      <c r="G3298" s="29">
        <f>VLOOKUP(A3298,Calendar!$A$1:$H$9997,6,FALSE)-F3298</f>
        <v/>
      </c>
      <c r="H3298" s="19" t="n">
        <v>1</v>
      </c>
      <c r="I3298" s="57" t="n">
        <v>1</v>
      </c>
    </row>
    <row r="3299">
      <c r="A3299" s="62" t="n">
        <v>46122</v>
      </c>
      <c r="B3299" s="3" t="inlineStr">
        <is>
          <t>Week</t>
        </is>
      </c>
      <c r="C3299" s="19" t="n">
        <v>4</v>
      </c>
      <c r="D3299" s="19" t="n">
        <v>2026</v>
      </c>
      <c r="E3299" s="57" t="n">
        <v>4</v>
      </c>
      <c r="F3299" s="29">
        <f>ROUND(((SUMIFS(Calendar!$F$2:$F$9997,Calendar!$B$2:$B$9997,D3299,Calendar!$C$2:$C$9997,C3299)*INDEX(ForeCalc!$B$37:$Y$274,MATCH(_xlfn.CONCAT(H3299," ",I3299),ForeCalc!$A$37:$A$274,0),MATCH(_xlfn.CONCAT(B3299," ",E3299),ForeCalc!$B$36:$Y$36,0))))*VLOOKUP(A3299,Calendar!$A$2:$H$9997,8,FALSE),0)</f>
        <v/>
      </c>
      <c r="G3299" s="29">
        <f>VLOOKUP(A3299,Calendar!$A$1:$H$9997,6,FALSE)-F3299</f>
        <v/>
      </c>
      <c r="H3299" s="19" t="n">
        <v>1</v>
      </c>
      <c r="I3299" s="57" t="n">
        <v>1</v>
      </c>
    </row>
    <row r="3300">
      <c r="A3300" s="62" t="n">
        <v>46123</v>
      </c>
      <c r="B3300" s="3" t="inlineStr">
        <is>
          <t>Sat</t>
        </is>
      </c>
      <c r="C3300" s="19" t="n">
        <v>4</v>
      </c>
      <c r="D3300" s="19" t="n">
        <v>2026</v>
      </c>
      <c r="E3300" s="57" t="n">
        <v>4</v>
      </c>
      <c r="F3300" s="29">
        <f>ROUND(((SUMIFS(Calendar!$F$2:$F$9997,Calendar!$B$2:$B$9997,D3300,Calendar!$C$2:$C$9997,C3300)*INDEX(ForeCalc!$B$37:$Y$274,MATCH(_xlfn.CONCAT(H3300," ",I3300),ForeCalc!$A$37:$A$274,0),MATCH(_xlfn.CONCAT(B3300," ",E3300),ForeCalc!$B$36:$Y$36,0))))*VLOOKUP(A3300,Calendar!$A$2:$H$9997,8,FALSE),0)</f>
        <v/>
      </c>
      <c r="G3300" s="29">
        <f>VLOOKUP(A3300,Calendar!$A$1:$H$9997,6,FALSE)-F3300</f>
        <v/>
      </c>
      <c r="H3300" s="19" t="n">
        <v>1</v>
      </c>
      <c r="I3300" s="57" t="n">
        <v>1</v>
      </c>
    </row>
    <row r="3301">
      <c r="A3301" s="62" t="n">
        <v>46124</v>
      </c>
      <c r="B3301" s="3" t="inlineStr">
        <is>
          <t>Sun</t>
        </is>
      </c>
      <c r="C3301" s="19" t="n">
        <v>4</v>
      </c>
      <c r="D3301" s="19" t="n">
        <v>2026</v>
      </c>
      <c r="E3301" s="57" t="n">
        <v>4</v>
      </c>
      <c r="F3301" s="29">
        <f>ROUND(((SUMIFS(Calendar!$F$2:$F$9997,Calendar!$B$2:$B$9997,D3301,Calendar!$C$2:$C$9997,C3301)*INDEX(ForeCalc!$B$37:$Y$274,MATCH(_xlfn.CONCAT(H3301," ",I3301),ForeCalc!$A$37:$A$274,0),MATCH(_xlfn.CONCAT(B3301," ",E3301),ForeCalc!$B$36:$Y$36,0))))*VLOOKUP(A3301,Calendar!$A$2:$H$9997,8,FALSE),0)</f>
        <v/>
      </c>
      <c r="G3301" s="29">
        <f>VLOOKUP(A3301,Calendar!$A$1:$H$9997,6,FALSE)-F3301</f>
        <v/>
      </c>
      <c r="H3301" s="19" t="n">
        <v>1</v>
      </c>
      <c r="I3301" s="57" t="n">
        <v>1</v>
      </c>
    </row>
    <row r="3302">
      <c r="A3302" s="62" t="n">
        <v>46125</v>
      </c>
      <c r="B3302" s="3" t="inlineStr">
        <is>
          <t>Week</t>
        </is>
      </c>
      <c r="C3302" s="19" t="n">
        <v>4</v>
      </c>
      <c r="D3302" s="19" t="n">
        <v>2026</v>
      </c>
      <c r="E3302" s="57" t="n">
        <v>4</v>
      </c>
      <c r="F3302" s="29">
        <f>ROUND(((SUMIFS(Calendar!$F$2:$F$9997,Calendar!$B$2:$B$9997,D3302,Calendar!$C$2:$C$9997,C3302)*INDEX(ForeCalc!$B$37:$Y$274,MATCH(_xlfn.CONCAT(H3302," ",I3302),ForeCalc!$A$37:$A$274,0),MATCH(_xlfn.CONCAT(B3302," ",E3302),ForeCalc!$B$36:$Y$36,0))))*VLOOKUP(A3302,Calendar!$A$2:$H$9997,8,FALSE),0)</f>
        <v/>
      </c>
      <c r="G3302" s="29">
        <f>VLOOKUP(A3302,Calendar!$A$1:$H$9997,6,FALSE)-F3302</f>
        <v/>
      </c>
      <c r="H3302" s="19" t="n">
        <v>1</v>
      </c>
      <c r="I3302" s="57" t="n">
        <v>1</v>
      </c>
    </row>
    <row r="3303">
      <c r="A3303" s="62" t="n">
        <v>46126</v>
      </c>
      <c r="B3303" s="3" t="inlineStr">
        <is>
          <t>Week</t>
        </is>
      </c>
      <c r="C3303" s="19" t="n">
        <v>4</v>
      </c>
      <c r="D3303" s="19" t="n">
        <v>2026</v>
      </c>
      <c r="E3303" s="57" t="n">
        <v>4</v>
      </c>
      <c r="F3303" s="29">
        <f>ROUND(((SUMIFS(Calendar!$F$2:$F$9997,Calendar!$B$2:$B$9997,D3303,Calendar!$C$2:$C$9997,C3303)*INDEX(ForeCalc!$B$37:$Y$274,MATCH(_xlfn.CONCAT(H3303," ",I3303),ForeCalc!$A$37:$A$274,0),MATCH(_xlfn.CONCAT(B3303," ",E3303),ForeCalc!$B$36:$Y$36,0))))*VLOOKUP(A3303,Calendar!$A$2:$H$9997,8,FALSE),0)</f>
        <v/>
      </c>
      <c r="G3303" s="29">
        <f>VLOOKUP(A3303,Calendar!$A$1:$H$9997,6,FALSE)-F3303</f>
        <v/>
      </c>
      <c r="H3303" s="19" t="n">
        <v>1</v>
      </c>
      <c r="I3303" s="57" t="n">
        <v>1</v>
      </c>
    </row>
    <row r="3304">
      <c r="A3304" s="62" t="n">
        <v>46127</v>
      </c>
      <c r="B3304" s="3" t="inlineStr">
        <is>
          <t>Week</t>
        </is>
      </c>
      <c r="C3304" s="19" t="n">
        <v>4</v>
      </c>
      <c r="D3304" s="19" t="n">
        <v>2026</v>
      </c>
      <c r="E3304" s="57" t="n">
        <v>4</v>
      </c>
      <c r="F3304" s="29">
        <f>ROUND(((SUMIFS(Calendar!$F$2:$F$9997,Calendar!$B$2:$B$9997,D3304,Calendar!$C$2:$C$9997,C3304)*INDEX(ForeCalc!$B$37:$Y$274,MATCH(_xlfn.CONCAT(H3304," ",I3304),ForeCalc!$A$37:$A$274,0),MATCH(_xlfn.CONCAT(B3304," ",E3304),ForeCalc!$B$36:$Y$36,0))))*VLOOKUP(A3304,Calendar!$A$2:$H$9997,8,FALSE),0)</f>
        <v/>
      </c>
      <c r="G3304" s="29">
        <f>VLOOKUP(A3304,Calendar!$A$1:$H$9997,6,FALSE)-F3304</f>
        <v/>
      </c>
      <c r="H3304" s="19" t="n">
        <v>1</v>
      </c>
      <c r="I3304" s="57" t="n">
        <v>1</v>
      </c>
    </row>
    <row r="3305">
      <c r="A3305" s="62" t="n">
        <v>46128</v>
      </c>
      <c r="B3305" s="3" t="inlineStr">
        <is>
          <t>Week</t>
        </is>
      </c>
      <c r="C3305" s="19" t="n">
        <v>4</v>
      </c>
      <c r="D3305" s="19" t="n">
        <v>2026</v>
      </c>
      <c r="E3305" s="57" t="n">
        <v>4</v>
      </c>
      <c r="F3305" s="29">
        <f>ROUND(((SUMIFS(Calendar!$F$2:$F$9997,Calendar!$B$2:$B$9997,D3305,Calendar!$C$2:$C$9997,C3305)*INDEX(ForeCalc!$B$37:$Y$274,MATCH(_xlfn.CONCAT(H3305," ",I3305),ForeCalc!$A$37:$A$274,0),MATCH(_xlfn.CONCAT(B3305," ",E3305),ForeCalc!$B$36:$Y$36,0))))*VLOOKUP(A3305,Calendar!$A$2:$H$9997,8,FALSE),0)</f>
        <v/>
      </c>
      <c r="G3305" s="29">
        <f>VLOOKUP(A3305,Calendar!$A$1:$H$9997,6,FALSE)-F3305</f>
        <v/>
      </c>
      <c r="H3305" s="19" t="n">
        <v>1</v>
      </c>
      <c r="I3305" s="57" t="n">
        <v>1</v>
      </c>
    </row>
    <row r="3306">
      <c r="A3306" s="62" t="n">
        <v>46129</v>
      </c>
      <c r="B3306" s="3" t="inlineStr">
        <is>
          <t>Week</t>
        </is>
      </c>
      <c r="C3306" s="19" t="n">
        <v>4</v>
      </c>
      <c r="D3306" s="19" t="n">
        <v>2026</v>
      </c>
      <c r="E3306" s="57" t="n">
        <v>4</v>
      </c>
      <c r="F3306" s="29">
        <f>ROUND(((SUMIFS(Calendar!$F$2:$F$9997,Calendar!$B$2:$B$9997,D3306,Calendar!$C$2:$C$9997,C3306)*INDEX(ForeCalc!$B$37:$Y$274,MATCH(_xlfn.CONCAT(H3306," ",I3306),ForeCalc!$A$37:$A$274,0),MATCH(_xlfn.CONCAT(B3306," ",E3306),ForeCalc!$B$36:$Y$36,0))))*VLOOKUP(A3306,Calendar!$A$2:$H$9997,8,FALSE),0)</f>
        <v/>
      </c>
      <c r="G3306" s="29">
        <f>VLOOKUP(A3306,Calendar!$A$1:$H$9997,6,FALSE)-F3306</f>
        <v/>
      </c>
      <c r="H3306" s="19" t="n">
        <v>1</v>
      </c>
      <c r="I3306" s="57" t="n">
        <v>1</v>
      </c>
    </row>
    <row r="3307">
      <c r="A3307" s="62" t="n">
        <v>46130</v>
      </c>
      <c r="B3307" s="3" t="inlineStr">
        <is>
          <t>Sat</t>
        </is>
      </c>
      <c r="C3307" s="19" t="n">
        <v>4</v>
      </c>
      <c r="D3307" s="19" t="n">
        <v>2026</v>
      </c>
      <c r="E3307" s="57" t="n">
        <v>4</v>
      </c>
      <c r="F3307" s="29">
        <f>ROUND(((SUMIFS(Calendar!$F$2:$F$9997,Calendar!$B$2:$B$9997,D3307,Calendar!$C$2:$C$9997,C3307)*INDEX(ForeCalc!$B$37:$Y$274,MATCH(_xlfn.CONCAT(H3307," ",I3307),ForeCalc!$A$37:$A$274,0),MATCH(_xlfn.CONCAT(B3307," ",E3307),ForeCalc!$B$36:$Y$36,0))))*VLOOKUP(A3307,Calendar!$A$2:$H$9997,8,FALSE),0)</f>
        <v/>
      </c>
      <c r="G3307" s="29">
        <f>VLOOKUP(A3307,Calendar!$A$1:$H$9997,6,FALSE)-F3307</f>
        <v/>
      </c>
      <c r="H3307" s="19" t="n">
        <v>1</v>
      </c>
      <c r="I3307" s="57" t="n">
        <v>1</v>
      </c>
    </row>
    <row r="3308">
      <c r="A3308" s="62" t="n">
        <v>46131</v>
      </c>
      <c r="B3308" s="3" t="inlineStr">
        <is>
          <t>Sun</t>
        </is>
      </c>
      <c r="C3308" s="19" t="n">
        <v>4</v>
      </c>
      <c r="D3308" s="19" t="n">
        <v>2026</v>
      </c>
      <c r="E3308" s="57" t="n">
        <v>4</v>
      </c>
      <c r="F3308" s="29">
        <f>ROUND(((SUMIFS(Calendar!$F$2:$F$9997,Calendar!$B$2:$B$9997,D3308,Calendar!$C$2:$C$9997,C3308)*INDEX(ForeCalc!$B$37:$Y$274,MATCH(_xlfn.CONCAT(H3308," ",I3308),ForeCalc!$A$37:$A$274,0),MATCH(_xlfn.CONCAT(B3308," ",E3308),ForeCalc!$B$36:$Y$36,0))))*VLOOKUP(A3308,Calendar!$A$2:$H$9997,8,FALSE),0)</f>
        <v/>
      </c>
      <c r="G3308" s="29">
        <f>VLOOKUP(A3308,Calendar!$A$1:$H$9997,6,FALSE)-F3308</f>
        <v/>
      </c>
      <c r="H3308" s="19" t="n">
        <v>1</v>
      </c>
      <c r="I3308" s="57" t="n">
        <v>1</v>
      </c>
    </row>
    <row r="3309">
      <c r="A3309" s="62" t="n">
        <v>46132</v>
      </c>
      <c r="B3309" s="3" t="inlineStr">
        <is>
          <t>Week</t>
        </is>
      </c>
      <c r="C3309" s="19" t="n">
        <v>4</v>
      </c>
      <c r="D3309" s="19" t="n">
        <v>2026</v>
      </c>
      <c r="E3309" s="57" t="n">
        <v>4</v>
      </c>
      <c r="F3309" s="29">
        <f>ROUND(((SUMIFS(Calendar!$F$2:$F$9997,Calendar!$B$2:$B$9997,D3309,Calendar!$C$2:$C$9997,C3309)*INDEX(ForeCalc!$B$37:$Y$274,MATCH(_xlfn.CONCAT(H3309," ",I3309),ForeCalc!$A$37:$A$274,0),MATCH(_xlfn.CONCAT(B3309," ",E3309),ForeCalc!$B$36:$Y$36,0))))*VLOOKUP(A3309,Calendar!$A$2:$H$9997,8,FALSE),0)</f>
        <v/>
      </c>
      <c r="G3309" s="29">
        <f>VLOOKUP(A3309,Calendar!$A$1:$H$9997,6,FALSE)-F3309</f>
        <v/>
      </c>
      <c r="H3309" s="19" t="n">
        <v>1</v>
      </c>
      <c r="I3309" s="57" t="n">
        <v>1</v>
      </c>
    </row>
    <row r="3310">
      <c r="A3310" s="62" t="n">
        <v>46133</v>
      </c>
      <c r="B3310" s="3" t="inlineStr">
        <is>
          <t>Week</t>
        </is>
      </c>
      <c r="C3310" s="19" t="n">
        <v>4</v>
      </c>
      <c r="D3310" s="19" t="n">
        <v>2026</v>
      </c>
      <c r="E3310" s="57" t="n">
        <v>4</v>
      </c>
      <c r="F3310" s="29">
        <f>ROUND(((SUMIFS(Calendar!$F$2:$F$9997,Calendar!$B$2:$B$9997,D3310,Calendar!$C$2:$C$9997,C3310)*INDEX(ForeCalc!$B$37:$Y$274,MATCH(_xlfn.CONCAT(H3310," ",I3310),ForeCalc!$A$37:$A$274,0),MATCH(_xlfn.CONCAT(B3310," ",E3310),ForeCalc!$B$36:$Y$36,0))))*VLOOKUP(A3310,Calendar!$A$2:$H$9997,8,FALSE),0)</f>
        <v/>
      </c>
      <c r="G3310" s="29">
        <f>VLOOKUP(A3310,Calendar!$A$1:$H$9997,6,FALSE)-F3310</f>
        <v/>
      </c>
      <c r="H3310" s="19" t="n">
        <v>1</v>
      </c>
      <c r="I3310" s="57" t="n">
        <v>1</v>
      </c>
    </row>
    <row r="3311">
      <c r="A3311" s="62" t="n">
        <v>46134</v>
      </c>
      <c r="B3311" s="3" t="inlineStr">
        <is>
          <t>Week</t>
        </is>
      </c>
      <c r="C3311" s="19" t="n">
        <v>4</v>
      </c>
      <c r="D3311" s="19" t="n">
        <v>2026</v>
      </c>
      <c r="E3311" s="57" t="n">
        <v>4</v>
      </c>
      <c r="F3311" s="29">
        <f>ROUND(((SUMIFS(Calendar!$F$2:$F$9997,Calendar!$B$2:$B$9997,D3311,Calendar!$C$2:$C$9997,C3311)*INDEX(ForeCalc!$B$37:$Y$274,MATCH(_xlfn.CONCAT(H3311," ",I3311),ForeCalc!$A$37:$A$274,0),MATCH(_xlfn.CONCAT(B3311," ",E3311),ForeCalc!$B$36:$Y$36,0))))*VLOOKUP(A3311,Calendar!$A$2:$H$9997,8,FALSE),0)</f>
        <v/>
      </c>
      <c r="G3311" s="29">
        <f>VLOOKUP(A3311,Calendar!$A$1:$H$9997,6,FALSE)-F3311</f>
        <v/>
      </c>
      <c r="H3311" s="19" t="n">
        <v>1</v>
      </c>
      <c r="I3311" s="57" t="n">
        <v>1</v>
      </c>
    </row>
    <row r="3312">
      <c r="A3312" s="62" t="n">
        <v>46135</v>
      </c>
      <c r="B3312" s="3" t="inlineStr">
        <is>
          <t>Week</t>
        </is>
      </c>
      <c r="C3312" s="19" t="n">
        <v>4</v>
      </c>
      <c r="D3312" s="19" t="n">
        <v>2026</v>
      </c>
      <c r="E3312" s="57" t="n">
        <v>4</v>
      </c>
      <c r="F3312" s="29">
        <f>ROUND(((SUMIFS(Calendar!$F$2:$F$9997,Calendar!$B$2:$B$9997,D3312,Calendar!$C$2:$C$9997,C3312)*INDEX(ForeCalc!$B$37:$Y$274,MATCH(_xlfn.CONCAT(H3312," ",I3312),ForeCalc!$A$37:$A$274,0),MATCH(_xlfn.CONCAT(B3312," ",E3312),ForeCalc!$B$36:$Y$36,0))))*VLOOKUP(A3312,Calendar!$A$2:$H$9997,8,FALSE),0)</f>
        <v/>
      </c>
      <c r="G3312" s="29">
        <f>VLOOKUP(A3312,Calendar!$A$1:$H$9997,6,FALSE)-F3312</f>
        <v/>
      </c>
      <c r="H3312" s="19" t="n">
        <v>1</v>
      </c>
      <c r="I3312" s="57" t="n">
        <v>1</v>
      </c>
    </row>
    <row r="3313">
      <c r="A3313" s="62" t="n">
        <v>46136</v>
      </c>
      <c r="B3313" s="3" t="inlineStr">
        <is>
          <t>Week</t>
        </is>
      </c>
      <c r="C3313" s="19" t="n">
        <v>4</v>
      </c>
      <c r="D3313" s="19" t="n">
        <v>2026</v>
      </c>
      <c r="E3313" s="57" t="n">
        <v>4</v>
      </c>
      <c r="F3313" s="29">
        <f>ROUND(((SUMIFS(Calendar!$F$2:$F$9997,Calendar!$B$2:$B$9997,D3313,Calendar!$C$2:$C$9997,C3313)*INDEX(ForeCalc!$B$37:$Y$274,MATCH(_xlfn.CONCAT(H3313," ",I3313),ForeCalc!$A$37:$A$274,0),MATCH(_xlfn.CONCAT(B3313," ",E3313),ForeCalc!$B$36:$Y$36,0))))*VLOOKUP(A3313,Calendar!$A$2:$H$9997,8,FALSE),0)</f>
        <v/>
      </c>
      <c r="G3313" s="29">
        <f>VLOOKUP(A3313,Calendar!$A$1:$H$9997,6,FALSE)-F3313</f>
        <v/>
      </c>
      <c r="H3313" s="19" t="n">
        <v>1</v>
      </c>
      <c r="I3313" s="57" t="n">
        <v>1</v>
      </c>
    </row>
    <row r="3314">
      <c r="A3314" s="62" t="n">
        <v>46137</v>
      </c>
      <c r="B3314" s="3" t="inlineStr">
        <is>
          <t>Sat</t>
        </is>
      </c>
      <c r="C3314" s="19" t="n">
        <v>4</v>
      </c>
      <c r="D3314" s="19" t="n">
        <v>2026</v>
      </c>
      <c r="E3314" s="57" t="n">
        <v>4</v>
      </c>
      <c r="F3314" s="29">
        <f>ROUND(((SUMIFS(Calendar!$F$2:$F$9997,Calendar!$B$2:$B$9997,D3314,Calendar!$C$2:$C$9997,C3314)*INDEX(ForeCalc!$B$37:$Y$274,MATCH(_xlfn.CONCAT(H3314," ",I3314),ForeCalc!$A$37:$A$274,0),MATCH(_xlfn.CONCAT(B3314," ",E3314),ForeCalc!$B$36:$Y$36,0))))*VLOOKUP(A3314,Calendar!$A$2:$H$9997,8,FALSE),0)</f>
        <v/>
      </c>
      <c r="G3314" s="29">
        <f>VLOOKUP(A3314,Calendar!$A$1:$H$9997,6,FALSE)-F3314</f>
        <v/>
      </c>
      <c r="H3314" s="19" t="n">
        <v>1</v>
      </c>
      <c r="I3314" s="57" t="n">
        <v>1</v>
      </c>
    </row>
    <row r="3315">
      <c r="A3315" s="62" t="n">
        <v>46138</v>
      </c>
      <c r="B3315" s="3" t="inlineStr">
        <is>
          <t>Sun</t>
        </is>
      </c>
      <c r="C3315" s="19" t="n">
        <v>4</v>
      </c>
      <c r="D3315" s="19" t="n">
        <v>2026</v>
      </c>
      <c r="E3315" s="57" t="n">
        <v>4</v>
      </c>
      <c r="F3315" s="29">
        <f>ROUND(((SUMIFS(Calendar!$F$2:$F$9997,Calendar!$B$2:$B$9997,D3315,Calendar!$C$2:$C$9997,C3315)*INDEX(ForeCalc!$B$37:$Y$274,MATCH(_xlfn.CONCAT(H3315," ",I3315),ForeCalc!$A$37:$A$274,0),MATCH(_xlfn.CONCAT(B3315," ",E3315),ForeCalc!$B$36:$Y$36,0))))*VLOOKUP(A3315,Calendar!$A$2:$H$9997,8,FALSE),0)</f>
        <v/>
      </c>
      <c r="G3315" s="29">
        <f>VLOOKUP(A3315,Calendar!$A$1:$H$9997,6,FALSE)-F3315</f>
        <v/>
      </c>
      <c r="H3315" s="19" t="n">
        <v>1</v>
      </c>
      <c r="I3315" s="57" t="n">
        <v>1</v>
      </c>
    </row>
    <row r="3316">
      <c r="A3316" s="62" t="n">
        <v>46139</v>
      </c>
      <c r="B3316" s="3" t="inlineStr">
        <is>
          <t>Week</t>
        </is>
      </c>
      <c r="C3316" s="19" t="n">
        <v>4</v>
      </c>
      <c r="D3316" s="19" t="n">
        <v>2026</v>
      </c>
      <c r="E3316" s="57" t="n">
        <v>4</v>
      </c>
      <c r="F3316" s="29">
        <f>ROUND(((SUMIFS(Calendar!$F$2:$F$9997,Calendar!$B$2:$B$9997,D3316,Calendar!$C$2:$C$9997,C3316)*INDEX(ForeCalc!$B$37:$Y$274,MATCH(_xlfn.CONCAT(H3316," ",I3316),ForeCalc!$A$37:$A$274,0),MATCH(_xlfn.CONCAT(B3316," ",E3316),ForeCalc!$B$36:$Y$36,0))))*VLOOKUP(A3316,Calendar!$A$2:$H$9997,8,FALSE),0)</f>
        <v/>
      </c>
      <c r="G3316" s="29">
        <f>VLOOKUP(A3316,Calendar!$A$1:$H$9997,6,FALSE)-F3316</f>
        <v/>
      </c>
      <c r="H3316" s="19" t="n">
        <v>1</v>
      </c>
      <c r="I3316" s="57" t="n">
        <v>1</v>
      </c>
    </row>
    <row r="3317">
      <c r="A3317" s="62" t="n">
        <v>46140</v>
      </c>
      <c r="B3317" s="3" t="inlineStr">
        <is>
          <t>Week</t>
        </is>
      </c>
      <c r="C3317" s="19" t="n">
        <v>4</v>
      </c>
      <c r="D3317" s="19" t="n">
        <v>2026</v>
      </c>
      <c r="E3317" s="57" t="n">
        <v>4</v>
      </c>
      <c r="F3317" s="29">
        <f>ROUND(((SUMIFS(Calendar!$F$2:$F$9997,Calendar!$B$2:$B$9997,D3317,Calendar!$C$2:$C$9997,C3317)*INDEX(ForeCalc!$B$37:$Y$274,MATCH(_xlfn.CONCAT(H3317," ",I3317),ForeCalc!$A$37:$A$274,0),MATCH(_xlfn.CONCAT(B3317," ",E3317),ForeCalc!$B$36:$Y$36,0))))*VLOOKUP(A3317,Calendar!$A$2:$H$9997,8,FALSE),0)</f>
        <v/>
      </c>
      <c r="G3317" s="29">
        <f>VLOOKUP(A3317,Calendar!$A$1:$H$9997,6,FALSE)-F3317</f>
        <v/>
      </c>
      <c r="H3317" s="19" t="n">
        <v>1</v>
      </c>
      <c r="I3317" s="57" t="n">
        <v>1</v>
      </c>
    </row>
    <row r="3318">
      <c r="A3318" s="62" t="n">
        <v>46141</v>
      </c>
      <c r="B3318" s="3" t="inlineStr">
        <is>
          <t>Week</t>
        </is>
      </c>
      <c r="C3318" s="19" t="n">
        <v>4</v>
      </c>
      <c r="D3318" s="19" t="n">
        <v>2026</v>
      </c>
      <c r="E3318" s="57" t="n">
        <v>4</v>
      </c>
      <c r="F3318" s="29">
        <f>ROUND(((SUMIFS(Calendar!$F$2:$F$9997,Calendar!$B$2:$B$9997,D3318,Calendar!$C$2:$C$9997,C3318)*INDEX(ForeCalc!$B$37:$Y$274,MATCH(_xlfn.CONCAT(H3318," ",I3318),ForeCalc!$A$37:$A$274,0),MATCH(_xlfn.CONCAT(B3318," ",E3318),ForeCalc!$B$36:$Y$36,0))))*VLOOKUP(A3318,Calendar!$A$2:$H$9997,8,FALSE),0)</f>
        <v/>
      </c>
      <c r="G3318" s="29">
        <f>VLOOKUP(A3318,Calendar!$A$1:$H$9997,6,FALSE)-F3318</f>
        <v/>
      </c>
      <c r="H3318" s="19" t="n">
        <v>1</v>
      </c>
      <c r="I3318" s="57" t="n">
        <v>1</v>
      </c>
    </row>
    <row r="3319">
      <c r="A3319" s="62" t="n">
        <v>46142</v>
      </c>
      <c r="B3319" s="3" t="inlineStr">
        <is>
          <t>Week</t>
        </is>
      </c>
      <c r="C3319" s="19" t="n">
        <v>4</v>
      </c>
      <c r="D3319" s="19" t="n">
        <v>2026</v>
      </c>
      <c r="E3319" s="57" t="n">
        <v>4</v>
      </c>
      <c r="F3319" s="29">
        <f>ROUND(((SUMIFS(Calendar!$F$2:$F$9997,Calendar!$B$2:$B$9997,D3319,Calendar!$C$2:$C$9997,C3319)*INDEX(ForeCalc!$B$37:$Y$274,MATCH(_xlfn.CONCAT(H3319," ",I3319),ForeCalc!$A$37:$A$274,0),MATCH(_xlfn.CONCAT(B3319," ",E3319),ForeCalc!$B$36:$Y$36,0))))*VLOOKUP(A3319,Calendar!$A$2:$H$9997,8,FALSE),0)</f>
        <v/>
      </c>
      <c r="G3319" s="29">
        <f>VLOOKUP(A3319,Calendar!$A$1:$H$9997,6,FALSE)-F3319</f>
        <v/>
      </c>
      <c r="H3319" s="19" t="n">
        <v>1</v>
      </c>
      <c r="I3319" s="57" t="n">
        <v>1</v>
      </c>
    </row>
    <row r="3320">
      <c r="A3320" s="62" t="n">
        <v>46143</v>
      </c>
      <c r="B3320" s="3" t="inlineStr">
        <is>
          <t>Week</t>
        </is>
      </c>
      <c r="C3320" s="19" t="n">
        <v>5</v>
      </c>
      <c r="D3320" s="19" t="n">
        <v>2026</v>
      </c>
      <c r="E3320" s="57" t="n">
        <v>4</v>
      </c>
      <c r="F3320" s="29">
        <f>ROUND(((SUMIFS(Calendar!$F$2:$F$9997,Calendar!$B$2:$B$9997,D3320,Calendar!$C$2:$C$9997,C3320)*INDEX(ForeCalc!$B$37:$Y$274,MATCH(_xlfn.CONCAT(H3320," ",I3320),ForeCalc!$A$37:$A$274,0),MATCH(_xlfn.CONCAT(B3320," ",E3320),ForeCalc!$B$36:$Y$36,0))))*VLOOKUP(A3320,Calendar!$A$2:$H$9997,8,FALSE),0)</f>
        <v/>
      </c>
      <c r="G3320" s="29">
        <f>VLOOKUP(A3320,Calendar!$A$1:$H$9997,6,FALSE)-F3320</f>
        <v/>
      </c>
      <c r="H3320" s="19" t="n">
        <v>1</v>
      </c>
      <c r="I3320" s="57" t="n">
        <v>2</v>
      </c>
    </row>
    <row r="3321">
      <c r="A3321" s="62" t="n">
        <v>46144</v>
      </c>
      <c r="B3321" s="3" t="inlineStr">
        <is>
          <t>Sat</t>
        </is>
      </c>
      <c r="C3321" s="19" t="n">
        <v>5</v>
      </c>
      <c r="D3321" s="19" t="n">
        <v>2026</v>
      </c>
      <c r="E3321" s="57" t="n">
        <v>4</v>
      </c>
      <c r="F3321" s="29">
        <f>ROUND(((SUMIFS(Calendar!$F$2:$F$9997,Calendar!$B$2:$B$9997,D3321,Calendar!$C$2:$C$9997,C3321)*INDEX(ForeCalc!$B$37:$Y$274,MATCH(_xlfn.CONCAT(H3321," ",I3321),ForeCalc!$A$37:$A$274,0),MATCH(_xlfn.CONCAT(B3321," ",E3321),ForeCalc!$B$36:$Y$36,0))))*VLOOKUP(A3321,Calendar!$A$2:$H$9997,8,FALSE),0)</f>
        <v/>
      </c>
      <c r="G3321" s="29">
        <f>VLOOKUP(A3321,Calendar!$A$1:$H$9997,6,FALSE)-F3321</f>
        <v/>
      </c>
      <c r="H3321" s="19" t="n">
        <v>1</v>
      </c>
      <c r="I3321" s="57" t="n">
        <v>2</v>
      </c>
    </row>
    <row r="3322">
      <c r="A3322" s="62" t="n">
        <v>46145</v>
      </c>
      <c r="B3322" s="3" t="inlineStr">
        <is>
          <t>Sun</t>
        </is>
      </c>
      <c r="C3322" s="19" t="n">
        <v>5</v>
      </c>
      <c r="D3322" s="19" t="n">
        <v>2026</v>
      </c>
      <c r="E3322" s="57" t="n">
        <v>4</v>
      </c>
      <c r="F3322" s="29">
        <f>ROUND(((SUMIFS(Calendar!$F$2:$F$9997,Calendar!$B$2:$B$9997,D3322,Calendar!$C$2:$C$9997,C3322)*INDEX(ForeCalc!$B$37:$Y$274,MATCH(_xlfn.CONCAT(H3322," ",I3322),ForeCalc!$A$37:$A$274,0),MATCH(_xlfn.CONCAT(B3322," ",E3322),ForeCalc!$B$36:$Y$36,0))))*VLOOKUP(A3322,Calendar!$A$2:$H$9997,8,FALSE),0)</f>
        <v/>
      </c>
      <c r="G3322" s="29">
        <f>VLOOKUP(A3322,Calendar!$A$1:$H$9997,6,FALSE)-F3322</f>
        <v/>
      </c>
      <c r="H3322" s="19" t="n">
        <v>1</v>
      </c>
      <c r="I3322" s="57" t="n">
        <v>2</v>
      </c>
    </row>
    <row r="3323">
      <c r="A3323" s="62" t="n">
        <v>46146</v>
      </c>
      <c r="B3323" s="3" t="inlineStr">
        <is>
          <t>Week</t>
        </is>
      </c>
      <c r="C3323" s="19" t="n">
        <v>5</v>
      </c>
      <c r="D3323" s="19" t="n">
        <v>2026</v>
      </c>
      <c r="E3323" s="57" t="n">
        <v>4</v>
      </c>
      <c r="F3323" s="29">
        <f>ROUND(((SUMIFS(Calendar!$F$2:$F$9997,Calendar!$B$2:$B$9997,D3323,Calendar!$C$2:$C$9997,C3323)*INDEX(ForeCalc!$B$37:$Y$274,MATCH(_xlfn.CONCAT(H3323," ",I3323),ForeCalc!$A$37:$A$274,0),MATCH(_xlfn.CONCAT(B3323," ",E3323),ForeCalc!$B$36:$Y$36,0))))*VLOOKUP(A3323,Calendar!$A$2:$H$9997,8,FALSE),0)</f>
        <v/>
      </c>
      <c r="G3323" s="29">
        <f>VLOOKUP(A3323,Calendar!$A$1:$H$9997,6,FALSE)-F3323</f>
        <v/>
      </c>
      <c r="H3323" s="19" t="n">
        <v>1</v>
      </c>
      <c r="I3323" s="57" t="n">
        <v>2</v>
      </c>
    </row>
    <row r="3324">
      <c r="A3324" s="62" t="n">
        <v>46147</v>
      </c>
      <c r="B3324" s="3" t="inlineStr">
        <is>
          <t>Week</t>
        </is>
      </c>
      <c r="C3324" s="19" t="n">
        <v>5</v>
      </c>
      <c r="D3324" s="19" t="n">
        <v>2026</v>
      </c>
      <c r="E3324" s="57" t="n">
        <v>4</v>
      </c>
      <c r="F3324" s="29">
        <f>ROUND(((SUMIFS(Calendar!$F$2:$F$9997,Calendar!$B$2:$B$9997,D3324,Calendar!$C$2:$C$9997,C3324)*INDEX(ForeCalc!$B$37:$Y$274,MATCH(_xlfn.CONCAT(H3324," ",I3324),ForeCalc!$A$37:$A$274,0),MATCH(_xlfn.CONCAT(B3324," ",E3324),ForeCalc!$B$36:$Y$36,0))))*VLOOKUP(A3324,Calendar!$A$2:$H$9997,8,FALSE),0)</f>
        <v/>
      </c>
      <c r="G3324" s="29">
        <f>VLOOKUP(A3324,Calendar!$A$1:$H$9997,6,FALSE)-F3324</f>
        <v/>
      </c>
      <c r="H3324" s="19" t="n">
        <v>1</v>
      </c>
      <c r="I3324" s="57" t="n">
        <v>2</v>
      </c>
    </row>
    <row r="3325">
      <c r="A3325" s="62" t="n">
        <v>46148</v>
      </c>
      <c r="B3325" s="3" t="inlineStr">
        <is>
          <t>Week</t>
        </is>
      </c>
      <c r="C3325" s="19" t="n">
        <v>5</v>
      </c>
      <c r="D3325" s="19" t="n">
        <v>2026</v>
      </c>
      <c r="E3325" s="57" t="n">
        <v>4</v>
      </c>
      <c r="F3325" s="29">
        <f>ROUND(((SUMIFS(Calendar!$F$2:$F$9997,Calendar!$B$2:$B$9997,D3325,Calendar!$C$2:$C$9997,C3325)*INDEX(ForeCalc!$B$37:$Y$274,MATCH(_xlfn.CONCAT(H3325," ",I3325),ForeCalc!$A$37:$A$274,0),MATCH(_xlfn.CONCAT(B3325," ",E3325),ForeCalc!$B$36:$Y$36,0))))*VLOOKUP(A3325,Calendar!$A$2:$H$9997,8,FALSE),0)</f>
        <v/>
      </c>
      <c r="G3325" s="29">
        <f>VLOOKUP(A3325,Calendar!$A$1:$H$9997,6,FALSE)-F3325</f>
        <v/>
      </c>
      <c r="H3325" s="19" t="n">
        <v>1</v>
      </c>
      <c r="I3325" s="57" t="n">
        <v>2</v>
      </c>
    </row>
    <row r="3326">
      <c r="A3326" s="62" t="n">
        <v>46149</v>
      </c>
      <c r="B3326" s="3" t="inlineStr">
        <is>
          <t>Week</t>
        </is>
      </c>
      <c r="C3326" s="19" t="n">
        <v>5</v>
      </c>
      <c r="D3326" s="19" t="n">
        <v>2026</v>
      </c>
      <c r="E3326" s="57" t="n">
        <v>4</v>
      </c>
      <c r="F3326" s="29">
        <f>ROUND(((SUMIFS(Calendar!$F$2:$F$9997,Calendar!$B$2:$B$9997,D3326,Calendar!$C$2:$C$9997,C3326)*INDEX(ForeCalc!$B$37:$Y$274,MATCH(_xlfn.CONCAT(H3326," ",I3326),ForeCalc!$A$37:$A$274,0),MATCH(_xlfn.CONCAT(B3326," ",E3326),ForeCalc!$B$36:$Y$36,0))))*VLOOKUP(A3326,Calendar!$A$2:$H$9997,8,FALSE),0)</f>
        <v/>
      </c>
      <c r="G3326" s="29">
        <f>VLOOKUP(A3326,Calendar!$A$1:$H$9997,6,FALSE)-F3326</f>
        <v/>
      </c>
      <c r="H3326" s="19" t="n">
        <v>1</v>
      </c>
      <c r="I3326" s="57" t="n">
        <v>2</v>
      </c>
    </row>
    <row r="3327">
      <c r="A3327" s="62" t="n">
        <v>46150</v>
      </c>
      <c r="B3327" s="3" t="inlineStr">
        <is>
          <t>Week</t>
        </is>
      </c>
      <c r="C3327" s="19" t="n">
        <v>5</v>
      </c>
      <c r="D3327" s="19" t="n">
        <v>2026</v>
      </c>
      <c r="E3327" s="57" t="n">
        <v>4</v>
      </c>
      <c r="F3327" s="29">
        <f>ROUND(((SUMIFS(Calendar!$F$2:$F$9997,Calendar!$B$2:$B$9997,D3327,Calendar!$C$2:$C$9997,C3327)*INDEX(ForeCalc!$B$37:$Y$274,MATCH(_xlfn.CONCAT(H3327," ",I3327),ForeCalc!$A$37:$A$274,0),MATCH(_xlfn.CONCAT(B3327," ",E3327),ForeCalc!$B$36:$Y$36,0))))*VLOOKUP(A3327,Calendar!$A$2:$H$9997,8,FALSE),0)</f>
        <v/>
      </c>
      <c r="G3327" s="29">
        <f>VLOOKUP(A3327,Calendar!$A$1:$H$9997,6,FALSE)-F3327</f>
        <v/>
      </c>
      <c r="H3327" s="19" t="n">
        <v>1</v>
      </c>
      <c r="I3327" s="57" t="n">
        <v>2</v>
      </c>
    </row>
    <row r="3328">
      <c r="A3328" s="62" t="n">
        <v>46151</v>
      </c>
      <c r="B3328" s="3" t="inlineStr">
        <is>
          <t>Sat</t>
        </is>
      </c>
      <c r="C3328" s="19" t="n">
        <v>5</v>
      </c>
      <c r="D3328" s="19" t="n">
        <v>2026</v>
      </c>
      <c r="E3328" s="57" t="n">
        <v>4</v>
      </c>
      <c r="F3328" s="29">
        <f>ROUND(((SUMIFS(Calendar!$F$2:$F$9997,Calendar!$B$2:$B$9997,D3328,Calendar!$C$2:$C$9997,C3328)*INDEX(ForeCalc!$B$37:$Y$274,MATCH(_xlfn.CONCAT(H3328," ",I3328),ForeCalc!$A$37:$A$274,0),MATCH(_xlfn.CONCAT(B3328," ",E3328),ForeCalc!$B$36:$Y$36,0))))*VLOOKUP(A3328,Calendar!$A$2:$H$9997,8,FALSE),0)</f>
        <v/>
      </c>
      <c r="G3328" s="29">
        <f>VLOOKUP(A3328,Calendar!$A$1:$H$9997,6,FALSE)-F3328</f>
        <v/>
      </c>
      <c r="H3328" s="19" t="n">
        <v>1</v>
      </c>
      <c r="I3328" s="57" t="n">
        <v>2</v>
      </c>
    </row>
    <row r="3329">
      <c r="A3329" s="62" t="n">
        <v>46152</v>
      </c>
      <c r="B3329" s="3" t="inlineStr">
        <is>
          <t>Sun</t>
        </is>
      </c>
      <c r="C3329" s="19" t="n">
        <v>5</v>
      </c>
      <c r="D3329" s="19" t="n">
        <v>2026</v>
      </c>
      <c r="E3329" s="57" t="n">
        <v>4</v>
      </c>
      <c r="F3329" s="29">
        <f>ROUND(((SUMIFS(Calendar!$F$2:$F$9997,Calendar!$B$2:$B$9997,D3329,Calendar!$C$2:$C$9997,C3329)*INDEX(ForeCalc!$B$37:$Y$274,MATCH(_xlfn.CONCAT(H3329," ",I3329),ForeCalc!$A$37:$A$274,0),MATCH(_xlfn.CONCAT(B3329," ",E3329),ForeCalc!$B$36:$Y$36,0))))*VLOOKUP(A3329,Calendar!$A$2:$H$9997,8,FALSE),0)</f>
        <v/>
      </c>
      <c r="G3329" s="29">
        <f>VLOOKUP(A3329,Calendar!$A$1:$H$9997,6,FALSE)-F3329</f>
        <v/>
      </c>
      <c r="H3329" s="19" t="n">
        <v>1</v>
      </c>
      <c r="I3329" s="57" t="n">
        <v>2</v>
      </c>
    </row>
    <row r="3330">
      <c r="A3330" s="62" t="n">
        <v>46153</v>
      </c>
      <c r="B3330" s="3" t="inlineStr">
        <is>
          <t>Week</t>
        </is>
      </c>
      <c r="C3330" s="19" t="n">
        <v>5</v>
      </c>
      <c r="D3330" s="19" t="n">
        <v>2026</v>
      </c>
      <c r="E3330" s="57" t="n">
        <v>4</v>
      </c>
      <c r="F3330" s="29">
        <f>ROUND(((SUMIFS(Calendar!$F$2:$F$9997,Calendar!$B$2:$B$9997,D3330,Calendar!$C$2:$C$9997,C3330)*INDEX(ForeCalc!$B$37:$Y$274,MATCH(_xlfn.CONCAT(H3330," ",I3330),ForeCalc!$A$37:$A$274,0),MATCH(_xlfn.CONCAT(B3330," ",E3330),ForeCalc!$B$36:$Y$36,0))))*VLOOKUP(A3330,Calendar!$A$2:$H$9997,8,FALSE),0)</f>
        <v/>
      </c>
      <c r="G3330" s="29">
        <f>VLOOKUP(A3330,Calendar!$A$1:$H$9997,6,FALSE)-F3330</f>
        <v/>
      </c>
      <c r="H3330" s="19" t="n">
        <v>1</v>
      </c>
      <c r="I3330" s="57" t="n">
        <v>2</v>
      </c>
    </row>
    <row r="3331">
      <c r="A3331" s="62" t="n">
        <v>46154</v>
      </c>
      <c r="B3331" s="3" t="inlineStr">
        <is>
          <t>Week</t>
        </is>
      </c>
      <c r="C3331" s="19" t="n">
        <v>5</v>
      </c>
      <c r="D3331" s="19" t="n">
        <v>2026</v>
      </c>
      <c r="E3331" s="57" t="n">
        <v>4</v>
      </c>
      <c r="F3331" s="29">
        <f>ROUND(((SUMIFS(Calendar!$F$2:$F$9997,Calendar!$B$2:$B$9997,D3331,Calendar!$C$2:$C$9997,C3331)*INDEX(ForeCalc!$B$37:$Y$274,MATCH(_xlfn.CONCAT(H3331," ",I3331),ForeCalc!$A$37:$A$274,0),MATCH(_xlfn.CONCAT(B3331," ",E3331),ForeCalc!$B$36:$Y$36,0))))*VLOOKUP(A3331,Calendar!$A$2:$H$9997,8,FALSE),0)</f>
        <v/>
      </c>
      <c r="G3331" s="29">
        <f>VLOOKUP(A3331,Calendar!$A$1:$H$9997,6,FALSE)-F3331</f>
        <v/>
      </c>
      <c r="H3331" s="19" t="n">
        <v>1</v>
      </c>
      <c r="I3331" s="57" t="n">
        <v>2</v>
      </c>
    </row>
    <row r="3332">
      <c r="A3332" s="62" t="n">
        <v>46155</v>
      </c>
      <c r="B3332" s="3" t="inlineStr">
        <is>
          <t>Week</t>
        </is>
      </c>
      <c r="C3332" s="19" t="n">
        <v>5</v>
      </c>
      <c r="D3332" s="19" t="n">
        <v>2026</v>
      </c>
      <c r="E3332" s="57" t="n">
        <v>4</v>
      </c>
      <c r="F3332" s="29">
        <f>ROUND(((SUMIFS(Calendar!$F$2:$F$9997,Calendar!$B$2:$B$9997,D3332,Calendar!$C$2:$C$9997,C3332)*INDEX(ForeCalc!$B$37:$Y$274,MATCH(_xlfn.CONCAT(H3332," ",I3332),ForeCalc!$A$37:$A$274,0),MATCH(_xlfn.CONCAT(B3332," ",E3332),ForeCalc!$B$36:$Y$36,0))))*VLOOKUP(A3332,Calendar!$A$2:$H$9997,8,FALSE),0)</f>
        <v/>
      </c>
      <c r="G3332" s="29">
        <f>VLOOKUP(A3332,Calendar!$A$1:$H$9997,6,FALSE)-F3332</f>
        <v/>
      </c>
      <c r="H3332" s="19" t="n">
        <v>1</v>
      </c>
      <c r="I3332" s="57" t="n">
        <v>2</v>
      </c>
    </row>
    <row r="3333">
      <c r="A3333" s="62" t="n">
        <v>46156</v>
      </c>
      <c r="B3333" s="3" t="inlineStr">
        <is>
          <t>Week</t>
        </is>
      </c>
      <c r="C3333" s="19" t="n">
        <v>5</v>
      </c>
      <c r="D3333" s="19" t="n">
        <v>2026</v>
      </c>
      <c r="E3333" s="57" t="n">
        <v>4</v>
      </c>
      <c r="F3333" s="29">
        <f>ROUND(((SUMIFS(Calendar!$F$2:$F$9997,Calendar!$B$2:$B$9997,D3333,Calendar!$C$2:$C$9997,C3333)*INDEX(ForeCalc!$B$37:$Y$274,MATCH(_xlfn.CONCAT(H3333," ",I3333),ForeCalc!$A$37:$A$274,0),MATCH(_xlfn.CONCAT(B3333," ",E3333),ForeCalc!$B$36:$Y$36,0))))*VLOOKUP(A3333,Calendar!$A$2:$H$9997,8,FALSE),0)</f>
        <v/>
      </c>
      <c r="G3333" s="29">
        <f>VLOOKUP(A3333,Calendar!$A$1:$H$9997,6,FALSE)-F3333</f>
        <v/>
      </c>
      <c r="H3333" s="19" t="n">
        <v>1</v>
      </c>
      <c r="I3333" s="57" t="n">
        <v>2</v>
      </c>
    </row>
    <row r="3334">
      <c r="A3334" s="62" t="n">
        <v>46157</v>
      </c>
      <c r="B3334" s="3" t="inlineStr">
        <is>
          <t>Week</t>
        </is>
      </c>
      <c r="C3334" s="19" t="n">
        <v>5</v>
      </c>
      <c r="D3334" s="19" t="n">
        <v>2026</v>
      </c>
      <c r="E3334" s="57" t="n">
        <v>4</v>
      </c>
      <c r="F3334" s="29">
        <f>ROUND(((SUMIFS(Calendar!$F$2:$F$9997,Calendar!$B$2:$B$9997,D3334,Calendar!$C$2:$C$9997,C3334)*INDEX(ForeCalc!$B$37:$Y$274,MATCH(_xlfn.CONCAT(H3334," ",I3334),ForeCalc!$A$37:$A$274,0),MATCH(_xlfn.CONCAT(B3334," ",E3334),ForeCalc!$B$36:$Y$36,0))))*VLOOKUP(A3334,Calendar!$A$2:$H$9997,8,FALSE),0)</f>
        <v/>
      </c>
      <c r="G3334" s="29">
        <f>VLOOKUP(A3334,Calendar!$A$1:$H$9997,6,FALSE)-F3334</f>
        <v/>
      </c>
      <c r="H3334" s="19" t="n">
        <v>1</v>
      </c>
      <c r="I3334" s="57" t="n">
        <v>2</v>
      </c>
    </row>
    <row r="3335">
      <c r="A3335" s="62" t="n">
        <v>46158</v>
      </c>
      <c r="B3335" s="3" t="inlineStr">
        <is>
          <t>Sat</t>
        </is>
      </c>
      <c r="C3335" s="19" t="n">
        <v>5</v>
      </c>
      <c r="D3335" s="19" t="n">
        <v>2026</v>
      </c>
      <c r="E3335" s="57" t="n">
        <v>4</v>
      </c>
      <c r="F3335" s="29">
        <f>ROUND(((SUMIFS(Calendar!$F$2:$F$9997,Calendar!$B$2:$B$9997,D3335,Calendar!$C$2:$C$9997,C3335)*INDEX(ForeCalc!$B$37:$Y$274,MATCH(_xlfn.CONCAT(H3335," ",I3335),ForeCalc!$A$37:$A$274,0),MATCH(_xlfn.CONCAT(B3335," ",E3335),ForeCalc!$B$36:$Y$36,0))))*VLOOKUP(A3335,Calendar!$A$2:$H$9997,8,FALSE),0)</f>
        <v/>
      </c>
      <c r="G3335" s="29">
        <f>VLOOKUP(A3335,Calendar!$A$1:$H$9997,6,FALSE)-F3335</f>
        <v/>
      </c>
      <c r="H3335" s="19" t="n">
        <v>1</v>
      </c>
      <c r="I3335" s="57" t="n">
        <v>2</v>
      </c>
    </row>
    <row r="3336">
      <c r="A3336" s="62" t="n">
        <v>46159</v>
      </c>
      <c r="B3336" s="3" t="inlineStr">
        <is>
          <t>Sun</t>
        </is>
      </c>
      <c r="C3336" s="19" t="n">
        <v>5</v>
      </c>
      <c r="D3336" s="19" t="n">
        <v>2026</v>
      </c>
      <c r="E3336" s="57" t="n">
        <v>4</v>
      </c>
      <c r="F3336" s="29">
        <f>ROUND(((SUMIFS(Calendar!$F$2:$F$9997,Calendar!$B$2:$B$9997,D3336,Calendar!$C$2:$C$9997,C3336)*INDEX(ForeCalc!$B$37:$Y$274,MATCH(_xlfn.CONCAT(H3336," ",I3336),ForeCalc!$A$37:$A$274,0),MATCH(_xlfn.CONCAT(B3336," ",E3336),ForeCalc!$B$36:$Y$36,0))))*VLOOKUP(A3336,Calendar!$A$2:$H$9997,8,FALSE),0)</f>
        <v/>
      </c>
      <c r="G3336" s="29">
        <f>VLOOKUP(A3336,Calendar!$A$1:$H$9997,6,FALSE)-F3336</f>
        <v/>
      </c>
      <c r="H3336" s="19" t="n">
        <v>1</v>
      </c>
      <c r="I3336" s="57" t="n">
        <v>2</v>
      </c>
    </row>
    <row r="3337">
      <c r="A3337" s="62" t="n">
        <v>46160</v>
      </c>
      <c r="B3337" s="3" t="inlineStr">
        <is>
          <t>Week</t>
        </is>
      </c>
      <c r="C3337" s="19" t="n">
        <v>5</v>
      </c>
      <c r="D3337" s="19" t="n">
        <v>2026</v>
      </c>
      <c r="E3337" s="57" t="n">
        <v>4</v>
      </c>
      <c r="F3337" s="29">
        <f>ROUND(((SUMIFS(Calendar!$F$2:$F$9997,Calendar!$B$2:$B$9997,D3337,Calendar!$C$2:$C$9997,C3337)*INDEX(ForeCalc!$B$37:$Y$274,MATCH(_xlfn.CONCAT(H3337," ",I3337),ForeCalc!$A$37:$A$274,0),MATCH(_xlfn.CONCAT(B3337," ",E3337),ForeCalc!$B$36:$Y$36,0))))*VLOOKUP(A3337,Calendar!$A$2:$H$9997,8,FALSE),0)</f>
        <v/>
      </c>
      <c r="G3337" s="29">
        <f>VLOOKUP(A3337,Calendar!$A$1:$H$9997,6,FALSE)-F3337</f>
        <v/>
      </c>
      <c r="H3337" s="19" t="n">
        <v>1</v>
      </c>
      <c r="I3337" s="57" t="n">
        <v>2</v>
      </c>
    </row>
    <row r="3338">
      <c r="A3338" s="62" t="n">
        <v>46161</v>
      </c>
      <c r="B3338" s="3" t="inlineStr">
        <is>
          <t>Week</t>
        </is>
      </c>
      <c r="C3338" s="19" t="n">
        <v>5</v>
      </c>
      <c r="D3338" s="19" t="n">
        <v>2026</v>
      </c>
      <c r="E3338" s="57" t="n">
        <v>4</v>
      </c>
      <c r="F3338" s="29">
        <f>ROUND(((SUMIFS(Calendar!$F$2:$F$9997,Calendar!$B$2:$B$9997,D3338,Calendar!$C$2:$C$9997,C3338)*INDEX(ForeCalc!$B$37:$Y$274,MATCH(_xlfn.CONCAT(H3338," ",I3338),ForeCalc!$A$37:$A$274,0),MATCH(_xlfn.CONCAT(B3338," ",E3338),ForeCalc!$B$36:$Y$36,0))))*VLOOKUP(A3338,Calendar!$A$2:$H$9997,8,FALSE),0)</f>
        <v/>
      </c>
      <c r="G3338" s="29">
        <f>VLOOKUP(A3338,Calendar!$A$1:$H$9997,6,FALSE)-F3338</f>
        <v/>
      </c>
      <c r="H3338" s="19" t="n">
        <v>1</v>
      </c>
      <c r="I3338" s="57" t="n">
        <v>2</v>
      </c>
    </row>
    <row r="3339">
      <c r="A3339" s="62" t="n">
        <v>46162</v>
      </c>
      <c r="B3339" s="3" t="inlineStr">
        <is>
          <t>Week</t>
        </is>
      </c>
      <c r="C3339" s="19" t="n">
        <v>5</v>
      </c>
      <c r="D3339" s="19" t="n">
        <v>2026</v>
      </c>
      <c r="E3339" s="57" t="n">
        <v>4</v>
      </c>
      <c r="F3339" s="29">
        <f>ROUND(((SUMIFS(Calendar!$F$2:$F$9997,Calendar!$B$2:$B$9997,D3339,Calendar!$C$2:$C$9997,C3339)*INDEX(ForeCalc!$B$37:$Y$274,MATCH(_xlfn.CONCAT(H3339," ",I3339),ForeCalc!$A$37:$A$274,0),MATCH(_xlfn.CONCAT(B3339," ",E3339),ForeCalc!$B$36:$Y$36,0))))*VLOOKUP(A3339,Calendar!$A$2:$H$9997,8,FALSE),0)</f>
        <v/>
      </c>
      <c r="G3339" s="29">
        <f>VLOOKUP(A3339,Calendar!$A$1:$H$9997,6,FALSE)-F3339</f>
        <v/>
      </c>
      <c r="H3339" s="19" t="n">
        <v>1</v>
      </c>
      <c r="I3339" s="57" t="n">
        <v>2</v>
      </c>
    </row>
    <row r="3340">
      <c r="A3340" s="62" t="n">
        <v>46163</v>
      </c>
      <c r="B3340" s="3" t="inlineStr">
        <is>
          <t>Week</t>
        </is>
      </c>
      <c r="C3340" s="19" t="n">
        <v>5</v>
      </c>
      <c r="D3340" s="19" t="n">
        <v>2026</v>
      </c>
      <c r="E3340" s="57" t="n">
        <v>4</v>
      </c>
      <c r="F3340" s="29">
        <f>ROUND(((SUMIFS(Calendar!$F$2:$F$9997,Calendar!$B$2:$B$9997,D3340,Calendar!$C$2:$C$9997,C3340)*INDEX(ForeCalc!$B$37:$Y$274,MATCH(_xlfn.CONCAT(H3340," ",I3340),ForeCalc!$A$37:$A$274,0),MATCH(_xlfn.CONCAT(B3340," ",E3340),ForeCalc!$B$36:$Y$36,0))))*VLOOKUP(A3340,Calendar!$A$2:$H$9997,8,FALSE),0)</f>
        <v/>
      </c>
      <c r="G3340" s="29">
        <f>VLOOKUP(A3340,Calendar!$A$1:$H$9997,6,FALSE)-F3340</f>
        <v/>
      </c>
      <c r="H3340" s="19" t="n">
        <v>1</v>
      </c>
      <c r="I3340" s="57" t="n">
        <v>2</v>
      </c>
    </row>
    <row r="3341">
      <c r="A3341" s="62" t="n">
        <v>46164</v>
      </c>
      <c r="B3341" s="3" t="inlineStr">
        <is>
          <t>Week</t>
        </is>
      </c>
      <c r="C3341" s="19" t="n">
        <v>5</v>
      </c>
      <c r="D3341" s="19" t="n">
        <v>2026</v>
      </c>
      <c r="E3341" s="57" t="n">
        <v>4</v>
      </c>
      <c r="F3341" s="29">
        <f>ROUND(((SUMIFS(Calendar!$F$2:$F$9997,Calendar!$B$2:$B$9997,D3341,Calendar!$C$2:$C$9997,C3341)*INDEX(ForeCalc!$B$37:$Y$274,MATCH(_xlfn.CONCAT(H3341," ",I3341),ForeCalc!$A$37:$A$274,0),MATCH(_xlfn.CONCAT(B3341," ",E3341),ForeCalc!$B$36:$Y$36,0))))*VLOOKUP(A3341,Calendar!$A$2:$H$9997,8,FALSE),0)</f>
        <v/>
      </c>
      <c r="G3341" s="29">
        <f>VLOOKUP(A3341,Calendar!$A$1:$H$9997,6,FALSE)-F3341</f>
        <v/>
      </c>
      <c r="H3341" s="19" t="n">
        <v>1</v>
      </c>
      <c r="I3341" s="57" t="n">
        <v>2</v>
      </c>
    </row>
    <row r="3342">
      <c r="A3342" s="62" t="n">
        <v>46165</v>
      </c>
      <c r="B3342" s="3" t="inlineStr">
        <is>
          <t>Sat</t>
        </is>
      </c>
      <c r="C3342" s="19" t="n">
        <v>5</v>
      </c>
      <c r="D3342" s="19" t="n">
        <v>2026</v>
      </c>
      <c r="E3342" s="57" t="n">
        <v>4</v>
      </c>
      <c r="F3342" s="29">
        <f>ROUND(((SUMIFS(Calendar!$F$2:$F$9997,Calendar!$B$2:$B$9997,D3342,Calendar!$C$2:$C$9997,C3342)*INDEX(ForeCalc!$B$37:$Y$274,MATCH(_xlfn.CONCAT(H3342," ",I3342),ForeCalc!$A$37:$A$274,0),MATCH(_xlfn.CONCAT(B3342," ",E3342),ForeCalc!$B$36:$Y$36,0))))*VLOOKUP(A3342,Calendar!$A$2:$H$9997,8,FALSE),0)</f>
        <v/>
      </c>
      <c r="G3342" s="29">
        <f>VLOOKUP(A3342,Calendar!$A$1:$H$9997,6,FALSE)-F3342</f>
        <v/>
      </c>
      <c r="H3342" s="19" t="n">
        <v>1</v>
      </c>
      <c r="I3342" s="57" t="n">
        <v>2</v>
      </c>
    </row>
    <row r="3343">
      <c r="A3343" s="62" t="n">
        <v>46166</v>
      </c>
      <c r="B3343" s="3" t="inlineStr">
        <is>
          <t>Sun</t>
        </is>
      </c>
      <c r="C3343" s="19" t="n">
        <v>5</v>
      </c>
      <c r="D3343" s="19" t="n">
        <v>2026</v>
      </c>
      <c r="E3343" s="57" t="n">
        <v>4</v>
      </c>
      <c r="F3343" s="29">
        <f>ROUND(((SUMIFS(Calendar!$F$2:$F$9997,Calendar!$B$2:$B$9997,D3343,Calendar!$C$2:$C$9997,C3343)*INDEX(ForeCalc!$B$37:$Y$274,MATCH(_xlfn.CONCAT(H3343," ",I3343),ForeCalc!$A$37:$A$274,0),MATCH(_xlfn.CONCAT(B3343," ",E3343),ForeCalc!$B$36:$Y$36,0))))*VLOOKUP(A3343,Calendar!$A$2:$H$9997,8,FALSE),0)</f>
        <v/>
      </c>
      <c r="G3343" s="29">
        <f>VLOOKUP(A3343,Calendar!$A$1:$H$9997,6,FALSE)-F3343</f>
        <v/>
      </c>
      <c r="H3343" s="19" t="n">
        <v>1</v>
      </c>
      <c r="I3343" s="57" t="n">
        <v>2</v>
      </c>
    </row>
    <row r="3344">
      <c r="A3344" s="62" t="n">
        <v>46167</v>
      </c>
      <c r="B3344" s="3" t="inlineStr">
        <is>
          <t>Week</t>
        </is>
      </c>
      <c r="C3344" s="19" t="n">
        <v>5</v>
      </c>
      <c r="D3344" s="19" t="n">
        <v>2026</v>
      </c>
      <c r="E3344" s="57" t="n">
        <v>4</v>
      </c>
      <c r="F3344" s="29">
        <f>ROUND(((SUMIFS(Calendar!$F$2:$F$9997,Calendar!$B$2:$B$9997,D3344,Calendar!$C$2:$C$9997,C3344)*INDEX(ForeCalc!$B$37:$Y$274,MATCH(_xlfn.CONCAT(H3344," ",I3344),ForeCalc!$A$37:$A$274,0),MATCH(_xlfn.CONCAT(B3344," ",E3344),ForeCalc!$B$36:$Y$36,0))))*VLOOKUP(A3344,Calendar!$A$2:$H$9997,8,FALSE),0)</f>
        <v/>
      </c>
      <c r="G3344" s="29">
        <f>VLOOKUP(A3344,Calendar!$A$1:$H$9997,6,FALSE)-F3344</f>
        <v/>
      </c>
      <c r="H3344" s="19" t="n">
        <v>1</v>
      </c>
      <c r="I3344" s="57" t="n">
        <v>2</v>
      </c>
    </row>
    <row r="3345">
      <c r="A3345" s="62" t="n">
        <v>46168</v>
      </c>
      <c r="B3345" s="3" t="inlineStr">
        <is>
          <t>Week</t>
        </is>
      </c>
      <c r="C3345" s="19" t="n">
        <v>5</v>
      </c>
      <c r="D3345" s="19" t="n">
        <v>2026</v>
      </c>
      <c r="E3345" s="57" t="n">
        <v>4</v>
      </c>
      <c r="F3345" s="29">
        <f>ROUND(((SUMIFS(Calendar!$F$2:$F$9997,Calendar!$B$2:$B$9997,D3345,Calendar!$C$2:$C$9997,C3345)*INDEX(ForeCalc!$B$37:$Y$274,MATCH(_xlfn.CONCAT(H3345," ",I3345),ForeCalc!$A$37:$A$274,0),MATCH(_xlfn.CONCAT(B3345," ",E3345),ForeCalc!$B$36:$Y$36,0))))*VLOOKUP(A3345,Calendar!$A$2:$H$9997,8,FALSE),0)</f>
        <v/>
      </c>
      <c r="G3345" s="29">
        <f>VLOOKUP(A3345,Calendar!$A$1:$H$9997,6,FALSE)-F3345</f>
        <v/>
      </c>
      <c r="H3345" s="19" t="n">
        <v>1</v>
      </c>
      <c r="I3345" s="57" t="n">
        <v>2</v>
      </c>
    </row>
    <row r="3346">
      <c r="A3346" s="62" t="n">
        <v>46169</v>
      </c>
      <c r="B3346" s="3" t="inlineStr">
        <is>
          <t>Week</t>
        </is>
      </c>
      <c r="C3346" s="19" t="n">
        <v>5</v>
      </c>
      <c r="D3346" s="19" t="n">
        <v>2026</v>
      </c>
      <c r="E3346" s="57" t="n">
        <v>4</v>
      </c>
      <c r="F3346" s="29">
        <f>ROUND(((SUMIFS(Calendar!$F$2:$F$9997,Calendar!$B$2:$B$9997,D3346,Calendar!$C$2:$C$9997,C3346)*INDEX(ForeCalc!$B$37:$Y$274,MATCH(_xlfn.CONCAT(H3346," ",I3346),ForeCalc!$A$37:$A$274,0),MATCH(_xlfn.CONCAT(B3346," ",E3346),ForeCalc!$B$36:$Y$36,0))))*VLOOKUP(A3346,Calendar!$A$2:$H$9997,8,FALSE),0)</f>
        <v/>
      </c>
      <c r="G3346" s="29">
        <f>VLOOKUP(A3346,Calendar!$A$1:$H$9997,6,FALSE)-F3346</f>
        <v/>
      </c>
      <c r="H3346" s="19" t="n">
        <v>1</v>
      </c>
      <c r="I3346" s="57" t="n">
        <v>2</v>
      </c>
    </row>
    <row r="3347">
      <c r="A3347" s="62" t="n">
        <v>46170</v>
      </c>
      <c r="B3347" s="3" t="inlineStr">
        <is>
          <t>Week</t>
        </is>
      </c>
      <c r="C3347" s="19" t="n">
        <v>5</v>
      </c>
      <c r="D3347" s="19" t="n">
        <v>2026</v>
      </c>
      <c r="E3347" s="57" t="n">
        <v>4</v>
      </c>
      <c r="F3347" s="29">
        <f>ROUND(((SUMIFS(Calendar!$F$2:$F$9997,Calendar!$B$2:$B$9997,D3347,Calendar!$C$2:$C$9997,C3347)*INDEX(ForeCalc!$B$37:$Y$274,MATCH(_xlfn.CONCAT(H3347," ",I3347),ForeCalc!$A$37:$A$274,0),MATCH(_xlfn.CONCAT(B3347," ",E3347),ForeCalc!$B$36:$Y$36,0))))*VLOOKUP(A3347,Calendar!$A$2:$H$9997,8,FALSE),0)</f>
        <v/>
      </c>
      <c r="G3347" s="29">
        <f>VLOOKUP(A3347,Calendar!$A$1:$H$9997,6,FALSE)-F3347</f>
        <v/>
      </c>
      <c r="H3347" s="19" t="n">
        <v>1</v>
      </c>
      <c r="I3347" s="57" t="n">
        <v>2</v>
      </c>
    </row>
    <row r="3348">
      <c r="A3348" s="62" t="n">
        <v>46171</v>
      </c>
      <c r="B3348" s="3" t="inlineStr">
        <is>
          <t>Week</t>
        </is>
      </c>
      <c r="C3348" s="19" t="n">
        <v>5</v>
      </c>
      <c r="D3348" s="19" t="n">
        <v>2026</v>
      </c>
      <c r="E3348" s="57" t="n">
        <v>4</v>
      </c>
      <c r="F3348" s="29">
        <f>ROUND(((SUMIFS(Calendar!$F$2:$F$9997,Calendar!$B$2:$B$9997,D3348,Calendar!$C$2:$C$9997,C3348)*INDEX(ForeCalc!$B$37:$Y$274,MATCH(_xlfn.CONCAT(H3348," ",I3348),ForeCalc!$A$37:$A$274,0),MATCH(_xlfn.CONCAT(B3348," ",E3348),ForeCalc!$B$36:$Y$36,0))))*VLOOKUP(A3348,Calendar!$A$2:$H$9997,8,FALSE),0)</f>
        <v/>
      </c>
      <c r="G3348" s="29">
        <f>VLOOKUP(A3348,Calendar!$A$1:$H$9997,6,FALSE)-F3348</f>
        <v/>
      </c>
      <c r="H3348" s="19" t="n">
        <v>1</v>
      </c>
      <c r="I3348" s="57" t="n">
        <v>2</v>
      </c>
    </row>
    <row r="3349">
      <c r="A3349" s="62" t="n">
        <v>46172</v>
      </c>
      <c r="B3349" s="3" t="inlineStr">
        <is>
          <t>Sat</t>
        </is>
      </c>
      <c r="C3349" s="19" t="n">
        <v>5</v>
      </c>
      <c r="D3349" s="19" t="n">
        <v>2026</v>
      </c>
      <c r="E3349" s="57" t="n">
        <v>4</v>
      </c>
      <c r="F3349" s="29">
        <f>ROUND(((SUMIFS(Calendar!$F$2:$F$9997,Calendar!$B$2:$B$9997,D3349,Calendar!$C$2:$C$9997,C3349)*INDEX(ForeCalc!$B$37:$Y$274,MATCH(_xlfn.CONCAT(H3349," ",I3349),ForeCalc!$A$37:$A$274,0),MATCH(_xlfn.CONCAT(B3349," ",E3349),ForeCalc!$B$36:$Y$36,0))))*VLOOKUP(A3349,Calendar!$A$2:$H$9997,8,FALSE),0)</f>
        <v/>
      </c>
      <c r="G3349" s="29">
        <f>VLOOKUP(A3349,Calendar!$A$1:$H$9997,6,FALSE)-F3349</f>
        <v/>
      </c>
      <c r="H3349" s="19" t="n">
        <v>1</v>
      </c>
      <c r="I3349" s="57" t="n">
        <v>2</v>
      </c>
    </row>
    <row r="3350">
      <c r="A3350" s="62" t="n">
        <v>46173</v>
      </c>
      <c r="B3350" s="3" t="inlineStr">
        <is>
          <t>Sun</t>
        </is>
      </c>
      <c r="C3350" s="19" t="n">
        <v>5</v>
      </c>
      <c r="D3350" s="19" t="n">
        <v>2026</v>
      </c>
      <c r="E3350" s="57" t="n">
        <v>4</v>
      </c>
      <c r="F3350" s="29">
        <f>ROUND(((SUMIFS(Calendar!$F$2:$F$9997,Calendar!$B$2:$B$9997,D3350,Calendar!$C$2:$C$9997,C3350)*INDEX(ForeCalc!$B$37:$Y$274,MATCH(_xlfn.CONCAT(H3350," ",I3350),ForeCalc!$A$37:$A$274,0),MATCH(_xlfn.CONCAT(B3350," ",E3350),ForeCalc!$B$36:$Y$36,0))))*VLOOKUP(A3350,Calendar!$A$2:$H$9997,8,FALSE),0)</f>
        <v/>
      </c>
      <c r="G3350" s="29">
        <f>VLOOKUP(A3350,Calendar!$A$1:$H$9997,6,FALSE)-F3350</f>
        <v/>
      </c>
      <c r="H3350" s="19" t="n">
        <v>1</v>
      </c>
      <c r="I3350" s="57" t="n">
        <v>2</v>
      </c>
    </row>
    <row r="3351">
      <c r="A3351" s="62" t="n">
        <v>46174</v>
      </c>
      <c r="B3351" s="3" t="inlineStr">
        <is>
          <t>Week</t>
        </is>
      </c>
      <c r="C3351" s="19" t="n">
        <v>6</v>
      </c>
      <c r="D3351" s="19" t="n">
        <v>2026</v>
      </c>
      <c r="E3351" s="57" t="n">
        <v>4</v>
      </c>
      <c r="F3351" s="29">
        <f>ROUND(((SUMIFS(Calendar!$F$2:$F$9997,Calendar!$B$2:$B$9997,D3351,Calendar!$C$2:$C$9997,C3351)*INDEX(ForeCalc!$B$37:$Y$274,MATCH(_xlfn.CONCAT(H3351," ",I3351),ForeCalc!$A$37:$A$274,0),MATCH(_xlfn.CONCAT(B3351," ",E3351),ForeCalc!$B$36:$Y$36,0))))*VLOOKUP(A3351,Calendar!$A$2:$H$9997,8,FALSE),0)</f>
        <v/>
      </c>
      <c r="G3351" s="29">
        <f>VLOOKUP(A3351,Calendar!$A$1:$H$9997,6,FALSE)-F3351</f>
        <v/>
      </c>
      <c r="H3351" s="19" t="n">
        <v>1</v>
      </c>
      <c r="I3351" s="57" t="n">
        <v>3</v>
      </c>
    </row>
    <row r="3352">
      <c r="A3352" s="62" t="n">
        <v>46175</v>
      </c>
      <c r="B3352" s="3" t="inlineStr">
        <is>
          <t>Week</t>
        </is>
      </c>
      <c r="C3352" s="19" t="n">
        <v>6</v>
      </c>
      <c r="D3352" s="19" t="n">
        <v>2026</v>
      </c>
      <c r="E3352" s="57" t="n">
        <v>4</v>
      </c>
      <c r="F3352" s="29">
        <f>ROUND(((SUMIFS(Calendar!$F$2:$F$9997,Calendar!$B$2:$B$9997,D3352,Calendar!$C$2:$C$9997,C3352)*INDEX(ForeCalc!$B$37:$Y$274,MATCH(_xlfn.CONCAT(H3352," ",I3352),ForeCalc!$A$37:$A$274,0),MATCH(_xlfn.CONCAT(B3352," ",E3352),ForeCalc!$B$36:$Y$36,0))))*VLOOKUP(A3352,Calendar!$A$2:$H$9997,8,FALSE),0)</f>
        <v/>
      </c>
      <c r="G3352" s="29">
        <f>VLOOKUP(A3352,Calendar!$A$1:$H$9997,6,FALSE)-F3352</f>
        <v/>
      </c>
      <c r="H3352" s="19" t="n">
        <v>1</v>
      </c>
      <c r="I3352" s="57" t="n">
        <v>3</v>
      </c>
    </row>
    <row r="3353">
      <c r="A3353" s="62" t="n">
        <v>46176</v>
      </c>
      <c r="B3353" s="3" t="inlineStr">
        <is>
          <t>Week</t>
        </is>
      </c>
      <c r="C3353" s="19" t="n">
        <v>6</v>
      </c>
      <c r="D3353" s="19" t="n">
        <v>2026</v>
      </c>
      <c r="E3353" s="57" t="n">
        <v>4</v>
      </c>
      <c r="F3353" s="29">
        <f>ROUND(((SUMIFS(Calendar!$F$2:$F$9997,Calendar!$B$2:$B$9997,D3353,Calendar!$C$2:$C$9997,C3353)*INDEX(ForeCalc!$B$37:$Y$274,MATCH(_xlfn.CONCAT(H3353," ",I3353),ForeCalc!$A$37:$A$274,0),MATCH(_xlfn.CONCAT(B3353," ",E3353),ForeCalc!$B$36:$Y$36,0))))*VLOOKUP(A3353,Calendar!$A$2:$H$9997,8,FALSE),0)</f>
        <v/>
      </c>
      <c r="G3353" s="29">
        <f>VLOOKUP(A3353,Calendar!$A$1:$H$9997,6,FALSE)-F3353</f>
        <v/>
      </c>
      <c r="H3353" s="19" t="n">
        <v>1</v>
      </c>
      <c r="I3353" s="57" t="n">
        <v>3</v>
      </c>
    </row>
    <row r="3354">
      <c r="A3354" s="62" t="n">
        <v>46177</v>
      </c>
      <c r="B3354" s="3" t="inlineStr">
        <is>
          <t>Week</t>
        </is>
      </c>
      <c r="C3354" s="19" t="n">
        <v>6</v>
      </c>
      <c r="D3354" s="19" t="n">
        <v>2026</v>
      </c>
      <c r="E3354" s="57" t="n">
        <v>4</v>
      </c>
      <c r="F3354" s="29">
        <f>ROUND(((SUMIFS(Calendar!$F$2:$F$9997,Calendar!$B$2:$B$9997,D3354,Calendar!$C$2:$C$9997,C3354)*INDEX(ForeCalc!$B$37:$Y$274,MATCH(_xlfn.CONCAT(H3354," ",I3354),ForeCalc!$A$37:$A$274,0),MATCH(_xlfn.CONCAT(B3354," ",E3354),ForeCalc!$B$36:$Y$36,0))))*VLOOKUP(A3354,Calendar!$A$2:$H$9997,8,FALSE),0)</f>
        <v/>
      </c>
      <c r="G3354" s="29">
        <f>VLOOKUP(A3354,Calendar!$A$1:$H$9997,6,FALSE)-F3354</f>
        <v/>
      </c>
      <c r="H3354" s="19" t="n">
        <v>1</v>
      </c>
      <c r="I3354" s="57" t="n">
        <v>3</v>
      </c>
    </row>
    <row r="3355">
      <c r="A3355" s="62" t="n">
        <v>46178</v>
      </c>
      <c r="B3355" s="3" t="inlineStr">
        <is>
          <t>Week</t>
        </is>
      </c>
      <c r="C3355" s="19" t="n">
        <v>6</v>
      </c>
      <c r="D3355" s="19" t="n">
        <v>2026</v>
      </c>
      <c r="E3355" s="57" t="n">
        <v>4</v>
      </c>
      <c r="F3355" s="29">
        <f>ROUND(((SUMIFS(Calendar!$F$2:$F$9997,Calendar!$B$2:$B$9997,D3355,Calendar!$C$2:$C$9997,C3355)*INDEX(ForeCalc!$B$37:$Y$274,MATCH(_xlfn.CONCAT(H3355," ",I3355),ForeCalc!$A$37:$A$274,0),MATCH(_xlfn.CONCAT(B3355," ",E3355),ForeCalc!$B$36:$Y$36,0))))*VLOOKUP(A3355,Calendar!$A$2:$H$9997,8,FALSE),0)</f>
        <v/>
      </c>
      <c r="G3355" s="29">
        <f>VLOOKUP(A3355,Calendar!$A$1:$H$9997,6,FALSE)-F3355</f>
        <v/>
      </c>
      <c r="H3355" s="19" t="n">
        <v>1</v>
      </c>
      <c r="I3355" s="57" t="n">
        <v>3</v>
      </c>
    </row>
    <row r="3356">
      <c r="A3356" s="62" t="n">
        <v>46179</v>
      </c>
      <c r="B3356" s="3" t="inlineStr">
        <is>
          <t>Sat</t>
        </is>
      </c>
      <c r="C3356" s="19" t="n">
        <v>6</v>
      </c>
      <c r="D3356" s="19" t="n">
        <v>2026</v>
      </c>
      <c r="E3356" s="57" t="n">
        <v>4</v>
      </c>
      <c r="F3356" s="29">
        <f>ROUND(((SUMIFS(Calendar!$F$2:$F$9997,Calendar!$B$2:$B$9997,D3356,Calendar!$C$2:$C$9997,C3356)*INDEX(ForeCalc!$B$37:$Y$274,MATCH(_xlfn.CONCAT(H3356," ",I3356),ForeCalc!$A$37:$A$274,0),MATCH(_xlfn.CONCAT(B3356," ",E3356),ForeCalc!$B$36:$Y$36,0))))*VLOOKUP(A3356,Calendar!$A$2:$H$9997,8,FALSE),0)</f>
        <v/>
      </c>
      <c r="G3356" s="29">
        <f>VLOOKUP(A3356,Calendar!$A$1:$H$9997,6,FALSE)-F3356</f>
        <v/>
      </c>
      <c r="H3356" s="19" t="n">
        <v>1</v>
      </c>
      <c r="I3356" s="57" t="n">
        <v>3</v>
      </c>
    </row>
    <row r="3357">
      <c r="A3357" s="62" t="n">
        <v>46180</v>
      </c>
      <c r="B3357" s="3" t="inlineStr">
        <is>
          <t>Sun</t>
        </is>
      </c>
      <c r="C3357" s="19" t="n">
        <v>6</v>
      </c>
      <c r="D3357" s="19" t="n">
        <v>2026</v>
      </c>
      <c r="E3357" s="57" t="n">
        <v>4</v>
      </c>
      <c r="F3357" s="29">
        <f>ROUND(((SUMIFS(Calendar!$F$2:$F$9997,Calendar!$B$2:$B$9997,D3357,Calendar!$C$2:$C$9997,C3357)*INDEX(ForeCalc!$B$37:$Y$274,MATCH(_xlfn.CONCAT(H3357," ",I3357),ForeCalc!$A$37:$A$274,0),MATCH(_xlfn.CONCAT(B3357," ",E3357),ForeCalc!$B$36:$Y$36,0))))*VLOOKUP(A3357,Calendar!$A$2:$H$9997,8,FALSE),0)</f>
        <v/>
      </c>
      <c r="G3357" s="29">
        <f>VLOOKUP(A3357,Calendar!$A$1:$H$9997,6,FALSE)-F3357</f>
        <v/>
      </c>
      <c r="H3357" s="19" t="n">
        <v>1</v>
      </c>
      <c r="I3357" s="57" t="n">
        <v>3</v>
      </c>
    </row>
    <row r="3358">
      <c r="A3358" s="62" t="n">
        <v>46181</v>
      </c>
      <c r="B3358" s="3" t="inlineStr">
        <is>
          <t>Week</t>
        </is>
      </c>
      <c r="C3358" s="19" t="n">
        <v>6</v>
      </c>
      <c r="D3358" s="19" t="n">
        <v>2026</v>
      </c>
      <c r="E3358" s="57" t="n">
        <v>4</v>
      </c>
      <c r="F3358" s="29">
        <f>ROUND(((SUMIFS(Calendar!$F$2:$F$9997,Calendar!$B$2:$B$9997,D3358,Calendar!$C$2:$C$9997,C3358)*INDEX(ForeCalc!$B$37:$Y$274,MATCH(_xlfn.CONCAT(H3358," ",I3358),ForeCalc!$A$37:$A$274,0),MATCH(_xlfn.CONCAT(B3358," ",E3358),ForeCalc!$B$36:$Y$36,0))))*VLOOKUP(A3358,Calendar!$A$2:$H$9997,8,FALSE),0)</f>
        <v/>
      </c>
      <c r="G3358" s="29">
        <f>VLOOKUP(A3358,Calendar!$A$1:$H$9997,6,FALSE)-F3358</f>
        <v/>
      </c>
      <c r="H3358" s="19" t="n">
        <v>1</v>
      </c>
      <c r="I3358" s="57" t="n">
        <v>3</v>
      </c>
    </row>
    <row r="3359">
      <c r="A3359" s="62" t="n">
        <v>46182</v>
      </c>
      <c r="B3359" s="3" t="inlineStr">
        <is>
          <t>Week</t>
        </is>
      </c>
      <c r="C3359" s="19" t="n">
        <v>6</v>
      </c>
      <c r="D3359" s="19" t="n">
        <v>2026</v>
      </c>
      <c r="E3359" s="57" t="n">
        <v>4</v>
      </c>
      <c r="F3359" s="29">
        <f>ROUND(((SUMIFS(Calendar!$F$2:$F$9997,Calendar!$B$2:$B$9997,D3359,Calendar!$C$2:$C$9997,C3359)*INDEX(ForeCalc!$B$37:$Y$274,MATCH(_xlfn.CONCAT(H3359," ",I3359),ForeCalc!$A$37:$A$274,0),MATCH(_xlfn.CONCAT(B3359," ",E3359),ForeCalc!$B$36:$Y$36,0))))*VLOOKUP(A3359,Calendar!$A$2:$H$9997,8,FALSE),0)</f>
        <v/>
      </c>
      <c r="G3359" s="29">
        <f>VLOOKUP(A3359,Calendar!$A$1:$H$9997,6,FALSE)-F3359</f>
        <v/>
      </c>
      <c r="H3359" s="19" t="n">
        <v>1</v>
      </c>
      <c r="I3359" s="57" t="n">
        <v>3</v>
      </c>
    </row>
    <row r="3360">
      <c r="A3360" s="62" t="n">
        <v>46183</v>
      </c>
      <c r="B3360" s="3" t="inlineStr">
        <is>
          <t>Week</t>
        </is>
      </c>
      <c r="C3360" s="19" t="n">
        <v>6</v>
      </c>
      <c r="D3360" s="19" t="n">
        <v>2026</v>
      </c>
      <c r="E3360" s="57" t="n">
        <v>4</v>
      </c>
      <c r="F3360" s="29">
        <f>ROUND(((SUMIFS(Calendar!$F$2:$F$9997,Calendar!$B$2:$B$9997,D3360,Calendar!$C$2:$C$9997,C3360)*INDEX(ForeCalc!$B$37:$Y$274,MATCH(_xlfn.CONCAT(H3360," ",I3360),ForeCalc!$A$37:$A$274,0),MATCH(_xlfn.CONCAT(B3360," ",E3360),ForeCalc!$B$36:$Y$36,0))))*VLOOKUP(A3360,Calendar!$A$2:$H$9997,8,FALSE),0)</f>
        <v/>
      </c>
      <c r="G3360" s="29">
        <f>VLOOKUP(A3360,Calendar!$A$1:$H$9997,6,FALSE)-F3360</f>
        <v/>
      </c>
      <c r="H3360" s="19" t="n">
        <v>1</v>
      </c>
      <c r="I3360" s="57" t="n">
        <v>3</v>
      </c>
    </row>
    <row r="3361">
      <c r="A3361" s="62" t="n">
        <v>46184</v>
      </c>
      <c r="B3361" s="3" t="inlineStr">
        <is>
          <t>Week</t>
        </is>
      </c>
      <c r="C3361" s="19" t="n">
        <v>6</v>
      </c>
      <c r="D3361" s="19" t="n">
        <v>2026</v>
      </c>
      <c r="E3361" s="57" t="n">
        <v>4</v>
      </c>
      <c r="F3361" s="29">
        <f>ROUND(((SUMIFS(Calendar!$F$2:$F$9997,Calendar!$B$2:$B$9997,D3361,Calendar!$C$2:$C$9997,C3361)*INDEX(ForeCalc!$B$37:$Y$274,MATCH(_xlfn.CONCAT(H3361," ",I3361),ForeCalc!$A$37:$A$274,0),MATCH(_xlfn.CONCAT(B3361," ",E3361),ForeCalc!$B$36:$Y$36,0))))*VLOOKUP(A3361,Calendar!$A$2:$H$9997,8,FALSE),0)</f>
        <v/>
      </c>
      <c r="G3361" s="29">
        <f>VLOOKUP(A3361,Calendar!$A$1:$H$9997,6,FALSE)-F3361</f>
        <v/>
      </c>
      <c r="H3361" s="19" t="n">
        <v>1</v>
      </c>
      <c r="I3361" s="57" t="n">
        <v>3</v>
      </c>
    </row>
    <row r="3362">
      <c r="A3362" s="62" t="n">
        <v>46185</v>
      </c>
      <c r="B3362" s="3" t="inlineStr">
        <is>
          <t>Week</t>
        </is>
      </c>
      <c r="C3362" s="19" t="n">
        <v>6</v>
      </c>
      <c r="D3362" s="19" t="n">
        <v>2026</v>
      </c>
      <c r="E3362" s="57" t="n">
        <v>4</v>
      </c>
      <c r="F3362" s="29">
        <f>ROUND(((SUMIFS(Calendar!$F$2:$F$9997,Calendar!$B$2:$B$9997,D3362,Calendar!$C$2:$C$9997,C3362)*INDEX(ForeCalc!$B$37:$Y$274,MATCH(_xlfn.CONCAT(H3362," ",I3362),ForeCalc!$A$37:$A$274,0),MATCH(_xlfn.CONCAT(B3362," ",E3362),ForeCalc!$B$36:$Y$36,0))))*VLOOKUP(A3362,Calendar!$A$2:$H$9997,8,FALSE),0)</f>
        <v/>
      </c>
      <c r="G3362" s="29">
        <f>VLOOKUP(A3362,Calendar!$A$1:$H$9997,6,FALSE)-F3362</f>
        <v/>
      </c>
      <c r="H3362" s="19" t="n">
        <v>1</v>
      </c>
      <c r="I3362" s="57" t="n">
        <v>3</v>
      </c>
    </row>
    <row r="3363">
      <c r="A3363" s="62" t="n">
        <v>46186</v>
      </c>
      <c r="B3363" s="3" t="inlineStr">
        <is>
          <t>Sat</t>
        </is>
      </c>
      <c r="C3363" s="19" t="n">
        <v>6</v>
      </c>
      <c r="D3363" s="19" t="n">
        <v>2026</v>
      </c>
      <c r="E3363" s="57" t="n">
        <v>4</v>
      </c>
      <c r="F3363" s="29">
        <f>ROUND(((SUMIFS(Calendar!$F$2:$F$9997,Calendar!$B$2:$B$9997,D3363,Calendar!$C$2:$C$9997,C3363)*INDEX(ForeCalc!$B$37:$Y$274,MATCH(_xlfn.CONCAT(H3363," ",I3363),ForeCalc!$A$37:$A$274,0),MATCH(_xlfn.CONCAT(B3363," ",E3363),ForeCalc!$B$36:$Y$36,0))))*VLOOKUP(A3363,Calendar!$A$2:$H$9997,8,FALSE),0)</f>
        <v/>
      </c>
      <c r="G3363" s="29">
        <f>VLOOKUP(A3363,Calendar!$A$1:$H$9997,6,FALSE)-F3363</f>
        <v/>
      </c>
      <c r="H3363" s="19" t="n">
        <v>1</v>
      </c>
      <c r="I3363" s="57" t="n">
        <v>3</v>
      </c>
    </row>
    <row r="3364">
      <c r="A3364" s="62" t="n">
        <v>46187</v>
      </c>
      <c r="B3364" s="3" t="inlineStr">
        <is>
          <t>Sun</t>
        </is>
      </c>
      <c r="C3364" s="19" t="n">
        <v>6</v>
      </c>
      <c r="D3364" s="19" t="n">
        <v>2026</v>
      </c>
      <c r="E3364" s="57" t="n">
        <v>4</v>
      </c>
      <c r="F3364" s="29">
        <f>ROUND(((SUMIFS(Calendar!$F$2:$F$9997,Calendar!$B$2:$B$9997,D3364,Calendar!$C$2:$C$9997,C3364)*INDEX(ForeCalc!$B$37:$Y$274,MATCH(_xlfn.CONCAT(H3364," ",I3364),ForeCalc!$A$37:$A$274,0),MATCH(_xlfn.CONCAT(B3364," ",E3364),ForeCalc!$B$36:$Y$36,0))))*VLOOKUP(A3364,Calendar!$A$2:$H$9997,8,FALSE),0)</f>
        <v/>
      </c>
      <c r="G3364" s="29">
        <f>VLOOKUP(A3364,Calendar!$A$1:$H$9997,6,FALSE)-F3364</f>
        <v/>
      </c>
      <c r="H3364" s="19" t="n">
        <v>1</v>
      </c>
      <c r="I3364" s="57" t="n">
        <v>3</v>
      </c>
    </row>
    <row r="3365">
      <c r="A3365" s="62" t="n">
        <v>46188</v>
      </c>
      <c r="B3365" s="3" t="inlineStr">
        <is>
          <t>Week</t>
        </is>
      </c>
      <c r="C3365" s="19" t="n">
        <v>6</v>
      </c>
      <c r="D3365" s="19" t="n">
        <v>2026</v>
      </c>
      <c r="E3365" s="57" t="n">
        <v>4</v>
      </c>
      <c r="F3365" s="29">
        <f>ROUND(((SUMIFS(Calendar!$F$2:$F$9997,Calendar!$B$2:$B$9997,D3365,Calendar!$C$2:$C$9997,C3365)*INDEX(ForeCalc!$B$37:$Y$274,MATCH(_xlfn.CONCAT(H3365," ",I3365),ForeCalc!$A$37:$A$274,0),MATCH(_xlfn.CONCAT(B3365," ",E3365),ForeCalc!$B$36:$Y$36,0))))*VLOOKUP(A3365,Calendar!$A$2:$H$9997,8,FALSE),0)</f>
        <v/>
      </c>
      <c r="G3365" s="29">
        <f>VLOOKUP(A3365,Calendar!$A$1:$H$9997,6,FALSE)-F3365</f>
        <v/>
      </c>
      <c r="H3365" s="19" t="n">
        <v>1</v>
      </c>
      <c r="I3365" s="57" t="n">
        <v>3</v>
      </c>
    </row>
    <row r="3366">
      <c r="A3366" s="62" t="n">
        <v>46189</v>
      </c>
      <c r="B3366" s="3" t="inlineStr">
        <is>
          <t>Week</t>
        </is>
      </c>
      <c r="C3366" s="19" t="n">
        <v>6</v>
      </c>
      <c r="D3366" s="19" t="n">
        <v>2026</v>
      </c>
      <c r="E3366" s="57" t="n">
        <v>4</v>
      </c>
      <c r="F3366" s="29">
        <f>ROUND(((SUMIFS(Calendar!$F$2:$F$9997,Calendar!$B$2:$B$9997,D3366,Calendar!$C$2:$C$9997,C3366)*INDEX(ForeCalc!$B$37:$Y$274,MATCH(_xlfn.CONCAT(H3366," ",I3366),ForeCalc!$A$37:$A$274,0),MATCH(_xlfn.CONCAT(B3366," ",E3366),ForeCalc!$B$36:$Y$36,0))))*VLOOKUP(A3366,Calendar!$A$2:$H$9997,8,FALSE),0)</f>
        <v/>
      </c>
      <c r="G3366" s="29">
        <f>VLOOKUP(A3366,Calendar!$A$1:$H$9997,6,FALSE)-F3366</f>
        <v/>
      </c>
      <c r="H3366" s="19" t="n">
        <v>1</v>
      </c>
      <c r="I3366" s="57" t="n">
        <v>3</v>
      </c>
    </row>
    <row r="3367">
      <c r="A3367" s="62" t="n">
        <v>46190</v>
      </c>
      <c r="B3367" s="3" t="inlineStr">
        <is>
          <t>Week</t>
        </is>
      </c>
      <c r="C3367" s="19" t="n">
        <v>6</v>
      </c>
      <c r="D3367" s="19" t="n">
        <v>2026</v>
      </c>
      <c r="E3367" s="57" t="n">
        <v>4</v>
      </c>
      <c r="F3367" s="29">
        <f>ROUND(((SUMIFS(Calendar!$F$2:$F$9997,Calendar!$B$2:$B$9997,D3367,Calendar!$C$2:$C$9997,C3367)*INDEX(ForeCalc!$B$37:$Y$274,MATCH(_xlfn.CONCAT(H3367," ",I3367),ForeCalc!$A$37:$A$274,0),MATCH(_xlfn.CONCAT(B3367," ",E3367),ForeCalc!$B$36:$Y$36,0))))*VLOOKUP(A3367,Calendar!$A$2:$H$9997,8,FALSE),0)</f>
        <v/>
      </c>
      <c r="G3367" s="29">
        <f>VLOOKUP(A3367,Calendar!$A$1:$H$9997,6,FALSE)-F3367</f>
        <v/>
      </c>
      <c r="H3367" s="19" t="n">
        <v>1</v>
      </c>
      <c r="I3367" s="57" t="n">
        <v>3</v>
      </c>
    </row>
    <row r="3368">
      <c r="A3368" s="62" t="n">
        <v>46191</v>
      </c>
      <c r="B3368" s="3" t="inlineStr">
        <is>
          <t>Week</t>
        </is>
      </c>
      <c r="C3368" s="19" t="n">
        <v>6</v>
      </c>
      <c r="D3368" s="19" t="n">
        <v>2026</v>
      </c>
      <c r="E3368" s="57" t="n">
        <v>4</v>
      </c>
      <c r="F3368" s="29">
        <f>ROUND(((SUMIFS(Calendar!$F$2:$F$9997,Calendar!$B$2:$B$9997,D3368,Calendar!$C$2:$C$9997,C3368)*INDEX(ForeCalc!$B$37:$Y$274,MATCH(_xlfn.CONCAT(H3368," ",I3368),ForeCalc!$A$37:$A$274,0),MATCH(_xlfn.CONCAT(B3368," ",E3368),ForeCalc!$B$36:$Y$36,0))))*VLOOKUP(A3368,Calendar!$A$2:$H$9997,8,FALSE),0)</f>
        <v/>
      </c>
      <c r="G3368" s="29">
        <f>VLOOKUP(A3368,Calendar!$A$1:$H$9997,6,FALSE)-F3368</f>
        <v/>
      </c>
      <c r="H3368" s="19" t="n">
        <v>1</v>
      </c>
      <c r="I3368" s="57" t="n">
        <v>3</v>
      </c>
    </row>
    <row r="3369">
      <c r="A3369" s="62" t="n">
        <v>46192</v>
      </c>
      <c r="B3369" s="3" t="inlineStr">
        <is>
          <t>Week</t>
        </is>
      </c>
      <c r="C3369" s="19" t="n">
        <v>6</v>
      </c>
      <c r="D3369" s="19" t="n">
        <v>2026</v>
      </c>
      <c r="E3369" s="57" t="n">
        <v>4</v>
      </c>
      <c r="F3369" s="29">
        <f>ROUND(((SUMIFS(Calendar!$F$2:$F$9997,Calendar!$B$2:$B$9997,D3369,Calendar!$C$2:$C$9997,C3369)*INDEX(ForeCalc!$B$37:$Y$274,MATCH(_xlfn.CONCAT(H3369," ",I3369),ForeCalc!$A$37:$A$274,0),MATCH(_xlfn.CONCAT(B3369," ",E3369),ForeCalc!$B$36:$Y$36,0))))*VLOOKUP(A3369,Calendar!$A$2:$H$9997,8,FALSE),0)</f>
        <v/>
      </c>
      <c r="G3369" s="29">
        <f>VLOOKUP(A3369,Calendar!$A$1:$H$9997,6,FALSE)-F3369</f>
        <v/>
      </c>
      <c r="H3369" s="19" t="n">
        <v>1</v>
      </c>
      <c r="I3369" s="57" t="n">
        <v>3</v>
      </c>
    </row>
    <row r="3370">
      <c r="A3370" s="62" t="n">
        <v>46193</v>
      </c>
      <c r="B3370" s="3" t="inlineStr">
        <is>
          <t>Sat</t>
        </is>
      </c>
      <c r="C3370" s="19" t="n">
        <v>6</v>
      </c>
      <c r="D3370" s="19" t="n">
        <v>2026</v>
      </c>
      <c r="E3370" s="57" t="n">
        <v>4</v>
      </c>
      <c r="F3370" s="29">
        <f>ROUND(((SUMIFS(Calendar!$F$2:$F$9997,Calendar!$B$2:$B$9997,D3370,Calendar!$C$2:$C$9997,C3370)*INDEX(ForeCalc!$B$37:$Y$274,MATCH(_xlfn.CONCAT(H3370," ",I3370),ForeCalc!$A$37:$A$274,0),MATCH(_xlfn.CONCAT(B3370," ",E3370),ForeCalc!$B$36:$Y$36,0))))*VLOOKUP(A3370,Calendar!$A$2:$H$9997,8,FALSE),0)</f>
        <v/>
      </c>
      <c r="G3370" s="29">
        <f>VLOOKUP(A3370,Calendar!$A$1:$H$9997,6,FALSE)-F3370</f>
        <v/>
      </c>
      <c r="H3370" s="19" t="n">
        <v>1</v>
      </c>
      <c r="I3370" s="57" t="n">
        <v>3</v>
      </c>
    </row>
    <row r="3371">
      <c r="A3371" s="62" t="n">
        <v>46194</v>
      </c>
      <c r="B3371" s="3" t="inlineStr">
        <is>
          <t>Sun</t>
        </is>
      </c>
      <c r="C3371" s="19" t="n">
        <v>6</v>
      </c>
      <c r="D3371" s="19" t="n">
        <v>2026</v>
      </c>
      <c r="E3371" s="57" t="n">
        <v>4</v>
      </c>
      <c r="F3371" s="29">
        <f>ROUND(((SUMIFS(Calendar!$F$2:$F$9997,Calendar!$B$2:$B$9997,D3371,Calendar!$C$2:$C$9997,C3371)*INDEX(ForeCalc!$B$37:$Y$274,MATCH(_xlfn.CONCAT(H3371," ",I3371),ForeCalc!$A$37:$A$274,0),MATCH(_xlfn.CONCAT(B3371," ",E3371),ForeCalc!$B$36:$Y$36,0))))*VLOOKUP(A3371,Calendar!$A$2:$H$9997,8,FALSE),0)</f>
        <v/>
      </c>
      <c r="G3371" s="29">
        <f>VLOOKUP(A3371,Calendar!$A$1:$H$9997,6,FALSE)-F3371</f>
        <v/>
      </c>
      <c r="H3371" s="19" t="n">
        <v>1</v>
      </c>
      <c r="I3371" s="57" t="n">
        <v>3</v>
      </c>
    </row>
    <row r="3372">
      <c r="A3372" s="62" t="n">
        <v>46195</v>
      </c>
      <c r="B3372" s="3" t="inlineStr">
        <is>
          <t>Week</t>
        </is>
      </c>
      <c r="C3372" s="19" t="n">
        <v>6</v>
      </c>
      <c r="D3372" s="19" t="n">
        <v>2026</v>
      </c>
      <c r="E3372" s="57" t="n">
        <v>4</v>
      </c>
      <c r="F3372" s="29">
        <f>ROUND(((SUMIFS(Calendar!$F$2:$F$9997,Calendar!$B$2:$B$9997,D3372,Calendar!$C$2:$C$9997,C3372)*INDEX(ForeCalc!$B$37:$Y$274,MATCH(_xlfn.CONCAT(H3372," ",I3372),ForeCalc!$A$37:$A$274,0),MATCH(_xlfn.CONCAT(B3372," ",E3372),ForeCalc!$B$36:$Y$36,0))))*VLOOKUP(A3372,Calendar!$A$2:$H$9997,8,FALSE),0)</f>
        <v/>
      </c>
      <c r="G3372" s="29">
        <f>VLOOKUP(A3372,Calendar!$A$1:$H$9997,6,FALSE)-F3372</f>
        <v/>
      </c>
      <c r="H3372" s="19" t="n">
        <v>1</v>
      </c>
      <c r="I3372" s="57" t="n">
        <v>3</v>
      </c>
    </row>
    <row r="3373">
      <c r="A3373" s="62" t="n">
        <v>46196</v>
      </c>
      <c r="B3373" s="3" t="inlineStr">
        <is>
          <t>Week</t>
        </is>
      </c>
      <c r="C3373" s="19" t="n">
        <v>6</v>
      </c>
      <c r="D3373" s="19" t="n">
        <v>2026</v>
      </c>
      <c r="E3373" s="57" t="n">
        <v>4</v>
      </c>
      <c r="F3373" s="29">
        <f>ROUND(((SUMIFS(Calendar!$F$2:$F$9997,Calendar!$B$2:$B$9997,D3373,Calendar!$C$2:$C$9997,C3373)*INDEX(ForeCalc!$B$37:$Y$274,MATCH(_xlfn.CONCAT(H3373," ",I3373),ForeCalc!$A$37:$A$274,0),MATCH(_xlfn.CONCAT(B3373," ",E3373),ForeCalc!$B$36:$Y$36,0))))*VLOOKUP(A3373,Calendar!$A$2:$H$9997,8,FALSE),0)</f>
        <v/>
      </c>
      <c r="G3373" s="29">
        <f>VLOOKUP(A3373,Calendar!$A$1:$H$9997,6,FALSE)-F3373</f>
        <v/>
      </c>
      <c r="H3373" s="19" t="n">
        <v>1</v>
      </c>
      <c r="I3373" s="57" t="n">
        <v>3</v>
      </c>
    </row>
    <row r="3374">
      <c r="A3374" s="62" t="n">
        <v>46197</v>
      </c>
      <c r="B3374" s="3" t="inlineStr">
        <is>
          <t>Week</t>
        </is>
      </c>
      <c r="C3374" s="19" t="n">
        <v>6</v>
      </c>
      <c r="D3374" s="19" t="n">
        <v>2026</v>
      </c>
      <c r="E3374" s="57" t="n">
        <v>4</v>
      </c>
      <c r="F3374" s="29">
        <f>ROUND(((SUMIFS(Calendar!$F$2:$F$9997,Calendar!$B$2:$B$9997,D3374,Calendar!$C$2:$C$9997,C3374)*INDEX(ForeCalc!$B$37:$Y$274,MATCH(_xlfn.CONCAT(H3374," ",I3374),ForeCalc!$A$37:$A$274,0),MATCH(_xlfn.CONCAT(B3374," ",E3374),ForeCalc!$B$36:$Y$36,0))))*VLOOKUP(A3374,Calendar!$A$2:$H$9997,8,FALSE),0)</f>
        <v/>
      </c>
      <c r="G3374" s="29">
        <f>VLOOKUP(A3374,Calendar!$A$1:$H$9997,6,FALSE)-F3374</f>
        <v/>
      </c>
      <c r="H3374" s="19" t="n">
        <v>1</v>
      </c>
      <c r="I3374" s="57" t="n">
        <v>3</v>
      </c>
    </row>
    <row r="3375">
      <c r="A3375" s="62" t="n">
        <v>46198</v>
      </c>
      <c r="B3375" s="3" t="inlineStr">
        <is>
          <t>Week</t>
        </is>
      </c>
      <c r="C3375" s="19" t="n">
        <v>6</v>
      </c>
      <c r="D3375" s="19" t="n">
        <v>2026</v>
      </c>
      <c r="E3375" s="57" t="n">
        <v>4</v>
      </c>
      <c r="F3375" s="29">
        <f>ROUND(((SUMIFS(Calendar!$F$2:$F$9997,Calendar!$B$2:$B$9997,D3375,Calendar!$C$2:$C$9997,C3375)*INDEX(ForeCalc!$B$37:$Y$274,MATCH(_xlfn.CONCAT(H3375," ",I3375),ForeCalc!$A$37:$A$274,0),MATCH(_xlfn.CONCAT(B3375," ",E3375),ForeCalc!$B$36:$Y$36,0))))*VLOOKUP(A3375,Calendar!$A$2:$H$9997,8,FALSE),0)</f>
        <v/>
      </c>
      <c r="G3375" s="29">
        <f>VLOOKUP(A3375,Calendar!$A$1:$H$9997,6,FALSE)-F3375</f>
        <v/>
      </c>
      <c r="H3375" s="19" t="n">
        <v>1</v>
      </c>
      <c r="I3375" s="57" t="n">
        <v>3</v>
      </c>
    </row>
    <row r="3376">
      <c r="A3376" s="62" t="n">
        <v>46199</v>
      </c>
      <c r="B3376" s="3" t="inlineStr">
        <is>
          <t>Week</t>
        </is>
      </c>
      <c r="C3376" s="19" t="n">
        <v>6</v>
      </c>
      <c r="D3376" s="19" t="n">
        <v>2026</v>
      </c>
      <c r="E3376" s="57" t="n">
        <v>4</v>
      </c>
      <c r="F3376" s="29">
        <f>ROUND(((SUMIFS(Calendar!$F$2:$F$9997,Calendar!$B$2:$B$9997,D3376,Calendar!$C$2:$C$9997,C3376)*INDEX(ForeCalc!$B$37:$Y$274,MATCH(_xlfn.CONCAT(H3376," ",I3376),ForeCalc!$A$37:$A$274,0),MATCH(_xlfn.CONCAT(B3376," ",E3376),ForeCalc!$B$36:$Y$36,0))))*VLOOKUP(A3376,Calendar!$A$2:$H$9997,8,FALSE),0)</f>
        <v/>
      </c>
      <c r="G3376" s="29">
        <f>VLOOKUP(A3376,Calendar!$A$1:$H$9997,6,FALSE)-F3376</f>
        <v/>
      </c>
      <c r="H3376" s="19" t="n">
        <v>1</v>
      </c>
      <c r="I3376" s="57" t="n">
        <v>3</v>
      </c>
    </row>
    <row r="3377">
      <c r="A3377" s="62" t="n">
        <v>46200</v>
      </c>
      <c r="B3377" s="3" t="inlineStr">
        <is>
          <t>Sat</t>
        </is>
      </c>
      <c r="C3377" s="19" t="n">
        <v>6</v>
      </c>
      <c r="D3377" s="19" t="n">
        <v>2026</v>
      </c>
      <c r="E3377" s="57" t="n">
        <v>4</v>
      </c>
      <c r="F3377" s="29">
        <f>ROUND(((SUMIFS(Calendar!$F$2:$F$9997,Calendar!$B$2:$B$9997,D3377,Calendar!$C$2:$C$9997,C3377)*INDEX(ForeCalc!$B$37:$Y$274,MATCH(_xlfn.CONCAT(H3377," ",I3377),ForeCalc!$A$37:$A$274,0),MATCH(_xlfn.CONCAT(B3377," ",E3377),ForeCalc!$B$36:$Y$36,0))))*VLOOKUP(A3377,Calendar!$A$2:$H$9997,8,FALSE),0)</f>
        <v/>
      </c>
      <c r="G3377" s="29">
        <f>VLOOKUP(A3377,Calendar!$A$1:$H$9997,6,FALSE)-F3377</f>
        <v/>
      </c>
      <c r="H3377" s="19" t="n">
        <v>1</v>
      </c>
      <c r="I3377" s="57" t="n">
        <v>3</v>
      </c>
    </row>
    <row r="3378">
      <c r="A3378" s="62" t="n">
        <v>46201</v>
      </c>
      <c r="B3378" s="3" t="inlineStr">
        <is>
          <t>Sun</t>
        </is>
      </c>
      <c r="C3378" s="19" t="n">
        <v>6</v>
      </c>
      <c r="D3378" s="19" t="n">
        <v>2026</v>
      </c>
      <c r="E3378" s="57" t="n">
        <v>4</v>
      </c>
      <c r="F3378" s="29">
        <f>ROUND(((SUMIFS(Calendar!$F$2:$F$9997,Calendar!$B$2:$B$9997,D3378,Calendar!$C$2:$C$9997,C3378)*INDEX(ForeCalc!$B$37:$Y$274,MATCH(_xlfn.CONCAT(H3378," ",I3378),ForeCalc!$A$37:$A$274,0),MATCH(_xlfn.CONCAT(B3378," ",E3378),ForeCalc!$B$36:$Y$36,0))))*VLOOKUP(A3378,Calendar!$A$2:$H$9997,8,FALSE),0)</f>
        <v/>
      </c>
      <c r="G3378" s="29">
        <f>VLOOKUP(A3378,Calendar!$A$1:$H$9997,6,FALSE)-F3378</f>
        <v/>
      </c>
      <c r="H3378" s="19" t="n">
        <v>1</v>
      </c>
      <c r="I3378" s="57" t="n">
        <v>3</v>
      </c>
    </row>
    <row r="3379">
      <c r="A3379" s="62" t="n">
        <v>46202</v>
      </c>
      <c r="B3379" s="3" t="inlineStr">
        <is>
          <t>Week</t>
        </is>
      </c>
      <c r="C3379" s="19" t="n">
        <v>6</v>
      </c>
      <c r="D3379" s="19" t="n">
        <v>2026</v>
      </c>
      <c r="E3379" s="57" t="n">
        <v>4</v>
      </c>
      <c r="F3379" s="29">
        <f>ROUND(((SUMIFS(Calendar!$F$2:$F$9997,Calendar!$B$2:$B$9997,D3379,Calendar!$C$2:$C$9997,C3379)*INDEX(ForeCalc!$B$37:$Y$274,MATCH(_xlfn.CONCAT(H3379," ",I3379),ForeCalc!$A$37:$A$274,0),MATCH(_xlfn.CONCAT(B3379," ",E3379),ForeCalc!$B$36:$Y$36,0))))*VLOOKUP(A3379,Calendar!$A$2:$H$9997,8,FALSE),0)</f>
        <v/>
      </c>
      <c r="G3379" s="29">
        <f>VLOOKUP(A3379,Calendar!$A$1:$H$9997,6,FALSE)-F3379</f>
        <v/>
      </c>
      <c r="H3379" s="19" t="n">
        <v>1</v>
      </c>
      <c r="I3379" s="57" t="n">
        <v>3</v>
      </c>
    </row>
    <row r="3380">
      <c r="A3380" s="62" t="n">
        <v>46203</v>
      </c>
      <c r="B3380" s="3" t="inlineStr">
        <is>
          <t>Week</t>
        </is>
      </c>
      <c r="C3380" s="19" t="n">
        <v>6</v>
      </c>
      <c r="D3380" s="19" t="n">
        <v>2026</v>
      </c>
      <c r="E3380" s="57" t="n">
        <v>4</v>
      </c>
      <c r="F3380" s="29">
        <f>ROUND(((SUMIFS(Calendar!$F$2:$F$9997,Calendar!$B$2:$B$9997,D3380,Calendar!$C$2:$C$9997,C3380)*INDEX(ForeCalc!$B$37:$Y$274,MATCH(_xlfn.CONCAT(H3380," ",I3380),ForeCalc!$A$37:$A$274,0),MATCH(_xlfn.CONCAT(B3380," ",E3380),ForeCalc!$B$36:$Y$36,0))))*VLOOKUP(A3380,Calendar!$A$2:$H$9997,8,FALSE),0)</f>
        <v/>
      </c>
      <c r="G3380" s="29">
        <f>VLOOKUP(A3380,Calendar!$A$1:$H$9997,6,FALSE)-F3380</f>
        <v/>
      </c>
      <c r="H3380" s="19" t="n">
        <v>1</v>
      </c>
      <c r="I3380" s="57" t="n">
        <v>3</v>
      </c>
    </row>
    <row r="3381">
      <c r="A3381" s="62" t="n">
        <v>46204</v>
      </c>
      <c r="B3381" s="3" t="inlineStr">
        <is>
          <t>Week</t>
        </is>
      </c>
      <c r="C3381" s="19" t="n">
        <v>7</v>
      </c>
      <c r="D3381" s="19" t="n">
        <v>2026</v>
      </c>
      <c r="E3381" s="57" t="n">
        <v>4</v>
      </c>
      <c r="F3381" s="29">
        <f>ROUND(((SUMIFS(Calendar!$F$2:$F$9997,Calendar!$B$2:$B$9997,D3381,Calendar!$C$2:$C$9997,C3381)*INDEX(ForeCalc!$B$37:$Y$274,MATCH(_xlfn.CONCAT(H3381," ",I3381),ForeCalc!$A$37:$A$274,0),MATCH(_xlfn.CONCAT(B3381," ",E3381),ForeCalc!$B$36:$Y$36,0))))*VLOOKUP(A3381,Calendar!$A$2:$H$9997,8,FALSE),0)</f>
        <v/>
      </c>
      <c r="G3381" s="29">
        <f>VLOOKUP(A3381,Calendar!$A$1:$H$9997,6,FALSE)-F3381</f>
        <v/>
      </c>
      <c r="H3381" s="19" t="n">
        <v>1</v>
      </c>
      <c r="I3381" s="57" t="n">
        <v>4</v>
      </c>
    </row>
    <row r="3382">
      <c r="A3382" s="62" t="n">
        <v>46205</v>
      </c>
      <c r="B3382" s="3" t="inlineStr">
        <is>
          <t>Week</t>
        </is>
      </c>
      <c r="C3382" s="19" t="n">
        <v>7</v>
      </c>
      <c r="D3382" s="19" t="n">
        <v>2026</v>
      </c>
      <c r="E3382" s="57" t="n">
        <v>4</v>
      </c>
      <c r="F3382" s="29">
        <f>ROUND(((SUMIFS(Calendar!$F$2:$F$9997,Calendar!$B$2:$B$9997,D3382,Calendar!$C$2:$C$9997,C3382)*INDEX(ForeCalc!$B$37:$Y$274,MATCH(_xlfn.CONCAT(H3382," ",I3382),ForeCalc!$A$37:$A$274,0),MATCH(_xlfn.CONCAT(B3382," ",E3382),ForeCalc!$B$36:$Y$36,0))))*VLOOKUP(A3382,Calendar!$A$2:$H$9997,8,FALSE),0)</f>
        <v/>
      </c>
      <c r="G3382" s="29">
        <f>VLOOKUP(A3382,Calendar!$A$1:$H$9997,6,FALSE)-F3382</f>
        <v/>
      </c>
      <c r="H3382" s="19" t="n">
        <v>1</v>
      </c>
      <c r="I3382" s="57" t="n">
        <v>4</v>
      </c>
    </row>
    <row r="3383">
      <c r="A3383" s="62" t="n">
        <v>46206</v>
      </c>
      <c r="B3383" s="3" t="inlineStr">
        <is>
          <t>Week</t>
        </is>
      </c>
      <c r="C3383" s="19" t="n">
        <v>7</v>
      </c>
      <c r="D3383" s="19" t="n">
        <v>2026</v>
      </c>
      <c r="E3383" s="57" t="n">
        <v>4</v>
      </c>
      <c r="F3383" s="29">
        <f>ROUND(((SUMIFS(Calendar!$F$2:$F$9997,Calendar!$B$2:$B$9997,D3383,Calendar!$C$2:$C$9997,C3383)*INDEX(ForeCalc!$B$37:$Y$274,MATCH(_xlfn.CONCAT(H3383," ",I3383),ForeCalc!$A$37:$A$274,0),MATCH(_xlfn.CONCAT(B3383," ",E3383),ForeCalc!$B$36:$Y$36,0))))*VLOOKUP(A3383,Calendar!$A$2:$H$9997,8,FALSE),0)</f>
        <v/>
      </c>
      <c r="G3383" s="29">
        <f>VLOOKUP(A3383,Calendar!$A$1:$H$9997,6,FALSE)-F3383</f>
        <v/>
      </c>
      <c r="H3383" s="19" t="n">
        <v>1</v>
      </c>
      <c r="I3383" s="57" t="n">
        <v>4</v>
      </c>
    </row>
    <row r="3384">
      <c r="A3384" s="62" t="n">
        <v>46207</v>
      </c>
      <c r="B3384" s="3" t="inlineStr">
        <is>
          <t>Sat</t>
        </is>
      </c>
      <c r="C3384" s="19" t="n">
        <v>7</v>
      </c>
      <c r="D3384" s="19" t="n">
        <v>2026</v>
      </c>
      <c r="E3384" s="57" t="n">
        <v>4</v>
      </c>
      <c r="F3384" s="29">
        <f>ROUND(((SUMIFS(Calendar!$F$2:$F$9997,Calendar!$B$2:$B$9997,D3384,Calendar!$C$2:$C$9997,C3384)*INDEX(ForeCalc!$B$37:$Y$274,MATCH(_xlfn.CONCAT(H3384," ",I3384),ForeCalc!$A$37:$A$274,0),MATCH(_xlfn.CONCAT(B3384," ",E3384),ForeCalc!$B$36:$Y$36,0))))*VLOOKUP(A3384,Calendar!$A$2:$H$9997,8,FALSE),0)</f>
        <v/>
      </c>
      <c r="G3384" s="29">
        <f>VLOOKUP(A3384,Calendar!$A$1:$H$9997,6,FALSE)-F3384</f>
        <v/>
      </c>
      <c r="H3384" s="19" t="n">
        <v>1</v>
      </c>
      <c r="I3384" s="57" t="n">
        <v>4</v>
      </c>
    </row>
    <row r="3385">
      <c r="A3385" s="62" t="n">
        <v>46208</v>
      </c>
      <c r="B3385" s="3" t="inlineStr">
        <is>
          <t>Sun</t>
        </is>
      </c>
      <c r="C3385" s="19" t="n">
        <v>7</v>
      </c>
      <c r="D3385" s="19" t="n">
        <v>2026</v>
      </c>
      <c r="E3385" s="57" t="n">
        <v>4</v>
      </c>
      <c r="F3385" s="29">
        <f>ROUND(((SUMIFS(Calendar!$F$2:$F$9997,Calendar!$B$2:$B$9997,D3385,Calendar!$C$2:$C$9997,C3385)*INDEX(ForeCalc!$B$37:$Y$274,MATCH(_xlfn.CONCAT(H3385," ",I3385),ForeCalc!$A$37:$A$274,0),MATCH(_xlfn.CONCAT(B3385," ",E3385),ForeCalc!$B$36:$Y$36,0))))*VLOOKUP(A3385,Calendar!$A$2:$H$9997,8,FALSE),0)</f>
        <v/>
      </c>
      <c r="G3385" s="29">
        <f>VLOOKUP(A3385,Calendar!$A$1:$H$9997,6,FALSE)-F3385</f>
        <v/>
      </c>
      <c r="H3385" s="19" t="n">
        <v>1</v>
      </c>
      <c r="I3385" s="57" t="n">
        <v>4</v>
      </c>
    </row>
    <row r="3386">
      <c r="A3386" s="62" t="n">
        <v>46209</v>
      </c>
      <c r="B3386" s="3" t="inlineStr">
        <is>
          <t>Week</t>
        </is>
      </c>
      <c r="C3386" s="19" t="n">
        <v>7</v>
      </c>
      <c r="D3386" s="19" t="n">
        <v>2026</v>
      </c>
      <c r="E3386" s="57" t="n">
        <v>4</v>
      </c>
      <c r="F3386" s="29">
        <f>ROUND(((SUMIFS(Calendar!$F$2:$F$9997,Calendar!$B$2:$B$9997,D3386,Calendar!$C$2:$C$9997,C3386)*INDEX(ForeCalc!$B$37:$Y$274,MATCH(_xlfn.CONCAT(H3386," ",I3386),ForeCalc!$A$37:$A$274,0),MATCH(_xlfn.CONCAT(B3386," ",E3386),ForeCalc!$B$36:$Y$36,0))))*VLOOKUP(A3386,Calendar!$A$2:$H$9997,8,FALSE),0)</f>
        <v/>
      </c>
      <c r="G3386" s="29">
        <f>VLOOKUP(A3386,Calendar!$A$1:$H$9997,6,FALSE)-F3386</f>
        <v/>
      </c>
      <c r="H3386" s="19" t="n">
        <v>1</v>
      </c>
      <c r="I3386" s="57" t="n">
        <v>4</v>
      </c>
    </row>
    <row r="3387">
      <c r="A3387" s="62" t="n">
        <v>46210</v>
      </c>
      <c r="B3387" s="3" t="inlineStr">
        <is>
          <t>Week</t>
        </is>
      </c>
      <c r="C3387" s="19" t="n">
        <v>7</v>
      </c>
      <c r="D3387" s="19" t="n">
        <v>2026</v>
      </c>
      <c r="E3387" s="57" t="n">
        <v>4</v>
      </c>
      <c r="F3387" s="29">
        <f>ROUND(((SUMIFS(Calendar!$F$2:$F$9997,Calendar!$B$2:$B$9997,D3387,Calendar!$C$2:$C$9997,C3387)*INDEX(ForeCalc!$B$37:$Y$274,MATCH(_xlfn.CONCAT(H3387," ",I3387),ForeCalc!$A$37:$A$274,0),MATCH(_xlfn.CONCAT(B3387," ",E3387),ForeCalc!$B$36:$Y$36,0))))*VLOOKUP(A3387,Calendar!$A$2:$H$9997,8,FALSE),0)</f>
        <v/>
      </c>
      <c r="G3387" s="29">
        <f>VLOOKUP(A3387,Calendar!$A$1:$H$9997,6,FALSE)-F3387</f>
        <v/>
      </c>
      <c r="H3387" s="19" t="n">
        <v>1</v>
      </c>
      <c r="I3387" s="57" t="n">
        <v>4</v>
      </c>
    </row>
    <row r="3388">
      <c r="A3388" s="62" t="n">
        <v>46211</v>
      </c>
      <c r="B3388" s="3" t="inlineStr">
        <is>
          <t>Week</t>
        </is>
      </c>
      <c r="C3388" s="19" t="n">
        <v>7</v>
      </c>
      <c r="D3388" s="19" t="n">
        <v>2026</v>
      </c>
      <c r="E3388" s="57" t="n">
        <v>4</v>
      </c>
      <c r="F3388" s="29">
        <f>ROUND(((SUMIFS(Calendar!$F$2:$F$9997,Calendar!$B$2:$B$9997,D3388,Calendar!$C$2:$C$9997,C3388)*INDEX(ForeCalc!$B$37:$Y$274,MATCH(_xlfn.CONCAT(H3388," ",I3388),ForeCalc!$A$37:$A$274,0),MATCH(_xlfn.CONCAT(B3388," ",E3388),ForeCalc!$B$36:$Y$36,0))))*VLOOKUP(A3388,Calendar!$A$2:$H$9997,8,FALSE),0)</f>
        <v/>
      </c>
      <c r="G3388" s="29">
        <f>VLOOKUP(A3388,Calendar!$A$1:$H$9997,6,FALSE)-F3388</f>
        <v/>
      </c>
      <c r="H3388" s="19" t="n">
        <v>1</v>
      </c>
      <c r="I3388" s="57" t="n">
        <v>4</v>
      </c>
    </row>
    <row r="3389">
      <c r="A3389" s="62" t="n">
        <v>46212</v>
      </c>
      <c r="B3389" s="3" t="inlineStr">
        <is>
          <t>Week</t>
        </is>
      </c>
      <c r="C3389" s="19" t="n">
        <v>7</v>
      </c>
      <c r="D3389" s="19" t="n">
        <v>2026</v>
      </c>
      <c r="E3389" s="57" t="n">
        <v>4</v>
      </c>
      <c r="F3389" s="29">
        <f>ROUND(((SUMIFS(Calendar!$F$2:$F$9997,Calendar!$B$2:$B$9997,D3389,Calendar!$C$2:$C$9997,C3389)*INDEX(ForeCalc!$B$37:$Y$274,MATCH(_xlfn.CONCAT(H3389," ",I3389),ForeCalc!$A$37:$A$274,0),MATCH(_xlfn.CONCAT(B3389," ",E3389),ForeCalc!$B$36:$Y$36,0))))*VLOOKUP(A3389,Calendar!$A$2:$H$9997,8,FALSE),0)</f>
        <v/>
      </c>
      <c r="G3389" s="29">
        <f>VLOOKUP(A3389,Calendar!$A$1:$H$9997,6,FALSE)-F3389</f>
        <v/>
      </c>
      <c r="H3389" s="19" t="n">
        <v>1</v>
      </c>
      <c r="I3389" s="57" t="n">
        <v>4</v>
      </c>
    </row>
    <row r="3390">
      <c r="A3390" s="62" t="n">
        <v>46213</v>
      </c>
      <c r="B3390" s="3" t="inlineStr">
        <is>
          <t>Week</t>
        </is>
      </c>
      <c r="C3390" s="19" t="n">
        <v>7</v>
      </c>
      <c r="D3390" s="19" t="n">
        <v>2026</v>
      </c>
      <c r="E3390" s="57" t="n">
        <v>4</v>
      </c>
      <c r="F3390" s="29">
        <f>ROUND(((SUMIFS(Calendar!$F$2:$F$9997,Calendar!$B$2:$B$9997,D3390,Calendar!$C$2:$C$9997,C3390)*INDEX(ForeCalc!$B$37:$Y$274,MATCH(_xlfn.CONCAT(H3390," ",I3390),ForeCalc!$A$37:$A$274,0),MATCH(_xlfn.CONCAT(B3390," ",E3390),ForeCalc!$B$36:$Y$36,0))))*VLOOKUP(A3390,Calendar!$A$2:$H$9997,8,FALSE),0)</f>
        <v/>
      </c>
      <c r="G3390" s="29">
        <f>VLOOKUP(A3390,Calendar!$A$1:$H$9997,6,FALSE)-F3390</f>
        <v/>
      </c>
      <c r="H3390" s="19" t="n">
        <v>1</v>
      </c>
      <c r="I3390" s="57" t="n">
        <v>4</v>
      </c>
    </row>
    <row r="3391">
      <c r="A3391" s="62" t="n">
        <v>46214</v>
      </c>
      <c r="B3391" s="3" t="inlineStr">
        <is>
          <t>Sat</t>
        </is>
      </c>
      <c r="C3391" s="19" t="n">
        <v>7</v>
      </c>
      <c r="D3391" s="19" t="n">
        <v>2026</v>
      </c>
      <c r="E3391" s="57" t="n">
        <v>4</v>
      </c>
      <c r="F3391" s="29">
        <f>ROUND(((SUMIFS(Calendar!$F$2:$F$9997,Calendar!$B$2:$B$9997,D3391,Calendar!$C$2:$C$9997,C3391)*INDEX(ForeCalc!$B$37:$Y$274,MATCH(_xlfn.CONCAT(H3391," ",I3391),ForeCalc!$A$37:$A$274,0),MATCH(_xlfn.CONCAT(B3391," ",E3391),ForeCalc!$B$36:$Y$36,0))))*VLOOKUP(A3391,Calendar!$A$2:$H$9997,8,FALSE),0)</f>
        <v/>
      </c>
      <c r="G3391" s="29">
        <f>VLOOKUP(A3391,Calendar!$A$1:$H$9997,6,FALSE)-F3391</f>
        <v/>
      </c>
      <c r="H3391" s="19" t="n">
        <v>1</v>
      </c>
      <c r="I3391" s="57" t="n">
        <v>4</v>
      </c>
    </row>
    <row r="3392">
      <c r="A3392" s="62" t="n">
        <v>46215</v>
      </c>
      <c r="B3392" s="3" t="inlineStr">
        <is>
          <t>Sun</t>
        </is>
      </c>
      <c r="C3392" s="19" t="n">
        <v>7</v>
      </c>
      <c r="D3392" s="19" t="n">
        <v>2026</v>
      </c>
      <c r="E3392" s="57" t="n">
        <v>4</v>
      </c>
      <c r="F3392" s="29">
        <f>ROUND(((SUMIFS(Calendar!$F$2:$F$9997,Calendar!$B$2:$B$9997,D3392,Calendar!$C$2:$C$9997,C3392)*INDEX(ForeCalc!$B$37:$Y$274,MATCH(_xlfn.CONCAT(H3392," ",I3392),ForeCalc!$A$37:$A$274,0),MATCH(_xlfn.CONCAT(B3392," ",E3392),ForeCalc!$B$36:$Y$36,0))))*VLOOKUP(A3392,Calendar!$A$2:$H$9997,8,FALSE),0)</f>
        <v/>
      </c>
      <c r="G3392" s="29">
        <f>VLOOKUP(A3392,Calendar!$A$1:$H$9997,6,FALSE)-F3392</f>
        <v/>
      </c>
      <c r="H3392" s="19" t="n">
        <v>1</v>
      </c>
      <c r="I3392" s="57" t="n">
        <v>4</v>
      </c>
    </row>
    <row r="3393">
      <c r="A3393" s="62" t="n">
        <v>46216</v>
      </c>
      <c r="B3393" s="3" t="inlineStr">
        <is>
          <t>Week</t>
        </is>
      </c>
      <c r="C3393" s="19" t="n">
        <v>7</v>
      </c>
      <c r="D3393" s="19" t="n">
        <v>2026</v>
      </c>
      <c r="E3393" s="57" t="n">
        <v>4</v>
      </c>
      <c r="F3393" s="29">
        <f>ROUND(((SUMIFS(Calendar!$F$2:$F$9997,Calendar!$B$2:$B$9997,D3393,Calendar!$C$2:$C$9997,C3393)*INDEX(ForeCalc!$B$37:$Y$274,MATCH(_xlfn.CONCAT(H3393," ",I3393),ForeCalc!$A$37:$A$274,0),MATCH(_xlfn.CONCAT(B3393," ",E3393),ForeCalc!$B$36:$Y$36,0))))*VLOOKUP(A3393,Calendar!$A$2:$H$9997,8,FALSE),0)</f>
        <v/>
      </c>
      <c r="G3393" s="29">
        <f>VLOOKUP(A3393,Calendar!$A$1:$H$9997,6,FALSE)-F3393</f>
        <v/>
      </c>
      <c r="H3393" s="19" t="n">
        <v>1</v>
      </c>
      <c r="I3393" s="57" t="n">
        <v>4</v>
      </c>
    </row>
    <row r="3394">
      <c r="A3394" s="62" t="n">
        <v>46217</v>
      </c>
      <c r="B3394" s="3" t="inlineStr">
        <is>
          <t>Week</t>
        </is>
      </c>
      <c r="C3394" s="19" t="n">
        <v>7</v>
      </c>
      <c r="D3394" s="19" t="n">
        <v>2026</v>
      </c>
      <c r="E3394" s="57" t="n">
        <v>4</v>
      </c>
      <c r="F3394" s="29">
        <f>ROUND(((SUMIFS(Calendar!$F$2:$F$9997,Calendar!$B$2:$B$9997,D3394,Calendar!$C$2:$C$9997,C3394)*INDEX(ForeCalc!$B$37:$Y$274,MATCH(_xlfn.CONCAT(H3394," ",I3394),ForeCalc!$A$37:$A$274,0),MATCH(_xlfn.CONCAT(B3394," ",E3394),ForeCalc!$B$36:$Y$36,0))))*VLOOKUP(A3394,Calendar!$A$2:$H$9997,8,FALSE),0)</f>
        <v/>
      </c>
      <c r="G3394" s="29">
        <f>VLOOKUP(A3394,Calendar!$A$1:$H$9997,6,FALSE)-F3394</f>
        <v/>
      </c>
      <c r="H3394" s="19" t="n">
        <v>1</v>
      </c>
      <c r="I3394" s="57" t="n">
        <v>4</v>
      </c>
    </row>
    <row r="3395">
      <c r="A3395" s="62" t="n">
        <v>46218</v>
      </c>
      <c r="B3395" s="3" t="inlineStr">
        <is>
          <t>Week</t>
        </is>
      </c>
      <c r="C3395" s="19" t="n">
        <v>7</v>
      </c>
      <c r="D3395" s="19" t="n">
        <v>2026</v>
      </c>
      <c r="E3395" s="57" t="n">
        <v>4</v>
      </c>
      <c r="F3395" s="29">
        <f>ROUND(((SUMIFS(Calendar!$F$2:$F$9997,Calendar!$B$2:$B$9997,D3395,Calendar!$C$2:$C$9997,C3395)*INDEX(ForeCalc!$B$37:$Y$274,MATCH(_xlfn.CONCAT(H3395," ",I3395),ForeCalc!$A$37:$A$274,0),MATCH(_xlfn.CONCAT(B3395," ",E3395),ForeCalc!$B$36:$Y$36,0))))*VLOOKUP(A3395,Calendar!$A$2:$H$9997,8,FALSE),0)</f>
        <v/>
      </c>
      <c r="G3395" s="29">
        <f>VLOOKUP(A3395,Calendar!$A$1:$H$9997,6,FALSE)-F3395</f>
        <v/>
      </c>
      <c r="H3395" s="19" t="n">
        <v>1</v>
      </c>
      <c r="I3395" s="57" t="n">
        <v>4</v>
      </c>
    </row>
    <row r="3396">
      <c r="A3396" s="62" t="n">
        <v>46219</v>
      </c>
      <c r="B3396" s="3" t="inlineStr">
        <is>
          <t>Week</t>
        </is>
      </c>
      <c r="C3396" s="19" t="n">
        <v>7</v>
      </c>
      <c r="D3396" s="19" t="n">
        <v>2026</v>
      </c>
      <c r="E3396" s="57" t="n">
        <v>4</v>
      </c>
      <c r="F3396" s="29">
        <f>ROUND(((SUMIFS(Calendar!$F$2:$F$9997,Calendar!$B$2:$B$9997,D3396,Calendar!$C$2:$C$9997,C3396)*INDEX(ForeCalc!$B$37:$Y$274,MATCH(_xlfn.CONCAT(H3396," ",I3396),ForeCalc!$A$37:$A$274,0),MATCH(_xlfn.CONCAT(B3396," ",E3396),ForeCalc!$B$36:$Y$36,0))))*VLOOKUP(A3396,Calendar!$A$2:$H$9997,8,FALSE),0)</f>
        <v/>
      </c>
      <c r="G3396" s="29">
        <f>VLOOKUP(A3396,Calendar!$A$1:$H$9997,6,FALSE)-F3396</f>
        <v/>
      </c>
      <c r="H3396" s="19" t="n">
        <v>1</v>
      </c>
      <c r="I3396" s="57" t="n">
        <v>4</v>
      </c>
    </row>
    <row r="3397">
      <c r="A3397" s="62" t="n">
        <v>46220</v>
      </c>
      <c r="B3397" s="3" t="inlineStr">
        <is>
          <t>Week</t>
        </is>
      </c>
      <c r="C3397" s="19" t="n">
        <v>7</v>
      </c>
      <c r="D3397" s="19" t="n">
        <v>2026</v>
      </c>
      <c r="E3397" s="57" t="n">
        <v>4</v>
      </c>
      <c r="F3397" s="29">
        <f>ROUND(((SUMIFS(Calendar!$F$2:$F$9997,Calendar!$B$2:$B$9997,D3397,Calendar!$C$2:$C$9997,C3397)*INDEX(ForeCalc!$B$37:$Y$274,MATCH(_xlfn.CONCAT(H3397," ",I3397),ForeCalc!$A$37:$A$274,0),MATCH(_xlfn.CONCAT(B3397," ",E3397),ForeCalc!$B$36:$Y$36,0))))*VLOOKUP(A3397,Calendar!$A$2:$H$9997,8,FALSE),0)</f>
        <v/>
      </c>
      <c r="G3397" s="29">
        <f>VLOOKUP(A3397,Calendar!$A$1:$H$9997,6,FALSE)-F3397</f>
        <v/>
      </c>
      <c r="H3397" s="19" t="n">
        <v>1</v>
      </c>
      <c r="I3397" s="57" t="n">
        <v>4</v>
      </c>
    </row>
    <row r="3398">
      <c r="A3398" s="62" t="n">
        <v>46221</v>
      </c>
      <c r="B3398" s="3" t="inlineStr">
        <is>
          <t>Sat</t>
        </is>
      </c>
      <c r="C3398" s="19" t="n">
        <v>7</v>
      </c>
      <c r="D3398" s="19" t="n">
        <v>2026</v>
      </c>
      <c r="E3398" s="57" t="n">
        <v>4</v>
      </c>
      <c r="F3398" s="29">
        <f>ROUND(((SUMIFS(Calendar!$F$2:$F$9997,Calendar!$B$2:$B$9997,D3398,Calendar!$C$2:$C$9997,C3398)*INDEX(ForeCalc!$B$37:$Y$274,MATCH(_xlfn.CONCAT(H3398," ",I3398),ForeCalc!$A$37:$A$274,0),MATCH(_xlfn.CONCAT(B3398," ",E3398),ForeCalc!$B$36:$Y$36,0))))*VLOOKUP(A3398,Calendar!$A$2:$H$9997,8,FALSE),0)</f>
        <v/>
      </c>
      <c r="G3398" s="29">
        <f>VLOOKUP(A3398,Calendar!$A$1:$H$9997,6,FALSE)-F3398</f>
        <v/>
      </c>
      <c r="H3398" s="19" t="n">
        <v>1</v>
      </c>
      <c r="I3398" s="57" t="n">
        <v>4</v>
      </c>
    </row>
    <row r="3399">
      <c r="A3399" s="62" t="n">
        <v>46222</v>
      </c>
      <c r="B3399" s="3" t="inlineStr">
        <is>
          <t>Sun</t>
        </is>
      </c>
      <c r="C3399" s="19" t="n">
        <v>7</v>
      </c>
      <c r="D3399" s="19" t="n">
        <v>2026</v>
      </c>
      <c r="E3399" s="57" t="n">
        <v>4</v>
      </c>
      <c r="F3399" s="29">
        <f>ROUND(((SUMIFS(Calendar!$F$2:$F$9997,Calendar!$B$2:$B$9997,D3399,Calendar!$C$2:$C$9997,C3399)*INDEX(ForeCalc!$B$37:$Y$274,MATCH(_xlfn.CONCAT(H3399," ",I3399),ForeCalc!$A$37:$A$274,0),MATCH(_xlfn.CONCAT(B3399," ",E3399),ForeCalc!$B$36:$Y$36,0))))*VLOOKUP(A3399,Calendar!$A$2:$H$9997,8,FALSE),0)</f>
        <v/>
      </c>
      <c r="G3399" s="29">
        <f>VLOOKUP(A3399,Calendar!$A$1:$H$9997,6,FALSE)-F3399</f>
        <v/>
      </c>
      <c r="H3399" s="19" t="n">
        <v>1</v>
      </c>
      <c r="I3399" s="57" t="n">
        <v>4</v>
      </c>
    </row>
    <row r="3400">
      <c r="A3400" s="62" t="n">
        <v>46223</v>
      </c>
      <c r="B3400" s="3" t="inlineStr">
        <is>
          <t>Week</t>
        </is>
      </c>
      <c r="C3400" s="19" t="n">
        <v>7</v>
      </c>
      <c r="D3400" s="19" t="n">
        <v>2026</v>
      </c>
      <c r="E3400" s="57" t="n">
        <v>4</v>
      </c>
      <c r="F3400" s="29">
        <f>ROUND(((SUMIFS(Calendar!$F$2:$F$9997,Calendar!$B$2:$B$9997,D3400,Calendar!$C$2:$C$9997,C3400)*INDEX(ForeCalc!$B$37:$Y$274,MATCH(_xlfn.CONCAT(H3400," ",I3400),ForeCalc!$A$37:$A$274,0),MATCH(_xlfn.CONCAT(B3400," ",E3400),ForeCalc!$B$36:$Y$36,0))))*VLOOKUP(A3400,Calendar!$A$2:$H$9997,8,FALSE),0)</f>
        <v/>
      </c>
      <c r="G3400" s="29">
        <f>VLOOKUP(A3400,Calendar!$A$1:$H$9997,6,FALSE)-F3400</f>
        <v/>
      </c>
      <c r="H3400" s="19" t="n">
        <v>1</v>
      </c>
      <c r="I3400" s="57" t="n">
        <v>4</v>
      </c>
    </row>
    <row r="3401">
      <c r="A3401" s="62" t="n">
        <v>46224</v>
      </c>
      <c r="B3401" s="3" t="inlineStr">
        <is>
          <t>Week</t>
        </is>
      </c>
      <c r="C3401" s="19" t="n">
        <v>7</v>
      </c>
      <c r="D3401" s="19" t="n">
        <v>2026</v>
      </c>
      <c r="E3401" s="57" t="n">
        <v>4</v>
      </c>
      <c r="F3401" s="29">
        <f>ROUND(((SUMIFS(Calendar!$F$2:$F$9997,Calendar!$B$2:$B$9997,D3401,Calendar!$C$2:$C$9997,C3401)*INDEX(ForeCalc!$B$37:$Y$274,MATCH(_xlfn.CONCAT(H3401," ",I3401),ForeCalc!$A$37:$A$274,0),MATCH(_xlfn.CONCAT(B3401," ",E3401),ForeCalc!$B$36:$Y$36,0))))*VLOOKUP(A3401,Calendar!$A$2:$H$9997,8,FALSE),0)</f>
        <v/>
      </c>
      <c r="G3401" s="29">
        <f>VLOOKUP(A3401,Calendar!$A$1:$H$9997,6,FALSE)-F3401</f>
        <v/>
      </c>
      <c r="H3401" s="19" t="n">
        <v>1</v>
      </c>
      <c r="I3401" s="57" t="n">
        <v>4</v>
      </c>
    </row>
    <row r="3402">
      <c r="A3402" s="62" t="n">
        <v>46225</v>
      </c>
      <c r="B3402" s="3" t="inlineStr">
        <is>
          <t>Week</t>
        </is>
      </c>
      <c r="C3402" s="19" t="n">
        <v>7</v>
      </c>
      <c r="D3402" s="19" t="n">
        <v>2026</v>
      </c>
      <c r="E3402" s="57" t="n">
        <v>4</v>
      </c>
      <c r="F3402" s="29">
        <f>ROUND(((SUMIFS(Calendar!$F$2:$F$9997,Calendar!$B$2:$B$9997,D3402,Calendar!$C$2:$C$9997,C3402)*INDEX(ForeCalc!$B$37:$Y$274,MATCH(_xlfn.CONCAT(H3402," ",I3402),ForeCalc!$A$37:$A$274,0),MATCH(_xlfn.CONCAT(B3402," ",E3402),ForeCalc!$B$36:$Y$36,0))))*VLOOKUP(A3402,Calendar!$A$2:$H$9997,8,FALSE),0)</f>
        <v/>
      </c>
      <c r="G3402" s="29">
        <f>VLOOKUP(A3402,Calendar!$A$1:$H$9997,6,FALSE)-F3402</f>
        <v/>
      </c>
      <c r="H3402" s="19" t="n">
        <v>1</v>
      </c>
      <c r="I3402" s="57" t="n">
        <v>4</v>
      </c>
    </row>
    <row r="3403">
      <c r="A3403" s="62" t="n">
        <v>46226</v>
      </c>
      <c r="B3403" s="3" t="inlineStr">
        <is>
          <t>Week</t>
        </is>
      </c>
      <c r="C3403" s="19" t="n">
        <v>7</v>
      </c>
      <c r="D3403" s="19" t="n">
        <v>2026</v>
      </c>
      <c r="E3403" s="57" t="n">
        <v>4</v>
      </c>
      <c r="F3403" s="29">
        <f>ROUND(((SUMIFS(Calendar!$F$2:$F$9997,Calendar!$B$2:$B$9997,D3403,Calendar!$C$2:$C$9997,C3403)*INDEX(ForeCalc!$B$37:$Y$274,MATCH(_xlfn.CONCAT(H3403," ",I3403),ForeCalc!$A$37:$A$274,0),MATCH(_xlfn.CONCAT(B3403," ",E3403),ForeCalc!$B$36:$Y$36,0))))*VLOOKUP(A3403,Calendar!$A$2:$H$9997,8,FALSE),0)</f>
        <v/>
      </c>
      <c r="G3403" s="29">
        <f>VLOOKUP(A3403,Calendar!$A$1:$H$9997,6,FALSE)-F3403</f>
        <v/>
      </c>
      <c r="H3403" s="19" t="n">
        <v>1</v>
      </c>
      <c r="I3403" s="57" t="n">
        <v>4</v>
      </c>
    </row>
    <row r="3404">
      <c r="A3404" s="62" t="n">
        <v>46227</v>
      </c>
      <c r="B3404" s="3" t="inlineStr">
        <is>
          <t>Week</t>
        </is>
      </c>
      <c r="C3404" s="19" t="n">
        <v>7</v>
      </c>
      <c r="D3404" s="19" t="n">
        <v>2026</v>
      </c>
      <c r="E3404" s="57" t="n">
        <v>4</v>
      </c>
      <c r="F3404" s="29">
        <f>ROUND(((SUMIFS(Calendar!$F$2:$F$9997,Calendar!$B$2:$B$9997,D3404,Calendar!$C$2:$C$9997,C3404)*INDEX(ForeCalc!$B$37:$Y$274,MATCH(_xlfn.CONCAT(H3404," ",I3404),ForeCalc!$A$37:$A$274,0),MATCH(_xlfn.CONCAT(B3404," ",E3404),ForeCalc!$B$36:$Y$36,0))))*VLOOKUP(A3404,Calendar!$A$2:$H$9997,8,FALSE),0)</f>
        <v/>
      </c>
      <c r="G3404" s="29">
        <f>VLOOKUP(A3404,Calendar!$A$1:$H$9997,6,FALSE)-F3404</f>
        <v/>
      </c>
      <c r="H3404" s="19" t="n">
        <v>1</v>
      </c>
      <c r="I3404" s="57" t="n">
        <v>4</v>
      </c>
    </row>
    <row r="3405">
      <c r="A3405" s="62" t="n">
        <v>46228</v>
      </c>
      <c r="B3405" s="3" t="inlineStr">
        <is>
          <t>Sat</t>
        </is>
      </c>
      <c r="C3405" s="19" t="n">
        <v>7</v>
      </c>
      <c r="D3405" s="19" t="n">
        <v>2026</v>
      </c>
      <c r="E3405" s="57" t="n">
        <v>4</v>
      </c>
      <c r="F3405" s="29">
        <f>ROUND(((SUMIFS(Calendar!$F$2:$F$9997,Calendar!$B$2:$B$9997,D3405,Calendar!$C$2:$C$9997,C3405)*INDEX(ForeCalc!$B$37:$Y$274,MATCH(_xlfn.CONCAT(H3405," ",I3405),ForeCalc!$A$37:$A$274,0),MATCH(_xlfn.CONCAT(B3405," ",E3405),ForeCalc!$B$36:$Y$36,0))))*VLOOKUP(A3405,Calendar!$A$2:$H$9997,8,FALSE),0)</f>
        <v/>
      </c>
      <c r="G3405" s="29">
        <f>VLOOKUP(A3405,Calendar!$A$1:$H$9997,6,FALSE)-F3405</f>
        <v/>
      </c>
      <c r="H3405" s="19" t="n">
        <v>1</v>
      </c>
      <c r="I3405" s="57" t="n">
        <v>4</v>
      </c>
    </row>
    <row r="3406">
      <c r="A3406" s="62" t="n">
        <v>46229</v>
      </c>
      <c r="B3406" s="3" t="inlineStr">
        <is>
          <t>Sun</t>
        </is>
      </c>
      <c r="C3406" s="19" t="n">
        <v>7</v>
      </c>
      <c r="D3406" s="19" t="n">
        <v>2026</v>
      </c>
      <c r="E3406" s="57" t="n">
        <v>4</v>
      </c>
      <c r="F3406" s="29">
        <f>ROUND(((SUMIFS(Calendar!$F$2:$F$9997,Calendar!$B$2:$B$9997,D3406,Calendar!$C$2:$C$9997,C3406)*INDEX(ForeCalc!$B$37:$Y$274,MATCH(_xlfn.CONCAT(H3406," ",I3406),ForeCalc!$A$37:$A$274,0),MATCH(_xlfn.CONCAT(B3406," ",E3406),ForeCalc!$B$36:$Y$36,0))))*VLOOKUP(A3406,Calendar!$A$2:$H$9997,8,FALSE),0)</f>
        <v/>
      </c>
      <c r="G3406" s="29">
        <f>VLOOKUP(A3406,Calendar!$A$1:$H$9997,6,FALSE)-F3406</f>
        <v/>
      </c>
      <c r="H3406" s="19" t="n">
        <v>1</v>
      </c>
      <c r="I3406" s="57" t="n">
        <v>4</v>
      </c>
    </row>
    <row r="3407">
      <c r="A3407" s="62" t="n">
        <v>46230</v>
      </c>
      <c r="B3407" s="3" t="inlineStr">
        <is>
          <t>Week</t>
        </is>
      </c>
      <c r="C3407" s="19" t="n">
        <v>7</v>
      </c>
      <c r="D3407" s="19" t="n">
        <v>2026</v>
      </c>
      <c r="E3407" s="57" t="n">
        <v>4</v>
      </c>
      <c r="F3407" s="29">
        <f>ROUND(((SUMIFS(Calendar!$F$2:$F$9997,Calendar!$B$2:$B$9997,D3407,Calendar!$C$2:$C$9997,C3407)*INDEX(ForeCalc!$B$37:$Y$274,MATCH(_xlfn.CONCAT(H3407," ",I3407),ForeCalc!$A$37:$A$274,0),MATCH(_xlfn.CONCAT(B3407," ",E3407),ForeCalc!$B$36:$Y$36,0))))*VLOOKUP(A3407,Calendar!$A$2:$H$9997,8,FALSE),0)</f>
        <v/>
      </c>
      <c r="G3407" s="29">
        <f>VLOOKUP(A3407,Calendar!$A$1:$H$9997,6,FALSE)-F3407</f>
        <v/>
      </c>
      <c r="H3407" s="19" t="n">
        <v>1</v>
      </c>
      <c r="I3407" s="57" t="n">
        <v>4</v>
      </c>
    </row>
    <row r="3408">
      <c r="A3408" s="62" t="n">
        <v>46231</v>
      </c>
      <c r="B3408" s="3" t="inlineStr">
        <is>
          <t>Week</t>
        </is>
      </c>
      <c r="C3408" s="19" t="n">
        <v>7</v>
      </c>
      <c r="D3408" s="19" t="n">
        <v>2026</v>
      </c>
      <c r="E3408" s="57" t="n">
        <v>4</v>
      </c>
      <c r="F3408" s="29">
        <f>ROUND(((SUMIFS(Calendar!$F$2:$F$9997,Calendar!$B$2:$B$9997,D3408,Calendar!$C$2:$C$9997,C3408)*INDEX(ForeCalc!$B$37:$Y$274,MATCH(_xlfn.CONCAT(H3408," ",I3408),ForeCalc!$A$37:$A$274,0),MATCH(_xlfn.CONCAT(B3408," ",E3408),ForeCalc!$B$36:$Y$36,0))))*VLOOKUP(A3408,Calendar!$A$2:$H$9997,8,FALSE),0)</f>
        <v/>
      </c>
      <c r="G3408" s="29">
        <f>VLOOKUP(A3408,Calendar!$A$1:$H$9997,6,FALSE)-F3408</f>
        <v/>
      </c>
      <c r="H3408" s="19" t="n">
        <v>1</v>
      </c>
      <c r="I3408" s="57" t="n">
        <v>4</v>
      </c>
    </row>
    <row r="3409">
      <c r="A3409" s="62" t="n">
        <v>46232</v>
      </c>
      <c r="B3409" s="3" t="inlineStr">
        <is>
          <t>Week</t>
        </is>
      </c>
      <c r="C3409" s="19" t="n">
        <v>7</v>
      </c>
      <c r="D3409" s="19" t="n">
        <v>2026</v>
      </c>
      <c r="E3409" s="57" t="n">
        <v>4</v>
      </c>
      <c r="F3409" s="29">
        <f>ROUND(((SUMIFS(Calendar!$F$2:$F$9997,Calendar!$B$2:$B$9997,D3409,Calendar!$C$2:$C$9997,C3409)*INDEX(ForeCalc!$B$37:$Y$274,MATCH(_xlfn.CONCAT(H3409," ",I3409),ForeCalc!$A$37:$A$274,0),MATCH(_xlfn.CONCAT(B3409," ",E3409),ForeCalc!$B$36:$Y$36,0))))*VLOOKUP(A3409,Calendar!$A$2:$H$9997,8,FALSE),0)</f>
        <v/>
      </c>
      <c r="G3409" s="29">
        <f>VLOOKUP(A3409,Calendar!$A$1:$H$9997,6,FALSE)-F3409</f>
        <v/>
      </c>
      <c r="H3409" s="19" t="n">
        <v>1</v>
      </c>
      <c r="I3409" s="57" t="n">
        <v>4</v>
      </c>
    </row>
    <row r="3410">
      <c r="A3410" s="62" t="n">
        <v>46233</v>
      </c>
      <c r="B3410" s="3" t="inlineStr">
        <is>
          <t>Week</t>
        </is>
      </c>
      <c r="C3410" s="19" t="n">
        <v>7</v>
      </c>
      <c r="D3410" s="19" t="n">
        <v>2026</v>
      </c>
      <c r="E3410" s="57" t="n">
        <v>4</v>
      </c>
      <c r="F3410" s="29">
        <f>ROUND(((SUMIFS(Calendar!$F$2:$F$9997,Calendar!$B$2:$B$9997,D3410,Calendar!$C$2:$C$9997,C3410)*INDEX(ForeCalc!$B$37:$Y$274,MATCH(_xlfn.CONCAT(H3410," ",I3410),ForeCalc!$A$37:$A$274,0),MATCH(_xlfn.CONCAT(B3410," ",E3410),ForeCalc!$B$36:$Y$36,0))))*VLOOKUP(A3410,Calendar!$A$2:$H$9997,8,FALSE),0)</f>
        <v/>
      </c>
      <c r="G3410" s="29">
        <f>VLOOKUP(A3410,Calendar!$A$1:$H$9997,6,FALSE)-F3410</f>
        <v/>
      </c>
      <c r="H3410" s="19" t="n">
        <v>1</v>
      </c>
      <c r="I3410" s="57" t="n">
        <v>4</v>
      </c>
    </row>
    <row r="3411">
      <c r="A3411" s="62" t="n">
        <v>46234</v>
      </c>
      <c r="B3411" s="3" t="inlineStr">
        <is>
          <t>Week</t>
        </is>
      </c>
      <c r="C3411" s="19" t="n">
        <v>7</v>
      </c>
      <c r="D3411" s="19" t="n">
        <v>2026</v>
      </c>
      <c r="E3411" s="57" t="n">
        <v>4</v>
      </c>
      <c r="F3411" s="29">
        <f>ROUND(((SUMIFS(Calendar!$F$2:$F$9997,Calendar!$B$2:$B$9997,D3411,Calendar!$C$2:$C$9997,C3411)*INDEX(ForeCalc!$B$37:$Y$274,MATCH(_xlfn.CONCAT(H3411," ",I3411),ForeCalc!$A$37:$A$274,0),MATCH(_xlfn.CONCAT(B3411," ",E3411),ForeCalc!$B$36:$Y$36,0))))*VLOOKUP(A3411,Calendar!$A$2:$H$9997,8,FALSE),0)</f>
        <v/>
      </c>
      <c r="G3411" s="29">
        <f>VLOOKUP(A3411,Calendar!$A$1:$H$9997,6,FALSE)-F3411</f>
        <v/>
      </c>
      <c r="H3411" s="19" t="n">
        <v>1</v>
      </c>
      <c r="I3411" s="57" t="n">
        <v>4</v>
      </c>
    </row>
    <row r="3412">
      <c r="A3412" s="62" t="n">
        <v>46235</v>
      </c>
      <c r="B3412" s="3" t="inlineStr">
        <is>
          <t>Sat</t>
        </is>
      </c>
      <c r="C3412" s="19" t="n">
        <v>8</v>
      </c>
      <c r="D3412" s="19" t="n">
        <v>2026</v>
      </c>
      <c r="E3412" s="57" t="n">
        <v>4</v>
      </c>
      <c r="F3412" s="29">
        <f>ROUND(((SUMIFS(Calendar!$F$2:$F$9997,Calendar!$B$2:$B$9997,D3412,Calendar!$C$2:$C$9997,C3412)*INDEX(ForeCalc!$B$37:$Y$274,MATCH(_xlfn.CONCAT(H3412," ",I3412),ForeCalc!$A$37:$A$274,0),MATCH(_xlfn.CONCAT(B3412," ",E3412),ForeCalc!$B$36:$Y$36,0))))*VLOOKUP(A3412,Calendar!$A$2:$H$9997,8,FALSE),0)</f>
        <v/>
      </c>
      <c r="G3412" s="29">
        <f>VLOOKUP(A3412,Calendar!$A$1:$H$9997,6,FALSE)-F3412</f>
        <v/>
      </c>
      <c r="H3412" s="19" t="n">
        <v>1</v>
      </c>
      <c r="I3412" s="57" t="n">
        <v>5</v>
      </c>
    </row>
    <row r="3413">
      <c r="A3413" s="62" t="n">
        <v>46236</v>
      </c>
      <c r="B3413" s="3" t="inlineStr">
        <is>
          <t>Sun</t>
        </is>
      </c>
      <c r="C3413" s="19" t="n">
        <v>8</v>
      </c>
      <c r="D3413" s="19" t="n">
        <v>2026</v>
      </c>
      <c r="E3413" s="57" t="n">
        <v>4</v>
      </c>
      <c r="F3413" s="29">
        <f>ROUND(((SUMIFS(Calendar!$F$2:$F$9997,Calendar!$B$2:$B$9997,D3413,Calendar!$C$2:$C$9997,C3413)*INDEX(ForeCalc!$B$37:$Y$274,MATCH(_xlfn.CONCAT(H3413," ",I3413),ForeCalc!$A$37:$A$274,0),MATCH(_xlfn.CONCAT(B3413," ",E3413),ForeCalc!$B$36:$Y$36,0))))*VLOOKUP(A3413,Calendar!$A$2:$H$9997,8,FALSE),0)</f>
        <v/>
      </c>
      <c r="G3413" s="29">
        <f>VLOOKUP(A3413,Calendar!$A$1:$H$9997,6,FALSE)-F3413</f>
        <v/>
      </c>
      <c r="H3413" s="19" t="n">
        <v>1</v>
      </c>
      <c r="I3413" s="57" t="n">
        <v>5</v>
      </c>
    </row>
    <row r="3414">
      <c r="A3414" s="62" t="n">
        <v>46237</v>
      </c>
      <c r="B3414" s="3" t="inlineStr">
        <is>
          <t>Week</t>
        </is>
      </c>
      <c r="C3414" s="19" t="n">
        <v>8</v>
      </c>
      <c r="D3414" s="19" t="n">
        <v>2026</v>
      </c>
      <c r="E3414" s="57" t="n">
        <v>4</v>
      </c>
      <c r="F3414" s="29">
        <f>ROUND(((SUMIFS(Calendar!$F$2:$F$9997,Calendar!$B$2:$B$9997,D3414,Calendar!$C$2:$C$9997,C3414)*INDEX(ForeCalc!$B$37:$Y$274,MATCH(_xlfn.CONCAT(H3414," ",I3414),ForeCalc!$A$37:$A$274,0),MATCH(_xlfn.CONCAT(B3414," ",E3414),ForeCalc!$B$36:$Y$36,0))))*VLOOKUP(A3414,Calendar!$A$2:$H$9997,8,FALSE),0)</f>
        <v/>
      </c>
      <c r="G3414" s="29">
        <f>VLOOKUP(A3414,Calendar!$A$1:$H$9997,6,FALSE)-F3414</f>
        <v/>
      </c>
      <c r="H3414" s="19" t="n">
        <v>1</v>
      </c>
      <c r="I3414" s="57" t="n">
        <v>5</v>
      </c>
    </row>
    <row r="3415">
      <c r="A3415" s="62" t="n">
        <v>46238</v>
      </c>
      <c r="B3415" s="3" t="inlineStr">
        <is>
          <t>Week</t>
        </is>
      </c>
      <c r="C3415" s="19" t="n">
        <v>8</v>
      </c>
      <c r="D3415" s="19" t="n">
        <v>2026</v>
      </c>
      <c r="E3415" s="57" t="n">
        <v>4</v>
      </c>
      <c r="F3415" s="29">
        <f>ROUND(((SUMIFS(Calendar!$F$2:$F$9997,Calendar!$B$2:$B$9997,D3415,Calendar!$C$2:$C$9997,C3415)*INDEX(ForeCalc!$B$37:$Y$274,MATCH(_xlfn.CONCAT(H3415," ",I3415),ForeCalc!$A$37:$A$274,0),MATCH(_xlfn.CONCAT(B3415," ",E3415),ForeCalc!$B$36:$Y$36,0))))*VLOOKUP(A3415,Calendar!$A$2:$H$9997,8,FALSE),0)</f>
        <v/>
      </c>
      <c r="G3415" s="29">
        <f>VLOOKUP(A3415,Calendar!$A$1:$H$9997,6,FALSE)-F3415</f>
        <v/>
      </c>
      <c r="H3415" s="19" t="n">
        <v>1</v>
      </c>
      <c r="I3415" s="57" t="n">
        <v>5</v>
      </c>
    </row>
    <row r="3416">
      <c r="A3416" s="62" t="n">
        <v>46239</v>
      </c>
      <c r="B3416" s="3" t="inlineStr">
        <is>
          <t>Week</t>
        </is>
      </c>
      <c r="C3416" s="19" t="n">
        <v>8</v>
      </c>
      <c r="D3416" s="19" t="n">
        <v>2026</v>
      </c>
      <c r="E3416" s="57" t="n">
        <v>4</v>
      </c>
      <c r="F3416" s="29">
        <f>ROUND(((SUMIFS(Calendar!$F$2:$F$9997,Calendar!$B$2:$B$9997,D3416,Calendar!$C$2:$C$9997,C3416)*INDEX(ForeCalc!$B$37:$Y$274,MATCH(_xlfn.CONCAT(H3416," ",I3416),ForeCalc!$A$37:$A$274,0),MATCH(_xlfn.CONCAT(B3416," ",E3416),ForeCalc!$B$36:$Y$36,0))))*VLOOKUP(A3416,Calendar!$A$2:$H$9997,8,FALSE),0)</f>
        <v/>
      </c>
      <c r="G3416" s="29">
        <f>VLOOKUP(A3416,Calendar!$A$1:$H$9997,6,FALSE)-F3416</f>
        <v/>
      </c>
      <c r="H3416" s="19" t="n">
        <v>1</v>
      </c>
      <c r="I3416" s="57" t="n">
        <v>5</v>
      </c>
    </row>
    <row r="3417">
      <c r="A3417" s="62" t="n">
        <v>46240</v>
      </c>
      <c r="B3417" s="3" t="inlineStr">
        <is>
          <t>Week</t>
        </is>
      </c>
      <c r="C3417" s="19" t="n">
        <v>8</v>
      </c>
      <c r="D3417" s="19" t="n">
        <v>2026</v>
      </c>
      <c r="E3417" s="57" t="n">
        <v>4</v>
      </c>
      <c r="F3417" s="29">
        <f>ROUND(((SUMIFS(Calendar!$F$2:$F$9997,Calendar!$B$2:$B$9997,D3417,Calendar!$C$2:$C$9997,C3417)*INDEX(ForeCalc!$B$37:$Y$274,MATCH(_xlfn.CONCAT(H3417," ",I3417),ForeCalc!$A$37:$A$274,0),MATCH(_xlfn.CONCAT(B3417," ",E3417),ForeCalc!$B$36:$Y$36,0))))*VLOOKUP(A3417,Calendar!$A$2:$H$9997,8,FALSE),0)</f>
        <v/>
      </c>
      <c r="G3417" s="29">
        <f>VLOOKUP(A3417,Calendar!$A$1:$H$9997,6,FALSE)-F3417</f>
        <v/>
      </c>
      <c r="H3417" s="19" t="n">
        <v>1</v>
      </c>
      <c r="I3417" s="57" t="n">
        <v>5</v>
      </c>
    </row>
    <row r="3418">
      <c r="A3418" s="62" t="n">
        <v>46241</v>
      </c>
      <c r="B3418" s="3" t="inlineStr">
        <is>
          <t>Week</t>
        </is>
      </c>
      <c r="C3418" s="19" t="n">
        <v>8</v>
      </c>
      <c r="D3418" s="19" t="n">
        <v>2026</v>
      </c>
      <c r="E3418" s="57" t="n">
        <v>4</v>
      </c>
      <c r="F3418" s="29">
        <f>ROUND(((SUMIFS(Calendar!$F$2:$F$9997,Calendar!$B$2:$B$9997,D3418,Calendar!$C$2:$C$9997,C3418)*INDEX(ForeCalc!$B$37:$Y$274,MATCH(_xlfn.CONCAT(H3418," ",I3418),ForeCalc!$A$37:$A$274,0),MATCH(_xlfn.CONCAT(B3418," ",E3418),ForeCalc!$B$36:$Y$36,0))))*VLOOKUP(A3418,Calendar!$A$2:$H$9997,8,FALSE),0)</f>
        <v/>
      </c>
      <c r="G3418" s="29">
        <f>VLOOKUP(A3418,Calendar!$A$1:$H$9997,6,FALSE)-F3418</f>
        <v/>
      </c>
      <c r="H3418" s="19" t="n">
        <v>1</v>
      </c>
      <c r="I3418" s="57" t="n">
        <v>5</v>
      </c>
    </row>
    <row r="3419">
      <c r="A3419" s="62" t="n">
        <v>46242</v>
      </c>
      <c r="B3419" s="3" t="inlineStr">
        <is>
          <t>Sat</t>
        </is>
      </c>
      <c r="C3419" s="19" t="n">
        <v>8</v>
      </c>
      <c r="D3419" s="19" t="n">
        <v>2026</v>
      </c>
      <c r="E3419" s="57" t="n">
        <v>4</v>
      </c>
      <c r="F3419" s="29">
        <f>ROUND(((SUMIFS(Calendar!$F$2:$F$9997,Calendar!$B$2:$B$9997,D3419,Calendar!$C$2:$C$9997,C3419)*INDEX(ForeCalc!$B$37:$Y$274,MATCH(_xlfn.CONCAT(H3419," ",I3419),ForeCalc!$A$37:$A$274,0),MATCH(_xlfn.CONCAT(B3419," ",E3419),ForeCalc!$B$36:$Y$36,0))))*VLOOKUP(A3419,Calendar!$A$2:$H$9997,8,FALSE),0)</f>
        <v/>
      </c>
      <c r="G3419" s="29">
        <f>VLOOKUP(A3419,Calendar!$A$1:$H$9997,6,FALSE)-F3419</f>
        <v/>
      </c>
      <c r="H3419" s="19" t="n">
        <v>1</v>
      </c>
      <c r="I3419" s="57" t="n">
        <v>5</v>
      </c>
    </row>
    <row r="3420">
      <c r="A3420" s="62" t="n">
        <v>46243</v>
      </c>
      <c r="B3420" s="3" t="inlineStr">
        <is>
          <t>Sun</t>
        </is>
      </c>
      <c r="C3420" s="19" t="n">
        <v>8</v>
      </c>
      <c r="D3420" s="19" t="n">
        <v>2026</v>
      </c>
      <c r="E3420" s="57" t="n">
        <v>4</v>
      </c>
      <c r="F3420" s="29">
        <f>ROUND(((SUMIFS(Calendar!$F$2:$F$9997,Calendar!$B$2:$B$9997,D3420,Calendar!$C$2:$C$9997,C3420)*INDEX(ForeCalc!$B$37:$Y$274,MATCH(_xlfn.CONCAT(H3420," ",I3420),ForeCalc!$A$37:$A$274,0),MATCH(_xlfn.CONCAT(B3420," ",E3420),ForeCalc!$B$36:$Y$36,0))))*VLOOKUP(A3420,Calendar!$A$2:$H$9997,8,FALSE),0)</f>
        <v/>
      </c>
      <c r="G3420" s="29">
        <f>VLOOKUP(A3420,Calendar!$A$1:$H$9997,6,FALSE)-F3420</f>
        <v/>
      </c>
      <c r="H3420" s="19" t="n">
        <v>1</v>
      </c>
      <c r="I3420" s="57" t="n">
        <v>5</v>
      </c>
    </row>
    <row r="3421">
      <c r="A3421" s="62" t="n">
        <v>46244</v>
      </c>
      <c r="B3421" s="3" t="inlineStr">
        <is>
          <t>Week</t>
        </is>
      </c>
      <c r="C3421" s="19" t="n">
        <v>8</v>
      </c>
      <c r="D3421" s="19" t="n">
        <v>2026</v>
      </c>
      <c r="E3421" s="57" t="n">
        <v>4</v>
      </c>
      <c r="F3421" s="29">
        <f>ROUND(((SUMIFS(Calendar!$F$2:$F$9997,Calendar!$B$2:$B$9997,D3421,Calendar!$C$2:$C$9997,C3421)*INDEX(ForeCalc!$B$37:$Y$274,MATCH(_xlfn.CONCAT(H3421," ",I3421),ForeCalc!$A$37:$A$274,0),MATCH(_xlfn.CONCAT(B3421," ",E3421),ForeCalc!$B$36:$Y$36,0))))*VLOOKUP(A3421,Calendar!$A$2:$H$9997,8,FALSE),0)</f>
        <v/>
      </c>
      <c r="G3421" s="29">
        <f>VLOOKUP(A3421,Calendar!$A$1:$H$9997,6,FALSE)-F3421</f>
        <v/>
      </c>
      <c r="H3421" s="19" t="n">
        <v>1</v>
      </c>
      <c r="I3421" s="57" t="n">
        <v>5</v>
      </c>
    </row>
    <row r="3422">
      <c r="A3422" s="62" t="n">
        <v>46245</v>
      </c>
      <c r="B3422" s="3" t="inlineStr">
        <is>
          <t>Week</t>
        </is>
      </c>
      <c r="C3422" s="19" t="n">
        <v>8</v>
      </c>
      <c r="D3422" s="19" t="n">
        <v>2026</v>
      </c>
      <c r="E3422" s="57" t="n">
        <v>4</v>
      </c>
      <c r="F3422" s="29">
        <f>ROUND(((SUMIFS(Calendar!$F$2:$F$9997,Calendar!$B$2:$B$9997,D3422,Calendar!$C$2:$C$9997,C3422)*INDEX(ForeCalc!$B$37:$Y$274,MATCH(_xlfn.CONCAT(H3422," ",I3422),ForeCalc!$A$37:$A$274,0),MATCH(_xlfn.CONCAT(B3422," ",E3422),ForeCalc!$B$36:$Y$36,0))))*VLOOKUP(A3422,Calendar!$A$2:$H$9997,8,FALSE),0)</f>
        <v/>
      </c>
      <c r="G3422" s="29">
        <f>VLOOKUP(A3422,Calendar!$A$1:$H$9997,6,FALSE)-F3422</f>
        <v/>
      </c>
      <c r="H3422" s="19" t="n">
        <v>1</v>
      </c>
      <c r="I3422" s="57" t="n">
        <v>5</v>
      </c>
    </row>
    <row r="3423">
      <c r="A3423" s="62" t="n">
        <v>46246</v>
      </c>
      <c r="B3423" s="3" t="inlineStr">
        <is>
          <t>Week</t>
        </is>
      </c>
      <c r="C3423" s="19" t="n">
        <v>8</v>
      </c>
      <c r="D3423" s="19" t="n">
        <v>2026</v>
      </c>
      <c r="E3423" s="57" t="n">
        <v>4</v>
      </c>
      <c r="F3423" s="29">
        <f>ROUND(((SUMIFS(Calendar!$F$2:$F$9997,Calendar!$B$2:$B$9997,D3423,Calendar!$C$2:$C$9997,C3423)*INDEX(ForeCalc!$B$37:$Y$274,MATCH(_xlfn.CONCAT(H3423," ",I3423),ForeCalc!$A$37:$A$274,0),MATCH(_xlfn.CONCAT(B3423," ",E3423),ForeCalc!$B$36:$Y$36,0))))*VLOOKUP(A3423,Calendar!$A$2:$H$9997,8,FALSE),0)</f>
        <v/>
      </c>
      <c r="G3423" s="29">
        <f>VLOOKUP(A3423,Calendar!$A$1:$H$9997,6,FALSE)-F3423</f>
        <v/>
      </c>
      <c r="H3423" s="19" t="n">
        <v>1</v>
      </c>
      <c r="I3423" s="57" t="n">
        <v>5</v>
      </c>
    </row>
    <row r="3424">
      <c r="A3424" s="62" t="n">
        <v>46247</v>
      </c>
      <c r="B3424" s="3" t="inlineStr">
        <is>
          <t>Week</t>
        </is>
      </c>
      <c r="C3424" s="19" t="n">
        <v>8</v>
      </c>
      <c r="D3424" s="19" t="n">
        <v>2026</v>
      </c>
      <c r="E3424" s="57" t="n">
        <v>4</v>
      </c>
      <c r="F3424" s="29">
        <f>ROUND(((SUMIFS(Calendar!$F$2:$F$9997,Calendar!$B$2:$B$9997,D3424,Calendar!$C$2:$C$9997,C3424)*INDEX(ForeCalc!$B$37:$Y$274,MATCH(_xlfn.CONCAT(H3424," ",I3424),ForeCalc!$A$37:$A$274,0),MATCH(_xlfn.CONCAT(B3424," ",E3424),ForeCalc!$B$36:$Y$36,0))))*VLOOKUP(A3424,Calendar!$A$2:$H$9997,8,FALSE),0)</f>
        <v/>
      </c>
      <c r="G3424" s="29">
        <f>VLOOKUP(A3424,Calendar!$A$1:$H$9997,6,FALSE)-F3424</f>
        <v/>
      </c>
      <c r="H3424" s="19" t="n">
        <v>1</v>
      </c>
      <c r="I3424" s="57" t="n">
        <v>5</v>
      </c>
    </row>
    <row r="3425">
      <c r="A3425" s="62" t="n">
        <v>46248</v>
      </c>
      <c r="B3425" s="3" t="inlineStr">
        <is>
          <t>Week</t>
        </is>
      </c>
      <c r="C3425" s="19" t="n">
        <v>8</v>
      </c>
      <c r="D3425" s="19" t="n">
        <v>2026</v>
      </c>
      <c r="E3425" s="57" t="n">
        <v>4</v>
      </c>
      <c r="F3425" s="29">
        <f>ROUND(((SUMIFS(Calendar!$F$2:$F$9997,Calendar!$B$2:$B$9997,D3425,Calendar!$C$2:$C$9997,C3425)*INDEX(ForeCalc!$B$37:$Y$274,MATCH(_xlfn.CONCAT(H3425," ",I3425),ForeCalc!$A$37:$A$274,0),MATCH(_xlfn.CONCAT(B3425," ",E3425),ForeCalc!$B$36:$Y$36,0))))*VLOOKUP(A3425,Calendar!$A$2:$H$9997,8,FALSE),0)</f>
        <v/>
      </c>
      <c r="G3425" s="29">
        <f>VLOOKUP(A3425,Calendar!$A$1:$H$9997,6,FALSE)-F3425</f>
        <v/>
      </c>
      <c r="H3425" s="19" t="n">
        <v>1</v>
      </c>
      <c r="I3425" s="57" t="n">
        <v>5</v>
      </c>
    </row>
    <row r="3426">
      <c r="A3426" s="62" t="n">
        <v>46249</v>
      </c>
      <c r="B3426" s="3" t="inlineStr">
        <is>
          <t>Sat</t>
        </is>
      </c>
      <c r="C3426" s="19" t="n">
        <v>8</v>
      </c>
      <c r="D3426" s="19" t="n">
        <v>2026</v>
      </c>
      <c r="E3426" s="57" t="n">
        <v>4</v>
      </c>
      <c r="F3426" s="29">
        <f>ROUND(((SUMIFS(Calendar!$F$2:$F$9997,Calendar!$B$2:$B$9997,D3426,Calendar!$C$2:$C$9997,C3426)*INDEX(ForeCalc!$B$37:$Y$274,MATCH(_xlfn.CONCAT(H3426," ",I3426),ForeCalc!$A$37:$A$274,0),MATCH(_xlfn.CONCAT(B3426," ",E3426),ForeCalc!$B$36:$Y$36,0))))*VLOOKUP(A3426,Calendar!$A$2:$H$9997,8,FALSE),0)</f>
        <v/>
      </c>
      <c r="G3426" s="29">
        <f>VLOOKUP(A3426,Calendar!$A$1:$H$9997,6,FALSE)-F3426</f>
        <v/>
      </c>
      <c r="H3426" s="19" t="n">
        <v>1</v>
      </c>
      <c r="I3426" s="57" t="n">
        <v>5</v>
      </c>
    </row>
    <row r="3427">
      <c r="A3427" s="62" t="n">
        <v>46250</v>
      </c>
      <c r="B3427" s="3" t="inlineStr">
        <is>
          <t>Sun</t>
        </is>
      </c>
      <c r="C3427" s="19" t="n">
        <v>8</v>
      </c>
      <c r="D3427" s="19" t="n">
        <v>2026</v>
      </c>
      <c r="E3427" s="57" t="n">
        <v>4</v>
      </c>
      <c r="F3427" s="29">
        <f>ROUND(((SUMIFS(Calendar!$F$2:$F$9997,Calendar!$B$2:$B$9997,D3427,Calendar!$C$2:$C$9997,C3427)*INDEX(ForeCalc!$B$37:$Y$274,MATCH(_xlfn.CONCAT(H3427," ",I3427),ForeCalc!$A$37:$A$274,0),MATCH(_xlfn.CONCAT(B3427," ",E3427),ForeCalc!$B$36:$Y$36,0))))*VLOOKUP(A3427,Calendar!$A$2:$H$9997,8,FALSE),0)</f>
        <v/>
      </c>
      <c r="G3427" s="29">
        <f>VLOOKUP(A3427,Calendar!$A$1:$H$9997,6,FALSE)-F3427</f>
        <v/>
      </c>
      <c r="H3427" s="19" t="n">
        <v>1</v>
      </c>
      <c r="I3427" s="57" t="n">
        <v>5</v>
      </c>
    </row>
    <row r="3428">
      <c r="A3428" s="62" t="n">
        <v>46251</v>
      </c>
      <c r="B3428" s="3" t="inlineStr">
        <is>
          <t>Week</t>
        </is>
      </c>
      <c r="C3428" s="19" t="n">
        <v>8</v>
      </c>
      <c r="D3428" s="19" t="n">
        <v>2026</v>
      </c>
      <c r="E3428" s="57" t="n">
        <v>4</v>
      </c>
      <c r="F3428" s="29">
        <f>ROUND(((SUMIFS(Calendar!$F$2:$F$9997,Calendar!$B$2:$B$9997,D3428,Calendar!$C$2:$C$9997,C3428)*INDEX(ForeCalc!$B$37:$Y$274,MATCH(_xlfn.CONCAT(H3428," ",I3428),ForeCalc!$A$37:$A$274,0),MATCH(_xlfn.CONCAT(B3428," ",E3428),ForeCalc!$B$36:$Y$36,0))))*VLOOKUP(A3428,Calendar!$A$2:$H$9997,8,FALSE),0)</f>
        <v/>
      </c>
      <c r="G3428" s="29">
        <f>VLOOKUP(A3428,Calendar!$A$1:$H$9997,6,FALSE)-F3428</f>
        <v/>
      </c>
      <c r="H3428" s="19" t="n">
        <v>1</v>
      </c>
      <c r="I3428" s="57" t="n">
        <v>5</v>
      </c>
    </row>
    <row r="3429">
      <c r="A3429" s="62" t="n">
        <v>46252</v>
      </c>
      <c r="B3429" s="3" t="inlineStr">
        <is>
          <t>Week</t>
        </is>
      </c>
      <c r="C3429" s="19" t="n">
        <v>8</v>
      </c>
      <c r="D3429" s="19" t="n">
        <v>2026</v>
      </c>
      <c r="E3429" s="57" t="n">
        <v>4</v>
      </c>
      <c r="F3429" s="29">
        <f>ROUND(((SUMIFS(Calendar!$F$2:$F$9997,Calendar!$B$2:$B$9997,D3429,Calendar!$C$2:$C$9997,C3429)*INDEX(ForeCalc!$B$37:$Y$274,MATCH(_xlfn.CONCAT(H3429," ",I3429),ForeCalc!$A$37:$A$274,0),MATCH(_xlfn.CONCAT(B3429," ",E3429),ForeCalc!$B$36:$Y$36,0))))*VLOOKUP(A3429,Calendar!$A$2:$H$9997,8,FALSE),0)</f>
        <v/>
      </c>
      <c r="G3429" s="29">
        <f>VLOOKUP(A3429,Calendar!$A$1:$H$9997,6,FALSE)-F3429</f>
        <v/>
      </c>
      <c r="H3429" s="19" t="n">
        <v>1</v>
      </c>
      <c r="I3429" s="57" t="n">
        <v>5</v>
      </c>
    </row>
    <row r="3430">
      <c r="A3430" s="62" t="n">
        <v>46253</v>
      </c>
      <c r="B3430" s="3" t="inlineStr">
        <is>
          <t>Week</t>
        </is>
      </c>
      <c r="C3430" s="19" t="n">
        <v>8</v>
      </c>
      <c r="D3430" s="19" t="n">
        <v>2026</v>
      </c>
      <c r="E3430" s="57" t="n">
        <v>4</v>
      </c>
      <c r="F3430" s="29">
        <f>ROUND(((SUMIFS(Calendar!$F$2:$F$9997,Calendar!$B$2:$B$9997,D3430,Calendar!$C$2:$C$9997,C3430)*INDEX(ForeCalc!$B$37:$Y$274,MATCH(_xlfn.CONCAT(H3430," ",I3430),ForeCalc!$A$37:$A$274,0),MATCH(_xlfn.CONCAT(B3430," ",E3430),ForeCalc!$B$36:$Y$36,0))))*VLOOKUP(A3430,Calendar!$A$2:$H$9997,8,FALSE),0)</f>
        <v/>
      </c>
      <c r="G3430" s="29">
        <f>VLOOKUP(A3430,Calendar!$A$1:$H$9997,6,FALSE)-F3430</f>
        <v/>
      </c>
      <c r="H3430" s="19" t="n">
        <v>1</v>
      </c>
      <c r="I3430" s="57" t="n">
        <v>5</v>
      </c>
    </row>
    <row r="3431">
      <c r="A3431" s="62" t="n">
        <v>46254</v>
      </c>
      <c r="B3431" s="3" t="inlineStr">
        <is>
          <t>Week</t>
        </is>
      </c>
      <c r="C3431" s="19" t="n">
        <v>8</v>
      </c>
      <c r="D3431" s="19" t="n">
        <v>2026</v>
      </c>
      <c r="E3431" s="57" t="n">
        <v>4</v>
      </c>
      <c r="F3431" s="29">
        <f>ROUND(((SUMIFS(Calendar!$F$2:$F$9997,Calendar!$B$2:$B$9997,D3431,Calendar!$C$2:$C$9997,C3431)*INDEX(ForeCalc!$B$37:$Y$274,MATCH(_xlfn.CONCAT(H3431," ",I3431),ForeCalc!$A$37:$A$274,0),MATCH(_xlfn.CONCAT(B3431," ",E3431),ForeCalc!$B$36:$Y$36,0))))*VLOOKUP(A3431,Calendar!$A$2:$H$9997,8,FALSE),0)</f>
        <v/>
      </c>
      <c r="G3431" s="29">
        <f>VLOOKUP(A3431,Calendar!$A$1:$H$9997,6,FALSE)-F3431</f>
        <v/>
      </c>
      <c r="H3431" s="19" t="n">
        <v>1</v>
      </c>
      <c r="I3431" s="57" t="n">
        <v>5</v>
      </c>
    </row>
    <row r="3432">
      <c r="A3432" s="62" t="n">
        <v>46255</v>
      </c>
      <c r="B3432" s="3" t="inlineStr">
        <is>
          <t>Week</t>
        </is>
      </c>
      <c r="C3432" s="19" t="n">
        <v>8</v>
      </c>
      <c r="D3432" s="19" t="n">
        <v>2026</v>
      </c>
      <c r="E3432" s="57" t="n">
        <v>4</v>
      </c>
      <c r="F3432" s="29">
        <f>ROUND(((SUMIFS(Calendar!$F$2:$F$9997,Calendar!$B$2:$B$9997,D3432,Calendar!$C$2:$C$9997,C3432)*INDEX(ForeCalc!$B$37:$Y$274,MATCH(_xlfn.CONCAT(H3432," ",I3432),ForeCalc!$A$37:$A$274,0),MATCH(_xlfn.CONCAT(B3432," ",E3432),ForeCalc!$B$36:$Y$36,0))))*VLOOKUP(A3432,Calendar!$A$2:$H$9997,8,FALSE),0)</f>
        <v/>
      </c>
      <c r="G3432" s="29">
        <f>VLOOKUP(A3432,Calendar!$A$1:$H$9997,6,FALSE)-F3432</f>
        <v/>
      </c>
      <c r="H3432" s="19" t="n">
        <v>1</v>
      </c>
      <c r="I3432" s="57" t="n">
        <v>5</v>
      </c>
    </row>
    <row r="3433">
      <c r="A3433" s="62" t="n">
        <v>46256</v>
      </c>
      <c r="B3433" s="3" t="inlineStr">
        <is>
          <t>Sat</t>
        </is>
      </c>
      <c r="C3433" s="19" t="n">
        <v>8</v>
      </c>
      <c r="D3433" s="19" t="n">
        <v>2026</v>
      </c>
      <c r="E3433" s="57" t="n">
        <v>4</v>
      </c>
      <c r="F3433" s="29">
        <f>ROUND(((SUMIFS(Calendar!$F$2:$F$9997,Calendar!$B$2:$B$9997,D3433,Calendar!$C$2:$C$9997,C3433)*INDEX(ForeCalc!$B$37:$Y$274,MATCH(_xlfn.CONCAT(H3433," ",I3433),ForeCalc!$A$37:$A$274,0),MATCH(_xlfn.CONCAT(B3433," ",E3433),ForeCalc!$B$36:$Y$36,0))))*VLOOKUP(A3433,Calendar!$A$2:$H$9997,8,FALSE),0)</f>
        <v/>
      </c>
      <c r="G3433" s="29">
        <f>VLOOKUP(A3433,Calendar!$A$1:$H$9997,6,FALSE)-F3433</f>
        <v/>
      </c>
      <c r="H3433" s="19" t="n">
        <v>1</v>
      </c>
      <c r="I3433" s="57" t="n">
        <v>5</v>
      </c>
    </row>
    <row r="3434">
      <c r="A3434" s="62" t="n">
        <v>46257</v>
      </c>
      <c r="B3434" s="3" t="inlineStr">
        <is>
          <t>Sun</t>
        </is>
      </c>
      <c r="C3434" s="19" t="n">
        <v>8</v>
      </c>
      <c r="D3434" s="19" t="n">
        <v>2026</v>
      </c>
      <c r="E3434" s="57" t="n">
        <v>4</v>
      </c>
      <c r="F3434" s="29">
        <f>ROUND(((SUMIFS(Calendar!$F$2:$F$9997,Calendar!$B$2:$B$9997,D3434,Calendar!$C$2:$C$9997,C3434)*INDEX(ForeCalc!$B$37:$Y$274,MATCH(_xlfn.CONCAT(H3434," ",I3434),ForeCalc!$A$37:$A$274,0),MATCH(_xlfn.CONCAT(B3434," ",E3434),ForeCalc!$B$36:$Y$36,0))))*VLOOKUP(A3434,Calendar!$A$2:$H$9997,8,FALSE),0)</f>
        <v/>
      </c>
      <c r="G3434" s="29">
        <f>VLOOKUP(A3434,Calendar!$A$1:$H$9997,6,FALSE)-F3434</f>
        <v/>
      </c>
      <c r="H3434" s="19" t="n">
        <v>1</v>
      </c>
      <c r="I3434" s="57" t="n">
        <v>5</v>
      </c>
    </row>
    <row r="3435">
      <c r="A3435" s="62" t="n">
        <v>46258</v>
      </c>
      <c r="B3435" s="3" t="inlineStr">
        <is>
          <t>Week</t>
        </is>
      </c>
      <c r="C3435" s="19" t="n">
        <v>8</v>
      </c>
      <c r="D3435" s="19" t="n">
        <v>2026</v>
      </c>
      <c r="E3435" s="57" t="n">
        <v>4</v>
      </c>
      <c r="F3435" s="29">
        <f>ROUND(((SUMIFS(Calendar!$F$2:$F$9997,Calendar!$B$2:$B$9997,D3435,Calendar!$C$2:$C$9997,C3435)*INDEX(ForeCalc!$B$37:$Y$274,MATCH(_xlfn.CONCAT(H3435," ",I3435),ForeCalc!$A$37:$A$274,0),MATCH(_xlfn.CONCAT(B3435," ",E3435),ForeCalc!$B$36:$Y$36,0))))*VLOOKUP(A3435,Calendar!$A$2:$H$9997,8,FALSE),0)</f>
        <v/>
      </c>
      <c r="G3435" s="29">
        <f>VLOOKUP(A3435,Calendar!$A$1:$H$9997,6,FALSE)-F3435</f>
        <v/>
      </c>
      <c r="H3435" s="19" t="n">
        <v>1</v>
      </c>
      <c r="I3435" s="57" t="n">
        <v>5</v>
      </c>
    </row>
    <row r="3436">
      <c r="A3436" s="62" t="n">
        <v>46259</v>
      </c>
      <c r="B3436" s="3" t="inlineStr">
        <is>
          <t>Week</t>
        </is>
      </c>
      <c r="C3436" s="19" t="n">
        <v>8</v>
      </c>
      <c r="D3436" s="19" t="n">
        <v>2026</v>
      </c>
      <c r="E3436" s="57" t="n">
        <v>4</v>
      </c>
      <c r="F3436" s="29">
        <f>ROUND(((SUMIFS(Calendar!$F$2:$F$9997,Calendar!$B$2:$B$9997,D3436,Calendar!$C$2:$C$9997,C3436)*INDEX(ForeCalc!$B$37:$Y$274,MATCH(_xlfn.CONCAT(H3436," ",I3436),ForeCalc!$A$37:$A$274,0),MATCH(_xlfn.CONCAT(B3436," ",E3436),ForeCalc!$B$36:$Y$36,0))))*VLOOKUP(A3436,Calendar!$A$2:$H$9997,8,FALSE),0)</f>
        <v/>
      </c>
      <c r="G3436" s="29">
        <f>VLOOKUP(A3436,Calendar!$A$1:$H$9997,6,FALSE)-F3436</f>
        <v/>
      </c>
      <c r="H3436" s="19" t="n">
        <v>1</v>
      </c>
      <c r="I3436" s="57" t="n">
        <v>5</v>
      </c>
    </row>
    <row r="3437">
      <c r="A3437" s="62" t="n">
        <v>46260</v>
      </c>
      <c r="B3437" s="3" t="inlineStr">
        <is>
          <t>Week</t>
        </is>
      </c>
      <c r="C3437" s="19" t="n">
        <v>8</v>
      </c>
      <c r="D3437" s="19" t="n">
        <v>2026</v>
      </c>
      <c r="E3437" s="57" t="n">
        <v>4</v>
      </c>
      <c r="F3437" s="29">
        <f>ROUND(((SUMIFS(Calendar!$F$2:$F$9997,Calendar!$B$2:$B$9997,D3437,Calendar!$C$2:$C$9997,C3437)*INDEX(ForeCalc!$B$37:$Y$274,MATCH(_xlfn.CONCAT(H3437," ",I3437),ForeCalc!$A$37:$A$274,0),MATCH(_xlfn.CONCAT(B3437," ",E3437),ForeCalc!$B$36:$Y$36,0))))*VLOOKUP(A3437,Calendar!$A$2:$H$9997,8,FALSE),0)</f>
        <v/>
      </c>
      <c r="G3437" s="29">
        <f>VLOOKUP(A3437,Calendar!$A$1:$H$9997,6,FALSE)-F3437</f>
        <v/>
      </c>
      <c r="H3437" s="19" t="n">
        <v>1</v>
      </c>
      <c r="I3437" s="57" t="n">
        <v>5</v>
      </c>
    </row>
    <row r="3438">
      <c r="A3438" s="62" t="n">
        <v>46261</v>
      </c>
      <c r="B3438" s="3" t="inlineStr">
        <is>
          <t>Week</t>
        </is>
      </c>
      <c r="C3438" s="19" t="n">
        <v>8</v>
      </c>
      <c r="D3438" s="19" t="n">
        <v>2026</v>
      </c>
      <c r="E3438" s="57" t="n">
        <v>4</v>
      </c>
      <c r="F3438" s="29">
        <f>ROUND(((SUMIFS(Calendar!$F$2:$F$9997,Calendar!$B$2:$B$9997,D3438,Calendar!$C$2:$C$9997,C3438)*INDEX(ForeCalc!$B$37:$Y$274,MATCH(_xlfn.CONCAT(H3438," ",I3438),ForeCalc!$A$37:$A$274,0),MATCH(_xlfn.CONCAT(B3438," ",E3438),ForeCalc!$B$36:$Y$36,0))))*VLOOKUP(A3438,Calendar!$A$2:$H$9997,8,FALSE),0)</f>
        <v/>
      </c>
      <c r="G3438" s="29">
        <f>VLOOKUP(A3438,Calendar!$A$1:$H$9997,6,FALSE)-F3438</f>
        <v/>
      </c>
      <c r="H3438" s="19" t="n">
        <v>1</v>
      </c>
      <c r="I3438" s="57" t="n">
        <v>5</v>
      </c>
    </row>
    <row r="3439">
      <c r="A3439" s="62" t="n">
        <v>46262</v>
      </c>
      <c r="B3439" s="3" t="inlineStr">
        <is>
          <t>Week</t>
        </is>
      </c>
      <c r="C3439" s="19" t="n">
        <v>8</v>
      </c>
      <c r="D3439" s="19" t="n">
        <v>2026</v>
      </c>
      <c r="E3439" s="57" t="n">
        <v>4</v>
      </c>
      <c r="F3439" s="29">
        <f>ROUND(((SUMIFS(Calendar!$F$2:$F$9997,Calendar!$B$2:$B$9997,D3439,Calendar!$C$2:$C$9997,C3439)*INDEX(ForeCalc!$B$37:$Y$274,MATCH(_xlfn.CONCAT(H3439," ",I3439),ForeCalc!$A$37:$A$274,0),MATCH(_xlfn.CONCAT(B3439," ",E3439),ForeCalc!$B$36:$Y$36,0))))*VLOOKUP(A3439,Calendar!$A$2:$H$9997,8,FALSE),0)</f>
        <v/>
      </c>
      <c r="G3439" s="29">
        <f>VLOOKUP(A3439,Calendar!$A$1:$H$9997,6,FALSE)-F3439</f>
        <v/>
      </c>
      <c r="H3439" s="19" t="n">
        <v>1</v>
      </c>
      <c r="I3439" s="57" t="n">
        <v>5</v>
      </c>
    </row>
    <row r="3440">
      <c r="A3440" s="62" t="n">
        <v>46263</v>
      </c>
      <c r="B3440" s="3" t="inlineStr">
        <is>
          <t>Sat</t>
        </is>
      </c>
      <c r="C3440" s="19" t="n">
        <v>8</v>
      </c>
      <c r="D3440" s="19" t="n">
        <v>2026</v>
      </c>
      <c r="E3440" s="57" t="n">
        <v>4</v>
      </c>
      <c r="F3440" s="29">
        <f>ROUND(((SUMIFS(Calendar!$F$2:$F$9997,Calendar!$B$2:$B$9997,D3440,Calendar!$C$2:$C$9997,C3440)*INDEX(ForeCalc!$B$37:$Y$274,MATCH(_xlfn.CONCAT(H3440," ",I3440),ForeCalc!$A$37:$A$274,0),MATCH(_xlfn.CONCAT(B3440," ",E3440),ForeCalc!$B$36:$Y$36,0))))*VLOOKUP(A3440,Calendar!$A$2:$H$9997,8,FALSE),0)</f>
        <v/>
      </c>
      <c r="G3440" s="29">
        <f>VLOOKUP(A3440,Calendar!$A$1:$H$9997,6,FALSE)-F3440</f>
        <v/>
      </c>
      <c r="H3440" s="19" t="n">
        <v>1</v>
      </c>
      <c r="I3440" s="57" t="n">
        <v>5</v>
      </c>
    </row>
    <row r="3441">
      <c r="A3441" s="62" t="n">
        <v>46264</v>
      </c>
      <c r="B3441" s="3" t="inlineStr">
        <is>
          <t>Sun</t>
        </is>
      </c>
      <c r="C3441" s="19" t="n">
        <v>8</v>
      </c>
      <c r="D3441" s="19" t="n">
        <v>2026</v>
      </c>
      <c r="E3441" s="57" t="n">
        <v>4</v>
      </c>
      <c r="F3441" s="29">
        <f>ROUND(((SUMIFS(Calendar!$F$2:$F$9997,Calendar!$B$2:$B$9997,D3441,Calendar!$C$2:$C$9997,C3441)*INDEX(ForeCalc!$B$37:$Y$274,MATCH(_xlfn.CONCAT(H3441," ",I3441),ForeCalc!$A$37:$A$274,0),MATCH(_xlfn.CONCAT(B3441," ",E3441),ForeCalc!$B$36:$Y$36,0))))*VLOOKUP(A3441,Calendar!$A$2:$H$9997,8,FALSE),0)</f>
        <v/>
      </c>
      <c r="G3441" s="29">
        <f>VLOOKUP(A3441,Calendar!$A$1:$H$9997,6,FALSE)-F3441</f>
        <v/>
      </c>
      <c r="H3441" s="19" t="n">
        <v>1</v>
      </c>
      <c r="I3441" s="57" t="n">
        <v>5</v>
      </c>
    </row>
    <row r="3442">
      <c r="A3442" s="62" t="n">
        <v>46265</v>
      </c>
      <c r="B3442" s="3" t="inlineStr">
        <is>
          <t>Week</t>
        </is>
      </c>
      <c r="C3442" s="19" t="n">
        <v>8</v>
      </c>
      <c r="D3442" s="19" t="n">
        <v>2026</v>
      </c>
      <c r="E3442" s="57" t="n">
        <v>4</v>
      </c>
      <c r="F3442" s="29">
        <f>ROUND(((SUMIFS(Calendar!$F$2:$F$9997,Calendar!$B$2:$B$9997,D3442,Calendar!$C$2:$C$9997,C3442)*INDEX(ForeCalc!$B$37:$Y$274,MATCH(_xlfn.CONCAT(H3442," ",I3442),ForeCalc!$A$37:$A$274,0),MATCH(_xlfn.CONCAT(B3442," ",E3442),ForeCalc!$B$36:$Y$36,0))))*VLOOKUP(A3442,Calendar!$A$2:$H$9997,8,FALSE),0)</f>
        <v/>
      </c>
      <c r="G3442" s="29">
        <f>VLOOKUP(A3442,Calendar!$A$1:$H$9997,6,FALSE)-F3442</f>
        <v/>
      </c>
      <c r="H3442" s="19" t="n">
        <v>1</v>
      </c>
      <c r="I3442" s="57" t="n">
        <v>5</v>
      </c>
    </row>
    <row r="3443">
      <c r="A3443" s="62" t="n">
        <v>46266</v>
      </c>
      <c r="B3443" s="3" t="inlineStr">
        <is>
          <t>Week</t>
        </is>
      </c>
      <c r="C3443" s="19" t="n">
        <v>9</v>
      </c>
      <c r="D3443" s="19" t="n">
        <v>2026</v>
      </c>
      <c r="E3443" s="57" t="n">
        <v>4</v>
      </c>
      <c r="F3443" s="29">
        <f>ROUND(((SUMIFS(Calendar!$F$2:$F$9997,Calendar!$B$2:$B$9997,D3443,Calendar!$C$2:$C$9997,C3443)*INDEX(ForeCalc!$B$37:$Y$274,MATCH(_xlfn.CONCAT(H3443," ",I3443),ForeCalc!$A$37:$A$274,0),MATCH(_xlfn.CONCAT(B3443," ",E3443),ForeCalc!$B$36:$Y$36,0))))*VLOOKUP(A3443,Calendar!$A$2:$H$9997,8,FALSE),0)</f>
        <v/>
      </c>
      <c r="G3443" s="29">
        <f>VLOOKUP(A3443,Calendar!$A$1:$H$9997,6,FALSE)-F3443</f>
        <v/>
      </c>
      <c r="H3443" s="19" t="n">
        <v>1</v>
      </c>
      <c r="I3443" s="57" t="n">
        <v>6</v>
      </c>
    </row>
    <row r="3444">
      <c r="A3444" s="62" t="n">
        <v>46267</v>
      </c>
      <c r="B3444" s="3" t="inlineStr">
        <is>
          <t>Week</t>
        </is>
      </c>
      <c r="C3444" s="19" t="n">
        <v>9</v>
      </c>
      <c r="D3444" s="19" t="n">
        <v>2026</v>
      </c>
      <c r="E3444" s="57" t="n">
        <v>4</v>
      </c>
      <c r="F3444" s="29">
        <f>ROUND(((SUMIFS(Calendar!$F$2:$F$9997,Calendar!$B$2:$B$9997,D3444,Calendar!$C$2:$C$9997,C3444)*INDEX(ForeCalc!$B$37:$Y$274,MATCH(_xlfn.CONCAT(H3444," ",I3444),ForeCalc!$A$37:$A$274,0),MATCH(_xlfn.CONCAT(B3444," ",E3444),ForeCalc!$B$36:$Y$36,0))))*VLOOKUP(A3444,Calendar!$A$2:$H$9997,8,FALSE),0)</f>
        <v/>
      </c>
      <c r="G3444" s="29">
        <f>VLOOKUP(A3444,Calendar!$A$1:$H$9997,6,FALSE)-F3444</f>
        <v/>
      </c>
      <c r="H3444" s="19" t="n">
        <v>1</v>
      </c>
      <c r="I3444" s="57" t="n">
        <v>6</v>
      </c>
    </row>
    <row r="3445">
      <c r="A3445" s="62" t="n">
        <v>46268</v>
      </c>
      <c r="B3445" s="3" t="inlineStr">
        <is>
          <t>Week</t>
        </is>
      </c>
      <c r="C3445" s="19" t="n">
        <v>9</v>
      </c>
      <c r="D3445" s="19" t="n">
        <v>2026</v>
      </c>
      <c r="E3445" s="57" t="n">
        <v>4</v>
      </c>
      <c r="F3445" s="29">
        <f>ROUND(((SUMIFS(Calendar!$F$2:$F$9997,Calendar!$B$2:$B$9997,D3445,Calendar!$C$2:$C$9997,C3445)*INDEX(ForeCalc!$B$37:$Y$274,MATCH(_xlfn.CONCAT(H3445," ",I3445),ForeCalc!$A$37:$A$274,0),MATCH(_xlfn.CONCAT(B3445," ",E3445),ForeCalc!$B$36:$Y$36,0))))*VLOOKUP(A3445,Calendar!$A$2:$H$9997,8,FALSE),0)</f>
        <v/>
      </c>
      <c r="G3445" s="29">
        <f>VLOOKUP(A3445,Calendar!$A$1:$H$9997,6,FALSE)-F3445</f>
        <v/>
      </c>
      <c r="H3445" s="19" t="n">
        <v>1</v>
      </c>
      <c r="I3445" s="57" t="n">
        <v>6</v>
      </c>
    </row>
    <row r="3446">
      <c r="A3446" s="62" t="n">
        <v>46269</v>
      </c>
      <c r="B3446" s="3" t="inlineStr">
        <is>
          <t>Week</t>
        </is>
      </c>
      <c r="C3446" s="19" t="n">
        <v>9</v>
      </c>
      <c r="D3446" s="19" t="n">
        <v>2026</v>
      </c>
      <c r="E3446" s="57" t="n">
        <v>4</v>
      </c>
      <c r="F3446" s="29">
        <f>ROUND(((SUMIFS(Calendar!$F$2:$F$9997,Calendar!$B$2:$B$9997,D3446,Calendar!$C$2:$C$9997,C3446)*INDEX(ForeCalc!$B$37:$Y$274,MATCH(_xlfn.CONCAT(H3446," ",I3446),ForeCalc!$A$37:$A$274,0),MATCH(_xlfn.CONCAT(B3446," ",E3446),ForeCalc!$B$36:$Y$36,0))))*VLOOKUP(A3446,Calendar!$A$2:$H$9997,8,FALSE),0)</f>
        <v/>
      </c>
      <c r="G3446" s="29">
        <f>VLOOKUP(A3446,Calendar!$A$1:$H$9997,6,FALSE)-F3446</f>
        <v/>
      </c>
      <c r="H3446" s="19" t="n">
        <v>1</v>
      </c>
      <c r="I3446" s="57" t="n">
        <v>6</v>
      </c>
    </row>
    <row r="3447">
      <c r="A3447" s="62" t="n">
        <v>46270</v>
      </c>
      <c r="B3447" s="3" t="inlineStr">
        <is>
          <t>Sat</t>
        </is>
      </c>
      <c r="C3447" s="19" t="n">
        <v>9</v>
      </c>
      <c r="D3447" s="19" t="n">
        <v>2026</v>
      </c>
      <c r="E3447" s="57" t="n">
        <v>4</v>
      </c>
      <c r="F3447" s="29">
        <f>ROUND(((SUMIFS(Calendar!$F$2:$F$9997,Calendar!$B$2:$B$9997,D3447,Calendar!$C$2:$C$9997,C3447)*INDEX(ForeCalc!$B$37:$Y$274,MATCH(_xlfn.CONCAT(H3447," ",I3447),ForeCalc!$A$37:$A$274,0),MATCH(_xlfn.CONCAT(B3447," ",E3447),ForeCalc!$B$36:$Y$36,0))))*VLOOKUP(A3447,Calendar!$A$2:$H$9997,8,FALSE),0)</f>
        <v/>
      </c>
      <c r="G3447" s="29">
        <f>VLOOKUP(A3447,Calendar!$A$1:$H$9997,6,FALSE)-F3447</f>
        <v/>
      </c>
      <c r="H3447" s="19" t="n">
        <v>1</v>
      </c>
      <c r="I3447" s="57" t="n">
        <v>6</v>
      </c>
    </row>
    <row r="3448">
      <c r="A3448" s="62" t="n">
        <v>46271</v>
      </c>
      <c r="B3448" s="3" t="inlineStr">
        <is>
          <t>Sun</t>
        </is>
      </c>
      <c r="C3448" s="19" t="n">
        <v>9</v>
      </c>
      <c r="D3448" s="19" t="n">
        <v>2026</v>
      </c>
      <c r="E3448" s="57" t="n">
        <v>4</v>
      </c>
      <c r="F3448" s="29">
        <f>ROUND(((SUMIFS(Calendar!$F$2:$F$9997,Calendar!$B$2:$B$9997,D3448,Calendar!$C$2:$C$9997,C3448)*INDEX(ForeCalc!$B$37:$Y$274,MATCH(_xlfn.CONCAT(H3448," ",I3448),ForeCalc!$A$37:$A$274,0),MATCH(_xlfn.CONCAT(B3448," ",E3448),ForeCalc!$B$36:$Y$36,0))))*VLOOKUP(A3448,Calendar!$A$2:$H$9997,8,FALSE),0)</f>
        <v/>
      </c>
      <c r="G3448" s="29">
        <f>VLOOKUP(A3448,Calendar!$A$1:$H$9997,6,FALSE)-F3448</f>
        <v/>
      </c>
      <c r="H3448" s="19" t="n">
        <v>1</v>
      </c>
      <c r="I3448" s="57" t="n">
        <v>6</v>
      </c>
    </row>
    <row r="3449">
      <c r="A3449" s="62" t="n">
        <v>46272</v>
      </c>
      <c r="B3449" s="3" t="inlineStr">
        <is>
          <t>Week</t>
        </is>
      </c>
      <c r="C3449" s="19" t="n">
        <v>9</v>
      </c>
      <c r="D3449" s="19" t="n">
        <v>2026</v>
      </c>
      <c r="E3449" s="57" t="n">
        <v>4</v>
      </c>
      <c r="F3449" s="29">
        <f>ROUND(((SUMIFS(Calendar!$F$2:$F$9997,Calendar!$B$2:$B$9997,D3449,Calendar!$C$2:$C$9997,C3449)*INDEX(ForeCalc!$B$37:$Y$274,MATCH(_xlfn.CONCAT(H3449," ",I3449),ForeCalc!$A$37:$A$274,0),MATCH(_xlfn.CONCAT(B3449," ",E3449),ForeCalc!$B$36:$Y$36,0))))*VLOOKUP(A3449,Calendar!$A$2:$H$9997,8,FALSE),0)</f>
        <v/>
      </c>
      <c r="G3449" s="29">
        <f>VLOOKUP(A3449,Calendar!$A$1:$H$9997,6,FALSE)-F3449</f>
        <v/>
      </c>
      <c r="H3449" s="19" t="n">
        <v>1</v>
      </c>
      <c r="I3449" s="57" t="n">
        <v>6</v>
      </c>
    </row>
    <row r="3450">
      <c r="A3450" s="62" t="n">
        <v>46273</v>
      </c>
      <c r="B3450" s="3" t="inlineStr">
        <is>
          <t>Week</t>
        </is>
      </c>
      <c r="C3450" s="19" t="n">
        <v>9</v>
      </c>
      <c r="D3450" s="19" t="n">
        <v>2026</v>
      </c>
      <c r="E3450" s="57" t="n">
        <v>4</v>
      </c>
      <c r="F3450" s="29">
        <f>ROUND(((SUMIFS(Calendar!$F$2:$F$9997,Calendar!$B$2:$B$9997,D3450,Calendar!$C$2:$C$9997,C3450)*INDEX(ForeCalc!$B$37:$Y$274,MATCH(_xlfn.CONCAT(H3450," ",I3450),ForeCalc!$A$37:$A$274,0),MATCH(_xlfn.CONCAT(B3450," ",E3450),ForeCalc!$B$36:$Y$36,0))))*VLOOKUP(A3450,Calendar!$A$2:$H$9997,8,FALSE),0)</f>
        <v/>
      </c>
      <c r="G3450" s="29">
        <f>VLOOKUP(A3450,Calendar!$A$1:$H$9997,6,FALSE)-F3450</f>
        <v/>
      </c>
      <c r="H3450" s="19" t="n">
        <v>1</v>
      </c>
      <c r="I3450" s="57" t="n">
        <v>6</v>
      </c>
    </row>
    <row r="3451">
      <c r="A3451" s="62" t="n">
        <v>46274</v>
      </c>
      <c r="B3451" s="3" t="inlineStr">
        <is>
          <t>Week</t>
        </is>
      </c>
      <c r="C3451" s="19" t="n">
        <v>9</v>
      </c>
      <c r="D3451" s="19" t="n">
        <v>2026</v>
      </c>
      <c r="E3451" s="57" t="n">
        <v>4</v>
      </c>
      <c r="F3451" s="29">
        <f>ROUND(((SUMIFS(Calendar!$F$2:$F$9997,Calendar!$B$2:$B$9997,D3451,Calendar!$C$2:$C$9997,C3451)*INDEX(ForeCalc!$B$37:$Y$274,MATCH(_xlfn.CONCAT(H3451," ",I3451),ForeCalc!$A$37:$A$274,0),MATCH(_xlfn.CONCAT(B3451," ",E3451),ForeCalc!$B$36:$Y$36,0))))*VLOOKUP(A3451,Calendar!$A$2:$H$9997,8,FALSE),0)</f>
        <v/>
      </c>
      <c r="G3451" s="29">
        <f>VLOOKUP(A3451,Calendar!$A$1:$H$9997,6,FALSE)-F3451</f>
        <v/>
      </c>
      <c r="H3451" s="19" t="n">
        <v>1</v>
      </c>
      <c r="I3451" s="57" t="n">
        <v>6</v>
      </c>
    </row>
    <row r="3452">
      <c r="A3452" s="62" t="n">
        <v>46275</v>
      </c>
      <c r="B3452" s="3" t="inlineStr">
        <is>
          <t>Week</t>
        </is>
      </c>
      <c r="C3452" s="19" t="n">
        <v>9</v>
      </c>
      <c r="D3452" s="19" t="n">
        <v>2026</v>
      </c>
      <c r="E3452" s="57" t="n">
        <v>4</v>
      </c>
      <c r="F3452" s="29">
        <f>ROUND(((SUMIFS(Calendar!$F$2:$F$9997,Calendar!$B$2:$B$9997,D3452,Calendar!$C$2:$C$9997,C3452)*INDEX(ForeCalc!$B$37:$Y$274,MATCH(_xlfn.CONCAT(H3452," ",I3452),ForeCalc!$A$37:$A$274,0),MATCH(_xlfn.CONCAT(B3452," ",E3452),ForeCalc!$B$36:$Y$36,0))))*VLOOKUP(A3452,Calendar!$A$2:$H$9997,8,FALSE),0)</f>
        <v/>
      </c>
      <c r="G3452" s="29">
        <f>VLOOKUP(A3452,Calendar!$A$1:$H$9997,6,FALSE)-F3452</f>
        <v/>
      </c>
      <c r="H3452" s="19" t="n">
        <v>1</v>
      </c>
      <c r="I3452" s="57" t="n">
        <v>6</v>
      </c>
    </row>
    <row r="3453">
      <c r="A3453" s="62" t="n">
        <v>46276</v>
      </c>
      <c r="B3453" s="3" t="inlineStr">
        <is>
          <t>Week</t>
        </is>
      </c>
      <c r="C3453" s="19" t="n">
        <v>9</v>
      </c>
      <c r="D3453" s="19" t="n">
        <v>2026</v>
      </c>
      <c r="E3453" s="57" t="n">
        <v>4</v>
      </c>
      <c r="F3453" s="29">
        <f>ROUND(((SUMIFS(Calendar!$F$2:$F$9997,Calendar!$B$2:$B$9997,D3453,Calendar!$C$2:$C$9997,C3453)*INDEX(ForeCalc!$B$37:$Y$274,MATCH(_xlfn.CONCAT(H3453," ",I3453),ForeCalc!$A$37:$A$274,0),MATCH(_xlfn.CONCAT(B3453," ",E3453),ForeCalc!$B$36:$Y$36,0))))*VLOOKUP(A3453,Calendar!$A$2:$H$9997,8,FALSE),0)</f>
        <v/>
      </c>
      <c r="G3453" s="29">
        <f>VLOOKUP(A3453,Calendar!$A$1:$H$9997,6,FALSE)-F3453</f>
        <v/>
      </c>
      <c r="H3453" s="19" t="n">
        <v>1</v>
      </c>
      <c r="I3453" s="57" t="n">
        <v>6</v>
      </c>
    </row>
    <row r="3454">
      <c r="A3454" s="62" t="n">
        <v>46277</v>
      </c>
      <c r="B3454" s="3" t="inlineStr">
        <is>
          <t>Sat</t>
        </is>
      </c>
      <c r="C3454" s="19" t="n">
        <v>9</v>
      </c>
      <c r="D3454" s="19" t="n">
        <v>2026</v>
      </c>
      <c r="E3454" s="57" t="n">
        <v>4</v>
      </c>
      <c r="F3454" s="29">
        <f>ROUND(((SUMIFS(Calendar!$F$2:$F$9997,Calendar!$B$2:$B$9997,D3454,Calendar!$C$2:$C$9997,C3454)*INDEX(ForeCalc!$B$37:$Y$274,MATCH(_xlfn.CONCAT(H3454," ",I3454),ForeCalc!$A$37:$A$274,0),MATCH(_xlfn.CONCAT(B3454," ",E3454),ForeCalc!$B$36:$Y$36,0))))*VLOOKUP(A3454,Calendar!$A$2:$H$9997,8,FALSE),0)</f>
        <v/>
      </c>
      <c r="G3454" s="29">
        <f>VLOOKUP(A3454,Calendar!$A$1:$H$9997,6,FALSE)-F3454</f>
        <v/>
      </c>
      <c r="H3454" s="19" t="n">
        <v>1</v>
      </c>
      <c r="I3454" s="57" t="n">
        <v>6</v>
      </c>
    </row>
    <row r="3455">
      <c r="A3455" s="62" t="n">
        <v>46278</v>
      </c>
      <c r="B3455" s="3" t="inlineStr">
        <is>
          <t>Sun</t>
        </is>
      </c>
      <c r="C3455" s="19" t="n">
        <v>9</v>
      </c>
      <c r="D3455" s="19" t="n">
        <v>2026</v>
      </c>
      <c r="E3455" s="57" t="n">
        <v>4</v>
      </c>
      <c r="F3455" s="29">
        <f>ROUND(((SUMIFS(Calendar!$F$2:$F$9997,Calendar!$B$2:$B$9997,D3455,Calendar!$C$2:$C$9997,C3455)*INDEX(ForeCalc!$B$37:$Y$274,MATCH(_xlfn.CONCAT(H3455," ",I3455),ForeCalc!$A$37:$A$274,0),MATCH(_xlfn.CONCAT(B3455," ",E3455),ForeCalc!$B$36:$Y$36,0))))*VLOOKUP(A3455,Calendar!$A$2:$H$9997,8,FALSE),0)</f>
        <v/>
      </c>
      <c r="G3455" s="29">
        <f>VLOOKUP(A3455,Calendar!$A$1:$H$9997,6,FALSE)-F3455</f>
        <v/>
      </c>
      <c r="H3455" s="19" t="n">
        <v>1</v>
      </c>
      <c r="I3455" s="57" t="n">
        <v>6</v>
      </c>
    </row>
    <row r="3456">
      <c r="A3456" s="62" t="n">
        <v>46279</v>
      </c>
      <c r="B3456" s="3" t="inlineStr">
        <is>
          <t>Week</t>
        </is>
      </c>
      <c r="C3456" s="19" t="n">
        <v>9</v>
      </c>
      <c r="D3456" s="19" t="n">
        <v>2026</v>
      </c>
      <c r="E3456" s="57" t="n">
        <v>4</v>
      </c>
      <c r="F3456" s="29">
        <f>ROUND(((SUMIFS(Calendar!$F$2:$F$9997,Calendar!$B$2:$B$9997,D3456,Calendar!$C$2:$C$9997,C3456)*INDEX(ForeCalc!$B$37:$Y$274,MATCH(_xlfn.CONCAT(H3456," ",I3456),ForeCalc!$A$37:$A$274,0),MATCH(_xlfn.CONCAT(B3456," ",E3456),ForeCalc!$B$36:$Y$36,0))))*VLOOKUP(A3456,Calendar!$A$2:$H$9997,8,FALSE),0)</f>
        <v/>
      </c>
      <c r="G3456" s="29">
        <f>VLOOKUP(A3456,Calendar!$A$1:$H$9997,6,FALSE)-F3456</f>
        <v/>
      </c>
      <c r="H3456" s="19" t="n">
        <v>1</v>
      </c>
      <c r="I3456" s="57" t="n">
        <v>6</v>
      </c>
    </row>
    <row r="3457">
      <c r="A3457" s="62" t="n">
        <v>46280</v>
      </c>
      <c r="B3457" s="3" t="inlineStr">
        <is>
          <t>Week</t>
        </is>
      </c>
      <c r="C3457" s="19" t="n">
        <v>9</v>
      </c>
      <c r="D3457" s="19" t="n">
        <v>2026</v>
      </c>
      <c r="E3457" s="57" t="n">
        <v>4</v>
      </c>
      <c r="F3457" s="29">
        <f>ROUND(((SUMIFS(Calendar!$F$2:$F$9997,Calendar!$B$2:$B$9997,D3457,Calendar!$C$2:$C$9997,C3457)*INDEX(ForeCalc!$B$37:$Y$274,MATCH(_xlfn.CONCAT(H3457," ",I3457),ForeCalc!$A$37:$A$274,0),MATCH(_xlfn.CONCAT(B3457," ",E3457),ForeCalc!$B$36:$Y$36,0))))*VLOOKUP(A3457,Calendar!$A$2:$H$9997,8,FALSE),0)</f>
        <v/>
      </c>
      <c r="G3457" s="29">
        <f>VLOOKUP(A3457,Calendar!$A$1:$H$9997,6,FALSE)-F3457</f>
        <v/>
      </c>
      <c r="H3457" s="19" t="n">
        <v>1</v>
      </c>
      <c r="I3457" s="57" t="n">
        <v>6</v>
      </c>
    </row>
    <row r="3458">
      <c r="A3458" s="62" t="n">
        <v>46281</v>
      </c>
      <c r="B3458" s="3" t="inlineStr">
        <is>
          <t>Week</t>
        </is>
      </c>
      <c r="C3458" s="19" t="n">
        <v>9</v>
      </c>
      <c r="D3458" s="19" t="n">
        <v>2026</v>
      </c>
      <c r="E3458" s="57" t="n">
        <v>4</v>
      </c>
      <c r="F3458" s="29">
        <f>ROUND(((SUMIFS(Calendar!$F$2:$F$9997,Calendar!$B$2:$B$9997,D3458,Calendar!$C$2:$C$9997,C3458)*INDEX(ForeCalc!$B$37:$Y$274,MATCH(_xlfn.CONCAT(H3458," ",I3458),ForeCalc!$A$37:$A$274,0),MATCH(_xlfn.CONCAT(B3458," ",E3458),ForeCalc!$B$36:$Y$36,0))))*VLOOKUP(A3458,Calendar!$A$2:$H$9997,8,FALSE),0)</f>
        <v/>
      </c>
      <c r="G3458" s="29">
        <f>VLOOKUP(A3458,Calendar!$A$1:$H$9997,6,FALSE)-F3458</f>
        <v/>
      </c>
      <c r="H3458" s="19" t="n">
        <v>1</v>
      </c>
      <c r="I3458" s="57" t="n">
        <v>6</v>
      </c>
    </row>
    <row r="3459">
      <c r="A3459" s="62" t="n">
        <v>46282</v>
      </c>
      <c r="B3459" s="3" t="inlineStr">
        <is>
          <t>Week</t>
        </is>
      </c>
      <c r="C3459" s="19" t="n">
        <v>9</v>
      </c>
      <c r="D3459" s="19" t="n">
        <v>2026</v>
      </c>
      <c r="E3459" s="57" t="n">
        <v>4</v>
      </c>
      <c r="F3459" s="29">
        <f>ROUND(((SUMIFS(Calendar!$F$2:$F$9997,Calendar!$B$2:$B$9997,D3459,Calendar!$C$2:$C$9997,C3459)*INDEX(ForeCalc!$B$37:$Y$274,MATCH(_xlfn.CONCAT(H3459," ",I3459),ForeCalc!$A$37:$A$274,0),MATCH(_xlfn.CONCAT(B3459," ",E3459),ForeCalc!$B$36:$Y$36,0))))*VLOOKUP(A3459,Calendar!$A$2:$H$9997,8,FALSE),0)</f>
        <v/>
      </c>
      <c r="G3459" s="29">
        <f>VLOOKUP(A3459,Calendar!$A$1:$H$9997,6,FALSE)-F3459</f>
        <v/>
      </c>
      <c r="H3459" s="19" t="n">
        <v>1</v>
      </c>
      <c r="I3459" s="57" t="n">
        <v>6</v>
      </c>
    </row>
    <row r="3460">
      <c r="A3460" s="62" t="n">
        <v>46283</v>
      </c>
      <c r="B3460" s="3" t="inlineStr">
        <is>
          <t>Week</t>
        </is>
      </c>
      <c r="C3460" s="19" t="n">
        <v>9</v>
      </c>
      <c r="D3460" s="19" t="n">
        <v>2026</v>
      </c>
      <c r="E3460" s="57" t="n">
        <v>4</v>
      </c>
      <c r="F3460" s="29">
        <f>ROUND(((SUMIFS(Calendar!$F$2:$F$9997,Calendar!$B$2:$B$9997,D3460,Calendar!$C$2:$C$9997,C3460)*INDEX(ForeCalc!$B$37:$Y$274,MATCH(_xlfn.CONCAT(H3460," ",I3460),ForeCalc!$A$37:$A$274,0),MATCH(_xlfn.CONCAT(B3460," ",E3460),ForeCalc!$B$36:$Y$36,0))))*VLOOKUP(A3460,Calendar!$A$2:$H$9997,8,FALSE),0)</f>
        <v/>
      </c>
      <c r="G3460" s="29">
        <f>VLOOKUP(A3460,Calendar!$A$1:$H$9997,6,FALSE)-F3460</f>
        <v/>
      </c>
      <c r="H3460" s="19" t="n">
        <v>1</v>
      </c>
      <c r="I3460" s="57" t="n">
        <v>6</v>
      </c>
    </row>
    <row r="3461">
      <c r="A3461" s="62" t="n">
        <v>46284</v>
      </c>
      <c r="B3461" s="3" t="inlineStr">
        <is>
          <t>Sat</t>
        </is>
      </c>
      <c r="C3461" s="19" t="n">
        <v>9</v>
      </c>
      <c r="D3461" s="19" t="n">
        <v>2026</v>
      </c>
      <c r="E3461" s="57" t="n">
        <v>4</v>
      </c>
      <c r="F3461" s="29">
        <f>ROUND(((SUMIFS(Calendar!$F$2:$F$9997,Calendar!$B$2:$B$9997,D3461,Calendar!$C$2:$C$9997,C3461)*INDEX(ForeCalc!$B$37:$Y$274,MATCH(_xlfn.CONCAT(H3461," ",I3461),ForeCalc!$A$37:$A$274,0),MATCH(_xlfn.CONCAT(B3461," ",E3461),ForeCalc!$B$36:$Y$36,0))))*VLOOKUP(A3461,Calendar!$A$2:$H$9997,8,FALSE),0)</f>
        <v/>
      </c>
      <c r="G3461" s="29">
        <f>VLOOKUP(A3461,Calendar!$A$1:$H$9997,6,FALSE)-F3461</f>
        <v/>
      </c>
      <c r="H3461" s="19" t="n">
        <v>1</v>
      </c>
      <c r="I3461" s="57" t="n">
        <v>6</v>
      </c>
    </row>
    <row r="3462">
      <c r="A3462" s="62" t="n">
        <v>46285</v>
      </c>
      <c r="B3462" s="3" t="inlineStr">
        <is>
          <t>Sun</t>
        </is>
      </c>
      <c r="C3462" s="19" t="n">
        <v>9</v>
      </c>
      <c r="D3462" s="19" t="n">
        <v>2026</v>
      </c>
      <c r="E3462" s="57" t="n">
        <v>4</v>
      </c>
      <c r="F3462" s="29">
        <f>ROUND(((SUMIFS(Calendar!$F$2:$F$9997,Calendar!$B$2:$B$9997,D3462,Calendar!$C$2:$C$9997,C3462)*INDEX(ForeCalc!$B$37:$Y$274,MATCH(_xlfn.CONCAT(H3462," ",I3462),ForeCalc!$A$37:$A$274,0),MATCH(_xlfn.CONCAT(B3462," ",E3462),ForeCalc!$B$36:$Y$36,0))))*VLOOKUP(A3462,Calendar!$A$2:$H$9997,8,FALSE),0)</f>
        <v/>
      </c>
      <c r="G3462" s="29">
        <f>VLOOKUP(A3462,Calendar!$A$1:$H$9997,6,FALSE)-F3462</f>
        <v/>
      </c>
      <c r="H3462" s="19" t="n">
        <v>1</v>
      </c>
      <c r="I3462" s="57" t="n">
        <v>6</v>
      </c>
    </row>
    <row r="3463">
      <c r="A3463" s="62" t="n">
        <v>46286</v>
      </c>
      <c r="B3463" s="3" t="inlineStr">
        <is>
          <t>Week</t>
        </is>
      </c>
      <c r="C3463" s="19" t="n">
        <v>9</v>
      </c>
      <c r="D3463" s="19" t="n">
        <v>2026</v>
      </c>
      <c r="E3463" s="57" t="n">
        <v>4</v>
      </c>
      <c r="F3463" s="29">
        <f>ROUND(((SUMIFS(Calendar!$F$2:$F$9997,Calendar!$B$2:$B$9997,D3463,Calendar!$C$2:$C$9997,C3463)*INDEX(ForeCalc!$B$37:$Y$274,MATCH(_xlfn.CONCAT(H3463," ",I3463),ForeCalc!$A$37:$A$274,0),MATCH(_xlfn.CONCAT(B3463," ",E3463),ForeCalc!$B$36:$Y$36,0))))*VLOOKUP(A3463,Calendar!$A$2:$H$9997,8,FALSE),0)</f>
        <v/>
      </c>
      <c r="G3463" s="29">
        <f>VLOOKUP(A3463,Calendar!$A$1:$H$9997,6,FALSE)-F3463</f>
        <v/>
      </c>
      <c r="H3463" s="19" t="n">
        <v>1</v>
      </c>
      <c r="I3463" s="57" t="n">
        <v>6</v>
      </c>
    </row>
    <row r="3464">
      <c r="A3464" s="62" t="n">
        <v>46287</v>
      </c>
      <c r="B3464" s="3" t="inlineStr">
        <is>
          <t>Week</t>
        </is>
      </c>
      <c r="C3464" s="19" t="n">
        <v>9</v>
      </c>
      <c r="D3464" s="19" t="n">
        <v>2026</v>
      </c>
      <c r="E3464" s="57" t="n">
        <v>4</v>
      </c>
      <c r="F3464" s="29">
        <f>ROUND(((SUMIFS(Calendar!$F$2:$F$9997,Calendar!$B$2:$B$9997,D3464,Calendar!$C$2:$C$9997,C3464)*INDEX(ForeCalc!$B$37:$Y$274,MATCH(_xlfn.CONCAT(H3464," ",I3464),ForeCalc!$A$37:$A$274,0),MATCH(_xlfn.CONCAT(B3464," ",E3464),ForeCalc!$B$36:$Y$36,0))))*VLOOKUP(A3464,Calendar!$A$2:$H$9997,8,FALSE),0)</f>
        <v/>
      </c>
      <c r="G3464" s="29">
        <f>VLOOKUP(A3464,Calendar!$A$1:$H$9997,6,FALSE)-F3464</f>
        <v/>
      </c>
      <c r="H3464" s="19" t="n">
        <v>1</v>
      </c>
      <c r="I3464" s="57" t="n">
        <v>6</v>
      </c>
    </row>
    <row r="3465">
      <c r="A3465" s="62" t="n">
        <v>46288</v>
      </c>
      <c r="B3465" s="3" t="inlineStr">
        <is>
          <t>Week</t>
        </is>
      </c>
      <c r="C3465" s="19" t="n">
        <v>9</v>
      </c>
      <c r="D3465" s="19" t="n">
        <v>2026</v>
      </c>
      <c r="E3465" s="57" t="n">
        <v>4</v>
      </c>
      <c r="F3465" s="29">
        <f>ROUND(((SUMIFS(Calendar!$F$2:$F$9997,Calendar!$B$2:$B$9997,D3465,Calendar!$C$2:$C$9997,C3465)*INDEX(ForeCalc!$B$37:$Y$274,MATCH(_xlfn.CONCAT(H3465," ",I3465),ForeCalc!$A$37:$A$274,0),MATCH(_xlfn.CONCAT(B3465," ",E3465),ForeCalc!$B$36:$Y$36,0))))*VLOOKUP(A3465,Calendar!$A$2:$H$9997,8,FALSE),0)</f>
        <v/>
      </c>
      <c r="G3465" s="29">
        <f>VLOOKUP(A3465,Calendar!$A$1:$H$9997,6,FALSE)-F3465</f>
        <v/>
      </c>
      <c r="H3465" s="19" t="n">
        <v>1</v>
      </c>
      <c r="I3465" s="57" t="n">
        <v>6</v>
      </c>
    </row>
    <row r="3466">
      <c r="A3466" s="62" t="n">
        <v>46289</v>
      </c>
      <c r="B3466" s="3" t="inlineStr">
        <is>
          <t>Week</t>
        </is>
      </c>
      <c r="C3466" s="19" t="n">
        <v>9</v>
      </c>
      <c r="D3466" s="19" t="n">
        <v>2026</v>
      </c>
      <c r="E3466" s="57" t="n">
        <v>4</v>
      </c>
      <c r="F3466" s="29">
        <f>ROUND(((SUMIFS(Calendar!$F$2:$F$9997,Calendar!$B$2:$B$9997,D3466,Calendar!$C$2:$C$9997,C3466)*INDEX(ForeCalc!$B$37:$Y$274,MATCH(_xlfn.CONCAT(H3466," ",I3466),ForeCalc!$A$37:$A$274,0),MATCH(_xlfn.CONCAT(B3466," ",E3466),ForeCalc!$B$36:$Y$36,0))))*VLOOKUP(A3466,Calendar!$A$2:$H$9997,8,FALSE),0)</f>
        <v/>
      </c>
      <c r="G3466" s="29">
        <f>VLOOKUP(A3466,Calendar!$A$1:$H$9997,6,FALSE)-F3466</f>
        <v/>
      </c>
      <c r="H3466" s="19" t="n">
        <v>1</v>
      </c>
      <c r="I3466" s="57" t="n">
        <v>6</v>
      </c>
    </row>
    <row r="3467">
      <c r="A3467" s="62" t="n">
        <v>46290</v>
      </c>
      <c r="B3467" s="3" t="inlineStr">
        <is>
          <t>Week</t>
        </is>
      </c>
      <c r="C3467" s="19" t="n">
        <v>9</v>
      </c>
      <c r="D3467" s="19" t="n">
        <v>2026</v>
      </c>
      <c r="E3467" s="57" t="n">
        <v>4</v>
      </c>
      <c r="F3467" s="29">
        <f>ROUND(((SUMIFS(Calendar!$F$2:$F$9997,Calendar!$B$2:$B$9997,D3467,Calendar!$C$2:$C$9997,C3467)*INDEX(ForeCalc!$B$37:$Y$274,MATCH(_xlfn.CONCAT(H3467," ",I3467),ForeCalc!$A$37:$A$274,0),MATCH(_xlfn.CONCAT(B3467," ",E3467),ForeCalc!$B$36:$Y$36,0))))*VLOOKUP(A3467,Calendar!$A$2:$H$9997,8,FALSE),0)</f>
        <v/>
      </c>
      <c r="G3467" s="29">
        <f>VLOOKUP(A3467,Calendar!$A$1:$H$9997,6,FALSE)-F3467</f>
        <v/>
      </c>
      <c r="H3467" s="19" t="n">
        <v>1</v>
      </c>
      <c r="I3467" s="57" t="n">
        <v>6</v>
      </c>
    </row>
    <row r="3468">
      <c r="A3468" s="62" t="n">
        <v>46291</v>
      </c>
      <c r="B3468" s="3" t="inlineStr">
        <is>
          <t>Sat</t>
        </is>
      </c>
      <c r="C3468" s="19" t="n">
        <v>9</v>
      </c>
      <c r="D3468" s="19" t="n">
        <v>2026</v>
      </c>
      <c r="E3468" s="57" t="n">
        <v>4</v>
      </c>
      <c r="F3468" s="29">
        <f>ROUND(((SUMIFS(Calendar!$F$2:$F$9997,Calendar!$B$2:$B$9997,D3468,Calendar!$C$2:$C$9997,C3468)*INDEX(ForeCalc!$B$37:$Y$274,MATCH(_xlfn.CONCAT(H3468," ",I3468),ForeCalc!$A$37:$A$274,0),MATCH(_xlfn.CONCAT(B3468," ",E3468),ForeCalc!$B$36:$Y$36,0))))*VLOOKUP(A3468,Calendar!$A$2:$H$9997,8,FALSE),0)</f>
        <v/>
      </c>
      <c r="G3468" s="29">
        <f>VLOOKUP(A3468,Calendar!$A$1:$H$9997,6,FALSE)-F3468</f>
        <v/>
      </c>
      <c r="H3468" s="19" t="n">
        <v>1</v>
      </c>
      <c r="I3468" s="57" t="n">
        <v>6</v>
      </c>
    </row>
    <row r="3469">
      <c r="A3469" s="62" t="n">
        <v>46292</v>
      </c>
      <c r="B3469" s="3" t="inlineStr">
        <is>
          <t>Sun</t>
        </is>
      </c>
      <c r="C3469" s="19" t="n">
        <v>9</v>
      </c>
      <c r="D3469" s="19" t="n">
        <v>2026</v>
      </c>
      <c r="E3469" s="57" t="n">
        <v>4</v>
      </c>
      <c r="F3469" s="29">
        <f>ROUND(((SUMIFS(Calendar!$F$2:$F$9997,Calendar!$B$2:$B$9997,D3469,Calendar!$C$2:$C$9997,C3469)*INDEX(ForeCalc!$B$37:$Y$274,MATCH(_xlfn.CONCAT(H3469," ",I3469),ForeCalc!$A$37:$A$274,0),MATCH(_xlfn.CONCAT(B3469," ",E3469),ForeCalc!$B$36:$Y$36,0))))*VLOOKUP(A3469,Calendar!$A$2:$H$9997,8,FALSE),0)</f>
        <v/>
      </c>
      <c r="G3469" s="29">
        <f>VLOOKUP(A3469,Calendar!$A$1:$H$9997,6,FALSE)-F3469</f>
        <v/>
      </c>
      <c r="H3469" s="19" t="n">
        <v>1</v>
      </c>
      <c r="I3469" s="57" t="n">
        <v>6</v>
      </c>
    </row>
    <row r="3470">
      <c r="A3470" s="62" t="n">
        <v>46293</v>
      </c>
      <c r="B3470" s="3" t="inlineStr">
        <is>
          <t>Week</t>
        </is>
      </c>
      <c r="C3470" s="19" t="n">
        <v>9</v>
      </c>
      <c r="D3470" s="19" t="n">
        <v>2026</v>
      </c>
      <c r="E3470" s="57" t="n">
        <v>4</v>
      </c>
      <c r="F3470" s="29">
        <f>ROUND(((SUMIFS(Calendar!$F$2:$F$9997,Calendar!$B$2:$B$9997,D3470,Calendar!$C$2:$C$9997,C3470)*INDEX(ForeCalc!$B$37:$Y$274,MATCH(_xlfn.CONCAT(H3470," ",I3470),ForeCalc!$A$37:$A$274,0),MATCH(_xlfn.CONCAT(B3470," ",E3470),ForeCalc!$B$36:$Y$36,0))))*VLOOKUP(A3470,Calendar!$A$2:$H$9997,8,FALSE),0)</f>
        <v/>
      </c>
      <c r="G3470" s="29">
        <f>VLOOKUP(A3470,Calendar!$A$1:$H$9997,6,FALSE)-F3470</f>
        <v/>
      </c>
      <c r="H3470" s="19" t="n">
        <v>1</v>
      </c>
      <c r="I3470" s="57" t="n">
        <v>6</v>
      </c>
    </row>
    <row r="3471">
      <c r="A3471" s="62" t="n">
        <v>46294</v>
      </c>
      <c r="B3471" s="3" t="inlineStr">
        <is>
          <t>Week</t>
        </is>
      </c>
      <c r="C3471" s="19" t="n">
        <v>9</v>
      </c>
      <c r="D3471" s="19" t="n">
        <v>2026</v>
      </c>
      <c r="E3471" s="57" t="n">
        <v>4</v>
      </c>
      <c r="F3471" s="29">
        <f>ROUND(((SUMIFS(Calendar!$F$2:$F$9997,Calendar!$B$2:$B$9997,D3471,Calendar!$C$2:$C$9997,C3471)*INDEX(ForeCalc!$B$37:$Y$274,MATCH(_xlfn.CONCAT(H3471," ",I3471),ForeCalc!$A$37:$A$274,0),MATCH(_xlfn.CONCAT(B3471," ",E3471),ForeCalc!$B$36:$Y$36,0))))*VLOOKUP(A3471,Calendar!$A$2:$H$9997,8,FALSE),0)</f>
        <v/>
      </c>
      <c r="G3471" s="29">
        <f>VLOOKUP(A3471,Calendar!$A$1:$H$9997,6,FALSE)-F3471</f>
        <v/>
      </c>
      <c r="H3471" s="19" t="n">
        <v>1</v>
      </c>
      <c r="I3471" s="57" t="n">
        <v>6</v>
      </c>
    </row>
    <row r="3472">
      <c r="A3472" s="62" t="n">
        <v>46295</v>
      </c>
      <c r="B3472" s="3" t="inlineStr">
        <is>
          <t>Week</t>
        </is>
      </c>
      <c r="C3472" s="19" t="n">
        <v>9</v>
      </c>
      <c r="D3472" s="19" t="n">
        <v>2026</v>
      </c>
      <c r="E3472" s="57" t="n">
        <v>4</v>
      </c>
      <c r="F3472" s="29">
        <f>ROUND(((SUMIFS(Calendar!$F$2:$F$9997,Calendar!$B$2:$B$9997,D3472,Calendar!$C$2:$C$9997,C3472)*INDEX(ForeCalc!$B$37:$Y$274,MATCH(_xlfn.CONCAT(H3472," ",I3472),ForeCalc!$A$37:$A$274,0),MATCH(_xlfn.CONCAT(B3472," ",E3472),ForeCalc!$B$36:$Y$36,0))))*VLOOKUP(A3472,Calendar!$A$2:$H$9997,8,FALSE),0)</f>
        <v/>
      </c>
      <c r="G3472" s="29">
        <f>VLOOKUP(A3472,Calendar!$A$1:$H$9997,6,FALSE)-F3472</f>
        <v/>
      </c>
      <c r="H3472" s="19" t="n">
        <v>1</v>
      </c>
      <c r="I3472" s="57" t="n">
        <v>6</v>
      </c>
    </row>
    <row r="3473">
      <c r="A3473" s="62" t="n">
        <v>46296</v>
      </c>
      <c r="B3473" s="3" t="inlineStr">
        <is>
          <t>Week</t>
        </is>
      </c>
      <c r="C3473" s="19" t="n">
        <v>10</v>
      </c>
      <c r="D3473" s="19" t="n">
        <v>2026</v>
      </c>
      <c r="E3473" s="57" t="n">
        <v>4</v>
      </c>
      <c r="F3473" s="29">
        <f>ROUND(((SUMIFS(Calendar!$F$2:$F$9997,Calendar!$B$2:$B$9997,D3473,Calendar!$C$2:$C$9997,C3473)*INDEX(ForeCalc!$B$37:$Y$274,MATCH(_xlfn.CONCAT(H3473," ",I3473),ForeCalc!$A$37:$A$274,0),MATCH(_xlfn.CONCAT(B3473," ",E3473),ForeCalc!$B$36:$Y$36,0))))*VLOOKUP(A3473,Calendar!$A$2:$H$9997,8,FALSE),0)</f>
        <v/>
      </c>
      <c r="G3473" s="29">
        <f>VLOOKUP(A3473,Calendar!$A$1:$H$9997,6,FALSE)-F3473</f>
        <v/>
      </c>
      <c r="H3473" s="19" t="n">
        <v>1</v>
      </c>
      <c r="I3473" s="57" t="n">
        <v>7</v>
      </c>
    </row>
    <row r="3474">
      <c r="A3474" s="62" t="n">
        <v>46297</v>
      </c>
      <c r="B3474" s="3" t="inlineStr">
        <is>
          <t>Week</t>
        </is>
      </c>
      <c r="C3474" s="19" t="n">
        <v>10</v>
      </c>
      <c r="D3474" s="19" t="n">
        <v>2026</v>
      </c>
      <c r="E3474" s="57" t="n">
        <v>4</v>
      </c>
      <c r="F3474" s="29">
        <f>ROUND(((SUMIFS(Calendar!$F$2:$F$9997,Calendar!$B$2:$B$9997,D3474,Calendar!$C$2:$C$9997,C3474)*INDEX(ForeCalc!$B$37:$Y$274,MATCH(_xlfn.CONCAT(H3474," ",I3474),ForeCalc!$A$37:$A$274,0),MATCH(_xlfn.CONCAT(B3474," ",E3474),ForeCalc!$B$36:$Y$36,0))))*VLOOKUP(A3474,Calendar!$A$2:$H$9997,8,FALSE),0)</f>
        <v/>
      </c>
      <c r="G3474" s="29">
        <f>VLOOKUP(A3474,Calendar!$A$1:$H$9997,6,FALSE)-F3474</f>
        <v/>
      </c>
      <c r="H3474" s="19" t="n">
        <v>1</v>
      </c>
      <c r="I3474" s="57" t="n">
        <v>7</v>
      </c>
    </row>
    <row r="3475">
      <c r="A3475" s="62" t="n">
        <v>46298</v>
      </c>
      <c r="B3475" s="3" t="inlineStr">
        <is>
          <t>Sat</t>
        </is>
      </c>
      <c r="C3475" s="19" t="n">
        <v>10</v>
      </c>
      <c r="D3475" s="19" t="n">
        <v>2026</v>
      </c>
      <c r="E3475" s="57" t="n">
        <v>4</v>
      </c>
      <c r="F3475" s="29">
        <f>ROUND(((SUMIFS(Calendar!$F$2:$F$9997,Calendar!$B$2:$B$9997,D3475,Calendar!$C$2:$C$9997,C3475)*INDEX(ForeCalc!$B$37:$Y$274,MATCH(_xlfn.CONCAT(H3475," ",I3475),ForeCalc!$A$37:$A$274,0),MATCH(_xlfn.CONCAT(B3475," ",E3475),ForeCalc!$B$36:$Y$36,0))))*VLOOKUP(A3475,Calendar!$A$2:$H$9997,8,FALSE),0)</f>
        <v/>
      </c>
      <c r="G3475" s="29">
        <f>VLOOKUP(A3475,Calendar!$A$1:$H$9997,6,FALSE)-F3475</f>
        <v/>
      </c>
      <c r="H3475" s="19" t="n">
        <v>1</v>
      </c>
      <c r="I3475" s="57" t="n">
        <v>7</v>
      </c>
    </row>
    <row r="3476">
      <c r="A3476" s="62" t="n">
        <v>46299</v>
      </c>
      <c r="B3476" s="3" t="inlineStr">
        <is>
          <t>Sun</t>
        </is>
      </c>
      <c r="C3476" s="19" t="n">
        <v>10</v>
      </c>
      <c r="D3476" s="19" t="n">
        <v>2026</v>
      </c>
      <c r="E3476" s="57" t="n">
        <v>4</v>
      </c>
      <c r="F3476" s="29">
        <f>ROUND(((SUMIFS(Calendar!$F$2:$F$9997,Calendar!$B$2:$B$9997,D3476,Calendar!$C$2:$C$9997,C3476)*INDEX(ForeCalc!$B$37:$Y$274,MATCH(_xlfn.CONCAT(H3476," ",I3476),ForeCalc!$A$37:$A$274,0),MATCH(_xlfn.CONCAT(B3476," ",E3476),ForeCalc!$B$36:$Y$36,0))))*VLOOKUP(A3476,Calendar!$A$2:$H$9997,8,FALSE),0)</f>
        <v/>
      </c>
      <c r="G3476" s="29">
        <f>VLOOKUP(A3476,Calendar!$A$1:$H$9997,6,FALSE)-F3476</f>
        <v/>
      </c>
      <c r="H3476" s="19" t="n">
        <v>1</v>
      </c>
      <c r="I3476" s="57" t="n">
        <v>7</v>
      </c>
    </row>
    <row r="3477">
      <c r="A3477" s="62" t="n">
        <v>46300</v>
      </c>
      <c r="B3477" s="3" t="inlineStr">
        <is>
          <t>Week</t>
        </is>
      </c>
      <c r="C3477" s="19" t="n">
        <v>10</v>
      </c>
      <c r="D3477" s="19" t="n">
        <v>2026</v>
      </c>
      <c r="E3477" s="57" t="n">
        <v>4</v>
      </c>
      <c r="F3477" s="29">
        <f>ROUND(((SUMIFS(Calendar!$F$2:$F$9997,Calendar!$B$2:$B$9997,D3477,Calendar!$C$2:$C$9997,C3477)*INDEX(ForeCalc!$B$37:$Y$274,MATCH(_xlfn.CONCAT(H3477," ",I3477),ForeCalc!$A$37:$A$274,0),MATCH(_xlfn.CONCAT(B3477," ",E3477),ForeCalc!$B$36:$Y$36,0))))*VLOOKUP(A3477,Calendar!$A$2:$H$9997,8,FALSE),0)</f>
        <v/>
      </c>
      <c r="G3477" s="29">
        <f>VLOOKUP(A3477,Calendar!$A$1:$H$9997,6,FALSE)-F3477</f>
        <v/>
      </c>
      <c r="H3477" s="19" t="n">
        <v>1</v>
      </c>
      <c r="I3477" s="57" t="n">
        <v>7</v>
      </c>
    </row>
    <row r="3478">
      <c r="A3478" s="62" t="n">
        <v>46301</v>
      </c>
      <c r="B3478" s="3" t="inlineStr">
        <is>
          <t>Week</t>
        </is>
      </c>
      <c r="C3478" s="19" t="n">
        <v>10</v>
      </c>
      <c r="D3478" s="19" t="n">
        <v>2026</v>
      </c>
      <c r="E3478" s="57" t="n">
        <v>4</v>
      </c>
      <c r="F3478" s="29">
        <f>ROUND(((SUMIFS(Calendar!$F$2:$F$9997,Calendar!$B$2:$B$9997,D3478,Calendar!$C$2:$C$9997,C3478)*INDEX(ForeCalc!$B$37:$Y$274,MATCH(_xlfn.CONCAT(H3478," ",I3478),ForeCalc!$A$37:$A$274,0),MATCH(_xlfn.CONCAT(B3478," ",E3478),ForeCalc!$B$36:$Y$36,0))))*VLOOKUP(A3478,Calendar!$A$2:$H$9997,8,FALSE),0)</f>
        <v/>
      </c>
      <c r="G3478" s="29">
        <f>VLOOKUP(A3478,Calendar!$A$1:$H$9997,6,FALSE)-F3478</f>
        <v/>
      </c>
      <c r="H3478" s="19" t="n">
        <v>1</v>
      </c>
      <c r="I3478" s="57" t="n">
        <v>7</v>
      </c>
    </row>
    <row r="3479">
      <c r="A3479" s="62" t="n">
        <v>46302</v>
      </c>
      <c r="B3479" s="3" t="inlineStr">
        <is>
          <t>Week</t>
        </is>
      </c>
      <c r="C3479" s="19" t="n">
        <v>10</v>
      </c>
      <c r="D3479" s="19" t="n">
        <v>2026</v>
      </c>
      <c r="E3479" s="57" t="n">
        <v>4</v>
      </c>
      <c r="F3479" s="29">
        <f>ROUND(((SUMIFS(Calendar!$F$2:$F$9997,Calendar!$B$2:$B$9997,D3479,Calendar!$C$2:$C$9997,C3479)*INDEX(ForeCalc!$B$37:$Y$274,MATCH(_xlfn.CONCAT(H3479," ",I3479),ForeCalc!$A$37:$A$274,0),MATCH(_xlfn.CONCAT(B3479," ",E3479),ForeCalc!$B$36:$Y$36,0))))*VLOOKUP(A3479,Calendar!$A$2:$H$9997,8,FALSE),0)</f>
        <v/>
      </c>
      <c r="G3479" s="29">
        <f>VLOOKUP(A3479,Calendar!$A$1:$H$9997,6,FALSE)-F3479</f>
        <v/>
      </c>
      <c r="H3479" s="19" t="n">
        <v>1</v>
      </c>
      <c r="I3479" s="57" t="n">
        <v>7</v>
      </c>
    </row>
    <row r="3480">
      <c r="A3480" s="62" t="n">
        <v>46303</v>
      </c>
      <c r="B3480" s="3" t="inlineStr">
        <is>
          <t>Week</t>
        </is>
      </c>
      <c r="C3480" s="19" t="n">
        <v>10</v>
      </c>
      <c r="D3480" s="19" t="n">
        <v>2026</v>
      </c>
      <c r="E3480" s="57" t="n">
        <v>4</v>
      </c>
      <c r="F3480" s="29">
        <f>ROUND(((SUMIFS(Calendar!$F$2:$F$9997,Calendar!$B$2:$B$9997,D3480,Calendar!$C$2:$C$9997,C3480)*INDEX(ForeCalc!$B$37:$Y$274,MATCH(_xlfn.CONCAT(H3480," ",I3480),ForeCalc!$A$37:$A$274,0),MATCH(_xlfn.CONCAT(B3480," ",E3480),ForeCalc!$B$36:$Y$36,0))))*VLOOKUP(A3480,Calendar!$A$2:$H$9997,8,FALSE),0)</f>
        <v/>
      </c>
      <c r="G3480" s="29">
        <f>VLOOKUP(A3480,Calendar!$A$1:$H$9997,6,FALSE)-F3480</f>
        <v/>
      </c>
      <c r="H3480" s="19" t="n">
        <v>1</v>
      </c>
      <c r="I3480" s="57" t="n">
        <v>7</v>
      </c>
    </row>
    <row r="3481">
      <c r="A3481" s="62" t="n">
        <v>46304</v>
      </c>
      <c r="B3481" s="3" t="inlineStr">
        <is>
          <t>Week</t>
        </is>
      </c>
      <c r="C3481" s="19" t="n">
        <v>10</v>
      </c>
      <c r="D3481" s="19" t="n">
        <v>2026</v>
      </c>
      <c r="E3481" s="57" t="n">
        <v>4</v>
      </c>
      <c r="F3481" s="29">
        <f>ROUND(((SUMIFS(Calendar!$F$2:$F$9997,Calendar!$B$2:$B$9997,D3481,Calendar!$C$2:$C$9997,C3481)*INDEX(ForeCalc!$B$37:$Y$274,MATCH(_xlfn.CONCAT(H3481," ",I3481),ForeCalc!$A$37:$A$274,0),MATCH(_xlfn.CONCAT(B3481," ",E3481),ForeCalc!$B$36:$Y$36,0))))*VLOOKUP(A3481,Calendar!$A$2:$H$9997,8,FALSE),0)</f>
        <v/>
      </c>
      <c r="G3481" s="29">
        <f>VLOOKUP(A3481,Calendar!$A$1:$H$9997,6,FALSE)-F3481</f>
        <v/>
      </c>
      <c r="H3481" s="19" t="n">
        <v>1</v>
      </c>
      <c r="I3481" s="57" t="n">
        <v>7</v>
      </c>
    </row>
    <row r="3482">
      <c r="A3482" s="62" t="n">
        <v>46305</v>
      </c>
      <c r="B3482" s="3" t="inlineStr">
        <is>
          <t>Sat</t>
        </is>
      </c>
      <c r="C3482" s="19" t="n">
        <v>10</v>
      </c>
      <c r="D3482" s="19" t="n">
        <v>2026</v>
      </c>
      <c r="E3482" s="57" t="n">
        <v>4</v>
      </c>
      <c r="F3482" s="29">
        <f>ROUND(((SUMIFS(Calendar!$F$2:$F$9997,Calendar!$B$2:$B$9997,D3482,Calendar!$C$2:$C$9997,C3482)*INDEX(ForeCalc!$B$37:$Y$274,MATCH(_xlfn.CONCAT(H3482," ",I3482),ForeCalc!$A$37:$A$274,0),MATCH(_xlfn.CONCAT(B3482," ",E3482),ForeCalc!$B$36:$Y$36,0))))*VLOOKUP(A3482,Calendar!$A$2:$H$9997,8,FALSE),0)</f>
        <v/>
      </c>
      <c r="G3482" s="29">
        <f>VLOOKUP(A3482,Calendar!$A$1:$H$9997,6,FALSE)-F3482</f>
        <v/>
      </c>
      <c r="H3482" s="19" t="n">
        <v>1</v>
      </c>
      <c r="I3482" s="57" t="n">
        <v>7</v>
      </c>
    </row>
    <row r="3483">
      <c r="A3483" s="62" t="n">
        <v>46306</v>
      </c>
      <c r="B3483" s="3" t="inlineStr">
        <is>
          <t>Sun</t>
        </is>
      </c>
      <c r="C3483" s="19" t="n">
        <v>10</v>
      </c>
      <c r="D3483" s="19" t="n">
        <v>2026</v>
      </c>
      <c r="E3483" s="57" t="n">
        <v>4</v>
      </c>
      <c r="F3483" s="29">
        <f>ROUND(((SUMIFS(Calendar!$F$2:$F$9997,Calendar!$B$2:$B$9997,D3483,Calendar!$C$2:$C$9997,C3483)*INDEX(ForeCalc!$B$37:$Y$274,MATCH(_xlfn.CONCAT(H3483," ",I3483),ForeCalc!$A$37:$A$274,0),MATCH(_xlfn.CONCAT(B3483," ",E3483),ForeCalc!$B$36:$Y$36,0))))*VLOOKUP(A3483,Calendar!$A$2:$H$9997,8,FALSE),0)</f>
        <v/>
      </c>
      <c r="G3483" s="29">
        <f>VLOOKUP(A3483,Calendar!$A$1:$H$9997,6,FALSE)-F3483</f>
        <v/>
      </c>
      <c r="H3483" s="19" t="n">
        <v>1</v>
      </c>
      <c r="I3483" s="57" t="n">
        <v>7</v>
      </c>
    </row>
    <row r="3484">
      <c r="A3484" s="62" t="n">
        <v>46307</v>
      </c>
      <c r="B3484" s="3" t="inlineStr">
        <is>
          <t>Week</t>
        </is>
      </c>
      <c r="C3484" s="19" t="n">
        <v>10</v>
      </c>
      <c r="D3484" s="19" t="n">
        <v>2026</v>
      </c>
      <c r="E3484" s="57" t="n">
        <v>4</v>
      </c>
      <c r="F3484" s="29">
        <f>ROUND(((SUMIFS(Calendar!$F$2:$F$9997,Calendar!$B$2:$B$9997,D3484,Calendar!$C$2:$C$9997,C3484)*INDEX(ForeCalc!$B$37:$Y$274,MATCH(_xlfn.CONCAT(H3484," ",I3484),ForeCalc!$A$37:$A$274,0),MATCH(_xlfn.CONCAT(B3484," ",E3484),ForeCalc!$B$36:$Y$36,0))))*VLOOKUP(A3484,Calendar!$A$2:$H$9997,8,FALSE),0)</f>
        <v/>
      </c>
      <c r="G3484" s="29">
        <f>VLOOKUP(A3484,Calendar!$A$1:$H$9997,6,FALSE)-F3484</f>
        <v/>
      </c>
      <c r="H3484" s="19" t="n">
        <v>1</v>
      </c>
      <c r="I3484" s="57" t="n">
        <v>7</v>
      </c>
    </row>
    <row r="3485">
      <c r="A3485" s="62" t="n">
        <v>46308</v>
      </c>
      <c r="B3485" s="3" t="inlineStr">
        <is>
          <t>Week</t>
        </is>
      </c>
      <c r="C3485" s="19" t="n">
        <v>10</v>
      </c>
      <c r="D3485" s="19" t="n">
        <v>2026</v>
      </c>
      <c r="E3485" s="57" t="n">
        <v>4</v>
      </c>
      <c r="F3485" s="29">
        <f>ROUND(((SUMIFS(Calendar!$F$2:$F$9997,Calendar!$B$2:$B$9997,D3485,Calendar!$C$2:$C$9997,C3485)*INDEX(ForeCalc!$B$37:$Y$274,MATCH(_xlfn.CONCAT(H3485," ",I3485),ForeCalc!$A$37:$A$274,0),MATCH(_xlfn.CONCAT(B3485," ",E3485),ForeCalc!$B$36:$Y$36,0))))*VLOOKUP(A3485,Calendar!$A$2:$H$9997,8,FALSE),0)</f>
        <v/>
      </c>
      <c r="G3485" s="29">
        <f>VLOOKUP(A3485,Calendar!$A$1:$H$9997,6,FALSE)-F3485</f>
        <v/>
      </c>
      <c r="H3485" s="19" t="n">
        <v>1</v>
      </c>
      <c r="I3485" s="57" t="n">
        <v>7</v>
      </c>
    </row>
    <row r="3486">
      <c r="A3486" s="62" t="n">
        <v>46309</v>
      </c>
      <c r="B3486" s="3" t="inlineStr">
        <is>
          <t>Week</t>
        </is>
      </c>
      <c r="C3486" s="19" t="n">
        <v>10</v>
      </c>
      <c r="D3486" s="19" t="n">
        <v>2026</v>
      </c>
      <c r="E3486" s="57" t="n">
        <v>4</v>
      </c>
      <c r="F3486" s="29">
        <f>ROUND(((SUMIFS(Calendar!$F$2:$F$9997,Calendar!$B$2:$B$9997,D3486,Calendar!$C$2:$C$9997,C3486)*INDEX(ForeCalc!$B$37:$Y$274,MATCH(_xlfn.CONCAT(H3486," ",I3486),ForeCalc!$A$37:$A$274,0),MATCH(_xlfn.CONCAT(B3486," ",E3486),ForeCalc!$B$36:$Y$36,0))))*VLOOKUP(A3486,Calendar!$A$2:$H$9997,8,FALSE),0)</f>
        <v/>
      </c>
      <c r="G3486" s="29">
        <f>VLOOKUP(A3486,Calendar!$A$1:$H$9997,6,FALSE)-F3486</f>
        <v/>
      </c>
      <c r="H3486" s="19" t="n">
        <v>1</v>
      </c>
      <c r="I3486" s="57" t="n">
        <v>7</v>
      </c>
    </row>
    <row r="3487">
      <c r="A3487" s="62" t="n">
        <v>46310</v>
      </c>
      <c r="B3487" s="3" t="inlineStr">
        <is>
          <t>Week</t>
        </is>
      </c>
      <c r="C3487" s="19" t="n">
        <v>10</v>
      </c>
      <c r="D3487" s="19" t="n">
        <v>2026</v>
      </c>
      <c r="E3487" s="57" t="n">
        <v>4</v>
      </c>
      <c r="F3487" s="29">
        <f>ROUND(((SUMIFS(Calendar!$F$2:$F$9997,Calendar!$B$2:$B$9997,D3487,Calendar!$C$2:$C$9997,C3487)*INDEX(ForeCalc!$B$37:$Y$274,MATCH(_xlfn.CONCAT(H3487," ",I3487),ForeCalc!$A$37:$A$274,0),MATCH(_xlfn.CONCAT(B3487," ",E3487),ForeCalc!$B$36:$Y$36,0))))*VLOOKUP(A3487,Calendar!$A$2:$H$9997,8,FALSE),0)</f>
        <v/>
      </c>
      <c r="G3487" s="29">
        <f>VLOOKUP(A3487,Calendar!$A$1:$H$9997,6,FALSE)-F3487</f>
        <v/>
      </c>
      <c r="H3487" s="19" t="n">
        <v>1</v>
      </c>
      <c r="I3487" s="57" t="n">
        <v>7</v>
      </c>
    </row>
    <row r="3488">
      <c r="A3488" s="62" t="n">
        <v>46311</v>
      </c>
      <c r="B3488" s="3" t="inlineStr">
        <is>
          <t>Week</t>
        </is>
      </c>
      <c r="C3488" s="19" t="n">
        <v>10</v>
      </c>
      <c r="D3488" s="19" t="n">
        <v>2026</v>
      </c>
      <c r="E3488" s="57" t="n">
        <v>4</v>
      </c>
      <c r="F3488" s="29">
        <f>ROUND(((SUMIFS(Calendar!$F$2:$F$9997,Calendar!$B$2:$B$9997,D3488,Calendar!$C$2:$C$9997,C3488)*INDEX(ForeCalc!$B$37:$Y$274,MATCH(_xlfn.CONCAT(H3488," ",I3488),ForeCalc!$A$37:$A$274,0),MATCH(_xlfn.CONCAT(B3488," ",E3488),ForeCalc!$B$36:$Y$36,0))))*VLOOKUP(A3488,Calendar!$A$2:$H$9997,8,FALSE),0)</f>
        <v/>
      </c>
      <c r="G3488" s="29">
        <f>VLOOKUP(A3488,Calendar!$A$1:$H$9997,6,FALSE)-F3488</f>
        <v/>
      </c>
      <c r="H3488" s="19" t="n">
        <v>1</v>
      </c>
      <c r="I3488" s="57" t="n">
        <v>7</v>
      </c>
    </row>
    <row r="3489">
      <c r="A3489" s="62" t="n">
        <v>46312</v>
      </c>
      <c r="B3489" s="3" t="inlineStr">
        <is>
          <t>Sat</t>
        </is>
      </c>
      <c r="C3489" s="19" t="n">
        <v>10</v>
      </c>
      <c r="D3489" s="19" t="n">
        <v>2026</v>
      </c>
      <c r="E3489" s="57" t="n">
        <v>4</v>
      </c>
      <c r="F3489" s="29">
        <f>ROUND(((SUMIFS(Calendar!$F$2:$F$9997,Calendar!$B$2:$B$9997,D3489,Calendar!$C$2:$C$9997,C3489)*INDEX(ForeCalc!$B$37:$Y$274,MATCH(_xlfn.CONCAT(H3489," ",I3489),ForeCalc!$A$37:$A$274,0),MATCH(_xlfn.CONCAT(B3489," ",E3489),ForeCalc!$B$36:$Y$36,0))))*VLOOKUP(A3489,Calendar!$A$2:$H$9997,8,FALSE),0)</f>
        <v/>
      </c>
      <c r="G3489" s="29">
        <f>VLOOKUP(A3489,Calendar!$A$1:$H$9997,6,FALSE)-F3489</f>
        <v/>
      </c>
      <c r="H3489" s="19" t="n">
        <v>1</v>
      </c>
      <c r="I3489" s="57" t="n">
        <v>7</v>
      </c>
    </row>
    <row r="3490">
      <c r="A3490" s="62" t="n">
        <v>46313</v>
      </c>
      <c r="B3490" s="3" t="inlineStr">
        <is>
          <t>Sun</t>
        </is>
      </c>
      <c r="C3490" s="19" t="n">
        <v>10</v>
      </c>
      <c r="D3490" s="19" t="n">
        <v>2026</v>
      </c>
      <c r="E3490" s="57" t="n">
        <v>4</v>
      </c>
      <c r="F3490" s="29">
        <f>ROUND(((SUMIFS(Calendar!$F$2:$F$9997,Calendar!$B$2:$B$9997,D3490,Calendar!$C$2:$C$9997,C3490)*INDEX(ForeCalc!$B$37:$Y$274,MATCH(_xlfn.CONCAT(H3490," ",I3490),ForeCalc!$A$37:$A$274,0),MATCH(_xlfn.CONCAT(B3490," ",E3490),ForeCalc!$B$36:$Y$36,0))))*VLOOKUP(A3490,Calendar!$A$2:$H$9997,8,FALSE),0)</f>
        <v/>
      </c>
      <c r="G3490" s="29">
        <f>VLOOKUP(A3490,Calendar!$A$1:$H$9997,6,FALSE)-F3490</f>
        <v/>
      </c>
      <c r="H3490" s="19" t="n">
        <v>1</v>
      </c>
      <c r="I3490" s="57" t="n">
        <v>7</v>
      </c>
    </row>
    <row r="3491">
      <c r="A3491" s="62" t="n">
        <v>46314</v>
      </c>
      <c r="B3491" s="3" t="inlineStr">
        <is>
          <t>Week</t>
        </is>
      </c>
      <c r="C3491" s="19" t="n">
        <v>10</v>
      </c>
      <c r="D3491" s="19" t="n">
        <v>2026</v>
      </c>
      <c r="E3491" s="57" t="n">
        <v>4</v>
      </c>
      <c r="F3491" s="29">
        <f>ROUND(((SUMIFS(Calendar!$F$2:$F$9997,Calendar!$B$2:$B$9997,D3491,Calendar!$C$2:$C$9997,C3491)*INDEX(ForeCalc!$B$37:$Y$274,MATCH(_xlfn.CONCAT(H3491," ",I3491),ForeCalc!$A$37:$A$274,0),MATCH(_xlfn.CONCAT(B3491," ",E3491),ForeCalc!$B$36:$Y$36,0))))*VLOOKUP(A3491,Calendar!$A$2:$H$9997,8,FALSE),0)</f>
        <v/>
      </c>
      <c r="G3491" s="29">
        <f>VLOOKUP(A3491,Calendar!$A$1:$H$9997,6,FALSE)-F3491</f>
        <v/>
      </c>
      <c r="H3491" s="19" t="n">
        <v>1</v>
      </c>
      <c r="I3491" s="57" t="n">
        <v>7</v>
      </c>
    </row>
    <row r="3492">
      <c r="A3492" s="62" t="n">
        <v>46315</v>
      </c>
      <c r="B3492" s="3" t="inlineStr">
        <is>
          <t>Week</t>
        </is>
      </c>
      <c r="C3492" s="19" t="n">
        <v>10</v>
      </c>
      <c r="D3492" s="19" t="n">
        <v>2026</v>
      </c>
      <c r="E3492" s="57" t="n">
        <v>4</v>
      </c>
      <c r="F3492" s="29">
        <f>ROUND(((SUMIFS(Calendar!$F$2:$F$9997,Calendar!$B$2:$B$9997,D3492,Calendar!$C$2:$C$9997,C3492)*INDEX(ForeCalc!$B$37:$Y$274,MATCH(_xlfn.CONCAT(H3492," ",I3492),ForeCalc!$A$37:$A$274,0),MATCH(_xlfn.CONCAT(B3492," ",E3492),ForeCalc!$B$36:$Y$36,0))))*VLOOKUP(A3492,Calendar!$A$2:$H$9997,8,FALSE),0)</f>
        <v/>
      </c>
      <c r="G3492" s="29">
        <f>VLOOKUP(A3492,Calendar!$A$1:$H$9997,6,FALSE)-F3492</f>
        <v/>
      </c>
      <c r="H3492" s="19" t="n">
        <v>1</v>
      </c>
      <c r="I3492" s="57" t="n">
        <v>7</v>
      </c>
    </row>
    <row r="3493">
      <c r="A3493" s="62" t="n">
        <v>46316</v>
      </c>
      <c r="B3493" s="3" t="inlineStr">
        <is>
          <t>Week</t>
        </is>
      </c>
      <c r="C3493" s="19" t="n">
        <v>10</v>
      </c>
      <c r="D3493" s="19" t="n">
        <v>2026</v>
      </c>
      <c r="E3493" s="57" t="n">
        <v>4</v>
      </c>
      <c r="F3493" s="29">
        <f>ROUND(((SUMIFS(Calendar!$F$2:$F$9997,Calendar!$B$2:$B$9997,D3493,Calendar!$C$2:$C$9997,C3493)*INDEX(ForeCalc!$B$37:$Y$274,MATCH(_xlfn.CONCAT(H3493," ",I3493),ForeCalc!$A$37:$A$274,0),MATCH(_xlfn.CONCAT(B3493," ",E3493),ForeCalc!$B$36:$Y$36,0))))*VLOOKUP(A3493,Calendar!$A$2:$H$9997,8,FALSE),0)</f>
        <v/>
      </c>
      <c r="G3493" s="29">
        <f>VLOOKUP(A3493,Calendar!$A$1:$H$9997,6,FALSE)-F3493</f>
        <v/>
      </c>
      <c r="H3493" s="19" t="n">
        <v>1</v>
      </c>
      <c r="I3493" s="57" t="n">
        <v>7</v>
      </c>
    </row>
    <row r="3494">
      <c r="A3494" s="62" t="n">
        <v>46317</v>
      </c>
      <c r="B3494" s="3" t="inlineStr">
        <is>
          <t>Week</t>
        </is>
      </c>
      <c r="C3494" s="19" t="n">
        <v>10</v>
      </c>
      <c r="D3494" s="19" t="n">
        <v>2026</v>
      </c>
      <c r="E3494" s="57" t="n">
        <v>4</v>
      </c>
      <c r="F3494" s="29">
        <f>ROUND(((SUMIFS(Calendar!$F$2:$F$9997,Calendar!$B$2:$B$9997,D3494,Calendar!$C$2:$C$9997,C3494)*INDEX(ForeCalc!$B$37:$Y$274,MATCH(_xlfn.CONCAT(H3494," ",I3494),ForeCalc!$A$37:$A$274,0),MATCH(_xlfn.CONCAT(B3494," ",E3494),ForeCalc!$B$36:$Y$36,0))))*VLOOKUP(A3494,Calendar!$A$2:$H$9997,8,FALSE),0)</f>
        <v/>
      </c>
      <c r="G3494" s="29">
        <f>VLOOKUP(A3494,Calendar!$A$1:$H$9997,6,FALSE)-F3494</f>
        <v/>
      </c>
      <c r="H3494" s="19" t="n">
        <v>1</v>
      </c>
      <c r="I3494" s="57" t="n">
        <v>7</v>
      </c>
    </row>
    <row r="3495">
      <c r="A3495" s="62" t="n">
        <v>46318</v>
      </c>
      <c r="B3495" s="3" t="inlineStr">
        <is>
          <t>Week</t>
        </is>
      </c>
      <c r="C3495" s="19" t="n">
        <v>10</v>
      </c>
      <c r="D3495" s="19" t="n">
        <v>2026</v>
      </c>
      <c r="E3495" s="57" t="n">
        <v>4</v>
      </c>
      <c r="F3495" s="29">
        <f>ROUND(((SUMIFS(Calendar!$F$2:$F$9997,Calendar!$B$2:$B$9997,D3495,Calendar!$C$2:$C$9997,C3495)*INDEX(ForeCalc!$B$37:$Y$274,MATCH(_xlfn.CONCAT(H3495," ",I3495),ForeCalc!$A$37:$A$274,0),MATCH(_xlfn.CONCAT(B3495," ",E3495),ForeCalc!$B$36:$Y$36,0))))*VLOOKUP(A3495,Calendar!$A$2:$H$9997,8,FALSE),0)</f>
        <v/>
      </c>
      <c r="G3495" s="29">
        <f>VLOOKUP(A3495,Calendar!$A$1:$H$9997,6,FALSE)-F3495</f>
        <v/>
      </c>
      <c r="H3495" s="19" t="n">
        <v>1</v>
      </c>
      <c r="I3495" s="57" t="n">
        <v>7</v>
      </c>
    </row>
    <row r="3496">
      <c r="A3496" s="62" t="n">
        <v>46319</v>
      </c>
      <c r="B3496" s="3" t="inlineStr">
        <is>
          <t>Sat</t>
        </is>
      </c>
      <c r="C3496" s="19" t="n">
        <v>10</v>
      </c>
      <c r="D3496" s="19" t="n">
        <v>2026</v>
      </c>
      <c r="E3496" s="57" t="n">
        <v>4</v>
      </c>
      <c r="F3496" s="29">
        <f>ROUND(((SUMIFS(Calendar!$F$2:$F$9997,Calendar!$B$2:$B$9997,D3496,Calendar!$C$2:$C$9997,C3496)*INDEX(ForeCalc!$B$37:$Y$274,MATCH(_xlfn.CONCAT(H3496," ",I3496),ForeCalc!$A$37:$A$274,0),MATCH(_xlfn.CONCAT(B3496," ",E3496),ForeCalc!$B$36:$Y$36,0))))*VLOOKUP(A3496,Calendar!$A$2:$H$9997,8,FALSE),0)</f>
        <v/>
      </c>
      <c r="G3496" s="29">
        <f>VLOOKUP(A3496,Calendar!$A$1:$H$9997,6,FALSE)-F3496</f>
        <v/>
      </c>
      <c r="H3496" s="19" t="n">
        <v>1</v>
      </c>
      <c r="I3496" s="57" t="n">
        <v>7</v>
      </c>
    </row>
    <row r="3497">
      <c r="A3497" s="62" t="n">
        <v>46320</v>
      </c>
      <c r="B3497" s="3" t="inlineStr">
        <is>
          <t>Sun</t>
        </is>
      </c>
      <c r="C3497" s="19" t="n">
        <v>10</v>
      </c>
      <c r="D3497" s="19" t="n">
        <v>2026</v>
      </c>
      <c r="E3497" s="57" t="n">
        <v>4</v>
      </c>
      <c r="F3497" s="29">
        <f>ROUND(((SUMIFS(Calendar!$F$2:$F$9997,Calendar!$B$2:$B$9997,D3497,Calendar!$C$2:$C$9997,C3497)*INDEX(ForeCalc!$B$37:$Y$274,MATCH(_xlfn.CONCAT(H3497," ",I3497),ForeCalc!$A$37:$A$274,0),MATCH(_xlfn.CONCAT(B3497," ",E3497),ForeCalc!$B$36:$Y$36,0))))*VLOOKUP(A3497,Calendar!$A$2:$H$9997,8,FALSE),0)</f>
        <v/>
      </c>
      <c r="G3497" s="29">
        <f>VLOOKUP(A3497,Calendar!$A$1:$H$9997,6,FALSE)-F3497</f>
        <v/>
      </c>
      <c r="H3497" s="19" t="n">
        <v>1</v>
      </c>
      <c r="I3497" s="57" t="n">
        <v>7</v>
      </c>
    </row>
    <row r="3498">
      <c r="A3498" s="62" t="n">
        <v>46321</v>
      </c>
      <c r="B3498" s="3" t="inlineStr">
        <is>
          <t>Week</t>
        </is>
      </c>
      <c r="C3498" s="19" t="n">
        <v>10</v>
      </c>
      <c r="D3498" s="19" t="n">
        <v>2026</v>
      </c>
      <c r="E3498" s="57" t="n">
        <v>4</v>
      </c>
      <c r="F3498" s="29">
        <f>ROUND(((SUMIFS(Calendar!$F$2:$F$9997,Calendar!$B$2:$B$9997,D3498,Calendar!$C$2:$C$9997,C3498)*INDEX(ForeCalc!$B$37:$Y$274,MATCH(_xlfn.CONCAT(H3498," ",I3498),ForeCalc!$A$37:$A$274,0),MATCH(_xlfn.CONCAT(B3498," ",E3498),ForeCalc!$B$36:$Y$36,0))))*VLOOKUP(A3498,Calendar!$A$2:$H$9997,8,FALSE),0)</f>
        <v/>
      </c>
      <c r="G3498" s="29">
        <f>VLOOKUP(A3498,Calendar!$A$1:$H$9997,6,FALSE)-F3498</f>
        <v/>
      </c>
      <c r="H3498" s="19" t="n">
        <v>1</v>
      </c>
      <c r="I3498" s="57" t="n">
        <v>7</v>
      </c>
    </row>
    <row r="3499">
      <c r="A3499" s="62" t="n">
        <v>46322</v>
      </c>
      <c r="B3499" s="3" t="inlineStr">
        <is>
          <t>Week</t>
        </is>
      </c>
      <c r="C3499" s="19" t="n">
        <v>10</v>
      </c>
      <c r="D3499" s="19" t="n">
        <v>2026</v>
      </c>
      <c r="E3499" s="57" t="n">
        <v>4</v>
      </c>
      <c r="F3499" s="29">
        <f>ROUND(((SUMIFS(Calendar!$F$2:$F$9997,Calendar!$B$2:$B$9997,D3499,Calendar!$C$2:$C$9997,C3499)*INDEX(ForeCalc!$B$37:$Y$274,MATCH(_xlfn.CONCAT(H3499," ",I3499),ForeCalc!$A$37:$A$274,0),MATCH(_xlfn.CONCAT(B3499," ",E3499),ForeCalc!$B$36:$Y$36,0))))*VLOOKUP(A3499,Calendar!$A$2:$H$9997,8,FALSE),0)</f>
        <v/>
      </c>
      <c r="G3499" s="29">
        <f>VLOOKUP(A3499,Calendar!$A$1:$H$9997,6,FALSE)-F3499</f>
        <v/>
      </c>
      <c r="H3499" s="19" t="n">
        <v>1</v>
      </c>
      <c r="I3499" s="57" t="n">
        <v>7</v>
      </c>
    </row>
    <row r="3500">
      <c r="A3500" s="62" t="n">
        <v>46323</v>
      </c>
      <c r="B3500" s="3" t="inlineStr">
        <is>
          <t>Week</t>
        </is>
      </c>
      <c r="C3500" s="19" t="n">
        <v>10</v>
      </c>
      <c r="D3500" s="19" t="n">
        <v>2026</v>
      </c>
      <c r="E3500" s="57" t="n">
        <v>4</v>
      </c>
      <c r="F3500" s="29">
        <f>ROUND(((SUMIFS(Calendar!$F$2:$F$9997,Calendar!$B$2:$B$9997,D3500,Calendar!$C$2:$C$9997,C3500)*INDEX(ForeCalc!$B$37:$Y$274,MATCH(_xlfn.CONCAT(H3500," ",I3500),ForeCalc!$A$37:$A$274,0),MATCH(_xlfn.CONCAT(B3500," ",E3500),ForeCalc!$B$36:$Y$36,0))))*VLOOKUP(A3500,Calendar!$A$2:$H$9997,8,FALSE),0)</f>
        <v/>
      </c>
      <c r="G3500" s="29">
        <f>VLOOKUP(A3500,Calendar!$A$1:$H$9997,6,FALSE)-F3500</f>
        <v/>
      </c>
      <c r="H3500" s="19" t="n">
        <v>1</v>
      </c>
      <c r="I3500" s="57" t="n">
        <v>7</v>
      </c>
    </row>
    <row r="3501">
      <c r="A3501" s="62" t="n">
        <v>46324</v>
      </c>
      <c r="B3501" s="3" t="inlineStr">
        <is>
          <t>Week</t>
        </is>
      </c>
      <c r="C3501" s="19" t="n">
        <v>10</v>
      </c>
      <c r="D3501" s="19" t="n">
        <v>2026</v>
      </c>
      <c r="E3501" s="57" t="n">
        <v>4</v>
      </c>
      <c r="F3501" s="29">
        <f>ROUND(((SUMIFS(Calendar!$F$2:$F$9997,Calendar!$B$2:$B$9997,D3501,Calendar!$C$2:$C$9997,C3501)*INDEX(ForeCalc!$B$37:$Y$274,MATCH(_xlfn.CONCAT(H3501," ",I3501),ForeCalc!$A$37:$A$274,0),MATCH(_xlfn.CONCAT(B3501," ",E3501),ForeCalc!$B$36:$Y$36,0))))*VLOOKUP(A3501,Calendar!$A$2:$H$9997,8,FALSE),0)</f>
        <v/>
      </c>
      <c r="G3501" s="29">
        <f>VLOOKUP(A3501,Calendar!$A$1:$H$9997,6,FALSE)-F3501</f>
        <v/>
      </c>
      <c r="H3501" s="19" t="n">
        <v>1</v>
      </c>
      <c r="I3501" s="57" t="n">
        <v>7</v>
      </c>
    </row>
    <row r="3502">
      <c r="A3502" s="62" t="n">
        <v>46325</v>
      </c>
      <c r="B3502" s="3" t="inlineStr">
        <is>
          <t>Week</t>
        </is>
      </c>
      <c r="C3502" s="19" t="n">
        <v>10</v>
      </c>
      <c r="D3502" s="19" t="n">
        <v>2026</v>
      </c>
      <c r="E3502" s="57" t="n">
        <v>4</v>
      </c>
      <c r="F3502" s="29">
        <f>ROUND(((SUMIFS(Calendar!$F$2:$F$9997,Calendar!$B$2:$B$9997,D3502,Calendar!$C$2:$C$9997,C3502)*INDEX(ForeCalc!$B$37:$Y$274,MATCH(_xlfn.CONCAT(H3502," ",I3502),ForeCalc!$A$37:$A$274,0),MATCH(_xlfn.CONCAT(B3502," ",E3502),ForeCalc!$B$36:$Y$36,0))))*VLOOKUP(A3502,Calendar!$A$2:$H$9997,8,FALSE),0)</f>
        <v/>
      </c>
      <c r="G3502" s="29">
        <f>VLOOKUP(A3502,Calendar!$A$1:$H$9997,6,FALSE)-F3502</f>
        <v/>
      </c>
      <c r="H3502" s="19" t="n">
        <v>1</v>
      </c>
      <c r="I3502" s="57" t="n">
        <v>7</v>
      </c>
    </row>
    <row r="3503">
      <c r="A3503" s="62" t="n">
        <v>46326</v>
      </c>
      <c r="B3503" s="3" t="inlineStr">
        <is>
          <t>Sat</t>
        </is>
      </c>
      <c r="C3503" s="19" t="n">
        <v>10</v>
      </c>
      <c r="D3503" s="19" t="n">
        <v>2026</v>
      </c>
      <c r="E3503" s="57" t="n">
        <v>4</v>
      </c>
      <c r="F3503" s="29">
        <f>ROUND(((SUMIFS(Calendar!$F$2:$F$9997,Calendar!$B$2:$B$9997,D3503,Calendar!$C$2:$C$9997,C3503)*INDEX(ForeCalc!$B$37:$Y$274,MATCH(_xlfn.CONCAT(H3503," ",I3503),ForeCalc!$A$37:$A$274,0),MATCH(_xlfn.CONCAT(B3503," ",E3503),ForeCalc!$B$36:$Y$36,0))))*VLOOKUP(A3503,Calendar!$A$2:$H$9997,8,FALSE),0)</f>
        <v/>
      </c>
      <c r="G3503" s="29">
        <f>VLOOKUP(A3503,Calendar!$A$1:$H$9997,6,FALSE)-F3503</f>
        <v/>
      </c>
      <c r="H3503" s="19" t="n">
        <v>1</v>
      </c>
      <c r="I3503" s="57" t="n">
        <v>7</v>
      </c>
    </row>
    <row r="3504">
      <c r="A3504" s="62" t="n">
        <v>46327</v>
      </c>
      <c r="B3504" s="3" t="inlineStr">
        <is>
          <t>Sun</t>
        </is>
      </c>
      <c r="C3504" s="19" t="n">
        <v>11</v>
      </c>
      <c r="D3504" s="19" t="n">
        <v>2026</v>
      </c>
      <c r="E3504" s="57" t="n">
        <v>4</v>
      </c>
      <c r="F3504" s="29">
        <f>ROUND(((SUMIFS(Calendar!$F$2:$F$9997,Calendar!$B$2:$B$9997,D3504,Calendar!$C$2:$C$9997,C3504)*INDEX(ForeCalc!$B$37:$Y$274,MATCH(_xlfn.CONCAT(H3504," ",I3504),ForeCalc!$A$37:$A$274,0),MATCH(_xlfn.CONCAT(B3504," ",E3504),ForeCalc!$B$36:$Y$36,0))))*VLOOKUP(A3504,Calendar!$A$2:$H$9997,8,FALSE),0)</f>
        <v/>
      </c>
      <c r="G3504" s="29">
        <f>VLOOKUP(A3504,Calendar!$A$1:$H$9997,6,FALSE)-F3504</f>
        <v/>
      </c>
      <c r="H3504" s="19" t="n">
        <v>1</v>
      </c>
      <c r="I3504" s="57" t="n">
        <v>8</v>
      </c>
    </row>
    <row r="3505">
      <c r="A3505" s="62" t="n">
        <v>46328</v>
      </c>
      <c r="B3505" s="3" t="inlineStr">
        <is>
          <t>Week</t>
        </is>
      </c>
      <c r="C3505" s="19" t="n">
        <v>11</v>
      </c>
      <c r="D3505" s="19" t="n">
        <v>2026</v>
      </c>
      <c r="E3505" s="57" t="n">
        <v>4</v>
      </c>
      <c r="F3505" s="29">
        <f>ROUND(((SUMIFS(Calendar!$F$2:$F$9997,Calendar!$B$2:$B$9997,D3505,Calendar!$C$2:$C$9997,C3505)*INDEX(ForeCalc!$B$37:$Y$274,MATCH(_xlfn.CONCAT(H3505," ",I3505),ForeCalc!$A$37:$A$274,0),MATCH(_xlfn.CONCAT(B3505," ",E3505),ForeCalc!$B$36:$Y$36,0))))*VLOOKUP(A3505,Calendar!$A$2:$H$9997,8,FALSE),0)</f>
        <v/>
      </c>
      <c r="G3505" s="29">
        <f>VLOOKUP(A3505,Calendar!$A$1:$H$9997,6,FALSE)-F3505</f>
        <v/>
      </c>
      <c r="H3505" s="19" t="n">
        <v>1</v>
      </c>
      <c r="I3505" s="57" t="n">
        <v>8</v>
      </c>
    </row>
    <row r="3506">
      <c r="A3506" s="62" t="n">
        <v>46329</v>
      </c>
      <c r="B3506" s="3" t="inlineStr">
        <is>
          <t>Week</t>
        </is>
      </c>
      <c r="C3506" s="19" t="n">
        <v>11</v>
      </c>
      <c r="D3506" s="19" t="n">
        <v>2026</v>
      </c>
      <c r="E3506" s="57" t="n">
        <v>4</v>
      </c>
      <c r="F3506" s="29">
        <f>ROUND(((SUMIFS(Calendar!$F$2:$F$9997,Calendar!$B$2:$B$9997,D3506,Calendar!$C$2:$C$9997,C3506)*INDEX(ForeCalc!$B$37:$Y$274,MATCH(_xlfn.CONCAT(H3506," ",I3506),ForeCalc!$A$37:$A$274,0),MATCH(_xlfn.CONCAT(B3506," ",E3506),ForeCalc!$B$36:$Y$36,0))))*VLOOKUP(A3506,Calendar!$A$2:$H$9997,8,FALSE),0)</f>
        <v/>
      </c>
      <c r="G3506" s="29">
        <f>VLOOKUP(A3506,Calendar!$A$1:$H$9997,6,FALSE)-F3506</f>
        <v/>
      </c>
      <c r="H3506" s="19" t="n">
        <v>1</v>
      </c>
      <c r="I3506" s="57" t="n">
        <v>8</v>
      </c>
    </row>
    <row r="3507">
      <c r="A3507" s="62" t="n">
        <v>46330</v>
      </c>
      <c r="B3507" s="3" t="inlineStr">
        <is>
          <t>Week</t>
        </is>
      </c>
      <c r="C3507" s="19" t="n">
        <v>11</v>
      </c>
      <c r="D3507" s="19" t="n">
        <v>2026</v>
      </c>
      <c r="E3507" s="57" t="n">
        <v>4</v>
      </c>
      <c r="F3507" s="29">
        <f>ROUND(((SUMIFS(Calendar!$F$2:$F$9997,Calendar!$B$2:$B$9997,D3507,Calendar!$C$2:$C$9997,C3507)*INDEX(ForeCalc!$B$37:$Y$274,MATCH(_xlfn.CONCAT(H3507," ",I3507),ForeCalc!$A$37:$A$274,0),MATCH(_xlfn.CONCAT(B3507," ",E3507),ForeCalc!$B$36:$Y$36,0))))*VLOOKUP(A3507,Calendar!$A$2:$H$9997,8,FALSE),0)</f>
        <v/>
      </c>
      <c r="G3507" s="29">
        <f>VLOOKUP(A3507,Calendar!$A$1:$H$9997,6,FALSE)-F3507</f>
        <v/>
      </c>
      <c r="H3507" s="19" t="n">
        <v>1</v>
      </c>
      <c r="I3507" s="57" t="n">
        <v>8</v>
      </c>
    </row>
    <row r="3508">
      <c r="A3508" s="62" t="n">
        <v>46331</v>
      </c>
      <c r="B3508" s="3" t="inlineStr">
        <is>
          <t>Week</t>
        </is>
      </c>
      <c r="C3508" s="19" t="n">
        <v>11</v>
      </c>
      <c r="D3508" s="19" t="n">
        <v>2026</v>
      </c>
      <c r="E3508" s="57" t="n">
        <v>4</v>
      </c>
      <c r="F3508" s="29">
        <f>ROUND(((SUMIFS(Calendar!$F$2:$F$9997,Calendar!$B$2:$B$9997,D3508,Calendar!$C$2:$C$9997,C3508)*INDEX(ForeCalc!$B$37:$Y$274,MATCH(_xlfn.CONCAT(H3508," ",I3508),ForeCalc!$A$37:$A$274,0),MATCH(_xlfn.CONCAT(B3508," ",E3508),ForeCalc!$B$36:$Y$36,0))))*VLOOKUP(A3508,Calendar!$A$2:$H$9997,8,FALSE),0)</f>
        <v/>
      </c>
      <c r="G3508" s="29">
        <f>VLOOKUP(A3508,Calendar!$A$1:$H$9997,6,FALSE)-F3508</f>
        <v/>
      </c>
      <c r="H3508" s="19" t="n">
        <v>1</v>
      </c>
      <c r="I3508" s="57" t="n">
        <v>8</v>
      </c>
    </row>
    <row r="3509">
      <c r="A3509" s="62" t="n">
        <v>46332</v>
      </c>
      <c r="B3509" s="3" t="inlineStr">
        <is>
          <t>Week</t>
        </is>
      </c>
      <c r="C3509" s="19" t="n">
        <v>11</v>
      </c>
      <c r="D3509" s="19" t="n">
        <v>2026</v>
      </c>
      <c r="E3509" s="57" t="n">
        <v>4</v>
      </c>
      <c r="F3509" s="29">
        <f>ROUND(((SUMIFS(Calendar!$F$2:$F$9997,Calendar!$B$2:$B$9997,D3509,Calendar!$C$2:$C$9997,C3509)*INDEX(ForeCalc!$B$37:$Y$274,MATCH(_xlfn.CONCAT(H3509," ",I3509),ForeCalc!$A$37:$A$274,0),MATCH(_xlfn.CONCAT(B3509," ",E3509),ForeCalc!$B$36:$Y$36,0))))*VLOOKUP(A3509,Calendar!$A$2:$H$9997,8,FALSE),0)</f>
        <v/>
      </c>
      <c r="G3509" s="29">
        <f>VLOOKUP(A3509,Calendar!$A$1:$H$9997,6,FALSE)-F3509</f>
        <v/>
      </c>
      <c r="H3509" s="19" t="n">
        <v>1</v>
      </c>
      <c r="I3509" s="57" t="n">
        <v>8</v>
      </c>
    </row>
    <row r="3510">
      <c r="A3510" s="62" t="n">
        <v>46333</v>
      </c>
      <c r="B3510" s="3" t="inlineStr">
        <is>
          <t>Sat</t>
        </is>
      </c>
      <c r="C3510" s="19" t="n">
        <v>11</v>
      </c>
      <c r="D3510" s="19" t="n">
        <v>2026</v>
      </c>
      <c r="E3510" s="57" t="n">
        <v>4</v>
      </c>
      <c r="F3510" s="29">
        <f>ROUND(((SUMIFS(Calendar!$F$2:$F$9997,Calendar!$B$2:$B$9997,D3510,Calendar!$C$2:$C$9997,C3510)*INDEX(ForeCalc!$B$37:$Y$274,MATCH(_xlfn.CONCAT(H3510," ",I3510),ForeCalc!$A$37:$A$274,0),MATCH(_xlfn.CONCAT(B3510," ",E3510),ForeCalc!$B$36:$Y$36,0))))*VLOOKUP(A3510,Calendar!$A$2:$H$9997,8,FALSE),0)</f>
        <v/>
      </c>
      <c r="G3510" s="29">
        <f>VLOOKUP(A3510,Calendar!$A$1:$H$9997,6,FALSE)-F3510</f>
        <v/>
      </c>
      <c r="H3510" s="19" t="n">
        <v>1</v>
      </c>
      <c r="I3510" s="57" t="n">
        <v>8</v>
      </c>
    </row>
    <row r="3511">
      <c r="A3511" s="62" t="n">
        <v>46334</v>
      </c>
      <c r="B3511" s="3" t="inlineStr">
        <is>
          <t>Sun</t>
        </is>
      </c>
      <c r="C3511" s="19" t="n">
        <v>11</v>
      </c>
      <c r="D3511" s="19" t="n">
        <v>2026</v>
      </c>
      <c r="E3511" s="57" t="n">
        <v>4</v>
      </c>
      <c r="F3511" s="29">
        <f>ROUND(((SUMIFS(Calendar!$F$2:$F$9997,Calendar!$B$2:$B$9997,D3511,Calendar!$C$2:$C$9997,C3511)*INDEX(ForeCalc!$B$37:$Y$274,MATCH(_xlfn.CONCAT(H3511," ",I3511),ForeCalc!$A$37:$A$274,0),MATCH(_xlfn.CONCAT(B3511," ",E3511),ForeCalc!$B$36:$Y$36,0))))*VLOOKUP(A3511,Calendar!$A$2:$H$9997,8,FALSE),0)</f>
        <v/>
      </c>
      <c r="G3511" s="29">
        <f>VLOOKUP(A3511,Calendar!$A$1:$H$9997,6,FALSE)-F3511</f>
        <v/>
      </c>
      <c r="H3511" s="19" t="n">
        <v>1</v>
      </c>
      <c r="I3511" s="57" t="n">
        <v>8</v>
      </c>
    </row>
    <row r="3512">
      <c r="A3512" s="62" t="n">
        <v>46335</v>
      </c>
      <c r="B3512" s="3" t="inlineStr">
        <is>
          <t>Week</t>
        </is>
      </c>
      <c r="C3512" s="19" t="n">
        <v>11</v>
      </c>
      <c r="D3512" s="19" t="n">
        <v>2026</v>
      </c>
      <c r="E3512" s="57" t="n">
        <v>4</v>
      </c>
      <c r="F3512" s="29">
        <f>ROUND(((SUMIFS(Calendar!$F$2:$F$9997,Calendar!$B$2:$B$9997,D3512,Calendar!$C$2:$C$9997,C3512)*INDEX(ForeCalc!$B$37:$Y$274,MATCH(_xlfn.CONCAT(H3512," ",I3512),ForeCalc!$A$37:$A$274,0),MATCH(_xlfn.CONCAT(B3512," ",E3512),ForeCalc!$B$36:$Y$36,0))))*VLOOKUP(A3512,Calendar!$A$2:$H$9997,8,FALSE),0)</f>
        <v/>
      </c>
      <c r="G3512" s="29">
        <f>VLOOKUP(A3512,Calendar!$A$1:$H$9997,6,FALSE)-F3512</f>
        <v/>
      </c>
      <c r="H3512" s="19" t="n">
        <v>1</v>
      </c>
      <c r="I3512" s="57" t="n">
        <v>8</v>
      </c>
    </row>
    <row r="3513">
      <c r="A3513" s="62" t="n">
        <v>46336</v>
      </c>
      <c r="B3513" s="3" t="inlineStr">
        <is>
          <t>Week</t>
        </is>
      </c>
      <c r="C3513" s="19" t="n">
        <v>11</v>
      </c>
      <c r="D3513" s="19" t="n">
        <v>2026</v>
      </c>
      <c r="E3513" s="57" t="n">
        <v>4</v>
      </c>
      <c r="F3513" s="29">
        <f>ROUND(((SUMIFS(Calendar!$F$2:$F$9997,Calendar!$B$2:$B$9997,D3513,Calendar!$C$2:$C$9997,C3513)*INDEX(ForeCalc!$B$37:$Y$274,MATCH(_xlfn.CONCAT(H3513," ",I3513),ForeCalc!$A$37:$A$274,0),MATCH(_xlfn.CONCAT(B3513," ",E3513),ForeCalc!$B$36:$Y$36,0))))*VLOOKUP(A3513,Calendar!$A$2:$H$9997,8,FALSE),0)</f>
        <v/>
      </c>
      <c r="G3513" s="29">
        <f>VLOOKUP(A3513,Calendar!$A$1:$H$9997,6,FALSE)-F3513</f>
        <v/>
      </c>
      <c r="H3513" s="19" t="n">
        <v>1</v>
      </c>
      <c r="I3513" s="57" t="n">
        <v>8</v>
      </c>
    </row>
    <row r="3514">
      <c r="A3514" s="62" t="n">
        <v>46337</v>
      </c>
      <c r="B3514" s="3" t="inlineStr">
        <is>
          <t>Week</t>
        </is>
      </c>
      <c r="C3514" s="19" t="n">
        <v>11</v>
      </c>
      <c r="D3514" s="19" t="n">
        <v>2026</v>
      </c>
      <c r="E3514" s="57" t="n">
        <v>4</v>
      </c>
      <c r="F3514" s="29">
        <f>ROUND(((SUMIFS(Calendar!$F$2:$F$9997,Calendar!$B$2:$B$9997,D3514,Calendar!$C$2:$C$9997,C3514)*INDEX(ForeCalc!$B$37:$Y$274,MATCH(_xlfn.CONCAT(H3514," ",I3514),ForeCalc!$A$37:$A$274,0),MATCH(_xlfn.CONCAT(B3514," ",E3514),ForeCalc!$B$36:$Y$36,0))))*VLOOKUP(A3514,Calendar!$A$2:$H$9997,8,FALSE),0)</f>
        <v/>
      </c>
      <c r="G3514" s="29">
        <f>VLOOKUP(A3514,Calendar!$A$1:$H$9997,6,FALSE)-F3514</f>
        <v/>
      </c>
      <c r="H3514" s="19" t="n">
        <v>1</v>
      </c>
      <c r="I3514" s="57" t="n">
        <v>8</v>
      </c>
    </row>
    <row r="3515">
      <c r="A3515" s="62" t="n">
        <v>46338</v>
      </c>
      <c r="B3515" s="3" t="inlineStr">
        <is>
          <t>Week</t>
        </is>
      </c>
      <c r="C3515" s="19" t="n">
        <v>11</v>
      </c>
      <c r="D3515" s="19" t="n">
        <v>2026</v>
      </c>
      <c r="E3515" s="57" t="n">
        <v>4</v>
      </c>
      <c r="F3515" s="29">
        <f>ROUND(((SUMIFS(Calendar!$F$2:$F$9997,Calendar!$B$2:$B$9997,D3515,Calendar!$C$2:$C$9997,C3515)*INDEX(ForeCalc!$B$37:$Y$274,MATCH(_xlfn.CONCAT(H3515," ",I3515),ForeCalc!$A$37:$A$274,0),MATCH(_xlfn.CONCAT(B3515," ",E3515),ForeCalc!$B$36:$Y$36,0))))*VLOOKUP(A3515,Calendar!$A$2:$H$9997,8,FALSE),0)</f>
        <v/>
      </c>
      <c r="G3515" s="29">
        <f>VLOOKUP(A3515,Calendar!$A$1:$H$9997,6,FALSE)-F3515</f>
        <v/>
      </c>
      <c r="H3515" s="19" t="n">
        <v>1</v>
      </c>
      <c r="I3515" s="57" t="n">
        <v>8</v>
      </c>
    </row>
    <row r="3516">
      <c r="A3516" s="62" t="n">
        <v>46339</v>
      </c>
      <c r="B3516" s="3" t="inlineStr">
        <is>
          <t>Week</t>
        </is>
      </c>
      <c r="C3516" s="19" t="n">
        <v>11</v>
      </c>
      <c r="D3516" s="19" t="n">
        <v>2026</v>
      </c>
      <c r="E3516" s="57" t="n">
        <v>4</v>
      </c>
      <c r="F3516" s="29">
        <f>ROUND(((SUMIFS(Calendar!$F$2:$F$9997,Calendar!$B$2:$B$9997,D3516,Calendar!$C$2:$C$9997,C3516)*INDEX(ForeCalc!$B$37:$Y$274,MATCH(_xlfn.CONCAT(H3516," ",I3516),ForeCalc!$A$37:$A$274,0),MATCH(_xlfn.CONCAT(B3516," ",E3516),ForeCalc!$B$36:$Y$36,0))))*VLOOKUP(A3516,Calendar!$A$2:$H$9997,8,FALSE),0)</f>
        <v/>
      </c>
      <c r="G3516" s="29">
        <f>VLOOKUP(A3516,Calendar!$A$1:$H$9997,6,FALSE)-F3516</f>
        <v/>
      </c>
      <c r="H3516" s="19" t="n">
        <v>1</v>
      </c>
      <c r="I3516" s="57" t="n">
        <v>8</v>
      </c>
    </row>
    <row r="3517">
      <c r="A3517" s="62" t="n">
        <v>46340</v>
      </c>
      <c r="B3517" s="3" t="inlineStr">
        <is>
          <t>Sat</t>
        </is>
      </c>
      <c r="C3517" s="19" t="n">
        <v>11</v>
      </c>
      <c r="D3517" s="19" t="n">
        <v>2026</v>
      </c>
      <c r="E3517" s="57" t="n">
        <v>4</v>
      </c>
      <c r="F3517" s="29">
        <f>ROUND(((SUMIFS(Calendar!$F$2:$F$9997,Calendar!$B$2:$B$9997,D3517,Calendar!$C$2:$C$9997,C3517)*INDEX(ForeCalc!$B$37:$Y$274,MATCH(_xlfn.CONCAT(H3517," ",I3517),ForeCalc!$A$37:$A$274,0),MATCH(_xlfn.CONCAT(B3517," ",E3517),ForeCalc!$B$36:$Y$36,0))))*VLOOKUP(A3517,Calendar!$A$2:$H$9997,8,FALSE),0)</f>
        <v/>
      </c>
      <c r="G3517" s="29">
        <f>VLOOKUP(A3517,Calendar!$A$1:$H$9997,6,FALSE)-F3517</f>
        <v/>
      </c>
      <c r="H3517" s="19" t="n">
        <v>1</v>
      </c>
      <c r="I3517" s="57" t="n">
        <v>8</v>
      </c>
    </row>
    <row r="3518">
      <c r="A3518" s="62" t="n">
        <v>46341</v>
      </c>
      <c r="B3518" s="3" t="inlineStr">
        <is>
          <t>Sun</t>
        </is>
      </c>
      <c r="C3518" s="19" t="n">
        <v>11</v>
      </c>
      <c r="D3518" s="19" t="n">
        <v>2026</v>
      </c>
      <c r="E3518" s="57" t="n">
        <v>4</v>
      </c>
      <c r="F3518" s="29">
        <f>ROUND(((SUMIFS(Calendar!$F$2:$F$9997,Calendar!$B$2:$B$9997,D3518,Calendar!$C$2:$C$9997,C3518)*INDEX(ForeCalc!$B$37:$Y$274,MATCH(_xlfn.CONCAT(H3518," ",I3518),ForeCalc!$A$37:$A$274,0),MATCH(_xlfn.CONCAT(B3518," ",E3518),ForeCalc!$B$36:$Y$36,0))))*VLOOKUP(A3518,Calendar!$A$2:$H$9997,8,FALSE),0)</f>
        <v/>
      </c>
      <c r="G3518" s="29">
        <f>VLOOKUP(A3518,Calendar!$A$1:$H$9997,6,FALSE)-F3518</f>
        <v/>
      </c>
      <c r="H3518" s="19" t="n">
        <v>1</v>
      </c>
      <c r="I3518" s="57" t="n">
        <v>8</v>
      </c>
    </row>
    <row r="3519">
      <c r="A3519" s="62" t="n">
        <v>46342</v>
      </c>
      <c r="B3519" s="3" t="inlineStr">
        <is>
          <t>Week</t>
        </is>
      </c>
      <c r="C3519" s="19" t="n">
        <v>11</v>
      </c>
      <c r="D3519" s="19" t="n">
        <v>2026</v>
      </c>
      <c r="E3519" s="57" t="n">
        <v>4</v>
      </c>
      <c r="F3519" s="29">
        <f>ROUND(((SUMIFS(Calendar!$F$2:$F$9997,Calendar!$B$2:$B$9997,D3519,Calendar!$C$2:$C$9997,C3519)*INDEX(ForeCalc!$B$37:$Y$274,MATCH(_xlfn.CONCAT(H3519," ",I3519),ForeCalc!$A$37:$A$274,0),MATCH(_xlfn.CONCAT(B3519," ",E3519),ForeCalc!$B$36:$Y$36,0))))*VLOOKUP(A3519,Calendar!$A$2:$H$9997,8,FALSE),0)</f>
        <v/>
      </c>
      <c r="G3519" s="29">
        <f>VLOOKUP(A3519,Calendar!$A$1:$H$9997,6,FALSE)-F3519</f>
        <v/>
      </c>
      <c r="H3519" s="19" t="n">
        <v>1</v>
      </c>
      <c r="I3519" s="57" t="n">
        <v>8</v>
      </c>
    </row>
    <row r="3520">
      <c r="A3520" s="62" t="n">
        <v>46343</v>
      </c>
      <c r="B3520" s="3" t="inlineStr">
        <is>
          <t>Week</t>
        </is>
      </c>
      <c r="C3520" s="19" t="n">
        <v>11</v>
      </c>
      <c r="D3520" s="19" t="n">
        <v>2026</v>
      </c>
      <c r="E3520" s="57" t="n">
        <v>4</v>
      </c>
      <c r="F3520" s="29">
        <f>ROUND(((SUMIFS(Calendar!$F$2:$F$9997,Calendar!$B$2:$B$9997,D3520,Calendar!$C$2:$C$9997,C3520)*INDEX(ForeCalc!$B$37:$Y$274,MATCH(_xlfn.CONCAT(H3520," ",I3520),ForeCalc!$A$37:$A$274,0),MATCH(_xlfn.CONCAT(B3520," ",E3520),ForeCalc!$B$36:$Y$36,0))))*VLOOKUP(A3520,Calendar!$A$2:$H$9997,8,FALSE),0)</f>
        <v/>
      </c>
      <c r="G3520" s="29">
        <f>VLOOKUP(A3520,Calendar!$A$1:$H$9997,6,FALSE)-F3520</f>
        <v/>
      </c>
      <c r="H3520" s="19" t="n">
        <v>1</v>
      </c>
      <c r="I3520" s="57" t="n">
        <v>8</v>
      </c>
    </row>
    <row r="3521">
      <c r="A3521" s="62" t="n">
        <v>46344</v>
      </c>
      <c r="B3521" s="3" t="inlineStr">
        <is>
          <t>Week</t>
        </is>
      </c>
      <c r="C3521" s="19" t="n">
        <v>11</v>
      </c>
      <c r="D3521" s="19" t="n">
        <v>2026</v>
      </c>
      <c r="E3521" s="57" t="n">
        <v>4</v>
      </c>
      <c r="F3521" s="29">
        <f>ROUND(((SUMIFS(Calendar!$F$2:$F$9997,Calendar!$B$2:$B$9997,D3521,Calendar!$C$2:$C$9997,C3521)*INDEX(ForeCalc!$B$37:$Y$274,MATCH(_xlfn.CONCAT(H3521," ",I3521),ForeCalc!$A$37:$A$274,0),MATCH(_xlfn.CONCAT(B3521," ",E3521),ForeCalc!$B$36:$Y$36,0))))*VLOOKUP(A3521,Calendar!$A$2:$H$9997,8,FALSE),0)</f>
        <v/>
      </c>
      <c r="G3521" s="29">
        <f>VLOOKUP(A3521,Calendar!$A$1:$H$9997,6,FALSE)-F3521</f>
        <v/>
      </c>
      <c r="H3521" s="19" t="n">
        <v>1</v>
      </c>
      <c r="I3521" s="57" t="n">
        <v>8</v>
      </c>
    </row>
    <row r="3522">
      <c r="A3522" s="62" t="n">
        <v>46345</v>
      </c>
      <c r="B3522" s="3" t="inlineStr">
        <is>
          <t>Week</t>
        </is>
      </c>
      <c r="C3522" s="19" t="n">
        <v>11</v>
      </c>
      <c r="D3522" s="19" t="n">
        <v>2026</v>
      </c>
      <c r="E3522" s="57" t="n">
        <v>4</v>
      </c>
      <c r="F3522" s="29">
        <f>ROUND(((SUMIFS(Calendar!$F$2:$F$9997,Calendar!$B$2:$B$9997,D3522,Calendar!$C$2:$C$9997,C3522)*INDEX(ForeCalc!$B$37:$Y$274,MATCH(_xlfn.CONCAT(H3522," ",I3522),ForeCalc!$A$37:$A$274,0),MATCH(_xlfn.CONCAT(B3522," ",E3522),ForeCalc!$B$36:$Y$36,0))))*VLOOKUP(A3522,Calendar!$A$2:$H$9997,8,FALSE),0)</f>
        <v/>
      </c>
      <c r="G3522" s="29">
        <f>VLOOKUP(A3522,Calendar!$A$1:$H$9997,6,FALSE)-F3522</f>
        <v/>
      </c>
      <c r="H3522" s="19" t="n">
        <v>1</v>
      </c>
      <c r="I3522" s="57" t="n">
        <v>8</v>
      </c>
    </row>
    <row r="3523">
      <c r="A3523" s="62" t="n">
        <v>46346</v>
      </c>
      <c r="B3523" s="3" t="inlineStr">
        <is>
          <t>Week</t>
        </is>
      </c>
      <c r="C3523" s="19" t="n">
        <v>11</v>
      </c>
      <c r="D3523" s="19" t="n">
        <v>2026</v>
      </c>
      <c r="E3523" s="57" t="n">
        <v>4</v>
      </c>
      <c r="F3523" s="29">
        <f>ROUND(((SUMIFS(Calendar!$F$2:$F$9997,Calendar!$B$2:$B$9997,D3523,Calendar!$C$2:$C$9997,C3523)*INDEX(ForeCalc!$B$37:$Y$274,MATCH(_xlfn.CONCAT(H3523," ",I3523),ForeCalc!$A$37:$A$274,0),MATCH(_xlfn.CONCAT(B3523," ",E3523),ForeCalc!$B$36:$Y$36,0))))*VLOOKUP(A3523,Calendar!$A$2:$H$9997,8,FALSE),0)</f>
        <v/>
      </c>
      <c r="G3523" s="29">
        <f>VLOOKUP(A3523,Calendar!$A$1:$H$9997,6,FALSE)-F3523</f>
        <v/>
      </c>
      <c r="H3523" s="19" t="n">
        <v>1</v>
      </c>
      <c r="I3523" s="57" t="n">
        <v>8</v>
      </c>
    </row>
    <row r="3524">
      <c r="A3524" s="62" t="n">
        <v>46347</v>
      </c>
      <c r="B3524" s="3" t="inlineStr">
        <is>
          <t>Sat</t>
        </is>
      </c>
      <c r="C3524" s="19" t="n">
        <v>11</v>
      </c>
      <c r="D3524" s="19" t="n">
        <v>2026</v>
      </c>
      <c r="E3524" s="57" t="n">
        <v>4</v>
      </c>
      <c r="F3524" s="29">
        <f>ROUND(((SUMIFS(Calendar!$F$2:$F$9997,Calendar!$B$2:$B$9997,D3524,Calendar!$C$2:$C$9997,C3524)*INDEX(ForeCalc!$B$37:$Y$274,MATCH(_xlfn.CONCAT(H3524," ",I3524),ForeCalc!$A$37:$A$274,0),MATCH(_xlfn.CONCAT(B3524," ",E3524),ForeCalc!$B$36:$Y$36,0))))*VLOOKUP(A3524,Calendar!$A$2:$H$9997,8,FALSE),0)</f>
        <v/>
      </c>
      <c r="G3524" s="29">
        <f>VLOOKUP(A3524,Calendar!$A$1:$H$9997,6,FALSE)-F3524</f>
        <v/>
      </c>
      <c r="H3524" s="19" t="n">
        <v>1</v>
      </c>
      <c r="I3524" s="57" t="n">
        <v>8</v>
      </c>
    </row>
    <row r="3525">
      <c r="A3525" s="62" t="n">
        <v>46348</v>
      </c>
      <c r="B3525" s="3" t="inlineStr">
        <is>
          <t>Sun</t>
        </is>
      </c>
      <c r="C3525" s="19" t="n">
        <v>11</v>
      </c>
      <c r="D3525" s="19" t="n">
        <v>2026</v>
      </c>
      <c r="E3525" s="57" t="n">
        <v>4</v>
      </c>
      <c r="F3525" s="29">
        <f>ROUND(((SUMIFS(Calendar!$F$2:$F$9997,Calendar!$B$2:$B$9997,D3525,Calendar!$C$2:$C$9997,C3525)*INDEX(ForeCalc!$B$37:$Y$274,MATCH(_xlfn.CONCAT(H3525," ",I3525),ForeCalc!$A$37:$A$274,0),MATCH(_xlfn.CONCAT(B3525," ",E3525),ForeCalc!$B$36:$Y$36,0))))*VLOOKUP(A3525,Calendar!$A$2:$H$9997,8,FALSE),0)</f>
        <v/>
      </c>
      <c r="G3525" s="29">
        <f>VLOOKUP(A3525,Calendar!$A$1:$H$9997,6,FALSE)-F3525</f>
        <v/>
      </c>
      <c r="H3525" s="19" t="n">
        <v>1</v>
      </c>
      <c r="I3525" s="57" t="n">
        <v>8</v>
      </c>
    </row>
    <row r="3526">
      <c r="A3526" s="62" t="n">
        <v>46349</v>
      </c>
      <c r="B3526" s="3" t="inlineStr">
        <is>
          <t>Week</t>
        </is>
      </c>
      <c r="C3526" s="19" t="n">
        <v>11</v>
      </c>
      <c r="D3526" s="19" t="n">
        <v>2026</v>
      </c>
      <c r="E3526" s="57" t="n">
        <v>4</v>
      </c>
      <c r="F3526" s="29">
        <f>ROUND(((SUMIFS(Calendar!$F$2:$F$9997,Calendar!$B$2:$B$9997,D3526,Calendar!$C$2:$C$9997,C3526)*INDEX(ForeCalc!$B$37:$Y$274,MATCH(_xlfn.CONCAT(H3526," ",I3526),ForeCalc!$A$37:$A$274,0),MATCH(_xlfn.CONCAT(B3526," ",E3526),ForeCalc!$B$36:$Y$36,0))))*VLOOKUP(A3526,Calendar!$A$2:$H$9997,8,FALSE),0)</f>
        <v/>
      </c>
      <c r="G3526" s="29">
        <f>VLOOKUP(A3526,Calendar!$A$1:$H$9997,6,FALSE)-F3526</f>
        <v/>
      </c>
      <c r="H3526" s="19" t="n">
        <v>1</v>
      </c>
      <c r="I3526" s="57" t="n">
        <v>8</v>
      </c>
    </row>
    <row r="3527">
      <c r="A3527" s="62" t="n">
        <v>46350</v>
      </c>
      <c r="B3527" s="3" t="inlineStr">
        <is>
          <t>Week</t>
        </is>
      </c>
      <c r="C3527" s="19" t="n">
        <v>11</v>
      </c>
      <c r="D3527" s="19" t="n">
        <v>2026</v>
      </c>
      <c r="E3527" s="57" t="n">
        <v>4</v>
      </c>
      <c r="F3527" s="29">
        <f>ROUND(((SUMIFS(Calendar!$F$2:$F$9997,Calendar!$B$2:$B$9997,D3527,Calendar!$C$2:$C$9997,C3527)*INDEX(ForeCalc!$B$37:$Y$274,MATCH(_xlfn.CONCAT(H3527," ",I3527),ForeCalc!$A$37:$A$274,0),MATCH(_xlfn.CONCAT(B3527," ",E3527),ForeCalc!$B$36:$Y$36,0))))*VLOOKUP(A3527,Calendar!$A$2:$H$9997,8,FALSE),0)</f>
        <v/>
      </c>
      <c r="G3527" s="29">
        <f>VLOOKUP(A3527,Calendar!$A$1:$H$9997,6,FALSE)-F3527</f>
        <v/>
      </c>
      <c r="H3527" s="19" t="n">
        <v>1</v>
      </c>
      <c r="I3527" s="57" t="n">
        <v>8</v>
      </c>
    </row>
    <row r="3528">
      <c r="A3528" s="62" t="n">
        <v>46351</v>
      </c>
      <c r="B3528" s="3" t="inlineStr">
        <is>
          <t>Week</t>
        </is>
      </c>
      <c r="C3528" s="19" t="n">
        <v>11</v>
      </c>
      <c r="D3528" s="19" t="n">
        <v>2026</v>
      </c>
      <c r="E3528" s="57" t="n">
        <v>4</v>
      </c>
      <c r="F3528" s="29">
        <f>ROUND(((SUMIFS(Calendar!$F$2:$F$9997,Calendar!$B$2:$B$9997,D3528,Calendar!$C$2:$C$9997,C3528)*INDEX(ForeCalc!$B$37:$Y$274,MATCH(_xlfn.CONCAT(H3528," ",I3528),ForeCalc!$A$37:$A$274,0),MATCH(_xlfn.CONCAT(B3528," ",E3528),ForeCalc!$B$36:$Y$36,0))))*VLOOKUP(A3528,Calendar!$A$2:$H$9997,8,FALSE),0)</f>
        <v/>
      </c>
      <c r="G3528" s="29">
        <f>VLOOKUP(A3528,Calendar!$A$1:$H$9997,6,FALSE)-F3528</f>
        <v/>
      </c>
      <c r="H3528" s="19" t="n">
        <v>1</v>
      </c>
      <c r="I3528" s="57" t="n">
        <v>8</v>
      </c>
    </row>
    <row r="3529">
      <c r="A3529" s="62" t="n">
        <v>46352</v>
      </c>
      <c r="B3529" s="3" t="inlineStr">
        <is>
          <t>Week</t>
        </is>
      </c>
      <c r="C3529" s="19" t="n">
        <v>11</v>
      </c>
      <c r="D3529" s="19" t="n">
        <v>2026</v>
      </c>
      <c r="E3529" s="57" t="n">
        <v>4</v>
      </c>
      <c r="F3529" s="29">
        <f>ROUND(((SUMIFS(Calendar!$F$2:$F$9997,Calendar!$B$2:$B$9997,D3529,Calendar!$C$2:$C$9997,C3529)*INDEX(ForeCalc!$B$37:$Y$274,MATCH(_xlfn.CONCAT(H3529," ",I3529),ForeCalc!$A$37:$A$274,0),MATCH(_xlfn.CONCAT(B3529," ",E3529),ForeCalc!$B$36:$Y$36,0))))*VLOOKUP(A3529,Calendar!$A$2:$H$9997,8,FALSE),0)</f>
        <v/>
      </c>
      <c r="G3529" s="29">
        <f>VLOOKUP(A3529,Calendar!$A$1:$H$9997,6,FALSE)-F3529</f>
        <v/>
      </c>
      <c r="H3529" s="19" t="n">
        <v>1</v>
      </c>
      <c r="I3529" s="57" t="n">
        <v>8</v>
      </c>
    </row>
    <row r="3530">
      <c r="A3530" s="62" t="n">
        <v>46353</v>
      </c>
      <c r="B3530" s="3" t="inlineStr">
        <is>
          <t>Week</t>
        </is>
      </c>
      <c r="C3530" s="19" t="n">
        <v>11</v>
      </c>
      <c r="D3530" s="19" t="n">
        <v>2026</v>
      </c>
      <c r="E3530" s="57" t="n">
        <v>4</v>
      </c>
      <c r="F3530" s="29">
        <f>ROUND(((SUMIFS(Calendar!$F$2:$F$9997,Calendar!$B$2:$B$9997,D3530,Calendar!$C$2:$C$9997,C3530)*INDEX(ForeCalc!$B$37:$Y$274,MATCH(_xlfn.CONCAT(H3530," ",I3530),ForeCalc!$A$37:$A$274,0),MATCH(_xlfn.CONCAT(B3530," ",E3530),ForeCalc!$B$36:$Y$36,0))))*VLOOKUP(A3530,Calendar!$A$2:$H$9997,8,FALSE),0)</f>
        <v/>
      </c>
      <c r="G3530" s="29">
        <f>VLOOKUP(A3530,Calendar!$A$1:$H$9997,6,FALSE)-F3530</f>
        <v/>
      </c>
      <c r="H3530" s="19" t="n">
        <v>1</v>
      </c>
      <c r="I3530" s="57" t="n">
        <v>8</v>
      </c>
    </row>
    <row r="3531">
      <c r="A3531" s="62" t="n">
        <v>46354</v>
      </c>
      <c r="B3531" s="3" t="inlineStr">
        <is>
          <t>Sat</t>
        </is>
      </c>
      <c r="C3531" s="19" t="n">
        <v>11</v>
      </c>
      <c r="D3531" s="19" t="n">
        <v>2026</v>
      </c>
      <c r="E3531" s="57" t="n">
        <v>4</v>
      </c>
      <c r="F3531" s="29">
        <f>ROUND(((SUMIFS(Calendar!$F$2:$F$9997,Calendar!$B$2:$B$9997,D3531,Calendar!$C$2:$C$9997,C3531)*INDEX(ForeCalc!$B$37:$Y$274,MATCH(_xlfn.CONCAT(H3531," ",I3531),ForeCalc!$A$37:$A$274,0),MATCH(_xlfn.CONCAT(B3531," ",E3531),ForeCalc!$B$36:$Y$36,0))))*VLOOKUP(A3531,Calendar!$A$2:$H$9997,8,FALSE),0)</f>
        <v/>
      </c>
      <c r="G3531" s="29">
        <f>VLOOKUP(A3531,Calendar!$A$1:$H$9997,6,FALSE)-F3531</f>
        <v/>
      </c>
      <c r="H3531" s="19" t="n">
        <v>1</v>
      </c>
      <c r="I3531" s="57" t="n">
        <v>8</v>
      </c>
    </row>
    <row r="3532">
      <c r="A3532" s="62" t="n">
        <v>46355</v>
      </c>
      <c r="B3532" s="3" t="inlineStr">
        <is>
          <t>Sun</t>
        </is>
      </c>
      <c r="C3532" s="19" t="n">
        <v>11</v>
      </c>
      <c r="D3532" s="19" t="n">
        <v>2026</v>
      </c>
      <c r="E3532" s="57" t="n">
        <v>4</v>
      </c>
      <c r="F3532" s="29">
        <f>ROUND(((SUMIFS(Calendar!$F$2:$F$9997,Calendar!$B$2:$B$9997,D3532,Calendar!$C$2:$C$9997,C3532)*INDEX(ForeCalc!$B$37:$Y$274,MATCH(_xlfn.CONCAT(H3532," ",I3532),ForeCalc!$A$37:$A$274,0),MATCH(_xlfn.CONCAT(B3532," ",E3532),ForeCalc!$B$36:$Y$36,0))))*VLOOKUP(A3532,Calendar!$A$2:$H$9997,8,FALSE),0)</f>
        <v/>
      </c>
      <c r="G3532" s="29">
        <f>VLOOKUP(A3532,Calendar!$A$1:$H$9997,6,FALSE)-F3532</f>
        <v/>
      </c>
      <c r="H3532" s="19" t="n">
        <v>1</v>
      </c>
      <c r="I3532" s="57" t="n">
        <v>8</v>
      </c>
    </row>
    <row r="3533">
      <c r="A3533" s="62" t="n">
        <v>46356</v>
      </c>
      <c r="B3533" s="3" t="inlineStr">
        <is>
          <t>Week</t>
        </is>
      </c>
      <c r="C3533" s="19" t="n">
        <v>11</v>
      </c>
      <c r="D3533" s="19" t="n">
        <v>2026</v>
      </c>
      <c r="E3533" s="57" t="n">
        <v>4</v>
      </c>
      <c r="F3533" s="29">
        <f>ROUND(((SUMIFS(Calendar!$F$2:$F$9997,Calendar!$B$2:$B$9997,D3533,Calendar!$C$2:$C$9997,C3533)*INDEX(ForeCalc!$B$37:$Y$274,MATCH(_xlfn.CONCAT(H3533," ",I3533),ForeCalc!$A$37:$A$274,0),MATCH(_xlfn.CONCAT(B3533," ",E3533),ForeCalc!$B$36:$Y$36,0))))*VLOOKUP(A3533,Calendar!$A$2:$H$9997,8,FALSE),0)</f>
        <v/>
      </c>
      <c r="G3533" s="29">
        <f>VLOOKUP(A3533,Calendar!$A$1:$H$9997,6,FALSE)-F3533</f>
        <v/>
      </c>
      <c r="H3533" s="19" t="n">
        <v>1</v>
      </c>
      <c r="I3533" s="57" t="n">
        <v>8</v>
      </c>
    </row>
    <row r="3534">
      <c r="A3534" s="62" t="n">
        <v>46357</v>
      </c>
      <c r="B3534" s="3" t="inlineStr">
        <is>
          <t>Week</t>
        </is>
      </c>
      <c r="C3534" s="19" t="n">
        <v>12</v>
      </c>
      <c r="D3534" s="19" t="n">
        <v>2026</v>
      </c>
      <c r="E3534" s="57" t="n">
        <v>4</v>
      </c>
      <c r="F3534" s="29">
        <f>ROUND(((SUMIFS(Calendar!$F$2:$F$9997,Calendar!$B$2:$B$9997,D3534,Calendar!$C$2:$C$9997,C3534)*INDEX(ForeCalc!$B$37:$Y$274,MATCH(_xlfn.CONCAT(H3534," ",I3534),ForeCalc!$A$37:$A$274,0),MATCH(_xlfn.CONCAT(B3534," ",E3534),ForeCalc!$B$36:$Y$36,0))))*VLOOKUP(A3534,Calendar!$A$2:$H$9997,8,FALSE),0)</f>
        <v/>
      </c>
      <c r="G3534" s="29">
        <f>VLOOKUP(A3534,Calendar!$A$1:$H$9997,6,FALSE)-F3534</f>
        <v/>
      </c>
      <c r="H3534" s="19" t="n">
        <v>1</v>
      </c>
      <c r="I3534" s="57" t="n">
        <v>9</v>
      </c>
    </row>
    <row r="3535">
      <c r="A3535" s="62" t="n">
        <v>46358</v>
      </c>
      <c r="B3535" s="3" t="inlineStr">
        <is>
          <t>Week</t>
        </is>
      </c>
      <c r="C3535" s="19" t="n">
        <v>12</v>
      </c>
      <c r="D3535" s="19" t="n">
        <v>2026</v>
      </c>
      <c r="E3535" s="57" t="n">
        <v>4</v>
      </c>
      <c r="F3535" s="29">
        <f>ROUND(((SUMIFS(Calendar!$F$2:$F$9997,Calendar!$B$2:$B$9997,D3535,Calendar!$C$2:$C$9997,C3535)*INDEX(ForeCalc!$B$37:$Y$274,MATCH(_xlfn.CONCAT(H3535," ",I3535),ForeCalc!$A$37:$A$274,0),MATCH(_xlfn.CONCAT(B3535," ",E3535),ForeCalc!$B$36:$Y$36,0))))*VLOOKUP(A3535,Calendar!$A$2:$H$9997,8,FALSE),0)</f>
        <v/>
      </c>
      <c r="G3535" s="29">
        <f>VLOOKUP(A3535,Calendar!$A$1:$H$9997,6,FALSE)-F3535</f>
        <v/>
      </c>
      <c r="H3535" s="19" t="n">
        <v>1</v>
      </c>
      <c r="I3535" s="57" t="n">
        <v>9</v>
      </c>
    </row>
    <row r="3536">
      <c r="A3536" s="62" t="n">
        <v>46359</v>
      </c>
      <c r="B3536" s="3" t="inlineStr">
        <is>
          <t>Week</t>
        </is>
      </c>
      <c r="C3536" s="19" t="n">
        <v>12</v>
      </c>
      <c r="D3536" s="19" t="n">
        <v>2026</v>
      </c>
      <c r="E3536" s="57" t="n">
        <v>4</v>
      </c>
      <c r="F3536" s="29">
        <f>ROUND(((SUMIFS(Calendar!$F$2:$F$9997,Calendar!$B$2:$B$9997,D3536,Calendar!$C$2:$C$9997,C3536)*INDEX(ForeCalc!$B$37:$Y$274,MATCH(_xlfn.CONCAT(H3536," ",I3536),ForeCalc!$A$37:$A$274,0),MATCH(_xlfn.CONCAT(B3536," ",E3536),ForeCalc!$B$36:$Y$36,0))))*VLOOKUP(A3536,Calendar!$A$2:$H$9997,8,FALSE),0)</f>
        <v/>
      </c>
      <c r="G3536" s="29">
        <f>VLOOKUP(A3536,Calendar!$A$1:$H$9997,6,FALSE)-F3536</f>
        <v/>
      </c>
      <c r="H3536" s="19" t="n">
        <v>1</v>
      </c>
      <c r="I3536" s="57" t="n">
        <v>9</v>
      </c>
    </row>
    <row r="3537">
      <c r="A3537" s="62" t="n">
        <v>46360</v>
      </c>
      <c r="B3537" s="3" t="inlineStr">
        <is>
          <t>Week</t>
        </is>
      </c>
      <c r="C3537" s="19" t="n">
        <v>12</v>
      </c>
      <c r="D3537" s="19" t="n">
        <v>2026</v>
      </c>
      <c r="E3537" s="57" t="n">
        <v>4</v>
      </c>
      <c r="F3537" s="29">
        <f>ROUND(((SUMIFS(Calendar!$F$2:$F$9997,Calendar!$B$2:$B$9997,D3537,Calendar!$C$2:$C$9997,C3537)*INDEX(ForeCalc!$B$37:$Y$274,MATCH(_xlfn.CONCAT(H3537," ",I3537),ForeCalc!$A$37:$A$274,0),MATCH(_xlfn.CONCAT(B3537," ",E3537),ForeCalc!$B$36:$Y$36,0))))*VLOOKUP(A3537,Calendar!$A$2:$H$9997,8,FALSE),0)</f>
        <v/>
      </c>
      <c r="G3537" s="29">
        <f>VLOOKUP(A3537,Calendar!$A$1:$H$9997,6,FALSE)-F3537</f>
        <v/>
      </c>
      <c r="H3537" s="19" t="n">
        <v>1</v>
      </c>
      <c r="I3537" s="57" t="n">
        <v>9</v>
      </c>
    </row>
    <row r="3538">
      <c r="A3538" s="62" t="n">
        <v>46361</v>
      </c>
      <c r="B3538" s="3" t="inlineStr">
        <is>
          <t>Sat</t>
        </is>
      </c>
      <c r="C3538" s="19" t="n">
        <v>12</v>
      </c>
      <c r="D3538" s="19" t="n">
        <v>2026</v>
      </c>
      <c r="E3538" s="57" t="n">
        <v>4</v>
      </c>
      <c r="F3538" s="29">
        <f>ROUND(((SUMIFS(Calendar!$F$2:$F$9997,Calendar!$B$2:$B$9997,D3538,Calendar!$C$2:$C$9997,C3538)*INDEX(ForeCalc!$B$37:$Y$274,MATCH(_xlfn.CONCAT(H3538," ",I3538),ForeCalc!$A$37:$A$274,0),MATCH(_xlfn.CONCAT(B3538," ",E3538),ForeCalc!$B$36:$Y$36,0))))*VLOOKUP(A3538,Calendar!$A$2:$H$9997,8,FALSE),0)</f>
        <v/>
      </c>
      <c r="G3538" s="29">
        <f>VLOOKUP(A3538,Calendar!$A$1:$H$9997,6,FALSE)-F3538</f>
        <v/>
      </c>
      <c r="H3538" s="19" t="n">
        <v>1</v>
      </c>
      <c r="I3538" s="57" t="n">
        <v>9</v>
      </c>
    </row>
    <row r="3539">
      <c r="A3539" s="62" t="n">
        <v>46362</v>
      </c>
      <c r="B3539" s="3" t="inlineStr">
        <is>
          <t>Sun</t>
        </is>
      </c>
      <c r="C3539" s="19" t="n">
        <v>12</v>
      </c>
      <c r="D3539" s="19" t="n">
        <v>2026</v>
      </c>
      <c r="E3539" s="57" t="n">
        <v>4</v>
      </c>
      <c r="F3539" s="29">
        <f>ROUND(((SUMIFS(Calendar!$F$2:$F$9997,Calendar!$B$2:$B$9997,D3539,Calendar!$C$2:$C$9997,C3539)*INDEX(ForeCalc!$B$37:$Y$274,MATCH(_xlfn.CONCAT(H3539," ",I3539),ForeCalc!$A$37:$A$274,0),MATCH(_xlfn.CONCAT(B3539," ",E3539),ForeCalc!$B$36:$Y$36,0))))*VLOOKUP(A3539,Calendar!$A$2:$H$9997,8,FALSE),0)</f>
        <v/>
      </c>
      <c r="G3539" s="29">
        <f>VLOOKUP(A3539,Calendar!$A$1:$H$9997,6,FALSE)-F3539</f>
        <v/>
      </c>
      <c r="H3539" s="19" t="n">
        <v>1</v>
      </c>
      <c r="I3539" s="57" t="n">
        <v>9</v>
      </c>
    </row>
    <row r="3540">
      <c r="A3540" s="62" t="n">
        <v>46363</v>
      </c>
      <c r="B3540" s="3" t="inlineStr">
        <is>
          <t>Week</t>
        </is>
      </c>
      <c r="C3540" s="19" t="n">
        <v>12</v>
      </c>
      <c r="D3540" s="19" t="n">
        <v>2026</v>
      </c>
      <c r="E3540" s="57" t="n">
        <v>4</v>
      </c>
      <c r="F3540" s="29">
        <f>ROUND(((SUMIFS(Calendar!$F$2:$F$9997,Calendar!$B$2:$B$9997,D3540,Calendar!$C$2:$C$9997,C3540)*INDEX(ForeCalc!$B$37:$Y$274,MATCH(_xlfn.CONCAT(H3540," ",I3540),ForeCalc!$A$37:$A$274,0),MATCH(_xlfn.CONCAT(B3540," ",E3540),ForeCalc!$B$36:$Y$36,0))))*VLOOKUP(A3540,Calendar!$A$2:$H$9997,8,FALSE),0)</f>
        <v/>
      </c>
      <c r="G3540" s="29">
        <f>VLOOKUP(A3540,Calendar!$A$1:$H$9997,6,FALSE)-F3540</f>
        <v/>
      </c>
      <c r="H3540" s="19" t="n">
        <v>1</v>
      </c>
      <c r="I3540" s="57" t="n">
        <v>9</v>
      </c>
    </row>
    <row r="3541">
      <c r="A3541" s="62" t="n">
        <v>46364</v>
      </c>
      <c r="B3541" s="3" t="inlineStr">
        <is>
          <t>Week</t>
        </is>
      </c>
      <c r="C3541" s="19" t="n">
        <v>12</v>
      </c>
      <c r="D3541" s="19" t="n">
        <v>2026</v>
      </c>
      <c r="E3541" s="57" t="n">
        <v>4</v>
      </c>
      <c r="F3541" s="29">
        <f>ROUND(((SUMIFS(Calendar!$F$2:$F$9997,Calendar!$B$2:$B$9997,D3541,Calendar!$C$2:$C$9997,C3541)*INDEX(ForeCalc!$B$37:$Y$274,MATCH(_xlfn.CONCAT(H3541," ",I3541),ForeCalc!$A$37:$A$274,0),MATCH(_xlfn.CONCAT(B3541," ",E3541),ForeCalc!$B$36:$Y$36,0))))*VLOOKUP(A3541,Calendar!$A$2:$H$9997,8,FALSE),0)</f>
        <v/>
      </c>
      <c r="G3541" s="29">
        <f>VLOOKUP(A3541,Calendar!$A$1:$H$9997,6,FALSE)-F3541</f>
        <v/>
      </c>
      <c r="H3541" s="19" t="n">
        <v>1</v>
      </c>
      <c r="I3541" s="57" t="n">
        <v>9</v>
      </c>
    </row>
    <row r="3542">
      <c r="A3542" s="62" t="n">
        <v>46365</v>
      </c>
      <c r="B3542" s="3" t="inlineStr">
        <is>
          <t>Week</t>
        </is>
      </c>
      <c r="C3542" s="19" t="n">
        <v>12</v>
      </c>
      <c r="D3542" s="19" t="n">
        <v>2026</v>
      </c>
      <c r="E3542" s="57" t="n">
        <v>4</v>
      </c>
      <c r="F3542" s="29">
        <f>ROUND(((SUMIFS(Calendar!$F$2:$F$9997,Calendar!$B$2:$B$9997,D3542,Calendar!$C$2:$C$9997,C3542)*INDEX(ForeCalc!$B$37:$Y$274,MATCH(_xlfn.CONCAT(H3542," ",I3542),ForeCalc!$A$37:$A$274,0),MATCH(_xlfn.CONCAT(B3542," ",E3542),ForeCalc!$B$36:$Y$36,0))))*VLOOKUP(A3542,Calendar!$A$2:$H$9997,8,FALSE),0)</f>
        <v/>
      </c>
      <c r="G3542" s="29">
        <f>VLOOKUP(A3542,Calendar!$A$1:$H$9997,6,FALSE)-F3542</f>
        <v/>
      </c>
      <c r="H3542" s="19" t="n">
        <v>1</v>
      </c>
      <c r="I3542" s="57" t="n">
        <v>9</v>
      </c>
    </row>
    <row r="3543">
      <c r="A3543" s="62" t="n">
        <v>46366</v>
      </c>
      <c r="B3543" s="3" t="inlineStr">
        <is>
          <t>Week</t>
        </is>
      </c>
      <c r="C3543" s="19" t="n">
        <v>12</v>
      </c>
      <c r="D3543" s="19" t="n">
        <v>2026</v>
      </c>
      <c r="E3543" s="57" t="n">
        <v>4</v>
      </c>
      <c r="F3543" s="29">
        <f>ROUND(((SUMIFS(Calendar!$F$2:$F$9997,Calendar!$B$2:$B$9997,D3543,Calendar!$C$2:$C$9997,C3543)*INDEX(ForeCalc!$B$37:$Y$274,MATCH(_xlfn.CONCAT(H3543," ",I3543),ForeCalc!$A$37:$A$274,0),MATCH(_xlfn.CONCAT(B3543," ",E3543),ForeCalc!$B$36:$Y$36,0))))*VLOOKUP(A3543,Calendar!$A$2:$H$9997,8,FALSE),0)</f>
        <v/>
      </c>
      <c r="G3543" s="29">
        <f>VLOOKUP(A3543,Calendar!$A$1:$H$9997,6,FALSE)-F3543</f>
        <v/>
      </c>
      <c r="H3543" s="19" t="n">
        <v>1</v>
      </c>
      <c r="I3543" s="57" t="n">
        <v>9</v>
      </c>
    </row>
    <row r="3544">
      <c r="A3544" s="62" t="n">
        <v>46367</v>
      </c>
      <c r="B3544" s="3" t="inlineStr">
        <is>
          <t>Week</t>
        </is>
      </c>
      <c r="C3544" s="19" t="n">
        <v>12</v>
      </c>
      <c r="D3544" s="19" t="n">
        <v>2026</v>
      </c>
      <c r="E3544" s="57" t="n">
        <v>4</v>
      </c>
      <c r="F3544" s="29">
        <f>ROUND(((SUMIFS(Calendar!$F$2:$F$9997,Calendar!$B$2:$B$9997,D3544,Calendar!$C$2:$C$9997,C3544)*INDEX(ForeCalc!$B$37:$Y$274,MATCH(_xlfn.CONCAT(H3544," ",I3544),ForeCalc!$A$37:$A$274,0),MATCH(_xlfn.CONCAT(B3544," ",E3544),ForeCalc!$B$36:$Y$36,0))))*VLOOKUP(A3544,Calendar!$A$2:$H$9997,8,FALSE),0)</f>
        <v/>
      </c>
      <c r="G3544" s="29">
        <f>VLOOKUP(A3544,Calendar!$A$1:$H$9997,6,FALSE)-F3544</f>
        <v/>
      </c>
      <c r="H3544" s="19" t="n">
        <v>1</v>
      </c>
      <c r="I3544" s="57" t="n">
        <v>9</v>
      </c>
    </row>
    <row r="3545">
      <c r="A3545" s="62" t="n">
        <v>46368</v>
      </c>
      <c r="B3545" s="3" t="inlineStr">
        <is>
          <t>Sat</t>
        </is>
      </c>
      <c r="C3545" s="19" t="n">
        <v>12</v>
      </c>
      <c r="D3545" s="19" t="n">
        <v>2026</v>
      </c>
      <c r="E3545" s="57" t="n">
        <v>4</v>
      </c>
      <c r="F3545" s="29">
        <f>ROUND(((SUMIFS(Calendar!$F$2:$F$9997,Calendar!$B$2:$B$9997,D3545,Calendar!$C$2:$C$9997,C3545)*INDEX(ForeCalc!$B$37:$Y$274,MATCH(_xlfn.CONCAT(H3545," ",I3545),ForeCalc!$A$37:$A$274,0),MATCH(_xlfn.CONCAT(B3545," ",E3545),ForeCalc!$B$36:$Y$36,0))))*VLOOKUP(A3545,Calendar!$A$2:$H$9997,8,FALSE),0)</f>
        <v/>
      </c>
      <c r="G3545" s="29">
        <f>VLOOKUP(A3545,Calendar!$A$1:$H$9997,6,FALSE)-F3545</f>
        <v/>
      </c>
      <c r="H3545" s="19" t="n">
        <v>1</v>
      </c>
      <c r="I3545" s="57" t="n">
        <v>9</v>
      </c>
    </row>
    <row r="3546">
      <c r="A3546" s="62" t="n">
        <v>46369</v>
      </c>
      <c r="B3546" s="3" t="inlineStr">
        <is>
          <t>Sun</t>
        </is>
      </c>
      <c r="C3546" s="19" t="n">
        <v>12</v>
      </c>
      <c r="D3546" s="19" t="n">
        <v>2026</v>
      </c>
      <c r="E3546" s="57" t="n">
        <v>4</v>
      </c>
      <c r="F3546" s="29">
        <f>ROUND(((SUMIFS(Calendar!$F$2:$F$9997,Calendar!$B$2:$B$9997,D3546,Calendar!$C$2:$C$9997,C3546)*INDEX(ForeCalc!$B$37:$Y$274,MATCH(_xlfn.CONCAT(H3546," ",I3546),ForeCalc!$A$37:$A$274,0),MATCH(_xlfn.CONCAT(B3546," ",E3546),ForeCalc!$B$36:$Y$36,0))))*VLOOKUP(A3546,Calendar!$A$2:$H$9997,8,FALSE),0)</f>
        <v/>
      </c>
      <c r="G3546" s="29">
        <f>VLOOKUP(A3546,Calendar!$A$1:$H$9997,6,FALSE)-F3546</f>
        <v/>
      </c>
      <c r="H3546" s="19" t="n">
        <v>1</v>
      </c>
      <c r="I3546" s="57" t="n">
        <v>9</v>
      </c>
    </row>
    <row r="3547">
      <c r="A3547" s="62" t="n">
        <v>46370</v>
      </c>
      <c r="B3547" s="3" t="inlineStr">
        <is>
          <t>Week</t>
        </is>
      </c>
      <c r="C3547" s="19" t="n">
        <v>12</v>
      </c>
      <c r="D3547" s="19" t="n">
        <v>2026</v>
      </c>
      <c r="E3547" s="57" t="n">
        <v>4</v>
      </c>
      <c r="F3547" s="29">
        <f>ROUND(((SUMIFS(Calendar!$F$2:$F$9997,Calendar!$B$2:$B$9997,D3547,Calendar!$C$2:$C$9997,C3547)*INDEX(ForeCalc!$B$37:$Y$274,MATCH(_xlfn.CONCAT(H3547," ",I3547),ForeCalc!$A$37:$A$274,0),MATCH(_xlfn.CONCAT(B3547," ",E3547),ForeCalc!$B$36:$Y$36,0))))*VLOOKUP(A3547,Calendar!$A$2:$H$9997,8,FALSE),0)</f>
        <v/>
      </c>
      <c r="G3547" s="29">
        <f>VLOOKUP(A3547,Calendar!$A$1:$H$9997,6,FALSE)-F3547</f>
        <v/>
      </c>
      <c r="H3547" s="19" t="n">
        <v>1</v>
      </c>
      <c r="I3547" s="57" t="n">
        <v>9</v>
      </c>
    </row>
    <row r="3548">
      <c r="A3548" s="62" t="n">
        <v>46371</v>
      </c>
      <c r="B3548" s="3" t="inlineStr">
        <is>
          <t>Week</t>
        </is>
      </c>
      <c r="C3548" s="19" t="n">
        <v>12</v>
      </c>
      <c r="D3548" s="19" t="n">
        <v>2026</v>
      </c>
      <c r="E3548" s="57" t="n">
        <v>4</v>
      </c>
      <c r="F3548" s="29">
        <f>ROUND(((SUMIFS(Calendar!$F$2:$F$9997,Calendar!$B$2:$B$9997,D3548,Calendar!$C$2:$C$9997,C3548)*INDEX(ForeCalc!$B$37:$Y$274,MATCH(_xlfn.CONCAT(H3548," ",I3548),ForeCalc!$A$37:$A$274,0),MATCH(_xlfn.CONCAT(B3548," ",E3548),ForeCalc!$B$36:$Y$36,0))))*VLOOKUP(A3548,Calendar!$A$2:$H$9997,8,FALSE),0)</f>
        <v/>
      </c>
      <c r="G3548" s="29">
        <f>VLOOKUP(A3548,Calendar!$A$1:$H$9997,6,FALSE)-F3548</f>
        <v/>
      </c>
      <c r="H3548" s="19" t="n">
        <v>1</v>
      </c>
      <c r="I3548" s="57" t="n">
        <v>9</v>
      </c>
    </row>
    <row r="3549">
      <c r="A3549" s="62" t="n">
        <v>46372</v>
      </c>
      <c r="B3549" s="3" t="inlineStr">
        <is>
          <t>Week</t>
        </is>
      </c>
      <c r="C3549" s="19" t="n">
        <v>12</v>
      </c>
      <c r="D3549" s="19" t="n">
        <v>2026</v>
      </c>
      <c r="E3549" s="57" t="n">
        <v>4</v>
      </c>
      <c r="F3549" s="29">
        <f>ROUND(((SUMIFS(Calendar!$F$2:$F$9997,Calendar!$B$2:$B$9997,D3549,Calendar!$C$2:$C$9997,C3549)*INDEX(ForeCalc!$B$37:$Y$274,MATCH(_xlfn.CONCAT(H3549," ",I3549),ForeCalc!$A$37:$A$274,0),MATCH(_xlfn.CONCAT(B3549," ",E3549),ForeCalc!$B$36:$Y$36,0))))*VLOOKUP(A3549,Calendar!$A$2:$H$9997,8,FALSE),0)</f>
        <v/>
      </c>
      <c r="G3549" s="29">
        <f>VLOOKUP(A3549,Calendar!$A$1:$H$9997,6,FALSE)-F3549</f>
        <v/>
      </c>
      <c r="H3549" s="19" t="n">
        <v>1</v>
      </c>
      <c r="I3549" s="57" t="n">
        <v>9</v>
      </c>
    </row>
    <row r="3550">
      <c r="A3550" s="62" t="n">
        <v>46373</v>
      </c>
      <c r="B3550" s="3" t="inlineStr">
        <is>
          <t>Week</t>
        </is>
      </c>
      <c r="C3550" s="19" t="n">
        <v>12</v>
      </c>
      <c r="D3550" s="19" t="n">
        <v>2026</v>
      </c>
      <c r="E3550" s="57" t="n">
        <v>4</v>
      </c>
      <c r="F3550" s="29">
        <f>ROUND(((SUMIFS(Calendar!$F$2:$F$9997,Calendar!$B$2:$B$9997,D3550,Calendar!$C$2:$C$9997,C3550)*INDEX(ForeCalc!$B$37:$Y$274,MATCH(_xlfn.CONCAT(H3550," ",I3550),ForeCalc!$A$37:$A$274,0),MATCH(_xlfn.CONCAT(B3550," ",E3550),ForeCalc!$B$36:$Y$36,0))))*VLOOKUP(A3550,Calendar!$A$2:$H$9997,8,FALSE),0)</f>
        <v/>
      </c>
      <c r="G3550" s="29">
        <f>VLOOKUP(A3550,Calendar!$A$1:$H$9997,6,FALSE)-F3550</f>
        <v/>
      </c>
      <c r="H3550" s="19" t="n">
        <v>1</v>
      </c>
      <c r="I3550" s="57" t="n">
        <v>9</v>
      </c>
    </row>
    <row r="3551">
      <c r="A3551" s="62" t="n">
        <v>46374</v>
      </c>
      <c r="B3551" s="3" t="inlineStr">
        <is>
          <t>Week</t>
        </is>
      </c>
      <c r="C3551" s="19" t="n">
        <v>12</v>
      </c>
      <c r="D3551" s="19" t="n">
        <v>2026</v>
      </c>
      <c r="E3551" s="57" t="n">
        <v>4</v>
      </c>
      <c r="F3551" s="29">
        <f>ROUND(((SUMIFS(Calendar!$F$2:$F$9997,Calendar!$B$2:$B$9997,D3551,Calendar!$C$2:$C$9997,C3551)*INDEX(ForeCalc!$B$37:$Y$274,MATCH(_xlfn.CONCAT(H3551," ",I3551),ForeCalc!$A$37:$A$274,0),MATCH(_xlfn.CONCAT(B3551," ",E3551),ForeCalc!$B$36:$Y$36,0))))*VLOOKUP(A3551,Calendar!$A$2:$H$9997,8,FALSE),0)</f>
        <v/>
      </c>
      <c r="G3551" s="29">
        <f>VLOOKUP(A3551,Calendar!$A$1:$H$9997,6,FALSE)-F3551</f>
        <v/>
      </c>
      <c r="H3551" s="19" t="n">
        <v>1</v>
      </c>
      <c r="I3551" s="57" t="n">
        <v>9</v>
      </c>
    </row>
    <row r="3552">
      <c r="A3552" s="62" t="n">
        <v>46375</v>
      </c>
      <c r="B3552" s="3" t="inlineStr">
        <is>
          <t>Sat</t>
        </is>
      </c>
      <c r="C3552" s="19" t="n">
        <v>12</v>
      </c>
      <c r="D3552" s="19" t="n">
        <v>2026</v>
      </c>
      <c r="E3552" s="57" t="n">
        <v>4</v>
      </c>
      <c r="F3552" s="29">
        <f>ROUND(((SUMIFS(Calendar!$F$2:$F$9997,Calendar!$B$2:$B$9997,D3552,Calendar!$C$2:$C$9997,C3552)*INDEX(ForeCalc!$B$37:$Y$274,MATCH(_xlfn.CONCAT(H3552," ",I3552),ForeCalc!$A$37:$A$274,0),MATCH(_xlfn.CONCAT(B3552," ",E3552),ForeCalc!$B$36:$Y$36,0))))*VLOOKUP(A3552,Calendar!$A$2:$H$9997,8,FALSE),0)</f>
        <v/>
      </c>
      <c r="G3552" s="29">
        <f>VLOOKUP(A3552,Calendar!$A$1:$H$9997,6,FALSE)-F3552</f>
        <v/>
      </c>
      <c r="H3552" s="19" t="n">
        <v>1</v>
      </c>
      <c r="I3552" s="57" t="n">
        <v>9</v>
      </c>
    </row>
    <row r="3553">
      <c r="A3553" s="62" t="n">
        <v>46376</v>
      </c>
      <c r="B3553" s="3" t="inlineStr">
        <is>
          <t>Sun</t>
        </is>
      </c>
      <c r="C3553" s="19" t="n">
        <v>12</v>
      </c>
      <c r="D3553" s="19" t="n">
        <v>2026</v>
      </c>
      <c r="E3553" s="57" t="n">
        <v>4</v>
      </c>
      <c r="F3553" s="29">
        <f>ROUND(((SUMIFS(Calendar!$F$2:$F$9997,Calendar!$B$2:$B$9997,D3553,Calendar!$C$2:$C$9997,C3553)*INDEX(ForeCalc!$B$37:$Y$274,MATCH(_xlfn.CONCAT(H3553," ",I3553),ForeCalc!$A$37:$A$274,0),MATCH(_xlfn.CONCAT(B3553," ",E3553),ForeCalc!$B$36:$Y$36,0))))*VLOOKUP(A3553,Calendar!$A$2:$H$9997,8,FALSE),0)</f>
        <v/>
      </c>
      <c r="G3553" s="29">
        <f>VLOOKUP(A3553,Calendar!$A$1:$H$9997,6,FALSE)-F3553</f>
        <v/>
      </c>
      <c r="H3553" s="19" t="n">
        <v>1</v>
      </c>
      <c r="I3553" s="57" t="n">
        <v>9</v>
      </c>
    </row>
    <row r="3554">
      <c r="A3554" s="62" t="n">
        <v>46377</v>
      </c>
      <c r="B3554" s="3" t="inlineStr">
        <is>
          <t>Week</t>
        </is>
      </c>
      <c r="C3554" s="19" t="n">
        <v>12</v>
      </c>
      <c r="D3554" s="19" t="n">
        <v>2026</v>
      </c>
      <c r="E3554" s="57" t="n">
        <v>4</v>
      </c>
      <c r="F3554" s="29">
        <f>ROUND(((SUMIFS(Calendar!$F$2:$F$9997,Calendar!$B$2:$B$9997,D3554,Calendar!$C$2:$C$9997,C3554)*INDEX(ForeCalc!$B$37:$Y$274,MATCH(_xlfn.CONCAT(H3554," ",I3554),ForeCalc!$A$37:$A$274,0),MATCH(_xlfn.CONCAT(B3554," ",E3554),ForeCalc!$B$36:$Y$36,0))))*VLOOKUP(A3554,Calendar!$A$2:$H$9997,8,FALSE),0)</f>
        <v/>
      </c>
      <c r="G3554" s="29">
        <f>VLOOKUP(A3554,Calendar!$A$1:$H$9997,6,FALSE)-F3554</f>
        <v/>
      </c>
      <c r="H3554" s="19" t="n">
        <v>1</v>
      </c>
      <c r="I3554" s="57" t="n">
        <v>9</v>
      </c>
    </row>
    <row r="3555">
      <c r="A3555" s="62" t="n">
        <v>46378</v>
      </c>
      <c r="B3555" s="3" t="inlineStr">
        <is>
          <t>Week</t>
        </is>
      </c>
      <c r="C3555" s="19" t="n">
        <v>12</v>
      </c>
      <c r="D3555" s="19" t="n">
        <v>2026</v>
      </c>
      <c r="E3555" s="57" t="n">
        <v>4</v>
      </c>
      <c r="F3555" s="29">
        <f>ROUND(((SUMIFS(Calendar!$F$2:$F$9997,Calendar!$B$2:$B$9997,D3555,Calendar!$C$2:$C$9997,C3555)*INDEX(ForeCalc!$B$37:$Y$274,MATCH(_xlfn.CONCAT(H3555," ",I3555),ForeCalc!$A$37:$A$274,0),MATCH(_xlfn.CONCAT(B3555," ",E3555),ForeCalc!$B$36:$Y$36,0))))*VLOOKUP(A3555,Calendar!$A$2:$H$9997,8,FALSE),0)</f>
        <v/>
      </c>
      <c r="G3555" s="29">
        <f>VLOOKUP(A3555,Calendar!$A$1:$H$9997,6,FALSE)-F3555</f>
        <v/>
      </c>
      <c r="H3555" s="19" t="n">
        <v>1</v>
      </c>
      <c r="I3555" s="57" t="n">
        <v>9</v>
      </c>
    </row>
    <row r="3556">
      <c r="A3556" s="62" t="n">
        <v>46379</v>
      </c>
      <c r="B3556" s="3" t="inlineStr">
        <is>
          <t>Week</t>
        </is>
      </c>
      <c r="C3556" s="19" t="n">
        <v>12</v>
      </c>
      <c r="D3556" s="19" t="n">
        <v>2026</v>
      </c>
      <c r="E3556" s="57" t="n">
        <v>4</v>
      </c>
      <c r="F3556" s="29">
        <f>ROUND(((SUMIFS(Calendar!$F$2:$F$9997,Calendar!$B$2:$B$9997,D3556,Calendar!$C$2:$C$9997,C3556)*INDEX(ForeCalc!$B$37:$Y$274,MATCH(_xlfn.CONCAT(H3556," ",I3556),ForeCalc!$A$37:$A$274,0),MATCH(_xlfn.CONCAT(B3556," ",E3556),ForeCalc!$B$36:$Y$36,0))))*VLOOKUP(A3556,Calendar!$A$2:$H$9997,8,FALSE),0)</f>
        <v/>
      </c>
      <c r="G3556" s="29">
        <f>VLOOKUP(A3556,Calendar!$A$1:$H$9997,6,FALSE)-F3556</f>
        <v/>
      </c>
      <c r="H3556" s="19" t="n">
        <v>1</v>
      </c>
      <c r="I3556" s="57" t="n">
        <v>9</v>
      </c>
    </row>
    <row r="3557">
      <c r="A3557" s="62" t="n">
        <v>46380</v>
      </c>
      <c r="B3557" s="3" t="inlineStr">
        <is>
          <t>Week</t>
        </is>
      </c>
      <c r="C3557" s="19" t="n">
        <v>12</v>
      </c>
      <c r="D3557" s="19" t="n">
        <v>2026</v>
      </c>
      <c r="E3557" s="57" t="n">
        <v>4</v>
      </c>
      <c r="F3557" s="29">
        <f>ROUND(((SUMIFS(Calendar!$F$2:$F$9997,Calendar!$B$2:$B$9997,D3557,Calendar!$C$2:$C$9997,C3557)*INDEX(ForeCalc!$B$37:$Y$274,MATCH(_xlfn.CONCAT(H3557," ",I3557),ForeCalc!$A$37:$A$274,0),MATCH(_xlfn.CONCAT(B3557," ",E3557),ForeCalc!$B$36:$Y$36,0))))*VLOOKUP(A3557,Calendar!$A$2:$H$9997,8,FALSE),0)</f>
        <v/>
      </c>
      <c r="G3557" s="29">
        <f>VLOOKUP(A3557,Calendar!$A$1:$H$9997,6,FALSE)-F3557</f>
        <v/>
      </c>
      <c r="H3557" s="19" t="n">
        <v>1</v>
      </c>
      <c r="I3557" s="57" t="n">
        <v>9</v>
      </c>
    </row>
    <row r="3558">
      <c r="A3558" s="62" t="n">
        <v>46381</v>
      </c>
      <c r="B3558" s="3" t="inlineStr">
        <is>
          <t>Week</t>
        </is>
      </c>
      <c r="C3558" s="19" t="n">
        <v>12</v>
      </c>
      <c r="D3558" s="19" t="n">
        <v>2026</v>
      </c>
      <c r="E3558" s="57" t="n">
        <v>4</v>
      </c>
      <c r="F3558" s="29">
        <f>ROUND(((SUMIFS(Calendar!$F$2:$F$9997,Calendar!$B$2:$B$9997,D3558,Calendar!$C$2:$C$9997,C3558)*INDEX(ForeCalc!$B$37:$Y$274,MATCH(_xlfn.CONCAT(H3558," ",I3558),ForeCalc!$A$37:$A$274,0),MATCH(_xlfn.CONCAT(B3558," ",E3558),ForeCalc!$B$36:$Y$36,0))))*VLOOKUP(A3558,Calendar!$A$2:$H$9997,8,FALSE),0)</f>
        <v/>
      </c>
      <c r="G3558" s="29">
        <f>VLOOKUP(A3558,Calendar!$A$1:$H$9997,6,FALSE)-F3558</f>
        <v/>
      </c>
      <c r="H3558" s="19" t="n">
        <v>1</v>
      </c>
      <c r="I3558" s="57" t="n">
        <v>9</v>
      </c>
    </row>
    <row r="3559">
      <c r="A3559" s="62" t="n">
        <v>46382</v>
      </c>
      <c r="B3559" s="3" t="inlineStr">
        <is>
          <t>Sat</t>
        </is>
      </c>
      <c r="C3559" s="19" t="n">
        <v>12</v>
      </c>
      <c r="D3559" s="19" t="n">
        <v>2026</v>
      </c>
      <c r="E3559" s="57" t="n">
        <v>4</v>
      </c>
      <c r="F3559" s="29">
        <f>ROUND(((SUMIFS(Calendar!$F$2:$F$9997,Calendar!$B$2:$B$9997,D3559,Calendar!$C$2:$C$9997,C3559)*INDEX(ForeCalc!$B$37:$Y$274,MATCH(_xlfn.CONCAT(H3559," ",I3559),ForeCalc!$A$37:$A$274,0),MATCH(_xlfn.CONCAT(B3559," ",E3559),ForeCalc!$B$36:$Y$36,0))))*VLOOKUP(A3559,Calendar!$A$2:$H$9997,8,FALSE),0)</f>
        <v/>
      </c>
      <c r="G3559" s="29">
        <f>VLOOKUP(A3559,Calendar!$A$1:$H$9997,6,FALSE)-F3559</f>
        <v/>
      </c>
      <c r="H3559" s="19" t="n">
        <v>1</v>
      </c>
      <c r="I3559" s="57" t="n">
        <v>9</v>
      </c>
    </row>
    <row r="3560">
      <c r="A3560" s="62" t="n">
        <v>46383</v>
      </c>
      <c r="B3560" s="3" t="inlineStr">
        <is>
          <t>Sun</t>
        </is>
      </c>
      <c r="C3560" s="19" t="n">
        <v>12</v>
      </c>
      <c r="D3560" s="19" t="n">
        <v>2026</v>
      </c>
      <c r="E3560" s="57" t="n">
        <v>4</v>
      </c>
      <c r="F3560" s="29">
        <f>ROUND(((SUMIFS(Calendar!$F$2:$F$9997,Calendar!$B$2:$B$9997,D3560,Calendar!$C$2:$C$9997,C3560)*INDEX(ForeCalc!$B$37:$Y$274,MATCH(_xlfn.CONCAT(H3560," ",I3560),ForeCalc!$A$37:$A$274,0),MATCH(_xlfn.CONCAT(B3560," ",E3560),ForeCalc!$B$36:$Y$36,0))))*VLOOKUP(A3560,Calendar!$A$2:$H$9997,8,FALSE),0)</f>
        <v/>
      </c>
      <c r="G3560" s="29">
        <f>VLOOKUP(A3560,Calendar!$A$1:$H$9997,6,FALSE)-F3560</f>
        <v/>
      </c>
      <c r="H3560" s="19" t="n">
        <v>1</v>
      </c>
      <c r="I3560" s="57" t="n">
        <v>9</v>
      </c>
    </row>
    <row r="3561">
      <c r="A3561" s="62" t="n">
        <v>46384</v>
      </c>
      <c r="B3561" s="3" t="inlineStr">
        <is>
          <t>Week</t>
        </is>
      </c>
      <c r="C3561" s="19" t="n">
        <v>12</v>
      </c>
      <c r="D3561" s="19" t="n">
        <v>2026</v>
      </c>
      <c r="E3561" s="57" t="n">
        <v>4</v>
      </c>
      <c r="F3561" s="29">
        <f>ROUND(((SUMIFS(Calendar!$F$2:$F$9997,Calendar!$B$2:$B$9997,D3561,Calendar!$C$2:$C$9997,C3561)*INDEX(ForeCalc!$B$37:$Y$274,MATCH(_xlfn.CONCAT(H3561," ",I3561),ForeCalc!$A$37:$A$274,0),MATCH(_xlfn.CONCAT(B3561," ",E3561),ForeCalc!$B$36:$Y$36,0))))*VLOOKUP(A3561,Calendar!$A$2:$H$9997,8,FALSE),0)</f>
        <v/>
      </c>
      <c r="G3561" s="29">
        <f>VLOOKUP(A3561,Calendar!$A$1:$H$9997,6,FALSE)-F3561</f>
        <v/>
      </c>
      <c r="H3561" s="19" t="n">
        <v>1</v>
      </c>
      <c r="I3561" s="57" t="n">
        <v>9</v>
      </c>
    </row>
    <row r="3562">
      <c r="A3562" s="62" t="n">
        <v>46385</v>
      </c>
      <c r="B3562" s="3" t="inlineStr">
        <is>
          <t>Week</t>
        </is>
      </c>
      <c r="C3562" s="19" t="n">
        <v>12</v>
      </c>
      <c r="D3562" s="19" t="n">
        <v>2026</v>
      </c>
      <c r="E3562" s="57" t="n">
        <v>4</v>
      </c>
      <c r="F3562" s="29">
        <f>ROUND(((SUMIFS(Calendar!$F$2:$F$9997,Calendar!$B$2:$B$9997,D3562,Calendar!$C$2:$C$9997,C3562)*INDEX(ForeCalc!$B$37:$Y$274,MATCH(_xlfn.CONCAT(H3562," ",I3562),ForeCalc!$A$37:$A$274,0),MATCH(_xlfn.CONCAT(B3562," ",E3562),ForeCalc!$B$36:$Y$36,0))))*VLOOKUP(A3562,Calendar!$A$2:$H$9997,8,FALSE),0)</f>
        <v/>
      </c>
      <c r="G3562" s="29">
        <f>VLOOKUP(A3562,Calendar!$A$1:$H$9997,6,FALSE)-F3562</f>
        <v/>
      </c>
      <c r="H3562" s="19" t="n">
        <v>1</v>
      </c>
      <c r="I3562" s="57" t="n">
        <v>9</v>
      </c>
    </row>
    <row r="3563">
      <c r="A3563" s="62" t="n">
        <v>46386</v>
      </c>
      <c r="B3563" s="3" t="inlineStr">
        <is>
          <t>Week</t>
        </is>
      </c>
      <c r="C3563" s="19" t="n">
        <v>12</v>
      </c>
      <c r="D3563" s="19" t="n">
        <v>2026</v>
      </c>
      <c r="E3563" s="57" t="n">
        <v>4</v>
      </c>
      <c r="F3563" s="29">
        <f>ROUND(((SUMIFS(Calendar!$F$2:$F$9997,Calendar!$B$2:$B$9997,D3563,Calendar!$C$2:$C$9997,C3563)*INDEX(ForeCalc!$B$37:$Y$274,MATCH(_xlfn.CONCAT(H3563," ",I3563),ForeCalc!$A$37:$A$274,0),MATCH(_xlfn.CONCAT(B3563," ",E3563),ForeCalc!$B$36:$Y$36,0))))*VLOOKUP(A3563,Calendar!$A$2:$H$9997,8,FALSE),0)</f>
        <v/>
      </c>
      <c r="G3563" s="29">
        <f>VLOOKUP(A3563,Calendar!$A$1:$H$9997,6,FALSE)-F3563</f>
        <v/>
      </c>
      <c r="H3563" s="19" t="n">
        <v>1</v>
      </c>
      <c r="I3563" s="57" t="n">
        <v>9</v>
      </c>
    </row>
    <row r="3564">
      <c r="A3564" s="62" t="n">
        <v>46387</v>
      </c>
      <c r="B3564" s="3" t="inlineStr">
        <is>
          <t>Week</t>
        </is>
      </c>
      <c r="C3564" s="19" t="n">
        <v>12</v>
      </c>
      <c r="D3564" s="19" t="n">
        <v>2026</v>
      </c>
      <c r="E3564" s="57" t="n">
        <v>4</v>
      </c>
      <c r="F3564" s="29">
        <f>ROUND(((SUMIFS(Calendar!$F$2:$F$9997,Calendar!$B$2:$B$9997,D3564,Calendar!$C$2:$C$9997,C3564)*INDEX(ForeCalc!$B$37:$Y$274,MATCH(_xlfn.CONCAT(H3564," ",I3564),ForeCalc!$A$37:$A$274,0),MATCH(_xlfn.CONCAT(B3564," ",E3564),ForeCalc!$B$36:$Y$36,0))))*VLOOKUP(A3564,Calendar!$A$2:$H$9997,8,FALSE),0)</f>
        <v/>
      </c>
      <c r="G3564" s="29">
        <f>VLOOKUP(A3564,Calendar!$A$1:$H$9997,6,FALSE)-F3564</f>
        <v/>
      </c>
      <c r="H3564" s="19" t="n">
        <v>1</v>
      </c>
      <c r="I3564" s="57" t="n">
        <v>9</v>
      </c>
    </row>
    <row r="3565">
      <c r="A3565" s="62" t="n">
        <v>46388</v>
      </c>
      <c r="B3565" s="3" t="inlineStr">
        <is>
          <t>Week</t>
        </is>
      </c>
      <c r="C3565" s="19" t="n">
        <v>1</v>
      </c>
      <c r="D3565" s="19" t="n">
        <v>2027</v>
      </c>
      <c r="E3565" s="57" t="n">
        <v>4</v>
      </c>
      <c r="F3565" s="29">
        <f>ROUND(((SUMIFS(Calendar!$F$2:$F$9997,Calendar!$B$2:$B$9997,D3565,Calendar!$C$2:$C$9997,C3565)*INDEX(ForeCalc!$B$37:$Y$274,MATCH(_xlfn.CONCAT(H3565," ",I3565),ForeCalc!$A$37:$A$274,0),MATCH(_xlfn.CONCAT(B3565," ",E3565),ForeCalc!$B$36:$Y$36,0))))*VLOOKUP(A3565,Calendar!$A$2:$H$9997,8,FALSE),0)</f>
        <v/>
      </c>
      <c r="G3565" s="29">
        <f>VLOOKUP(A3565,Calendar!$A$1:$H$9997,6,FALSE)-F3565</f>
        <v/>
      </c>
      <c r="H3565" s="19" t="n">
        <v>1</v>
      </c>
      <c r="I3565" s="57" t="n">
        <v>10</v>
      </c>
    </row>
    <row r="3566">
      <c r="A3566" s="62" t="n">
        <v>46389</v>
      </c>
      <c r="B3566" s="3" t="inlineStr">
        <is>
          <t>Sat</t>
        </is>
      </c>
      <c r="C3566" s="19" t="n">
        <v>1</v>
      </c>
      <c r="D3566" s="19" t="n">
        <v>2027</v>
      </c>
      <c r="E3566" s="57" t="n">
        <v>4</v>
      </c>
      <c r="F3566" s="29">
        <f>ROUND(((SUMIFS(Calendar!$F$2:$F$9997,Calendar!$B$2:$B$9997,D3566,Calendar!$C$2:$C$9997,C3566)*INDEX(ForeCalc!$B$37:$Y$274,MATCH(_xlfn.CONCAT(H3566," ",I3566),ForeCalc!$A$37:$A$274,0),MATCH(_xlfn.CONCAT(B3566," ",E3566),ForeCalc!$B$36:$Y$36,0))))*VLOOKUP(A3566,Calendar!$A$2:$H$9997,8,FALSE),0)</f>
        <v/>
      </c>
      <c r="G3566" s="29">
        <f>VLOOKUP(A3566,Calendar!$A$1:$H$9997,6,FALSE)-F3566</f>
        <v/>
      </c>
      <c r="H3566" s="19" t="n">
        <v>1</v>
      </c>
      <c r="I3566" s="57" t="n">
        <v>10</v>
      </c>
    </row>
    <row r="3567">
      <c r="A3567" s="62" t="n">
        <v>46390</v>
      </c>
      <c r="B3567" s="3" t="inlineStr">
        <is>
          <t>Sun</t>
        </is>
      </c>
      <c r="C3567" s="19" t="n">
        <v>1</v>
      </c>
      <c r="D3567" s="19" t="n">
        <v>2027</v>
      </c>
      <c r="E3567" s="57" t="n">
        <v>4</v>
      </c>
      <c r="F3567" s="29">
        <f>ROUND(((SUMIFS(Calendar!$F$2:$F$9997,Calendar!$B$2:$B$9997,D3567,Calendar!$C$2:$C$9997,C3567)*INDEX(ForeCalc!$B$37:$Y$274,MATCH(_xlfn.CONCAT(H3567," ",I3567),ForeCalc!$A$37:$A$274,0),MATCH(_xlfn.CONCAT(B3567," ",E3567),ForeCalc!$B$36:$Y$36,0))))*VLOOKUP(A3567,Calendar!$A$2:$H$9997,8,FALSE),0)</f>
        <v/>
      </c>
      <c r="G3567" s="29">
        <f>VLOOKUP(A3567,Calendar!$A$1:$H$9997,6,FALSE)-F3567</f>
        <v/>
      </c>
      <c r="H3567" s="19" t="n">
        <v>1</v>
      </c>
      <c r="I3567" s="57" t="n">
        <v>10</v>
      </c>
    </row>
    <row r="3568">
      <c r="A3568" s="62" t="n">
        <v>46391</v>
      </c>
      <c r="B3568" s="3" t="inlineStr">
        <is>
          <t>Week</t>
        </is>
      </c>
      <c r="C3568" s="19" t="n">
        <v>1</v>
      </c>
      <c r="D3568" s="19" t="n">
        <v>2027</v>
      </c>
      <c r="E3568" s="57" t="n">
        <v>4</v>
      </c>
      <c r="F3568" s="29">
        <f>ROUND(((SUMIFS(Calendar!$F$2:$F$9997,Calendar!$B$2:$B$9997,D3568,Calendar!$C$2:$C$9997,C3568)*INDEX(ForeCalc!$B$37:$Y$274,MATCH(_xlfn.CONCAT(H3568," ",I3568),ForeCalc!$A$37:$A$274,0),MATCH(_xlfn.CONCAT(B3568," ",E3568),ForeCalc!$B$36:$Y$36,0))))*VLOOKUP(A3568,Calendar!$A$2:$H$9997,8,FALSE),0)</f>
        <v/>
      </c>
      <c r="G3568" s="29">
        <f>VLOOKUP(A3568,Calendar!$A$1:$H$9997,6,FALSE)-F3568</f>
        <v/>
      </c>
      <c r="H3568" s="19" t="n">
        <v>1</v>
      </c>
      <c r="I3568" s="57" t="n">
        <v>10</v>
      </c>
    </row>
    <row r="3569">
      <c r="A3569" s="62" t="n">
        <v>46392</v>
      </c>
      <c r="B3569" s="3" t="inlineStr">
        <is>
          <t>Week</t>
        </is>
      </c>
      <c r="C3569" s="19" t="n">
        <v>1</v>
      </c>
      <c r="D3569" s="19" t="n">
        <v>2027</v>
      </c>
      <c r="E3569" s="57" t="n">
        <v>4</v>
      </c>
      <c r="F3569" s="29">
        <f>ROUND(((SUMIFS(Calendar!$F$2:$F$9997,Calendar!$B$2:$B$9997,D3569,Calendar!$C$2:$C$9997,C3569)*INDEX(ForeCalc!$B$37:$Y$274,MATCH(_xlfn.CONCAT(H3569," ",I3569),ForeCalc!$A$37:$A$274,0),MATCH(_xlfn.CONCAT(B3569," ",E3569),ForeCalc!$B$36:$Y$36,0))))*VLOOKUP(A3569,Calendar!$A$2:$H$9997,8,FALSE),0)</f>
        <v/>
      </c>
      <c r="G3569" s="29">
        <f>VLOOKUP(A3569,Calendar!$A$1:$H$9997,6,FALSE)-F3569</f>
        <v/>
      </c>
      <c r="H3569" s="19" t="n">
        <v>1</v>
      </c>
      <c r="I3569" s="57" t="n">
        <v>10</v>
      </c>
    </row>
    <row r="3570">
      <c r="A3570" s="62" t="n">
        <v>46393</v>
      </c>
      <c r="B3570" s="3" t="inlineStr">
        <is>
          <t>Week</t>
        </is>
      </c>
      <c r="C3570" s="19" t="n">
        <v>1</v>
      </c>
      <c r="D3570" s="19" t="n">
        <v>2027</v>
      </c>
      <c r="E3570" s="57" t="n">
        <v>4</v>
      </c>
      <c r="F3570" s="29">
        <f>ROUND(((SUMIFS(Calendar!$F$2:$F$9997,Calendar!$B$2:$B$9997,D3570,Calendar!$C$2:$C$9997,C3570)*INDEX(ForeCalc!$B$37:$Y$274,MATCH(_xlfn.CONCAT(H3570," ",I3570),ForeCalc!$A$37:$A$274,0),MATCH(_xlfn.CONCAT(B3570," ",E3570),ForeCalc!$B$36:$Y$36,0))))*VLOOKUP(A3570,Calendar!$A$2:$H$9997,8,FALSE),0)</f>
        <v/>
      </c>
      <c r="G3570" s="29">
        <f>VLOOKUP(A3570,Calendar!$A$1:$H$9997,6,FALSE)-F3570</f>
        <v/>
      </c>
      <c r="H3570" s="19" t="n">
        <v>1</v>
      </c>
      <c r="I3570" s="57" t="n">
        <v>10</v>
      </c>
    </row>
    <row r="3571">
      <c r="A3571" s="62" t="n">
        <v>46394</v>
      </c>
      <c r="B3571" s="3" t="inlineStr">
        <is>
          <t>Week</t>
        </is>
      </c>
      <c r="C3571" s="19" t="n">
        <v>1</v>
      </c>
      <c r="D3571" s="19" t="n">
        <v>2027</v>
      </c>
      <c r="E3571" s="57" t="n">
        <v>4</v>
      </c>
      <c r="F3571" s="29">
        <f>ROUND(((SUMIFS(Calendar!$F$2:$F$9997,Calendar!$B$2:$B$9997,D3571,Calendar!$C$2:$C$9997,C3571)*INDEX(ForeCalc!$B$37:$Y$274,MATCH(_xlfn.CONCAT(H3571," ",I3571),ForeCalc!$A$37:$A$274,0),MATCH(_xlfn.CONCAT(B3571," ",E3571),ForeCalc!$B$36:$Y$36,0))))*VLOOKUP(A3571,Calendar!$A$2:$H$9997,8,FALSE),0)</f>
        <v/>
      </c>
      <c r="G3571" s="29">
        <f>VLOOKUP(A3571,Calendar!$A$1:$H$9997,6,FALSE)-F3571</f>
        <v/>
      </c>
      <c r="H3571" s="19" t="n">
        <v>1</v>
      </c>
      <c r="I3571" s="57" t="n">
        <v>10</v>
      </c>
    </row>
    <row r="3572">
      <c r="A3572" s="62" t="n">
        <v>46395</v>
      </c>
      <c r="B3572" s="3" t="inlineStr">
        <is>
          <t>Week</t>
        </is>
      </c>
      <c r="C3572" s="19" t="n">
        <v>1</v>
      </c>
      <c r="D3572" s="19" t="n">
        <v>2027</v>
      </c>
      <c r="E3572" s="57" t="n">
        <v>4</v>
      </c>
      <c r="F3572" s="29">
        <f>ROUND(((SUMIFS(Calendar!$F$2:$F$9997,Calendar!$B$2:$B$9997,D3572,Calendar!$C$2:$C$9997,C3572)*INDEX(ForeCalc!$B$37:$Y$274,MATCH(_xlfn.CONCAT(H3572," ",I3572),ForeCalc!$A$37:$A$274,0),MATCH(_xlfn.CONCAT(B3572," ",E3572),ForeCalc!$B$36:$Y$36,0))))*VLOOKUP(A3572,Calendar!$A$2:$H$9997,8,FALSE),0)</f>
        <v/>
      </c>
      <c r="G3572" s="29">
        <f>VLOOKUP(A3572,Calendar!$A$1:$H$9997,6,FALSE)-F3572</f>
        <v/>
      </c>
      <c r="H3572" s="19" t="n">
        <v>1</v>
      </c>
      <c r="I3572" s="57" t="n">
        <v>10</v>
      </c>
    </row>
    <row r="3573">
      <c r="A3573" s="62" t="n">
        <v>46396</v>
      </c>
      <c r="B3573" s="3" t="inlineStr">
        <is>
          <t>Sat</t>
        </is>
      </c>
      <c r="C3573" s="19" t="n">
        <v>1</v>
      </c>
      <c r="D3573" s="19" t="n">
        <v>2027</v>
      </c>
      <c r="E3573" s="57" t="n">
        <v>4</v>
      </c>
      <c r="F3573" s="29">
        <f>ROUND(((SUMIFS(Calendar!$F$2:$F$9997,Calendar!$B$2:$B$9997,D3573,Calendar!$C$2:$C$9997,C3573)*INDEX(ForeCalc!$B$37:$Y$274,MATCH(_xlfn.CONCAT(H3573," ",I3573),ForeCalc!$A$37:$A$274,0),MATCH(_xlfn.CONCAT(B3573," ",E3573),ForeCalc!$B$36:$Y$36,0))))*VLOOKUP(A3573,Calendar!$A$2:$H$9997,8,FALSE),0)</f>
        <v/>
      </c>
      <c r="G3573" s="29">
        <f>VLOOKUP(A3573,Calendar!$A$1:$H$9997,6,FALSE)-F3573</f>
        <v/>
      </c>
      <c r="H3573" s="19" t="n">
        <v>1</v>
      </c>
      <c r="I3573" s="57" t="n">
        <v>10</v>
      </c>
    </row>
    <row r="3574">
      <c r="A3574" s="62" t="n">
        <v>46397</v>
      </c>
      <c r="B3574" s="3" t="inlineStr">
        <is>
          <t>Sun</t>
        </is>
      </c>
      <c r="C3574" s="19" t="n">
        <v>1</v>
      </c>
      <c r="D3574" s="19" t="n">
        <v>2027</v>
      </c>
      <c r="E3574" s="57" t="n">
        <v>4</v>
      </c>
      <c r="F3574" s="29">
        <f>ROUND(((SUMIFS(Calendar!$F$2:$F$9997,Calendar!$B$2:$B$9997,D3574,Calendar!$C$2:$C$9997,C3574)*INDEX(ForeCalc!$B$37:$Y$274,MATCH(_xlfn.CONCAT(H3574," ",I3574),ForeCalc!$A$37:$A$274,0),MATCH(_xlfn.CONCAT(B3574," ",E3574),ForeCalc!$B$36:$Y$36,0))))*VLOOKUP(A3574,Calendar!$A$2:$H$9997,8,FALSE),0)</f>
        <v/>
      </c>
      <c r="G3574" s="29">
        <f>VLOOKUP(A3574,Calendar!$A$1:$H$9997,6,FALSE)-F3574</f>
        <v/>
      </c>
      <c r="H3574" s="19" t="n">
        <v>1</v>
      </c>
      <c r="I3574" s="57" t="n">
        <v>10</v>
      </c>
    </row>
    <row r="3575">
      <c r="A3575" s="62" t="n">
        <v>46398</v>
      </c>
      <c r="B3575" s="3" t="inlineStr">
        <is>
          <t>Week</t>
        </is>
      </c>
      <c r="C3575" s="19" t="n">
        <v>1</v>
      </c>
      <c r="D3575" s="19" t="n">
        <v>2027</v>
      </c>
      <c r="E3575" s="57" t="n">
        <v>4</v>
      </c>
      <c r="F3575" s="29">
        <f>ROUND(((SUMIFS(Calendar!$F$2:$F$9997,Calendar!$B$2:$B$9997,D3575,Calendar!$C$2:$C$9997,C3575)*INDEX(ForeCalc!$B$37:$Y$274,MATCH(_xlfn.CONCAT(H3575," ",I3575),ForeCalc!$A$37:$A$274,0),MATCH(_xlfn.CONCAT(B3575," ",E3575),ForeCalc!$B$36:$Y$36,0))))*VLOOKUP(A3575,Calendar!$A$2:$H$9997,8,FALSE),0)</f>
        <v/>
      </c>
      <c r="G3575" s="29">
        <f>VLOOKUP(A3575,Calendar!$A$1:$H$9997,6,FALSE)-F3575</f>
        <v/>
      </c>
      <c r="H3575" s="19" t="n">
        <v>1</v>
      </c>
      <c r="I3575" s="57" t="n">
        <v>10</v>
      </c>
    </row>
    <row r="3576">
      <c r="A3576" s="62" t="n">
        <v>46399</v>
      </c>
      <c r="B3576" s="3" t="inlineStr">
        <is>
          <t>Week</t>
        </is>
      </c>
      <c r="C3576" s="19" t="n">
        <v>1</v>
      </c>
      <c r="D3576" s="19" t="n">
        <v>2027</v>
      </c>
      <c r="E3576" s="57" t="n">
        <v>4</v>
      </c>
      <c r="F3576" s="29">
        <f>ROUND(((SUMIFS(Calendar!$F$2:$F$9997,Calendar!$B$2:$B$9997,D3576,Calendar!$C$2:$C$9997,C3576)*INDEX(ForeCalc!$B$37:$Y$274,MATCH(_xlfn.CONCAT(H3576," ",I3576),ForeCalc!$A$37:$A$274,0),MATCH(_xlfn.CONCAT(B3576," ",E3576),ForeCalc!$B$36:$Y$36,0))))*VLOOKUP(A3576,Calendar!$A$2:$H$9997,8,FALSE),0)</f>
        <v/>
      </c>
      <c r="G3576" s="29">
        <f>VLOOKUP(A3576,Calendar!$A$1:$H$9997,6,FALSE)-F3576</f>
        <v/>
      </c>
      <c r="H3576" s="19" t="n">
        <v>1</v>
      </c>
      <c r="I3576" s="57" t="n">
        <v>10</v>
      </c>
    </row>
    <row r="3577">
      <c r="A3577" s="62" t="n">
        <v>46400</v>
      </c>
      <c r="B3577" s="3" t="inlineStr">
        <is>
          <t>Week</t>
        </is>
      </c>
      <c r="C3577" s="19" t="n">
        <v>1</v>
      </c>
      <c r="D3577" s="19" t="n">
        <v>2027</v>
      </c>
      <c r="E3577" s="57" t="n">
        <v>4</v>
      </c>
      <c r="F3577" s="29">
        <f>ROUND(((SUMIFS(Calendar!$F$2:$F$9997,Calendar!$B$2:$B$9997,D3577,Calendar!$C$2:$C$9997,C3577)*INDEX(ForeCalc!$B$37:$Y$274,MATCH(_xlfn.CONCAT(H3577," ",I3577),ForeCalc!$A$37:$A$274,0),MATCH(_xlfn.CONCAT(B3577," ",E3577),ForeCalc!$B$36:$Y$36,0))))*VLOOKUP(A3577,Calendar!$A$2:$H$9997,8,FALSE),0)</f>
        <v/>
      </c>
      <c r="G3577" s="29">
        <f>VLOOKUP(A3577,Calendar!$A$1:$H$9997,6,FALSE)-F3577</f>
        <v/>
      </c>
      <c r="H3577" s="19" t="n">
        <v>1</v>
      </c>
      <c r="I3577" s="57" t="n">
        <v>10</v>
      </c>
    </row>
    <row r="3578">
      <c r="A3578" s="62" t="n">
        <v>46401</v>
      </c>
      <c r="B3578" s="3" t="inlineStr">
        <is>
          <t>Week</t>
        </is>
      </c>
      <c r="C3578" s="19" t="n">
        <v>1</v>
      </c>
      <c r="D3578" s="19" t="n">
        <v>2027</v>
      </c>
      <c r="E3578" s="57" t="n">
        <v>4</v>
      </c>
      <c r="F3578" s="29">
        <f>ROUND(((SUMIFS(Calendar!$F$2:$F$9997,Calendar!$B$2:$B$9997,D3578,Calendar!$C$2:$C$9997,C3578)*INDEX(ForeCalc!$B$37:$Y$274,MATCH(_xlfn.CONCAT(H3578," ",I3578),ForeCalc!$A$37:$A$274,0),MATCH(_xlfn.CONCAT(B3578," ",E3578),ForeCalc!$B$36:$Y$36,0))))*VLOOKUP(A3578,Calendar!$A$2:$H$9997,8,FALSE),0)</f>
        <v/>
      </c>
      <c r="G3578" s="29">
        <f>VLOOKUP(A3578,Calendar!$A$1:$H$9997,6,FALSE)-F3578</f>
        <v/>
      </c>
      <c r="H3578" s="19" t="n">
        <v>1</v>
      </c>
      <c r="I3578" s="57" t="n">
        <v>10</v>
      </c>
    </row>
    <row r="3579">
      <c r="A3579" s="62" t="n">
        <v>46402</v>
      </c>
      <c r="B3579" s="3" t="inlineStr">
        <is>
          <t>Week</t>
        </is>
      </c>
      <c r="C3579" s="19" t="n">
        <v>1</v>
      </c>
      <c r="D3579" s="19" t="n">
        <v>2027</v>
      </c>
      <c r="E3579" s="57" t="n">
        <v>4</v>
      </c>
      <c r="F3579" s="29">
        <f>ROUND(((SUMIFS(Calendar!$F$2:$F$9997,Calendar!$B$2:$B$9997,D3579,Calendar!$C$2:$C$9997,C3579)*INDEX(ForeCalc!$B$37:$Y$274,MATCH(_xlfn.CONCAT(H3579," ",I3579),ForeCalc!$A$37:$A$274,0),MATCH(_xlfn.CONCAT(B3579," ",E3579),ForeCalc!$B$36:$Y$36,0))))*VLOOKUP(A3579,Calendar!$A$2:$H$9997,8,FALSE),0)</f>
        <v/>
      </c>
      <c r="G3579" s="29">
        <f>VLOOKUP(A3579,Calendar!$A$1:$H$9997,6,FALSE)-F3579</f>
        <v/>
      </c>
      <c r="H3579" s="19" t="n">
        <v>1</v>
      </c>
      <c r="I3579" s="57" t="n">
        <v>10</v>
      </c>
    </row>
    <row r="3580">
      <c r="A3580" s="62" t="n">
        <v>46403</v>
      </c>
      <c r="B3580" s="3" t="inlineStr">
        <is>
          <t>Sat</t>
        </is>
      </c>
      <c r="C3580" s="19" t="n">
        <v>1</v>
      </c>
      <c r="D3580" s="19" t="n">
        <v>2027</v>
      </c>
      <c r="E3580" s="57" t="n">
        <v>4</v>
      </c>
      <c r="F3580" s="29">
        <f>ROUND(((SUMIFS(Calendar!$F$2:$F$9997,Calendar!$B$2:$B$9997,D3580,Calendar!$C$2:$C$9997,C3580)*INDEX(ForeCalc!$B$37:$Y$274,MATCH(_xlfn.CONCAT(H3580," ",I3580),ForeCalc!$A$37:$A$274,0),MATCH(_xlfn.CONCAT(B3580," ",E3580),ForeCalc!$B$36:$Y$36,0))))*VLOOKUP(A3580,Calendar!$A$2:$H$9997,8,FALSE),0)</f>
        <v/>
      </c>
      <c r="G3580" s="29">
        <f>VLOOKUP(A3580,Calendar!$A$1:$H$9997,6,FALSE)-F3580</f>
        <v/>
      </c>
      <c r="H3580" s="19" t="n">
        <v>1</v>
      </c>
      <c r="I3580" s="57" t="n">
        <v>10</v>
      </c>
    </row>
    <row r="3581">
      <c r="A3581" s="62" t="n">
        <v>46404</v>
      </c>
      <c r="B3581" s="3" t="inlineStr">
        <is>
          <t>Sun</t>
        </is>
      </c>
      <c r="C3581" s="19" t="n">
        <v>1</v>
      </c>
      <c r="D3581" s="19" t="n">
        <v>2027</v>
      </c>
      <c r="E3581" s="57" t="n">
        <v>4</v>
      </c>
      <c r="F3581" s="29">
        <f>ROUND(((SUMIFS(Calendar!$F$2:$F$9997,Calendar!$B$2:$B$9997,D3581,Calendar!$C$2:$C$9997,C3581)*INDEX(ForeCalc!$B$37:$Y$274,MATCH(_xlfn.CONCAT(H3581," ",I3581),ForeCalc!$A$37:$A$274,0),MATCH(_xlfn.CONCAT(B3581," ",E3581),ForeCalc!$B$36:$Y$36,0))))*VLOOKUP(A3581,Calendar!$A$2:$H$9997,8,FALSE),0)</f>
        <v/>
      </c>
      <c r="G3581" s="29">
        <f>VLOOKUP(A3581,Calendar!$A$1:$H$9997,6,FALSE)-F3581</f>
        <v/>
      </c>
      <c r="H3581" s="19" t="n">
        <v>1</v>
      </c>
      <c r="I3581" s="57" t="n">
        <v>10</v>
      </c>
    </row>
    <row r="3582">
      <c r="A3582" s="62" t="n">
        <v>46405</v>
      </c>
      <c r="B3582" s="3" t="inlineStr">
        <is>
          <t>Week</t>
        </is>
      </c>
      <c r="C3582" s="19" t="n">
        <v>1</v>
      </c>
      <c r="D3582" s="19" t="n">
        <v>2027</v>
      </c>
      <c r="E3582" s="57" t="n">
        <v>4</v>
      </c>
      <c r="F3582" s="29">
        <f>ROUND(((SUMIFS(Calendar!$F$2:$F$9997,Calendar!$B$2:$B$9997,D3582,Calendar!$C$2:$C$9997,C3582)*INDEX(ForeCalc!$B$37:$Y$274,MATCH(_xlfn.CONCAT(H3582," ",I3582),ForeCalc!$A$37:$A$274,0),MATCH(_xlfn.CONCAT(B3582," ",E3582),ForeCalc!$B$36:$Y$36,0))))*VLOOKUP(A3582,Calendar!$A$2:$H$9997,8,FALSE),0)</f>
        <v/>
      </c>
      <c r="G3582" s="29">
        <f>VLOOKUP(A3582,Calendar!$A$1:$H$9997,6,FALSE)-F3582</f>
        <v/>
      </c>
      <c r="H3582" s="19" t="n">
        <v>1</v>
      </c>
      <c r="I3582" s="57" t="n">
        <v>10</v>
      </c>
    </row>
    <row r="3583">
      <c r="A3583" s="62" t="n">
        <v>46406</v>
      </c>
      <c r="B3583" s="3" t="inlineStr">
        <is>
          <t>Week</t>
        </is>
      </c>
      <c r="C3583" s="19" t="n">
        <v>1</v>
      </c>
      <c r="D3583" s="19" t="n">
        <v>2027</v>
      </c>
      <c r="E3583" s="57" t="n">
        <v>4</v>
      </c>
      <c r="F3583" s="29">
        <f>ROUND(((SUMIFS(Calendar!$F$2:$F$9997,Calendar!$B$2:$B$9997,D3583,Calendar!$C$2:$C$9997,C3583)*INDEX(ForeCalc!$B$37:$Y$274,MATCH(_xlfn.CONCAT(H3583," ",I3583),ForeCalc!$A$37:$A$274,0),MATCH(_xlfn.CONCAT(B3583," ",E3583),ForeCalc!$B$36:$Y$36,0))))*VLOOKUP(A3583,Calendar!$A$2:$H$9997,8,FALSE),0)</f>
        <v/>
      </c>
      <c r="G3583" s="29">
        <f>VLOOKUP(A3583,Calendar!$A$1:$H$9997,6,FALSE)-F3583</f>
        <v/>
      </c>
      <c r="H3583" s="19" t="n">
        <v>1</v>
      </c>
      <c r="I3583" s="57" t="n">
        <v>10</v>
      </c>
    </row>
    <row r="3584">
      <c r="A3584" s="62" t="n">
        <v>46407</v>
      </c>
      <c r="B3584" s="3" t="inlineStr">
        <is>
          <t>Week</t>
        </is>
      </c>
      <c r="C3584" s="19" t="n">
        <v>1</v>
      </c>
      <c r="D3584" s="19" t="n">
        <v>2027</v>
      </c>
      <c r="E3584" s="57" t="n">
        <v>4</v>
      </c>
      <c r="F3584" s="29">
        <f>ROUND(((SUMIFS(Calendar!$F$2:$F$9997,Calendar!$B$2:$B$9997,D3584,Calendar!$C$2:$C$9997,C3584)*INDEX(ForeCalc!$B$37:$Y$274,MATCH(_xlfn.CONCAT(H3584," ",I3584),ForeCalc!$A$37:$A$274,0),MATCH(_xlfn.CONCAT(B3584," ",E3584),ForeCalc!$B$36:$Y$36,0))))*VLOOKUP(A3584,Calendar!$A$2:$H$9997,8,FALSE),0)</f>
        <v/>
      </c>
      <c r="G3584" s="29">
        <f>VLOOKUP(A3584,Calendar!$A$1:$H$9997,6,FALSE)-F3584</f>
        <v/>
      </c>
      <c r="H3584" s="19" t="n">
        <v>1</v>
      </c>
      <c r="I3584" s="57" t="n">
        <v>10</v>
      </c>
    </row>
    <row r="3585">
      <c r="A3585" s="62" t="n">
        <v>46408</v>
      </c>
      <c r="B3585" s="3" t="inlineStr">
        <is>
          <t>Week</t>
        </is>
      </c>
      <c r="C3585" s="19" t="n">
        <v>1</v>
      </c>
      <c r="D3585" s="19" t="n">
        <v>2027</v>
      </c>
      <c r="E3585" s="57" t="n">
        <v>4</v>
      </c>
      <c r="F3585" s="29">
        <f>ROUND(((SUMIFS(Calendar!$F$2:$F$9997,Calendar!$B$2:$B$9997,D3585,Calendar!$C$2:$C$9997,C3585)*INDEX(ForeCalc!$B$37:$Y$274,MATCH(_xlfn.CONCAT(H3585," ",I3585),ForeCalc!$A$37:$A$274,0),MATCH(_xlfn.CONCAT(B3585," ",E3585),ForeCalc!$B$36:$Y$36,0))))*VLOOKUP(A3585,Calendar!$A$2:$H$9997,8,FALSE),0)</f>
        <v/>
      </c>
      <c r="G3585" s="29">
        <f>VLOOKUP(A3585,Calendar!$A$1:$H$9997,6,FALSE)-F3585</f>
        <v/>
      </c>
      <c r="H3585" s="19" t="n">
        <v>1</v>
      </c>
      <c r="I3585" s="57" t="n">
        <v>10</v>
      </c>
    </row>
    <row r="3586">
      <c r="A3586" s="62" t="n">
        <v>46409</v>
      </c>
      <c r="B3586" s="3" t="inlineStr">
        <is>
          <t>Week</t>
        </is>
      </c>
      <c r="C3586" s="19" t="n">
        <v>1</v>
      </c>
      <c r="D3586" s="19" t="n">
        <v>2027</v>
      </c>
      <c r="E3586" s="57" t="n">
        <v>4</v>
      </c>
      <c r="F3586" s="29">
        <f>ROUND(((SUMIFS(Calendar!$F$2:$F$9997,Calendar!$B$2:$B$9997,D3586,Calendar!$C$2:$C$9997,C3586)*INDEX(ForeCalc!$B$37:$Y$274,MATCH(_xlfn.CONCAT(H3586," ",I3586),ForeCalc!$A$37:$A$274,0),MATCH(_xlfn.CONCAT(B3586," ",E3586),ForeCalc!$B$36:$Y$36,0))))*VLOOKUP(A3586,Calendar!$A$2:$H$9997,8,FALSE),0)</f>
        <v/>
      </c>
      <c r="G3586" s="29">
        <f>VLOOKUP(A3586,Calendar!$A$1:$H$9997,6,FALSE)-F3586</f>
        <v/>
      </c>
      <c r="H3586" s="19" t="n">
        <v>1</v>
      </c>
      <c r="I3586" s="57" t="n">
        <v>10</v>
      </c>
    </row>
    <row r="3587">
      <c r="A3587" s="62" t="n">
        <v>46410</v>
      </c>
      <c r="B3587" s="3" t="inlineStr">
        <is>
          <t>Sat</t>
        </is>
      </c>
      <c r="C3587" s="19" t="n">
        <v>1</v>
      </c>
      <c r="D3587" s="19" t="n">
        <v>2027</v>
      </c>
      <c r="E3587" s="57" t="n">
        <v>4</v>
      </c>
      <c r="F3587" s="29">
        <f>ROUND(((SUMIFS(Calendar!$F$2:$F$9997,Calendar!$B$2:$B$9997,D3587,Calendar!$C$2:$C$9997,C3587)*INDEX(ForeCalc!$B$37:$Y$274,MATCH(_xlfn.CONCAT(H3587," ",I3587),ForeCalc!$A$37:$A$274,0),MATCH(_xlfn.CONCAT(B3587," ",E3587),ForeCalc!$B$36:$Y$36,0))))*VLOOKUP(A3587,Calendar!$A$2:$H$9997,8,FALSE),0)</f>
        <v/>
      </c>
      <c r="G3587" s="29">
        <f>VLOOKUP(A3587,Calendar!$A$1:$H$9997,6,FALSE)-F3587</f>
        <v/>
      </c>
      <c r="H3587" s="19" t="n">
        <v>1</v>
      </c>
      <c r="I3587" s="57" t="n">
        <v>10</v>
      </c>
    </row>
    <row r="3588">
      <c r="A3588" s="62" t="n">
        <v>46411</v>
      </c>
      <c r="B3588" s="3" t="inlineStr">
        <is>
          <t>Sun</t>
        </is>
      </c>
      <c r="C3588" s="19" t="n">
        <v>1</v>
      </c>
      <c r="D3588" s="19" t="n">
        <v>2027</v>
      </c>
      <c r="E3588" s="57" t="n">
        <v>4</v>
      </c>
      <c r="F3588" s="29">
        <f>ROUND(((SUMIFS(Calendar!$F$2:$F$9997,Calendar!$B$2:$B$9997,D3588,Calendar!$C$2:$C$9997,C3588)*INDEX(ForeCalc!$B$37:$Y$274,MATCH(_xlfn.CONCAT(H3588," ",I3588),ForeCalc!$A$37:$A$274,0),MATCH(_xlfn.CONCAT(B3588," ",E3588),ForeCalc!$B$36:$Y$36,0))))*VLOOKUP(A3588,Calendar!$A$2:$H$9997,8,FALSE),0)</f>
        <v/>
      </c>
      <c r="G3588" s="29">
        <f>VLOOKUP(A3588,Calendar!$A$1:$H$9997,6,FALSE)-F3588</f>
        <v/>
      </c>
      <c r="H3588" s="19" t="n">
        <v>1</v>
      </c>
      <c r="I3588" s="57" t="n">
        <v>10</v>
      </c>
    </row>
    <row r="3589">
      <c r="A3589" s="62" t="n">
        <v>46412</v>
      </c>
      <c r="B3589" s="3" t="inlineStr">
        <is>
          <t>Week</t>
        </is>
      </c>
      <c r="C3589" s="19" t="n">
        <v>1</v>
      </c>
      <c r="D3589" s="19" t="n">
        <v>2027</v>
      </c>
      <c r="E3589" s="57" t="n">
        <v>4</v>
      </c>
      <c r="F3589" s="29">
        <f>ROUND(((SUMIFS(Calendar!$F$2:$F$9997,Calendar!$B$2:$B$9997,D3589,Calendar!$C$2:$C$9997,C3589)*INDEX(ForeCalc!$B$37:$Y$274,MATCH(_xlfn.CONCAT(H3589," ",I3589),ForeCalc!$A$37:$A$274,0),MATCH(_xlfn.CONCAT(B3589," ",E3589),ForeCalc!$B$36:$Y$36,0))))*VLOOKUP(A3589,Calendar!$A$2:$H$9997,8,FALSE),0)</f>
        <v/>
      </c>
      <c r="G3589" s="29">
        <f>VLOOKUP(A3589,Calendar!$A$1:$H$9997,6,FALSE)-F3589</f>
        <v/>
      </c>
      <c r="H3589" s="19" t="n">
        <v>1</v>
      </c>
      <c r="I3589" s="57" t="n">
        <v>10</v>
      </c>
    </row>
    <row r="3590">
      <c r="A3590" s="62" t="n">
        <v>46413</v>
      </c>
      <c r="B3590" s="3" t="inlineStr">
        <is>
          <t>Week</t>
        </is>
      </c>
      <c r="C3590" s="19" t="n">
        <v>1</v>
      </c>
      <c r="D3590" s="19" t="n">
        <v>2027</v>
      </c>
      <c r="E3590" s="57" t="n">
        <v>4</v>
      </c>
      <c r="F3590" s="29">
        <f>ROUND(((SUMIFS(Calendar!$F$2:$F$9997,Calendar!$B$2:$B$9997,D3590,Calendar!$C$2:$C$9997,C3590)*INDEX(ForeCalc!$B$37:$Y$274,MATCH(_xlfn.CONCAT(H3590," ",I3590),ForeCalc!$A$37:$A$274,0),MATCH(_xlfn.CONCAT(B3590," ",E3590),ForeCalc!$B$36:$Y$36,0))))*VLOOKUP(A3590,Calendar!$A$2:$H$9997,8,FALSE),0)</f>
        <v/>
      </c>
      <c r="G3590" s="29">
        <f>VLOOKUP(A3590,Calendar!$A$1:$H$9997,6,FALSE)-F3590</f>
        <v/>
      </c>
      <c r="H3590" s="19" t="n">
        <v>1</v>
      </c>
      <c r="I3590" s="57" t="n">
        <v>10</v>
      </c>
    </row>
    <row r="3591">
      <c r="A3591" s="62" t="n">
        <v>46414</v>
      </c>
      <c r="B3591" s="3" t="inlineStr">
        <is>
          <t>Week</t>
        </is>
      </c>
      <c r="C3591" s="19" t="n">
        <v>1</v>
      </c>
      <c r="D3591" s="19" t="n">
        <v>2027</v>
      </c>
      <c r="E3591" s="57" t="n">
        <v>4</v>
      </c>
      <c r="F3591" s="29">
        <f>ROUND(((SUMIFS(Calendar!$F$2:$F$9997,Calendar!$B$2:$B$9997,D3591,Calendar!$C$2:$C$9997,C3591)*INDEX(ForeCalc!$B$37:$Y$274,MATCH(_xlfn.CONCAT(H3591," ",I3591),ForeCalc!$A$37:$A$274,0),MATCH(_xlfn.CONCAT(B3591," ",E3591),ForeCalc!$B$36:$Y$36,0))))*VLOOKUP(A3591,Calendar!$A$2:$H$9997,8,FALSE),0)</f>
        <v/>
      </c>
      <c r="G3591" s="29">
        <f>VLOOKUP(A3591,Calendar!$A$1:$H$9997,6,FALSE)-F3591</f>
        <v/>
      </c>
      <c r="H3591" s="19" t="n">
        <v>1</v>
      </c>
      <c r="I3591" s="57" t="n">
        <v>10</v>
      </c>
    </row>
    <row r="3592">
      <c r="A3592" s="62" t="n">
        <v>46415</v>
      </c>
      <c r="B3592" s="3" t="inlineStr">
        <is>
          <t>Week</t>
        </is>
      </c>
      <c r="C3592" s="19" t="n">
        <v>1</v>
      </c>
      <c r="D3592" s="19" t="n">
        <v>2027</v>
      </c>
      <c r="E3592" s="57" t="n">
        <v>4</v>
      </c>
      <c r="F3592" s="29">
        <f>ROUND(((SUMIFS(Calendar!$F$2:$F$9997,Calendar!$B$2:$B$9997,D3592,Calendar!$C$2:$C$9997,C3592)*INDEX(ForeCalc!$B$37:$Y$274,MATCH(_xlfn.CONCAT(H3592," ",I3592),ForeCalc!$A$37:$A$274,0),MATCH(_xlfn.CONCAT(B3592," ",E3592),ForeCalc!$B$36:$Y$36,0))))*VLOOKUP(A3592,Calendar!$A$2:$H$9997,8,FALSE),0)</f>
        <v/>
      </c>
      <c r="G3592" s="29">
        <f>VLOOKUP(A3592,Calendar!$A$1:$H$9997,6,FALSE)-F3592</f>
        <v/>
      </c>
      <c r="H3592" s="19" t="n">
        <v>1</v>
      </c>
      <c r="I3592" s="57" t="n">
        <v>10</v>
      </c>
    </row>
    <row r="3593">
      <c r="A3593" s="62" t="n">
        <v>46416</v>
      </c>
      <c r="B3593" s="3" t="inlineStr">
        <is>
          <t>Week</t>
        </is>
      </c>
      <c r="C3593" s="19" t="n">
        <v>1</v>
      </c>
      <c r="D3593" s="19" t="n">
        <v>2027</v>
      </c>
      <c r="E3593" s="57" t="n">
        <v>4</v>
      </c>
      <c r="F3593" s="29">
        <f>ROUND(((SUMIFS(Calendar!$F$2:$F$9997,Calendar!$B$2:$B$9997,D3593,Calendar!$C$2:$C$9997,C3593)*INDEX(ForeCalc!$B$37:$Y$274,MATCH(_xlfn.CONCAT(H3593," ",I3593),ForeCalc!$A$37:$A$274,0),MATCH(_xlfn.CONCAT(B3593," ",E3593),ForeCalc!$B$36:$Y$36,0))))*VLOOKUP(A3593,Calendar!$A$2:$H$9997,8,FALSE),0)</f>
        <v/>
      </c>
      <c r="G3593" s="29">
        <f>VLOOKUP(A3593,Calendar!$A$1:$H$9997,6,FALSE)-F3593</f>
        <v/>
      </c>
      <c r="H3593" s="19" t="n">
        <v>1</v>
      </c>
      <c r="I3593" s="57" t="n">
        <v>10</v>
      </c>
    </row>
    <row r="3594">
      <c r="A3594" s="62" t="n">
        <v>46417</v>
      </c>
      <c r="B3594" s="3" t="inlineStr">
        <is>
          <t>Sat</t>
        </is>
      </c>
      <c r="C3594" s="19" t="n">
        <v>1</v>
      </c>
      <c r="D3594" s="19" t="n">
        <v>2027</v>
      </c>
      <c r="E3594" s="57" t="n">
        <v>4</v>
      </c>
      <c r="F3594" s="29">
        <f>ROUND(((SUMIFS(Calendar!$F$2:$F$9997,Calendar!$B$2:$B$9997,D3594,Calendar!$C$2:$C$9997,C3594)*INDEX(ForeCalc!$B$37:$Y$274,MATCH(_xlfn.CONCAT(H3594," ",I3594),ForeCalc!$A$37:$A$274,0),MATCH(_xlfn.CONCAT(B3594," ",E3594),ForeCalc!$B$36:$Y$36,0))))*VLOOKUP(A3594,Calendar!$A$2:$H$9997,8,FALSE),0)</f>
        <v/>
      </c>
      <c r="G3594" s="29">
        <f>VLOOKUP(A3594,Calendar!$A$1:$H$9997,6,FALSE)-F3594</f>
        <v/>
      </c>
      <c r="H3594" s="19" t="n">
        <v>1</v>
      </c>
      <c r="I3594" s="57" t="n">
        <v>10</v>
      </c>
    </row>
    <row r="3595">
      <c r="A3595" s="62" t="n">
        <v>46418</v>
      </c>
      <c r="B3595" s="3" t="inlineStr">
        <is>
          <t>Sun</t>
        </is>
      </c>
      <c r="C3595" s="19" t="n">
        <v>1</v>
      </c>
      <c r="D3595" s="19" t="n">
        <v>2027</v>
      </c>
      <c r="E3595" s="57" t="n">
        <v>4</v>
      </c>
      <c r="F3595" s="29">
        <f>ROUND(((SUMIFS(Calendar!$F$2:$F$9997,Calendar!$B$2:$B$9997,D3595,Calendar!$C$2:$C$9997,C3595)*INDEX(ForeCalc!$B$37:$Y$274,MATCH(_xlfn.CONCAT(H3595," ",I3595),ForeCalc!$A$37:$A$274,0),MATCH(_xlfn.CONCAT(B3595," ",E3595),ForeCalc!$B$36:$Y$36,0))))*VLOOKUP(A3595,Calendar!$A$2:$H$9997,8,FALSE),0)</f>
        <v/>
      </c>
      <c r="G3595" s="29">
        <f>VLOOKUP(A3595,Calendar!$A$1:$H$9997,6,FALSE)-F3595</f>
        <v/>
      </c>
      <c r="H3595" s="19" t="n">
        <v>1</v>
      </c>
      <c r="I3595" s="57" t="n">
        <v>10</v>
      </c>
    </row>
    <row r="3596">
      <c r="A3596" s="62" t="n">
        <v>46419</v>
      </c>
      <c r="B3596" s="3" t="inlineStr">
        <is>
          <t>Week</t>
        </is>
      </c>
      <c r="C3596" s="19" t="n">
        <v>2</v>
      </c>
      <c r="D3596" s="19" t="n">
        <v>2027</v>
      </c>
      <c r="E3596" s="57" t="n">
        <v>4</v>
      </c>
      <c r="F3596" s="29">
        <f>ROUND(((SUMIFS(Calendar!$F$2:$F$9997,Calendar!$B$2:$B$9997,D3596,Calendar!$C$2:$C$9997,C3596)*INDEX(ForeCalc!$B$37:$Y$274,MATCH(_xlfn.CONCAT(H3596," ",I3596),ForeCalc!$A$37:$A$274,0),MATCH(_xlfn.CONCAT(B3596," ",E3596),ForeCalc!$B$36:$Y$36,0))))*VLOOKUP(A3596,Calendar!$A$2:$H$9997,8,FALSE),0)</f>
        <v/>
      </c>
      <c r="G3596" s="29">
        <f>VLOOKUP(A3596,Calendar!$A$1:$H$9997,6,FALSE)-F3596</f>
        <v/>
      </c>
      <c r="H3596" s="19" t="n">
        <v>1</v>
      </c>
      <c r="I3596" s="57" t="n">
        <v>11</v>
      </c>
    </row>
    <row r="3597">
      <c r="A3597" s="62" t="n">
        <v>46420</v>
      </c>
      <c r="B3597" s="3" t="inlineStr">
        <is>
          <t>Week</t>
        </is>
      </c>
      <c r="C3597" s="19" t="n">
        <v>2</v>
      </c>
      <c r="D3597" s="19" t="n">
        <v>2027</v>
      </c>
      <c r="E3597" s="57" t="n">
        <v>4</v>
      </c>
      <c r="F3597" s="29">
        <f>ROUND(((SUMIFS(Calendar!$F$2:$F$9997,Calendar!$B$2:$B$9997,D3597,Calendar!$C$2:$C$9997,C3597)*INDEX(ForeCalc!$B$37:$Y$274,MATCH(_xlfn.CONCAT(H3597," ",I3597),ForeCalc!$A$37:$A$274,0),MATCH(_xlfn.CONCAT(B3597," ",E3597),ForeCalc!$B$36:$Y$36,0))))*VLOOKUP(A3597,Calendar!$A$2:$H$9997,8,FALSE),0)</f>
        <v/>
      </c>
      <c r="G3597" s="29">
        <f>VLOOKUP(A3597,Calendar!$A$1:$H$9997,6,FALSE)-F3597</f>
        <v/>
      </c>
      <c r="H3597" s="19" t="n">
        <v>1</v>
      </c>
      <c r="I3597" s="57" t="n">
        <v>11</v>
      </c>
    </row>
    <row r="3598">
      <c r="A3598" s="62" t="n">
        <v>46421</v>
      </c>
      <c r="B3598" s="3" t="inlineStr">
        <is>
          <t>Week</t>
        </is>
      </c>
      <c r="C3598" s="19" t="n">
        <v>2</v>
      </c>
      <c r="D3598" s="19" t="n">
        <v>2027</v>
      </c>
      <c r="E3598" s="57" t="n">
        <v>4</v>
      </c>
      <c r="F3598" s="29">
        <f>ROUND(((SUMIFS(Calendar!$F$2:$F$9997,Calendar!$B$2:$B$9997,D3598,Calendar!$C$2:$C$9997,C3598)*INDEX(ForeCalc!$B$37:$Y$274,MATCH(_xlfn.CONCAT(H3598," ",I3598),ForeCalc!$A$37:$A$274,0),MATCH(_xlfn.CONCAT(B3598," ",E3598),ForeCalc!$B$36:$Y$36,0))))*VLOOKUP(A3598,Calendar!$A$2:$H$9997,8,FALSE),0)</f>
        <v/>
      </c>
      <c r="G3598" s="29">
        <f>VLOOKUP(A3598,Calendar!$A$1:$H$9997,6,FALSE)-F3598</f>
        <v/>
      </c>
      <c r="H3598" s="19" t="n">
        <v>1</v>
      </c>
      <c r="I3598" s="57" t="n">
        <v>11</v>
      </c>
    </row>
    <row r="3599">
      <c r="A3599" s="62" t="n">
        <v>46422</v>
      </c>
      <c r="B3599" s="3" t="inlineStr">
        <is>
          <t>Week</t>
        </is>
      </c>
      <c r="C3599" s="19" t="n">
        <v>2</v>
      </c>
      <c r="D3599" s="19" t="n">
        <v>2027</v>
      </c>
      <c r="E3599" s="57" t="n">
        <v>4</v>
      </c>
      <c r="F3599" s="29">
        <f>ROUND(((SUMIFS(Calendar!$F$2:$F$9997,Calendar!$B$2:$B$9997,D3599,Calendar!$C$2:$C$9997,C3599)*INDEX(ForeCalc!$B$37:$Y$274,MATCH(_xlfn.CONCAT(H3599," ",I3599),ForeCalc!$A$37:$A$274,0),MATCH(_xlfn.CONCAT(B3599," ",E3599),ForeCalc!$B$36:$Y$36,0))))*VLOOKUP(A3599,Calendar!$A$2:$H$9997,8,FALSE),0)</f>
        <v/>
      </c>
      <c r="G3599" s="29">
        <f>VLOOKUP(A3599,Calendar!$A$1:$H$9997,6,FALSE)-F3599</f>
        <v/>
      </c>
      <c r="H3599" s="19" t="n">
        <v>1</v>
      </c>
      <c r="I3599" s="57" t="n">
        <v>11</v>
      </c>
    </row>
    <row r="3600">
      <c r="A3600" s="62" t="n">
        <v>46423</v>
      </c>
      <c r="B3600" s="3" t="inlineStr">
        <is>
          <t>Week</t>
        </is>
      </c>
      <c r="C3600" s="19" t="n">
        <v>2</v>
      </c>
      <c r="D3600" s="19" t="n">
        <v>2027</v>
      </c>
      <c r="E3600" s="57" t="n">
        <v>4</v>
      </c>
      <c r="F3600" s="29">
        <f>ROUND(((SUMIFS(Calendar!$F$2:$F$9997,Calendar!$B$2:$B$9997,D3600,Calendar!$C$2:$C$9997,C3600)*INDEX(ForeCalc!$B$37:$Y$274,MATCH(_xlfn.CONCAT(H3600," ",I3600),ForeCalc!$A$37:$A$274,0),MATCH(_xlfn.CONCAT(B3600," ",E3600),ForeCalc!$B$36:$Y$36,0))))*VLOOKUP(A3600,Calendar!$A$2:$H$9997,8,FALSE),0)</f>
        <v/>
      </c>
      <c r="G3600" s="29">
        <f>VLOOKUP(A3600,Calendar!$A$1:$H$9997,6,FALSE)-F3600</f>
        <v/>
      </c>
      <c r="H3600" s="19" t="n">
        <v>1</v>
      </c>
      <c r="I3600" s="57" t="n">
        <v>11</v>
      </c>
    </row>
    <row r="3601">
      <c r="A3601" s="62" t="n">
        <v>46424</v>
      </c>
      <c r="B3601" s="3" t="inlineStr">
        <is>
          <t>Sat</t>
        </is>
      </c>
      <c r="C3601" s="19" t="n">
        <v>2</v>
      </c>
      <c r="D3601" s="19" t="n">
        <v>2027</v>
      </c>
      <c r="E3601" s="57" t="n">
        <v>4</v>
      </c>
      <c r="F3601" s="29">
        <f>ROUND(((SUMIFS(Calendar!$F$2:$F$9997,Calendar!$B$2:$B$9997,D3601,Calendar!$C$2:$C$9997,C3601)*INDEX(ForeCalc!$B$37:$Y$274,MATCH(_xlfn.CONCAT(H3601," ",I3601),ForeCalc!$A$37:$A$274,0),MATCH(_xlfn.CONCAT(B3601," ",E3601),ForeCalc!$B$36:$Y$36,0))))*VLOOKUP(A3601,Calendar!$A$2:$H$9997,8,FALSE),0)</f>
        <v/>
      </c>
      <c r="G3601" s="29">
        <f>VLOOKUP(A3601,Calendar!$A$1:$H$9997,6,FALSE)-F3601</f>
        <v/>
      </c>
      <c r="H3601" s="19" t="n">
        <v>1</v>
      </c>
      <c r="I3601" s="57" t="n">
        <v>11</v>
      </c>
    </row>
    <row r="3602">
      <c r="A3602" s="62" t="n">
        <v>46425</v>
      </c>
      <c r="B3602" s="3" t="inlineStr">
        <is>
          <t>Sun</t>
        </is>
      </c>
      <c r="C3602" s="19" t="n">
        <v>2</v>
      </c>
      <c r="D3602" s="19" t="n">
        <v>2027</v>
      </c>
      <c r="E3602" s="57" t="n">
        <v>4</v>
      </c>
      <c r="F3602" s="29">
        <f>ROUND(((SUMIFS(Calendar!$F$2:$F$9997,Calendar!$B$2:$B$9997,D3602,Calendar!$C$2:$C$9997,C3602)*INDEX(ForeCalc!$B$37:$Y$274,MATCH(_xlfn.CONCAT(H3602," ",I3602),ForeCalc!$A$37:$A$274,0),MATCH(_xlfn.CONCAT(B3602," ",E3602),ForeCalc!$B$36:$Y$36,0))))*VLOOKUP(A3602,Calendar!$A$2:$H$9997,8,FALSE),0)</f>
        <v/>
      </c>
      <c r="G3602" s="29">
        <f>VLOOKUP(A3602,Calendar!$A$1:$H$9997,6,FALSE)-F3602</f>
        <v/>
      </c>
      <c r="H3602" s="19" t="n">
        <v>1</v>
      </c>
      <c r="I3602" s="57" t="n">
        <v>11</v>
      </c>
    </row>
    <row r="3603">
      <c r="A3603" s="62" t="n">
        <v>46426</v>
      </c>
      <c r="B3603" s="3" t="inlineStr">
        <is>
          <t>Week</t>
        </is>
      </c>
      <c r="C3603" s="19" t="n">
        <v>2</v>
      </c>
      <c r="D3603" s="19" t="n">
        <v>2027</v>
      </c>
      <c r="E3603" s="57" t="n">
        <v>4</v>
      </c>
      <c r="F3603" s="29">
        <f>ROUND(((SUMIFS(Calendar!$F$2:$F$9997,Calendar!$B$2:$B$9997,D3603,Calendar!$C$2:$C$9997,C3603)*INDEX(ForeCalc!$B$37:$Y$274,MATCH(_xlfn.CONCAT(H3603," ",I3603),ForeCalc!$A$37:$A$274,0),MATCH(_xlfn.CONCAT(B3603," ",E3603),ForeCalc!$B$36:$Y$36,0))))*VLOOKUP(A3603,Calendar!$A$2:$H$9997,8,FALSE),0)</f>
        <v/>
      </c>
      <c r="G3603" s="29">
        <f>VLOOKUP(A3603,Calendar!$A$1:$H$9997,6,FALSE)-F3603</f>
        <v/>
      </c>
      <c r="H3603" s="19" t="n">
        <v>1</v>
      </c>
      <c r="I3603" s="57" t="n">
        <v>11</v>
      </c>
    </row>
    <row r="3604">
      <c r="A3604" s="62" t="n">
        <v>46427</v>
      </c>
      <c r="B3604" s="3" t="inlineStr">
        <is>
          <t>Week</t>
        </is>
      </c>
      <c r="C3604" s="19" t="n">
        <v>2</v>
      </c>
      <c r="D3604" s="19" t="n">
        <v>2027</v>
      </c>
      <c r="E3604" s="57" t="n">
        <v>4</v>
      </c>
      <c r="F3604" s="29">
        <f>ROUND(((SUMIFS(Calendar!$F$2:$F$9997,Calendar!$B$2:$B$9997,D3604,Calendar!$C$2:$C$9997,C3604)*INDEX(ForeCalc!$B$37:$Y$274,MATCH(_xlfn.CONCAT(H3604," ",I3604),ForeCalc!$A$37:$A$274,0),MATCH(_xlfn.CONCAT(B3604," ",E3604),ForeCalc!$B$36:$Y$36,0))))*VLOOKUP(A3604,Calendar!$A$2:$H$9997,8,FALSE),0)</f>
        <v/>
      </c>
      <c r="G3604" s="29">
        <f>VLOOKUP(A3604,Calendar!$A$1:$H$9997,6,FALSE)-F3604</f>
        <v/>
      </c>
      <c r="H3604" s="19" t="n">
        <v>1</v>
      </c>
      <c r="I3604" s="57" t="n">
        <v>11</v>
      </c>
    </row>
    <row r="3605">
      <c r="A3605" s="62" t="n">
        <v>46428</v>
      </c>
      <c r="B3605" s="3" t="inlineStr">
        <is>
          <t>Week</t>
        </is>
      </c>
      <c r="C3605" s="19" t="n">
        <v>2</v>
      </c>
      <c r="D3605" s="19" t="n">
        <v>2027</v>
      </c>
      <c r="E3605" s="57" t="n">
        <v>4</v>
      </c>
      <c r="F3605" s="29">
        <f>ROUND(((SUMIFS(Calendar!$F$2:$F$9997,Calendar!$B$2:$B$9997,D3605,Calendar!$C$2:$C$9997,C3605)*INDEX(ForeCalc!$B$37:$Y$274,MATCH(_xlfn.CONCAT(H3605," ",I3605),ForeCalc!$A$37:$A$274,0),MATCH(_xlfn.CONCAT(B3605," ",E3605),ForeCalc!$B$36:$Y$36,0))))*VLOOKUP(A3605,Calendar!$A$2:$H$9997,8,FALSE),0)</f>
        <v/>
      </c>
      <c r="G3605" s="29">
        <f>VLOOKUP(A3605,Calendar!$A$1:$H$9997,6,FALSE)-F3605</f>
        <v/>
      </c>
      <c r="H3605" s="19" t="n">
        <v>1</v>
      </c>
      <c r="I3605" s="57" t="n">
        <v>11</v>
      </c>
    </row>
    <row r="3606">
      <c r="A3606" s="62" t="n">
        <v>46429</v>
      </c>
      <c r="B3606" s="3" t="inlineStr">
        <is>
          <t>Week</t>
        </is>
      </c>
      <c r="C3606" s="19" t="n">
        <v>2</v>
      </c>
      <c r="D3606" s="19" t="n">
        <v>2027</v>
      </c>
      <c r="E3606" s="57" t="n">
        <v>4</v>
      </c>
      <c r="F3606" s="29">
        <f>ROUND(((SUMIFS(Calendar!$F$2:$F$9997,Calendar!$B$2:$B$9997,D3606,Calendar!$C$2:$C$9997,C3606)*INDEX(ForeCalc!$B$37:$Y$274,MATCH(_xlfn.CONCAT(H3606," ",I3606),ForeCalc!$A$37:$A$274,0),MATCH(_xlfn.CONCAT(B3606," ",E3606),ForeCalc!$B$36:$Y$36,0))))*VLOOKUP(A3606,Calendar!$A$2:$H$9997,8,FALSE),0)</f>
        <v/>
      </c>
      <c r="G3606" s="29">
        <f>VLOOKUP(A3606,Calendar!$A$1:$H$9997,6,FALSE)-F3606</f>
        <v/>
      </c>
      <c r="H3606" s="19" t="n">
        <v>1</v>
      </c>
      <c r="I3606" s="57" t="n">
        <v>11</v>
      </c>
    </row>
    <row r="3607">
      <c r="A3607" s="62" t="n">
        <v>46430</v>
      </c>
      <c r="B3607" s="3" t="inlineStr">
        <is>
          <t>Week</t>
        </is>
      </c>
      <c r="C3607" s="19" t="n">
        <v>2</v>
      </c>
      <c r="D3607" s="19" t="n">
        <v>2027</v>
      </c>
      <c r="E3607" s="57" t="n">
        <v>4</v>
      </c>
      <c r="F3607" s="29">
        <f>ROUND(((SUMIFS(Calendar!$F$2:$F$9997,Calendar!$B$2:$B$9997,D3607,Calendar!$C$2:$C$9997,C3607)*INDEX(ForeCalc!$B$37:$Y$274,MATCH(_xlfn.CONCAT(H3607," ",I3607),ForeCalc!$A$37:$A$274,0),MATCH(_xlfn.CONCAT(B3607," ",E3607),ForeCalc!$B$36:$Y$36,0))))*VLOOKUP(A3607,Calendar!$A$2:$H$9997,8,FALSE),0)</f>
        <v/>
      </c>
      <c r="G3607" s="29">
        <f>VLOOKUP(A3607,Calendar!$A$1:$H$9997,6,FALSE)-F3607</f>
        <v/>
      </c>
      <c r="H3607" s="19" t="n">
        <v>1</v>
      </c>
      <c r="I3607" s="57" t="n">
        <v>11</v>
      </c>
    </row>
    <row r="3608">
      <c r="A3608" s="62" t="n">
        <v>46431</v>
      </c>
      <c r="B3608" s="3" t="inlineStr">
        <is>
          <t>Sat</t>
        </is>
      </c>
      <c r="C3608" s="19" t="n">
        <v>2</v>
      </c>
      <c r="D3608" s="19" t="n">
        <v>2027</v>
      </c>
      <c r="E3608" s="57" t="n">
        <v>4</v>
      </c>
      <c r="F3608" s="29">
        <f>ROUND(((SUMIFS(Calendar!$F$2:$F$9997,Calendar!$B$2:$B$9997,D3608,Calendar!$C$2:$C$9997,C3608)*INDEX(ForeCalc!$B$37:$Y$274,MATCH(_xlfn.CONCAT(H3608," ",I3608),ForeCalc!$A$37:$A$274,0),MATCH(_xlfn.CONCAT(B3608," ",E3608),ForeCalc!$B$36:$Y$36,0))))*VLOOKUP(A3608,Calendar!$A$2:$H$9997,8,FALSE),0)</f>
        <v/>
      </c>
      <c r="G3608" s="29">
        <f>VLOOKUP(A3608,Calendar!$A$1:$H$9997,6,FALSE)-F3608</f>
        <v/>
      </c>
      <c r="H3608" s="19" t="n">
        <v>1</v>
      </c>
      <c r="I3608" s="57" t="n">
        <v>11</v>
      </c>
    </row>
    <row r="3609">
      <c r="A3609" s="62" t="n">
        <v>46432</v>
      </c>
      <c r="B3609" s="3" t="inlineStr">
        <is>
          <t>Sun</t>
        </is>
      </c>
      <c r="C3609" s="19" t="n">
        <v>2</v>
      </c>
      <c r="D3609" s="19" t="n">
        <v>2027</v>
      </c>
      <c r="E3609" s="57" t="n">
        <v>4</v>
      </c>
      <c r="F3609" s="29">
        <f>ROUND(((SUMIFS(Calendar!$F$2:$F$9997,Calendar!$B$2:$B$9997,D3609,Calendar!$C$2:$C$9997,C3609)*INDEX(ForeCalc!$B$37:$Y$274,MATCH(_xlfn.CONCAT(H3609," ",I3609),ForeCalc!$A$37:$A$274,0),MATCH(_xlfn.CONCAT(B3609," ",E3609),ForeCalc!$B$36:$Y$36,0))))*VLOOKUP(A3609,Calendar!$A$2:$H$9997,8,FALSE),0)</f>
        <v/>
      </c>
      <c r="G3609" s="29">
        <f>VLOOKUP(A3609,Calendar!$A$1:$H$9997,6,FALSE)-F3609</f>
        <v/>
      </c>
      <c r="H3609" s="19" t="n">
        <v>1</v>
      </c>
      <c r="I3609" s="57" t="n">
        <v>11</v>
      </c>
    </row>
    <row r="3610">
      <c r="A3610" s="62" t="n">
        <v>46433</v>
      </c>
      <c r="B3610" s="3" t="inlineStr">
        <is>
          <t>Week</t>
        </is>
      </c>
      <c r="C3610" s="19" t="n">
        <v>2</v>
      </c>
      <c r="D3610" s="19" t="n">
        <v>2027</v>
      </c>
      <c r="E3610" s="57" t="n">
        <v>4</v>
      </c>
      <c r="F3610" s="29">
        <f>ROUND(((SUMIFS(Calendar!$F$2:$F$9997,Calendar!$B$2:$B$9997,D3610,Calendar!$C$2:$C$9997,C3610)*INDEX(ForeCalc!$B$37:$Y$274,MATCH(_xlfn.CONCAT(H3610," ",I3610),ForeCalc!$A$37:$A$274,0),MATCH(_xlfn.CONCAT(B3610," ",E3610),ForeCalc!$B$36:$Y$36,0))))*VLOOKUP(A3610,Calendar!$A$2:$H$9997,8,FALSE),0)</f>
        <v/>
      </c>
      <c r="G3610" s="29">
        <f>VLOOKUP(A3610,Calendar!$A$1:$H$9997,6,FALSE)-F3610</f>
        <v/>
      </c>
      <c r="H3610" s="19" t="n">
        <v>1</v>
      </c>
      <c r="I3610" s="57" t="n">
        <v>11</v>
      </c>
    </row>
    <row r="3611">
      <c r="A3611" s="62" t="n">
        <v>46434</v>
      </c>
      <c r="B3611" s="3" t="inlineStr">
        <is>
          <t>Week</t>
        </is>
      </c>
      <c r="C3611" s="19" t="n">
        <v>2</v>
      </c>
      <c r="D3611" s="19" t="n">
        <v>2027</v>
      </c>
      <c r="E3611" s="57" t="n">
        <v>4</v>
      </c>
      <c r="F3611" s="29">
        <f>ROUND(((SUMIFS(Calendar!$F$2:$F$9997,Calendar!$B$2:$B$9997,D3611,Calendar!$C$2:$C$9997,C3611)*INDEX(ForeCalc!$B$37:$Y$274,MATCH(_xlfn.CONCAT(H3611," ",I3611),ForeCalc!$A$37:$A$274,0),MATCH(_xlfn.CONCAT(B3611," ",E3611),ForeCalc!$B$36:$Y$36,0))))*VLOOKUP(A3611,Calendar!$A$2:$H$9997,8,FALSE),0)</f>
        <v/>
      </c>
      <c r="G3611" s="29">
        <f>VLOOKUP(A3611,Calendar!$A$1:$H$9997,6,FALSE)-F3611</f>
        <v/>
      </c>
      <c r="H3611" s="19" t="n">
        <v>1</v>
      </c>
      <c r="I3611" s="57" t="n">
        <v>11</v>
      </c>
    </row>
    <row r="3612">
      <c r="A3612" s="62" t="n">
        <v>46435</v>
      </c>
      <c r="B3612" s="3" t="inlineStr">
        <is>
          <t>Week</t>
        </is>
      </c>
      <c r="C3612" s="19" t="n">
        <v>2</v>
      </c>
      <c r="D3612" s="19" t="n">
        <v>2027</v>
      </c>
      <c r="E3612" s="57" t="n">
        <v>4</v>
      </c>
      <c r="F3612" s="29">
        <f>ROUND(((SUMIFS(Calendar!$F$2:$F$9997,Calendar!$B$2:$B$9997,D3612,Calendar!$C$2:$C$9997,C3612)*INDEX(ForeCalc!$B$37:$Y$274,MATCH(_xlfn.CONCAT(H3612," ",I3612),ForeCalc!$A$37:$A$274,0),MATCH(_xlfn.CONCAT(B3612," ",E3612),ForeCalc!$B$36:$Y$36,0))))*VLOOKUP(A3612,Calendar!$A$2:$H$9997,8,FALSE),0)</f>
        <v/>
      </c>
      <c r="G3612" s="29">
        <f>VLOOKUP(A3612,Calendar!$A$1:$H$9997,6,FALSE)-F3612</f>
        <v/>
      </c>
      <c r="H3612" s="19" t="n">
        <v>1</v>
      </c>
      <c r="I3612" s="57" t="n">
        <v>11</v>
      </c>
    </row>
    <row r="3613">
      <c r="A3613" s="62" t="n">
        <v>46436</v>
      </c>
      <c r="B3613" s="3" t="inlineStr">
        <is>
          <t>Week</t>
        </is>
      </c>
      <c r="C3613" s="19" t="n">
        <v>2</v>
      </c>
      <c r="D3613" s="19" t="n">
        <v>2027</v>
      </c>
      <c r="E3613" s="57" t="n">
        <v>4</v>
      </c>
      <c r="F3613" s="29">
        <f>ROUND(((SUMIFS(Calendar!$F$2:$F$9997,Calendar!$B$2:$B$9997,D3613,Calendar!$C$2:$C$9997,C3613)*INDEX(ForeCalc!$B$37:$Y$274,MATCH(_xlfn.CONCAT(H3613," ",I3613),ForeCalc!$A$37:$A$274,0),MATCH(_xlfn.CONCAT(B3613," ",E3613),ForeCalc!$B$36:$Y$36,0))))*VLOOKUP(A3613,Calendar!$A$2:$H$9997,8,FALSE),0)</f>
        <v/>
      </c>
      <c r="G3613" s="29">
        <f>VLOOKUP(A3613,Calendar!$A$1:$H$9997,6,FALSE)-F3613</f>
        <v/>
      </c>
      <c r="H3613" s="19" t="n">
        <v>1</v>
      </c>
      <c r="I3613" s="57" t="n">
        <v>11</v>
      </c>
    </row>
    <row r="3614">
      <c r="A3614" s="62" t="n">
        <v>46437</v>
      </c>
      <c r="B3614" s="3" t="inlineStr">
        <is>
          <t>Week</t>
        </is>
      </c>
      <c r="C3614" s="19" t="n">
        <v>2</v>
      </c>
      <c r="D3614" s="19" t="n">
        <v>2027</v>
      </c>
      <c r="E3614" s="57" t="n">
        <v>4</v>
      </c>
      <c r="F3614" s="29">
        <f>ROUND(((SUMIFS(Calendar!$F$2:$F$9997,Calendar!$B$2:$B$9997,D3614,Calendar!$C$2:$C$9997,C3614)*INDEX(ForeCalc!$B$37:$Y$274,MATCH(_xlfn.CONCAT(H3614," ",I3614),ForeCalc!$A$37:$A$274,0),MATCH(_xlfn.CONCAT(B3614," ",E3614),ForeCalc!$B$36:$Y$36,0))))*VLOOKUP(A3614,Calendar!$A$2:$H$9997,8,FALSE),0)</f>
        <v/>
      </c>
      <c r="G3614" s="29">
        <f>VLOOKUP(A3614,Calendar!$A$1:$H$9997,6,FALSE)-F3614</f>
        <v/>
      </c>
      <c r="H3614" s="19" t="n">
        <v>1</v>
      </c>
      <c r="I3614" s="57" t="n">
        <v>11</v>
      </c>
    </row>
    <row r="3615">
      <c r="A3615" s="62" t="n">
        <v>46438</v>
      </c>
      <c r="B3615" s="3" t="inlineStr">
        <is>
          <t>Sat</t>
        </is>
      </c>
      <c r="C3615" s="19" t="n">
        <v>2</v>
      </c>
      <c r="D3615" s="19" t="n">
        <v>2027</v>
      </c>
      <c r="E3615" s="57" t="n">
        <v>4</v>
      </c>
      <c r="F3615" s="29">
        <f>ROUND(((SUMIFS(Calendar!$F$2:$F$9997,Calendar!$B$2:$B$9997,D3615,Calendar!$C$2:$C$9997,C3615)*INDEX(ForeCalc!$B$37:$Y$274,MATCH(_xlfn.CONCAT(H3615," ",I3615),ForeCalc!$A$37:$A$274,0),MATCH(_xlfn.CONCAT(B3615," ",E3615),ForeCalc!$B$36:$Y$36,0))))*VLOOKUP(A3615,Calendar!$A$2:$H$9997,8,FALSE),0)</f>
        <v/>
      </c>
      <c r="G3615" s="29">
        <f>VLOOKUP(A3615,Calendar!$A$1:$H$9997,6,FALSE)-F3615</f>
        <v/>
      </c>
      <c r="H3615" s="19" t="n">
        <v>1</v>
      </c>
      <c r="I3615" s="57" t="n">
        <v>11</v>
      </c>
    </row>
    <row r="3616">
      <c r="A3616" s="62" t="n">
        <v>46439</v>
      </c>
      <c r="B3616" s="3" t="inlineStr">
        <is>
          <t>Sun</t>
        </is>
      </c>
      <c r="C3616" s="19" t="n">
        <v>2</v>
      </c>
      <c r="D3616" s="19" t="n">
        <v>2027</v>
      </c>
      <c r="E3616" s="57" t="n">
        <v>4</v>
      </c>
      <c r="F3616" s="29">
        <f>ROUND(((SUMIFS(Calendar!$F$2:$F$9997,Calendar!$B$2:$B$9997,D3616,Calendar!$C$2:$C$9997,C3616)*INDEX(ForeCalc!$B$37:$Y$274,MATCH(_xlfn.CONCAT(H3616," ",I3616),ForeCalc!$A$37:$A$274,0),MATCH(_xlfn.CONCAT(B3616," ",E3616),ForeCalc!$B$36:$Y$36,0))))*VLOOKUP(A3616,Calendar!$A$2:$H$9997,8,FALSE),0)</f>
        <v/>
      </c>
      <c r="G3616" s="29">
        <f>VLOOKUP(A3616,Calendar!$A$1:$H$9997,6,FALSE)-F3616</f>
        <v/>
      </c>
      <c r="H3616" s="19" t="n">
        <v>1</v>
      </c>
      <c r="I3616" s="57" t="n">
        <v>11</v>
      </c>
    </row>
    <row r="3617">
      <c r="A3617" s="62" t="n">
        <v>46440</v>
      </c>
      <c r="B3617" s="3" t="inlineStr">
        <is>
          <t>Week</t>
        </is>
      </c>
      <c r="C3617" s="19" t="n">
        <v>2</v>
      </c>
      <c r="D3617" s="19" t="n">
        <v>2027</v>
      </c>
      <c r="E3617" s="57" t="n">
        <v>4</v>
      </c>
      <c r="F3617" s="29">
        <f>ROUND(((SUMIFS(Calendar!$F$2:$F$9997,Calendar!$B$2:$B$9997,D3617,Calendar!$C$2:$C$9997,C3617)*INDEX(ForeCalc!$B$37:$Y$274,MATCH(_xlfn.CONCAT(H3617," ",I3617),ForeCalc!$A$37:$A$274,0),MATCH(_xlfn.CONCAT(B3617," ",E3617),ForeCalc!$B$36:$Y$36,0))))*VLOOKUP(A3617,Calendar!$A$2:$H$9997,8,FALSE),0)</f>
        <v/>
      </c>
      <c r="G3617" s="29">
        <f>VLOOKUP(A3617,Calendar!$A$1:$H$9997,6,FALSE)-F3617</f>
        <v/>
      </c>
      <c r="H3617" s="19" t="n">
        <v>1</v>
      </c>
      <c r="I3617" s="57" t="n">
        <v>11</v>
      </c>
    </row>
    <row r="3618">
      <c r="A3618" s="62" t="n">
        <v>46441</v>
      </c>
      <c r="B3618" s="3" t="inlineStr">
        <is>
          <t>Week</t>
        </is>
      </c>
      <c r="C3618" s="19" t="n">
        <v>2</v>
      </c>
      <c r="D3618" s="19" t="n">
        <v>2027</v>
      </c>
      <c r="E3618" s="57" t="n">
        <v>4</v>
      </c>
      <c r="F3618" s="29">
        <f>ROUND(((SUMIFS(Calendar!$F$2:$F$9997,Calendar!$B$2:$B$9997,D3618,Calendar!$C$2:$C$9997,C3618)*INDEX(ForeCalc!$B$37:$Y$274,MATCH(_xlfn.CONCAT(H3618," ",I3618),ForeCalc!$A$37:$A$274,0),MATCH(_xlfn.CONCAT(B3618," ",E3618),ForeCalc!$B$36:$Y$36,0))))*VLOOKUP(A3618,Calendar!$A$2:$H$9997,8,FALSE),0)</f>
        <v/>
      </c>
      <c r="G3618" s="29">
        <f>VLOOKUP(A3618,Calendar!$A$1:$H$9997,6,FALSE)-F3618</f>
        <v/>
      </c>
      <c r="H3618" s="19" t="n">
        <v>1</v>
      </c>
      <c r="I3618" s="57" t="n">
        <v>11</v>
      </c>
    </row>
    <row r="3619">
      <c r="A3619" s="62" t="n">
        <v>46442</v>
      </c>
      <c r="B3619" s="3" t="inlineStr">
        <is>
          <t>Week</t>
        </is>
      </c>
      <c r="C3619" s="19" t="n">
        <v>2</v>
      </c>
      <c r="D3619" s="19" t="n">
        <v>2027</v>
      </c>
      <c r="E3619" s="57" t="n">
        <v>4</v>
      </c>
      <c r="F3619" s="29">
        <f>ROUND(((SUMIFS(Calendar!$F$2:$F$9997,Calendar!$B$2:$B$9997,D3619,Calendar!$C$2:$C$9997,C3619)*INDEX(ForeCalc!$B$37:$Y$274,MATCH(_xlfn.CONCAT(H3619," ",I3619),ForeCalc!$A$37:$A$274,0),MATCH(_xlfn.CONCAT(B3619," ",E3619),ForeCalc!$B$36:$Y$36,0))))*VLOOKUP(A3619,Calendar!$A$2:$H$9997,8,FALSE),0)</f>
        <v/>
      </c>
      <c r="G3619" s="29">
        <f>VLOOKUP(A3619,Calendar!$A$1:$H$9997,6,FALSE)-F3619</f>
        <v/>
      </c>
      <c r="H3619" s="19" t="n">
        <v>1</v>
      </c>
      <c r="I3619" s="57" t="n">
        <v>11</v>
      </c>
    </row>
    <row r="3620">
      <c r="A3620" s="62" t="n">
        <v>46443</v>
      </c>
      <c r="B3620" s="3" t="inlineStr">
        <is>
          <t>Week</t>
        </is>
      </c>
      <c r="C3620" s="19" t="n">
        <v>2</v>
      </c>
      <c r="D3620" s="19" t="n">
        <v>2027</v>
      </c>
      <c r="E3620" s="57" t="n">
        <v>4</v>
      </c>
      <c r="F3620" s="29">
        <f>ROUND(((SUMIFS(Calendar!$F$2:$F$9997,Calendar!$B$2:$B$9997,D3620,Calendar!$C$2:$C$9997,C3620)*INDEX(ForeCalc!$B$37:$Y$274,MATCH(_xlfn.CONCAT(H3620," ",I3620),ForeCalc!$A$37:$A$274,0),MATCH(_xlfn.CONCAT(B3620," ",E3620),ForeCalc!$B$36:$Y$36,0))))*VLOOKUP(A3620,Calendar!$A$2:$H$9997,8,FALSE),0)</f>
        <v/>
      </c>
      <c r="G3620" s="29">
        <f>VLOOKUP(A3620,Calendar!$A$1:$H$9997,6,FALSE)-F3620</f>
        <v/>
      </c>
      <c r="H3620" s="19" t="n">
        <v>1</v>
      </c>
      <c r="I3620" s="57" t="n">
        <v>11</v>
      </c>
    </row>
    <row r="3621">
      <c r="A3621" s="62" t="n">
        <v>46444</v>
      </c>
      <c r="B3621" s="3" t="inlineStr">
        <is>
          <t>Week</t>
        </is>
      </c>
      <c r="C3621" s="19" t="n">
        <v>2</v>
      </c>
      <c r="D3621" s="19" t="n">
        <v>2027</v>
      </c>
      <c r="E3621" s="57" t="n">
        <v>4</v>
      </c>
      <c r="F3621" s="29">
        <f>ROUND(((SUMIFS(Calendar!$F$2:$F$9997,Calendar!$B$2:$B$9997,D3621,Calendar!$C$2:$C$9997,C3621)*INDEX(ForeCalc!$B$37:$Y$274,MATCH(_xlfn.CONCAT(H3621," ",I3621),ForeCalc!$A$37:$A$274,0),MATCH(_xlfn.CONCAT(B3621," ",E3621),ForeCalc!$B$36:$Y$36,0))))*VLOOKUP(A3621,Calendar!$A$2:$H$9997,8,FALSE),0)</f>
        <v/>
      </c>
      <c r="G3621" s="29">
        <f>VLOOKUP(A3621,Calendar!$A$1:$H$9997,6,FALSE)-F3621</f>
        <v/>
      </c>
      <c r="H3621" s="19" t="n">
        <v>1</v>
      </c>
      <c r="I3621" s="57" t="n">
        <v>11</v>
      </c>
    </row>
    <row r="3622">
      <c r="A3622" s="62" t="n">
        <v>46445</v>
      </c>
      <c r="B3622" s="3" t="inlineStr">
        <is>
          <t>Sat</t>
        </is>
      </c>
      <c r="C3622" s="19" t="n">
        <v>2</v>
      </c>
      <c r="D3622" s="19" t="n">
        <v>2027</v>
      </c>
      <c r="E3622" s="57" t="n">
        <v>4</v>
      </c>
      <c r="F3622" s="29">
        <f>ROUND(((SUMIFS(Calendar!$F$2:$F$9997,Calendar!$B$2:$B$9997,D3622,Calendar!$C$2:$C$9997,C3622)*INDEX(ForeCalc!$B$37:$Y$274,MATCH(_xlfn.CONCAT(H3622," ",I3622),ForeCalc!$A$37:$A$274,0),MATCH(_xlfn.CONCAT(B3622," ",E3622),ForeCalc!$B$36:$Y$36,0))))*VLOOKUP(A3622,Calendar!$A$2:$H$9997,8,FALSE),0)</f>
        <v/>
      </c>
      <c r="G3622" s="29">
        <f>VLOOKUP(A3622,Calendar!$A$1:$H$9997,6,FALSE)-F3622</f>
        <v/>
      </c>
      <c r="H3622" s="19" t="n">
        <v>1</v>
      </c>
      <c r="I3622" s="57" t="n">
        <v>11</v>
      </c>
    </row>
    <row r="3623">
      <c r="A3623" s="62" t="n">
        <v>46446</v>
      </c>
      <c r="B3623" s="3" t="inlineStr">
        <is>
          <t>Sun</t>
        </is>
      </c>
      <c r="C3623" s="19" t="n">
        <v>2</v>
      </c>
      <c r="D3623" s="19" t="n">
        <v>2027</v>
      </c>
      <c r="E3623" s="57" t="n">
        <v>4</v>
      </c>
      <c r="F3623" s="29">
        <f>ROUND(((SUMIFS(Calendar!$F$2:$F$9997,Calendar!$B$2:$B$9997,D3623,Calendar!$C$2:$C$9997,C3623)*INDEX(ForeCalc!$B$37:$Y$274,MATCH(_xlfn.CONCAT(H3623," ",I3623),ForeCalc!$A$37:$A$274,0),MATCH(_xlfn.CONCAT(B3623," ",E3623),ForeCalc!$B$36:$Y$36,0))))*VLOOKUP(A3623,Calendar!$A$2:$H$9997,8,FALSE),0)</f>
        <v/>
      </c>
      <c r="G3623" s="29">
        <f>VLOOKUP(A3623,Calendar!$A$1:$H$9997,6,FALSE)-F3623</f>
        <v/>
      </c>
      <c r="H3623" s="19" t="n">
        <v>1</v>
      </c>
      <c r="I3623" s="57" t="n">
        <v>11</v>
      </c>
    </row>
    <row r="3624">
      <c r="A3624" s="62" t="n">
        <v>46447</v>
      </c>
      <c r="B3624" s="3" t="inlineStr">
        <is>
          <t>Week</t>
        </is>
      </c>
      <c r="C3624" s="19" t="n">
        <v>3</v>
      </c>
      <c r="D3624" s="19" t="n">
        <v>2027</v>
      </c>
      <c r="E3624" s="57" t="n">
        <v>4</v>
      </c>
      <c r="F3624" s="29">
        <f>ROUND(((SUMIFS(Calendar!$F$2:$F$9997,Calendar!$B$2:$B$9997,D3624,Calendar!$C$2:$C$9997,C3624)*INDEX(ForeCalc!$B$37:$Y$274,MATCH(_xlfn.CONCAT(H3624," ",I3624),ForeCalc!$A$37:$A$274,0),MATCH(_xlfn.CONCAT(B3624," ",E3624),ForeCalc!$B$36:$Y$36,0))))*VLOOKUP(A3624,Calendar!$A$2:$H$9997,8,FALSE),0)</f>
        <v/>
      </c>
      <c r="G3624" s="29">
        <f>VLOOKUP(A3624,Calendar!$A$1:$H$9997,6,FALSE)-F3624</f>
        <v/>
      </c>
      <c r="H3624" s="19" t="n">
        <v>1</v>
      </c>
      <c r="I3624" s="57" t="n">
        <v>12</v>
      </c>
    </row>
    <row r="3625">
      <c r="A3625" s="62" t="n">
        <v>46448</v>
      </c>
      <c r="B3625" s="3" t="inlineStr">
        <is>
          <t>Week</t>
        </is>
      </c>
      <c r="C3625" s="19" t="n">
        <v>3</v>
      </c>
      <c r="D3625" s="19" t="n">
        <v>2027</v>
      </c>
      <c r="E3625" s="57" t="n">
        <v>4</v>
      </c>
      <c r="F3625" s="29">
        <f>ROUND(((SUMIFS(Calendar!$F$2:$F$9997,Calendar!$B$2:$B$9997,D3625,Calendar!$C$2:$C$9997,C3625)*INDEX(ForeCalc!$B$37:$Y$274,MATCH(_xlfn.CONCAT(H3625," ",I3625),ForeCalc!$A$37:$A$274,0),MATCH(_xlfn.CONCAT(B3625," ",E3625),ForeCalc!$B$36:$Y$36,0))))*VLOOKUP(A3625,Calendar!$A$2:$H$9997,8,FALSE),0)</f>
        <v/>
      </c>
      <c r="G3625" s="29">
        <f>VLOOKUP(A3625,Calendar!$A$1:$H$9997,6,FALSE)-F3625</f>
        <v/>
      </c>
      <c r="H3625" s="19" t="n">
        <v>1</v>
      </c>
      <c r="I3625" s="57" t="n">
        <v>12</v>
      </c>
    </row>
    <row r="3626">
      <c r="A3626" s="62" t="n">
        <v>46449</v>
      </c>
      <c r="B3626" s="3" t="inlineStr">
        <is>
          <t>Week</t>
        </is>
      </c>
      <c r="C3626" s="19" t="n">
        <v>3</v>
      </c>
      <c r="D3626" s="19" t="n">
        <v>2027</v>
      </c>
      <c r="E3626" s="57" t="n">
        <v>4</v>
      </c>
      <c r="F3626" s="29">
        <f>ROUND(((SUMIFS(Calendar!$F$2:$F$9997,Calendar!$B$2:$B$9997,D3626,Calendar!$C$2:$C$9997,C3626)*INDEX(ForeCalc!$B$37:$Y$274,MATCH(_xlfn.CONCAT(H3626," ",I3626),ForeCalc!$A$37:$A$274,0),MATCH(_xlfn.CONCAT(B3626," ",E3626),ForeCalc!$B$36:$Y$36,0))))*VLOOKUP(A3626,Calendar!$A$2:$H$9997,8,FALSE),0)</f>
        <v/>
      </c>
      <c r="G3626" s="29">
        <f>VLOOKUP(A3626,Calendar!$A$1:$H$9997,6,FALSE)-F3626</f>
        <v/>
      </c>
      <c r="H3626" s="19" t="n">
        <v>1</v>
      </c>
      <c r="I3626" s="57" t="n">
        <v>12</v>
      </c>
    </row>
    <row r="3627">
      <c r="A3627" s="62" t="n">
        <v>46450</v>
      </c>
      <c r="B3627" s="3" t="inlineStr">
        <is>
          <t>Week</t>
        </is>
      </c>
      <c r="C3627" s="19" t="n">
        <v>3</v>
      </c>
      <c r="D3627" s="19" t="n">
        <v>2027</v>
      </c>
      <c r="E3627" s="57" t="n">
        <v>4</v>
      </c>
      <c r="F3627" s="29">
        <f>ROUND(((SUMIFS(Calendar!$F$2:$F$9997,Calendar!$B$2:$B$9997,D3627,Calendar!$C$2:$C$9997,C3627)*INDEX(ForeCalc!$B$37:$Y$274,MATCH(_xlfn.CONCAT(H3627," ",I3627),ForeCalc!$A$37:$A$274,0),MATCH(_xlfn.CONCAT(B3627," ",E3627),ForeCalc!$B$36:$Y$36,0))))*VLOOKUP(A3627,Calendar!$A$2:$H$9997,8,FALSE),0)</f>
        <v/>
      </c>
      <c r="G3627" s="29">
        <f>VLOOKUP(A3627,Calendar!$A$1:$H$9997,6,FALSE)-F3627</f>
        <v/>
      </c>
      <c r="H3627" s="19" t="n">
        <v>1</v>
      </c>
      <c r="I3627" s="57" t="n">
        <v>12</v>
      </c>
    </row>
    <row r="3628">
      <c r="A3628" s="62" t="n">
        <v>46451</v>
      </c>
      <c r="B3628" s="3" t="inlineStr">
        <is>
          <t>Week</t>
        </is>
      </c>
      <c r="C3628" s="19" t="n">
        <v>3</v>
      </c>
      <c r="D3628" s="19" t="n">
        <v>2027</v>
      </c>
      <c r="E3628" s="57" t="n">
        <v>4</v>
      </c>
      <c r="F3628" s="29">
        <f>ROUND(((SUMIFS(Calendar!$F$2:$F$9997,Calendar!$B$2:$B$9997,D3628,Calendar!$C$2:$C$9997,C3628)*INDEX(ForeCalc!$B$37:$Y$274,MATCH(_xlfn.CONCAT(H3628," ",I3628),ForeCalc!$A$37:$A$274,0),MATCH(_xlfn.CONCAT(B3628," ",E3628),ForeCalc!$B$36:$Y$36,0))))*VLOOKUP(A3628,Calendar!$A$2:$H$9997,8,FALSE),0)</f>
        <v/>
      </c>
      <c r="G3628" s="29">
        <f>VLOOKUP(A3628,Calendar!$A$1:$H$9997,6,FALSE)-F3628</f>
        <v/>
      </c>
      <c r="H3628" s="19" t="n">
        <v>1</v>
      </c>
      <c r="I3628" s="57" t="n">
        <v>12</v>
      </c>
    </row>
    <row r="3629">
      <c r="A3629" s="62" t="n">
        <v>46452</v>
      </c>
      <c r="B3629" s="3" t="inlineStr">
        <is>
          <t>Sat</t>
        </is>
      </c>
      <c r="C3629" s="19" t="n">
        <v>3</v>
      </c>
      <c r="D3629" s="19" t="n">
        <v>2027</v>
      </c>
      <c r="E3629" s="57" t="n">
        <v>4</v>
      </c>
      <c r="F3629" s="29">
        <f>ROUND(((SUMIFS(Calendar!$F$2:$F$9997,Calendar!$B$2:$B$9997,D3629,Calendar!$C$2:$C$9997,C3629)*INDEX(ForeCalc!$B$37:$Y$274,MATCH(_xlfn.CONCAT(H3629," ",I3629),ForeCalc!$A$37:$A$274,0),MATCH(_xlfn.CONCAT(B3629," ",E3629),ForeCalc!$B$36:$Y$36,0))))*VLOOKUP(A3629,Calendar!$A$2:$H$9997,8,FALSE),0)</f>
        <v/>
      </c>
      <c r="G3629" s="29">
        <f>VLOOKUP(A3629,Calendar!$A$1:$H$9997,6,FALSE)-F3629</f>
        <v/>
      </c>
      <c r="H3629" s="19" t="n">
        <v>1</v>
      </c>
      <c r="I3629" s="57" t="n">
        <v>12</v>
      </c>
    </row>
    <row r="3630">
      <c r="A3630" s="62" t="n">
        <v>46453</v>
      </c>
      <c r="B3630" s="3" t="inlineStr">
        <is>
          <t>Sun</t>
        </is>
      </c>
      <c r="C3630" s="19" t="n">
        <v>3</v>
      </c>
      <c r="D3630" s="19" t="n">
        <v>2027</v>
      </c>
      <c r="E3630" s="57" t="n">
        <v>4</v>
      </c>
      <c r="F3630" s="29">
        <f>ROUND(((SUMIFS(Calendar!$F$2:$F$9997,Calendar!$B$2:$B$9997,D3630,Calendar!$C$2:$C$9997,C3630)*INDEX(ForeCalc!$B$37:$Y$274,MATCH(_xlfn.CONCAT(H3630," ",I3630),ForeCalc!$A$37:$A$274,0),MATCH(_xlfn.CONCAT(B3630," ",E3630),ForeCalc!$B$36:$Y$36,0))))*VLOOKUP(A3630,Calendar!$A$2:$H$9997,8,FALSE),0)</f>
        <v/>
      </c>
      <c r="G3630" s="29">
        <f>VLOOKUP(A3630,Calendar!$A$1:$H$9997,6,FALSE)-F3630</f>
        <v/>
      </c>
      <c r="H3630" s="19" t="n">
        <v>1</v>
      </c>
      <c r="I3630" s="57" t="n">
        <v>12</v>
      </c>
    </row>
    <row r="3631">
      <c r="A3631" s="62" t="n">
        <v>46454</v>
      </c>
      <c r="B3631" s="3" t="inlineStr">
        <is>
          <t>Week</t>
        </is>
      </c>
      <c r="C3631" s="19" t="n">
        <v>3</v>
      </c>
      <c r="D3631" s="19" t="n">
        <v>2027</v>
      </c>
      <c r="E3631" s="57" t="n">
        <v>4</v>
      </c>
      <c r="F3631" s="29">
        <f>ROUND(((SUMIFS(Calendar!$F$2:$F$9997,Calendar!$B$2:$B$9997,D3631,Calendar!$C$2:$C$9997,C3631)*INDEX(ForeCalc!$B$37:$Y$274,MATCH(_xlfn.CONCAT(H3631," ",I3631),ForeCalc!$A$37:$A$274,0),MATCH(_xlfn.CONCAT(B3631," ",E3631),ForeCalc!$B$36:$Y$36,0))))*VLOOKUP(A3631,Calendar!$A$2:$H$9997,8,FALSE),0)</f>
        <v/>
      </c>
      <c r="G3631" s="29">
        <f>VLOOKUP(A3631,Calendar!$A$1:$H$9997,6,FALSE)-F3631</f>
        <v/>
      </c>
      <c r="H3631" s="19" t="n">
        <v>1</v>
      </c>
      <c r="I3631" s="57" t="n">
        <v>12</v>
      </c>
    </row>
    <row r="3632">
      <c r="A3632" s="62" t="n">
        <v>46455</v>
      </c>
      <c r="B3632" s="3" t="inlineStr">
        <is>
          <t>Week</t>
        </is>
      </c>
      <c r="C3632" s="19" t="n">
        <v>3</v>
      </c>
      <c r="D3632" s="19" t="n">
        <v>2027</v>
      </c>
      <c r="E3632" s="57" t="n">
        <v>4</v>
      </c>
      <c r="F3632" s="29">
        <f>ROUND(((SUMIFS(Calendar!$F$2:$F$9997,Calendar!$B$2:$B$9997,D3632,Calendar!$C$2:$C$9997,C3632)*INDEX(ForeCalc!$B$37:$Y$274,MATCH(_xlfn.CONCAT(H3632," ",I3632),ForeCalc!$A$37:$A$274,0),MATCH(_xlfn.CONCAT(B3632," ",E3632),ForeCalc!$B$36:$Y$36,0))))*VLOOKUP(A3632,Calendar!$A$2:$H$9997,8,FALSE),0)</f>
        <v/>
      </c>
      <c r="G3632" s="29">
        <f>VLOOKUP(A3632,Calendar!$A$1:$H$9997,6,FALSE)-F3632</f>
        <v/>
      </c>
      <c r="H3632" s="19" t="n">
        <v>1</v>
      </c>
      <c r="I3632" s="57" t="n">
        <v>12</v>
      </c>
    </row>
    <row r="3633">
      <c r="A3633" s="62" t="n">
        <v>46456</v>
      </c>
      <c r="B3633" s="3" t="inlineStr">
        <is>
          <t>Week</t>
        </is>
      </c>
      <c r="C3633" s="19" t="n">
        <v>3</v>
      </c>
      <c r="D3633" s="19" t="n">
        <v>2027</v>
      </c>
      <c r="E3633" s="57" t="n">
        <v>4</v>
      </c>
      <c r="F3633" s="29">
        <f>ROUND(((SUMIFS(Calendar!$F$2:$F$9997,Calendar!$B$2:$B$9997,D3633,Calendar!$C$2:$C$9997,C3633)*INDEX(ForeCalc!$B$37:$Y$274,MATCH(_xlfn.CONCAT(H3633," ",I3633),ForeCalc!$A$37:$A$274,0),MATCH(_xlfn.CONCAT(B3633," ",E3633),ForeCalc!$B$36:$Y$36,0))))*VLOOKUP(A3633,Calendar!$A$2:$H$9997,8,FALSE),0)</f>
        <v/>
      </c>
      <c r="G3633" s="29">
        <f>VLOOKUP(A3633,Calendar!$A$1:$H$9997,6,FALSE)-F3633</f>
        <v/>
      </c>
      <c r="H3633" s="19" t="n">
        <v>1</v>
      </c>
      <c r="I3633" s="57" t="n">
        <v>12</v>
      </c>
    </row>
    <row r="3634">
      <c r="A3634" s="62" t="n">
        <v>46457</v>
      </c>
      <c r="B3634" s="3" t="inlineStr">
        <is>
          <t>Week</t>
        </is>
      </c>
      <c r="C3634" s="19" t="n">
        <v>3</v>
      </c>
      <c r="D3634" s="19" t="n">
        <v>2027</v>
      </c>
      <c r="E3634" s="57" t="n">
        <v>4</v>
      </c>
      <c r="F3634" s="29">
        <f>ROUND(((SUMIFS(Calendar!$F$2:$F$9997,Calendar!$B$2:$B$9997,D3634,Calendar!$C$2:$C$9997,C3634)*INDEX(ForeCalc!$B$37:$Y$274,MATCH(_xlfn.CONCAT(H3634," ",I3634),ForeCalc!$A$37:$A$274,0),MATCH(_xlfn.CONCAT(B3634," ",E3634),ForeCalc!$B$36:$Y$36,0))))*VLOOKUP(A3634,Calendar!$A$2:$H$9997,8,FALSE),0)</f>
        <v/>
      </c>
      <c r="G3634" s="29">
        <f>VLOOKUP(A3634,Calendar!$A$1:$H$9997,6,FALSE)-F3634</f>
        <v/>
      </c>
      <c r="H3634" s="19" t="n">
        <v>1</v>
      </c>
      <c r="I3634" s="57" t="n">
        <v>12</v>
      </c>
    </row>
    <row r="3635">
      <c r="A3635" s="62" t="n">
        <v>46458</v>
      </c>
      <c r="B3635" s="3" t="inlineStr">
        <is>
          <t>Week</t>
        </is>
      </c>
      <c r="C3635" s="19" t="n">
        <v>3</v>
      </c>
      <c r="D3635" s="19" t="n">
        <v>2027</v>
      </c>
      <c r="E3635" s="57" t="n">
        <v>4</v>
      </c>
      <c r="F3635" s="29">
        <f>ROUND(((SUMIFS(Calendar!$F$2:$F$9997,Calendar!$B$2:$B$9997,D3635,Calendar!$C$2:$C$9997,C3635)*INDEX(ForeCalc!$B$37:$Y$274,MATCH(_xlfn.CONCAT(H3635," ",I3635),ForeCalc!$A$37:$A$274,0),MATCH(_xlfn.CONCAT(B3635," ",E3635),ForeCalc!$B$36:$Y$36,0))))*VLOOKUP(A3635,Calendar!$A$2:$H$9997,8,FALSE),0)</f>
        <v/>
      </c>
      <c r="G3635" s="29">
        <f>VLOOKUP(A3635,Calendar!$A$1:$H$9997,6,FALSE)-F3635</f>
        <v/>
      </c>
      <c r="H3635" s="19" t="n">
        <v>1</v>
      </c>
      <c r="I3635" s="57" t="n">
        <v>12</v>
      </c>
    </row>
    <row r="3636">
      <c r="A3636" s="62" t="n">
        <v>46459</v>
      </c>
      <c r="B3636" s="3" t="inlineStr">
        <is>
          <t>Sat</t>
        </is>
      </c>
      <c r="C3636" s="19" t="n">
        <v>3</v>
      </c>
      <c r="D3636" s="19" t="n">
        <v>2027</v>
      </c>
      <c r="E3636" s="57" t="n">
        <v>4</v>
      </c>
      <c r="F3636" s="29">
        <f>ROUND(((SUMIFS(Calendar!$F$2:$F$9997,Calendar!$B$2:$B$9997,D3636,Calendar!$C$2:$C$9997,C3636)*INDEX(ForeCalc!$B$37:$Y$274,MATCH(_xlfn.CONCAT(H3636," ",I3636),ForeCalc!$A$37:$A$274,0),MATCH(_xlfn.CONCAT(B3636," ",E3636),ForeCalc!$B$36:$Y$36,0))))*VLOOKUP(A3636,Calendar!$A$2:$H$9997,8,FALSE),0)</f>
        <v/>
      </c>
      <c r="G3636" s="29">
        <f>VLOOKUP(A3636,Calendar!$A$1:$H$9997,6,FALSE)-F3636</f>
        <v/>
      </c>
      <c r="H3636" s="19" t="n">
        <v>1</v>
      </c>
      <c r="I3636" s="57" t="n">
        <v>12</v>
      </c>
    </row>
    <row r="3637">
      <c r="A3637" s="62" t="n">
        <v>46460</v>
      </c>
      <c r="B3637" s="3" t="inlineStr">
        <is>
          <t>Sun</t>
        </is>
      </c>
      <c r="C3637" s="19" t="n">
        <v>3</v>
      </c>
      <c r="D3637" s="19" t="n">
        <v>2027</v>
      </c>
      <c r="E3637" s="57" t="n">
        <v>4</v>
      </c>
      <c r="F3637" s="29">
        <f>ROUND(((SUMIFS(Calendar!$F$2:$F$9997,Calendar!$B$2:$B$9997,D3637,Calendar!$C$2:$C$9997,C3637)*INDEX(ForeCalc!$B$37:$Y$274,MATCH(_xlfn.CONCAT(H3637," ",I3637),ForeCalc!$A$37:$A$274,0),MATCH(_xlfn.CONCAT(B3637," ",E3637),ForeCalc!$B$36:$Y$36,0))))*VLOOKUP(A3637,Calendar!$A$2:$H$9997,8,FALSE),0)</f>
        <v/>
      </c>
      <c r="G3637" s="29">
        <f>VLOOKUP(A3637,Calendar!$A$1:$H$9997,6,FALSE)-F3637</f>
        <v/>
      </c>
      <c r="H3637" s="19" t="n">
        <v>1</v>
      </c>
      <c r="I3637" s="57" t="n">
        <v>12</v>
      </c>
    </row>
    <row r="3638">
      <c r="A3638" s="62" t="n">
        <v>46461</v>
      </c>
      <c r="B3638" s="3" t="inlineStr">
        <is>
          <t>Week</t>
        </is>
      </c>
      <c r="C3638" s="19" t="n">
        <v>3</v>
      </c>
      <c r="D3638" s="19" t="n">
        <v>2027</v>
      </c>
      <c r="E3638" s="57" t="n">
        <v>4</v>
      </c>
      <c r="F3638" s="29">
        <f>ROUND(((SUMIFS(Calendar!$F$2:$F$9997,Calendar!$B$2:$B$9997,D3638,Calendar!$C$2:$C$9997,C3638)*INDEX(ForeCalc!$B$37:$Y$274,MATCH(_xlfn.CONCAT(H3638," ",I3638),ForeCalc!$A$37:$A$274,0),MATCH(_xlfn.CONCAT(B3638," ",E3638),ForeCalc!$B$36:$Y$36,0))))*VLOOKUP(A3638,Calendar!$A$2:$H$9997,8,FALSE),0)</f>
        <v/>
      </c>
      <c r="G3638" s="29">
        <f>VLOOKUP(A3638,Calendar!$A$1:$H$9997,6,FALSE)-F3638</f>
        <v/>
      </c>
      <c r="H3638" s="19" t="n">
        <v>1</v>
      </c>
      <c r="I3638" s="57" t="n">
        <v>12</v>
      </c>
    </row>
    <row r="3639">
      <c r="A3639" s="62" t="n">
        <v>46462</v>
      </c>
      <c r="B3639" s="3" t="inlineStr">
        <is>
          <t>Week</t>
        </is>
      </c>
      <c r="C3639" s="19" t="n">
        <v>3</v>
      </c>
      <c r="D3639" s="19" t="n">
        <v>2027</v>
      </c>
      <c r="E3639" s="57" t="n">
        <v>4</v>
      </c>
      <c r="F3639" s="29">
        <f>ROUND(((SUMIFS(Calendar!$F$2:$F$9997,Calendar!$B$2:$B$9997,D3639,Calendar!$C$2:$C$9997,C3639)*INDEX(ForeCalc!$B$37:$Y$274,MATCH(_xlfn.CONCAT(H3639," ",I3639),ForeCalc!$A$37:$A$274,0),MATCH(_xlfn.CONCAT(B3639," ",E3639),ForeCalc!$B$36:$Y$36,0))))*VLOOKUP(A3639,Calendar!$A$2:$H$9997,8,FALSE),0)</f>
        <v/>
      </c>
      <c r="G3639" s="29">
        <f>VLOOKUP(A3639,Calendar!$A$1:$H$9997,6,FALSE)-F3639</f>
        <v/>
      </c>
      <c r="H3639" s="19" t="n">
        <v>1</v>
      </c>
      <c r="I3639" s="57" t="n">
        <v>12</v>
      </c>
    </row>
    <row r="3640">
      <c r="A3640" s="62" t="n">
        <v>46463</v>
      </c>
      <c r="B3640" s="3" t="inlineStr">
        <is>
          <t>Week</t>
        </is>
      </c>
      <c r="C3640" s="19" t="n">
        <v>3</v>
      </c>
      <c r="D3640" s="19" t="n">
        <v>2027</v>
      </c>
      <c r="E3640" s="57" t="n">
        <v>4</v>
      </c>
      <c r="F3640" s="29">
        <f>ROUND(((SUMIFS(Calendar!$F$2:$F$9997,Calendar!$B$2:$B$9997,D3640,Calendar!$C$2:$C$9997,C3640)*INDEX(ForeCalc!$B$37:$Y$274,MATCH(_xlfn.CONCAT(H3640," ",I3640),ForeCalc!$A$37:$A$274,0),MATCH(_xlfn.CONCAT(B3640," ",E3640),ForeCalc!$B$36:$Y$36,0))))*VLOOKUP(A3640,Calendar!$A$2:$H$9997,8,FALSE),0)</f>
        <v/>
      </c>
      <c r="G3640" s="29">
        <f>VLOOKUP(A3640,Calendar!$A$1:$H$9997,6,FALSE)-F3640</f>
        <v/>
      </c>
      <c r="H3640" s="19" t="n">
        <v>1</v>
      </c>
      <c r="I3640" s="57" t="n">
        <v>12</v>
      </c>
    </row>
    <row r="3641">
      <c r="A3641" s="62" t="n">
        <v>46464</v>
      </c>
      <c r="B3641" s="3" t="inlineStr">
        <is>
          <t>Week</t>
        </is>
      </c>
      <c r="C3641" s="19" t="n">
        <v>3</v>
      </c>
      <c r="D3641" s="19" t="n">
        <v>2027</v>
      </c>
      <c r="E3641" s="57" t="n">
        <v>4</v>
      </c>
      <c r="F3641" s="29">
        <f>ROUND(((SUMIFS(Calendar!$F$2:$F$9997,Calendar!$B$2:$B$9997,D3641,Calendar!$C$2:$C$9997,C3641)*INDEX(ForeCalc!$B$37:$Y$274,MATCH(_xlfn.CONCAT(H3641," ",I3641),ForeCalc!$A$37:$A$274,0),MATCH(_xlfn.CONCAT(B3641," ",E3641),ForeCalc!$B$36:$Y$36,0))))*VLOOKUP(A3641,Calendar!$A$2:$H$9997,8,FALSE),0)</f>
        <v/>
      </c>
      <c r="G3641" s="29">
        <f>VLOOKUP(A3641,Calendar!$A$1:$H$9997,6,FALSE)-F3641</f>
        <v/>
      </c>
      <c r="H3641" s="19" t="n">
        <v>1</v>
      </c>
      <c r="I3641" s="57" t="n">
        <v>12</v>
      </c>
    </row>
    <row r="3642">
      <c r="A3642" s="62" t="n">
        <v>46465</v>
      </c>
      <c r="B3642" s="3" t="inlineStr">
        <is>
          <t>Week</t>
        </is>
      </c>
      <c r="C3642" s="19" t="n">
        <v>3</v>
      </c>
      <c r="D3642" s="19" t="n">
        <v>2027</v>
      </c>
      <c r="E3642" s="57" t="n">
        <v>4</v>
      </c>
      <c r="F3642" s="29">
        <f>ROUND(((SUMIFS(Calendar!$F$2:$F$9997,Calendar!$B$2:$B$9997,D3642,Calendar!$C$2:$C$9997,C3642)*INDEX(ForeCalc!$B$37:$Y$274,MATCH(_xlfn.CONCAT(H3642," ",I3642),ForeCalc!$A$37:$A$274,0),MATCH(_xlfn.CONCAT(B3642," ",E3642),ForeCalc!$B$36:$Y$36,0))))*VLOOKUP(A3642,Calendar!$A$2:$H$9997,8,FALSE),0)</f>
        <v/>
      </c>
      <c r="G3642" s="29">
        <f>VLOOKUP(A3642,Calendar!$A$1:$H$9997,6,FALSE)-F3642</f>
        <v/>
      </c>
      <c r="H3642" s="19" t="n">
        <v>1</v>
      </c>
      <c r="I3642" s="57" t="n">
        <v>12</v>
      </c>
    </row>
    <row r="3643">
      <c r="A3643" s="62" t="n">
        <v>46466</v>
      </c>
      <c r="B3643" s="3" t="inlineStr">
        <is>
          <t>Sat</t>
        </is>
      </c>
      <c r="C3643" s="19" t="n">
        <v>3</v>
      </c>
      <c r="D3643" s="19" t="n">
        <v>2027</v>
      </c>
      <c r="E3643" s="57" t="n">
        <v>4</v>
      </c>
      <c r="F3643" s="29">
        <f>ROUND(((SUMIFS(Calendar!$F$2:$F$9997,Calendar!$B$2:$B$9997,D3643,Calendar!$C$2:$C$9997,C3643)*INDEX(ForeCalc!$B$37:$Y$274,MATCH(_xlfn.CONCAT(H3643," ",I3643),ForeCalc!$A$37:$A$274,0),MATCH(_xlfn.CONCAT(B3643," ",E3643),ForeCalc!$B$36:$Y$36,0))))*VLOOKUP(A3643,Calendar!$A$2:$H$9997,8,FALSE),0)</f>
        <v/>
      </c>
      <c r="G3643" s="29">
        <f>VLOOKUP(A3643,Calendar!$A$1:$H$9997,6,FALSE)-F3643</f>
        <v/>
      </c>
      <c r="H3643" s="19" t="n">
        <v>1</v>
      </c>
      <c r="I3643" s="57" t="n">
        <v>12</v>
      </c>
    </row>
    <row r="3644">
      <c r="A3644" s="62" t="n">
        <v>46467</v>
      </c>
      <c r="B3644" s="3" t="inlineStr">
        <is>
          <t>Sun</t>
        </is>
      </c>
      <c r="C3644" s="19" t="n">
        <v>3</v>
      </c>
      <c r="D3644" s="19" t="n">
        <v>2027</v>
      </c>
      <c r="E3644" s="57" t="n">
        <v>4</v>
      </c>
      <c r="F3644" s="29">
        <f>ROUND(((SUMIFS(Calendar!$F$2:$F$9997,Calendar!$B$2:$B$9997,D3644,Calendar!$C$2:$C$9997,C3644)*INDEX(ForeCalc!$B$37:$Y$274,MATCH(_xlfn.CONCAT(H3644," ",I3644),ForeCalc!$A$37:$A$274,0),MATCH(_xlfn.CONCAT(B3644," ",E3644),ForeCalc!$B$36:$Y$36,0))))*VLOOKUP(A3644,Calendar!$A$2:$H$9997,8,FALSE),0)</f>
        <v/>
      </c>
      <c r="G3644" s="29">
        <f>VLOOKUP(A3644,Calendar!$A$1:$H$9997,6,FALSE)-F3644</f>
        <v/>
      </c>
      <c r="H3644" s="19" t="n">
        <v>1</v>
      </c>
      <c r="I3644" s="57" t="n">
        <v>12</v>
      </c>
    </row>
    <row r="3645">
      <c r="A3645" s="62" t="n">
        <v>46468</v>
      </c>
      <c r="B3645" s="3" t="inlineStr">
        <is>
          <t>Week</t>
        </is>
      </c>
      <c r="C3645" s="19" t="n">
        <v>3</v>
      </c>
      <c r="D3645" s="19" t="n">
        <v>2027</v>
      </c>
      <c r="E3645" s="57" t="n">
        <v>4</v>
      </c>
      <c r="F3645" s="29">
        <f>ROUND(((SUMIFS(Calendar!$F$2:$F$9997,Calendar!$B$2:$B$9997,D3645,Calendar!$C$2:$C$9997,C3645)*INDEX(ForeCalc!$B$37:$Y$274,MATCH(_xlfn.CONCAT(H3645," ",I3645),ForeCalc!$A$37:$A$274,0),MATCH(_xlfn.CONCAT(B3645," ",E3645),ForeCalc!$B$36:$Y$36,0))))*VLOOKUP(A3645,Calendar!$A$2:$H$9997,8,FALSE),0)</f>
        <v/>
      </c>
      <c r="G3645" s="29">
        <f>VLOOKUP(A3645,Calendar!$A$1:$H$9997,6,FALSE)-F3645</f>
        <v/>
      </c>
      <c r="H3645" s="19" t="n">
        <v>1</v>
      </c>
      <c r="I3645" s="57" t="n">
        <v>12</v>
      </c>
    </row>
    <row r="3646">
      <c r="A3646" s="62" t="n">
        <v>46469</v>
      </c>
      <c r="B3646" s="3" t="inlineStr">
        <is>
          <t>Week</t>
        </is>
      </c>
      <c r="C3646" s="19" t="n">
        <v>3</v>
      </c>
      <c r="D3646" s="19" t="n">
        <v>2027</v>
      </c>
      <c r="E3646" s="57" t="n">
        <v>4</v>
      </c>
      <c r="F3646" s="29">
        <f>ROUND(((SUMIFS(Calendar!$F$2:$F$9997,Calendar!$B$2:$B$9997,D3646,Calendar!$C$2:$C$9997,C3646)*INDEX(ForeCalc!$B$37:$Y$274,MATCH(_xlfn.CONCAT(H3646," ",I3646),ForeCalc!$A$37:$A$274,0),MATCH(_xlfn.CONCAT(B3646," ",E3646),ForeCalc!$B$36:$Y$36,0))))*VLOOKUP(A3646,Calendar!$A$2:$H$9997,8,FALSE),0)</f>
        <v/>
      </c>
      <c r="G3646" s="29">
        <f>VLOOKUP(A3646,Calendar!$A$1:$H$9997,6,FALSE)-F3646</f>
        <v/>
      </c>
      <c r="H3646" s="19" t="n">
        <v>1</v>
      </c>
      <c r="I3646" s="57" t="n">
        <v>12</v>
      </c>
    </row>
    <row r="3647">
      <c r="A3647" s="62" t="n">
        <v>46470</v>
      </c>
      <c r="B3647" s="3" t="inlineStr">
        <is>
          <t>Week</t>
        </is>
      </c>
      <c r="C3647" s="19" t="n">
        <v>3</v>
      </c>
      <c r="D3647" s="19" t="n">
        <v>2027</v>
      </c>
      <c r="E3647" s="57" t="n">
        <v>4</v>
      </c>
      <c r="F3647" s="29">
        <f>ROUND(((SUMIFS(Calendar!$F$2:$F$9997,Calendar!$B$2:$B$9997,D3647,Calendar!$C$2:$C$9997,C3647)*INDEX(ForeCalc!$B$37:$Y$274,MATCH(_xlfn.CONCAT(H3647," ",I3647),ForeCalc!$A$37:$A$274,0),MATCH(_xlfn.CONCAT(B3647," ",E3647),ForeCalc!$B$36:$Y$36,0))))*VLOOKUP(A3647,Calendar!$A$2:$H$9997,8,FALSE),0)</f>
        <v/>
      </c>
      <c r="G3647" s="29">
        <f>VLOOKUP(A3647,Calendar!$A$1:$H$9997,6,FALSE)-F3647</f>
        <v/>
      </c>
      <c r="H3647" s="19" t="n">
        <v>1</v>
      </c>
      <c r="I3647" s="57" t="n">
        <v>12</v>
      </c>
    </row>
    <row r="3648">
      <c r="A3648" s="62" t="n">
        <v>46471</v>
      </c>
      <c r="B3648" s="3" t="inlineStr">
        <is>
          <t>Week</t>
        </is>
      </c>
      <c r="C3648" s="19" t="n">
        <v>3</v>
      </c>
      <c r="D3648" s="19" t="n">
        <v>2027</v>
      </c>
      <c r="E3648" s="57" t="n">
        <v>4</v>
      </c>
      <c r="F3648" s="29">
        <f>ROUND(((SUMIFS(Calendar!$F$2:$F$9997,Calendar!$B$2:$B$9997,D3648,Calendar!$C$2:$C$9997,C3648)*INDEX(ForeCalc!$B$37:$Y$274,MATCH(_xlfn.CONCAT(H3648," ",I3648),ForeCalc!$A$37:$A$274,0),MATCH(_xlfn.CONCAT(B3648," ",E3648),ForeCalc!$B$36:$Y$36,0))))*VLOOKUP(A3648,Calendar!$A$2:$H$9997,8,FALSE),0)</f>
        <v/>
      </c>
      <c r="G3648" s="29">
        <f>VLOOKUP(A3648,Calendar!$A$1:$H$9997,6,FALSE)-F3648</f>
        <v/>
      </c>
      <c r="H3648" s="19" t="n">
        <v>1</v>
      </c>
      <c r="I3648" s="57" t="n">
        <v>12</v>
      </c>
    </row>
    <row r="3649">
      <c r="A3649" s="62" t="n">
        <v>46472</v>
      </c>
      <c r="B3649" s="3" t="inlineStr">
        <is>
          <t>Week</t>
        </is>
      </c>
      <c r="C3649" s="19" t="n">
        <v>3</v>
      </c>
      <c r="D3649" s="19" t="n">
        <v>2027</v>
      </c>
      <c r="E3649" s="57" t="n">
        <v>4</v>
      </c>
      <c r="F3649" s="29">
        <f>ROUND(((SUMIFS(Calendar!$F$2:$F$9997,Calendar!$B$2:$B$9997,D3649,Calendar!$C$2:$C$9997,C3649)*INDEX(ForeCalc!$B$37:$Y$274,MATCH(_xlfn.CONCAT(H3649," ",I3649),ForeCalc!$A$37:$A$274,0),MATCH(_xlfn.CONCAT(B3649," ",E3649),ForeCalc!$B$36:$Y$36,0))))*VLOOKUP(A3649,Calendar!$A$2:$H$9997,8,FALSE),0)</f>
        <v/>
      </c>
      <c r="G3649" s="29">
        <f>VLOOKUP(A3649,Calendar!$A$1:$H$9997,6,FALSE)-F3649</f>
        <v/>
      </c>
      <c r="H3649" s="19" t="n">
        <v>1</v>
      </c>
      <c r="I3649" s="57" t="n">
        <v>12</v>
      </c>
    </row>
    <row r="3650">
      <c r="A3650" s="62" t="n">
        <v>46473</v>
      </c>
      <c r="B3650" s="3" t="inlineStr">
        <is>
          <t>Sat</t>
        </is>
      </c>
      <c r="C3650" s="19" t="n">
        <v>3</v>
      </c>
      <c r="D3650" s="19" t="n">
        <v>2027</v>
      </c>
      <c r="E3650" s="57" t="n">
        <v>4</v>
      </c>
      <c r="F3650" s="29">
        <f>ROUND(((SUMIFS(Calendar!$F$2:$F$9997,Calendar!$B$2:$B$9997,D3650,Calendar!$C$2:$C$9997,C3650)*INDEX(ForeCalc!$B$37:$Y$274,MATCH(_xlfn.CONCAT(H3650," ",I3650),ForeCalc!$A$37:$A$274,0),MATCH(_xlfn.CONCAT(B3650," ",E3650),ForeCalc!$B$36:$Y$36,0))))*VLOOKUP(A3650,Calendar!$A$2:$H$9997,8,FALSE),0)</f>
        <v/>
      </c>
      <c r="G3650" s="29">
        <f>VLOOKUP(A3650,Calendar!$A$1:$H$9997,6,FALSE)-F3650</f>
        <v/>
      </c>
      <c r="H3650" s="19" t="n">
        <v>1</v>
      </c>
      <c r="I3650" s="57" t="n">
        <v>12</v>
      </c>
    </row>
    <row r="3651">
      <c r="A3651" s="62" t="n">
        <v>46474</v>
      </c>
      <c r="B3651" s="3" t="inlineStr">
        <is>
          <t>Sun</t>
        </is>
      </c>
      <c r="C3651" s="19" t="n">
        <v>3</v>
      </c>
      <c r="D3651" s="19" t="n">
        <v>2027</v>
      </c>
      <c r="E3651" s="57" t="n">
        <v>4</v>
      </c>
      <c r="F3651" s="29">
        <f>ROUND(((SUMIFS(Calendar!$F$2:$F$9997,Calendar!$B$2:$B$9997,D3651,Calendar!$C$2:$C$9997,C3651)*INDEX(ForeCalc!$B$37:$Y$274,MATCH(_xlfn.CONCAT(H3651," ",I3651),ForeCalc!$A$37:$A$274,0),MATCH(_xlfn.CONCAT(B3651," ",E3651),ForeCalc!$B$36:$Y$36,0))))*VLOOKUP(A3651,Calendar!$A$2:$H$9997,8,FALSE),0)</f>
        <v/>
      </c>
      <c r="G3651" s="29">
        <f>VLOOKUP(A3651,Calendar!$A$1:$H$9997,6,FALSE)-F3651</f>
        <v/>
      </c>
      <c r="H3651" s="19" t="n">
        <v>1</v>
      </c>
      <c r="I3651" s="57" t="n">
        <v>12</v>
      </c>
    </row>
    <row r="3652">
      <c r="A3652" s="62" t="n">
        <v>46475</v>
      </c>
      <c r="B3652" s="3" t="inlineStr">
        <is>
          <t>Week</t>
        </is>
      </c>
      <c r="C3652" s="19" t="n">
        <v>3</v>
      </c>
      <c r="D3652" s="19" t="n">
        <v>2027</v>
      </c>
      <c r="E3652" s="57" t="n">
        <v>4</v>
      </c>
      <c r="F3652" s="29">
        <f>ROUND(((SUMIFS(Calendar!$F$2:$F$9997,Calendar!$B$2:$B$9997,D3652,Calendar!$C$2:$C$9997,C3652)*INDEX(ForeCalc!$B$37:$Y$274,MATCH(_xlfn.CONCAT(H3652," ",I3652),ForeCalc!$A$37:$A$274,0),MATCH(_xlfn.CONCAT(B3652," ",E3652),ForeCalc!$B$36:$Y$36,0))))*VLOOKUP(A3652,Calendar!$A$2:$H$9997,8,FALSE),0)</f>
        <v/>
      </c>
      <c r="G3652" s="29">
        <f>VLOOKUP(A3652,Calendar!$A$1:$H$9997,6,FALSE)-F3652</f>
        <v/>
      </c>
      <c r="H3652" s="19" t="n">
        <v>1</v>
      </c>
      <c r="I3652" s="57" t="n">
        <v>12</v>
      </c>
    </row>
    <row r="3653">
      <c r="A3653" s="62" t="n">
        <v>46476</v>
      </c>
      <c r="B3653" s="3" t="inlineStr">
        <is>
          <t>Week</t>
        </is>
      </c>
      <c r="C3653" s="19" t="n">
        <v>3</v>
      </c>
      <c r="D3653" s="19" t="n">
        <v>2027</v>
      </c>
      <c r="E3653" s="57" t="n">
        <v>4</v>
      </c>
      <c r="F3653" s="29">
        <f>ROUND(((SUMIFS(Calendar!$F$2:$F$9997,Calendar!$B$2:$B$9997,D3653,Calendar!$C$2:$C$9997,C3653)*INDEX(ForeCalc!$B$37:$Y$274,MATCH(_xlfn.CONCAT(H3653," ",I3653),ForeCalc!$A$37:$A$274,0),MATCH(_xlfn.CONCAT(B3653," ",E3653),ForeCalc!$B$36:$Y$36,0))))*VLOOKUP(A3653,Calendar!$A$2:$H$9997,8,FALSE),0)</f>
        <v/>
      </c>
      <c r="G3653" s="29">
        <f>VLOOKUP(A3653,Calendar!$A$1:$H$9997,6,FALSE)-F3653</f>
        <v/>
      </c>
      <c r="H3653" s="19" t="n">
        <v>1</v>
      </c>
      <c r="I3653" s="57" t="n">
        <v>12</v>
      </c>
    </row>
    <row r="3654">
      <c r="A3654" s="62" t="n">
        <v>46477</v>
      </c>
      <c r="B3654" s="3" t="inlineStr">
        <is>
          <t>Week</t>
        </is>
      </c>
      <c r="C3654" s="19" t="n">
        <v>3</v>
      </c>
      <c r="D3654" s="19" t="n">
        <v>2027</v>
      </c>
      <c r="E3654" s="57" t="n">
        <v>4</v>
      </c>
      <c r="F3654" s="29">
        <f>ROUND(((SUMIFS(Calendar!$F$2:$F$9997,Calendar!$B$2:$B$9997,D3654,Calendar!$C$2:$C$9997,C3654)*INDEX(ForeCalc!$B$37:$Y$274,MATCH(_xlfn.CONCAT(H3654," ",I3654),ForeCalc!$A$37:$A$274,0),MATCH(_xlfn.CONCAT(B3654," ",E3654),ForeCalc!$B$36:$Y$36,0))))*VLOOKUP(A3654,Calendar!$A$2:$H$9997,8,FALSE),0)</f>
        <v/>
      </c>
      <c r="G3654" s="29">
        <f>VLOOKUP(A3654,Calendar!$A$1:$H$9997,6,FALSE)-F3654</f>
        <v/>
      </c>
      <c r="H3654" s="19" t="n">
        <v>1</v>
      </c>
      <c r="I3654" s="57" t="n">
        <v>12</v>
      </c>
    </row>
    <row r="3655">
      <c r="A3655" s="62" t="n">
        <v>46478</v>
      </c>
      <c r="B3655" s="3" t="inlineStr">
        <is>
          <t>Week</t>
        </is>
      </c>
      <c r="C3655" s="19" t="n">
        <v>4</v>
      </c>
      <c r="D3655" s="19" t="n">
        <v>2027</v>
      </c>
      <c r="E3655" s="57" t="n">
        <v>4</v>
      </c>
      <c r="F3655" s="29">
        <f>ROUND(((SUMIFS(Calendar!$F$2:$F$9997,Calendar!$B$2:$B$9997,D3655,Calendar!$C$2:$C$9997,C3655)*INDEX(ForeCalc!$B$37:$Y$274,MATCH(_xlfn.CONCAT(H3655," ",I3655),ForeCalc!$A$37:$A$274,0),MATCH(_xlfn.CONCAT(B3655," ",E3655),ForeCalc!$B$36:$Y$36,0))))*VLOOKUP(A3655,Calendar!$A$2:$H$9997,8,FALSE),0)</f>
        <v/>
      </c>
      <c r="G3655" s="29">
        <f>VLOOKUP(A3655,Calendar!$A$1:$H$9997,6,FALSE)-F3655</f>
        <v/>
      </c>
      <c r="H3655" s="19" t="n">
        <v>2</v>
      </c>
      <c r="I3655" s="57" t="n">
        <v>1</v>
      </c>
    </row>
    <row r="3656">
      <c r="A3656" s="62" t="n">
        <v>46479</v>
      </c>
      <c r="B3656" s="3" t="inlineStr">
        <is>
          <t>Week</t>
        </is>
      </c>
      <c r="C3656" s="19" t="n">
        <v>4</v>
      </c>
      <c r="D3656" s="19" t="n">
        <v>2027</v>
      </c>
      <c r="E3656" s="57" t="n">
        <v>4</v>
      </c>
      <c r="F3656" s="29">
        <f>ROUND(((SUMIFS(Calendar!$F$2:$F$9997,Calendar!$B$2:$B$9997,D3656,Calendar!$C$2:$C$9997,C3656)*INDEX(ForeCalc!$B$37:$Y$274,MATCH(_xlfn.CONCAT(H3656," ",I3656),ForeCalc!$A$37:$A$274,0),MATCH(_xlfn.CONCAT(B3656," ",E3656),ForeCalc!$B$36:$Y$36,0))))*VLOOKUP(A3656,Calendar!$A$2:$H$9997,8,FALSE),0)</f>
        <v/>
      </c>
      <c r="G3656" s="29">
        <f>VLOOKUP(A3656,Calendar!$A$1:$H$9997,6,FALSE)-F3656</f>
        <v/>
      </c>
      <c r="H3656" s="19" t="n">
        <v>2</v>
      </c>
      <c r="I3656" s="57" t="n">
        <v>1</v>
      </c>
    </row>
    <row r="3657">
      <c r="A3657" s="62" t="n">
        <v>46480</v>
      </c>
      <c r="B3657" s="3" t="inlineStr">
        <is>
          <t>Sat</t>
        </is>
      </c>
      <c r="C3657" s="19" t="n">
        <v>4</v>
      </c>
      <c r="D3657" s="19" t="n">
        <v>2027</v>
      </c>
      <c r="E3657" s="57" t="n">
        <v>4</v>
      </c>
      <c r="F3657" s="29">
        <f>ROUND(((SUMIFS(Calendar!$F$2:$F$9997,Calendar!$B$2:$B$9997,D3657,Calendar!$C$2:$C$9997,C3657)*INDEX(ForeCalc!$B$37:$Y$274,MATCH(_xlfn.CONCAT(H3657," ",I3657),ForeCalc!$A$37:$A$274,0),MATCH(_xlfn.CONCAT(B3657," ",E3657),ForeCalc!$B$36:$Y$36,0))))*VLOOKUP(A3657,Calendar!$A$2:$H$9997,8,FALSE),0)</f>
        <v/>
      </c>
      <c r="G3657" s="29">
        <f>VLOOKUP(A3657,Calendar!$A$1:$H$9997,6,FALSE)-F3657</f>
        <v/>
      </c>
      <c r="H3657" s="19" t="n">
        <v>2</v>
      </c>
      <c r="I3657" s="57" t="n">
        <v>1</v>
      </c>
    </row>
    <row r="3658">
      <c r="A3658" s="62" t="n">
        <v>46481</v>
      </c>
      <c r="B3658" s="3" t="inlineStr">
        <is>
          <t>Sun</t>
        </is>
      </c>
      <c r="C3658" s="19" t="n">
        <v>4</v>
      </c>
      <c r="D3658" s="19" t="n">
        <v>2027</v>
      </c>
      <c r="E3658" s="57" t="n">
        <v>4</v>
      </c>
      <c r="F3658" s="29">
        <f>ROUND(((SUMIFS(Calendar!$F$2:$F$9997,Calendar!$B$2:$B$9997,D3658,Calendar!$C$2:$C$9997,C3658)*INDEX(ForeCalc!$B$37:$Y$274,MATCH(_xlfn.CONCAT(H3658," ",I3658),ForeCalc!$A$37:$A$274,0),MATCH(_xlfn.CONCAT(B3658," ",E3658),ForeCalc!$B$36:$Y$36,0))))*VLOOKUP(A3658,Calendar!$A$2:$H$9997,8,FALSE),0)</f>
        <v/>
      </c>
      <c r="G3658" s="29">
        <f>VLOOKUP(A3658,Calendar!$A$1:$H$9997,6,FALSE)-F3658</f>
        <v/>
      </c>
      <c r="H3658" s="19" t="n">
        <v>2</v>
      </c>
      <c r="I3658" s="57" t="n">
        <v>1</v>
      </c>
    </row>
    <row r="3659">
      <c r="A3659" s="62" t="n">
        <v>46482</v>
      </c>
      <c r="B3659" s="3" t="inlineStr">
        <is>
          <t>Week</t>
        </is>
      </c>
      <c r="C3659" s="19" t="n">
        <v>4</v>
      </c>
      <c r="D3659" s="19" t="n">
        <v>2027</v>
      </c>
      <c r="E3659" s="57" t="n">
        <v>4</v>
      </c>
      <c r="F3659" s="29">
        <f>ROUND(((SUMIFS(Calendar!$F$2:$F$9997,Calendar!$B$2:$B$9997,D3659,Calendar!$C$2:$C$9997,C3659)*INDEX(ForeCalc!$B$37:$Y$274,MATCH(_xlfn.CONCAT(H3659," ",I3659),ForeCalc!$A$37:$A$274,0),MATCH(_xlfn.CONCAT(B3659," ",E3659),ForeCalc!$B$36:$Y$36,0))))*VLOOKUP(A3659,Calendar!$A$2:$H$9997,8,FALSE),0)</f>
        <v/>
      </c>
      <c r="G3659" s="29">
        <f>VLOOKUP(A3659,Calendar!$A$1:$H$9997,6,FALSE)-F3659</f>
        <v/>
      </c>
      <c r="H3659" s="19" t="n">
        <v>2</v>
      </c>
      <c r="I3659" s="57" t="n">
        <v>1</v>
      </c>
    </row>
    <row r="3660">
      <c r="A3660" s="62" t="n">
        <v>46483</v>
      </c>
      <c r="B3660" s="3" t="inlineStr">
        <is>
          <t>Week</t>
        </is>
      </c>
      <c r="C3660" s="19" t="n">
        <v>4</v>
      </c>
      <c r="D3660" s="19" t="n">
        <v>2027</v>
      </c>
      <c r="E3660" s="57" t="n">
        <v>4</v>
      </c>
      <c r="F3660" s="29">
        <f>ROUND(((SUMIFS(Calendar!$F$2:$F$9997,Calendar!$B$2:$B$9997,D3660,Calendar!$C$2:$C$9997,C3660)*INDEX(ForeCalc!$B$37:$Y$274,MATCH(_xlfn.CONCAT(H3660," ",I3660),ForeCalc!$A$37:$A$274,0),MATCH(_xlfn.CONCAT(B3660," ",E3660),ForeCalc!$B$36:$Y$36,0))))*VLOOKUP(A3660,Calendar!$A$2:$H$9997,8,FALSE),0)</f>
        <v/>
      </c>
      <c r="G3660" s="29">
        <f>VLOOKUP(A3660,Calendar!$A$1:$H$9997,6,FALSE)-F3660</f>
        <v/>
      </c>
      <c r="H3660" s="19" t="n">
        <v>2</v>
      </c>
      <c r="I3660" s="57" t="n">
        <v>1</v>
      </c>
    </row>
    <row r="3661">
      <c r="A3661" s="62" t="n">
        <v>46484</v>
      </c>
      <c r="B3661" s="3" t="inlineStr">
        <is>
          <t>Week</t>
        </is>
      </c>
      <c r="C3661" s="19" t="n">
        <v>4</v>
      </c>
      <c r="D3661" s="19" t="n">
        <v>2027</v>
      </c>
      <c r="E3661" s="57" t="n">
        <v>4</v>
      </c>
      <c r="F3661" s="29">
        <f>ROUND(((SUMIFS(Calendar!$F$2:$F$9997,Calendar!$B$2:$B$9997,D3661,Calendar!$C$2:$C$9997,C3661)*INDEX(ForeCalc!$B$37:$Y$274,MATCH(_xlfn.CONCAT(H3661," ",I3661),ForeCalc!$A$37:$A$274,0),MATCH(_xlfn.CONCAT(B3661," ",E3661),ForeCalc!$B$36:$Y$36,0))))*VLOOKUP(A3661,Calendar!$A$2:$H$9997,8,FALSE),0)</f>
        <v/>
      </c>
      <c r="G3661" s="29">
        <f>VLOOKUP(A3661,Calendar!$A$1:$H$9997,6,FALSE)-F3661</f>
        <v/>
      </c>
      <c r="H3661" s="19" t="n">
        <v>2</v>
      </c>
      <c r="I3661" s="57" t="n">
        <v>1</v>
      </c>
    </row>
    <row r="3662">
      <c r="A3662" s="62" t="n">
        <v>46485</v>
      </c>
      <c r="B3662" s="3" t="inlineStr">
        <is>
          <t>Week</t>
        </is>
      </c>
      <c r="C3662" s="19" t="n">
        <v>4</v>
      </c>
      <c r="D3662" s="19" t="n">
        <v>2027</v>
      </c>
      <c r="E3662" s="57" t="n">
        <v>4</v>
      </c>
      <c r="F3662" s="29">
        <f>ROUND(((SUMIFS(Calendar!$F$2:$F$9997,Calendar!$B$2:$B$9997,D3662,Calendar!$C$2:$C$9997,C3662)*INDEX(ForeCalc!$B$37:$Y$274,MATCH(_xlfn.CONCAT(H3662," ",I3662),ForeCalc!$A$37:$A$274,0),MATCH(_xlfn.CONCAT(B3662," ",E3662),ForeCalc!$B$36:$Y$36,0))))*VLOOKUP(A3662,Calendar!$A$2:$H$9997,8,FALSE),0)</f>
        <v/>
      </c>
      <c r="G3662" s="29">
        <f>VLOOKUP(A3662,Calendar!$A$1:$H$9997,6,FALSE)-F3662</f>
        <v/>
      </c>
      <c r="H3662" s="19" t="n">
        <v>2</v>
      </c>
      <c r="I3662" s="57" t="n">
        <v>1</v>
      </c>
    </row>
    <row r="3663">
      <c r="A3663" s="62" t="n">
        <v>46486</v>
      </c>
      <c r="B3663" s="3" t="inlineStr">
        <is>
          <t>Week</t>
        </is>
      </c>
      <c r="C3663" s="19" t="n">
        <v>4</v>
      </c>
      <c r="D3663" s="19" t="n">
        <v>2027</v>
      </c>
      <c r="E3663" s="57" t="n">
        <v>4</v>
      </c>
      <c r="F3663" s="29">
        <f>ROUND(((SUMIFS(Calendar!$F$2:$F$9997,Calendar!$B$2:$B$9997,D3663,Calendar!$C$2:$C$9997,C3663)*INDEX(ForeCalc!$B$37:$Y$274,MATCH(_xlfn.CONCAT(H3663," ",I3663),ForeCalc!$A$37:$A$274,0),MATCH(_xlfn.CONCAT(B3663," ",E3663),ForeCalc!$B$36:$Y$36,0))))*VLOOKUP(A3663,Calendar!$A$2:$H$9997,8,FALSE),0)</f>
        <v/>
      </c>
      <c r="G3663" s="29">
        <f>VLOOKUP(A3663,Calendar!$A$1:$H$9997,6,FALSE)-F3663</f>
        <v/>
      </c>
      <c r="H3663" s="19" t="n">
        <v>2</v>
      </c>
      <c r="I3663" s="57" t="n">
        <v>1</v>
      </c>
    </row>
    <row r="3664">
      <c r="A3664" s="62" t="n">
        <v>46487</v>
      </c>
      <c r="B3664" s="3" t="inlineStr">
        <is>
          <t>Sat</t>
        </is>
      </c>
      <c r="C3664" s="19" t="n">
        <v>4</v>
      </c>
      <c r="D3664" s="19" t="n">
        <v>2027</v>
      </c>
      <c r="E3664" s="57" t="n">
        <v>4</v>
      </c>
      <c r="F3664" s="29">
        <f>ROUND(((SUMIFS(Calendar!$F$2:$F$9997,Calendar!$B$2:$B$9997,D3664,Calendar!$C$2:$C$9997,C3664)*INDEX(ForeCalc!$B$37:$Y$274,MATCH(_xlfn.CONCAT(H3664," ",I3664),ForeCalc!$A$37:$A$274,0),MATCH(_xlfn.CONCAT(B3664," ",E3664),ForeCalc!$B$36:$Y$36,0))))*VLOOKUP(A3664,Calendar!$A$2:$H$9997,8,FALSE),0)</f>
        <v/>
      </c>
      <c r="G3664" s="29">
        <f>VLOOKUP(A3664,Calendar!$A$1:$H$9997,6,FALSE)-F3664</f>
        <v/>
      </c>
      <c r="H3664" s="19" t="n">
        <v>2</v>
      </c>
      <c r="I3664" s="57" t="n">
        <v>1</v>
      </c>
    </row>
    <row r="3665">
      <c r="A3665" s="62" t="n">
        <v>46488</v>
      </c>
      <c r="B3665" s="3" t="inlineStr">
        <is>
          <t>Sun</t>
        </is>
      </c>
      <c r="C3665" s="19" t="n">
        <v>4</v>
      </c>
      <c r="D3665" s="19" t="n">
        <v>2027</v>
      </c>
      <c r="E3665" s="57" t="n">
        <v>4</v>
      </c>
      <c r="F3665" s="29">
        <f>ROUND(((SUMIFS(Calendar!$F$2:$F$9997,Calendar!$B$2:$B$9997,D3665,Calendar!$C$2:$C$9997,C3665)*INDEX(ForeCalc!$B$37:$Y$274,MATCH(_xlfn.CONCAT(H3665," ",I3665),ForeCalc!$A$37:$A$274,0),MATCH(_xlfn.CONCAT(B3665," ",E3665),ForeCalc!$B$36:$Y$36,0))))*VLOOKUP(A3665,Calendar!$A$2:$H$9997,8,FALSE),0)</f>
        <v/>
      </c>
      <c r="G3665" s="29">
        <f>VLOOKUP(A3665,Calendar!$A$1:$H$9997,6,FALSE)-F3665</f>
        <v/>
      </c>
      <c r="H3665" s="19" t="n">
        <v>2</v>
      </c>
      <c r="I3665" s="57" t="n">
        <v>1</v>
      </c>
    </row>
    <row r="3666">
      <c r="A3666" s="62" t="n">
        <v>46489</v>
      </c>
      <c r="B3666" s="3" t="inlineStr">
        <is>
          <t>Week</t>
        </is>
      </c>
      <c r="C3666" s="19" t="n">
        <v>4</v>
      </c>
      <c r="D3666" s="19" t="n">
        <v>2027</v>
      </c>
      <c r="E3666" s="57" t="n">
        <v>4</v>
      </c>
      <c r="F3666" s="29">
        <f>ROUND(((SUMIFS(Calendar!$F$2:$F$9997,Calendar!$B$2:$B$9997,D3666,Calendar!$C$2:$C$9997,C3666)*INDEX(ForeCalc!$B$37:$Y$274,MATCH(_xlfn.CONCAT(H3666," ",I3666),ForeCalc!$A$37:$A$274,0),MATCH(_xlfn.CONCAT(B3666," ",E3666),ForeCalc!$B$36:$Y$36,0))))*VLOOKUP(A3666,Calendar!$A$2:$H$9997,8,FALSE),0)</f>
        <v/>
      </c>
      <c r="G3666" s="29">
        <f>VLOOKUP(A3666,Calendar!$A$1:$H$9997,6,FALSE)-F3666</f>
        <v/>
      </c>
      <c r="H3666" s="19" t="n">
        <v>2</v>
      </c>
      <c r="I3666" s="57" t="n">
        <v>1</v>
      </c>
    </row>
    <row r="3667">
      <c r="A3667" s="62" t="n">
        <v>46490</v>
      </c>
      <c r="B3667" s="3" t="inlineStr">
        <is>
          <t>Week</t>
        </is>
      </c>
      <c r="C3667" s="19" t="n">
        <v>4</v>
      </c>
      <c r="D3667" s="19" t="n">
        <v>2027</v>
      </c>
      <c r="E3667" s="57" t="n">
        <v>4</v>
      </c>
      <c r="F3667" s="29">
        <f>ROUND(((SUMIFS(Calendar!$F$2:$F$9997,Calendar!$B$2:$B$9997,D3667,Calendar!$C$2:$C$9997,C3667)*INDEX(ForeCalc!$B$37:$Y$274,MATCH(_xlfn.CONCAT(H3667," ",I3667),ForeCalc!$A$37:$A$274,0),MATCH(_xlfn.CONCAT(B3667," ",E3667),ForeCalc!$B$36:$Y$36,0))))*VLOOKUP(A3667,Calendar!$A$2:$H$9997,8,FALSE),0)</f>
        <v/>
      </c>
      <c r="G3667" s="29">
        <f>VLOOKUP(A3667,Calendar!$A$1:$H$9997,6,FALSE)-F3667</f>
        <v/>
      </c>
      <c r="H3667" s="19" t="n">
        <v>2</v>
      </c>
      <c r="I3667" s="57" t="n">
        <v>1</v>
      </c>
    </row>
    <row r="3668">
      <c r="A3668" s="62" t="n">
        <v>46491</v>
      </c>
      <c r="B3668" s="3" t="inlineStr">
        <is>
          <t>Week</t>
        </is>
      </c>
      <c r="C3668" s="19" t="n">
        <v>4</v>
      </c>
      <c r="D3668" s="19" t="n">
        <v>2027</v>
      </c>
      <c r="E3668" s="57" t="n">
        <v>4</v>
      </c>
      <c r="F3668" s="29">
        <f>ROUND(((SUMIFS(Calendar!$F$2:$F$9997,Calendar!$B$2:$B$9997,D3668,Calendar!$C$2:$C$9997,C3668)*INDEX(ForeCalc!$B$37:$Y$274,MATCH(_xlfn.CONCAT(H3668," ",I3668),ForeCalc!$A$37:$A$274,0),MATCH(_xlfn.CONCAT(B3668," ",E3668),ForeCalc!$B$36:$Y$36,0))))*VLOOKUP(A3668,Calendar!$A$2:$H$9997,8,FALSE),0)</f>
        <v/>
      </c>
      <c r="G3668" s="29">
        <f>VLOOKUP(A3668,Calendar!$A$1:$H$9997,6,FALSE)-F3668</f>
        <v/>
      </c>
      <c r="H3668" s="19" t="n">
        <v>2</v>
      </c>
      <c r="I3668" s="57" t="n">
        <v>1</v>
      </c>
    </row>
    <row r="3669">
      <c r="A3669" s="62" t="n">
        <v>46492</v>
      </c>
      <c r="B3669" s="3" t="inlineStr">
        <is>
          <t>Week</t>
        </is>
      </c>
      <c r="C3669" s="19" t="n">
        <v>4</v>
      </c>
      <c r="D3669" s="19" t="n">
        <v>2027</v>
      </c>
      <c r="E3669" s="57" t="n">
        <v>4</v>
      </c>
      <c r="F3669" s="29">
        <f>ROUND(((SUMIFS(Calendar!$F$2:$F$9997,Calendar!$B$2:$B$9997,D3669,Calendar!$C$2:$C$9997,C3669)*INDEX(ForeCalc!$B$37:$Y$274,MATCH(_xlfn.CONCAT(H3669," ",I3669),ForeCalc!$A$37:$A$274,0),MATCH(_xlfn.CONCAT(B3669," ",E3669),ForeCalc!$B$36:$Y$36,0))))*VLOOKUP(A3669,Calendar!$A$2:$H$9997,8,FALSE),0)</f>
        <v/>
      </c>
      <c r="G3669" s="29">
        <f>VLOOKUP(A3669,Calendar!$A$1:$H$9997,6,FALSE)-F3669</f>
        <v/>
      </c>
      <c r="H3669" s="19" t="n">
        <v>2</v>
      </c>
      <c r="I3669" s="57" t="n">
        <v>1</v>
      </c>
    </row>
    <row r="3670">
      <c r="A3670" s="62" t="n">
        <v>46493</v>
      </c>
      <c r="B3670" s="3" t="inlineStr">
        <is>
          <t>Week</t>
        </is>
      </c>
      <c r="C3670" s="19" t="n">
        <v>4</v>
      </c>
      <c r="D3670" s="19" t="n">
        <v>2027</v>
      </c>
      <c r="E3670" s="57" t="n">
        <v>4</v>
      </c>
      <c r="F3670" s="29">
        <f>ROUND(((SUMIFS(Calendar!$F$2:$F$9997,Calendar!$B$2:$B$9997,D3670,Calendar!$C$2:$C$9997,C3670)*INDEX(ForeCalc!$B$37:$Y$274,MATCH(_xlfn.CONCAT(H3670," ",I3670),ForeCalc!$A$37:$A$274,0),MATCH(_xlfn.CONCAT(B3670," ",E3670),ForeCalc!$B$36:$Y$36,0))))*VLOOKUP(A3670,Calendar!$A$2:$H$9997,8,FALSE),0)</f>
        <v/>
      </c>
      <c r="G3670" s="29">
        <f>VLOOKUP(A3670,Calendar!$A$1:$H$9997,6,FALSE)-F3670</f>
        <v/>
      </c>
      <c r="H3670" s="19" t="n">
        <v>2</v>
      </c>
      <c r="I3670" s="57" t="n">
        <v>1</v>
      </c>
    </row>
    <row r="3671">
      <c r="A3671" s="62" t="n">
        <v>46494</v>
      </c>
      <c r="B3671" s="3" t="inlineStr">
        <is>
          <t>Sat</t>
        </is>
      </c>
      <c r="C3671" s="19" t="n">
        <v>4</v>
      </c>
      <c r="D3671" s="19" t="n">
        <v>2027</v>
      </c>
      <c r="E3671" s="57" t="n">
        <v>4</v>
      </c>
      <c r="F3671" s="29">
        <f>ROUND(((SUMIFS(Calendar!$F$2:$F$9997,Calendar!$B$2:$B$9997,D3671,Calendar!$C$2:$C$9997,C3671)*INDEX(ForeCalc!$B$37:$Y$274,MATCH(_xlfn.CONCAT(H3671," ",I3671),ForeCalc!$A$37:$A$274,0),MATCH(_xlfn.CONCAT(B3671," ",E3671),ForeCalc!$B$36:$Y$36,0))))*VLOOKUP(A3671,Calendar!$A$2:$H$9997,8,FALSE),0)</f>
        <v/>
      </c>
      <c r="G3671" s="29">
        <f>VLOOKUP(A3671,Calendar!$A$1:$H$9997,6,FALSE)-F3671</f>
        <v/>
      </c>
      <c r="H3671" s="19" t="n">
        <v>2</v>
      </c>
      <c r="I3671" s="57" t="n">
        <v>1</v>
      </c>
    </row>
    <row r="3672">
      <c r="A3672" s="62" t="n">
        <v>46495</v>
      </c>
      <c r="B3672" s="3" t="inlineStr">
        <is>
          <t>Sun</t>
        </is>
      </c>
      <c r="C3672" s="19" t="n">
        <v>4</v>
      </c>
      <c r="D3672" s="19" t="n">
        <v>2027</v>
      </c>
      <c r="E3672" s="57" t="n">
        <v>4</v>
      </c>
      <c r="F3672" s="29">
        <f>ROUND(((SUMIFS(Calendar!$F$2:$F$9997,Calendar!$B$2:$B$9997,D3672,Calendar!$C$2:$C$9997,C3672)*INDEX(ForeCalc!$B$37:$Y$274,MATCH(_xlfn.CONCAT(H3672," ",I3672),ForeCalc!$A$37:$A$274,0),MATCH(_xlfn.CONCAT(B3672," ",E3672),ForeCalc!$B$36:$Y$36,0))))*VLOOKUP(A3672,Calendar!$A$2:$H$9997,8,FALSE),0)</f>
        <v/>
      </c>
      <c r="G3672" s="29">
        <f>VLOOKUP(A3672,Calendar!$A$1:$H$9997,6,FALSE)-F3672</f>
        <v/>
      </c>
      <c r="H3672" s="19" t="n">
        <v>2</v>
      </c>
      <c r="I3672" s="57" t="n">
        <v>1</v>
      </c>
    </row>
    <row r="3673">
      <c r="A3673" s="62" t="n">
        <v>46496</v>
      </c>
      <c r="B3673" s="3" t="inlineStr">
        <is>
          <t>Week</t>
        </is>
      </c>
      <c r="C3673" s="19" t="n">
        <v>4</v>
      </c>
      <c r="D3673" s="19" t="n">
        <v>2027</v>
      </c>
      <c r="E3673" s="57" t="n">
        <v>4</v>
      </c>
      <c r="F3673" s="29">
        <f>ROUND(((SUMIFS(Calendar!$F$2:$F$9997,Calendar!$B$2:$B$9997,D3673,Calendar!$C$2:$C$9997,C3673)*INDEX(ForeCalc!$B$37:$Y$274,MATCH(_xlfn.CONCAT(H3673," ",I3673),ForeCalc!$A$37:$A$274,0),MATCH(_xlfn.CONCAT(B3673," ",E3673),ForeCalc!$B$36:$Y$36,0))))*VLOOKUP(A3673,Calendar!$A$2:$H$9997,8,FALSE),0)</f>
        <v/>
      </c>
      <c r="G3673" s="29">
        <f>VLOOKUP(A3673,Calendar!$A$1:$H$9997,6,FALSE)-F3673</f>
        <v/>
      </c>
      <c r="H3673" s="19" t="n">
        <v>2</v>
      </c>
      <c r="I3673" s="57" t="n">
        <v>1</v>
      </c>
    </row>
    <row r="3674">
      <c r="A3674" s="62" t="n">
        <v>46497</v>
      </c>
      <c r="B3674" s="3" t="inlineStr">
        <is>
          <t>Week</t>
        </is>
      </c>
      <c r="C3674" s="19" t="n">
        <v>4</v>
      </c>
      <c r="D3674" s="19" t="n">
        <v>2027</v>
      </c>
      <c r="E3674" s="57" t="n">
        <v>4</v>
      </c>
      <c r="F3674" s="29">
        <f>ROUND(((SUMIFS(Calendar!$F$2:$F$9997,Calendar!$B$2:$B$9997,D3674,Calendar!$C$2:$C$9997,C3674)*INDEX(ForeCalc!$B$37:$Y$274,MATCH(_xlfn.CONCAT(H3674," ",I3674),ForeCalc!$A$37:$A$274,0),MATCH(_xlfn.CONCAT(B3674," ",E3674),ForeCalc!$B$36:$Y$36,0))))*VLOOKUP(A3674,Calendar!$A$2:$H$9997,8,FALSE),0)</f>
        <v/>
      </c>
      <c r="G3674" s="29">
        <f>VLOOKUP(A3674,Calendar!$A$1:$H$9997,6,FALSE)-F3674</f>
        <v/>
      </c>
      <c r="H3674" s="19" t="n">
        <v>2</v>
      </c>
      <c r="I3674" s="57" t="n">
        <v>1</v>
      </c>
    </row>
    <row r="3675">
      <c r="A3675" s="62" t="n">
        <v>46498</v>
      </c>
      <c r="B3675" s="3" t="inlineStr">
        <is>
          <t>Week</t>
        </is>
      </c>
      <c r="C3675" s="19" t="n">
        <v>4</v>
      </c>
      <c r="D3675" s="19" t="n">
        <v>2027</v>
      </c>
      <c r="E3675" s="57" t="n">
        <v>4</v>
      </c>
      <c r="F3675" s="29">
        <f>ROUND(((SUMIFS(Calendar!$F$2:$F$9997,Calendar!$B$2:$B$9997,D3675,Calendar!$C$2:$C$9997,C3675)*INDEX(ForeCalc!$B$37:$Y$274,MATCH(_xlfn.CONCAT(H3675," ",I3675),ForeCalc!$A$37:$A$274,0),MATCH(_xlfn.CONCAT(B3675," ",E3675),ForeCalc!$B$36:$Y$36,0))))*VLOOKUP(A3675,Calendar!$A$2:$H$9997,8,FALSE),0)</f>
        <v/>
      </c>
      <c r="G3675" s="29">
        <f>VLOOKUP(A3675,Calendar!$A$1:$H$9997,6,FALSE)-F3675</f>
        <v/>
      </c>
      <c r="H3675" s="19" t="n">
        <v>2</v>
      </c>
      <c r="I3675" s="57" t="n">
        <v>1</v>
      </c>
    </row>
    <row r="3676">
      <c r="A3676" s="62" t="n">
        <v>46499</v>
      </c>
      <c r="B3676" s="3" t="inlineStr">
        <is>
          <t>Week</t>
        </is>
      </c>
      <c r="C3676" s="19" t="n">
        <v>4</v>
      </c>
      <c r="D3676" s="19" t="n">
        <v>2027</v>
      </c>
      <c r="E3676" s="57" t="n">
        <v>4</v>
      </c>
      <c r="F3676" s="29">
        <f>ROUND(((SUMIFS(Calendar!$F$2:$F$9997,Calendar!$B$2:$B$9997,D3676,Calendar!$C$2:$C$9997,C3676)*INDEX(ForeCalc!$B$37:$Y$274,MATCH(_xlfn.CONCAT(H3676," ",I3676),ForeCalc!$A$37:$A$274,0),MATCH(_xlfn.CONCAT(B3676," ",E3676),ForeCalc!$B$36:$Y$36,0))))*VLOOKUP(A3676,Calendar!$A$2:$H$9997,8,FALSE),0)</f>
        <v/>
      </c>
      <c r="G3676" s="29">
        <f>VLOOKUP(A3676,Calendar!$A$1:$H$9997,6,FALSE)-F3676</f>
        <v/>
      </c>
      <c r="H3676" s="19" t="n">
        <v>2</v>
      </c>
      <c r="I3676" s="57" t="n">
        <v>1</v>
      </c>
    </row>
    <row r="3677">
      <c r="A3677" s="62" t="n">
        <v>46500</v>
      </c>
      <c r="B3677" s="3" t="inlineStr">
        <is>
          <t>Week</t>
        </is>
      </c>
      <c r="C3677" s="19" t="n">
        <v>4</v>
      </c>
      <c r="D3677" s="19" t="n">
        <v>2027</v>
      </c>
      <c r="E3677" s="57" t="n">
        <v>4</v>
      </c>
      <c r="F3677" s="29">
        <f>ROUND(((SUMIFS(Calendar!$F$2:$F$9997,Calendar!$B$2:$B$9997,D3677,Calendar!$C$2:$C$9997,C3677)*INDEX(ForeCalc!$B$37:$Y$274,MATCH(_xlfn.CONCAT(H3677," ",I3677),ForeCalc!$A$37:$A$274,0),MATCH(_xlfn.CONCAT(B3677," ",E3677),ForeCalc!$B$36:$Y$36,0))))*VLOOKUP(A3677,Calendar!$A$2:$H$9997,8,FALSE),0)</f>
        <v/>
      </c>
      <c r="G3677" s="29">
        <f>VLOOKUP(A3677,Calendar!$A$1:$H$9997,6,FALSE)-F3677</f>
        <v/>
      </c>
      <c r="H3677" s="19" t="n">
        <v>2</v>
      </c>
      <c r="I3677" s="57" t="n">
        <v>1</v>
      </c>
    </row>
    <row r="3678">
      <c r="A3678" s="62" t="n">
        <v>46501</v>
      </c>
      <c r="B3678" s="3" t="inlineStr">
        <is>
          <t>Sat</t>
        </is>
      </c>
      <c r="C3678" s="19" t="n">
        <v>4</v>
      </c>
      <c r="D3678" s="19" t="n">
        <v>2027</v>
      </c>
      <c r="E3678" s="57" t="n">
        <v>4</v>
      </c>
      <c r="F3678" s="29">
        <f>ROUND(((SUMIFS(Calendar!$F$2:$F$9997,Calendar!$B$2:$B$9997,D3678,Calendar!$C$2:$C$9997,C3678)*INDEX(ForeCalc!$B$37:$Y$274,MATCH(_xlfn.CONCAT(H3678," ",I3678),ForeCalc!$A$37:$A$274,0),MATCH(_xlfn.CONCAT(B3678," ",E3678),ForeCalc!$B$36:$Y$36,0))))*VLOOKUP(A3678,Calendar!$A$2:$H$9997,8,FALSE),0)</f>
        <v/>
      </c>
      <c r="G3678" s="29">
        <f>VLOOKUP(A3678,Calendar!$A$1:$H$9997,6,FALSE)-F3678</f>
        <v/>
      </c>
      <c r="H3678" s="19" t="n">
        <v>2</v>
      </c>
      <c r="I3678" s="57" t="n">
        <v>1</v>
      </c>
    </row>
    <row r="3679">
      <c r="A3679" s="62" t="n">
        <v>46502</v>
      </c>
      <c r="B3679" s="3" t="inlineStr">
        <is>
          <t>Sun</t>
        </is>
      </c>
      <c r="C3679" s="19" t="n">
        <v>4</v>
      </c>
      <c r="D3679" s="19" t="n">
        <v>2027</v>
      </c>
      <c r="E3679" s="57" t="n">
        <v>4</v>
      </c>
      <c r="F3679" s="29">
        <f>ROUND(((SUMIFS(Calendar!$F$2:$F$9997,Calendar!$B$2:$B$9997,D3679,Calendar!$C$2:$C$9997,C3679)*INDEX(ForeCalc!$B$37:$Y$274,MATCH(_xlfn.CONCAT(H3679," ",I3679),ForeCalc!$A$37:$A$274,0),MATCH(_xlfn.CONCAT(B3679," ",E3679),ForeCalc!$B$36:$Y$36,0))))*VLOOKUP(A3679,Calendar!$A$2:$H$9997,8,FALSE),0)</f>
        <v/>
      </c>
      <c r="G3679" s="29">
        <f>VLOOKUP(A3679,Calendar!$A$1:$H$9997,6,FALSE)-F3679</f>
        <v/>
      </c>
      <c r="H3679" s="19" t="n">
        <v>2</v>
      </c>
      <c r="I3679" s="57" t="n">
        <v>1</v>
      </c>
    </row>
    <row r="3680">
      <c r="A3680" s="62" t="n">
        <v>46503</v>
      </c>
      <c r="B3680" s="3" t="inlineStr">
        <is>
          <t>Week</t>
        </is>
      </c>
      <c r="C3680" s="19" t="n">
        <v>4</v>
      </c>
      <c r="D3680" s="19" t="n">
        <v>2027</v>
      </c>
      <c r="E3680" s="57" t="n">
        <v>4</v>
      </c>
      <c r="F3680" s="29">
        <f>ROUND(((SUMIFS(Calendar!$F$2:$F$9997,Calendar!$B$2:$B$9997,D3680,Calendar!$C$2:$C$9997,C3680)*INDEX(ForeCalc!$B$37:$Y$274,MATCH(_xlfn.CONCAT(H3680," ",I3680),ForeCalc!$A$37:$A$274,0),MATCH(_xlfn.CONCAT(B3680," ",E3680),ForeCalc!$B$36:$Y$36,0))))*VLOOKUP(A3680,Calendar!$A$2:$H$9997,8,FALSE),0)</f>
        <v/>
      </c>
      <c r="G3680" s="29">
        <f>VLOOKUP(A3680,Calendar!$A$1:$H$9997,6,FALSE)-F3680</f>
        <v/>
      </c>
      <c r="H3680" s="19" t="n">
        <v>2</v>
      </c>
      <c r="I3680" s="57" t="n">
        <v>1</v>
      </c>
    </row>
    <row r="3681">
      <c r="A3681" s="62" t="n">
        <v>46504</v>
      </c>
      <c r="B3681" s="3" t="inlineStr">
        <is>
          <t>Week</t>
        </is>
      </c>
      <c r="C3681" s="19" t="n">
        <v>4</v>
      </c>
      <c r="D3681" s="19" t="n">
        <v>2027</v>
      </c>
      <c r="E3681" s="57" t="n">
        <v>4</v>
      </c>
      <c r="F3681" s="29">
        <f>ROUND(((SUMIFS(Calendar!$F$2:$F$9997,Calendar!$B$2:$B$9997,D3681,Calendar!$C$2:$C$9997,C3681)*INDEX(ForeCalc!$B$37:$Y$274,MATCH(_xlfn.CONCAT(H3681," ",I3681),ForeCalc!$A$37:$A$274,0),MATCH(_xlfn.CONCAT(B3681," ",E3681),ForeCalc!$B$36:$Y$36,0))))*VLOOKUP(A3681,Calendar!$A$2:$H$9997,8,FALSE),0)</f>
        <v/>
      </c>
      <c r="G3681" s="29">
        <f>VLOOKUP(A3681,Calendar!$A$1:$H$9997,6,FALSE)-F3681</f>
        <v/>
      </c>
      <c r="H3681" s="19" t="n">
        <v>2</v>
      </c>
      <c r="I3681" s="57" t="n">
        <v>1</v>
      </c>
    </row>
    <row r="3682">
      <c r="A3682" s="62" t="n">
        <v>46505</v>
      </c>
      <c r="B3682" s="3" t="inlineStr">
        <is>
          <t>Week</t>
        </is>
      </c>
      <c r="C3682" s="19" t="n">
        <v>4</v>
      </c>
      <c r="D3682" s="19" t="n">
        <v>2027</v>
      </c>
      <c r="E3682" s="57" t="n">
        <v>4</v>
      </c>
      <c r="F3682" s="29">
        <f>ROUND(((SUMIFS(Calendar!$F$2:$F$9997,Calendar!$B$2:$B$9997,D3682,Calendar!$C$2:$C$9997,C3682)*INDEX(ForeCalc!$B$37:$Y$274,MATCH(_xlfn.CONCAT(H3682," ",I3682),ForeCalc!$A$37:$A$274,0),MATCH(_xlfn.CONCAT(B3682," ",E3682),ForeCalc!$B$36:$Y$36,0))))*VLOOKUP(A3682,Calendar!$A$2:$H$9997,8,FALSE),0)</f>
        <v/>
      </c>
      <c r="G3682" s="29">
        <f>VLOOKUP(A3682,Calendar!$A$1:$H$9997,6,FALSE)-F3682</f>
        <v/>
      </c>
      <c r="H3682" s="19" t="n">
        <v>2</v>
      </c>
      <c r="I3682" s="57" t="n">
        <v>1</v>
      </c>
    </row>
    <row r="3683">
      <c r="A3683" s="62" t="n">
        <v>46506</v>
      </c>
      <c r="B3683" s="3" t="inlineStr">
        <is>
          <t>Week</t>
        </is>
      </c>
      <c r="C3683" s="19" t="n">
        <v>4</v>
      </c>
      <c r="D3683" s="19" t="n">
        <v>2027</v>
      </c>
      <c r="E3683" s="57" t="n">
        <v>4</v>
      </c>
      <c r="F3683" s="29">
        <f>ROUND(((SUMIFS(Calendar!$F$2:$F$9997,Calendar!$B$2:$B$9997,D3683,Calendar!$C$2:$C$9997,C3683)*INDEX(ForeCalc!$B$37:$Y$274,MATCH(_xlfn.CONCAT(H3683," ",I3683),ForeCalc!$A$37:$A$274,0),MATCH(_xlfn.CONCAT(B3683," ",E3683),ForeCalc!$B$36:$Y$36,0))))*VLOOKUP(A3683,Calendar!$A$2:$H$9997,8,FALSE),0)</f>
        <v/>
      </c>
      <c r="G3683" s="29">
        <f>VLOOKUP(A3683,Calendar!$A$1:$H$9997,6,FALSE)-F3683</f>
        <v/>
      </c>
      <c r="H3683" s="19" t="n">
        <v>2</v>
      </c>
      <c r="I3683" s="57" t="n">
        <v>1</v>
      </c>
    </row>
    <row r="3684">
      <c r="A3684" s="62" t="n">
        <v>46507</v>
      </c>
      <c r="B3684" s="3" t="inlineStr">
        <is>
          <t>Week</t>
        </is>
      </c>
      <c r="C3684" s="19" t="n">
        <v>4</v>
      </c>
      <c r="D3684" s="19" t="n">
        <v>2027</v>
      </c>
      <c r="E3684" s="57" t="n">
        <v>4</v>
      </c>
      <c r="F3684" s="29">
        <f>ROUND(((SUMIFS(Calendar!$F$2:$F$9997,Calendar!$B$2:$B$9997,D3684,Calendar!$C$2:$C$9997,C3684)*INDEX(ForeCalc!$B$37:$Y$274,MATCH(_xlfn.CONCAT(H3684," ",I3684),ForeCalc!$A$37:$A$274,0),MATCH(_xlfn.CONCAT(B3684," ",E3684),ForeCalc!$B$36:$Y$36,0))))*VLOOKUP(A3684,Calendar!$A$2:$H$9997,8,FALSE),0)</f>
        <v/>
      </c>
      <c r="G3684" s="29">
        <f>VLOOKUP(A3684,Calendar!$A$1:$H$9997,6,FALSE)-F3684</f>
        <v/>
      </c>
      <c r="H3684" s="19" t="n">
        <v>2</v>
      </c>
      <c r="I3684" s="57" t="n">
        <v>1</v>
      </c>
    </row>
    <row r="3685">
      <c r="A3685" s="62" t="n">
        <v>46508</v>
      </c>
      <c r="B3685" s="3" t="inlineStr">
        <is>
          <t>Sat</t>
        </is>
      </c>
      <c r="C3685" s="19" t="n">
        <v>5</v>
      </c>
      <c r="D3685" s="19" t="n">
        <v>2027</v>
      </c>
      <c r="E3685" s="57" t="n">
        <v>4</v>
      </c>
      <c r="F3685" s="29">
        <f>ROUND(((SUMIFS(Calendar!$F$2:$F$9997,Calendar!$B$2:$B$9997,D3685,Calendar!$C$2:$C$9997,C3685)*INDEX(ForeCalc!$B$37:$Y$274,MATCH(_xlfn.CONCAT(H3685," ",I3685),ForeCalc!$A$37:$A$274,0),MATCH(_xlfn.CONCAT(B3685," ",E3685),ForeCalc!$B$36:$Y$36,0))))*VLOOKUP(A3685,Calendar!$A$2:$H$9997,8,FALSE),0)</f>
        <v/>
      </c>
      <c r="G3685" s="29">
        <f>VLOOKUP(A3685,Calendar!$A$1:$H$9997,6,FALSE)-F3685</f>
        <v/>
      </c>
      <c r="H3685" s="19" t="n">
        <v>2</v>
      </c>
      <c r="I3685" s="57" t="n">
        <v>2</v>
      </c>
    </row>
    <row r="3686">
      <c r="A3686" s="62" t="n">
        <v>46509</v>
      </c>
      <c r="B3686" s="3" t="inlineStr">
        <is>
          <t>Sun</t>
        </is>
      </c>
      <c r="C3686" s="19" t="n">
        <v>5</v>
      </c>
      <c r="D3686" s="19" t="n">
        <v>2027</v>
      </c>
      <c r="E3686" s="57" t="n">
        <v>4</v>
      </c>
      <c r="F3686" s="29">
        <f>ROUND(((SUMIFS(Calendar!$F$2:$F$9997,Calendar!$B$2:$B$9997,D3686,Calendar!$C$2:$C$9997,C3686)*INDEX(ForeCalc!$B$37:$Y$274,MATCH(_xlfn.CONCAT(H3686," ",I3686),ForeCalc!$A$37:$A$274,0),MATCH(_xlfn.CONCAT(B3686," ",E3686),ForeCalc!$B$36:$Y$36,0))))*VLOOKUP(A3686,Calendar!$A$2:$H$9997,8,FALSE),0)</f>
        <v/>
      </c>
      <c r="G3686" s="29">
        <f>VLOOKUP(A3686,Calendar!$A$1:$H$9997,6,FALSE)-F3686</f>
        <v/>
      </c>
      <c r="H3686" s="19" t="n">
        <v>2</v>
      </c>
      <c r="I3686" s="57" t="n">
        <v>2</v>
      </c>
    </row>
    <row r="3687">
      <c r="A3687" s="62" t="n">
        <v>46510</v>
      </c>
      <c r="B3687" s="3" t="inlineStr">
        <is>
          <t>Week</t>
        </is>
      </c>
      <c r="C3687" s="19" t="n">
        <v>5</v>
      </c>
      <c r="D3687" s="19" t="n">
        <v>2027</v>
      </c>
      <c r="E3687" s="57" t="n">
        <v>4</v>
      </c>
      <c r="F3687" s="29">
        <f>ROUND(((SUMIFS(Calendar!$F$2:$F$9997,Calendar!$B$2:$B$9997,D3687,Calendar!$C$2:$C$9997,C3687)*INDEX(ForeCalc!$B$37:$Y$274,MATCH(_xlfn.CONCAT(H3687," ",I3687),ForeCalc!$A$37:$A$274,0),MATCH(_xlfn.CONCAT(B3687," ",E3687),ForeCalc!$B$36:$Y$36,0))))*VLOOKUP(A3687,Calendar!$A$2:$H$9997,8,FALSE),0)</f>
        <v/>
      </c>
      <c r="G3687" s="29">
        <f>VLOOKUP(A3687,Calendar!$A$1:$H$9997,6,FALSE)-F3687</f>
        <v/>
      </c>
      <c r="H3687" s="19" t="n">
        <v>2</v>
      </c>
      <c r="I3687" s="57" t="n">
        <v>2</v>
      </c>
    </row>
    <row r="3688">
      <c r="A3688" s="62" t="n">
        <v>46511</v>
      </c>
      <c r="B3688" s="3" t="inlineStr">
        <is>
          <t>Week</t>
        </is>
      </c>
      <c r="C3688" s="19" t="n">
        <v>5</v>
      </c>
      <c r="D3688" s="19" t="n">
        <v>2027</v>
      </c>
      <c r="E3688" s="57" t="n">
        <v>4</v>
      </c>
      <c r="F3688" s="29">
        <f>ROUND(((SUMIFS(Calendar!$F$2:$F$9997,Calendar!$B$2:$B$9997,D3688,Calendar!$C$2:$C$9997,C3688)*INDEX(ForeCalc!$B$37:$Y$274,MATCH(_xlfn.CONCAT(H3688," ",I3688),ForeCalc!$A$37:$A$274,0),MATCH(_xlfn.CONCAT(B3688," ",E3688),ForeCalc!$B$36:$Y$36,0))))*VLOOKUP(A3688,Calendar!$A$2:$H$9997,8,FALSE),0)</f>
        <v/>
      </c>
      <c r="G3688" s="29">
        <f>VLOOKUP(A3688,Calendar!$A$1:$H$9997,6,FALSE)-F3688</f>
        <v/>
      </c>
      <c r="H3688" s="19" t="n">
        <v>2</v>
      </c>
      <c r="I3688" s="57" t="n">
        <v>2</v>
      </c>
    </row>
    <row r="3689">
      <c r="A3689" s="62" t="n">
        <v>46512</v>
      </c>
      <c r="B3689" s="3" t="inlineStr">
        <is>
          <t>Week</t>
        </is>
      </c>
      <c r="C3689" s="19" t="n">
        <v>5</v>
      </c>
      <c r="D3689" s="19" t="n">
        <v>2027</v>
      </c>
      <c r="E3689" s="57" t="n">
        <v>4</v>
      </c>
      <c r="F3689" s="29">
        <f>ROUND(((SUMIFS(Calendar!$F$2:$F$9997,Calendar!$B$2:$B$9997,D3689,Calendar!$C$2:$C$9997,C3689)*INDEX(ForeCalc!$B$37:$Y$274,MATCH(_xlfn.CONCAT(H3689," ",I3689),ForeCalc!$A$37:$A$274,0),MATCH(_xlfn.CONCAT(B3689," ",E3689),ForeCalc!$B$36:$Y$36,0))))*VLOOKUP(A3689,Calendar!$A$2:$H$9997,8,FALSE),0)</f>
        <v/>
      </c>
      <c r="G3689" s="29">
        <f>VLOOKUP(A3689,Calendar!$A$1:$H$9997,6,FALSE)-F3689</f>
        <v/>
      </c>
      <c r="H3689" s="19" t="n">
        <v>2</v>
      </c>
      <c r="I3689" s="57" t="n">
        <v>2</v>
      </c>
    </row>
    <row r="3690">
      <c r="A3690" s="62" t="n">
        <v>46513</v>
      </c>
      <c r="B3690" s="3" t="inlineStr">
        <is>
          <t>Week</t>
        </is>
      </c>
      <c r="C3690" s="19" t="n">
        <v>5</v>
      </c>
      <c r="D3690" s="19" t="n">
        <v>2027</v>
      </c>
      <c r="E3690" s="57" t="n">
        <v>4</v>
      </c>
      <c r="F3690" s="29">
        <f>ROUND(((SUMIFS(Calendar!$F$2:$F$9997,Calendar!$B$2:$B$9997,D3690,Calendar!$C$2:$C$9997,C3690)*INDEX(ForeCalc!$B$37:$Y$274,MATCH(_xlfn.CONCAT(H3690," ",I3690),ForeCalc!$A$37:$A$274,0),MATCH(_xlfn.CONCAT(B3690," ",E3690),ForeCalc!$B$36:$Y$36,0))))*VLOOKUP(A3690,Calendar!$A$2:$H$9997,8,FALSE),0)</f>
        <v/>
      </c>
      <c r="G3690" s="29">
        <f>VLOOKUP(A3690,Calendar!$A$1:$H$9997,6,FALSE)-F3690</f>
        <v/>
      </c>
      <c r="H3690" s="19" t="n">
        <v>2</v>
      </c>
      <c r="I3690" s="57" t="n">
        <v>2</v>
      </c>
    </row>
    <row r="3691">
      <c r="A3691" s="62" t="n">
        <v>46514</v>
      </c>
      <c r="B3691" s="3" t="inlineStr">
        <is>
          <t>Week</t>
        </is>
      </c>
      <c r="C3691" s="19" t="n">
        <v>5</v>
      </c>
      <c r="D3691" s="19" t="n">
        <v>2027</v>
      </c>
      <c r="E3691" s="57" t="n">
        <v>4</v>
      </c>
      <c r="F3691" s="29">
        <f>ROUND(((SUMIFS(Calendar!$F$2:$F$9997,Calendar!$B$2:$B$9997,D3691,Calendar!$C$2:$C$9997,C3691)*INDEX(ForeCalc!$B$37:$Y$274,MATCH(_xlfn.CONCAT(H3691," ",I3691),ForeCalc!$A$37:$A$274,0),MATCH(_xlfn.CONCAT(B3691," ",E3691),ForeCalc!$B$36:$Y$36,0))))*VLOOKUP(A3691,Calendar!$A$2:$H$9997,8,FALSE),0)</f>
        <v/>
      </c>
      <c r="G3691" s="29">
        <f>VLOOKUP(A3691,Calendar!$A$1:$H$9997,6,FALSE)-F3691</f>
        <v/>
      </c>
      <c r="H3691" s="19" t="n">
        <v>2</v>
      </c>
      <c r="I3691" s="57" t="n">
        <v>2</v>
      </c>
    </row>
    <row r="3692">
      <c r="A3692" s="62" t="n">
        <v>46515</v>
      </c>
      <c r="B3692" s="3" t="inlineStr">
        <is>
          <t>Sat</t>
        </is>
      </c>
      <c r="C3692" s="19" t="n">
        <v>5</v>
      </c>
      <c r="D3692" s="19" t="n">
        <v>2027</v>
      </c>
      <c r="E3692" s="57" t="n">
        <v>4</v>
      </c>
      <c r="F3692" s="29">
        <f>ROUND(((SUMIFS(Calendar!$F$2:$F$9997,Calendar!$B$2:$B$9997,D3692,Calendar!$C$2:$C$9997,C3692)*INDEX(ForeCalc!$B$37:$Y$274,MATCH(_xlfn.CONCAT(H3692," ",I3692),ForeCalc!$A$37:$A$274,0),MATCH(_xlfn.CONCAT(B3692," ",E3692),ForeCalc!$B$36:$Y$36,0))))*VLOOKUP(A3692,Calendar!$A$2:$H$9997,8,FALSE),0)</f>
        <v/>
      </c>
      <c r="G3692" s="29">
        <f>VLOOKUP(A3692,Calendar!$A$1:$H$9997,6,FALSE)-F3692</f>
        <v/>
      </c>
      <c r="H3692" s="19" t="n">
        <v>2</v>
      </c>
      <c r="I3692" s="57" t="n">
        <v>2</v>
      </c>
    </row>
    <row r="3693">
      <c r="A3693" s="62" t="n">
        <v>46516</v>
      </c>
      <c r="B3693" s="3" t="inlineStr">
        <is>
          <t>Sun</t>
        </is>
      </c>
      <c r="C3693" s="19" t="n">
        <v>5</v>
      </c>
      <c r="D3693" s="19" t="n">
        <v>2027</v>
      </c>
      <c r="E3693" s="57" t="n">
        <v>4</v>
      </c>
      <c r="F3693" s="29">
        <f>ROUND(((SUMIFS(Calendar!$F$2:$F$9997,Calendar!$B$2:$B$9997,D3693,Calendar!$C$2:$C$9997,C3693)*INDEX(ForeCalc!$B$37:$Y$274,MATCH(_xlfn.CONCAT(H3693," ",I3693),ForeCalc!$A$37:$A$274,0),MATCH(_xlfn.CONCAT(B3693," ",E3693),ForeCalc!$B$36:$Y$36,0))))*VLOOKUP(A3693,Calendar!$A$2:$H$9997,8,FALSE),0)</f>
        <v/>
      </c>
      <c r="G3693" s="29">
        <f>VLOOKUP(A3693,Calendar!$A$1:$H$9997,6,FALSE)-F3693</f>
        <v/>
      </c>
      <c r="H3693" s="19" t="n">
        <v>2</v>
      </c>
      <c r="I3693" s="57" t="n">
        <v>2</v>
      </c>
    </row>
    <row r="3694">
      <c r="A3694" s="62" t="n">
        <v>46517</v>
      </c>
      <c r="B3694" s="3" t="inlineStr">
        <is>
          <t>Week</t>
        </is>
      </c>
      <c r="C3694" s="19" t="n">
        <v>5</v>
      </c>
      <c r="D3694" s="19" t="n">
        <v>2027</v>
      </c>
      <c r="E3694" s="57" t="n">
        <v>4</v>
      </c>
      <c r="F3694" s="29">
        <f>ROUND(((SUMIFS(Calendar!$F$2:$F$9997,Calendar!$B$2:$B$9997,D3694,Calendar!$C$2:$C$9997,C3694)*INDEX(ForeCalc!$B$37:$Y$274,MATCH(_xlfn.CONCAT(H3694," ",I3694),ForeCalc!$A$37:$A$274,0),MATCH(_xlfn.CONCAT(B3694," ",E3694),ForeCalc!$B$36:$Y$36,0))))*VLOOKUP(A3694,Calendar!$A$2:$H$9997,8,FALSE),0)</f>
        <v/>
      </c>
      <c r="G3694" s="29">
        <f>VLOOKUP(A3694,Calendar!$A$1:$H$9997,6,FALSE)-F3694</f>
        <v/>
      </c>
      <c r="H3694" s="19" t="n">
        <v>2</v>
      </c>
      <c r="I3694" s="57" t="n">
        <v>2</v>
      </c>
    </row>
    <row r="3695">
      <c r="A3695" s="62" t="n">
        <v>46518</v>
      </c>
      <c r="B3695" s="3" t="inlineStr">
        <is>
          <t>Week</t>
        </is>
      </c>
      <c r="C3695" s="19" t="n">
        <v>5</v>
      </c>
      <c r="D3695" s="19" t="n">
        <v>2027</v>
      </c>
      <c r="E3695" s="57" t="n">
        <v>4</v>
      </c>
      <c r="F3695" s="29">
        <f>ROUND(((SUMIFS(Calendar!$F$2:$F$9997,Calendar!$B$2:$B$9997,D3695,Calendar!$C$2:$C$9997,C3695)*INDEX(ForeCalc!$B$37:$Y$274,MATCH(_xlfn.CONCAT(H3695," ",I3695),ForeCalc!$A$37:$A$274,0),MATCH(_xlfn.CONCAT(B3695," ",E3695),ForeCalc!$B$36:$Y$36,0))))*VLOOKUP(A3695,Calendar!$A$2:$H$9997,8,FALSE),0)</f>
        <v/>
      </c>
      <c r="G3695" s="29">
        <f>VLOOKUP(A3695,Calendar!$A$1:$H$9997,6,FALSE)-F3695</f>
        <v/>
      </c>
      <c r="H3695" s="19" t="n">
        <v>2</v>
      </c>
      <c r="I3695" s="57" t="n">
        <v>2</v>
      </c>
    </row>
    <row r="3696">
      <c r="A3696" s="62" t="n">
        <v>46519</v>
      </c>
      <c r="B3696" s="3" t="inlineStr">
        <is>
          <t>Week</t>
        </is>
      </c>
      <c r="C3696" s="19" t="n">
        <v>5</v>
      </c>
      <c r="D3696" s="19" t="n">
        <v>2027</v>
      </c>
      <c r="E3696" s="57" t="n">
        <v>4</v>
      </c>
      <c r="F3696" s="29">
        <f>ROUND(((SUMIFS(Calendar!$F$2:$F$9997,Calendar!$B$2:$B$9997,D3696,Calendar!$C$2:$C$9997,C3696)*INDEX(ForeCalc!$B$37:$Y$274,MATCH(_xlfn.CONCAT(H3696," ",I3696),ForeCalc!$A$37:$A$274,0),MATCH(_xlfn.CONCAT(B3696," ",E3696),ForeCalc!$B$36:$Y$36,0))))*VLOOKUP(A3696,Calendar!$A$2:$H$9997,8,FALSE),0)</f>
        <v/>
      </c>
      <c r="G3696" s="29">
        <f>VLOOKUP(A3696,Calendar!$A$1:$H$9997,6,FALSE)-F3696</f>
        <v/>
      </c>
      <c r="H3696" s="19" t="n">
        <v>2</v>
      </c>
      <c r="I3696" s="57" t="n">
        <v>2</v>
      </c>
    </row>
    <row r="3697">
      <c r="A3697" s="62" t="n">
        <v>46520</v>
      </c>
      <c r="B3697" s="3" t="inlineStr">
        <is>
          <t>Week</t>
        </is>
      </c>
      <c r="C3697" s="19" t="n">
        <v>5</v>
      </c>
      <c r="D3697" s="19" t="n">
        <v>2027</v>
      </c>
      <c r="E3697" s="57" t="n">
        <v>4</v>
      </c>
      <c r="F3697" s="29">
        <f>ROUND(((SUMIFS(Calendar!$F$2:$F$9997,Calendar!$B$2:$B$9997,D3697,Calendar!$C$2:$C$9997,C3697)*INDEX(ForeCalc!$B$37:$Y$274,MATCH(_xlfn.CONCAT(H3697," ",I3697),ForeCalc!$A$37:$A$274,0),MATCH(_xlfn.CONCAT(B3697," ",E3697),ForeCalc!$B$36:$Y$36,0))))*VLOOKUP(A3697,Calendar!$A$2:$H$9997,8,FALSE),0)</f>
        <v/>
      </c>
      <c r="G3697" s="29">
        <f>VLOOKUP(A3697,Calendar!$A$1:$H$9997,6,FALSE)-F3697</f>
        <v/>
      </c>
      <c r="H3697" s="19" t="n">
        <v>2</v>
      </c>
      <c r="I3697" s="57" t="n">
        <v>2</v>
      </c>
    </row>
    <row r="3698">
      <c r="A3698" s="62" t="n">
        <v>46521</v>
      </c>
      <c r="B3698" s="3" t="inlineStr">
        <is>
          <t>Week</t>
        </is>
      </c>
      <c r="C3698" s="19" t="n">
        <v>5</v>
      </c>
      <c r="D3698" s="19" t="n">
        <v>2027</v>
      </c>
      <c r="E3698" s="57" t="n">
        <v>4</v>
      </c>
      <c r="F3698" s="29">
        <f>ROUND(((SUMIFS(Calendar!$F$2:$F$9997,Calendar!$B$2:$B$9997,D3698,Calendar!$C$2:$C$9997,C3698)*INDEX(ForeCalc!$B$37:$Y$274,MATCH(_xlfn.CONCAT(H3698," ",I3698),ForeCalc!$A$37:$A$274,0),MATCH(_xlfn.CONCAT(B3698," ",E3698),ForeCalc!$B$36:$Y$36,0))))*VLOOKUP(A3698,Calendar!$A$2:$H$9997,8,FALSE),0)</f>
        <v/>
      </c>
      <c r="G3698" s="29">
        <f>VLOOKUP(A3698,Calendar!$A$1:$H$9997,6,FALSE)-F3698</f>
        <v/>
      </c>
      <c r="H3698" s="19" t="n">
        <v>2</v>
      </c>
      <c r="I3698" s="57" t="n">
        <v>2</v>
      </c>
    </row>
    <row r="3699">
      <c r="A3699" s="62" t="n">
        <v>46522</v>
      </c>
      <c r="B3699" s="3" t="inlineStr">
        <is>
          <t>Sat</t>
        </is>
      </c>
      <c r="C3699" s="19" t="n">
        <v>5</v>
      </c>
      <c r="D3699" s="19" t="n">
        <v>2027</v>
      </c>
      <c r="E3699" s="57" t="n">
        <v>4</v>
      </c>
      <c r="F3699" s="29">
        <f>ROUND(((SUMIFS(Calendar!$F$2:$F$9997,Calendar!$B$2:$B$9997,D3699,Calendar!$C$2:$C$9997,C3699)*INDEX(ForeCalc!$B$37:$Y$274,MATCH(_xlfn.CONCAT(H3699," ",I3699),ForeCalc!$A$37:$A$274,0),MATCH(_xlfn.CONCAT(B3699," ",E3699),ForeCalc!$B$36:$Y$36,0))))*VLOOKUP(A3699,Calendar!$A$2:$H$9997,8,FALSE),0)</f>
        <v/>
      </c>
      <c r="G3699" s="29">
        <f>VLOOKUP(A3699,Calendar!$A$1:$H$9997,6,FALSE)-F3699</f>
        <v/>
      </c>
      <c r="H3699" s="19" t="n">
        <v>2</v>
      </c>
      <c r="I3699" s="57" t="n">
        <v>2</v>
      </c>
    </row>
    <row r="3700">
      <c r="A3700" s="62" t="n">
        <v>46523</v>
      </c>
      <c r="B3700" s="3" t="inlineStr">
        <is>
          <t>Sun</t>
        </is>
      </c>
      <c r="C3700" s="19" t="n">
        <v>5</v>
      </c>
      <c r="D3700" s="19" t="n">
        <v>2027</v>
      </c>
      <c r="E3700" s="57" t="n">
        <v>4</v>
      </c>
      <c r="F3700" s="29">
        <f>ROUND(((SUMIFS(Calendar!$F$2:$F$9997,Calendar!$B$2:$B$9997,D3700,Calendar!$C$2:$C$9997,C3700)*INDEX(ForeCalc!$B$37:$Y$274,MATCH(_xlfn.CONCAT(H3700," ",I3700),ForeCalc!$A$37:$A$274,0),MATCH(_xlfn.CONCAT(B3700," ",E3700),ForeCalc!$B$36:$Y$36,0))))*VLOOKUP(A3700,Calendar!$A$2:$H$9997,8,FALSE),0)</f>
        <v/>
      </c>
      <c r="G3700" s="29">
        <f>VLOOKUP(A3700,Calendar!$A$1:$H$9997,6,FALSE)-F3700</f>
        <v/>
      </c>
      <c r="H3700" s="19" t="n">
        <v>2</v>
      </c>
      <c r="I3700" s="57" t="n">
        <v>2</v>
      </c>
    </row>
    <row r="3701">
      <c r="A3701" s="62" t="n">
        <v>46524</v>
      </c>
      <c r="B3701" s="3" t="inlineStr">
        <is>
          <t>Week</t>
        </is>
      </c>
      <c r="C3701" s="19" t="n">
        <v>5</v>
      </c>
      <c r="D3701" s="19" t="n">
        <v>2027</v>
      </c>
      <c r="E3701" s="57" t="n">
        <v>4</v>
      </c>
      <c r="F3701" s="29">
        <f>ROUND(((SUMIFS(Calendar!$F$2:$F$9997,Calendar!$B$2:$B$9997,D3701,Calendar!$C$2:$C$9997,C3701)*INDEX(ForeCalc!$B$37:$Y$274,MATCH(_xlfn.CONCAT(H3701," ",I3701),ForeCalc!$A$37:$A$274,0),MATCH(_xlfn.CONCAT(B3701," ",E3701),ForeCalc!$B$36:$Y$36,0))))*VLOOKUP(A3701,Calendar!$A$2:$H$9997,8,FALSE),0)</f>
        <v/>
      </c>
      <c r="G3701" s="29">
        <f>VLOOKUP(A3701,Calendar!$A$1:$H$9997,6,FALSE)-F3701</f>
        <v/>
      </c>
      <c r="H3701" s="19" t="n">
        <v>2</v>
      </c>
      <c r="I3701" s="57" t="n">
        <v>2</v>
      </c>
    </row>
    <row r="3702">
      <c r="A3702" s="62" t="n">
        <v>46525</v>
      </c>
      <c r="B3702" s="3" t="inlineStr">
        <is>
          <t>Week</t>
        </is>
      </c>
      <c r="C3702" s="19" t="n">
        <v>5</v>
      </c>
      <c r="D3702" s="19" t="n">
        <v>2027</v>
      </c>
      <c r="E3702" s="57" t="n">
        <v>4</v>
      </c>
      <c r="F3702" s="29">
        <f>ROUND(((SUMIFS(Calendar!$F$2:$F$9997,Calendar!$B$2:$B$9997,D3702,Calendar!$C$2:$C$9997,C3702)*INDEX(ForeCalc!$B$37:$Y$274,MATCH(_xlfn.CONCAT(H3702," ",I3702),ForeCalc!$A$37:$A$274,0),MATCH(_xlfn.CONCAT(B3702," ",E3702),ForeCalc!$B$36:$Y$36,0))))*VLOOKUP(A3702,Calendar!$A$2:$H$9997,8,FALSE),0)</f>
        <v/>
      </c>
      <c r="G3702" s="29">
        <f>VLOOKUP(A3702,Calendar!$A$1:$H$9997,6,FALSE)-F3702</f>
        <v/>
      </c>
      <c r="H3702" s="19" t="n">
        <v>2</v>
      </c>
      <c r="I3702" s="57" t="n">
        <v>2</v>
      </c>
    </row>
    <row r="3703">
      <c r="A3703" s="62" t="n">
        <v>46526</v>
      </c>
      <c r="B3703" s="3" t="inlineStr">
        <is>
          <t>Week</t>
        </is>
      </c>
      <c r="C3703" s="19" t="n">
        <v>5</v>
      </c>
      <c r="D3703" s="19" t="n">
        <v>2027</v>
      </c>
      <c r="E3703" s="57" t="n">
        <v>4</v>
      </c>
      <c r="F3703" s="29">
        <f>ROUND(((SUMIFS(Calendar!$F$2:$F$9997,Calendar!$B$2:$B$9997,D3703,Calendar!$C$2:$C$9997,C3703)*INDEX(ForeCalc!$B$37:$Y$274,MATCH(_xlfn.CONCAT(H3703," ",I3703),ForeCalc!$A$37:$A$274,0),MATCH(_xlfn.CONCAT(B3703," ",E3703),ForeCalc!$B$36:$Y$36,0))))*VLOOKUP(A3703,Calendar!$A$2:$H$9997,8,FALSE),0)</f>
        <v/>
      </c>
      <c r="G3703" s="29">
        <f>VLOOKUP(A3703,Calendar!$A$1:$H$9997,6,FALSE)-F3703</f>
        <v/>
      </c>
      <c r="H3703" s="19" t="n">
        <v>2</v>
      </c>
      <c r="I3703" s="57" t="n">
        <v>2</v>
      </c>
    </row>
    <row r="3704">
      <c r="A3704" s="62" t="n">
        <v>46527</v>
      </c>
      <c r="B3704" s="3" t="inlineStr">
        <is>
          <t>Week</t>
        </is>
      </c>
      <c r="C3704" s="19" t="n">
        <v>5</v>
      </c>
      <c r="D3704" s="19" t="n">
        <v>2027</v>
      </c>
      <c r="E3704" s="57" t="n">
        <v>4</v>
      </c>
      <c r="F3704" s="29">
        <f>ROUND(((SUMIFS(Calendar!$F$2:$F$9997,Calendar!$B$2:$B$9997,D3704,Calendar!$C$2:$C$9997,C3704)*INDEX(ForeCalc!$B$37:$Y$274,MATCH(_xlfn.CONCAT(H3704," ",I3704),ForeCalc!$A$37:$A$274,0),MATCH(_xlfn.CONCAT(B3704," ",E3704),ForeCalc!$B$36:$Y$36,0))))*VLOOKUP(A3704,Calendar!$A$2:$H$9997,8,FALSE),0)</f>
        <v/>
      </c>
      <c r="G3704" s="29">
        <f>VLOOKUP(A3704,Calendar!$A$1:$H$9997,6,FALSE)-F3704</f>
        <v/>
      </c>
      <c r="H3704" s="19" t="n">
        <v>2</v>
      </c>
      <c r="I3704" s="57" t="n">
        <v>2</v>
      </c>
    </row>
    <row r="3705">
      <c r="A3705" s="62" t="n">
        <v>46528</v>
      </c>
      <c r="B3705" s="3" t="inlineStr">
        <is>
          <t>Week</t>
        </is>
      </c>
      <c r="C3705" s="19" t="n">
        <v>5</v>
      </c>
      <c r="D3705" s="19" t="n">
        <v>2027</v>
      </c>
      <c r="E3705" s="57" t="n">
        <v>4</v>
      </c>
      <c r="F3705" s="29">
        <f>ROUND(((SUMIFS(Calendar!$F$2:$F$9997,Calendar!$B$2:$B$9997,D3705,Calendar!$C$2:$C$9997,C3705)*INDEX(ForeCalc!$B$37:$Y$274,MATCH(_xlfn.CONCAT(H3705," ",I3705),ForeCalc!$A$37:$A$274,0),MATCH(_xlfn.CONCAT(B3705," ",E3705),ForeCalc!$B$36:$Y$36,0))))*VLOOKUP(A3705,Calendar!$A$2:$H$9997,8,FALSE),0)</f>
        <v/>
      </c>
      <c r="G3705" s="29">
        <f>VLOOKUP(A3705,Calendar!$A$1:$H$9997,6,FALSE)-F3705</f>
        <v/>
      </c>
      <c r="H3705" s="19" t="n">
        <v>2</v>
      </c>
      <c r="I3705" s="57" t="n">
        <v>2</v>
      </c>
    </row>
    <row r="3706">
      <c r="A3706" s="62" t="n">
        <v>46529</v>
      </c>
      <c r="B3706" s="3" t="inlineStr">
        <is>
          <t>Sat</t>
        </is>
      </c>
      <c r="C3706" s="19" t="n">
        <v>5</v>
      </c>
      <c r="D3706" s="19" t="n">
        <v>2027</v>
      </c>
      <c r="E3706" s="57" t="n">
        <v>4</v>
      </c>
      <c r="F3706" s="29">
        <f>ROUND(((SUMIFS(Calendar!$F$2:$F$9997,Calendar!$B$2:$B$9997,D3706,Calendar!$C$2:$C$9997,C3706)*INDEX(ForeCalc!$B$37:$Y$274,MATCH(_xlfn.CONCAT(H3706," ",I3706),ForeCalc!$A$37:$A$274,0),MATCH(_xlfn.CONCAT(B3706," ",E3706),ForeCalc!$B$36:$Y$36,0))))*VLOOKUP(A3706,Calendar!$A$2:$H$9997,8,FALSE),0)</f>
        <v/>
      </c>
      <c r="G3706" s="29">
        <f>VLOOKUP(A3706,Calendar!$A$1:$H$9997,6,FALSE)-F3706</f>
        <v/>
      </c>
      <c r="H3706" s="19" t="n">
        <v>2</v>
      </c>
      <c r="I3706" s="57" t="n">
        <v>2</v>
      </c>
    </row>
    <row r="3707">
      <c r="A3707" s="62" t="n">
        <v>46530</v>
      </c>
      <c r="B3707" s="3" t="inlineStr">
        <is>
          <t>Sun</t>
        </is>
      </c>
      <c r="C3707" s="19" t="n">
        <v>5</v>
      </c>
      <c r="D3707" s="19" t="n">
        <v>2027</v>
      </c>
      <c r="E3707" s="57" t="n">
        <v>4</v>
      </c>
      <c r="F3707" s="29">
        <f>ROUND(((SUMIFS(Calendar!$F$2:$F$9997,Calendar!$B$2:$B$9997,D3707,Calendar!$C$2:$C$9997,C3707)*INDEX(ForeCalc!$B$37:$Y$274,MATCH(_xlfn.CONCAT(H3707," ",I3707),ForeCalc!$A$37:$A$274,0),MATCH(_xlfn.CONCAT(B3707," ",E3707),ForeCalc!$B$36:$Y$36,0))))*VLOOKUP(A3707,Calendar!$A$2:$H$9997,8,FALSE),0)</f>
        <v/>
      </c>
      <c r="G3707" s="29">
        <f>VLOOKUP(A3707,Calendar!$A$1:$H$9997,6,FALSE)-F3707</f>
        <v/>
      </c>
      <c r="H3707" s="19" t="n">
        <v>2</v>
      </c>
      <c r="I3707" s="57" t="n">
        <v>2</v>
      </c>
    </row>
    <row r="3708">
      <c r="A3708" s="62" t="n">
        <v>46531</v>
      </c>
      <c r="B3708" s="3" t="inlineStr">
        <is>
          <t>Week</t>
        </is>
      </c>
      <c r="C3708" s="19" t="n">
        <v>5</v>
      </c>
      <c r="D3708" s="19" t="n">
        <v>2027</v>
      </c>
      <c r="E3708" s="57" t="n">
        <v>4</v>
      </c>
      <c r="F3708" s="29">
        <f>ROUND(((SUMIFS(Calendar!$F$2:$F$9997,Calendar!$B$2:$B$9997,D3708,Calendar!$C$2:$C$9997,C3708)*INDEX(ForeCalc!$B$37:$Y$274,MATCH(_xlfn.CONCAT(H3708," ",I3708),ForeCalc!$A$37:$A$274,0),MATCH(_xlfn.CONCAT(B3708," ",E3708),ForeCalc!$B$36:$Y$36,0))))*VLOOKUP(A3708,Calendar!$A$2:$H$9997,8,FALSE),0)</f>
        <v/>
      </c>
      <c r="G3708" s="29">
        <f>VLOOKUP(A3708,Calendar!$A$1:$H$9997,6,FALSE)-F3708</f>
        <v/>
      </c>
      <c r="H3708" s="19" t="n">
        <v>2</v>
      </c>
      <c r="I3708" s="57" t="n">
        <v>2</v>
      </c>
    </row>
    <row r="3709">
      <c r="A3709" s="62" t="n">
        <v>46532</v>
      </c>
      <c r="B3709" s="3" t="inlineStr">
        <is>
          <t>Week</t>
        </is>
      </c>
      <c r="C3709" s="19" t="n">
        <v>5</v>
      </c>
      <c r="D3709" s="19" t="n">
        <v>2027</v>
      </c>
      <c r="E3709" s="57" t="n">
        <v>4</v>
      </c>
      <c r="F3709" s="29">
        <f>ROUND(((SUMIFS(Calendar!$F$2:$F$9997,Calendar!$B$2:$B$9997,D3709,Calendar!$C$2:$C$9997,C3709)*INDEX(ForeCalc!$B$37:$Y$274,MATCH(_xlfn.CONCAT(H3709," ",I3709),ForeCalc!$A$37:$A$274,0),MATCH(_xlfn.CONCAT(B3709," ",E3709),ForeCalc!$B$36:$Y$36,0))))*VLOOKUP(A3709,Calendar!$A$2:$H$9997,8,FALSE),0)</f>
        <v/>
      </c>
      <c r="G3709" s="29">
        <f>VLOOKUP(A3709,Calendar!$A$1:$H$9997,6,FALSE)-F3709</f>
        <v/>
      </c>
      <c r="H3709" s="19" t="n">
        <v>2</v>
      </c>
      <c r="I3709" s="57" t="n">
        <v>2</v>
      </c>
    </row>
    <row r="3710">
      <c r="A3710" s="62" t="n">
        <v>46533</v>
      </c>
      <c r="B3710" s="3" t="inlineStr">
        <is>
          <t>Week</t>
        </is>
      </c>
      <c r="C3710" s="19" t="n">
        <v>5</v>
      </c>
      <c r="D3710" s="19" t="n">
        <v>2027</v>
      </c>
      <c r="E3710" s="57" t="n">
        <v>4</v>
      </c>
      <c r="F3710" s="29">
        <f>ROUND(((SUMIFS(Calendar!$F$2:$F$9997,Calendar!$B$2:$B$9997,D3710,Calendar!$C$2:$C$9997,C3710)*INDEX(ForeCalc!$B$37:$Y$274,MATCH(_xlfn.CONCAT(H3710," ",I3710),ForeCalc!$A$37:$A$274,0),MATCH(_xlfn.CONCAT(B3710," ",E3710),ForeCalc!$B$36:$Y$36,0))))*VLOOKUP(A3710,Calendar!$A$2:$H$9997,8,FALSE),0)</f>
        <v/>
      </c>
      <c r="G3710" s="29">
        <f>VLOOKUP(A3710,Calendar!$A$1:$H$9997,6,FALSE)-F3710</f>
        <v/>
      </c>
      <c r="H3710" s="19" t="n">
        <v>2</v>
      </c>
      <c r="I3710" s="57" t="n">
        <v>2</v>
      </c>
    </row>
    <row r="3711">
      <c r="A3711" s="62" t="n">
        <v>46534</v>
      </c>
      <c r="B3711" s="3" t="inlineStr">
        <is>
          <t>Week</t>
        </is>
      </c>
      <c r="C3711" s="19" t="n">
        <v>5</v>
      </c>
      <c r="D3711" s="19" t="n">
        <v>2027</v>
      </c>
      <c r="E3711" s="57" t="n">
        <v>4</v>
      </c>
      <c r="F3711" s="29">
        <f>ROUND(((SUMIFS(Calendar!$F$2:$F$9997,Calendar!$B$2:$B$9997,D3711,Calendar!$C$2:$C$9997,C3711)*INDEX(ForeCalc!$B$37:$Y$274,MATCH(_xlfn.CONCAT(H3711," ",I3711),ForeCalc!$A$37:$A$274,0),MATCH(_xlfn.CONCAT(B3711," ",E3711),ForeCalc!$B$36:$Y$36,0))))*VLOOKUP(A3711,Calendar!$A$2:$H$9997,8,FALSE),0)</f>
        <v/>
      </c>
      <c r="G3711" s="29">
        <f>VLOOKUP(A3711,Calendar!$A$1:$H$9997,6,FALSE)-F3711</f>
        <v/>
      </c>
      <c r="H3711" s="19" t="n">
        <v>2</v>
      </c>
      <c r="I3711" s="57" t="n">
        <v>2</v>
      </c>
    </row>
    <row r="3712">
      <c r="A3712" s="62" t="n">
        <v>46535</v>
      </c>
      <c r="B3712" s="3" t="inlineStr">
        <is>
          <t>Week</t>
        </is>
      </c>
      <c r="C3712" s="19" t="n">
        <v>5</v>
      </c>
      <c r="D3712" s="19" t="n">
        <v>2027</v>
      </c>
      <c r="E3712" s="57" t="n">
        <v>4</v>
      </c>
      <c r="F3712" s="29">
        <f>ROUND(((SUMIFS(Calendar!$F$2:$F$9997,Calendar!$B$2:$B$9997,D3712,Calendar!$C$2:$C$9997,C3712)*INDEX(ForeCalc!$B$37:$Y$274,MATCH(_xlfn.CONCAT(H3712," ",I3712),ForeCalc!$A$37:$A$274,0),MATCH(_xlfn.CONCAT(B3712," ",E3712),ForeCalc!$B$36:$Y$36,0))))*VLOOKUP(A3712,Calendar!$A$2:$H$9997,8,FALSE),0)</f>
        <v/>
      </c>
      <c r="G3712" s="29">
        <f>VLOOKUP(A3712,Calendar!$A$1:$H$9997,6,FALSE)-F3712</f>
        <v/>
      </c>
      <c r="H3712" s="19" t="n">
        <v>2</v>
      </c>
      <c r="I3712" s="57" t="n">
        <v>2</v>
      </c>
    </row>
    <row r="3713">
      <c r="A3713" s="62" t="n">
        <v>46536</v>
      </c>
      <c r="B3713" s="3" t="inlineStr">
        <is>
          <t>Sat</t>
        </is>
      </c>
      <c r="C3713" s="19" t="n">
        <v>5</v>
      </c>
      <c r="D3713" s="19" t="n">
        <v>2027</v>
      </c>
      <c r="E3713" s="57" t="n">
        <v>4</v>
      </c>
      <c r="F3713" s="29">
        <f>ROUND(((SUMIFS(Calendar!$F$2:$F$9997,Calendar!$B$2:$B$9997,D3713,Calendar!$C$2:$C$9997,C3713)*INDEX(ForeCalc!$B$37:$Y$274,MATCH(_xlfn.CONCAT(H3713," ",I3713),ForeCalc!$A$37:$A$274,0),MATCH(_xlfn.CONCAT(B3713," ",E3713),ForeCalc!$B$36:$Y$36,0))))*VLOOKUP(A3713,Calendar!$A$2:$H$9997,8,FALSE),0)</f>
        <v/>
      </c>
      <c r="G3713" s="29">
        <f>VLOOKUP(A3713,Calendar!$A$1:$H$9997,6,FALSE)-F3713</f>
        <v/>
      </c>
      <c r="H3713" s="19" t="n">
        <v>2</v>
      </c>
      <c r="I3713" s="57" t="n">
        <v>2</v>
      </c>
    </row>
    <row r="3714">
      <c r="A3714" s="62" t="n">
        <v>46537</v>
      </c>
      <c r="B3714" s="3" t="inlineStr">
        <is>
          <t>Sun</t>
        </is>
      </c>
      <c r="C3714" s="19" t="n">
        <v>5</v>
      </c>
      <c r="D3714" s="19" t="n">
        <v>2027</v>
      </c>
      <c r="E3714" s="57" t="n">
        <v>4</v>
      </c>
      <c r="F3714" s="29">
        <f>ROUND(((SUMIFS(Calendar!$F$2:$F$9997,Calendar!$B$2:$B$9997,D3714,Calendar!$C$2:$C$9997,C3714)*INDEX(ForeCalc!$B$37:$Y$274,MATCH(_xlfn.CONCAT(H3714," ",I3714),ForeCalc!$A$37:$A$274,0),MATCH(_xlfn.CONCAT(B3714," ",E3714),ForeCalc!$B$36:$Y$36,0))))*VLOOKUP(A3714,Calendar!$A$2:$H$9997,8,FALSE),0)</f>
        <v/>
      </c>
      <c r="G3714" s="29">
        <f>VLOOKUP(A3714,Calendar!$A$1:$H$9997,6,FALSE)-F3714</f>
        <v/>
      </c>
      <c r="H3714" s="19" t="n">
        <v>2</v>
      </c>
      <c r="I3714" s="57" t="n">
        <v>2</v>
      </c>
    </row>
    <row r="3715">
      <c r="A3715" s="62" t="n">
        <v>46538</v>
      </c>
      <c r="B3715" s="3" t="inlineStr">
        <is>
          <t>Week</t>
        </is>
      </c>
      <c r="C3715" s="19" t="n">
        <v>5</v>
      </c>
      <c r="D3715" s="19" t="n">
        <v>2027</v>
      </c>
      <c r="E3715" s="57" t="n">
        <v>4</v>
      </c>
      <c r="F3715" s="29">
        <f>ROUND(((SUMIFS(Calendar!$F$2:$F$9997,Calendar!$B$2:$B$9997,D3715,Calendar!$C$2:$C$9997,C3715)*INDEX(ForeCalc!$B$37:$Y$274,MATCH(_xlfn.CONCAT(H3715," ",I3715),ForeCalc!$A$37:$A$274,0),MATCH(_xlfn.CONCAT(B3715," ",E3715),ForeCalc!$B$36:$Y$36,0))))*VLOOKUP(A3715,Calendar!$A$2:$H$9997,8,FALSE),0)</f>
        <v/>
      </c>
      <c r="G3715" s="29">
        <f>VLOOKUP(A3715,Calendar!$A$1:$H$9997,6,FALSE)-F3715</f>
        <v/>
      </c>
      <c r="H3715" s="19" t="n">
        <v>2</v>
      </c>
      <c r="I3715" s="57" t="n">
        <v>2</v>
      </c>
    </row>
    <row r="3716">
      <c r="A3716" s="62" t="n">
        <v>46539</v>
      </c>
      <c r="B3716" s="3" t="inlineStr">
        <is>
          <t>Week</t>
        </is>
      </c>
      <c r="C3716" s="19" t="n">
        <v>6</v>
      </c>
      <c r="D3716" s="19" t="n">
        <v>2027</v>
      </c>
      <c r="E3716" s="57" t="n">
        <v>4</v>
      </c>
      <c r="F3716" s="29">
        <f>ROUND(((SUMIFS(Calendar!$F$2:$F$9997,Calendar!$B$2:$B$9997,D3716,Calendar!$C$2:$C$9997,C3716)*INDEX(ForeCalc!$B$37:$Y$274,MATCH(_xlfn.CONCAT(H3716," ",I3716),ForeCalc!$A$37:$A$274,0),MATCH(_xlfn.CONCAT(B3716," ",E3716),ForeCalc!$B$36:$Y$36,0))))*VLOOKUP(A3716,Calendar!$A$2:$H$9997,8,FALSE),0)</f>
        <v/>
      </c>
      <c r="G3716" s="29">
        <f>VLOOKUP(A3716,Calendar!$A$1:$H$9997,6,FALSE)-F3716</f>
        <v/>
      </c>
      <c r="H3716" s="19" t="n">
        <v>2</v>
      </c>
      <c r="I3716" s="57" t="n">
        <v>3</v>
      </c>
    </row>
    <row r="3717">
      <c r="A3717" s="62" t="n">
        <v>46540</v>
      </c>
      <c r="B3717" s="3" t="inlineStr">
        <is>
          <t>Week</t>
        </is>
      </c>
      <c r="C3717" s="19" t="n">
        <v>6</v>
      </c>
      <c r="D3717" s="19" t="n">
        <v>2027</v>
      </c>
      <c r="E3717" s="57" t="n">
        <v>4</v>
      </c>
      <c r="F3717" s="29">
        <f>ROUND(((SUMIFS(Calendar!$F$2:$F$9997,Calendar!$B$2:$B$9997,D3717,Calendar!$C$2:$C$9997,C3717)*INDEX(ForeCalc!$B$37:$Y$274,MATCH(_xlfn.CONCAT(H3717," ",I3717),ForeCalc!$A$37:$A$274,0),MATCH(_xlfn.CONCAT(B3717," ",E3717),ForeCalc!$B$36:$Y$36,0))))*VLOOKUP(A3717,Calendar!$A$2:$H$9997,8,FALSE),0)</f>
        <v/>
      </c>
      <c r="G3717" s="29">
        <f>VLOOKUP(A3717,Calendar!$A$1:$H$9997,6,FALSE)-F3717</f>
        <v/>
      </c>
      <c r="H3717" s="19" t="n">
        <v>2</v>
      </c>
      <c r="I3717" s="57" t="n">
        <v>3</v>
      </c>
    </row>
    <row r="3718">
      <c r="A3718" s="62" t="n">
        <v>46541</v>
      </c>
      <c r="B3718" s="3" t="inlineStr">
        <is>
          <t>Week</t>
        </is>
      </c>
      <c r="C3718" s="19" t="n">
        <v>6</v>
      </c>
      <c r="D3718" s="19" t="n">
        <v>2027</v>
      </c>
      <c r="E3718" s="57" t="n">
        <v>4</v>
      </c>
      <c r="F3718" s="29">
        <f>ROUND(((SUMIFS(Calendar!$F$2:$F$9997,Calendar!$B$2:$B$9997,D3718,Calendar!$C$2:$C$9997,C3718)*INDEX(ForeCalc!$B$37:$Y$274,MATCH(_xlfn.CONCAT(H3718," ",I3718),ForeCalc!$A$37:$A$274,0),MATCH(_xlfn.CONCAT(B3718," ",E3718),ForeCalc!$B$36:$Y$36,0))))*VLOOKUP(A3718,Calendar!$A$2:$H$9997,8,FALSE),0)</f>
        <v/>
      </c>
      <c r="G3718" s="29">
        <f>VLOOKUP(A3718,Calendar!$A$1:$H$9997,6,FALSE)-F3718</f>
        <v/>
      </c>
      <c r="H3718" s="19" t="n">
        <v>2</v>
      </c>
      <c r="I3718" s="57" t="n">
        <v>3</v>
      </c>
    </row>
    <row r="3719">
      <c r="A3719" s="62" t="n">
        <v>46542</v>
      </c>
      <c r="B3719" s="3" t="inlineStr">
        <is>
          <t>Week</t>
        </is>
      </c>
      <c r="C3719" s="19" t="n">
        <v>6</v>
      </c>
      <c r="D3719" s="19" t="n">
        <v>2027</v>
      </c>
      <c r="E3719" s="57" t="n">
        <v>4</v>
      </c>
      <c r="F3719" s="29">
        <f>ROUND(((SUMIFS(Calendar!$F$2:$F$9997,Calendar!$B$2:$B$9997,D3719,Calendar!$C$2:$C$9997,C3719)*INDEX(ForeCalc!$B$37:$Y$274,MATCH(_xlfn.CONCAT(H3719," ",I3719),ForeCalc!$A$37:$A$274,0),MATCH(_xlfn.CONCAT(B3719," ",E3719),ForeCalc!$B$36:$Y$36,0))))*VLOOKUP(A3719,Calendar!$A$2:$H$9997,8,FALSE),0)</f>
        <v/>
      </c>
      <c r="G3719" s="29">
        <f>VLOOKUP(A3719,Calendar!$A$1:$H$9997,6,FALSE)-F3719</f>
        <v/>
      </c>
      <c r="H3719" s="19" t="n">
        <v>2</v>
      </c>
      <c r="I3719" s="57" t="n">
        <v>3</v>
      </c>
    </row>
    <row r="3720">
      <c r="A3720" s="62" t="n">
        <v>46543</v>
      </c>
      <c r="B3720" s="3" t="inlineStr">
        <is>
          <t>Sat</t>
        </is>
      </c>
      <c r="C3720" s="19" t="n">
        <v>6</v>
      </c>
      <c r="D3720" s="19" t="n">
        <v>2027</v>
      </c>
      <c r="E3720" s="57" t="n">
        <v>4</v>
      </c>
      <c r="F3720" s="29">
        <f>ROUND(((SUMIFS(Calendar!$F$2:$F$9997,Calendar!$B$2:$B$9997,D3720,Calendar!$C$2:$C$9997,C3720)*INDEX(ForeCalc!$B$37:$Y$274,MATCH(_xlfn.CONCAT(H3720," ",I3720),ForeCalc!$A$37:$A$274,0),MATCH(_xlfn.CONCAT(B3720," ",E3720),ForeCalc!$B$36:$Y$36,0))))*VLOOKUP(A3720,Calendar!$A$2:$H$9997,8,FALSE),0)</f>
        <v/>
      </c>
      <c r="G3720" s="29">
        <f>VLOOKUP(A3720,Calendar!$A$1:$H$9997,6,FALSE)-F3720</f>
        <v/>
      </c>
      <c r="H3720" s="19" t="n">
        <v>2</v>
      </c>
      <c r="I3720" s="57" t="n">
        <v>3</v>
      </c>
    </row>
    <row r="3721">
      <c r="A3721" s="62" t="n">
        <v>46544</v>
      </c>
      <c r="B3721" s="3" t="inlineStr">
        <is>
          <t>Sun</t>
        </is>
      </c>
      <c r="C3721" s="19" t="n">
        <v>6</v>
      </c>
      <c r="D3721" s="19" t="n">
        <v>2027</v>
      </c>
      <c r="E3721" s="57" t="n">
        <v>4</v>
      </c>
      <c r="F3721" s="29">
        <f>ROUND(((SUMIFS(Calendar!$F$2:$F$9997,Calendar!$B$2:$B$9997,D3721,Calendar!$C$2:$C$9997,C3721)*INDEX(ForeCalc!$B$37:$Y$274,MATCH(_xlfn.CONCAT(H3721," ",I3721),ForeCalc!$A$37:$A$274,0),MATCH(_xlfn.CONCAT(B3721," ",E3721),ForeCalc!$B$36:$Y$36,0))))*VLOOKUP(A3721,Calendar!$A$2:$H$9997,8,FALSE),0)</f>
        <v/>
      </c>
      <c r="G3721" s="29">
        <f>VLOOKUP(A3721,Calendar!$A$1:$H$9997,6,FALSE)-F3721</f>
        <v/>
      </c>
      <c r="H3721" s="19" t="n">
        <v>2</v>
      </c>
      <c r="I3721" s="57" t="n">
        <v>3</v>
      </c>
    </row>
    <row r="3722">
      <c r="A3722" s="62" t="n">
        <v>46545</v>
      </c>
      <c r="B3722" s="3" t="inlineStr">
        <is>
          <t>Week</t>
        </is>
      </c>
      <c r="C3722" s="19" t="n">
        <v>6</v>
      </c>
      <c r="D3722" s="19" t="n">
        <v>2027</v>
      </c>
      <c r="E3722" s="57" t="n">
        <v>4</v>
      </c>
      <c r="F3722" s="29">
        <f>ROUND(((SUMIFS(Calendar!$F$2:$F$9997,Calendar!$B$2:$B$9997,D3722,Calendar!$C$2:$C$9997,C3722)*INDEX(ForeCalc!$B$37:$Y$274,MATCH(_xlfn.CONCAT(H3722," ",I3722),ForeCalc!$A$37:$A$274,0),MATCH(_xlfn.CONCAT(B3722," ",E3722),ForeCalc!$B$36:$Y$36,0))))*VLOOKUP(A3722,Calendar!$A$2:$H$9997,8,FALSE),0)</f>
        <v/>
      </c>
      <c r="G3722" s="29">
        <f>VLOOKUP(A3722,Calendar!$A$1:$H$9997,6,FALSE)-F3722</f>
        <v/>
      </c>
      <c r="H3722" s="19" t="n">
        <v>2</v>
      </c>
      <c r="I3722" s="57" t="n">
        <v>3</v>
      </c>
    </row>
    <row r="3723">
      <c r="A3723" s="62" t="n">
        <v>46546</v>
      </c>
      <c r="B3723" s="3" t="inlineStr">
        <is>
          <t>Week</t>
        </is>
      </c>
      <c r="C3723" s="19" t="n">
        <v>6</v>
      </c>
      <c r="D3723" s="19" t="n">
        <v>2027</v>
      </c>
      <c r="E3723" s="57" t="n">
        <v>4</v>
      </c>
      <c r="F3723" s="29">
        <f>ROUND(((SUMIFS(Calendar!$F$2:$F$9997,Calendar!$B$2:$B$9997,D3723,Calendar!$C$2:$C$9997,C3723)*INDEX(ForeCalc!$B$37:$Y$274,MATCH(_xlfn.CONCAT(H3723," ",I3723),ForeCalc!$A$37:$A$274,0),MATCH(_xlfn.CONCAT(B3723," ",E3723),ForeCalc!$B$36:$Y$36,0))))*VLOOKUP(A3723,Calendar!$A$2:$H$9997,8,FALSE),0)</f>
        <v/>
      </c>
      <c r="G3723" s="29">
        <f>VLOOKUP(A3723,Calendar!$A$1:$H$9997,6,FALSE)-F3723</f>
        <v/>
      </c>
      <c r="H3723" s="19" t="n">
        <v>2</v>
      </c>
      <c r="I3723" s="57" t="n">
        <v>3</v>
      </c>
    </row>
    <row r="3724">
      <c r="A3724" s="62" t="n">
        <v>46547</v>
      </c>
      <c r="B3724" s="3" t="inlineStr">
        <is>
          <t>Week</t>
        </is>
      </c>
      <c r="C3724" s="19" t="n">
        <v>6</v>
      </c>
      <c r="D3724" s="19" t="n">
        <v>2027</v>
      </c>
      <c r="E3724" s="57" t="n">
        <v>4</v>
      </c>
      <c r="F3724" s="29">
        <f>ROUND(((SUMIFS(Calendar!$F$2:$F$9997,Calendar!$B$2:$B$9997,D3724,Calendar!$C$2:$C$9997,C3724)*INDEX(ForeCalc!$B$37:$Y$274,MATCH(_xlfn.CONCAT(H3724," ",I3724),ForeCalc!$A$37:$A$274,0),MATCH(_xlfn.CONCAT(B3724," ",E3724),ForeCalc!$B$36:$Y$36,0))))*VLOOKUP(A3724,Calendar!$A$2:$H$9997,8,FALSE),0)</f>
        <v/>
      </c>
      <c r="G3724" s="29">
        <f>VLOOKUP(A3724,Calendar!$A$1:$H$9997,6,FALSE)-F3724</f>
        <v/>
      </c>
      <c r="H3724" s="19" t="n">
        <v>2</v>
      </c>
      <c r="I3724" s="57" t="n">
        <v>3</v>
      </c>
    </row>
    <row r="3725">
      <c r="A3725" s="62" t="n">
        <v>46548</v>
      </c>
      <c r="B3725" s="3" t="inlineStr">
        <is>
          <t>Week</t>
        </is>
      </c>
      <c r="C3725" s="19" t="n">
        <v>6</v>
      </c>
      <c r="D3725" s="19" t="n">
        <v>2027</v>
      </c>
      <c r="E3725" s="57" t="n">
        <v>4</v>
      </c>
      <c r="F3725" s="29">
        <f>ROUND(((SUMIFS(Calendar!$F$2:$F$9997,Calendar!$B$2:$B$9997,D3725,Calendar!$C$2:$C$9997,C3725)*INDEX(ForeCalc!$B$37:$Y$274,MATCH(_xlfn.CONCAT(H3725," ",I3725),ForeCalc!$A$37:$A$274,0),MATCH(_xlfn.CONCAT(B3725," ",E3725),ForeCalc!$B$36:$Y$36,0))))*VLOOKUP(A3725,Calendar!$A$2:$H$9997,8,FALSE),0)</f>
        <v/>
      </c>
      <c r="G3725" s="29">
        <f>VLOOKUP(A3725,Calendar!$A$1:$H$9997,6,FALSE)-F3725</f>
        <v/>
      </c>
      <c r="H3725" s="19" t="n">
        <v>2</v>
      </c>
      <c r="I3725" s="57" t="n">
        <v>3</v>
      </c>
    </row>
    <row r="3726">
      <c r="A3726" s="62" t="n">
        <v>46549</v>
      </c>
      <c r="B3726" s="3" t="inlineStr">
        <is>
          <t>Week</t>
        </is>
      </c>
      <c r="C3726" s="19" t="n">
        <v>6</v>
      </c>
      <c r="D3726" s="19" t="n">
        <v>2027</v>
      </c>
      <c r="E3726" s="57" t="n">
        <v>4</v>
      </c>
      <c r="F3726" s="29">
        <f>ROUND(((SUMIFS(Calendar!$F$2:$F$9997,Calendar!$B$2:$B$9997,D3726,Calendar!$C$2:$C$9997,C3726)*INDEX(ForeCalc!$B$37:$Y$274,MATCH(_xlfn.CONCAT(H3726," ",I3726),ForeCalc!$A$37:$A$274,0),MATCH(_xlfn.CONCAT(B3726," ",E3726),ForeCalc!$B$36:$Y$36,0))))*VLOOKUP(A3726,Calendar!$A$2:$H$9997,8,FALSE),0)</f>
        <v/>
      </c>
      <c r="G3726" s="29">
        <f>VLOOKUP(A3726,Calendar!$A$1:$H$9997,6,FALSE)-F3726</f>
        <v/>
      </c>
      <c r="H3726" s="19" t="n">
        <v>2</v>
      </c>
      <c r="I3726" s="57" t="n">
        <v>3</v>
      </c>
    </row>
    <row r="3727">
      <c r="A3727" s="62" t="n">
        <v>46550</v>
      </c>
      <c r="B3727" s="3" t="inlineStr">
        <is>
          <t>Sat</t>
        </is>
      </c>
      <c r="C3727" s="19" t="n">
        <v>6</v>
      </c>
      <c r="D3727" s="19" t="n">
        <v>2027</v>
      </c>
      <c r="E3727" s="57" t="n">
        <v>4</v>
      </c>
      <c r="F3727" s="29">
        <f>ROUND(((SUMIFS(Calendar!$F$2:$F$9997,Calendar!$B$2:$B$9997,D3727,Calendar!$C$2:$C$9997,C3727)*INDEX(ForeCalc!$B$37:$Y$274,MATCH(_xlfn.CONCAT(H3727," ",I3727),ForeCalc!$A$37:$A$274,0),MATCH(_xlfn.CONCAT(B3727," ",E3727),ForeCalc!$B$36:$Y$36,0))))*VLOOKUP(A3727,Calendar!$A$2:$H$9997,8,FALSE),0)</f>
        <v/>
      </c>
      <c r="G3727" s="29">
        <f>VLOOKUP(A3727,Calendar!$A$1:$H$9997,6,FALSE)-F3727</f>
        <v/>
      </c>
      <c r="H3727" s="19" t="n">
        <v>2</v>
      </c>
      <c r="I3727" s="57" t="n">
        <v>3</v>
      </c>
    </row>
    <row r="3728">
      <c r="A3728" s="62" t="n">
        <v>46551</v>
      </c>
      <c r="B3728" s="3" t="inlineStr">
        <is>
          <t>Sun</t>
        </is>
      </c>
      <c r="C3728" s="19" t="n">
        <v>6</v>
      </c>
      <c r="D3728" s="19" t="n">
        <v>2027</v>
      </c>
      <c r="E3728" s="57" t="n">
        <v>4</v>
      </c>
      <c r="F3728" s="29">
        <f>ROUND(((SUMIFS(Calendar!$F$2:$F$9997,Calendar!$B$2:$B$9997,D3728,Calendar!$C$2:$C$9997,C3728)*INDEX(ForeCalc!$B$37:$Y$274,MATCH(_xlfn.CONCAT(H3728," ",I3728),ForeCalc!$A$37:$A$274,0),MATCH(_xlfn.CONCAT(B3728," ",E3728),ForeCalc!$B$36:$Y$36,0))))*VLOOKUP(A3728,Calendar!$A$2:$H$9997,8,FALSE),0)</f>
        <v/>
      </c>
      <c r="G3728" s="29">
        <f>VLOOKUP(A3728,Calendar!$A$1:$H$9997,6,FALSE)-F3728</f>
        <v/>
      </c>
      <c r="H3728" s="19" t="n">
        <v>2</v>
      </c>
      <c r="I3728" s="57" t="n">
        <v>3</v>
      </c>
    </row>
    <row r="3729">
      <c r="A3729" s="62" t="n">
        <v>46552</v>
      </c>
      <c r="B3729" s="3" t="inlineStr">
        <is>
          <t>Week</t>
        </is>
      </c>
      <c r="C3729" s="19" t="n">
        <v>6</v>
      </c>
      <c r="D3729" s="19" t="n">
        <v>2027</v>
      </c>
      <c r="E3729" s="57" t="n">
        <v>4</v>
      </c>
      <c r="F3729" s="29">
        <f>ROUND(((SUMIFS(Calendar!$F$2:$F$9997,Calendar!$B$2:$B$9997,D3729,Calendar!$C$2:$C$9997,C3729)*INDEX(ForeCalc!$B$37:$Y$274,MATCH(_xlfn.CONCAT(H3729," ",I3729),ForeCalc!$A$37:$A$274,0),MATCH(_xlfn.CONCAT(B3729," ",E3729),ForeCalc!$B$36:$Y$36,0))))*VLOOKUP(A3729,Calendar!$A$2:$H$9997,8,FALSE),0)</f>
        <v/>
      </c>
      <c r="G3729" s="29">
        <f>VLOOKUP(A3729,Calendar!$A$1:$H$9997,6,FALSE)-F3729</f>
        <v/>
      </c>
      <c r="H3729" s="19" t="n">
        <v>2</v>
      </c>
      <c r="I3729" s="57" t="n">
        <v>3</v>
      </c>
    </row>
    <row r="3730">
      <c r="A3730" s="62" t="n">
        <v>46553</v>
      </c>
      <c r="B3730" s="3" t="inlineStr">
        <is>
          <t>Week</t>
        </is>
      </c>
      <c r="C3730" s="19" t="n">
        <v>6</v>
      </c>
      <c r="D3730" s="19" t="n">
        <v>2027</v>
      </c>
      <c r="E3730" s="57" t="n">
        <v>4</v>
      </c>
      <c r="F3730" s="29">
        <f>ROUND(((SUMIFS(Calendar!$F$2:$F$9997,Calendar!$B$2:$B$9997,D3730,Calendar!$C$2:$C$9997,C3730)*INDEX(ForeCalc!$B$37:$Y$274,MATCH(_xlfn.CONCAT(H3730," ",I3730),ForeCalc!$A$37:$A$274,0),MATCH(_xlfn.CONCAT(B3730," ",E3730),ForeCalc!$B$36:$Y$36,0))))*VLOOKUP(A3730,Calendar!$A$2:$H$9997,8,FALSE),0)</f>
        <v/>
      </c>
      <c r="G3730" s="29">
        <f>VLOOKUP(A3730,Calendar!$A$1:$H$9997,6,FALSE)-F3730</f>
        <v/>
      </c>
      <c r="H3730" s="19" t="n">
        <v>2</v>
      </c>
      <c r="I3730" s="57" t="n">
        <v>3</v>
      </c>
    </row>
    <row r="3731">
      <c r="A3731" s="62" t="n">
        <v>46554</v>
      </c>
      <c r="B3731" s="3" t="inlineStr">
        <is>
          <t>Week</t>
        </is>
      </c>
      <c r="C3731" s="19" t="n">
        <v>6</v>
      </c>
      <c r="D3731" s="19" t="n">
        <v>2027</v>
      </c>
      <c r="E3731" s="57" t="n">
        <v>4</v>
      </c>
      <c r="F3731" s="29">
        <f>ROUND(((SUMIFS(Calendar!$F$2:$F$9997,Calendar!$B$2:$B$9997,D3731,Calendar!$C$2:$C$9997,C3731)*INDEX(ForeCalc!$B$37:$Y$274,MATCH(_xlfn.CONCAT(H3731," ",I3731),ForeCalc!$A$37:$A$274,0),MATCH(_xlfn.CONCAT(B3731," ",E3731),ForeCalc!$B$36:$Y$36,0))))*VLOOKUP(A3731,Calendar!$A$2:$H$9997,8,FALSE),0)</f>
        <v/>
      </c>
      <c r="G3731" s="29">
        <f>VLOOKUP(A3731,Calendar!$A$1:$H$9997,6,FALSE)-F3731</f>
        <v/>
      </c>
      <c r="H3731" s="19" t="n">
        <v>2</v>
      </c>
      <c r="I3731" s="57" t="n">
        <v>3</v>
      </c>
    </row>
    <row r="3732">
      <c r="A3732" s="62" t="n">
        <v>46555</v>
      </c>
      <c r="B3732" s="3" t="inlineStr">
        <is>
          <t>Week</t>
        </is>
      </c>
      <c r="C3732" s="19" t="n">
        <v>6</v>
      </c>
      <c r="D3732" s="19" t="n">
        <v>2027</v>
      </c>
      <c r="E3732" s="57" t="n">
        <v>4</v>
      </c>
      <c r="F3732" s="29">
        <f>ROUND(((SUMIFS(Calendar!$F$2:$F$9997,Calendar!$B$2:$B$9997,D3732,Calendar!$C$2:$C$9997,C3732)*INDEX(ForeCalc!$B$37:$Y$274,MATCH(_xlfn.CONCAT(H3732," ",I3732),ForeCalc!$A$37:$A$274,0),MATCH(_xlfn.CONCAT(B3732," ",E3732),ForeCalc!$B$36:$Y$36,0))))*VLOOKUP(A3732,Calendar!$A$2:$H$9997,8,FALSE),0)</f>
        <v/>
      </c>
      <c r="G3732" s="29">
        <f>VLOOKUP(A3732,Calendar!$A$1:$H$9997,6,FALSE)-F3732</f>
        <v/>
      </c>
      <c r="H3732" s="19" t="n">
        <v>2</v>
      </c>
      <c r="I3732" s="57" t="n">
        <v>3</v>
      </c>
    </row>
    <row r="3733">
      <c r="A3733" s="62" t="n">
        <v>46556</v>
      </c>
      <c r="B3733" s="3" t="inlineStr">
        <is>
          <t>Week</t>
        </is>
      </c>
      <c r="C3733" s="19" t="n">
        <v>6</v>
      </c>
      <c r="D3733" s="19" t="n">
        <v>2027</v>
      </c>
      <c r="E3733" s="57" t="n">
        <v>4</v>
      </c>
      <c r="F3733" s="29">
        <f>ROUND(((SUMIFS(Calendar!$F$2:$F$9997,Calendar!$B$2:$B$9997,D3733,Calendar!$C$2:$C$9997,C3733)*INDEX(ForeCalc!$B$37:$Y$274,MATCH(_xlfn.CONCAT(H3733," ",I3733),ForeCalc!$A$37:$A$274,0),MATCH(_xlfn.CONCAT(B3733," ",E3733),ForeCalc!$B$36:$Y$36,0))))*VLOOKUP(A3733,Calendar!$A$2:$H$9997,8,FALSE),0)</f>
        <v/>
      </c>
      <c r="G3733" s="29">
        <f>VLOOKUP(A3733,Calendar!$A$1:$H$9997,6,FALSE)-F3733</f>
        <v/>
      </c>
      <c r="H3733" s="19" t="n">
        <v>2</v>
      </c>
      <c r="I3733" s="57" t="n">
        <v>3</v>
      </c>
    </row>
    <row r="3734">
      <c r="A3734" s="62" t="n">
        <v>46557</v>
      </c>
      <c r="B3734" s="3" t="inlineStr">
        <is>
          <t>Sat</t>
        </is>
      </c>
      <c r="C3734" s="19" t="n">
        <v>6</v>
      </c>
      <c r="D3734" s="19" t="n">
        <v>2027</v>
      </c>
      <c r="E3734" s="57" t="n">
        <v>4</v>
      </c>
      <c r="F3734" s="29">
        <f>ROUND(((SUMIFS(Calendar!$F$2:$F$9997,Calendar!$B$2:$B$9997,D3734,Calendar!$C$2:$C$9997,C3734)*INDEX(ForeCalc!$B$37:$Y$274,MATCH(_xlfn.CONCAT(H3734," ",I3734),ForeCalc!$A$37:$A$274,0),MATCH(_xlfn.CONCAT(B3734," ",E3734),ForeCalc!$B$36:$Y$36,0))))*VLOOKUP(A3734,Calendar!$A$2:$H$9997,8,FALSE),0)</f>
        <v/>
      </c>
      <c r="G3734" s="29">
        <f>VLOOKUP(A3734,Calendar!$A$1:$H$9997,6,FALSE)-F3734</f>
        <v/>
      </c>
      <c r="H3734" s="19" t="n">
        <v>2</v>
      </c>
      <c r="I3734" s="57" t="n">
        <v>3</v>
      </c>
    </row>
    <row r="3735">
      <c r="A3735" s="62" t="n">
        <v>46558</v>
      </c>
      <c r="B3735" s="3" t="inlineStr">
        <is>
          <t>Sun</t>
        </is>
      </c>
      <c r="C3735" s="19" t="n">
        <v>6</v>
      </c>
      <c r="D3735" s="19" t="n">
        <v>2027</v>
      </c>
      <c r="E3735" s="57" t="n">
        <v>4</v>
      </c>
      <c r="F3735" s="29">
        <f>ROUND(((SUMIFS(Calendar!$F$2:$F$9997,Calendar!$B$2:$B$9997,D3735,Calendar!$C$2:$C$9997,C3735)*INDEX(ForeCalc!$B$37:$Y$274,MATCH(_xlfn.CONCAT(H3735," ",I3735),ForeCalc!$A$37:$A$274,0),MATCH(_xlfn.CONCAT(B3735," ",E3735),ForeCalc!$B$36:$Y$36,0))))*VLOOKUP(A3735,Calendar!$A$2:$H$9997,8,FALSE),0)</f>
        <v/>
      </c>
      <c r="G3735" s="29">
        <f>VLOOKUP(A3735,Calendar!$A$1:$H$9997,6,FALSE)-F3735</f>
        <v/>
      </c>
      <c r="H3735" s="19" t="n">
        <v>2</v>
      </c>
      <c r="I3735" s="57" t="n">
        <v>3</v>
      </c>
    </row>
    <row r="3736">
      <c r="A3736" s="62" t="n">
        <v>46559</v>
      </c>
      <c r="B3736" s="3" t="inlineStr">
        <is>
          <t>Week</t>
        </is>
      </c>
      <c r="C3736" s="19" t="n">
        <v>6</v>
      </c>
      <c r="D3736" s="19" t="n">
        <v>2027</v>
      </c>
      <c r="E3736" s="57" t="n">
        <v>4</v>
      </c>
      <c r="F3736" s="29">
        <f>ROUND(((SUMIFS(Calendar!$F$2:$F$9997,Calendar!$B$2:$B$9997,D3736,Calendar!$C$2:$C$9997,C3736)*INDEX(ForeCalc!$B$37:$Y$274,MATCH(_xlfn.CONCAT(H3736," ",I3736),ForeCalc!$A$37:$A$274,0),MATCH(_xlfn.CONCAT(B3736," ",E3736),ForeCalc!$B$36:$Y$36,0))))*VLOOKUP(A3736,Calendar!$A$2:$H$9997,8,FALSE),0)</f>
        <v/>
      </c>
      <c r="G3736" s="29">
        <f>VLOOKUP(A3736,Calendar!$A$1:$H$9997,6,FALSE)-F3736</f>
        <v/>
      </c>
      <c r="H3736" s="19" t="n">
        <v>2</v>
      </c>
      <c r="I3736" s="57" t="n">
        <v>3</v>
      </c>
    </row>
    <row r="3737">
      <c r="A3737" s="62" t="n">
        <v>46560</v>
      </c>
      <c r="B3737" s="3" t="inlineStr">
        <is>
          <t>Week</t>
        </is>
      </c>
      <c r="C3737" s="19" t="n">
        <v>6</v>
      </c>
      <c r="D3737" s="19" t="n">
        <v>2027</v>
      </c>
      <c r="E3737" s="57" t="n">
        <v>4</v>
      </c>
      <c r="F3737" s="29">
        <f>ROUND(((SUMIFS(Calendar!$F$2:$F$9997,Calendar!$B$2:$B$9997,D3737,Calendar!$C$2:$C$9997,C3737)*INDEX(ForeCalc!$B$37:$Y$274,MATCH(_xlfn.CONCAT(H3737," ",I3737),ForeCalc!$A$37:$A$274,0),MATCH(_xlfn.CONCAT(B3737," ",E3737),ForeCalc!$B$36:$Y$36,0))))*VLOOKUP(A3737,Calendar!$A$2:$H$9997,8,FALSE),0)</f>
        <v/>
      </c>
      <c r="G3737" s="29">
        <f>VLOOKUP(A3737,Calendar!$A$1:$H$9997,6,FALSE)-F3737</f>
        <v/>
      </c>
      <c r="H3737" s="19" t="n">
        <v>2</v>
      </c>
      <c r="I3737" s="57" t="n">
        <v>3</v>
      </c>
    </row>
    <row r="3738">
      <c r="A3738" s="62" t="n">
        <v>46561</v>
      </c>
      <c r="B3738" s="3" t="inlineStr">
        <is>
          <t>Week</t>
        </is>
      </c>
      <c r="C3738" s="19" t="n">
        <v>6</v>
      </c>
      <c r="D3738" s="19" t="n">
        <v>2027</v>
      </c>
      <c r="E3738" s="57" t="n">
        <v>4</v>
      </c>
      <c r="F3738" s="29">
        <f>ROUND(((SUMIFS(Calendar!$F$2:$F$9997,Calendar!$B$2:$B$9997,D3738,Calendar!$C$2:$C$9997,C3738)*INDEX(ForeCalc!$B$37:$Y$274,MATCH(_xlfn.CONCAT(H3738," ",I3738),ForeCalc!$A$37:$A$274,0),MATCH(_xlfn.CONCAT(B3738," ",E3738),ForeCalc!$B$36:$Y$36,0))))*VLOOKUP(A3738,Calendar!$A$2:$H$9997,8,FALSE),0)</f>
        <v/>
      </c>
      <c r="G3738" s="29">
        <f>VLOOKUP(A3738,Calendar!$A$1:$H$9997,6,FALSE)-F3738</f>
        <v/>
      </c>
      <c r="H3738" s="19" t="n">
        <v>2</v>
      </c>
      <c r="I3738" s="57" t="n">
        <v>3</v>
      </c>
    </row>
    <row r="3739">
      <c r="A3739" s="62" t="n">
        <v>46562</v>
      </c>
      <c r="B3739" s="3" t="inlineStr">
        <is>
          <t>Week</t>
        </is>
      </c>
      <c r="C3739" s="19" t="n">
        <v>6</v>
      </c>
      <c r="D3739" s="19" t="n">
        <v>2027</v>
      </c>
      <c r="E3739" s="57" t="n">
        <v>4</v>
      </c>
      <c r="F3739" s="29">
        <f>ROUND(((SUMIFS(Calendar!$F$2:$F$9997,Calendar!$B$2:$B$9997,D3739,Calendar!$C$2:$C$9997,C3739)*INDEX(ForeCalc!$B$37:$Y$274,MATCH(_xlfn.CONCAT(H3739," ",I3739),ForeCalc!$A$37:$A$274,0),MATCH(_xlfn.CONCAT(B3739," ",E3739),ForeCalc!$B$36:$Y$36,0))))*VLOOKUP(A3739,Calendar!$A$2:$H$9997,8,FALSE),0)</f>
        <v/>
      </c>
      <c r="G3739" s="29">
        <f>VLOOKUP(A3739,Calendar!$A$1:$H$9997,6,FALSE)-F3739</f>
        <v/>
      </c>
      <c r="H3739" s="19" t="n">
        <v>2</v>
      </c>
      <c r="I3739" s="57" t="n">
        <v>3</v>
      </c>
    </row>
    <row r="3740">
      <c r="A3740" s="62" t="n">
        <v>46563</v>
      </c>
      <c r="B3740" s="3" t="inlineStr">
        <is>
          <t>Week</t>
        </is>
      </c>
      <c r="C3740" s="19" t="n">
        <v>6</v>
      </c>
      <c r="D3740" s="19" t="n">
        <v>2027</v>
      </c>
      <c r="E3740" s="57" t="n">
        <v>4</v>
      </c>
      <c r="F3740" s="29">
        <f>ROUND(((SUMIFS(Calendar!$F$2:$F$9997,Calendar!$B$2:$B$9997,D3740,Calendar!$C$2:$C$9997,C3740)*INDEX(ForeCalc!$B$37:$Y$274,MATCH(_xlfn.CONCAT(H3740," ",I3740),ForeCalc!$A$37:$A$274,0),MATCH(_xlfn.CONCAT(B3740," ",E3740),ForeCalc!$B$36:$Y$36,0))))*VLOOKUP(A3740,Calendar!$A$2:$H$9997,8,FALSE),0)</f>
        <v/>
      </c>
      <c r="G3740" s="29">
        <f>VLOOKUP(A3740,Calendar!$A$1:$H$9997,6,FALSE)-F3740</f>
        <v/>
      </c>
      <c r="H3740" s="19" t="n">
        <v>2</v>
      </c>
      <c r="I3740" s="57" t="n">
        <v>3</v>
      </c>
    </row>
    <row r="3741">
      <c r="A3741" s="62" t="n">
        <v>46564</v>
      </c>
      <c r="B3741" s="3" t="inlineStr">
        <is>
          <t>Sat</t>
        </is>
      </c>
      <c r="C3741" s="19" t="n">
        <v>6</v>
      </c>
      <c r="D3741" s="19" t="n">
        <v>2027</v>
      </c>
      <c r="E3741" s="57" t="n">
        <v>4</v>
      </c>
      <c r="F3741" s="29">
        <f>ROUND(((SUMIFS(Calendar!$F$2:$F$9997,Calendar!$B$2:$B$9997,D3741,Calendar!$C$2:$C$9997,C3741)*INDEX(ForeCalc!$B$37:$Y$274,MATCH(_xlfn.CONCAT(H3741," ",I3741),ForeCalc!$A$37:$A$274,0),MATCH(_xlfn.CONCAT(B3741," ",E3741),ForeCalc!$B$36:$Y$36,0))))*VLOOKUP(A3741,Calendar!$A$2:$H$9997,8,FALSE),0)</f>
        <v/>
      </c>
      <c r="G3741" s="29">
        <f>VLOOKUP(A3741,Calendar!$A$1:$H$9997,6,FALSE)-F3741</f>
        <v/>
      </c>
      <c r="H3741" s="19" t="n">
        <v>2</v>
      </c>
      <c r="I3741" s="57" t="n">
        <v>3</v>
      </c>
    </row>
    <row r="3742">
      <c r="A3742" s="62" t="n">
        <v>46565</v>
      </c>
      <c r="B3742" s="3" t="inlineStr">
        <is>
          <t>Sun</t>
        </is>
      </c>
      <c r="C3742" s="19" t="n">
        <v>6</v>
      </c>
      <c r="D3742" s="19" t="n">
        <v>2027</v>
      </c>
      <c r="E3742" s="57" t="n">
        <v>4</v>
      </c>
      <c r="F3742" s="29">
        <f>ROUND(((SUMIFS(Calendar!$F$2:$F$9997,Calendar!$B$2:$B$9997,D3742,Calendar!$C$2:$C$9997,C3742)*INDEX(ForeCalc!$B$37:$Y$274,MATCH(_xlfn.CONCAT(H3742," ",I3742),ForeCalc!$A$37:$A$274,0),MATCH(_xlfn.CONCAT(B3742," ",E3742),ForeCalc!$B$36:$Y$36,0))))*VLOOKUP(A3742,Calendar!$A$2:$H$9997,8,FALSE),0)</f>
        <v/>
      </c>
      <c r="G3742" s="29">
        <f>VLOOKUP(A3742,Calendar!$A$1:$H$9997,6,FALSE)-F3742</f>
        <v/>
      </c>
      <c r="H3742" s="19" t="n">
        <v>2</v>
      </c>
      <c r="I3742" s="57" t="n">
        <v>3</v>
      </c>
    </row>
    <row r="3743">
      <c r="A3743" s="62" t="n">
        <v>46566</v>
      </c>
      <c r="B3743" s="3" t="inlineStr">
        <is>
          <t>Week</t>
        </is>
      </c>
      <c r="C3743" s="19" t="n">
        <v>6</v>
      </c>
      <c r="D3743" s="19" t="n">
        <v>2027</v>
      </c>
      <c r="E3743" s="57" t="n">
        <v>4</v>
      </c>
      <c r="F3743" s="29">
        <f>ROUND(((SUMIFS(Calendar!$F$2:$F$9997,Calendar!$B$2:$B$9997,D3743,Calendar!$C$2:$C$9997,C3743)*INDEX(ForeCalc!$B$37:$Y$274,MATCH(_xlfn.CONCAT(H3743," ",I3743),ForeCalc!$A$37:$A$274,0),MATCH(_xlfn.CONCAT(B3743," ",E3743),ForeCalc!$B$36:$Y$36,0))))*VLOOKUP(A3743,Calendar!$A$2:$H$9997,8,FALSE),0)</f>
        <v/>
      </c>
      <c r="G3743" s="29">
        <f>VLOOKUP(A3743,Calendar!$A$1:$H$9997,6,FALSE)-F3743</f>
        <v/>
      </c>
      <c r="H3743" s="19" t="n">
        <v>2</v>
      </c>
      <c r="I3743" s="57" t="n">
        <v>3</v>
      </c>
    </row>
    <row r="3744">
      <c r="A3744" s="62" t="n">
        <v>46567</v>
      </c>
      <c r="B3744" s="3" t="inlineStr">
        <is>
          <t>Week</t>
        </is>
      </c>
      <c r="C3744" s="19" t="n">
        <v>6</v>
      </c>
      <c r="D3744" s="19" t="n">
        <v>2027</v>
      </c>
      <c r="E3744" s="57" t="n">
        <v>4</v>
      </c>
      <c r="F3744" s="29">
        <f>ROUND(((SUMIFS(Calendar!$F$2:$F$9997,Calendar!$B$2:$B$9997,D3744,Calendar!$C$2:$C$9997,C3744)*INDEX(ForeCalc!$B$37:$Y$274,MATCH(_xlfn.CONCAT(H3744," ",I3744),ForeCalc!$A$37:$A$274,0),MATCH(_xlfn.CONCAT(B3744," ",E3744),ForeCalc!$B$36:$Y$36,0))))*VLOOKUP(A3744,Calendar!$A$2:$H$9997,8,FALSE),0)</f>
        <v/>
      </c>
      <c r="G3744" s="29">
        <f>VLOOKUP(A3744,Calendar!$A$1:$H$9997,6,FALSE)-F3744</f>
        <v/>
      </c>
      <c r="H3744" s="19" t="n">
        <v>2</v>
      </c>
      <c r="I3744" s="57" t="n">
        <v>3</v>
      </c>
    </row>
    <row r="3745">
      <c r="A3745" s="62" t="n">
        <v>46568</v>
      </c>
      <c r="B3745" s="3" t="inlineStr">
        <is>
          <t>Week</t>
        </is>
      </c>
      <c r="C3745" s="19" t="n">
        <v>6</v>
      </c>
      <c r="D3745" s="19" t="n">
        <v>2027</v>
      </c>
      <c r="E3745" s="57" t="n">
        <v>4</v>
      </c>
      <c r="F3745" s="29">
        <f>ROUND(((SUMIFS(Calendar!$F$2:$F$9997,Calendar!$B$2:$B$9997,D3745,Calendar!$C$2:$C$9997,C3745)*INDEX(ForeCalc!$B$37:$Y$274,MATCH(_xlfn.CONCAT(H3745," ",I3745),ForeCalc!$A$37:$A$274,0),MATCH(_xlfn.CONCAT(B3745," ",E3745),ForeCalc!$B$36:$Y$36,0))))*VLOOKUP(A3745,Calendar!$A$2:$H$9997,8,FALSE),0)</f>
        <v/>
      </c>
      <c r="G3745" s="29">
        <f>VLOOKUP(A3745,Calendar!$A$1:$H$9997,6,FALSE)-F3745</f>
        <v/>
      </c>
      <c r="H3745" s="19" t="n">
        <v>2</v>
      </c>
      <c r="I3745" s="57" t="n">
        <v>3</v>
      </c>
    </row>
    <row r="3746">
      <c r="A3746" s="62" t="n">
        <v>46569</v>
      </c>
      <c r="B3746" s="3" t="inlineStr">
        <is>
          <t>Week</t>
        </is>
      </c>
      <c r="C3746" s="19" t="n">
        <v>7</v>
      </c>
      <c r="D3746" s="19" t="n">
        <v>2027</v>
      </c>
      <c r="E3746" s="57" t="n">
        <v>4</v>
      </c>
      <c r="F3746" s="29">
        <f>ROUND(((SUMIFS(Calendar!$F$2:$F$9997,Calendar!$B$2:$B$9997,D3746,Calendar!$C$2:$C$9997,C3746)*INDEX(ForeCalc!$B$37:$Y$274,MATCH(_xlfn.CONCAT(H3746," ",I3746),ForeCalc!$A$37:$A$274,0),MATCH(_xlfn.CONCAT(B3746," ",E3746),ForeCalc!$B$36:$Y$36,0))))*VLOOKUP(A3746,Calendar!$A$2:$H$9997,8,FALSE),0)</f>
        <v/>
      </c>
      <c r="G3746" s="29">
        <f>VLOOKUP(A3746,Calendar!$A$1:$H$9997,6,FALSE)-F3746</f>
        <v/>
      </c>
      <c r="H3746" s="19" t="n">
        <v>2</v>
      </c>
      <c r="I3746" s="57" t="n">
        <v>4</v>
      </c>
    </row>
    <row r="3747">
      <c r="A3747" s="62" t="n">
        <v>46570</v>
      </c>
      <c r="B3747" s="3" t="inlineStr">
        <is>
          <t>Week</t>
        </is>
      </c>
      <c r="C3747" s="19" t="n">
        <v>7</v>
      </c>
      <c r="D3747" s="19" t="n">
        <v>2027</v>
      </c>
      <c r="E3747" s="57" t="n">
        <v>4</v>
      </c>
      <c r="F3747" s="29">
        <f>ROUND(((SUMIFS(Calendar!$F$2:$F$9997,Calendar!$B$2:$B$9997,D3747,Calendar!$C$2:$C$9997,C3747)*INDEX(ForeCalc!$B$37:$Y$274,MATCH(_xlfn.CONCAT(H3747," ",I3747),ForeCalc!$A$37:$A$274,0),MATCH(_xlfn.CONCAT(B3747," ",E3747),ForeCalc!$B$36:$Y$36,0))))*VLOOKUP(A3747,Calendar!$A$2:$H$9997,8,FALSE),0)</f>
        <v/>
      </c>
      <c r="G3747" s="29">
        <f>VLOOKUP(A3747,Calendar!$A$1:$H$9997,6,FALSE)-F3747</f>
        <v/>
      </c>
      <c r="H3747" s="19" t="n">
        <v>2</v>
      </c>
      <c r="I3747" s="57" t="n">
        <v>4</v>
      </c>
    </row>
    <row r="3748">
      <c r="A3748" s="62" t="n">
        <v>46571</v>
      </c>
      <c r="B3748" s="3" t="inlineStr">
        <is>
          <t>Sat</t>
        </is>
      </c>
      <c r="C3748" s="19" t="n">
        <v>7</v>
      </c>
      <c r="D3748" s="19" t="n">
        <v>2027</v>
      </c>
      <c r="E3748" s="57" t="n">
        <v>4</v>
      </c>
      <c r="F3748" s="29">
        <f>ROUND(((SUMIFS(Calendar!$F$2:$F$9997,Calendar!$B$2:$B$9997,D3748,Calendar!$C$2:$C$9997,C3748)*INDEX(ForeCalc!$B$37:$Y$274,MATCH(_xlfn.CONCAT(H3748," ",I3748),ForeCalc!$A$37:$A$274,0),MATCH(_xlfn.CONCAT(B3748," ",E3748),ForeCalc!$B$36:$Y$36,0))))*VLOOKUP(A3748,Calendar!$A$2:$H$9997,8,FALSE),0)</f>
        <v/>
      </c>
      <c r="G3748" s="29">
        <f>VLOOKUP(A3748,Calendar!$A$1:$H$9997,6,FALSE)-F3748</f>
        <v/>
      </c>
      <c r="H3748" s="19" t="n">
        <v>2</v>
      </c>
      <c r="I3748" s="57" t="n">
        <v>4</v>
      </c>
    </row>
    <row r="3749">
      <c r="A3749" s="62" t="n">
        <v>46572</v>
      </c>
      <c r="B3749" s="3" t="inlineStr">
        <is>
          <t>Sun</t>
        </is>
      </c>
      <c r="C3749" s="19" t="n">
        <v>7</v>
      </c>
      <c r="D3749" s="19" t="n">
        <v>2027</v>
      </c>
      <c r="E3749" s="57" t="n">
        <v>4</v>
      </c>
      <c r="F3749" s="29">
        <f>ROUND(((SUMIFS(Calendar!$F$2:$F$9997,Calendar!$B$2:$B$9997,D3749,Calendar!$C$2:$C$9997,C3749)*INDEX(ForeCalc!$B$37:$Y$274,MATCH(_xlfn.CONCAT(H3749," ",I3749),ForeCalc!$A$37:$A$274,0),MATCH(_xlfn.CONCAT(B3749," ",E3749),ForeCalc!$B$36:$Y$36,0))))*VLOOKUP(A3749,Calendar!$A$2:$H$9997,8,FALSE),0)</f>
        <v/>
      </c>
      <c r="G3749" s="29">
        <f>VLOOKUP(A3749,Calendar!$A$1:$H$9997,6,FALSE)-F3749</f>
        <v/>
      </c>
      <c r="H3749" s="19" t="n">
        <v>2</v>
      </c>
      <c r="I3749" s="57" t="n">
        <v>4</v>
      </c>
    </row>
    <row r="3750">
      <c r="A3750" s="62" t="n">
        <v>46573</v>
      </c>
      <c r="B3750" s="3" t="inlineStr">
        <is>
          <t>Week</t>
        </is>
      </c>
      <c r="C3750" s="19" t="n">
        <v>7</v>
      </c>
      <c r="D3750" s="19" t="n">
        <v>2027</v>
      </c>
      <c r="E3750" s="57" t="n">
        <v>4</v>
      </c>
      <c r="F3750" s="29">
        <f>ROUND(((SUMIFS(Calendar!$F$2:$F$9997,Calendar!$B$2:$B$9997,D3750,Calendar!$C$2:$C$9997,C3750)*INDEX(ForeCalc!$B$37:$Y$274,MATCH(_xlfn.CONCAT(H3750," ",I3750),ForeCalc!$A$37:$A$274,0),MATCH(_xlfn.CONCAT(B3750," ",E3750),ForeCalc!$B$36:$Y$36,0))))*VLOOKUP(A3750,Calendar!$A$2:$H$9997,8,FALSE),0)</f>
        <v/>
      </c>
      <c r="G3750" s="29">
        <f>VLOOKUP(A3750,Calendar!$A$1:$H$9997,6,FALSE)-F3750</f>
        <v/>
      </c>
      <c r="H3750" s="19" t="n">
        <v>2</v>
      </c>
      <c r="I3750" s="57" t="n">
        <v>4</v>
      </c>
    </row>
    <row r="3751">
      <c r="A3751" s="62" t="n">
        <v>46574</v>
      </c>
      <c r="B3751" s="3" t="inlineStr">
        <is>
          <t>Week</t>
        </is>
      </c>
      <c r="C3751" s="19" t="n">
        <v>7</v>
      </c>
      <c r="D3751" s="19" t="n">
        <v>2027</v>
      </c>
      <c r="E3751" s="57" t="n">
        <v>4</v>
      </c>
      <c r="F3751" s="29">
        <f>ROUND(((SUMIFS(Calendar!$F$2:$F$9997,Calendar!$B$2:$B$9997,D3751,Calendar!$C$2:$C$9997,C3751)*INDEX(ForeCalc!$B$37:$Y$274,MATCH(_xlfn.CONCAT(H3751," ",I3751),ForeCalc!$A$37:$A$274,0),MATCH(_xlfn.CONCAT(B3751," ",E3751),ForeCalc!$B$36:$Y$36,0))))*VLOOKUP(A3751,Calendar!$A$2:$H$9997,8,FALSE),0)</f>
        <v/>
      </c>
      <c r="G3751" s="29">
        <f>VLOOKUP(A3751,Calendar!$A$1:$H$9997,6,FALSE)-F3751</f>
        <v/>
      </c>
      <c r="H3751" s="19" t="n">
        <v>2</v>
      </c>
      <c r="I3751" s="57" t="n">
        <v>4</v>
      </c>
    </row>
    <row r="3752">
      <c r="A3752" s="62" t="n">
        <v>46575</v>
      </c>
      <c r="B3752" s="3" t="inlineStr">
        <is>
          <t>Week</t>
        </is>
      </c>
      <c r="C3752" s="19" t="n">
        <v>7</v>
      </c>
      <c r="D3752" s="19" t="n">
        <v>2027</v>
      </c>
      <c r="E3752" s="57" t="n">
        <v>4</v>
      </c>
      <c r="F3752" s="29">
        <f>ROUND(((SUMIFS(Calendar!$F$2:$F$9997,Calendar!$B$2:$B$9997,D3752,Calendar!$C$2:$C$9997,C3752)*INDEX(ForeCalc!$B$37:$Y$274,MATCH(_xlfn.CONCAT(H3752," ",I3752),ForeCalc!$A$37:$A$274,0),MATCH(_xlfn.CONCAT(B3752," ",E3752),ForeCalc!$B$36:$Y$36,0))))*VLOOKUP(A3752,Calendar!$A$2:$H$9997,8,FALSE),0)</f>
        <v/>
      </c>
      <c r="G3752" s="29">
        <f>VLOOKUP(A3752,Calendar!$A$1:$H$9997,6,FALSE)-F3752</f>
        <v/>
      </c>
      <c r="H3752" s="19" t="n">
        <v>2</v>
      </c>
      <c r="I3752" s="57" t="n">
        <v>4</v>
      </c>
    </row>
    <row r="3753">
      <c r="A3753" s="62" t="n">
        <v>46576</v>
      </c>
      <c r="B3753" s="3" t="inlineStr">
        <is>
          <t>Week</t>
        </is>
      </c>
      <c r="C3753" s="19" t="n">
        <v>7</v>
      </c>
      <c r="D3753" s="19" t="n">
        <v>2027</v>
      </c>
      <c r="E3753" s="57" t="n">
        <v>4</v>
      </c>
      <c r="F3753" s="29">
        <f>ROUND(((SUMIFS(Calendar!$F$2:$F$9997,Calendar!$B$2:$B$9997,D3753,Calendar!$C$2:$C$9997,C3753)*INDEX(ForeCalc!$B$37:$Y$274,MATCH(_xlfn.CONCAT(H3753," ",I3753),ForeCalc!$A$37:$A$274,0),MATCH(_xlfn.CONCAT(B3753," ",E3753),ForeCalc!$B$36:$Y$36,0))))*VLOOKUP(A3753,Calendar!$A$2:$H$9997,8,FALSE),0)</f>
        <v/>
      </c>
      <c r="G3753" s="29">
        <f>VLOOKUP(A3753,Calendar!$A$1:$H$9997,6,FALSE)-F3753</f>
        <v/>
      </c>
      <c r="H3753" s="19" t="n">
        <v>2</v>
      </c>
      <c r="I3753" s="57" t="n">
        <v>4</v>
      </c>
    </row>
    <row r="3754">
      <c r="A3754" s="62" t="n">
        <v>46577</v>
      </c>
      <c r="B3754" s="3" t="inlineStr">
        <is>
          <t>Week</t>
        </is>
      </c>
      <c r="C3754" s="19" t="n">
        <v>7</v>
      </c>
      <c r="D3754" s="19" t="n">
        <v>2027</v>
      </c>
      <c r="E3754" s="57" t="n">
        <v>4</v>
      </c>
      <c r="F3754" s="29">
        <f>ROUND(((SUMIFS(Calendar!$F$2:$F$9997,Calendar!$B$2:$B$9997,D3754,Calendar!$C$2:$C$9997,C3754)*INDEX(ForeCalc!$B$37:$Y$274,MATCH(_xlfn.CONCAT(H3754," ",I3754),ForeCalc!$A$37:$A$274,0),MATCH(_xlfn.CONCAT(B3754," ",E3754),ForeCalc!$B$36:$Y$36,0))))*VLOOKUP(A3754,Calendar!$A$2:$H$9997,8,FALSE),0)</f>
        <v/>
      </c>
      <c r="G3754" s="29">
        <f>VLOOKUP(A3754,Calendar!$A$1:$H$9997,6,FALSE)-F3754</f>
        <v/>
      </c>
      <c r="H3754" s="19" t="n">
        <v>2</v>
      </c>
      <c r="I3754" s="57" t="n">
        <v>4</v>
      </c>
    </row>
    <row r="3755">
      <c r="A3755" s="62" t="n">
        <v>46578</v>
      </c>
      <c r="B3755" s="3" t="inlineStr">
        <is>
          <t>Sat</t>
        </is>
      </c>
      <c r="C3755" s="19" t="n">
        <v>7</v>
      </c>
      <c r="D3755" s="19" t="n">
        <v>2027</v>
      </c>
      <c r="E3755" s="57" t="n">
        <v>4</v>
      </c>
      <c r="F3755" s="29">
        <f>ROUND(((SUMIFS(Calendar!$F$2:$F$9997,Calendar!$B$2:$B$9997,D3755,Calendar!$C$2:$C$9997,C3755)*INDEX(ForeCalc!$B$37:$Y$274,MATCH(_xlfn.CONCAT(H3755," ",I3755),ForeCalc!$A$37:$A$274,0),MATCH(_xlfn.CONCAT(B3755," ",E3755),ForeCalc!$B$36:$Y$36,0))))*VLOOKUP(A3755,Calendar!$A$2:$H$9997,8,FALSE),0)</f>
        <v/>
      </c>
      <c r="G3755" s="29">
        <f>VLOOKUP(A3755,Calendar!$A$1:$H$9997,6,FALSE)-F3755</f>
        <v/>
      </c>
      <c r="H3755" s="19" t="n">
        <v>2</v>
      </c>
      <c r="I3755" s="57" t="n">
        <v>4</v>
      </c>
    </row>
    <row r="3756">
      <c r="A3756" s="62" t="n">
        <v>46579</v>
      </c>
      <c r="B3756" s="3" t="inlineStr">
        <is>
          <t>Sun</t>
        </is>
      </c>
      <c r="C3756" s="19" t="n">
        <v>7</v>
      </c>
      <c r="D3756" s="19" t="n">
        <v>2027</v>
      </c>
      <c r="E3756" s="57" t="n">
        <v>4</v>
      </c>
      <c r="F3756" s="29">
        <f>ROUND(((SUMIFS(Calendar!$F$2:$F$9997,Calendar!$B$2:$B$9997,D3756,Calendar!$C$2:$C$9997,C3756)*INDEX(ForeCalc!$B$37:$Y$274,MATCH(_xlfn.CONCAT(H3756," ",I3756),ForeCalc!$A$37:$A$274,0),MATCH(_xlfn.CONCAT(B3756," ",E3756),ForeCalc!$B$36:$Y$36,0))))*VLOOKUP(A3756,Calendar!$A$2:$H$9997,8,FALSE),0)</f>
        <v/>
      </c>
      <c r="G3756" s="29">
        <f>VLOOKUP(A3756,Calendar!$A$1:$H$9997,6,FALSE)-F3756</f>
        <v/>
      </c>
      <c r="H3756" s="19" t="n">
        <v>2</v>
      </c>
      <c r="I3756" s="57" t="n">
        <v>4</v>
      </c>
    </row>
    <row r="3757">
      <c r="A3757" s="62" t="n">
        <v>46580</v>
      </c>
      <c r="B3757" s="3" t="inlineStr">
        <is>
          <t>Week</t>
        </is>
      </c>
      <c r="C3757" s="19" t="n">
        <v>7</v>
      </c>
      <c r="D3757" s="19" t="n">
        <v>2027</v>
      </c>
      <c r="E3757" s="57" t="n">
        <v>4</v>
      </c>
      <c r="F3757" s="29">
        <f>ROUND(((SUMIFS(Calendar!$F$2:$F$9997,Calendar!$B$2:$B$9997,D3757,Calendar!$C$2:$C$9997,C3757)*INDEX(ForeCalc!$B$37:$Y$274,MATCH(_xlfn.CONCAT(H3757," ",I3757),ForeCalc!$A$37:$A$274,0),MATCH(_xlfn.CONCAT(B3757," ",E3757),ForeCalc!$B$36:$Y$36,0))))*VLOOKUP(A3757,Calendar!$A$2:$H$9997,8,FALSE),0)</f>
        <v/>
      </c>
      <c r="G3757" s="29">
        <f>VLOOKUP(A3757,Calendar!$A$1:$H$9997,6,FALSE)-F3757</f>
        <v/>
      </c>
      <c r="H3757" s="19" t="n">
        <v>2</v>
      </c>
      <c r="I3757" s="57" t="n">
        <v>4</v>
      </c>
    </row>
    <row r="3758">
      <c r="A3758" s="62" t="n">
        <v>46581</v>
      </c>
      <c r="B3758" s="3" t="inlineStr">
        <is>
          <t>Week</t>
        </is>
      </c>
      <c r="C3758" s="19" t="n">
        <v>7</v>
      </c>
      <c r="D3758" s="19" t="n">
        <v>2027</v>
      </c>
      <c r="E3758" s="57" t="n">
        <v>4</v>
      </c>
      <c r="F3758" s="29">
        <f>ROUND(((SUMIFS(Calendar!$F$2:$F$9997,Calendar!$B$2:$B$9997,D3758,Calendar!$C$2:$C$9997,C3758)*INDEX(ForeCalc!$B$37:$Y$274,MATCH(_xlfn.CONCAT(H3758," ",I3758),ForeCalc!$A$37:$A$274,0),MATCH(_xlfn.CONCAT(B3758," ",E3758),ForeCalc!$B$36:$Y$36,0))))*VLOOKUP(A3758,Calendar!$A$2:$H$9997,8,FALSE),0)</f>
        <v/>
      </c>
      <c r="G3758" s="29">
        <f>VLOOKUP(A3758,Calendar!$A$1:$H$9997,6,FALSE)-F3758</f>
        <v/>
      </c>
      <c r="H3758" s="19" t="n">
        <v>2</v>
      </c>
      <c r="I3758" s="57" t="n">
        <v>4</v>
      </c>
    </row>
    <row r="3759">
      <c r="A3759" s="62" t="n">
        <v>46582</v>
      </c>
      <c r="B3759" s="3" t="inlineStr">
        <is>
          <t>Week</t>
        </is>
      </c>
      <c r="C3759" s="19" t="n">
        <v>7</v>
      </c>
      <c r="D3759" s="19" t="n">
        <v>2027</v>
      </c>
      <c r="E3759" s="57" t="n">
        <v>4</v>
      </c>
      <c r="F3759" s="29">
        <f>ROUND(((SUMIFS(Calendar!$F$2:$F$9997,Calendar!$B$2:$B$9997,D3759,Calendar!$C$2:$C$9997,C3759)*INDEX(ForeCalc!$B$37:$Y$274,MATCH(_xlfn.CONCAT(H3759," ",I3759),ForeCalc!$A$37:$A$274,0),MATCH(_xlfn.CONCAT(B3759," ",E3759),ForeCalc!$B$36:$Y$36,0))))*VLOOKUP(A3759,Calendar!$A$2:$H$9997,8,FALSE),0)</f>
        <v/>
      </c>
      <c r="G3759" s="29">
        <f>VLOOKUP(A3759,Calendar!$A$1:$H$9997,6,FALSE)-F3759</f>
        <v/>
      </c>
      <c r="H3759" s="19" t="n">
        <v>2</v>
      </c>
      <c r="I3759" s="57" t="n">
        <v>4</v>
      </c>
    </row>
    <row r="3760">
      <c r="A3760" s="62" t="n">
        <v>46583</v>
      </c>
      <c r="B3760" s="3" t="inlineStr">
        <is>
          <t>Week</t>
        </is>
      </c>
      <c r="C3760" s="19" t="n">
        <v>7</v>
      </c>
      <c r="D3760" s="19" t="n">
        <v>2027</v>
      </c>
      <c r="E3760" s="57" t="n">
        <v>4</v>
      </c>
      <c r="F3760" s="29">
        <f>ROUND(((SUMIFS(Calendar!$F$2:$F$9997,Calendar!$B$2:$B$9997,D3760,Calendar!$C$2:$C$9997,C3760)*INDEX(ForeCalc!$B$37:$Y$274,MATCH(_xlfn.CONCAT(H3760," ",I3760),ForeCalc!$A$37:$A$274,0),MATCH(_xlfn.CONCAT(B3760," ",E3760),ForeCalc!$B$36:$Y$36,0))))*VLOOKUP(A3760,Calendar!$A$2:$H$9997,8,FALSE),0)</f>
        <v/>
      </c>
      <c r="G3760" s="29">
        <f>VLOOKUP(A3760,Calendar!$A$1:$H$9997,6,FALSE)-F3760</f>
        <v/>
      </c>
      <c r="H3760" s="19" t="n">
        <v>2</v>
      </c>
      <c r="I3760" s="57" t="n">
        <v>4</v>
      </c>
    </row>
    <row r="3761">
      <c r="A3761" s="62" t="n">
        <v>46584</v>
      </c>
      <c r="B3761" s="3" t="inlineStr">
        <is>
          <t>Week</t>
        </is>
      </c>
      <c r="C3761" s="19" t="n">
        <v>7</v>
      </c>
      <c r="D3761" s="19" t="n">
        <v>2027</v>
      </c>
      <c r="E3761" s="57" t="n">
        <v>4</v>
      </c>
      <c r="F3761" s="29">
        <f>ROUND(((SUMIFS(Calendar!$F$2:$F$9997,Calendar!$B$2:$B$9997,D3761,Calendar!$C$2:$C$9997,C3761)*INDEX(ForeCalc!$B$37:$Y$274,MATCH(_xlfn.CONCAT(H3761," ",I3761),ForeCalc!$A$37:$A$274,0),MATCH(_xlfn.CONCAT(B3761," ",E3761),ForeCalc!$B$36:$Y$36,0))))*VLOOKUP(A3761,Calendar!$A$2:$H$9997,8,FALSE),0)</f>
        <v/>
      </c>
      <c r="G3761" s="29">
        <f>VLOOKUP(A3761,Calendar!$A$1:$H$9997,6,FALSE)-F3761</f>
        <v/>
      </c>
      <c r="H3761" s="19" t="n">
        <v>2</v>
      </c>
      <c r="I3761" s="57" t="n">
        <v>4</v>
      </c>
    </row>
    <row r="3762">
      <c r="A3762" s="62" t="n">
        <v>46585</v>
      </c>
      <c r="B3762" s="3" t="inlineStr">
        <is>
          <t>Sat</t>
        </is>
      </c>
      <c r="C3762" s="19" t="n">
        <v>7</v>
      </c>
      <c r="D3762" s="19" t="n">
        <v>2027</v>
      </c>
      <c r="E3762" s="57" t="n">
        <v>4</v>
      </c>
      <c r="F3762" s="29">
        <f>ROUND(((SUMIFS(Calendar!$F$2:$F$9997,Calendar!$B$2:$B$9997,D3762,Calendar!$C$2:$C$9997,C3762)*INDEX(ForeCalc!$B$37:$Y$274,MATCH(_xlfn.CONCAT(H3762," ",I3762),ForeCalc!$A$37:$A$274,0),MATCH(_xlfn.CONCAT(B3762," ",E3762),ForeCalc!$B$36:$Y$36,0))))*VLOOKUP(A3762,Calendar!$A$2:$H$9997,8,FALSE),0)</f>
        <v/>
      </c>
      <c r="G3762" s="29">
        <f>VLOOKUP(A3762,Calendar!$A$1:$H$9997,6,FALSE)-F3762</f>
        <v/>
      </c>
      <c r="H3762" s="19" t="n">
        <v>2</v>
      </c>
      <c r="I3762" s="57" t="n">
        <v>4</v>
      </c>
    </row>
    <row r="3763">
      <c r="A3763" s="62" t="n">
        <v>46586</v>
      </c>
      <c r="B3763" s="3" t="inlineStr">
        <is>
          <t>Sun</t>
        </is>
      </c>
      <c r="C3763" s="19" t="n">
        <v>7</v>
      </c>
      <c r="D3763" s="19" t="n">
        <v>2027</v>
      </c>
      <c r="E3763" s="57" t="n">
        <v>4</v>
      </c>
      <c r="F3763" s="29">
        <f>ROUND(((SUMIFS(Calendar!$F$2:$F$9997,Calendar!$B$2:$B$9997,D3763,Calendar!$C$2:$C$9997,C3763)*INDEX(ForeCalc!$B$37:$Y$274,MATCH(_xlfn.CONCAT(H3763," ",I3763),ForeCalc!$A$37:$A$274,0),MATCH(_xlfn.CONCAT(B3763," ",E3763),ForeCalc!$B$36:$Y$36,0))))*VLOOKUP(A3763,Calendar!$A$2:$H$9997,8,FALSE),0)</f>
        <v/>
      </c>
      <c r="G3763" s="29">
        <f>VLOOKUP(A3763,Calendar!$A$1:$H$9997,6,FALSE)-F3763</f>
        <v/>
      </c>
      <c r="H3763" s="19" t="n">
        <v>2</v>
      </c>
      <c r="I3763" s="57" t="n">
        <v>4</v>
      </c>
    </row>
    <row r="3764">
      <c r="A3764" s="62" t="n">
        <v>46587</v>
      </c>
      <c r="B3764" s="3" t="inlineStr">
        <is>
          <t>Week</t>
        </is>
      </c>
      <c r="C3764" s="19" t="n">
        <v>7</v>
      </c>
      <c r="D3764" s="19" t="n">
        <v>2027</v>
      </c>
      <c r="E3764" s="57" t="n">
        <v>4</v>
      </c>
      <c r="F3764" s="29">
        <f>ROUND(((SUMIFS(Calendar!$F$2:$F$9997,Calendar!$B$2:$B$9997,D3764,Calendar!$C$2:$C$9997,C3764)*INDEX(ForeCalc!$B$37:$Y$274,MATCH(_xlfn.CONCAT(H3764," ",I3764),ForeCalc!$A$37:$A$274,0),MATCH(_xlfn.CONCAT(B3764," ",E3764),ForeCalc!$B$36:$Y$36,0))))*VLOOKUP(A3764,Calendar!$A$2:$H$9997,8,FALSE),0)</f>
        <v/>
      </c>
      <c r="G3764" s="29">
        <f>VLOOKUP(A3764,Calendar!$A$1:$H$9997,6,FALSE)-F3764</f>
        <v/>
      </c>
      <c r="H3764" s="19" t="n">
        <v>2</v>
      </c>
      <c r="I3764" s="57" t="n">
        <v>4</v>
      </c>
    </row>
    <row r="3765">
      <c r="A3765" s="62" t="n">
        <v>46588</v>
      </c>
      <c r="B3765" s="3" t="inlineStr">
        <is>
          <t>Week</t>
        </is>
      </c>
      <c r="C3765" s="19" t="n">
        <v>7</v>
      </c>
      <c r="D3765" s="19" t="n">
        <v>2027</v>
      </c>
      <c r="E3765" s="57" t="n">
        <v>4</v>
      </c>
      <c r="F3765" s="29">
        <f>ROUND(((SUMIFS(Calendar!$F$2:$F$9997,Calendar!$B$2:$B$9997,D3765,Calendar!$C$2:$C$9997,C3765)*INDEX(ForeCalc!$B$37:$Y$274,MATCH(_xlfn.CONCAT(H3765," ",I3765),ForeCalc!$A$37:$A$274,0),MATCH(_xlfn.CONCAT(B3765," ",E3765),ForeCalc!$B$36:$Y$36,0))))*VLOOKUP(A3765,Calendar!$A$2:$H$9997,8,FALSE),0)</f>
        <v/>
      </c>
      <c r="G3765" s="29">
        <f>VLOOKUP(A3765,Calendar!$A$1:$H$9997,6,FALSE)-F3765</f>
        <v/>
      </c>
      <c r="H3765" s="19" t="n">
        <v>2</v>
      </c>
      <c r="I3765" s="57" t="n">
        <v>4</v>
      </c>
    </row>
    <row r="3766">
      <c r="A3766" s="62" t="n">
        <v>46589</v>
      </c>
      <c r="B3766" s="3" t="inlineStr">
        <is>
          <t>Week</t>
        </is>
      </c>
      <c r="C3766" s="19" t="n">
        <v>7</v>
      </c>
      <c r="D3766" s="19" t="n">
        <v>2027</v>
      </c>
      <c r="E3766" s="57" t="n">
        <v>4</v>
      </c>
      <c r="F3766" s="29">
        <f>ROUND(((SUMIFS(Calendar!$F$2:$F$9997,Calendar!$B$2:$B$9997,D3766,Calendar!$C$2:$C$9997,C3766)*INDEX(ForeCalc!$B$37:$Y$274,MATCH(_xlfn.CONCAT(H3766," ",I3766),ForeCalc!$A$37:$A$274,0),MATCH(_xlfn.CONCAT(B3766," ",E3766),ForeCalc!$B$36:$Y$36,0))))*VLOOKUP(A3766,Calendar!$A$2:$H$9997,8,FALSE),0)</f>
        <v/>
      </c>
      <c r="G3766" s="29">
        <f>VLOOKUP(A3766,Calendar!$A$1:$H$9997,6,FALSE)-F3766</f>
        <v/>
      </c>
      <c r="H3766" s="19" t="n">
        <v>2</v>
      </c>
      <c r="I3766" s="57" t="n">
        <v>4</v>
      </c>
    </row>
    <row r="3767">
      <c r="A3767" s="62" t="n">
        <v>46590</v>
      </c>
      <c r="B3767" s="3" t="inlineStr">
        <is>
          <t>Week</t>
        </is>
      </c>
      <c r="C3767" s="19" t="n">
        <v>7</v>
      </c>
      <c r="D3767" s="19" t="n">
        <v>2027</v>
      </c>
      <c r="E3767" s="57" t="n">
        <v>4</v>
      </c>
      <c r="F3767" s="29">
        <f>ROUND(((SUMIFS(Calendar!$F$2:$F$9997,Calendar!$B$2:$B$9997,D3767,Calendar!$C$2:$C$9997,C3767)*INDEX(ForeCalc!$B$37:$Y$274,MATCH(_xlfn.CONCAT(H3767," ",I3767),ForeCalc!$A$37:$A$274,0),MATCH(_xlfn.CONCAT(B3767," ",E3767),ForeCalc!$B$36:$Y$36,0))))*VLOOKUP(A3767,Calendar!$A$2:$H$9997,8,FALSE),0)</f>
        <v/>
      </c>
      <c r="G3767" s="29">
        <f>VLOOKUP(A3767,Calendar!$A$1:$H$9997,6,FALSE)-F3767</f>
        <v/>
      </c>
      <c r="H3767" s="19" t="n">
        <v>2</v>
      </c>
      <c r="I3767" s="57" t="n">
        <v>4</v>
      </c>
    </row>
    <row r="3768">
      <c r="A3768" s="62" t="n">
        <v>46591</v>
      </c>
      <c r="B3768" s="3" t="inlineStr">
        <is>
          <t>Week</t>
        </is>
      </c>
      <c r="C3768" s="19" t="n">
        <v>7</v>
      </c>
      <c r="D3768" s="19" t="n">
        <v>2027</v>
      </c>
      <c r="E3768" s="57" t="n">
        <v>4</v>
      </c>
      <c r="F3768" s="29">
        <f>ROUND(((SUMIFS(Calendar!$F$2:$F$9997,Calendar!$B$2:$B$9997,D3768,Calendar!$C$2:$C$9997,C3768)*INDEX(ForeCalc!$B$37:$Y$274,MATCH(_xlfn.CONCAT(H3768," ",I3768),ForeCalc!$A$37:$A$274,0),MATCH(_xlfn.CONCAT(B3768," ",E3768),ForeCalc!$B$36:$Y$36,0))))*VLOOKUP(A3768,Calendar!$A$2:$H$9997,8,FALSE),0)</f>
        <v/>
      </c>
      <c r="G3768" s="29">
        <f>VLOOKUP(A3768,Calendar!$A$1:$H$9997,6,FALSE)-F3768</f>
        <v/>
      </c>
      <c r="H3768" s="19" t="n">
        <v>2</v>
      </c>
      <c r="I3768" s="57" t="n">
        <v>4</v>
      </c>
    </row>
    <row r="3769">
      <c r="A3769" s="62" t="n">
        <v>46592</v>
      </c>
      <c r="B3769" s="3" t="inlineStr">
        <is>
          <t>Sat</t>
        </is>
      </c>
      <c r="C3769" s="19" t="n">
        <v>7</v>
      </c>
      <c r="D3769" s="19" t="n">
        <v>2027</v>
      </c>
      <c r="E3769" s="57" t="n">
        <v>4</v>
      </c>
      <c r="F3769" s="29">
        <f>ROUND(((SUMIFS(Calendar!$F$2:$F$9997,Calendar!$B$2:$B$9997,D3769,Calendar!$C$2:$C$9997,C3769)*INDEX(ForeCalc!$B$37:$Y$274,MATCH(_xlfn.CONCAT(H3769," ",I3769),ForeCalc!$A$37:$A$274,0),MATCH(_xlfn.CONCAT(B3769," ",E3769),ForeCalc!$B$36:$Y$36,0))))*VLOOKUP(A3769,Calendar!$A$2:$H$9997,8,FALSE),0)</f>
        <v/>
      </c>
      <c r="G3769" s="29">
        <f>VLOOKUP(A3769,Calendar!$A$1:$H$9997,6,FALSE)-F3769</f>
        <v/>
      </c>
      <c r="H3769" s="19" t="n">
        <v>2</v>
      </c>
      <c r="I3769" s="57" t="n">
        <v>4</v>
      </c>
    </row>
    <row r="3770">
      <c r="A3770" s="62" t="n">
        <v>46593</v>
      </c>
      <c r="B3770" s="3" t="inlineStr">
        <is>
          <t>Sun</t>
        </is>
      </c>
      <c r="C3770" s="19" t="n">
        <v>7</v>
      </c>
      <c r="D3770" s="19" t="n">
        <v>2027</v>
      </c>
      <c r="E3770" s="57" t="n">
        <v>4</v>
      </c>
      <c r="F3770" s="29">
        <f>ROUND(((SUMIFS(Calendar!$F$2:$F$9997,Calendar!$B$2:$B$9997,D3770,Calendar!$C$2:$C$9997,C3770)*INDEX(ForeCalc!$B$37:$Y$274,MATCH(_xlfn.CONCAT(H3770," ",I3770),ForeCalc!$A$37:$A$274,0),MATCH(_xlfn.CONCAT(B3770," ",E3770),ForeCalc!$B$36:$Y$36,0))))*VLOOKUP(A3770,Calendar!$A$2:$H$9997,8,FALSE),0)</f>
        <v/>
      </c>
      <c r="G3770" s="29">
        <f>VLOOKUP(A3770,Calendar!$A$1:$H$9997,6,FALSE)-F3770</f>
        <v/>
      </c>
      <c r="H3770" s="19" t="n">
        <v>2</v>
      </c>
      <c r="I3770" s="57" t="n">
        <v>4</v>
      </c>
    </row>
    <row r="3771">
      <c r="A3771" s="62" t="n">
        <v>46594</v>
      </c>
      <c r="B3771" s="3" t="inlineStr">
        <is>
          <t>Week</t>
        </is>
      </c>
      <c r="C3771" s="19" t="n">
        <v>7</v>
      </c>
      <c r="D3771" s="19" t="n">
        <v>2027</v>
      </c>
      <c r="E3771" s="57" t="n">
        <v>4</v>
      </c>
      <c r="F3771" s="29">
        <f>ROUND(((SUMIFS(Calendar!$F$2:$F$9997,Calendar!$B$2:$B$9997,D3771,Calendar!$C$2:$C$9997,C3771)*INDEX(ForeCalc!$B$37:$Y$274,MATCH(_xlfn.CONCAT(H3771," ",I3771),ForeCalc!$A$37:$A$274,0),MATCH(_xlfn.CONCAT(B3771," ",E3771),ForeCalc!$B$36:$Y$36,0))))*VLOOKUP(A3771,Calendar!$A$2:$H$9997,8,FALSE),0)</f>
        <v/>
      </c>
      <c r="G3771" s="29">
        <f>VLOOKUP(A3771,Calendar!$A$1:$H$9997,6,FALSE)-F3771</f>
        <v/>
      </c>
      <c r="H3771" s="19" t="n">
        <v>2</v>
      </c>
      <c r="I3771" s="57" t="n">
        <v>4</v>
      </c>
    </row>
    <row r="3772">
      <c r="A3772" s="62" t="n">
        <v>46595</v>
      </c>
      <c r="B3772" s="3" t="inlineStr">
        <is>
          <t>Week</t>
        </is>
      </c>
      <c r="C3772" s="19" t="n">
        <v>7</v>
      </c>
      <c r="D3772" s="19" t="n">
        <v>2027</v>
      </c>
      <c r="E3772" s="57" t="n">
        <v>4</v>
      </c>
      <c r="F3772" s="29">
        <f>ROUND(((SUMIFS(Calendar!$F$2:$F$9997,Calendar!$B$2:$B$9997,D3772,Calendar!$C$2:$C$9997,C3772)*INDEX(ForeCalc!$B$37:$Y$274,MATCH(_xlfn.CONCAT(H3772," ",I3772),ForeCalc!$A$37:$A$274,0),MATCH(_xlfn.CONCAT(B3772," ",E3772),ForeCalc!$B$36:$Y$36,0))))*VLOOKUP(A3772,Calendar!$A$2:$H$9997,8,FALSE),0)</f>
        <v/>
      </c>
      <c r="G3772" s="29">
        <f>VLOOKUP(A3772,Calendar!$A$1:$H$9997,6,FALSE)-F3772</f>
        <v/>
      </c>
      <c r="H3772" s="19" t="n">
        <v>2</v>
      </c>
      <c r="I3772" s="57" t="n">
        <v>4</v>
      </c>
    </row>
    <row r="3773">
      <c r="A3773" s="62" t="n">
        <v>46596</v>
      </c>
      <c r="B3773" s="3" t="inlineStr">
        <is>
          <t>Week</t>
        </is>
      </c>
      <c r="C3773" s="19" t="n">
        <v>7</v>
      </c>
      <c r="D3773" s="19" t="n">
        <v>2027</v>
      </c>
      <c r="E3773" s="57" t="n">
        <v>4</v>
      </c>
      <c r="F3773" s="29">
        <f>ROUND(((SUMIFS(Calendar!$F$2:$F$9997,Calendar!$B$2:$B$9997,D3773,Calendar!$C$2:$C$9997,C3773)*INDEX(ForeCalc!$B$37:$Y$274,MATCH(_xlfn.CONCAT(H3773," ",I3773),ForeCalc!$A$37:$A$274,0),MATCH(_xlfn.CONCAT(B3773," ",E3773),ForeCalc!$B$36:$Y$36,0))))*VLOOKUP(A3773,Calendar!$A$2:$H$9997,8,FALSE),0)</f>
        <v/>
      </c>
      <c r="G3773" s="29">
        <f>VLOOKUP(A3773,Calendar!$A$1:$H$9997,6,FALSE)-F3773</f>
        <v/>
      </c>
      <c r="H3773" s="19" t="n">
        <v>2</v>
      </c>
      <c r="I3773" s="57" t="n">
        <v>4</v>
      </c>
    </row>
    <row r="3774">
      <c r="A3774" s="62" t="n">
        <v>46597</v>
      </c>
      <c r="B3774" s="3" t="inlineStr">
        <is>
          <t>Week</t>
        </is>
      </c>
      <c r="C3774" s="19" t="n">
        <v>7</v>
      </c>
      <c r="D3774" s="19" t="n">
        <v>2027</v>
      </c>
      <c r="E3774" s="57" t="n">
        <v>4</v>
      </c>
      <c r="F3774" s="29">
        <f>ROUND(((SUMIFS(Calendar!$F$2:$F$9997,Calendar!$B$2:$B$9997,D3774,Calendar!$C$2:$C$9997,C3774)*INDEX(ForeCalc!$B$37:$Y$274,MATCH(_xlfn.CONCAT(H3774," ",I3774),ForeCalc!$A$37:$A$274,0),MATCH(_xlfn.CONCAT(B3774," ",E3774),ForeCalc!$B$36:$Y$36,0))))*VLOOKUP(A3774,Calendar!$A$2:$H$9997,8,FALSE),0)</f>
        <v/>
      </c>
      <c r="G3774" s="29">
        <f>VLOOKUP(A3774,Calendar!$A$1:$H$9997,6,FALSE)-F3774</f>
        <v/>
      </c>
      <c r="H3774" s="19" t="n">
        <v>2</v>
      </c>
      <c r="I3774" s="57" t="n">
        <v>4</v>
      </c>
    </row>
    <row r="3775">
      <c r="A3775" s="62" t="n">
        <v>46598</v>
      </c>
      <c r="B3775" s="3" t="inlineStr">
        <is>
          <t>Week</t>
        </is>
      </c>
      <c r="C3775" s="19" t="n">
        <v>7</v>
      </c>
      <c r="D3775" s="19" t="n">
        <v>2027</v>
      </c>
      <c r="E3775" s="57" t="n">
        <v>4</v>
      </c>
      <c r="F3775" s="29">
        <f>ROUND(((SUMIFS(Calendar!$F$2:$F$9997,Calendar!$B$2:$B$9997,D3775,Calendar!$C$2:$C$9997,C3775)*INDEX(ForeCalc!$B$37:$Y$274,MATCH(_xlfn.CONCAT(H3775," ",I3775),ForeCalc!$A$37:$A$274,0),MATCH(_xlfn.CONCAT(B3775," ",E3775),ForeCalc!$B$36:$Y$36,0))))*VLOOKUP(A3775,Calendar!$A$2:$H$9997,8,FALSE),0)</f>
        <v/>
      </c>
      <c r="G3775" s="29">
        <f>VLOOKUP(A3775,Calendar!$A$1:$H$9997,6,FALSE)-F3775</f>
        <v/>
      </c>
      <c r="H3775" s="19" t="n">
        <v>2</v>
      </c>
      <c r="I3775" s="57" t="n">
        <v>4</v>
      </c>
    </row>
    <row r="3776">
      <c r="A3776" s="62" t="n">
        <v>46599</v>
      </c>
      <c r="B3776" s="3" t="inlineStr">
        <is>
          <t>Sat</t>
        </is>
      </c>
      <c r="C3776" s="19" t="n">
        <v>7</v>
      </c>
      <c r="D3776" s="19" t="n">
        <v>2027</v>
      </c>
      <c r="E3776" s="57" t="n">
        <v>4</v>
      </c>
      <c r="F3776" s="29">
        <f>ROUND(((SUMIFS(Calendar!$F$2:$F$9997,Calendar!$B$2:$B$9997,D3776,Calendar!$C$2:$C$9997,C3776)*INDEX(ForeCalc!$B$37:$Y$274,MATCH(_xlfn.CONCAT(H3776," ",I3776),ForeCalc!$A$37:$A$274,0),MATCH(_xlfn.CONCAT(B3776," ",E3776),ForeCalc!$B$36:$Y$36,0))))*VLOOKUP(A3776,Calendar!$A$2:$H$9997,8,FALSE),0)</f>
        <v/>
      </c>
      <c r="G3776" s="29">
        <f>VLOOKUP(A3776,Calendar!$A$1:$H$9997,6,FALSE)-F3776</f>
        <v/>
      </c>
      <c r="H3776" s="19" t="n">
        <v>2</v>
      </c>
      <c r="I3776" s="57" t="n">
        <v>4</v>
      </c>
    </row>
    <row r="3777">
      <c r="A3777" s="62" t="n">
        <v>46600</v>
      </c>
      <c r="B3777" s="3" t="inlineStr">
        <is>
          <t>Sun</t>
        </is>
      </c>
      <c r="C3777" s="19" t="n">
        <v>8</v>
      </c>
      <c r="D3777" s="19" t="n">
        <v>2027</v>
      </c>
      <c r="E3777" s="57" t="n">
        <v>4</v>
      </c>
      <c r="F3777" s="29">
        <f>ROUND(((SUMIFS(Calendar!$F$2:$F$9997,Calendar!$B$2:$B$9997,D3777,Calendar!$C$2:$C$9997,C3777)*INDEX(ForeCalc!$B$37:$Y$274,MATCH(_xlfn.CONCAT(H3777," ",I3777),ForeCalc!$A$37:$A$274,0),MATCH(_xlfn.CONCAT(B3777," ",E3777),ForeCalc!$B$36:$Y$36,0))))*VLOOKUP(A3777,Calendar!$A$2:$H$9997,8,FALSE),0)</f>
        <v/>
      </c>
      <c r="G3777" s="29">
        <f>VLOOKUP(A3777,Calendar!$A$1:$H$9997,6,FALSE)-F3777</f>
        <v/>
      </c>
      <c r="H3777" s="19" t="n">
        <v>2</v>
      </c>
      <c r="I3777" s="57" t="n">
        <v>5</v>
      </c>
    </row>
    <row r="3778">
      <c r="A3778" s="62" t="n">
        <v>46601</v>
      </c>
      <c r="B3778" s="3" t="inlineStr">
        <is>
          <t>Week</t>
        </is>
      </c>
      <c r="C3778" s="19" t="n">
        <v>8</v>
      </c>
      <c r="D3778" s="19" t="n">
        <v>2027</v>
      </c>
      <c r="E3778" s="57" t="n">
        <v>4</v>
      </c>
      <c r="F3778" s="29">
        <f>ROUND(((SUMIFS(Calendar!$F$2:$F$9997,Calendar!$B$2:$B$9997,D3778,Calendar!$C$2:$C$9997,C3778)*INDEX(ForeCalc!$B$37:$Y$274,MATCH(_xlfn.CONCAT(H3778," ",I3778),ForeCalc!$A$37:$A$274,0),MATCH(_xlfn.CONCAT(B3778," ",E3778),ForeCalc!$B$36:$Y$36,0))))*VLOOKUP(A3778,Calendar!$A$2:$H$9997,8,FALSE),0)</f>
        <v/>
      </c>
      <c r="G3778" s="29">
        <f>VLOOKUP(A3778,Calendar!$A$1:$H$9997,6,FALSE)-F3778</f>
        <v/>
      </c>
      <c r="H3778" s="19" t="n">
        <v>2</v>
      </c>
      <c r="I3778" s="57" t="n">
        <v>5</v>
      </c>
    </row>
    <row r="3779">
      <c r="A3779" s="62" t="n">
        <v>46602</v>
      </c>
      <c r="B3779" s="3" t="inlineStr">
        <is>
          <t>Week</t>
        </is>
      </c>
      <c r="C3779" s="19" t="n">
        <v>8</v>
      </c>
      <c r="D3779" s="19" t="n">
        <v>2027</v>
      </c>
      <c r="E3779" s="57" t="n">
        <v>4</v>
      </c>
      <c r="F3779" s="29">
        <f>ROUND(((SUMIFS(Calendar!$F$2:$F$9997,Calendar!$B$2:$B$9997,D3779,Calendar!$C$2:$C$9997,C3779)*INDEX(ForeCalc!$B$37:$Y$274,MATCH(_xlfn.CONCAT(H3779," ",I3779),ForeCalc!$A$37:$A$274,0),MATCH(_xlfn.CONCAT(B3779," ",E3779),ForeCalc!$B$36:$Y$36,0))))*VLOOKUP(A3779,Calendar!$A$2:$H$9997,8,FALSE),0)</f>
        <v/>
      </c>
      <c r="G3779" s="29">
        <f>VLOOKUP(A3779,Calendar!$A$1:$H$9997,6,FALSE)-F3779</f>
        <v/>
      </c>
      <c r="H3779" s="19" t="n">
        <v>2</v>
      </c>
      <c r="I3779" s="57" t="n">
        <v>5</v>
      </c>
    </row>
    <row r="3780">
      <c r="A3780" s="62" t="n">
        <v>46603</v>
      </c>
      <c r="B3780" s="3" t="inlineStr">
        <is>
          <t>Week</t>
        </is>
      </c>
      <c r="C3780" s="19" t="n">
        <v>8</v>
      </c>
      <c r="D3780" s="19" t="n">
        <v>2027</v>
      </c>
      <c r="E3780" s="57" t="n">
        <v>4</v>
      </c>
      <c r="F3780" s="29">
        <f>ROUND(((SUMIFS(Calendar!$F$2:$F$9997,Calendar!$B$2:$B$9997,D3780,Calendar!$C$2:$C$9997,C3780)*INDEX(ForeCalc!$B$37:$Y$274,MATCH(_xlfn.CONCAT(H3780," ",I3780),ForeCalc!$A$37:$A$274,0),MATCH(_xlfn.CONCAT(B3780," ",E3780),ForeCalc!$B$36:$Y$36,0))))*VLOOKUP(A3780,Calendar!$A$2:$H$9997,8,FALSE),0)</f>
        <v/>
      </c>
      <c r="G3780" s="29">
        <f>VLOOKUP(A3780,Calendar!$A$1:$H$9997,6,FALSE)-F3780</f>
        <v/>
      </c>
      <c r="H3780" s="19" t="n">
        <v>2</v>
      </c>
      <c r="I3780" s="57" t="n">
        <v>5</v>
      </c>
    </row>
    <row r="3781">
      <c r="A3781" s="62" t="n">
        <v>46604</v>
      </c>
      <c r="B3781" s="3" t="inlineStr">
        <is>
          <t>Week</t>
        </is>
      </c>
      <c r="C3781" s="19" t="n">
        <v>8</v>
      </c>
      <c r="D3781" s="19" t="n">
        <v>2027</v>
      </c>
      <c r="E3781" s="57" t="n">
        <v>4</v>
      </c>
      <c r="F3781" s="29">
        <f>ROUND(((SUMIFS(Calendar!$F$2:$F$9997,Calendar!$B$2:$B$9997,D3781,Calendar!$C$2:$C$9997,C3781)*INDEX(ForeCalc!$B$37:$Y$274,MATCH(_xlfn.CONCAT(H3781," ",I3781),ForeCalc!$A$37:$A$274,0),MATCH(_xlfn.CONCAT(B3781," ",E3781),ForeCalc!$B$36:$Y$36,0))))*VLOOKUP(A3781,Calendar!$A$2:$H$9997,8,FALSE),0)</f>
        <v/>
      </c>
      <c r="G3781" s="29">
        <f>VLOOKUP(A3781,Calendar!$A$1:$H$9997,6,FALSE)-F3781</f>
        <v/>
      </c>
      <c r="H3781" s="19" t="n">
        <v>2</v>
      </c>
      <c r="I3781" s="57" t="n">
        <v>5</v>
      </c>
    </row>
    <row r="3782">
      <c r="A3782" s="62" t="n">
        <v>46605</v>
      </c>
      <c r="B3782" s="3" t="inlineStr">
        <is>
          <t>Week</t>
        </is>
      </c>
      <c r="C3782" s="19" t="n">
        <v>8</v>
      </c>
      <c r="D3782" s="19" t="n">
        <v>2027</v>
      </c>
      <c r="E3782" s="57" t="n">
        <v>4</v>
      </c>
      <c r="F3782" s="29">
        <f>ROUND(((SUMIFS(Calendar!$F$2:$F$9997,Calendar!$B$2:$B$9997,D3782,Calendar!$C$2:$C$9997,C3782)*INDEX(ForeCalc!$B$37:$Y$274,MATCH(_xlfn.CONCAT(H3782," ",I3782),ForeCalc!$A$37:$A$274,0),MATCH(_xlfn.CONCAT(B3782," ",E3782),ForeCalc!$B$36:$Y$36,0))))*VLOOKUP(A3782,Calendar!$A$2:$H$9997,8,FALSE),0)</f>
        <v/>
      </c>
      <c r="G3782" s="29">
        <f>VLOOKUP(A3782,Calendar!$A$1:$H$9997,6,FALSE)-F3782</f>
        <v/>
      </c>
      <c r="H3782" s="19" t="n">
        <v>2</v>
      </c>
      <c r="I3782" s="57" t="n">
        <v>5</v>
      </c>
    </row>
    <row r="3783">
      <c r="A3783" s="62" t="n">
        <v>46606</v>
      </c>
      <c r="B3783" s="3" t="inlineStr">
        <is>
          <t>Sat</t>
        </is>
      </c>
      <c r="C3783" s="19" t="n">
        <v>8</v>
      </c>
      <c r="D3783" s="19" t="n">
        <v>2027</v>
      </c>
      <c r="E3783" s="57" t="n">
        <v>4</v>
      </c>
      <c r="F3783" s="29">
        <f>ROUND(((SUMIFS(Calendar!$F$2:$F$9997,Calendar!$B$2:$B$9997,D3783,Calendar!$C$2:$C$9997,C3783)*INDEX(ForeCalc!$B$37:$Y$274,MATCH(_xlfn.CONCAT(H3783," ",I3783),ForeCalc!$A$37:$A$274,0),MATCH(_xlfn.CONCAT(B3783," ",E3783),ForeCalc!$B$36:$Y$36,0))))*VLOOKUP(A3783,Calendar!$A$2:$H$9997,8,FALSE),0)</f>
        <v/>
      </c>
      <c r="G3783" s="29">
        <f>VLOOKUP(A3783,Calendar!$A$1:$H$9997,6,FALSE)-F3783</f>
        <v/>
      </c>
      <c r="H3783" s="19" t="n">
        <v>2</v>
      </c>
      <c r="I3783" s="57" t="n">
        <v>5</v>
      </c>
    </row>
    <row r="3784">
      <c r="A3784" s="62" t="n">
        <v>46607</v>
      </c>
      <c r="B3784" s="3" t="inlineStr">
        <is>
          <t>Sun</t>
        </is>
      </c>
      <c r="C3784" s="19" t="n">
        <v>8</v>
      </c>
      <c r="D3784" s="19" t="n">
        <v>2027</v>
      </c>
      <c r="E3784" s="57" t="n">
        <v>4</v>
      </c>
      <c r="F3784" s="29">
        <f>ROUND(((SUMIFS(Calendar!$F$2:$F$9997,Calendar!$B$2:$B$9997,D3784,Calendar!$C$2:$C$9997,C3784)*INDEX(ForeCalc!$B$37:$Y$274,MATCH(_xlfn.CONCAT(H3784," ",I3784),ForeCalc!$A$37:$A$274,0),MATCH(_xlfn.CONCAT(B3784," ",E3784),ForeCalc!$B$36:$Y$36,0))))*VLOOKUP(A3784,Calendar!$A$2:$H$9997,8,FALSE),0)</f>
        <v/>
      </c>
      <c r="G3784" s="29">
        <f>VLOOKUP(A3784,Calendar!$A$1:$H$9997,6,FALSE)-F3784</f>
        <v/>
      </c>
      <c r="H3784" s="19" t="n">
        <v>2</v>
      </c>
      <c r="I3784" s="57" t="n">
        <v>5</v>
      </c>
    </row>
    <row r="3785">
      <c r="A3785" s="62" t="n">
        <v>46608</v>
      </c>
      <c r="B3785" s="3" t="inlineStr">
        <is>
          <t>Week</t>
        </is>
      </c>
      <c r="C3785" s="19" t="n">
        <v>8</v>
      </c>
      <c r="D3785" s="19" t="n">
        <v>2027</v>
      </c>
      <c r="E3785" s="57" t="n">
        <v>4</v>
      </c>
      <c r="F3785" s="29">
        <f>ROUND(((SUMIFS(Calendar!$F$2:$F$9997,Calendar!$B$2:$B$9997,D3785,Calendar!$C$2:$C$9997,C3785)*INDEX(ForeCalc!$B$37:$Y$274,MATCH(_xlfn.CONCAT(H3785," ",I3785),ForeCalc!$A$37:$A$274,0),MATCH(_xlfn.CONCAT(B3785," ",E3785),ForeCalc!$B$36:$Y$36,0))))*VLOOKUP(A3785,Calendar!$A$2:$H$9997,8,FALSE),0)</f>
        <v/>
      </c>
      <c r="G3785" s="29">
        <f>VLOOKUP(A3785,Calendar!$A$1:$H$9997,6,FALSE)-F3785</f>
        <v/>
      </c>
      <c r="H3785" s="19" t="n">
        <v>2</v>
      </c>
      <c r="I3785" s="57" t="n">
        <v>5</v>
      </c>
    </row>
    <row r="3786">
      <c r="A3786" s="62" t="n">
        <v>46609</v>
      </c>
      <c r="B3786" s="3" t="inlineStr">
        <is>
          <t>Week</t>
        </is>
      </c>
      <c r="C3786" s="19" t="n">
        <v>8</v>
      </c>
      <c r="D3786" s="19" t="n">
        <v>2027</v>
      </c>
      <c r="E3786" s="57" t="n">
        <v>4</v>
      </c>
      <c r="F3786" s="29">
        <f>ROUND(((SUMIFS(Calendar!$F$2:$F$9997,Calendar!$B$2:$B$9997,D3786,Calendar!$C$2:$C$9997,C3786)*INDEX(ForeCalc!$B$37:$Y$274,MATCH(_xlfn.CONCAT(H3786," ",I3786),ForeCalc!$A$37:$A$274,0),MATCH(_xlfn.CONCAT(B3786," ",E3786),ForeCalc!$B$36:$Y$36,0))))*VLOOKUP(A3786,Calendar!$A$2:$H$9997,8,FALSE),0)</f>
        <v/>
      </c>
      <c r="G3786" s="29">
        <f>VLOOKUP(A3786,Calendar!$A$1:$H$9997,6,FALSE)-F3786</f>
        <v/>
      </c>
      <c r="H3786" s="19" t="n">
        <v>2</v>
      </c>
      <c r="I3786" s="57" t="n">
        <v>5</v>
      </c>
    </row>
    <row r="3787">
      <c r="A3787" s="62" t="n">
        <v>46610</v>
      </c>
      <c r="B3787" s="3" t="inlineStr">
        <is>
          <t>Week</t>
        </is>
      </c>
      <c r="C3787" s="19" t="n">
        <v>8</v>
      </c>
      <c r="D3787" s="19" t="n">
        <v>2027</v>
      </c>
      <c r="E3787" s="57" t="n">
        <v>4</v>
      </c>
      <c r="F3787" s="29">
        <f>ROUND(((SUMIFS(Calendar!$F$2:$F$9997,Calendar!$B$2:$B$9997,D3787,Calendar!$C$2:$C$9997,C3787)*INDEX(ForeCalc!$B$37:$Y$274,MATCH(_xlfn.CONCAT(H3787," ",I3787),ForeCalc!$A$37:$A$274,0),MATCH(_xlfn.CONCAT(B3787," ",E3787),ForeCalc!$B$36:$Y$36,0))))*VLOOKUP(A3787,Calendar!$A$2:$H$9997,8,FALSE),0)</f>
        <v/>
      </c>
      <c r="G3787" s="29">
        <f>VLOOKUP(A3787,Calendar!$A$1:$H$9997,6,FALSE)-F3787</f>
        <v/>
      </c>
      <c r="H3787" s="19" t="n">
        <v>2</v>
      </c>
      <c r="I3787" s="57" t="n">
        <v>5</v>
      </c>
    </row>
    <row r="3788">
      <c r="A3788" s="62" t="n">
        <v>46611</v>
      </c>
      <c r="B3788" s="3" t="inlineStr">
        <is>
          <t>Week</t>
        </is>
      </c>
      <c r="C3788" s="19" t="n">
        <v>8</v>
      </c>
      <c r="D3788" s="19" t="n">
        <v>2027</v>
      </c>
      <c r="E3788" s="57" t="n">
        <v>4</v>
      </c>
      <c r="F3788" s="29">
        <f>ROUND(((SUMIFS(Calendar!$F$2:$F$9997,Calendar!$B$2:$B$9997,D3788,Calendar!$C$2:$C$9997,C3788)*INDEX(ForeCalc!$B$37:$Y$274,MATCH(_xlfn.CONCAT(H3788," ",I3788),ForeCalc!$A$37:$A$274,0),MATCH(_xlfn.CONCAT(B3788," ",E3788),ForeCalc!$B$36:$Y$36,0))))*VLOOKUP(A3788,Calendar!$A$2:$H$9997,8,FALSE),0)</f>
        <v/>
      </c>
      <c r="G3788" s="29">
        <f>VLOOKUP(A3788,Calendar!$A$1:$H$9997,6,FALSE)-F3788</f>
        <v/>
      </c>
      <c r="H3788" s="19" t="n">
        <v>2</v>
      </c>
      <c r="I3788" s="57" t="n">
        <v>5</v>
      </c>
    </row>
    <row r="3789">
      <c r="A3789" s="62" t="n">
        <v>46612</v>
      </c>
      <c r="B3789" s="3" t="inlineStr">
        <is>
          <t>Week</t>
        </is>
      </c>
      <c r="C3789" s="19" t="n">
        <v>8</v>
      </c>
      <c r="D3789" s="19" t="n">
        <v>2027</v>
      </c>
      <c r="E3789" s="57" t="n">
        <v>4</v>
      </c>
      <c r="F3789" s="29">
        <f>ROUND(((SUMIFS(Calendar!$F$2:$F$9997,Calendar!$B$2:$B$9997,D3789,Calendar!$C$2:$C$9997,C3789)*INDEX(ForeCalc!$B$37:$Y$274,MATCH(_xlfn.CONCAT(H3789," ",I3789),ForeCalc!$A$37:$A$274,0),MATCH(_xlfn.CONCAT(B3789," ",E3789),ForeCalc!$B$36:$Y$36,0))))*VLOOKUP(A3789,Calendar!$A$2:$H$9997,8,FALSE),0)</f>
        <v/>
      </c>
      <c r="G3789" s="29">
        <f>VLOOKUP(A3789,Calendar!$A$1:$H$9997,6,FALSE)-F3789</f>
        <v/>
      </c>
      <c r="H3789" s="19" t="n">
        <v>2</v>
      </c>
      <c r="I3789" s="57" t="n">
        <v>5</v>
      </c>
    </row>
    <row r="3790">
      <c r="A3790" s="62" t="n">
        <v>46613</v>
      </c>
      <c r="B3790" s="3" t="inlineStr">
        <is>
          <t>Sat</t>
        </is>
      </c>
      <c r="C3790" s="19" t="n">
        <v>8</v>
      </c>
      <c r="D3790" s="19" t="n">
        <v>2027</v>
      </c>
      <c r="E3790" s="57" t="n">
        <v>4</v>
      </c>
      <c r="F3790" s="29">
        <f>ROUND(((SUMIFS(Calendar!$F$2:$F$9997,Calendar!$B$2:$B$9997,D3790,Calendar!$C$2:$C$9997,C3790)*INDEX(ForeCalc!$B$37:$Y$274,MATCH(_xlfn.CONCAT(H3790," ",I3790),ForeCalc!$A$37:$A$274,0),MATCH(_xlfn.CONCAT(B3790," ",E3790),ForeCalc!$B$36:$Y$36,0))))*VLOOKUP(A3790,Calendar!$A$2:$H$9997,8,FALSE),0)</f>
        <v/>
      </c>
      <c r="G3790" s="29">
        <f>VLOOKUP(A3790,Calendar!$A$1:$H$9997,6,FALSE)-F3790</f>
        <v/>
      </c>
      <c r="H3790" s="19" t="n">
        <v>2</v>
      </c>
      <c r="I3790" s="57" t="n">
        <v>5</v>
      </c>
    </row>
    <row r="3791">
      <c r="A3791" s="62" t="n">
        <v>46614</v>
      </c>
      <c r="B3791" s="3" t="inlineStr">
        <is>
          <t>Sun</t>
        </is>
      </c>
      <c r="C3791" s="19" t="n">
        <v>8</v>
      </c>
      <c r="D3791" s="19" t="n">
        <v>2027</v>
      </c>
      <c r="E3791" s="57" t="n">
        <v>4</v>
      </c>
      <c r="F3791" s="29">
        <f>ROUND(((SUMIFS(Calendar!$F$2:$F$9997,Calendar!$B$2:$B$9997,D3791,Calendar!$C$2:$C$9997,C3791)*INDEX(ForeCalc!$B$37:$Y$274,MATCH(_xlfn.CONCAT(H3791," ",I3791),ForeCalc!$A$37:$A$274,0),MATCH(_xlfn.CONCAT(B3791," ",E3791),ForeCalc!$B$36:$Y$36,0))))*VLOOKUP(A3791,Calendar!$A$2:$H$9997,8,FALSE),0)</f>
        <v/>
      </c>
      <c r="G3791" s="29">
        <f>VLOOKUP(A3791,Calendar!$A$1:$H$9997,6,FALSE)-F3791</f>
        <v/>
      </c>
      <c r="H3791" s="19" t="n">
        <v>2</v>
      </c>
      <c r="I3791" s="57" t="n">
        <v>5</v>
      </c>
    </row>
    <row r="3792">
      <c r="A3792" s="62" t="n">
        <v>46615</v>
      </c>
      <c r="B3792" s="3" t="inlineStr">
        <is>
          <t>Week</t>
        </is>
      </c>
      <c r="C3792" s="19" t="n">
        <v>8</v>
      </c>
      <c r="D3792" s="19" t="n">
        <v>2027</v>
      </c>
      <c r="E3792" s="57" t="n">
        <v>4</v>
      </c>
      <c r="F3792" s="29">
        <f>ROUND(((SUMIFS(Calendar!$F$2:$F$9997,Calendar!$B$2:$B$9997,D3792,Calendar!$C$2:$C$9997,C3792)*INDEX(ForeCalc!$B$37:$Y$274,MATCH(_xlfn.CONCAT(H3792," ",I3792),ForeCalc!$A$37:$A$274,0),MATCH(_xlfn.CONCAT(B3792," ",E3792),ForeCalc!$B$36:$Y$36,0))))*VLOOKUP(A3792,Calendar!$A$2:$H$9997,8,FALSE),0)</f>
        <v/>
      </c>
      <c r="G3792" s="29">
        <f>VLOOKUP(A3792,Calendar!$A$1:$H$9997,6,FALSE)-F3792</f>
        <v/>
      </c>
      <c r="H3792" s="19" t="n">
        <v>2</v>
      </c>
      <c r="I3792" s="57" t="n">
        <v>5</v>
      </c>
    </row>
    <row r="3793">
      <c r="A3793" s="62" t="n">
        <v>46616</v>
      </c>
      <c r="B3793" s="3" t="inlineStr">
        <is>
          <t>Week</t>
        </is>
      </c>
      <c r="C3793" s="19" t="n">
        <v>8</v>
      </c>
      <c r="D3793" s="19" t="n">
        <v>2027</v>
      </c>
      <c r="E3793" s="57" t="n">
        <v>4</v>
      </c>
      <c r="F3793" s="29">
        <f>ROUND(((SUMIFS(Calendar!$F$2:$F$9997,Calendar!$B$2:$B$9997,D3793,Calendar!$C$2:$C$9997,C3793)*INDEX(ForeCalc!$B$37:$Y$274,MATCH(_xlfn.CONCAT(H3793," ",I3793),ForeCalc!$A$37:$A$274,0),MATCH(_xlfn.CONCAT(B3793," ",E3793),ForeCalc!$B$36:$Y$36,0))))*VLOOKUP(A3793,Calendar!$A$2:$H$9997,8,FALSE),0)</f>
        <v/>
      </c>
      <c r="G3793" s="29">
        <f>VLOOKUP(A3793,Calendar!$A$1:$H$9997,6,FALSE)-F3793</f>
        <v/>
      </c>
      <c r="H3793" s="19" t="n">
        <v>2</v>
      </c>
      <c r="I3793" s="57" t="n">
        <v>5</v>
      </c>
    </row>
    <row r="3794">
      <c r="A3794" s="62" t="n">
        <v>46617</v>
      </c>
      <c r="B3794" s="3" t="inlineStr">
        <is>
          <t>Week</t>
        </is>
      </c>
      <c r="C3794" s="19" t="n">
        <v>8</v>
      </c>
      <c r="D3794" s="19" t="n">
        <v>2027</v>
      </c>
      <c r="E3794" s="57" t="n">
        <v>4</v>
      </c>
      <c r="F3794" s="29">
        <f>ROUND(((SUMIFS(Calendar!$F$2:$F$9997,Calendar!$B$2:$B$9997,D3794,Calendar!$C$2:$C$9997,C3794)*INDEX(ForeCalc!$B$37:$Y$274,MATCH(_xlfn.CONCAT(H3794," ",I3794),ForeCalc!$A$37:$A$274,0),MATCH(_xlfn.CONCAT(B3794," ",E3794),ForeCalc!$B$36:$Y$36,0))))*VLOOKUP(A3794,Calendar!$A$2:$H$9997,8,FALSE),0)</f>
        <v/>
      </c>
      <c r="G3794" s="29">
        <f>VLOOKUP(A3794,Calendar!$A$1:$H$9997,6,FALSE)-F3794</f>
        <v/>
      </c>
      <c r="H3794" s="19" t="n">
        <v>2</v>
      </c>
      <c r="I3794" s="57" t="n">
        <v>5</v>
      </c>
    </row>
    <row r="3795">
      <c r="A3795" s="62" t="n">
        <v>46618</v>
      </c>
      <c r="B3795" s="3" t="inlineStr">
        <is>
          <t>Week</t>
        </is>
      </c>
      <c r="C3795" s="19" t="n">
        <v>8</v>
      </c>
      <c r="D3795" s="19" t="n">
        <v>2027</v>
      </c>
      <c r="E3795" s="57" t="n">
        <v>4</v>
      </c>
      <c r="F3795" s="29">
        <f>ROUND(((SUMIFS(Calendar!$F$2:$F$9997,Calendar!$B$2:$B$9997,D3795,Calendar!$C$2:$C$9997,C3795)*INDEX(ForeCalc!$B$37:$Y$274,MATCH(_xlfn.CONCAT(H3795," ",I3795),ForeCalc!$A$37:$A$274,0),MATCH(_xlfn.CONCAT(B3795," ",E3795),ForeCalc!$B$36:$Y$36,0))))*VLOOKUP(A3795,Calendar!$A$2:$H$9997,8,FALSE),0)</f>
        <v/>
      </c>
      <c r="G3795" s="29">
        <f>VLOOKUP(A3795,Calendar!$A$1:$H$9997,6,FALSE)-F3795</f>
        <v/>
      </c>
      <c r="H3795" s="19" t="n">
        <v>2</v>
      </c>
      <c r="I3795" s="57" t="n">
        <v>5</v>
      </c>
    </row>
    <row r="3796">
      <c r="A3796" s="62" t="n">
        <v>46619</v>
      </c>
      <c r="B3796" s="3" t="inlineStr">
        <is>
          <t>Week</t>
        </is>
      </c>
      <c r="C3796" s="19" t="n">
        <v>8</v>
      </c>
      <c r="D3796" s="19" t="n">
        <v>2027</v>
      </c>
      <c r="E3796" s="57" t="n">
        <v>4</v>
      </c>
      <c r="F3796" s="29">
        <f>ROUND(((SUMIFS(Calendar!$F$2:$F$9997,Calendar!$B$2:$B$9997,D3796,Calendar!$C$2:$C$9997,C3796)*INDEX(ForeCalc!$B$37:$Y$274,MATCH(_xlfn.CONCAT(H3796," ",I3796),ForeCalc!$A$37:$A$274,0),MATCH(_xlfn.CONCAT(B3796," ",E3796),ForeCalc!$B$36:$Y$36,0))))*VLOOKUP(A3796,Calendar!$A$2:$H$9997,8,FALSE),0)</f>
        <v/>
      </c>
      <c r="G3796" s="29">
        <f>VLOOKUP(A3796,Calendar!$A$1:$H$9997,6,FALSE)-F3796</f>
        <v/>
      </c>
      <c r="H3796" s="19" t="n">
        <v>2</v>
      </c>
      <c r="I3796" s="57" t="n">
        <v>5</v>
      </c>
    </row>
    <row r="3797">
      <c r="A3797" s="62" t="n">
        <v>46620</v>
      </c>
      <c r="B3797" s="3" t="inlineStr">
        <is>
          <t>Sat</t>
        </is>
      </c>
      <c r="C3797" s="19" t="n">
        <v>8</v>
      </c>
      <c r="D3797" s="19" t="n">
        <v>2027</v>
      </c>
      <c r="E3797" s="57" t="n">
        <v>4</v>
      </c>
      <c r="F3797" s="29">
        <f>ROUND(((SUMIFS(Calendar!$F$2:$F$9997,Calendar!$B$2:$B$9997,D3797,Calendar!$C$2:$C$9997,C3797)*INDEX(ForeCalc!$B$37:$Y$274,MATCH(_xlfn.CONCAT(H3797," ",I3797),ForeCalc!$A$37:$A$274,0),MATCH(_xlfn.CONCAT(B3797," ",E3797),ForeCalc!$B$36:$Y$36,0))))*VLOOKUP(A3797,Calendar!$A$2:$H$9997,8,FALSE),0)</f>
        <v/>
      </c>
      <c r="G3797" s="29">
        <f>VLOOKUP(A3797,Calendar!$A$1:$H$9997,6,FALSE)-F3797</f>
        <v/>
      </c>
      <c r="H3797" s="19" t="n">
        <v>2</v>
      </c>
      <c r="I3797" s="57" t="n">
        <v>5</v>
      </c>
    </row>
    <row r="3798">
      <c r="A3798" s="62" t="n">
        <v>46621</v>
      </c>
      <c r="B3798" s="3" t="inlineStr">
        <is>
          <t>Sun</t>
        </is>
      </c>
      <c r="C3798" s="19" t="n">
        <v>8</v>
      </c>
      <c r="D3798" s="19" t="n">
        <v>2027</v>
      </c>
      <c r="E3798" s="57" t="n">
        <v>4</v>
      </c>
      <c r="F3798" s="29">
        <f>ROUND(((SUMIFS(Calendar!$F$2:$F$9997,Calendar!$B$2:$B$9997,D3798,Calendar!$C$2:$C$9997,C3798)*INDEX(ForeCalc!$B$37:$Y$274,MATCH(_xlfn.CONCAT(H3798," ",I3798),ForeCalc!$A$37:$A$274,0),MATCH(_xlfn.CONCAT(B3798," ",E3798),ForeCalc!$B$36:$Y$36,0))))*VLOOKUP(A3798,Calendar!$A$2:$H$9997,8,FALSE),0)</f>
        <v/>
      </c>
      <c r="G3798" s="29">
        <f>VLOOKUP(A3798,Calendar!$A$1:$H$9997,6,FALSE)-F3798</f>
        <v/>
      </c>
      <c r="H3798" s="19" t="n">
        <v>2</v>
      </c>
      <c r="I3798" s="57" t="n">
        <v>5</v>
      </c>
    </row>
    <row r="3799">
      <c r="A3799" s="62" t="n">
        <v>46622</v>
      </c>
      <c r="B3799" s="3" t="inlineStr">
        <is>
          <t>Week</t>
        </is>
      </c>
      <c r="C3799" s="19" t="n">
        <v>8</v>
      </c>
      <c r="D3799" s="19" t="n">
        <v>2027</v>
      </c>
      <c r="E3799" s="57" t="n">
        <v>4</v>
      </c>
      <c r="F3799" s="29">
        <f>ROUND(((SUMIFS(Calendar!$F$2:$F$9997,Calendar!$B$2:$B$9997,D3799,Calendar!$C$2:$C$9997,C3799)*INDEX(ForeCalc!$B$37:$Y$274,MATCH(_xlfn.CONCAT(H3799," ",I3799),ForeCalc!$A$37:$A$274,0),MATCH(_xlfn.CONCAT(B3799," ",E3799),ForeCalc!$B$36:$Y$36,0))))*VLOOKUP(A3799,Calendar!$A$2:$H$9997,8,FALSE),0)</f>
        <v/>
      </c>
      <c r="G3799" s="29">
        <f>VLOOKUP(A3799,Calendar!$A$1:$H$9997,6,FALSE)-F3799</f>
        <v/>
      </c>
      <c r="H3799" s="19" t="n">
        <v>2</v>
      </c>
      <c r="I3799" s="57" t="n">
        <v>5</v>
      </c>
    </row>
    <row r="3800">
      <c r="A3800" s="62" t="n">
        <v>46623</v>
      </c>
      <c r="B3800" s="3" t="inlineStr">
        <is>
          <t>Week</t>
        </is>
      </c>
      <c r="C3800" s="19" t="n">
        <v>8</v>
      </c>
      <c r="D3800" s="19" t="n">
        <v>2027</v>
      </c>
      <c r="E3800" s="57" t="n">
        <v>4</v>
      </c>
      <c r="F3800" s="29">
        <f>ROUND(((SUMIFS(Calendar!$F$2:$F$9997,Calendar!$B$2:$B$9997,D3800,Calendar!$C$2:$C$9997,C3800)*INDEX(ForeCalc!$B$37:$Y$274,MATCH(_xlfn.CONCAT(H3800," ",I3800),ForeCalc!$A$37:$A$274,0),MATCH(_xlfn.CONCAT(B3800," ",E3800),ForeCalc!$B$36:$Y$36,0))))*VLOOKUP(A3800,Calendar!$A$2:$H$9997,8,FALSE),0)</f>
        <v/>
      </c>
      <c r="G3800" s="29">
        <f>VLOOKUP(A3800,Calendar!$A$1:$H$9997,6,FALSE)-F3800</f>
        <v/>
      </c>
      <c r="H3800" s="19" t="n">
        <v>2</v>
      </c>
      <c r="I3800" s="57" t="n">
        <v>5</v>
      </c>
    </row>
    <row r="3801">
      <c r="A3801" s="62" t="n">
        <v>46624</v>
      </c>
      <c r="B3801" s="3" t="inlineStr">
        <is>
          <t>Week</t>
        </is>
      </c>
      <c r="C3801" s="19" t="n">
        <v>8</v>
      </c>
      <c r="D3801" s="19" t="n">
        <v>2027</v>
      </c>
      <c r="E3801" s="57" t="n">
        <v>4</v>
      </c>
      <c r="F3801" s="29">
        <f>ROUND(((SUMIFS(Calendar!$F$2:$F$9997,Calendar!$B$2:$B$9997,D3801,Calendar!$C$2:$C$9997,C3801)*INDEX(ForeCalc!$B$37:$Y$274,MATCH(_xlfn.CONCAT(H3801," ",I3801),ForeCalc!$A$37:$A$274,0),MATCH(_xlfn.CONCAT(B3801," ",E3801),ForeCalc!$B$36:$Y$36,0))))*VLOOKUP(A3801,Calendar!$A$2:$H$9997,8,FALSE),0)</f>
        <v/>
      </c>
      <c r="G3801" s="29">
        <f>VLOOKUP(A3801,Calendar!$A$1:$H$9997,6,FALSE)-F3801</f>
        <v/>
      </c>
      <c r="H3801" s="19" t="n">
        <v>2</v>
      </c>
      <c r="I3801" s="57" t="n">
        <v>5</v>
      </c>
    </row>
    <row r="3802">
      <c r="A3802" s="62" t="n">
        <v>46625</v>
      </c>
      <c r="B3802" s="3" t="inlineStr">
        <is>
          <t>Week</t>
        </is>
      </c>
      <c r="C3802" s="19" t="n">
        <v>8</v>
      </c>
      <c r="D3802" s="19" t="n">
        <v>2027</v>
      </c>
      <c r="E3802" s="57" t="n">
        <v>4</v>
      </c>
      <c r="F3802" s="29">
        <f>ROUND(((SUMIFS(Calendar!$F$2:$F$9997,Calendar!$B$2:$B$9997,D3802,Calendar!$C$2:$C$9997,C3802)*INDEX(ForeCalc!$B$37:$Y$274,MATCH(_xlfn.CONCAT(H3802," ",I3802),ForeCalc!$A$37:$A$274,0),MATCH(_xlfn.CONCAT(B3802," ",E3802),ForeCalc!$B$36:$Y$36,0))))*VLOOKUP(A3802,Calendar!$A$2:$H$9997,8,FALSE),0)</f>
        <v/>
      </c>
      <c r="G3802" s="29">
        <f>VLOOKUP(A3802,Calendar!$A$1:$H$9997,6,FALSE)-F3802</f>
        <v/>
      </c>
      <c r="H3802" s="19" t="n">
        <v>2</v>
      </c>
      <c r="I3802" s="57" t="n">
        <v>5</v>
      </c>
    </row>
    <row r="3803">
      <c r="A3803" s="62" t="n">
        <v>46626</v>
      </c>
      <c r="B3803" s="3" t="inlineStr">
        <is>
          <t>Week</t>
        </is>
      </c>
      <c r="C3803" s="19" t="n">
        <v>8</v>
      </c>
      <c r="D3803" s="19" t="n">
        <v>2027</v>
      </c>
      <c r="E3803" s="57" t="n">
        <v>4</v>
      </c>
      <c r="F3803" s="29">
        <f>ROUND(((SUMIFS(Calendar!$F$2:$F$9997,Calendar!$B$2:$B$9997,D3803,Calendar!$C$2:$C$9997,C3803)*INDEX(ForeCalc!$B$37:$Y$274,MATCH(_xlfn.CONCAT(H3803," ",I3803),ForeCalc!$A$37:$A$274,0),MATCH(_xlfn.CONCAT(B3803," ",E3803),ForeCalc!$B$36:$Y$36,0))))*VLOOKUP(A3803,Calendar!$A$2:$H$9997,8,FALSE),0)</f>
        <v/>
      </c>
      <c r="G3803" s="29">
        <f>VLOOKUP(A3803,Calendar!$A$1:$H$9997,6,FALSE)-F3803</f>
        <v/>
      </c>
      <c r="H3803" s="19" t="n">
        <v>2</v>
      </c>
      <c r="I3803" s="57" t="n">
        <v>5</v>
      </c>
    </row>
    <row r="3804">
      <c r="A3804" s="62" t="n">
        <v>46627</v>
      </c>
      <c r="B3804" s="3" t="inlineStr">
        <is>
          <t>Sat</t>
        </is>
      </c>
      <c r="C3804" s="19" t="n">
        <v>8</v>
      </c>
      <c r="D3804" s="19" t="n">
        <v>2027</v>
      </c>
      <c r="E3804" s="57" t="n">
        <v>4</v>
      </c>
      <c r="F3804" s="29">
        <f>ROUND(((SUMIFS(Calendar!$F$2:$F$9997,Calendar!$B$2:$B$9997,D3804,Calendar!$C$2:$C$9997,C3804)*INDEX(ForeCalc!$B$37:$Y$274,MATCH(_xlfn.CONCAT(H3804," ",I3804),ForeCalc!$A$37:$A$274,0),MATCH(_xlfn.CONCAT(B3804," ",E3804),ForeCalc!$B$36:$Y$36,0))))*VLOOKUP(A3804,Calendar!$A$2:$H$9997,8,FALSE),0)</f>
        <v/>
      </c>
      <c r="G3804" s="29">
        <f>VLOOKUP(A3804,Calendar!$A$1:$H$9997,6,FALSE)-F3804</f>
        <v/>
      </c>
      <c r="H3804" s="19" t="n">
        <v>2</v>
      </c>
      <c r="I3804" s="57" t="n">
        <v>5</v>
      </c>
    </row>
    <row r="3805">
      <c r="A3805" s="62" t="n">
        <v>46628</v>
      </c>
      <c r="B3805" s="3" t="inlineStr">
        <is>
          <t>Sun</t>
        </is>
      </c>
      <c r="C3805" s="19" t="n">
        <v>8</v>
      </c>
      <c r="D3805" s="19" t="n">
        <v>2027</v>
      </c>
      <c r="E3805" s="57" t="n">
        <v>4</v>
      </c>
      <c r="F3805" s="29">
        <f>ROUND(((SUMIFS(Calendar!$F$2:$F$9997,Calendar!$B$2:$B$9997,D3805,Calendar!$C$2:$C$9997,C3805)*INDEX(ForeCalc!$B$37:$Y$274,MATCH(_xlfn.CONCAT(H3805," ",I3805),ForeCalc!$A$37:$A$274,0),MATCH(_xlfn.CONCAT(B3805," ",E3805),ForeCalc!$B$36:$Y$36,0))))*VLOOKUP(A3805,Calendar!$A$2:$H$9997,8,FALSE),0)</f>
        <v/>
      </c>
      <c r="G3805" s="29">
        <f>VLOOKUP(A3805,Calendar!$A$1:$H$9997,6,FALSE)-F3805</f>
        <v/>
      </c>
      <c r="H3805" s="19" t="n">
        <v>2</v>
      </c>
      <c r="I3805" s="57" t="n">
        <v>5</v>
      </c>
    </row>
    <row r="3806">
      <c r="A3806" s="62" t="n">
        <v>46629</v>
      </c>
      <c r="B3806" s="3" t="inlineStr">
        <is>
          <t>Week</t>
        </is>
      </c>
      <c r="C3806" s="19" t="n">
        <v>8</v>
      </c>
      <c r="D3806" s="19" t="n">
        <v>2027</v>
      </c>
      <c r="E3806" s="57" t="n">
        <v>4</v>
      </c>
      <c r="F3806" s="29">
        <f>ROUND(((SUMIFS(Calendar!$F$2:$F$9997,Calendar!$B$2:$B$9997,D3806,Calendar!$C$2:$C$9997,C3806)*INDEX(ForeCalc!$B$37:$Y$274,MATCH(_xlfn.CONCAT(H3806," ",I3806),ForeCalc!$A$37:$A$274,0),MATCH(_xlfn.CONCAT(B3806," ",E3806),ForeCalc!$B$36:$Y$36,0))))*VLOOKUP(A3806,Calendar!$A$2:$H$9997,8,FALSE),0)</f>
        <v/>
      </c>
      <c r="G3806" s="29">
        <f>VLOOKUP(A3806,Calendar!$A$1:$H$9997,6,FALSE)-F3806</f>
        <v/>
      </c>
      <c r="H3806" s="19" t="n">
        <v>2</v>
      </c>
      <c r="I3806" s="57" t="n">
        <v>5</v>
      </c>
    </row>
    <row r="3807">
      <c r="A3807" s="62" t="n">
        <v>46630</v>
      </c>
      <c r="B3807" s="3" t="inlineStr">
        <is>
          <t>Week</t>
        </is>
      </c>
      <c r="C3807" s="19" t="n">
        <v>8</v>
      </c>
      <c r="D3807" s="19" t="n">
        <v>2027</v>
      </c>
      <c r="E3807" s="57" t="n">
        <v>4</v>
      </c>
      <c r="F3807" s="29">
        <f>ROUND(((SUMIFS(Calendar!$F$2:$F$9997,Calendar!$B$2:$B$9997,D3807,Calendar!$C$2:$C$9997,C3807)*INDEX(ForeCalc!$B$37:$Y$274,MATCH(_xlfn.CONCAT(H3807," ",I3807),ForeCalc!$A$37:$A$274,0),MATCH(_xlfn.CONCAT(B3807," ",E3807),ForeCalc!$B$36:$Y$36,0))))*VLOOKUP(A3807,Calendar!$A$2:$H$9997,8,FALSE),0)</f>
        <v/>
      </c>
      <c r="G3807" s="29">
        <f>VLOOKUP(A3807,Calendar!$A$1:$H$9997,6,FALSE)-F3807</f>
        <v/>
      </c>
      <c r="H3807" s="19" t="n">
        <v>2</v>
      </c>
      <c r="I3807" s="57" t="n">
        <v>5</v>
      </c>
    </row>
    <row r="3808">
      <c r="A3808" s="62" t="n">
        <v>46631</v>
      </c>
      <c r="B3808" s="3" t="inlineStr">
        <is>
          <t>Week</t>
        </is>
      </c>
      <c r="C3808" s="19" t="n">
        <v>9</v>
      </c>
      <c r="D3808" s="19" t="n">
        <v>2027</v>
      </c>
      <c r="E3808" s="57" t="n">
        <v>4</v>
      </c>
      <c r="F3808" s="29">
        <f>ROUND(((SUMIFS(Calendar!$F$2:$F$9997,Calendar!$B$2:$B$9997,D3808,Calendar!$C$2:$C$9997,C3808)*INDEX(ForeCalc!$B$37:$Y$274,MATCH(_xlfn.CONCAT(H3808," ",I3808),ForeCalc!$A$37:$A$274,0),MATCH(_xlfn.CONCAT(B3808," ",E3808),ForeCalc!$B$36:$Y$36,0))))*VLOOKUP(A3808,Calendar!$A$2:$H$9997,8,FALSE),0)</f>
        <v/>
      </c>
      <c r="G3808" s="29">
        <f>VLOOKUP(A3808,Calendar!$A$1:$H$9997,6,FALSE)-F3808</f>
        <v/>
      </c>
      <c r="H3808" s="19" t="n">
        <v>2</v>
      </c>
      <c r="I3808" s="57" t="n">
        <v>6</v>
      </c>
    </row>
    <row r="3809">
      <c r="A3809" s="62" t="n">
        <v>46632</v>
      </c>
      <c r="B3809" s="3" t="inlineStr">
        <is>
          <t>Week</t>
        </is>
      </c>
      <c r="C3809" s="19" t="n">
        <v>9</v>
      </c>
      <c r="D3809" s="19" t="n">
        <v>2027</v>
      </c>
      <c r="E3809" s="57" t="n">
        <v>4</v>
      </c>
      <c r="F3809" s="29">
        <f>ROUND(((SUMIFS(Calendar!$F$2:$F$9997,Calendar!$B$2:$B$9997,D3809,Calendar!$C$2:$C$9997,C3809)*INDEX(ForeCalc!$B$37:$Y$274,MATCH(_xlfn.CONCAT(H3809," ",I3809),ForeCalc!$A$37:$A$274,0),MATCH(_xlfn.CONCAT(B3809," ",E3809),ForeCalc!$B$36:$Y$36,0))))*VLOOKUP(A3809,Calendar!$A$2:$H$9997,8,FALSE),0)</f>
        <v/>
      </c>
      <c r="G3809" s="29">
        <f>VLOOKUP(A3809,Calendar!$A$1:$H$9997,6,FALSE)-F3809</f>
        <v/>
      </c>
      <c r="H3809" s="19" t="n">
        <v>2</v>
      </c>
      <c r="I3809" s="57" t="n">
        <v>6</v>
      </c>
    </row>
    <row r="3810">
      <c r="A3810" s="62" t="n">
        <v>46633</v>
      </c>
      <c r="B3810" s="3" t="inlineStr">
        <is>
          <t>Week</t>
        </is>
      </c>
      <c r="C3810" s="19" t="n">
        <v>9</v>
      </c>
      <c r="D3810" s="19" t="n">
        <v>2027</v>
      </c>
      <c r="E3810" s="57" t="n">
        <v>4</v>
      </c>
      <c r="F3810" s="29">
        <f>ROUND(((SUMIFS(Calendar!$F$2:$F$9997,Calendar!$B$2:$B$9997,D3810,Calendar!$C$2:$C$9997,C3810)*INDEX(ForeCalc!$B$37:$Y$274,MATCH(_xlfn.CONCAT(H3810," ",I3810),ForeCalc!$A$37:$A$274,0),MATCH(_xlfn.CONCAT(B3810," ",E3810),ForeCalc!$B$36:$Y$36,0))))*VLOOKUP(A3810,Calendar!$A$2:$H$9997,8,FALSE),0)</f>
        <v/>
      </c>
      <c r="G3810" s="29">
        <f>VLOOKUP(A3810,Calendar!$A$1:$H$9997,6,FALSE)-F3810</f>
        <v/>
      </c>
      <c r="H3810" s="19" t="n">
        <v>2</v>
      </c>
      <c r="I3810" s="57" t="n">
        <v>6</v>
      </c>
    </row>
    <row r="3811">
      <c r="A3811" s="62" t="n">
        <v>46634</v>
      </c>
      <c r="B3811" s="3" t="inlineStr">
        <is>
          <t>Sat</t>
        </is>
      </c>
      <c r="C3811" s="19" t="n">
        <v>9</v>
      </c>
      <c r="D3811" s="19" t="n">
        <v>2027</v>
      </c>
      <c r="E3811" s="57" t="n">
        <v>4</v>
      </c>
      <c r="F3811" s="29">
        <f>ROUND(((SUMIFS(Calendar!$F$2:$F$9997,Calendar!$B$2:$B$9997,D3811,Calendar!$C$2:$C$9997,C3811)*INDEX(ForeCalc!$B$37:$Y$274,MATCH(_xlfn.CONCAT(H3811," ",I3811),ForeCalc!$A$37:$A$274,0),MATCH(_xlfn.CONCAT(B3811," ",E3811),ForeCalc!$B$36:$Y$36,0))))*VLOOKUP(A3811,Calendar!$A$2:$H$9997,8,FALSE),0)</f>
        <v/>
      </c>
      <c r="G3811" s="29">
        <f>VLOOKUP(A3811,Calendar!$A$1:$H$9997,6,FALSE)-F3811</f>
        <v/>
      </c>
      <c r="H3811" s="19" t="n">
        <v>2</v>
      </c>
      <c r="I3811" s="57" t="n">
        <v>6</v>
      </c>
    </row>
    <row r="3812">
      <c r="A3812" s="62" t="n">
        <v>46635</v>
      </c>
      <c r="B3812" s="3" t="inlineStr">
        <is>
          <t>Sun</t>
        </is>
      </c>
      <c r="C3812" s="19" t="n">
        <v>9</v>
      </c>
      <c r="D3812" s="19" t="n">
        <v>2027</v>
      </c>
      <c r="E3812" s="57" t="n">
        <v>4</v>
      </c>
      <c r="F3812" s="29">
        <f>ROUND(((SUMIFS(Calendar!$F$2:$F$9997,Calendar!$B$2:$B$9997,D3812,Calendar!$C$2:$C$9997,C3812)*INDEX(ForeCalc!$B$37:$Y$274,MATCH(_xlfn.CONCAT(H3812," ",I3812),ForeCalc!$A$37:$A$274,0),MATCH(_xlfn.CONCAT(B3812," ",E3812),ForeCalc!$B$36:$Y$36,0))))*VLOOKUP(A3812,Calendar!$A$2:$H$9997,8,FALSE),0)</f>
        <v/>
      </c>
      <c r="G3812" s="29">
        <f>VLOOKUP(A3812,Calendar!$A$1:$H$9997,6,FALSE)-F3812</f>
        <v/>
      </c>
      <c r="H3812" s="19" t="n">
        <v>2</v>
      </c>
      <c r="I3812" s="57" t="n">
        <v>6</v>
      </c>
    </row>
    <row r="3813">
      <c r="A3813" s="62" t="n">
        <v>46636</v>
      </c>
      <c r="B3813" s="3" t="inlineStr">
        <is>
          <t>Week</t>
        </is>
      </c>
      <c r="C3813" s="19" t="n">
        <v>9</v>
      </c>
      <c r="D3813" s="19" t="n">
        <v>2027</v>
      </c>
      <c r="E3813" s="57" t="n">
        <v>4</v>
      </c>
      <c r="F3813" s="29">
        <f>ROUND(((SUMIFS(Calendar!$F$2:$F$9997,Calendar!$B$2:$B$9997,D3813,Calendar!$C$2:$C$9997,C3813)*INDEX(ForeCalc!$B$37:$Y$274,MATCH(_xlfn.CONCAT(H3813," ",I3813),ForeCalc!$A$37:$A$274,0),MATCH(_xlfn.CONCAT(B3813," ",E3813),ForeCalc!$B$36:$Y$36,0))))*VLOOKUP(A3813,Calendar!$A$2:$H$9997,8,FALSE),0)</f>
        <v/>
      </c>
      <c r="G3813" s="29">
        <f>VLOOKUP(A3813,Calendar!$A$1:$H$9997,6,FALSE)-F3813</f>
        <v/>
      </c>
      <c r="H3813" s="19" t="n">
        <v>2</v>
      </c>
      <c r="I3813" s="57" t="n">
        <v>6</v>
      </c>
    </row>
    <row r="3814">
      <c r="A3814" s="62" t="n">
        <v>46637</v>
      </c>
      <c r="B3814" s="3" t="inlineStr">
        <is>
          <t>Week</t>
        </is>
      </c>
      <c r="C3814" s="19" t="n">
        <v>9</v>
      </c>
      <c r="D3814" s="19" t="n">
        <v>2027</v>
      </c>
      <c r="E3814" s="57" t="n">
        <v>4</v>
      </c>
      <c r="F3814" s="29">
        <f>ROUND(((SUMIFS(Calendar!$F$2:$F$9997,Calendar!$B$2:$B$9997,D3814,Calendar!$C$2:$C$9997,C3814)*INDEX(ForeCalc!$B$37:$Y$274,MATCH(_xlfn.CONCAT(H3814," ",I3814),ForeCalc!$A$37:$A$274,0),MATCH(_xlfn.CONCAT(B3814," ",E3814),ForeCalc!$B$36:$Y$36,0))))*VLOOKUP(A3814,Calendar!$A$2:$H$9997,8,FALSE),0)</f>
        <v/>
      </c>
      <c r="G3814" s="29">
        <f>VLOOKUP(A3814,Calendar!$A$1:$H$9997,6,FALSE)-F3814</f>
        <v/>
      </c>
      <c r="H3814" s="19" t="n">
        <v>2</v>
      </c>
      <c r="I3814" s="57" t="n">
        <v>6</v>
      </c>
    </row>
    <row r="3815">
      <c r="A3815" s="62" t="n">
        <v>46638</v>
      </c>
      <c r="B3815" s="3" t="inlineStr">
        <is>
          <t>Week</t>
        </is>
      </c>
      <c r="C3815" s="19" t="n">
        <v>9</v>
      </c>
      <c r="D3815" s="19" t="n">
        <v>2027</v>
      </c>
      <c r="E3815" s="57" t="n">
        <v>4</v>
      </c>
      <c r="F3815" s="29">
        <f>ROUND(((SUMIFS(Calendar!$F$2:$F$9997,Calendar!$B$2:$B$9997,D3815,Calendar!$C$2:$C$9997,C3815)*INDEX(ForeCalc!$B$37:$Y$274,MATCH(_xlfn.CONCAT(H3815," ",I3815),ForeCalc!$A$37:$A$274,0),MATCH(_xlfn.CONCAT(B3815," ",E3815),ForeCalc!$B$36:$Y$36,0))))*VLOOKUP(A3815,Calendar!$A$2:$H$9997,8,FALSE),0)</f>
        <v/>
      </c>
      <c r="G3815" s="29">
        <f>VLOOKUP(A3815,Calendar!$A$1:$H$9997,6,FALSE)-F3815</f>
        <v/>
      </c>
      <c r="H3815" s="19" t="n">
        <v>2</v>
      </c>
      <c r="I3815" s="57" t="n">
        <v>6</v>
      </c>
    </row>
    <row r="3816">
      <c r="A3816" s="62" t="n">
        <v>46639</v>
      </c>
      <c r="B3816" s="3" t="inlineStr">
        <is>
          <t>Week</t>
        </is>
      </c>
      <c r="C3816" s="19" t="n">
        <v>9</v>
      </c>
      <c r="D3816" s="19" t="n">
        <v>2027</v>
      </c>
      <c r="E3816" s="57" t="n">
        <v>4</v>
      </c>
      <c r="F3816" s="29">
        <f>ROUND(((SUMIFS(Calendar!$F$2:$F$9997,Calendar!$B$2:$B$9997,D3816,Calendar!$C$2:$C$9997,C3816)*INDEX(ForeCalc!$B$37:$Y$274,MATCH(_xlfn.CONCAT(H3816," ",I3816),ForeCalc!$A$37:$A$274,0),MATCH(_xlfn.CONCAT(B3816," ",E3816),ForeCalc!$B$36:$Y$36,0))))*VLOOKUP(A3816,Calendar!$A$2:$H$9997,8,FALSE),0)</f>
        <v/>
      </c>
      <c r="G3816" s="29">
        <f>VLOOKUP(A3816,Calendar!$A$1:$H$9997,6,FALSE)-F3816</f>
        <v/>
      </c>
      <c r="H3816" s="19" t="n">
        <v>2</v>
      </c>
      <c r="I3816" s="57" t="n">
        <v>6</v>
      </c>
    </row>
    <row r="3817">
      <c r="A3817" s="62" t="n">
        <v>46640</v>
      </c>
      <c r="B3817" s="3" t="inlineStr">
        <is>
          <t>Week</t>
        </is>
      </c>
      <c r="C3817" s="19" t="n">
        <v>9</v>
      </c>
      <c r="D3817" s="19" t="n">
        <v>2027</v>
      </c>
      <c r="E3817" s="57" t="n">
        <v>4</v>
      </c>
      <c r="F3817" s="29">
        <f>ROUND(((SUMIFS(Calendar!$F$2:$F$9997,Calendar!$B$2:$B$9997,D3817,Calendar!$C$2:$C$9997,C3817)*INDEX(ForeCalc!$B$37:$Y$274,MATCH(_xlfn.CONCAT(H3817," ",I3817),ForeCalc!$A$37:$A$274,0),MATCH(_xlfn.CONCAT(B3817," ",E3817),ForeCalc!$B$36:$Y$36,0))))*VLOOKUP(A3817,Calendar!$A$2:$H$9997,8,FALSE),0)</f>
        <v/>
      </c>
      <c r="G3817" s="29">
        <f>VLOOKUP(A3817,Calendar!$A$1:$H$9997,6,FALSE)-F3817</f>
        <v/>
      </c>
      <c r="H3817" s="19" t="n">
        <v>2</v>
      </c>
      <c r="I3817" s="57" t="n">
        <v>6</v>
      </c>
    </row>
    <row r="3818">
      <c r="A3818" s="62" t="n">
        <v>46641</v>
      </c>
      <c r="B3818" s="3" t="inlineStr">
        <is>
          <t>Sat</t>
        </is>
      </c>
      <c r="C3818" s="19" t="n">
        <v>9</v>
      </c>
      <c r="D3818" s="19" t="n">
        <v>2027</v>
      </c>
      <c r="E3818" s="57" t="n">
        <v>4</v>
      </c>
      <c r="F3818" s="29">
        <f>ROUND(((SUMIFS(Calendar!$F$2:$F$9997,Calendar!$B$2:$B$9997,D3818,Calendar!$C$2:$C$9997,C3818)*INDEX(ForeCalc!$B$37:$Y$274,MATCH(_xlfn.CONCAT(H3818," ",I3818),ForeCalc!$A$37:$A$274,0),MATCH(_xlfn.CONCAT(B3818," ",E3818),ForeCalc!$B$36:$Y$36,0))))*VLOOKUP(A3818,Calendar!$A$2:$H$9997,8,FALSE),0)</f>
        <v/>
      </c>
      <c r="G3818" s="29">
        <f>VLOOKUP(A3818,Calendar!$A$1:$H$9997,6,FALSE)-F3818</f>
        <v/>
      </c>
      <c r="H3818" s="19" t="n">
        <v>2</v>
      </c>
      <c r="I3818" s="57" t="n">
        <v>6</v>
      </c>
    </row>
    <row r="3819">
      <c r="A3819" s="62" t="n">
        <v>46642</v>
      </c>
      <c r="B3819" s="3" t="inlineStr">
        <is>
          <t>Sun</t>
        </is>
      </c>
      <c r="C3819" s="19" t="n">
        <v>9</v>
      </c>
      <c r="D3819" s="19" t="n">
        <v>2027</v>
      </c>
      <c r="E3819" s="57" t="n">
        <v>4</v>
      </c>
      <c r="F3819" s="29">
        <f>ROUND(((SUMIFS(Calendar!$F$2:$F$9997,Calendar!$B$2:$B$9997,D3819,Calendar!$C$2:$C$9997,C3819)*INDEX(ForeCalc!$B$37:$Y$274,MATCH(_xlfn.CONCAT(H3819," ",I3819),ForeCalc!$A$37:$A$274,0),MATCH(_xlfn.CONCAT(B3819," ",E3819),ForeCalc!$B$36:$Y$36,0))))*VLOOKUP(A3819,Calendar!$A$2:$H$9997,8,FALSE),0)</f>
        <v/>
      </c>
      <c r="G3819" s="29">
        <f>VLOOKUP(A3819,Calendar!$A$1:$H$9997,6,FALSE)-F3819</f>
        <v/>
      </c>
      <c r="H3819" s="19" t="n">
        <v>2</v>
      </c>
      <c r="I3819" s="57" t="n">
        <v>6</v>
      </c>
    </row>
    <row r="3820">
      <c r="A3820" s="62" t="n">
        <v>46643</v>
      </c>
      <c r="B3820" s="3" t="inlineStr">
        <is>
          <t>Week</t>
        </is>
      </c>
      <c r="C3820" s="19" t="n">
        <v>9</v>
      </c>
      <c r="D3820" s="19" t="n">
        <v>2027</v>
      </c>
      <c r="E3820" s="57" t="n">
        <v>4</v>
      </c>
      <c r="F3820" s="29">
        <f>ROUND(((SUMIFS(Calendar!$F$2:$F$9997,Calendar!$B$2:$B$9997,D3820,Calendar!$C$2:$C$9997,C3820)*INDEX(ForeCalc!$B$37:$Y$274,MATCH(_xlfn.CONCAT(H3820," ",I3820),ForeCalc!$A$37:$A$274,0),MATCH(_xlfn.CONCAT(B3820," ",E3820),ForeCalc!$B$36:$Y$36,0))))*VLOOKUP(A3820,Calendar!$A$2:$H$9997,8,FALSE),0)</f>
        <v/>
      </c>
      <c r="G3820" s="29">
        <f>VLOOKUP(A3820,Calendar!$A$1:$H$9997,6,FALSE)-F3820</f>
        <v/>
      </c>
      <c r="H3820" s="19" t="n">
        <v>2</v>
      </c>
      <c r="I3820" s="57" t="n">
        <v>6</v>
      </c>
    </row>
    <row r="3821">
      <c r="A3821" s="62" t="n">
        <v>46644</v>
      </c>
      <c r="B3821" s="3" t="inlineStr">
        <is>
          <t>Week</t>
        </is>
      </c>
      <c r="C3821" s="19" t="n">
        <v>9</v>
      </c>
      <c r="D3821" s="19" t="n">
        <v>2027</v>
      </c>
      <c r="E3821" s="57" t="n">
        <v>4</v>
      </c>
      <c r="F3821" s="29">
        <f>ROUND(((SUMIFS(Calendar!$F$2:$F$9997,Calendar!$B$2:$B$9997,D3821,Calendar!$C$2:$C$9997,C3821)*INDEX(ForeCalc!$B$37:$Y$274,MATCH(_xlfn.CONCAT(H3821," ",I3821),ForeCalc!$A$37:$A$274,0),MATCH(_xlfn.CONCAT(B3821," ",E3821),ForeCalc!$B$36:$Y$36,0))))*VLOOKUP(A3821,Calendar!$A$2:$H$9997,8,FALSE),0)</f>
        <v/>
      </c>
      <c r="G3821" s="29">
        <f>VLOOKUP(A3821,Calendar!$A$1:$H$9997,6,FALSE)-F3821</f>
        <v/>
      </c>
      <c r="H3821" s="19" t="n">
        <v>2</v>
      </c>
      <c r="I3821" s="57" t="n">
        <v>6</v>
      </c>
    </row>
    <row r="3822">
      <c r="A3822" s="62" t="n">
        <v>46645</v>
      </c>
      <c r="B3822" s="3" t="inlineStr">
        <is>
          <t>Week</t>
        </is>
      </c>
      <c r="C3822" s="19" t="n">
        <v>9</v>
      </c>
      <c r="D3822" s="19" t="n">
        <v>2027</v>
      </c>
      <c r="E3822" s="57" t="n">
        <v>4</v>
      </c>
      <c r="F3822" s="29">
        <f>ROUND(((SUMIFS(Calendar!$F$2:$F$9997,Calendar!$B$2:$B$9997,D3822,Calendar!$C$2:$C$9997,C3822)*INDEX(ForeCalc!$B$37:$Y$274,MATCH(_xlfn.CONCAT(H3822," ",I3822),ForeCalc!$A$37:$A$274,0),MATCH(_xlfn.CONCAT(B3822," ",E3822),ForeCalc!$B$36:$Y$36,0))))*VLOOKUP(A3822,Calendar!$A$2:$H$9997,8,FALSE),0)</f>
        <v/>
      </c>
      <c r="G3822" s="29">
        <f>VLOOKUP(A3822,Calendar!$A$1:$H$9997,6,FALSE)-F3822</f>
        <v/>
      </c>
      <c r="H3822" s="19" t="n">
        <v>2</v>
      </c>
      <c r="I3822" s="57" t="n">
        <v>6</v>
      </c>
    </row>
    <row r="3823">
      <c r="A3823" s="62" t="n">
        <v>46646</v>
      </c>
      <c r="B3823" s="3" t="inlineStr">
        <is>
          <t>Week</t>
        </is>
      </c>
      <c r="C3823" s="19" t="n">
        <v>9</v>
      </c>
      <c r="D3823" s="19" t="n">
        <v>2027</v>
      </c>
      <c r="E3823" s="57" t="n">
        <v>4</v>
      </c>
      <c r="F3823" s="29">
        <f>ROUND(((SUMIFS(Calendar!$F$2:$F$9997,Calendar!$B$2:$B$9997,D3823,Calendar!$C$2:$C$9997,C3823)*INDEX(ForeCalc!$B$37:$Y$274,MATCH(_xlfn.CONCAT(H3823," ",I3823),ForeCalc!$A$37:$A$274,0),MATCH(_xlfn.CONCAT(B3823," ",E3823),ForeCalc!$B$36:$Y$36,0))))*VLOOKUP(A3823,Calendar!$A$2:$H$9997,8,FALSE),0)</f>
        <v/>
      </c>
      <c r="G3823" s="29">
        <f>VLOOKUP(A3823,Calendar!$A$1:$H$9997,6,FALSE)-F3823</f>
        <v/>
      </c>
      <c r="H3823" s="19" t="n">
        <v>2</v>
      </c>
      <c r="I3823" s="57" t="n">
        <v>6</v>
      </c>
    </row>
    <row r="3824">
      <c r="A3824" s="62" t="n">
        <v>46647</v>
      </c>
      <c r="B3824" s="3" t="inlineStr">
        <is>
          <t>Week</t>
        </is>
      </c>
      <c r="C3824" s="19" t="n">
        <v>9</v>
      </c>
      <c r="D3824" s="19" t="n">
        <v>2027</v>
      </c>
      <c r="E3824" s="57" t="n">
        <v>4</v>
      </c>
      <c r="F3824" s="29">
        <f>ROUND(((SUMIFS(Calendar!$F$2:$F$9997,Calendar!$B$2:$B$9997,D3824,Calendar!$C$2:$C$9997,C3824)*INDEX(ForeCalc!$B$37:$Y$274,MATCH(_xlfn.CONCAT(H3824," ",I3824),ForeCalc!$A$37:$A$274,0),MATCH(_xlfn.CONCAT(B3824," ",E3824),ForeCalc!$B$36:$Y$36,0))))*VLOOKUP(A3824,Calendar!$A$2:$H$9997,8,FALSE),0)</f>
        <v/>
      </c>
      <c r="G3824" s="29">
        <f>VLOOKUP(A3824,Calendar!$A$1:$H$9997,6,FALSE)-F3824</f>
        <v/>
      </c>
      <c r="H3824" s="19" t="n">
        <v>2</v>
      </c>
      <c r="I3824" s="57" t="n">
        <v>6</v>
      </c>
    </row>
    <row r="3825">
      <c r="A3825" s="62" t="n">
        <v>46648</v>
      </c>
      <c r="B3825" s="3" t="inlineStr">
        <is>
          <t>Sat</t>
        </is>
      </c>
      <c r="C3825" s="19" t="n">
        <v>9</v>
      </c>
      <c r="D3825" s="19" t="n">
        <v>2027</v>
      </c>
      <c r="E3825" s="57" t="n">
        <v>4</v>
      </c>
      <c r="F3825" s="29">
        <f>ROUND(((SUMIFS(Calendar!$F$2:$F$9997,Calendar!$B$2:$B$9997,D3825,Calendar!$C$2:$C$9997,C3825)*INDEX(ForeCalc!$B$37:$Y$274,MATCH(_xlfn.CONCAT(H3825," ",I3825),ForeCalc!$A$37:$A$274,0),MATCH(_xlfn.CONCAT(B3825," ",E3825),ForeCalc!$B$36:$Y$36,0))))*VLOOKUP(A3825,Calendar!$A$2:$H$9997,8,FALSE),0)</f>
        <v/>
      </c>
      <c r="G3825" s="29">
        <f>VLOOKUP(A3825,Calendar!$A$1:$H$9997,6,FALSE)-F3825</f>
        <v/>
      </c>
      <c r="H3825" s="19" t="n">
        <v>2</v>
      </c>
      <c r="I3825" s="57" t="n">
        <v>6</v>
      </c>
    </row>
    <row r="3826">
      <c r="A3826" s="62" t="n">
        <v>46649</v>
      </c>
      <c r="B3826" s="3" t="inlineStr">
        <is>
          <t>Sun</t>
        </is>
      </c>
      <c r="C3826" s="19" t="n">
        <v>9</v>
      </c>
      <c r="D3826" s="19" t="n">
        <v>2027</v>
      </c>
      <c r="E3826" s="57" t="n">
        <v>4</v>
      </c>
      <c r="F3826" s="29">
        <f>ROUND(((SUMIFS(Calendar!$F$2:$F$9997,Calendar!$B$2:$B$9997,D3826,Calendar!$C$2:$C$9997,C3826)*INDEX(ForeCalc!$B$37:$Y$274,MATCH(_xlfn.CONCAT(H3826," ",I3826),ForeCalc!$A$37:$A$274,0),MATCH(_xlfn.CONCAT(B3826," ",E3826),ForeCalc!$B$36:$Y$36,0))))*VLOOKUP(A3826,Calendar!$A$2:$H$9997,8,FALSE),0)</f>
        <v/>
      </c>
      <c r="G3826" s="29">
        <f>VLOOKUP(A3826,Calendar!$A$1:$H$9997,6,FALSE)-F3826</f>
        <v/>
      </c>
      <c r="H3826" s="19" t="n">
        <v>2</v>
      </c>
      <c r="I3826" s="57" t="n">
        <v>6</v>
      </c>
    </row>
    <row r="3827">
      <c r="A3827" s="62" t="n">
        <v>46650</v>
      </c>
      <c r="B3827" s="3" t="inlineStr">
        <is>
          <t>Week</t>
        </is>
      </c>
      <c r="C3827" s="19" t="n">
        <v>9</v>
      </c>
      <c r="D3827" s="19" t="n">
        <v>2027</v>
      </c>
      <c r="E3827" s="57" t="n">
        <v>4</v>
      </c>
      <c r="F3827" s="29">
        <f>ROUND(((SUMIFS(Calendar!$F$2:$F$9997,Calendar!$B$2:$B$9997,D3827,Calendar!$C$2:$C$9997,C3827)*INDEX(ForeCalc!$B$37:$Y$274,MATCH(_xlfn.CONCAT(H3827," ",I3827),ForeCalc!$A$37:$A$274,0),MATCH(_xlfn.CONCAT(B3827," ",E3827),ForeCalc!$B$36:$Y$36,0))))*VLOOKUP(A3827,Calendar!$A$2:$H$9997,8,FALSE),0)</f>
        <v/>
      </c>
      <c r="G3827" s="29">
        <f>VLOOKUP(A3827,Calendar!$A$1:$H$9997,6,FALSE)-F3827</f>
        <v/>
      </c>
      <c r="H3827" s="19" t="n">
        <v>2</v>
      </c>
      <c r="I3827" s="57" t="n">
        <v>6</v>
      </c>
    </row>
    <row r="3828">
      <c r="A3828" s="62" t="n">
        <v>46651</v>
      </c>
      <c r="B3828" s="3" t="inlineStr">
        <is>
          <t>Week</t>
        </is>
      </c>
      <c r="C3828" s="19" t="n">
        <v>9</v>
      </c>
      <c r="D3828" s="19" t="n">
        <v>2027</v>
      </c>
      <c r="E3828" s="57" t="n">
        <v>4</v>
      </c>
      <c r="F3828" s="29">
        <f>ROUND(((SUMIFS(Calendar!$F$2:$F$9997,Calendar!$B$2:$B$9997,D3828,Calendar!$C$2:$C$9997,C3828)*INDEX(ForeCalc!$B$37:$Y$274,MATCH(_xlfn.CONCAT(H3828," ",I3828),ForeCalc!$A$37:$A$274,0),MATCH(_xlfn.CONCAT(B3828," ",E3828),ForeCalc!$B$36:$Y$36,0))))*VLOOKUP(A3828,Calendar!$A$2:$H$9997,8,FALSE),0)</f>
        <v/>
      </c>
      <c r="G3828" s="29">
        <f>VLOOKUP(A3828,Calendar!$A$1:$H$9997,6,FALSE)-F3828</f>
        <v/>
      </c>
      <c r="H3828" s="19" t="n">
        <v>2</v>
      </c>
      <c r="I3828" s="57" t="n">
        <v>6</v>
      </c>
    </row>
    <row r="3829">
      <c r="A3829" s="62" t="n">
        <v>46652</v>
      </c>
      <c r="B3829" s="3" t="inlineStr">
        <is>
          <t>Week</t>
        </is>
      </c>
      <c r="C3829" s="19" t="n">
        <v>9</v>
      </c>
      <c r="D3829" s="19" t="n">
        <v>2027</v>
      </c>
      <c r="E3829" s="57" t="n">
        <v>4</v>
      </c>
      <c r="F3829" s="29">
        <f>ROUND(((SUMIFS(Calendar!$F$2:$F$9997,Calendar!$B$2:$B$9997,D3829,Calendar!$C$2:$C$9997,C3829)*INDEX(ForeCalc!$B$37:$Y$274,MATCH(_xlfn.CONCAT(H3829," ",I3829),ForeCalc!$A$37:$A$274,0),MATCH(_xlfn.CONCAT(B3829," ",E3829),ForeCalc!$B$36:$Y$36,0))))*VLOOKUP(A3829,Calendar!$A$2:$H$9997,8,FALSE),0)</f>
        <v/>
      </c>
      <c r="G3829" s="29">
        <f>VLOOKUP(A3829,Calendar!$A$1:$H$9997,6,FALSE)-F3829</f>
        <v/>
      </c>
      <c r="H3829" s="19" t="n">
        <v>2</v>
      </c>
      <c r="I3829" s="57" t="n">
        <v>6</v>
      </c>
    </row>
    <row r="3830">
      <c r="A3830" s="62" t="n">
        <v>46653</v>
      </c>
      <c r="B3830" s="3" t="inlineStr">
        <is>
          <t>Week</t>
        </is>
      </c>
      <c r="C3830" s="19" t="n">
        <v>9</v>
      </c>
      <c r="D3830" s="19" t="n">
        <v>2027</v>
      </c>
      <c r="E3830" s="57" t="n">
        <v>4</v>
      </c>
      <c r="F3830" s="29">
        <f>ROUND(((SUMIFS(Calendar!$F$2:$F$9997,Calendar!$B$2:$B$9997,D3830,Calendar!$C$2:$C$9997,C3830)*INDEX(ForeCalc!$B$37:$Y$274,MATCH(_xlfn.CONCAT(H3830," ",I3830),ForeCalc!$A$37:$A$274,0),MATCH(_xlfn.CONCAT(B3830," ",E3830),ForeCalc!$B$36:$Y$36,0))))*VLOOKUP(A3830,Calendar!$A$2:$H$9997,8,FALSE),0)</f>
        <v/>
      </c>
      <c r="G3830" s="29">
        <f>VLOOKUP(A3830,Calendar!$A$1:$H$9997,6,FALSE)-F3830</f>
        <v/>
      </c>
      <c r="H3830" s="19" t="n">
        <v>2</v>
      </c>
      <c r="I3830" s="57" t="n">
        <v>6</v>
      </c>
    </row>
    <row r="3831">
      <c r="A3831" s="62" t="n">
        <v>46654</v>
      </c>
      <c r="B3831" s="3" t="inlineStr">
        <is>
          <t>Week</t>
        </is>
      </c>
      <c r="C3831" s="19" t="n">
        <v>9</v>
      </c>
      <c r="D3831" s="19" t="n">
        <v>2027</v>
      </c>
      <c r="E3831" s="57" t="n">
        <v>4</v>
      </c>
      <c r="F3831" s="29">
        <f>ROUND(((SUMIFS(Calendar!$F$2:$F$9997,Calendar!$B$2:$B$9997,D3831,Calendar!$C$2:$C$9997,C3831)*INDEX(ForeCalc!$B$37:$Y$274,MATCH(_xlfn.CONCAT(H3831," ",I3831),ForeCalc!$A$37:$A$274,0),MATCH(_xlfn.CONCAT(B3831," ",E3831),ForeCalc!$B$36:$Y$36,0))))*VLOOKUP(A3831,Calendar!$A$2:$H$9997,8,FALSE),0)</f>
        <v/>
      </c>
      <c r="G3831" s="29">
        <f>VLOOKUP(A3831,Calendar!$A$1:$H$9997,6,FALSE)-F3831</f>
        <v/>
      </c>
      <c r="H3831" s="19" t="n">
        <v>2</v>
      </c>
      <c r="I3831" s="57" t="n">
        <v>6</v>
      </c>
    </row>
    <row r="3832">
      <c r="A3832" s="62" t="n">
        <v>46655</v>
      </c>
      <c r="B3832" s="3" t="inlineStr">
        <is>
          <t>Sat</t>
        </is>
      </c>
      <c r="C3832" s="19" t="n">
        <v>9</v>
      </c>
      <c r="D3832" s="19" t="n">
        <v>2027</v>
      </c>
      <c r="E3832" s="57" t="n">
        <v>4</v>
      </c>
      <c r="F3832" s="29">
        <f>ROUND(((SUMIFS(Calendar!$F$2:$F$9997,Calendar!$B$2:$B$9997,D3832,Calendar!$C$2:$C$9997,C3832)*INDEX(ForeCalc!$B$37:$Y$274,MATCH(_xlfn.CONCAT(H3832," ",I3832),ForeCalc!$A$37:$A$274,0),MATCH(_xlfn.CONCAT(B3832," ",E3832),ForeCalc!$B$36:$Y$36,0))))*VLOOKUP(A3832,Calendar!$A$2:$H$9997,8,FALSE),0)</f>
        <v/>
      </c>
      <c r="G3832" s="29">
        <f>VLOOKUP(A3832,Calendar!$A$1:$H$9997,6,FALSE)-F3832</f>
        <v/>
      </c>
      <c r="H3832" s="19" t="n">
        <v>2</v>
      </c>
      <c r="I3832" s="57" t="n">
        <v>6</v>
      </c>
    </row>
    <row r="3833">
      <c r="A3833" s="62" t="n">
        <v>46656</v>
      </c>
      <c r="B3833" s="3" t="inlineStr">
        <is>
          <t>Sun</t>
        </is>
      </c>
      <c r="C3833" s="19" t="n">
        <v>9</v>
      </c>
      <c r="D3833" s="19" t="n">
        <v>2027</v>
      </c>
      <c r="E3833" s="57" t="n">
        <v>4</v>
      </c>
      <c r="F3833" s="29">
        <f>ROUND(((SUMIFS(Calendar!$F$2:$F$9997,Calendar!$B$2:$B$9997,D3833,Calendar!$C$2:$C$9997,C3833)*INDEX(ForeCalc!$B$37:$Y$274,MATCH(_xlfn.CONCAT(H3833," ",I3833),ForeCalc!$A$37:$A$274,0),MATCH(_xlfn.CONCAT(B3833," ",E3833),ForeCalc!$B$36:$Y$36,0))))*VLOOKUP(A3833,Calendar!$A$2:$H$9997,8,FALSE),0)</f>
        <v/>
      </c>
      <c r="G3833" s="29">
        <f>VLOOKUP(A3833,Calendar!$A$1:$H$9997,6,FALSE)-F3833</f>
        <v/>
      </c>
      <c r="H3833" s="19" t="n">
        <v>2</v>
      </c>
      <c r="I3833" s="57" t="n">
        <v>6</v>
      </c>
    </row>
    <row r="3834">
      <c r="A3834" s="62" t="n">
        <v>46657</v>
      </c>
      <c r="B3834" s="3" t="inlineStr">
        <is>
          <t>Week</t>
        </is>
      </c>
      <c r="C3834" s="19" t="n">
        <v>9</v>
      </c>
      <c r="D3834" s="19" t="n">
        <v>2027</v>
      </c>
      <c r="E3834" s="57" t="n">
        <v>4</v>
      </c>
      <c r="F3834" s="29">
        <f>ROUND(((SUMIFS(Calendar!$F$2:$F$9997,Calendar!$B$2:$B$9997,D3834,Calendar!$C$2:$C$9997,C3834)*INDEX(ForeCalc!$B$37:$Y$274,MATCH(_xlfn.CONCAT(H3834," ",I3834),ForeCalc!$A$37:$A$274,0),MATCH(_xlfn.CONCAT(B3834," ",E3834),ForeCalc!$B$36:$Y$36,0))))*VLOOKUP(A3834,Calendar!$A$2:$H$9997,8,FALSE),0)</f>
        <v/>
      </c>
      <c r="G3834" s="29">
        <f>VLOOKUP(A3834,Calendar!$A$1:$H$9997,6,FALSE)-F3834</f>
        <v/>
      </c>
      <c r="H3834" s="19" t="n">
        <v>2</v>
      </c>
      <c r="I3834" s="57" t="n">
        <v>6</v>
      </c>
    </row>
    <row r="3835">
      <c r="A3835" s="62" t="n">
        <v>46658</v>
      </c>
      <c r="B3835" s="3" t="inlineStr">
        <is>
          <t>Week</t>
        </is>
      </c>
      <c r="C3835" s="19" t="n">
        <v>9</v>
      </c>
      <c r="D3835" s="19" t="n">
        <v>2027</v>
      </c>
      <c r="E3835" s="57" t="n">
        <v>4</v>
      </c>
      <c r="F3835" s="29">
        <f>ROUND(((SUMIFS(Calendar!$F$2:$F$9997,Calendar!$B$2:$B$9997,D3835,Calendar!$C$2:$C$9997,C3835)*INDEX(ForeCalc!$B$37:$Y$274,MATCH(_xlfn.CONCAT(H3835," ",I3835),ForeCalc!$A$37:$A$274,0),MATCH(_xlfn.CONCAT(B3835," ",E3835),ForeCalc!$B$36:$Y$36,0))))*VLOOKUP(A3835,Calendar!$A$2:$H$9997,8,FALSE),0)</f>
        <v/>
      </c>
      <c r="G3835" s="29">
        <f>VLOOKUP(A3835,Calendar!$A$1:$H$9997,6,FALSE)-F3835</f>
        <v/>
      </c>
      <c r="H3835" s="19" t="n">
        <v>2</v>
      </c>
      <c r="I3835" s="57" t="n">
        <v>6</v>
      </c>
    </row>
    <row r="3836">
      <c r="A3836" s="62" t="n">
        <v>46659</v>
      </c>
      <c r="B3836" s="3" t="inlineStr">
        <is>
          <t>Week</t>
        </is>
      </c>
      <c r="C3836" s="19" t="n">
        <v>9</v>
      </c>
      <c r="D3836" s="19" t="n">
        <v>2027</v>
      </c>
      <c r="E3836" s="57" t="n">
        <v>4</v>
      </c>
      <c r="F3836" s="29">
        <f>ROUND(((SUMIFS(Calendar!$F$2:$F$9997,Calendar!$B$2:$B$9997,D3836,Calendar!$C$2:$C$9997,C3836)*INDEX(ForeCalc!$B$37:$Y$274,MATCH(_xlfn.CONCAT(H3836," ",I3836),ForeCalc!$A$37:$A$274,0),MATCH(_xlfn.CONCAT(B3836," ",E3836),ForeCalc!$B$36:$Y$36,0))))*VLOOKUP(A3836,Calendar!$A$2:$H$9997,8,FALSE),0)</f>
        <v/>
      </c>
      <c r="G3836" s="29">
        <f>VLOOKUP(A3836,Calendar!$A$1:$H$9997,6,FALSE)-F3836</f>
        <v/>
      </c>
      <c r="H3836" s="19" t="n">
        <v>2</v>
      </c>
      <c r="I3836" s="57" t="n">
        <v>6</v>
      </c>
    </row>
    <row r="3837">
      <c r="A3837" s="62" t="n">
        <v>46660</v>
      </c>
      <c r="B3837" s="3" t="inlineStr">
        <is>
          <t>Week</t>
        </is>
      </c>
      <c r="C3837" s="19" t="n">
        <v>9</v>
      </c>
      <c r="D3837" s="19" t="n">
        <v>2027</v>
      </c>
      <c r="E3837" s="57" t="n">
        <v>4</v>
      </c>
      <c r="F3837" s="29">
        <f>ROUND(((SUMIFS(Calendar!$F$2:$F$9997,Calendar!$B$2:$B$9997,D3837,Calendar!$C$2:$C$9997,C3837)*INDEX(ForeCalc!$B$37:$Y$274,MATCH(_xlfn.CONCAT(H3837," ",I3837),ForeCalc!$A$37:$A$274,0),MATCH(_xlfn.CONCAT(B3837," ",E3837),ForeCalc!$B$36:$Y$36,0))))*VLOOKUP(A3837,Calendar!$A$2:$H$9997,8,FALSE),0)</f>
        <v/>
      </c>
      <c r="G3837" s="29">
        <f>VLOOKUP(A3837,Calendar!$A$1:$H$9997,6,FALSE)-F3837</f>
        <v/>
      </c>
      <c r="H3837" s="19" t="n">
        <v>2</v>
      </c>
      <c r="I3837" s="57" t="n">
        <v>6</v>
      </c>
    </row>
    <row r="3838">
      <c r="A3838" s="62" t="n">
        <v>46661</v>
      </c>
      <c r="B3838" s="3" t="inlineStr">
        <is>
          <t>Week</t>
        </is>
      </c>
      <c r="C3838" s="19" t="n">
        <v>10</v>
      </c>
      <c r="D3838" s="19" t="n">
        <v>2027</v>
      </c>
      <c r="E3838" s="57" t="n">
        <v>4</v>
      </c>
      <c r="F3838" s="29">
        <f>ROUND(((SUMIFS(Calendar!$F$2:$F$9997,Calendar!$B$2:$B$9997,D3838,Calendar!$C$2:$C$9997,C3838)*INDEX(ForeCalc!$B$37:$Y$274,MATCH(_xlfn.CONCAT(H3838," ",I3838),ForeCalc!$A$37:$A$274,0),MATCH(_xlfn.CONCAT(B3838," ",E3838),ForeCalc!$B$36:$Y$36,0))))*VLOOKUP(A3838,Calendar!$A$2:$H$9997,8,FALSE),0)</f>
        <v/>
      </c>
      <c r="G3838" s="29">
        <f>VLOOKUP(A3838,Calendar!$A$1:$H$9997,6,FALSE)-F3838</f>
        <v/>
      </c>
      <c r="H3838" s="19" t="n">
        <v>2</v>
      </c>
      <c r="I3838" s="57" t="n">
        <v>7</v>
      </c>
    </row>
    <row r="3839">
      <c r="A3839" s="62" t="n">
        <v>46662</v>
      </c>
      <c r="B3839" s="3" t="inlineStr">
        <is>
          <t>Sat</t>
        </is>
      </c>
      <c r="C3839" s="19" t="n">
        <v>10</v>
      </c>
      <c r="D3839" s="19" t="n">
        <v>2027</v>
      </c>
      <c r="E3839" s="57" t="n">
        <v>4</v>
      </c>
      <c r="F3839" s="29">
        <f>ROUND(((SUMIFS(Calendar!$F$2:$F$9997,Calendar!$B$2:$B$9997,D3839,Calendar!$C$2:$C$9997,C3839)*INDEX(ForeCalc!$B$37:$Y$274,MATCH(_xlfn.CONCAT(H3839," ",I3839),ForeCalc!$A$37:$A$274,0),MATCH(_xlfn.CONCAT(B3839," ",E3839),ForeCalc!$B$36:$Y$36,0))))*VLOOKUP(A3839,Calendar!$A$2:$H$9997,8,FALSE),0)</f>
        <v/>
      </c>
      <c r="G3839" s="29">
        <f>VLOOKUP(A3839,Calendar!$A$1:$H$9997,6,FALSE)-F3839</f>
        <v/>
      </c>
      <c r="H3839" s="19" t="n">
        <v>2</v>
      </c>
      <c r="I3839" s="57" t="n">
        <v>7</v>
      </c>
    </row>
    <row r="3840">
      <c r="A3840" s="62" t="n">
        <v>46663</v>
      </c>
      <c r="B3840" s="3" t="inlineStr">
        <is>
          <t>Sun</t>
        </is>
      </c>
      <c r="C3840" s="19" t="n">
        <v>10</v>
      </c>
      <c r="D3840" s="19" t="n">
        <v>2027</v>
      </c>
      <c r="E3840" s="57" t="n">
        <v>4</v>
      </c>
      <c r="F3840" s="29">
        <f>ROUND(((SUMIFS(Calendar!$F$2:$F$9997,Calendar!$B$2:$B$9997,D3840,Calendar!$C$2:$C$9997,C3840)*INDEX(ForeCalc!$B$37:$Y$274,MATCH(_xlfn.CONCAT(H3840," ",I3840),ForeCalc!$A$37:$A$274,0),MATCH(_xlfn.CONCAT(B3840," ",E3840),ForeCalc!$B$36:$Y$36,0))))*VLOOKUP(A3840,Calendar!$A$2:$H$9997,8,FALSE),0)</f>
        <v/>
      </c>
      <c r="G3840" s="29">
        <f>VLOOKUP(A3840,Calendar!$A$1:$H$9997,6,FALSE)-F3840</f>
        <v/>
      </c>
      <c r="H3840" s="19" t="n">
        <v>2</v>
      </c>
      <c r="I3840" s="57" t="n">
        <v>7</v>
      </c>
    </row>
    <row r="3841">
      <c r="A3841" s="62" t="n">
        <v>46664</v>
      </c>
      <c r="B3841" s="3" t="inlineStr">
        <is>
          <t>Week</t>
        </is>
      </c>
      <c r="C3841" s="19" t="n">
        <v>10</v>
      </c>
      <c r="D3841" s="19" t="n">
        <v>2027</v>
      </c>
      <c r="E3841" s="57" t="n">
        <v>4</v>
      </c>
      <c r="F3841" s="29">
        <f>ROUND(((SUMIFS(Calendar!$F$2:$F$9997,Calendar!$B$2:$B$9997,D3841,Calendar!$C$2:$C$9997,C3841)*INDEX(ForeCalc!$B$37:$Y$274,MATCH(_xlfn.CONCAT(H3841," ",I3841),ForeCalc!$A$37:$A$274,0),MATCH(_xlfn.CONCAT(B3841," ",E3841),ForeCalc!$B$36:$Y$36,0))))*VLOOKUP(A3841,Calendar!$A$2:$H$9997,8,FALSE),0)</f>
        <v/>
      </c>
      <c r="G3841" s="29">
        <f>VLOOKUP(A3841,Calendar!$A$1:$H$9997,6,FALSE)-F3841</f>
        <v/>
      </c>
      <c r="H3841" s="19" t="n">
        <v>2</v>
      </c>
      <c r="I3841" s="57" t="n">
        <v>7</v>
      </c>
    </row>
    <row r="3842">
      <c r="A3842" s="62" t="n">
        <v>46665</v>
      </c>
      <c r="B3842" s="3" t="inlineStr">
        <is>
          <t>Week</t>
        </is>
      </c>
      <c r="C3842" s="19" t="n">
        <v>10</v>
      </c>
      <c r="D3842" s="19" t="n">
        <v>2027</v>
      </c>
      <c r="E3842" s="57" t="n">
        <v>4</v>
      </c>
      <c r="F3842" s="29">
        <f>ROUND(((SUMIFS(Calendar!$F$2:$F$9997,Calendar!$B$2:$B$9997,D3842,Calendar!$C$2:$C$9997,C3842)*INDEX(ForeCalc!$B$37:$Y$274,MATCH(_xlfn.CONCAT(H3842," ",I3842),ForeCalc!$A$37:$A$274,0),MATCH(_xlfn.CONCAT(B3842," ",E3842),ForeCalc!$B$36:$Y$36,0))))*VLOOKUP(A3842,Calendar!$A$2:$H$9997,8,FALSE),0)</f>
        <v/>
      </c>
      <c r="G3842" s="29">
        <f>VLOOKUP(A3842,Calendar!$A$1:$H$9997,6,FALSE)-F3842</f>
        <v/>
      </c>
      <c r="H3842" s="19" t="n">
        <v>2</v>
      </c>
      <c r="I3842" s="57" t="n">
        <v>7</v>
      </c>
    </row>
    <row r="3843">
      <c r="A3843" s="62" t="n">
        <v>46666</v>
      </c>
      <c r="B3843" s="3" t="inlineStr">
        <is>
          <t>Week</t>
        </is>
      </c>
      <c r="C3843" s="19" t="n">
        <v>10</v>
      </c>
      <c r="D3843" s="19" t="n">
        <v>2027</v>
      </c>
      <c r="E3843" s="57" t="n">
        <v>4</v>
      </c>
      <c r="F3843" s="29">
        <f>ROUND(((SUMIFS(Calendar!$F$2:$F$9997,Calendar!$B$2:$B$9997,D3843,Calendar!$C$2:$C$9997,C3843)*INDEX(ForeCalc!$B$37:$Y$274,MATCH(_xlfn.CONCAT(H3843," ",I3843),ForeCalc!$A$37:$A$274,0),MATCH(_xlfn.CONCAT(B3843," ",E3843),ForeCalc!$B$36:$Y$36,0))))*VLOOKUP(A3843,Calendar!$A$2:$H$9997,8,FALSE),0)</f>
        <v/>
      </c>
      <c r="G3843" s="29">
        <f>VLOOKUP(A3843,Calendar!$A$1:$H$9997,6,FALSE)-F3843</f>
        <v/>
      </c>
      <c r="H3843" s="19" t="n">
        <v>2</v>
      </c>
      <c r="I3843" s="57" t="n">
        <v>7</v>
      </c>
    </row>
    <row r="3844">
      <c r="A3844" s="62" t="n">
        <v>46667</v>
      </c>
      <c r="B3844" s="3" t="inlineStr">
        <is>
          <t>Week</t>
        </is>
      </c>
      <c r="C3844" s="19" t="n">
        <v>10</v>
      </c>
      <c r="D3844" s="19" t="n">
        <v>2027</v>
      </c>
      <c r="E3844" s="57" t="n">
        <v>4</v>
      </c>
      <c r="F3844" s="29">
        <f>ROUND(((SUMIFS(Calendar!$F$2:$F$9997,Calendar!$B$2:$B$9997,D3844,Calendar!$C$2:$C$9997,C3844)*INDEX(ForeCalc!$B$37:$Y$274,MATCH(_xlfn.CONCAT(H3844," ",I3844),ForeCalc!$A$37:$A$274,0),MATCH(_xlfn.CONCAT(B3844," ",E3844),ForeCalc!$B$36:$Y$36,0))))*VLOOKUP(A3844,Calendar!$A$2:$H$9997,8,FALSE),0)</f>
        <v/>
      </c>
      <c r="G3844" s="29">
        <f>VLOOKUP(A3844,Calendar!$A$1:$H$9997,6,FALSE)-F3844</f>
        <v/>
      </c>
      <c r="H3844" s="19" t="n">
        <v>2</v>
      </c>
      <c r="I3844" s="57" t="n">
        <v>7</v>
      </c>
    </row>
    <row r="3845">
      <c r="A3845" s="62" t="n">
        <v>46668</v>
      </c>
      <c r="B3845" s="3" t="inlineStr">
        <is>
          <t>Week</t>
        </is>
      </c>
      <c r="C3845" s="19" t="n">
        <v>10</v>
      </c>
      <c r="D3845" s="19" t="n">
        <v>2027</v>
      </c>
      <c r="E3845" s="57" t="n">
        <v>4</v>
      </c>
      <c r="F3845" s="29">
        <f>ROUND(((SUMIFS(Calendar!$F$2:$F$9997,Calendar!$B$2:$B$9997,D3845,Calendar!$C$2:$C$9997,C3845)*INDEX(ForeCalc!$B$37:$Y$274,MATCH(_xlfn.CONCAT(H3845," ",I3845),ForeCalc!$A$37:$A$274,0),MATCH(_xlfn.CONCAT(B3845," ",E3845),ForeCalc!$B$36:$Y$36,0))))*VLOOKUP(A3845,Calendar!$A$2:$H$9997,8,FALSE),0)</f>
        <v/>
      </c>
      <c r="G3845" s="29">
        <f>VLOOKUP(A3845,Calendar!$A$1:$H$9997,6,FALSE)-F3845</f>
        <v/>
      </c>
      <c r="H3845" s="19" t="n">
        <v>2</v>
      </c>
      <c r="I3845" s="57" t="n">
        <v>7</v>
      </c>
    </row>
    <row r="3846">
      <c r="A3846" s="62" t="n">
        <v>46669</v>
      </c>
      <c r="B3846" s="3" t="inlineStr">
        <is>
          <t>Sat</t>
        </is>
      </c>
      <c r="C3846" s="19" t="n">
        <v>10</v>
      </c>
      <c r="D3846" s="19" t="n">
        <v>2027</v>
      </c>
      <c r="E3846" s="57" t="n">
        <v>4</v>
      </c>
      <c r="F3846" s="29">
        <f>ROUND(((SUMIFS(Calendar!$F$2:$F$9997,Calendar!$B$2:$B$9997,D3846,Calendar!$C$2:$C$9997,C3846)*INDEX(ForeCalc!$B$37:$Y$274,MATCH(_xlfn.CONCAT(H3846," ",I3846),ForeCalc!$A$37:$A$274,0),MATCH(_xlfn.CONCAT(B3846," ",E3846),ForeCalc!$B$36:$Y$36,0))))*VLOOKUP(A3846,Calendar!$A$2:$H$9997,8,FALSE),0)</f>
        <v/>
      </c>
      <c r="G3846" s="29">
        <f>VLOOKUP(A3846,Calendar!$A$1:$H$9997,6,FALSE)-F3846</f>
        <v/>
      </c>
      <c r="H3846" s="19" t="n">
        <v>2</v>
      </c>
      <c r="I3846" s="57" t="n">
        <v>7</v>
      </c>
    </row>
    <row r="3847">
      <c r="A3847" s="62" t="n">
        <v>46670</v>
      </c>
      <c r="B3847" s="3" t="inlineStr">
        <is>
          <t>Sun</t>
        </is>
      </c>
      <c r="C3847" s="19" t="n">
        <v>10</v>
      </c>
      <c r="D3847" s="19" t="n">
        <v>2027</v>
      </c>
      <c r="E3847" s="57" t="n">
        <v>4</v>
      </c>
      <c r="F3847" s="29">
        <f>ROUND(((SUMIFS(Calendar!$F$2:$F$9997,Calendar!$B$2:$B$9997,D3847,Calendar!$C$2:$C$9997,C3847)*INDEX(ForeCalc!$B$37:$Y$274,MATCH(_xlfn.CONCAT(H3847," ",I3847),ForeCalc!$A$37:$A$274,0),MATCH(_xlfn.CONCAT(B3847," ",E3847),ForeCalc!$B$36:$Y$36,0))))*VLOOKUP(A3847,Calendar!$A$2:$H$9997,8,FALSE),0)</f>
        <v/>
      </c>
      <c r="G3847" s="29">
        <f>VLOOKUP(A3847,Calendar!$A$1:$H$9997,6,FALSE)-F3847</f>
        <v/>
      </c>
      <c r="H3847" s="19" t="n">
        <v>2</v>
      </c>
      <c r="I3847" s="57" t="n">
        <v>7</v>
      </c>
    </row>
    <row r="3848">
      <c r="A3848" s="62" t="n">
        <v>46671</v>
      </c>
      <c r="B3848" s="3" t="inlineStr">
        <is>
          <t>Week</t>
        </is>
      </c>
      <c r="C3848" s="19" t="n">
        <v>10</v>
      </c>
      <c r="D3848" s="19" t="n">
        <v>2027</v>
      </c>
      <c r="E3848" s="57" t="n">
        <v>4</v>
      </c>
      <c r="F3848" s="29">
        <f>ROUND(((SUMIFS(Calendar!$F$2:$F$9997,Calendar!$B$2:$B$9997,D3848,Calendar!$C$2:$C$9997,C3848)*INDEX(ForeCalc!$B$37:$Y$274,MATCH(_xlfn.CONCAT(H3848," ",I3848),ForeCalc!$A$37:$A$274,0),MATCH(_xlfn.CONCAT(B3848," ",E3848),ForeCalc!$B$36:$Y$36,0))))*VLOOKUP(A3848,Calendar!$A$2:$H$9997,8,FALSE),0)</f>
        <v/>
      </c>
      <c r="G3848" s="29">
        <f>VLOOKUP(A3848,Calendar!$A$1:$H$9997,6,FALSE)-F3848</f>
        <v/>
      </c>
      <c r="H3848" s="19" t="n">
        <v>2</v>
      </c>
      <c r="I3848" s="57" t="n">
        <v>7</v>
      </c>
    </row>
    <row r="3849">
      <c r="A3849" s="62" t="n">
        <v>46672</v>
      </c>
      <c r="B3849" s="3" t="inlineStr">
        <is>
          <t>Week</t>
        </is>
      </c>
      <c r="C3849" s="19" t="n">
        <v>10</v>
      </c>
      <c r="D3849" s="19" t="n">
        <v>2027</v>
      </c>
      <c r="E3849" s="57" t="n">
        <v>4</v>
      </c>
      <c r="F3849" s="29">
        <f>ROUND(((SUMIFS(Calendar!$F$2:$F$9997,Calendar!$B$2:$B$9997,D3849,Calendar!$C$2:$C$9997,C3849)*INDEX(ForeCalc!$B$37:$Y$274,MATCH(_xlfn.CONCAT(H3849," ",I3849),ForeCalc!$A$37:$A$274,0),MATCH(_xlfn.CONCAT(B3849," ",E3849),ForeCalc!$B$36:$Y$36,0))))*VLOOKUP(A3849,Calendar!$A$2:$H$9997,8,FALSE),0)</f>
        <v/>
      </c>
      <c r="G3849" s="29">
        <f>VLOOKUP(A3849,Calendar!$A$1:$H$9997,6,FALSE)-F3849</f>
        <v/>
      </c>
      <c r="H3849" s="19" t="n">
        <v>2</v>
      </c>
      <c r="I3849" s="57" t="n">
        <v>7</v>
      </c>
    </row>
    <row r="3850">
      <c r="A3850" s="62" t="n">
        <v>46673</v>
      </c>
      <c r="B3850" s="3" t="inlineStr">
        <is>
          <t>Week</t>
        </is>
      </c>
      <c r="C3850" s="19" t="n">
        <v>10</v>
      </c>
      <c r="D3850" s="19" t="n">
        <v>2027</v>
      </c>
      <c r="E3850" s="57" t="n">
        <v>4</v>
      </c>
      <c r="F3850" s="29">
        <f>ROUND(((SUMIFS(Calendar!$F$2:$F$9997,Calendar!$B$2:$B$9997,D3850,Calendar!$C$2:$C$9997,C3850)*INDEX(ForeCalc!$B$37:$Y$274,MATCH(_xlfn.CONCAT(H3850," ",I3850),ForeCalc!$A$37:$A$274,0),MATCH(_xlfn.CONCAT(B3850," ",E3850),ForeCalc!$B$36:$Y$36,0))))*VLOOKUP(A3850,Calendar!$A$2:$H$9997,8,FALSE),0)</f>
        <v/>
      </c>
      <c r="G3850" s="29">
        <f>VLOOKUP(A3850,Calendar!$A$1:$H$9997,6,FALSE)-F3850</f>
        <v/>
      </c>
      <c r="H3850" s="19" t="n">
        <v>2</v>
      </c>
      <c r="I3850" s="57" t="n">
        <v>7</v>
      </c>
    </row>
    <row r="3851">
      <c r="A3851" s="62" t="n">
        <v>46674</v>
      </c>
      <c r="B3851" s="3" t="inlineStr">
        <is>
          <t>Week</t>
        </is>
      </c>
      <c r="C3851" s="19" t="n">
        <v>10</v>
      </c>
      <c r="D3851" s="19" t="n">
        <v>2027</v>
      </c>
      <c r="E3851" s="57" t="n">
        <v>4</v>
      </c>
      <c r="F3851" s="29">
        <f>ROUND(((SUMIFS(Calendar!$F$2:$F$9997,Calendar!$B$2:$B$9997,D3851,Calendar!$C$2:$C$9997,C3851)*INDEX(ForeCalc!$B$37:$Y$274,MATCH(_xlfn.CONCAT(H3851," ",I3851),ForeCalc!$A$37:$A$274,0),MATCH(_xlfn.CONCAT(B3851," ",E3851),ForeCalc!$B$36:$Y$36,0))))*VLOOKUP(A3851,Calendar!$A$2:$H$9997,8,FALSE),0)</f>
        <v/>
      </c>
      <c r="G3851" s="29">
        <f>VLOOKUP(A3851,Calendar!$A$1:$H$9997,6,FALSE)-F3851</f>
        <v/>
      </c>
      <c r="H3851" s="19" t="n">
        <v>2</v>
      </c>
      <c r="I3851" s="57" t="n">
        <v>7</v>
      </c>
    </row>
    <row r="3852">
      <c r="A3852" s="62" t="n">
        <v>46675</v>
      </c>
      <c r="B3852" s="3" t="inlineStr">
        <is>
          <t>Week</t>
        </is>
      </c>
      <c r="C3852" s="19" t="n">
        <v>10</v>
      </c>
      <c r="D3852" s="19" t="n">
        <v>2027</v>
      </c>
      <c r="E3852" s="57" t="n">
        <v>4</v>
      </c>
      <c r="F3852" s="29">
        <f>ROUND(((SUMIFS(Calendar!$F$2:$F$9997,Calendar!$B$2:$B$9997,D3852,Calendar!$C$2:$C$9997,C3852)*INDEX(ForeCalc!$B$37:$Y$274,MATCH(_xlfn.CONCAT(H3852," ",I3852),ForeCalc!$A$37:$A$274,0),MATCH(_xlfn.CONCAT(B3852," ",E3852),ForeCalc!$B$36:$Y$36,0))))*VLOOKUP(A3852,Calendar!$A$2:$H$9997,8,FALSE),0)</f>
        <v/>
      </c>
      <c r="G3852" s="29">
        <f>VLOOKUP(A3852,Calendar!$A$1:$H$9997,6,FALSE)-F3852</f>
        <v/>
      </c>
      <c r="H3852" s="19" t="n">
        <v>2</v>
      </c>
      <c r="I3852" s="57" t="n">
        <v>7</v>
      </c>
    </row>
    <row r="3853">
      <c r="A3853" s="62" t="n">
        <v>46676</v>
      </c>
      <c r="B3853" s="3" t="inlineStr">
        <is>
          <t>Sat</t>
        </is>
      </c>
      <c r="C3853" s="19" t="n">
        <v>10</v>
      </c>
      <c r="D3853" s="19" t="n">
        <v>2027</v>
      </c>
      <c r="E3853" s="57" t="n">
        <v>4</v>
      </c>
      <c r="F3853" s="29">
        <f>ROUND(((SUMIFS(Calendar!$F$2:$F$9997,Calendar!$B$2:$B$9997,D3853,Calendar!$C$2:$C$9997,C3853)*INDEX(ForeCalc!$B$37:$Y$274,MATCH(_xlfn.CONCAT(H3853," ",I3853),ForeCalc!$A$37:$A$274,0),MATCH(_xlfn.CONCAT(B3853," ",E3853),ForeCalc!$B$36:$Y$36,0))))*VLOOKUP(A3853,Calendar!$A$2:$H$9997,8,FALSE),0)</f>
        <v/>
      </c>
      <c r="G3853" s="29">
        <f>VLOOKUP(A3853,Calendar!$A$1:$H$9997,6,FALSE)-F3853</f>
        <v/>
      </c>
      <c r="H3853" s="19" t="n">
        <v>2</v>
      </c>
      <c r="I3853" s="57" t="n">
        <v>7</v>
      </c>
    </row>
    <row r="3854">
      <c r="A3854" s="62" t="n">
        <v>46677</v>
      </c>
      <c r="B3854" s="3" t="inlineStr">
        <is>
          <t>Sun</t>
        </is>
      </c>
      <c r="C3854" s="19" t="n">
        <v>10</v>
      </c>
      <c r="D3854" s="19" t="n">
        <v>2027</v>
      </c>
      <c r="E3854" s="57" t="n">
        <v>4</v>
      </c>
      <c r="F3854" s="29">
        <f>ROUND(((SUMIFS(Calendar!$F$2:$F$9997,Calendar!$B$2:$B$9997,D3854,Calendar!$C$2:$C$9997,C3854)*INDEX(ForeCalc!$B$37:$Y$274,MATCH(_xlfn.CONCAT(H3854," ",I3854),ForeCalc!$A$37:$A$274,0),MATCH(_xlfn.CONCAT(B3854," ",E3854),ForeCalc!$B$36:$Y$36,0))))*VLOOKUP(A3854,Calendar!$A$2:$H$9997,8,FALSE),0)</f>
        <v/>
      </c>
      <c r="G3854" s="29">
        <f>VLOOKUP(A3854,Calendar!$A$1:$H$9997,6,FALSE)-F3854</f>
        <v/>
      </c>
      <c r="H3854" s="19" t="n">
        <v>2</v>
      </c>
      <c r="I3854" s="57" t="n">
        <v>7</v>
      </c>
    </row>
    <row r="3855">
      <c r="A3855" s="62" t="n">
        <v>46678</v>
      </c>
      <c r="B3855" s="3" t="inlineStr">
        <is>
          <t>Week</t>
        </is>
      </c>
      <c r="C3855" s="19" t="n">
        <v>10</v>
      </c>
      <c r="D3855" s="19" t="n">
        <v>2027</v>
      </c>
      <c r="E3855" s="57" t="n">
        <v>4</v>
      </c>
      <c r="F3855" s="29">
        <f>ROUND(((SUMIFS(Calendar!$F$2:$F$9997,Calendar!$B$2:$B$9997,D3855,Calendar!$C$2:$C$9997,C3855)*INDEX(ForeCalc!$B$37:$Y$274,MATCH(_xlfn.CONCAT(H3855," ",I3855),ForeCalc!$A$37:$A$274,0),MATCH(_xlfn.CONCAT(B3855," ",E3855),ForeCalc!$B$36:$Y$36,0))))*VLOOKUP(A3855,Calendar!$A$2:$H$9997,8,FALSE),0)</f>
        <v/>
      </c>
      <c r="G3855" s="29">
        <f>VLOOKUP(A3855,Calendar!$A$1:$H$9997,6,FALSE)-F3855</f>
        <v/>
      </c>
      <c r="H3855" s="19" t="n">
        <v>2</v>
      </c>
      <c r="I3855" s="57" t="n">
        <v>7</v>
      </c>
    </row>
    <row r="3856">
      <c r="A3856" s="62" t="n">
        <v>46679</v>
      </c>
      <c r="B3856" s="3" t="inlineStr">
        <is>
          <t>Week</t>
        </is>
      </c>
      <c r="C3856" s="19" t="n">
        <v>10</v>
      </c>
      <c r="D3856" s="19" t="n">
        <v>2027</v>
      </c>
      <c r="E3856" s="57" t="n">
        <v>4</v>
      </c>
      <c r="F3856" s="29">
        <f>ROUND(((SUMIFS(Calendar!$F$2:$F$9997,Calendar!$B$2:$B$9997,D3856,Calendar!$C$2:$C$9997,C3856)*INDEX(ForeCalc!$B$37:$Y$274,MATCH(_xlfn.CONCAT(H3856," ",I3856),ForeCalc!$A$37:$A$274,0),MATCH(_xlfn.CONCAT(B3856," ",E3856),ForeCalc!$B$36:$Y$36,0))))*VLOOKUP(A3856,Calendar!$A$2:$H$9997,8,FALSE),0)</f>
        <v/>
      </c>
      <c r="G3856" s="29">
        <f>VLOOKUP(A3856,Calendar!$A$1:$H$9997,6,FALSE)-F3856</f>
        <v/>
      </c>
      <c r="H3856" s="19" t="n">
        <v>2</v>
      </c>
      <c r="I3856" s="57" t="n">
        <v>7</v>
      </c>
    </row>
    <row r="3857">
      <c r="A3857" s="62" t="n">
        <v>46680</v>
      </c>
      <c r="B3857" s="3" t="inlineStr">
        <is>
          <t>Week</t>
        </is>
      </c>
      <c r="C3857" s="19" t="n">
        <v>10</v>
      </c>
      <c r="D3857" s="19" t="n">
        <v>2027</v>
      </c>
      <c r="E3857" s="57" t="n">
        <v>4</v>
      </c>
      <c r="F3857" s="29">
        <f>ROUND(((SUMIFS(Calendar!$F$2:$F$9997,Calendar!$B$2:$B$9997,D3857,Calendar!$C$2:$C$9997,C3857)*INDEX(ForeCalc!$B$37:$Y$274,MATCH(_xlfn.CONCAT(H3857," ",I3857),ForeCalc!$A$37:$A$274,0),MATCH(_xlfn.CONCAT(B3857," ",E3857),ForeCalc!$B$36:$Y$36,0))))*VLOOKUP(A3857,Calendar!$A$2:$H$9997,8,FALSE),0)</f>
        <v/>
      </c>
      <c r="G3857" s="29">
        <f>VLOOKUP(A3857,Calendar!$A$1:$H$9997,6,FALSE)-F3857</f>
        <v/>
      </c>
      <c r="H3857" s="19" t="n">
        <v>2</v>
      </c>
      <c r="I3857" s="57" t="n">
        <v>7</v>
      </c>
    </row>
    <row r="3858">
      <c r="A3858" s="62" t="n">
        <v>46681</v>
      </c>
      <c r="B3858" s="3" t="inlineStr">
        <is>
          <t>Week</t>
        </is>
      </c>
      <c r="C3858" s="19" t="n">
        <v>10</v>
      </c>
      <c r="D3858" s="19" t="n">
        <v>2027</v>
      </c>
      <c r="E3858" s="57" t="n">
        <v>4</v>
      </c>
      <c r="F3858" s="29">
        <f>ROUND(((SUMIFS(Calendar!$F$2:$F$9997,Calendar!$B$2:$B$9997,D3858,Calendar!$C$2:$C$9997,C3858)*INDEX(ForeCalc!$B$37:$Y$274,MATCH(_xlfn.CONCAT(H3858," ",I3858),ForeCalc!$A$37:$A$274,0),MATCH(_xlfn.CONCAT(B3858," ",E3858),ForeCalc!$B$36:$Y$36,0))))*VLOOKUP(A3858,Calendar!$A$2:$H$9997,8,FALSE),0)</f>
        <v/>
      </c>
      <c r="G3858" s="29">
        <f>VLOOKUP(A3858,Calendar!$A$1:$H$9997,6,FALSE)-F3858</f>
        <v/>
      </c>
      <c r="H3858" s="19" t="n">
        <v>2</v>
      </c>
      <c r="I3858" s="57" t="n">
        <v>7</v>
      </c>
    </row>
    <row r="3859">
      <c r="A3859" s="62" t="n">
        <v>46682</v>
      </c>
      <c r="B3859" s="3" t="inlineStr">
        <is>
          <t>Week</t>
        </is>
      </c>
      <c r="C3859" s="19" t="n">
        <v>10</v>
      </c>
      <c r="D3859" s="19" t="n">
        <v>2027</v>
      </c>
      <c r="E3859" s="57" t="n">
        <v>4</v>
      </c>
      <c r="F3859" s="29">
        <f>ROUND(((SUMIFS(Calendar!$F$2:$F$9997,Calendar!$B$2:$B$9997,D3859,Calendar!$C$2:$C$9997,C3859)*INDEX(ForeCalc!$B$37:$Y$274,MATCH(_xlfn.CONCAT(H3859," ",I3859),ForeCalc!$A$37:$A$274,0),MATCH(_xlfn.CONCAT(B3859," ",E3859),ForeCalc!$B$36:$Y$36,0))))*VLOOKUP(A3859,Calendar!$A$2:$H$9997,8,FALSE),0)</f>
        <v/>
      </c>
      <c r="G3859" s="29">
        <f>VLOOKUP(A3859,Calendar!$A$1:$H$9997,6,FALSE)-F3859</f>
        <v/>
      </c>
      <c r="H3859" s="19" t="n">
        <v>2</v>
      </c>
      <c r="I3859" s="57" t="n">
        <v>7</v>
      </c>
    </row>
    <row r="3860">
      <c r="A3860" s="62" t="n">
        <v>46683</v>
      </c>
      <c r="B3860" s="3" t="inlineStr">
        <is>
          <t>Sat</t>
        </is>
      </c>
      <c r="C3860" s="19" t="n">
        <v>10</v>
      </c>
      <c r="D3860" s="19" t="n">
        <v>2027</v>
      </c>
      <c r="E3860" s="57" t="n">
        <v>4</v>
      </c>
      <c r="F3860" s="29">
        <f>ROUND(((SUMIFS(Calendar!$F$2:$F$9997,Calendar!$B$2:$B$9997,D3860,Calendar!$C$2:$C$9997,C3860)*INDEX(ForeCalc!$B$37:$Y$274,MATCH(_xlfn.CONCAT(H3860," ",I3860),ForeCalc!$A$37:$A$274,0),MATCH(_xlfn.CONCAT(B3860," ",E3860),ForeCalc!$B$36:$Y$36,0))))*VLOOKUP(A3860,Calendar!$A$2:$H$9997,8,FALSE),0)</f>
        <v/>
      </c>
      <c r="G3860" s="29">
        <f>VLOOKUP(A3860,Calendar!$A$1:$H$9997,6,FALSE)-F3860</f>
        <v/>
      </c>
      <c r="H3860" s="19" t="n">
        <v>2</v>
      </c>
      <c r="I3860" s="57" t="n">
        <v>7</v>
      </c>
    </row>
    <row r="3861">
      <c r="A3861" s="62" t="n">
        <v>46684</v>
      </c>
      <c r="B3861" s="3" t="inlineStr">
        <is>
          <t>Sun</t>
        </is>
      </c>
      <c r="C3861" s="19" t="n">
        <v>10</v>
      </c>
      <c r="D3861" s="19" t="n">
        <v>2027</v>
      </c>
      <c r="E3861" s="57" t="n">
        <v>4</v>
      </c>
      <c r="F3861" s="29">
        <f>ROUND(((SUMIFS(Calendar!$F$2:$F$9997,Calendar!$B$2:$B$9997,D3861,Calendar!$C$2:$C$9997,C3861)*INDEX(ForeCalc!$B$37:$Y$274,MATCH(_xlfn.CONCAT(H3861," ",I3861),ForeCalc!$A$37:$A$274,0),MATCH(_xlfn.CONCAT(B3861," ",E3861),ForeCalc!$B$36:$Y$36,0))))*VLOOKUP(A3861,Calendar!$A$2:$H$9997,8,FALSE),0)</f>
        <v/>
      </c>
      <c r="G3861" s="29">
        <f>VLOOKUP(A3861,Calendar!$A$1:$H$9997,6,FALSE)-F3861</f>
        <v/>
      </c>
      <c r="H3861" s="19" t="n">
        <v>2</v>
      </c>
      <c r="I3861" s="57" t="n">
        <v>7</v>
      </c>
    </row>
    <row r="3862">
      <c r="A3862" s="62" t="n">
        <v>46685</v>
      </c>
      <c r="B3862" s="3" t="inlineStr">
        <is>
          <t>Week</t>
        </is>
      </c>
      <c r="C3862" s="19" t="n">
        <v>10</v>
      </c>
      <c r="D3862" s="19" t="n">
        <v>2027</v>
      </c>
      <c r="E3862" s="57" t="n">
        <v>4</v>
      </c>
      <c r="F3862" s="29">
        <f>ROUND(((SUMIFS(Calendar!$F$2:$F$9997,Calendar!$B$2:$B$9997,D3862,Calendar!$C$2:$C$9997,C3862)*INDEX(ForeCalc!$B$37:$Y$274,MATCH(_xlfn.CONCAT(H3862," ",I3862),ForeCalc!$A$37:$A$274,0),MATCH(_xlfn.CONCAT(B3862," ",E3862),ForeCalc!$B$36:$Y$36,0))))*VLOOKUP(A3862,Calendar!$A$2:$H$9997,8,FALSE),0)</f>
        <v/>
      </c>
      <c r="G3862" s="29">
        <f>VLOOKUP(A3862,Calendar!$A$1:$H$9997,6,FALSE)-F3862</f>
        <v/>
      </c>
      <c r="H3862" s="19" t="n">
        <v>2</v>
      </c>
      <c r="I3862" s="57" t="n">
        <v>7</v>
      </c>
    </row>
    <row r="3863">
      <c r="A3863" s="62" t="n">
        <v>46686</v>
      </c>
      <c r="B3863" s="3" t="inlineStr">
        <is>
          <t>Week</t>
        </is>
      </c>
      <c r="C3863" s="19" t="n">
        <v>10</v>
      </c>
      <c r="D3863" s="19" t="n">
        <v>2027</v>
      </c>
      <c r="E3863" s="57" t="n">
        <v>4</v>
      </c>
      <c r="F3863" s="29">
        <f>ROUND(((SUMIFS(Calendar!$F$2:$F$9997,Calendar!$B$2:$B$9997,D3863,Calendar!$C$2:$C$9997,C3863)*INDEX(ForeCalc!$B$37:$Y$274,MATCH(_xlfn.CONCAT(H3863," ",I3863),ForeCalc!$A$37:$A$274,0),MATCH(_xlfn.CONCAT(B3863," ",E3863),ForeCalc!$B$36:$Y$36,0))))*VLOOKUP(A3863,Calendar!$A$2:$H$9997,8,FALSE),0)</f>
        <v/>
      </c>
      <c r="G3863" s="29">
        <f>VLOOKUP(A3863,Calendar!$A$1:$H$9997,6,FALSE)-F3863</f>
        <v/>
      </c>
      <c r="H3863" s="19" t="n">
        <v>2</v>
      </c>
      <c r="I3863" s="57" t="n">
        <v>7</v>
      </c>
    </row>
    <row r="3864">
      <c r="A3864" s="62" t="n">
        <v>46687</v>
      </c>
      <c r="B3864" s="3" t="inlineStr">
        <is>
          <t>Week</t>
        </is>
      </c>
      <c r="C3864" s="19" t="n">
        <v>10</v>
      </c>
      <c r="D3864" s="19" t="n">
        <v>2027</v>
      </c>
      <c r="E3864" s="57" t="n">
        <v>4</v>
      </c>
      <c r="F3864" s="29">
        <f>ROUND(((SUMIFS(Calendar!$F$2:$F$9997,Calendar!$B$2:$B$9997,D3864,Calendar!$C$2:$C$9997,C3864)*INDEX(ForeCalc!$B$37:$Y$274,MATCH(_xlfn.CONCAT(H3864," ",I3864),ForeCalc!$A$37:$A$274,0),MATCH(_xlfn.CONCAT(B3864," ",E3864),ForeCalc!$B$36:$Y$36,0))))*VLOOKUP(A3864,Calendar!$A$2:$H$9997,8,FALSE),0)</f>
        <v/>
      </c>
      <c r="G3864" s="29">
        <f>VLOOKUP(A3864,Calendar!$A$1:$H$9997,6,FALSE)-F3864</f>
        <v/>
      </c>
      <c r="H3864" s="19" t="n">
        <v>2</v>
      </c>
      <c r="I3864" s="57" t="n">
        <v>7</v>
      </c>
    </row>
    <row r="3865">
      <c r="A3865" s="62" t="n">
        <v>46688</v>
      </c>
      <c r="B3865" s="3" t="inlineStr">
        <is>
          <t>Week</t>
        </is>
      </c>
      <c r="C3865" s="19" t="n">
        <v>10</v>
      </c>
      <c r="D3865" s="19" t="n">
        <v>2027</v>
      </c>
      <c r="E3865" s="57" t="n">
        <v>4</v>
      </c>
      <c r="F3865" s="29">
        <f>ROUND(((SUMIFS(Calendar!$F$2:$F$9997,Calendar!$B$2:$B$9997,D3865,Calendar!$C$2:$C$9997,C3865)*INDEX(ForeCalc!$B$37:$Y$274,MATCH(_xlfn.CONCAT(H3865," ",I3865),ForeCalc!$A$37:$A$274,0),MATCH(_xlfn.CONCAT(B3865," ",E3865),ForeCalc!$B$36:$Y$36,0))))*VLOOKUP(A3865,Calendar!$A$2:$H$9997,8,FALSE),0)</f>
        <v/>
      </c>
      <c r="G3865" s="29">
        <f>VLOOKUP(A3865,Calendar!$A$1:$H$9997,6,FALSE)-F3865</f>
        <v/>
      </c>
      <c r="H3865" s="19" t="n">
        <v>2</v>
      </c>
      <c r="I3865" s="57" t="n">
        <v>7</v>
      </c>
    </row>
    <row r="3866">
      <c r="A3866" s="62" t="n">
        <v>46689</v>
      </c>
      <c r="B3866" s="3" t="inlineStr">
        <is>
          <t>Week</t>
        </is>
      </c>
      <c r="C3866" s="19" t="n">
        <v>10</v>
      </c>
      <c r="D3866" s="19" t="n">
        <v>2027</v>
      </c>
      <c r="E3866" s="57" t="n">
        <v>4</v>
      </c>
      <c r="F3866" s="29">
        <f>ROUND(((SUMIFS(Calendar!$F$2:$F$9997,Calendar!$B$2:$B$9997,D3866,Calendar!$C$2:$C$9997,C3866)*INDEX(ForeCalc!$B$37:$Y$274,MATCH(_xlfn.CONCAT(H3866," ",I3866),ForeCalc!$A$37:$A$274,0),MATCH(_xlfn.CONCAT(B3866," ",E3866),ForeCalc!$B$36:$Y$36,0))))*VLOOKUP(A3866,Calendar!$A$2:$H$9997,8,FALSE),0)</f>
        <v/>
      </c>
      <c r="G3866" s="29">
        <f>VLOOKUP(A3866,Calendar!$A$1:$H$9997,6,FALSE)-F3866</f>
        <v/>
      </c>
      <c r="H3866" s="19" t="n">
        <v>2</v>
      </c>
      <c r="I3866" s="57" t="n">
        <v>7</v>
      </c>
    </row>
    <row r="3867">
      <c r="A3867" s="62" t="n">
        <v>46690</v>
      </c>
      <c r="B3867" s="3" t="inlineStr">
        <is>
          <t>Sat</t>
        </is>
      </c>
      <c r="C3867" s="19" t="n">
        <v>10</v>
      </c>
      <c r="D3867" s="19" t="n">
        <v>2027</v>
      </c>
      <c r="E3867" s="57" t="n">
        <v>4</v>
      </c>
      <c r="F3867" s="29">
        <f>ROUND(((SUMIFS(Calendar!$F$2:$F$9997,Calendar!$B$2:$B$9997,D3867,Calendar!$C$2:$C$9997,C3867)*INDEX(ForeCalc!$B$37:$Y$274,MATCH(_xlfn.CONCAT(H3867," ",I3867),ForeCalc!$A$37:$A$274,0),MATCH(_xlfn.CONCAT(B3867," ",E3867),ForeCalc!$B$36:$Y$36,0))))*VLOOKUP(A3867,Calendar!$A$2:$H$9997,8,FALSE),0)</f>
        <v/>
      </c>
      <c r="G3867" s="29">
        <f>VLOOKUP(A3867,Calendar!$A$1:$H$9997,6,FALSE)-F3867</f>
        <v/>
      </c>
      <c r="H3867" s="19" t="n">
        <v>2</v>
      </c>
      <c r="I3867" s="57" t="n">
        <v>7</v>
      </c>
    </row>
    <row r="3868">
      <c r="A3868" s="62" t="n">
        <v>46691</v>
      </c>
      <c r="B3868" s="3" t="inlineStr">
        <is>
          <t>Sun</t>
        </is>
      </c>
      <c r="C3868" s="19" t="n">
        <v>10</v>
      </c>
      <c r="D3868" s="19" t="n">
        <v>2027</v>
      </c>
      <c r="E3868" s="57" t="n">
        <v>4</v>
      </c>
      <c r="F3868" s="29">
        <f>ROUND(((SUMIFS(Calendar!$F$2:$F$9997,Calendar!$B$2:$B$9997,D3868,Calendar!$C$2:$C$9997,C3868)*INDEX(ForeCalc!$B$37:$Y$274,MATCH(_xlfn.CONCAT(H3868," ",I3868),ForeCalc!$A$37:$A$274,0),MATCH(_xlfn.CONCAT(B3868," ",E3868),ForeCalc!$B$36:$Y$36,0))))*VLOOKUP(A3868,Calendar!$A$2:$H$9997,8,FALSE),0)</f>
        <v/>
      </c>
      <c r="G3868" s="29">
        <f>VLOOKUP(A3868,Calendar!$A$1:$H$9997,6,FALSE)-F3868</f>
        <v/>
      </c>
      <c r="H3868" s="19" t="n">
        <v>2</v>
      </c>
      <c r="I3868" s="57" t="n">
        <v>7</v>
      </c>
    </row>
    <row r="3869">
      <c r="A3869" s="62" t="n">
        <v>46692</v>
      </c>
      <c r="B3869" s="3" t="inlineStr">
        <is>
          <t>Week</t>
        </is>
      </c>
      <c r="C3869" s="19" t="n">
        <v>11</v>
      </c>
      <c r="D3869" s="19" t="n">
        <v>2027</v>
      </c>
      <c r="E3869" s="57" t="n">
        <v>4</v>
      </c>
      <c r="F3869" s="29">
        <f>ROUND(((SUMIFS(Calendar!$F$2:$F$9997,Calendar!$B$2:$B$9997,D3869,Calendar!$C$2:$C$9997,C3869)*INDEX(ForeCalc!$B$37:$Y$274,MATCH(_xlfn.CONCAT(H3869," ",I3869),ForeCalc!$A$37:$A$274,0),MATCH(_xlfn.CONCAT(B3869," ",E3869),ForeCalc!$B$36:$Y$36,0))))*VLOOKUP(A3869,Calendar!$A$2:$H$9997,8,FALSE),0)</f>
        <v/>
      </c>
      <c r="G3869" s="29">
        <f>VLOOKUP(A3869,Calendar!$A$1:$H$9997,6,FALSE)-F3869</f>
        <v/>
      </c>
      <c r="H3869" s="19" t="n">
        <v>2</v>
      </c>
      <c r="I3869" s="57" t="n">
        <v>8</v>
      </c>
    </row>
    <row r="3870">
      <c r="A3870" s="62" t="n">
        <v>46693</v>
      </c>
      <c r="B3870" s="3" t="inlineStr">
        <is>
          <t>Week</t>
        </is>
      </c>
      <c r="C3870" s="19" t="n">
        <v>11</v>
      </c>
      <c r="D3870" s="19" t="n">
        <v>2027</v>
      </c>
      <c r="E3870" s="57" t="n">
        <v>4</v>
      </c>
      <c r="F3870" s="29">
        <f>ROUND(((SUMIFS(Calendar!$F$2:$F$9997,Calendar!$B$2:$B$9997,D3870,Calendar!$C$2:$C$9997,C3870)*INDEX(ForeCalc!$B$37:$Y$274,MATCH(_xlfn.CONCAT(H3870," ",I3870),ForeCalc!$A$37:$A$274,0),MATCH(_xlfn.CONCAT(B3870," ",E3870),ForeCalc!$B$36:$Y$36,0))))*VLOOKUP(A3870,Calendar!$A$2:$H$9997,8,FALSE),0)</f>
        <v/>
      </c>
      <c r="G3870" s="29">
        <f>VLOOKUP(A3870,Calendar!$A$1:$H$9997,6,FALSE)-F3870</f>
        <v/>
      </c>
      <c r="H3870" s="19" t="n">
        <v>2</v>
      </c>
      <c r="I3870" s="57" t="n">
        <v>8</v>
      </c>
    </row>
    <row r="3871">
      <c r="A3871" s="62" t="n">
        <v>46694</v>
      </c>
      <c r="B3871" s="3" t="inlineStr">
        <is>
          <t>Week</t>
        </is>
      </c>
      <c r="C3871" s="19" t="n">
        <v>11</v>
      </c>
      <c r="D3871" s="19" t="n">
        <v>2027</v>
      </c>
      <c r="E3871" s="57" t="n">
        <v>4</v>
      </c>
      <c r="F3871" s="29">
        <f>ROUND(((SUMIFS(Calendar!$F$2:$F$9997,Calendar!$B$2:$B$9997,D3871,Calendar!$C$2:$C$9997,C3871)*INDEX(ForeCalc!$B$37:$Y$274,MATCH(_xlfn.CONCAT(H3871," ",I3871),ForeCalc!$A$37:$A$274,0),MATCH(_xlfn.CONCAT(B3871," ",E3871),ForeCalc!$B$36:$Y$36,0))))*VLOOKUP(A3871,Calendar!$A$2:$H$9997,8,FALSE),0)</f>
        <v/>
      </c>
      <c r="G3871" s="29">
        <f>VLOOKUP(A3871,Calendar!$A$1:$H$9997,6,FALSE)-F3871</f>
        <v/>
      </c>
      <c r="H3871" s="19" t="n">
        <v>2</v>
      </c>
      <c r="I3871" s="57" t="n">
        <v>8</v>
      </c>
    </row>
    <row r="3872">
      <c r="A3872" s="62" t="n">
        <v>46695</v>
      </c>
      <c r="B3872" s="3" t="inlineStr">
        <is>
          <t>Week</t>
        </is>
      </c>
      <c r="C3872" s="19" t="n">
        <v>11</v>
      </c>
      <c r="D3872" s="19" t="n">
        <v>2027</v>
      </c>
      <c r="E3872" s="57" t="n">
        <v>4</v>
      </c>
      <c r="F3872" s="29">
        <f>ROUND(((SUMIFS(Calendar!$F$2:$F$9997,Calendar!$B$2:$B$9997,D3872,Calendar!$C$2:$C$9997,C3872)*INDEX(ForeCalc!$B$37:$Y$274,MATCH(_xlfn.CONCAT(H3872," ",I3872),ForeCalc!$A$37:$A$274,0),MATCH(_xlfn.CONCAT(B3872," ",E3872),ForeCalc!$B$36:$Y$36,0))))*VLOOKUP(A3872,Calendar!$A$2:$H$9997,8,FALSE),0)</f>
        <v/>
      </c>
      <c r="G3872" s="29">
        <f>VLOOKUP(A3872,Calendar!$A$1:$H$9997,6,FALSE)-F3872</f>
        <v/>
      </c>
      <c r="H3872" s="19" t="n">
        <v>2</v>
      </c>
      <c r="I3872" s="57" t="n">
        <v>8</v>
      </c>
    </row>
    <row r="3873">
      <c r="A3873" s="62" t="n">
        <v>46696</v>
      </c>
      <c r="B3873" s="3" t="inlineStr">
        <is>
          <t>Week</t>
        </is>
      </c>
      <c r="C3873" s="19" t="n">
        <v>11</v>
      </c>
      <c r="D3873" s="19" t="n">
        <v>2027</v>
      </c>
      <c r="E3873" s="57" t="n">
        <v>4</v>
      </c>
      <c r="F3873" s="29">
        <f>ROUND(((SUMIFS(Calendar!$F$2:$F$9997,Calendar!$B$2:$B$9997,D3873,Calendar!$C$2:$C$9997,C3873)*INDEX(ForeCalc!$B$37:$Y$274,MATCH(_xlfn.CONCAT(H3873," ",I3873),ForeCalc!$A$37:$A$274,0),MATCH(_xlfn.CONCAT(B3873," ",E3873),ForeCalc!$B$36:$Y$36,0))))*VLOOKUP(A3873,Calendar!$A$2:$H$9997,8,FALSE),0)</f>
        <v/>
      </c>
      <c r="G3873" s="29">
        <f>VLOOKUP(A3873,Calendar!$A$1:$H$9997,6,FALSE)-F3873</f>
        <v/>
      </c>
      <c r="H3873" s="19" t="n">
        <v>2</v>
      </c>
      <c r="I3873" s="57" t="n">
        <v>8</v>
      </c>
    </row>
    <row r="3874">
      <c r="A3874" s="62" t="n">
        <v>46697</v>
      </c>
      <c r="B3874" s="3" t="inlineStr">
        <is>
          <t>Sat</t>
        </is>
      </c>
      <c r="C3874" s="19" t="n">
        <v>11</v>
      </c>
      <c r="D3874" s="19" t="n">
        <v>2027</v>
      </c>
      <c r="E3874" s="57" t="n">
        <v>4</v>
      </c>
      <c r="F3874" s="29">
        <f>ROUND(((SUMIFS(Calendar!$F$2:$F$9997,Calendar!$B$2:$B$9997,D3874,Calendar!$C$2:$C$9997,C3874)*INDEX(ForeCalc!$B$37:$Y$274,MATCH(_xlfn.CONCAT(H3874," ",I3874),ForeCalc!$A$37:$A$274,0),MATCH(_xlfn.CONCAT(B3874," ",E3874),ForeCalc!$B$36:$Y$36,0))))*VLOOKUP(A3874,Calendar!$A$2:$H$9997,8,FALSE),0)</f>
        <v/>
      </c>
      <c r="G3874" s="29">
        <f>VLOOKUP(A3874,Calendar!$A$1:$H$9997,6,FALSE)-F3874</f>
        <v/>
      </c>
      <c r="H3874" s="19" t="n">
        <v>2</v>
      </c>
      <c r="I3874" s="57" t="n">
        <v>8</v>
      </c>
    </row>
    <row r="3875">
      <c r="A3875" s="62" t="n">
        <v>46698</v>
      </c>
      <c r="B3875" s="3" t="inlineStr">
        <is>
          <t>Sun</t>
        </is>
      </c>
      <c r="C3875" s="19" t="n">
        <v>11</v>
      </c>
      <c r="D3875" s="19" t="n">
        <v>2027</v>
      </c>
      <c r="E3875" s="57" t="n">
        <v>4</v>
      </c>
      <c r="F3875" s="29">
        <f>ROUND(((SUMIFS(Calendar!$F$2:$F$9997,Calendar!$B$2:$B$9997,D3875,Calendar!$C$2:$C$9997,C3875)*INDEX(ForeCalc!$B$37:$Y$274,MATCH(_xlfn.CONCAT(H3875," ",I3875),ForeCalc!$A$37:$A$274,0),MATCH(_xlfn.CONCAT(B3875," ",E3875),ForeCalc!$B$36:$Y$36,0))))*VLOOKUP(A3875,Calendar!$A$2:$H$9997,8,FALSE),0)</f>
        <v/>
      </c>
      <c r="G3875" s="29">
        <f>VLOOKUP(A3875,Calendar!$A$1:$H$9997,6,FALSE)-F3875</f>
        <v/>
      </c>
      <c r="H3875" s="19" t="n">
        <v>2</v>
      </c>
      <c r="I3875" s="57" t="n">
        <v>8</v>
      </c>
    </row>
    <row r="3876">
      <c r="A3876" s="62" t="n">
        <v>46699</v>
      </c>
      <c r="B3876" s="3" t="inlineStr">
        <is>
          <t>Week</t>
        </is>
      </c>
      <c r="C3876" s="19" t="n">
        <v>11</v>
      </c>
      <c r="D3876" s="19" t="n">
        <v>2027</v>
      </c>
      <c r="E3876" s="57" t="n">
        <v>4</v>
      </c>
      <c r="F3876" s="29">
        <f>ROUND(((SUMIFS(Calendar!$F$2:$F$9997,Calendar!$B$2:$B$9997,D3876,Calendar!$C$2:$C$9997,C3876)*INDEX(ForeCalc!$B$37:$Y$274,MATCH(_xlfn.CONCAT(H3876," ",I3876),ForeCalc!$A$37:$A$274,0),MATCH(_xlfn.CONCAT(B3876," ",E3876),ForeCalc!$B$36:$Y$36,0))))*VLOOKUP(A3876,Calendar!$A$2:$H$9997,8,FALSE),0)</f>
        <v/>
      </c>
      <c r="G3876" s="29">
        <f>VLOOKUP(A3876,Calendar!$A$1:$H$9997,6,FALSE)-F3876</f>
        <v/>
      </c>
      <c r="H3876" s="19" t="n">
        <v>2</v>
      </c>
      <c r="I3876" s="57" t="n">
        <v>8</v>
      </c>
    </row>
    <row r="3877">
      <c r="A3877" s="62" t="n">
        <v>46700</v>
      </c>
      <c r="B3877" s="3" t="inlineStr">
        <is>
          <t>Week</t>
        </is>
      </c>
      <c r="C3877" s="19" t="n">
        <v>11</v>
      </c>
      <c r="D3877" s="19" t="n">
        <v>2027</v>
      </c>
      <c r="E3877" s="57" t="n">
        <v>4</v>
      </c>
      <c r="F3877" s="29">
        <f>ROUND(((SUMIFS(Calendar!$F$2:$F$9997,Calendar!$B$2:$B$9997,D3877,Calendar!$C$2:$C$9997,C3877)*INDEX(ForeCalc!$B$37:$Y$274,MATCH(_xlfn.CONCAT(H3877," ",I3877),ForeCalc!$A$37:$A$274,0),MATCH(_xlfn.CONCAT(B3877," ",E3877),ForeCalc!$B$36:$Y$36,0))))*VLOOKUP(A3877,Calendar!$A$2:$H$9997,8,FALSE),0)</f>
        <v/>
      </c>
      <c r="G3877" s="29">
        <f>VLOOKUP(A3877,Calendar!$A$1:$H$9997,6,FALSE)-F3877</f>
        <v/>
      </c>
      <c r="H3877" s="19" t="n">
        <v>2</v>
      </c>
      <c r="I3877" s="57" t="n">
        <v>8</v>
      </c>
    </row>
    <row r="3878">
      <c r="A3878" s="62" t="n">
        <v>46701</v>
      </c>
      <c r="B3878" s="3" t="inlineStr">
        <is>
          <t>Week</t>
        </is>
      </c>
      <c r="C3878" s="19" t="n">
        <v>11</v>
      </c>
      <c r="D3878" s="19" t="n">
        <v>2027</v>
      </c>
      <c r="E3878" s="57" t="n">
        <v>4</v>
      </c>
      <c r="F3878" s="29">
        <f>ROUND(((SUMIFS(Calendar!$F$2:$F$9997,Calendar!$B$2:$B$9997,D3878,Calendar!$C$2:$C$9997,C3878)*INDEX(ForeCalc!$B$37:$Y$274,MATCH(_xlfn.CONCAT(H3878," ",I3878),ForeCalc!$A$37:$A$274,0),MATCH(_xlfn.CONCAT(B3878," ",E3878),ForeCalc!$B$36:$Y$36,0))))*VLOOKUP(A3878,Calendar!$A$2:$H$9997,8,FALSE),0)</f>
        <v/>
      </c>
      <c r="G3878" s="29">
        <f>VLOOKUP(A3878,Calendar!$A$1:$H$9997,6,FALSE)-F3878</f>
        <v/>
      </c>
      <c r="H3878" s="19" t="n">
        <v>2</v>
      </c>
      <c r="I3878" s="57" t="n">
        <v>8</v>
      </c>
    </row>
    <row r="3879">
      <c r="A3879" s="62" t="n">
        <v>46702</v>
      </c>
      <c r="B3879" s="3" t="inlineStr">
        <is>
          <t>Week</t>
        </is>
      </c>
      <c r="C3879" s="19" t="n">
        <v>11</v>
      </c>
      <c r="D3879" s="19" t="n">
        <v>2027</v>
      </c>
      <c r="E3879" s="57" t="n">
        <v>4</v>
      </c>
      <c r="F3879" s="29">
        <f>ROUND(((SUMIFS(Calendar!$F$2:$F$9997,Calendar!$B$2:$B$9997,D3879,Calendar!$C$2:$C$9997,C3879)*INDEX(ForeCalc!$B$37:$Y$274,MATCH(_xlfn.CONCAT(H3879," ",I3879),ForeCalc!$A$37:$A$274,0),MATCH(_xlfn.CONCAT(B3879," ",E3879),ForeCalc!$B$36:$Y$36,0))))*VLOOKUP(A3879,Calendar!$A$2:$H$9997,8,FALSE),0)</f>
        <v/>
      </c>
      <c r="G3879" s="29">
        <f>VLOOKUP(A3879,Calendar!$A$1:$H$9997,6,FALSE)-F3879</f>
        <v/>
      </c>
      <c r="H3879" s="19" t="n">
        <v>2</v>
      </c>
      <c r="I3879" s="57" t="n">
        <v>8</v>
      </c>
    </row>
    <row r="3880">
      <c r="A3880" s="62" t="n">
        <v>46703</v>
      </c>
      <c r="B3880" s="3" t="inlineStr">
        <is>
          <t>Week</t>
        </is>
      </c>
      <c r="C3880" s="19" t="n">
        <v>11</v>
      </c>
      <c r="D3880" s="19" t="n">
        <v>2027</v>
      </c>
      <c r="E3880" s="57" t="n">
        <v>4</v>
      </c>
      <c r="F3880" s="29">
        <f>ROUND(((SUMIFS(Calendar!$F$2:$F$9997,Calendar!$B$2:$B$9997,D3880,Calendar!$C$2:$C$9997,C3880)*INDEX(ForeCalc!$B$37:$Y$274,MATCH(_xlfn.CONCAT(H3880," ",I3880),ForeCalc!$A$37:$A$274,0),MATCH(_xlfn.CONCAT(B3880," ",E3880),ForeCalc!$B$36:$Y$36,0))))*VLOOKUP(A3880,Calendar!$A$2:$H$9997,8,FALSE),0)</f>
        <v/>
      </c>
      <c r="G3880" s="29">
        <f>VLOOKUP(A3880,Calendar!$A$1:$H$9997,6,FALSE)-F3880</f>
        <v/>
      </c>
      <c r="H3880" s="19" t="n">
        <v>2</v>
      </c>
      <c r="I3880" s="57" t="n">
        <v>8</v>
      </c>
    </row>
    <row r="3881">
      <c r="A3881" s="62" t="n">
        <v>46704</v>
      </c>
      <c r="B3881" s="3" t="inlineStr">
        <is>
          <t>Sat</t>
        </is>
      </c>
      <c r="C3881" s="19" t="n">
        <v>11</v>
      </c>
      <c r="D3881" s="19" t="n">
        <v>2027</v>
      </c>
      <c r="E3881" s="57" t="n">
        <v>4</v>
      </c>
      <c r="F3881" s="29">
        <f>ROUND(((SUMIFS(Calendar!$F$2:$F$9997,Calendar!$B$2:$B$9997,D3881,Calendar!$C$2:$C$9997,C3881)*INDEX(ForeCalc!$B$37:$Y$274,MATCH(_xlfn.CONCAT(H3881," ",I3881),ForeCalc!$A$37:$A$274,0),MATCH(_xlfn.CONCAT(B3881," ",E3881),ForeCalc!$B$36:$Y$36,0))))*VLOOKUP(A3881,Calendar!$A$2:$H$9997,8,FALSE),0)</f>
        <v/>
      </c>
      <c r="G3881" s="29">
        <f>VLOOKUP(A3881,Calendar!$A$1:$H$9997,6,FALSE)-F3881</f>
        <v/>
      </c>
      <c r="H3881" s="19" t="n">
        <v>2</v>
      </c>
      <c r="I3881" s="57" t="n">
        <v>8</v>
      </c>
    </row>
    <row r="3882">
      <c r="A3882" s="62" t="n">
        <v>46705</v>
      </c>
      <c r="B3882" s="3" t="inlineStr">
        <is>
          <t>Sun</t>
        </is>
      </c>
      <c r="C3882" s="19" t="n">
        <v>11</v>
      </c>
      <c r="D3882" s="19" t="n">
        <v>2027</v>
      </c>
      <c r="E3882" s="57" t="n">
        <v>4</v>
      </c>
      <c r="F3882" s="29">
        <f>ROUND(((SUMIFS(Calendar!$F$2:$F$9997,Calendar!$B$2:$B$9997,D3882,Calendar!$C$2:$C$9997,C3882)*INDEX(ForeCalc!$B$37:$Y$274,MATCH(_xlfn.CONCAT(H3882," ",I3882),ForeCalc!$A$37:$A$274,0),MATCH(_xlfn.CONCAT(B3882," ",E3882),ForeCalc!$B$36:$Y$36,0))))*VLOOKUP(A3882,Calendar!$A$2:$H$9997,8,FALSE),0)</f>
        <v/>
      </c>
      <c r="G3882" s="29">
        <f>VLOOKUP(A3882,Calendar!$A$1:$H$9997,6,FALSE)-F3882</f>
        <v/>
      </c>
      <c r="H3882" s="19" t="n">
        <v>2</v>
      </c>
      <c r="I3882" s="57" t="n">
        <v>8</v>
      </c>
    </row>
    <row r="3883">
      <c r="A3883" s="62" t="n">
        <v>46706</v>
      </c>
      <c r="B3883" s="3" t="inlineStr">
        <is>
          <t>Week</t>
        </is>
      </c>
      <c r="C3883" s="19" t="n">
        <v>11</v>
      </c>
      <c r="D3883" s="19" t="n">
        <v>2027</v>
      </c>
      <c r="E3883" s="57" t="n">
        <v>4</v>
      </c>
      <c r="F3883" s="29">
        <f>ROUND(((SUMIFS(Calendar!$F$2:$F$9997,Calendar!$B$2:$B$9997,D3883,Calendar!$C$2:$C$9997,C3883)*INDEX(ForeCalc!$B$37:$Y$274,MATCH(_xlfn.CONCAT(H3883," ",I3883),ForeCalc!$A$37:$A$274,0),MATCH(_xlfn.CONCAT(B3883," ",E3883),ForeCalc!$B$36:$Y$36,0))))*VLOOKUP(A3883,Calendar!$A$2:$H$9997,8,FALSE),0)</f>
        <v/>
      </c>
      <c r="G3883" s="29">
        <f>VLOOKUP(A3883,Calendar!$A$1:$H$9997,6,FALSE)-F3883</f>
        <v/>
      </c>
      <c r="H3883" s="19" t="n">
        <v>2</v>
      </c>
      <c r="I3883" s="57" t="n">
        <v>8</v>
      </c>
    </row>
    <row r="3884">
      <c r="A3884" s="62" t="n">
        <v>46707</v>
      </c>
      <c r="B3884" s="3" t="inlineStr">
        <is>
          <t>Week</t>
        </is>
      </c>
      <c r="C3884" s="19" t="n">
        <v>11</v>
      </c>
      <c r="D3884" s="19" t="n">
        <v>2027</v>
      </c>
      <c r="E3884" s="57" t="n">
        <v>4</v>
      </c>
      <c r="F3884" s="29">
        <f>ROUND(((SUMIFS(Calendar!$F$2:$F$9997,Calendar!$B$2:$B$9997,D3884,Calendar!$C$2:$C$9997,C3884)*INDEX(ForeCalc!$B$37:$Y$274,MATCH(_xlfn.CONCAT(H3884," ",I3884),ForeCalc!$A$37:$A$274,0),MATCH(_xlfn.CONCAT(B3884," ",E3884),ForeCalc!$B$36:$Y$36,0))))*VLOOKUP(A3884,Calendar!$A$2:$H$9997,8,FALSE),0)</f>
        <v/>
      </c>
      <c r="G3884" s="29">
        <f>VLOOKUP(A3884,Calendar!$A$1:$H$9997,6,FALSE)-F3884</f>
        <v/>
      </c>
      <c r="H3884" s="19" t="n">
        <v>2</v>
      </c>
      <c r="I3884" s="57" t="n">
        <v>8</v>
      </c>
    </row>
    <row r="3885">
      <c r="A3885" s="62" t="n">
        <v>46708</v>
      </c>
      <c r="B3885" s="3" t="inlineStr">
        <is>
          <t>Week</t>
        </is>
      </c>
      <c r="C3885" s="19" t="n">
        <v>11</v>
      </c>
      <c r="D3885" s="19" t="n">
        <v>2027</v>
      </c>
      <c r="E3885" s="57" t="n">
        <v>4</v>
      </c>
      <c r="F3885" s="29">
        <f>ROUND(((SUMIFS(Calendar!$F$2:$F$9997,Calendar!$B$2:$B$9997,D3885,Calendar!$C$2:$C$9997,C3885)*INDEX(ForeCalc!$B$37:$Y$274,MATCH(_xlfn.CONCAT(H3885," ",I3885),ForeCalc!$A$37:$A$274,0),MATCH(_xlfn.CONCAT(B3885," ",E3885),ForeCalc!$B$36:$Y$36,0))))*VLOOKUP(A3885,Calendar!$A$2:$H$9997,8,FALSE),0)</f>
        <v/>
      </c>
      <c r="G3885" s="29">
        <f>VLOOKUP(A3885,Calendar!$A$1:$H$9997,6,FALSE)-F3885</f>
        <v/>
      </c>
      <c r="H3885" s="19" t="n">
        <v>2</v>
      </c>
      <c r="I3885" s="57" t="n">
        <v>8</v>
      </c>
    </row>
    <row r="3886">
      <c r="A3886" s="62" t="n">
        <v>46709</v>
      </c>
      <c r="B3886" s="3" t="inlineStr">
        <is>
          <t>Week</t>
        </is>
      </c>
      <c r="C3886" s="19" t="n">
        <v>11</v>
      </c>
      <c r="D3886" s="19" t="n">
        <v>2027</v>
      </c>
      <c r="E3886" s="57" t="n">
        <v>4</v>
      </c>
      <c r="F3886" s="29">
        <f>ROUND(((SUMIFS(Calendar!$F$2:$F$9997,Calendar!$B$2:$B$9997,D3886,Calendar!$C$2:$C$9997,C3886)*INDEX(ForeCalc!$B$37:$Y$274,MATCH(_xlfn.CONCAT(H3886," ",I3886),ForeCalc!$A$37:$A$274,0),MATCH(_xlfn.CONCAT(B3886," ",E3886),ForeCalc!$B$36:$Y$36,0))))*VLOOKUP(A3886,Calendar!$A$2:$H$9997,8,FALSE),0)</f>
        <v/>
      </c>
      <c r="G3886" s="29">
        <f>VLOOKUP(A3886,Calendar!$A$1:$H$9997,6,FALSE)-F3886</f>
        <v/>
      </c>
      <c r="H3886" s="19" t="n">
        <v>2</v>
      </c>
      <c r="I3886" s="57" t="n">
        <v>8</v>
      </c>
    </row>
    <row r="3887">
      <c r="A3887" s="62" t="n">
        <v>46710</v>
      </c>
      <c r="B3887" s="3" t="inlineStr">
        <is>
          <t>Week</t>
        </is>
      </c>
      <c r="C3887" s="19" t="n">
        <v>11</v>
      </c>
      <c r="D3887" s="19" t="n">
        <v>2027</v>
      </c>
      <c r="E3887" s="57" t="n">
        <v>4</v>
      </c>
      <c r="F3887" s="29">
        <f>ROUND(((SUMIFS(Calendar!$F$2:$F$9997,Calendar!$B$2:$B$9997,D3887,Calendar!$C$2:$C$9997,C3887)*INDEX(ForeCalc!$B$37:$Y$274,MATCH(_xlfn.CONCAT(H3887," ",I3887),ForeCalc!$A$37:$A$274,0),MATCH(_xlfn.CONCAT(B3887," ",E3887),ForeCalc!$B$36:$Y$36,0))))*VLOOKUP(A3887,Calendar!$A$2:$H$9997,8,FALSE),0)</f>
        <v/>
      </c>
      <c r="G3887" s="29">
        <f>VLOOKUP(A3887,Calendar!$A$1:$H$9997,6,FALSE)-F3887</f>
        <v/>
      </c>
      <c r="H3887" s="19" t="n">
        <v>2</v>
      </c>
      <c r="I3887" s="57" t="n">
        <v>8</v>
      </c>
    </row>
    <row r="3888">
      <c r="A3888" s="62" t="n">
        <v>46711</v>
      </c>
      <c r="B3888" s="3" t="inlineStr">
        <is>
          <t>Sat</t>
        </is>
      </c>
      <c r="C3888" s="19" t="n">
        <v>11</v>
      </c>
      <c r="D3888" s="19" t="n">
        <v>2027</v>
      </c>
      <c r="E3888" s="57" t="n">
        <v>4</v>
      </c>
      <c r="F3888" s="29">
        <f>ROUND(((SUMIFS(Calendar!$F$2:$F$9997,Calendar!$B$2:$B$9997,D3888,Calendar!$C$2:$C$9997,C3888)*INDEX(ForeCalc!$B$37:$Y$274,MATCH(_xlfn.CONCAT(H3888," ",I3888),ForeCalc!$A$37:$A$274,0),MATCH(_xlfn.CONCAT(B3888," ",E3888),ForeCalc!$B$36:$Y$36,0))))*VLOOKUP(A3888,Calendar!$A$2:$H$9997,8,FALSE),0)</f>
        <v/>
      </c>
      <c r="G3888" s="29">
        <f>VLOOKUP(A3888,Calendar!$A$1:$H$9997,6,FALSE)-F3888</f>
        <v/>
      </c>
      <c r="H3888" s="19" t="n">
        <v>2</v>
      </c>
      <c r="I3888" s="57" t="n">
        <v>8</v>
      </c>
    </row>
    <row r="3889">
      <c r="A3889" s="62" t="n">
        <v>46712</v>
      </c>
      <c r="B3889" s="3" t="inlineStr">
        <is>
          <t>Sun</t>
        </is>
      </c>
      <c r="C3889" s="19" t="n">
        <v>11</v>
      </c>
      <c r="D3889" s="19" t="n">
        <v>2027</v>
      </c>
      <c r="E3889" s="57" t="n">
        <v>4</v>
      </c>
      <c r="F3889" s="29">
        <f>ROUND(((SUMIFS(Calendar!$F$2:$F$9997,Calendar!$B$2:$B$9997,D3889,Calendar!$C$2:$C$9997,C3889)*INDEX(ForeCalc!$B$37:$Y$274,MATCH(_xlfn.CONCAT(H3889," ",I3889),ForeCalc!$A$37:$A$274,0),MATCH(_xlfn.CONCAT(B3889," ",E3889),ForeCalc!$B$36:$Y$36,0))))*VLOOKUP(A3889,Calendar!$A$2:$H$9997,8,FALSE),0)</f>
        <v/>
      </c>
      <c r="G3889" s="29">
        <f>VLOOKUP(A3889,Calendar!$A$1:$H$9997,6,FALSE)-F3889</f>
        <v/>
      </c>
      <c r="H3889" s="19" t="n">
        <v>2</v>
      </c>
      <c r="I3889" s="57" t="n">
        <v>8</v>
      </c>
    </row>
    <row r="3890">
      <c r="A3890" s="62" t="n">
        <v>46713</v>
      </c>
      <c r="B3890" s="3" t="inlineStr">
        <is>
          <t>Week</t>
        </is>
      </c>
      <c r="C3890" s="19" t="n">
        <v>11</v>
      </c>
      <c r="D3890" s="19" t="n">
        <v>2027</v>
      </c>
      <c r="E3890" s="57" t="n">
        <v>4</v>
      </c>
      <c r="F3890" s="29">
        <f>ROUND(((SUMIFS(Calendar!$F$2:$F$9997,Calendar!$B$2:$B$9997,D3890,Calendar!$C$2:$C$9997,C3890)*INDEX(ForeCalc!$B$37:$Y$274,MATCH(_xlfn.CONCAT(H3890," ",I3890),ForeCalc!$A$37:$A$274,0),MATCH(_xlfn.CONCAT(B3890," ",E3890),ForeCalc!$B$36:$Y$36,0))))*VLOOKUP(A3890,Calendar!$A$2:$H$9997,8,FALSE),0)</f>
        <v/>
      </c>
      <c r="G3890" s="29">
        <f>VLOOKUP(A3890,Calendar!$A$1:$H$9997,6,FALSE)-F3890</f>
        <v/>
      </c>
      <c r="H3890" s="19" t="n">
        <v>2</v>
      </c>
      <c r="I3890" s="57" t="n">
        <v>8</v>
      </c>
    </row>
    <row r="3891">
      <c r="A3891" s="62" t="n">
        <v>46714</v>
      </c>
      <c r="B3891" s="3" t="inlineStr">
        <is>
          <t>Week</t>
        </is>
      </c>
      <c r="C3891" s="19" t="n">
        <v>11</v>
      </c>
      <c r="D3891" s="19" t="n">
        <v>2027</v>
      </c>
      <c r="E3891" s="57" t="n">
        <v>4</v>
      </c>
      <c r="F3891" s="29">
        <f>ROUND(((SUMIFS(Calendar!$F$2:$F$9997,Calendar!$B$2:$B$9997,D3891,Calendar!$C$2:$C$9997,C3891)*INDEX(ForeCalc!$B$37:$Y$274,MATCH(_xlfn.CONCAT(H3891," ",I3891),ForeCalc!$A$37:$A$274,0),MATCH(_xlfn.CONCAT(B3891," ",E3891),ForeCalc!$B$36:$Y$36,0))))*VLOOKUP(A3891,Calendar!$A$2:$H$9997,8,FALSE),0)</f>
        <v/>
      </c>
      <c r="G3891" s="29">
        <f>VLOOKUP(A3891,Calendar!$A$1:$H$9997,6,FALSE)-F3891</f>
        <v/>
      </c>
      <c r="H3891" s="19" t="n">
        <v>2</v>
      </c>
      <c r="I3891" s="57" t="n">
        <v>8</v>
      </c>
    </row>
    <row r="3892">
      <c r="A3892" s="62" t="n">
        <v>46715</v>
      </c>
      <c r="B3892" s="3" t="inlineStr">
        <is>
          <t>Week</t>
        </is>
      </c>
      <c r="C3892" s="19" t="n">
        <v>11</v>
      </c>
      <c r="D3892" s="19" t="n">
        <v>2027</v>
      </c>
      <c r="E3892" s="57" t="n">
        <v>4</v>
      </c>
      <c r="F3892" s="29">
        <f>ROUND(((SUMIFS(Calendar!$F$2:$F$9997,Calendar!$B$2:$B$9997,D3892,Calendar!$C$2:$C$9997,C3892)*INDEX(ForeCalc!$B$37:$Y$274,MATCH(_xlfn.CONCAT(H3892," ",I3892),ForeCalc!$A$37:$A$274,0),MATCH(_xlfn.CONCAT(B3892," ",E3892),ForeCalc!$B$36:$Y$36,0))))*VLOOKUP(A3892,Calendar!$A$2:$H$9997,8,FALSE),0)</f>
        <v/>
      </c>
      <c r="G3892" s="29">
        <f>VLOOKUP(A3892,Calendar!$A$1:$H$9997,6,FALSE)-F3892</f>
        <v/>
      </c>
      <c r="H3892" s="19" t="n">
        <v>2</v>
      </c>
      <c r="I3892" s="57" t="n">
        <v>8</v>
      </c>
    </row>
    <row r="3893">
      <c r="A3893" s="62" t="n">
        <v>46716</v>
      </c>
      <c r="B3893" s="3" t="inlineStr">
        <is>
          <t>Week</t>
        </is>
      </c>
      <c r="C3893" s="19" t="n">
        <v>11</v>
      </c>
      <c r="D3893" s="19" t="n">
        <v>2027</v>
      </c>
      <c r="E3893" s="57" t="n">
        <v>4</v>
      </c>
      <c r="F3893" s="29">
        <f>ROUND(((SUMIFS(Calendar!$F$2:$F$9997,Calendar!$B$2:$B$9997,D3893,Calendar!$C$2:$C$9997,C3893)*INDEX(ForeCalc!$B$37:$Y$274,MATCH(_xlfn.CONCAT(H3893," ",I3893),ForeCalc!$A$37:$A$274,0),MATCH(_xlfn.CONCAT(B3893," ",E3893),ForeCalc!$B$36:$Y$36,0))))*VLOOKUP(A3893,Calendar!$A$2:$H$9997,8,FALSE),0)</f>
        <v/>
      </c>
      <c r="G3893" s="29">
        <f>VLOOKUP(A3893,Calendar!$A$1:$H$9997,6,FALSE)-F3893</f>
        <v/>
      </c>
      <c r="H3893" s="19" t="n">
        <v>2</v>
      </c>
      <c r="I3893" s="57" t="n">
        <v>8</v>
      </c>
    </row>
    <row r="3894">
      <c r="A3894" s="62" t="n">
        <v>46717</v>
      </c>
      <c r="B3894" s="3" t="inlineStr">
        <is>
          <t>Week</t>
        </is>
      </c>
      <c r="C3894" s="19" t="n">
        <v>11</v>
      </c>
      <c r="D3894" s="19" t="n">
        <v>2027</v>
      </c>
      <c r="E3894" s="57" t="n">
        <v>4</v>
      </c>
      <c r="F3894" s="29">
        <f>ROUND(((SUMIFS(Calendar!$F$2:$F$9997,Calendar!$B$2:$B$9997,D3894,Calendar!$C$2:$C$9997,C3894)*INDEX(ForeCalc!$B$37:$Y$274,MATCH(_xlfn.CONCAT(H3894," ",I3894),ForeCalc!$A$37:$A$274,0),MATCH(_xlfn.CONCAT(B3894," ",E3894),ForeCalc!$B$36:$Y$36,0))))*VLOOKUP(A3894,Calendar!$A$2:$H$9997,8,FALSE),0)</f>
        <v/>
      </c>
      <c r="G3894" s="29">
        <f>VLOOKUP(A3894,Calendar!$A$1:$H$9997,6,FALSE)-F3894</f>
        <v/>
      </c>
      <c r="H3894" s="19" t="n">
        <v>2</v>
      </c>
      <c r="I3894" s="57" t="n">
        <v>8</v>
      </c>
    </row>
    <row r="3895">
      <c r="A3895" s="62" t="n">
        <v>46718</v>
      </c>
      <c r="B3895" s="3" t="inlineStr">
        <is>
          <t>Sat</t>
        </is>
      </c>
      <c r="C3895" s="19" t="n">
        <v>11</v>
      </c>
      <c r="D3895" s="19" t="n">
        <v>2027</v>
      </c>
      <c r="E3895" s="57" t="n">
        <v>4</v>
      </c>
      <c r="F3895" s="29">
        <f>ROUND(((SUMIFS(Calendar!$F$2:$F$9997,Calendar!$B$2:$B$9997,D3895,Calendar!$C$2:$C$9997,C3895)*INDEX(ForeCalc!$B$37:$Y$274,MATCH(_xlfn.CONCAT(H3895," ",I3895),ForeCalc!$A$37:$A$274,0),MATCH(_xlfn.CONCAT(B3895," ",E3895),ForeCalc!$B$36:$Y$36,0))))*VLOOKUP(A3895,Calendar!$A$2:$H$9997,8,FALSE),0)</f>
        <v/>
      </c>
      <c r="G3895" s="29">
        <f>VLOOKUP(A3895,Calendar!$A$1:$H$9997,6,FALSE)-F3895</f>
        <v/>
      </c>
      <c r="H3895" s="19" t="n">
        <v>2</v>
      </c>
      <c r="I3895" s="57" t="n">
        <v>8</v>
      </c>
    </row>
    <row r="3896">
      <c r="A3896" s="62" t="n">
        <v>46719</v>
      </c>
      <c r="B3896" s="3" t="inlineStr">
        <is>
          <t>Sun</t>
        </is>
      </c>
      <c r="C3896" s="19" t="n">
        <v>11</v>
      </c>
      <c r="D3896" s="19" t="n">
        <v>2027</v>
      </c>
      <c r="E3896" s="57" t="n">
        <v>4</v>
      </c>
      <c r="F3896" s="29">
        <f>ROUND(((SUMIFS(Calendar!$F$2:$F$9997,Calendar!$B$2:$B$9997,D3896,Calendar!$C$2:$C$9997,C3896)*INDEX(ForeCalc!$B$37:$Y$274,MATCH(_xlfn.CONCAT(H3896," ",I3896),ForeCalc!$A$37:$A$274,0),MATCH(_xlfn.CONCAT(B3896," ",E3896),ForeCalc!$B$36:$Y$36,0))))*VLOOKUP(A3896,Calendar!$A$2:$H$9997,8,FALSE),0)</f>
        <v/>
      </c>
      <c r="G3896" s="29">
        <f>VLOOKUP(A3896,Calendar!$A$1:$H$9997,6,FALSE)-F3896</f>
        <v/>
      </c>
      <c r="H3896" s="19" t="n">
        <v>2</v>
      </c>
      <c r="I3896" s="57" t="n">
        <v>8</v>
      </c>
    </row>
    <row r="3897">
      <c r="A3897" s="62" t="n">
        <v>46720</v>
      </c>
      <c r="B3897" s="3" t="inlineStr">
        <is>
          <t>Week</t>
        </is>
      </c>
      <c r="C3897" s="19" t="n">
        <v>11</v>
      </c>
      <c r="D3897" s="19" t="n">
        <v>2027</v>
      </c>
      <c r="E3897" s="57" t="n">
        <v>4</v>
      </c>
      <c r="F3897" s="29">
        <f>ROUND(((SUMIFS(Calendar!$F$2:$F$9997,Calendar!$B$2:$B$9997,D3897,Calendar!$C$2:$C$9997,C3897)*INDEX(ForeCalc!$B$37:$Y$274,MATCH(_xlfn.CONCAT(H3897," ",I3897),ForeCalc!$A$37:$A$274,0),MATCH(_xlfn.CONCAT(B3897," ",E3897),ForeCalc!$B$36:$Y$36,0))))*VLOOKUP(A3897,Calendar!$A$2:$H$9997,8,FALSE),0)</f>
        <v/>
      </c>
      <c r="G3897" s="29">
        <f>VLOOKUP(A3897,Calendar!$A$1:$H$9997,6,FALSE)-F3897</f>
        <v/>
      </c>
      <c r="H3897" s="19" t="n">
        <v>2</v>
      </c>
      <c r="I3897" s="57" t="n">
        <v>8</v>
      </c>
    </row>
    <row r="3898">
      <c r="A3898" s="62" t="n">
        <v>46721</v>
      </c>
      <c r="B3898" s="3" t="inlineStr">
        <is>
          <t>Week</t>
        </is>
      </c>
      <c r="C3898" s="19" t="n">
        <v>11</v>
      </c>
      <c r="D3898" s="19" t="n">
        <v>2027</v>
      </c>
      <c r="E3898" s="57" t="n">
        <v>4</v>
      </c>
      <c r="F3898" s="29">
        <f>ROUND(((SUMIFS(Calendar!$F$2:$F$9997,Calendar!$B$2:$B$9997,D3898,Calendar!$C$2:$C$9997,C3898)*INDEX(ForeCalc!$B$37:$Y$274,MATCH(_xlfn.CONCAT(H3898," ",I3898),ForeCalc!$A$37:$A$274,0),MATCH(_xlfn.CONCAT(B3898," ",E3898),ForeCalc!$B$36:$Y$36,0))))*VLOOKUP(A3898,Calendar!$A$2:$H$9997,8,FALSE),0)</f>
        <v/>
      </c>
      <c r="G3898" s="29">
        <f>VLOOKUP(A3898,Calendar!$A$1:$H$9997,6,FALSE)-F3898</f>
        <v/>
      </c>
      <c r="H3898" s="19" t="n">
        <v>2</v>
      </c>
      <c r="I3898" s="57" t="n">
        <v>8</v>
      </c>
    </row>
    <row r="3899">
      <c r="A3899" s="62" t="n">
        <v>46722</v>
      </c>
      <c r="B3899" s="3" t="inlineStr">
        <is>
          <t>Week</t>
        </is>
      </c>
      <c r="C3899" s="19" t="n">
        <v>12</v>
      </c>
      <c r="D3899" s="19" t="n">
        <v>2027</v>
      </c>
      <c r="E3899" s="57" t="n">
        <v>4</v>
      </c>
      <c r="F3899" s="29">
        <f>ROUND(((SUMIFS(Calendar!$F$2:$F$9997,Calendar!$B$2:$B$9997,D3899,Calendar!$C$2:$C$9997,C3899)*INDEX(ForeCalc!$B$37:$Y$274,MATCH(_xlfn.CONCAT(H3899," ",I3899),ForeCalc!$A$37:$A$274,0),MATCH(_xlfn.CONCAT(B3899," ",E3899),ForeCalc!$B$36:$Y$36,0))))*VLOOKUP(A3899,Calendar!$A$2:$H$9997,8,FALSE),0)</f>
        <v/>
      </c>
      <c r="G3899" s="29">
        <f>VLOOKUP(A3899,Calendar!$A$1:$H$9997,6,FALSE)-F3899</f>
        <v/>
      </c>
      <c r="H3899" s="19" t="n">
        <v>2</v>
      </c>
      <c r="I3899" s="57" t="n">
        <v>9</v>
      </c>
    </row>
    <row r="3900">
      <c r="A3900" s="62" t="n">
        <v>46723</v>
      </c>
      <c r="B3900" s="3" t="inlineStr">
        <is>
          <t>Week</t>
        </is>
      </c>
      <c r="C3900" s="19" t="n">
        <v>12</v>
      </c>
      <c r="D3900" s="19" t="n">
        <v>2027</v>
      </c>
      <c r="E3900" s="57" t="n">
        <v>4</v>
      </c>
      <c r="F3900" s="29">
        <f>ROUND(((SUMIFS(Calendar!$F$2:$F$9997,Calendar!$B$2:$B$9997,D3900,Calendar!$C$2:$C$9997,C3900)*INDEX(ForeCalc!$B$37:$Y$274,MATCH(_xlfn.CONCAT(H3900," ",I3900),ForeCalc!$A$37:$A$274,0),MATCH(_xlfn.CONCAT(B3900," ",E3900),ForeCalc!$B$36:$Y$36,0))))*VLOOKUP(A3900,Calendar!$A$2:$H$9997,8,FALSE),0)</f>
        <v/>
      </c>
      <c r="G3900" s="29">
        <f>VLOOKUP(A3900,Calendar!$A$1:$H$9997,6,FALSE)-F3900</f>
        <v/>
      </c>
      <c r="H3900" s="19" t="n">
        <v>2</v>
      </c>
      <c r="I3900" s="57" t="n">
        <v>9</v>
      </c>
    </row>
    <row r="3901">
      <c r="A3901" s="62" t="n">
        <v>46724</v>
      </c>
      <c r="B3901" s="3" t="inlineStr">
        <is>
          <t>Week</t>
        </is>
      </c>
      <c r="C3901" s="19" t="n">
        <v>12</v>
      </c>
      <c r="D3901" s="19" t="n">
        <v>2027</v>
      </c>
      <c r="E3901" s="57" t="n">
        <v>4</v>
      </c>
      <c r="F3901" s="29">
        <f>ROUND(((SUMIFS(Calendar!$F$2:$F$9997,Calendar!$B$2:$B$9997,D3901,Calendar!$C$2:$C$9997,C3901)*INDEX(ForeCalc!$B$37:$Y$274,MATCH(_xlfn.CONCAT(H3901," ",I3901),ForeCalc!$A$37:$A$274,0),MATCH(_xlfn.CONCAT(B3901," ",E3901),ForeCalc!$B$36:$Y$36,0))))*VLOOKUP(A3901,Calendar!$A$2:$H$9997,8,FALSE),0)</f>
        <v/>
      </c>
      <c r="G3901" s="29">
        <f>VLOOKUP(A3901,Calendar!$A$1:$H$9997,6,FALSE)-F3901</f>
        <v/>
      </c>
      <c r="H3901" s="19" t="n">
        <v>2</v>
      </c>
      <c r="I3901" s="57" t="n">
        <v>9</v>
      </c>
    </row>
    <row r="3902">
      <c r="A3902" s="62" t="n">
        <v>46725</v>
      </c>
      <c r="B3902" s="3" t="inlineStr">
        <is>
          <t>Sat</t>
        </is>
      </c>
      <c r="C3902" s="19" t="n">
        <v>12</v>
      </c>
      <c r="D3902" s="19" t="n">
        <v>2027</v>
      </c>
      <c r="E3902" s="57" t="n">
        <v>4</v>
      </c>
      <c r="F3902" s="29">
        <f>ROUND(((SUMIFS(Calendar!$F$2:$F$9997,Calendar!$B$2:$B$9997,D3902,Calendar!$C$2:$C$9997,C3902)*INDEX(ForeCalc!$B$37:$Y$274,MATCH(_xlfn.CONCAT(H3902," ",I3902),ForeCalc!$A$37:$A$274,0),MATCH(_xlfn.CONCAT(B3902," ",E3902),ForeCalc!$B$36:$Y$36,0))))*VLOOKUP(A3902,Calendar!$A$2:$H$9997,8,FALSE),0)</f>
        <v/>
      </c>
      <c r="G3902" s="29">
        <f>VLOOKUP(A3902,Calendar!$A$1:$H$9997,6,FALSE)-F3902</f>
        <v/>
      </c>
      <c r="H3902" s="19" t="n">
        <v>2</v>
      </c>
      <c r="I3902" s="57" t="n">
        <v>9</v>
      </c>
    </row>
    <row r="3903">
      <c r="A3903" s="62" t="n">
        <v>46726</v>
      </c>
      <c r="B3903" s="3" t="inlineStr">
        <is>
          <t>Sun</t>
        </is>
      </c>
      <c r="C3903" s="19" t="n">
        <v>12</v>
      </c>
      <c r="D3903" s="19" t="n">
        <v>2027</v>
      </c>
      <c r="E3903" s="57" t="n">
        <v>4</v>
      </c>
      <c r="F3903" s="29">
        <f>ROUND(((SUMIFS(Calendar!$F$2:$F$9997,Calendar!$B$2:$B$9997,D3903,Calendar!$C$2:$C$9997,C3903)*INDEX(ForeCalc!$B$37:$Y$274,MATCH(_xlfn.CONCAT(H3903," ",I3903),ForeCalc!$A$37:$A$274,0),MATCH(_xlfn.CONCAT(B3903," ",E3903),ForeCalc!$B$36:$Y$36,0))))*VLOOKUP(A3903,Calendar!$A$2:$H$9997,8,FALSE),0)</f>
        <v/>
      </c>
      <c r="G3903" s="29">
        <f>VLOOKUP(A3903,Calendar!$A$1:$H$9997,6,FALSE)-F3903</f>
        <v/>
      </c>
      <c r="H3903" s="19" t="n">
        <v>2</v>
      </c>
      <c r="I3903" s="57" t="n">
        <v>9</v>
      </c>
    </row>
    <row r="3904">
      <c r="A3904" s="62" t="n">
        <v>46727</v>
      </c>
      <c r="B3904" s="3" t="inlineStr">
        <is>
          <t>Week</t>
        </is>
      </c>
      <c r="C3904" s="19" t="n">
        <v>12</v>
      </c>
      <c r="D3904" s="19" t="n">
        <v>2027</v>
      </c>
      <c r="E3904" s="57" t="n">
        <v>4</v>
      </c>
      <c r="F3904" s="29">
        <f>ROUND(((SUMIFS(Calendar!$F$2:$F$9997,Calendar!$B$2:$B$9997,D3904,Calendar!$C$2:$C$9997,C3904)*INDEX(ForeCalc!$B$37:$Y$274,MATCH(_xlfn.CONCAT(H3904," ",I3904),ForeCalc!$A$37:$A$274,0),MATCH(_xlfn.CONCAT(B3904," ",E3904),ForeCalc!$B$36:$Y$36,0))))*VLOOKUP(A3904,Calendar!$A$2:$H$9997,8,FALSE),0)</f>
        <v/>
      </c>
      <c r="G3904" s="29">
        <f>VLOOKUP(A3904,Calendar!$A$1:$H$9997,6,FALSE)-F3904</f>
        <v/>
      </c>
      <c r="H3904" s="19" t="n">
        <v>2</v>
      </c>
      <c r="I3904" s="57" t="n">
        <v>9</v>
      </c>
    </row>
    <row r="3905">
      <c r="A3905" s="62" t="n">
        <v>46728</v>
      </c>
      <c r="B3905" s="3" t="inlineStr">
        <is>
          <t>Week</t>
        </is>
      </c>
      <c r="C3905" s="19" t="n">
        <v>12</v>
      </c>
      <c r="D3905" s="19" t="n">
        <v>2027</v>
      </c>
      <c r="E3905" s="57" t="n">
        <v>4</v>
      </c>
      <c r="F3905" s="29">
        <f>ROUND(((SUMIFS(Calendar!$F$2:$F$9997,Calendar!$B$2:$B$9997,D3905,Calendar!$C$2:$C$9997,C3905)*INDEX(ForeCalc!$B$37:$Y$274,MATCH(_xlfn.CONCAT(H3905," ",I3905),ForeCalc!$A$37:$A$274,0),MATCH(_xlfn.CONCAT(B3905," ",E3905),ForeCalc!$B$36:$Y$36,0))))*VLOOKUP(A3905,Calendar!$A$2:$H$9997,8,FALSE),0)</f>
        <v/>
      </c>
      <c r="G3905" s="29">
        <f>VLOOKUP(A3905,Calendar!$A$1:$H$9997,6,FALSE)-F3905</f>
        <v/>
      </c>
      <c r="H3905" s="19" t="n">
        <v>2</v>
      </c>
      <c r="I3905" s="57" t="n">
        <v>9</v>
      </c>
    </row>
    <row r="3906">
      <c r="A3906" s="62" t="n">
        <v>46729</v>
      </c>
      <c r="B3906" s="3" t="inlineStr">
        <is>
          <t>Week</t>
        </is>
      </c>
      <c r="C3906" s="19" t="n">
        <v>12</v>
      </c>
      <c r="D3906" s="19" t="n">
        <v>2027</v>
      </c>
      <c r="E3906" s="57" t="n">
        <v>4</v>
      </c>
      <c r="F3906" s="29">
        <f>ROUND(((SUMIFS(Calendar!$F$2:$F$9997,Calendar!$B$2:$B$9997,D3906,Calendar!$C$2:$C$9997,C3906)*INDEX(ForeCalc!$B$37:$Y$274,MATCH(_xlfn.CONCAT(H3906," ",I3906),ForeCalc!$A$37:$A$274,0),MATCH(_xlfn.CONCAT(B3906," ",E3906),ForeCalc!$B$36:$Y$36,0))))*VLOOKUP(A3906,Calendar!$A$2:$H$9997,8,FALSE),0)</f>
        <v/>
      </c>
      <c r="G3906" s="29">
        <f>VLOOKUP(A3906,Calendar!$A$1:$H$9997,6,FALSE)-F3906</f>
        <v/>
      </c>
      <c r="H3906" s="19" t="n">
        <v>2</v>
      </c>
      <c r="I3906" s="57" t="n">
        <v>9</v>
      </c>
    </row>
    <row r="3907">
      <c r="A3907" s="62" t="n">
        <v>46730</v>
      </c>
      <c r="B3907" s="3" t="inlineStr">
        <is>
          <t>Week</t>
        </is>
      </c>
      <c r="C3907" s="19" t="n">
        <v>12</v>
      </c>
      <c r="D3907" s="19" t="n">
        <v>2027</v>
      </c>
      <c r="E3907" s="57" t="n">
        <v>4</v>
      </c>
      <c r="F3907" s="29">
        <f>ROUND(((SUMIFS(Calendar!$F$2:$F$9997,Calendar!$B$2:$B$9997,D3907,Calendar!$C$2:$C$9997,C3907)*INDEX(ForeCalc!$B$37:$Y$274,MATCH(_xlfn.CONCAT(H3907," ",I3907),ForeCalc!$A$37:$A$274,0),MATCH(_xlfn.CONCAT(B3907," ",E3907),ForeCalc!$B$36:$Y$36,0))))*VLOOKUP(A3907,Calendar!$A$2:$H$9997,8,FALSE),0)</f>
        <v/>
      </c>
      <c r="G3907" s="29">
        <f>VLOOKUP(A3907,Calendar!$A$1:$H$9997,6,FALSE)-F3907</f>
        <v/>
      </c>
      <c r="H3907" s="19" t="n">
        <v>2</v>
      </c>
      <c r="I3907" s="57" t="n">
        <v>9</v>
      </c>
    </row>
    <row r="3908">
      <c r="A3908" s="62" t="n">
        <v>46731</v>
      </c>
      <c r="B3908" s="3" t="inlineStr">
        <is>
          <t>Week</t>
        </is>
      </c>
      <c r="C3908" s="19" t="n">
        <v>12</v>
      </c>
      <c r="D3908" s="19" t="n">
        <v>2027</v>
      </c>
      <c r="E3908" s="57" t="n">
        <v>4</v>
      </c>
      <c r="F3908" s="29">
        <f>ROUND(((SUMIFS(Calendar!$F$2:$F$9997,Calendar!$B$2:$B$9997,D3908,Calendar!$C$2:$C$9997,C3908)*INDEX(ForeCalc!$B$37:$Y$274,MATCH(_xlfn.CONCAT(H3908," ",I3908),ForeCalc!$A$37:$A$274,0),MATCH(_xlfn.CONCAT(B3908," ",E3908),ForeCalc!$B$36:$Y$36,0))))*VLOOKUP(A3908,Calendar!$A$2:$H$9997,8,FALSE),0)</f>
        <v/>
      </c>
      <c r="G3908" s="29">
        <f>VLOOKUP(A3908,Calendar!$A$1:$H$9997,6,FALSE)-F3908</f>
        <v/>
      </c>
      <c r="H3908" s="19" t="n">
        <v>2</v>
      </c>
      <c r="I3908" s="57" t="n">
        <v>9</v>
      </c>
    </row>
    <row r="3909">
      <c r="A3909" s="62" t="n">
        <v>46732</v>
      </c>
      <c r="B3909" s="3" t="inlineStr">
        <is>
          <t>Sat</t>
        </is>
      </c>
      <c r="C3909" s="19" t="n">
        <v>12</v>
      </c>
      <c r="D3909" s="19" t="n">
        <v>2027</v>
      </c>
      <c r="E3909" s="57" t="n">
        <v>4</v>
      </c>
      <c r="F3909" s="29">
        <f>ROUND(((SUMIFS(Calendar!$F$2:$F$9997,Calendar!$B$2:$B$9997,D3909,Calendar!$C$2:$C$9997,C3909)*INDEX(ForeCalc!$B$37:$Y$274,MATCH(_xlfn.CONCAT(H3909," ",I3909),ForeCalc!$A$37:$A$274,0),MATCH(_xlfn.CONCAT(B3909," ",E3909),ForeCalc!$B$36:$Y$36,0))))*VLOOKUP(A3909,Calendar!$A$2:$H$9997,8,FALSE),0)</f>
        <v/>
      </c>
      <c r="G3909" s="29">
        <f>VLOOKUP(A3909,Calendar!$A$1:$H$9997,6,FALSE)-F3909</f>
        <v/>
      </c>
      <c r="H3909" s="19" t="n">
        <v>2</v>
      </c>
      <c r="I3909" s="57" t="n">
        <v>9</v>
      </c>
    </row>
    <row r="3910">
      <c r="A3910" s="62" t="n">
        <v>46733</v>
      </c>
      <c r="B3910" s="3" t="inlineStr">
        <is>
          <t>Sun</t>
        </is>
      </c>
      <c r="C3910" s="19" t="n">
        <v>12</v>
      </c>
      <c r="D3910" s="19" t="n">
        <v>2027</v>
      </c>
      <c r="E3910" s="57" t="n">
        <v>4</v>
      </c>
      <c r="F3910" s="29">
        <f>ROUND(((SUMIFS(Calendar!$F$2:$F$9997,Calendar!$B$2:$B$9997,D3910,Calendar!$C$2:$C$9997,C3910)*INDEX(ForeCalc!$B$37:$Y$274,MATCH(_xlfn.CONCAT(H3910," ",I3910),ForeCalc!$A$37:$A$274,0),MATCH(_xlfn.CONCAT(B3910," ",E3910),ForeCalc!$B$36:$Y$36,0))))*VLOOKUP(A3910,Calendar!$A$2:$H$9997,8,FALSE),0)</f>
        <v/>
      </c>
      <c r="G3910" s="29">
        <f>VLOOKUP(A3910,Calendar!$A$1:$H$9997,6,FALSE)-F3910</f>
        <v/>
      </c>
      <c r="H3910" s="19" t="n">
        <v>2</v>
      </c>
      <c r="I3910" s="57" t="n">
        <v>9</v>
      </c>
    </row>
    <row r="3911">
      <c r="A3911" s="62" t="n">
        <v>46734</v>
      </c>
      <c r="B3911" s="3" t="inlineStr">
        <is>
          <t>Week</t>
        </is>
      </c>
      <c r="C3911" s="19" t="n">
        <v>12</v>
      </c>
      <c r="D3911" s="19" t="n">
        <v>2027</v>
      </c>
      <c r="E3911" s="57" t="n">
        <v>4</v>
      </c>
      <c r="F3911" s="29">
        <f>ROUND(((SUMIFS(Calendar!$F$2:$F$9997,Calendar!$B$2:$B$9997,D3911,Calendar!$C$2:$C$9997,C3911)*INDEX(ForeCalc!$B$37:$Y$274,MATCH(_xlfn.CONCAT(H3911," ",I3911),ForeCalc!$A$37:$A$274,0),MATCH(_xlfn.CONCAT(B3911," ",E3911),ForeCalc!$B$36:$Y$36,0))))*VLOOKUP(A3911,Calendar!$A$2:$H$9997,8,FALSE),0)</f>
        <v/>
      </c>
      <c r="G3911" s="29">
        <f>VLOOKUP(A3911,Calendar!$A$1:$H$9997,6,FALSE)-F3911</f>
        <v/>
      </c>
      <c r="H3911" s="19" t="n">
        <v>2</v>
      </c>
      <c r="I3911" s="57" t="n">
        <v>9</v>
      </c>
    </row>
    <row r="3912">
      <c r="A3912" s="62" t="n">
        <v>46735</v>
      </c>
      <c r="B3912" s="3" t="inlineStr">
        <is>
          <t>Week</t>
        </is>
      </c>
      <c r="C3912" s="19" t="n">
        <v>12</v>
      </c>
      <c r="D3912" s="19" t="n">
        <v>2027</v>
      </c>
      <c r="E3912" s="57" t="n">
        <v>4</v>
      </c>
      <c r="F3912" s="29">
        <f>ROUND(((SUMIFS(Calendar!$F$2:$F$9997,Calendar!$B$2:$B$9997,D3912,Calendar!$C$2:$C$9997,C3912)*INDEX(ForeCalc!$B$37:$Y$274,MATCH(_xlfn.CONCAT(H3912," ",I3912),ForeCalc!$A$37:$A$274,0),MATCH(_xlfn.CONCAT(B3912," ",E3912),ForeCalc!$B$36:$Y$36,0))))*VLOOKUP(A3912,Calendar!$A$2:$H$9997,8,FALSE),0)</f>
        <v/>
      </c>
      <c r="G3912" s="29">
        <f>VLOOKUP(A3912,Calendar!$A$1:$H$9997,6,FALSE)-F3912</f>
        <v/>
      </c>
      <c r="H3912" s="19" t="n">
        <v>2</v>
      </c>
      <c r="I3912" s="57" t="n">
        <v>9</v>
      </c>
    </row>
    <row r="3913">
      <c r="A3913" s="62" t="n">
        <v>46736</v>
      </c>
      <c r="B3913" s="3" t="inlineStr">
        <is>
          <t>Week</t>
        </is>
      </c>
      <c r="C3913" s="19" t="n">
        <v>12</v>
      </c>
      <c r="D3913" s="19" t="n">
        <v>2027</v>
      </c>
      <c r="E3913" s="57" t="n">
        <v>4</v>
      </c>
      <c r="F3913" s="29">
        <f>ROUND(((SUMIFS(Calendar!$F$2:$F$9997,Calendar!$B$2:$B$9997,D3913,Calendar!$C$2:$C$9997,C3913)*INDEX(ForeCalc!$B$37:$Y$274,MATCH(_xlfn.CONCAT(H3913," ",I3913),ForeCalc!$A$37:$A$274,0),MATCH(_xlfn.CONCAT(B3913," ",E3913),ForeCalc!$B$36:$Y$36,0))))*VLOOKUP(A3913,Calendar!$A$2:$H$9997,8,FALSE),0)</f>
        <v/>
      </c>
      <c r="G3913" s="29">
        <f>VLOOKUP(A3913,Calendar!$A$1:$H$9997,6,FALSE)-F3913</f>
        <v/>
      </c>
      <c r="H3913" s="19" t="n">
        <v>2</v>
      </c>
      <c r="I3913" s="57" t="n">
        <v>9</v>
      </c>
    </row>
    <row r="3914">
      <c r="A3914" s="62" t="n">
        <v>46737</v>
      </c>
      <c r="B3914" s="3" t="inlineStr">
        <is>
          <t>Week</t>
        </is>
      </c>
      <c r="C3914" s="19" t="n">
        <v>12</v>
      </c>
      <c r="D3914" s="19" t="n">
        <v>2027</v>
      </c>
      <c r="E3914" s="57" t="n">
        <v>4</v>
      </c>
      <c r="F3914" s="29">
        <f>ROUND(((SUMIFS(Calendar!$F$2:$F$9997,Calendar!$B$2:$B$9997,D3914,Calendar!$C$2:$C$9997,C3914)*INDEX(ForeCalc!$B$37:$Y$274,MATCH(_xlfn.CONCAT(H3914," ",I3914),ForeCalc!$A$37:$A$274,0),MATCH(_xlfn.CONCAT(B3914," ",E3914),ForeCalc!$B$36:$Y$36,0))))*VLOOKUP(A3914,Calendar!$A$2:$H$9997,8,FALSE),0)</f>
        <v/>
      </c>
      <c r="G3914" s="29">
        <f>VLOOKUP(A3914,Calendar!$A$1:$H$9997,6,FALSE)-F3914</f>
        <v/>
      </c>
      <c r="H3914" s="19" t="n">
        <v>2</v>
      </c>
      <c r="I3914" s="57" t="n">
        <v>9</v>
      </c>
    </row>
    <row r="3915">
      <c r="A3915" s="62" t="n">
        <v>46738</v>
      </c>
      <c r="B3915" s="3" t="inlineStr">
        <is>
          <t>Week</t>
        </is>
      </c>
      <c r="C3915" s="19" t="n">
        <v>12</v>
      </c>
      <c r="D3915" s="19" t="n">
        <v>2027</v>
      </c>
      <c r="E3915" s="57" t="n">
        <v>4</v>
      </c>
      <c r="F3915" s="29">
        <f>ROUND(((SUMIFS(Calendar!$F$2:$F$9997,Calendar!$B$2:$B$9997,D3915,Calendar!$C$2:$C$9997,C3915)*INDEX(ForeCalc!$B$37:$Y$274,MATCH(_xlfn.CONCAT(H3915," ",I3915),ForeCalc!$A$37:$A$274,0),MATCH(_xlfn.CONCAT(B3915," ",E3915),ForeCalc!$B$36:$Y$36,0))))*VLOOKUP(A3915,Calendar!$A$2:$H$9997,8,FALSE),0)</f>
        <v/>
      </c>
      <c r="G3915" s="29">
        <f>VLOOKUP(A3915,Calendar!$A$1:$H$9997,6,FALSE)-F3915</f>
        <v/>
      </c>
      <c r="H3915" s="19" t="n">
        <v>2</v>
      </c>
      <c r="I3915" s="57" t="n">
        <v>9</v>
      </c>
    </row>
    <row r="3916">
      <c r="A3916" s="62" t="n">
        <v>46739</v>
      </c>
      <c r="B3916" s="3" t="inlineStr">
        <is>
          <t>Sat</t>
        </is>
      </c>
      <c r="C3916" s="19" t="n">
        <v>12</v>
      </c>
      <c r="D3916" s="19" t="n">
        <v>2027</v>
      </c>
      <c r="E3916" s="57" t="n">
        <v>4</v>
      </c>
      <c r="F3916" s="29">
        <f>ROUND(((SUMIFS(Calendar!$F$2:$F$9997,Calendar!$B$2:$B$9997,D3916,Calendar!$C$2:$C$9997,C3916)*INDEX(ForeCalc!$B$37:$Y$274,MATCH(_xlfn.CONCAT(H3916," ",I3916),ForeCalc!$A$37:$A$274,0),MATCH(_xlfn.CONCAT(B3916," ",E3916),ForeCalc!$B$36:$Y$36,0))))*VLOOKUP(A3916,Calendar!$A$2:$H$9997,8,FALSE),0)</f>
        <v/>
      </c>
      <c r="G3916" s="29">
        <f>VLOOKUP(A3916,Calendar!$A$1:$H$9997,6,FALSE)-F3916</f>
        <v/>
      </c>
      <c r="H3916" s="19" t="n">
        <v>2</v>
      </c>
      <c r="I3916" s="57" t="n">
        <v>9</v>
      </c>
    </row>
    <row r="3917">
      <c r="A3917" s="62" t="n">
        <v>46740</v>
      </c>
      <c r="B3917" s="3" t="inlineStr">
        <is>
          <t>Sun</t>
        </is>
      </c>
      <c r="C3917" s="19" t="n">
        <v>12</v>
      </c>
      <c r="D3917" s="19" t="n">
        <v>2027</v>
      </c>
      <c r="E3917" s="57" t="n">
        <v>4</v>
      </c>
      <c r="F3917" s="29">
        <f>ROUND(((SUMIFS(Calendar!$F$2:$F$9997,Calendar!$B$2:$B$9997,D3917,Calendar!$C$2:$C$9997,C3917)*INDEX(ForeCalc!$B$37:$Y$274,MATCH(_xlfn.CONCAT(H3917," ",I3917),ForeCalc!$A$37:$A$274,0),MATCH(_xlfn.CONCAT(B3917," ",E3917),ForeCalc!$B$36:$Y$36,0))))*VLOOKUP(A3917,Calendar!$A$2:$H$9997,8,FALSE),0)</f>
        <v/>
      </c>
      <c r="G3917" s="29">
        <f>VLOOKUP(A3917,Calendar!$A$1:$H$9997,6,FALSE)-F3917</f>
        <v/>
      </c>
      <c r="H3917" s="19" t="n">
        <v>2</v>
      </c>
      <c r="I3917" s="57" t="n">
        <v>9</v>
      </c>
    </row>
    <row r="3918">
      <c r="A3918" s="62" t="n">
        <v>46741</v>
      </c>
      <c r="B3918" s="3" t="inlineStr">
        <is>
          <t>Week</t>
        </is>
      </c>
      <c r="C3918" s="19" t="n">
        <v>12</v>
      </c>
      <c r="D3918" s="19" t="n">
        <v>2027</v>
      </c>
      <c r="E3918" s="57" t="n">
        <v>4</v>
      </c>
      <c r="F3918" s="29">
        <f>ROUND(((SUMIFS(Calendar!$F$2:$F$9997,Calendar!$B$2:$B$9997,D3918,Calendar!$C$2:$C$9997,C3918)*INDEX(ForeCalc!$B$37:$Y$274,MATCH(_xlfn.CONCAT(H3918," ",I3918),ForeCalc!$A$37:$A$274,0),MATCH(_xlfn.CONCAT(B3918," ",E3918),ForeCalc!$B$36:$Y$36,0))))*VLOOKUP(A3918,Calendar!$A$2:$H$9997,8,FALSE),0)</f>
        <v/>
      </c>
      <c r="G3918" s="29">
        <f>VLOOKUP(A3918,Calendar!$A$1:$H$9997,6,FALSE)-F3918</f>
        <v/>
      </c>
      <c r="H3918" s="19" t="n">
        <v>2</v>
      </c>
      <c r="I3918" s="57" t="n">
        <v>9</v>
      </c>
    </row>
    <row r="3919">
      <c r="A3919" s="62" t="n">
        <v>46742</v>
      </c>
      <c r="B3919" s="3" t="inlineStr">
        <is>
          <t>Week</t>
        </is>
      </c>
      <c r="C3919" s="19" t="n">
        <v>12</v>
      </c>
      <c r="D3919" s="19" t="n">
        <v>2027</v>
      </c>
      <c r="E3919" s="57" t="n">
        <v>4</v>
      </c>
      <c r="F3919" s="29">
        <f>ROUND(((SUMIFS(Calendar!$F$2:$F$9997,Calendar!$B$2:$B$9997,D3919,Calendar!$C$2:$C$9997,C3919)*INDEX(ForeCalc!$B$37:$Y$274,MATCH(_xlfn.CONCAT(H3919," ",I3919),ForeCalc!$A$37:$A$274,0),MATCH(_xlfn.CONCAT(B3919," ",E3919),ForeCalc!$B$36:$Y$36,0))))*VLOOKUP(A3919,Calendar!$A$2:$H$9997,8,FALSE),0)</f>
        <v/>
      </c>
      <c r="G3919" s="29">
        <f>VLOOKUP(A3919,Calendar!$A$1:$H$9997,6,FALSE)-F3919</f>
        <v/>
      </c>
      <c r="H3919" s="19" t="n">
        <v>2</v>
      </c>
      <c r="I3919" s="57" t="n">
        <v>9</v>
      </c>
    </row>
    <row r="3920">
      <c r="A3920" s="62" t="n">
        <v>46743</v>
      </c>
      <c r="B3920" s="3" t="inlineStr">
        <is>
          <t>Week</t>
        </is>
      </c>
      <c r="C3920" s="19" t="n">
        <v>12</v>
      </c>
      <c r="D3920" s="19" t="n">
        <v>2027</v>
      </c>
      <c r="E3920" s="57" t="n">
        <v>4</v>
      </c>
      <c r="F3920" s="29">
        <f>ROUND(((SUMIFS(Calendar!$F$2:$F$9997,Calendar!$B$2:$B$9997,D3920,Calendar!$C$2:$C$9997,C3920)*INDEX(ForeCalc!$B$37:$Y$274,MATCH(_xlfn.CONCAT(H3920," ",I3920),ForeCalc!$A$37:$A$274,0),MATCH(_xlfn.CONCAT(B3920," ",E3920),ForeCalc!$B$36:$Y$36,0))))*VLOOKUP(A3920,Calendar!$A$2:$H$9997,8,FALSE),0)</f>
        <v/>
      </c>
      <c r="G3920" s="29">
        <f>VLOOKUP(A3920,Calendar!$A$1:$H$9997,6,FALSE)-F3920</f>
        <v/>
      </c>
      <c r="H3920" s="19" t="n">
        <v>2</v>
      </c>
      <c r="I3920" s="57" t="n">
        <v>9</v>
      </c>
    </row>
    <row r="3921">
      <c r="A3921" s="62" t="n">
        <v>46744</v>
      </c>
      <c r="B3921" s="3" t="inlineStr">
        <is>
          <t>Week</t>
        </is>
      </c>
      <c r="C3921" s="19" t="n">
        <v>12</v>
      </c>
      <c r="D3921" s="19" t="n">
        <v>2027</v>
      </c>
      <c r="E3921" s="57" t="n">
        <v>4</v>
      </c>
      <c r="F3921" s="29">
        <f>ROUND(((SUMIFS(Calendar!$F$2:$F$9997,Calendar!$B$2:$B$9997,D3921,Calendar!$C$2:$C$9997,C3921)*INDEX(ForeCalc!$B$37:$Y$274,MATCH(_xlfn.CONCAT(H3921," ",I3921),ForeCalc!$A$37:$A$274,0),MATCH(_xlfn.CONCAT(B3921," ",E3921),ForeCalc!$B$36:$Y$36,0))))*VLOOKUP(A3921,Calendar!$A$2:$H$9997,8,FALSE),0)</f>
        <v/>
      </c>
      <c r="G3921" s="29">
        <f>VLOOKUP(A3921,Calendar!$A$1:$H$9997,6,FALSE)-F3921</f>
        <v/>
      </c>
      <c r="H3921" s="19" t="n">
        <v>2</v>
      </c>
      <c r="I3921" s="57" t="n">
        <v>9</v>
      </c>
    </row>
    <row r="3922">
      <c r="A3922" s="62" t="n">
        <v>46745</v>
      </c>
      <c r="B3922" s="3" t="inlineStr">
        <is>
          <t>Week</t>
        </is>
      </c>
      <c r="C3922" s="19" t="n">
        <v>12</v>
      </c>
      <c r="D3922" s="19" t="n">
        <v>2027</v>
      </c>
      <c r="E3922" s="57" t="n">
        <v>4</v>
      </c>
      <c r="F3922" s="29">
        <f>ROUND(((SUMIFS(Calendar!$F$2:$F$9997,Calendar!$B$2:$B$9997,D3922,Calendar!$C$2:$C$9997,C3922)*INDEX(ForeCalc!$B$37:$Y$274,MATCH(_xlfn.CONCAT(H3922," ",I3922),ForeCalc!$A$37:$A$274,0),MATCH(_xlfn.CONCAT(B3922," ",E3922),ForeCalc!$B$36:$Y$36,0))))*VLOOKUP(A3922,Calendar!$A$2:$H$9997,8,FALSE),0)</f>
        <v/>
      </c>
      <c r="G3922" s="29">
        <f>VLOOKUP(A3922,Calendar!$A$1:$H$9997,6,FALSE)-F3922</f>
        <v/>
      </c>
      <c r="H3922" s="19" t="n">
        <v>2</v>
      </c>
      <c r="I3922" s="57" t="n">
        <v>9</v>
      </c>
    </row>
    <row r="3923">
      <c r="A3923" s="62" t="n">
        <v>46746</v>
      </c>
      <c r="B3923" s="3" t="inlineStr">
        <is>
          <t>Sat</t>
        </is>
      </c>
      <c r="C3923" s="19" t="n">
        <v>12</v>
      </c>
      <c r="D3923" s="19" t="n">
        <v>2027</v>
      </c>
      <c r="E3923" s="57" t="n">
        <v>4</v>
      </c>
      <c r="F3923" s="29">
        <f>ROUND(((SUMIFS(Calendar!$F$2:$F$9997,Calendar!$B$2:$B$9997,D3923,Calendar!$C$2:$C$9997,C3923)*INDEX(ForeCalc!$B$37:$Y$274,MATCH(_xlfn.CONCAT(H3923," ",I3923),ForeCalc!$A$37:$A$274,0),MATCH(_xlfn.CONCAT(B3923," ",E3923),ForeCalc!$B$36:$Y$36,0))))*VLOOKUP(A3923,Calendar!$A$2:$H$9997,8,FALSE),0)</f>
        <v/>
      </c>
      <c r="G3923" s="29">
        <f>VLOOKUP(A3923,Calendar!$A$1:$H$9997,6,FALSE)-F3923</f>
        <v/>
      </c>
      <c r="H3923" s="19" t="n">
        <v>2</v>
      </c>
      <c r="I3923" s="57" t="n">
        <v>9</v>
      </c>
    </row>
    <row r="3924">
      <c r="A3924" s="62" t="n">
        <v>46747</v>
      </c>
      <c r="B3924" s="3" t="inlineStr">
        <is>
          <t>Sun</t>
        </is>
      </c>
      <c r="C3924" s="19" t="n">
        <v>12</v>
      </c>
      <c r="D3924" s="19" t="n">
        <v>2027</v>
      </c>
      <c r="E3924" s="57" t="n">
        <v>4</v>
      </c>
      <c r="F3924" s="29">
        <f>ROUND(((SUMIFS(Calendar!$F$2:$F$9997,Calendar!$B$2:$B$9997,D3924,Calendar!$C$2:$C$9997,C3924)*INDEX(ForeCalc!$B$37:$Y$274,MATCH(_xlfn.CONCAT(H3924," ",I3924),ForeCalc!$A$37:$A$274,0),MATCH(_xlfn.CONCAT(B3924," ",E3924),ForeCalc!$B$36:$Y$36,0))))*VLOOKUP(A3924,Calendar!$A$2:$H$9997,8,FALSE),0)</f>
        <v/>
      </c>
      <c r="G3924" s="29">
        <f>VLOOKUP(A3924,Calendar!$A$1:$H$9997,6,FALSE)-F3924</f>
        <v/>
      </c>
      <c r="H3924" s="19" t="n">
        <v>2</v>
      </c>
      <c r="I3924" s="57" t="n">
        <v>9</v>
      </c>
    </row>
    <row r="3925">
      <c r="A3925" s="62" t="n">
        <v>46748</v>
      </c>
      <c r="B3925" s="3" t="inlineStr">
        <is>
          <t>Week</t>
        </is>
      </c>
      <c r="C3925" s="19" t="n">
        <v>12</v>
      </c>
      <c r="D3925" s="19" t="n">
        <v>2027</v>
      </c>
      <c r="E3925" s="57" t="n">
        <v>4</v>
      </c>
      <c r="F3925" s="29">
        <f>ROUND(((SUMIFS(Calendar!$F$2:$F$9997,Calendar!$B$2:$B$9997,D3925,Calendar!$C$2:$C$9997,C3925)*INDEX(ForeCalc!$B$37:$Y$274,MATCH(_xlfn.CONCAT(H3925," ",I3925),ForeCalc!$A$37:$A$274,0),MATCH(_xlfn.CONCAT(B3925," ",E3925),ForeCalc!$B$36:$Y$36,0))))*VLOOKUP(A3925,Calendar!$A$2:$H$9997,8,FALSE),0)</f>
        <v/>
      </c>
      <c r="G3925" s="29">
        <f>VLOOKUP(A3925,Calendar!$A$1:$H$9997,6,FALSE)-F3925</f>
        <v/>
      </c>
      <c r="H3925" s="19" t="n">
        <v>2</v>
      </c>
      <c r="I3925" s="57" t="n">
        <v>9</v>
      </c>
    </row>
    <row r="3926">
      <c r="A3926" s="62" t="n">
        <v>46749</v>
      </c>
      <c r="B3926" s="3" t="inlineStr">
        <is>
          <t>Week</t>
        </is>
      </c>
      <c r="C3926" s="19" t="n">
        <v>12</v>
      </c>
      <c r="D3926" s="19" t="n">
        <v>2027</v>
      </c>
      <c r="E3926" s="57" t="n">
        <v>4</v>
      </c>
      <c r="F3926" s="29">
        <f>ROUND(((SUMIFS(Calendar!$F$2:$F$9997,Calendar!$B$2:$B$9997,D3926,Calendar!$C$2:$C$9997,C3926)*INDEX(ForeCalc!$B$37:$Y$274,MATCH(_xlfn.CONCAT(H3926," ",I3926),ForeCalc!$A$37:$A$274,0),MATCH(_xlfn.CONCAT(B3926," ",E3926),ForeCalc!$B$36:$Y$36,0))))*VLOOKUP(A3926,Calendar!$A$2:$H$9997,8,FALSE),0)</f>
        <v/>
      </c>
      <c r="G3926" s="29">
        <f>VLOOKUP(A3926,Calendar!$A$1:$H$9997,6,FALSE)-F3926</f>
        <v/>
      </c>
      <c r="H3926" s="19" t="n">
        <v>2</v>
      </c>
      <c r="I3926" s="57" t="n">
        <v>9</v>
      </c>
    </row>
    <row r="3927">
      <c r="A3927" s="62" t="n">
        <v>46750</v>
      </c>
      <c r="B3927" s="3" t="inlineStr">
        <is>
          <t>Week</t>
        </is>
      </c>
      <c r="C3927" s="19" t="n">
        <v>12</v>
      </c>
      <c r="D3927" s="19" t="n">
        <v>2027</v>
      </c>
      <c r="E3927" s="57" t="n">
        <v>4</v>
      </c>
      <c r="F3927" s="29">
        <f>ROUND(((SUMIFS(Calendar!$F$2:$F$9997,Calendar!$B$2:$B$9997,D3927,Calendar!$C$2:$C$9997,C3927)*INDEX(ForeCalc!$B$37:$Y$274,MATCH(_xlfn.CONCAT(H3927," ",I3927),ForeCalc!$A$37:$A$274,0),MATCH(_xlfn.CONCAT(B3927," ",E3927),ForeCalc!$B$36:$Y$36,0))))*VLOOKUP(A3927,Calendar!$A$2:$H$9997,8,FALSE),0)</f>
        <v/>
      </c>
      <c r="G3927" s="29">
        <f>VLOOKUP(A3927,Calendar!$A$1:$H$9997,6,FALSE)-F3927</f>
        <v/>
      </c>
      <c r="H3927" s="19" t="n">
        <v>2</v>
      </c>
      <c r="I3927" s="57" t="n">
        <v>9</v>
      </c>
    </row>
    <row r="3928">
      <c r="A3928" s="62" t="n">
        <v>46751</v>
      </c>
      <c r="B3928" s="3" t="inlineStr">
        <is>
          <t>Week</t>
        </is>
      </c>
      <c r="C3928" s="19" t="n">
        <v>12</v>
      </c>
      <c r="D3928" s="19" t="n">
        <v>2027</v>
      </c>
      <c r="E3928" s="57" t="n">
        <v>4</v>
      </c>
      <c r="F3928" s="29">
        <f>ROUND(((SUMIFS(Calendar!$F$2:$F$9997,Calendar!$B$2:$B$9997,D3928,Calendar!$C$2:$C$9997,C3928)*INDEX(ForeCalc!$B$37:$Y$274,MATCH(_xlfn.CONCAT(H3928," ",I3928),ForeCalc!$A$37:$A$274,0),MATCH(_xlfn.CONCAT(B3928," ",E3928),ForeCalc!$B$36:$Y$36,0))))*VLOOKUP(A3928,Calendar!$A$2:$H$9997,8,FALSE),0)</f>
        <v/>
      </c>
      <c r="G3928" s="29">
        <f>VLOOKUP(A3928,Calendar!$A$1:$H$9997,6,FALSE)-F3928</f>
        <v/>
      </c>
      <c r="H3928" s="19" t="n">
        <v>2</v>
      </c>
      <c r="I3928" s="57" t="n">
        <v>9</v>
      </c>
    </row>
    <row r="3929">
      <c r="A3929" s="62" t="n">
        <v>46752</v>
      </c>
      <c r="B3929" s="3" t="inlineStr">
        <is>
          <t>Week</t>
        </is>
      </c>
      <c r="C3929" s="19" t="n">
        <v>12</v>
      </c>
      <c r="D3929" s="19" t="n">
        <v>2027</v>
      </c>
      <c r="E3929" s="57" t="n">
        <v>4</v>
      </c>
      <c r="F3929" s="29">
        <f>ROUND(((SUMIFS(Calendar!$F$2:$F$9997,Calendar!$B$2:$B$9997,D3929,Calendar!$C$2:$C$9997,C3929)*INDEX(ForeCalc!$B$37:$Y$274,MATCH(_xlfn.CONCAT(H3929," ",I3929),ForeCalc!$A$37:$A$274,0),MATCH(_xlfn.CONCAT(B3929," ",E3929),ForeCalc!$B$36:$Y$36,0))))*VLOOKUP(A3929,Calendar!$A$2:$H$9997,8,FALSE),0)</f>
        <v/>
      </c>
      <c r="G3929" s="29">
        <f>VLOOKUP(A3929,Calendar!$A$1:$H$9997,6,FALSE)-F3929</f>
        <v/>
      </c>
      <c r="H3929" s="19" t="n">
        <v>2</v>
      </c>
      <c r="I3929" s="57" t="n">
        <v>9</v>
      </c>
    </row>
    <row r="3930">
      <c r="A3930" s="62" t="n">
        <v>46753</v>
      </c>
      <c r="B3930" s="3" t="inlineStr">
        <is>
          <t>Sat</t>
        </is>
      </c>
      <c r="C3930" s="19" t="n">
        <v>1</v>
      </c>
      <c r="D3930" s="19" t="n">
        <v>2028</v>
      </c>
      <c r="E3930" s="57" t="n">
        <v>4</v>
      </c>
      <c r="F3930" s="29">
        <f>ROUND(((SUMIFS(Calendar!$F$2:$F$9997,Calendar!$B$2:$B$9997,D3930,Calendar!$C$2:$C$9997,C3930)*INDEX(ForeCalc!$B$37:$Y$274,MATCH(_xlfn.CONCAT(H3930," ",I3930),ForeCalc!$A$37:$A$274,0),MATCH(_xlfn.CONCAT(B3930," ",E3930),ForeCalc!$B$36:$Y$36,0))))*VLOOKUP(A3930,Calendar!$A$2:$H$9997,8,FALSE),0)</f>
        <v/>
      </c>
      <c r="G3930" s="29">
        <f>VLOOKUP(A3930,Calendar!$A$1:$H$9997,6,FALSE)-F3930</f>
        <v/>
      </c>
      <c r="H3930" s="19" t="n">
        <v>2</v>
      </c>
      <c r="I3930" s="57" t="n">
        <v>10</v>
      </c>
    </row>
    <row r="3931">
      <c r="A3931" s="62" t="n">
        <v>46754</v>
      </c>
      <c r="B3931" s="3" t="inlineStr">
        <is>
          <t>Sun</t>
        </is>
      </c>
      <c r="C3931" s="19" t="n">
        <v>1</v>
      </c>
      <c r="D3931" s="19" t="n">
        <v>2028</v>
      </c>
      <c r="E3931" s="57" t="n">
        <v>4</v>
      </c>
      <c r="F3931" s="29">
        <f>ROUND(((SUMIFS(Calendar!$F$2:$F$9997,Calendar!$B$2:$B$9997,D3931,Calendar!$C$2:$C$9997,C3931)*INDEX(ForeCalc!$B$37:$Y$274,MATCH(_xlfn.CONCAT(H3931," ",I3931),ForeCalc!$A$37:$A$274,0),MATCH(_xlfn.CONCAT(B3931," ",E3931),ForeCalc!$B$36:$Y$36,0))))*VLOOKUP(A3931,Calendar!$A$2:$H$9997,8,FALSE),0)</f>
        <v/>
      </c>
      <c r="G3931" s="29">
        <f>VLOOKUP(A3931,Calendar!$A$1:$H$9997,6,FALSE)-F3931</f>
        <v/>
      </c>
      <c r="H3931" s="19" t="n">
        <v>2</v>
      </c>
      <c r="I3931" s="57" t="n">
        <v>10</v>
      </c>
    </row>
    <row r="3932">
      <c r="A3932" s="62" t="n">
        <v>46755</v>
      </c>
      <c r="B3932" s="3" t="inlineStr">
        <is>
          <t>Week</t>
        </is>
      </c>
      <c r="C3932" s="19" t="n">
        <v>1</v>
      </c>
      <c r="D3932" s="19" t="n">
        <v>2028</v>
      </c>
      <c r="E3932" s="57" t="n">
        <v>4</v>
      </c>
      <c r="F3932" s="29">
        <f>ROUND(((SUMIFS(Calendar!$F$2:$F$9997,Calendar!$B$2:$B$9997,D3932,Calendar!$C$2:$C$9997,C3932)*INDEX(ForeCalc!$B$37:$Y$274,MATCH(_xlfn.CONCAT(H3932," ",I3932),ForeCalc!$A$37:$A$274,0),MATCH(_xlfn.CONCAT(B3932," ",E3932),ForeCalc!$B$36:$Y$36,0))))*VLOOKUP(A3932,Calendar!$A$2:$H$9997,8,FALSE),0)</f>
        <v/>
      </c>
      <c r="G3932" s="29">
        <f>VLOOKUP(A3932,Calendar!$A$1:$H$9997,6,FALSE)-F3932</f>
        <v/>
      </c>
      <c r="H3932" s="19" t="n">
        <v>2</v>
      </c>
      <c r="I3932" s="57" t="n">
        <v>10</v>
      </c>
    </row>
    <row r="3933">
      <c r="A3933" s="62" t="n">
        <v>46756</v>
      </c>
      <c r="B3933" s="3" t="inlineStr">
        <is>
          <t>Week</t>
        </is>
      </c>
      <c r="C3933" s="19" t="n">
        <v>1</v>
      </c>
      <c r="D3933" s="19" t="n">
        <v>2028</v>
      </c>
      <c r="E3933" s="57" t="n">
        <v>4</v>
      </c>
      <c r="F3933" s="29">
        <f>ROUND(((SUMIFS(Calendar!$F$2:$F$9997,Calendar!$B$2:$B$9997,D3933,Calendar!$C$2:$C$9997,C3933)*INDEX(ForeCalc!$B$37:$Y$274,MATCH(_xlfn.CONCAT(H3933," ",I3933),ForeCalc!$A$37:$A$274,0),MATCH(_xlfn.CONCAT(B3933," ",E3933),ForeCalc!$B$36:$Y$36,0))))*VLOOKUP(A3933,Calendar!$A$2:$H$9997,8,FALSE),0)</f>
        <v/>
      </c>
      <c r="G3933" s="29">
        <f>VLOOKUP(A3933,Calendar!$A$1:$H$9997,6,FALSE)-F3933</f>
        <v/>
      </c>
      <c r="H3933" s="19" t="n">
        <v>2</v>
      </c>
      <c r="I3933" s="57" t="n">
        <v>10</v>
      </c>
    </row>
    <row r="3934">
      <c r="A3934" s="62" t="n">
        <v>46757</v>
      </c>
      <c r="B3934" s="3" t="inlineStr">
        <is>
          <t>Week</t>
        </is>
      </c>
      <c r="C3934" s="19" t="n">
        <v>1</v>
      </c>
      <c r="D3934" s="19" t="n">
        <v>2028</v>
      </c>
      <c r="E3934" s="57" t="n">
        <v>4</v>
      </c>
      <c r="F3934" s="29">
        <f>ROUND(((SUMIFS(Calendar!$F$2:$F$9997,Calendar!$B$2:$B$9997,D3934,Calendar!$C$2:$C$9997,C3934)*INDEX(ForeCalc!$B$37:$Y$274,MATCH(_xlfn.CONCAT(H3934," ",I3934),ForeCalc!$A$37:$A$274,0),MATCH(_xlfn.CONCAT(B3934," ",E3934),ForeCalc!$B$36:$Y$36,0))))*VLOOKUP(A3934,Calendar!$A$2:$H$9997,8,FALSE),0)</f>
        <v/>
      </c>
      <c r="G3934" s="29">
        <f>VLOOKUP(A3934,Calendar!$A$1:$H$9997,6,FALSE)-F3934</f>
        <v/>
      </c>
      <c r="H3934" s="19" t="n">
        <v>2</v>
      </c>
      <c r="I3934" s="57" t="n">
        <v>10</v>
      </c>
    </row>
    <row r="3935">
      <c r="A3935" s="62" t="n">
        <v>46758</v>
      </c>
      <c r="B3935" s="3" t="inlineStr">
        <is>
          <t>Week</t>
        </is>
      </c>
      <c r="C3935" s="19" t="n">
        <v>1</v>
      </c>
      <c r="D3935" s="19" t="n">
        <v>2028</v>
      </c>
      <c r="E3935" s="57" t="n">
        <v>4</v>
      </c>
      <c r="F3935" s="29">
        <f>ROUND(((SUMIFS(Calendar!$F$2:$F$9997,Calendar!$B$2:$B$9997,D3935,Calendar!$C$2:$C$9997,C3935)*INDEX(ForeCalc!$B$37:$Y$274,MATCH(_xlfn.CONCAT(H3935," ",I3935),ForeCalc!$A$37:$A$274,0),MATCH(_xlfn.CONCAT(B3935," ",E3935),ForeCalc!$B$36:$Y$36,0))))*VLOOKUP(A3935,Calendar!$A$2:$H$9997,8,FALSE),0)</f>
        <v/>
      </c>
      <c r="G3935" s="29">
        <f>VLOOKUP(A3935,Calendar!$A$1:$H$9997,6,FALSE)-F3935</f>
        <v/>
      </c>
      <c r="H3935" s="19" t="n">
        <v>2</v>
      </c>
      <c r="I3935" s="57" t="n">
        <v>10</v>
      </c>
    </row>
    <row r="3936">
      <c r="A3936" s="62" t="n">
        <v>46759</v>
      </c>
      <c r="B3936" s="3" t="inlineStr">
        <is>
          <t>Week</t>
        </is>
      </c>
      <c r="C3936" s="19" t="n">
        <v>1</v>
      </c>
      <c r="D3936" s="19" t="n">
        <v>2028</v>
      </c>
      <c r="E3936" s="57" t="n">
        <v>4</v>
      </c>
      <c r="F3936" s="29">
        <f>ROUND(((SUMIFS(Calendar!$F$2:$F$9997,Calendar!$B$2:$B$9997,D3936,Calendar!$C$2:$C$9997,C3936)*INDEX(ForeCalc!$B$37:$Y$274,MATCH(_xlfn.CONCAT(H3936," ",I3936),ForeCalc!$A$37:$A$274,0),MATCH(_xlfn.CONCAT(B3936," ",E3936),ForeCalc!$B$36:$Y$36,0))))*VLOOKUP(A3936,Calendar!$A$2:$H$9997,8,FALSE),0)</f>
        <v/>
      </c>
      <c r="G3936" s="29">
        <f>VLOOKUP(A3936,Calendar!$A$1:$H$9997,6,FALSE)-F3936</f>
        <v/>
      </c>
      <c r="H3936" s="19" t="n">
        <v>2</v>
      </c>
      <c r="I3936" s="57" t="n">
        <v>10</v>
      </c>
    </row>
    <row r="3937">
      <c r="A3937" s="62" t="n">
        <v>46760</v>
      </c>
      <c r="B3937" s="3" t="inlineStr">
        <is>
          <t>Sat</t>
        </is>
      </c>
      <c r="C3937" s="19" t="n">
        <v>1</v>
      </c>
      <c r="D3937" s="19" t="n">
        <v>2028</v>
      </c>
      <c r="E3937" s="57" t="n">
        <v>4</v>
      </c>
      <c r="F3937" s="29">
        <f>ROUND(((SUMIFS(Calendar!$F$2:$F$9997,Calendar!$B$2:$B$9997,D3937,Calendar!$C$2:$C$9997,C3937)*INDEX(ForeCalc!$B$37:$Y$274,MATCH(_xlfn.CONCAT(H3937," ",I3937),ForeCalc!$A$37:$A$274,0),MATCH(_xlfn.CONCAT(B3937," ",E3937),ForeCalc!$B$36:$Y$36,0))))*VLOOKUP(A3937,Calendar!$A$2:$H$9997,8,FALSE),0)</f>
        <v/>
      </c>
      <c r="G3937" s="29">
        <f>VLOOKUP(A3937,Calendar!$A$1:$H$9997,6,FALSE)-F3937</f>
        <v/>
      </c>
      <c r="H3937" s="19" t="n">
        <v>2</v>
      </c>
      <c r="I3937" s="57" t="n">
        <v>10</v>
      </c>
    </row>
    <row r="3938">
      <c r="A3938" s="62" t="n">
        <v>46761</v>
      </c>
      <c r="B3938" s="3" t="inlineStr">
        <is>
          <t>Sun</t>
        </is>
      </c>
      <c r="C3938" s="19" t="n">
        <v>1</v>
      </c>
      <c r="D3938" s="19" t="n">
        <v>2028</v>
      </c>
      <c r="E3938" s="57" t="n">
        <v>4</v>
      </c>
      <c r="F3938" s="29">
        <f>ROUND(((SUMIFS(Calendar!$F$2:$F$9997,Calendar!$B$2:$B$9997,D3938,Calendar!$C$2:$C$9997,C3938)*INDEX(ForeCalc!$B$37:$Y$274,MATCH(_xlfn.CONCAT(H3938," ",I3938),ForeCalc!$A$37:$A$274,0),MATCH(_xlfn.CONCAT(B3938," ",E3938),ForeCalc!$B$36:$Y$36,0))))*VLOOKUP(A3938,Calendar!$A$2:$H$9997,8,FALSE),0)</f>
        <v/>
      </c>
      <c r="G3938" s="29">
        <f>VLOOKUP(A3938,Calendar!$A$1:$H$9997,6,FALSE)-F3938</f>
        <v/>
      </c>
      <c r="H3938" s="19" t="n">
        <v>2</v>
      </c>
      <c r="I3938" s="57" t="n">
        <v>10</v>
      </c>
    </row>
    <row r="3939">
      <c r="A3939" s="62" t="n">
        <v>46762</v>
      </c>
      <c r="B3939" s="3" t="inlineStr">
        <is>
          <t>Week</t>
        </is>
      </c>
      <c r="C3939" s="19" t="n">
        <v>1</v>
      </c>
      <c r="D3939" s="19" t="n">
        <v>2028</v>
      </c>
      <c r="E3939" s="57" t="n">
        <v>4</v>
      </c>
      <c r="F3939" s="29">
        <f>ROUND(((SUMIFS(Calendar!$F$2:$F$9997,Calendar!$B$2:$B$9997,D3939,Calendar!$C$2:$C$9997,C3939)*INDEX(ForeCalc!$B$37:$Y$274,MATCH(_xlfn.CONCAT(H3939," ",I3939),ForeCalc!$A$37:$A$274,0),MATCH(_xlfn.CONCAT(B3939," ",E3939),ForeCalc!$B$36:$Y$36,0))))*VLOOKUP(A3939,Calendar!$A$2:$H$9997,8,FALSE),0)</f>
        <v/>
      </c>
      <c r="G3939" s="29">
        <f>VLOOKUP(A3939,Calendar!$A$1:$H$9997,6,FALSE)-F3939</f>
        <v/>
      </c>
      <c r="H3939" s="19" t="n">
        <v>2</v>
      </c>
      <c r="I3939" s="57" t="n">
        <v>10</v>
      </c>
    </row>
    <row r="3940">
      <c r="A3940" s="62" t="n">
        <v>46763</v>
      </c>
      <c r="B3940" s="3" t="inlineStr">
        <is>
          <t>Week</t>
        </is>
      </c>
      <c r="C3940" s="19" t="n">
        <v>1</v>
      </c>
      <c r="D3940" s="19" t="n">
        <v>2028</v>
      </c>
      <c r="E3940" s="57" t="n">
        <v>4</v>
      </c>
      <c r="F3940" s="29">
        <f>ROUND(((SUMIFS(Calendar!$F$2:$F$9997,Calendar!$B$2:$B$9997,D3940,Calendar!$C$2:$C$9997,C3940)*INDEX(ForeCalc!$B$37:$Y$274,MATCH(_xlfn.CONCAT(H3940," ",I3940),ForeCalc!$A$37:$A$274,0),MATCH(_xlfn.CONCAT(B3940," ",E3940),ForeCalc!$B$36:$Y$36,0))))*VLOOKUP(A3940,Calendar!$A$2:$H$9997,8,FALSE),0)</f>
        <v/>
      </c>
      <c r="G3940" s="29">
        <f>VLOOKUP(A3940,Calendar!$A$1:$H$9997,6,FALSE)-F3940</f>
        <v/>
      </c>
      <c r="H3940" s="19" t="n">
        <v>2</v>
      </c>
      <c r="I3940" s="57" t="n">
        <v>10</v>
      </c>
    </row>
    <row r="3941">
      <c r="A3941" s="62" t="n">
        <v>46764</v>
      </c>
      <c r="B3941" s="3" t="inlineStr">
        <is>
          <t>Week</t>
        </is>
      </c>
      <c r="C3941" s="19" t="n">
        <v>1</v>
      </c>
      <c r="D3941" s="19" t="n">
        <v>2028</v>
      </c>
      <c r="E3941" s="57" t="n">
        <v>4</v>
      </c>
      <c r="F3941" s="29">
        <f>ROUND(((SUMIFS(Calendar!$F$2:$F$9997,Calendar!$B$2:$B$9997,D3941,Calendar!$C$2:$C$9997,C3941)*INDEX(ForeCalc!$B$37:$Y$274,MATCH(_xlfn.CONCAT(H3941," ",I3941),ForeCalc!$A$37:$A$274,0),MATCH(_xlfn.CONCAT(B3941," ",E3941),ForeCalc!$B$36:$Y$36,0))))*VLOOKUP(A3941,Calendar!$A$2:$H$9997,8,FALSE),0)</f>
        <v/>
      </c>
      <c r="G3941" s="29">
        <f>VLOOKUP(A3941,Calendar!$A$1:$H$9997,6,FALSE)-F3941</f>
        <v/>
      </c>
      <c r="H3941" s="19" t="n">
        <v>2</v>
      </c>
      <c r="I3941" s="57" t="n">
        <v>10</v>
      </c>
    </row>
    <row r="3942">
      <c r="A3942" s="62" t="n">
        <v>46765</v>
      </c>
      <c r="B3942" s="3" t="inlineStr">
        <is>
          <t>Week</t>
        </is>
      </c>
      <c r="C3942" s="19" t="n">
        <v>1</v>
      </c>
      <c r="D3942" s="19" t="n">
        <v>2028</v>
      </c>
      <c r="E3942" s="57" t="n">
        <v>4</v>
      </c>
      <c r="F3942" s="29">
        <f>ROUND(((SUMIFS(Calendar!$F$2:$F$9997,Calendar!$B$2:$B$9997,D3942,Calendar!$C$2:$C$9997,C3942)*INDEX(ForeCalc!$B$37:$Y$274,MATCH(_xlfn.CONCAT(H3942," ",I3942),ForeCalc!$A$37:$A$274,0),MATCH(_xlfn.CONCAT(B3942," ",E3942),ForeCalc!$B$36:$Y$36,0))))*VLOOKUP(A3942,Calendar!$A$2:$H$9997,8,FALSE),0)</f>
        <v/>
      </c>
      <c r="G3942" s="29">
        <f>VLOOKUP(A3942,Calendar!$A$1:$H$9997,6,FALSE)-F3942</f>
        <v/>
      </c>
      <c r="H3942" s="19" t="n">
        <v>2</v>
      </c>
      <c r="I3942" s="57" t="n">
        <v>10</v>
      </c>
    </row>
    <row r="3943">
      <c r="A3943" s="62" t="n">
        <v>46766</v>
      </c>
      <c r="B3943" s="3" t="inlineStr">
        <is>
          <t>Week</t>
        </is>
      </c>
      <c r="C3943" s="19" t="n">
        <v>1</v>
      </c>
      <c r="D3943" s="19" t="n">
        <v>2028</v>
      </c>
      <c r="E3943" s="57" t="n">
        <v>4</v>
      </c>
      <c r="F3943" s="29">
        <f>ROUND(((SUMIFS(Calendar!$F$2:$F$9997,Calendar!$B$2:$B$9997,D3943,Calendar!$C$2:$C$9997,C3943)*INDEX(ForeCalc!$B$37:$Y$274,MATCH(_xlfn.CONCAT(H3943," ",I3943),ForeCalc!$A$37:$A$274,0),MATCH(_xlfn.CONCAT(B3943," ",E3943),ForeCalc!$B$36:$Y$36,0))))*VLOOKUP(A3943,Calendar!$A$2:$H$9997,8,FALSE),0)</f>
        <v/>
      </c>
      <c r="G3943" s="29">
        <f>VLOOKUP(A3943,Calendar!$A$1:$H$9997,6,FALSE)-F3943</f>
        <v/>
      </c>
      <c r="H3943" s="19" t="n">
        <v>2</v>
      </c>
      <c r="I3943" s="57" t="n">
        <v>10</v>
      </c>
    </row>
    <row r="3944">
      <c r="A3944" s="62" t="n">
        <v>46767</v>
      </c>
      <c r="B3944" s="3" t="inlineStr">
        <is>
          <t>Sat</t>
        </is>
      </c>
      <c r="C3944" s="19" t="n">
        <v>1</v>
      </c>
      <c r="D3944" s="19" t="n">
        <v>2028</v>
      </c>
      <c r="E3944" s="57" t="n">
        <v>4</v>
      </c>
      <c r="F3944" s="29">
        <f>ROUND(((SUMIFS(Calendar!$F$2:$F$9997,Calendar!$B$2:$B$9997,D3944,Calendar!$C$2:$C$9997,C3944)*INDEX(ForeCalc!$B$37:$Y$274,MATCH(_xlfn.CONCAT(H3944," ",I3944),ForeCalc!$A$37:$A$274,0),MATCH(_xlfn.CONCAT(B3944," ",E3944),ForeCalc!$B$36:$Y$36,0))))*VLOOKUP(A3944,Calendar!$A$2:$H$9997,8,FALSE),0)</f>
        <v/>
      </c>
      <c r="G3944" s="29">
        <f>VLOOKUP(A3944,Calendar!$A$1:$H$9997,6,FALSE)-F3944</f>
        <v/>
      </c>
      <c r="H3944" s="19" t="n">
        <v>2</v>
      </c>
      <c r="I3944" s="57" t="n">
        <v>10</v>
      </c>
    </row>
    <row r="3945">
      <c r="A3945" s="62" t="n">
        <v>46768</v>
      </c>
      <c r="B3945" s="3" t="inlineStr">
        <is>
          <t>Sun</t>
        </is>
      </c>
      <c r="C3945" s="19" t="n">
        <v>1</v>
      </c>
      <c r="D3945" s="19" t="n">
        <v>2028</v>
      </c>
      <c r="E3945" s="57" t="n">
        <v>4</v>
      </c>
      <c r="F3945" s="29">
        <f>ROUND(((SUMIFS(Calendar!$F$2:$F$9997,Calendar!$B$2:$B$9997,D3945,Calendar!$C$2:$C$9997,C3945)*INDEX(ForeCalc!$B$37:$Y$274,MATCH(_xlfn.CONCAT(H3945," ",I3945),ForeCalc!$A$37:$A$274,0),MATCH(_xlfn.CONCAT(B3945," ",E3945),ForeCalc!$B$36:$Y$36,0))))*VLOOKUP(A3945,Calendar!$A$2:$H$9997,8,FALSE),0)</f>
        <v/>
      </c>
      <c r="G3945" s="29">
        <f>VLOOKUP(A3945,Calendar!$A$1:$H$9997,6,FALSE)-F3945</f>
        <v/>
      </c>
      <c r="H3945" s="19" t="n">
        <v>2</v>
      </c>
      <c r="I3945" s="57" t="n">
        <v>10</v>
      </c>
    </row>
    <row r="3946">
      <c r="A3946" s="62" t="n">
        <v>46769</v>
      </c>
      <c r="B3946" s="3" t="inlineStr">
        <is>
          <t>Week</t>
        </is>
      </c>
      <c r="C3946" s="19" t="n">
        <v>1</v>
      </c>
      <c r="D3946" s="19" t="n">
        <v>2028</v>
      </c>
      <c r="E3946" s="57" t="n">
        <v>4</v>
      </c>
      <c r="F3946" s="29">
        <f>ROUND(((SUMIFS(Calendar!$F$2:$F$9997,Calendar!$B$2:$B$9997,D3946,Calendar!$C$2:$C$9997,C3946)*INDEX(ForeCalc!$B$37:$Y$274,MATCH(_xlfn.CONCAT(H3946," ",I3946),ForeCalc!$A$37:$A$274,0),MATCH(_xlfn.CONCAT(B3946," ",E3946),ForeCalc!$B$36:$Y$36,0))))*VLOOKUP(A3946,Calendar!$A$2:$H$9997,8,FALSE),0)</f>
        <v/>
      </c>
      <c r="G3946" s="29">
        <f>VLOOKUP(A3946,Calendar!$A$1:$H$9997,6,FALSE)-F3946</f>
        <v/>
      </c>
      <c r="H3946" s="19" t="n">
        <v>2</v>
      </c>
      <c r="I3946" s="57" t="n">
        <v>10</v>
      </c>
    </row>
    <row r="3947">
      <c r="A3947" s="62" t="n">
        <v>46770</v>
      </c>
      <c r="B3947" s="3" t="inlineStr">
        <is>
          <t>Week</t>
        </is>
      </c>
      <c r="C3947" s="19" t="n">
        <v>1</v>
      </c>
      <c r="D3947" s="19" t="n">
        <v>2028</v>
      </c>
      <c r="E3947" s="57" t="n">
        <v>4</v>
      </c>
      <c r="F3947" s="29">
        <f>ROUND(((SUMIFS(Calendar!$F$2:$F$9997,Calendar!$B$2:$B$9997,D3947,Calendar!$C$2:$C$9997,C3947)*INDEX(ForeCalc!$B$37:$Y$274,MATCH(_xlfn.CONCAT(H3947," ",I3947),ForeCalc!$A$37:$A$274,0),MATCH(_xlfn.CONCAT(B3947," ",E3947),ForeCalc!$B$36:$Y$36,0))))*VLOOKUP(A3947,Calendar!$A$2:$H$9997,8,FALSE),0)</f>
        <v/>
      </c>
      <c r="G3947" s="29">
        <f>VLOOKUP(A3947,Calendar!$A$1:$H$9997,6,FALSE)-F3947</f>
        <v/>
      </c>
      <c r="H3947" s="19" t="n">
        <v>2</v>
      </c>
      <c r="I3947" s="57" t="n">
        <v>10</v>
      </c>
    </row>
    <row r="3948">
      <c r="A3948" s="62" t="n">
        <v>46771</v>
      </c>
      <c r="B3948" s="3" t="inlineStr">
        <is>
          <t>Week</t>
        </is>
      </c>
      <c r="C3948" s="19" t="n">
        <v>1</v>
      </c>
      <c r="D3948" s="19" t="n">
        <v>2028</v>
      </c>
      <c r="E3948" s="57" t="n">
        <v>4</v>
      </c>
      <c r="F3948" s="29">
        <f>ROUND(((SUMIFS(Calendar!$F$2:$F$9997,Calendar!$B$2:$B$9997,D3948,Calendar!$C$2:$C$9997,C3948)*INDEX(ForeCalc!$B$37:$Y$274,MATCH(_xlfn.CONCAT(H3948," ",I3948),ForeCalc!$A$37:$A$274,0),MATCH(_xlfn.CONCAT(B3948," ",E3948),ForeCalc!$B$36:$Y$36,0))))*VLOOKUP(A3948,Calendar!$A$2:$H$9997,8,FALSE),0)</f>
        <v/>
      </c>
      <c r="G3948" s="29">
        <f>VLOOKUP(A3948,Calendar!$A$1:$H$9997,6,FALSE)-F3948</f>
        <v/>
      </c>
      <c r="H3948" s="19" t="n">
        <v>2</v>
      </c>
      <c r="I3948" s="57" t="n">
        <v>10</v>
      </c>
    </row>
    <row r="3949">
      <c r="A3949" s="62" t="n">
        <v>46772</v>
      </c>
      <c r="B3949" s="3" t="inlineStr">
        <is>
          <t>Week</t>
        </is>
      </c>
      <c r="C3949" s="19" t="n">
        <v>1</v>
      </c>
      <c r="D3949" s="19" t="n">
        <v>2028</v>
      </c>
      <c r="E3949" s="57" t="n">
        <v>4</v>
      </c>
      <c r="F3949" s="29">
        <f>ROUND(((SUMIFS(Calendar!$F$2:$F$9997,Calendar!$B$2:$B$9997,D3949,Calendar!$C$2:$C$9997,C3949)*INDEX(ForeCalc!$B$37:$Y$274,MATCH(_xlfn.CONCAT(H3949," ",I3949),ForeCalc!$A$37:$A$274,0),MATCH(_xlfn.CONCAT(B3949," ",E3949),ForeCalc!$B$36:$Y$36,0))))*VLOOKUP(A3949,Calendar!$A$2:$H$9997,8,FALSE),0)</f>
        <v/>
      </c>
      <c r="G3949" s="29">
        <f>VLOOKUP(A3949,Calendar!$A$1:$H$9997,6,FALSE)-F3949</f>
        <v/>
      </c>
      <c r="H3949" s="19" t="n">
        <v>2</v>
      </c>
      <c r="I3949" s="57" t="n">
        <v>10</v>
      </c>
    </row>
    <row r="3950">
      <c r="A3950" s="62" t="n">
        <v>46773</v>
      </c>
      <c r="B3950" s="3" t="inlineStr">
        <is>
          <t>Week</t>
        </is>
      </c>
      <c r="C3950" s="19" t="n">
        <v>1</v>
      </c>
      <c r="D3950" s="19" t="n">
        <v>2028</v>
      </c>
      <c r="E3950" s="57" t="n">
        <v>4</v>
      </c>
      <c r="F3950" s="29">
        <f>ROUND(((SUMIFS(Calendar!$F$2:$F$9997,Calendar!$B$2:$B$9997,D3950,Calendar!$C$2:$C$9997,C3950)*INDEX(ForeCalc!$B$37:$Y$274,MATCH(_xlfn.CONCAT(H3950," ",I3950),ForeCalc!$A$37:$A$274,0),MATCH(_xlfn.CONCAT(B3950," ",E3950),ForeCalc!$B$36:$Y$36,0))))*VLOOKUP(A3950,Calendar!$A$2:$H$9997,8,FALSE),0)</f>
        <v/>
      </c>
      <c r="G3950" s="29">
        <f>VLOOKUP(A3950,Calendar!$A$1:$H$9997,6,FALSE)-F3950</f>
        <v/>
      </c>
      <c r="H3950" s="19" t="n">
        <v>2</v>
      </c>
      <c r="I3950" s="57" t="n">
        <v>10</v>
      </c>
    </row>
    <row r="3951">
      <c r="A3951" s="62" t="n">
        <v>46774</v>
      </c>
      <c r="B3951" s="3" t="inlineStr">
        <is>
          <t>Sat</t>
        </is>
      </c>
      <c r="C3951" s="19" t="n">
        <v>1</v>
      </c>
      <c r="D3951" s="19" t="n">
        <v>2028</v>
      </c>
      <c r="E3951" s="57" t="n">
        <v>4</v>
      </c>
      <c r="F3951" s="29">
        <f>ROUND(((SUMIFS(Calendar!$F$2:$F$9997,Calendar!$B$2:$B$9997,D3951,Calendar!$C$2:$C$9997,C3951)*INDEX(ForeCalc!$B$37:$Y$274,MATCH(_xlfn.CONCAT(H3951," ",I3951),ForeCalc!$A$37:$A$274,0),MATCH(_xlfn.CONCAT(B3951," ",E3951),ForeCalc!$B$36:$Y$36,0))))*VLOOKUP(A3951,Calendar!$A$2:$H$9997,8,FALSE),0)</f>
        <v/>
      </c>
      <c r="G3951" s="29">
        <f>VLOOKUP(A3951,Calendar!$A$1:$H$9997,6,FALSE)-F3951</f>
        <v/>
      </c>
      <c r="H3951" s="19" t="n">
        <v>2</v>
      </c>
      <c r="I3951" s="57" t="n">
        <v>10</v>
      </c>
    </row>
    <row r="3952">
      <c r="A3952" s="62" t="n">
        <v>46775</v>
      </c>
      <c r="B3952" s="3" t="inlineStr">
        <is>
          <t>Sun</t>
        </is>
      </c>
      <c r="C3952" s="19" t="n">
        <v>1</v>
      </c>
      <c r="D3952" s="19" t="n">
        <v>2028</v>
      </c>
      <c r="E3952" s="57" t="n">
        <v>4</v>
      </c>
      <c r="F3952" s="29">
        <f>ROUND(((SUMIFS(Calendar!$F$2:$F$9997,Calendar!$B$2:$B$9997,D3952,Calendar!$C$2:$C$9997,C3952)*INDEX(ForeCalc!$B$37:$Y$274,MATCH(_xlfn.CONCAT(H3952," ",I3952),ForeCalc!$A$37:$A$274,0),MATCH(_xlfn.CONCAT(B3952," ",E3952),ForeCalc!$B$36:$Y$36,0))))*VLOOKUP(A3952,Calendar!$A$2:$H$9997,8,FALSE),0)</f>
        <v/>
      </c>
      <c r="G3952" s="29">
        <f>VLOOKUP(A3952,Calendar!$A$1:$H$9997,6,FALSE)-F3952</f>
        <v/>
      </c>
      <c r="H3952" s="19" t="n">
        <v>2</v>
      </c>
      <c r="I3952" s="57" t="n">
        <v>10</v>
      </c>
    </row>
    <row r="3953">
      <c r="A3953" s="62" t="n">
        <v>46776</v>
      </c>
      <c r="B3953" s="3" t="inlineStr">
        <is>
          <t>Week</t>
        </is>
      </c>
      <c r="C3953" s="19" t="n">
        <v>1</v>
      </c>
      <c r="D3953" s="19" t="n">
        <v>2028</v>
      </c>
      <c r="E3953" s="57" t="n">
        <v>4</v>
      </c>
      <c r="F3953" s="29">
        <f>ROUND(((SUMIFS(Calendar!$F$2:$F$9997,Calendar!$B$2:$B$9997,D3953,Calendar!$C$2:$C$9997,C3953)*INDEX(ForeCalc!$B$37:$Y$274,MATCH(_xlfn.CONCAT(H3953," ",I3953),ForeCalc!$A$37:$A$274,0),MATCH(_xlfn.CONCAT(B3953," ",E3953),ForeCalc!$B$36:$Y$36,0))))*VLOOKUP(A3953,Calendar!$A$2:$H$9997,8,FALSE),0)</f>
        <v/>
      </c>
      <c r="G3953" s="29">
        <f>VLOOKUP(A3953,Calendar!$A$1:$H$9997,6,FALSE)-F3953</f>
        <v/>
      </c>
      <c r="H3953" s="19" t="n">
        <v>2</v>
      </c>
      <c r="I3953" s="57" t="n">
        <v>10</v>
      </c>
    </row>
    <row r="3954">
      <c r="A3954" s="62" t="n">
        <v>46777</v>
      </c>
      <c r="B3954" s="3" t="inlineStr">
        <is>
          <t>Week</t>
        </is>
      </c>
      <c r="C3954" s="19" t="n">
        <v>1</v>
      </c>
      <c r="D3954" s="19" t="n">
        <v>2028</v>
      </c>
      <c r="E3954" s="57" t="n">
        <v>4</v>
      </c>
      <c r="F3954" s="29">
        <f>ROUND(((SUMIFS(Calendar!$F$2:$F$9997,Calendar!$B$2:$B$9997,D3954,Calendar!$C$2:$C$9997,C3954)*INDEX(ForeCalc!$B$37:$Y$274,MATCH(_xlfn.CONCAT(H3954," ",I3954),ForeCalc!$A$37:$A$274,0),MATCH(_xlfn.CONCAT(B3954," ",E3954),ForeCalc!$B$36:$Y$36,0))))*VLOOKUP(A3954,Calendar!$A$2:$H$9997,8,FALSE),0)</f>
        <v/>
      </c>
      <c r="G3954" s="29">
        <f>VLOOKUP(A3954,Calendar!$A$1:$H$9997,6,FALSE)-F3954</f>
        <v/>
      </c>
      <c r="H3954" s="19" t="n">
        <v>2</v>
      </c>
      <c r="I3954" s="57" t="n">
        <v>10</v>
      </c>
    </row>
    <row r="3955">
      <c r="A3955" s="62" t="n">
        <v>46778</v>
      </c>
      <c r="B3955" s="3" t="inlineStr">
        <is>
          <t>Week</t>
        </is>
      </c>
      <c r="C3955" s="19" t="n">
        <v>1</v>
      </c>
      <c r="D3955" s="19" t="n">
        <v>2028</v>
      </c>
      <c r="E3955" s="57" t="n">
        <v>4</v>
      </c>
      <c r="F3955" s="29">
        <f>ROUND(((SUMIFS(Calendar!$F$2:$F$9997,Calendar!$B$2:$B$9997,D3955,Calendar!$C$2:$C$9997,C3955)*INDEX(ForeCalc!$B$37:$Y$274,MATCH(_xlfn.CONCAT(H3955," ",I3955),ForeCalc!$A$37:$A$274,0),MATCH(_xlfn.CONCAT(B3955," ",E3955),ForeCalc!$B$36:$Y$36,0))))*VLOOKUP(A3955,Calendar!$A$2:$H$9997,8,FALSE),0)</f>
        <v/>
      </c>
      <c r="G3955" s="29">
        <f>VLOOKUP(A3955,Calendar!$A$1:$H$9997,6,FALSE)-F3955</f>
        <v/>
      </c>
      <c r="H3955" s="19" t="n">
        <v>2</v>
      </c>
      <c r="I3955" s="57" t="n">
        <v>10</v>
      </c>
    </row>
    <row r="3956">
      <c r="A3956" s="62" t="n">
        <v>46779</v>
      </c>
      <c r="B3956" s="3" t="inlineStr">
        <is>
          <t>Week</t>
        </is>
      </c>
      <c r="C3956" s="19" t="n">
        <v>1</v>
      </c>
      <c r="D3956" s="19" t="n">
        <v>2028</v>
      </c>
      <c r="E3956" s="57" t="n">
        <v>4</v>
      </c>
      <c r="F3956" s="29">
        <f>ROUND(((SUMIFS(Calendar!$F$2:$F$9997,Calendar!$B$2:$B$9997,D3956,Calendar!$C$2:$C$9997,C3956)*INDEX(ForeCalc!$B$37:$Y$274,MATCH(_xlfn.CONCAT(H3956," ",I3956),ForeCalc!$A$37:$A$274,0),MATCH(_xlfn.CONCAT(B3956," ",E3956),ForeCalc!$B$36:$Y$36,0))))*VLOOKUP(A3956,Calendar!$A$2:$H$9997,8,FALSE),0)</f>
        <v/>
      </c>
      <c r="G3956" s="29">
        <f>VLOOKUP(A3956,Calendar!$A$1:$H$9997,6,FALSE)-F3956</f>
        <v/>
      </c>
      <c r="H3956" s="19" t="n">
        <v>2</v>
      </c>
      <c r="I3956" s="57" t="n">
        <v>10</v>
      </c>
    </row>
    <row r="3957">
      <c r="A3957" s="62" t="n">
        <v>46780</v>
      </c>
      <c r="B3957" s="3" t="inlineStr">
        <is>
          <t>Week</t>
        </is>
      </c>
      <c r="C3957" s="19" t="n">
        <v>1</v>
      </c>
      <c r="D3957" s="19" t="n">
        <v>2028</v>
      </c>
      <c r="E3957" s="57" t="n">
        <v>4</v>
      </c>
      <c r="F3957" s="29">
        <f>ROUND(((SUMIFS(Calendar!$F$2:$F$9997,Calendar!$B$2:$B$9997,D3957,Calendar!$C$2:$C$9997,C3957)*INDEX(ForeCalc!$B$37:$Y$274,MATCH(_xlfn.CONCAT(H3957," ",I3957),ForeCalc!$A$37:$A$274,0),MATCH(_xlfn.CONCAT(B3957," ",E3957),ForeCalc!$B$36:$Y$36,0))))*VLOOKUP(A3957,Calendar!$A$2:$H$9997,8,FALSE),0)</f>
        <v/>
      </c>
      <c r="G3957" s="29">
        <f>VLOOKUP(A3957,Calendar!$A$1:$H$9997,6,FALSE)-F3957</f>
        <v/>
      </c>
      <c r="H3957" s="19" t="n">
        <v>2</v>
      </c>
      <c r="I3957" s="57" t="n">
        <v>10</v>
      </c>
    </row>
    <row r="3958">
      <c r="A3958" s="62" t="n">
        <v>46781</v>
      </c>
      <c r="B3958" s="3" t="inlineStr">
        <is>
          <t>Sat</t>
        </is>
      </c>
      <c r="C3958" s="19" t="n">
        <v>1</v>
      </c>
      <c r="D3958" s="19" t="n">
        <v>2028</v>
      </c>
      <c r="E3958" s="57" t="n">
        <v>4</v>
      </c>
      <c r="F3958" s="29">
        <f>ROUND(((SUMIFS(Calendar!$F$2:$F$9997,Calendar!$B$2:$B$9997,D3958,Calendar!$C$2:$C$9997,C3958)*INDEX(ForeCalc!$B$37:$Y$274,MATCH(_xlfn.CONCAT(H3958," ",I3958),ForeCalc!$A$37:$A$274,0),MATCH(_xlfn.CONCAT(B3958," ",E3958),ForeCalc!$B$36:$Y$36,0))))*VLOOKUP(A3958,Calendar!$A$2:$H$9997,8,FALSE),0)</f>
        <v/>
      </c>
      <c r="G3958" s="29">
        <f>VLOOKUP(A3958,Calendar!$A$1:$H$9997,6,FALSE)-F3958</f>
        <v/>
      </c>
      <c r="H3958" s="19" t="n">
        <v>2</v>
      </c>
      <c r="I3958" s="57" t="n">
        <v>10</v>
      </c>
    </row>
    <row r="3959">
      <c r="A3959" s="62" t="n">
        <v>46782</v>
      </c>
      <c r="B3959" s="3" t="inlineStr">
        <is>
          <t>Sun</t>
        </is>
      </c>
      <c r="C3959" s="19" t="n">
        <v>1</v>
      </c>
      <c r="D3959" s="19" t="n">
        <v>2028</v>
      </c>
      <c r="E3959" s="57" t="n">
        <v>4</v>
      </c>
      <c r="F3959" s="29">
        <f>ROUND(((SUMIFS(Calendar!$F$2:$F$9997,Calendar!$B$2:$B$9997,D3959,Calendar!$C$2:$C$9997,C3959)*INDEX(ForeCalc!$B$37:$Y$274,MATCH(_xlfn.CONCAT(H3959," ",I3959),ForeCalc!$A$37:$A$274,0),MATCH(_xlfn.CONCAT(B3959," ",E3959),ForeCalc!$B$36:$Y$36,0))))*VLOOKUP(A3959,Calendar!$A$2:$H$9997,8,FALSE),0)</f>
        <v/>
      </c>
      <c r="G3959" s="29">
        <f>VLOOKUP(A3959,Calendar!$A$1:$H$9997,6,FALSE)-F3959</f>
        <v/>
      </c>
      <c r="H3959" s="19" t="n">
        <v>2</v>
      </c>
      <c r="I3959" s="57" t="n">
        <v>10</v>
      </c>
    </row>
    <row r="3960">
      <c r="A3960" s="62" t="n">
        <v>46783</v>
      </c>
      <c r="B3960" s="3" t="inlineStr">
        <is>
          <t>Week</t>
        </is>
      </c>
      <c r="C3960" s="19" t="n">
        <v>1</v>
      </c>
      <c r="D3960" s="19" t="n">
        <v>2028</v>
      </c>
      <c r="E3960" s="57" t="n">
        <v>4</v>
      </c>
      <c r="F3960" s="29">
        <f>ROUND(((SUMIFS(Calendar!$F$2:$F$9997,Calendar!$B$2:$B$9997,D3960,Calendar!$C$2:$C$9997,C3960)*INDEX(ForeCalc!$B$37:$Y$274,MATCH(_xlfn.CONCAT(H3960," ",I3960),ForeCalc!$A$37:$A$274,0),MATCH(_xlfn.CONCAT(B3960," ",E3960),ForeCalc!$B$36:$Y$36,0))))*VLOOKUP(A3960,Calendar!$A$2:$H$9997,8,FALSE),0)</f>
        <v/>
      </c>
      <c r="G3960" s="29">
        <f>VLOOKUP(A3960,Calendar!$A$1:$H$9997,6,FALSE)-F3960</f>
        <v/>
      </c>
      <c r="H3960" s="19" t="n">
        <v>2</v>
      </c>
      <c r="I3960" s="57" t="n">
        <v>10</v>
      </c>
    </row>
    <row r="3961">
      <c r="A3961" s="62" t="n">
        <v>46784</v>
      </c>
      <c r="B3961" s="3" t="inlineStr">
        <is>
          <t>Week</t>
        </is>
      </c>
      <c r="C3961" s="19" t="n">
        <v>2</v>
      </c>
      <c r="D3961" s="19" t="n">
        <v>2028</v>
      </c>
      <c r="E3961" s="57" t="n">
        <v>4</v>
      </c>
      <c r="F3961" s="29">
        <f>ROUND(((SUMIFS(Calendar!$F$2:$F$9997,Calendar!$B$2:$B$9997,D3961,Calendar!$C$2:$C$9997,C3961)*INDEX(ForeCalc!$B$37:$Y$274,MATCH(_xlfn.CONCAT(H3961," ",I3961),ForeCalc!$A$37:$A$274,0),MATCH(_xlfn.CONCAT(B3961," ",E3961),ForeCalc!$B$36:$Y$36,0))))*VLOOKUP(A3961,Calendar!$A$2:$H$9997,8,FALSE),0)</f>
        <v/>
      </c>
      <c r="G3961" s="29">
        <f>VLOOKUP(A3961,Calendar!$A$1:$H$9997,6,FALSE)-F3961</f>
        <v/>
      </c>
      <c r="H3961" s="19" t="n">
        <v>2</v>
      </c>
      <c r="I3961" s="57" t="n">
        <v>11</v>
      </c>
    </row>
    <row r="3962">
      <c r="A3962" s="62" t="n">
        <v>46785</v>
      </c>
      <c r="B3962" s="3" t="inlineStr">
        <is>
          <t>Week</t>
        </is>
      </c>
      <c r="C3962" s="19" t="n">
        <v>2</v>
      </c>
      <c r="D3962" s="19" t="n">
        <v>2028</v>
      </c>
      <c r="E3962" s="57" t="n">
        <v>4</v>
      </c>
      <c r="F3962" s="29">
        <f>ROUND(((SUMIFS(Calendar!$F$2:$F$9997,Calendar!$B$2:$B$9997,D3962,Calendar!$C$2:$C$9997,C3962)*INDEX(ForeCalc!$B$37:$Y$274,MATCH(_xlfn.CONCAT(H3962," ",I3962),ForeCalc!$A$37:$A$274,0),MATCH(_xlfn.CONCAT(B3962," ",E3962),ForeCalc!$B$36:$Y$36,0))))*VLOOKUP(A3962,Calendar!$A$2:$H$9997,8,FALSE),0)</f>
        <v/>
      </c>
      <c r="G3962" s="29">
        <f>VLOOKUP(A3962,Calendar!$A$1:$H$9997,6,FALSE)-F3962</f>
        <v/>
      </c>
      <c r="H3962" s="19" t="n">
        <v>2</v>
      </c>
      <c r="I3962" s="57" t="n">
        <v>11</v>
      </c>
    </row>
    <row r="3963">
      <c r="A3963" s="62" t="n">
        <v>46786</v>
      </c>
      <c r="B3963" s="3" t="inlineStr">
        <is>
          <t>Week</t>
        </is>
      </c>
      <c r="C3963" s="19" t="n">
        <v>2</v>
      </c>
      <c r="D3963" s="19" t="n">
        <v>2028</v>
      </c>
      <c r="E3963" s="57" t="n">
        <v>4</v>
      </c>
      <c r="F3963" s="29">
        <f>ROUND(((SUMIFS(Calendar!$F$2:$F$9997,Calendar!$B$2:$B$9997,D3963,Calendar!$C$2:$C$9997,C3963)*INDEX(ForeCalc!$B$37:$Y$274,MATCH(_xlfn.CONCAT(H3963," ",I3963),ForeCalc!$A$37:$A$274,0),MATCH(_xlfn.CONCAT(B3963," ",E3963),ForeCalc!$B$36:$Y$36,0))))*VLOOKUP(A3963,Calendar!$A$2:$H$9997,8,FALSE),0)</f>
        <v/>
      </c>
      <c r="G3963" s="29">
        <f>VLOOKUP(A3963,Calendar!$A$1:$H$9997,6,FALSE)-F3963</f>
        <v/>
      </c>
      <c r="H3963" s="19" t="n">
        <v>2</v>
      </c>
      <c r="I3963" s="57" t="n">
        <v>11</v>
      </c>
    </row>
    <row r="3964">
      <c r="A3964" s="62" t="n">
        <v>46787</v>
      </c>
      <c r="B3964" s="3" t="inlineStr">
        <is>
          <t>Week</t>
        </is>
      </c>
      <c r="C3964" s="19" t="n">
        <v>2</v>
      </c>
      <c r="D3964" s="19" t="n">
        <v>2028</v>
      </c>
      <c r="E3964" s="57" t="n">
        <v>4</v>
      </c>
      <c r="F3964" s="29">
        <f>ROUND(((SUMIFS(Calendar!$F$2:$F$9997,Calendar!$B$2:$B$9997,D3964,Calendar!$C$2:$C$9997,C3964)*INDEX(ForeCalc!$B$37:$Y$274,MATCH(_xlfn.CONCAT(H3964," ",I3964),ForeCalc!$A$37:$A$274,0),MATCH(_xlfn.CONCAT(B3964," ",E3964),ForeCalc!$B$36:$Y$36,0))))*VLOOKUP(A3964,Calendar!$A$2:$H$9997,8,FALSE),0)</f>
        <v/>
      </c>
      <c r="G3964" s="29">
        <f>VLOOKUP(A3964,Calendar!$A$1:$H$9997,6,FALSE)-F3964</f>
        <v/>
      </c>
      <c r="H3964" s="19" t="n">
        <v>2</v>
      </c>
      <c r="I3964" s="57" t="n">
        <v>11</v>
      </c>
    </row>
    <row r="3965">
      <c r="A3965" s="62" t="n">
        <v>46788</v>
      </c>
      <c r="B3965" s="3" t="inlineStr">
        <is>
          <t>Sat</t>
        </is>
      </c>
      <c r="C3965" s="19" t="n">
        <v>2</v>
      </c>
      <c r="D3965" s="19" t="n">
        <v>2028</v>
      </c>
      <c r="E3965" s="57" t="n">
        <v>4</v>
      </c>
      <c r="F3965" s="29">
        <f>ROUND(((SUMIFS(Calendar!$F$2:$F$9997,Calendar!$B$2:$B$9997,D3965,Calendar!$C$2:$C$9997,C3965)*INDEX(ForeCalc!$B$37:$Y$274,MATCH(_xlfn.CONCAT(H3965," ",I3965),ForeCalc!$A$37:$A$274,0),MATCH(_xlfn.CONCAT(B3965," ",E3965),ForeCalc!$B$36:$Y$36,0))))*VLOOKUP(A3965,Calendar!$A$2:$H$9997,8,FALSE),0)</f>
        <v/>
      </c>
      <c r="G3965" s="29">
        <f>VLOOKUP(A3965,Calendar!$A$1:$H$9997,6,FALSE)-F3965</f>
        <v/>
      </c>
      <c r="H3965" s="19" t="n">
        <v>2</v>
      </c>
      <c r="I3965" s="57" t="n">
        <v>11</v>
      </c>
    </row>
    <row r="3966">
      <c r="A3966" s="62" t="n">
        <v>46789</v>
      </c>
      <c r="B3966" s="3" t="inlineStr">
        <is>
          <t>Sun</t>
        </is>
      </c>
      <c r="C3966" s="19" t="n">
        <v>2</v>
      </c>
      <c r="D3966" s="19" t="n">
        <v>2028</v>
      </c>
      <c r="E3966" s="57" t="n">
        <v>4</v>
      </c>
      <c r="F3966" s="29">
        <f>ROUND(((SUMIFS(Calendar!$F$2:$F$9997,Calendar!$B$2:$B$9997,D3966,Calendar!$C$2:$C$9997,C3966)*INDEX(ForeCalc!$B$37:$Y$274,MATCH(_xlfn.CONCAT(H3966," ",I3966),ForeCalc!$A$37:$A$274,0),MATCH(_xlfn.CONCAT(B3966," ",E3966),ForeCalc!$B$36:$Y$36,0))))*VLOOKUP(A3966,Calendar!$A$2:$H$9997,8,FALSE),0)</f>
        <v/>
      </c>
      <c r="G3966" s="29">
        <f>VLOOKUP(A3966,Calendar!$A$1:$H$9997,6,FALSE)-F3966</f>
        <v/>
      </c>
      <c r="H3966" s="19" t="n">
        <v>2</v>
      </c>
      <c r="I3966" s="57" t="n">
        <v>11</v>
      </c>
    </row>
    <row r="3967">
      <c r="A3967" s="62" t="n">
        <v>46790</v>
      </c>
      <c r="B3967" s="3" t="inlineStr">
        <is>
          <t>Week</t>
        </is>
      </c>
      <c r="C3967" s="19" t="n">
        <v>2</v>
      </c>
      <c r="D3967" s="19" t="n">
        <v>2028</v>
      </c>
      <c r="E3967" s="57" t="n">
        <v>4</v>
      </c>
      <c r="F3967" s="29">
        <f>ROUND(((SUMIFS(Calendar!$F$2:$F$9997,Calendar!$B$2:$B$9997,D3967,Calendar!$C$2:$C$9997,C3967)*INDEX(ForeCalc!$B$37:$Y$274,MATCH(_xlfn.CONCAT(H3967," ",I3967),ForeCalc!$A$37:$A$274,0),MATCH(_xlfn.CONCAT(B3967," ",E3967),ForeCalc!$B$36:$Y$36,0))))*VLOOKUP(A3967,Calendar!$A$2:$H$9997,8,FALSE),0)</f>
        <v/>
      </c>
      <c r="G3967" s="29">
        <f>VLOOKUP(A3967,Calendar!$A$1:$H$9997,6,FALSE)-F3967</f>
        <v/>
      </c>
      <c r="H3967" s="19" t="n">
        <v>2</v>
      </c>
      <c r="I3967" s="57" t="n">
        <v>11</v>
      </c>
    </row>
    <row r="3968">
      <c r="A3968" s="62" t="n">
        <v>46791</v>
      </c>
      <c r="B3968" s="3" t="inlineStr">
        <is>
          <t>Week</t>
        </is>
      </c>
      <c r="C3968" s="19" t="n">
        <v>2</v>
      </c>
      <c r="D3968" s="19" t="n">
        <v>2028</v>
      </c>
      <c r="E3968" s="57" t="n">
        <v>4</v>
      </c>
      <c r="F3968" s="29">
        <f>ROUND(((SUMIFS(Calendar!$F$2:$F$9997,Calendar!$B$2:$B$9997,D3968,Calendar!$C$2:$C$9997,C3968)*INDEX(ForeCalc!$B$37:$Y$274,MATCH(_xlfn.CONCAT(H3968," ",I3968),ForeCalc!$A$37:$A$274,0),MATCH(_xlfn.CONCAT(B3968," ",E3968),ForeCalc!$B$36:$Y$36,0))))*VLOOKUP(A3968,Calendar!$A$2:$H$9997,8,FALSE),0)</f>
        <v/>
      </c>
      <c r="G3968" s="29">
        <f>VLOOKUP(A3968,Calendar!$A$1:$H$9997,6,FALSE)-F3968</f>
        <v/>
      </c>
      <c r="H3968" s="19" t="n">
        <v>2</v>
      </c>
      <c r="I3968" s="57" t="n">
        <v>11</v>
      </c>
    </row>
    <row r="3969">
      <c r="A3969" s="62" t="n">
        <v>46792</v>
      </c>
      <c r="B3969" s="3" t="inlineStr">
        <is>
          <t>Week</t>
        </is>
      </c>
      <c r="C3969" s="19" t="n">
        <v>2</v>
      </c>
      <c r="D3969" s="19" t="n">
        <v>2028</v>
      </c>
      <c r="E3969" s="57" t="n">
        <v>4</v>
      </c>
      <c r="F3969" s="29">
        <f>ROUND(((SUMIFS(Calendar!$F$2:$F$9997,Calendar!$B$2:$B$9997,D3969,Calendar!$C$2:$C$9997,C3969)*INDEX(ForeCalc!$B$37:$Y$274,MATCH(_xlfn.CONCAT(H3969," ",I3969),ForeCalc!$A$37:$A$274,0),MATCH(_xlfn.CONCAT(B3969," ",E3969),ForeCalc!$B$36:$Y$36,0))))*VLOOKUP(A3969,Calendar!$A$2:$H$9997,8,FALSE),0)</f>
        <v/>
      </c>
      <c r="G3969" s="29">
        <f>VLOOKUP(A3969,Calendar!$A$1:$H$9997,6,FALSE)-F3969</f>
        <v/>
      </c>
      <c r="H3969" s="19" t="n">
        <v>2</v>
      </c>
      <c r="I3969" s="57" t="n">
        <v>11</v>
      </c>
    </row>
    <row r="3970">
      <c r="A3970" s="62" t="n">
        <v>46793</v>
      </c>
      <c r="B3970" s="3" t="inlineStr">
        <is>
          <t>Week</t>
        </is>
      </c>
      <c r="C3970" s="19" t="n">
        <v>2</v>
      </c>
      <c r="D3970" s="19" t="n">
        <v>2028</v>
      </c>
      <c r="E3970" s="57" t="n">
        <v>4</v>
      </c>
      <c r="F3970" s="29">
        <f>ROUND(((SUMIFS(Calendar!$F$2:$F$9997,Calendar!$B$2:$B$9997,D3970,Calendar!$C$2:$C$9997,C3970)*INDEX(ForeCalc!$B$37:$Y$274,MATCH(_xlfn.CONCAT(H3970," ",I3970),ForeCalc!$A$37:$A$274,0),MATCH(_xlfn.CONCAT(B3970," ",E3970),ForeCalc!$B$36:$Y$36,0))))*VLOOKUP(A3970,Calendar!$A$2:$H$9997,8,FALSE),0)</f>
        <v/>
      </c>
      <c r="G3970" s="29">
        <f>VLOOKUP(A3970,Calendar!$A$1:$H$9997,6,FALSE)-F3970</f>
        <v/>
      </c>
      <c r="H3970" s="19" t="n">
        <v>2</v>
      </c>
      <c r="I3970" s="57" t="n">
        <v>11</v>
      </c>
    </row>
    <row r="3971">
      <c r="A3971" s="62" t="n">
        <v>46794</v>
      </c>
      <c r="B3971" s="3" t="inlineStr">
        <is>
          <t>Week</t>
        </is>
      </c>
      <c r="C3971" s="19" t="n">
        <v>2</v>
      </c>
      <c r="D3971" s="19" t="n">
        <v>2028</v>
      </c>
      <c r="E3971" s="57" t="n">
        <v>4</v>
      </c>
      <c r="F3971" s="29">
        <f>ROUND(((SUMIFS(Calendar!$F$2:$F$9997,Calendar!$B$2:$B$9997,D3971,Calendar!$C$2:$C$9997,C3971)*INDEX(ForeCalc!$B$37:$Y$274,MATCH(_xlfn.CONCAT(H3971," ",I3971),ForeCalc!$A$37:$A$274,0),MATCH(_xlfn.CONCAT(B3971," ",E3971),ForeCalc!$B$36:$Y$36,0))))*VLOOKUP(A3971,Calendar!$A$2:$H$9997,8,FALSE),0)</f>
        <v/>
      </c>
      <c r="G3971" s="29">
        <f>VLOOKUP(A3971,Calendar!$A$1:$H$9997,6,FALSE)-F3971</f>
        <v/>
      </c>
      <c r="H3971" s="19" t="n">
        <v>2</v>
      </c>
      <c r="I3971" s="57" t="n">
        <v>11</v>
      </c>
    </row>
    <row r="3972">
      <c r="A3972" s="62" t="n">
        <v>46795</v>
      </c>
      <c r="B3972" s="3" t="inlineStr">
        <is>
          <t>Sat</t>
        </is>
      </c>
      <c r="C3972" s="19" t="n">
        <v>2</v>
      </c>
      <c r="D3972" s="19" t="n">
        <v>2028</v>
      </c>
      <c r="E3972" s="57" t="n">
        <v>4</v>
      </c>
      <c r="F3972" s="29">
        <f>ROUND(((SUMIFS(Calendar!$F$2:$F$9997,Calendar!$B$2:$B$9997,D3972,Calendar!$C$2:$C$9997,C3972)*INDEX(ForeCalc!$B$37:$Y$274,MATCH(_xlfn.CONCAT(H3972," ",I3972),ForeCalc!$A$37:$A$274,0),MATCH(_xlfn.CONCAT(B3972," ",E3972),ForeCalc!$B$36:$Y$36,0))))*VLOOKUP(A3972,Calendar!$A$2:$H$9997,8,FALSE),0)</f>
        <v/>
      </c>
      <c r="G3972" s="29">
        <f>VLOOKUP(A3972,Calendar!$A$1:$H$9997,6,FALSE)-F3972</f>
        <v/>
      </c>
      <c r="H3972" s="19" t="n">
        <v>2</v>
      </c>
      <c r="I3972" s="57" t="n">
        <v>11</v>
      </c>
    </row>
    <row r="3973">
      <c r="A3973" s="62" t="n">
        <v>46796</v>
      </c>
      <c r="B3973" s="3" t="inlineStr">
        <is>
          <t>Sun</t>
        </is>
      </c>
      <c r="C3973" s="19" t="n">
        <v>2</v>
      </c>
      <c r="D3973" s="19" t="n">
        <v>2028</v>
      </c>
      <c r="E3973" s="57" t="n">
        <v>4</v>
      </c>
      <c r="F3973" s="29">
        <f>ROUND(((SUMIFS(Calendar!$F$2:$F$9997,Calendar!$B$2:$B$9997,D3973,Calendar!$C$2:$C$9997,C3973)*INDEX(ForeCalc!$B$37:$Y$274,MATCH(_xlfn.CONCAT(H3973," ",I3973),ForeCalc!$A$37:$A$274,0),MATCH(_xlfn.CONCAT(B3973," ",E3973),ForeCalc!$B$36:$Y$36,0))))*VLOOKUP(A3973,Calendar!$A$2:$H$9997,8,FALSE),0)</f>
        <v/>
      </c>
      <c r="G3973" s="29">
        <f>VLOOKUP(A3973,Calendar!$A$1:$H$9997,6,FALSE)-F3973</f>
        <v/>
      </c>
      <c r="H3973" s="19" t="n">
        <v>2</v>
      </c>
      <c r="I3973" s="57" t="n">
        <v>11</v>
      </c>
    </row>
    <row r="3974">
      <c r="A3974" s="62" t="n">
        <v>46797</v>
      </c>
      <c r="B3974" s="3" t="inlineStr">
        <is>
          <t>Week</t>
        </is>
      </c>
      <c r="C3974" s="19" t="n">
        <v>2</v>
      </c>
      <c r="D3974" s="19" t="n">
        <v>2028</v>
      </c>
      <c r="E3974" s="57" t="n">
        <v>4</v>
      </c>
      <c r="F3974" s="29">
        <f>ROUND(((SUMIFS(Calendar!$F$2:$F$9997,Calendar!$B$2:$B$9997,D3974,Calendar!$C$2:$C$9997,C3974)*INDEX(ForeCalc!$B$37:$Y$274,MATCH(_xlfn.CONCAT(H3974," ",I3974),ForeCalc!$A$37:$A$274,0),MATCH(_xlfn.CONCAT(B3974," ",E3974),ForeCalc!$B$36:$Y$36,0))))*VLOOKUP(A3974,Calendar!$A$2:$H$9997,8,FALSE),0)</f>
        <v/>
      </c>
      <c r="G3974" s="29">
        <f>VLOOKUP(A3974,Calendar!$A$1:$H$9997,6,FALSE)-F3974</f>
        <v/>
      </c>
      <c r="H3974" s="19" t="n">
        <v>2</v>
      </c>
      <c r="I3974" s="57" t="n">
        <v>11</v>
      </c>
    </row>
    <row r="3975">
      <c r="A3975" s="62" t="n">
        <v>46798</v>
      </c>
      <c r="B3975" s="3" t="inlineStr">
        <is>
          <t>Week</t>
        </is>
      </c>
      <c r="C3975" s="19" t="n">
        <v>2</v>
      </c>
      <c r="D3975" s="19" t="n">
        <v>2028</v>
      </c>
      <c r="E3975" s="57" t="n">
        <v>4</v>
      </c>
      <c r="F3975" s="29">
        <f>ROUND(((SUMIFS(Calendar!$F$2:$F$9997,Calendar!$B$2:$B$9997,D3975,Calendar!$C$2:$C$9997,C3975)*INDEX(ForeCalc!$B$37:$Y$274,MATCH(_xlfn.CONCAT(H3975," ",I3975),ForeCalc!$A$37:$A$274,0),MATCH(_xlfn.CONCAT(B3975," ",E3975),ForeCalc!$B$36:$Y$36,0))))*VLOOKUP(A3975,Calendar!$A$2:$H$9997,8,FALSE),0)</f>
        <v/>
      </c>
      <c r="G3975" s="29">
        <f>VLOOKUP(A3975,Calendar!$A$1:$H$9997,6,FALSE)-F3975</f>
        <v/>
      </c>
      <c r="H3975" s="19" t="n">
        <v>2</v>
      </c>
      <c r="I3975" s="57" t="n">
        <v>11</v>
      </c>
    </row>
    <row r="3976">
      <c r="A3976" s="62" t="n">
        <v>46799</v>
      </c>
      <c r="B3976" s="3" t="inlineStr">
        <is>
          <t>Week</t>
        </is>
      </c>
      <c r="C3976" s="19" t="n">
        <v>2</v>
      </c>
      <c r="D3976" s="19" t="n">
        <v>2028</v>
      </c>
      <c r="E3976" s="57" t="n">
        <v>4</v>
      </c>
      <c r="F3976" s="29">
        <f>ROUND(((SUMIFS(Calendar!$F$2:$F$9997,Calendar!$B$2:$B$9997,D3976,Calendar!$C$2:$C$9997,C3976)*INDEX(ForeCalc!$B$37:$Y$274,MATCH(_xlfn.CONCAT(H3976," ",I3976),ForeCalc!$A$37:$A$274,0),MATCH(_xlfn.CONCAT(B3976," ",E3976),ForeCalc!$B$36:$Y$36,0))))*VLOOKUP(A3976,Calendar!$A$2:$H$9997,8,FALSE),0)</f>
        <v/>
      </c>
      <c r="G3976" s="29">
        <f>VLOOKUP(A3976,Calendar!$A$1:$H$9997,6,FALSE)-F3976</f>
        <v/>
      </c>
      <c r="H3976" s="19" t="n">
        <v>2</v>
      </c>
      <c r="I3976" s="57" t="n">
        <v>11</v>
      </c>
    </row>
    <row r="3977">
      <c r="A3977" s="62" t="n">
        <v>46800</v>
      </c>
      <c r="B3977" s="3" t="inlineStr">
        <is>
          <t>Week</t>
        </is>
      </c>
      <c r="C3977" s="19" t="n">
        <v>2</v>
      </c>
      <c r="D3977" s="19" t="n">
        <v>2028</v>
      </c>
      <c r="E3977" s="57" t="n">
        <v>4</v>
      </c>
      <c r="F3977" s="29">
        <f>ROUND(((SUMIFS(Calendar!$F$2:$F$9997,Calendar!$B$2:$B$9997,D3977,Calendar!$C$2:$C$9997,C3977)*INDEX(ForeCalc!$B$37:$Y$274,MATCH(_xlfn.CONCAT(H3977," ",I3977),ForeCalc!$A$37:$A$274,0),MATCH(_xlfn.CONCAT(B3977," ",E3977),ForeCalc!$B$36:$Y$36,0))))*VLOOKUP(A3977,Calendar!$A$2:$H$9997,8,FALSE),0)</f>
        <v/>
      </c>
      <c r="G3977" s="29">
        <f>VLOOKUP(A3977,Calendar!$A$1:$H$9997,6,FALSE)-F3977</f>
        <v/>
      </c>
      <c r="H3977" s="19" t="n">
        <v>2</v>
      </c>
      <c r="I3977" s="57" t="n">
        <v>11</v>
      </c>
    </row>
    <row r="3978">
      <c r="A3978" s="62" t="n">
        <v>46801</v>
      </c>
      <c r="B3978" s="3" t="inlineStr">
        <is>
          <t>Week</t>
        </is>
      </c>
      <c r="C3978" s="19" t="n">
        <v>2</v>
      </c>
      <c r="D3978" s="19" t="n">
        <v>2028</v>
      </c>
      <c r="E3978" s="57" t="n">
        <v>4</v>
      </c>
      <c r="F3978" s="29">
        <f>ROUND(((SUMIFS(Calendar!$F$2:$F$9997,Calendar!$B$2:$B$9997,D3978,Calendar!$C$2:$C$9997,C3978)*INDEX(ForeCalc!$B$37:$Y$274,MATCH(_xlfn.CONCAT(H3978," ",I3978),ForeCalc!$A$37:$A$274,0),MATCH(_xlfn.CONCAT(B3978," ",E3978),ForeCalc!$B$36:$Y$36,0))))*VLOOKUP(A3978,Calendar!$A$2:$H$9997,8,FALSE),0)</f>
        <v/>
      </c>
      <c r="G3978" s="29">
        <f>VLOOKUP(A3978,Calendar!$A$1:$H$9997,6,FALSE)-F3978</f>
        <v/>
      </c>
      <c r="H3978" s="19" t="n">
        <v>2</v>
      </c>
      <c r="I3978" s="57" t="n">
        <v>11</v>
      </c>
    </row>
    <row r="3979">
      <c r="A3979" s="62" t="n">
        <v>46802</v>
      </c>
      <c r="B3979" s="3" t="inlineStr">
        <is>
          <t>Sat</t>
        </is>
      </c>
      <c r="C3979" s="19" t="n">
        <v>2</v>
      </c>
      <c r="D3979" s="19" t="n">
        <v>2028</v>
      </c>
      <c r="E3979" s="57" t="n">
        <v>4</v>
      </c>
      <c r="F3979" s="29">
        <f>ROUND(((SUMIFS(Calendar!$F$2:$F$9997,Calendar!$B$2:$B$9997,D3979,Calendar!$C$2:$C$9997,C3979)*INDEX(ForeCalc!$B$37:$Y$274,MATCH(_xlfn.CONCAT(H3979," ",I3979),ForeCalc!$A$37:$A$274,0),MATCH(_xlfn.CONCAT(B3979," ",E3979),ForeCalc!$B$36:$Y$36,0))))*VLOOKUP(A3979,Calendar!$A$2:$H$9997,8,FALSE),0)</f>
        <v/>
      </c>
      <c r="G3979" s="29">
        <f>VLOOKUP(A3979,Calendar!$A$1:$H$9997,6,FALSE)-F3979</f>
        <v/>
      </c>
      <c r="H3979" s="19" t="n">
        <v>2</v>
      </c>
      <c r="I3979" s="57" t="n">
        <v>11</v>
      </c>
    </row>
    <row r="3980">
      <c r="A3980" s="62" t="n">
        <v>46803</v>
      </c>
      <c r="B3980" s="3" t="inlineStr">
        <is>
          <t>Sun</t>
        </is>
      </c>
      <c r="C3980" s="19" t="n">
        <v>2</v>
      </c>
      <c r="D3980" s="19" t="n">
        <v>2028</v>
      </c>
      <c r="E3980" s="57" t="n">
        <v>4</v>
      </c>
      <c r="F3980" s="29">
        <f>ROUND(((SUMIFS(Calendar!$F$2:$F$9997,Calendar!$B$2:$B$9997,D3980,Calendar!$C$2:$C$9997,C3980)*INDEX(ForeCalc!$B$37:$Y$274,MATCH(_xlfn.CONCAT(H3980," ",I3980),ForeCalc!$A$37:$A$274,0),MATCH(_xlfn.CONCAT(B3980," ",E3980),ForeCalc!$B$36:$Y$36,0))))*VLOOKUP(A3980,Calendar!$A$2:$H$9997,8,FALSE),0)</f>
        <v/>
      </c>
      <c r="G3980" s="29">
        <f>VLOOKUP(A3980,Calendar!$A$1:$H$9997,6,FALSE)-F3980</f>
        <v/>
      </c>
      <c r="H3980" s="19" t="n">
        <v>2</v>
      </c>
      <c r="I3980" s="57" t="n">
        <v>11</v>
      </c>
    </row>
    <row r="3981">
      <c r="A3981" s="62" t="n">
        <v>46804</v>
      </c>
      <c r="B3981" s="3" t="inlineStr">
        <is>
          <t>Week</t>
        </is>
      </c>
      <c r="C3981" s="19" t="n">
        <v>2</v>
      </c>
      <c r="D3981" s="19" t="n">
        <v>2028</v>
      </c>
      <c r="E3981" s="57" t="n">
        <v>4</v>
      </c>
      <c r="F3981" s="29">
        <f>ROUND(((SUMIFS(Calendar!$F$2:$F$9997,Calendar!$B$2:$B$9997,D3981,Calendar!$C$2:$C$9997,C3981)*INDEX(ForeCalc!$B$37:$Y$274,MATCH(_xlfn.CONCAT(H3981," ",I3981),ForeCalc!$A$37:$A$274,0),MATCH(_xlfn.CONCAT(B3981," ",E3981),ForeCalc!$B$36:$Y$36,0))))*VLOOKUP(A3981,Calendar!$A$2:$H$9997,8,FALSE),0)</f>
        <v/>
      </c>
      <c r="G3981" s="29">
        <f>VLOOKUP(A3981,Calendar!$A$1:$H$9997,6,FALSE)-F3981</f>
        <v/>
      </c>
      <c r="H3981" s="19" t="n">
        <v>2</v>
      </c>
      <c r="I3981" s="57" t="n">
        <v>11</v>
      </c>
    </row>
    <row r="3982">
      <c r="A3982" s="62" t="n">
        <v>46805</v>
      </c>
      <c r="B3982" s="3" t="inlineStr">
        <is>
          <t>Week</t>
        </is>
      </c>
      <c r="C3982" s="19" t="n">
        <v>2</v>
      </c>
      <c r="D3982" s="19" t="n">
        <v>2028</v>
      </c>
      <c r="E3982" s="57" t="n">
        <v>4</v>
      </c>
      <c r="F3982" s="29">
        <f>ROUND(((SUMIFS(Calendar!$F$2:$F$9997,Calendar!$B$2:$B$9997,D3982,Calendar!$C$2:$C$9997,C3982)*INDEX(ForeCalc!$B$37:$Y$274,MATCH(_xlfn.CONCAT(H3982," ",I3982),ForeCalc!$A$37:$A$274,0),MATCH(_xlfn.CONCAT(B3982," ",E3982),ForeCalc!$B$36:$Y$36,0))))*VLOOKUP(A3982,Calendar!$A$2:$H$9997,8,FALSE),0)</f>
        <v/>
      </c>
      <c r="G3982" s="29">
        <f>VLOOKUP(A3982,Calendar!$A$1:$H$9997,6,FALSE)-F3982</f>
        <v/>
      </c>
      <c r="H3982" s="19" t="n">
        <v>2</v>
      </c>
      <c r="I3982" s="57" t="n">
        <v>11</v>
      </c>
    </row>
    <row r="3983">
      <c r="A3983" s="62" t="n">
        <v>46806</v>
      </c>
      <c r="B3983" s="3" t="inlineStr">
        <is>
          <t>Week</t>
        </is>
      </c>
      <c r="C3983" s="19" t="n">
        <v>2</v>
      </c>
      <c r="D3983" s="19" t="n">
        <v>2028</v>
      </c>
      <c r="E3983" s="57" t="n">
        <v>4</v>
      </c>
      <c r="F3983" s="29">
        <f>ROUND(((SUMIFS(Calendar!$F$2:$F$9997,Calendar!$B$2:$B$9997,D3983,Calendar!$C$2:$C$9997,C3983)*INDEX(ForeCalc!$B$37:$Y$274,MATCH(_xlfn.CONCAT(H3983," ",I3983),ForeCalc!$A$37:$A$274,0),MATCH(_xlfn.CONCAT(B3983," ",E3983),ForeCalc!$B$36:$Y$36,0))))*VLOOKUP(A3983,Calendar!$A$2:$H$9997,8,FALSE),0)</f>
        <v/>
      </c>
      <c r="G3983" s="29">
        <f>VLOOKUP(A3983,Calendar!$A$1:$H$9997,6,FALSE)-F3983</f>
        <v/>
      </c>
      <c r="H3983" s="19" t="n">
        <v>2</v>
      </c>
      <c r="I3983" s="57" t="n">
        <v>11</v>
      </c>
    </row>
    <row r="3984">
      <c r="A3984" s="62" t="n">
        <v>46807</v>
      </c>
      <c r="B3984" s="3" t="inlineStr">
        <is>
          <t>Week</t>
        </is>
      </c>
      <c r="C3984" s="19" t="n">
        <v>2</v>
      </c>
      <c r="D3984" s="19" t="n">
        <v>2028</v>
      </c>
      <c r="E3984" s="57" t="n">
        <v>4</v>
      </c>
      <c r="F3984" s="29">
        <f>ROUND(((SUMIFS(Calendar!$F$2:$F$9997,Calendar!$B$2:$B$9997,D3984,Calendar!$C$2:$C$9997,C3984)*INDEX(ForeCalc!$B$37:$Y$274,MATCH(_xlfn.CONCAT(H3984," ",I3984),ForeCalc!$A$37:$A$274,0),MATCH(_xlfn.CONCAT(B3984," ",E3984),ForeCalc!$B$36:$Y$36,0))))*VLOOKUP(A3984,Calendar!$A$2:$H$9997,8,FALSE),0)</f>
        <v/>
      </c>
      <c r="G3984" s="29">
        <f>VLOOKUP(A3984,Calendar!$A$1:$H$9997,6,FALSE)-F3984</f>
        <v/>
      </c>
      <c r="H3984" s="19" t="n">
        <v>2</v>
      </c>
      <c r="I3984" s="57" t="n">
        <v>11</v>
      </c>
    </row>
    <row r="3985">
      <c r="A3985" s="62" t="n">
        <v>46808</v>
      </c>
      <c r="B3985" s="3" t="inlineStr">
        <is>
          <t>Week</t>
        </is>
      </c>
      <c r="C3985" s="19" t="n">
        <v>2</v>
      </c>
      <c r="D3985" s="19" t="n">
        <v>2028</v>
      </c>
      <c r="E3985" s="57" t="n">
        <v>4</v>
      </c>
      <c r="F3985" s="29">
        <f>ROUND(((SUMIFS(Calendar!$F$2:$F$9997,Calendar!$B$2:$B$9997,D3985,Calendar!$C$2:$C$9997,C3985)*INDEX(ForeCalc!$B$37:$Y$274,MATCH(_xlfn.CONCAT(H3985," ",I3985),ForeCalc!$A$37:$A$274,0),MATCH(_xlfn.CONCAT(B3985," ",E3985),ForeCalc!$B$36:$Y$36,0))))*VLOOKUP(A3985,Calendar!$A$2:$H$9997,8,FALSE),0)</f>
        <v/>
      </c>
      <c r="G3985" s="29">
        <f>VLOOKUP(A3985,Calendar!$A$1:$H$9997,6,FALSE)-F3985</f>
        <v/>
      </c>
      <c r="H3985" s="19" t="n">
        <v>2</v>
      </c>
      <c r="I3985" s="57" t="n">
        <v>11</v>
      </c>
    </row>
    <row r="3986">
      <c r="A3986" s="62" t="n">
        <v>46809</v>
      </c>
      <c r="B3986" s="3" t="inlineStr">
        <is>
          <t>Sat</t>
        </is>
      </c>
      <c r="C3986" s="19" t="n">
        <v>2</v>
      </c>
      <c r="D3986" s="19" t="n">
        <v>2028</v>
      </c>
      <c r="E3986" s="57" t="n">
        <v>4</v>
      </c>
      <c r="F3986" s="29">
        <f>ROUND(((SUMIFS(Calendar!$F$2:$F$9997,Calendar!$B$2:$B$9997,D3986,Calendar!$C$2:$C$9997,C3986)*INDEX(ForeCalc!$B$37:$Y$274,MATCH(_xlfn.CONCAT(H3986," ",I3986),ForeCalc!$A$37:$A$274,0),MATCH(_xlfn.CONCAT(B3986," ",E3986),ForeCalc!$B$36:$Y$36,0))))*VLOOKUP(A3986,Calendar!$A$2:$H$9997,8,FALSE),0)</f>
        <v/>
      </c>
      <c r="G3986" s="29">
        <f>VLOOKUP(A3986,Calendar!$A$1:$H$9997,6,FALSE)-F3986</f>
        <v/>
      </c>
      <c r="H3986" s="19" t="n">
        <v>2</v>
      </c>
      <c r="I3986" s="57" t="n">
        <v>11</v>
      </c>
    </row>
    <row r="3987">
      <c r="A3987" s="62" t="n">
        <v>46810</v>
      </c>
      <c r="B3987" s="3" t="inlineStr">
        <is>
          <t>Sun</t>
        </is>
      </c>
      <c r="C3987" s="19" t="n">
        <v>2</v>
      </c>
      <c r="D3987" s="19" t="n">
        <v>2028</v>
      </c>
      <c r="E3987" s="57" t="n">
        <v>4</v>
      </c>
      <c r="F3987" s="29">
        <f>ROUND(((SUMIFS(Calendar!$F$2:$F$9997,Calendar!$B$2:$B$9997,D3987,Calendar!$C$2:$C$9997,C3987)*INDEX(ForeCalc!$B$37:$Y$274,MATCH(_xlfn.CONCAT(H3987," ",I3987),ForeCalc!$A$37:$A$274,0),MATCH(_xlfn.CONCAT(B3987," ",E3987),ForeCalc!$B$36:$Y$36,0))))*VLOOKUP(A3987,Calendar!$A$2:$H$9997,8,FALSE),0)</f>
        <v/>
      </c>
      <c r="G3987" s="29">
        <f>VLOOKUP(A3987,Calendar!$A$1:$H$9997,6,FALSE)-F3987</f>
        <v/>
      </c>
      <c r="H3987" s="19" t="n">
        <v>2</v>
      </c>
      <c r="I3987" s="57" t="n">
        <v>11</v>
      </c>
    </row>
    <row r="3988">
      <c r="A3988" s="62" t="n">
        <v>46811</v>
      </c>
      <c r="B3988" s="3" t="inlineStr">
        <is>
          <t>Week</t>
        </is>
      </c>
      <c r="C3988" s="19" t="n">
        <v>2</v>
      </c>
      <c r="D3988" s="19" t="n">
        <v>2028</v>
      </c>
      <c r="E3988" s="57" t="n">
        <v>4</v>
      </c>
      <c r="F3988" s="29">
        <f>ROUND(((SUMIFS(Calendar!$F$2:$F$9997,Calendar!$B$2:$B$9997,D3988,Calendar!$C$2:$C$9997,C3988)*INDEX(ForeCalc!$B$37:$Y$274,MATCH(_xlfn.CONCAT(H3988," ",I3988),ForeCalc!$A$37:$A$274,0),MATCH(_xlfn.CONCAT(B3988," ",E3988),ForeCalc!$B$36:$Y$36,0))))*VLOOKUP(A3988,Calendar!$A$2:$H$9997,8,FALSE),0)</f>
        <v/>
      </c>
      <c r="G3988" s="29">
        <f>VLOOKUP(A3988,Calendar!$A$1:$H$9997,6,FALSE)-F3988</f>
        <v/>
      </c>
      <c r="H3988" s="19" t="n">
        <v>2</v>
      </c>
      <c r="I3988" s="57" t="n">
        <v>11</v>
      </c>
    </row>
    <row r="3989">
      <c r="A3989" s="62" t="n">
        <v>46812</v>
      </c>
      <c r="B3989" s="3" t="inlineStr">
        <is>
          <t>Week</t>
        </is>
      </c>
      <c r="C3989" s="19" t="n">
        <v>2</v>
      </c>
      <c r="D3989" s="19" t="n">
        <v>2028</v>
      </c>
      <c r="E3989" s="57" t="n">
        <v>4</v>
      </c>
      <c r="F3989" s="29">
        <f>ROUND(((SUMIFS(Calendar!$F$2:$F$9997,Calendar!$B$2:$B$9997,D3989,Calendar!$C$2:$C$9997,C3989)*INDEX(ForeCalc!$B$37:$Y$274,MATCH(_xlfn.CONCAT(H3989," ",I3989),ForeCalc!$A$37:$A$274,0),MATCH(_xlfn.CONCAT(B3989," ",E3989),ForeCalc!$B$36:$Y$36,0))))*VLOOKUP(A3989,Calendar!$A$2:$H$9997,8,FALSE),0)</f>
        <v/>
      </c>
      <c r="G3989" s="29">
        <f>VLOOKUP(A3989,Calendar!$A$1:$H$9997,6,FALSE)-F3989</f>
        <v/>
      </c>
      <c r="H3989" s="19" t="n">
        <v>2</v>
      </c>
      <c r="I3989" s="57" t="n">
        <v>11</v>
      </c>
    </row>
    <row r="3990">
      <c r="A3990" s="62" t="n">
        <v>46813</v>
      </c>
      <c r="B3990" s="3" t="inlineStr">
        <is>
          <t>Week</t>
        </is>
      </c>
      <c r="C3990" s="19" t="n">
        <v>3</v>
      </c>
      <c r="D3990" s="19" t="n">
        <v>2028</v>
      </c>
      <c r="E3990" s="57" t="n">
        <v>4</v>
      </c>
      <c r="F3990" s="29">
        <f>ROUND(((SUMIFS(Calendar!$F$2:$F$9997,Calendar!$B$2:$B$9997,D3990,Calendar!$C$2:$C$9997,C3990)*INDEX(ForeCalc!$B$37:$Y$274,MATCH(_xlfn.CONCAT(H3990," ",I3990),ForeCalc!$A$37:$A$274,0),MATCH(_xlfn.CONCAT(B3990," ",E3990),ForeCalc!$B$36:$Y$36,0))))*VLOOKUP(A3990,Calendar!$A$2:$H$9997,8,FALSE),0)</f>
        <v/>
      </c>
      <c r="G3990" s="29">
        <f>VLOOKUP(A3990,Calendar!$A$1:$H$9997,6,FALSE)-F3990</f>
        <v/>
      </c>
      <c r="H3990" s="19" t="n">
        <v>2</v>
      </c>
      <c r="I3990" s="57" t="n">
        <v>12</v>
      </c>
    </row>
    <row r="3991">
      <c r="A3991" s="62" t="n">
        <v>46814</v>
      </c>
      <c r="B3991" s="3" t="inlineStr">
        <is>
          <t>Week</t>
        </is>
      </c>
      <c r="C3991" s="19" t="n">
        <v>3</v>
      </c>
      <c r="D3991" s="19" t="n">
        <v>2028</v>
      </c>
      <c r="E3991" s="57" t="n">
        <v>4</v>
      </c>
      <c r="F3991" s="29">
        <f>ROUND(((SUMIFS(Calendar!$F$2:$F$9997,Calendar!$B$2:$B$9997,D3991,Calendar!$C$2:$C$9997,C3991)*INDEX(ForeCalc!$B$37:$Y$274,MATCH(_xlfn.CONCAT(H3991," ",I3991),ForeCalc!$A$37:$A$274,0),MATCH(_xlfn.CONCAT(B3991," ",E3991),ForeCalc!$B$36:$Y$36,0))))*VLOOKUP(A3991,Calendar!$A$2:$H$9997,8,FALSE),0)</f>
        <v/>
      </c>
      <c r="G3991" s="29">
        <f>VLOOKUP(A3991,Calendar!$A$1:$H$9997,6,FALSE)-F3991</f>
        <v/>
      </c>
      <c r="H3991" s="19" t="n">
        <v>2</v>
      </c>
      <c r="I3991" s="57" t="n">
        <v>12</v>
      </c>
    </row>
    <row r="3992">
      <c r="A3992" s="62" t="n">
        <v>46815</v>
      </c>
      <c r="B3992" s="3" t="inlineStr">
        <is>
          <t>Week</t>
        </is>
      </c>
      <c r="C3992" s="19" t="n">
        <v>3</v>
      </c>
      <c r="D3992" s="19" t="n">
        <v>2028</v>
      </c>
      <c r="E3992" s="57" t="n">
        <v>4</v>
      </c>
      <c r="F3992" s="29">
        <f>ROUND(((SUMIFS(Calendar!$F$2:$F$9997,Calendar!$B$2:$B$9997,D3992,Calendar!$C$2:$C$9997,C3992)*INDEX(ForeCalc!$B$37:$Y$274,MATCH(_xlfn.CONCAT(H3992," ",I3992),ForeCalc!$A$37:$A$274,0),MATCH(_xlfn.CONCAT(B3992," ",E3992),ForeCalc!$B$36:$Y$36,0))))*VLOOKUP(A3992,Calendar!$A$2:$H$9997,8,FALSE),0)</f>
        <v/>
      </c>
      <c r="G3992" s="29">
        <f>VLOOKUP(A3992,Calendar!$A$1:$H$9997,6,FALSE)-F3992</f>
        <v/>
      </c>
      <c r="H3992" s="19" t="n">
        <v>2</v>
      </c>
      <c r="I3992" s="57" t="n">
        <v>12</v>
      </c>
    </row>
    <row r="3993">
      <c r="A3993" s="62" t="n">
        <v>46816</v>
      </c>
      <c r="B3993" s="3" t="inlineStr">
        <is>
          <t>Sat</t>
        </is>
      </c>
      <c r="C3993" s="19" t="n">
        <v>3</v>
      </c>
      <c r="D3993" s="19" t="n">
        <v>2028</v>
      </c>
      <c r="E3993" s="57" t="n">
        <v>4</v>
      </c>
      <c r="F3993" s="29">
        <f>ROUND(((SUMIFS(Calendar!$F$2:$F$9997,Calendar!$B$2:$B$9997,D3993,Calendar!$C$2:$C$9997,C3993)*INDEX(ForeCalc!$B$37:$Y$274,MATCH(_xlfn.CONCAT(H3993," ",I3993),ForeCalc!$A$37:$A$274,0),MATCH(_xlfn.CONCAT(B3993," ",E3993),ForeCalc!$B$36:$Y$36,0))))*VLOOKUP(A3993,Calendar!$A$2:$H$9997,8,FALSE),0)</f>
        <v/>
      </c>
      <c r="G3993" s="29">
        <f>VLOOKUP(A3993,Calendar!$A$1:$H$9997,6,FALSE)-F3993</f>
        <v/>
      </c>
      <c r="H3993" s="19" t="n">
        <v>2</v>
      </c>
      <c r="I3993" s="57" t="n">
        <v>12</v>
      </c>
    </row>
    <row r="3994">
      <c r="A3994" s="62" t="n">
        <v>46817</v>
      </c>
      <c r="B3994" s="3" t="inlineStr">
        <is>
          <t>Sun</t>
        </is>
      </c>
      <c r="C3994" s="19" t="n">
        <v>3</v>
      </c>
      <c r="D3994" s="19" t="n">
        <v>2028</v>
      </c>
      <c r="E3994" s="57" t="n">
        <v>4</v>
      </c>
      <c r="F3994" s="29">
        <f>ROUND(((SUMIFS(Calendar!$F$2:$F$9997,Calendar!$B$2:$B$9997,D3994,Calendar!$C$2:$C$9997,C3994)*INDEX(ForeCalc!$B$37:$Y$274,MATCH(_xlfn.CONCAT(H3994," ",I3994),ForeCalc!$A$37:$A$274,0),MATCH(_xlfn.CONCAT(B3994," ",E3994),ForeCalc!$B$36:$Y$36,0))))*VLOOKUP(A3994,Calendar!$A$2:$H$9997,8,FALSE),0)</f>
        <v/>
      </c>
      <c r="G3994" s="29">
        <f>VLOOKUP(A3994,Calendar!$A$1:$H$9997,6,FALSE)-F3994</f>
        <v/>
      </c>
      <c r="H3994" s="19" t="n">
        <v>2</v>
      </c>
      <c r="I3994" s="57" t="n">
        <v>12</v>
      </c>
    </row>
    <row r="3995">
      <c r="A3995" s="62" t="n">
        <v>46818</v>
      </c>
      <c r="B3995" s="3" t="inlineStr">
        <is>
          <t>Week</t>
        </is>
      </c>
      <c r="C3995" s="19" t="n">
        <v>3</v>
      </c>
      <c r="D3995" s="19" t="n">
        <v>2028</v>
      </c>
      <c r="E3995" s="57" t="n">
        <v>4</v>
      </c>
      <c r="F3995" s="29">
        <f>ROUND(((SUMIFS(Calendar!$F$2:$F$9997,Calendar!$B$2:$B$9997,D3995,Calendar!$C$2:$C$9997,C3995)*INDEX(ForeCalc!$B$37:$Y$274,MATCH(_xlfn.CONCAT(H3995," ",I3995),ForeCalc!$A$37:$A$274,0),MATCH(_xlfn.CONCAT(B3995," ",E3995),ForeCalc!$B$36:$Y$36,0))))*VLOOKUP(A3995,Calendar!$A$2:$H$9997,8,FALSE),0)</f>
        <v/>
      </c>
      <c r="G3995" s="29">
        <f>VLOOKUP(A3995,Calendar!$A$1:$H$9997,6,FALSE)-F3995</f>
        <v/>
      </c>
      <c r="H3995" s="19" t="n">
        <v>2</v>
      </c>
      <c r="I3995" s="57" t="n">
        <v>12</v>
      </c>
    </row>
    <row r="3996">
      <c r="A3996" s="62" t="n">
        <v>46819</v>
      </c>
      <c r="B3996" s="3" t="inlineStr">
        <is>
          <t>Week</t>
        </is>
      </c>
      <c r="C3996" s="19" t="n">
        <v>3</v>
      </c>
      <c r="D3996" s="19" t="n">
        <v>2028</v>
      </c>
      <c r="E3996" s="57" t="n">
        <v>4</v>
      </c>
      <c r="F3996" s="29">
        <f>ROUND(((SUMIFS(Calendar!$F$2:$F$9997,Calendar!$B$2:$B$9997,D3996,Calendar!$C$2:$C$9997,C3996)*INDEX(ForeCalc!$B$37:$Y$274,MATCH(_xlfn.CONCAT(H3996," ",I3996),ForeCalc!$A$37:$A$274,0),MATCH(_xlfn.CONCAT(B3996," ",E3996),ForeCalc!$B$36:$Y$36,0))))*VLOOKUP(A3996,Calendar!$A$2:$H$9997,8,FALSE),0)</f>
        <v/>
      </c>
      <c r="G3996" s="29">
        <f>VLOOKUP(A3996,Calendar!$A$1:$H$9997,6,FALSE)-F3996</f>
        <v/>
      </c>
      <c r="H3996" s="19" t="n">
        <v>2</v>
      </c>
      <c r="I3996" s="57" t="n">
        <v>12</v>
      </c>
    </row>
    <row r="3997">
      <c r="A3997" s="62" t="n">
        <v>46820</v>
      </c>
      <c r="B3997" s="3" t="inlineStr">
        <is>
          <t>Week</t>
        </is>
      </c>
      <c r="C3997" s="19" t="n">
        <v>3</v>
      </c>
      <c r="D3997" s="19" t="n">
        <v>2028</v>
      </c>
      <c r="E3997" s="57" t="n">
        <v>4</v>
      </c>
      <c r="F3997" s="29">
        <f>ROUND(((SUMIFS(Calendar!$F$2:$F$9997,Calendar!$B$2:$B$9997,D3997,Calendar!$C$2:$C$9997,C3997)*INDEX(ForeCalc!$B$37:$Y$274,MATCH(_xlfn.CONCAT(H3997," ",I3997),ForeCalc!$A$37:$A$274,0),MATCH(_xlfn.CONCAT(B3997," ",E3997),ForeCalc!$B$36:$Y$36,0))))*VLOOKUP(A3997,Calendar!$A$2:$H$9997,8,FALSE),0)</f>
        <v/>
      </c>
      <c r="G3997" s="29">
        <f>VLOOKUP(A3997,Calendar!$A$1:$H$9997,6,FALSE)-F3997</f>
        <v/>
      </c>
      <c r="H3997" s="19" t="n">
        <v>2</v>
      </c>
      <c r="I3997" s="57" t="n">
        <v>12</v>
      </c>
    </row>
    <row r="3998">
      <c r="A3998" s="62" t="n">
        <v>46821</v>
      </c>
      <c r="B3998" s="3" t="inlineStr">
        <is>
          <t>Week</t>
        </is>
      </c>
      <c r="C3998" s="19" t="n">
        <v>3</v>
      </c>
      <c r="D3998" s="19" t="n">
        <v>2028</v>
      </c>
      <c r="E3998" s="57" t="n">
        <v>4</v>
      </c>
      <c r="F3998" s="29">
        <f>ROUND(((SUMIFS(Calendar!$F$2:$F$9997,Calendar!$B$2:$B$9997,D3998,Calendar!$C$2:$C$9997,C3998)*INDEX(ForeCalc!$B$37:$Y$274,MATCH(_xlfn.CONCAT(H3998," ",I3998),ForeCalc!$A$37:$A$274,0),MATCH(_xlfn.CONCAT(B3998," ",E3998),ForeCalc!$B$36:$Y$36,0))))*VLOOKUP(A3998,Calendar!$A$2:$H$9997,8,FALSE),0)</f>
        <v/>
      </c>
      <c r="G3998" s="29">
        <f>VLOOKUP(A3998,Calendar!$A$1:$H$9997,6,FALSE)-F3998</f>
        <v/>
      </c>
      <c r="H3998" s="19" t="n">
        <v>2</v>
      </c>
      <c r="I3998" s="57" t="n">
        <v>12</v>
      </c>
    </row>
    <row r="3999">
      <c r="A3999" s="62" t="n">
        <v>46822</v>
      </c>
      <c r="B3999" s="3" t="inlineStr">
        <is>
          <t>Week</t>
        </is>
      </c>
      <c r="C3999" s="19" t="n">
        <v>3</v>
      </c>
      <c r="D3999" s="19" t="n">
        <v>2028</v>
      </c>
      <c r="E3999" s="57" t="n">
        <v>4</v>
      </c>
      <c r="F3999" s="29">
        <f>ROUND(((SUMIFS(Calendar!$F$2:$F$9997,Calendar!$B$2:$B$9997,D3999,Calendar!$C$2:$C$9997,C3999)*INDEX(ForeCalc!$B$37:$Y$274,MATCH(_xlfn.CONCAT(H3999," ",I3999),ForeCalc!$A$37:$A$274,0),MATCH(_xlfn.CONCAT(B3999," ",E3999),ForeCalc!$B$36:$Y$36,0))))*VLOOKUP(A3999,Calendar!$A$2:$H$9997,8,FALSE),0)</f>
        <v/>
      </c>
      <c r="G3999" s="29">
        <f>VLOOKUP(A3999,Calendar!$A$1:$H$9997,6,FALSE)-F3999</f>
        <v/>
      </c>
      <c r="H3999" s="19" t="n">
        <v>2</v>
      </c>
      <c r="I3999" s="57" t="n">
        <v>12</v>
      </c>
    </row>
    <row r="4000">
      <c r="A4000" s="62" t="n">
        <v>46823</v>
      </c>
      <c r="B4000" s="3" t="inlineStr">
        <is>
          <t>Sat</t>
        </is>
      </c>
      <c r="C4000" s="19" t="n">
        <v>3</v>
      </c>
      <c r="D4000" s="19" t="n">
        <v>2028</v>
      </c>
      <c r="E4000" s="57" t="n">
        <v>4</v>
      </c>
      <c r="F4000" s="29">
        <f>ROUND(((SUMIFS(Calendar!$F$2:$F$9997,Calendar!$B$2:$B$9997,D4000,Calendar!$C$2:$C$9997,C4000)*INDEX(ForeCalc!$B$37:$Y$274,MATCH(_xlfn.CONCAT(H4000," ",I4000),ForeCalc!$A$37:$A$274,0),MATCH(_xlfn.CONCAT(B4000," ",E4000),ForeCalc!$B$36:$Y$36,0))))*VLOOKUP(A4000,Calendar!$A$2:$H$9997,8,FALSE),0)</f>
        <v/>
      </c>
      <c r="G4000" s="29">
        <f>VLOOKUP(A4000,Calendar!$A$1:$H$9997,6,FALSE)-F4000</f>
        <v/>
      </c>
      <c r="H4000" s="19" t="n">
        <v>2</v>
      </c>
      <c r="I4000" s="57" t="n">
        <v>12</v>
      </c>
    </row>
    <row r="4001">
      <c r="A4001" s="62" t="n">
        <v>46824</v>
      </c>
      <c r="B4001" s="3" t="inlineStr">
        <is>
          <t>Sun</t>
        </is>
      </c>
      <c r="C4001" s="19" t="n">
        <v>3</v>
      </c>
      <c r="D4001" s="19" t="n">
        <v>2028</v>
      </c>
      <c r="E4001" s="57" t="n">
        <v>4</v>
      </c>
      <c r="F4001" s="29">
        <f>ROUND(((SUMIFS(Calendar!$F$2:$F$9997,Calendar!$B$2:$B$9997,D4001,Calendar!$C$2:$C$9997,C4001)*INDEX(ForeCalc!$B$37:$Y$274,MATCH(_xlfn.CONCAT(H4001," ",I4001),ForeCalc!$A$37:$A$274,0),MATCH(_xlfn.CONCAT(B4001," ",E4001),ForeCalc!$B$36:$Y$36,0))))*VLOOKUP(A4001,Calendar!$A$2:$H$9997,8,FALSE),0)</f>
        <v/>
      </c>
      <c r="G4001" s="29">
        <f>VLOOKUP(A4001,Calendar!$A$1:$H$9997,6,FALSE)-F4001</f>
        <v/>
      </c>
      <c r="H4001" s="19" t="n">
        <v>2</v>
      </c>
      <c r="I4001" s="57" t="n">
        <v>12</v>
      </c>
    </row>
    <row r="4002">
      <c r="A4002" s="62" t="n">
        <v>46825</v>
      </c>
      <c r="B4002" s="3" t="inlineStr">
        <is>
          <t>Week</t>
        </is>
      </c>
      <c r="C4002" s="19" t="n">
        <v>3</v>
      </c>
      <c r="D4002" s="19" t="n">
        <v>2028</v>
      </c>
      <c r="E4002" s="57" t="n">
        <v>4</v>
      </c>
      <c r="F4002" s="29">
        <f>ROUND(((SUMIFS(Calendar!$F$2:$F$9997,Calendar!$B$2:$B$9997,D4002,Calendar!$C$2:$C$9997,C4002)*INDEX(ForeCalc!$B$37:$Y$274,MATCH(_xlfn.CONCAT(H4002," ",I4002),ForeCalc!$A$37:$A$274,0),MATCH(_xlfn.CONCAT(B4002," ",E4002),ForeCalc!$B$36:$Y$36,0))))*VLOOKUP(A4002,Calendar!$A$2:$H$9997,8,FALSE),0)</f>
        <v/>
      </c>
      <c r="G4002" s="29">
        <f>VLOOKUP(A4002,Calendar!$A$1:$H$9997,6,FALSE)-F4002</f>
        <v/>
      </c>
      <c r="H4002" s="19" t="n">
        <v>2</v>
      </c>
      <c r="I4002" s="57" t="n">
        <v>12</v>
      </c>
    </row>
    <row r="4003">
      <c r="A4003" s="62" t="n">
        <v>46826</v>
      </c>
      <c r="B4003" s="3" t="inlineStr">
        <is>
          <t>Week</t>
        </is>
      </c>
      <c r="C4003" s="19" t="n">
        <v>3</v>
      </c>
      <c r="D4003" s="19" t="n">
        <v>2028</v>
      </c>
      <c r="E4003" s="57" t="n">
        <v>4</v>
      </c>
      <c r="F4003" s="29">
        <f>ROUND(((SUMIFS(Calendar!$F$2:$F$9997,Calendar!$B$2:$B$9997,D4003,Calendar!$C$2:$C$9997,C4003)*INDEX(ForeCalc!$B$37:$Y$274,MATCH(_xlfn.CONCAT(H4003," ",I4003),ForeCalc!$A$37:$A$274,0),MATCH(_xlfn.CONCAT(B4003," ",E4003),ForeCalc!$B$36:$Y$36,0))))*VLOOKUP(A4003,Calendar!$A$2:$H$9997,8,FALSE),0)</f>
        <v/>
      </c>
      <c r="G4003" s="29">
        <f>VLOOKUP(A4003,Calendar!$A$1:$H$9997,6,FALSE)-F4003</f>
        <v/>
      </c>
      <c r="H4003" s="19" t="n">
        <v>2</v>
      </c>
      <c r="I4003" s="57" t="n">
        <v>12</v>
      </c>
    </row>
    <row r="4004">
      <c r="A4004" s="62" t="n">
        <v>46827</v>
      </c>
      <c r="B4004" s="3" t="inlineStr">
        <is>
          <t>Week</t>
        </is>
      </c>
      <c r="C4004" s="19" t="n">
        <v>3</v>
      </c>
      <c r="D4004" s="19" t="n">
        <v>2028</v>
      </c>
      <c r="E4004" s="57" t="n">
        <v>4</v>
      </c>
      <c r="F4004" s="29">
        <f>ROUND(((SUMIFS(Calendar!$F$2:$F$9997,Calendar!$B$2:$B$9997,D4004,Calendar!$C$2:$C$9997,C4004)*INDEX(ForeCalc!$B$37:$Y$274,MATCH(_xlfn.CONCAT(H4004," ",I4004),ForeCalc!$A$37:$A$274,0),MATCH(_xlfn.CONCAT(B4004," ",E4004),ForeCalc!$B$36:$Y$36,0))))*VLOOKUP(A4004,Calendar!$A$2:$H$9997,8,FALSE),0)</f>
        <v/>
      </c>
      <c r="G4004" s="29">
        <f>VLOOKUP(A4004,Calendar!$A$1:$H$9997,6,FALSE)-F4004</f>
        <v/>
      </c>
      <c r="H4004" s="19" t="n">
        <v>2</v>
      </c>
      <c r="I4004" s="57" t="n">
        <v>12</v>
      </c>
    </row>
    <row r="4005">
      <c r="A4005" s="62" t="n">
        <v>46828</v>
      </c>
      <c r="B4005" s="3" t="inlineStr">
        <is>
          <t>Week</t>
        </is>
      </c>
      <c r="C4005" s="19" t="n">
        <v>3</v>
      </c>
      <c r="D4005" s="19" t="n">
        <v>2028</v>
      </c>
      <c r="E4005" s="57" t="n">
        <v>4</v>
      </c>
      <c r="F4005" s="29">
        <f>ROUND(((SUMIFS(Calendar!$F$2:$F$9997,Calendar!$B$2:$B$9997,D4005,Calendar!$C$2:$C$9997,C4005)*INDEX(ForeCalc!$B$37:$Y$274,MATCH(_xlfn.CONCAT(H4005," ",I4005),ForeCalc!$A$37:$A$274,0),MATCH(_xlfn.CONCAT(B4005," ",E4005),ForeCalc!$B$36:$Y$36,0))))*VLOOKUP(A4005,Calendar!$A$2:$H$9997,8,FALSE),0)</f>
        <v/>
      </c>
      <c r="G4005" s="29">
        <f>VLOOKUP(A4005,Calendar!$A$1:$H$9997,6,FALSE)-F4005</f>
        <v/>
      </c>
      <c r="H4005" s="19" t="n">
        <v>2</v>
      </c>
      <c r="I4005" s="57" t="n">
        <v>12</v>
      </c>
    </row>
    <row r="4006">
      <c r="A4006" s="62" t="n">
        <v>46829</v>
      </c>
      <c r="B4006" s="3" t="inlineStr">
        <is>
          <t>Week</t>
        </is>
      </c>
      <c r="C4006" s="19" t="n">
        <v>3</v>
      </c>
      <c r="D4006" s="19" t="n">
        <v>2028</v>
      </c>
      <c r="E4006" s="57" t="n">
        <v>4</v>
      </c>
      <c r="F4006" s="29">
        <f>ROUND(((SUMIFS(Calendar!$F$2:$F$9997,Calendar!$B$2:$B$9997,D4006,Calendar!$C$2:$C$9997,C4006)*INDEX(ForeCalc!$B$37:$Y$274,MATCH(_xlfn.CONCAT(H4006," ",I4006),ForeCalc!$A$37:$A$274,0),MATCH(_xlfn.CONCAT(B4006," ",E4006),ForeCalc!$B$36:$Y$36,0))))*VLOOKUP(A4006,Calendar!$A$2:$H$9997,8,FALSE),0)</f>
        <v/>
      </c>
      <c r="G4006" s="29">
        <f>VLOOKUP(A4006,Calendar!$A$1:$H$9997,6,FALSE)-F4006</f>
        <v/>
      </c>
      <c r="H4006" s="19" t="n">
        <v>2</v>
      </c>
      <c r="I4006" s="57" t="n">
        <v>12</v>
      </c>
    </row>
    <row r="4007">
      <c r="A4007" s="62" t="n">
        <v>46830</v>
      </c>
      <c r="B4007" s="3" t="inlineStr">
        <is>
          <t>Sat</t>
        </is>
      </c>
      <c r="C4007" s="19" t="n">
        <v>3</v>
      </c>
      <c r="D4007" s="19" t="n">
        <v>2028</v>
      </c>
      <c r="E4007" s="57" t="n">
        <v>4</v>
      </c>
      <c r="F4007" s="29">
        <f>ROUND(((SUMIFS(Calendar!$F$2:$F$9997,Calendar!$B$2:$B$9997,D4007,Calendar!$C$2:$C$9997,C4007)*INDEX(ForeCalc!$B$37:$Y$274,MATCH(_xlfn.CONCAT(H4007," ",I4007),ForeCalc!$A$37:$A$274,0),MATCH(_xlfn.CONCAT(B4007," ",E4007),ForeCalc!$B$36:$Y$36,0))))*VLOOKUP(A4007,Calendar!$A$2:$H$9997,8,FALSE),0)</f>
        <v/>
      </c>
      <c r="G4007" s="29">
        <f>VLOOKUP(A4007,Calendar!$A$1:$H$9997,6,FALSE)-F4007</f>
        <v/>
      </c>
      <c r="H4007" s="19" t="n">
        <v>2</v>
      </c>
      <c r="I4007" s="57" t="n">
        <v>12</v>
      </c>
    </row>
    <row r="4008">
      <c r="A4008" s="62" t="n">
        <v>46831</v>
      </c>
      <c r="B4008" s="3" t="inlineStr">
        <is>
          <t>Sun</t>
        </is>
      </c>
      <c r="C4008" s="19" t="n">
        <v>3</v>
      </c>
      <c r="D4008" s="19" t="n">
        <v>2028</v>
      </c>
      <c r="E4008" s="57" t="n">
        <v>4</v>
      </c>
      <c r="F4008" s="29">
        <f>ROUND(((SUMIFS(Calendar!$F$2:$F$9997,Calendar!$B$2:$B$9997,D4008,Calendar!$C$2:$C$9997,C4008)*INDEX(ForeCalc!$B$37:$Y$274,MATCH(_xlfn.CONCAT(H4008," ",I4008),ForeCalc!$A$37:$A$274,0),MATCH(_xlfn.CONCAT(B4008," ",E4008),ForeCalc!$B$36:$Y$36,0))))*VLOOKUP(A4008,Calendar!$A$2:$H$9997,8,FALSE),0)</f>
        <v/>
      </c>
      <c r="G4008" s="29">
        <f>VLOOKUP(A4008,Calendar!$A$1:$H$9997,6,FALSE)-F4008</f>
        <v/>
      </c>
      <c r="H4008" s="19" t="n">
        <v>2</v>
      </c>
      <c r="I4008" s="57" t="n">
        <v>12</v>
      </c>
    </row>
    <row r="4009">
      <c r="A4009" s="62" t="n">
        <v>46832</v>
      </c>
      <c r="B4009" s="3" t="inlineStr">
        <is>
          <t>Week</t>
        </is>
      </c>
      <c r="C4009" s="19" t="n">
        <v>3</v>
      </c>
      <c r="D4009" s="19" t="n">
        <v>2028</v>
      </c>
      <c r="E4009" s="57" t="n">
        <v>4</v>
      </c>
      <c r="F4009" s="29">
        <f>ROUND(((SUMIFS(Calendar!$F$2:$F$9997,Calendar!$B$2:$B$9997,D4009,Calendar!$C$2:$C$9997,C4009)*INDEX(ForeCalc!$B$37:$Y$274,MATCH(_xlfn.CONCAT(H4009," ",I4009),ForeCalc!$A$37:$A$274,0),MATCH(_xlfn.CONCAT(B4009," ",E4009),ForeCalc!$B$36:$Y$36,0))))*VLOOKUP(A4009,Calendar!$A$2:$H$9997,8,FALSE),0)</f>
        <v/>
      </c>
      <c r="G4009" s="29">
        <f>VLOOKUP(A4009,Calendar!$A$1:$H$9997,6,FALSE)-F4009</f>
        <v/>
      </c>
      <c r="H4009" s="19" t="n">
        <v>2</v>
      </c>
      <c r="I4009" s="57" t="n">
        <v>12</v>
      </c>
    </row>
    <row r="4010">
      <c r="A4010" s="62" t="n">
        <v>46833</v>
      </c>
      <c r="B4010" s="3" t="inlineStr">
        <is>
          <t>Week</t>
        </is>
      </c>
      <c r="C4010" s="19" t="n">
        <v>3</v>
      </c>
      <c r="D4010" s="19" t="n">
        <v>2028</v>
      </c>
      <c r="E4010" s="57" t="n">
        <v>4</v>
      </c>
      <c r="F4010" s="29">
        <f>ROUND(((SUMIFS(Calendar!$F$2:$F$9997,Calendar!$B$2:$B$9997,D4010,Calendar!$C$2:$C$9997,C4010)*INDEX(ForeCalc!$B$37:$Y$274,MATCH(_xlfn.CONCAT(H4010," ",I4010),ForeCalc!$A$37:$A$274,0),MATCH(_xlfn.CONCAT(B4010," ",E4010),ForeCalc!$B$36:$Y$36,0))))*VLOOKUP(A4010,Calendar!$A$2:$H$9997,8,FALSE),0)</f>
        <v/>
      </c>
      <c r="G4010" s="29">
        <f>VLOOKUP(A4010,Calendar!$A$1:$H$9997,6,FALSE)-F4010</f>
        <v/>
      </c>
      <c r="H4010" s="19" t="n">
        <v>2</v>
      </c>
      <c r="I4010" s="57" t="n">
        <v>12</v>
      </c>
    </row>
    <row r="4011">
      <c r="A4011" s="62" t="n">
        <v>46834</v>
      </c>
      <c r="B4011" s="3" t="inlineStr">
        <is>
          <t>Week</t>
        </is>
      </c>
      <c r="C4011" s="19" t="n">
        <v>3</v>
      </c>
      <c r="D4011" s="19" t="n">
        <v>2028</v>
      </c>
      <c r="E4011" s="57" t="n">
        <v>4</v>
      </c>
      <c r="F4011" s="29">
        <f>ROUND(((SUMIFS(Calendar!$F$2:$F$9997,Calendar!$B$2:$B$9997,D4011,Calendar!$C$2:$C$9997,C4011)*INDEX(ForeCalc!$B$37:$Y$274,MATCH(_xlfn.CONCAT(H4011," ",I4011),ForeCalc!$A$37:$A$274,0),MATCH(_xlfn.CONCAT(B4011," ",E4011),ForeCalc!$B$36:$Y$36,0))))*VLOOKUP(A4011,Calendar!$A$2:$H$9997,8,FALSE),0)</f>
        <v/>
      </c>
      <c r="G4011" s="29">
        <f>VLOOKUP(A4011,Calendar!$A$1:$H$9997,6,FALSE)-F4011</f>
        <v/>
      </c>
      <c r="H4011" s="19" t="n">
        <v>2</v>
      </c>
      <c r="I4011" s="57" t="n">
        <v>12</v>
      </c>
    </row>
    <row r="4012">
      <c r="A4012" s="62" t="n">
        <v>46835</v>
      </c>
      <c r="B4012" s="3" t="inlineStr">
        <is>
          <t>Week</t>
        </is>
      </c>
      <c r="C4012" s="19" t="n">
        <v>3</v>
      </c>
      <c r="D4012" s="19" t="n">
        <v>2028</v>
      </c>
      <c r="E4012" s="57" t="n">
        <v>4</v>
      </c>
      <c r="F4012" s="29">
        <f>ROUND(((SUMIFS(Calendar!$F$2:$F$9997,Calendar!$B$2:$B$9997,D4012,Calendar!$C$2:$C$9997,C4012)*INDEX(ForeCalc!$B$37:$Y$274,MATCH(_xlfn.CONCAT(H4012," ",I4012),ForeCalc!$A$37:$A$274,0),MATCH(_xlfn.CONCAT(B4012," ",E4012),ForeCalc!$B$36:$Y$36,0))))*VLOOKUP(A4012,Calendar!$A$2:$H$9997,8,FALSE),0)</f>
        <v/>
      </c>
      <c r="G4012" s="29">
        <f>VLOOKUP(A4012,Calendar!$A$1:$H$9997,6,FALSE)-F4012</f>
        <v/>
      </c>
      <c r="H4012" s="19" t="n">
        <v>2</v>
      </c>
      <c r="I4012" s="57" t="n">
        <v>12</v>
      </c>
    </row>
    <row r="4013">
      <c r="A4013" s="62" t="n">
        <v>46836</v>
      </c>
      <c r="B4013" s="3" t="inlineStr">
        <is>
          <t>Week</t>
        </is>
      </c>
      <c r="C4013" s="19" t="n">
        <v>3</v>
      </c>
      <c r="D4013" s="19" t="n">
        <v>2028</v>
      </c>
      <c r="E4013" s="57" t="n">
        <v>4</v>
      </c>
      <c r="F4013" s="29">
        <f>ROUND(((SUMIFS(Calendar!$F$2:$F$9997,Calendar!$B$2:$B$9997,D4013,Calendar!$C$2:$C$9997,C4013)*INDEX(ForeCalc!$B$37:$Y$274,MATCH(_xlfn.CONCAT(H4013," ",I4013),ForeCalc!$A$37:$A$274,0),MATCH(_xlfn.CONCAT(B4013," ",E4013),ForeCalc!$B$36:$Y$36,0))))*VLOOKUP(A4013,Calendar!$A$2:$H$9997,8,FALSE),0)</f>
        <v/>
      </c>
      <c r="G4013" s="29">
        <f>VLOOKUP(A4013,Calendar!$A$1:$H$9997,6,FALSE)-F4013</f>
        <v/>
      </c>
      <c r="H4013" s="19" t="n">
        <v>2</v>
      </c>
      <c r="I4013" s="57" t="n">
        <v>12</v>
      </c>
    </row>
    <row r="4014">
      <c r="A4014" s="62" t="n">
        <v>46837</v>
      </c>
      <c r="B4014" s="3" t="inlineStr">
        <is>
          <t>Sat</t>
        </is>
      </c>
      <c r="C4014" s="19" t="n">
        <v>3</v>
      </c>
      <c r="D4014" s="19" t="n">
        <v>2028</v>
      </c>
      <c r="E4014" s="57" t="n">
        <v>4</v>
      </c>
      <c r="F4014" s="29">
        <f>ROUND(((SUMIFS(Calendar!$F$2:$F$9997,Calendar!$B$2:$B$9997,D4014,Calendar!$C$2:$C$9997,C4014)*INDEX(ForeCalc!$B$37:$Y$274,MATCH(_xlfn.CONCAT(H4014," ",I4014),ForeCalc!$A$37:$A$274,0),MATCH(_xlfn.CONCAT(B4014," ",E4014),ForeCalc!$B$36:$Y$36,0))))*VLOOKUP(A4014,Calendar!$A$2:$H$9997,8,FALSE),0)</f>
        <v/>
      </c>
      <c r="G4014" s="29">
        <f>VLOOKUP(A4014,Calendar!$A$1:$H$9997,6,FALSE)-F4014</f>
        <v/>
      </c>
      <c r="H4014" s="19" t="n">
        <v>2</v>
      </c>
      <c r="I4014" s="57" t="n">
        <v>12</v>
      </c>
    </row>
    <row r="4015">
      <c r="A4015" s="62" t="n">
        <v>46838</v>
      </c>
      <c r="B4015" s="3" t="inlineStr">
        <is>
          <t>Sun</t>
        </is>
      </c>
      <c r="C4015" s="19" t="n">
        <v>3</v>
      </c>
      <c r="D4015" s="19" t="n">
        <v>2028</v>
      </c>
      <c r="E4015" s="57" t="n">
        <v>4</v>
      </c>
      <c r="F4015" s="29">
        <f>ROUND(((SUMIFS(Calendar!$F$2:$F$9997,Calendar!$B$2:$B$9997,D4015,Calendar!$C$2:$C$9997,C4015)*INDEX(ForeCalc!$B$37:$Y$274,MATCH(_xlfn.CONCAT(H4015," ",I4015),ForeCalc!$A$37:$A$274,0),MATCH(_xlfn.CONCAT(B4015," ",E4015),ForeCalc!$B$36:$Y$36,0))))*VLOOKUP(A4015,Calendar!$A$2:$H$9997,8,FALSE),0)</f>
        <v/>
      </c>
      <c r="G4015" s="29">
        <f>VLOOKUP(A4015,Calendar!$A$1:$H$9997,6,FALSE)-F4015</f>
        <v/>
      </c>
      <c r="H4015" s="19" t="n">
        <v>2</v>
      </c>
      <c r="I4015" s="57" t="n">
        <v>12</v>
      </c>
    </row>
    <row r="4016">
      <c r="A4016" s="62" t="n">
        <v>46839</v>
      </c>
      <c r="B4016" s="3" t="inlineStr">
        <is>
          <t>Week</t>
        </is>
      </c>
      <c r="C4016" s="19" t="n">
        <v>3</v>
      </c>
      <c r="D4016" s="19" t="n">
        <v>2028</v>
      </c>
      <c r="E4016" s="57" t="n">
        <v>4</v>
      </c>
      <c r="F4016" s="29">
        <f>ROUND(((SUMIFS(Calendar!$F$2:$F$9997,Calendar!$B$2:$B$9997,D4016,Calendar!$C$2:$C$9997,C4016)*INDEX(ForeCalc!$B$37:$Y$274,MATCH(_xlfn.CONCAT(H4016," ",I4016),ForeCalc!$A$37:$A$274,0),MATCH(_xlfn.CONCAT(B4016," ",E4016),ForeCalc!$B$36:$Y$36,0))))*VLOOKUP(A4016,Calendar!$A$2:$H$9997,8,FALSE),0)</f>
        <v/>
      </c>
      <c r="G4016" s="29">
        <f>VLOOKUP(A4016,Calendar!$A$1:$H$9997,6,FALSE)-F4016</f>
        <v/>
      </c>
      <c r="H4016" s="19" t="n">
        <v>2</v>
      </c>
      <c r="I4016" s="57" t="n">
        <v>12</v>
      </c>
    </row>
    <row r="4017">
      <c r="A4017" s="62" t="n">
        <v>46840</v>
      </c>
      <c r="B4017" s="3" t="inlineStr">
        <is>
          <t>Week</t>
        </is>
      </c>
      <c r="C4017" s="19" t="n">
        <v>3</v>
      </c>
      <c r="D4017" s="19" t="n">
        <v>2028</v>
      </c>
      <c r="E4017" s="57" t="n">
        <v>4</v>
      </c>
      <c r="F4017" s="29">
        <f>ROUND(((SUMIFS(Calendar!$F$2:$F$9997,Calendar!$B$2:$B$9997,D4017,Calendar!$C$2:$C$9997,C4017)*INDEX(ForeCalc!$B$37:$Y$274,MATCH(_xlfn.CONCAT(H4017," ",I4017),ForeCalc!$A$37:$A$274,0),MATCH(_xlfn.CONCAT(B4017," ",E4017),ForeCalc!$B$36:$Y$36,0))))*VLOOKUP(A4017,Calendar!$A$2:$H$9997,8,FALSE),0)</f>
        <v/>
      </c>
      <c r="G4017" s="29">
        <f>VLOOKUP(A4017,Calendar!$A$1:$H$9997,6,FALSE)-F4017</f>
        <v/>
      </c>
      <c r="H4017" s="19" t="n">
        <v>2</v>
      </c>
      <c r="I4017" s="57" t="n">
        <v>12</v>
      </c>
    </row>
    <row r="4018">
      <c r="A4018" s="62" t="n">
        <v>46841</v>
      </c>
      <c r="B4018" s="3" t="inlineStr">
        <is>
          <t>Week</t>
        </is>
      </c>
      <c r="C4018" s="19" t="n">
        <v>3</v>
      </c>
      <c r="D4018" s="19" t="n">
        <v>2028</v>
      </c>
      <c r="E4018" s="57" t="n">
        <v>4</v>
      </c>
      <c r="F4018" s="29">
        <f>ROUND(((SUMIFS(Calendar!$F$2:$F$9997,Calendar!$B$2:$B$9997,D4018,Calendar!$C$2:$C$9997,C4018)*INDEX(ForeCalc!$B$37:$Y$274,MATCH(_xlfn.CONCAT(H4018," ",I4018),ForeCalc!$A$37:$A$274,0),MATCH(_xlfn.CONCAT(B4018," ",E4018),ForeCalc!$B$36:$Y$36,0))))*VLOOKUP(A4018,Calendar!$A$2:$H$9997,8,FALSE),0)</f>
        <v/>
      </c>
      <c r="G4018" s="29">
        <f>VLOOKUP(A4018,Calendar!$A$1:$H$9997,6,FALSE)-F4018</f>
        <v/>
      </c>
      <c r="H4018" s="19" t="n">
        <v>2</v>
      </c>
      <c r="I4018" s="57" t="n">
        <v>12</v>
      </c>
    </row>
    <row r="4019">
      <c r="A4019" s="62" t="n">
        <v>46842</v>
      </c>
      <c r="B4019" s="3" t="inlineStr">
        <is>
          <t>Week</t>
        </is>
      </c>
      <c r="C4019" s="19" t="n">
        <v>3</v>
      </c>
      <c r="D4019" s="19" t="n">
        <v>2028</v>
      </c>
      <c r="E4019" s="57" t="n">
        <v>4</v>
      </c>
      <c r="F4019" s="29">
        <f>ROUND(((SUMIFS(Calendar!$F$2:$F$9997,Calendar!$B$2:$B$9997,D4019,Calendar!$C$2:$C$9997,C4019)*INDEX(ForeCalc!$B$37:$Y$274,MATCH(_xlfn.CONCAT(H4019," ",I4019),ForeCalc!$A$37:$A$274,0),MATCH(_xlfn.CONCAT(B4019," ",E4019),ForeCalc!$B$36:$Y$36,0))))*VLOOKUP(A4019,Calendar!$A$2:$H$9997,8,FALSE),0)</f>
        <v/>
      </c>
      <c r="G4019" s="29">
        <f>VLOOKUP(A4019,Calendar!$A$1:$H$9997,6,FALSE)-F4019</f>
        <v/>
      </c>
      <c r="H4019" s="19" t="n">
        <v>2</v>
      </c>
      <c r="I4019" s="57" t="n">
        <v>12</v>
      </c>
    </row>
    <row r="4020">
      <c r="A4020" s="62" t="n">
        <v>46843</v>
      </c>
      <c r="B4020" s="3" t="inlineStr">
        <is>
          <t>Week</t>
        </is>
      </c>
      <c r="C4020" s="19" t="n">
        <v>3</v>
      </c>
      <c r="D4020" s="19" t="n">
        <v>2028</v>
      </c>
      <c r="E4020" s="57" t="n">
        <v>4</v>
      </c>
      <c r="F4020" s="29">
        <f>ROUND(((SUMIFS(Calendar!$F$2:$F$9997,Calendar!$B$2:$B$9997,D4020,Calendar!$C$2:$C$9997,C4020)*INDEX(ForeCalc!$B$37:$Y$274,MATCH(_xlfn.CONCAT(H4020," ",I4020),ForeCalc!$A$37:$A$274,0),MATCH(_xlfn.CONCAT(B4020," ",E4020),ForeCalc!$B$36:$Y$36,0))))*VLOOKUP(A4020,Calendar!$A$2:$H$9997,8,FALSE),0)</f>
        <v/>
      </c>
      <c r="G4020" s="29">
        <f>VLOOKUP(A4020,Calendar!$A$1:$H$9997,6,FALSE)-F4020</f>
        <v/>
      </c>
      <c r="H4020" s="19" t="n">
        <v>2</v>
      </c>
      <c r="I4020" s="57" t="n">
        <v>12</v>
      </c>
    </row>
    <row r="4021">
      <c r="A4021" s="62" t="n">
        <v>46844</v>
      </c>
      <c r="B4021" s="3" t="inlineStr">
        <is>
          <t>Sat</t>
        </is>
      </c>
      <c r="C4021" s="19" t="n">
        <v>4</v>
      </c>
      <c r="D4021" s="19" t="n">
        <v>2028</v>
      </c>
      <c r="E4021" s="57" t="n">
        <v>4</v>
      </c>
      <c r="F4021" s="29">
        <f>ROUND(((SUMIFS(Calendar!$F$2:$F$9997,Calendar!$B$2:$B$9997,D4021,Calendar!$C$2:$C$9997,C4021)*INDEX(ForeCalc!$B$37:$Y$274,MATCH(_xlfn.CONCAT(H4021," ",I4021),ForeCalc!$A$37:$A$274,0),MATCH(_xlfn.CONCAT(B4021," ",E4021),ForeCalc!$B$36:$Y$36,0))))*VLOOKUP(A4021,Calendar!$A$2:$H$9997,8,FALSE),0)</f>
        <v/>
      </c>
      <c r="G4021" s="29">
        <f>VLOOKUP(A4021,Calendar!$A$1:$H$9997,6,FALSE)-F4021</f>
        <v/>
      </c>
      <c r="H4021" s="19" t="n">
        <v>3</v>
      </c>
      <c r="I4021" s="57" t="n">
        <v>1</v>
      </c>
    </row>
    <row r="4022">
      <c r="A4022" s="62" t="n">
        <v>46845</v>
      </c>
      <c r="B4022" s="3" t="inlineStr">
        <is>
          <t>Sun</t>
        </is>
      </c>
      <c r="C4022" s="19" t="n">
        <v>4</v>
      </c>
      <c r="D4022" s="19" t="n">
        <v>2028</v>
      </c>
      <c r="E4022" s="57" t="n">
        <v>4</v>
      </c>
      <c r="F4022" s="29">
        <f>ROUND(((SUMIFS(Calendar!$F$2:$F$9997,Calendar!$B$2:$B$9997,D4022,Calendar!$C$2:$C$9997,C4022)*INDEX(ForeCalc!$B$37:$Y$274,MATCH(_xlfn.CONCAT(H4022," ",I4022),ForeCalc!$A$37:$A$274,0),MATCH(_xlfn.CONCAT(B4022," ",E4022),ForeCalc!$B$36:$Y$36,0))))*VLOOKUP(A4022,Calendar!$A$2:$H$9997,8,FALSE),0)</f>
        <v/>
      </c>
      <c r="G4022" s="29">
        <f>VLOOKUP(A4022,Calendar!$A$1:$H$9997,6,FALSE)-F4022</f>
        <v/>
      </c>
      <c r="H4022" s="19" t="n">
        <v>3</v>
      </c>
      <c r="I4022" s="57" t="n">
        <v>1</v>
      </c>
    </row>
    <row r="4023">
      <c r="A4023" s="62" t="n">
        <v>46846</v>
      </c>
      <c r="B4023" s="3" t="inlineStr">
        <is>
          <t>Week</t>
        </is>
      </c>
      <c r="C4023" s="19" t="n">
        <v>4</v>
      </c>
      <c r="D4023" s="19" t="n">
        <v>2028</v>
      </c>
      <c r="E4023" s="57" t="n">
        <v>4</v>
      </c>
      <c r="F4023" s="29">
        <f>ROUND(((SUMIFS(Calendar!$F$2:$F$9997,Calendar!$B$2:$B$9997,D4023,Calendar!$C$2:$C$9997,C4023)*INDEX(ForeCalc!$B$37:$Y$274,MATCH(_xlfn.CONCAT(H4023," ",I4023),ForeCalc!$A$37:$A$274,0),MATCH(_xlfn.CONCAT(B4023," ",E4023),ForeCalc!$B$36:$Y$36,0))))*VLOOKUP(A4023,Calendar!$A$2:$H$9997,8,FALSE),0)</f>
        <v/>
      </c>
      <c r="G4023" s="29">
        <f>VLOOKUP(A4023,Calendar!$A$1:$H$9997,6,FALSE)-F4023</f>
        <v/>
      </c>
      <c r="H4023" s="19" t="n">
        <v>3</v>
      </c>
      <c r="I4023" s="57" t="n">
        <v>1</v>
      </c>
    </row>
    <row r="4024">
      <c r="A4024" s="62" t="n">
        <v>46847</v>
      </c>
      <c r="B4024" s="3" t="inlineStr">
        <is>
          <t>Week</t>
        </is>
      </c>
      <c r="C4024" s="19" t="n">
        <v>4</v>
      </c>
      <c r="D4024" s="19" t="n">
        <v>2028</v>
      </c>
      <c r="E4024" s="57" t="n">
        <v>4</v>
      </c>
      <c r="F4024" s="29">
        <f>ROUND(((SUMIFS(Calendar!$F$2:$F$9997,Calendar!$B$2:$B$9997,D4024,Calendar!$C$2:$C$9997,C4024)*INDEX(ForeCalc!$B$37:$Y$274,MATCH(_xlfn.CONCAT(H4024," ",I4024),ForeCalc!$A$37:$A$274,0),MATCH(_xlfn.CONCAT(B4024," ",E4024),ForeCalc!$B$36:$Y$36,0))))*VLOOKUP(A4024,Calendar!$A$2:$H$9997,8,FALSE),0)</f>
        <v/>
      </c>
      <c r="G4024" s="29">
        <f>VLOOKUP(A4024,Calendar!$A$1:$H$9997,6,FALSE)-F4024</f>
        <v/>
      </c>
      <c r="H4024" s="19" t="n">
        <v>3</v>
      </c>
      <c r="I4024" s="57" t="n">
        <v>1</v>
      </c>
    </row>
    <row r="4025">
      <c r="A4025" s="62" t="n">
        <v>46848</v>
      </c>
      <c r="B4025" s="3" t="inlineStr">
        <is>
          <t>Week</t>
        </is>
      </c>
      <c r="C4025" s="19" t="n">
        <v>4</v>
      </c>
      <c r="D4025" s="19" t="n">
        <v>2028</v>
      </c>
      <c r="E4025" s="57" t="n">
        <v>4</v>
      </c>
      <c r="F4025" s="29">
        <f>ROUND(((SUMIFS(Calendar!$F$2:$F$9997,Calendar!$B$2:$B$9997,D4025,Calendar!$C$2:$C$9997,C4025)*INDEX(ForeCalc!$B$37:$Y$274,MATCH(_xlfn.CONCAT(H4025," ",I4025),ForeCalc!$A$37:$A$274,0),MATCH(_xlfn.CONCAT(B4025," ",E4025),ForeCalc!$B$36:$Y$36,0))))*VLOOKUP(A4025,Calendar!$A$2:$H$9997,8,FALSE),0)</f>
        <v/>
      </c>
      <c r="G4025" s="29">
        <f>VLOOKUP(A4025,Calendar!$A$1:$H$9997,6,FALSE)-F4025</f>
        <v/>
      </c>
      <c r="H4025" s="19" t="n">
        <v>3</v>
      </c>
      <c r="I4025" s="57" t="n">
        <v>1</v>
      </c>
    </row>
    <row r="4026">
      <c r="A4026" s="62" t="n">
        <v>46849</v>
      </c>
      <c r="B4026" s="3" t="inlineStr">
        <is>
          <t>Week</t>
        </is>
      </c>
      <c r="C4026" s="19" t="n">
        <v>4</v>
      </c>
      <c r="D4026" s="19" t="n">
        <v>2028</v>
      </c>
      <c r="E4026" s="57" t="n">
        <v>4</v>
      </c>
      <c r="F4026" s="29">
        <f>ROUND(((SUMIFS(Calendar!$F$2:$F$9997,Calendar!$B$2:$B$9997,D4026,Calendar!$C$2:$C$9997,C4026)*INDEX(ForeCalc!$B$37:$Y$274,MATCH(_xlfn.CONCAT(H4026," ",I4026),ForeCalc!$A$37:$A$274,0),MATCH(_xlfn.CONCAT(B4026," ",E4026),ForeCalc!$B$36:$Y$36,0))))*VLOOKUP(A4026,Calendar!$A$2:$H$9997,8,FALSE),0)</f>
        <v/>
      </c>
      <c r="G4026" s="29">
        <f>VLOOKUP(A4026,Calendar!$A$1:$H$9997,6,FALSE)-F4026</f>
        <v/>
      </c>
      <c r="H4026" s="19" t="n">
        <v>3</v>
      </c>
      <c r="I4026" s="57" t="n">
        <v>1</v>
      </c>
    </row>
    <row r="4027">
      <c r="A4027" s="62" t="n">
        <v>46850</v>
      </c>
      <c r="B4027" s="3" t="inlineStr">
        <is>
          <t>Week</t>
        </is>
      </c>
      <c r="C4027" s="19" t="n">
        <v>4</v>
      </c>
      <c r="D4027" s="19" t="n">
        <v>2028</v>
      </c>
      <c r="E4027" s="57" t="n">
        <v>4</v>
      </c>
      <c r="F4027" s="29">
        <f>ROUND(((SUMIFS(Calendar!$F$2:$F$9997,Calendar!$B$2:$B$9997,D4027,Calendar!$C$2:$C$9997,C4027)*INDEX(ForeCalc!$B$37:$Y$274,MATCH(_xlfn.CONCAT(H4027," ",I4027),ForeCalc!$A$37:$A$274,0),MATCH(_xlfn.CONCAT(B4027," ",E4027),ForeCalc!$B$36:$Y$36,0))))*VLOOKUP(A4027,Calendar!$A$2:$H$9997,8,FALSE),0)</f>
        <v/>
      </c>
      <c r="G4027" s="29">
        <f>VLOOKUP(A4027,Calendar!$A$1:$H$9997,6,FALSE)-F4027</f>
        <v/>
      </c>
      <c r="H4027" s="19" t="n">
        <v>3</v>
      </c>
      <c r="I4027" s="57" t="n">
        <v>1</v>
      </c>
    </row>
    <row r="4028">
      <c r="A4028" s="62" t="n">
        <v>46851</v>
      </c>
      <c r="B4028" s="3" t="inlineStr">
        <is>
          <t>Sat</t>
        </is>
      </c>
      <c r="C4028" s="19" t="n">
        <v>4</v>
      </c>
      <c r="D4028" s="19" t="n">
        <v>2028</v>
      </c>
      <c r="E4028" s="57" t="n">
        <v>4</v>
      </c>
      <c r="F4028" s="29">
        <f>ROUND(((SUMIFS(Calendar!$F$2:$F$9997,Calendar!$B$2:$B$9997,D4028,Calendar!$C$2:$C$9997,C4028)*INDEX(ForeCalc!$B$37:$Y$274,MATCH(_xlfn.CONCAT(H4028," ",I4028),ForeCalc!$A$37:$A$274,0),MATCH(_xlfn.CONCAT(B4028," ",E4028),ForeCalc!$B$36:$Y$36,0))))*VLOOKUP(A4028,Calendar!$A$2:$H$9997,8,FALSE),0)</f>
        <v/>
      </c>
      <c r="G4028" s="29">
        <f>VLOOKUP(A4028,Calendar!$A$1:$H$9997,6,FALSE)-F4028</f>
        <v/>
      </c>
      <c r="H4028" s="19" t="n">
        <v>3</v>
      </c>
      <c r="I4028" s="57" t="n">
        <v>1</v>
      </c>
    </row>
    <row r="4029">
      <c r="A4029" s="62" t="n">
        <v>46852</v>
      </c>
      <c r="B4029" s="3" t="inlineStr">
        <is>
          <t>Sun</t>
        </is>
      </c>
      <c r="C4029" s="19" t="n">
        <v>4</v>
      </c>
      <c r="D4029" s="19" t="n">
        <v>2028</v>
      </c>
      <c r="E4029" s="57" t="n">
        <v>4</v>
      </c>
      <c r="F4029" s="29">
        <f>ROUND(((SUMIFS(Calendar!$F$2:$F$9997,Calendar!$B$2:$B$9997,D4029,Calendar!$C$2:$C$9997,C4029)*INDEX(ForeCalc!$B$37:$Y$274,MATCH(_xlfn.CONCAT(H4029," ",I4029),ForeCalc!$A$37:$A$274,0),MATCH(_xlfn.CONCAT(B4029," ",E4029),ForeCalc!$B$36:$Y$36,0))))*VLOOKUP(A4029,Calendar!$A$2:$H$9997,8,FALSE),0)</f>
        <v/>
      </c>
      <c r="G4029" s="29">
        <f>VLOOKUP(A4029,Calendar!$A$1:$H$9997,6,FALSE)-F4029</f>
        <v/>
      </c>
      <c r="H4029" s="19" t="n">
        <v>3</v>
      </c>
      <c r="I4029" s="57" t="n">
        <v>1</v>
      </c>
    </row>
    <row r="4030">
      <c r="A4030" s="62" t="n">
        <v>46853</v>
      </c>
      <c r="B4030" s="3" t="inlineStr">
        <is>
          <t>Week</t>
        </is>
      </c>
      <c r="C4030" s="19" t="n">
        <v>4</v>
      </c>
      <c r="D4030" s="19" t="n">
        <v>2028</v>
      </c>
      <c r="E4030" s="57" t="n">
        <v>4</v>
      </c>
      <c r="F4030" s="29">
        <f>ROUND(((SUMIFS(Calendar!$F$2:$F$9997,Calendar!$B$2:$B$9997,D4030,Calendar!$C$2:$C$9997,C4030)*INDEX(ForeCalc!$B$37:$Y$274,MATCH(_xlfn.CONCAT(H4030," ",I4030),ForeCalc!$A$37:$A$274,0),MATCH(_xlfn.CONCAT(B4030," ",E4030),ForeCalc!$B$36:$Y$36,0))))*VLOOKUP(A4030,Calendar!$A$2:$H$9997,8,FALSE),0)</f>
        <v/>
      </c>
      <c r="G4030" s="29">
        <f>VLOOKUP(A4030,Calendar!$A$1:$H$9997,6,FALSE)-F4030</f>
        <v/>
      </c>
      <c r="H4030" s="19" t="n">
        <v>3</v>
      </c>
      <c r="I4030" s="57" t="n">
        <v>1</v>
      </c>
    </row>
    <row r="4031">
      <c r="A4031" s="62" t="n">
        <v>46854</v>
      </c>
      <c r="B4031" s="3" t="inlineStr">
        <is>
          <t>Week</t>
        </is>
      </c>
      <c r="C4031" s="19" t="n">
        <v>4</v>
      </c>
      <c r="D4031" s="19" t="n">
        <v>2028</v>
      </c>
      <c r="E4031" s="57" t="n">
        <v>4</v>
      </c>
      <c r="F4031" s="29">
        <f>ROUND(((SUMIFS(Calendar!$F$2:$F$9997,Calendar!$B$2:$B$9997,D4031,Calendar!$C$2:$C$9997,C4031)*INDEX(ForeCalc!$B$37:$Y$274,MATCH(_xlfn.CONCAT(H4031," ",I4031),ForeCalc!$A$37:$A$274,0),MATCH(_xlfn.CONCAT(B4031," ",E4031),ForeCalc!$B$36:$Y$36,0))))*VLOOKUP(A4031,Calendar!$A$2:$H$9997,8,FALSE),0)</f>
        <v/>
      </c>
      <c r="G4031" s="29">
        <f>VLOOKUP(A4031,Calendar!$A$1:$H$9997,6,FALSE)-F4031</f>
        <v/>
      </c>
      <c r="H4031" s="19" t="n">
        <v>3</v>
      </c>
      <c r="I4031" s="57" t="n">
        <v>1</v>
      </c>
    </row>
    <row r="4032">
      <c r="A4032" s="62" t="n">
        <v>46855</v>
      </c>
      <c r="B4032" s="3" t="inlineStr">
        <is>
          <t>Week</t>
        </is>
      </c>
      <c r="C4032" s="19" t="n">
        <v>4</v>
      </c>
      <c r="D4032" s="19" t="n">
        <v>2028</v>
      </c>
      <c r="E4032" s="57" t="n">
        <v>4</v>
      </c>
      <c r="F4032" s="29">
        <f>ROUND(((SUMIFS(Calendar!$F$2:$F$9997,Calendar!$B$2:$B$9997,D4032,Calendar!$C$2:$C$9997,C4032)*INDEX(ForeCalc!$B$37:$Y$274,MATCH(_xlfn.CONCAT(H4032," ",I4032),ForeCalc!$A$37:$A$274,0),MATCH(_xlfn.CONCAT(B4032," ",E4032),ForeCalc!$B$36:$Y$36,0))))*VLOOKUP(A4032,Calendar!$A$2:$H$9997,8,FALSE),0)</f>
        <v/>
      </c>
      <c r="G4032" s="29">
        <f>VLOOKUP(A4032,Calendar!$A$1:$H$9997,6,FALSE)-F4032</f>
        <v/>
      </c>
      <c r="H4032" s="19" t="n">
        <v>3</v>
      </c>
      <c r="I4032" s="57" t="n">
        <v>1</v>
      </c>
    </row>
    <row r="4033">
      <c r="A4033" s="62" t="n">
        <v>46856</v>
      </c>
      <c r="B4033" s="3" t="inlineStr">
        <is>
          <t>Week</t>
        </is>
      </c>
      <c r="C4033" s="19" t="n">
        <v>4</v>
      </c>
      <c r="D4033" s="19" t="n">
        <v>2028</v>
      </c>
      <c r="E4033" s="57" t="n">
        <v>4</v>
      </c>
      <c r="F4033" s="29">
        <f>ROUND(((SUMIFS(Calendar!$F$2:$F$9997,Calendar!$B$2:$B$9997,D4033,Calendar!$C$2:$C$9997,C4033)*INDEX(ForeCalc!$B$37:$Y$274,MATCH(_xlfn.CONCAT(H4033," ",I4033),ForeCalc!$A$37:$A$274,0),MATCH(_xlfn.CONCAT(B4033," ",E4033),ForeCalc!$B$36:$Y$36,0))))*VLOOKUP(A4033,Calendar!$A$2:$H$9997,8,FALSE),0)</f>
        <v/>
      </c>
      <c r="G4033" s="29">
        <f>VLOOKUP(A4033,Calendar!$A$1:$H$9997,6,FALSE)-F4033</f>
        <v/>
      </c>
      <c r="H4033" s="19" t="n">
        <v>3</v>
      </c>
      <c r="I4033" s="57" t="n">
        <v>1</v>
      </c>
    </row>
    <row r="4034">
      <c r="A4034" s="62" t="n">
        <v>46857</v>
      </c>
      <c r="B4034" s="3" t="inlineStr">
        <is>
          <t>Week</t>
        </is>
      </c>
      <c r="C4034" s="19" t="n">
        <v>4</v>
      </c>
      <c r="D4034" s="19" t="n">
        <v>2028</v>
      </c>
      <c r="E4034" s="57" t="n">
        <v>4</v>
      </c>
      <c r="F4034" s="29">
        <f>ROUND(((SUMIFS(Calendar!$F$2:$F$9997,Calendar!$B$2:$B$9997,D4034,Calendar!$C$2:$C$9997,C4034)*INDEX(ForeCalc!$B$37:$Y$274,MATCH(_xlfn.CONCAT(H4034," ",I4034),ForeCalc!$A$37:$A$274,0),MATCH(_xlfn.CONCAT(B4034," ",E4034),ForeCalc!$B$36:$Y$36,0))))*VLOOKUP(A4034,Calendar!$A$2:$H$9997,8,FALSE),0)</f>
        <v/>
      </c>
      <c r="G4034" s="29">
        <f>VLOOKUP(A4034,Calendar!$A$1:$H$9997,6,FALSE)-F4034</f>
        <v/>
      </c>
      <c r="H4034" s="19" t="n">
        <v>3</v>
      </c>
      <c r="I4034" s="57" t="n">
        <v>1</v>
      </c>
    </row>
    <row r="4035">
      <c r="A4035" s="62" t="n">
        <v>46858</v>
      </c>
      <c r="B4035" s="3" t="inlineStr">
        <is>
          <t>Sat</t>
        </is>
      </c>
      <c r="C4035" s="19" t="n">
        <v>4</v>
      </c>
      <c r="D4035" s="19" t="n">
        <v>2028</v>
      </c>
      <c r="E4035" s="57" t="n">
        <v>4</v>
      </c>
      <c r="F4035" s="29">
        <f>ROUND(((SUMIFS(Calendar!$F$2:$F$9997,Calendar!$B$2:$B$9997,D4035,Calendar!$C$2:$C$9997,C4035)*INDEX(ForeCalc!$B$37:$Y$274,MATCH(_xlfn.CONCAT(H4035," ",I4035),ForeCalc!$A$37:$A$274,0),MATCH(_xlfn.CONCAT(B4035," ",E4035),ForeCalc!$B$36:$Y$36,0))))*VLOOKUP(A4035,Calendar!$A$2:$H$9997,8,FALSE),0)</f>
        <v/>
      </c>
      <c r="G4035" s="29">
        <f>VLOOKUP(A4035,Calendar!$A$1:$H$9997,6,FALSE)-F4035</f>
        <v/>
      </c>
      <c r="H4035" s="19" t="n">
        <v>3</v>
      </c>
      <c r="I4035" s="57" t="n">
        <v>1</v>
      </c>
    </row>
    <row r="4036">
      <c r="A4036" s="62" t="n">
        <v>46859</v>
      </c>
      <c r="B4036" s="3" t="inlineStr">
        <is>
          <t>Sun</t>
        </is>
      </c>
      <c r="C4036" s="19" t="n">
        <v>4</v>
      </c>
      <c r="D4036" s="19" t="n">
        <v>2028</v>
      </c>
      <c r="E4036" s="57" t="n">
        <v>4</v>
      </c>
      <c r="F4036" s="29">
        <f>ROUND(((SUMIFS(Calendar!$F$2:$F$9997,Calendar!$B$2:$B$9997,D4036,Calendar!$C$2:$C$9997,C4036)*INDEX(ForeCalc!$B$37:$Y$274,MATCH(_xlfn.CONCAT(H4036," ",I4036),ForeCalc!$A$37:$A$274,0),MATCH(_xlfn.CONCAT(B4036," ",E4036),ForeCalc!$B$36:$Y$36,0))))*VLOOKUP(A4036,Calendar!$A$2:$H$9997,8,FALSE),0)</f>
        <v/>
      </c>
      <c r="G4036" s="29">
        <f>VLOOKUP(A4036,Calendar!$A$1:$H$9997,6,FALSE)-F4036</f>
        <v/>
      </c>
      <c r="H4036" s="19" t="n">
        <v>3</v>
      </c>
      <c r="I4036" s="57" t="n">
        <v>1</v>
      </c>
    </row>
    <row r="4037">
      <c r="A4037" s="62" t="n">
        <v>46860</v>
      </c>
      <c r="B4037" s="3" t="inlineStr">
        <is>
          <t>Week</t>
        </is>
      </c>
      <c r="C4037" s="19" t="n">
        <v>4</v>
      </c>
      <c r="D4037" s="19" t="n">
        <v>2028</v>
      </c>
      <c r="E4037" s="57" t="n">
        <v>4</v>
      </c>
      <c r="F4037" s="29">
        <f>ROUND(((SUMIFS(Calendar!$F$2:$F$9997,Calendar!$B$2:$B$9997,D4037,Calendar!$C$2:$C$9997,C4037)*INDEX(ForeCalc!$B$37:$Y$274,MATCH(_xlfn.CONCAT(H4037," ",I4037),ForeCalc!$A$37:$A$274,0),MATCH(_xlfn.CONCAT(B4037," ",E4037),ForeCalc!$B$36:$Y$36,0))))*VLOOKUP(A4037,Calendar!$A$2:$H$9997,8,FALSE),0)</f>
        <v/>
      </c>
      <c r="G4037" s="29">
        <f>VLOOKUP(A4037,Calendar!$A$1:$H$9997,6,FALSE)-F4037</f>
        <v/>
      </c>
      <c r="H4037" s="19" t="n">
        <v>3</v>
      </c>
      <c r="I4037" s="57" t="n">
        <v>1</v>
      </c>
    </row>
    <row r="4038">
      <c r="A4038" s="62" t="n">
        <v>46861</v>
      </c>
      <c r="B4038" s="3" t="inlineStr">
        <is>
          <t>Week</t>
        </is>
      </c>
      <c r="C4038" s="19" t="n">
        <v>4</v>
      </c>
      <c r="D4038" s="19" t="n">
        <v>2028</v>
      </c>
      <c r="E4038" s="57" t="n">
        <v>4</v>
      </c>
      <c r="F4038" s="29">
        <f>ROUND(((SUMIFS(Calendar!$F$2:$F$9997,Calendar!$B$2:$B$9997,D4038,Calendar!$C$2:$C$9997,C4038)*INDEX(ForeCalc!$B$37:$Y$274,MATCH(_xlfn.CONCAT(H4038," ",I4038),ForeCalc!$A$37:$A$274,0),MATCH(_xlfn.CONCAT(B4038," ",E4038),ForeCalc!$B$36:$Y$36,0))))*VLOOKUP(A4038,Calendar!$A$2:$H$9997,8,FALSE),0)</f>
        <v/>
      </c>
      <c r="G4038" s="29">
        <f>VLOOKUP(A4038,Calendar!$A$1:$H$9997,6,FALSE)-F4038</f>
        <v/>
      </c>
      <c r="H4038" s="19" t="n">
        <v>3</v>
      </c>
      <c r="I4038" s="57" t="n">
        <v>1</v>
      </c>
    </row>
    <row r="4039">
      <c r="A4039" s="62" t="n">
        <v>46862</v>
      </c>
      <c r="B4039" s="3" t="inlineStr">
        <is>
          <t>Week</t>
        </is>
      </c>
      <c r="C4039" s="19" t="n">
        <v>4</v>
      </c>
      <c r="D4039" s="19" t="n">
        <v>2028</v>
      </c>
      <c r="E4039" s="57" t="n">
        <v>4</v>
      </c>
      <c r="F4039" s="29">
        <f>ROUND(((SUMIFS(Calendar!$F$2:$F$9997,Calendar!$B$2:$B$9997,D4039,Calendar!$C$2:$C$9997,C4039)*INDEX(ForeCalc!$B$37:$Y$274,MATCH(_xlfn.CONCAT(H4039," ",I4039),ForeCalc!$A$37:$A$274,0),MATCH(_xlfn.CONCAT(B4039," ",E4039),ForeCalc!$B$36:$Y$36,0))))*VLOOKUP(A4039,Calendar!$A$2:$H$9997,8,FALSE),0)</f>
        <v/>
      </c>
      <c r="G4039" s="29">
        <f>VLOOKUP(A4039,Calendar!$A$1:$H$9997,6,FALSE)-F4039</f>
        <v/>
      </c>
      <c r="H4039" s="19" t="n">
        <v>3</v>
      </c>
      <c r="I4039" s="57" t="n">
        <v>1</v>
      </c>
    </row>
    <row r="4040">
      <c r="A4040" s="62" t="n">
        <v>46863</v>
      </c>
      <c r="B4040" s="3" t="inlineStr">
        <is>
          <t>Week</t>
        </is>
      </c>
      <c r="C4040" s="19" t="n">
        <v>4</v>
      </c>
      <c r="D4040" s="19" t="n">
        <v>2028</v>
      </c>
      <c r="E4040" s="57" t="n">
        <v>4</v>
      </c>
      <c r="F4040" s="29">
        <f>ROUND(((SUMIFS(Calendar!$F$2:$F$9997,Calendar!$B$2:$B$9997,D4040,Calendar!$C$2:$C$9997,C4040)*INDEX(ForeCalc!$B$37:$Y$274,MATCH(_xlfn.CONCAT(H4040," ",I4040),ForeCalc!$A$37:$A$274,0),MATCH(_xlfn.CONCAT(B4040," ",E4040),ForeCalc!$B$36:$Y$36,0))))*VLOOKUP(A4040,Calendar!$A$2:$H$9997,8,FALSE),0)</f>
        <v/>
      </c>
      <c r="G4040" s="29">
        <f>VLOOKUP(A4040,Calendar!$A$1:$H$9997,6,FALSE)-F4040</f>
        <v/>
      </c>
      <c r="H4040" s="19" t="n">
        <v>3</v>
      </c>
      <c r="I4040" s="57" t="n">
        <v>1</v>
      </c>
    </row>
    <row r="4041">
      <c r="A4041" s="62" t="n">
        <v>46864</v>
      </c>
      <c r="B4041" s="3" t="inlineStr">
        <is>
          <t>Week</t>
        </is>
      </c>
      <c r="C4041" s="19" t="n">
        <v>4</v>
      </c>
      <c r="D4041" s="19" t="n">
        <v>2028</v>
      </c>
      <c r="E4041" s="57" t="n">
        <v>4</v>
      </c>
      <c r="F4041" s="29">
        <f>ROUND(((SUMIFS(Calendar!$F$2:$F$9997,Calendar!$B$2:$B$9997,D4041,Calendar!$C$2:$C$9997,C4041)*INDEX(ForeCalc!$B$37:$Y$274,MATCH(_xlfn.CONCAT(H4041," ",I4041),ForeCalc!$A$37:$A$274,0),MATCH(_xlfn.CONCAT(B4041," ",E4041),ForeCalc!$B$36:$Y$36,0))))*VLOOKUP(A4041,Calendar!$A$2:$H$9997,8,FALSE),0)</f>
        <v/>
      </c>
      <c r="G4041" s="29">
        <f>VLOOKUP(A4041,Calendar!$A$1:$H$9997,6,FALSE)-F4041</f>
        <v/>
      </c>
      <c r="H4041" s="19" t="n">
        <v>3</v>
      </c>
      <c r="I4041" s="57" t="n">
        <v>1</v>
      </c>
    </row>
    <row r="4042">
      <c r="A4042" s="62" t="n">
        <v>46865</v>
      </c>
      <c r="B4042" s="3" t="inlineStr">
        <is>
          <t>Sat</t>
        </is>
      </c>
      <c r="C4042" s="19" t="n">
        <v>4</v>
      </c>
      <c r="D4042" s="19" t="n">
        <v>2028</v>
      </c>
      <c r="E4042" s="57" t="n">
        <v>4</v>
      </c>
      <c r="F4042" s="29">
        <f>ROUND(((SUMIFS(Calendar!$F$2:$F$9997,Calendar!$B$2:$B$9997,D4042,Calendar!$C$2:$C$9997,C4042)*INDEX(ForeCalc!$B$37:$Y$274,MATCH(_xlfn.CONCAT(H4042," ",I4042),ForeCalc!$A$37:$A$274,0),MATCH(_xlfn.CONCAT(B4042," ",E4042),ForeCalc!$B$36:$Y$36,0))))*VLOOKUP(A4042,Calendar!$A$2:$H$9997,8,FALSE),0)</f>
        <v/>
      </c>
      <c r="G4042" s="29">
        <f>VLOOKUP(A4042,Calendar!$A$1:$H$9997,6,FALSE)-F4042</f>
        <v/>
      </c>
      <c r="H4042" s="19" t="n">
        <v>3</v>
      </c>
      <c r="I4042" s="57" t="n">
        <v>1</v>
      </c>
    </row>
    <row r="4043">
      <c r="A4043" s="62" t="n">
        <v>46866</v>
      </c>
      <c r="B4043" s="3" t="inlineStr">
        <is>
          <t>Sun</t>
        </is>
      </c>
      <c r="C4043" s="19" t="n">
        <v>4</v>
      </c>
      <c r="D4043" s="19" t="n">
        <v>2028</v>
      </c>
      <c r="E4043" s="57" t="n">
        <v>4</v>
      </c>
      <c r="F4043" s="29">
        <f>ROUND(((SUMIFS(Calendar!$F$2:$F$9997,Calendar!$B$2:$B$9997,D4043,Calendar!$C$2:$C$9997,C4043)*INDEX(ForeCalc!$B$37:$Y$274,MATCH(_xlfn.CONCAT(H4043," ",I4043),ForeCalc!$A$37:$A$274,0),MATCH(_xlfn.CONCAT(B4043," ",E4043),ForeCalc!$B$36:$Y$36,0))))*VLOOKUP(A4043,Calendar!$A$2:$H$9997,8,FALSE),0)</f>
        <v/>
      </c>
      <c r="G4043" s="29">
        <f>VLOOKUP(A4043,Calendar!$A$1:$H$9997,6,FALSE)-F4043</f>
        <v/>
      </c>
      <c r="H4043" s="19" t="n">
        <v>3</v>
      </c>
      <c r="I4043" s="57" t="n">
        <v>1</v>
      </c>
    </row>
    <row r="4044">
      <c r="A4044" s="62" t="n">
        <v>46867</v>
      </c>
      <c r="B4044" s="3" t="inlineStr">
        <is>
          <t>Week</t>
        </is>
      </c>
      <c r="C4044" s="19" t="n">
        <v>4</v>
      </c>
      <c r="D4044" s="19" t="n">
        <v>2028</v>
      </c>
      <c r="E4044" s="57" t="n">
        <v>4</v>
      </c>
      <c r="F4044" s="29">
        <f>ROUND(((SUMIFS(Calendar!$F$2:$F$9997,Calendar!$B$2:$B$9997,D4044,Calendar!$C$2:$C$9997,C4044)*INDEX(ForeCalc!$B$37:$Y$274,MATCH(_xlfn.CONCAT(H4044," ",I4044),ForeCalc!$A$37:$A$274,0),MATCH(_xlfn.CONCAT(B4044," ",E4044),ForeCalc!$B$36:$Y$36,0))))*VLOOKUP(A4044,Calendar!$A$2:$H$9997,8,FALSE),0)</f>
        <v/>
      </c>
      <c r="G4044" s="29">
        <f>VLOOKUP(A4044,Calendar!$A$1:$H$9997,6,FALSE)-F4044</f>
        <v/>
      </c>
      <c r="H4044" s="19" t="n">
        <v>3</v>
      </c>
      <c r="I4044" s="57" t="n">
        <v>1</v>
      </c>
    </row>
    <row r="4045">
      <c r="A4045" s="62" t="n">
        <v>46868</v>
      </c>
      <c r="B4045" s="3" t="inlineStr">
        <is>
          <t>Week</t>
        </is>
      </c>
      <c r="C4045" s="19" t="n">
        <v>4</v>
      </c>
      <c r="D4045" s="19" t="n">
        <v>2028</v>
      </c>
      <c r="E4045" s="57" t="n">
        <v>4</v>
      </c>
      <c r="F4045" s="29">
        <f>ROUND(((SUMIFS(Calendar!$F$2:$F$9997,Calendar!$B$2:$B$9997,D4045,Calendar!$C$2:$C$9997,C4045)*INDEX(ForeCalc!$B$37:$Y$274,MATCH(_xlfn.CONCAT(H4045," ",I4045),ForeCalc!$A$37:$A$274,0),MATCH(_xlfn.CONCAT(B4045," ",E4045),ForeCalc!$B$36:$Y$36,0))))*VLOOKUP(A4045,Calendar!$A$2:$H$9997,8,FALSE),0)</f>
        <v/>
      </c>
      <c r="G4045" s="29">
        <f>VLOOKUP(A4045,Calendar!$A$1:$H$9997,6,FALSE)-F4045</f>
        <v/>
      </c>
      <c r="H4045" s="19" t="n">
        <v>3</v>
      </c>
      <c r="I4045" s="57" t="n">
        <v>1</v>
      </c>
    </row>
    <row r="4046">
      <c r="A4046" s="62" t="n">
        <v>46869</v>
      </c>
      <c r="B4046" s="3" t="inlineStr">
        <is>
          <t>Week</t>
        </is>
      </c>
      <c r="C4046" s="19" t="n">
        <v>4</v>
      </c>
      <c r="D4046" s="19" t="n">
        <v>2028</v>
      </c>
      <c r="E4046" s="57" t="n">
        <v>4</v>
      </c>
      <c r="F4046" s="29">
        <f>ROUND(((SUMIFS(Calendar!$F$2:$F$9997,Calendar!$B$2:$B$9997,D4046,Calendar!$C$2:$C$9997,C4046)*INDEX(ForeCalc!$B$37:$Y$274,MATCH(_xlfn.CONCAT(H4046," ",I4046),ForeCalc!$A$37:$A$274,0),MATCH(_xlfn.CONCAT(B4046," ",E4046),ForeCalc!$B$36:$Y$36,0))))*VLOOKUP(A4046,Calendar!$A$2:$H$9997,8,FALSE),0)</f>
        <v/>
      </c>
      <c r="G4046" s="29">
        <f>VLOOKUP(A4046,Calendar!$A$1:$H$9997,6,FALSE)-F4046</f>
        <v/>
      </c>
      <c r="H4046" s="19" t="n">
        <v>3</v>
      </c>
      <c r="I4046" s="57" t="n">
        <v>1</v>
      </c>
    </row>
    <row r="4047">
      <c r="A4047" s="62" t="n">
        <v>46870</v>
      </c>
      <c r="B4047" s="3" t="inlineStr">
        <is>
          <t>Week</t>
        </is>
      </c>
      <c r="C4047" s="19" t="n">
        <v>4</v>
      </c>
      <c r="D4047" s="19" t="n">
        <v>2028</v>
      </c>
      <c r="E4047" s="57" t="n">
        <v>4</v>
      </c>
      <c r="F4047" s="29">
        <f>ROUND(((SUMIFS(Calendar!$F$2:$F$9997,Calendar!$B$2:$B$9997,D4047,Calendar!$C$2:$C$9997,C4047)*INDEX(ForeCalc!$B$37:$Y$274,MATCH(_xlfn.CONCAT(H4047," ",I4047),ForeCalc!$A$37:$A$274,0),MATCH(_xlfn.CONCAT(B4047," ",E4047),ForeCalc!$B$36:$Y$36,0))))*VLOOKUP(A4047,Calendar!$A$2:$H$9997,8,FALSE),0)</f>
        <v/>
      </c>
      <c r="G4047" s="29">
        <f>VLOOKUP(A4047,Calendar!$A$1:$H$9997,6,FALSE)-F4047</f>
        <v/>
      </c>
      <c r="H4047" s="19" t="n">
        <v>3</v>
      </c>
      <c r="I4047" s="57" t="n">
        <v>1</v>
      </c>
    </row>
    <row r="4048">
      <c r="A4048" s="62" t="n">
        <v>46871</v>
      </c>
      <c r="B4048" s="3" t="inlineStr">
        <is>
          <t>Week</t>
        </is>
      </c>
      <c r="C4048" s="19" t="n">
        <v>4</v>
      </c>
      <c r="D4048" s="19" t="n">
        <v>2028</v>
      </c>
      <c r="E4048" s="57" t="n">
        <v>4</v>
      </c>
      <c r="F4048" s="29">
        <f>ROUND(((SUMIFS(Calendar!$F$2:$F$9997,Calendar!$B$2:$B$9997,D4048,Calendar!$C$2:$C$9997,C4048)*INDEX(ForeCalc!$B$37:$Y$274,MATCH(_xlfn.CONCAT(H4048," ",I4048),ForeCalc!$A$37:$A$274,0),MATCH(_xlfn.CONCAT(B4048," ",E4048),ForeCalc!$B$36:$Y$36,0))))*VLOOKUP(A4048,Calendar!$A$2:$H$9997,8,FALSE),0)</f>
        <v/>
      </c>
      <c r="G4048" s="29">
        <f>VLOOKUP(A4048,Calendar!$A$1:$H$9997,6,FALSE)-F4048</f>
        <v/>
      </c>
      <c r="H4048" s="19" t="n">
        <v>3</v>
      </c>
      <c r="I4048" s="57" t="n">
        <v>1</v>
      </c>
    </row>
    <row r="4049">
      <c r="A4049" s="62" t="n">
        <v>46872</v>
      </c>
      <c r="B4049" s="3" t="inlineStr">
        <is>
          <t>Sat</t>
        </is>
      </c>
      <c r="C4049" s="19" t="n">
        <v>4</v>
      </c>
      <c r="D4049" s="19" t="n">
        <v>2028</v>
      </c>
      <c r="E4049" s="57" t="n">
        <v>4</v>
      </c>
      <c r="F4049" s="29">
        <f>ROUND(((SUMIFS(Calendar!$F$2:$F$9997,Calendar!$B$2:$B$9997,D4049,Calendar!$C$2:$C$9997,C4049)*INDEX(ForeCalc!$B$37:$Y$274,MATCH(_xlfn.CONCAT(H4049," ",I4049),ForeCalc!$A$37:$A$274,0),MATCH(_xlfn.CONCAT(B4049," ",E4049),ForeCalc!$B$36:$Y$36,0))))*VLOOKUP(A4049,Calendar!$A$2:$H$9997,8,FALSE),0)</f>
        <v/>
      </c>
      <c r="G4049" s="29">
        <f>VLOOKUP(A4049,Calendar!$A$1:$H$9997,6,FALSE)-F4049</f>
        <v/>
      </c>
      <c r="H4049" s="19" t="n">
        <v>3</v>
      </c>
      <c r="I4049" s="57" t="n">
        <v>1</v>
      </c>
    </row>
    <row r="4050">
      <c r="A4050" s="62" t="n">
        <v>46873</v>
      </c>
      <c r="B4050" s="3" t="inlineStr">
        <is>
          <t>Sun</t>
        </is>
      </c>
      <c r="C4050" s="19" t="n">
        <v>4</v>
      </c>
      <c r="D4050" s="19" t="n">
        <v>2028</v>
      </c>
      <c r="E4050" s="57" t="n">
        <v>4</v>
      </c>
      <c r="F4050" s="29">
        <f>ROUND(((SUMIFS(Calendar!$F$2:$F$9997,Calendar!$B$2:$B$9997,D4050,Calendar!$C$2:$C$9997,C4050)*INDEX(ForeCalc!$B$37:$Y$274,MATCH(_xlfn.CONCAT(H4050," ",I4050),ForeCalc!$A$37:$A$274,0),MATCH(_xlfn.CONCAT(B4050," ",E4050),ForeCalc!$B$36:$Y$36,0))))*VLOOKUP(A4050,Calendar!$A$2:$H$9997,8,FALSE),0)</f>
        <v/>
      </c>
      <c r="G4050" s="29">
        <f>VLOOKUP(A4050,Calendar!$A$1:$H$9997,6,FALSE)-F4050</f>
        <v/>
      </c>
      <c r="H4050" s="19" t="n">
        <v>3</v>
      </c>
      <c r="I4050" s="57" t="n">
        <v>1</v>
      </c>
    </row>
    <row r="4051">
      <c r="A4051" s="62" t="n">
        <v>46874</v>
      </c>
      <c r="B4051" s="3" t="inlineStr">
        <is>
          <t>Week</t>
        </is>
      </c>
      <c r="C4051" s="19" t="n">
        <v>5</v>
      </c>
      <c r="D4051" s="19" t="n">
        <v>2028</v>
      </c>
      <c r="E4051" s="57" t="n">
        <v>4</v>
      </c>
      <c r="F4051" s="29">
        <f>ROUND(((SUMIFS(Calendar!$F$2:$F$9997,Calendar!$B$2:$B$9997,D4051,Calendar!$C$2:$C$9997,C4051)*INDEX(ForeCalc!$B$37:$Y$274,MATCH(_xlfn.CONCAT(H4051," ",I4051),ForeCalc!$A$37:$A$274,0),MATCH(_xlfn.CONCAT(B4051," ",E4051),ForeCalc!$B$36:$Y$36,0))))*VLOOKUP(A4051,Calendar!$A$2:$H$9997,8,FALSE),0)</f>
        <v/>
      </c>
      <c r="G4051" s="29">
        <f>VLOOKUP(A4051,Calendar!$A$1:$H$9997,6,FALSE)-F4051</f>
        <v/>
      </c>
      <c r="H4051" s="19" t="n">
        <v>3</v>
      </c>
      <c r="I4051" s="57" t="n">
        <v>2</v>
      </c>
    </row>
    <row r="4052">
      <c r="A4052" s="62" t="n">
        <v>46875</v>
      </c>
      <c r="B4052" s="3" t="inlineStr">
        <is>
          <t>Week</t>
        </is>
      </c>
      <c r="C4052" s="19" t="n">
        <v>5</v>
      </c>
      <c r="D4052" s="19" t="n">
        <v>2028</v>
      </c>
      <c r="E4052" s="57" t="n">
        <v>4</v>
      </c>
      <c r="F4052" s="29">
        <f>ROUND(((SUMIFS(Calendar!$F$2:$F$9997,Calendar!$B$2:$B$9997,D4052,Calendar!$C$2:$C$9997,C4052)*INDEX(ForeCalc!$B$37:$Y$274,MATCH(_xlfn.CONCAT(H4052," ",I4052),ForeCalc!$A$37:$A$274,0),MATCH(_xlfn.CONCAT(B4052," ",E4052),ForeCalc!$B$36:$Y$36,0))))*VLOOKUP(A4052,Calendar!$A$2:$H$9997,8,FALSE),0)</f>
        <v/>
      </c>
      <c r="G4052" s="29">
        <f>VLOOKUP(A4052,Calendar!$A$1:$H$9997,6,FALSE)-F4052</f>
        <v/>
      </c>
      <c r="H4052" s="19" t="n">
        <v>3</v>
      </c>
      <c r="I4052" s="57" t="n">
        <v>2</v>
      </c>
    </row>
    <row r="4053">
      <c r="A4053" s="62" t="n">
        <v>46876</v>
      </c>
      <c r="B4053" s="3" t="inlineStr">
        <is>
          <t>Week</t>
        </is>
      </c>
      <c r="C4053" s="19" t="n">
        <v>5</v>
      </c>
      <c r="D4053" s="19" t="n">
        <v>2028</v>
      </c>
      <c r="E4053" s="57" t="n">
        <v>4</v>
      </c>
      <c r="F4053" s="29">
        <f>ROUND(((SUMIFS(Calendar!$F$2:$F$9997,Calendar!$B$2:$B$9997,D4053,Calendar!$C$2:$C$9997,C4053)*INDEX(ForeCalc!$B$37:$Y$274,MATCH(_xlfn.CONCAT(H4053," ",I4053),ForeCalc!$A$37:$A$274,0),MATCH(_xlfn.CONCAT(B4053," ",E4053),ForeCalc!$B$36:$Y$36,0))))*VLOOKUP(A4053,Calendar!$A$2:$H$9997,8,FALSE),0)</f>
        <v/>
      </c>
      <c r="G4053" s="29">
        <f>VLOOKUP(A4053,Calendar!$A$1:$H$9997,6,FALSE)-F4053</f>
        <v/>
      </c>
      <c r="H4053" s="19" t="n">
        <v>3</v>
      </c>
      <c r="I4053" s="57" t="n">
        <v>2</v>
      </c>
    </row>
    <row r="4054">
      <c r="A4054" s="62" t="n">
        <v>46877</v>
      </c>
      <c r="B4054" s="3" t="inlineStr">
        <is>
          <t>Week</t>
        </is>
      </c>
      <c r="C4054" s="19" t="n">
        <v>5</v>
      </c>
      <c r="D4054" s="19" t="n">
        <v>2028</v>
      </c>
      <c r="E4054" s="57" t="n">
        <v>4</v>
      </c>
      <c r="F4054" s="29">
        <f>ROUND(((SUMIFS(Calendar!$F$2:$F$9997,Calendar!$B$2:$B$9997,D4054,Calendar!$C$2:$C$9997,C4054)*INDEX(ForeCalc!$B$37:$Y$274,MATCH(_xlfn.CONCAT(H4054," ",I4054),ForeCalc!$A$37:$A$274,0),MATCH(_xlfn.CONCAT(B4054," ",E4054),ForeCalc!$B$36:$Y$36,0))))*VLOOKUP(A4054,Calendar!$A$2:$H$9997,8,FALSE),0)</f>
        <v/>
      </c>
      <c r="G4054" s="29">
        <f>VLOOKUP(A4054,Calendar!$A$1:$H$9997,6,FALSE)-F4054</f>
        <v/>
      </c>
      <c r="H4054" s="19" t="n">
        <v>3</v>
      </c>
      <c r="I4054" s="57" t="n">
        <v>2</v>
      </c>
    </row>
    <row r="4055">
      <c r="A4055" s="62" t="n">
        <v>46878</v>
      </c>
      <c r="B4055" s="3" t="inlineStr">
        <is>
          <t>Week</t>
        </is>
      </c>
      <c r="C4055" s="19" t="n">
        <v>5</v>
      </c>
      <c r="D4055" s="19" t="n">
        <v>2028</v>
      </c>
      <c r="E4055" s="57" t="n">
        <v>4</v>
      </c>
      <c r="F4055" s="29">
        <f>ROUND(((SUMIFS(Calendar!$F$2:$F$9997,Calendar!$B$2:$B$9997,D4055,Calendar!$C$2:$C$9997,C4055)*INDEX(ForeCalc!$B$37:$Y$274,MATCH(_xlfn.CONCAT(H4055," ",I4055),ForeCalc!$A$37:$A$274,0),MATCH(_xlfn.CONCAT(B4055," ",E4055),ForeCalc!$B$36:$Y$36,0))))*VLOOKUP(A4055,Calendar!$A$2:$H$9997,8,FALSE),0)</f>
        <v/>
      </c>
      <c r="G4055" s="29">
        <f>VLOOKUP(A4055,Calendar!$A$1:$H$9997,6,FALSE)-F4055</f>
        <v/>
      </c>
      <c r="H4055" s="19" t="n">
        <v>3</v>
      </c>
      <c r="I4055" s="57" t="n">
        <v>2</v>
      </c>
    </row>
    <row r="4056">
      <c r="A4056" s="62" t="n">
        <v>46879</v>
      </c>
      <c r="B4056" s="3" t="inlineStr">
        <is>
          <t>Sat</t>
        </is>
      </c>
      <c r="C4056" s="19" t="n">
        <v>5</v>
      </c>
      <c r="D4056" s="19" t="n">
        <v>2028</v>
      </c>
      <c r="E4056" s="57" t="n">
        <v>4</v>
      </c>
      <c r="F4056" s="29">
        <f>ROUND(((SUMIFS(Calendar!$F$2:$F$9997,Calendar!$B$2:$B$9997,D4056,Calendar!$C$2:$C$9997,C4056)*INDEX(ForeCalc!$B$37:$Y$274,MATCH(_xlfn.CONCAT(H4056," ",I4056),ForeCalc!$A$37:$A$274,0),MATCH(_xlfn.CONCAT(B4056," ",E4056),ForeCalc!$B$36:$Y$36,0))))*VLOOKUP(A4056,Calendar!$A$2:$H$9997,8,FALSE),0)</f>
        <v/>
      </c>
      <c r="G4056" s="29">
        <f>VLOOKUP(A4056,Calendar!$A$1:$H$9997,6,FALSE)-F4056</f>
        <v/>
      </c>
      <c r="H4056" s="19" t="n">
        <v>3</v>
      </c>
      <c r="I4056" s="57" t="n">
        <v>2</v>
      </c>
    </row>
    <row r="4057">
      <c r="A4057" s="62" t="n">
        <v>46880</v>
      </c>
      <c r="B4057" s="3" t="inlineStr">
        <is>
          <t>Sun</t>
        </is>
      </c>
      <c r="C4057" s="19" t="n">
        <v>5</v>
      </c>
      <c r="D4057" s="19" t="n">
        <v>2028</v>
      </c>
      <c r="E4057" s="57" t="n">
        <v>4</v>
      </c>
      <c r="F4057" s="29">
        <f>ROUND(((SUMIFS(Calendar!$F$2:$F$9997,Calendar!$B$2:$B$9997,D4057,Calendar!$C$2:$C$9997,C4057)*INDEX(ForeCalc!$B$37:$Y$274,MATCH(_xlfn.CONCAT(H4057," ",I4057),ForeCalc!$A$37:$A$274,0),MATCH(_xlfn.CONCAT(B4057," ",E4057),ForeCalc!$B$36:$Y$36,0))))*VLOOKUP(A4057,Calendar!$A$2:$H$9997,8,FALSE),0)</f>
        <v/>
      </c>
      <c r="G4057" s="29">
        <f>VLOOKUP(A4057,Calendar!$A$1:$H$9997,6,FALSE)-F4057</f>
        <v/>
      </c>
      <c r="H4057" s="19" t="n">
        <v>3</v>
      </c>
      <c r="I4057" s="57" t="n">
        <v>2</v>
      </c>
    </row>
    <row r="4058">
      <c r="A4058" s="62" t="n">
        <v>46881</v>
      </c>
      <c r="B4058" s="3" t="inlineStr">
        <is>
          <t>Week</t>
        </is>
      </c>
      <c r="C4058" s="19" t="n">
        <v>5</v>
      </c>
      <c r="D4058" s="19" t="n">
        <v>2028</v>
      </c>
      <c r="E4058" s="57" t="n">
        <v>4</v>
      </c>
      <c r="F4058" s="29">
        <f>ROUND(((SUMIFS(Calendar!$F$2:$F$9997,Calendar!$B$2:$B$9997,D4058,Calendar!$C$2:$C$9997,C4058)*INDEX(ForeCalc!$B$37:$Y$274,MATCH(_xlfn.CONCAT(H4058," ",I4058),ForeCalc!$A$37:$A$274,0),MATCH(_xlfn.CONCAT(B4058," ",E4058),ForeCalc!$B$36:$Y$36,0))))*VLOOKUP(A4058,Calendar!$A$2:$H$9997,8,FALSE),0)</f>
        <v/>
      </c>
      <c r="G4058" s="29">
        <f>VLOOKUP(A4058,Calendar!$A$1:$H$9997,6,FALSE)-F4058</f>
        <v/>
      </c>
      <c r="H4058" s="19" t="n">
        <v>3</v>
      </c>
      <c r="I4058" s="57" t="n">
        <v>2</v>
      </c>
    </row>
    <row r="4059">
      <c r="A4059" s="62" t="n">
        <v>46882</v>
      </c>
      <c r="B4059" s="3" t="inlineStr">
        <is>
          <t>Week</t>
        </is>
      </c>
      <c r="C4059" s="19" t="n">
        <v>5</v>
      </c>
      <c r="D4059" s="19" t="n">
        <v>2028</v>
      </c>
      <c r="E4059" s="57" t="n">
        <v>4</v>
      </c>
      <c r="F4059" s="29">
        <f>ROUND(((SUMIFS(Calendar!$F$2:$F$9997,Calendar!$B$2:$B$9997,D4059,Calendar!$C$2:$C$9997,C4059)*INDEX(ForeCalc!$B$37:$Y$274,MATCH(_xlfn.CONCAT(H4059," ",I4059),ForeCalc!$A$37:$A$274,0),MATCH(_xlfn.CONCAT(B4059," ",E4059),ForeCalc!$B$36:$Y$36,0))))*VLOOKUP(A4059,Calendar!$A$2:$H$9997,8,FALSE),0)</f>
        <v/>
      </c>
      <c r="G4059" s="29">
        <f>VLOOKUP(A4059,Calendar!$A$1:$H$9997,6,FALSE)-F4059</f>
        <v/>
      </c>
      <c r="H4059" s="19" t="n">
        <v>3</v>
      </c>
      <c r="I4059" s="57" t="n">
        <v>2</v>
      </c>
    </row>
    <row r="4060">
      <c r="A4060" s="62" t="n">
        <v>46883</v>
      </c>
      <c r="B4060" s="3" t="inlineStr">
        <is>
          <t>Week</t>
        </is>
      </c>
      <c r="C4060" s="19" t="n">
        <v>5</v>
      </c>
      <c r="D4060" s="19" t="n">
        <v>2028</v>
      </c>
      <c r="E4060" s="57" t="n">
        <v>4</v>
      </c>
      <c r="F4060" s="29">
        <f>ROUND(((SUMIFS(Calendar!$F$2:$F$9997,Calendar!$B$2:$B$9997,D4060,Calendar!$C$2:$C$9997,C4060)*INDEX(ForeCalc!$B$37:$Y$274,MATCH(_xlfn.CONCAT(H4060," ",I4060),ForeCalc!$A$37:$A$274,0),MATCH(_xlfn.CONCAT(B4060," ",E4060),ForeCalc!$B$36:$Y$36,0))))*VLOOKUP(A4060,Calendar!$A$2:$H$9997,8,FALSE),0)</f>
        <v/>
      </c>
      <c r="G4060" s="29">
        <f>VLOOKUP(A4060,Calendar!$A$1:$H$9997,6,FALSE)-F4060</f>
        <v/>
      </c>
      <c r="H4060" s="19" t="n">
        <v>3</v>
      </c>
      <c r="I4060" s="57" t="n">
        <v>2</v>
      </c>
    </row>
    <row r="4061">
      <c r="A4061" s="62" t="n">
        <v>46884</v>
      </c>
      <c r="B4061" s="3" t="inlineStr">
        <is>
          <t>Week</t>
        </is>
      </c>
      <c r="C4061" s="19" t="n">
        <v>5</v>
      </c>
      <c r="D4061" s="19" t="n">
        <v>2028</v>
      </c>
      <c r="E4061" s="57" t="n">
        <v>4</v>
      </c>
      <c r="F4061" s="29">
        <f>ROUND(((SUMIFS(Calendar!$F$2:$F$9997,Calendar!$B$2:$B$9997,D4061,Calendar!$C$2:$C$9997,C4061)*INDEX(ForeCalc!$B$37:$Y$274,MATCH(_xlfn.CONCAT(H4061," ",I4061),ForeCalc!$A$37:$A$274,0),MATCH(_xlfn.CONCAT(B4061," ",E4061),ForeCalc!$B$36:$Y$36,0))))*VLOOKUP(A4061,Calendar!$A$2:$H$9997,8,FALSE),0)</f>
        <v/>
      </c>
      <c r="G4061" s="29">
        <f>VLOOKUP(A4061,Calendar!$A$1:$H$9997,6,FALSE)-F4061</f>
        <v/>
      </c>
      <c r="H4061" s="19" t="n">
        <v>3</v>
      </c>
      <c r="I4061" s="57" t="n">
        <v>2</v>
      </c>
    </row>
    <row r="4062">
      <c r="A4062" s="62" t="n">
        <v>46885</v>
      </c>
      <c r="B4062" s="3" t="inlineStr">
        <is>
          <t>Week</t>
        </is>
      </c>
      <c r="C4062" s="19" t="n">
        <v>5</v>
      </c>
      <c r="D4062" s="19" t="n">
        <v>2028</v>
      </c>
      <c r="E4062" s="57" t="n">
        <v>4</v>
      </c>
      <c r="F4062" s="29">
        <f>ROUND(((SUMIFS(Calendar!$F$2:$F$9997,Calendar!$B$2:$B$9997,D4062,Calendar!$C$2:$C$9997,C4062)*INDEX(ForeCalc!$B$37:$Y$274,MATCH(_xlfn.CONCAT(H4062," ",I4062),ForeCalc!$A$37:$A$274,0),MATCH(_xlfn.CONCAT(B4062," ",E4062),ForeCalc!$B$36:$Y$36,0))))*VLOOKUP(A4062,Calendar!$A$2:$H$9997,8,FALSE),0)</f>
        <v/>
      </c>
      <c r="G4062" s="29">
        <f>VLOOKUP(A4062,Calendar!$A$1:$H$9997,6,FALSE)-F4062</f>
        <v/>
      </c>
      <c r="H4062" s="19" t="n">
        <v>3</v>
      </c>
      <c r="I4062" s="57" t="n">
        <v>2</v>
      </c>
    </row>
    <row r="4063">
      <c r="A4063" s="62" t="n">
        <v>46886</v>
      </c>
      <c r="B4063" s="3" t="inlineStr">
        <is>
          <t>Sat</t>
        </is>
      </c>
      <c r="C4063" s="19" t="n">
        <v>5</v>
      </c>
      <c r="D4063" s="19" t="n">
        <v>2028</v>
      </c>
      <c r="E4063" s="57" t="n">
        <v>4</v>
      </c>
      <c r="F4063" s="29">
        <f>ROUND(((SUMIFS(Calendar!$F$2:$F$9997,Calendar!$B$2:$B$9997,D4063,Calendar!$C$2:$C$9997,C4063)*INDEX(ForeCalc!$B$37:$Y$274,MATCH(_xlfn.CONCAT(H4063," ",I4063),ForeCalc!$A$37:$A$274,0),MATCH(_xlfn.CONCAT(B4063," ",E4063),ForeCalc!$B$36:$Y$36,0))))*VLOOKUP(A4063,Calendar!$A$2:$H$9997,8,FALSE),0)</f>
        <v/>
      </c>
      <c r="G4063" s="29">
        <f>VLOOKUP(A4063,Calendar!$A$1:$H$9997,6,FALSE)-F4063</f>
        <v/>
      </c>
      <c r="H4063" s="19" t="n">
        <v>3</v>
      </c>
      <c r="I4063" s="57" t="n">
        <v>2</v>
      </c>
    </row>
    <row r="4064">
      <c r="A4064" s="62" t="n">
        <v>46887</v>
      </c>
      <c r="B4064" s="3" t="inlineStr">
        <is>
          <t>Sun</t>
        </is>
      </c>
      <c r="C4064" s="19" t="n">
        <v>5</v>
      </c>
      <c r="D4064" s="19" t="n">
        <v>2028</v>
      </c>
      <c r="E4064" s="57" t="n">
        <v>4</v>
      </c>
      <c r="F4064" s="29">
        <f>ROUND(((SUMIFS(Calendar!$F$2:$F$9997,Calendar!$B$2:$B$9997,D4064,Calendar!$C$2:$C$9997,C4064)*INDEX(ForeCalc!$B$37:$Y$274,MATCH(_xlfn.CONCAT(H4064," ",I4064),ForeCalc!$A$37:$A$274,0),MATCH(_xlfn.CONCAT(B4064," ",E4064),ForeCalc!$B$36:$Y$36,0))))*VLOOKUP(A4064,Calendar!$A$2:$H$9997,8,FALSE),0)</f>
        <v/>
      </c>
      <c r="G4064" s="29">
        <f>VLOOKUP(A4064,Calendar!$A$1:$H$9997,6,FALSE)-F4064</f>
        <v/>
      </c>
      <c r="H4064" s="19" t="n">
        <v>3</v>
      </c>
      <c r="I4064" s="57" t="n">
        <v>2</v>
      </c>
    </row>
    <row r="4065">
      <c r="A4065" s="62" t="n">
        <v>46888</v>
      </c>
      <c r="B4065" s="3" t="inlineStr">
        <is>
          <t>Week</t>
        </is>
      </c>
      <c r="C4065" s="19" t="n">
        <v>5</v>
      </c>
      <c r="D4065" s="19" t="n">
        <v>2028</v>
      </c>
      <c r="E4065" s="57" t="n">
        <v>4</v>
      </c>
      <c r="F4065" s="29">
        <f>ROUND(((SUMIFS(Calendar!$F$2:$F$9997,Calendar!$B$2:$B$9997,D4065,Calendar!$C$2:$C$9997,C4065)*INDEX(ForeCalc!$B$37:$Y$274,MATCH(_xlfn.CONCAT(H4065," ",I4065),ForeCalc!$A$37:$A$274,0),MATCH(_xlfn.CONCAT(B4065," ",E4065),ForeCalc!$B$36:$Y$36,0))))*VLOOKUP(A4065,Calendar!$A$2:$H$9997,8,FALSE),0)</f>
        <v/>
      </c>
      <c r="G4065" s="29">
        <f>VLOOKUP(A4065,Calendar!$A$1:$H$9997,6,FALSE)-F4065</f>
        <v/>
      </c>
      <c r="H4065" s="19" t="n">
        <v>3</v>
      </c>
      <c r="I4065" s="57" t="n">
        <v>2</v>
      </c>
    </row>
    <row r="4066">
      <c r="A4066" s="62" t="n">
        <v>46889</v>
      </c>
      <c r="B4066" s="3" t="inlineStr">
        <is>
          <t>Week</t>
        </is>
      </c>
      <c r="C4066" s="19" t="n">
        <v>5</v>
      </c>
      <c r="D4066" s="19" t="n">
        <v>2028</v>
      </c>
      <c r="E4066" s="57" t="n">
        <v>4</v>
      </c>
      <c r="F4066" s="29">
        <f>ROUND(((SUMIFS(Calendar!$F$2:$F$9997,Calendar!$B$2:$B$9997,D4066,Calendar!$C$2:$C$9997,C4066)*INDEX(ForeCalc!$B$37:$Y$274,MATCH(_xlfn.CONCAT(H4066," ",I4066),ForeCalc!$A$37:$A$274,0),MATCH(_xlfn.CONCAT(B4066," ",E4066),ForeCalc!$B$36:$Y$36,0))))*VLOOKUP(A4066,Calendar!$A$2:$H$9997,8,FALSE),0)</f>
        <v/>
      </c>
      <c r="G4066" s="29">
        <f>VLOOKUP(A4066,Calendar!$A$1:$H$9997,6,FALSE)-F4066</f>
        <v/>
      </c>
      <c r="H4066" s="19" t="n">
        <v>3</v>
      </c>
      <c r="I4066" s="57" t="n">
        <v>2</v>
      </c>
    </row>
    <row r="4067">
      <c r="A4067" s="62" t="n">
        <v>46890</v>
      </c>
      <c r="B4067" s="3" t="inlineStr">
        <is>
          <t>Week</t>
        </is>
      </c>
      <c r="C4067" s="19" t="n">
        <v>5</v>
      </c>
      <c r="D4067" s="19" t="n">
        <v>2028</v>
      </c>
      <c r="E4067" s="57" t="n">
        <v>4</v>
      </c>
      <c r="F4067" s="29">
        <f>ROUND(((SUMIFS(Calendar!$F$2:$F$9997,Calendar!$B$2:$B$9997,D4067,Calendar!$C$2:$C$9997,C4067)*INDEX(ForeCalc!$B$37:$Y$274,MATCH(_xlfn.CONCAT(H4067," ",I4067),ForeCalc!$A$37:$A$274,0),MATCH(_xlfn.CONCAT(B4067," ",E4067),ForeCalc!$B$36:$Y$36,0))))*VLOOKUP(A4067,Calendar!$A$2:$H$9997,8,FALSE),0)</f>
        <v/>
      </c>
      <c r="G4067" s="29">
        <f>VLOOKUP(A4067,Calendar!$A$1:$H$9997,6,FALSE)-F4067</f>
        <v/>
      </c>
      <c r="H4067" s="19" t="n">
        <v>3</v>
      </c>
      <c r="I4067" s="57" t="n">
        <v>2</v>
      </c>
    </row>
    <row r="4068">
      <c r="A4068" s="62" t="n">
        <v>46891</v>
      </c>
      <c r="B4068" s="3" t="inlineStr">
        <is>
          <t>Week</t>
        </is>
      </c>
      <c r="C4068" s="19" t="n">
        <v>5</v>
      </c>
      <c r="D4068" s="19" t="n">
        <v>2028</v>
      </c>
      <c r="E4068" s="57" t="n">
        <v>4</v>
      </c>
      <c r="F4068" s="29">
        <f>ROUND(((SUMIFS(Calendar!$F$2:$F$9997,Calendar!$B$2:$B$9997,D4068,Calendar!$C$2:$C$9997,C4068)*INDEX(ForeCalc!$B$37:$Y$274,MATCH(_xlfn.CONCAT(H4068," ",I4068),ForeCalc!$A$37:$A$274,0),MATCH(_xlfn.CONCAT(B4068," ",E4068),ForeCalc!$B$36:$Y$36,0))))*VLOOKUP(A4068,Calendar!$A$2:$H$9997,8,FALSE),0)</f>
        <v/>
      </c>
      <c r="G4068" s="29">
        <f>VLOOKUP(A4068,Calendar!$A$1:$H$9997,6,FALSE)-F4068</f>
        <v/>
      </c>
      <c r="H4068" s="19" t="n">
        <v>3</v>
      </c>
      <c r="I4068" s="57" t="n">
        <v>2</v>
      </c>
    </row>
    <row r="4069">
      <c r="A4069" s="62" t="n">
        <v>46892</v>
      </c>
      <c r="B4069" s="3" t="inlineStr">
        <is>
          <t>Week</t>
        </is>
      </c>
      <c r="C4069" s="19" t="n">
        <v>5</v>
      </c>
      <c r="D4069" s="19" t="n">
        <v>2028</v>
      </c>
      <c r="E4069" s="57" t="n">
        <v>4</v>
      </c>
      <c r="F4069" s="29">
        <f>ROUND(((SUMIFS(Calendar!$F$2:$F$9997,Calendar!$B$2:$B$9997,D4069,Calendar!$C$2:$C$9997,C4069)*INDEX(ForeCalc!$B$37:$Y$274,MATCH(_xlfn.CONCAT(H4069," ",I4069),ForeCalc!$A$37:$A$274,0),MATCH(_xlfn.CONCAT(B4069," ",E4069),ForeCalc!$B$36:$Y$36,0))))*VLOOKUP(A4069,Calendar!$A$2:$H$9997,8,FALSE),0)</f>
        <v/>
      </c>
      <c r="G4069" s="29">
        <f>VLOOKUP(A4069,Calendar!$A$1:$H$9997,6,FALSE)-F4069</f>
        <v/>
      </c>
      <c r="H4069" s="19" t="n">
        <v>3</v>
      </c>
      <c r="I4069" s="57" t="n">
        <v>2</v>
      </c>
    </row>
    <row r="4070">
      <c r="A4070" s="62" t="n">
        <v>46893</v>
      </c>
      <c r="B4070" s="3" t="inlineStr">
        <is>
          <t>Sat</t>
        </is>
      </c>
      <c r="C4070" s="19" t="n">
        <v>5</v>
      </c>
      <c r="D4070" s="19" t="n">
        <v>2028</v>
      </c>
      <c r="E4070" s="57" t="n">
        <v>4</v>
      </c>
      <c r="F4070" s="29">
        <f>ROUND(((SUMIFS(Calendar!$F$2:$F$9997,Calendar!$B$2:$B$9997,D4070,Calendar!$C$2:$C$9997,C4070)*INDEX(ForeCalc!$B$37:$Y$274,MATCH(_xlfn.CONCAT(H4070," ",I4070),ForeCalc!$A$37:$A$274,0),MATCH(_xlfn.CONCAT(B4070," ",E4070),ForeCalc!$B$36:$Y$36,0))))*VLOOKUP(A4070,Calendar!$A$2:$H$9997,8,FALSE),0)</f>
        <v/>
      </c>
      <c r="G4070" s="29">
        <f>VLOOKUP(A4070,Calendar!$A$1:$H$9997,6,FALSE)-F4070</f>
        <v/>
      </c>
      <c r="H4070" s="19" t="n">
        <v>3</v>
      </c>
      <c r="I4070" s="57" t="n">
        <v>2</v>
      </c>
    </row>
    <row r="4071">
      <c r="A4071" s="62" t="n">
        <v>46894</v>
      </c>
      <c r="B4071" s="3" t="inlineStr">
        <is>
          <t>Sun</t>
        </is>
      </c>
      <c r="C4071" s="19" t="n">
        <v>5</v>
      </c>
      <c r="D4071" s="19" t="n">
        <v>2028</v>
      </c>
      <c r="E4071" s="57" t="n">
        <v>4</v>
      </c>
      <c r="F4071" s="29">
        <f>ROUND(((SUMIFS(Calendar!$F$2:$F$9997,Calendar!$B$2:$B$9997,D4071,Calendar!$C$2:$C$9997,C4071)*INDEX(ForeCalc!$B$37:$Y$274,MATCH(_xlfn.CONCAT(H4071," ",I4071),ForeCalc!$A$37:$A$274,0),MATCH(_xlfn.CONCAT(B4071," ",E4071),ForeCalc!$B$36:$Y$36,0))))*VLOOKUP(A4071,Calendar!$A$2:$H$9997,8,FALSE),0)</f>
        <v/>
      </c>
      <c r="G4071" s="29">
        <f>VLOOKUP(A4071,Calendar!$A$1:$H$9997,6,FALSE)-F4071</f>
        <v/>
      </c>
      <c r="H4071" s="19" t="n">
        <v>3</v>
      </c>
      <c r="I4071" s="57" t="n">
        <v>2</v>
      </c>
    </row>
    <row r="4072">
      <c r="A4072" s="62" t="n">
        <v>46895</v>
      </c>
      <c r="B4072" s="3" t="inlineStr">
        <is>
          <t>Week</t>
        </is>
      </c>
      <c r="C4072" s="19" t="n">
        <v>5</v>
      </c>
      <c r="D4072" s="19" t="n">
        <v>2028</v>
      </c>
      <c r="E4072" s="57" t="n">
        <v>4</v>
      </c>
      <c r="F4072" s="29">
        <f>ROUND(((SUMIFS(Calendar!$F$2:$F$9997,Calendar!$B$2:$B$9997,D4072,Calendar!$C$2:$C$9997,C4072)*INDEX(ForeCalc!$B$37:$Y$274,MATCH(_xlfn.CONCAT(H4072," ",I4072),ForeCalc!$A$37:$A$274,0),MATCH(_xlfn.CONCAT(B4072," ",E4072),ForeCalc!$B$36:$Y$36,0))))*VLOOKUP(A4072,Calendar!$A$2:$H$9997,8,FALSE),0)</f>
        <v/>
      </c>
      <c r="G4072" s="29">
        <f>VLOOKUP(A4072,Calendar!$A$1:$H$9997,6,FALSE)-F4072</f>
        <v/>
      </c>
      <c r="H4072" s="19" t="n">
        <v>3</v>
      </c>
      <c r="I4072" s="57" t="n">
        <v>2</v>
      </c>
    </row>
    <row r="4073">
      <c r="A4073" s="62" t="n">
        <v>46896</v>
      </c>
      <c r="B4073" s="3" t="inlineStr">
        <is>
          <t>Week</t>
        </is>
      </c>
      <c r="C4073" s="19" t="n">
        <v>5</v>
      </c>
      <c r="D4073" s="19" t="n">
        <v>2028</v>
      </c>
      <c r="E4073" s="57" t="n">
        <v>4</v>
      </c>
      <c r="F4073" s="29">
        <f>ROUND(((SUMIFS(Calendar!$F$2:$F$9997,Calendar!$B$2:$B$9997,D4073,Calendar!$C$2:$C$9997,C4073)*INDEX(ForeCalc!$B$37:$Y$274,MATCH(_xlfn.CONCAT(H4073," ",I4073),ForeCalc!$A$37:$A$274,0),MATCH(_xlfn.CONCAT(B4073," ",E4073),ForeCalc!$B$36:$Y$36,0))))*VLOOKUP(A4073,Calendar!$A$2:$H$9997,8,FALSE),0)</f>
        <v/>
      </c>
      <c r="G4073" s="29">
        <f>VLOOKUP(A4073,Calendar!$A$1:$H$9997,6,FALSE)-F4073</f>
        <v/>
      </c>
      <c r="H4073" s="19" t="n">
        <v>3</v>
      </c>
      <c r="I4073" s="57" t="n">
        <v>2</v>
      </c>
    </row>
    <row r="4074">
      <c r="A4074" s="62" t="n">
        <v>46897</v>
      </c>
      <c r="B4074" s="3" t="inlineStr">
        <is>
          <t>Week</t>
        </is>
      </c>
      <c r="C4074" s="19" t="n">
        <v>5</v>
      </c>
      <c r="D4074" s="19" t="n">
        <v>2028</v>
      </c>
      <c r="E4074" s="57" t="n">
        <v>4</v>
      </c>
      <c r="F4074" s="29">
        <f>ROUND(((SUMIFS(Calendar!$F$2:$F$9997,Calendar!$B$2:$B$9997,D4074,Calendar!$C$2:$C$9997,C4074)*INDEX(ForeCalc!$B$37:$Y$274,MATCH(_xlfn.CONCAT(H4074," ",I4074),ForeCalc!$A$37:$A$274,0),MATCH(_xlfn.CONCAT(B4074," ",E4074),ForeCalc!$B$36:$Y$36,0))))*VLOOKUP(A4074,Calendar!$A$2:$H$9997,8,FALSE),0)</f>
        <v/>
      </c>
      <c r="G4074" s="29">
        <f>VLOOKUP(A4074,Calendar!$A$1:$H$9997,6,FALSE)-F4074</f>
        <v/>
      </c>
      <c r="H4074" s="19" t="n">
        <v>3</v>
      </c>
      <c r="I4074" s="57" t="n">
        <v>2</v>
      </c>
    </row>
    <row r="4075">
      <c r="A4075" s="62" t="n">
        <v>46898</v>
      </c>
      <c r="B4075" s="3" t="inlineStr">
        <is>
          <t>Week</t>
        </is>
      </c>
      <c r="C4075" s="19" t="n">
        <v>5</v>
      </c>
      <c r="D4075" s="19" t="n">
        <v>2028</v>
      </c>
      <c r="E4075" s="57" t="n">
        <v>4</v>
      </c>
      <c r="F4075" s="29">
        <f>ROUND(((SUMIFS(Calendar!$F$2:$F$9997,Calendar!$B$2:$B$9997,D4075,Calendar!$C$2:$C$9997,C4075)*INDEX(ForeCalc!$B$37:$Y$274,MATCH(_xlfn.CONCAT(H4075," ",I4075),ForeCalc!$A$37:$A$274,0),MATCH(_xlfn.CONCAT(B4075," ",E4075),ForeCalc!$B$36:$Y$36,0))))*VLOOKUP(A4075,Calendar!$A$2:$H$9997,8,FALSE),0)</f>
        <v/>
      </c>
      <c r="G4075" s="29">
        <f>VLOOKUP(A4075,Calendar!$A$1:$H$9997,6,FALSE)-F4075</f>
        <v/>
      </c>
      <c r="H4075" s="19" t="n">
        <v>3</v>
      </c>
      <c r="I4075" s="57" t="n">
        <v>2</v>
      </c>
    </row>
    <row r="4076">
      <c r="A4076" s="62" t="n">
        <v>46899</v>
      </c>
      <c r="B4076" s="3" t="inlineStr">
        <is>
          <t>Week</t>
        </is>
      </c>
      <c r="C4076" s="19" t="n">
        <v>5</v>
      </c>
      <c r="D4076" s="19" t="n">
        <v>2028</v>
      </c>
      <c r="E4076" s="57" t="n">
        <v>4</v>
      </c>
      <c r="F4076" s="29">
        <f>ROUND(((SUMIFS(Calendar!$F$2:$F$9997,Calendar!$B$2:$B$9997,D4076,Calendar!$C$2:$C$9997,C4076)*INDEX(ForeCalc!$B$37:$Y$274,MATCH(_xlfn.CONCAT(H4076," ",I4076),ForeCalc!$A$37:$A$274,0),MATCH(_xlfn.CONCAT(B4076," ",E4076),ForeCalc!$B$36:$Y$36,0))))*VLOOKUP(A4076,Calendar!$A$2:$H$9997,8,FALSE),0)</f>
        <v/>
      </c>
      <c r="G4076" s="29">
        <f>VLOOKUP(A4076,Calendar!$A$1:$H$9997,6,FALSE)-F4076</f>
        <v/>
      </c>
      <c r="H4076" s="19" t="n">
        <v>3</v>
      </c>
      <c r="I4076" s="57" t="n">
        <v>2</v>
      </c>
    </row>
    <row r="4077">
      <c r="A4077" s="62" t="n">
        <v>46900</v>
      </c>
      <c r="B4077" s="3" t="inlineStr">
        <is>
          <t>Sat</t>
        </is>
      </c>
      <c r="C4077" s="19" t="n">
        <v>5</v>
      </c>
      <c r="D4077" s="19" t="n">
        <v>2028</v>
      </c>
      <c r="E4077" s="57" t="n">
        <v>4</v>
      </c>
      <c r="F4077" s="29">
        <f>ROUND(((SUMIFS(Calendar!$F$2:$F$9997,Calendar!$B$2:$B$9997,D4077,Calendar!$C$2:$C$9997,C4077)*INDEX(ForeCalc!$B$37:$Y$274,MATCH(_xlfn.CONCAT(H4077," ",I4077),ForeCalc!$A$37:$A$274,0),MATCH(_xlfn.CONCAT(B4077," ",E4077),ForeCalc!$B$36:$Y$36,0))))*VLOOKUP(A4077,Calendar!$A$2:$H$9997,8,FALSE),0)</f>
        <v/>
      </c>
      <c r="G4077" s="29">
        <f>VLOOKUP(A4077,Calendar!$A$1:$H$9997,6,FALSE)-F4077</f>
        <v/>
      </c>
      <c r="H4077" s="19" t="n">
        <v>3</v>
      </c>
      <c r="I4077" s="57" t="n">
        <v>2</v>
      </c>
    </row>
    <row r="4078">
      <c r="A4078" s="62" t="n">
        <v>46901</v>
      </c>
      <c r="B4078" s="3" t="inlineStr">
        <is>
          <t>Sun</t>
        </is>
      </c>
      <c r="C4078" s="19" t="n">
        <v>5</v>
      </c>
      <c r="D4078" s="19" t="n">
        <v>2028</v>
      </c>
      <c r="E4078" s="57" t="n">
        <v>4</v>
      </c>
      <c r="F4078" s="29">
        <f>ROUND(((SUMIFS(Calendar!$F$2:$F$9997,Calendar!$B$2:$B$9997,D4078,Calendar!$C$2:$C$9997,C4078)*INDEX(ForeCalc!$B$37:$Y$274,MATCH(_xlfn.CONCAT(H4078," ",I4078),ForeCalc!$A$37:$A$274,0),MATCH(_xlfn.CONCAT(B4078," ",E4078),ForeCalc!$B$36:$Y$36,0))))*VLOOKUP(A4078,Calendar!$A$2:$H$9997,8,FALSE),0)</f>
        <v/>
      </c>
      <c r="G4078" s="29">
        <f>VLOOKUP(A4078,Calendar!$A$1:$H$9997,6,FALSE)-F4078</f>
        <v/>
      </c>
      <c r="H4078" s="19" t="n">
        <v>3</v>
      </c>
      <c r="I4078" s="57" t="n">
        <v>2</v>
      </c>
    </row>
    <row r="4079">
      <c r="A4079" s="62" t="n">
        <v>46902</v>
      </c>
      <c r="B4079" s="3" t="inlineStr">
        <is>
          <t>Week</t>
        </is>
      </c>
      <c r="C4079" s="19" t="n">
        <v>5</v>
      </c>
      <c r="D4079" s="19" t="n">
        <v>2028</v>
      </c>
      <c r="E4079" s="57" t="n">
        <v>4</v>
      </c>
      <c r="F4079" s="29">
        <f>ROUND(((SUMIFS(Calendar!$F$2:$F$9997,Calendar!$B$2:$B$9997,D4079,Calendar!$C$2:$C$9997,C4079)*INDEX(ForeCalc!$B$37:$Y$274,MATCH(_xlfn.CONCAT(H4079," ",I4079),ForeCalc!$A$37:$A$274,0),MATCH(_xlfn.CONCAT(B4079," ",E4079),ForeCalc!$B$36:$Y$36,0))))*VLOOKUP(A4079,Calendar!$A$2:$H$9997,8,FALSE),0)</f>
        <v/>
      </c>
      <c r="G4079" s="29">
        <f>VLOOKUP(A4079,Calendar!$A$1:$H$9997,6,FALSE)-F4079</f>
        <v/>
      </c>
      <c r="H4079" s="19" t="n">
        <v>3</v>
      </c>
      <c r="I4079" s="57" t="n">
        <v>2</v>
      </c>
    </row>
    <row r="4080">
      <c r="A4080" s="62" t="n">
        <v>46903</v>
      </c>
      <c r="B4080" s="3" t="inlineStr">
        <is>
          <t>Week</t>
        </is>
      </c>
      <c r="C4080" s="19" t="n">
        <v>5</v>
      </c>
      <c r="D4080" s="19" t="n">
        <v>2028</v>
      </c>
      <c r="E4080" s="57" t="n">
        <v>4</v>
      </c>
      <c r="F4080" s="29">
        <f>ROUND(((SUMIFS(Calendar!$F$2:$F$9997,Calendar!$B$2:$B$9997,D4080,Calendar!$C$2:$C$9997,C4080)*INDEX(ForeCalc!$B$37:$Y$274,MATCH(_xlfn.CONCAT(H4080," ",I4080),ForeCalc!$A$37:$A$274,0),MATCH(_xlfn.CONCAT(B4080," ",E4080),ForeCalc!$B$36:$Y$36,0))))*VLOOKUP(A4080,Calendar!$A$2:$H$9997,8,FALSE),0)</f>
        <v/>
      </c>
      <c r="G4080" s="29">
        <f>VLOOKUP(A4080,Calendar!$A$1:$H$9997,6,FALSE)-F4080</f>
        <v/>
      </c>
      <c r="H4080" s="19" t="n">
        <v>3</v>
      </c>
      <c r="I4080" s="57" t="n">
        <v>2</v>
      </c>
    </row>
    <row r="4081">
      <c r="A4081" s="62" t="n">
        <v>46904</v>
      </c>
      <c r="B4081" s="3" t="inlineStr">
        <is>
          <t>Week</t>
        </is>
      </c>
      <c r="C4081" s="19" t="n">
        <v>5</v>
      </c>
      <c r="D4081" s="19" t="n">
        <v>2028</v>
      </c>
      <c r="E4081" s="57" t="n">
        <v>4</v>
      </c>
      <c r="F4081" s="29">
        <f>ROUND(((SUMIFS(Calendar!$F$2:$F$9997,Calendar!$B$2:$B$9997,D4081,Calendar!$C$2:$C$9997,C4081)*INDEX(ForeCalc!$B$37:$Y$274,MATCH(_xlfn.CONCAT(H4081," ",I4081),ForeCalc!$A$37:$A$274,0),MATCH(_xlfn.CONCAT(B4081," ",E4081),ForeCalc!$B$36:$Y$36,0))))*VLOOKUP(A4081,Calendar!$A$2:$H$9997,8,FALSE),0)</f>
        <v/>
      </c>
      <c r="G4081" s="29">
        <f>VLOOKUP(A4081,Calendar!$A$1:$H$9997,6,FALSE)-F4081</f>
        <v/>
      </c>
      <c r="H4081" s="19" t="n">
        <v>3</v>
      </c>
      <c r="I4081" s="57" t="n">
        <v>2</v>
      </c>
    </row>
    <row r="4082">
      <c r="A4082" s="62" t="n">
        <v>46905</v>
      </c>
      <c r="B4082" s="3" t="inlineStr">
        <is>
          <t>Week</t>
        </is>
      </c>
      <c r="C4082" s="19" t="n">
        <v>6</v>
      </c>
      <c r="D4082" s="19" t="n">
        <v>2028</v>
      </c>
      <c r="E4082" s="57" t="n">
        <v>4</v>
      </c>
      <c r="F4082" s="29">
        <f>ROUND(((SUMIFS(Calendar!$F$2:$F$9997,Calendar!$B$2:$B$9997,D4082,Calendar!$C$2:$C$9997,C4082)*INDEX(ForeCalc!$B$37:$Y$274,MATCH(_xlfn.CONCAT(H4082," ",I4082),ForeCalc!$A$37:$A$274,0),MATCH(_xlfn.CONCAT(B4082," ",E4082),ForeCalc!$B$36:$Y$36,0))))*VLOOKUP(A4082,Calendar!$A$2:$H$9997,8,FALSE),0)</f>
        <v/>
      </c>
      <c r="G4082" s="29">
        <f>VLOOKUP(A4082,Calendar!$A$1:$H$9997,6,FALSE)-F4082</f>
        <v/>
      </c>
      <c r="H4082" s="19" t="n">
        <v>3</v>
      </c>
      <c r="I4082" s="57" t="n">
        <v>3</v>
      </c>
    </row>
    <row r="4083">
      <c r="A4083" s="62" t="n">
        <v>46906</v>
      </c>
      <c r="B4083" s="3" t="inlineStr">
        <is>
          <t>Week</t>
        </is>
      </c>
      <c r="C4083" s="19" t="n">
        <v>6</v>
      </c>
      <c r="D4083" s="19" t="n">
        <v>2028</v>
      </c>
      <c r="E4083" s="57" t="n">
        <v>4</v>
      </c>
      <c r="F4083" s="29">
        <f>ROUND(((SUMIFS(Calendar!$F$2:$F$9997,Calendar!$B$2:$B$9997,D4083,Calendar!$C$2:$C$9997,C4083)*INDEX(ForeCalc!$B$37:$Y$274,MATCH(_xlfn.CONCAT(H4083," ",I4083),ForeCalc!$A$37:$A$274,0),MATCH(_xlfn.CONCAT(B4083," ",E4083),ForeCalc!$B$36:$Y$36,0))))*VLOOKUP(A4083,Calendar!$A$2:$H$9997,8,FALSE),0)</f>
        <v/>
      </c>
      <c r="G4083" s="29">
        <f>VLOOKUP(A4083,Calendar!$A$1:$H$9997,6,FALSE)-F4083</f>
        <v/>
      </c>
      <c r="H4083" s="19" t="n">
        <v>3</v>
      </c>
      <c r="I4083" s="57" t="n">
        <v>3</v>
      </c>
    </row>
    <row r="4084">
      <c r="A4084" s="62" t="n">
        <v>46907</v>
      </c>
      <c r="B4084" s="3" t="inlineStr">
        <is>
          <t>Sat</t>
        </is>
      </c>
      <c r="C4084" s="19" t="n">
        <v>6</v>
      </c>
      <c r="D4084" s="19" t="n">
        <v>2028</v>
      </c>
      <c r="E4084" s="57" t="n">
        <v>4</v>
      </c>
      <c r="F4084" s="29">
        <f>ROUND(((SUMIFS(Calendar!$F$2:$F$9997,Calendar!$B$2:$B$9997,D4084,Calendar!$C$2:$C$9997,C4084)*INDEX(ForeCalc!$B$37:$Y$274,MATCH(_xlfn.CONCAT(H4084," ",I4084),ForeCalc!$A$37:$A$274,0),MATCH(_xlfn.CONCAT(B4084," ",E4084),ForeCalc!$B$36:$Y$36,0))))*VLOOKUP(A4084,Calendar!$A$2:$H$9997,8,FALSE),0)</f>
        <v/>
      </c>
      <c r="G4084" s="29">
        <f>VLOOKUP(A4084,Calendar!$A$1:$H$9997,6,FALSE)-F4084</f>
        <v/>
      </c>
      <c r="H4084" s="19" t="n">
        <v>3</v>
      </c>
      <c r="I4084" s="57" t="n">
        <v>3</v>
      </c>
    </row>
    <row r="4085">
      <c r="A4085" s="62" t="n">
        <v>46908</v>
      </c>
      <c r="B4085" s="3" t="inlineStr">
        <is>
          <t>Sun</t>
        </is>
      </c>
      <c r="C4085" s="19" t="n">
        <v>6</v>
      </c>
      <c r="D4085" s="19" t="n">
        <v>2028</v>
      </c>
      <c r="E4085" s="57" t="n">
        <v>4</v>
      </c>
      <c r="F4085" s="29">
        <f>ROUND(((SUMIFS(Calendar!$F$2:$F$9997,Calendar!$B$2:$B$9997,D4085,Calendar!$C$2:$C$9997,C4085)*INDEX(ForeCalc!$B$37:$Y$274,MATCH(_xlfn.CONCAT(H4085," ",I4085),ForeCalc!$A$37:$A$274,0),MATCH(_xlfn.CONCAT(B4085," ",E4085),ForeCalc!$B$36:$Y$36,0))))*VLOOKUP(A4085,Calendar!$A$2:$H$9997,8,FALSE),0)</f>
        <v/>
      </c>
      <c r="G4085" s="29">
        <f>VLOOKUP(A4085,Calendar!$A$1:$H$9997,6,FALSE)-F4085</f>
        <v/>
      </c>
      <c r="H4085" s="19" t="n">
        <v>3</v>
      </c>
      <c r="I4085" s="57" t="n">
        <v>3</v>
      </c>
    </row>
    <row r="4086">
      <c r="A4086" s="62" t="n">
        <v>46909</v>
      </c>
      <c r="B4086" s="3" t="inlineStr">
        <is>
          <t>Week</t>
        </is>
      </c>
      <c r="C4086" s="19" t="n">
        <v>6</v>
      </c>
      <c r="D4086" s="19" t="n">
        <v>2028</v>
      </c>
      <c r="E4086" s="57" t="n">
        <v>4</v>
      </c>
      <c r="F4086" s="29">
        <f>ROUND(((SUMIFS(Calendar!$F$2:$F$9997,Calendar!$B$2:$B$9997,D4086,Calendar!$C$2:$C$9997,C4086)*INDEX(ForeCalc!$B$37:$Y$274,MATCH(_xlfn.CONCAT(H4086," ",I4086),ForeCalc!$A$37:$A$274,0),MATCH(_xlfn.CONCAT(B4086," ",E4086),ForeCalc!$B$36:$Y$36,0))))*VLOOKUP(A4086,Calendar!$A$2:$H$9997,8,FALSE),0)</f>
        <v/>
      </c>
      <c r="G4086" s="29">
        <f>VLOOKUP(A4086,Calendar!$A$1:$H$9997,6,FALSE)-F4086</f>
        <v/>
      </c>
      <c r="H4086" s="19" t="n">
        <v>3</v>
      </c>
      <c r="I4086" s="57" t="n">
        <v>3</v>
      </c>
    </row>
    <row r="4087">
      <c r="A4087" s="62" t="n">
        <v>46910</v>
      </c>
      <c r="B4087" s="3" t="inlineStr">
        <is>
          <t>Week</t>
        </is>
      </c>
      <c r="C4087" s="19" t="n">
        <v>6</v>
      </c>
      <c r="D4087" s="19" t="n">
        <v>2028</v>
      </c>
      <c r="E4087" s="57" t="n">
        <v>4</v>
      </c>
      <c r="F4087" s="29">
        <f>ROUND(((SUMIFS(Calendar!$F$2:$F$9997,Calendar!$B$2:$B$9997,D4087,Calendar!$C$2:$C$9997,C4087)*INDEX(ForeCalc!$B$37:$Y$274,MATCH(_xlfn.CONCAT(H4087," ",I4087),ForeCalc!$A$37:$A$274,0),MATCH(_xlfn.CONCAT(B4087," ",E4087),ForeCalc!$B$36:$Y$36,0))))*VLOOKUP(A4087,Calendar!$A$2:$H$9997,8,FALSE),0)</f>
        <v/>
      </c>
      <c r="G4087" s="29">
        <f>VLOOKUP(A4087,Calendar!$A$1:$H$9997,6,FALSE)-F4087</f>
        <v/>
      </c>
      <c r="H4087" s="19" t="n">
        <v>3</v>
      </c>
      <c r="I4087" s="57" t="n">
        <v>3</v>
      </c>
    </row>
    <row r="4088">
      <c r="A4088" s="62" t="n">
        <v>46911</v>
      </c>
      <c r="B4088" s="3" t="inlineStr">
        <is>
          <t>Week</t>
        </is>
      </c>
      <c r="C4088" s="19" t="n">
        <v>6</v>
      </c>
      <c r="D4088" s="19" t="n">
        <v>2028</v>
      </c>
      <c r="E4088" s="57" t="n">
        <v>4</v>
      </c>
      <c r="F4088" s="29">
        <f>ROUND(((SUMIFS(Calendar!$F$2:$F$9997,Calendar!$B$2:$B$9997,D4088,Calendar!$C$2:$C$9997,C4088)*INDEX(ForeCalc!$B$37:$Y$274,MATCH(_xlfn.CONCAT(H4088," ",I4088),ForeCalc!$A$37:$A$274,0),MATCH(_xlfn.CONCAT(B4088," ",E4088),ForeCalc!$B$36:$Y$36,0))))*VLOOKUP(A4088,Calendar!$A$2:$H$9997,8,FALSE),0)</f>
        <v/>
      </c>
      <c r="G4088" s="29">
        <f>VLOOKUP(A4088,Calendar!$A$1:$H$9997,6,FALSE)-F4088</f>
        <v/>
      </c>
      <c r="H4088" s="19" t="n">
        <v>3</v>
      </c>
      <c r="I4088" s="57" t="n">
        <v>3</v>
      </c>
    </row>
    <row r="4089">
      <c r="A4089" s="62" t="n">
        <v>46912</v>
      </c>
      <c r="B4089" s="3" t="inlineStr">
        <is>
          <t>Week</t>
        </is>
      </c>
      <c r="C4089" s="19" t="n">
        <v>6</v>
      </c>
      <c r="D4089" s="19" t="n">
        <v>2028</v>
      </c>
      <c r="E4089" s="57" t="n">
        <v>4</v>
      </c>
      <c r="F4089" s="29">
        <f>ROUND(((SUMIFS(Calendar!$F$2:$F$9997,Calendar!$B$2:$B$9997,D4089,Calendar!$C$2:$C$9997,C4089)*INDEX(ForeCalc!$B$37:$Y$274,MATCH(_xlfn.CONCAT(H4089," ",I4089),ForeCalc!$A$37:$A$274,0),MATCH(_xlfn.CONCAT(B4089," ",E4089),ForeCalc!$B$36:$Y$36,0))))*VLOOKUP(A4089,Calendar!$A$2:$H$9997,8,FALSE),0)</f>
        <v/>
      </c>
      <c r="G4089" s="29">
        <f>VLOOKUP(A4089,Calendar!$A$1:$H$9997,6,FALSE)-F4089</f>
        <v/>
      </c>
      <c r="H4089" s="19" t="n">
        <v>3</v>
      </c>
      <c r="I4089" s="57" t="n">
        <v>3</v>
      </c>
    </row>
    <row r="4090">
      <c r="A4090" s="62" t="n">
        <v>46913</v>
      </c>
      <c r="B4090" s="3" t="inlineStr">
        <is>
          <t>Week</t>
        </is>
      </c>
      <c r="C4090" s="19" t="n">
        <v>6</v>
      </c>
      <c r="D4090" s="19" t="n">
        <v>2028</v>
      </c>
      <c r="E4090" s="57" t="n">
        <v>4</v>
      </c>
      <c r="F4090" s="29">
        <f>ROUND(((SUMIFS(Calendar!$F$2:$F$9997,Calendar!$B$2:$B$9997,D4090,Calendar!$C$2:$C$9997,C4090)*INDEX(ForeCalc!$B$37:$Y$274,MATCH(_xlfn.CONCAT(H4090," ",I4090),ForeCalc!$A$37:$A$274,0),MATCH(_xlfn.CONCAT(B4090," ",E4090),ForeCalc!$B$36:$Y$36,0))))*VLOOKUP(A4090,Calendar!$A$2:$H$9997,8,FALSE),0)</f>
        <v/>
      </c>
      <c r="G4090" s="29">
        <f>VLOOKUP(A4090,Calendar!$A$1:$H$9997,6,FALSE)-F4090</f>
        <v/>
      </c>
      <c r="H4090" s="19" t="n">
        <v>3</v>
      </c>
      <c r="I4090" s="57" t="n">
        <v>3</v>
      </c>
    </row>
    <row r="4091">
      <c r="A4091" s="62" t="n">
        <v>46914</v>
      </c>
      <c r="B4091" s="3" t="inlineStr">
        <is>
          <t>Sat</t>
        </is>
      </c>
      <c r="C4091" s="19" t="n">
        <v>6</v>
      </c>
      <c r="D4091" s="19" t="n">
        <v>2028</v>
      </c>
      <c r="E4091" s="57" t="n">
        <v>4</v>
      </c>
      <c r="F4091" s="29">
        <f>ROUND(((SUMIFS(Calendar!$F$2:$F$9997,Calendar!$B$2:$B$9997,D4091,Calendar!$C$2:$C$9997,C4091)*INDEX(ForeCalc!$B$37:$Y$274,MATCH(_xlfn.CONCAT(H4091," ",I4091),ForeCalc!$A$37:$A$274,0),MATCH(_xlfn.CONCAT(B4091," ",E4091),ForeCalc!$B$36:$Y$36,0))))*VLOOKUP(A4091,Calendar!$A$2:$H$9997,8,FALSE),0)</f>
        <v/>
      </c>
      <c r="G4091" s="29">
        <f>VLOOKUP(A4091,Calendar!$A$1:$H$9997,6,FALSE)-F4091</f>
        <v/>
      </c>
      <c r="H4091" s="19" t="n">
        <v>3</v>
      </c>
      <c r="I4091" s="57" t="n">
        <v>3</v>
      </c>
    </row>
    <row r="4092">
      <c r="A4092" s="62" t="n">
        <v>46915</v>
      </c>
      <c r="B4092" s="3" t="inlineStr">
        <is>
          <t>Sun</t>
        </is>
      </c>
      <c r="C4092" s="19" t="n">
        <v>6</v>
      </c>
      <c r="D4092" s="19" t="n">
        <v>2028</v>
      </c>
      <c r="E4092" s="57" t="n">
        <v>4</v>
      </c>
      <c r="F4092" s="29">
        <f>ROUND(((SUMIFS(Calendar!$F$2:$F$9997,Calendar!$B$2:$B$9997,D4092,Calendar!$C$2:$C$9997,C4092)*INDEX(ForeCalc!$B$37:$Y$274,MATCH(_xlfn.CONCAT(H4092," ",I4092),ForeCalc!$A$37:$A$274,0),MATCH(_xlfn.CONCAT(B4092," ",E4092),ForeCalc!$B$36:$Y$36,0))))*VLOOKUP(A4092,Calendar!$A$2:$H$9997,8,FALSE),0)</f>
        <v/>
      </c>
      <c r="G4092" s="29">
        <f>VLOOKUP(A4092,Calendar!$A$1:$H$9997,6,FALSE)-F4092</f>
        <v/>
      </c>
      <c r="H4092" s="19" t="n">
        <v>3</v>
      </c>
      <c r="I4092" s="57" t="n">
        <v>3</v>
      </c>
    </row>
    <row r="4093">
      <c r="A4093" s="62" t="n">
        <v>46916</v>
      </c>
      <c r="B4093" s="3" t="inlineStr">
        <is>
          <t>Week</t>
        </is>
      </c>
      <c r="C4093" s="19" t="n">
        <v>6</v>
      </c>
      <c r="D4093" s="19" t="n">
        <v>2028</v>
      </c>
      <c r="E4093" s="57" t="n">
        <v>4</v>
      </c>
      <c r="F4093" s="29">
        <f>ROUND(((SUMIFS(Calendar!$F$2:$F$9997,Calendar!$B$2:$B$9997,D4093,Calendar!$C$2:$C$9997,C4093)*INDEX(ForeCalc!$B$37:$Y$274,MATCH(_xlfn.CONCAT(H4093," ",I4093),ForeCalc!$A$37:$A$274,0),MATCH(_xlfn.CONCAT(B4093," ",E4093),ForeCalc!$B$36:$Y$36,0))))*VLOOKUP(A4093,Calendar!$A$2:$H$9997,8,FALSE),0)</f>
        <v/>
      </c>
      <c r="G4093" s="29">
        <f>VLOOKUP(A4093,Calendar!$A$1:$H$9997,6,FALSE)-F4093</f>
        <v/>
      </c>
      <c r="H4093" s="19" t="n">
        <v>3</v>
      </c>
      <c r="I4093" s="57" t="n">
        <v>3</v>
      </c>
    </row>
    <row r="4094">
      <c r="A4094" s="62" t="n">
        <v>46917</v>
      </c>
      <c r="B4094" s="3" t="inlineStr">
        <is>
          <t>Week</t>
        </is>
      </c>
      <c r="C4094" s="19" t="n">
        <v>6</v>
      </c>
      <c r="D4094" s="19" t="n">
        <v>2028</v>
      </c>
      <c r="E4094" s="57" t="n">
        <v>4</v>
      </c>
      <c r="F4094" s="29">
        <f>ROUND(((SUMIFS(Calendar!$F$2:$F$9997,Calendar!$B$2:$B$9997,D4094,Calendar!$C$2:$C$9997,C4094)*INDEX(ForeCalc!$B$37:$Y$274,MATCH(_xlfn.CONCAT(H4094," ",I4094),ForeCalc!$A$37:$A$274,0),MATCH(_xlfn.CONCAT(B4094," ",E4094),ForeCalc!$B$36:$Y$36,0))))*VLOOKUP(A4094,Calendar!$A$2:$H$9997,8,FALSE),0)</f>
        <v/>
      </c>
      <c r="G4094" s="29">
        <f>VLOOKUP(A4094,Calendar!$A$1:$H$9997,6,FALSE)-F4094</f>
        <v/>
      </c>
      <c r="H4094" s="19" t="n">
        <v>3</v>
      </c>
      <c r="I4094" s="57" t="n">
        <v>3</v>
      </c>
    </row>
    <row r="4095">
      <c r="A4095" s="62" t="n">
        <v>46918</v>
      </c>
      <c r="B4095" s="3" t="inlineStr">
        <is>
          <t>Week</t>
        </is>
      </c>
      <c r="C4095" s="19" t="n">
        <v>6</v>
      </c>
      <c r="D4095" s="19" t="n">
        <v>2028</v>
      </c>
      <c r="E4095" s="57" t="n">
        <v>4</v>
      </c>
      <c r="F4095" s="29">
        <f>ROUND(((SUMIFS(Calendar!$F$2:$F$9997,Calendar!$B$2:$B$9997,D4095,Calendar!$C$2:$C$9997,C4095)*INDEX(ForeCalc!$B$37:$Y$274,MATCH(_xlfn.CONCAT(H4095," ",I4095),ForeCalc!$A$37:$A$274,0),MATCH(_xlfn.CONCAT(B4095," ",E4095),ForeCalc!$B$36:$Y$36,0))))*VLOOKUP(A4095,Calendar!$A$2:$H$9997,8,FALSE),0)</f>
        <v/>
      </c>
      <c r="G4095" s="29">
        <f>VLOOKUP(A4095,Calendar!$A$1:$H$9997,6,FALSE)-F4095</f>
        <v/>
      </c>
      <c r="H4095" s="19" t="n">
        <v>3</v>
      </c>
      <c r="I4095" s="57" t="n">
        <v>3</v>
      </c>
    </row>
    <row r="4096">
      <c r="A4096" s="62" t="n">
        <v>46919</v>
      </c>
      <c r="B4096" s="3" t="inlineStr">
        <is>
          <t>Week</t>
        </is>
      </c>
      <c r="C4096" s="19" t="n">
        <v>6</v>
      </c>
      <c r="D4096" s="19" t="n">
        <v>2028</v>
      </c>
      <c r="E4096" s="57" t="n">
        <v>4</v>
      </c>
      <c r="F4096" s="29">
        <f>ROUND(((SUMIFS(Calendar!$F$2:$F$9997,Calendar!$B$2:$B$9997,D4096,Calendar!$C$2:$C$9997,C4096)*INDEX(ForeCalc!$B$37:$Y$274,MATCH(_xlfn.CONCAT(H4096," ",I4096),ForeCalc!$A$37:$A$274,0),MATCH(_xlfn.CONCAT(B4096," ",E4096),ForeCalc!$B$36:$Y$36,0))))*VLOOKUP(A4096,Calendar!$A$2:$H$9997,8,FALSE),0)</f>
        <v/>
      </c>
      <c r="G4096" s="29">
        <f>VLOOKUP(A4096,Calendar!$A$1:$H$9997,6,FALSE)-F4096</f>
        <v/>
      </c>
      <c r="H4096" s="19" t="n">
        <v>3</v>
      </c>
      <c r="I4096" s="57" t="n">
        <v>3</v>
      </c>
    </row>
    <row r="4097">
      <c r="A4097" s="62" t="n">
        <v>46920</v>
      </c>
      <c r="B4097" s="3" t="inlineStr">
        <is>
          <t>Week</t>
        </is>
      </c>
      <c r="C4097" s="19" t="n">
        <v>6</v>
      </c>
      <c r="D4097" s="19" t="n">
        <v>2028</v>
      </c>
      <c r="E4097" s="57" t="n">
        <v>4</v>
      </c>
      <c r="F4097" s="29">
        <f>ROUND(((SUMIFS(Calendar!$F$2:$F$9997,Calendar!$B$2:$B$9997,D4097,Calendar!$C$2:$C$9997,C4097)*INDEX(ForeCalc!$B$37:$Y$274,MATCH(_xlfn.CONCAT(H4097," ",I4097),ForeCalc!$A$37:$A$274,0),MATCH(_xlfn.CONCAT(B4097," ",E4097),ForeCalc!$B$36:$Y$36,0))))*VLOOKUP(A4097,Calendar!$A$2:$H$9997,8,FALSE),0)</f>
        <v/>
      </c>
      <c r="G4097" s="29">
        <f>VLOOKUP(A4097,Calendar!$A$1:$H$9997,6,FALSE)-F4097</f>
        <v/>
      </c>
      <c r="H4097" s="19" t="n">
        <v>3</v>
      </c>
      <c r="I4097" s="57" t="n">
        <v>3</v>
      </c>
    </row>
    <row r="4098">
      <c r="A4098" s="62" t="n">
        <v>46921</v>
      </c>
      <c r="B4098" s="3" t="inlineStr">
        <is>
          <t>Sat</t>
        </is>
      </c>
      <c r="C4098" s="19" t="n">
        <v>6</v>
      </c>
      <c r="D4098" s="19" t="n">
        <v>2028</v>
      </c>
      <c r="E4098" s="57" t="n">
        <v>4</v>
      </c>
      <c r="F4098" s="29">
        <f>ROUND(((SUMIFS(Calendar!$F$2:$F$9997,Calendar!$B$2:$B$9997,D4098,Calendar!$C$2:$C$9997,C4098)*INDEX(ForeCalc!$B$37:$Y$274,MATCH(_xlfn.CONCAT(H4098," ",I4098),ForeCalc!$A$37:$A$274,0),MATCH(_xlfn.CONCAT(B4098," ",E4098),ForeCalc!$B$36:$Y$36,0))))*VLOOKUP(A4098,Calendar!$A$2:$H$9997,8,FALSE),0)</f>
        <v/>
      </c>
      <c r="G4098" s="29">
        <f>VLOOKUP(A4098,Calendar!$A$1:$H$9997,6,FALSE)-F4098</f>
        <v/>
      </c>
      <c r="H4098" s="19" t="n">
        <v>3</v>
      </c>
      <c r="I4098" s="57" t="n">
        <v>3</v>
      </c>
    </row>
    <row r="4099">
      <c r="A4099" s="62" t="n">
        <v>46922</v>
      </c>
      <c r="B4099" s="3" t="inlineStr">
        <is>
          <t>Sun</t>
        </is>
      </c>
      <c r="C4099" s="19" t="n">
        <v>6</v>
      </c>
      <c r="D4099" s="19" t="n">
        <v>2028</v>
      </c>
      <c r="E4099" s="57" t="n">
        <v>4</v>
      </c>
      <c r="F4099" s="29">
        <f>ROUND(((SUMIFS(Calendar!$F$2:$F$9997,Calendar!$B$2:$B$9997,D4099,Calendar!$C$2:$C$9997,C4099)*INDEX(ForeCalc!$B$37:$Y$274,MATCH(_xlfn.CONCAT(H4099," ",I4099),ForeCalc!$A$37:$A$274,0),MATCH(_xlfn.CONCAT(B4099," ",E4099),ForeCalc!$B$36:$Y$36,0))))*VLOOKUP(A4099,Calendar!$A$2:$H$9997,8,FALSE),0)</f>
        <v/>
      </c>
      <c r="G4099" s="29">
        <f>VLOOKUP(A4099,Calendar!$A$1:$H$9997,6,FALSE)-F4099</f>
        <v/>
      </c>
      <c r="H4099" s="19" t="n">
        <v>3</v>
      </c>
      <c r="I4099" s="57" t="n">
        <v>3</v>
      </c>
    </row>
    <row r="4100">
      <c r="A4100" s="62" t="n">
        <v>46923</v>
      </c>
      <c r="B4100" s="3" t="inlineStr">
        <is>
          <t>Week</t>
        </is>
      </c>
      <c r="C4100" s="19" t="n">
        <v>6</v>
      </c>
      <c r="D4100" s="19" t="n">
        <v>2028</v>
      </c>
      <c r="E4100" s="57" t="n">
        <v>4</v>
      </c>
      <c r="F4100" s="29">
        <f>ROUND(((SUMIFS(Calendar!$F$2:$F$9997,Calendar!$B$2:$B$9997,D4100,Calendar!$C$2:$C$9997,C4100)*INDEX(ForeCalc!$B$37:$Y$274,MATCH(_xlfn.CONCAT(H4100," ",I4100),ForeCalc!$A$37:$A$274,0),MATCH(_xlfn.CONCAT(B4100," ",E4100),ForeCalc!$B$36:$Y$36,0))))*VLOOKUP(A4100,Calendar!$A$2:$H$9997,8,FALSE),0)</f>
        <v/>
      </c>
      <c r="G4100" s="29">
        <f>VLOOKUP(A4100,Calendar!$A$1:$H$9997,6,FALSE)-F4100</f>
        <v/>
      </c>
      <c r="H4100" s="19" t="n">
        <v>3</v>
      </c>
      <c r="I4100" s="57" t="n">
        <v>3</v>
      </c>
    </row>
    <row r="4101">
      <c r="A4101" s="62" t="n">
        <v>46924</v>
      </c>
      <c r="B4101" s="3" t="inlineStr">
        <is>
          <t>Week</t>
        </is>
      </c>
      <c r="C4101" s="19" t="n">
        <v>6</v>
      </c>
      <c r="D4101" s="19" t="n">
        <v>2028</v>
      </c>
      <c r="E4101" s="57" t="n">
        <v>4</v>
      </c>
      <c r="F4101" s="29">
        <f>ROUND(((SUMIFS(Calendar!$F$2:$F$9997,Calendar!$B$2:$B$9997,D4101,Calendar!$C$2:$C$9997,C4101)*INDEX(ForeCalc!$B$37:$Y$274,MATCH(_xlfn.CONCAT(H4101," ",I4101),ForeCalc!$A$37:$A$274,0),MATCH(_xlfn.CONCAT(B4101," ",E4101),ForeCalc!$B$36:$Y$36,0))))*VLOOKUP(A4101,Calendar!$A$2:$H$9997,8,FALSE),0)</f>
        <v/>
      </c>
      <c r="G4101" s="29">
        <f>VLOOKUP(A4101,Calendar!$A$1:$H$9997,6,FALSE)-F4101</f>
        <v/>
      </c>
      <c r="H4101" s="19" t="n">
        <v>3</v>
      </c>
      <c r="I4101" s="57" t="n">
        <v>3</v>
      </c>
    </row>
    <row r="4102">
      <c r="A4102" s="62" t="n">
        <v>46925</v>
      </c>
      <c r="B4102" s="3" t="inlineStr">
        <is>
          <t>Week</t>
        </is>
      </c>
      <c r="C4102" s="19" t="n">
        <v>6</v>
      </c>
      <c r="D4102" s="19" t="n">
        <v>2028</v>
      </c>
      <c r="E4102" s="57" t="n">
        <v>4</v>
      </c>
      <c r="F4102" s="29">
        <f>ROUND(((SUMIFS(Calendar!$F$2:$F$9997,Calendar!$B$2:$B$9997,D4102,Calendar!$C$2:$C$9997,C4102)*INDEX(ForeCalc!$B$37:$Y$274,MATCH(_xlfn.CONCAT(H4102," ",I4102),ForeCalc!$A$37:$A$274,0),MATCH(_xlfn.CONCAT(B4102," ",E4102),ForeCalc!$B$36:$Y$36,0))))*VLOOKUP(A4102,Calendar!$A$2:$H$9997,8,FALSE),0)</f>
        <v/>
      </c>
      <c r="G4102" s="29">
        <f>VLOOKUP(A4102,Calendar!$A$1:$H$9997,6,FALSE)-F4102</f>
        <v/>
      </c>
      <c r="H4102" s="19" t="n">
        <v>3</v>
      </c>
      <c r="I4102" s="57" t="n">
        <v>3</v>
      </c>
    </row>
    <row r="4103">
      <c r="A4103" s="62" t="n">
        <v>46926</v>
      </c>
      <c r="B4103" s="3" t="inlineStr">
        <is>
          <t>Week</t>
        </is>
      </c>
      <c r="C4103" s="19" t="n">
        <v>6</v>
      </c>
      <c r="D4103" s="19" t="n">
        <v>2028</v>
      </c>
      <c r="E4103" s="57" t="n">
        <v>4</v>
      </c>
      <c r="F4103" s="29">
        <f>ROUND(((SUMIFS(Calendar!$F$2:$F$9997,Calendar!$B$2:$B$9997,D4103,Calendar!$C$2:$C$9997,C4103)*INDEX(ForeCalc!$B$37:$Y$274,MATCH(_xlfn.CONCAT(H4103," ",I4103),ForeCalc!$A$37:$A$274,0),MATCH(_xlfn.CONCAT(B4103," ",E4103),ForeCalc!$B$36:$Y$36,0))))*VLOOKUP(A4103,Calendar!$A$2:$H$9997,8,FALSE),0)</f>
        <v/>
      </c>
      <c r="G4103" s="29">
        <f>VLOOKUP(A4103,Calendar!$A$1:$H$9997,6,FALSE)-F4103</f>
        <v/>
      </c>
      <c r="H4103" s="19" t="n">
        <v>3</v>
      </c>
      <c r="I4103" s="57" t="n">
        <v>3</v>
      </c>
    </row>
    <row r="4104">
      <c r="A4104" s="62" t="n">
        <v>46927</v>
      </c>
      <c r="B4104" s="3" t="inlineStr">
        <is>
          <t>Week</t>
        </is>
      </c>
      <c r="C4104" s="19" t="n">
        <v>6</v>
      </c>
      <c r="D4104" s="19" t="n">
        <v>2028</v>
      </c>
      <c r="E4104" s="57" t="n">
        <v>4</v>
      </c>
      <c r="F4104" s="29">
        <f>ROUND(((SUMIFS(Calendar!$F$2:$F$9997,Calendar!$B$2:$B$9997,D4104,Calendar!$C$2:$C$9997,C4104)*INDEX(ForeCalc!$B$37:$Y$274,MATCH(_xlfn.CONCAT(H4104," ",I4104),ForeCalc!$A$37:$A$274,0),MATCH(_xlfn.CONCAT(B4104," ",E4104),ForeCalc!$B$36:$Y$36,0))))*VLOOKUP(A4104,Calendar!$A$2:$H$9997,8,FALSE),0)</f>
        <v/>
      </c>
      <c r="G4104" s="29">
        <f>VLOOKUP(A4104,Calendar!$A$1:$H$9997,6,FALSE)-F4104</f>
        <v/>
      </c>
      <c r="H4104" s="19" t="n">
        <v>3</v>
      </c>
      <c r="I4104" s="57" t="n">
        <v>3</v>
      </c>
    </row>
    <row r="4105">
      <c r="A4105" s="62" t="n">
        <v>46928</v>
      </c>
      <c r="B4105" s="3" t="inlineStr">
        <is>
          <t>Sat</t>
        </is>
      </c>
      <c r="C4105" s="19" t="n">
        <v>6</v>
      </c>
      <c r="D4105" s="19" t="n">
        <v>2028</v>
      </c>
      <c r="E4105" s="57" t="n">
        <v>4</v>
      </c>
      <c r="F4105" s="29">
        <f>ROUND(((SUMIFS(Calendar!$F$2:$F$9997,Calendar!$B$2:$B$9997,D4105,Calendar!$C$2:$C$9997,C4105)*INDEX(ForeCalc!$B$37:$Y$274,MATCH(_xlfn.CONCAT(H4105," ",I4105),ForeCalc!$A$37:$A$274,0),MATCH(_xlfn.CONCAT(B4105," ",E4105),ForeCalc!$B$36:$Y$36,0))))*VLOOKUP(A4105,Calendar!$A$2:$H$9997,8,FALSE),0)</f>
        <v/>
      </c>
      <c r="G4105" s="29">
        <f>VLOOKUP(A4105,Calendar!$A$1:$H$9997,6,FALSE)-F4105</f>
        <v/>
      </c>
      <c r="H4105" s="19" t="n">
        <v>3</v>
      </c>
      <c r="I4105" s="57" t="n">
        <v>3</v>
      </c>
    </row>
    <row r="4106">
      <c r="A4106" s="62" t="n">
        <v>46929</v>
      </c>
      <c r="B4106" s="3" t="inlineStr">
        <is>
          <t>Sun</t>
        </is>
      </c>
      <c r="C4106" s="19" t="n">
        <v>6</v>
      </c>
      <c r="D4106" s="19" t="n">
        <v>2028</v>
      </c>
      <c r="E4106" s="57" t="n">
        <v>4</v>
      </c>
      <c r="F4106" s="29">
        <f>ROUND(((SUMIFS(Calendar!$F$2:$F$9997,Calendar!$B$2:$B$9997,D4106,Calendar!$C$2:$C$9997,C4106)*INDEX(ForeCalc!$B$37:$Y$274,MATCH(_xlfn.CONCAT(H4106," ",I4106),ForeCalc!$A$37:$A$274,0),MATCH(_xlfn.CONCAT(B4106," ",E4106),ForeCalc!$B$36:$Y$36,0))))*VLOOKUP(A4106,Calendar!$A$2:$H$9997,8,FALSE),0)</f>
        <v/>
      </c>
      <c r="G4106" s="29">
        <f>VLOOKUP(A4106,Calendar!$A$1:$H$9997,6,FALSE)-F4106</f>
        <v/>
      </c>
      <c r="H4106" s="19" t="n">
        <v>3</v>
      </c>
      <c r="I4106" s="57" t="n">
        <v>3</v>
      </c>
    </row>
    <row r="4107">
      <c r="A4107" s="62" t="n">
        <v>46930</v>
      </c>
      <c r="B4107" s="3" t="inlineStr">
        <is>
          <t>Week</t>
        </is>
      </c>
      <c r="C4107" s="19" t="n">
        <v>6</v>
      </c>
      <c r="D4107" s="19" t="n">
        <v>2028</v>
      </c>
      <c r="E4107" s="57" t="n">
        <v>4</v>
      </c>
      <c r="F4107" s="29">
        <f>ROUND(((SUMIFS(Calendar!$F$2:$F$9997,Calendar!$B$2:$B$9997,D4107,Calendar!$C$2:$C$9997,C4107)*INDEX(ForeCalc!$B$37:$Y$274,MATCH(_xlfn.CONCAT(H4107," ",I4107),ForeCalc!$A$37:$A$274,0),MATCH(_xlfn.CONCAT(B4107," ",E4107),ForeCalc!$B$36:$Y$36,0))))*VLOOKUP(A4107,Calendar!$A$2:$H$9997,8,FALSE),0)</f>
        <v/>
      </c>
      <c r="G4107" s="29">
        <f>VLOOKUP(A4107,Calendar!$A$1:$H$9997,6,FALSE)-F4107</f>
        <v/>
      </c>
      <c r="H4107" s="19" t="n">
        <v>3</v>
      </c>
      <c r="I4107" s="57" t="n">
        <v>3</v>
      </c>
    </row>
    <row r="4108">
      <c r="A4108" s="62" t="n">
        <v>46931</v>
      </c>
      <c r="B4108" s="3" t="inlineStr">
        <is>
          <t>Week</t>
        </is>
      </c>
      <c r="C4108" s="19" t="n">
        <v>6</v>
      </c>
      <c r="D4108" s="19" t="n">
        <v>2028</v>
      </c>
      <c r="E4108" s="57" t="n">
        <v>4</v>
      </c>
      <c r="F4108" s="29">
        <f>ROUND(((SUMIFS(Calendar!$F$2:$F$9997,Calendar!$B$2:$B$9997,D4108,Calendar!$C$2:$C$9997,C4108)*INDEX(ForeCalc!$B$37:$Y$274,MATCH(_xlfn.CONCAT(H4108," ",I4108),ForeCalc!$A$37:$A$274,0),MATCH(_xlfn.CONCAT(B4108," ",E4108),ForeCalc!$B$36:$Y$36,0))))*VLOOKUP(A4108,Calendar!$A$2:$H$9997,8,FALSE),0)</f>
        <v/>
      </c>
      <c r="G4108" s="29">
        <f>VLOOKUP(A4108,Calendar!$A$1:$H$9997,6,FALSE)-F4108</f>
        <v/>
      </c>
      <c r="H4108" s="19" t="n">
        <v>3</v>
      </c>
      <c r="I4108" s="57" t="n">
        <v>3</v>
      </c>
    </row>
    <row r="4109">
      <c r="A4109" s="62" t="n">
        <v>46932</v>
      </c>
      <c r="B4109" s="3" t="inlineStr">
        <is>
          <t>Week</t>
        </is>
      </c>
      <c r="C4109" s="19" t="n">
        <v>6</v>
      </c>
      <c r="D4109" s="19" t="n">
        <v>2028</v>
      </c>
      <c r="E4109" s="57" t="n">
        <v>4</v>
      </c>
      <c r="F4109" s="29">
        <f>ROUND(((SUMIFS(Calendar!$F$2:$F$9997,Calendar!$B$2:$B$9997,D4109,Calendar!$C$2:$C$9997,C4109)*INDEX(ForeCalc!$B$37:$Y$274,MATCH(_xlfn.CONCAT(H4109," ",I4109),ForeCalc!$A$37:$A$274,0),MATCH(_xlfn.CONCAT(B4109," ",E4109),ForeCalc!$B$36:$Y$36,0))))*VLOOKUP(A4109,Calendar!$A$2:$H$9997,8,FALSE),0)</f>
        <v/>
      </c>
      <c r="G4109" s="29">
        <f>VLOOKUP(A4109,Calendar!$A$1:$H$9997,6,FALSE)-F4109</f>
        <v/>
      </c>
      <c r="H4109" s="19" t="n">
        <v>3</v>
      </c>
      <c r="I4109" s="57" t="n">
        <v>3</v>
      </c>
    </row>
    <row r="4110">
      <c r="A4110" s="62" t="n">
        <v>46933</v>
      </c>
      <c r="B4110" s="3" t="inlineStr">
        <is>
          <t>Week</t>
        </is>
      </c>
      <c r="C4110" s="19" t="n">
        <v>6</v>
      </c>
      <c r="D4110" s="19" t="n">
        <v>2028</v>
      </c>
      <c r="E4110" s="57" t="n">
        <v>4</v>
      </c>
      <c r="F4110" s="29">
        <f>ROUND(((SUMIFS(Calendar!$F$2:$F$9997,Calendar!$B$2:$B$9997,D4110,Calendar!$C$2:$C$9997,C4110)*INDEX(ForeCalc!$B$37:$Y$274,MATCH(_xlfn.CONCAT(H4110," ",I4110),ForeCalc!$A$37:$A$274,0),MATCH(_xlfn.CONCAT(B4110," ",E4110),ForeCalc!$B$36:$Y$36,0))))*VLOOKUP(A4110,Calendar!$A$2:$H$9997,8,FALSE),0)</f>
        <v/>
      </c>
      <c r="G4110" s="29">
        <f>VLOOKUP(A4110,Calendar!$A$1:$H$9997,6,FALSE)-F4110</f>
        <v/>
      </c>
      <c r="H4110" s="19" t="n">
        <v>3</v>
      </c>
      <c r="I4110" s="57" t="n">
        <v>3</v>
      </c>
    </row>
    <row r="4111">
      <c r="A4111" s="62" t="n">
        <v>46934</v>
      </c>
      <c r="B4111" s="3" t="inlineStr">
        <is>
          <t>Week</t>
        </is>
      </c>
      <c r="C4111" s="19" t="n">
        <v>6</v>
      </c>
      <c r="D4111" s="19" t="n">
        <v>2028</v>
      </c>
      <c r="E4111" s="57" t="n">
        <v>4</v>
      </c>
      <c r="F4111" s="29">
        <f>ROUND(((SUMIFS(Calendar!$F$2:$F$9997,Calendar!$B$2:$B$9997,D4111,Calendar!$C$2:$C$9997,C4111)*INDEX(ForeCalc!$B$37:$Y$274,MATCH(_xlfn.CONCAT(H4111," ",I4111),ForeCalc!$A$37:$A$274,0),MATCH(_xlfn.CONCAT(B4111," ",E4111),ForeCalc!$B$36:$Y$36,0))))*VLOOKUP(A4111,Calendar!$A$2:$H$9997,8,FALSE),0)</f>
        <v/>
      </c>
      <c r="G4111" s="29">
        <f>VLOOKUP(A4111,Calendar!$A$1:$H$9997,6,FALSE)-F4111</f>
        <v/>
      </c>
      <c r="H4111" s="19" t="n">
        <v>3</v>
      </c>
      <c r="I4111" s="57" t="n">
        <v>3</v>
      </c>
    </row>
    <row r="4112">
      <c r="A4112" s="62" t="n">
        <v>46935</v>
      </c>
      <c r="B4112" s="3" t="inlineStr">
        <is>
          <t>Sat</t>
        </is>
      </c>
      <c r="C4112" s="19" t="n">
        <v>7</v>
      </c>
      <c r="D4112" s="19" t="n">
        <v>2028</v>
      </c>
      <c r="E4112" s="57" t="n">
        <v>4</v>
      </c>
      <c r="F4112" s="29">
        <f>ROUND(((SUMIFS(Calendar!$F$2:$F$9997,Calendar!$B$2:$B$9997,D4112,Calendar!$C$2:$C$9997,C4112)*INDEX(ForeCalc!$B$37:$Y$274,MATCH(_xlfn.CONCAT(H4112," ",I4112),ForeCalc!$A$37:$A$274,0),MATCH(_xlfn.CONCAT(B4112," ",E4112),ForeCalc!$B$36:$Y$36,0))))*VLOOKUP(A4112,Calendar!$A$2:$H$9997,8,FALSE),0)</f>
        <v/>
      </c>
      <c r="G4112" s="29">
        <f>VLOOKUP(A4112,Calendar!$A$1:$H$9997,6,FALSE)-F4112</f>
        <v/>
      </c>
      <c r="H4112" s="19" t="n">
        <v>3</v>
      </c>
      <c r="I4112" s="57" t="n">
        <v>4</v>
      </c>
    </row>
    <row r="4113">
      <c r="A4113" s="62" t="n">
        <v>46936</v>
      </c>
      <c r="B4113" s="3" t="inlineStr">
        <is>
          <t>Sun</t>
        </is>
      </c>
      <c r="C4113" s="19" t="n">
        <v>7</v>
      </c>
      <c r="D4113" s="19" t="n">
        <v>2028</v>
      </c>
      <c r="E4113" s="57" t="n">
        <v>4</v>
      </c>
      <c r="F4113" s="29">
        <f>ROUND(((SUMIFS(Calendar!$F$2:$F$9997,Calendar!$B$2:$B$9997,D4113,Calendar!$C$2:$C$9997,C4113)*INDEX(ForeCalc!$B$37:$Y$274,MATCH(_xlfn.CONCAT(H4113," ",I4113),ForeCalc!$A$37:$A$274,0),MATCH(_xlfn.CONCAT(B4113," ",E4113),ForeCalc!$B$36:$Y$36,0))))*VLOOKUP(A4113,Calendar!$A$2:$H$9997,8,FALSE),0)</f>
        <v/>
      </c>
      <c r="G4113" s="29">
        <f>VLOOKUP(A4113,Calendar!$A$1:$H$9997,6,FALSE)-F4113</f>
        <v/>
      </c>
      <c r="H4113" s="19" t="n">
        <v>3</v>
      </c>
      <c r="I4113" s="57" t="n">
        <v>4</v>
      </c>
    </row>
    <row r="4114">
      <c r="A4114" s="62" t="n">
        <v>46937</v>
      </c>
      <c r="B4114" s="3" t="inlineStr">
        <is>
          <t>Week</t>
        </is>
      </c>
      <c r="C4114" s="19" t="n">
        <v>7</v>
      </c>
      <c r="D4114" s="19" t="n">
        <v>2028</v>
      </c>
      <c r="E4114" s="57" t="n">
        <v>4</v>
      </c>
      <c r="F4114" s="29">
        <f>ROUND(((SUMIFS(Calendar!$F$2:$F$9997,Calendar!$B$2:$B$9997,D4114,Calendar!$C$2:$C$9997,C4114)*INDEX(ForeCalc!$B$37:$Y$274,MATCH(_xlfn.CONCAT(H4114," ",I4114),ForeCalc!$A$37:$A$274,0),MATCH(_xlfn.CONCAT(B4114," ",E4114),ForeCalc!$B$36:$Y$36,0))))*VLOOKUP(A4114,Calendar!$A$2:$H$9997,8,FALSE),0)</f>
        <v/>
      </c>
      <c r="G4114" s="29">
        <f>VLOOKUP(A4114,Calendar!$A$1:$H$9997,6,FALSE)-F4114</f>
        <v/>
      </c>
      <c r="H4114" s="19" t="n">
        <v>3</v>
      </c>
      <c r="I4114" s="57" t="n">
        <v>4</v>
      </c>
    </row>
    <row r="4115">
      <c r="A4115" s="62" t="n">
        <v>46938</v>
      </c>
      <c r="B4115" s="3" t="inlineStr">
        <is>
          <t>Week</t>
        </is>
      </c>
      <c r="C4115" s="19" t="n">
        <v>7</v>
      </c>
      <c r="D4115" s="19" t="n">
        <v>2028</v>
      </c>
      <c r="E4115" s="57" t="n">
        <v>4</v>
      </c>
      <c r="F4115" s="29">
        <f>ROUND(((SUMIFS(Calendar!$F$2:$F$9997,Calendar!$B$2:$B$9997,D4115,Calendar!$C$2:$C$9997,C4115)*INDEX(ForeCalc!$B$37:$Y$274,MATCH(_xlfn.CONCAT(H4115," ",I4115),ForeCalc!$A$37:$A$274,0),MATCH(_xlfn.CONCAT(B4115," ",E4115),ForeCalc!$B$36:$Y$36,0))))*VLOOKUP(A4115,Calendar!$A$2:$H$9997,8,FALSE),0)</f>
        <v/>
      </c>
      <c r="G4115" s="29">
        <f>VLOOKUP(A4115,Calendar!$A$1:$H$9997,6,FALSE)-F4115</f>
        <v/>
      </c>
      <c r="H4115" s="19" t="n">
        <v>3</v>
      </c>
      <c r="I4115" s="57" t="n">
        <v>4</v>
      </c>
    </row>
    <row r="4116">
      <c r="A4116" s="62" t="n">
        <v>46939</v>
      </c>
      <c r="B4116" s="3" t="inlineStr">
        <is>
          <t>Week</t>
        </is>
      </c>
      <c r="C4116" s="19" t="n">
        <v>7</v>
      </c>
      <c r="D4116" s="19" t="n">
        <v>2028</v>
      </c>
      <c r="E4116" s="57" t="n">
        <v>4</v>
      </c>
      <c r="F4116" s="29">
        <f>ROUND(((SUMIFS(Calendar!$F$2:$F$9997,Calendar!$B$2:$B$9997,D4116,Calendar!$C$2:$C$9997,C4116)*INDEX(ForeCalc!$B$37:$Y$274,MATCH(_xlfn.CONCAT(H4116," ",I4116),ForeCalc!$A$37:$A$274,0),MATCH(_xlfn.CONCAT(B4116," ",E4116),ForeCalc!$B$36:$Y$36,0))))*VLOOKUP(A4116,Calendar!$A$2:$H$9997,8,FALSE),0)</f>
        <v/>
      </c>
      <c r="G4116" s="29">
        <f>VLOOKUP(A4116,Calendar!$A$1:$H$9997,6,FALSE)-F4116</f>
        <v/>
      </c>
      <c r="H4116" s="19" t="n">
        <v>3</v>
      </c>
      <c r="I4116" s="57" t="n">
        <v>4</v>
      </c>
    </row>
    <row r="4117">
      <c r="A4117" s="62" t="n">
        <v>46940</v>
      </c>
      <c r="B4117" s="3" t="inlineStr">
        <is>
          <t>Week</t>
        </is>
      </c>
      <c r="C4117" s="19" t="n">
        <v>7</v>
      </c>
      <c r="D4117" s="19" t="n">
        <v>2028</v>
      </c>
      <c r="E4117" s="57" t="n">
        <v>4</v>
      </c>
      <c r="F4117" s="29">
        <f>ROUND(((SUMIFS(Calendar!$F$2:$F$9997,Calendar!$B$2:$B$9997,D4117,Calendar!$C$2:$C$9997,C4117)*INDEX(ForeCalc!$B$37:$Y$274,MATCH(_xlfn.CONCAT(H4117," ",I4117),ForeCalc!$A$37:$A$274,0),MATCH(_xlfn.CONCAT(B4117," ",E4117),ForeCalc!$B$36:$Y$36,0))))*VLOOKUP(A4117,Calendar!$A$2:$H$9997,8,FALSE),0)</f>
        <v/>
      </c>
      <c r="G4117" s="29">
        <f>VLOOKUP(A4117,Calendar!$A$1:$H$9997,6,FALSE)-F4117</f>
        <v/>
      </c>
      <c r="H4117" s="19" t="n">
        <v>3</v>
      </c>
      <c r="I4117" s="57" t="n">
        <v>4</v>
      </c>
    </row>
    <row r="4118">
      <c r="A4118" s="62" t="n">
        <v>46941</v>
      </c>
      <c r="B4118" s="3" t="inlineStr">
        <is>
          <t>Week</t>
        </is>
      </c>
      <c r="C4118" s="19" t="n">
        <v>7</v>
      </c>
      <c r="D4118" s="19" t="n">
        <v>2028</v>
      </c>
      <c r="E4118" s="57" t="n">
        <v>4</v>
      </c>
      <c r="F4118" s="29">
        <f>ROUND(((SUMIFS(Calendar!$F$2:$F$9997,Calendar!$B$2:$B$9997,D4118,Calendar!$C$2:$C$9997,C4118)*INDEX(ForeCalc!$B$37:$Y$274,MATCH(_xlfn.CONCAT(H4118," ",I4118),ForeCalc!$A$37:$A$274,0),MATCH(_xlfn.CONCAT(B4118," ",E4118),ForeCalc!$B$36:$Y$36,0))))*VLOOKUP(A4118,Calendar!$A$2:$H$9997,8,FALSE),0)</f>
        <v/>
      </c>
      <c r="G4118" s="29">
        <f>VLOOKUP(A4118,Calendar!$A$1:$H$9997,6,FALSE)-F4118</f>
        <v/>
      </c>
      <c r="H4118" s="19" t="n">
        <v>3</v>
      </c>
      <c r="I4118" s="57" t="n">
        <v>4</v>
      </c>
    </row>
    <row r="4119">
      <c r="A4119" s="62" t="n">
        <v>46942</v>
      </c>
      <c r="B4119" s="3" t="inlineStr">
        <is>
          <t>Sat</t>
        </is>
      </c>
      <c r="C4119" s="19" t="n">
        <v>7</v>
      </c>
      <c r="D4119" s="19" t="n">
        <v>2028</v>
      </c>
      <c r="E4119" s="57" t="n">
        <v>4</v>
      </c>
      <c r="F4119" s="29">
        <f>ROUND(((SUMIFS(Calendar!$F$2:$F$9997,Calendar!$B$2:$B$9997,D4119,Calendar!$C$2:$C$9997,C4119)*INDEX(ForeCalc!$B$37:$Y$274,MATCH(_xlfn.CONCAT(H4119," ",I4119),ForeCalc!$A$37:$A$274,0),MATCH(_xlfn.CONCAT(B4119," ",E4119),ForeCalc!$B$36:$Y$36,0))))*VLOOKUP(A4119,Calendar!$A$2:$H$9997,8,FALSE),0)</f>
        <v/>
      </c>
      <c r="G4119" s="29">
        <f>VLOOKUP(A4119,Calendar!$A$1:$H$9997,6,FALSE)-F4119</f>
        <v/>
      </c>
      <c r="H4119" s="19" t="n">
        <v>3</v>
      </c>
      <c r="I4119" s="57" t="n">
        <v>4</v>
      </c>
    </row>
    <row r="4120">
      <c r="A4120" s="62" t="n">
        <v>46943</v>
      </c>
      <c r="B4120" s="3" t="inlineStr">
        <is>
          <t>Sun</t>
        </is>
      </c>
      <c r="C4120" s="19" t="n">
        <v>7</v>
      </c>
      <c r="D4120" s="19" t="n">
        <v>2028</v>
      </c>
      <c r="E4120" s="57" t="n">
        <v>4</v>
      </c>
      <c r="F4120" s="29">
        <f>ROUND(((SUMIFS(Calendar!$F$2:$F$9997,Calendar!$B$2:$B$9997,D4120,Calendar!$C$2:$C$9997,C4120)*INDEX(ForeCalc!$B$37:$Y$274,MATCH(_xlfn.CONCAT(H4120," ",I4120),ForeCalc!$A$37:$A$274,0),MATCH(_xlfn.CONCAT(B4120," ",E4120),ForeCalc!$B$36:$Y$36,0))))*VLOOKUP(A4120,Calendar!$A$2:$H$9997,8,FALSE),0)</f>
        <v/>
      </c>
      <c r="G4120" s="29">
        <f>VLOOKUP(A4120,Calendar!$A$1:$H$9997,6,FALSE)-F4120</f>
        <v/>
      </c>
      <c r="H4120" s="19" t="n">
        <v>3</v>
      </c>
      <c r="I4120" s="57" t="n">
        <v>4</v>
      </c>
    </row>
    <row r="4121">
      <c r="A4121" s="62" t="n">
        <v>46944</v>
      </c>
      <c r="B4121" s="3" t="inlineStr">
        <is>
          <t>Week</t>
        </is>
      </c>
      <c r="C4121" s="19" t="n">
        <v>7</v>
      </c>
      <c r="D4121" s="19" t="n">
        <v>2028</v>
      </c>
      <c r="E4121" s="57" t="n">
        <v>4</v>
      </c>
      <c r="F4121" s="29">
        <f>ROUND(((SUMIFS(Calendar!$F$2:$F$9997,Calendar!$B$2:$B$9997,D4121,Calendar!$C$2:$C$9997,C4121)*INDEX(ForeCalc!$B$37:$Y$274,MATCH(_xlfn.CONCAT(H4121," ",I4121),ForeCalc!$A$37:$A$274,0),MATCH(_xlfn.CONCAT(B4121," ",E4121),ForeCalc!$B$36:$Y$36,0))))*VLOOKUP(A4121,Calendar!$A$2:$H$9997,8,FALSE),0)</f>
        <v/>
      </c>
      <c r="G4121" s="29">
        <f>VLOOKUP(A4121,Calendar!$A$1:$H$9997,6,FALSE)-F4121</f>
        <v/>
      </c>
      <c r="H4121" s="19" t="n">
        <v>3</v>
      </c>
      <c r="I4121" s="57" t="n">
        <v>4</v>
      </c>
    </row>
    <row r="4122">
      <c r="A4122" s="62" t="n">
        <v>46945</v>
      </c>
      <c r="B4122" s="3" t="inlineStr">
        <is>
          <t>Week</t>
        </is>
      </c>
      <c r="C4122" s="19" t="n">
        <v>7</v>
      </c>
      <c r="D4122" s="19" t="n">
        <v>2028</v>
      </c>
      <c r="E4122" s="57" t="n">
        <v>4</v>
      </c>
      <c r="F4122" s="29">
        <f>ROUND(((SUMIFS(Calendar!$F$2:$F$9997,Calendar!$B$2:$B$9997,D4122,Calendar!$C$2:$C$9997,C4122)*INDEX(ForeCalc!$B$37:$Y$274,MATCH(_xlfn.CONCAT(H4122," ",I4122),ForeCalc!$A$37:$A$274,0),MATCH(_xlfn.CONCAT(B4122," ",E4122),ForeCalc!$B$36:$Y$36,0))))*VLOOKUP(A4122,Calendar!$A$2:$H$9997,8,FALSE),0)</f>
        <v/>
      </c>
      <c r="G4122" s="29">
        <f>VLOOKUP(A4122,Calendar!$A$1:$H$9997,6,FALSE)-F4122</f>
        <v/>
      </c>
      <c r="H4122" s="19" t="n">
        <v>3</v>
      </c>
      <c r="I4122" s="57" t="n">
        <v>4</v>
      </c>
    </row>
    <row r="4123">
      <c r="A4123" s="62" t="n">
        <v>46946</v>
      </c>
      <c r="B4123" s="3" t="inlineStr">
        <is>
          <t>Week</t>
        </is>
      </c>
      <c r="C4123" s="19" t="n">
        <v>7</v>
      </c>
      <c r="D4123" s="19" t="n">
        <v>2028</v>
      </c>
      <c r="E4123" s="57" t="n">
        <v>4</v>
      </c>
      <c r="F4123" s="29">
        <f>ROUND(((SUMIFS(Calendar!$F$2:$F$9997,Calendar!$B$2:$B$9997,D4123,Calendar!$C$2:$C$9997,C4123)*INDEX(ForeCalc!$B$37:$Y$274,MATCH(_xlfn.CONCAT(H4123," ",I4123),ForeCalc!$A$37:$A$274,0),MATCH(_xlfn.CONCAT(B4123," ",E4123),ForeCalc!$B$36:$Y$36,0))))*VLOOKUP(A4123,Calendar!$A$2:$H$9997,8,FALSE),0)</f>
        <v/>
      </c>
      <c r="G4123" s="29">
        <f>VLOOKUP(A4123,Calendar!$A$1:$H$9997,6,FALSE)-F4123</f>
        <v/>
      </c>
      <c r="H4123" s="19" t="n">
        <v>3</v>
      </c>
      <c r="I4123" s="57" t="n">
        <v>4</v>
      </c>
    </row>
    <row r="4124">
      <c r="A4124" s="62" t="n">
        <v>46947</v>
      </c>
      <c r="B4124" s="3" t="inlineStr">
        <is>
          <t>Week</t>
        </is>
      </c>
      <c r="C4124" s="19" t="n">
        <v>7</v>
      </c>
      <c r="D4124" s="19" t="n">
        <v>2028</v>
      </c>
      <c r="E4124" s="57" t="n">
        <v>4</v>
      </c>
      <c r="F4124" s="29">
        <f>ROUND(((SUMIFS(Calendar!$F$2:$F$9997,Calendar!$B$2:$B$9997,D4124,Calendar!$C$2:$C$9997,C4124)*INDEX(ForeCalc!$B$37:$Y$274,MATCH(_xlfn.CONCAT(H4124," ",I4124),ForeCalc!$A$37:$A$274,0),MATCH(_xlfn.CONCAT(B4124," ",E4124),ForeCalc!$B$36:$Y$36,0))))*VLOOKUP(A4124,Calendar!$A$2:$H$9997,8,FALSE),0)</f>
        <v/>
      </c>
      <c r="G4124" s="29">
        <f>VLOOKUP(A4124,Calendar!$A$1:$H$9997,6,FALSE)-F4124</f>
        <v/>
      </c>
      <c r="H4124" s="19" t="n">
        <v>3</v>
      </c>
      <c r="I4124" s="57" t="n">
        <v>4</v>
      </c>
    </row>
    <row r="4125">
      <c r="A4125" s="62" t="n">
        <v>46948</v>
      </c>
      <c r="B4125" s="3" t="inlineStr">
        <is>
          <t>Week</t>
        </is>
      </c>
      <c r="C4125" s="19" t="n">
        <v>7</v>
      </c>
      <c r="D4125" s="19" t="n">
        <v>2028</v>
      </c>
      <c r="E4125" s="57" t="n">
        <v>4</v>
      </c>
      <c r="F4125" s="29">
        <f>ROUND(((SUMIFS(Calendar!$F$2:$F$9997,Calendar!$B$2:$B$9997,D4125,Calendar!$C$2:$C$9997,C4125)*INDEX(ForeCalc!$B$37:$Y$274,MATCH(_xlfn.CONCAT(H4125," ",I4125),ForeCalc!$A$37:$A$274,0),MATCH(_xlfn.CONCAT(B4125," ",E4125),ForeCalc!$B$36:$Y$36,0))))*VLOOKUP(A4125,Calendar!$A$2:$H$9997,8,FALSE),0)</f>
        <v/>
      </c>
      <c r="G4125" s="29">
        <f>VLOOKUP(A4125,Calendar!$A$1:$H$9997,6,FALSE)-F4125</f>
        <v/>
      </c>
      <c r="H4125" s="19" t="n">
        <v>3</v>
      </c>
      <c r="I4125" s="57" t="n">
        <v>4</v>
      </c>
    </row>
    <row r="4126">
      <c r="A4126" s="62" t="n">
        <v>46949</v>
      </c>
      <c r="B4126" s="3" t="inlineStr">
        <is>
          <t>Sat</t>
        </is>
      </c>
      <c r="C4126" s="19" t="n">
        <v>7</v>
      </c>
      <c r="D4126" s="19" t="n">
        <v>2028</v>
      </c>
      <c r="E4126" s="57" t="n">
        <v>4</v>
      </c>
      <c r="F4126" s="29">
        <f>ROUND(((SUMIFS(Calendar!$F$2:$F$9997,Calendar!$B$2:$B$9997,D4126,Calendar!$C$2:$C$9997,C4126)*INDEX(ForeCalc!$B$37:$Y$274,MATCH(_xlfn.CONCAT(H4126," ",I4126),ForeCalc!$A$37:$A$274,0),MATCH(_xlfn.CONCAT(B4126," ",E4126),ForeCalc!$B$36:$Y$36,0))))*VLOOKUP(A4126,Calendar!$A$2:$H$9997,8,FALSE),0)</f>
        <v/>
      </c>
      <c r="G4126" s="29">
        <f>VLOOKUP(A4126,Calendar!$A$1:$H$9997,6,FALSE)-F4126</f>
        <v/>
      </c>
      <c r="H4126" s="19" t="n">
        <v>3</v>
      </c>
      <c r="I4126" s="57" t="n">
        <v>4</v>
      </c>
    </row>
    <row r="4127">
      <c r="A4127" s="62" t="n">
        <v>46950</v>
      </c>
      <c r="B4127" s="3" t="inlineStr">
        <is>
          <t>Sun</t>
        </is>
      </c>
      <c r="C4127" s="19" t="n">
        <v>7</v>
      </c>
      <c r="D4127" s="19" t="n">
        <v>2028</v>
      </c>
      <c r="E4127" s="57" t="n">
        <v>4</v>
      </c>
      <c r="F4127" s="29">
        <f>ROUND(((SUMIFS(Calendar!$F$2:$F$9997,Calendar!$B$2:$B$9997,D4127,Calendar!$C$2:$C$9997,C4127)*INDEX(ForeCalc!$B$37:$Y$274,MATCH(_xlfn.CONCAT(H4127," ",I4127),ForeCalc!$A$37:$A$274,0),MATCH(_xlfn.CONCAT(B4127," ",E4127),ForeCalc!$B$36:$Y$36,0))))*VLOOKUP(A4127,Calendar!$A$2:$H$9997,8,FALSE),0)</f>
        <v/>
      </c>
      <c r="G4127" s="29">
        <f>VLOOKUP(A4127,Calendar!$A$1:$H$9997,6,FALSE)-F4127</f>
        <v/>
      </c>
      <c r="H4127" s="19" t="n">
        <v>3</v>
      </c>
      <c r="I4127" s="57" t="n">
        <v>4</v>
      </c>
    </row>
    <row r="4128">
      <c r="A4128" s="62" t="n">
        <v>46951</v>
      </c>
      <c r="B4128" s="3" t="inlineStr">
        <is>
          <t>Week</t>
        </is>
      </c>
      <c r="C4128" s="19" t="n">
        <v>7</v>
      </c>
      <c r="D4128" s="19" t="n">
        <v>2028</v>
      </c>
      <c r="E4128" s="57" t="n">
        <v>4</v>
      </c>
      <c r="F4128" s="29">
        <f>ROUND(((SUMIFS(Calendar!$F$2:$F$9997,Calendar!$B$2:$B$9997,D4128,Calendar!$C$2:$C$9997,C4128)*INDEX(ForeCalc!$B$37:$Y$274,MATCH(_xlfn.CONCAT(H4128," ",I4128),ForeCalc!$A$37:$A$274,0),MATCH(_xlfn.CONCAT(B4128," ",E4128),ForeCalc!$B$36:$Y$36,0))))*VLOOKUP(A4128,Calendar!$A$2:$H$9997,8,FALSE),0)</f>
        <v/>
      </c>
      <c r="G4128" s="29">
        <f>VLOOKUP(A4128,Calendar!$A$1:$H$9997,6,FALSE)-F4128</f>
        <v/>
      </c>
      <c r="H4128" s="19" t="n">
        <v>3</v>
      </c>
      <c r="I4128" s="57" t="n">
        <v>4</v>
      </c>
    </row>
    <row r="4129">
      <c r="A4129" s="62" t="n">
        <v>46952</v>
      </c>
      <c r="B4129" s="3" t="inlineStr">
        <is>
          <t>Week</t>
        </is>
      </c>
      <c r="C4129" s="19" t="n">
        <v>7</v>
      </c>
      <c r="D4129" s="19" t="n">
        <v>2028</v>
      </c>
      <c r="E4129" s="57" t="n">
        <v>4</v>
      </c>
      <c r="F4129" s="29">
        <f>ROUND(((SUMIFS(Calendar!$F$2:$F$9997,Calendar!$B$2:$B$9997,D4129,Calendar!$C$2:$C$9997,C4129)*INDEX(ForeCalc!$B$37:$Y$274,MATCH(_xlfn.CONCAT(H4129," ",I4129),ForeCalc!$A$37:$A$274,0),MATCH(_xlfn.CONCAT(B4129," ",E4129),ForeCalc!$B$36:$Y$36,0))))*VLOOKUP(A4129,Calendar!$A$2:$H$9997,8,FALSE),0)</f>
        <v/>
      </c>
      <c r="G4129" s="29">
        <f>VLOOKUP(A4129,Calendar!$A$1:$H$9997,6,FALSE)-F4129</f>
        <v/>
      </c>
      <c r="H4129" s="19" t="n">
        <v>3</v>
      </c>
      <c r="I4129" s="57" t="n">
        <v>4</v>
      </c>
    </row>
    <row r="4130">
      <c r="A4130" s="62" t="n">
        <v>46953</v>
      </c>
      <c r="B4130" s="3" t="inlineStr">
        <is>
          <t>Week</t>
        </is>
      </c>
      <c r="C4130" s="19" t="n">
        <v>7</v>
      </c>
      <c r="D4130" s="19" t="n">
        <v>2028</v>
      </c>
      <c r="E4130" s="57" t="n">
        <v>4</v>
      </c>
      <c r="F4130" s="29">
        <f>ROUND(((SUMIFS(Calendar!$F$2:$F$9997,Calendar!$B$2:$B$9997,D4130,Calendar!$C$2:$C$9997,C4130)*INDEX(ForeCalc!$B$37:$Y$274,MATCH(_xlfn.CONCAT(H4130," ",I4130),ForeCalc!$A$37:$A$274,0),MATCH(_xlfn.CONCAT(B4130," ",E4130),ForeCalc!$B$36:$Y$36,0))))*VLOOKUP(A4130,Calendar!$A$2:$H$9997,8,FALSE),0)</f>
        <v/>
      </c>
      <c r="G4130" s="29">
        <f>VLOOKUP(A4130,Calendar!$A$1:$H$9997,6,FALSE)-F4130</f>
        <v/>
      </c>
      <c r="H4130" s="19" t="n">
        <v>3</v>
      </c>
      <c r="I4130" s="57" t="n">
        <v>4</v>
      </c>
    </row>
    <row r="4131">
      <c r="A4131" s="62" t="n">
        <v>46954</v>
      </c>
      <c r="B4131" s="3" t="inlineStr">
        <is>
          <t>Week</t>
        </is>
      </c>
      <c r="C4131" s="19" t="n">
        <v>7</v>
      </c>
      <c r="D4131" s="19" t="n">
        <v>2028</v>
      </c>
      <c r="E4131" s="57" t="n">
        <v>4</v>
      </c>
      <c r="F4131" s="29">
        <f>ROUND(((SUMIFS(Calendar!$F$2:$F$9997,Calendar!$B$2:$B$9997,D4131,Calendar!$C$2:$C$9997,C4131)*INDEX(ForeCalc!$B$37:$Y$274,MATCH(_xlfn.CONCAT(H4131," ",I4131),ForeCalc!$A$37:$A$274,0),MATCH(_xlfn.CONCAT(B4131," ",E4131),ForeCalc!$B$36:$Y$36,0))))*VLOOKUP(A4131,Calendar!$A$2:$H$9997,8,FALSE),0)</f>
        <v/>
      </c>
      <c r="G4131" s="29">
        <f>VLOOKUP(A4131,Calendar!$A$1:$H$9997,6,FALSE)-F4131</f>
        <v/>
      </c>
      <c r="H4131" s="19" t="n">
        <v>3</v>
      </c>
      <c r="I4131" s="57" t="n">
        <v>4</v>
      </c>
    </row>
    <row r="4132">
      <c r="A4132" s="62" t="n">
        <v>46955</v>
      </c>
      <c r="B4132" s="3" t="inlineStr">
        <is>
          <t>Week</t>
        </is>
      </c>
      <c r="C4132" s="19" t="n">
        <v>7</v>
      </c>
      <c r="D4132" s="19" t="n">
        <v>2028</v>
      </c>
      <c r="E4132" s="57" t="n">
        <v>4</v>
      </c>
      <c r="F4132" s="29">
        <f>ROUND(((SUMIFS(Calendar!$F$2:$F$9997,Calendar!$B$2:$B$9997,D4132,Calendar!$C$2:$C$9997,C4132)*INDEX(ForeCalc!$B$37:$Y$274,MATCH(_xlfn.CONCAT(H4132," ",I4132),ForeCalc!$A$37:$A$274,0),MATCH(_xlfn.CONCAT(B4132," ",E4132),ForeCalc!$B$36:$Y$36,0))))*VLOOKUP(A4132,Calendar!$A$2:$H$9997,8,FALSE),0)</f>
        <v/>
      </c>
      <c r="G4132" s="29">
        <f>VLOOKUP(A4132,Calendar!$A$1:$H$9997,6,FALSE)-F4132</f>
        <v/>
      </c>
      <c r="H4132" s="19" t="n">
        <v>3</v>
      </c>
      <c r="I4132" s="57" t="n">
        <v>4</v>
      </c>
    </row>
    <row r="4133">
      <c r="A4133" s="62" t="n">
        <v>46956</v>
      </c>
      <c r="B4133" s="3" t="inlineStr">
        <is>
          <t>Sat</t>
        </is>
      </c>
      <c r="C4133" s="19" t="n">
        <v>7</v>
      </c>
      <c r="D4133" s="19" t="n">
        <v>2028</v>
      </c>
      <c r="E4133" s="57" t="n">
        <v>4</v>
      </c>
      <c r="F4133" s="29">
        <f>ROUND(((SUMIFS(Calendar!$F$2:$F$9997,Calendar!$B$2:$B$9997,D4133,Calendar!$C$2:$C$9997,C4133)*INDEX(ForeCalc!$B$37:$Y$274,MATCH(_xlfn.CONCAT(H4133," ",I4133),ForeCalc!$A$37:$A$274,0),MATCH(_xlfn.CONCAT(B4133," ",E4133),ForeCalc!$B$36:$Y$36,0))))*VLOOKUP(A4133,Calendar!$A$2:$H$9997,8,FALSE),0)</f>
        <v/>
      </c>
      <c r="G4133" s="29">
        <f>VLOOKUP(A4133,Calendar!$A$1:$H$9997,6,FALSE)-F4133</f>
        <v/>
      </c>
      <c r="H4133" s="19" t="n">
        <v>3</v>
      </c>
      <c r="I4133" s="57" t="n">
        <v>4</v>
      </c>
    </row>
    <row r="4134">
      <c r="A4134" s="62" t="n">
        <v>46957</v>
      </c>
      <c r="B4134" s="3" t="inlineStr">
        <is>
          <t>Sun</t>
        </is>
      </c>
      <c r="C4134" s="19" t="n">
        <v>7</v>
      </c>
      <c r="D4134" s="19" t="n">
        <v>2028</v>
      </c>
      <c r="E4134" s="57" t="n">
        <v>4</v>
      </c>
      <c r="F4134" s="29">
        <f>ROUND(((SUMIFS(Calendar!$F$2:$F$9997,Calendar!$B$2:$B$9997,D4134,Calendar!$C$2:$C$9997,C4134)*INDEX(ForeCalc!$B$37:$Y$274,MATCH(_xlfn.CONCAT(H4134," ",I4134),ForeCalc!$A$37:$A$274,0),MATCH(_xlfn.CONCAT(B4134," ",E4134),ForeCalc!$B$36:$Y$36,0))))*VLOOKUP(A4134,Calendar!$A$2:$H$9997,8,FALSE),0)</f>
        <v/>
      </c>
      <c r="G4134" s="29">
        <f>VLOOKUP(A4134,Calendar!$A$1:$H$9997,6,FALSE)-F4134</f>
        <v/>
      </c>
      <c r="H4134" s="19" t="n">
        <v>3</v>
      </c>
      <c r="I4134" s="57" t="n">
        <v>4</v>
      </c>
    </row>
    <row r="4135">
      <c r="A4135" s="62" t="n">
        <v>46958</v>
      </c>
      <c r="B4135" s="3" t="inlineStr">
        <is>
          <t>Week</t>
        </is>
      </c>
      <c r="C4135" s="19" t="n">
        <v>7</v>
      </c>
      <c r="D4135" s="19" t="n">
        <v>2028</v>
      </c>
      <c r="E4135" s="57" t="n">
        <v>4</v>
      </c>
      <c r="F4135" s="29">
        <f>ROUND(((SUMIFS(Calendar!$F$2:$F$9997,Calendar!$B$2:$B$9997,D4135,Calendar!$C$2:$C$9997,C4135)*INDEX(ForeCalc!$B$37:$Y$274,MATCH(_xlfn.CONCAT(H4135," ",I4135),ForeCalc!$A$37:$A$274,0),MATCH(_xlfn.CONCAT(B4135," ",E4135),ForeCalc!$B$36:$Y$36,0))))*VLOOKUP(A4135,Calendar!$A$2:$H$9997,8,FALSE),0)</f>
        <v/>
      </c>
      <c r="G4135" s="29">
        <f>VLOOKUP(A4135,Calendar!$A$1:$H$9997,6,FALSE)-F4135</f>
        <v/>
      </c>
      <c r="H4135" s="19" t="n">
        <v>3</v>
      </c>
      <c r="I4135" s="57" t="n">
        <v>4</v>
      </c>
    </row>
    <row r="4136">
      <c r="A4136" s="62" t="n">
        <v>46959</v>
      </c>
      <c r="B4136" s="3" t="inlineStr">
        <is>
          <t>Week</t>
        </is>
      </c>
      <c r="C4136" s="19" t="n">
        <v>7</v>
      </c>
      <c r="D4136" s="19" t="n">
        <v>2028</v>
      </c>
      <c r="E4136" s="57" t="n">
        <v>4</v>
      </c>
      <c r="F4136" s="29">
        <f>ROUND(((SUMIFS(Calendar!$F$2:$F$9997,Calendar!$B$2:$B$9997,D4136,Calendar!$C$2:$C$9997,C4136)*INDEX(ForeCalc!$B$37:$Y$274,MATCH(_xlfn.CONCAT(H4136," ",I4136),ForeCalc!$A$37:$A$274,0),MATCH(_xlfn.CONCAT(B4136," ",E4136),ForeCalc!$B$36:$Y$36,0))))*VLOOKUP(A4136,Calendar!$A$2:$H$9997,8,FALSE),0)</f>
        <v/>
      </c>
      <c r="G4136" s="29">
        <f>VLOOKUP(A4136,Calendar!$A$1:$H$9997,6,FALSE)-F4136</f>
        <v/>
      </c>
      <c r="H4136" s="19" t="n">
        <v>3</v>
      </c>
      <c r="I4136" s="57" t="n">
        <v>4</v>
      </c>
    </row>
    <row r="4137">
      <c r="A4137" s="62" t="n">
        <v>46960</v>
      </c>
      <c r="B4137" s="3" t="inlineStr">
        <is>
          <t>Week</t>
        </is>
      </c>
      <c r="C4137" s="19" t="n">
        <v>7</v>
      </c>
      <c r="D4137" s="19" t="n">
        <v>2028</v>
      </c>
      <c r="E4137" s="57" t="n">
        <v>4</v>
      </c>
      <c r="F4137" s="29">
        <f>ROUND(((SUMIFS(Calendar!$F$2:$F$9997,Calendar!$B$2:$B$9997,D4137,Calendar!$C$2:$C$9997,C4137)*INDEX(ForeCalc!$B$37:$Y$274,MATCH(_xlfn.CONCAT(H4137," ",I4137),ForeCalc!$A$37:$A$274,0),MATCH(_xlfn.CONCAT(B4137," ",E4137),ForeCalc!$B$36:$Y$36,0))))*VLOOKUP(A4137,Calendar!$A$2:$H$9997,8,FALSE),0)</f>
        <v/>
      </c>
      <c r="G4137" s="29">
        <f>VLOOKUP(A4137,Calendar!$A$1:$H$9997,6,FALSE)-F4137</f>
        <v/>
      </c>
      <c r="H4137" s="19" t="n">
        <v>3</v>
      </c>
      <c r="I4137" s="57" t="n">
        <v>4</v>
      </c>
    </row>
    <row r="4138">
      <c r="A4138" s="62" t="n">
        <v>46961</v>
      </c>
      <c r="B4138" s="3" t="inlineStr">
        <is>
          <t>Week</t>
        </is>
      </c>
      <c r="C4138" s="19" t="n">
        <v>7</v>
      </c>
      <c r="D4138" s="19" t="n">
        <v>2028</v>
      </c>
      <c r="E4138" s="57" t="n">
        <v>4</v>
      </c>
      <c r="F4138" s="29">
        <f>ROUND(((SUMIFS(Calendar!$F$2:$F$9997,Calendar!$B$2:$B$9997,D4138,Calendar!$C$2:$C$9997,C4138)*INDEX(ForeCalc!$B$37:$Y$274,MATCH(_xlfn.CONCAT(H4138," ",I4138),ForeCalc!$A$37:$A$274,0),MATCH(_xlfn.CONCAT(B4138," ",E4138),ForeCalc!$B$36:$Y$36,0))))*VLOOKUP(A4138,Calendar!$A$2:$H$9997,8,FALSE),0)</f>
        <v/>
      </c>
      <c r="G4138" s="29">
        <f>VLOOKUP(A4138,Calendar!$A$1:$H$9997,6,FALSE)-F4138</f>
        <v/>
      </c>
      <c r="H4138" s="19" t="n">
        <v>3</v>
      </c>
      <c r="I4138" s="57" t="n">
        <v>4</v>
      </c>
    </row>
    <row r="4139">
      <c r="A4139" s="62" t="n">
        <v>46962</v>
      </c>
      <c r="B4139" s="3" t="inlineStr">
        <is>
          <t>Week</t>
        </is>
      </c>
      <c r="C4139" s="19" t="n">
        <v>7</v>
      </c>
      <c r="D4139" s="19" t="n">
        <v>2028</v>
      </c>
      <c r="E4139" s="57" t="n">
        <v>4</v>
      </c>
      <c r="F4139" s="29">
        <f>ROUND(((SUMIFS(Calendar!$F$2:$F$9997,Calendar!$B$2:$B$9997,D4139,Calendar!$C$2:$C$9997,C4139)*INDEX(ForeCalc!$B$37:$Y$274,MATCH(_xlfn.CONCAT(H4139," ",I4139),ForeCalc!$A$37:$A$274,0),MATCH(_xlfn.CONCAT(B4139," ",E4139),ForeCalc!$B$36:$Y$36,0))))*VLOOKUP(A4139,Calendar!$A$2:$H$9997,8,FALSE),0)</f>
        <v/>
      </c>
      <c r="G4139" s="29">
        <f>VLOOKUP(A4139,Calendar!$A$1:$H$9997,6,FALSE)-F4139</f>
        <v/>
      </c>
      <c r="H4139" s="19" t="n">
        <v>3</v>
      </c>
      <c r="I4139" s="57" t="n">
        <v>4</v>
      </c>
    </row>
    <row r="4140">
      <c r="A4140" s="62" t="n">
        <v>46963</v>
      </c>
      <c r="B4140" s="3" t="inlineStr">
        <is>
          <t>Sat</t>
        </is>
      </c>
      <c r="C4140" s="19" t="n">
        <v>7</v>
      </c>
      <c r="D4140" s="19" t="n">
        <v>2028</v>
      </c>
      <c r="E4140" s="57" t="n">
        <v>4</v>
      </c>
      <c r="F4140" s="29">
        <f>ROUND(((SUMIFS(Calendar!$F$2:$F$9997,Calendar!$B$2:$B$9997,D4140,Calendar!$C$2:$C$9997,C4140)*INDEX(ForeCalc!$B$37:$Y$274,MATCH(_xlfn.CONCAT(H4140," ",I4140),ForeCalc!$A$37:$A$274,0),MATCH(_xlfn.CONCAT(B4140," ",E4140),ForeCalc!$B$36:$Y$36,0))))*VLOOKUP(A4140,Calendar!$A$2:$H$9997,8,FALSE),0)</f>
        <v/>
      </c>
      <c r="G4140" s="29">
        <f>VLOOKUP(A4140,Calendar!$A$1:$H$9997,6,FALSE)-F4140</f>
        <v/>
      </c>
      <c r="H4140" s="19" t="n">
        <v>3</v>
      </c>
      <c r="I4140" s="57" t="n">
        <v>4</v>
      </c>
    </row>
    <row r="4141">
      <c r="A4141" s="62" t="n">
        <v>46964</v>
      </c>
      <c r="B4141" s="3" t="inlineStr">
        <is>
          <t>Sun</t>
        </is>
      </c>
      <c r="C4141" s="19" t="n">
        <v>7</v>
      </c>
      <c r="D4141" s="19" t="n">
        <v>2028</v>
      </c>
      <c r="E4141" s="57" t="n">
        <v>4</v>
      </c>
      <c r="F4141" s="29">
        <f>ROUND(((SUMIFS(Calendar!$F$2:$F$9997,Calendar!$B$2:$B$9997,D4141,Calendar!$C$2:$C$9997,C4141)*INDEX(ForeCalc!$B$37:$Y$274,MATCH(_xlfn.CONCAT(H4141," ",I4141),ForeCalc!$A$37:$A$274,0),MATCH(_xlfn.CONCAT(B4141," ",E4141),ForeCalc!$B$36:$Y$36,0))))*VLOOKUP(A4141,Calendar!$A$2:$H$9997,8,FALSE),0)</f>
        <v/>
      </c>
      <c r="G4141" s="29">
        <f>VLOOKUP(A4141,Calendar!$A$1:$H$9997,6,FALSE)-F4141</f>
        <v/>
      </c>
      <c r="H4141" s="19" t="n">
        <v>3</v>
      </c>
      <c r="I4141" s="57" t="n">
        <v>4</v>
      </c>
    </row>
    <row r="4142">
      <c r="A4142" s="62" t="n">
        <v>46965</v>
      </c>
      <c r="B4142" s="3" t="inlineStr">
        <is>
          <t>Week</t>
        </is>
      </c>
      <c r="C4142" s="19" t="n">
        <v>7</v>
      </c>
      <c r="D4142" s="19" t="n">
        <v>2028</v>
      </c>
      <c r="E4142" s="57" t="n">
        <v>4</v>
      </c>
      <c r="F4142" s="29">
        <f>ROUND(((SUMIFS(Calendar!$F$2:$F$9997,Calendar!$B$2:$B$9997,D4142,Calendar!$C$2:$C$9997,C4142)*INDEX(ForeCalc!$B$37:$Y$274,MATCH(_xlfn.CONCAT(H4142," ",I4142),ForeCalc!$A$37:$A$274,0),MATCH(_xlfn.CONCAT(B4142," ",E4142),ForeCalc!$B$36:$Y$36,0))))*VLOOKUP(A4142,Calendar!$A$2:$H$9997,8,FALSE),0)</f>
        <v/>
      </c>
      <c r="G4142" s="29">
        <f>VLOOKUP(A4142,Calendar!$A$1:$H$9997,6,FALSE)-F4142</f>
        <v/>
      </c>
      <c r="H4142" s="19" t="n">
        <v>3</v>
      </c>
      <c r="I4142" s="57" t="n">
        <v>4</v>
      </c>
    </row>
    <row r="4143">
      <c r="A4143" s="62" t="n">
        <v>46966</v>
      </c>
      <c r="B4143" s="3" t="inlineStr">
        <is>
          <t>Week</t>
        </is>
      </c>
      <c r="C4143" s="19" t="n">
        <v>8</v>
      </c>
      <c r="D4143" s="19" t="n">
        <v>2028</v>
      </c>
      <c r="E4143" s="57" t="n">
        <v>4</v>
      </c>
      <c r="F4143" s="29">
        <f>ROUND(((SUMIFS(Calendar!$F$2:$F$9997,Calendar!$B$2:$B$9997,D4143,Calendar!$C$2:$C$9997,C4143)*INDEX(ForeCalc!$B$37:$Y$274,MATCH(_xlfn.CONCAT(H4143," ",I4143),ForeCalc!$A$37:$A$274,0),MATCH(_xlfn.CONCAT(B4143," ",E4143),ForeCalc!$B$36:$Y$36,0))))*VLOOKUP(A4143,Calendar!$A$2:$H$9997,8,FALSE),0)</f>
        <v/>
      </c>
      <c r="G4143" s="29">
        <f>VLOOKUP(A4143,Calendar!$A$1:$H$9997,6,FALSE)-F4143</f>
        <v/>
      </c>
      <c r="H4143" s="19" t="n">
        <v>3</v>
      </c>
      <c r="I4143" s="57" t="n">
        <v>5</v>
      </c>
    </row>
    <row r="4144">
      <c r="A4144" s="62" t="n">
        <v>46967</v>
      </c>
      <c r="B4144" s="3" t="inlineStr">
        <is>
          <t>Week</t>
        </is>
      </c>
      <c r="C4144" s="19" t="n">
        <v>8</v>
      </c>
      <c r="D4144" s="19" t="n">
        <v>2028</v>
      </c>
      <c r="E4144" s="57" t="n">
        <v>4</v>
      </c>
      <c r="F4144" s="29">
        <f>ROUND(((SUMIFS(Calendar!$F$2:$F$9997,Calendar!$B$2:$B$9997,D4144,Calendar!$C$2:$C$9997,C4144)*INDEX(ForeCalc!$B$37:$Y$274,MATCH(_xlfn.CONCAT(H4144," ",I4144),ForeCalc!$A$37:$A$274,0),MATCH(_xlfn.CONCAT(B4144," ",E4144),ForeCalc!$B$36:$Y$36,0))))*VLOOKUP(A4144,Calendar!$A$2:$H$9997,8,FALSE),0)</f>
        <v/>
      </c>
      <c r="G4144" s="29">
        <f>VLOOKUP(A4144,Calendar!$A$1:$H$9997,6,FALSE)-F4144</f>
        <v/>
      </c>
      <c r="H4144" s="19" t="n">
        <v>3</v>
      </c>
      <c r="I4144" s="57" t="n">
        <v>5</v>
      </c>
    </row>
    <row r="4145">
      <c r="A4145" s="62" t="n">
        <v>46968</v>
      </c>
      <c r="B4145" s="3" t="inlineStr">
        <is>
          <t>Week</t>
        </is>
      </c>
      <c r="C4145" s="19" t="n">
        <v>8</v>
      </c>
      <c r="D4145" s="19" t="n">
        <v>2028</v>
      </c>
      <c r="E4145" s="57" t="n">
        <v>4</v>
      </c>
      <c r="F4145" s="29">
        <f>ROUND(((SUMIFS(Calendar!$F$2:$F$9997,Calendar!$B$2:$B$9997,D4145,Calendar!$C$2:$C$9997,C4145)*INDEX(ForeCalc!$B$37:$Y$274,MATCH(_xlfn.CONCAT(H4145," ",I4145),ForeCalc!$A$37:$A$274,0),MATCH(_xlfn.CONCAT(B4145," ",E4145),ForeCalc!$B$36:$Y$36,0))))*VLOOKUP(A4145,Calendar!$A$2:$H$9997,8,FALSE),0)</f>
        <v/>
      </c>
      <c r="G4145" s="29">
        <f>VLOOKUP(A4145,Calendar!$A$1:$H$9997,6,FALSE)-F4145</f>
        <v/>
      </c>
      <c r="H4145" s="19" t="n">
        <v>3</v>
      </c>
      <c r="I4145" s="57" t="n">
        <v>5</v>
      </c>
    </row>
    <row r="4146">
      <c r="A4146" s="62" t="n">
        <v>46969</v>
      </c>
      <c r="B4146" s="3" t="inlineStr">
        <is>
          <t>Week</t>
        </is>
      </c>
      <c r="C4146" s="19" t="n">
        <v>8</v>
      </c>
      <c r="D4146" s="19" t="n">
        <v>2028</v>
      </c>
      <c r="E4146" s="57" t="n">
        <v>4</v>
      </c>
      <c r="F4146" s="29">
        <f>ROUND(((SUMIFS(Calendar!$F$2:$F$9997,Calendar!$B$2:$B$9997,D4146,Calendar!$C$2:$C$9997,C4146)*INDEX(ForeCalc!$B$37:$Y$274,MATCH(_xlfn.CONCAT(H4146," ",I4146),ForeCalc!$A$37:$A$274,0),MATCH(_xlfn.CONCAT(B4146," ",E4146),ForeCalc!$B$36:$Y$36,0))))*VLOOKUP(A4146,Calendar!$A$2:$H$9997,8,FALSE),0)</f>
        <v/>
      </c>
      <c r="G4146" s="29">
        <f>VLOOKUP(A4146,Calendar!$A$1:$H$9997,6,FALSE)-F4146</f>
        <v/>
      </c>
      <c r="H4146" s="19" t="n">
        <v>3</v>
      </c>
      <c r="I4146" s="57" t="n">
        <v>5</v>
      </c>
    </row>
    <row r="4147">
      <c r="A4147" s="62" t="n">
        <v>46970</v>
      </c>
      <c r="B4147" s="3" t="inlineStr">
        <is>
          <t>Sat</t>
        </is>
      </c>
      <c r="C4147" s="19" t="n">
        <v>8</v>
      </c>
      <c r="D4147" s="19" t="n">
        <v>2028</v>
      </c>
      <c r="E4147" s="57" t="n">
        <v>4</v>
      </c>
      <c r="F4147" s="29">
        <f>ROUND(((SUMIFS(Calendar!$F$2:$F$9997,Calendar!$B$2:$B$9997,D4147,Calendar!$C$2:$C$9997,C4147)*INDEX(ForeCalc!$B$37:$Y$274,MATCH(_xlfn.CONCAT(H4147," ",I4147),ForeCalc!$A$37:$A$274,0),MATCH(_xlfn.CONCAT(B4147," ",E4147),ForeCalc!$B$36:$Y$36,0))))*VLOOKUP(A4147,Calendar!$A$2:$H$9997,8,FALSE),0)</f>
        <v/>
      </c>
      <c r="G4147" s="29">
        <f>VLOOKUP(A4147,Calendar!$A$1:$H$9997,6,FALSE)-F4147</f>
        <v/>
      </c>
      <c r="H4147" s="19" t="n">
        <v>3</v>
      </c>
      <c r="I4147" s="57" t="n">
        <v>5</v>
      </c>
    </row>
    <row r="4148">
      <c r="A4148" s="62" t="n">
        <v>46971</v>
      </c>
      <c r="B4148" s="3" t="inlineStr">
        <is>
          <t>Sun</t>
        </is>
      </c>
      <c r="C4148" s="19" t="n">
        <v>8</v>
      </c>
      <c r="D4148" s="19" t="n">
        <v>2028</v>
      </c>
      <c r="E4148" s="57" t="n">
        <v>4</v>
      </c>
      <c r="F4148" s="29">
        <f>ROUND(((SUMIFS(Calendar!$F$2:$F$9997,Calendar!$B$2:$B$9997,D4148,Calendar!$C$2:$C$9997,C4148)*INDEX(ForeCalc!$B$37:$Y$274,MATCH(_xlfn.CONCAT(H4148," ",I4148),ForeCalc!$A$37:$A$274,0),MATCH(_xlfn.CONCAT(B4148," ",E4148),ForeCalc!$B$36:$Y$36,0))))*VLOOKUP(A4148,Calendar!$A$2:$H$9997,8,FALSE),0)</f>
        <v/>
      </c>
      <c r="G4148" s="29">
        <f>VLOOKUP(A4148,Calendar!$A$1:$H$9997,6,FALSE)-F4148</f>
        <v/>
      </c>
      <c r="H4148" s="19" t="n">
        <v>3</v>
      </c>
      <c r="I4148" s="57" t="n">
        <v>5</v>
      </c>
    </row>
    <row r="4149">
      <c r="A4149" s="62" t="n">
        <v>46972</v>
      </c>
      <c r="B4149" s="3" t="inlineStr">
        <is>
          <t>Week</t>
        </is>
      </c>
      <c r="C4149" s="19" t="n">
        <v>8</v>
      </c>
      <c r="D4149" s="19" t="n">
        <v>2028</v>
      </c>
      <c r="E4149" s="57" t="n">
        <v>4</v>
      </c>
      <c r="F4149" s="29">
        <f>ROUND(((SUMIFS(Calendar!$F$2:$F$9997,Calendar!$B$2:$B$9997,D4149,Calendar!$C$2:$C$9997,C4149)*INDEX(ForeCalc!$B$37:$Y$274,MATCH(_xlfn.CONCAT(H4149," ",I4149),ForeCalc!$A$37:$A$274,0),MATCH(_xlfn.CONCAT(B4149," ",E4149),ForeCalc!$B$36:$Y$36,0))))*VLOOKUP(A4149,Calendar!$A$2:$H$9997,8,FALSE),0)</f>
        <v/>
      </c>
      <c r="G4149" s="29">
        <f>VLOOKUP(A4149,Calendar!$A$1:$H$9997,6,FALSE)-F4149</f>
        <v/>
      </c>
      <c r="H4149" s="19" t="n">
        <v>3</v>
      </c>
      <c r="I4149" s="57" t="n">
        <v>5</v>
      </c>
    </row>
    <row r="4150">
      <c r="A4150" s="62" t="n">
        <v>46973</v>
      </c>
      <c r="B4150" s="3" t="inlineStr">
        <is>
          <t>Week</t>
        </is>
      </c>
      <c r="C4150" s="19" t="n">
        <v>8</v>
      </c>
      <c r="D4150" s="19" t="n">
        <v>2028</v>
      </c>
      <c r="E4150" s="57" t="n">
        <v>4</v>
      </c>
      <c r="F4150" s="29">
        <f>ROUND(((SUMIFS(Calendar!$F$2:$F$9997,Calendar!$B$2:$B$9997,D4150,Calendar!$C$2:$C$9997,C4150)*INDEX(ForeCalc!$B$37:$Y$274,MATCH(_xlfn.CONCAT(H4150," ",I4150),ForeCalc!$A$37:$A$274,0),MATCH(_xlfn.CONCAT(B4150," ",E4150),ForeCalc!$B$36:$Y$36,0))))*VLOOKUP(A4150,Calendar!$A$2:$H$9997,8,FALSE),0)</f>
        <v/>
      </c>
      <c r="G4150" s="29">
        <f>VLOOKUP(A4150,Calendar!$A$1:$H$9997,6,FALSE)-F4150</f>
        <v/>
      </c>
      <c r="H4150" s="19" t="n">
        <v>3</v>
      </c>
      <c r="I4150" s="57" t="n">
        <v>5</v>
      </c>
    </row>
    <row r="4151">
      <c r="A4151" s="62" t="n">
        <v>46974</v>
      </c>
      <c r="B4151" s="3" t="inlineStr">
        <is>
          <t>Week</t>
        </is>
      </c>
      <c r="C4151" s="19" t="n">
        <v>8</v>
      </c>
      <c r="D4151" s="19" t="n">
        <v>2028</v>
      </c>
      <c r="E4151" s="57" t="n">
        <v>4</v>
      </c>
      <c r="F4151" s="29">
        <f>ROUND(((SUMIFS(Calendar!$F$2:$F$9997,Calendar!$B$2:$B$9997,D4151,Calendar!$C$2:$C$9997,C4151)*INDEX(ForeCalc!$B$37:$Y$274,MATCH(_xlfn.CONCAT(H4151," ",I4151),ForeCalc!$A$37:$A$274,0),MATCH(_xlfn.CONCAT(B4151," ",E4151),ForeCalc!$B$36:$Y$36,0))))*VLOOKUP(A4151,Calendar!$A$2:$H$9997,8,FALSE),0)</f>
        <v/>
      </c>
      <c r="G4151" s="29">
        <f>VLOOKUP(A4151,Calendar!$A$1:$H$9997,6,FALSE)-F4151</f>
        <v/>
      </c>
      <c r="H4151" s="19" t="n">
        <v>3</v>
      </c>
      <c r="I4151" s="57" t="n">
        <v>5</v>
      </c>
    </row>
    <row r="4152">
      <c r="A4152" s="62" t="n">
        <v>46975</v>
      </c>
      <c r="B4152" s="3" t="inlineStr">
        <is>
          <t>Week</t>
        </is>
      </c>
      <c r="C4152" s="19" t="n">
        <v>8</v>
      </c>
      <c r="D4152" s="19" t="n">
        <v>2028</v>
      </c>
      <c r="E4152" s="57" t="n">
        <v>4</v>
      </c>
      <c r="F4152" s="29">
        <f>ROUND(((SUMIFS(Calendar!$F$2:$F$9997,Calendar!$B$2:$B$9997,D4152,Calendar!$C$2:$C$9997,C4152)*INDEX(ForeCalc!$B$37:$Y$274,MATCH(_xlfn.CONCAT(H4152," ",I4152),ForeCalc!$A$37:$A$274,0),MATCH(_xlfn.CONCAT(B4152," ",E4152),ForeCalc!$B$36:$Y$36,0))))*VLOOKUP(A4152,Calendar!$A$2:$H$9997,8,FALSE),0)</f>
        <v/>
      </c>
      <c r="G4152" s="29">
        <f>VLOOKUP(A4152,Calendar!$A$1:$H$9997,6,FALSE)-F4152</f>
        <v/>
      </c>
      <c r="H4152" s="19" t="n">
        <v>3</v>
      </c>
      <c r="I4152" s="57" t="n">
        <v>5</v>
      </c>
    </row>
    <row r="4153">
      <c r="A4153" s="62" t="n">
        <v>46976</v>
      </c>
      <c r="B4153" s="3" t="inlineStr">
        <is>
          <t>Week</t>
        </is>
      </c>
      <c r="C4153" s="19" t="n">
        <v>8</v>
      </c>
      <c r="D4153" s="19" t="n">
        <v>2028</v>
      </c>
      <c r="E4153" s="57" t="n">
        <v>4</v>
      </c>
      <c r="F4153" s="29">
        <f>ROUND(((SUMIFS(Calendar!$F$2:$F$9997,Calendar!$B$2:$B$9997,D4153,Calendar!$C$2:$C$9997,C4153)*INDEX(ForeCalc!$B$37:$Y$274,MATCH(_xlfn.CONCAT(H4153," ",I4153),ForeCalc!$A$37:$A$274,0),MATCH(_xlfn.CONCAT(B4153," ",E4153),ForeCalc!$B$36:$Y$36,0))))*VLOOKUP(A4153,Calendar!$A$2:$H$9997,8,FALSE),0)</f>
        <v/>
      </c>
      <c r="G4153" s="29">
        <f>VLOOKUP(A4153,Calendar!$A$1:$H$9997,6,FALSE)-F4153</f>
        <v/>
      </c>
      <c r="H4153" s="19" t="n">
        <v>3</v>
      </c>
      <c r="I4153" s="57" t="n">
        <v>5</v>
      </c>
    </row>
    <row r="4154">
      <c r="A4154" s="62" t="n">
        <v>46977</v>
      </c>
      <c r="B4154" s="3" t="inlineStr">
        <is>
          <t>Sat</t>
        </is>
      </c>
      <c r="C4154" s="19" t="n">
        <v>8</v>
      </c>
      <c r="D4154" s="19" t="n">
        <v>2028</v>
      </c>
      <c r="E4154" s="57" t="n">
        <v>4</v>
      </c>
      <c r="F4154" s="29">
        <f>ROUND(((SUMIFS(Calendar!$F$2:$F$9997,Calendar!$B$2:$B$9997,D4154,Calendar!$C$2:$C$9997,C4154)*INDEX(ForeCalc!$B$37:$Y$274,MATCH(_xlfn.CONCAT(H4154," ",I4154),ForeCalc!$A$37:$A$274,0),MATCH(_xlfn.CONCAT(B4154," ",E4154),ForeCalc!$B$36:$Y$36,0))))*VLOOKUP(A4154,Calendar!$A$2:$H$9997,8,FALSE),0)</f>
        <v/>
      </c>
      <c r="G4154" s="29">
        <f>VLOOKUP(A4154,Calendar!$A$1:$H$9997,6,FALSE)-F4154</f>
        <v/>
      </c>
      <c r="H4154" s="19" t="n">
        <v>3</v>
      </c>
      <c r="I4154" s="57" t="n">
        <v>5</v>
      </c>
    </row>
    <row r="4155">
      <c r="A4155" s="62" t="n">
        <v>46978</v>
      </c>
      <c r="B4155" s="3" t="inlineStr">
        <is>
          <t>Sun</t>
        </is>
      </c>
      <c r="C4155" s="19" t="n">
        <v>8</v>
      </c>
      <c r="D4155" s="19" t="n">
        <v>2028</v>
      </c>
      <c r="E4155" s="57" t="n">
        <v>4</v>
      </c>
      <c r="F4155" s="29">
        <f>ROUND(((SUMIFS(Calendar!$F$2:$F$9997,Calendar!$B$2:$B$9997,D4155,Calendar!$C$2:$C$9997,C4155)*INDEX(ForeCalc!$B$37:$Y$274,MATCH(_xlfn.CONCAT(H4155," ",I4155),ForeCalc!$A$37:$A$274,0),MATCH(_xlfn.CONCAT(B4155," ",E4155),ForeCalc!$B$36:$Y$36,0))))*VLOOKUP(A4155,Calendar!$A$2:$H$9997,8,FALSE),0)</f>
        <v/>
      </c>
      <c r="G4155" s="29">
        <f>VLOOKUP(A4155,Calendar!$A$1:$H$9997,6,FALSE)-F4155</f>
        <v/>
      </c>
      <c r="H4155" s="19" t="n">
        <v>3</v>
      </c>
      <c r="I4155" s="57" t="n">
        <v>5</v>
      </c>
    </row>
    <row r="4156">
      <c r="A4156" s="62" t="n">
        <v>46979</v>
      </c>
      <c r="B4156" s="3" t="inlineStr">
        <is>
          <t>Week</t>
        </is>
      </c>
      <c r="C4156" s="19" t="n">
        <v>8</v>
      </c>
      <c r="D4156" s="19" t="n">
        <v>2028</v>
      </c>
      <c r="E4156" s="57" t="n">
        <v>4</v>
      </c>
      <c r="F4156" s="29">
        <f>ROUND(((SUMIFS(Calendar!$F$2:$F$9997,Calendar!$B$2:$B$9997,D4156,Calendar!$C$2:$C$9997,C4156)*INDEX(ForeCalc!$B$37:$Y$274,MATCH(_xlfn.CONCAT(H4156," ",I4156),ForeCalc!$A$37:$A$274,0),MATCH(_xlfn.CONCAT(B4156," ",E4156),ForeCalc!$B$36:$Y$36,0))))*VLOOKUP(A4156,Calendar!$A$2:$H$9997,8,FALSE),0)</f>
        <v/>
      </c>
      <c r="G4156" s="29">
        <f>VLOOKUP(A4156,Calendar!$A$1:$H$9997,6,FALSE)-F4156</f>
        <v/>
      </c>
      <c r="H4156" s="19" t="n">
        <v>3</v>
      </c>
      <c r="I4156" s="57" t="n">
        <v>5</v>
      </c>
    </row>
    <row r="4157">
      <c r="A4157" s="62" t="n">
        <v>46980</v>
      </c>
      <c r="B4157" s="3" t="inlineStr">
        <is>
          <t>Week</t>
        </is>
      </c>
      <c r="C4157" s="19" t="n">
        <v>8</v>
      </c>
      <c r="D4157" s="19" t="n">
        <v>2028</v>
      </c>
      <c r="E4157" s="57" t="n">
        <v>4</v>
      </c>
      <c r="F4157" s="29">
        <f>ROUND(((SUMIFS(Calendar!$F$2:$F$9997,Calendar!$B$2:$B$9997,D4157,Calendar!$C$2:$C$9997,C4157)*INDEX(ForeCalc!$B$37:$Y$274,MATCH(_xlfn.CONCAT(H4157," ",I4157),ForeCalc!$A$37:$A$274,0),MATCH(_xlfn.CONCAT(B4157," ",E4157),ForeCalc!$B$36:$Y$36,0))))*VLOOKUP(A4157,Calendar!$A$2:$H$9997,8,FALSE),0)</f>
        <v/>
      </c>
      <c r="G4157" s="29">
        <f>VLOOKUP(A4157,Calendar!$A$1:$H$9997,6,FALSE)-F4157</f>
        <v/>
      </c>
      <c r="H4157" s="19" t="n">
        <v>3</v>
      </c>
      <c r="I4157" s="57" t="n">
        <v>5</v>
      </c>
    </row>
    <row r="4158">
      <c r="A4158" s="62" t="n">
        <v>46981</v>
      </c>
      <c r="B4158" s="3" t="inlineStr">
        <is>
          <t>Week</t>
        </is>
      </c>
      <c r="C4158" s="19" t="n">
        <v>8</v>
      </c>
      <c r="D4158" s="19" t="n">
        <v>2028</v>
      </c>
      <c r="E4158" s="57" t="n">
        <v>4</v>
      </c>
      <c r="F4158" s="29">
        <f>ROUND(((SUMIFS(Calendar!$F$2:$F$9997,Calendar!$B$2:$B$9997,D4158,Calendar!$C$2:$C$9997,C4158)*INDEX(ForeCalc!$B$37:$Y$274,MATCH(_xlfn.CONCAT(H4158," ",I4158),ForeCalc!$A$37:$A$274,0),MATCH(_xlfn.CONCAT(B4158," ",E4158),ForeCalc!$B$36:$Y$36,0))))*VLOOKUP(A4158,Calendar!$A$2:$H$9997,8,FALSE),0)</f>
        <v/>
      </c>
      <c r="G4158" s="29">
        <f>VLOOKUP(A4158,Calendar!$A$1:$H$9997,6,FALSE)-F4158</f>
        <v/>
      </c>
      <c r="H4158" s="19" t="n">
        <v>3</v>
      </c>
      <c r="I4158" s="57" t="n">
        <v>5</v>
      </c>
    </row>
    <row r="4159">
      <c r="A4159" s="62" t="n">
        <v>46982</v>
      </c>
      <c r="B4159" s="3" t="inlineStr">
        <is>
          <t>Week</t>
        </is>
      </c>
      <c r="C4159" s="19" t="n">
        <v>8</v>
      </c>
      <c r="D4159" s="19" t="n">
        <v>2028</v>
      </c>
      <c r="E4159" s="57" t="n">
        <v>4</v>
      </c>
      <c r="F4159" s="29">
        <f>ROUND(((SUMIFS(Calendar!$F$2:$F$9997,Calendar!$B$2:$B$9997,D4159,Calendar!$C$2:$C$9997,C4159)*INDEX(ForeCalc!$B$37:$Y$274,MATCH(_xlfn.CONCAT(H4159," ",I4159),ForeCalc!$A$37:$A$274,0),MATCH(_xlfn.CONCAT(B4159," ",E4159),ForeCalc!$B$36:$Y$36,0))))*VLOOKUP(A4159,Calendar!$A$2:$H$9997,8,FALSE),0)</f>
        <v/>
      </c>
      <c r="G4159" s="29">
        <f>VLOOKUP(A4159,Calendar!$A$1:$H$9997,6,FALSE)-F4159</f>
        <v/>
      </c>
      <c r="H4159" s="19" t="n">
        <v>3</v>
      </c>
      <c r="I4159" s="57" t="n">
        <v>5</v>
      </c>
    </row>
    <row r="4160">
      <c r="A4160" s="62" t="n">
        <v>46983</v>
      </c>
      <c r="B4160" s="3" t="inlineStr">
        <is>
          <t>Week</t>
        </is>
      </c>
      <c r="C4160" s="19" t="n">
        <v>8</v>
      </c>
      <c r="D4160" s="19" t="n">
        <v>2028</v>
      </c>
      <c r="E4160" s="57" t="n">
        <v>4</v>
      </c>
      <c r="F4160" s="29">
        <f>ROUND(((SUMIFS(Calendar!$F$2:$F$9997,Calendar!$B$2:$B$9997,D4160,Calendar!$C$2:$C$9997,C4160)*INDEX(ForeCalc!$B$37:$Y$274,MATCH(_xlfn.CONCAT(H4160," ",I4160),ForeCalc!$A$37:$A$274,0),MATCH(_xlfn.CONCAT(B4160," ",E4160),ForeCalc!$B$36:$Y$36,0))))*VLOOKUP(A4160,Calendar!$A$2:$H$9997,8,FALSE),0)</f>
        <v/>
      </c>
      <c r="G4160" s="29">
        <f>VLOOKUP(A4160,Calendar!$A$1:$H$9997,6,FALSE)-F4160</f>
        <v/>
      </c>
      <c r="H4160" s="19" t="n">
        <v>3</v>
      </c>
      <c r="I4160" s="57" t="n">
        <v>5</v>
      </c>
    </row>
    <row r="4161">
      <c r="A4161" s="62" t="n">
        <v>46984</v>
      </c>
      <c r="B4161" s="3" t="inlineStr">
        <is>
          <t>Sat</t>
        </is>
      </c>
      <c r="C4161" s="19" t="n">
        <v>8</v>
      </c>
      <c r="D4161" s="19" t="n">
        <v>2028</v>
      </c>
      <c r="E4161" s="57" t="n">
        <v>4</v>
      </c>
      <c r="F4161" s="29">
        <f>ROUND(((SUMIFS(Calendar!$F$2:$F$9997,Calendar!$B$2:$B$9997,D4161,Calendar!$C$2:$C$9997,C4161)*INDEX(ForeCalc!$B$37:$Y$274,MATCH(_xlfn.CONCAT(H4161," ",I4161),ForeCalc!$A$37:$A$274,0),MATCH(_xlfn.CONCAT(B4161," ",E4161),ForeCalc!$B$36:$Y$36,0))))*VLOOKUP(A4161,Calendar!$A$2:$H$9997,8,FALSE),0)</f>
        <v/>
      </c>
      <c r="G4161" s="29">
        <f>VLOOKUP(A4161,Calendar!$A$1:$H$9997,6,FALSE)-F4161</f>
        <v/>
      </c>
      <c r="H4161" s="19" t="n">
        <v>3</v>
      </c>
      <c r="I4161" s="57" t="n">
        <v>5</v>
      </c>
    </row>
    <row r="4162">
      <c r="A4162" s="62" t="n">
        <v>46985</v>
      </c>
      <c r="B4162" s="3" t="inlineStr">
        <is>
          <t>Sun</t>
        </is>
      </c>
      <c r="C4162" s="19" t="n">
        <v>8</v>
      </c>
      <c r="D4162" s="19" t="n">
        <v>2028</v>
      </c>
      <c r="E4162" s="57" t="n">
        <v>4</v>
      </c>
      <c r="F4162" s="29">
        <f>ROUND(((SUMIFS(Calendar!$F$2:$F$9997,Calendar!$B$2:$B$9997,D4162,Calendar!$C$2:$C$9997,C4162)*INDEX(ForeCalc!$B$37:$Y$274,MATCH(_xlfn.CONCAT(H4162," ",I4162),ForeCalc!$A$37:$A$274,0),MATCH(_xlfn.CONCAT(B4162," ",E4162),ForeCalc!$B$36:$Y$36,0))))*VLOOKUP(A4162,Calendar!$A$2:$H$9997,8,FALSE),0)</f>
        <v/>
      </c>
      <c r="G4162" s="29">
        <f>VLOOKUP(A4162,Calendar!$A$1:$H$9997,6,FALSE)-F4162</f>
        <v/>
      </c>
      <c r="H4162" s="19" t="n">
        <v>3</v>
      </c>
      <c r="I4162" s="57" t="n">
        <v>5</v>
      </c>
    </row>
    <row r="4163">
      <c r="A4163" s="62" t="n">
        <v>46986</v>
      </c>
      <c r="B4163" s="3" t="inlineStr">
        <is>
          <t>Week</t>
        </is>
      </c>
      <c r="C4163" s="19" t="n">
        <v>8</v>
      </c>
      <c r="D4163" s="19" t="n">
        <v>2028</v>
      </c>
      <c r="E4163" s="57" t="n">
        <v>4</v>
      </c>
      <c r="F4163" s="29">
        <f>ROUND(((SUMIFS(Calendar!$F$2:$F$9997,Calendar!$B$2:$B$9997,D4163,Calendar!$C$2:$C$9997,C4163)*INDEX(ForeCalc!$B$37:$Y$274,MATCH(_xlfn.CONCAT(H4163," ",I4163),ForeCalc!$A$37:$A$274,0),MATCH(_xlfn.CONCAT(B4163," ",E4163),ForeCalc!$B$36:$Y$36,0))))*VLOOKUP(A4163,Calendar!$A$2:$H$9997,8,FALSE),0)</f>
        <v/>
      </c>
      <c r="G4163" s="29">
        <f>VLOOKUP(A4163,Calendar!$A$1:$H$9997,6,FALSE)-F4163</f>
        <v/>
      </c>
      <c r="H4163" s="19" t="n">
        <v>3</v>
      </c>
      <c r="I4163" s="57" t="n">
        <v>5</v>
      </c>
    </row>
    <row r="4164">
      <c r="A4164" s="62" t="n">
        <v>46987</v>
      </c>
      <c r="B4164" s="3" t="inlineStr">
        <is>
          <t>Week</t>
        </is>
      </c>
      <c r="C4164" s="19" t="n">
        <v>8</v>
      </c>
      <c r="D4164" s="19" t="n">
        <v>2028</v>
      </c>
      <c r="E4164" s="57" t="n">
        <v>4</v>
      </c>
      <c r="F4164" s="29">
        <f>ROUND(((SUMIFS(Calendar!$F$2:$F$9997,Calendar!$B$2:$B$9997,D4164,Calendar!$C$2:$C$9997,C4164)*INDEX(ForeCalc!$B$37:$Y$274,MATCH(_xlfn.CONCAT(H4164," ",I4164),ForeCalc!$A$37:$A$274,0),MATCH(_xlfn.CONCAT(B4164," ",E4164),ForeCalc!$B$36:$Y$36,0))))*VLOOKUP(A4164,Calendar!$A$2:$H$9997,8,FALSE),0)</f>
        <v/>
      </c>
      <c r="G4164" s="29">
        <f>VLOOKUP(A4164,Calendar!$A$1:$H$9997,6,FALSE)-F4164</f>
        <v/>
      </c>
      <c r="H4164" s="19" t="n">
        <v>3</v>
      </c>
      <c r="I4164" s="57" t="n">
        <v>5</v>
      </c>
    </row>
    <row r="4165">
      <c r="A4165" s="62" t="n">
        <v>46988</v>
      </c>
      <c r="B4165" s="3" t="inlineStr">
        <is>
          <t>Week</t>
        </is>
      </c>
      <c r="C4165" s="19" t="n">
        <v>8</v>
      </c>
      <c r="D4165" s="19" t="n">
        <v>2028</v>
      </c>
      <c r="E4165" s="57" t="n">
        <v>4</v>
      </c>
      <c r="F4165" s="29">
        <f>ROUND(((SUMIFS(Calendar!$F$2:$F$9997,Calendar!$B$2:$B$9997,D4165,Calendar!$C$2:$C$9997,C4165)*INDEX(ForeCalc!$B$37:$Y$274,MATCH(_xlfn.CONCAT(H4165," ",I4165),ForeCalc!$A$37:$A$274,0),MATCH(_xlfn.CONCAT(B4165," ",E4165),ForeCalc!$B$36:$Y$36,0))))*VLOOKUP(A4165,Calendar!$A$2:$H$9997,8,FALSE),0)</f>
        <v/>
      </c>
      <c r="G4165" s="29">
        <f>VLOOKUP(A4165,Calendar!$A$1:$H$9997,6,FALSE)-F4165</f>
        <v/>
      </c>
      <c r="H4165" s="19" t="n">
        <v>3</v>
      </c>
      <c r="I4165" s="57" t="n">
        <v>5</v>
      </c>
    </row>
    <row r="4166">
      <c r="A4166" s="62" t="n">
        <v>46989</v>
      </c>
      <c r="B4166" s="3" t="inlineStr">
        <is>
          <t>Week</t>
        </is>
      </c>
      <c r="C4166" s="19" t="n">
        <v>8</v>
      </c>
      <c r="D4166" s="19" t="n">
        <v>2028</v>
      </c>
      <c r="E4166" s="57" t="n">
        <v>4</v>
      </c>
      <c r="F4166" s="29">
        <f>ROUND(((SUMIFS(Calendar!$F$2:$F$9997,Calendar!$B$2:$B$9997,D4166,Calendar!$C$2:$C$9997,C4166)*INDEX(ForeCalc!$B$37:$Y$274,MATCH(_xlfn.CONCAT(H4166," ",I4166),ForeCalc!$A$37:$A$274,0),MATCH(_xlfn.CONCAT(B4166," ",E4166),ForeCalc!$B$36:$Y$36,0))))*VLOOKUP(A4166,Calendar!$A$2:$H$9997,8,FALSE),0)</f>
        <v/>
      </c>
      <c r="G4166" s="29">
        <f>VLOOKUP(A4166,Calendar!$A$1:$H$9997,6,FALSE)-F4166</f>
        <v/>
      </c>
      <c r="H4166" s="19" t="n">
        <v>3</v>
      </c>
      <c r="I4166" s="57" t="n">
        <v>5</v>
      </c>
    </row>
    <row r="4167">
      <c r="A4167" s="62" t="n">
        <v>46990</v>
      </c>
      <c r="B4167" s="3" t="inlineStr">
        <is>
          <t>Week</t>
        </is>
      </c>
      <c r="C4167" s="19" t="n">
        <v>8</v>
      </c>
      <c r="D4167" s="19" t="n">
        <v>2028</v>
      </c>
      <c r="E4167" s="57" t="n">
        <v>4</v>
      </c>
      <c r="F4167" s="29">
        <f>ROUND(((SUMIFS(Calendar!$F$2:$F$9997,Calendar!$B$2:$B$9997,D4167,Calendar!$C$2:$C$9997,C4167)*INDEX(ForeCalc!$B$37:$Y$274,MATCH(_xlfn.CONCAT(H4167," ",I4167),ForeCalc!$A$37:$A$274,0),MATCH(_xlfn.CONCAT(B4167," ",E4167),ForeCalc!$B$36:$Y$36,0))))*VLOOKUP(A4167,Calendar!$A$2:$H$9997,8,FALSE),0)</f>
        <v/>
      </c>
      <c r="G4167" s="29">
        <f>VLOOKUP(A4167,Calendar!$A$1:$H$9997,6,FALSE)-F4167</f>
        <v/>
      </c>
      <c r="H4167" s="19" t="n">
        <v>3</v>
      </c>
      <c r="I4167" s="57" t="n">
        <v>5</v>
      </c>
    </row>
    <row r="4168">
      <c r="A4168" s="62" t="n">
        <v>46991</v>
      </c>
      <c r="B4168" s="3" t="inlineStr">
        <is>
          <t>Sat</t>
        </is>
      </c>
      <c r="C4168" s="19" t="n">
        <v>8</v>
      </c>
      <c r="D4168" s="19" t="n">
        <v>2028</v>
      </c>
      <c r="E4168" s="57" t="n">
        <v>4</v>
      </c>
      <c r="F4168" s="29">
        <f>ROUND(((SUMIFS(Calendar!$F$2:$F$9997,Calendar!$B$2:$B$9997,D4168,Calendar!$C$2:$C$9997,C4168)*INDEX(ForeCalc!$B$37:$Y$274,MATCH(_xlfn.CONCAT(H4168," ",I4168),ForeCalc!$A$37:$A$274,0),MATCH(_xlfn.CONCAT(B4168," ",E4168),ForeCalc!$B$36:$Y$36,0))))*VLOOKUP(A4168,Calendar!$A$2:$H$9997,8,FALSE),0)</f>
        <v/>
      </c>
      <c r="G4168" s="29">
        <f>VLOOKUP(A4168,Calendar!$A$1:$H$9997,6,FALSE)-F4168</f>
        <v/>
      </c>
      <c r="H4168" s="19" t="n">
        <v>3</v>
      </c>
      <c r="I4168" s="57" t="n">
        <v>5</v>
      </c>
    </row>
    <row r="4169">
      <c r="A4169" s="62" t="n">
        <v>46992</v>
      </c>
      <c r="B4169" s="3" t="inlineStr">
        <is>
          <t>Sun</t>
        </is>
      </c>
      <c r="C4169" s="19" t="n">
        <v>8</v>
      </c>
      <c r="D4169" s="19" t="n">
        <v>2028</v>
      </c>
      <c r="E4169" s="57" t="n">
        <v>4</v>
      </c>
      <c r="F4169" s="29">
        <f>ROUND(((SUMIFS(Calendar!$F$2:$F$9997,Calendar!$B$2:$B$9997,D4169,Calendar!$C$2:$C$9997,C4169)*INDEX(ForeCalc!$B$37:$Y$274,MATCH(_xlfn.CONCAT(H4169," ",I4169),ForeCalc!$A$37:$A$274,0),MATCH(_xlfn.CONCAT(B4169," ",E4169),ForeCalc!$B$36:$Y$36,0))))*VLOOKUP(A4169,Calendar!$A$2:$H$9997,8,FALSE),0)</f>
        <v/>
      </c>
      <c r="G4169" s="29">
        <f>VLOOKUP(A4169,Calendar!$A$1:$H$9997,6,FALSE)-F4169</f>
        <v/>
      </c>
      <c r="H4169" s="19" t="n">
        <v>3</v>
      </c>
      <c r="I4169" s="57" t="n">
        <v>5</v>
      </c>
    </row>
    <row r="4170">
      <c r="A4170" s="62" t="n">
        <v>46993</v>
      </c>
      <c r="B4170" s="3" t="inlineStr">
        <is>
          <t>Week</t>
        </is>
      </c>
      <c r="C4170" s="19" t="n">
        <v>8</v>
      </c>
      <c r="D4170" s="19" t="n">
        <v>2028</v>
      </c>
      <c r="E4170" s="57" t="n">
        <v>4</v>
      </c>
      <c r="F4170" s="29">
        <f>ROUND(((SUMIFS(Calendar!$F$2:$F$9997,Calendar!$B$2:$B$9997,D4170,Calendar!$C$2:$C$9997,C4170)*INDEX(ForeCalc!$B$37:$Y$274,MATCH(_xlfn.CONCAT(H4170," ",I4170),ForeCalc!$A$37:$A$274,0),MATCH(_xlfn.CONCAT(B4170," ",E4170),ForeCalc!$B$36:$Y$36,0))))*VLOOKUP(A4170,Calendar!$A$2:$H$9997,8,FALSE),0)</f>
        <v/>
      </c>
      <c r="G4170" s="29">
        <f>VLOOKUP(A4170,Calendar!$A$1:$H$9997,6,FALSE)-F4170</f>
        <v/>
      </c>
      <c r="H4170" s="19" t="n">
        <v>3</v>
      </c>
      <c r="I4170" s="57" t="n">
        <v>5</v>
      </c>
    </row>
    <row r="4171">
      <c r="A4171" s="62" t="n">
        <v>46994</v>
      </c>
      <c r="B4171" s="3" t="inlineStr">
        <is>
          <t>Week</t>
        </is>
      </c>
      <c r="C4171" s="19" t="n">
        <v>8</v>
      </c>
      <c r="D4171" s="19" t="n">
        <v>2028</v>
      </c>
      <c r="E4171" s="57" t="n">
        <v>4</v>
      </c>
      <c r="F4171" s="29">
        <f>ROUND(((SUMIFS(Calendar!$F$2:$F$9997,Calendar!$B$2:$B$9997,D4171,Calendar!$C$2:$C$9997,C4171)*INDEX(ForeCalc!$B$37:$Y$274,MATCH(_xlfn.CONCAT(H4171," ",I4171),ForeCalc!$A$37:$A$274,0),MATCH(_xlfn.CONCAT(B4171," ",E4171),ForeCalc!$B$36:$Y$36,0))))*VLOOKUP(A4171,Calendar!$A$2:$H$9997,8,FALSE),0)</f>
        <v/>
      </c>
      <c r="G4171" s="29">
        <f>VLOOKUP(A4171,Calendar!$A$1:$H$9997,6,FALSE)-F4171</f>
        <v/>
      </c>
      <c r="H4171" s="19" t="n">
        <v>3</v>
      </c>
      <c r="I4171" s="57" t="n">
        <v>5</v>
      </c>
    </row>
    <row r="4172">
      <c r="A4172" s="62" t="n">
        <v>46995</v>
      </c>
      <c r="B4172" s="3" t="inlineStr">
        <is>
          <t>Week</t>
        </is>
      </c>
      <c r="C4172" s="19" t="n">
        <v>8</v>
      </c>
      <c r="D4172" s="19" t="n">
        <v>2028</v>
      </c>
      <c r="E4172" s="57" t="n">
        <v>4</v>
      </c>
      <c r="F4172" s="29">
        <f>ROUND(((SUMIFS(Calendar!$F$2:$F$9997,Calendar!$B$2:$B$9997,D4172,Calendar!$C$2:$C$9997,C4172)*INDEX(ForeCalc!$B$37:$Y$274,MATCH(_xlfn.CONCAT(H4172," ",I4172),ForeCalc!$A$37:$A$274,0),MATCH(_xlfn.CONCAT(B4172," ",E4172),ForeCalc!$B$36:$Y$36,0))))*VLOOKUP(A4172,Calendar!$A$2:$H$9997,8,FALSE),0)</f>
        <v/>
      </c>
      <c r="G4172" s="29">
        <f>VLOOKUP(A4172,Calendar!$A$1:$H$9997,6,FALSE)-F4172</f>
        <v/>
      </c>
      <c r="H4172" s="19" t="n">
        <v>3</v>
      </c>
      <c r="I4172" s="57" t="n">
        <v>5</v>
      </c>
    </row>
    <row r="4173">
      <c r="A4173" s="62" t="n">
        <v>46996</v>
      </c>
      <c r="B4173" s="3" t="inlineStr">
        <is>
          <t>Week</t>
        </is>
      </c>
      <c r="C4173" s="19" t="n">
        <v>8</v>
      </c>
      <c r="D4173" s="19" t="n">
        <v>2028</v>
      </c>
      <c r="E4173" s="57" t="n">
        <v>4</v>
      </c>
      <c r="F4173" s="29">
        <f>ROUND(((SUMIFS(Calendar!$F$2:$F$9997,Calendar!$B$2:$B$9997,D4173,Calendar!$C$2:$C$9997,C4173)*INDEX(ForeCalc!$B$37:$Y$274,MATCH(_xlfn.CONCAT(H4173," ",I4173),ForeCalc!$A$37:$A$274,0),MATCH(_xlfn.CONCAT(B4173," ",E4173),ForeCalc!$B$36:$Y$36,0))))*VLOOKUP(A4173,Calendar!$A$2:$H$9997,8,FALSE),0)</f>
        <v/>
      </c>
      <c r="G4173" s="29">
        <f>VLOOKUP(A4173,Calendar!$A$1:$H$9997,6,FALSE)-F4173</f>
        <v/>
      </c>
      <c r="H4173" s="19" t="n">
        <v>3</v>
      </c>
      <c r="I4173" s="57" t="n">
        <v>5</v>
      </c>
    </row>
    <row r="4174">
      <c r="A4174" s="62" t="n">
        <v>46997</v>
      </c>
      <c r="B4174" s="3" t="inlineStr">
        <is>
          <t>Week</t>
        </is>
      </c>
      <c r="C4174" s="19" t="n">
        <v>9</v>
      </c>
      <c r="D4174" s="19" t="n">
        <v>2028</v>
      </c>
      <c r="E4174" s="57" t="n">
        <v>4</v>
      </c>
      <c r="F4174" s="29">
        <f>ROUND(((SUMIFS(Calendar!$F$2:$F$9997,Calendar!$B$2:$B$9997,D4174,Calendar!$C$2:$C$9997,C4174)*INDEX(ForeCalc!$B$37:$Y$274,MATCH(_xlfn.CONCAT(H4174," ",I4174),ForeCalc!$A$37:$A$274,0),MATCH(_xlfn.CONCAT(B4174," ",E4174),ForeCalc!$B$36:$Y$36,0))))*VLOOKUP(A4174,Calendar!$A$2:$H$9997,8,FALSE),0)</f>
        <v/>
      </c>
      <c r="G4174" s="29">
        <f>VLOOKUP(A4174,Calendar!$A$1:$H$9997,6,FALSE)-F4174</f>
        <v/>
      </c>
      <c r="H4174" s="19" t="n">
        <v>3</v>
      </c>
      <c r="I4174" s="57" t="n">
        <v>6</v>
      </c>
    </row>
    <row r="4175">
      <c r="A4175" s="62" t="n">
        <v>46998</v>
      </c>
      <c r="B4175" s="3" t="inlineStr">
        <is>
          <t>Sat</t>
        </is>
      </c>
      <c r="C4175" s="19" t="n">
        <v>9</v>
      </c>
      <c r="D4175" s="19" t="n">
        <v>2028</v>
      </c>
      <c r="E4175" s="57" t="n">
        <v>4</v>
      </c>
      <c r="F4175" s="29">
        <f>ROUND(((SUMIFS(Calendar!$F$2:$F$9997,Calendar!$B$2:$B$9997,D4175,Calendar!$C$2:$C$9997,C4175)*INDEX(ForeCalc!$B$37:$Y$274,MATCH(_xlfn.CONCAT(H4175," ",I4175),ForeCalc!$A$37:$A$274,0),MATCH(_xlfn.CONCAT(B4175," ",E4175),ForeCalc!$B$36:$Y$36,0))))*VLOOKUP(A4175,Calendar!$A$2:$H$9997,8,FALSE),0)</f>
        <v/>
      </c>
      <c r="G4175" s="29">
        <f>VLOOKUP(A4175,Calendar!$A$1:$H$9997,6,FALSE)-F4175</f>
        <v/>
      </c>
      <c r="H4175" s="19" t="n">
        <v>3</v>
      </c>
      <c r="I4175" s="57" t="n">
        <v>6</v>
      </c>
    </row>
    <row r="4176">
      <c r="A4176" s="62" t="n">
        <v>46999</v>
      </c>
      <c r="B4176" s="3" t="inlineStr">
        <is>
          <t>Sun</t>
        </is>
      </c>
      <c r="C4176" s="19" t="n">
        <v>9</v>
      </c>
      <c r="D4176" s="19" t="n">
        <v>2028</v>
      </c>
      <c r="E4176" s="57" t="n">
        <v>4</v>
      </c>
      <c r="F4176" s="29">
        <f>ROUND(((SUMIFS(Calendar!$F$2:$F$9997,Calendar!$B$2:$B$9997,D4176,Calendar!$C$2:$C$9997,C4176)*INDEX(ForeCalc!$B$37:$Y$274,MATCH(_xlfn.CONCAT(H4176," ",I4176),ForeCalc!$A$37:$A$274,0),MATCH(_xlfn.CONCAT(B4176," ",E4176),ForeCalc!$B$36:$Y$36,0))))*VLOOKUP(A4176,Calendar!$A$2:$H$9997,8,FALSE),0)</f>
        <v/>
      </c>
      <c r="G4176" s="29">
        <f>VLOOKUP(A4176,Calendar!$A$1:$H$9997,6,FALSE)-F4176</f>
        <v/>
      </c>
      <c r="H4176" s="19" t="n">
        <v>3</v>
      </c>
      <c r="I4176" s="57" t="n">
        <v>6</v>
      </c>
    </row>
    <row r="4177">
      <c r="A4177" s="62" t="n">
        <v>47000</v>
      </c>
      <c r="B4177" s="3" t="inlineStr">
        <is>
          <t>Week</t>
        </is>
      </c>
      <c r="C4177" s="19" t="n">
        <v>9</v>
      </c>
      <c r="D4177" s="19" t="n">
        <v>2028</v>
      </c>
      <c r="E4177" s="57" t="n">
        <v>4</v>
      </c>
      <c r="F4177" s="29">
        <f>ROUND(((SUMIFS(Calendar!$F$2:$F$9997,Calendar!$B$2:$B$9997,D4177,Calendar!$C$2:$C$9997,C4177)*INDEX(ForeCalc!$B$37:$Y$274,MATCH(_xlfn.CONCAT(H4177," ",I4177),ForeCalc!$A$37:$A$274,0),MATCH(_xlfn.CONCAT(B4177," ",E4177),ForeCalc!$B$36:$Y$36,0))))*VLOOKUP(A4177,Calendar!$A$2:$H$9997,8,FALSE),0)</f>
        <v/>
      </c>
      <c r="G4177" s="29">
        <f>VLOOKUP(A4177,Calendar!$A$1:$H$9997,6,FALSE)-F4177</f>
        <v/>
      </c>
      <c r="H4177" s="19" t="n">
        <v>3</v>
      </c>
      <c r="I4177" s="57" t="n">
        <v>6</v>
      </c>
    </row>
    <row r="4178">
      <c r="A4178" s="62" t="n">
        <v>47001</v>
      </c>
      <c r="B4178" s="3" t="inlineStr">
        <is>
          <t>Week</t>
        </is>
      </c>
      <c r="C4178" s="19" t="n">
        <v>9</v>
      </c>
      <c r="D4178" s="19" t="n">
        <v>2028</v>
      </c>
      <c r="E4178" s="57" t="n">
        <v>4</v>
      </c>
      <c r="F4178" s="29">
        <f>ROUND(((SUMIFS(Calendar!$F$2:$F$9997,Calendar!$B$2:$B$9997,D4178,Calendar!$C$2:$C$9997,C4178)*INDEX(ForeCalc!$B$37:$Y$274,MATCH(_xlfn.CONCAT(H4178," ",I4178),ForeCalc!$A$37:$A$274,0),MATCH(_xlfn.CONCAT(B4178," ",E4178),ForeCalc!$B$36:$Y$36,0))))*VLOOKUP(A4178,Calendar!$A$2:$H$9997,8,FALSE),0)</f>
        <v/>
      </c>
      <c r="G4178" s="29">
        <f>VLOOKUP(A4178,Calendar!$A$1:$H$9997,6,FALSE)-F4178</f>
        <v/>
      </c>
      <c r="H4178" s="19" t="n">
        <v>3</v>
      </c>
      <c r="I4178" s="57" t="n">
        <v>6</v>
      </c>
    </row>
    <row r="4179">
      <c r="A4179" s="62" t="n">
        <v>47002</v>
      </c>
      <c r="B4179" s="3" t="inlineStr">
        <is>
          <t>Week</t>
        </is>
      </c>
      <c r="C4179" s="19" t="n">
        <v>9</v>
      </c>
      <c r="D4179" s="19" t="n">
        <v>2028</v>
      </c>
      <c r="E4179" s="57" t="n">
        <v>4</v>
      </c>
      <c r="F4179" s="29">
        <f>ROUND(((SUMIFS(Calendar!$F$2:$F$9997,Calendar!$B$2:$B$9997,D4179,Calendar!$C$2:$C$9997,C4179)*INDEX(ForeCalc!$B$37:$Y$274,MATCH(_xlfn.CONCAT(H4179," ",I4179),ForeCalc!$A$37:$A$274,0),MATCH(_xlfn.CONCAT(B4179," ",E4179),ForeCalc!$B$36:$Y$36,0))))*VLOOKUP(A4179,Calendar!$A$2:$H$9997,8,FALSE),0)</f>
        <v/>
      </c>
      <c r="G4179" s="29">
        <f>VLOOKUP(A4179,Calendar!$A$1:$H$9997,6,FALSE)-F4179</f>
        <v/>
      </c>
      <c r="H4179" s="19" t="n">
        <v>3</v>
      </c>
      <c r="I4179" s="57" t="n">
        <v>6</v>
      </c>
    </row>
    <row r="4180">
      <c r="A4180" s="62" t="n">
        <v>47003</v>
      </c>
      <c r="B4180" s="3" t="inlineStr">
        <is>
          <t>Week</t>
        </is>
      </c>
      <c r="C4180" s="19" t="n">
        <v>9</v>
      </c>
      <c r="D4180" s="19" t="n">
        <v>2028</v>
      </c>
      <c r="E4180" s="57" t="n">
        <v>4</v>
      </c>
      <c r="F4180" s="29">
        <f>ROUND(((SUMIFS(Calendar!$F$2:$F$9997,Calendar!$B$2:$B$9997,D4180,Calendar!$C$2:$C$9997,C4180)*INDEX(ForeCalc!$B$37:$Y$274,MATCH(_xlfn.CONCAT(H4180," ",I4180),ForeCalc!$A$37:$A$274,0),MATCH(_xlfn.CONCAT(B4180," ",E4180),ForeCalc!$B$36:$Y$36,0))))*VLOOKUP(A4180,Calendar!$A$2:$H$9997,8,FALSE),0)</f>
        <v/>
      </c>
      <c r="G4180" s="29">
        <f>VLOOKUP(A4180,Calendar!$A$1:$H$9997,6,FALSE)-F4180</f>
        <v/>
      </c>
      <c r="H4180" s="19" t="n">
        <v>3</v>
      </c>
      <c r="I4180" s="57" t="n">
        <v>6</v>
      </c>
    </row>
    <row r="4181">
      <c r="A4181" s="62" t="n">
        <v>47004</v>
      </c>
      <c r="B4181" s="3" t="inlineStr">
        <is>
          <t>Week</t>
        </is>
      </c>
      <c r="C4181" s="19" t="n">
        <v>9</v>
      </c>
      <c r="D4181" s="19" t="n">
        <v>2028</v>
      </c>
      <c r="E4181" s="57" t="n">
        <v>4</v>
      </c>
      <c r="F4181" s="29">
        <f>ROUND(((SUMIFS(Calendar!$F$2:$F$9997,Calendar!$B$2:$B$9997,D4181,Calendar!$C$2:$C$9997,C4181)*INDEX(ForeCalc!$B$37:$Y$274,MATCH(_xlfn.CONCAT(H4181," ",I4181),ForeCalc!$A$37:$A$274,0),MATCH(_xlfn.CONCAT(B4181," ",E4181),ForeCalc!$B$36:$Y$36,0))))*VLOOKUP(A4181,Calendar!$A$2:$H$9997,8,FALSE),0)</f>
        <v/>
      </c>
      <c r="G4181" s="29">
        <f>VLOOKUP(A4181,Calendar!$A$1:$H$9997,6,FALSE)-F4181</f>
        <v/>
      </c>
      <c r="H4181" s="19" t="n">
        <v>3</v>
      </c>
      <c r="I4181" s="57" t="n">
        <v>6</v>
      </c>
    </row>
    <row r="4182">
      <c r="A4182" s="62" t="n">
        <v>47005</v>
      </c>
      <c r="B4182" s="3" t="inlineStr">
        <is>
          <t>Sat</t>
        </is>
      </c>
      <c r="C4182" s="19" t="n">
        <v>9</v>
      </c>
      <c r="D4182" s="19" t="n">
        <v>2028</v>
      </c>
      <c r="E4182" s="57" t="n">
        <v>4</v>
      </c>
      <c r="F4182" s="29">
        <f>ROUND(((SUMIFS(Calendar!$F$2:$F$9997,Calendar!$B$2:$B$9997,D4182,Calendar!$C$2:$C$9997,C4182)*INDEX(ForeCalc!$B$37:$Y$274,MATCH(_xlfn.CONCAT(H4182," ",I4182),ForeCalc!$A$37:$A$274,0),MATCH(_xlfn.CONCAT(B4182," ",E4182),ForeCalc!$B$36:$Y$36,0))))*VLOOKUP(A4182,Calendar!$A$2:$H$9997,8,FALSE),0)</f>
        <v/>
      </c>
      <c r="G4182" s="29">
        <f>VLOOKUP(A4182,Calendar!$A$1:$H$9997,6,FALSE)-F4182</f>
        <v/>
      </c>
      <c r="H4182" s="19" t="n">
        <v>3</v>
      </c>
      <c r="I4182" s="57" t="n">
        <v>6</v>
      </c>
    </row>
    <row r="4183">
      <c r="A4183" s="62" t="n">
        <v>47006</v>
      </c>
      <c r="B4183" s="3" t="inlineStr">
        <is>
          <t>Sun</t>
        </is>
      </c>
      <c r="C4183" s="19" t="n">
        <v>9</v>
      </c>
      <c r="D4183" s="19" t="n">
        <v>2028</v>
      </c>
      <c r="E4183" s="57" t="n">
        <v>4</v>
      </c>
      <c r="F4183" s="29">
        <f>ROUND(((SUMIFS(Calendar!$F$2:$F$9997,Calendar!$B$2:$B$9997,D4183,Calendar!$C$2:$C$9997,C4183)*INDEX(ForeCalc!$B$37:$Y$274,MATCH(_xlfn.CONCAT(H4183," ",I4183),ForeCalc!$A$37:$A$274,0),MATCH(_xlfn.CONCAT(B4183," ",E4183),ForeCalc!$B$36:$Y$36,0))))*VLOOKUP(A4183,Calendar!$A$2:$H$9997,8,FALSE),0)</f>
        <v/>
      </c>
      <c r="G4183" s="29">
        <f>VLOOKUP(A4183,Calendar!$A$1:$H$9997,6,FALSE)-F4183</f>
        <v/>
      </c>
      <c r="H4183" s="19" t="n">
        <v>3</v>
      </c>
      <c r="I4183" s="57" t="n">
        <v>6</v>
      </c>
    </row>
    <row r="4184">
      <c r="A4184" s="62" t="n">
        <v>47007</v>
      </c>
      <c r="B4184" s="3" t="inlineStr">
        <is>
          <t>Week</t>
        </is>
      </c>
      <c r="C4184" s="19" t="n">
        <v>9</v>
      </c>
      <c r="D4184" s="19" t="n">
        <v>2028</v>
      </c>
      <c r="E4184" s="57" t="n">
        <v>4</v>
      </c>
      <c r="F4184" s="29">
        <f>ROUND(((SUMIFS(Calendar!$F$2:$F$9997,Calendar!$B$2:$B$9997,D4184,Calendar!$C$2:$C$9997,C4184)*INDEX(ForeCalc!$B$37:$Y$274,MATCH(_xlfn.CONCAT(H4184," ",I4184),ForeCalc!$A$37:$A$274,0),MATCH(_xlfn.CONCAT(B4184," ",E4184),ForeCalc!$B$36:$Y$36,0))))*VLOOKUP(A4184,Calendar!$A$2:$H$9997,8,FALSE),0)</f>
        <v/>
      </c>
      <c r="G4184" s="29">
        <f>VLOOKUP(A4184,Calendar!$A$1:$H$9997,6,FALSE)-F4184</f>
        <v/>
      </c>
      <c r="H4184" s="19" t="n">
        <v>3</v>
      </c>
      <c r="I4184" s="57" t="n">
        <v>6</v>
      </c>
    </row>
    <row r="4185">
      <c r="A4185" s="62" t="n">
        <v>47008</v>
      </c>
      <c r="B4185" s="3" t="inlineStr">
        <is>
          <t>Week</t>
        </is>
      </c>
      <c r="C4185" s="19" t="n">
        <v>9</v>
      </c>
      <c r="D4185" s="19" t="n">
        <v>2028</v>
      </c>
      <c r="E4185" s="57" t="n">
        <v>4</v>
      </c>
      <c r="F4185" s="29">
        <f>ROUND(((SUMIFS(Calendar!$F$2:$F$9997,Calendar!$B$2:$B$9997,D4185,Calendar!$C$2:$C$9997,C4185)*INDEX(ForeCalc!$B$37:$Y$274,MATCH(_xlfn.CONCAT(H4185," ",I4185),ForeCalc!$A$37:$A$274,0),MATCH(_xlfn.CONCAT(B4185," ",E4185),ForeCalc!$B$36:$Y$36,0))))*VLOOKUP(A4185,Calendar!$A$2:$H$9997,8,FALSE),0)</f>
        <v/>
      </c>
      <c r="G4185" s="29">
        <f>VLOOKUP(A4185,Calendar!$A$1:$H$9997,6,FALSE)-F4185</f>
        <v/>
      </c>
      <c r="H4185" s="19" t="n">
        <v>3</v>
      </c>
      <c r="I4185" s="57" t="n">
        <v>6</v>
      </c>
    </row>
    <row r="4186">
      <c r="A4186" s="62" t="n">
        <v>47009</v>
      </c>
      <c r="B4186" s="3" t="inlineStr">
        <is>
          <t>Week</t>
        </is>
      </c>
      <c r="C4186" s="19" t="n">
        <v>9</v>
      </c>
      <c r="D4186" s="19" t="n">
        <v>2028</v>
      </c>
      <c r="E4186" s="57" t="n">
        <v>4</v>
      </c>
      <c r="F4186" s="29">
        <f>ROUND(((SUMIFS(Calendar!$F$2:$F$9997,Calendar!$B$2:$B$9997,D4186,Calendar!$C$2:$C$9997,C4186)*INDEX(ForeCalc!$B$37:$Y$274,MATCH(_xlfn.CONCAT(H4186," ",I4186),ForeCalc!$A$37:$A$274,0),MATCH(_xlfn.CONCAT(B4186," ",E4186),ForeCalc!$B$36:$Y$36,0))))*VLOOKUP(A4186,Calendar!$A$2:$H$9997,8,FALSE),0)</f>
        <v/>
      </c>
      <c r="G4186" s="29">
        <f>VLOOKUP(A4186,Calendar!$A$1:$H$9997,6,FALSE)-F4186</f>
        <v/>
      </c>
      <c r="H4186" s="19" t="n">
        <v>3</v>
      </c>
      <c r="I4186" s="57" t="n">
        <v>6</v>
      </c>
    </row>
    <row r="4187">
      <c r="A4187" s="62" t="n">
        <v>47010</v>
      </c>
      <c r="B4187" s="3" t="inlineStr">
        <is>
          <t>Week</t>
        </is>
      </c>
      <c r="C4187" s="19" t="n">
        <v>9</v>
      </c>
      <c r="D4187" s="19" t="n">
        <v>2028</v>
      </c>
      <c r="E4187" s="57" t="n">
        <v>4</v>
      </c>
      <c r="F4187" s="29">
        <f>ROUND(((SUMIFS(Calendar!$F$2:$F$9997,Calendar!$B$2:$B$9997,D4187,Calendar!$C$2:$C$9997,C4187)*INDEX(ForeCalc!$B$37:$Y$274,MATCH(_xlfn.CONCAT(H4187," ",I4187),ForeCalc!$A$37:$A$274,0),MATCH(_xlfn.CONCAT(B4187," ",E4187),ForeCalc!$B$36:$Y$36,0))))*VLOOKUP(A4187,Calendar!$A$2:$H$9997,8,FALSE),0)</f>
        <v/>
      </c>
      <c r="G4187" s="29">
        <f>VLOOKUP(A4187,Calendar!$A$1:$H$9997,6,FALSE)-F4187</f>
        <v/>
      </c>
      <c r="H4187" s="19" t="n">
        <v>3</v>
      </c>
      <c r="I4187" s="57" t="n">
        <v>6</v>
      </c>
    </row>
    <row r="4188">
      <c r="A4188" s="62" t="n">
        <v>47011</v>
      </c>
      <c r="B4188" s="3" t="inlineStr">
        <is>
          <t>Week</t>
        </is>
      </c>
      <c r="C4188" s="19" t="n">
        <v>9</v>
      </c>
      <c r="D4188" s="19" t="n">
        <v>2028</v>
      </c>
      <c r="E4188" s="57" t="n">
        <v>4</v>
      </c>
      <c r="F4188" s="29">
        <f>ROUND(((SUMIFS(Calendar!$F$2:$F$9997,Calendar!$B$2:$B$9997,D4188,Calendar!$C$2:$C$9997,C4188)*INDEX(ForeCalc!$B$37:$Y$274,MATCH(_xlfn.CONCAT(H4188," ",I4188),ForeCalc!$A$37:$A$274,0),MATCH(_xlfn.CONCAT(B4188," ",E4188),ForeCalc!$B$36:$Y$36,0))))*VLOOKUP(A4188,Calendar!$A$2:$H$9997,8,FALSE),0)</f>
        <v/>
      </c>
      <c r="G4188" s="29">
        <f>VLOOKUP(A4188,Calendar!$A$1:$H$9997,6,FALSE)-F4188</f>
        <v/>
      </c>
      <c r="H4188" s="19" t="n">
        <v>3</v>
      </c>
      <c r="I4188" s="57" t="n">
        <v>6</v>
      </c>
    </row>
    <row r="4189">
      <c r="A4189" s="62" t="n">
        <v>47012</v>
      </c>
      <c r="B4189" s="3" t="inlineStr">
        <is>
          <t>Sat</t>
        </is>
      </c>
      <c r="C4189" s="19" t="n">
        <v>9</v>
      </c>
      <c r="D4189" s="19" t="n">
        <v>2028</v>
      </c>
      <c r="E4189" s="57" t="n">
        <v>4</v>
      </c>
      <c r="F4189" s="29">
        <f>ROUND(((SUMIFS(Calendar!$F$2:$F$9997,Calendar!$B$2:$B$9997,D4189,Calendar!$C$2:$C$9997,C4189)*INDEX(ForeCalc!$B$37:$Y$274,MATCH(_xlfn.CONCAT(H4189," ",I4189),ForeCalc!$A$37:$A$274,0),MATCH(_xlfn.CONCAT(B4189," ",E4189),ForeCalc!$B$36:$Y$36,0))))*VLOOKUP(A4189,Calendar!$A$2:$H$9997,8,FALSE),0)</f>
        <v/>
      </c>
      <c r="G4189" s="29">
        <f>VLOOKUP(A4189,Calendar!$A$1:$H$9997,6,FALSE)-F4189</f>
        <v/>
      </c>
      <c r="H4189" s="19" t="n">
        <v>3</v>
      </c>
      <c r="I4189" s="57" t="n">
        <v>6</v>
      </c>
    </row>
    <row r="4190">
      <c r="A4190" s="62" t="n">
        <v>47013</v>
      </c>
      <c r="B4190" s="3" t="inlineStr">
        <is>
          <t>Sun</t>
        </is>
      </c>
      <c r="C4190" s="19" t="n">
        <v>9</v>
      </c>
      <c r="D4190" s="19" t="n">
        <v>2028</v>
      </c>
      <c r="E4190" s="57" t="n">
        <v>4</v>
      </c>
      <c r="F4190" s="29">
        <f>ROUND(((SUMIFS(Calendar!$F$2:$F$9997,Calendar!$B$2:$B$9997,D4190,Calendar!$C$2:$C$9997,C4190)*INDEX(ForeCalc!$B$37:$Y$274,MATCH(_xlfn.CONCAT(H4190," ",I4190),ForeCalc!$A$37:$A$274,0),MATCH(_xlfn.CONCAT(B4190," ",E4190),ForeCalc!$B$36:$Y$36,0))))*VLOOKUP(A4190,Calendar!$A$2:$H$9997,8,FALSE),0)</f>
        <v/>
      </c>
      <c r="G4190" s="29">
        <f>VLOOKUP(A4190,Calendar!$A$1:$H$9997,6,FALSE)-F4190</f>
        <v/>
      </c>
      <c r="H4190" s="19" t="n">
        <v>3</v>
      </c>
      <c r="I4190" s="57" t="n">
        <v>6</v>
      </c>
    </row>
    <row r="4191">
      <c r="A4191" s="62" t="n">
        <v>47014</v>
      </c>
      <c r="B4191" s="3" t="inlineStr">
        <is>
          <t>Week</t>
        </is>
      </c>
      <c r="C4191" s="19" t="n">
        <v>9</v>
      </c>
      <c r="D4191" s="19" t="n">
        <v>2028</v>
      </c>
      <c r="E4191" s="57" t="n">
        <v>4</v>
      </c>
      <c r="F4191" s="29">
        <f>ROUND(((SUMIFS(Calendar!$F$2:$F$9997,Calendar!$B$2:$B$9997,D4191,Calendar!$C$2:$C$9997,C4191)*INDEX(ForeCalc!$B$37:$Y$274,MATCH(_xlfn.CONCAT(H4191," ",I4191),ForeCalc!$A$37:$A$274,0),MATCH(_xlfn.CONCAT(B4191," ",E4191),ForeCalc!$B$36:$Y$36,0))))*VLOOKUP(A4191,Calendar!$A$2:$H$9997,8,FALSE),0)</f>
        <v/>
      </c>
      <c r="G4191" s="29">
        <f>VLOOKUP(A4191,Calendar!$A$1:$H$9997,6,FALSE)-F4191</f>
        <v/>
      </c>
      <c r="H4191" s="19" t="n">
        <v>3</v>
      </c>
      <c r="I4191" s="57" t="n">
        <v>6</v>
      </c>
    </row>
    <row r="4192">
      <c r="A4192" s="62" t="n">
        <v>47015</v>
      </c>
      <c r="B4192" s="3" t="inlineStr">
        <is>
          <t>Week</t>
        </is>
      </c>
      <c r="C4192" s="19" t="n">
        <v>9</v>
      </c>
      <c r="D4192" s="19" t="n">
        <v>2028</v>
      </c>
      <c r="E4192" s="57" t="n">
        <v>4</v>
      </c>
      <c r="F4192" s="29">
        <f>ROUND(((SUMIFS(Calendar!$F$2:$F$9997,Calendar!$B$2:$B$9997,D4192,Calendar!$C$2:$C$9997,C4192)*INDEX(ForeCalc!$B$37:$Y$274,MATCH(_xlfn.CONCAT(H4192," ",I4192),ForeCalc!$A$37:$A$274,0),MATCH(_xlfn.CONCAT(B4192," ",E4192),ForeCalc!$B$36:$Y$36,0))))*VLOOKUP(A4192,Calendar!$A$2:$H$9997,8,FALSE),0)</f>
        <v/>
      </c>
      <c r="G4192" s="29">
        <f>VLOOKUP(A4192,Calendar!$A$1:$H$9997,6,FALSE)-F4192</f>
        <v/>
      </c>
      <c r="H4192" s="19" t="n">
        <v>3</v>
      </c>
      <c r="I4192" s="57" t="n">
        <v>6</v>
      </c>
    </row>
    <row r="4193">
      <c r="A4193" s="62" t="n">
        <v>47016</v>
      </c>
      <c r="B4193" s="3" t="inlineStr">
        <is>
          <t>Week</t>
        </is>
      </c>
      <c r="C4193" s="19" t="n">
        <v>9</v>
      </c>
      <c r="D4193" s="19" t="n">
        <v>2028</v>
      </c>
      <c r="E4193" s="57" t="n">
        <v>4</v>
      </c>
      <c r="F4193" s="29">
        <f>ROUND(((SUMIFS(Calendar!$F$2:$F$9997,Calendar!$B$2:$B$9997,D4193,Calendar!$C$2:$C$9997,C4193)*INDEX(ForeCalc!$B$37:$Y$274,MATCH(_xlfn.CONCAT(H4193," ",I4193),ForeCalc!$A$37:$A$274,0),MATCH(_xlfn.CONCAT(B4193," ",E4193),ForeCalc!$B$36:$Y$36,0))))*VLOOKUP(A4193,Calendar!$A$2:$H$9997,8,FALSE),0)</f>
        <v/>
      </c>
      <c r="G4193" s="29">
        <f>VLOOKUP(A4193,Calendar!$A$1:$H$9997,6,FALSE)-F4193</f>
        <v/>
      </c>
      <c r="H4193" s="19" t="n">
        <v>3</v>
      </c>
      <c r="I4193" s="57" t="n">
        <v>6</v>
      </c>
    </row>
    <row r="4194">
      <c r="A4194" s="62" t="n">
        <v>47017</v>
      </c>
      <c r="B4194" s="3" t="inlineStr">
        <is>
          <t>Week</t>
        </is>
      </c>
      <c r="C4194" s="19" t="n">
        <v>9</v>
      </c>
      <c r="D4194" s="19" t="n">
        <v>2028</v>
      </c>
      <c r="E4194" s="57" t="n">
        <v>4</v>
      </c>
      <c r="F4194" s="29">
        <f>ROUND(((SUMIFS(Calendar!$F$2:$F$9997,Calendar!$B$2:$B$9997,D4194,Calendar!$C$2:$C$9997,C4194)*INDEX(ForeCalc!$B$37:$Y$274,MATCH(_xlfn.CONCAT(H4194," ",I4194),ForeCalc!$A$37:$A$274,0),MATCH(_xlfn.CONCAT(B4194," ",E4194),ForeCalc!$B$36:$Y$36,0))))*VLOOKUP(A4194,Calendar!$A$2:$H$9997,8,FALSE),0)</f>
        <v/>
      </c>
      <c r="G4194" s="29">
        <f>VLOOKUP(A4194,Calendar!$A$1:$H$9997,6,FALSE)-F4194</f>
        <v/>
      </c>
      <c r="H4194" s="19" t="n">
        <v>3</v>
      </c>
      <c r="I4194" s="57" t="n">
        <v>6</v>
      </c>
    </row>
    <row r="4195">
      <c r="A4195" s="62" t="n">
        <v>47018</v>
      </c>
      <c r="B4195" s="3" t="inlineStr">
        <is>
          <t>Week</t>
        </is>
      </c>
      <c r="C4195" s="19" t="n">
        <v>9</v>
      </c>
      <c r="D4195" s="19" t="n">
        <v>2028</v>
      </c>
      <c r="E4195" s="57" t="n">
        <v>4</v>
      </c>
      <c r="F4195" s="29">
        <f>ROUND(((SUMIFS(Calendar!$F$2:$F$9997,Calendar!$B$2:$B$9997,D4195,Calendar!$C$2:$C$9997,C4195)*INDEX(ForeCalc!$B$37:$Y$274,MATCH(_xlfn.CONCAT(H4195," ",I4195),ForeCalc!$A$37:$A$274,0),MATCH(_xlfn.CONCAT(B4195," ",E4195),ForeCalc!$B$36:$Y$36,0))))*VLOOKUP(A4195,Calendar!$A$2:$H$9997,8,FALSE),0)</f>
        <v/>
      </c>
      <c r="G4195" s="29">
        <f>VLOOKUP(A4195,Calendar!$A$1:$H$9997,6,FALSE)-F4195</f>
        <v/>
      </c>
      <c r="H4195" s="19" t="n">
        <v>3</v>
      </c>
      <c r="I4195" s="57" t="n">
        <v>6</v>
      </c>
    </row>
    <row r="4196">
      <c r="A4196" s="62" t="n">
        <v>47019</v>
      </c>
      <c r="B4196" s="3" t="inlineStr">
        <is>
          <t>Sat</t>
        </is>
      </c>
      <c r="C4196" s="19" t="n">
        <v>9</v>
      </c>
      <c r="D4196" s="19" t="n">
        <v>2028</v>
      </c>
      <c r="E4196" s="57" t="n">
        <v>4</v>
      </c>
      <c r="F4196" s="29">
        <f>ROUND(((SUMIFS(Calendar!$F$2:$F$9997,Calendar!$B$2:$B$9997,D4196,Calendar!$C$2:$C$9997,C4196)*INDEX(ForeCalc!$B$37:$Y$274,MATCH(_xlfn.CONCAT(H4196," ",I4196),ForeCalc!$A$37:$A$274,0),MATCH(_xlfn.CONCAT(B4196," ",E4196),ForeCalc!$B$36:$Y$36,0))))*VLOOKUP(A4196,Calendar!$A$2:$H$9997,8,FALSE),0)</f>
        <v/>
      </c>
      <c r="G4196" s="29">
        <f>VLOOKUP(A4196,Calendar!$A$1:$H$9997,6,FALSE)-F4196</f>
        <v/>
      </c>
      <c r="H4196" s="19" t="n">
        <v>3</v>
      </c>
      <c r="I4196" s="57" t="n">
        <v>6</v>
      </c>
    </row>
    <row r="4197">
      <c r="A4197" s="62" t="n">
        <v>47020</v>
      </c>
      <c r="B4197" s="3" t="inlineStr">
        <is>
          <t>Sun</t>
        </is>
      </c>
      <c r="C4197" s="19" t="n">
        <v>9</v>
      </c>
      <c r="D4197" s="19" t="n">
        <v>2028</v>
      </c>
      <c r="E4197" s="57" t="n">
        <v>4</v>
      </c>
      <c r="F4197" s="29">
        <f>ROUND(((SUMIFS(Calendar!$F$2:$F$9997,Calendar!$B$2:$B$9997,D4197,Calendar!$C$2:$C$9997,C4197)*INDEX(ForeCalc!$B$37:$Y$274,MATCH(_xlfn.CONCAT(H4197," ",I4197),ForeCalc!$A$37:$A$274,0),MATCH(_xlfn.CONCAT(B4197," ",E4197),ForeCalc!$B$36:$Y$36,0))))*VLOOKUP(A4197,Calendar!$A$2:$H$9997,8,FALSE),0)</f>
        <v/>
      </c>
      <c r="G4197" s="29">
        <f>VLOOKUP(A4197,Calendar!$A$1:$H$9997,6,FALSE)-F4197</f>
        <v/>
      </c>
      <c r="H4197" s="19" t="n">
        <v>3</v>
      </c>
      <c r="I4197" s="57" t="n">
        <v>6</v>
      </c>
    </row>
    <row r="4198">
      <c r="A4198" s="62" t="n">
        <v>47021</v>
      </c>
      <c r="B4198" s="3" t="inlineStr">
        <is>
          <t>Week</t>
        </is>
      </c>
      <c r="C4198" s="19" t="n">
        <v>9</v>
      </c>
      <c r="D4198" s="19" t="n">
        <v>2028</v>
      </c>
      <c r="E4198" s="57" t="n">
        <v>4</v>
      </c>
      <c r="F4198" s="29">
        <f>ROUND(((SUMIFS(Calendar!$F$2:$F$9997,Calendar!$B$2:$B$9997,D4198,Calendar!$C$2:$C$9997,C4198)*INDEX(ForeCalc!$B$37:$Y$274,MATCH(_xlfn.CONCAT(H4198," ",I4198),ForeCalc!$A$37:$A$274,0),MATCH(_xlfn.CONCAT(B4198," ",E4198),ForeCalc!$B$36:$Y$36,0))))*VLOOKUP(A4198,Calendar!$A$2:$H$9997,8,FALSE),0)</f>
        <v/>
      </c>
      <c r="G4198" s="29">
        <f>VLOOKUP(A4198,Calendar!$A$1:$H$9997,6,FALSE)-F4198</f>
        <v/>
      </c>
      <c r="H4198" s="19" t="n">
        <v>3</v>
      </c>
      <c r="I4198" s="57" t="n">
        <v>6</v>
      </c>
    </row>
    <row r="4199">
      <c r="A4199" s="62" t="n">
        <v>47022</v>
      </c>
      <c r="B4199" s="3" t="inlineStr">
        <is>
          <t>Week</t>
        </is>
      </c>
      <c r="C4199" s="19" t="n">
        <v>9</v>
      </c>
      <c r="D4199" s="19" t="n">
        <v>2028</v>
      </c>
      <c r="E4199" s="57" t="n">
        <v>4</v>
      </c>
      <c r="F4199" s="29">
        <f>ROUND(((SUMIFS(Calendar!$F$2:$F$9997,Calendar!$B$2:$B$9997,D4199,Calendar!$C$2:$C$9997,C4199)*INDEX(ForeCalc!$B$37:$Y$274,MATCH(_xlfn.CONCAT(H4199," ",I4199),ForeCalc!$A$37:$A$274,0),MATCH(_xlfn.CONCAT(B4199," ",E4199),ForeCalc!$B$36:$Y$36,0))))*VLOOKUP(A4199,Calendar!$A$2:$H$9997,8,FALSE),0)</f>
        <v/>
      </c>
      <c r="G4199" s="29">
        <f>VLOOKUP(A4199,Calendar!$A$1:$H$9997,6,FALSE)-F4199</f>
        <v/>
      </c>
      <c r="H4199" s="19" t="n">
        <v>3</v>
      </c>
      <c r="I4199" s="57" t="n">
        <v>6</v>
      </c>
    </row>
    <row r="4200">
      <c r="A4200" s="62" t="n">
        <v>47023</v>
      </c>
      <c r="B4200" s="3" t="inlineStr">
        <is>
          <t>Week</t>
        </is>
      </c>
      <c r="C4200" s="19" t="n">
        <v>9</v>
      </c>
      <c r="D4200" s="19" t="n">
        <v>2028</v>
      </c>
      <c r="E4200" s="57" t="n">
        <v>4</v>
      </c>
      <c r="F4200" s="29">
        <f>ROUND(((SUMIFS(Calendar!$F$2:$F$9997,Calendar!$B$2:$B$9997,D4200,Calendar!$C$2:$C$9997,C4200)*INDEX(ForeCalc!$B$37:$Y$274,MATCH(_xlfn.CONCAT(H4200," ",I4200),ForeCalc!$A$37:$A$274,0),MATCH(_xlfn.CONCAT(B4200," ",E4200),ForeCalc!$B$36:$Y$36,0))))*VLOOKUP(A4200,Calendar!$A$2:$H$9997,8,FALSE),0)</f>
        <v/>
      </c>
      <c r="G4200" s="29">
        <f>VLOOKUP(A4200,Calendar!$A$1:$H$9997,6,FALSE)-F4200</f>
        <v/>
      </c>
      <c r="H4200" s="19" t="n">
        <v>3</v>
      </c>
      <c r="I4200" s="57" t="n">
        <v>6</v>
      </c>
    </row>
    <row r="4201">
      <c r="A4201" s="62" t="n">
        <v>47024</v>
      </c>
      <c r="B4201" s="3" t="inlineStr">
        <is>
          <t>Week</t>
        </is>
      </c>
      <c r="C4201" s="19" t="n">
        <v>9</v>
      </c>
      <c r="D4201" s="19" t="n">
        <v>2028</v>
      </c>
      <c r="E4201" s="57" t="n">
        <v>4</v>
      </c>
      <c r="F4201" s="29">
        <f>ROUND(((SUMIFS(Calendar!$F$2:$F$9997,Calendar!$B$2:$B$9997,D4201,Calendar!$C$2:$C$9997,C4201)*INDEX(ForeCalc!$B$37:$Y$274,MATCH(_xlfn.CONCAT(H4201," ",I4201),ForeCalc!$A$37:$A$274,0),MATCH(_xlfn.CONCAT(B4201," ",E4201),ForeCalc!$B$36:$Y$36,0))))*VLOOKUP(A4201,Calendar!$A$2:$H$9997,8,FALSE),0)</f>
        <v/>
      </c>
      <c r="G4201" s="29">
        <f>VLOOKUP(A4201,Calendar!$A$1:$H$9997,6,FALSE)-F4201</f>
        <v/>
      </c>
      <c r="H4201" s="19" t="n">
        <v>3</v>
      </c>
      <c r="I4201" s="57" t="n">
        <v>6</v>
      </c>
    </row>
    <row r="4202">
      <c r="A4202" s="62" t="n">
        <v>47025</v>
      </c>
      <c r="B4202" s="3" t="inlineStr">
        <is>
          <t>Week</t>
        </is>
      </c>
      <c r="C4202" s="19" t="n">
        <v>9</v>
      </c>
      <c r="D4202" s="19" t="n">
        <v>2028</v>
      </c>
      <c r="E4202" s="57" t="n">
        <v>4</v>
      </c>
      <c r="F4202" s="29">
        <f>ROUND(((SUMIFS(Calendar!$F$2:$F$9997,Calendar!$B$2:$B$9997,D4202,Calendar!$C$2:$C$9997,C4202)*INDEX(ForeCalc!$B$37:$Y$274,MATCH(_xlfn.CONCAT(H4202," ",I4202),ForeCalc!$A$37:$A$274,0),MATCH(_xlfn.CONCAT(B4202," ",E4202),ForeCalc!$B$36:$Y$36,0))))*VLOOKUP(A4202,Calendar!$A$2:$H$9997,8,FALSE),0)</f>
        <v/>
      </c>
      <c r="G4202" s="29">
        <f>VLOOKUP(A4202,Calendar!$A$1:$H$9997,6,FALSE)-F4202</f>
        <v/>
      </c>
      <c r="H4202" s="19" t="n">
        <v>3</v>
      </c>
      <c r="I4202" s="57" t="n">
        <v>6</v>
      </c>
    </row>
    <row r="4203">
      <c r="A4203" s="62" t="n">
        <v>47026</v>
      </c>
      <c r="B4203" s="3" t="inlineStr">
        <is>
          <t>Sat</t>
        </is>
      </c>
      <c r="C4203" s="19" t="n">
        <v>9</v>
      </c>
      <c r="D4203" s="19" t="n">
        <v>2028</v>
      </c>
      <c r="E4203" s="57" t="n">
        <v>4</v>
      </c>
      <c r="F4203" s="29">
        <f>ROUND(((SUMIFS(Calendar!$F$2:$F$9997,Calendar!$B$2:$B$9997,D4203,Calendar!$C$2:$C$9997,C4203)*INDEX(ForeCalc!$B$37:$Y$274,MATCH(_xlfn.CONCAT(H4203," ",I4203),ForeCalc!$A$37:$A$274,0),MATCH(_xlfn.CONCAT(B4203," ",E4203),ForeCalc!$B$36:$Y$36,0))))*VLOOKUP(A4203,Calendar!$A$2:$H$9997,8,FALSE),0)</f>
        <v/>
      </c>
      <c r="G4203" s="29">
        <f>VLOOKUP(A4203,Calendar!$A$1:$H$9997,6,FALSE)-F4203</f>
        <v/>
      </c>
      <c r="H4203" s="19" t="n">
        <v>3</v>
      </c>
      <c r="I4203" s="57" t="n">
        <v>6</v>
      </c>
    </row>
    <row r="4204">
      <c r="A4204" s="62" t="n">
        <v>47027</v>
      </c>
      <c r="B4204" s="3" t="inlineStr">
        <is>
          <t>Sun</t>
        </is>
      </c>
      <c r="C4204" s="19" t="n">
        <v>10</v>
      </c>
      <c r="D4204" s="19" t="n">
        <v>2028</v>
      </c>
      <c r="E4204" s="57" t="n">
        <v>4</v>
      </c>
      <c r="F4204" s="29">
        <f>ROUND(((SUMIFS(Calendar!$F$2:$F$9997,Calendar!$B$2:$B$9997,D4204,Calendar!$C$2:$C$9997,C4204)*INDEX(ForeCalc!$B$37:$Y$274,MATCH(_xlfn.CONCAT(H4204," ",I4204),ForeCalc!$A$37:$A$274,0),MATCH(_xlfn.CONCAT(B4204," ",E4204),ForeCalc!$B$36:$Y$36,0))))*VLOOKUP(A4204,Calendar!$A$2:$H$9997,8,FALSE),0)</f>
        <v/>
      </c>
      <c r="G4204" s="29">
        <f>VLOOKUP(A4204,Calendar!$A$1:$H$9997,6,FALSE)-F4204</f>
        <v/>
      </c>
      <c r="H4204" s="19" t="n">
        <v>3</v>
      </c>
      <c r="I4204" s="57" t="n">
        <v>7</v>
      </c>
    </row>
    <row r="4205">
      <c r="A4205" s="62" t="n">
        <v>47028</v>
      </c>
      <c r="B4205" s="3" t="inlineStr">
        <is>
          <t>Week</t>
        </is>
      </c>
      <c r="C4205" s="19" t="n">
        <v>10</v>
      </c>
      <c r="D4205" s="19" t="n">
        <v>2028</v>
      </c>
      <c r="E4205" s="57" t="n">
        <v>4</v>
      </c>
      <c r="F4205" s="29">
        <f>ROUND(((SUMIFS(Calendar!$F$2:$F$9997,Calendar!$B$2:$B$9997,D4205,Calendar!$C$2:$C$9997,C4205)*INDEX(ForeCalc!$B$37:$Y$274,MATCH(_xlfn.CONCAT(H4205," ",I4205),ForeCalc!$A$37:$A$274,0),MATCH(_xlfn.CONCAT(B4205," ",E4205),ForeCalc!$B$36:$Y$36,0))))*VLOOKUP(A4205,Calendar!$A$2:$H$9997,8,FALSE),0)</f>
        <v/>
      </c>
      <c r="G4205" s="29">
        <f>VLOOKUP(A4205,Calendar!$A$1:$H$9997,6,FALSE)-F4205</f>
        <v/>
      </c>
      <c r="H4205" s="19" t="n">
        <v>3</v>
      </c>
      <c r="I4205" s="57" t="n">
        <v>7</v>
      </c>
    </row>
    <row r="4206">
      <c r="A4206" s="62" t="n">
        <v>47029</v>
      </c>
      <c r="B4206" s="3" t="inlineStr">
        <is>
          <t>Week</t>
        </is>
      </c>
      <c r="C4206" s="19" t="n">
        <v>10</v>
      </c>
      <c r="D4206" s="19" t="n">
        <v>2028</v>
      </c>
      <c r="E4206" s="57" t="n">
        <v>4</v>
      </c>
      <c r="F4206" s="29">
        <f>ROUND(((SUMIFS(Calendar!$F$2:$F$9997,Calendar!$B$2:$B$9997,D4206,Calendar!$C$2:$C$9997,C4206)*INDEX(ForeCalc!$B$37:$Y$274,MATCH(_xlfn.CONCAT(H4206," ",I4206),ForeCalc!$A$37:$A$274,0),MATCH(_xlfn.CONCAT(B4206," ",E4206),ForeCalc!$B$36:$Y$36,0))))*VLOOKUP(A4206,Calendar!$A$2:$H$9997,8,FALSE),0)</f>
        <v/>
      </c>
      <c r="G4206" s="29">
        <f>VLOOKUP(A4206,Calendar!$A$1:$H$9997,6,FALSE)-F4206</f>
        <v/>
      </c>
      <c r="H4206" s="19" t="n">
        <v>3</v>
      </c>
      <c r="I4206" s="57" t="n">
        <v>7</v>
      </c>
    </row>
    <row r="4207">
      <c r="A4207" s="62" t="n">
        <v>47030</v>
      </c>
      <c r="B4207" s="3" t="inlineStr">
        <is>
          <t>Week</t>
        </is>
      </c>
      <c r="C4207" s="19" t="n">
        <v>10</v>
      </c>
      <c r="D4207" s="19" t="n">
        <v>2028</v>
      </c>
      <c r="E4207" s="57" t="n">
        <v>4</v>
      </c>
      <c r="F4207" s="29">
        <f>ROUND(((SUMIFS(Calendar!$F$2:$F$9997,Calendar!$B$2:$B$9997,D4207,Calendar!$C$2:$C$9997,C4207)*INDEX(ForeCalc!$B$37:$Y$274,MATCH(_xlfn.CONCAT(H4207," ",I4207),ForeCalc!$A$37:$A$274,0),MATCH(_xlfn.CONCAT(B4207," ",E4207),ForeCalc!$B$36:$Y$36,0))))*VLOOKUP(A4207,Calendar!$A$2:$H$9997,8,FALSE),0)</f>
        <v/>
      </c>
      <c r="G4207" s="29">
        <f>VLOOKUP(A4207,Calendar!$A$1:$H$9997,6,FALSE)-F4207</f>
        <v/>
      </c>
      <c r="H4207" s="19" t="n">
        <v>3</v>
      </c>
      <c r="I4207" s="57" t="n">
        <v>7</v>
      </c>
    </row>
    <row r="4208">
      <c r="A4208" s="62" t="n">
        <v>47031</v>
      </c>
      <c r="B4208" s="3" t="inlineStr">
        <is>
          <t>Week</t>
        </is>
      </c>
      <c r="C4208" s="19" t="n">
        <v>10</v>
      </c>
      <c r="D4208" s="19" t="n">
        <v>2028</v>
      </c>
      <c r="E4208" s="57" t="n">
        <v>4</v>
      </c>
      <c r="F4208" s="29">
        <f>ROUND(((SUMIFS(Calendar!$F$2:$F$9997,Calendar!$B$2:$B$9997,D4208,Calendar!$C$2:$C$9997,C4208)*INDEX(ForeCalc!$B$37:$Y$274,MATCH(_xlfn.CONCAT(H4208," ",I4208),ForeCalc!$A$37:$A$274,0),MATCH(_xlfn.CONCAT(B4208," ",E4208),ForeCalc!$B$36:$Y$36,0))))*VLOOKUP(A4208,Calendar!$A$2:$H$9997,8,FALSE),0)</f>
        <v/>
      </c>
      <c r="G4208" s="29">
        <f>VLOOKUP(A4208,Calendar!$A$1:$H$9997,6,FALSE)-F4208</f>
        <v/>
      </c>
      <c r="H4208" s="19" t="n">
        <v>3</v>
      </c>
      <c r="I4208" s="57" t="n">
        <v>7</v>
      </c>
    </row>
    <row r="4209">
      <c r="A4209" s="62" t="n">
        <v>47032</v>
      </c>
      <c r="B4209" s="3" t="inlineStr">
        <is>
          <t>Week</t>
        </is>
      </c>
      <c r="C4209" s="19" t="n">
        <v>10</v>
      </c>
      <c r="D4209" s="19" t="n">
        <v>2028</v>
      </c>
      <c r="E4209" s="57" t="n">
        <v>4</v>
      </c>
      <c r="F4209" s="29">
        <f>ROUND(((SUMIFS(Calendar!$F$2:$F$9997,Calendar!$B$2:$B$9997,D4209,Calendar!$C$2:$C$9997,C4209)*INDEX(ForeCalc!$B$37:$Y$274,MATCH(_xlfn.CONCAT(H4209," ",I4209),ForeCalc!$A$37:$A$274,0),MATCH(_xlfn.CONCAT(B4209," ",E4209),ForeCalc!$B$36:$Y$36,0))))*VLOOKUP(A4209,Calendar!$A$2:$H$9997,8,FALSE),0)</f>
        <v/>
      </c>
      <c r="G4209" s="29">
        <f>VLOOKUP(A4209,Calendar!$A$1:$H$9997,6,FALSE)-F4209</f>
        <v/>
      </c>
      <c r="H4209" s="19" t="n">
        <v>3</v>
      </c>
      <c r="I4209" s="57" t="n">
        <v>7</v>
      </c>
    </row>
    <row r="4210">
      <c r="A4210" s="62" t="n">
        <v>47033</v>
      </c>
      <c r="B4210" s="3" t="inlineStr">
        <is>
          <t>Sat</t>
        </is>
      </c>
      <c r="C4210" s="19" t="n">
        <v>10</v>
      </c>
      <c r="D4210" s="19" t="n">
        <v>2028</v>
      </c>
      <c r="E4210" s="57" t="n">
        <v>4</v>
      </c>
      <c r="F4210" s="29">
        <f>ROUND(((SUMIFS(Calendar!$F$2:$F$9997,Calendar!$B$2:$B$9997,D4210,Calendar!$C$2:$C$9997,C4210)*INDEX(ForeCalc!$B$37:$Y$274,MATCH(_xlfn.CONCAT(H4210," ",I4210),ForeCalc!$A$37:$A$274,0),MATCH(_xlfn.CONCAT(B4210," ",E4210),ForeCalc!$B$36:$Y$36,0))))*VLOOKUP(A4210,Calendar!$A$2:$H$9997,8,FALSE),0)</f>
        <v/>
      </c>
      <c r="G4210" s="29">
        <f>VLOOKUP(A4210,Calendar!$A$1:$H$9997,6,FALSE)-F4210</f>
        <v/>
      </c>
      <c r="H4210" s="19" t="n">
        <v>3</v>
      </c>
      <c r="I4210" s="57" t="n">
        <v>7</v>
      </c>
    </row>
    <row r="4211">
      <c r="A4211" s="62" t="n">
        <v>47034</v>
      </c>
      <c r="B4211" s="3" t="inlineStr">
        <is>
          <t>Sun</t>
        </is>
      </c>
      <c r="C4211" s="19" t="n">
        <v>10</v>
      </c>
      <c r="D4211" s="19" t="n">
        <v>2028</v>
      </c>
      <c r="E4211" s="57" t="n">
        <v>4</v>
      </c>
      <c r="F4211" s="29">
        <f>ROUND(((SUMIFS(Calendar!$F$2:$F$9997,Calendar!$B$2:$B$9997,D4211,Calendar!$C$2:$C$9997,C4211)*INDEX(ForeCalc!$B$37:$Y$274,MATCH(_xlfn.CONCAT(H4211," ",I4211),ForeCalc!$A$37:$A$274,0),MATCH(_xlfn.CONCAT(B4211," ",E4211),ForeCalc!$B$36:$Y$36,0))))*VLOOKUP(A4211,Calendar!$A$2:$H$9997,8,FALSE),0)</f>
        <v/>
      </c>
      <c r="G4211" s="29">
        <f>VLOOKUP(A4211,Calendar!$A$1:$H$9997,6,FALSE)-F4211</f>
        <v/>
      </c>
      <c r="H4211" s="19" t="n">
        <v>3</v>
      </c>
      <c r="I4211" s="57" t="n">
        <v>7</v>
      </c>
    </row>
    <row r="4212">
      <c r="A4212" s="62" t="n">
        <v>47035</v>
      </c>
      <c r="B4212" s="3" t="inlineStr">
        <is>
          <t>Week</t>
        </is>
      </c>
      <c r="C4212" s="19" t="n">
        <v>10</v>
      </c>
      <c r="D4212" s="19" t="n">
        <v>2028</v>
      </c>
      <c r="E4212" s="57" t="n">
        <v>4</v>
      </c>
      <c r="F4212" s="29">
        <f>ROUND(((SUMIFS(Calendar!$F$2:$F$9997,Calendar!$B$2:$B$9997,D4212,Calendar!$C$2:$C$9997,C4212)*INDEX(ForeCalc!$B$37:$Y$274,MATCH(_xlfn.CONCAT(H4212," ",I4212),ForeCalc!$A$37:$A$274,0),MATCH(_xlfn.CONCAT(B4212," ",E4212),ForeCalc!$B$36:$Y$36,0))))*VLOOKUP(A4212,Calendar!$A$2:$H$9997,8,FALSE),0)</f>
        <v/>
      </c>
      <c r="G4212" s="29">
        <f>VLOOKUP(A4212,Calendar!$A$1:$H$9997,6,FALSE)-F4212</f>
        <v/>
      </c>
      <c r="H4212" s="19" t="n">
        <v>3</v>
      </c>
      <c r="I4212" s="57" t="n">
        <v>7</v>
      </c>
    </row>
    <row r="4213">
      <c r="A4213" s="62" t="n">
        <v>47036</v>
      </c>
      <c r="B4213" s="3" t="inlineStr">
        <is>
          <t>Week</t>
        </is>
      </c>
      <c r="C4213" s="19" t="n">
        <v>10</v>
      </c>
      <c r="D4213" s="19" t="n">
        <v>2028</v>
      </c>
      <c r="E4213" s="57" t="n">
        <v>4</v>
      </c>
      <c r="F4213" s="29">
        <f>ROUND(((SUMIFS(Calendar!$F$2:$F$9997,Calendar!$B$2:$B$9997,D4213,Calendar!$C$2:$C$9997,C4213)*INDEX(ForeCalc!$B$37:$Y$274,MATCH(_xlfn.CONCAT(H4213," ",I4213),ForeCalc!$A$37:$A$274,0),MATCH(_xlfn.CONCAT(B4213," ",E4213),ForeCalc!$B$36:$Y$36,0))))*VLOOKUP(A4213,Calendar!$A$2:$H$9997,8,FALSE),0)</f>
        <v/>
      </c>
      <c r="G4213" s="29">
        <f>VLOOKUP(A4213,Calendar!$A$1:$H$9997,6,FALSE)-F4213</f>
        <v/>
      </c>
      <c r="H4213" s="19" t="n">
        <v>3</v>
      </c>
      <c r="I4213" s="57" t="n">
        <v>7</v>
      </c>
    </row>
    <row r="4214">
      <c r="A4214" s="62" t="n">
        <v>47037</v>
      </c>
      <c r="B4214" s="3" t="inlineStr">
        <is>
          <t>Week</t>
        </is>
      </c>
      <c r="C4214" s="19" t="n">
        <v>10</v>
      </c>
      <c r="D4214" s="19" t="n">
        <v>2028</v>
      </c>
      <c r="E4214" s="57" t="n">
        <v>4</v>
      </c>
      <c r="F4214" s="29">
        <f>ROUND(((SUMIFS(Calendar!$F$2:$F$9997,Calendar!$B$2:$B$9997,D4214,Calendar!$C$2:$C$9997,C4214)*INDEX(ForeCalc!$B$37:$Y$274,MATCH(_xlfn.CONCAT(H4214," ",I4214),ForeCalc!$A$37:$A$274,0),MATCH(_xlfn.CONCAT(B4214," ",E4214),ForeCalc!$B$36:$Y$36,0))))*VLOOKUP(A4214,Calendar!$A$2:$H$9997,8,FALSE),0)</f>
        <v/>
      </c>
      <c r="G4214" s="29">
        <f>VLOOKUP(A4214,Calendar!$A$1:$H$9997,6,FALSE)-F4214</f>
        <v/>
      </c>
      <c r="H4214" s="19" t="n">
        <v>3</v>
      </c>
      <c r="I4214" s="57" t="n">
        <v>7</v>
      </c>
    </row>
    <row r="4215">
      <c r="A4215" s="62" t="n">
        <v>47038</v>
      </c>
      <c r="B4215" s="3" t="inlineStr">
        <is>
          <t>Week</t>
        </is>
      </c>
      <c r="C4215" s="19" t="n">
        <v>10</v>
      </c>
      <c r="D4215" s="19" t="n">
        <v>2028</v>
      </c>
      <c r="E4215" s="57" t="n">
        <v>4</v>
      </c>
      <c r="F4215" s="29">
        <f>ROUND(((SUMIFS(Calendar!$F$2:$F$9997,Calendar!$B$2:$B$9997,D4215,Calendar!$C$2:$C$9997,C4215)*INDEX(ForeCalc!$B$37:$Y$274,MATCH(_xlfn.CONCAT(H4215," ",I4215),ForeCalc!$A$37:$A$274,0),MATCH(_xlfn.CONCAT(B4215," ",E4215),ForeCalc!$B$36:$Y$36,0))))*VLOOKUP(A4215,Calendar!$A$2:$H$9997,8,FALSE),0)</f>
        <v/>
      </c>
      <c r="G4215" s="29">
        <f>VLOOKUP(A4215,Calendar!$A$1:$H$9997,6,FALSE)-F4215</f>
        <v/>
      </c>
      <c r="H4215" s="19" t="n">
        <v>3</v>
      </c>
      <c r="I4215" s="57" t="n">
        <v>7</v>
      </c>
    </row>
    <row r="4216">
      <c r="A4216" s="62" t="n">
        <v>47039</v>
      </c>
      <c r="B4216" s="3" t="inlineStr">
        <is>
          <t>Week</t>
        </is>
      </c>
      <c r="C4216" s="19" t="n">
        <v>10</v>
      </c>
      <c r="D4216" s="19" t="n">
        <v>2028</v>
      </c>
      <c r="E4216" s="57" t="n">
        <v>4</v>
      </c>
      <c r="F4216" s="29">
        <f>ROUND(((SUMIFS(Calendar!$F$2:$F$9997,Calendar!$B$2:$B$9997,D4216,Calendar!$C$2:$C$9997,C4216)*INDEX(ForeCalc!$B$37:$Y$274,MATCH(_xlfn.CONCAT(H4216," ",I4216),ForeCalc!$A$37:$A$274,0),MATCH(_xlfn.CONCAT(B4216," ",E4216),ForeCalc!$B$36:$Y$36,0))))*VLOOKUP(A4216,Calendar!$A$2:$H$9997,8,FALSE),0)</f>
        <v/>
      </c>
      <c r="G4216" s="29">
        <f>VLOOKUP(A4216,Calendar!$A$1:$H$9997,6,FALSE)-F4216</f>
        <v/>
      </c>
      <c r="H4216" s="19" t="n">
        <v>3</v>
      </c>
      <c r="I4216" s="57" t="n">
        <v>7</v>
      </c>
    </row>
    <row r="4217">
      <c r="A4217" s="62" t="n">
        <v>47040</v>
      </c>
      <c r="B4217" s="3" t="inlineStr">
        <is>
          <t>Sat</t>
        </is>
      </c>
      <c r="C4217" s="19" t="n">
        <v>10</v>
      </c>
      <c r="D4217" s="19" t="n">
        <v>2028</v>
      </c>
      <c r="E4217" s="57" t="n">
        <v>4</v>
      </c>
      <c r="F4217" s="29">
        <f>ROUND(((SUMIFS(Calendar!$F$2:$F$9997,Calendar!$B$2:$B$9997,D4217,Calendar!$C$2:$C$9997,C4217)*INDEX(ForeCalc!$B$37:$Y$274,MATCH(_xlfn.CONCAT(H4217," ",I4217),ForeCalc!$A$37:$A$274,0),MATCH(_xlfn.CONCAT(B4217," ",E4217),ForeCalc!$B$36:$Y$36,0))))*VLOOKUP(A4217,Calendar!$A$2:$H$9997,8,FALSE),0)</f>
        <v/>
      </c>
      <c r="G4217" s="29">
        <f>VLOOKUP(A4217,Calendar!$A$1:$H$9997,6,FALSE)-F4217</f>
        <v/>
      </c>
      <c r="H4217" s="19" t="n">
        <v>3</v>
      </c>
      <c r="I4217" s="57" t="n">
        <v>7</v>
      </c>
    </row>
    <row r="4218">
      <c r="A4218" s="62" t="n">
        <v>47041</v>
      </c>
      <c r="B4218" s="3" t="inlineStr">
        <is>
          <t>Sun</t>
        </is>
      </c>
      <c r="C4218" s="19" t="n">
        <v>10</v>
      </c>
      <c r="D4218" s="19" t="n">
        <v>2028</v>
      </c>
      <c r="E4218" s="57" t="n">
        <v>4</v>
      </c>
      <c r="F4218" s="29">
        <f>ROUND(((SUMIFS(Calendar!$F$2:$F$9997,Calendar!$B$2:$B$9997,D4218,Calendar!$C$2:$C$9997,C4218)*INDEX(ForeCalc!$B$37:$Y$274,MATCH(_xlfn.CONCAT(H4218," ",I4218),ForeCalc!$A$37:$A$274,0),MATCH(_xlfn.CONCAT(B4218," ",E4218),ForeCalc!$B$36:$Y$36,0))))*VLOOKUP(A4218,Calendar!$A$2:$H$9997,8,FALSE),0)</f>
        <v/>
      </c>
      <c r="G4218" s="29">
        <f>VLOOKUP(A4218,Calendar!$A$1:$H$9997,6,FALSE)-F4218</f>
        <v/>
      </c>
      <c r="H4218" s="19" t="n">
        <v>3</v>
      </c>
      <c r="I4218" s="57" t="n">
        <v>7</v>
      </c>
    </row>
    <row r="4219">
      <c r="A4219" s="62" t="n">
        <v>47042</v>
      </c>
      <c r="B4219" s="3" t="inlineStr">
        <is>
          <t>Week</t>
        </is>
      </c>
      <c r="C4219" s="19" t="n">
        <v>10</v>
      </c>
      <c r="D4219" s="19" t="n">
        <v>2028</v>
      </c>
      <c r="E4219" s="57" t="n">
        <v>4</v>
      </c>
      <c r="F4219" s="29">
        <f>ROUND(((SUMIFS(Calendar!$F$2:$F$9997,Calendar!$B$2:$B$9997,D4219,Calendar!$C$2:$C$9997,C4219)*INDEX(ForeCalc!$B$37:$Y$274,MATCH(_xlfn.CONCAT(H4219," ",I4219),ForeCalc!$A$37:$A$274,0),MATCH(_xlfn.CONCAT(B4219," ",E4219),ForeCalc!$B$36:$Y$36,0))))*VLOOKUP(A4219,Calendar!$A$2:$H$9997,8,FALSE),0)</f>
        <v/>
      </c>
      <c r="G4219" s="29">
        <f>VLOOKUP(A4219,Calendar!$A$1:$H$9997,6,FALSE)-F4219</f>
        <v/>
      </c>
      <c r="H4219" s="19" t="n">
        <v>3</v>
      </c>
      <c r="I4219" s="57" t="n">
        <v>7</v>
      </c>
    </row>
    <row r="4220">
      <c r="A4220" s="62" t="n">
        <v>47043</v>
      </c>
      <c r="B4220" s="3" t="inlineStr">
        <is>
          <t>Week</t>
        </is>
      </c>
      <c r="C4220" s="19" t="n">
        <v>10</v>
      </c>
      <c r="D4220" s="19" t="n">
        <v>2028</v>
      </c>
      <c r="E4220" s="57" t="n">
        <v>4</v>
      </c>
      <c r="F4220" s="29">
        <f>ROUND(((SUMIFS(Calendar!$F$2:$F$9997,Calendar!$B$2:$B$9997,D4220,Calendar!$C$2:$C$9997,C4220)*INDEX(ForeCalc!$B$37:$Y$274,MATCH(_xlfn.CONCAT(H4220," ",I4220),ForeCalc!$A$37:$A$274,0),MATCH(_xlfn.CONCAT(B4220," ",E4220),ForeCalc!$B$36:$Y$36,0))))*VLOOKUP(A4220,Calendar!$A$2:$H$9997,8,FALSE),0)</f>
        <v/>
      </c>
      <c r="G4220" s="29">
        <f>VLOOKUP(A4220,Calendar!$A$1:$H$9997,6,FALSE)-F4220</f>
        <v/>
      </c>
      <c r="H4220" s="19" t="n">
        <v>3</v>
      </c>
      <c r="I4220" s="57" t="n">
        <v>7</v>
      </c>
    </row>
    <row r="4221">
      <c r="A4221" s="62" t="n">
        <v>47044</v>
      </c>
      <c r="B4221" s="3" t="inlineStr">
        <is>
          <t>Week</t>
        </is>
      </c>
      <c r="C4221" s="19" t="n">
        <v>10</v>
      </c>
      <c r="D4221" s="19" t="n">
        <v>2028</v>
      </c>
      <c r="E4221" s="57" t="n">
        <v>4</v>
      </c>
      <c r="F4221" s="29">
        <f>ROUND(((SUMIFS(Calendar!$F$2:$F$9997,Calendar!$B$2:$B$9997,D4221,Calendar!$C$2:$C$9997,C4221)*INDEX(ForeCalc!$B$37:$Y$274,MATCH(_xlfn.CONCAT(H4221," ",I4221),ForeCalc!$A$37:$A$274,0),MATCH(_xlfn.CONCAT(B4221," ",E4221),ForeCalc!$B$36:$Y$36,0))))*VLOOKUP(A4221,Calendar!$A$2:$H$9997,8,FALSE),0)</f>
        <v/>
      </c>
      <c r="G4221" s="29">
        <f>VLOOKUP(A4221,Calendar!$A$1:$H$9997,6,FALSE)-F4221</f>
        <v/>
      </c>
      <c r="H4221" s="19" t="n">
        <v>3</v>
      </c>
      <c r="I4221" s="57" t="n">
        <v>7</v>
      </c>
    </row>
    <row r="4222">
      <c r="A4222" s="62" t="n">
        <v>47045</v>
      </c>
      <c r="B4222" s="3" t="inlineStr">
        <is>
          <t>Week</t>
        </is>
      </c>
      <c r="C4222" s="19" t="n">
        <v>10</v>
      </c>
      <c r="D4222" s="19" t="n">
        <v>2028</v>
      </c>
      <c r="E4222" s="57" t="n">
        <v>4</v>
      </c>
      <c r="F4222" s="29">
        <f>ROUND(((SUMIFS(Calendar!$F$2:$F$9997,Calendar!$B$2:$B$9997,D4222,Calendar!$C$2:$C$9997,C4222)*INDEX(ForeCalc!$B$37:$Y$274,MATCH(_xlfn.CONCAT(H4222," ",I4222),ForeCalc!$A$37:$A$274,0),MATCH(_xlfn.CONCAT(B4222," ",E4222),ForeCalc!$B$36:$Y$36,0))))*VLOOKUP(A4222,Calendar!$A$2:$H$9997,8,FALSE),0)</f>
        <v/>
      </c>
      <c r="G4222" s="29">
        <f>VLOOKUP(A4222,Calendar!$A$1:$H$9997,6,FALSE)-F4222</f>
        <v/>
      </c>
      <c r="H4222" s="19" t="n">
        <v>3</v>
      </c>
      <c r="I4222" s="57" t="n">
        <v>7</v>
      </c>
    </row>
    <row r="4223">
      <c r="A4223" s="62" t="n">
        <v>47046</v>
      </c>
      <c r="B4223" s="3" t="inlineStr">
        <is>
          <t>Week</t>
        </is>
      </c>
      <c r="C4223" s="19" t="n">
        <v>10</v>
      </c>
      <c r="D4223" s="19" t="n">
        <v>2028</v>
      </c>
      <c r="E4223" s="57" t="n">
        <v>4</v>
      </c>
      <c r="F4223" s="29">
        <f>ROUND(((SUMIFS(Calendar!$F$2:$F$9997,Calendar!$B$2:$B$9997,D4223,Calendar!$C$2:$C$9997,C4223)*INDEX(ForeCalc!$B$37:$Y$274,MATCH(_xlfn.CONCAT(H4223," ",I4223),ForeCalc!$A$37:$A$274,0),MATCH(_xlfn.CONCAT(B4223," ",E4223),ForeCalc!$B$36:$Y$36,0))))*VLOOKUP(A4223,Calendar!$A$2:$H$9997,8,FALSE),0)</f>
        <v/>
      </c>
      <c r="G4223" s="29">
        <f>VLOOKUP(A4223,Calendar!$A$1:$H$9997,6,FALSE)-F4223</f>
        <v/>
      </c>
      <c r="H4223" s="19" t="n">
        <v>3</v>
      </c>
      <c r="I4223" s="57" t="n">
        <v>7</v>
      </c>
    </row>
    <row r="4224">
      <c r="A4224" s="62" t="n">
        <v>47047</v>
      </c>
      <c r="B4224" s="3" t="inlineStr">
        <is>
          <t>Sat</t>
        </is>
      </c>
      <c r="C4224" s="19" t="n">
        <v>10</v>
      </c>
      <c r="D4224" s="19" t="n">
        <v>2028</v>
      </c>
      <c r="E4224" s="57" t="n">
        <v>4</v>
      </c>
      <c r="F4224" s="29">
        <f>ROUND(((SUMIFS(Calendar!$F$2:$F$9997,Calendar!$B$2:$B$9997,D4224,Calendar!$C$2:$C$9997,C4224)*INDEX(ForeCalc!$B$37:$Y$274,MATCH(_xlfn.CONCAT(H4224," ",I4224),ForeCalc!$A$37:$A$274,0),MATCH(_xlfn.CONCAT(B4224," ",E4224),ForeCalc!$B$36:$Y$36,0))))*VLOOKUP(A4224,Calendar!$A$2:$H$9997,8,FALSE),0)</f>
        <v/>
      </c>
      <c r="G4224" s="29">
        <f>VLOOKUP(A4224,Calendar!$A$1:$H$9997,6,FALSE)-F4224</f>
        <v/>
      </c>
      <c r="H4224" s="19" t="n">
        <v>3</v>
      </c>
      <c r="I4224" s="57" t="n">
        <v>7</v>
      </c>
    </row>
    <row r="4225">
      <c r="A4225" s="62" t="n">
        <v>47048</v>
      </c>
      <c r="B4225" s="3" t="inlineStr">
        <is>
          <t>Sun</t>
        </is>
      </c>
      <c r="C4225" s="19" t="n">
        <v>10</v>
      </c>
      <c r="D4225" s="19" t="n">
        <v>2028</v>
      </c>
      <c r="E4225" s="57" t="n">
        <v>4</v>
      </c>
      <c r="F4225" s="29">
        <f>ROUND(((SUMIFS(Calendar!$F$2:$F$9997,Calendar!$B$2:$B$9997,D4225,Calendar!$C$2:$C$9997,C4225)*INDEX(ForeCalc!$B$37:$Y$274,MATCH(_xlfn.CONCAT(H4225," ",I4225),ForeCalc!$A$37:$A$274,0),MATCH(_xlfn.CONCAT(B4225," ",E4225),ForeCalc!$B$36:$Y$36,0))))*VLOOKUP(A4225,Calendar!$A$2:$H$9997,8,FALSE),0)</f>
        <v/>
      </c>
      <c r="G4225" s="29">
        <f>VLOOKUP(A4225,Calendar!$A$1:$H$9997,6,FALSE)-F4225</f>
        <v/>
      </c>
      <c r="H4225" s="19" t="n">
        <v>3</v>
      </c>
      <c r="I4225" s="57" t="n">
        <v>7</v>
      </c>
    </row>
    <row r="4226">
      <c r="A4226" s="62" t="n">
        <v>47049</v>
      </c>
      <c r="B4226" s="3" t="inlineStr">
        <is>
          <t>Week</t>
        </is>
      </c>
      <c r="C4226" s="19" t="n">
        <v>10</v>
      </c>
      <c r="D4226" s="19" t="n">
        <v>2028</v>
      </c>
      <c r="E4226" s="57" t="n">
        <v>4</v>
      </c>
      <c r="F4226" s="29">
        <f>ROUND(((SUMIFS(Calendar!$F$2:$F$9997,Calendar!$B$2:$B$9997,D4226,Calendar!$C$2:$C$9997,C4226)*INDEX(ForeCalc!$B$37:$Y$274,MATCH(_xlfn.CONCAT(H4226," ",I4226),ForeCalc!$A$37:$A$274,0),MATCH(_xlfn.CONCAT(B4226," ",E4226),ForeCalc!$B$36:$Y$36,0))))*VLOOKUP(A4226,Calendar!$A$2:$H$9997,8,FALSE),0)</f>
        <v/>
      </c>
      <c r="G4226" s="29">
        <f>VLOOKUP(A4226,Calendar!$A$1:$H$9997,6,FALSE)-F4226</f>
        <v/>
      </c>
      <c r="H4226" s="19" t="n">
        <v>3</v>
      </c>
      <c r="I4226" s="57" t="n">
        <v>7</v>
      </c>
    </row>
    <row r="4227">
      <c r="A4227" s="62" t="n">
        <v>47050</v>
      </c>
      <c r="B4227" s="3" t="inlineStr">
        <is>
          <t>Week</t>
        </is>
      </c>
      <c r="C4227" s="19" t="n">
        <v>10</v>
      </c>
      <c r="D4227" s="19" t="n">
        <v>2028</v>
      </c>
      <c r="E4227" s="57" t="n">
        <v>4</v>
      </c>
      <c r="F4227" s="29">
        <f>ROUND(((SUMIFS(Calendar!$F$2:$F$9997,Calendar!$B$2:$B$9997,D4227,Calendar!$C$2:$C$9997,C4227)*INDEX(ForeCalc!$B$37:$Y$274,MATCH(_xlfn.CONCAT(H4227," ",I4227),ForeCalc!$A$37:$A$274,0),MATCH(_xlfn.CONCAT(B4227," ",E4227),ForeCalc!$B$36:$Y$36,0))))*VLOOKUP(A4227,Calendar!$A$2:$H$9997,8,FALSE),0)</f>
        <v/>
      </c>
      <c r="G4227" s="29">
        <f>VLOOKUP(A4227,Calendar!$A$1:$H$9997,6,FALSE)-F4227</f>
        <v/>
      </c>
      <c r="H4227" s="19" t="n">
        <v>3</v>
      </c>
      <c r="I4227" s="57" t="n">
        <v>7</v>
      </c>
    </row>
    <row r="4228">
      <c r="A4228" s="62" t="n">
        <v>47051</v>
      </c>
      <c r="B4228" s="3" t="inlineStr">
        <is>
          <t>Week</t>
        </is>
      </c>
      <c r="C4228" s="19" t="n">
        <v>10</v>
      </c>
      <c r="D4228" s="19" t="n">
        <v>2028</v>
      </c>
      <c r="E4228" s="57" t="n">
        <v>4</v>
      </c>
      <c r="F4228" s="29">
        <f>ROUND(((SUMIFS(Calendar!$F$2:$F$9997,Calendar!$B$2:$B$9997,D4228,Calendar!$C$2:$C$9997,C4228)*INDEX(ForeCalc!$B$37:$Y$274,MATCH(_xlfn.CONCAT(H4228," ",I4228),ForeCalc!$A$37:$A$274,0),MATCH(_xlfn.CONCAT(B4228," ",E4228),ForeCalc!$B$36:$Y$36,0))))*VLOOKUP(A4228,Calendar!$A$2:$H$9997,8,FALSE),0)</f>
        <v/>
      </c>
      <c r="G4228" s="29">
        <f>VLOOKUP(A4228,Calendar!$A$1:$H$9997,6,FALSE)-F4228</f>
        <v/>
      </c>
      <c r="H4228" s="19" t="n">
        <v>3</v>
      </c>
      <c r="I4228" s="57" t="n">
        <v>7</v>
      </c>
    </row>
    <row r="4229">
      <c r="A4229" s="62" t="n">
        <v>47052</v>
      </c>
      <c r="B4229" s="3" t="inlineStr">
        <is>
          <t>Week</t>
        </is>
      </c>
      <c r="C4229" s="19" t="n">
        <v>10</v>
      </c>
      <c r="D4229" s="19" t="n">
        <v>2028</v>
      </c>
      <c r="E4229" s="57" t="n">
        <v>4</v>
      </c>
      <c r="F4229" s="29">
        <f>ROUND(((SUMIFS(Calendar!$F$2:$F$9997,Calendar!$B$2:$B$9997,D4229,Calendar!$C$2:$C$9997,C4229)*INDEX(ForeCalc!$B$37:$Y$274,MATCH(_xlfn.CONCAT(H4229," ",I4229),ForeCalc!$A$37:$A$274,0),MATCH(_xlfn.CONCAT(B4229," ",E4229),ForeCalc!$B$36:$Y$36,0))))*VLOOKUP(A4229,Calendar!$A$2:$H$9997,8,FALSE),0)</f>
        <v/>
      </c>
      <c r="G4229" s="29">
        <f>VLOOKUP(A4229,Calendar!$A$1:$H$9997,6,FALSE)-F4229</f>
        <v/>
      </c>
      <c r="H4229" s="19" t="n">
        <v>3</v>
      </c>
      <c r="I4229" s="57" t="n">
        <v>7</v>
      </c>
    </row>
    <row r="4230">
      <c r="A4230" s="62" t="n">
        <v>47053</v>
      </c>
      <c r="B4230" s="3" t="inlineStr">
        <is>
          <t>Week</t>
        </is>
      </c>
      <c r="C4230" s="19" t="n">
        <v>10</v>
      </c>
      <c r="D4230" s="19" t="n">
        <v>2028</v>
      </c>
      <c r="E4230" s="57" t="n">
        <v>4</v>
      </c>
      <c r="F4230" s="29">
        <f>ROUND(((SUMIFS(Calendar!$F$2:$F$9997,Calendar!$B$2:$B$9997,D4230,Calendar!$C$2:$C$9997,C4230)*INDEX(ForeCalc!$B$37:$Y$274,MATCH(_xlfn.CONCAT(H4230," ",I4230),ForeCalc!$A$37:$A$274,0),MATCH(_xlfn.CONCAT(B4230," ",E4230),ForeCalc!$B$36:$Y$36,0))))*VLOOKUP(A4230,Calendar!$A$2:$H$9997,8,FALSE),0)</f>
        <v/>
      </c>
      <c r="G4230" s="29">
        <f>VLOOKUP(A4230,Calendar!$A$1:$H$9997,6,FALSE)-F4230</f>
        <v/>
      </c>
      <c r="H4230" s="19" t="n">
        <v>3</v>
      </c>
      <c r="I4230" s="57" t="n">
        <v>7</v>
      </c>
    </row>
    <row r="4231">
      <c r="A4231" s="62" t="n">
        <v>47054</v>
      </c>
      <c r="B4231" s="3" t="inlineStr">
        <is>
          <t>Sat</t>
        </is>
      </c>
      <c r="C4231" s="19" t="n">
        <v>10</v>
      </c>
      <c r="D4231" s="19" t="n">
        <v>2028</v>
      </c>
      <c r="E4231" s="57" t="n">
        <v>4</v>
      </c>
      <c r="F4231" s="29">
        <f>ROUND(((SUMIFS(Calendar!$F$2:$F$9997,Calendar!$B$2:$B$9997,D4231,Calendar!$C$2:$C$9997,C4231)*INDEX(ForeCalc!$B$37:$Y$274,MATCH(_xlfn.CONCAT(H4231," ",I4231),ForeCalc!$A$37:$A$274,0),MATCH(_xlfn.CONCAT(B4231," ",E4231),ForeCalc!$B$36:$Y$36,0))))*VLOOKUP(A4231,Calendar!$A$2:$H$9997,8,FALSE),0)</f>
        <v/>
      </c>
      <c r="G4231" s="29">
        <f>VLOOKUP(A4231,Calendar!$A$1:$H$9997,6,FALSE)-F4231</f>
        <v/>
      </c>
      <c r="H4231" s="19" t="n">
        <v>3</v>
      </c>
      <c r="I4231" s="57" t="n">
        <v>7</v>
      </c>
    </row>
    <row r="4232">
      <c r="A4232" s="62" t="n">
        <v>47055</v>
      </c>
      <c r="B4232" s="3" t="inlineStr">
        <is>
          <t>Sun</t>
        </is>
      </c>
      <c r="C4232" s="19" t="n">
        <v>10</v>
      </c>
      <c r="D4232" s="19" t="n">
        <v>2028</v>
      </c>
      <c r="E4232" s="57" t="n">
        <v>4</v>
      </c>
      <c r="F4232" s="29">
        <f>ROUND(((SUMIFS(Calendar!$F$2:$F$9997,Calendar!$B$2:$B$9997,D4232,Calendar!$C$2:$C$9997,C4232)*INDEX(ForeCalc!$B$37:$Y$274,MATCH(_xlfn.CONCAT(H4232," ",I4232),ForeCalc!$A$37:$A$274,0),MATCH(_xlfn.CONCAT(B4232," ",E4232),ForeCalc!$B$36:$Y$36,0))))*VLOOKUP(A4232,Calendar!$A$2:$H$9997,8,FALSE),0)</f>
        <v/>
      </c>
      <c r="G4232" s="29">
        <f>VLOOKUP(A4232,Calendar!$A$1:$H$9997,6,FALSE)-F4232</f>
        <v/>
      </c>
      <c r="H4232" s="19" t="n">
        <v>3</v>
      </c>
      <c r="I4232" s="57" t="n">
        <v>7</v>
      </c>
    </row>
    <row r="4233">
      <c r="A4233" s="62" t="n">
        <v>47056</v>
      </c>
      <c r="B4233" s="3" t="inlineStr">
        <is>
          <t>Week</t>
        </is>
      </c>
      <c r="C4233" s="19" t="n">
        <v>10</v>
      </c>
      <c r="D4233" s="19" t="n">
        <v>2028</v>
      </c>
      <c r="E4233" s="57" t="n">
        <v>4</v>
      </c>
      <c r="F4233" s="29">
        <f>ROUND(((SUMIFS(Calendar!$F$2:$F$9997,Calendar!$B$2:$B$9997,D4233,Calendar!$C$2:$C$9997,C4233)*INDEX(ForeCalc!$B$37:$Y$274,MATCH(_xlfn.CONCAT(H4233," ",I4233),ForeCalc!$A$37:$A$274,0),MATCH(_xlfn.CONCAT(B4233," ",E4233),ForeCalc!$B$36:$Y$36,0))))*VLOOKUP(A4233,Calendar!$A$2:$H$9997,8,FALSE),0)</f>
        <v/>
      </c>
      <c r="G4233" s="29">
        <f>VLOOKUP(A4233,Calendar!$A$1:$H$9997,6,FALSE)-F4233</f>
        <v/>
      </c>
      <c r="H4233" s="19" t="n">
        <v>3</v>
      </c>
      <c r="I4233" s="57" t="n">
        <v>7</v>
      </c>
    </row>
    <row r="4234">
      <c r="A4234" s="62" t="n">
        <v>47057</v>
      </c>
      <c r="B4234" s="3" t="inlineStr">
        <is>
          <t>Week</t>
        </is>
      </c>
      <c r="C4234" s="19" t="n">
        <v>10</v>
      </c>
      <c r="D4234" s="19" t="n">
        <v>2028</v>
      </c>
      <c r="E4234" s="57" t="n">
        <v>4</v>
      </c>
      <c r="F4234" s="29">
        <f>ROUND(((SUMIFS(Calendar!$F$2:$F$9997,Calendar!$B$2:$B$9997,D4234,Calendar!$C$2:$C$9997,C4234)*INDEX(ForeCalc!$B$37:$Y$274,MATCH(_xlfn.CONCAT(H4234," ",I4234),ForeCalc!$A$37:$A$274,0),MATCH(_xlfn.CONCAT(B4234," ",E4234),ForeCalc!$B$36:$Y$36,0))))*VLOOKUP(A4234,Calendar!$A$2:$H$9997,8,FALSE),0)</f>
        <v/>
      </c>
      <c r="G4234" s="29">
        <f>VLOOKUP(A4234,Calendar!$A$1:$H$9997,6,FALSE)-F4234</f>
        <v/>
      </c>
      <c r="H4234" s="19" t="n">
        <v>3</v>
      </c>
      <c r="I4234" s="57" t="n">
        <v>7</v>
      </c>
    </row>
    <row r="4235">
      <c r="A4235" s="62" t="n">
        <v>47058</v>
      </c>
      <c r="B4235" s="3" t="inlineStr">
        <is>
          <t>Week</t>
        </is>
      </c>
      <c r="C4235" s="19" t="n">
        <v>11</v>
      </c>
      <c r="D4235" s="19" t="n">
        <v>2028</v>
      </c>
      <c r="E4235" s="57" t="n">
        <v>4</v>
      </c>
      <c r="F4235" s="29">
        <f>ROUND(((SUMIFS(Calendar!$F$2:$F$9997,Calendar!$B$2:$B$9997,D4235,Calendar!$C$2:$C$9997,C4235)*INDEX(ForeCalc!$B$37:$Y$274,MATCH(_xlfn.CONCAT(H4235," ",I4235),ForeCalc!$A$37:$A$274,0),MATCH(_xlfn.CONCAT(B4235," ",E4235),ForeCalc!$B$36:$Y$36,0))))*VLOOKUP(A4235,Calendar!$A$2:$H$9997,8,FALSE),0)</f>
        <v/>
      </c>
      <c r="G4235" s="29">
        <f>VLOOKUP(A4235,Calendar!$A$1:$H$9997,6,FALSE)-F4235</f>
        <v/>
      </c>
      <c r="H4235" s="19" t="n">
        <v>3</v>
      </c>
      <c r="I4235" s="57" t="n">
        <v>8</v>
      </c>
    </row>
    <row r="4236">
      <c r="A4236" s="62" t="n">
        <v>47059</v>
      </c>
      <c r="B4236" s="3" t="inlineStr">
        <is>
          <t>Week</t>
        </is>
      </c>
      <c r="C4236" s="19" t="n">
        <v>11</v>
      </c>
      <c r="D4236" s="19" t="n">
        <v>2028</v>
      </c>
      <c r="E4236" s="57" t="n">
        <v>4</v>
      </c>
      <c r="F4236" s="29">
        <f>ROUND(((SUMIFS(Calendar!$F$2:$F$9997,Calendar!$B$2:$B$9997,D4236,Calendar!$C$2:$C$9997,C4236)*INDEX(ForeCalc!$B$37:$Y$274,MATCH(_xlfn.CONCAT(H4236," ",I4236),ForeCalc!$A$37:$A$274,0),MATCH(_xlfn.CONCAT(B4236," ",E4236),ForeCalc!$B$36:$Y$36,0))))*VLOOKUP(A4236,Calendar!$A$2:$H$9997,8,FALSE),0)</f>
        <v/>
      </c>
      <c r="G4236" s="29">
        <f>VLOOKUP(A4236,Calendar!$A$1:$H$9997,6,FALSE)-F4236</f>
        <v/>
      </c>
      <c r="H4236" s="19" t="n">
        <v>3</v>
      </c>
      <c r="I4236" s="57" t="n">
        <v>8</v>
      </c>
    </row>
    <row r="4237">
      <c r="A4237" s="62" t="n">
        <v>47060</v>
      </c>
      <c r="B4237" s="3" t="inlineStr">
        <is>
          <t>Week</t>
        </is>
      </c>
      <c r="C4237" s="19" t="n">
        <v>11</v>
      </c>
      <c r="D4237" s="19" t="n">
        <v>2028</v>
      </c>
      <c r="E4237" s="57" t="n">
        <v>4</v>
      </c>
      <c r="F4237" s="29">
        <f>ROUND(((SUMIFS(Calendar!$F$2:$F$9997,Calendar!$B$2:$B$9997,D4237,Calendar!$C$2:$C$9997,C4237)*INDEX(ForeCalc!$B$37:$Y$274,MATCH(_xlfn.CONCAT(H4237," ",I4237),ForeCalc!$A$37:$A$274,0),MATCH(_xlfn.CONCAT(B4237," ",E4237),ForeCalc!$B$36:$Y$36,0))))*VLOOKUP(A4237,Calendar!$A$2:$H$9997,8,FALSE),0)</f>
        <v/>
      </c>
      <c r="G4237" s="29">
        <f>VLOOKUP(A4237,Calendar!$A$1:$H$9997,6,FALSE)-F4237</f>
        <v/>
      </c>
      <c r="H4237" s="19" t="n">
        <v>3</v>
      </c>
      <c r="I4237" s="57" t="n">
        <v>8</v>
      </c>
    </row>
    <row r="4238">
      <c r="A4238" s="62" t="n">
        <v>47061</v>
      </c>
      <c r="B4238" s="3" t="inlineStr">
        <is>
          <t>Sat</t>
        </is>
      </c>
      <c r="C4238" s="19" t="n">
        <v>11</v>
      </c>
      <c r="D4238" s="19" t="n">
        <v>2028</v>
      </c>
      <c r="E4238" s="57" t="n">
        <v>4</v>
      </c>
      <c r="F4238" s="29">
        <f>ROUND(((SUMIFS(Calendar!$F$2:$F$9997,Calendar!$B$2:$B$9997,D4238,Calendar!$C$2:$C$9997,C4238)*INDEX(ForeCalc!$B$37:$Y$274,MATCH(_xlfn.CONCAT(H4238," ",I4238),ForeCalc!$A$37:$A$274,0),MATCH(_xlfn.CONCAT(B4238," ",E4238),ForeCalc!$B$36:$Y$36,0))))*VLOOKUP(A4238,Calendar!$A$2:$H$9997,8,FALSE),0)</f>
        <v/>
      </c>
      <c r="G4238" s="29">
        <f>VLOOKUP(A4238,Calendar!$A$1:$H$9997,6,FALSE)-F4238</f>
        <v/>
      </c>
      <c r="H4238" s="19" t="n">
        <v>3</v>
      </c>
      <c r="I4238" s="57" t="n">
        <v>8</v>
      </c>
    </row>
    <row r="4239">
      <c r="A4239" s="62" t="n">
        <v>47062</v>
      </c>
      <c r="B4239" s="3" t="inlineStr">
        <is>
          <t>Sun</t>
        </is>
      </c>
      <c r="C4239" s="19" t="n">
        <v>11</v>
      </c>
      <c r="D4239" s="19" t="n">
        <v>2028</v>
      </c>
      <c r="E4239" s="57" t="n">
        <v>4</v>
      </c>
      <c r="F4239" s="29">
        <f>ROUND(((SUMIFS(Calendar!$F$2:$F$9997,Calendar!$B$2:$B$9997,D4239,Calendar!$C$2:$C$9997,C4239)*INDEX(ForeCalc!$B$37:$Y$274,MATCH(_xlfn.CONCAT(H4239," ",I4239),ForeCalc!$A$37:$A$274,0),MATCH(_xlfn.CONCAT(B4239," ",E4239),ForeCalc!$B$36:$Y$36,0))))*VLOOKUP(A4239,Calendar!$A$2:$H$9997,8,FALSE),0)</f>
        <v/>
      </c>
      <c r="G4239" s="29">
        <f>VLOOKUP(A4239,Calendar!$A$1:$H$9997,6,FALSE)-F4239</f>
        <v/>
      </c>
      <c r="H4239" s="19" t="n">
        <v>3</v>
      </c>
      <c r="I4239" s="57" t="n">
        <v>8</v>
      </c>
    </row>
    <row r="4240">
      <c r="A4240" s="62" t="n">
        <v>47063</v>
      </c>
      <c r="B4240" s="3" t="inlineStr">
        <is>
          <t>Week</t>
        </is>
      </c>
      <c r="C4240" s="19" t="n">
        <v>11</v>
      </c>
      <c r="D4240" s="19" t="n">
        <v>2028</v>
      </c>
      <c r="E4240" s="57" t="n">
        <v>4</v>
      </c>
      <c r="F4240" s="29">
        <f>ROUND(((SUMIFS(Calendar!$F$2:$F$9997,Calendar!$B$2:$B$9997,D4240,Calendar!$C$2:$C$9997,C4240)*INDEX(ForeCalc!$B$37:$Y$274,MATCH(_xlfn.CONCAT(H4240," ",I4240),ForeCalc!$A$37:$A$274,0),MATCH(_xlfn.CONCAT(B4240," ",E4240),ForeCalc!$B$36:$Y$36,0))))*VLOOKUP(A4240,Calendar!$A$2:$H$9997,8,FALSE),0)</f>
        <v/>
      </c>
      <c r="G4240" s="29">
        <f>VLOOKUP(A4240,Calendar!$A$1:$H$9997,6,FALSE)-F4240</f>
        <v/>
      </c>
      <c r="H4240" s="19" t="n">
        <v>3</v>
      </c>
      <c r="I4240" s="57" t="n">
        <v>8</v>
      </c>
    </row>
    <row r="4241">
      <c r="A4241" s="62" t="n">
        <v>47064</v>
      </c>
      <c r="B4241" s="3" t="inlineStr">
        <is>
          <t>Week</t>
        </is>
      </c>
      <c r="C4241" s="19" t="n">
        <v>11</v>
      </c>
      <c r="D4241" s="19" t="n">
        <v>2028</v>
      </c>
      <c r="E4241" s="57" t="n">
        <v>4</v>
      </c>
      <c r="F4241" s="29">
        <f>ROUND(((SUMIFS(Calendar!$F$2:$F$9997,Calendar!$B$2:$B$9997,D4241,Calendar!$C$2:$C$9997,C4241)*INDEX(ForeCalc!$B$37:$Y$274,MATCH(_xlfn.CONCAT(H4241," ",I4241),ForeCalc!$A$37:$A$274,0),MATCH(_xlfn.CONCAT(B4241," ",E4241),ForeCalc!$B$36:$Y$36,0))))*VLOOKUP(A4241,Calendar!$A$2:$H$9997,8,FALSE),0)</f>
        <v/>
      </c>
      <c r="G4241" s="29">
        <f>VLOOKUP(A4241,Calendar!$A$1:$H$9997,6,FALSE)-F4241</f>
        <v/>
      </c>
      <c r="H4241" s="19" t="n">
        <v>3</v>
      </c>
      <c r="I4241" s="57" t="n">
        <v>8</v>
      </c>
    </row>
    <row r="4242">
      <c r="A4242" s="62" t="n">
        <v>47065</v>
      </c>
      <c r="B4242" s="3" t="inlineStr">
        <is>
          <t>Week</t>
        </is>
      </c>
      <c r="C4242" s="19" t="n">
        <v>11</v>
      </c>
      <c r="D4242" s="19" t="n">
        <v>2028</v>
      </c>
      <c r="E4242" s="57" t="n">
        <v>4</v>
      </c>
      <c r="F4242" s="29">
        <f>ROUND(((SUMIFS(Calendar!$F$2:$F$9997,Calendar!$B$2:$B$9997,D4242,Calendar!$C$2:$C$9997,C4242)*INDEX(ForeCalc!$B$37:$Y$274,MATCH(_xlfn.CONCAT(H4242," ",I4242),ForeCalc!$A$37:$A$274,0),MATCH(_xlfn.CONCAT(B4242," ",E4242),ForeCalc!$B$36:$Y$36,0))))*VLOOKUP(A4242,Calendar!$A$2:$H$9997,8,FALSE),0)</f>
        <v/>
      </c>
      <c r="G4242" s="29">
        <f>VLOOKUP(A4242,Calendar!$A$1:$H$9997,6,FALSE)-F4242</f>
        <v/>
      </c>
      <c r="H4242" s="19" t="n">
        <v>3</v>
      </c>
      <c r="I4242" s="57" t="n">
        <v>8</v>
      </c>
    </row>
    <row r="4243">
      <c r="A4243" s="62" t="n">
        <v>47066</v>
      </c>
      <c r="B4243" s="3" t="inlineStr">
        <is>
          <t>Week</t>
        </is>
      </c>
      <c r="C4243" s="19" t="n">
        <v>11</v>
      </c>
      <c r="D4243" s="19" t="n">
        <v>2028</v>
      </c>
      <c r="E4243" s="57" t="n">
        <v>4</v>
      </c>
      <c r="F4243" s="29">
        <f>ROUND(((SUMIFS(Calendar!$F$2:$F$9997,Calendar!$B$2:$B$9997,D4243,Calendar!$C$2:$C$9997,C4243)*INDEX(ForeCalc!$B$37:$Y$274,MATCH(_xlfn.CONCAT(H4243," ",I4243),ForeCalc!$A$37:$A$274,0),MATCH(_xlfn.CONCAT(B4243," ",E4243),ForeCalc!$B$36:$Y$36,0))))*VLOOKUP(A4243,Calendar!$A$2:$H$9997,8,FALSE),0)</f>
        <v/>
      </c>
      <c r="G4243" s="29">
        <f>VLOOKUP(A4243,Calendar!$A$1:$H$9997,6,FALSE)-F4243</f>
        <v/>
      </c>
      <c r="H4243" s="19" t="n">
        <v>3</v>
      </c>
      <c r="I4243" s="57" t="n">
        <v>8</v>
      </c>
    </row>
    <row r="4244">
      <c r="A4244" s="62" t="n">
        <v>47067</v>
      </c>
      <c r="B4244" s="3" t="inlineStr">
        <is>
          <t>Week</t>
        </is>
      </c>
      <c r="C4244" s="19" t="n">
        <v>11</v>
      </c>
      <c r="D4244" s="19" t="n">
        <v>2028</v>
      </c>
      <c r="E4244" s="57" t="n">
        <v>4</v>
      </c>
      <c r="F4244" s="29">
        <f>ROUND(((SUMIFS(Calendar!$F$2:$F$9997,Calendar!$B$2:$B$9997,D4244,Calendar!$C$2:$C$9997,C4244)*INDEX(ForeCalc!$B$37:$Y$274,MATCH(_xlfn.CONCAT(H4244," ",I4244),ForeCalc!$A$37:$A$274,0),MATCH(_xlfn.CONCAT(B4244," ",E4244),ForeCalc!$B$36:$Y$36,0))))*VLOOKUP(A4244,Calendar!$A$2:$H$9997,8,FALSE),0)</f>
        <v/>
      </c>
      <c r="G4244" s="29">
        <f>VLOOKUP(A4244,Calendar!$A$1:$H$9997,6,FALSE)-F4244</f>
        <v/>
      </c>
      <c r="H4244" s="19" t="n">
        <v>3</v>
      </c>
      <c r="I4244" s="57" t="n">
        <v>8</v>
      </c>
    </row>
    <row r="4245">
      <c r="A4245" s="62" t="n">
        <v>47068</v>
      </c>
      <c r="B4245" s="3" t="inlineStr">
        <is>
          <t>Sat</t>
        </is>
      </c>
      <c r="C4245" s="19" t="n">
        <v>11</v>
      </c>
      <c r="D4245" s="19" t="n">
        <v>2028</v>
      </c>
      <c r="E4245" s="57" t="n">
        <v>4</v>
      </c>
      <c r="F4245" s="29">
        <f>ROUND(((SUMIFS(Calendar!$F$2:$F$9997,Calendar!$B$2:$B$9997,D4245,Calendar!$C$2:$C$9997,C4245)*INDEX(ForeCalc!$B$37:$Y$274,MATCH(_xlfn.CONCAT(H4245," ",I4245),ForeCalc!$A$37:$A$274,0),MATCH(_xlfn.CONCAT(B4245," ",E4245),ForeCalc!$B$36:$Y$36,0))))*VLOOKUP(A4245,Calendar!$A$2:$H$9997,8,FALSE),0)</f>
        <v/>
      </c>
      <c r="G4245" s="29">
        <f>VLOOKUP(A4245,Calendar!$A$1:$H$9997,6,FALSE)-F4245</f>
        <v/>
      </c>
      <c r="H4245" s="19" t="n">
        <v>3</v>
      </c>
      <c r="I4245" s="57" t="n">
        <v>8</v>
      </c>
    </row>
    <row r="4246">
      <c r="A4246" s="62" t="n">
        <v>47069</v>
      </c>
      <c r="B4246" s="3" t="inlineStr">
        <is>
          <t>Sun</t>
        </is>
      </c>
      <c r="C4246" s="19" t="n">
        <v>11</v>
      </c>
      <c r="D4246" s="19" t="n">
        <v>2028</v>
      </c>
      <c r="E4246" s="57" t="n">
        <v>4</v>
      </c>
      <c r="F4246" s="29">
        <f>ROUND(((SUMIFS(Calendar!$F$2:$F$9997,Calendar!$B$2:$B$9997,D4246,Calendar!$C$2:$C$9997,C4246)*INDEX(ForeCalc!$B$37:$Y$274,MATCH(_xlfn.CONCAT(H4246," ",I4246),ForeCalc!$A$37:$A$274,0),MATCH(_xlfn.CONCAT(B4246," ",E4246),ForeCalc!$B$36:$Y$36,0))))*VLOOKUP(A4246,Calendar!$A$2:$H$9997,8,FALSE),0)</f>
        <v/>
      </c>
      <c r="G4246" s="29">
        <f>VLOOKUP(A4246,Calendar!$A$1:$H$9997,6,FALSE)-F4246</f>
        <v/>
      </c>
      <c r="H4246" s="19" t="n">
        <v>3</v>
      </c>
      <c r="I4246" s="57" t="n">
        <v>8</v>
      </c>
    </row>
    <row r="4247">
      <c r="A4247" s="62" t="n">
        <v>47070</v>
      </c>
      <c r="B4247" s="3" t="inlineStr">
        <is>
          <t>Week</t>
        </is>
      </c>
      <c r="C4247" s="19" t="n">
        <v>11</v>
      </c>
      <c r="D4247" s="19" t="n">
        <v>2028</v>
      </c>
      <c r="E4247" s="57" t="n">
        <v>4</v>
      </c>
      <c r="F4247" s="29">
        <f>ROUND(((SUMIFS(Calendar!$F$2:$F$9997,Calendar!$B$2:$B$9997,D4247,Calendar!$C$2:$C$9997,C4247)*INDEX(ForeCalc!$B$37:$Y$274,MATCH(_xlfn.CONCAT(H4247," ",I4247),ForeCalc!$A$37:$A$274,0),MATCH(_xlfn.CONCAT(B4247," ",E4247),ForeCalc!$B$36:$Y$36,0))))*VLOOKUP(A4247,Calendar!$A$2:$H$9997,8,FALSE),0)</f>
        <v/>
      </c>
      <c r="G4247" s="29">
        <f>VLOOKUP(A4247,Calendar!$A$1:$H$9997,6,FALSE)-F4247</f>
        <v/>
      </c>
      <c r="H4247" s="19" t="n">
        <v>3</v>
      </c>
      <c r="I4247" s="57" t="n">
        <v>8</v>
      </c>
    </row>
    <row r="4248">
      <c r="A4248" s="62" t="n">
        <v>47071</v>
      </c>
      <c r="B4248" s="3" t="inlineStr">
        <is>
          <t>Week</t>
        </is>
      </c>
      <c r="C4248" s="19" t="n">
        <v>11</v>
      </c>
      <c r="D4248" s="19" t="n">
        <v>2028</v>
      </c>
      <c r="E4248" s="57" t="n">
        <v>4</v>
      </c>
      <c r="F4248" s="29">
        <f>ROUND(((SUMIFS(Calendar!$F$2:$F$9997,Calendar!$B$2:$B$9997,D4248,Calendar!$C$2:$C$9997,C4248)*INDEX(ForeCalc!$B$37:$Y$274,MATCH(_xlfn.CONCAT(H4248," ",I4248),ForeCalc!$A$37:$A$274,0),MATCH(_xlfn.CONCAT(B4248," ",E4248),ForeCalc!$B$36:$Y$36,0))))*VLOOKUP(A4248,Calendar!$A$2:$H$9997,8,FALSE),0)</f>
        <v/>
      </c>
      <c r="G4248" s="29">
        <f>VLOOKUP(A4248,Calendar!$A$1:$H$9997,6,FALSE)-F4248</f>
        <v/>
      </c>
      <c r="H4248" s="19" t="n">
        <v>3</v>
      </c>
      <c r="I4248" s="57" t="n">
        <v>8</v>
      </c>
    </row>
    <row r="4249">
      <c r="A4249" s="62" t="n">
        <v>47072</v>
      </c>
      <c r="B4249" s="3" t="inlineStr">
        <is>
          <t>Week</t>
        </is>
      </c>
      <c r="C4249" s="19" t="n">
        <v>11</v>
      </c>
      <c r="D4249" s="19" t="n">
        <v>2028</v>
      </c>
      <c r="E4249" s="57" t="n">
        <v>4</v>
      </c>
      <c r="F4249" s="29">
        <f>ROUND(((SUMIFS(Calendar!$F$2:$F$9997,Calendar!$B$2:$B$9997,D4249,Calendar!$C$2:$C$9997,C4249)*INDEX(ForeCalc!$B$37:$Y$274,MATCH(_xlfn.CONCAT(H4249," ",I4249),ForeCalc!$A$37:$A$274,0),MATCH(_xlfn.CONCAT(B4249," ",E4249),ForeCalc!$B$36:$Y$36,0))))*VLOOKUP(A4249,Calendar!$A$2:$H$9997,8,FALSE),0)</f>
        <v/>
      </c>
      <c r="G4249" s="29">
        <f>VLOOKUP(A4249,Calendar!$A$1:$H$9997,6,FALSE)-F4249</f>
        <v/>
      </c>
      <c r="H4249" s="19" t="n">
        <v>3</v>
      </c>
      <c r="I4249" s="57" t="n">
        <v>8</v>
      </c>
    </row>
    <row r="4250">
      <c r="A4250" s="62" t="n">
        <v>47073</v>
      </c>
      <c r="B4250" s="3" t="inlineStr">
        <is>
          <t>Week</t>
        </is>
      </c>
      <c r="C4250" s="19" t="n">
        <v>11</v>
      </c>
      <c r="D4250" s="19" t="n">
        <v>2028</v>
      </c>
      <c r="E4250" s="57" t="n">
        <v>4</v>
      </c>
      <c r="F4250" s="29">
        <f>ROUND(((SUMIFS(Calendar!$F$2:$F$9997,Calendar!$B$2:$B$9997,D4250,Calendar!$C$2:$C$9997,C4250)*INDEX(ForeCalc!$B$37:$Y$274,MATCH(_xlfn.CONCAT(H4250," ",I4250),ForeCalc!$A$37:$A$274,0),MATCH(_xlfn.CONCAT(B4250," ",E4250),ForeCalc!$B$36:$Y$36,0))))*VLOOKUP(A4250,Calendar!$A$2:$H$9997,8,FALSE),0)</f>
        <v/>
      </c>
      <c r="G4250" s="29">
        <f>VLOOKUP(A4250,Calendar!$A$1:$H$9997,6,FALSE)-F4250</f>
        <v/>
      </c>
      <c r="H4250" s="19" t="n">
        <v>3</v>
      </c>
      <c r="I4250" s="57" t="n">
        <v>8</v>
      </c>
    </row>
    <row r="4251">
      <c r="A4251" s="62" t="n">
        <v>47074</v>
      </c>
      <c r="B4251" s="3" t="inlineStr">
        <is>
          <t>Week</t>
        </is>
      </c>
      <c r="C4251" s="19" t="n">
        <v>11</v>
      </c>
      <c r="D4251" s="19" t="n">
        <v>2028</v>
      </c>
      <c r="E4251" s="57" t="n">
        <v>4</v>
      </c>
      <c r="F4251" s="29">
        <f>ROUND(((SUMIFS(Calendar!$F$2:$F$9997,Calendar!$B$2:$B$9997,D4251,Calendar!$C$2:$C$9997,C4251)*INDEX(ForeCalc!$B$37:$Y$274,MATCH(_xlfn.CONCAT(H4251," ",I4251),ForeCalc!$A$37:$A$274,0),MATCH(_xlfn.CONCAT(B4251," ",E4251),ForeCalc!$B$36:$Y$36,0))))*VLOOKUP(A4251,Calendar!$A$2:$H$9997,8,FALSE),0)</f>
        <v/>
      </c>
      <c r="G4251" s="29">
        <f>VLOOKUP(A4251,Calendar!$A$1:$H$9997,6,FALSE)-F4251</f>
        <v/>
      </c>
      <c r="H4251" s="19" t="n">
        <v>3</v>
      </c>
      <c r="I4251" s="57" t="n">
        <v>8</v>
      </c>
    </row>
    <row r="4252">
      <c r="A4252" s="62" t="n">
        <v>47075</v>
      </c>
      <c r="B4252" s="3" t="inlineStr">
        <is>
          <t>Sat</t>
        </is>
      </c>
      <c r="C4252" s="19" t="n">
        <v>11</v>
      </c>
      <c r="D4252" s="19" t="n">
        <v>2028</v>
      </c>
      <c r="E4252" s="57" t="n">
        <v>4</v>
      </c>
      <c r="F4252" s="29">
        <f>ROUND(((SUMIFS(Calendar!$F$2:$F$9997,Calendar!$B$2:$B$9997,D4252,Calendar!$C$2:$C$9997,C4252)*INDEX(ForeCalc!$B$37:$Y$274,MATCH(_xlfn.CONCAT(H4252," ",I4252),ForeCalc!$A$37:$A$274,0),MATCH(_xlfn.CONCAT(B4252," ",E4252),ForeCalc!$B$36:$Y$36,0))))*VLOOKUP(A4252,Calendar!$A$2:$H$9997,8,FALSE),0)</f>
        <v/>
      </c>
      <c r="G4252" s="29">
        <f>VLOOKUP(A4252,Calendar!$A$1:$H$9997,6,FALSE)-F4252</f>
        <v/>
      </c>
      <c r="H4252" s="19" t="n">
        <v>3</v>
      </c>
      <c r="I4252" s="57" t="n">
        <v>8</v>
      </c>
    </row>
    <row r="4253">
      <c r="A4253" s="62" t="n">
        <v>47076</v>
      </c>
      <c r="B4253" s="3" t="inlineStr">
        <is>
          <t>Sun</t>
        </is>
      </c>
      <c r="C4253" s="19" t="n">
        <v>11</v>
      </c>
      <c r="D4253" s="19" t="n">
        <v>2028</v>
      </c>
      <c r="E4253" s="57" t="n">
        <v>4</v>
      </c>
      <c r="F4253" s="29">
        <f>ROUND(((SUMIFS(Calendar!$F$2:$F$9997,Calendar!$B$2:$B$9997,D4253,Calendar!$C$2:$C$9997,C4253)*INDEX(ForeCalc!$B$37:$Y$274,MATCH(_xlfn.CONCAT(H4253," ",I4253),ForeCalc!$A$37:$A$274,0),MATCH(_xlfn.CONCAT(B4253," ",E4253),ForeCalc!$B$36:$Y$36,0))))*VLOOKUP(A4253,Calendar!$A$2:$H$9997,8,FALSE),0)</f>
        <v/>
      </c>
      <c r="G4253" s="29">
        <f>VLOOKUP(A4253,Calendar!$A$1:$H$9997,6,FALSE)-F4253</f>
        <v/>
      </c>
      <c r="H4253" s="19" t="n">
        <v>3</v>
      </c>
      <c r="I4253" s="57" t="n">
        <v>8</v>
      </c>
    </row>
    <row r="4254">
      <c r="A4254" s="62" t="n">
        <v>47077</v>
      </c>
      <c r="B4254" s="3" t="inlineStr">
        <is>
          <t>Week</t>
        </is>
      </c>
      <c r="C4254" s="19" t="n">
        <v>11</v>
      </c>
      <c r="D4254" s="19" t="n">
        <v>2028</v>
      </c>
      <c r="E4254" s="57" t="n">
        <v>4</v>
      </c>
      <c r="F4254" s="29">
        <f>ROUND(((SUMIFS(Calendar!$F$2:$F$9997,Calendar!$B$2:$B$9997,D4254,Calendar!$C$2:$C$9997,C4254)*INDEX(ForeCalc!$B$37:$Y$274,MATCH(_xlfn.CONCAT(H4254," ",I4254),ForeCalc!$A$37:$A$274,0),MATCH(_xlfn.CONCAT(B4254," ",E4254),ForeCalc!$B$36:$Y$36,0))))*VLOOKUP(A4254,Calendar!$A$2:$H$9997,8,FALSE),0)</f>
        <v/>
      </c>
      <c r="G4254" s="29">
        <f>VLOOKUP(A4254,Calendar!$A$1:$H$9997,6,FALSE)-F4254</f>
        <v/>
      </c>
      <c r="H4254" s="19" t="n">
        <v>3</v>
      </c>
      <c r="I4254" s="57" t="n">
        <v>8</v>
      </c>
    </row>
    <row r="4255">
      <c r="A4255" s="62" t="n">
        <v>47078</v>
      </c>
      <c r="B4255" s="3" t="inlineStr">
        <is>
          <t>Week</t>
        </is>
      </c>
      <c r="C4255" s="19" t="n">
        <v>11</v>
      </c>
      <c r="D4255" s="19" t="n">
        <v>2028</v>
      </c>
      <c r="E4255" s="57" t="n">
        <v>4</v>
      </c>
      <c r="F4255" s="29">
        <f>ROUND(((SUMIFS(Calendar!$F$2:$F$9997,Calendar!$B$2:$B$9997,D4255,Calendar!$C$2:$C$9997,C4255)*INDEX(ForeCalc!$B$37:$Y$274,MATCH(_xlfn.CONCAT(H4255," ",I4255),ForeCalc!$A$37:$A$274,0),MATCH(_xlfn.CONCAT(B4255," ",E4255),ForeCalc!$B$36:$Y$36,0))))*VLOOKUP(A4255,Calendar!$A$2:$H$9997,8,FALSE),0)</f>
        <v/>
      </c>
      <c r="G4255" s="29">
        <f>VLOOKUP(A4255,Calendar!$A$1:$H$9997,6,FALSE)-F4255</f>
        <v/>
      </c>
      <c r="H4255" s="19" t="n">
        <v>3</v>
      </c>
      <c r="I4255" s="57" t="n">
        <v>8</v>
      </c>
    </row>
    <row r="4256">
      <c r="A4256" s="62" t="n">
        <v>47079</v>
      </c>
      <c r="B4256" s="3" t="inlineStr">
        <is>
          <t>Week</t>
        </is>
      </c>
      <c r="C4256" s="19" t="n">
        <v>11</v>
      </c>
      <c r="D4256" s="19" t="n">
        <v>2028</v>
      </c>
      <c r="E4256" s="57" t="n">
        <v>4</v>
      </c>
      <c r="F4256" s="29">
        <f>ROUND(((SUMIFS(Calendar!$F$2:$F$9997,Calendar!$B$2:$B$9997,D4256,Calendar!$C$2:$C$9997,C4256)*INDEX(ForeCalc!$B$37:$Y$274,MATCH(_xlfn.CONCAT(H4256," ",I4256),ForeCalc!$A$37:$A$274,0),MATCH(_xlfn.CONCAT(B4256," ",E4256),ForeCalc!$B$36:$Y$36,0))))*VLOOKUP(A4256,Calendar!$A$2:$H$9997,8,FALSE),0)</f>
        <v/>
      </c>
      <c r="G4256" s="29">
        <f>VLOOKUP(A4256,Calendar!$A$1:$H$9997,6,FALSE)-F4256</f>
        <v/>
      </c>
      <c r="H4256" s="19" t="n">
        <v>3</v>
      </c>
      <c r="I4256" s="57" t="n">
        <v>8</v>
      </c>
    </row>
    <row r="4257">
      <c r="A4257" s="62" t="n">
        <v>47080</v>
      </c>
      <c r="B4257" s="3" t="inlineStr">
        <is>
          <t>Week</t>
        </is>
      </c>
      <c r="C4257" s="19" t="n">
        <v>11</v>
      </c>
      <c r="D4257" s="19" t="n">
        <v>2028</v>
      </c>
      <c r="E4257" s="57" t="n">
        <v>4</v>
      </c>
      <c r="F4257" s="29">
        <f>ROUND(((SUMIFS(Calendar!$F$2:$F$9997,Calendar!$B$2:$B$9997,D4257,Calendar!$C$2:$C$9997,C4257)*INDEX(ForeCalc!$B$37:$Y$274,MATCH(_xlfn.CONCAT(H4257," ",I4257),ForeCalc!$A$37:$A$274,0),MATCH(_xlfn.CONCAT(B4257," ",E4257),ForeCalc!$B$36:$Y$36,0))))*VLOOKUP(A4257,Calendar!$A$2:$H$9997,8,FALSE),0)</f>
        <v/>
      </c>
      <c r="G4257" s="29">
        <f>VLOOKUP(A4257,Calendar!$A$1:$H$9997,6,FALSE)-F4257</f>
        <v/>
      </c>
      <c r="H4257" s="19" t="n">
        <v>3</v>
      </c>
      <c r="I4257" s="57" t="n">
        <v>8</v>
      </c>
    </row>
    <row r="4258">
      <c r="A4258" s="62" t="n">
        <v>47081</v>
      </c>
      <c r="B4258" s="3" t="inlineStr">
        <is>
          <t>Week</t>
        </is>
      </c>
      <c r="C4258" s="19" t="n">
        <v>11</v>
      </c>
      <c r="D4258" s="19" t="n">
        <v>2028</v>
      </c>
      <c r="E4258" s="57" t="n">
        <v>4</v>
      </c>
      <c r="F4258" s="29">
        <f>ROUND(((SUMIFS(Calendar!$F$2:$F$9997,Calendar!$B$2:$B$9997,D4258,Calendar!$C$2:$C$9997,C4258)*INDEX(ForeCalc!$B$37:$Y$274,MATCH(_xlfn.CONCAT(H4258," ",I4258),ForeCalc!$A$37:$A$274,0),MATCH(_xlfn.CONCAT(B4258," ",E4258),ForeCalc!$B$36:$Y$36,0))))*VLOOKUP(A4258,Calendar!$A$2:$H$9997,8,FALSE),0)</f>
        <v/>
      </c>
      <c r="G4258" s="29">
        <f>VLOOKUP(A4258,Calendar!$A$1:$H$9997,6,FALSE)-F4258</f>
        <v/>
      </c>
      <c r="H4258" s="19" t="n">
        <v>3</v>
      </c>
      <c r="I4258" s="57" t="n">
        <v>8</v>
      </c>
    </row>
    <row r="4259">
      <c r="A4259" s="62" t="n">
        <v>47082</v>
      </c>
      <c r="B4259" s="3" t="inlineStr">
        <is>
          <t>Sat</t>
        </is>
      </c>
      <c r="C4259" s="19" t="n">
        <v>11</v>
      </c>
      <c r="D4259" s="19" t="n">
        <v>2028</v>
      </c>
      <c r="E4259" s="57" t="n">
        <v>4</v>
      </c>
      <c r="F4259" s="29">
        <f>ROUND(((SUMIFS(Calendar!$F$2:$F$9997,Calendar!$B$2:$B$9997,D4259,Calendar!$C$2:$C$9997,C4259)*INDEX(ForeCalc!$B$37:$Y$274,MATCH(_xlfn.CONCAT(H4259," ",I4259),ForeCalc!$A$37:$A$274,0),MATCH(_xlfn.CONCAT(B4259," ",E4259),ForeCalc!$B$36:$Y$36,0))))*VLOOKUP(A4259,Calendar!$A$2:$H$9997,8,FALSE),0)</f>
        <v/>
      </c>
      <c r="G4259" s="29">
        <f>VLOOKUP(A4259,Calendar!$A$1:$H$9997,6,FALSE)-F4259</f>
        <v/>
      </c>
      <c r="H4259" s="19" t="n">
        <v>3</v>
      </c>
      <c r="I4259" s="57" t="n">
        <v>8</v>
      </c>
    </row>
    <row r="4260">
      <c r="A4260" s="62" t="n">
        <v>47083</v>
      </c>
      <c r="B4260" s="3" t="inlineStr">
        <is>
          <t>Sun</t>
        </is>
      </c>
      <c r="C4260" s="19" t="n">
        <v>11</v>
      </c>
      <c r="D4260" s="19" t="n">
        <v>2028</v>
      </c>
      <c r="E4260" s="57" t="n">
        <v>4</v>
      </c>
      <c r="F4260" s="29">
        <f>ROUND(((SUMIFS(Calendar!$F$2:$F$9997,Calendar!$B$2:$B$9997,D4260,Calendar!$C$2:$C$9997,C4260)*INDEX(ForeCalc!$B$37:$Y$274,MATCH(_xlfn.CONCAT(H4260," ",I4260),ForeCalc!$A$37:$A$274,0),MATCH(_xlfn.CONCAT(B4260," ",E4260),ForeCalc!$B$36:$Y$36,0))))*VLOOKUP(A4260,Calendar!$A$2:$H$9997,8,FALSE),0)</f>
        <v/>
      </c>
      <c r="G4260" s="29">
        <f>VLOOKUP(A4260,Calendar!$A$1:$H$9997,6,FALSE)-F4260</f>
        <v/>
      </c>
      <c r="H4260" s="19" t="n">
        <v>3</v>
      </c>
      <c r="I4260" s="57" t="n">
        <v>8</v>
      </c>
    </row>
    <row r="4261">
      <c r="A4261" s="62" t="n">
        <v>47084</v>
      </c>
      <c r="B4261" s="3" t="inlineStr">
        <is>
          <t>Week</t>
        </is>
      </c>
      <c r="C4261" s="19" t="n">
        <v>11</v>
      </c>
      <c r="D4261" s="19" t="n">
        <v>2028</v>
      </c>
      <c r="E4261" s="57" t="n">
        <v>4</v>
      </c>
      <c r="F4261" s="29">
        <f>ROUND(((SUMIFS(Calendar!$F$2:$F$9997,Calendar!$B$2:$B$9997,D4261,Calendar!$C$2:$C$9997,C4261)*INDEX(ForeCalc!$B$37:$Y$274,MATCH(_xlfn.CONCAT(H4261," ",I4261),ForeCalc!$A$37:$A$274,0),MATCH(_xlfn.CONCAT(B4261," ",E4261),ForeCalc!$B$36:$Y$36,0))))*VLOOKUP(A4261,Calendar!$A$2:$H$9997,8,FALSE),0)</f>
        <v/>
      </c>
      <c r="G4261" s="29">
        <f>VLOOKUP(A4261,Calendar!$A$1:$H$9997,6,FALSE)-F4261</f>
        <v/>
      </c>
      <c r="H4261" s="19" t="n">
        <v>3</v>
      </c>
      <c r="I4261" s="57" t="n">
        <v>8</v>
      </c>
    </row>
    <row r="4262">
      <c r="A4262" s="62" t="n">
        <v>47085</v>
      </c>
      <c r="B4262" s="3" t="inlineStr">
        <is>
          <t>Week</t>
        </is>
      </c>
      <c r="C4262" s="19" t="n">
        <v>11</v>
      </c>
      <c r="D4262" s="19" t="n">
        <v>2028</v>
      </c>
      <c r="E4262" s="57" t="n">
        <v>4</v>
      </c>
      <c r="F4262" s="29">
        <f>ROUND(((SUMIFS(Calendar!$F$2:$F$9997,Calendar!$B$2:$B$9997,D4262,Calendar!$C$2:$C$9997,C4262)*INDEX(ForeCalc!$B$37:$Y$274,MATCH(_xlfn.CONCAT(H4262," ",I4262),ForeCalc!$A$37:$A$274,0),MATCH(_xlfn.CONCAT(B4262," ",E4262),ForeCalc!$B$36:$Y$36,0))))*VLOOKUP(A4262,Calendar!$A$2:$H$9997,8,FALSE),0)</f>
        <v/>
      </c>
      <c r="G4262" s="29">
        <f>VLOOKUP(A4262,Calendar!$A$1:$H$9997,6,FALSE)-F4262</f>
        <v/>
      </c>
      <c r="H4262" s="19" t="n">
        <v>3</v>
      </c>
      <c r="I4262" s="57" t="n">
        <v>8</v>
      </c>
    </row>
    <row r="4263">
      <c r="A4263" s="62" t="n">
        <v>47086</v>
      </c>
      <c r="B4263" s="3" t="inlineStr">
        <is>
          <t>Week</t>
        </is>
      </c>
      <c r="C4263" s="19" t="n">
        <v>11</v>
      </c>
      <c r="D4263" s="19" t="n">
        <v>2028</v>
      </c>
      <c r="E4263" s="57" t="n">
        <v>4</v>
      </c>
      <c r="F4263" s="29">
        <f>ROUND(((SUMIFS(Calendar!$F$2:$F$9997,Calendar!$B$2:$B$9997,D4263,Calendar!$C$2:$C$9997,C4263)*INDEX(ForeCalc!$B$37:$Y$274,MATCH(_xlfn.CONCAT(H4263," ",I4263),ForeCalc!$A$37:$A$274,0),MATCH(_xlfn.CONCAT(B4263," ",E4263),ForeCalc!$B$36:$Y$36,0))))*VLOOKUP(A4263,Calendar!$A$2:$H$9997,8,FALSE),0)</f>
        <v/>
      </c>
      <c r="G4263" s="29">
        <f>VLOOKUP(A4263,Calendar!$A$1:$H$9997,6,FALSE)-F4263</f>
        <v/>
      </c>
      <c r="H4263" s="19" t="n">
        <v>3</v>
      </c>
      <c r="I4263" s="57" t="n">
        <v>8</v>
      </c>
    </row>
    <row r="4264">
      <c r="A4264" s="62" t="n">
        <v>47087</v>
      </c>
      <c r="B4264" s="3" t="inlineStr">
        <is>
          <t>Week</t>
        </is>
      </c>
      <c r="C4264" s="19" t="n">
        <v>11</v>
      </c>
      <c r="D4264" s="19" t="n">
        <v>2028</v>
      </c>
      <c r="E4264" s="57" t="n">
        <v>4</v>
      </c>
      <c r="F4264" s="29">
        <f>ROUND(((SUMIFS(Calendar!$F$2:$F$9997,Calendar!$B$2:$B$9997,D4264,Calendar!$C$2:$C$9997,C4264)*INDEX(ForeCalc!$B$37:$Y$274,MATCH(_xlfn.CONCAT(H4264," ",I4264),ForeCalc!$A$37:$A$274,0),MATCH(_xlfn.CONCAT(B4264," ",E4264),ForeCalc!$B$36:$Y$36,0))))*VLOOKUP(A4264,Calendar!$A$2:$H$9997,8,FALSE),0)</f>
        <v/>
      </c>
      <c r="G4264" s="29">
        <f>VLOOKUP(A4264,Calendar!$A$1:$H$9997,6,FALSE)-F4264</f>
        <v/>
      </c>
      <c r="H4264" s="19" t="n">
        <v>3</v>
      </c>
      <c r="I4264" s="57" t="n">
        <v>8</v>
      </c>
    </row>
    <row r="4265">
      <c r="A4265" s="62" t="n">
        <v>47088</v>
      </c>
      <c r="B4265" s="3" t="inlineStr">
        <is>
          <t>Week</t>
        </is>
      </c>
      <c r="C4265" s="19" t="n">
        <v>12</v>
      </c>
      <c r="D4265" s="19" t="n">
        <v>2028</v>
      </c>
      <c r="E4265" s="57" t="n">
        <v>4</v>
      </c>
      <c r="F4265" s="29">
        <f>ROUND(((SUMIFS(Calendar!$F$2:$F$9997,Calendar!$B$2:$B$9997,D4265,Calendar!$C$2:$C$9997,C4265)*INDEX(ForeCalc!$B$37:$Y$274,MATCH(_xlfn.CONCAT(H4265," ",I4265),ForeCalc!$A$37:$A$274,0),MATCH(_xlfn.CONCAT(B4265," ",E4265),ForeCalc!$B$36:$Y$36,0))))*VLOOKUP(A4265,Calendar!$A$2:$H$9997,8,FALSE),0)</f>
        <v/>
      </c>
      <c r="G4265" s="29">
        <f>VLOOKUP(A4265,Calendar!$A$1:$H$9997,6,FALSE)-F4265</f>
        <v/>
      </c>
      <c r="H4265" s="19" t="n">
        <v>3</v>
      </c>
      <c r="I4265" s="57" t="n">
        <v>9</v>
      </c>
    </row>
    <row r="4266">
      <c r="A4266" s="62" t="n">
        <v>47089</v>
      </c>
      <c r="B4266" s="3" t="inlineStr">
        <is>
          <t>Sat</t>
        </is>
      </c>
      <c r="C4266" s="19" t="n">
        <v>12</v>
      </c>
      <c r="D4266" s="19" t="n">
        <v>2028</v>
      </c>
      <c r="E4266" s="57" t="n">
        <v>4</v>
      </c>
      <c r="F4266" s="29">
        <f>ROUND(((SUMIFS(Calendar!$F$2:$F$9997,Calendar!$B$2:$B$9997,D4266,Calendar!$C$2:$C$9997,C4266)*INDEX(ForeCalc!$B$37:$Y$274,MATCH(_xlfn.CONCAT(H4266," ",I4266),ForeCalc!$A$37:$A$274,0),MATCH(_xlfn.CONCAT(B4266," ",E4266),ForeCalc!$B$36:$Y$36,0))))*VLOOKUP(A4266,Calendar!$A$2:$H$9997,8,FALSE),0)</f>
        <v/>
      </c>
      <c r="G4266" s="29">
        <f>VLOOKUP(A4266,Calendar!$A$1:$H$9997,6,FALSE)-F4266</f>
        <v/>
      </c>
      <c r="H4266" s="19" t="n">
        <v>3</v>
      </c>
      <c r="I4266" s="57" t="n">
        <v>9</v>
      </c>
    </row>
    <row r="4267">
      <c r="A4267" s="62" t="n">
        <v>47090</v>
      </c>
      <c r="B4267" s="3" t="inlineStr">
        <is>
          <t>Sun</t>
        </is>
      </c>
      <c r="C4267" s="19" t="n">
        <v>12</v>
      </c>
      <c r="D4267" s="19" t="n">
        <v>2028</v>
      </c>
      <c r="E4267" s="57" t="n">
        <v>4</v>
      </c>
      <c r="F4267" s="29">
        <f>ROUND(((SUMIFS(Calendar!$F$2:$F$9997,Calendar!$B$2:$B$9997,D4267,Calendar!$C$2:$C$9997,C4267)*INDEX(ForeCalc!$B$37:$Y$274,MATCH(_xlfn.CONCAT(H4267," ",I4267),ForeCalc!$A$37:$A$274,0),MATCH(_xlfn.CONCAT(B4267," ",E4267),ForeCalc!$B$36:$Y$36,0))))*VLOOKUP(A4267,Calendar!$A$2:$H$9997,8,FALSE),0)</f>
        <v/>
      </c>
      <c r="G4267" s="29">
        <f>VLOOKUP(A4267,Calendar!$A$1:$H$9997,6,FALSE)-F4267</f>
        <v/>
      </c>
      <c r="H4267" s="19" t="n">
        <v>3</v>
      </c>
      <c r="I4267" s="57" t="n">
        <v>9</v>
      </c>
    </row>
    <row r="4268">
      <c r="A4268" s="62" t="n">
        <v>47091</v>
      </c>
      <c r="B4268" s="3" t="inlineStr">
        <is>
          <t>Week</t>
        </is>
      </c>
      <c r="C4268" s="19" t="n">
        <v>12</v>
      </c>
      <c r="D4268" s="19" t="n">
        <v>2028</v>
      </c>
      <c r="E4268" s="57" t="n">
        <v>4</v>
      </c>
      <c r="F4268" s="29">
        <f>ROUND(((SUMIFS(Calendar!$F$2:$F$9997,Calendar!$B$2:$B$9997,D4268,Calendar!$C$2:$C$9997,C4268)*INDEX(ForeCalc!$B$37:$Y$274,MATCH(_xlfn.CONCAT(H4268," ",I4268),ForeCalc!$A$37:$A$274,0),MATCH(_xlfn.CONCAT(B4268," ",E4268),ForeCalc!$B$36:$Y$36,0))))*VLOOKUP(A4268,Calendar!$A$2:$H$9997,8,FALSE),0)</f>
        <v/>
      </c>
      <c r="G4268" s="29">
        <f>VLOOKUP(A4268,Calendar!$A$1:$H$9997,6,FALSE)-F4268</f>
        <v/>
      </c>
      <c r="H4268" s="19" t="n">
        <v>3</v>
      </c>
      <c r="I4268" s="57" t="n">
        <v>9</v>
      </c>
    </row>
    <row r="4269">
      <c r="A4269" s="62" t="n">
        <v>47092</v>
      </c>
      <c r="B4269" s="3" t="inlineStr">
        <is>
          <t>Week</t>
        </is>
      </c>
      <c r="C4269" s="19" t="n">
        <v>12</v>
      </c>
      <c r="D4269" s="19" t="n">
        <v>2028</v>
      </c>
      <c r="E4269" s="57" t="n">
        <v>4</v>
      </c>
      <c r="F4269" s="29">
        <f>ROUND(((SUMIFS(Calendar!$F$2:$F$9997,Calendar!$B$2:$B$9997,D4269,Calendar!$C$2:$C$9997,C4269)*INDEX(ForeCalc!$B$37:$Y$274,MATCH(_xlfn.CONCAT(H4269," ",I4269),ForeCalc!$A$37:$A$274,0),MATCH(_xlfn.CONCAT(B4269," ",E4269),ForeCalc!$B$36:$Y$36,0))))*VLOOKUP(A4269,Calendar!$A$2:$H$9997,8,FALSE),0)</f>
        <v/>
      </c>
      <c r="G4269" s="29">
        <f>VLOOKUP(A4269,Calendar!$A$1:$H$9997,6,FALSE)-F4269</f>
        <v/>
      </c>
      <c r="H4269" s="19" t="n">
        <v>3</v>
      </c>
      <c r="I4269" s="57" t="n">
        <v>9</v>
      </c>
    </row>
    <row r="4270">
      <c r="A4270" s="62" t="n">
        <v>47093</v>
      </c>
      <c r="B4270" s="3" t="inlineStr">
        <is>
          <t>Week</t>
        </is>
      </c>
      <c r="C4270" s="19" t="n">
        <v>12</v>
      </c>
      <c r="D4270" s="19" t="n">
        <v>2028</v>
      </c>
      <c r="E4270" s="57" t="n">
        <v>4</v>
      </c>
      <c r="F4270" s="29">
        <f>ROUND(((SUMIFS(Calendar!$F$2:$F$9997,Calendar!$B$2:$B$9997,D4270,Calendar!$C$2:$C$9997,C4270)*INDEX(ForeCalc!$B$37:$Y$274,MATCH(_xlfn.CONCAT(H4270," ",I4270),ForeCalc!$A$37:$A$274,0),MATCH(_xlfn.CONCAT(B4270," ",E4270),ForeCalc!$B$36:$Y$36,0))))*VLOOKUP(A4270,Calendar!$A$2:$H$9997,8,FALSE),0)</f>
        <v/>
      </c>
      <c r="G4270" s="29">
        <f>VLOOKUP(A4270,Calendar!$A$1:$H$9997,6,FALSE)-F4270</f>
        <v/>
      </c>
      <c r="H4270" s="19" t="n">
        <v>3</v>
      </c>
      <c r="I4270" s="57" t="n">
        <v>9</v>
      </c>
    </row>
    <row r="4271">
      <c r="A4271" s="62" t="n">
        <v>47094</v>
      </c>
      <c r="B4271" s="3" t="inlineStr">
        <is>
          <t>Week</t>
        </is>
      </c>
      <c r="C4271" s="19" t="n">
        <v>12</v>
      </c>
      <c r="D4271" s="19" t="n">
        <v>2028</v>
      </c>
      <c r="E4271" s="57" t="n">
        <v>4</v>
      </c>
      <c r="F4271" s="29">
        <f>ROUND(((SUMIFS(Calendar!$F$2:$F$9997,Calendar!$B$2:$B$9997,D4271,Calendar!$C$2:$C$9997,C4271)*INDEX(ForeCalc!$B$37:$Y$274,MATCH(_xlfn.CONCAT(H4271," ",I4271),ForeCalc!$A$37:$A$274,0),MATCH(_xlfn.CONCAT(B4271," ",E4271),ForeCalc!$B$36:$Y$36,0))))*VLOOKUP(A4271,Calendar!$A$2:$H$9997,8,FALSE),0)</f>
        <v/>
      </c>
      <c r="G4271" s="29">
        <f>VLOOKUP(A4271,Calendar!$A$1:$H$9997,6,FALSE)-F4271</f>
        <v/>
      </c>
      <c r="H4271" s="19" t="n">
        <v>3</v>
      </c>
      <c r="I4271" s="57" t="n">
        <v>9</v>
      </c>
    </row>
    <row r="4272">
      <c r="A4272" s="62" t="n">
        <v>47095</v>
      </c>
      <c r="B4272" s="3" t="inlineStr">
        <is>
          <t>Week</t>
        </is>
      </c>
      <c r="C4272" s="19" t="n">
        <v>12</v>
      </c>
      <c r="D4272" s="19" t="n">
        <v>2028</v>
      </c>
      <c r="E4272" s="57" t="n">
        <v>4</v>
      </c>
      <c r="F4272" s="29">
        <f>ROUND(((SUMIFS(Calendar!$F$2:$F$9997,Calendar!$B$2:$B$9997,D4272,Calendar!$C$2:$C$9997,C4272)*INDEX(ForeCalc!$B$37:$Y$274,MATCH(_xlfn.CONCAT(H4272," ",I4272),ForeCalc!$A$37:$A$274,0),MATCH(_xlfn.CONCAT(B4272," ",E4272),ForeCalc!$B$36:$Y$36,0))))*VLOOKUP(A4272,Calendar!$A$2:$H$9997,8,FALSE),0)</f>
        <v/>
      </c>
      <c r="G4272" s="29">
        <f>VLOOKUP(A4272,Calendar!$A$1:$H$9997,6,FALSE)-F4272</f>
        <v/>
      </c>
      <c r="H4272" s="19" t="n">
        <v>3</v>
      </c>
      <c r="I4272" s="57" t="n">
        <v>9</v>
      </c>
    </row>
    <row r="4273">
      <c r="A4273" s="62" t="n">
        <v>47096</v>
      </c>
      <c r="B4273" s="3" t="inlineStr">
        <is>
          <t>Sat</t>
        </is>
      </c>
      <c r="C4273" s="19" t="n">
        <v>12</v>
      </c>
      <c r="D4273" s="19" t="n">
        <v>2028</v>
      </c>
      <c r="E4273" s="57" t="n">
        <v>4</v>
      </c>
      <c r="F4273" s="29">
        <f>ROUND(((SUMIFS(Calendar!$F$2:$F$9997,Calendar!$B$2:$B$9997,D4273,Calendar!$C$2:$C$9997,C4273)*INDEX(ForeCalc!$B$37:$Y$274,MATCH(_xlfn.CONCAT(H4273," ",I4273),ForeCalc!$A$37:$A$274,0),MATCH(_xlfn.CONCAT(B4273," ",E4273),ForeCalc!$B$36:$Y$36,0))))*VLOOKUP(A4273,Calendar!$A$2:$H$9997,8,FALSE),0)</f>
        <v/>
      </c>
      <c r="G4273" s="29">
        <f>VLOOKUP(A4273,Calendar!$A$1:$H$9997,6,FALSE)-F4273</f>
        <v/>
      </c>
      <c r="H4273" s="19" t="n">
        <v>3</v>
      </c>
      <c r="I4273" s="57" t="n">
        <v>9</v>
      </c>
    </row>
    <row r="4274">
      <c r="A4274" s="62" t="n">
        <v>47097</v>
      </c>
      <c r="B4274" s="3" t="inlineStr">
        <is>
          <t>Sun</t>
        </is>
      </c>
      <c r="C4274" s="19" t="n">
        <v>12</v>
      </c>
      <c r="D4274" s="19" t="n">
        <v>2028</v>
      </c>
      <c r="E4274" s="57" t="n">
        <v>4</v>
      </c>
      <c r="F4274" s="29">
        <f>ROUND(((SUMIFS(Calendar!$F$2:$F$9997,Calendar!$B$2:$B$9997,D4274,Calendar!$C$2:$C$9997,C4274)*INDEX(ForeCalc!$B$37:$Y$274,MATCH(_xlfn.CONCAT(H4274," ",I4274),ForeCalc!$A$37:$A$274,0),MATCH(_xlfn.CONCAT(B4274," ",E4274),ForeCalc!$B$36:$Y$36,0))))*VLOOKUP(A4274,Calendar!$A$2:$H$9997,8,FALSE),0)</f>
        <v/>
      </c>
      <c r="G4274" s="29">
        <f>VLOOKUP(A4274,Calendar!$A$1:$H$9997,6,FALSE)-F4274</f>
        <v/>
      </c>
      <c r="H4274" s="19" t="n">
        <v>3</v>
      </c>
      <c r="I4274" s="57" t="n">
        <v>9</v>
      </c>
    </row>
    <row r="4275">
      <c r="A4275" s="62" t="n">
        <v>47098</v>
      </c>
      <c r="B4275" s="3" t="inlineStr">
        <is>
          <t>Week</t>
        </is>
      </c>
      <c r="C4275" s="19" t="n">
        <v>12</v>
      </c>
      <c r="D4275" s="19" t="n">
        <v>2028</v>
      </c>
      <c r="E4275" s="57" t="n">
        <v>4</v>
      </c>
      <c r="F4275" s="29">
        <f>ROUND(((SUMIFS(Calendar!$F$2:$F$9997,Calendar!$B$2:$B$9997,D4275,Calendar!$C$2:$C$9997,C4275)*INDEX(ForeCalc!$B$37:$Y$274,MATCH(_xlfn.CONCAT(H4275," ",I4275),ForeCalc!$A$37:$A$274,0),MATCH(_xlfn.CONCAT(B4275," ",E4275),ForeCalc!$B$36:$Y$36,0))))*VLOOKUP(A4275,Calendar!$A$2:$H$9997,8,FALSE),0)</f>
        <v/>
      </c>
      <c r="G4275" s="29">
        <f>VLOOKUP(A4275,Calendar!$A$1:$H$9997,6,FALSE)-F4275</f>
        <v/>
      </c>
      <c r="H4275" s="19" t="n">
        <v>3</v>
      </c>
      <c r="I4275" s="57" t="n">
        <v>9</v>
      </c>
    </row>
    <row r="4276">
      <c r="A4276" s="62" t="n">
        <v>47099</v>
      </c>
      <c r="B4276" s="3" t="inlineStr">
        <is>
          <t>Week</t>
        </is>
      </c>
      <c r="C4276" s="19" t="n">
        <v>12</v>
      </c>
      <c r="D4276" s="19" t="n">
        <v>2028</v>
      </c>
      <c r="E4276" s="57" t="n">
        <v>4</v>
      </c>
      <c r="F4276" s="29">
        <f>ROUND(((SUMIFS(Calendar!$F$2:$F$9997,Calendar!$B$2:$B$9997,D4276,Calendar!$C$2:$C$9997,C4276)*INDEX(ForeCalc!$B$37:$Y$274,MATCH(_xlfn.CONCAT(H4276," ",I4276),ForeCalc!$A$37:$A$274,0),MATCH(_xlfn.CONCAT(B4276," ",E4276),ForeCalc!$B$36:$Y$36,0))))*VLOOKUP(A4276,Calendar!$A$2:$H$9997,8,FALSE),0)</f>
        <v/>
      </c>
      <c r="G4276" s="29">
        <f>VLOOKUP(A4276,Calendar!$A$1:$H$9997,6,FALSE)-F4276</f>
        <v/>
      </c>
      <c r="H4276" s="19" t="n">
        <v>3</v>
      </c>
      <c r="I4276" s="57" t="n">
        <v>9</v>
      </c>
    </row>
    <row r="4277">
      <c r="A4277" s="62" t="n">
        <v>47100</v>
      </c>
      <c r="B4277" s="3" t="inlineStr">
        <is>
          <t>Week</t>
        </is>
      </c>
      <c r="C4277" s="19" t="n">
        <v>12</v>
      </c>
      <c r="D4277" s="19" t="n">
        <v>2028</v>
      </c>
      <c r="E4277" s="57" t="n">
        <v>4</v>
      </c>
      <c r="F4277" s="29">
        <f>ROUND(((SUMIFS(Calendar!$F$2:$F$9997,Calendar!$B$2:$B$9997,D4277,Calendar!$C$2:$C$9997,C4277)*INDEX(ForeCalc!$B$37:$Y$274,MATCH(_xlfn.CONCAT(H4277," ",I4277),ForeCalc!$A$37:$A$274,0),MATCH(_xlfn.CONCAT(B4277," ",E4277),ForeCalc!$B$36:$Y$36,0))))*VLOOKUP(A4277,Calendar!$A$2:$H$9997,8,FALSE),0)</f>
        <v/>
      </c>
      <c r="G4277" s="29">
        <f>VLOOKUP(A4277,Calendar!$A$1:$H$9997,6,FALSE)-F4277</f>
        <v/>
      </c>
      <c r="H4277" s="19" t="n">
        <v>3</v>
      </c>
      <c r="I4277" s="57" t="n">
        <v>9</v>
      </c>
    </row>
    <row r="4278">
      <c r="A4278" s="62" t="n">
        <v>47101</v>
      </c>
      <c r="B4278" s="3" t="inlineStr">
        <is>
          <t>Week</t>
        </is>
      </c>
      <c r="C4278" s="19" t="n">
        <v>12</v>
      </c>
      <c r="D4278" s="19" t="n">
        <v>2028</v>
      </c>
      <c r="E4278" s="57" t="n">
        <v>4</v>
      </c>
      <c r="F4278" s="29">
        <f>ROUND(((SUMIFS(Calendar!$F$2:$F$9997,Calendar!$B$2:$B$9997,D4278,Calendar!$C$2:$C$9997,C4278)*INDEX(ForeCalc!$B$37:$Y$274,MATCH(_xlfn.CONCAT(H4278," ",I4278),ForeCalc!$A$37:$A$274,0),MATCH(_xlfn.CONCAT(B4278," ",E4278),ForeCalc!$B$36:$Y$36,0))))*VLOOKUP(A4278,Calendar!$A$2:$H$9997,8,FALSE),0)</f>
        <v/>
      </c>
      <c r="G4278" s="29">
        <f>VLOOKUP(A4278,Calendar!$A$1:$H$9997,6,FALSE)-F4278</f>
        <v/>
      </c>
      <c r="H4278" s="19" t="n">
        <v>3</v>
      </c>
      <c r="I4278" s="57" t="n">
        <v>9</v>
      </c>
    </row>
    <row r="4279">
      <c r="A4279" s="62" t="n">
        <v>47102</v>
      </c>
      <c r="B4279" s="3" t="inlineStr">
        <is>
          <t>Week</t>
        </is>
      </c>
      <c r="C4279" s="19" t="n">
        <v>12</v>
      </c>
      <c r="D4279" s="19" t="n">
        <v>2028</v>
      </c>
      <c r="E4279" s="57" t="n">
        <v>4</v>
      </c>
      <c r="F4279" s="29">
        <f>ROUND(((SUMIFS(Calendar!$F$2:$F$9997,Calendar!$B$2:$B$9997,D4279,Calendar!$C$2:$C$9997,C4279)*INDEX(ForeCalc!$B$37:$Y$274,MATCH(_xlfn.CONCAT(H4279," ",I4279),ForeCalc!$A$37:$A$274,0),MATCH(_xlfn.CONCAT(B4279," ",E4279),ForeCalc!$B$36:$Y$36,0))))*VLOOKUP(A4279,Calendar!$A$2:$H$9997,8,FALSE),0)</f>
        <v/>
      </c>
      <c r="G4279" s="29">
        <f>VLOOKUP(A4279,Calendar!$A$1:$H$9997,6,FALSE)-F4279</f>
        <v/>
      </c>
      <c r="H4279" s="19" t="n">
        <v>3</v>
      </c>
      <c r="I4279" s="57" t="n">
        <v>9</v>
      </c>
    </row>
    <row r="4280">
      <c r="A4280" s="62" t="n">
        <v>47103</v>
      </c>
      <c r="B4280" s="3" t="inlineStr">
        <is>
          <t>Sat</t>
        </is>
      </c>
      <c r="C4280" s="19" t="n">
        <v>12</v>
      </c>
      <c r="D4280" s="19" t="n">
        <v>2028</v>
      </c>
      <c r="E4280" s="57" t="n">
        <v>4</v>
      </c>
      <c r="F4280" s="29">
        <f>ROUND(((SUMIFS(Calendar!$F$2:$F$9997,Calendar!$B$2:$B$9997,D4280,Calendar!$C$2:$C$9997,C4280)*INDEX(ForeCalc!$B$37:$Y$274,MATCH(_xlfn.CONCAT(H4280," ",I4280),ForeCalc!$A$37:$A$274,0),MATCH(_xlfn.CONCAT(B4280," ",E4280),ForeCalc!$B$36:$Y$36,0))))*VLOOKUP(A4280,Calendar!$A$2:$H$9997,8,FALSE),0)</f>
        <v/>
      </c>
      <c r="G4280" s="29">
        <f>VLOOKUP(A4280,Calendar!$A$1:$H$9997,6,FALSE)-F4280</f>
        <v/>
      </c>
      <c r="H4280" s="19" t="n">
        <v>3</v>
      </c>
      <c r="I4280" s="57" t="n">
        <v>9</v>
      </c>
    </row>
    <row r="4281">
      <c r="A4281" s="62" t="n">
        <v>47104</v>
      </c>
      <c r="B4281" s="3" t="inlineStr">
        <is>
          <t>Sun</t>
        </is>
      </c>
      <c r="C4281" s="19" t="n">
        <v>12</v>
      </c>
      <c r="D4281" s="19" t="n">
        <v>2028</v>
      </c>
      <c r="E4281" s="57" t="n">
        <v>4</v>
      </c>
      <c r="F4281" s="29">
        <f>ROUND(((SUMIFS(Calendar!$F$2:$F$9997,Calendar!$B$2:$B$9997,D4281,Calendar!$C$2:$C$9997,C4281)*INDEX(ForeCalc!$B$37:$Y$274,MATCH(_xlfn.CONCAT(H4281," ",I4281),ForeCalc!$A$37:$A$274,0),MATCH(_xlfn.CONCAT(B4281," ",E4281),ForeCalc!$B$36:$Y$36,0))))*VLOOKUP(A4281,Calendar!$A$2:$H$9997,8,FALSE),0)</f>
        <v/>
      </c>
      <c r="G4281" s="29">
        <f>VLOOKUP(A4281,Calendar!$A$1:$H$9997,6,FALSE)-F4281</f>
        <v/>
      </c>
      <c r="H4281" s="19" t="n">
        <v>3</v>
      </c>
      <c r="I4281" s="57" t="n">
        <v>9</v>
      </c>
    </row>
    <row r="4282">
      <c r="A4282" s="62" t="n">
        <v>47105</v>
      </c>
      <c r="B4282" s="3" t="inlineStr">
        <is>
          <t>Week</t>
        </is>
      </c>
      <c r="C4282" s="19" t="n">
        <v>12</v>
      </c>
      <c r="D4282" s="19" t="n">
        <v>2028</v>
      </c>
      <c r="E4282" s="57" t="n">
        <v>4</v>
      </c>
      <c r="F4282" s="29">
        <f>ROUND(((SUMIFS(Calendar!$F$2:$F$9997,Calendar!$B$2:$B$9997,D4282,Calendar!$C$2:$C$9997,C4282)*INDEX(ForeCalc!$B$37:$Y$274,MATCH(_xlfn.CONCAT(H4282," ",I4282),ForeCalc!$A$37:$A$274,0),MATCH(_xlfn.CONCAT(B4282," ",E4282),ForeCalc!$B$36:$Y$36,0))))*VLOOKUP(A4282,Calendar!$A$2:$H$9997,8,FALSE),0)</f>
        <v/>
      </c>
      <c r="G4282" s="29">
        <f>VLOOKUP(A4282,Calendar!$A$1:$H$9997,6,FALSE)-F4282</f>
        <v/>
      </c>
      <c r="H4282" s="19" t="n">
        <v>3</v>
      </c>
      <c r="I4282" s="57" t="n">
        <v>9</v>
      </c>
    </row>
    <row r="4283">
      <c r="A4283" s="62" t="n">
        <v>47106</v>
      </c>
      <c r="B4283" s="3" t="inlineStr">
        <is>
          <t>Week</t>
        </is>
      </c>
      <c r="C4283" s="19" t="n">
        <v>12</v>
      </c>
      <c r="D4283" s="19" t="n">
        <v>2028</v>
      </c>
      <c r="E4283" s="57" t="n">
        <v>4</v>
      </c>
      <c r="F4283" s="29">
        <f>ROUND(((SUMIFS(Calendar!$F$2:$F$9997,Calendar!$B$2:$B$9997,D4283,Calendar!$C$2:$C$9997,C4283)*INDEX(ForeCalc!$B$37:$Y$274,MATCH(_xlfn.CONCAT(H4283," ",I4283),ForeCalc!$A$37:$A$274,0),MATCH(_xlfn.CONCAT(B4283," ",E4283),ForeCalc!$B$36:$Y$36,0))))*VLOOKUP(A4283,Calendar!$A$2:$H$9997,8,FALSE),0)</f>
        <v/>
      </c>
      <c r="G4283" s="29">
        <f>VLOOKUP(A4283,Calendar!$A$1:$H$9997,6,FALSE)-F4283</f>
        <v/>
      </c>
      <c r="H4283" s="19" t="n">
        <v>3</v>
      </c>
      <c r="I4283" s="57" t="n">
        <v>9</v>
      </c>
    </row>
    <row r="4284">
      <c r="A4284" s="62" t="n">
        <v>47107</v>
      </c>
      <c r="B4284" s="3" t="inlineStr">
        <is>
          <t>Week</t>
        </is>
      </c>
      <c r="C4284" s="19" t="n">
        <v>12</v>
      </c>
      <c r="D4284" s="19" t="n">
        <v>2028</v>
      </c>
      <c r="E4284" s="57" t="n">
        <v>4</v>
      </c>
      <c r="F4284" s="29">
        <f>ROUND(((SUMIFS(Calendar!$F$2:$F$9997,Calendar!$B$2:$B$9997,D4284,Calendar!$C$2:$C$9997,C4284)*INDEX(ForeCalc!$B$37:$Y$274,MATCH(_xlfn.CONCAT(H4284," ",I4284),ForeCalc!$A$37:$A$274,0),MATCH(_xlfn.CONCAT(B4284," ",E4284),ForeCalc!$B$36:$Y$36,0))))*VLOOKUP(A4284,Calendar!$A$2:$H$9997,8,FALSE),0)</f>
        <v/>
      </c>
      <c r="G4284" s="29">
        <f>VLOOKUP(A4284,Calendar!$A$1:$H$9997,6,FALSE)-F4284</f>
        <v/>
      </c>
      <c r="H4284" s="19" t="n">
        <v>3</v>
      </c>
      <c r="I4284" s="57" t="n">
        <v>9</v>
      </c>
    </row>
    <row r="4285">
      <c r="A4285" s="62" t="n">
        <v>47108</v>
      </c>
      <c r="B4285" s="3" t="inlineStr">
        <is>
          <t>Week</t>
        </is>
      </c>
      <c r="C4285" s="19" t="n">
        <v>12</v>
      </c>
      <c r="D4285" s="19" t="n">
        <v>2028</v>
      </c>
      <c r="E4285" s="57" t="n">
        <v>4</v>
      </c>
      <c r="F4285" s="29">
        <f>ROUND(((SUMIFS(Calendar!$F$2:$F$9997,Calendar!$B$2:$B$9997,D4285,Calendar!$C$2:$C$9997,C4285)*INDEX(ForeCalc!$B$37:$Y$274,MATCH(_xlfn.CONCAT(H4285," ",I4285),ForeCalc!$A$37:$A$274,0),MATCH(_xlfn.CONCAT(B4285," ",E4285),ForeCalc!$B$36:$Y$36,0))))*VLOOKUP(A4285,Calendar!$A$2:$H$9997,8,FALSE),0)</f>
        <v/>
      </c>
      <c r="G4285" s="29">
        <f>VLOOKUP(A4285,Calendar!$A$1:$H$9997,6,FALSE)-F4285</f>
        <v/>
      </c>
      <c r="H4285" s="19" t="n">
        <v>3</v>
      </c>
      <c r="I4285" s="57" t="n">
        <v>9</v>
      </c>
    </row>
    <row r="4286">
      <c r="A4286" s="62" t="n">
        <v>47109</v>
      </c>
      <c r="B4286" s="3" t="inlineStr">
        <is>
          <t>Week</t>
        </is>
      </c>
      <c r="C4286" s="19" t="n">
        <v>12</v>
      </c>
      <c r="D4286" s="19" t="n">
        <v>2028</v>
      </c>
      <c r="E4286" s="57" t="n">
        <v>4</v>
      </c>
      <c r="F4286" s="29">
        <f>ROUND(((SUMIFS(Calendar!$F$2:$F$9997,Calendar!$B$2:$B$9997,D4286,Calendar!$C$2:$C$9997,C4286)*INDEX(ForeCalc!$B$37:$Y$274,MATCH(_xlfn.CONCAT(H4286," ",I4286),ForeCalc!$A$37:$A$274,0),MATCH(_xlfn.CONCAT(B4286," ",E4286),ForeCalc!$B$36:$Y$36,0))))*VLOOKUP(A4286,Calendar!$A$2:$H$9997,8,FALSE),0)</f>
        <v/>
      </c>
      <c r="G4286" s="29">
        <f>VLOOKUP(A4286,Calendar!$A$1:$H$9997,6,FALSE)-F4286</f>
        <v/>
      </c>
      <c r="H4286" s="19" t="n">
        <v>3</v>
      </c>
      <c r="I4286" s="57" t="n">
        <v>9</v>
      </c>
    </row>
    <row r="4287">
      <c r="A4287" s="62" t="n">
        <v>47110</v>
      </c>
      <c r="B4287" s="3" t="inlineStr">
        <is>
          <t>Sat</t>
        </is>
      </c>
      <c r="C4287" s="19" t="n">
        <v>12</v>
      </c>
      <c r="D4287" s="19" t="n">
        <v>2028</v>
      </c>
      <c r="E4287" s="57" t="n">
        <v>4</v>
      </c>
      <c r="F4287" s="29">
        <f>ROUND(((SUMIFS(Calendar!$F$2:$F$9997,Calendar!$B$2:$B$9997,D4287,Calendar!$C$2:$C$9997,C4287)*INDEX(ForeCalc!$B$37:$Y$274,MATCH(_xlfn.CONCAT(H4287," ",I4287),ForeCalc!$A$37:$A$274,0),MATCH(_xlfn.CONCAT(B4287," ",E4287),ForeCalc!$B$36:$Y$36,0))))*VLOOKUP(A4287,Calendar!$A$2:$H$9997,8,FALSE),0)</f>
        <v/>
      </c>
      <c r="G4287" s="29">
        <f>VLOOKUP(A4287,Calendar!$A$1:$H$9997,6,FALSE)-F4287</f>
        <v/>
      </c>
      <c r="H4287" s="19" t="n">
        <v>3</v>
      </c>
      <c r="I4287" s="57" t="n">
        <v>9</v>
      </c>
    </row>
    <row r="4288">
      <c r="A4288" s="62" t="n">
        <v>47111</v>
      </c>
      <c r="B4288" s="3" t="inlineStr">
        <is>
          <t>Sun</t>
        </is>
      </c>
      <c r="C4288" s="19" t="n">
        <v>12</v>
      </c>
      <c r="D4288" s="19" t="n">
        <v>2028</v>
      </c>
      <c r="E4288" s="57" t="n">
        <v>4</v>
      </c>
      <c r="F4288" s="29">
        <f>ROUND(((SUMIFS(Calendar!$F$2:$F$9997,Calendar!$B$2:$B$9997,D4288,Calendar!$C$2:$C$9997,C4288)*INDEX(ForeCalc!$B$37:$Y$274,MATCH(_xlfn.CONCAT(H4288," ",I4288),ForeCalc!$A$37:$A$274,0),MATCH(_xlfn.CONCAT(B4288," ",E4288),ForeCalc!$B$36:$Y$36,0))))*VLOOKUP(A4288,Calendar!$A$2:$H$9997,8,FALSE),0)</f>
        <v/>
      </c>
      <c r="G4288" s="29">
        <f>VLOOKUP(A4288,Calendar!$A$1:$H$9997,6,FALSE)-F4288</f>
        <v/>
      </c>
      <c r="H4288" s="19" t="n">
        <v>3</v>
      </c>
      <c r="I4288" s="57" t="n">
        <v>9</v>
      </c>
    </row>
    <row r="4289">
      <c r="A4289" s="62" t="n">
        <v>47112</v>
      </c>
      <c r="B4289" s="3" t="inlineStr">
        <is>
          <t>Week</t>
        </is>
      </c>
      <c r="C4289" s="19" t="n">
        <v>12</v>
      </c>
      <c r="D4289" s="19" t="n">
        <v>2028</v>
      </c>
      <c r="E4289" s="57" t="n">
        <v>4</v>
      </c>
      <c r="F4289" s="29">
        <f>ROUND(((SUMIFS(Calendar!$F$2:$F$9997,Calendar!$B$2:$B$9997,D4289,Calendar!$C$2:$C$9997,C4289)*INDEX(ForeCalc!$B$37:$Y$274,MATCH(_xlfn.CONCAT(H4289," ",I4289),ForeCalc!$A$37:$A$274,0),MATCH(_xlfn.CONCAT(B4289," ",E4289),ForeCalc!$B$36:$Y$36,0))))*VLOOKUP(A4289,Calendar!$A$2:$H$9997,8,FALSE),0)</f>
        <v/>
      </c>
      <c r="G4289" s="29">
        <f>VLOOKUP(A4289,Calendar!$A$1:$H$9997,6,FALSE)-F4289</f>
        <v/>
      </c>
      <c r="H4289" s="19" t="n">
        <v>3</v>
      </c>
      <c r="I4289" s="57" t="n">
        <v>9</v>
      </c>
    </row>
    <row r="4290">
      <c r="A4290" s="62" t="n">
        <v>47113</v>
      </c>
      <c r="B4290" s="3" t="inlineStr">
        <is>
          <t>Week</t>
        </is>
      </c>
      <c r="C4290" s="19" t="n">
        <v>12</v>
      </c>
      <c r="D4290" s="19" t="n">
        <v>2028</v>
      </c>
      <c r="E4290" s="57" t="n">
        <v>4</v>
      </c>
      <c r="F4290" s="29">
        <f>ROUND(((SUMIFS(Calendar!$F$2:$F$9997,Calendar!$B$2:$B$9997,D4290,Calendar!$C$2:$C$9997,C4290)*INDEX(ForeCalc!$B$37:$Y$274,MATCH(_xlfn.CONCAT(H4290," ",I4290),ForeCalc!$A$37:$A$274,0),MATCH(_xlfn.CONCAT(B4290," ",E4290),ForeCalc!$B$36:$Y$36,0))))*VLOOKUP(A4290,Calendar!$A$2:$H$9997,8,FALSE),0)</f>
        <v/>
      </c>
      <c r="G4290" s="29">
        <f>VLOOKUP(A4290,Calendar!$A$1:$H$9997,6,FALSE)-F4290</f>
        <v/>
      </c>
      <c r="H4290" s="19" t="n">
        <v>3</v>
      </c>
      <c r="I4290" s="57" t="n">
        <v>9</v>
      </c>
    </row>
    <row r="4291">
      <c r="A4291" s="62" t="n">
        <v>47114</v>
      </c>
      <c r="B4291" s="3" t="inlineStr">
        <is>
          <t>Week</t>
        </is>
      </c>
      <c r="C4291" s="19" t="n">
        <v>12</v>
      </c>
      <c r="D4291" s="19" t="n">
        <v>2028</v>
      </c>
      <c r="E4291" s="57" t="n">
        <v>4</v>
      </c>
      <c r="F4291" s="29">
        <f>ROUND(((SUMIFS(Calendar!$F$2:$F$9997,Calendar!$B$2:$B$9997,D4291,Calendar!$C$2:$C$9997,C4291)*INDEX(ForeCalc!$B$37:$Y$274,MATCH(_xlfn.CONCAT(H4291," ",I4291),ForeCalc!$A$37:$A$274,0),MATCH(_xlfn.CONCAT(B4291," ",E4291),ForeCalc!$B$36:$Y$36,0))))*VLOOKUP(A4291,Calendar!$A$2:$H$9997,8,FALSE),0)</f>
        <v/>
      </c>
      <c r="G4291" s="29">
        <f>VLOOKUP(A4291,Calendar!$A$1:$H$9997,6,FALSE)-F4291</f>
        <v/>
      </c>
      <c r="H4291" s="19" t="n">
        <v>3</v>
      </c>
      <c r="I4291" s="57" t="n">
        <v>9</v>
      </c>
    </row>
    <row r="4292">
      <c r="A4292" s="62" t="n">
        <v>47115</v>
      </c>
      <c r="B4292" s="3" t="inlineStr">
        <is>
          <t>Week</t>
        </is>
      </c>
      <c r="C4292" s="19" t="n">
        <v>12</v>
      </c>
      <c r="D4292" s="19" t="n">
        <v>2028</v>
      </c>
      <c r="E4292" s="57" t="n">
        <v>4</v>
      </c>
      <c r="F4292" s="29">
        <f>ROUND(((SUMIFS(Calendar!$F$2:$F$9997,Calendar!$B$2:$B$9997,D4292,Calendar!$C$2:$C$9997,C4292)*INDEX(ForeCalc!$B$37:$Y$274,MATCH(_xlfn.CONCAT(H4292," ",I4292),ForeCalc!$A$37:$A$274,0),MATCH(_xlfn.CONCAT(B4292," ",E4292),ForeCalc!$B$36:$Y$36,0))))*VLOOKUP(A4292,Calendar!$A$2:$H$9997,8,FALSE),0)</f>
        <v/>
      </c>
      <c r="G4292" s="29">
        <f>VLOOKUP(A4292,Calendar!$A$1:$H$9997,6,FALSE)-F4292</f>
        <v/>
      </c>
      <c r="H4292" s="19" t="n">
        <v>3</v>
      </c>
      <c r="I4292" s="57" t="n">
        <v>9</v>
      </c>
    </row>
    <row r="4293">
      <c r="A4293" s="62" t="n">
        <v>47116</v>
      </c>
      <c r="B4293" s="3" t="inlineStr">
        <is>
          <t>Week</t>
        </is>
      </c>
      <c r="C4293" s="19" t="n">
        <v>12</v>
      </c>
      <c r="D4293" s="19" t="n">
        <v>2028</v>
      </c>
      <c r="E4293" s="57" t="n">
        <v>4</v>
      </c>
      <c r="F4293" s="29">
        <f>ROUND(((SUMIFS(Calendar!$F$2:$F$9997,Calendar!$B$2:$B$9997,D4293,Calendar!$C$2:$C$9997,C4293)*INDEX(ForeCalc!$B$37:$Y$274,MATCH(_xlfn.CONCAT(H4293," ",I4293),ForeCalc!$A$37:$A$274,0),MATCH(_xlfn.CONCAT(B4293," ",E4293),ForeCalc!$B$36:$Y$36,0))))*VLOOKUP(A4293,Calendar!$A$2:$H$9997,8,FALSE),0)</f>
        <v/>
      </c>
      <c r="G4293" s="29">
        <f>VLOOKUP(A4293,Calendar!$A$1:$H$9997,6,FALSE)-F4293</f>
        <v/>
      </c>
      <c r="H4293" s="19" t="n">
        <v>3</v>
      </c>
      <c r="I4293" s="57" t="n">
        <v>9</v>
      </c>
    </row>
    <row r="4294">
      <c r="A4294" s="62" t="n">
        <v>47117</v>
      </c>
      <c r="B4294" s="3" t="inlineStr">
        <is>
          <t>Sat</t>
        </is>
      </c>
      <c r="C4294" s="19" t="n">
        <v>12</v>
      </c>
      <c r="D4294" s="19" t="n">
        <v>2028</v>
      </c>
      <c r="E4294" s="57" t="n">
        <v>4</v>
      </c>
      <c r="F4294" s="29">
        <f>ROUND(((SUMIFS(Calendar!$F$2:$F$9997,Calendar!$B$2:$B$9997,D4294,Calendar!$C$2:$C$9997,C4294)*INDEX(ForeCalc!$B$37:$Y$274,MATCH(_xlfn.CONCAT(H4294," ",I4294),ForeCalc!$A$37:$A$274,0),MATCH(_xlfn.CONCAT(B4294," ",E4294),ForeCalc!$B$36:$Y$36,0))))*VLOOKUP(A4294,Calendar!$A$2:$H$9997,8,FALSE),0)</f>
        <v/>
      </c>
      <c r="G4294" s="29">
        <f>VLOOKUP(A4294,Calendar!$A$1:$H$9997,6,FALSE)-F4294</f>
        <v/>
      </c>
      <c r="H4294" s="19" t="n">
        <v>3</v>
      </c>
      <c r="I4294" s="57" t="n">
        <v>9</v>
      </c>
    </row>
    <row r="4295">
      <c r="A4295" s="62" t="n">
        <v>47118</v>
      </c>
      <c r="B4295" s="3" t="inlineStr">
        <is>
          <t>Sun</t>
        </is>
      </c>
      <c r="C4295" s="19" t="n">
        <v>12</v>
      </c>
      <c r="D4295" s="19" t="n">
        <v>2028</v>
      </c>
      <c r="E4295" s="57" t="n">
        <v>4</v>
      </c>
      <c r="F4295" s="29">
        <f>ROUND(((SUMIFS(Calendar!$F$2:$F$9997,Calendar!$B$2:$B$9997,D4295,Calendar!$C$2:$C$9997,C4295)*INDEX(ForeCalc!$B$37:$Y$274,MATCH(_xlfn.CONCAT(H4295," ",I4295),ForeCalc!$A$37:$A$274,0),MATCH(_xlfn.CONCAT(B4295," ",E4295),ForeCalc!$B$36:$Y$36,0))))*VLOOKUP(A4295,Calendar!$A$2:$H$9997,8,FALSE),0)</f>
        <v/>
      </c>
      <c r="G4295" s="29">
        <f>VLOOKUP(A4295,Calendar!$A$1:$H$9997,6,FALSE)-F4295</f>
        <v/>
      </c>
      <c r="H4295" s="19" t="n">
        <v>3</v>
      </c>
      <c r="I4295" s="57" t="n">
        <v>9</v>
      </c>
    </row>
    <row r="4296">
      <c r="A4296" s="62" t="n">
        <v>47119</v>
      </c>
      <c r="B4296" s="3" t="inlineStr">
        <is>
          <t>Week</t>
        </is>
      </c>
      <c r="C4296" s="19" t="n">
        <v>1</v>
      </c>
      <c r="D4296" s="19" t="n">
        <v>2029</v>
      </c>
      <c r="E4296" s="57" t="n">
        <v>4</v>
      </c>
      <c r="F4296" s="29">
        <f>ROUND(((SUMIFS(Calendar!$F$2:$F$9997,Calendar!$B$2:$B$9997,D4296,Calendar!$C$2:$C$9997,C4296)*INDEX(ForeCalc!$B$37:$Y$274,MATCH(_xlfn.CONCAT(H4296," ",I4296),ForeCalc!$A$37:$A$274,0),MATCH(_xlfn.CONCAT(B4296," ",E4296),ForeCalc!$B$36:$Y$36,0))))*VLOOKUP(A4296,Calendar!$A$2:$H$9997,8,FALSE),0)</f>
        <v/>
      </c>
      <c r="G4296" s="29">
        <f>VLOOKUP(A4296,Calendar!$A$1:$H$9997,6,FALSE)-F4296</f>
        <v/>
      </c>
      <c r="H4296" s="19" t="n">
        <v>3</v>
      </c>
      <c r="I4296" s="57" t="n">
        <v>10</v>
      </c>
    </row>
    <row r="4297">
      <c r="A4297" s="62" t="n">
        <v>47120</v>
      </c>
      <c r="B4297" s="3" t="inlineStr">
        <is>
          <t>Week</t>
        </is>
      </c>
      <c r="C4297" s="19" t="n">
        <v>1</v>
      </c>
      <c r="D4297" s="19" t="n">
        <v>2029</v>
      </c>
      <c r="E4297" s="57" t="n">
        <v>4</v>
      </c>
      <c r="F4297" s="29">
        <f>ROUND(((SUMIFS(Calendar!$F$2:$F$9997,Calendar!$B$2:$B$9997,D4297,Calendar!$C$2:$C$9997,C4297)*INDEX(ForeCalc!$B$37:$Y$274,MATCH(_xlfn.CONCAT(H4297," ",I4297),ForeCalc!$A$37:$A$274,0),MATCH(_xlfn.CONCAT(B4297," ",E4297),ForeCalc!$B$36:$Y$36,0))))*VLOOKUP(A4297,Calendar!$A$2:$H$9997,8,FALSE),0)</f>
        <v/>
      </c>
      <c r="G4297" s="29">
        <f>VLOOKUP(A4297,Calendar!$A$1:$H$9997,6,FALSE)-F4297</f>
        <v/>
      </c>
      <c r="H4297" s="19" t="n">
        <v>3</v>
      </c>
      <c r="I4297" s="57" t="n">
        <v>10</v>
      </c>
    </row>
    <row r="4298">
      <c r="A4298" s="62" t="n">
        <v>47121</v>
      </c>
      <c r="B4298" s="3" t="inlineStr">
        <is>
          <t>Week</t>
        </is>
      </c>
      <c r="C4298" s="19" t="n">
        <v>1</v>
      </c>
      <c r="D4298" s="19" t="n">
        <v>2029</v>
      </c>
      <c r="E4298" s="57" t="n">
        <v>4</v>
      </c>
      <c r="F4298" s="29">
        <f>ROUND(((SUMIFS(Calendar!$F$2:$F$9997,Calendar!$B$2:$B$9997,D4298,Calendar!$C$2:$C$9997,C4298)*INDEX(ForeCalc!$B$37:$Y$274,MATCH(_xlfn.CONCAT(H4298," ",I4298),ForeCalc!$A$37:$A$274,0),MATCH(_xlfn.CONCAT(B4298," ",E4298),ForeCalc!$B$36:$Y$36,0))))*VLOOKUP(A4298,Calendar!$A$2:$H$9997,8,FALSE),0)</f>
        <v/>
      </c>
      <c r="G4298" s="29">
        <f>VLOOKUP(A4298,Calendar!$A$1:$H$9997,6,FALSE)-F4298</f>
        <v/>
      </c>
      <c r="H4298" s="19" t="n">
        <v>3</v>
      </c>
      <c r="I4298" s="57" t="n">
        <v>10</v>
      </c>
    </row>
    <row r="4299">
      <c r="A4299" s="62" t="n">
        <v>47122</v>
      </c>
      <c r="B4299" s="3" t="inlineStr">
        <is>
          <t>Week</t>
        </is>
      </c>
      <c r="C4299" s="19" t="n">
        <v>1</v>
      </c>
      <c r="D4299" s="19" t="n">
        <v>2029</v>
      </c>
      <c r="E4299" s="57" t="n">
        <v>4</v>
      </c>
      <c r="F4299" s="29">
        <f>ROUND(((SUMIFS(Calendar!$F$2:$F$9997,Calendar!$B$2:$B$9997,D4299,Calendar!$C$2:$C$9997,C4299)*INDEX(ForeCalc!$B$37:$Y$274,MATCH(_xlfn.CONCAT(H4299," ",I4299),ForeCalc!$A$37:$A$274,0),MATCH(_xlfn.CONCAT(B4299," ",E4299),ForeCalc!$B$36:$Y$36,0))))*VLOOKUP(A4299,Calendar!$A$2:$H$9997,8,FALSE),0)</f>
        <v/>
      </c>
      <c r="G4299" s="29">
        <f>VLOOKUP(A4299,Calendar!$A$1:$H$9997,6,FALSE)-F4299</f>
        <v/>
      </c>
      <c r="H4299" s="19" t="n">
        <v>3</v>
      </c>
      <c r="I4299" s="57" t="n">
        <v>10</v>
      </c>
    </row>
    <row r="4300">
      <c r="A4300" s="62" t="n">
        <v>47123</v>
      </c>
      <c r="B4300" s="3" t="inlineStr">
        <is>
          <t>Week</t>
        </is>
      </c>
      <c r="C4300" s="19" t="n">
        <v>1</v>
      </c>
      <c r="D4300" s="19" t="n">
        <v>2029</v>
      </c>
      <c r="E4300" s="57" t="n">
        <v>4</v>
      </c>
      <c r="F4300" s="29">
        <f>ROUND(((SUMIFS(Calendar!$F$2:$F$9997,Calendar!$B$2:$B$9997,D4300,Calendar!$C$2:$C$9997,C4300)*INDEX(ForeCalc!$B$37:$Y$274,MATCH(_xlfn.CONCAT(H4300," ",I4300),ForeCalc!$A$37:$A$274,0),MATCH(_xlfn.CONCAT(B4300," ",E4300),ForeCalc!$B$36:$Y$36,0))))*VLOOKUP(A4300,Calendar!$A$2:$H$9997,8,FALSE),0)</f>
        <v/>
      </c>
      <c r="G4300" s="29">
        <f>VLOOKUP(A4300,Calendar!$A$1:$H$9997,6,FALSE)-F4300</f>
        <v/>
      </c>
      <c r="H4300" s="19" t="n">
        <v>3</v>
      </c>
      <c r="I4300" s="57" t="n">
        <v>10</v>
      </c>
    </row>
    <row r="4301">
      <c r="A4301" s="62" t="n">
        <v>47124</v>
      </c>
      <c r="B4301" s="3" t="inlineStr">
        <is>
          <t>Sat</t>
        </is>
      </c>
      <c r="C4301" s="19" t="n">
        <v>1</v>
      </c>
      <c r="D4301" s="19" t="n">
        <v>2029</v>
      </c>
      <c r="E4301" s="57" t="n">
        <v>4</v>
      </c>
      <c r="F4301" s="29">
        <f>ROUND(((SUMIFS(Calendar!$F$2:$F$9997,Calendar!$B$2:$B$9997,D4301,Calendar!$C$2:$C$9997,C4301)*INDEX(ForeCalc!$B$37:$Y$274,MATCH(_xlfn.CONCAT(H4301," ",I4301),ForeCalc!$A$37:$A$274,0),MATCH(_xlfn.CONCAT(B4301," ",E4301),ForeCalc!$B$36:$Y$36,0))))*VLOOKUP(A4301,Calendar!$A$2:$H$9997,8,FALSE),0)</f>
        <v/>
      </c>
      <c r="G4301" s="29">
        <f>VLOOKUP(A4301,Calendar!$A$1:$H$9997,6,FALSE)-F4301</f>
        <v/>
      </c>
      <c r="H4301" s="19" t="n">
        <v>3</v>
      </c>
      <c r="I4301" s="57" t="n">
        <v>10</v>
      </c>
    </row>
    <row r="4302">
      <c r="A4302" s="62" t="n">
        <v>47125</v>
      </c>
      <c r="B4302" s="3" t="inlineStr">
        <is>
          <t>Sun</t>
        </is>
      </c>
      <c r="C4302" s="19" t="n">
        <v>1</v>
      </c>
      <c r="D4302" s="19" t="n">
        <v>2029</v>
      </c>
      <c r="E4302" s="57" t="n">
        <v>4</v>
      </c>
      <c r="F4302" s="29">
        <f>ROUND(((SUMIFS(Calendar!$F$2:$F$9997,Calendar!$B$2:$B$9997,D4302,Calendar!$C$2:$C$9997,C4302)*INDEX(ForeCalc!$B$37:$Y$274,MATCH(_xlfn.CONCAT(H4302," ",I4302),ForeCalc!$A$37:$A$274,0),MATCH(_xlfn.CONCAT(B4302," ",E4302),ForeCalc!$B$36:$Y$36,0))))*VLOOKUP(A4302,Calendar!$A$2:$H$9997,8,FALSE),0)</f>
        <v/>
      </c>
      <c r="G4302" s="29">
        <f>VLOOKUP(A4302,Calendar!$A$1:$H$9997,6,FALSE)-F4302</f>
        <v/>
      </c>
      <c r="H4302" s="19" t="n">
        <v>3</v>
      </c>
      <c r="I4302" s="57" t="n">
        <v>10</v>
      </c>
    </row>
    <row r="4303">
      <c r="A4303" s="62" t="n">
        <v>47126</v>
      </c>
      <c r="B4303" s="3" t="inlineStr">
        <is>
          <t>Week</t>
        </is>
      </c>
      <c r="C4303" s="19" t="n">
        <v>1</v>
      </c>
      <c r="D4303" s="19" t="n">
        <v>2029</v>
      </c>
      <c r="E4303" s="57" t="n">
        <v>4</v>
      </c>
      <c r="F4303" s="29">
        <f>ROUND(((SUMIFS(Calendar!$F$2:$F$9997,Calendar!$B$2:$B$9997,D4303,Calendar!$C$2:$C$9997,C4303)*INDEX(ForeCalc!$B$37:$Y$274,MATCH(_xlfn.CONCAT(H4303," ",I4303),ForeCalc!$A$37:$A$274,0),MATCH(_xlfn.CONCAT(B4303," ",E4303),ForeCalc!$B$36:$Y$36,0))))*VLOOKUP(A4303,Calendar!$A$2:$H$9997,8,FALSE),0)</f>
        <v/>
      </c>
      <c r="G4303" s="29">
        <f>VLOOKUP(A4303,Calendar!$A$1:$H$9997,6,FALSE)-F4303</f>
        <v/>
      </c>
      <c r="H4303" s="19" t="n">
        <v>3</v>
      </c>
      <c r="I4303" s="57" t="n">
        <v>10</v>
      </c>
    </row>
    <row r="4304">
      <c r="A4304" s="62" t="n">
        <v>47127</v>
      </c>
      <c r="B4304" s="3" t="inlineStr">
        <is>
          <t>Week</t>
        </is>
      </c>
      <c r="C4304" s="19" t="n">
        <v>1</v>
      </c>
      <c r="D4304" s="19" t="n">
        <v>2029</v>
      </c>
      <c r="E4304" s="57" t="n">
        <v>4</v>
      </c>
      <c r="F4304" s="29">
        <f>ROUND(((SUMIFS(Calendar!$F$2:$F$9997,Calendar!$B$2:$B$9997,D4304,Calendar!$C$2:$C$9997,C4304)*INDEX(ForeCalc!$B$37:$Y$274,MATCH(_xlfn.CONCAT(H4304," ",I4304),ForeCalc!$A$37:$A$274,0),MATCH(_xlfn.CONCAT(B4304," ",E4304),ForeCalc!$B$36:$Y$36,0))))*VLOOKUP(A4304,Calendar!$A$2:$H$9997,8,FALSE),0)</f>
        <v/>
      </c>
      <c r="G4304" s="29">
        <f>VLOOKUP(A4304,Calendar!$A$1:$H$9997,6,FALSE)-F4304</f>
        <v/>
      </c>
      <c r="H4304" s="19" t="n">
        <v>3</v>
      </c>
      <c r="I4304" s="57" t="n">
        <v>10</v>
      </c>
    </row>
    <row r="4305">
      <c r="A4305" s="62" t="n">
        <v>47128</v>
      </c>
      <c r="B4305" s="3" t="inlineStr">
        <is>
          <t>Week</t>
        </is>
      </c>
      <c r="C4305" s="19" t="n">
        <v>1</v>
      </c>
      <c r="D4305" s="19" t="n">
        <v>2029</v>
      </c>
      <c r="E4305" s="57" t="n">
        <v>4</v>
      </c>
      <c r="F4305" s="29">
        <f>ROUND(((SUMIFS(Calendar!$F$2:$F$9997,Calendar!$B$2:$B$9997,D4305,Calendar!$C$2:$C$9997,C4305)*INDEX(ForeCalc!$B$37:$Y$274,MATCH(_xlfn.CONCAT(H4305," ",I4305),ForeCalc!$A$37:$A$274,0),MATCH(_xlfn.CONCAT(B4305," ",E4305),ForeCalc!$B$36:$Y$36,0))))*VLOOKUP(A4305,Calendar!$A$2:$H$9997,8,FALSE),0)</f>
        <v/>
      </c>
      <c r="G4305" s="29">
        <f>VLOOKUP(A4305,Calendar!$A$1:$H$9997,6,FALSE)-F4305</f>
        <v/>
      </c>
      <c r="H4305" s="19" t="n">
        <v>3</v>
      </c>
      <c r="I4305" s="57" t="n">
        <v>10</v>
      </c>
    </row>
    <row r="4306">
      <c r="A4306" s="62" t="n">
        <v>47129</v>
      </c>
      <c r="B4306" s="3" t="inlineStr">
        <is>
          <t>Week</t>
        </is>
      </c>
      <c r="C4306" s="19" t="n">
        <v>1</v>
      </c>
      <c r="D4306" s="19" t="n">
        <v>2029</v>
      </c>
      <c r="E4306" s="57" t="n">
        <v>4</v>
      </c>
      <c r="F4306" s="29">
        <f>ROUND(((SUMIFS(Calendar!$F$2:$F$9997,Calendar!$B$2:$B$9997,D4306,Calendar!$C$2:$C$9997,C4306)*INDEX(ForeCalc!$B$37:$Y$274,MATCH(_xlfn.CONCAT(H4306," ",I4306),ForeCalc!$A$37:$A$274,0),MATCH(_xlfn.CONCAT(B4306," ",E4306),ForeCalc!$B$36:$Y$36,0))))*VLOOKUP(A4306,Calendar!$A$2:$H$9997,8,FALSE),0)</f>
        <v/>
      </c>
      <c r="G4306" s="29">
        <f>VLOOKUP(A4306,Calendar!$A$1:$H$9997,6,FALSE)-F4306</f>
        <v/>
      </c>
      <c r="H4306" s="19" t="n">
        <v>3</v>
      </c>
      <c r="I4306" s="57" t="n">
        <v>10</v>
      </c>
    </row>
    <row r="4307">
      <c r="A4307" s="62" t="n">
        <v>47130</v>
      </c>
      <c r="B4307" s="3" t="inlineStr">
        <is>
          <t>Week</t>
        </is>
      </c>
      <c r="C4307" s="19" t="n">
        <v>1</v>
      </c>
      <c r="D4307" s="19" t="n">
        <v>2029</v>
      </c>
      <c r="E4307" s="57" t="n">
        <v>4</v>
      </c>
      <c r="F4307" s="29">
        <f>ROUND(((SUMIFS(Calendar!$F$2:$F$9997,Calendar!$B$2:$B$9997,D4307,Calendar!$C$2:$C$9997,C4307)*INDEX(ForeCalc!$B$37:$Y$274,MATCH(_xlfn.CONCAT(H4307," ",I4307),ForeCalc!$A$37:$A$274,0),MATCH(_xlfn.CONCAT(B4307," ",E4307),ForeCalc!$B$36:$Y$36,0))))*VLOOKUP(A4307,Calendar!$A$2:$H$9997,8,FALSE),0)</f>
        <v/>
      </c>
      <c r="G4307" s="29">
        <f>VLOOKUP(A4307,Calendar!$A$1:$H$9997,6,FALSE)-F4307</f>
        <v/>
      </c>
      <c r="H4307" s="19" t="n">
        <v>3</v>
      </c>
      <c r="I4307" s="57" t="n">
        <v>10</v>
      </c>
    </row>
    <row r="4308">
      <c r="A4308" s="62" t="n">
        <v>47131</v>
      </c>
      <c r="B4308" s="3" t="inlineStr">
        <is>
          <t>Sat</t>
        </is>
      </c>
      <c r="C4308" s="19" t="n">
        <v>1</v>
      </c>
      <c r="D4308" s="19" t="n">
        <v>2029</v>
      </c>
      <c r="E4308" s="57" t="n">
        <v>4</v>
      </c>
      <c r="F4308" s="29">
        <f>ROUND(((SUMIFS(Calendar!$F$2:$F$9997,Calendar!$B$2:$B$9997,D4308,Calendar!$C$2:$C$9997,C4308)*INDEX(ForeCalc!$B$37:$Y$274,MATCH(_xlfn.CONCAT(H4308," ",I4308),ForeCalc!$A$37:$A$274,0),MATCH(_xlfn.CONCAT(B4308," ",E4308),ForeCalc!$B$36:$Y$36,0))))*VLOOKUP(A4308,Calendar!$A$2:$H$9997,8,FALSE),0)</f>
        <v/>
      </c>
      <c r="G4308" s="29">
        <f>VLOOKUP(A4308,Calendar!$A$1:$H$9997,6,FALSE)-F4308</f>
        <v/>
      </c>
      <c r="H4308" s="19" t="n">
        <v>3</v>
      </c>
      <c r="I4308" s="57" t="n">
        <v>10</v>
      </c>
    </row>
    <row r="4309">
      <c r="A4309" s="62" t="n">
        <v>47132</v>
      </c>
      <c r="B4309" s="3" t="inlineStr">
        <is>
          <t>Sun</t>
        </is>
      </c>
      <c r="C4309" s="19" t="n">
        <v>1</v>
      </c>
      <c r="D4309" s="19" t="n">
        <v>2029</v>
      </c>
      <c r="E4309" s="57" t="n">
        <v>4</v>
      </c>
      <c r="F4309" s="29">
        <f>ROUND(((SUMIFS(Calendar!$F$2:$F$9997,Calendar!$B$2:$B$9997,D4309,Calendar!$C$2:$C$9997,C4309)*INDEX(ForeCalc!$B$37:$Y$274,MATCH(_xlfn.CONCAT(H4309," ",I4309),ForeCalc!$A$37:$A$274,0),MATCH(_xlfn.CONCAT(B4309," ",E4309),ForeCalc!$B$36:$Y$36,0))))*VLOOKUP(A4309,Calendar!$A$2:$H$9997,8,FALSE),0)</f>
        <v/>
      </c>
      <c r="G4309" s="29">
        <f>VLOOKUP(A4309,Calendar!$A$1:$H$9997,6,FALSE)-F4309</f>
        <v/>
      </c>
      <c r="H4309" s="19" t="n">
        <v>3</v>
      </c>
      <c r="I4309" s="57" t="n">
        <v>10</v>
      </c>
    </row>
    <row r="4310">
      <c r="A4310" s="62" t="n">
        <v>47133</v>
      </c>
      <c r="B4310" s="3" t="inlineStr">
        <is>
          <t>Week</t>
        </is>
      </c>
      <c r="C4310" s="19" t="n">
        <v>1</v>
      </c>
      <c r="D4310" s="19" t="n">
        <v>2029</v>
      </c>
      <c r="E4310" s="57" t="n">
        <v>4</v>
      </c>
      <c r="F4310" s="29">
        <f>ROUND(((SUMIFS(Calendar!$F$2:$F$9997,Calendar!$B$2:$B$9997,D4310,Calendar!$C$2:$C$9997,C4310)*INDEX(ForeCalc!$B$37:$Y$274,MATCH(_xlfn.CONCAT(H4310," ",I4310),ForeCalc!$A$37:$A$274,0),MATCH(_xlfn.CONCAT(B4310," ",E4310),ForeCalc!$B$36:$Y$36,0))))*VLOOKUP(A4310,Calendar!$A$2:$H$9997,8,FALSE),0)</f>
        <v/>
      </c>
      <c r="G4310" s="29">
        <f>VLOOKUP(A4310,Calendar!$A$1:$H$9997,6,FALSE)-F4310</f>
        <v/>
      </c>
      <c r="H4310" s="19" t="n">
        <v>3</v>
      </c>
      <c r="I4310" s="57" t="n">
        <v>10</v>
      </c>
    </row>
    <row r="4311">
      <c r="A4311" s="62" t="n">
        <v>47134</v>
      </c>
      <c r="B4311" s="3" t="inlineStr">
        <is>
          <t>Week</t>
        </is>
      </c>
      <c r="C4311" s="19" t="n">
        <v>1</v>
      </c>
      <c r="D4311" s="19" t="n">
        <v>2029</v>
      </c>
      <c r="E4311" s="57" t="n">
        <v>4</v>
      </c>
      <c r="F4311" s="29">
        <f>ROUND(((SUMIFS(Calendar!$F$2:$F$9997,Calendar!$B$2:$B$9997,D4311,Calendar!$C$2:$C$9997,C4311)*INDEX(ForeCalc!$B$37:$Y$274,MATCH(_xlfn.CONCAT(H4311," ",I4311),ForeCalc!$A$37:$A$274,0),MATCH(_xlfn.CONCAT(B4311," ",E4311),ForeCalc!$B$36:$Y$36,0))))*VLOOKUP(A4311,Calendar!$A$2:$H$9997,8,FALSE),0)</f>
        <v/>
      </c>
      <c r="G4311" s="29">
        <f>VLOOKUP(A4311,Calendar!$A$1:$H$9997,6,FALSE)-F4311</f>
        <v/>
      </c>
      <c r="H4311" s="19" t="n">
        <v>3</v>
      </c>
      <c r="I4311" s="57" t="n">
        <v>10</v>
      </c>
    </row>
    <row r="4312">
      <c r="A4312" s="62" t="n">
        <v>47135</v>
      </c>
      <c r="B4312" s="3" t="inlineStr">
        <is>
          <t>Week</t>
        </is>
      </c>
      <c r="C4312" s="19" t="n">
        <v>1</v>
      </c>
      <c r="D4312" s="19" t="n">
        <v>2029</v>
      </c>
      <c r="E4312" s="57" t="n">
        <v>4</v>
      </c>
      <c r="F4312" s="29">
        <f>ROUND(((SUMIFS(Calendar!$F$2:$F$9997,Calendar!$B$2:$B$9997,D4312,Calendar!$C$2:$C$9997,C4312)*INDEX(ForeCalc!$B$37:$Y$274,MATCH(_xlfn.CONCAT(H4312," ",I4312),ForeCalc!$A$37:$A$274,0),MATCH(_xlfn.CONCAT(B4312," ",E4312),ForeCalc!$B$36:$Y$36,0))))*VLOOKUP(A4312,Calendar!$A$2:$H$9997,8,FALSE),0)</f>
        <v/>
      </c>
      <c r="G4312" s="29">
        <f>VLOOKUP(A4312,Calendar!$A$1:$H$9997,6,FALSE)-F4312</f>
        <v/>
      </c>
      <c r="H4312" s="19" t="n">
        <v>3</v>
      </c>
      <c r="I4312" s="57" t="n">
        <v>10</v>
      </c>
    </row>
    <row r="4313">
      <c r="A4313" s="62" t="n">
        <v>47136</v>
      </c>
      <c r="B4313" s="3" t="inlineStr">
        <is>
          <t>Week</t>
        </is>
      </c>
      <c r="C4313" s="19" t="n">
        <v>1</v>
      </c>
      <c r="D4313" s="19" t="n">
        <v>2029</v>
      </c>
      <c r="E4313" s="57" t="n">
        <v>4</v>
      </c>
      <c r="F4313" s="29">
        <f>ROUND(((SUMIFS(Calendar!$F$2:$F$9997,Calendar!$B$2:$B$9997,D4313,Calendar!$C$2:$C$9997,C4313)*INDEX(ForeCalc!$B$37:$Y$274,MATCH(_xlfn.CONCAT(H4313," ",I4313),ForeCalc!$A$37:$A$274,0),MATCH(_xlfn.CONCAT(B4313," ",E4313),ForeCalc!$B$36:$Y$36,0))))*VLOOKUP(A4313,Calendar!$A$2:$H$9997,8,FALSE),0)</f>
        <v/>
      </c>
      <c r="G4313" s="29">
        <f>VLOOKUP(A4313,Calendar!$A$1:$H$9997,6,FALSE)-F4313</f>
        <v/>
      </c>
      <c r="H4313" s="19" t="n">
        <v>3</v>
      </c>
      <c r="I4313" s="57" t="n">
        <v>10</v>
      </c>
    </row>
    <row r="4314">
      <c r="A4314" s="62" t="n">
        <v>47137</v>
      </c>
      <c r="B4314" s="3" t="inlineStr">
        <is>
          <t>Week</t>
        </is>
      </c>
      <c r="C4314" s="19" t="n">
        <v>1</v>
      </c>
      <c r="D4314" s="19" t="n">
        <v>2029</v>
      </c>
      <c r="E4314" s="57" t="n">
        <v>4</v>
      </c>
      <c r="F4314" s="29">
        <f>ROUND(((SUMIFS(Calendar!$F$2:$F$9997,Calendar!$B$2:$B$9997,D4314,Calendar!$C$2:$C$9997,C4314)*INDEX(ForeCalc!$B$37:$Y$274,MATCH(_xlfn.CONCAT(H4314," ",I4314),ForeCalc!$A$37:$A$274,0),MATCH(_xlfn.CONCAT(B4314," ",E4314),ForeCalc!$B$36:$Y$36,0))))*VLOOKUP(A4314,Calendar!$A$2:$H$9997,8,FALSE),0)</f>
        <v/>
      </c>
      <c r="G4314" s="29">
        <f>VLOOKUP(A4314,Calendar!$A$1:$H$9997,6,FALSE)-F4314</f>
        <v/>
      </c>
      <c r="H4314" s="19" t="n">
        <v>3</v>
      </c>
      <c r="I4314" s="57" t="n">
        <v>10</v>
      </c>
    </row>
    <row r="4315">
      <c r="A4315" s="62" t="n">
        <v>47138</v>
      </c>
      <c r="B4315" s="3" t="inlineStr">
        <is>
          <t>Sat</t>
        </is>
      </c>
      <c r="C4315" s="19" t="n">
        <v>1</v>
      </c>
      <c r="D4315" s="19" t="n">
        <v>2029</v>
      </c>
      <c r="E4315" s="57" t="n">
        <v>4</v>
      </c>
      <c r="F4315" s="29">
        <f>ROUND(((SUMIFS(Calendar!$F$2:$F$9997,Calendar!$B$2:$B$9997,D4315,Calendar!$C$2:$C$9997,C4315)*INDEX(ForeCalc!$B$37:$Y$274,MATCH(_xlfn.CONCAT(H4315," ",I4315),ForeCalc!$A$37:$A$274,0),MATCH(_xlfn.CONCAT(B4315," ",E4315),ForeCalc!$B$36:$Y$36,0))))*VLOOKUP(A4315,Calendar!$A$2:$H$9997,8,FALSE),0)</f>
        <v/>
      </c>
      <c r="G4315" s="29">
        <f>VLOOKUP(A4315,Calendar!$A$1:$H$9997,6,FALSE)-F4315</f>
        <v/>
      </c>
      <c r="H4315" s="19" t="n">
        <v>3</v>
      </c>
      <c r="I4315" s="57" t="n">
        <v>10</v>
      </c>
    </row>
    <row r="4316">
      <c r="A4316" s="62" t="n">
        <v>47139</v>
      </c>
      <c r="B4316" s="3" t="inlineStr">
        <is>
          <t>Sun</t>
        </is>
      </c>
      <c r="C4316" s="19" t="n">
        <v>1</v>
      </c>
      <c r="D4316" s="19" t="n">
        <v>2029</v>
      </c>
      <c r="E4316" s="57" t="n">
        <v>4</v>
      </c>
      <c r="F4316" s="29">
        <f>ROUND(((SUMIFS(Calendar!$F$2:$F$9997,Calendar!$B$2:$B$9997,D4316,Calendar!$C$2:$C$9997,C4316)*INDEX(ForeCalc!$B$37:$Y$274,MATCH(_xlfn.CONCAT(H4316," ",I4316),ForeCalc!$A$37:$A$274,0),MATCH(_xlfn.CONCAT(B4316," ",E4316),ForeCalc!$B$36:$Y$36,0))))*VLOOKUP(A4316,Calendar!$A$2:$H$9997,8,FALSE),0)</f>
        <v/>
      </c>
      <c r="G4316" s="29">
        <f>VLOOKUP(A4316,Calendar!$A$1:$H$9997,6,FALSE)-F4316</f>
        <v/>
      </c>
      <c r="H4316" s="19" t="n">
        <v>3</v>
      </c>
      <c r="I4316" s="57" t="n">
        <v>10</v>
      </c>
    </row>
    <row r="4317">
      <c r="A4317" s="62" t="n">
        <v>47140</v>
      </c>
      <c r="B4317" s="3" t="inlineStr">
        <is>
          <t>Week</t>
        </is>
      </c>
      <c r="C4317" s="19" t="n">
        <v>1</v>
      </c>
      <c r="D4317" s="19" t="n">
        <v>2029</v>
      </c>
      <c r="E4317" s="57" t="n">
        <v>4</v>
      </c>
      <c r="F4317" s="29">
        <f>ROUND(((SUMIFS(Calendar!$F$2:$F$9997,Calendar!$B$2:$B$9997,D4317,Calendar!$C$2:$C$9997,C4317)*INDEX(ForeCalc!$B$37:$Y$274,MATCH(_xlfn.CONCAT(H4317," ",I4317),ForeCalc!$A$37:$A$274,0),MATCH(_xlfn.CONCAT(B4317," ",E4317),ForeCalc!$B$36:$Y$36,0))))*VLOOKUP(A4317,Calendar!$A$2:$H$9997,8,FALSE),0)</f>
        <v/>
      </c>
      <c r="G4317" s="29">
        <f>VLOOKUP(A4317,Calendar!$A$1:$H$9997,6,FALSE)-F4317</f>
        <v/>
      </c>
      <c r="H4317" s="19" t="n">
        <v>3</v>
      </c>
      <c r="I4317" s="57" t="n">
        <v>10</v>
      </c>
    </row>
    <row r="4318">
      <c r="A4318" s="62" t="n">
        <v>47141</v>
      </c>
      <c r="B4318" s="3" t="inlineStr">
        <is>
          <t>Week</t>
        </is>
      </c>
      <c r="C4318" s="19" t="n">
        <v>1</v>
      </c>
      <c r="D4318" s="19" t="n">
        <v>2029</v>
      </c>
      <c r="E4318" s="57" t="n">
        <v>4</v>
      </c>
      <c r="F4318" s="29">
        <f>ROUND(((SUMIFS(Calendar!$F$2:$F$9997,Calendar!$B$2:$B$9997,D4318,Calendar!$C$2:$C$9997,C4318)*INDEX(ForeCalc!$B$37:$Y$274,MATCH(_xlfn.CONCAT(H4318," ",I4318),ForeCalc!$A$37:$A$274,0),MATCH(_xlfn.CONCAT(B4318," ",E4318),ForeCalc!$B$36:$Y$36,0))))*VLOOKUP(A4318,Calendar!$A$2:$H$9997,8,FALSE),0)</f>
        <v/>
      </c>
      <c r="G4318" s="29">
        <f>VLOOKUP(A4318,Calendar!$A$1:$H$9997,6,FALSE)-F4318</f>
        <v/>
      </c>
      <c r="H4318" s="19" t="n">
        <v>3</v>
      </c>
      <c r="I4318" s="57" t="n">
        <v>10</v>
      </c>
    </row>
    <row r="4319">
      <c r="A4319" s="62" t="n">
        <v>47142</v>
      </c>
      <c r="B4319" s="3" t="inlineStr">
        <is>
          <t>Week</t>
        </is>
      </c>
      <c r="C4319" s="19" t="n">
        <v>1</v>
      </c>
      <c r="D4319" s="19" t="n">
        <v>2029</v>
      </c>
      <c r="E4319" s="57" t="n">
        <v>4</v>
      </c>
      <c r="F4319" s="29">
        <f>ROUND(((SUMIFS(Calendar!$F$2:$F$9997,Calendar!$B$2:$B$9997,D4319,Calendar!$C$2:$C$9997,C4319)*INDEX(ForeCalc!$B$37:$Y$274,MATCH(_xlfn.CONCAT(H4319," ",I4319),ForeCalc!$A$37:$A$274,0),MATCH(_xlfn.CONCAT(B4319," ",E4319),ForeCalc!$B$36:$Y$36,0))))*VLOOKUP(A4319,Calendar!$A$2:$H$9997,8,FALSE),0)</f>
        <v/>
      </c>
      <c r="G4319" s="29">
        <f>VLOOKUP(A4319,Calendar!$A$1:$H$9997,6,FALSE)-F4319</f>
        <v/>
      </c>
      <c r="H4319" s="19" t="n">
        <v>3</v>
      </c>
      <c r="I4319" s="57" t="n">
        <v>10</v>
      </c>
    </row>
    <row r="4320">
      <c r="A4320" s="62" t="n">
        <v>47143</v>
      </c>
      <c r="B4320" s="3" t="inlineStr">
        <is>
          <t>Week</t>
        </is>
      </c>
      <c r="C4320" s="19" t="n">
        <v>1</v>
      </c>
      <c r="D4320" s="19" t="n">
        <v>2029</v>
      </c>
      <c r="E4320" s="57" t="n">
        <v>4</v>
      </c>
      <c r="F4320" s="29">
        <f>ROUND(((SUMIFS(Calendar!$F$2:$F$9997,Calendar!$B$2:$B$9997,D4320,Calendar!$C$2:$C$9997,C4320)*INDEX(ForeCalc!$B$37:$Y$274,MATCH(_xlfn.CONCAT(H4320," ",I4320),ForeCalc!$A$37:$A$274,0),MATCH(_xlfn.CONCAT(B4320," ",E4320),ForeCalc!$B$36:$Y$36,0))))*VLOOKUP(A4320,Calendar!$A$2:$H$9997,8,FALSE),0)</f>
        <v/>
      </c>
      <c r="G4320" s="29">
        <f>VLOOKUP(A4320,Calendar!$A$1:$H$9997,6,FALSE)-F4320</f>
        <v/>
      </c>
      <c r="H4320" s="19" t="n">
        <v>3</v>
      </c>
      <c r="I4320" s="57" t="n">
        <v>10</v>
      </c>
    </row>
    <row r="4321">
      <c r="A4321" s="62" t="n">
        <v>47144</v>
      </c>
      <c r="B4321" s="3" t="inlineStr">
        <is>
          <t>Week</t>
        </is>
      </c>
      <c r="C4321" s="19" t="n">
        <v>1</v>
      </c>
      <c r="D4321" s="19" t="n">
        <v>2029</v>
      </c>
      <c r="E4321" s="57" t="n">
        <v>4</v>
      </c>
      <c r="F4321" s="29">
        <f>ROUND(((SUMIFS(Calendar!$F$2:$F$9997,Calendar!$B$2:$B$9997,D4321,Calendar!$C$2:$C$9997,C4321)*INDEX(ForeCalc!$B$37:$Y$274,MATCH(_xlfn.CONCAT(H4321," ",I4321),ForeCalc!$A$37:$A$274,0),MATCH(_xlfn.CONCAT(B4321," ",E4321),ForeCalc!$B$36:$Y$36,0))))*VLOOKUP(A4321,Calendar!$A$2:$H$9997,8,FALSE),0)</f>
        <v/>
      </c>
      <c r="G4321" s="29">
        <f>VLOOKUP(A4321,Calendar!$A$1:$H$9997,6,FALSE)-F4321</f>
        <v/>
      </c>
      <c r="H4321" s="19" t="n">
        <v>3</v>
      </c>
      <c r="I4321" s="57" t="n">
        <v>10</v>
      </c>
    </row>
    <row r="4322">
      <c r="A4322" s="62" t="n">
        <v>47145</v>
      </c>
      <c r="B4322" s="3" t="inlineStr">
        <is>
          <t>Sat</t>
        </is>
      </c>
      <c r="C4322" s="19" t="n">
        <v>1</v>
      </c>
      <c r="D4322" s="19" t="n">
        <v>2029</v>
      </c>
      <c r="E4322" s="57" t="n">
        <v>4</v>
      </c>
      <c r="F4322" s="29">
        <f>ROUND(((SUMIFS(Calendar!$F$2:$F$9997,Calendar!$B$2:$B$9997,D4322,Calendar!$C$2:$C$9997,C4322)*INDEX(ForeCalc!$B$37:$Y$274,MATCH(_xlfn.CONCAT(H4322," ",I4322),ForeCalc!$A$37:$A$274,0),MATCH(_xlfn.CONCAT(B4322," ",E4322),ForeCalc!$B$36:$Y$36,0))))*VLOOKUP(A4322,Calendar!$A$2:$H$9997,8,FALSE),0)</f>
        <v/>
      </c>
      <c r="G4322" s="29">
        <f>VLOOKUP(A4322,Calendar!$A$1:$H$9997,6,FALSE)-F4322</f>
        <v/>
      </c>
      <c r="H4322" s="19" t="n">
        <v>3</v>
      </c>
      <c r="I4322" s="57" t="n">
        <v>10</v>
      </c>
    </row>
    <row r="4323">
      <c r="A4323" s="62" t="n">
        <v>47146</v>
      </c>
      <c r="B4323" s="3" t="inlineStr">
        <is>
          <t>Sun</t>
        </is>
      </c>
      <c r="C4323" s="19" t="n">
        <v>1</v>
      </c>
      <c r="D4323" s="19" t="n">
        <v>2029</v>
      </c>
      <c r="E4323" s="57" t="n">
        <v>4</v>
      </c>
      <c r="F4323" s="29">
        <f>ROUND(((SUMIFS(Calendar!$F$2:$F$9997,Calendar!$B$2:$B$9997,D4323,Calendar!$C$2:$C$9997,C4323)*INDEX(ForeCalc!$B$37:$Y$274,MATCH(_xlfn.CONCAT(H4323," ",I4323),ForeCalc!$A$37:$A$274,0),MATCH(_xlfn.CONCAT(B4323," ",E4323),ForeCalc!$B$36:$Y$36,0))))*VLOOKUP(A4323,Calendar!$A$2:$H$9997,8,FALSE),0)</f>
        <v/>
      </c>
      <c r="G4323" s="29">
        <f>VLOOKUP(A4323,Calendar!$A$1:$H$9997,6,FALSE)-F4323</f>
        <v/>
      </c>
      <c r="H4323" s="19" t="n">
        <v>3</v>
      </c>
      <c r="I4323" s="57" t="n">
        <v>10</v>
      </c>
    </row>
    <row r="4324">
      <c r="A4324" s="62" t="n">
        <v>47147</v>
      </c>
      <c r="B4324" s="3" t="inlineStr">
        <is>
          <t>Week</t>
        </is>
      </c>
      <c r="C4324" s="19" t="n">
        <v>1</v>
      </c>
      <c r="D4324" s="19" t="n">
        <v>2029</v>
      </c>
      <c r="E4324" s="57" t="n">
        <v>4</v>
      </c>
      <c r="F4324" s="29">
        <f>ROUND(((SUMIFS(Calendar!$F$2:$F$9997,Calendar!$B$2:$B$9997,D4324,Calendar!$C$2:$C$9997,C4324)*INDEX(ForeCalc!$B$37:$Y$274,MATCH(_xlfn.CONCAT(H4324," ",I4324),ForeCalc!$A$37:$A$274,0),MATCH(_xlfn.CONCAT(B4324," ",E4324),ForeCalc!$B$36:$Y$36,0))))*VLOOKUP(A4324,Calendar!$A$2:$H$9997,8,FALSE),0)</f>
        <v/>
      </c>
      <c r="G4324" s="29">
        <f>VLOOKUP(A4324,Calendar!$A$1:$H$9997,6,FALSE)-F4324</f>
        <v/>
      </c>
      <c r="H4324" s="19" t="n">
        <v>3</v>
      </c>
      <c r="I4324" s="57" t="n">
        <v>10</v>
      </c>
    </row>
    <row r="4325">
      <c r="A4325" s="62" t="n">
        <v>47148</v>
      </c>
      <c r="B4325" s="3" t="inlineStr">
        <is>
          <t>Week</t>
        </is>
      </c>
      <c r="C4325" s="19" t="n">
        <v>1</v>
      </c>
      <c r="D4325" s="19" t="n">
        <v>2029</v>
      </c>
      <c r="E4325" s="57" t="n">
        <v>4</v>
      </c>
      <c r="F4325" s="29">
        <f>ROUND(((SUMIFS(Calendar!$F$2:$F$9997,Calendar!$B$2:$B$9997,D4325,Calendar!$C$2:$C$9997,C4325)*INDEX(ForeCalc!$B$37:$Y$274,MATCH(_xlfn.CONCAT(H4325," ",I4325),ForeCalc!$A$37:$A$274,0),MATCH(_xlfn.CONCAT(B4325," ",E4325),ForeCalc!$B$36:$Y$36,0))))*VLOOKUP(A4325,Calendar!$A$2:$H$9997,8,FALSE),0)</f>
        <v/>
      </c>
      <c r="G4325" s="29">
        <f>VLOOKUP(A4325,Calendar!$A$1:$H$9997,6,FALSE)-F4325</f>
        <v/>
      </c>
      <c r="H4325" s="19" t="n">
        <v>3</v>
      </c>
      <c r="I4325" s="57" t="n">
        <v>10</v>
      </c>
    </row>
    <row r="4326">
      <c r="A4326" s="62" t="n">
        <v>47149</v>
      </c>
      <c r="B4326" s="3" t="inlineStr">
        <is>
          <t>Week</t>
        </is>
      </c>
      <c r="C4326" s="19" t="n">
        <v>1</v>
      </c>
      <c r="D4326" s="19" t="n">
        <v>2029</v>
      </c>
      <c r="E4326" s="57" t="n">
        <v>4</v>
      </c>
      <c r="F4326" s="29">
        <f>ROUND(((SUMIFS(Calendar!$F$2:$F$9997,Calendar!$B$2:$B$9997,D4326,Calendar!$C$2:$C$9997,C4326)*INDEX(ForeCalc!$B$37:$Y$274,MATCH(_xlfn.CONCAT(H4326," ",I4326),ForeCalc!$A$37:$A$274,0),MATCH(_xlfn.CONCAT(B4326," ",E4326),ForeCalc!$B$36:$Y$36,0))))*VLOOKUP(A4326,Calendar!$A$2:$H$9997,8,FALSE),0)</f>
        <v/>
      </c>
      <c r="G4326" s="29">
        <f>VLOOKUP(A4326,Calendar!$A$1:$H$9997,6,FALSE)-F4326</f>
        <v/>
      </c>
      <c r="H4326" s="19" t="n">
        <v>3</v>
      </c>
      <c r="I4326" s="57" t="n">
        <v>10</v>
      </c>
    </row>
    <row r="4327">
      <c r="A4327" s="62" t="n">
        <v>47150</v>
      </c>
      <c r="B4327" s="3" t="inlineStr">
        <is>
          <t>Week</t>
        </is>
      </c>
      <c r="C4327" s="19" t="n">
        <v>2</v>
      </c>
      <c r="D4327" s="19" t="n">
        <v>2029</v>
      </c>
      <c r="E4327" s="57" t="n">
        <v>4</v>
      </c>
      <c r="F4327" s="29">
        <f>ROUND(((SUMIFS(Calendar!$F$2:$F$9997,Calendar!$B$2:$B$9997,D4327,Calendar!$C$2:$C$9997,C4327)*INDEX(ForeCalc!$B$37:$Y$274,MATCH(_xlfn.CONCAT(H4327," ",I4327),ForeCalc!$A$37:$A$274,0),MATCH(_xlfn.CONCAT(B4327," ",E4327),ForeCalc!$B$36:$Y$36,0))))*VLOOKUP(A4327,Calendar!$A$2:$H$9997,8,FALSE),0)</f>
        <v/>
      </c>
      <c r="G4327" s="29">
        <f>VLOOKUP(A4327,Calendar!$A$1:$H$9997,6,FALSE)-F4327</f>
        <v/>
      </c>
      <c r="H4327" s="19" t="n">
        <v>3</v>
      </c>
      <c r="I4327" s="57" t="n">
        <v>11</v>
      </c>
    </row>
    <row r="4328">
      <c r="A4328" s="62" t="n">
        <v>47151</v>
      </c>
      <c r="B4328" s="3" t="inlineStr">
        <is>
          <t>Week</t>
        </is>
      </c>
      <c r="C4328" s="19" t="n">
        <v>2</v>
      </c>
      <c r="D4328" s="19" t="n">
        <v>2029</v>
      </c>
      <c r="E4328" s="57" t="n">
        <v>4</v>
      </c>
      <c r="F4328" s="29">
        <f>ROUND(((SUMIFS(Calendar!$F$2:$F$9997,Calendar!$B$2:$B$9997,D4328,Calendar!$C$2:$C$9997,C4328)*INDEX(ForeCalc!$B$37:$Y$274,MATCH(_xlfn.CONCAT(H4328," ",I4328),ForeCalc!$A$37:$A$274,0),MATCH(_xlfn.CONCAT(B4328," ",E4328),ForeCalc!$B$36:$Y$36,0))))*VLOOKUP(A4328,Calendar!$A$2:$H$9997,8,FALSE),0)</f>
        <v/>
      </c>
      <c r="G4328" s="29">
        <f>VLOOKUP(A4328,Calendar!$A$1:$H$9997,6,FALSE)-F4328</f>
        <v/>
      </c>
      <c r="H4328" s="19" t="n">
        <v>3</v>
      </c>
      <c r="I4328" s="57" t="n">
        <v>11</v>
      </c>
    </row>
    <row r="4329">
      <c r="A4329" s="62" t="n">
        <v>47152</v>
      </c>
      <c r="B4329" s="3" t="inlineStr">
        <is>
          <t>Sat</t>
        </is>
      </c>
      <c r="C4329" s="19" t="n">
        <v>2</v>
      </c>
      <c r="D4329" s="19" t="n">
        <v>2029</v>
      </c>
      <c r="E4329" s="57" t="n">
        <v>4</v>
      </c>
      <c r="F4329" s="29">
        <f>ROUND(((SUMIFS(Calendar!$F$2:$F$9997,Calendar!$B$2:$B$9997,D4329,Calendar!$C$2:$C$9997,C4329)*INDEX(ForeCalc!$B$37:$Y$274,MATCH(_xlfn.CONCAT(H4329," ",I4329),ForeCalc!$A$37:$A$274,0),MATCH(_xlfn.CONCAT(B4329," ",E4329),ForeCalc!$B$36:$Y$36,0))))*VLOOKUP(A4329,Calendar!$A$2:$H$9997,8,FALSE),0)</f>
        <v/>
      </c>
      <c r="G4329" s="29">
        <f>VLOOKUP(A4329,Calendar!$A$1:$H$9997,6,FALSE)-F4329</f>
        <v/>
      </c>
      <c r="H4329" s="19" t="n">
        <v>3</v>
      </c>
      <c r="I4329" s="57" t="n">
        <v>11</v>
      </c>
    </row>
    <row r="4330">
      <c r="A4330" s="62" t="n">
        <v>47153</v>
      </c>
      <c r="B4330" s="3" t="inlineStr">
        <is>
          <t>Sun</t>
        </is>
      </c>
      <c r="C4330" s="19" t="n">
        <v>2</v>
      </c>
      <c r="D4330" s="19" t="n">
        <v>2029</v>
      </c>
      <c r="E4330" s="57" t="n">
        <v>4</v>
      </c>
      <c r="F4330" s="29">
        <f>ROUND(((SUMIFS(Calendar!$F$2:$F$9997,Calendar!$B$2:$B$9997,D4330,Calendar!$C$2:$C$9997,C4330)*INDEX(ForeCalc!$B$37:$Y$274,MATCH(_xlfn.CONCAT(H4330," ",I4330),ForeCalc!$A$37:$A$274,0),MATCH(_xlfn.CONCAT(B4330," ",E4330),ForeCalc!$B$36:$Y$36,0))))*VLOOKUP(A4330,Calendar!$A$2:$H$9997,8,FALSE),0)</f>
        <v/>
      </c>
      <c r="G4330" s="29">
        <f>VLOOKUP(A4330,Calendar!$A$1:$H$9997,6,FALSE)-F4330</f>
        <v/>
      </c>
      <c r="H4330" s="19" t="n">
        <v>3</v>
      </c>
      <c r="I4330" s="57" t="n">
        <v>11</v>
      </c>
    </row>
    <row r="4331">
      <c r="A4331" s="62" t="n">
        <v>47154</v>
      </c>
      <c r="B4331" s="3" t="inlineStr">
        <is>
          <t>Week</t>
        </is>
      </c>
      <c r="C4331" s="19" t="n">
        <v>2</v>
      </c>
      <c r="D4331" s="19" t="n">
        <v>2029</v>
      </c>
      <c r="E4331" s="57" t="n">
        <v>4</v>
      </c>
      <c r="F4331" s="29">
        <f>ROUND(((SUMIFS(Calendar!$F$2:$F$9997,Calendar!$B$2:$B$9997,D4331,Calendar!$C$2:$C$9997,C4331)*INDEX(ForeCalc!$B$37:$Y$274,MATCH(_xlfn.CONCAT(H4331," ",I4331),ForeCalc!$A$37:$A$274,0),MATCH(_xlfn.CONCAT(B4331," ",E4331),ForeCalc!$B$36:$Y$36,0))))*VLOOKUP(A4331,Calendar!$A$2:$H$9997,8,FALSE),0)</f>
        <v/>
      </c>
      <c r="G4331" s="29">
        <f>VLOOKUP(A4331,Calendar!$A$1:$H$9997,6,FALSE)-F4331</f>
        <v/>
      </c>
      <c r="H4331" s="19" t="n">
        <v>3</v>
      </c>
      <c r="I4331" s="57" t="n">
        <v>11</v>
      </c>
    </row>
    <row r="4332">
      <c r="A4332" s="62" t="n">
        <v>47155</v>
      </c>
      <c r="B4332" s="3" t="inlineStr">
        <is>
          <t>Week</t>
        </is>
      </c>
      <c r="C4332" s="19" t="n">
        <v>2</v>
      </c>
      <c r="D4332" s="19" t="n">
        <v>2029</v>
      </c>
      <c r="E4332" s="57" t="n">
        <v>4</v>
      </c>
      <c r="F4332" s="29">
        <f>ROUND(((SUMIFS(Calendar!$F$2:$F$9997,Calendar!$B$2:$B$9997,D4332,Calendar!$C$2:$C$9997,C4332)*INDEX(ForeCalc!$B$37:$Y$274,MATCH(_xlfn.CONCAT(H4332," ",I4332),ForeCalc!$A$37:$A$274,0),MATCH(_xlfn.CONCAT(B4332," ",E4332),ForeCalc!$B$36:$Y$36,0))))*VLOOKUP(A4332,Calendar!$A$2:$H$9997,8,FALSE),0)</f>
        <v/>
      </c>
      <c r="G4332" s="29">
        <f>VLOOKUP(A4332,Calendar!$A$1:$H$9997,6,FALSE)-F4332</f>
        <v/>
      </c>
      <c r="H4332" s="19" t="n">
        <v>3</v>
      </c>
      <c r="I4332" s="57" t="n">
        <v>11</v>
      </c>
    </row>
    <row r="4333">
      <c r="A4333" s="62" t="n">
        <v>47156</v>
      </c>
      <c r="B4333" s="3" t="inlineStr">
        <is>
          <t>Week</t>
        </is>
      </c>
      <c r="C4333" s="19" t="n">
        <v>2</v>
      </c>
      <c r="D4333" s="19" t="n">
        <v>2029</v>
      </c>
      <c r="E4333" s="57" t="n">
        <v>4</v>
      </c>
      <c r="F4333" s="29">
        <f>ROUND(((SUMIFS(Calendar!$F$2:$F$9997,Calendar!$B$2:$B$9997,D4333,Calendar!$C$2:$C$9997,C4333)*INDEX(ForeCalc!$B$37:$Y$274,MATCH(_xlfn.CONCAT(H4333," ",I4333),ForeCalc!$A$37:$A$274,0),MATCH(_xlfn.CONCAT(B4333," ",E4333),ForeCalc!$B$36:$Y$36,0))))*VLOOKUP(A4333,Calendar!$A$2:$H$9997,8,FALSE),0)</f>
        <v/>
      </c>
      <c r="G4333" s="29">
        <f>VLOOKUP(A4333,Calendar!$A$1:$H$9997,6,FALSE)-F4333</f>
        <v/>
      </c>
      <c r="H4333" s="19" t="n">
        <v>3</v>
      </c>
      <c r="I4333" s="57" t="n">
        <v>11</v>
      </c>
    </row>
    <row r="4334">
      <c r="A4334" s="62" t="n">
        <v>47157</v>
      </c>
      <c r="B4334" s="3" t="inlineStr">
        <is>
          <t>Week</t>
        </is>
      </c>
      <c r="C4334" s="19" t="n">
        <v>2</v>
      </c>
      <c r="D4334" s="19" t="n">
        <v>2029</v>
      </c>
      <c r="E4334" s="57" t="n">
        <v>4</v>
      </c>
      <c r="F4334" s="29">
        <f>ROUND(((SUMIFS(Calendar!$F$2:$F$9997,Calendar!$B$2:$B$9997,D4334,Calendar!$C$2:$C$9997,C4334)*INDEX(ForeCalc!$B$37:$Y$274,MATCH(_xlfn.CONCAT(H4334," ",I4334),ForeCalc!$A$37:$A$274,0),MATCH(_xlfn.CONCAT(B4334," ",E4334),ForeCalc!$B$36:$Y$36,0))))*VLOOKUP(A4334,Calendar!$A$2:$H$9997,8,FALSE),0)</f>
        <v/>
      </c>
      <c r="G4334" s="29">
        <f>VLOOKUP(A4334,Calendar!$A$1:$H$9997,6,FALSE)-F4334</f>
        <v/>
      </c>
      <c r="H4334" s="19" t="n">
        <v>3</v>
      </c>
      <c r="I4334" s="57" t="n">
        <v>11</v>
      </c>
    </row>
    <row r="4335">
      <c r="A4335" s="62" t="n">
        <v>47158</v>
      </c>
      <c r="B4335" s="3" t="inlineStr">
        <is>
          <t>Week</t>
        </is>
      </c>
      <c r="C4335" s="19" t="n">
        <v>2</v>
      </c>
      <c r="D4335" s="19" t="n">
        <v>2029</v>
      </c>
      <c r="E4335" s="57" t="n">
        <v>4</v>
      </c>
      <c r="F4335" s="29">
        <f>ROUND(((SUMIFS(Calendar!$F$2:$F$9997,Calendar!$B$2:$B$9997,D4335,Calendar!$C$2:$C$9997,C4335)*INDEX(ForeCalc!$B$37:$Y$274,MATCH(_xlfn.CONCAT(H4335," ",I4335),ForeCalc!$A$37:$A$274,0),MATCH(_xlfn.CONCAT(B4335," ",E4335),ForeCalc!$B$36:$Y$36,0))))*VLOOKUP(A4335,Calendar!$A$2:$H$9997,8,FALSE),0)</f>
        <v/>
      </c>
      <c r="G4335" s="29">
        <f>VLOOKUP(A4335,Calendar!$A$1:$H$9997,6,FALSE)-F4335</f>
        <v/>
      </c>
      <c r="H4335" s="19" t="n">
        <v>3</v>
      </c>
      <c r="I4335" s="57" t="n">
        <v>11</v>
      </c>
    </row>
    <row r="4336">
      <c r="A4336" s="62" t="n">
        <v>47159</v>
      </c>
      <c r="B4336" s="3" t="inlineStr">
        <is>
          <t>Sat</t>
        </is>
      </c>
      <c r="C4336" s="19" t="n">
        <v>2</v>
      </c>
      <c r="D4336" s="19" t="n">
        <v>2029</v>
      </c>
      <c r="E4336" s="57" t="n">
        <v>4</v>
      </c>
      <c r="F4336" s="29">
        <f>ROUND(((SUMIFS(Calendar!$F$2:$F$9997,Calendar!$B$2:$B$9997,D4336,Calendar!$C$2:$C$9997,C4336)*INDEX(ForeCalc!$B$37:$Y$274,MATCH(_xlfn.CONCAT(H4336," ",I4336),ForeCalc!$A$37:$A$274,0),MATCH(_xlfn.CONCAT(B4336," ",E4336),ForeCalc!$B$36:$Y$36,0))))*VLOOKUP(A4336,Calendar!$A$2:$H$9997,8,FALSE),0)</f>
        <v/>
      </c>
      <c r="G4336" s="29">
        <f>VLOOKUP(A4336,Calendar!$A$1:$H$9997,6,FALSE)-F4336</f>
        <v/>
      </c>
      <c r="H4336" s="19" t="n">
        <v>3</v>
      </c>
      <c r="I4336" s="57" t="n">
        <v>11</v>
      </c>
    </row>
    <row r="4337">
      <c r="A4337" s="62" t="n">
        <v>47160</v>
      </c>
      <c r="B4337" s="3" t="inlineStr">
        <is>
          <t>Sun</t>
        </is>
      </c>
      <c r="C4337" s="19" t="n">
        <v>2</v>
      </c>
      <c r="D4337" s="19" t="n">
        <v>2029</v>
      </c>
      <c r="E4337" s="57" t="n">
        <v>4</v>
      </c>
      <c r="F4337" s="29">
        <f>ROUND(((SUMIFS(Calendar!$F$2:$F$9997,Calendar!$B$2:$B$9997,D4337,Calendar!$C$2:$C$9997,C4337)*INDEX(ForeCalc!$B$37:$Y$274,MATCH(_xlfn.CONCAT(H4337," ",I4337),ForeCalc!$A$37:$A$274,0),MATCH(_xlfn.CONCAT(B4337," ",E4337),ForeCalc!$B$36:$Y$36,0))))*VLOOKUP(A4337,Calendar!$A$2:$H$9997,8,FALSE),0)</f>
        <v/>
      </c>
      <c r="G4337" s="29">
        <f>VLOOKUP(A4337,Calendar!$A$1:$H$9997,6,FALSE)-F4337</f>
        <v/>
      </c>
      <c r="H4337" s="19" t="n">
        <v>3</v>
      </c>
      <c r="I4337" s="57" t="n">
        <v>11</v>
      </c>
    </row>
    <row r="4338">
      <c r="A4338" s="62" t="n">
        <v>47161</v>
      </c>
      <c r="B4338" s="3" t="inlineStr">
        <is>
          <t>Week</t>
        </is>
      </c>
      <c r="C4338" s="19" t="n">
        <v>2</v>
      </c>
      <c r="D4338" s="19" t="n">
        <v>2029</v>
      </c>
      <c r="E4338" s="57" t="n">
        <v>4</v>
      </c>
      <c r="F4338" s="29">
        <f>ROUND(((SUMIFS(Calendar!$F$2:$F$9997,Calendar!$B$2:$B$9997,D4338,Calendar!$C$2:$C$9997,C4338)*INDEX(ForeCalc!$B$37:$Y$274,MATCH(_xlfn.CONCAT(H4338," ",I4338),ForeCalc!$A$37:$A$274,0),MATCH(_xlfn.CONCAT(B4338," ",E4338),ForeCalc!$B$36:$Y$36,0))))*VLOOKUP(A4338,Calendar!$A$2:$H$9997,8,FALSE),0)</f>
        <v/>
      </c>
      <c r="G4338" s="29">
        <f>VLOOKUP(A4338,Calendar!$A$1:$H$9997,6,FALSE)-F4338</f>
        <v/>
      </c>
      <c r="H4338" s="19" t="n">
        <v>3</v>
      </c>
      <c r="I4338" s="57" t="n">
        <v>11</v>
      </c>
    </row>
    <row r="4339">
      <c r="A4339" s="62" t="n">
        <v>47162</v>
      </c>
      <c r="B4339" s="3" t="inlineStr">
        <is>
          <t>Week</t>
        </is>
      </c>
      <c r="C4339" s="19" t="n">
        <v>2</v>
      </c>
      <c r="D4339" s="19" t="n">
        <v>2029</v>
      </c>
      <c r="E4339" s="57" t="n">
        <v>4</v>
      </c>
      <c r="F4339" s="29">
        <f>ROUND(((SUMIFS(Calendar!$F$2:$F$9997,Calendar!$B$2:$B$9997,D4339,Calendar!$C$2:$C$9997,C4339)*INDEX(ForeCalc!$B$37:$Y$274,MATCH(_xlfn.CONCAT(H4339," ",I4339),ForeCalc!$A$37:$A$274,0),MATCH(_xlfn.CONCAT(B4339," ",E4339),ForeCalc!$B$36:$Y$36,0))))*VLOOKUP(A4339,Calendar!$A$2:$H$9997,8,FALSE),0)</f>
        <v/>
      </c>
      <c r="G4339" s="29">
        <f>VLOOKUP(A4339,Calendar!$A$1:$H$9997,6,FALSE)-F4339</f>
        <v/>
      </c>
      <c r="H4339" s="19" t="n">
        <v>3</v>
      </c>
      <c r="I4339" s="57" t="n">
        <v>11</v>
      </c>
    </row>
    <row r="4340">
      <c r="A4340" s="62" t="n">
        <v>47163</v>
      </c>
      <c r="B4340" s="3" t="inlineStr">
        <is>
          <t>Week</t>
        </is>
      </c>
      <c r="C4340" s="19" t="n">
        <v>2</v>
      </c>
      <c r="D4340" s="19" t="n">
        <v>2029</v>
      </c>
      <c r="E4340" s="57" t="n">
        <v>4</v>
      </c>
      <c r="F4340" s="29">
        <f>ROUND(((SUMIFS(Calendar!$F$2:$F$9997,Calendar!$B$2:$B$9997,D4340,Calendar!$C$2:$C$9997,C4340)*INDEX(ForeCalc!$B$37:$Y$274,MATCH(_xlfn.CONCAT(H4340," ",I4340),ForeCalc!$A$37:$A$274,0),MATCH(_xlfn.CONCAT(B4340," ",E4340),ForeCalc!$B$36:$Y$36,0))))*VLOOKUP(A4340,Calendar!$A$2:$H$9997,8,FALSE),0)</f>
        <v/>
      </c>
      <c r="G4340" s="29">
        <f>VLOOKUP(A4340,Calendar!$A$1:$H$9997,6,FALSE)-F4340</f>
        <v/>
      </c>
      <c r="H4340" s="19" t="n">
        <v>3</v>
      </c>
      <c r="I4340" s="57" t="n">
        <v>11</v>
      </c>
    </row>
    <row r="4341">
      <c r="A4341" s="62" t="n">
        <v>47164</v>
      </c>
      <c r="B4341" s="3" t="inlineStr">
        <is>
          <t>Week</t>
        </is>
      </c>
      <c r="C4341" s="19" t="n">
        <v>2</v>
      </c>
      <c r="D4341" s="19" t="n">
        <v>2029</v>
      </c>
      <c r="E4341" s="57" t="n">
        <v>4</v>
      </c>
      <c r="F4341" s="29">
        <f>ROUND(((SUMIFS(Calendar!$F$2:$F$9997,Calendar!$B$2:$B$9997,D4341,Calendar!$C$2:$C$9997,C4341)*INDEX(ForeCalc!$B$37:$Y$274,MATCH(_xlfn.CONCAT(H4341," ",I4341),ForeCalc!$A$37:$A$274,0),MATCH(_xlfn.CONCAT(B4341," ",E4341),ForeCalc!$B$36:$Y$36,0))))*VLOOKUP(A4341,Calendar!$A$2:$H$9997,8,FALSE),0)</f>
        <v/>
      </c>
      <c r="G4341" s="29">
        <f>VLOOKUP(A4341,Calendar!$A$1:$H$9997,6,FALSE)-F4341</f>
        <v/>
      </c>
      <c r="H4341" s="19" t="n">
        <v>3</v>
      </c>
      <c r="I4341" s="57" t="n">
        <v>11</v>
      </c>
    </row>
    <row r="4342">
      <c r="A4342" s="62" t="n">
        <v>47165</v>
      </c>
      <c r="B4342" s="3" t="inlineStr">
        <is>
          <t>Week</t>
        </is>
      </c>
      <c r="C4342" s="19" t="n">
        <v>2</v>
      </c>
      <c r="D4342" s="19" t="n">
        <v>2029</v>
      </c>
      <c r="E4342" s="57" t="n">
        <v>4</v>
      </c>
      <c r="F4342" s="29">
        <f>ROUND(((SUMIFS(Calendar!$F$2:$F$9997,Calendar!$B$2:$B$9997,D4342,Calendar!$C$2:$C$9997,C4342)*INDEX(ForeCalc!$B$37:$Y$274,MATCH(_xlfn.CONCAT(H4342," ",I4342),ForeCalc!$A$37:$A$274,0),MATCH(_xlfn.CONCAT(B4342," ",E4342),ForeCalc!$B$36:$Y$36,0))))*VLOOKUP(A4342,Calendar!$A$2:$H$9997,8,FALSE),0)</f>
        <v/>
      </c>
      <c r="G4342" s="29">
        <f>VLOOKUP(A4342,Calendar!$A$1:$H$9997,6,FALSE)-F4342</f>
        <v/>
      </c>
      <c r="H4342" s="19" t="n">
        <v>3</v>
      </c>
      <c r="I4342" s="57" t="n">
        <v>11</v>
      </c>
    </row>
    <row r="4343">
      <c r="A4343" s="62" t="n">
        <v>47166</v>
      </c>
      <c r="B4343" s="3" t="inlineStr">
        <is>
          <t>Sat</t>
        </is>
      </c>
      <c r="C4343" s="19" t="n">
        <v>2</v>
      </c>
      <c r="D4343" s="19" t="n">
        <v>2029</v>
      </c>
      <c r="E4343" s="57" t="n">
        <v>4</v>
      </c>
      <c r="F4343" s="29">
        <f>ROUND(((SUMIFS(Calendar!$F$2:$F$9997,Calendar!$B$2:$B$9997,D4343,Calendar!$C$2:$C$9997,C4343)*INDEX(ForeCalc!$B$37:$Y$274,MATCH(_xlfn.CONCAT(H4343," ",I4343),ForeCalc!$A$37:$A$274,0),MATCH(_xlfn.CONCAT(B4343," ",E4343),ForeCalc!$B$36:$Y$36,0))))*VLOOKUP(A4343,Calendar!$A$2:$H$9997,8,FALSE),0)</f>
        <v/>
      </c>
      <c r="G4343" s="29">
        <f>VLOOKUP(A4343,Calendar!$A$1:$H$9997,6,FALSE)-F4343</f>
        <v/>
      </c>
      <c r="H4343" s="19" t="n">
        <v>3</v>
      </c>
      <c r="I4343" s="57" t="n">
        <v>11</v>
      </c>
    </row>
    <row r="4344">
      <c r="A4344" s="62" t="n">
        <v>47167</v>
      </c>
      <c r="B4344" s="3" t="inlineStr">
        <is>
          <t>Sun</t>
        </is>
      </c>
      <c r="C4344" s="19" t="n">
        <v>2</v>
      </c>
      <c r="D4344" s="19" t="n">
        <v>2029</v>
      </c>
      <c r="E4344" s="57" t="n">
        <v>4</v>
      </c>
      <c r="F4344" s="29">
        <f>ROUND(((SUMIFS(Calendar!$F$2:$F$9997,Calendar!$B$2:$B$9997,D4344,Calendar!$C$2:$C$9997,C4344)*INDEX(ForeCalc!$B$37:$Y$274,MATCH(_xlfn.CONCAT(H4344," ",I4344),ForeCalc!$A$37:$A$274,0),MATCH(_xlfn.CONCAT(B4344," ",E4344),ForeCalc!$B$36:$Y$36,0))))*VLOOKUP(A4344,Calendar!$A$2:$H$9997,8,FALSE),0)</f>
        <v/>
      </c>
      <c r="G4344" s="29">
        <f>VLOOKUP(A4344,Calendar!$A$1:$H$9997,6,FALSE)-F4344</f>
        <v/>
      </c>
      <c r="H4344" s="19" t="n">
        <v>3</v>
      </c>
      <c r="I4344" s="57" t="n">
        <v>11</v>
      </c>
    </row>
    <row r="4345">
      <c r="A4345" s="62" t="n">
        <v>47168</v>
      </c>
      <c r="B4345" s="3" t="inlineStr">
        <is>
          <t>Week</t>
        </is>
      </c>
      <c r="C4345" s="19" t="n">
        <v>2</v>
      </c>
      <c r="D4345" s="19" t="n">
        <v>2029</v>
      </c>
      <c r="E4345" s="57" t="n">
        <v>4</v>
      </c>
      <c r="F4345" s="29">
        <f>ROUND(((SUMIFS(Calendar!$F$2:$F$9997,Calendar!$B$2:$B$9997,D4345,Calendar!$C$2:$C$9997,C4345)*INDEX(ForeCalc!$B$37:$Y$274,MATCH(_xlfn.CONCAT(H4345," ",I4345),ForeCalc!$A$37:$A$274,0),MATCH(_xlfn.CONCAT(B4345," ",E4345),ForeCalc!$B$36:$Y$36,0))))*VLOOKUP(A4345,Calendar!$A$2:$H$9997,8,FALSE),0)</f>
        <v/>
      </c>
      <c r="G4345" s="29">
        <f>VLOOKUP(A4345,Calendar!$A$1:$H$9997,6,FALSE)-F4345</f>
        <v/>
      </c>
      <c r="H4345" s="19" t="n">
        <v>3</v>
      </c>
      <c r="I4345" s="57" t="n">
        <v>11</v>
      </c>
    </row>
    <row r="4346">
      <c r="A4346" s="62" t="n">
        <v>47169</v>
      </c>
      <c r="B4346" s="3" t="inlineStr">
        <is>
          <t>Week</t>
        </is>
      </c>
      <c r="C4346" s="19" t="n">
        <v>2</v>
      </c>
      <c r="D4346" s="19" t="n">
        <v>2029</v>
      </c>
      <c r="E4346" s="57" t="n">
        <v>4</v>
      </c>
      <c r="F4346" s="29">
        <f>ROUND(((SUMIFS(Calendar!$F$2:$F$9997,Calendar!$B$2:$B$9997,D4346,Calendar!$C$2:$C$9997,C4346)*INDEX(ForeCalc!$B$37:$Y$274,MATCH(_xlfn.CONCAT(H4346," ",I4346),ForeCalc!$A$37:$A$274,0),MATCH(_xlfn.CONCAT(B4346," ",E4346),ForeCalc!$B$36:$Y$36,0))))*VLOOKUP(A4346,Calendar!$A$2:$H$9997,8,FALSE),0)</f>
        <v/>
      </c>
      <c r="G4346" s="29">
        <f>VLOOKUP(A4346,Calendar!$A$1:$H$9997,6,FALSE)-F4346</f>
        <v/>
      </c>
      <c r="H4346" s="19" t="n">
        <v>3</v>
      </c>
      <c r="I4346" s="57" t="n">
        <v>11</v>
      </c>
    </row>
    <row r="4347">
      <c r="A4347" s="62" t="n">
        <v>47170</v>
      </c>
      <c r="B4347" s="3" t="inlineStr">
        <is>
          <t>Week</t>
        </is>
      </c>
      <c r="C4347" s="19" t="n">
        <v>2</v>
      </c>
      <c r="D4347" s="19" t="n">
        <v>2029</v>
      </c>
      <c r="E4347" s="57" t="n">
        <v>4</v>
      </c>
      <c r="F4347" s="29">
        <f>ROUND(((SUMIFS(Calendar!$F$2:$F$9997,Calendar!$B$2:$B$9997,D4347,Calendar!$C$2:$C$9997,C4347)*INDEX(ForeCalc!$B$37:$Y$274,MATCH(_xlfn.CONCAT(H4347," ",I4347),ForeCalc!$A$37:$A$274,0),MATCH(_xlfn.CONCAT(B4347," ",E4347),ForeCalc!$B$36:$Y$36,0))))*VLOOKUP(A4347,Calendar!$A$2:$H$9997,8,FALSE),0)</f>
        <v/>
      </c>
      <c r="G4347" s="29">
        <f>VLOOKUP(A4347,Calendar!$A$1:$H$9997,6,FALSE)-F4347</f>
        <v/>
      </c>
      <c r="H4347" s="19" t="n">
        <v>3</v>
      </c>
      <c r="I4347" s="57" t="n">
        <v>11</v>
      </c>
    </row>
    <row r="4348">
      <c r="A4348" s="62" t="n">
        <v>47171</v>
      </c>
      <c r="B4348" s="3" t="inlineStr">
        <is>
          <t>Week</t>
        </is>
      </c>
      <c r="C4348" s="19" t="n">
        <v>2</v>
      </c>
      <c r="D4348" s="19" t="n">
        <v>2029</v>
      </c>
      <c r="E4348" s="57" t="n">
        <v>4</v>
      </c>
      <c r="F4348" s="29">
        <f>ROUND(((SUMIFS(Calendar!$F$2:$F$9997,Calendar!$B$2:$B$9997,D4348,Calendar!$C$2:$C$9997,C4348)*INDEX(ForeCalc!$B$37:$Y$274,MATCH(_xlfn.CONCAT(H4348," ",I4348),ForeCalc!$A$37:$A$274,0),MATCH(_xlfn.CONCAT(B4348," ",E4348),ForeCalc!$B$36:$Y$36,0))))*VLOOKUP(A4348,Calendar!$A$2:$H$9997,8,FALSE),0)</f>
        <v/>
      </c>
      <c r="G4348" s="29">
        <f>VLOOKUP(A4348,Calendar!$A$1:$H$9997,6,FALSE)-F4348</f>
        <v/>
      </c>
      <c r="H4348" s="19" t="n">
        <v>3</v>
      </c>
      <c r="I4348" s="57" t="n">
        <v>11</v>
      </c>
    </row>
    <row r="4349">
      <c r="A4349" s="62" t="n">
        <v>47172</v>
      </c>
      <c r="B4349" s="3" t="inlineStr">
        <is>
          <t>Week</t>
        </is>
      </c>
      <c r="C4349" s="19" t="n">
        <v>2</v>
      </c>
      <c r="D4349" s="19" t="n">
        <v>2029</v>
      </c>
      <c r="E4349" s="57" t="n">
        <v>4</v>
      </c>
      <c r="F4349" s="29">
        <f>ROUND(((SUMIFS(Calendar!$F$2:$F$9997,Calendar!$B$2:$B$9997,D4349,Calendar!$C$2:$C$9997,C4349)*INDEX(ForeCalc!$B$37:$Y$274,MATCH(_xlfn.CONCAT(H4349," ",I4349),ForeCalc!$A$37:$A$274,0),MATCH(_xlfn.CONCAT(B4349," ",E4349),ForeCalc!$B$36:$Y$36,0))))*VLOOKUP(A4349,Calendar!$A$2:$H$9997,8,FALSE),0)</f>
        <v/>
      </c>
      <c r="G4349" s="29">
        <f>VLOOKUP(A4349,Calendar!$A$1:$H$9997,6,FALSE)-F4349</f>
        <v/>
      </c>
      <c r="H4349" s="19" t="n">
        <v>3</v>
      </c>
      <c r="I4349" s="57" t="n">
        <v>11</v>
      </c>
    </row>
    <row r="4350">
      <c r="A4350" s="62" t="n">
        <v>47173</v>
      </c>
      <c r="B4350" s="3" t="inlineStr">
        <is>
          <t>Sat</t>
        </is>
      </c>
      <c r="C4350" s="19" t="n">
        <v>2</v>
      </c>
      <c r="D4350" s="19" t="n">
        <v>2029</v>
      </c>
      <c r="E4350" s="57" t="n">
        <v>4</v>
      </c>
      <c r="F4350" s="29">
        <f>ROUND(((SUMIFS(Calendar!$F$2:$F$9997,Calendar!$B$2:$B$9997,D4350,Calendar!$C$2:$C$9997,C4350)*INDEX(ForeCalc!$B$37:$Y$274,MATCH(_xlfn.CONCAT(H4350," ",I4350),ForeCalc!$A$37:$A$274,0),MATCH(_xlfn.CONCAT(B4350," ",E4350),ForeCalc!$B$36:$Y$36,0))))*VLOOKUP(A4350,Calendar!$A$2:$H$9997,8,FALSE),0)</f>
        <v/>
      </c>
      <c r="G4350" s="29">
        <f>VLOOKUP(A4350,Calendar!$A$1:$H$9997,6,FALSE)-F4350</f>
        <v/>
      </c>
      <c r="H4350" s="19" t="n">
        <v>3</v>
      </c>
      <c r="I4350" s="57" t="n">
        <v>11</v>
      </c>
    </row>
    <row r="4351">
      <c r="A4351" s="62" t="n">
        <v>47174</v>
      </c>
      <c r="B4351" s="3" t="inlineStr">
        <is>
          <t>Sun</t>
        </is>
      </c>
      <c r="C4351" s="19" t="n">
        <v>2</v>
      </c>
      <c r="D4351" s="19" t="n">
        <v>2029</v>
      </c>
      <c r="E4351" s="57" t="n">
        <v>4</v>
      </c>
      <c r="F4351" s="29">
        <f>ROUND(((SUMIFS(Calendar!$F$2:$F$9997,Calendar!$B$2:$B$9997,D4351,Calendar!$C$2:$C$9997,C4351)*INDEX(ForeCalc!$B$37:$Y$274,MATCH(_xlfn.CONCAT(H4351," ",I4351),ForeCalc!$A$37:$A$274,0),MATCH(_xlfn.CONCAT(B4351," ",E4351),ForeCalc!$B$36:$Y$36,0))))*VLOOKUP(A4351,Calendar!$A$2:$H$9997,8,FALSE),0)</f>
        <v/>
      </c>
      <c r="G4351" s="29">
        <f>VLOOKUP(A4351,Calendar!$A$1:$H$9997,6,FALSE)-F4351</f>
        <v/>
      </c>
      <c r="H4351" s="19" t="n">
        <v>3</v>
      </c>
      <c r="I4351" s="57" t="n">
        <v>11</v>
      </c>
    </row>
    <row r="4352">
      <c r="A4352" s="62" t="n">
        <v>47175</v>
      </c>
      <c r="B4352" s="3" t="inlineStr">
        <is>
          <t>Week</t>
        </is>
      </c>
      <c r="C4352" s="19" t="n">
        <v>2</v>
      </c>
      <c r="D4352" s="19" t="n">
        <v>2029</v>
      </c>
      <c r="E4352" s="57" t="n">
        <v>4</v>
      </c>
      <c r="F4352" s="29">
        <f>ROUND(((SUMIFS(Calendar!$F$2:$F$9997,Calendar!$B$2:$B$9997,D4352,Calendar!$C$2:$C$9997,C4352)*INDEX(ForeCalc!$B$37:$Y$274,MATCH(_xlfn.CONCAT(H4352," ",I4352),ForeCalc!$A$37:$A$274,0),MATCH(_xlfn.CONCAT(B4352," ",E4352),ForeCalc!$B$36:$Y$36,0))))*VLOOKUP(A4352,Calendar!$A$2:$H$9997,8,FALSE),0)</f>
        <v/>
      </c>
      <c r="G4352" s="29">
        <f>VLOOKUP(A4352,Calendar!$A$1:$H$9997,6,FALSE)-F4352</f>
        <v/>
      </c>
      <c r="H4352" s="19" t="n">
        <v>3</v>
      </c>
      <c r="I4352" s="57" t="n">
        <v>11</v>
      </c>
    </row>
    <row r="4353">
      <c r="A4353" s="62" t="n">
        <v>47176</v>
      </c>
      <c r="B4353" s="3" t="inlineStr">
        <is>
          <t>Week</t>
        </is>
      </c>
      <c r="C4353" s="19" t="n">
        <v>2</v>
      </c>
      <c r="D4353" s="19" t="n">
        <v>2029</v>
      </c>
      <c r="E4353" s="57" t="n">
        <v>4</v>
      </c>
      <c r="F4353" s="29">
        <f>ROUND(((SUMIFS(Calendar!$F$2:$F$9997,Calendar!$B$2:$B$9997,D4353,Calendar!$C$2:$C$9997,C4353)*INDEX(ForeCalc!$B$37:$Y$274,MATCH(_xlfn.CONCAT(H4353," ",I4353),ForeCalc!$A$37:$A$274,0),MATCH(_xlfn.CONCAT(B4353," ",E4353),ForeCalc!$B$36:$Y$36,0))))*VLOOKUP(A4353,Calendar!$A$2:$H$9997,8,FALSE),0)</f>
        <v/>
      </c>
      <c r="G4353" s="29">
        <f>VLOOKUP(A4353,Calendar!$A$1:$H$9997,6,FALSE)-F4353</f>
        <v/>
      </c>
      <c r="H4353" s="19" t="n">
        <v>3</v>
      </c>
      <c r="I4353" s="57" t="n">
        <v>11</v>
      </c>
    </row>
    <row r="4354">
      <c r="A4354" s="62" t="n">
        <v>47177</v>
      </c>
      <c r="B4354" s="3" t="inlineStr">
        <is>
          <t>Week</t>
        </is>
      </c>
      <c r="C4354" s="19" t="n">
        <v>2</v>
      </c>
      <c r="D4354" s="19" t="n">
        <v>2029</v>
      </c>
      <c r="E4354" s="57" t="n">
        <v>4</v>
      </c>
      <c r="F4354" s="29">
        <f>ROUND(((SUMIFS(Calendar!$F$2:$F$9997,Calendar!$B$2:$B$9997,D4354,Calendar!$C$2:$C$9997,C4354)*INDEX(ForeCalc!$B$37:$Y$274,MATCH(_xlfn.CONCAT(H4354," ",I4354),ForeCalc!$A$37:$A$274,0),MATCH(_xlfn.CONCAT(B4354," ",E4354),ForeCalc!$B$36:$Y$36,0))))*VLOOKUP(A4354,Calendar!$A$2:$H$9997,8,FALSE),0)</f>
        <v/>
      </c>
      <c r="G4354" s="29">
        <f>VLOOKUP(A4354,Calendar!$A$1:$H$9997,6,FALSE)-F4354</f>
        <v/>
      </c>
      <c r="H4354" s="19" t="n">
        <v>3</v>
      </c>
      <c r="I4354" s="57" t="n">
        <v>11</v>
      </c>
    </row>
    <row r="4355">
      <c r="A4355" s="62" t="n">
        <v>47178</v>
      </c>
      <c r="B4355" s="3" t="inlineStr">
        <is>
          <t>Week</t>
        </is>
      </c>
      <c r="C4355" s="19" t="n">
        <v>3</v>
      </c>
      <c r="D4355" s="19" t="n">
        <v>2029</v>
      </c>
      <c r="E4355" s="57" t="n">
        <v>4</v>
      </c>
      <c r="F4355" s="29">
        <f>ROUND(((SUMIFS(Calendar!$F$2:$F$9997,Calendar!$B$2:$B$9997,D4355,Calendar!$C$2:$C$9997,C4355)*INDEX(ForeCalc!$B$37:$Y$274,MATCH(_xlfn.CONCAT(H4355," ",I4355),ForeCalc!$A$37:$A$274,0),MATCH(_xlfn.CONCAT(B4355," ",E4355),ForeCalc!$B$36:$Y$36,0))))*VLOOKUP(A4355,Calendar!$A$2:$H$9997,8,FALSE),0)</f>
        <v/>
      </c>
      <c r="G4355" s="29">
        <f>VLOOKUP(A4355,Calendar!$A$1:$H$9997,6,FALSE)-F4355</f>
        <v/>
      </c>
      <c r="H4355" s="19" t="n">
        <v>3</v>
      </c>
      <c r="I4355" s="57" t="n">
        <v>12</v>
      </c>
    </row>
    <row r="4356">
      <c r="A4356" s="62" t="n">
        <v>47179</v>
      </c>
      <c r="B4356" s="3" t="inlineStr">
        <is>
          <t>Week</t>
        </is>
      </c>
      <c r="C4356" s="19" t="n">
        <v>3</v>
      </c>
      <c r="D4356" s="19" t="n">
        <v>2029</v>
      </c>
      <c r="E4356" s="57" t="n">
        <v>4</v>
      </c>
      <c r="F4356" s="29">
        <f>ROUND(((SUMIFS(Calendar!$F$2:$F$9997,Calendar!$B$2:$B$9997,D4356,Calendar!$C$2:$C$9997,C4356)*INDEX(ForeCalc!$B$37:$Y$274,MATCH(_xlfn.CONCAT(H4356," ",I4356),ForeCalc!$A$37:$A$274,0),MATCH(_xlfn.CONCAT(B4356," ",E4356),ForeCalc!$B$36:$Y$36,0))))*VLOOKUP(A4356,Calendar!$A$2:$H$9997,8,FALSE),0)</f>
        <v/>
      </c>
      <c r="G4356" s="29">
        <f>VLOOKUP(A4356,Calendar!$A$1:$H$9997,6,FALSE)-F4356</f>
        <v/>
      </c>
      <c r="H4356" s="19" t="n">
        <v>3</v>
      </c>
      <c r="I4356" s="57" t="n">
        <v>12</v>
      </c>
    </row>
    <row r="4357">
      <c r="A4357" s="62" t="n">
        <v>47180</v>
      </c>
      <c r="B4357" s="3" t="inlineStr">
        <is>
          <t>Sat</t>
        </is>
      </c>
      <c r="C4357" s="19" t="n">
        <v>3</v>
      </c>
      <c r="D4357" s="19" t="n">
        <v>2029</v>
      </c>
      <c r="E4357" s="57" t="n">
        <v>4</v>
      </c>
      <c r="F4357" s="29">
        <f>ROUND(((SUMIFS(Calendar!$F$2:$F$9997,Calendar!$B$2:$B$9997,D4357,Calendar!$C$2:$C$9997,C4357)*INDEX(ForeCalc!$B$37:$Y$274,MATCH(_xlfn.CONCAT(H4357," ",I4357),ForeCalc!$A$37:$A$274,0),MATCH(_xlfn.CONCAT(B4357," ",E4357),ForeCalc!$B$36:$Y$36,0))))*VLOOKUP(A4357,Calendar!$A$2:$H$9997,8,FALSE),0)</f>
        <v/>
      </c>
      <c r="G4357" s="29">
        <f>VLOOKUP(A4357,Calendar!$A$1:$H$9997,6,FALSE)-F4357</f>
        <v/>
      </c>
      <c r="H4357" s="19" t="n">
        <v>3</v>
      </c>
      <c r="I4357" s="57" t="n">
        <v>12</v>
      </c>
    </row>
    <row r="4358">
      <c r="A4358" s="62" t="n">
        <v>47181</v>
      </c>
      <c r="B4358" s="3" t="inlineStr">
        <is>
          <t>Sun</t>
        </is>
      </c>
      <c r="C4358" s="19" t="n">
        <v>3</v>
      </c>
      <c r="D4358" s="19" t="n">
        <v>2029</v>
      </c>
      <c r="E4358" s="57" t="n">
        <v>4</v>
      </c>
      <c r="F4358" s="29">
        <f>ROUND(((SUMIFS(Calendar!$F$2:$F$9997,Calendar!$B$2:$B$9997,D4358,Calendar!$C$2:$C$9997,C4358)*INDEX(ForeCalc!$B$37:$Y$274,MATCH(_xlfn.CONCAT(H4358," ",I4358),ForeCalc!$A$37:$A$274,0),MATCH(_xlfn.CONCAT(B4358," ",E4358),ForeCalc!$B$36:$Y$36,0))))*VLOOKUP(A4358,Calendar!$A$2:$H$9997,8,FALSE),0)</f>
        <v/>
      </c>
      <c r="G4358" s="29">
        <f>VLOOKUP(A4358,Calendar!$A$1:$H$9997,6,FALSE)-F4358</f>
        <v/>
      </c>
      <c r="H4358" s="19" t="n">
        <v>3</v>
      </c>
      <c r="I4358" s="57" t="n">
        <v>12</v>
      </c>
    </row>
    <row r="4359">
      <c r="A4359" s="62" t="n">
        <v>47182</v>
      </c>
      <c r="B4359" s="3" t="inlineStr">
        <is>
          <t>Week</t>
        </is>
      </c>
      <c r="C4359" s="19" t="n">
        <v>3</v>
      </c>
      <c r="D4359" s="19" t="n">
        <v>2029</v>
      </c>
      <c r="E4359" s="57" t="n">
        <v>4</v>
      </c>
      <c r="F4359" s="29">
        <f>ROUND(((SUMIFS(Calendar!$F$2:$F$9997,Calendar!$B$2:$B$9997,D4359,Calendar!$C$2:$C$9997,C4359)*INDEX(ForeCalc!$B$37:$Y$274,MATCH(_xlfn.CONCAT(H4359," ",I4359),ForeCalc!$A$37:$A$274,0),MATCH(_xlfn.CONCAT(B4359," ",E4359),ForeCalc!$B$36:$Y$36,0))))*VLOOKUP(A4359,Calendar!$A$2:$H$9997,8,FALSE),0)</f>
        <v/>
      </c>
      <c r="G4359" s="29">
        <f>VLOOKUP(A4359,Calendar!$A$1:$H$9997,6,FALSE)-F4359</f>
        <v/>
      </c>
      <c r="H4359" s="19" t="n">
        <v>3</v>
      </c>
      <c r="I4359" s="57" t="n">
        <v>12</v>
      </c>
    </row>
    <row r="4360">
      <c r="A4360" s="62" t="n">
        <v>47183</v>
      </c>
      <c r="B4360" s="3" t="inlineStr">
        <is>
          <t>Week</t>
        </is>
      </c>
      <c r="C4360" s="19" t="n">
        <v>3</v>
      </c>
      <c r="D4360" s="19" t="n">
        <v>2029</v>
      </c>
      <c r="E4360" s="57" t="n">
        <v>4</v>
      </c>
      <c r="F4360" s="29">
        <f>ROUND(((SUMIFS(Calendar!$F$2:$F$9997,Calendar!$B$2:$B$9997,D4360,Calendar!$C$2:$C$9997,C4360)*INDEX(ForeCalc!$B$37:$Y$274,MATCH(_xlfn.CONCAT(H4360," ",I4360),ForeCalc!$A$37:$A$274,0),MATCH(_xlfn.CONCAT(B4360," ",E4360),ForeCalc!$B$36:$Y$36,0))))*VLOOKUP(A4360,Calendar!$A$2:$H$9997,8,FALSE),0)</f>
        <v/>
      </c>
      <c r="G4360" s="29">
        <f>VLOOKUP(A4360,Calendar!$A$1:$H$9997,6,FALSE)-F4360</f>
        <v/>
      </c>
      <c r="H4360" s="19" t="n">
        <v>3</v>
      </c>
      <c r="I4360" s="57" t="n">
        <v>12</v>
      </c>
    </row>
    <row r="4361">
      <c r="A4361" s="62" t="n">
        <v>47184</v>
      </c>
      <c r="B4361" s="3" t="inlineStr">
        <is>
          <t>Week</t>
        </is>
      </c>
      <c r="C4361" s="19" t="n">
        <v>3</v>
      </c>
      <c r="D4361" s="19" t="n">
        <v>2029</v>
      </c>
      <c r="E4361" s="57" t="n">
        <v>4</v>
      </c>
      <c r="F4361" s="29">
        <f>ROUND(((SUMIFS(Calendar!$F$2:$F$9997,Calendar!$B$2:$B$9997,D4361,Calendar!$C$2:$C$9997,C4361)*INDEX(ForeCalc!$B$37:$Y$274,MATCH(_xlfn.CONCAT(H4361," ",I4361),ForeCalc!$A$37:$A$274,0),MATCH(_xlfn.CONCAT(B4361," ",E4361),ForeCalc!$B$36:$Y$36,0))))*VLOOKUP(A4361,Calendar!$A$2:$H$9997,8,FALSE),0)</f>
        <v/>
      </c>
      <c r="G4361" s="29">
        <f>VLOOKUP(A4361,Calendar!$A$1:$H$9997,6,FALSE)-F4361</f>
        <v/>
      </c>
      <c r="H4361" s="19" t="n">
        <v>3</v>
      </c>
      <c r="I4361" s="57" t="n">
        <v>12</v>
      </c>
    </row>
    <row r="4362">
      <c r="A4362" s="62" t="n">
        <v>47185</v>
      </c>
      <c r="B4362" s="3" t="inlineStr">
        <is>
          <t>Week</t>
        </is>
      </c>
      <c r="C4362" s="19" t="n">
        <v>3</v>
      </c>
      <c r="D4362" s="19" t="n">
        <v>2029</v>
      </c>
      <c r="E4362" s="57" t="n">
        <v>4</v>
      </c>
      <c r="F4362" s="29">
        <f>ROUND(((SUMIFS(Calendar!$F$2:$F$9997,Calendar!$B$2:$B$9997,D4362,Calendar!$C$2:$C$9997,C4362)*INDEX(ForeCalc!$B$37:$Y$274,MATCH(_xlfn.CONCAT(H4362," ",I4362),ForeCalc!$A$37:$A$274,0),MATCH(_xlfn.CONCAT(B4362," ",E4362),ForeCalc!$B$36:$Y$36,0))))*VLOOKUP(A4362,Calendar!$A$2:$H$9997,8,FALSE),0)</f>
        <v/>
      </c>
      <c r="G4362" s="29">
        <f>VLOOKUP(A4362,Calendar!$A$1:$H$9997,6,FALSE)-F4362</f>
        <v/>
      </c>
      <c r="H4362" s="19" t="n">
        <v>3</v>
      </c>
      <c r="I4362" s="57" t="n">
        <v>12</v>
      </c>
    </row>
    <row r="4363">
      <c r="A4363" s="62" t="n">
        <v>47186</v>
      </c>
      <c r="B4363" s="3" t="inlineStr">
        <is>
          <t>Week</t>
        </is>
      </c>
      <c r="C4363" s="19" t="n">
        <v>3</v>
      </c>
      <c r="D4363" s="19" t="n">
        <v>2029</v>
      </c>
      <c r="E4363" s="57" t="n">
        <v>4</v>
      </c>
      <c r="F4363" s="29">
        <f>ROUND(((SUMIFS(Calendar!$F$2:$F$9997,Calendar!$B$2:$B$9997,D4363,Calendar!$C$2:$C$9997,C4363)*INDEX(ForeCalc!$B$37:$Y$274,MATCH(_xlfn.CONCAT(H4363," ",I4363),ForeCalc!$A$37:$A$274,0),MATCH(_xlfn.CONCAT(B4363," ",E4363),ForeCalc!$B$36:$Y$36,0))))*VLOOKUP(A4363,Calendar!$A$2:$H$9997,8,FALSE),0)</f>
        <v/>
      </c>
      <c r="G4363" s="29">
        <f>VLOOKUP(A4363,Calendar!$A$1:$H$9997,6,FALSE)-F4363</f>
        <v/>
      </c>
      <c r="H4363" s="19" t="n">
        <v>3</v>
      </c>
      <c r="I4363" s="57" t="n">
        <v>12</v>
      </c>
    </row>
    <row r="4364">
      <c r="A4364" s="62" t="n">
        <v>47187</v>
      </c>
      <c r="B4364" s="3" t="inlineStr">
        <is>
          <t>Sat</t>
        </is>
      </c>
      <c r="C4364" s="19" t="n">
        <v>3</v>
      </c>
      <c r="D4364" s="19" t="n">
        <v>2029</v>
      </c>
      <c r="E4364" s="57" t="n">
        <v>4</v>
      </c>
      <c r="F4364" s="29">
        <f>ROUND(((SUMIFS(Calendar!$F$2:$F$9997,Calendar!$B$2:$B$9997,D4364,Calendar!$C$2:$C$9997,C4364)*INDEX(ForeCalc!$B$37:$Y$274,MATCH(_xlfn.CONCAT(H4364," ",I4364),ForeCalc!$A$37:$A$274,0),MATCH(_xlfn.CONCAT(B4364," ",E4364),ForeCalc!$B$36:$Y$36,0))))*VLOOKUP(A4364,Calendar!$A$2:$H$9997,8,FALSE),0)</f>
        <v/>
      </c>
      <c r="G4364" s="29">
        <f>VLOOKUP(A4364,Calendar!$A$1:$H$9997,6,FALSE)-F4364</f>
        <v/>
      </c>
      <c r="H4364" s="19" t="n">
        <v>3</v>
      </c>
      <c r="I4364" s="57" t="n">
        <v>12</v>
      </c>
    </row>
    <row r="4365">
      <c r="A4365" s="62" t="n">
        <v>47188</v>
      </c>
      <c r="B4365" s="3" t="inlineStr">
        <is>
          <t>Sun</t>
        </is>
      </c>
      <c r="C4365" s="19" t="n">
        <v>3</v>
      </c>
      <c r="D4365" s="19" t="n">
        <v>2029</v>
      </c>
      <c r="E4365" s="57" t="n">
        <v>4</v>
      </c>
      <c r="F4365" s="29">
        <f>ROUND(((SUMIFS(Calendar!$F$2:$F$9997,Calendar!$B$2:$B$9997,D4365,Calendar!$C$2:$C$9997,C4365)*INDEX(ForeCalc!$B$37:$Y$274,MATCH(_xlfn.CONCAT(H4365," ",I4365),ForeCalc!$A$37:$A$274,0),MATCH(_xlfn.CONCAT(B4365," ",E4365),ForeCalc!$B$36:$Y$36,0))))*VLOOKUP(A4365,Calendar!$A$2:$H$9997,8,FALSE),0)</f>
        <v/>
      </c>
      <c r="G4365" s="29">
        <f>VLOOKUP(A4365,Calendar!$A$1:$H$9997,6,FALSE)-F4365</f>
        <v/>
      </c>
      <c r="H4365" s="19" t="n">
        <v>3</v>
      </c>
      <c r="I4365" s="57" t="n">
        <v>12</v>
      </c>
    </row>
    <row r="4366">
      <c r="A4366" s="62" t="n">
        <v>47189</v>
      </c>
      <c r="B4366" s="3" t="inlineStr">
        <is>
          <t>Week</t>
        </is>
      </c>
      <c r="C4366" s="19" t="n">
        <v>3</v>
      </c>
      <c r="D4366" s="19" t="n">
        <v>2029</v>
      </c>
      <c r="E4366" s="57" t="n">
        <v>4</v>
      </c>
      <c r="F4366" s="29">
        <f>ROUND(((SUMIFS(Calendar!$F$2:$F$9997,Calendar!$B$2:$B$9997,D4366,Calendar!$C$2:$C$9997,C4366)*INDEX(ForeCalc!$B$37:$Y$274,MATCH(_xlfn.CONCAT(H4366," ",I4366),ForeCalc!$A$37:$A$274,0),MATCH(_xlfn.CONCAT(B4366," ",E4366),ForeCalc!$B$36:$Y$36,0))))*VLOOKUP(A4366,Calendar!$A$2:$H$9997,8,FALSE),0)</f>
        <v/>
      </c>
      <c r="G4366" s="29">
        <f>VLOOKUP(A4366,Calendar!$A$1:$H$9997,6,FALSE)-F4366</f>
        <v/>
      </c>
      <c r="H4366" s="19" t="n">
        <v>3</v>
      </c>
      <c r="I4366" s="57" t="n">
        <v>12</v>
      </c>
    </row>
    <row r="4367">
      <c r="A4367" s="62" t="n">
        <v>47190</v>
      </c>
      <c r="B4367" s="3" t="inlineStr">
        <is>
          <t>Week</t>
        </is>
      </c>
      <c r="C4367" s="19" t="n">
        <v>3</v>
      </c>
      <c r="D4367" s="19" t="n">
        <v>2029</v>
      </c>
      <c r="E4367" s="57" t="n">
        <v>4</v>
      </c>
      <c r="F4367" s="29">
        <f>ROUND(((SUMIFS(Calendar!$F$2:$F$9997,Calendar!$B$2:$B$9997,D4367,Calendar!$C$2:$C$9997,C4367)*INDEX(ForeCalc!$B$37:$Y$274,MATCH(_xlfn.CONCAT(H4367," ",I4367),ForeCalc!$A$37:$A$274,0),MATCH(_xlfn.CONCAT(B4367," ",E4367),ForeCalc!$B$36:$Y$36,0))))*VLOOKUP(A4367,Calendar!$A$2:$H$9997,8,FALSE),0)</f>
        <v/>
      </c>
      <c r="G4367" s="29">
        <f>VLOOKUP(A4367,Calendar!$A$1:$H$9997,6,FALSE)-F4367</f>
        <v/>
      </c>
      <c r="H4367" s="19" t="n">
        <v>3</v>
      </c>
      <c r="I4367" s="57" t="n">
        <v>12</v>
      </c>
    </row>
    <row r="4368">
      <c r="A4368" s="62" t="n">
        <v>47191</v>
      </c>
      <c r="B4368" s="3" t="inlineStr">
        <is>
          <t>Week</t>
        </is>
      </c>
      <c r="C4368" s="19" t="n">
        <v>3</v>
      </c>
      <c r="D4368" s="19" t="n">
        <v>2029</v>
      </c>
      <c r="E4368" s="57" t="n">
        <v>4</v>
      </c>
      <c r="F4368" s="29">
        <f>ROUND(((SUMIFS(Calendar!$F$2:$F$9997,Calendar!$B$2:$B$9997,D4368,Calendar!$C$2:$C$9997,C4368)*INDEX(ForeCalc!$B$37:$Y$274,MATCH(_xlfn.CONCAT(H4368," ",I4368),ForeCalc!$A$37:$A$274,0),MATCH(_xlfn.CONCAT(B4368," ",E4368),ForeCalc!$B$36:$Y$36,0))))*VLOOKUP(A4368,Calendar!$A$2:$H$9997,8,FALSE),0)</f>
        <v/>
      </c>
      <c r="G4368" s="29">
        <f>VLOOKUP(A4368,Calendar!$A$1:$H$9997,6,FALSE)-F4368</f>
        <v/>
      </c>
      <c r="H4368" s="19" t="n">
        <v>3</v>
      </c>
      <c r="I4368" s="57" t="n">
        <v>12</v>
      </c>
    </row>
    <row r="4369">
      <c r="A4369" s="62" t="n">
        <v>47192</v>
      </c>
      <c r="B4369" s="3" t="inlineStr">
        <is>
          <t>Week</t>
        </is>
      </c>
      <c r="C4369" s="19" t="n">
        <v>3</v>
      </c>
      <c r="D4369" s="19" t="n">
        <v>2029</v>
      </c>
      <c r="E4369" s="57" t="n">
        <v>4</v>
      </c>
      <c r="F4369" s="29">
        <f>ROUND(((SUMIFS(Calendar!$F$2:$F$9997,Calendar!$B$2:$B$9997,D4369,Calendar!$C$2:$C$9997,C4369)*INDEX(ForeCalc!$B$37:$Y$274,MATCH(_xlfn.CONCAT(H4369," ",I4369),ForeCalc!$A$37:$A$274,0),MATCH(_xlfn.CONCAT(B4369," ",E4369),ForeCalc!$B$36:$Y$36,0))))*VLOOKUP(A4369,Calendar!$A$2:$H$9997,8,FALSE),0)</f>
        <v/>
      </c>
      <c r="G4369" s="29">
        <f>VLOOKUP(A4369,Calendar!$A$1:$H$9997,6,FALSE)-F4369</f>
        <v/>
      </c>
      <c r="H4369" s="19" t="n">
        <v>3</v>
      </c>
      <c r="I4369" s="57" t="n">
        <v>12</v>
      </c>
    </row>
    <row r="4370">
      <c r="A4370" s="62" t="n">
        <v>47193</v>
      </c>
      <c r="B4370" s="3" t="inlineStr">
        <is>
          <t>Week</t>
        </is>
      </c>
      <c r="C4370" s="19" t="n">
        <v>3</v>
      </c>
      <c r="D4370" s="19" t="n">
        <v>2029</v>
      </c>
      <c r="E4370" s="57" t="n">
        <v>4</v>
      </c>
      <c r="F4370" s="29">
        <f>ROUND(((SUMIFS(Calendar!$F$2:$F$9997,Calendar!$B$2:$B$9997,D4370,Calendar!$C$2:$C$9997,C4370)*INDEX(ForeCalc!$B$37:$Y$274,MATCH(_xlfn.CONCAT(H4370," ",I4370),ForeCalc!$A$37:$A$274,0),MATCH(_xlfn.CONCAT(B4370," ",E4370),ForeCalc!$B$36:$Y$36,0))))*VLOOKUP(A4370,Calendar!$A$2:$H$9997,8,FALSE),0)</f>
        <v/>
      </c>
      <c r="G4370" s="29">
        <f>VLOOKUP(A4370,Calendar!$A$1:$H$9997,6,FALSE)-F4370</f>
        <v/>
      </c>
      <c r="H4370" s="19" t="n">
        <v>3</v>
      </c>
      <c r="I4370" s="57" t="n">
        <v>12</v>
      </c>
    </row>
    <row r="4371">
      <c r="A4371" s="62" t="n">
        <v>47194</v>
      </c>
      <c r="B4371" s="3" t="inlineStr">
        <is>
          <t>Sat</t>
        </is>
      </c>
      <c r="C4371" s="19" t="n">
        <v>3</v>
      </c>
      <c r="D4371" s="19" t="n">
        <v>2029</v>
      </c>
      <c r="E4371" s="57" t="n">
        <v>4</v>
      </c>
      <c r="F4371" s="29">
        <f>ROUND(((SUMIFS(Calendar!$F$2:$F$9997,Calendar!$B$2:$B$9997,D4371,Calendar!$C$2:$C$9997,C4371)*INDEX(ForeCalc!$B$37:$Y$274,MATCH(_xlfn.CONCAT(H4371," ",I4371),ForeCalc!$A$37:$A$274,0),MATCH(_xlfn.CONCAT(B4371," ",E4371),ForeCalc!$B$36:$Y$36,0))))*VLOOKUP(A4371,Calendar!$A$2:$H$9997,8,FALSE),0)</f>
        <v/>
      </c>
      <c r="G4371" s="29">
        <f>VLOOKUP(A4371,Calendar!$A$1:$H$9997,6,FALSE)-F4371</f>
        <v/>
      </c>
      <c r="H4371" s="19" t="n">
        <v>3</v>
      </c>
      <c r="I4371" s="57" t="n">
        <v>12</v>
      </c>
    </row>
    <row r="4372">
      <c r="A4372" s="62" t="n">
        <v>47195</v>
      </c>
      <c r="B4372" s="3" t="inlineStr">
        <is>
          <t>Sun</t>
        </is>
      </c>
      <c r="C4372" s="19" t="n">
        <v>3</v>
      </c>
      <c r="D4372" s="19" t="n">
        <v>2029</v>
      </c>
      <c r="E4372" s="57" t="n">
        <v>4</v>
      </c>
      <c r="F4372" s="29">
        <f>ROUND(((SUMIFS(Calendar!$F$2:$F$9997,Calendar!$B$2:$B$9997,D4372,Calendar!$C$2:$C$9997,C4372)*INDEX(ForeCalc!$B$37:$Y$274,MATCH(_xlfn.CONCAT(H4372," ",I4372),ForeCalc!$A$37:$A$274,0),MATCH(_xlfn.CONCAT(B4372," ",E4372),ForeCalc!$B$36:$Y$36,0))))*VLOOKUP(A4372,Calendar!$A$2:$H$9997,8,FALSE),0)</f>
        <v/>
      </c>
      <c r="G4372" s="29">
        <f>VLOOKUP(A4372,Calendar!$A$1:$H$9997,6,FALSE)-F4372</f>
        <v/>
      </c>
      <c r="H4372" s="19" t="n">
        <v>3</v>
      </c>
      <c r="I4372" s="57" t="n">
        <v>12</v>
      </c>
    </row>
    <row r="4373">
      <c r="A4373" s="62" t="n">
        <v>47196</v>
      </c>
      <c r="B4373" s="3" t="inlineStr">
        <is>
          <t>Week</t>
        </is>
      </c>
      <c r="C4373" s="19" t="n">
        <v>3</v>
      </c>
      <c r="D4373" s="19" t="n">
        <v>2029</v>
      </c>
      <c r="E4373" s="57" t="n">
        <v>4</v>
      </c>
      <c r="F4373" s="29">
        <f>ROUND(((SUMIFS(Calendar!$F$2:$F$9997,Calendar!$B$2:$B$9997,D4373,Calendar!$C$2:$C$9997,C4373)*INDEX(ForeCalc!$B$37:$Y$274,MATCH(_xlfn.CONCAT(H4373," ",I4373),ForeCalc!$A$37:$A$274,0),MATCH(_xlfn.CONCAT(B4373," ",E4373),ForeCalc!$B$36:$Y$36,0))))*VLOOKUP(A4373,Calendar!$A$2:$H$9997,8,FALSE),0)</f>
        <v/>
      </c>
      <c r="G4373" s="29">
        <f>VLOOKUP(A4373,Calendar!$A$1:$H$9997,6,FALSE)-F4373</f>
        <v/>
      </c>
      <c r="H4373" s="19" t="n">
        <v>3</v>
      </c>
      <c r="I4373" s="57" t="n">
        <v>12</v>
      </c>
    </row>
    <row r="4374">
      <c r="A4374" s="62" t="n">
        <v>47197</v>
      </c>
      <c r="B4374" s="3" t="inlineStr">
        <is>
          <t>Week</t>
        </is>
      </c>
      <c r="C4374" s="19" t="n">
        <v>3</v>
      </c>
      <c r="D4374" s="19" t="n">
        <v>2029</v>
      </c>
      <c r="E4374" s="57" t="n">
        <v>4</v>
      </c>
      <c r="F4374" s="29">
        <f>ROUND(((SUMIFS(Calendar!$F$2:$F$9997,Calendar!$B$2:$B$9997,D4374,Calendar!$C$2:$C$9997,C4374)*INDEX(ForeCalc!$B$37:$Y$274,MATCH(_xlfn.CONCAT(H4374," ",I4374),ForeCalc!$A$37:$A$274,0),MATCH(_xlfn.CONCAT(B4374," ",E4374),ForeCalc!$B$36:$Y$36,0))))*VLOOKUP(A4374,Calendar!$A$2:$H$9997,8,FALSE),0)</f>
        <v/>
      </c>
      <c r="G4374" s="29">
        <f>VLOOKUP(A4374,Calendar!$A$1:$H$9997,6,FALSE)-F4374</f>
        <v/>
      </c>
      <c r="H4374" s="19" t="n">
        <v>3</v>
      </c>
      <c r="I4374" s="57" t="n">
        <v>12</v>
      </c>
    </row>
    <row r="4375">
      <c r="A4375" s="62" t="n">
        <v>47198</v>
      </c>
      <c r="B4375" s="3" t="inlineStr">
        <is>
          <t>Week</t>
        </is>
      </c>
      <c r="C4375" s="19" t="n">
        <v>3</v>
      </c>
      <c r="D4375" s="19" t="n">
        <v>2029</v>
      </c>
      <c r="E4375" s="57" t="n">
        <v>4</v>
      </c>
      <c r="F4375" s="29">
        <f>ROUND(((SUMIFS(Calendar!$F$2:$F$9997,Calendar!$B$2:$B$9997,D4375,Calendar!$C$2:$C$9997,C4375)*INDEX(ForeCalc!$B$37:$Y$274,MATCH(_xlfn.CONCAT(H4375," ",I4375),ForeCalc!$A$37:$A$274,0),MATCH(_xlfn.CONCAT(B4375," ",E4375),ForeCalc!$B$36:$Y$36,0))))*VLOOKUP(A4375,Calendar!$A$2:$H$9997,8,FALSE),0)</f>
        <v/>
      </c>
      <c r="G4375" s="29">
        <f>VLOOKUP(A4375,Calendar!$A$1:$H$9997,6,FALSE)-F4375</f>
        <v/>
      </c>
      <c r="H4375" s="19" t="n">
        <v>3</v>
      </c>
      <c r="I4375" s="57" t="n">
        <v>12</v>
      </c>
    </row>
    <row r="4376">
      <c r="A4376" s="62" t="n">
        <v>47199</v>
      </c>
      <c r="B4376" s="3" t="inlineStr">
        <is>
          <t>Week</t>
        </is>
      </c>
      <c r="C4376" s="19" t="n">
        <v>3</v>
      </c>
      <c r="D4376" s="19" t="n">
        <v>2029</v>
      </c>
      <c r="E4376" s="57" t="n">
        <v>4</v>
      </c>
      <c r="F4376" s="29">
        <f>ROUND(((SUMIFS(Calendar!$F$2:$F$9997,Calendar!$B$2:$B$9997,D4376,Calendar!$C$2:$C$9997,C4376)*INDEX(ForeCalc!$B$37:$Y$274,MATCH(_xlfn.CONCAT(H4376," ",I4376),ForeCalc!$A$37:$A$274,0),MATCH(_xlfn.CONCAT(B4376," ",E4376),ForeCalc!$B$36:$Y$36,0))))*VLOOKUP(A4376,Calendar!$A$2:$H$9997,8,FALSE),0)</f>
        <v/>
      </c>
      <c r="G4376" s="29">
        <f>VLOOKUP(A4376,Calendar!$A$1:$H$9997,6,FALSE)-F4376</f>
        <v/>
      </c>
      <c r="H4376" s="19" t="n">
        <v>3</v>
      </c>
      <c r="I4376" s="57" t="n">
        <v>12</v>
      </c>
    </row>
    <row r="4377">
      <c r="A4377" s="62" t="n">
        <v>47200</v>
      </c>
      <c r="B4377" s="3" t="inlineStr">
        <is>
          <t>Week</t>
        </is>
      </c>
      <c r="C4377" s="19" t="n">
        <v>3</v>
      </c>
      <c r="D4377" s="19" t="n">
        <v>2029</v>
      </c>
      <c r="E4377" s="57" t="n">
        <v>4</v>
      </c>
      <c r="F4377" s="29">
        <f>ROUND(((SUMIFS(Calendar!$F$2:$F$9997,Calendar!$B$2:$B$9997,D4377,Calendar!$C$2:$C$9997,C4377)*INDEX(ForeCalc!$B$37:$Y$274,MATCH(_xlfn.CONCAT(H4377," ",I4377),ForeCalc!$A$37:$A$274,0),MATCH(_xlfn.CONCAT(B4377," ",E4377),ForeCalc!$B$36:$Y$36,0))))*VLOOKUP(A4377,Calendar!$A$2:$H$9997,8,FALSE),0)</f>
        <v/>
      </c>
      <c r="G4377" s="29">
        <f>VLOOKUP(A4377,Calendar!$A$1:$H$9997,6,FALSE)-F4377</f>
        <v/>
      </c>
      <c r="H4377" s="19" t="n">
        <v>3</v>
      </c>
      <c r="I4377" s="57" t="n">
        <v>12</v>
      </c>
    </row>
    <row r="4378">
      <c r="A4378" s="62" t="n">
        <v>47201</v>
      </c>
      <c r="B4378" s="3" t="inlineStr">
        <is>
          <t>Sat</t>
        </is>
      </c>
      <c r="C4378" s="19" t="n">
        <v>3</v>
      </c>
      <c r="D4378" s="19" t="n">
        <v>2029</v>
      </c>
      <c r="E4378" s="57" t="n">
        <v>4</v>
      </c>
      <c r="F4378" s="29">
        <f>ROUND(((SUMIFS(Calendar!$F$2:$F$9997,Calendar!$B$2:$B$9997,D4378,Calendar!$C$2:$C$9997,C4378)*INDEX(ForeCalc!$B$37:$Y$274,MATCH(_xlfn.CONCAT(H4378," ",I4378),ForeCalc!$A$37:$A$274,0),MATCH(_xlfn.CONCAT(B4378," ",E4378),ForeCalc!$B$36:$Y$36,0))))*VLOOKUP(A4378,Calendar!$A$2:$H$9997,8,FALSE),0)</f>
        <v/>
      </c>
      <c r="G4378" s="29">
        <f>VLOOKUP(A4378,Calendar!$A$1:$H$9997,6,FALSE)-F4378</f>
        <v/>
      </c>
      <c r="H4378" s="19" t="n">
        <v>3</v>
      </c>
      <c r="I4378" s="57" t="n">
        <v>12</v>
      </c>
    </row>
    <row r="4379">
      <c r="A4379" s="62" t="n">
        <v>47202</v>
      </c>
      <c r="B4379" s="3" t="inlineStr">
        <is>
          <t>Sun</t>
        </is>
      </c>
      <c r="C4379" s="19" t="n">
        <v>3</v>
      </c>
      <c r="D4379" s="19" t="n">
        <v>2029</v>
      </c>
      <c r="E4379" s="57" t="n">
        <v>4</v>
      </c>
      <c r="F4379" s="29">
        <f>ROUND(((SUMIFS(Calendar!$F$2:$F$9997,Calendar!$B$2:$B$9997,D4379,Calendar!$C$2:$C$9997,C4379)*INDEX(ForeCalc!$B$37:$Y$274,MATCH(_xlfn.CONCAT(H4379," ",I4379),ForeCalc!$A$37:$A$274,0),MATCH(_xlfn.CONCAT(B4379," ",E4379),ForeCalc!$B$36:$Y$36,0))))*VLOOKUP(A4379,Calendar!$A$2:$H$9997,8,FALSE),0)</f>
        <v/>
      </c>
      <c r="G4379" s="29">
        <f>VLOOKUP(A4379,Calendar!$A$1:$H$9997,6,FALSE)-F4379</f>
        <v/>
      </c>
      <c r="H4379" s="19" t="n">
        <v>3</v>
      </c>
      <c r="I4379" s="57" t="n">
        <v>12</v>
      </c>
    </row>
    <row r="4380">
      <c r="A4380" s="62" t="n">
        <v>47203</v>
      </c>
      <c r="B4380" s="3" t="inlineStr">
        <is>
          <t>Week</t>
        </is>
      </c>
      <c r="C4380" s="19" t="n">
        <v>3</v>
      </c>
      <c r="D4380" s="19" t="n">
        <v>2029</v>
      </c>
      <c r="E4380" s="57" t="n">
        <v>4</v>
      </c>
      <c r="F4380" s="29">
        <f>ROUND(((SUMIFS(Calendar!$F$2:$F$9997,Calendar!$B$2:$B$9997,D4380,Calendar!$C$2:$C$9997,C4380)*INDEX(ForeCalc!$B$37:$Y$274,MATCH(_xlfn.CONCAT(H4380," ",I4380),ForeCalc!$A$37:$A$274,0),MATCH(_xlfn.CONCAT(B4380," ",E4380),ForeCalc!$B$36:$Y$36,0))))*VLOOKUP(A4380,Calendar!$A$2:$H$9997,8,FALSE),0)</f>
        <v/>
      </c>
      <c r="G4380" s="29">
        <f>VLOOKUP(A4380,Calendar!$A$1:$H$9997,6,FALSE)-F4380</f>
        <v/>
      </c>
      <c r="H4380" s="19" t="n">
        <v>3</v>
      </c>
      <c r="I4380" s="57" t="n">
        <v>12</v>
      </c>
    </row>
    <row r="4381">
      <c r="A4381" s="62" t="n">
        <v>47204</v>
      </c>
      <c r="B4381" s="3" t="inlineStr">
        <is>
          <t>Week</t>
        </is>
      </c>
      <c r="C4381" s="19" t="n">
        <v>3</v>
      </c>
      <c r="D4381" s="19" t="n">
        <v>2029</v>
      </c>
      <c r="E4381" s="57" t="n">
        <v>4</v>
      </c>
      <c r="F4381" s="29">
        <f>ROUND(((SUMIFS(Calendar!$F$2:$F$9997,Calendar!$B$2:$B$9997,D4381,Calendar!$C$2:$C$9997,C4381)*INDEX(ForeCalc!$B$37:$Y$274,MATCH(_xlfn.CONCAT(H4381," ",I4381),ForeCalc!$A$37:$A$274,0),MATCH(_xlfn.CONCAT(B4381," ",E4381),ForeCalc!$B$36:$Y$36,0))))*VLOOKUP(A4381,Calendar!$A$2:$H$9997,8,FALSE),0)</f>
        <v/>
      </c>
      <c r="G4381" s="29">
        <f>VLOOKUP(A4381,Calendar!$A$1:$H$9997,6,FALSE)-F4381</f>
        <v/>
      </c>
      <c r="H4381" s="19" t="n">
        <v>3</v>
      </c>
      <c r="I4381" s="57" t="n">
        <v>12</v>
      </c>
    </row>
    <row r="4382">
      <c r="A4382" s="62" t="n">
        <v>47205</v>
      </c>
      <c r="B4382" s="3" t="inlineStr">
        <is>
          <t>Week</t>
        </is>
      </c>
      <c r="C4382" s="19" t="n">
        <v>3</v>
      </c>
      <c r="D4382" s="19" t="n">
        <v>2029</v>
      </c>
      <c r="E4382" s="57" t="n">
        <v>4</v>
      </c>
      <c r="F4382" s="29">
        <f>ROUND(((SUMIFS(Calendar!$F$2:$F$9997,Calendar!$B$2:$B$9997,D4382,Calendar!$C$2:$C$9997,C4382)*INDEX(ForeCalc!$B$37:$Y$274,MATCH(_xlfn.CONCAT(H4382," ",I4382),ForeCalc!$A$37:$A$274,0),MATCH(_xlfn.CONCAT(B4382," ",E4382),ForeCalc!$B$36:$Y$36,0))))*VLOOKUP(A4382,Calendar!$A$2:$H$9997,8,FALSE),0)</f>
        <v/>
      </c>
      <c r="G4382" s="29">
        <f>VLOOKUP(A4382,Calendar!$A$1:$H$9997,6,FALSE)-F4382</f>
        <v/>
      </c>
      <c r="H4382" s="19" t="n">
        <v>3</v>
      </c>
      <c r="I4382" s="57" t="n">
        <v>12</v>
      </c>
    </row>
    <row r="4383">
      <c r="A4383" s="62" t="n">
        <v>47206</v>
      </c>
      <c r="B4383" s="3" t="inlineStr">
        <is>
          <t>Week</t>
        </is>
      </c>
      <c r="C4383" s="19" t="n">
        <v>3</v>
      </c>
      <c r="D4383" s="19" t="n">
        <v>2029</v>
      </c>
      <c r="E4383" s="57" t="n">
        <v>4</v>
      </c>
      <c r="F4383" s="29">
        <f>ROUND(((SUMIFS(Calendar!$F$2:$F$9997,Calendar!$B$2:$B$9997,D4383,Calendar!$C$2:$C$9997,C4383)*INDEX(ForeCalc!$B$37:$Y$274,MATCH(_xlfn.CONCAT(H4383," ",I4383),ForeCalc!$A$37:$A$274,0),MATCH(_xlfn.CONCAT(B4383," ",E4383),ForeCalc!$B$36:$Y$36,0))))*VLOOKUP(A4383,Calendar!$A$2:$H$9997,8,FALSE),0)</f>
        <v/>
      </c>
      <c r="G4383" s="29">
        <f>VLOOKUP(A4383,Calendar!$A$1:$H$9997,6,FALSE)-F4383</f>
        <v/>
      </c>
      <c r="H4383" s="19" t="n">
        <v>3</v>
      </c>
      <c r="I4383" s="57" t="n">
        <v>12</v>
      </c>
    </row>
    <row r="4384">
      <c r="A4384" s="62" t="n">
        <v>47207</v>
      </c>
      <c r="B4384" s="3" t="inlineStr">
        <is>
          <t>Week</t>
        </is>
      </c>
      <c r="C4384" s="19" t="n">
        <v>3</v>
      </c>
      <c r="D4384" s="19" t="n">
        <v>2029</v>
      </c>
      <c r="E4384" s="57" t="n">
        <v>4</v>
      </c>
      <c r="F4384" s="29">
        <f>ROUND(((SUMIFS(Calendar!$F$2:$F$9997,Calendar!$B$2:$B$9997,D4384,Calendar!$C$2:$C$9997,C4384)*INDEX(ForeCalc!$B$37:$Y$274,MATCH(_xlfn.CONCAT(H4384," ",I4384),ForeCalc!$A$37:$A$274,0),MATCH(_xlfn.CONCAT(B4384," ",E4384),ForeCalc!$B$36:$Y$36,0))))*VLOOKUP(A4384,Calendar!$A$2:$H$9997,8,FALSE),0)</f>
        <v/>
      </c>
      <c r="G4384" s="29">
        <f>VLOOKUP(A4384,Calendar!$A$1:$H$9997,6,FALSE)-F4384</f>
        <v/>
      </c>
      <c r="H4384" s="19" t="n">
        <v>3</v>
      </c>
      <c r="I4384" s="57" t="n">
        <v>12</v>
      </c>
    </row>
    <row r="4385">
      <c r="A4385" s="62" t="n">
        <v>47208</v>
      </c>
      <c r="B4385" s="3" t="inlineStr">
        <is>
          <t>Sat</t>
        </is>
      </c>
      <c r="C4385" s="19" t="n">
        <v>3</v>
      </c>
      <c r="D4385" s="19" t="n">
        <v>2029</v>
      </c>
      <c r="E4385" s="57" t="n">
        <v>4</v>
      </c>
      <c r="F4385" s="29">
        <f>ROUND(((SUMIFS(Calendar!$F$2:$F$9997,Calendar!$B$2:$B$9997,D4385,Calendar!$C$2:$C$9997,C4385)*INDEX(ForeCalc!$B$37:$Y$274,MATCH(_xlfn.CONCAT(H4385," ",I4385),ForeCalc!$A$37:$A$274,0),MATCH(_xlfn.CONCAT(B4385," ",E4385),ForeCalc!$B$36:$Y$36,0))))*VLOOKUP(A4385,Calendar!$A$2:$H$9997,8,FALSE),0)</f>
        <v/>
      </c>
      <c r="G4385" s="29">
        <f>VLOOKUP(A4385,Calendar!$A$1:$H$9997,6,FALSE)-F4385</f>
        <v/>
      </c>
      <c r="H4385" s="19" t="n">
        <v>3</v>
      </c>
      <c r="I4385" s="57" t="n">
        <v>12</v>
      </c>
    </row>
    <row r="4386">
      <c r="A4386" s="62" t="n">
        <v>46113</v>
      </c>
      <c r="B4386" s="3" t="inlineStr">
        <is>
          <t>Week</t>
        </is>
      </c>
      <c r="C4386" s="19" t="n">
        <v>4</v>
      </c>
      <c r="D4386" s="19" t="n">
        <v>2026</v>
      </c>
      <c r="E4386" s="57" t="n">
        <v>5</v>
      </c>
      <c r="F4386" s="29">
        <f>ROUND(((SUMIFS(Calendar!$F$2:$F$9997,Calendar!$B$2:$B$9997,D4386,Calendar!$C$2:$C$9997,C4386)*INDEX(ForeCalc!$B$37:$Y$274,MATCH(_xlfn.CONCAT(H4386," ",I4386),ForeCalc!$A$37:$A$274,0),MATCH(_xlfn.CONCAT(B4386," ",E4386),ForeCalc!$B$36:$Y$36,0))))*VLOOKUP(A4386,Calendar!$A$2:$H$9997,8,FALSE),0)</f>
        <v/>
      </c>
      <c r="G4386" s="29">
        <f>VLOOKUP(A4386,Calendar!$A$1:$H$9997,6,FALSE)-F4386</f>
        <v/>
      </c>
      <c r="H4386" s="19" t="n">
        <v>1</v>
      </c>
      <c r="I4386" s="57" t="n">
        <v>1</v>
      </c>
    </row>
    <row r="4387">
      <c r="A4387" s="62" t="n">
        <v>46114</v>
      </c>
      <c r="B4387" s="3" t="inlineStr">
        <is>
          <t>Week</t>
        </is>
      </c>
      <c r="C4387" s="19" t="n">
        <v>4</v>
      </c>
      <c r="D4387" s="19" t="n">
        <v>2026</v>
      </c>
      <c r="E4387" s="57" t="n">
        <v>5</v>
      </c>
      <c r="F4387" s="29">
        <f>ROUND(((SUMIFS(Calendar!$F$2:$F$9997,Calendar!$B$2:$B$9997,D4387,Calendar!$C$2:$C$9997,C4387)*INDEX(ForeCalc!$B$37:$Y$274,MATCH(_xlfn.CONCAT(H4387," ",I4387),ForeCalc!$A$37:$A$274,0),MATCH(_xlfn.CONCAT(B4387," ",E4387),ForeCalc!$B$36:$Y$36,0))))*VLOOKUP(A4387,Calendar!$A$2:$H$9997,8,FALSE),0)</f>
        <v/>
      </c>
      <c r="G4387" s="29">
        <f>VLOOKUP(A4387,Calendar!$A$1:$H$9997,6,FALSE)-F4387</f>
        <v/>
      </c>
      <c r="H4387" s="19" t="n">
        <v>1</v>
      </c>
      <c r="I4387" s="57" t="n">
        <v>1</v>
      </c>
    </row>
    <row r="4388">
      <c r="A4388" s="62" t="n">
        <v>46115</v>
      </c>
      <c r="B4388" s="3" t="inlineStr">
        <is>
          <t>Week</t>
        </is>
      </c>
      <c r="C4388" s="19" t="n">
        <v>4</v>
      </c>
      <c r="D4388" s="19" t="n">
        <v>2026</v>
      </c>
      <c r="E4388" s="57" t="n">
        <v>5</v>
      </c>
      <c r="F4388" s="29">
        <f>ROUND(((SUMIFS(Calendar!$F$2:$F$9997,Calendar!$B$2:$B$9997,D4388,Calendar!$C$2:$C$9997,C4388)*INDEX(ForeCalc!$B$37:$Y$274,MATCH(_xlfn.CONCAT(H4388," ",I4388),ForeCalc!$A$37:$A$274,0),MATCH(_xlfn.CONCAT(B4388," ",E4388),ForeCalc!$B$36:$Y$36,0))))*VLOOKUP(A4388,Calendar!$A$2:$H$9997,8,FALSE),0)</f>
        <v/>
      </c>
      <c r="G4388" s="29">
        <f>VLOOKUP(A4388,Calendar!$A$1:$H$9997,6,FALSE)-F4388</f>
        <v/>
      </c>
      <c r="H4388" s="19" t="n">
        <v>1</v>
      </c>
      <c r="I4388" s="57" t="n">
        <v>1</v>
      </c>
    </row>
    <row r="4389">
      <c r="A4389" s="62" t="n">
        <v>46116</v>
      </c>
      <c r="B4389" s="3" t="inlineStr">
        <is>
          <t>Sat</t>
        </is>
      </c>
      <c r="C4389" s="19" t="n">
        <v>4</v>
      </c>
      <c r="D4389" s="19" t="n">
        <v>2026</v>
      </c>
      <c r="E4389" s="57" t="n">
        <v>5</v>
      </c>
      <c r="F4389" s="29">
        <f>ROUND(((SUMIFS(Calendar!$F$2:$F$9997,Calendar!$B$2:$B$9997,D4389,Calendar!$C$2:$C$9997,C4389)*INDEX(ForeCalc!$B$37:$Y$274,MATCH(_xlfn.CONCAT(H4389," ",I4389),ForeCalc!$A$37:$A$274,0),MATCH(_xlfn.CONCAT(B4389," ",E4389),ForeCalc!$B$36:$Y$36,0))))*VLOOKUP(A4389,Calendar!$A$2:$H$9997,8,FALSE),0)</f>
        <v/>
      </c>
      <c r="G4389" s="29">
        <f>VLOOKUP(A4389,Calendar!$A$1:$H$9997,6,FALSE)-F4389</f>
        <v/>
      </c>
      <c r="H4389" s="19" t="n">
        <v>1</v>
      </c>
      <c r="I4389" s="57" t="n">
        <v>1</v>
      </c>
    </row>
    <row r="4390">
      <c r="A4390" s="62" t="n">
        <v>46117</v>
      </c>
      <c r="B4390" s="3" t="inlineStr">
        <is>
          <t>Sun</t>
        </is>
      </c>
      <c r="C4390" s="19" t="n">
        <v>4</v>
      </c>
      <c r="D4390" s="19" t="n">
        <v>2026</v>
      </c>
      <c r="E4390" s="57" t="n">
        <v>5</v>
      </c>
      <c r="F4390" s="29">
        <f>ROUND(((SUMIFS(Calendar!$F$2:$F$9997,Calendar!$B$2:$B$9997,D4390,Calendar!$C$2:$C$9997,C4390)*INDEX(ForeCalc!$B$37:$Y$274,MATCH(_xlfn.CONCAT(H4390," ",I4390),ForeCalc!$A$37:$A$274,0),MATCH(_xlfn.CONCAT(B4390," ",E4390),ForeCalc!$B$36:$Y$36,0))))*VLOOKUP(A4390,Calendar!$A$2:$H$9997,8,FALSE),0)</f>
        <v/>
      </c>
      <c r="G4390" s="29">
        <f>VLOOKUP(A4390,Calendar!$A$1:$H$9997,6,FALSE)-F4390</f>
        <v/>
      </c>
      <c r="H4390" s="19" t="n">
        <v>1</v>
      </c>
      <c r="I4390" s="57" t="n">
        <v>1</v>
      </c>
    </row>
    <row r="4391">
      <c r="A4391" s="62" t="n">
        <v>46118</v>
      </c>
      <c r="B4391" s="3" t="inlineStr">
        <is>
          <t>Week</t>
        </is>
      </c>
      <c r="C4391" s="19" t="n">
        <v>4</v>
      </c>
      <c r="D4391" s="19" t="n">
        <v>2026</v>
      </c>
      <c r="E4391" s="57" t="n">
        <v>5</v>
      </c>
      <c r="F4391" s="29">
        <f>ROUND(((SUMIFS(Calendar!$F$2:$F$9997,Calendar!$B$2:$B$9997,D4391,Calendar!$C$2:$C$9997,C4391)*INDEX(ForeCalc!$B$37:$Y$274,MATCH(_xlfn.CONCAT(H4391," ",I4391),ForeCalc!$A$37:$A$274,0),MATCH(_xlfn.CONCAT(B4391," ",E4391),ForeCalc!$B$36:$Y$36,0))))*VLOOKUP(A4391,Calendar!$A$2:$H$9997,8,FALSE),0)</f>
        <v/>
      </c>
      <c r="G4391" s="29">
        <f>VLOOKUP(A4391,Calendar!$A$1:$H$9997,6,FALSE)-F4391</f>
        <v/>
      </c>
      <c r="H4391" s="19" t="n">
        <v>1</v>
      </c>
      <c r="I4391" s="57" t="n">
        <v>1</v>
      </c>
    </row>
    <row r="4392">
      <c r="A4392" s="62" t="n">
        <v>46119</v>
      </c>
      <c r="B4392" s="3" t="inlineStr">
        <is>
          <t>Week</t>
        </is>
      </c>
      <c r="C4392" s="19" t="n">
        <v>4</v>
      </c>
      <c r="D4392" s="19" t="n">
        <v>2026</v>
      </c>
      <c r="E4392" s="57" t="n">
        <v>5</v>
      </c>
      <c r="F4392" s="29">
        <f>ROUND(((SUMIFS(Calendar!$F$2:$F$9997,Calendar!$B$2:$B$9997,D4392,Calendar!$C$2:$C$9997,C4392)*INDEX(ForeCalc!$B$37:$Y$274,MATCH(_xlfn.CONCAT(H4392," ",I4392),ForeCalc!$A$37:$A$274,0),MATCH(_xlfn.CONCAT(B4392," ",E4392),ForeCalc!$B$36:$Y$36,0))))*VLOOKUP(A4392,Calendar!$A$2:$H$9997,8,FALSE),0)</f>
        <v/>
      </c>
      <c r="G4392" s="29">
        <f>VLOOKUP(A4392,Calendar!$A$1:$H$9997,6,FALSE)-F4392</f>
        <v/>
      </c>
      <c r="H4392" s="19" t="n">
        <v>1</v>
      </c>
      <c r="I4392" s="57" t="n">
        <v>1</v>
      </c>
    </row>
    <row r="4393">
      <c r="A4393" s="62" t="n">
        <v>46120</v>
      </c>
      <c r="B4393" s="3" t="inlineStr">
        <is>
          <t>Week</t>
        </is>
      </c>
      <c r="C4393" s="19" t="n">
        <v>4</v>
      </c>
      <c r="D4393" s="19" t="n">
        <v>2026</v>
      </c>
      <c r="E4393" s="57" t="n">
        <v>5</v>
      </c>
      <c r="F4393" s="29">
        <f>ROUND(((SUMIFS(Calendar!$F$2:$F$9997,Calendar!$B$2:$B$9997,D4393,Calendar!$C$2:$C$9997,C4393)*INDEX(ForeCalc!$B$37:$Y$274,MATCH(_xlfn.CONCAT(H4393," ",I4393),ForeCalc!$A$37:$A$274,0),MATCH(_xlfn.CONCAT(B4393," ",E4393),ForeCalc!$B$36:$Y$36,0))))*VLOOKUP(A4393,Calendar!$A$2:$H$9997,8,FALSE),0)</f>
        <v/>
      </c>
      <c r="G4393" s="29">
        <f>VLOOKUP(A4393,Calendar!$A$1:$H$9997,6,FALSE)-F4393</f>
        <v/>
      </c>
      <c r="H4393" s="19" t="n">
        <v>1</v>
      </c>
      <c r="I4393" s="57" t="n">
        <v>1</v>
      </c>
    </row>
    <row r="4394">
      <c r="A4394" s="62" t="n">
        <v>46121</v>
      </c>
      <c r="B4394" s="3" t="inlineStr">
        <is>
          <t>Week</t>
        </is>
      </c>
      <c r="C4394" s="19" t="n">
        <v>4</v>
      </c>
      <c r="D4394" s="19" t="n">
        <v>2026</v>
      </c>
      <c r="E4394" s="57" t="n">
        <v>5</v>
      </c>
      <c r="F4394" s="29">
        <f>ROUND(((SUMIFS(Calendar!$F$2:$F$9997,Calendar!$B$2:$B$9997,D4394,Calendar!$C$2:$C$9997,C4394)*INDEX(ForeCalc!$B$37:$Y$274,MATCH(_xlfn.CONCAT(H4394," ",I4394),ForeCalc!$A$37:$A$274,0),MATCH(_xlfn.CONCAT(B4394," ",E4394),ForeCalc!$B$36:$Y$36,0))))*VLOOKUP(A4394,Calendar!$A$2:$H$9997,8,FALSE),0)</f>
        <v/>
      </c>
      <c r="G4394" s="29">
        <f>VLOOKUP(A4394,Calendar!$A$1:$H$9997,6,FALSE)-F4394</f>
        <v/>
      </c>
      <c r="H4394" s="19" t="n">
        <v>1</v>
      </c>
      <c r="I4394" s="57" t="n">
        <v>1</v>
      </c>
    </row>
    <row r="4395">
      <c r="A4395" s="62" t="n">
        <v>46122</v>
      </c>
      <c r="B4395" s="3" t="inlineStr">
        <is>
          <t>Week</t>
        </is>
      </c>
      <c r="C4395" s="19" t="n">
        <v>4</v>
      </c>
      <c r="D4395" s="19" t="n">
        <v>2026</v>
      </c>
      <c r="E4395" s="57" t="n">
        <v>5</v>
      </c>
      <c r="F4395" s="29">
        <f>ROUND(((SUMIFS(Calendar!$F$2:$F$9997,Calendar!$B$2:$B$9997,D4395,Calendar!$C$2:$C$9997,C4395)*INDEX(ForeCalc!$B$37:$Y$274,MATCH(_xlfn.CONCAT(H4395," ",I4395),ForeCalc!$A$37:$A$274,0),MATCH(_xlfn.CONCAT(B4395," ",E4395),ForeCalc!$B$36:$Y$36,0))))*VLOOKUP(A4395,Calendar!$A$2:$H$9997,8,FALSE),0)</f>
        <v/>
      </c>
      <c r="G4395" s="29">
        <f>VLOOKUP(A4395,Calendar!$A$1:$H$9997,6,FALSE)-F4395</f>
        <v/>
      </c>
      <c r="H4395" s="19" t="n">
        <v>1</v>
      </c>
      <c r="I4395" s="57" t="n">
        <v>1</v>
      </c>
    </row>
    <row r="4396">
      <c r="A4396" s="62" t="n">
        <v>46123</v>
      </c>
      <c r="B4396" s="3" t="inlineStr">
        <is>
          <t>Sat</t>
        </is>
      </c>
      <c r="C4396" s="19" t="n">
        <v>4</v>
      </c>
      <c r="D4396" s="19" t="n">
        <v>2026</v>
      </c>
      <c r="E4396" s="57" t="n">
        <v>5</v>
      </c>
      <c r="F4396" s="29">
        <f>ROUND(((SUMIFS(Calendar!$F$2:$F$9997,Calendar!$B$2:$B$9997,D4396,Calendar!$C$2:$C$9997,C4396)*INDEX(ForeCalc!$B$37:$Y$274,MATCH(_xlfn.CONCAT(H4396," ",I4396),ForeCalc!$A$37:$A$274,0),MATCH(_xlfn.CONCAT(B4396," ",E4396),ForeCalc!$B$36:$Y$36,0))))*VLOOKUP(A4396,Calendar!$A$2:$H$9997,8,FALSE),0)</f>
        <v/>
      </c>
      <c r="G4396" s="29">
        <f>VLOOKUP(A4396,Calendar!$A$1:$H$9997,6,FALSE)-F4396</f>
        <v/>
      </c>
      <c r="H4396" s="19" t="n">
        <v>1</v>
      </c>
      <c r="I4396" s="57" t="n">
        <v>1</v>
      </c>
    </row>
    <row r="4397">
      <c r="A4397" s="62" t="n">
        <v>46124</v>
      </c>
      <c r="B4397" s="3" t="inlineStr">
        <is>
          <t>Sun</t>
        </is>
      </c>
      <c r="C4397" s="19" t="n">
        <v>4</v>
      </c>
      <c r="D4397" s="19" t="n">
        <v>2026</v>
      </c>
      <c r="E4397" s="57" t="n">
        <v>5</v>
      </c>
      <c r="F4397" s="29">
        <f>ROUND(((SUMIFS(Calendar!$F$2:$F$9997,Calendar!$B$2:$B$9997,D4397,Calendar!$C$2:$C$9997,C4397)*INDEX(ForeCalc!$B$37:$Y$274,MATCH(_xlfn.CONCAT(H4397," ",I4397),ForeCalc!$A$37:$A$274,0),MATCH(_xlfn.CONCAT(B4397," ",E4397),ForeCalc!$B$36:$Y$36,0))))*VLOOKUP(A4397,Calendar!$A$2:$H$9997,8,FALSE),0)</f>
        <v/>
      </c>
      <c r="G4397" s="29">
        <f>VLOOKUP(A4397,Calendar!$A$1:$H$9997,6,FALSE)-F4397</f>
        <v/>
      </c>
      <c r="H4397" s="19" t="n">
        <v>1</v>
      </c>
      <c r="I4397" s="57" t="n">
        <v>1</v>
      </c>
    </row>
    <row r="4398">
      <c r="A4398" s="62" t="n">
        <v>46125</v>
      </c>
      <c r="B4398" s="3" t="inlineStr">
        <is>
          <t>Week</t>
        </is>
      </c>
      <c r="C4398" s="19" t="n">
        <v>4</v>
      </c>
      <c r="D4398" s="19" t="n">
        <v>2026</v>
      </c>
      <c r="E4398" s="57" t="n">
        <v>5</v>
      </c>
      <c r="F4398" s="29">
        <f>ROUND(((SUMIFS(Calendar!$F$2:$F$9997,Calendar!$B$2:$B$9997,D4398,Calendar!$C$2:$C$9997,C4398)*INDEX(ForeCalc!$B$37:$Y$274,MATCH(_xlfn.CONCAT(H4398," ",I4398),ForeCalc!$A$37:$A$274,0),MATCH(_xlfn.CONCAT(B4398," ",E4398),ForeCalc!$B$36:$Y$36,0))))*VLOOKUP(A4398,Calendar!$A$2:$H$9997,8,FALSE),0)</f>
        <v/>
      </c>
      <c r="G4398" s="29">
        <f>VLOOKUP(A4398,Calendar!$A$1:$H$9997,6,FALSE)-F4398</f>
        <v/>
      </c>
      <c r="H4398" s="19" t="n">
        <v>1</v>
      </c>
      <c r="I4398" s="57" t="n">
        <v>1</v>
      </c>
    </row>
    <row r="4399">
      <c r="A4399" s="62" t="n">
        <v>46126</v>
      </c>
      <c r="B4399" s="3" t="inlineStr">
        <is>
          <t>Week</t>
        </is>
      </c>
      <c r="C4399" s="19" t="n">
        <v>4</v>
      </c>
      <c r="D4399" s="19" t="n">
        <v>2026</v>
      </c>
      <c r="E4399" s="57" t="n">
        <v>5</v>
      </c>
      <c r="F4399" s="29">
        <f>ROUND(((SUMIFS(Calendar!$F$2:$F$9997,Calendar!$B$2:$B$9997,D4399,Calendar!$C$2:$C$9997,C4399)*INDEX(ForeCalc!$B$37:$Y$274,MATCH(_xlfn.CONCAT(H4399," ",I4399),ForeCalc!$A$37:$A$274,0),MATCH(_xlfn.CONCAT(B4399," ",E4399),ForeCalc!$B$36:$Y$36,0))))*VLOOKUP(A4399,Calendar!$A$2:$H$9997,8,FALSE),0)</f>
        <v/>
      </c>
      <c r="G4399" s="29">
        <f>VLOOKUP(A4399,Calendar!$A$1:$H$9997,6,FALSE)-F4399</f>
        <v/>
      </c>
      <c r="H4399" s="19" t="n">
        <v>1</v>
      </c>
      <c r="I4399" s="57" t="n">
        <v>1</v>
      </c>
    </row>
    <row r="4400">
      <c r="A4400" s="62" t="n">
        <v>46127</v>
      </c>
      <c r="B4400" s="3" t="inlineStr">
        <is>
          <t>Week</t>
        </is>
      </c>
      <c r="C4400" s="19" t="n">
        <v>4</v>
      </c>
      <c r="D4400" s="19" t="n">
        <v>2026</v>
      </c>
      <c r="E4400" s="57" t="n">
        <v>5</v>
      </c>
      <c r="F4400" s="29">
        <f>ROUND(((SUMIFS(Calendar!$F$2:$F$9997,Calendar!$B$2:$B$9997,D4400,Calendar!$C$2:$C$9997,C4400)*INDEX(ForeCalc!$B$37:$Y$274,MATCH(_xlfn.CONCAT(H4400," ",I4400),ForeCalc!$A$37:$A$274,0),MATCH(_xlfn.CONCAT(B4400," ",E4400),ForeCalc!$B$36:$Y$36,0))))*VLOOKUP(A4400,Calendar!$A$2:$H$9997,8,FALSE),0)</f>
        <v/>
      </c>
      <c r="G4400" s="29">
        <f>VLOOKUP(A4400,Calendar!$A$1:$H$9997,6,FALSE)-F4400</f>
        <v/>
      </c>
      <c r="H4400" s="19" t="n">
        <v>1</v>
      </c>
      <c r="I4400" s="57" t="n">
        <v>1</v>
      </c>
    </row>
    <row r="4401">
      <c r="A4401" s="62" t="n">
        <v>46128</v>
      </c>
      <c r="B4401" s="3" t="inlineStr">
        <is>
          <t>Week</t>
        </is>
      </c>
      <c r="C4401" s="19" t="n">
        <v>4</v>
      </c>
      <c r="D4401" s="19" t="n">
        <v>2026</v>
      </c>
      <c r="E4401" s="57" t="n">
        <v>5</v>
      </c>
      <c r="F4401" s="29">
        <f>ROUND(((SUMIFS(Calendar!$F$2:$F$9997,Calendar!$B$2:$B$9997,D4401,Calendar!$C$2:$C$9997,C4401)*INDEX(ForeCalc!$B$37:$Y$274,MATCH(_xlfn.CONCAT(H4401," ",I4401),ForeCalc!$A$37:$A$274,0),MATCH(_xlfn.CONCAT(B4401," ",E4401),ForeCalc!$B$36:$Y$36,0))))*VLOOKUP(A4401,Calendar!$A$2:$H$9997,8,FALSE),0)</f>
        <v/>
      </c>
      <c r="G4401" s="29">
        <f>VLOOKUP(A4401,Calendar!$A$1:$H$9997,6,FALSE)-F4401</f>
        <v/>
      </c>
      <c r="H4401" s="19" t="n">
        <v>1</v>
      </c>
      <c r="I4401" s="57" t="n">
        <v>1</v>
      </c>
    </row>
    <row r="4402">
      <c r="A4402" s="62" t="n">
        <v>46129</v>
      </c>
      <c r="B4402" s="3" t="inlineStr">
        <is>
          <t>Week</t>
        </is>
      </c>
      <c r="C4402" s="19" t="n">
        <v>4</v>
      </c>
      <c r="D4402" s="19" t="n">
        <v>2026</v>
      </c>
      <c r="E4402" s="57" t="n">
        <v>5</v>
      </c>
      <c r="F4402" s="29">
        <f>ROUND(((SUMIFS(Calendar!$F$2:$F$9997,Calendar!$B$2:$B$9997,D4402,Calendar!$C$2:$C$9997,C4402)*INDEX(ForeCalc!$B$37:$Y$274,MATCH(_xlfn.CONCAT(H4402," ",I4402),ForeCalc!$A$37:$A$274,0),MATCH(_xlfn.CONCAT(B4402," ",E4402),ForeCalc!$B$36:$Y$36,0))))*VLOOKUP(A4402,Calendar!$A$2:$H$9997,8,FALSE),0)</f>
        <v/>
      </c>
      <c r="G4402" s="29">
        <f>VLOOKUP(A4402,Calendar!$A$1:$H$9997,6,FALSE)-F4402</f>
        <v/>
      </c>
      <c r="H4402" s="19" t="n">
        <v>1</v>
      </c>
      <c r="I4402" s="57" t="n">
        <v>1</v>
      </c>
    </row>
    <row r="4403">
      <c r="A4403" s="62" t="n">
        <v>46130</v>
      </c>
      <c r="B4403" s="3" t="inlineStr">
        <is>
          <t>Sat</t>
        </is>
      </c>
      <c r="C4403" s="19" t="n">
        <v>4</v>
      </c>
      <c r="D4403" s="19" t="n">
        <v>2026</v>
      </c>
      <c r="E4403" s="57" t="n">
        <v>5</v>
      </c>
      <c r="F4403" s="29">
        <f>ROUND(((SUMIFS(Calendar!$F$2:$F$9997,Calendar!$B$2:$B$9997,D4403,Calendar!$C$2:$C$9997,C4403)*INDEX(ForeCalc!$B$37:$Y$274,MATCH(_xlfn.CONCAT(H4403," ",I4403),ForeCalc!$A$37:$A$274,0),MATCH(_xlfn.CONCAT(B4403," ",E4403),ForeCalc!$B$36:$Y$36,0))))*VLOOKUP(A4403,Calendar!$A$2:$H$9997,8,FALSE),0)</f>
        <v/>
      </c>
      <c r="G4403" s="29">
        <f>VLOOKUP(A4403,Calendar!$A$1:$H$9997,6,FALSE)-F4403</f>
        <v/>
      </c>
      <c r="H4403" s="19" t="n">
        <v>1</v>
      </c>
      <c r="I4403" s="57" t="n">
        <v>1</v>
      </c>
    </row>
    <row r="4404">
      <c r="A4404" s="62" t="n">
        <v>46131</v>
      </c>
      <c r="B4404" s="3" t="inlineStr">
        <is>
          <t>Sun</t>
        </is>
      </c>
      <c r="C4404" s="19" t="n">
        <v>4</v>
      </c>
      <c r="D4404" s="19" t="n">
        <v>2026</v>
      </c>
      <c r="E4404" s="57" t="n">
        <v>5</v>
      </c>
      <c r="F4404" s="29">
        <f>ROUND(((SUMIFS(Calendar!$F$2:$F$9997,Calendar!$B$2:$B$9997,D4404,Calendar!$C$2:$C$9997,C4404)*INDEX(ForeCalc!$B$37:$Y$274,MATCH(_xlfn.CONCAT(H4404," ",I4404),ForeCalc!$A$37:$A$274,0),MATCH(_xlfn.CONCAT(B4404," ",E4404),ForeCalc!$B$36:$Y$36,0))))*VLOOKUP(A4404,Calendar!$A$2:$H$9997,8,FALSE),0)</f>
        <v/>
      </c>
      <c r="G4404" s="29">
        <f>VLOOKUP(A4404,Calendar!$A$1:$H$9997,6,FALSE)-F4404</f>
        <v/>
      </c>
      <c r="H4404" s="19" t="n">
        <v>1</v>
      </c>
      <c r="I4404" s="57" t="n">
        <v>1</v>
      </c>
    </row>
    <row r="4405">
      <c r="A4405" s="62" t="n">
        <v>46132</v>
      </c>
      <c r="B4405" s="3" t="inlineStr">
        <is>
          <t>Week</t>
        </is>
      </c>
      <c r="C4405" s="19" t="n">
        <v>4</v>
      </c>
      <c r="D4405" s="19" t="n">
        <v>2026</v>
      </c>
      <c r="E4405" s="57" t="n">
        <v>5</v>
      </c>
      <c r="F4405" s="29">
        <f>ROUND(((SUMIFS(Calendar!$F$2:$F$9997,Calendar!$B$2:$B$9997,D4405,Calendar!$C$2:$C$9997,C4405)*INDEX(ForeCalc!$B$37:$Y$274,MATCH(_xlfn.CONCAT(H4405," ",I4405),ForeCalc!$A$37:$A$274,0),MATCH(_xlfn.CONCAT(B4405," ",E4405),ForeCalc!$B$36:$Y$36,0))))*VLOOKUP(A4405,Calendar!$A$2:$H$9997,8,FALSE),0)</f>
        <v/>
      </c>
      <c r="G4405" s="29">
        <f>VLOOKUP(A4405,Calendar!$A$1:$H$9997,6,FALSE)-F4405</f>
        <v/>
      </c>
      <c r="H4405" s="19" t="n">
        <v>1</v>
      </c>
      <c r="I4405" s="57" t="n">
        <v>1</v>
      </c>
    </row>
    <row r="4406">
      <c r="A4406" s="62" t="n">
        <v>46133</v>
      </c>
      <c r="B4406" s="3" t="inlineStr">
        <is>
          <t>Week</t>
        </is>
      </c>
      <c r="C4406" s="19" t="n">
        <v>4</v>
      </c>
      <c r="D4406" s="19" t="n">
        <v>2026</v>
      </c>
      <c r="E4406" s="57" t="n">
        <v>5</v>
      </c>
      <c r="F4406" s="29">
        <f>ROUND(((SUMIFS(Calendar!$F$2:$F$9997,Calendar!$B$2:$B$9997,D4406,Calendar!$C$2:$C$9997,C4406)*INDEX(ForeCalc!$B$37:$Y$274,MATCH(_xlfn.CONCAT(H4406," ",I4406),ForeCalc!$A$37:$A$274,0),MATCH(_xlfn.CONCAT(B4406," ",E4406),ForeCalc!$B$36:$Y$36,0))))*VLOOKUP(A4406,Calendar!$A$2:$H$9997,8,FALSE),0)</f>
        <v/>
      </c>
      <c r="G4406" s="29">
        <f>VLOOKUP(A4406,Calendar!$A$1:$H$9997,6,FALSE)-F4406</f>
        <v/>
      </c>
      <c r="H4406" s="19" t="n">
        <v>1</v>
      </c>
      <c r="I4406" s="57" t="n">
        <v>1</v>
      </c>
    </row>
    <row r="4407">
      <c r="A4407" s="62" t="n">
        <v>46134</v>
      </c>
      <c r="B4407" s="3" t="inlineStr">
        <is>
          <t>Week</t>
        </is>
      </c>
      <c r="C4407" s="19" t="n">
        <v>4</v>
      </c>
      <c r="D4407" s="19" t="n">
        <v>2026</v>
      </c>
      <c r="E4407" s="57" t="n">
        <v>5</v>
      </c>
      <c r="F4407" s="29">
        <f>ROUND(((SUMIFS(Calendar!$F$2:$F$9997,Calendar!$B$2:$B$9997,D4407,Calendar!$C$2:$C$9997,C4407)*INDEX(ForeCalc!$B$37:$Y$274,MATCH(_xlfn.CONCAT(H4407," ",I4407),ForeCalc!$A$37:$A$274,0),MATCH(_xlfn.CONCAT(B4407," ",E4407),ForeCalc!$B$36:$Y$36,0))))*VLOOKUP(A4407,Calendar!$A$2:$H$9997,8,FALSE),0)</f>
        <v/>
      </c>
      <c r="G4407" s="29">
        <f>VLOOKUP(A4407,Calendar!$A$1:$H$9997,6,FALSE)-F4407</f>
        <v/>
      </c>
      <c r="H4407" s="19" t="n">
        <v>1</v>
      </c>
      <c r="I4407" s="57" t="n">
        <v>1</v>
      </c>
    </row>
    <row r="4408">
      <c r="A4408" s="62" t="n">
        <v>46135</v>
      </c>
      <c r="B4408" s="3" t="inlineStr">
        <is>
          <t>Week</t>
        </is>
      </c>
      <c r="C4408" s="19" t="n">
        <v>4</v>
      </c>
      <c r="D4408" s="19" t="n">
        <v>2026</v>
      </c>
      <c r="E4408" s="57" t="n">
        <v>5</v>
      </c>
      <c r="F4408" s="29">
        <f>ROUND(((SUMIFS(Calendar!$F$2:$F$9997,Calendar!$B$2:$B$9997,D4408,Calendar!$C$2:$C$9997,C4408)*INDEX(ForeCalc!$B$37:$Y$274,MATCH(_xlfn.CONCAT(H4408," ",I4408),ForeCalc!$A$37:$A$274,0),MATCH(_xlfn.CONCAT(B4408," ",E4408),ForeCalc!$B$36:$Y$36,0))))*VLOOKUP(A4408,Calendar!$A$2:$H$9997,8,FALSE),0)</f>
        <v/>
      </c>
      <c r="G4408" s="29">
        <f>VLOOKUP(A4408,Calendar!$A$1:$H$9997,6,FALSE)-F4408</f>
        <v/>
      </c>
      <c r="H4408" s="19" t="n">
        <v>1</v>
      </c>
      <c r="I4408" s="57" t="n">
        <v>1</v>
      </c>
    </row>
    <row r="4409">
      <c r="A4409" s="62" t="n">
        <v>46136</v>
      </c>
      <c r="B4409" s="3" t="inlineStr">
        <is>
          <t>Week</t>
        </is>
      </c>
      <c r="C4409" s="19" t="n">
        <v>4</v>
      </c>
      <c r="D4409" s="19" t="n">
        <v>2026</v>
      </c>
      <c r="E4409" s="57" t="n">
        <v>5</v>
      </c>
      <c r="F4409" s="29">
        <f>ROUND(((SUMIFS(Calendar!$F$2:$F$9997,Calendar!$B$2:$B$9997,D4409,Calendar!$C$2:$C$9997,C4409)*INDEX(ForeCalc!$B$37:$Y$274,MATCH(_xlfn.CONCAT(H4409," ",I4409),ForeCalc!$A$37:$A$274,0),MATCH(_xlfn.CONCAT(B4409," ",E4409),ForeCalc!$B$36:$Y$36,0))))*VLOOKUP(A4409,Calendar!$A$2:$H$9997,8,FALSE),0)</f>
        <v/>
      </c>
      <c r="G4409" s="29">
        <f>VLOOKUP(A4409,Calendar!$A$1:$H$9997,6,FALSE)-F4409</f>
        <v/>
      </c>
      <c r="H4409" s="19" t="n">
        <v>1</v>
      </c>
      <c r="I4409" s="57" t="n">
        <v>1</v>
      </c>
    </row>
    <row r="4410">
      <c r="A4410" s="62" t="n">
        <v>46137</v>
      </c>
      <c r="B4410" s="3" t="inlineStr">
        <is>
          <t>Sat</t>
        </is>
      </c>
      <c r="C4410" s="19" t="n">
        <v>4</v>
      </c>
      <c r="D4410" s="19" t="n">
        <v>2026</v>
      </c>
      <c r="E4410" s="57" t="n">
        <v>5</v>
      </c>
      <c r="F4410" s="29">
        <f>ROUND(((SUMIFS(Calendar!$F$2:$F$9997,Calendar!$B$2:$B$9997,D4410,Calendar!$C$2:$C$9997,C4410)*INDEX(ForeCalc!$B$37:$Y$274,MATCH(_xlfn.CONCAT(H4410," ",I4410),ForeCalc!$A$37:$A$274,0),MATCH(_xlfn.CONCAT(B4410," ",E4410),ForeCalc!$B$36:$Y$36,0))))*VLOOKUP(A4410,Calendar!$A$2:$H$9997,8,FALSE),0)</f>
        <v/>
      </c>
      <c r="G4410" s="29">
        <f>VLOOKUP(A4410,Calendar!$A$1:$H$9997,6,FALSE)-F4410</f>
        <v/>
      </c>
      <c r="H4410" s="19" t="n">
        <v>1</v>
      </c>
      <c r="I4410" s="57" t="n">
        <v>1</v>
      </c>
    </row>
    <row r="4411">
      <c r="A4411" s="62" t="n">
        <v>46138</v>
      </c>
      <c r="B4411" s="3" t="inlineStr">
        <is>
          <t>Sun</t>
        </is>
      </c>
      <c r="C4411" s="19" t="n">
        <v>4</v>
      </c>
      <c r="D4411" s="19" t="n">
        <v>2026</v>
      </c>
      <c r="E4411" s="57" t="n">
        <v>5</v>
      </c>
      <c r="F4411" s="29">
        <f>ROUND(((SUMIFS(Calendar!$F$2:$F$9997,Calendar!$B$2:$B$9997,D4411,Calendar!$C$2:$C$9997,C4411)*INDEX(ForeCalc!$B$37:$Y$274,MATCH(_xlfn.CONCAT(H4411," ",I4411),ForeCalc!$A$37:$A$274,0),MATCH(_xlfn.CONCAT(B4411," ",E4411),ForeCalc!$B$36:$Y$36,0))))*VLOOKUP(A4411,Calendar!$A$2:$H$9997,8,FALSE),0)</f>
        <v/>
      </c>
      <c r="G4411" s="29">
        <f>VLOOKUP(A4411,Calendar!$A$1:$H$9997,6,FALSE)-F4411</f>
        <v/>
      </c>
      <c r="H4411" s="19" t="n">
        <v>1</v>
      </c>
      <c r="I4411" s="57" t="n">
        <v>1</v>
      </c>
    </row>
    <row r="4412">
      <c r="A4412" s="62" t="n">
        <v>46139</v>
      </c>
      <c r="B4412" s="3" t="inlineStr">
        <is>
          <t>Week</t>
        </is>
      </c>
      <c r="C4412" s="19" t="n">
        <v>4</v>
      </c>
      <c r="D4412" s="19" t="n">
        <v>2026</v>
      </c>
      <c r="E4412" s="57" t="n">
        <v>5</v>
      </c>
      <c r="F4412" s="29">
        <f>ROUND(((SUMIFS(Calendar!$F$2:$F$9997,Calendar!$B$2:$B$9997,D4412,Calendar!$C$2:$C$9997,C4412)*INDEX(ForeCalc!$B$37:$Y$274,MATCH(_xlfn.CONCAT(H4412," ",I4412),ForeCalc!$A$37:$A$274,0),MATCH(_xlfn.CONCAT(B4412," ",E4412),ForeCalc!$B$36:$Y$36,0))))*VLOOKUP(A4412,Calendar!$A$2:$H$9997,8,FALSE),0)</f>
        <v/>
      </c>
      <c r="G4412" s="29">
        <f>VLOOKUP(A4412,Calendar!$A$1:$H$9997,6,FALSE)-F4412</f>
        <v/>
      </c>
      <c r="H4412" s="19" t="n">
        <v>1</v>
      </c>
      <c r="I4412" s="57" t="n">
        <v>1</v>
      </c>
    </row>
    <row r="4413">
      <c r="A4413" s="62" t="n">
        <v>46140</v>
      </c>
      <c r="B4413" s="3" t="inlineStr">
        <is>
          <t>Week</t>
        </is>
      </c>
      <c r="C4413" s="19" t="n">
        <v>4</v>
      </c>
      <c r="D4413" s="19" t="n">
        <v>2026</v>
      </c>
      <c r="E4413" s="57" t="n">
        <v>5</v>
      </c>
      <c r="F4413" s="29">
        <f>ROUND(((SUMIFS(Calendar!$F$2:$F$9997,Calendar!$B$2:$B$9997,D4413,Calendar!$C$2:$C$9997,C4413)*INDEX(ForeCalc!$B$37:$Y$274,MATCH(_xlfn.CONCAT(H4413," ",I4413),ForeCalc!$A$37:$A$274,0),MATCH(_xlfn.CONCAT(B4413," ",E4413),ForeCalc!$B$36:$Y$36,0))))*VLOOKUP(A4413,Calendar!$A$2:$H$9997,8,FALSE),0)</f>
        <v/>
      </c>
      <c r="G4413" s="29">
        <f>VLOOKUP(A4413,Calendar!$A$1:$H$9997,6,FALSE)-F4413</f>
        <v/>
      </c>
      <c r="H4413" s="19" t="n">
        <v>1</v>
      </c>
      <c r="I4413" s="57" t="n">
        <v>1</v>
      </c>
    </row>
    <row r="4414">
      <c r="A4414" s="62" t="n">
        <v>46141</v>
      </c>
      <c r="B4414" s="3" t="inlineStr">
        <is>
          <t>Week</t>
        </is>
      </c>
      <c r="C4414" s="19" t="n">
        <v>4</v>
      </c>
      <c r="D4414" s="19" t="n">
        <v>2026</v>
      </c>
      <c r="E4414" s="57" t="n">
        <v>5</v>
      </c>
      <c r="F4414" s="29">
        <f>ROUND(((SUMIFS(Calendar!$F$2:$F$9997,Calendar!$B$2:$B$9997,D4414,Calendar!$C$2:$C$9997,C4414)*INDEX(ForeCalc!$B$37:$Y$274,MATCH(_xlfn.CONCAT(H4414," ",I4414),ForeCalc!$A$37:$A$274,0),MATCH(_xlfn.CONCAT(B4414," ",E4414),ForeCalc!$B$36:$Y$36,0))))*VLOOKUP(A4414,Calendar!$A$2:$H$9997,8,FALSE),0)</f>
        <v/>
      </c>
      <c r="G4414" s="29">
        <f>VLOOKUP(A4414,Calendar!$A$1:$H$9997,6,FALSE)-F4414</f>
        <v/>
      </c>
      <c r="H4414" s="19" t="n">
        <v>1</v>
      </c>
      <c r="I4414" s="57" t="n">
        <v>1</v>
      </c>
    </row>
    <row r="4415">
      <c r="A4415" s="62" t="n">
        <v>46142</v>
      </c>
      <c r="B4415" s="3" t="inlineStr">
        <is>
          <t>Week</t>
        </is>
      </c>
      <c r="C4415" s="19" t="n">
        <v>4</v>
      </c>
      <c r="D4415" s="19" t="n">
        <v>2026</v>
      </c>
      <c r="E4415" s="57" t="n">
        <v>5</v>
      </c>
      <c r="F4415" s="29">
        <f>ROUND(((SUMIFS(Calendar!$F$2:$F$9997,Calendar!$B$2:$B$9997,D4415,Calendar!$C$2:$C$9997,C4415)*INDEX(ForeCalc!$B$37:$Y$274,MATCH(_xlfn.CONCAT(H4415," ",I4415),ForeCalc!$A$37:$A$274,0),MATCH(_xlfn.CONCAT(B4415," ",E4415),ForeCalc!$B$36:$Y$36,0))))*VLOOKUP(A4415,Calendar!$A$2:$H$9997,8,FALSE),0)</f>
        <v/>
      </c>
      <c r="G4415" s="29">
        <f>VLOOKUP(A4415,Calendar!$A$1:$H$9997,6,FALSE)-F4415</f>
        <v/>
      </c>
      <c r="H4415" s="19" t="n">
        <v>1</v>
      </c>
      <c r="I4415" s="57" t="n">
        <v>1</v>
      </c>
    </row>
    <row r="4416">
      <c r="A4416" s="62" t="n">
        <v>46143</v>
      </c>
      <c r="B4416" s="3" t="inlineStr">
        <is>
          <t>Week</t>
        </is>
      </c>
      <c r="C4416" s="19" t="n">
        <v>5</v>
      </c>
      <c r="D4416" s="19" t="n">
        <v>2026</v>
      </c>
      <c r="E4416" s="57" t="n">
        <v>5</v>
      </c>
      <c r="F4416" s="29">
        <f>ROUND(((SUMIFS(Calendar!$F$2:$F$9997,Calendar!$B$2:$B$9997,D4416,Calendar!$C$2:$C$9997,C4416)*INDEX(ForeCalc!$B$37:$Y$274,MATCH(_xlfn.CONCAT(H4416," ",I4416),ForeCalc!$A$37:$A$274,0),MATCH(_xlfn.CONCAT(B4416," ",E4416),ForeCalc!$B$36:$Y$36,0))))*VLOOKUP(A4416,Calendar!$A$2:$H$9997,8,FALSE),0)</f>
        <v/>
      </c>
      <c r="G4416" s="29">
        <f>VLOOKUP(A4416,Calendar!$A$1:$H$9997,6,FALSE)-F4416</f>
        <v/>
      </c>
      <c r="H4416" s="19" t="n">
        <v>1</v>
      </c>
      <c r="I4416" s="57" t="n">
        <v>2</v>
      </c>
    </row>
    <row r="4417">
      <c r="A4417" s="62" t="n">
        <v>46144</v>
      </c>
      <c r="B4417" s="3" t="inlineStr">
        <is>
          <t>Sat</t>
        </is>
      </c>
      <c r="C4417" s="19" t="n">
        <v>5</v>
      </c>
      <c r="D4417" s="19" t="n">
        <v>2026</v>
      </c>
      <c r="E4417" s="57" t="n">
        <v>5</v>
      </c>
      <c r="F4417" s="29">
        <f>ROUND(((SUMIFS(Calendar!$F$2:$F$9997,Calendar!$B$2:$B$9997,D4417,Calendar!$C$2:$C$9997,C4417)*INDEX(ForeCalc!$B$37:$Y$274,MATCH(_xlfn.CONCAT(H4417," ",I4417),ForeCalc!$A$37:$A$274,0),MATCH(_xlfn.CONCAT(B4417," ",E4417),ForeCalc!$B$36:$Y$36,0))))*VLOOKUP(A4417,Calendar!$A$2:$H$9997,8,FALSE),0)</f>
        <v/>
      </c>
      <c r="G4417" s="29">
        <f>VLOOKUP(A4417,Calendar!$A$1:$H$9997,6,FALSE)-F4417</f>
        <v/>
      </c>
      <c r="H4417" s="19" t="n">
        <v>1</v>
      </c>
      <c r="I4417" s="57" t="n">
        <v>2</v>
      </c>
    </row>
    <row r="4418">
      <c r="A4418" s="62" t="n">
        <v>46145</v>
      </c>
      <c r="B4418" s="3" t="inlineStr">
        <is>
          <t>Sun</t>
        </is>
      </c>
      <c r="C4418" s="19" t="n">
        <v>5</v>
      </c>
      <c r="D4418" s="19" t="n">
        <v>2026</v>
      </c>
      <c r="E4418" s="57" t="n">
        <v>5</v>
      </c>
      <c r="F4418" s="29">
        <f>ROUND(((SUMIFS(Calendar!$F$2:$F$9997,Calendar!$B$2:$B$9997,D4418,Calendar!$C$2:$C$9997,C4418)*INDEX(ForeCalc!$B$37:$Y$274,MATCH(_xlfn.CONCAT(H4418," ",I4418),ForeCalc!$A$37:$A$274,0),MATCH(_xlfn.CONCAT(B4418," ",E4418),ForeCalc!$B$36:$Y$36,0))))*VLOOKUP(A4418,Calendar!$A$2:$H$9997,8,FALSE),0)</f>
        <v/>
      </c>
      <c r="G4418" s="29">
        <f>VLOOKUP(A4418,Calendar!$A$1:$H$9997,6,FALSE)-F4418</f>
        <v/>
      </c>
      <c r="H4418" s="19" t="n">
        <v>1</v>
      </c>
      <c r="I4418" s="57" t="n">
        <v>2</v>
      </c>
    </row>
    <row r="4419">
      <c r="A4419" s="62" t="n">
        <v>46146</v>
      </c>
      <c r="B4419" s="3" t="inlineStr">
        <is>
          <t>Week</t>
        </is>
      </c>
      <c r="C4419" s="19" t="n">
        <v>5</v>
      </c>
      <c r="D4419" s="19" t="n">
        <v>2026</v>
      </c>
      <c r="E4419" s="57" t="n">
        <v>5</v>
      </c>
      <c r="F4419" s="29">
        <f>ROUND(((SUMIFS(Calendar!$F$2:$F$9997,Calendar!$B$2:$B$9997,D4419,Calendar!$C$2:$C$9997,C4419)*INDEX(ForeCalc!$B$37:$Y$274,MATCH(_xlfn.CONCAT(H4419," ",I4419),ForeCalc!$A$37:$A$274,0),MATCH(_xlfn.CONCAT(B4419," ",E4419),ForeCalc!$B$36:$Y$36,0))))*VLOOKUP(A4419,Calendar!$A$2:$H$9997,8,FALSE),0)</f>
        <v/>
      </c>
      <c r="G4419" s="29">
        <f>VLOOKUP(A4419,Calendar!$A$1:$H$9997,6,FALSE)-F4419</f>
        <v/>
      </c>
      <c r="H4419" s="19" t="n">
        <v>1</v>
      </c>
      <c r="I4419" s="57" t="n">
        <v>2</v>
      </c>
    </row>
    <row r="4420">
      <c r="A4420" s="62" t="n">
        <v>46147</v>
      </c>
      <c r="B4420" s="3" t="inlineStr">
        <is>
          <t>Week</t>
        </is>
      </c>
      <c r="C4420" s="19" t="n">
        <v>5</v>
      </c>
      <c r="D4420" s="19" t="n">
        <v>2026</v>
      </c>
      <c r="E4420" s="57" t="n">
        <v>5</v>
      </c>
      <c r="F4420" s="29">
        <f>ROUND(((SUMIFS(Calendar!$F$2:$F$9997,Calendar!$B$2:$B$9997,D4420,Calendar!$C$2:$C$9997,C4420)*INDEX(ForeCalc!$B$37:$Y$274,MATCH(_xlfn.CONCAT(H4420," ",I4420),ForeCalc!$A$37:$A$274,0),MATCH(_xlfn.CONCAT(B4420," ",E4420),ForeCalc!$B$36:$Y$36,0))))*VLOOKUP(A4420,Calendar!$A$2:$H$9997,8,FALSE),0)</f>
        <v/>
      </c>
      <c r="G4420" s="29">
        <f>VLOOKUP(A4420,Calendar!$A$1:$H$9997,6,FALSE)-F4420</f>
        <v/>
      </c>
      <c r="H4420" s="19" t="n">
        <v>1</v>
      </c>
      <c r="I4420" s="57" t="n">
        <v>2</v>
      </c>
    </row>
    <row r="4421">
      <c r="A4421" s="62" t="n">
        <v>46148</v>
      </c>
      <c r="B4421" s="3" t="inlineStr">
        <is>
          <t>Week</t>
        </is>
      </c>
      <c r="C4421" s="19" t="n">
        <v>5</v>
      </c>
      <c r="D4421" s="19" t="n">
        <v>2026</v>
      </c>
      <c r="E4421" s="57" t="n">
        <v>5</v>
      </c>
      <c r="F4421" s="29">
        <f>ROUND(((SUMIFS(Calendar!$F$2:$F$9997,Calendar!$B$2:$B$9997,D4421,Calendar!$C$2:$C$9997,C4421)*INDEX(ForeCalc!$B$37:$Y$274,MATCH(_xlfn.CONCAT(H4421," ",I4421),ForeCalc!$A$37:$A$274,0),MATCH(_xlfn.CONCAT(B4421," ",E4421),ForeCalc!$B$36:$Y$36,0))))*VLOOKUP(A4421,Calendar!$A$2:$H$9997,8,FALSE),0)</f>
        <v/>
      </c>
      <c r="G4421" s="29">
        <f>VLOOKUP(A4421,Calendar!$A$1:$H$9997,6,FALSE)-F4421</f>
        <v/>
      </c>
      <c r="H4421" s="19" t="n">
        <v>1</v>
      </c>
      <c r="I4421" s="57" t="n">
        <v>2</v>
      </c>
    </row>
    <row r="4422">
      <c r="A4422" s="62" t="n">
        <v>46149</v>
      </c>
      <c r="B4422" s="3" t="inlineStr">
        <is>
          <t>Week</t>
        </is>
      </c>
      <c r="C4422" s="19" t="n">
        <v>5</v>
      </c>
      <c r="D4422" s="19" t="n">
        <v>2026</v>
      </c>
      <c r="E4422" s="57" t="n">
        <v>5</v>
      </c>
      <c r="F4422" s="29">
        <f>ROUND(((SUMIFS(Calendar!$F$2:$F$9997,Calendar!$B$2:$B$9997,D4422,Calendar!$C$2:$C$9997,C4422)*INDEX(ForeCalc!$B$37:$Y$274,MATCH(_xlfn.CONCAT(H4422," ",I4422),ForeCalc!$A$37:$A$274,0),MATCH(_xlfn.CONCAT(B4422," ",E4422),ForeCalc!$B$36:$Y$36,0))))*VLOOKUP(A4422,Calendar!$A$2:$H$9997,8,FALSE),0)</f>
        <v/>
      </c>
      <c r="G4422" s="29">
        <f>VLOOKUP(A4422,Calendar!$A$1:$H$9997,6,FALSE)-F4422</f>
        <v/>
      </c>
      <c r="H4422" s="19" t="n">
        <v>1</v>
      </c>
      <c r="I4422" s="57" t="n">
        <v>2</v>
      </c>
    </row>
    <row r="4423">
      <c r="A4423" s="62" t="n">
        <v>46150</v>
      </c>
      <c r="B4423" s="3" t="inlineStr">
        <is>
          <t>Week</t>
        </is>
      </c>
      <c r="C4423" s="19" t="n">
        <v>5</v>
      </c>
      <c r="D4423" s="19" t="n">
        <v>2026</v>
      </c>
      <c r="E4423" s="57" t="n">
        <v>5</v>
      </c>
      <c r="F4423" s="29">
        <f>ROUND(((SUMIFS(Calendar!$F$2:$F$9997,Calendar!$B$2:$B$9997,D4423,Calendar!$C$2:$C$9997,C4423)*INDEX(ForeCalc!$B$37:$Y$274,MATCH(_xlfn.CONCAT(H4423," ",I4423),ForeCalc!$A$37:$A$274,0),MATCH(_xlfn.CONCAT(B4423," ",E4423),ForeCalc!$B$36:$Y$36,0))))*VLOOKUP(A4423,Calendar!$A$2:$H$9997,8,FALSE),0)</f>
        <v/>
      </c>
      <c r="G4423" s="29">
        <f>VLOOKUP(A4423,Calendar!$A$1:$H$9997,6,FALSE)-F4423</f>
        <v/>
      </c>
      <c r="H4423" s="19" t="n">
        <v>1</v>
      </c>
      <c r="I4423" s="57" t="n">
        <v>2</v>
      </c>
    </row>
    <row r="4424">
      <c r="A4424" s="62" t="n">
        <v>46151</v>
      </c>
      <c r="B4424" s="3" t="inlineStr">
        <is>
          <t>Sat</t>
        </is>
      </c>
      <c r="C4424" s="19" t="n">
        <v>5</v>
      </c>
      <c r="D4424" s="19" t="n">
        <v>2026</v>
      </c>
      <c r="E4424" s="57" t="n">
        <v>5</v>
      </c>
      <c r="F4424" s="29">
        <f>ROUND(((SUMIFS(Calendar!$F$2:$F$9997,Calendar!$B$2:$B$9997,D4424,Calendar!$C$2:$C$9997,C4424)*INDEX(ForeCalc!$B$37:$Y$274,MATCH(_xlfn.CONCAT(H4424," ",I4424),ForeCalc!$A$37:$A$274,0),MATCH(_xlfn.CONCAT(B4424," ",E4424),ForeCalc!$B$36:$Y$36,0))))*VLOOKUP(A4424,Calendar!$A$2:$H$9997,8,FALSE),0)</f>
        <v/>
      </c>
      <c r="G4424" s="29">
        <f>VLOOKUP(A4424,Calendar!$A$1:$H$9997,6,FALSE)-F4424</f>
        <v/>
      </c>
      <c r="H4424" s="19" t="n">
        <v>1</v>
      </c>
      <c r="I4424" s="57" t="n">
        <v>2</v>
      </c>
    </row>
    <row r="4425">
      <c r="A4425" s="62" t="n">
        <v>46152</v>
      </c>
      <c r="B4425" s="3" t="inlineStr">
        <is>
          <t>Sun</t>
        </is>
      </c>
      <c r="C4425" s="19" t="n">
        <v>5</v>
      </c>
      <c r="D4425" s="19" t="n">
        <v>2026</v>
      </c>
      <c r="E4425" s="57" t="n">
        <v>5</v>
      </c>
      <c r="F4425" s="29">
        <f>ROUND(((SUMIFS(Calendar!$F$2:$F$9997,Calendar!$B$2:$B$9997,D4425,Calendar!$C$2:$C$9997,C4425)*INDEX(ForeCalc!$B$37:$Y$274,MATCH(_xlfn.CONCAT(H4425," ",I4425),ForeCalc!$A$37:$A$274,0),MATCH(_xlfn.CONCAT(B4425," ",E4425),ForeCalc!$B$36:$Y$36,0))))*VLOOKUP(A4425,Calendar!$A$2:$H$9997,8,FALSE),0)</f>
        <v/>
      </c>
      <c r="G4425" s="29">
        <f>VLOOKUP(A4425,Calendar!$A$1:$H$9997,6,FALSE)-F4425</f>
        <v/>
      </c>
      <c r="H4425" s="19" t="n">
        <v>1</v>
      </c>
      <c r="I4425" s="57" t="n">
        <v>2</v>
      </c>
    </row>
    <row r="4426">
      <c r="A4426" s="62" t="n">
        <v>46153</v>
      </c>
      <c r="B4426" s="3" t="inlineStr">
        <is>
          <t>Week</t>
        </is>
      </c>
      <c r="C4426" s="19" t="n">
        <v>5</v>
      </c>
      <c r="D4426" s="19" t="n">
        <v>2026</v>
      </c>
      <c r="E4426" s="57" t="n">
        <v>5</v>
      </c>
      <c r="F4426" s="29">
        <f>ROUND(((SUMIFS(Calendar!$F$2:$F$9997,Calendar!$B$2:$B$9997,D4426,Calendar!$C$2:$C$9997,C4426)*INDEX(ForeCalc!$B$37:$Y$274,MATCH(_xlfn.CONCAT(H4426," ",I4426),ForeCalc!$A$37:$A$274,0),MATCH(_xlfn.CONCAT(B4426," ",E4426),ForeCalc!$B$36:$Y$36,0))))*VLOOKUP(A4426,Calendar!$A$2:$H$9997,8,FALSE),0)</f>
        <v/>
      </c>
      <c r="G4426" s="29">
        <f>VLOOKUP(A4426,Calendar!$A$1:$H$9997,6,FALSE)-F4426</f>
        <v/>
      </c>
      <c r="H4426" s="19" t="n">
        <v>1</v>
      </c>
      <c r="I4426" s="57" t="n">
        <v>2</v>
      </c>
    </row>
    <row r="4427">
      <c r="A4427" s="62" t="n">
        <v>46154</v>
      </c>
      <c r="B4427" s="3" t="inlineStr">
        <is>
          <t>Week</t>
        </is>
      </c>
      <c r="C4427" s="19" t="n">
        <v>5</v>
      </c>
      <c r="D4427" s="19" t="n">
        <v>2026</v>
      </c>
      <c r="E4427" s="57" t="n">
        <v>5</v>
      </c>
      <c r="F4427" s="29">
        <f>ROUND(((SUMIFS(Calendar!$F$2:$F$9997,Calendar!$B$2:$B$9997,D4427,Calendar!$C$2:$C$9997,C4427)*INDEX(ForeCalc!$B$37:$Y$274,MATCH(_xlfn.CONCAT(H4427," ",I4427),ForeCalc!$A$37:$A$274,0),MATCH(_xlfn.CONCAT(B4427," ",E4427),ForeCalc!$B$36:$Y$36,0))))*VLOOKUP(A4427,Calendar!$A$2:$H$9997,8,FALSE),0)</f>
        <v/>
      </c>
      <c r="G4427" s="29">
        <f>VLOOKUP(A4427,Calendar!$A$1:$H$9997,6,FALSE)-F4427</f>
        <v/>
      </c>
      <c r="H4427" s="19" t="n">
        <v>1</v>
      </c>
      <c r="I4427" s="57" t="n">
        <v>2</v>
      </c>
    </row>
    <row r="4428">
      <c r="A4428" s="62" t="n">
        <v>46155</v>
      </c>
      <c r="B4428" s="3" t="inlineStr">
        <is>
          <t>Week</t>
        </is>
      </c>
      <c r="C4428" s="19" t="n">
        <v>5</v>
      </c>
      <c r="D4428" s="19" t="n">
        <v>2026</v>
      </c>
      <c r="E4428" s="57" t="n">
        <v>5</v>
      </c>
      <c r="F4428" s="29">
        <f>ROUND(((SUMIFS(Calendar!$F$2:$F$9997,Calendar!$B$2:$B$9997,D4428,Calendar!$C$2:$C$9997,C4428)*INDEX(ForeCalc!$B$37:$Y$274,MATCH(_xlfn.CONCAT(H4428," ",I4428),ForeCalc!$A$37:$A$274,0),MATCH(_xlfn.CONCAT(B4428," ",E4428),ForeCalc!$B$36:$Y$36,0))))*VLOOKUP(A4428,Calendar!$A$2:$H$9997,8,FALSE),0)</f>
        <v/>
      </c>
      <c r="G4428" s="29">
        <f>VLOOKUP(A4428,Calendar!$A$1:$H$9997,6,FALSE)-F4428</f>
        <v/>
      </c>
      <c r="H4428" s="19" t="n">
        <v>1</v>
      </c>
      <c r="I4428" s="57" t="n">
        <v>2</v>
      </c>
    </row>
    <row r="4429">
      <c r="A4429" s="62" t="n">
        <v>46156</v>
      </c>
      <c r="B4429" s="3" t="inlineStr">
        <is>
          <t>Week</t>
        </is>
      </c>
      <c r="C4429" s="19" t="n">
        <v>5</v>
      </c>
      <c r="D4429" s="19" t="n">
        <v>2026</v>
      </c>
      <c r="E4429" s="57" t="n">
        <v>5</v>
      </c>
      <c r="F4429" s="29">
        <f>ROUND(((SUMIFS(Calendar!$F$2:$F$9997,Calendar!$B$2:$B$9997,D4429,Calendar!$C$2:$C$9997,C4429)*INDEX(ForeCalc!$B$37:$Y$274,MATCH(_xlfn.CONCAT(H4429," ",I4429),ForeCalc!$A$37:$A$274,0),MATCH(_xlfn.CONCAT(B4429," ",E4429),ForeCalc!$B$36:$Y$36,0))))*VLOOKUP(A4429,Calendar!$A$2:$H$9997,8,FALSE),0)</f>
        <v/>
      </c>
      <c r="G4429" s="29">
        <f>VLOOKUP(A4429,Calendar!$A$1:$H$9997,6,FALSE)-F4429</f>
        <v/>
      </c>
      <c r="H4429" s="19" t="n">
        <v>1</v>
      </c>
      <c r="I4429" s="57" t="n">
        <v>2</v>
      </c>
    </row>
    <row r="4430">
      <c r="A4430" s="62" t="n">
        <v>46157</v>
      </c>
      <c r="B4430" s="3" t="inlineStr">
        <is>
          <t>Week</t>
        </is>
      </c>
      <c r="C4430" s="19" t="n">
        <v>5</v>
      </c>
      <c r="D4430" s="19" t="n">
        <v>2026</v>
      </c>
      <c r="E4430" s="57" t="n">
        <v>5</v>
      </c>
      <c r="F4430" s="29">
        <f>ROUND(((SUMIFS(Calendar!$F$2:$F$9997,Calendar!$B$2:$B$9997,D4430,Calendar!$C$2:$C$9997,C4430)*INDEX(ForeCalc!$B$37:$Y$274,MATCH(_xlfn.CONCAT(H4430," ",I4430),ForeCalc!$A$37:$A$274,0),MATCH(_xlfn.CONCAT(B4430," ",E4430),ForeCalc!$B$36:$Y$36,0))))*VLOOKUP(A4430,Calendar!$A$2:$H$9997,8,FALSE),0)</f>
        <v/>
      </c>
      <c r="G4430" s="29">
        <f>VLOOKUP(A4430,Calendar!$A$1:$H$9997,6,FALSE)-F4430</f>
        <v/>
      </c>
      <c r="H4430" s="19" t="n">
        <v>1</v>
      </c>
      <c r="I4430" s="57" t="n">
        <v>2</v>
      </c>
    </row>
    <row r="4431">
      <c r="A4431" s="62" t="n">
        <v>46158</v>
      </c>
      <c r="B4431" s="3" t="inlineStr">
        <is>
          <t>Sat</t>
        </is>
      </c>
      <c r="C4431" s="19" t="n">
        <v>5</v>
      </c>
      <c r="D4431" s="19" t="n">
        <v>2026</v>
      </c>
      <c r="E4431" s="57" t="n">
        <v>5</v>
      </c>
      <c r="F4431" s="29">
        <f>ROUND(((SUMIFS(Calendar!$F$2:$F$9997,Calendar!$B$2:$B$9997,D4431,Calendar!$C$2:$C$9997,C4431)*INDEX(ForeCalc!$B$37:$Y$274,MATCH(_xlfn.CONCAT(H4431," ",I4431),ForeCalc!$A$37:$A$274,0),MATCH(_xlfn.CONCAT(B4431," ",E4431),ForeCalc!$B$36:$Y$36,0))))*VLOOKUP(A4431,Calendar!$A$2:$H$9997,8,FALSE),0)</f>
        <v/>
      </c>
      <c r="G4431" s="29">
        <f>VLOOKUP(A4431,Calendar!$A$1:$H$9997,6,FALSE)-F4431</f>
        <v/>
      </c>
      <c r="H4431" s="19" t="n">
        <v>1</v>
      </c>
      <c r="I4431" s="57" t="n">
        <v>2</v>
      </c>
    </row>
    <row r="4432">
      <c r="A4432" s="62" t="n">
        <v>46159</v>
      </c>
      <c r="B4432" s="3" t="inlineStr">
        <is>
          <t>Sun</t>
        </is>
      </c>
      <c r="C4432" s="19" t="n">
        <v>5</v>
      </c>
      <c r="D4432" s="19" t="n">
        <v>2026</v>
      </c>
      <c r="E4432" s="57" t="n">
        <v>5</v>
      </c>
      <c r="F4432" s="29">
        <f>ROUND(((SUMIFS(Calendar!$F$2:$F$9997,Calendar!$B$2:$B$9997,D4432,Calendar!$C$2:$C$9997,C4432)*INDEX(ForeCalc!$B$37:$Y$274,MATCH(_xlfn.CONCAT(H4432," ",I4432),ForeCalc!$A$37:$A$274,0),MATCH(_xlfn.CONCAT(B4432," ",E4432),ForeCalc!$B$36:$Y$36,0))))*VLOOKUP(A4432,Calendar!$A$2:$H$9997,8,FALSE),0)</f>
        <v/>
      </c>
      <c r="G4432" s="29">
        <f>VLOOKUP(A4432,Calendar!$A$1:$H$9997,6,FALSE)-F4432</f>
        <v/>
      </c>
      <c r="H4432" s="19" t="n">
        <v>1</v>
      </c>
      <c r="I4432" s="57" t="n">
        <v>2</v>
      </c>
    </row>
    <row r="4433">
      <c r="A4433" s="62" t="n">
        <v>46160</v>
      </c>
      <c r="B4433" s="3" t="inlineStr">
        <is>
          <t>Week</t>
        </is>
      </c>
      <c r="C4433" s="19" t="n">
        <v>5</v>
      </c>
      <c r="D4433" s="19" t="n">
        <v>2026</v>
      </c>
      <c r="E4433" s="57" t="n">
        <v>5</v>
      </c>
      <c r="F4433" s="29">
        <f>ROUND(((SUMIFS(Calendar!$F$2:$F$9997,Calendar!$B$2:$B$9997,D4433,Calendar!$C$2:$C$9997,C4433)*INDEX(ForeCalc!$B$37:$Y$274,MATCH(_xlfn.CONCAT(H4433," ",I4433),ForeCalc!$A$37:$A$274,0),MATCH(_xlfn.CONCAT(B4433," ",E4433),ForeCalc!$B$36:$Y$36,0))))*VLOOKUP(A4433,Calendar!$A$2:$H$9997,8,FALSE),0)</f>
        <v/>
      </c>
      <c r="G4433" s="29">
        <f>VLOOKUP(A4433,Calendar!$A$1:$H$9997,6,FALSE)-F4433</f>
        <v/>
      </c>
      <c r="H4433" s="19" t="n">
        <v>1</v>
      </c>
      <c r="I4433" s="57" t="n">
        <v>2</v>
      </c>
    </row>
    <row r="4434">
      <c r="A4434" s="62" t="n">
        <v>46161</v>
      </c>
      <c r="B4434" s="3" t="inlineStr">
        <is>
          <t>Week</t>
        </is>
      </c>
      <c r="C4434" s="19" t="n">
        <v>5</v>
      </c>
      <c r="D4434" s="19" t="n">
        <v>2026</v>
      </c>
      <c r="E4434" s="57" t="n">
        <v>5</v>
      </c>
      <c r="F4434" s="29">
        <f>ROUND(((SUMIFS(Calendar!$F$2:$F$9997,Calendar!$B$2:$B$9997,D4434,Calendar!$C$2:$C$9997,C4434)*INDEX(ForeCalc!$B$37:$Y$274,MATCH(_xlfn.CONCAT(H4434," ",I4434),ForeCalc!$A$37:$A$274,0),MATCH(_xlfn.CONCAT(B4434," ",E4434),ForeCalc!$B$36:$Y$36,0))))*VLOOKUP(A4434,Calendar!$A$2:$H$9997,8,FALSE),0)</f>
        <v/>
      </c>
      <c r="G4434" s="29">
        <f>VLOOKUP(A4434,Calendar!$A$1:$H$9997,6,FALSE)-F4434</f>
        <v/>
      </c>
      <c r="H4434" s="19" t="n">
        <v>1</v>
      </c>
      <c r="I4434" s="57" t="n">
        <v>2</v>
      </c>
    </row>
    <row r="4435">
      <c r="A4435" s="62" t="n">
        <v>46162</v>
      </c>
      <c r="B4435" s="3" t="inlineStr">
        <is>
          <t>Week</t>
        </is>
      </c>
      <c r="C4435" s="19" t="n">
        <v>5</v>
      </c>
      <c r="D4435" s="19" t="n">
        <v>2026</v>
      </c>
      <c r="E4435" s="57" t="n">
        <v>5</v>
      </c>
      <c r="F4435" s="29">
        <f>ROUND(((SUMIFS(Calendar!$F$2:$F$9997,Calendar!$B$2:$B$9997,D4435,Calendar!$C$2:$C$9997,C4435)*INDEX(ForeCalc!$B$37:$Y$274,MATCH(_xlfn.CONCAT(H4435," ",I4435),ForeCalc!$A$37:$A$274,0),MATCH(_xlfn.CONCAT(B4435," ",E4435),ForeCalc!$B$36:$Y$36,0))))*VLOOKUP(A4435,Calendar!$A$2:$H$9997,8,FALSE),0)</f>
        <v/>
      </c>
      <c r="G4435" s="29">
        <f>VLOOKUP(A4435,Calendar!$A$1:$H$9997,6,FALSE)-F4435</f>
        <v/>
      </c>
      <c r="H4435" s="19" t="n">
        <v>1</v>
      </c>
      <c r="I4435" s="57" t="n">
        <v>2</v>
      </c>
    </row>
    <row r="4436">
      <c r="A4436" s="62" t="n">
        <v>46163</v>
      </c>
      <c r="B4436" s="3" t="inlineStr">
        <is>
          <t>Week</t>
        </is>
      </c>
      <c r="C4436" s="19" t="n">
        <v>5</v>
      </c>
      <c r="D4436" s="19" t="n">
        <v>2026</v>
      </c>
      <c r="E4436" s="57" t="n">
        <v>5</v>
      </c>
      <c r="F4436" s="29">
        <f>ROUND(((SUMIFS(Calendar!$F$2:$F$9997,Calendar!$B$2:$B$9997,D4436,Calendar!$C$2:$C$9997,C4436)*INDEX(ForeCalc!$B$37:$Y$274,MATCH(_xlfn.CONCAT(H4436," ",I4436),ForeCalc!$A$37:$A$274,0),MATCH(_xlfn.CONCAT(B4436," ",E4436),ForeCalc!$B$36:$Y$36,0))))*VLOOKUP(A4436,Calendar!$A$2:$H$9997,8,FALSE),0)</f>
        <v/>
      </c>
      <c r="G4436" s="29">
        <f>VLOOKUP(A4436,Calendar!$A$1:$H$9997,6,FALSE)-F4436</f>
        <v/>
      </c>
      <c r="H4436" s="19" t="n">
        <v>1</v>
      </c>
      <c r="I4436" s="57" t="n">
        <v>2</v>
      </c>
    </row>
    <row r="4437">
      <c r="A4437" s="62" t="n">
        <v>46164</v>
      </c>
      <c r="B4437" s="3" t="inlineStr">
        <is>
          <t>Week</t>
        </is>
      </c>
      <c r="C4437" s="19" t="n">
        <v>5</v>
      </c>
      <c r="D4437" s="19" t="n">
        <v>2026</v>
      </c>
      <c r="E4437" s="57" t="n">
        <v>5</v>
      </c>
      <c r="F4437" s="29">
        <f>ROUND(((SUMIFS(Calendar!$F$2:$F$9997,Calendar!$B$2:$B$9997,D4437,Calendar!$C$2:$C$9997,C4437)*INDEX(ForeCalc!$B$37:$Y$274,MATCH(_xlfn.CONCAT(H4437," ",I4437),ForeCalc!$A$37:$A$274,0),MATCH(_xlfn.CONCAT(B4437," ",E4437),ForeCalc!$B$36:$Y$36,0))))*VLOOKUP(A4437,Calendar!$A$2:$H$9997,8,FALSE),0)</f>
        <v/>
      </c>
      <c r="G4437" s="29">
        <f>VLOOKUP(A4437,Calendar!$A$1:$H$9997,6,FALSE)-F4437</f>
        <v/>
      </c>
      <c r="H4437" s="19" t="n">
        <v>1</v>
      </c>
      <c r="I4437" s="57" t="n">
        <v>2</v>
      </c>
    </row>
    <row r="4438">
      <c r="A4438" s="62" t="n">
        <v>46165</v>
      </c>
      <c r="B4438" s="3" t="inlineStr">
        <is>
          <t>Sat</t>
        </is>
      </c>
      <c r="C4438" s="19" t="n">
        <v>5</v>
      </c>
      <c r="D4438" s="19" t="n">
        <v>2026</v>
      </c>
      <c r="E4438" s="57" t="n">
        <v>5</v>
      </c>
      <c r="F4438" s="29">
        <f>ROUND(((SUMIFS(Calendar!$F$2:$F$9997,Calendar!$B$2:$B$9997,D4438,Calendar!$C$2:$C$9997,C4438)*INDEX(ForeCalc!$B$37:$Y$274,MATCH(_xlfn.CONCAT(H4438," ",I4438),ForeCalc!$A$37:$A$274,0),MATCH(_xlfn.CONCAT(B4438," ",E4438),ForeCalc!$B$36:$Y$36,0))))*VLOOKUP(A4438,Calendar!$A$2:$H$9997,8,FALSE),0)</f>
        <v/>
      </c>
      <c r="G4438" s="29">
        <f>VLOOKUP(A4438,Calendar!$A$1:$H$9997,6,FALSE)-F4438</f>
        <v/>
      </c>
      <c r="H4438" s="19" t="n">
        <v>1</v>
      </c>
      <c r="I4438" s="57" t="n">
        <v>2</v>
      </c>
    </row>
    <row r="4439">
      <c r="A4439" s="62" t="n">
        <v>46166</v>
      </c>
      <c r="B4439" s="3" t="inlineStr">
        <is>
          <t>Sun</t>
        </is>
      </c>
      <c r="C4439" s="19" t="n">
        <v>5</v>
      </c>
      <c r="D4439" s="19" t="n">
        <v>2026</v>
      </c>
      <c r="E4439" s="57" t="n">
        <v>5</v>
      </c>
      <c r="F4439" s="29">
        <f>ROUND(((SUMIFS(Calendar!$F$2:$F$9997,Calendar!$B$2:$B$9997,D4439,Calendar!$C$2:$C$9997,C4439)*INDEX(ForeCalc!$B$37:$Y$274,MATCH(_xlfn.CONCAT(H4439," ",I4439),ForeCalc!$A$37:$A$274,0),MATCH(_xlfn.CONCAT(B4439," ",E4439),ForeCalc!$B$36:$Y$36,0))))*VLOOKUP(A4439,Calendar!$A$2:$H$9997,8,FALSE),0)</f>
        <v/>
      </c>
      <c r="G4439" s="29">
        <f>VLOOKUP(A4439,Calendar!$A$1:$H$9997,6,FALSE)-F4439</f>
        <v/>
      </c>
      <c r="H4439" s="19" t="n">
        <v>1</v>
      </c>
      <c r="I4439" s="57" t="n">
        <v>2</v>
      </c>
    </row>
    <row r="4440">
      <c r="A4440" s="62" t="n">
        <v>46167</v>
      </c>
      <c r="B4440" s="3" t="inlineStr">
        <is>
          <t>Week</t>
        </is>
      </c>
      <c r="C4440" s="19" t="n">
        <v>5</v>
      </c>
      <c r="D4440" s="19" t="n">
        <v>2026</v>
      </c>
      <c r="E4440" s="57" t="n">
        <v>5</v>
      </c>
      <c r="F4440" s="29">
        <f>ROUND(((SUMIFS(Calendar!$F$2:$F$9997,Calendar!$B$2:$B$9997,D4440,Calendar!$C$2:$C$9997,C4440)*INDEX(ForeCalc!$B$37:$Y$274,MATCH(_xlfn.CONCAT(H4440," ",I4440),ForeCalc!$A$37:$A$274,0),MATCH(_xlfn.CONCAT(B4440," ",E4440),ForeCalc!$B$36:$Y$36,0))))*VLOOKUP(A4440,Calendar!$A$2:$H$9997,8,FALSE),0)</f>
        <v/>
      </c>
      <c r="G4440" s="29">
        <f>VLOOKUP(A4440,Calendar!$A$1:$H$9997,6,FALSE)-F4440</f>
        <v/>
      </c>
      <c r="H4440" s="19" t="n">
        <v>1</v>
      </c>
      <c r="I4440" s="57" t="n">
        <v>2</v>
      </c>
    </row>
    <row r="4441">
      <c r="A4441" s="62" t="n">
        <v>46168</v>
      </c>
      <c r="B4441" s="3" t="inlineStr">
        <is>
          <t>Week</t>
        </is>
      </c>
      <c r="C4441" s="19" t="n">
        <v>5</v>
      </c>
      <c r="D4441" s="19" t="n">
        <v>2026</v>
      </c>
      <c r="E4441" s="57" t="n">
        <v>5</v>
      </c>
      <c r="F4441" s="29">
        <f>ROUND(((SUMIFS(Calendar!$F$2:$F$9997,Calendar!$B$2:$B$9997,D4441,Calendar!$C$2:$C$9997,C4441)*INDEX(ForeCalc!$B$37:$Y$274,MATCH(_xlfn.CONCAT(H4441," ",I4441),ForeCalc!$A$37:$A$274,0),MATCH(_xlfn.CONCAT(B4441," ",E4441),ForeCalc!$B$36:$Y$36,0))))*VLOOKUP(A4441,Calendar!$A$2:$H$9997,8,FALSE),0)</f>
        <v/>
      </c>
      <c r="G4441" s="29">
        <f>VLOOKUP(A4441,Calendar!$A$1:$H$9997,6,FALSE)-F4441</f>
        <v/>
      </c>
      <c r="H4441" s="19" t="n">
        <v>1</v>
      </c>
      <c r="I4441" s="57" t="n">
        <v>2</v>
      </c>
    </row>
    <row r="4442">
      <c r="A4442" s="62" t="n">
        <v>46169</v>
      </c>
      <c r="B4442" s="3" t="inlineStr">
        <is>
          <t>Week</t>
        </is>
      </c>
      <c r="C4442" s="19" t="n">
        <v>5</v>
      </c>
      <c r="D4442" s="19" t="n">
        <v>2026</v>
      </c>
      <c r="E4442" s="57" t="n">
        <v>5</v>
      </c>
      <c r="F4442" s="29">
        <f>ROUND(((SUMIFS(Calendar!$F$2:$F$9997,Calendar!$B$2:$B$9997,D4442,Calendar!$C$2:$C$9997,C4442)*INDEX(ForeCalc!$B$37:$Y$274,MATCH(_xlfn.CONCAT(H4442," ",I4442),ForeCalc!$A$37:$A$274,0),MATCH(_xlfn.CONCAT(B4442," ",E4442),ForeCalc!$B$36:$Y$36,0))))*VLOOKUP(A4442,Calendar!$A$2:$H$9997,8,FALSE),0)</f>
        <v/>
      </c>
      <c r="G4442" s="29">
        <f>VLOOKUP(A4442,Calendar!$A$1:$H$9997,6,FALSE)-F4442</f>
        <v/>
      </c>
      <c r="H4442" s="19" t="n">
        <v>1</v>
      </c>
      <c r="I4442" s="57" t="n">
        <v>2</v>
      </c>
    </row>
    <row r="4443">
      <c r="A4443" s="62" t="n">
        <v>46170</v>
      </c>
      <c r="B4443" s="3" t="inlineStr">
        <is>
          <t>Week</t>
        </is>
      </c>
      <c r="C4443" s="19" t="n">
        <v>5</v>
      </c>
      <c r="D4443" s="19" t="n">
        <v>2026</v>
      </c>
      <c r="E4443" s="57" t="n">
        <v>5</v>
      </c>
      <c r="F4443" s="29">
        <f>ROUND(((SUMIFS(Calendar!$F$2:$F$9997,Calendar!$B$2:$B$9997,D4443,Calendar!$C$2:$C$9997,C4443)*INDEX(ForeCalc!$B$37:$Y$274,MATCH(_xlfn.CONCAT(H4443," ",I4443),ForeCalc!$A$37:$A$274,0),MATCH(_xlfn.CONCAT(B4443," ",E4443),ForeCalc!$B$36:$Y$36,0))))*VLOOKUP(A4443,Calendar!$A$2:$H$9997,8,FALSE),0)</f>
        <v/>
      </c>
      <c r="G4443" s="29">
        <f>VLOOKUP(A4443,Calendar!$A$1:$H$9997,6,FALSE)-F4443</f>
        <v/>
      </c>
      <c r="H4443" s="19" t="n">
        <v>1</v>
      </c>
      <c r="I4443" s="57" t="n">
        <v>2</v>
      </c>
    </row>
    <row r="4444">
      <c r="A4444" s="62" t="n">
        <v>46171</v>
      </c>
      <c r="B4444" s="3" t="inlineStr">
        <is>
          <t>Week</t>
        </is>
      </c>
      <c r="C4444" s="19" t="n">
        <v>5</v>
      </c>
      <c r="D4444" s="19" t="n">
        <v>2026</v>
      </c>
      <c r="E4444" s="57" t="n">
        <v>5</v>
      </c>
      <c r="F4444" s="29">
        <f>ROUND(((SUMIFS(Calendar!$F$2:$F$9997,Calendar!$B$2:$B$9997,D4444,Calendar!$C$2:$C$9997,C4444)*INDEX(ForeCalc!$B$37:$Y$274,MATCH(_xlfn.CONCAT(H4444," ",I4444),ForeCalc!$A$37:$A$274,0),MATCH(_xlfn.CONCAT(B4444," ",E4444),ForeCalc!$B$36:$Y$36,0))))*VLOOKUP(A4444,Calendar!$A$2:$H$9997,8,FALSE),0)</f>
        <v/>
      </c>
      <c r="G4444" s="29">
        <f>VLOOKUP(A4444,Calendar!$A$1:$H$9997,6,FALSE)-F4444</f>
        <v/>
      </c>
      <c r="H4444" s="19" t="n">
        <v>1</v>
      </c>
      <c r="I4444" s="57" t="n">
        <v>2</v>
      </c>
    </row>
    <row r="4445">
      <c r="A4445" s="62" t="n">
        <v>46172</v>
      </c>
      <c r="B4445" s="3" t="inlineStr">
        <is>
          <t>Sat</t>
        </is>
      </c>
      <c r="C4445" s="19" t="n">
        <v>5</v>
      </c>
      <c r="D4445" s="19" t="n">
        <v>2026</v>
      </c>
      <c r="E4445" s="57" t="n">
        <v>5</v>
      </c>
      <c r="F4445" s="29">
        <f>ROUND(((SUMIFS(Calendar!$F$2:$F$9997,Calendar!$B$2:$B$9997,D4445,Calendar!$C$2:$C$9997,C4445)*INDEX(ForeCalc!$B$37:$Y$274,MATCH(_xlfn.CONCAT(H4445," ",I4445),ForeCalc!$A$37:$A$274,0),MATCH(_xlfn.CONCAT(B4445," ",E4445),ForeCalc!$B$36:$Y$36,0))))*VLOOKUP(A4445,Calendar!$A$2:$H$9997,8,FALSE),0)</f>
        <v/>
      </c>
      <c r="G4445" s="29">
        <f>VLOOKUP(A4445,Calendar!$A$1:$H$9997,6,FALSE)-F4445</f>
        <v/>
      </c>
      <c r="H4445" s="19" t="n">
        <v>1</v>
      </c>
      <c r="I4445" s="57" t="n">
        <v>2</v>
      </c>
    </row>
    <row r="4446">
      <c r="A4446" s="62" t="n">
        <v>46173</v>
      </c>
      <c r="B4446" s="3" t="inlineStr">
        <is>
          <t>Sun</t>
        </is>
      </c>
      <c r="C4446" s="19" t="n">
        <v>5</v>
      </c>
      <c r="D4446" s="19" t="n">
        <v>2026</v>
      </c>
      <c r="E4446" s="57" t="n">
        <v>5</v>
      </c>
      <c r="F4446" s="29">
        <f>ROUND(((SUMIFS(Calendar!$F$2:$F$9997,Calendar!$B$2:$B$9997,D4446,Calendar!$C$2:$C$9997,C4446)*INDEX(ForeCalc!$B$37:$Y$274,MATCH(_xlfn.CONCAT(H4446," ",I4446),ForeCalc!$A$37:$A$274,0),MATCH(_xlfn.CONCAT(B4446," ",E4446),ForeCalc!$B$36:$Y$36,0))))*VLOOKUP(A4446,Calendar!$A$2:$H$9997,8,FALSE),0)</f>
        <v/>
      </c>
      <c r="G4446" s="29">
        <f>VLOOKUP(A4446,Calendar!$A$1:$H$9997,6,FALSE)-F4446</f>
        <v/>
      </c>
      <c r="H4446" s="19" t="n">
        <v>1</v>
      </c>
      <c r="I4446" s="57" t="n">
        <v>2</v>
      </c>
    </row>
    <row r="4447">
      <c r="A4447" s="62" t="n">
        <v>46174</v>
      </c>
      <c r="B4447" s="3" t="inlineStr">
        <is>
          <t>Week</t>
        </is>
      </c>
      <c r="C4447" s="19" t="n">
        <v>6</v>
      </c>
      <c r="D4447" s="19" t="n">
        <v>2026</v>
      </c>
      <c r="E4447" s="57" t="n">
        <v>5</v>
      </c>
      <c r="F4447" s="29">
        <f>ROUND(((SUMIFS(Calendar!$F$2:$F$9997,Calendar!$B$2:$B$9997,D4447,Calendar!$C$2:$C$9997,C4447)*INDEX(ForeCalc!$B$37:$Y$274,MATCH(_xlfn.CONCAT(H4447," ",I4447),ForeCalc!$A$37:$A$274,0),MATCH(_xlfn.CONCAT(B4447," ",E4447),ForeCalc!$B$36:$Y$36,0))))*VLOOKUP(A4447,Calendar!$A$2:$H$9997,8,FALSE),0)</f>
        <v/>
      </c>
      <c r="G4447" s="29">
        <f>VLOOKUP(A4447,Calendar!$A$1:$H$9997,6,FALSE)-F4447</f>
        <v/>
      </c>
      <c r="H4447" s="19" t="n">
        <v>1</v>
      </c>
      <c r="I4447" s="57" t="n">
        <v>3</v>
      </c>
    </row>
    <row r="4448">
      <c r="A4448" s="62" t="n">
        <v>46175</v>
      </c>
      <c r="B4448" s="3" t="inlineStr">
        <is>
          <t>Week</t>
        </is>
      </c>
      <c r="C4448" s="19" t="n">
        <v>6</v>
      </c>
      <c r="D4448" s="19" t="n">
        <v>2026</v>
      </c>
      <c r="E4448" s="57" t="n">
        <v>5</v>
      </c>
      <c r="F4448" s="29">
        <f>ROUND(((SUMIFS(Calendar!$F$2:$F$9997,Calendar!$B$2:$B$9997,D4448,Calendar!$C$2:$C$9997,C4448)*INDEX(ForeCalc!$B$37:$Y$274,MATCH(_xlfn.CONCAT(H4448," ",I4448),ForeCalc!$A$37:$A$274,0),MATCH(_xlfn.CONCAT(B4448," ",E4448),ForeCalc!$B$36:$Y$36,0))))*VLOOKUP(A4448,Calendar!$A$2:$H$9997,8,FALSE),0)</f>
        <v/>
      </c>
      <c r="G4448" s="29">
        <f>VLOOKUP(A4448,Calendar!$A$1:$H$9997,6,FALSE)-F4448</f>
        <v/>
      </c>
      <c r="H4448" s="19" t="n">
        <v>1</v>
      </c>
      <c r="I4448" s="57" t="n">
        <v>3</v>
      </c>
    </row>
    <row r="4449">
      <c r="A4449" s="62" t="n">
        <v>46176</v>
      </c>
      <c r="B4449" s="3" t="inlineStr">
        <is>
          <t>Week</t>
        </is>
      </c>
      <c r="C4449" s="19" t="n">
        <v>6</v>
      </c>
      <c r="D4449" s="19" t="n">
        <v>2026</v>
      </c>
      <c r="E4449" s="57" t="n">
        <v>5</v>
      </c>
      <c r="F4449" s="29">
        <f>ROUND(((SUMIFS(Calendar!$F$2:$F$9997,Calendar!$B$2:$B$9997,D4449,Calendar!$C$2:$C$9997,C4449)*INDEX(ForeCalc!$B$37:$Y$274,MATCH(_xlfn.CONCAT(H4449," ",I4449),ForeCalc!$A$37:$A$274,0),MATCH(_xlfn.CONCAT(B4449," ",E4449),ForeCalc!$B$36:$Y$36,0))))*VLOOKUP(A4449,Calendar!$A$2:$H$9997,8,FALSE),0)</f>
        <v/>
      </c>
      <c r="G4449" s="29">
        <f>VLOOKUP(A4449,Calendar!$A$1:$H$9997,6,FALSE)-F4449</f>
        <v/>
      </c>
      <c r="H4449" s="19" t="n">
        <v>1</v>
      </c>
      <c r="I4449" s="57" t="n">
        <v>3</v>
      </c>
    </row>
    <row r="4450">
      <c r="A4450" s="62" t="n">
        <v>46177</v>
      </c>
      <c r="B4450" s="3" t="inlineStr">
        <is>
          <t>Week</t>
        </is>
      </c>
      <c r="C4450" s="19" t="n">
        <v>6</v>
      </c>
      <c r="D4450" s="19" t="n">
        <v>2026</v>
      </c>
      <c r="E4450" s="57" t="n">
        <v>5</v>
      </c>
      <c r="F4450" s="29">
        <f>ROUND(((SUMIFS(Calendar!$F$2:$F$9997,Calendar!$B$2:$B$9997,D4450,Calendar!$C$2:$C$9997,C4450)*INDEX(ForeCalc!$B$37:$Y$274,MATCH(_xlfn.CONCAT(H4450," ",I4450),ForeCalc!$A$37:$A$274,0),MATCH(_xlfn.CONCAT(B4450," ",E4450),ForeCalc!$B$36:$Y$36,0))))*VLOOKUP(A4450,Calendar!$A$2:$H$9997,8,FALSE),0)</f>
        <v/>
      </c>
      <c r="G4450" s="29">
        <f>VLOOKUP(A4450,Calendar!$A$1:$H$9997,6,FALSE)-F4450</f>
        <v/>
      </c>
      <c r="H4450" s="19" t="n">
        <v>1</v>
      </c>
      <c r="I4450" s="57" t="n">
        <v>3</v>
      </c>
    </row>
    <row r="4451">
      <c r="A4451" s="62" t="n">
        <v>46178</v>
      </c>
      <c r="B4451" s="3" t="inlineStr">
        <is>
          <t>Week</t>
        </is>
      </c>
      <c r="C4451" s="19" t="n">
        <v>6</v>
      </c>
      <c r="D4451" s="19" t="n">
        <v>2026</v>
      </c>
      <c r="E4451" s="57" t="n">
        <v>5</v>
      </c>
      <c r="F4451" s="29">
        <f>ROUND(((SUMIFS(Calendar!$F$2:$F$9997,Calendar!$B$2:$B$9997,D4451,Calendar!$C$2:$C$9997,C4451)*INDEX(ForeCalc!$B$37:$Y$274,MATCH(_xlfn.CONCAT(H4451," ",I4451),ForeCalc!$A$37:$A$274,0),MATCH(_xlfn.CONCAT(B4451," ",E4451),ForeCalc!$B$36:$Y$36,0))))*VLOOKUP(A4451,Calendar!$A$2:$H$9997,8,FALSE),0)</f>
        <v/>
      </c>
      <c r="G4451" s="29">
        <f>VLOOKUP(A4451,Calendar!$A$1:$H$9997,6,FALSE)-F4451</f>
        <v/>
      </c>
      <c r="H4451" s="19" t="n">
        <v>1</v>
      </c>
      <c r="I4451" s="57" t="n">
        <v>3</v>
      </c>
    </row>
    <row r="4452">
      <c r="A4452" s="62" t="n">
        <v>46179</v>
      </c>
      <c r="B4452" s="3" t="inlineStr">
        <is>
          <t>Sat</t>
        </is>
      </c>
      <c r="C4452" s="19" t="n">
        <v>6</v>
      </c>
      <c r="D4452" s="19" t="n">
        <v>2026</v>
      </c>
      <c r="E4452" s="57" t="n">
        <v>5</v>
      </c>
      <c r="F4452" s="29">
        <f>ROUND(((SUMIFS(Calendar!$F$2:$F$9997,Calendar!$B$2:$B$9997,D4452,Calendar!$C$2:$C$9997,C4452)*INDEX(ForeCalc!$B$37:$Y$274,MATCH(_xlfn.CONCAT(H4452," ",I4452),ForeCalc!$A$37:$A$274,0),MATCH(_xlfn.CONCAT(B4452," ",E4452),ForeCalc!$B$36:$Y$36,0))))*VLOOKUP(A4452,Calendar!$A$2:$H$9997,8,FALSE),0)</f>
        <v/>
      </c>
      <c r="G4452" s="29">
        <f>VLOOKUP(A4452,Calendar!$A$1:$H$9997,6,FALSE)-F4452</f>
        <v/>
      </c>
      <c r="H4452" s="19" t="n">
        <v>1</v>
      </c>
      <c r="I4452" s="57" t="n">
        <v>3</v>
      </c>
    </row>
    <row r="4453">
      <c r="A4453" s="62" t="n">
        <v>46180</v>
      </c>
      <c r="B4453" s="3" t="inlineStr">
        <is>
          <t>Sun</t>
        </is>
      </c>
      <c r="C4453" s="19" t="n">
        <v>6</v>
      </c>
      <c r="D4453" s="19" t="n">
        <v>2026</v>
      </c>
      <c r="E4453" s="57" t="n">
        <v>5</v>
      </c>
      <c r="F4453" s="29">
        <f>ROUND(((SUMIFS(Calendar!$F$2:$F$9997,Calendar!$B$2:$B$9997,D4453,Calendar!$C$2:$C$9997,C4453)*INDEX(ForeCalc!$B$37:$Y$274,MATCH(_xlfn.CONCAT(H4453," ",I4453),ForeCalc!$A$37:$A$274,0),MATCH(_xlfn.CONCAT(B4453," ",E4453),ForeCalc!$B$36:$Y$36,0))))*VLOOKUP(A4453,Calendar!$A$2:$H$9997,8,FALSE),0)</f>
        <v/>
      </c>
      <c r="G4453" s="29">
        <f>VLOOKUP(A4453,Calendar!$A$1:$H$9997,6,FALSE)-F4453</f>
        <v/>
      </c>
      <c r="H4453" s="19" t="n">
        <v>1</v>
      </c>
      <c r="I4453" s="57" t="n">
        <v>3</v>
      </c>
    </row>
    <row r="4454">
      <c r="A4454" s="62" t="n">
        <v>46181</v>
      </c>
      <c r="B4454" s="3" t="inlineStr">
        <is>
          <t>Week</t>
        </is>
      </c>
      <c r="C4454" s="19" t="n">
        <v>6</v>
      </c>
      <c r="D4454" s="19" t="n">
        <v>2026</v>
      </c>
      <c r="E4454" s="57" t="n">
        <v>5</v>
      </c>
      <c r="F4454" s="29">
        <f>ROUND(((SUMIFS(Calendar!$F$2:$F$9997,Calendar!$B$2:$B$9997,D4454,Calendar!$C$2:$C$9997,C4454)*INDEX(ForeCalc!$B$37:$Y$274,MATCH(_xlfn.CONCAT(H4454," ",I4454),ForeCalc!$A$37:$A$274,0),MATCH(_xlfn.CONCAT(B4454," ",E4454),ForeCalc!$B$36:$Y$36,0))))*VLOOKUP(A4454,Calendar!$A$2:$H$9997,8,FALSE),0)</f>
        <v/>
      </c>
      <c r="G4454" s="29">
        <f>VLOOKUP(A4454,Calendar!$A$1:$H$9997,6,FALSE)-F4454</f>
        <v/>
      </c>
      <c r="H4454" s="19" t="n">
        <v>1</v>
      </c>
      <c r="I4454" s="57" t="n">
        <v>3</v>
      </c>
    </row>
    <row r="4455">
      <c r="A4455" s="62" t="n">
        <v>46182</v>
      </c>
      <c r="B4455" s="3" t="inlineStr">
        <is>
          <t>Week</t>
        </is>
      </c>
      <c r="C4455" s="19" t="n">
        <v>6</v>
      </c>
      <c r="D4455" s="19" t="n">
        <v>2026</v>
      </c>
      <c r="E4455" s="57" t="n">
        <v>5</v>
      </c>
      <c r="F4455" s="29">
        <f>ROUND(((SUMIFS(Calendar!$F$2:$F$9997,Calendar!$B$2:$B$9997,D4455,Calendar!$C$2:$C$9997,C4455)*INDEX(ForeCalc!$B$37:$Y$274,MATCH(_xlfn.CONCAT(H4455," ",I4455),ForeCalc!$A$37:$A$274,0),MATCH(_xlfn.CONCAT(B4455," ",E4455),ForeCalc!$B$36:$Y$36,0))))*VLOOKUP(A4455,Calendar!$A$2:$H$9997,8,FALSE),0)</f>
        <v/>
      </c>
      <c r="G4455" s="29">
        <f>VLOOKUP(A4455,Calendar!$A$1:$H$9997,6,FALSE)-F4455</f>
        <v/>
      </c>
      <c r="H4455" s="19" t="n">
        <v>1</v>
      </c>
      <c r="I4455" s="57" t="n">
        <v>3</v>
      </c>
    </row>
    <row r="4456">
      <c r="A4456" s="62" t="n">
        <v>46183</v>
      </c>
      <c r="B4456" s="3" t="inlineStr">
        <is>
          <t>Week</t>
        </is>
      </c>
      <c r="C4456" s="19" t="n">
        <v>6</v>
      </c>
      <c r="D4456" s="19" t="n">
        <v>2026</v>
      </c>
      <c r="E4456" s="57" t="n">
        <v>5</v>
      </c>
      <c r="F4456" s="29">
        <f>ROUND(((SUMIFS(Calendar!$F$2:$F$9997,Calendar!$B$2:$B$9997,D4456,Calendar!$C$2:$C$9997,C4456)*INDEX(ForeCalc!$B$37:$Y$274,MATCH(_xlfn.CONCAT(H4456," ",I4456),ForeCalc!$A$37:$A$274,0),MATCH(_xlfn.CONCAT(B4456," ",E4456),ForeCalc!$B$36:$Y$36,0))))*VLOOKUP(A4456,Calendar!$A$2:$H$9997,8,FALSE),0)</f>
        <v/>
      </c>
      <c r="G4456" s="29">
        <f>VLOOKUP(A4456,Calendar!$A$1:$H$9997,6,FALSE)-F4456</f>
        <v/>
      </c>
      <c r="H4456" s="19" t="n">
        <v>1</v>
      </c>
      <c r="I4456" s="57" t="n">
        <v>3</v>
      </c>
    </row>
    <row r="4457">
      <c r="A4457" s="62" t="n">
        <v>46184</v>
      </c>
      <c r="B4457" s="3" t="inlineStr">
        <is>
          <t>Week</t>
        </is>
      </c>
      <c r="C4457" s="19" t="n">
        <v>6</v>
      </c>
      <c r="D4457" s="19" t="n">
        <v>2026</v>
      </c>
      <c r="E4457" s="57" t="n">
        <v>5</v>
      </c>
      <c r="F4457" s="29">
        <f>ROUND(((SUMIFS(Calendar!$F$2:$F$9997,Calendar!$B$2:$B$9997,D4457,Calendar!$C$2:$C$9997,C4457)*INDEX(ForeCalc!$B$37:$Y$274,MATCH(_xlfn.CONCAT(H4457," ",I4457),ForeCalc!$A$37:$A$274,0),MATCH(_xlfn.CONCAT(B4457," ",E4457),ForeCalc!$B$36:$Y$36,0))))*VLOOKUP(A4457,Calendar!$A$2:$H$9997,8,FALSE),0)</f>
        <v/>
      </c>
      <c r="G4457" s="29">
        <f>VLOOKUP(A4457,Calendar!$A$1:$H$9997,6,FALSE)-F4457</f>
        <v/>
      </c>
      <c r="H4457" s="19" t="n">
        <v>1</v>
      </c>
      <c r="I4457" s="57" t="n">
        <v>3</v>
      </c>
    </row>
    <row r="4458">
      <c r="A4458" s="62" t="n">
        <v>46185</v>
      </c>
      <c r="B4458" s="3" t="inlineStr">
        <is>
          <t>Week</t>
        </is>
      </c>
      <c r="C4458" s="19" t="n">
        <v>6</v>
      </c>
      <c r="D4458" s="19" t="n">
        <v>2026</v>
      </c>
      <c r="E4458" s="57" t="n">
        <v>5</v>
      </c>
      <c r="F4458" s="29">
        <f>ROUND(((SUMIFS(Calendar!$F$2:$F$9997,Calendar!$B$2:$B$9997,D4458,Calendar!$C$2:$C$9997,C4458)*INDEX(ForeCalc!$B$37:$Y$274,MATCH(_xlfn.CONCAT(H4458," ",I4458),ForeCalc!$A$37:$A$274,0),MATCH(_xlfn.CONCAT(B4458," ",E4458),ForeCalc!$B$36:$Y$36,0))))*VLOOKUP(A4458,Calendar!$A$2:$H$9997,8,FALSE),0)</f>
        <v/>
      </c>
      <c r="G4458" s="29">
        <f>VLOOKUP(A4458,Calendar!$A$1:$H$9997,6,FALSE)-F4458</f>
        <v/>
      </c>
      <c r="H4458" s="19" t="n">
        <v>1</v>
      </c>
      <c r="I4458" s="57" t="n">
        <v>3</v>
      </c>
    </row>
    <row r="4459">
      <c r="A4459" s="62" t="n">
        <v>46186</v>
      </c>
      <c r="B4459" s="3" t="inlineStr">
        <is>
          <t>Sat</t>
        </is>
      </c>
      <c r="C4459" s="19" t="n">
        <v>6</v>
      </c>
      <c r="D4459" s="19" t="n">
        <v>2026</v>
      </c>
      <c r="E4459" s="57" t="n">
        <v>5</v>
      </c>
      <c r="F4459" s="29">
        <f>ROUND(((SUMIFS(Calendar!$F$2:$F$9997,Calendar!$B$2:$B$9997,D4459,Calendar!$C$2:$C$9997,C4459)*INDEX(ForeCalc!$B$37:$Y$274,MATCH(_xlfn.CONCAT(H4459," ",I4459),ForeCalc!$A$37:$A$274,0),MATCH(_xlfn.CONCAT(B4459," ",E4459),ForeCalc!$B$36:$Y$36,0))))*VLOOKUP(A4459,Calendar!$A$2:$H$9997,8,FALSE),0)</f>
        <v/>
      </c>
      <c r="G4459" s="29">
        <f>VLOOKUP(A4459,Calendar!$A$1:$H$9997,6,FALSE)-F4459</f>
        <v/>
      </c>
      <c r="H4459" s="19" t="n">
        <v>1</v>
      </c>
      <c r="I4459" s="57" t="n">
        <v>3</v>
      </c>
    </row>
    <row r="4460">
      <c r="A4460" s="62" t="n">
        <v>46187</v>
      </c>
      <c r="B4460" s="3" t="inlineStr">
        <is>
          <t>Sun</t>
        </is>
      </c>
      <c r="C4460" s="19" t="n">
        <v>6</v>
      </c>
      <c r="D4460" s="19" t="n">
        <v>2026</v>
      </c>
      <c r="E4460" s="57" t="n">
        <v>5</v>
      </c>
      <c r="F4460" s="29">
        <f>ROUND(((SUMIFS(Calendar!$F$2:$F$9997,Calendar!$B$2:$B$9997,D4460,Calendar!$C$2:$C$9997,C4460)*INDEX(ForeCalc!$B$37:$Y$274,MATCH(_xlfn.CONCAT(H4460," ",I4460),ForeCalc!$A$37:$A$274,0),MATCH(_xlfn.CONCAT(B4460," ",E4460),ForeCalc!$B$36:$Y$36,0))))*VLOOKUP(A4460,Calendar!$A$2:$H$9997,8,FALSE),0)</f>
        <v/>
      </c>
      <c r="G4460" s="29">
        <f>VLOOKUP(A4460,Calendar!$A$1:$H$9997,6,FALSE)-F4460</f>
        <v/>
      </c>
      <c r="H4460" s="19" t="n">
        <v>1</v>
      </c>
      <c r="I4460" s="57" t="n">
        <v>3</v>
      </c>
    </row>
    <row r="4461">
      <c r="A4461" s="62" t="n">
        <v>46188</v>
      </c>
      <c r="B4461" s="3" t="inlineStr">
        <is>
          <t>Week</t>
        </is>
      </c>
      <c r="C4461" s="19" t="n">
        <v>6</v>
      </c>
      <c r="D4461" s="19" t="n">
        <v>2026</v>
      </c>
      <c r="E4461" s="57" t="n">
        <v>5</v>
      </c>
      <c r="F4461" s="29">
        <f>ROUND(((SUMIFS(Calendar!$F$2:$F$9997,Calendar!$B$2:$B$9997,D4461,Calendar!$C$2:$C$9997,C4461)*INDEX(ForeCalc!$B$37:$Y$274,MATCH(_xlfn.CONCAT(H4461," ",I4461),ForeCalc!$A$37:$A$274,0),MATCH(_xlfn.CONCAT(B4461," ",E4461),ForeCalc!$B$36:$Y$36,0))))*VLOOKUP(A4461,Calendar!$A$2:$H$9997,8,FALSE),0)</f>
        <v/>
      </c>
      <c r="G4461" s="29">
        <f>VLOOKUP(A4461,Calendar!$A$1:$H$9997,6,FALSE)-F4461</f>
        <v/>
      </c>
      <c r="H4461" s="19" t="n">
        <v>1</v>
      </c>
      <c r="I4461" s="57" t="n">
        <v>3</v>
      </c>
    </row>
    <row r="4462">
      <c r="A4462" s="62" t="n">
        <v>46189</v>
      </c>
      <c r="B4462" s="3" t="inlineStr">
        <is>
          <t>Week</t>
        </is>
      </c>
      <c r="C4462" s="19" t="n">
        <v>6</v>
      </c>
      <c r="D4462" s="19" t="n">
        <v>2026</v>
      </c>
      <c r="E4462" s="57" t="n">
        <v>5</v>
      </c>
      <c r="F4462" s="29">
        <f>ROUND(((SUMIFS(Calendar!$F$2:$F$9997,Calendar!$B$2:$B$9997,D4462,Calendar!$C$2:$C$9997,C4462)*INDEX(ForeCalc!$B$37:$Y$274,MATCH(_xlfn.CONCAT(H4462," ",I4462),ForeCalc!$A$37:$A$274,0),MATCH(_xlfn.CONCAT(B4462," ",E4462),ForeCalc!$B$36:$Y$36,0))))*VLOOKUP(A4462,Calendar!$A$2:$H$9997,8,FALSE),0)</f>
        <v/>
      </c>
      <c r="G4462" s="29">
        <f>VLOOKUP(A4462,Calendar!$A$1:$H$9997,6,FALSE)-F4462</f>
        <v/>
      </c>
      <c r="H4462" s="19" t="n">
        <v>1</v>
      </c>
      <c r="I4462" s="57" t="n">
        <v>3</v>
      </c>
    </row>
    <row r="4463">
      <c r="A4463" s="62" t="n">
        <v>46190</v>
      </c>
      <c r="B4463" s="3" t="inlineStr">
        <is>
          <t>Week</t>
        </is>
      </c>
      <c r="C4463" s="19" t="n">
        <v>6</v>
      </c>
      <c r="D4463" s="19" t="n">
        <v>2026</v>
      </c>
      <c r="E4463" s="57" t="n">
        <v>5</v>
      </c>
      <c r="F4463" s="29">
        <f>ROUND(((SUMIFS(Calendar!$F$2:$F$9997,Calendar!$B$2:$B$9997,D4463,Calendar!$C$2:$C$9997,C4463)*INDEX(ForeCalc!$B$37:$Y$274,MATCH(_xlfn.CONCAT(H4463," ",I4463),ForeCalc!$A$37:$A$274,0),MATCH(_xlfn.CONCAT(B4463," ",E4463),ForeCalc!$B$36:$Y$36,0))))*VLOOKUP(A4463,Calendar!$A$2:$H$9997,8,FALSE),0)</f>
        <v/>
      </c>
      <c r="G4463" s="29">
        <f>VLOOKUP(A4463,Calendar!$A$1:$H$9997,6,FALSE)-F4463</f>
        <v/>
      </c>
      <c r="H4463" s="19" t="n">
        <v>1</v>
      </c>
      <c r="I4463" s="57" t="n">
        <v>3</v>
      </c>
    </row>
    <row r="4464">
      <c r="A4464" s="62" t="n">
        <v>46191</v>
      </c>
      <c r="B4464" s="3" t="inlineStr">
        <is>
          <t>Week</t>
        </is>
      </c>
      <c r="C4464" s="19" t="n">
        <v>6</v>
      </c>
      <c r="D4464" s="19" t="n">
        <v>2026</v>
      </c>
      <c r="E4464" s="57" t="n">
        <v>5</v>
      </c>
      <c r="F4464" s="29">
        <f>ROUND(((SUMIFS(Calendar!$F$2:$F$9997,Calendar!$B$2:$B$9997,D4464,Calendar!$C$2:$C$9997,C4464)*INDEX(ForeCalc!$B$37:$Y$274,MATCH(_xlfn.CONCAT(H4464," ",I4464),ForeCalc!$A$37:$A$274,0),MATCH(_xlfn.CONCAT(B4464," ",E4464),ForeCalc!$B$36:$Y$36,0))))*VLOOKUP(A4464,Calendar!$A$2:$H$9997,8,FALSE),0)</f>
        <v/>
      </c>
      <c r="G4464" s="29">
        <f>VLOOKUP(A4464,Calendar!$A$1:$H$9997,6,FALSE)-F4464</f>
        <v/>
      </c>
      <c r="H4464" s="19" t="n">
        <v>1</v>
      </c>
      <c r="I4464" s="57" t="n">
        <v>3</v>
      </c>
    </row>
    <row r="4465">
      <c r="A4465" s="62" t="n">
        <v>46192</v>
      </c>
      <c r="B4465" s="3" t="inlineStr">
        <is>
          <t>Week</t>
        </is>
      </c>
      <c r="C4465" s="19" t="n">
        <v>6</v>
      </c>
      <c r="D4465" s="19" t="n">
        <v>2026</v>
      </c>
      <c r="E4465" s="57" t="n">
        <v>5</v>
      </c>
      <c r="F4465" s="29">
        <f>ROUND(((SUMIFS(Calendar!$F$2:$F$9997,Calendar!$B$2:$B$9997,D4465,Calendar!$C$2:$C$9997,C4465)*INDEX(ForeCalc!$B$37:$Y$274,MATCH(_xlfn.CONCAT(H4465," ",I4465),ForeCalc!$A$37:$A$274,0),MATCH(_xlfn.CONCAT(B4465," ",E4465),ForeCalc!$B$36:$Y$36,0))))*VLOOKUP(A4465,Calendar!$A$2:$H$9997,8,FALSE),0)</f>
        <v/>
      </c>
      <c r="G4465" s="29">
        <f>VLOOKUP(A4465,Calendar!$A$1:$H$9997,6,FALSE)-F4465</f>
        <v/>
      </c>
      <c r="H4465" s="19" t="n">
        <v>1</v>
      </c>
      <c r="I4465" s="57" t="n">
        <v>3</v>
      </c>
    </row>
    <row r="4466">
      <c r="A4466" s="62" t="n">
        <v>46193</v>
      </c>
      <c r="B4466" s="3" t="inlineStr">
        <is>
          <t>Sat</t>
        </is>
      </c>
      <c r="C4466" s="19" t="n">
        <v>6</v>
      </c>
      <c r="D4466" s="19" t="n">
        <v>2026</v>
      </c>
      <c r="E4466" s="57" t="n">
        <v>5</v>
      </c>
      <c r="F4466" s="29">
        <f>ROUND(((SUMIFS(Calendar!$F$2:$F$9997,Calendar!$B$2:$B$9997,D4466,Calendar!$C$2:$C$9997,C4466)*INDEX(ForeCalc!$B$37:$Y$274,MATCH(_xlfn.CONCAT(H4466," ",I4466),ForeCalc!$A$37:$A$274,0),MATCH(_xlfn.CONCAT(B4466," ",E4466),ForeCalc!$B$36:$Y$36,0))))*VLOOKUP(A4466,Calendar!$A$2:$H$9997,8,FALSE),0)</f>
        <v/>
      </c>
      <c r="G4466" s="29">
        <f>VLOOKUP(A4466,Calendar!$A$1:$H$9997,6,FALSE)-F4466</f>
        <v/>
      </c>
      <c r="H4466" s="19" t="n">
        <v>1</v>
      </c>
      <c r="I4466" s="57" t="n">
        <v>3</v>
      </c>
    </row>
    <row r="4467">
      <c r="A4467" s="62" t="n">
        <v>46194</v>
      </c>
      <c r="B4467" s="3" t="inlineStr">
        <is>
          <t>Sun</t>
        </is>
      </c>
      <c r="C4467" s="19" t="n">
        <v>6</v>
      </c>
      <c r="D4467" s="19" t="n">
        <v>2026</v>
      </c>
      <c r="E4467" s="57" t="n">
        <v>5</v>
      </c>
      <c r="F4467" s="29">
        <f>ROUND(((SUMIFS(Calendar!$F$2:$F$9997,Calendar!$B$2:$B$9997,D4467,Calendar!$C$2:$C$9997,C4467)*INDEX(ForeCalc!$B$37:$Y$274,MATCH(_xlfn.CONCAT(H4467," ",I4467),ForeCalc!$A$37:$A$274,0),MATCH(_xlfn.CONCAT(B4467," ",E4467),ForeCalc!$B$36:$Y$36,0))))*VLOOKUP(A4467,Calendar!$A$2:$H$9997,8,FALSE),0)</f>
        <v/>
      </c>
      <c r="G4467" s="29">
        <f>VLOOKUP(A4467,Calendar!$A$1:$H$9997,6,FALSE)-F4467</f>
        <v/>
      </c>
      <c r="H4467" s="19" t="n">
        <v>1</v>
      </c>
      <c r="I4467" s="57" t="n">
        <v>3</v>
      </c>
    </row>
    <row r="4468">
      <c r="A4468" s="62" t="n">
        <v>46195</v>
      </c>
      <c r="B4468" s="3" t="inlineStr">
        <is>
          <t>Week</t>
        </is>
      </c>
      <c r="C4468" s="19" t="n">
        <v>6</v>
      </c>
      <c r="D4468" s="19" t="n">
        <v>2026</v>
      </c>
      <c r="E4468" s="57" t="n">
        <v>5</v>
      </c>
      <c r="F4468" s="29">
        <f>ROUND(((SUMIFS(Calendar!$F$2:$F$9997,Calendar!$B$2:$B$9997,D4468,Calendar!$C$2:$C$9997,C4468)*INDEX(ForeCalc!$B$37:$Y$274,MATCH(_xlfn.CONCAT(H4468," ",I4468),ForeCalc!$A$37:$A$274,0),MATCH(_xlfn.CONCAT(B4468," ",E4468),ForeCalc!$B$36:$Y$36,0))))*VLOOKUP(A4468,Calendar!$A$2:$H$9997,8,FALSE),0)</f>
        <v/>
      </c>
      <c r="G4468" s="29">
        <f>VLOOKUP(A4468,Calendar!$A$1:$H$9997,6,FALSE)-F4468</f>
        <v/>
      </c>
      <c r="H4468" s="19" t="n">
        <v>1</v>
      </c>
      <c r="I4468" s="57" t="n">
        <v>3</v>
      </c>
    </row>
    <row r="4469">
      <c r="A4469" s="62" t="n">
        <v>46196</v>
      </c>
      <c r="B4469" s="3" t="inlineStr">
        <is>
          <t>Week</t>
        </is>
      </c>
      <c r="C4469" s="19" t="n">
        <v>6</v>
      </c>
      <c r="D4469" s="19" t="n">
        <v>2026</v>
      </c>
      <c r="E4469" s="57" t="n">
        <v>5</v>
      </c>
      <c r="F4469" s="29">
        <f>ROUND(((SUMIFS(Calendar!$F$2:$F$9997,Calendar!$B$2:$B$9997,D4469,Calendar!$C$2:$C$9997,C4469)*INDEX(ForeCalc!$B$37:$Y$274,MATCH(_xlfn.CONCAT(H4469," ",I4469),ForeCalc!$A$37:$A$274,0),MATCH(_xlfn.CONCAT(B4469," ",E4469),ForeCalc!$B$36:$Y$36,0))))*VLOOKUP(A4469,Calendar!$A$2:$H$9997,8,FALSE),0)</f>
        <v/>
      </c>
      <c r="G4469" s="29">
        <f>VLOOKUP(A4469,Calendar!$A$1:$H$9997,6,FALSE)-F4469</f>
        <v/>
      </c>
      <c r="H4469" s="19" t="n">
        <v>1</v>
      </c>
      <c r="I4469" s="57" t="n">
        <v>3</v>
      </c>
    </row>
    <row r="4470">
      <c r="A4470" s="62" t="n">
        <v>46197</v>
      </c>
      <c r="B4470" s="3" t="inlineStr">
        <is>
          <t>Week</t>
        </is>
      </c>
      <c r="C4470" s="19" t="n">
        <v>6</v>
      </c>
      <c r="D4470" s="19" t="n">
        <v>2026</v>
      </c>
      <c r="E4470" s="57" t="n">
        <v>5</v>
      </c>
      <c r="F4470" s="29">
        <f>ROUND(((SUMIFS(Calendar!$F$2:$F$9997,Calendar!$B$2:$B$9997,D4470,Calendar!$C$2:$C$9997,C4470)*INDEX(ForeCalc!$B$37:$Y$274,MATCH(_xlfn.CONCAT(H4470," ",I4470),ForeCalc!$A$37:$A$274,0),MATCH(_xlfn.CONCAT(B4470," ",E4470),ForeCalc!$B$36:$Y$36,0))))*VLOOKUP(A4470,Calendar!$A$2:$H$9997,8,FALSE),0)</f>
        <v/>
      </c>
      <c r="G4470" s="29">
        <f>VLOOKUP(A4470,Calendar!$A$1:$H$9997,6,FALSE)-F4470</f>
        <v/>
      </c>
      <c r="H4470" s="19" t="n">
        <v>1</v>
      </c>
      <c r="I4470" s="57" t="n">
        <v>3</v>
      </c>
    </row>
    <row r="4471">
      <c r="A4471" s="62" t="n">
        <v>46198</v>
      </c>
      <c r="B4471" s="3" t="inlineStr">
        <is>
          <t>Week</t>
        </is>
      </c>
      <c r="C4471" s="19" t="n">
        <v>6</v>
      </c>
      <c r="D4471" s="19" t="n">
        <v>2026</v>
      </c>
      <c r="E4471" s="57" t="n">
        <v>5</v>
      </c>
      <c r="F4471" s="29">
        <f>ROUND(((SUMIFS(Calendar!$F$2:$F$9997,Calendar!$B$2:$B$9997,D4471,Calendar!$C$2:$C$9997,C4471)*INDEX(ForeCalc!$B$37:$Y$274,MATCH(_xlfn.CONCAT(H4471," ",I4471),ForeCalc!$A$37:$A$274,0),MATCH(_xlfn.CONCAT(B4471," ",E4471),ForeCalc!$B$36:$Y$36,0))))*VLOOKUP(A4471,Calendar!$A$2:$H$9997,8,FALSE),0)</f>
        <v/>
      </c>
      <c r="G4471" s="29">
        <f>VLOOKUP(A4471,Calendar!$A$1:$H$9997,6,FALSE)-F4471</f>
        <v/>
      </c>
      <c r="H4471" s="19" t="n">
        <v>1</v>
      </c>
      <c r="I4471" s="57" t="n">
        <v>3</v>
      </c>
    </row>
    <row r="4472">
      <c r="A4472" s="62" t="n">
        <v>46199</v>
      </c>
      <c r="B4472" s="3" t="inlineStr">
        <is>
          <t>Week</t>
        </is>
      </c>
      <c r="C4472" s="19" t="n">
        <v>6</v>
      </c>
      <c r="D4472" s="19" t="n">
        <v>2026</v>
      </c>
      <c r="E4472" s="57" t="n">
        <v>5</v>
      </c>
      <c r="F4472" s="29">
        <f>ROUND(((SUMIFS(Calendar!$F$2:$F$9997,Calendar!$B$2:$B$9997,D4472,Calendar!$C$2:$C$9997,C4472)*INDEX(ForeCalc!$B$37:$Y$274,MATCH(_xlfn.CONCAT(H4472," ",I4472),ForeCalc!$A$37:$A$274,0),MATCH(_xlfn.CONCAT(B4472," ",E4472),ForeCalc!$B$36:$Y$36,0))))*VLOOKUP(A4472,Calendar!$A$2:$H$9997,8,FALSE),0)</f>
        <v/>
      </c>
      <c r="G4472" s="29">
        <f>VLOOKUP(A4472,Calendar!$A$1:$H$9997,6,FALSE)-F4472</f>
        <v/>
      </c>
      <c r="H4472" s="19" t="n">
        <v>1</v>
      </c>
      <c r="I4472" s="57" t="n">
        <v>3</v>
      </c>
    </row>
    <row r="4473">
      <c r="A4473" s="62" t="n">
        <v>46200</v>
      </c>
      <c r="B4473" s="3" t="inlineStr">
        <is>
          <t>Sat</t>
        </is>
      </c>
      <c r="C4473" s="19" t="n">
        <v>6</v>
      </c>
      <c r="D4473" s="19" t="n">
        <v>2026</v>
      </c>
      <c r="E4473" s="57" t="n">
        <v>5</v>
      </c>
      <c r="F4473" s="29">
        <f>ROUND(((SUMIFS(Calendar!$F$2:$F$9997,Calendar!$B$2:$B$9997,D4473,Calendar!$C$2:$C$9997,C4473)*INDEX(ForeCalc!$B$37:$Y$274,MATCH(_xlfn.CONCAT(H4473," ",I4473),ForeCalc!$A$37:$A$274,0),MATCH(_xlfn.CONCAT(B4473," ",E4473),ForeCalc!$B$36:$Y$36,0))))*VLOOKUP(A4473,Calendar!$A$2:$H$9997,8,FALSE),0)</f>
        <v/>
      </c>
      <c r="G4473" s="29">
        <f>VLOOKUP(A4473,Calendar!$A$1:$H$9997,6,FALSE)-F4473</f>
        <v/>
      </c>
      <c r="H4473" s="19" t="n">
        <v>1</v>
      </c>
      <c r="I4473" s="57" t="n">
        <v>3</v>
      </c>
    </row>
    <row r="4474">
      <c r="A4474" s="62" t="n">
        <v>46201</v>
      </c>
      <c r="B4474" s="3" t="inlineStr">
        <is>
          <t>Sun</t>
        </is>
      </c>
      <c r="C4474" s="19" t="n">
        <v>6</v>
      </c>
      <c r="D4474" s="19" t="n">
        <v>2026</v>
      </c>
      <c r="E4474" s="57" t="n">
        <v>5</v>
      </c>
      <c r="F4474" s="29">
        <f>ROUND(((SUMIFS(Calendar!$F$2:$F$9997,Calendar!$B$2:$B$9997,D4474,Calendar!$C$2:$C$9997,C4474)*INDEX(ForeCalc!$B$37:$Y$274,MATCH(_xlfn.CONCAT(H4474," ",I4474),ForeCalc!$A$37:$A$274,0),MATCH(_xlfn.CONCAT(B4474," ",E4474),ForeCalc!$B$36:$Y$36,0))))*VLOOKUP(A4474,Calendar!$A$2:$H$9997,8,FALSE),0)</f>
        <v/>
      </c>
      <c r="G4474" s="29">
        <f>VLOOKUP(A4474,Calendar!$A$1:$H$9997,6,FALSE)-F4474</f>
        <v/>
      </c>
      <c r="H4474" s="19" t="n">
        <v>1</v>
      </c>
      <c r="I4474" s="57" t="n">
        <v>3</v>
      </c>
    </row>
    <row r="4475">
      <c r="A4475" s="62" t="n">
        <v>46202</v>
      </c>
      <c r="B4475" s="3" t="inlineStr">
        <is>
          <t>Week</t>
        </is>
      </c>
      <c r="C4475" s="19" t="n">
        <v>6</v>
      </c>
      <c r="D4475" s="19" t="n">
        <v>2026</v>
      </c>
      <c r="E4475" s="57" t="n">
        <v>5</v>
      </c>
      <c r="F4475" s="29">
        <f>ROUND(((SUMIFS(Calendar!$F$2:$F$9997,Calendar!$B$2:$B$9997,D4475,Calendar!$C$2:$C$9997,C4475)*INDEX(ForeCalc!$B$37:$Y$274,MATCH(_xlfn.CONCAT(H4475," ",I4475),ForeCalc!$A$37:$A$274,0),MATCH(_xlfn.CONCAT(B4475," ",E4475),ForeCalc!$B$36:$Y$36,0))))*VLOOKUP(A4475,Calendar!$A$2:$H$9997,8,FALSE),0)</f>
        <v/>
      </c>
      <c r="G4475" s="29">
        <f>VLOOKUP(A4475,Calendar!$A$1:$H$9997,6,FALSE)-F4475</f>
        <v/>
      </c>
      <c r="H4475" s="19" t="n">
        <v>1</v>
      </c>
      <c r="I4475" s="57" t="n">
        <v>3</v>
      </c>
    </row>
    <row r="4476">
      <c r="A4476" s="62" t="n">
        <v>46203</v>
      </c>
      <c r="B4476" s="3" t="inlineStr">
        <is>
          <t>Week</t>
        </is>
      </c>
      <c r="C4476" s="19" t="n">
        <v>6</v>
      </c>
      <c r="D4476" s="19" t="n">
        <v>2026</v>
      </c>
      <c r="E4476" s="57" t="n">
        <v>5</v>
      </c>
      <c r="F4476" s="29">
        <f>ROUND(((SUMIFS(Calendar!$F$2:$F$9997,Calendar!$B$2:$B$9997,D4476,Calendar!$C$2:$C$9997,C4476)*INDEX(ForeCalc!$B$37:$Y$274,MATCH(_xlfn.CONCAT(H4476," ",I4476),ForeCalc!$A$37:$A$274,0),MATCH(_xlfn.CONCAT(B4476," ",E4476),ForeCalc!$B$36:$Y$36,0))))*VLOOKUP(A4476,Calendar!$A$2:$H$9997,8,FALSE),0)</f>
        <v/>
      </c>
      <c r="G4476" s="29">
        <f>VLOOKUP(A4476,Calendar!$A$1:$H$9997,6,FALSE)-F4476</f>
        <v/>
      </c>
      <c r="H4476" s="19" t="n">
        <v>1</v>
      </c>
      <c r="I4476" s="57" t="n">
        <v>3</v>
      </c>
    </row>
    <row r="4477">
      <c r="A4477" s="62" t="n">
        <v>46204</v>
      </c>
      <c r="B4477" s="3" t="inlineStr">
        <is>
          <t>Week</t>
        </is>
      </c>
      <c r="C4477" s="19" t="n">
        <v>7</v>
      </c>
      <c r="D4477" s="19" t="n">
        <v>2026</v>
      </c>
      <c r="E4477" s="57" t="n">
        <v>5</v>
      </c>
      <c r="F4477" s="29">
        <f>ROUND(((SUMIFS(Calendar!$F$2:$F$9997,Calendar!$B$2:$B$9997,D4477,Calendar!$C$2:$C$9997,C4477)*INDEX(ForeCalc!$B$37:$Y$274,MATCH(_xlfn.CONCAT(H4477," ",I4477),ForeCalc!$A$37:$A$274,0),MATCH(_xlfn.CONCAT(B4477," ",E4477),ForeCalc!$B$36:$Y$36,0))))*VLOOKUP(A4477,Calendar!$A$2:$H$9997,8,FALSE),0)</f>
        <v/>
      </c>
      <c r="G4477" s="29">
        <f>VLOOKUP(A4477,Calendar!$A$1:$H$9997,6,FALSE)-F4477</f>
        <v/>
      </c>
      <c r="H4477" s="19" t="n">
        <v>1</v>
      </c>
      <c r="I4477" s="57" t="n">
        <v>4</v>
      </c>
    </row>
    <row r="4478">
      <c r="A4478" s="62" t="n">
        <v>46205</v>
      </c>
      <c r="B4478" s="3" t="inlineStr">
        <is>
          <t>Week</t>
        </is>
      </c>
      <c r="C4478" s="19" t="n">
        <v>7</v>
      </c>
      <c r="D4478" s="19" t="n">
        <v>2026</v>
      </c>
      <c r="E4478" s="57" t="n">
        <v>5</v>
      </c>
      <c r="F4478" s="29">
        <f>ROUND(((SUMIFS(Calendar!$F$2:$F$9997,Calendar!$B$2:$B$9997,D4478,Calendar!$C$2:$C$9997,C4478)*INDEX(ForeCalc!$B$37:$Y$274,MATCH(_xlfn.CONCAT(H4478," ",I4478),ForeCalc!$A$37:$A$274,0),MATCH(_xlfn.CONCAT(B4478," ",E4478),ForeCalc!$B$36:$Y$36,0))))*VLOOKUP(A4478,Calendar!$A$2:$H$9997,8,FALSE),0)</f>
        <v/>
      </c>
      <c r="G4478" s="29">
        <f>VLOOKUP(A4478,Calendar!$A$1:$H$9997,6,FALSE)-F4478</f>
        <v/>
      </c>
      <c r="H4478" s="19" t="n">
        <v>1</v>
      </c>
      <c r="I4478" s="57" t="n">
        <v>4</v>
      </c>
    </row>
    <row r="4479">
      <c r="A4479" s="62" t="n">
        <v>46206</v>
      </c>
      <c r="B4479" s="3" t="inlineStr">
        <is>
          <t>Week</t>
        </is>
      </c>
      <c r="C4479" s="19" t="n">
        <v>7</v>
      </c>
      <c r="D4479" s="19" t="n">
        <v>2026</v>
      </c>
      <c r="E4479" s="57" t="n">
        <v>5</v>
      </c>
      <c r="F4479" s="29">
        <f>ROUND(((SUMIFS(Calendar!$F$2:$F$9997,Calendar!$B$2:$B$9997,D4479,Calendar!$C$2:$C$9997,C4479)*INDEX(ForeCalc!$B$37:$Y$274,MATCH(_xlfn.CONCAT(H4479," ",I4479),ForeCalc!$A$37:$A$274,0),MATCH(_xlfn.CONCAT(B4479," ",E4479),ForeCalc!$B$36:$Y$36,0))))*VLOOKUP(A4479,Calendar!$A$2:$H$9997,8,FALSE),0)</f>
        <v/>
      </c>
      <c r="G4479" s="29">
        <f>VLOOKUP(A4479,Calendar!$A$1:$H$9997,6,FALSE)-F4479</f>
        <v/>
      </c>
      <c r="H4479" s="19" t="n">
        <v>1</v>
      </c>
      <c r="I4479" s="57" t="n">
        <v>4</v>
      </c>
    </row>
    <row r="4480">
      <c r="A4480" s="62" t="n">
        <v>46207</v>
      </c>
      <c r="B4480" s="3" t="inlineStr">
        <is>
          <t>Sat</t>
        </is>
      </c>
      <c r="C4480" s="19" t="n">
        <v>7</v>
      </c>
      <c r="D4480" s="19" t="n">
        <v>2026</v>
      </c>
      <c r="E4480" s="57" t="n">
        <v>5</v>
      </c>
      <c r="F4480" s="29">
        <f>ROUND(((SUMIFS(Calendar!$F$2:$F$9997,Calendar!$B$2:$B$9997,D4480,Calendar!$C$2:$C$9997,C4480)*INDEX(ForeCalc!$B$37:$Y$274,MATCH(_xlfn.CONCAT(H4480," ",I4480),ForeCalc!$A$37:$A$274,0),MATCH(_xlfn.CONCAT(B4480," ",E4480),ForeCalc!$B$36:$Y$36,0))))*VLOOKUP(A4480,Calendar!$A$2:$H$9997,8,FALSE),0)</f>
        <v/>
      </c>
      <c r="G4480" s="29">
        <f>VLOOKUP(A4480,Calendar!$A$1:$H$9997,6,FALSE)-F4480</f>
        <v/>
      </c>
      <c r="H4480" s="19" t="n">
        <v>1</v>
      </c>
      <c r="I4480" s="57" t="n">
        <v>4</v>
      </c>
    </row>
    <row r="4481">
      <c r="A4481" s="62" t="n">
        <v>46208</v>
      </c>
      <c r="B4481" s="3" t="inlineStr">
        <is>
          <t>Sun</t>
        </is>
      </c>
      <c r="C4481" s="19" t="n">
        <v>7</v>
      </c>
      <c r="D4481" s="19" t="n">
        <v>2026</v>
      </c>
      <c r="E4481" s="57" t="n">
        <v>5</v>
      </c>
      <c r="F4481" s="29">
        <f>ROUND(((SUMIFS(Calendar!$F$2:$F$9997,Calendar!$B$2:$B$9997,D4481,Calendar!$C$2:$C$9997,C4481)*INDEX(ForeCalc!$B$37:$Y$274,MATCH(_xlfn.CONCAT(H4481," ",I4481),ForeCalc!$A$37:$A$274,0),MATCH(_xlfn.CONCAT(B4481," ",E4481),ForeCalc!$B$36:$Y$36,0))))*VLOOKUP(A4481,Calendar!$A$2:$H$9997,8,FALSE),0)</f>
        <v/>
      </c>
      <c r="G4481" s="29">
        <f>VLOOKUP(A4481,Calendar!$A$1:$H$9997,6,FALSE)-F4481</f>
        <v/>
      </c>
      <c r="H4481" s="19" t="n">
        <v>1</v>
      </c>
      <c r="I4481" s="57" t="n">
        <v>4</v>
      </c>
    </row>
    <row r="4482">
      <c r="A4482" s="62" t="n">
        <v>46209</v>
      </c>
      <c r="B4482" s="3" t="inlineStr">
        <is>
          <t>Week</t>
        </is>
      </c>
      <c r="C4482" s="19" t="n">
        <v>7</v>
      </c>
      <c r="D4482" s="19" t="n">
        <v>2026</v>
      </c>
      <c r="E4482" s="57" t="n">
        <v>5</v>
      </c>
      <c r="F4482" s="29">
        <f>ROUND(((SUMIFS(Calendar!$F$2:$F$9997,Calendar!$B$2:$B$9997,D4482,Calendar!$C$2:$C$9997,C4482)*INDEX(ForeCalc!$B$37:$Y$274,MATCH(_xlfn.CONCAT(H4482," ",I4482),ForeCalc!$A$37:$A$274,0),MATCH(_xlfn.CONCAT(B4482," ",E4482),ForeCalc!$B$36:$Y$36,0))))*VLOOKUP(A4482,Calendar!$A$2:$H$9997,8,FALSE),0)</f>
        <v/>
      </c>
      <c r="G4482" s="29">
        <f>VLOOKUP(A4482,Calendar!$A$1:$H$9997,6,FALSE)-F4482</f>
        <v/>
      </c>
      <c r="H4482" s="19" t="n">
        <v>1</v>
      </c>
      <c r="I4482" s="57" t="n">
        <v>4</v>
      </c>
    </row>
    <row r="4483">
      <c r="A4483" s="62" t="n">
        <v>46210</v>
      </c>
      <c r="B4483" s="3" t="inlineStr">
        <is>
          <t>Week</t>
        </is>
      </c>
      <c r="C4483" s="19" t="n">
        <v>7</v>
      </c>
      <c r="D4483" s="19" t="n">
        <v>2026</v>
      </c>
      <c r="E4483" s="57" t="n">
        <v>5</v>
      </c>
      <c r="F4483" s="29">
        <f>ROUND(((SUMIFS(Calendar!$F$2:$F$9997,Calendar!$B$2:$B$9997,D4483,Calendar!$C$2:$C$9997,C4483)*INDEX(ForeCalc!$B$37:$Y$274,MATCH(_xlfn.CONCAT(H4483," ",I4483),ForeCalc!$A$37:$A$274,0),MATCH(_xlfn.CONCAT(B4483," ",E4483),ForeCalc!$B$36:$Y$36,0))))*VLOOKUP(A4483,Calendar!$A$2:$H$9997,8,FALSE),0)</f>
        <v/>
      </c>
      <c r="G4483" s="29">
        <f>VLOOKUP(A4483,Calendar!$A$1:$H$9997,6,FALSE)-F4483</f>
        <v/>
      </c>
      <c r="H4483" s="19" t="n">
        <v>1</v>
      </c>
      <c r="I4483" s="57" t="n">
        <v>4</v>
      </c>
    </row>
    <row r="4484">
      <c r="A4484" s="62" t="n">
        <v>46211</v>
      </c>
      <c r="B4484" s="3" t="inlineStr">
        <is>
          <t>Week</t>
        </is>
      </c>
      <c r="C4484" s="19" t="n">
        <v>7</v>
      </c>
      <c r="D4484" s="19" t="n">
        <v>2026</v>
      </c>
      <c r="E4484" s="57" t="n">
        <v>5</v>
      </c>
      <c r="F4484" s="29">
        <f>ROUND(((SUMIFS(Calendar!$F$2:$F$9997,Calendar!$B$2:$B$9997,D4484,Calendar!$C$2:$C$9997,C4484)*INDEX(ForeCalc!$B$37:$Y$274,MATCH(_xlfn.CONCAT(H4484," ",I4484),ForeCalc!$A$37:$A$274,0),MATCH(_xlfn.CONCAT(B4484," ",E4484),ForeCalc!$B$36:$Y$36,0))))*VLOOKUP(A4484,Calendar!$A$2:$H$9997,8,FALSE),0)</f>
        <v/>
      </c>
      <c r="G4484" s="29">
        <f>VLOOKUP(A4484,Calendar!$A$1:$H$9997,6,FALSE)-F4484</f>
        <v/>
      </c>
      <c r="H4484" s="19" t="n">
        <v>1</v>
      </c>
      <c r="I4484" s="57" t="n">
        <v>4</v>
      </c>
    </row>
    <row r="4485">
      <c r="A4485" s="62" t="n">
        <v>46212</v>
      </c>
      <c r="B4485" s="3" t="inlineStr">
        <is>
          <t>Week</t>
        </is>
      </c>
      <c r="C4485" s="19" t="n">
        <v>7</v>
      </c>
      <c r="D4485" s="19" t="n">
        <v>2026</v>
      </c>
      <c r="E4485" s="57" t="n">
        <v>5</v>
      </c>
      <c r="F4485" s="29">
        <f>ROUND(((SUMIFS(Calendar!$F$2:$F$9997,Calendar!$B$2:$B$9997,D4485,Calendar!$C$2:$C$9997,C4485)*INDEX(ForeCalc!$B$37:$Y$274,MATCH(_xlfn.CONCAT(H4485," ",I4485),ForeCalc!$A$37:$A$274,0),MATCH(_xlfn.CONCAT(B4485," ",E4485),ForeCalc!$B$36:$Y$36,0))))*VLOOKUP(A4485,Calendar!$A$2:$H$9997,8,FALSE),0)</f>
        <v/>
      </c>
      <c r="G4485" s="29">
        <f>VLOOKUP(A4485,Calendar!$A$1:$H$9997,6,FALSE)-F4485</f>
        <v/>
      </c>
      <c r="H4485" s="19" t="n">
        <v>1</v>
      </c>
      <c r="I4485" s="57" t="n">
        <v>4</v>
      </c>
    </row>
    <row r="4486">
      <c r="A4486" s="62" t="n">
        <v>46213</v>
      </c>
      <c r="B4486" s="3" t="inlineStr">
        <is>
          <t>Week</t>
        </is>
      </c>
      <c r="C4486" s="19" t="n">
        <v>7</v>
      </c>
      <c r="D4486" s="19" t="n">
        <v>2026</v>
      </c>
      <c r="E4486" s="57" t="n">
        <v>5</v>
      </c>
      <c r="F4486" s="29">
        <f>ROUND(((SUMIFS(Calendar!$F$2:$F$9997,Calendar!$B$2:$B$9997,D4486,Calendar!$C$2:$C$9997,C4486)*INDEX(ForeCalc!$B$37:$Y$274,MATCH(_xlfn.CONCAT(H4486," ",I4486),ForeCalc!$A$37:$A$274,0),MATCH(_xlfn.CONCAT(B4486," ",E4486),ForeCalc!$B$36:$Y$36,0))))*VLOOKUP(A4486,Calendar!$A$2:$H$9997,8,FALSE),0)</f>
        <v/>
      </c>
      <c r="G4486" s="29">
        <f>VLOOKUP(A4486,Calendar!$A$1:$H$9997,6,FALSE)-F4486</f>
        <v/>
      </c>
      <c r="H4486" s="19" t="n">
        <v>1</v>
      </c>
      <c r="I4486" s="57" t="n">
        <v>4</v>
      </c>
    </row>
    <row r="4487">
      <c r="A4487" s="62" t="n">
        <v>46214</v>
      </c>
      <c r="B4487" s="3" t="inlineStr">
        <is>
          <t>Sat</t>
        </is>
      </c>
      <c r="C4487" s="19" t="n">
        <v>7</v>
      </c>
      <c r="D4487" s="19" t="n">
        <v>2026</v>
      </c>
      <c r="E4487" s="57" t="n">
        <v>5</v>
      </c>
      <c r="F4487" s="29">
        <f>ROUND(((SUMIFS(Calendar!$F$2:$F$9997,Calendar!$B$2:$B$9997,D4487,Calendar!$C$2:$C$9997,C4487)*INDEX(ForeCalc!$B$37:$Y$274,MATCH(_xlfn.CONCAT(H4487," ",I4487),ForeCalc!$A$37:$A$274,0),MATCH(_xlfn.CONCAT(B4487," ",E4487),ForeCalc!$B$36:$Y$36,0))))*VLOOKUP(A4487,Calendar!$A$2:$H$9997,8,FALSE),0)</f>
        <v/>
      </c>
      <c r="G4487" s="29">
        <f>VLOOKUP(A4487,Calendar!$A$1:$H$9997,6,FALSE)-F4487</f>
        <v/>
      </c>
      <c r="H4487" s="19" t="n">
        <v>1</v>
      </c>
      <c r="I4487" s="57" t="n">
        <v>4</v>
      </c>
    </row>
    <row r="4488">
      <c r="A4488" s="62" t="n">
        <v>46215</v>
      </c>
      <c r="B4488" s="3" t="inlineStr">
        <is>
          <t>Sun</t>
        </is>
      </c>
      <c r="C4488" s="19" t="n">
        <v>7</v>
      </c>
      <c r="D4488" s="19" t="n">
        <v>2026</v>
      </c>
      <c r="E4488" s="57" t="n">
        <v>5</v>
      </c>
      <c r="F4488" s="29">
        <f>ROUND(((SUMIFS(Calendar!$F$2:$F$9997,Calendar!$B$2:$B$9997,D4488,Calendar!$C$2:$C$9997,C4488)*INDEX(ForeCalc!$B$37:$Y$274,MATCH(_xlfn.CONCAT(H4488," ",I4488),ForeCalc!$A$37:$A$274,0),MATCH(_xlfn.CONCAT(B4488," ",E4488),ForeCalc!$B$36:$Y$36,0))))*VLOOKUP(A4488,Calendar!$A$2:$H$9997,8,FALSE),0)</f>
        <v/>
      </c>
      <c r="G4488" s="29">
        <f>VLOOKUP(A4488,Calendar!$A$1:$H$9997,6,FALSE)-F4488</f>
        <v/>
      </c>
      <c r="H4488" s="19" t="n">
        <v>1</v>
      </c>
      <c r="I4488" s="57" t="n">
        <v>4</v>
      </c>
    </row>
    <row r="4489">
      <c r="A4489" s="62" t="n">
        <v>46216</v>
      </c>
      <c r="B4489" s="3" t="inlineStr">
        <is>
          <t>Week</t>
        </is>
      </c>
      <c r="C4489" s="19" t="n">
        <v>7</v>
      </c>
      <c r="D4489" s="19" t="n">
        <v>2026</v>
      </c>
      <c r="E4489" s="57" t="n">
        <v>5</v>
      </c>
      <c r="F4489" s="29">
        <f>ROUND(((SUMIFS(Calendar!$F$2:$F$9997,Calendar!$B$2:$B$9997,D4489,Calendar!$C$2:$C$9997,C4489)*INDEX(ForeCalc!$B$37:$Y$274,MATCH(_xlfn.CONCAT(H4489," ",I4489),ForeCalc!$A$37:$A$274,0),MATCH(_xlfn.CONCAT(B4489," ",E4489),ForeCalc!$B$36:$Y$36,0))))*VLOOKUP(A4489,Calendar!$A$2:$H$9997,8,FALSE),0)</f>
        <v/>
      </c>
      <c r="G4489" s="29">
        <f>VLOOKUP(A4489,Calendar!$A$1:$H$9997,6,FALSE)-F4489</f>
        <v/>
      </c>
      <c r="H4489" s="19" t="n">
        <v>1</v>
      </c>
      <c r="I4489" s="57" t="n">
        <v>4</v>
      </c>
    </row>
    <row r="4490">
      <c r="A4490" s="62" t="n">
        <v>46217</v>
      </c>
      <c r="B4490" s="3" t="inlineStr">
        <is>
          <t>Week</t>
        </is>
      </c>
      <c r="C4490" s="19" t="n">
        <v>7</v>
      </c>
      <c r="D4490" s="19" t="n">
        <v>2026</v>
      </c>
      <c r="E4490" s="57" t="n">
        <v>5</v>
      </c>
      <c r="F4490" s="29">
        <f>ROUND(((SUMIFS(Calendar!$F$2:$F$9997,Calendar!$B$2:$B$9997,D4490,Calendar!$C$2:$C$9997,C4490)*INDEX(ForeCalc!$B$37:$Y$274,MATCH(_xlfn.CONCAT(H4490," ",I4490),ForeCalc!$A$37:$A$274,0),MATCH(_xlfn.CONCAT(B4490," ",E4490),ForeCalc!$B$36:$Y$36,0))))*VLOOKUP(A4490,Calendar!$A$2:$H$9997,8,FALSE),0)</f>
        <v/>
      </c>
      <c r="G4490" s="29">
        <f>VLOOKUP(A4490,Calendar!$A$1:$H$9997,6,FALSE)-F4490</f>
        <v/>
      </c>
      <c r="H4490" s="19" t="n">
        <v>1</v>
      </c>
      <c r="I4490" s="57" t="n">
        <v>4</v>
      </c>
    </row>
    <row r="4491">
      <c r="A4491" s="62" t="n">
        <v>46218</v>
      </c>
      <c r="B4491" s="3" t="inlineStr">
        <is>
          <t>Week</t>
        </is>
      </c>
      <c r="C4491" s="19" t="n">
        <v>7</v>
      </c>
      <c r="D4491" s="19" t="n">
        <v>2026</v>
      </c>
      <c r="E4491" s="57" t="n">
        <v>5</v>
      </c>
      <c r="F4491" s="29">
        <f>ROUND(((SUMIFS(Calendar!$F$2:$F$9997,Calendar!$B$2:$B$9997,D4491,Calendar!$C$2:$C$9997,C4491)*INDEX(ForeCalc!$B$37:$Y$274,MATCH(_xlfn.CONCAT(H4491," ",I4491),ForeCalc!$A$37:$A$274,0),MATCH(_xlfn.CONCAT(B4491," ",E4491),ForeCalc!$B$36:$Y$36,0))))*VLOOKUP(A4491,Calendar!$A$2:$H$9997,8,FALSE),0)</f>
        <v/>
      </c>
      <c r="G4491" s="29">
        <f>VLOOKUP(A4491,Calendar!$A$1:$H$9997,6,FALSE)-F4491</f>
        <v/>
      </c>
      <c r="H4491" s="19" t="n">
        <v>1</v>
      </c>
      <c r="I4491" s="57" t="n">
        <v>4</v>
      </c>
    </row>
    <row r="4492">
      <c r="A4492" s="62" t="n">
        <v>46219</v>
      </c>
      <c r="B4492" s="3" t="inlineStr">
        <is>
          <t>Week</t>
        </is>
      </c>
      <c r="C4492" s="19" t="n">
        <v>7</v>
      </c>
      <c r="D4492" s="19" t="n">
        <v>2026</v>
      </c>
      <c r="E4492" s="57" t="n">
        <v>5</v>
      </c>
      <c r="F4492" s="29">
        <f>ROUND(((SUMIFS(Calendar!$F$2:$F$9997,Calendar!$B$2:$B$9997,D4492,Calendar!$C$2:$C$9997,C4492)*INDEX(ForeCalc!$B$37:$Y$274,MATCH(_xlfn.CONCAT(H4492," ",I4492),ForeCalc!$A$37:$A$274,0),MATCH(_xlfn.CONCAT(B4492," ",E4492),ForeCalc!$B$36:$Y$36,0))))*VLOOKUP(A4492,Calendar!$A$2:$H$9997,8,FALSE),0)</f>
        <v/>
      </c>
      <c r="G4492" s="29">
        <f>VLOOKUP(A4492,Calendar!$A$1:$H$9997,6,FALSE)-F4492</f>
        <v/>
      </c>
      <c r="H4492" s="19" t="n">
        <v>1</v>
      </c>
      <c r="I4492" s="57" t="n">
        <v>4</v>
      </c>
    </row>
    <row r="4493">
      <c r="A4493" s="62" t="n">
        <v>46220</v>
      </c>
      <c r="B4493" s="3" t="inlineStr">
        <is>
          <t>Week</t>
        </is>
      </c>
      <c r="C4493" s="19" t="n">
        <v>7</v>
      </c>
      <c r="D4493" s="19" t="n">
        <v>2026</v>
      </c>
      <c r="E4493" s="57" t="n">
        <v>5</v>
      </c>
      <c r="F4493" s="29">
        <f>ROUND(((SUMIFS(Calendar!$F$2:$F$9997,Calendar!$B$2:$B$9997,D4493,Calendar!$C$2:$C$9997,C4493)*INDEX(ForeCalc!$B$37:$Y$274,MATCH(_xlfn.CONCAT(H4493," ",I4493),ForeCalc!$A$37:$A$274,0),MATCH(_xlfn.CONCAT(B4493," ",E4493),ForeCalc!$B$36:$Y$36,0))))*VLOOKUP(A4493,Calendar!$A$2:$H$9997,8,FALSE),0)</f>
        <v/>
      </c>
      <c r="G4493" s="29">
        <f>VLOOKUP(A4493,Calendar!$A$1:$H$9997,6,FALSE)-F4493</f>
        <v/>
      </c>
      <c r="H4493" s="19" t="n">
        <v>1</v>
      </c>
      <c r="I4493" s="57" t="n">
        <v>4</v>
      </c>
    </row>
    <row r="4494">
      <c r="A4494" s="62" t="n">
        <v>46221</v>
      </c>
      <c r="B4494" s="3" t="inlineStr">
        <is>
          <t>Sat</t>
        </is>
      </c>
      <c r="C4494" s="19" t="n">
        <v>7</v>
      </c>
      <c r="D4494" s="19" t="n">
        <v>2026</v>
      </c>
      <c r="E4494" s="57" t="n">
        <v>5</v>
      </c>
      <c r="F4494" s="29">
        <f>ROUND(((SUMIFS(Calendar!$F$2:$F$9997,Calendar!$B$2:$B$9997,D4494,Calendar!$C$2:$C$9997,C4494)*INDEX(ForeCalc!$B$37:$Y$274,MATCH(_xlfn.CONCAT(H4494," ",I4494),ForeCalc!$A$37:$A$274,0),MATCH(_xlfn.CONCAT(B4494," ",E4494),ForeCalc!$B$36:$Y$36,0))))*VLOOKUP(A4494,Calendar!$A$2:$H$9997,8,FALSE),0)</f>
        <v/>
      </c>
      <c r="G4494" s="29">
        <f>VLOOKUP(A4494,Calendar!$A$1:$H$9997,6,FALSE)-F4494</f>
        <v/>
      </c>
      <c r="H4494" s="19" t="n">
        <v>1</v>
      </c>
      <c r="I4494" s="57" t="n">
        <v>4</v>
      </c>
    </row>
    <row r="4495">
      <c r="A4495" s="62" t="n">
        <v>46222</v>
      </c>
      <c r="B4495" s="3" t="inlineStr">
        <is>
          <t>Sun</t>
        </is>
      </c>
      <c r="C4495" s="19" t="n">
        <v>7</v>
      </c>
      <c r="D4495" s="19" t="n">
        <v>2026</v>
      </c>
      <c r="E4495" s="57" t="n">
        <v>5</v>
      </c>
      <c r="F4495" s="29">
        <f>ROUND(((SUMIFS(Calendar!$F$2:$F$9997,Calendar!$B$2:$B$9997,D4495,Calendar!$C$2:$C$9997,C4495)*INDEX(ForeCalc!$B$37:$Y$274,MATCH(_xlfn.CONCAT(H4495," ",I4495),ForeCalc!$A$37:$A$274,0),MATCH(_xlfn.CONCAT(B4495," ",E4495),ForeCalc!$B$36:$Y$36,0))))*VLOOKUP(A4495,Calendar!$A$2:$H$9997,8,FALSE),0)</f>
        <v/>
      </c>
      <c r="G4495" s="29">
        <f>VLOOKUP(A4495,Calendar!$A$1:$H$9997,6,FALSE)-F4495</f>
        <v/>
      </c>
      <c r="H4495" s="19" t="n">
        <v>1</v>
      </c>
      <c r="I4495" s="57" t="n">
        <v>4</v>
      </c>
    </row>
    <row r="4496">
      <c r="A4496" s="62" t="n">
        <v>46223</v>
      </c>
      <c r="B4496" s="3" t="inlineStr">
        <is>
          <t>Week</t>
        </is>
      </c>
      <c r="C4496" s="19" t="n">
        <v>7</v>
      </c>
      <c r="D4496" s="19" t="n">
        <v>2026</v>
      </c>
      <c r="E4496" s="57" t="n">
        <v>5</v>
      </c>
      <c r="F4496" s="29">
        <f>ROUND(((SUMIFS(Calendar!$F$2:$F$9997,Calendar!$B$2:$B$9997,D4496,Calendar!$C$2:$C$9997,C4496)*INDEX(ForeCalc!$B$37:$Y$274,MATCH(_xlfn.CONCAT(H4496," ",I4496),ForeCalc!$A$37:$A$274,0),MATCH(_xlfn.CONCAT(B4496," ",E4496),ForeCalc!$B$36:$Y$36,0))))*VLOOKUP(A4496,Calendar!$A$2:$H$9997,8,FALSE),0)</f>
        <v/>
      </c>
      <c r="G4496" s="29">
        <f>VLOOKUP(A4496,Calendar!$A$1:$H$9997,6,FALSE)-F4496</f>
        <v/>
      </c>
      <c r="H4496" s="19" t="n">
        <v>1</v>
      </c>
      <c r="I4496" s="57" t="n">
        <v>4</v>
      </c>
    </row>
    <row r="4497">
      <c r="A4497" s="62" t="n">
        <v>46224</v>
      </c>
      <c r="B4497" s="3" t="inlineStr">
        <is>
          <t>Week</t>
        </is>
      </c>
      <c r="C4497" s="19" t="n">
        <v>7</v>
      </c>
      <c r="D4497" s="19" t="n">
        <v>2026</v>
      </c>
      <c r="E4497" s="57" t="n">
        <v>5</v>
      </c>
      <c r="F4497" s="29">
        <f>ROUND(((SUMIFS(Calendar!$F$2:$F$9997,Calendar!$B$2:$B$9997,D4497,Calendar!$C$2:$C$9997,C4497)*INDEX(ForeCalc!$B$37:$Y$274,MATCH(_xlfn.CONCAT(H4497," ",I4497),ForeCalc!$A$37:$A$274,0),MATCH(_xlfn.CONCAT(B4497," ",E4497),ForeCalc!$B$36:$Y$36,0))))*VLOOKUP(A4497,Calendar!$A$2:$H$9997,8,FALSE),0)</f>
        <v/>
      </c>
      <c r="G4497" s="29">
        <f>VLOOKUP(A4497,Calendar!$A$1:$H$9997,6,FALSE)-F4497</f>
        <v/>
      </c>
      <c r="H4497" s="19" t="n">
        <v>1</v>
      </c>
      <c r="I4497" s="57" t="n">
        <v>4</v>
      </c>
    </row>
    <row r="4498">
      <c r="A4498" s="62" t="n">
        <v>46225</v>
      </c>
      <c r="B4498" s="3" t="inlineStr">
        <is>
          <t>Week</t>
        </is>
      </c>
      <c r="C4498" s="19" t="n">
        <v>7</v>
      </c>
      <c r="D4498" s="19" t="n">
        <v>2026</v>
      </c>
      <c r="E4498" s="57" t="n">
        <v>5</v>
      </c>
      <c r="F4498" s="29">
        <f>ROUND(((SUMIFS(Calendar!$F$2:$F$9997,Calendar!$B$2:$B$9997,D4498,Calendar!$C$2:$C$9997,C4498)*INDEX(ForeCalc!$B$37:$Y$274,MATCH(_xlfn.CONCAT(H4498," ",I4498),ForeCalc!$A$37:$A$274,0),MATCH(_xlfn.CONCAT(B4498," ",E4498),ForeCalc!$B$36:$Y$36,0))))*VLOOKUP(A4498,Calendar!$A$2:$H$9997,8,FALSE),0)</f>
        <v/>
      </c>
      <c r="G4498" s="29">
        <f>VLOOKUP(A4498,Calendar!$A$1:$H$9997,6,FALSE)-F4498</f>
        <v/>
      </c>
      <c r="H4498" s="19" t="n">
        <v>1</v>
      </c>
      <c r="I4498" s="57" t="n">
        <v>4</v>
      </c>
    </row>
    <row r="4499">
      <c r="A4499" s="62" t="n">
        <v>46226</v>
      </c>
      <c r="B4499" s="3" t="inlineStr">
        <is>
          <t>Week</t>
        </is>
      </c>
      <c r="C4499" s="19" t="n">
        <v>7</v>
      </c>
      <c r="D4499" s="19" t="n">
        <v>2026</v>
      </c>
      <c r="E4499" s="57" t="n">
        <v>5</v>
      </c>
      <c r="F4499" s="29">
        <f>ROUND(((SUMIFS(Calendar!$F$2:$F$9997,Calendar!$B$2:$B$9997,D4499,Calendar!$C$2:$C$9997,C4499)*INDEX(ForeCalc!$B$37:$Y$274,MATCH(_xlfn.CONCAT(H4499," ",I4499),ForeCalc!$A$37:$A$274,0),MATCH(_xlfn.CONCAT(B4499," ",E4499),ForeCalc!$B$36:$Y$36,0))))*VLOOKUP(A4499,Calendar!$A$2:$H$9997,8,FALSE),0)</f>
        <v/>
      </c>
      <c r="G4499" s="29">
        <f>VLOOKUP(A4499,Calendar!$A$1:$H$9997,6,FALSE)-F4499</f>
        <v/>
      </c>
      <c r="H4499" s="19" t="n">
        <v>1</v>
      </c>
      <c r="I4499" s="57" t="n">
        <v>4</v>
      </c>
    </row>
    <row r="4500">
      <c r="A4500" s="62" t="n">
        <v>46227</v>
      </c>
      <c r="B4500" s="3" t="inlineStr">
        <is>
          <t>Week</t>
        </is>
      </c>
      <c r="C4500" s="19" t="n">
        <v>7</v>
      </c>
      <c r="D4500" s="19" t="n">
        <v>2026</v>
      </c>
      <c r="E4500" s="57" t="n">
        <v>5</v>
      </c>
      <c r="F4500" s="29">
        <f>ROUND(((SUMIFS(Calendar!$F$2:$F$9997,Calendar!$B$2:$B$9997,D4500,Calendar!$C$2:$C$9997,C4500)*INDEX(ForeCalc!$B$37:$Y$274,MATCH(_xlfn.CONCAT(H4500," ",I4500),ForeCalc!$A$37:$A$274,0),MATCH(_xlfn.CONCAT(B4500," ",E4500),ForeCalc!$B$36:$Y$36,0))))*VLOOKUP(A4500,Calendar!$A$2:$H$9997,8,FALSE),0)</f>
        <v/>
      </c>
      <c r="G4500" s="29">
        <f>VLOOKUP(A4500,Calendar!$A$1:$H$9997,6,FALSE)-F4500</f>
        <v/>
      </c>
      <c r="H4500" s="19" t="n">
        <v>1</v>
      </c>
      <c r="I4500" s="57" t="n">
        <v>4</v>
      </c>
    </row>
    <row r="4501">
      <c r="A4501" s="62" t="n">
        <v>46228</v>
      </c>
      <c r="B4501" s="3" t="inlineStr">
        <is>
          <t>Sat</t>
        </is>
      </c>
      <c r="C4501" s="19" t="n">
        <v>7</v>
      </c>
      <c r="D4501" s="19" t="n">
        <v>2026</v>
      </c>
      <c r="E4501" s="57" t="n">
        <v>5</v>
      </c>
      <c r="F4501" s="29">
        <f>ROUND(((SUMIFS(Calendar!$F$2:$F$9997,Calendar!$B$2:$B$9997,D4501,Calendar!$C$2:$C$9997,C4501)*INDEX(ForeCalc!$B$37:$Y$274,MATCH(_xlfn.CONCAT(H4501," ",I4501),ForeCalc!$A$37:$A$274,0),MATCH(_xlfn.CONCAT(B4501," ",E4501),ForeCalc!$B$36:$Y$36,0))))*VLOOKUP(A4501,Calendar!$A$2:$H$9997,8,FALSE),0)</f>
        <v/>
      </c>
      <c r="G4501" s="29">
        <f>VLOOKUP(A4501,Calendar!$A$1:$H$9997,6,FALSE)-F4501</f>
        <v/>
      </c>
      <c r="H4501" s="19" t="n">
        <v>1</v>
      </c>
      <c r="I4501" s="57" t="n">
        <v>4</v>
      </c>
    </row>
    <row r="4502">
      <c r="A4502" s="62" t="n">
        <v>46229</v>
      </c>
      <c r="B4502" s="3" t="inlineStr">
        <is>
          <t>Sun</t>
        </is>
      </c>
      <c r="C4502" s="19" t="n">
        <v>7</v>
      </c>
      <c r="D4502" s="19" t="n">
        <v>2026</v>
      </c>
      <c r="E4502" s="57" t="n">
        <v>5</v>
      </c>
      <c r="F4502" s="29">
        <f>ROUND(((SUMIFS(Calendar!$F$2:$F$9997,Calendar!$B$2:$B$9997,D4502,Calendar!$C$2:$C$9997,C4502)*INDEX(ForeCalc!$B$37:$Y$274,MATCH(_xlfn.CONCAT(H4502," ",I4502),ForeCalc!$A$37:$A$274,0),MATCH(_xlfn.CONCAT(B4502," ",E4502),ForeCalc!$B$36:$Y$36,0))))*VLOOKUP(A4502,Calendar!$A$2:$H$9997,8,FALSE),0)</f>
        <v/>
      </c>
      <c r="G4502" s="29">
        <f>VLOOKUP(A4502,Calendar!$A$1:$H$9997,6,FALSE)-F4502</f>
        <v/>
      </c>
      <c r="H4502" s="19" t="n">
        <v>1</v>
      </c>
      <c r="I4502" s="57" t="n">
        <v>4</v>
      </c>
    </row>
    <row r="4503">
      <c r="A4503" s="62" t="n">
        <v>46230</v>
      </c>
      <c r="B4503" s="3" t="inlineStr">
        <is>
          <t>Week</t>
        </is>
      </c>
      <c r="C4503" s="19" t="n">
        <v>7</v>
      </c>
      <c r="D4503" s="19" t="n">
        <v>2026</v>
      </c>
      <c r="E4503" s="57" t="n">
        <v>5</v>
      </c>
      <c r="F4503" s="29">
        <f>ROUND(((SUMIFS(Calendar!$F$2:$F$9997,Calendar!$B$2:$B$9997,D4503,Calendar!$C$2:$C$9997,C4503)*INDEX(ForeCalc!$B$37:$Y$274,MATCH(_xlfn.CONCAT(H4503," ",I4503),ForeCalc!$A$37:$A$274,0),MATCH(_xlfn.CONCAT(B4503," ",E4503),ForeCalc!$B$36:$Y$36,0))))*VLOOKUP(A4503,Calendar!$A$2:$H$9997,8,FALSE),0)</f>
        <v/>
      </c>
      <c r="G4503" s="29">
        <f>VLOOKUP(A4503,Calendar!$A$1:$H$9997,6,FALSE)-F4503</f>
        <v/>
      </c>
      <c r="H4503" s="19" t="n">
        <v>1</v>
      </c>
      <c r="I4503" s="57" t="n">
        <v>4</v>
      </c>
    </row>
    <row r="4504">
      <c r="A4504" s="62" t="n">
        <v>46231</v>
      </c>
      <c r="B4504" s="3" t="inlineStr">
        <is>
          <t>Week</t>
        </is>
      </c>
      <c r="C4504" s="19" t="n">
        <v>7</v>
      </c>
      <c r="D4504" s="19" t="n">
        <v>2026</v>
      </c>
      <c r="E4504" s="57" t="n">
        <v>5</v>
      </c>
      <c r="F4504" s="29">
        <f>ROUND(((SUMIFS(Calendar!$F$2:$F$9997,Calendar!$B$2:$B$9997,D4504,Calendar!$C$2:$C$9997,C4504)*INDEX(ForeCalc!$B$37:$Y$274,MATCH(_xlfn.CONCAT(H4504," ",I4504),ForeCalc!$A$37:$A$274,0),MATCH(_xlfn.CONCAT(B4504," ",E4504),ForeCalc!$B$36:$Y$36,0))))*VLOOKUP(A4504,Calendar!$A$2:$H$9997,8,FALSE),0)</f>
        <v/>
      </c>
      <c r="G4504" s="29">
        <f>VLOOKUP(A4504,Calendar!$A$1:$H$9997,6,FALSE)-F4504</f>
        <v/>
      </c>
      <c r="H4504" s="19" t="n">
        <v>1</v>
      </c>
      <c r="I4504" s="57" t="n">
        <v>4</v>
      </c>
    </row>
    <row r="4505">
      <c r="A4505" s="62" t="n">
        <v>46232</v>
      </c>
      <c r="B4505" s="3" t="inlineStr">
        <is>
          <t>Week</t>
        </is>
      </c>
      <c r="C4505" s="19" t="n">
        <v>7</v>
      </c>
      <c r="D4505" s="19" t="n">
        <v>2026</v>
      </c>
      <c r="E4505" s="57" t="n">
        <v>5</v>
      </c>
      <c r="F4505" s="29">
        <f>ROUND(((SUMIFS(Calendar!$F$2:$F$9997,Calendar!$B$2:$B$9997,D4505,Calendar!$C$2:$C$9997,C4505)*INDEX(ForeCalc!$B$37:$Y$274,MATCH(_xlfn.CONCAT(H4505," ",I4505),ForeCalc!$A$37:$A$274,0),MATCH(_xlfn.CONCAT(B4505," ",E4505),ForeCalc!$B$36:$Y$36,0))))*VLOOKUP(A4505,Calendar!$A$2:$H$9997,8,FALSE),0)</f>
        <v/>
      </c>
      <c r="G4505" s="29">
        <f>VLOOKUP(A4505,Calendar!$A$1:$H$9997,6,FALSE)-F4505</f>
        <v/>
      </c>
      <c r="H4505" s="19" t="n">
        <v>1</v>
      </c>
      <c r="I4505" s="57" t="n">
        <v>4</v>
      </c>
    </row>
    <row r="4506">
      <c r="A4506" s="62" t="n">
        <v>46233</v>
      </c>
      <c r="B4506" s="3" t="inlineStr">
        <is>
          <t>Week</t>
        </is>
      </c>
      <c r="C4506" s="19" t="n">
        <v>7</v>
      </c>
      <c r="D4506" s="19" t="n">
        <v>2026</v>
      </c>
      <c r="E4506" s="57" t="n">
        <v>5</v>
      </c>
      <c r="F4506" s="29">
        <f>ROUND(((SUMIFS(Calendar!$F$2:$F$9997,Calendar!$B$2:$B$9997,D4506,Calendar!$C$2:$C$9997,C4506)*INDEX(ForeCalc!$B$37:$Y$274,MATCH(_xlfn.CONCAT(H4506," ",I4506),ForeCalc!$A$37:$A$274,0),MATCH(_xlfn.CONCAT(B4506," ",E4506),ForeCalc!$B$36:$Y$36,0))))*VLOOKUP(A4506,Calendar!$A$2:$H$9997,8,FALSE),0)</f>
        <v/>
      </c>
      <c r="G4506" s="29">
        <f>VLOOKUP(A4506,Calendar!$A$1:$H$9997,6,FALSE)-F4506</f>
        <v/>
      </c>
      <c r="H4506" s="19" t="n">
        <v>1</v>
      </c>
      <c r="I4506" s="57" t="n">
        <v>4</v>
      </c>
    </row>
    <row r="4507">
      <c r="A4507" s="62" t="n">
        <v>46234</v>
      </c>
      <c r="B4507" s="3" t="inlineStr">
        <is>
          <t>Week</t>
        </is>
      </c>
      <c r="C4507" s="19" t="n">
        <v>7</v>
      </c>
      <c r="D4507" s="19" t="n">
        <v>2026</v>
      </c>
      <c r="E4507" s="57" t="n">
        <v>5</v>
      </c>
      <c r="F4507" s="29">
        <f>ROUND(((SUMIFS(Calendar!$F$2:$F$9997,Calendar!$B$2:$B$9997,D4507,Calendar!$C$2:$C$9997,C4507)*INDEX(ForeCalc!$B$37:$Y$274,MATCH(_xlfn.CONCAT(H4507," ",I4507),ForeCalc!$A$37:$A$274,0),MATCH(_xlfn.CONCAT(B4507," ",E4507),ForeCalc!$B$36:$Y$36,0))))*VLOOKUP(A4507,Calendar!$A$2:$H$9997,8,FALSE),0)</f>
        <v/>
      </c>
      <c r="G4507" s="29">
        <f>VLOOKUP(A4507,Calendar!$A$1:$H$9997,6,FALSE)-F4507</f>
        <v/>
      </c>
      <c r="H4507" s="19" t="n">
        <v>1</v>
      </c>
      <c r="I4507" s="57" t="n">
        <v>4</v>
      </c>
    </row>
    <row r="4508">
      <c r="A4508" s="62" t="n">
        <v>46235</v>
      </c>
      <c r="B4508" s="3" t="inlineStr">
        <is>
          <t>Sat</t>
        </is>
      </c>
      <c r="C4508" s="19" t="n">
        <v>8</v>
      </c>
      <c r="D4508" s="19" t="n">
        <v>2026</v>
      </c>
      <c r="E4508" s="57" t="n">
        <v>5</v>
      </c>
      <c r="F4508" s="29">
        <f>ROUND(((SUMIFS(Calendar!$F$2:$F$9997,Calendar!$B$2:$B$9997,D4508,Calendar!$C$2:$C$9997,C4508)*INDEX(ForeCalc!$B$37:$Y$274,MATCH(_xlfn.CONCAT(H4508," ",I4508),ForeCalc!$A$37:$A$274,0),MATCH(_xlfn.CONCAT(B4508," ",E4508),ForeCalc!$B$36:$Y$36,0))))*VLOOKUP(A4508,Calendar!$A$2:$H$9997,8,FALSE),0)</f>
        <v/>
      </c>
      <c r="G4508" s="29">
        <f>VLOOKUP(A4508,Calendar!$A$1:$H$9997,6,FALSE)-F4508</f>
        <v/>
      </c>
      <c r="H4508" s="19" t="n">
        <v>1</v>
      </c>
      <c r="I4508" s="57" t="n">
        <v>5</v>
      </c>
    </row>
    <row r="4509">
      <c r="A4509" s="62" t="n">
        <v>46236</v>
      </c>
      <c r="B4509" s="3" t="inlineStr">
        <is>
          <t>Sun</t>
        </is>
      </c>
      <c r="C4509" s="19" t="n">
        <v>8</v>
      </c>
      <c r="D4509" s="19" t="n">
        <v>2026</v>
      </c>
      <c r="E4509" s="57" t="n">
        <v>5</v>
      </c>
      <c r="F4509" s="29">
        <f>ROUND(((SUMIFS(Calendar!$F$2:$F$9997,Calendar!$B$2:$B$9997,D4509,Calendar!$C$2:$C$9997,C4509)*INDEX(ForeCalc!$B$37:$Y$274,MATCH(_xlfn.CONCAT(H4509," ",I4509),ForeCalc!$A$37:$A$274,0),MATCH(_xlfn.CONCAT(B4509," ",E4509),ForeCalc!$B$36:$Y$36,0))))*VLOOKUP(A4509,Calendar!$A$2:$H$9997,8,FALSE),0)</f>
        <v/>
      </c>
      <c r="G4509" s="29">
        <f>VLOOKUP(A4509,Calendar!$A$1:$H$9997,6,FALSE)-F4509</f>
        <v/>
      </c>
      <c r="H4509" s="19" t="n">
        <v>1</v>
      </c>
      <c r="I4509" s="57" t="n">
        <v>5</v>
      </c>
    </row>
    <row r="4510">
      <c r="A4510" s="62" t="n">
        <v>46237</v>
      </c>
      <c r="B4510" s="3" t="inlineStr">
        <is>
          <t>Week</t>
        </is>
      </c>
      <c r="C4510" s="19" t="n">
        <v>8</v>
      </c>
      <c r="D4510" s="19" t="n">
        <v>2026</v>
      </c>
      <c r="E4510" s="57" t="n">
        <v>5</v>
      </c>
      <c r="F4510" s="29">
        <f>ROUND(((SUMIFS(Calendar!$F$2:$F$9997,Calendar!$B$2:$B$9997,D4510,Calendar!$C$2:$C$9997,C4510)*INDEX(ForeCalc!$B$37:$Y$274,MATCH(_xlfn.CONCAT(H4510," ",I4510),ForeCalc!$A$37:$A$274,0),MATCH(_xlfn.CONCAT(B4510," ",E4510),ForeCalc!$B$36:$Y$36,0))))*VLOOKUP(A4510,Calendar!$A$2:$H$9997,8,FALSE),0)</f>
        <v/>
      </c>
      <c r="G4510" s="29">
        <f>VLOOKUP(A4510,Calendar!$A$1:$H$9997,6,FALSE)-F4510</f>
        <v/>
      </c>
      <c r="H4510" s="19" t="n">
        <v>1</v>
      </c>
      <c r="I4510" s="57" t="n">
        <v>5</v>
      </c>
    </row>
    <row r="4511">
      <c r="A4511" s="62" t="n">
        <v>46238</v>
      </c>
      <c r="B4511" s="3" t="inlineStr">
        <is>
          <t>Week</t>
        </is>
      </c>
      <c r="C4511" s="19" t="n">
        <v>8</v>
      </c>
      <c r="D4511" s="19" t="n">
        <v>2026</v>
      </c>
      <c r="E4511" s="57" t="n">
        <v>5</v>
      </c>
      <c r="F4511" s="29">
        <f>ROUND(((SUMIFS(Calendar!$F$2:$F$9997,Calendar!$B$2:$B$9997,D4511,Calendar!$C$2:$C$9997,C4511)*INDEX(ForeCalc!$B$37:$Y$274,MATCH(_xlfn.CONCAT(H4511," ",I4511),ForeCalc!$A$37:$A$274,0),MATCH(_xlfn.CONCAT(B4511," ",E4511),ForeCalc!$B$36:$Y$36,0))))*VLOOKUP(A4511,Calendar!$A$2:$H$9997,8,FALSE),0)</f>
        <v/>
      </c>
      <c r="G4511" s="29">
        <f>VLOOKUP(A4511,Calendar!$A$1:$H$9997,6,FALSE)-F4511</f>
        <v/>
      </c>
      <c r="H4511" s="19" t="n">
        <v>1</v>
      </c>
      <c r="I4511" s="57" t="n">
        <v>5</v>
      </c>
    </row>
    <row r="4512">
      <c r="A4512" s="62" t="n">
        <v>46239</v>
      </c>
      <c r="B4512" s="3" t="inlineStr">
        <is>
          <t>Week</t>
        </is>
      </c>
      <c r="C4512" s="19" t="n">
        <v>8</v>
      </c>
      <c r="D4512" s="19" t="n">
        <v>2026</v>
      </c>
      <c r="E4512" s="57" t="n">
        <v>5</v>
      </c>
      <c r="F4512" s="29">
        <f>ROUND(((SUMIFS(Calendar!$F$2:$F$9997,Calendar!$B$2:$B$9997,D4512,Calendar!$C$2:$C$9997,C4512)*INDEX(ForeCalc!$B$37:$Y$274,MATCH(_xlfn.CONCAT(H4512," ",I4512),ForeCalc!$A$37:$A$274,0),MATCH(_xlfn.CONCAT(B4512," ",E4512),ForeCalc!$B$36:$Y$36,0))))*VLOOKUP(A4512,Calendar!$A$2:$H$9997,8,FALSE),0)</f>
        <v/>
      </c>
      <c r="G4512" s="29">
        <f>VLOOKUP(A4512,Calendar!$A$1:$H$9997,6,FALSE)-F4512</f>
        <v/>
      </c>
      <c r="H4512" s="19" t="n">
        <v>1</v>
      </c>
      <c r="I4512" s="57" t="n">
        <v>5</v>
      </c>
    </row>
    <row r="4513">
      <c r="A4513" s="62" t="n">
        <v>46240</v>
      </c>
      <c r="B4513" s="3" t="inlineStr">
        <is>
          <t>Week</t>
        </is>
      </c>
      <c r="C4513" s="19" t="n">
        <v>8</v>
      </c>
      <c r="D4513" s="19" t="n">
        <v>2026</v>
      </c>
      <c r="E4513" s="57" t="n">
        <v>5</v>
      </c>
      <c r="F4513" s="29">
        <f>ROUND(((SUMIFS(Calendar!$F$2:$F$9997,Calendar!$B$2:$B$9997,D4513,Calendar!$C$2:$C$9997,C4513)*INDEX(ForeCalc!$B$37:$Y$274,MATCH(_xlfn.CONCAT(H4513," ",I4513),ForeCalc!$A$37:$A$274,0),MATCH(_xlfn.CONCAT(B4513," ",E4513),ForeCalc!$B$36:$Y$36,0))))*VLOOKUP(A4513,Calendar!$A$2:$H$9997,8,FALSE),0)</f>
        <v/>
      </c>
      <c r="G4513" s="29">
        <f>VLOOKUP(A4513,Calendar!$A$1:$H$9997,6,FALSE)-F4513</f>
        <v/>
      </c>
      <c r="H4513" s="19" t="n">
        <v>1</v>
      </c>
      <c r="I4513" s="57" t="n">
        <v>5</v>
      </c>
    </row>
    <row r="4514">
      <c r="A4514" s="62" t="n">
        <v>46241</v>
      </c>
      <c r="B4514" s="3" t="inlineStr">
        <is>
          <t>Week</t>
        </is>
      </c>
      <c r="C4514" s="19" t="n">
        <v>8</v>
      </c>
      <c r="D4514" s="19" t="n">
        <v>2026</v>
      </c>
      <c r="E4514" s="57" t="n">
        <v>5</v>
      </c>
      <c r="F4514" s="29">
        <f>ROUND(((SUMIFS(Calendar!$F$2:$F$9997,Calendar!$B$2:$B$9997,D4514,Calendar!$C$2:$C$9997,C4514)*INDEX(ForeCalc!$B$37:$Y$274,MATCH(_xlfn.CONCAT(H4514," ",I4514),ForeCalc!$A$37:$A$274,0),MATCH(_xlfn.CONCAT(B4514," ",E4514),ForeCalc!$B$36:$Y$36,0))))*VLOOKUP(A4514,Calendar!$A$2:$H$9997,8,FALSE),0)</f>
        <v/>
      </c>
      <c r="G4514" s="29">
        <f>VLOOKUP(A4514,Calendar!$A$1:$H$9997,6,FALSE)-F4514</f>
        <v/>
      </c>
      <c r="H4514" s="19" t="n">
        <v>1</v>
      </c>
      <c r="I4514" s="57" t="n">
        <v>5</v>
      </c>
    </row>
    <row r="4515">
      <c r="A4515" s="62" t="n">
        <v>46242</v>
      </c>
      <c r="B4515" s="3" t="inlineStr">
        <is>
          <t>Sat</t>
        </is>
      </c>
      <c r="C4515" s="19" t="n">
        <v>8</v>
      </c>
      <c r="D4515" s="19" t="n">
        <v>2026</v>
      </c>
      <c r="E4515" s="57" t="n">
        <v>5</v>
      </c>
      <c r="F4515" s="29">
        <f>ROUND(((SUMIFS(Calendar!$F$2:$F$9997,Calendar!$B$2:$B$9997,D4515,Calendar!$C$2:$C$9997,C4515)*INDEX(ForeCalc!$B$37:$Y$274,MATCH(_xlfn.CONCAT(H4515," ",I4515),ForeCalc!$A$37:$A$274,0),MATCH(_xlfn.CONCAT(B4515," ",E4515),ForeCalc!$B$36:$Y$36,0))))*VLOOKUP(A4515,Calendar!$A$2:$H$9997,8,FALSE),0)</f>
        <v/>
      </c>
      <c r="G4515" s="29">
        <f>VLOOKUP(A4515,Calendar!$A$1:$H$9997,6,FALSE)-F4515</f>
        <v/>
      </c>
      <c r="H4515" s="19" t="n">
        <v>1</v>
      </c>
      <c r="I4515" s="57" t="n">
        <v>5</v>
      </c>
    </row>
    <row r="4516">
      <c r="A4516" s="62" t="n">
        <v>46243</v>
      </c>
      <c r="B4516" s="3" t="inlineStr">
        <is>
          <t>Sun</t>
        </is>
      </c>
      <c r="C4516" s="19" t="n">
        <v>8</v>
      </c>
      <c r="D4516" s="19" t="n">
        <v>2026</v>
      </c>
      <c r="E4516" s="57" t="n">
        <v>5</v>
      </c>
      <c r="F4516" s="29">
        <f>ROUND(((SUMIFS(Calendar!$F$2:$F$9997,Calendar!$B$2:$B$9997,D4516,Calendar!$C$2:$C$9997,C4516)*INDEX(ForeCalc!$B$37:$Y$274,MATCH(_xlfn.CONCAT(H4516," ",I4516),ForeCalc!$A$37:$A$274,0),MATCH(_xlfn.CONCAT(B4516," ",E4516),ForeCalc!$B$36:$Y$36,0))))*VLOOKUP(A4516,Calendar!$A$2:$H$9997,8,FALSE),0)</f>
        <v/>
      </c>
      <c r="G4516" s="29">
        <f>VLOOKUP(A4516,Calendar!$A$1:$H$9997,6,FALSE)-F4516</f>
        <v/>
      </c>
      <c r="H4516" s="19" t="n">
        <v>1</v>
      </c>
      <c r="I4516" s="57" t="n">
        <v>5</v>
      </c>
    </row>
    <row r="4517">
      <c r="A4517" s="62" t="n">
        <v>46244</v>
      </c>
      <c r="B4517" s="3" t="inlineStr">
        <is>
          <t>Week</t>
        </is>
      </c>
      <c r="C4517" s="19" t="n">
        <v>8</v>
      </c>
      <c r="D4517" s="19" t="n">
        <v>2026</v>
      </c>
      <c r="E4517" s="57" t="n">
        <v>5</v>
      </c>
      <c r="F4517" s="29">
        <f>ROUND(((SUMIFS(Calendar!$F$2:$F$9997,Calendar!$B$2:$B$9997,D4517,Calendar!$C$2:$C$9997,C4517)*INDEX(ForeCalc!$B$37:$Y$274,MATCH(_xlfn.CONCAT(H4517," ",I4517),ForeCalc!$A$37:$A$274,0),MATCH(_xlfn.CONCAT(B4517," ",E4517),ForeCalc!$B$36:$Y$36,0))))*VLOOKUP(A4517,Calendar!$A$2:$H$9997,8,FALSE),0)</f>
        <v/>
      </c>
      <c r="G4517" s="29">
        <f>VLOOKUP(A4517,Calendar!$A$1:$H$9997,6,FALSE)-F4517</f>
        <v/>
      </c>
      <c r="H4517" s="19" t="n">
        <v>1</v>
      </c>
      <c r="I4517" s="57" t="n">
        <v>5</v>
      </c>
    </row>
    <row r="4518">
      <c r="A4518" s="62" t="n">
        <v>46245</v>
      </c>
      <c r="B4518" s="3" t="inlineStr">
        <is>
          <t>Week</t>
        </is>
      </c>
      <c r="C4518" s="19" t="n">
        <v>8</v>
      </c>
      <c r="D4518" s="19" t="n">
        <v>2026</v>
      </c>
      <c r="E4518" s="57" t="n">
        <v>5</v>
      </c>
      <c r="F4518" s="29">
        <f>ROUND(((SUMIFS(Calendar!$F$2:$F$9997,Calendar!$B$2:$B$9997,D4518,Calendar!$C$2:$C$9997,C4518)*INDEX(ForeCalc!$B$37:$Y$274,MATCH(_xlfn.CONCAT(H4518," ",I4518),ForeCalc!$A$37:$A$274,0),MATCH(_xlfn.CONCAT(B4518," ",E4518),ForeCalc!$B$36:$Y$36,0))))*VLOOKUP(A4518,Calendar!$A$2:$H$9997,8,FALSE),0)</f>
        <v/>
      </c>
      <c r="G4518" s="29">
        <f>VLOOKUP(A4518,Calendar!$A$1:$H$9997,6,FALSE)-F4518</f>
        <v/>
      </c>
      <c r="H4518" s="19" t="n">
        <v>1</v>
      </c>
      <c r="I4518" s="57" t="n">
        <v>5</v>
      </c>
    </row>
    <row r="4519">
      <c r="A4519" s="62" t="n">
        <v>46246</v>
      </c>
      <c r="B4519" s="3" t="inlineStr">
        <is>
          <t>Week</t>
        </is>
      </c>
      <c r="C4519" s="19" t="n">
        <v>8</v>
      </c>
      <c r="D4519" s="19" t="n">
        <v>2026</v>
      </c>
      <c r="E4519" s="57" t="n">
        <v>5</v>
      </c>
      <c r="F4519" s="29">
        <f>ROUND(((SUMIFS(Calendar!$F$2:$F$9997,Calendar!$B$2:$B$9997,D4519,Calendar!$C$2:$C$9997,C4519)*INDEX(ForeCalc!$B$37:$Y$274,MATCH(_xlfn.CONCAT(H4519," ",I4519),ForeCalc!$A$37:$A$274,0),MATCH(_xlfn.CONCAT(B4519," ",E4519),ForeCalc!$B$36:$Y$36,0))))*VLOOKUP(A4519,Calendar!$A$2:$H$9997,8,FALSE),0)</f>
        <v/>
      </c>
      <c r="G4519" s="29">
        <f>VLOOKUP(A4519,Calendar!$A$1:$H$9997,6,FALSE)-F4519</f>
        <v/>
      </c>
      <c r="H4519" s="19" t="n">
        <v>1</v>
      </c>
      <c r="I4519" s="57" t="n">
        <v>5</v>
      </c>
    </row>
    <row r="4520">
      <c r="A4520" s="62" t="n">
        <v>46247</v>
      </c>
      <c r="B4520" s="3" t="inlineStr">
        <is>
          <t>Week</t>
        </is>
      </c>
      <c r="C4520" s="19" t="n">
        <v>8</v>
      </c>
      <c r="D4520" s="19" t="n">
        <v>2026</v>
      </c>
      <c r="E4520" s="57" t="n">
        <v>5</v>
      </c>
      <c r="F4520" s="29">
        <f>ROUND(((SUMIFS(Calendar!$F$2:$F$9997,Calendar!$B$2:$B$9997,D4520,Calendar!$C$2:$C$9997,C4520)*INDEX(ForeCalc!$B$37:$Y$274,MATCH(_xlfn.CONCAT(H4520," ",I4520),ForeCalc!$A$37:$A$274,0),MATCH(_xlfn.CONCAT(B4520," ",E4520),ForeCalc!$B$36:$Y$36,0))))*VLOOKUP(A4520,Calendar!$A$2:$H$9997,8,FALSE),0)</f>
        <v/>
      </c>
      <c r="G4520" s="29">
        <f>VLOOKUP(A4520,Calendar!$A$1:$H$9997,6,FALSE)-F4520</f>
        <v/>
      </c>
      <c r="H4520" s="19" t="n">
        <v>1</v>
      </c>
      <c r="I4520" s="57" t="n">
        <v>5</v>
      </c>
    </row>
    <row r="4521">
      <c r="A4521" s="62" t="n">
        <v>46248</v>
      </c>
      <c r="B4521" s="3" t="inlineStr">
        <is>
          <t>Week</t>
        </is>
      </c>
      <c r="C4521" s="19" t="n">
        <v>8</v>
      </c>
      <c r="D4521" s="19" t="n">
        <v>2026</v>
      </c>
      <c r="E4521" s="57" t="n">
        <v>5</v>
      </c>
      <c r="F4521" s="29">
        <f>ROUND(((SUMIFS(Calendar!$F$2:$F$9997,Calendar!$B$2:$B$9997,D4521,Calendar!$C$2:$C$9997,C4521)*INDEX(ForeCalc!$B$37:$Y$274,MATCH(_xlfn.CONCAT(H4521," ",I4521),ForeCalc!$A$37:$A$274,0),MATCH(_xlfn.CONCAT(B4521," ",E4521),ForeCalc!$B$36:$Y$36,0))))*VLOOKUP(A4521,Calendar!$A$2:$H$9997,8,FALSE),0)</f>
        <v/>
      </c>
      <c r="G4521" s="29">
        <f>VLOOKUP(A4521,Calendar!$A$1:$H$9997,6,FALSE)-F4521</f>
        <v/>
      </c>
      <c r="H4521" s="19" t="n">
        <v>1</v>
      </c>
      <c r="I4521" s="57" t="n">
        <v>5</v>
      </c>
    </row>
    <row r="4522">
      <c r="A4522" s="62" t="n">
        <v>46249</v>
      </c>
      <c r="B4522" s="3" t="inlineStr">
        <is>
          <t>Sat</t>
        </is>
      </c>
      <c r="C4522" s="19" t="n">
        <v>8</v>
      </c>
      <c r="D4522" s="19" t="n">
        <v>2026</v>
      </c>
      <c r="E4522" s="57" t="n">
        <v>5</v>
      </c>
      <c r="F4522" s="29">
        <f>ROUND(((SUMIFS(Calendar!$F$2:$F$9997,Calendar!$B$2:$B$9997,D4522,Calendar!$C$2:$C$9997,C4522)*INDEX(ForeCalc!$B$37:$Y$274,MATCH(_xlfn.CONCAT(H4522," ",I4522),ForeCalc!$A$37:$A$274,0),MATCH(_xlfn.CONCAT(B4522," ",E4522),ForeCalc!$B$36:$Y$36,0))))*VLOOKUP(A4522,Calendar!$A$2:$H$9997,8,FALSE),0)</f>
        <v/>
      </c>
      <c r="G4522" s="29">
        <f>VLOOKUP(A4522,Calendar!$A$1:$H$9997,6,FALSE)-F4522</f>
        <v/>
      </c>
      <c r="H4522" s="19" t="n">
        <v>1</v>
      </c>
      <c r="I4522" s="57" t="n">
        <v>5</v>
      </c>
    </row>
    <row r="4523">
      <c r="A4523" s="62" t="n">
        <v>46250</v>
      </c>
      <c r="B4523" s="3" t="inlineStr">
        <is>
          <t>Sun</t>
        </is>
      </c>
      <c r="C4523" s="19" t="n">
        <v>8</v>
      </c>
      <c r="D4523" s="19" t="n">
        <v>2026</v>
      </c>
      <c r="E4523" s="57" t="n">
        <v>5</v>
      </c>
      <c r="F4523" s="29">
        <f>ROUND(((SUMIFS(Calendar!$F$2:$F$9997,Calendar!$B$2:$B$9997,D4523,Calendar!$C$2:$C$9997,C4523)*INDEX(ForeCalc!$B$37:$Y$274,MATCH(_xlfn.CONCAT(H4523," ",I4523),ForeCalc!$A$37:$A$274,0),MATCH(_xlfn.CONCAT(B4523," ",E4523),ForeCalc!$B$36:$Y$36,0))))*VLOOKUP(A4523,Calendar!$A$2:$H$9997,8,FALSE),0)</f>
        <v/>
      </c>
      <c r="G4523" s="29">
        <f>VLOOKUP(A4523,Calendar!$A$1:$H$9997,6,FALSE)-F4523</f>
        <v/>
      </c>
      <c r="H4523" s="19" t="n">
        <v>1</v>
      </c>
      <c r="I4523" s="57" t="n">
        <v>5</v>
      </c>
    </row>
    <row r="4524">
      <c r="A4524" s="62" t="n">
        <v>46251</v>
      </c>
      <c r="B4524" s="3" t="inlineStr">
        <is>
          <t>Week</t>
        </is>
      </c>
      <c r="C4524" s="19" t="n">
        <v>8</v>
      </c>
      <c r="D4524" s="19" t="n">
        <v>2026</v>
      </c>
      <c r="E4524" s="57" t="n">
        <v>5</v>
      </c>
      <c r="F4524" s="29">
        <f>ROUND(((SUMIFS(Calendar!$F$2:$F$9997,Calendar!$B$2:$B$9997,D4524,Calendar!$C$2:$C$9997,C4524)*INDEX(ForeCalc!$B$37:$Y$274,MATCH(_xlfn.CONCAT(H4524," ",I4524),ForeCalc!$A$37:$A$274,0),MATCH(_xlfn.CONCAT(B4524," ",E4524),ForeCalc!$B$36:$Y$36,0))))*VLOOKUP(A4524,Calendar!$A$2:$H$9997,8,FALSE),0)</f>
        <v/>
      </c>
      <c r="G4524" s="29">
        <f>VLOOKUP(A4524,Calendar!$A$1:$H$9997,6,FALSE)-F4524</f>
        <v/>
      </c>
      <c r="H4524" s="19" t="n">
        <v>1</v>
      </c>
      <c r="I4524" s="57" t="n">
        <v>5</v>
      </c>
    </row>
    <row r="4525">
      <c r="A4525" s="62" t="n">
        <v>46252</v>
      </c>
      <c r="B4525" s="3" t="inlineStr">
        <is>
          <t>Week</t>
        </is>
      </c>
      <c r="C4525" s="19" t="n">
        <v>8</v>
      </c>
      <c r="D4525" s="19" t="n">
        <v>2026</v>
      </c>
      <c r="E4525" s="57" t="n">
        <v>5</v>
      </c>
      <c r="F4525" s="29">
        <f>ROUND(((SUMIFS(Calendar!$F$2:$F$9997,Calendar!$B$2:$B$9997,D4525,Calendar!$C$2:$C$9997,C4525)*INDEX(ForeCalc!$B$37:$Y$274,MATCH(_xlfn.CONCAT(H4525," ",I4525),ForeCalc!$A$37:$A$274,0),MATCH(_xlfn.CONCAT(B4525," ",E4525),ForeCalc!$B$36:$Y$36,0))))*VLOOKUP(A4525,Calendar!$A$2:$H$9997,8,FALSE),0)</f>
        <v/>
      </c>
      <c r="G4525" s="29">
        <f>VLOOKUP(A4525,Calendar!$A$1:$H$9997,6,FALSE)-F4525</f>
        <v/>
      </c>
      <c r="H4525" s="19" t="n">
        <v>1</v>
      </c>
      <c r="I4525" s="57" t="n">
        <v>5</v>
      </c>
    </row>
    <row r="4526">
      <c r="A4526" s="62" t="n">
        <v>46253</v>
      </c>
      <c r="B4526" s="3" t="inlineStr">
        <is>
          <t>Week</t>
        </is>
      </c>
      <c r="C4526" s="19" t="n">
        <v>8</v>
      </c>
      <c r="D4526" s="19" t="n">
        <v>2026</v>
      </c>
      <c r="E4526" s="57" t="n">
        <v>5</v>
      </c>
      <c r="F4526" s="29">
        <f>ROUND(((SUMIFS(Calendar!$F$2:$F$9997,Calendar!$B$2:$B$9997,D4526,Calendar!$C$2:$C$9997,C4526)*INDEX(ForeCalc!$B$37:$Y$274,MATCH(_xlfn.CONCAT(H4526," ",I4526),ForeCalc!$A$37:$A$274,0),MATCH(_xlfn.CONCAT(B4526," ",E4526),ForeCalc!$B$36:$Y$36,0))))*VLOOKUP(A4526,Calendar!$A$2:$H$9997,8,FALSE),0)</f>
        <v/>
      </c>
      <c r="G4526" s="29">
        <f>VLOOKUP(A4526,Calendar!$A$1:$H$9997,6,FALSE)-F4526</f>
        <v/>
      </c>
      <c r="H4526" s="19" t="n">
        <v>1</v>
      </c>
      <c r="I4526" s="57" t="n">
        <v>5</v>
      </c>
    </row>
    <row r="4527">
      <c r="A4527" s="62" t="n">
        <v>46254</v>
      </c>
      <c r="B4527" s="3" t="inlineStr">
        <is>
          <t>Week</t>
        </is>
      </c>
      <c r="C4527" s="19" t="n">
        <v>8</v>
      </c>
      <c r="D4527" s="19" t="n">
        <v>2026</v>
      </c>
      <c r="E4527" s="57" t="n">
        <v>5</v>
      </c>
      <c r="F4527" s="29">
        <f>ROUND(((SUMIFS(Calendar!$F$2:$F$9997,Calendar!$B$2:$B$9997,D4527,Calendar!$C$2:$C$9997,C4527)*INDEX(ForeCalc!$B$37:$Y$274,MATCH(_xlfn.CONCAT(H4527," ",I4527),ForeCalc!$A$37:$A$274,0),MATCH(_xlfn.CONCAT(B4527," ",E4527),ForeCalc!$B$36:$Y$36,0))))*VLOOKUP(A4527,Calendar!$A$2:$H$9997,8,FALSE),0)</f>
        <v/>
      </c>
      <c r="G4527" s="29">
        <f>VLOOKUP(A4527,Calendar!$A$1:$H$9997,6,FALSE)-F4527</f>
        <v/>
      </c>
      <c r="H4527" s="19" t="n">
        <v>1</v>
      </c>
      <c r="I4527" s="57" t="n">
        <v>5</v>
      </c>
    </row>
    <row r="4528">
      <c r="A4528" s="62" t="n">
        <v>46255</v>
      </c>
      <c r="B4528" s="3" t="inlineStr">
        <is>
          <t>Week</t>
        </is>
      </c>
      <c r="C4528" s="19" t="n">
        <v>8</v>
      </c>
      <c r="D4528" s="19" t="n">
        <v>2026</v>
      </c>
      <c r="E4528" s="57" t="n">
        <v>5</v>
      </c>
      <c r="F4528" s="29">
        <f>ROUND(((SUMIFS(Calendar!$F$2:$F$9997,Calendar!$B$2:$B$9997,D4528,Calendar!$C$2:$C$9997,C4528)*INDEX(ForeCalc!$B$37:$Y$274,MATCH(_xlfn.CONCAT(H4528," ",I4528),ForeCalc!$A$37:$A$274,0),MATCH(_xlfn.CONCAT(B4528," ",E4528),ForeCalc!$B$36:$Y$36,0))))*VLOOKUP(A4528,Calendar!$A$2:$H$9997,8,FALSE),0)</f>
        <v/>
      </c>
      <c r="G4528" s="29">
        <f>VLOOKUP(A4528,Calendar!$A$1:$H$9997,6,FALSE)-F4528</f>
        <v/>
      </c>
      <c r="H4528" s="19" t="n">
        <v>1</v>
      </c>
      <c r="I4528" s="57" t="n">
        <v>5</v>
      </c>
    </row>
    <row r="4529">
      <c r="A4529" s="62" t="n">
        <v>46256</v>
      </c>
      <c r="B4529" s="3" t="inlineStr">
        <is>
          <t>Sat</t>
        </is>
      </c>
      <c r="C4529" s="19" t="n">
        <v>8</v>
      </c>
      <c r="D4529" s="19" t="n">
        <v>2026</v>
      </c>
      <c r="E4529" s="57" t="n">
        <v>5</v>
      </c>
      <c r="F4529" s="29">
        <f>ROUND(((SUMIFS(Calendar!$F$2:$F$9997,Calendar!$B$2:$B$9997,D4529,Calendar!$C$2:$C$9997,C4529)*INDEX(ForeCalc!$B$37:$Y$274,MATCH(_xlfn.CONCAT(H4529," ",I4529),ForeCalc!$A$37:$A$274,0),MATCH(_xlfn.CONCAT(B4529," ",E4529),ForeCalc!$B$36:$Y$36,0))))*VLOOKUP(A4529,Calendar!$A$2:$H$9997,8,FALSE),0)</f>
        <v/>
      </c>
      <c r="G4529" s="29">
        <f>VLOOKUP(A4529,Calendar!$A$1:$H$9997,6,FALSE)-F4529</f>
        <v/>
      </c>
      <c r="H4529" s="19" t="n">
        <v>1</v>
      </c>
      <c r="I4529" s="57" t="n">
        <v>5</v>
      </c>
    </row>
    <row r="4530">
      <c r="A4530" s="62" t="n">
        <v>46257</v>
      </c>
      <c r="B4530" s="3" t="inlineStr">
        <is>
          <t>Sun</t>
        </is>
      </c>
      <c r="C4530" s="19" t="n">
        <v>8</v>
      </c>
      <c r="D4530" s="19" t="n">
        <v>2026</v>
      </c>
      <c r="E4530" s="57" t="n">
        <v>5</v>
      </c>
      <c r="F4530" s="29">
        <f>ROUND(((SUMIFS(Calendar!$F$2:$F$9997,Calendar!$B$2:$B$9997,D4530,Calendar!$C$2:$C$9997,C4530)*INDEX(ForeCalc!$B$37:$Y$274,MATCH(_xlfn.CONCAT(H4530," ",I4530),ForeCalc!$A$37:$A$274,0),MATCH(_xlfn.CONCAT(B4530," ",E4530),ForeCalc!$B$36:$Y$36,0))))*VLOOKUP(A4530,Calendar!$A$2:$H$9997,8,FALSE),0)</f>
        <v/>
      </c>
      <c r="G4530" s="29">
        <f>VLOOKUP(A4530,Calendar!$A$1:$H$9997,6,FALSE)-F4530</f>
        <v/>
      </c>
      <c r="H4530" s="19" t="n">
        <v>1</v>
      </c>
      <c r="I4530" s="57" t="n">
        <v>5</v>
      </c>
    </row>
    <row r="4531">
      <c r="A4531" s="62" t="n">
        <v>46258</v>
      </c>
      <c r="B4531" s="3" t="inlineStr">
        <is>
          <t>Week</t>
        </is>
      </c>
      <c r="C4531" s="19" t="n">
        <v>8</v>
      </c>
      <c r="D4531" s="19" t="n">
        <v>2026</v>
      </c>
      <c r="E4531" s="57" t="n">
        <v>5</v>
      </c>
      <c r="F4531" s="29">
        <f>ROUND(((SUMIFS(Calendar!$F$2:$F$9997,Calendar!$B$2:$B$9997,D4531,Calendar!$C$2:$C$9997,C4531)*INDEX(ForeCalc!$B$37:$Y$274,MATCH(_xlfn.CONCAT(H4531," ",I4531),ForeCalc!$A$37:$A$274,0),MATCH(_xlfn.CONCAT(B4531," ",E4531),ForeCalc!$B$36:$Y$36,0))))*VLOOKUP(A4531,Calendar!$A$2:$H$9997,8,FALSE),0)</f>
        <v/>
      </c>
      <c r="G4531" s="29">
        <f>VLOOKUP(A4531,Calendar!$A$1:$H$9997,6,FALSE)-F4531</f>
        <v/>
      </c>
      <c r="H4531" s="19" t="n">
        <v>1</v>
      </c>
      <c r="I4531" s="57" t="n">
        <v>5</v>
      </c>
    </row>
    <row r="4532">
      <c r="A4532" s="62" t="n">
        <v>46259</v>
      </c>
      <c r="B4532" s="3" t="inlineStr">
        <is>
          <t>Week</t>
        </is>
      </c>
      <c r="C4532" s="19" t="n">
        <v>8</v>
      </c>
      <c r="D4532" s="19" t="n">
        <v>2026</v>
      </c>
      <c r="E4532" s="57" t="n">
        <v>5</v>
      </c>
      <c r="F4532" s="29">
        <f>ROUND(((SUMIFS(Calendar!$F$2:$F$9997,Calendar!$B$2:$B$9997,D4532,Calendar!$C$2:$C$9997,C4532)*INDEX(ForeCalc!$B$37:$Y$274,MATCH(_xlfn.CONCAT(H4532," ",I4532),ForeCalc!$A$37:$A$274,0),MATCH(_xlfn.CONCAT(B4532," ",E4532),ForeCalc!$B$36:$Y$36,0))))*VLOOKUP(A4532,Calendar!$A$2:$H$9997,8,FALSE),0)</f>
        <v/>
      </c>
      <c r="G4532" s="29">
        <f>VLOOKUP(A4532,Calendar!$A$1:$H$9997,6,FALSE)-F4532</f>
        <v/>
      </c>
      <c r="H4532" s="19" t="n">
        <v>1</v>
      </c>
      <c r="I4532" s="57" t="n">
        <v>5</v>
      </c>
    </row>
    <row r="4533">
      <c r="A4533" s="62" t="n">
        <v>46260</v>
      </c>
      <c r="B4533" s="3" t="inlineStr">
        <is>
          <t>Week</t>
        </is>
      </c>
      <c r="C4533" s="19" t="n">
        <v>8</v>
      </c>
      <c r="D4533" s="19" t="n">
        <v>2026</v>
      </c>
      <c r="E4533" s="57" t="n">
        <v>5</v>
      </c>
      <c r="F4533" s="29">
        <f>ROUND(((SUMIFS(Calendar!$F$2:$F$9997,Calendar!$B$2:$B$9997,D4533,Calendar!$C$2:$C$9997,C4533)*INDEX(ForeCalc!$B$37:$Y$274,MATCH(_xlfn.CONCAT(H4533," ",I4533),ForeCalc!$A$37:$A$274,0),MATCH(_xlfn.CONCAT(B4533," ",E4533),ForeCalc!$B$36:$Y$36,0))))*VLOOKUP(A4533,Calendar!$A$2:$H$9997,8,FALSE),0)</f>
        <v/>
      </c>
      <c r="G4533" s="29">
        <f>VLOOKUP(A4533,Calendar!$A$1:$H$9997,6,FALSE)-F4533</f>
        <v/>
      </c>
      <c r="H4533" s="19" t="n">
        <v>1</v>
      </c>
      <c r="I4533" s="57" t="n">
        <v>5</v>
      </c>
    </row>
    <row r="4534">
      <c r="A4534" s="62" t="n">
        <v>46261</v>
      </c>
      <c r="B4534" s="3" t="inlineStr">
        <is>
          <t>Week</t>
        </is>
      </c>
      <c r="C4534" s="19" t="n">
        <v>8</v>
      </c>
      <c r="D4534" s="19" t="n">
        <v>2026</v>
      </c>
      <c r="E4534" s="57" t="n">
        <v>5</v>
      </c>
      <c r="F4534" s="29">
        <f>ROUND(((SUMIFS(Calendar!$F$2:$F$9997,Calendar!$B$2:$B$9997,D4534,Calendar!$C$2:$C$9997,C4534)*INDEX(ForeCalc!$B$37:$Y$274,MATCH(_xlfn.CONCAT(H4534," ",I4534),ForeCalc!$A$37:$A$274,0),MATCH(_xlfn.CONCAT(B4534," ",E4534),ForeCalc!$B$36:$Y$36,0))))*VLOOKUP(A4534,Calendar!$A$2:$H$9997,8,FALSE),0)</f>
        <v/>
      </c>
      <c r="G4534" s="29">
        <f>VLOOKUP(A4534,Calendar!$A$1:$H$9997,6,FALSE)-F4534</f>
        <v/>
      </c>
      <c r="H4534" s="19" t="n">
        <v>1</v>
      </c>
      <c r="I4534" s="57" t="n">
        <v>5</v>
      </c>
    </row>
    <row r="4535">
      <c r="A4535" s="62" t="n">
        <v>46262</v>
      </c>
      <c r="B4535" s="3" t="inlineStr">
        <is>
          <t>Week</t>
        </is>
      </c>
      <c r="C4535" s="19" t="n">
        <v>8</v>
      </c>
      <c r="D4535" s="19" t="n">
        <v>2026</v>
      </c>
      <c r="E4535" s="57" t="n">
        <v>5</v>
      </c>
      <c r="F4535" s="29">
        <f>ROUND(((SUMIFS(Calendar!$F$2:$F$9997,Calendar!$B$2:$B$9997,D4535,Calendar!$C$2:$C$9997,C4535)*INDEX(ForeCalc!$B$37:$Y$274,MATCH(_xlfn.CONCAT(H4535," ",I4535),ForeCalc!$A$37:$A$274,0),MATCH(_xlfn.CONCAT(B4535," ",E4535),ForeCalc!$B$36:$Y$36,0))))*VLOOKUP(A4535,Calendar!$A$2:$H$9997,8,FALSE),0)</f>
        <v/>
      </c>
      <c r="G4535" s="29">
        <f>VLOOKUP(A4535,Calendar!$A$1:$H$9997,6,FALSE)-F4535</f>
        <v/>
      </c>
      <c r="H4535" s="19" t="n">
        <v>1</v>
      </c>
      <c r="I4535" s="57" t="n">
        <v>5</v>
      </c>
    </row>
    <row r="4536">
      <c r="A4536" s="62" t="n">
        <v>46263</v>
      </c>
      <c r="B4536" s="3" t="inlineStr">
        <is>
          <t>Sat</t>
        </is>
      </c>
      <c r="C4536" s="19" t="n">
        <v>8</v>
      </c>
      <c r="D4536" s="19" t="n">
        <v>2026</v>
      </c>
      <c r="E4536" s="57" t="n">
        <v>5</v>
      </c>
      <c r="F4536" s="29">
        <f>ROUND(((SUMIFS(Calendar!$F$2:$F$9997,Calendar!$B$2:$B$9997,D4536,Calendar!$C$2:$C$9997,C4536)*INDEX(ForeCalc!$B$37:$Y$274,MATCH(_xlfn.CONCAT(H4536," ",I4536),ForeCalc!$A$37:$A$274,0),MATCH(_xlfn.CONCAT(B4536," ",E4536),ForeCalc!$B$36:$Y$36,0))))*VLOOKUP(A4536,Calendar!$A$2:$H$9997,8,FALSE),0)</f>
        <v/>
      </c>
      <c r="G4536" s="29">
        <f>VLOOKUP(A4536,Calendar!$A$1:$H$9997,6,FALSE)-F4536</f>
        <v/>
      </c>
      <c r="H4536" s="19" t="n">
        <v>1</v>
      </c>
      <c r="I4536" s="57" t="n">
        <v>5</v>
      </c>
    </row>
    <row r="4537">
      <c r="A4537" s="62" t="n">
        <v>46264</v>
      </c>
      <c r="B4537" s="3" t="inlineStr">
        <is>
          <t>Sun</t>
        </is>
      </c>
      <c r="C4537" s="19" t="n">
        <v>8</v>
      </c>
      <c r="D4537" s="19" t="n">
        <v>2026</v>
      </c>
      <c r="E4537" s="57" t="n">
        <v>5</v>
      </c>
      <c r="F4537" s="29">
        <f>ROUND(((SUMIFS(Calendar!$F$2:$F$9997,Calendar!$B$2:$B$9997,D4537,Calendar!$C$2:$C$9997,C4537)*INDEX(ForeCalc!$B$37:$Y$274,MATCH(_xlfn.CONCAT(H4537," ",I4537),ForeCalc!$A$37:$A$274,0),MATCH(_xlfn.CONCAT(B4537," ",E4537),ForeCalc!$B$36:$Y$36,0))))*VLOOKUP(A4537,Calendar!$A$2:$H$9997,8,FALSE),0)</f>
        <v/>
      </c>
      <c r="G4537" s="29">
        <f>VLOOKUP(A4537,Calendar!$A$1:$H$9997,6,FALSE)-F4537</f>
        <v/>
      </c>
      <c r="H4537" s="19" t="n">
        <v>1</v>
      </c>
      <c r="I4537" s="57" t="n">
        <v>5</v>
      </c>
    </row>
    <row r="4538">
      <c r="A4538" s="62" t="n">
        <v>46265</v>
      </c>
      <c r="B4538" s="3" t="inlineStr">
        <is>
          <t>Week</t>
        </is>
      </c>
      <c r="C4538" s="19" t="n">
        <v>8</v>
      </c>
      <c r="D4538" s="19" t="n">
        <v>2026</v>
      </c>
      <c r="E4538" s="57" t="n">
        <v>5</v>
      </c>
      <c r="F4538" s="29">
        <f>ROUND(((SUMIFS(Calendar!$F$2:$F$9997,Calendar!$B$2:$B$9997,D4538,Calendar!$C$2:$C$9997,C4538)*INDEX(ForeCalc!$B$37:$Y$274,MATCH(_xlfn.CONCAT(H4538," ",I4538),ForeCalc!$A$37:$A$274,0),MATCH(_xlfn.CONCAT(B4538," ",E4538),ForeCalc!$B$36:$Y$36,0))))*VLOOKUP(A4538,Calendar!$A$2:$H$9997,8,FALSE),0)</f>
        <v/>
      </c>
      <c r="G4538" s="29">
        <f>VLOOKUP(A4538,Calendar!$A$1:$H$9997,6,FALSE)-F4538</f>
        <v/>
      </c>
      <c r="H4538" s="19" t="n">
        <v>1</v>
      </c>
      <c r="I4538" s="57" t="n">
        <v>5</v>
      </c>
    </row>
    <row r="4539">
      <c r="A4539" s="62" t="n">
        <v>46266</v>
      </c>
      <c r="B4539" s="3" t="inlineStr">
        <is>
          <t>Week</t>
        </is>
      </c>
      <c r="C4539" s="19" t="n">
        <v>9</v>
      </c>
      <c r="D4539" s="19" t="n">
        <v>2026</v>
      </c>
      <c r="E4539" s="57" t="n">
        <v>5</v>
      </c>
      <c r="F4539" s="29">
        <f>ROUND(((SUMIFS(Calendar!$F$2:$F$9997,Calendar!$B$2:$B$9997,D4539,Calendar!$C$2:$C$9997,C4539)*INDEX(ForeCalc!$B$37:$Y$274,MATCH(_xlfn.CONCAT(H4539," ",I4539),ForeCalc!$A$37:$A$274,0),MATCH(_xlfn.CONCAT(B4539," ",E4539),ForeCalc!$B$36:$Y$36,0))))*VLOOKUP(A4539,Calendar!$A$2:$H$9997,8,FALSE),0)</f>
        <v/>
      </c>
      <c r="G4539" s="29">
        <f>VLOOKUP(A4539,Calendar!$A$1:$H$9997,6,FALSE)-F4539</f>
        <v/>
      </c>
      <c r="H4539" s="19" t="n">
        <v>1</v>
      </c>
      <c r="I4539" s="57" t="n">
        <v>6</v>
      </c>
    </row>
    <row r="4540">
      <c r="A4540" s="62" t="n">
        <v>46267</v>
      </c>
      <c r="B4540" s="3" t="inlineStr">
        <is>
          <t>Week</t>
        </is>
      </c>
      <c r="C4540" s="19" t="n">
        <v>9</v>
      </c>
      <c r="D4540" s="19" t="n">
        <v>2026</v>
      </c>
      <c r="E4540" s="57" t="n">
        <v>5</v>
      </c>
      <c r="F4540" s="29">
        <f>ROUND(((SUMIFS(Calendar!$F$2:$F$9997,Calendar!$B$2:$B$9997,D4540,Calendar!$C$2:$C$9997,C4540)*INDEX(ForeCalc!$B$37:$Y$274,MATCH(_xlfn.CONCAT(H4540," ",I4540),ForeCalc!$A$37:$A$274,0),MATCH(_xlfn.CONCAT(B4540," ",E4540),ForeCalc!$B$36:$Y$36,0))))*VLOOKUP(A4540,Calendar!$A$2:$H$9997,8,FALSE),0)</f>
        <v/>
      </c>
      <c r="G4540" s="29">
        <f>VLOOKUP(A4540,Calendar!$A$1:$H$9997,6,FALSE)-F4540</f>
        <v/>
      </c>
      <c r="H4540" s="19" t="n">
        <v>1</v>
      </c>
      <c r="I4540" s="57" t="n">
        <v>6</v>
      </c>
    </row>
    <row r="4541">
      <c r="A4541" s="62" t="n">
        <v>46268</v>
      </c>
      <c r="B4541" s="3" t="inlineStr">
        <is>
          <t>Week</t>
        </is>
      </c>
      <c r="C4541" s="19" t="n">
        <v>9</v>
      </c>
      <c r="D4541" s="19" t="n">
        <v>2026</v>
      </c>
      <c r="E4541" s="57" t="n">
        <v>5</v>
      </c>
      <c r="F4541" s="29">
        <f>ROUND(((SUMIFS(Calendar!$F$2:$F$9997,Calendar!$B$2:$B$9997,D4541,Calendar!$C$2:$C$9997,C4541)*INDEX(ForeCalc!$B$37:$Y$274,MATCH(_xlfn.CONCAT(H4541," ",I4541),ForeCalc!$A$37:$A$274,0),MATCH(_xlfn.CONCAT(B4541," ",E4541),ForeCalc!$B$36:$Y$36,0))))*VLOOKUP(A4541,Calendar!$A$2:$H$9997,8,FALSE),0)</f>
        <v/>
      </c>
      <c r="G4541" s="29">
        <f>VLOOKUP(A4541,Calendar!$A$1:$H$9997,6,FALSE)-F4541</f>
        <v/>
      </c>
      <c r="H4541" s="19" t="n">
        <v>1</v>
      </c>
      <c r="I4541" s="57" t="n">
        <v>6</v>
      </c>
    </row>
    <row r="4542">
      <c r="A4542" s="62" t="n">
        <v>46269</v>
      </c>
      <c r="B4542" s="3" t="inlineStr">
        <is>
          <t>Week</t>
        </is>
      </c>
      <c r="C4542" s="19" t="n">
        <v>9</v>
      </c>
      <c r="D4542" s="19" t="n">
        <v>2026</v>
      </c>
      <c r="E4542" s="57" t="n">
        <v>5</v>
      </c>
      <c r="F4542" s="29">
        <f>ROUND(((SUMIFS(Calendar!$F$2:$F$9997,Calendar!$B$2:$B$9997,D4542,Calendar!$C$2:$C$9997,C4542)*INDEX(ForeCalc!$B$37:$Y$274,MATCH(_xlfn.CONCAT(H4542," ",I4542),ForeCalc!$A$37:$A$274,0),MATCH(_xlfn.CONCAT(B4542," ",E4542),ForeCalc!$B$36:$Y$36,0))))*VLOOKUP(A4542,Calendar!$A$2:$H$9997,8,FALSE),0)</f>
        <v/>
      </c>
      <c r="G4542" s="29">
        <f>VLOOKUP(A4542,Calendar!$A$1:$H$9997,6,FALSE)-F4542</f>
        <v/>
      </c>
      <c r="H4542" s="19" t="n">
        <v>1</v>
      </c>
      <c r="I4542" s="57" t="n">
        <v>6</v>
      </c>
    </row>
    <row r="4543">
      <c r="A4543" s="62" t="n">
        <v>46270</v>
      </c>
      <c r="B4543" s="3" t="inlineStr">
        <is>
          <t>Sat</t>
        </is>
      </c>
      <c r="C4543" s="19" t="n">
        <v>9</v>
      </c>
      <c r="D4543" s="19" t="n">
        <v>2026</v>
      </c>
      <c r="E4543" s="57" t="n">
        <v>5</v>
      </c>
      <c r="F4543" s="29">
        <f>ROUND(((SUMIFS(Calendar!$F$2:$F$9997,Calendar!$B$2:$B$9997,D4543,Calendar!$C$2:$C$9997,C4543)*INDEX(ForeCalc!$B$37:$Y$274,MATCH(_xlfn.CONCAT(H4543," ",I4543),ForeCalc!$A$37:$A$274,0),MATCH(_xlfn.CONCAT(B4543," ",E4543),ForeCalc!$B$36:$Y$36,0))))*VLOOKUP(A4543,Calendar!$A$2:$H$9997,8,FALSE),0)</f>
        <v/>
      </c>
      <c r="G4543" s="29">
        <f>VLOOKUP(A4543,Calendar!$A$1:$H$9997,6,FALSE)-F4543</f>
        <v/>
      </c>
      <c r="H4543" s="19" t="n">
        <v>1</v>
      </c>
      <c r="I4543" s="57" t="n">
        <v>6</v>
      </c>
    </row>
    <row r="4544">
      <c r="A4544" s="62" t="n">
        <v>46271</v>
      </c>
      <c r="B4544" s="3" t="inlineStr">
        <is>
          <t>Sun</t>
        </is>
      </c>
      <c r="C4544" s="19" t="n">
        <v>9</v>
      </c>
      <c r="D4544" s="19" t="n">
        <v>2026</v>
      </c>
      <c r="E4544" s="57" t="n">
        <v>5</v>
      </c>
      <c r="F4544" s="29">
        <f>ROUND(((SUMIFS(Calendar!$F$2:$F$9997,Calendar!$B$2:$B$9997,D4544,Calendar!$C$2:$C$9997,C4544)*INDEX(ForeCalc!$B$37:$Y$274,MATCH(_xlfn.CONCAT(H4544," ",I4544),ForeCalc!$A$37:$A$274,0),MATCH(_xlfn.CONCAT(B4544," ",E4544),ForeCalc!$B$36:$Y$36,0))))*VLOOKUP(A4544,Calendar!$A$2:$H$9997,8,FALSE),0)</f>
        <v/>
      </c>
      <c r="G4544" s="29">
        <f>VLOOKUP(A4544,Calendar!$A$1:$H$9997,6,FALSE)-F4544</f>
        <v/>
      </c>
      <c r="H4544" s="19" t="n">
        <v>1</v>
      </c>
      <c r="I4544" s="57" t="n">
        <v>6</v>
      </c>
    </row>
    <row r="4545">
      <c r="A4545" s="62" t="n">
        <v>46272</v>
      </c>
      <c r="B4545" s="3" t="inlineStr">
        <is>
          <t>Week</t>
        </is>
      </c>
      <c r="C4545" s="19" t="n">
        <v>9</v>
      </c>
      <c r="D4545" s="19" t="n">
        <v>2026</v>
      </c>
      <c r="E4545" s="57" t="n">
        <v>5</v>
      </c>
      <c r="F4545" s="29">
        <f>ROUND(((SUMIFS(Calendar!$F$2:$F$9997,Calendar!$B$2:$B$9997,D4545,Calendar!$C$2:$C$9997,C4545)*INDEX(ForeCalc!$B$37:$Y$274,MATCH(_xlfn.CONCAT(H4545," ",I4545),ForeCalc!$A$37:$A$274,0),MATCH(_xlfn.CONCAT(B4545," ",E4545),ForeCalc!$B$36:$Y$36,0))))*VLOOKUP(A4545,Calendar!$A$2:$H$9997,8,FALSE),0)</f>
        <v/>
      </c>
      <c r="G4545" s="29">
        <f>VLOOKUP(A4545,Calendar!$A$1:$H$9997,6,FALSE)-F4545</f>
        <v/>
      </c>
      <c r="H4545" s="19" t="n">
        <v>1</v>
      </c>
      <c r="I4545" s="57" t="n">
        <v>6</v>
      </c>
    </row>
    <row r="4546">
      <c r="A4546" s="62" t="n">
        <v>46273</v>
      </c>
      <c r="B4546" s="3" t="inlineStr">
        <is>
          <t>Week</t>
        </is>
      </c>
      <c r="C4546" s="19" t="n">
        <v>9</v>
      </c>
      <c r="D4546" s="19" t="n">
        <v>2026</v>
      </c>
      <c r="E4546" s="57" t="n">
        <v>5</v>
      </c>
      <c r="F4546" s="29">
        <f>ROUND(((SUMIFS(Calendar!$F$2:$F$9997,Calendar!$B$2:$B$9997,D4546,Calendar!$C$2:$C$9997,C4546)*INDEX(ForeCalc!$B$37:$Y$274,MATCH(_xlfn.CONCAT(H4546," ",I4546),ForeCalc!$A$37:$A$274,0),MATCH(_xlfn.CONCAT(B4546," ",E4546),ForeCalc!$B$36:$Y$36,0))))*VLOOKUP(A4546,Calendar!$A$2:$H$9997,8,FALSE),0)</f>
        <v/>
      </c>
      <c r="G4546" s="29">
        <f>VLOOKUP(A4546,Calendar!$A$1:$H$9997,6,FALSE)-F4546</f>
        <v/>
      </c>
      <c r="H4546" s="19" t="n">
        <v>1</v>
      </c>
      <c r="I4546" s="57" t="n">
        <v>6</v>
      </c>
    </row>
    <row r="4547">
      <c r="A4547" s="62" t="n">
        <v>46274</v>
      </c>
      <c r="B4547" s="3" t="inlineStr">
        <is>
          <t>Week</t>
        </is>
      </c>
      <c r="C4547" s="19" t="n">
        <v>9</v>
      </c>
      <c r="D4547" s="19" t="n">
        <v>2026</v>
      </c>
      <c r="E4547" s="57" t="n">
        <v>5</v>
      </c>
      <c r="F4547" s="29">
        <f>ROUND(((SUMIFS(Calendar!$F$2:$F$9997,Calendar!$B$2:$B$9997,D4547,Calendar!$C$2:$C$9997,C4547)*INDEX(ForeCalc!$B$37:$Y$274,MATCH(_xlfn.CONCAT(H4547," ",I4547),ForeCalc!$A$37:$A$274,0),MATCH(_xlfn.CONCAT(B4547," ",E4547),ForeCalc!$B$36:$Y$36,0))))*VLOOKUP(A4547,Calendar!$A$2:$H$9997,8,FALSE),0)</f>
        <v/>
      </c>
      <c r="G4547" s="29">
        <f>VLOOKUP(A4547,Calendar!$A$1:$H$9997,6,FALSE)-F4547</f>
        <v/>
      </c>
      <c r="H4547" s="19" t="n">
        <v>1</v>
      </c>
      <c r="I4547" s="57" t="n">
        <v>6</v>
      </c>
    </row>
    <row r="4548">
      <c r="A4548" s="62" t="n">
        <v>46275</v>
      </c>
      <c r="B4548" s="3" t="inlineStr">
        <is>
          <t>Week</t>
        </is>
      </c>
      <c r="C4548" s="19" t="n">
        <v>9</v>
      </c>
      <c r="D4548" s="19" t="n">
        <v>2026</v>
      </c>
      <c r="E4548" s="57" t="n">
        <v>5</v>
      </c>
      <c r="F4548" s="29">
        <f>ROUND(((SUMIFS(Calendar!$F$2:$F$9997,Calendar!$B$2:$B$9997,D4548,Calendar!$C$2:$C$9997,C4548)*INDEX(ForeCalc!$B$37:$Y$274,MATCH(_xlfn.CONCAT(H4548," ",I4548),ForeCalc!$A$37:$A$274,0),MATCH(_xlfn.CONCAT(B4548," ",E4548),ForeCalc!$B$36:$Y$36,0))))*VLOOKUP(A4548,Calendar!$A$2:$H$9997,8,FALSE),0)</f>
        <v/>
      </c>
      <c r="G4548" s="29">
        <f>VLOOKUP(A4548,Calendar!$A$1:$H$9997,6,FALSE)-F4548</f>
        <v/>
      </c>
      <c r="H4548" s="19" t="n">
        <v>1</v>
      </c>
      <c r="I4548" s="57" t="n">
        <v>6</v>
      </c>
    </row>
    <row r="4549">
      <c r="A4549" s="62" t="n">
        <v>46276</v>
      </c>
      <c r="B4549" s="3" t="inlineStr">
        <is>
          <t>Week</t>
        </is>
      </c>
      <c r="C4549" s="19" t="n">
        <v>9</v>
      </c>
      <c r="D4549" s="19" t="n">
        <v>2026</v>
      </c>
      <c r="E4549" s="57" t="n">
        <v>5</v>
      </c>
      <c r="F4549" s="29">
        <f>ROUND(((SUMIFS(Calendar!$F$2:$F$9997,Calendar!$B$2:$B$9997,D4549,Calendar!$C$2:$C$9997,C4549)*INDEX(ForeCalc!$B$37:$Y$274,MATCH(_xlfn.CONCAT(H4549," ",I4549),ForeCalc!$A$37:$A$274,0),MATCH(_xlfn.CONCAT(B4549," ",E4549),ForeCalc!$B$36:$Y$36,0))))*VLOOKUP(A4549,Calendar!$A$2:$H$9997,8,FALSE),0)</f>
        <v/>
      </c>
      <c r="G4549" s="29">
        <f>VLOOKUP(A4549,Calendar!$A$1:$H$9997,6,FALSE)-F4549</f>
        <v/>
      </c>
      <c r="H4549" s="19" t="n">
        <v>1</v>
      </c>
      <c r="I4549" s="57" t="n">
        <v>6</v>
      </c>
    </row>
    <row r="4550">
      <c r="A4550" s="62" t="n">
        <v>46277</v>
      </c>
      <c r="B4550" s="3" t="inlineStr">
        <is>
          <t>Sat</t>
        </is>
      </c>
      <c r="C4550" s="19" t="n">
        <v>9</v>
      </c>
      <c r="D4550" s="19" t="n">
        <v>2026</v>
      </c>
      <c r="E4550" s="57" t="n">
        <v>5</v>
      </c>
      <c r="F4550" s="29">
        <f>ROUND(((SUMIFS(Calendar!$F$2:$F$9997,Calendar!$B$2:$B$9997,D4550,Calendar!$C$2:$C$9997,C4550)*INDEX(ForeCalc!$B$37:$Y$274,MATCH(_xlfn.CONCAT(H4550," ",I4550),ForeCalc!$A$37:$A$274,0),MATCH(_xlfn.CONCAT(B4550," ",E4550),ForeCalc!$B$36:$Y$36,0))))*VLOOKUP(A4550,Calendar!$A$2:$H$9997,8,FALSE),0)</f>
        <v/>
      </c>
      <c r="G4550" s="29">
        <f>VLOOKUP(A4550,Calendar!$A$1:$H$9997,6,FALSE)-F4550</f>
        <v/>
      </c>
      <c r="H4550" s="19" t="n">
        <v>1</v>
      </c>
      <c r="I4550" s="57" t="n">
        <v>6</v>
      </c>
    </row>
    <row r="4551">
      <c r="A4551" s="62" t="n">
        <v>46278</v>
      </c>
      <c r="B4551" s="3" t="inlineStr">
        <is>
          <t>Sun</t>
        </is>
      </c>
      <c r="C4551" s="19" t="n">
        <v>9</v>
      </c>
      <c r="D4551" s="19" t="n">
        <v>2026</v>
      </c>
      <c r="E4551" s="57" t="n">
        <v>5</v>
      </c>
      <c r="F4551" s="29">
        <f>ROUND(((SUMIFS(Calendar!$F$2:$F$9997,Calendar!$B$2:$B$9997,D4551,Calendar!$C$2:$C$9997,C4551)*INDEX(ForeCalc!$B$37:$Y$274,MATCH(_xlfn.CONCAT(H4551," ",I4551),ForeCalc!$A$37:$A$274,0),MATCH(_xlfn.CONCAT(B4551," ",E4551),ForeCalc!$B$36:$Y$36,0))))*VLOOKUP(A4551,Calendar!$A$2:$H$9997,8,FALSE),0)</f>
        <v/>
      </c>
      <c r="G4551" s="29">
        <f>VLOOKUP(A4551,Calendar!$A$1:$H$9997,6,FALSE)-F4551</f>
        <v/>
      </c>
      <c r="H4551" s="19" t="n">
        <v>1</v>
      </c>
      <c r="I4551" s="57" t="n">
        <v>6</v>
      </c>
    </row>
    <row r="4552">
      <c r="A4552" s="62" t="n">
        <v>46279</v>
      </c>
      <c r="B4552" s="3" t="inlineStr">
        <is>
          <t>Week</t>
        </is>
      </c>
      <c r="C4552" s="19" t="n">
        <v>9</v>
      </c>
      <c r="D4552" s="19" t="n">
        <v>2026</v>
      </c>
      <c r="E4552" s="57" t="n">
        <v>5</v>
      </c>
      <c r="F4552" s="29">
        <f>ROUND(((SUMIFS(Calendar!$F$2:$F$9997,Calendar!$B$2:$B$9997,D4552,Calendar!$C$2:$C$9997,C4552)*INDEX(ForeCalc!$B$37:$Y$274,MATCH(_xlfn.CONCAT(H4552," ",I4552),ForeCalc!$A$37:$A$274,0),MATCH(_xlfn.CONCAT(B4552," ",E4552),ForeCalc!$B$36:$Y$36,0))))*VLOOKUP(A4552,Calendar!$A$2:$H$9997,8,FALSE),0)</f>
        <v/>
      </c>
      <c r="G4552" s="29">
        <f>VLOOKUP(A4552,Calendar!$A$1:$H$9997,6,FALSE)-F4552</f>
        <v/>
      </c>
      <c r="H4552" s="19" t="n">
        <v>1</v>
      </c>
      <c r="I4552" s="57" t="n">
        <v>6</v>
      </c>
    </row>
    <row r="4553">
      <c r="A4553" s="62" t="n">
        <v>46280</v>
      </c>
      <c r="B4553" s="3" t="inlineStr">
        <is>
          <t>Week</t>
        </is>
      </c>
      <c r="C4553" s="19" t="n">
        <v>9</v>
      </c>
      <c r="D4553" s="19" t="n">
        <v>2026</v>
      </c>
      <c r="E4553" s="57" t="n">
        <v>5</v>
      </c>
      <c r="F4553" s="29">
        <f>ROUND(((SUMIFS(Calendar!$F$2:$F$9997,Calendar!$B$2:$B$9997,D4553,Calendar!$C$2:$C$9997,C4553)*INDEX(ForeCalc!$B$37:$Y$274,MATCH(_xlfn.CONCAT(H4553," ",I4553),ForeCalc!$A$37:$A$274,0),MATCH(_xlfn.CONCAT(B4553," ",E4553),ForeCalc!$B$36:$Y$36,0))))*VLOOKUP(A4553,Calendar!$A$2:$H$9997,8,FALSE),0)</f>
        <v/>
      </c>
      <c r="G4553" s="29">
        <f>VLOOKUP(A4553,Calendar!$A$1:$H$9997,6,FALSE)-F4553</f>
        <v/>
      </c>
      <c r="H4553" s="19" t="n">
        <v>1</v>
      </c>
      <c r="I4553" s="57" t="n">
        <v>6</v>
      </c>
    </row>
    <row r="4554">
      <c r="A4554" s="62" t="n">
        <v>46281</v>
      </c>
      <c r="B4554" s="3" t="inlineStr">
        <is>
          <t>Week</t>
        </is>
      </c>
      <c r="C4554" s="19" t="n">
        <v>9</v>
      </c>
      <c r="D4554" s="19" t="n">
        <v>2026</v>
      </c>
      <c r="E4554" s="57" t="n">
        <v>5</v>
      </c>
      <c r="F4554" s="29">
        <f>ROUND(((SUMIFS(Calendar!$F$2:$F$9997,Calendar!$B$2:$B$9997,D4554,Calendar!$C$2:$C$9997,C4554)*INDEX(ForeCalc!$B$37:$Y$274,MATCH(_xlfn.CONCAT(H4554," ",I4554),ForeCalc!$A$37:$A$274,0),MATCH(_xlfn.CONCAT(B4554," ",E4554),ForeCalc!$B$36:$Y$36,0))))*VLOOKUP(A4554,Calendar!$A$2:$H$9997,8,FALSE),0)</f>
        <v/>
      </c>
      <c r="G4554" s="29">
        <f>VLOOKUP(A4554,Calendar!$A$1:$H$9997,6,FALSE)-F4554</f>
        <v/>
      </c>
      <c r="H4554" s="19" t="n">
        <v>1</v>
      </c>
      <c r="I4554" s="57" t="n">
        <v>6</v>
      </c>
    </row>
    <row r="4555">
      <c r="A4555" s="62" t="n">
        <v>46282</v>
      </c>
      <c r="B4555" s="3" t="inlineStr">
        <is>
          <t>Week</t>
        </is>
      </c>
      <c r="C4555" s="19" t="n">
        <v>9</v>
      </c>
      <c r="D4555" s="19" t="n">
        <v>2026</v>
      </c>
      <c r="E4555" s="57" t="n">
        <v>5</v>
      </c>
      <c r="F4555" s="29">
        <f>ROUND(((SUMIFS(Calendar!$F$2:$F$9997,Calendar!$B$2:$B$9997,D4555,Calendar!$C$2:$C$9997,C4555)*INDEX(ForeCalc!$B$37:$Y$274,MATCH(_xlfn.CONCAT(H4555," ",I4555),ForeCalc!$A$37:$A$274,0),MATCH(_xlfn.CONCAT(B4555," ",E4555),ForeCalc!$B$36:$Y$36,0))))*VLOOKUP(A4555,Calendar!$A$2:$H$9997,8,FALSE),0)</f>
        <v/>
      </c>
      <c r="G4555" s="29">
        <f>VLOOKUP(A4555,Calendar!$A$1:$H$9997,6,FALSE)-F4555</f>
        <v/>
      </c>
      <c r="H4555" s="19" t="n">
        <v>1</v>
      </c>
      <c r="I4555" s="57" t="n">
        <v>6</v>
      </c>
    </row>
    <row r="4556">
      <c r="A4556" s="62" t="n">
        <v>46283</v>
      </c>
      <c r="B4556" s="3" t="inlineStr">
        <is>
          <t>Week</t>
        </is>
      </c>
      <c r="C4556" s="19" t="n">
        <v>9</v>
      </c>
      <c r="D4556" s="19" t="n">
        <v>2026</v>
      </c>
      <c r="E4556" s="57" t="n">
        <v>5</v>
      </c>
      <c r="F4556" s="29">
        <f>ROUND(((SUMIFS(Calendar!$F$2:$F$9997,Calendar!$B$2:$B$9997,D4556,Calendar!$C$2:$C$9997,C4556)*INDEX(ForeCalc!$B$37:$Y$274,MATCH(_xlfn.CONCAT(H4556," ",I4556),ForeCalc!$A$37:$A$274,0),MATCH(_xlfn.CONCAT(B4556," ",E4556),ForeCalc!$B$36:$Y$36,0))))*VLOOKUP(A4556,Calendar!$A$2:$H$9997,8,FALSE),0)</f>
        <v/>
      </c>
      <c r="G4556" s="29">
        <f>VLOOKUP(A4556,Calendar!$A$1:$H$9997,6,FALSE)-F4556</f>
        <v/>
      </c>
      <c r="H4556" s="19" t="n">
        <v>1</v>
      </c>
      <c r="I4556" s="57" t="n">
        <v>6</v>
      </c>
    </row>
    <row r="4557">
      <c r="A4557" s="62" t="n">
        <v>46284</v>
      </c>
      <c r="B4557" s="3" t="inlineStr">
        <is>
          <t>Sat</t>
        </is>
      </c>
      <c r="C4557" s="19" t="n">
        <v>9</v>
      </c>
      <c r="D4557" s="19" t="n">
        <v>2026</v>
      </c>
      <c r="E4557" s="57" t="n">
        <v>5</v>
      </c>
      <c r="F4557" s="29">
        <f>ROUND(((SUMIFS(Calendar!$F$2:$F$9997,Calendar!$B$2:$B$9997,D4557,Calendar!$C$2:$C$9997,C4557)*INDEX(ForeCalc!$B$37:$Y$274,MATCH(_xlfn.CONCAT(H4557," ",I4557),ForeCalc!$A$37:$A$274,0),MATCH(_xlfn.CONCAT(B4557," ",E4557),ForeCalc!$B$36:$Y$36,0))))*VLOOKUP(A4557,Calendar!$A$2:$H$9997,8,FALSE),0)</f>
        <v/>
      </c>
      <c r="G4557" s="29">
        <f>VLOOKUP(A4557,Calendar!$A$1:$H$9997,6,FALSE)-F4557</f>
        <v/>
      </c>
      <c r="H4557" s="19" t="n">
        <v>1</v>
      </c>
      <c r="I4557" s="57" t="n">
        <v>6</v>
      </c>
    </row>
    <row r="4558">
      <c r="A4558" s="62" t="n">
        <v>46285</v>
      </c>
      <c r="B4558" s="3" t="inlineStr">
        <is>
          <t>Sun</t>
        </is>
      </c>
      <c r="C4558" s="19" t="n">
        <v>9</v>
      </c>
      <c r="D4558" s="19" t="n">
        <v>2026</v>
      </c>
      <c r="E4558" s="57" t="n">
        <v>5</v>
      </c>
      <c r="F4558" s="29">
        <f>ROUND(((SUMIFS(Calendar!$F$2:$F$9997,Calendar!$B$2:$B$9997,D4558,Calendar!$C$2:$C$9997,C4558)*INDEX(ForeCalc!$B$37:$Y$274,MATCH(_xlfn.CONCAT(H4558," ",I4558),ForeCalc!$A$37:$A$274,0),MATCH(_xlfn.CONCAT(B4558," ",E4558),ForeCalc!$B$36:$Y$36,0))))*VLOOKUP(A4558,Calendar!$A$2:$H$9997,8,FALSE),0)</f>
        <v/>
      </c>
      <c r="G4558" s="29">
        <f>VLOOKUP(A4558,Calendar!$A$1:$H$9997,6,FALSE)-F4558</f>
        <v/>
      </c>
      <c r="H4558" s="19" t="n">
        <v>1</v>
      </c>
      <c r="I4558" s="57" t="n">
        <v>6</v>
      </c>
    </row>
    <row r="4559">
      <c r="A4559" s="62" t="n">
        <v>46286</v>
      </c>
      <c r="B4559" s="3" t="inlineStr">
        <is>
          <t>Week</t>
        </is>
      </c>
      <c r="C4559" s="19" t="n">
        <v>9</v>
      </c>
      <c r="D4559" s="19" t="n">
        <v>2026</v>
      </c>
      <c r="E4559" s="57" t="n">
        <v>5</v>
      </c>
      <c r="F4559" s="29">
        <f>ROUND(((SUMIFS(Calendar!$F$2:$F$9997,Calendar!$B$2:$B$9997,D4559,Calendar!$C$2:$C$9997,C4559)*INDEX(ForeCalc!$B$37:$Y$274,MATCH(_xlfn.CONCAT(H4559," ",I4559),ForeCalc!$A$37:$A$274,0),MATCH(_xlfn.CONCAT(B4559," ",E4559),ForeCalc!$B$36:$Y$36,0))))*VLOOKUP(A4559,Calendar!$A$2:$H$9997,8,FALSE),0)</f>
        <v/>
      </c>
      <c r="G4559" s="29">
        <f>VLOOKUP(A4559,Calendar!$A$1:$H$9997,6,FALSE)-F4559</f>
        <v/>
      </c>
      <c r="H4559" s="19" t="n">
        <v>1</v>
      </c>
      <c r="I4559" s="57" t="n">
        <v>6</v>
      </c>
    </row>
    <row r="4560">
      <c r="A4560" s="62" t="n">
        <v>46287</v>
      </c>
      <c r="B4560" s="3" t="inlineStr">
        <is>
          <t>Week</t>
        </is>
      </c>
      <c r="C4560" s="19" t="n">
        <v>9</v>
      </c>
      <c r="D4560" s="19" t="n">
        <v>2026</v>
      </c>
      <c r="E4560" s="57" t="n">
        <v>5</v>
      </c>
      <c r="F4560" s="29">
        <f>ROUND(((SUMIFS(Calendar!$F$2:$F$9997,Calendar!$B$2:$B$9997,D4560,Calendar!$C$2:$C$9997,C4560)*INDEX(ForeCalc!$B$37:$Y$274,MATCH(_xlfn.CONCAT(H4560," ",I4560),ForeCalc!$A$37:$A$274,0),MATCH(_xlfn.CONCAT(B4560," ",E4560),ForeCalc!$B$36:$Y$36,0))))*VLOOKUP(A4560,Calendar!$A$2:$H$9997,8,FALSE),0)</f>
        <v/>
      </c>
      <c r="G4560" s="29">
        <f>VLOOKUP(A4560,Calendar!$A$1:$H$9997,6,FALSE)-F4560</f>
        <v/>
      </c>
      <c r="H4560" s="19" t="n">
        <v>1</v>
      </c>
      <c r="I4560" s="57" t="n">
        <v>6</v>
      </c>
    </row>
    <row r="4561">
      <c r="A4561" s="62" t="n">
        <v>46288</v>
      </c>
      <c r="B4561" s="3" t="inlineStr">
        <is>
          <t>Week</t>
        </is>
      </c>
      <c r="C4561" s="19" t="n">
        <v>9</v>
      </c>
      <c r="D4561" s="19" t="n">
        <v>2026</v>
      </c>
      <c r="E4561" s="57" t="n">
        <v>5</v>
      </c>
      <c r="F4561" s="29">
        <f>ROUND(((SUMIFS(Calendar!$F$2:$F$9997,Calendar!$B$2:$B$9997,D4561,Calendar!$C$2:$C$9997,C4561)*INDEX(ForeCalc!$B$37:$Y$274,MATCH(_xlfn.CONCAT(H4561," ",I4561),ForeCalc!$A$37:$A$274,0),MATCH(_xlfn.CONCAT(B4561," ",E4561),ForeCalc!$B$36:$Y$36,0))))*VLOOKUP(A4561,Calendar!$A$2:$H$9997,8,FALSE),0)</f>
        <v/>
      </c>
      <c r="G4561" s="29">
        <f>VLOOKUP(A4561,Calendar!$A$1:$H$9997,6,FALSE)-F4561</f>
        <v/>
      </c>
      <c r="H4561" s="19" t="n">
        <v>1</v>
      </c>
      <c r="I4561" s="57" t="n">
        <v>6</v>
      </c>
    </row>
    <row r="4562">
      <c r="A4562" s="62" t="n">
        <v>46289</v>
      </c>
      <c r="B4562" s="3" t="inlineStr">
        <is>
          <t>Week</t>
        </is>
      </c>
      <c r="C4562" s="19" t="n">
        <v>9</v>
      </c>
      <c r="D4562" s="19" t="n">
        <v>2026</v>
      </c>
      <c r="E4562" s="57" t="n">
        <v>5</v>
      </c>
      <c r="F4562" s="29">
        <f>ROUND(((SUMIFS(Calendar!$F$2:$F$9997,Calendar!$B$2:$B$9997,D4562,Calendar!$C$2:$C$9997,C4562)*INDEX(ForeCalc!$B$37:$Y$274,MATCH(_xlfn.CONCAT(H4562," ",I4562),ForeCalc!$A$37:$A$274,0),MATCH(_xlfn.CONCAT(B4562," ",E4562),ForeCalc!$B$36:$Y$36,0))))*VLOOKUP(A4562,Calendar!$A$2:$H$9997,8,FALSE),0)</f>
        <v/>
      </c>
      <c r="G4562" s="29">
        <f>VLOOKUP(A4562,Calendar!$A$1:$H$9997,6,FALSE)-F4562</f>
        <v/>
      </c>
      <c r="H4562" s="19" t="n">
        <v>1</v>
      </c>
      <c r="I4562" s="57" t="n">
        <v>6</v>
      </c>
    </row>
    <row r="4563">
      <c r="A4563" s="62" t="n">
        <v>46290</v>
      </c>
      <c r="B4563" s="3" t="inlineStr">
        <is>
          <t>Week</t>
        </is>
      </c>
      <c r="C4563" s="19" t="n">
        <v>9</v>
      </c>
      <c r="D4563" s="19" t="n">
        <v>2026</v>
      </c>
      <c r="E4563" s="57" t="n">
        <v>5</v>
      </c>
      <c r="F4563" s="29">
        <f>ROUND(((SUMIFS(Calendar!$F$2:$F$9997,Calendar!$B$2:$B$9997,D4563,Calendar!$C$2:$C$9997,C4563)*INDEX(ForeCalc!$B$37:$Y$274,MATCH(_xlfn.CONCAT(H4563," ",I4563),ForeCalc!$A$37:$A$274,0),MATCH(_xlfn.CONCAT(B4563," ",E4563),ForeCalc!$B$36:$Y$36,0))))*VLOOKUP(A4563,Calendar!$A$2:$H$9997,8,FALSE),0)</f>
        <v/>
      </c>
      <c r="G4563" s="29">
        <f>VLOOKUP(A4563,Calendar!$A$1:$H$9997,6,FALSE)-F4563</f>
        <v/>
      </c>
      <c r="H4563" s="19" t="n">
        <v>1</v>
      </c>
      <c r="I4563" s="57" t="n">
        <v>6</v>
      </c>
    </row>
    <row r="4564">
      <c r="A4564" s="62" t="n">
        <v>46291</v>
      </c>
      <c r="B4564" s="3" t="inlineStr">
        <is>
          <t>Sat</t>
        </is>
      </c>
      <c r="C4564" s="19" t="n">
        <v>9</v>
      </c>
      <c r="D4564" s="19" t="n">
        <v>2026</v>
      </c>
      <c r="E4564" s="57" t="n">
        <v>5</v>
      </c>
      <c r="F4564" s="29">
        <f>ROUND(((SUMIFS(Calendar!$F$2:$F$9997,Calendar!$B$2:$B$9997,D4564,Calendar!$C$2:$C$9997,C4564)*INDEX(ForeCalc!$B$37:$Y$274,MATCH(_xlfn.CONCAT(H4564," ",I4564),ForeCalc!$A$37:$A$274,0),MATCH(_xlfn.CONCAT(B4564," ",E4564),ForeCalc!$B$36:$Y$36,0))))*VLOOKUP(A4564,Calendar!$A$2:$H$9997,8,FALSE),0)</f>
        <v/>
      </c>
      <c r="G4564" s="29">
        <f>VLOOKUP(A4564,Calendar!$A$1:$H$9997,6,FALSE)-F4564</f>
        <v/>
      </c>
      <c r="H4564" s="19" t="n">
        <v>1</v>
      </c>
      <c r="I4564" s="57" t="n">
        <v>6</v>
      </c>
    </row>
    <row r="4565">
      <c r="A4565" s="62" t="n">
        <v>46292</v>
      </c>
      <c r="B4565" s="3" t="inlineStr">
        <is>
          <t>Sun</t>
        </is>
      </c>
      <c r="C4565" s="19" t="n">
        <v>9</v>
      </c>
      <c r="D4565" s="19" t="n">
        <v>2026</v>
      </c>
      <c r="E4565" s="57" t="n">
        <v>5</v>
      </c>
      <c r="F4565" s="29">
        <f>ROUND(((SUMIFS(Calendar!$F$2:$F$9997,Calendar!$B$2:$B$9997,D4565,Calendar!$C$2:$C$9997,C4565)*INDEX(ForeCalc!$B$37:$Y$274,MATCH(_xlfn.CONCAT(H4565," ",I4565),ForeCalc!$A$37:$A$274,0),MATCH(_xlfn.CONCAT(B4565," ",E4565),ForeCalc!$B$36:$Y$36,0))))*VLOOKUP(A4565,Calendar!$A$2:$H$9997,8,FALSE),0)</f>
        <v/>
      </c>
      <c r="G4565" s="29">
        <f>VLOOKUP(A4565,Calendar!$A$1:$H$9997,6,FALSE)-F4565</f>
        <v/>
      </c>
      <c r="H4565" s="19" t="n">
        <v>1</v>
      </c>
      <c r="I4565" s="57" t="n">
        <v>6</v>
      </c>
    </row>
    <row r="4566">
      <c r="A4566" s="62" t="n">
        <v>46293</v>
      </c>
      <c r="B4566" s="3" t="inlineStr">
        <is>
          <t>Week</t>
        </is>
      </c>
      <c r="C4566" s="19" t="n">
        <v>9</v>
      </c>
      <c r="D4566" s="19" t="n">
        <v>2026</v>
      </c>
      <c r="E4566" s="57" t="n">
        <v>5</v>
      </c>
      <c r="F4566" s="29">
        <f>ROUND(((SUMIFS(Calendar!$F$2:$F$9997,Calendar!$B$2:$B$9997,D4566,Calendar!$C$2:$C$9997,C4566)*INDEX(ForeCalc!$B$37:$Y$274,MATCH(_xlfn.CONCAT(H4566," ",I4566),ForeCalc!$A$37:$A$274,0),MATCH(_xlfn.CONCAT(B4566," ",E4566),ForeCalc!$B$36:$Y$36,0))))*VLOOKUP(A4566,Calendar!$A$2:$H$9997,8,FALSE),0)</f>
        <v/>
      </c>
      <c r="G4566" s="29">
        <f>VLOOKUP(A4566,Calendar!$A$1:$H$9997,6,FALSE)-F4566</f>
        <v/>
      </c>
      <c r="H4566" s="19" t="n">
        <v>1</v>
      </c>
      <c r="I4566" s="57" t="n">
        <v>6</v>
      </c>
    </row>
    <row r="4567">
      <c r="A4567" s="62" t="n">
        <v>46294</v>
      </c>
      <c r="B4567" s="3" t="inlineStr">
        <is>
          <t>Week</t>
        </is>
      </c>
      <c r="C4567" s="19" t="n">
        <v>9</v>
      </c>
      <c r="D4567" s="19" t="n">
        <v>2026</v>
      </c>
      <c r="E4567" s="57" t="n">
        <v>5</v>
      </c>
      <c r="F4567" s="29">
        <f>ROUND(((SUMIFS(Calendar!$F$2:$F$9997,Calendar!$B$2:$B$9997,D4567,Calendar!$C$2:$C$9997,C4567)*INDEX(ForeCalc!$B$37:$Y$274,MATCH(_xlfn.CONCAT(H4567," ",I4567),ForeCalc!$A$37:$A$274,0),MATCH(_xlfn.CONCAT(B4567," ",E4567),ForeCalc!$B$36:$Y$36,0))))*VLOOKUP(A4567,Calendar!$A$2:$H$9997,8,FALSE),0)</f>
        <v/>
      </c>
      <c r="G4567" s="29">
        <f>VLOOKUP(A4567,Calendar!$A$1:$H$9997,6,FALSE)-F4567</f>
        <v/>
      </c>
      <c r="H4567" s="19" t="n">
        <v>1</v>
      </c>
      <c r="I4567" s="57" t="n">
        <v>6</v>
      </c>
    </row>
    <row r="4568">
      <c r="A4568" s="62" t="n">
        <v>46295</v>
      </c>
      <c r="B4568" s="3" t="inlineStr">
        <is>
          <t>Week</t>
        </is>
      </c>
      <c r="C4568" s="19" t="n">
        <v>9</v>
      </c>
      <c r="D4568" s="19" t="n">
        <v>2026</v>
      </c>
      <c r="E4568" s="57" t="n">
        <v>5</v>
      </c>
      <c r="F4568" s="29">
        <f>ROUND(((SUMIFS(Calendar!$F$2:$F$9997,Calendar!$B$2:$B$9997,D4568,Calendar!$C$2:$C$9997,C4568)*INDEX(ForeCalc!$B$37:$Y$274,MATCH(_xlfn.CONCAT(H4568," ",I4568),ForeCalc!$A$37:$A$274,0),MATCH(_xlfn.CONCAT(B4568," ",E4568),ForeCalc!$B$36:$Y$36,0))))*VLOOKUP(A4568,Calendar!$A$2:$H$9997,8,FALSE),0)</f>
        <v/>
      </c>
      <c r="G4568" s="29">
        <f>VLOOKUP(A4568,Calendar!$A$1:$H$9997,6,FALSE)-F4568</f>
        <v/>
      </c>
      <c r="H4568" s="19" t="n">
        <v>1</v>
      </c>
      <c r="I4568" s="57" t="n">
        <v>6</v>
      </c>
    </row>
    <row r="4569">
      <c r="A4569" s="62" t="n">
        <v>46296</v>
      </c>
      <c r="B4569" s="3" t="inlineStr">
        <is>
          <t>Week</t>
        </is>
      </c>
      <c r="C4569" s="19" t="n">
        <v>10</v>
      </c>
      <c r="D4569" s="19" t="n">
        <v>2026</v>
      </c>
      <c r="E4569" s="57" t="n">
        <v>5</v>
      </c>
      <c r="F4569" s="29">
        <f>ROUND(((SUMIFS(Calendar!$F$2:$F$9997,Calendar!$B$2:$B$9997,D4569,Calendar!$C$2:$C$9997,C4569)*INDEX(ForeCalc!$B$37:$Y$274,MATCH(_xlfn.CONCAT(H4569," ",I4569),ForeCalc!$A$37:$A$274,0),MATCH(_xlfn.CONCAT(B4569," ",E4569),ForeCalc!$B$36:$Y$36,0))))*VLOOKUP(A4569,Calendar!$A$2:$H$9997,8,FALSE),0)</f>
        <v/>
      </c>
      <c r="G4569" s="29">
        <f>VLOOKUP(A4569,Calendar!$A$1:$H$9997,6,FALSE)-F4569</f>
        <v/>
      </c>
      <c r="H4569" s="19" t="n">
        <v>1</v>
      </c>
      <c r="I4569" s="57" t="n">
        <v>7</v>
      </c>
    </row>
    <row r="4570">
      <c r="A4570" s="62" t="n">
        <v>46297</v>
      </c>
      <c r="B4570" s="3" t="inlineStr">
        <is>
          <t>Week</t>
        </is>
      </c>
      <c r="C4570" s="19" t="n">
        <v>10</v>
      </c>
      <c r="D4570" s="19" t="n">
        <v>2026</v>
      </c>
      <c r="E4570" s="57" t="n">
        <v>5</v>
      </c>
      <c r="F4570" s="29">
        <f>ROUND(((SUMIFS(Calendar!$F$2:$F$9997,Calendar!$B$2:$B$9997,D4570,Calendar!$C$2:$C$9997,C4570)*INDEX(ForeCalc!$B$37:$Y$274,MATCH(_xlfn.CONCAT(H4570," ",I4570),ForeCalc!$A$37:$A$274,0),MATCH(_xlfn.CONCAT(B4570," ",E4570),ForeCalc!$B$36:$Y$36,0))))*VLOOKUP(A4570,Calendar!$A$2:$H$9997,8,FALSE),0)</f>
        <v/>
      </c>
      <c r="G4570" s="29">
        <f>VLOOKUP(A4570,Calendar!$A$1:$H$9997,6,FALSE)-F4570</f>
        <v/>
      </c>
      <c r="H4570" s="19" t="n">
        <v>1</v>
      </c>
      <c r="I4570" s="57" t="n">
        <v>7</v>
      </c>
    </row>
    <row r="4571">
      <c r="A4571" s="62" t="n">
        <v>46298</v>
      </c>
      <c r="B4571" s="3" t="inlineStr">
        <is>
          <t>Sat</t>
        </is>
      </c>
      <c r="C4571" s="19" t="n">
        <v>10</v>
      </c>
      <c r="D4571" s="19" t="n">
        <v>2026</v>
      </c>
      <c r="E4571" s="57" t="n">
        <v>5</v>
      </c>
      <c r="F4571" s="29">
        <f>ROUND(((SUMIFS(Calendar!$F$2:$F$9997,Calendar!$B$2:$B$9997,D4571,Calendar!$C$2:$C$9997,C4571)*INDEX(ForeCalc!$B$37:$Y$274,MATCH(_xlfn.CONCAT(H4571," ",I4571),ForeCalc!$A$37:$A$274,0),MATCH(_xlfn.CONCAT(B4571," ",E4571),ForeCalc!$B$36:$Y$36,0))))*VLOOKUP(A4571,Calendar!$A$2:$H$9997,8,FALSE),0)</f>
        <v/>
      </c>
      <c r="G4571" s="29">
        <f>VLOOKUP(A4571,Calendar!$A$1:$H$9997,6,FALSE)-F4571</f>
        <v/>
      </c>
      <c r="H4571" s="19" t="n">
        <v>1</v>
      </c>
      <c r="I4571" s="57" t="n">
        <v>7</v>
      </c>
    </row>
    <row r="4572">
      <c r="A4572" s="62" t="n">
        <v>46299</v>
      </c>
      <c r="B4572" s="3" t="inlineStr">
        <is>
          <t>Sun</t>
        </is>
      </c>
      <c r="C4572" s="19" t="n">
        <v>10</v>
      </c>
      <c r="D4572" s="19" t="n">
        <v>2026</v>
      </c>
      <c r="E4572" s="57" t="n">
        <v>5</v>
      </c>
      <c r="F4572" s="29">
        <f>ROUND(((SUMIFS(Calendar!$F$2:$F$9997,Calendar!$B$2:$B$9997,D4572,Calendar!$C$2:$C$9997,C4572)*INDEX(ForeCalc!$B$37:$Y$274,MATCH(_xlfn.CONCAT(H4572," ",I4572),ForeCalc!$A$37:$A$274,0),MATCH(_xlfn.CONCAT(B4572," ",E4572),ForeCalc!$B$36:$Y$36,0))))*VLOOKUP(A4572,Calendar!$A$2:$H$9997,8,FALSE),0)</f>
        <v/>
      </c>
      <c r="G4572" s="29">
        <f>VLOOKUP(A4572,Calendar!$A$1:$H$9997,6,FALSE)-F4572</f>
        <v/>
      </c>
      <c r="H4572" s="19" t="n">
        <v>1</v>
      </c>
      <c r="I4572" s="57" t="n">
        <v>7</v>
      </c>
    </row>
    <row r="4573">
      <c r="A4573" s="62" t="n">
        <v>46300</v>
      </c>
      <c r="B4573" s="3" t="inlineStr">
        <is>
          <t>Week</t>
        </is>
      </c>
      <c r="C4573" s="19" t="n">
        <v>10</v>
      </c>
      <c r="D4573" s="19" t="n">
        <v>2026</v>
      </c>
      <c r="E4573" s="57" t="n">
        <v>5</v>
      </c>
      <c r="F4573" s="29">
        <f>ROUND(((SUMIFS(Calendar!$F$2:$F$9997,Calendar!$B$2:$B$9997,D4573,Calendar!$C$2:$C$9997,C4573)*INDEX(ForeCalc!$B$37:$Y$274,MATCH(_xlfn.CONCAT(H4573," ",I4573),ForeCalc!$A$37:$A$274,0),MATCH(_xlfn.CONCAT(B4573," ",E4573),ForeCalc!$B$36:$Y$36,0))))*VLOOKUP(A4573,Calendar!$A$2:$H$9997,8,FALSE),0)</f>
        <v/>
      </c>
      <c r="G4573" s="29">
        <f>VLOOKUP(A4573,Calendar!$A$1:$H$9997,6,FALSE)-F4573</f>
        <v/>
      </c>
      <c r="H4573" s="19" t="n">
        <v>1</v>
      </c>
      <c r="I4573" s="57" t="n">
        <v>7</v>
      </c>
    </row>
    <row r="4574">
      <c r="A4574" s="62" t="n">
        <v>46301</v>
      </c>
      <c r="B4574" s="3" t="inlineStr">
        <is>
          <t>Week</t>
        </is>
      </c>
      <c r="C4574" s="19" t="n">
        <v>10</v>
      </c>
      <c r="D4574" s="19" t="n">
        <v>2026</v>
      </c>
      <c r="E4574" s="57" t="n">
        <v>5</v>
      </c>
      <c r="F4574" s="29">
        <f>ROUND(((SUMIFS(Calendar!$F$2:$F$9997,Calendar!$B$2:$B$9997,D4574,Calendar!$C$2:$C$9997,C4574)*INDEX(ForeCalc!$B$37:$Y$274,MATCH(_xlfn.CONCAT(H4574," ",I4574),ForeCalc!$A$37:$A$274,0),MATCH(_xlfn.CONCAT(B4574," ",E4574),ForeCalc!$B$36:$Y$36,0))))*VLOOKUP(A4574,Calendar!$A$2:$H$9997,8,FALSE),0)</f>
        <v/>
      </c>
      <c r="G4574" s="29">
        <f>VLOOKUP(A4574,Calendar!$A$1:$H$9997,6,FALSE)-F4574</f>
        <v/>
      </c>
      <c r="H4574" s="19" t="n">
        <v>1</v>
      </c>
      <c r="I4574" s="57" t="n">
        <v>7</v>
      </c>
    </row>
    <row r="4575">
      <c r="A4575" s="62" t="n">
        <v>46302</v>
      </c>
      <c r="B4575" s="3" t="inlineStr">
        <is>
          <t>Week</t>
        </is>
      </c>
      <c r="C4575" s="19" t="n">
        <v>10</v>
      </c>
      <c r="D4575" s="19" t="n">
        <v>2026</v>
      </c>
      <c r="E4575" s="57" t="n">
        <v>5</v>
      </c>
      <c r="F4575" s="29">
        <f>ROUND(((SUMIFS(Calendar!$F$2:$F$9997,Calendar!$B$2:$B$9997,D4575,Calendar!$C$2:$C$9997,C4575)*INDEX(ForeCalc!$B$37:$Y$274,MATCH(_xlfn.CONCAT(H4575," ",I4575),ForeCalc!$A$37:$A$274,0),MATCH(_xlfn.CONCAT(B4575," ",E4575),ForeCalc!$B$36:$Y$36,0))))*VLOOKUP(A4575,Calendar!$A$2:$H$9997,8,FALSE),0)</f>
        <v/>
      </c>
      <c r="G4575" s="29">
        <f>VLOOKUP(A4575,Calendar!$A$1:$H$9997,6,FALSE)-F4575</f>
        <v/>
      </c>
      <c r="H4575" s="19" t="n">
        <v>1</v>
      </c>
      <c r="I4575" s="57" t="n">
        <v>7</v>
      </c>
    </row>
    <row r="4576">
      <c r="A4576" s="62" t="n">
        <v>46303</v>
      </c>
      <c r="B4576" s="3" t="inlineStr">
        <is>
          <t>Week</t>
        </is>
      </c>
      <c r="C4576" s="19" t="n">
        <v>10</v>
      </c>
      <c r="D4576" s="19" t="n">
        <v>2026</v>
      </c>
      <c r="E4576" s="57" t="n">
        <v>5</v>
      </c>
      <c r="F4576" s="29">
        <f>ROUND(((SUMIFS(Calendar!$F$2:$F$9997,Calendar!$B$2:$B$9997,D4576,Calendar!$C$2:$C$9997,C4576)*INDEX(ForeCalc!$B$37:$Y$274,MATCH(_xlfn.CONCAT(H4576," ",I4576),ForeCalc!$A$37:$A$274,0),MATCH(_xlfn.CONCAT(B4576," ",E4576),ForeCalc!$B$36:$Y$36,0))))*VLOOKUP(A4576,Calendar!$A$2:$H$9997,8,FALSE),0)</f>
        <v/>
      </c>
      <c r="G4576" s="29">
        <f>VLOOKUP(A4576,Calendar!$A$1:$H$9997,6,FALSE)-F4576</f>
        <v/>
      </c>
      <c r="H4576" s="19" t="n">
        <v>1</v>
      </c>
      <c r="I4576" s="57" t="n">
        <v>7</v>
      </c>
    </row>
    <row r="4577">
      <c r="A4577" s="62" t="n">
        <v>46304</v>
      </c>
      <c r="B4577" s="3" t="inlineStr">
        <is>
          <t>Week</t>
        </is>
      </c>
      <c r="C4577" s="19" t="n">
        <v>10</v>
      </c>
      <c r="D4577" s="19" t="n">
        <v>2026</v>
      </c>
      <c r="E4577" s="57" t="n">
        <v>5</v>
      </c>
      <c r="F4577" s="29">
        <f>ROUND(((SUMIFS(Calendar!$F$2:$F$9997,Calendar!$B$2:$B$9997,D4577,Calendar!$C$2:$C$9997,C4577)*INDEX(ForeCalc!$B$37:$Y$274,MATCH(_xlfn.CONCAT(H4577," ",I4577),ForeCalc!$A$37:$A$274,0),MATCH(_xlfn.CONCAT(B4577," ",E4577),ForeCalc!$B$36:$Y$36,0))))*VLOOKUP(A4577,Calendar!$A$2:$H$9997,8,FALSE),0)</f>
        <v/>
      </c>
      <c r="G4577" s="29">
        <f>VLOOKUP(A4577,Calendar!$A$1:$H$9997,6,FALSE)-F4577</f>
        <v/>
      </c>
      <c r="H4577" s="19" t="n">
        <v>1</v>
      </c>
      <c r="I4577" s="57" t="n">
        <v>7</v>
      </c>
    </row>
    <row r="4578">
      <c r="A4578" s="62" t="n">
        <v>46305</v>
      </c>
      <c r="B4578" s="3" t="inlineStr">
        <is>
          <t>Sat</t>
        </is>
      </c>
      <c r="C4578" s="19" t="n">
        <v>10</v>
      </c>
      <c r="D4578" s="19" t="n">
        <v>2026</v>
      </c>
      <c r="E4578" s="57" t="n">
        <v>5</v>
      </c>
      <c r="F4578" s="29">
        <f>ROUND(((SUMIFS(Calendar!$F$2:$F$9997,Calendar!$B$2:$B$9997,D4578,Calendar!$C$2:$C$9997,C4578)*INDEX(ForeCalc!$B$37:$Y$274,MATCH(_xlfn.CONCAT(H4578," ",I4578),ForeCalc!$A$37:$A$274,0),MATCH(_xlfn.CONCAT(B4578," ",E4578),ForeCalc!$B$36:$Y$36,0))))*VLOOKUP(A4578,Calendar!$A$2:$H$9997,8,FALSE),0)</f>
        <v/>
      </c>
      <c r="G4578" s="29">
        <f>VLOOKUP(A4578,Calendar!$A$1:$H$9997,6,FALSE)-F4578</f>
        <v/>
      </c>
      <c r="H4578" s="19" t="n">
        <v>1</v>
      </c>
      <c r="I4578" s="57" t="n">
        <v>7</v>
      </c>
    </row>
    <row r="4579">
      <c r="A4579" s="62" t="n">
        <v>46306</v>
      </c>
      <c r="B4579" s="3" t="inlineStr">
        <is>
          <t>Sun</t>
        </is>
      </c>
      <c r="C4579" s="19" t="n">
        <v>10</v>
      </c>
      <c r="D4579" s="19" t="n">
        <v>2026</v>
      </c>
      <c r="E4579" s="57" t="n">
        <v>5</v>
      </c>
      <c r="F4579" s="29">
        <f>ROUND(((SUMIFS(Calendar!$F$2:$F$9997,Calendar!$B$2:$B$9997,D4579,Calendar!$C$2:$C$9997,C4579)*INDEX(ForeCalc!$B$37:$Y$274,MATCH(_xlfn.CONCAT(H4579," ",I4579),ForeCalc!$A$37:$A$274,0),MATCH(_xlfn.CONCAT(B4579," ",E4579),ForeCalc!$B$36:$Y$36,0))))*VLOOKUP(A4579,Calendar!$A$2:$H$9997,8,FALSE),0)</f>
        <v/>
      </c>
      <c r="G4579" s="29">
        <f>VLOOKUP(A4579,Calendar!$A$1:$H$9997,6,FALSE)-F4579</f>
        <v/>
      </c>
      <c r="H4579" s="19" t="n">
        <v>1</v>
      </c>
      <c r="I4579" s="57" t="n">
        <v>7</v>
      </c>
    </row>
    <row r="4580">
      <c r="A4580" s="62" t="n">
        <v>46307</v>
      </c>
      <c r="B4580" s="3" t="inlineStr">
        <is>
          <t>Week</t>
        </is>
      </c>
      <c r="C4580" s="19" t="n">
        <v>10</v>
      </c>
      <c r="D4580" s="19" t="n">
        <v>2026</v>
      </c>
      <c r="E4580" s="57" t="n">
        <v>5</v>
      </c>
      <c r="F4580" s="29">
        <f>ROUND(((SUMIFS(Calendar!$F$2:$F$9997,Calendar!$B$2:$B$9997,D4580,Calendar!$C$2:$C$9997,C4580)*INDEX(ForeCalc!$B$37:$Y$274,MATCH(_xlfn.CONCAT(H4580," ",I4580),ForeCalc!$A$37:$A$274,0),MATCH(_xlfn.CONCAT(B4580," ",E4580),ForeCalc!$B$36:$Y$36,0))))*VLOOKUP(A4580,Calendar!$A$2:$H$9997,8,FALSE),0)</f>
        <v/>
      </c>
      <c r="G4580" s="29">
        <f>VLOOKUP(A4580,Calendar!$A$1:$H$9997,6,FALSE)-F4580</f>
        <v/>
      </c>
      <c r="H4580" s="19" t="n">
        <v>1</v>
      </c>
      <c r="I4580" s="57" t="n">
        <v>7</v>
      </c>
    </row>
    <row r="4581">
      <c r="A4581" s="62" t="n">
        <v>46308</v>
      </c>
      <c r="B4581" s="3" t="inlineStr">
        <is>
          <t>Week</t>
        </is>
      </c>
      <c r="C4581" s="19" t="n">
        <v>10</v>
      </c>
      <c r="D4581" s="19" t="n">
        <v>2026</v>
      </c>
      <c r="E4581" s="57" t="n">
        <v>5</v>
      </c>
      <c r="F4581" s="29">
        <f>ROUND(((SUMIFS(Calendar!$F$2:$F$9997,Calendar!$B$2:$B$9997,D4581,Calendar!$C$2:$C$9997,C4581)*INDEX(ForeCalc!$B$37:$Y$274,MATCH(_xlfn.CONCAT(H4581," ",I4581),ForeCalc!$A$37:$A$274,0),MATCH(_xlfn.CONCAT(B4581," ",E4581),ForeCalc!$B$36:$Y$36,0))))*VLOOKUP(A4581,Calendar!$A$2:$H$9997,8,FALSE),0)</f>
        <v/>
      </c>
      <c r="G4581" s="29">
        <f>VLOOKUP(A4581,Calendar!$A$1:$H$9997,6,FALSE)-F4581</f>
        <v/>
      </c>
      <c r="H4581" s="19" t="n">
        <v>1</v>
      </c>
      <c r="I4581" s="57" t="n">
        <v>7</v>
      </c>
    </row>
    <row r="4582">
      <c r="A4582" s="62" t="n">
        <v>46309</v>
      </c>
      <c r="B4582" s="3" t="inlineStr">
        <is>
          <t>Week</t>
        </is>
      </c>
      <c r="C4582" s="19" t="n">
        <v>10</v>
      </c>
      <c r="D4582" s="19" t="n">
        <v>2026</v>
      </c>
      <c r="E4582" s="57" t="n">
        <v>5</v>
      </c>
      <c r="F4582" s="29">
        <f>ROUND(((SUMIFS(Calendar!$F$2:$F$9997,Calendar!$B$2:$B$9997,D4582,Calendar!$C$2:$C$9997,C4582)*INDEX(ForeCalc!$B$37:$Y$274,MATCH(_xlfn.CONCAT(H4582," ",I4582),ForeCalc!$A$37:$A$274,0),MATCH(_xlfn.CONCAT(B4582," ",E4582),ForeCalc!$B$36:$Y$36,0))))*VLOOKUP(A4582,Calendar!$A$2:$H$9997,8,FALSE),0)</f>
        <v/>
      </c>
      <c r="G4582" s="29">
        <f>VLOOKUP(A4582,Calendar!$A$1:$H$9997,6,FALSE)-F4582</f>
        <v/>
      </c>
      <c r="H4582" s="19" t="n">
        <v>1</v>
      </c>
      <c r="I4582" s="57" t="n">
        <v>7</v>
      </c>
    </row>
    <row r="4583">
      <c r="A4583" s="62" t="n">
        <v>46310</v>
      </c>
      <c r="B4583" s="3" t="inlineStr">
        <is>
          <t>Week</t>
        </is>
      </c>
      <c r="C4583" s="19" t="n">
        <v>10</v>
      </c>
      <c r="D4583" s="19" t="n">
        <v>2026</v>
      </c>
      <c r="E4583" s="57" t="n">
        <v>5</v>
      </c>
      <c r="F4583" s="29">
        <f>ROUND(((SUMIFS(Calendar!$F$2:$F$9997,Calendar!$B$2:$B$9997,D4583,Calendar!$C$2:$C$9997,C4583)*INDEX(ForeCalc!$B$37:$Y$274,MATCH(_xlfn.CONCAT(H4583," ",I4583),ForeCalc!$A$37:$A$274,0),MATCH(_xlfn.CONCAT(B4583," ",E4583),ForeCalc!$B$36:$Y$36,0))))*VLOOKUP(A4583,Calendar!$A$2:$H$9997,8,FALSE),0)</f>
        <v/>
      </c>
      <c r="G4583" s="29">
        <f>VLOOKUP(A4583,Calendar!$A$1:$H$9997,6,FALSE)-F4583</f>
        <v/>
      </c>
      <c r="H4583" s="19" t="n">
        <v>1</v>
      </c>
      <c r="I4583" s="57" t="n">
        <v>7</v>
      </c>
    </row>
    <row r="4584">
      <c r="A4584" s="62" t="n">
        <v>46311</v>
      </c>
      <c r="B4584" s="3" t="inlineStr">
        <is>
          <t>Week</t>
        </is>
      </c>
      <c r="C4584" s="19" t="n">
        <v>10</v>
      </c>
      <c r="D4584" s="19" t="n">
        <v>2026</v>
      </c>
      <c r="E4584" s="57" t="n">
        <v>5</v>
      </c>
      <c r="F4584" s="29">
        <f>ROUND(((SUMIFS(Calendar!$F$2:$F$9997,Calendar!$B$2:$B$9997,D4584,Calendar!$C$2:$C$9997,C4584)*INDEX(ForeCalc!$B$37:$Y$274,MATCH(_xlfn.CONCAT(H4584," ",I4584),ForeCalc!$A$37:$A$274,0),MATCH(_xlfn.CONCAT(B4584," ",E4584),ForeCalc!$B$36:$Y$36,0))))*VLOOKUP(A4584,Calendar!$A$2:$H$9997,8,FALSE),0)</f>
        <v/>
      </c>
      <c r="G4584" s="29">
        <f>VLOOKUP(A4584,Calendar!$A$1:$H$9997,6,FALSE)-F4584</f>
        <v/>
      </c>
      <c r="H4584" s="19" t="n">
        <v>1</v>
      </c>
      <c r="I4584" s="57" t="n">
        <v>7</v>
      </c>
    </row>
    <row r="4585">
      <c r="A4585" s="62" t="n">
        <v>46312</v>
      </c>
      <c r="B4585" s="3" t="inlineStr">
        <is>
          <t>Sat</t>
        </is>
      </c>
      <c r="C4585" s="19" t="n">
        <v>10</v>
      </c>
      <c r="D4585" s="19" t="n">
        <v>2026</v>
      </c>
      <c r="E4585" s="57" t="n">
        <v>5</v>
      </c>
      <c r="F4585" s="29">
        <f>ROUND(((SUMIFS(Calendar!$F$2:$F$9997,Calendar!$B$2:$B$9997,D4585,Calendar!$C$2:$C$9997,C4585)*INDEX(ForeCalc!$B$37:$Y$274,MATCH(_xlfn.CONCAT(H4585," ",I4585),ForeCalc!$A$37:$A$274,0),MATCH(_xlfn.CONCAT(B4585," ",E4585),ForeCalc!$B$36:$Y$36,0))))*VLOOKUP(A4585,Calendar!$A$2:$H$9997,8,FALSE),0)</f>
        <v/>
      </c>
      <c r="G4585" s="29">
        <f>VLOOKUP(A4585,Calendar!$A$1:$H$9997,6,FALSE)-F4585</f>
        <v/>
      </c>
      <c r="H4585" s="19" t="n">
        <v>1</v>
      </c>
      <c r="I4585" s="57" t="n">
        <v>7</v>
      </c>
    </row>
    <row r="4586">
      <c r="A4586" s="62" t="n">
        <v>46313</v>
      </c>
      <c r="B4586" s="3" t="inlineStr">
        <is>
          <t>Sun</t>
        </is>
      </c>
      <c r="C4586" s="19" t="n">
        <v>10</v>
      </c>
      <c r="D4586" s="19" t="n">
        <v>2026</v>
      </c>
      <c r="E4586" s="57" t="n">
        <v>5</v>
      </c>
      <c r="F4586" s="29">
        <f>ROUND(((SUMIFS(Calendar!$F$2:$F$9997,Calendar!$B$2:$B$9997,D4586,Calendar!$C$2:$C$9997,C4586)*INDEX(ForeCalc!$B$37:$Y$274,MATCH(_xlfn.CONCAT(H4586," ",I4586),ForeCalc!$A$37:$A$274,0),MATCH(_xlfn.CONCAT(B4586," ",E4586),ForeCalc!$B$36:$Y$36,0))))*VLOOKUP(A4586,Calendar!$A$2:$H$9997,8,FALSE),0)</f>
        <v/>
      </c>
      <c r="G4586" s="29">
        <f>VLOOKUP(A4586,Calendar!$A$1:$H$9997,6,FALSE)-F4586</f>
        <v/>
      </c>
      <c r="H4586" s="19" t="n">
        <v>1</v>
      </c>
      <c r="I4586" s="57" t="n">
        <v>7</v>
      </c>
    </row>
    <row r="4587">
      <c r="A4587" s="62" t="n">
        <v>46314</v>
      </c>
      <c r="B4587" s="3" t="inlineStr">
        <is>
          <t>Week</t>
        </is>
      </c>
      <c r="C4587" s="19" t="n">
        <v>10</v>
      </c>
      <c r="D4587" s="19" t="n">
        <v>2026</v>
      </c>
      <c r="E4587" s="57" t="n">
        <v>5</v>
      </c>
      <c r="F4587" s="29">
        <f>ROUND(((SUMIFS(Calendar!$F$2:$F$9997,Calendar!$B$2:$B$9997,D4587,Calendar!$C$2:$C$9997,C4587)*INDEX(ForeCalc!$B$37:$Y$274,MATCH(_xlfn.CONCAT(H4587," ",I4587),ForeCalc!$A$37:$A$274,0),MATCH(_xlfn.CONCAT(B4587," ",E4587),ForeCalc!$B$36:$Y$36,0))))*VLOOKUP(A4587,Calendar!$A$2:$H$9997,8,FALSE),0)</f>
        <v/>
      </c>
      <c r="G4587" s="29">
        <f>VLOOKUP(A4587,Calendar!$A$1:$H$9997,6,FALSE)-F4587</f>
        <v/>
      </c>
      <c r="H4587" s="19" t="n">
        <v>1</v>
      </c>
      <c r="I4587" s="57" t="n">
        <v>7</v>
      </c>
    </row>
    <row r="4588">
      <c r="A4588" s="62" t="n">
        <v>46315</v>
      </c>
      <c r="B4588" s="3" t="inlineStr">
        <is>
          <t>Week</t>
        </is>
      </c>
      <c r="C4588" s="19" t="n">
        <v>10</v>
      </c>
      <c r="D4588" s="19" t="n">
        <v>2026</v>
      </c>
      <c r="E4588" s="57" t="n">
        <v>5</v>
      </c>
      <c r="F4588" s="29">
        <f>ROUND(((SUMIFS(Calendar!$F$2:$F$9997,Calendar!$B$2:$B$9997,D4588,Calendar!$C$2:$C$9997,C4588)*INDEX(ForeCalc!$B$37:$Y$274,MATCH(_xlfn.CONCAT(H4588," ",I4588),ForeCalc!$A$37:$A$274,0),MATCH(_xlfn.CONCAT(B4588," ",E4588),ForeCalc!$B$36:$Y$36,0))))*VLOOKUP(A4588,Calendar!$A$2:$H$9997,8,FALSE),0)</f>
        <v/>
      </c>
      <c r="G4588" s="29">
        <f>VLOOKUP(A4588,Calendar!$A$1:$H$9997,6,FALSE)-F4588</f>
        <v/>
      </c>
      <c r="H4588" s="19" t="n">
        <v>1</v>
      </c>
      <c r="I4588" s="57" t="n">
        <v>7</v>
      </c>
    </row>
    <row r="4589">
      <c r="A4589" s="62" t="n">
        <v>46316</v>
      </c>
      <c r="B4589" s="3" t="inlineStr">
        <is>
          <t>Week</t>
        </is>
      </c>
      <c r="C4589" s="19" t="n">
        <v>10</v>
      </c>
      <c r="D4589" s="19" t="n">
        <v>2026</v>
      </c>
      <c r="E4589" s="57" t="n">
        <v>5</v>
      </c>
      <c r="F4589" s="29">
        <f>ROUND(((SUMIFS(Calendar!$F$2:$F$9997,Calendar!$B$2:$B$9997,D4589,Calendar!$C$2:$C$9997,C4589)*INDEX(ForeCalc!$B$37:$Y$274,MATCH(_xlfn.CONCAT(H4589," ",I4589),ForeCalc!$A$37:$A$274,0),MATCH(_xlfn.CONCAT(B4589," ",E4589),ForeCalc!$B$36:$Y$36,0))))*VLOOKUP(A4589,Calendar!$A$2:$H$9997,8,FALSE),0)</f>
        <v/>
      </c>
      <c r="G4589" s="29">
        <f>VLOOKUP(A4589,Calendar!$A$1:$H$9997,6,FALSE)-F4589</f>
        <v/>
      </c>
      <c r="H4589" s="19" t="n">
        <v>1</v>
      </c>
      <c r="I4589" s="57" t="n">
        <v>7</v>
      </c>
    </row>
    <row r="4590">
      <c r="A4590" s="62" t="n">
        <v>46317</v>
      </c>
      <c r="B4590" s="3" t="inlineStr">
        <is>
          <t>Week</t>
        </is>
      </c>
      <c r="C4590" s="19" t="n">
        <v>10</v>
      </c>
      <c r="D4590" s="19" t="n">
        <v>2026</v>
      </c>
      <c r="E4590" s="57" t="n">
        <v>5</v>
      </c>
      <c r="F4590" s="29">
        <f>ROUND(((SUMIFS(Calendar!$F$2:$F$9997,Calendar!$B$2:$B$9997,D4590,Calendar!$C$2:$C$9997,C4590)*INDEX(ForeCalc!$B$37:$Y$274,MATCH(_xlfn.CONCAT(H4590," ",I4590),ForeCalc!$A$37:$A$274,0),MATCH(_xlfn.CONCAT(B4590," ",E4590),ForeCalc!$B$36:$Y$36,0))))*VLOOKUP(A4590,Calendar!$A$2:$H$9997,8,FALSE),0)</f>
        <v/>
      </c>
      <c r="G4590" s="29">
        <f>VLOOKUP(A4590,Calendar!$A$1:$H$9997,6,FALSE)-F4590</f>
        <v/>
      </c>
      <c r="H4590" s="19" t="n">
        <v>1</v>
      </c>
      <c r="I4590" s="57" t="n">
        <v>7</v>
      </c>
    </row>
    <row r="4591">
      <c r="A4591" s="62" t="n">
        <v>46318</v>
      </c>
      <c r="B4591" s="3" t="inlineStr">
        <is>
          <t>Week</t>
        </is>
      </c>
      <c r="C4591" s="19" t="n">
        <v>10</v>
      </c>
      <c r="D4591" s="19" t="n">
        <v>2026</v>
      </c>
      <c r="E4591" s="57" t="n">
        <v>5</v>
      </c>
      <c r="F4591" s="29">
        <f>ROUND(((SUMIFS(Calendar!$F$2:$F$9997,Calendar!$B$2:$B$9997,D4591,Calendar!$C$2:$C$9997,C4591)*INDEX(ForeCalc!$B$37:$Y$274,MATCH(_xlfn.CONCAT(H4591," ",I4591),ForeCalc!$A$37:$A$274,0),MATCH(_xlfn.CONCAT(B4591," ",E4591),ForeCalc!$B$36:$Y$36,0))))*VLOOKUP(A4591,Calendar!$A$2:$H$9997,8,FALSE),0)</f>
        <v/>
      </c>
      <c r="G4591" s="29">
        <f>VLOOKUP(A4591,Calendar!$A$1:$H$9997,6,FALSE)-F4591</f>
        <v/>
      </c>
      <c r="H4591" s="19" t="n">
        <v>1</v>
      </c>
      <c r="I4591" s="57" t="n">
        <v>7</v>
      </c>
    </row>
    <row r="4592">
      <c r="A4592" s="62" t="n">
        <v>46319</v>
      </c>
      <c r="B4592" s="3" t="inlineStr">
        <is>
          <t>Sat</t>
        </is>
      </c>
      <c r="C4592" s="19" t="n">
        <v>10</v>
      </c>
      <c r="D4592" s="19" t="n">
        <v>2026</v>
      </c>
      <c r="E4592" s="57" t="n">
        <v>5</v>
      </c>
      <c r="F4592" s="29">
        <f>ROUND(((SUMIFS(Calendar!$F$2:$F$9997,Calendar!$B$2:$B$9997,D4592,Calendar!$C$2:$C$9997,C4592)*INDEX(ForeCalc!$B$37:$Y$274,MATCH(_xlfn.CONCAT(H4592," ",I4592),ForeCalc!$A$37:$A$274,0),MATCH(_xlfn.CONCAT(B4592," ",E4592),ForeCalc!$B$36:$Y$36,0))))*VLOOKUP(A4592,Calendar!$A$2:$H$9997,8,FALSE),0)</f>
        <v/>
      </c>
      <c r="G4592" s="29">
        <f>VLOOKUP(A4592,Calendar!$A$1:$H$9997,6,FALSE)-F4592</f>
        <v/>
      </c>
      <c r="H4592" s="19" t="n">
        <v>1</v>
      </c>
      <c r="I4592" s="57" t="n">
        <v>7</v>
      </c>
    </row>
    <row r="4593">
      <c r="A4593" s="62" t="n">
        <v>46320</v>
      </c>
      <c r="B4593" s="3" t="inlineStr">
        <is>
          <t>Sun</t>
        </is>
      </c>
      <c r="C4593" s="19" t="n">
        <v>10</v>
      </c>
      <c r="D4593" s="19" t="n">
        <v>2026</v>
      </c>
      <c r="E4593" s="57" t="n">
        <v>5</v>
      </c>
      <c r="F4593" s="29">
        <f>ROUND(((SUMIFS(Calendar!$F$2:$F$9997,Calendar!$B$2:$B$9997,D4593,Calendar!$C$2:$C$9997,C4593)*INDEX(ForeCalc!$B$37:$Y$274,MATCH(_xlfn.CONCAT(H4593," ",I4593),ForeCalc!$A$37:$A$274,0),MATCH(_xlfn.CONCAT(B4593," ",E4593),ForeCalc!$B$36:$Y$36,0))))*VLOOKUP(A4593,Calendar!$A$2:$H$9997,8,FALSE),0)</f>
        <v/>
      </c>
      <c r="G4593" s="29">
        <f>VLOOKUP(A4593,Calendar!$A$1:$H$9997,6,FALSE)-F4593</f>
        <v/>
      </c>
      <c r="H4593" s="19" t="n">
        <v>1</v>
      </c>
      <c r="I4593" s="57" t="n">
        <v>7</v>
      </c>
    </row>
    <row r="4594">
      <c r="A4594" s="62" t="n">
        <v>46321</v>
      </c>
      <c r="B4594" s="3" t="inlineStr">
        <is>
          <t>Week</t>
        </is>
      </c>
      <c r="C4594" s="19" t="n">
        <v>10</v>
      </c>
      <c r="D4594" s="19" t="n">
        <v>2026</v>
      </c>
      <c r="E4594" s="57" t="n">
        <v>5</v>
      </c>
      <c r="F4594" s="29">
        <f>ROUND(((SUMIFS(Calendar!$F$2:$F$9997,Calendar!$B$2:$B$9997,D4594,Calendar!$C$2:$C$9997,C4594)*INDEX(ForeCalc!$B$37:$Y$274,MATCH(_xlfn.CONCAT(H4594," ",I4594),ForeCalc!$A$37:$A$274,0),MATCH(_xlfn.CONCAT(B4594," ",E4594),ForeCalc!$B$36:$Y$36,0))))*VLOOKUP(A4594,Calendar!$A$2:$H$9997,8,FALSE),0)</f>
        <v/>
      </c>
      <c r="G4594" s="29">
        <f>VLOOKUP(A4594,Calendar!$A$1:$H$9997,6,FALSE)-F4594</f>
        <v/>
      </c>
      <c r="H4594" s="19" t="n">
        <v>1</v>
      </c>
      <c r="I4594" s="57" t="n">
        <v>7</v>
      </c>
    </row>
    <row r="4595">
      <c r="A4595" s="62" t="n">
        <v>46322</v>
      </c>
      <c r="B4595" s="3" t="inlineStr">
        <is>
          <t>Week</t>
        </is>
      </c>
      <c r="C4595" s="19" t="n">
        <v>10</v>
      </c>
      <c r="D4595" s="19" t="n">
        <v>2026</v>
      </c>
      <c r="E4595" s="57" t="n">
        <v>5</v>
      </c>
      <c r="F4595" s="29">
        <f>ROUND(((SUMIFS(Calendar!$F$2:$F$9997,Calendar!$B$2:$B$9997,D4595,Calendar!$C$2:$C$9997,C4595)*INDEX(ForeCalc!$B$37:$Y$274,MATCH(_xlfn.CONCAT(H4595," ",I4595),ForeCalc!$A$37:$A$274,0),MATCH(_xlfn.CONCAT(B4595," ",E4595),ForeCalc!$B$36:$Y$36,0))))*VLOOKUP(A4595,Calendar!$A$2:$H$9997,8,FALSE),0)</f>
        <v/>
      </c>
      <c r="G4595" s="29">
        <f>VLOOKUP(A4595,Calendar!$A$1:$H$9997,6,FALSE)-F4595</f>
        <v/>
      </c>
      <c r="H4595" s="19" t="n">
        <v>1</v>
      </c>
      <c r="I4595" s="57" t="n">
        <v>7</v>
      </c>
    </row>
    <row r="4596">
      <c r="A4596" s="62" t="n">
        <v>46323</v>
      </c>
      <c r="B4596" s="3" t="inlineStr">
        <is>
          <t>Week</t>
        </is>
      </c>
      <c r="C4596" s="19" t="n">
        <v>10</v>
      </c>
      <c r="D4596" s="19" t="n">
        <v>2026</v>
      </c>
      <c r="E4596" s="57" t="n">
        <v>5</v>
      </c>
      <c r="F4596" s="29">
        <f>ROUND(((SUMIFS(Calendar!$F$2:$F$9997,Calendar!$B$2:$B$9997,D4596,Calendar!$C$2:$C$9997,C4596)*INDEX(ForeCalc!$B$37:$Y$274,MATCH(_xlfn.CONCAT(H4596," ",I4596),ForeCalc!$A$37:$A$274,0),MATCH(_xlfn.CONCAT(B4596," ",E4596),ForeCalc!$B$36:$Y$36,0))))*VLOOKUP(A4596,Calendar!$A$2:$H$9997,8,FALSE),0)</f>
        <v/>
      </c>
      <c r="G4596" s="29">
        <f>VLOOKUP(A4596,Calendar!$A$1:$H$9997,6,FALSE)-F4596</f>
        <v/>
      </c>
      <c r="H4596" s="19" t="n">
        <v>1</v>
      </c>
      <c r="I4596" s="57" t="n">
        <v>7</v>
      </c>
    </row>
    <row r="4597">
      <c r="A4597" s="62" t="n">
        <v>46324</v>
      </c>
      <c r="B4597" s="3" t="inlineStr">
        <is>
          <t>Week</t>
        </is>
      </c>
      <c r="C4597" s="19" t="n">
        <v>10</v>
      </c>
      <c r="D4597" s="19" t="n">
        <v>2026</v>
      </c>
      <c r="E4597" s="57" t="n">
        <v>5</v>
      </c>
      <c r="F4597" s="29">
        <f>ROUND(((SUMIFS(Calendar!$F$2:$F$9997,Calendar!$B$2:$B$9997,D4597,Calendar!$C$2:$C$9997,C4597)*INDEX(ForeCalc!$B$37:$Y$274,MATCH(_xlfn.CONCAT(H4597," ",I4597),ForeCalc!$A$37:$A$274,0),MATCH(_xlfn.CONCAT(B4597," ",E4597),ForeCalc!$B$36:$Y$36,0))))*VLOOKUP(A4597,Calendar!$A$2:$H$9997,8,FALSE),0)</f>
        <v/>
      </c>
      <c r="G4597" s="29">
        <f>VLOOKUP(A4597,Calendar!$A$1:$H$9997,6,FALSE)-F4597</f>
        <v/>
      </c>
      <c r="H4597" s="19" t="n">
        <v>1</v>
      </c>
      <c r="I4597" s="57" t="n">
        <v>7</v>
      </c>
    </row>
    <row r="4598">
      <c r="A4598" s="62" t="n">
        <v>46325</v>
      </c>
      <c r="B4598" s="3" t="inlineStr">
        <is>
          <t>Week</t>
        </is>
      </c>
      <c r="C4598" s="19" t="n">
        <v>10</v>
      </c>
      <c r="D4598" s="19" t="n">
        <v>2026</v>
      </c>
      <c r="E4598" s="57" t="n">
        <v>5</v>
      </c>
      <c r="F4598" s="29">
        <f>ROUND(((SUMIFS(Calendar!$F$2:$F$9997,Calendar!$B$2:$B$9997,D4598,Calendar!$C$2:$C$9997,C4598)*INDEX(ForeCalc!$B$37:$Y$274,MATCH(_xlfn.CONCAT(H4598," ",I4598),ForeCalc!$A$37:$A$274,0),MATCH(_xlfn.CONCAT(B4598," ",E4598),ForeCalc!$B$36:$Y$36,0))))*VLOOKUP(A4598,Calendar!$A$2:$H$9997,8,FALSE),0)</f>
        <v/>
      </c>
      <c r="G4598" s="29">
        <f>VLOOKUP(A4598,Calendar!$A$1:$H$9997,6,FALSE)-F4598</f>
        <v/>
      </c>
      <c r="H4598" s="19" t="n">
        <v>1</v>
      </c>
      <c r="I4598" s="57" t="n">
        <v>7</v>
      </c>
    </row>
    <row r="4599">
      <c r="A4599" s="62" t="n">
        <v>46326</v>
      </c>
      <c r="B4599" s="3" t="inlineStr">
        <is>
          <t>Sat</t>
        </is>
      </c>
      <c r="C4599" s="19" t="n">
        <v>10</v>
      </c>
      <c r="D4599" s="19" t="n">
        <v>2026</v>
      </c>
      <c r="E4599" s="57" t="n">
        <v>5</v>
      </c>
      <c r="F4599" s="29">
        <f>ROUND(((SUMIFS(Calendar!$F$2:$F$9997,Calendar!$B$2:$B$9997,D4599,Calendar!$C$2:$C$9997,C4599)*INDEX(ForeCalc!$B$37:$Y$274,MATCH(_xlfn.CONCAT(H4599," ",I4599),ForeCalc!$A$37:$A$274,0),MATCH(_xlfn.CONCAT(B4599," ",E4599),ForeCalc!$B$36:$Y$36,0))))*VLOOKUP(A4599,Calendar!$A$2:$H$9997,8,FALSE),0)</f>
        <v/>
      </c>
      <c r="G4599" s="29">
        <f>VLOOKUP(A4599,Calendar!$A$1:$H$9997,6,FALSE)-F4599</f>
        <v/>
      </c>
      <c r="H4599" s="19" t="n">
        <v>1</v>
      </c>
      <c r="I4599" s="57" t="n">
        <v>7</v>
      </c>
    </row>
    <row r="4600">
      <c r="A4600" s="62" t="n">
        <v>46327</v>
      </c>
      <c r="B4600" s="3" t="inlineStr">
        <is>
          <t>Sun</t>
        </is>
      </c>
      <c r="C4600" s="19" t="n">
        <v>11</v>
      </c>
      <c r="D4600" s="19" t="n">
        <v>2026</v>
      </c>
      <c r="E4600" s="57" t="n">
        <v>5</v>
      </c>
      <c r="F4600" s="29">
        <f>ROUND(((SUMIFS(Calendar!$F$2:$F$9997,Calendar!$B$2:$B$9997,D4600,Calendar!$C$2:$C$9997,C4600)*INDEX(ForeCalc!$B$37:$Y$274,MATCH(_xlfn.CONCAT(H4600," ",I4600),ForeCalc!$A$37:$A$274,0),MATCH(_xlfn.CONCAT(B4600," ",E4600),ForeCalc!$B$36:$Y$36,0))))*VLOOKUP(A4600,Calendar!$A$2:$H$9997,8,FALSE),0)</f>
        <v/>
      </c>
      <c r="G4600" s="29">
        <f>VLOOKUP(A4600,Calendar!$A$1:$H$9997,6,FALSE)-F4600</f>
        <v/>
      </c>
      <c r="H4600" s="19" t="n">
        <v>1</v>
      </c>
      <c r="I4600" s="57" t="n">
        <v>8</v>
      </c>
    </row>
    <row r="4601">
      <c r="A4601" s="62" t="n">
        <v>46328</v>
      </c>
      <c r="B4601" s="3" t="inlineStr">
        <is>
          <t>Week</t>
        </is>
      </c>
      <c r="C4601" s="19" t="n">
        <v>11</v>
      </c>
      <c r="D4601" s="19" t="n">
        <v>2026</v>
      </c>
      <c r="E4601" s="57" t="n">
        <v>5</v>
      </c>
      <c r="F4601" s="29">
        <f>ROUND(((SUMIFS(Calendar!$F$2:$F$9997,Calendar!$B$2:$B$9997,D4601,Calendar!$C$2:$C$9997,C4601)*INDEX(ForeCalc!$B$37:$Y$274,MATCH(_xlfn.CONCAT(H4601," ",I4601),ForeCalc!$A$37:$A$274,0),MATCH(_xlfn.CONCAT(B4601," ",E4601),ForeCalc!$B$36:$Y$36,0))))*VLOOKUP(A4601,Calendar!$A$2:$H$9997,8,FALSE),0)</f>
        <v/>
      </c>
      <c r="G4601" s="29">
        <f>VLOOKUP(A4601,Calendar!$A$1:$H$9997,6,FALSE)-F4601</f>
        <v/>
      </c>
      <c r="H4601" s="19" t="n">
        <v>1</v>
      </c>
      <c r="I4601" s="57" t="n">
        <v>8</v>
      </c>
    </row>
    <row r="4602">
      <c r="A4602" s="62" t="n">
        <v>46329</v>
      </c>
      <c r="B4602" s="3" t="inlineStr">
        <is>
          <t>Week</t>
        </is>
      </c>
      <c r="C4602" s="19" t="n">
        <v>11</v>
      </c>
      <c r="D4602" s="19" t="n">
        <v>2026</v>
      </c>
      <c r="E4602" s="57" t="n">
        <v>5</v>
      </c>
      <c r="F4602" s="29">
        <f>ROUND(((SUMIFS(Calendar!$F$2:$F$9997,Calendar!$B$2:$B$9997,D4602,Calendar!$C$2:$C$9997,C4602)*INDEX(ForeCalc!$B$37:$Y$274,MATCH(_xlfn.CONCAT(H4602," ",I4602),ForeCalc!$A$37:$A$274,0),MATCH(_xlfn.CONCAT(B4602," ",E4602),ForeCalc!$B$36:$Y$36,0))))*VLOOKUP(A4602,Calendar!$A$2:$H$9997,8,FALSE),0)</f>
        <v/>
      </c>
      <c r="G4602" s="29">
        <f>VLOOKUP(A4602,Calendar!$A$1:$H$9997,6,FALSE)-F4602</f>
        <v/>
      </c>
      <c r="H4602" s="19" t="n">
        <v>1</v>
      </c>
      <c r="I4602" s="57" t="n">
        <v>8</v>
      </c>
    </row>
    <row r="4603">
      <c r="A4603" s="62" t="n">
        <v>46330</v>
      </c>
      <c r="B4603" s="3" t="inlineStr">
        <is>
          <t>Week</t>
        </is>
      </c>
      <c r="C4603" s="19" t="n">
        <v>11</v>
      </c>
      <c r="D4603" s="19" t="n">
        <v>2026</v>
      </c>
      <c r="E4603" s="57" t="n">
        <v>5</v>
      </c>
      <c r="F4603" s="29">
        <f>ROUND(((SUMIFS(Calendar!$F$2:$F$9997,Calendar!$B$2:$B$9997,D4603,Calendar!$C$2:$C$9997,C4603)*INDEX(ForeCalc!$B$37:$Y$274,MATCH(_xlfn.CONCAT(H4603," ",I4603),ForeCalc!$A$37:$A$274,0),MATCH(_xlfn.CONCAT(B4603," ",E4603),ForeCalc!$B$36:$Y$36,0))))*VLOOKUP(A4603,Calendar!$A$2:$H$9997,8,FALSE),0)</f>
        <v/>
      </c>
      <c r="G4603" s="29">
        <f>VLOOKUP(A4603,Calendar!$A$1:$H$9997,6,FALSE)-F4603</f>
        <v/>
      </c>
      <c r="H4603" s="19" t="n">
        <v>1</v>
      </c>
      <c r="I4603" s="57" t="n">
        <v>8</v>
      </c>
    </row>
    <row r="4604">
      <c r="A4604" s="62" t="n">
        <v>46331</v>
      </c>
      <c r="B4604" s="3" t="inlineStr">
        <is>
          <t>Week</t>
        </is>
      </c>
      <c r="C4604" s="19" t="n">
        <v>11</v>
      </c>
      <c r="D4604" s="19" t="n">
        <v>2026</v>
      </c>
      <c r="E4604" s="57" t="n">
        <v>5</v>
      </c>
      <c r="F4604" s="29">
        <f>ROUND(((SUMIFS(Calendar!$F$2:$F$9997,Calendar!$B$2:$B$9997,D4604,Calendar!$C$2:$C$9997,C4604)*INDEX(ForeCalc!$B$37:$Y$274,MATCH(_xlfn.CONCAT(H4604," ",I4604),ForeCalc!$A$37:$A$274,0),MATCH(_xlfn.CONCAT(B4604," ",E4604),ForeCalc!$B$36:$Y$36,0))))*VLOOKUP(A4604,Calendar!$A$2:$H$9997,8,FALSE),0)</f>
        <v/>
      </c>
      <c r="G4604" s="29">
        <f>VLOOKUP(A4604,Calendar!$A$1:$H$9997,6,FALSE)-F4604</f>
        <v/>
      </c>
      <c r="H4604" s="19" t="n">
        <v>1</v>
      </c>
      <c r="I4604" s="57" t="n">
        <v>8</v>
      </c>
    </row>
    <row r="4605">
      <c r="A4605" s="62" t="n">
        <v>46332</v>
      </c>
      <c r="B4605" s="3" t="inlineStr">
        <is>
          <t>Week</t>
        </is>
      </c>
      <c r="C4605" s="19" t="n">
        <v>11</v>
      </c>
      <c r="D4605" s="19" t="n">
        <v>2026</v>
      </c>
      <c r="E4605" s="57" t="n">
        <v>5</v>
      </c>
      <c r="F4605" s="29">
        <f>ROUND(((SUMIFS(Calendar!$F$2:$F$9997,Calendar!$B$2:$B$9997,D4605,Calendar!$C$2:$C$9997,C4605)*INDEX(ForeCalc!$B$37:$Y$274,MATCH(_xlfn.CONCAT(H4605," ",I4605),ForeCalc!$A$37:$A$274,0),MATCH(_xlfn.CONCAT(B4605," ",E4605),ForeCalc!$B$36:$Y$36,0))))*VLOOKUP(A4605,Calendar!$A$2:$H$9997,8,FALSE),0)</f>
        <v/>
      </c>
      <c r="G4605" s="29">
        <f>VLOOKUP(A4605,Calendar!$A$1:$H$9997,6,FALSE)-F4605</f>
        <v/>
      </c>
      <c r="H4605" s="19" t="n">
        <v>1</v>
      </c>
      <c r="I4605" s="57" t="n">
        <v>8</v>
      </c>
    </row>
    <row r="4606">
      <c r="A4606" s="62" t="n">
        <v>46333</v>
      </c>
      <c r="B4606" s="3" t="inlineStr">
        <is>
          <t>Sat</t>
        </is>
      </c>
      <c r="C4606" s="19" t="n">
        <v>11</v>
      </c>
      <c r="D4606" s="19" t="n">
        <v>2026</v>
      </c>
      <c r="E4606" s="57" t="n">
        <v>5</v>
      </c>
      <c r="F4606" s="29">
        <f>ROUND(((SUMIFS(Calendar!$F$2:$F$9997,Calendar!$B$2:$B$9997,D4606,Calendar!$C$2:$C$9997,C4606)*INDEX(ForeCalc!$B$37:$Y$274,MATCH(_xlfn.CONCAT(H4606," ",I4606),ForeCalc!$A$37:$A$274,0),MATCH(_xlfn.CONCAT(B4606," ",E4606),ForeCalc!$B$36:$Y$36,0))))*VLOOKUP(A4606,Calendar!$A$2:$H$9997,8,FALSE),0)</f>
        <v/>
      </c>
      <c r="G4606" s="29">
        <f>VLOOKUP(A4606,Calendar!$A$1:$H$9997,6,FALSE)-F4606</f>
        <v/>
      </c>
      <c r="H4606" s="19" t="n">
        <v>1</v>
      </c>
      <c r="I4606" s="57" t="n">
        <v>8</v>
      </c>
    </row>
    <row r="4607">
      <c r="A4607" s="62" t="n">
        <v>46334</v>
      </c>
      <c r="B4607" s="3" t="inlineStr">
        <is>
          <t>Sun</t>
        </is>
      </c>
      <c r="C4607" s="19" t="n">
        <v>11</v>
      </c>
      <c r="D4607" s="19" t="n">
        <v>2026</v>
      </c>
      <c r="E4607" s="57" t="n">
        <v>5</v>
      </c>
      <c r="F4607" s="29">
        <f>ROUND(((SUMIFS(Calendar!$F$2:$F$9997,Calendar!$B$2:$B$9997,D4607,Calendar!$C$2:$C$9997,C4607)*INDEX(ForeCalc!$B$37:$Y$274,MATCH(_xlfn.CONCAT(H4607," ",I4607),ForeCalc!$A$37:$A$274,0),MATCH(_xlfn.CONCAT(B4607," ",E4607),ForeCalc!$B$36:$Y$36,0))))*VLOOKUP(A4607,Calendar!$A$2:$H$9997,8,FALSE),0)</f>
        <v/>
      </c>
      <c r="G4607" s="29">
        <f>VLOOKUP(A4607,Calendar!$A$1:$H$9997,6,FALSE)-F4607</f>
        <v/>
      </c>
      <c r="H4607" s="19" t="n">
        <v>1</v>
      </c>
      <c r="I4607" s="57" t="n">
        <v>8</v>
      </c>
    </row>
    <row r="4608">
      <c r="A4608" s="62" t="n">
        <v>46335</v>
      </c>
      <c r="B4608" s="3" t="inlineStr">
        <is>
          <t>Week</t>
        </is>
      </c>
      <c r="C4608" s="19" t="n">
        <v>11</v>
      </c>
      <c r="D4608" s="19" t="n">
        <v>2026</v>
      </c>
      <c r="E4608" s="57" t="n">
        <v>5</v>
      </c>
      <c r="F4608" s="29">
        <f>ROUND(((SUMIFS(Calendar!$F$2:$F$9997,Calendar!$B$2:$B$9997,D4608,Calendar!$C$2:$C$9997,C4608)*INDEX(ForeCalc!$B$37:$Y$274,MATCH(_xlfn.CONCAT(H4608," ",I4608),ForeCalc!$A$37:$A$274,0),MATCH(_xlfn.CONCAT(B4608," ",E4608),ForeCalc!$B$36:$Y$36,0))))*VLOOKUP(A4608,Calendar!$A$2:$H$9997,8,FALSE),0)</f>
        <v/>
      </c>
      <c r="G4608" s="29">
        <f>VLOOKUP(A4608,Calendar!$A$1:$H$9997,6,FALSE)-F4608</f>
        <v/>
      </c>
      <c r="H4608" s="19" t="n">
        <v>1</v>
      </c>
      <c r="I4608" s="57" t="n">
        <v>8</v>
      </c>
    </row>
    <row r="4609">
      <c r="A4609" s="62" t="n">
        <v>46336</v>
      </c>
      <c r="B4609" s="3" t="inlineStr">
        <is>
          <t>Week</t>
        </is>
      </c>
      <c r="C4609" s="19" t="n">
        <v>11</v>
      </c>
      <c r="D4609" s="19" t="n">
        <v>2026</v>
      </c>
      <c r="E4609" s="57" t="n">
        <v>5</v>
      </c>
      <c r="F4609" s="29">
        <f>ROUND(((SUMIFS(Calendar!$F$2:$F$9997,Calendar!$B$2:$B$9997,D4609,Calendar!$C$2:$C$9997,C4609)*INDEX(ForeCalc!$B$37:$Y$274,MATCH(_xlfn.CONCAT(H4609," ",I4609),ForeCalc!$A$37:$A$274,0),MATCH(_xlfn.CONCAT(B4609," ",E4609),ForeCalc!$B$36:$Y$36,0))))*VLOOKUP(A4609,Calendar!$A$2:$H$9997,8,FALSE),0)</f>
        <v/>
      </c>
      <c r="G4609" s="29">
        <f>VLOOKUP(A4609,Calendar!$A$1:$H$9997,6,FALSE)-F4609</f>
        <v/>
      </c>
      <c r="H4609" s="19" t="n">
        <v>1</v>
      </c>
      <c r="I4609" s="57" t="n">
        <v>8</v>
      </c>
    </row>
    <row r="4610">
      <c r="A4610" s="62" t="n">
        <v>46337</v>
      </c>
      <c r="B4610" s="3" t="inlineStr">
        <is>
          <t>Week</t>
        </is>
      </c>
      <c r="C4610" s="19" t="n">
        <v>11</v>
      </c>
      <c r="D4610" s="19" t="n">
        <v>2026</v>
      </c>
      <c r="E4610" s="57" t="n">
        <v>5</v>
      </c>
      <c r="F4610" s="29">
        <f>ROUND(((SUMIFS(Calendar!$F$2:$F$9997,Calendar!$B$2:$B$9997,D4610,Calendar!$C$2:$C$9997,C4610)*INDEX(ForeCalc!$B$37:$Y$274,MATCH(_xlfn.CONCAT(H4610," ",I4610),ForeCalc!$A$37:$A$274,0),MATCH(_xlfn.CONCAT(B4610," ",E4610),ForeCalc!$B$36:$Y$36,0))))*VLOOKUP(A4610,Calendar!$A$2:$H$9997,8,FALSE),0)</f>
        <v/>
      </c>
      <c r="G4610" s="29">
        <f>VLOOKUP(A4610,Calendar!$A$1:$H$9997,6,FALSE)-F4610</f>
        <v/>
      </c>
      <c r="H4610" s="19" t="n">
        <v>1</v>
      </c>
      <c r="I4610" s="57" t="n">
        <v>8</v>
      </c>
    </row>
    <row r="4611">
      <c r="A4611" s="62" t="n">
        <v>46338</v>
      </c>
      <c r="B4611" s="3" t="inlineStr">
        <is>
          <t>Week</t>
        </is>
      </c>
      <c r="C4611" s="19" t="n">
        <v>11</v>
      </c>
      <c r="D4611" s="19" t="n">
        <v>2026</v>
      </c>
      <c r="E4611" s="57" t="n">
        <v>5</v>
      </c>
      <c r="F4611" s="29">
        <f>ROUND(((SUMIFS(Calendar!$F$2:$F$9997,Calendar!$B$2:$B$9997,D4611,Calendar!$C$2:$C$9997,C4611)*INDEX(ForeCalc!$B$37:$Y$274,MATCH(_xlfn.CONCAT(H4611," ",I4611),ForeCalc!$A$37:$A$274,0),MATCH(_xlfn.CONCAT(B4611," ",E4611),ForeCalc!$B$36:$Y$36,0))))*VLOOKUP(A4611,Calendar!$A$2:$H$9997,8,FALSE),0)</f>
        <v/>
      </c>
      <c r="G4611" s="29">
        <f>VLOOKUP(A4611,Calendar!$A$1:$H$9997,6,FALSE)-F4611</f>
        <v/>
      </c>
      <c r="H4611" s="19" t="n">
        <v>1</v>
      </c>
      <c r="I4611" s="57" t="n">
        <v>8</v>
      </c>
    </row>
    <row r="4612">
      <c r="A4612" s="62" t="n">
        <v>46339</v>
      </c>
      <c r="B4612" s="3" t="inlineStr">
        <is>
          <t>Week</t>
        </is>
      </c>
      <c r="C4612" s="19" t="n">
        <v>11</v>
      </c>
      <c r="D4612" s="19" t="n">
        <v>2026</v>
      </c>
      <c r="E4612" s="57" t="n">
        <v>5</v>
      </c>
      <c r="F4612" s="29">
        <f>ROUND(((SUMIFS(Calendar!$F$2:$F$9997,Calendar!$B$2:$B$9997,D4612,Calendar!$C$2:$C$9997,C4612)*INDEX(ForeCalc!$B$37:$Y$274,MATCH(_xlfn.CONCAT(H4612," ",I4612),ForeCalc!$A$37:$A$274,0),MATCH(_xlfn.CONCAT(B4612," ",E4612),ForeCalc!$B$36:$Y$36,0))))*VLOOKUP(A4612,Calendar!$A$2:$H$9997,8,FALSE),0)</f>
        <v/>
      </c>
      <c r="G4612" s="29">
        <f>VLOOKUP(A4612,Calendar!$A$1:$H$9997,6,FALSE)-F4612</f>
        <v/>
      </c>
      <c r="H4612" s="19" t="n">
        <v>1</v>
      </c>
      <c r="I4612" s="57" t="n">
        <v>8</v>
      </c>
    </row>
    <row r="4613">
      <c r="A4613" s="62" t="n">
        <v>46340</v>
      </c>
      <c r="B4613" s="3" t="inlineStr">
        <is>
          <t>Sat</t>
        </is>
      </c>
      <c r="C4613" s="19" t="n">
        <v>11</v>
      </c>
      <c r="D4613" s="19" t="n">
        <v>2026</v>
      </c>
      <c r="E4613" s="57" t="n">
        <v>5</v>
      </c>
      <c r="F4613" s="29">
        <f>ROUND(((SUMIFS(Calendar!$F$2:$F$9997,Calendar!$B$2:$B$9997,D4613,Calendar!$C$2:$C$9997,C4613)*INDEX(ForeCalc!$B$37:$Y$274,MATCH(_xlfn.CONCAT(H4613," ",I4613),ForeCalc!$A$37:$A$274,0),MATCH(_xlfn.CONCAT(B4613," ",E4613),ForeCalc!$B$36:$Y$36,0))))*VLOOKUP(A4613,Calendar!$A$2:$H$9997,8,FALSE),0)</f>
        <v/>
      </c>
      <c r="G4613" s="29">
        <f>VLOOKUP(A4613,Calendar!$A$1:$H$9997,6,FALSE)-F4613</f>
        <v/>
      </c>
      <c r="H4613" s="19" t="n">
        <v>1</v>
      </c>
      <c r="I4613" s="57" t="n">
        <v>8</v>
      </c>
    </row>
    <row r="4614">
      <c r="A4614" s="62" t="n">
        <v>46341</v>
      </c>
      <c r="B4614" s="3" t="inlineStr">
        <is>
          <t>Sun</t>
        </is>
      </c>
      <c r="C4614" s="19" t="n">
        <v>11</v>
      </c>
      <c r="D4614" s="19" t="n">
        <v>2026</v>
      </c>
      <c r="E4614" s="57" t="n">
        <v>5</v>
      </c>
      <c r="F4614" s="29">
        <f>ROUND(((SUMIFS(Calendar!$F$2:$F$9997,Calendar!$B$2:$B$9997,D4614,Calendar!$C$2:$C$9997,C4614)*INDEX(ForeCalc!$B$37:$Y$274,MATCH(_xlfn.CONCAT(H4614," ",I4614),ForeCalc!$A$37:$A$274,0),MATCH(_xlfn.CONCAT(B4614," ",E4614),ForeCalc!$B$36:$Y$36,0))))*VLOOKUP(A4614,Calendar!$A$2:$H$9997,8,FALSE),0)</f>
        <v/>
      </c>
      <c r="G4614" s="29">
        <f>VLOOKUP(A4614,Calendar!$A$1:$H$9997,6,FALSE)-F4614</f>
        <v/>
      </c>
      <c r="H4614" s="19" t="n">
        <v>1</v>
      </c>
      <c r="I4614" s="57" t="n">
        <v>8</v>
      </c>
    </row>
    <row r="4615">
      <c r="A4615" s="62" t="n">
        <v>46342</v>
      </c>
      <c r="B4615" s="3" t="inlineStr">
        <is>
          <t>Week</t>
        </is>
      </c>
      <c r="C4615" s="19" t="n">
        <v>11</v>
      </c>
      <c r="D4615" s="19" t="n">
        <v>2026</v>
      </c>
      <c r="E4615" s="57" t="n">
        <v>5</v>
      </c>
      <c r="F4615" s="29">
        <f>ROUND(((SUMIFS(Calendar!$F$2:$F$9997,Calendar!$B$2:$B$9997,D4615,Calendar!$C$2:$C$9997,C4615)*INDEX(ForeCalc!$B$37:$Y$274,MATCH(_xlfn.CONCAT(H4615," ",I4615),ForeCalc!$A$37:$A$274,0),MATCH(_xlfn.CONCAT(B4615," ",E4615),ForeCalc!$B$36:$Y$36,0))))*VLOOKUP(A4615,Calendar!$A$2:$H$9997,8,FALSE),0)</f>
        <v/>
      </c>
      <c r="G4615" s="29">
        <f>VLOOKUP(A4615,Calendar!$A$1:$H$9997,6,FALSE)-F4615</f>
        <v/>
      </c>
      <c r="H4615" s="19" t="n">
        <v>1</v>
      </c>
      <c r="I4615" s="57" t="n">
        <v>8</v>
      </c>
    </row>
    <row r="4616">
      <c r="A4616" s="62" t="n">
        <v>46343</v>
      </c>
      <c r="B4616" s="3" t="inlineStr">
        <is>
          <t>Week</t>
        </is>
      </c>
      <c r="C4616" s="19" t="n">
        <v>11</v>
      </c>
      <c r="D4616" s="19" t="n">
        <v>2026</v>
      </c>
      <c r="E4616" s="57" t="n">
        <v>5</v>
      </c>
      <c r="F4616" s="29">
        <f>ROUND(((SUMIFS(Calendar!$F$2:$F$9997,Calendar!$B$2:$B$9997,D4616,Calendar!$C$2:$C$9997,C4616)*INDEX(ForeCalc!$B$37:$Y$274,MATCH(_xlfn.CONCAT(H4616," ",I4616),ForeCalc!$A$37:$A$274,0),MATCH(_xlfn.CONCAT(B4616," ",E4616),ForeCalc!$B$36:$Y$36,0))))*VLOOKUP(A4616,Calendar!$A$2:$H$9997,8,FALSE),0)</f>
        <v/>
      </c>
      <c r="G4616" s="29">
        <f>VLOOKUP(A4616,Calendar!$A$1:$H$9997,6,FALSE)-F4616</f>
        <v/>
      </c>
      <c r="H4616" s="19" t="n">
        <v>1</v>
      </c>
      <c r="I4616" s="57" t="n">
        <v>8</v>
      </c>
    </row>
    <row r="4617">
      <c r="A4617" s="62" t="n">
        <v>46344</v>
      </c>
      <c r="B4617" s="3" t="inlineStr">
        <is>
          <t>Week</t>
        </is>
      </c>
      <c r="C4617" s="19" t="n">
        <v>11</v>
      </c>
      <c r="D4617" s="19" t="n">
        <v>2026</v>
      </c>
      <c r="E4617" s="57" t="n">
        <v>5</v>
      </c>
      <c r="F4617" s="29">
        <f>ROUND(((SUMIFS(Calendar!$F$2:$F$9997,Calendar!$B$2:$B$9997,D4617,Calendar!$C$2:$C$9997,C4617)*INDEX(ForeCalc!$B$37:$Y$274,MATCH(_xlfn.CONCAT(H4617," ",I4617),ForeCalc!$A$37:$A$274,0),MATCH(_xlfn.CONCAT(B4617," ",E4617),ForeCalc!$B$36:$Y$36,0))))*VLOOKUP(A4617,Calendar!$A$2:$H$9997,8,FALSE),0)</f>
        <v/>
      </c>
      <c r="G4617" s="29">
        <f>VLOOKUP(A4617,Calendar!$A$1:$H$9997,6,FALSE)-F4617</f>
        <v/>
      </c>
      <c r="H4617" s="19" t="n">
        <v>1</v>
      </c>
      <c r="I4617" s="57" t="n">
        <v>8</v>
      </c>
    </row>
    <row r="4618">
      <c r="A4618" s="62" t="n">
        <v>46345</v>
      </c>
      <c r="B4618" s="3" t="inlineStr">
        <is>
          <t>Week</t>
        </is>
      </c>
      <c r="C4618" s="19" t="n">
        <v>11</v>
      </c>
      <c r="D4618" s="19" t="n">
        <v>2026</v>
      </c>
      <c r="E4618" s="57" t="n">
        <v>5</v>
      </c>
      <c r="F4618" s="29">
        <f>ROUND(((SUMIFS(Calendar!$F$2:$F$9997,Calendar!$B$2:$B$9997,D4618,Calendar!$C$2:$C$9997,C4618)*INDEX(ForeCalc!$B$37:$Y$274,MATCH(_xlfn.CONCAT(H4618," ",I4618),ForeCalc!$A$37:$A$274,0),MATCH(_xlfn.CONCAT(B4618," ",E4618),ForeCalc!$B$36:$Y$36,0))))*VLOOKUP(A4618,Calendar!$A$2:$H$9997,8,FALSE),0)</f>
        <v/>
      </c>
      <c r="G4618" s="29">
        <f>VLOOKUP(A4618,Calendar!$A$1:$H$9997,6,FALSE)-F4618</f>
        <v/>
      </c>
      <c r="H4618" s="19" t="n">
        <v>1</v>
      </c>
      <c r="I4618" s="57" t="n">
        <v>8</v>
      </c>
    </row>
    <row r="4619">
      <c r="A4619" s="62" t="n">
        <v>46346</v>
      </c>
      <c r="B4619" s="3" t="inlineStr">
        <is>
          <t>Week</t>
        </is>
      </c>
      <c r="C4619" s="19" t="n">
        <v>11</v>
      </c>
      <c r="D4619" s="19" t="n">
        <v>2026</v>
      </c>
      <c r="E4619" s="57" t="n">
        <v>5</v>
      </c>
      <c r="F4619" s="29">
        <f>ROUND(((SUMIFS(Calendar!$F$2:$F$9997,Calendar!$B$2:$B$9997,D4619,Calendar!$C$2:$C$9997,C4619)*INDEX(ForeCalc!$B$37:$Y$274,MATCH(_xlfn.CONCAT(H4619," ",I4619),ForeCalc!$A$37:$A$274,0),MATCH(_xlfn.CONCAT(B4619," ",E4619),ForeCalc!$B$36:$Y$36,0))))*VLOOKUP(A4619,Calendar!$A$2:$H$9997,8,FALSE),0)</f>
        <v/>
      </c>
      <c r="G4619" s="29">
        <f>VLOOKUP(A4619,Calendar!$A$1:$H$9997,6,FALSE)-F4619</f>
        <v/>
      </c>
      <c r="H4619" s="19" t="n">
        <v>1</v>
      </c>
      <c r="I4619" s="57" t="n">
        <v>8</v>
      </c>
    </row>
    <row r="4620">
      <c r="A4620" s="62" t="n">
        <v>46347</v>
      </c>
      <c r="B4620" s="3" t="inlineStr">
        <is>
          <t>Sat</t>
        </is>
      </c>
      <c r="C4620" s="19" t="n">
        <v>11</v>
      </c>
      <c r="D4620" s="19" t="n">
        <v>2026</v>
      </c>
      <c r="E4620" s="57" t="n">
        <v>5</v>
      </c>
      <c r="F4620" s="29">
        <f>ROUND(((SUMIFS(Calendar!$F$2:$F$9997,Calendar!$B$2:$B$9997,D4620,Calendar!$C$2:$C$9997,C4620)*INDEX(ForeCalc!$B$37:$Y$274,MATCH(_xlfn.CONCAT(H4620," ",I4620),ForeCalc!$A$37:$A$274,0),MATCH(_xlfn.CONCAT(B4620," ",E4620),ForeCalc!$B$36:$Y$36,0))))*VLOOKUP(A4620,Calendar!$A$2:$H$9997,8,FALSE),0)</f>
        <v/>
      </c>
      <c r="G4620" s="29">
        <f>VLOOKUP(A4620,Calendar!$A$1:$H$9997,6,FALSE)-F4620</f>
        <v/>
      </c>
      <c r="H4620" s="19" t="n">
        <v>1</v>
      </c>
      <c r="I4620" s="57" t="n">
        <v>8</v>
      </c>
    </row>
    <row r="4621">
      <c r="A4621" s="62" t="n">
        <v>46348</v>
      </c>
      <c r="B4621" s="3" t="inlineStr">
        <is>
          <t>Sun</t>
        </is>
      </c>
      <c r="C4621" s="19" t="n">
        <v>11</v>
      </c>
      <c r="D4621" s="19" t="n">
        <v>2026</v>
      </c>
      <c r="E4621" s="57" t="n">
        <v>5</v>
      </c>
      <c r="F4621" s="29">
        <f>ROUND(((SUMIFS(Calendar!$F$2:$F$9997,Calendar!$B$2:$B$9997,D4621,Calendar!$C$2:$C$9997,C4621)*INDEX(ForeCalc!$B$37:$Y$274,MATCH(_xlfn.CONCAT(H4621," ",I4621),ForeCalc!$A$37:$A$274,0),MATCH(_xlfn.CONCAT(B4621," ",E4621),ForeCalc!$B$36:$Y$36,0))))*VLOOKUP(A4621,Calendar!$A$2:$H$9997,8,FALSE),0)</f>
        <v/>
      </c>
      <c r="G4621" s="29">
        <f>VLOOKUP(A4621,Calendar!$A$1:$H$9997,6,FALSE)-F4621</f>
        <v/>
      </c>
      <c r="H4621" s="19" t="n">
        <v>1</v>
      </c>
      <c r="I4621" s="57" t="n">
        <v>8</v>
      </c>
    </row>
    <row r="4622">
      <c r="A4622" s="62" t="n">
        <v>46349</v>
      </c>
      <c r="B4622" s="3" t="inlineStr">
        <is>
          <t>Week</t>
        </is>
      </c>
      <c r="C4622" s="19" t="n">
        <v>11</v>
      </c>
      <c r="D4622" s="19" t="n">
        <v>2026</v>
      </c>
      <c r="E4622" s="57" t="n">
        <v>5</v>
      </c>
      <c r="F4622" s="29">
        <f>ROUND(((SUMIFS(Calendar!$F$2:$F$9997,Calendar!$B$2:$B$9997,D4622,Calendar!$C$2:$C$9997,C4622)*INDEX(ForeCalc!$B$37:$Y$274,MATCH(_xlfn.CONCAT(H4622," ",I4622),ForeCalc!$A$37:$A$274,0),MATCH(_xlfn.CONCAT(B4622," ",E4622),ForeCalc!$B$36:$Y$36,0))))*VLOOKUP(A4622,Calendar!$A$2:$H$9997,8,FALSE),0)</f>
        <v/>
      </c>
      <c r="G4622" s="29">
        <f>VLOOKUP(A4622,Calendar!$A$1:$H$9997,6,FALSE)-F4622</f>
        <v/>
      </c>
      <c r="H4622" s="19" t="n">
        <v>1</v>
      </c>
      <c r="I4622" s="57" t="n">
        <v>8</v>
      </c>
    </row>
    <row r="4623">
      <c r="A4623" s="62" t="n">
        <v>46350</v>
      </c>
      <c r="B4623" s="3" t="inlineStr">
        <is>
          <t>Week</t>
        </is>
      </c>
      <c r="C4623" s="19" t="n">
        <v>11</v>
      </c>
      <c r="D4623" s="19" t="n">
        <v>2026</v>
      </c>
      <c r="E4623" s="57" t="n">
        <v>5</v>
      </c>
      <c r="F4623" s="29">
        <f>ROUND(((SUMIFS(Calendar!$F$2:$F$9997,Calendar!$B$2:$B$9997,D4623,Calendar!$C$2:$C$9997,C4623)*INDEX(ForeCalc!$B$37:$Y$274,MATCH(_xlfn.CONCAT(H4623," ",I4623),ForeCalc!$A$37:$A$274,0),MATCH(_xlfn.CONCAT(B4623," ",E4623),ForeCalc!$B$36:$Y$36,0))))*VLOOKUP(A4623,Calendar!$A$2:$H$9997,8,FALSE),0)</f>
        <v/>
      </c>
      <c r="G4623" s="29">
        <f>VLOOKUP(A4623,Calendar!$A$1:$H$9997,6,FALSE)-F4623</f>
        <v/>
      </c>
      <c r="H4623" s="19" t="n">
        <v>1</v>
      </c>
      <c r="I4623" s="57" t="n">
        <v>8</v>
      </c>
    </row>
    <row r="4624">
      <c r="A4624" s="62" t="n">
        <v>46351</v>
      </c>
      <c r="B4624" s="3" t="inlineStr">
        <is>
          <t>Week</t>
        </is>
      </c>
      <c r="C4624" s="19" t="n">
        <v>11</v>
      </c>
      <c r="D4624" s="19" t="n">
        <v>2026</v>
      </c>
      <c r="E4624" s="57" t="n">
        <v>5</v>
      </c>
      <c r="F4624" s="29">
        <f>ROUND(((SUMIFS(Calendar!$F$2:$F$9997,Calendar!$B$2:$B$9997,D4624,Calendar!$C$2:$C$9997,C4624)*INDEX(ForeCalc!$B$37:$Y$274,MATCH(_xlfn.CONCAT(H4624," ",I4624),ForeCalc!$A$37:$A$274,0),MATCH(_xlfn.CONCAT(B4624," ",E4624),ForeCalc!$B$36:$Y$36,0))))*VLOOKUP(A4624,Calendar!$A$2:$H$9997,8,FALSE),0)</f>
        <v/>
      </c>
      <c r="G4624" s="29">
        <f>VLOOKUP(A4624,Calendar!$A$1:$H$9997,6,FALSE)-F4624</f>
        <v/>
      </c>
      <c r="H4624" s="19" t="n">
        <v>1</v>
      </c>
      <c r="I4624" s="57" t="n">
        <v>8</v>
      </c>
    </row>
    <row r="4625">
      <c r="A4625" s="62" t="n">
        <v>46352</v>
      </c>
      <c r="B4625" s="3" t="inlineStr">
        <is>
          <t>Week</t>
        </is>
      </c>
      <c r="C4625" s="19" t="n">
        <v>11</v>
      </c>
      <c r="D4625" s="19" t="n">
        <v>2026</v>
      </c>
      <c r="E4625" s="57" t="n">
        <v>5</v>
      </c>
      <c r="F4625" s="29">
        <f>ROUND(((SUMIFS(Calendar!$F$2:$F$9997,Calendar!$B$2:$B$9997,D4625,Calendar!$C$2:$C$9997,C4625)*INDEX(ForeCalc!$B$37:$Y$274,MATCH(_xlfn.CONCAT(H4625," ",I4625),ForeCalc!$A$37:$A$274,0),MATCH(_xlfn.CONCAT(B4625," ",E4625),ForeCalc!$B$36:$Y$36,0))))*VLOOKUP(A4625,Calendar!$A$2:$H$9997,8,FALSE),0)</f>
        <v/>
      </c>
      <c r="G4625" s="29">
        <f>VLOOKUP(A4625,Calendar!$A$1:$H$9997,6,FALSE)-F4625</f>
        <v/>
      </c>
      <c r="H4625" s="19" t="n">
        <v>1</v>
      </c>
      <c r="I4625" s="57" t="n">
        <v>8</v>
      </c>
    </row>
    <row r="4626">
      <c r="A4626" s="62" t="n">
        <v>46353</v>
      </c>
      <c r="B4626" s="3" t="inlineStr">
        <is>
          <t>Week</t>
        </is>
      </c>
      <c r="C4626" s="19" t="n">
        <v>11</v>
      </c>
      <c r="D4626" s="19" t="n">
        <v>2026</v>
      </c>
      <c r="E4626" s="57" t="n">
        <v>5</v>
      </c>
      <c r="F4626" s="29">
        <f>ROUND(((SUMIFS(Calendar!$F$2:$F$9997,Calendar!$B$2:$B$9997,D4626,Calendar!$C$2:$C$9997,C4626)*INDEX(ForeCalc!$B$37:$Y$274,MATCH(_xlfn.CONCAT(H4626," ",I4626),ForeCalc!$A$37:$A$274,0),MATCH(_xlfn.CONCAT(B4626," ",E4626),ForeCalc!$B$36:$Y$36,0))))*VLOOKUP(A4626,Calendar!$A$2:$H$9997,8,FALSE),0)</f>
        <v/>
      </c>
      <c r="G4626" s="29">
        <f>VLOOKUP(A4626,Calendar!$A$1:$H$9997,6,FALSE)-F4626</f>
        <v/>
      </c>
      <c r="H4626" s="19" t="n">
        <v>1</v>
      </c>
      <c r="I4626" s="57" t="n">
        <v>8</v>
      </c>
    </row>
    <row r="4627">
      <c r="A4627" s="62" t="n">
        <v>46354</v>
      </c>
      <c r="B4627" s="3" t="inlineStr">
        <is>
          <t>Sat</t>
        </is>
      </c>
      <c r="C4627" s="19" t="n">
        <v>11</v>
      </c>
      <c r="D4627" s="19" t="n">
        <v>2026</v>
      </c>
      <c r="E4627" s="57" t="n">
        <v>5</v>
      </c>
      <c r="F4627" s="29">
        <f>ROUND(((SUMIFS(Calendar!$F$2:$F$9997,Calendar!$B$2:$B$9997,D4627,Calendar!$C$2:$C$9997,C4627)*INDEX(ForeCalc!$B$37:$Y$274,MATCH(_xlfn.CONCAT(H4627," ",I4627),ForeCalc!$A$37:$A$274,0),MATCH(_xlfn.CONCAT(B4627," ",E4627),ForeCalc!$B$36:$Y$36,0))))*VLOOKUP(A4627,Calendar!$A$2:$H$9997,8,FALSE),0)</f>
        <v/>
      </c>
      <c r="G4627" s="29">
        <f>VLOOKUP(A4627,Calendar!$A$1:$H$9997,6,FALSE)-F4627</f>
        <v/>
      </c>
      <c r="H4627" s="19" t="n">
        <v>1</v>
      </c>
      <c r="I4627" s="57" t="n">
        <v>8</v>
      </c>
    </row>
    <row r="4628">
      <c r="A4628" s="62" t="n">
        <v>46355</v>
      </c>
      <c r="B4628" s="3" t="inlineStr">
        <is>
          <t>Sun</t>
        </is>
      </c>
      <c r="C4628" s="19" t="n">
        <v>11</v>
      </c>
      <c r="D4628" s="19" t="n">
        <v>2026</v>
      </c>
      <c r="E4628" s="57" t="n">
        <v>5</v>
      </c>
      <c r="F4628" s="29">
        <f>ROUND(((SUMIFS(Calendar!$F$2:$F$9997,Calendar!$B$2:$B$9997,D4628,Calendar!$C$2:$C$9997,C4628)*INDEX(ForeCalc!$B$37:$Y$274,MATCH(_xlfn.CONCAT(H4628," ",I4628),ForeCalc!$A$37:$A$274,0),MATCH(_xlfn.CONCAT(B4628," ",E4628),ForeCalc!$B$36:$Y$36,0))))*VLOOKUP(A4628,Calendar!$A$2:$H$9997,8,FALSE),0)</f>
        <v/>
      </c>
      <c r="G4628" s="29">
        <f>VLOOKUP(A4628,Calendar!$A$1:$H$9997,6,FALSE)-F4628</f>
        <v/>
      </c>
      <c r="H4628" s="19" t="n">
        <v>1</v>
      </c>
      <c r="I4628" s="57" t="n">
        <v>8</v>
      </c>
    </row>
    <row r="4629">
      <c r="A4629" s="62" t="n">
        <v>46356</v>
      </c>
      <c r="B4629" s="3" t="inlineStr">
        <is>
          <t>Week</t>
        </is>
      </c>
      <c r="C4629" s="19" t="n">
        <v>11</v>
      </c>
      <c r="D4629" s="19" t="n">
        <v>2026</v>
      </c>
      <c r="E4629" s="57" t="n">
        <v>5</v>
      </c>
      <c r="F4629" s="29">
        <f>ROUND(((SUMIFS(Calendar!$F$2:$F$9997,Calendar!$B$2:$B$9997,D4629,Calendar!$C$2:$C$9997,C4629)*INDEX(ForeCalc!$B$37:$Y$274,MATCH(_xlfn.CONCAT(H4629," ",I4629),ForeCalc!$A$37:$A$274,0),MATCH(_xlfn.CONCAT(B4629," ",E4629),ForeCalc!$B$36:$Y$36,0))))*VLOOKUP(A4629,Calendar!$A$2:$H$9997,8,FALSE),0)</f>
        <v/>
      </c>
      <c r="G4629" s="29">
        <f>VLOOKUP(A4629,Calendar!$A$1:$H$9997,6,FALSE)-F4629</f>
        <v/>
      </c>
      <c r="H4629" s="19" t="n">
        <v>1</v>
      </c>
      <c r="I4629" s="57" t="n">
        <v>8</v>
      </c>
    </row>
    <row r="4630">
      <c r="A4630" s="62" t="n">
        <v>46357</v>
      </c>
      <c r="B4630" s="3" t="inlineStr">
        <is>
          <t>Week</t>
        </is>
      </c>
      <c r="C4630" s="19" t="n">
        <v>12</v>
      </c>
      <c r="D4630" s="19" t="n">
        <v>2026</v>
      </c>
      <c r="E4630" s="57" t="n">
        <v>5</v>
      </c>
      <c r="F4630" s="29">
        <f>ROUND(((SUMIFS(Calendar!$F$2:$F$9997,Calendar!$B$2:$B$9997,D4630,Calendar!$C$2:$C$9997,C4630)*INDEX(ForeCalc!$B$37:$Y$274,MATCH(_xlfn.CONCAT(H4630," ",I4630),ForeCalc!$A$37:$A$274,0),MATCH(_xlfn.CONCAT(B4630," ",E4630),ForeCalc!$B$36:$Y$36,0))))*VLOOKUP(A4630,Calendar!$A$2:$H$9997,8,FALSE),0)</f>
        <v/>
      </c>
      <c r="G4630" s="29">
        <f>VLOOKUP(A4630,Calendar!$A$1:$H$9997,6,FALSE)-F4630</f>
        <v/>
      </c>
      <c r="H4630" s="19" t="n">
        <v>1</v>
      </c>
      <c r="I4630" s="57" t="n">
        <v>9</v>
      </c>
    </row>
    <row r="4631">
      <c r="A4631" s="62" t="n">
        <v>46358</v>
      </c>
      <c r="B4631" s="3" t="inlineStr">
        <is>
          <t>Week</t>
        </is>
      </c>
      <c r="C4631" s="19" t="n">
        <v>12</v>
      </c>
      <c r="D4631" s="19" t="n">
        <v>2026</v>
      </c>
      <c r="E4631" s="57" t="n">
        <v>5</v>
      </c>
      <c r="F4631" s="29">
        <f>ROUND(((SUMIFS(Calendar!$F$2:$F$9997,Calendar!$B$2:$B$9997,D4631,Calendar!$C$2:$C$9997,C4631)*INDEX(ForeCalc!$B$37:$Y$274,MATCH(_xlfn.CONCAT(H4631," ",I4631),ForeCalc!$A$37:$A$274,0),MATCH(_xlfn.CONCAT(B4631," ",E4631),ForeCalc!$B$36:$Y$36,0))))*VLOOKUP(A4631,Calendar!$A$2:$H$9997,8,FALSE),0)</f>
        <v/>
      </c>
      <c r="G4631" s="29">
        <f>VLOOKUP(A4631,Calendar!$A$1:$H$9997,6,FALSE)-F4631</f>
        <v/>
      </c>
      <c r="H4631" s="19" t="n">
        <v>1</v>
      </c>
      <c r="I4631" s="57" t="n">
        <v>9</v>
      </c>
    </row>
    <row r="4632">
      <c r="A4632" s="62" t="n">
        <v>46359</v>
      </c>
      <c r="B4632" s="3" t="inlineStr">
        <is>
          <t>Week</t>
        </is>
      </c>
      <c r="C4632" s="19" t="n">
        <v>12</v>
      </c>
      <c r="D4632" s="19" t="n">
        <v>2026</v>
      </c>
      <c r="E4632" s="57" t="n">
        <v>5</v>
      </c>
      <c r="F4632" s="29">
        <f>ROUND(((SUMIFS(Calendar!$F$2:$F$9997,Calendar!$B$2:$B$9997,D4632,Calendar!$C$2:$C$9997,C4632)*INDEX(ForeCalc!$B$37:$Y$274,MATCH(_xlfn.CONCAT(H4632," ",I4632),ForeCalc!$A$37:$A$274,0),MATCH(_xlfn.CONCAT(B4632," ",E4632),ForeCalc!$B$36:$Y$36,0))))*VLOOKUP(A4632,Calendar!$A$2:$H$9997,8,FALSE),0)</f>
        <v/>
      </c>
      <c r="G4632" s="29">
        <f>VLOOKUP(A4632,Calendar!$A$1:$H$9997,6,FALSE)-F4632</f>
        <v/>
      </c>
      <c r="H4632" s="19" t="n">
        <v>1</v>
      </c>
      <c r="I4632" s="57" t="n">
        <v>9</v>
      </c>
    </row>
    <row r="4633">
      <c r="A4633" s="62" t="n">
        <v>46360</v>
      </c>
      <c r="B4633" s="3" t="inlineStr">
        <is>
          <t>Week</t>
        </is>
      </c>
      <c r="C4633" s="19" t="n">
        <v>12</v>
      </c>
      <c r="D4633" s="19" t="n">
        <v>2026</v>
      </c>
      <c r="E4633" s="57" t="n">
        <v>5</v>
      </c>
      <c r="F4633" s="29">
        <f>ROUND(((SUMIFS(Calendar!$F$2:$F$9997,Calendar!$B$2:$B$9997,D4633,Calendar!$C$2:$C$9997,C4633)*INDEX(ForeCalc!$B$37:$Y$274,MATCH(_xlfn.CONCAT(H4633," ",I4633),ForeCalc!$A$37:$A$274,0),MATCH(_xlfn.CONCAT(B4633," ",E4633),ForeCalc!$B$36:$Y$36,0))))*VLOOKUP(A4633,Calendar!$A$2:$H$9997,8,FALSE),0)</f>
        <v/>
      </c>
      <c r="G4633" s="29">
        <f>VLOOKUP(A4633,Calendar!$A$1:$H$9997,6,FALSE)-F4633</f>
        <v/>
      </c>
      <c r="H4633" s="19" t="n">
        <v>1</v>
      </c>
      <c r="I4633" s="57" t="n">
        <v>9</v>
      </c>
    </row>
    <row r="4634">
      <c r="A4634" s="62" t="n">
        <v>46361</v>
      </c>
      <c r="B4634" s="3" t="inlineStr">
        <is>
          <t>Sat</t>
        </is>
      </c>
      <c r="C4634" s="19" t="n">
        <v>12</v>
      </c>
      <c r="D4634" s="19" t="n">
        <v>2026</v>
      </c>
      <c r="E4634" s="57" t="n">
        <v>5</v>
      </c>
      <c r="F4634" s="29">
        <f>ROUND(((SUMIFS(Calendar!$F$2:$F$9997,Calendar!$B$2:$B$9997,D4634,Calendar!$C$2:$C$9997,C4634)*INDEX(ForeCalc!$B$37:$Y$274,MATCH(_xlfn.CONCAT(H4634," ",I4634),ForeCalc!$A$37:$A$274,0),MATCH(_xlfn.CONCAT(B4634," ",E4634),ForeCalc!$B$36:$Y$36,0))))*VLOOKUP(A4634,Calendar!$A$2:$H$9997,8,FALSE),0)</f>
        <v/>
      </c>
      <c r="G4634" s="29">
        <f>VLOOKUP(A4634,Calendar!$A$1:$H$9997,6,FALSE)-F4634</f>
        <v/>
      </c>
      <c r="H4634" s="19" t="n">
        <v>1</v>
      </c>
      <c r="I4634" s="57" t="n">
        <v>9</v>
      </c>
    </row>
    <row r="4635">
      <c r="A4635" s="62" t="n">
        <v>46362</v>
      </c>
      <c r="B4635" s="3" t="inlineStr">
        <is>
          <t>Sun</t>
        </is>
      </c>
      <c r="C4635" s="19" t="n">
        <v>12</v>
      </c>
      <c r="D4635" s="19" t="n">
        <v>2026</v>
      </c>
      <c r="E4635" s="57" t="n">
        <v>5</v>
      </c>
      <c r="F4635" s="29">
        <f>ROUND(((SUMIFS(Calendar!$F$2:$F$9997,Calendar!$B$2:$B$9997,D4635,Calendar!$C$2:$C$9997,C4635)*INDEX(ForeCalc!$B$37:$Y$274,MATCH(_xlfn.CONCAT(H4635," ",I4635),ForeCalc!$A$37:$A$274,0),MATCH(_xlfn.CONCAT(B4635," ",E4635),ForeCalc!$B$36:$Y$36,0))))*VLOOKUP(A4635,Calendar!$A$2:$H$9997,8,FALSE),0)</f>
        <v/>
      </c>
      <c r="G4635" s="29">
        <f>VLOOKUP(A4635,Calendar!$A$1:$H$9997,6,FALSE)-F4635</f>
        <v/>
      </c>
      <c r="H4635" s="19" t="n">
        <v>1</v>
      </c>
      <c r="I4635" s="57" t="n">
        <v>9</v>
      </c>
    </row>
    <row r="4636">
      <c r="A4636" s="62" t="n">
        <v>46363</v>
      </c>
      <c r="B4636" s="3" t="inlineStr">
        <is>
          <t>Week</t>
        </is>
      </c>
      <c r="C4636" s="19" t="n">
        <v>12</v>
      </c>
      <c r="D4636" s="19" t="n">
        <v>2026</v>
      </c>
      <c r="E4636" s="57" t="n">
        <v>5</v>
      </c>
      <c r="F4636" s="29">
        <f>ROUND(((SUMIFS(Calendar!$F$2:$F$9997,Calendar!$B$2:$B$9997,D4636,Calendar!$C$2:$C$9997,C4636)*INDEX(ForeCalc!$B$37:$Y$274,MATCH(_xlfn.CONCAT(H4636," ",I4636),ForeCalc!$A$37:$A$274,0),MATCH(_xlfn.CONCAT(B4636," ",E4636),ForeCalc!$B$36:$Y$36,0))))*VLOOKUP(A4636,Calendar!$A$2:$H$9997,8,FALSE),0)</f>
        <v/>
      </c>
      <c r="G4636" s="29">
        <f>VLOOKUP(A4636,Calendar!$A$1:$H$9997,6,FALSE)-F4636</f>
        <v/>
      </c>
      <c r="H4636" s="19" t="n">
        <v>1</v>
      </c>
      <c r="I4636" s="57" t="n">
        <v>9</v>
      </c>
    </row>
    <row r="4637">
      <c r="A4637" s="62" t="n">
        <v>46364</v>
      </c>
      <c r="B4637" s="3" t="inlineStr">
        <is>
          <t>Week</t>
        </is>
      </c>
      <c r="C4637" s="19" t="n">
        <v>12</v>
      </c>
      <c r="D4637" s="19" t="n">
        <v>2026</v>
      </c>
      <c r="E4637" s="57" t="n">
        <v>5</v>
      </c>
      <c r="F4637" s="29">
        <f>ROUND(((SUMIFS(Calendar!$F$2:$F$9997,Calendar!$B$2:$B$9997,D4637,Calendar!$C$2:$C$9997,C4637)*INDEX(ForeCalc!$B$37:$Y$274,MATCH(_xlfn.CONCAT(H4637," ",I4637),ForeCalc!$A$37:$A$274,0),MATCH(_xlfn.CONCAT(B4637," ",E4637),ForeCalc!$B$36:$Y$36,0))))*VLOOKUP(A4637,Calendar!$A$2:$H$9997,8,FALSE),0)</f>
        <v/>
      </c>
      <c r="G4637" s="29">
        <f>VLOOKUP(A4637,Calendar!$A$1:$H$9997,6,FALSE)-F4637</f>
        <v/>
      </c>
      <c r="H4637" s="19" t="n">
        <v>1</v>
      </c>
      <c r="I4637" s="57" t="n">
        <v>9</v>
      </c>
    </row>
    <row r="4638">
      <c r="A4638" s="62" t="n">
        <v>46365</v>
      </c>
      <c r="B4638" s="3" t="inlineStr">
        <is>
          <t>Week</t>
        </is>
      </c>
      <c r="C4638" s="19" t="n">
        <v>12</v>
      </c>
      <c r="D4638" s="19" t="n">
        <v>2026</v>
      </c>
      <c r="E4638" s="57" t="n">
        <v>5</v>
      </c>
      <c r="F4638" s="29">
        <f>ROUND(((SUMIFS(Calendar!$F$2:$F$9997,Calendar!$B$2:$B$9997,D4638,Calendar!$C$2:$C$9997,C4638)*INDEX(ForeCalc!$B$37:$Y$274,MATCH(_xlfn.CONCAT(H4638," ",I4638),ForeCalc!$A$37:$A$274,0),MATCH(_xlfn.CONCAT(B4638," ",E4638),ForeCalc!$B$36:$Y$36,0))))*VLOOKUP(A4638,Calendar!$A$2:$H$9997,8,FALSE),0)</f>
        <v/>
      </c>
      <c r="G4638" s="29">
        <f>VLOOKUP(A4638,Calendar!$A$1:$H$9997,6,FALSE)-F4638</f>
        <v/>
      </c>
      <c r="H4638" s="19" t="n">
        <v>1</v>
      </c>
      <c r="I4638" s="57" t="n">
        <v>9</v>
      </c>
    </row>
    <row r="4639">
      <c r="A4639" s="62" t="n">
        <v>46366</v>
      </c>
      <c r="B4639" s="3" t="inlineStr">
        <is>
          <t>Week</t>
        </is>
      </c>
      <c r="C4639" s="19" t="n">
        <v>12</v>
      </c>
      <c r="D4639" s="19" t="n">
        <v>2026</v>
      </c>
      <c r="E4639" s="57" t="n">
        <v>5</v>
      </c>
      <c r="F4639" s="29">
        <f>ROUND(((SUMIFS(Calendar!$F$2:$F$9997,Calendar!$B$2:$B$9997,D4639,Calendar!$C$2:$C$9997,C4639)*INDEX(ForeCalc!$B$37:$Y$274,MATCH(_xlfn.CONCAT(H4639," ",I4639),ForeCalc!$A$37:$A$274,0),MATCH(_xlfn.CONCAT(B4639," ",E4639),ForeCalc!$B$36:$Y$36,0))))*VLOOKUP(A4639,Calendar!$A$2:$H$9997,8,FALSE),0)</f>
        <v/>
      </c>
      <c r="G4639" s="29">
        <f>VLOOKUP(A4639,Calendar!$A$1:$H$9997,6,FALSE)-F4639</f>
        <v/>
      </c>
      <c r="H4639" s="19" t="n">
        <v>1</v>
      </c>
      <c r="I4639" s="57" t="n">
        <v>9</v>
      </c>
    </row>
    <row r="4640">
      <c r="A4640" s="62" t="n">
        <v>46367</v>
      </c>
      <c r="B4640" s="3" t="inlineStr">
        <is>
          <t>Week</t>
        </is>
      </c>
      <c r="C4640" s="19" t="n">
        <v>12</v>
      </c>
      <c r="D4640" s="19" t="n">
        <v>2026</v>
      </c>
      <c r="E4640" s="57" t="n">
        <v>5</v>
      </c>
      <c r="F4640" s="29">
        <f>ROUND(((SUMIFS(Calendar!$F$2:$F$9997,Calendar!$B$2:$B$9997,D4640,Calendar!$C$2:$C$9997,C4640)*INDEX(ForeCalc!$B$37:$Y$274,MATCH(_xlfn.CONCAT(H4640," ",I4640),ForeCalc!$A$37:$A$274,0),MATCH(_xlfn.CONCAT(B4640," ",E4640),ForeCalc!$B$36:$Y$36,0))))*VLOOKUP(A4640,Calendar!$A$2:$H$9997,8,FALSE),0)</f>
        <v/>
      </c>
      <c r="G4640" s="29">
        <f>VLOOKUP(A4640,Calendar!$A$1:$H$9997,6,FALSE)-F4640</f>
        <v/>
      </c>
      <c r="H4640" s="19" t="n">
        <v>1</v>
      </c>
      <c r="I4640" s="57" t="n">
        <v>9</v>
      </c>
    </row>
    <row r="4641">
      <c r="A4641" s="62" t="n">
        <v>46368</v>
      </c>
      <c r="B4641" s="3" t="inlineStr">
        <is>
          <t>Sat</t>
        </is>
      </c>
      <c r="C4641" s="19" t="n">
        <v>12</v>
      </c>
      <c r="D4641" s="19" t="n">
        <v>2026</v>
      </c>
      <c r="E4641" s="57" t="n">
        <v>5</v>
      </c>
      <c r="F4641" s="29">
        <f>ROUND(((SUMIFS(Calendar!$F$2:$F$9997,Calendar!$B$2:$B$9997,D4641,Calendar!$C$2:$C$9997,C4641)*INDEX(ForeCalc!$B$37:$Y$274,MATCH(_xlfn.CONCAT(H4641," ",I4641),ForeCalc!$A$37:$A$274,0),MATCH(_xlfn.CONCAT(B4641," ",E4641),ForeCalc!$B$36:$Y$36,0))))*VLOOKUP(A4641,Calendar!$A$2:$H$9997,8,FALSE),0)</f>
        <v/>
      </c>
      <c r="G4641" s="29">
        <f>VLOOKUP(A4641,Calendar!$A$1:$H$9997,6,FALSE)-F4641</f>
        <v/>
      </c>
      <c r="H4641" s="19" t="n">
        <v>1</v>
      </c>
      <c r="I4641" s="57" t="n">
        <v>9</v>
      </c>
    </row>
    <row r="4642">
      <c r="A4642" s="62" t="n">
        <v>46369</v>
      </c>
      <c r="B4642" s="3" t="inlineStr">
        <is>
          <t>Sun</t>
        </is>
      </c>
      <c r="C4642" s="19" t="n">
        <v>12</v>
      </c>
      <c r="D4642" s="19" t="n">
        <v>2026</v>
      </c>
      <c r="E4642" s="57" t="n">
        <v>5</v>
      </c>
      <c r="F4642" s="29">
        <f>ROUND(((SUMIFS(Calendar!$F$2:$F$9997,Calendar!$B$2:$B$9997,D4642,Calendar!$C$2:$C$9997,C4642)*INDEX(ForeCalc!$B$37:$Y$274,MATCH(_xlfn.CONCAT(H4642," ",I4642),ForeCalc!$A$37:$A$274,0),MATCH(_xlfn.CONCAT(B4642," ",E4642),ForeCalc!$B$36:$Y$36,0))))*VLOOKUP(A4642,Calendar!$A$2:$H$9997,8,FALSE),0)</f>
        <v/>
      </c>
      <c r="G4642" s="29">
        <f>VLOOKUP(A4642,Calendar!$A$1:$H$9997,6,FALSE)-F4642</f>
        <v/>
      </c>
      <c r="H4642" s="19" t="n">
        <v>1</v>
      </c>
      <c r="I4642" s="57" t="n">
        <v>9</v>
      </c>
    </row>
    <row r="4643">
      <c r="A4643" s="62" t="n">
        <v>46370</v>
      </c>
      <c r="B4643" s="3" t="inlineStr">
        <is>
          <t>Week</t>
        </is>
      </c>
      <c r="C4643" s="19" t="n">
        <v>12</v>
      </c>
      <c r="D4643" s="19" t="n">
        <v>2026</v>
      </c>
      <c r="E4643" s="57" t="n">
        <v>5</v>
      </c>
      <c r="F4643" s="29">
        <f>ROUND(((SUMIFS(Calendar!$F$2:$F$9997,Calendar!$B$2:$B$9997,D4643,Calendar!$C$2:$C$9997,C4643)*INDEX(ForeCalc!$B$37:$Y$274,MATCH(_xlfn.CONCAT(H4643," ",I4643),ForeCalc!$A$37:$A$274,0),MATCH(_xlfn.CONCAT(B4643," ",E4643),ForeCalc!$B$36:$Y$36,0))))*VLOOKUP(A4643,Calendar!$A$2:$H$9997,8,FALSE),0)</f>
        <v/>
      </c>
      <c r="G4643" s="29">
        <f>VLOOKUP(A4643,Calendar!$A$1:$H$9997,6,FALSE)-F4643</f>
        <v/>
      </c>
      <c r="H4643" s="19" t="n">
        <v>1</v>
      </c>
      <c r="I4643" s="57" t="n">
        <v>9</v>
      </c>
    </row>
    <row r="4644">
      <c r="A4644" s="62" t="n">
        <v>46371</v>
      </c>
      <c r="B4644" s="3" t="inlineStr">
        <is>
          <t>Week</t>
        </is>
      </c>
      <c r="C4644" s="19" t="n">
        <v>12</v>
      </c>
      <c r="D4644" s="19" t="n">
        <v>2026</v>
      </c>
      <c r="E4644" s="57" t="n">
        <v>5</v>
      </c>
      <c r="F4644" s="29">
        <f>ROUND(((SUMIFS(Calendar!$F$2:$F$9997,Calendar!$B$2:$B$9997,D4644,Calendar!$C$2:$C$9997,C4644)*INDEX(ForeCalc!$B$37:$Y$274,MATCH(_xlfn.CONCAT(H4644," ",I4644),ForeCalc!$A$37:$A$274,0),MATCH(_xlfn.CONCAT(B4644," ",E4644),ForeCalc!$B$36:$Y$36,0))))*VLOOKUP(A4644,Calendar!$A$2:$H$9997,8,FALSE),0)</f>
        <v/>
      </c>
      <c r="G4644" s="29">
        <f>VLOOKUP(A4644,Calendar!$A$1:$H$9997,6,FALSE)-F4644</f>
        <v/>
      </c>
      <c r="H4644" s="19" t="n">
        <v>1</v>
      </c>
      <c r="I4644" s="57" t="n">
        <v>9</v>
      </c>
    </row>
    <row r="4645">
      <c r="A4645" s="62" t="n">
        <v>46372</v>
      </c>
      <c r="B4645" s="3" t="inlineStr">
        <is>
          <t>Week</t>
        </is>
      </c>
      <c r="C4645" s="19" t="n">
        <v>12</v>
      </c>
      <c r="D4645" s="19" t="n">
        <v>2026</v>
      </c>
      <c r="E4645" s="57" t="n">
        <v>5</v>
      </c>
      <c r="F4645" s="29">
        <f>ROUND(((SUMIFS(Calendar!$F$2:$F$9997,Calendar!$B$2:$B$9997,D4645,Calendar!$C$2:$C$9997,C4645)*INDEX(ForeCalc!$B$37:$Y$274,MATCH(_xlfn.CONCAT(H4645," ",I4645),ForeCalc!$A$37:$A$274,0),MATCH(_xlfn.CONCAT(B4645," ",E4645),ForeCalc!$B$36:$Y$36,0))))*VLOOKUP(A4645,Calendar!$A$2:$H$9997,8,FALSE),0)</f>
        <v/>
      </c>
      <c r="G4645" s="29">
        <f>VLOOKUP(A4645,Calendar!$A$1:$H$9997,6,FALSE)-F4645</f>
        <v/>
      </c>
      <c r="H4645" s="19" t="n">
        <v>1</v>
      </c>
      <c r="I4645" s="57" t="n">
        <v>9</v>
      </c>
    </row>
    <row r="4646">
      <c r="A4646" s="62" t="n">
        <v>46373</v>
      </c>
      <c r="B4646" s="3" t="inlineStr">
        <is>
          <t>Week</t>
        </is>
      </c>
      <c r="C4646" s="19" t="n">
        <v>12</v>
      </c>
      <c r="D4646" s="19" t="n">
        <v>2026</v>
      </c>
      <c r="E4646" s="57" t="n">
        <v>5</v>
      </c>
      <c r="F4646" s="29">
        <f>ROUND(((SUMIFS(Calendar!$F$2:$F$9997,Calendar!$B$2:$B$9997,D4646,Calendar!$C$2:$C$9997,C4646)*INDEX(ForeCalc!$B$37:$Y$274,MATCH(_xlfn.CONCAT(H4646," ",I4646),ForeCalc!$A$37:$A$274,0),MATCH(_xlfn.CONCAT(B4646," ",E4646),ForeCalc!$B$36:$Y$36,0))))*VLOOKUP(A4646,Calendar!$A$2:$H$9997,8,FALSE),0)</f>
        <v/>
      </c>
      <c r="G4646" s="29">
        <f>VLOOKUP(A4646,Calendar!$A$1:$H$9997,6,FALSE)-F4646</f>
        <v/>
      </c>
      <c r="H4646" s="19" t="n">
        <v>1</v>
      </c>
      <c r="I4646" s="57" t="n">
        <v>9</v>
      </c>
    </row>
    <row r="4647">
      <c r="A4647" s="62" t="n">
        <v>46374</v>
      </c>
      <c r="B4647" s="3" t="inlineStr">
        <is>
          <t>Week</t>
        </is>
      </c>
      <c r="C4647" s="19" t="n">
        <v>12</v>
      </c>
      <c r="D4647" s="19" t="n">
        <v>2026</v>
      </c>
      <c r="E4647" s="57" t="n">
        <v>5</v>
      </c>
      <c r="F4647" s="29">
        <f>ROUND(((SUMIFS(Calendar!$F$2:$F$9997,Calendar!$B$2:$B$9997,D4647,Calendar!$C$2:$C$9997,C4647)*INDEX(ForeCalc!$B$37:$Y$274,MATCH(_xlfn.CONCAT(H4647," ",I4647),ForeCalc!$A$37:$A$274,0),MATCH(_xlfn.CONCAT(B4647," ",E4647),ForeCalc!$B$36:$Y$36,0))))*VLOOKUP(A4647,Calendar!$A$2:$H$9997,8,FALSE),0)</f>
        <v/>
      </c>
      <c r="G4647" s="29">
        <f>VLOOKUP(A4647,Calendar!$A$1:$H$9997,6,FALSE)-F4647</f>
        <v/>
      </c>
      <c r="H4647" s="19" t="n">
        <v>1</v>
      </c>
      <c r="I4647" s="57" t="n">
        <v>9</v>
      </c>
    </row>
    <row r="4648">
      <c r="A4648" s="62" t="n">
        <v>46375</v>
      </c>
      <c r="B4648" s="3" t="inlineStr">
        <is>
          <t>Sat</t>
        </is>
      </c>
      <c r="C4648" s="19" t="n">
        <v>12</v>
      </c>
      <c r="D4648" s="19" t="n">
        <v>2026</v>
      </c>
      <c r="E4648" s="57" t="n">
        <v>5</v>
      </c>
      <c r="F4648" s="29">
        <f>ROUND(((SUMIFS(Calendar!$F$2:$F$9997,Calendar!$B$2:$B$9997,D4648,Calendar!$C$2:$C$9997,C4648)*INDEX(ForeCalc!$B$37:$Y$274,MATCH(_xlfn.CONCAT(H4648," ",I4648),ForeCalc!$A$37:$A$274,0),MATCH(_xlfn.CONCAT(B4648," ",E4648),ForeCalc!$B$36:$Y$36,0))))*VLOOKUP(A4648,Calendar!$A$2:$H$9997,8,FALSE),0)</f>
        <v/>
      </c>
      <c r="G4648" s="29">
        <f>VLOOKUP(A4648,Calendar!$A$1:$H$9997,6,FALSE)-F4648</f>
        <v/>
      </c>
      <c r="H4648" s="19" t="n">
        <v>1</v>
      </c>
      <c r="I4648" s="57" t="n">
        <v>9</v>
      </c>
    </row>
    <row r="4649">
      <c r="A4649" s="62" t="n">
        <v>46376</v>
      </c>
      <c r="B4649" s="3" t="inlineStr">
        <is>
          <t>Sun</t>
        </is>
      </c>
      <c r="C4649" s="19" t="n">
        <v>12</v>
      </c>
      <c r="D4649" s="19" t="n">
        <v>2026</v>
      </c>
      <c r="E4649" s="57" t="n">
        <v>5</v>
      </c>
      <c r="F4649" s="29">
        <f>ROUND(((SUMIFS(Calendar!$F$2:$F$9997,Calendar!$B$2:$B$9997,D4649,Calendar!$C$2:$C$9997,C4649)*INDEX(ForeCalc!$B$37:$Y$274,MATCH(_xlfn.CONCAT(H4649," ",I4649),ForeCalc!$A$37:$A$274,0),MATCH(_xlfn.CONCAT(B4649," ",E4649),ForeCalc!$B$36:$Y$36,0))))*VLOOKUP(A4649,Calendar!$A$2:$H$9997,8,FALSE),0)</f>
        <v/>
      </c>
      <c r="G4649" s="29">
        <f>VLOOKUP(A4649,Calendar!$A$1:$H$9997,6,FALSE)-F4649</f>
        <v/>
      </c>
      <c r="H4649" s="19" t="n">
        <v>1</v>
      </c>
      <c r="I4649" s="57" t="n">
        <v>9</v>
      </c>
    </row>
    <row r="4650">
      <c r="A4650" s="62" t="n">
        <v>46377</v>
      </c>
      <c r="B4650" s="3" t="inlineStr">
        <is>
          <t>Week</t>
        </is>
      </c>
      <c r="C4650" s="19" t="n">
        <v>12</v>
      </c>
      <c r="D4650" s="19" t="n">
        <v>2026</v>
      </c>
      <c r="E4650" s="57" t="n">
        <v>5</v>
      </c>
      <c r="F4650" s="29">
        <f>ROUND(((SUMIFS(Calendar!$F$2:$F$9997,Calendar!$B$2:$B$9997,D4650,Calendar!$C$2:$C$9997,C4650)*INDEX(ForeCalc!$B$37:$Y$274,MATCH(_xlfn.CONCAT(H4650," ",I4650),ForeCalc!$A$37:$A$274,0),MATCH(_xlfn.CONCAT(B4650," ",E4650),ForeCalc!$B$36:$Y$36,0))))*VLOOKUP(A4650,Calendar!$A$2:$H$9997,8,FALSE),0)</f>
        <v/>
      </c>
      <c r="G4650" s="29">
        <f>VLOOKUP(A4650,Calendar!$A$1:$H$9997,6,FALSE)-F4650</f>
        <v/>
      </c>
      <c r="H4650" s="19" t="n">
        <v>1</v>
      </c>
      <c r="I4650" s="57" t="n">
        <v>9</v>
      </c>
    </row>
    <row r="4651">
      <c r="A4651" s="62" t="n">
        <v>46378</v>
      </c>
      <c r="B4651" s="3" t="inlineStr">
        <is>
          <t>Week</t>
        </is>
      </c>
      <c r="C4651" s="19" t="n">
        <v>12</v>
      </c>
      <c r="D4651" s="19" t="n">
        <v>2026</v>
      </c>
      <c r="E4651" s="57" t="n">
        <v>5</v>
      </c>
      <c r="F4651" s="29">
        <f>ROUND(((SUMIFS(Calendar!$F$2:$F$9997,Calendar!$B$2:$B$9997,D4651,Calendar!$C$2:$C$9997,C4651)*INDEX(ForeCalc!$B$37:$Y$274,MATCH(_xlfn.CONCAT(H4651," ",I4651),ForeCalc!$A$37:$A$274,0),MATCH(_xlfn.CONCAT(B4651," ",E4651),ForeCalc!$B$36:$Y$36,0))))*VLOOKUP(A4651,Calendar!$A$2:$H$9997,8,FALSE),0)</f>
        <v/>
      </c>
      <c r="G4651" s="29">
        <f>VLOOKUP(A4651,Calendar!$A$1:$H$9997,6,FALSE)-F4651</f>
        <v/>
      </c>
      <c r="H4651" s="19" t="n">
        <v>1</v>
      </c>
      <c r="I4651" s="57" t="n">
        <v>9</v>
      </c>
    </row>
    <row r="4652">
      <c r="A4652" s="62" t="n">
        <v>46379</v>
      </c>
      <c r="B4652" s="3" t="inlineStr">
        <is>
          <t>Week</t>
        </is>
      </c>
      <c r="C4652" s="19" t="n">
        <v>12</v>
      </c>
      <c r="D4652" s="19" t="n">
        <v>2026</v>
      </c>
      <c r="E4652" s="57" t="n">
        <v>5</v>
      </c>
      <c r="F4652" s="29">
        <f>ROUND(((SUMIFS(Calendar!$F$2:$F$9997,Calendar!$B$2:$B$9997,D4652,Calendar!$C$2:$C$9997,C4652)*INDEX(ForeCalc!$B$37:$Y$274,MATCH(_xlfn.CONCAT(H4652," ",I4652),ForeCalc!$A$37:$A$274,0),MATCH(_xlfn.CONCAT(B4652," ",E4652),ForeCalc!$B$36:$Y$36,0))))*VLOOKUP(A4652,Calendar!$A$2:$H$9997,8,FALSE),0)</f>
        <v/>
      </c>
      <c r="G4652" s="29">
        <f>VLOOKUP(A4652,Calendar!$A$1:$H$9997,6,FALSE)-F4652</f>
        <v/>
      </c>
      <c r="H4652" s="19" t="n">
        <v>1</v>
      </c>
      <c r="I4652" s="57" t="n">
        <v>9</v>
      </c>
    </row>
    <row r="4653">
      <c r="A4653" s="62" t="n">
        <v>46380</v>
      </c>
      <c r="B4653" s="3" t="inlineStr">
        <is>
          <t>Week</t>
        </is>
      </c>
      <c r="C4653" s="19" t="n">
        <v>12</v>
      </c>
      <c r="D4653" s="19" t="n">
        <v>2026</v>
      </c>
      <c r="E4653" s="57" t="n">
        <v>5</v>
      </c>
      <c r="F4653" s="29">
        <f>ROUND(((SUMIFS(Calendar!$F$2:$F$9997,Calendar!$B$2:$B$9997,D4653,Calendar!$C$2:$C$9997,C4653)*INDEX(ForeCalc!$B$37:$Y$274,MATCH(_xlfn.CONCAT(H4653," ",I4653),ForeCalc!$A$37:$A$274,0),MATCH(_xlfn.CONCAT(B4653," ",E4653),ForeCalc!$B$36:$Y$36,0))))*VLOOKUP(A4653,Calendar!$A$2:$H$9997,8,FALSE),0)</f>
        <v/>
      </c>
      <c r="G4653" s="29">
        <f>VLOOKUP(A4653,Calendar!$A$1:$H$9997,6,FALSE)-F4653</f>
        <v/>
      </c>
      <c r="H4653" s="19" t="n">
        <v>1</v>
      </c>
      <c r="I4653" s="57" t="n">
        <v>9</v>
      </c>
    </row>
    <row r="4654">
      <c r="A4654" s="62" t="n">
        <v>46381</v>
      </c>
      <c r="B4654" s="3" t="inlineStr">
        <is>
          <t>Week</t>
        </is>
      </c>
      <c r="C4654" s="19" t="n">
        <v>12</v>
      </c>
      <c r="D4654" s="19" t="n">
        <v>2026</v>
      </c>
      <c r="E4654" s="57" t="n">
        <v>5</v>
      </c>
      <c r="F4654" s="29">
        <f>ROUND(((SUMIFS(Calendar!$F$2:$F$9997,Calendar!$B$2:$B$9997,D4654,Calendar!$C$2:$C$9997,C4654)*INDEX(ForeCalc!$B$37:$Y$274,MATCH(_xlfn.CONCAT(H4654," ",I4654),ForeCalc!$A$37:$A$274,0),MATCH(_xlfn.CONCAT(B4654," ",E4654),ForeCalc!$B$36:$Y$36,0))))*VLOOKUP(A4654,Calendar!$A$2:$H$9997,8,FALSE),0)</f>
        <v/>
      </c>
      <c r="G4654" s="29">
        <f>VLOOKUP(A4654,Calendar!$A$1:$H$9997,6,FALSE)-F4654</f>
        <v/>
      </c>
      <c r="H4654" s="19" t="n">
        <v>1</v>
      </c>
      <c r="I4654" s="57" t="n">
        <v>9</v>
      </c>
    </row>
    <row r="4655">
      <c r="A4655" s="62" t="n">
        <v>46382</v>
      </c>
      <c r="B4655" s="3" t="inlineStr">
        <is>
          <t>Sat</t>
        </is>
      </c>
      <c r="C4655" s="19" t="n">
        <v>12</v>
      </c>
      <c r="D4655" s="19" t="n">
        <v>2026</v>
      </c>
      <c r="E4655" s="57" t="n">
        <v>5</v>
      </c>
      <c r="F4655" s="29">
        <f>ROUND(((SUMIFS(Calendar!$F$2:$F$9997,Calendar!$B$2:$B$9997,D4655,Calendar!$C$2:$C$9997,C4655)*INDEX(ForeCalc!$B$37:$Y$274,MATCH(_xlfn.CONCAT(H4655," ",I4655),ForeCalc!$A$37:$A$274,0),MATCH(_xlfn.CONCAT(B4655," ",E4655),ForeCalc!$B$36:$Y$36,0))))*VLOOKUP(A4655,Calendar!$A$2:$H$9997,8,FALSE),0)</f>
        <v/>
      </c>
      <c r="G4655" s="29">
        <f>VLOOKUP(A4655,Calendar!$A$1:$H$9997,6,FALSE)-F4655</f>
        <v/>
      </c>
      <c r="H4655" s="19" t="n">
        <v>1</v>
      </c>
      <c r="I4655" s="57" t="n">
        <v>9</v>
      </c>
    </row>
    <row r="4656">
      <c r="A4656" s="62" t="n">
        <v>46383</v>
      </c>
      <c r="B4656" s="3" t="inlineStr">
        <is>
          <t>Sun</t>
        </is>
      </c>
      <c r="C4656" s="19" t="n">
        <v>12</v>
      </c>
      <c r="D4656" s="19" t="n">
        <v>2026</v>
      </c>
      <c r="E4656" s="57" t="n">
        <v>5</v>
      </c>
      <c r="F4656" s="29">
        <f>ROUND(((SUMIFS(Calendar!$F$2:$F$9997,Calendar!$B$2:$B$9997,D4656,Calendar!$C$2:$C$9997,C4656)*INDEX(ForeCalc!$B$37:$Y$274,MATCH(_xlfn.CONCAT(H4656," ",I4656),ForeCalc!$A$37:$A$274,0),MATCH(_xlfn.CONCAT(B4656," ",E4656),ForeCalc!$B$36:$Y$36,0))))*VLOOKUP(A4656,Calendar!$A$2:$H$9997,8,FALSE),0)</f>
        <v/>
      </c>
      <c r="G4656" s="29">
        <f>VLOOKUP(A4656,Calendar!$A$1:$H$9997,6,FALSE)-F4656</f>
        <v/>
      </c>
      <c r="H4656" s="19" t="n">
        <v>1</v>
      </c>
      <c r="I4656" s="57" t="n">
        <v>9</v>
      </c>
    </row>
    <row r="4657">
      <c r="A4657" s="62" t="n">
        <v>46384</v>
      </c>
      <c r="B4657" s="3" t="inlineStr">
        <is>
          <t>Week</t>
        </is>
      </c>
      <c r="C4657" s="19" t="n">
        <v>12</v>
      </c>
      <c r="D4657" s="19" t="n">
        <v>2026</v>
      </c>
      <c r="E4657" s="57" t="n">
        <v>5</v>
      </c>
      <c r="F4657" s="29">
        <f>ROUND(((SUMIFS(Calendar!$F$2:$F$9997,Calendar!$B$2:$B$9997,D4657,Calendar!$C$2:$C$9997,C4657)*INDEX(ForeCalc!$B$37:$Y$274,MATCH(_xlfn.CONCAT(H4657," ",I4657),ForeCalc!$A$37:$A$274,0),MATCH(_xlfn.CONCAT(B4657," ",E4657),ForeCalc!$B$36:$Y$36,0))))*VLOOKUP(A4657,Calendar!$A$2:$H$9997,8,FALSE),0)</f>
        <v/>
      </c>
      <c r="G4657" s="29">
        <f>VLOOKUP(A4657,Calendar!$A$1:$H$9997,6,FALSE)-F4657</f>
        <v/>
      </c>
      <c r="H4657" s="19" t="n">
        <v>1</v>
      </c>
      <c r="I4657" s="57" t="n">
        <v>9</v>
      </c>
    </row>
    <row r="4658">
      <c r="A4658" s="62" t="n">
        <v>46385</v>
      </c>
      <c r="B4658" s="3" t="inlineStr">
        <is>
          <t>Week</t>
        </is>
      </c>
      <c r="C4658" s="19" t="n">
        <v>12</v>
      </c>
      <c r="D4658" s="19" t="n">
        <v>2026</v>
      </c>
      <c r="E4658" s="57" t="n">
        <v>5</v>
      </c>
      <c r="F4658" s="29">
        <f>ROUND(((SUMIFS(Calendar!$F$2:$F$9997,Calendar!$B$2:$B$9997,D4658,Calendar!$C$2:$C$9997,C4658)*INDEX(ForeCalc!$B$37:$Y$274,MATCH(_xlfn.CONCAT(H4658," ",I4658),ForeCalc!$A$37:$A$274,0),MATCH(_xlfn.CONCAT(B4658," ",E4658),ForeCalc!$B$36:$Y$36,0))))*VLOOKUP(A4658,Calendar!$A$2:$H$9997,8,FALSE),0)</f>
        <v/>
      </c>
      <c r="G4658" s="29">
        <f>VLOOKUP(A4658,Calendar!$A$1:$H$9997,6,FALSE)-F4658</f>
        <v/>
      </c>
      <c r="H4658" s="19" t="n">
        <v>1</v>
      </c>
      <c r="I4658" s="57" t="n">
        <v>9</v>
      </c>
    </row>
    <row r="4659">
      <c r="A4659" s="62" t="n">
        <v>46386</v>
      </c>
      <c r="B4659" s="3" t="inlineStr">
        <is>
          <t>Week</t>
        </is>
      </c>
      <c r="C4659" s="19" t="n">
        <v>12</v>
      </c>
      <c r="D4659" s="19" t="n">
        <v>2026</v>
      </c>
      <c r="E4659" s="57" t="n">
        <v>5</v>
      </c>
      <c r="F4659" s="29">
        <f>ROUND(((SUMIFS(Calendar!$F$2:$F$9997,Calendar!$B$2:$B$9997,D4659,Calendar!$C$2:$C$9997,C4659)*INDEX(ForeCalc!$B$37:$Y$274,MATCH(_xlfn.CONCAT(H4659," ",I4659),ForeCalc!$A$37:$A$274,0),MATCH(_xlfn.CONCAT(B4659," ",E4659),ForeCalc!$B$36:$Y$36,0))))*VLOOKUP(A4659,Calendar!$A$2:$H$9997,8,FALSE),0)</f>
        <v/>
      </c>
      <c r="G4659" s="29">
        <f>VLOOKUP(A4659,Calendar!$A$1:$H$9997,6,FALSE)-F4659</f>
        <v/>
      </c>
      <c r="H4659" s="19" t="n">
        <v>1</v>
      </c>
      <c r="I4659" s="57" t="n">
        <v>9</v>
      </c>
    </row>
    <row r="4660">
      <c r="A4660" s="62" t="n">
        <v>46387</v>
      </c>
      <c r="B4660" s="3" t="inlineStr">
        <is>
          <t>Week</t>
        </is>
      </c>
      <c r="C4660" s="19" t="n">
        <v>12</v>
      </c>
      <c r="D4660" s="19" t="n">
        <v>2026</v>
      </c>
      <c r="E4660" s="57" t="n">
        <v>5</v>
      </c>
      <c r="F4660" s="29">
        <f>ROUND(((SUMIFS(Calendar!$F$2:$F$9997,Calendar!$B$2:$B$9997,D4660,Calendar!$C$2:$C$9997,C4660)*INDEX(ForeCalc!$B$37:$Y$274,MATCH(_xlfn.CONCAT(H4660," ",I4660),ForeCalc!$A$37:$A$274,0),MATCH(_xlfn.CONCAT(B4660," ",E4660),ForeCalc!$B$36:$Y$36,0))))*VLOOKUP(A4660,Calendar!$A$2:$H$9997,8,FALSE),0)</f>
        <v/>
      </c>
      <c r="G4660" s="29">
        <f>VLOOKUP(A4660,Calendar!$A$1:$H$9997,6,FALSE)-F4660</f>
        <v/>
      </c>
      <c r="H4660" s="19" t="n">
        <v>1</v>
      </c>
      <c r="I4660" s="57" t="n">
        <v>9</v>
      </c>
    </row>
    <row r="4661">
      <c r="A4661" s="62" t="n">
        <v>46388</v>
      </c>
      <c r="B4661" s="3" t="inlineStr">
        <is>
          <t>Week</t>
        </is>
      </c>
      <c r="C4661" s="19" t="n">
        <v>1</v>
      </c>
      <c r="D4661" s="19" t="n">
        <v>2027</v>
      </c>
      <c r="E4661" s="57" t="n">
        <v>5</v>
      </c>
      <c r="F4661" s="29">
        <f>ROUND(((SUMIFS(Calendar!$F$2:$F$9997,Calendar!$B$2:$B$9997,D4661,Calendar!$C$2:$C$9997,C4661)*INDEX(ForeCalc!$B$37:$Y$274,MATCH(_xlfn.CONCAT(H4661," ",I4661),ForeCalc!$A$37:$A$274,0),MATCH(_xlfn.CONCAT(B4661," ",E4661),ForeCalc!$B$36:$Y$36,0))))*VLOOKUP(A4661,Calendar!$A$2:$H$9997,8,FALSE),0)</f>
        <v/>
      </c>
      <c r="G4661" s="29">
        <f>VLOOKUP(A4661,Calendar!$A$1:$H$9997,6,FALSE)-F4661</f>
        <v/>
      </c>
      <c r="H4661" s="19" t="n">
        <v>1</v>
      </c>
      <c r="I4661" s="57" t="n">
        <v>10</v>
      </c>
    </row>
    <row r="4662">
      <c r="A4662" s="62" t="n">
        <v>46389</v>
      </c>
      <c r="B4662" s="3" t="inlineStr">
        <is>
          <t>Sat</t>
        </is>
      </c>
      <c r="C4662" s="19" t="n">
        <v>1</v>
      </c>
      <c r="D4662" s="19" t="n">
        <v>2027</v>
      </c>
      <c r="E4662" s="57" t="n">
        <v>5</v>
      </c>
      <c r="F4662" s="29">
        <f>ROUND(((SUMIFS(Calendar!$F$2:$F$9997,Calendar!$B$2:$B$9997,D4662,Calendar!$C$2:$C$9997,C4662)*INDEX(ForeCalc!$B$37:$Y$274,MATCH(_xlfn.CONCAT(H4662," ",I4662),ForeCalc!$A$37:$A$274,0),MATCH(_xlfn.CONCAT(B4662," ",E4662),ForeCalc!$B$36:$Y$36,0))))*VLOOKUP(A4662,Calendar!$A$2:$H$9997,8,FALSE),0)</f>
        <v/>
      </c>
      <c r="G4662" s="29">
        <f>VLOOKUP(A4662,Calendar!$A$1:$H$9997,6,FALSE)-F4662</f>
        <v/>
      </c>
      <c r="H4662" s="19" t="n">
        <v>1</v>
      </c>
      <c r="I4662" s="57" t="n">
        <v>10</v>
      </c>
    </row>
    <row r="4663">
      <c r="A4663" s="62" t="n">
        <v>46390</v>
      </c>
      <c r="B4663" s="3" t="inlineStr">
        <is>
          <t>Sun</t>
        </is>
      </c>
      <c r="C4663" s="19" t="n">
        <v>1</v>
      </c>
      <c r="D4663" s="19" t="n">
        <v>2027</v>
      </c>
      <c r="E4663" s="57" t="n">
        <v>5</v>
      </c>
      <c r="F4663" s="29">
        <f>ROUND(((SUMIFS(Calendar!$F$2:$F$9997,Calendar!$B$2:$B$9997,D4663,Calendar!$C$2:$C$9997,C4663)*INDEX(ForeCalc!$B$37:$Y$274,MATCH(_xlfn.CONCAT(H4663," ",I4663),ForeCalc!$A$37:$A$274,0),MATCH(_xlfn.CONCAT(B4663," ",E4663),ForeCalc!$B$36:$Y$36,0))))*VLOOKUP(A4663,Calendar!$A$2:$H$9997,8,FALSE),0)</f>
        <v/>
      </c>
      <c r="G4663" s="29">
        <f>VLOOKUP(A4663,Calendar!$A$1:$H$9997,6,FALSE)-F4663</f>
        <v/>
      </c>
      <c r="H4663" s="19" t="n">
        <v>1</v>
      </c>
      <c r="I4663" s="57" t="n">
        <v>10</v>
      </c>
    </row>
    <row r="4664">
      <c r="A4664" s="62" t="n">
        <v>46391</v>
      </c>
      <c r="B4664" s="3" t="inlineStr">
        <is>
          <t>Week</t>
        </is>
      </c>
      <c r="C4664" s="19" t="n">
        <v>1</v>
      </c>
      <c r="D4664" s="19" t="n">
        <v>2027</v>
      </c>
      <c r="E4664" s="57" t="n">
        <v>5</v>
      </c>
      <c r="F4664" s="29">
        <f>ROUND(((SUMIFS(Calendar!$F$2:$F$9997,Calendar!$B$2:$B$9997,D4664,Calendar!$C$2:$C$9997,C4664)*INDEX(ForeCalc!$B$37:$Y$274,MATCH(_xlfn.CONCAT(H4664," ",I4664),ForeCalc!$A$37:$A$274,0),MATCH(_xlfn.CONCAT(B4664," ",E4664),ForeCalc!$B$36:$Y$36,0))))*VLOOKUP(A4664,Calendar!$A$2:$H$9997,8,FALSE),0)</f>
        <v/>
      </c>
      <c r="G4664" s="29">
        <f>VLOOKUP(A4664,Calendar!$A$1:$H$9997,6,FALSE)-F4664</f>
        <v/>
      </c>
      <c r="H4664" s="19" t="n">
        <v>1</v>
      </c>
      <c r="I4664" s="57" t="n">
        <v>10</v>
      </c>
    </row>
    <row r="4665">
      <c r="A4665" s="62" t="n">
        <v>46392</v>
      </c>
      <c r="B4665" s="3" t="inlineStr">
        <is>
          <t>Week</t>
        </is>
      </c>
      <c r="C4665" s="19" t="n">
        <v>1</v>
      </c>
      <c r="D4665" s="19" t="n">
        <v>2027</v>
      </c>
      <c r="E4665" s="57" t="n">
        <v>5</v>
      </c>
      <c r="F4665" s="29">
        <f>ROUND(((SUMIFS(Calendar!$F$2:$F$9997,Calendar!$B$2:$B$9997,D4665,Calendar!$C$2:$C$9997,C4665)*INDEX(ForeCalc!$B$37:$Y$274,MATCH(_xlfn.CONCAT(H4665," ",I4665),ForeCalc!$A$37:$A$274,0),MATCH(_xlfn.CONCAT(B4665," ",E4665),ForeCalc!$B$36:$Y$36,0))))*VLOOKUP(A4665,Calendar!$A$2:$H$9997,8,FALSE),0)</f>
        <v/>
      </c>
      <c r="G4665" s="29">
        <f>VLOOKUP(A4665,Calendar!$A$1:$H$9997,6,FALSE)-F4665</f>
        <v/>
      </c>
      <c r="H4665" s="19" t="n">
        <v>1</v>
      </c>
      <c r="I4665" s="57" t="n">
        <v>10</v>
      </c>
    </row>
    <row r="4666">
      <c r="A4666" s="62" t="n">
        <v>46393</v>
      </c>
      <c r="B4666" s="3" t="inlineStr">
        <is>
          <t>Week</t>
        </is>
      </c>
      <c r="C4666" s="19" t="n">
        <v>1</v>
      </c>
      <c r="D4666" s="19" t="n">
        <v>2027</v>
      </c>
      <c r="E4666" s="57" t="n">
        <v>5</v>
      </c>
      <c r="F4666" s="29">
        <f>ROUND(((SUMIFS(Calendar!$F$2:$F$9997,Calendar!$B$2:$B$9997,D4666,Calendar!$C$2:$C$9997,C4666)*INDEX(ForeCalc!$B$37:$Y$274,MATCH(_xlfn.CONCAT(H4666," ",I4666),ForeCalc!$A$37:$A$274,0),MATCH(_xlfn.CONCAT(B4666," ",E4666),ForeCalc!$B$36:$Y$36,0))))*VLOOKUP(A4666,Calendar!$A$2:$H$9997,8,FALSE),0)</f>
        <v/>
      </c>
      <c r="G4666" s="29">
        <f>VLOOKUP(A4666,Calendar!$A$1:$H$9997,6,FALSE)-F4666</f>
        <v/>
      </c>
      <c r="H4666" s="19" t="n">
        <v>1</v>
      </c>
      <c r="I4666" s="57" t="n">
        <v>10</v>
      </c>
    </row>
    <row r="4667">
      <c r="A4667" s="62" t="n">
        <v>46394</v>
      </c>
      <c r="B4667" s="3" t="inlineStr">
        <is>
          <t>Week</t>
        </is>
      </c>
      <c r="C4667" s="19" t="n">
        <v>1</v>
      </c>
      <c r="D4667" s="19" t="n">
        <v>2027</v>
      </c>
      <c r="E4667" s="57" t="n">
        <v>5</v>
      </c>
      <c r="F4667" s="29">
        <f>ROUND(((SUMIFS(Calendar!$F$2:$F$9997,Calendar!$B$2:$B$9997,D4667,Calendar!$C$2:$C$9997,C4667)*INDEX(ForeCalc!$B$37:$Y$274,MATCH(_xlfn.CONCAT(H4667," ",I4667),ForeCalc!$A$37:$A$274,0),MATCH(_xlfn.CONCAT(B4667," ",E4667),ForeCalc!$B$36:$Y$36,0))))*VLOOKUP(A4667,Calendar!$A$2:$H$9997,8,FALSE),0)</f>
        <v/>
      </c>
      <c r="G4667" s="29">
        <f>VLOOKUP(A4667,Calendar!$A$1:$H$9997,6,FALSE)-F4667</f>
        <v/>
      </c>
      <c r="H4667" s="19" t="n">
        <v>1</v>
      </c>
      <c r="I4667" s="57" t="n">
        <v>10</v>
      </c>
    </row>
    <row r="4668">
      <c r="A4668" s="62" t="n">
        <v>46395</v>
      </c>
      <c r="B4668" s="3" t="inlineStr">
        <is>
          <t>Week</t>
        </is>
      </c>
      <c r="C4668" s="19" t="n">
        <v>1</v>
      </c>
      <c r="D4668" s="19" t="n">
        <v>2027</v>
      </c>
      <c r="E4668" s="57" t="n">
        <v>5</v>
      </c>
      <c r="F4668" s="29">
        <f>ROUND(((SUMIFS(Calendar!$F$2:$F$9997,Calendar!$B$2:$B$9997,D4668,Calendar!$C$2:$C$9997,C4668)*INDEX(ForeCalc!$B$37:$Y$274,MATCH(_xlfn.CONCAT(H4668," ",I4668),ForeCalc!$A$37:$A$274,0),MATCH(_xlfn.CONCAT(B4668," ",E4668),ForeCalc!$B$36:$Y$36,0))))*VLOOKUP(A4668,Calendar!$A$2:$H$9997,8,FALSE),0)</f>
        <v/>
      </c>
      <c r="G4668" s="29">
        <f>VLOOKUP(A4668,Calendar!$A$1:$H$9997,6,FALSE)-F4668</f>
        <v/>
      </c>
      <c r="H4668" s="19" t="n">
        <v>1</v>
      </c>
      <c r="I4668" s="57" t="n">
        <v>10</v>
      </c>
    </row>
    <row r="4669">
      <c r="A4669" s="62" t="n">
        <v>46396</v>
      </c>
      <c r="B4669" s="3" t="inlineStr">
        <is>
          <t>Sat</t>
        </is>
      </c>
      <c r="C4669" s="19" t="n">
        <v>1</v>
      </c>
      <c r="D4669" s="19" t="n">
        <v>2027</v>
      </c>
      <c r="E4669" s="57" t="n">
        <v>5</v>
      </c>
      <c r="F4669" s="29">
        <f>ROUND(((SUMIFS(Calendar!$F$2:$F$9997,Calendar!$B$2:$B$9997,D4669,Calendar!$C$2:$C$9997,C4669)*INDEX(ForeCalc!$B$37:$Y$274,MATCH(_xlfn.CONCAT(H4669," ",I4669),ForeCalc!$A$37:$A$274,0),MATCH(_xlfn.CONCAT(B4669," ",E4669),ForeCalc!$B$36:$Y$36,0))))*VLOOKUP(A4669,Calendar!$A$2:$H$9997,8,FALSE),0)</f>
        <v/>
      </c>
      <c r="G4669" s="29">
        <f>VLOOKUP(A4669,Calendar!$A$1:$H$9997,6,FALSE)-F4669</f>
        <v/>
      </c>
      <c r="H4669" s="19" t="n">
        <v>1</v>
      </c>
      <c r="I4669" s="57" t="n">
        <v>10</v>
      </c>
    </row>
    <row r="4670">
      <c r="A4670" s="62" t="n">
        <v>46397</v>
      </c>
      <c r="B4670" s="3" t="inlineStr">
        <is>
          <t>Sun</t>
        </is>
      </c>
      <c r="C4670" s="19" t="n">
        <v>1</v>
      </c>
      <c r="D4670" s="19" t="n">
        <v>2027</v>
      </c>
      <c r="E4670" s="57" t="n">
        <v>5</v>
      </c>
      <c r="F4670" s="29">
        <f>ROUND(((SUMIFS(Calendar!$F$2:$F$9997,Calendar!$B$2:$B$9997,D4670,Calendar!$C$2:$C$9997,C4670)*INDEX(ForeCalc!$B$37:$Y$274,MATCH(_xlfn.CONCAT(H4670," ",I4670),ForeCalc!$A$37:$A$274,0),MATCH(_xlfn.CONCAT(B4670," ",E4670),ForeCalc!$B$36:$Y$36,0))))*VLOOKUP(A4670,Calendar!$A$2:$H$9997,8,FALSE),0)</f>
        <v/>
      </c>
      <c r="G4670" s="29">
        <f>VLOOKUP(A4670,Calendar!$A$1:$H$9997,6,FALSE)-F4670</f>
        <v/>
      </c>
      <c r="H4670" s="19" t="n">
        <v>1</v>
      </c>
      <c r="I4670" s="57" t="n">
        <v>10</v>
      </c>
    </row>
    <row r="4671">
      <c r="A4671" s="62" t="n">
        <v>46398</v>
      </c>
      <c r="B4671" s="3" t="inlineStr">
        <is>
          <t>Week</t>
        </is>
      </c>
      <c r="C4671" s="19" t="n">
        <v>1</v>
      </c>
      <c r="D4671" s="19" t="n">
        <v>2027</v>
      </c>
      <c r="E4671" s="57" t="n">
        <v>5</v>
      </c>
      <c r="F4671" s="29">
        <f>ROUND(((SUMIFS(Calendar!$F$2:$F$9997,Calendar!$B$2:$B$9997,D4671,Calendar!$C$2:$C$9997,C4671)*INDEX(ForeCalc!$B$37:$Y$274,MATCH(_xlfn.CONCAT(H4671," ",I4671),ForeCalc!$A$37:$A$274,0),MATCH(_xlfn.CONCAT(B4671," ",E4671),ForeCalc!$B$36:$Y$36,0))))*VLOOKUP(A4671,Calendar!$A$2:$H$9997,8,FALSE),0)</f>
        <v/>
      </c>
      <c r="G4671" s="29">
        <f>VLOOKUP(A4671,Calendar!$A$1:$H$9997,6,FALSE)-F4671</f>
        <v/>
      </c>
      <c r="H4671" s="19" t="n">
        <v>1</v>
      </c>
      <c r="I4671" s="57" t="n">
        <v>10</v>
      </c>
    </row>
    <row r="4672">
      <c r="A4672" s="62" t="n">
        <v>46399</v>
      </c>
      <c r="B4672" s="3" t="inlineStr">
        <is>
          <t>Week</t>
        </is>
      </c>
      <c r="C4672" s="19" t="n">
        <v>1</v>
      </c>
      <c r="D4672" s="19" t="n">
        <v>2027</v>
      </c>
      <c r="E4672" s="57" t="n">
        <v>5</v>
      </c>
      <c r="F4672" s="29">
        <f>ROUND(((SUMIFS(Calendar!$F$2:$F$9997,Calendar!$B$2:$B$9997,D4672,Calendar!$C$2:$C$9997,C4672)*INDEX(ForeCalc!$B$37:$Y$274,MATCH(_xlfn.CONCAT(H4672," ",I4672),ForeCalc!$A$37:$A$274,0),MATCH(_xlfn.CONCAT(B4672," ",E4672),ForeCalc!$B$36:$Y$36,0))))*VLOOKUP(A4672,Calendar!$A$2:$H$9997,8,FALSE),0)</f>
        <v/>
      </c>
      <c r="G4672" s="29">
        <f>VLOOKUP(A4672,Calendar!$A$1:$H$9997,6,FALSE)-F4672</f>
        <v/>
      </c>
      <c r="H4672" s="19" t="n">
        <v>1</v>
      </c>
      <c r="I4672" s="57" t="n">
        <v>10</v>
      </c>
    </row>
    <row r="4673">
      <c r="A4673" s="62" t="n">
        <v>46400</v>
      </c>
      <c r="B4673" s="3" t="inlineStr">
        <is>
          <t>Week</t>
        </is>
      </c>
      <c r="C4673" s="19" t="n">
        <v>1</v>
      </c>
      <c r="D4673" s="19" t="n">
        <v>2027</v>
      </c>
      <c r="E4673" s="57" t="n">
        <v>5</v>
      </c>
      <c r="F4673" s="29">
        <f>ROUND(((SUMIFS(Calendar!$F$2:$F$9997,Calendar!$B$2:$B$9997,D4673,Calendar!$C$2:$C$9997,C4673)*INDEX(ForeCalc!$B$37:$Y$274,MATCH(_xlfn.CONCAT(H4673," ",I4673),ForeCalc!$A$37:$A$274,0),MATCH(_xlfn.CONCAT(B4673," ",E4673),ForeCalc!$B$36:$Y$36,0))))*VLOOKUP(A4673,Calendar!$A$2:$H$9997,8,FALSE),0)</f>
        <v/>
      </c>
      <c r="G4673" s="29">
        <f>VLOOKUP(A4673,Calendar!$A$1:$H$9997,6,FALSE)-F4673</f>
        <v/>
      </c>
      <c r="H4673" s="19" t="n">
        <v>1</v>
      </c>
      <c r="I4673" s="57" t="n">
        <v>10</v>
      </c>
    </row>
    <row r="4674">
      <c r="A4674" s="62" t="n">
        <v>46401</v>
      </c>
      <c r="B4674" s="3" t="inlineStr">
        <is>
          <t>Week</t>
        </is>
      </c>
      <c r="C4674" s="19" t="n">
        <v>1</v>
      </c>
      <c r="D4674" s="19" t="n">
        <v>2027</v>
      </c>
      <c r="E4674" s="57" t="n">
        <v>5</v>
      </c>
      <c r="F4674" s="29">
        <f>ROUND(((SUMIFS(Calendar!$F$2:$F$9997,Calendar!$B$2:$B$9997,D4674,Calendar!$C$2:$C$9997,C4674)*INDEX(ForeCalc!$B$37:$Y$274,MATCH(_xlfn.CONCAT(H4674," ",I4674),ForeCalc!$A$37:$A$274,0),MATCH(_xlfn.CONCAT(B4674," ",E4674),ForeCalc!$B$36:$Y$36,0))))*VLOOKUP(A4674,Calendar!$A$2:$H$9997,8,FALSE),0)</f>
        <v/>
      </c>
      <c r="G4674" s="29">
        <f>VLOOKUP(A4674,Calendar!$A$1:$H$9997,6,FALSE)-F4674</f>
        <v/>
      </c>
      <c r="H4674" s="19" t="n">
        <v>1</v>
      </c>
      <c r="I4674" s="57" t="n">
        <v>10</v>
      </c>
    </row>
    <row r="4675">
      <c r="A4675" s="62" t="n">
        <v>46402</v>
      </c>
      <c r="B4675" s="3" t="inlineStr">
        <is>
          <t>Week</t>
        </is>
      </c>
      <c r="C4675" s="19" t="n">
        <v>1</v>
      </c>
      <c r="D4675" s="19" t="n">
        <v>2027</v>
      </c>
      <c r="E4675" s="57" t="n">
        <v>5</v>
      </c>
      <c r="F4675" s="29">
        <f>ROUND(((SUMIFS(Calendar!$F$2:$F$9997,Calendar!$B$2:$B$9997,D4675,Calendar!$C$2:$C$9997,C4675)*INDEX(ForeCalc!$B$37:$Y$274,MATCH(_xlfn.CONCAT(H4675," ",I4675),ForeCalc!$A$37:$A$274,0),MATCH(_xlfn.CONCAT(B4675," ",E4675),ForeCalc!$B$36:$Y$36,0))))*VLOOKUP(A4675,Calendar!$A$2:$H$9997,8,FALSE),0)</f>
        <v/>
      </c>
      <c r="G4675" s="29">
        <f>VLOOKUP(A4675,Calendar!$A$1:$H$9997,6,FALSE)-F4675</f>
        <v/>
      </c>
      <c r="H4675" s="19" t="n">
        <v>1</v>
      </c>
      <c r="I4675" s="57" t="n">
        <v>10</v>
      </c>
    </row>
    <row r="4676">
      <c r="A4676" s="62" t="n">
        <v>46403</v>
      </c>
      <c r="B4676" s="3" t="inlineStr">
        <is>
          <t>Sat</t>
        </is>
      </c>
      <c r="C4676" s="19" t="n">
        <v>1</v>
      </c>
      <c r="D4676" s="19" t="n">
        <v>2027</v>
      </c>
      <c r="E4676" s="57" t="n">
        <v>5</v>
      </c>
      <c r="F4676" s="29">
        <f>ROUND(((SUMIFS(Calendar!$F$2:$F$9997,Calendar!$B$2:$B$9997,D4676,Calendar!$C$2:$C$9997,C4676)*INDEX(ForeCalc!$B$37:$Y$274,MATCH(_xlfn.CONCAT(H4676," ",I4676),ForeCalc!$A$37:$A$274,0),MATCH(_xlfn.CONCAT(B4676," ",E4676),ForeCalc!$B$36:$Y$36,0))))*VLOOKUP(A4676,Calendar!$A$2:$H$9997,8,FALSE),0)</f>
        <v/>
      </c>
      <c r="G4676" s="29">
        <f>VLOOKUP(A4676,Calendar!$A$1:$H$9997,6,FALSE)-F4676</f>
        <v/>
      </c>
      <c r="H4676" s="19" t="n">
        <v>1</v>
      </c>
      <c r="I4676" s="57" t="n">
        <v>10</v>
      </c>
    </row>
    <row r="4677">
      <c r="A4677" s="62" t="n">
        <v>46404</v>
      </c>
      <c r="B4677" s="3" t="inlineStr">
        <is>
          <t>Sun</t>
        </is>
      </c>
      <c r="C4677" s="19" t="n">
        <v>1</v>
      </c>
      <c r="D4677" s="19" t="n">
        <v>2027</v>
      </c>
      <c r="E4677" s="57" t="n">
        <v>5</v>
      </c>
      <c r="F4677" s="29">
        <f>ROUND(((SUMIFS(Calendar!$F$2:$F$9997,Calendar!$B$2:$B$9997,D4677,Calendar!$C$2:$C$9997,C4677)*INDEX(ForeCalc!$B$37:$Y$274,MATCH(_xlfn.CONCAT(H4677," ",I4677),ForeCalc!$A$37:$A$274,0),MATCH(_xlfn.CONCAT(B4677," ",E4677),ForeCalc!$B$36:$Y$36,0))))*VLOOKUP(A4677,Calendar!$A$2:$H$9997,8,FALSE),0)</f>
        <v/>
      </c>
      <c r="G4677" s="29">
        <f>VLOOKUP(A4677,Calendar!$A$1:$H$9997,6,FALSE)-F4677</f>
        <v/>
      </c>
      <c r="H4677" s="19" t="n">
        <v>1</v>
      </c>
      <c r="I4677" s="57" t="n">
        <v>10</v>
      </c>
    </row>
    <row r="4678">
      <c r="A4678" s="62" t="n">
        <v>46405</v>
      </c>
      <c r="B4678" s="3" t="inlineStr">
        <is>
          <t>Week</t>
        </is>
      </c>
      <c r="C4678" s="19" t="n">
        <v>1</v>
      </c>
      <c r="D4678" s="19" t="n">
        <v>2027</v>
      </c>
      <c r="E4678" s="57" t="n">
        <v>5</v>
      </c>
      <c r="F4678" s="29">
        <f>ROUND(((SUMIFS(Calendar!$F$2:$F$9997,Calendar!$B$2:$B$9997,D4678,Calendar!$C$2:$C$9997,C4678)*INDEX(ForeCalc!$B$37:$Y$274,MATCH(_xlfn.CONCAT(H4678," ",I4678),ForeCalc!$A$37:$A$274,0),MATCH(_xlfn.CONCAT(B4678," ",E4678),ForeCalc!$B$36:$Y$36,0))))*VLOOKUP(A4678,Calendar!$A$2:$H$9997,8,FALSE),0)</f>
        <v/>
      </c>
      <c r="G4678" s="29">
        <f>VLOOKUP(A4678,Calendar!$A$1:$H$9997,6,FALSE)-F4678</f>
        <v/>
      </c>
      <c r="H4678" s="19" t="n">
        <v>1</v>
      </c>
      <c r="I4678" s="57" t="n">
        <v>10</v>
      </c>
    </row>
    <row r="4679">
      <c r="A4679" s="62" t="n">
        <v>46406</v>
      </c>
      <c r="B4679" s="3" t="inlineStr">
        <is>
          <t>Week</t>
        </is>
      </c>
      <c r="C4679" s="19" t="n">
        <v>1</v>
      </c>
      <c r="D4679" s="19" t="n">
        <v>2027</v>
      </c>
      <c r="E4679" s="57" t="n">
        <v>5</v>
      </c>
      <c r="F4679" s="29">
        <f>ROUND(((SUMIFS(Calendar!$F$2:$F$9997,Calendar!$B$2:$B$9997,D4679,Calendar!$C$2:$C$9997,C4679)*INDEX(ForeCalc!$B$37:$Y$274,MATCH(_xlfn.CONCAT(H4679," ",I4679),ForeCalc!$A$37:$A$274,0),MATCH(_xlfn.CONCAT(B4679," ",E4679),ForeCalc!$B$36:$Y$36,0))))*VLOOKUP(A4679,Calendar!$A$2:$H$9997,8,FALSE),0)</f>
        <v/>
      </c>
      <c r="G4679" s="29">
        <f>VLOOKUP(A4679,Calendar!$A$1:$H$9997,6,FALSE)-F4679</f>
        <v/>
      </c>
      <c r="H4679" s="19" t="n">
        <v>1</v>
      </c>
      <c r="I4679" s="57" t="n">
        <v>10</v>
      </c>
    </row>
    <row r="4680">
      <c r="A4680" s="62" t="n">
        <v>46407</v>
      </c>
      <c r="B4680" s="3" t="inlineStr">
        <is>
          <t>Week</t>
        </is>
      </c>
      <c r="C4680" s="19" t="n">
        <v>1</v>
      </c>
      <c r="D4680" s="19" t="n">
        <v>2027</v>
      </c>
      <c r="E4680" s="57" t="n">
        <v>5</v>
      </c>
      <c r="F4680" s="29">
        <f>ROUND(((SUMIFS(Calendar!$F$2:$F$9997,Calendar!$B$2:$B$9997,D4680,Calendar!$C$2:$C$9997,C4680)*INDEX(ForeCalc!$B$37:$Y$274,MATCH(_xlfn.CONCAT(H4680," ",I4680),ForeCalc!$A$37:$A$274,0),MATCH(_xlfn.CONCAT(B4680," ",E4680),ForeCalc!$B$36:$Y$36,0))))*VLOOKUP(A4680,Calendar!$A$2:$H$9997,8,FALSE),0)</f>
        <v/>
      </c>
      <c r="G4680" s="29">
        <f>VLOOKUP(A4680,Calendar!$A$1:$H$9997,6,FALSE)-F4680</f>
        <v/>
      </c>
      <c r="H4680" s="19" t="n">
        <v>1</v>
      </c>
      <c r="I4680" s="57" t="n">
        <v>10</v>
      </c>
    </row>
    <row r="4681">
      <c r="A4681" s="62" t="n">
        <v>46408</v>
      </c>
      <c r="B4681" s="3" t="inlineStr">
        <is>
          <t>Week</t>
        </is>
      </c>
      <c r="C4681" s="19" t="n">
        <v>1</v>
      </c>
      <c r="D4681" s="19" t="n">
        <v>2027</v>
      </c>
      <c r="E4681" s="57" t="n">
        <v>5</v>
      </c>
      <c r="F4681" s="29">
        <f>ROUND(((SUMIFS(Calendar!$F$2:$F$9997,Calendar!$B$2:$B$9997,D4681,Calendar!$C$2:$C$9997,C4681)*INDEX(ForeCalc!$B$37:$Y$274,MATCH(_xlfn.CONCAT(H4681," ",I4681),ForeCalc!$A$37:$A$274,0),MATCH(_xlfn.CONCAT(B4681," ",E4681),ForeCalc!$B$36:$Y$36,0))))*VLOOKUP(A4681,Calendar!$A$2:$H$9997,8,FALSE),0)</f>
        <v/>
      </c>
      <c r="G4681" s="29">
        <f>VLOOKUP(A4681,Calendar!$A$1:$H$9997,6,FALSE)-F4681</f>
        <v/>
      </c>
      <c r="H4681" s="19" t="n">
        <v>1</v>
      </c>
      <c r="I4681" s="57" t="n">
        <v>10</v>
      </c>
    </row>
    <row r="4682">
      <c r="A4682" s="62" t="n">
        <v>46409</v>
      </c>
      <c r="B4682" s="3" t="inlineStr">
        <is>
          <t>Week</t>
        </is>
      </c>
      <c r="C4682" s="19" t="n">
        <v>1</v>
      </c>
      <c r="D4682" s="19" t="n">
        <v>2027</v>
      </c>
      <c r="E4682" s="57" t="n">
        <v>5</v>
      </c>
      <c r="F4682" s="29">
        <f>ROUND(((SUMIFS(Calendar!$F$2:$F$9997,Calendar!$B$2:$B$9997,D4682,Calendar!$C$2:$C$9997,C4682)*INDEX(ForeCalc!$B$37:$Y$274,MATCH(_xlfn.CONCAT(H4682," ",I4682),ForeCalc!$A$37:$A$274,0),MATCH(_xlfn.CONCAT(B4682," ",E4682),ForeCalc!$B$36:$Y$36,0))))*VLOOKUP(A4682,Calendar!$A$2:$H$9997,8,FALSE),0)</f>
        <v/>
      </c>
      <c r="G4682" s="29">
        <f>VLOOKUP(A4682,Calendar!$A$1:$H$9997,6,FALSE)-F4682</f>
        <v/>
      </c>
      <c r="H4682" s="19" t="n">
        <v>1</v>
      </c>
      <c r="I4682" s="57" t="n">
        <v>10</v>
      </c>
    </row>
    <row r="4683">
      <c r="A4683" s="62" t="n">
        <v>46410</v>
      </c>
      <c r="B4683" s="3" t="inlineStr">
        <is>
          <t>Sat</t>
        </is>
      </c>
      <c r="C4683" s="19" t="n">
        <v>1</v>
      </c>
      <c r="D4683" s="19" t="n">
        <v>2027</v>
      </c>
      <c r="E4683" s="57" t="n">
        <v>5</v>
      </c>
      <c r="F4683" s="29">
        <f>ROUND(((SUMIFS(Calendar!$F$2:$F$9997,Calendar!$B$2:$B$9997,D4683,Calendar!$C$2:$C$9997,C4683)*INDEX(ForeCalc!$B$37:$Y$274,MATCH(_xlfn.CONCAT(H4683," ",I4683),ForeCalc!$A$37:$A$274,0),MATCH(_xlfn.CONCAT(B4683," ",E4683),ForeCalc!$B$36:$Y$36,0))))*VLOOKUP(A4683,Calendar!$A$2:$H$9997,8,FALSE),0)</f>
        <v/>
      </c>
      <c r="G4683" s="29">
        <f>VLOOKUP(A4683,Calendar!$A$1:$H$9997,6,FALSE)-F4683</f>
        <v/>
      </c>
      <c r="H4683" s="19" t="n">
        <v>1</v>
      </c>
      <c r="I4683" s="57" t="n">
        <v>10</v>
      </c>
    </row>
    <row r="4684">
      <c r="A4684" s="62" t="n">
        <v>46411</v>
      </c>
      <c r="B4684" s="3" t="inlineStr">
        <is>
          <t>Sun</t>
        </is>
      </c>
      <c r="C4684" s="19" t="n">
        <v>1</v>
      </c>
      <c r="D4684" s="19" t="n">
        <v>2027</v>
      </c>
      <c r="E4684" s="57" t="n">
        <v>5</v>
      </c>
      <c r="F4684" s="29">
        <f>ROUND(((SUMIFS(Calendar!$F$2:$F$9997,Calendar!$B$2:$B$9997,D4684,Calendar!$C$2:$C$9997,C4684)*INDEX(ForeCalc!$B$37:$Y$274,MATCH(_xlfn.CONCAT(H4684," ",I4684),ForeCalc!$A$37:$A$274,0),MATCH(_xlfn.CONCAT(B4684," ",E4684),ForeCalc!$B$36:$Y$36,0))))*VLOOKUP(A4684,Calendar!$A$2:$H$9997,8,FALSE),0)</f>
        <v/>
      </c>
      <c r="G4684" s="29">
        <f>VLOOKUP(A4684,Calendar!$A$1:$H$9997,6,FALSE)-F4684</f>
        <v/>
      </c>
      <c r="H4684" s="19" t="n">
        <v>1</v>
      </c>
      <c r="I4684" s="57" t="n">
        <v>10</v>
      </c>
    </row>
    <row r="4685">
      <c r="A4685" s="62" t="n">
        <v>46412</v>
      </c>
      <c r="B4685" s="3" t="inlineStr">
        <is>
          <t>Week</t>
        </is>
      </c>
      <c r="C4685" s="19" t="n">
        <v>1</v>
      </c>
      <c r="D4685" s="19" t="n">
        <v>2027</v>
      </c>
      <c r="E4685" s="57" t="n">
        <v>5</v>
      </c>
      <c r="F4685" s="29">
        <f>ROUND(((SUMIFS(Calendar!$F$2:$F$9997,Calendar!$B$2:$B$9997,D4685,Calendar!$C$2:$C$9997,C4685)*INDEX(ForeCalc!$B$37:$Y$274,MATCH(_xlfn.CONCAT(H4685," ",I4685),ForeCalc!$A$37:$A$274,0),MATCH(_xlfn.CONCAT(B4685," ",E4685),ForeCalc!$B$36:$Y$36,0))))*VLOOKUP(A4685,Calendar!$A$2:$H$9997,8,FALSE),0)</f>
        <v/>
      </c>
      <c r="G4685" s="29">
        <f>VLOOKUP(A4685,Calendar!$A$1:$H$9997,6,FALSE)-F4685</f>
        <v/>
      </c>
      <c r="H4685" s="19" t="n">
        <v>1</v>
      </c>
      <c r="I4685" s="57" t="n">
        <v>10</v>
      </c>
    </row>
    <row r="4686">
      <c r="A4686" s="62" t="n">
        <v>46413</v>
      </c>
      <c r="B4686" s="3" t="inlineStr">
        <is>
          <t>Week</t>
        </is>
      </c>
      <c r="C4686" s="19" t="n">
        <v>1</v>
      </c>
      <c r="D4686" s="19" t="n">
        <v>2027</v>
      </c>
      <c r="E4686" s="57" t="n">
        <v>5</v>
      </c>
      <c r="F4686" s="29">
        <f>ROUND(((SUMIFS(Calendar!$F$2:$F$9997,Calendar!$B$2:$B$9997,D4686,Calendar!$C$2:$C$9997,C4686)*INDEX(ForeCalc!$B$37:$Y$274,MATCH(_xlfn.CONCAT(H4686," ",I4686),ForeCalc!$A$37:$A$274,0),MATCH(_xlfn.CONCAT(B4686," ",E4686),ForeCalc!$B$36:$Y$36,0))))*VLOOKUP(A4686,Calendar!$A$2:$H$9997,8,FALSE),0)</f>
        <v/>
      </c>
      <c r="G4686" s="29">
        <f>VLOOKUP(A4686,Calendar!$A$1:$H$9997,6,FALSE)-F4686</f>
        <v/>
      </c>
      <c r="H4686" s="19" t="n">
        <v>1</v>
      </c>
      <c r="I4686" s="57" t="n">
        <v>10</v>
      </c>
    </row>
    <row r="4687">
      <c r="A4687" s="62" t="n">
        <v>46414</v>
      </c>
      <c r="B4687" s="3" t="inlineStr">
        <is>
          <t>Week</t>
        </is>
      </c>
      <c r="C4687" s="19" t="n">
        <v>1</v>
      </c>
      <c r="D4687" s="19" t="n">
        <v>2027</v>
      </c>
      <c r="E4687" s="57" t="n">
        <v>5</v>
      </c>
      <c r="F4687" s="29">
        <f>ROUND(((SUMIFS(Calendar!$F$2:$F$9997,Calendar!$B$2:$B$9997,D4687,Calendar!$C$2:$C$9997,C4687)*INDEX(ForeCalc!$B$37:$Y$274,MATCH(_xlfn.CONCAT(H4687," ",I4687),ForeCalc!$A$37:$A$274,0),MATCH(_xlfn.CONCAT(B4687," ",E4687),ForeCalc!$B$36:$Y$36,0))))*VLOOKUP(A4687,Calendar!$A$2:$H$9997,8,FALSE),0)</f>
        <v/>
      </c>
      <c r="G4687" s="29">
        <f>VLOOKUP(A4687,Calendar!$A$1:$H$9997,6,FALSE)-F4687</f>
        <v/>
      </c>
      <c r="H4687" s="19" t="n">
        <v>1</v>
      </c>
      <c r="I4687" s="57" t="n">
        <v>10</v>
      </c>
    </row>
    <row r="4688">
      <c r="A4688" s="62" t="n">
        <v>46415</v>
      </c>
      <c r="B4688" s="3" t="inlineStr">
        <is>
          <t>Week</t>
        </is>
      </c>
      <c r="C4688" s="19" t="n">
        <v>1</v>
      </c>
      <c r="D4688" s="19" t="n">
        <v>2027</v>
      </c>
      <c r="E4688" s="57" t="n">
        <v>5</v>
      </c>
      <c r="F4688" s="29">
        <f>ROUND(((SUMIFS(Calendar!$F$2:$F$9997,Calendar!$B$2:$B$9997,D4688,Calendar!$C$2:$C$9997,C4688)*INDEX(ForeCalc!$B$37:$Y$274,MATCH(_xlfn.CONCAT(H4688," ",I4688),ForeCalc!$A$37:$A$274,0),MATCH(_xlfn.CONCAT(B4688," ",E4688),ForeCalc!$B$36:$Y$36,0))))*VLOOKUP(A4688,Calendar!$A$2:$H$9997,8,FALSE),0)</f>
        <v/>
      </c>
      <c r="G4688" s="29">
        <f>VLOOKUP(A4688,Calendar!$A$1:$H$9997,6,FALSE)-F4688</f>
        <v/>
      </c>
      <c r="H4688" s="19" t="n">
        <v>1</v>
      </c>
      <c r="I4688" s="57" t="n">
        <v>10</v>
      </c>
    </row>
    <row r="4689">
      <c r="A4689" s="62" t="n">
        <v>46416</v>
      </c>
      <c r="B4689" s="3" t="inlineStr">
        <is>
          <t>Week</t>
        </is>
      </c>
      <c r="C4689" s="19" t="n">
        <v>1</v>
      </c>
      <c r="D4689" s="19" t="n">
        <v>2027</v>
      </c>
      <c r="E4689" s="57" t="n">
        <v>5</v>
      </c>
      <c r="F4689" s="29">
        <f>ROUND(((SUMIFS(Calendar!$F$2:$F$9997,Calendar!$B$2:$B$9997,D4689,Calendar!$C$2:$C$9997,C4689)*INDEX(ForeCalc!$B$37:$Y$274,MATCH(_xlfn.CONCAT(H4689," ",I4689),ForeCalc!$A$37:$A$274,0),MATCH(_xlfn.CONCAT(B4689," ",E4689),ForeCalc!$B$36:$Y$36,0))))*VLOOKUP(A4689,Calendar!$A$2:$H$9997,8,FALSE),0)</f>
        <v/>
      </c>
      <c r="G4689" s="29">
        <f>VLOOKUP(A4689,Calendar!$A$1:$H$9997,6,FALSE)-F4689</f>
        <v/>
      </c>
      <c r="H4689" s="19" t="n">
        <v>1</v>
      </c>
      <c r="I4689" s="57" t="n">
        <v>10</v>
      </c>
    </row>
    <row r="4690">
      <c r="A4690" s="62" t="n">
        <v>46417</v>
      </c>
      <c r="B4690" s="3" t="inlineStr">
        <is>
          <t>Sat</t>
        </is>
      </c>
      <c r="C4690" s="19" t="n">
        <v>1</v>
      </c>
      <c r="D4690" s="19" t="n">
        <v>2027</v>
      </c>
      <c r="E4690" s="57" t="n">
        <v>5</v>
      </c>
      <c r="F4690" s="29">
        <f>ROUND(((SUMIFS(Calendar!$F$2:$F$9997,Calendar!$B$2:$B$9997,D4690,Calendar!$C$2:$C$9997,C4690)*INDEX(ForeCalc!$B$37:$Y$274,MATCH(_xlfn.CONCAT(H4690," ",I4690),ForeCalc!$A$37:$A$274,0),MATCH(_xlfn.CONCAT(B4690," ",E4690),ForeCalc!$B$36:$Y$36,0))))*VLOOKUP(A4690,Calendar!$A$2:$H$9997,8,FALSE),0)</f>
        <v/>
      </c>
      <c r="G4690" s="29">
        <f>VLOOKUP(A4690,Calendar!$A$1:$H$9997,6,FALSE)-F4690</f>
        <v/>
      </c>
      <c r="H4690" s="19" t="n">
        <v>1</v>
      </c>
      <c r="I4690" s="57" t="n">
        <v>10</v>
      </c>
    </row>
    <row r="4691">
      <c r="A4691" s="62" t="n">
        <v>46418</v>
      </c>
      <c r="B4691" s="3" t="inlineStr">
        <is>
          <t>Sun</t>
        </is>
      </c>
      <c r="C4691" s="19" t="n">
        <v>1</v>
      </c>
      <c r="D4691" s="19" t="n">
        <v>2027</v>
      </c>
      <c r="E4691" s="57" t="n">
        <v>5</v>
      </c>
      <c r="F4691" s="29">
        <f>ROUND(((SUMIFS(Calendar!$F$2:$F$9997,Calendar!$B$2:$B$9997,D4691,Calendar!$C$2:$C$9997,C4691)*INDEX(ForeCalc!$B$37:$Y$274,MATCH(_xlfn.CONCAT(H4691," ",I4691),ForeCalc!$A$37:$A$274,0),MATCH(_xlfn.CONCAT(B4691," ",E4691),ForeCalc!$B$36:$Y$36,0))))*VLOOKUP(A4691,Calendar!$A$2:$H$9997,8,FALSE),0)</f>
        <v/>
      </c>
      <c r="G4691" s="29">
        <f>VLOOKUP(A4691,Calendar!$A$1:$H$9997,6,FALSE)-F4691</f>
        <v/>
      </c>
      <c r="H4691" s="19" t="n">
        <v>1</v>
      </c>
      <c r="I4691" s="57" t="n">
        <v>10</v>
      </c>
    </row>
    <row r="4692">
      <c r="A4692" s="62" t="n">
        <v>46419</v>
      </c>
      <c r="B4692" s="3" t="inlineStr">
        <is>
          <t>Week</t>
        </is>
      </c>
      <c r="C4692" s="19" t="n">
        <v>2</v>
      </c>
      <c r="D4692" s="19" t="n">
        <v>2027</v>
      </c>
      <c r="E4692" s="57" t="n">
        <v>5</v>
      </c>
      <c r="F4692" s="29">
        <f>ROUND(((SUMIFS(Calendar!$F$2:$F$9997,Calendar!$B$2:$B$9997,D4692,Calendar!$C$2:$C$9997,C4692)*INDEX(ForeCalc!$B$37:$Y$274,MATCH(_xlfn.CONCAT(H4692," ",I4692),ForeCalc!$A$37:$A$274,0),MATCH(_xlfn.CONCAT(B4692," ",E4692),ForeCalc!$B$36:$Y$36,0))))*VLOOKUP(A4692,Calendar!$A$2:$H$9997,8,FALSE),0)</f>
        <v/>
      </c>
      <c r="G4692" s="29">
        <f>VLOOKUP(A4692,Calendar!$A$1:$H$9997,6,FALSE)-F4692</f>
        <v/>
      </c>
      <c r="H4692" s="19" t="n">
        <v>1</v>
      </c>
      <c r="I4692" s="57" t="n">
        <v>11</v>
      </c>
    </row>
    <row r="4693">
      <c r="A4693" s="62" t="n">
        <v>46420</v>
      </c>
      <c r="B4693" s="3" t="inlineStr">
        <is>
          <t>Week</t>
        </is>
      </c>
      <c r="C4693" s="19" t="n">
        <v>2</v>
      </c>
      <c r="D4693" s="19" t="n">
        <v>2027</v>
      </c>
      <c r="E4693" s="57" t="n">
        <v>5</v>
      </c>
      <c r="F4693" s="29">
        <f>ROUND(((SUMIFS(Calendar!$F$2:$F$9997,Calendar!$B$2:$B$9997,D4693,Calendar!$C$2:$C$9997,C4693)*INDEX(ForeCalc!$B$37:$Y$274,MATCH(_xlfn.CONCAT(H4693," ",I4693),ForeCalc!$A$37:$A$274,0),MATCH(_xlfn.CONCAT(B4693," ",E4693),ForeCalc!$B$36:$Y$36,0))))*VLOOKUP(A4693,Calendar!$A$2:$H$9997,8,FALSE),0)</f>
        <v/>
      </c>
      <c r="G4693" s="29">
        <f>VLOOKUP(A4693,Calendar!$A$1:$H$9997,6,FALSE)-F4693</f>
        <v/>
      </c>
      <c r="H4693" s="19" t="n">
        <v>1</v>
      </c>
      <c r="I4693" s="57" t="n">
        <v>11</v>
      </c>
    </row>
    <row r="4694">
      <c r="A4694" s="62" t="n">
        <v>46421</v>
      </c>
      <c r="B4694" s="3" t="inlineStr">
        <is>
          <t>Week</t>
        </is>
      </c>
      <c r="C4694" s="19" t="n">
        <v>2</v>
      </c>
      <c r="D4694" s="19" t="n">
        <v>2027</v>
      </c>
      <c r="E4694" s="57" t="n">
        <v>5</v>
      </c>
      <c r="F4694" s="29">
        <f>ROUND(((SUMIFS(Calendar!$F$2:$F$9997,Calendar!$B$2:$B$9997,D4694,Calendar!$C$2:$C$9997,C4694)*INDEX(ForeCalc!$B$37:$Y$274,MATCH(_xlfn.CONCAT(H4694," ",I4694),ForeCalc!$A$37:$A$274,0),MATCH(_xlfn.CONCAT(B4694," ",E4694),ForeCalc!$B$36:$Y$36,0))))*VLOOKUP(A4694,Calendar!$A$2:$H$9997,8,FALSE),0)</f>
        <v/>
      </c>
      <c r="G4694" s="29">
        <f>VLOOKUP(A4694,Calendar!$A$1:$H$9997,6,FALSE)-F4694</f>
        <v/>
      </c>
      <c r="H4694" s="19" t="n">
        <v>1</v>
      </c>
      <c r="I4694" s="57" t="n">
        <v>11</v>
      </c>
    </row>
    <row r="4695">
      <c r="A4695" s="62" t="n">
        <v>46422</v>
      </c>
      <c r="B4695" s="3" t="inlineStr">
        <is>
          <t>Week</t>
        </is>
      </c>
      <c r="C4695" s="19" t="n">
        <v>2</v>
      </c>
      <c r="D4695" s="19" t="n">
        <v>2027</v>
      </c>
      <c r="E4695" s="57" t="n">
        <v>5</v>
      </c>
      <c r="F4695" s="29">
        <f>ROUND(((SUMIFS(Calendar!$F$2:$F$9997,Calendar!$B$2:$B$9997,D4695,Calendar!$C$2:$C$9997,C4695)*INDEX(ForeCalc!$B$37:$Y$274,MATCH(_xlfn.CONCAT(H4695," ",I4695),ForeCalc!$A$37:$A$274,0),MATCH(_xlfn.CONCAT(B4695," ",E4695),ForeCalc!$B$36:$Y$36,0))))*VLOOKUP(A4695,Calendar!$A$2:$H$9997,8,FALSE),0)</f>
        <v/>
      </c>
      <c r="G4695" s="29">
        <f>VLOOKUP(A4695,Calendar!$A$1:$H$9997,6,FALSE)-F4695</f>
        <v/>
      </c>
      <c r="H4695" s="19" t="n">
        <v>1</v>
      </c>
      <c r="I4695" s="57" t="n">
        <v>11</v>
      </c>
    </row>
    <row r="4696">
      <c r="A4696" s="62" t="n">
        <v>46423</v>
      </c>
      <c r="B4696" s="3" t="inlineStr">
        <is>
          <t>Week</t>
        </is>
      </c>
      <c r="C4696" s="19" t="n">
        <v>2</v>
      </c>
      <c r="D4696" s="19" t="n">
        <v>2027</v>
      </c>
      <c r="E4696" s="57" t="n">
        <v>5</v>
      </c>
      <c r="F4696" s="29">
        <f>ROUND(((SUMIFS(Calendar!$F$2:$F$9997,Calendar!$B$2:$B$9997,D4696,Calendar!$C$2:$C$9997,C4696)*INDEX(ForeCalc!$B$37:$Y$274,MATCH(_xlfn.CONCAT(H4696," ",I4696),ForeCalc!$A$37:$A$274,0),MATCH(_xlfn.CONCAT(B4696," ",E4696),ForeCalc!$B$36:$Y$36,0))))*VLOOKUP(A4696,Calendar!$A$2:$H$9997,8,FALSE),0)</f>
        <v/>
      </c>
      <c r="G4696" s="29">
        <f>VLOOKUP(A4696,Calendar!$A$1:$H$9997,6,FALSE)-F4696</f>
        <v/>
      </c>
      <c r="H4696" s="19" t="n">
        <v>1</v>
      </c>
      <c r="I4696" s="57" t="n">
        <v>11</v>
      </c>
    </row>
    <row r="4697">
      <c r="A4697" s="62" t="n">
        <v>46424</v>
      </c>
      <c r="B4697" s="3" t="inlineStr">
        <is>
          <t>Sat</t>
        </is>
      </c>
      <c r="C4697" s="19" t="n">
        <v>2</v>
      </c>
      <c r="D4697" s="19" t="n">
        <v>2027</v>
      </c>
      <c r="E4697" s="57" t="n">
        <v>5</v>
      </c>
      <c r="F4697" s="29">
        <f>ROUND(((SUMIFS(Calendar!$F$2:$F$9997,Calendar!$B$2:$B$9997,D4697,Calendar!$C$2:$C$9997,C4697)*INDEX(ForeCalc!$B$37:$Y$274,MATCH(_xlfn.CONCAT(H4697," ",I4697),ForeCalc!$A$37:$A$274,0),MATCH(_xlfn.CONCAT(B4697," ",E4697),ForeCalc!$B$36:$Y$36,0))))*VLOOKUP(A4697,Calendar!$A$2:$H$9997,8,FALSE),0)</f>
        <v/>
      </c>
      <c r="G4697" s="29">
        <f>VLOOKUP(A4697,Calendar!$A$1:$H$9997,6,FALSE)-F4697</f>
        <v/>
      </c>
      <c r="H4697" s="19" t="n">
        <v>1</v>
      </c>
      <c r="I4697" s="57" t="n">
        <v>11</v>
      </c>
    </row>
    <row r="4698">
      <c r="A4698" s="62" t="n">
        <v>46425</v>
      </c>
      <c r="B4698" s="3" t="inlineStr">
        <is>
          <t>Sun</t>
        </is>
      </c>
      <c r="C4698" s="19" t="n">
        <v>2</v>
      </c>
      <c r="D4698" s="19" t="n">
        <v>2027</v>
      </c>
      <c r="E4698" s="57" t="n">
        <v>5</v>
      </c>
      <c r="F4698" s="29">
        <f>ROUND(((SUMIFS(Calendar!$F$2:$F$9997,Calendar!$B$2:$B$9997,D4698,Calendar!$C$2:$C$9997,C4698)*INDEX(ForeCalc!$B$37:$Y$274,MATCH(_xlfn.CONCAT(H4698," ",I4698),ForeCalc!$A$37:$A$274,0),MATCH(_xlfn.CONCAT(B4698," ",E4698),ForeCalc!$B$36:$Y$36,0))))*VLOOKUP(A4698,Calendar!$A$2:$H$9997,8,FALSE),0)</f>
        <v/>
      </c>
      <c r="G4698" s="29">
        <f>VLOOKUP(A4698,Calendar!$A$1:$H$9997,6,FALSE)-F4698</f>
        <v/>
      </c>
      <c r="H4698" s="19" t="n">
        <v>1</v>
      </c>
      <c r="I4698" s="57" t="n">
        <v>11</v>
      </c>
    </row>
    <row r="4699">
      <c r="A4699" s="62" t="n">
        <v>46426</v>
      </c>
      <c r="B4699" s="3" t="inlineStr">
        <is>
          <t>Week</t>
        </is>
      </c>
      <c r="C4699" s="19" t="n">
        <v>2</v>
      </c>
      <c r="D4699" s="19" t="n">
        <v>2027</v>
      </c>
      <c r="E4699" s="57" t="n">
        <v>5</v>
      </c>
      <c r="F4699" s="29">
        <f>ROUND(((SUMIFS(Calendar!$F$2:$F$9997,Calendar!$B$2:$B$9997,D4699,Calendar!$C$2:$C$9997,C4699)*INDEX(ForeCalc!$B$37:$Y$274,MATCH(_xlfn.CONCAT(H4699," ",I4699),ForeCalc!$A$37:$A$274,0),MATCH(_xlfn.CONCAT(B4699," ",E4699),ForeCalc!$B$36:$Y$36,0))))*VLOOKUP(A4699,Calendar!$A$2:$H$9997,8,FALSE),0)</f>
        <v/>
      </c>
      <c r="G4699" s="29">
        <f>VLOOKUP(A4699,Calendar!$A$1:$H$9997,6,FALSE)-F4699</f>
        <v/>
      </c>
      <c r="H4699" s="19" t="n">
        <v>1</v>
      </c>
      <c r="I4699" s="57" t="n">
        <v>11</v>
      </c>
    </row>
    <row r="4700">
      <c r="A4700" s="62" t="n">
        <v>46427</v>
      </c>
      <c r="B4700" s="3" t="inlineStr">
        <is>
          <t>Week</t>
        </is>
      </c>
      <c r="C4700" s="19" t="n">
        <v>2</v>
      </c>
      <c r="D4700" s="19" t="n">
        <v>2027</v>
      </c>
      <c r="E4700" s="57" t="n">
        <v>5</v>
      </c>
      <c r="F4700" s="29">
        <f>ROUND(((SUMIFS(Calendar!$F$2:$F$9997,Calendar!$B$2:$B$9997,D4700,Calendar!$C$2:$C$9997,C4700)*INDEX(ForeCalc!$B$37:$Y$274,MATCH(_xlfn.CONCAT(H4700," ",I4700),ForeCalc!$A$37:$A$274,0),MATCH(_xlfn.CONCAT(B4700," ",E4700),ForeCalc!$B$36:$Y$36,0))))*VLOOKUP(A4700,Calendar!$A$2:$H$9997,8,FALSE),0)</f>
        <v/>
      </c>
      <c r="G4700" s="29">
        <f>VLOOKUP(A4700,Calendar!$A$1:$H$9997,6,FALSE)-F4700</f>
        <v/>
      </c>
      <c r="H4700" s="19" t="n">
        <v>1</v>
      </c>
      <c r="I4700" s="57" t="n">
        <v>11</v>
      </c>
    </row>
    <row r="4701">
      <c r="A4701" s="62" t="n">
        <v>46428</v>
      </c>
      <c r="B4701" s="3" t="inlineStr">
        <is>
          <t>Week</t>
        </is>
      </c>
      <c r="C4701" s="19" t="n">
        <v>2</v>
      </c>
      <c r="D4701" s="19" t="n">
        <v>2027</v>
      </c>
      <c r="E4701" s="57" t="n">
        <v>5</v>
      </c>
      <c r="F4701" s="29">
        <f>ROUND(((SUMIFS(Calendar!$F$2:$F$9997,Calendar!$B$2:$B$9997,D4701,Calendar!$C$2:$C$9997,C4701)*INDEX(ForeCalc!$B$37:$Y$274,MATCH(_xlfn.CONCAT(H4701," ",I4701),ForeCalc!$A$37:$A$274,0),MATCH(_xlfn.CONCAT(B4701," ",E4701),ForeCalc!$B$36:$Y$36,0))))*VLOOKUP(A4701,Calendar!$A$2:$H$9997,8,FALSE),0)</f>
        <v/>
      </c>
      <c r="G4701" s="29">
        <f>VLOOKUP(A4701,Calendar!$A$1:$H$9997,6,FALSE)-F4701</f>
        <v/>
      </c>
      <c r="H4701" s="19" t="n">
        <v>1</v>
      </c>
      <c r="I4701" s="57" t="n">
        <v>11</v>
      </c>
    </row>
    <row r="4702">
      <c r="A4702" s="62" t="n">
        <v>46429</v>
      </c>
      <c r="B4702" s="3" t="inlineStr">
        <is>
          <t>Week</t>
        </is>
      </c>
      <c r="C4702" s="19" t="n">
        <v>2</v>
      </c>
      <c r="D4702" s="19" t="n">
        <v>2027</v>
      </c>
      <c r="E4702" s="57" t="n">
        <v>5</v>
      </c>
      <c r="F4702" s="29">
        <f>ROUND(((SUMIFS(Calendar!$F$2:$F$9997,Calendar!$B$2:$B$9997,D4702,Calendar!$C$2:$C$9997,C4702)*INDEX(ForeCalc!$B$37:$Y$274,MATCH(_xlfn.CONCAT(H4702," ",I4702),ForeCalc!$A$37:$A$274,0),MATCH(_xlfn.CONCAT(B4702," ",E4702),ForeCalc!$B$36:$Y$36,0))))*VLOOKUP(A4702,Calendar!$A$2:$H$9997,8,FALSE),0)</f>
        <v/>
      </c>
      <c r="G4702" s="29">
        <f>VLOOKUP(A4702,Calendar!$A$1:$H$9997,6,FALSE)-F4702</f>
        <v/>
      </c>
      <c r="H4702" s="19" t="n">
        <v>1</v>
      </c>
      <c r="I4702" s="57" t="n">
        <v>11</v>
      </c>
    </row>
    <row r="4703">
      <c r="A4703" s="62" t="n">
        <v>46430</v>
      </c>
      <c r="B4703" s="3" t="inlineStr">
        <is>
          <t>Week</t>
        </is>
      </c>
      <c r="C4703" s="19" t="n">
        <v>2</v>
      </c>
      <c r="D4703" s="19" t="n">
        <v>2027</v>
      </c>
      <c r="E4703" s="57" t="n">
        <v>5</v>
      </c>
      <c r="F4703" s="29">
        <f>ROUND(((SUMIFS(Calendar!$F$2:$F$9997,Calendar!$B$2:$B$9997,D4703,Calendar!$C$2:$C$9997,C4703)*INDEX(ForeCalc!$B$37:$Y$274,MATCH(_xlfn.CONCAT(H4703," ",I4703),ForeCalc!$A$37:$A$274,0),MATCH(_xlfn.CONCAT(B4703," ",E4703),ForeCalc!$B$36:$Y$36,0))))*VLOOKUP(A4703,Calendar!$A$2:$H$9997,8,FALSE),0)</f>
        <v/>
      </c>
      <c r="G4703" s="29">
        <f>VLOOKUP(A4703,Calendar!$A$1:$H$9997,6,FALSE)-F4703</f>
        <v/>
      </c>
      <c r="H4703" s="19" t="n">
        <v>1</v>
      </c>
      <c r="I4703" s="57" t="n">
        <v>11</v>
      </c>
    </row>
    <row r="4704">
      <c r="A4704" s="62" t="n">
        <v>46431</v>
      </c>
      <c r="B4704" s="3" t="inlineStr">
        <is>
          <t>Sat</t>
        </is>
      </c>
      <c r="C4704" s="19" t="n">
        <v>2</v>
      </c>
      <c r="D4704" s="19" t="n">
        <v>2027</v>
      </c>
      <c r="E4704" s="57" t="n">
        <v>5</v>
      </c>
      <c r="F4704" s="29">
        <f>ROUND(((SUMIFS(Calendar!$F$2:$F$9997,Calendar!$B$2:$B$9997,D4704,Calendar!$C$2:$C$9997,C4704)*INDEX(ForeCalc!$B$37:$Y$274,MATCH(_xlfn.CONCAT(H4704," ",I4704),ForeCalc!$A$37:$A$274,0),MATCH(_xlfn.CONCAT(B4704," ",E4704),ForeCalc!$B$36:$Y$36,0))))*VLOOKUP(A4704,Calendar!$A$2:$H$9997,8,FALSE),0)</f>
        <v/>
      </c>
      <c r="G4704" s="29">
        <f>VLOOKUP(A4704,Calendar!$A$1:$H$9997,6,FALSE)-F4704</f>
        <v/>
      </c>
      <c r="H4704" s="19" t="n">
        <v>1</v>
      </c>
      <c r="I4704" s="57" t="n">
        <v>11</v>
      </c>
    </row>
    <row r="4705">
      <c r="A4705" s="62" t="n">
        <v>46432</v>
      </c>
      <c r="B4705" s="3" t="inlineStr">
        <is>
          <t>Sun</t>
        </is>
      </c>
      <c r="C4705" s="19" t="n">
        <v>2</v>
      </c>
      <c r="D4705" s="19" t="n">
        <v>2027</v>
      </c>
      <c r="E4705" s="57" t="n">
        <v>5</v>
      </c>
      <c r="F4705" s="29">
        <f>ROUND(((SUMIFS(Calendar!$F$2:$F$9997,Calendar!$B$2:$B$9997,D4705,Calendar!$C$2:$C$9997,C4705)*INDEX(ForeCalc!$B$37:$Y$274,MATCH(_xlfn.CONCAT(H4705," ",I4705),ForeCalc!$A$37:$A$274,0),MATCH(_xlfn.CONCAT(B4705," ",E4705),ForeCalc!$B$36:$Y$36,0))))*VLOOKUP(A4705,Calendar!$A$2:$H$9997,8,FALSE),0)</f>
        <v/>
      </c>
      <c r="G4705" s="29">
        <f>VLOOKUP(A4705,Calendar!$A$1:$H$9997,6,FALSE)-F4705</f>
        <v/>
      </c>
      <c r="H4705" s="19" t="n">
        <v>1</v>
      </c>
      <c r="I4705" s="57" t="n">
        <v>11</v>
      </c>
    </row>
    <row r="4706">
      <c r="A4706" s="62" t="n">
        <v>46433</v>
      </c>
      <c r="B4706" s="3" t="inlineStr">
        <is>
          <t>Week</t>
        </is>
      </c>
      <c r="C4706" s="19" t="n">
        <v>2</v>
      </c>
      <c r="D4706" s="19" t="n">
        <v>2027</v>
      </c>
      <c r="E4706" s="57" t="n">
        <v>5</v>
      </c>
      <c r="F4706" s="29">
        <f>ROUND(((SUMIFS(Calendar!$F$2:$F$9997,Calendar!$B$2:$B$9997,D4706,Calendar!$C$2:$C$9997,C4706)*INDEX(ForeCalc!$B$37:$Y$274,MATCH(_xlfn.CONCAT(H4706," ",I4706),ForeCalc!$A$37:$A$274,0),MATCH(_xlfn.CONCAT(B4706," ",E4706),ForeCalc!$B$36:$Y$36,0))))*VLOOKUP(A4706,Calendar!$A$2:$H$9997,8,FALSE),0)</f>
        <v/>
      </c>
      <c r="G4706" s="29">
        <f>VLOOKUP(A4706,Calendar!$A$1:$H$9997,6,FALSE)-F4706</f>
        <v/>
      </c>
      <c r="H4706" s="19" t="n">
        <v>1</v>
      </c>
      <c r="I4706" s="57" t="n">
        <v>11</v>
      </c>
    </row>
    <row r="4707">
      <c r="A4707" s="62" t="n">
        <v>46434</v>
      </c>
      <c r="B4707" s="3" t="inlineStr">
        <is>
          <t>Week</t>
        </is>
      </c>
      <c r="C4707" s="19" t="n">
        <v>2</v>
      </c>
      <c r="D4707" s="19" t="n">
        <v>2027</v>
      </c>
      <c r="E4707" s="57" t="n">
        <v>5</v>
      </c>
      <c r="F4707" s="29">
        <f>ROUND(((SUMIFS(Calendar!$F$2:$F$9997,Calendar!$B$2:$B$9997,D4707,Calendar!$C$2:$C$9997,C4707)*INDEX(ForeCalc!$B$37:$Y$274,MATCH(_xlfn.CONCAT(H4707," ",I4707),ForeCalc!$A$37:$A$274,0),MATCH(_xlfn.CONCAT(B4707," ",E4707),ForeCalc!$B$36:$Y$36,0))))*VLOOKUP(A4707,Calendar!$A$2:$H$9997,8,FALSE),0)</f>
        <v/>
      </c>
      <c r="G4707" s="29">
        <f>VLOOKUP(A4707,Calendar!$A$1:$H$9997,6,FALSE)-F4707</f>
        <v/>
      </c>
      <c r="H4707" s="19" t="n">
        <v>1</v>
      </c>
      <c r="I4707" s="57" t="n">
        <v>11</v>
      </c>
    </row>
    <row r="4708">
      <c r="A4708" s="62" t="n">
        <v>46435</v>
      </c>
      <c r="B4708" s="3" t="inlineStr">
        <is>
          <t>Week</t>
        </is>
      </c>
      <c r="C4708" s="19" t="n">
        <v>2</v>
      </c>
      <c r="D4708" s="19" t="n">
        <v>2027</v>
      </c>
      <c r="E4708" s="57" t="n">
        <v>5</v>
      </c>
      <c r="F4708" s="29">
        <f>ROUND(((SUMIFS(Calendar!$F$2:$F$9997,Calendar!$B$2:$B$9997,D4708,Calendar!$C$2:$C$9997,C4708)*INDEX(ForeCalc!$B$37:$Y$274,MATCH(_xlfn.CONCAT(H4708," ",I4708),ForeCalc!$A$37:$A$274,0),MATCH(_xlfn.CONCAT(B4708," ",E4708),ForeCalc!$B$36:$Y$36,0))))*VLOOKUP(A4708,Calendar!$A$2:$H$9997,8,FALSE),0)</f>
        <v/>
      </c>
      <c r="G4708" s="29">
        <f>VLOOKUP(A4708,Calendar!$A$1:$H$9997,6,FALSE)-F4708</f>
        <v/>
      </c>
      <c r="H4708" s="19" t="n">
        <v>1</v>
      </c>
      <c r="I4708" s="57" t="n">
        <v>11</v>
      </c>
    </row>
    <row r="4709">
      <c r="A4709" s="62" t="n">
        <v>46436</v>
      </c>
      <c r="B4709" s="3" t="inlineStr">
        <is>
          <t>Week</t>
        </is>
      </c>
      <c r="C4709" s="19" t="n">
        <v>2</v>
      </c>
      <c r="D4709" s="19" t="n">
        <v>2027</v>
      </c>
      <c r="E4709" s="57" t="n">
        <v>5</v>
      </c>
      <c r="F4709" s="29">
        <f>ROUND(((SUMIFS(Calendar!$F$2:$F$9997,Calendar!$B$2:$B$9997,D4709,Calendar!$C$2:$C$9997,C4709)*INDEX(ForeCalc!$B$37:$Y$274,MATCH(_xlfn.CONCAT(H4709," ",I4709),ForeCalc!$A$37:$A$274,0),MATCH(_xlfn.CONCAT(B4709," ",E4709),ForeCalc!$B$36:$Y$36,0))))*VLOOKUP(A4709,Calendar!$A$2:$H$9997,8,FALSE),0)</f>
        <v/>
      </c>
      <c r="G4709" s="29">
        <f>VLOOKUP(A4709,Calendar!$A$1:$H$9997,6,FALSE)-F4709</f>
        <v/>
      </c>
      <c r="H4709" s="19" t="n">
        <v>1</v>
      </c>
      <c r="I4709" s="57" t="n">
        <v>11</v>
      </c>
    </row>
    <row r="4710">
      <c r="A4710" s="62" t="n">
        <v>46437</v>
      </c>
      <c r="B4710" s="3" t="inlineStr">
        <is>
          <t>Week</t>
        </is>
      </c>
      <c r="C4710" s="19" t="n">
        <v>2</v>
      </c>
      <c r="D4710" s="19" t="n">
        <v>2027</v>
      </c>
      <c r="E4710" s="57" t="n">
        <v>5</v>
      </c>
      <c r="F4710" s="29">
        <f>ROUND(((SUMIFS(Calendar!$F$2:$F$9997,Calendar!$B$2:$B$9997,D4710,Calendar!$C$2:$C$9997,C4710)*INDEX(ForeCalc!$B$37:$Y$274,MATCH(_xlfn.CONCAT(H4710," ",I4710),ForeCalc!$A$37:$A$274,0),MATCH(_xlfn.CONCAT(B4710," ",E4710),ForeCalc!$B$36:$Y$36,0))))*VLOOKUP(A4710,Calendar!$A$2:$H$9997,8,FALSE),0)</f>
        <v/>
      </c>
      <c r="G4710" s="29">
        <f>VLOOKUP(A4710,Calendar!$A$1:$H$9997,6,FALSE)-F4710</f>
        <v/>
      </c>
      <c r="H4710" s="19" t="n">
        <v>1</v>
      </c>
      <c r="I4710" s="57" t="n">
        <v>11</v>
      </c>
    </row>
    <row r="4711">
      <c r="A4711" s="62" t="n">
        <v>46438</v>
      </c>
      <c r="B4711" s="3" t="inlineStr">
        <is>
          <t>Sat</t>
        </is>
      </c>
      <c r="C4711" s="19" t="n">
        <v>2</v>
      </c>
      <c r="D4711" s="19" t="n">
        <v>2027</v>
      </c>
      <c r="E4711" s="57" t="n">
        <v>5</v>
      </c>
      <c r="F4711" s="29">
        <f>ROUND(((SUMIFS(Calendar!$F$2:$F$9997,Calendar!$B$2:$B$9997,D4711,Calendar!$C$2:$C$9997,C4711)*INDEX(ForeCalc!$B$37:$Y$274,MATCH(_xlfn.CONCAT(H4711," ",I4711),ForeCalc!$A$37:$A$274,0),MATCH(_xlfn.CONCAT(B4711," ",E4711),ForeCalc!$B$36:$Y$36,0))))*VLOOKUP(A4711,Calendar!$A$2:$H$9997,8,FALSE),0)</f>
        <v/>
      </c>
      <c r="G4711" s="29">
        <f>VLOOKUP(A4711,Calendar!$A$1:$H$9997,6,FALSE)-F4711</f>
        <v/>
      </c>
      <c r="H4711" s="19" t="n">
        <v>1</v>
      </c>
      <c r="I4711" s="57" t="n">
        <v>11</v>
      </c>
    </row>
    <row r="4712">
      <c r="A4712" s="62" t="n">
        <v>46439</v>
      </c>
      <c r="B4712" s="3" t="inlineStr">
        <is>
          <t>Sun</t>
        </is>
      </c>
      <c r="C4712" s="19" t="n">
        <v>2</v>
      </c>
      <c r="D4712" s="19" t="n">
        <v>2027</v>
      </c>
      <c r="E4712" s="57" t="n">
        <v>5</v>
      </c>
      <c r="F4712" s="29">
        <f>ROUND(((SUMIFS(Calendar!$F$2:$F$9997,Calendar!$B$2:$B$9997,D4712,Calendar!$C$2:$C$9997,C4712)*INDEX(ForeCalc!$B$37:$Y$274,MATCH(_xlfn.CONCAT(H4712," ",I4712),ForeCalc!$A$37:$A$274,0),MATCH(_xlfn.CONCAT(B4712," ",E4712),ForeCalc!$B$36:$Y$36,0))))*VLOOKUP(A4712,Calendar!$A$2:$H$9997,8,FALSE),0)</f>
        <v/>
      </c>
      <c r="G4712" s="29">
        <f>VLOOKUP(A4712,Calendar!$A$1:$H$9997,6,FALSE)-F4712</f>
        <v/>
      </c>
      <c r="H4712" s="19" t="n">
        <v>1</v>
      </c>
      <c r="I4712" s="57" t="n">
        <v>11</v>
      </c>
    </row>
    <row r="4713">
      <c r="A4713" s="62" t="n">
        <v>46440</v>
      </c>
      <c r="B4713" s="3" t="inlineStr">
        <is>
          <t>Week</t>
        </is>
      </c>
      <c r="C4713" s="19" t="n">
        <v>2</v>
      </c>
      <c r="D4713" s="19" t="n">
        <v>2027</v>
      </c>
      <c r="E4713" s="57" t="n">
        <v>5</v>
      </c>
      <c r="F4713" s="29">
        <f>ROUND(((SUMIFS(Calendar!$F$2:$F$9997,Calendar!$B$2:$B$9997,D4713,Calendar!$C$2:$C$9997,C4713)*INDEX(ForeCalc!$B$37:$Y$274,MATCH(_xlfn.CONCAT(H4713," ",I4713),ForeCalc!$A$37:$A$274,0),MATCH(_xlfn.CONCAT(B4713," ",E4713),ForeCalc!$B$36:$Y$36,0))))*VLOOKUP(A4713,Calendar!$A$2:$H$9997,8,FALSE),0)</f>
        <v/>
      </c>
      <c r="G4713" s="29">
        <f>VLOOKUP(A4713,Calendar!$A$1:$H$9997,6,FALSE)-F4713</f>
        <v/>
      </c>
      <c r="H4713" s="19" t="n">
        <v>1</v>
      </c>
      <c r="I4713" s="57" t="n">
        <v>11</v>
      </c>
    </row>
    <row r="4714">
      <c r="A4714" s="62" t="n">
        <v>46441</v>
      </c>
      <c r="B4714" s="3" t="inlineStr">
        <is>
          <t>Week</t>
        </is>
      </c>
      <c r="C4714" s="19" t="n">
        <v>2</v>
      </c>
      <c r="D4714" s="19" t="n">
        <v>2027</v>
      </c>
      <c r="E4714" s="57" t="n">
        <v>5</v>
      </c>
      <c r="F4714" s="29">
        <f>ROUND(((SUMIFS(Calendar!$F$2:$F$9997,Calendar!$B$2:$B$9997,D4714,Calendar!$C$2:$C$9997,C4714)*INDEX(ForeCalc!$B$37:$Y$274,MATCH(_xlfn.CONCAT(H4714," ",I4714),ForeCalc!$A$37:$A$274,0),MATCH(_xlfn.CONCAT(B4714," ",E4714),ForeCalc!$B$36:$Y$36,0))))*VLOOKUP(A4714,Calendar!$A$2:$H$9997,8,FALSE),0)</f>
        <v/>
      </c>
      <c r="G4714" s="29">
        <f>VLOOKUP(A4714,Calendar!$A$1:$H$9997,6,FALSE)-F4714</f>
        <v/>
      </c>
      <c r="H4714" s="19" t="n">
        <v>1</v>
      </c>
      <c r="I4714" s="57" t="n">
        <v>11</v>
      </c>
    </row>
    <row r="4715">
      <c r="A4715" s="62" t="n">
        <v>46442</v>
      </c>
      <c r="B4715" s="3" t="inlineStr">
        <is>
          <t>Week</t>
        </is>
      </c>
      <c r="C4715" s="19" t="n">
        <v>2</v>
      </c>
      <c r="D4715" s="19" t="n">
        <v>2027</v>
      </c>
      <c r="E4715" s="57" t="n">
        <v>5</v>
      </c>
      <c r="F4715" s="29">
        <f>ROUND(((SUMIFS(Calendar!$F$2:$F$9997,Calendar!$B$2:$B$9997,D4715,Calendar!$C$2:$C$9997,C4715)*INDEX(ForeCalc!$B$37:$Y$274,MATCH(_xlfn.CONCAT(H4715," ",I4715),ForeCalc!$A$37:$A$274,0),MATCH(_xlfn.CONCAT(B4715," ",E4715),ForeCalc!$B$36:$Y$36,0))))*VLOOKUP(A4715,Calendar!$A$2:$H$9997,8,FALSE),0)</f>
        <v/>
      </c>
      <c r="G4715" s="29">
        <f>VLOOKUP(A4715,Calendar!$A$1:$H$9997,6,FALSE)-F4715</f>
        <v/>
      </c>
      <c r="H4715" s="19" t="n">
        <v>1</v>
      </c>
      <c r="I4715" s="57" t="n">
        <v>11</v>
      </c>
    </row>
    <row r="4716">
      <c r="A4716" s="62" t="n">
        <v>46443</v>
      </c>
      <c r="B4716" s="3" t="inlineStr">
        <is>
          <t>Week</t>
        </is>
      </c>
      <c r="C4716" s="19" t="n">
        <v>2</v>
      </c>
      <c r="D4716" s="19" t="n">
        <v>2027</v>
      </c>
      <c r="E4716" s="57" t="n">
        <v>5</v>
      </c>
      <c r="F4716" s="29">
        <f>ROUND(((SUMIFS(Calendar!$F$2:$F$9997,Calendar!$B$2:$B$9997,D4716,Calendar!$C$2:$C$9997,C4716)*INDEX(ForeCalc!$B$37:$Y$274,MATCH(_xlfn.CONCAT(H4716," ",I4716),ForeCalc!$A$37:$A$274,0),MATCH(_xlfn.CONCAT(B4716," ",E4716),ForeCalc!$B$36:$Y$36,0))))*VLOOKUP(A4716,Calendar!$A$2:$H$9997,8,FALSE),0)</f>
        <v/>
      </c>
      <c r="G4716" s="29">
        <f>VLOOKUP(A4716,Calendar!$A$1:$H$9997,6,FALSE)-F4716</f>
        <v/>
      </c>
      <c r="H4716" s="19" t="n">
        <v>1</v>
      </c>
      <c r="I4716" s="57" t="n">
        <v>11</v>
      </c>
    </row>
    <row r="4717">
      <c r="A4717" s="62" t="n">
        <v>46444</v>
      </c>
      <c r="B4717" s="3" t="inlineStr">
        <is>
          <t>Week</t>
        </is>
      </c>
      <c r="C4717" s="19" t="n">
        <v>2</v>
      </c>
      <c r="D4717" s="19" t="n">
        <v>2027</v>
      </c>
      <c r="E4717" s="57" t="n">
        <v>5</v>
      </c>
      <c r="F4717" s="29">
        <f>ROUND(((SUMIFS(Calendar!$F$2:$F$9997,Calendar!$B$2:$B$9997,D4717,Calendar!$C$2:$C$9997,C4717)*INDEX(ForeCalc!$B$37:$Y$274,MATCH(_xlfn.CONCAT(H4717," ",I4717),ForeCalc!$A$37:$A$274,0),MATCH(_xlfn.CONCAT(B4717," ",E4717),ForeCalc!$B$36:$Y$36,0))))*VLOOKUP(A4717,Calendar!$A$2:$H$9997,8,FALSE),0)</f>
        <v/>
      </c>
      <c r="G4717" s="29">
        <f>VLOOKUP(A4717,Calendar!$A$1:$H$9997,6,FALSE)-F4717</f>
        <v/>
      </c>
      <c r="H4717" s="19" t="n">
        <v>1</v>
      </c>
      <c r="I4717" s="57" t="n">
        <v>11</v>
      </c>
    </row>
    <row r="4718">
      <c r="A4718" s="62" t="n">
        <v>46445</v>
      </c>
      <c r="B4718" s="3" t="inlineStr">
        <is>
          <t>Sat</t>
        </is>
      </c>
      <c r="C4718" s="19" t="n">
        <v>2</v>
      </c>
      <c r="D4718" s="19" t="n">
        <v>2027</v>
      </c>
      <c r="E4718" s="57" t="n">
        <v>5</v>
      </c>
      <c r="F4718" s="29">
        <f>ROUND(((SUMIFS(Calendar!$F$2:$F$9997,Calendar!$B$2:$B$9997,D4718,Calendar!$C$2:$C$9997,C4718)*INDEX(ForeCalc!$B$37:$Y$274,MATCH(_xlfn.CONCAT(H4718," ",I4718),ForeCalc!$A$37:$A$274,0),MATCH(_xlfn.CONCAT(B4718," ",E4718),ForeCalc!$B$36:$Y$36,0))))*VLOOKUP(A4718,Calendar!$A$2:$H$9997,8,FALSE),0)</f>
        <v/>
      </c>
      <c r="G4718" s="29">
        <f>VLOOKUP(A4718,Calendar!$A$1:$H$9997,6,FALSE)-F4718</f>
        <v/>
      </c>
      <c r="H4718" s="19" t="n">
        <v>1</v>
      </c>
      <c r="I4718" s="57" t="n">
        <v>11</v>
      </c>
    </row>
    <row r="4719">
      <c r="A4719" s="62" t="n">
        <v>46446</v>
      </c>
      <c r="B4719" s="3" t="inlineStr">
        <is>
          <t>Sun</t>
        </is>
      </c>
      <c r="C4719" s="19" t="n">
        <v>2</v>
      </c>
      <c r="D4719" s="19" t="n">
        <v>2027</v>
      </c>
      <c r="E4719" s="57" t="n">
        <v>5</v>
      </c>
      <c r="F4719" s="29">
        <f>ROUND(((SUMIFS(Calendar!$F$2:$F$9997,Calendar!$B$2:$B$9997,D4719,Calendar!$C$2:$C$9997,C4719)*INDEX(ForeCalc!$B$37:$Y$274,MATCH(_xlfn.CONCAT(H4719," ",I4719),ForeCalc!$A$37:$A$274,0),MATCH(_xlfn.CONCAT(B4719," ",E4719),ForeCalc!$B$36:$Y$36,0))))*VLOOKUP(A4719,Calendar!$A$2:$H$9997,8,FALSE),0)</f>
        <v/>
      </c>
      <c r="G4719" s="29">
        <f>VLOOKUP(A4719,Calendar!$A$1:$H$9997,6,FALSE)-F4719</f>
        <v/>
      </c>
      <c r="H4719" s="19" t="n">
        <v>1</v>
      </c>
      <c r="I4719" s="57" t="n">
        <v>11</v>
      </c>
    </row>
    <row r="4720">
      <c r="A4720" s="62" t="n">
        <v>46447</v>
      </c>
      <c r="B4720" s="3" t="inlineStr">
        <is>
          <t>Week</t>
        </is>
      </c>
      <c r="C4720" s="19" t="n">
        <v>3</v>
      </c>
      <c r="D4720" s="19" t="n">
        <v>2027</v>
      </c>
      <c r="E4720" s="57" t="n">
        <v>5</v>
      </c>
      <c r="F4720" s="29">
        <f>ROUND(((SUMIFS(Calendar!$F$2:$F$9997,Calendar!$B$2:$B$9997,D4720,Calendar!$C$2:$C$9997,C4720)*INDEX(ForeCalc!$B$37:$Y$274,MATCH(_xlfn.CONCAT(H4720," ",I4720),ForeCalc!$A$37:$A$274,0),MATCH(_xlfn.CONCAT(B4720," ",E4720),ForeCalc!$B$36:$Y$36,0))))*VLOOKUP(A4720,Calendar!$A$2:$H$9997,8,FALSE),0)</f>
        <v/>
      </c>
      <c r="G4720" s="29">
        <f>VLOOKUP(A4720,Calendar!$A$1:$H$9997,6,FALSE)-F4720</f>
        <v/>
      </c>
      <c r="H4720" s="19" t="n">
        <v>1</v>
      </c>
      <c r="I4720" s="57" t="n">
        <v>12</v>
      </c>
    </row>
    <row r="4721">
      <c r="A4721" s="62" t="n">
        <v>46448</v>
      </c>
      <c r="B4721" s="3" t="inlineStr">
        <is>
          <t>Week</t>
        </is>
      </c>
      <c r="C4721" s="19" t="n">
        <v>3</v>
      </c>
      <c r="D4721" s="19" t="n">
        <v>2027</v>
      </c>
      <c r="E4721" s="57" t="n">
        <v>5</v>
      </c>
      <c r="F4721" s="29">
        <f>ROUND(((SUMIFS(Calendar!$F$2:$F$9997,Calendar!$B$2:$B$9997,D4721,Calendar!$C$2:$C$9997,C4721)*INDEX(ForeCalc!$B$37:$Y$274,MATCH(_xlfn.CONCAT(H4721," ",I4721),ForeCalc!$A$37:$A$274,0),MATCH(_xlfn.CONCAT(B4721," ",E4721),ForeCalc!$B$36:$Y$36,0))))*VLOOKUP(A4721,Calendar!$A$2:$H$9997,8,FALSE),0)</f>
        <v/>
      </c>
      <c r="G4721" s="29">
        <f>VLOOKUP(A4721,Calendar!$A$1:$H$9997,6,FALSE)-F4721</f>
        <v/>
      </c>
      <c r="H4721" s="19" t="n">
        <v>1</v>
      </c>
      <c r="I4721" s="57" t="n">
        <v>12</v>
      </c>
    </row>
    <row r="4722">
      <c r="A4722" s="62" t="n">
        <v>46449</v>
      </c>
      <c r="B4722" s="3" t="inlineStr">
        <is>
          <t>Week</t>
        </is>
      </c>
      <c r="C4722" s="19" t="n">
        <v>3</v>
      </c>
      <c r="D4722" s="19" t="n">
        <v>2027</v>
      </c>
      <c r="E4722" s="57" t="n">
        <v>5</v>
      </c>
      <c r="F4722" s="29">
        <f>ROUND(((SUMIFS(Calendar!$F$2:$F$9997,Calendar!$B$2:$B$9997,D4722,Calendar!$C$2:$C$9997,C4722)*INDEX(ForeCalc!$B$37:$Y$274,MATCH(_xlfn.CONCAT(H4722," ",I4722),ForeCalc!$A$37:$A$274,0),MATCH(_xlfn.CONCAT(B4722," ",E4722),ForeCalc!$B$36:$Y$36,0))))*VLOOKUP(A4722,Calendar!$A$2:$H$9997,8,FALSE),0)</f>
        <v/>
      </c>
      <c r="G4722" s="29">
        <f>VLOOKUP(A4722,Calendar!$A$1:$H$9997,6,FALSE)-F4722</f>
        <v/>
      </c>
      <c r="H4722" s="19" t="n">
        <v>1</v>
      </c>
      <c r="I4722" s="57" t="n">
        <v>12</v>
      </c>
    </row>
    <row r="4723">
      <c r="A4723" s="62" t="n">
        <v>46450</v>
      </c>
      <c r="B4723" s="3" t="inlineStr">
        <is>
          <t>Week</t>
        </is>
      </c>
      <c r="C4723" s="19" t="n">
        <v>3</v>
      </c>
      <c r="D4723" s="19" t="n">
        <v>2027</v>
      </c>
      <c r="E4723" s="57" t="n">
        <v>5</v>
      </c>
      <c r="F4723" s="29">
        <f>ROUND(((SUMIFS(Calendar!$F$2:$F$9997,Calendar!$B$2:$B$9997,D4723,Calendar!$C$2:$C$9997,C4723)*INDEX(ForeCalc!$B$37:$Y$274,MATCH(_xlfn.CONCAT(H4723," ",I4723),ForeCalc!$A$37:$A$274,0),MATCH(_xlfn.CONCAT(B4723," ",E4723),ForeCalc!$B$36:$Y$36,0))))*VLOOKUP(A4723,Calendar!$A$2:$H$9997,8,FALSE),0)</f>
        <v/>
      </c>
      <c r="G4723" s="29">
        <f>VLOOKUP(A4723,Calendar!$A$1:$H$9997,6,FALSE)-F4723</f>
        <v/>
      </c>
      <c r="H4723" s="19" t="n">
        <v>1</v>
      </c>
      <c r="I4723" s="57" t="n">
        <v>12</v>
      </c>
    </row>
    <row r="4724">
      <c r="A4724" s="62" t="n">
        <v>46451</v>
      </c>
      <c r="B4724" s="3" t="inlineStr">
        <is>
          <t>Week</t>
        </is>
      </c>
      <c r="C4724" s="19" t="n">
        <v>3</v>
      </c>
      <c r="D4724" s="19" t="n">
        <v>2027</v>
      </c>
      <c r="E4724" s="57" t="n">
        <v>5</v>
      </c>
      <c r="F4724" s="29">
        <f>ROUND(((SUMIFS(Calendar!$F$2:$F$9997,Calendar!$B$2:$B$9997,D4724,Calendar!$C$2:$C$9997,C4724)*INDEX(ForeCalc!$B$37:$Y$274,MATCH(_xlfn.CONCAT(H4724," ",I4724),ForeCalc!$A$37:$A$274,0),MATCH(_xlfn.CONCAT(B4724," ",E4724),ForeCalc!$B$36:$Y$36,0))))*VLOOKUP(A4724,Calendar!$A$2:$H$9997,8,FALSE),0)</f>
        <v/>
      </c>
      <c r="G4724" s="29">
        <f>VLOOKUP(A4724,Calendar!$A$1:$H$9997,6,FALSE)-F4724</f>
        <v/>
      </c>
      <c r="H4724" s="19" t="n">
        <v>1</v>
      </c>
      <c r="I4724" s="57" t="n">
        <v>12</v>
      </c>
    </row>
    <row r="4725">
      <c r="A4725" s="62" t="n">
        <v>46452</v>
      </c>
      <c r="B4725" s="3" t="inlineStr">
        <is>
          <t>Sat</t>
        </is>
      </c>
      <c r="C4725" s="19" t="n">
        <v>3</v>
      </c>
      <c r="D4725" s="19" t="n">
        <v>2027</v>
      </c>
      <c r="E4725" s="57" t="n">
        <v>5</v>
      </c>
      <c r="F4725" s="29">
        <f>ROUND(((SUMIFS(Calendar!$F$2:$F$9997,Calendar!$B$2:$B$9997,D4725,Calendar!$C$2:$C$9997,C4725)*INDEX(ForeCalc!$B$37:$Y$274,MATCH(_xlfn.CONCAT(H4725," ",I4725),ForeCalc!$A$37:$A$274,0),MATCH(_xlfn.CONCAT(B4725," ",E4725),ForeCalc!$B$36:$Y$36,0))))*VLOOKUP(A4725,Calendar!$A$2:$H$9997,8,FALSE),0)</f>
        <v/>
      </c>
      <c r="G4725" s="29">
        <f>VLOOKUP(A4725,Calendar!$A$1:$H$9997,6,FALSE)-F4725</f>
        <v/>
      </c>
      <c r="H4725" s="19" t="n">
        <v>1</v>
      </c>
      <c r="I4725" s="57" t="n">
        <v>12</v>
      </c>
    </row>
    <row r="4726">
      <c r="A4726" s="62" t="n">
        <v>46453</v>
      </c>
      <c r="B4726" s="3" t="inlineStr">
        <is>
          <t>Sun</t>
        </is>
      </c>
      <c r="C4726" s="19" t="n">
        <v>3</v>
      </c>
      <c r="D4726" s="19" t="n">
        <v>2027</v>
      </c>
      <c r="E4726" s="57" t="n">
        <v>5</v>
      </c>
      <c r="F4726" s="29">
        <f>ROUND(((SUMIFS(Calendar!$F$2:$F$9997,Calendar!$B$2:$B$9997,D4726,Calendar!$C$2:$C$9997,C4726)*INDEX(ForeCalc!$B$37:$Y$274,MATCH(_xlfn.CONCAT(H4726," ",I4726),ForeCalc!$A$37:$A$274,0),MATCH(_xlfn.CONCAT(B4726," ",E4726),ForeCalc!$B$36:$Y$36,0))))*VLOOKUP(A4726,Calendar!$A$2:$H$9997,8,FALSE),0)</f>
        <v/>
      </c>
      <c r="G4726" s="29">
        <f>VLOOKUP(A4726,Calendar!$A$1:$H$9997,6,FALSE)-F4726</f>
        <v/>
      </c>
      <c r="H4726" s="19" t="n">
        <v>1</v>
      </c>
      <c r="I4726" s="57" t="n">
        <v>12</v>
      </c>
    </row>
    <row r="4727">
      <c r="A4727" s="62" t="n">
        <v>46454</v>
      </c>
      <c r="B4727" s="3" t="inlineStr">
        <is>
          <t>Week</t>
        </is>
      </c>
      <c r="C4727" s="19" t="n">
        <v>3</v>
      </c>
      <c r="D4727" s="19" t="n">
        <v>2027</v>
      </c>
      <c r="E4727" s="57" t="n">
        <v>5</v>
      </c>
      <c r="F4727" s="29">
        <f>ROUND(((SUMIFS(Calendar!$F$2:$F$9997,Calendar!$B$2:$B$9997,D4727,Calendar!$C$2:$C$9997,C4727)*INDEX(ForeCalc!$B$37:$Y$274,MATCH(_xlfn.CONCAT(H4727," ",I4727),ForeCalc!$A$37:$A$274,0),MATCH(_xlfn.CONCAT(B4727," ",E4727),ForeCalc!$B$36:$Y$36,0))))*VLOOKUP(A4727,Calendar!$A$2:$H$9997,8,FALSE),0)</f>
        <v/>
      </c>
      <c r="G4727" s="29">
        <f>VLOOKUP(A4727,Calendar!$A$1:$H$9997,6,FALSE)-F4727</f>
        <v/>
      </c>
      <c r="H4727" s="19" t="n">
        <v>1</v>
      </c>
      <c r="I4727" s="57" t="n">
        <v>12</v>
      </c>
    </row>
    <row r="4728">
      <c r="A4728" s="62" t="n">
        <v>46455</v>
      </c>
      <c r="B4728" s="3" t="inlineStr">
        <is>
          <t>Week</t>
        </is>
      </c>
      <c r="C4728" s="19" t="n">
        <v>3</v>
      </c>
      <c r="D4728" s="19" t="n">
        <v>2027</v>
      </c>
      <c r="E4728" s="57" t="n">
        <v>5</v>
      </c>
      <c r="F4728" s="29">
        <f>ROUND(((SUMIFS(Calendar!$F$2:$F$9997,Calendar!$B$2:$B$9997,D4728,Calendar!$C$2:$C$9997,C4728)*INDEX(ForeCalc!$B$37:$Y$274,MATCH(_xlfn.CONCAT(H4728," ",I4728),ForeCalc!$A$37:$A$274,0),MATCH(_xlfn.CONCAT(B4728," ",E4728),ForeCalc!$B$36:$Y$36,0))))*VLOOKUP(A4728,Calendar!$A$2:$H$9997,8,FALSE),0)</f>
        <v/>
      </c>
      <c r="G4728" s="29">
        <f>VLOOKUP(A4728,Calendar!$A$1:$H$9997,6,FALSE)-F4728</f>
        <v/>
      </c>
      <c r="H4728" s="19" t="n">
        <v>1</v>
      </c>
      <c r="I4728" s="57" t="n">
        <v>12</v>
      </c>
    </row>
    <row r="4729">
      <c r="A4729" s="62" t="n">
        <v>46456</v>
      </c>
      <c r="B4729" s="3" t="inlineStr">
        <is>
          <t>Week</t>
        </is>
      </c>
      <c r="C4729" s="19" t="n">
        <v>3</v>
      </c>
      <c r="D4729" s="19" t="n">
        <v>2027</v>
      </c>
      <c r="E4729" s="57" t="n">
        <v>5</v>
      </c>
      <c r="F4729" s="29">
        <f>ROUND(((SUMIFS(Calendar!$F$2:$F$9997,Calendar!$B$2:$B$9997,D4729,Calendar!$C$2:$C$9997,C4729)*INDEX(ForeCalc!$B$37:$Y$274,MATCH(_xlfn.CONCAT(H4729," ",I4729),ForeCalc!$A$37:$A$274,0),MATCH(_xlfn.CONCAT(B4729," ",E4729),ForeCalc!$B$36:$Y$36,0))))*VLOOKUP(A4729,Calendar!$A$2:$H$9997,8,FALSE),0)</f>
        <v/>
      </c>
      <c r="G4729" s="29">
        <f>VLOOKUP(A4729,Calendar!$A$1:$H$9997,6,FALSE)-F4729</f>
        <v/>
      </c>
      <c r="H4729" s="19" t="n">
        <v>1</v>
      </c>
      <c r="I4729" s="57" t="n">
        <v>12</v>
      </c>
    </row>
    <row r="4730">
      <c r="A4730" s="62" t="n">
        <v>46457</v>
      </c>
      <c r="B4730" s="3" t="inlineStr">
        <is>
          <t>Week</t>
        </is>
      </c>
      <c r="C4730" s="19" t="n">
        <v>3</v>
      </c>
      <c r="D4730" s="19" t="n">
        <v>2027</v>
      </c>
      <c r="E4730" s="57" t="n">
        <v>5</v>
      </c>
      <c r="F4730" s="29">
        <f>ROUND(((SUMIFS(Calendar!$F$2:$F$9997,Calendar!$B$2:$B$9997,D4730,Calendar!$C$2:$C$9997,C4730)*INDEX(ForeCalc!$B$37:$Y$274,MATCH(_xlfn.CONCAT(H4730," ",I4730),ForeCalc!$A$37:$A$274,0),MATCH(_xlfn.CONCAT(B4730," ",E4730),ForeCalc!$B$36:$Y$36,0))))*VLOOKUP(A4730,Calendar!$A$2:$H$9997,8,FALSE),0)</f>
        <v/>
      </c>
      <c r="G4730" s="29">
        <f>VLOOKUP(A4730,Calendar!$A$1:$H$9997,6,FALSE)-F4730</f>
        <v/>
      </c>
      <c r="H4730" s="19" t="n">
        <v>1</v>
      </c>
      <c r="I4730" s="57" t="n">
        <v>12</v>
      </c>
    </row>
    <row r="4731">
      <c r="A4731" s="62" t="n">
        <v>46458</v>
      </c>
      <c r="B4731" s="3" t="inlineStr">
        <is>
          <t>Week</t>
        </is>
      </c>
      <c r="C4731" s="19" t="n">
        <v>3</v>
      </c>
      <c r="D4731" s="19" t="n">
        <v>2027</v>
      </c>
      <c r="E4731" s="57" t="n">
        <v>5</v>
      </c>
      <c r="F4731" s="29">
        <f>ROUND(((SUMIFS(Calendar!$F$2:$F$9997,Calendar!$B$2:$B$9997,D4731,Calendar!$C$2:$C$9997,C4731)*INDEX(ForeCalc!$B$37:$Y$274,MATCH(_xlfn.CONCAT(H4731," ",I4731),ForeCalc!$A$37:$A$274,0),MATCH(_xlfn.CONCAT(B4731," ",E4731),ForeCalc!$B$36:$Y$36,0))))*VLOOKUP(A4731,Calendar!$A$2:$H$9997,8,FALSE),0)</f>
        <v/>
      </c>
      <c r="G4731" s="29">
        <f>VLOOKUP(A4731,Calendar!$A$1:$H$9997,6,FALSE)-F4731</f>
        <v/>
      </c>
      <c r="H4731" s="19" t="n">
        <v>1</v>
      </c>
      <c r="I4731" s="57" t="n">
        <v>12</v>
      </c>
    </row>
    <row r="4732">
      <c r="A4732" s="62" t="n">
        <v>46459</v>
      </c>
      <c r="B4732" s="3" t="inlineStr">
        <is>
          <t>Sat</t>
        </is>
      </c>
      <c r="C4732" s="19" t="n">
        <v>3</v>
      </c>
      <c r="D4732" s="19" t="n">
        <v>2027</v>
      </c>
      <c r="E4732" s="57" t="n">
        <v>5</v>
      </c>
      <c r="F4732" s="29">
        <f>ROUND(((SUMIFS(Calendar!$F$2:$F$9997,Calendar!$B$2:$B$9997,D4732,Calendar!$C$2:$C$9997,C4732)*INDEX(ForeCalc!$B$37:$Y$274,MATCH(_xlfn.CONCAT(H4732," ",I4732),ForeCalc!$A$37:$A$274,0),MATCH(_xlfn.CONCAT(B4732," ",E4732),ForeCalc!$B$36:$Y$36,0))))*VLOOKUP(A4732,Calendar!$A$2:$H$9997,8,FALSE),0)</f>
        <v/>
      </c>
      <c r="G4732" s="29">
        <f>VLOOKUP(A4732,Calendar!$A$1:$H$9997,6,FALSE)-F4732</f>
        <v/>
      </c>
      <c r="H4732" s="19" t="n">
        <v>1</v>
      </c>
      <c r="I4732" s="57" t="n">
        <v>12</v>
      </c>
    </row>
    <row r="4733">
      <c r="A4733" s="62" t="n">
        <v>46460</v>
      </c>
      <c r="B4733" s="3" t="inlineStr">
        <is>
          <t>Sun</t>
        </is>
      </c>
      <c r="C4733" s="19" t="n">
        <v>3</v>
      </c>
      <c r="D4733" s="19" t="n">
        <v>2027</v>
      </c>
      <c r="E4733" s="57" t="n">
        <v>5</v>
      </c>
      <c r="F4733" s="29">
        <f>ROUND(((SUMIFS(Calendar!$F$2:$F$9997,Calendar!$B$2:$B$9997,D4733,Calendar!$C$2:$C$9997,C4733)*INDEX(ForeCalc!$B$37:$Y$274,MATCH(_xlfn.CONCAT(H4733," ",I4733),ForeCalc!$A$37:$A$274,0),MATCH(_xlfn.CONCAT(B4733," ",E4733),ForeCalc!$B$36:$Y$36,0))))*VLOOKUP(A4733,Calendar!$A$2:$H$9997,8,FALSE),0)</f>
        <v/>
      </c>
      <c r="G4733" s="29">
        <f>VLOOKUP(A4733,Calendar!$A$1:$H$9997,6,FALSE)-F4733</f>
        <v/>
      </c>
      <c r="H4733" s="19" t="n">
        <v>1</v>
      </c>
      <c r="I4733" s="57" t="n">
        <v>12</v>
      </c>
    </row>
    <row r="4734">
      <c r="A4734" s="62" t="n">
        <v>46461</v>
      </c>
      <c r="B4734" s="3" t="inlineStr">
        <is>
          <t>Week</t>
        </is>
      </c>
      <c r="C4734" s="19" t="n">
        <v>3</v>
      </c>
      <c r="D4734" s="19" t="n">
        <v>2027</v>
      </c>
      <c r="E4734" s="57" t="n">
        <v>5</v>
      </c>
      <c r="F4734" s="29">
        <f>ROUND(((SUMIFS(Calendar!$F$2:$F$9997,Calendar!$B$2:$B$9997,D4734,Calendar!$C$2:$C$9997,C4734)*INDEX(ForeCalc!$B$37:$Y$274,MATCH(_xlfn.CONCAT(H4734," ",I4734),ForeCalc!$A$37:$A$274,0),MATCH(_xlfn.CONCAT(B4734," ",E4734),ForeCalc!$B$36:$Y$36,0))))*VLOOKUP(A4734,Calendar!$A$2:$H$9997,8,FALSE),0)</f>
        <v/>
      </c>
      <c r="G4734" s="29">
        <f>VLOOKUP(A4734,Calendar!$A$1:$H$9997,6,FALSE)-F4734</f>
        <v/>
      </c>
      <c r="H4734" s="19" t="n">
        <v>1</v>
      </c>
      <c r="I4734" s="57" t="n">
        <v>12</v>
      </c>
    </row>
    <row r="4735">
      <c r="A4735" s="62" t="n">
        <v>46462</v>
      </c>
      <c r="B4735" s="3" t="inlineStr">
        <is>
          <t>Week</t>
        </is>
      </c>
      <c r="C4735" s="19" t="n">
        <v>3</v>
      </c>
      <c r="D4735" s="19" t="n">
        <v>2027</v>
      </c>
      <c r="E4735" s="57" t="n">
        <v>5</v>
      </c>
      <c r="F4735" s="29">
        <f>ROUND(((SUMIFS(Calendar!$F$2:$F$9997,Calendar!$B$2:$B$9997,D4735,Calendar!$C$2:$C$9997,C4735)*INDEX(ForeCalc!$B$37:$Y$274,MATCH(_xlfn.CONCAT(H4735," ",I4735),ForeCalc!$A$37:$A$274,0),MATCH(_xlfn.CONCAT(B4735," ",E4735),ForeCalc!$B$36:$Y$36,0))))*VLOOKUP(A4735,Calendar!$A$2:$H$9997,8,FALSE),0)</f>
        <v/>
      </c>
      <c r="G4735" s="29">
        <f>VLOOKUP(A4735,Calendar!$A$1:$H$9997,6,FALSE)-F4735</f>
        <v/>
      </c>
      <c r="H4735" s="19" t="n">
        <v>1</v>
      </c>
      <c r="I4735" s="57" t="n">
        <v>12</v>
      </c>
    </row>
    <row r="4736">
      <c r="A4736" s="62" t="n">
        <v>46463</v>
      </c>
      <c r="B4736" s="3" t="inlineStr">
        <is>
          <t>Week</t>
        </is>
      </c>
      <c r="C4736" s="19" t="n">
        <v>3</v>
      </c>
      <c r="D4736" s="19" t="n">
        <v>2027</v>
      </c>
      <c r="E4736" s="57" t="n">
        <v>5</v>
      </c>
      <c r="F4736" s="29">
        <f>ROUND(((SUMIFS(Calendar!$F$2:$F$9997,Calendar!$B$2:$B$9997,D4736,Calendar!$C$2:$C$9997,C4736)*INDEX(ForeCalc!$B$37:$Y$274,MATCH(_xlfn.CONCAT(H4736," ",I4736),ForeCalc!$A$37:$A$274,0),MATCH(_xlfn.CONCAT(B4736," ",E4736),ForeCalc!$B$36:$Y$36,0))))*VLOOKUP(A4736,Calendar!$A$2:$H$9997,8,FALSE),0)</f>
        <v/>
      </c>
      <c r="G4736" s="29">
        <f>VLOOKUP(A4736,Calendar!$A$1:$H$9997,6,FALSE)-F4736</f>
        <v/>
      </c>
      <c r="H4736" s="19" t="n">
        <v>1</v>
      </c>
      <c r="I4736" s="57" t="n">
        <v>12</v>
      </c>
    </row>
    <row r="4737">
      <c r="A4737" s="62" t="n">
        <v>46464</v>
      </c>
      <c r="B4737" s="3" t="inlineStr">
        <is>
          <t>Week</t>
        </is>
      </c>
      <c r="C4737" s="19" t="n">
        <v>3</v>
      </c>
      <c r="D4737" s="19" t="n">
        <v>2027</v>
      </c>
      <c r="E4737" s="57" t="n">
        <v>5</v>
      </c>
      <c r="F4737" s="29">
        <f>ROUND(((SUMIFS(Calendar!$F$2:$F$9997,Calendar!$B$2:$B$9997,D4737,Calendar!$C$2:$C$9997,C4737)*INDEX(ForeCalc!$B$37:$Y$274,MATCH(_xlfn.CONCAT(H4737," ",I4737),ForeCalc!$A$37:$A$274,0),MATCH(_xlfn.CONCAT(B4737," ",E4737),ForeCalc!$B$36:$Y$36,0))))*VLOOKUP(A4737,Calendar!$A$2:$H$9997,8,FALSE),0)</f>
        <v/>
      </c>
      <c r="G4737" s="29">
        <f>VLOOKUP(A4737,Calendar!$A$1:$H$9997,6,FALSE)-F4737</f>
        <v/>
      </c>
      <c r="H4737" s="19" t="n">
        <v>1</v>
      </c>
      <c r="I4737" s="57" t="n">
        <v>12</v>
      </c>
    </row>
    <row r="4738">
      <c r="A4738" s="62" t="n">
        <v>46465</v>
      </c>
      <c r="B4738" s="3" t="inlineStr">
        <is>
          <t>Week</t>
        </is>
      </c>
      <c r="C4738" s="19" t="n">
        <v>3</v>
      </c>
      <c r="D4738" s="19" t="n">
        <v>2027</v>
      </c>
      <c r="E4738" s="57" t="n">
        <v>5</v>
      </c>
      <c r="F4738" s="29">
        <f>ROUND(((SUMIFS(Calendar!$F$2:$F$9997,Calendar!$B$2:$B$9997,D4738,Calendar!$C$2:$C$9997,C4738)*INDEX(ForeCalc!$B$37:$Y$274,MATCH(_xlfn.CONCAT(H4738," ",I4738),ForeCalc!$A$37:$A$274,0),MATCH(_xlfn.CONCAT(B4738," ",E4738),ForeCalc!$B$36:$Y$36,0))))*VLOOKUP(A4738,Calendar!$A$2:$H$9997,8,FALSE),0)</f>
        <v/>
      </c>
      <c r="G4738" s="29">
        <f>VLOOKUP(A4738,Calendar!$A$1:$H$9997,6,FALSE)-F4738</f>
        <v/>
      </c>
      <c r="H4738" s="19" t="n">
        <v>1</v>
      </c>
      <c r="I4738" s="57" t="n">
        <v>12</v>
      </c>
    </row>
    <row r="4739">
      <c r="A4739" s="62" t="n">
        <v>46466</v>
      </c>
      <c r="B4739" s="3" t="inlineStr">
        <is>
          <t>Sat</t>
        </is>
      </c>
      <c r="C4739" s="19" t="n">
        <v>3</v>
      </c>
      <c r="D4739" s="19" t="n">
        <v>2027</v>
      </c>
      <c r="E4739" s="57" t="n">
        <v>5</v>
      </c>
      <c r="F4739" s="29">
        <f>ROUND(((SUMIFS(Calendar!$F$2:$F$9997,Calendar!$B$2:$B$9997,D4739,Calendar!$C$2:$C$9997,C4739)*INDEX(ForeCalc!$B$37:$Y$274,MATCH(_xlfn.CONCAT(H4739," ",I4739),ForeCalc!$A$37:$A$274,0),MATCH(_xlfn.CONCAT(B4739," ",E4739),ForeCalc!$B$36:$Y$36,0))))*VLOOKUP(A4739,Calendar!$A$2:$H$9997,8,FALSE),0)</f>
        <v/>
      </c>
      <c r="G4739" s="29">
        <f>VLOOKUP(A4739,Calendar!$A$1:$H$9997,6,FALSE)-F4739</f>
        <v/>
      </c>
      <c r="H4739" s="19" t="n">
        <v>1</v>
      </c>
      <c r="I4739" s="57" t="n">
        <v>12</v>
      </c>
    </row>
    <row r="4740">
      <c r="A4740" s="62" t="n">
        <v>46467</v>
      </c>
      <c r="B4740" s="3" t="inlineStr">
        <is>
          <t>Sun</t>
        </is>
      </c>
      <c r="C4740" s="19" t="n">
        <v>3</v>
      </c>
      <c r="D4740" s="19" t="n">
        <v>2027</v>
      </c>
      <c r="E4740" s="57" t="n">
        <v>5</v>
      </c>
      <c r="F4740" s="29">
        <f>ROUND(((SUMIFS(Calendar!$F$2:$F$9997,Calendar!$B$2:$B$9997,D4740,Calendar!$C$2:$C$9997,C4740)*INDEX(ForeCalc!$B$37:$Y$274,MATCH(_xlfn.CONCAT(H4740," ",I4740),ForeCalc!$A$37:$A$274,0),MATCH(_xlfn.CONCAT(B4740," ",E4740),ForeCalc!$B$36:$Y$36,0))))*VLOOKUP(A4740,Calendar!$A$2:$H$9997,8,FALSE),0)</f>
        <v/>
      </c>
      <c r="G4740" s="29">
        <f>VLOOKUP(A4740,Calendar!$A$1:$H$9997,6,FALSE)-F4740</f>
        <v/>
      </c>
      <c r="H4740" s="19" t="n">
        <v>1</v>
      </c>
      <c r="I4740" s="57" t="n">
        <v>12</v>
      </c>
    </row>
    <row r="4741">
      <c r="A4741" s="62" t="n">
        <v>46468</v>
      </c>
      <c r="B4741" s="3" t="inlineStr">
        <is>
          <t>Week</t>
        </is>
      </c>
      <c r="C4741" s="19" t="n">
        <v>3</v>
      </c>
      <c r="D4741" s="19" t="n">
        <v>2027</v>
      </c>
      <c r="E4741" s="57" t="n">
        <v>5</v>
      </c>
      <c r="F4741" s="29">
        <f>ROUND(((SUMIFS(Calendar!$F$2:$F$9997,Calendar!$B$2:$B$9997,D4741,Calendar!$C$2:$C$9997,C4741)*INDEX(ForeCalc!$B$37:$Y$274,MATCH(_xlfn.CONCAT(H4741," ",I4741),ForeCalc!$A$37:$A$274,0),MATCH(_xlfn.CONCAT(B4741," ",E4741),ForeCalc!$B$36:$Y$36,0))))*VLOOKUP(A4741,Calendar!$A$2:$H$9997,8,FALSE),0)</f>
        <v/>
      </c>
      <c r="G4741" s="29">
        <f>VLOOKUP(A4741,Calendar!$A$1:$H$9997,6,FALSE)-F4741</f>
        <v/>
      </c>
      <c r="H4741" s="19" t="n">
        <v>1</v>
      </c>
      <c r="I4741" s="57" t="n">
        <v>12</v>
      </c>
    </row>
    <row r="4742">
      <c r="A4742" s="62" t="n">
        <v>46469</v>
      </c>
      <c r="B4742" s="3" t="inlineStr">
        <is>
          <t>Week</t>
        </is>
      </c>
      <c r="C4742" s="19" t="n">
        <v>3</v>
      </c>
      <c r="D4742" s="19" t="n">
        <v>2027</v>
      </c>
      <c r="E4742" s="57" t="n">
        <v>5</v>
      </c>
      <c r="F4742" s="29">
        <f>ROUND(((SUMIFS(Calendar!$F$2:$F$9997,Calendar!$B$2:$B$9997,D4742,Calendar!$C$2:$C$9997,C4742)*INDEX(ForeCalc!$B$37:$Y$274,MATCH(_xlfn.CONCAT(H4742," ",I4742),ForeCalc!$A$37:$A$274,0),MATCH(_xlfn.CONCAT(B4742," ",E4742),ForeCalc!$B$36:$Y$36,0))))*VLOOKUP(A4742,Calendar!$A$2:$H$9997,8,FALSE),0)</f>
        <v/>
      </c>
      <c r="G4742" s="29">
        <f>VLOOKUP(A4742,Calendar!$A$1:$H$9997,6,FALSE)-F4742</f>
        <v/>
      </c>
      <c r="H4742" s="19" t="n">
        <v>1</v>
      </c>
      <c r="I4742" s="57" t="n">
        <v>12</v>
      </c>
    </row>
    <row r="4743">
      <c r="A4743" s="62" t="n">
        <v>46470</v>
      </c>
      <c r="B4743" s="3" t="inlineStr">
        <is>
          <t>Week</t>
        </is>
      </c>
      <c r="C4743" s="19" t="n">
        <v>3</v>
      </c>
      <c r="D4743" s="19" t="n">
        <v>2027</v>
      </c>
      <c r="E4743" s="57" t="n">
        <v>5</v>
      </c>
      <c r="F4743" s="29">
        <f>ROUND(((SUMIFS(Calendar!$F$2:$F$9997,Calendar!$B$2:$B$9997,D4743,Calendar!$C$2:$C$9997,C4743)*INDEX(ForeCalc!$B$37:$Y$274,MATCH(_xlfn.CONCAT(H4743," ",I4743),ForeCalc!$A$37:$A$274,0),MATCH(_xlfn.CONCAT(B4743," ",E4743),ForeCalc!$B$36:$Y$36,0))))*VLOOKUP(A4743,Calendar!$A$2:$H$9997,8,FALSE),0)</f>
        <v/>
      </c>
      <c r="G4743" s="29">
        <f>VLOOKUP(A4743,Calendar!$A$1:$H$9997,6,FALSE)-F4743</f>
        <v/>
      </c>
      <c r="H4743" s="19" t="n">
        <v>1</v>
      </c>
      <c r="I4743" s="57" t="n">
        <v>12</v>
      </c>
    </row>
    <row r="4744">
      <c r="A4744" s="62" t="n">
        <v>46471</v>
      </c>
      <c r="B4744" s="3" t="inlineStr">
        <is>
          <t>Week</t>
        </is>
      </c>
      <c r="C4744" s="19" t="n">
        <v>3</v>
      </c>
      <c r="D4744" s="19" t="n">
        <v>2027</v>
      </c>
      <c r="E4744" s="57" t="n">
        <v>5</v>
      </c>
      <c r="F4744" s="29">
        <f>ROUND(((SUMIFS(Calendar!$F$2:$F$9997,Calendar!$B$2:$B$9997,D4744,Calendar!$C$2:$C$9997,C4744)*INDEX(ForeCalc!$B$37:$Y$274,MATCH(_xlfn.CONCAT(H4744," ",I4744),ForeCalc!$A$37:$A$274,0),MATCH(_xlfn.CONCAT(B4744," ",E4744),ForeCalc!$B$36:$Y$36,0))))*VLOOKUP(A4744,Calendar!$A$2:$H$9997,8,FALSE),0)</f>
        <v/>
      </c>
      <c r="G4744" s="29">
        <f>VLOOKUP(A4744,Calendar!$A$1:$H$9997,6,FALSE)-F4744</f>
        <v/>
      </c>
      <c r="H4744" s="19" t="n">
        <v>1</v>
      </c>
      <c r="I4744" s="57" t="n">
        <v>12</v>
      </c>
    </row>
    <row r="4745">
      <c r="A4745" s="62" t="n">
        <v>46472</v>
      </c>
      <c r="B4745" s="3" t="inlineStr">
        <is>
          <t>Week</t>
        </is>
      </c>
      <c r="C4745" s="19" t="n">
        <v>3</v>
      </c>
      <c r="D4745" s="19" t="n">
        <v>2027</v>
      </c>
      <c r="E4745" s="57" t="n">
        <v>5</v>
      </c>
      <c r="F4745" s="29">
        <f>ROUND(((SUMIFS(Calendar!$F$2:$F$9997,Calendar!$B$2:$B$9997,D4745,Calendar!$C$2:$C$9997,C4745)*INDEX(ForeCalc!$B$37:$Y$274,MATCH(_xlfn.CONCAT(H4745," ",I4745),ForeCalc!$A$37:$A$274,0),MATCH(_xlfn.CONCAT(B4745," ",E4745),ForeCalc!$B$36:$Y$36,0))))*VLOOKUP(A4745,Calendar!$A$2:$H$9997,8,FALSE),0)</f>
        <v/>
      </c>
      <c r="G4745" s="29">
        <f>VLOOKUP(A4745,Calendar!$A$1:$H$9997,6,FALSE)-F4745</f>
        <v/>
      </c>
      <c r="H4745" s="19" t="n">
        <v>1</v>
      </c>
      <c r="I4745" s="57" t="n">
        <v>12</v>
      </c>
    </row>
    <row r="4746">
      <c r="A4746" s="62" t="n">
        <v>46473</v>
      </c>
      <c r="B4746" s="3" t="inlineStr">
        <is>
          <t>Sat</t>
        </is>
      </c>
      <c r="C4746" s="19" t="n">
        <v>3</v>
      </c>
      <c r="D4746" s="19" t="n">
        <v>2027</v>
      </c>
      <c r="E4746" s="57" t="n">
        <v>5</v>
      </c>
      <c r="F4746" s="29">
        <f>ROUND(((SUMIFS(Calendar!$F$2:$F$9997,Calendar!$B$2:$B$9997,D4746,Calendar!$C$2:$C$9997,C4746)*INDEX(ForeCalc!$B$37:$Y$274,MATCH(_xlfn.CONCAT(H4746," ",I4746),ForeCalc!$A$37:$A$274,0),MATCH(_xlfn.CONCAT(B4746," ",E4746),ForeCalc!$B$36:$Y$36,0))))*VLOOKUP(A4746,Calendar!$A$2:$H$9997,8,FALSE),0)</f>
        <v/>
      </c>
      <c r="G4746" s="29">
        <f>VLOOKUP(A4746,Calendar!$A$1:$H$9997,6,FALSE)-F4746</f>
        <v/>
      </c>
      <c r="H4746" s="19" t="n">
        <v>1</v>
      </c>
      <c r="I4746" s="57" t="n">
        <v>12</v>
      </c>
    </row>
    <row r="4747">
      <c r="A4747" s="62" t="n">
        <v>46474</v>
      </c>
      <c r="B4747" s="3" t="inlineStr">
        <is>
          <t>Sun</t>
        </is>
      </c>
      <c r="C4747" s="19" t="n">
        <v>3</v>
      </c>
      <c r="D4747" s="19" t="n">
        <v>2027</v>
      </c>
      <c r="E4747" s="57" t="n">
        <v>5</v>
      </c>
      <c r="F4747" s="29">
        <f>ROUND(((SUMIFS(Calendar!$F$2:$F$9997,Calendar!$B$2:$B$9997,D4747,Calendar!$C$2:$C$9997,C4747)*INDEX(ForeCalc!$B$37:$Y$274,MATCH(_xlfn.CONCAT(H4747," ",I4747),ForeCalc!$A$37:$A$274,0),MATCH(_xlfn.CONCAT(B4747," ",E4747),ForeCalc!$B$36:$Y$36,0))))*VLOOKUP(A4747,Calendar!$A$2:$H$9997,8,FALSE),0)</f>
        <v/>
      </c>
      <c r="G4747" s="29">
        <f>VLOOKUP(A4747,Calendar!$A$1:$H$9997,6,FALSE)-F4747</f>
        <v/>
      </c>
      <c r="H4747" s="19" t="n">
        <v>1</v>
      </c>
      <c r="I4747" s="57" t="n">
        <v>12</v>
      </c>
    </row>
    <row r="4748">
      <c r="A4748" s="62" t="n">
        <v>46475</v>
      </c>
      <c r="B4748" s="3" t="inlineStr">
        <is>
          <t>Week</t>
        </is>
      </c>
      <c r="C4748" s="19" t="n">
        <v>3</v>
      </c>
      <c r="D4748" s="19" t="n">
        <v>2027</v>
      </c>
      <c r="E4748" s="57" t="n">
        <v>5</v>
      </c>
      <c r="F4748" s="29">
        <f>ROUND(((SUMIFS(Calendar!$F$2:$F$9997,Calendar!$B$2:$B$9997,D4748,Calendar!$C$2:$C$9997,C4748)*INDEX(ForeCalc!$B$37:$Y$274,MATCH(_xlfn.CONCAT(H4748," ",I4748),ForeCalc!$A$37:$A$274,0),MATCH(_xlfn.CONCAT(B4748," ",E4748),ForeCalc!$B$36:$Y$36,0))))*VLOOKUP(A4748,Calendar!$A$2:$H$9997,8,FALSE),0)</f>
        <v/>
      </c>
      <c r="G4748" s="29">
        <f>VLOOKUP(A4748,Calendar!$A$1:$H$9997,6,FALSE)-F4748</f>
        <v/>
      </c>
      <c r="H4748" s="19" t="n">
        <v>1</v>
      </c>
      <c r="I4748" s="57" t="n">
        <v>12</v>
      </c>
    </row>
    <row r="4749">
      <c r="A4749" s="62" t="n">
        <v>46476</v>
      </c>
      <c r="B4749" s="3" t="inlineStr">
        <is>
          <t>Week</t>
        </is>
      </c>
      <c r="C4749" s="19" t="n">
        <v>3</v>
      </c>
      <c r="D4749" s="19" t="n">
        <v>2027</v>
      </c>
      <c r="E4749" s="57" t="n">
        <v>5</v>
      </c>
      <c r="F4749" s="29">
        <f>ROUND(((SUMIFS(Calendar!$F$2:$F$9997,Calendar!$B$2:$B$9997,D4749,Calendar!$C$2:$C$9997,C4749)*INDEX(ForeCalc!$B$37:$Y$274,MATCH(_xlfn.CONCAT(H4749," ",I4749),ForeCalc!$A$37:$A$274,0),MATCH(_xlfn.CONCAT(B4749," ",E4749),ForeCalc!$B$36:$Y$36,0))))*VLOOKUP(A4749,Calendar!$A$2:$H$9997,8,FALSE),0)</f>
        <v/>
      </c>
      <c r="G4749" s="29">
        <f>VLOOKUP(A4749,Calendar!$A$1:$H$9997,6,FALSE)-F4749</f>
        <v/>
      </c>
      <c r="H4749" s="19" t="n">
        <v>1</v>
      </c>
      <c r="I4749" s="57" t="n">
        <v>12</v>
      </c>
    </row>
    <row r="4750">
      <c r="A4750" s="62" t="n">
        <v>46477</v>
      </c>
      <c r="B4750" s="3" t="inlineStr">
        <is>
          <t>Week</t>
        </is>
      </c>
      <c r="C4750" s="19" t="n">
        <v>3</v>
      </c>
      <c r="D4750" s="19" t="n">
        <v>2027</v>
      </c>
      <c r="E4750" s="57" t="n">
        <v>5</v>
      </c>
      <c r="F4750" s="29">
        <f>ROUND(((SUMIFS(Calendar!$F$2:$F$9997,Calendar!$B$2:$B$9997,D4750,Calendar!$C$2:$C$9997,C4750)*INDEX(ForeCalc!$B$37:$Y$274,MATCH(_xlfn.CONCAT(H4750," ",I4750),ForeCalc!$A$37:$A$274,0),MATCH(_xlfn.CONCAT(B4750," ",E4750),ForeCalc!$B$36:$Y$36,0))))*VLOOKUP(A4750,Calendar!$A$2:$H$9997,8,FALSE),0)</f>
        <v/>
      </c>
      <c r="G4750" s="29">
        <f>VLOOKUP(A4750,Calendar!$A$1:$H$9997,6,FALSE)-F4750</f>
        <v/>
      </c>
      <c r="H4750" s="19" t="n">
        <v>1</v>
      </c>
      <c r="I4750" s="57" t="n">
        <v>12</v>
      </c>
    </row>
    <row r="4751">
      <c r="A4751" s="62" t="n">
        <v>46478</v>
      </c>
      <c r="B4751" s="3" t="inlineStr">
        <is>
          <t>Week</t>
        </is>
      </c>
      <c r="C4751" s="19" t="n">
        <v>4</v>
      </c>
      <c r="D4751" s="19" t="n">
        <v>2027</v>
      </c>
      <c r="E4751" s="57" t="n">
        <v>5</v>
      </c>
      <c r="F4751" s="29">
        <f>ROUND(((SUMIFS(Calendar!$F$2:$F$9997,Calendar!$B$2:$B$9997,D4751,Calendar!$C$2:$C$9997,C4751)*INDEX(ForeCalc!$B$37:$Y$274,MATCH(_xlfn.CONCAT(H4751," ",I4751),ForeCalc!$A$37:$A$274,0),MATCH(_xlfn.CONCAT(B4751," ",E4751),ForeCalc!$B$36:$Y$36,0))))*VLOOKUP(A4751,Calendar!$A$2:$H$9997,8,FALSE),0)</f>
        <v/>
      </c>
      <c r="G4751" s="29">
        <f>VLOOKUP(A4751,Calendar!$A$1:$H$9997,6,FALSE)-F4751</f>
        <v/>
      </c>
      <c r="H4751" s="19" t="n">
        <v>2</v>
      </c>
      <c r="I4751" s="57" t="n">
        <v>1</v>
      </c>
    </row>
    <row r="4752">
      <c r="A4752" s="62" t="n">
        <v>46479</v>
      </c>
      <c r="B4752" s="3" t="inlineStr">
        <is>
          <t>Week</t>
        </is>
      </c>
      <c r="C4752" s="19" t="n">
        <v>4</v>
      </c>
      <c r="D4752" s="19" t="n">
        <v>2027</v>
      </c>
      <c r="E4752" s="57" t="n">
        <v>5</v>
      </c>
      <c r="F4752" s="29">
        <f>ROUND(((SUMIFS(Calendar!$F$2:$F$9997,Calendar!$B$2:$B$9997,D4752,Calendar!$C$2:$C$9997,C4752)*INDEX(ForeCalc!$B$37:$Y$274,MATCH(_xlfn.CONCAT(H4752," ",I4752),ForeCalc!$A$37:$A$274,0),MATCH(_xlfn.CONCAT(B4752," ",E4752),ForeCalc!$B$36:$Y$36,0))))*VLOOKUP(A4752,Calendar!$A$2:$H$9997,8,FALSE),0)</f>
        <v/>
      </c>
      <c r="G4752" s="29">
        <f>VLOOKUP(A4752,Calendar!$A$1:$H$9997,6,FALSE)-F4752</f>
        <v/>
      </c>
      <c r="H4752" s="19" t="n">
        <v>2</v>
      </c>
      <c r="I4752" s="57" t="n">
        <v>1</v>
      </c>
    </row>
    <row r="4753">
      <c r="A4753" s="62" t="n">
        <v>46480</v>
      </c>
      <c r="B4753" s="3" t="inlineStr">
        <is>
          <t>Sat</t>
        </is>
      </c>
      <c r="C4753" s="19" t="n">
        <v>4</v>
      </c>
      <c r="D4753" s="19" t="n">
        <v>2027</v>
      </c>
      <c r="E4753" s="57" t="n">
        <v>5</v>
      </c>
      <c r="F4753" s="29">
        <f>ROUND(((SUMIFS(Calendar!$F$2:$F$9997,Calendar!$B$2:$B$9997,D4753,Calendar!$C$2:$C$9997,C4753)*INDEX(ForeCalc!$B$37:$Y$274,MATCH(_xlfn.CONCAT(H4753," ",I4753),ForeCalc!$A$37:$A$274,0),MATCH(_xlfn.CONCAT(B4753," ",E4753),ForeCalc!$B$36:$Y$36,0))))*VLOOKUP(A4753,Calendar!$A$2:$H$9997,8,FALSE),0)</f>
        <v/>
      </c>
      <c r="G4753" s="29">
        <f>VLOOKUP(A4753,Calendar!$A$1:$H$9997,6,FALSE)-F4753</f>
        <v/>
      </c>
      <c r="H4753" s="19" t="n">
        <v>2</v>
      </c>
      <c r="I4753" s="57" t="n">
        <v>1</v>
      </c>
    </row>
    <row r="4754">
      <c r="A4754" s="62" t="n">
        <v>46481</v>
      </c>
      <c r="B4754" s="3" t="inlineStr">
        <is>
          <t>Sun</t>
        </is>
      </c>
      <c r="C4754" s="19" t="n">
        <v>4</v>
      </c>
      <c r="D4754" s="19" t="n">
        <v>2027</v>
      </c>
      <c r="E4754" s="57" t="n">
        <v>5</v>
      </c>
      <c r="F4754" s="29">
        <f>ROUND(((SUMIFS(Calendar!$F$2:$F$9997,Calendar!$B$2:$B$9997,D4754,Calendar!$C$2:$C$9997,C4754)*INDEX(ForeCalc!$B$37:$Y$274,MATCH(_xlfn.CONCAT(H4754," ",I4754),ForeCalc!$A$37:$A$274,0),MATCH(_xlfn.CONCAT(B4754," ",E4754),ForeCalc!$B$36:$Y$36,0))))*VLOOKUP(A4754,Calendar!$A$2:$H$9997,8,FALSE),0)</f>
        <v/>
      </c>
      <c r="G4754" s="29">
        <f>VLOOKUP(A4754,Calendar!$A$1:$H$9997,6,FALSE)-F4754</f>
        <v/>
      </c>
      <c r="H4754" s="19" t="n">
        <v>2</v>
      </c>
      <c r="I4754" s="57" t="n">
        <v>1</v>
      </c>
    </row>
    <row r="4755">
      <c r="A4755" s="62" t="n">
        <v>46482</v>
      </c>
      <c r="B4755" s="3" t="inlineStr">
        <is>
          <t>Week</t>
        </is>
      </c>
      <c r="C4755" s="19" t="n">
        <v>4</v>
      </c>
      <c r="D4755" s="19" t="n">
        <v>2027</v>
      </c>
      <c r="E4755" s="57" t="n">
        <v>5</v>
      </c>
      <c r="F4755" s="29">
        <f>ROUND(((SUMIFS(Calendar!$F$2:$F$9997,Calendar!$B$2:$B$9997,D4755,Calendar!$C$2:$C$9997,C4755)*INDEX(ForeCalc!$B$37:$Y$274,MATCH(_xlfn.CONCAT(H4755," ",I4755),ForeCalc!$A$37:$A$274,0),MATCH(_xlfn.CONCAT(B4755," ",E4755),ForeCalc!$B$36:$Y$36,0))))*VLOOKUP(A4755,Calendar!$A$2:$H$9997,8,FALSE),0)</f>
        <v/>
      </c>
      <c r="G4755" s="29">
        <f>VLOOKUP(A4755,Calendar!$A$1:$H$9997,6,FALSE)-F4755</f>
        <v/>
      </c>
      <c r="H4755" s="19" t="n">
        <v>2</v>
      </c>
      <c r="I4755" s="57" t="n">
        <v>1</v>
      </c>
    </row>
    <row r="4756">
      <c r="A4756" s="62" t="n">
        <v>46483</v>
      </c>
      <c r="B4756" s="3" t="inlineStr">
        <is>
          <t>Week</t>
        </is>
      </c>
      <c r="C4756" s="19" t="n">
        <v>4</v>
      </c>
      <c r="D4756" s="19" t="n">
        <v>2027</v>
      </c>
      <c r="E4756" s="57" t="n">
        <v>5</v>
      </c>
      <c r="F4756" s="29">
        <f>ROUND(((SUMIFS(Calendar!$F$2:$F$9997,Calendar!$B$2:$B$9997,D4756,Calendar!$C$2:$C$9997,C4756)*INDEX(ForeCalc!$B$37:$Y$274,MATCH(_xlfn.CONCAT(H4756," ",I4756),ForeCalc!$A$37:$A$274,0),MATCH(_xlfn.CONCAT(B4756," ",E4756),ForeCalc!$B$36:$Y$36,0))))*VLOOKUP(A4756,Calendar!$A$2:$H$9997,8,FALSE),0)</f>
        <v/>
      </c>
      <c r="G4756" s="29">
        <f>VLOOKUP(A4756,Calendar!$A$1:$H$9997,6,FALSE)-F4756</f>
        <v/>
      </c>
      <c r="H4756" s="19" t="n">
        <v>2</v>
      </c>
      <c r="I4756" s="57" t="n">
        <v>1</v>
      </c>
    </row>
    <row r="4757">
      <c r="A4757" s="62" t="n">
        <v>46484</v>
      </c>
      <c r="B4757" s="3" t="inlineStr">
        <is>
          <t>Week</t>
        </is>
      </c>
      <c r="C4757" s="19" t="n">
        <v>4</v>
      </c>
      <c r="D4757" s="19" t="n">
        <v>2027</v>
      </c>
      <c r="E4757" s="57" t="n">
        <v>5</v>
      </c>
      <c r="F4757" s="29">
        <f>ROUND(((SUMIFS(Calendar!$F$2:$F$9997,Calendar!$B$2:$B$9997,D4757,Calendar!$C$2:$C$9997,C4757)*INDEX(ForeCalc!$B$37:$Y$274,MATCH(_xlfn.CONCAT(H4757," ",I4757),ForeCalc!$A$37:$A$274,0),MATCH(_xlfn.CONCAT(B4757," ",E4757),ForeCalc!$B$36:$Y$36,0))))*VLOOKUP(A4757,Calendar!$A$2:$H$9997,8,FALSE),0)</f>
        <v/>
      </c>
      <c r="G4757" s="29">
        <f>VLOOKUP(A4757,Calendar!$A$1:$H$9997,6,FALSE)-F4757</f>
        <v/>
      </c>
      <c r="H4757" s="19" t="n">
        <v>2</v>
      </c>
      <c r="I4757" s="57" t="n">
        <v>1</v>
      </c>
    </row>
    <row r="4758">
      <c r="A4758" s="62" t="n">
        <v>46485</v>
      </c>
      <c r="B4758" s="3" t="inlineStr">
        <is>
          <t>Week</t>
        </is>
      </c>
      <c r="C4758" s="19" t="n">
        <v>4</v>
      </c>
      <c r="D4758" s="19" t="n">
        <v>2027</v>
      </c>
      <c r="E4758" s="57" t="n">
        <v>5</v>
      </c>
      <c r="F4758" s="29">
        <f>ROUND(((SUMIFS(Calendar!$F$2:$F$9997,Calendar!$B$2:$B$9997,D4758,Calendar!$C$2:$C$9997,C4758)*INDEX(ForeCalc!$B$37:$Y$274,MATCH(_xlfn.CONCAT(H4758," ",I4758),ForeCalc!$A$37:$A$274,0),MATCH(_xlfn.CONCAT(B4758," ",E4758),ForeCalc!$B$36:$Y$36,0))))*VLOOKUP(A4758,Calendar!$A$2:$H$9997,8,FALSE),0)</f>
        <v/>
      </c>
      <c r="G4758" s="29">
        <f>VLOOKUP(A4758,Calendar!$A$1:$H$9997,6,FALSE)-F4758</f>
        <v/>
      </c>
      <c r="H4758" s="19" t="n">
        <v>2</v>
      </c>
      <c r="I4758" s="57" t="n">
        <v>1</v>
      </c>
    </row>
    <row r="4759">
      <c r="A4759" s="62" t="n">
        <v>46486</v>
      </c>
      <c r="B4759" s="3" t="inlineStr">
        <is>
          <t>Week</t>
        </is>
      </c>
      <c r="C4759" s="19" t="n">
        <v>4</v>
      </c>
      <c r="D4759" s="19" t="n">
        <v>2027</v>
      </c>
      <c r="E4759" s="57" t="n">
        <v>5</v>
      </c>
      <c r="F4759" s="29">
        <f>ROUND(((SUMIFS(Calendar!$F$2:$F$9997,Calendar!$B$2:$B$9997,D4759,Calendar!$C$2:$C$9997,C4759)*INDEX(ForeCalc!$B$37:$Y$274,MATCH(_xlfn.CONCAT(H4759," ",I4759),ForeCalc!$A$37:$A$274,0),MATCH(_xlfn.CONCAT(B4759," ",E4759),ForeCalc!$B$36:$Y$36,0))))*VLOOKUP(A4759,Calendar!$A$2:$H$9997,8,FALSE),0)</f>
        <v/>
      </c>
      <c r="G4759" s="29">
        <f>VLOOKUP(A4759,Calendar!$A$1:$H$9997,6,FALSE)-F4759</f>
        <v/>
      </c>
      <c r="H4759" s="19" t="n">
        <v>2</v>
      </c>
      <c r="I4759" s="57" t="n">
        <v>1</v>
      </c>
    </row>
    <row r="4760">
      <c r="A4760" s="62" t="n">
        <v>46487</v>
      </c>
      <c r="B4760" s="3" t="inlineStr">
        <is>
          <t>Sat</t>
        </is>
      </c>
      <c r="C4760" s="19" t="n">
        <v>4</v>
      </c>
      <c r="D4760" s="19" t="n">
        <v>2027</v>
      </c>
      <c r="E4760" s="57" t="n">
        <v>5</v>
      </c>
      <c r="F4760" s="29">
        <f>ROUND(((SUMIFS(Calendar!$F$2:$F$9997,Calendar!$B$2:$B$9997,D4760,Calendar!$C$2:$C$9997,C4760)*INDEX(ForeCalc!$B$37:$Y$274,MATCH(_xlfn.CONCAT(H4760," ",I4760),ForeCalc!$A$37:$A$274,0),MATCH(_xlfn.CONCAT(B4760," ",E4760),ForeCalc!$B$36:$Y$36,0))))*VLOOKUP(A4760,Calendar!$A$2:$H$9997,8,FALSE),0)</f>
        <v/>
      </c>
      <c r="G4760" s="29">
        <f>VLOOKUP(A4760,Calendar!$A$1:$H$9997,6,FALSE)-F4760</f>
        <v/>
      </c>
      <c r="H4760" s="19" t="n">
        <v>2</v>
      </c>
      <c r="I4760" s="57" t="n">
        <v>1</v>
      </c>
    </row>
    <row r="4761">
      <c r="A4761" s="62" t="n">
        <v>46488</v>
      </c>
      <c r="B4761" s="3" t="inlineStr">
        <is>
          <t>Sun</t>
        </is>
      </c>
      <c r="C4761" s="19" t="n">
        <v>4</v>
      </c>
      <c r="D4761" s="19" t="n">
        <v>2027</v>
      </c>
      <c r="E4761" s="57" t="n">
        <v>5</v>
      </c>
      <c r="F4761" s="29">
        <f>ROUND(((SUMIFS(Calendar!$F$2:$F$9997,Calendar!$B$2:$B$9997,D4761,Calendar!$C$2:$C$9997,C4761)*INDEX(ForeCalc!$B$37:$Y$274,MATCH(_xlfn.CONCAT(H4761," ",I4761),ForeCalc!$A$37:$A$274,0),MATCH(_xlfn.CONCAT(B4761," ",E4761),ForeCalc!$B$36:$Y$36,0))))*VLOOKUP(A4761,Calendar!$A$2:$H$9997,8,FALSE),0)</f>
        <v/>
      </c>
      <c r="G4761" s="29">
        <f>VLOOKUP(A4761,Calendar!$A$1:$H$9997,6,FALSE)-F4761</f>
        <v/>
      </c>
      <c r="H4761" s="19" t="n">
        <v>2</v>
      </c>
      <c r="I4761" s="57" t="n">
        <v>1</v>
      </c>
    </row>
    <row r="4762">
      <c r="A4762" s="62" t="n">
        <v>46489</v>
      </c>
      <c r="B4762" s="3" t="inlineStr">
        <is>
          <t>Week</t>
        </is>
      </c>
      <c r="C4762" s="19" t="n">
        <v>4</v>
      </c>
      <c r="D4762" s="19" t="n">
        <v>2027</v>
      </c>
      <c r="E4762" s="57" t="n">
        <v>5</v>
      </c>
      <c r="F4762" s="29">
        <f>ROUND(((SUMIFS(Calendar!$F$2:$F$9997,Calendar!$B$2:$B$9997,D4762,Calendar!$C$2:$C$9997,C4762)*INDEX(ForeCalc!$B$37:$Y$274,MATCH(_xlfn.CONCAT(H4762," ",I4762),ForeCalc!$A$37:$A$274,0),MATCH(_xlfn.CONCAT(B4762," ",E4762),ForeCalc!$B$36:$Y$36,0))))*VLOOKUP(A4762,Calendar!$A$2:$H$9997,8,FALSE),0)</f>
        <v/>
      </c>
      <c r="G4762" s="29">
        <f>VLOOKUP(A4762,Calendar!$A$1:$H$9997,6,FALSE)-F4762</f>
        <v/>
      </c>
      <c r="H4762" s="19" t="n">
        <v>2</v>
      </c>
      <c r="I4762" s="57" t="n">
        <v>1</v>
      </c>
    </row>
    <row r="4763">
      <c r="A4763" s="62" t="n">
        <v>46490</v>
      </c>
      <c r="B4763" s="3" t="inlineStr">
        <is>
          <t>Week</t>
        </is>
      </c>
      <c r="C4763" s="19" t="n">
        <v>4</v>
      </c>
      <c r="D4763" s="19" t="n">
        <v>2027</v>
      </c>
      <c r="E4763" s="57" t="n">
        <v>5</v>
      </c>
      <c r="F4763" s="29">
        <f>ROUND(((SUMIFS(Calendar!$F$2:$F$9997,Calendar!$B$2:$B$9997,D4763,Calendar!$C$2:$C$9997,C4763)*INDEX(ForeCalc!$B$37:$Y$274,MATCH(_xlfn.CONCAT(H4763," ",I4763),ForeCalc!$A$37:$A$274,0),MATCH(_xlfn.CONCAT(B4763," ",E4763),ForeCalc!$B$36:$Y$36,0))))*VLOOKUP(A4763,Calendar!$A$2:$H$9997,8,FALSE),0)</f>
        <v/>
      </c>
      <c r="G4763" s="29">
        <f>VLOOKUP(A4763,Calendar!$A$1:$H$9997,6,FALSE)-F4763</f>
        <v/>
      </c>
      <c r="H4763" s="19" t="n">
        <v>2</v>
      </c>
      <c r="I4763" s="57" t="n">
        <v>1</v>
      </c>
    </row>
    <row r="4764">
      <c r="A4764" s="62" t="n">
        <v>46491</v>
      </c>
      <c r="B4764" s="3" t="inlineStr">
        <is>
          <t>Week</t>
        </is>
      </c>
      <c r="C4764" s="19" t="n">
        <v>4</v>
      </c>
      <c r="D4764" s="19" t="n">
        <v>2027</v>
      </c>
      <c r="E4764" s="57" t="n">
        <v>5</v>
      </c>
      <c r="F4764" s="29">
        <f>ROUND(((SUMIFS(Calendar!$F$2:$F$9997,Calendar!$B$2:$B$9997,D4764,Calendar!$C$2:$C$9997,C4764)*INDEX(ForeCalc!$B$37:$Y$274,MATCH(_xlfn.CONCAT(H4764," ",I4764),ForeCalc!$A$37:$A$274,0),MATCH(_xlfn.CONCAT(B4764," ",E4764),ForeCalc!$B$36:$Y$36,0))))*VLOOKUP(A4764,Calendar!$A$2:$H$9997,8,FALSE),0)</f>
        <v/>
      </c>
      <c r="G4764" s="29">
        <f>VLOOKUP(A4764,Calendar!$A$1:$H$9997,6,FALSE)-F4764</f>
        <v/>
      </c>
      <c r="H4764" s="19" t="n">
        <v>2</v>
      </c>
      <c r="I4764" s="57" t="n">
        <v>1</v>
      </c>
    </row>
    <row r="4765">
      <c r="A4765" s="62" t="n">
        <v>46492</v>
      </c>
      <c r="B4765" s="3" t="inlineStr">
        <is>
          <t>Week</t>
        </is>
      </c>
      <c r="C4765" s="19" t="n">
        <v>4</v>
      </c>
      <c r="D4765" s="19" t="n">
        <v>2027</v>
      </c>
      <c r="E4765" s="57" t="n">
        <v>5</v>
      </c>
      <c r="F4765" s="29">
        <f>ROUND(((SUMIFS(Calendar!$F$2:$F$9997,Calendar!$B$2:$B$9997,D4765,Calendar!$C$2:$C$9997,C4765)*INDEX(ForeCalc!$B$37:$Y$274,MATCH(_xlfn.CONCAT(H4765," ",I4765),ForeCalc!$A$37:$A$274,0),MATCH(_xlfn.CONCAT(B4765," ",E4765),ForeCalc!$B$36:$Y$36,0))))*VLOOKUP(A4765,Calendar!$A$2:$H$9997,8,FALSE),0)</f>
        <v/>
      </c>
      <c r="G4765" s="29">
        <f>VLOOKUP(A4765,Calendar!$A$1:$H$9997,6,FALSE)-F4765</f>
        <v/>
      </c>
      <c r="H4765" s="19" t="n">
        <v>2</v>
      </c>
      <c r="I4765" s="57" t="n">
        <v>1</v>
      </c>
    </row>
    <row r="4766">
      <c r="A4766" s="62" t="n">
        <v>46493</v>
      </c>
      <c r="B4766" s="3" t="inlineStr">
        <is>
          <t>Week</t>
        </is>
      </c>
      <c r="C4766" s="19" t="n">
        <v>4</v>
      </c>
      <c r="D4766" s="19" t="n">
        <v>2027</v>
      </c>
      <c r="E4766" s="57" t="n">
        <v>5</v>
      </c>
      <c r="F4766" s="29">
        <f>ROUND(((SUMIFS(Calendar!$F$2:$F$9997,Calendar!$B$2:$B$9997,D4766,Calendar!$C$2:$C$9997,C4766)*INDEX(ForeCalc!$B$37:$Y$274,MATCH(_xlfn.CONCAT(H4766," ",I4766),ForeCalc!$A$37:$A$274,0),MATCH(_xlfn.CONCAT(B4766," ",E4766),ForeCalc!$B$36:$Y$36,0))))*VLOOKUP(A4766,Calendar!$A$2:$H$9997,8,FALSE),0)</f>
        <v/>
      </c>
      <c r="G4766" s="29">
        <f>VLOOKUP(A4766,Calendar!$A$1:$H$9997,6,FALSE)-F4766</f>
        <v/>
      </c>
      <c r="H4766" s="19" t="n">
        <v>2</v>
      </c>
      <c r="I4766" s="57" t="n">
        <v>1</v>
      </c>
    </row>
    <row r="4767">
      <c r="A4767" s="62" t="n">
        <v>46494</v>
      </c>
      <c r="B4767" s="3" t="inlineStr">
        <is>
          <t>Sat</t>
        </is>
      </c>
      <c r="C4767" s="19" t="n">
        <v>4</v>
      </c>
      <c r="D4767" s="19" t="n">
        <v>2027</v>
      </c>
      <c r="E4767" s="57" t="n">
        <v>5</v>
      </c>
      <c r="F4767" s="29">
        <f>ROUND(((SUMIFS(Calendar!$F$2:$F$9997,Calendar!$B$2:$B$9997,D4767,Calendar!$C$2:$C$9997,C4767)*INDEX(ForeCalc!$B$37:$Y$274,MATCH(_xlfn.CONCAT(H4767," ",I4767),ForeCalc!$A$37:$A$274,0),MATCH(_xlfn.CONCAT(B4767," ",E4767),ForeCalc!$B$36:$Y$36,0))))*VLOOKUP(A4767,Calendar!$A$2:$H$9997,8,FALSE),0)</f>
        <v/>
      </c>
      <c r="G4767" s="29">
        <f>VLOOKUP(A4767,Calendar!$A$1:$H$9997,6,FALSE)-F4767</f>
        <v/>
      </c>
      <c r="H4767" s="19" t="n">
        <v>2</v>
      </c>
      <c r="I4767" s="57" t="n">
        <v>1</v>
      </c>
    </row>
    <row r="4768">
      <c r="A4768" s="62" t="n">
        <v>46495</v>
      </c>
      <c r="B4768" s="3" t="inlineStr">
        <is>
          <t>Sun</t>
        </is>
      </c>
      <c r="C4768" s="19" t="n">
        <v>4</v>
      </c>
      <c r="D4768" s="19" t="n">
        <v>2027</v>
      </c>
      <c r="E4768" s="57" t="n">
        <v>5</v>
      </c>
      <c r="F4768" s="29">
        <f>ROUND(((SUMIFS(Calendar!$F$2:$F$9997,Calendar!$B$2:$B$9997,D4768,Calendar!$C$2:$C$9997,C4768)*INDEX(ForeCalc!$B$37:$Y$274,MATCH(_xlfn.CONCAT(H4768," ",I4768),ForeCalc!$A$37:$A$274,0),MATCH(_xlfn.CONCAT(B4768," ",E4768),ForeCalc!$B$36:$Y$36,0))))*VLOOKUP(A4768,Calendar!$A$2:$H$9997,8,FALSE),0)</f>
        <v/>
      </c>
      <c r="G4768" s="29">
        <f>VLOOKUP(A4768,Calendar!$A$1:$H$9997,6,FALSE)-F4768</f>
        <v/>
      </c>
      <c r="H4768" s="19" t="n">
        <v>2</v>
      </c>
      <c r="I4768" s="57" t="n">
        <v>1</v>
      </c>
    </row>
    <row r="4769">
      <c r="A4769" s="62" t="n">
        <v>46496</v>
      </c>
      <c r="B4769" s="3" t="inlineStr">
        <is>
          <t>Week</t>
        </is>
      </c>
      <c r="C4769" s="19" t="n">
        <v>4</v>
      </c>
      <c r="D4769" s="19" t="n">
        <v>2027</v>
      </c>
      <c r="E4769" s="57" t="n">
        <v>5</v>
      </c>
      <c r="F4769" s="29">
        <f>ROUND(((SUMIFS(Calendar!$F$2:$F$9997,Calendar!$B$2:$B$9997,D4769,Calendar!$C$2:$C$9997,C4769)*INDEX(ForeCalc!$B$37:$Y$274,MATCH(_xlfn.CONCAT(H4769," ",I4769),ForeCalc!$A$37:$A$274,0),MATCH(_xlfn.CONCAT(B4769," ",E4769),ForeCalc!$B$36:$Y$36,0))))*VLOOKUP(A4769,Calendar!$A$2:$H$9997,8,FALSE),0)</f>
        <v/>
      </c>
      <c r="G4769" s="29">
        <f>VLOOKUP(A4769,Calendar!$A$1:$H$9997,6,FALSE)-F4769</f>
        <v/>
      </c>
      <c r="H4769" s="19" t="n">
        <v>2</v>
      </c>
      <c r="I4769" s="57" t="n">
        <v>1</v>
      </c>
    </row>
    <row r="4770">
      <c r="A4770" s="62" t="n">
        <v>46497</v>
      </c>
      <c r="B4770" s="3" t="inlineStr">
        <is>
          <t>Week</t>
        </is>
      </c>
      <c r="C4770" s="19" t="n">
        <v>4</v>
      </c>
      <c r="D4770" s="19" t="n">
        <v>2027</v>
      </c>
      <c r="E4770" s="57" t="n">
        <v>5</v>
      </c>
      <c r="F4770" s="29">
        <f>ROUND(((SUMIFS(Calendar!$F$2:$F$9997,Calendar!$B$2:$B$9997,D4770,Calendar!$C$2:$C$9997,C4770)*INDEX(ForeCalc!$B$37:$Y$274,MATCH(_xlfn.CONCAT(H4770," ",I4770),ForeCalc!$A$37:$A$274,0),MATCH(_xlfn.CONCAT(B4770," ",E4770),ForeCalc!$B$36:$Y$36,0))))*VLOOKUP(A4770,Calendar!$A$2:$H$9997,8,FALSE),0)</f>
        <v/>
      </c>
      <c r="G4770" s="29">
        <f>VLOOKUP(A4770,Calendar!$A$1:$H$9997,6,FALSE)-F4770</f>
        <v/>
      </c>
      <c r="H4770" s="19" t="n">
        <v>2</v>
      </c>
      <c r="I4770" s="57" t="n">
        <v>1</v>
      </c>
    </row>
    <row r="4771">
      <c r="A4771" s="62" t="n">
        <v>46498</v>
      </c>
      <c r="B4771" s="3" t="inlineStr">
        <is>
          <t>Week</t>
        </is>
      </c>
      <c r="C4771" s="19" t="n">
        <v>4</v>
      </c>
      <c r="D4771" s="19" t="n">
        <v>2027</v>
      </c>
      <c r="E4771" s="57" t="n">
        <v>5</v>
      </c>
      <c r="F4771" s="29">
        <f>ROUND(((SUMIFS(Calendar!$F$2:$F$9997,Calendar!$B$2:$B$9997,D4771,Calendar!$C$2:$C$9997,C4771)*INDEX(ForeCalc!$B$37:$Y$274,MATCH(_xlfn.CONCAT(H4771," ",I4771),ForeCalc!$A$37:$A$274,0),MATCH(_xlfn.CONCAT(B4771," ",E4771),ForeCalc!$B$36:$Y$36,0))))*VLOOKUP(A4771,Calendar!$A$2:$H$9997,8,FALSE),0)</f>
        <v/>
      </c>
      <c r="G4771" s="29">
        <f>VLOOKUP(A4771,Calendar!$A$1:$H$9997,6,FALSE)-F4771</f>
        <v/>
      </c>
      <c r="H4771" s="19" t="n">
        <v>2</v>
      </c>
      <c r="I4771" s="57" t="n">
        <v>1</v>
      </c>
    </row>
    <row r="4772">
      <c r="A4772" s="62" t="n">
        <v>46499</v>
      </c>
      <c r="B4772" s="3" t="inlineStr">
        <is>
          <t>Week</t>
        </is>
      </c>
      <c r="C4772" s="19" t="n">
        <v>4</v>
      </c>
      <c r="D4772" s="19" t="n">
        <v>2027</v>
      </c>
      <c r="E4772" s="57" t="n">
        <v>5</v>
      </c>
      <c r="F4772" s="29">
        <f>ROUND(((SUMIFS(Calendar!$F$2:$F$9997,Calendar!$B$2:$B$9997,D4772,Calendar!$C$2:$C$9997,C4772)*INDEX(ForeCalc!$B$37:$Y$274,MATCH(_xlfn.CONCAT(H4772," ",I4772),ForeCalc!$A$37:$A$274,0),MATCH(_xlfn.CONCAT(B4772," ",E4772),ForeCalc!$B$36:$Y$36,0))))*VLOOKUP(A4772,Calendar!$A$2:$H$9997,8,FALSE),0)</f>
        <v/>
      </c>
      <c r="G4772" s="29">
        <f>VLOOKUP(A4772,Calendar!$A$1:$H$9997,6,FALSE)-F4772</f>
        <v/>
      </c>
      <c r="H4772" s="19" t="n">
        <v>2</v>
      </c>
      <c r="I4772" s="57" t="n">
        <v>1</v>
      </c>
    </row>
    <row r="4773">
      <c r="A4773" s="62" t="n">
        <v>46500</v>
      </c>
      <c r="B4773" s="3" t="inlineStr">
        <is>
          <t>Week</t>
        </is>
      </c>
      <c r="C4773" s="19" t="n">
        <v>4</v>
      </c>
      <c r="D4773" s="19" t="n">
        <v>2027</v>
      </c>
      <c r="E4773" s="57" t="n">
        <v>5</v>
      </c>
      <c r="F4773" s="29">
        <f>ROUND(((SUMIFS(Calendar!$F$2:$F$9997,Calendar!$B$2:$B$9997,D4773,Calendar!$C$2:$C$9997,C4773)*INDEX(ForeCalc!$B$37:$Y$274,MATCH(_xlfn.CONCAT(H4773," ",I4773),ForeCalc!$A$37:$A$274,0),MATCH(_xlfn.CONCAT(B4773," ",E4773),ForeCalc!$B$36:$Y$36,0))))*VLOOKUP(A4773,Calendar!$A$2:$H$9997,8,FALSE),0)</f>
        <v/>
      </c>
      <c r="G4773" s="29">
        <f>VLOOKUP(A4773,Calendar!$A$1:$H$9997,6,FALSE)-F4773</f>
        <v/>
      </c>
      <c r="H4773" s="19" t="n">
        <v>2</v>
      </c>
      <c r="I4773" s="57" t="n">
        <v>1</v>
      </c>
    </row>
    <row r="4774">
      <c r="A4774" s="62" t="n">
        <v>46501</v>
      </c>
      <c r="B4774" s="3" t="inlineStr">
        <is>
          <t>Sat</t>
        </is>
      </c>
      <c r="C4774" s="19" t="n">
        <v>4</v>
      </c>
      <c r="D4774" s="19" t="n">
        <v>2027</v>
      </c>
      <c r="E4774" s="57" t="n">
        <v>5</v>
      </c>
      <c r="F4774" s="29">
        <f>ROUND(((SUMIFS(Calendar!$F$2:$F$9997,Calendar!$B$2:$B$9997,D4774,Calendar!$C$2:$C$9997,C4774)*INDEX(ForeCalc!$B$37:$Y$274,MATCH(_xlfn.CONCAT(H4774," ",I4774),ForeCalc!$A$37:$A$274,0),MATCH(_xlfn.CONCAT(B4774," ",E4774),ForeCalc!$B$36:$Y$36,0))))*VLOOKUP(A4774,Calendar!$A$2:$H$9997,8,FALSE),0)</f>
        <v/>
      </c>
      <c r="G4774" s="29">
        <f>VLOOKUP(A4774,Calendar!$A$1:$H$9997,6,FALSE)-F4774</f>
        <v/>
      </c>
      <c r="H4774" s="19" t="n">
        <v>2</v>
      </c>
      <c r="I4774" s="57" t="n">
        <v>1</v>
      </c>
    </row>
    <row r="4775">
      <c r="A4775" s="62" t="n">
        <v>46502</v>
      </c>
      <c r="B4775" s="3" t="inlineStr">
        <is>
          <t>Sun</t>
        </is>
      </c>
      <c r="C4775" s="19" t="n">
        <v>4</v>
      </c>
      <c r="D4775" s="19" t="n">
        <v>2027</v>
      </c>
      <c r="E4775" s="57" t="n">
        <v>5</v>
      </c>
      <c r="F4775" s="29">
        <f>ROUND(((SUMIFS(Calendar!$F$2:$F$9997,Calendar!$B$2:$B$9997,D4775,Calendar!$C$2:$C$9997,C4775)*INDEX(ForeCalc!$B$37:$Y$274,MATCH(_xlfn.CONCAT(H4775," ",I4775),ForeCalc!$A$37:$A$274,0),MATCH(_xlfn.CONCAT(B4775," ",E4775),ForeCalc!$B$36:$Y$36,0))))*VLOOKUP(A4775,Calendar!$A$2:$H$9997,8,FALSE),0)</f>
        <v/>
      </c>
      <c r="G4775" s="29">
        <f>VLOOKUP(A4775,Calendar!$A$1:$H$9997,6,FALSE)-F4775</f>
        <v/>
      </c>
      <c r="H4775" s="19" t="n">
        <v>2</v>
      </c>
      <c r="I4775" s="57" t="n">
        <v>1</v>
      </c>
    </row>
    <row r="4776">
      <c r="A4776" s="62" t="n">
        <v>46503</v>
      </c>
      <c r="B4776" s="3" t="inlineStr">
        <is>
          <t>Week</t>
        </is>
      </c>
      <c r="C4776" s="19" t="n">
        <v>4</v>
      </c>
      <c r="D4776" s="19" t="n">
        <v>2027</v>
      </c>
      <c r="E4776" s="57" t="n">
        <v>5</v>
      </c>
      <c r="F4776" s="29">
        <f>ROUND(((SUMIFS(Calendar!$F$2:$F$9997,Calendar!$B$2:$B$9997,D4776,Calendar!$C$2:$C$9997,C4776)*INDEX(ForeCalc!$B$37:$Y$274,MATCH(_xlfn.CONCAT(H4776," ",I4776),ForeCalc!$A$37:$A$274,0),MATCH(_xlfn.CONCAT(B4776," ",E4776),ForeCalc!$B$36:$Y$36,0))))*VLOOKUP(A4776,Calendar!$A$2:$H$9997,8,FALSE),0)</f>
        <v/>
      </c>
      <c r="G4776" s="29">
        <f>VLOOKUP(A4776,Calendar!$A$1:$H$9997,6,FALSE)-F4776</f>
        <v/>
      </c>
      <c r="H4776" s="19" t="n">
        <v>2</v>
      </c>
      <c r="I4776" s="57" t="n">
        <v>1</v>
      </c>
    </row>
    <row r="4777">
      <c r="A4777" s="62" t="n">
        <v>46504</v>
      </c>
      <c r="B4777" s="3" t="inlineStr">
        <is>
          <t>Week</t>
        </is>
      </c>
      <c r="C4777" s="19" t="n">
        <v>4</v>
      </c>
      <c r="D4777" s="19" t="n">
        <v>2027</v>
      </c>
      <c r="E4777" s="57" t="n">
        <v>5</v>
      </c>
      <c r="F4777" s="29">
        <f>ROUND(((SUMIFS(Calendar!$F$2:$F$9997,Calendar!$B$2:$B$9997,D4777,Calendar!$C$2:$C$9997,C4777)*INDEX(ForeCalc!$B$37:$Y$274,MATCH(_xlfn.CONCAT(H4777," ",I4777),ForeCalc!$A$37:$A$274,0),MATCH(_xlfn.CONCAT(B4777," ",E4777),ForeCalc!$B$36:$Y$36,0))))*VLOOKUP(A4777,Calendar!$A$2:$H$9997,8,FALSE),0)</f>
        <v/>
      </c>
      <c r="G4777" s="29">
        <f>VLOOKUP(A4777,Calendar!$A$1:$H$9997,6,FALSE)-F4777</f>
        <v/>
      </c>
      <c r="H4777" s="19" t="n">
        <v>2</v>
      </c>
      <c r="I4777" s="57" t="n">
        <v>1</v>
      </c>
    </row>
    <row r="4778">
      <c r="A4778" s="62" t="n">
        <v>46505</v>
      </c>
      <c r="B4778" s="3" t="inlineStr">
        <is>
          <t>Week</t>
        </is>
      </c>
      <c r="C4778" s="19" t="n">
        <v>4</v>
      </c>
      <c r="D4778" s="19" t="n">
        <v>2027</v>
      </c>
      <c r="E4778" s="57" t="n">
        <v>5</v>
      </c>
      <c r="F4778" s="29">
        <f>ROUND(((SUMIFS(Calendar!$F$2:$F$9997,Calendar!$B$2:$B$9997,D4778,Calendar!$C$2:$C$9997,C4778)*INDEX(ForeCalc!$B$37:$Y$274,MATCH(_xlfn.CONCAT(H4778," ",I4778),ForeCalc!$A$37:$A$274,0),MATCH(_xlfn.CONCAT(B4778," ",E4778),ForeCalc!$B$36:$Y$36,0))))*VLOOKUP(A4778,Calendar!$A$2:$H$9997,8,FALSE),0)</f>
        <v/>
      </c>
      <c r="G4778" s="29">
        <f>VLOOKUP(A4778,Calendar!$A$1:$H$9997,6,FALSE)-F4778</f>
        <v/>
      </c>
      <c r="H4778" s="19" t="n">
        <v>2</v>
      </c>
      <c r="I4778" s="57" t="n">
        <v>1</v>
      </c>
    </row>
    <row r="4779">
      <c r="A4779" s="62" t="n">
        <v>46506</v>
      </c>
      <c r="B4779" s="3" t="inlineStr">
        <is>
          <t>Week</t>
        </is>
      </c>
      <c r="C4779" s="19" t="n">
        <v>4</v>
      </c>
      <c r="D4779" s="19" t="n">
        <v>2027</v>
      </c>
      <c r="E4779" s="57" t="n">
        <v>5</v>
      </c>
      <c r="F4779" s="29">
        <f>ROUND(((SUMIFS(Calendar!$F$2:$F$9997,Calendar!$B$2:$B$9997,D4779,Calendar!$C$2:$C$9997,C4779)*INDEX(ForeCalc!$B$37:$Y$274,MATCH(_xlfn.CONCAT(H4779," ",I4779),ForeCalc!$A$37:$A$274,0),MATCH(_xlfn.CONCAT(B4779," ",E4779),ForeCalc!$B$36:$Y$36,0))))*VLOOKUP(A4779,Calendar!$A$2:$H$9997,8,FALSE),0)</f>
        <v/>
      </c>
      <c r="G4779" s="29">
        <f>VLOOKUP(A4779,Calendar!$A$1:$H$9997,6,FALSE)-F4779</f>
        <v/>
      </c>
      <c r="H4779" s="19" t="n">
        <v>2</v>
      </c>
      <c r="I4779" s="57" t="n">
        <v>1</v>
      </c>
    </row>
    <row r="4780">
      <c r="A4780" s="62" t="n">
        <v>46507</v>
      </c>
      <c r="B4780" s="3" t="inlineStr">
        <is>
          <t>Week</t>
        </is>
      </c>
      <c r="C4780" s="19" t="n">
        <v>4</v>
      </c>
      <c r="D4780" s="19" t="n">
        <v>2027</v>
      </c>
      <c r="E4780" s="57" t="n">
        <v>5</v>
      </c>
      <c r="F4780" s="29">
        <f>ROUND(((SUMIFS(Calendar!$F$2:$F$9997,Calendar!$B$2:$B$9997,D4780,Calendar!$C$2:$C$9997,C4780)*INDEX(ForeCalc!$B$37:$Y$274,MATCH(_xlfn.CONCAT(H4780," ",I4780),ForeCalc!$A$37:$A$274,0),MATCH(_xlfn.CONCAT(B4780," ",E4780),ForeCalc!$B$36:$Y$36,0))))*VLOOKUP(A4780,Calendar!$A$2:$H$9997,8,FALSE),0)</f>
        <v/>
      </c>
      <c r="G4780" s="29">
        <f>VLOOKUP(A4780,Calendar!$A$1:$H$9997,6,FALSE)-F4780</f>
        <v/>
      </c>
      <c r="H4780" s="19" t="n">
        <v>2</v>
      </c>
      <c r="I4780" s="57" t="n">
        <v>1</v>
      </c>
    </row>
    <row r="4781">
      <c r="A4781" s="62" t="n">
        <v>46508</v>
      </c>
      <c r="B4781" s="3" t="inlineStr">
        <is>
          <t>Sat</t>
        </is>
      </c>
      <c r="C4781" s="19" t="n">
        <v>5</v>
      </c>
      <c r="D4781" s="19" t="n">
        <v>2027</v>
      </c>
      <c r="E4781" s="57" t="n">
        <v>5</v>
      </c>
      <c r="F4781" s="29">
        <f>ROUND(((SUMIFS(Calendar!$F$2:$F$9997,Calendar!$B$2:$B$9997,D4781,Calendar!$C$2:$C$9997,C4781)*INDEX(ForeCalc!$B$37:$Y$274,MATCH(_xlfn.CONCAT(H4781," ",I4781),ForeCalc!$A$37:$A$274,0),MATCH(_xlfn.CONCAT(B4781," ",E4781),ForeCalc!$B$36:$Y$36,0))))*VLOOKUP(A4781,Calendar!$A$2:$H$9997,8,FALSE),0)</f>
        <v/>
      </c>
      <c r="G4781" s="29">
        <f>VLOOKUP(A4781,Calendar!$A$1:$H$9997,6,FALSE)-F4781</f>
        <v/>
      </c>
      <c r="H4781" s="19" t="n">
        <v>2</v>
      </c>
      <c r="I4781" s="57" t="n">
        <v>2</v>
      </c>
    </row>
    <row r="4782">
      <c r="A4782" s="62" t="n">
        <v>46509</v>
      </c>
      <c r="B4782" s="3" t="inlineStr">
        <is>
          <t>Sun</t>
        </is>
      </c>
      <c r="C4782" s="19" t="n">
        <v>5</v>
      </c>
      <c r="D4782" s="19" t="n">
        <v>2027</v>
      </c>
      <c r="E4782" s="57" t="n">
        <v>5</v>
      </c>
      <c r="F4782" s="29">
        <f>ROUND(((SUMIFS(Calendar!$F$2:$F$9997,Calendar!$B$2:$B$9997,D4782,Calendar!$C$2:$C$9997,C4782)*INDEX(ForeCalc!$B$37:$Y$274,MATCH(_xlfn.CONCAT(H4782," ",I4782),ForeCalc!$A$37:$A$274,0),MATCH(_xlfn.CONCAT(B4782," ",E4782),ForeCalc!$B$36:$Y$36,0))))*VLOOKUP(A4782,Calendar!$A$2:$H$9997,8,FALSE),0)</f>
        <v/>
      </c>
      <c r="G4782" s="29">
        <f>VLOOKUP(A4782,Calendar!$A$1:$H$9997,6,FALSE)-F4782</f>
        <v/>
      </c>
      <c r="H4782" s="19" t="n">
        <v>2</v>
      </c>
      <c r="I4782" s="57" t="n">
        <v>2</v>
      </c>
    </row>
    <row r="4783">
      <c r="A4783" s="62" t="n">
        <v>46510</v>
      </c>
      <c r="B4783" s="3" t="inlineStr">
        <is>
          <t>Week</t>
        </is>
      </c>
      <c r="C4783" s="19" t="n">
        <v>5</v>
      </c>
      <c r="D4783" s="19" t="n">
        <v>2027</v>
      </c>
      <c r="E4783" s="57" t="n">
        <v>5</v>
      </c>
      <c r="F4783" s="29">
        <f>ROUND(((SUMIFS(Calendar!$F$2:$F$9997,Calendar!$B$2:$B$9997,D4783,Calendar!$C$2:$C$9997,C4783)*INDEX(ForeCalc!$B$37:$Y$274,MATCH(_xlfn.CONCAT(H4783," ",I4783),ForeCalc!$A$37:$A$274,0),MATCH(_xlfn.CONCAT(B4783," ",E4783),ForeCalc!$B$36:$Y$36,0))))*VLOOKUP(A4783,Calendar!$A$2:$H$9997,8,FALSE),0)</f>
        <v/>
      </c>
      <c r="G4783" s="29">
        <f>VLOOKUP(A4783,Calendar!$A$1:$H$9997,6,FALSE)-F4783</f>
        <v/>
      </c>
      <c r="H4783" s="19" t="n">
        <v>2</v>
      </c>
      <c r="I4783" s="57" t="n">
        <v>2</v>
      </c>
    </row>
    <row r="4784">
      <c r="A4784" s="62" t="n">
        <v>46511</v>
      </c>
      <c r="B4784" s="3" t="inlineStr">
        <is>
          <t>Week</t>
        </is>
      </c>
      <c r="C4784" s="19" t="n">
        <v>5</v>
      </c>
      <c r="D4784" s="19" t="n">
        <v>2027</v>
      </c>
      <c r="E4784" s="57" t="n">
        <v>5</v>
      </c>
      <c r="F4784" s="29">
        <f>ROUND(((SUMIFS(Calendar!$F$2:$F$9997,Calendar!$B$2:$B$9997,D4784,Calendar!$C$2:$C$9997,C4784)*INDEX(ForeCalc!$B$37:$Y$274,MATCH(_xlfn.CONCAT(H4784," ",I4784),ForeCalc!$A$37:$A$274,0),MATCH(_xlfn.CONCAT(B4784," ",E4784),ForeCalc!$B$36:$Y$36,0))))*VLOOKUP(A4784,Calendar!$A$2:$H$9997,8,FALSE),0)</f>
        <v/>
      </c>
      <c r="G4784" s="29">
        <f>VLOOKUP(A4784,Calendar!$A$1:$H$9997,6,FALSE)-F4784</f>
        <v/>
      </c>
      <c r="H4784" s="19" t="n">
        <v>2</v>
      </c>
      <c r="I4784" s="57" t="n">
        <v>2</v>
      </c>
    </row>
    <row r="4785">
      <c r="A4785" s="62" t="n">
        <v>46512</v>
      </c>
      <c r="B4785" s="3" t="inlineStr">
        <is>
          <t>Week</t>
        </is>
      </c>
      <c r="C4785" s="19" t="n">
        <v>5</v>
      </c>
      <c r="D4785" s="19" t="n">
        <v>2027</v>
      </c>
      <c r="E4785" s="57" t="n">
        <v>5</v>
      </c>
      <c r="F4785" s="29">
        <f>ROUND(((SUMIFS(Calendar!$F$2:$F$9997,Calendar!$B$2:$B$9997,D4785,Calendar!$C$2:$C$9997,C4785)*INDEX(ForeCalc!$B$37:$Y$274,MATCH(_xlfn.CONCAT(H4785," ",I4785),ForeCalc!$A$37:$A$274,0),MATCH(_xlfn.CONCAT(B4785," ",E4785),ForeCalc!$B$36:$Y$36,0))))*VLOOKUP(A4785,Calendar!$A$2:$H$9997,8,FALSE),0)</f>
        <v/>
      </c>
      <c r="G4785" s="29">
        <f>VLOOKUP(A4785,Calendar!$A$1:$H$9997,6,FALSE)-F4785</f>
        <v/>
      </c>
      <c r="H4785" s="19" t="n">
        <v>2</v>
      </c>
      <c r="I4785" s="57" t="n">
        <v>2</v>
      </c>
    </row>
    <row r="4786">
      <c r="A4786" s="62" t="n">
        <v>46513</v>
      </c>
      <c r="B4786" s="3" t="inlineStr">
        <is>
          <t>Week</t>
        </is>
      </c>
      <c r="C4786" s="19" t="n">
        <v>5</v>
      </c>
      <c r="D4786" s="19" t="n">
        <v>2027</v>
      </c>
      <c r="E4786" s="57" t="n">
        <v>5</v>
      </c>
      <c r="F4786" s="29">
        <f>ROUND(((SUMIFS(Calendar!$F$2:$F$9997,Calendar!$B$2:$B$9997,D4786,Calendar!$C$2:$C$9997,C4786)*INDEX(ForeCalc!$B$37:$Y$274,MATCH(_xlfn.CONCAT(H4786," ",I4786),ForeCalc!$A$37:$A$274,0),MATCH(_xlfn.CONCAT(B4786," ",E4786),ForeCalc!$B$36:$Y$36,0))))*VLOOKUP(A4786,Calendar!$A$2:$H$9997,8,FALSE),0)</f>
        <v/>
      </c>
      <c r="G4786" s="29">
        <f>VLOOKUP(A4786,Calendar!$A$1:$H$9997,6,FALSE)-F4786</f>
        <v/>
      </c>
      <c r="H4786" s="19" t="n">
        <v>2</v>
      </c>
      <c r="I4786" s="57" t="n">
        <v>2</v>
      </c>
    </row>
    <row r="4787">
      <c r="A4787" s="62" t="n">
        <v>46514</v>
      </c>
      <c r="B4787" s="3" t="inlineStr">
        <is>
          <t>Week</t>
        </is>
      </c>
      <c r="C4787" s="19" t="n">
        <v>5</v>
      </c>
      <c r="D4787" s="19" t="n">
        <v>2027</v>
      </c>
      <c r="E4787" s="57" t="n">
        <v>5</v>
      </c>
      <c r="F4787" s="29">
        <f>ROUND(((SUMIFS(Calendar!$F$2:$F$9997,Calendar!$B$2:$B$9997,D4787,Calendar!$C$2:$C$9997,C4787)*INDEX(ForeCalc!$B$37:$Y$274,MATCH(_xlfn.CONCAT(H4787," ",I4787),ForeCalc!$A$37:$A$274,0),MATCH(_xlfn.CONCAT(B4787," ",E4787),ForeCalc!$B$36:$Y$36,0))))*VLOOKUP(A4787,Calendar!$A$2:$H$9997,8,FALSE),0)</f>
        <v/>
      </c>
      <c r="G4787" s="29">
        <f>VLOOKUP(A4787,Calendar!$A$1:$H$9997,6,FALSE)-F4787</f>
        <v/>
      </c>
      <c r="H4787" s="19" t="n">
        <v>2</v>
      </c>
      <c r="I4787" s="57" t="n">
        <v>2</v>
      </c>
    </row>
    <row r="4788">
      <c r="A4788" s="62" t="n">
        <v>46515</v>
      </c>
      <c r="B4788" s="3" t="inlineStr">
        <is>
          <t>Sat</t>
        </is>
      </c>
      <c r="C4788" s="19" t="n">
        <v>5</v>
      </c>
      <c r="D4788" s="19" t="n">
        <v>2027</v>
      </c>
      <c r="E4788" s="57" t="n">
        <v>5</v>
      </c>
      <c r="F4788" s="29">
        <f>ROUND(((SUMIFS(Calendar!$F$2:$F$9997,Calendar!$B$2:$B$9997,D4788,Calendar!$C$2:$C$9997,C4788)*INDEX(ForeCalc!$B$37:$Y$274,MATCH(_xlfn.CONCAT(H4788," ",I4788),ForeCalc!$A$37:$A$274,0),MATCH(_xlfn.CONCAT(B4788," ",E4788),ForeCalc!$B$36:$Y$36,0))))*VLOOKUP(A4788,Calendar!$A$2:$H$9997,8,FALSE),0)</f>
        <v/>
      </c>
      <c r="G4788" s="29">
        <f>VLOOKUP(A4788,Calendar!$A$1:$H$9997,6,FALSE)-F4788</f>
        <v/>
      </c>
      <c r="H4788" s="19" t="n">
        <v>2</v>
      </c>
      <c r="I4788" s="57" t="n">
        <v>2</v>
      </c>
    </row>
    <row r="4789">
      <c r="A4789" s="62" t="n">
        <v>46516</v>
      </c>
      <c r="B4789" s="3" t="inlineStr">
        <is>
          <t>Sun</t>
        </is>
      </c>
      <c r="C4789" s="19" t="n">
        <v>5</v>
      </c>
      <c r="D4789" s="19" t="n">
        <v>2027</v>
      </c>
      <c r="E4789" s="57" t="n">
        <v>5</v>
      </c>
      <c r="F4789" s="29">
        <f>ROUND(((SUMIFS(Calendar!$F$2:$F$9997,Calendar!$B$2:$B$9997,D4789,Calendar!$C$2:$C$9997,C4789)*INDEX(ForeCalc!$B$37:$Y$274,MATCH(_xlfn.CONCAT(H4789," ",I4789),ForeCalc!$A$37:$A$274,0),MATCH(_xlfn.CONCAT(B4789," ",E4789),ForeCalc!$B$36:$Y$36,0))))*VLOOKUP(A4789,Calendar!$A$2:$H$9997,8,FALSE),0)</f>
        <v/>
      </c>
      <c r="G4789" s="29">
        <f>VLOOKUP(A4789,Calendar!$A$1:$H$9997,6,FALSE)-F4789</f>
        <v/>
      </c>
      <c r="H4789" s="19" t="n">
        <v>2</v>
      </c>
      <c r="I4789" s="57" t="n">
        <v>2</v>
      </c>
    </row>
    <row r="4790">
      <c r="A4790" s="62" t="n">
        <v>46517</v>
      </c>
      <c r="B4790" s="3" t="inlineStr">
        <is>
          <t>Week</t>
        </is>
      </c>
      <c r="C4790" s="19" t="n">
        <v>5</v>
      </c>
      <c r="D4790" s="19" t="n">
        <v>2027</v>
      </c>
      <c r="E4790" s="57" t="n">
        <v>5</v>
      </c>
      <c r="F4790" s="29">
        <f>ROUND(((SUMIFS(Calendar!$F$2:$F$9997,Calendar!$B$2:$B$9997,D4790,Calendar!$C$2:$C$9997,C4790)*INDEX(ForeCalc!$B$37:$Y$274,MATCH(_xlfn.CONCAT(H4790," ",I4790),ForeCalc!$A$37:$A$274,0),MATCH(_xlfn.CONCAT(B4790," ",E4790),ForeCalc!$B$36:$Y$36,0))))*VLOOKUP(A4790,Calendar!$A$2:$H$9997,8,FALSE),0)</f>
        <v/>
      </c>
      <c r="G4790" s="29">
        <f>VLOOKUP(A4790,Calendar!$A$1:$H$9997,6,FALSE)-F4790</f>
        <v/>
      </c>
      <c r="H4790" s="19" t="n">
        <v>2</v>
      </c>
      <c r="I4790" s="57" t="n">
        <v>2</v>
      </c>
    </row>
    <row r="4791">
      <c r="A4791" s="62" t="n">
        <v>46518</v>
      </c>
      <c r="B4791" s="3" t="inlineStr">
        <is>
          <t>Week</t>
        </is>
      </c>
      <c r="C4791" s="19" t="n">
        <v>5</v>
      </c>
      <c r="D4791" s="19" t="n">
        <v>2027</v>
      </c>
      <c r="E4791" s="57" t="n">
        <v>5</v>
      </c>
      <c r="F4791" s="29">
        <f>ROUND(((SUMIFS(Calendar!$F$2:$F$9997,Calendar!$B$2:$B$9997,D4791,Calendar!$C$2:$C$9997,C4791)*INDEX(ForeCalc!$B$37:$Y$274,MATCH(_xlfn.CONCAT(H4791," ",I4791),ForeCalc!$A$37:$A$274,0),MATCH(_xlfn.CONCAT(B4791," ",E4791),ForeCalc!$B$36:$Y$36,0))))*VLOOKUP(A4791,Calendar!$A$2:$H$9997,8,FALSE),0)</f>
        <v/>
      </c>
      <c r="G4791" s="29">
        <f>VLOOKUP(A4791,Calendar!$A$1:$H$9997,6,FALSE)-F4791</f>
        <v/>
      </c>
      <c r="H4791" s="19" t="n">
        <v>2</v>
      </c>
      <c r="I4791" s="57" t="n">
        <v>2</v>
      </c>
    </row>
    <row r="4792">
      <c r="A4792" s="62" t="n">
        <v>46519</v>
      </c>
      <c r="B4792" s="3" t="inlineStr">
        <is>
          <t>Week</t>
        </is>
      </c>
      <c r="C4792" s="19" t="n">
        <v>5</v>
      </c>
      <c r="D4792" s="19" t="n">
        <v>2027</v>
      </c>
      <c r="E4792" s="57" t="n">
        <v>5</v>
      </c>
      <c r="F4792" s="29">
        <f>ROUND(((SUMIFS(Calendar!$F$2:$F$9997,Calendar!$B$2:$B$9997,D4792,Calendar!$C$2:$C$9997,C4792)*INDEX(ForeCalc!$B$37:$Y$274,MATCH(_xlfn.CONCAT(H4792," ",I4792),ForeCalc!$A$37:$A$274,0),MATCH(_xlfn.CONCAT(B4792," ",E4792),ForeCalc!$B$36:$Y$36,0))))*VLOOKUP(A4792,Calendar!$A$2:$H$9997,8,FALSE),0)</f>
        <v/>
      </c>
      <c r="G4792" s="29">
        <f>VLOOKUP(A4792,Calendar!$A$1:$H$9997,6,FALSE)-F4792</f>
        <v/>
      </c>
      <c r="H4792" s="19" t="n">
        <v>2</v>
      </c>
      <c r="I4792" s="57" t="n">
        <v>2</v>
      </c>
    </row>
    <row r="4793">
      <c r="A4793" s="62" t="n">
        <v>46520</v>
      </c>
      <c r="B4793" s="3" t="inlineStr">
        <is>
          <t>Week</t>
        </is>
      </c>
      <c r="C4793" s="19" t="n">
        <v>5</v>
      </c>
      <c r="D4793" s="19" t="n">
        <v>2027</v>
      </c>
      <c r="E4793" s="57" t="n">
        <v>5</v>
      </c>
      <c r="F4793" s="29">
        <f>ROUND(((SUMIFS(Calendar!$F$2:$F$9997,Calendar!$B$2:$B$9997,D4793,Calendar!$C$2:$C$9997,C4793)*INDEX(ForeCalc!$B$37:$Y$274,MATCH(_xlfn.CONCAT(H4793," ",I4793),ForeCalc!$A$37:$A$274,0),MATCH(_xlfn.CONCAT(B4793," ",E4793),ForeCalc!$B$36:$Y$36,0))))*VLOOKUP(A4793,Calendar!$A$2:$H$9997,8,FALSE),0)</f>
        <v/>
      </c>
      <c r="G4793" s="29">
        <f>VLOOKUP(A4793,Calendar!$A$1:$H$9997,6,FALSE)-F4793</f>
        <v/>
      </c>
      <c r="H4793" s="19" t="n">
        <v>2</v>
      </c>
      <c r="I4793" s="57" t="n">
        <v>2</v>
      </c>
    </row>
    <row r="4794">
      <c r="A4794" s="62" t="n">
        <v>46521</v>
      </c>
      <c r="B4794" s="3" t="inlineStr">
        <is>
          <t>Week</t>
        </is>
      </c>
      <c r="C4794" s="19" t="n">
        <v>5</v>
      </c>
      <c r="D4794" s="19" t="n">
        <v>2027</v>
      </c>
      <c r="E4794" s="57" t="n">
        <v>5</v>
      </c>
      <c r="F4794" s="29">
        <f>ROUND(((SUMIFS(Calendar!$F$2:$F$9997,Calendar!$B$2:$B$9997,D4794,Calendar!$C$2:$C$9997,C4794)*INDEX(ForeCalc!$B$37:$Y$274,MATCH(_xlfn.CONCAT(H4794," ",I4794),ForeCalc!$A$37:$A$274,0),MATCH(_xlfn.CONCAT(B4794," ",E4794),ForeCalc!$B$36:$Y$36,0))))*VLOOKUP(A4794,Calendar!$A$2:$H$9997,8,FALSE),0)</f>
        <v/>
      </c>
      <c r="G4794" s="29">
        <f>VLOOKUP(A4794,Calendar!$A$1:$H$9997,6,FALSE)-F4794</f>
        <v/>
      </c>
      <c r="H4794" s="19" t="n">
        <v>2</v>
      </c>
      <c r="I4794" s="57" t="n">
        <v>2</v>
      </c>
    </row>
    <row r="4795">
      <c r="A4795" s="62" t="n">
        <v>46522</v>
      </c>
      <c r="B4795" s="3" t="inlineStr">
        <is>
          <t>Sat</t>
        </is>
      </c>
      <c r="C4795" s="19" t="n">
        <v>5</v>
      </c>
      <c r="D4795" s="19" t="n">
        <v>2027</v>
      </c>
      <c r="E4795" s="57" t="n">
        <v>5</v>
      </c>
      <c r="F4795" s="29">
        <f>ROUND(((SUMIFS(Calendar!$F$2:$F$9997,Calendar!$B$2:$B$9997,D4795,Calendar!$C$2:$C$9997,C4795)*INDEX(ForeCalc!$B$37:$Y$274,MATCH(_xlfn.CONCAT(H4795," ",I4795),ForeCalc!$A$37:$A$274,0),MATCH(_xlfn.CONCAT(B4795," ",E4795),ForeCalc!$B$36:$Y$36,0))))*VLOOKUP(A4795,Calendar!$A$2:$H$9997,8,FALSE),0)</f>
        <v/>
      </c>
      <c r="G4795" s="29">
        <f>VLOOKUP(A4795,Calendar!$A$1:$H$9997,6,FALSE)-F4795</f>
        <v/>
      </c>
      <c r="H4795" s="19" t="n">
        <v>2</v>
      </c>
      <c r="I4795" s="57" t="n">
        <v>2</v>
      </c>
    </row>
    <row r="4796">
      <c r="A4796" s="62" t="n">
        <v>46523</v>
      </c>
      <c r="B4796" s="3" t="inlineStr">
        <is>
          <t>Sun</t>
        </is>
      </c>
      <c r="C4796" s="19" t="n">
        <v>5</v>
      </c>
      <c r="D4796" s="19" t="n">
        <v>2027</v>
      </c>
      <c r="E4796" s="57" t="n">
        <v>5</v>
      </c>
      <c r="F4796" s="29">
        <f>ROUND(((SUMIFS(Calendar!$F$2:$F$9997,Calendar!$B$2:$B$9997,D4796,Calendar!$C$2:$C$9997,C4796)*INDEX(ForeCalc!$B$37:$Y$274,MATCH(_xlfn.CONCAT(H4796," ",I4796),ForeCalc!$A$37:$A$274,0),MATCH(_xlfn.CONCAT(B4796," ",E4796),ForeCalc!$B$36:$Y$36,0))))*VLOOKUP(A4796,Calendar!$A$2:$H$9997,8,FALSE),0)</f>
        <v/>
      </c>
      <c r="G4796" s="29">
        <f>VLOOKUP(A4796,Calendar!$A$1:$H$9997,6,FALSE)-F4796</f>
        <v/>
      </c>
      <c r="H4796" s="19" t="n">
        <v>2</v>
      </c>
      <c r="I4796" s="57" t="n">
        <v>2</v>
      </c>
    </row>
    <row r="4797">
      <c r="A4797" s="62" t="n">
        <v>46524</v>
      </c>
      <c r="B4797" s="3" t="inlineStr">
        <is>
          <t>Week</t>
        </is>
      </c>
      <c r="C4797" s="19" t="n">
        <v>5</v>
      </c>
      <c r="D4797" s="19" t="n">
        <v>2027</v>
      </c>
      <c r="E4797" s="57" t="n">
        <v>5</v>
      </c>
      <c r="F4797" s="29">
        <f>ROUND(((SUMIFS(Calendar!$F$2:$F$9997,Calendar!$B$2:$B$9997,D4797,Calendar!$C$2:$C$9997,C4797)*INDEX(ForeCalc!$B$37:$Y$274,MATCH(_xlfn.CONCAT(H4797," ",I4797),ForeCalc!$A$37:$A$274,0),MATCH(_xlfn.CONCAT(B4797," ",E4797),ForeCalc!$B$36:$Y$36,0))))*VLOOKUP(A4797,Calendar!$A$2:$H$9997,8,FALSE),0)</f>
        <v/>
      </c>
      <c r="G4797" s="29">
        <f>VLOOKUP(A4797,Calendar!$A$1:$H$9997,6,FALSE)-F4797</f>
        <v/>
      </c>
      <c r="H4797" s="19" t="n">
        <v>2</v>
      </c>
      <c r="I4797" s="57" t="n">
        <v>2</v>
      </c>
    </row>
    <row r="4798">
      <c r="A4798" s="62" t="n">
        <v>46525</v>
      </c>
      <c r="B4798" s="3" t="inlineStr">
        <is>
          <t>Week</t>
        </is>
      </c>
      <c r="C4798" s="19" t="n">
        <v>5</v>
      </c>
      <c r="D4798" s="19" t="n">
        <v>2027</v>
      </c>
      <c r="E4798" s="57" t="n">
        <v>5</v>
      </c>
      <c r="F4798" s="29">
        <f>ROUND(((SUMIFS(Calendar!$F$2:$F$9997,Calendar!$B$2:$B$9997,D4798,Calendar!$C$2:$C$9997,C4798)*INDEX(ForeCalc!$B$37:$Y$274,MATCH(_xlfn.CONCAT(H4798," ",I4798),ForeCalc!$A$37:$A$274,0),MATCH(_xlfn.CONCAT(B4798," ",E4798),ForeCalc!$B$36:$Y$36,0))))*VLOOKUP(A4798,Calendar!$A$2:$H$9997,8,FALSE),0)</f>
        <v/>
      </c>
      <c r="G4798" s="29">
        <f>VLOOKUP(A4798,Calendar!$A$1:$H$9997,6,FALSE)-F4798</f>
        <v/>
      </c>
      <c r="H4798" s="19" t="n">
        <v>2</v>
      </c>
      <c r="I4798" s="57" t="n">
        <v>2</v>
      </c>
    </row>
    <row r="4799">
      <c r="A4799" s="62" t="n">
        <v>46526</v>
      </c>
      <c r="B4799" s="3" t="inlineStr">
        <is>
          <t>Week</t>
        </is>
      </c>
      <c r="C4799" s="19" t="n">
        <v>5</v>
      </c>
      <c r="D4799" s="19" t="n">
        <v>2027</v>
      </c>
      <c r="E4799" s="57" t="n">
        <v>5</v>
      </c>
      <c r="F4799" s="29">
        <f>ROUND(((SUMIFS(Calendar!$F$2:$F$9997,Calendar!$B$2:$B$9997,D4799,Calendar!$C$2:$C$9997,C4799)*INDEX(ForeCalc!$B$37:$Y$274,MATCH(_xlfn.CONCAT(H4799," ",I4799),ForeCalc!$A$37:$A$274,0),MATCH(_xlfn.CONCAT(B4799," ",E4799),ForeCalc!$B$36:$Y$36,0))))*VLOOKUP(A4799,Calendar!$A$2:$H$9997,8,FALSE),0)</f>
        <v/>
      </c>
      <c r="G4799" s="29">
        <f>VLOOKUP(A4799,Calendar!$A$1:$H$9997,6,FALSE)-F4799</f>
        <v/>
      </c>
      <c r="H4799" s="19" t="n">
        <v>2</v>
      </c>
      <c r="I4799" s="57" t="n">
        <v>2</v>
      </c>
    </row>
    <row r="4800">
      <c r="A4800" s="62" t="n">
        <v>46527</v>
      </c>
      <c r="B4800" s="3" t="inlineStr">
        <is>
          <t>Week</t>
        </is>
      </c>
      <c r="C4800" s="19" t="n">
        <v>5</v>
      </c>
      <c r="D4800" s="19" t="n">
        <v>2027</v>
      </c>
      <c r="E4800" s="57" t="n">
        <v>5</v>
      </c>
      <c r="F4800" s="29">
        <f>ROUND(((SUMIFS(Calendar!$F$2:$F$9997,Calendar!$B$2:$B$9997,D4800,Calendar!$C$2:$C$9997,C4800)*INDEX(ForeCalc!$B$37:$Y$274,MATCH(_xlfn.CONCAT(H4800," ",I4800),ForeCalc!$A$37:$A$274,0),MATCH(_xlfn.CONCAT(B4800," ",E4800),ForeCalc!$B$36:$Y$36,0))))*VLOOKUP(A4800,Calendar!$A$2:$H$9997,8,FALSE),0)</f>
        <v/>
      </c>
      <c r="G4800" s="29">
        <f>VLOOKUP(A4800,Calendar!$A$1:$H$9997,6,FALSE)-F4800</f>
        <v/>
      </c>
      <c r="H4800" s="19" t="n">
        <v>2</v>
      </c>
      <c r="I4800" s="57" t="n">
        <v>2</v>
      </c>
    </row>
    <row r="4801">
      <c r="A4801" s="62" t="n">
        <v>46528</v>
      </c>
      <c r="B4801" s="3" t="inlineStr">
        <is>
          <t>Week</t>
        </is>
      </c>
      <c r="C4801" s="19" t="n">
        <v>5</v>
      </c>
      <c r="D4801" s="19" t="n">
        <v>2027</v>
      </c>
      <c r="E4801" s="57" t="n">
        <v>5</v>
      </c>
      <c r="F4801" s="29">
        <f>ROUND(((SUMIFS(Calendar!$F$2:$F$9997,Calendar!$B$2:$B$9997,D4801,Calendar!$C$2:$C$9997,C4801)*INDEX(ForeCalc!$B$37:$Y$274,MATCH(_xlfn.CONCAT(H4801," ",I4801),ForeCalc!$A$37:$A$274,0),MATCH(_xlfn.CONCAT(B4801," ",E4801),ForeCalc!$B$36:$Y$36,0))))*VLOOKUP(A4801,Calendar!$A$2:$H$9997,8,FALSE),0)</f>
        <v/>
      </c>
      <c r="G4801" s="29">
        <f>VLOOKUP(A4801,Calendar!$A$1:$H$9997,6,FALSE)-F4801</f>
        <v/>
      </c>
      <c r="H4801" s="19" t="n">
        <v>2</v>
      </c>
      <c r="I4801" s="57" t="n">
        <v>2</v>
      </c>
    </row>
    <row r="4802">
      <c r="A4802" s="62" t="n">
        <v>46529</v>
      </c>
      <c r="B4802" s="3" t="inlineStr">
        <is>
          <t>Sat</t>
        </is>
      </c>
      <c r="C4802" s="19" t="n">
        <v>5</v>
      </c>
      <c r="D4802" s="19" t="n">
        <v>2027</v>
      </c>
      <c r="E4802" s="57" t="n">
        <v>5</v>
      </c>
      <c r="F4802" s="29">
        <f>ROUND(((SUMIFS(Calendar!$F$2:$F$9997,Calendar!$B$2:$B$9997,D4802,Calendar!$C$2:$C$9997,C4802)*INDEX(ForeCalc!$B$37:$Y$274,MATCH(_xlfn.CONCAT(H4802," ",I4802),ForeCalc!$A$37:$A$274,0),MATCH(_xlfn.CONCAT(B4802," ",E4802),ForeCalc!$B$36:$Y$36,0))))*VLOOKUP(A4802,Calendar!$A$2:$H$9997,8,FALSE),0)</f>
        <v/>
      </c>
      <c r="G4802" s="29">
        <f>VLOOKUP(A4802,Calendar!$A$1:$H$9997,6,FALSE)-F4802</f>
        <v/>
      </c>
      <c r="H4802" s="19" t="n">
        <v>2</v>
      </c>
      <c r="I4802" s="57" t="n">
        <v>2</v>
      </c>
    </row>
    <row r="4803">
      <c r="A4803" s="62" t="n">
        <v>46530</v>
      </c>
      <c r="B4803" s="3" t="inlineStr">
        <is>
          <t>Sun</t>
        </is>
      </c>
      <c r="C4803" s="19" t="n">
        <v>5</v>
      </c>
      <c r="D4803" s="19" t="n">
        <v>2027</v>
      </c>
      <c r="E4803" s="57" t="n">
        <v>5</v>
      </c>
      <c r="F4803" s="29">
        <f>ROUND(((SUMIFS(Calendar!$F$2:$F$9997,Calendar!$B$2:$B$9997,D4803,Calendar!$C$2:$C$9997,C4803)*INDEX(ForeCalc!$B$37:$Y$274,MATCH(_xlfn.CONCAT(H4803," ",I4803),ForeCalc!$A$37:$A$274,0),MATCH(_xlfn.CONCAT(B4803," ",E4803),ForeCalc!$B$36:$Y$36,0))))*VLOOKUP(A4803,Calendar!$A$2:$H$9997,8,FALSE),0)</f>
        <v/>
      </c>
      <c r="G4803" s="29">
        <f>VLOOKUP(A4803,Calendar!$A$1:$H$9997,6,FALSE)-F4803</f>
        <v/>
      </c>
      <c r="H4803" s="19" t="n">
        <v>2</v>
      </c>
      <c r="I4803" s="57" t="n">
        <v>2</v>
      </c>
    </row>
    <row r="4804">
      <c r="A4804" s="62" t="n">
        <v>46531</v>
      </c>
      <c r="B4804" s="3" t="inlineStr">
        <is>
          <t>Week</t>
        </is>
      </c>
      <c r="C4804" s="19" t="n">
        <v>5</v>
      </c>
      <c r="D4804" s="19" t="n">
        <v>2027</v>
      </c>
      <c r="E4804" s="57" t="n">
        <v>5</v>
      </c>
      <c r="F4804" s="29">
        <f>ROUND(((SUMIFS(Calendar!$F$2:$F$9997,Calendar!$B$2:$B$9997,D4804,Calendar!$C$2:$C$9997,C4804)*INDEX(ForeCalc!$B$37:$Y$274,MATCH(_xlfn.CONCAT(H4804," ",I4804),ForeCalc!$A$37:$A$274,0),MATCH(_xlfn.CONCAT(B4804," ",E4804),ForeCalc!$B$36:$Y$36,0))))*VLOOKUP(A4804,Calendar!$A$2:$H$9997,8,FALSE),0)</f>
        <v/>
      </c>
      <c r="G4804" s="29">
        <f>VLOOKUP(A4804,Calendar!$A$1:$H$9997,6,FALSE)-F4804</f>
        <v/>
      </c>
      <c r="H4804" s="19" t="n">
        <v>2</v>
      </c>
      <c r="I4804" s="57" t="n">
        <v>2</v>
      </c>
    </row>
    <row r="4805">
      <c r="A4805" s="62" t="n">
        <v>46532</v>
      </c>
      <c r="B4805" s="3" t="inlineStr">
        <is>
          <t>Week</t>
        </is>
      </c>
      <c r="C4805" s="19" t="n">
        <v>5</v>
      </c>
      <c r="D4805" s="19" t="n">
        <v>2027</v>
      </c>
      <c r="E4805" s="57" t="n">
        <v>5</v>
      </c>
      <c r="F4805" s="29">
        <f>ROUND(((SUMIFS(Calendar!$F$2:$F$9997,Calendar!$B$2:$B$9997,D4805,Calendar!$C$2:$C$9997,C4805)*INDEX(ForeCalc!$B$37:$Y$274,MATCH(_xlfn.CONCAT(H4805," ",I4805),ForeCalc!$A$37:$A$274,0),MATCH(_xlfn.CONCAT(B4805," ",E4805),ForeCalc!$B$36:$Y$36,0))))*VLOOKUP(A4805,Calendar!$A$2:$H$9997,8,FALSE),0)</f>
        <v/>
      </c>
      <c r="G4805" s="29">
        <f>VLOOKUP(A4805,Calendar!$A$1:$H$9997,6,FALSE)-F4805</f>
        <v/>
      </c>
      <c r="H4805" s="19" t="n">
        <v>2</v>
      </c>
      <c r="I4805" s="57" t="n">
        <v>2</v>
      </c>
    </row>
    <row r="4806">
      <c r="A4806" s="62" t="n">
        <v>46533</v>
      </c>
      <c r="B4806" s="3" t="inlineStr">
        <is>
          <t>Week</t>
        </is>
      </c>
      <c r="C4806" s="19" t="n">
        <v>5</v>
      </c>
      <c r="D4806" s="19" t="n">
        <v>2027</v>
      </c>
      <c r="E4806" s="57" t="n">
        <v>5</v>
      </c>
      <c r="F4806" s="29">
        <f>ROUND(((SUMIFS(Calendar!$F$2:$F$9997,Calendar!$B$2:$B$9997,D4806,Calendar!$C$2:$C$9997,C4806)*INDEX(ForeCalc!$B$37:$Y$274,MATCH(_xlfn.CONCAT(H4806," ",I4806),ForeCalc!$A$37:$A$274,0),MATCH(_xlfn.CONCAT(B4806," ",E4806),ForeCalc!$B$36:$Y$36,0))))*VLOOKUP(A4806,Calendar!$A$2:$H$9997,8,FALSE),0)</f>
        <v/>
      </c>
      <c r="G4806" s="29">
        <f>VLOOKUP(A4806,Calendar!$A$1:$H$9997,6,FALSE)-F4806</f>
        <v/>
      </c>
      <c r="H4806" s="19" t="n">
        <v>2</v>
      </c>
      <c r="I4806" s="57" t="n">
        <v>2</v>
      </c>
    </row>
    <row r="4807">
      <c r="A4807" s="62" t="n">
        <v>46534</v>
      </c>
      <c r="B4807" s="3" t="inlineStr">
        <is>
          <t>Week</t>
        </is>
      </c>
      <c r="C4807" s="19" t="n">
        <v>5</v>
      </c>
      <c r="D4807" s="19" t="n">
        <v>2027</v>
      </c>
      <c r="E4807" s="57" t="n">
        <v>5</v>
      </c>
      <c r="F4807" s="29">
        <f>ROUND(((SUMIFS(Calendar!$F$2:$F$9997,Calendar!$B$2:$B$9997,D4807,Calendar!$C$2:$C$9997,C4807)*INDEX(ForeCalc!$B$37:$Y$274,MATCH(_xlfn.CONCAT(H4807," ",I4807),ForeCalc!$A$37:$A$274,0),MATCH(_xlfn.CONCAT(B4807," ",E4807),ForeCalc!$B$36:$Y$36,0))))*VLOOKUP(A4807,Calendar!$A$2:$H$9997,8,FALSE),0)</f>
        <v/>
      </c>
      <c r="G4807" s="29">
        <f>VLOOKUP(A4807,Calendar!$A$1:$H$9997,6,FALSE)-F4807</f>
        <v/>
      </c>
      <c r="H4807" s="19" t="n">
        <v>2</v>
      </c>
      <c r="I4807" s="57" t="n">
        <v>2</v>
      </c>
    </row>
    <row r="4808">
      <c r="A4808" s="62" t="n">
        <v>46535</v>
      </c>
      <c r="B4808" s="3" t="inlineStr">
        <is>
          <t>Week</t>
        </is>
      </c>
      <c r="C4808" s="19" t="n">
        <v>5</v>
      </c>
      <c r="D4808" s="19" t="n">
        <v>2027</v>
      </c>
      <c r="E4808" s="57" t="n">
        <v>5</v>
      </c>
      <c r="F4808" s="29">
        <f>ROUND(((SUMIFS(Calendar!$F$2:$F$9997,Calendar!$B$2:$B$9997,D4808,Calendar!$C$2:$C$9997,C4808)*INDEX(ForeCalc!$B$37:$Y$274,MATCH(_xlfn.CONCAT(H4808," ",I4808),ForeCalc!$A$37:$A$274,0),MATCH(_xlfn.CONCAT(B4808," ",E4808),ForeCalc!$B$36:$Y$36,0))))*VLOOKUP(A4808,Calendar!$A$2:$H$9997,8,FALSE),0)</f>
        <v/>
      </c>
      <c r="G4808" s="29">
        <f>VLOOKUP(A4808,Calendar!$A$1:$H$9997,6,FALSE)-F4808</f>
        <v/>
      </c>
      <c r="H4808" s="19" t="n">
        <v>2</v>
      </c>
      <c r="I4808" s="57" t="n">
        <v>2</v>
      </c>
    </row>
    <row r="4809">
      <c r="A4809" s="62" t="n">
        <v>46536</v>
      </c>
      <c r="B4809" s="3" t="inlineStr">
        <is>
          <t>Sat</t>
        </is>
      </c>
      <c r="C4809" s="19" t="n">
        <v>5</v>
      </c>
      <c r="D4809" s="19" t="n">
        <v>2027</v>
      </c>
      <c r="E4809" s="57" t="n">
        <v>5</v>
      </c>
      <c r="F4809" s="29">
        <f>ROUND(((SUMIFS(Calendar!$F$2:$F$9997,Calendar!$B$2:$B$9997,D4809,Calendar!$C$2:$C$9997,C4809)*INDEX(ForeCalc!$B$37:$Y$274,MATCH(_xlfn.CONCAT(H4809," ",I4809),ForeCalc!$A$37:$A$274,0),MATCH(_xlfn.CONCAT(B4809," ",E4809),ForeCalc!$B$36:$Y$36,0))))*VLOOKUP(A4809,Calendar!$A$2:$H$9997,8,FALSE),0)</f>
        <v/>
      </c>
      <c r="G4809" s="29">
        <f>VLOOKUP(A4809,Calendar!$A$1:$H$9997,6,FALSE)-F4809</f>
        <v/>
      </c>
      <c r="H4809" s="19" t="n">
        <v>2</v>
      </c>
      <c r="I4809" s="57" t="n">
        <v>2</v>
      </c>
    </row>
    <row r="4810">
      <c r="A4810" s="62" t="n">
        <v>46537</v>
      </c>
      <c r="B4810" s="3" t="inlineStr">
        <is>
          <t>Sun</t>
        </is>
      </c>
      <c r="C4810" s="19" t="n">
        <v>5</v>
      </c>
      <c r="D4810" s="19" t="n">
        <v>2027</v>
      </c>
      <c r="E4810" s="57" t="n">
        <v>5</v>
      </c>
      <c r="F4810" s="29">
        <f>ROUND(((SUMIFS(Calendar!$F$2:$F$9997,Calendar!$B$2:$B$9997,D4810,Calendar!$C$2:$C$9997,C4810)*INDEX(ForeCalc!$B$37:$Y$274,MATCH(_xlfn.CONCAT(H4810," ",I4810),ForeCalc!$A$37:$A$274,0),MATCH(_xlfn.CONCAT(B4810," ",E4810),ForeCalc!$B$36:$Y$36,0))))*VLOOKUP(A4810,Calendar!$A$2:$H$9997,8,FALSE),0)</f>
        <v/>
      </c>
      <c r="G4810" s="29">
        <f>VLOOKUP(A4810,Calendar!$A$1:$H$9997,6,FALSE)-F4810</f>
        <v/>
      </c>
      <c r="H4810" s="19" t="n">
        <v>2</v>
      </c>
      <c r="I4810" s="57" t="n">
        <v>2</v>
      </c>
    </row>
    <row r="4811">
      <c r="A4811" s="62" t="n">
        <v>46538</v>
      </c>
      <c r="B4811" s="3" t="inlineStr">
        <is>
          <t>Week</t>
        </is>
      </c>
      <c r="C4811" s="19" t="n">
        <v>5</v>
      </c>
      <c r="D4811" s="19" t="n">
        <v>2027</v>
      </c>
      <c r="E4811" s="57" t="n">
        <v>5</v>
      </c>
      <c r="F4811" s="29">
        <f>ROUND(((SUMIFS(Calendar!$F$2:$F$9997,Calendar!$B$2:$B$9997,D4811,Calendar!$C$2:$C$9997,C4811)*INDEX(ForeCalc!$B$37:$Y$274,MATCH(_xlfn.CONCAT(H4811," ",I4811),ForeCalc!$A$37:$A$274,0),MATCH(_xlfn.CONCAT(B4811," ",E4811),ForeCalc!$B$36:$Y$36,0))))*VLOOKUP(A4811,Calendar!$A$2:$H$9997,8,FALSE),0)</f>
        <v/>
      </c>
      <c r="G4811" s="29">
        <f>VLOOKUP(A4811,Calendar!$A$1:$H$9997,6,FALSE)-F4811</f>
        <v/>
      </c>
      <c r="H4811" s="19" t="n">
        <v>2</v>
      </c>
      <c r="I4811" s="57" t="n">
        <v>2</v>
      </c>
    </row>
    <row r="4812">
      <c r="A4812" s="62" t="n">
        <v>46539</v>
      </c>
      <c r="B4812" s="3" t="inlineStr">
        <is>
          <t>Week</t>
        </is>
      </c>
      <c r="C4812" s="19" t="n">
        <v>6</v>
      </c>
      <c r="D4812" s="19" t="n">
        <v>2027</v>
      </c>
      <c r="E4812" s="57" t="n">
        <v>5</v>
      </c>
      <c r="F4812" s="29">
        <f>ROUND(((SUMIFS(Calendar!$F$2:$F$9997,Calendar!$B$2:$B$9997,D4812,Calendar!$C$2:$C$9997,C4812)*INDEX(ForeCalc!$B$37:$Y$274,MATCH(_xlfn.CONCAT(H4812," ",I4812),ForeCalc!$A$37:$A$274,0),MATCH(_xlfn.CONCAT(B4812," ",E4812),ForeCalc!$B$36:$Y$36,0))))*VLOOKUP(A4812,Calendar!$A$2:$H$9997,8,FALSE),0)</f>
        <v/>
      </c>
      <c r="G4812" s="29">
        <f>VLOOKUP(A4812,Calendar!$A$1:$H$9997,6,FALSE)-F4812</f>
        <v/>
      </c>
      <c r="H4812" s="19" t="n">
        <v>2</v>
      </c>
      <c r="I4812" s="57" t="n">
        <v>3</v>
      </c>
    </row>
    <row r="4813">
      <c r="A4813" s="62" t="n">
        <v>46540</v>
      </c>
      <c r="B4813" s="3" t="inlineStr">
        <is>
          <t>Week</t>
        </is>
      </c>
      <c r="C4813" s="19" t="n">
        <v>6</v>
      </c>
      <c r="D4813" s="19" t="n">
        <v>2027</v>
      </c>
      <c r="E4813" s="57" t="n">
        <v>5</v>
      </c>
      <c r="F4813" s="29">
        <f>ROUND(((SUMIFS(Calendar!$F$2:$F$9997,Calendar!$B$2:$B$9997,D4813,Calendar!$C$2:$C$9997,C4813)*INDEX(ForeCalc!$B$37:$Y$274,MATCH(_xlfn.CONCAT(H4813," ",I4813),ForeCalc!$A$37:$A$274,0),MATCH(_xlfn.CONCAT(B4813," ",E4813),ForeCalc!$B$36:$Y$36,0))))*VLOOKUP(A4813,Calendar!$A$2:$H$9997,8,FALSE),0)</f>
        <v/>
      </c>
      <c r="G4813" s="29">
        <f>VLOOKUP(A4813,Calendar!$A$1:$H$9997,6,FALSE)-F4813</f>
        <v/>
      </c>
      <c r="H4813" s="19" t="n">
        <v>2</v>
      </c>
      <c r="I4813" s="57" t="n">
        <v>3</v>
      </c>
    </row>
    <row r="4814">
      <c r="A4814" s="62" t="n">
        <v>46541</v>
      </c>
      <c r="B4814" s="3" t="inlineStr">
        <is>
          <t>Week</t>
        </is>
      </c>
      <c r="C4814" s="19" t="n">
        <v>6</v>
      </c>
      <c r="D4814" s="19" t="n">
        <v>2027</v>
      </c>
      <c r="E4814" s="57" t="n">
        <v>5</v>
      </c>
      <c r="F4814" s="29">
        <f>ROUND(((SUMIFS(Calendar!$F$2:$F$9997,Calendar!$B$2:$B$9997,D4814,Calendar!$C$2:$C$9997,C4814)*INDEX(ForeCalc!$B$37:$Y$274,MATCH(_xlfn.CONCAT(H4814," ",I4814),ForeCalc!$A$37:$A$274,0),MATCH(_xlfn.CONCAT(B4814," ",E4814),ForeCalc!$B$36:$Y$36,0))))*VLOOKUP(A4814,Calendar!$A$2:$H$9997,8,FALSE),0)</f>
        <v/>
      </c>
      <c r="G4814" s="29">
        <f>VLOOKUP(A4814,Calendar!$A$1:$H$9997,6,FALSE)-F4814</f>
        <v/>
      </c>
      <c r="H4814" s="19" t="n">
        <v>2</v>
      </c>
      <c r="I4814" s="57" t="n">
        <v>3</v>
      </c>
    </row>
    <row r="4815">
      <c r="A4815" s="62" t="n">
        <v>46542</v>
      </c>
      <c r="B4815" s="3" t="inlineStr">
        <is>
          <t>Week</t>
        </is>
      </c>
      <c r="C4815" s="19" t="n">
        <v>6</v>
      </c>
      <c r="D4815" s="19" t="n">
        <v>2027</v>
      </c>
      <c r="E4815" s="57" t="n">
        <v>5</v>
      </c>
      <c r="F4815" s="29">
        <f>ROUND(((SUMIFS(Calendar!$F$2:$F$9997,Calendar!$B$2:$B$9997,D4815,Calendar!$C$2:$C$9997,C4815)*INDEX(ForeCalc!$B$37:$Y$274,MATCH(_xlfn.CONCAT(H4815," ",I4815),ForeCalc!$A$37:$A$274,0),MATCH(_xlfn.CONCAT(B4815," ",E4815),ForeCalc!$B$36:$Y$36,0))))*VLOOKUP(A4815,Calendar!$A$2:$H$9997,8,FALSE),0)</f>
        <v/>
      </c>
      <c r="G4815" s="29">
        <f>VLOOKUP(A4815,Calendar!$A$1:$H$9997,6,FALSE)-F4815</f>
        <v/>
      </c>
      <c r="H4815" s="19" t="n">
        <v>2</v>
      </c>
      <c r="I4815" s="57" t="n">
        <v>3</v>
      </c>
    </row>
    <row r="4816">
      <c r="A4816" s="62" t="n">
        <v>46543</v>
      </c>
      <c r="B4816" s="3" t="inlineStr">
        <is>
          <t>Sat</t>
        </is>
      </c>
      <c r="C4816" s="19" t="n">
        <v>6</v>
      </c>
      <c r="D4816" s="19" t="n">
        <v>2027</v>
      </c>
      <c r="E4816" s="57" t="n">
        <v>5</v>
      </c>
      <c r="F4816" s="29">
        <f>ROUND(((SUMIFS(Calendar!$F$2:$F$9997,Calendar!$B$2:$B$9997,D4816,Calendar!$C$2:$C$9997,C4816)*INDEX(ForeCalc!$B$37:$Y$274,MATCH(_xlfn.CONCAT(H4816," ",I4816),ForeCalc!$A$37:$A$274,0),MATCH(_xlfn.CONCAT(B4816," ",E4816),ForeCalc!$B$36:$Y$36,0))))*VLOOKUP(A4816,Calendar!$A$2:$H$9997,8,FALSE),0)</f>
        <v/>
      </c>
      <c r="G4816" s="29">
        <f>VLOOKUP(A4816,Calendar!$A$1:$H$9997,6,FALSE)-F4816</f>
        <v/>
      </c>
      <c r="H4816" s="19" t="n">
        <v>2</v>
      </c>
      <c r="I4816" s="57" t="n">
        <v>3</v>
      </c>
    </row>
    <row r="4817">
      <c r="A4817" s="62" t="n">
        <v>46544</v>
      </c>
      <c r="B4817" s="3" t="inlineStr">
        <is>
          <t>Sun</t>
        </is>
      </c>
      <c r="C4817" s="19" t="n">
        <v>6</v>
      </c>
      <c r="D4817" s="19" t="n">
        <v>2027</v>
      </c>
      <c r="E4817" s="57" t="n">
        <v>5</v>
      </c>
      <c r="F4817" s="29">
        <f>ROUND(((SUMIFS(Calendar!$F$2:$F$9997,Calendar!$B$2:$B$9997,D4817,Calendar!$C$2:$C$9997,C4817)*INDEX(ForeCalc!$B$37:$Y$274,MATCH(_xlfn.CONCAT(H4817," ",I4817),ForeCalc!$A$37:$A$274,0),MATCH(_xlfn.CONCAT(B4817," ",E4817),ForeCalc!$B$36:$Y$36,0))))*VLOOKUP(A4817,Calendar!$A$2:$H$9997,8,FALSE),0)</f>
        <v/>
      </c>
      <c r="G4817" s="29">
        <f>VLOOKUP(A4817,Calendar!$A$1:$H$9997,6,FALSE)-F4817</f>
        <v/>
      </c>
      <c r="H4817" s="19" t="n">
        <v>2</v>
      </c>
      <c r="I4817" s="57" t="n">
        <v>3</v>
      </c>
    </row>
    <row r="4818">
      <c r="A4818" s="62" t="n">
        <v>46545</v>
      </c>
      <c r="B4818" s="3" t="inlineStr">
        <is>
          <t>Week</t>
        </is>
      </c>
      <c r="C4818" s="19" t="n">
        <v>6</v>
      </c>
      <c r="D4818" s="19" t="n">
        <v>2027</v>
      </c>
      <c r="E4818" s="57" t="n">
        <v>5</v>
      </c>
      <c r="F4818" s="29">
        <f>ROUND(((SUMIFS(Calendar!$F$2:$F$9997,Calendar!$B$2:$B$9997,D4818,Calendar!$C$2:$C$9997,C4818)*INDEX(ForeCalc!$B$37:$Y$274,MATCH(_xlfn.CONCAT(H4818," ",I4818),ForeCalc!$A$37:$A$274,0),MATCH(_xlfn.CONCAT(B4818," ",E4818),ForeCalc!$B$36:$Y$36,0))))*VLOOKUP(A4818,Calendar!$A$2:$H$9997,8,FALSE),0)</f>
        <v/>
      </c>
      <c r="G4818" s="29">
        <f>VLOOKUP(A4818,Calendar!$A$1:$H$9997,6,FALSE)-F4818</f>
        <v/>
      </c>
      <c r="H4818" s="19" t="n">
        <v>2</v>
      </c>
      <c r="I4818" s="57" t="n">
        <v>3</v>
      </c>
    </row>
    <row r="4819">
      <c r="A4819" s="62" t="n">
        <v>46546</v>
      </c>
      <c r="B4819" s="3" t="inlineStr">
        <is>
          <t>Week</t>
        </is>
      </c>
      <c r="C4819" s="19" t="n">
        <v>6</v>
      </c>
      <c r="D4819" s="19" t="n">
        <v>2027</v>
      </c>
      <c r="E4819" s="57" t="n">
        <v>5</v>
      </c>
      <c r="F4819" s="29">
        <f>ROUND(((SUMIFS(Calendar!$F$2:$F$9997,Calendar!$B$2:$B$9997,D4819,Calendar!$C$2:$C$9997,C4819)*INDEX(ForeCalc!$B$37:$Y$274,MATCH(_xlfn.CONCAT(H4819," ",I4819),ForeCalc!$A$37:$A$274,0),MATCH(_xlfn.CONCAT(B4819," ",E4819),ForeCalc!$B$36:$Y$36,0))))*VLOOKUP(A4819,Calendar!$A$2:$H$9997,8,FALSE),0)</f>
        <v/>
      </c>
      <c r="G4819" s="29">
        <f>VLOOKUP(A4819,Calendar!$A$1:$H$9997,6,FALSE)-F4819</f>
        <v/>
      </c>
      <c r="H4819" s="19" t="n">
        <v>2</v>
      </c>
      <c r="I4819" s="57" t="n">
        <v>3</v>
      </c>
    </row>
    <row r="4820">
      <c r="A4820" s="62" t="n">
        <v>46547</v>
      </c>
      <c r="B4820" s="3" t="inlineStr">
        <is>
          <t>Week</t>
        </is>
      </c>
      <c r="C4820" s="19" t="n">
        <v>6</v>
      </c>
      <c r="D4820" s="19" t="n">
        <v>2027</v>
      </c>
      <c r="E4820" s="57" t="n">
        <v>5</v>
      </c>
      <c r="F4820" s="29">
        <f>ROUND(((SUMIFS(Calendar!$F$2:$F$9997,Calendar!$B$2:$B$9997,D4820,Calendar!$C$2:$C$9997,C4820)*INDEX(ForeCalc!$B$37:$Y$274,MATCH(_xlfn.CONCAT(H4820," ",I4820),ForeCalc!$A$37:$A$274,0),MATCH(_xlfn.CONCAT(B4820," ",E4820),ForeCalc!$B$36:$Y$36,0))))*VLOOKUP(A4820,Calendar!$A$2:$H$9997,8,FALSE),0)</f>
        <v/>
      </c>
      <c r="G4820" s="29">
        <f>VLOOKUP(A4820,Calendar!$A$1:$H$9997,6,FALSE)-F4820</f>
        <v/>
      </c>
      <c r="H4820" s="19" t="n">
        <v>2</v>
      </c>
      <c r="I4820" s="57" t="n">
        <v>3</v>
      </c>
    </row>
    <row r="4821">
      <c r="A4821" s="62" t="n">
        <v>46548</v>
      </c>
      <c r="B4821" s="3" t="inlineStr">
        <is>
          <t>Week</t>
        </is>
      </c>
      <c r="C4821" s="19" t="n">
        <v>6</v>
      </c>
      <c r="D4821" s="19" t="n">
        <v>2027</v>
      </c>
      <c r="E4821" s="57" t="n">
        <v>5</v>
      </c>
      <c r="F4821" s="29">
        <f>ROUND(((SUMIFS(Calendar!$F$2:$F$9997,Calendar!$B$2:$B$9997,D4821,Calendar!$C$2:$C$9997,C4821)*INDEX(ForeCalc!$B$37:$Y$274,MATCH(_xlfn.CONCAT(H4821," ",I4821),ForeCalc!$A$37:$A$274,0),MATCH(_xlfn.CONCAT(B4821," ",E4821),ForeCalc!$B$36:$Y$36,0))))*VLOOKUP(A4821,Calendar!$A$2:$H$9997,8,FALSE),0)</f>
        <v/>
      </c>
      <c r="G4821" s="29">
        <f>VLOOKUP(A4821,Calendar!$A$1:$H$9997,6,FALSE)-F4821</f>
        <v/>
      </c>
      <c r="H4821" s="19" t="n">
        <v>2</v>
      </c>
      <c r="I4821" s="57" t="n">
        <v>3</v>
      </c>
    </row>
    <row r="4822">
      <c r="A4822" s="62" t="n">
        <v>46549</v>
      </c>
      <c r="B4822" s="3" t="inlineStr">
        <is>
          <t>Week</t>
        </is>
      </c>
      <c r="C4822" s="19" t="n">
        <v>6</v>
      </c>
      <c r="D4822" s="19" t="n">
        <v>2027</v>
      </c>
      <c r="E4822" s="57" t="n">
        <v>5</v>
      </c>
      <c r="F4822" s="29">
        <f>ROUND(((SUMIFS(Calendar!$F$2:$F$9997,Calendar!$B$2:$B$9997,D4822,Calendar!$C$2:$C$9997,C4822)*INDEX(ForeCalc!$B$37:$Y$274,MATCH(_xlfn.CONCAT(H4822," ",I4822),ForeCalc!$A$37:$A$274,0),MATCH(_xlfn.CONCAT(B4822," ",E4822),ForeCalc!$B$36:$Y$36,0))))*VLOOKUP(A4822,Calendar!$A$2:$H$9997,8,FALSE),0)</f>
        <v/>
      </c>
      <c r="G4822" s="29">
        <f>VLOOKUP(A4822,Calendar!$A$1:$H$9997,6,FALSE)-F4822</f>
        <v/>
      </c>
      <c r="H4822" s="19" t="n">
        <v>2</v>
      </c>
      <c r="I4822" s="57" t="n">
        <v>3</v>
      </c>
    </row>
    <row r="4823">
      <c r="A4823" s="62" t="n">
        <v>46550</v>
      </c>
      <c r="B4823" s="3" t="inlineStr">
        <is>
          <t>Sat</t>
        </is>
      </c>
      <c r="C4823" s="19" t="n">
        <v>6</v>
      </c>
      <c r="D4823" s="19" t="n">
        <v>2027</v>
      </c>
      <c r="E4823" s="57" t="n">
        <v>5</v>
      </c>
      <c r="F4823" s="29">
        <f>ROUND(((SUMIFS(Calendar!$F$2:$F$9997,Calendar!$B$2:$B$9997,D4823,Calendar!$C$2:$C$9997,C4823)*INDEX(ForeCalc!$B$37:$Y$274,MATCH(_xlfn.CONCAT(H4823," ",I4823),ForeCalc!$A$37:$A$274,0),MATCH(_xlfn.CONCAT(B4823," ",E4823),ForeCalc!$B$36:$Y$36,0))))*VLOOKUP(A4823,Calendar!$A$2:$H$9997,8,FALSE),0)</f>
        <v/>
      </c>
      <c r="G4823" s="29">
        <f>VLOOKUP(A4823,Calendar!$A$1:$H$9997,6,FALSE)-F4823</f>
        <v/>
      </c>
      <c r="H4823" s="19" t="n">
        <v>2</v>
      </c>
      <c r="I4823" s="57" t="n">
        <v>3</v>
      </c>
    </row>
    <row r="4824">
      <c r="A4824" s="62" t="n">
        <v>46551</v>
      </c>
      <c r="B4824" s="3" t="inlineStr">
        <is>
          <t>Sun</t>
        </is>
      </c>
      <c r="C4824" s="19" t="n">
        <v>6</v>
      </c>
      <c r="D4824" s="19" t="n">
        <v>2027</v>
      </c>
      <c r="E4824" s="57" t="n">
        <v>5</v>
      </c>
      <c r="F4824" s="29">
        <f>ROUND(((SUMIFS(Calendar!$F$2:$F$9997,Calendar!$B$2:$B$9997,D4824,Calendar!$C$2:$C$9997,C4824)*INDEX(ForeCalc!$B$37:$Y$274,MATCH(_xlfn.CONCAT(H4824," ",I4824),ForeCalc!$A$37:$A$274,0),MATCH(_xlfn.CONCAT(B4824," ",E4824),ForeCalc!$B$36:$Y$36,0))))*VLOOKUP(A4824,Calendar!$A$2:$H$9997,8,FALSE),0)</f>
        <v/>
      </c>
      <c r="G4824" s="29">
        <f>VLOOKUP(A4824,Calendar!$A$1:$H$9997,6,FALSE)-F4824</f>
        <v/>
      </c>
      <c r="H4824" s="19" t="n">
        <v>2</v>
      </c>
      <c r="I4824" s="57" t="n">
        <v>3</v>
      </c>
    </row>
    <row r="4825">
      <c r="A4825" s="62" t="n">
        <v>46552</v>
      </c>
      <c r="B4825" s="3" t="inlineStr">
        <is>
          <t>Week</t>
        </is>
      </c>
      <c r="C4825" s="19" t="n">
        <v>6</v>
      </c>
      <c r="D4825" s="19" t="n">
        <v>2027</v>
      </c>
      <c r="E4825" s="57" t="n">
        <v>5</v>
      </c>
      <c r="F4825" s="29">
        <f>ROUND(((SUMIFS(Calendar!$F$2:$F$9997,Calendar!$B$2:$B$9997,D4825,Calendar!$C$2:$C$9997,C4825)*INDEX(ForeCalc!$B$37:$Y$274,MATCH(_xlfn.CONCAT(H4825," ",I4825),ForeCalc!$A$37:$A$274,0),MATCH(_xlfn.CONCAT(B4825," ",E4825),ForeCalc!$B$36:$Y$36,0))))*VLOOKUP(A4825,Calendar!$A$2:$H$9997,8,FALSE),0)</f>
        <v/>
      </c>
      <c r="G4825" s="29">
        <f>VLOOKUP(A4825,Calendar!$A$1:$H$9997,6,FALSE)-F4825</f>
        <v/>
      </c>
      <c r="H4825" s="19" t="n">
        <v>2</v>
      </c>
      <c r="I4825" s="57" t="n">
        <v>3</v>
      </c>
    </row>
    <row r="4826">
      <c r="A4826" s="62" t="n">
        <v>46553</v>
      </c>
      <c r="B4826" s="3" t="inlineStr">
        <is>
          <t>Week</t>
        </is>
      </c>
      <c r="C4826" s="19" t="n">
        <v>6</v>
      </c>
      <c r="D4826" s="19" t="n">
        <v>2027</v>
      </c>
      <c r="E4826" s="57" t="n">
        <v>5</v>
      </c>
      <c r="F4826" s="29">
        <f>ROUND(((SUMIFS(Calendar!$F$2:$F$9997,Calendar!$B$2:$B$9997,D4826,Calendar!$C$2:$C$9997,C4826)*INDEX(ForeCalc!$B$37:$Y$274,MATCH(_xlfn.CONCAT(H4826," ",I4826),ForeCalc!$A$37:$A$274,0),MATCH(_xlfn.CONCAT(B4826," ",E4826),ForeCalc!$B$36:$Y$36,0))))*VLOOKUP(A4826,Calendar!$A$2:$H$9997,8,FALSE),0)</f>
        <v/>
      </c>
      <c r="G4826" s="29">
        <f>VLOOKUP(A4826,Calendar!$A$1:$H$9997,6,FALSE)-F4826</f>
        <v/>
      </c>
      <c r="H4826" s="19" t="n">
        <v>2</v>
      </c>
      <c r="I4826" s="57" t="n">
        <v>3</v>
      </c>
    </row>
    <row r="4827">
      <c r="A4827" s="62" t="n">
        <v>46554</v>
      </c>
      <c r="B4827" s="3" t="inlineStr">
        <is>
          <t>Week</t>
        </is>
      </c>
      <c r="C4827" s="19" t="n">
        <v>6</v>
      </c>
      <c r="D4827" s="19" t="n">
        <v>2027</v>
      </c>
      <c r="E4827" s="57" t="n">
        <v>5</v>
      </c>
      <c r="F4827" s="29">
        <f>ROUND(((SUMIFS(Calendar!$F$2:$F$9997,Calendar!$B$2:$B$9997,D4827,Calendar!$C$2:$C$9997,C4827)*INDEX(ForeCalc!$B$37:$Y$274,MATCH(_xlfn.CONCAT(H4827," ",I4827),ForeCalc!$A$37:$A$274,0),MATCH(_xlfn.CONCAT(B4827," ",E4827),ForeCalc!$B$36:$Y$36,0))))*VLOOKUP(A4827,Calendar!$A$2:$H$9997,8,FALSE),0)</f>
        <v/>
      </c>
      <c r="G4827" s="29">
        <f>VLOOKUP(A4827,Calendar!$A$1:$H$9997,6,FALSE)-F4827</f>
        <v/>
      </c>
      <c r="H4827" s="19" t="n">
        <v>2</v>
      </c>
      <c r="I4827" s="57" t="n">
        <v>3</v>
      </c>
    </row>
    <row r="4828">
      <c r="A4828" s="62" t="n">
        <v>46555</v>
      </c>
      <c r="B4828" s="3" t="inlineStr">
        <is>
          <t>Week</t>
        </is>
      </c>
      <c r="C4828" s="19" t="n">
        <v>6</v>
      </c>
      <c r="D4828" s="19" t="n">
        <v>2027</v>
      </c>
      <c r="E4828" s="57" t="n">
        <v>5</v>
      </c>
      <c r="F4828" s="29">
        <f>ROUND(((SUMIFS(Calendar!$F$2:$F$9997,Calendar!$B$2:$B$9997,D4828,Calendar!$C$2:$C$9997,C4828)*INDEX(ForeCalc!$B$37:$Y$274,MATCH(_xlfn.CONCAT(H4828," ",I4828),ForeCalc!$A$37:$A$274,0),MATCH(_xlfn.CONCAT(B4828," ",E4828),ForeCalc!$B$36:$Y$36,0))))*VLOOKUP(A4828,Calendar!$A$2:$H$9997,8,FALSE),0)</f>
        <v/>
      </c>
      <c r="G4828" s="29">
        <f>VLOOKUP(A4828,Calendar!$A$1:$H$9997,6,FALSE)-F4828</f>
        <v/>
      </c>
      <c r="H4828" s="19" t="n">
        <v>2</v>
      </c>
      <c r="I4828" s="57" t="n">
        <v>3</v>
      </c>
    </row>
    <row r="4829">
      <c r="A4829" s="62" t="n">
        <v>46556</v>
      </c>
      <c r="B4829" s="3" t="inlineStr">
        <is>
          <t>Week</t>
        </is>
      </c>
      <c r="C4829" s="19" t="n">
        <v>6</v>
      </c>
      <c r="D4829" s="19" t="n">
        <v>2027</v>
      </c>
      <c r="E4829" s="57" t="n">
        <v>5</v>
      </c>
      <c r="F4829" s="29">
        <f>ROUND(((SUMIFS(Calendar!$F$2:$F$9997,Calendar!$B$2:$B$9997,D4829,Calendar!$C$2:$C$9997,C4829)*INDEX(ForeCalc!$B$37:$Y$274,MATCH(_xlfn.CONCAT(H4829," ",I4829),ForeCalc!$A$37:$A$274,0),MATCH(_xlfn.CONCAT(B4829," ",E4829),ForeCalc!$B$36:$Y$36,0))))*VLOOKUP(A4829,Calendar!$A$2:$H$9997,8,FALSE),0)</f>
        <v/>
      </c>
      <c r="G4829" s="29">
        <f>VLOOKUP(A4829,Calendar!$A$1:$H$9997,6,FALSE)-F4829</f>
        <v/>
      </c>
      <c r="H4829" s="19" t="n">
        <v>2</v>
      </c>
      <c r="I4829" s="57" t="n">
        <v>3</v>
      </c>
    </row>
    <row r="4830">
      <c r="A4830" s="62" t="n">
        <v>46557</v>
      </c>
      <c r="B4830" s="3" t="inlineStr">
        <is>
          <t>Sat</t>
        </is>
      </c>
      <c r="C4830" s="19" t="n">
        <v>6</v>
      </c>
      <c r="D4830" s="19" t="n">
        <v>2027</v>
      </c>
      <c r="E4830" s="57" t="n">
        <v>5</v>
      </c>
      <c r="F4830" s="29">
        <f>ROUND(((SUMIFS(Calendar!$F$2:$F$9997,Calendar!$B$2:$B$9997,D4830,Calendar!$C$2:$C$9997,C4830)*INDEX(ForeCalc!$B$37:$Y$274,MATCH(_xlfn.CONCAT(H4830," ",I4830),ForeCalc!$A$37:$A$274,0),MATCH(_xlfn.CONCAT(B4830," ",E4830),ForeCalc!$B$36:$Y$36,0))))*VLOOKUP(A4830,Calendar!$A$2:$H$9997,8,FALSE),0)</f>
        <v/>
      </c>
      <c r="G4830" s="29">
        <f>VLOOKUP(A4830,Calendar!$A$1:$H$9997,6,FALSE)-F4830</f>
        <v/>
      </c>
      <c r="H4830" s="19" t="n">
        <v>2</v>
      </c>
      <c r="I4830" s="57" t="n">
        <v>3</v>
      </c>
    </row>
    <row r="4831">
      <c r="A4831" s="62" t="n">
        <v>46558</v>
      </c>
      <c r="B4831" s="3" t="inlineStr">
        <is>
          <t>Sun</t>
        </is>
      </c>
      <c r="C4831" s="19" t="n">
        <v>6</v>
      </c>
      <c r="D4831" s="19" t="n">
        <v>2027</v>
      </c>
      <c r="E4831" s="57" t="n">
        <v>5</v>
      </c>
      <c r="F4831" s="29">
        <f>ROUND(((SUMIFS(Calendar!$F$2:$F$9997,Calendar!$B$2:$B$9997,D4831,Calendar!$C$2:$C$9997,C4831)*INDEX(ForeCalc!$B$37:$Y$274,MATCH(_xlfn.CONCAT(H4831," ",I4831),ForeCalc!$A$37:$A$274,0),MATCH(_xlfn.CONCAT(B4831," ",E4831),ForeCalc!$B$36:$Y$36,0))))*VLOOKUP(A4831,Calendar!$A$2:$H$9997,8,FALSE),0)</f>
        <v/>
      </c>
      <c r="G4831" s="29">
        <f>VLOOKUP(A4831,Calendar!$A$1:$H$9997,6,FALSE)-F4831</f>
        <v/>
      </c>
      <c r="H4831" s="19" t="n">
        <v>2</v>
      </c>
      <c r="I4831" s="57" t="n">
        <v>3</v>
      </c>
    </row>
    <row r="4832">
      <c r="A4832" s="62" t="n">
        <v>46559</v>
      </c>
      <c r="B4832" s="3" t="inlineStr">
        <is>
          <t>Week</t>
        </is>
      </c>
      <c r="C4832" s="19" t="n">
        <v>6</v>
      </c>
      <c r="D4832" s="19" t="n">
        <v>2027</v>
      </c>
      <c r="E4832" s="57" t="n">
        <v>5</v>
      </c>
      <c r="F4832" s="29">
        <f>ROUND(((SUMIFS(Calendar!$F$2:$F$9997,Calendar!$B$2:$B$9997,D4832,Calendar!$C$2:$C$9997,C4832)*INDEX(ForeCalc!$B$37:$Y$274,MATCH(_xlfn.CONCAT(H4832," ",I4832),ForeCalc!$A$37:$A$274,0),MATCH(_xlfn.CONCAT(B4832," ",E4832),ForeCalc!$B$36:$Y$36,0))))*VLOOKUP(A4832,Calendar!$A$2:$H$9997,8,FALSE),0)</f>
        <v/>
      </c>
      <c r="G4832" s="29">
        <f>VLOOKUP(A4832,Calendar!$A$1:$H$9997,6,FALSE)-F4832</f>
        <v/>
      </c>
      <c r="H4832" s="19" t="n">
        <v>2</v>
      </c>
      <c r="I4832" s="57" t="n">
        <v>3</v>
      </c>
    </row>
    <row r="4833">
      <c r="A4833" s="62" t="n">
        <v>46560</v>
      </c>
      <c r="B4833" s="3" t="inlineStr">
        <is>
          <t>Week</t>
        </is>
      </c>
      <c r="C4833" s="19" t="n">
        <v>6</v>
      </c>
      <c r="D4833" s="19" t="n">
        <v>2027</v>
      </c>
      <c r="E4833" s="57" t="n">
        <v>5</v>
      </c>
      <c r="F4833" s="29">
        <f>ROUND(((SUMIFS(Calendar!$F$2:$F$9997,Calendar!$B$2:$B$9997,D4833,Calendar!$C$2:$C$9997,C4833)*INDEX(ForeCalc!$B$37:$Y$274,MATCH(_xlfn.CONCAT(H4833," ",I4833),ForeCalc!$A$37:$A$274,0),MATCH(_xlfn.CONCAT(B4833," ",E4833),ForeCalc!$B$36:$Y$36,0))))*VLOOKUP(A4833,Calendar!$A$2:$H$9997,8,FALSE),0)</f>
        <v/>
      </c>
      <c r="G4833" s="29">
        <f>VLOOKUP(A4833,Calendar!$A$1:$H$9997,6,FALSE)-F4833</f>
        <v/>
      </c>
      <c r="H4833" s="19" t="n">
        <v>2</v>
      </c>
      <c r="I4833" s="57" t="n">
        <v>3</v>
      </c>
    </row>
    <row r="4834">
      <c r="A4834" s="62" t="n">
        <v>46561</v>
      </c>
      <c r="B4834" s="3" t="inlineStr">
        <is>
          <t>Week</t>
        </is>
      </c>
      <c r="C4834" s="19" t="n">
        <v>6</v>
      </c>
      <c r="D4834" s="19" t="n">
        <v>2027</v>
      </c>
      <c r="E4834" s="57" t="n">
        <v>5</v>
      </c>
      <c r="F4834" s="29">
        <f>ROUND(((SUMIFS(Calendar!$F$2:$F$9997,Calendar!$B$2:$B$9997,D4834,Calendar!$C$2:$C$9997,C4834)*INDEX(ForeCalc!$B$37:$Y$274,MATCH(_xlfn.CONCAT(H4834," ",I4834),ForeCalc!$A$37:$A$274,0),MATCH(_xlfn.CONCAT(B4834," ",E4834),ForeCalc!$B$36:$Y$36,0))))*VLOOKUP(A4834,Calendar!$A$2:$H$9997,8,FALSE),0)</f>
        <v/>
      </c>
      <c r="G4834" s="29">
        <f>VLOOKUP(A4834,Calendar!$A$1:$H$9997,6,FALSE)-F4834</f>
        <v/>
      </c>
      <c r="H4834" s="19" t="n">
        <v>2</v>
      </c>
      <c r="I4834" s="57" t="n">
        <v>3</v>
      </c>
    </row>
    <row r="4835">
      <c r="A4835" s="62" t="n">
        <v>46562</v>
      </c>
      <c r="B4835" s="3" t="inlineStr">
        <is>
          <t>Week</t>
        </is>
      </c>
      <c r="C4835" s="19" t="n">
        <v>6</v>
      </c>
      <c r="D4835" s="19" t="n">
        <v>2027</v>
      </c>
      <c r="E4835" s="57" t="n">
        <v>5</v>
      </c>
      <c r="F4835" s="29">
        <f>ROUND(((SUMIFS(Calendar!$F$2:$F$9997,Calendar!$B$2:$B$9997,D4835,Calendar!$C$2:$C$9997,C4835)*INDEX(ForeCalc!$B$37:$Y$274,MATCH(_xlfn.CONCAT(H4835," ",I4835),ForeCalc!$A$37:$A$274,0),MATCH(_xlfn.CONCAT(B4835," ",E4835),ForeCalc!$B$36:$Y$36,0))))*VLOOKUP(A4835,Calendar!$A$2:$H$9997,8,FALSE),0)</f>
        <v/>
      </c>
      <c r="G4835" s="29">
        <f>VLOOKUP(A4835,Calendar!$A$1:$H$9997,6,FALSE)-F4835</f>
        <v/>
      </c>
      <c r="H4835" s="19" t="n">
        <v>2</v>
      </c>
      <c r="I4835" s="57" t="n">
        <v>3</v>
      </c>
    </row>
    <row r="4836">
      <c r="A4836" s="62" t="n">
        <v>46563</v>
      </c>
      <c r="B4836" s="3" t="inlineStr">
        <is>
          <t>Week</t>
        </is>
      </c>
      <c r="C4836" s="19" t="n">
        <v>6</v>
      </c>
      <c r="D4836" s="19" t="n">
        <v>2027</v>
      </c>
      <c r="E4836" s="57" t="n">
        <v>5</v>
      </c>
      <c r="F4836" s="29">
        <f>ROUND(((SUMIFS(Calendar!$F$2:$F$9997,Calendar!$B$2:$B$9997,D4836,Calendar!$C$2:$C$9997,C4836)*INDEX(ForeCalc!$B$37:$Y$274,MATCH(_xlfn.CONCAT(H4836," ",I4836),ForeCalc!$A$37:$A$274,0),MATCH(_xlfn.CONCAT(B4836," ",E4836),ForeCalc!$B$36:$Y$36,0))))*VLOOKUP(A4836,Calendar!$A$2:$H$9997,8,FALSE),0)</f>
        <v/>
      </c>
      <c r="G4836" s="29">
        <f>VLOOKUP(A4836,Calendar!$A$1:$H$9997,6,FALSE)-F4836</f>
        <v/>
      </c>
      <c r="H4836" s="19" t="n">
        <v>2</v>
      </c>
      <c r="I4836" s="57" t="n">
        <v>3</v>
      </c>
    </row>
    <row r="4837">
      <c r="A4837" s="62" t="n">
        <v>46564</v>
      </c>
      <c r="B4837" s="3" t="inlineStr">
        <is>
          <t>Sat</t>
        </is>
      </c>
      <c r="C4837" s="19" t="n">
        <v>6</v>
      </c>
      <c r="D4837" s="19" t="n">
        <v>2027</v>
      </c>
      <c r="E4837" s="57" t="n">
        <v>5</v>
      </c>
      <c r="F4837" s="29">
        <f>ROUND(((SUMIFS(Calendar!$F$2:$F$9997,Calendar!$B$2:$B$9997,D4837,Calendar!$C$2:$C$9997,C4837)*INDEX(ForeCalc!$B$37:$Y$274,MATCH(_xlfn.CONCAT(H4837," ",I4837),ForeCalc!$A$37:$A$274,0),MATCH(_xlfn.CONCAT(B4837," ",E4837),ForeCalc!$B$36:$Y$36,0))))*VLOOKUP(A4837,Calendar!$A$2:$H$9997,8,FALSE),0)</f>
        <v/>
      </c>
      <c r="G4837" s="29">
        <f>VLOOKUP(A4837,Calendar!$A$1:$H$9997,6,FALSE)-F4837</f>
        <v/>
      </c>
      <c r="H4837" s="19" t="n">
        <v>2</v>
      </c>
      <c r="I4837" s="57" t="n">
        <v>3</v>
      </c>
    </row>
    <row r="4838">
      <c r="A4838" s="62" t="n">
        <v>46565</v>
      </c>
      <c r="B4838" s="3" t="inlineStr">
        <is>
          <t>Sun</t>
        </is>
      </c>
      <c r="C4838" s="19" t="n">
        <v>6</v>
      </c>
      <c r="D4838" s="19" t="n">
        <v>2027</v>
      </c>
      <c r="E4838" s="57" t="n">
        <v>5</v>
      </c>
      <c r="F4838" s="29">
        <f>ROUND(((SUMIFS(Calendar!$F$2:$F$9997,Calendar!$B$2:$B$9997,D4838,Calendar!$C$2:$C$9997,C4838)*INDEX(ForeCalc!$B$37:$Y$274,MATCH(_xlfn.CONCAT(H4838," ",I4838),ForeCalc!$A$37:$A$274,0),MATCH(_xlfn.CONCAT(B4838," ",E4838),ForeCalc!$B$36:$Y$36,0))))*VLOOKUP(A4838,Calendar!$A$2:$H$9997,8,FALSE),0)</f>
        <v/>
      </c>
      <c r="G4838" s="29">
        <f>VLOOKUP(A4838,Calendar!$A$1:$H$9997,6,FALSE)-F4838</f>
        <v/>
      </c>
      <c r="H4838" s="19" t="n">
        <v>2</v>
      </c>
      <c r="I4838" s="57" t="n">
        <v>3</v>
      </c>
    </row>
    <row r="4839">
      <c r="A4839" s="62" t="n">
        <v>46566</v>
      </c>
      <c r="B4839" s="3" t="inlineStr">
        <is>
          <t>Week</t>
        </is>
      </c>
      <c r="C4839" s="19" t="n">
        <v>6</v>
      </c>
      <c r="D4839" s="19" t="n">
        <v>2027</v>
      </c>
      <c r="E4839" s="57" t="n">
        <v>5</v>
      </c>
      <c r="F4839" s="29">
        <f>ROUND(((SUMIFS(Calendar!$F$2:$F$9997,Calendar!$B$2:$B$9997,D4839,Calendar!$C$2:$C$9997,C4839)*INDEX(ForeCalc!$B$37:$Y$274,MATCH(_xlfn.CONCAT(H4839," ",I4839),ForeCalc!$A$37:$A$274,0),MATCH(_xlfn.CONCAT(B4839," ",E4839),ForeCalc!$B$36:$Y$36,0))))*VLOOKUP(A4839,Calendar!$A$2:$H$9997,8,FALSE),0)</f>
        <v/>
      </c>
      <c r="G4839" s="29">
        <f>VLOOKUP(A4839,Calendar!$A$1:$H$9997,6,FALSE)-F4839</f>
        <v/>
      </c>
      <c r="H4839" s="19" t="n">
        <v>2</v>
      </c>
      <c r="I4839" s="57" t="n">
        <v>3</v>
      </c>
    </row>
    <row r="4840">
      <c r="A4840" s="62" t="n">
        <v>46567</v>
      </c>
      <c r="B4840" s="3" t="inlineStr">
        <is>
          <t>Week</t>
        </is>
      </c>
      <c r="C4840" s="19" t="n">
        <v>6</v>
      </c>
      <c r="D4840" s="19" t="n">
        <v>2027</v>
      </c>
      <c r="E4840" s="57" t="n">
        <v>5</v>
      </c>
      <c r="F4840" s="29">
        <f>ROUND(((SUMIFS(Calendar!$F$2:$F$9997,Calendar!$B$2:$B$9997,D4840,Calendar!$C$2:$C$9997,C4840)*INDEX(ForeCalc!$B$37:$Y$274,MATCH(_xlfn.CONCAT(H4840," ",I4840),ForeCalc!$A$37:$A$274,0),MATCH(_xlfn.CONCAT(B4840," ",E4840),ForeCalc!$B$36:$Y$36,0))))*VLOOKUP(A4840,Calendar!$A$2:$H$9997,8,FALSE),0)</f>
        <v/>
      </c>
      <c r="G4840" s="29">
        <f>VLOOKUP(A4840,Calendar!$A$1:$H$9997,6,FALSE)-F4840</f>
        <v/>
      </c>
      <c r="H4840" s="19" t="n">
        <v>2</v>
      </c>
      <c r="I4840" s="57" t="n">
        <v>3</v>
      </c>
    </row>
    <row r="4841">
      <c r="A4841" s="62" t="n">
        <v>46568</v>
      </c>
      <c r="B4841" s="3" t="inlineStr">
        <is>
          <t>Week</t>
        </is>
      </c>
      <c r="C4841" s="19" t="n">
        <v>6</v>
      </c>
      <c r="D4841" s="19" t="n">
        <v>2027</v>
      </c>
      <c r="E4841" s="57" t="n">
        <v>5</v>
      </c>
      <c r="F4841" s="29">
        <f>ROUND(((SUMIFS(Calendar!$F$2:$F$9997,Calendar!$B$2:$B$9997,D4841,Calendar!$C$2:$C$9997,C4841)*INDEX(ForeCalc!$B$37:$Y$274,MATCH(_xlfn.CONCAT(H4841," ",I4841),ForeCalc!$A$37:$A$274,0),MATCH(_xlfn.CONCAT(B4841," ",E4841),ForeCalc!$B$36:$Y$36,0))))*VLOOKUP(A4841,Calendar!$A$2:$H$9997,8,FALSE),0)</f>
        <v/>
      </c>
      <c r="G4841" s="29">
        <f>VLOOKUP(A4841,Calendar!$A$1:$H$9997,6,FALSE)-F4841</f>
        <v/>
      </c>
      <c r="H4841" s="19" t="n">
        <v>2</v>
      </c>
      <c r="I4841" s="57" t="n">
        <v>3</v>
      </c>
    </row>
    <row r="4842">
      <c r="A4842" s="62" t="n">
        <v>46569</v>
      </c>
      <c r="B4842" s="3" t="inlineStr">
        <is>
          <t>Week</t>
        </is>
      </c>
      <c r="C4842" s="19" t="n">
        <v>7</v>
      </c>
      <c r="D4842" s="19" t="n">
        <v>2027</v>
      </c>
      <c r="E4842" s="57" t="n">
        <v>5</v>
      </c>
      <c r="F4842" s="29">
        <f>ROUND(((SUMIFS(Calendar!$F$2:$F$9997,Calendar!$B$2:$B$9997,D4842,Calendar!$C$2:$C$9997,C4842)*INDEX(ForeCalc!$B$37:$Y$274,MATCH(_xlfn.CONCAT(H4842," ",I4842),ForeCalc!$A$37:$A$274,0),MATCH(_xlfn.CONCAT(B4842," ",E4842),ForeCalc!$B$36:$Y$36,0))))*VLOOKUP(A4842,Calendar!$A$2:$H$9997,8,FALSE),0)</f>
        <v/>
      </c>
      <c r="G4842" s="29">
        <f>VLOOKUP(A4842,Calendar!$A$1:$H$9997,6,FALSE)-F4842</f>
        <v/>
      </c>
      <c r="H4842" s="19" t="n">
        <v>2</v>
      </c>
      <c r="I4842" s="57" t="n">
        <v>4</v>
      </c>
    </row>
    <row r="4843">
      <c r="A4843" s="62" t="n">
        <v>46570</v>
      </c>
      <c r="B4843" s="3" t="inlineStr">
        <is>
          <t>Week</t>
        </is>
      </c>
      <c r="C4843" s="19" t="n">
        <v>7</v>
      </c>
      <c r="D4843" s="19" t="n">
        <v>2027</v>
      </c>
      <c r="E4843" s="57" t="n">
        <v>5</v>
      </c>
      <c r="F4843" s="29">
        <f>ROUND(((SUMIFS(Calendar!$F$2:$F$9997,Calendar!$B$2:$B$9997,D4843,Calendar!$C$2:$C$9997,C4843)*INDEX(ForeCalc!$B$37:$Y$274,MATCH(_xlfn.CONCAT(H4843," ",I4843),ForeCalc!$A$37:$A$274,0),MATCH(_xlfn.CONCAT(B4843," ",E4843),ForeCalc!$B$36:$Y$36,0))))*VLOOKUP(A4843,Calendar!$A$2:$H$9997,8,FALSE),0)</f>
        <v/>
      </c>
      <c r="G4843" s="29">
        <f>VLOOKUP(A4843,Calendar!$A$1:$H$9997,6,FALSE)-F4843</f>
        <v/>
      </c>
      <c r="H4843" s="19" t="n">
        <v>2</v>
      </c>
      <c r="I4843" s="57" t="n">
        <v>4</v>
      </c>
    </row>
    <row r="4844">
      <c r="A4844" s="62" t="n">
        <v>46571</v>
      </c>
      <c r="B4844" s="3" t="inlineStr">
        <is>
          <t>Sat</t>
        </is>
      </c>
      <c r="C4844" s="19" t="n">
        <v>7</v>
      </c>
      <c r="D4844" s="19" t="n">
        <v>2027</v>
      </c>
      <c r="E4844" s="57" t="n">
        <v>5</v>
      </c>
      <c r="F4844" s="29">
        <f>ROUND(((SUMIFS(Calendar!$F$2:$F$9997,Calendar!$B$2:$B$9997,D4844,Calendar!$C$2:$C$9997,C4844)*INDEX(ForeCalc!$B$37:$Y$274,MATCH(_xlfn.CONCAT(H4844," ",I4844),ForeCalc!$A$37:$A$274,0),MATCH(_xlfn.CONCAT(B4844," ",E4844),ForeCalc!$B$36:$Y$36,0))))*VLOOKUP(A4844,Calendar!$A$2:$H$9997,8,FALSE),0)</f>
        <v/>
      </c>
      <c r="G4844" s="29">
        <f>VLOOKUP(A4844,Calendar!$A$1:$H$9997,6,FALSE)-F4844</f>
        <v/>
      </c>
      <c r="H4844" s="19" t="n">
        <v>2</v>
      </c>
      <c r="I4844" s="57" t="n">
        <v>4</v>
      </c>
    </row>
    <row r="4845">
      <c r="A4845" s="62" t="n">
        <v>46572</v>
      </c>
      <c r="B4845" s="3" t="inlineStr">
        <is>
          <t>Sun</t>
        </is>
      </c>
      <c r="C4845" s="19" t="n">
        <v>7</v>
      </c>
      <c r="D4845" s="19" t="n">
        <v>2027</v>
      </c>
      <c r="E4845" s="57" t="n">
        <v>5</v>
      </c>
      <c r="F4845" s="29">
        <f>ROUND(((SUMIFS(Calendar!$F$2:$F$9997,Calendar!$B$2:$B$9997,D4845,Calendar!$C$2:$C$9997,C4845)*INDEX(ForeCalc!$B$37:$Y$274,MATCH(_xlfn.CONCAT(H4845," ",I4845),ForeCalc!$A$37:$A$274,0),MATCH(_xlfn.CONCAT(B4845," ",E4845),ForeCalc!$B$36:$Y$36,0))))*VLOOKUP(A4845,Calendar!$A$2:$H$9997,8,FALSE),0)</f>
        <v/>
      </c>
      <c r="G4845" s="29">
        <f>VLOOKUP(A4845,Calendar!$A$1:$H$9997,6,FALSE)-F4845</f>
        <v/>
      </c>
      <c r="H4845" s="19" t="n">
        <v>2</v>
      </c>
      <c r="I4845" s="57" t="n">
        <v>4</v>
      </c>
    </row>
    <row r="4846">
      <c r="A4846" s="62" t="n">
        <v>46573</v>
      </c>
      <c r="B4846" s="3" t="inlineStr">
        <is>
          <t>Week</t>
        </is>
      </c>
      <c r="C4846" s="19" t="n">
        <v>7</v>
      </c>
      <c r="D4846" s="19" t="n">
        <v>2027</v>
      </c>
      <c r="E4846" s="57" t="n">
        <v>5</v>
      </c>
      <c r="F4846" s="29">
        <f>ROUND(((SUMIFS(Calendar!$F$2:$F$9997,Calendar!$B$2:$B$9997,D4846,Calendar!$C$2:$C$9997,C4846)*INDEX(ForeCalc!$B$37:$Y$274,MATCH(_xlfn.CONCAT(H4846," ",I4846),ForeCalc!$A$37:$A$274,0),MATCH(_xlfn.CONCAT(B4846," ",E4846),ForeCalc!$B$36:$Y$36,0))))*VLOOKUP(A4846,Calendar!$A$2:$H$9997,8,FALSE),0)</f>
        <v/>
      </c>
      <c r="G4846" s="29">
        <f>VLOOKUP(A4846,Calendar!$A$1:$H$9997,6,FALSE)-F4846</f>
        <v/>
      </c>
      <c r="H4846" s="19" t="n">
        <v>2</v>
      </c>
      <c r="I4846" s="57" t="n">
        <v>4</v>
      </c>
    </row>
    <row r="4847">
      <c r="A4847" s="62" t="n">
        <v>46574</v>
      </c>
      <c r="B4847" s="3" t="inlineStr">
        <is>
          <t>Week</t>
        </is>
      </c>
      <c r="C4847" s="19" t="n">
        <v>7</v>
      </c>
      <c r="D4847" s="19" t="n">
        <v>2027</v>
      </c>
      <c r="E4847" s="57" t="n">
        <v>5</v>
      </c>
      <c r="F4847" s="29">
        <f>ROUND(((SUMIFS(Calendar!$F$2:$F$9997,Calendar!$B$2:$B$9997,D4847,Calendar!$C$2:$C$9997,C4847)*INDEX(ForeCalc!$B$37:$Y$274,MATCH(_xlfn.CONCAT(H4847," ",I4847),ForeCalc!$A$37:$A$274,0),MATCH(_xlfn.CONCAT(B4847," ",E4847),ForeCalc!$B$36:$Y$36,0))))*VLOOKUP(A4847,Calendar!$A$2:$H$9997,8,FALSE),0)</f>
        <v/>
      </c>
      <c r="G4847" s="29">
        <f>VLOOKUP(A4847,Calendar!$A$1:$H$9997,6,FALSE)-F4847</f>
        <v/>
      </c>
      <c r="H4847" s="19" t="n">
        <v>2</v>
      </c>
      <c r="I4847" s="57" t="n">
        <v>4</v>
      </c>
    </row>
    <row r="4848">
      <c r="A4848" s="62" t="n">
        <v>46575</v>
      </c>
      <c r="B4848" s="3" t="inlineStr">
        <is>
          <t>Week</t>
        </is>
      </c>
      <c r="C4848" s="19" t="n">
        <v>7</v>
      </c>
      <c r="D4848" s="19" t="n">
        <v>2027</v>
      </c>
      <c r="E4848" s="57" t="n">
        <v>5</v>
      </c>
      <c r="F4848" s="29">
        <f>ROUND(((SUMIFS(Calendar!$F$2:$F$9997,Calendar!$B$2:$B$9997,D4848,Calendar!$C$2:$C$9997,C4848)*INDEX(ForeCalc!$B$37:$Y$274,MATCH(_xlfn.CONCAT(H4848," ",I4848),ForeCalc!$A$37:$A$274,0),MATCH(_xlfn.CONCAT(B4848," ",E4848),ForeCalc!$B$36:$Y$36,0))))*VLOOKUP(A4848,Calendar!$A$2:$H$9997,8,FALSE),0)</f>
        <v/>
      </c>
      <c r="G4848" s="29">
        <f>VLOOKUP(A4848,Calendar!$A$1:$H$9997,6,FALSE)-F4848</f>
        <v/>
      </c>
      <c r="H4848" s="19" t="n">
        <v>2</v>
      </c>
      <c r="I4848" s="57" t="n">
        <v>4</v>
      </c>
    </row>
    <row r="4849">
      <c r="A4849" s="62" t="n">
        <v>46576</v>
      </c>
      <c r="B4849" s="3" t="inlineStr">
        <is>
          <t>Week</t>
        </is>
      </c>
      <c r="C4849" s="19" t="n">
        <v>7</v>
      </c>
      <c r="D4849" s="19" t="n">
        <v>2027</v>
      </c>
      <c r="E4849" s="57" t="n">
        <v>5</v>
      </c>
      <c r="F4849" s="29">
        <f>ROUND(((SUMIFS(Calendar!$F$2:$F$9997,Calendar!$B$2:$B$9997,D4849,Calendar!$C$2:$C$9997,C4849)*INDEX(ForeCalc!$B$37:$Y$274,MATCH(_xlfn.CONCAT(H4849," ",I4849),ForeCalc!$A$37:$A$274,0),MATCH(_xlfn.CONCAT(B4849," ",E4849),ForeCalc!$B$36:$Y$36,0))))*VLOOKUP(A4849,Calendar!$A$2:$H$9997,8,FALSE),0)</f>
        <v/>
      </c>
      <c r="G4849" s="29">
        <f>VLOOKUP(A4849,Calendar!$A$1:$H$9997,6,FALSE)-F4849</f>
        <v/>
      </c>
      <c r="H4849" s="19" t="n">
        <v>2</v>
      </c>
      <c r="I4849" s="57" t="n">
        <v>4</v>
      </c>
    </row>
    <row r="4850">
      <c r="A4850" s="62" t="n">
        <v>46577</v>
      </c>
      <c r="B4850" s="3" t="inlineStr">
        <is>
          <t>Week</t>
        </is>
      </c>
      <c r="C4850" s="19" t="n">
        <v>7</v>
      </c>
      <c r="D4850" s="19" t="n">
        <v>2027</v>
      </c>
      <c r="E4850" s="57" t="n">
        <v>5</v>
      </c>
      <c r="F4850" s="29">
        <f>ROUND(((SUMIFS(Calendar!$F$2:$F$9997,Calendar!$B$2:$B$9997,D4850,Calendar!$C$2:$C$9997,C4850)*INDEX(ForeCalc!$B$37:$Y$274,MATCH(_xlfn.CONCAT(H4850," ",I4850),ForeCalc!$A$37:$A$274,0),MATCH(_xlfn.CONCAT(B4850," ",E4850),ForeCalc!$B$36:$Y$36,0))))*VLOOKUP(A4850,Calendar!$A$2:$H$9997,8,FALSE),0)</f>
        <v/>
      </c>
      <c r="G4850" s="29">
        <f>VLOOKUP(A4850,Calendar!$A$1:$H$9997,6,FALSE)-F4850</f>
        <v/>
      </c>
      <c r="H4850" s="19" t="n">
        <v>2</v>
      </c>
      <c r="I4850" s="57" t="n">
        <v>4</v>
      </c>
    </row>
    <row r="4851">
      <c r="A4851" s="62" t="n">
        <v>46578</v>
      </c>
      <c r="B4851" s="3" t="inlineStr">
        <is>
          <t>Sat</t>
        </is>
      </c>
      <c r="C4851" s="19" t="n">
        <v>7</v>
      </c>
      <c r="D4851" s="19" t="n">
        <v>2027</v>
      </c>
      <c r="E4851" s="57" t="n">
        <v>5</v>
      </c>
      <c r="F4851" s="29">
        <f>ROUND(((SUMIFS(Calendar!$F$2:$F$9997,Calendar!$B$2:$B$9997,D4851,Calendar!$C$2:$C$9997,C4851)*INDEX(ForeCalc!$B$37:$Y$274,MATCH(_xlfn.CONCAT(H4851," ",I4851),ForeCalc!$A$37:$A$274,0),MATCH(_xlfn.CONCAT(B4851," ",E4851),ForeCalc!$B$36:$Y$36,0))))*VLOOKUP(A4851,Calendar!$A$2:$H$9997,8,FALSE),0)</f>
        <v/>
      </c>
      <c r="G4851" s="29">
        <f>VLOOKUP(A4851,Calendar!$A$1:$H$9997,6,FALSE)-F4851</f>
        <v/>
      </c>
      <c r="H4851" s="19" t="n">
        <v>2</v>
      </c>
      <c r="I4851" s="57" t="n">
        <v>4</v>
      </c>
    </row>
    <row r="4852">
      <c r="A4852" s="62" t="n">
        <v>46579</v>
      </c>
      <c r="B4852" s="3" t="inlineStr">
        <is>
          <t>Sun</t>
        </is>
      </c>
      <c r="C4852" s="19" t="n">
        <v>7</v>
      </c>
      <c r="D4852" s="19" t="n">
        <v>2027</v>
      </c>
      <c r="E4852" s="57" t="n">
        <v>5</v>
      </c>
      <c r="F4852" s="29">
        <f>ROUND(((SUMIFS(Calendar!$F$2:$F$9997,Calendar!$B$2:$B$9997,D4852,Calendar!$C$2:$C$9997,C4852)*INDEX(ForeCalc!$B$37:$Y$274,MATCH(_xlfn.CONCAT(H4852," ",I4852),ForeCalc!$A$37:$A$274,0),MATCH(_xlfn.CONCAT(B4852," ",E4852),ForeCalc!$B$36:$Y$36,0))))*VLOOKUP(A4852,Calendar!$A$2:$H$9997,8,FALSE),0)</f>
        <v/>
      </c>
      <c r="G4852" s="29">
        <f>VLOOKUP(A4852,Calendar!$A$1:$H$9997,6,FALSE)-F4852</f>
        <v/>
      </c>
      <c r="H4852" s="19" t="n">
        <v>2</v>
      </c>
      <c r="I4852" s="57" t="n">
        <v>4</v>
      </c>
    </row>
    <row r="4853">
      <c r="A4853" s="62" t="n">
        <v>46580</v>
      </c>
      <c r="B4853" s="3" t="inlineStr">
        <is>
          <t>Week</t>
        </is>
      </c>
      <c r="C4853" s="19" t="n">
        <v>7</v>
      </c>
      <c r="D4853" s="19" t="n">
        <v>2027</v>
      </c>
      <c r="E4853" s="57" t="n">
        <v>5</v>
      </c>
      <c r="F4853" s="29">
        <f>ROUND(((SUMIFS(Calendar!$F$2:$F$9997,Calendar!$B$2:$B$9997,D4853,Calendar!$C$2:$C$9997,C4853)*INDEX(ForeCalc!$B$37:$Y$274,MATCH(_xlfn.CONCAT(H4853," ",I4853),ForeCalc!$A$37:$A$274,0),MATCH(_xlfn.CONCAT(B4853," ",E4853),ForeCalc!$B$36:$Y$36,0))))*VLOOKUP(A4853,Calendar!$A$2:$H$9997,8,FALSE),0)</f>
        <v/>
      </c>
      <c r="G4853" s="29">
        <f>VLOOKUP(A4853,Calendar!$A$1:$H$9997,6,FALSE)-F4853</f>
        <v/>
      </c>
      <c r="H4853" s="19" t="n">
        <v>2</v>
      </c>
      <c r="I4853" s="57" t="n">
        <v>4</v>
      </c>
    </row>
    <row r="4854">
      <c r="A4854" s="62" t="n">
        <v>46581</v>
      </c>
      <c r="B4854" s="3" t="inlineStr">
        <is>
          <t>Week</t>
        </is>
      </c>
      <c r="C4854" s="19" t="n">
        <v>7</v>
      </c>
      <c r="D4854" s="19" t="n">
        <v>2027</v>
      </c>
      <c r="E4854" s="57" t="n">
        <v>5</v>
      </c>
      <c r="F4854" s="29">
        <f>ROUND(((SUMIFS(Calendar!$F$2:$F$9997,Calendar!$B$2:$B$9997,D4854,Calendar!$C$2:$C$9997,C4854)*INDEX(ForeCalc!$B$37:$Y$274,MATCH(_xlfn.CONCAT(H4854," ",I4854),ForeCalc!$A$37:$A$274,0),MATCH(_xlfn.CONCAT(B4854," ",E4854),ForeCalc!$B$36:$Y$36,0))))*VLOOKUP(A4854,Calendar!$A$2:$H$9997,8,FALSE),0)</f>
        <v/>
      </c>
      <c r="G4854" s="29">
        <f>VLOOKUP(A4854,Calendar!$A$1:$H$9997,6,FALSE)-F4854</f>
        <v/>
      </c>
      <c r="H4854" s="19" t="n">
        <v>2</v>
      </c>
      <c r="I4854" s="57" t="n">
        <v>4</v>
      </c>
    </row>
    <row r="4855">
      <c r="A4855" s="62" t="n">
        <v>46582</v>
      </c>
      <c r="B4855" s="3" t="inlineStr">
        <is>
          <t>Week</t>
        </is>
      </c>
      <c r="C4855" s="19" t="n">
        <v>7</v>
      </c>
      <c r="D4855" s="19" t="n">
        <v>2027</v>
      </c>
      <c r="E4855" s="57" t="n">
        <v>5</v>
      </c>
      <c r="F4855" s="29">
        <f>ROUND(((SUMIFS(Calendar!$F$2:$F$9997,Calendar!$B$2:$B$9997,D4855,Calendar!$C$2:$C$9997,C4855)*INDEX(ForeCalc!$B$37:$Y$274,MATCH(_xlfn.CONCAT(H4855," ",I4855),ForeCalc!$A$37:$A$274,0),MATCH(_xlfn.CONCAT(B4855," ",E4855),ForeCalc!$B$36:$Y$36,0))))*VLOOKUP(A4855,Calendar!$A$2:$H$9997,8,FALSE),0)</f>
        <v/>
      </c>
      <c r="G4855" s="29">
        <f>VLOOKUP(A4855,Calendar!$A$1:$H$9997,6,FALSE)-F4855</f>
        <v/>
      </c>
      <c r="H4855" s="19" t="n">
        <v>2</v>
      </c>
      <c r="I4855" s="57" t="n">
        <v>4</v>
      </c>
    </row>
    <row r="4856">
      <c r="A4856" s="62" t="n">
        <v>46583</v>
      </c>
      <c r="B4856" s="3" t="inlineStr">
        <is>
          <t>Week</t>
        </is>
      </c>
      <c r="C4856" s="19" t="n">
        <v>7</v>
      </c>
      <c r="D4856" s="19" t="n">
        <v>2027</v>
      </c>
      <c r="E4856" s="57" t="n">
        <v>5</v>
      </c>
      <c r="F4856" s="29">
        <f>ROUND(((SUMIFS(Calendar!$F$2:$F$9997,Calendar!$B$2:$B$9997,D4856,Calendar!$C$2:$C$9997,C4856)*INDEX(ForeCalc!$B$37:$Y$274,MATCH(_xlfn.CONCAT(H4856," ",I4856),ForeCalc!$A$37:$A$274,0),MATCH(_xlfn.CONCAT(B4856," ",E4856),ForeCalc!$B$36:$Y$36,0))))*VLOOKUP(A4856,Calendar!$A$2:$H$9997,8,FALSE),0)</f>
        <v/>
      </c>
      <c r="G4856" s="29">
        <f>VLOOKUP(A4856,Calendar!$A$1:$H$9997,6,FALSE)-F4856</f>
        <v/>
      </c>
      <c r="H4856" s="19" t="n">
        <v>2</v>
      </c>
      <c r="I4856" s="57" t="n">
        <v>4</v>
      </c>
    </row>
    <row r="4857">
      <c r="A4857" s="62" t="n">
        <v>46584</v>
      </c>
      <c r="B4857" s="3" t="inlineStr">
        <is>
          <t>Week</t>
        </is>
      </c>
      <c r="C4857" s="19" t="n">
        <v>7</v>
      </c>
      <c r="D4857" s="19" t="n">
        <v>2027</v>
      </c>
      <c r="E4857" s="57" t="n">
        <v>5</v>
      </c>
      <c r="F4857" s="29">
        <f>ROUND(((SUMIFS(Calendar!$F$2:$F$9997,Calendar!$B$2:$B$9997,D4857,Calendar!$C$2:$C$9997,C4857)*INDEX(ForeCalc!$B$37:$Y$274,MATCH(_xlfn.CONCAT(H4857," ",I4857),ForeCalc!$A$37:$A$274,0),MATCH(_xlfn.CONCAT(B4857," ",E4857),ForeCalc!$B$36:$Y$36,0))))*VLOOKUP(A4857,Calendar!$A$2:$H$9997,8,FALSE),0)</f>
        <v/>
      </c>
      <c r="G4857" s="29">
        <f>VLOOKUP(A4857,Calendar!$A$1:$H$9997,6,FALSE)-F4857</f>
        <v/>
      </c>
      <c r="H4857" s="19" t="n">
        <v>2</v>
      </c>
      <c r="I4857" s="57" t="n">
        <v>4</v>
      </c>
    </row>
    <row r="4858">
      <c r="A4858" s="62" t="n">
        <v>46585</v>
      </c>
      <c r="B4858" s="3" t="inlineStr">
        <is>
          <t>Sat</t>
        </is>
      </c>
      <c r="C4858" s="19" t="n">
        <v>7</v>
      </c>
      <c r="D4858" s="19" t="n">
        <v>2027</v>
      </c>
      <c r="E4858" s="57" t="n">
        <v>5</v>
      </c>
      <c r="F4858" s="29">
        <f>ROUND(((SUMIFS(Calendar!$F$2:$F$9997,Calendar!$B$2:$B$9997,D4858,Calendar!$C$2:$C$9997,C4858)*INDEX(ForeCalc!$B$37:$Y$274,MATCH(_xlfn.CONCAT(H4858," ",I4858),ForeCalc!$A$37:$A$274,0),MATCH(_xlfn.CONCAT(B4858," ",E4858),ForeCalc!$B$36:$Y$36,0))))*VLOOKUP(A4858,Calendar!$A$2:$H$9997,8,FALSE),0)</f>
        <v/>
      </c>
      <c r="G4858" s="29">
        <f>VLOOKUP(A4858,Calendar!$A$1:$H$9997,6,FALSE)-F4858</f>
        <v/>
      </c>
      <c r="H4858" s="19" t="n">
        <v>2</v>
      </c>
      <c r="I4858" s="57" t="n">
        <v>4</v>
      </c>
    </row>
    <row r="4859">
      <c r="A4859" s="62" t="n">
        <v>46586</v>
      </c>
      <c r="B4859" s="3" t="inlineStr">
        <is>
          <t>Sun</t>
        </is>
      </c>
      <c r="C4859" s="19" t="n">
        <v>7</v>
      </c>
      <c r="D4859" s="19" t="n">
        <v>2027</v>
      </c>
      <c r="E4859" s="57" t="n">
        <v>5</v>
      </c>
      <c r="F4859" s="29">
        <f>ROUND(((SUMIFS(Calendar!$F$2:$F$9997,Calendar!$B$2:$B$9997,D4859,Calendar!$C$2:$C$9997,C4859)*INDEX(ForeCalc!$B$37:$Y$274,MATCH(_xlfn.CONCAT(H4859," ",I4859),ForeCalc!$A$37:$A$274,0),MATCH(_xlfn.CONCAT(B4859," ",E4859),ForeCalc!$B$36:$Y$36,0))))*VLOOKUP(A4859,Calendar!$A$2:$H$9997,8,FALSE),0)</f>
        <v/>
      </c>
      <c r="G4859" s="29">
        <f>VLOOKUP(A4859,Calendar!$A$1:$H$9997,6,FALSE)-F4859</f>
        <v/>
      </c>
      <c r="H4859" s="19" t="n">
        <v>2</v>
      </c>
      <c r="I4859" s="57" t="n">
        <v>4</v>
      </c>
    </row>
    <row r="4860">
      <c r="A4860" s="62" t="n">
        <v>46587</v>
      </c>
      <c r="B4860" s="3" t="inlineStr">
        <is>
          <t>Week</t>
        </is>
      </c>
      <c r="C4860" s="19" t="n">
        <v>7</v>
      </c>
      <c r="D4860" s="19" t="n">
        <v>2027</v>
      </c>
      <c r="E4860" s="57" t="n">
        <v>5</v>
      </c>
      <c r="F4860" s="29">
        <f>ROUND(((SUMIFS(Calendar!$F$2:$F$9997,Calendar!$B$2:$B$9997,D4860,Calendar!$C$2:$C$9997,C4860)*INDEX(ForeCalc!$B$37:$Y$274,MATCH(_xlfn.CONCAT(H4860," ",I4860),ForeCalc!$A$37:$A$274,0),MATCH(_xlfn.CONCAT(B4860," ",E4860),ForeCalc!$B$36:$Y$36,0))))*VLOOKUP(A4860,Calendar!$A$2:$H$9997,8,FALSE),0)</f>
        <v/>
      </c>
      <c r="G4860" s="29">
        <f>VLOOKUP(A4860,Calendar!$A$1:$H$9997,6,FALSE)-F4860</f>
        <v/>
      </c>
      <c r="H4860" s="19" t="n">
        <v>2</v>
      </c>
      <c r="I4860" s="57" t="n">
        <v>4</v>
      </c>
    </row>
    <row r="4861">
      <c r="A4861" s="62" t="n">
        <v>46588</v>
      </c>
      <c r="B4861" s="3" t="inlineStr">
        <is>
          <t>Week</t>
        </is>
      </c>
      <c r="C4861" s="19" t="n">
        <v>7</v>
      </c>
      <c r="D4861" s="19" t="n">
        <v>2027</v>
      </c>
      <c r="E4861" s="57" t="n">
        <v>5</v>
      </c>
      <c r="F4861" s="29">
        <f>ROUND(((SUMIFS(Calendar!$F$2:$F$9997,Calendar!$B$2:$B$9997,D4861,Calendar!$C$2:$C$9997,C4861)*INDEX(ForeCalc!$B$37:$Y$274,MATCH(_xlfn.CONCAT(H4861," ",I4861),ForeCalc!$A$37:$A$274,0),MATCH(_xlfn.CONCAT(B4861," ",E4861),ForeCalc!$B$36:$Y$36,0))))*VLOOKUP(A4861,Calendar!$A$2:$H$9997,8,FALSE),0)</f>
        <v/>
      </c>
      <c r="G4861" s="29">
        <f>VLOOKUP(A4861,Calendar!$A$1:$H$9997,6,FALSE)-F4861</f>
        <v/>
      </c>
      <c r="H4861" s="19" t="n">
        <v>2</v>
      </c>
      <c r="I4861" s="57" t="n">
        <v>4</v>
      </c>
    </row>
    <row r="4862">
      <c r="A4862" s="62" t="n">
        <v>46589</v>
      </c>
      <c r="B4862" s="3" t="inlineStr">
        <is>
          <t>Week</t>
        </is>
      </c>
      <c r="C4862" s="19" t="n">
        <v>7</v>
      </c>
      <c r="D4862" s="19" t="n">
        <v>2027</v>
      </c>
      <c r="E4862" s="57" t="n">
        <v>5</v>
      </c>
      <c r="F4862" s="29">
        <f>ROUND(((SUMIFS(Calendar!$F$2:$F$9997,Calendar!$B$2:$B$9997,D4862,Calendar!$C$2:$C$9997,C4862)*INDEX(ForeCalc!$B$37:$Y$274,MATCH(_xlfn.CONCAT(H4862," ",I4862),ForeCalc!$A$37:$A$274,0),MATCH(_xlfn.CONCAT(B4862," ",E4862),ForeCalc!$B$36:$Y$36,0))))*VLOOKUP(A4862,Calendar!$A$2:$H$9997,8,FALSE),0)</f>
        <v/>
      </c>
      <c r="G4862" s="29">
        <f>VLOOKUP(A4862,Calendar!$A$1:$H$9997,6,FALSE)-F4862</f>
        <v/>
      </c>
      <c r="H4862" s="19" t="n">
        <v>2</v>
      </c>
      <c r="I4862" s="57" t="n">
        <v>4</v>
      </c>
    </row>
    <row r="4863">
      <c r="A4863" s="62" t="n">
        <v>46590</v>
      </c>
      <c r="B4863" s="3" t="inlineStr">
        <is>
          <t>Week</t>
        </is>
      </c>
      <c r="C4863" s="19" t="n">
        <v>7</v>
      </c>
      <c r="D4863" s="19" t="n">
        <v>2027</v>
      </c>
      <c r="E4863" s="57" t="n">
        <v>5</v>
      </c>
      <c r="F4863" s="29">
        <f>ROUND(((SUMIFS(Calendar!$F$2:$F$9997,Calendar!$B$2:$B$9997,D4863,Calendar!$C$2:$C$9997,C4863)*INDEX(ForeCalc!$B$37:$Y$274,MATCH(_xlfn.CONCAT(H4863," ",I4863),ForeCalc!$A$37:$A$274,0),MATCH(_xlfn.CONCAT(B4863," ",E4863),ForeCalc!$B$36:$Y$36,0))))*VLOOKUP(A4863,Calendar!$A$2:$H$9997,8,FALSE),0)</f>
        <v/>
      </c>
      <c r="G4863" s="29">
        <f>VLOOKUP(A4863,Calendar!$A$1:$H$9997,6,FALSE)-F4863</f>
        <v/>
      </c>
      <c r="H4863" s="19" t="n">
        <v>2</v>
      </c>
      <c r="I4863" s="57" t="n">
        <v>4</v>
      </c>
    </row>
    <row r="4864">
      <c r="A4864" s="62" t="n">
        <v>46591</v>
      </c>
      <c r="B4864" s="3" t="inlineStr">
        <is>
          <t>Week</t>
        </is>
      </c>
      <c r="C4864" s="19" t="n">
        <v>7</v>
      </c>
      <c r="D4864" s="19" t="n">
        <v>2027</v>
      </c>
      <c r="E4864" s="57" t="n">
        <v>5</v>
      </c>
      <c r="F4864" s="29">
        <f>ROUND(((SUMIFS(Calendar!$F$2:$F$9997,Calendar!$B$2:$B$9997,D4864,Calendar!$C$2:$C$9997,C4864)*INDEX(ForeCalc!$B$37:$Y$274,MATCH(_xlfn.CONCAT(H4864," ",I4864),ForeCalc!$A$37:$A$274,0),MATCH(_xlfn.CONCAT(B4864," ",E4864),ForeCalc!$B$36:$Y$36,0))))*VLOOKUP(A4864,Calendar!$A$2:$H$9997,8,FALSE),0)</f>
        <v/>
      </c>
      <c r="G4864" s="29">
        <f>VLOOKUP(A4864,Calendar!$A$1:$H$9997,6,FALSE)-F4864</f>
        <v/>
      </c>
      <c r="H4864" s="19" t="n">
        <v>2</v>
      </c>
      <c r="I4864" s="57" t="n">
        <v>4</v>
      </c>
    </row>
    <row r="4865">
      <c r="A4865" s="62" t="n">
        <v>46592</v>
      </c>
      <c r="B4865" s="3" t="inlineStr">
        <is>
          <t>Sat</t>
        </is>
      </c>
      <c r="C4865" s="19" t="n">
        <v>7</v>
      </c>
      <c r="D4865" s="19" t="n">
        <v>2027</v>
      </c>
      <c r="E4865" s="57" t="n">
        <v>5</v>
      </c>
      <c r="F4865" s="29">
        <f>ROUND(((SUMIFS(Calendar!$F$2:$F$9997,Calendar!$B$2:$B$9997,D4865,Calendar!$C$2:$C$9997,C4865)*INDEX(ForeCalc!$B$37:$Y$274,MATCH(_xlfn.CONCAT(H4865," ",I4865),ForeCalc!$A$37:$A$274,0),MATCH(_xlfn.CONCAT(B4865," ",E4865),ForeCalc!$B$36:$Y$36,0))))*VLOOKUP(A4865,Calendar!$A$2:$H$9997,8,FALSE),0)</f>
        <v/>
      </c>
      <c r="G4865" s="29">
        <f>VLOOKUP(A4865,Calendar!$A$1:$H$9997,6,FALSE)-F4865</f>
        <v/>
      </c>
      <c r="H4865" s="19" t="n">
        <v>2</v>
      </c>
      <c r="I4865" s="57" t="n">
        <v>4</v>
      </c>
    </row>
    <row r="4866">
      <c r="A4866" s="62" t="n">
        <v>46593</v>
      </c>
      <c r="B4866" s="3" t="inlineStr">
        <is>
          <t>Sun</t>
        </is>
      </c>
      <c r="C4866" s="19" t="n">
        <v>7</v>
      </c>
      <c r="D4866" s="19" t="n">
        <v>2027</v>
      </c>
      <c r="E4866" s="57" t="n">
        <v>5</v>
      </c>
      <c r="F4866" s="29">
        <f>ROUND(((SUMIFS(Calendar!$F$2:$F$9997,Calendar!$B$2:$B$9997,D4866,Calendar!$C$2:$C$9997,C4866)*INDEX(ForeCalc!$B$37:$Y$274,MATCH(_xlfn.CONCAT(H4866," ",I4866),ForeCalc!$A$37:$A$274,0),MATCH(_xlfn.CONCAT(B4866," ",E4866),ForeCalc!$B$36:$Y$36,0))))*VLOOKUP(A4866,Calendar!$A$2:$H$9997,8,FALSE),0)</f>
        <v/>
      </c>
      <c r="G4866" s="29">
        <f>VLOOKUP(A4866,Calendar!$A$1:$H$9997,6,FALSE)-F4866</f>
        <v/>
      </c>
      <c r="H4866" s="19" t="n">
        <v>2</v>
      </c>
      <c r="I4866" s="57" t="n">
        <v>4</v>
      </c>
    </row>
    <row r="4867">
      <c r="A4867" s="62" t="n">
        <v>46594</v>
      </c>
      <c r="B4867" s="3" t="inlineStr">
        <is>
          <t>Week</t>
        </is>
      </c>
      <c r="C4867" s="19" t="n">
        <v>7</v>
      </c>
      <c r="D4867" s="19" t="n">
        <v>2027</v>
      </c>
      <c r="E4867" s="57" t="n">
        <v>5</v>
      </c>
      <c r="F4867" s="29">
        <f>ROUND(((SUMIFS(Calendar!$F$2:$F$9997,Calendar!$B$2:$B$9997,D4867,Calendar!$C$2:$C$9997,C4867)*INDEX(ForeCalc!$B$37:$Y$274,MATCH(_xlfn.CONCAT(H4867," ",I4867),ForeCalc!$A$37:$A$274,0),MATCH(_xlfn.CONCAT(B4867," ",E4867),ForeCalc!$B$36:$Y$36,0))))*VLOOKUP(A4867,Calendar!$A$2:$H$9997,8,FALSE),0)</f>
        <v/>
      </c>
      <c r="G4867" s="29">
        <f>VLOOKUP(A4867,Calendar!$A$1:$H$9997,6,FALSE)-F4867</f>
        <v/>
      </c>
      <c r="H4867" s="19" t="n">
        <v>2</v>
      </c>
      <c r="I4867" s="57" t="n">
        <v>4</v>
      </c>
    </row>
    <row r="4868">
      <c r="A4868" s="62" t="n">
        <v>46595</v>
      </c>
      <c r="B4868" s="3" t="inlineStr">
        <is>
          <t>Week</t>
        </is>
      </c>
      <c r="C4868" s="19" t="n">
        <v>7</v>
      </c>
      <c r="D4868" s="19" t="n">
        <v>2027</v>
      </c>
      <c r="E4868" s="57" t="n">
        <v>5</v>
      </c>
      <c r="F4868" s="29">
        <f>ROUND(((SUMIFS(Calendar!$F$2:$F$9997,Calendar!$B$2:$B$9997,D4868,Calendar!$C$2:$C$9997,C4868)*INDEX(ForeCalc!$B$37:$Y$274,MATCH(_xlfn.CONCAT(H4868," ",I4868),ForeCalc!$A$37:$A$274,0),MATCH(_xlfn.CONCAT(B4868," ",E4868),ForeCalc!$B$36:$Y$36,0))))*VLOOKUP(A4868,Calendar!$A$2:$H$9997,8,FALSE),0)</f>
        <v/>
      </c>
      <c r="G4868" s="29">
        <f>VLOOKUP(A4868,Calendar!$A$1:$H$9997,6,FALSE)-F4868</f>
        <v/>
      </c>
      <c r="H4868" s="19" t="n">
        <v>2</v>
      </c>
      <c r="I4868" s="57" t="n">
        <v>4</v>
      </c>
    </row>
    <row r="4869">
      <c r="A4869" s="62" t="n">
        <v>46596</v>
      </c>
      <c r="B4869" s="3" t="inlineStr">
        <is>
          <t>Week</t>
        </is>
      </c>
      <c r="C4869" s="19" t="n">
        <v>7</v>
      </c>
      <c r="D4869" s="19" t="n">
        <v>2027</v>
      </c>
      <c r="E4869" s="57" t="n">
        <v>5</v>
      </c>
      <c r="F4869" s="29">
        <f>ROUND(((SUMIFS(Calendar!$F$2:$F$9997,Calendar!$B$2:$B$9997,D4869,Calendar!$C$2:$C$9997,C4869)*INDEX(ForeCalc!$B$37:$Y$274,MATCH(_xlfn.CONCAT(H4869," ",I4869),ForeCalc!$A$37:$A$274,0),MATCH(_xlfn.CONCAT(B4869," ",E4869),ForeCalc!$B$36:$Y$36,0))))*VLOOKUP(A4869,Calendar!$A$2:$H$9997,8,FALSE),0)</f>
        <v/>
      </c>
      <c r="G4869" s="29">
        <f>VLOOKUP(A4869,Calendar!$A$1:$H$9997,6,FALSE)-F4869</f>
        <v/>
      </c>
      <c r="H4869" s="19" t="n">
        <v>2</v>
      </c>
      <c r="I4869" s="57" t="n">
        <v>4</v>
      </c>
    </row>
    <row r="4870">
      <c r="A4870" s="62" t="n">
        <v>46597</v>
      </c>
      <c r="B4870" s="3" t="inlineStr">
        <is>
          <t>Week</t>
        </is>
      </c>
      <c r="C4870" s="19" t="n">
        <v>7</v>
      </c>
      <c r="D4870" s="19" t="n">
        <v>2027</v>
      </c>
      <c r="E4870" s="57" t="n">
        <v>5</v>
      </c>
      <c r="F4870" s="29">
        <f>ROUND(((SUMIFS(Calendar!$F$2:$F$9997,Calendar!$B$2:$B$9997,D4870,Calendar!$C$2:$C$9997,C4870)*INDEX(ForeCalc!$B$37:$Y$274,MATCH(_xlfn.CONCAT(H4870," ",I4870),ForeCalc!$A$37:$A$274,0),MATCH(_xlfn.CONCAT(B4870," ",E4870),ForeCalc!$B$36:$Y$36,0))))*VLOOKUP(A4870,Calendar!$A$2:$H$9997,8,FALSE),0)</f>
        <v/>
      </c>
      <c r="G4870" s="29">
        <f>VLOOKUP(A4870,Calendar!$A$1:$H$9997,6,FALSE)-F4870</f>
        <v/>
      </c>
      <c r="H4870" s="19" t="n">
        <v>2</v>
      </c>
      <c r="I4870" s="57" t="n">
        <v>4</v>
      </c>
    </row>
    <row r="4871">
      <c r="A4871" s="62" t="n">
        <v>46598</v>
      </c>
      <c r="B4871" s="3" t="inlineStr">
        <is>
          <t>Week</t>
        </is>
      </c>
      <c r="C4871" s="19" t="n">
        <v>7</v>
      </c>
      <c r="D4871" s="19" t="n">
        <v>2027</v>
      </c>
      <c r="E4871" s="57" t="n">
        <v>5</v>
      </c>
      <c r="F4871" s="29">
        <f>ROUND(((SUMIFS(Calendar!$F$2:$F$9997,Calendar!$B$2:$B$9997,D4871,Calendar!$C$2:$C$9997,C4871)*INDEX(ForeCalc!$B$37:$Y$274,MATCH(_xlfn.CONCAT(H4871," ",I4871),ForeCalc!$A$37:$A$274,0),MATCH(_xlfn.CONCAT(B4871," ",E4871),ForeCalc!$B$36:$Y$36,0))))*VLOOKUP(A4871,Calendar!$A$2:$H$9997,8,FALSE),0)</f>
        <v/>
      </c>
      <c r="G4871" s="29">
        <f>VLOOKUP(A4871,Calendar!$A$1:$H$9997,6,FALSE)-F4871</f>
        <v/>
      </c>
      <c r="H4871" s="19" t="n">
        <v>2</v>
      </c>
      <c r="I4871" s="57" t="n">
        <v>4</v>
      </c>
    </row>
    <row r="4872">
      <c r="A4872" s="62" t="n">
        <v>46599</v>
      </c>
      <c r="B4872" s="3" t="inlineStr">
        <is>
          <t>Sat</t>
        </is>
      </c>
      <c r="C4872" s="19" t="n">
        <v>7</v>
      </c>
      <c r="D4872" s="19" t="n">
        <v>2027</v>
      </c>
      <c r="E4872" s="57" t="n">
        <v>5</v>
      </c>
      <c r="F4872" s="29">
        <f>ROUND(((SUMIFS(Calendar!$F$2:$F$9997,Calendar!$B$2:$B$9997,D4872,Calendar!$C$2:$C$9997,C4872)*INDEX(ForeCalc!$B$37:$Y$274,MATCH(_xlfn.CONCAT(H4872," ",I4872),ForeCalc!$A$37:$A$274,0),MATCH(_xlfn.CONCAT(B4872," ",E4872),ForeCalc!$B$36:$Y$36,0))))*VLOOKUP(A4872,Calendar!$A$2:$H$9997,8,FALSE),0)</f>
        <v/>
      </c>
      <c r="G4872" s="29">
        <f>VLOOKUP(A4872,Calendar!$A$1:$H$9997,6,FALSE)-F4872</f>
        <v/>
      </c>
      <c r="H4872" s="19" t="n">
        <v>2</v>
      </c>
      <c r="I4872" s="57" t="n">
        <v>4</v>
      </c>
    </row>
    <row r="4873">
      <c r="A4873" s="62" t="n">
        <v>46600</v>
      </c>
      <c r="B4873" s="3" t="inlineStr">
        <is>
          <t>Sun</t>
        </is>
      </c>
      <c r="C4873" s="19" t="n">
        <v>8</v>
      </c>
      <c r="D4873" s="19" t="n">
        <v>2027</v>
      </c>
      <c r="E4873" s="57" t="n">
        <v>5</v>
      </c>
      <c r="F4873" s="29">
        <f>ROUND(((SUMIFS(Calendar!$F$2:$F$9997,Calendar!$B$2:$B$9997,D4873,Calendar!$C$2:$C$9997,C4873)*INDEX(ForeCalc!$B$37:$Y$274,MATCH(_xlfn.CONCAT(H4873," ",I4873),ForeCalc!$A$37:$A$274,0),MATCH(_xlfn.CONCAT(B4873," ",E4873),ForeCalc!$B$36:$Y$36,0))))*VLOOKUP(A4873,Calendar!$A$2:$H$9997,8,FALSE),0)</f>
        <v/>
      </c>
      <c r="G4873" s="29">
        <f>VLOOKUP(A4873,Calendar!$A$1:$H$9997,6,FALSE)-F4873</f>
        <v/>
      </c>
      <c r="H4873" s="19" t="n">
        <v>2</v>
      </c>
      <c r="I4873" s="57" t="n">
        <v>5</v>
      </c>
    </row>
    <row r="4874">
      <c r="A4874" s="62" t="n">
        <v>46601</v>
      </c>
      <c r="B4874" s="3" t="inlineStr">
        <is>
          <t>Week</t>
        </is>
      </c>
      <c r="C4874" s="19" t="n">
        <v>8</v>
      </c>
      <c r="D4874" s="19" t="n">
        <v>2027</v>
      </c>
      <c r="E4874" s="57" t="n">
        <v>5</v>
      </c>
      <c r="F4874" s="29">
        <f>ROUND(((SUMIFS(Calendar!$F$2:$F$9997,Calendar!$B$2:$B$9997,D4874,Calendar!$C$2:$C$9997,C4874)*INDEX(ForeCalc!$B$37:$Y$274,MATCH(_xlfn.CONCAT(H4874," ",I4874),ForeCalc!$A$37:$A$274,0),MATCH(_xlfn.CONCAT(B4874," ",E4874),ForeCalc!$B$36:$Y$36,0))))*VLOOKUP(A4874,Calendar!$A$2:$H$9997,8,FALSE),0)</f>
        <v/>
      </c>
      <c r="G4874" s="29">
        <f>VLOOKUP(A4874,Calendar!$A$1:$H$9997,6,FALSE)-F4874</f>
        <v/>
      </c>
      <c r="H4874" s="19" t="n">
        <v>2</v>
      </c>
      <c r="I4874" s="57" t="n">
        <v>5</v>
      </c>
    </row>
    <row r="4875">
      <c r="A4875" s="62" t="n">
        <v>46602</v>
      </c>
      <c r="B4875" s="3" t="inlineStr">
        <is>
          <t>Week</t>
        </is>
      </c>
      <c r="C4875" s="19" t="n">
        <v>8</v>
      </c>
      <c r="D4875" s="19" t="n">
        <v>2027</v>
      </c>
      <c r="E4875" s="57" t="n">
        <v>5</v>
      </c>
      <c r="F4875" s="29">
        <f>ROUND(((SUMIFS(Calendar!$F$2:$F$9997,Calendar!$B$2:$B$9997,D4875,Calendar!$C$2:$C$9997,C4875)*INDEX(ForeCalc!$B$37:$Y$274,MATCH(_xlfn.CONCAT(H4875," ",I4875),ForeCalc!$A$37:$A$274,0),MATCH(_xlfn.CONCAT(B4875," ",E4875),ForeCalc!$B$36:$Y$36,0))))*VLOOKUP(A4875,Calendar!$A$2:$H$9997,8,FALSE),0)</f>
        <v/>
      </c>
      <c r="G4875" s="29">
        <f>VLOOKUP(A4875,Calendar!$A$1:$H$9997,6,FALSE)-F4875</f>
        <v/>
      </c>
      <c r="H4875" s="19" t="n">
        <v>2</v>
      </c>
      <c r="I4875" s="57" t="n">
        <v>5</v>
      </c>
    </row>
    <row r="4876">
      <c r="A4876" s="62" t="n">
        <v>46603</v>
      </c>
      <c r="B4876" s="3" t="inlineStr">
        <is>
          <t>Week</t>
        </is>
      </c>
      <c r="C4876" s="19" t="n">
        <v>8</v>
      </c>
      <c r="D4876" s="19" t="n">
        <v>2027</v>
      </c>
      <c r="E4876" s="57" t="n">
        <v>5</v>
      </c>
      <c r="F4876" s="29">
        <f>ROUND(((SUMIFS(Calendar!$F$2:$F$9997,Calendar!$B$2:$B$9997,D4876,Calendar!$C$2:$C$9997,C4876)*INDEX(ForeCalc!$B$37:$Y$274,MATCH(_xlfn.CONCAT(H4876," ",I4876),ForeCalc!$A$37:$A$274,0),MATCH(_xlfn.CONCAT(B4876," ",E4876),ForeCalc!$B$36:$Y$36,0))))*VLOOKUP(A4876,Calendar!$A$2:$H$9997,8,FALSE),0)</f>
        <v/>
      </c>
      <c r="G4876" s="29">
        <f>VLOOKUP(A4876,Calendar!$A$1:$H$9997,6,FALSE)-F4876</f>
        <v/>
      </c>
      <c r="H4876" s="19" t="n">
        <v>2</v>
      </c>
      <c r="I4876" s="57" t="n">
        <v>5</v>
      </c>
    </row>
    <row r="4877">
      <c r="A4877" s="62" t="n">
        <v>46604</v>
      </c>
      <c r="B4877" s="3" t="inlineStr">
        <is>
          <t>Week</t>
        </is>
      </c>
      <c r="C4877" s="19" t="n">
        <v>8</v>
      </c>
      <c r="D4877" s="19" t="n">
        <v>2027</v>
      </c>
      <c r="E4877" s="57" t="n">
        <v>5</v>
      </c>
      <c r="F4877" s="29">
        <f>ROUND(((SUMIFS(Calendar!$F$2:$F$9997,Calendar!$B$2:$B$9997,D4877,Calendar!$C$2:$C$9997,C4877)*INDEX(ForeCalc!$B$37:$Y$274,MATCH(_xlfn.CONCAT(H4877," ",I4877),ForeCalc!$A$37:$A$274,0),MATCH(_xlfn.CONCAT(B4877," ",E4877),ForeCalc!$B$36:$Y$36,0))))*VLOOKUP(A4877,Calendar!$A$2:$H$9997,8,FALSE),0)</f>
        <v/>
      </c>
      <c r="G4877" s="29">
        <f>VLOOKUP(A4877,Calendar!$A$1:$H$9997,6,FALSE)-F4877</f>
        <v/>
      </c>
      <c r="H4877" s="19" t="n">
        <v>2</v>
      </c>
      <c r="I4877" s="57" t="n">
        <v>5</v>
      </c>
    </row>
    <row r="4878">
      <c r="A4878" s="62" t="n">
        <v>46605</v>
      </c>
      <c r="B4878" s="3" t="inlineStr">
        <is>
          <t>Week</t>
        </is>
      </c>
      <c r="C4878" s="19" t="n">
        <v>8</v>
      </c>
      <c r="D4878" s="19" t="n">
        <v>2027</v>
      </c>
      <c r="E4878" s="57" t="n">
        <v>5</v>
      </c>
      <c r="F4878" s="29">
        <f>ROUND(((SUMIFS(Calendar!$F$2:$F$9997,Calendar!$B$2:$B$9997,D4878,Calendar!$C$2:$C$9997,C4878)*INDEX(ForeCalc!$B$37:$Y$274,MATCH(_xlfn.CONCAT(H4878," ",I4878),ForeCalc!$A$37:$A$274,0),MATCH(_xlfn.CONCAT(B4878," ",E4878),ForeCalc!$B$36:$Y$36,0))))*VLOOKUP(A4878,Calendar!$A$2:$H$9997,8,FALSE),0)</f>
        <v/>
      </c>
      <c r="G4878" s="29">
        <f>VLOOKUP(A4878,Calendar!$A$1:$H$9997,6,FALSE)-F4878</f>
        <v/>
      </c>
      <c r="H4878" s="19" t="n">
        <v>2</v>
      </c>
      <c r="I4878" s="57" t="n">
        <v>5</v>
      </c>
    </row>
    <row r="4879">
      <c r="A4879" s="62" t="n">
        <v>46606</v>
      </c>
      <c r="B4879" s="3" t="inlineStr">
        <is>
          <t>Sat</t>
        </is>
      </c>
      <c r="C4879" s="19" t="n">
        <v>8</v>
      </c>
      <c r="D4879" s="19" t="n">
        <v>2027</v>
      </c>
      <c r="E4879" s="57" t="n">
        <v>5</v>
      </c>
      <c r="F4879" s="29">
        <f>ROUND(((SUMIFS(Calendar!$F$2:$F$9997,Calendar!$B$2:$B$9997,D4879,Calendar!$C$2:$C$9997,C4879)*INDEX(ForeCalc!$B$37:$Y$274,MATCH(_xlfn.CONCAT(H4879," ",I4879),ForeCalc!$A$37:$A$274,0),MATCH(_xlfn.CONCAT(B4879," ",E4879),ForeCalc!$B$36:$Y$36,0))))*VLOOKUP(A4879,Calendar!$A$2:$H$9997,8,FALSE),0)</f>
        <v/>
      </c>
      <c r="G4879" s="29">
        <f>VLOOKUP(A4879,Calendar!$A$1:$H$9997,6,FALSE)-F4879</f>
        <v/>
      </c>
      <c r="H4879" s="19" t="n">
        <v>2</v>
      </c>
      <c r="I4879" s="57" t="n">
        <v>5</v>
      </c>
    </row>
    <row r="4880">
      <c r="A4880" s="62" t="n">
        <v>46607</v>
      </c>
      <c r="B4880" s="3" t="inlineStr">
        <is>
          <t>Sun</t>
        </is>
      </c>
      <c r="C4880" s="19" t="n">
        <v>8</v>
      </c>
      <c r="D4880" s="19" t="n">
        <v>2027</v>
      </c>
      <c r="E4880" s="57" t="n">
        <v>5</v>
      </c>
      <c r="F4880" s="29">
        <f>ROUND(((SUMIFS(Calendar!$F$2:$F$9997,Calendar!$B$2:$B$9997,D4880,Calendar!$C$2:$C$9997,C4880)*INDEX(ForeCalc!$B$37:$Y$274,MATCH(_xlfn.CONCAT(H4880," ",I4880),ForeCalc!$A$37:$A$274,0),MATCH(_xlfn.CONCAT(B4880," ",E4880),ForeCalc!$B$36:$Y$36,0))))*VLOOKUP(A4880,Calendar!$A$2:$H$9997,8,FALSE),0)</f>
        <v/>
      </c>
      <c r="G4880" s="29">
        <f>VLOOKUP(A4880,Calendar!$A$1:$H$9997,6,FALSE)-F4880</f>
        <v/>
      </c>
      <c r="H4880" s="19" t="n">
        <v>2</v>
      </c>
      <c r="I4880" s="57" t="n">
        <v>5</v>
      </c>
    </row>
    <row r="4881">
      <c r="A4881" s="62" t="n">
        <v>46608</v>
      </c>
      <c r="B4881" s="3" t="inlineStr">
        <is>
          <t>Week</t>
        </is>
      </c>
      <c r="C4881" s="19" t="n">
        <v>8</v>
      </c>
      <c r="D4881" s="19" t="n">
        <v>2027</v>
      </c>
      <c r="E4881" s="57" t="n">
        <v>5</v>
      </c>
      <c r="F4881" s="29">
        <f>ROUND(((SUMIFS(Calendar!$F$2:$F$9997,Calendar!$B$2:$B$9997,D4881,Calendar!$C$2:$C$9997,C4881)*INDEX(ForeCalc!$B$37:$Y$274,MATCH(_xlfn.CONCAT(H4881," ",I4881),ForeCalc!$A$37:$A$274,0),MATCH(_xlfn.CONCAT(B4881," ",E4881),ForeCalc!$B$36:$Y$36,0))))*VLOOKUP(A4881,Calendar!$A$2:$H$9997,8,FALSE),0)</f>
        <v/>
      </c>
      <c r="G4881" s="29">
        <f>VLOOKUP(A4881,Calendar!$A$1:$H$9997,6,FALSE)-F4881</f>
        <v/>
      </c>
      <c r="H4881" s="19" t="n">
        <v>2</v>
      </c>
      <c r="I4881" s="57" t="n">
        <v>5</v>
      </c>
    </row>
    <row r="4882">
      <c r="A4882" s="62" t="n">
        <v>46609</v>
      </c>
      <c r="B4882" s="3" t="inlineStr">
        <is>
          <t>Week</t>
        </is>
      </c>
      <c r="C4882" s="19" t="n">
        <v>8</v>
      </c>
      <c r="D4882" s="19" t="n">
        <v>2027</v>
      </c>
      <c r="E4882" s="57" t="n">
        <v>5</v>
      </c>
      <c r="F4882" s="29">
        <f>ROUND(((SUMIFS(Calendar!$F$2:$F$9997,Calendar!$B$2:$B$9997,D4882,Calendar!$C$2:$C$9997,C4882)*INDEX(ForeCalc!$B$37:$Y$274,MATCH(_xlfn.CONCAT(H4882," ",I4882),ForeCalc!$A$37:$A$274,0),MATCH(_xlfn.CONCAT(B4882," ",E4882),ForeCalc!$B$36:$Y$36,0))))*VLOOKUP(A4882,Calendar!$A$2:$H$9997,8,FALSE),0)</f>
        <v/>
      </c>
      <c r="G4882" s="29">
        <f>VLOOKUP(A4882,Calendar!$A$1:$H$9997,6,FALSE)-F4882</f>
        <v/>
      </c>
      <c r="H4882" s="19" t="n">
        <v>2</v>
      </c>
      <c r="I4882" s="57" t="n">
        <v>5</v>
      </c>
    </row>
    <row r="4883">
      <c r="A4883" s="62" t="n">
        <v>46610</v>
      </c>
      <c r="B4883" s="3" t="inlineStr">
        <is>
          <t>Week</t>
        </is>
      </c>
      <c r="C4883" s="19" t="n">
        <v>8</v>
      </c>
      <c r="D4883" s="19" t="n">
        <v>2027</v>
      </c>
      <c r="E4883" s="57" t="n">
        <v>5</v>
      </c>
      <c r="F4883" s="29">
        <f>ROUND(((SUMIFS(Calendar!$F$2:$F$9997,Calendar!$B$2:$B$9997,D4883,Calendar!$C$2:$C$9997,C4883)*INDEX(ForeCalc!$B$37:$Y$274,MATCH(_xlfn.CONCAT(H4883," ",I4883),ForeCalc!$A$37:$A$274,0),MATCH(_xlfn.CONCAT(B4883," ",E4883),ForeCalc!$B$36:$Y$36,0))))*VLOOKUP(A4883,Calendar!$A$2:$H$9997,8,FALSE),0)</f>
        <v/>
      </c>
      <c r="G4883" s="29">
        <f>VLOOKUP(A4883,Calendar!$A$1:$H$9997,6,FALSE)-F4883</f>
        <v/>
      </c>
      <c r="H4883" s="19" t="n">
        <v>2</v>
      </c>
      <c r="I4883" s="57" t="n">
        <v>5</v>
      </c>
    </row>
    <row r="4884">
      <c r="A4884" s="62" t="n">
        <v>46611</v>
      </c>
      <c r="B4884" s="3" t="inlineStr">
        <is>
          <t>Week</t>
        </is>
      </c>
      <c r="C4884" s="19" t="n">
        <v>8</v>
      </c>
      <c r="D4884" s="19" t="n">
        <v>2027</v>
      </c>
      <c r="E4884" s="57" t="n">
        <v>5</v>
      </c>
      <c r="F4884" s="29">
        <f>ROUND(((SUMIFS(Calendar!$F$2:$F$9997,Calendar!$B$2:$B$9997,D4884,Calendar!$C$2:$C$9997,C4884)*INDEX(ForeCalc!$B$37:$Y$274,MATCH(_xlfn.CONCAT(H4884," ",I4884),ForeCalc!$A$37:$A$274,0),MATCH(_xlfn.CONCAT(B4884," ",E4884),ForeCalc!$B$36:$Y$36,0))))*VLOOKUP(A4884,Calendar!$A$2:$H$9997,8,FALSE),0)</f>
        <v/>
      </c>
      <c r="G4884" s="29">
        <f>VLOOKUP(A4884,Calendar!$A$1:$H$9997,6,FALSE)-F4884</f>
        <v/>
      </c>
      <c r="H4884" s="19" t="n">
        <v>2</v>
      </c>
      <c r="I4884" s="57" t="n">
        <v>5</v>
      </c>
    </row>
    <row r="4885">
      <c r="A4885" s="62" t="n">
        <v>46612</v>
      </c>
      <c r="B4885" s="3" t="inlineStr">
        <is>
          <t>Week</t>
        </is>
      </c>
      <c r="C4885" s="19" t="n">
        <v>8</v>
      </c>
      <c r="D4885" s="19" t="n">
        <v>2027</v>
      </c>
      <c r="E4885" s="57" t="n">
        <v>5</v>
      </c>
      <c r="F4885" s="29">
        <f>ROUND(((SUMIFS(Calendar!$F$2:$F$9997,Calendar!$B$2:$B$9997,D4885,Calendar!$C$2:$C$9997,C4885)*INDEX(ForeCalc!$B$37:$Y$274,MATCH(_xlfn.CONCAT(H4885," ",I4885),ForeCalc!$A$37:$A$274,0),MATCH(_xlfn.CONCAT(B4885," ",E4885),ForeCalc!$B$36:$Y$36,0))))*VLOOKUP(A4885,Calendar!$A$2:$H$9997,8,FALSE),0)</f>
        <v/>
      </c>
      <c r="G4885" s="29">
        <f>VLOOKUP(A4885,Calendar!$A$1:$H$9997,6,FALSE)-F4885</f>
        <v/>
      </c>
      <c r="H4885" s="19" t="n">
        <v>2</v>
      </c>
      <c r="I4885" s="57" t="n">
        <v>5</v>
      </c>
    </row>
    <row r="4886">
      <c r="A4886" s="62" t="n">
        <v>46613</v>
      </c>
      <c r="B4886" s="3" t="inlineStr">
        <is>
          <t>Sat</t>
        </is>
      </c>
      <c r="C4886" s="19" t="n">
        <v>8</v>
      </c>
      <c r="D4886" s="19" t="n">
        <v>2027</v>
      </c>
      <c r="E4886" s="57" t="n">
        <v>5</v>
      </c>
      <c r="F4886" s="29">
        <f>ROUND(((SUMIFS(Calendar!$F$2:$F$9997,Calendar!$B$2:$B$9997,D4886,Calendar!$C$2:$C$9997,C4886)*INDEX(ForeCalc!$B$37:$Y$274,MATCH(_xlfn.CONCAT(H4886," ",I4886),ForeCalc!$A$37:$A$274,0),MATCH(_xlfn.CONCAT(B4886," ",E4886),ForeCalc!$B$36:$Y$36,0))))*VLOOKUP(A4886,Calendar!$A$2:$H$9997,8,FALSE),0)</f>
        <v/>
      </c>
      <c r="G4886" s="29">
        <f>VLOOKUP(A4886,Calendar!$A$1:$H$9997,6,FALSE)-F4886</f>
        <v/>
      </c>
      <c r="H4886" s="19" t="n">
        <v>2</v>
      </c>
      <c r="I4886" s="57" t="n">
        <v>5</v>
      </c>
    </row>
    <row r="4887">
      <c r="A4887" s="62" t="n">
        <v>46614</v>
      </c>
      <c r="B4887" s="3" t="inlineStr">
        <is>
          <t>Sun</t>
        </is>
      </c>
      <c r="C4887" s="19" t="n">
        <v>8</v>
      </c>
      <c r="D4887" s="19" t="n">
        <v>2027</v>
      </c>
      <c r="E4887" s="57" t="n">
        <v>5</v>
      </c>
      <c r="F4887" s="29">
        <f>ROUND(((SUMIFS(Calendar!$F$2:$F$9997,Calendar!$B$2:$B$9997,D4887,Calendar!$C$2:$C$9997,C4887)*INDEX(ForeCalc!$B$37:$Y$274,MATCH(_xlfn.CONCAT(H4887," ",I4887),ForeCalc!$A$37:$A$274,0),MATCH(_xlfn.CONCAT(B4887," ",E4887),ForeCalc!$B$36:$Y$36,0))))*VLOOKUP(A4887,Calendar!$A$2:$H$9997,8,FALSE),0)</f>
        <v/>
      </c>
      <c r="G4887" s="29">
        <f>VLOOKUP(A4887,Calendar!$A$1:$H$9997,6,FALSE)-F4887</f>
        <v/>
      </c>
      <c r="H4887" s="19" t="n">
        <v>2</v>
      </c>
      <c r="I4887" s="57" t="n">
        <v>5</v>
      </c>
    </row>
    <row r="4888">
      <c r="A4888" s="62" t="n">
        <v>46615</v>
      </c>
      <c r="B4888" s="3" t="inlineStr">
        <is>
          <t>Week</t>
        </is>
      </c>
      <c r="C4888" s="19" t="n">
        <v>8</v>
      </c>
      <c r="D4888" s="19" t="n">
        <v>2027</v>
      </c>
      <c r="E4888" s="57" t="n">
        <v>5</v>
      </c>
      <c r="F4888" s="29">
        <f>ROUND(((SUMIFS(Calendar!$F$2:$F$9997,Calendar!$B$2:$B$9997,D4888,Calendar!$C$2:$C$9997,C4888)*INDEX(ForeCalc!$B$37:$Y$274,MATCH(_xlfn.CONCAT(H4888," ",I4888),ForeCalc!$A$37:$A$274,0),MATCH(_xlfn.CONCAT(B4888," ",E4888),ForeCalc!$B$36:$Y$36,0))))*VLOOKUP(A4888,Calendar!$A$2:$H$9997,8,FALSE),0)</f>
        <v/>
      </c>
      <c r="G4888" s="29">
        <f>VLOOKUP(A4888,Calendar!$A$1:$H$9997,6,FALSE)-F4888</f>
        <v/>
      </c>
      <c r="H4888" s="19" t="n">
        <v>2</v>
      </c>
      <c r="I4888" s="57" t="n">
        <v>5</v>
      </c>
    </row>
    <row r="4889">
      <c r="A4889" s="62" t="n">
        <v>46616</v>
      </c>
      <c r="B4889" s="3" t="inlineStr">
        <is>
          <t>Week</t>
        </is>
      </c>
      <c r="C4889" s="19" t="n">
        <v>8</v>
      </c>
      <c r="D4889" s="19" t="n">
        <v>2027</v>
      </c>
      <c r="E4889" s="57" t="n">
        <v>5</v>
      </c>
      <c r="F4889" s="29">
        <f>ROUND(((SUMIFS(Calendar!$F$2:$F$9997,Calendar!$B$2:$B$9997,D4889,Calendar!$C$2:$C$9997,C4889)*INDEX(ForeCalc!$B$37:$Y$274,MATCH(_xlfn.CONCAT(H4889," ",I4889),ForeCalc!$A$37:$A$274,0),MATCH(_xlfn.CONCAT(B4889," ",E4889),ForeCalc!$B$36:$Y$36,0))))*VLOOKUP(A4889,Calendar!$A$2:$H$9997,8,FALSE),0)</f>
        <v/>
      </c>
      <c r="G4889" s="29">
        <f>VLOOKUP(A4889,Calendar!$A$1:$H$9997,6,FALSE)-F4889</f>
        <v/>
      </c>
      <c r="H4889" s="19" t="n">
        <v>2</v>
      </c>
      <c r="I4889" s="57" t="n">
        <v>5</v>
      </c>
    </row>
    <row r="4890">
      <c r="A4890" s="62" t="n">
        <v>46617</v>
      </c>
      <c r="B4890" s="3" t="inlineStr">
        <is>
          <t>Week</t>
        </is>
      </c>
      <c r="C4890" s="19" t="n">
        <v>8</v>
      </c>
      <c r="D4890" s="19" t="n">
        <v>2027</v>
      </c>
      <c r="E4890" s="57" t="n">
        <v>5</v>
      </c>
      <c r="F4890" s="29">
        <f>ROUND(((SUMIFS(Calendar!$F$2:$F$9997,Calendar!$B$2:$B$9997,D4890,Calendar!$C$2:$C$9997,C4890)*INDEX(ForeCalc!$B$37:$Y$274,MATCH(_xlfn.CONCAT(H4890," ",I4890),ForeCalc!$A$37:$A$274,0),MATCH(_xlfn.CONCAT(B4890," ",E4890),ForeCalc!$B$36:$Y$36,0))))*VLOOKUP(A4890,Calendar!$A$2:$H$9997,8,FALSE),0)</f>
        <v/>
      </c>
      <c r="G4890" s="29">
        <f>VLOOKUP(A4890,Calendar!$A$1:$H$9997,6,FALSE)-F4890</f>
        <v/>
      </c>
      <c r="H4890" s="19" t="n">
        <v>2</v>
      </c>
      <c r="I4890" s="57" t="n">
        <v>5</v>
      </c>
    </row>
    <row r="4891">
      <c r="A4891" s="62" t="n">
        <v>46618</v>
      </c>
      <c r="B4891" s="3" t="inlineStr">
        <is>
          <t>Week</t>
        </is>
      </c>
      <c r="C4891" s="19" t="n">
        <v>8</v>
      </c>
      <c r="D4891" s="19" t="n">
        <v>2027</v>
      </c>
      <c r="E4891" s="57" t="n">
        <v>5</v>
      </c>
      <c r="F4891" s="29">
        <f>ROUND(((SUMIFS(Calendar!$F$2:$F$9997,Calendar!$B$2:$B$9997,D4891,Calendar!$C$2:$C$9997,C4891)*INDEX(ForeCalc!$B$37:$Y$274,MATCH(_xlfn.CONCAT(H4891," ",I4891),ForeCalc!$A$37:$A$274,0),MATCH(_xlfn.CONCAT(B4891," ",E4891),ForeCalc!$B$36:$Y$36,0))))*VLOOKUP(A4891,Calendar!$A$2:$H$9997,8,FALSE),0)</f>
        <v/>
      </c>
      <c r="G4891" s="29">
        <f>VLOOKUP(A4891,Calendar!$A$1:$H$9997,6,FALSE)-F4891</f>
        <v/>
      </c>
      <c r="H4891" s="19" t="n">
        <v>2</v>
      </c>
      <c r="I4891" s="57" t="n">
        <v>5</v>
      </c>
    </row>
    <row r="4892">
      <c r="A4892" s="62" t="n">
        <v>46619</v>
      </c>
      <c r="B4892" s="3" t="inlineStr">
        <is>
          <t>Week</t>
        </is>
      </c>
      <c r="C4892" s="19" t="n">
        <v>8</v>
      </c>
      <c r="D4892" s="19" t="n">
        <v>2027</v>
      </c>
      <c r="E4892" s="57" t="n">
        <v>5</v>
      </c>
      <c r="F4892" s="29">
        <f>ROUND(((SUMIFS(Calendar!$F$2:$F$9997,Calendar!$B$2:$B$9997,D4892,Calendar!$C$2:$C$9997,C4892)*INDEX(ForeCalc!$B$37:$Y$274,MATCH(_xlfn.CONCAT(H4892," ",I4892),ForeCalc!$A$37:$A$274,0),MATCH(_xlfn.CONCAT(B4892," ",E4892),ForeCalc!$B$36:$Y$36,0))))*VLOOKUP(A4892,Calendar!$A$2:$H$9997,8,FALSE),0)</f>
        <v/>
      </c>
      <c r="G4892" s="29">
        <f>VLOOKUP(A4892,Calendar!$A$1:$H$9997,6,FALSE)-F4892</f>
        <v/>
      </c>
      <c r="H4892" s="19" t="n">
        <v>2</v>
      </c>
      <c r="I4892" s="57" t="n">
        <v>5</v>
      </c>
    </row>
    <row r="4893">
      <c r="A4893" s="62" t="n">
        <v>46620</v>
      </c>
      <c r="B4893" s="3" t="inlineStr">
        <is>
          <t>Sat</t>
        </is>
      </c>
      <c r="C4893" s="19" t="n">
        <v>8</v>
      </c>
      <c r="D4893" s="19" t="n">
        <v>2027</v>
      </c>
      <c r="E4893" s="57" t="n">
        <v>5</v>
      </c>
      <c r="F4893" s="29">
        <f>ROUND(((SUMIFS(Calendar!$F$2:$F$9997,Calendar!$B$2:$B$9997,D4893,Calendar!$C$2:$C$9997,C4893)*INDEX(ForeCalc!$B$37:$Y$274,MATCH(_xlfn.CONCAT(H4893," ",I4893),ForeCalc!$A$37:$A$274,0),MATCH(_xlfn.CONCAT(B4893," ",E4893),ForeCalc!$B$36:$Y$36,0))))*VLOOKUP(A4893,Calendar!$A$2:$H$9997,8,FALSE),0)</f>
        <v/>
      </c>
      <c r="G4893" s="29">
        <f>VLOOKUP(A4893,Calendar!$A$1:$H$9997,6,FALSE)-F4893</f>
        <v/>
      </c>
      <c r="H4893" s="19" t="n">
        <v>2</v>
      </c>
      <c r="I4893" s="57" t="n">
        <v>5</v>
      </c>
    </row>
    <row r="4894">
      <c r="A4894" s="62" t="n">
        <v>46621</v>
      </c>
      <c r="B4894" s="3" t="inlineStr">
        <is>
          <t>Sun</t>
        </is>
      </c>
      <c r="C4894" s="19" t="n">
        <v>8</v>
      </c>
      <c r="D4894" s="19" t="n">
        <v>2027</v>
      </c>
      <c r="E4894" s="57" t="n">
        <v>5</v>
      </c>
      <c r="F4894" s="29">
        <f>ROUND(((SUMIFS(Calendar!$F$2:$F$9997,Calendar!$B$2:$B$9997,D4894,Calendar!$C$2:$C$9997,C4894)*INDEX(ForeCalc!$B$37:$Y$274,MATCH(_xlfn.CONCAT(H4894," ",I4894),ForeCalc!$A$37:$A$274,0),MATCH(_xlfn.CONCAT(B4894," ",E4894),ForeCalc!$B$36:$Y$36,0))))*VLOOKUP(A4894,Calendar!$A$2:$H$9997,8,FALSE),0)</f>
        <v/>
      </c>
      <c r="G4894" s="29">
        <f>VLOOKUP(A4894,Calendar!$A$1:$H$9997,6,FALSE)-F4894</f>
        <v/>
      </c>
      <c r="H4894" s="19" t="n">
        <v>2</v>
      </c>
      <c r="I4894" s="57" t="n">
        <v>5</v>
      </c>
    </row>
    <row r="4895">
      <c r="A4895" s="62" t="n">
        <v>46622</v>
      </c>
      <c r="B4895" s="3" t="inlineStr">
        <is>
          <t>Week</t>
        </is>
      </c>
      <c r="C4895" s="19" t="n">
        <v>8</v>
      </c>
      <c r="D4895" s="19" t="n">
        <v>2027</v>
      </c>
      <c r="E4895" s="57" t="n">
        <v>5</v>
      </c>
      <c r="F4895" s="29">
        <f>ROUND(((SUMIFS(Calendar!$F$2:$F$9997,Calendar!$B$2:$B$9997,D4895,Calendar!$C$2:$C$9997,C4895)*INDEX(ForeCalc!$B$37:$Y$274,MATCH(_xlfn.CONCAT(H4895," ",I4895),ForeCalc!$A$37:$A$274,0),MATCH(_xlfn.CONCAT(B4895," ",E4895),ForeCalc!$B$36:$Y$36,0))))*VLOOKUP(A4895,Calendar!$A$2:$H$9997,8,FALSE),0)</f>
        <v/>
      </c>
      <c r="G4895" s="29">
        <f>VLOOKUP(A4895,Calendar!$A$1:$H$9997,6,FALSE)-F4895</f>
        <v/>
      </c>
      <c r="H4895" s="19" t="n">
        <v>2</v>
      </c>
      <c r="I4895" s="57" t="n">
        <v>5</v>
      </c>
    </row>
    <row r="4896">
      <c r="A4896" s="62" t="n">
        <v>46623</v>
      </c>
      <c r="B4896" s="3" t="inlineStr">
        <is>
          <t>Week</t>
        </is>
      </c>
      <c r="C4896" s="19" t="n">
        <v>8</v>
      </c>
      <c r="D4896" s="19" t="n">
        <v>2027</v>
      </c>
      <c r="E4896" s="57" t="n">
        <v>5</v>
      </c>
      <c r="F4896" s="29">
        <f>ROUND(((SUMIFS(Calendar!$F$2:$F$9997,Calendar!$B$2:$B$9997,D4896,Calendar!$C$2:$C$9997,C4896)*INDEX(ForeCalc!$B$37:$Y$274,MATCH(_xlfn.CONCAT(H4896," ",I4896),ForeCalc!$A$37:$A$274,0),MATCH(_xlfn.CONCAT(B4896," ",E4896),ForeCalc!$B$36:$Y$36,0))))*VLOOKUP(A4896,Calendar!$A$2:$H$9997,8,FALSE),0)</f>
        <v/>
      </c>
      <c r="G4896" s="29">
        <f>VLOOKUP(A4896,Calendar!$A$1:$H$9997,6,FALSE)-F4896</f>
        <v/>
      </c>
      <c r="H4896" s="19" t="n">
        <v>2</v>
      </c>
      <c r="I4896" s="57" t="n">
        <v>5</v>
      </c>
    </row>
    <row r="4897">
      <c r="A4897" s="62" t="n">
        <v>46624</v>
      </c>
      <c r="B4897" s="3" t="inlineStr">
        <is>
          <t>Week</t>
        </is>
      </c>
      <c r="C4897" s="19" t="n">
        <v>8</v>
      </c>
      <c r="D4897" s="19" t="n">
        <v>2027</v>
      </c>
      <c r="E4897" s="57" t="n">
        <v>5</v>
      </c>
      <c r="F4897" s="29">
        <f>ROUND(((SUMIFS(Calendar!$F$2:$F$9997,Calendar!$B$2:$B$9997,D4897,Calendar!$C$2:$C$9997,C4897)*INDEX(ForeCalc!$B$37:$Y$274,MATCH(_xlfn.CONCAT(H4897," ",I4897),ForeCalc!$A$37:$A$274,0),MATCH(_xlfn.CONCAT(B4897," ",E4897),ForeCalc!$B$36:$Y$36,0))))*VLOOKUP(A4897,Calendar!$A$2:$H$9997,8,FALSE),0)</f>
        <v/>
      </c>
      <c r="G4897" s="29">
        <f>VLOOKUP(A4897,Calendar!$A$1:$H$9997,6,FALSE)-F4897</f>
        <v/>
      </c>
      <c r="H4897" s="19" t="n">
        <v>2</v>
      </c>
      <c r="I4897" s="57" t="n">
        <v>5</v>
      </c>
    </row>
    <row r="4898">
      <c r="A4898" s="62" t="n">
        <v>46625</v>
      </c>
      <c r="B4898" s="3" t="inlineStr">
        <is>
          <t>Week</t>
        </is>
      </c>
      <c r="C4898" s="19" t="n">
        <v>8</v>
      </c>
      <c r="D4898" s="19" t="n">
        <v>2027</v>
      </c>
      <c r="E4898" s="57" t="n">
        <v>5</v>
      </c>
      <c r="F4898" s="29">
        <f>ROUND(((SUMIFS(Calendar!$F$2:$F$9997,Calendar!$B$2:$B$9997,D4898,Calendar!$C$2:$C$9997,C4898)*INDEX(ForeCalc!$B$37:$Y$274,MATCH(_xlfn.CONCAT(H4898," ",I4898),ForeCalc!$A$37:$A$274,0),MATCH(_xlfn.CONCAT(B4898," ",E4898),ForeCalc!$B$36:$Y$36,0))))*VLOOKUP(A4898,Calendar!$A$2:$H$9997,8,FALSE),0)</f>
        <v/>
      </c>
      <c r="G4898" s="29">
        <f>VLOOKUP(A4898,Calendar!$A$1:$H$9997,6,FALSE)-F4898</f>
        <v/>
      </c>
      <c r="H4898" s="19" t="n">
        <v>2</v>
      </c>
      <c r="I4898" s="57" t="n">
        <v>5</v>
      </c>
    </row>
    <row r="4899">
      <c r="A4899" s="62" t="n">
        <v>46626</v>
      </c>
      <c r="B4899" s="3" t="inlineStr">
        <is>
          <t>Week</t>
        </is>
      </c>
      <c r="C4899" s="19" t="n">
        <v>8</v>
      </c>
      <c r="D4899" s="19" t="n">
        <v>2027</v>
      </c>
      <c r="E4899" s="57" t="n">
        <v>5</v>
      </c>
      <c r="F4899" s="29">
        <f>ROUND(((SUMIFS(Calendar!$F$2:$F$9997,Calendar!$B$2:$B$9997,D4899,Calendar!$C$2:$C$9997,C4899)*INDEX(ForeCalc!$B$37:$Y$274,MATCH(_xlfn.CONCAT(H4899," ",I4899),ForeCalc!$A$37:$A$274,0),MATCH(_xlfn.CONCAT(B4899," ",E4899),ForeCalc!$B$36:$Y$36,0))))*VLOOKUP(A4899,Calendar!$A$2:$H$9997,8,FALSE),0)</f>
        <v/>
      </c>
      <c r="G4899" s="29">
        <f>VLOOKUP(A4899,Calendar!$A$1:$H$9997,6,FALSE)-F4899</f>
        <v/>
      </c>
      <c r="H4899" s="19" t="n">
        <v>2</v>
      </c>
      <c r="I4899" s="57" t="n">
        <v>5</v>
      </c>
    </row>
    <row r="4900">
      <c r="A4900" s="62" t="n">
        <v>46627</v>
      </c>
      <c r="B4900" s="3" t="inlineStr">
        <is>
          <t>Sat</t>
        </is>
      </c>
      <c r="C4900" s="19" t="n">
        <v>8</v>
      </c>
      <c r="D4900" s="19" t="n">
        <v>2027</v>
      </c>
      <c r="E4900" s="57" t="n">
        <v>5</v>
      </c>
      <c r="F4900" s="29">
        <f>ROUND(((SUMIFS(Calendar!$F$2:$F$9997,Calendar!$B$2:$B$9997,D4900,Calendar!$C$2:$C$9997,C4900)*INDEX(ForeCalc!$B$37:$Y$274,MATCH(_xlfn.CONCAT(H4900," ",I4900),ForeCalc!$A$37:$A$274,0),MATCH(_xlfn.CONCAT(B4900," ",E4900),ForeCalc!$B$36:$Y$36,0))))*VLOOKUP(A4900,Calendar!$A$2:$H$9997,8,FALSE),0)</f>
        <v/>
      </c>
      <c r="G4900" s="29">
        <f>VLOOKUP(A4900,Calendar!$A$1:$H$9997,6,FALSE)-F4900</f>
        <v/>
      </c>
      <c r="H4900" s="19" t="n">
        <v>2</v>
      </c>
      <c r="I4900" s="57" t="n">
        <v>5</v>
      </c>
    </row>
    <row r="4901">
      <c r="A4901" s="62" t="n">
        <v>46628</v>
      </c>
      <c r="B4901" s="3" t="inlineStr">
        <is>
          <t>Sun</t>
        </is>
      </c>
      <c r="C4901" s="19" t="n">
        <v>8</v>
      </c>
      <c r="D4901" s="19" t="n">
        <v>2027</v>
      </c>
      <c r="E4901" s="57" t="n">
        <v>5</v>
      </c>
      <c r="F4901" s="29">
        <f>ROUND(((SUMIFS(Calendar!$F$2:$F$9997,Calendar!$B$2:$B$9997,D4901,Calendar!$C$2:$C$9997,C4901)*INDEX(ForeCalc!$B$37:$Y$274,MATCH(_xlfn.CONCAT(H4901," ",I4901),ForeCalc!$A$37:$A$274,0),MATCH(_xlfn.CONCAT(B4901," ",E4901),ForeCalc!$B$36:$Y$36,0))))*VLOOKUP(A4901,Calendar!$A$2:$H$9997,8,FALSE),0)</f>
        <v/>
      </c>
      <c r="G4901" s="29">
        <f>VLOOKUP(A4901,Calendar!$A$1:$H$9997,6,FALSE)-F4901</f>
        <v/>
      </c>
      <c r="H4901" s="19" t="n">
        <v>2</v>
      </c>
      <c r="I4901" s="57" t="n">
        <v>5</v>
      </c>
    </row>
    <row r="4902">
      <c r="A4902" s="62" t="n">
        <v>46629</v>
      </c>
      <c r="B4902" s="3" t="inlineStr">
        <is>
          <t>Week</t>
        </is>
      </c>
      <c r="C4902" s="19" t="n">
        <v>8</v>
      </c>
      <c r="D4902" s="19" t="n">
        <v>2027</v>
      </c>
      <c r="E4902" s="57" t="n">
        <v>5</v>
      </c>
      <c r="F4902" s="29">
        <f>ROUND(((SUMIFS(Calendar!$F$2:$F$9997,Calendar!$B$2:$B$9997,D4902,Calendar!$C$2:$C$9997,C4902)*INDEX(ForeCalc!$B$37:$Y$274,MATCH(_xlfn.CONCAT(H4902," ",I4902),ForeCalc!$A$37:$A$274,0),MATCH(_xlfn.CONCAT(B4902," ",E4902),ForeCalc!$B$36:$Y$36,0))))*VLOOKUP(A4902,Calendar!$A$2:$H$9997,8,FALSE),0)</f>
        <v/>
      </c>
      <c r="G4902" s="29">
        <f>VLOOKUP(A4902,Calendar!$A$1:$H$9997,6,FALSE)-F4902</f>
        <v/>
      </c>
      <c r="H4902" s="19" t="n">
        <v>2</v>
      </c>
      <c r="I4902" s="57" t="n">
        <v>5</v>
      </c>
    </row>
    <row r="4903">
      <c r="A4903" s="62" t="n">
        <v>46630</v>
      </c>
      <c r="B4903" s="3" t="inlineStr">
        <is>
          <t>Week</t>
        </is>
      </c>
      <c r="C4903" s="19" t="n">
        <v>8</v>
      </c>
      <c r="D4903" s="19" t="n">
        <v>2027</v>
      </c>
      <c r="E4903" s="57" t="n">
        <v>5</v>
      </c>
      <c r="F4903" s="29">
        <f>ROUND(((SUMIFS(Calendar!$F$2:$F$9997,Calendar!$B$2:$B$9997,D4903,Calendar!$C$2:$C$9997,C4903)*INDEX(ForeCalc!$B$37:$Y$274,MATCH(_xlfn.CONCAT(H4903," ",I4903),ForeCalc!$A$37:$A$274,0),MATCH(_xlfn.CONCAT(B4903," ",E4903),ForeCalc!$B$36:$Y$36,0))))*VLOOKUP(A4903,Calendar!$A$2:$H$9997,8,FALSE),0)</f>
        <v/>
      </c>
      <c r="G4903" s="29">
        <f>VLOOKUP(A4903,Calendar!$A$1:$H$9997,6,FALSE)-F4903</f>
        <v/>
      </c>
      <c r="H4903" s="19" t="n">
        <v>2</v>
      </c>
      <c r="I4903" s="57" t="n">
        <v>5</v>
      </c>
    </row>
    <row r="4904">
      <c r="A4904" s="62" t="n">
        <v>46631</v>
      </c>
      <c r="B4904" s="3" t="inlineStr">
        <is>
          <t>Week</t>
        </is>
      </c>
      <c r="C4904" s="19" t="n">
        <v>9</v>
      </c>
      <c r="D4904" s="19" t="n">
        <v>2027</v>
      </c>
      <c r="E4904" s="57" t="n">
        <v>5</v>
      </c>
      <c r="F4904" s="29">
        <f>ROUND(((SUMIFS(Calendar!$F$2:$F$9997,Calendar!$B$2:$B$9997,D4904,Calendar!$C$2:$C$9997,C4904)*INDEX(ForeCalc!$B$37:$Y$274,MATCH(_xlfn.CONCAT(H4904," ",I4904),ForeCalc!$A$37:$A$274,0),MATCH(_xlfn.CONCAT(B4904," ",E4904),ForeCalc!$B$36:$Y$36,0))))*VLOOKUP(A4904,Calendar!$A$2:$H$9997,8,FALSE),0)</f>
        <v/>
      </c>
      <c r="G4904" s="29">
        <f>VLOOKUP(A4904,Calendar!$A$1:$H$9997,6,FALSE)-F4904</f>
        <v/>
      </c>
      <c r="H4904" s="19" t="n">
        <v>2</v>
      </c>
      <c r="I4904" s="57" t="n">
        <v>6</v>
      </c>
    </row>
    <row r="4905">
      <c r="A4905" s="62" t="n">
        <v>46632</v>
      </c>
      <c r="B4905" s="3" t="inlineStr">
        <is>
          <t>Week</t>
        </is>
      </c>
      <c r="C4905" s="19" t="n">
        <v>9</v>
      </c>
      <c r="D4905" s="19" t="n">
        <v>2027</v>
      </c>
      <c r="E4905" s="57" t="n">
        <v>5</v>
      </c>
      <c r="F4905" s="29">
        <f>ROUND(((SUMIFS(Calendar!$F$2:$F$9997,Calendar!$B$2:$B$9997,D4905,Calendar!$C$2:$C$9997,C4905)*INDEX(ForeCalc!$B$37:$Y$274,MATCH(_xlfn.CONCAT(H4905," ",I4905),ForeCalc!$A$37:$A$274,0),MATCH(_xlfn.CONCAT(B4905," ",E4905),ForeCalc!$B$36:$Y$36,0))))*VLOOKUP(A4905,Calendar!$A$2:$H$9997,8,FALSE),0)</f>
        <v/>
      </c>
      <c r="G4905" s="29">
        <f>VLOOKUP(A4905,Calendar!$A$1:$H$9997,6,FALSE)-F4905</f>
        <v/>
      </c>
      <c r="H4905" s="19" t="n">
        <v>2</v>
      </c>
      <c r="I4905" s="57" t="n">
        <v>6</v>
      </c>
    </row>
    <row r="4906">
      <c r="A4906" s="62" t="n">
        <v>46633</v>
      </c>
      <c r="B4906" s="3" t="inlineStr">
        <is>
          <t>Week</t>
        </is>
      </c>
      <c r="C4906" s="19" t="n">
        <v>9</v>
      </c>
      <c r="D4906" s="19" t="n">
        <v>2027</v>
      </c>
      <c r="E4906" s="57" t="n">
        <v>5</v>
      </c>
      <c r="F4906" s="29">
        <f>ROUND(((SUMIFS(Calendar!$F$2:$F$9997,Calendar!$B$2:$B$9997,D4906,Calendar!$C$2:$C$9997,C4906)*INDEX(ForeCalc!$B$37:$Y$274,MATCH(_xlfn.CONCAT(H4906," ",I4906),ForeCalc!$A$37:$A$274,0),MATCH(_xlfn.CONCAT(B4906," ",E4906),ForeCalc!$B$36:$Y$36,0))))*VLOOKUP(A4906,Calendar!$A$2:$H$9997,8,FALSE),0)</f>
        <v/>
      </c>
      <c r="G4906" s="29">
        <f>VLOOKUP(A4906,Calendar!$A$1:$H$9997,6,FALSE)-F4906</f>
        <v/>
      </c>
      <c r="H4906" s="19" t="n">
        <v>2</v>
      </c>
      <c r="I4906" s="57" t="n">
        <v>6</v>
      </c>
    </row>
    <row r="4907">
      <c r="A4907" s="62" t="n">
        <v>46634</v>
      </c>
      <c r="B4907" s="3" t="inlineStr">
        <is>
          <t>Sat</t>
        </is>
      </c>
      <c r="C4907" s="19" t="n">
        <v>9</v>
      </c>
      <c r="D4907" s="19" t="n">
        <v>2027</v>
      </c>
      <c r="E4907" s="57" t="n">
        <v>5</v>
      </c>
      <c r="F4907" s="29">
        <f>ROUND(((SUMIFS(Calendar!$F$2:$F$9997,Calendar!$B$2:$B$9997,D4907,Calendar!$C$2:$C$9997,C4907)*INDEX(ForeCalc!$B$37:$Y$274,MATCH(_xlfn.CONCAT(H4907," ",I4907),ForeCalc!$A$37:$A$274,0),MATCH(_xlfn.CONCAT(B4907," ",E4907),ForeCalc!$B$36:$Y$36,0))))*VLOOKUP(A4907,Calendar!$A$2:$H$9997,8,FALSE),0)</f>
        <v/>
      </c>
      <c r="G4907" s="29">
        <f>VLOOKUP(A4907,Calendar!$A$1:$H$9997,6,FALSE)-F4907</f>
        <v/>
      </c>
      <c r="H4907" s="19" t="n">
        <v>2</v>
      </c>
      <c r="I4907" s="57" t="n">
        <v>6</v>
      </c>
    </row>
    <row r="4908">
      <c r="A4908" s="62" t="n">
        <v>46635</v>
      </c>
      <c r="B4908" s="3" t="inlineStr">
        <is>
          <t>Sun</t>
        </is>
      </c>
      <c r="C4908" s="19" t="n">
        <v>9</v>
      </c>
      <c r="D4908" s="19" t="n">
        <v>2027</v>
      </c>
      <c r="E4908" s="57" t="n">
        <v>5</v>
      </c>
      <c r="F4908" s="29">
        <f>ROUND(((SUMIFS(Calendar!$F$2:$F$9997,Calendar!$B$2:$B$9997,D4908,Calendar!$C$2:$C$9997,C4908)*INDEX(ForeCalc!$B$37:$Y$274,MATCH(_xlfn.CONCAT(H4908," ",I4908),ForeCalc!$A$37:$A$274,0),MATCH(_xlfn.CONCAT(B4908," ",E4908),ForeCalc!$B$36:$Y$36,0))))*VLOOKUP(A4908,Calendar!$A$2:$H$9997,8,FALSE),0)</f>
        <v/>
      </c>
      <c r="G4908" s="29">
        <f>VLOOKUP(A4908,Calendar!$A$1:$H$9997,6,FALSE)-F4908</f>
        <v/>
      </c>
      <c r="H4908" s="19" t="n">
        <v>2</v>
      </c>
      <c r="I4908" s="57" t="n">
        <v>6</v>
      </c>
    </row>
    <row r="4909">
      <c r="A4909" s="62" t="n">
        <v>46636</v>
      </c>
      <c r="B4909" s="3" t="inlineStr">
        <is>
          <t>Week</t>
        </is>
      </c>
      <c r="C4909" s="19" t="n">
        <v>9</v>
      </c>
      <c r="D4909" s="19" t="n">
        <v>2027</v>
      </c>
      <c r="E4909" s="57" t="n">
        <v>5</v>
      </c>
      <c r="F4909" s="29">
        <f>ROUND(((SUMIFS(Calendar!$F$2:$F$9997,Calendar!$B$2:$B$9997,D4909,Calendar!$C$2:$C$9997,C4909)*INDEX(ForeCalc!$B$37:$Y$274,MATCH(_xlfn.CONCAT(H4909," ",I4909),ForeCalc!$A$37:$A$274,0),MATCH(_xlfn.CONCAT(B4909," ",E4909),ForeCalc!$B$36:$Y$36,0))))*VLOOKUP(A4909,Calendar!$A$2:$H$9997,8,FALSE),0)</f>
        <v/>
      </c>
      <c r="G4909" s="29">
        <f>VLOOKUP(A4909,Calendar!$A$1:$H$9997,6,FALSE)-F4909</f>
        <v/>
      </c>
      <c r="H4909" s="19" t="n">
        <v>2</v>
      </c>
      <c r="I4909" s="57" t="n">
        <v>6</v>
      </c>
    </row>
    <row r="4910">
      <c r="A4910" s="62" t="n">
        <v>46637</v>
      </c>
      <c r="B4910" s="3" t="inlineStr">
        <is>
          <t>Week</t>
        </is>
      </c>
      <c r="C4910" s="19" t="n">
        <v>9</v>
      </c>
      <c r="D4910" s="19" t="n">
        <v>2027</v>
      </c>
      <c r="E4910" s="57" t="n">
        <v>5</v>
      </c>
      <c r="F4910" s="29">
        <f>ROUND(((SUMIFS(Calendar!$F$2:$F$9997,Calendar!$B$2:$B$9997,D4910,Calendar!$C$2:$C$9997,C4910)*INDEX(ForeCalc!$B$37:$Y$274,MATCH(_xlfn.CONCAT(H4910," ",I4910),ForeCalc!$A$37:$A$274,0),MATCH(_xlfn.CONCAT(B4910," ",E4910),ForeCalc!$B$36:$Y$36,0))))*VLOOKUP(A4910,Calendar!$A$2:$H$9997,8,FALSE),0)</f>
        <v/>
      </c>
      <c r="G4910" s="29">
        <f>VLOOKUP(A4910,Calendar!$A$1:$H$9997,6,FALSE)-F4910</f>
        <v/>
      </c>
      <c r="H4910" s="19" t="n">
        <v>2</v>
      </c>
      <c r="I4910" s="57" t="n">
        <v>6</v>
      </c>
    </row>
    <row r="4911">
      <c r="A4911" s="62" t="n">
        <v>46638</v>
      </c>
      <c r="B4911" s="3" t="inlineStr">
        <is>
          <t>Week</t>
        </is>
      </c>
      <c r="C4911" s="19" t="n">
        <v>9</v>
      </c>
      <c r="D4911" s="19" t="n">
        <v>2027</v>
      </c>
      <c r="E4911" s="57" t="n">
        <v>5</v>
      </c>
      <c r="F4911" s="29">
        <f>ROUND(((SUMIFS(Calendar!$F$2:$F$9997,Calendar!$B$2:$B$9997,D4911,Calendar!$C$2:$C$9997,C4911)*INDEX(ForeCalc!$B$37:$Y$274,MATCH(_xlfn.CONCAT(H4911," ",I4911),ForeCalc!$A$37:$A$274,0),MATCH(_xlfn.CONCAT(B4911," ",E4911),ForeCalc!$B$36:$Y$36,0))))*VLOOKUP(A4911,Calendar!$A$2:$H$9997,8,FALSE),0)</f>
        <v/>
      </c>
      <c r="G4911" s="29">
        <f>VLOOKUP(A4911,Calendar!$A$1:$H$9997,6,FALSE)-F4911</f>
        <v/>
      </c>
      <c r="H4911" s="19" t="n">
        <v>2</v>
      </c>
      <c r="I4911" s="57" t="n">
        <v>6</v>
      </c>
    </row>
    <row r="4912">
      <c r="A4912" s="62" t="n">
        <v>46639</v>
      </c>
      <c r="B4912" s="3" t="inlineStr">
        <is>
          <t>Week</t>
        </is>
      </c>
      <c r="C4912" s="19" t="n">
        <v>9</v>
      </c>
      <c r="D4912" s="19" t="n">
        <v>2027</v>
      </c>
      <c r="E4912" s="57" t="n">
        <v>5</v>
      </c>
      <c r="F4912" s="29">
        <f>ROUND(((SUMIFS(Calendar!$F$2:$F$9997,Calendar!$B$2:$B$9997,D4912,Calendar!$C$2:$C$9997,C4912)*INDEX(ForeCalc!$B$37:$Y$274,MATCH(_xlfn.CONCAT(H4912," ",I4912),ForeCalc!$A$37:$A$274,0),MATCH(_xlfn.CONCAT(B4912," ",E4912),ForeCalc!$B$36:$Y$36,0))))*VLOOKUP(A4912,Calendar!$A$2:$H$9997,8,FALSE),0)</f>
        <v/>
      </c>
      <c r="G4912" s="29">
        <f>VLOOKUP(A4912,Calendar!$A$1:$H$9997,6,FALSE)-F4912</f>
        <v/>
      </c>
      <c r="H4912" s="19" t="n">
        <v>2</v>
      </c>
      <c r="I4912" s="57" t="n">
        <v>6</v>
      </c>
    </row>
    <row r="4913">
      <c r="A4913" s="62" t="n">
        <v>46640</v>
      </c>
      <c r="B4913" s="3" t="inlineStr">
        <is>
          <t>Week</t>
        </is>
      </c>
      <c r="C4913" s="19" t="n">
        <v>9</v>
      </c>
      <c r="D4913" s="19" t="n">
        <v>2027</v>
      </c>
      <c r="E4913" s="57" t="n">
        <v>5</v>
      </c>
      <c r="F4913" s="29">
        <f>ROUND(((SUMIFS(Calendar!$F$2:$F$9997,Calendar!$B$2:$B$9997,D4913,Calendar!$C$2:$C$9997,C4913)*INDEX(ForeCalc!$B$37:$Y$274,MATCH(_xlfn.CONCAT(H4913," ",I4913),ForeCalc!$A$37:$A$274,0),MATCH(_xlfn.CONCAT(B4913," ",E4913),ForeCalc!$B$36:$Y$36,0))))*VLOOKUP(A4913,Calendar!$A$2:$H$9997,8,FALSE),0)</f>
        <v/>
      </c>
      <c r="G4913" s="29">
        <f>VLOOKUP(A4913,Calendar!$A$1:$H$9997,6,FALSE)-F4913</f>
        <v/>
      </c>
      <c r="H4913" s="19" t="n">
        <v>2</v>
      </c>
      <c r="I4913" s="57" t="n">
        <v>6</v>
      </c>
    </row>
    <row r="4914">
      <c r="A4914" s="62" t="n">
        <v>46641</v>
      </c>
      <c r="B4914" s="3" t="inlineStr">
        <is>
          <t>Sat</t>
        </is>
      </c>
      <c r="C4914" s="19" t="n">
        <v>9</v>
      </c>
      <c r="D4914" s="19" t="n">
        <v>2027</v>
      </c>
      <c r="E4914" s="57" t="n">
        <v>5</v>
      </c>
      <c r="F4914" s="29">
        <f>ROUND(((SUMIFS(Calendar!$F$2:$F$9997,Calendar!$B$2:$B$9997,D4914,Calendar!$C$2:$C$9997,C4914)*INDEX(ForeCalc!$B$37:$Y$274,MATCH(_xlfn.CONCAT(H4914," ",I4914),ForeCalc!$A$37:$A$274,0),MATCH(_xlfn.CONCAT(B4914," ",E4914),ForeCalc!$B$36:$Y$36,0))))*VLOOKUP(A4914,Calendar!$A$2:$H$9997,8,FALSE),0)</f>
        <v/>
      </c>
      <c r="G4914" s="29">
        <f>VLOOKUP(A4914,Calendar!$A$1:$H$9997,6,FALSE)-F4914</f>
        <v/>
      </c>
      <c r="H4914" s="19" t="n">
        <v>2</v>
      </c>
      <c r="I4914" s="57" t="n">
        <v>6</v>
      </c>
    </row>
    <row r="4915">
      <c r="A4915" s="62" t="n">
        <v>46642</v>
      </c>
      <c r="B4915" s="3" t="inlineStr">
        <is>
          <t>Sun</t>
        </is>
      </c>
      <c r="C4915" s="19" t="n">
        <v>9</v>
      </c>
      <c r="D4915" s="19" t="n">
        <v>2027</v>
      </c>
      <c r="E4915" s="57" t="n">
        <v>5</v>
      </c>
      <c r="F4915" s="29">
        <f>ROUND(((SUMIFS(Calendar!$F$2:$F$9997,Calendar!$B$2:$B$9997,D4915,Calendar!$C$2:$C$9997,C4915)*INDEX(ForeCalc!$B$37:$Y$274,MATCH(_xlfn.CONCAT(H4915," ",I4915),ForeCalc!$A$37:$A$274,0),MATCH(_xlfn.CONCAT(B4915," ",E4915),ForeCalc!$B$36:$Y$36,0))))*VLOOKUP(A4915,Calendar!$A$2:$H$9997,8,FALSE),0)</f>
        <v/>
      </c>
      <c r="G4915" s="29">
        <f>VLOOKUP(A4915,Calendar!$A$1:$H$9997,6,FALSE)-F4915</f>
        <v/>
      </c>
      <c r="H4915" s="19" t="n">
        <v>2</v>
      </c>
      <c r="I4915" s="57" t="n">
        <v>6</v>
      </c>
    </row>
    <row r="4916">
      <c r="A4916" s="62" t="n">
        <v>46643</v>
      </c>
      <c r="B4916" s="3" t="inlineStr">
        <is>
          <t>Week</t>
        </is>
      </c>
      <c r="C4916" s="19" t="n">
        <v>9</v>
      </c>
      <c r="D4916" s="19" t="n">
        <v>2027</v>
      </c>
      <c r="E4916" s="57" t="n">
        <v>5</v>
      </c>
      <c r="F4916" s="29">
        <f>ROUND(((SUMIFS(Calendar!$F$2:$F$9997,Calendar!$B$2:$B$9997,D4916,Calendar!$C$2:$C$9997,C4916)*INDEX(ForeCalc!$B$37:$Y$274,MATCH(_xlfn.CONCAT(H4916," ",I4916),ForeCalc!$A$37:$A$274,0),MATCH(_xlfn.CONCAT(B4916," ",E4916),ForeCalc!$B$36:$Y$36,0))))*VLOOKUP(A4916,Calendar!$A$2:$H$9997,8,FALSE),0)</f>
        <v/>
      </c>
      <c r="G4916" s="29">
        <f>VLOOKUP(A4916,Calendar!$A$1:$H$9997,6,FALSE)-F4916</f>
        <v/>
      </c>
      <c r="H4916" s="19" t="n">
        <v>2</v>
      </c>
      <c r="I4916" s="57" t="n">
        <v>6</v>
      </c>
    </row>
    <row r="4917">
      <c r="A4917" s="62" t="n">
        <v>46644</v>
      </c>
      <c r="B4917" s="3" t="inlineStr">
        <is>
          <t>Week</t>
        </is>
      </c>
      <c r="C4917" s="19" t="n">
        <v>9</v>
      </c>
      <c r="D4917" s="19" t="n">
        <v>2027</v>
      </c>
      <c r="E4917" s="57" t="n">
        <v>5</v>
      </c>
      <c r="F4917" s="29">
        <f>ROUND(((SUMIFS(Calendar!$F$2:$F$9997,Calendar!$B$2:$B$9997,D4917,Calendar!$C$2:$C$9997,C4917)*INDEX(ForeCalc!$B$37:$Y$274,MATCH(_xlfn.CONCAT(H4917," ",I4917),ForeCalc!$A$37:$A$274,0),MATCH(_xlfn.CONCAT(B4917," ",E4917),ForeCalc!$B$36:$Y$36,0))))*VLOOKUP(A4917,Calendar!$A$2:$H$9997,8,FALSE),0)</f>
        <v/>
      </c>
      <c r="G4917" s="29">
        <f>VLOOKUP(A4917,Calendar!$A$1:$H$9997,6,FALSE)-F4917</f>
        <v/>
      </c>
      <c r="H4917" s="19" t="n">
        <v>2</v>
      </c>
      <c r="I4917" s="57" t="n">
        <v>6</v>
      </c>
    </row>
    <row r="4918">
      <c r="A4918" s="62" t="n">
        <v>46645</v>
      </c>
      <c r="B4918" s="3" t="inlineStr">
        <is>
          <t>Week</t>
        </is>
      </c>
      <c r="C4918" s="19" t="n">
        <v>9</v>
      </c>
      <c r="D4918" s="19" t="n">
        <v>2027</v>
      </c>
      <c r="E4918" s="57" t="n">
        <v>5</v>
      </c>
      <c r="F4918" s="29">
        <f>ROUND(((SUMIFS(Calendar!$F$2:$F$9997,Calendar!$B$2:$B$9997,D4918,Calendar!$C$2:$C$9997,C4918)*INDEX(ForeCalc!$B$37:$Y$274,MATCH(_xlfn.CONCAT(H4918," ",I4918),ForeCalc!$A$37:$A$274,0),MATCH(_xlfn.CONCAT(B4918," ",E4918),ForeCalc!$B$36:$Y$36,0))))*VLOOKUP(A4918,Calendar!$A$2:$H$9997,8,FALSE),0)</f>
        <v/>
      </c>
      <c r="G4918" s="29">
        <f>VLOOKUP(A4918,Calendar!$A$1:$H$9997,6,FALSE)-F4918</f>
        <v/>
      </c>
      <c r="H4918" s="19" t="n">
        <v>2</v>
      </c>
      <c r="I4918" s="57" t="n">
        <v>6</v>
      </c>
    </row>
    <row r="4919">
      <c r="A4919" s="62" t="n">
        <v>46646</v>
      </c>
      <c r="B4919" s="3" t="inlineStr">
        <is>
          <t>Week</t>
        </is>
      </c>
      <c r="C4919" s="19" t="n">
        <v>9</v>
      </c>
      <c r="D4919" s="19" t="n">
        <v>2027</v>
      </c>
      <c r="E4919" s="57" t="n">
        <v>5</v>
      </c>
      <c r="F4919" s="29">
        <f>ROUND(((SUMIFS(Calendar!$F$2:$F$9997,Calendar!$B$2:$B$9997,D4919,Calendar!$C$2:$C$9997,C4919)*INDEX(ForeCalc!$B$37:$Y$274,MATCH(_xlfn.CONCAT(H4919," ",I4919),ForeCalc!$A$37:$A$274,0),MATCH(_xlfn.CONCAT(B4919," ",E4919),ForeCalc!$B$36:$Y$36,0))))*VLOOKUP(A4919,Calendar!$A$2:$H$9997,8,FALSE),0)</f>
        <v/>
      </c>
      <c r="G4919" s="29">
        <f>VLOOKUP(A4919,Calendar!$A$1:$H$9997,6,FALSE)-F4919</f>
        <v/>
      </c>
      <c r="H4919" s="19" t="n">
        <v>2</v>
      </c>
      <c r="I4919" s="57" t="n">
        <v>6</v>
      </c>
    </row>
    <row r="4920">
      <c r="A4920" s="62" t="n">
        <v>46647</v>
      </c>
      <c r="B4920" s="3" t="inlineStr">
        <is>
          <t>Week</t>
        </is>
      </c>
      <c r="C4920" s="19" t="n">
        <v>9</v>
      </c>
      <c r="D4920" s="19" t="n">
        <v>2027</v>
      </c>
      <c r="E4920" s="57" t="n">
        <v>5</v>
      </c>
      <c r="F4920" s="29">
        <f>ROUND(((SUMIFS(Calendar!$F$2:$F$9997,Calendar!$B$2:$B$9997,D4920,Calendar!$C$2:$C$9997,C4920)*INDEX(ForeCalc!$B$37:$Y$274,MATCH(_xlfn.CONCAT(H4920," ",I4920),ForeCalc!$A$37:$A$274,0),MATCH(_xlfn.CONCAT(B4920," ",E4920),ForeCalc!$B$36:$Y$36,0))))*VLOOKUP(A4920,Calendar!$A$2:$H$9997,8,FALSE),0)</f>
        <v/>
      </c>
      <c r="G4920" s="29">
        <f>VLOOKUP(A4920,Calendar!$A$1:$H$9997,6,FALSE)-F4920</f>
        <v/>
      </c>
      <c r="H4920" s="19" t="n">
        <v>2</v>
      </c>
      <c r="I4920" s="57" t="n">
        <v>6</v>
      </c>
    </row>
    <row r="4921">
      <c r="A4921" s="62" t="n">
        <v>46648</v>
      </c>
      <c r="B4921" s="3" t="inlineStr">
        <is>
          <t>Sat</t>
        </is>
      </c>
      <c r="C4921" s="19" t="n">
        <v>9</v>
      </c>
      <c r="D4921" s="19" t="n">
        <v>2027</v>
      </c>
      <c r="E4921" s="57" t="n">
        <v>5</v>
      </c>
      <c r="F4921" s="29">
        <f>ROUND(((SUMIFS(Calendar!$F$2:$F$9997,Calendar!$B$2:$B$9997,D4921,Calendar!$C$2:$C$9997,C4921)*INDEX(ForeCalc!$B$37:$Y$274,MATCH(_xlfn.CONCAT(H4921," ",I4921),ForeCalc!$A$37:$A$274,0),MATCH(_xlfn.CONCAT(B4921," ",E4921),ForeCalc!$B$36:$Y$36,0))))*VLOOKUP(A4921,Calendar!$A$2:$H$9997,8,FALSE),0)</f>
        <v/>
      </c>
      <c r="G4921" s="29">
        <f>VLOOKUP(A4921,Calendar!$A$1:$H$9997,6,FALSE)-F4921</f>
        <v/>
      </c>
      <c r="H4921" s="19" t="n">
        <v>2</v>
      </c>
      <c r="I4921" s="57" t="n">
        <v>6</v>
      </c>
    </row>
    <row r="4922">
      <c r="A4922" s="62" t="n">
        <v>46649</v>
      </c>
      <c r="B4922" s="3" t="inlineStr">
        <is>
          <t>Sun</t>
        </is>
      </c>
      <c r="C4922" s="19" t="n">
        <v>9</v>
      </c>
      <c r="D4922" s="19" t="n">
        <v>2027</v>
      </c>
      <c r="E4922" s="57" t="n">
        <v>5</v>
      </c>
      <c r="F4922" s="29">
        <f>ROUND(((SUMIFS(Calendar!$F$2:$F$9997,Calendar!$B$2:$B$9997,D4922,Calendar!$C$2:$C$9997,C4922)*INDEX(ForeCalc!$B$37:$Y$274,MATCH(_xlfn.CONCAT(H4922," ",I4922),ForeCalc!$A$37:$A$274,0),MATCH(_xlfn.CONCAT(B4922," ",E4922),ForeCalc!$B$36:$Y$36,0))))*VLOOKUP(A4922,Calendar!$A$2:$H$9997,8,FALSE),0)</f>
        <v/>
      </c>
      <c r="G4922" s="29">
        <f>VLOOKUP(A4922,Calendar!$A$1:$H$9997,6,FALSE)-F4922</f>
        <v/>
      </c>
      <c r="H4922" s="19" t="n">
        <v>2</v>
      </c>
      <c r="I4922" s="57" t="n">
        <v>6</v>
      </c>
    </row>
    <row r="4923">
      <c r="A4923" s="62" t="n">
        <v>46650</v>
      </c>
      <c r="B4923" s="3" t="inlineStr">
        <is>
          <t>Week</t>
        </is>
      </c>
      <c r="C4923" s="19" t="n">
        <v>9</v>
      </c>
      <c r="D4923" s="19" t="n">
        <v>2027</v>
      </c>
      <c r="E4923" s="57" t="n">
        <v>5</v>
      </c>
      <c r="F4923" s="29">
        <f>ROUND(((SUMIFS(Calendar!$F$2:$F$9997,Calendar!$B$2:$B$9997,D4923,Calendar!$C$2:$C$9997,C4923)*INDEX(ForeCalc!$B$37:$Y$274,MATCH(_xlfn.CONCAT(H4923," ",I4923),ForeCalc!$A$37:$A$274,0),MATCH(_xlfn.CONCAT(B4923," ",E4923),ForeCalc!$B$36:$Y$36,0))))*VLOOKUP(A4923,Calendar!$A$2:$H$9997,8,FALSE),0)</f>
        <v/>
      </c>
      <c r="G4923" s="29">
        <f>VLOOKUP(A4923,Calendar!$A$1:$H$9997,6,FALSE)-F4923</f>
        <v/>
      </c>
      <c r="H4923" s="19" t="n">
        <v>2</v>
      </c>
      <c r="I4923" s="57" t="n">
        <v>6</v>
      </c>
    </row>
    <row r="4924">
      <c r="A4924" s="62" t="n">
        <v>46651</v>
      </c>
      <c r="B4924" s="3" t="inlineStr">
        <is>
          <t>Week</t>
        </is>
      </c>
      <c r="C4924" s="19" t="n">
        <v>9</v>
      </c>
      <c r="D4924" s="19" t="n">
        <v>2027</v>
      </c>
      <c r="E4924" s="57" t="n">
        <v>5</v>
      </c>
      <c r="F4924" s="29">
        <f>ROUND(((SUMIFS(Calendar!$F$2:$F$9997,Calendar!$B$2:$B$9997,D4924,Calendar!$C$2:$C$9997,C4924)*INDEX(ForeCalc!$B$37:$Y$274,MATCH(_xlfn.CONCAT(H4924," ",I4924),ForeCalc!$A$37:$A$274,0),MATCH(_xlfn.CONCAT(B4924," ",E4924),ForeCalc!$B$36:$Y$36,0))))*VLOOKUP(A4924,Calendar!$A$2:$H$9997,8,FALSE),0)</f>
        <v/>
      </c>
      <c r="G4924" s="29">
        <f>VLOOKUP(A4924,Calendar!$A$1:$H$9997,6,FALSE)-F4924</f>
        <v/>
      </c>
      <c r="H4924" s="19" t="n">
        <v>2</v>
      </c>
      <c r="I4924" s="57" t="n">
        <v>6</v>
      </c>
    </row>
    <row r="4925">
      <c r="A4925" s="62" t="n">
        <v>46652</v>
      </c>
      <c r="B4925" s="3" t="inlineStr">
        <is>
          <t>Week</t>
        </is>
      </c>
      <c r="C4925" s="19" t="n">
        <v>9</v>
      </c>
      <c r="D4925" s="19" t="n">
        <v>2027</v>
      </c>
      <c r="E4925" s="57" t="n">
        <v>5</v>
      </c>
      <c r="F4925" s="29">
        <f>ROUND(((SUMIFS(Calendar!$F$2:$F$9997,Calendar!$B$2:$B$9997,D4925,Calendar!$C$2:$C$9997,C4925)*INDEX(ForeCalc!$B$37:$Y$274,MATCH(_xlfn.CONCAT(H4925," ",I4925),ForeCalc!$A$37:$A$274,0),MATCH(_xlfn.CONCAT(B4925," ",E4925),ForeCalc!$B$36:$Y$36,0))))*VLOOKUP(A4925,Calendar!$A$2:$H$9997,8,FALSE),0)</f>
        <v/>
      </c>
      <c r="G4925" s="29">
        <f>VLOOKUP(A4925,Calendar!$A$1:$H$9997,6,FALSE)-F4925</f>
        <v/>
      </c>
      <c r="H4925" s="19" t="n">
        <v>2</v>
      </c>
      <c r="I4925" s="57" t="n">
        <v>6</v>
      </c>
    </row>
    <row r="4926">
      <c r="A4926" s="62" t="n">
        <v>46653</v>
      </c>
      <c r="B4926" s="3" t="inlineStr">
        <is>
          <t>Week</t>
        </is>
      </c>
      <c r="C4926" s="19" t="n">
        <v>9</v>
      </c>
      <c r="D4926" s="19" t="n">
        <v>2027</v>
      </c>
      <c r="E4926" s="57" t="n">
        <v>5</v>
      </c>
      <c r="F4926" s="29">
        <f>ROUND(((SUMIFS(Calendar!$F$2:$F$9997,Calendar!$B$2:$B$9997,D4926,Calendar!$C$2:$C$9997,C4926)*INDEX(ForeCalc!$B$37:$Y$274,MATCH(_xlfn.CONCAT(H4926," ",I4926),ForeCalc!$A$37:$A$274,0),MATCH(_xlfn.CONCAT(B4926," ",E4926),ForeCalc!$B$36:$Y$36,0))))*VLOOKUP(A4926,Calendar!$A$2:$H$9997,8,FALSE),0)</f>
        <v/>
      </c>
      <c r="G4926" s="29">
        <f>VLOOKUP(A4926,Calendar!$A$1:$H$9997,6,FALSE)-F4926</f>
        <v/>
      </c>
      <c r="H4926" s="19" t="n">
        <v>2</v>
      </c>
      <c r="I4926" s="57" t="n">
        <v>6</v>
      </c>
    </row>
    <row r="4927">
      <c r="A4927" s="62" t="n">
        <v>46654</v>
      </c>
      <c r="B4927" s="3" t="inlineStr">
        <is>
          <t>Week</t>
        </is>
      </c>
      <c r="C4927" s="19" t="n">
        <v>9</v>
      </c>
      <c r="D4927" s="19" t="n">
        <v>2027</v>
      </c>
      <c r="E4927" s="57" t="n">
        <v>5</v>
      </c>
      <c r="F4927" s="29">
        <f>ROUND(((SUMIFS(Calendar!$F$2:$F$9997,Calendar!$B$2:$B$9997,D4927,Calendar!$C$2:$C$9997,C4927)*INDEX(ForeCalc!$B$37:$Y$274,MATCH(_xlfn.CONCAT(H4927," ",I4927),ForeCalc!$A$37:$A$274,0),MATCH(_xlfn.CONCAT(B4927," ",E4927),ForeCalc!$B$36:$Y$36,0))))*VLOOKUP(A4927,Calendar!$A$2:$H$9997,8,FALSE),0)</f>
        <v/>
      </c>
      <c r="G4927" s="29">
        <f>VLOOKUP(A4927,Calendar!$A$1:$H$9997,6,FALSE)-F4927</f>
        <v/>
      </c>
      <c r="H4927" s="19" t="n">
        <v>2</v>
      </c>
      <c r="I4927" s="57" t="n">
        <v>6</v>
      </c>
    </row>
    <row r="4928">
      <c r="A4928" s="62" t="n">
        <v>46655</v>
      </c>
      <c r="B4928" s="3" t="inlineStr">
        <is>
          <t>Sat</t>
        </is>
      </c>
      <c r="C4928" s="19" t="n">
        <v>9</v>
      </c>
      <c r="D4928" s="19" t="n">
        <v>2027</v>
      </c>
      <c r="E4928" s="57" t="n">
        <v>5</v>
      </c>
      <c r="F4928" s="29">
        <f>ROUND(((SUMIFS(Calendar!$F$2:$F$9997,Calendar!$B$2:$B$9997,D4928,Calendar!$C$2:$C$9997,C4928)*INDEX(ForeCalc!$B$37:$Y$274,MATCH(_xlfn.CONCAT(H4928," ",I4928),ForeCalc!$A$37:$A$274,0),MATCH(_xlfn.CONCAT(B4928," ",E4928),ForeCalc!$B$36:$Y$36,0))))*VLOOKUP(A4928,Calendar!$A$2:$H$9997,8,FALSE),0)</f>
        <v/>
      </c>
      <c r="G4928" s="29">
        <f>VLOOKUP(A4928,Calendar!$A$1:$H$9997,6,FALSE)-F4928</f>
        <v/>
      </c>
      <c r="H4928" s="19" t="n">
        <v>2</v>
      </c>
      <c r="I4928" s="57" t="n">
        <v>6</v>
      </c>
    </row>
    <row r="4929">
      <c r="A4929" s="62" t="n">
        <v>46656</v>
      </c>
      <c r="B4929" s="3" t="inlineStr">
        <is>
          <t>Sun</t>
        </is>
      </c>
      <c r="C4929" s="19" t="n">
        <v>9</v>
      </c>
      <c r="D4929" s="19" t="n">
        <v>2027</v>
      </c>
      <c r="E4929" s="57" t="n">
        <v>5</v>
      </c>
      <c r="F4929" s="29">
        <f>ROUND(((SUMIFS(Calendar!$F$2:$F$9997,Calendar!$B$2:$B$9997,D4929,Calendar!$C$2:$C$9997,C4929)*INDEX(ForeCalc!$B$37:$Y$274,MATCH(_xlfn.CONCAT(H4929," ",I4929),ForeCalc!$A$37:$A$274,0),MATCH(_xlfn.CONCAT(B4929," ",E4929),ForeCalc!$B$36:$Y$36,0))))*VLOOKUP(A4929,Calendar!$A$2:$H$9997,8,FALSE),0)</f>
        <v/>
      </c>
      <c r="G4929" s="29">
        <f>VLOOKUP(A4929,Calendar!$A$1:$H$9997,6,FALSE)-F4929</f>
        <v/>
      </c>
      <c r="H4929" s="19" t="n">
        <v>2</v>
      </c>
      <c r="I4929" s="57" t="n">
        <v>6</v>
      </c>
    </row>
    <row r="4930">
      <c r="A4930" s="62" t="n">
        <v>46657</v>
      </c>
      <c r="B4930" s="3" t="inlineStr">
        <is>
          <t>Week</t>
        </is>
      </c>
      <c r="C4930" s="19" t="n">
        <v>9</v>
      </c>
      <c r="D4930" s="19" t="n">
        <v>2027</v>
      </c>
      <c r="E4930" s="57" t="n">
        <v>5</v>
      </c>
      <c r="F4930" s="29">
        <f>ROUND(((SUMIFS(Calendar!$F$2:$F$9997,Calendar!$B$2:$B$9997,D4930,Calendar!$C$2:$C$9997,C4930)*INDEX(ForeCalc!$B$37:$Y$274,MATCH(_xlfn.CONCAT(H4930," ",I4930),ForeCalc!$A$37:$A$274,0),MATCH(_xlfn.CONCAT(B4930," ",E4930),ForeCalc!$B$36:$Y$36,0))))*VLOOKUP(A4930,Calendar!$A$2:$H$9997,8,FALSE),0)</f>
        <v/>
      </c>
      <c r="G4930" s="29">
        <f>VLOOKUP(A4930,Calendar!$A$1:$H$9997,6,FALSE)-F4930</f>
        <v/>
      </c>
      <c r="H4930" s="19" t="n">
        <v>2</v>
      </c>
      <c r="I4930" s="57" t="n">
        <v>6</v>
      </c>
    </row>
    <row r="4931">
      <c r="A4931" s="62" t="n">
        <v>46658</v>
      </c>
      <c r="B4931" s="3" t="inlineStr">
        <is>
          <t>Week</t>
        </is>
      </c>
      <c r="C4931" s="19" t="n">
        <v>9</v>
      </c>
      <c r="D4931" s="19" t="n">
        <v>2027</v>
      </c>
      <c r="E4931" s="57" t="n">
        <v>5</v>
      </c>
      <c r="F4931" s="29">
        <f>ROUND(((SUMIFS(Calendar!$F$2:$F$9997,Calendar!$B$2:$B$9997,D4931,Calendar!$C$2:$C$9997,C4931)*INDEX(ForeCalc!$B$37:$Y$274,MATCH(_xlfn.CONCAT(H4931," ",I4931),ForeCalc!$A$37:$A$274,0),MATCH(_xlfn.CONCAT(B4931," ",E4931),ForeCalc!$B$36:$Y$36,0))))*VLOOKUP(A4931,Calendar!$A$2:$H$9997,8,FALSE),0)</f>
        <v/>
      </c>
      <c r="G4931" s="29">
        <f>VLOOKUP(A4931,Calendar!$A$1:$H$9997,6,FALSE)-F4931</f>
        <v/>
      </c>
      <c r="H4931" s="19" t="n">
        <v>2</v>
      </c>
      <c r="I4931" s="57" t="n">
        <v>6</v>
      </c>
    </row>
    <row r="4932">
      <c r="A4932" s="62" t="n">
        <v>46659</v>
      </c>
      <c r="B4932" s="3" t="inlineStr">
        <is>
          <t>Week</t>
        </is>
      </c>
      <c r="C4932" s="19" t="n">
        <v>9</v>
      </c>
      <c r="D4932" s="19" t="n">
        <v>2027</v>
      </c>
      <c r="E4932" s="57" t="n">
        <v>5</v>
      </c>
      <c r="F4932" s="29">
        <f>ROUND(((SUMIFS(Calendar!$F$2:$F$9997,Calendar!$B$2:$B$9997,D4932,Calendar!$C$2:$C$9997,C4932)*INDEX(ForeCalc!$B$37:$Y$274,MATCH(_xlfn.CONCAT(H4932," ",I4932),ForeCalc!$A$37:$A$274,0),MATCH(_xlfn.CONCAT(B4932," ",E4932),ForeCalc!$B$36:$Y$36,0))))*VLOOKUP(A4932,Calendar!$A$2:$H$9997,8,FALSE),0)</f>
        <v/>
      </c>
      <c r="G4932" s="29">
        <f>VLOOKUP(A4932,Calendar!$A$1:$H$9997,6,FALSE)-F4932</f>
        <v/>
      </c>
      <c r="H4932" s="19" t="n">
        <v>2</v>
      </c>
      <c r="I4932" s="57" t="n">
        <v>6</v>
      </c>
    </row>
    <row r="4933">
      <c r="A4933" s="62" t="n">
        <v>46660</v>
      </c>
      <c r="B4933" s="3" t="inlineStr">
        <is>
          <t>Week</t>
        </is>
      </c>
      <c r="C4933" s="19" t="n">
        <v>9</v>
      </c>
      <c r="D4933" s="19" t="n">
        <v>2027</v>
      </c>
      <c r="E4933" s="57" t="n">
        <v>5</v>
      </c>
      <c r="F4933" s="29">
        <f>ROUND(((SUMIFS(Calendar!$F$2:$F$9997,Calendar!$B$2:$B$9997,D4933,Calendar!$C$2:$C$9997,C4933)*INDEX(ForeCalc!$B$37:$Y$274,MATCH(_xlfn.CONCAT(H4933," ",I4933),ForeCalc!$A$37:$A$274,0),MATCH(_xlfn.CONCAT(B4933," ",E4933),ForeCalc!$B$36:$Y$36,0))))*VLOOKUP(A4933,Calendar!$A$2:$H$9997,8,FALSE),0)</f>
        <v/>
      </c>
      <c r="G4933" s="29">
        <f>VLOOKUP(A4933,Calendar!$A$1:$H$9997,6,FALSE)-F4933</f>
        <v/>
      </c>
      <c r="H4933" s="19" t="n">
        <v>2</v>
      </c>
      <c r="I4933" s="57" t="n">
        <v>6</v>
      </c>
    </row>
    <row r="4934">
      <c r="A4934" s="62" t="n">
        <v>46661</v>
      </c>
      <c r="B4934" s="3" t="inlineStr">
        <is>
          <t>Week</t>
        </is>
      </c>
      <c r="C4934" s="19" t="n">
        <v>10</v>
      </c>
      <c r="D4934" s="19" t="n">
        <v>2027</v>
      </c>
      <c r="E4934" s="57" t="n">
        <v>5</v>
      </c>
      <c r="F4934" s="29">
        <f>ROUND(((SUMIFS(Calendar!$F$2:$F$9997,Calendar!$B$2:$B$9997,D4934,Calendar!$C$2:$C$9997,C4934)*INDEX(ForeCalc!$B$37:$Y$274,MATCH(_xlfn.CONCAT(H4934," ",I4934),ForeCalc!$A$37:$A$274,0),MATCH(_xlfn.CONCAT(B4934," ",E4934),ForeCalc!$B$36:$Y$36,0))))*VLOOKUP(A4934,Calendar!$A$2:$H$9997,8,FALSE),0)</f>
        <v/>
      </c>
      <c r="G4934" s="29">
        <f>VLOOKUP(A4934,Calendar!$A$1:$H$9997,6,FALSE)-F4934</f>
        <v/>
      </c>
      <c r="H4934" s="19" t="n">
        <v>2</v>
      </c>
      <c r="I4934" s="57" t="n">
        <v>7</v>
      </c>
    </row>
    <row r="4935">
      <c r="A4935" s="62" t="n">
        <v>46662</v>
      </c>
      <c r="B4935" s="3" t="inlineStr">
        <is>
          <t>Sat</t>
        </is>
      </c>
      <c r="C4935" s="19" t="n">
        <v>10</v>
      </c>
      <c r="D4935" s="19" t="n">
        <v>2027</v>
      </c>
      <c r="E4935" s="57" t="n">
        <v>5</v>
      </c>
      <c r="F4935" s="29">
        <f>ROUND(((SUMIFS(Calendar!$F$2:$F$9997,Calendar!$B$2:$B$9997,D4935,Calendar!$C$2:$C$9997,C4935)*INDEX(ForeCalc!$B$37:$Y$274,MATCH(_xlfn.CONCAT(H4935," ",I4935),ForeCalc!$A$37:$A$274,0),MATCH(_xlfn.CONCAT(B4935," ",E4935),ForeCalc!$B$36:$Y$36,0))))*VLOOKUP(A4935,Calendar!$A$2:$H$9997,8,FALSE),0)</f>
        <v/>
      </c>
      <c r="G4935" s="29">
        <f>VLOOKUP(A4935,Calendar!$A$1:$H$9997,6,FALSE)-F4935</f>
        <v/>
      </c>
      <c r="H4935" s="19" t="n">
        <v>2</v>
      </c>
      <c r="I4935" s="57" t="n">
        <v>7</v>
      </c>
    </row>
    <row r="4936">
      <c r="A4936" s="62" t="n">
        <v>46663</v>
      </c>
      <c r="B4936" s="3" t="inlineStr">
        <is>
          <t>Sun</t>
        </is>
      </c>
      <c r="C4936" s="19" t="n">
        <v>10</v>
      </c>
      <c r="D4936" s="19" t="n">
        <v>2027</v>
      </c>
      <c r="E4936" s="57" t="n">
        <v>5</v>
      </c>
      <c r="F4936" s="29">
        <f>ROUND(((SUMIFS(Calendar!$F$2:$F$9997,Calendar!$B$2:$B$9997,D4936,Calendar!$C$2:$C$9997,C4936)*INDEX(ForeCalc!$B$37:$Y$274,MATCH(_xlfn.CONCAT(H4936," ",I4936),ForeCalc!$A$37:$A$274,0),MATCH(_xlfn.CONCAT(B4936," ",E4936),ForeCalc!$B$36:$Y$36,0))))*VLOOKUP(A4936,Calendar!$A$2:$H$9997,8,FALSE),0)</f>
        <v/>
      </c>
      <c r="G4936" s="29">
        <f>VLOOKUP(A4936,Calendar!$A$1:$H$9997,6,FALSE)-F4936</f>
        <v/>
      </c>
      <c r="H4936" s="19" t="n">
        <v>2</v>
      </c>
      <c r="I4936" s="57" t="n">
        <v>7</v>
      </c>
    </row>
    <row r="4937">
      <c r="A4937" s="62" t="n">
        <v>46664</v>
      </c>
      <c r="B4937" s="3" t="inlineStr">
        <is>
          <t>Week</t>
        </is>
      </c>
      <c r="C4937" s="19" t="n">
        <v>10</v>
      </c>
      <c r="D4937" s="19" t="n">
        <v>2027</v>
      </c>
      <c r="E4937" s="57" t="n">
        <v>5</v>
      </c>
      <c r="F4937" s="29">
        <f>ROUND(((SUMIFS(Calendar!$F$2:$F$9997,Calendar!$B$2:$B$9997,D4937,Calendar!$C$2:$C$9997,C4937)*INDEX(ForeCalc!$B$37:$Y$274,MATCH(_xlfn.CONCAT(H4937," ",I4937),ForeCalc!$A$37:$A$274,0),MATCH(_xlfn.CONCAT(B4937," ",E4937),ForeCalc!$B$36:$Y$36,0))))*VLOOKUP(A4937,Calendar!$A$2:$H$9997,8,FALSE),0)</f>
        <v/>
      </c>
      <c r="G4937" s="29">
        <f>VLOOKUP(A4937,Calendar!$A$1:$H$9997,6,FALSE)-F4937</f>
        <v/>
      </c>
      <c r="H4937" s="19" t="n">
        <v>2</v>
      </c>
      <c r="I4937" s="57" t="n">
        <v>7</v>
      </c>
    </row>
    <row r="4938">
      <c r="A4938" s="62" t="n">
        <v>46665</v>
      </c>
      <c r="B4938" s="3" t="inlineStr">
        <is>
          <t>Week</t>
        </is>
      </c>
      <c r="C4938" s="19" t="n">
        <v>10</v>
      </c>
      <c r="D4938" s="19" t="n">
        <v>2027</v>
      </c>
      <c r="E4938" s="57" t="n">
        <v>5</v>
      </c>
      <c r="F4938" s="29">
        <f>ROUND(((SUMIFS(Calendar!$F$2:$F$9997,Calendar!$B$2:$B$9997,D4938,Calendar!$C$2:$C$9997,C4938)*INDEX(ForeCalc!$B$37:$Y$274,MATCH(_xlfn.CONCAT(H4938," ",I4938),ForeCalc!$A$37:$A$274,0),MATCH(_xlfn.CONCAT(B4938," ",E4938),ForeCalc!$B$36:$Y$36,0))))*VLOOKUP(A4938,Calendar!$A$2:$H$9997,8,FALSE),0)</f>
        <v/>
      </c>
      <c r="G4938" s="29">
        <f>VLOOKUP(A4938,Calendar!$A$1:$H$9997,6,FALSE)-F4938</f>
        <v/>
      </c>
      <c r="H4938" s="19" t="n">
        <v>2</v>
      </c>
      <c r="I4938" s="57" t="n">
        <v>7</v>
      </c>
    </row>
    <row r="4939">
      <c r="A4939" s="62" t="n">
        <v>46666</v>
      </c>
      <c r="B4939" s="3" t="inlineStr">
        <is>
          <t>Week</t>
        </is>
      </c>
      <c r="C4939" s="19" t="n">
        <v>10</v>
      </c>
      <c r="D4939" s="19" t="n">
        <v>2027</v>
      </c>
      <c r="E4939" s="57" t="n">
        <v>5</v>
      </c>
      <c r="F4939" s="29">
        <f>ROUND(((SUMIFS(Calendar!$F$2:$F$9997,Calendar!$B$2:$B$9997,D4939,Calendar!$C$2:$C$9997,C4939)*INDEX(ForeCalc!$B$37:$Y$274,MATCH(_xlfn.CONCAT(H4939," ",I4939),ForeCalc!$A$37:$A$274,0),MATCH(_xlfn.CONCAT(B4939," ",E4939),ForeCalc!$B$36:$Y$36,0))))*VLOOKUP(A4939,Calendar!$A$2:$H$9997,8,FALSE),0)</f>
        <v/>
      </c>
      <c r="G4939" s="29">
        <f>VLOOKUP(A4939,Calendar!$A$1:$H$9997,6,FALSE)-F4939</f>
        <v/>
      </c>
      <c r="H4939" s="19" t="n">
        <v>2</v>
      </c>
      <c r="I4939" s="57" t="n">
        <v>7</v>
      </c>
    </row>
    <row r="4940">
      <c r="A4940" s="62" t="n">
        <v>46667</v>
      </c>
      <c r="B4940" s="3" t="inlineStr">
        <is>
          <t>Week</t>
        </is>
      </c>
      <c r="C4940" s="19" t="n">
        <v>10</v>
      </c>
      <c r="D4940" s="19" t="n">
        <v>2027</v>
      </c>
      <c r="E4940" s="57" t="n">
        <v>5</v>
      </c>
      <c r="F4940" s="29">
        <f>ROUND(((SUMIFS(Calendar!$F$2:$F$9997,Calendar!$B$2:$B$9997,D4940,Calendar!$C$2:$C$9997,C4940)*INDEX(ForeCalc!$B$37:$Y$274,MATCH(_xlfn.CONCAT(H4940," ",I4940),ForeCalc!$A$37:$A$274,0),MATCH(_xlfn.CONCAT(B4940," ",E4940),ForeCalc!$B$36:$Y$36,0))))*VLOOKUP(A4940,Calendar!$A$2:$H$9997,8,FALSE),0)</f>
        <v/>
      </c>
      <c r="G4940" s="29">
        <f>VLOOKUP(A4940,Calendar!$A$1:$H$9997,6,FALSE)-F4940</f>
        <v/>
      </c>
      <c r="H4940" s="19" t="n">
        <v>2</v>
      </c>
      <c r="I4940" s="57" t="n">
        <v>7</v>
      </c>
    </row>
    <row r="4941">
      <c r="A4941" s="62" t="n">
        <v>46668</v>
      </c>
      <c r="B4941" s="3" t="inlineStr">
        <is>
          <t>Week</t>
        </is>
      </c>
      <c r="C4941" s="19" t="n">
        <v>10</v>
      </c>
      <c r="D4941" s="19" t="n">
        <v>2027</v>
      </c>
      <c r="E4941" s="57" t="n">
        <v>5</v>
      </c>
      <c r="F4941" s="29">
        <f>ROUND(((SUMIFS(Calendar!$F$2:$F$9997,Calendar!$B$2:$B$9997,D4941,Calendar!$C$2:$C$9997,C4941)*INDEX(ForeCalc!$B$37:$Y$274,MATCH(_xlfn.CONCAT(H4941," ",I4941),ForeCalc!$A$37:$A$274,0),MATCH(_xlfn.CONCAT(B4941," ",E4941),ForeCalc!$B$36:$Y$36,0))))*VLOOKUP(A4941,Calendar!$A$2:$H$9997,8,FALSE),0)</f>
        <v/>
      </c>
      <c r="G4941" s="29">
        <f>VLOOKUP(A4941,Calendar!$A$1:$H$9997,6,FALSE)-F4941</f>
        <v/>
      </c>
      <c r="H4941" s="19" t="n">
        <v>2</v>
      </c>
      <c r="I4941" s="57" t="n">
        <v>7</v>
      </c>
    </row>
    <row r="4942">
      <c r="A4942" s="62" t="n">
        <v>46669</v>
      </c>
      <c r="B4942" s="3" t="inlineStr">
        <is>
          <t>Sat</t>
        </is>
      </c>
      <c r="C4942" s="19" t="n">
        <v>10</v>
      </c>
      <c r="D4942" s="19" t="n">
        <v>2027</v>
      </c>
      <c r="E4942" s="57" t="n">
        <v>5</v>
      </c>
      <c r="F4942" s="29">
        <f>ROUND(((SUMIFS(Calendar!$F$2:$F$9997,Calendar!$B$2:$B$9997,D4942,Calendar!$C$2:$C$9997,C4942)*INDEX(ForeCalc!$B$37:$Y$274,MATCH(_xlfn.CONCAT(H4942," ",I4942),ForeCalc!$A$37:$A$274,0),MATCH(_xlfn.CONCAT(B4942," ",E4942),ForeCalc!$B$36:$Y$36,0))))*VLOOKUP(A4942,Calendar!$A$2:$H$9997,8,FALSE),0)</f>
        <v/>
      </c>
      <c r="G4942" s="29">
        <f>VLOOKUP(A4942,Calendar!$A$1:$H$9997,6,FALSE)-F4942</f>
        <v/>
      </c>
      <c r="H4942" s="19" t="n">
        <v>2</v>
      </c>
      <c r="I4942" s="57" t="n">
        <v>7</v>
      </c>
    </row>
    <row r="4943">
      <c r="A4943" s="62" t="n">
        <v>46670</v>
      </c>
      <c r="B4943" s="3" t="inlineStr">
        <is>
          <t>Sun</t>
        </is>
      </c>
      <c r="C4943" s="19" t="n">
        <v>10</v>
      </c>
      <c r="D4943" s="19" t="n">
        <v>2027</v>
      </c>
      <c r="E4943" s="57" t="n">
        <v>5</v>
      </c>
      <c r="F4943" s="29">
        <f>ROUND(((SUMIFS(Calendar!$F$2:$F$9997,Calendar!$B$2:$B$9997,D4943,Calendar!$C$2:$C$9997,C4943)*INDEX(ForeCalc!$B$37:$Y$274,MATCH(_xlfn.CONCAT(H4943," ",I4943),ForeCalc!$A$37:$A$274,0),MATCH(_xlfn.CONCAT(B4943," ",E4943),ForeCalc!$B$36:$Y$36,0))))*VLOOKUP(A4943,Calendar!$A$2:$H$9997,8,FALSE),0)</f>
        <v/>
      </c>
      <c r="G4943" s="29">
        <f>VLOOKUP(A4943,Calendar!$A$1:$H$9997,6,FALSE)-F4943</f>
        <v/>
      </c>
      <c r="H4943" s="19" t="n">
        <v>2</v>
      </c>
      <c r="I4943" s="57" t="n">
        <v>7</v>
      </c>
    </row>
    <row r="4944">
      <c r="A4944" s="62" t="n">
        <v>46671</v>
      </c>
      <c r="B4944" s="3" t="inlineStr">
        <is>
          <t>Week</t>
        </is>
      </c>
      <c r="C4944" s="19" t="n">
        <v>10</v>
      </c>
      <c r="D4944" s="19" t="n">
        <v>2027</v>
      </c>
      <c r="E4944" s="57" t="n">
        <v>5</v>
      </c>
      <c r="F4944" s="29">
        <f>ROUND(((SUMIFS(Calendar!$F$2:$F$9997,Calendar!$B$2:$B$9997,D4944,Calendar!$C$2:$C$9997,C4944)*INDEX(ForeCalc!$B$37:$Y$274,MATCH(_xlfn.CONCAT(H4944," ",I4944),ForeCalc!$A$37:$A$274,0),MATCH(_xlfn.CONCAT(B4944," ",E4944),ForeCalc!$B$36:$Y$36,0))))*VLOOKUP(A4944,Calendar!$A$2:$H$9997,8,FALSE),0)</f>
        <v/>
      </c>
      <c r="G4944" s="29">
        <f>VLOOKUP(A4944,Calendar!$A$1:$H$9997,6,FALSE)-F4944</f>
        <v/>
      </c>
      <c r="H4944" s="19" t="n">
        <v>2</v>
      </c>
      <c r="I4944" s="57" t="n">
        <v>7</v>
      </c>
    </row>
    <row r="4945">
      <c r="A4945" s="62" t="n">
        <v>46672</v>
      </c>
      <c r="B4945" s="3" t="inlineStr">
        <is>
          <t>Week</t>
        </is>
      </c>
      <c r="C4945" s="19" t="n">
        <v>10</v>
      </c>
      <c r="D4945" s="19" t="n">
        <v>2027</v>
      </c>
      <c r="E4945" s="57" t="n">
        <v>5</v>
      </c>
      <c r="F4945" s="29">
        <f>ROUND(((SUMIFS(Calendar!$F$2:$F$9997,Calendar!$B$2:$B$9997,D4945,Calendar!$C$2:$C$9997,C4945)*INDEX(ForeCalc!$B$37:$Y$274,MATCH(_xlfn.CONCAT(H4945," ",I4945),ForeCalc!$A$37:$A$274,0),MATCH(_xlfn.CONCAT(B4945," ",E4945),ForeCalc!$B$36:$Y$36,0))))*VLOOKUP(A4945,Calendar!$A$2:$H$9997,8,FALSE),0)</f>
        <v/>
      </c>
      <c r="G4945" s="29">
        <f>VLOOKUP(A4945,Calendar!$A$1:$H$9997,6,FALSE)-F4945</f>
        <v/>
      </c>
      <c r="H4945" s="19" t="n">
        <v>2</v>
      </c>
      <c r="I4945" s="57" t="n">
        <v>7</v>
      </c>
    </row>
    <row r="4946">
      <c r="A4946" s="62" t="n">
        <v>46673</v>
      </c>
      <c r="B4946" s="3" t="inlineStr">
        <is>
          <t>Week</t>
        </is>
      </c>
      <c r="C4946" s="19" t="n">
        <v>10</v>
      </c>
      <c r="D4946" s="19" t="n">
        <v>2027</v>
      </c>
      <c r="E4946" s="57" t="n">
        <v>5</v>
      </c>
      <c r="F4946" s="29">
        <f>ROUND(((SUMIFS(Calendar!$F$2:$F$9997,Calendar!$B$2:$B$9997,D4946,Calendar!$C$2:$C$9997,C4946)*INDEX(ForeCalc!$B$37:$Y$274,MATCH(_xlfn.CONCAT(H4946," ",I4946),ForeCalc!$A$37:$A$274,0),MATCH(_xlfn.CONCAT(B4946," ",E4946),ForeCalc!$B$36:$Y$36,0))))*VLOOKUP(A4946,Calendar!$A$2:$H$9997,8,FALSE),0)</f>
        <v/>
      </c>
      <c r="G4946" s="29">
        <f>VLOOKUP(A4946,Calendar!$A$1:$H$9997,6,FALSE)-F4946</f>
        <v/>
      </c>
      <c r="H4946" s="19" t="n">
        <v>2</v>
      </c>
      <c r="I4946" s="57" t="n">
        <v>7</v>
      </c>
    </row>
    <row r="4947">
      <c r="A4947" s="62" t="n">
        <v>46674</v>
      </c>
      <c r="B4947" s="3" t="inlineStr">
        <is>
          <t>Week</t>
        </is>
      </c>
      <c r="C4947" s="19" t="n">
        <v>10</v>
      </c>
      <c r="D4947" s="19" t="n">
        <v>2027</v>
      </c>
      <c r="E4947" s="57" t="n">
        <v>5</v>
      </c>
      <c r="F4947" s="29">
        <f>ROUND(((SUMIFS(Calendar!$F$2:$F$9997,Calendar!$B$2:$B$9997,D4947,Calendar!$C$2:$C$9997,C4947)*INDEX(ForeCalc!$B$37:$Y$274,MATCH(_xlfn.CONCAT(H4947," ",I4947),ForeCalc!$A$37:$A$274,0),MATCH(_xlfn.CONCAT(B4947," ",E4947),ForeCalc!$B$36:$Y$36,0))))*VLOOKUP(A4947,Calendar!$A$2:$H$9997,8,FALSE),0)</f>
        <v/>
      </c>
      <c r="G4947" s="29">
        <f>VLOOKUP(A4947,Calendar!$A$1:$H$9997,6,FALSE)-F4947</f>
        <v/>
      </c>
      <c r="H4947" s="19" t="n">
        <v>2</v>
      </c>
      <c r="I4947" s="57" t="n">
        <v>7</v>
      </c>
    </row>
    <row r="4948">
      <c r="A4948" s="62" t="n">
        <v>46675</v>
      </c>
      <c r="B4948" s="3" t="inlineStr">
        <is>
          <t>Week</t>
        </is>
      </c>
      <c r="C4948" s="19" t="n">
        <v>10</v>
      </c>
      <c r="D4948" s="19" t="n">
        <v>2027</v>
      </c>
      <c r="E4948" s="57" t="n">
        <v>5</v>
      </c>
      <c r="F4948" s="29">
        <f>ROUND(((SUMIFS(Calendar!$F$2:$F$9997,Calendar!$B$2:$B$9997,D4948,Calendar!$C$2:$C$9997,C4948)*INDEX(ForeCalc!$B$37:$Y$274,MATCH(_xlfn.CONCAT(H4948," ",I4948),ForeCalc!$A$37:$A$274,0),MATCH(_xlfn.CONCAT(B4948," ",E4948),ForeCalc!$B$36:$Y$36,0))))*VLOOKUP(A4948,Calendar!$A$2:$H$9997,8,FALSE),0)</f>
        <v/>
      </c>
      <c r="G4948" s="29">
        <f>VLOOKUP(A4948,Calendar!$A$1:$H$9997,6,FALSE)-F4948</f>
        <v/>
      </c>
      <c r="H4948" s="19" t="n">
        <v>2</v>
      </c>
      <c r="I4948" s="57" t="n">
        <v>7</v>
      </c>
    </row>
    <row r="4949">
      <c r="A4949" s="62" t="n">
        <v>46676</v>
      </c>
      <c r="B4949" s="3" t="inlineStr">
        <is>
          <t>Sat</t>
        </is>
      </c>
      <c r="C4949" s="19" t="n">
        <v>10</v>
      </c>
      <c r="D4949" s="19" t="n">
        <v>2027</v>
      </c>
      <c r="E4949" s="57" t="n">
        <v>5</v>
      </c>
      <c r="F4949" s="29">
        <f>ROUND(((SUMIFS(Calendar!$F$2:$F$9997,Calendar!$B$2:$B$9997,D4949,Calendar!$C$2:$C$9997,C4949)*INDEX(ForeCalc!$B$37:$Y$274,MATCH(_xlfn.CONCAT(H4949," ",I4949),ForeCalc!$A$37:$A$274,0),MATCH(_xlfn.CONCAT(B4949," ",E4949),ForeCalc!$B$36:$Y$36,0))))*VLOOKUP(A4949,Calendar!$A$2:$H$9997,8,FALSE),0)</f>
        <v/>
      </c>
      <c r="G4949" s="29">
        <f>VLOOKUP(A4949,Calendar!$A$1:$H$9997,6,FALSE)-F4949</f>
        <v/>
      </c>
      <c r="H4949" s="19" t="n">
        <v>2</v>
      </c>
      <c r="I4949" s="57" t="n">
        <v>7</v>
      </c>
    </row>
    <row r="4950">
      <c r="A4950" s="62" t="n">
        <v>46677</v>
      </c>
      <c r="B4950" s="3" t="inlineStr">
        <is>
          <t>Sun</t>
        </is>
      </c>
      <c r="C4950" s="19" t="n">
        <v>10</v>
      </c>
      <c r="D4950" s="19" t="n">
        <v>2027</v>
      </c>
      <c r="E4950" s="57" t="n">
        <v>5</v>
      </c>
      <c r="F4950" s="29">
        <f>ROUND(((SUMIFS(Calendar!$F$2:$F$9997,Calendar!$B$2:$B$9997,D4950,Calendar!$C$2:$C$9997,C4950)*INDEX(ForeCalc!$B$37:$Y$274,MATCH(_xlfn.CONCAT(H4950," ",I4950),ForeCalc!$A$37:$A$274,0),MATCH(_xlfn.CONCAT(B4950," ",E4950),ForeCalc!$B$36:$Y$36,0))))*VLOOKUP(A4950,Calendar!$A$2:$H$9997,8,FALSE),0)</f>
        <v/>
      </c>
      <c r="G4950" s="29">
        <f>VLOOKUP(A4950,Calendar!$A$1:$H$9997,6,FALSE)-F4950</f>
        <v/>
      </c>
      <c r="H4950" s="19" t="n">
        <v>2</v>
      </c>
      <c r="I4950" s="57" t="n">
        <v>7</v>
      </c>
    </row>
    <row r="4951">
      <c r="A4951" s="62" t="n">
        <v>46678</v>
      </c>
      <c r="B4951" s="3" t="inlineStr">
        <is>
          <t>Week</t>
        </is>
      </c>
      <c r="C4951" s="19" t="n">
        <v>10</v>
      </c>
      <c r="D4951" s="19" t="n">
        <v>2027</v>
      </c>
      <c r="E4951" s="57" t="n">
        <v>5</v>
      </c>
      <c r="F4951" s="29">
        <f>ROUND(((SUMIFS(Calendar!$F$2:$F$9997,Calendar!$B$2:$B$9997,D4951,Calendar!$C$2:$C$9997,C4951)*INDEX(ForeCalc!$B$37:$Y$274,MATCH(_xlfn.CONCAT(H4951," ",I4951),ForeCalc!$A$37:$A$274,0),MATCH(_xlfn.CONCAT(B4951," ",E4951),ForeCalc!$B$36:$Y$36,0))))*VLOOKUP(A4951,Calendar!$A$2:$H$9997,8,FALSE),0)</f>
        <v/>
      </c>
      <c r="G4951" s="29">
        <f>VLOOKUP(A4951,Calendar!$A$1:$H$9997,6,FALSE)-F4951</f>
        <v/>
      </c>
      <c r="H4951" s="19" t="n">
        <v>2</v>
      </c>
      <c r="I4951" s="57" t="n">
        <v>7</v>
      </c>
    </row>
    <row r="4952">
      <c r="A4952" s="62" t="n">
        <v>46679</v>
      </c>
      <c r="B4952" s="3" t="inlineStr">
        <is>
          <t>Week</t>
        </is>
      </c>
      <c r="C4952" s="19" t="n">
        <v>10</v>
      </c>
      <c r="D4952" s="19" t="n">
        <v>2027</v>
      </c>
      <c r="E4952" s="57" t="n">
        <v>5</v>
      </c>
      <c r="F4952" s="29">
        <f>ROUND(((SUMIFS(Calendar!$F$2:$F$9997,Calendar!$B$2:$B$9997,D4952,Calendar!$C$2:$C$9997,C4952)*INDEX(ForeCalc!$B$37:$Y$274,MATCH(_xlfn.CONCAT(H4952," ",I4952),ForeCalc!$A$37:$A$274,0),MATCH(_xlfn.CONCAT(B4952," ",E4952),ForeCalc!$B$36:$Y$36,0))))*VLOOKUP(A4952,Calendar!$A$2:$H$9997,8,FALSE),0)</f>
        <v/>
      </c>
      <c r="G4952" s="29">
        <f>VLOOKUP(A4952,Calendar!$A$1:$H$9997,6,FALSE)-F4952</f>
        <v/>
      </c>
      <c r="H4952" s="19" t="n">
        <v>2</v>
      </c>
      <c r="I4952" s="57" t="n">
        <v>7</v>
      </c>
    </row>
    <row r="4953">
      <c r="A4953" s="62" t="n">
        <v>46680</v>
      </c>
      <c r="B4953" s="3" t="inlineStr">
        <is>
          <t>Week</t>
        </is>
      </c>
      <c r="C4953" s="19" t="n">
        <v>10</v>
      </c>
      <c r="D4953" s="19" t="n">
        <v>2027</v>
      </c>
      <c r="E4953" s="57" t="n">
        <v>5</v>
      </c>
      <c r="F4953" s="29">
        <f>ROUND(((SUMIFS(Calendar!$F$2:$F$9997,Calendar!$B$2:$B$9997,D4953,Calendar!$C$2:$C$9997,C4953)*INDEX(ForeCalc!$B$37:$Y$274,MATCH(_xlfn.CONCAT(H4953," ",I4953),ForeCalc!$A$37:$A$274,0),MATCH(_xlfn.CONCAT(B4953," ",E4953),ForeCalc!$B$36:$Y$36,0))))*VLOOKUP(A4953,Calendar!$A$2:$H$9997,8,FALSE),0)</f>
        <v/>
      </c>
      <c r="G4953" s="29">
        <f>VLOOKUP(A4953,Calendar!$A$1:$H$9997,6,FALSE)-F4953</f>
        <v/>
      </c>
      <c r="H4953" s="19" t="n">
        <v>2</v>
      </c>
      <c r="I4953" s="57" t="n">
        <v>7</v>
      </c>
    </row>
    <row r="4954">
      <c r="A4954" s="62" t="n">
        <v>46681</v>
      </c>
      <c r="B4954" s="3" t="inlineStr">
        <is>
          <t>Week</t>
        </is>
      </c>
      <c r="C4954" s="19" t="n">
        <v>10</v>
      </c>
      <c r="D4954" s="19" t="n">
        <v>2027</v>
      </c>
      <c r="E4954" s="57" t="n">
        <v>5</v>
      </c>
      <c r="F4954" s="29">
        <f>ROUND(((SUMIFS(Calendar!$F$2:$F$9997,Calendar!$B$2:$B$9997,D4954,Calendar!$C$2:$C$9997,C4954)*INDEX(ForeCalc!$B$37:$Y$274,MATCH(_xlfn.CONCAT(H4954," ",I4954),ForeCalc!$A$37:$A$274,0),MATCH(_xlfn.CONCAT(B4954," ",E4954),ForeCalc!$B$36:$Y$36,0))))*VLOOKUP(A4954,Calendar!$A$2:$H$9997,8,FALSE),0)</f>
        <v/>
      </c>
      <c r="G4954" s="29">
        <f>VLOOKUP(A4954,Calendar!$A$1:$H$9997,6,FALSE)-F4954</f>
        <v/>
      </c>
      <c r="H4954" s="19" t="n">
        <v>2</v>
      </c>
      <c r="I4954" s="57" t="n">
        <v>7</v>
      </c>
    </row>
    <row r="4955">
      <c r="A4955" s="62" t="n">
        <v>46682</v>
      </c>
      <c r="B4955" s="3" t="inlineStr">
        <is>
          <t>Week</t>
        </is>
      </c>
      <c r="C4955" s="19" t="n">
        <v>10</v>
      </c>
      <c r="D4955" s="19" t="n">
        <v>2027</v>
      </c>
      <c r="E4955" s="57" t="n">
        <v>5</v>
      </c>
      <c r="F4955" s="29">
        <f>ROUND(((SUMIFS(Calendar!$F$2:$F$9997,Calendar!$B$2:$B$9997,D4955,Calendar!$C$2:$C$9997,C4955)*INDEX(ForeCalc!$B$37:$Y$274,MATCH(_xlfn.CONCAT(H4955," ",I4955),ForeCalc!$A$37:$A$274,0),MATCH(_xlfn.CONCAT(B4955," ",E4955),ForeCalc!$B$36:$Y$36,0))))*VLOOKUP(A4955,Calendar!$A$2:$H$9997,8,FALSE),0)</f>
        <v/>
      </c>
      <c r="G4955" s="29">
        <f>VLOOKUP(A4955,Calendar!$A$1:$H$9997,6,FALSE)-F4955</f>
        <v/>
      </c>
      <c r="H4955" s="19" t="n">
        <v>2</v>
      </c>
      <c r="I4955" s="57" t="n">
        <v>7</v>
      </c>
    </row>
    <row r="4956">
      <c r="A4956" s="62" t="n">
        <v>46683</v>
      </c>
      <c r="B4956" s="3" t="inlineStr">
        <is>
          <t>Sat</t>
        </is>
      </c>
      <c r="C4956" s="19" t="n">
        <v>10</v>
      </c>
      <c r="D4956" s="19" t="n">
        <v>2027</v>
      </c>
      <c r="E4956" s="57" t="n">
        <v>5</v>
      </c>
      <c r="F4956" s="29">
        <f>ROUND(((SUMIFS(Calendar!$F$2:$F$9997,Calendar!$B$2:$B$9997,D4956,Calendar!$C$2:$C$9997,C4956)*INDEX(ForeCalc!$B$37:$Y$274,MATCH(_xlfn.CONCAT(H4956," ",I4956),ForeCalc!$A$37:$A$274,0),MATCH(_xlfn.CONCAT(B4956," ",E4956),ForeCalc!$B$36:$Y$36,0))))*VLOOKUP(A4956,Calendar!$A$2:$H$9997,8,FALSE),0)</f>
        <v/>
      </c>
      <c r="G4956" s="29">
        <f>VLOOKUP(A4956,Calendar!$A$1:$H$9997,6,FALSE)-F4956</f>
        <v/>
      </c>
      <c r="H4956" s="19" t="n">
        <v>2</v>
      </c>
      <c r="I4956" s="57" t="n">
        <v>7</v>
      </c>
    </row>
    <row r="4957">
      <c r="A4957" s="62" t="n">
        <v>46684</v>
      </c>
      <c r="B4957" s="3" t="inlineStr">
        <is>
          <t>Sun</t>
        </is>
      </c>
      <c r="C4957" s="19" t="n">
        <v>10</v>
      </c>
      <c r="D4957" s="19" t="n">
        <v>2027</v>
      </c>
      <c r="E4957" s="57" t="n">
        <v>5</v>
      </c>
      <c r="F4957" s="29">
        <f>ROUND(((SUMIFS(Calendar!$F$2:$F$9997,Calendar!$B$2:$B$9997,D4957,Calendar!$C$2:$C$9997,C4957)*INDEX(ForeCalc!$B$37:$Y$274,MATCH(_xlfn.CONCAT(H4957," ",I4957),ForeCalc!$A$37:$A$274,0),MATCH(_xlfn.CONCAT(B4957," ",E4957),ForeCalc!$B$36:$Y$36,0))))*VLOOKUP(A4957,Calendar!$A$2:$H$9997,8,FALSE),0)</f>
        <v/>
      </c>
      <c r="G4957" s="29">
        <f>VLOOKUP(A4957,Calendar!$A$1:$H$9997,6,FALSE)-F4957</f>
        <v/>
      </c>
      <c r="H4957" s="19" t="n">
        <v>2</v>
      </c>
      <c r="I4957" s="57" t="n">
        <v>7</v>
      </c>
    </row>
    <row r="4958">
      <c r="A4958" s="62" t="n">
        <v>46685</v>
      </c>
      <c r="B4958" s="3" t="inlineStr">
        <is>
          <t>Week</t>
        </is>
      </c>
      <c r="C4958" s="19" t="n">
        <v>10</v>
      </c>
      <c r="D4958" s="19" t="n">
        <v>2027</v>
      </c>
      <c r="E4958" s="57" t="n">
        <v>5</v>
      </c>
      <c r="F4958" s="29">
        <f>ROUND(((SUMIFS(Calendar!$F$2:$F$9997,Calendar!$B$2:$B$9997,D4958,Calendar!$C$2:$C$9997,C4958)*INDEX(ForeCalc!$B$37:$Y$274,MATCH(_xlfn.CONCAT(H4958," ",I4958),ForeCalc!$A$37:$A$274,0),MATCH(_xlfn.CONCAT(B4958," ",E4958),ForeCalc!$B$36:$Y$36,0))))*VLOOKUP(A4958,Calendar!$A$2:$H$9997,8,FALSE),0)</f>
        <v/>
      </c>
      <c r="G4958" s="29">
        <f>VLOOKUP(A4958,Calendar!$A$1:$H$9997,6,FALSE)-F4958</f>
        <v/>
      </c>
      <c r="H4958" s="19" t="n">
        <v>2</v>
      </c>
      <c r="I4958" s="57" t="n">
        <v>7</v>
      </c>
    </row>
    <row r="4959">
      <c r="A4959" s="62" t="n">
        <v>46686</v>
      </c>
      <c r="B4959" s="3" t="inlineStr">
        <is>
          <t>Week</t>
        </is>
      </c>
      <c r="C4959" s="19" t="n">
        <v>10</v>
      </c>
      <c r="D4959" s="19" t="n">
        <v>2027</v>
      </c>
      <c r="E4959" s="57" t="n">
        <v>5</v>
      </c>
      <c r="F4959" s="29">
        <f>ROUND(((SUMIFS(Calendar!$F$2:$F$9997,Calendar!$B$2:$B$9997,D4959,Calendar!$C$2:$C$9997,C4959)*INDEX(ForeCalc!$B$37:$Y$274,MATCH(_xlfn.CONCAT(H4959," ",I4959),ForeCalc!$A$37:$A$274,0),MATCH(_xlfn.CONCAT(B4959," ",E4959),ForeCalc!$B$36:$Y$36,0))))*VLOOKUP(A4959,Calendar!$A$2:$H$9997,8,FALSE),0)</f>
        <v/>
      </c>
      <c r="G4959" s="29">
        <f>VLOOKUP(A4959,Calendar!$A$1:$H$9997,6,FALSE)-F4959</f>
        <v/>
      </c>
      <c r="H4959" s="19" t="n">
        <v>2</v>
      </c>
      <c r="I4959" s="57" t="n">
        <v>7</v>
      </c>
    </row>
    <row r="4960">
      <c r="A4960" s="62" t="n">
        <v>46687</v>
      </c>
      <c r="B4960" s="3" t="inlineStr">
        <is>
          <t>Week</t>
        </is>
      </c>
      <c r="C4960" s="19" t="n">
        <v>10</v>
      </c>
      <c r="D4960" s="19" t="n">
        <v>2027</v>
      </c>
      <c r="E4960" s="57" t="n">
        <v>5</v>
      </c>
      <c r="F4960" s="29">
        <f>ROUND(((SUMIFS(Calendar!$F$2:$F$9997,Calendar!$B$2:$B$9997,D4960,Calendar!$C$2:$C$9997,C4960)*INDEX(ForeCalc!$B$37:$Y$274,MATCH(_xlfn.CONCAT(H4960," ",I4960),ForeCalc!$A$37:$A$274,0),MATCH(_xlfn.CONCAT(B4960," ",E4960),ForeCalc!$B$36:$Y$36,0))))*VLOOKUP(A4960,Calendar!$A$2:$H$9997,8,FALSE),0)</f>
        <v/>
      </c>
      <c r="G4960" s="29">
        <f>VLOOKUP(A4960,Calendar!$A$1:$H$9997,6,FALSE)-F4960</f>
        <v/>
      </c>
      <c r="H4960" s="19" t="n">
        <v>2</v>
      </c>
      <c r="I4960" s="57" t="n">
        <v>7</v>
      </c>
    </row>
    <row r="4961">
      <c r="A4961" s="62" t="n">
        <v>46688</v>
      </c>
      <c r="B4961" s="3" t="inlineStr">
        <is>
          <t>Week</t>
        </is>
      </c>
      <c r="C4961" s="19" t="n">
        <v>10</v>
      </c>
      <c r="D4961" s="19" t="n">
        <v>2027</v>
      </c>
      <c r="E4961" s="57" t="n">
        <v>5</v>
      </c>
      <c r="F4961" s="29">
        <f>ROUND(((SUMIFS(Calendar!$F$2:$F$9997,Calendar!$B$2:$B$9997,D4961,Calendar!$C$2:$C$9997,C4961)*INDEX(ForeCalc!$B$37:$Y$274,MATCH(_xlfn.CONCAT(H4961," ",I4961),ForeCalc!$A$37:$A$274,0),MATCH(_xlfn.CONCAT(B4961," ",E4961),ForeCalc!$B$36:$Y$36,0))))*VLOOKUP(A4961,Calendar!$A$2:$H$9997,8,FALSE),0)</f>
        <v/>
      </c>
      <c r="G4961" s="29">
        <f>VLOOKUP(A4961,Calendar!$A$1:$H$9997,6,FALSE)-F4961</f>
        <v/>
      </c>
      <c r="H4961" s="19" t="n">
        <v>2</v>
      </c>
      <c r="I4961" s="57" t="n">
        <v>7</v>
      </c>
    </row>
    <row r="4962">
      <c r="A4962" s="62" t="n">
        <v>46689</v>
      </c>
      <c r="B4962" s="3" t="inlineStr">
        <is>
          <t>Week</t>
        </is>
      </c>
      <c r="C4962" s="19" t="n">
        <v>10</v>
      </c>
      <c r="D4962" s="19" t="n">
        <v>2027</v>
      </c>
      <c r="E4962" s="57" t="n">
        <v>5</v>
      </c>
      <c r="F4962" s="29">
        <f>ROUND(((SUMIFS(Calendar!$F$2:$F$9997,Calendar!$B$2:$B$9997,D4962,Calendar!$C$2:$C$9997,C4962)*INDEX(ForeCalc!$B$37:$Y$274,MATCH(_xlfn.CONCAT(H4962," ",I4962),ForeCalc!$A$37:$A$274,0),MATCH(_xlfn.CONCAT(B4962," ",E4962),ForeCalc!$B$36:$Y$36,0))))*VLOOKUP(A4962,Calendar!$A$2:$H$9997,8,FALSE),0)</f>
        <v/>
      </c>
      <c r="G4962" s="29">
        <f>VLOOKUP(A4962,Calendar!$A$1:$H$9997,6,FALSE)-F4962</f>
        <v/>
      </c>
      <c r="H4962" s="19" t="n">
        <v>2</v>
      </c>
      <c r="I4962" s="57" t="n">
        <v>7</v>
      </c>
    </row>
    <row r="4963">
      <c r="A4963" s="62" t="n">
        <v>46690</v>
      </c>
      <c r="B4963" s="3" t="inlineStr">
        <is>
          <t>Sat</t>
        </is>
      </c>
      <c r="C4963" s="19" t="n">
        <v>10</v>
      </c>
      <c r="D4963" s="19" t="n">
        <v>2027</v>
      </c>
      <c r="E4963" s="57" t="n">
        <v>5</v>
      </c>
      <c r="F4963" s="29">
        <f>ROUND(((SUMIFS(Calendar!$F$2:$F$9997,Calendar!$B$2:$B$9997,D4963,Calendar!$C$2:$C$9997,C4963)*INDEX(ForeCalc!$B$37:$Y$274,MATCH(_xlfn.CONCAT(H4963," ",I4963),ForeCalc!$A$37:$A$274,0),MATCH(_xlfn.CONCAT(B4963," ",E4963),ForeCalc!$B$36:$Y$36,0))))*VLOOKUP(A4963,Calendar!$A$2:$H$9997,8,FALSE),0)</f>
        <v/>
      </c>
      <c r="G4963" s="29">
        <f>VLOOKUP(A4963,Calendar!$A$1:$H$9997,6,FALSE)-F4963</f>
        <v/>
      </c>
      <c r="H4963" s="19" t="n">
        <v>2</v>
      </c>
      <c r="I4963" s="57" t="n">
        <v>7</v>
      </c>
    </row>
    <row r="4964">
      <c r="A4964" s="62" t="n">
        <v>46691</v>
      </c>
      <c r="B4964" s="3" t="inlineStr">
        <is>
          <t>Sun</t>
        </is>
      </c>
      <c r="C4964" s="19" t="n">
        <v>10</v>
      </c>
      <c r="D4964" s="19" t="n">
        <v>2027</v>
      </c>
      <c r="E4964" s="57" t="n">
        <v>5</v>
      </c>
      <c r="F4964" s="29">
        <f>ROUND(((SUMIFS(Calendar!$F$2:$F$9997,Calendar!$B$2:$B$9997,D4964,Calendar!$C$2:$C$9997,C4964)*INDEX(ForeCalc!$B$37:$Y$274,MATCH(_xlfn.CONCAT(H4964," ",I4964),ForeCalc!$A$37:$A$274,0),MATCH(_xlfn.CONCAT(B4964," ",E4964),ForeCalc!$B$36:$Y$36,0))))*VLOOKUP(A4964,Calendar!$A$2:$H$9997,8,FALSE),0)</f>
        <v/>
      </c>
      <c r="G4964" s="29">
        <f>VLOOKUP(A4964,Calendar!$A$1:$H$9997,6,FALSE)-F4964</f>
        <v/>
      </c>
      <c r="H4964" s="19" t="n">
        <v>2</v>
      </c>
      <c r="I4964" s="57" t="n">
        <v>7</v>
      </c>
    </row>
    <row r="4965">
      <c r="A4965" s="62" t="n">
        <v>46692</v>
      </c>
      <c r="B4965" s="3" t="inlineStr">
        <is>
          <t>Week</t>
        </is>
      </c>
      <c r="C4965" s="19" t="n">
        <v>11</v>
      </c>
      <c r="D4965" s="19" t="n">
        <v>2027</v>
      </c>
      <c r="E4965" s="57" t="n">
        <v>5</v>
      </c>
      <c r="F4965" s="29">
        <f>ROUND(((SUMIFS(Calendar!$F$2:$F$9997,Calendar!$B$2:$B$9997,D4965,Calendar!$C$2:$C$9997,C4965)*INDEX(ForeCalc!$B$37:$Y$274,MATCH(_xlfn.CONCAT(H4965," ",I4965),ForeCalc!$A$37:$A$274,0),MATCH(_xlfn.CONCAT(B4965," ",E4965),ForeCalc!$B$36:$Y$36,0))))*VLOOKUP(A4965,Calendar!$A$2:$H$9997,8,FALSE),0)</f>
        <v/>
      </c>
      <c r="G4965" s="29">
        <f>VLOOKUP(A4965,Calendar!$A$1:$H$9997,6,FALSE)-F4965</f>
        <v/>
      </c>
      <c r="H4965" s="19" t="n">
        <v>2</v>
      </c>
      <c r="I4965" s="57" t="n">
        <v>8</v>
      </c>
    </row>
    <row r="4966">
      <c r="A4966" s="62" t="n">
        <v>46693</v>
      </c>
      <c r="B4966" s="3" t="inlineStr">
        <is>
          <t>Week</t>
        </is>
      </c>
      <c r="C4966" s="19" t="n">
        <v>11</v>
      </c>
      <c r="D4966" s="19" t="n">
        <v>2027</v>
      </c>
      <c r="E4966" s="57" t="n">
        <v>5</v>
      </c>
      <c r="F4966" s="29">
        <f>ROUND(((SUMIFS(Calendar!$F$2:$F$9997,Calendar!$B$2:$B$9997,D4966,Calendar!$C$2:$C$9997,C4966)*INDEX(ForeCalc!$B$37:$Y$274,MATCH(_xlfn.CONCAT(H4966," ",I4966),ForeCalc!$A$37:$A$274,0),MATCH(_xlfn.CONCAT(B4966," ",E4966),ForeCalc!$B$36:$Y$36,0))))*VLOOKUP(A4966,Calendar!$A$2:$H$9997,8,FALSE),0)</f>
        <v/>
      </c>
      <c r="G4966" s="29">
        <f>VLOOKUP(A4966,Calendar!$A$1:$H$9997,6,FALSE)-F4966</f>
        <v/>
      </c>
      <c r="H4966" s="19" t="n">
        <v>2</v>
      </c>
      <c r="I4966" s="57" t="n">
        <v>8</v>
      </c>
    </row>
    <row r="4967">
      <c r="A4967" s="62" t="n">
        <v>46694</v>
      </c>
      <c r="B4967" s="3" t="inlineStr">
        <is>
          <t>Week</t>
        </is>
      </c>
      <c r="C4967" s="19" t="n">
        <v>11</v>
      </c>
      <c r="D4967" s="19" t="n">
        <v>2027</v>
      </c>
      <c r="E4967" s="57" t="n">
        <v>5</v>
      </c>
      <c r="F4967" s="29">
        <f>ROUND(((SUMIFS(Calendar!$F$2:$F$9997,Calendar!$B$2:$B$9997,D4967,Calendar!$C$2:$C$9997,C4967)*INDEX(ForeCalc!$B$37:$Y$274,MATCH(_xlfn.CONCAT(H4967," ",I4967),ForeCalc!$A$37:$A$274,0),MATCH(_xlfn.CONCAT(B4967," ",E4967),ForeCalc!$B$36:$Y$36,0))))*VLOOKUP(A4967,Calendar!$A$2:$H$9997,8,FALSE),0)</f>
        <v/>
      </c>
      <c r="G4967" s="29">
        <f>VLOOKUP(A4967,Calendar!$A$1:$H$9997,6,FALSE)-F4967</f>
        <v/>
      </c>
      <c r="H4967" s="19" t="n">
        <v>2</v>
      </c>
      <c r="I4967" s="57" t="n">
        <v>8</v>
      </c>
    </row>
    <row r="4968">
      <c r="A4968" s="62" t="n">
        <v>46695</v>
      </c>
      <c r="B4968" s="3" t="inlineStr">
        <is>
          <t>Week</t>
        </is>
      </c>
      <c r="C4968" s="19" t="n">
        <v>11</v>
      </c>
      <c r="D4968" s="19" t="n">
        <v>2027</v>
      </c>
      <c r="E4968" s="57" t="n">
        <v>5</v>
      </c>
      <c r="F4968" s="29">
        <f>ROUND(((SUMIFS(Calendar!$F$2:$F$9997,Calendar!$B$2:$B$9997,D4968,Calendar!$C$2:$C$9997,C4968)*INDEX(ForeCalc!$B$37:$Y$274,MATCH(_xlfn.CONCAT(H4968," ",I4968),ForeCalc!$A$37:$A$274,0),MATCH(_xlfn.CONCAT(B4968," ",E4968),ForeCalc!$B$36:$Y$36,0))))*VLOOKUP(A4968,Calendar!$A$2:$H$9997,8,FALSE),0)</f>
        <v/>
      </c>
      <c r="G4968" s="29">
        <f>VLOOKUP(A4968,Calendar!$A$1:$H$9997,6,FALSE)-F4968</f>
        <v/>
      </c>
      <c r="H4968" s="19" t="n">
        <v>2</v>
      </c>
      <c r="I4968" s="57" t="n">
        <v>8</v>
      </c>
    </row>
    <row r="4969">
      <c r="A4969" s="62" t="n">
        <v>46696</v>
      </c>
      <c r="B4969" s="3" t="inlineStr">
        <is>
          <t>Week</t>
        </is>
      </c>
      <c r="C4969" s="19" t="n">
        <v>11</v>
      </c>
      <c r="D4969" s="19" t="n">
        <v>2027</v>
      </c>
      <c r="E4969" s="57" t="n">
        <v>5</v>
      </c>
      <c r="F4969" s="29">
        <f>ROUND(((SUMIFS(Calendar!$F$2:$F$9997,Calendar!$B$2:$B$9997,D4969,Calendar!$C$2:$C$9997,C4969)*INDEX(ForeCalc!$B$37:$Y$274,MATCH(_xlfn.CONCAT(H4969," ",I4969),ForeCalc!$A$37:$A$274,0),MATCH(_xlfn.CONCAT(B4969," ",E4969),ForeCalc!$B$36:$Y$36,0))))*VLOOKUP(A4969,Calendar!$A$2:$H$9997,8,FALSE),0)</f>
        <v/>
      </c>
      <c r="G4969" s="29">
        <f>VLOOKUP(A4969,Calendar!$A$1:$H$9997,6,FALSE)-F4969</f>
        <v/>
      </c>
      <c r="H4969" s="19" t="n">
        <v>2</v>
      </c>
      <c r="I4969" s="57" t="n">
        <v>8</v>
      </c>
    </row>
    <row r="4970">
      <c r="A4970" s="62" t="n">
        <v>46697</v>
      </c>
      <c r="B4970" s="3" t="inlineStr">
        <is>
          <t>Sat</t>
        </is>
      </c>
      <c r="C4970" s="19" t="n">
        <v>11</v>
      </c>
      <c r="D4970" s="19" t="n">
        <v>2027</v>
      </c>
      <c r="E4970" s="57" t="n">
        <v>5</v>
      </c>
      <c r="F4970" s="29">
        <f>ROUND(((SUMIFS(Calendar!$F$2:$F$9997,Calendar!$B$2:$B$9997,D4970,Calendar!$C$2:$C$9997,C4970)*INDEX(ForeCalc!$B$37:$Y$274,MATCH(_xlfn.CONCAT(H4970," ",I4970),ForeCalc!$A$37:$A$274,0),MATCH(_xlfn.CONCAT(B4970," ",E4970),ForeCalc!$B$36:$Y$36,0))))*VLOOKUP(A4970,Calendar!$A$2:$H$9997,8,FALSE),0)</f>
        <v/>
      </c>
      <c r="G4970" s="29">
        <f>VLOOKUP(A4970,Calendar!$A$1:$H$9997,6,FALSE)-F4970</f>
        <v/>
      </c>
      <c r="H4970" s="19" t="n">
        <v>2</v>
      </c>
      <c r="I4970" s="57" t="n">
        <v>8</v>
      </c>
    </row>
    <row r="4971">
      <c r="A4971" s="62" t="n">
        <v>46698</v>
      </c>
      <c r="B4971" s="3" t="inlineStr">
        <is>
          <t>Sun</t>
        </is>
      </c>
      <c r="C4971" s="19" t="n">
        <v>11</v>
      </c>
      <c r="D4971" s="19" t="n">
        <v>2027</v>
      </c>
      <c r="E4971" s="57" t="n">
        <v>5</v>
      </c>
      <c r="F4971" s="29">
        <f>ROUND(((SUMIFS(Calendar!$F$2:$F$9997,Calendar!$B$2:$B$9997,D4971,Calendar!$C$2:$C$9997,C4971)*INDEX(ForeCalc!$B$37:$Y$274,MATCH(_xlfn.CONCAT(H4971," ",I4971),ForeCalc!$A$37:$A$274,0),MATCH(_xlfn.CONCAT(B4971," ",E4971),ForeCalc!$B$36:$Y$36,0))))*VLOOKUP(A4971,Calendar!$A$2:$H$9997,8,FALSE),0)</f>
        <v/>
      </c>
      <c r="G4971" s="29">
        <f>VLOOKUP(A4971,Calendar!$A$1:$H$9997,6,FALSE)-F4971</f>
        <v/>
      </c>
      <c r="H4971" s="19" t="n">
        <v>2</v>
      </c>
      <c r="I4971" s="57" t="n">
        <v>8</v>
      </c>
    </row>
    <row r="4972">
      <c r="A4972" s="62" t="n">
        <v>46699</v>
      </c>
      <c r="B4972" s="3" t="inlineStr">
        <is>
          <t>Week</t>
        </is>
      </c>
      <c r="C4972" s="19" t="n">
        <v>11</v>
      </c>
      <c r="D4972" s="19" t="n">
        <v>2027</v>
      </c>
      <c r="E4972" s="57" t="n">
        <v>5</v>
      </c>
      <c r="F4972" s="29">
        <f>ROUND(((SUMIFS(Calendar!$F$2:$F$9997,Calendar!$B$2:$B$9997,D4972,Calendar!$C$2:$C$9997,C4972)*INDEX(ForeCalc!$B$37:$Y$274,MATCH(_xlfn.CONCAT(H4972," ",I4972),ForeCalc!$A$37:$A$274,0),MATCH(_xlfn.CONCAT(B4972," ",E4972),ForeCalc!$B$36:$Y$36,0))))*VLOOKUP(A4972,Calendar!$A$2:$H$9997,8,FALSE),0)</f>
        <v/>
      </c>
      <c r="G4972" s="29">
        <f>VLOOKUP(A4972,Calendar!$A$1:$H$9997,6,FALSE)-F4972</f>
        <v/>
      </c>
      <c r="H4972" s="19" t="n">
        <v>2</v>
      </c>
      <c r="I4972" s="57" t="n">
        <v>8</v>
      </c>
    </row>
    <row r="4973">
      <c r="A4973" s="62" t="n">
        <v>46700</v>
      </c>
      <c r="B4973" s="3" t="inlineStr">
        <is>
          <t>Week</t>
        </is>
      </c>
      <c r="C4973" s="19" t="n">
        <v>11</v>
      </c>
      <c r="D4973" s="19" t="n">
        <v>2027</v>
      </c>
      <c r="E4973" s="57" t="n">
        <v>5</v>
      </c>
      <c r="F4973" s="29">
        <f>ROUND(((SUMIFS(Calendar!$F$2:$F$9997,Calendar!$B$2:$B$9997,D4973,Calendar!$C$2:$C$9997,C4973)*INDEX(ForeCalc!$B$37:$Y$274,MATCH(_xlfn.CONCAT(H4973," ",I4973),ForeCalc!$A$37:$A$274,0),MATCH(_xlfn.CONCAT(B4973," ",E4973),ForeCalc!$B$36:$Y$36,0))))*VLOOKUP(A4973,Calendar!$A$2:$H$9997,8,FALSE),0)</f>
        <v/>
      </c>
      <c r="G4973" s="29">
        <f>VLOOKUP(A4973,Calendar!$A$1:$H$9997,6,FALSE)-F4973</f>
        <v/>
      </c>
      <c r="H4973" s="19" t="n">
        <v>2</v>
      </c>
      <c r="I4973" s="57" t="n">
        <v>8</v>
      </c>
    </row>
    <row r="4974">
      <c r="A4974" s="62" t="n">
        <v>46701</v>
      </c>
      <c r="B4974" s="3" t="inlineStr">
        <is>
          <t>Week</t>
        </is>
      </c>
      <c r="C4974" s="19" t="n">
        <v>11</v>
      </c>
      <c r="D4974" s="19" t="n">
        <v>2027</v>
      </c>
      <c r="E4974" s="57" t="n">
        <v>5</v>
      </c>
      <c r="F4974" s="29">
        <f>ROUND(((SUMIFS(Calendar!$F$2:$F$9997,Calendar!$B$2:$B$9997,D4974,Calendar!$C$2:$C$9997,C4974)*INDEX(ForeCalc!$B$37:$Y$274,MATCH(_xlfn.CONCAT(H4974," ",I4974),ForeCalc!$A$37:$A$274,0),MATCH(_xlfn.CONCAT(B4974," ",E4974),ForeCalc!$B$36:$Y$36,0))))*VLOOKUP(A4974,Calendar!$A$2:$H$9997,8,FALSE),0)</f>
        <v/>
      </c>
      <c r="G4974" s="29">
        <f>VLOOKUP(A4974,Calendar!$A$1:$H$9997,6,FALSE)-F4974</f>
        <v/>
      </c>
      <c r="H4974" s="19" t="n">
        <v>2</v>
      </c>
      <c r="I4974" s="57" t="n">
        <v>8</v>
      </c>
    </row>
    <row r="4975">
      <c r="A4975" s="62" t="n">
        <v>46702</v>
      </c>
      <c r="B4975" s="3" t="inlineStr">
        <is>
          <t>Week</t>
        </is>
      </c>
      <c r="C4975" s="19" t="n">
        <v>11</v>
      </c>
      <c r="D4975" s="19" t="n">
        <v>2027</v>
      </c>
      <c r="E4975" s="57" t="n">
        <v>5</v>
      </c>
      <c r="F4975" s="29">
        <f>ROUND(((SUMIFS(Calendar!$F$2:$F$9997,Calendar!$B$2:$B$9997,D4975,Calendar!$C$2:$C$9997,C4975)*INDEX(ForeCalc!$B$37:$Y$274,MATCH(_xlfn.CONCAT(H4975," ",I4975),ForeCalc!$A$37:$A$274,0),MATCH(_xlfn.CONCAT(B4975," ",E4975),ForeCalc!$B$36:$Y$36,0))))*VLOOKUP(A4975,Calendar!$A$2:$H$9997,8,FALSE),0)</f>
        <v/>
      </c>
      <c r="G4975" s="29">
        <f>VLOOKUP(A4975,Calendar!$A$1:$H$9997,6,FALSE)-F4975</f>
        <v/>
      </c>
      <c r="H4975" s="19" t="n">
        <v>2</v>
      </c>
      <c r="I4975" s="57" t="n">
        <v>8</v>
      </c>
    </row>
    <row r="4976">
      <c r="A4976" s="62" t="n">
        <v>46703</v>
      </c>
      <c r="B4976" s="3" t="inlineStr">
        <is>
          <t>Week</t>
        </is>
      </c>
      <c r="C4976" s="19" t="n">
        <v>11</v>
      </c>
      <c r="D4976" s="19" t="n">
        <v>2027</v>
      </c>
      <c r="E4976" s="57" t="n">
        <v>5</v>
      </c>
      <c r="F4976" s="29">
        <f>ROUND(((SUMIFS(Calendar!$F$2:$F$9997,Calendar!$B$2:$B$9997,D4976,Calendar!$C$2:$C$9997,C4976)*INDEX(ForeCalc!$B$37:$Y$274,MATCH(_xlfn.CONCAT(H4976," ",I4976),ForeCalc!$A$37:$A$274,0),MATCH(_xlfn.CONCAT(B4976," ",E4976),ForeCalc!$B$36:$Y$36,0))))*VLOOKUP(A4976,Calendar!$A$2:$H$9997,8,FALSE),0)</f>
        <v/>
      </c>
      <c r="G4976" s="29">
        <f>VLOOKUP(A4976,Calendar!$A$1:$H$9997,6,FALSE)-F4976</f>
        <v/>
      </c>
      <c r="H4976" s="19" t="n">
        <v>2</v>
      </c>
      <c r="I4976" s="57" t="n">
        <v>8</v>
      </c>
    </row>
    <row r="4977">
      <c r="A4977" s="62" t="n">
        <v>46704</v>
      </c>
      <c r="B4977" s="3" t="inlineStr">
        <is>
          <t>Sat</t>
        </is>
      </c>
      <c r="C4977" s="19" t="n">
        <v>11</v>
      </c>
      <c r="D4977" s="19" t="n">
        <v>2027</v>
      </c>
      <c r="E4977" s="57" t="n">
        <v>5</v>
      </c>
      <c r="F4977" s="29">
        <f>ROUND(((SUMIFS(Calendar!$F$2:$F$9997,Calendar!$B$2:$B$9997,D4977,Calendar!$C$2:$C$9997,C4977)*INDEX(ForeCalc!$B$37:$Y$274,MATCH(_xlfn.CONCAT(H4977," ",I4977),ForeCalc!$A$37:$A$274,0),MATCH(_xlfn.CONCAT(B4977," ",E4977),ForeCalc!$B$36:$Y$36,0))))*VLOOKUP(A4977,Calendar!$A$2:$H$9997,8,FALSE),0)</f>
        <v/>
      </c>
      <c r="G4977" s="29">
        <f>VLOOKUP(A4977,Calendar!$A$1:$H$9997,6,FALSE)-F4977</f>
        <v/>
      </c>
      <c r="H4977" s="19" t="n">
        <v>2</v>
      </c>
      <c r="I4977" s="57" t="n">
        <v>8</v>
      </c>
    </row>
    <row r="4978">
      <c r="A4978" s="62" t="n">
        <v>46705</v>
      </c>
      <c r="B4978" s="3" t="inlineStr">
        <is>
          <t>Sun</t>
        </is>
      </c>
      <c r="C4978" s="19" t="n">
        <v>11</v>
      </c>
      <c r="D4978" s="19" t="n">
        <v>2027</v>
      </c>
      <c r="E4978" s="57" t="n">
        <v>5</v>
      </c>
      <c r="F4978" s="29">
        <f>ROUND(((SUMIFS(Calendar!$F$2:$F$9997,Calendar!$B$2:$B$9997,D4978,Calendar!$C$2:$C$9997,C4978)*INDEX(ForeCalc!$B$37:$Y$274,MATCH(_xlfn.CONCAT(H4978," ",I4978),ForeCalc!$A$37:$A$274,0),MATCH(_xlfn.CONCAT(B4978," ",E4978),ForeCalc!$B$36:$Y$36,0))))*VLOOKUP(A4978,Calendar!$A$2:$H$9997,8,FALSE),0)</f>
        <v/>
      </c>
      <c r="G4978" s="29">
        <f>VLOOKUP(A4978,Calendar!$A$1:$H$9997,6,FALSE)-F4978</f>
        <v/>
      </c>
      <c r="H4978" s="19" t="n">
        <v>2</v>
      </c>
      <c r="I4978" s="57" t="n">
        <v>8</v>
      </c>
    </row>
    <row r="4979">
      <c r="A4979" s="62" t="n">
        <v>46706</v>
      </c>
      <c r="B4979" s="3" t="inlineStr">
        <is>
          <t>Week</t>
        </is>
      </c>
      <c r="C4979" s="19" t="n">
        <v>11</v>
      </c>
      <c r="D4979" s="19" t="n">
        <v>2027</v>
      </c>
      <c r="E4979" s="57" t="n">
        <v>5</v>
      </c>
      <c r="F4979" s="29">
        <f>ROUND(((SUMIFS(Calendar!$F$2:$F$9997,Calendar!$B$2:$B$9997,D4979,Calendar!$C$2:$C$9997,C4979)*INDEX(ForeCalc!$B$37:$Y$274,MATCH(_xlfn.CONCAT(H4979," ",I4979),ForeCalc!$A$37:$A$274,0),MATCH(_xlfn.CONCAT(B4979," ",E4979),ForeCalc!$B$36:$Y$36,0))))*VLOOKUP(A4979,Calendar!$A$2:$H$9997,8,FALSE),0)</f>
        <v/>
      </c>
      <c r="G4979" s="29">
        <f>VLOOKUP(A4979,Calendar!$A$1:$H$9997,6,FALSE)-F4979</f>
        <v/>
      </c>
      <c r="H4979" s="19" t="n">
        <v>2</v>
      </c>
      <c r="I4979" s="57" t="n">
        <v>8</v>
      </c>
    </row>
    <row r="4980">
      <c r="A4980" s="62" t="n">
        <v>46707</v>
      </c>
      <c r="B4980" s="3" t="inlineStr">
        <is>
          <t>Week</t>
        </is>
      </c>
      <c r="C4980" s="19" t="n">
        <v>11</v>
      </c>
      <c r="D4980" s="19" t="n">
        <v>2027</v>
      </c>
      <c r="E4980" s="57" t="n">
        <v>5</v>
      </c>
      <c r="F4980" s="29">
        <f>ROUND(((SUMIFS(Calendar!$F$2:$F$9997,Calendar!$B$2:$B$9997,D4980,Calendar!$C$2:$C$9997,C4980)*INDEX(ForeCalc!$B$37:$Y$274,MATCH(_xlfn.CONCAT(H4980," ",I4980),ForeCalc!$A$37:$A$274,0),MATCH(_xlfn.CONCAT(B4980," ",E4980),ForeCalc!$B$36:$Y$36,0))))*VLOOKUP(A4980,Calendar!$A$2:$H$9997,8,FALSE),0)</f>
        <v/>
      </c>
      <c r="G4980" s="29">
        <f>VLOOKUP(A4980,Calendar!$A$1:$H$9997,6,FALSE)-F4980</f>
        <v/>
      </c>
      <c r="H4980" s="19" t="n">
        <v>2</v>
      </c>
      <c r="I4980" s="57" t="n">
        <v>8</v>
      </c>
    </row>
    <row r="4981">
      <c r="A4981" s="62" t="n">
        <v>46708</v>
      </c>
      <c r="B4981" s="3" t="inlineStr">
        <is>
          <t>Week</t>
        </is>
      </c>
      <c r="C4981" s="19" t="n">
        <v>11</v>
      </c>
      <c r="D4981" s="19" t="n">
        <v>2027</v>
      </c>
      <c r="E4981" s="57" t="n">
        <v>5</v>
      </c>
      <c r="F4981" s="29">
        <f>ROUND(((SUMIFS(Calendar!$F$2:$F$9997,Calendar!$B$2:$B$9997,D4981,Calendar!$C$2:$C$9997,C4981)*INDEX(ForeCalc!$B$37:$Y$274,MATCH(_xlfn.CONCAT(H4981," ",I4981),ForeCalc!$A$37:$A$274,0),MATCH(_xlfn.CONCAT(B4981," ",E4981),ForeCalc!$B$36:$Y$36,0))))*VLOOKUP(A4981,Calendar!$A$2:$H$9997,8,FALSE),0)</f>
        <v/>
      </c>
      <c r="G4981" s="29">
        <f>VLOOKUP(A4981,Calendar!$A$1:$H$9997,6,FALSE)-F4981</f>
        <v/>
      </c>
      <c r="H4981" s="19" t="n">
        <v>2</v>
      </c>
      <c r="I4981" s="57" t="n">
        <v>8</v>
      </c>
    </row>
    <row r="4982">
      <c r="A4982" s="62" t="n">
        <v>46709</v>
      </c>
      <c r="B4982" s="3" t="inlineStr">
        <is>
          <t>Week</t>
        </is>
      </c>
      <c r="C4982" s="19" t="n">
        <v>11</v>
      </c>
      <c r="D4982" s="19" t="n">
        <v>2027</v>
      </c>
      <c r="E4982" s="57" t="n">
        <v>5</v>
      </c>
      <c r="F4982" s="29">
        <f>ROUND(((SUMIFS(Calendar!$F$2:$F$9997,Calendar!$B$2:$B$9997,D4982,Calendar!$C$2:$C$9997,C4982)*INDEX(ForeCalc!$B$37:$Y$274,MATCH(_xlfn.CONCAT(H4982," ",I4982),ForeCalc!$A$37:$A$274,0),MATCH(_xlfn.CONCAT(B4982," ",E4982),ForeCalc!$B$36:$Y$36,0))))*VLOOKUP(A4982,Calendar!$A$2:$H$9997,8,FALSE),0)</f>
        <v/>
      </c>
      <c r="G4982" s="29">
        <f>VLOOKUP(A4982,Calendar!$A$1:$H$9997,6,FALSE)-F4982</f>
        <v/>
      </c>
      <c r="H4982" s="19" t="n">
        <v>2</v>
      </c>
      <c r="I4982" s="57" t="n">
        <v>8</v>
      </c>
    </row>
    <row r="4983">
      <c r="A4983" s="62" t="n">
        <v>46710</v>
      </c>
      <c r="B4983" s="3" t="inlineStr">
        <is>
          <t>Week</t>
        </is>
      </c>
      <c r="C4983" s="19" t="n">
        <v>11</v>
      </c>
      <c r="D4983" s="19" t="n">
        <v>2027</v>
      </c>
      <c r="E4983" s="57" t="n">
        <v>5</v>
      </c>
      <c r="F4983" s="29">
        <f>ROUND(((SUMIFS(Calendar!$F$2:$F$9997,Calendar!$B$2:$B$9997,D4983,Calendar!$C$2:$C$9997,C4983)*INDEX(ForeCalc!$B$37:$Y$274,MATCH(_xlfn.CONCAT(H4983," ",I4983),ForeCalc!$A$37:$A$274,0),MATCH(_xlfn.CONCAT(B4983," ",E4983),ForeCalc!$B$36:$Y$36,0))))*VLOOKUP(A4983,Calendar!$A$2:$H$9997,8,FALSE),0)</f>
        <v/>
      </c>
      <c r="G4983" s="29">
        <f>VLOOKUP(A4983,Calendar!$A$1:$H$9997,6,FALSE)-F4983</f>
        <v/>
      </c>
      <c r="H4983" s="19" t="n">
        <v>2</v>
      </c>
      <c r="I4983" s="57" t="n">
        <v>8</v>
      </c>
    </row>
    <row r="4984">
      <c r="A4984" s="62" t="n">
        <v>46711</v>
      </c>
      <c r="B4984" s="3" t="inlineStr">
        <is>
          <t>Sat</t>
        </is>
      </c>
      <c r="C4984" s="19" t="n">
        <v>11</v>
      </c>
      <c r="D4984" s="19" t="n">
        <v>2027</v>
      </c>
      <c r="E4984" s="57" t="n">
        <v>5</v>
      </c>
      <c r="F4984" s="29">
        <f>ROUND(((SUMIFS(Calendar!$F$2:$F$9997,Calendar!$B$2:$B$9997,D4984,Calendar!$C$2:$C$9997,C4984)*INDEX(ForeCalc!$B$37:$Y$274,MATCH(_xlfn.CONCAT(H4984," ",I4984),ForeCalc!$A$37:$A$274,0),MATCH(_xlfn.CONCAT(B4984," ",E4984),ForeCalc!$B$36:$Y$36,0))))*VLOOKUP(A4984,Calendar!$A$2:$H$9997,8,FALSE),0)</f>
        <v/>
      </c>
      <c r="G4984" s="29">
        <f>VLOOKUP(A4984,Calendar!$A$1:$H$9997,6,FALSE)-F4984</f>
        <v/>
      </c>
      <c r="H4984" s="19" t="n">
        <v>2</v>
      </c>
      <c r="I4984" s="57" t="n">
        <v>8</v>
      </c>
    </row>
    <row r="4985">
      <c r="A4985" s="62" t="n">
        <v>46712</v>
      </c>
      <c r="B4985" s="3" t="inlineStr">
        <is>
          <t>Sun</t>
        </is>
      </c>
      <c r="C4985" s="19" t="n">
        <v>11</v>
      </c>
      <c r="D4985" s="19" t="n">
        <v>2027</v>
      </c>
      <c r="E4985" s="57" t="n">
        <v>5</v>
      </c>
      <c r="F4985" s="29">
        <f>ROUND(((SUMIFS(Calendar!$F$2:$F$9997,Calendar!$B$2:$B$9997,D4985,Calendar!$C$2:$C$9997,C4985)*INDEX(ForeCalc!$B$37:$Y$274,MATCH(_xlfn.CONCAT(H4985," ",I4985),ForeCalc!$A$37:$A$274,0),MATCH(_xlfn.CONCAT(B4985," ",E4985),ForeCalc!$B$36:$Y$36,0))))*VLOOKUP(A4985,Calendar!$A$2:$H$9997,8,FALSE),0)</f>
        <v/>
      </c>
      <c r="G4985" s="29">
        <f>VLOOKUP(A4985,Calendar!$A$1:$H$9997,6,FALSE)-F4985</f>
        <v/>
      </c>
      <c r="H4985" s="19" t="n">
        <v>2</v>
      </c>
      <c r="I4985" s="57" t="n">
        <v>8</v>
      </c>
    </row>
    <row r="4986">
      <c r="A4986" s="62" t="n">
        <v>46713</v>
      </c>
      <c r="B4986" s="3" t="inlineStr">
        <is>
          <t>Week</t>
        </is>
      </c>
      <c r="C4986" s="19" t="n">
        <v>11</v>
      </c>
      <c r="D4986" s="19" t="n">
        <v>2027</v>
      </c>
      <c r="E4986" s="57" t="n">
        <v>5</v>
      </c>
      <c r="F4986" s="29">
        <f>ROUND(((SUMIFS(Calendar!$F$2:$F$9997,Calendar!$B$2:$B$9997,D4986,Calendar!$C$2:$C$9997,C4986)*INDEX(ForeCalc!$B$37:$Y$274,MATCH(_xlfn.CONCAT(H4986," ",I4986),ForeCalc!$A$37:$A$274,0),MATCH(_xlfn.CONCAT(B4986," ",E4986),ForeCalc!$B$36:$Y$36,0))))*VLOOKUP(A4986,Calendar!$A$2:$H$9997,8,FALSE),0)</f>
        <v/>
      </c>
      <c r="G4986" s="29">
        <f>VLOOKUP(A4986,Calendar!$A$1:$H$9997,6,FALSE)-F4986</f>
        <v/>
      </c>
      <c r="H4986" s="19" t="n">
        <v>2</v>
      </c>
      <c r="I4986" s="57" t="n">
        <v>8</v>
      </c>
    </row>
    <row r="4987">
      <c r="A4987" s="62" t="n">
        <v>46714</v>
      </c>
      <c r="B4987" s="3" t="inlineStr">
        <is>
          <t>Week</t>
        </is>
      </c>
      <c r="C4987" s="19" t="n">
        <v>11</v>
      </c>
      <c r="D4987" s="19" t="n">
        <v>2027</v>
      </c>
      <c r="E4987" s="57" t="n">
        <v>5</v>
      </c>
      <c r="F4987" s="29">
        <f>ROUND(((SUMIFS(Calendar!$F$2:$F$9997,Calendar!$B$2:$B$9997,D4987,Calendar!$C$2:$C$9997,C4987)*INDEX(ForeCalc!$B$37:$Y$274,MATCH(_xlfn.CONCAT(H4987," ",I4987),ForeCalc!$A$37:$A$274,0),MATCH(_xlfn.CONCAT(B4987," ",E4987),ForeCalc!$B$36:$Y$36,0))))*VLOOKUP(A4987,Calendar!$A$2:$H$9997,8,FALSE),0)</f>
        <v/>
      </c>
      <c r="G4987" s="29">
        <f>VLOOKUP(A4987,Calendar!$A$1:$H$9997,6,FALSE)-F4987</f>
        <v/>
      </c>
      <c r="H4987" s="19" t="n">
        <v>2</v>
      </c>
      <c r="I4987" s="57" t="n">
        <v>8</v>
      </c>
    </row>
    <row r="4988">
      <c r="A4988" s="62" t="n">
        <v>46715</v>
      </c>
      <c r="B4988" s="3" t="inlineStr">
        <is>
          <t>Week</t>
        </is>
      </c>
      <c r="C4988" s="19" t="n">
        <v>11</v>
      </c>
      <c r="D4988" s="19" t="n">
        <v>2027</v>
      </c>
      <c r="E4988" s="57" t="n">
        <v>5</v>
      </c>
      <c r="F4988" s="29">
        <f>ROUND(((SUMIFS(Calendar!$F$2:$F$9997,Calendar!$B$2:$B$9997,D4988,Calendar!$C$2:$C$9997,C4988)*INDEX(ForeCalc!$B$37:$Y$274,MATCH(_xlfn.CONCAT(H4988," ",I4988),ForeCalc!$A$37:$A$274,0),MATCH(_xlfn.CONCAT(B4988," ",E4988),ForeCalc!$B$36:$Y$36,0))))*VLOOKUP(A4988,Calendar!$A$2:$H$9997,8,FALSE),0)</f>
        <v/>
      </c>
      <c r="G4988" s="29">
        <f>VLOOKUP(A4988,Calendar!$A$1:$H$9997,6,FALSE)-F4988</f>
        <v/>
      </c>
      <c r="H4988" s="19" t="n">
        <v>2</v>
      </c>
      <c r="I4988" s="57" t="n">
        <v>8</v>
      </c>
    </row>
    <row r="4989">
      <c r="A4989" s="62" t="n">
        <v>46716</v>
      </c>
      <c r="B4989" s="3" t="inlineStr">
        <is>
          <t>Week</t>
        </is>
      </c>
      <c r="C4989" s="19" t="n">
        <v>11</v>
      </c>
      <c r="D4989" s="19" t="n">
        <v>2027</v>
      </c>
      <c r="E4989" s="57" t="n">
        <v>5</v>
      </c>
      <c r="F4989" s="29">
        <f>ROUND(((SUMIFS(Calendar!$F$2:$F$9997,Calendar!$B$2:$B$9997,D4989,Calendar!$C$2:$C$9997,C4989)*INDEX(ForeCalc!$B$37:$Y$274,MATCH(_xlfn.CONCAT(H4989," ",I4989),ForeCalc!$A$37:$A$274,0),MATCH(_xlfn.CONCAT(B4989," ",E4989),ForeCalc!$B$36:$Y$36,0))))*VLOOKUP(A4989,Calendar!$A$2:$H$9997,8,FALSE),0)</f>
        <v/>
      </c>
      <c r="G4989" s="29">
        <f>VLOOKUP(A4989,Calendar!$A$1:$H$9997,6,FALSE)-F4989</f>
        <v/>
      </c>
      <c r="H4989" s="19" t="n">
        <v>2</v>
      </c>
      <c r="I4989" s="57" t="n">
        <v>8</v>
      </c>
    </row>
    <row r="4990">
      <c r="A4990" s="62" t="n">
        <v>46717</v>
      </c>
      <c r="B4990" s="3" t="inlineStr">
        <is>
          <t>Week</t>
        </is>
      </c>
      <c r="C4990" s="19" t="n">
        <v>11</v>
      </c>
      <c r="D4990" s="19" t="n">
        <v>2027</v>
      </c>
      <c r="E4990" s="57" t="n">
        <v>5</v>
      </c>
      <c r="F4990" s="29">
        <f>ROUND(((SUMIFS(Calendar!$F$2:$F$9997,Calendar!$B$2:$B$9997,D4990,Calendar!$C$2:$C$9997,C4990)*INDEX(ForeCalc!$B$37:$Y$274,MATCH(_xlfn.CONCAT(H4990," ",I4990),ForeCalc!$A$37:$A$274,0),MATCH(_xlfn.CONCAT(B4990," ",E4990),ForeCalc!$B$36:$Y$36,0))))*VLOOKUP(A4990,Calendar!$A$2:$H$9997,8,FALSE),0)</f>
        <v/>
      </c>
      <c r="G4990" s="29">
        <f>VLOOKUP(A4990,Calendar!$A$1:$H$9997,6,FALSE)-F4990</f>
        <v/>
      </c>
      <c r="H4990" s="19" t="n">
        <v>2</v>
      </c>
      <c r="I4990" s="57" t="n">
        <v>8</v>
      </c>
    </row>
    <row r="4991">
      <c r="A4991" s="62" t="n">
        <v>46718</v>
      </c>
      <c r="B4991" s="3" t="inlineStr">
        <is>
          <t>Sat</t>
        </is>
      </c>
      <c r="C4991" s="19" t="n">
        <v>11</v>
      </c>
      <c r="D4991" s="19" t="n">
        <v>2027</v>
      </c>
      <c r="E4991" s="57" t="n">
        <v>5</v>
      </c>
      <c r="F4991" s="29">
        <f>ROUND(((SUMIFS(Calendar!$F$2:$F$9997,Calendar!$B$2:$B$9997,D4991,Calendar!$C$2:$C$9997,C4991)*INDEX(ForeCalc!$B$37:$Y$274,MATCH(_xlfn.CONCAT(H4991," ",I4991),ForeCalc!$A$37:$A$274,0),MATCH(_xlfn.CONCAT(B4991," ",E4991),ForeCalc!$B$36:$Y$36,0))))*VLOOKUP(A4991,Calendar!$A$2:$H$9997,8,FALSE),0)</f>
        <v/>
      </c>
      <c r="G4991" s="29">
        <f>VLOOKUP(A4991,Calendar!$A$1:$H$9997,6,FALSE)-F4991</f>
        <v/>
      </c>
      <c r="H4991" s="19" t="n">
        <v>2</v>
      </c>
      <c r="I4991" s="57" t="n">
        <v>8</v>
      </c>
    </row>
    <row r="4992">
      <c r="A4992" s="62" t="n">
        <v>46719</v>
      </c>
      <c r="B4992" s="3" t="inlineStr">
        <is>
          <t>Sun</t>
        </is>
      </c>
      <c r="C4992" s="19" t="n">
        <v>11</v>
      </c>
      <c r="D4992" s="19" t="n">
        <v>2027</v>
      </c>
      <c r="E4992" s="57" t="n">
        <v>5</v>
      </c>
      <c r="F4992" s="29">
        <f>ROUND(((SUMIFS(Calendar!$F$2:$F$9997,Calendar!$B$2:$B$9997,D4992,Calendar!$C$2:$C$9997,C4992)*INDEX(ForeCalc!$B$37:$Y$274,MATCH(_xlfn.CONCAT(H4992," ",I4992),ForeCalc!$A$37:$A$274,0),MATCH(_xlfn.CONCAT(B4992," ",E4992),ForeCalc!$B$36:$Y$36,0))))*VLOOKUP(A4992,Calendar!$A$2:$H$9997,8,FALSE),0)</f>
        <v/>
      </c>
      <c r="G4992" s="29">
        <f>VLOOKUP(A4992,Calendar!$A$1:$H$9997,6,FALSE)-F4992</f>
        <v/>
      </c>
      <c r="H4992" s="19" t="n">
        <v>2</v>
      </c>
      <c r="I4992" s="57" t="n">
        <v>8</v>
      </c>
    </row>
    <row r="4993">
      <c r="A4993" s="62" t="n">
        <v>46720</v>
      </c>
      <c r="B4993" s="3" t="inlineStr">
        <is>
          <t>Week</t>
        </is>
      </c>
      <c r="C4993" s="19" t="n">
        <v>11</v>
      </c>
      <c r="D4993" s="19" t="n">
        <v>2027</v>
      </c>
      <c r="E4993" s="57" t="n">
        <v>5</v>
      </c>
      <c r="F4993" s="29">
        <f>ROUND(((SUMIFS(Calendar!$F$2:$F$9997,Calendar!$B$2:$B$9997,D4993,Calendar!$C$2:$C$9997,C4993)*INDEX(ForeCalc!$B$37:$Y$274,MATCH(_xlfn.CONCAT(H4993," ",I4993),ForeCalc!$A$37:$A$274,0),MATCH(_xlfn.CONCAT(B4993," ",E4993),ForeCalc!$B$36:$Y$36,0))))*VLOOKUP(A4993,Calendar!$A$2:$H$9997,8,FALSE),0)</f>
        <v/>
      </c>
      <c r="G4993" s="29">
        <f>VLOOKUP(A4993,Calendar!$A$1:$H$9997,6,FALSE)-F4993</f>
        <v/>
      </c>
      <c r="H4993" s="19" t="n">
        <v>2</v>
      </c>
      <c r="I4993" s="57" t="n">
        <v>8</v>
      </c>
    </row>
    <row r="4994">
      <c r="A4994" s="62" t="n">
        <v>46721</v>
      </c>
      <c r="B4994" s="3" t="inlineStr">
        <is>
          <t>Week</t>
        </is>
      </c>
      <c r="C4994" s="19" t="n">
        <v>11</v>
      </c>
      <c r="D4994" s="19" t="n">
        <v>2027</v>
      </c>
      <c r="E4994" s="57" t="n">
        <v>5</v>
      </c>
      <c r="F4994" s="29">
        <f>ROUND(((SUMIFS(Calendar!$F$2:$F$9997,Calendar!$B$2:$B$9997,D4994,Calendar!$C$2:$C$9997,C4994)*INDEX(ForeCalc!$B$37:$Y$274,MATCH(_xlfn.CONCAT(H4994," ",I4994),ForeCalc!$A$37:$A$274,0),MATCH(_xlfn.CONCAT(B4994," ",E4994),ForeCalc!$B$36:$Y$36,0))))*VLOOKUP(A4994,Calendar!$A$2:$H$9997,8,FALSE),0)</f>
        <v/>
      </c>
      <c r="G4994" s="29">
        <f>VLOOKUP(A4994,Calendar!$A$1:$H$9997,6,FALSE)-F4994</f>
        <v/>
      </c>
      <c r="H4994" s="19" t="n">
        <v>2</v>
      </c>
      <c r="I4994" s="57" t="n">
        <v>8</v>
      </c>
    </row>
    <row r="4995">
      <c r="A4995" s="62" t="n">
        <v>46722</v>
      </c>
      <c r="B4995" s="3" t="inlineStr">
        <is>
          <t>Week</t>
        </is>
      </c>
      <c r="C4995" s="19" t="n">
        <v>12</v>
      </c>
      <c r="D4995" s="19" t="n">
        <v>2027</v>
      </c>
      <c r="E4995" s="57" t="n">
        <v>5</v>
      </c>
      <c r="F4995" s="29">
        <f>ROUND(((SUMIFS(Calendar!$F$2:$F$9997,Calendar!$B$2:$B$9997,D4995,Calendar!$C$2:$C$9997,C4995)*INDEX(ForeCalc!$B$37:$Y$274,MATCH(_xlfn.CONCAT(H4995," ",I4995),ForeCalc!$A$37:$A$274,0),MATCH(_xlfn.CONCAT(B4995," ",E4995),ForeCalc!$B$36:$Y$36,0))))*VLOOKUP(A4995,Calendar!$A$2:$H$9997,8,FALSE),0)</f>
        <v/>
      </c>
      <c r="G4995" s="29">
        <f>VLOOKUP(A4995,Calendar!$A$1:$H$9997,6,FALSE)-F4995</f>
        <v/>
      </c>
      <c r="H4995" s="19" t="n">
        <v>2</v>
      </c>
      <c r="I4995" s="57" t="n">
        <v>9</v>
      </c>
    </row>
    <row r="4996">
      <c r="A4996" s="62" t="n">
        <v>46723</v>
      </c>
      <c r="B4996" s="3" t="inlineStr">
        <is>
          <t>Week</t>
        </is>
      </c>
      <c r="C4996" s="19" t="n">
        <v>12</v>
      </c>
      <c r="D4996" s="19" t="n">
        <v>2027</v>
      </c>
      <c r="E4996" s="57" t="n">
        <v>5</v>
      </c>
      <c r="F4996" s="29">
        <f>ROUND(((SUMIFS(Calendar!$F$2:$F$9997,Calendar!$B$2:$B$9997,D4996,Calendar!$C$2:$C$9997,C4996)*INDEX(ForeCalc!$B$37:$Y$274,MATCH(_xlfn.CONCAT(H4996," ",I4996),ForeCalc!$A$37:$A$274,0),MATCH(_xlfn.CONCAT(B4996," ",E4996),ForeCalc!$B$36:$Y$36,0))))*VLOOKUP(A4996,Calendar!$A$2:$H$9997,8,FALSE),0)</f>
        <v/>
      </c>
      <c r="G4996" s="29">
        <f>VLOOKUP(A4996,Calendar!$A$1:$H$9997,6,FALSE)-F4996</f>
        <v/>
      </c>
      <c r="H4996" s="19" t="n">
        <v>2</v>
      </c>
      <c r="I4996" s="57" t="n">
        <v>9</v>
      </c>
    </row>
    <row r="4997">
      <c r="A4997" s="62" t="n">
        <v>46724</v>
      </c>
      <c r="B4997" s="3" t="inlineStr">
        <is>
          <t>Week</t>
        </is>
      </c>
      <c r="C4997" s="19" t="n">
        <v>12</v>
      </c>
      <c r="D4997" s="19" t="n">
        <v>2027</v>
      </c>
      <c r="E4997" s="57" t="n">
        <v>5</v>
      </c>
      <c r="F4997" s="29">
        <f>ROUND(((SUMIFS(Calendar!$F$2:$F$9997,Calendar!$B$2:$B$9997,D4997,Calendar!$C$2:$C$9997,C4997)*INDEX(ForeCalc!$B$37:$Y$274,MATCH(_xlfn.CONCAT(H4997," ",I4997),ForeCalc!$A$37:$A$274,0),MATCH(_xlfn.CONCAT(B4997," ",E4997),ForeCalc!$B$36:$Y$36,0))))*VLOOKUP(A4997,Calendar!$A$2:$H$9997,8,FALSE),0)</f>
        <v/>
      </c>
      <c r="G4997" s="29">
        <f>VLOOKUP(A4997,Calendar!$A$1:$H$9997,6,FALSE)-F4997</f>
        <v/>
      </c>
      <c r="H4997" s="19" t="n">
        <v>2</v>
      </c>
      <c r="I4997" s="57" t="n">
        <v>9</v>
      </c>
    </row>
    <row r="4998">
      <c r="A4998" s="62" t="n">
        <v>46725</v>
      </c>
      <c r="B4998" s="3" t="inlineStr">
        <is>
          <t>Sat</t>
        </is>
      </c>
      <c r="C4998" s="19" t="n">
        <v>12</v>
      </c>
      <c r="D4998" s="19" t="n">
        <v>2027</v>
      </c>
      <c r="E4998" s="57" t="n">
        <v>5</v>
      </c>
      <c r="F4998" s="29">
        <f>ROUND(((SUMIFS(Calendar!$F$2:$F$9997,Calendar!$B$2:$B$9997,D4998,Calendar!$C$2:$C$9997,C4998)*INDEX(ForeCalc!$B$37:$Y$274,MATCH(_xlfn.CONCAT(H4998," ",I4998),ForeCalc!$A$37:$A$274,0),MATCH(_xlfn.CONCAT(B4998," ",E4998),ForeCalc!$B$36:$Y$36,0))))*VLOOKUP(A4998,Calendar!$A$2:$H$9997,8,FALSE),0)</f>
        <v/>
      </c>
      <c r="G4998" s="29">
        <f>VLOOKUP(A4998,Calendar!$A$1:$H$9997,6,FALSE)-F4998</f>
        <v/>
      </c>
      <c r="H4998" s="19" t="n">
        <v>2</v>
      </c>
      <c r="I4998" s="57" t="n">
        <v>9</v>
      </c>
    </row>
    <row r="4999">
      <c r="A4999" s="62" t="n">
        <v>46726</v>
      </c>
      <c r="B4999" s="3" t="inlineStr">
        <is>
          <t>Sun</t>
        </is>
      </c>
      <c r="C4999" s="19" t="n">
        <v>12</v>
      </c>
      <c r="D4999" s="19" t="n">
        <v>2027</v>
      </c>
      <c r="E4999" s="57" t="n">
        <v>5</v>
      </c>
      <c r="F4999" s="29">
        <f>ROUND(((SUMIFS(Calendar!$F$2:$F$9997,Calendar!$B$2:$B$9997,D4999,Calendar!$C$2:$C$9997,C4999)*INDEX(ForeCalc!$B$37:$Y$274,MATCH(_xlfn.CONCAT(H4999," ",I4999),ForeCalc!$A$37:$A$274,0),MATCH(_xlfn.CONCAT(B4999," ",E4999),ForeCalc!$B$36:$Y$36,0))))*VLOOKUP(A4999,Calendar!$A$2:$H$9997,8,FALSE),0)</f>
        <v/>
      </c>
      <c r="G4999" s="29">
        <f>VLOOKUP(A4999,Calendar!$A$1:$H$9997,6,FALSE)-F4999</f>
        <v/>
      </c>
      <c r="H4999" s="19" t="n">
        <v>2</v>
      </c>
      <c r="I4999" s="57" t="n">
        <v>9</v>
      </c>
    </row>
    <row r="5000">
      <c r="A5000" s="62" t="n">
        <v>46727</v>
      </c>
      <c r="B5000" s="3" t="inlineStr">
        <is>
          <t>Week</t>
        </is>
      </c>
      <c r="C5000" s="19" t="n">
        <v>12</v>
      </c>
      <c r="D5000" s="19" t="n">
        <v>2027</v>
      </c>
      <c r="E5000" s="57" t="n">
        <v>5</v>
      </c>
      <c r="F5000" s="29">
        <f>ROUND(((SUMIFS(Calendar!$F$2:$F$9997,Calendar!$B$2:$B$9997,D5000,Calendar!$C$2:$C$9997,C5000)*INDEX(ForeCalc!$B$37:$Y$274,MATCH(_xlfn.CONCAT(H5000," ",I5000),ForeCalc!$A$37:$A$274,0),MATCH(_xlfn.CONCAT(B5000," ",E5000),ForeCalc!$B$36:$Y$36,0))))*VLOOKUP(A5000,Calendar!$A$2:$H$9997,8,FALSE),0)</f>
        <v/>
      </c>
      <c r="G5000" s="29">
        <f>VLOOKUP(A5000,Calendar!$A$1:$H$9997,6,FALSE)-F5000</f>
        <v/>
      </c>
      <c r="H5000" s="19" t="n">
        <v>2</v>
      </c>
      <c r="I5000" s="57" t="n">
        <v>9</v>
      </c>
    </row>
    <row r="5001">
      <c r="A5001" s="62" t="n">
        <v>46728</v>
      </c>
      <c r="B5001" s="3" t="inlineStr">
        <is>
          <t>Week</t>
        </is>
      </c>
      <c r="C5001" s="19" t="n">
        <v>12</v>
      </c>
      <c r="D5001" s="19" t="n">
        <v>2027</v>
      </c>
      <c r="E5001" s="57" t="n">
        <v>5</v>
      </c>
      <c r="F5001" s="29">
        <f>ROUND(((SUMIFS(Calendar!$F$2:$F$9997,Calendar!$B$2:$B$9997,D5001,Calendar!$C$2:$C$9997,C5001)*INDEX(ForeCalc!$B$37:$Y$274,MATCH(_xlfn.CONCAT(H5001," ",I5001),ForeCalc!$A$37:$A$274,0),MATCH(_xlfn.CONCAT(B5001," ",E5001),ForeCalc!$B$36:$Y$36,0))))*VLOOKUP(A5001,Calendar!$A$2:$H$9997,8,FALSE),0)</f>
        <v/>
      </c>
      <c r="G5001" s="29">
        <f>VLOOKUP(A5001,Calendar!$A$1:$H$9997,6,FALSE)-F5001</f>
        <v/>
      </c>
      <c r="H5001" s="19" t="n">
        <v>2</v>
      </c>
      <c r="I5001" s="57" t="n">
        <v>9</v>
      </c>
    </row>
    <row r="5002">
      <c r="A5002" s="62" t="n">
        <v>46729</v>
      </c>
      <c r="B5002" s="3" t="inlineStr">
        <is>
          <t>Week</t>
        </is>
      </c>
      <c r="C5002" s="19" t="n">
        <v>12</v>
      </c>
      <c r="D5002" s="19" t="n">
        <v>2027</v>
      </c>
      <c r="E5002" s="57" t="n">
        <v>5</v>
      </c>
      <c r="F5002" s="29">
        <f>ROUND(((SUMIFS(Calendar!$F$2:$F$9997,Calendar!$B$2:$B$9997,D5002,Calendar!$C$2:$C$9997,C5002)*INDEX(ForeCalc!$B$37:$Y$274,MATCH(_xlfn.CONCAT(H5002," ",I5002),ForeCalc!$A$37:$A$274,0),MATCH(_xlfn.CONCAT(B5002," ",E5002),ForeCalc!$B$36:$Y$36,0))))*VLOOKUP(A5002,Calendar!$A$2:$H$9997,8,FALSE),0)</f>
        <v/>
      </c>
      <c r="G5002" s="29">
        <f>VLOOKUP(A5002,Calendar!$A$1:$H$9997,6,FALSE)-F5002</f>
        <v/>
      </c>
      <c r="H5002" s="19" t="n">
        <v>2</v>
      </c>
      <c r="I5002" s="57" t="n">
        <v>9</v>
      </c>
    </row>
    <row r="5003">
      <c r="A5003" s="62" t="n">
        <v>46730</v>
      </c>
      <c r="B5003" s="3" t="inlineStr">
        <is>
          <t>Week</t>
        </is>
      </c>
      <c r="C5003" s="19" t="n">
        <v>12</v>
      </c>
      <c r="D5003" s="19" t="n">
        <v>2027</v>
      </c>
      <c r="E5003" s="57" t="n">
        <v>5</v>
      </c>
      <c r="F5003" s="29">
        <f>ROUND(((SUMIFS(Calendar!$F$2:$F$9997,Calendar!$B$2:$B$9997,D5003,Calendar!$C$2:$C$9997,C5003)*INDEX(ForeCalc!$B$37:$Y$274,MATCH(_xlfn.CONCAT(H5003," ",I5003),ForeCalc!$A$37:$A$274,0),MATCH(_xlfn.CONCAT(B5003," ",E5003),ForeCalc!$B$36:$Y$36,0))))*VLOOKUP(A5003,Calendar!$A$2:$H$9997,8,FALSE),0)</f>
        <v/>
      </c>
      <c r="G5003" s="29">
        <f>VLOOKUP(A5003,Calendar!$A$1:$H$9997,6,FALSE)-F5003</f>
        <v/>
      </c>
      <c r="H5003" s="19" t="n">
        <v>2</v>
      </c>
      <c r="I5003" s="57" t="n">
        <v>9</v>
      </c>
    </row>
    <row r="5004">
      <c r="A5004" s="62" t="n">
        <v>46731</v>
      </c>
      <c r="B5004" s="3" t="inlineStr">
        <is>
          <t>Week</t>
        </is>
      </c>
      <c r="C5004" s="19" t="n">
        <v>12</v>
      </c>
      <c r="D5004" s="19" t="n">
        <v>2027</v>
      </c>
      <c r="E5004" s="57" t="n">
        <v>5</v>
      </c>
      <c r="F5004" s="29">
        <f>ROUND(((SUMIFS(Calendar!$F$2:$F$9997,Calendar!$B$2:$B$9997,D5004,Calendar!$C$2:$C$9997,C5004)*INDEX(ForeCalc!$B$37:$Y$274,MATCH(_xlfn.CONCAT(H5004," ",I5004),ForeCalc!$A$37:$A$274,0),MATCH(_xlfn.CONCAT(B5004," ",E5004),ForeCalc!$B$36:$Y$36,0))))*VLOOKUP(A5004,Calendar!$A$2:$H$9997,8,FALSE),0)</f>
        <v/>
      </c>
      <c r="G5004" s="29">
        <f>VLOOKUP(A5004,Calendar!$A$1:$H$9997,6,FALSE)-F5004</f>
        <v/>
      </c>
      <c r="H5004" s="19" t="n">
        <v>2</v>
      </c>
      <c r="I5004" s="57" t="n">
        <v>9</v>
      </c>
    </row>
    <row r="5005">
      <c r="A5005" s="62" t="n">
        <v>46732</v>
      </c>
      <c r="B5005" s="3" t="inlineStr">
        <is>
          <t>Sat</t>
        </is>
      </c>
      <c r="C5005" s="19" t="n">
        <v>12</v>
      </c>
      <c r="D5005" s="19" t="n">
        <v>2027</v>
      </c>
      <c r="E5005" s="57" t="n">
        <v>5</v>
      </c>
      <c r="F5005" s="29">
        <f>ROUND(((SUMIFS(Calendar!$F$2:$F$9997,Calendar!$B$2:$B$9997,D5005,Calendar!$C$2:$C$9997,C5005)*INDEX(ForeCalc!$B$37:$Y$274,MATCH(_xlfn.CONCAT(H5005," ",I5005),ForeCalc!$A$37:$A$274,0),MATCH(_xlfn.CONCAT(B5005," ",E5005),ForeCalc!$B$36:$Y$36,0))))*VLOOKUP(A5005,Calendar!$A$2:$H$9997,8,FALSE),0)</f>
        <v/>
      </c>
      <c r="G5005" s="29">
        <f>VLOOKUP(A5005,Calendar!$A$1:$H$9997,6,FALSE)-F5005</f>
        <v/>
      </c>
      <c r="H5005" s="19" t="n">
        <v>2</v>
      </c>
      <c r="I5005" s="57" t="n">
        <v>9</v>
      </c>
    </row>
    <row r="5006">
      <c r="A5006" s="62" t="n">
        <v>46733</v>
      </c>
      <c r="B5006" s="3" t="inlineStr">
        <is>
          <t>Sun</t>
        </is>
      </c>
      <c r="C5006" s="19" t="n">
        <v>12</v>
      </c>
      <c r="D5006" s="19" t="n">
        <v>2027</v>
      </c>
      <c r="E5006" s="57" t="n">
        <v>5</v>
      </c>
      <c r="F5006" s="29">
        <f>ROUND(((SUMIFS(Calendar!$F$2:$F$9997,Calendar!$B$2:$B$9997,D5006,Calendar!$C$2:$C$9997,C5006)*INDEX(ForeCalc!$B$37:$Y$274,MATCH(_xlfn.CONCAT(H5006," ",I5006),ForeCalc!$A$37:$A$274,0),MATCH(_xlfn.CONCAT(B5006," ",E5006),ForeCalc!$B$36:$Y$36,0))))*VLOOKUP(A5006,Calendar!$A$2:$H$9997,8,FALSE),0)</f>
        <v/>
      </c>
      <c r="G5006" s="29">
        <f>VLOOKUP(A5006,Calendar!$A$1:$H$9997,6,FALSE)-F5006</f>
        <v/>
      </c>
      <c r="H5006" s="19" t="n">
        <v>2</v>
      </c>
      <c r="I5006" s="57" t="n">
        <v>9</v>
      </c>
    </row>
    <row r="5007">
      <c r="A5007" s="62" t="n">
        <v>46734</v>
      </c>
      <c r="B5007" s="3" t="inlineStr">
        <is>
          <t>Week</t>
        </is>
      </c>
      <c r="C5007" s="19" t="n">
        <v>12</v>
      </c>
      <c r="D5007" s="19" t="n">
        <v>2027</v>
      </c>
      <c r="E5007" s="57" t="n">
        <v>5</v>
      </c>
      <c r="F5007" s="29">
        <f>ROUND(((SUMIFS(Calendar!$F$2:$F$9997,Calendar!$B$2:$B$9997,D5007,Calendar!$C$2:$C$9997,C5007)*INDEX(ForeCalc!$B$37:$Y$274,MATCH(_xlfn.CONCAT(H5007," ",I5007),ForeCalc!$A$37:$A$274,0),MATCH(_xlfn.CONCAT(B5007," ",E5007),ForeCalc!$B$36:$Y$36,0))))*VLOOKUP(A5007,Calendar!$A$2:$H$9997,8,FALSE),0)</f>
        <v/>
      </c>
      <c r="G5007" s="29">
        <f>VLOOKUP(A5007,Calendar!$A$1:$H$9997,6,FALSE)-F5007</f>
        <v/>
      </c>
      <c r="H5007" s="19" t="n">
        <v>2</v>
      </c>
      <c r="I5007" s="57" t="n">
        <v>9</v>
      </c>
    </row>
    <row r="5008">
      <c r="A5008" s="62" t="n">
        <v>46735</v>
      </c>
      <c r="B5008" s="3" t="inlineStr">
        <is>
          <t>Week</t>
        </is>
      </c>
      <c r="C5008" s="19" t="n">
        <v>12</v>
      </c>
      <c r="D5008" s="19" t="n">
        <v>2027</v>
      </c>
      <c r="E5008" s="57" t="n">
        <v>5</v>
      </c>
      <c r="F5008" s="29">
        <f>ROUND(((SUMIFS(Calendar!$F$2:$F$9997,Calendar!$B$2:$B$9997,D5008,Calendar!$C$2:$C$9997,C5008)*INDEX(ForeCalc!$B$37:$Y$274,MATCH(_xlfn.CONCAT(H5008," ",I5008),ForeCalc!$A$37:$A$274,0),MATCH(_xlfn.CONCAT(B5008," ",E5008),ForeCalc!$B$36:$Y$36,0))))*VLOOKUP(A5008,Calendar!$A$2:$H$9997,8,FALSE),0)</f>
        <v/>
      </c>
      <c r="G5008" s="29">
        <f>VLOOKUP(A5008,Calendar!$A$1:$H$9997,6,FALSE)-F5008</f>
        <v/>
      </c>
      <c r="H5008" s="19" t="n">
        <v>2</v>
      </c>
      <c r="I5008" s="57" t="n">
        <v>9</v>
      </c>
    </row>
    <row r="5009">
      <c r="A5009" s="62" t="n">
        <v>46736</v>
      </c>
      <c r="B5009" s="3" t="inlineStr">
        <is>
          <t>Week</t>
        </is>
      </c>
      <c r="C5009" s="19" t="n">
        <v>12</v>
      </c>
      <c r="D5009" s="19" t="n">
        <v>2027</v>
      </c>
      <c r="E5009" s="57" t="n">
        <v>5</v>
      </c>
      <c r="F5009" s="29">
        <f>ROUND(((SUMIFS(Calendar!$F$2:$F$9997,Calendar!$B$2:$B$9997,D5009,Calendar!$C$2:$C$9997,C5009)*INDEX(ForeCalc!$B$37:$Y$274,MATCH(_xlfn.CONCAT(H5009," ",I5009),ForeCalc!$A$37:$A$274,0),MATCH(_xlfn.CONCAT(B5009," ",E5009),ForeCalc!$B$36:$Y$36,0))))*VLOOKUP(A5009,Calendar!$A$2:$H$9997,8,FALSE),0)</f>
        <v/>
      </c>
      <c r="G5009" s="29">
        <f>VLOOKUP(A5009,Calendar!$A$1:$H$9997,6,FALSE)-F5009</f>
        <v/>
      </c>
      <c r="H5009" s="19" t="n">
        <v>2</v>
      </c>
      <c r="I5009" s="57" t="n">
        <v>9</v>
      </c>
    </row>
    <row r="5010">
      <c r="A5010" s="62" t="n">
        <v>46737</v>
      </c>
      <c r="B5010" s="3" t="inlineStr">
        <is>
          <t>Week</t>
        </is>
      </c>
      <c r="C5010" s="19" t="n">
        <v>12</v>
      </c>
      <c r="D5010" s="19" t="n">
        <v>2027</v>
      </c>
      <c r="E5010" s="57" t="n">
        <v>5</v>
      </c>
      <c r="F5010" s="29">
        <f>ROUND(((SUMIFS(Calendar!$F$2:$F$9997,Calendar!$B$2:$B$9997,D5010,Calendar!$C$2:$C$9997,C5010)*INDEX(ForeCalc!$B$37:$Y$274,MATCH(_xlfn.CONCAT(H5010," ",I5010),ForeCalc!$A$37:$A$274,0),MATCH(_xlfn.CONCAT(B5010," ",E5010),ForeCalc!$B$36:$Y$36,0))))*VLOOKUP(A5010,Calendar!$A$2:$H$9997,8,FALSE),0)</f>
        <v/>
      </c>
      <c r="G5010" s="29">
        <f>VLOOKUP(A5010,Calendar!$A$1:$H$9997,6,FALSE)-F5010</f>
        <v/>
      </c>
      <c r="H5010" s="19" t="n">
        <v>2</v>
      </c>
      <c r="I5010" s="57" t="n">
        <v>9</v>
      </c>
    </row>
    <row r="5011">
      <c r="A5011" s="62" t="n">
        <v>46738</v>
      </c>
      <c r="B5011" s="3" t="inlineStr">
        <is>
          <t>Week</t>
        </is>
      </c>
      <c r="C5011" s="19" t="n">
        <v>12</v>
      </c>
      <c r="D5011" s="19" t="n">
        <v>2027</v>
      </c>
      <c r="E5011" s="57" t="n">
        <v>5</v>
      </c>
      <c r="F5011" s="29">
        <f>ROUND(((SUMIFS(Calendar!$F$2:$F$9997,Calendar!$B$2:$B$9997,D5011,Calendar!$C$2:$C$9997,C5011)*INDEX(ForeCalc!$B$37:$Y$274,MATCH(_xlfn.CONCAT(H5011," ",I5011),ForeCalc!$A$37:$A$274,0),MATCH(_xlfn.CONCAT(B5011," ",E5011),ForeCalc!$B$36:$Y$36,0))))*VLOOKUP(A5011,Calendar!$A$2:$H$9997,8,FALSE),0)</f>
        <v/>
      </c>
      <c r="G5011" s="29">
        <f>VLOOKUP(A5011,Calendar!$A$1:$H$9997,6,FALSE)-F5011</f>
        <v/>
      </c>
      <c r="H5011" s="19" t="n">
        <v>2</v>
      </c>
      <c r="I5011" s="57" t="n">
        <v>9</v>
      </c>
    </row>
    <row r="5012">
      <c r="A5012" s="62" t="n">
        <v>46739</v>
      </c>
      <c r="B5012" s="3" t="inlineStr">
        <is>
          <t>Sat</t>
        </is>
      </c>
      <c r="C5012" s="19" t="n">
        <v>12</v>
      </c>
      <c r="D5012" s="19" t="n">
        <v>2027</v>
      </c>
      <c r="E5012" s="57" t="n">
        <v>5</v>
      </c>
      <c r="F5012" s="29">
        <f>ROUND(((SUMIFS(Calendar!$F$2:$F$9997,Calendar!$B$2:$B$9997,D5012,Calendar!$C$2:$C$9997,C5012)*INDEX(ForeCalc!$B$37:$Y$274,MATCH(_xlfn.CONCAT(H5012," ",I5012),ForeCalc!$A$37:$A$274,0),MATCH(_xlfn.CONCAT(B5012," ",E5012),ForeCalc!$B$36:$Y$36,0))))*VLOOKUP(A5012,Calendar!$A$2:$H$9997,8,FALSE),0)</f>
        <v/>
      </c>
      <c r="G5012" s="29">
        <f>VLOOKUP(A5012,Calendar!$A$1:$H$9997,6,FALSE)-F5012</f>
        <v/>
      </c>
      <c r="H5012" s="19" t="n">
        <v>2</v>
      </c>
      <c r="I5012" s="57" t="n">
        <v>9</v>
      </c>
    </row>
    <row r="5013">
      <c r="A5013" s="62" t="n">
        <v>46740</v>
      </c>
      <c r="B5013" s="3" t="inlineStr">
        <is>
          <t>Sun</t>
        </is>
      </c>
      <c r="C5013" s="19" t="n">
        <v>12</v>
      </c>
      <c r="D5013" s="19" t="n">
        <v>2027</v>
      </c>
      <c r="E5013" s="57" t="n">
        <v>5</v>
      </c>
      <c r="F5013" s="29">
        <f>ROUND(((SUMIFS(Calendar!$F$2:$F$9997,Calendar!$B$2:$B$9997,D5013,Calendar!$C$2:$C$9997,C5013)*INDEX(ForeCalc!$B$37:$Y$274,MATCH(_xlfn.CONCAT(H5013," ",I5013),ForeCalc!$A$37:$A$274,0),MATCH(_xlfn.CONCAT(B5013," ",E5013),ForeCalc!$B$36:$Y$36,0))))*VLOOKUP(A5013,Calendar!$A$2:$H$9997,8,FALSE),0)</f>
        <v/>
      </c>
      <c r="G5013" s="29">
        <f>VLOOKUP(A5013,Calendar!$A$1:$H$9997,6,FALSE)-F5013</f>
        <v/>
      </c>
      <c r="H5013" s="19" t="n">
        <v>2</v>
      </c>
      <c r="I5013" s="57" t="n">
        <v>9</v>
      </c>
    </row>
    <row r="5014">
      <c r="A5014" s="62" t="n">
        <v>46741</v>
      </c>
      <c r="B5014" s="3" t="inlineStr">
        <is>
          <t>Week</t>
        </is>
      </c>
      <c r="C5014" s="19" t="n">
        <v>12</v>
      </c>
      <c r="D5014" s="19" t="n">
        <v>2027</v>
      </c>
      <c r="E5014" s="57" t="n">
        <v>5</v>
      </c>
      <c r="F5014" s="29">
        <f>ROUND(((SUMIFS(Calendar!$F$2:$F$9997,Calendar!$B$2:$B$9997,D5014,Calendar!$C$2:$C$9997,C5014)*INDEX(ForeCalc!$B$37:$Y$274,MATCH(_xlfn.CONCAT(H5014," ",I5014),ForeCalc!$A$37:$A$274,0),MATCH(_xlfn.CONCAT(B5014," ",E5014),ForeCalc!$B$36:$Y$36,0))))*VLOOKUP(A5014,Calendar!$A$2:$H$9997,8,FALSE),0)</f>
        <v/>
      </c>
      <c r="G5014" s="29">
        <f>VLOOKUP(A5014,Calendar!$A$1:$H$9997,6,FALSE)-F5014</f>
        <v/>
      </c>
      <c r="H5014" s="19" t="n">
        <v>2</v>
      </c>
      <c r="I5014" s="57" t="n">
        <v>9</v>
      </c>
    </row>
    <row r="5015">
      <c r="A5015" s="62" t="n">
        <v>46742</v>
      </c>
      <c r="B5015" s="3" t="inlineStr">
        <is>
          <t>Week</t>
        </is>
      </c>
      <c r="C5015" s="19" t="n">
        <v>12</v>
      </c>
      <c r="D5015" s="19" t="n">
        <v>2027</v>
      </c>
      <c r="E5015" s="57" t="n">
        <v>5</v>
      </c>
      <c r="F5015" s="29">
        <f>ROUND(((SUMIFS(Calendar!$F$2:$F$9997,Calendar!$B$2:$B$9997,D5015,Calendar!$C$2:$C$9997,C5015)*INDEX(ForeCalc!$B$37:$Y$274,MATCH(_xlfn.CONCAT(H5015," ",I5015),ForeCalc!$A$37:$A$274,0),MATCH(_xlfn.CONCAT(B5015," ",E5015),ForeCalc!$B$36:$Y$36,0))))*VLOOKUP(A5015,Calendar!$A$2:$H$9997,8,FALSE),0)</f>
        <v/>
      </c>
      <c r="G5015" s="29">
        <f>VLOOKUP(A5015,Calendar!$A$1:$H$9997,6,FALSE)-F5015</f>
        <v/>
      </c>
      <c r="H5015" s="19" t="n">
        <v>2</v>
      </c>
      <c r="I5015" s="57" t="n">
        <v>9</v>
      </c>
    </row>
    <row r="5016">
      <c r="A5016" s="62" t="n">
        <v>46743</v>
      </c>
      <c r="B5016" s="3" t="inlineStr">
        <is>
          <t>Week</t>
        </is>
      </c>
      <c r="C5016" s="19" t="n">
        <v>12</v>
      </c>
      <c r="D5016" s="19" t="n">
        <v>2027</v>
      </c>
      <c r="E5016" s="57" t="n">
        <v>5</v>
      </c>
      <c r="F5016" s="29">
        <f>ROUND(((SUMIFS(Calendar!$F$2:$F$9997,Calendar!$B$2:$B$9997,D5016,Calendar!$C$2:$C$9997,C5016)*INDEX(ForeCalc!$B$37:$Y$274,MATCH(_xlfn.CONCAT(H5016," ",I5016),ForeCalc!$A$37:$A$274,0),MATCH(_xlfn.CONCAT(B5016," ",E5016),ForeCalc!$B$36:$Y$36,0))))*VLOOKUP(A5016,Calendar!$A$2:$H$9997,8,FALSE),0)</f>
        <v/>
      </c>
      <c r="G5016" s="29">
        <f>VLOOKUP(A5016,Calendar!$A$1:$H$9997,6,FALSE)-F5016</f>
        <v/>
      </c>
      <c r="H5016" s="19" t="n">
        <v>2</v>
      </c>
      <c r="I5016" s="57" t="n">
        <v>9</v>
      </c>
    </row>
    <row r="5017">
      <c r="A5017" s="62" t="n">
        <v>46744</v>
      </c>
      <c r="B5017" s="3" t="inlineStr">
        <is>
          <t>Week</t>
        </is>
      </c>
      <c r="C5017" s="19" t="n">
        <v>12</v>
      </c>
      <c r="D5017" s="19" t="n">
        <v>2027</v>
      </c>
      <c r="E5017" s="57" t="n">
        <v>5</v>
      </c>
      <c r="F5017" s="29">
        <f>ROUND(((SUMIFS(Calendar!$F$2:$F$9997,Calendar!$B$2:$B$9997,D5017,Calendar!$C$2:$C$9997,C5017)*INDEX(ForeCalc!$B$37:$Y$274,MATCH(_xlfn.CONCAT(H5017," ",I5017),ForeCalc!$A$37:$A$274,0),MATCH(_xlfn.CONCAT(B5017," ",E5017),ForeCalc!$B$36:$Y$36,0))))*VLOOKUP(A5017,Calendar!$A$2:$H$9997,8,FALSE),0)</f>
        <v/>
      </c>
      <c r="G5017" s="29">
        <f>VLOOKUP(A5017,Calendar!$A$1:$H$9997,6,FALSE)-F5017</f>
        <v/>
      </c>
      <c r="H5017" s="19" t="n">
        <v>2</v>
      </c>
      <c r="I5017" s="57" t="n">
        <v>9</v>
      </c>
    </row>
    <row r="5018">
      <c r="A5018" s="62" t="n">
        <v>46745</v>
      </c>
      <c r="B5018" s="3" t="inlineStr">
        <is>
          <t>Week</t>
        </is>
      </c>
      <c r="C5018" s="19" t="n">
        <v>12</v>
      </c>
      <c r="D5018" s="19" t="n">
        <v>2027</v>
      </c>
      <c r="E5018" s="57" t="n">
        <v>5</v>
      </c>
      <c r="F5018" s="29">
        <f>ROUND(((SUMIFS(Calendar!$F$2:$F$9997,Calendar!$B$2:$B$9997,D5018,Calendar!$C$2:$C$9997,C5018)*INDEX(ForeCalc!$B$37:$Y$274,MATCH(_xlfn.CONCAT(H5018," ",I5018),ForeCalc!$A$37:$A$274,0),MATCH(_xlfn.CONCAT(B5018," ",E5018),ForeCalc!$B$36:$Y$36,0))))*VLOOKUP(A5018,Calendar!$A$2:$H$9997,8,FALSE),0)</f>
        <v/>
      </c>
      <c r="G5018" s="29">
        <f>VLOOKUP(A5018,Calendar!$A$1:$H$9997,6,FALSE)-F5018</f>
        <v/>
      </c>
      <c r="H5018" s="19" t="n">
        <v>2</v>
      </c>
      <c r="I5018" s="57" t="n">
        <v>9</v>
      </c>
    </row>
    <row r="5019">
      <c r="A5019" s="62" t="n">
        <v>46746</v>
      </c>
      <c r="B5019" s="3" t="inlineStr">
        <is>
          <t>Sat</t>
        </is>
      </c>
      <c r="C5019" s="19" t="n">
        <v>12</v>
      </c>
      <c r="D5019" s="19" t="n">
        <v>2027</v>
      </c>
      <c r="E5019" s="57" t="n">
        <v>5</v>
      </c>
      <c r="F5019" s="29">
        <f>ROUND(((SUMIFS(Calendar!$F$2:$F$9997,Calendar!$B$2:$B$9997,D5019,Calendar!$C$2:$C$9997,C5019)*INDEX(ForeCalc!$B$37:$Y$274,MATCH(_xlfn.CONCAT(H5019," ",I5019),ForeCalc!$A$37:$A$274,0),MATCH(_xlfn.CONCAT(B5019," ",E5019),ForeCalc!$B$36:$Y$36,0))))*VLOOKUP(A5019,Calendar!$A$2:$H$9997,8,FALSE),0)</f>
        <v/>
      </c>
      <c r="G5019" s="29">
        <f>VLOOKUP(A5019,Calendar!$A$1:$H$9997,6,FALSE)-F5019</f>
        <v/>
      </c>
      <c r="H5019" s="19" t="n">
        <v>2</v>
      </c>
      <c r="I5019" s="57" t="n">
        <v>9</v>
      </c>
    </row>
    <row r="5020">
      <c r="A5020" s="62" t="n">
        <v>46747</v>
      </c>
      <c r="B5020" s="3" t="inlineStr">
        <is>
          <t>Sun</t>
        </is>
      </c>
      <c r="C5020" s="19" t="n">
        <v>12</v>
      </c>
      <c r="D5020" s="19" t="n">
        <v>2027</v>
      </c>
      <c r="E5020" s="57" t="n">
        <v>5</v>
      </c>
      <c r="F5020" s="29">
        <f>ROUND(((SUMIFS(Calendar!$F$2:$F$9997,Calendar!$B$2:$B$9997,D5020,Calendar!$C$2:$C$9997,C5020)*INDEX(ForeCalc!$B$37:$Y$274,MATCH(_xlfn.CONCAT(H5020," ",I5020),ForeCalc!$A$37:$A$274,0),MATCH(_xlfn.CONCAT(B5020," ",E5020),ForeCalc!$B$36:$Y$36,0))))*VLOOKUP(A5020,Calendar!$A$2:$H$9997,8,FALSE),0)</f>
        <v/>
      </c>
      <c r="G5020" s="29">
        <f>VLOOKUP(A5020,Calendar!$A$1:$H$9997,6,FALSE)-F5020</f>
        <v/>
      </c>
      <c r="H5020" s="19" t="n">
        <v>2</v>
      </c>
      <c r="I5020" s="57" t="n">
        <v>9</v>
      </c>
    </row>
    <row r="5021">
      <c r="A5021" s="62" t="n">
        <v>46748</v>
      </c>
      <c r="B5021" s="3" t="inlineStr">
        <is>
          <t>Week</t>
        </is>
      </c>
      <c r="C5021" s="19" t="n">
        <v>12</v>
      </c>
      <c r="D5021" s="19" t="n">
        <v>2027</v>
      </c>
      <c r="E5021" s="57" t="n">
        <v>5</v>
      </c>
      <c r="F5021" s="29">
        <f>ROUND(((SUMIFS(Calendar!$F$2:$F$9997,Calendar!$B$2:$B$9997,D5021,Calendar!$C$2:$C$9997,C5021)*INDEX(ForeCalc!$B$37:$Y$274,MATCH(_xlfn.CONCAT(H5021," ",I5021),ForeCalc!$A$37:$A$274,0),MATCH(_xlfn.CONCAT(B5021," ",E5021),ForeCalc!$B$36:$Y$36,0))))*VLOOKUP(A5021,Calendar!$A$2:$H$9997,8,FALSE),0)</f>
        <v/>
      </c>
      <c r="G5021" s="29">
        <f>VLOOKUP(A5021,Calendar!$A$1:$H$9997,6,FALSE)-F5021</f>
        <v/>
      </c>
      <c r="H5021" s="19" t="n">
        <v>2</v>
      </c>
      <c r="I5021" s="57" t="n">
        <v>9</v>
      </c>
    </row>
    <row r="5022">
      <c r="A5022" s="62" t="n">
        <v>46749</v>
      </c>
      <c r="B5022" s="3" t="inlineStr">
        <is>
          <t>Week</t>
        </is>
      </c>
      <c r="C5022" s="19" t="n">
        <v>12</v>
      </c>
      <c r="D5022" s="19" t="n">
        <v>2027</v>
      </c>
      <c r="E5022" s="57" t="n">
        <v>5</v>
      </c>
      <c r="F5022" s="29">
        <f>ROUND(((SUMIFS(Calendar!$F$2:$F$9997,Calendar!$B$2:$B$9997,D5022,Calendar!$C$2:$C$9997,C5022)*INDEX(ForeCalc!$B$37:$Y$274,MATCH(_xlfn.CONCAT(H5022," ",I5022),ForeCalc!$A$37:$A$274,0),MATCH(_xlfn.CONCAT(B5022," ",E5022),ForeCalc!$B$36:$Y$36,0))))*VLOOKUP(A5022,Calendar!$A$2:$H$9997,8,FALSE),0)</f>
        <v/>
      </c>
      <c r="G5022" s="29">
        <f>VLOOKUP(A5022,Calendar!$A$1:$H$9997,6,FALSE)-F5022</f>
        <v/>
      </c>
      <c r="H5022" s="19" t="n">
        <v>2</v>
      </c>
      <c r="I5022" s="57" t="n">
        <v>9</v>
      </c>
    </row>
    <row r="5023">
      <c r="A5023" s="62" t="n">
        <v>46750</v>
      </c>
      <c r="B5023" s="3" t="inlineStr">
        <is>
          <t>Week</t>
        </is>
      </c>
      <c r="C5023" s="19" t="n">
        <v>12</v>
      </c>
      <c r="D5023" s="19" t="n">
        <v>2027</v>
      </c>
      <c r="E5023" s="57" t="n">
        <v>5</v>
      </c>
      <c r="F5023" s="29">
        <f>ROUND(((SUMIFS(Calendar!$F$2:$F$9997,Calendar!$B$2:$B$9997,D5023,Calendar!$C$2:$C$9997,C5023)*INDEX(ForeCalc!$B$37:$Y$274,MATCH(_xlfn.CONCAT(H5023," ",I5023),ForeCalc!$A$37:$A$274,0),MATCH(_xlfn.CONCAT(B5023," ",E5023),ForeCalc!$B$36:$Y$36,0))))*VLOOKUP(A5023,Calendar!$A$2:$H$9997,8,FALSE),0)</f>
        <v/>
      </c>
      <c r="G5023" s="29">
        <f>VLOOKUP(A5023,Calendar!$A$1:$H$9997,6,FALSE)-F5023</f>
        <v/>
      </c>
      <c r="H5023" s="19" t="n">
        <v>2</v>
      </c>
      <c r="I5023" s="57" t="n">
        <v>9</v>
      </c>
    </row>
    <row r="5024">
      <c r="A5024" s="62" t="n">
        <v>46751</v>
      </c>
      <c r="B5024" s="3" t="inlineStr">
        <is>
          <t>Week</t>
        </is>
      </c>
      <c r="C5024" s="19" t="n">
        <v>12</v>
      </c>
      <c r="D5024" s="19" t="n">
        <v>2027</v>
      </c>
      <c r="E5024" s="57" t="n">
        <v>5</v>
      </c>
      <c r="F5024" s="29">
        <f>ROUND(((SUMIFS(Calendar!$F$2:$F$9997,Calendar!$B$2:$B$9997,D5024,Calendar!$C$2:$C$9997,C5024)*INDEX(ForeCalc!$B$37:$Y$274,MATCH(_xlfn.CONCAT(H5024," ",I5024),ForeCalc!$A$37:$A$274,0),MATCH(_xlfn.CONCAT(B5024," ",E5024),ForeCalc!$B$36:$Y$36,0))))*VLOOKUP(A5024,Calendar!$A$2:$H$9997,8,FALSE),0)</f>
        <v/>
      </c>
      <c r="G5024" s="29">
        <f>VLOOKUP(A5024,Calendar!$A$1:$H$9997,6,FALSE)-F5024</f>
        <v/>
      </c>
      <c r="H5024" s="19" t="n">
        <v>2</v>
      </c>
      <c r="I5024" s="57" t="n">
        <v>9</v>
      </c>
    </row>
    <row r="5025">
      <c r="A5025" s="62" t="n">
        <v>46752</v>
      </c>
      <c r="B5025" s="3" t="inlineStr">
        <is>
          <t>Week</t>
        </is>
      </c>
      <c r="C5025" s="19" t="n">
        <v>12</v>
      </c>
      <c r="D5025" s="19" t="n">
        <v>2027</v>
      </c>
      <c r="E5025" s="57" t="n">
        <v>5</v>
      </c>
      <c r="F5025" s="29">
        <f>ROUND(((SUMIFS(Calendar!$F$2:$F$9997,Calendar!$B$2:$B$9997,D5025,Calendar!$C$2:$C$9997,C5025)*INDEX(ForeCalc!$B$37:$Y$274,MATCH(_xlfn.CONCAT(H5025," ",I5025),ForeCalc!$A$37:$A$274,0),MATCH(_xlfn.CONCAT(B5025," ",E5025),ForeCalc!$B$36:$Y$36,0))))*VLOOKUP(A5025,Calendar!$A$2:$H$9997,8,FALSE),0)</f>
        <v/>
      </c>
      <c r="G5025" s="29">
        <f>VLOOKUP(A5025,Calendar!$A$1:$H$9997,6,FALSE)-F5025</f>
        <v/>
      </c>
      <c r="H5025" s="19" t="n">
        <v>2</v>
      </c>
      <c r="I5025" s="57" t="n">
        <v>9</v>
      </c>
    </row>
    <row r="5026">
      <c r="A5026" s="62" t="n">
        <v>46753</v>
      </c>
      <c r="B5026" s="3" t="inlineStr">
        <is>
          <t>Sat</t>
        </is>
      </c>
      <c r="C5026" s="19" t="n">
        <v>1</v>
      </c>
      <c r="D5026" s="19" t="n">
        <v>2028</v>
      </c>
      <c r="E5026" s="57" t="n">
        <v>5</v>
      </c>
      <c r="F5026" s="29">
        <f>ROUND(((SUMIFS(Calendar!$F$2:$F$9997,Calendar!$B$2:$B$9997,D5026,Calendar!$C$2:$C$9997,C5026)*INDEX(ForeCalc!$B$37:$Y$274,MATCH(_xlfn.CONCAT(H5026," ",I5026),ForeCalc!$A$37:$A$274,0),MATCH(_xlfn.CONCAT(B5026," ",E5026),ForeCalc!$B$36:$Y$36,0))))*VLOOKUP(A5026,Calendar!$A$2:$H$9997,8,FALSE),0)</f>
        <v/>
      </c>
      <c r="G5026" s="29">
        <f>VLOOKUP(A5026,Calendar!$A$1:$H$9997,6,FALSE)-F5026</f>
        <v/>
      </c>
      <c r="H5026" s="19" t="n">
        <v>2</v>
      </c>
      <c r="I5026" s="57" t="n">
        <v>10</v>
      </c>
    </row>
    <row r="5027">
      <c r="A5027" s="62" t="n">
        <v>46754</v>
      </c>
      <c r="B5027" s="3" t="inlineStr">
        <is>
          <t>Sun</t>
        </is>
      </c>
      <c r="C5027" s="19" t="n">
        <v>1</v>
      </c>
      <c r="D5027" s="19" t="n">
        <v>2028</v>
      </c>
      <c r="E5027" s="57" t="n">
        <v>5</v>
      </c>
      <c r="F5027" s="29">
        <f>ROUND(((SUMIFS(Calendar!$F$2:$F$9997,Calendar!$B$2:$B$9997,D5027,Calendar!$C$2:$C$9997,C5027)*INDEX(ForeCalc!$B$37:$Y$274,MATCH(_xlfn.CONCAT(H5027," ",I5027),ForeCalc!$A$37:$A$274,0),MATCH(_xlfn.CONCAT(B5027," ",E5027),ForeCalc!$B$36:$Y$36,0))))*VLOOKUP(A5027,Calendar!$A$2:$H$9997,8,FALSE),0)</f>
        <v/>
      </c>
      <c r="G5027" s="29">
        <f>VLOOKUP(A5027,Calendar!$A$1:$H$9997,6,FALSE)-F5027</f>
        <v/>
      </c>
      <c r="H5027" s="19" t="n">
        <v>2</v>
      </c>
      <c r="I5027" s="57" t="n">
        <v>10</v>
      </c>
    </row>
    <row r="5028">
      <c r="A5028" s="62" t="n">
        <v>46755</v>
      </c>
      <c r="B5028" s="3" t="inlineStr">
        <is>
          <t>Week</t>
        </is>
      </c>
      <c r="C5028" s="19" t="n">
        <v>1</v>
      </c>
      <c r="D5028" s="19" t="n">
        <v>2028</v>
      </c>
      <c r="E5028" s="57" t="n">
        <v>5</v>
      </c>
      <c r="F5028" s="29">
        <f>ROUND(((SUMIFS(Calendar!$F$2:$F$9997,Calendar!$B$2:$B$9997,D5028,Calendar!$C$2:$C$9997,C5028)*INDEX(ForeCalc!$B$37:$Y$274,MATCH(_xlfn.CONCAT(H5028," ",I5028),ForeCalc!$A$37:$A$274,0),MATCH(_xlfn.CONCAT(B5028," ",E5028),ForeCalc!$B$36:$Y$36,0))))*VLOOKUP(A5028,Calendar!$A$2:$H$9997,8,FALSE),0)</f>
        <v/>
      </c>
      <c r="G5028" s="29">
        <f>VLOOKUP(A5028,Calendar!$A$1:$H$9997,6,FALSE)-F5028</f>
        <v/>
      </c>
      <c r="H5028" s="19" t="n">
        <v>2</v>
      </c>
      <c r="I5028" s="57" t="n">
        <v>10</v>
      </c>
    </row>
    <row r="5029">
      <c r="A5029" s="62" t="n">
        <v>46756</v>
      </c>
      <c r="B5029" s="3" t="inlineStr">
        <is>
          <t>Week</t>
        </is>
      </c>
      <c r="C5029" s="19" t="n">
        <v>1</v>
      </c>
      <c r="D5029" s="19" t="n">
        <v>2028</v>
      </c>
      <c r="E5029" s="57" t="n">
        <v>5</v>
      </c>
      <c r="F5029" s="29">
        <f>ROUND(((SUMIFS(Calendar!$F$2:$F$9997,Calendar!$B$2:$B$9997,D5029,Calendar!$C$2:$C$9997,C5029)*INDEX(ForeCalc!$B$37:$Y$274,MATCH(_xlfn.CONCAT(H5029," ",I5029),ForeCalc!$A$37:$A$274,0),MATCH(_xlfn.CONCAT(B5029," ",E5029),ForeCalc!$B$36:$Y$36,0))))*VLOOKUP(A5029,Calendar!$A$2:$H$9997,8,FALSE),0)</f>
        <v/>
      </c>
      <c r="G5029" s="29">
        <f>VLOOKUP(A5029,Calendar!$A$1:$H$9997,6,FALSE)-F5029</f>
        <v/>
      </c>
      <c r="H5029" s="19" t="n">
        <v>2</v>
      </c>
      <c r="I5029" s="57" t="n">
        <v>10</v>
      </c>
    </row>
    <row r="5030">
      <c r="A5030" s="62" t="n">
        <v>46757</v>
      </c>
      <c r="B5030" s="3" t="inlineStr">
        <is>
          <t>Week</t>
        </is>
      </c>
      <c r="C5030" s="19" t="n">
        <v>1</v>
      </c>
      <c r="D5030" s="19" t="n">
        <v>2028</v>
      </c>
      <c r="E5030" s="57" t="n">
        <v>5</v>
      </c>
      <c r="F5030" s="29">
        <f>ROUND(((SUMIFS(Calendar!$F$2:$F$9997,Calendar!$B$2:$B$9997,D5030,Calendar!$C$2:$C$9997,C5030)*INDEX(ForeCalc!$B$37:$Y$274,MATCH(_xlfn.CONCAT(H5030," ",I5030),ForeCalc!$A$37:$A$274,0),MATCH(_xlfn.CONCAT(B5030," ",E5030),ForeCalc!$B$36:$Y$36,0))))*VLOOKUP(A5030,Calendar!$A$2:$H$9997,8,FALSE),0)</f>
        <v/>
      </c>
      <c r="G5030" s="29">
        <f>VLOOKUP(A5030,Calendar!$A$1:$H$9997,6,FALSE)-F5030</f>
        <v/>
      </c>
      <c r="H5030" s="19" t="n">
        <v>2</v>
      </c>
      <c r="I5030" s="57" t="n">
        <v>10</v>
      </c>
    </row>
    <row r="5031">
      <c r="A5031" s="62" t="n">
        <v>46758</v>
      </c>
      <c r="B5031" s="3" t="inlineStr">
        <is>
          <t>Week</t>
        </is>
      </c>
      <c r="C5031" s="19" t="n">
        <v>1</v>
      </c>
      <c r="D5031" s="19" t="n">
        <v>2028</v>
      </c>
      <c r="E5031" s="57" t="n">
        <v>5</v>
      </c>
      <c r="F5031" s="29">
        <f>ROUND(((SUMIFS(Calendar!$F$2:$F$9997,Calendar!$B$2:$B$9997,D5031,Calendar!$C$2:$C$9997,C5031)*INDEX(ForeCalc!$B$37:$Y$274,MATCH(_xlfn.CONCAT(H5031," ",I5031),ForeCalc!$A$37:$A$274,0),MATCH(_xlfn.CONCAT(B5031," ",E5031),ForeCalc!$B$36:$Y$36,0))))*VLOOKUP(A5031,Calendar!$A$2:$H$9997,8,FALSE),0)</f>
        <v/>
      </c>
      <c r="G5031" s="29">
        <f>VLOOKUP(A5031,Calendar!$A$1:$H$9997,6,FALSE)-F5031</f>
        <v/>
      </c>
      <c r="H5031" s="19" t="n">
        <v>2</v>
      </c>
      <c r="I5031" s="57" t="n">
        <v>10</v>
      </c>
    </row>
    <row r="5032">
      <c r="A5032" s="62" t="n">
        <v>46759</v>
      </c>
      <c r="B5032" s="3" t="inlineStr">
        <is>
          <t>Week</t>
        </is>
      </c>
      <c r="C5032" s="19" t="n">
        <v>1</v>
      </c>
      <c r="D5032" s="19" t="n">
        <v>2028</v>
      </c>
      <c r="E5032" s="57" t="n">
        <v>5</v>
      </c>
      <c r="F5032" s="29">
        <f>ROUND(((SUMIFS(Calendar!$F$2:$F$9997,Calendar!$B$2:$B$9997,D5032,Calendar!$C$2:$C$9997,C5032)*INDEX(ForeCalc!$B$37:$Y$274,MATCH(_xlfn.CONCAT(H5032," ",I5032),ForeCalc!$A$37:$A$274,0),MATCH(_xlfn.CONCAT(B5032," ",E5032),ForeCalc!$B$36:$Y$36,0))))*VLOOKUP(A5032,Calendar!$A$2:$H$9997,8,FALSE),0)</f>
        <v/>
      </c>
      <c r="G5032" s="29">
        <f>VLOOKUP(A5032,Calendar!$A$1:$H$9997,6,FALSE)-F5032</f>
        <v/>
      </c>
      <c r="H5032" s="19" t="n">
        <v>2</v>
      </c>
      <c r="I5032" s="57" t="n">
        <v>10</v>
      </c>
    </row>
    <row r="5033">
      <c r="A5033" s="62" t="n">
        <v>46760</v>
      </c>
      <c r="B5033" s="3" t="inlineStr">
        <is>
          <t>Sat</t>
        </is>
      </c>
      <c r="C5033" s="19" t="n">
        <v>1</v>
      </c>
      <c r="D5033" s="19" t="n">
        <v>2028</v>
      </c>
      <c r="E5033" s="57" t="n">
        <v>5</v>
      </c>
      <c r="F5033" s="29">
        <f>ROUND(((SUMIFS(Calendar!$F$2:$F$9997,Calendar!$B$2:$B$9997,D5033,Calendar!$C$2:$C$9997,C5033)*INDEX(ForeCalc!$B$37:$Y$274,MATCH(_xlfn.CONCAT(H5033," ",I5033),ForeCalc!$A$37:$A$274,0),MATCH(_xlfn.CONCAT(B5033," ",E5033),ForeCalc!$B$36:$Y$36,0))))*VLOOKUP(A5033,Calendar!$A$2:$H$9997,8,FALSE),0)</f>
        <v/>
      </c>
      <c r="G5033" s="29">
        <f>VLOOKUP(A5033,Calendar!$A$1:$H$9997,6,FALSE)-F5033</f>
        <v/>
      </c>
      <c r="H5033" s="19" t="n">
        <v>2</v>
      </c>
      <c r="I5033" s="57" t="n">
        <v>10</v>
      </c>
    </row>
    <row r="5034">
      <c r="A5034" s="62" t="n">
        <v>46761</v>
      </c>
      <c r="B5034" s="3" t="inlineStr">
        <is>
          <t>Sun</t>
        </is>
      </c>
      <c r="C5034" s="19" t="n">
        <v>1</v>
      </c>
      <c r="D5034" s="19" t="n">
        <v>2028</v>
      </c>
      <c r="E5034" s="57" t="n">
        <v>5</v>
      </c>
      <c r="F5034" s="29">
        <f>ROUND(((SUMIFS(Calendar!$F$2:$F$9997,Calendar!$B$2:$B$9997,D5034,Calendar!$C$2:$C$9997,C5034)*INDEX(ForeCalc!$B$37:$Y$274,MATCH(_xlfn.CONCAT(H5034," ",I5034),ForeCalc!$A$37:$A$274,0),MATCH(_xlfn.CONCAT(B5034," ",E5034),ForeCalc!$B$36:$Y$36,0))))*VLOOKUP(A5034,Calendar!$A$2:$H$9997,8,FALSE),0)</f>
        <v/>
      </c>
      <c r="G5034" s="29">
        <f>VLOOKUP(A5034,Calendar!$A$1:$H$9997,6,FALSE)-F5034</f>
        <v/>
      </c>
      <c r="H5034" s="19" t="n">
        <v>2</v>
      </c>
      <c r="I5034" s="57" t="n">
        <v>10</v>
      </c>
    </row>
    <row r="5035">
      <c r="A5035" s="62" t="n">
        <v>46762</v>
      </c>
      <c r="B5035" s="3" t="inlineStr">
        <is>
          <t>Week</t>
        </is>
      </c>
      <c r="C5035" s="19" t="n">
        <v>1</v>
      </c>
      <c r="D5035" s="19" t="n">
        <v>2028</v>
      </c>
      <c r="E5035" s="57" t="n">
        <v>5</v>
      </c>
      <c r="F5035" s="29">
        <f>ROUND(((SUMIFS(Calendar!$F$2:$F$9997,Calendar!$B$2:$B$9997,D5035,Calendar!$C$2:$C$9997,C5035)*INDEX(ForeCalc!$B$37:$Y$274,MATCH(_xlfn.CONCAT(H5035," ",I5035),ForeCalc!$A$37:$A$274,0),MATCH(_xlfn.CONCAT(B5035," ",E5035),ForeCalc!$B$36:$Y$36,0))))*VLOOKUP(A5035,Calendar!$A$2:$H$9997,8,FALSE),0)</f>
        <v/>
      </c>
      <c r="G5035" s="29">
        <f>VLOOKUP(A5035,Calendar!$A$1:$H$9997,6,FALSE)-F5035</f>
        <v/>
      </c>
      <c r="H5035" s="19" t="n">
        <v>2</v>
      </c>
      <c r="I5035" s="57" t="n">
        <v>10</v>
      </c>
    </row>
    <row r="5036">
      <c r="A5036" s="62" t="n">
        <v>46763</v>
      </c>
      <c r="B5036" s="3" t="inlineStr">
        <is>
          <t>Week</t>
        </is>
      </c>
      <c r="C5036" s="19" t="n">
        <v>1</v>
      </c>
      <c r="D5036" s="19" t="n">
        <v>2028</v>
      </c>
      <c r="E5036" s="57" t="n">
        <v>5</v>
      </c>
      <c r="F5036" s="29">
        <f>ROUND(((SUMIFS(Calendar!$F$2:$F$9997,Calendar!$B$2:$B$9997,D5036,Calendar!$C$2:$C$9997,C5036)*INDEX(ForeCalc!$B$37:$Y$274,MATCH(_xlfn.CONCAT(H5036," ",I5036),ForeCalc!$A$37:$A$274,0),MATCH(_xlfn.CONCAT(B5036," ",E5036),ForeCalc!$B$36:$Y$36,0))))*VLOOKUP(A5036,Calendar!$A$2:$H$9997,8,FALSE),0)</f>
        <v/>
      </c>
      <c r="G5036" s="29">
        <f>VLOOKUP(A5036,Calendar!$A$1:$H$9997,6,FALSE)-F5036</f>
        <v/>
      </c>
      <c r="H5036" s="19" t="n">
        <v>2</v>
      </c>
      <c r="I5036" s="57" t="n">
        <v>10</v>
      </c>
    </row>
    <row r="5037">
      <c r="A5037" s="62" t="n">
        <v>46764</v>
      </c>
      <c r="B5037" s="3" t="inlineStr">
        <is>
          <t>Week</t>
        </is>
      </c>
      <c r="C5037" s="19" t="n">
        <v>1</v>
      </c>
      <c r="D5037" s="19" t="n">
        <v>2028</v>
      </c>
      <c r="E5037" s="57" t="n">
        <v>5</v>
      </c>
      <c r="F5037" s="29">
        <f>ROUND(((SUMIFS(Calendar!$F$2:$F$9997,Calendar!$B$2:$B$9997,D5037,Calendar!$C$2:$C$9997,C5037)*INDEX(ForeCalc!$B$37:$Y$274,MATCH(_xlfn.CONCAT(H5037," ",I5037),ForeCalc!$A$37:$A$274,0),MATCH(_xlfn.CONCAT(B5037," ",E5037),ForeCalc!$B$36:$Y$36,0))))*VLOOKUP(A5037,Calendar!$A$2:$H$9997,8,FALSE),0)</f>
        <v/>
      </c>
      <c r="G5037" s="29">
        <f>VLOOKUP(A5037,Calendar!$A$1:$H$9997,6,FALSE)-F5037</f>
        <v/>
      </c>
      <c r="H5037" s="19" t="n">
        <v>2</v>
      </c>
      <c r="I5037" s="57" t="n">
        <v>10</v>
      </c>
    </row>
    <row r="5038">
      <c r="A5038" s="62" t="n">
        <v>46765</v>
      </c>
      <c r="B5038" s="3" t="inlineStr">
        <is>
          <t>Week</t>
        </is>
      </c>
      <c r="C5038" s="19" t="n">
        <v>1</v>
      </c>
      <c r="D5038" s="19" t="n">
        <v>2028</v>
      </c>
      <c r="E5038" s="57" t="n">
        <v>5</v>
      </c>
      <c r="F5038" s="29">
        <f>ROUND(((SUMIFS(Calendar!$F$2:$F$9997,Calendar!$B$2:$B$9997,D5038,Calendar!$C$2:$C$9997,C5038)*INDEX(ForeCalc!$B$37:$Y$274,MATCH(_xlfn.CONCAT(H5038," ",I5038),ForeCalc!$A$37:$A$274,0),MATCH(_xlfn.CONCAT(B5038," ",E5038),ForeCalc!$B$36:$Y$36,0))))*VLOOKUP(A5038,Calendar!$A$2:$H$9997,8,FALSE),0)</f>
        <v/>
      </c>
      <c r="G5038" s="29">
        <f>VLOOKUP(A5038,Calendar!$A$1:$H$9997,6,FALSE)-F5038</f>
        <v/>
      </c>
      <c r="H5038" s="19" t="n">
        <v>2</v>
      </c>
      <c r="I5038" s="57" t="n">
        <v>10</v>
      </c>
    </row>
    <row r="5039">
      <c r="A5039" s="62" t="n">
        <v>46766</v>
      </c>
      <c r="B5039" s="3" t="inlineStr">
        <is>
          <t>Week</t>
        </is>
      </c>
      <c r="C5039" s="19" t="n">
        <v>1</v>
      </c>
      <c r="D5039" s="19" t="n">
        <v>2028</v>
      </c>
      <c r="E5039" s="57" t="n">
        <v>5</v>
      </c>
      <c r="F5039" s="29">
        <f>ROUND(((SUMIFS(Calendar!$F$2:$F$9997,Calendar!$B$2:$B$9997,D5039,Calendar!$C$2:$C$9997,C5039)*INDEX(ForeCalc!$B$37:$Y$274,MATCH(_xlfn.CONCAT(H5039," ",I5039),ForeCalc!$A$37:$A$274,0),MATCH(_xlfn.CONCAT(B5039," ",E5039),ForeCalc!$B$36:$Y$36,0))))*VLOOKUP(A5039,Calendar!$A$2:$H$9997,8,FALSE),0)</f>
        <v/>
      </c>
      <c r="G5039" s="29">
        <f>VLOOKUP(A5039,Calendar!$A$1:$H$9997,6,FALSE)-F5039</f>
        <v/>
      </c>
      <c r="H5039" s="19" t="n">
        <v>2</v>
      </c>
      <c r="I5039" s="57" t="n">
        <v>10</v>
      </c>
    </row>
    <row r="5040">
      <c r="A5040" s="62" t="n">
        <v>46767</v>
      </c>
      <c r="B5040" s="3" t="inlineStr">
        <is>
          <t>Sat</t>
        </is>
      </c>
      <c r="C5040" s="19" t="n">
        <v>1</v>
      </c>
      <c r="D5040" s="19" t="n">
        <v>2028</v>
      </c>
      <c r="E5040" s="57" t="n">
        <v>5</v>
      </c>
      <c r="F5040" s="29">
        <f>ROUND(((SUMIFS(Calendar!$F$2:$F$9997,Calendar!$B$2:$B$9997,D5040,Calendar!$C$2:$C$9997,C5040)*INDEX(ForeCalc!$B$37:$Y$274,MATCH(_xlfn.CONCAT(H5040," ",I5040),ForeCalc!$A$37:$A$274,0),MATCH(_xlfn.CONCAT(B5040," ",E5040),ForeCalc!$B$36:$Y$36,0))))*VLOOKUP(A5040,Calendar!$A$2:$H$9997,8,FALSE),0)</f>
        <v/>
      </c>
      <c r="G5040" s="29">
        <f>VLOOKUP(A5040,Calendar!$A$1:$H$9997,6,FALSE)-F5040</f>
        <v/>
      </c>
      <c r="H5040" s="19" t="n">
        <v>2</v>
      </c>
      <c r="I5040" s="57" t="n">
        <v>10</v>
      </c>
    </row>
    <row r="5041">
      <c r="A5041" s="62" t="n">
        <v>46768</v>
      </c>
      <c r="B5041" s="3" t="inlineStr">
        <is>
          <t>Sun</t>
        </is>
      </c>
      <c r="C5041" s="19" t="n">
        <v>1</v>
      </c>
      <c r="D5041" s="19" t="n">
        <v>2028</v>
      </c>
      <c r="E5041" s="57" t="n">
        <v>5</v>
      </c>
      <c r="F5041" s="29">
        <f>ROUND(((SUMIFS(Calendar!$F$2:$F$9997,Calendar!$B$2:$B$9997,D5041,Calendar!$C$2:$C$9997,C5041)*INDEX(ForeCalc!$B$37:$Y$274,MATCH(_xlfn.CONCAT(H5041," ",I5041),ForeCalc!$A$37:$A$274,0),MATCH(_xlfn.CONCAT(B5041," ",E5041),ForeCalc!$B$36:$Y$36,0))))*VLOOKUP(A5041,Calendar!$A$2:$H$9997,8,FALSE),0)</f>
        <v/>
      </c>
      <c r="G5041" s="29">
        <f>VLOOKUP(A5041,Calendar!$A$1:$H$9997,6,FALSE)-F5041</f>
        <v/>
      </c>
      <c r="H5041" s="19" t="n">
        <v>2</v>
      </c>
      <c r="I5041" s="57" t="n">
        <v>10</v>
      </c>
    </row>
    <row r="5042">
      <c r="A5042" s="62" t="n">
        <v>46769</v>
      </c>
      <c r="B5042" s="3" t="inlineStr">
        <is>
          <t>Week</t>
        </is>
      </c>
      <c r="C5042" s="19" t="n">
        <v>1</v>
      </c>
      <c r="D5042" s="19" t="n">
        <v>2028</v>
      </c>
      <c r="E5042" s="57" t="n">
        <v>5</v>
      </c>
      <c r="F5042" s="29">
        <f>ROUND(((SUMIFS(Calendar!$F$2:$F$9997,Calendar!$B$2:$B$9997,D5042,Calendar!$C$2:$C$9997,C5042)*INDEX(ForeCalc!$B$37:$Y$274,MATCH(_xlfn.CONCAT(H5042," ",I5042),ForeCalc!$A$37:$A$274,0),MATCH(_xlfn.CONCAT(B5042," ",E5042),ForeCalc!$B$36:$Y$36,0))))*VLOOKUP(A5042,Calendar!$A$2:$H$9997,8,FALSE),0)</f>
        <v/>
      </c>
      <c r="G5042" s="29">
        <f>VLOOKUP(A5042,Calendar!$A$1:$H$9997,6,FALSE)-F5042</f>
        <v/>
      </c>
      <c r="H5042" s="19" t="n">
        <v>2</v>
      </c>
      <c r="I5042" s="57" t="n">
        <v>10</v>
      </c>
    </row>
    <row r="5043">
      <c r="A5043" s="62" t="n">
        <v>46770</v>
      </c>
      <c r="B5043" s="3" t="inlineStr">
        <is>
          <t>Week</t>
        </is>
      </c>
      <c r="C5043" s="19" t="n">
        <v>1</v>
      </c>
      <c r="D5043" s="19" t="n">
        <v>2028</v>
      </c>
      <c r="E5043" s="57" t="n">
        <v>5</v>
      </c>
      <c r="F5043" s="29">
        <f>ROUND(((SUMIFS(Calendar!$F$2:$F$9997,Calendar!$B$2:$B$9997,D5043,Calendar!$C$2:$C$9997,C5043)*INDEX(ForeCalc!$B$37:$Y$274,MATCH(_xlfn.CONCAT(H5043," ",I5043),ForeCalc!$A$37:$A$274,0),MATCH(_xlfn.CONCAT(B5043," ",E5043),ForeCalc!$B$36:$Y$36,0))))*VLOOKUP(A5043,Calendar!$A$2:$H$9997,8,FALSE),0)</f>
        <v/>
      </c>
      <c r="G5043" s="29">
        <f>VLOOKUP(A5043,Calendar!$A$1:$H$9997,6,FALSE)-F5043</f>
        <v/>
      </c>
      <c r="H5043" s="19" t="n">
        <v>2</v>
      </c>
      <c r="I5043" s="57" t="n">
        <v>10</v>
      </c>
    </row>
    <row r="5044">
      <c r="A5044" s="62" t="n">
        <v>46771</v>
      </c>
      <c r="B5044" s="3" t="inlineStr">
        <is>
          <t>Week</t>
        </is>
      </c>
      <c r="C5044" s="19" t="n">
        <v>1</v>
      </c>
      <c r="D5044" s="19" t="n">
        <v>2028</v>
      </c>
      <c r="E5044" s="57" t="n">
        <v>5</v>
      </c>
      <c r="F5044" s="29">
        <f>ROUND(((SUMIFS(Calendar!$F$2:$F$9997,Calendar!$B$2:$B$9997,D5044,Calendar!$C$2:$C$9997,C5044)*INDEX(ForeCalc!$B$37:$Y$274,MATCH(_xlfn.CONCAT(H5044," ",I5044),ForeCalc!$A$37:$A$274,0),MATCH(_xlfn.CONCAT(B5044," ",E5044),ForeCalc!$B$36:$Y$36,0))))*VLOOKUP(A5044,Calendar!$A$2:$H$9997,8,FALSE),0)</f>
        <v/>
      </c>
      <c r="G5044" s="29">
        <f>VLOOKUP(A5044,Calendar!$A$1:$H$9997,6,FALSE)-F5044</f>
        <v/>
      </c>
      <c r="H5044" s="19" t="n">
        <v>2</v>
      </c>
      <c r="I5044" s="57" t="n">
        <v>10</v>
      </c>
    </row>
    <row r="5045">
      <c r="A5045" s="62" t="n">
        <v>46772</v>
      </c>
      <c r="B5045" s="3" t="inlineStr">
        <is>
          <t>Week</t>
        </is>
      </c>
      <c r="C5045" s="19" t="n">
        <v>1</v>
      </c>
      <c r="D5045" s="19" t="n">
        <v>2028</v>
      </c>
      <c r="E5045" s="57" t="n">
        <v>5</v>
      </c>
      <c r="F5045" s="29">
        <f>ROUND(((SUMIFS(Calendar!$F$2:$F$9997,Calendar!$B$2:$B$9997,D5045,Calendar!$C$2:$C$9997,C5045)*INDEX(ForeCalc!$B$37:$Y$274,MATCH(_xlfn.CONCAT(H5045," ",I5045),ForeCalc!$A$37:$A$274,0),MATCH(_xlfn.CONCAT(B5045," ",E5045),ForeCalc!$B$36:$Y$36,0))))*VLOOKUP(A5045,Calendar!$A$2:$H$9997,8,FALSE),0)</f>
        <v/>
      </c>
      <c r="G5045" s="29">
        <f>VLOOKUP(A5045,Calendar!$A$1:$H$9997,6,FALSE)-F5045</f>
        <v/>
      </c>
      <c r="H5045" s="19" t="n">
        <v>2</v>
      </c>
      <c r="I5045" s="57" t="n">
        <v>10</v>
      </c>
    </row>
    <row r="5046">
      <c r="A5046" s="62" t="n">
        <v>46773</v>
      </c>
      <c r="B5046" s="3" t="inlineStr">
        <is>
          <t>Week</t>
        </is>
      </c>
      <c r="C5046" s="19" t="n">
        <v>1</v>
      </c>
      <c r="D5046" s="19" t="n">
        <v>2028</v>
      </c>
      <c r="E5046" s="57" t="n">
        <v>5</v>
      </c>
      <c r="F5046" s="29">
        <f>ROUND(((SUMIFS(Calendar!$F$2:$F$9997,Calendar!$B$2:$B$9997,D5046,Calendar!$C$2:$C$9997,C5046)*INDEX(ForeCalc!$B$37:$Y$274,MATCH(_xlfn.CONCAT(H5046," ",I5046),ForeCalc!$A$37:$A$274,0),MATCH(_xlfn.CONCAT(B5046," ",E5046),ForeCalc!$B$36:$Y$36,0))))*VLOOKUP(A5046,Calendar!$A$2:$H$9997,8,FALSE),0)</f>
        <v/>
      </c>
      <c r="G5046" s="29">
        <f>VLOOKUP(A5046,Calendar!$A$1:$H$9997,6,FALSE)-F5046</f>
        <v/>
      </c>
      <c r="H5046" s="19" t="n">
        <v>2</v>
      </c>
      <c r="I5046" s="57" t="n">
        <v>10</v>
      </c>
    </row>
    <row r="5047">
      <c r="A5047" s="62" t="n">
        <v>46774</v>
      </c>
      <c r="B5047" s="3" t="inlineStr">
        <is>
          <t>Sat</t>
        </is>
      </c>
      <c r="C5047" s="19" t="n">
        <v>1</v>
      </c>
      <c r="D5047" s="19" t="n">
        <v>2028</v>
      </c>
      <c r="E5047" s="57" t="n">
        <v>5</v>
      </c>
      <c r="F5047" s="29">
        <f>ROUND(((SUMIFS(Calendar!$F$2:$F$9997,Calendar!$B$2:$B$9997,D5047,Calendar!$C$2:$C$9997,C5047)*INDEX(ForeCalc!$B$37:$Y$274,MATCH(_xlfn.CONCAT(H5047," ",I5047),ForeCalc!$A$37:$A$274,0),MATCH(_xlfn.CONCAT(B5047," ",E5047),ForeCalc!$B$36:$Y$36,0))))*VLOOKUP(A5047,Calendar!$A$2:$H$9997,8,FALSE),0)</f>
        <v/>
      </c>
      <c r="G5047" s="29">
        <f>VLOOKUP(A5047,Calendar!$A$1:$H$9997,6,FALSE)-F5047</f>
        <v/>
      </c>
      <c r="H5047" s="19" t="n">
        <v>2</v>
      </c>
      <c r="I5047" s="57" t="n">
        <v>10</v>
      </c>
    </row>
    <row r="5048">
      <c r="A5048" s="62" t="n">
        <v>46775</v>
      </c>
      <c r="B5048" s="3" t="inlineStr">
        <is>
          <t>Sun</t>
        </is>
      </c>
      <c r="C5048" s="19" t="n">
        <v>1</v>
      </c>
      <c r="D5048" s="19" t="n">
        <v>2028</v>
      </c>
      <c r="E5048" s="57" t="n">
        <v>5</v>
      </c>
      <c r="F5048" s="29">
        <f>ROUND(((SUMIFS(Calendar!$F$2:$F$9997,Calendar!$B$2:$B$9997,D5048,Calendar!$C$2:$C$9997,C5048)*INDEX(ForeCalc!$B$37:$Y$274,MATCH(_xlfn.CONCAT(H5048," ",I5048),ForeCalc!$A$37:$A$274,0),MATCH(_xlfn.CONCAT(B5048," ",E5048),ForeCalc!$B$36:$Y$36,0))))*VLOOKUP(A5048,Calendar!$A$2:$H$9997,8,FALSE),0)</f>
        <v/>
      </c>
      <c r="G5048" s="29">
        <f>VLOOKUP(A5048,Calendar!$A$1:$H$9997,6,FALSE)-F5048</f>
        <v/>
      </c>
      <c r="H5048" s="19" t="n">
        <v>2</v>
      </c>
      <c r="I5048" s="57" t="n">
        <v>10</v>
      </c>
    </row>
    <row r="5049">
      <c r="A5049" s="62" t="n">
        <v>46776</v>
      </c>
      <c r="B5049" s="3" t="inlineStr">
        <is>
          <t>Week</t>
        </is>
      </c>
      <c r="C5049" s="19" t="n">
        <v>1</v>
      </c>
      <c r="D5049" s="19" t="n">
        <v>2028</v>
      </c>
      <c r="E5049" s="57" t="n">
        <v>5</v>
      </c>
      <c r="F5049" s="29">
        <f>ROUND(((SUMIFS(Calendar!$F$2:$F$9997,Calendar!$B$2:$B$9997,D5049,Calendar!$C$2:$C$9997,C5049)*INDEX(ForeCalc!$B$37:$Y$274,MATCH(_xlfn.CONCAT(H5049," ",I5049),ForeCalc!$A$37:$A$274,0),MATCH(_xlfn.CONCAT(B5049," ",E5049),ForeCalc!$B$36:$Y$36,0))))*VLOOKUP(A5049,Calendar!$A$2:$H$9997,8,FALSE),0)</f>
        <v/>
      </c>
      <c r="G5049" s="29">
        <f>VLOOKUP(A5049,Calendar!$A$1:$H$9997,6,FALSE)-F5049</f>
        <v/>
      </c>
      <c r="H5049" s="19" t="n">
        <v>2</v>
      </c>
      <c r="I5049" s="57" t="n">
        <v>10</v>
      </c>
    </row>
    <row r="5050">
      <c r="A5050" s="62" t="n">
        <v>46777</v>
      </c>
      <c r="B5050" s="3" t="inlineStr">
        <is>
          <t>Week</t>
        </is>
      </c>
      <c r="C5050" s="19" t="n">
        <v>1</v>
      </c>
      <c r="D5050" s="19" t="n">
        <v>2028</v>
      </c>
      <c r="E5050" s="57" t="n">
        <v>5</v>
      </c>
      <c r="F5050" s="29">
        <f>ROUND(((SUMIFS(Calendar!$F$2:$F$9997,Calendar!$B$2:$B$9997,D5050,Calendar!$C$2:$C$9997,C5050)*INDEX(ForeCalc!$B$37:$Y$274,MATCH(_xlfn.CONCAT(H5050," ",I5050),ForeCalc!$A$37:$A$274,0),MATCH(_xlfn.CONCAT(B5050," ",E5050),ForeCalc!$B$36:$Y$36,0))))*VLOOKUP(A5050,Calendar!$A$2:$H$9997,8,FALSE),0)</f>
        <v/>
      </c>
      <c r="G5050" s="29">
        <f>VLOOKUP(A5050,Calendar!$A$1:$H$9997,6,FALSE)-F5050</f>
        <v/>
      </c>
      <c r="H5050" s="19" t="n">
        <v>2</v>
      </c>
      <c r="I5050" s="57" t="n">
        <v>10</v>
      </c>
    </row>
    <row r="5051">
      <c r="A5051" s="62" t="n">
        <v>46778</v>
      </c>
      <c r="B5051" s="3" t="inlineStr">
        <is>
          <t>Week</t>
        </is>
      </c>
      <c r="C5051" s="19" t="n">
        <v>1</v>
      </c>
      <c r="D5051" s="19" t="n">
        <v>2028</v>
      </c>
      <c r="E5051" s="57" t="n">
        <v>5</v>
      </c>
      <c r="F5051" s="29">
        <f>ROUND(((SUMIFS(Calendar!$F$2:$F$9997,Calendar!$B$2:$B$9997,D5051,Calendar!$C$2:$C$9997,C5051)*INDEX(ForeCalc!$B$37:$Y$274,MATCH(_xlfn.CONCAT(H5051," ",I5051),ForeCalc!$A$37:$A$274,0),MATCH(_xlfn.CONCAT(B5051," ",E5051),ForeCalc!$B$36:$Y$36,0))))*VLOOKUP(A5051,Calendar!$A$2:$H$9997,8,FALSE),0)</f>
        <v/>
      </c>
      <c r="G5051" s="29">
        <f>VLOOKUP(A5051,Calendar!$A$1:$H$9997,6,FALSE)-F5051</f>
        <v/>
      </c>
      <c r="H5051" s="19" t="n">
        <v>2</v>
      </c>
      <c r="I5051" s="57" t="n">
        <v>10</v>
      </c>
    </row>
    <row r="5052">
      <c r="A5052" s="62" t="n">
        <v>46779</v>
      </c>
      <c r="B5052" s="3" t="inlineStr">
        <is>
          <t>Week</t>
        </is>
      </c>
      <c r="C5052" s="19" t="n">
        <v>1</v>
      </c>
      <c r="D5052" s="19" t="n">
        <v>2028</v>
      </c>
      <c r="E5052" s="57" t="n">
        <v>5</v>
      </c>
      <c r="F5052" s="29">
        <f>ROUND(((SUMIFS(Calendar!$F$2:$F$9997,Calendar!$B$2:$B$9997,D5052,Calendar!$C$2:$C$9997,C5052)*INDEX(ForeCalc!$B$37:$Y$274,MATCH(_xlfn.CONCAT(H5052," ",I5052),ForeCalc!$A$37:$A$274,0),MATCH(_xlfn.CONCAT(B5052," ",E5052),ForeCalc!$B$36:$Y$36,0))))*VLOOKUP(A5052,Calendar!$A$2:$H$9997,8,FALSE),0)</f>
        <v/>
      </c>
      <c r="G5052" s="29">
        <f>VLOOKUP(A5052,Calendar!$A$1:$H$9997,6,FALSE)-F5052</f>
        <v/>
      </c>
      <c r="H5052" s="19" t="n">
        <v>2</v>
      </c>
      <c r="I5052" s="57" t="n">
        <v>10</v>
      </c>
    </row>
    <row r="5053">
      <c r="A5053" s="62" t="n">
        <v>46780</v>
      </c>
      <c r="B5053" s="3" t="inlineStr">
        <is>
          <t>Week</t>
        </is>
      </c>
      <c r="C5053" s="19" t="n">
        <v>1</v>
      </c>
      <c r="D5053" s="19" t="n">
        <v>2028</v>
      </c>
      <c r="E5053" s="57" t="n">
        <v>5</v>
      </c>
      <c r="F5053" s="29">
        <f>ROUND(((SUMIFS(Calendar!$F$2:$F$9997,Calendar!$B$2:$B$9997,D5053,Calendar!$C$2:$C$9997,C5053)*INDEX(ForeCalc!$B$37:$Y$274,MATCH(_xlfn.CONCAT(H5053," ",I5053),ForeCalc!$A$37:$A$274,0),MATCH(_xlfn.CONCAT(B5053," ",E5053),ForeCalc!$B$36:$Y$36,0))))*VLOOKUP(A5053,Calendar!$A$2:$H$9997,8,FALSE),0)</f>
        <v/>
      </c>
      <c r="G5053" s="29">
        <f>VLOOKUP(A5053,Calendar!$A$1:$H$9997,6,FALSE)-F5053</f>
        <v/>
      </c>
      <c r="H5053" s="19" t="n">
        <v>2</v>
      </c>
      <c r="I5053" s="57" t="n">
        <v>10</v>
      </c>
    </row>
    <row r="5054">
      <c r="A5054" s="62" t="n">
        <v>46781</v>
      </c>
      <c r="B5054" s="3" t="inlineStr">
        <is>
          <t>Sat</t>
        </is>
      </c>
      <c r="C5054" s="19" t="n">
        <v>1</v>
      </c>
      <c r="D5054" s="19" t="n">
        <v>2028</v>
      </c>
      <c r="E5054" s="57" t="n">
        <v>5</v>
      </c>
      <c r="F5054" s="29">
        <f>ROUND(((SUMIFS(Calendar!$F$2:$F$9997,Calendar!$B$2:$B$9997,D5054,Calendar!$C$2:$C$9997,C5054)*INDEX(ForeCalc!$B$37:$Y$274,MATCH(_xlfn.CONCAT(H5054," ",I5054),ForeCalc!$A$37:$A$274,0),MATCH(_xlfn.CONCAT(B5054," ",E5054),ForeCalc!$B$36:$Y$36,0))))*VLOOKUP(A5054,Calendar!$A$2:$H$9997,8,FALSE),0)</f>
        <v/>
      </c>
      <c r="G5054" s="29">
        <f>VLOOKUP(A5054,Calendar!$A$1:$H$9997,6,FALSE)-F5054</f>
        <v/>
      </c>
      <c r="H5054" s="19" t="n">
        <v>2</v>
      </c>
      <c r="I5054" s="57" t="n">
        <v>10</v>
      </c>
    </row>
    <row r="5055">
      <c r="A5055" s="62" t="n">
        <v>46782</v>
      </c>
      <c r="B5055" s="3" t="inlineStr">
        <is>
          <t>Sun</t>
        </is>
      </c>
      <c r="C5055" s="19" t="n">
        <v>1</v>
      </c>
      <c r="D5055" s="19" t="n">
        <v>2028</v>
      </c>
      <c r="E5055" s="57" t="n">
        <v>5</v>
      </c>
      <c r="F5055" s="29">
        <f>ROUND(((SUMIFS(Calendar!$F$2:$F$9997,Calendar!$B$2:$B$9997,D5055,Calendar!$C$2:$C$9997,C5055)*INDEX(ForeCalc!$B$37:$Y$274,MATCH(_xlfn.CONCAT(H5055," ",I5055),ForeCalc!$A$37:$A$274,0),MATCH(_xlfn.CONCAT(B5055," ",E5055),ForeCalc!$B$36:$Y$36,0))))*VLOOKUP(A5055,Calendar!$A$2:$H$9997,8,FALSE),0)</f>
        <v/>
      </c>
      <c r="G5055" s="29">
        <f>VLOOKUP(A5055,Calendar!$A$1:$H$9997,6,FALSE)-F5055</f>
        <v/>
      </c>
      <c r="H5055" s="19" t="n">
        <v>2</v>
      </c>
      <c r="I5055" s="57" t="n">
        <v>10</v>
      </c>
    </row>
    <row r="5056">
      <c r="A5056" s="62" t="n">
        <v>46783</v>
      </c>
      <c r="B5056" s="3" t="inlineStr">
        <is>
          <t>Week</t>
        </is>
      </c>
      <c r="C5056" s="19" t="n">
        <v>1</v>
      </c>
      <c r="D5056" s="19" t="n">
        <v>2028</v>
      </c>
      <c r="E5056" s="57" t="n">
        <v>5</v>
      </c>
      <c r="F5056" s="29">
        <f>ROUND(((SUMIFS(Calendar!$F$2:$F$9997,Calendar!$B$2:$B$9997,D5056,Calendar!$C$2:$C$9997,C5056)*INDEX(ForeCalc!$B$37:$Y$274,MATCH(_xlfn.CONCAT(H5056," ",I5056),ForeCalc!$A$37:$A$274,0),MATCH(_xlfn.CONCAT(B5056," ",E5056),ForeCalc!$B$36:$Y$36,0))))*VLOOKUP(A5056,Calendar!$A$2:$H$9997,8,FALSE),0)</f>
        <v/>
      </c>
      <c r="G5056" s="29">
        <f>VLOOKUP(A5056,Calendar!$A$1:$H$9997,6,FALSE)-F5056</f>
        <v/>
      </c>
      <c r="H5056" s="19" t="n">
        <v>2</v>
      </c>
      <c r="I5056" s="57" t="n">
        <v>10</v>
      </c>
    </row>
    <row r="5057">
      <c r="A5057" s="62" t="n">
        <v>46784</v>
      </c>
      <c r="B5057" s="3" t="inlineStr">
        <is>
          <t>Week</t>
        </is>
      </c>
      <c r="C5057" s="19" t="n">
        <v>2</v>
      </c>
      <c r="D5057" s="19" t="n">
        <v>2028</v>
      </c>
      <c r="E5057" s="57" t="n">
        <v>5</v>
      </c>
      <c r="F5057" s="29">
        <f>ROUND(((SUMIFS(Calendar!$F$2:$F$9997,Calendar!$B$2:$B$9997,D5057,Calendar!$C$2:$C$9997,C5057)*INDEX(ForeCalc!$B$37:$Y$274,MATCH(_xlfn.CONCAT(H5057," ",I5057),ForeCalc!$A$37:$A$274,0),MATCH(_xlfn.CONCAT(B5057," ",E5057),ForeCalc!$B$36:$Y$36,0))))*VLOOKUP(A5057,Calendar!$A$2:$H$9997,8,FALSE),0)</f>
        <v/>
      </c>
      <c r="G5057" s="29">
        <f>VLOOKUP(A5057,Calendar!$A$1:$H$9997,6,FALSE)-F5057</f>
        <v/>
      </c>
      <c r="H5057" s="19" t="n">
        <v>2</v>
      </c>
      <c r="I5057" s="57" t="n">
        <v>11</v>
      </c>
    </row>
    <row r="5058">
      <c r="A5058" s="62" t="n">
        <v>46785</v>
      </c>
      <c r="B5058" s="3" t="inlineStr">
        <is>
          <t>Week</t>
        </is>
      </c>
      <c r="C5058" s="19" t="n">
        <v>2</v>
      </c>
      <c r="D5058" s="19" t="n">
        <v>2028</v>
      </c>
      <c r="E5058" s="57" t="n">
        <v>5</v>
      </c>
      <c r="F5058" s="29">
        <f>ROUND(((SUMIFS(Calendar!$F$2:$F$9997,Calendar!$B$2:$B$9997,D5058,Calendar!$C$2:$C$9997,C5058)*INDEX(ForeCalc!$B$37:$Y$274,MATCH(_xlfn.CONCAT(H5058," ",I5058),ForeCalc!$A$37:$A$274,0),MATCH(_xlfn.CONCAT(B5058," ",E5058),ForeCalc!$B$36:$Y$36,0))))*VLOOKUP(A5058,Calendar!$A$2:$H$9997,8,FALSE),0)</f>
        <v/>
      </c>
      <c r="G5058" s="29">
        <f>VLOOKUP(A5058,Calendar!$A$1:$H$9997,6,FALSE)-F5058</f>
        <v/>
      </c>
      <c r="H5058" s="19" t="n">
        <v>2</v>
      </c>
      <c r="I5058" s="57" t="n">
        <v>11</v>
      </c>
    </row>
    <row r="5059">
      <c r="A5059" s="62" t="n">
        <v>46786</v>
      </c>
      <c r="B5059" s="3" t="inlineStr">
        <is>
          <t>Week</t>
        </is>
      </c>
      <c r="C5059" s="19" t="n">
        <v>2</v>
      </c>
      <c r="D5059" s="19" t="n">
        <v>2028</v>
      </c>
      <c r="E5059" s="57" t="n">
        <v>5</v>
      </c>
      <c r="F5059" s="29">
        <f>ROUND(((SUMIFS(Calendar!$F$2:$F$9997,Calendar!$B$2:$B$9997,D5059,Calendar!$C$2:$C$9997,C5059)*INDEX(ForeCalc!$B$37:$Y$274,MATCH(_xlfn.CONCAT(H5059," ",I5059),ForeCalc!$A$37:$A$274,0),MATCH(_xlfn.CONCAT(B5059," ",E5059),ForeCalc!$B$36:$Y$36,0))))*VLOOKUP(A5059,Calendar!$A$2:$H$9997,8,FALSE),0)</f>
        <v/>
      </c>
      <c r="G5059" s="29">
        <f>VLOOKUP(A5059,Calendar!$A$1:$H$9997,6,FALSE)-F5059</f>
        <v/>
      </c>
      <c r="H5059" s="19" t="n">
        <v>2</v>
      </c>
      <c r="I5059" s="57" t="n">
        <v>11</v>
      </c>
    </row>
    <row r="5060">
      <c r="A5060" s="62" t="n">
        <v>46787</v>
      </c>
      <c r="B5060" s="3" t="inlineStr">
        <is>
          <t>Week</t>
        </is>
      </c>
      <c r="C5060" s="19" t="n">
        <v>2</v>
      </c>
      <c r="D5060" s="19" t="n">
        <v>2028</v>
      </c>
      <c r="E5060" s="57" t="n">
        <v>5</v>
      </c>
      <c r="F5060" s="29">
        <f>ROUND(((SUMIFS(Calendar!$F$2:$F$9997,Calendar!$B$2:$B$9997,D5060,Calendar!$C$2:$C$9997,C5060)*INDEX(ForeCalc!$B$37:$Y$274,MATCH(_xlfn.CONCAT(H5060," ",I5060),ForeCalc!$A$37:$A$274,0),MATCH(_xlfn.CONCAT(B5060," ",E5060),ForeCalc!$B$36:$Y$36,0))))*VLOOKUP(A5060,Calendar!$A$2:$H$9997,8,FALSE),0)</f>
        <v/>
      </c>
      <c r="G5060" s="29">
        <f>VLOOKUP(A5060,Calendar!$A$1:$H$9997,6,FALSE)-F5060</f>
        <v/>
      </c>
      <c r="H5060" s="19" t="n">
        <v>2</v>
      </c>
      <c r="I5060" s="57" t="n">
        <v>11</v>
      </c>
    </row>
    <row r="5061">
      <c r="A5061" s="62" t="n">
        <v>46788</v>
      </c>
      <c r="B5061" s="3" t="inlineStr">
        <is>
          <t>Sat</t>
        </is>
      </c>
      <c r="C5061" s="19" t="n">
        <v>2</v>
      </c>
      <c r="D5061" s="19" t="n">
        <v>2028</v>
      </c>
      <c r="E5061" s="57" t="n">
        <v>5</v>
      </c>
      <c r="F5061" s="29">
        <f>ROUND(((SUMIFS(Calendar!$F$2:$F$9997,Calendar!$B$2:$B$9997,D5061,Calendar!$C$2:$C$9997,C5061)*INDEX(ForeCalc!$B$37:$Y$274,MATCH(_xlfn.CONCAT(H5061," ",I5061),ForeCalc!$A$37:$A$274,0),MATCH(_xlfn.CONCAT(B5061," ",E5061),ForeCalc!$B$36:$Y$36,0))))*VLOOKUP(A5061,Calendar!$A$2:$H$9997,8,FALSE),0)</f>
        <v/>
      </c>
      <c r="G5061" s="29">
        <f>VLOOKUP(A5061,Calendar!$A$1:$H$9997,6,FALSE)-F5061</f>
        <v/>
      </c>
      <c r="H5061" s="19" t="n">
        <v>2</v>
      </c>
      <c r="I5061" s="57" t="n">
        <v>11</v>
      </c>
    </row>
    <row r="5062">
      <c r="A5062" s="62" t="n">
        <v>46789</v>
      </c>
      <c r="B5062" s="3" t="inlineStr">
        <is>
          <t>Sun</t>
        </is>
      </c>
      <c r="C5062" s="19" t="n">
        <v>2</v>
      </c>
      <c r="D5062" s="19" t="n">
        <v>2028</v>
      </c>
      <c r="E5062" s="57" t="n">
        <v>5</v>
      </c>
      <c r="F5062" s="29">
        <f>ROUND(((SUMIFS(Calendar!$F$2:$F$9997,Calendar!$B$2:$B$9997,D5062,Calendar!$C$2:$C$9997,C5062)*INDEX(ForeCalc!$B$37:$Y$274,MATCH(_xlfn.CONCAT(H5062," ",I5062),ForeCalc!$A$37:$A$274,0),MATCH(_xlfn.CONCAT(B5062," ",E5062),ForeCalc!$B$36:$Y$36,0))))*VLOOKUP(A5062,Calendar!$A$2:$H$9997,8,FALSE),0)</f>
        <v/>
      </c>
      <c r="G5062" s="29">
        <f>VLOOKUP(A5062,Calendar!$A$1:$H$9997,6,FALSE)-F5062</f>
        <v/>
      </c>
      <c r="H5062" s="19" t="n">
        <v>2</v>
      </c>
      <c r="I5062" s="57" t="n">
        <v>11</v>
      </c>
    </row>
    <row r="5063">
      <c r="A5063" s="62" t="n">
        <v>46790</v>
      </c>
      <c r="B5063" s="3" t="inlineStr">
        <is>
          <t>Week</t>
        </is>
      </c>
      <c r="C5063" s="19" t="n">
        <v>2</v>
      </c>
      <c r="D5063" s="19" t="n">
        <v>2028</v>
      </c>
      <c r="E5063" s="57" t="n">
        <v>5</v>
      </c>
      <c r="F5063" s="29">
        <f>ROUND(((SUMIFS(Calendar!$F$2:$F$9997,Calendar!$B$2:$B$9997,D5063,Calendar!$C$2:$C$9997,C5063)*INDEX(ForeCalc!$B$37:$Y$274,MATCH(_xlfn.CONCAT(H5063," ",I5063),ForeCalc!$A$37:$A$274,0),MATCH(_xlfn.CONCAT(B5063," ",E5063),ForeCalc!$B$36:$Y$36,0))))*VLOOKUP(A5063,Calendar!$A$2:$H$9997,8,FALSE),0)</f>
        <v/>
      </c>
      <c r="G5063" s="29">
        <f>VLOOKUP(A5063,Calendar!$A$1:$H$9997,6,FALSE)-F5063</f>
        <v/>
      </c>
      <c r="H5063" s="19" t="n">
        <v>2</v>
      </c>
      <c r="I5063" s="57" t="n">
        <v>11</v>
      </c>
    </row>
    <row r="5064">
      <c r="A5064" s="62" t="n">
        <v>46791</v>
      </c>
      <c r="B5064" s="3" t="inlineStr">
        <is>
          <t>Week</t>
        </is>
      </c>
      <c r="C5064" s="19" t="n">
        <v>2</v>
      </c>
      <c r="D5064" s="19" t="n">
        <v>2028</v>
      </c>
      <c r="E5064" s="57" t="n">
        <v>5</v>
      </c>
      <c r="F5064" s="29">
        <f>ROUND(((SUMIFS(Calendar!$F$2:$F$9997,Calendar!$B$2:$B$9997,D5064,Calendar!$C$2:$C$9997,C5064)*INDEX(ForeCalc!$B$37:$Y$274,MATCH(_xlfn.CONCAT(H5064," ",I5064),ForeCalc!$A$37:$A$274,0),MATCH(_xlfn.CONCAT(B5064," ",E5064),ForeCalc!$B$36:$Y$36,0))))*VLOOKUP(A5064,Calendar!$A$2:$H$9997,8,FALSE),0)</f>
        <v/>
      </c>
      <c r="G5064" s="29">
        <f>VLOOKUP(A5064,Calendar!$A$1:$H$9997,6,FALSE)-F5064</f>
        <v/>
      </c>
      <c r="H5064" s="19" t="n">
        <v>2</v>
      </c>
      <c r="I5064" s="57" t="n">
        <v>11</v>
      </c>
    </row>
    <row r="5065">
      <c r="A5065" s="62" t="n">
        <v>46792</v>
      </c>
      <c r="B5065" s="3" t="inlineStr">
        <is>
          <t>Week</t>
        </is>
      </c>
      <c r="C5065" s="19" t="n">
        <v>2</v>
      </c>
      <c r="D5065" s="19" t="n">
        <v>2028</v>
      </c>
      <c r="E5065" s="57" t="n">
        <v>5</v>
      </c>
      <c r="F5065" s="29">
        <f>ROUND(((SUMIFS(Calendar!$F$2:$F$9997,Calendar!$B$2:$B$9997,D5065,Calendar!$C$2:$C$9997,C5065)*INDEX(ForeCalc!$B$37:$Y$274,MATCH(_xlfn.CONCAT(H5065," ",I5065),ForeCalc!$A$37:$A$274,0),MATCH(_xlfn.CONCAT(B5065," ",E5065),ForeCalc!$B$36:$Y$36,0))))*VLOOKUP(A5065,Calendar!$A$2:$H$9997,8,FALSE),0)</f>
        <v/>
      </c>
      <c r="G5065" s="29">
        <f>VLOOKUP(A5065,Calendar!$A$1:$H$9997,6,FALSE)-F5065</f>
        <v/>
      </c>
      <c r="H5065" s="19" t="n">
        <v>2</v>
      </c>
      <c r="I5065" s="57" t="n">
        <v>11</v>
      </c>
    </row>
    <row r="5066">
      <c r="A5066" s="62" t="n">
        <v>46793</v>
      </c>
      <c r="B5066" s="3" t="inlineStr">
        <is>
          <t>Week</t>
        </is>
      </c>
      <c r="C5066" s="19" t="n">
        <v>2</v>
      </c>
      <c r="D5066" s="19" t="n">
        <v>2028</v>
      </c>
      <c r="E5066" s="57" t="n">
        <v>5</v>
      </c>
      <c r="F5066" s="29">
        <f>ROUND(((SUMIFS(Calendar!$F$2:$F$9997,Calendar!$B$2:$B$9997,D5066,Calendar!$C$2:$C$9997,C5066)*INDEX(ForeCalc!$B$37:$Y$274,MATCH(_xlfn.CONCAT(H5066," ",I5066),ForeCalc!$A$37:$A$274,0),MATCH(_xlfn.CONCAT(B5066," ",E5066),ForeCalc!$B$36:$Y$36,0))))*VLOOKUP(A5066,Calendar!$A$2:$H$9997,8,FALSE),0)</f>
        <v/>
      </c>
      <c r="G5066" s="29">
        <f>VLOOKUP(A5066,Calendar!$A$1:$H$9997,6,FALSE)-F5066</f>
        <v/>
      </c>
      <c r="H5066" s="19" t="n">
        <v>2</v>
      </c>
      <c r="I5066" s="57" t="n">
        <v>11</v>
      </c>
    </row>
    <row r="5067">
      <c r="A5067" s="62" t="n">
        <v>46794</v>
      </c>
      <c r="B5067" s="3" t="inlineStr">
        <is>
          <t>Week</t>
        </is>
      </c>
      <c r="C5067" s="19" t="n">
        <v>2</v>
      </c>
      <c r="D5067" s="19" t="n">
        <v>2028</v>
      </c>
      <c r="E5067" s="57" t="n">
        <v>5</v>
      </c>
      <c r="F5067" s="29">
        <f>ROUND(((SUMIFS(Calendar!$F$2:$F$9997,Calendar!$B$2:$B$9997,D5067,Calendar!$C$2:$C$9997,C5067)*INDEX(ForeCalc!$B$37:$Y$274,MATCH(_xlfn.CONCAT(H5067," ",I5067),ForeCalc!$A$37:$A$274,0),MATCH(_xlfn.CONCAT(B5067," ",E5067),ForeCalc!$B$36:$Y$36,0))))*VLOOKUP(A5067,Calendar!$A$2:$H$9997,8,FALSE),0)</f>
        <v/>
      </c>
      <c r="G5067" s="29">
        <f>VLOOKUP(A5067,Calendar!$A$1:$H$9997,6,FALSE)-F5067</f>
        <v/>
      </c>
      <c r="H5067" s="19" t="n">
        <v>2</v>
      </c>
      <c r="I5067" s="57" t="n">
        <v>11</v>
      </c>
    </row>
    <row r="5068">
      <c r="A5068" s="62" t="n">
        <v>46795</v>
      </c>
      <c r="B5068" s="3" t="inlineStr">
        <is>
          <t>Sat</t>
        </is>
      </c>
      <c r="C5068" s="19" t="n">
        <v>2</v>
      </c>
      <c r="D5068" s="19" t="n">
        <v>2028</v>
      </c>
      <c r="E5068" s="57" t="n">
        <v>5</v>
      </c>
      <c r="F5068" s="29">
        <f>ROUND(((SUMIFS(Calendar!$F$2:$F$9997,Calendar!$B$2:$B$9997,D5068,Calendar!$C$2:$C$9997,C5068)*INDEX(ForeCalc!$B$37:$Y$274,MATCH(_xlfn.CONCAT(H5068," ",I5068),ForeCalc!$A$37:$A$274,0),MATCH(_xlfn.CONCAT(B5068," ",E5068),ForeCalc!$B$36:$Y$36,0))))*VLOOKUP(A5068,Calendar!$A$2:$H$9997,8,FALSE),0)</f>
        <v/>
      </c>
      <c r="G5068" s="29">
        <f>VLOOKUP(A5068,Calendar!$A$1:$H$9997,6,FALSE)-F5068</f>
        <v/>
      </c>
      <c r="H5068" s="19" t="n">
        <v>2</v>
      </c>
      <c r="I5068" s="57" t="n">
        <v>11</v>
      </c>
    </row>
    <row r="5069">
      <c r="A5069" s="62" t="n">
        <v>46796</v>
      </c>
      <c r="B5069" s="3" t="inlineStr">
        <is>
          <t>Sun</t>
        </is>
      </c>
      <c r="C5069" s="19" t="n">
        <v>2</v>
      </c>
      <c r="D5069" s="19" t="n">
        <v>2028</v>
      </c>
      <c r="E5069" s="57" t="n">
        <v>5</v>
      </c>
      <c r="F5069" s="29">
        <f>ROUND(((SUMIFS(Calendar!$F$2:$F$9997,Calendar!$B$2:$B$9997,D5069,Calendar!$C$2:$C$9997,C5069)*INDEX(ForeCalc!$B$37:$Y$274,MATCH(_xlfn.CONCAT(H5069," ",I5069),ForeCalc!$A$37:$A$274,0),MATCH(_xlfn.CONCAT(B5069," ",E5069),ForeCalc!$B$36:$Y$36,0))))*VLOOKUP(A5069,Calendar!$A$2:$H$9997,8,FALSE),0)</f>
        <v/>
      </c>
      <c r="G5069" s="29">
        <f>VLOOKUP(A5069,Calendar!$A$1:$H$9997,6,FALSE)-F5069</f>
        <v/>
      </c>
      <c r="H5069" s="19" t="n">
        <v>2</v>
      </c>
      <c r="I5069" s="57" t="n">
        <v>11</v>
      </c>
    </row>
    <row r="5070">
      <c r="A5070" s="62" t="n">
        <v>46797</v>
      </c>
      <c r="B5070" s="3" t="inlineStr">
        <is>
          <t>Week</t>
        </is>
      </c>
      <c r="C5070" s="19" t="n">
        <v>2</v>
      </c>
      <c r="D5070" s="19" t="n">
        <v>2028</v>
      </c>
      <c r="E5070" s="57" t="n">
        <v>5</v>
      </c>
      <c r="F5070" s="29">
        <f>ROUND(((SUMIFS(Calendar!$F$2:$F$9997,Calendar!$B$2:$B$9997,D5070,Calendar!$C$2:$C$9997,C5070)*INDEX(ForeCalc!$B$37:$Y$274,MATCH(_xlfn.CONCAT(H5070," ",I5070),ForeCalc!$A$37:$A$274,0),MATCH(_xlfn.CONCAT(B5070," ",E5070),ForeCalc!$B$36:$Y$36,0))))*VLOOKUP(A5070,Calendar!$A$2:$H$9997,8,FALSE),0)</f>
        <v/>
      </c>
      <c r="G5070" s="29">
        <f>VLOOKUP(A5070,Calendar!$A$1:$H$9997,6,FALSE)-F5070</f>
        <v/>
      </c>
      <c r="H5070" s="19" t="n">
        <v>2</v>
      </c>
      <c r="I5070" s="57" t="n">
        <v>11</v>
      </c>
    </row>
    <row r="5071">
      <c r="A5071" s="62" t="n">
        <v>46798</v>
      </c>
      <c r="B5071" s="3" t="inlineStr">
        <is>
          <t>Week</t>
        </is>
      </c>
      <c r="C5071" s="19" t="n">
        <v>2</v>
      </c>
      <c r="D5071" s="19" t="n">
        <v>2028</v>
      </c>
      <c r="E5071" s="57" t="n">
        <v>5</v>
      </c>
      <c r="F5071" s="29">
        <f>ROUND(((SUMIFS(Calendar!$F$2:$F$9997,Calendar!$B$2:$B$9997,D5071,Calendar!$C$2:$C$9997,C5071)*INDEX(ForeCalc!$B$37:$Y$274,MATCH(_xlfn.CONCAT(H5071," ",I5071),ForeCalc!$A$37:$A$274,0),MATCH(_xlfn.CONCAT(B5071," ",E5071),ForeCalc!$B$36:$Y$36,0))))*VLOOKUP(A5071,Calendar!$A$2:$H$9997,8,FALSE),0)</f>
        <v/>
      </c>
      <c r="G5071" s="29">
        <f>VLOOKUP(A5071,Calendar!$A$1:$H$9997,6,FALSE)-F5071</f>
        <v/>
      </c>
      <c r="H5071" s="19" t="n">
        <v>2</v>
      </c>
      <c r="I5071" s="57" t="n">
        <v>11</v>
      </c>
    </row>
    <row r="5072">
      <c r="A5072" s="62" t="n">
        <v>46799</v>
      </c>
      <c r="B5072" s="3" t="inlineStr">
        <is>
          <t>Week</t>
        </is>
      </c>
      <c r="C5072" s="19" t="n">
        <v>2</v>
      </c>
      <c r="D5072" s="19" t="n">
        <v>2028</v>
      </c>
      <c r="E5072" s="57" t="n">
        <v>5</v>
      </c>
      <c r="F5072" s="29">
        <f>ROUND(((SUMIFS(Calendar!$F$2:$F$9997,Calendar!$B$2:$B$9997,D5072,Calendar!$C$2:$C$9997,C5072)*INDEX(ForeCalc!$B$37:$Y$274,MATCH(_xlfn.CONCAT(H5072," ",I5072),ForeCalc!$A$37:$A$274,0),MATCH(_xlfn.CONCAT(B5072," ",E5072),ForeCalc!$B$36:$Y$36,0))))*VLOOKUP(A5072,Calendar!$A$2:$H$9997,8,FALSE),0)</f>
        <v/>
      </c>
      <c r="G5072" s="29">
        <f>VLOOKUP(A5072,Calendar!$A$1:$H$9997,6,FALSE)-F5072</f>
        <v/>
      </c>
      <c r="H5072" s="19" t="n">
        <v>2</v>
      </c>
      <c r="I5072" s="57" t="n">
        <v>11</v>
      </c>
    </row>
    <row r="5073">
      <c r="A5073" s="62" t="n">
        <v>46800</v>
      </c>
      <c r="B5073" s="3" t="inlineStr">
        <is>
          <t>Week</t>
        </is>
      </c>
      <c r="C5073" s="19" t="n">
        <v>2</v>
      </c>
      <c r="D5073" s="19" t="n">
        <v>2028</v>
      </c>
      <c r="E5073" s="57" t="n">
        <v>5</v>
      </c>
      <c r="F5073" s="29">
        <f>ROUND(((SUMIFS(Calendar!$F$2:$F$9997,Calendar!$B$2:$B$9997,D5073,Calendar!$C$2:$C$9997,C5073)*INDEX(ForeCalc!$B$37:$Y$274,MATCH(_xlfn.CONCAT(H5073," ",I5073),ForeCalc!$A$37:$A$274,0),MATCH(_xlfn.CONCAT(B5073," ",E5073),ForeCalc!$B$36:$Y$36,0))))*VLOOKUP(A5073,Calendar!$A$2:$H$9997,8,FALSE),0)</f>
        <v/>
      </c>
      <c r="G5073" s="29">
        <f>VLOOKUP(A5073,Calendar!$A$1:$H$9997,6,FALSE)-F5073</f>
        <v/>
      </c>
      <c r="H5073" s="19" t="n">
        <v>2</v>
      </c>
      <c r="I5073" s="57" t="n">
        <v>11</v>
      </c>
    </row>
    <row r="5074">
      <c r="A5074" s="62" t="n">
        <v>46801</v>
      </c>
      <c r="B5074" s="3" t="inlineStr">
        <is>
          <t>Week</t>
        </is>
      </c>
      <c r="C5074" s="19" t="n">
        <v>2</v>
      </c>
      <c r="D5074" s="19" t="n">
        <v>2028</v>
      </c>
      <c r="E5074" s="57" t="n">
        <v>5</v>
      </c>
      <c r="F5074" s="29">
        <f>ROUND(((SUMIFS(Calendar!$F$2:$F$9997,Calendar!$B$2:$B$9997,D5074,Calendar!$C$2:$C$9997,C5074)*INDEX(ForeCalc!$B$37:$Y$274,MATCH(_xlfn.CONCAT(H5074," ",I5074),ForeCalc!$A$37:$A$274,0),MATCH(_xlfn.CONCAT(B5074," ",E5074),ForeCalc!$B$36:$Y$36,0))))*VLOOKUP(A5074,Calendar!$A$2:$H$9997,8,FALSE),0)</f>
        <v/>
      </c>
      <c r="G5074" s="29">
        <f>VLOOKUP(A5074,Calendar!$A$1:$H$9997,6,FALSE)-F5074</f>
        <v/>
      </c>
      <c r="H5074" s="19" t="n">
        <v>2</v>
      </c>
      <c r="I5074" s="57" t="n">
        <v>11</v>
      </c>
    </row>
    <row r="5075">
      <c r="A5075" s="62" t="n">
        <v>46802</v>
      </c>
      <c r="B5075" s="3" t="inlineStr">
        <is>
          <t>Sat</t>
        </is>
      </c>
      <c r="C5075" s="19" t="n">
        <v>2</v>
      </c>
      <c r="D5075" s="19" t="n">
        <v>2028</v>
      </c>
      <c r="E5075" s="57" t="n">
        <v>5</v>
      </c>
      <c r="F5075" s="29">
        <f>ROUND(((SUMIFS(Calendar!$F$2:$F$9997,Calendar!$B$2:$B$9997,D5075,Calendar!$C$2:$C$9997,C5075)*INDEX(ForeCalc!$B$37:$Y$274,MATCH(_xlfn.CONCAT(H5075," ",I5075),ForeCalc!$A$37:$A$274,0),MATCH(_xlfn.CONCAT(B5075," ",E5075),ForeCalc!$B$36:$Y$36,0))))*VLOOKUP(A5075,Calendar!$A$2:$H$9997,8,FALSE),0)</f>
        <v/>
      </c>
      <c r="G5075" s="29">
        <f>VLOOKUP(A5075,Calendar!$A$1:$H$9997,6,FALSE)-F5075</f>
        <v/>
      </c>
      <c r="H5075" s="19" t="n">
        <v>2</v>
      </c>
      <c r="I5075" s="57" t="n">
        <v>11</v>
      </c>
    </row>
    <row r="5076">
      <c r="A5076" s="62" t="n">
        <v>46803</v>
      </c>
      <c r="B5076" s="3" t="inlineStr">
        <is>
          <t>Sun</t>
        </is>
      </c>
      <c r="C5076" s="19" t="n">
        <v>2</v>
      </c>
      <c r="D5076" s="19" t="n">
        <v>2028</v>
      </c>
      <c r="E5076" s="57" t="n">
        <v>5</v>
      </c>
      <c r="F5076" s="29">
        <f>ROUND(((SUMIFS(Calendar!$F$2:$F$9997,Calendar!$B$2:$B$9997,D5076,Calendar!$C$2:$C$9997,C5076)*INDEX(ForeCalc!$B$37:$Y$274,MATCH(_xlfn.CONCAT(H5076," ",I5076),ForeCalc!$A$37:$A$274,0),MATCH(_xlfn.CONCAT(B5076," ",E5076),ForeCalc!$B$36:$Y$36,0))))*VLOOKUP(A5076,Calendar!$A$2:$H$9997,8,FALSE),0)</f>
        <v/>
      </c>
      <c r="G5076" s="29">
        <f>VLOOKUP(A5076,Calendar!$A$1:$H$9997,6,FALSE)-F5076</f>
        <v/>
      </c>
      <c r="H5076" s="19" t="n">
        <v>2</v>
      </c>
      <c r="I5076" s="57" t="n">
        <v>11</v>
      </c>
    </row>
    <row r="5077">
      <c r="A5077" s="62" t="n">
        <v>46804</v>
      </c>
      <c r="B5077" s="3" t="inlineStr">
        <is>
          <t>Week</t>
        </is>
      </c>
      <c r="C5077" s="19" t="n">
        <v>2</v>
      </c>
      <c r="D5077" s="19" t="n">
        <v>2028</v>
      </c>
      <c r="E5077" s="57" t="n">
        <v>5</v>
      </c>
      <c r="F5077" s="29">
        <f>ROUND(((SUMIFS(Calendar!$F$2:$F$9997,Calendar!$B$2:$B$9997,D5077,Calendar!$C$2:$C$9997,C5077)*INDEX(ForeCalc!$B$37:$Y$274,MATCH(_xlfn.CONCAT(H5077," ",I5077),ForeCalc!$A$37:$A$274,0),MATCH(_xlfn.CONCAT(B5077," ",E5077),ForeCalc!$B$36:$Y$36,0))))*VLOOKUP(A5077,Calendar!$A$2:$H$9997,8,FALSE),0)</f>
        <v/>
      </c>
      <c r="G5077" s="29">
        <f>VLOOKUP(A5077,Calendar!$A$1:$H$9997,6,FALSE)-F5077</f>
        <v/>
      </c>
      <c r="H5077" s="19" t="n">
        <v>2</v>
      </c>
      <c r="I5077" s="57" t="n">
        <v>11</v>
      </c>
    </row>
    <row r="5078">
      <c r="A5078" s="62" t="n">
        <v>46805</v>
      </c>
      <c r="B5078" s="3" t="inlineStr">
        <is>
          <t>Week</t>
        </is>
      </c>
      <c r="C5078" s="19" t="n">
        <v>2</v>
      </c>
      <c r="D5078" s="19" t="n">
        <v>2028</v>
      </c>
      <c r="E5078" s="57" t="n">
        <v>5</v>
      </c>
      <c r="F5078" s="29">
        <f>ROUND(((SUMIFS(Calendar!$F$2:$F$9997,Calendar!$B$2:$B$9997,D5078,Calendar!$C$2:$C$9997,C5078)*INDEX(ForeCalc!$B$37:$Y$274,MATCH(_xlfn.CONCAT(H5078," ",I5078),ForeCalc!$A$37:$A$274,0),MATCH(_xlfn.CONCAT(B5078," ",E5078),ForeCalc!$B$36:$Y$36,0))))*VLOOKUP(A5078,Calendar!$A$2:$H$9997,8,FALSE),0)</f>
        <v/>
      </c>
      <c r="G5078" s="29">
        <f>VLOOKUP(A5078,Calendar!$A$1:$H$9997,6,FALSE)-F5078</f>
        <v/>
      </c>
      <c r="H5078" s="19" t="n">
        <v>2</v>
      </c>
      <c r="I5078" s="57" t="n">
        <v>11</v>
      </c>
    </row>
    <row r="5079">
      <c r="A5079" s="62" t="n">
        <v>46806</v>
      </c>
      <c r="B5079" s="3" t="inlineStr">
        <is>
          <t>Week</t>
        </is>
      </c>
      <c r="C5079" s="19" t="n">
        <v>2</v>
      </c>
      <c r="D5079" s="19" t="n">
        <v>2028</v>
      </c>
      <c r="E5079" s="57" t="n">
        <v>5</v>
      </c>
      <c r="F5079" s="29">
        <f>ROUND(((SUMIFS(Calendar!$F$2:$F$9997,Calendar!$B$2:$B$9997,D5079,Calendar!$C$2:$C$9997,C5079)*INDEX(ForeCalc!$B$37:$Y$274,MATCH(_xlfn.CONCAT(H5079," ",I5079),ForeCalc!$A$37:$A$274,0),MATCH(_xlfn.CONCAT(B5079," ",E5079),ForeCalc!$B$36:$Y$36,0))))*VLOOKUP(A5079,Calendar!$A$2:$H$9997,8,FALSE),0)</f>
        <v/>
      </c>
      <c r="G5079" s="29">
        <f>VLOOKUP(A5079,Calendar!$A$1:$H$9997,6,FALSE)-F5079</f>
        <v/>
      </c>
      <c r="H5079" s="19" t="n">
        <v>2</v>
      </c>
      <c r="I5079" s="57" t="n">
        <v>11</v>
      </c>
    </row>
    <row r="5080">
      <c r="A5080" s="62" t="n">
        <v>46807</v>
      </c>
      <c r="B5080" s="3" t="inlineStr">
        <is>
          <t>Week</t>
        </is>
      </c>
      <c r="C5080" s="19" t="n">
        <v>2</v>
      </c>
      <c r="D5080" s="19" t="n">
        <v>2028</v>
      </c>
      <c r="E5080" s="57" t="n">
        <v>5</v>
      </c>
      <c r="F5080" s="29">
        <f>ROUND(((SUMIFS(Calendar!$F$2:$F$9997,Calendar!$B$2:$B$9997,D5080,Calendar!$C$2:$C$9997,C5080)*INDEX(ForeCalc!$B$37:$Y$274,MATCH(_xlfn.CONCAT(H5080," ",I5080),ForeCalc!$A$37:$A$274,0),MATCH(_xlfn.CONCAT(B5080," ",E5080),ForeCalc!$B$36:$Y$36,0))))*VLOOKUP(A5080,Calendar!$A$2:$H$9997,8,FALSE),0)</f>
        <v/>
      </c>
      <c r="G5080" s="29">
        <f>VLOOKUP(A5080,Calendar!$A$1:$H$9997,6,FALSE)-F5080</f>
        <v/>
      </c>
      <c r="H5080" s="19" t="n">
        <v>2</v>
      </c>
      <c r="I5080" s="57" t="n">
        <v>11</v>
      </c>
    </row>
    <row r="5081">
      <c r="A5081" s="62" t="n">
        <v>46808</v>
      </c>
      <c r="B5081" s="3" t="inlineStr">
        <is>
          <t>Week</t>
        </is>
      </c>
      <c r="C5081" s="19" t="n">
        <v>2</v>
      </c>
      <c r="D5081" s="19" t="n">
        <v>2028</v>
      </c>
      <c r="E5081" s="57" t="n">
        <v>5</v>
      </c>
      <c r="F5081" s="29">
        <f>ROUND(((SUMIFS(Calendar!$F$2:$F$9997,Calendar!$B$2:$B$9997,D5081,Calendar!$C$2:$C$9997,C5081)*INDEX(ForeCalc!$B$37:$Y$274,MATCH(_xlfn.CONCAT(H5081," ",I5081),ForeCalc!$A$37:$A$274,0),MATCH(_xlfn.CONCAT(B5081," ",E5081),ForeCalc!$B$36:$Y$36,0))))*VLOOKUP(A5081,Calendar!$A$2:$H$9997,8,FALSE),0)</f>
        <v/>
      </c>
      <c r="G5081" s="29">
        <f>VLOOKUP(A5081,Calendar!$A$1:$H$9997,6,FALSE)-F5081</f>
        <v/>
      </c>
      <c r="H5081" s="19" t="n">
        <v>2</v>
      </c>
      <c r="I5081" s="57" t="n">
        <v>11</v>
      </c>
    </row>
    <row r="5082">
      <c r="A5082" s="62" t="n">
        <v>46809</v>
      </c>
      <c r="B5082" s="3" t="inlineStr">
        <is>
          <t>Sat</t>
        </is>
      </c>
      <c r="C5082" s="19" t="n">
        <v>2</v>
      </c>
      <c r="D5082" s="19" t="n">
        <v>2028</v>
      </c>
      <c r="E5082" s="57" t="n">
        <v>5</v>
      </c>
      <c r="F5082" s="29">
        <f>ROUND(((SUMIFS(Calendar!$F$2:$F$9997,Calendar!$B$2:$B$9997,D5082,Calendar!$C$2:$C$9997,C5082)*INDEX(ForeCalc!$B$37:$Y$274,MATCH(_xlfn.CONCAT(H5082," ",I5082),ForeCalc!$A$37:$A$274,0),MATCH(_xlfn.CONCAT(B5082," ",E5082),ForeCalc!$B$36:$Y$36,0))))*VLOOKUP(A5082,Calendar!$A$2:$H$9997,8,FALSE),0)</f>
        <v/>
      </c>
      <c r="G5082" s="29">
        <f>VLOOKUP(A5082,Calendar!$A$1:$H$9997,6,FALSE)-F5082</f>
        <v/>
      </c>
      <c r="H5082" s="19" t="n">
        <v>2</v>
      </c>
      <c r="I5082" s="57" t="n">
        <v>11</v>
      </c>
    </row>
    <row r="5083">
      <c r="A5083" s="62" t="n">
        <v>46810</v>
      </c>
      <c r="B5083" s="3" t="inlineStr">
        <is>
          <t>Sun</t>
        </is>
      </c>
      <c r="C5083" s="19" t="n">
        <v>2</v>
      </c>
      <c r="D5083" s="19" t="n">
        <v>2028</v>
      </c>
      <c r="E5083" s="57" t="n">
        <v>5</v>
      </c>
      <c r="F5083" s="29">
        <f>ROUND(((SUMIFS(Calendar!$F$2:$F$9997,Calendar!$B$2:$B$9997,D5083,Calendar!$C$2:$C$9997,C5083)*INDEX(ForeCalc!$B$37:$Y$274,MATCH(_xlfn.CONCAT(H5083," ",I5083),ForeCalc!$A$37:$A$274,0),MATCH(_xlfn.CONCAT(B5083," ",E5083),ForeCalc!$B$36:$Y$36,0))))*VLOOKUP(A5083,Calendar!$A$2:$H$9997,8,FALSE),0)</f>
        <v/>
      </c>
      <c r="G5083" s="29">
        <f>VLOOKUP(A5083,Calendar!$A$1:$H$9997,6,FALSE)-F5083</f>
        <v/>
      </c>
      <c r="H5083" s="19" t="n">
        <v>2</v>
      </c>
      <c r="I5083" s="57" t="n">
        <v>11</v>
      </c>
    </row>
    <row r="5084">
      <c r="A5084" s="62" t="n">
        <v>46811</v>
      </c>
      <c r="B5084" s="3" t="inlineStr">
        <is>
          <t>Week</t>
        </is>
      </c>
      <c r="C5084" s="19" t="n">
        <v>2</v>
      </c>
      <c r="D5084" s="19" t="n">
        <v>2028</v>
      </c>
      <c r="E5084" s="57" t="n">
        <v>5</v>
      </c>
      <c r="F5084" s="29">
        <f>ROUND(((SUMIFS(Calendar!$F$2:$F$9997,Calendar!$B$2:$B$9997,D5084,Calendar!$C$2:$C$9997,C5084)*INDEX(ForeCalc!$B$37:$Y$274,MATCH(_xlfn.CONCAT(H5084," ",I5084),ForeCalc!$A$37:$A$274,0),MATCH(_xlfn.CONCAT(B5084," ",E5084),ForeCalc!$B$36:$Y$36,0))))*VLOOKUP(A5084,Calendar!$A$2:$H$9997,8,FALSE),0)</f>
        <v/>
      </c>
      <c r="G5084" s="29">
        <f>VLOOKUP(A5084,Calendar!$A$1:$H$9997,6,FALSE)-F5084</f>
        <v/>
      </c>
      <c r="H5084" s="19" t="n">
        <v>2</v>
      </c>
      <c r="I5084" s="57" t="n">
        <v>11</v>
      </c>
    </row>
    <row r="5085">
      <c r="A5085" s="62" t="n">
        <v>46812</v>
      </c>
      <c r="B5085" s="3" t="inlineStr">
        <is>
          <t>Week</t>
        </is>
      </c>
      <c r="C5085" s="19" t="n">
        <v>2</v>
      </c>
      <c r="D5085" s="19" t="n">
        <v>2028</v>
      </c>
      <c r="E5085" s="57" t="n">
        <v>5</v>
      </c>
      <c r="F5085" s="29">
        <f>ROUND(((SUMIFS(Calendar!$F$2:$F$9997,Calendar!$B$2:$B$9997,D5085,Calendar!$C$2:$C$9997,C5085)*INDEX(ForeCalc!$B$37:$Y$274,MATCH(_xlfn.CONCAT(H5085," ",I5085),ForeCalc!$A$37:$A$274,0),MATCH(_xlfn.CONCAT(B5085," ",E5085),ForeCalc!$B$36:$Y$36,0))))*VLOOKUP(A5085,Calendar!$A$2:$H$9997,8,FALSE),0)</f>
        <v/>
      </c>
      <c r="G5085" s="29">
        <f>VLOOKUP(A5085,Calendar!$A$1:$H$9997,6,FALSE)-F5085</f>
        <v/>
      </c>
      <c r="H5085" s="19" t="n">
        <v>2</v>
      </c>
      <c r="I5085" s="57" t="n">
        <v>11</v>
      </c>
    </row>
    <row r="5086">
      <c r="A5086" s="62" t="n">
        <v>46813</v>
      </c>
      <c r="B5086" s="3" t="inlineStr">
        <is>
          <t>Week</t>
        </is>
      </c>
      <c r="C5086" s="19" t="n">
        <v>3</v>
      </c>
      <c r="D5086" s="19" t="n">
        <v>2028</v>
      </c>
      <c r="E5086" s="57" t="n">
        <v>5</v>
      </c>
      <c r="F5086" s="29">
        <f>ROUND(((SUMIFS(Calendar!$F$2:$F$9997,Calendar!$B$2:$B$9997,D5086,Calendar!$C$2:$C$9997,C5086)*INDEX(ForeCalc!$B$37:$Y$274,MATCH(_xlfn.CONCAT(H5086," ",I5086),ForeCalc!$A$37:$A$274,0),MATCH(_xlfn.CONCAT(B5086," ",E5086),ForeCalc!$B$36:$Y$36,0))))*VLOOKUP(A5086,Calendar!$A$2:$H$9997,8,FALSE),0)</f>
        <v/>
      </c>
      <c r="G5086" s="29">
        <f>VLOOKUP(A5086,Calendar!$A$1:$H$9997,6,FALSE)-F5086</f>
        <v/>
      </c>
      <c r="H5086" s="19" t="n">
        <v>2</v>
      </c>
      <c r="I5086" s="57" t="n">
        <v>12</v>
      </c>
    </row>
    <row r="5087">
      <c r="A5087" s="62" t="n">
        <v>46814</v>
      </c>
      <c r="B5087" s="3" t="inlineStr">
        <is>
          <t>Week</t>
        </is>
      </c>
      <c r="C5087" s="19" t="n">
        <v>3</v>
      </c>
      <c r="D5087" s="19" t="n">
        <v>2028</v>
      </c>
      <c r="E5087" s="57" t="n">
        <v>5</v>
      </c>
      <c r="F5087" s="29">
        <f>ROUND(((SUMIFS(Calendar!$F$2:$F$9997,Calendar!$B$2:$B$9997,D5087,Calendar!$C$2:$C$9997,C5087)*INDEX(ForeCalc!$B$37:$Y$274,MATCH(_xlfn.CONCAT(H5087," ",I5087),ForeCalc!$A$37:$A$274,0),MATCH(_xlfn.CONCAT(B5087," ",E5087),ForeCalc!$B$36:$Y$36,0))))*VLOOKUP(A5087,Calendar!$A$2:$H$9997,8,FALSE),0)</f>
        <v/>
      </c>
      <c r="G5087" s="29">
        <f>VLOOKUP(A5087,Calendar!$A$1:$H$9997,6,FALSE)-F5087</f>
        <v/>
      </c>
      <c r="H5087" s="19" t="n">
        <v>2</v>
      </c>
      <c r="I5087" s="57" t="n">
        <v>12</v>
      </c>
    </row>
    <row r="5088">
      <c r="A5088" s="62" t="n">
        <v>46815</v>
      </c>
      <c r="B5088" s="3" t="inlineStr">
        <is>
          <t>Week</t>
        </is>
      </c>
      <c r="C5088" s="19" t="n">
        <v>3</v>
      </c>
      <c r="D5088" s="19" t="n">
        <v>2028</v>
      </c>
      <c r="E5088" s="57" t="n">
        <v>5</v>
      </c>
      <c r="F5088" s="29">
        <f>ROUND(((SUMIFS(Calendar!$F$2:$F$9997,Calendar!$B$2:$B$9997,D5088,Calendar!$C$2:$C$9997,C5088)*INDEX(ForeCalc!$B$37:$Y$274,MATCH(_xlfn.CONCAT(H5088," ",I5088),ForeCalc!$A$37:$A$274,0),MATCH(_xlfn.CONCAT(B5088," ",E5088),ForeCalc!$B$36:$Y$36,0))))*VLOOKUP(A5088,Calendar!$A$2:$H$9997,8,FALSE),0)</f>
        <v/>
      </c>
      <c r="G5088" s="29">
        <f>VLOOKUP(A5088,Calendar!$A$1:$H$9997,6,FALSE)-F5088</f>
        <v/>
      </c>
      <c r="H5088" s="19" t="n">
        <v>2</v>
      </c>
      <c r="I5088" s="57" t="n">
        <v>12</v>
      </c>
    </row>
    <row r="5089">
      <c r="A5089" s="62" t="n">
        <v>46816</v>
      </c>
      <c r="B5089" s="3" t="inlineStr">
        <is>
          <t>Sat</t>
        </is>
      </c>
      <c r="C5089" s="19" t="n">
        <v>3</v>
      </c>
      <c r="D5089" s="19" t="n">
        <v>2028</v>
      </c>
      <c r="E5089" s="57" t="n">
        <v>5</v>
      </c>
      <c r="F5089" s="29">
        <f>ROUND(((SUMIFS(Calendar!$F$2:$F$9997,Calendar!$B$2:$B$9997,D5089,Calendar!$C$2:$C$9997,C5089)*INDEX(ForeCalc!$B$37:$Y$274,MATCH(_xlfn.CONCAT(H5089," ",I5089),ForeCalc!$A$37:$A$274,0),MATCH(_xlfn.CONCAT(B5089," ",E5089),ForeCalc!$B$36:$Y$36,0))))*VLOOKUP(A5089,Calendar!$A$2:$H$9997,8,FALSE),0)</f>
        <v/>
      </c>
      <c r="G5089" s="29">
        <f>VLOOKUP(A5089,Calendar!$A$1:$H$9997,6,FALSE)-F5089</f>
        <v/>
      </c>
      <c r="H5089" s="19" t="n">
        <v>2</v>
      </c>
      <c r="I5089" s="57" t="n">
        <v>12</v>
      </c>
    </row>
    <row r="5090">
      <c r="A5090" s="62" t="n">
        <v>46817</v>
      </c>
      <c r="B5090" s="3" t="inlineStr">
        <is>
          <t>Sun</t>
        </is>
      </c>
      <c r="C5090" s="19" t="n">
        <v>3</v>
      </c>
      <c r="D5090" s="19" t="n">
        <v>2028</v>
      </c>
      <c r="E5090" s="57" t="n">
        <v>5</v>
      </c>
      <c r="F5090" s="29">
        <f>ROUND(((SUMIFS(Calendar!$F$2:$F$9997,Calendar!$B$2:$B$9997,D5090,Calendar!$C$2:$C$9997,C5090)*INDEX(ForeCalc!$B$37:$Y$274,MATCH(_xlfn.CONCAT(H5090," ",I5090),ForeCalc!$A$37:$A$274,0),MATCH(_xlfn.CONCAT(B5090," ",E5090),ForeCalc!$B$36:$Y$36,0))))*VLOOKUP(A5090,Calendar!$A$2:$H$9997,8,FALSE),0)</f>
        <v/>
      </c>
      <c r="G5090" s="29">
        <f>VLOOKUP(A5090,Calendar!$A$1:$H$9997,6,FALSE)-F5090</f>
        <v/>
      </c>
      <c r="H5090" s="19" t="n">
        <v>2</v>
      </c>
      <c r="I5090" s="57" t="n">
        <v>12</v>
      </c>
    </row>
    <row r="5091">
      <c r="A5091" s="62" t="n">
        <v>46818</v>
      </c>
      <c r="B5091" s="3" t="inlineStr">
        <is>
          <t>Week</t>
        </is>
      </c>
      <c r="C5091" s="19" t="n">
        <v>3</v>
      </c>
      <c r="D5091" s="19" t="n">
        <v>2028</v>
      </c>
      <c r="E5091" s="57" t="n">
        <v>5</v>
      </c>
      <c r="F5091" s="29">
        <f>ROUND(((SUMIFS(Calendar!$F$2:$F$9997,Calendar!$B$2:$B$9997,D5091,Calendar!$C$2:$C$9997,C5091)*INDEX(ForeCalc!$B$37:$Y$274,MATCH(_xlfn.CONCAT(H5091," ",I5091),ForeCalc!$A$37:$A$274,0),MATCH(_xlfn.CONCAT(B5091," ",E5091),ForeCalc!$B$36:$Y$36,0))))*VLOOKUP(A5091,Calendar!$A$2:$H$9997,8,FALSE),0)</f>
        <v/>
      </c>
      <c r="G5091" s="29">
        <f>VLOOKUP(A5091,Calendar!$A$1:$H$9997,6,FALSE)-F5091</f>
        <v/>
      </c>
      <c r="H5091" s="19" t="n">
        <v>2</v>
      </c>
      <c r="I5091" s="57" t="n">
        <v>12</v>
      </c>
    </row>
    <row r="5092">
      <c r="A5092" s="62" t="n">
        <v>46819</v>
      </c>
      <c r="B5092" s="3" t="inlineStr">
        <is>
          <t>Week</t>
        </is>
      </c>
      <c r="C5092" s="19" t="n">
        <v>3</v>
      </c>
      <c r="D5092" s="19" t="n">
        <v>2028</v>
      </c>
      <c r="E5092" s="57" t="n">
        <v>5</v>
      </c>
      <c r="F5092" s="29">
        <f>ROUND(((SUMIFS(Calendar!$F$2:$F$9997,Calendar!$B$2:$B$9997,D5092,Calendar!$C$2:$C$9997,C5092)*INDEX(ForeCalc!$B$37:$Y$274,MATCH(_xlfn.CONCAT(H5092," ",I5092),ForeCalc!$A$37:$A$274,0),MATCH(_xlfn.CONCAT(B5092," ",E5092),ForeCalc!$B$36:$Y$36,0))))*VLOOKUP(A5092,Calendar!$A$2:$H$9997,8,FALSE),0)</f>
        <v/>
      </c>
      <c r="G5092" s="29">
        <f>VLOOKUP(A5092,Calendar!$A$1:$H$9997,6,FALSE)-F5092</f>
        <v/>
      </c>
      <c r="H5092" s="19" t="n">
        <v>2</v>
      </c>
      <c r="I5092" s="57" t="n">
        <v>12</v>
      </c>
    </row>
    <row r="5093">
      <c r="A5093" s="62" t="n">
        <v>46820</v>
      </c>
      <c r="B5093" s="3" t="inlineStr">
        <is>
          <t>Week</t>
        </is>
      </c>
      <c r="C5093" s="19" t="n">
        <v>3</v>
      </c>
      <c r="D5093" s="19" t="n">
        <v>2028</v>
      </c>
      <c r="E5093" s="57" t="n">
        <v>5</v>
      </c>
      <c r="F5093" s="29">
        <f>ROUND(((SUMIFS(Calendar!$F$2:$F$9997,Calendar!$B$2:$B$9997,D5093,Calendar!$C$2:$C$9997,C5093)*INDEX(ForeCalc!$B$37:$Y$274,MATCH(_xlfn.CONCAT(H5093," ",I5093),ForeCalc!$A$37:$A$274,0),MATCH(_xlfn.CONCAT(B5093," ",E5093),ForeCalc!$B$36:$Y$36,0))))*VLOOKUP(A5093,Calendar!$A$2:$H$9997,8,FALSE),0)</f>
        <v/>
      </c>
      <c r="G5093" s="29">
        <f>VLOOKUP(A5093,Calendar!$A$1:$H$9997,6,FALSE)-F5093</f>
        <v/>
      </c>
      <c r="H5093" s="19" t="n">
        <v>2</v>
      </c>
      <c r="I5093" s="57" t="n">
        <v>12</v>
      </c>
    </row>
    <row r="5094">
      <c r="A5094" s="62" t="n">
        <v>46821</v>
      </c>
      <c r="B5094" s="3" t="inlineStr">
        <is>
          <t>Week</t>
        </is>
      </c>
      <c r="C5094" s="19" t="n">
        <v>3</v>
      </c>
      <c r="D5094" s="19" t="n">
        <v>2028</v>
      </c>
      <c r="E5094" s="57" t="n">
        <v>5</v>
      </c>
      <c r="F5094" s="29">
        <f>ROUND(((SUMIFS(Calendar!$F$2:$F$9997,Calendar!$B$2:$B$9997,D5094,Calendar!$C$2:$C$9997,C5094)*INDEX(ForeCalc!$B$37:$Y$274,MATCH(_xlfn.CONCAT(H5094," ",I5094),ForeCalc!$A$37:$A$274,0),MATCH(_xlfn.CONCAT(B5094," ",E5094),ForeCalc!$B$36:$Y$36,0))))*VLOOKUP(A5094,Calendar!$A$2:$H$9997,8,FALSE),0)</f>
        <v/>
      </c>
      <c r="G5094" s="29">
        <f>VLOOKUP(A5094,Calendar!$A$1:$H$9997,6,FALSE)-F5094</f>
        <v/>
      </c>
      <c r="H5094" s="19" t="n">
        <v>2</v>
      </c>
      <c r="I5094" s="57" t="n">
        <v>12</v>
      </c>
    </row>
    <row r="5095">
      <c r="A5095" s="62" t="n">
        <v>46822</v>
      </c>
      <c r="B5095" s="3" t="inlineStr">
        <is>
          <t>Week</t>
        </is>
      </c>
      <c r="C5095" s="19" t="n">
        <v>3</v>
      </c>
      <c r="D5095" s="19" t="n">
        <v>2028</v>
      </c>
      <c r="E5095" s="57" t="n">
        <v>5</v>
      </c>
      <c r="F5095" s="29">
        <f>ROUND(((SUMIFS(Calendar!$F$2:$F$9997,Calendar!$B$2:$B$9997,D5095,Calendar!$C$2:$C$9997,C5095)*INDEX(ForeCalc!$B$37:$Y$274,MATCH(_xlfn.CONCAT(H5095," ",I5095),ForeCalc!$A$37:$A$274,0),MATCH(_xlfn.CONCAT(B5095," ",E5095),ForeCalc!$B$36:$Y$36,0))))*VLOOKUP(A5095,Calendar!$A$2:$H$9997,8,FALSE),0)</f>
        <v/>
      </c>
      <c r="G5095" s="29">
        <f>VLOOKUP(A5095,Calendar!$A$1:$H$9997,6,FALSE)-F5095</f>
        <v/>
      </c>
      <c r="H5095" s="19" t="n">
        <v>2</v>
      </c>
      <c r="I5095" s="57" t="n">
        <v>12</v>
      </c>
    </row>
    <row r="5096">
      <c r="A5096" s="62" t="n">
        <v>46823</v>
      </c>
      <c r="B5096" s="3" t="inlineStr">
        <is>
          <t>Sat</t>
        </is>
      </c>
      <c r="C5096" s="19" t="n">
        <v>3</v>
      </c>
      <c r="D5096" s="19" t="n">
        <v>2028</v>
      </c>
      <c r="E5096" s="57" t="n">
        <v>5</v>
      </c>
      <c r="F5096" s="29">
        <f>ROUND(((SUMIFS(Calendar!$F$2:$F$9997,Calendar!$B$2:$B$9997,D5096,Calendar!$C$2:$C$9997,C5096)*INDEX(ForeCalc!$B$37:$Y$274,MATCH(_xlfn.CONCAT(H5096," ",I5096),ForeCalc!$A$37:$A$274,0),MATCH(_xlfn.CONCAT(B5096," ",E5096),ForeCalc!$B$36:$Y$36,0))))*VLOOKUP(A5096,Calendar!$A$2:$H$9997,8,FALSE),0)</f>
        <v/>
      </c>
      <c r="G5096" s="29">
        <f>VLOOKUP(A5096,Calendar!$A$1:$H$9997,6,FALSE)-F5096</f>
        <v/>
      </c>
      <c r="H5096" s="19" t="n">
        <v>2</v>
      </c>
      <c r="I5096" s="57" t="n">
        <v>12</v>
      </c>
    </row>
    <row r="5097">
      <c r="A5097" s="62" t="n">
        <v>46824</v>
      </c>
      <c r="B5097" s="3" t="inlineStr">
        <is>
          <t>Sun</t>
        </is>
      </c>
      <c r="C5097" s="19" t="n">
        <v>3</v>
      </c>
      <c r="D5097" s="19" t="n">
        <v>2028</v>
      </c>
      <c r="E5097" s="57" t="n">
        <v>5</v>
      </c>
      <c r="F5097" s="29">
        <f>ROUND(((SUMIFS(Calendar!$F$2:$F$9997,Calendar!$B$2:$B$9997,D5097,Calendar!$C$2:$C$9997,C5097)*INDEX(ForeCalc!$B$37:$Y$274,MATCH(_xlfn.CONCAT(H5097," ",I5097),ForeCalc!$A$37:$A$274,0),MATCH(_xlfn.CONCAT(B5097," ",E5097),ForeCalc!$B$36:$Y$36,0))))*VLOOKUP(A5097,Calendar!$A$2:$H$9997,8,FALSE),0)</f>
        <v/>
      </c>
      <c r="G5097" s="29">
        <f>VLOOKUP(A5097,Calendar!$A$1:$H$9997,6,FALSE)-F5097</f>
        <v/>
      </c>
      <c r="H5097" s="19" t="n">
        <v>2</v>
      </c>
      <c r="I5097" s="57" t="n">
        <v>12</v>
      </c>
    </row>
    <row r="5098">
      <c r="A5098" s="62" t="n">
        <v>46825</v>
      </c>
      <c r="B5098" s="3" t="inlineStr">
        <is>
          <t>Week</t>
        </is>
      </c>
      <c r="C5098" s="19" t="n">
        <v>3</v>
      </c>
      <c r="D5098" s="19" t="n">
        <v>2028</v>
      </c>
      <c r="E5098" s="57" t="n">
        <v>5</v>
      </c>
      <c r="F5098" s="29">
        <f>ROUND(((SUMIFS(Calendar!$F$2:$F$9997,Calendar!$B$2:$B$9997,D5098,Calendar!$C$2:$C$9997,C5098)*INDEX(ForeCalc!$B$37:$Y$274,MATCH(_xlfn.CONCAT(H5098," ",I5098),ForeCalc!$A$37:$A$274,0),MATCH(_xlfn.CONCAT(B5098," ",E5098),ForeCalc!$B$36:$Y$36,0))))*VLOOKUP(A5098,Calendar!$A$2:$H$9997,8,FALSE),0)</f>
        <v/>
      </c>
      <c r="G5098" s="29">
        <f>VLOOKUP(A5098,Calendar!$A$1:$H$9997,6,FALSE)-F5098</f>
        <v/>
      </c>
      <c r="H5098" s="19" t="n">
        <v>2</v>
      </c>
      <c r="I5098" s="57" t="n">
        <v>12</v>
      </c>
    </row>
    <row r="5099">
      <c r="A5099" s="62" t="n">
        <v>46826</v>
      </c>
      <c r="B5099" s="3" t="inlineStr">
        <is>
          <t>Week</t>
        </is>
      </c>
      <c r="C5099" s="19" t="n">
        <v>3</v>
      </c>
      <c r="D5099" s="19" t="n">
        <v>2028</v>
      </c>
      <c r="E5099" s="57" t="n">
        <v>5</v>
      </c>
      <c r="F5099" s="29">
        <f>ROUND(((SUMIFS(Calendar!$F$2:$F$9997,Calendar!$B$2:$B$9997,D5099,Calendar!$C$2:$C$9997,C5099)*INDEX(ForeCalc!$B$37:$Y$274,MATCH(_xlfn.CONCAT(H5099," ",I5099),ForeCalc!$A$37:$A$274,0),MATCH(_xlfn.CONCAT(B5099," ",E5099),ForeCalc!$B$36:$Y$36,0))))*VLOOKUP(A5099,Calendar!$A$2:$H$9997,8,FALSE),0)</f>
        <v/>
      </c>
      <c r="G5099" s="29">
        <f>VLOOKUP(A5099,Calendar!$A$1:$H$9997,6,FALSE)-F5099</f>
        <v/>
      </c>
      <c r="H5099" s="19" t="n">
        <v>2</v>
      </c>
      <c r="I5099" s="57" t="n">
        <v>12</v>
      </c>
    </row>
    <row r="5100">
      <c r="A5100" s="62" t="n">
        <v>46827</v>
      </c>
      <c r="B5100" s="3" t="inlineStr">
        <is>
          <t>Week</t>
        </is>
      </c>
      <c r="C5100" s="19" t="n">
        <v>3</v>
      </c>
      <c r="D5100" s="19" t="n">
        <v>2028</v>
      </c>
      <c r="E5100" s="57" t="n">
        <v>5</v>
      </c>
      <c r="F5100" s="29">
        <f>ROUND(((SUMIFS(Calendar!$F$2:$F$9997,Calendar!$B$2:$B$9997,D5100,Calendar!$C$2:$C$9997,C5100)*INDEX(ForeCalc!$B$37:$Y$274,MATCH(_xlfn.CONCAT(H5100," ",I5100),ForeCalc!$A$37:$A$274,0),MATCH(_xlfn.CONCAT(B5100," ",E5100),ForeCalc!$B$36:$Y$36,0))))*VLOOKUP(A5100,Calendar!$A$2:$H$9997,8,FALSE),0)</f>
        <v/>
      </c>
      <c r="G5100" s="29">
        <f>VLOOKUP(A5100,Calendar!$A$1:$H$9997,6,FALSE)-F5100</f>
        <v/>
      </c>
      <c r="H5100" s="19" t="n">
        <v>2</v>
      </c>
      <c r="I5100" s="57" t="n">
        <v>12</v>
      </c>
    </row>
    <row r="5101">
      <c r="A5101" s="62" t="n">
        <v>46828</v>
      </c>
      <c r="B5101" s="3" t="inlineStr">
        <is>
          <t>Week</t>
        </is>
      </c>
      <c r="C5101" s="19" t="n">
        <v>3</v>
      </c>
      <c r="D5101" s="19" t="n">
        <v>2028</v>
      </c>
      <c r="E5101" s="57" t="n">
        <v>5</v>
      </c>
      <c r="F5101" s="29">
        <f>ROUND(((SUMIFS(Calendar!$F$2:$F$9997,Calendar!$B$2:$B$9997,D5101,Calendar!$C$2:$C$9997,C5101)*INDEX(ForeCalc!$B$37:$Y$274,MATCH(_xlfn.CONCAT(H5101," ",I5101),ForeCalc!$A$37:$A$274,0),MATCH(_xlfn.CONCAT(B5101," ",E5101),ForeCalc!$B$36:$Y$36,0))))*VLOOKUP(A5101,Calendar!$A$2:$H$9997,8,FALSE),0)</f>
        <v/>
      </c>
      <c r="G5101" s="29">
        <f>VLOOKUP(A5101,Calendar!$A$1:$H$9997,6,FALSE)-F5101</f>
        <v/>
      </c>
      <c r="H5101" s="19" t="n">
        <v>2</v>
      </c>
      <c r="I5101" s="57" t="n">
        <v>12</v>
      </c>
    </row>
    <row r="5102">
      <c r="A5102" s="62" t="n">
        <v>46829</v>
      </c>
      <c r="B5102" s="3" t="inlineStr">
        <is>
          <t>Week</t>
        </is>
      </c>
      <c r="C5102" s="19" t="n">
        <v>3</v>
      </c>
      <c r="D5102" s="19" t="n">
        <v>2028</v>
      </c>
      <c r="E5102" s="57" t="n">
        <v>5</v>
      </c>
      <c r="F5102" s="29">
        <f>ROUND(((SUMIFS(Calendar!$F$2:$F$9997,Calendar!$B$2:$B$9997,D5102,Calendar!$C$2:$C$9997,C5102)*INDEX(ForeCalc!$B$37:$Y$274,MATCH(_xlfn.CONCAT(H5102," ",I5102),ForeCalc!$A$37:$A$274,0),MATCH(_xlfn.CONCAT(B5102," ",E5102),ForeCalc!$B$36:$Y$36,0))))*VLOOKUP(A5102,Calendar!$A$2:$H$9997,8,FALSE),0)</f>
        <v/>
      </c>
      <c r="G5102" s="29">
        <f>VLOOKUP(A5102,Calendar!$A$1:$H$9997,6,FALSE)-F5102</f>
        <v/>
      </c>
      <c r="H5102" s="19" t="n">
        <v>2</v>
      </c>
      <c r="I5102" s="57" t="n">
        <v>12</v>
      </c>
    </row>
    <row r="5103">
      <c r="A5103" s="62" t="n">
        <v>46830</v>
      </c>
      <c r="B5103" s="3" t="inlineStr">
        <is>
          <t>Sat</t>
        </is>
      </c>
      <c r="C5103" s="19" t="n">
        <v>3</v>
      </c>
      <c r="D5103" s="19" t="n">
        <v>2028</v>
      </c>
      <c r="E5103" s="57" t="n">
        <v>5</v>
      </c>
      <c r="F5103" s="29">
        <f>ROUND(((SUMIFS(Calendar!$F$2:$F$9997,Calendar!$B$2:$B$9997,D5103,Calendar!$C$2:$C$9997,C5103)*INDEX(ForeCalc!$B$37:$Y$274,MATCH(_xlfn.CONCAT(H5103," ",I5103),ForeCalc!$A$37:$A$274,0),MATCH(_xlfn.CONCAT(B5103," ",E5103),ForeCalc!$B$36:$Y$36,0))))*VLOOKUP(A5103,Calendar!$A$2:$H$9997,8,FALSE),0)</f>
        <v/>
      </c>
      <c r="G5103" s="29">
        <f>VLOOKUP(A5103,Calendar!$A$1:$H$9997,6,FALSE)-F5103</f>
        <v/>
      </c>
      <c r="H5103" s="19" t="n">
        <v>2</v>
      </c>
      <c r="I5103" s="57" t="n">
        <v>12</v>
      </c>
    </row>
    <row r="5104">
      <c r="A5104" s="62" t="n">
        <v>46831</v>
      </c>
      <c r="B5104" s="3" t="inlineStr">
        <is>
          <t>Sun</t>
        </is>
      </c>
      <c r="C5104" s="19" t="n">
        <v>3</v>
      </c>
      <c r="D5104" s="19" t="n">
        <v>2028</v>
      </c>
      <c r="E5104" s="57" t="n">
        <v>5</v>
      </c>
      <c r="F5104" s="29">
        <f>ROUND(((SUMIFS(Calendar!$F$2:$F$9997,Calendar!$B$2:$B$9997,D5104,Calendar!$C$2:$C$9997,C5104)*INDEX(ForeCalc!$B$37:$Y$274,MATCH(_xlfn.CONCAT(H5104," ",I5104),ForeCalc!$A$37:$A$274,0),MATCH(_xlfn.CONCAT(B5104," ",E5104),ForeCalc!$B$36:$Y$36,0))))*VLOOKUP(A5104,Calendar!$A$2:$H$9997,8,FALSE),0)</f>
        <v/>
      </c>
      <c r="G5104" s="29">
        <f>VLOOKUP(A5104,Calendar!$A$1:$H$9997,6,FALSE)-F5104</f>
        <v/>
      </c>
      <c r="H5104" s="19" t="n">
        <v>2</v>
      </c>
      <c r="I5104" s="57" t="n">
        <v>12</v>
      </c>
    </row>
    <row r="5105">
      <c r="A5105" s="62" t="n">
        <v>46832</v>
      </c>
      <c r="B5105" s="3" t="inlineStr">
        <is>
          <t>Week</t>
        </is>
      </c>
      <c r="C5105" s="19" t="n">
        <v>3</v>
      </c>
      <c r="D5105" s="19" t="n">
        <v>2028</v>
      </c>
      <c r="E5105" s="57" t="n">
        <v>5</v>
      </c>
      <c r="F5105" s="29">
        <f>ROUND(((SUMIFS(Calendar!$F$2:$F$9997,Calendar!$B$2:$B$9997,D5105,Calendar!$C$2:$C$9997,C5105)*INDEX(ForeCalc!$B$37:$Y$274,MATCH(_xlfn.CONCAT(H5105," ",I5105),ForeCalc!$A$37:$A$274,0),MATCH(_xlfn.CONCAT(B5105," ",E5105),ForeCalc!$B$36:$Y$36,0))))*VLOOKUP(A5105,Calendar!$A$2:$H$9997,8,FALSE),0)</f>
        <v/>
      </c>
      <c r="G5105" s="29">
        <f>VLOOKUP(A5105,Calendar!$A$1:$H$9997,6,FALSE)-F5105</f>
        <v/>
      </c>
      <c r="H5105" s="19" t="n">
        <v>2</v>
      </c>
      <c r="I5105" s="57" t="n">
        <v>12</v>
      </c>
    </row>
    <row r="5106">
      <c r="A5106" s="62" t="n">
        <v>46833</v>
      </c>
      <c r="B5106" s="3" t="inlineStr">
        <is>
          <t>Week</t>
        </is>
      </c>
      <c r="C5106" s="19" t="n">
        <v>3</v>
      </c>
      <c r="D5106" s="19" t="n">
        <v>2028</v>
      </c>
      <c r="E5106" s="57" t="n">
        <v>5</v>
      </c>
      <c r="F5106" s="29">
        <f>ROUND(((SUMIFS(Calendar!$F$2:$F$9997,Calendar!$B$2:$B$9997,D5106,Calendar!$C$2:$C$9997,C5106)*INDEX(ForeCalc!$B$37:$Y$274,MATCH(_xlfn.CONCAT(H5106," ",I5106),ForeCalc!$A$37:$A$274,0),MATCH(_xlfn.CONCAT(B5106," ",E5106),ForeCalc!$B$36:$Y$36,0))))*VLOOKUP(A5106,Calendar!$A$2:$H$9997,8,FALSE),0)</f>
        <v/>
      </c>
      <c r="G5106" s="29">
        <f>VLOOKUP(A5106,Calendar!$A$1:$H$9997,6,FALSE)-F5106</f>
        <v/>
      </c>
      <c r="H5106" s="19" t="n">
        <v>2</v>
      </c>
      <c r="I5106" s="57" t="n">
        <v>12</v>
      </c>
    </row>
    <row r="5107">
      <c r="A5107" s="62" t="n">
        <v>46834</v>
      </c>
      <c r="B5107" s="3" t="inlineStr">
        <is>
          <t>Week</t>
        </is>
      </c>
      <c r="C5107" s="19" t="n">
        <v>3</v>
      </c>
      <c r="D5107" s="19" t="n">
        <v>2028</v>
      </c>
      <c r="E5107" s="57" t="n">
        <v>5</v>
      </c>
      <c r="F5107" s="29">
        <f>ROUND(((SUMIFS(Calendar!$F$2:$F$9997,Calendar!$B$2:$B$9997,D5107,Calendar!$C$2:$C$9997,C5107)*INDEX(ForeCalc!$B$37:$Y$274,MATCH(_xlfn.CONCAT(H5107," ",I5107),ForeCalc!$A$37:$A$274,0),MATCH(_xlfn.CONCAT(B5107," ",E5107),ForeCalc!$B$36:$Y$36,0))))*VLOOKUP(A5107,Calendar!$A$2:$H$9997,8,FALSE),0)</f>
        <v/>
      </c>
      <c r="G5107" s="29">
        <f>VLOOKUP(A5107,Calendar!$A$1:$H$9997,6,FALSE)-F5107</f>
        <v/>
      </c>
      <c r="H5107" s="19" t="n">
        <v>2</v>
      </c>
      <c r="I5107" s="57" t="n">
        <v>12</v>
      </c>
    </row>
    <row r="5108">
      <c r="A5108" s="62" t="n">
        <v>46835</v>
      </c>
      <c r="B5108" s="3" t="inlineStr">
        <is>
          <t>Week</t>
        </is>
      </c>
      <c r="C5108" s="19" t="n">
        <v>3</v>
      </c>
      <c r="D5108" s="19" t="n">
        <v>2028</v>
      </c>
      <c r="E5108" s="57" t="n">
        <v>5</v>
      </c>
      <c r="F5108" s="29">
        <f>ROUND(((SUMIFS(Calendar!$F$2:$F$9997,Calendar!$B$2:$B$9997,D5108,Calendar!$C$2:$C$9997,C5108)*INDEX(ForeCalc!$B$37:$Y$274,MATCH(_xlfn.CONCAT(H5108," ",I5108),ForeCalc!$A$37:$A$274,0),MATCH(_xlfn.CONCAT(B5108," ",E5108),ForeCalc!$B$36:$Y$36,0))))*VLOOKUP(A5108,Calendar!$A$2:$H$9997,8,FALSE),0)</f>
        <v/>
      </c>
      <c r="G5108" s="29">
        <f>VLOOKUP(A5108,Calendar!$A$1:$H$9997,6,FALSE)-F5108</f>
        <v/>
      </c>
      <c r="H5108" s="19" t="n">
        <v>2</v>
      </c>
      <c r="I5108" s="57" t="n">
        <v>12</v>
      </c>
    </row>
    <row r="5109">
      <c r="A5109" s="62" t="n">
        <v>46836</v>
      </c>
      <c r="B5109" s="3" t="inlineStr">
        <is>
          <t>Week</t>
        </is>
      </c>
      <c r="C5109" s="19" t="n">
        <v>3</v>
      </c>
      <c r="D5109" s="19" t="n">
        <v>2028</v>
      </c>
      <c r="E5109" s="57" t="n">
        <v>5</v>
      </c>
      <c r="F5109" s="29">
        <f>ROUND(((SUMIFS(Calendar!$F$2:$F$9997,Calendar!$B$2:$B$9997,D5109,Calendar!$C$2:$C$9997,C5109)*INDEX(ForeCalc!$B$37:$Y$274,MATCH(_xlfn.CONCAT(H5109," ",I5109),ForeCalc!$A$37:$A$274,0),MATCH(_xlfn.CONCAT(B5109," ",E5109),ForeCalc!$B$36:$Y$36,0))))*VLOOKUP(A5109,Calendar!$A$2:$H$9997,8,FALSE),0)</f>
        <v/>
      </c>
      <c r="G5109" s="29">
        <f>VLOOKUP(A5109,Calendar!$A$1:$H$9997,6,FALSE)-F5109</f>
        <v/>
      </c>
      <c r="H5109" s="19" t="n">
        <v>2</v>
      </c>
      <c r="I5109" s="57" t="n">
        <v>12</v>
      </c>
    </row>
    <row r="5110">
      <c r="A5110" s="62" t="n">
        <v>46837</v>
      </c>
      <c r="B5110" s="3" t="inlineStr">
        <is>
          <t>Sat</t>
        </is>
      </c>
      <c r="C5110" s="19" t="n">
        <v>3</v>
      </c>
      <c r="D5110" s="19" t="n">
        <v>2028</v>
      </c>
      <c r="E5110" s="57" t="n">
        <v>5</v>
      </c>
      <c r="F5110" s="29">
        <f>ROUND(((SUMIFS(Calendar!$F$2:$F$9997,Calendar!$B$2:$B$9997,D5110,Calendar!$C$2:$C$9997,C5110)*INDEX(ForeCalc!$B$37:$Y$274,MATCH(_xlfn.CONCAT(H5110," ",I5110),ForeCalc!$A$37:$A$274,0),MATCH(_xlfn.CONCAT(B5110," ",E5110),ForeCalc!$B$36:$Y$36,0))))*VLOOKUP(A5110,Calendar!$A$2:$H$9997,8,FALSE),0)</f>
        <v/>
      </c>
      <c r="G5110" s="29">
        <f>VLOOKUP(A5110,Calendar!$A$1:$H$9997,6,FALSE)-F5110</f>
        <v/>
      </c>
      <c r="H5110" s="19" t="n">
        <v>2</v>
      </c>
      <c r="I5110" s="57" t="n">
        <v>12</v>
      </c>
    </row>
    <row r="5111">
      <c r="A5111" s="62" t="n">
        <v>46838</v>
      </c>
      <c r="B5111" s="3" t="inlineStr">
        <is>
          <t>Sun</t>
        </is>
      </c>
      <c r="C5111" s="19" t="n">
        <v>3</v>
      </c>
      <c r="D5111" s="19" t="n">
        <v>2028</v>
      </c>
      <c r="E5111" s="57" t="n">
        <v>5</v>
      </c>
      <c r="F5111" s="29">
        <f>ROUND(((SUMIFS(Calendar!$F$2:$F$9997,Calendar!$B$2:$B$9997,D5111,Calendar!$C$2:$C$9997,C5111)*INDEX(ForeCalc!$B$37:$Y$274,MATCH(_xlfn.CONCAT(H5111," ",I5111),ForeCalc!$A$37:$A$274,0),MATCH(_xlfn.CONCAT(B5111," ",E5111),ForeCalc!$B$36:$Y$36,0))))*VLOOKUP(A5111,Calendar!$A$2:$H$9997,8,FALSE),0)</f>
        <v/>
      </c>
      <c r="G5111" s="29">
        <f>VLOOKUP(A5111,Calendar!$A$1:$H$9997,6,FALSE)-F5111</f>
        <v/>
      </c>
      <c r="H5111" s="19" t="n">
        <v>2</v>
      </c>
      <c r="I5111" s="57" t="n">
        <v>12</v>
      </c>
    </row>
    <row r="5112">
      <c r="A5112" s="62" t="n">
        <v>46839</v>
      </c>
      <c r="B5112" s="3" t="inlineStr">
        <is>
          <t>Week</t>
        </is>
      </c>
      <c r="C5112" s="19" t="n">
        <v>3</v>
      </c>
      <c r="D5112" s="19" t="n">
        <v>2028</v>
      </c>
      <c r="E5112" s="57" t="n">
        <v>5</v>
      </c>
      <c r="F5112" s="29">
        <f>ROUND(((SUMIFS(Calendar!$F$2:$F$9997,Calendar!$B$2:$B$9997,D5112,Calendar!$C$2:$C$9997,C5112)*INDEX(ForeCalc!$B$37:$Y$274,MATCH(_xlfn.CONCAT(H5112," ",I5112),ForeCalc!$A$37:$A$274,0),MATCH(_xlfn.CONCAT(B5112," ",E5112),ForeCalc!$B$36:$Y$36,0))))*VLOOKUP(A5112,Calendar!$A$2:$H$9997,8,FALSE),0)</f>
        <v/>
      </c>
      <c r="G5112" s="29">
        <f>VLOOKUP(A5112,Calendar!$A$1:$H$9997,6,FALSE)-F5112</f>
        <v/>
      </c>
      <c r="H5112" s="19" t="n">
        <v>2</v>
      </c>
      <c r="I5112" s="57" t="n">
        <v>12</v>
      </c>
    </row>
    <row r="5113">
      <c r="A5113" s="62" t="n">
        <v>46840</v>
      </c>
      <c r="B5113" s="3" t="inlineStr">
        <is>
          <t>Week</t>
        </is>
      </c>
      <c r="C5113" s="19" t="n">
        <v>3</v>
      </c>
      <c r="D5113" s="19" t="n">
        <v>2028</v>
      </c>
      <c r="E5113" s="57" t="n">
        <v>5</v>
      </c>
      <c r="F5113" s="29">
        <f>ROUND(((SUMIFS(Calendar!$F$2:$F$9997,Calendar!$B$2:$B$9997,D5113,Calendar!$C$2:$C$9997,C5113)*INDEX(ForeCalc!$B$37:$Y$274,MATCH(_xlfn.CONCAT(H5113," ",I5113),ForeCalc!$A$37:$A$274,0),MATCH(_xlfn.CONCAT(B5113," ",E5113),ForeCalc!$B$36:$Y$36,0))))*VLOOKUP(A5113,Calendar!$A$2:$H$9997,8,FALSE),0)</f>
        <v/>
      </c>
      <c r="G5113" s="29">
        <f>VLOOKUP(A5113,Calendar!$A$1:$H$9997,6,FALSE)-F5113</f>
        <v/>
      </c>
      <c r="H5113" s="19" t="n">
        <v>2</v>
      </c>
      <c r="I5113" s="57" t="n">
        <v>12</v>
      </c>
    </row>
    <row r="5114">
      <c r="A5114" s="62" t="n">
        <v>46841</v>
      </c>
      <c r="B5114" s="3" t="inlineStr">
        <is>
          <t>Week</t>
        </is>
      </c>
      <c r="C5114" s="19" t="n">
        <v>3</v>
      </c>
      <c r="D5114" s="19" t="n">
        <v>2028</v>
      </c>
      <c r="E5114" s="57" t="n">
        <v>5</v>
      </c>
      <c r="F5114" s="29">
        <f>ROUND(((SUMIFS(Calendar!$F$2:$F$9997,Calendar!$B$2:$B$9997,D5114,Calendar!$C$2:$C$9997,C5114)*INDEX(ForeCalc!$B$37:$Y$274,MATCH(_xlfn.CONCAT(H5114," ",I5114),ForeCalc!$A$37:$A$274,0),MATCH(_xlfn.CONCAT(B5114," ",E5114),ForeCalc!$B$36:$Y$36,0))))*VLOOKUP(A5114,Calendar!$A$2:$H$9997,8,FALSE),0)</f>
        <v/>
      </c>
      <c r="G5114" s="29">
        <f>VLOOKUP(A5114,Calendar!$A$1:$H$9997,6,FALSE)-F5114</f>
        <v/>
      </c>
      <c r="H5114" s="19" t="n">
        <v>2</v>
      </c>
      <c r="I5114" s="57" t="n">
        <v>12</v>
      </c>
    </row>
    <row r="5115">
      <c r="A5115" s="62" t="n">
        <v>46842</v>
      </c>
      <c r="B5115" s="3" t="inlineStr">
        <is>
          <t>Week</t>
        </is>
      </c>
      <c r="C5115" s="19" t="n">
        <v>3</v>
      </c>
      <c r="D5115" s="19" t="n">
        <v>2028</v>
      </c>
      <c r="E5115" s="57" t="n">
        <v>5</v>
      </c>
      <c r="F5115" s="29">
        <f>ROUND(((SUMIFS(Calendar!$F$2:$F$9997,Calendar!$B$2:$B$9997,D5115,Calendar!$C$2:$C$9997,C5115)*INDEX(ForeCalc!$B$37:$Y$274,MATCH(_xlfn.CONCAT(H5115," ",I5115),ForeCalc!$A$37:$A$274,0),MATCH(_xlfn.CONCAT(B5115," ",E5115),ForeCalc!$B$36:$Y$36,0))))*VLOOKUP(A5115,Calendar!$A$2:$H$9997,8,FALSE),0)</f>
        <v/>
      </c>
      <c r="G5115" s="29">
        <f>VLOOKUP(A5115,Calendar!$A$1:$H$9997,6,FALSE)-F5115</f>
        <v/>
      </c>
      <c r="H5115" s="19" t="n">
        <v>2</v>
      </c>
      <c r="I5115" s="57" t="n">
        <v>12</v>
      </c>
    </row>
    <row r="5116">
      <c r="A5116" s="62" t="n">
        <v>46843</v>
      </c>
      <c r="B5116" s="3" t="inlineStr">
        <is>
          <t>Week</t>
        </is>
      </c>
      <c r="C5116" s="19" t="n">
        <v>3</v>
      </c>
      <c r="D5116" s="19" t="n">
        <v>2028</v>
      </c>
      <c r="E5116" s="57" t="n">
        <v>5</v>
      </c>
      <c r="F5116" s="29">
        <f>ROUND(((SUMIFS(Calendar!$F$2:$F$9997,Calendar!$B$2:$B$9997,D5116,Calendar!$C$2:$C$9997,C5116)*INDEX(ForeCalc!$B$37:$Y$274,MATCH(_xlfn.CONCAT(H5116," ",I5116),ForeCalc!$A$37:$A$274,0),MATCH(_xlfn.CONCAT(B5116," ",E5116),ForeCalc!$B$36:$Y$36,0))))*VLOOKUP(A5116,Calendar!$A$2:$H$9997,8,FALSE),0)</f>
        <v/>
      </c>
      <c r="G5116" s="29">
        <f>VLOOKUP(A5116,Calendar!$A$1:$H$9997,6,FALSE)-F5116</f>
        <v/>
      </c>
      <c r="H5116" s="19" t="n">
        <v>2</v>
      </c>
      <c r="I5116" s="57" t="n">
        <v>12</v>
      </c>
    </row>
    <row r="5117">
      <c r="A5117" s="62" t="n">
        <v>46844</v>
      </c>
      <c r="B5117" s="3" t="inlineStr">
        <is>
          <t>Sat</t>
        </is>
      </c>
      <c r="C5117" s="19" t="n">
        <v>4</v>
      </c>
      <c r="D5117" s="19" t="n">
        <v>2028</v>
      </c>
      <c r="E5117" s="57" t="n">
        <v>5</v>
      </c>
      <c r="F5117" s="29">
        <f>ROUND(((SUMIFS(Calendar!$F$2:$F$9997,Calendar!$B$2:$B$9997,D5117,Calendar!$C$2:$C$9997,C5117)*INDEX(ForeCalc!$B$37:$Y$274,MATCH(_xlfn.CONCAT(H5117," ",I5117),ForeCalc!$A$37:$A$274,0),MATCH(_xlfn.CONCAT(B5117," ",E5117),ForeCalc!$B$36:$Y$36,0))))*VLOOKUP(A5117,Calendar!$A$2:$H$9997,8,FALSE),0)</f>
        <v/>
      </c>
      <c r="G5117" s="29">
        <f>VLOOKUP(A5117,Calendar!$A$1:$H$9997,6,FALSE)-F5117</f>
        <v/>
      </c>
      <c r="H5117" s="19" t="n">
        <v>3</v>
      </c>
      <c r="I5117" s="57" t="n">
        <v>1</v>
      </c>
    </row>
    <row r="5118">
      <c r="A5118" s="62" t="n">
        <v>46845</v>
      </c>
      <c r="B5118" s="3" t="inlineStr">
        <is>
          <t>Sun</t>
        </is>
      </c>
      <c r="C5118" s="19" t="n">
        <v>4</v>
      </c>
      <c r="D5118" s="19" t="n">
        <v>2028</v>
      </c>
      <c r="E5118" s="57" t="n">
        <v>5</v>
      </c>
      <c r="F5118" s="29">
        <f>ROUND(((SUMIFS(Calendar!$F$2:$F$9997,Calendar!$B$2:$B$9997,D5118,Calendar!$C$2:$C$9997,C5118)*INDEX(ForeCalc!$B$37:$Y$274,MATCH(_xlfn.CONCAT(H5118," ",I5118),ForeCalc!$A$37:$A$274,0),MATCH(_xlfn.CONCAT(B5118," ",E5118),ForeCalc!$B$36:$Y$36,0))))*VLOOKUP(A5118,Calendar!$A$2:$H$9997,8,FALSE),0)</f>
        <v/>
      </c>
      <c r="G5118" s="29">
        <f>VLOOKUP(A5118,Calendar!$A$1:$H$9997,6,FALSE)-F5118</f>
        <v/>
      </c>
      <c r="H5118" s="19" t="n">
        <v>3</v>
      </c>
      <c r="I5118" s="57" t="n">
        <v>1</v>
      </c>
    </row>
    <row r="5119">
      <c r="A5119" s="62" t="n">
        <v>46846</v>
      </c>
      <c r="B5119" s="3" t="inlineStr">
        <is>
          <t>Week</t>
        </is>
      </c>
      <c r="C5119" s="19" t="n">
        <v>4</v>
      </c>
      <c r="D5119" s="19" t="n">
        <v>2028</v>
      </c>
      <c r="E5119" s="57" t="n">
        <v>5</v>
      </c>
      <c r="F5119" s="29">
        <f>ROUND(((SUMIFS(Calendar!$F$2:$F$9997,Calendar!$B$2:$B$9997,D5119,Calendar!$C$2:$C$9997,C5119)*INDEX(ForeCalc!$B$37:$Y$274,MATCH(_xlfn.CONCAT(H5119," ",I5119),ForeCalc!$A$37:$A$274,0),MATCH(_xlfn.CONCAT(B5119," ",E5119),ForeCalc!$B$36:$Y$36,0))))*VLOOKUP(A5119,Calendar!$A$2:$H$9997,8,FALSE),0)</f>
        <v/>
      </c>
      <c r="G5119" s="29">
        <f>VLOOKUP(A5119,Calendar!$A$1:$H$9997,6,FALSE)-F5119</f>
        <v/>
      </c>
      <c r="H5119" s="19" t="n">
        <v>3</v>
      </c>
      <c r="I5119" s="57" t="n">
        <v>1</v>
      </c>
    </row>
    <row r="5120">
      <c r="A5120" s="62" t="n">
        <v>46847</v>
      </c>
      <c r="B5120" s="3" t="inlineStr">
        <is>
          <t>Week</t>
        </is>
      </c>
      <c r="C5120" s="19" t="n">
        <v>4</v>
      </c>
      <c r="D5120" s="19" t="n">
        <v>2028</v>
      </c>
      <c r="E5120" s="57" t="n">
        <v>5</v>
      </c>
      <c r="F5120" s="29">
        <f>ROUND(((SUMIFS(Calendar!$F$2:$F$9997,Calendar!$B$2:$B$9997,D5120,Calendar!$C$2:$C$9997,C5120)*INDEX(ForeCalc!$B$37:$Y$274,MATCH(_xlfn.CONCAT(H5120," ",I5120),ForeCalc!$A$37:$A$274,0),MATCH(_xlfn.CONCAT(B5120," ",E5120),ForeCalc!$B$36:$Y$36,0))))*VLOOKUP(A5120,Calendar!$A$2:$H$9997,8,FALSE),0)</f>
        <v/>
      </c>
      <c r="G5120" s="29">
        <f>VLOOKUP(A5120,Calendar!$A$1:$H$9997,6,FALSE)-F5120</f>
        <v/>
      </c>
      <c r="H5120" s="19" t="n">
        <v>3</v>
      </c>
      <c r="I5120" s="57" t="n">
        <v>1</v>
      </c>
    </row>
    <row r="5121">
      <c r="A5121" s="62" t="n">
        <v>46848</v>
      </c>
      <c r="B5121" s="3" t="inlineStr">
        <is>
          <t>Week</t>
        </is>
      </c>
      <c r="C5121" s="19" t="n">
        <v>4</v>
      </c>
      <c r="D5121" s="19" t="n">
        <v>2028</v>
      </c>
      <c r="E5121" s="57" t="n">
        <v>5</v>
      </c>
      <c r="F5121" s="29">
        <f>ROUND(((SUMIFS(Calendar!$F$2:$F$9997,Calendar!$B$2:$B$9997,D5121,Calendar!$C$2:$C$9997,C5121)*INDEX(ForeCalc!$B$37:$Y$274,MATCH(_xlfn.CONCAT(H5121," ",I5121),ForeCalc!$A$37:$A$274,0),MATCH(_xlfn.CONCAT(B5121," ",E5121),ForeCalc!$B$36:$Y$36,0))))*VLOOKUP(A5121,Calendar!$A$2:$H$9997,8,FALSE),0)</f>
        <v/>
      </c>
      <c r="G5121" s="29">
        <f>VLOOKUP(A5121,Calendar!$A$1:$H$9997,6,FALSE)-F5121</f>
        <v/>
      </c>
      <c r="H5121" s="19" t="n">
        <v>3</v>
      </c>
      <c r="I5121" s="57" t="n">
        <v>1</v>
      </c>
    </row>
    <row r="5122">
      <c r="A5122" s="62" t="n">
        <v>46849</v>
      </c>
      <c r="B5122" s="3" t="inlineStr">
        <is>
          <t>Week</t>
        </is>
      </c>
      <c r="C5122" s="19" t="n">
        <v>4</v>
      </c>
      <c r="D5122" s="19" t="n">
        <v>2028</v>
      </c>
      <c r="E5122" s="57" t="n">
        <v>5</v>
      </c>
      <c r="F5122" s="29">
        <f>ROUND(((SUMIFS(Calendar!$F$2:$F$9997,Calendar!$B$2:$B$9997,D5122,Calendar!$C$2:$C$9997,C5122)*INDEX(ForeCalc!$B$37:$Y$274,MATCH(_xlfn.CONCAT(H5122," ",I5122),ForeCalc!$A$37:$A$274,0),MATCH(_xlfn.CONCAT(B5122," ",E5122),ForeCalc!$B$36:$Y$36,0))))*VLOOKUP(A5122,Calendar!$A$2:$H$9997,8,FALSE),0)</f>
        <v/>
      </c>
      <c r="G5122" s="29">
        <f>VLOOKUP(A5122,Calendar!$A$1:$H$9997,6,FALSE)-F5122</f>
        <v/>
      </c>
      <c r="H5122" s="19" t="n">
        <v>3</v>
      </c>
      <c r="I5122" s="57" t="n">
        <v>1</v>
      </c>
    </row>
    <row r="5123">
      <c r="A5123" s="62" t="n">
        <v>46850</v>
      </c>
      <c r="B5123" s="3" t="inlineStr">
        <is>
          <t>Week</t>
        </is>
      </c>
      <c r="C5123" s="19" t="n">
        <v>4</v>
      </c>
      <c r="D5123" s="19" t="n">
        <v>2028</v>
      </c>
      <c r="E5123" s="57" t="n">
        <v>5</v>
      </c>
      <c r="F5123" s="29">
        <f>ROUND(((SUMIFS(Calendar!$F$2:$F$9997,Calendar!$B$2:$B$9997,D5123,Calendar!$C$2:$C$9997,C5123)*INDEX(ForeCalc!$B$37:$Y$274,MATCH(_xlfn.CONCAT(H5123," ",I5123),ForeCalc!$A$37:$A$274,0),MATCH(_xlfn.CONCAT(B5123," ",E5123),ForeCalc!$B$36:$Y$36,0))))*VLOOKUP(A5123,Calendar!$A$2:$H$9997,8,FALSE),0)</f>
        <v/>
      </c>
      <c r="G5123" s="29">
        <f>VLOOKUP(A5123,Calendar!$A$1:$H$9997,6,FALSE)-F5123</f>
        <v/>
      </c>
      <c r="H5123" s="19" t="n">
        <v>3</v>
      </c>
      <c r="I5123" s="57" t="n">
        <v>1</v>
      </c>
    </row>
    <row r="5124">
      <c r="A5124" s="62" t="n">
        <v>46851</v>
      </c>
      <c r="B5124" s="3" t="inlineStr">
        <is>
          <t>Sat</t>
        </is>
      </c>
      <c r="C5124" s="19" t="n">
        <v>4</v>
      </c>
      <c r="D5124" s="19" t="n">
        <v>2028</v>
      </c>
      <c r="E5124" s="57" t="n">
        <v>5</v>
      </c>
      <c r="F5124" s="29">
        <f>ROUND(((SUMIFS(Calendar!$F$2:$F$9997,Calendar!$B$2:$B$9997,D5124,Calendar!$C$2:$C$9997,C5124)*INDEX(ForeCalc!$B$37:$Y$274,MATCH(_xlfn.CONCAT(H5124," ",I5124),ForeCalc!$A$37:$A$274,0),MATCH(_xlfn.CONCAT(B5124," ",E5124),ForeCalc!$B$36:$Y$36,0))))*VLOOKUP(A5124,Calendar!$A$2:$H$9997,8,FALSE),0)</f>
        <v/>
      </c>
      <c r="G5124" s="29">
        <f>VLOOKUP(A5124,Calendar!$A$1:$H$9997,6,FALSE)-F5124</f>
        <v/>
      </c>
      <c r="H5124" s="19" t="n">
        <v>3</v>
      </c>
      <c r="I5124" s="57" t="n">
        <v>1</v>
      </c>
    </row>
    <row r="5125">
      <c r="A5125" s="62" t="n">
        <v>46852</v>
      </c>
      <c r="B5125" s="3" t="inlineStr">
        <is>
          <t>Sun</t>
        </is>
      </c>
      <c r="C5125" s="19" t="n">
        <v>4</v>
      </c>
      <c r="D5125" s="19" t="n">
        <v>2028</v>
      </c>
      <c r="E5125" s="57" t="n">
        <v>5</v>
      </c>
      <c r="F5125" s="29">
        <f>ROUND(((SUMIFS(Calendar!$F$2:$F$9997,Calendar!$B$2:$B$9997,D5125,Calendar!$C$2:$C$9997,C5125)*INDEX(ForeCalc!$B$37:$Y$274,MATCH(_xlfn.CONCAT(H5125," ",I5125),ForeCalc!$A$37:$A$274,0),MATCH(_xlfn.CONCAT(B5125," ",E5125),ForeCalc!$B$36:$Y$36,0))))*VLOOKUP(A5125,Calendar!$A$2:$H$9997,8,FALSE),0)</f>
        <v/>
      </c>
      <c r="G5125" s="29">
        <f>VLOOKUP(A5125,Calendar!$A$1:$H$9997,6,FALSE)-F5125</f>
        <v/>
      </c>
      <c r="H5125" s="19" t="n">
        <v>3</v>
      </c>
      <c r="I5125" s="57" t="n">
        <v>1</v>
      </c>
    </row>
    <row r="5126">
      <c r="A5126" s="62" t="n">
        <v>46853</v>
      </c>
      <c r="B5126" s="3" t="inlineStr">
        <is>
          <t>Week</t>
        </is>
      </c>
      <c r="C5126" s="19" t="n">
        <v>4</v>
      </c>
      <c r="D5126" s="19" t="n">
        <v>2028</v>
      </c>
      <c r="E5126" s="57" t="n">
        <v>5</v>
      </c>
      <c r="F5126" s="29">
        <f>ROUND(((SUMIFS(Calendar!$F$2:$F$9997,Calendar!$B$2:$B$9997,D5126,Calendar!$C$2:$C$9997,C5126)*INDEX(ForeCalc!$B$37:$Y$274,MATCH(_xlfn.CONCAT(H5126," ",I5126),ForeCalc!$A$37:$A$274,0),MATCH(_xlfn.CONCAT(B5126," ",E5126),ForeCalc!$B$36:$Y$36,0))))*VLOOKUP(A5126,Calendar!$A$2:$H$9997,8,FALSE),0)</f>
        <v/>
      </c>
      <c r="G5126" s="29">
        <f>VLOOKUP(A5126,Calendar!$A$1:$H$9997,6,FALSE)-F5126</f>
        <v/>
      </c>
      <c r="H5126" s="19" t="n">
        <v>3</v>
      </c>
      <c r="I5126" s="57" t="n">
        <v>1</v>
      </c>
    </row>
    <row r="5127">
      <c r="A5127" s="62" t="n">
        <v>46854</v>
      </c>
      <c r="B5127" s="3" t="inlineStr">
        <is>
          <t>Week</t>
        </is>
      </c>
      <c r="C5127" s="19" t="n">
        <v>4</v>
      </c>
      <c r="D5127" s="19" t="n">
        <v>2028</v>
      </c>
      <c r="E5127" s="57" t="n">
        <v>5</v>
      </c>
      <c r="F5127" s="29">
        <f>ROUND(((SUMIFS(Calendar!$F$2:$F$9997,Calendar!$B$2:$B$9997,D5127,Calendar!$C$2:$C$9997,C5127)*INDEX(ForeCalc!$B$37:$Y$274,MATCH(_xlfn.CONCAT(H5127," ",I5127),ForeCalc!$A$37:$A$274,0),MATCH(_xlfn.CONCAT(B5127," ",E5127),ForeCalc!$B$36:$Y$36,0))))*VLOOKUP(A5127,Calendar!$A$2:$H$9997,8,FALSE),0)</f>
        <v/>
      </c>
      <c r="G5127" s="29">
        <f>VLOOKUP(A5127,Calendar!$A$1:$H$9997,6,FALSE)-F5127</f>
        <v/>
      </c>
      <c r="H5127" s="19" t="n">
        <v>3</v>
      </c>
      <c r="I5127" s="57" t="n">
        <v>1</v>
      </c>
    </row>
    <row r="5128">
      <c r="A5128" s="62" t="n">
        <v>46855</v>
      </c>
      <c r="B5128" s="3" t="inlineStr">
        <is>
          <t>Week</t>
        </is>
      </c>
      <c r="C5128" s="19" t="n">
        <v>4</v>
      </c>
      <c r="D5128" s="19" t="n">
        <v>2028</v>
      </c>
      <c r="E5128" s="57" t="n">
        <v>5</v>
      </c>
      <c r="F5128" s="29">
        <f>ROUND(((SUMIFS(Calendar!$F$2:$F$9997,Calendar!$B$2:$B$9997,D5128,Calendar!$C$2:$C$9997,C5128)*INDEX(ForeCalc!$B$37:$Y$274,MATCH(_xlfn.CONCAT(H5128," ",I5128),ForeCalc!$A$37:$A$274,0),MATCH(_xlfn.CONCAT(B5128," ",E5128),ForeCalc!$B$36:$Y$36,0))))*VLOOKUP(A5128,Calendar!$A$2:$H$9997,8,FALSE),0)</f>
        <v/>
      </c>
      <c r="G5128" s="29">
        <f>VLOOKUP(A5128,Calendar!$A$1:$H$9997,6,FALSE)-F5128</f>
        <v/>
      </c>
      <c r="H5128" s="19" t="n">
        <v>3</v>
      </c>
      <c r="I5128" s="57" t="n">
        <v>1</v>
      </c>
    </row>
    <row r="5129">
      <c r="A5129" s="62" t="n">
        <v>46856</v>
      </c>
      <c r="B5129" s="3" t="inlineStr">
        <is>
          <t>Week</t>
        </is>
      </c>
      <c r="C5129" s="19" t="n">
        <v>4</v>
      </c>
      <c r="D5129" s="19" t="n">
        <v>2028</v>
      </c>
      <c r="E5129" s="57" t="n">
        <v>5</v>
      </c>
      <c r="F5129" s="29">
        <f>ROUND(((SUMIFS(Calendar!$F$2:$F$9997,Calendar!$B$2:$B$9997,D5129,Calendar!$C$2:$C$9997,C5129)*INDEX(ForeCalc!$B$37:$Y$274,MATCH(_xlfn.CONCAT(H5129," ",I5129),ForeCalc!$A$37:$A$274,0),MATCH(_xlfn.CONCAT(B5129," ",E5129),ForeCalc!$B$36:$Y$36,0))))*VLOOKUP(A5129,Calendar!$A$2:$H$9997,8,FALSE),0)</f>
        <v/>
      </c>
      <c r="G5129" s="29">
        <f>VLOOKUP(A5129,Calendar!$A$1:$H$9997,6,FALSE)-F5129</f>
        <v/>
      </c>
      <c r="H5129" s="19" t="n">
        <v>3</v>
      </c>
      <c r="I5129" s="57" t="n">
        <v>1</v>
      </c>
    </row>
    <row r="5130">
      <c r="A5130" s="62" t="n">
        <v>46857</v>
      </c>
      <c r="B5130" s="3" t="inlineStr">
        <is>
          <t>Week</t>
        </is>
      </c>
      <c r="C5130" s="19" t="n">
        <v>4</v>
      </c>
      <c r="D5130" s="19" t="n">
        <v>2028</v>
      </c>
      <c r="E5130" s="57" t="n">
        <v>5</v>
      </c>
      <c r="F5130" s="29">
        <f>ROUND(((SUMIFS(Calendar!$F$2:$F$9997,Calendar!$B$2:$B$9997,D5130,Calendar!$C$2:$C$9997,C5130)*INDEX(ForeCalc!$B$37:$Y$274,MATCH(_xlfn.CONCAT(H5130," ",I5130),ForeCalc!$A$37:$A$274,0),MATCH(_xlfn.CONCAT(B5130," ",E5130),ForeCalc!$B$36:$Y$36,0))))*VLOOKUP(A5130,Calendar!$A$2:$H$9997,8,FALSE),0)</f>
        <v/>
      </c>
      <c r="G5130" s="29">
        <f>VLOOKUP(A5130,Calendar!$A$1:$H$9997,6,FALSE)-F5130</f>
        <v/>
      </c>
      <c r="H5130" s="19" t="n">
        <v>3</v>
      </c>
      <c r="I5130" s="57" t="n">
        <v>1</v>
      </c>
    </row>
    <row r="5131">
      <c r="A5131" s="62" t="n">
        <v>46858</v>
      </c>
      <c r="B5131" s="3" t="inlineStr">
        <is>
          <t>Sat</t>
        </is>
      </c>
      <c r="C5131" s="19" t="n">
        <v>4</v>
      </c>
      <c r="D5131" s="19" t="n">
        <v>2028</v>
      </c>
      <c r="E5131" s="57" t="n">
        <v>5</v>
      </c>
      <c r="F5131" s="29">
        <f>ROUND(((SUMIFS(Calendar!$F$2:$F$9997,Calendar!$B$2:$B$9997,D5131,Calendar!$C$2:$C$9997,C5131)*INDEX(ForeCalc!$B$37:$Y$274,MATCH(_xlfn.CONCAT(H5131," ",I5131),ForeCalc!$A$37:$A$274,0),MATCH(_xlfn.CONCAT(B5131," ",E5131),ForeCalc!$B$36:$Y$36,0))))*VLOOKUP(A5131,Calendar!$A$2:$H$9997,8,FALSE),0)</f>
        <v/>
      </c>
      <c r="G5131" s="29">
        <f>VLOOKUP(A5131,Calendar!$A$1:$H$9997,6,FALSE)-F5131</f>
        <v/>
      </c>
      <c r="H5131" s="19" t="n">
        <v>3</v>
      </c>
      <c r="I5131" s="57" t="n">
        <v>1</v>
      </c>
    </row>
    <row r="5132">
      <c r="A5132" s="62" t="n">
        <v>46859</v>
      </c>
      <c r="B5132" s="3" t="inlineStr">
        <is>
          <t>Sun</t>
        </is>
      </c>
      <c r="C5132" s="19" t="n">
        <v>4</v>
      </c>
      <c r="D5132" s="19" t="n">
        <v>2028</v>
      </c>
      <c r="E5132" s="57" t="n">
        <v>5</v>
      </c>
      <c r="F5132" s="29">
        <f>ROUND(((SUMIFS(Calendar!$F$2:$F$9997,Calendar!$B$2:$B$9997,D5132,Calendar!$C$2:$C$9997,C5132)*INDEX(ForeCalc!$B$37:$Y$274,MATCH(_xlfn.CONCAT(H5132," ",I5132),ForeCalc!$A$37:$A$274,0),MATCH(_xlfn.CONCAT(B5132," ",E5132),ForeCalc!$B$36:$Y$36,0))))*VLOOKUP(A5132,Calendar!$A$2:$H$9997,8,FALSE),0)</f>
        <v/>
      </c>
      <c r="G5132" s="29">
        <f>VLOOKUP(A5132,Calendar!$A$1:$H$9997,6,FALSE)-F5132</f>
        <v/>
      </c>
      <c r="H5132" s="19" t="n">
        <v>3</v>
      </c>
      <c r="I5132" s="57" t="n">
        <v>1</v>
      </c>
    </row>
    <row r="5133">
      <c r="A5133" s="62" t="n">
        <v>46860</v>
      </c>
      <c r="B5133" s="3" t="inlineStr">
        <is>
          <t>Week</t>
        </is>
      </c>
      <c r="C5133" s="19" t="n">
        <v>4</v>
      </c>
      <c r="D5133" s="19" t="n">
        <v>2028</v>
      </c>
      <c r="E5133" s="57" t="n">
        <v>5</v>
      </c>
      <c r="F5133" s="29">
        <f>ROUND(((SUMIFS(Calendar!$F$2:$F$9997,Calendar!$B$2:$B$9997,D5133,Calendar!$C$2:$C$9997,C5133)*INDEX(ForeCalc!$B$37:$Y$274,MATCH(_xlfn.CONCAT(H5133," ",I5133),ForeCalc!$A$37:$A$274,0),MATCH(_xlfn.CONCAT(B5133," ",E5133),ForeCalc!$B$36:$Y$36,0))))*VLOOKUP(A5133,Calendar!$A$2:$H$9997,8,FALSE),0)</f>
        <v/>
      </c>
      <c r="G5133" s="29">
        <f>VLOOKUP(A5133,Calendar!$A$1:$H$9997,6,FALSE)-F5133</f>
        <v/>
      </c>
      <c r="H5133" s="19" t="n">
        <v>3</v>
      </c>
      <c r="I5133" s="57" t="n">
        <v>1</v>
      </c>
    </row>
    <row r="5134">
      <c r="A5134" s="62" t="n">
        <v>46861</v>
      </c>
      <c r="B5134" s="3" t="inlineStr">
        <is>
          <t>Week</t>
        </is>
      </c>
      <c r="C5134" s="19" t="n">
        <v>4</v>
      </c>
      <c r="D5134" s="19" t="n">
        <v>2028</v>
      </c>
      <c r="E5134" s="57" t="n">
        <v>5</v>
      </c>
      <c r="F5134" s="29">
        <f>ROUND(((SUMIFS(Calendar!$F$2:$F$9997,Calendar!$B$2:$B$9997,D5134,Calendar!$C$2:$C$9997,C5134)*INDEX(ForeCalc!$B$37:$Y$274,MATCH(_xlfn.CONCAT(H5134," ",I5134),ForeCalc!$A$37:$A$274,0),MATCH(_xlfn.CONCAT(B5134," ",E5134),ForeCalc!$B$36:$Y$36,0))))*VLOOKUP(A5134,Calendar!$A$2:$H$9997,8,FALSE),0)</f>
        <v/>
      </c>
      <c r="G5134" s="29">
        <f>VLOOKUP(A5134,Calendar!$A$1:$H$9997,6,FALSE)-F5134</f>
        <v/>
      </c>
      <c r="H5134" s="19" t="n">
        <v>3</v>
      </c>
      <c r="I5134" s="57" t="n">
        <v>1</v>
      </c>
    </row>
    <row r="5135">
      <c r="A5135" s="62" t="n">
        <v>46862</v>
      </c>
      <c r="B5135" s="3" t="inlineStr">
        <is>
          <t>Week</t>
        </is>
      </c>
      <c r="C5135" s="19" t="n">
        <v>4</v>
      </c>
      <c r="D5135" s="19" t="n">
        <v>2028</v>
      </c>
      <c r="E5135" s="57" t="n">
        <v>5</v>
      </c>
      <c r="F5135" s="29">
        <f>ROUND(((SUMIFS(Calendar!$F$2:$F$9997,Calendar!$B$2:$B$9997,D5135,Calendar!$C$2:$C$9997,C5135)*INDEX(ForeCalc!$B$37:$Y$274,MATCH(_xlfn.CONCAT(H5135," ",I5135),ForeCalc!$A$37:$A$274,0),MATCH(_xlfn.CONCAT(B5135," ",E5135),ForeCalc!$B$36:$Y$36,0))))*VLOOKUP(A5135,Calendar!$A$2:$H$9997,8,FALSE),0)</f>
        <v/>
      </c>
      <c r="G5135" s="29">
        <f>VLOOKUP(A5135,Calendar!$A$1:$H$9997,6,FALSE)-F5135</f>
        <v/>
      </c>
      <c r="H5135" s="19" t="n">
        <v>3</v>
      </c>
      <c r="I5135" s="57" t="n">
        <v>1</v>
      </c>
    </row>
    <row r="5136">
      <c r="A5136" s="62" t="n">
        <v>46863</v>
      </c>
      <c r="B5136" s="3" t="inlineStr">
        <is>
          <t>Week</t>
        </is>
      </c>
      <c r="C5136" s="19" t="n">
        <v>4</v>
      </c>
      <c r="D5136" s="19" t="n">
        <v>2028</v>
      </c>
      <c r="E5136" s="57" t="n">
        <v>5</v>
      </c>
      <c r="F5136" s="29">
        <f>ROUND(((SUMIFS(Calendar!$F$2:$F$9997,Calendar!$B$2:$B$9997,D5136,Calendar!$C$2:$C$9997,C5136)*INDEX(ForeCalc!$B$37:$Y$274,MATCH(_xlfn.CONCAT(H5136," ",I5136),ForeCalc!$A$37:$A$274,0),MATCH(_xlfn.CONCAT(B5136," ",E5136),ForeCalc!$B$36:$Y$36,0))))*VLOOKUP(A5136,Calendar!$A$2:$H$9997,8,FALSE),0)</f>
        <v/>
      </c>
      <c r="G5136" s="29">
        <f>VLOOKUP(A5136,Calendar!$A$1:$H$9997,6,FALSE)-F5136</f>
        <v/>
      </c>
      <c r="H5136" s="19" t="n">
        <v>3</v>
      </c>
      <c r="I5136" s="57" t="n">
        <v>1</v>
      </c>
    </row>
    <row r="5137">
      <c r="A5137" s="62" t="n">
        <v>46864</v>
      </c>
      <c r="B5137" s="3" t="inlineStr">
        <is>
          <t>Week</t>
        </is>
      </c>
      <c r="C5137" s="19" t="n">
        <v>4</v>
      </c>
      <c r="D5137" s="19" t="n">
        <v>2028</v>
      </c>
      <c r="E5137" s="57" t="n">
        <v>5</v>
      </c>
      <c r="F5137" s="29">
        <f>ROUND(((SUMIFS(Calendar!$F$2:$F$9997,Calendar!$B$2:$B$9997,D5137,Calendar!$C$2:$C$9997,C5137)*INDEX(ForeCalc!$B$37:$Y$274,MATCH(_xlfn.CONCAT(H5137," ",I5137),ForeCalc!$A$37:$A$274,0),MATCH(_xlfn.CONCAT(B5137," ",E5137),ForeCalc!$B$36:$Y$36,0))))*VLOOKUP(A5137,Calendar!$A$2:$H$9997,8,FALSE),0)</f>
        <v/>
      </c>
      <c r="G5137" s="29">
        <f>VLOOKUP(A5137,Calendar!$A$1:$H$9997,6,FALSE)-F5137</f>
        <v/>
      </c>
      <c r="H5137" s="19" t="n">
        <v>3</v>
      </c>
      <c r="I5137" s="57" t="n">
        <v>1</v>
      </c>
    </row>
    <row r="5138">
      <c r="A5138" s="62" t="n">
        <v>46865</v>
      </c>
      <c r="B5138" s="3" t="inlineStr">
        <is>
          <t>Sat</t>
        </is>
      </c>
      <c r="C5138" s="19" t="n">
        <v>4</v>
      </c>
      <c r="D5138" s="19" t="n">
        <v>2028</v>
      </c>
      <c r="E5138" s="57" t="n">
        <v>5</v>
      </c>
      <c r="F5138" s="29">
        <f>ROUND(((SUMIFS(Calendar!$F$2:$F$9997,Calendar!$B$2:$B$9997,D5138,Calendar!$C$2:$C$9997,C5138)*INDEX(ForeCalc!$B$37:$Y$274,MATCH(_xlfn.CONCAT(H5138," ",I5138),ForeCalc!$A$37:$A$274,0),MATCH(_xlfn.CONCAT(B5138," ",E5138),ForeCalc!$B$36:$Y$36,0))))*VLOOKUP(A5138,Calendar!$A$2:$H$9997,8,FALSE),0)</f>
        <v/>
      </c>
      <c r="G5138" s="29">
        <f>VLOOKUP(A5138,Calendar!$A$1:$H$9997,6,FALSE)-F5138</f>
        <v/>
      </c>
      <c r="H5138" s="19" t="n">
        <v>3</v>
      </c>
      <c r="I5138" s="57" t="n">
        <v>1</v>
      </c>
    </row>
    <row r="5139">
      <c r="A5139" s="62" t="n">
        <v>46866</v>
      </c>
      <c r="B5139" s="3" t="inlineStr">
        <is>
          <t>Sun</t>
        </is>
      </c>
      <c r="C5139" s="19" t="n">
        <v>4</v>
      </c>
      <c r="D5139" s="19" t="n">
        <v>2028</v>
      </c>
      <c r="E5139" s="57" t="n">
        <v>5</v>
      </c>
      <c r="F5139" s="29">
        <f>ROUND(((SUMIFS(Calendar!$F$2:$F$9997,Calendar!$B$2:$B$9997,D5139,Calendar!$C$2:$C$9997,C5139)*INDEX(ForeCalc!$B$37:$Y$274,MATCH(_xlfn.CONCAT(H5139," ",I5139),ForeCalc!$A$37:$A$274,0),MATCH(_xlfn.CONCAT(B5139," ",E5139),ForeCalc!$B$36:$Y$36,0))))*VLOOKUP(A5139,Calendar!$A$2:$H$9997,8,FALSE),0)</f>
        <v/>
      </c>
      <c r="G5139" s="29">
        <f>VLOOKUP(A5139,Calendar!$A$1:$H$9997,6,FALSE)-F5139</f>
        <v/>
      </c>
      <c r="H5139" s="19" t="n">
        <v>3</v>
      </c>
      <c r="I5139" s="57" t="n">
        <v>1</v>
      </c>
    </row>
    <row r="5140">
      <c r="A5140" s="62" t="n">
        <v>46867</v>
      </c>
      <c r="B5140" s="3" t="inlineStr">
        <is>
          <t>Week</t>
        </is>
      </c>
      <c r="C5140" s="19" t="n">
        <v>4</v>
      </c>
      <c r="D5140" s="19" t="n">
        <v>2028</v>
      </c>
      <c r="E5140" s="57" t="n">
        <v>5</v>
      </c>
      <c r="F5140" s="29">
        <f>ROUND(((SUMIFS(Calendar!$F$2:$F$9997,Calendar!$B$2:$B$9997,D5140,Calendar!$C$2:$C$9997,C5140)*INDEX(ForeCalc!$B$37:$Y$274,MATCH(_xlfn.CONCAT(H5140," ",I5140),ForeCalc!$A$37:$A$274,0),MATCH(_xlfn.CONCAT(B5140," ",E5140),ForeCalc!$B$36:$Y$36,0))))*VLOOKUP(A5140,Calendar!$A$2:$H$9997,8,FALSE),0)</f>
        <v/>
      </c>
      <c r="G5140" s="29">
        <f>VLOOKUP(A5140,Calendar!$A$1:$H$9997,6,FALSE)-F5140</f>
        <v/>
      </c>
      <c r="H5140" s="19" t="n">
        <v>3</v>
      </c>
      <c r="I5140" s="57" t="n">
        <v>1</v>
      </c>
    </row>
    <row r="5141">
      <c r="A5141" s="62" t="n">
        <v>46868</v>
      </c>
      <c r="B5141" s="3" t="inlineStr">
        <is>
          <t>Week</t>
        </is>
      </c>
      <c r="C5141" s="19" t="n">
        <v>4</v>
      </c>
      <c r="D5141" s="19" t="n">
        <v>2028</v>
      </c>
      <c r="E5141" s="57" t="n">
        <v>5</v>
      </c>
      <c r="F5141" s="29">
        <f>ROUND(((SUMIFS(Calendar!$F$2:$F$9997,Calendar!$B$2:$B$9997,D5141,Calendar!$C$2:$C$9997,C5141)*INDEX(ForeCalc!$B$37:$Y$274,MATCH(_xlfn.CONCAT(H5141," ",I5141),ForeCalc!$A$37:$A$274,0),MATCH(_xlfn.CONCAT(B5141," ",E5141),ForeCalc!$B$36:$Y$36,0))))*VLOOKUP(A5141,Calendar!$A$2:$H$9997,8,FALSE),0)</f>
        <v/>
      </c>
      <c r="G5141" s="29">
        <f>VLOOKUP(A5141,Calendar!$A$1:$H$9997,6,FALSE)-F5141</f>
        <v/>
      </c>
      <c r="H5141" s="19" t="n">
        <v>3</v>
      </c>
      <c r="I5141" s="57" t="n">
        <v>1</v>
      </c>
    </row>
    <row r="5142">
      <c r="A5142" s="62" t="n">
        <v>46869</v>
      </c>
      <c r="B5142" s="3" t="inlineStr">
        <is>
          <t>Week</t>
        </is>
      </c>
      <c r="C5142" s="19" t="n">
        <v>4</v>
      </c>
      <c r="D5142" s="19" t="n">
        <v>2028</v>
      </c>
      <c r="E5142" s="57" t="n">
        <v>5</v>
      </c>
      <c r="F5142" s="29">
        <f>ROUND(((SUMIFS(Calendar!$F$2:$F$9997,Calendar!$B$2:$B$9997,D5142,Calendar!$C$2:$C$9997,C5142)*INDEX(ForeCalc!$B$37:$Y$274,MATCH(_xlfn.CONCAT(H5142," ",I5142),ForeCalc!$A$37:$A$274,0),MATCH(_xlfn.CONCAT(B5142," ",E5142),ForeCalc!$B$36:$Y$36,0))))*VLOOKUP(A5142,Calendar!$A$2:$H$9997,8,FALSE),0)</f>
        <v/>
      </c>
      <c r="G5142" s="29">
        <f>VLOOKUP(A5142,Calendar!$A$1:$H$9997,6,FALSE)-F5142</f>
        <v/>
      </c>
      <c r="H5142" s="19" t="n">
        <v>3</v>
      </c>
      <c r="I5142" s="57" t="n">
        <v>1</v>
      </c>
    </row>
    <row r="5143">
      <c r="A5143" s="62" t="n">
        <v>46870</v>
      </c>
      <c r="B5143" s="3" t="inlineStr">
        <is>
          <t>Week</t>
        </is>
      </c>
      <c r="C5143" s="19" t="n">
        <v>4</v>
      </c>
      <c r="D5143" s="19" t="n">
        <v>2028</v>
      </c>
      <c r="E5143" s="57" t="n">
        <v>5</v>
      </c>
      <c r="F5143" s="29">
        <f>ROUND(((SUMIFS(Calendar!$F$2:$F$9997,Calendar!$B$2:$B$9997,D5143,Calendar!$C$2:$C$9997,C5143)*INDEX(ForeCalc!$B$37:$Y$274,MATCH(_xlfn.CONCAT(H5143," ",I5143),ForeCalc!$A$37:$A$274,0),MATCH(_xlfn.CONCAT(B5143," ",E5143),ForeCalc!$B$36:$Y$36,0))))*VLOOKUP(A5143,Calendar!$A$2:$H$9997,8,FALSE),0)</f>
        <v/>
      </c>
      <c r="G5143" s="29">
        <f>VLOOKUP(A5143,Calendar!$A$1:$H$9997,6,FALSE)-F5143</f>
        <v/>
      </c>
      <c r="H5143" s="19" t="n">
        <v>3</v>
      </c>
      <c r="I5143" s="57" t="n">
        <v>1</v>
      </c>
    </row>
    <row r="5144">
      <c r="A5144" s="62" t="n">
        <v>46871</v>
      </c>
      <c r="B5144" s="3" t="inlineStr">
        <is>
          <t>Week</t>
        </is>
      </c>
      <c r="C5144" s="19" t="n">
        <v>4</v>
      </c>
      <c r="D5144" s="19" t="n">
        <v>2028</v>
      </c>
      <c r="E5144" s="57" t="n">
        <v>5</v>
      </c>
      <c r="F5144" s="29">
        <f>ROUND(((SUMIFS(Calendar!$F$2:$F$9997,Calendar!$B$2:$B$9997,D5144,Calendar!$C$2:$C$9997,C5144)*INDEX(ForeCalc!$B$37:$Y$274,MATCH(_xlfn.CONCAT(H5144," ",I5144),ForeCalc!$A$37:$A$274,0),MATCH(_xlfn.CONCAT(B5144," ",E5144),ForeCalc!$B$36:$Y$36,0))))*VLOOKUP(A5144,Calendar!$A$2:$H$9997,8,FALSE),0)</f>
        <v/>
      </c>
      <c r="G5144" s="29">
        <f>VLOOKUP(A5144,Calendar!$A$1:$H$9997,6,FALSE)-F5144</f>
        <v/>
      </c>
      <c r="H5144" s="19" t="n">
        <v>3</v>
      </c>
      <c r="I5144" s="57" t="n">
        <v>1</v>
      </c>
    </row>
    <row r="5145">
      <c r="A5145" s="62" t="n">
        <v>46872</v>
      </c>
      <c r="B5145" s="3" t="inlineStr">
        <is>
          <t>Sat</t>
        </is>
      </c>
      <c r="C5145" s="19" t="n">
        <v>4</v>
      </c>
      <c r="D5145" s="19" t="n">
        <v>2028</v>
      </c>
      <c r="E5145" s="57" t="n">
        <v>5</v>
      </c>
      <c r="F5145" s="29">
        <f>ROUND(((SUMIFS(Calendar!$F$2:$F$9997,Calendar!$B$2:$B$9997,D5145,Calendar!$C$2:$C$9997,C5145)*INDEX(ForeCalc!$B$37:$Y$274,MATCH(_xlfn.CONCAT(H5145," ",I5145),ForeCalc!$A$37:$A$274,0),MATCH(_xlfn.CONCAT(B5145," ",E5145),ForeCalc!$B$36:$Y$36,0))))*VLOOKUP(A5145,Calendar!$A$2:$H$9997,8,FALSE),0)</f>
        <v/>
      </c>
      <c r="G5145" s="29">
        <f>VLOOKUP(A5145,Calendar!$A$1:$H$9997,6,FALSE)-F5145</f>
        <v/>
      </c>
      <c r="H5145" s="19" t="n">
        <v>3</v>
      </c>
      <c r="I5145" s="57" t="n">
        <v>1</v>
      </c>
    </row>
    <row r="5146">
      <c r="A5146" s="62" t="n">
        <v>46873</v>
      </c>
      <c r="B5146" s="3" t="inlineStr">
        <is>
          <t>Sun</t>
        </is>
      </c>
      <c r="C5146" s="19" t="n">
        <v>4</v>
      </c>
      <c r="D5146" s="19" t="n">
        <v>2028</v>
      </c>
      <c r="E5146" s="57" t="n">
        <v>5</v>
      </c>
      <c r="F5146" s="29">
        <f>ROUND(((SUMIFS(Calendar!$F$2:$F$9997,Calendar!$B$2:$B$9997,D5146,Calendar!$C$2:$C$9997,C5146)*INDEX(ForeCalc!$B$37:$Y$274,MATCH(_xlfn.CONCAT(H5146," ",I5146),ForeCalc!$A$37:$A$274,0),MATCH(_xlfn.CONCAT(B5146," ",E5146),ForeCalc!$B$36:$Y$36,0))))*VLOOKUP(A5146,Calendar!$A$2:$H$9997,8,FALSE),0)</f>
        <v/>
      </c>
      <c r="G5146" s="29">
        <f>VLOOKUP(A5146,Calendar!$A$1:$H$9997,6,FALSE)-F5146</f>
        <v/>
      </c>
      <c r="H5146" s="19" t="n">
        <v>3</v>
      </c>
      <c r="I5146" s="57" t="n">
        <v>1</v>
      </c>
    </row>
    <row r="5147">
      <c r="A5147" s="62" t="n">
        <v>46874</v>
      </c>
      <c r="B5147" s="3" t="inlineStr">
        <is>
          <t>Week</t>
        </is>
      </c>
      <c r="C5147" s="19" t="n">
        <v>5</v>
      </c>
      <c r="D5147" s="19" t="n">
        <v>2028</v>
      </c>
      <c r="E5147" s="57" t="n">
        <v>5</v>
      </c>
      <c r="F5147" s="29">
        <f>ROUND(((SUMIFS(Calendar!$F$2:$F$9997,Calendar!$B$2:$B$9997,D5147,Calendar!$C$2:$C$9997,C5147)*INDEX(ForeCalc!$B$37:$Y$274,MATCH(_xlfn.CONCAT(H5147," ",I5147),ForeCalc!$A$37:$A$274,0),MATCH(_xlfn.CONCAT(B5147," ",E5147),ForeCalc!$B$36:$Y$36,0))))*VLOOKUP(A5147,Calendar!$A$2:$H$9997,8,FALSE),0)</f>
        <v/>
      </c>
      <c r="G5147" s="29">
        <f>VLOOKUP(A5147,Calendar!$A$1:$H$9997,6,FALSE)-F5147</f>
        <v/>
      </c>
      <c r="H5147" s="19" t="n">
        <v>3</v>
      </c>
      <c r="I5147" s="57" t="n">
        <v>2</v>
      </c>
    </row>
    <row r="5148">
      <c r="A5148" s="62" t="n">
        <v>46875</v>
      </c>
      <c r="B5148" s="3" t="inlineStr">
        <is>
          <t>Week</t>
        </is>
      </c>
      <c r="C5148" s="19" t="n">
        <v>5</v>
      </c>
      <c r="D5148" s="19" t="n">
        <v>2028</v>
      </c>
      <c r="E5148" s="57" t="n">
        <v>5</v>
      </c>
      <c r="F5148" s="29">
        <f>ROUND(((SUMIFS(Calendar!$F$2:$F$9997,Calendar!$B$2:$B$9997,D5148,Calendar!$C$2:$C$9997,C5148)*INDEX(ForeCalc!$B$37:$Y$274,MATCH(_xlfn.CONCAT(H5148," ",I5148),ForeCalc!$A$37:$A$274,0),MATCH(_xlfn.CONCAT(B5148," ",E5148),ForeCalc!$B$36:$Y$36,0))))*VLOOKUP(A5148,Calendar!$A$2:$H$9997,8,FALSE),0)</f>
        <v/>
      </c>
      <c r="G5148" s="29">
        <f>VLOOKUP(A5148,Calendar!$A$1:$H$9997,6,FALSE)-F5148</f>
        <v/>
      </c>
      <c r="H5148" s="19" t="n">
        <v>3</v>
      </c>
      <c r="I5148" s="57" t="n">
        <v>2</v>
      </c>
    </row>
    <row r="5149">
      <c r="A5149" s="62" t="n">
        <v>46876</v>
      </c>
      <c r="B5149" s="3" t="inlineStr">
        <is>
          <t>Week</t>
        </is>
      </c>
      <c r="C5149" s="19" t="n">
        <v>5</v>
      </c>
      <c r="D5149" s="19" t="n">
        <v>2028</v>
      </c>
      <c r="E5149" s="57" t="n">
        <v>5</v>
      </c>
      <c r="F5149" s="29">
        <f>ROUND(((SUMIFS(Calendar!$F$2:$F$9997,Calendar!$B$2:$B$9997,D5149,Calendar!$C$2:$C$9997,C5149)*INDEX(ForeCalc!$B$37:$Y$274,MATCH(_xlfn.CONCAT(H5149," ",I5149),ForeCalc!$A$37:$A$274,0),MATCH(_xlfn.CONCAT(B5149," ",E5149),ForeCalc!$B$36:$Y$36,0))))*VLOOKUP(A5149,Calendar!$A$2:$H$9997,8,FALSE),0)</f>
        <v/>
      </c>
      <c r="G5149" s="29">
        <f>VLOOKUP(A5149,Calendar!$A$1:$H$9997,6,FALSE)-F5149</f>
        <v/>
      </c>
      <c r="H5149" s="19" t="n">
        <v>3</v>
      </c>
      <c r="I5149" s="57" t="n">
        <v>2</v>
      </c>
    </row>
    <row r="5150">
      <c r="A5150" s="62" t="n">
        <v>46877</v>
      </c>
      <c r="B5150" s="3" t="inlineStr">
        <is>
          <t>Week</t>
        </is>
      </c>
      <c r="C5150" s="19" t="n">
        <v>5</v>
      </c>
      <c r="D5150" s="19" t="n">
        <v>2028</v>
      </c>
      <c r="E5150" s="57" t="n">
        <v>5</v>
      </c>
      <c r="F5150" s="29">
        <f>ROUND(((SUMIFS(Calendar!$F$2:$F$9997,Calendar!$B$2:$B$9997,D5150,Calendar!$C$2:$C$9997,C5150)*INDEX(ForeCalc!$B$37:$Y$274,MATCH(_xlfn.CONCAT(H5150," ",I5150),ForeCalc!$A$37:$A$274,0),MATCH(_xlfn.CONCAT(B5150," ",E5150),ForeCalc!$B$36:$Y$36,0))))*VLOOKUP(A5150,Calendar!$A$2:$H$9997,8,FALSE),0)</f>
        <v/>
      </c>
      <c r="G5150" s="29">
        <f>VLOOKUP(A5150,Calendar!$A$1:$H$9997,6,FALSE)-F5150</f>
        <v/>
      </c>
      <c r="H5150" s="19" t="n">
        <v>3</v>
      </c>
      <c r="I5150" s="57" t="n">
        <v>2</v>
      </c>
    </row>
    <row r="5151">
      <c r="A5151" s="62" t="n">
        <v>46878</v>
      </c>
      <c r="B5151" s="3" t="inlineStr">
        <is>
          <t>Week</t>
        </is>
      </c>
      <c r="C5151" s="19" t="n">
        <v>5</v>
      </c>
      <c r="D5151" s="19" t="n">
        <v>2028</v>
      </c>
      <c r="E5151" s="57" t="n">
        <v>5</v>
      </c>
      <c r="F5151" s="29">
        <f>ROUND(((SUMIFS(Calendar!$F$2:$F$9997,Calendar!$B$2:$B$9997,D5151,Calendar!$C$2:$C$9997,C5151)*INDEX(ForeCalc!$B$37:$Y$274,MATCH(_xlfn.CONCAT(H5151," ",I5151),ForeCalc!$A$37:$A$274,0),MATCH(_xlfn.CONCAT(B5151," ",E5151),ForeCalc!$B$36:$Y$36,0))))*VLOOKUP(A5151,Calendar!$A$2:$H$9997,8,FALSE),0)</f>
        <v/>
      </c>
      <c r="G5151" s="29">
        <f>VLOOKUP(A5151,Calendar!$A$1:$H$9997,6,FALSE)-F5151</f>
        <v/>
      </c>
      <c r="H5151" s="19" t="n">
        <v>3</v>
      </c>
      <c r="I5151" s="57" t="n">
        <v>2</v>
      </c>
    </row>
    <row r="5152">
      <c r="A5152" s="62" t="n">
        <v>46879</v>
      </c>
      <c r="B5152" s="3" t="inlineStr">
        <is>
          <t>Sat</t>
        </is>
      </c>
      <c r="C5152" s="19" t="n">
        <v>5</v>
      </c>
      <c r="D5152" s="19" t="n">
        <v>2028</v>
      </c>
      <c r="E5152" s="57" t="n">
        <v>5</v>
      </c>
      <c r="F5152" s="29">
        <f>ROUND(((SUMIFS(Calendar!$F$2:$F$9997,Calendar!$B$2:$B$9997,D5152,Calendar!$C$2:$C$9997,C5152)*INDEX(ForeCalc!$B$37:$Y$274,MATCH(_xlfn.CONCAT(H5152," ",I5152),ForeCalc!$A$37:$A$274,0),MATCH(_xlfn.CONCAT(B5152," ",E5152),ForeCalc!$B$36:$Y$36,0))))*VLOOKUP(A5152,Calendar!$A$2:$H$9997,8,FALSE),0)</f>
        <v/>
      </c>
      <c r="G5152" s="29">
        <f>VLOOKUP(A5152,Calendar!$A$1:$H$9997,6,FALSE)-F5152</f>
        <v/>
      </c>
      <c r="H5152" s="19" t="n">
        <v>3</v>
      </c>
      <c r="I5152" s="57" t="n">
        <v>2</v>
      </c>
    </row>
    <row r="5153">
      <c r="A5153" s="62" t="n">
        <v>46880</v>
      </c>
      <c r="B5153" s="3" t="inlineStr">
        <is>
          <t>Sun</t>
        </is>
      </c>
      <c r="C5153" s="19" t="n">
        <v>5</v>
      </c>
      <c r="D5153" s="19" t="n">
        <v>2028</v>
      </c>
      <c r="E5153" s="57" t="n">
        <v>5</v>
      </c>
      <c r="F5153" s="29">
        <f>ROUND(((SUMIFS(Calendar!$F$2:$F$9997,Calendar!$B$2:$B$9997,D5153,Calendar!$C$2:$C$9997,C5153)*INDEX(ForeCalc!$B$37:$Y$274,MATCH(_xlfn.CONCAT(H5153," ",I5153),ForeCalc!$A$37:$A$274,0),MATCH(_xlfn.CONCAT(B5153," ",E5153),ForeCalc!$B$36:$Y$36,0))))*VLOOKUP(A5153,Calendar!$A$2:$H$9997,8,FALSE),0)</f>
        <v/>
      </c>
      <c r="G5153" s="29">
        <f>VLOOKUP(A5153,Calendar!$A$1:$H$9997,6,FALSE)-F5153</f>
        <v/>
      </c>
      <c r="H5153" s="19" t="n">
        <v>3</v>
      </c>
      <c r="I5153" s="57" t="n">
        <v>2</v>
      </c>
    </row>
    <row r="5154">
      <c r="A5154" s="62" t="n">
        <v>46881</v>
      </c>
      <c r="B5154" s="3" t="inlineStr">
        <is>
          <t>Week</t>
        </is>
      </c>
      <c r="C5154" s="19" t="n">
        <v>5</v>
      </c>
      <c r="D5154" s="19" t="n">
        <v>2028</v>
      </c>
      <c r="E5154" s="57" t="n">
        <v>5</v>
      </c>
      <c r="F5154" s="29">
        <f>ROUND(((SUMIFS(Calendar!$F$2:$F$9997,Calendar!$B$2:$B$9997,D5154,Calendar!$C$2:$C$9997,C5154)*INDEX(ForeCalc!$B$37:$Y$274,MATCH(_xlfn.CONCAT(H5154," ",I5154),ForeCalc!$A$37:$A$274,0),MATCH(_xlfn.CONCAT(B5154," ",E5154),ForeCalc!$B$36:$Y$36,0))))*VLOOKUP(A5154,Calendar!$A$2:$H$9997,8,FALSE),0)</f>
        <v/>
      </c>
      <c r="G5154" s="29">
        <f>VLOOKUP(A5154,Calendar!$A$1:$H$9997,6,FALSE)-F5154</f>
        <v/>
      </c>
      <c r="H5154" s="19" t="n">
        <v>3</v>
      </c>
      <c r="I5154" s="57" t="n">
        <v>2</v>
      </c>
    </row>
    <row r="5155">
      <c r="A5155" s="62" t="n">
        <v>46882</v>
      </c>
      <c r="B5155" s="3" t="inlineStr">
        <is>
          <t>Week</t>
        </is>
      </c>
      <c r="C5155" s="19" t="n">
        <v>5</v>
      </c>
      <c r="D5155" s="19" t="n">
        <v>2028</v>
      </c>
      <c r="E5155" s="57" t="n">
        <v>5</v>
      </c>
      <c r="F5155" s="29">
        <f>ROUND(((SUMIFS(Calendar!$F$2:$F$9997,Calendar!$B$2:$B$9997,D5155,Calendar!$C$2:$C$9997,C5155)*INDEX(ForeCalc!$B$37:$Y$274,MATCH(_xlfn.CONCAT(H5155," ",I5155),ForeCalc!$A$37:$A$274,0),MATCH(_xlfn.CONCAT(B5155," ",E5155),ForeCalc!$B$36:$Y$36,0))))*VLOOKUP(A5155,Calendar!$A$2:$H$9997,8,FALSE),0)</f>
        <v/>
      </c>
      <c r="G5155" s="29">
        <f>VLOOKUP(A5155,Calendar!$A$1:$H$9997,6,FALSE)-F5155</f>
        <v/>
      </c>
      <c r="H5155" s="19" t="n">
        <v>3</v>
      </c>
      <c r="I5155" s="57" t="n">
        <v>2</v>
      </c>
    </row>
    <row r="5156">
      <c r="A5156" s="62" t="n">
        <v>46883</v>
      </c>
      <c r="B5156" s="3" t="inlineStr">
        <is>
          <t>Week</t>
        </is>
      </c>
      <c r="C5156" s="19" t="n">
        <v>5</v>
      </c>
      <c r="D5156" s="19" t="n">
        <v>2028</v>
      </c>
      <c r="E5156" s="57" t="n">
        <v>5</v>
      </c>
      <c r="F5156" s="29">
        <f>ROUND(((SUMIFS(Calendar!$F$2:$F$9997,Calendar!$B$2:$B$9997,D5156,Calendar!$C$2:$C$9997,C5156)*INDEX(ForeCalc!$B$37:$Y$274,MATCH(_xlfn.CONCAT(H5156," ",I5156),ForeCalc!$A$37:$A$274,0),MATCH(_xlfn.CONCAT(B5156," ",E5156),ForeCalc!$B$36:$Y$36,0))))*VLOOKUP(A5156,Calendar!$A$2:$H$9997,8,FALSE),0)</f>
        <v/>
      </c>
      <c r="G5156" s="29">
        <f>VLOOKUP(A5156,Calendar!$A$1:$H$9997,6,FALSE)-F5156</f>
        <v/>
      </c>
      <c r="H5156" s="19" t="n">
        <v>3</v>
      </c>
      <c r="I5156" s="57" t="n">
        <v>2</v>
      </c>
    </row>
    <row r="5157">
      <c r="A5157" s="62" t="n">
        <v>46884</v>
      </c>
      <c r="B5157" s="3" t="inlineStr">
        <is>
          <t>Week</t>
        </is>
      </c>
      <c r="C5157" s="19" t="n">
        <v>5</v>
      </c>
      <c r="D5157" s="19" t="n">
        <v>2028</v>
      </c>
      <c r="E5157" s="57" t="n">
        <v>5</v>
      </c>
      <c r="F5157" s="29">
        <f>ROUND(((SUMIFS(Calendar!$F$2:$F$9997,Calendar!$B$2:$B$9997,D5157,Calendar!$C$2:$C$9997,C5157)*INDEX(ForeCalc!$B$37:$Y$274,MATCH(_xlfn.CONCAT(H5157," ",I5157),ForeCalc!$A$37:$A$274,0),MATCH(_xlfn.CONCAT(B5157," ",E5157),ForeCalc!$B$36:$Y$36,0))))*VLOOKUP(A5157,Calendar!$A$2:$H$9997,8,FALSE),0)</f>
        <v/>
      </c>
      <c r="G5157" s="29">
        <f>VLOOKUP(A5157,Calendar!$A$1:$H$9997,6,FALSE)-F5157</f>
        <v/>
      </c>
      <c r="H5157" s="19" t="n">
        <v>3</v>
      </c>
      <c r="I5157" s="57" t="n">
        <v>2</v>
      </c>
    </row>
    <row r="5158">
      <c r="A5158" s="62" t="n">
        <v>46885</v>
      </c>
      <c r="B5158" s="3" t="inlineStr">
        <is>
          <t>Week</t>
        </is>
      </c>
      <c r="C5158" s="19" t="n">
        <v>5</v>
      </c>
      <c r="D5158" s="19" t="n">
        <v>2028</v>
      </c>
      <c r="E5158" s="57" t="n">
        <v>5</v>
      </c>
      <c r="F5158" s="29">
        <f>ROUND(((SUMIFS(Calendar!$F$2:$F$9997,Calendar!$B$2:$B$9997,D5158,Calendar!$C$2:$C$9997,C5158)*INDEX(ForeCalc!$B$37:$Y$274,MATCH(_xlfn.CONCAT(H5158," ",I5158),ForeCalc!$A$37:$A$274,0),MATCH(_xlfn.CONCAT(B5158," ",E5158),ForeCalc!$B$36:$Y$36,0))))*VLOOKUP(A5158,Calendar!$A$2:$H$9997,8,FALSE),0)</f>
        <v/>
      </c>
      <c r="G5158" s="29">
        <f>VLOOKUP(A5158,Calendar!$A$1:$H$9997,6,FALSE)-F5158</f>
        <v/>
      </c>
      <c r="H5158" s="19" t="n">
        <v>3</v>
      </c>
      <c r="I5158" s="57" t="n">
        <v>2</v>
      </c>
    </row>
    <row r="5159">
      <c r="A5159" s="62" t="n">
        <v>46886</v>
      </c>
      <c r="B5159" s="3" t="inlineStr">
        <is>
          <t>Sat</t>
        </is>
      </c>
      <c r="C5159" s="19" t="n">
        <v>5</v>
      </c>
      <c r="D5159" s="19" t="n">
        <v>2028</v>
      </c>
      <c r="E5159" s="57" t="n">
        <v>5</v>
      </c>
      <c r="F5159" s="29">
        <f>ROUND(((SUMIFS(Calendar!$F$2:$F$9997,Calendar!$B$2:$B$9997,D5159,Calendar!$C$2:$C$9997,C5159)*INDEX(ForeCalc!$B$37:$Y$274,MATCH(_xlfn.CONCAT(H5159," ",I5159),ForeCalc!$A$37:$A$274,0),MATCH(_xlfn.CONCAT(B5159," ",E5159),ForeCalc!$B$36:$Y$36,0))))*VLOOKUP(A5159,Calendar!$A$2:$H$9997,8,FALSE),0)</f>
        <v/>
      </c>
      <c r="G5159" s="29">
        <f>VLOOKUP(A5159,Calendar!$A$1:$H$9997,6,FALSE)-F5159</f>
        <v/>
      </c>
      <c r="H5159" s="19" t="n">
        <v>3</v>
      </c>
      <c r="I5159" s="57" t="n">
        <v>2</v>
      </c>
    </row>
    <row r="5160">
      <c r="A5160" s="62" t="n">
        <v>46887</v>
      </c>
      <c r="B5160" s="3" t="inlineStr">
        <is>
          <t>Sun</t>
        </is>
      </c>
      <c r="C5160" s="19" t="n">
        <v>5</v>
      </c>
      <c r="D5160" s="19" t="n">
        <v>2028</v>
      </c>
      <c r="E5160" s="57" t="n">
        <v>5</v>
      </c>
      <c r="F5160" s="29">
        <f>ROUND(((SUMIFS(Calendar!$F$2:$F$9997,Calendar!$B$2:$B$9997,D5160,Calendar!$C$2:$C$9997,C5160)*INDEX(ForeCalc!$B$37:$Y$274,MATCH(_xlfn.CONCAT(H5160," ",I5160),ForeCalc!$A$37:$A$274,0),MATCH(_xlfn.CONCAT(B5160," ",E5160),ForeCalc!$B$36:$Y$36,0))))*VLOOKUP(A5160,Calendar!$A$2:$H$9997,8,FALSE),0)</f>
        <v/>
      </c>
      <c r="G5160" s="29">
        <f>VLOOKUP(A5160,Calendar!$A$1:$H$9997,6,FALSE)-F5160</f>
        <v/>
      </c>
      <c r="H5160" s="19" t="n">
        <v>3</v>
      </c>
      <c r="I5160" s="57" t="n">
        <v>2</v>
      </c>
    </row>
    <row r="5161">
      <c r="A5161" s="62" t="n">
        <v>46888</v>
      </c>
      <c r="B5161" s="3" t="inlineStr">
        <is>
          <t>Week</t>
        </is>
      </c>
      <c r="C5161" s="19" t="n">
        <v>5</v>
      </c>
      <c r="D5161" s="19" t="n">
        <v>2028</v>
      </c>
      <c r="E5161" s="57" t="n">
        <v>5</v>
      </c>
      <c r="F5161" s="29">
        <f>ROUND(((SUMIFS(Calendar!$F$2:$F$9997,Calendar!$B$2:$B$9997,D5161,Calendar!$C$2:$C$9997,C5161)*INDEX(ForeCalc!$B$37:$Y$274,MATCH(_xlfn.CONCAT(H5161," ",I5161),ForeCalc!$A$37:$A$274,0),MATCH(_xlfn.CONCAT(B5161," ",E5161),ForeCalc!$B$36:$Y$36,0))))*VLOOKUP(A5161,Calendar!$A$2:$H$9997,8,FALSE),0)</f>
        <v/>
      </c>
      <c r="G5161" s="29">
        <f>VLOOKUP(A5161,Calendar!$A$1:$H$9997,6,FALSE)-F5161</f>
        <v/>
      </c>
      <c r="H5161" s="19" t="n">
        <v>3</v>
      </c>
      <c r="I5161" s="57" t="n">
        <v>2</v>
      </c>
    </row>
    <row r="5162">
      <c r="A5162" s="62" t="n">
        <v>46889</v>
      </c>
      <c r="B5162" s="3" t="inlineStr">
        <is>
          <t>Week</t>
        </is>
      </c>
      <c r="C5162" s="19" t="n">
        <v>5</v>
      </c>
      <c r="D5162" s="19" t="n">
        <v>2028</v>
      </c>
      <c r="E5162" s="57" t="n">
        <v>5</v>
      </c>
      <c r="F5162" s="29">
        <f>ROUND(((SUMIFS(Calendar!$F$2:$F$9997,Calendar!$B$2:$B$9997,D5162,Calendar!$C$2:$C$9997,C5162)*INDEX(ForeCalc!$B$37:$Y$274,MATCH(_xlfn.CONCAT(H5162," ",I5162),ForeCalc!$A$37:$A$274,0),MATCH(_xlfn.CONCAT(B5162," ",E5162),ForeCalc!$B$36:$Y$36,0))))*VLOOKUP(A5162,Calendar!$A$2:$H$9997,8,FALSE),0)</f>
        <v/>
      </c>
      <c r="G5162" s="29">
        <f>VLOOKUP(A5162,Calendar!$A$1:$H$9997,6,FALSE)-F5162</f>
        <v/>
      </c>
      <c r="H5162" s="19" t="n">
        <v>3</v>
      </c>
      <c r="I5162" s="57" t="n">
        <v>2</v>
      </c>
    </row>
    <row r="5163">
      <c r="A5163" s="62" t="n">
        <v>46890</v>
      </c>
      <c r="B5163" s="3" t="inlineStr">
        <is>
          <t>Week</t>
        </is>
      </c>
      <c r="C5163" s="19" t="n">
        <v>5</v>
      </c>
      <c r="D5163" s="19" t="n">
        <v>2028</v>
      </c>
      <c r="E5163" s="57" t="n">
        <v>5</v>
      </c>
      <c r="F5163" s="29">
        <f>ROUND(((SUMIFS(Calendar!$F$2:$F$9997,Calendar!$B$2:$B$9997,D5163,Calendar!$C$2:$C$9997,C5163)*INDEX(ForeCalc!$B$37:$Y$274,MATCH(_xlfn.CONCAT(H5163," ",I5163),ForeCalc!$A$37:$A$274,0),MATCH(_xlfn.CONCAT(B5163," ",E5163),ForeCalc!$B$36:$Y$36,0))))*VLOOKUP(A5163,Calendar!$A$2:$H$9997,8,FALSE),0)</f>
        <v/>
      </c>
      <c r="G5163" s="29">
        <f>VLOOKUP(A5163,Calendar!$A$1:$H$9997,6,FALSE)-F5163</f>
        <v/>
      </c>
      <c r="H5163" s="19" t="n">
        <v>3</v>
      </c>
      <c r="I5163" s="57" t="n">
        <v>2</v>
      </c>
    </row>
    <row r="5164">
      <c r="A5164" s="62" t="n">
        <v>46891</v>
      </c>
      <c r="B5164" s="3" t="inlineStr">
        <is>
          <t>Week</t>
        </is>
      </c>
      <c r="C5164" s="19" t="n">
        <v>5</v>
      </c>
      <c r="D5164" s="19" t="n">
        <v>2028</v>
      </c>
      <c r="E5164" s="57" t="n">
        <v>5</v>
      </c>
      <c r="F5164" s="29">
        <f>ROUND(((SUMIFS(Calendar!$F$2:$F$9997,Calendar!$B$2:$B$9997,D5164,Calendar!$C$2:$C$9997,C5164)*INDEX(ForeCalc!$B$37:$Y$274,MATCH(_xlfn.CONCAT(H5164," ",I5164),ForeCalc!$A$37:$A$274,0),MATCH(_xlfn.CONCAT(B5164," ",E5164),ForeCalc!$B$36:$Y$36,0))))*VLOOKUP(A5164,Calendar!$A$2:$H$9997,8,FALSE),0)</f>
        <v/>
      </c>
      <c r="G5164" s="29">
        <f>VLOOKUP(A5164,Calendar!$A$1:$H$9997,6,FALSE)-F5164</f>
        <v/>
      </c>
      <c r="H5164" s="19" t="n">
        <v>3</v>
      </c>
      <c r="I5164" s="57" t="n">
        <v>2</v>
      </c>
    </row>
    <row r="5165">
      <c r="A5165" s="62" t="n">
        <v>46892</v>
      </c>
      <c r="B5165" s="3" t="inlineStr">
        <is>
          <t>Week</t>
        </is>
      </c>
      <c r="C5165" s="19" t="n">
        <v>5</v>
      </c>
      <c r="D5165" s="19" t="n">
        <v>2028</v>
      </c>
      <c r="E5165" s="57" t="n">
        <v>5</v>
      </c>
      <c r="F5165" s="29">
        <f>ROUND(((SUMIFS(Calendar!$F$2:$F$9997,Calendar!$B$2:$B$9997,D5165,Calendar!$C$2:$C$9997,C5165)*INDEX(ForeCalc!$B$37:$Y$274,MATCH(_xlfn.CONCAT(H5165," ",I5165),ForeCalc!$A$37:$A$274,0),MATCH(_xlfn.CONCAT(B5165," ",E5165),ForeCalc!$B$36:$Y$36,0))))*VLOOKUP(A5165,Calendar!$A$2:$H$9997,8,FALSE),0)</f>
        <v/>
      </c>
      <c r="G5165" s="29">
        <f>VLOOKUP(A5165,Calendar!$A$1:$H$9997,6,FALSE)-F5165</f>
        <v/>
      </c>
      <c r="H5165" s="19" t="n">
        <v>3</v>
      </c>
      <c r="I5165" s="57" t="n">
        <v>2</v>
      </c>
    </row>
    <row r="5166">
      <c r="A5166" s="62" t="n">
        <v>46893</v>
      </c>
      <c r="B5166" s="3" t="inlineStr">
        <is>
          <t>Sat</t>
        </is>
      </c>
      <c r="C5166" s="19" t="n">
        <v>5</v>
      </c>
      <c r="D5166" s="19" t="n">
        <v>2028</v>
      </c>
      <c r="E5166" s="57" t="n">
        <v>5</v>
      </c>
      <c r="F5166" s="29">
        <f>ROUND(((SUMIFS(Calendar!$F$2:$F$9997,Calendar!$B$2:$B$9997,D5166,Calendar!$C$2:$C$9997,C5166)*INDEX(ForeCalc!$B$37:$Y$274,MATCH(_xlfn.CONCAT(H5166," ",I5166),ForeCalc!$A$37:$A$274,0),MATCH(_xlfn.CONCAT(B5166," ",E5166),ForeCalc!$B$36:$Y$36,0))))*VLOOKUP(A5166,Calendar!$A$2:$H$9997,8,FALSE),0)</f>
        <v/>
      </c>
      <c r="G5166" s="29">
        <f>VLOOKUP(A5166,Calendar!$A$1:$H$9997,6,FALSE)-F5166</f>
        <v/>
      </c>
      <c r="H5166" s="19" t="n">
        <v>3</v>
      </c>
      <c r="I5166" s="57" t="n">
        <v>2</v>
      </c>
    </row>
    <row r="5167">
      <c r="A5167" s="62" t="n">
        <v>46894</v>
      </c>
      <c r="B5167" s="3" t="inlineStr">
        <is>
          <t>Sun</t>
        </is>
      </c>
      <c r="C5167" s="19" t="n">
        <v>5</v>
      </c>
      <c r="D5167" s="19" t="n">
        <v>2028</v>
      </c>
      <c r="E5167" s="57" t="n">
        <v>5</v>
      </c>
      <c r="F5167" s="29">
        <f>ROUND(((SUMIFS(Calendar!$F$2:$F$9997,Calendar!$B$2:$B$9997,D5167,Calendar!$C$2:$C$9997,C5167)*INDEX(ForeCalc!$B$37:$Y$274,MATCH(_xlfn.CONCAT(H5167," ",I5167),ForeCalc!$A$37:$A$274,0),MATCH(_xlfn.CONCAT(B5167," ",E5167),ForeCalc!$B$36:$Y$36,0))))*VLOOKUP(A5167,Calendar!$A$2:$H$9997,8,FALSE),0)</f>
        <v/>
      </c>
      <c r="G5167" s="29">
        <f>VLOOKUP(A5167,Calendar!$A$1:$H$9997,6,FALSE)-F5167</f>
        <v/>
      </c>
      <c r="H5167" s="19" t="n">
        <v>3</v>
      </c>
      <c r="I5167" s="57" t="n">
        <v>2</v>
      </c>
    </row>
    <row r="5168">
      <c r="A5168" s="62" t="n">
        <v>46895</v>
      </c>
      <c r="B5168" s="3" t="inlineStr">
        <is>
          <t>Week</t>
        </is>
      </c>
      <c r="C5168" s="19" t="n">
        <v>5</v>
      </c>
      <c r="D5168" s="19" t="n">
        <v>2028</v>
      </c>
      <c r="E5168" s="57" t="n">
        <v>5</v>
      </c>
      <c r="F5168" s="29">
        <f>ROUND(((SUMIFS(Calendar!$F$2:$F$9997,Calendar!$B$2:$B$9997,D5168,Calendar!$C$2:$C$9997,C5168)*INDEX(ForeCalc!$B$37:$Y$274,MATCH(_xlfn.CONCAT(H5168," ",I5168),ForeCalc!$A$37:$A$274,0),MATCH(_xlfn.CONCAT(B5168," ",E5168),ForeCalc!$B$36:$Y$36,0))))*VLOOKUP(A5168,Calendar!$A$2:$H$9997,8,FALSE),0)</f>
        <v/>
      </c>
      <c r="G5168" s="29">
        <f>VLOOKUP(A5168,Calendar!$A$1:$H$9997,6,FALSE)-F5168</f>
        <v/>
      </c>
      <c r="H5168" s="19" t="n">
        <v>3</v>
      </c>
      <c r="I5168" s="57" t="n">
        <v>2</v>
      </c>
    </row>
    <row r="5169">
      <c r="A5169" s="62" t="n">
        <v>46896</v>
      </c>
      <c r="B5169" s="3" t="inlineStr">
        <is>
          <t>Week</t>
        </is>
      </c>
      <c r="C5169" s="19" t="n">
        <v>5</v>
      </c>
      <c r="D5169" s="19" t="n">
        <v>2028</v>
      </c>
      <c r="E5169" s="57" t="n">
        <v>5</v>
      </c>
      <c r="F5169" s="29">
        <f>ROUND(((SUMIFS(Calendar!$F$2:$F$9997,Calendar!$B$2:$B$9997,D5169,Calendar!$C$2:$C$9997,C5169)*INDEX(ForeCalc!$B$37:$Y$274,MATCH(_xlfn.CONCAT(H5169," ",I5169),ForeCalc!$A$37:$A$274,0),MATCH(_xlfn.CONCAT(B5169," ",E5169),ForeCalc!$B$36:$Y$36,0))))*VLOOKUP(A5169,Calendar!$A$2:$H$9997,8,FALSE),0)</f>
        <v/>
      </c>
      <c r="G5169" s="29">
        <f>VLOOKUP(A5169,Calendar!$A$1:$H$9997,6,FALSE)-F5169</f>
        <v/>
      </c>
      <c r="H5169" s="19" t="n">
        <v>3</v>
      </c>
      <c r="I5169" s="57" t="n">
        <v>2</v>
      </c>
    </row>
    <row r="5170">
      <c r="A5170" s="62" t="n">
        <v>46897</v>
      </c>
      <c r="B5170" s="3" t="inlineStr">
        <is>
          <t>Week</t>
        </is>
      </c>
      <c r="C5170" s="19" t="n">
        <v>5</v>
      </c>
      <c r="D5170" s="19" t="n">
        <v>2028</v>
      </c>
      <c r="E5170" s="57" t="n">
        <v>5</v>
      </c>
      <c r="F5170" s="29">
        <f>ROUND(((SUMIFS(Calendar!$F$2:$F$9997,Calendar!$B$2:$B$9997,D5170,Calendar!$C$2:$C$9997,C5170)*INDEX(ForeCalc!$B$37:$Y$274,MATCH(_xlfn.CONCAT(H5170," ",I5170),ForeCalc!$A$37:$A$274,0),MATCH(_xlfn.CONCAT(B5170," ",E5170),ForeCalc!$B$36:$Y$36,0))))*VLOOKUP(A5170,Calendar!$A$2:$H$9997,8,FALSE),0)</f>
        <v/>
      </c>
      <c r="G5170" s="29">
        <f>VLOOKUP(A5170,Calendar!$A$1:$H$9997,6,FALSE)-F5170</f>
        <v/>
      </c>
      <c r="H5170" s="19" t="n">
        <v>3</v>
      </c>
      <c r="I5170" s="57" t="n">
        <v>2</v>
      </c>
    </row>
    <row r="5171">
      <c r="A5171" s="62" t="n">
        <v>46898</v>
      </c>
      <c r="B5171" s="3" t="inlineStr">
        <is>
          <t>Week</t>
        </is>
      </c>
      <c r="C5171" s="19" t="n">
        <v>5</v>
      </c>
      <c r="D5171" s="19" t="n">
        <v>2028</v>
      </c>
      <c r="E5171" s="57" t="n">
        <v>5</v>
      </c>
      <c r="F5171" s="29">
        <f>ROUND(((SUMIFS(Calendar!$F$2:$F$9997,Calendar!$B$2:$B$9997,D5171,Calendar!$C$2:$C$9997,C5171)*INDEX(ForeCalc!$B$37:$Y$274,MATCH(_xlfn.CONCAT(H5171," ",I5171),ForeCalc!$A$37:$A$274,0),MATCH(_xlfn.CONCAT(B5171," ",E5171),ForeCalc!$B$36:$Y$36,0))))*VLOOKUP(A5171,Calendar!$A$2:$H$9997,8,FALSE),0)</f>
        <v/>
      </c>
      <c r="G5171" s="29">
        <f>VLOOKUP(A5171,Calendar!$A$1:$H$9997,6,FALSE)-F5171</f>
        <v/>
      </c>
      <c r="H5171" s="19" t="n">
        <v>3</v>
      </c>
      <c r="I5171" s="57" t="n">
        <v>2</v>
      </c>
    </row>
    <row r="5172">
      <c r="A5172" s="62" t="n">
        <v>46899</v>
      </c>
      <c r="B5172" s="3" t="inlineStr">
        <is>
          <t>Week</t>
        </is>
      </c>
      <c r="C5172" s="19" t="n">
        <v>5</v>
      </c>
      <c r="D5172" s="19" t="n">
        <v>2028</v>
      </c>
      <c r="E5172" s="57" t="n">
        <v>5</v>
      </c>
      <c r="F5172" s="29">
        <f>ROUND(((SUMIFS(Calendar!$F$2:$F$9997,Calendar!$B$2:$B$9997,D5172,Calendar!$C$2:$C$9997,C5172)*INDEX(ForeCalc!$B$37:$Y$274,MATCH(_xlfn.CONCAT(H5172," ",I5172),ForeCalc!$A$37:$A$274,0),MATCH(_xlfn.CONCAT(B5172," ",E5172),ForeCalc!$B$36:$Y$36,0))))*VLOOKUP(A5172,Calendar!$A$2:$H$9997,8,FALSE),0)</f>
        <v/>
      </c>
      <c r="G5172" s="29">
        <f>VLOOKUP(A5172,Calendar!$A$1:$H$9997,6,FALSE)-F5172</f>
        <v/>
      </c>
      <c r="H5172" s="19" t="n">
        <v>3</v>
      </c>
      <c r="I5172" s="57" t="n">
        <v>2</v>
      </c>
    </row>
    <row r="5173">
      <c r="A5173" s="62" t="n">
        <v>46900</v>
      </c>
      <c r="B5173" s="3" t="inlineStr">
        <is>
          <t>Sat</t>
        </is>
      </c>
      <c r="C5173" s="19" t="n">
        <v>5</v>
      </c>
      <c r="D5173" s="19" t="n">
        <v>2028</v>
      </c>
      <c r="E5173" s="57" t="n">
        <v>5</v>
      </c>
      <c r="F5173" s="29">
        <f>ROUND(((SUMIFS(Calendar!$F$2:$F$9997,Calendar!$B$2:$B$9997,D5173,Calendar!$C$2:$C$9997,C5173)*INDEX(ForeCalc!$B$37:$Y$274,MATCH(_xlfn.CONCAT(H5173," ",I5173),ForeCalc!$A$37:$A$274,0),MATCH(_xlfn.CONCAT(B5173," ",E5173),ForeCalc!$B$36:$Y$36,0))))*VLOOKUP(A5173,Calendar!$A$2:$H$9997,8,FALSE),0)</f>
        <v/>
      </c>
      <c r="G5173" s="29">
        <f>VLOOKUP(A5173,Calendar!$A$1:$H$9997,6,FALSE)-F5173</f>
        <v/>
      </c>
      <c r="H5173" s="19" t="n">
        <v>3</v>
      </c>
      <c r="I5173" s="57" t="n">
        <v>2</v>
      </c>
    </row>
    <row r="5174">
      <c r="A5174" s="62" t="n">
        <v>46901</v>
      </c>
      <c r="B5174" s="3" t="inlineStr">
        <is>
          <t>Sun</t>
        </is>
      </c>
      <c r="C5174" s="19" t="n">
        <v>5</v>
      </c>
      <c r="D5174" s="19" t="n">
        <v>2028</v>
      </c>
      <c r="E5174" s="57" t="n">
        <v>5</v>
      </c>
      <c r="F5174" s="29">
        <f>ROUND(((SUMIFS(Calendar!$F$2:$F$9997,Calendar!$B$2:$B$9997,D5174,Calendar!$C$2:$C$9997,C5174)*INDEX(ForeCalc!$B$37:$Y$274,MATCH(_xlfn.CONCAT(H5174," ",I5174),ForeCalc!$A$37:$A$274,0),MATCH(_xlfn.CONCAT(B5174," ",E5174),ForeCalc!$B$36:$Y$36,0))))*VLOOKUP(A5174,Calendar!$A$2:$H$9997,8,FALSE),0)</f>
        <v/>
      </c>
      <c r="G5174" s="29">
        <f>VLOOKUP(A5174,Calendar!$A$1:$H$9997,6,FALSE)-F5174</f>
        <v/>
      </c>
      <c r="H5174" s="19" t="n">
        <v>3</v>
      </c>
      <c r="I5174" s="57" t="n">
        <v>2</v>
      </c>
    </row>
    <row r="5175">
      <c r="A5175" s="62" t="n">
        <v>46902</v>
      </c>
      <c r="B5175" s="3" t="inlineStr">
        <is>
          <t>Week</t>
        </is>
      </c>
      <c r="C5175" s="19" t="n">
        <v>5</v>
      </c>
      <c r="D5175" s="19" t="n">
        <v>2028</v>
      </c>
      <c r="E5175" s="57" t="n">
        <v>5</v>
      </c>
      <c r="F5175" s="29">
        <f>ROUND(((SUMIFS(Calendar!$F$2:$F$9997,Calendar!$B$2:$B$9997,D5175,Calendar!$C$2:$C$9997,C5175)*INDEX(ForeCalc!$B$37:$Y$274,MATCH(_xlfn.CONCAT(H5175," ",I5175),ForeCalc!$A$37:$A$274,0),MATCH(_xlfn.CONCAT(B5175," ",E5175),ForeCalc!$B$36:$Y$36,0))))*VLOOKUP(A5175,Calendar!$A$2:$H$9997,8,FALSE),0)</f>
        <v/>
      </c>
      <c r="G5175" s="29">
        <f>VLOOKUP(A5175,Calendar!$A$1:$H$9997,6,FALSE)-F5175</f>
        <v/>
      </c>
      <c r="H5175" s="19" t="n">
        <v>3</v>
      </c>
      <c r="I5175" s="57" t="n">
        <v>2</v>
      </c>
    </row>
    <row r="5176">
      <c r="A5176" s="62" t="n">
        <v>46903</v>
      </c>
      <c r="B5176" s="3" t="inlineStr">
        <is>
          <t>Week</t>
        </is>
      </c>
      <c r="C5176" s="19" t="n">
        <v>5</v>
      </c>
      <c r="D5176" s="19" t="n">
        <v>2028</v>
      </c>
      <c r="E5176" s="57" t="n">
        <v>5</v>
      </c>
      <c r="F5176" s="29">
        <f>ROUND(((SUMIFS(Calendar!$F$2:$F$9997,Calendar!$B$2:$B$9997,D5176,Calendar!$C$2:$C$9997,C5176)*INDEX(ForeCalc!$B$37:$Y$274,MATCH(_xlfn.CONCAT(H5176," ",I5176),ForeCalc!$A$37:$A$274,0),MATCH(_xlfn.CONCAT(B5176," ",E5176),ForeCalc!$B$36:$Y$36,0))))*VLOOKUP(A5176,Calendar!$A$2:$H$9997,8,FALSE),0)</f>
        <v/>
      </c>
      <c r="G5176" s="29">
        <f>VLOOKUP(A5176,Calendar!$A$1:$H$9997,6,FALSE)-F5176</f>
        <v/>
      </c>
      <c r="H5176" s="19" t="n">
        <v>3</v>
      </c>
      <c r="I5176" s="57" t="n">
        <v>2</v>
      </c>
    </row>
    <row r="5177">
      <c r="A5177" s="62" t="n">
        <v>46904</v>
      </c>
      <c r="B5177" s="3" t="inlineStr">
        <is>
          <t>Week</t>
        </is>
      </c>
      <c r="C5177" s="19" t="n">
        <v>5</v>
      </c>
      <c r="D5177" s="19" t="n">
        <v>2028</v>
      </c>
      <c r="E5177" s="57" t="n">
        <v>5</v>
      </c>
      <c r="F5177" s="29">
        <f>ROUND(((SUMIFS(Calendar!$F$2:$F$9997,Calendar!$B$2:$B$9997,D5177,Calendar!$C$2:$C$9997,C5177)*INDEX(ForeCalc!$B$37:$Y$274,MATCH(_xlfn.CONCAT(H5177," ",I5177),ForeCalc!$A$37:$A$274,0),MATCH(_xlfn.CONCAT(B5177," ",E5177),ForeCalc!$B$36:$Y$36,0))))*VLOOKUP(A5177,Calendar!$A$2:$H$9997,8,FALSE),0)</f>
        <v/>
      </c>
      <c r="G5177" s="29">
        <f>VLOOKUP(A5177,Calendar!$A$1:$H$9997,6,FALSE)-F5177</f>
        <v/>
      </c>
      <c r="H5177" s="19" t="n">
        <v>3</v>
      </c>
      <c r="I5177" s="57" t="n">
        <v>2</v>
      </c>
    </row>
    <row r="5178">
      <c r="A5178" s="62" t="n">
        <v>46905</v>
      </c>
      <c r="B5178" s="3" t="inlineStr">
        <is>
          <t>Week</t>
        </is>
      </c>
      <c r="C5178" s="19" t="n">
        <v>6</v>
      </c>
      <c r="D5178" s="19" t="n">
        <v>2028</v>
      </c>
      <c r="E5178" s="57" t="n">
        <v>5</v>
      </c>
      <c r="F5178" s="29">
        <f>ROUND(((SUMIFS(Calendar!$F$2:$F$9997,Calendar!$B$2:$B$9997,D5178,Calendar!$C$2:$C$9997,C5178)*INDEX(ForeCalc!$B$37:$Y$274,MATCH(_xlfn.CONCAT(H5178," ",I5178),ForeCalc!$A$37:$A$274,0),MATCH(_xlfn.CONCAT(B5178," ",E5178),ForeCalc!$B$36:$Y$36,0))))*VLOOKUP(A5178,Calendar!$A$2:$H$9997,8,FALSE),0)</f>
        <v/>
      </c>
      <c r="G5178" s="29">
        <f>VLOOKUP(A5178,Calendar!$A$1:$H$9997,6,FALSE)-F5178</f>
        <v/>
      </c>
      <c r="H5178" s="19" t="n">
        <v>3</v>
      </c>
      <c r="I5178" s="57" t="n">
        <v>3</v>
      </c>
    </row>
    <row r="5179">
      <c r="A5179" s="62" t="n">
        <v>46906</v>
      </c>
      <c r="B5179" s="3" t="inlineStr">
        <is>
          <t>Week</t>
        </is>
      </c>
      <c r="C5179" s="19" t="n">
        <v>6</v>
      </c>
      <c r="D5179" s="19" t="n">
        <v>2028</v>
      </c>
      <c r="E5179" s="57" t="n">
        <v>5</v>
      </c>
      <c r="F5179" s="29">
        <f>ROUND(((SUMIFS(Calendar!$F$2:$F$9997,Calendar!$B$2:$B$9997,D5179,Calendar!$C$2:$C$9997,C5179)*INDEX(ForeCalc!$B$37:$Y$274,MATCH(_xlfn.CONCAT(H5179," ",I5179),ForeCalc!$A$37:$A$274,0),MATCH(_xlfn.CONCAT(B5179," ",E5179),ForeCalc!$B$36:$Y$36,0))))*VLOOKUP(A5179,Calendar!$A$2:$H$9997,8,FALSE),0)</f>
        <v/>
      </c>
      <c r="G5179" s="29">
        <f>VLOOKUP(A5179,Calendar!$A$1:$H$9997,6,FALSE)-F5179</f>
        <v/>
      </c>
      <c r="H5179" s="19" t="n">
        <v>3</v>
      </c>
      <c r="I5179" s="57" t="n">
        <v>3</v>
      </c>
    </row>
    <row r="5180">
      <c r="A5180" s="62" t="n">
        <v>46907</v>
      </c>
      <c r="B5180" s="3" t="inlineStr">
        <is>
          <t>Sat</t>
        </is>
      </c>
      <c r="C5180" s="19" t="n">
        <v>6</v>
      </c>
      <c r="D5180" s="19" t="n">
        <v>2028</v>
      </c>
      <c r="E5180" s="57" t="n">
        <v>5</v>
      </c>
      <c r="F5180" s="29">
        <f>ROUND(((SUMIFS(Calendar!$F$2:$F$9997,Calendar!$B$2:$B$9997,D5180,Calendar!$C$2:$C$9997,C5180)*INDEX(ForeCalc!$B$37:$Y$274,MATCH(_xlfn.CONCAT(H5180," ",I5180),ForeCalc!$A$37:$A$274,0),MATCH(_xlfn.CONCAT(B5180," ",E5180),ForeCalc!$B$36:$Y$36,0))))*VLOOKUP(A5180,Calendar!$A$2:$H$9997,8,FALSE),0)</f>
        <v/>
      </c>
      <c r="G5180" s="29">
        <f>VLOOKUP(A5180,Calendar!$A$1:$H$9997,6,FALSE)-F5180</f>
        <v/>
      </c>
      <c r="H5180" s="19" t="n">
        <v>3</v>
      </c>
      <c r="I5180" s="57" t="n">
        <v>3</v>
      </c>
    </row>
    <row r="5181">
      <c r="A5181" s="62" t="n">
        <v>46908</v>
      </c>
      <c r="B5181" s="3" t="inlineStr">
        <is>
          <t>Sun</t>
        </is>
      </c>
      <c r="C5181" s="19" t="n">
        <v>6</v>
      </c>
      <c r="D5181" s="19" t="n">
        <v>2028</v>
      </c>
      <c r="E5181" s="57" t="n">
        <v>5</v>
      </c>
      <c r="F5181" s="29">
        <f>ROUND(((SUMIFS(Calendar!$F$2:$F$9997,Calendar!$B$2:$B$9997,D5181,Calendar!$C$2:$C$9997,C5181)*INDEX(ForeCalc!$B$37:$Y$274,MATCH(_xlfn.CONCAT(H5181," ",I5181),ForeCalc!$A$37:$A$274,0),MATCH(_xlfn.CONCAT(B5181," ",E5181),ForeCalc!$B$36:$Y$36,0))))*VLOOKUP(A5181,Calendar!$A$2:$H$9997,8,FALSE),0)</f>
        <v/>
      </c>
      <c r="G5181" s="29">
        <f>VLOOKUP(A5181,Calendar!$A$1:$H$9997,6,FALSE)-F5181</f>
        <v/>
      </c>
      <c r="H5181" s="19" t="n">
        <v>3</v>
      </c>
      <c r="I5181" s="57" t="n">
        <v>3</v>
      </c>
    </row>
    <row r="5182">
      <c r="A5182" s="62" t="n">
        <v>46909</v>
      </c>
      <c r="B5182" s="3" t="inlineStr">
        <is>
          <t>Week</t>
        </is>
      </c>
      <c r="C5182" s="19" t="n">
        <v>6</v>
      </c>
      <c r="D5182" s="19" t="n">
        <v>2028</v>
      </c>
      <c r="E5182" s="57" t="n">
        <v>5</v>
      </c>
      <c r="F5182" s="29">
        <f>ROUND(((SUMIFS(Calendar!$F$2:$F$9997,Calendar!$B$2:$B$9997,D5182,Calendar!$C$2:$C$9997,C5182)*INDEX(ForeCalc!$B$37:$Y$274,MATCH(_xlfn.CONCAT(H5182," ",I5182),ForeCalc!$A$37:$A$274,0),MATCH(_xlfn.CONCAT(B5182," ",E5182),ForeCalc!$B$36:$Y$36,0))))*VLOOKUP(A5182,Calendar!$A$2:$H$9997,8,FALSE),0)</f>
        <v/>
      </c>
      <c r="G5182" s="29">
        <f>VLOOKUP(A5182,Calendar!$A$1:$H$9997,6,FALSE)-F5182</f>
        <v/>
      </c>
      <c r="H5182" s="19" t="n">
        <v>3</v>
      </c>
      <c r="I5182" s="57" t="n">
        <v>3</v>
      </c>
    </row>
    <row r="5183">
      <c r="A5183" s="62" t="n">
        <v>46910</v>
      </c>
      <c r="B5183" s="3" t="inlineStr">
        <is>
          <t>Week</t>
        </is>
      </c>
      <c r="C5183" s="19" t="n">
        <v>6</v>
      </c>
      <c r="D5183" s="19" t="n">
        <v>2028</v>
      </c>
      <c r="E5183" s="57" t="n">
        <v>5</v>
      </c>
      <c r="F5183" s="29">
        <f>ROUND(((SUMIFS(Calendar!$F$2:$F$9997,Calendar!$B$2:$B$9997,D5183,Calendar!$C$2:$C$9997,C5183)*INDEX(ForeCalc!$B$37:$Y$274,MATCH(_xlfn.CONCAT(H5183," ",I5183),ForeCalc!$A$37:$A$274,0),MATCH(_xlfn.CONCAT(B5183," ",E5183),ForeCalc!$B$36:$Y$36,0))))*VLOOKUP(A5183,Calendar!$A$2:$H$9997,8,FALSE),0)</f>
        <v/>
      </c>
      <c r="G5183" s="29">
        <f>VLOOKUP(A5183,Calendar!$A$1:$H$9997,6,FALSE)-F5183</f>
        <v/>
      </c>
      <c r="H5183" s="19" t="n">
        <v>3</v>
      </c>
      <c r="I5183" s="57" t="n">
        <v>3</v>
      </c>
    </row>
    <row r="5184">
      <c r="A5184" s="62" t="n">
        <v>46911</v>
      </c>
      <c r="B5184" s="3" t="inlineStr">
        <is>
          <t>Week</t>
        </is>
      </c>
      <c r="C5184" s="19" t="n">
        <v>6</v>
      </c>
      <c r="D5184" s="19" t="n">
        <v>2028</v>
      </c>
      <c r="E5184" s="57" t="n">
        <v>5</v>
      </c>
      <c r="F5184" s="29">
        <f>ROUND(((SUMIFS(Calendar!$F$2:$F$9997,Calendar!$B$2:$B$9997,D5184,Calendar!$C$2:$C$9997,C5184)*INDEX(ForeCalc!$B$37:$Y$274,MATCH(_xlfn.CONCAT(H5184," ",I5184),ForeCalc!$A$37:$A$274,0),MATCH(_xlfn.CONCAT(B5184," ",E5184),ForeCalc!$B$36:$Y$36,0))))*VLOOKUP(A5184,Calendar!$A$2:$H$9997,8,FALSE),0)</f>
        <v/>
      </c>
      <c r="G5184" s="29">
        <f>VLOOKUP(A5184,Calendar!$A$1:$H$9997,6,FALSE)-F5184</f>
        <v/>
      </c>
      <c r="H5184" s="19" t="n">
        <v>3</v>
      </c>
      <c r="I5184" s="57" t="n">
        <v>3</v>
      </c>
    </row>
    <row r="5185">
      <c r="A5185" s="62" t="n">
        <v>46912</v>
      </c>
      <c r="B5185" s="3" t="inlineStr">
        <is>
          <t>Week</t>
        </is>
      </c>
      <c r="C5185" s="19" t="n">
        <v>6</v>
      </c>
      <c r="D5185" s="19" t="n">
        <v>2028</v>
      </c>
      <c r="E5185" s="57" t="n">
        <v>5</v>
      </c>
      <c r="F5185" s="29">
        <f>ROUND(((SUMIFS(Calendar!$F$2:$F$9997,Calendar!$B$2:$B$9997,D5185,Calendar!$C$2:$C$9997,C5185)*INDEX(ForeCalc!$B$37:$Y$274,MATCH(_xlfn.CONCAT(H5185," ",I5185),ForeCalc!$A$37:$A$274,0),MATCH(_xlfn.CONCAT(B5185," ",E5185),ForeCalc!$B$36:$Y$36,0))))*VLOOKUP(A5185,Calendar!$A$2:$H$9997,8,FALSE),0)</f>
        <v/>
      </c>
      <c r="G5185" s="29">
        <f>VLOOKUP(A5185,Calendar!$A$1:$H$9997,6,FALSE)-F5185</f>
        <v/>
      </c>
      <c r="H5185" s="19" t="n">
        <v>3</v>
      </c>
      <c r="I5185" s="57" t="n">
        <v>3</v>
      </c>
    </row>
    <row r="5186">
      <c r="A5186" s="62" t="n">
        <v>46913</v>
      </c>
      <c r="B5186" s="3" t="inlineStr">
        <is>
          <t>Week</t>
        </is>
      </c>
      <c r="C5186" s="19" t="n">
        <v>6</v>
      </c>
      <c r="D5186" s="19" t="n">
        <v>2028</v>
      </c>
      <c r="E5186" s="57" t="n">
        <v>5</v>
      </c>
      <c r="F5186" s="29">
        <f>ROUND(((SUMIFS(Calendar!$F$2:$F$9997,Calendar!$B$2:$B$9997,D5186,Calendar!$C$2:$C$9997,C5186)*INDEX(ForeCalc!$B$37:$Y$274,MATCH(_xlfn.CONCAT(H5186," ",I5186),ForeCalc!$A$37:$A$274,0),MATCH(_xlfn.CONCAT(B5186," ",E5186),ForeCalc!$B$36:$Y$36,0))))*VLOOKUP(A5186,Calendar!$A$2:$H$9997,8,FALSE),0)</f>
        <v/>
      </c>
      <c r="G5186" s="29">
        <f>VLOOKUP(A5186,Calendar!$A$1:$H$9997,6,FALSE)-F5186</f>
        <v/>
      </c>
      <c r="H5186" s="19" t="n">
        <v>3</v>
      </c>
      <c r="I5186" s="57" t="n">
        <v>3</v>
      </c>
    </row>
    <row r="5187">
      <c r="A5187" s="62" t="n">
        <v>46914</v>
      </c>
      <c r="B5187" s="3" t="inlineStr">
        <is>
          <t>Sat</t>
        </is>
      </c>
      <c r="C5187" s="19" t="n">
        <v>6</v>
      </c>
      <c r="D5187" s="19" t="n">
        <v>2028</v>
      </c>
      <c r="E5187" s="57" t="n">
        <v>5</v>
      </c>
      <c r="F5187" s="29">
        <f>ROUND(((SUMIFS(Calendar!$F$2:$F$9997,Calendar!$B$2:$B$9997,D5187,Calendar!$C$2:$C$9997,C5187)*INDEX(ForeCalc!$B$37:$Y$274,MATCH(_xlfn.CONCAT(H5187," ",I5187),ForeCalc!$A$37:$A$274,0),MATCH(_xlfn.CONCAT(B5187," ",E5187),ForeCalc!$B$36:$Y$36,0))))*VLOOKUP(A5187,Calendar!$A$2:$H$9997,8,FALSE),0)</f>
        <v/>
      </c>
      <c r="G5187" s="29">
        <f>VLOOKUP(A5187,Calendar!$A$1:$H$9997,6,FALSE)-F5187</f>
        <v/>
      </c>
      <c r="H5187" s="19" t="n">
        <v>3</v>
      </c>
      <c r="I5187" s="57" t="n">
        <v>3</v>
      </c>
    </row>
    <row r="5188">
      <c r="A5188" s="62" t="n">
        <v>46915</v>
      </c>
      <c r="B5188" s="3" t="inlineStr">
        <is>
          <t>Sun</t>
        </is>
      </c>
      <c r="C5188" s="19" t="n">
        <v>6</v>
      </c>
      <c r="D5188" s="19" t="n">
        <v>2028</v>
      </c>
      <c r="E5188" s="57" t="n">
        <v>5</v>
      </c>
      <c r="F5188" s="29">
        <f>ROUND(((SUMIFS(Calendar!$F$2:$F$9997,Calendar!$B$2:$B$9997,D5188,Calendar!$C$2:$C$9997,C5188)*INDEX(ForeCalc!$B$37:$Y$274,MATCH(_xlfn.CONCAT(H5188," ",I5188),ForeCalc!$A$37:$A$274,0),MATCH(_xlfn.CONCAT(B5188," ",E5188),ForeCalc!$B$36:$Y$36,0))))*VLOOKUP(A5188,Calendar!$A$2:$H$9997,8,FALSE),0)</f>
        <v/>
      </c>
      <c r="G5188" s="29">
        <f>VLOOKUP(A5188,Calendar!$A$1:$H$9997,6,FALSE)-F5188</f>
        <v/>
      </c>
      <c r="H5188" s="19" t="n">
        <v>3</v>
      </c>
      <c r="I5188" s="57" t="n">
        <v>3</v>
      </c>
    </row>
    <row r="5189">
      <c r="A5189" s="62" t="n">
        <v>46916</v>
      </c>
      <c r="B5189" s="3" t="inlineStr">
        <is>
          <t>Week</t>
        </is>
      </c>
      <c r="C5189" s="19" t="n">
        <v>6</v>
      </c>
      <c r="D5189" s="19" t="n">
        <v>2028</v>
      </c>
      <c r="E5189" s="57" t="n">
        <v>5</v>
      </c>
      <c r="F5189" s="29">
        <f>ROUND(((SUMIFS(Calendar!$F$2:$F$9997,Calendar!$B$2:$B$9997,D5189,Calendar!$C$2:$C$9997,C5189)*INDEX(ForeCalc!$B$37:$Y$274,MATCH(_xlfn.CONCAT(H5189," ",I5189),ForeCalc!$A$37:$A$274,0),MATCH(_xlfn.CONCAT(B5189," ",E5189),ForeCalc!$B$36:$Y$36,0))))*VLOOKUP(A5189,Calendar!$A$2:$H$9997,8,FALSE),0)</f>
        <v/>
      </c>
      <c r="G5189" s="29">
        <f>VLOOKUP(A5189,Calendar!$A$1:$H$9997,6,FALSE)-F5189</f>
        <v/>
      </c>
      <c r="H5189" s="19" t="n">
        <v>3</v>
      </c>
      <c r="I5189" s="57" t="n">
        <v>3</v>
      </c>
    </row>
    <row r="5190">
      <c r="A5190" s="62" t="n">
        <v>46917</v>
      </c>
      <c r="B5190" s="3" t="inlineStr">
        <is>
          <t>Week</t>
        </is>
      </c>
      <c r="C5190" s="19" t="n">
        <v>6</v>
      </c>
      <c r="D5190" s="19" t="n">
        <v>2028</v>
      </c>
      <c r="E5190" s="57" t="n">
        <v>5</v>
      </c>
      <c r="F5190" s="29">
        <f>ROUND(((SUMIFS(Calendar!$F$2:$F$9997,Calendar!$B$2:$B$9997,D5190,Calendar!$C$2:$C$9997,C5190)*INDEX(ForeCalc!$B$37:$Y$274,MATCH(_xlfn.CONCAT(H5190," ",I5190),ForeCalc!$A$37:$A$274,0),MATCH(_xlfn.CONCAT(B5190," ",E5190),ForeCalc!$B$36:$Y$36,0))))*VLOOKUP(A5190,Calendar!$A$2:$H$9997,8,FALSE),0)</f>
        <v/>
      </c>
      <c r="G5190" s="29">
        <f>VLOOKUP(A5190,Calendar!$A$1:$H$9997,6,FALSE)-F5190</f>
        <v/>
      </c>
      <c r="H5190" s="19" t="n">
        <v>3</v>
      </c>
      <c r="I5190" s="57" t="n">
        <v>3</v>
      </c>
    </row>
    <row r="5191">
      <c r="A5191" s="62" t="n">
        <v>46918</v>
      </c>
      <c r="B5191" s="3" t="inlineStr">
        <is>
          <t>Week</t>
        </is>
      </c>
      <c r="C5191" s="19" t="n">
        <v>6</v>
      </c>
      <c r="D5191" s="19" t="n">
        <v>2028</v>
      </c>
      <c r="E5191" s="57" t="n">
        <v>5</v>
      </c>
      <c r="F5191" s="29">
        <f>ROUND(((SUMIFS(Calendar!$F$2:$F$9997,Calendar!$B$2:$B$9997,D5191,Calendar!$C$2:$C$9997,C5191)*INDEX(ForeCalc!$B$37:$Y$274,MATCH(_xlfn.CONCAT(H5191," ",I5191),ForeCalc!$A$37:$A$274,0),MATCH(_xlfn.CONCAT(B5191," ",E5191),ForeCalc!$B$36:$Y$36,0))))*VLOOKUP(A5191,Calendar!$A$2:$H$9997,8,FALSE),0)</f>
        <v/>
      </c>
      <c r="G5191" s="29">
        <f>VLOOKUP(A5191,Calendar!$A$1:$H$9997,6,FALSE)-F5191</f>
        <v/>
      </c>
      <c r="H5191" s="19" t="n">
        <v>3</v>
      </c>
      <c r="I5191" s="57" t="n">
        <v>3</v>
      </c>
    </row>
    <row r="5192">
      <c r="A5192" s="62" t="n">
        <v>46919</v>
      </c>
      <c r="B5192" s="3" t="inlineStr">
        <is>
          <t>Week</t>
        </is>
      </c>
      <c r="C5192" s="19" t="n">
        <v>6</v>
      </c>
      <c r="D5192" s="19" t="n">
        <v>2028</v>
      </c>
      <c r="E5192" s="57" t="n">
        <v>5</v>
      </c>
      <c r="F5192" s="29">
        <f>ROUND(((SUMIFS(Calendar!$F$2:$F$9997,Calendar!$B$2:$B$9997,D5192,Calendar!$C$2:$C$9997,C5192)*INDEX(ForeCalc!$B$37:$Y$274,MATCH(_xlfn.CONCAT(H5192," ",I5192),ForeCalc!$A$37:$A$274,0),MATCH(_xlfn.CONCAT(B5192," ",E5192),ForeCalc!$B$36:$Y$36,0))))*VLOOKUP(A5192,Calendar!$A$2:$H$9997,8,FALSE),0)</f>
        <v/>
      </c>
      <c r="G5192" s="29">
        <f>VLOOKUP(A5192,Calendar!$A$1:$H$9997,6,FALSE)-F5192</f>
        <v/>
      </c>
      <c r="H5192" s="19" t="n">
        <v>3</v>
      </c>
      <c r="I5192" s="57" t="n">
        <v>3</v>
      </c>
    </row>
    <row r="5193">
      <c r="A5193" s="62" t="n">
        <v>46920</v>
      </c>
      <c r="B5193" s="3" t="inlineStr">
        <is>
          <t>Week</t>
        </is>
      </c>
      <c r="C5193" s="19" t="n">
        <v>6</v>
      </c>
      <c r="D5193" s="19" t="n">
        <v>2028</v>
      </c>
      <c r="E5193" s="57" t="n">
        <v>5</v>
      </c>
      <c r="F5193" s="29">
        <f>ROUND(((SUMIFS(Calendar!$F$2:$F$9997,Calendar!$B$2:$B$9997,D5193,Calendar!$C$2:$C$9997,C5193)*INDEX(ForeCalc!$B$37:$Y$274,MATCH(_xlfn.CONCAT(H5193," ",I5193),ForeCalc!$A$37:$A$274,0),MATCH(_xlfn.CONCAT(B5193," ",E5193),ForeCalc!$B$36:$Y$36,0))))*VLOOKUP(A5193,Calendar!$A$2:$H$9997,8,FALSE),0)</f>
        <v/>
      </c>
      <c r="G5193" s="29">
        <f>VLOOKUP(A5193,Calendar!$A$1:$H$9997,6,FALSE)-F5193</f>
        <v/>
      </c>
      <c r="H5193" s="19" t="n">
        <v>3</v>
      </c>
      <c r="I5193" s="57" t="n">
        <v>3</v>
      </c>
    </row>
    <row r="5194">
      <c r="A5194" s="62" t="n">
        <v>46921</v>
      </c>
      <c r="B5194" s="3" t="inlineStr">
        <is>
          <t>Sat</t>
        </is>
      </c>
      <c r="C5194" s="19" t="n">
        <v>6</v>
      </c>
      <c r="D5194" s="19" t="n">
        <v>2028</v>
      </c>
      <c r="E5194" s="57" t="n">
        <v>5</v>
      </c>
      <c r="F5194" s="29">
        <f>ROUND(((SUMIFS(Calendar!$F$2:$F$9997,Calendar!$B$2:$B$9997,D5194,Calendar!$C$2:$C$9997,C5194)*INDEX(ForeCalc!$B$37:$Y$274,MATCH(_xlfn.CONCAT(H5194," ",I5194),ForeCalc!$A$37:$A$274,0),MATCH(_xlfn.CONCAT(B5194," ",E5194),ForeCalc!$B$36:$Y$36,0))))*VLOOKUP(A5194,Calendar!$A$2:$H$9997,8,FALSE),0)</f>
        <v/>
      </c>
      <c r="G5194" s="29">
        <f>VLOOKUP(A5194,Calendar!$A$1:$H$9997,6,FALSE)-F5194</f>
        <v/>
      </c>
      <c r="H5194" s="19" t="n">
        <v>3</v>
      </c>
      <c r="I5194" s="57" t="n">
        <v>3</v>
      </c>
    </row>
    <row r="5195">
      <c r="A5195" s="62" t="n">
        <v>46922</v>
      </c>
      <c r="B5195" s="3" t="inlineStr">
        <is>
          <t>Sun</t>
        </is>
      </c>
      <c r="C5195" s="19" t="n">
        <v>6</v>
      </c>
      <c r="D5195" s="19" t="n">
        <v>2028</v>
      </c>
      <c r="E5195" s="57" t="n">
        <v>5</v>
      </c>
      <c r="F5195" s="29">
        <f>ROUND(((SUMIFS(Calendar!$F$2:$F$9997,Calendar!$B$2:$B$9997,D5195,Calendar!$C$2:$C$9997,C5195)*INDEX(ForeCalc!$B$37:$Y$274,MATCH(_xlfn.CONCAT(H5195," ",I5195),ForeCalc!$A$37:$A$274,0),MATCH(_xlfn.CONCAT(B5195," ",E5195),ForeCalc!$B$36:$Y$36,0))))*VLOOKUP(A5195,Calendar!$A$2:$H$9997,8,FALSE),0)</f>
        <v/>
      </c>
      <c r="G5195" s="29">
        <f>VLOOKUP(A5195,Calendar!$A$1:$H$9997,6,FALSE)-F5195</f>
        <v/>
      </c>
      <c r="H5195" s="19" t="n">
        <v>3</v>
      </c>
      <c r="I5195" s="57" t="n">
        <v>3</v>
      </c>
    </row>
    <row r="5196">
      <c r="A5196" s="62" t="n">
        <v>46923</v>
      </c>
      <c r="B5196" s="3" t="inlineStr">
        <is>
          <t>Week</t>
        </is>
      </c>
      <c r="C5196" s="19" t="n">
        <v>6</v>
      </c>
      <c r="D5196" s="19" t="n">
        <v>2028</v>
      </c>
      <c r="E5196" s="57" t="n">
        <v>5</v>
      </c>
      <c r="F5196" s="29">
        <f>ROUND(((SUMIFS(Calendar!$F$2:$F$9997,Calendar!$B$2:$B$9997,D5196,Calendar!$C$2:$C$9997,C5196)*INDEX(ForeCalc!$B$37:$Y$274,MATCH(_xlfn.CONCAT(H5196," ",I5196),ForeCalc!$A$37:$A$274,0),MATCH(_xlfn.CONCAT(B5196," ",E5196),ForeCalc!$B$36:$Y$36,0))))*VLOOKUP(A5196,Calendar!$A$2:$H$9997,8,FALSE),0)</f>
        <v/>
      </c>
      <c r="G5196" s="29">
        <f>VLOOKUP(A5196,Calendar!$A$1:$H$9997,6,FALSE)-F5196</f>
        <v/>
      </c>
      <c r="H5196" s="19" t="n">
        <v>3</v>
      </c>
      <c r="I5196" s="57" t="n">
        <v>3</v>
      </c>
    </row>
    <row r="5197">
      <c r="A5197" s="62" t="n">
        <v>46924</v>
      </c>
      <c r="B5197" s="3" t="inlineStr">
        <is>
          <t>Week</t>
        </is>
      </c>
      <c r="C5197" s="19" t="n">
        <v>6</v>
      </c>
      <c r="D5197" s="19" t="n">
        <v>2028</v>
      </c>
      <c r="E5197" s="57" t="n">
        <v>5</v>
      </c>
      <c r="F5197" s="29">
        <f>ROUND(((SUMIFS(Calendar!$F$2:$F$9997,Calendar!$B$2:$B$9997,D5197,Calendar!$C$2:$C$9997,C5197)*INDEX(ForeCalc!$B$37:$Y$274,MATCH(_xlfn.CONCAT(H5197," ",I5197),ForeCalc!$A$37:$A$274,0),MATCH(_xlfn.CONCAT(B5197," ",E5197),ForeCalc!$B$36:$Y$36,0))))*VLOOKUP(A5197,Calendar!$A$2:$H$9997,8,FALSE),0)</f>
        <v/>
      </c>
      <c r="G5197" s="29">
        <f>VLOOKUP(A5197,Calendar!$A$1:$H$9997,6,FALSE)-F5197</f>
        <v/>
      </c>
      <c r="H5197" s="19" t="n">
        <v>3</v>
      </c>
      <c r="I5197" s="57" t="n">
        <v>3</v>
      </c>
    </row>
    <row r="5198">
      <c r="A5198" s="62" t="n">
        <v>46925</v>
      </c>
      <c r="B5198" s="3" t="inlineStr">
        <is>
          <t>Week</t>
        </is>
      </c>
      <c r="C5198" s="19" t="n">
        <v>6</v>
      </c>
      <c r="D5198" s="19" t="n">
        <v>2028</v>
      </c>
      <c r="E5198" s="57" t="n">
        <v>5</v>
      </c>
      <c r="F5198" s="29">
        <f>ROUND(((SUMIFS(Calendar!$F$2:$F$9997,Calendar!$B$2:$B$9997,D5198,Calendar!$C$2:$C$9997,C5198)*INDEX(ForeCalc!$B$37:$Y$274,MATCH(_xlfn.CONCAT(H5198," ",I5198),ForeCalc!$A$37:$A$274,0),MATCH(_xlfn.CONCAT(B5198," ",E5198),ForeCalc!$B$36:$Y$36,0))))*VLOOKUP(A5198,Calendar!$A$2:$H$9997,8,FALSE),0)</f>
        <v/>
      </c>
      <c r="G5198" s="29">
        <f>VLOOKUP(A5198,Calendar!$A$1:$H$9997,6,FALSE)-F5198</f>
        <v/>
      </c>
      <c r="H5198" s="19" t="n">
        <v>3</v>
      </c>
      <c r="I5198" s="57" t="n">
        <v>3</v>
      </c>
    </row>
    <row r="5199">
      <c r="A5199" s="62" t="n">
        <v>46926</v>
      </c>
      <c r="B5199" s="3" t="inlineStr">
        <is>
          <t>Week</t>
        </is>
      </c>
      <c r="C5199" s="19" t="n">
        <v>6</v>
      </c>
      <c r="D5199" s="19" t="n">
        <v>2028</v>
      </c>
      <c r="E5199" s="57" t="n">
        <v>5</v>
      </c>
      <c r="F5199" s="29">
        <f>ROUND(((SUMIFS(Calendar!$F$2:$F$9997,Calendar!$B$2:$B$9997,D5199,Calendar!$C$2:$C$9997,C5199)*INDEX(ForeCalc!$B$37:$Y$274,MATCH(_xlfn.CONCAT(H5199," ",I5199),ForeCalc!$A$37:$A$274,0),MATCH(_xlfn.CONCAT(B5199," ",E5199),ForeCalc!$B$36:$Y$36,0))))*VLOOKUP(A5199,Calendar!$A$2:$H$9997,8,FALSE),0)</f>
        <v/>
      </c>
      <c r="G5199" s="29">
        <f>VLOOKUP(A5199,Calendar!$A$1:$H$9997,6,FALSE)-F5199</f>
        <v/>
      </c>
      <c r="H5199" s="19" t="n">
        <v>3</v>
      </c>
      <c r="I5199" s="57" t="n">
        <v>3</v>
      </c>
    </row>
    <row r="5200">
      <c r="A5200" s="62" t="n">
        <v>46927</v>
      </c>
      <c r="B5200" s="3" t="inlineStr">
        <is>
          <t>Week</t>
        </is>
      </c>
      <c r="C5200" s="19" t="n">
        <v>6</v>
      </c>
      <c r="D5200" s="19" t="n">
        <v>2028</v>
      </c>
      <c r="E5200" s="57" t="n">
        <v>5</v>
      </c>
      <c r="F5200" s="29">
        <f>ROUND(((SUMIFS(Calendar!$F$2:$F$9997,Calendar!$B$2:$B$9997,D5200,Calendar!$C$2:$C$9997,C5200)*INDEX(ForeCalc!$B$37:$Y$274,MATCH(_xlfn.CONCAT(H5200," ",I5200),ForeCalc!$A$37:$A$274,0),MATCH(_xlfn.CONCAT(B5200," ",E5200),ForeCalc!$B$36:$Y$36,0))))*VLOOKUP(A5200,Calendar!$A$2:$H$9997,8,FALSE),0)</f>
        <v/>
      </c>
      <c r="G5200" s="29">
        <f>VLOOKUP(A5200,Calendar!$A$1:$H$9997,6,FALSE)-F5200</f>
        <v/>
      </c>
      <c r="H5200" s="19" t="n">
        <v>3</v>
      </c>
      <c r="I5200" s="57" t="n">
        <v>3</v>
      </c>
    </row>
    <row r="5201">
      <c r="A5201" s="62" t="n">
        <v>46928</v>
      </c>
      <c r="B5201" s="3" t="inlineStr">
        <is>
          <t>Sat</t>
        </is>
      </c>
      <c r="C5201" s="19" t="n">
        <v>6</v>
      </c>
      <c r="D5201" s="19" t="n">
        <v>2028</v>
      </c>
      <c r="E5201" s="57" t="n">
        <v>5</v>
      </c>
      <c r="F5201" s="29">
        <f>ROUND(((SUMIFS(Calendar!$F$2:$F$9997,Calendar!$B$2:$B$9997,D5201,Calendar!$C$2:$C$9997,C5201)*INDEX(ForeCalc!$B$37:$Y$274,MATCH(_xlfn.CONCAT(H5201," ",I5201),ForeCalc!$A$37:$A$274,0),MATCH(_xlfn.CONCAT(B5201," ",E5201),ForeCalc!$B$36:$Y$36,0))))*VLOOKUP(A5201,Calendar!$A$2:$H$9997,8,FALSE),0)</f>
        <v/>
      </c>
      <c r="G5201" s="29">
        <f>VLOOKUP(A5201,Calendar!$A$1:$H$9997,6,FALSE)-F5201</f>
        <v/>
      </c>
      <c r="H5201" s="19" t="n">
        <v>3</v>
      </c>
      <c r="I5201" s="57" t="n">
        <v>3</v>
      </c>
    </row>
    <row r="5202">
      <c r="A5202" s="62" t="n">
        <v>46929</v>
      </c>
      <c r="B5202" s="3" t="inlineStr">
        <is>
          <t>Sun</t>
        </is>
      </c>
      <c r="C5202" s="19" t="n">
        <v>6</v>
      </c>
      <c r="D5202" s="19" t="n">
        <v>2028</v>
      </c>
      <c r="E5202" s="57" t="n">
        <v>5</v>
      </c>
      <c r="F5202" s="29">
        <f>ROUND(((SUMIFS(Calendar!$F$2:$F$9997,Calendar!$B$2:$B$9997,D5202,Calendar!$C$2:$C$9997,C5202)*INDEX(ForeCalc!$B$37:$Y$274,MATCH(_xlfn.CONCAT(H5202," ",I5202),ForeCalc!$A$37:$A$274,0),MATCH(_xlfn.CONCAT(B5202," ",E5202),ForeCalc!$B$36:$Y$36,0))))*VLOOKUP(A5202,Calendar!$A$2:$H$9997,8,FALSE),0)</f>
        <v/>
      </c>
      <c r="G5202" s="29">
        <f>VLOOKUP(A5202,Calendar!$A$1:$H$9997,6,FALSE)-F5202</f>
        <v/>
      </c>
      <c r="H5202" s="19" t="n">
        <v>3</v>
      </c>
      <c r="I5202" s="57" t="n">
        <v>3</v>
      </c>
    </row>
    <row r="5203">
      <c r="A5203" s="62" t="n">
        <v>46930</v>
      </c>
      <c r="B5203" s="3" t="inlineStr">
        <is>
          <t>Week</t>
        </is>
      </c>
      <c r="C5203" s="19" t="n">
        <v>6</v>
      </c>
      <c r="D5203" s="19" t="n">
        <v>2028</v>
      </c>
      <c r="E5203" s="57" t="n">
        <v>5</v>
      </c>
      <c r="F5203" s="29">
        <f>ROUND(((SUMIFS(Calendar!$F$2:$F$9997,Calendar!$B$2:$B$9997,D5203,Calendar!$C$2:$C$9997,C5203)*INDEX(ForeCalc!$B$37:$Y$274,MATCH(_xlfn.CONCAT(H5203," ",I5203),ForeCalc!$A$37:$A$274,0),MATCH(_xlfn.CONCAT(B5203," ",E5203),ForeCalc!$B$36:$Y$36,0))))*VLOOKUP(A5203,Calendar!$A$2:$H$9997,8,FALSE),0)</f>
        <v/>
      </c>
      <c r="G5203" s="29">
        <f>VLOOKUP(A5203,Calendar!$A$1:$H$9997,6,FALSE)-F5203</f>
        <v/>
      </c>
      <c r="H5203" s="19" t="n">
        <v>3</v>
      </c>
      <c r="I5203" s="57" t="n">
        <v>3</v>
      </c>
    </row>
    <row r="5204">
      <c r="A5204" s="62" t="n">
        <v>46931</v>
      </c>
      <c r="B5204" s="3" t="inlineStr">
        <is>
          <t>Week</t>
        </is>
      </c>
      <c r="C5204" s="19" t="n">
        <v>6</v>
      </c>
      <c r="D5204" s="19" t="n">
        <v>2028</v>
      </c>
      <c r="E5204" s="57" t="n">
        <v>5</v>
      </c>
      <c r="F5204" s="29">
        <f>ROUND(((SUMIFS(Calendar!$F$2:$F$9997,Calendar!$B$2:$B$9997,D5204,Calendar!$C$2:$C$9997,C5204)*INDEX(ForeCalc!$B$37:$Y$274,MATCH(_xlfn.CONCAT(H5204," ",I5204),ForeCalc!$A$37:$A$274,0),MATCH(_xlfn.CONCAT(B5204," ",E5204),ForeCalc!$B$36:$Y$36,0))))*VLOOKUP(A5204,Calendar!$A$2:$H$9997,8,FALSE),0)</f>
        <v/>
      </c>
      <c r="G5204" s="29">
        <f>VLOOKUP(A5204,Calendar!$A$1:$H$9997,6,FALSE)-F5204</f>
        <v/>
      </c>
      <c r="H5204" s="19" t="n">
        <v>3</v>
      </c>
      <c r="I5204" s="57" t="n">
        <v>3</v>
      </c>
    </row>
    <row r="5205">
      <c r="A5205" s="62" t="n">
        <v>46932</v>
      </c>
      <c r="B5205" s="3" t="inlineStr">
        <is>
          <t>Week</t>
        </is>
      </c>
      <c r="C5205" s="19" t="n">
        <v>6</v>
      </c>
      <c r="D5205" s="19" t="n">
        <v>2028</v>
      </c>
      <c r="E5205" s="57" t="n">
        <v>5</v>
      </c>
      <c r="F5205" s="29">
        <f>ROUND(((SUMIFS(Calendar!$F$2:$F$9997,Calendar!$B$2:$B$9997,D5205,Calendar!$C$2:$C$9997,C5205)*INDEX(ForeCalc!$B$37:$Y$274,MATCH(_xlfn.CONCAT(H5205," ",I5205),ForeCalc!$A$37:$A$274,0),MATCH(_xlfn.CONCAT(B5205," ",E5205),ForeCalc!$B$36:$Y$36,0))))*VLOOKUP(A5205,Calendar!$A$2:$H$9997,8,FALSE),0)</f>
        <v/>
      </c>
      <c r="G5205" s="29">
        <f>VLOOKUP(A5205,Calendar!$A$1:$H$9997,6,FALSE)-F5205</f>
        <v/>
      </c>
      <c r="H5205" s="19" t="n">
        <v>3</v>
      </c>
      <c r="I5205" s="57" t="n">
        <v>3</v>
      </c>
    </row>
    <row r="5206">
      <c r="A5206" s="62" t="n">
        <v>46933</v>
      </c>
      <c r="B5206" s="3" t="inlineStr">
        <is>
          <t>Week</t>
        </is>
      </c>
      <c r="C5206" s="19" t="n">
        <v>6</v>
      </c>
      <c r="D5206" s="19" t="n">
        <v>2028</v>
      </c>
      <c r="E5206" s="57" t="n">
        <v>5</v>
      </c>
      <c r="F5206" s="29">
        <f>ROUND(((SUMIFS(Calendar!$F$2:$F$9997,Calendar!$B$2:$B$9997,D5206,Calendar!$C$2:$C$9997,C5206)*INDEX(ForeCalc!$B$37:$Y$274,MATCH(_xlfn.CONCAT(H5206," ",I5206),ForeCalc!$A$37:$A$274,0),MATCH(_xlfn.CONCAT(B5206," ",E5206),ForeCalc!$B$36:$Y$36,0))))*VLOOKUP(A5206,Calendar!$A$2:$H$9997,8,FALSE),0)</f>
        <v/>
      </c>
      <c r="G5206" s="29">
        <f>VLOOKUP(A5206,Calendar!$A$1:$H$9997,6,FALSE)-F5206</f>
        <v/>
      </c>
      <c r="H5206" s="19" t="n">
        <v>3</v>
      </c>
      <c r="I5206" s="57" t="n">
        <v>3</v>
      </c>
    </row>
    <row r="5207">
      <c r="A5207" s="62" t="n">
        <v>46934</v>
      </c>
      <c r="B5207" s="3" t="inlineStr">
        <is>
          <t>Week</t>
        </is>
      </c>
      <c r="C5207" s="19" t="n">
        <v>6</v>
      </c>
      <c r="D5207" s="19" t="n">
        <v>2028</v>
      </c>
      <c r="E5207" s="57" t="n">
        <v>5</v>
      </c>
      <c r="F5207" s="29">
        <f>ROUND(((SUMIFS(Calendar!$F$2:$F$9997,Calendar!$B$2:$B$9997,D5207,Calendar!$C$2:$C$9997,C5207)*INDEX(ForeCalc!$B$37:$Y$274,MATCH(_xlfn.CONCAT(H5207," ",I5207),ForeCalc!$A$37:$A$274,0),MATCH(_xlfn.CONCAT(B5207," ",E5207),ForeCalc!$B$36:$Y$36,0))))*VLOOKUP(A5207,Calendar!$A$2:$H$9997,8,FALSE),0)</f>
        <v/>
      </c>
      <c r="G5207" s="29">
        <f>VLOOKUP(A5207,Calendar!$A$1:$H$9997,6,FALSE)-F5207</f>
        <v/>
      </c>
      <c r="H5207" s="19" t="n">
        <v>3</v>
      </c>
      <c r="I5207" s="57" t="n">
        <v>3</v>
      </c>
    </row>
    <row r="5208">
      <c r="A5208" s="62" t="n">
        <v>46935</v>
      </c>
      <c r="B5208" s="3" t="inlineStr">
        <is>
          <t>Sat</t>
        </is>
      </c>
      <c r="C5208" s="19" t="n">
        <v>7</v>
      </c>
      <c r="D5208" s="19" t="n">
        <v>2028</v>
      </c>
      <c r="E5208" s="57" t="n">
        <v>5</v>
      </c>
      <c r="F5208" s="29">
        <f>ROUND(((SUMIFS(Calendar!$F$2:$F$9997,Calendar!$B$2:$B$9997,D5208,Calendar!$C$2:$C$9997,C5208)*INDEX(ForeCalc!$B$37:$Y$274,MATCH(_xlfn.CONCAT(H5208," ",I5208),ForeCalc!$A$37:$A$274,0),MATCH(_xlfn.CONCAT(B5208," ",E5208),ForeCalc!$B$36:$Y$36,0))))*VLOOKUP(A5208,Calendar!$A$2:$H$9997,8,FALSE),0)</f>
        <v/>
      </c>
      <c r="G5208" s="29">
        <f>VLOOKUP(A5208,Calendar!$A$1:$H$9997,6,FALSE)-F5208</f>
        <v/>
      </c>
      <c r="H5208" s="19" t="n">
        <v>3</v>
      </c>
      <c r="I5208" s="57" t="n">
        <v>4</v>
      </c>
    </row>
    <row r="5209">
      <c r="A5209" s="62" t="n">
        <v>46936</v>
      </c>
      <c r="B5209" s="3" t="inlineStr">
        <is>
          <t>Sun</t>
        </is>
      </c>
      <c r="C5209" s="19" t="n">
        <v>7</v>
      </c>
      <c r="D5209" s="19" t="n">
        <v>2028</v>
      </c>
      <c r="E5209" s="57" t="n">
        <v>5</v>
      </c>
      <c r="F5209" s="29">
        <f>ROUND(((SUMIFS(Calendar!$F$2:$F$9997,Calendar!$B$2:$B$9997,D5209,Calendar!$C$2:$C$9997,C5209)*INDEX(ForeCalc!$B$37:$Y$274,MATCH(_xlfn.CONCAT(H5209," ",I5209),ForeCalc!$A$37:$A$274,0),MATCH(_xlfn.CONCAT(B5209," ",E5209),ForeCalc!$B$36:$Y$36,0))))*VLOOKUP(A5209,Calendar!$A$2:$H$9997,8,FALSE),0)</f>
        <v/>
      </c>
      <c r="G5209" s="29">
        <f>VLOOKUP(A5209,Calendar!$A$1:$H$9997,6,FALSE)-F5209</f>
        <v/>
      </c>
      <c r="H5209" s="19" t="n">
        <v>3</v>
      </c>
      <c r="I5209" s="57" t="n">
        <v>4</v>
      </c>
    </row>
    <row r="5210">
      <c r="A5210" s="62" t="n">
        <v>46937</v>
      </c>
      <c r="B5210" s="3" t="inlineStr">
        <is>
          <t>Week</t>
        </is>
      </c>
      <c r="C5210" s="19" t="n">
        <v>7</v>
      </c>
      <c r="D5210" s="19" t="n">
        <v>2028</v>
      </c>
      <c r="E5210" s="57" t="n">
        <v>5</v>
      </c>
      <c r="F5210" s="29">
        <f>ROUND(((SUMIFS(Calendar!$F$2:$F$9997,Calendar!$B$2:$B$9997,D5210,Calendar!$C$2:$C$9997,C5210)*INDEX(ForeCalc!$B$37:$Y$274,MATCH(_xlfn.CONCAT(H5210," ",I5210),ForeCalc!$A$37:$A$274,0),MATCH(_xlfn.CONCAT(B5210," ",E5210),ForeCalc!$B$36:$Y$36,0))))*VLOOKUP(A5210,Calendar!$A$2:$H$9997,8,FALSE),0)</f>
        <v/>
      </c>
      <c r="G5210" s="29">
        <f>VLOOKUP(A5210,Calendar!$A$1:$H$9997,6,FALSE)-F5210</f>
        <v/>
      </c>
      <c r="H5210" s="19" t="n">
        <v>3</v>
      </c>
      <c r="I5210" s="57" t="n">
        <v>4</v>
      </c>
    </row>
    <row r="5211">
      <c r="A5211" s="62" t="n">
        <v>46938</v>
      </c>
      <c r="B5211" s="3" t="inlineStr">
        <is>
          <t>Week</t>
        </is>
      </c>
      <c r="C5211" s="19" t="n">
        <v>7</v>
      </c>
      <c r="D5211" s="19" t="n">
        <v>2028</v>
      </c>
      <c r="E5211" s="57" t="n">
        <v>5</v>
      </c>
      <c r="F5211" s="29">
        <f>ROUND(((SUMIFS(Calendar!$F$2:$F$9997,Calendar!$B$2:$B$9997,D5211,Calendar!$C$2:$C$9997,C5211)*INDEX(ForeCalc!$B$37:$Y$274,MATCH(_xlfn.CONCAT(H5211," ",I5211),ForeCalc!$A$37:$A$274,0),MATCH(_xlfn.CONCAT(B5211," ",E5211),ForeCalc!$B$36:$Y$36,0))))*VLOOKUP(A5211,Calendar!$A$2:$H$9997,8,FALSE),0)</f>
        <v/>
      </c>
      <c r="G5211" s="29">
        <f>VLOOKUP(A5211,Calendar!$A$1:$H$9997,6,FALSE)-F5211</f>
        <v/>
      </c>
      <c r="H5211" s="19" t="n">
        <v>3</v>
      </c>
      <c r="I5211" s="57" t="n">
        <v>4</v>
      </c>
    </row>
    <row r="5212">
      <c r="A5212" s="62" t="n">
        <v>46939</v>
      </c>
      <c r="B5212" s="3" t="inlineStr">
        <is>
          <t>Week</t>
        </is>
      </c>
      <c r="C5212" s="19" t="n">
        <v>7</v>
      </c>
      <c r="D5212" s="19" t="n">
        <v>2028</v>
      </c>
      <c r="E5212" s="57" t="n">
        <v>5</v>
      </c>
      <c r="F5212" s="29">
        <f>ROUND(((SUMIFS(Calendar!$F$2:$F$9997,Calendar!$B$2:$B$9997,D5212,Calendar!$C$2:$C$9997,C5212)*INDEX(ForeCalc!$B$37:$Y$274,MATCH(_xlfn.CONCAT(H5212," ",I5212),ForeCalc!$A$37:$A$274,0),MATCH(_xlfn.CONCAT(B5212," ",E5212),ForeCalc!$B$36:$Y$36,0))))*VLOOKUP(A5212,Calendar!$A$2:$H$9997,8,FALSE),0)</f>
        <v/>
      </c>
      <c r="G5212" s="29">
        <f>VLOOKUP(A5212,Calendar!$A$1:$H$9997,6,FALSE)-F5212</f>
        <v/>
      </c>
      <c r="H5212" s="19" t="n">
        <v>3</v>
      </c>
      <c r="I5212" s="57" t="n">
        <v>4</v>
      </c>
    </row>
    <row r="5213">
      <c r="A5213" s="62" t="n">
        <v>46940</v>
      </c>
      <c r="B5213" s="3" t="inlineStr">
        <is>
          <t>Week</t>
        </is>
      </c>
      <c r="C5213" s="19" t="n">
        <v>7</v>
      </c>
      <c r="D5213" s="19" t="n">
        <v>2028</v>
      </c>
      <c r="E5213" s="57" t="n">
        <v>5</v>
      </c>
      <c r="F5213" s="29">
        <f>ROUND(((SUMIFS(Calendar!$F$2:$F$9997,Calendar!$B$2:$B$9997,D5213,Calendar!$C$2:$C$9997,C5213)*INDEX(ForeCalc!$B$37:$Y$274,MATCH(_xlfn.CONCAT(H5213," ",I5213),ForeCalc!$A$37:$A$274,0),MATCH(_xlfn.CONCAT(B5213," ",E5213),ForeCalc!$B$36:$Y$36,0))))*VLOOKUP(A5213,Calendar!$A$2:$H$9997,8,FALSE),0)</f>
        <v/>
      </c>
      <c r="G5213" s="29">
        <f>VLOOKUP(A5213,Calendar!$A$1:$H$9997,6,FALSE)-F5213</f>
        <v/>
      </c>
      <c r="H5213" s="19" t="n">
        <v>3</v>
      </c>
      <c r="I5213" s="57" t="n">
        <v>4</v>
      </c>
    </row>
    <row r="5214">
      <c r="A5214" s="62" t="n">
        <v>46941</v>
      </c>
      <c r="B5214" s="3" t="inlineStr">
        <is>
          <t>Week</t>
        </is>
      </c>
      <c r="C5214" s="19" t="n">
        <v>7</v>
      </c>
      <c r="D5214" s="19" t="n">
        <v>2028</v>
      </c>
      <c r="E5214" s="57" t="n">
        <v>5</v>
      </c>
      <c r="F5214" s="29">
        <f>ROUND(((SUMIFS(Calendar!$F$2:$F$9997,Calendar!$B$2:$B$9997,D5214,Calendar!$C$2:$C$9997,C5214)*INDEX(ForeCalc!$B$37:$Y$274,MATCH(_xlfn.CONCAT(H5214," ",I5214),ForeCalc!$A$37:$A$274,0),MATCH(_xlfn.CONCAT(B5214," ",E5214),ForeCalc!$B$36:$Y$36,0))))*VLOOKUP(A5214,Calendar!$A$2:$H$9997,8,FALSE),0)</f>
        <v/>
      </c>
      <c r="G5214" s="29">
        <f>VLOOKUP(A5214,Calendar!$A$1:$H$9997,6,FALSE)-F5214</f>
        <v/>
      </c>
      <c r="H5214" s="19" t="n">
        <v>3</v>
      </c>
      <c r="I5214" s="57" t="n">
        <v>4</v>
      </c>
    </row>
    <row r="5215">
      <c r="A5215" s="62" t="n">
        <v>46942</v>
      </c>
      <c r="B5215" s="3" t="inlineStr">
        <is>
          <t>Sat</t>
        </is>
      </c>
      <c r="C5215" s="19" t="n">
        <v>7</v>
      </c>
      <c r="D5215" s="19" t="n">
        <v>2028</v>
      </c>
      <c r="E5215" s="57" t="n">
        <v>5</v>
      </c>
      <c r="F5215" s="29">
        <f>ROUND(((SUMIFS(Calendar!$F$2:$F$9997,Calendar!$B$2:$B$9997,D5215,Calendar!$C$2:$C$9997,C5215)*INDEX(ForeCalc!$B$37:$Y$274,MATCH(_xlfn.CONCAT(H5215," ",I5215),ForeCalc!$A$37:$A$274,0),MATCH(_xlfn.CONCAT(B5215," ",E5215),ForeCalc!$B$36:$Y$36,0))))*VLOOKUP(A5215,Calendar!$A$2:$H$9997,8,FALSE),0)</f>
        <v/>
      </c>
      <c r="G5215" s="29">
        <f>VLOOKUP(A5215,Calendar!$A$1:$H$9997,6,FALSE)-F5215</f>
        <v/>
      </c>
      <c r="H5215" s="19" t="n">
        <v>3</v>
      </c>
      <c r="I5215" s="57" t="n">
        <v>4</v>
      </c>
    </row>
    <row r="5216">
      <c r="A5216" s="62" t="n">
        <v>46943</v>
      </c>
      <c r="B5216" s="3" t="inlineStr">
        <is>
          <t>Sun</t>
        </is>
      </c>
      <c r="C5216" s="19" t="n">
        <v>7</v>
      </c>
      <c r="D5216" s="19" t="n">
        <v>2028</v>
      </c>
      <c r="E5216" s="57" t="n">
        <v>5</v>
      </c>
      <c r="F5216" s="29">
        <f>ROUND(((SUMIFS(Calendar!$F$2:$F$9997,Calendar!$B$2:$B$9997,D5216,Calendar!$C$2:$C$9997,C5216)*INDEX(ForeCalc!$B$37:$Y$274,MATCH(_xlfn.CONCAT(H5216," ",I5216),ForeCalc!$A$37:$A$274,0),MATCH(_xlfn.CONCAT(B5216," ",E5216),ForeCalc!$B$36:$Y$36,0))))*VLOOKUP(A5216,Calendar!$A$2:$H$9997,8,FALSE),0)</f>
        <v/>
      </c>
      <c r="G5216" s="29">
        <f>VLOOKUP(A5216,Calendar!$A$1:$H$9997,6,FALSE)-F5216</f>
        <v/>
      </c>
      <c r="H5216" s="19" t="n">
        <v>3</v>
      </c>
      <c r="I5216" s="57" t="n">
        <v>4</v>
      </c>
    </row>
    <row r="5217">
      <c r="A5217" s="62" t="n">
        <v>46944</v>
      </c>
      <c r="B5217" s="3" t="inlineStr">
        <is>
          <t>Week</t>
        </is>
      </c>
      <c r="C5217" s="19" t="n">
        <v>7</v>
      </c>
      <c r="D5217" s="19" t="n">
        <v>2028</v>
      </c>
      <c r="E5217" s="57" t="n">
        <v>5</v>
      </c>
      <c r="F5217" s="29">
        <f>ROUND(((SUMIFS(Calendar!$F$2:$F$9997,Calendar!$B$2:$B$9997,D5217,Calendar!$C$2:$C$9997,C5217)*INDEX(ForeCalc!$B$37:$Y$274,MATCH(_xlfn.CONCAT(H5217," ",I5217),ForeCalc!$A$37:$A$274,0),MATCH(_xlfn.CONCAT(B5217," ",E5217),ForeCalc!$B$36:$Y$36,0))))*VLOOKUP(A5217,Calendar!$A$2:$H$9997,8,FALSE),0)</f>
        <v/>
      </c>
      <c r="G5217" s="29">
        <f>VLOOKUP(A5217,Calendar!$A$1:$H$9997,6,FALSE)-F5217</f>
        <v/>
      </c>
      <c r="H5217" s="19" t="n">
        <v>3</v>
      </c>
      <c r="I5217" s="57" t="n">
        <v>4</v>
      </c>
    </row>
    <row r="5218">
      <c r="A5218" s="62" t="n">
        <v>46945</v>
      </c>
      <c r="B5218" s="3" t="inlineStr">
        <is>
          <t>Week</t>
        </is>
      </c>
      <c r="C5218" s="19" t="n">
        <v>7</v>
      </c>
      <c r="D5218" s="19" t="n">
        <v>2028</v>
      </c>
      <c r="E5218" s="57" t="n">
        <v>5</v>
      </c>
      <c r="F5218" s="29">
        <f>ROUND(((SUMIFS(Calendar!$F$2:$F$9997,Calendar!$B$2:$B$9997,D5218,Calendar!$C$2:$C$9997,C5218)*INDEX(ForeCalc!$B$37:$Y$274,MATCH(_xlfn.CONCAT(H5218," ",I5218),ForeCalc!$A$37:$A$274,0),MATCH(_xlfn.CONCAT(B5218," ",E5218),ForeCalc!$B$36:$Y$36,0))))*VLOOKUP(A5218,Calendar!$A$2:$H$9997,8,FALSE),0)</f>
        <v/>
      </c>
      <c r="G5218" s="29">
        <f>VLOOKUP(A5218,Calendar!$A$1:$H$9997,6,FALSE)-F5218</f>
        <v/>
      </c>
      <c r="H5218" s="19" t="n">
        <v>3</v>
      </c>
      <c r="I5218" s="57" t="n">
        <v>4</v>
      </c>
    </row>
    <row r="5219">
      <c r="A5219" s="62" t="n">
        <v>46946</v>
      </c>
      <c r="B5219" s="3" t="inlineStr">
        <is>
          <t>Week</t>
        </is>
      </c>
      <c r="C5219" s="19" t="n">
        <v>7</v>
      </c>
      <c r="D5219" s="19" t="n">
        <v>2028</v>
      </c>
      <c r="E5219" s="57" t="n">
        <v>5</v>
      </c>
      <c r="F5219" s="29">
        <f>ROUND(((SUMIFS(Calendar!$F$2:$F$9997,Calendar!$B$2:$B$9997,D5219,Calendar!$C$2:$C$9997,C5219)*INDEX(ForeCalc!$B$37:$Y$274,MATCH(_xlfn.CONCAT(H5219," ",I5219),ForeCalc!$A$37:$A$274,0),MATCH(_xlfn.CONCAT(B5219," ",E5219),ForeCalc!$B$36:$Y$36,0))))*VLOOKUP(A5219,Calendar!$A$2:$H$9997,8,FALSE),0)</f>
        <v/>
      </c>
      <c r="G5219" s="29">
        <f>VLOOKUP(A5219,Calendar!$A$1:$H$9997,6,FALSE)-F5219</f>
        <v/>
      </c>
      <c r="H5219" s="19" t="n">
        <v>3</v>
      </c>
      <c r="I5219" s="57" t="n">
        <v>4</v>
      </c>
    </row>
    <row r="5220">
      <c r="A5220" s="62" t="n">
        <v>46947</v>
      </c>
      <c r="B5220" s="3" t="inlineStr">
        <is>
          <t>Week</t>
        </is>
      </c>
      <c r="C5220" s="19" t="n">
        <v>7</v>
      </c>
      <c r="D5220" s="19" t="n">
        <v>2028</v>
      </c>
      <c r="E5220" s="57" t="n">
        <v>5</v>
      </c>
      <c r="F5220" s="29">
        <f>ROUND(((SUMIFS(Calendar!$F$2:$F$9997,Calendar!$B$2:$B$9997,D5220,Calendar!$C$2:$C$9997,C5220)*INDEX(ForeCalc!$B$37:$Y$274,MATCH(_xlfn.CONCAT(H5220," ",I5220),ForeCalc!$A$37:$A$274,0),MATCH(_xlfn.CONCAT(B5220," ",E5220),ForeCalc!$B$36:$Y$36,0))))*VLOOKUP(A5220,Calendar!$A$2:$H$9997,8,FALSE),0)</f>
        <v/>
      </c>
      <c r="G5220" s="29">
        <f>VLOOKUP(A5220,Calendar!$A$1:$H$9997,6,FALSE)-F5220</f>
        <v/>
      </c>
      <c r="H5220" s="19" t="n">
        <v>3</v>
      </c>
      <c r="I5220" s="57" t="n">
        <v>4</v>
      </c>
    </row>
    <row r="5221">
      <c r="A5221" s="62" t="n">
        <v>46948</v>
      </c>
      <c r="B5221" s="3" t="inlineStr">
        <is>
          <t>Week</t>
        </is>
      </c>
      <c r="C5221" s="19" t="n">
        <v>7</v>
      </c>
      <c r="D5221" s="19" t="n">
        <v>2028</v>
      </c>
      <c r="E5221" s="57" t="n">
        <v>5</v>
      </c>
      <c r="F5221" s="29">
        <f>ROUND(((SUMIFS(Calendar!$F$2:$F$9997,Calendar!$B$2:$B$9997,D5221,Calendar!$C$2:$C$9997,C5221)*INDEX(ForeCalc!$B$37:$Y$274,MATCH(_xlfn.CONCAT(H5221," ",I5221),ForeCalc!$A$37:$A$274,0),MATCH(_xlfn.CONCAT(B5221," ",E5221),ForeCalc!$B$36:$Y$36,0))))*VLOOKUP(A5221,Calendar!$A$2:$H$9997,8,FALSE),0)</f>
        <v/>
      </c>
      <c r="G5221" s="29">
        <f>VLOOKUP(A5221,Calendar!$A$1:$H$9997,6,FALSE)-F5221</f>
        <v/>
      </c>
      <c r="H5221" s="19" t="n">
        <v>3</v>
      </c>
      <c r="I5221" s="57" t="n">
        <v>4</v>
      </c>
    </row>
    <row r="5222">
      <c r="A5222" s="62" t="n">
        <v>46949</v>
      </c>
      <c r="B5222" s="3" t="inlineStr">
        <is>
          <t>Sat</t>
        </is>
      </c>
      <c r="C5222" s="19" t="n">
        <v>7</v>
      </c>
      <c r="D5222" s="19" t="n">
        <v>2028</v>
      </c>
      <c r="E5222" s="57" t="n">
        <v>5</v>
      </c>
      <c r="F5222" s="29">
        <f>ROUND(((SUMIFS(Calendar!$F$2:$F$9997,Calendar!$B$2:$B$9997,D5222,Calendar!$C$2:$C$9997,C5222)*INDEX(ForeCalc!$B$37:$Y$274,MATCH(_xlfn.CONCAT(H5222," ",I5222),ForeCalc!$A$37:$A$274,0),MATCH(_xlfn.CONCAT(B5222," ",E5222),ForeCalc!$B$36:$Y$36,0))))*VLOOKUP(A5222,Calendar!$A$2:$H$9997,8,FALSE),0)</f>
        <v/>
      </c>
      <c r="G5222" s="29">
        <f>VLOOKUP(A5222,Calendar!$A$1:$H$9997,6,FALSE)-F5222</f>
        <v/>
      </c>
      <c r="H5222" s="19" t="n">
        <v>3</v>
      </c>
      <c r="I5222" s="57" t="n">
        <v>4</v>
      </c>
    </row>
    <row r="5223">
      <c r="A5223" s="62" t="n">
        <v>46950</v>
      </c>
      <c r="B5223" s="3" t="inlineStr">
        <is>
          <t>Sun</t>
        </is>
      </c>
      <c r="C5223" s="19" t="n">
        <v>7</v>
      </c>
      <c r="D5223" s="19" t="n">
        <v>2028</v>
      </c>
      <c r="E5223" s="57" t="n">
        <v>5</v>
      </c>
      <c r="F5223" s="29">
        <f>ROUND(((SUMIFS(Calendar!$F$2:$F$9997,Calendar!$B$2:$B$9997,D5223,Calendar!$C$2:$C$9997,C5223)*INDEX(ForeCalc!$B$37:$Y$274,MATCH(_xlfn.CONCAT(H5223," ",I5223),ForeCalc!$A$37:$A$274,0),MATCH(_xlfn.CONCAT(B5223," ",E5223),ForeCalc!$B$36:$Y$36,0))))*VLOOKUP(A5223,Calendar!$A$2:$H$9997,8,FALSE),0)</f>
        <v/>
      </c>
      <c r="G5223" s="29">
        <f>VLOOKUP(A5223,Calendar!$A$1:$H$9997,6,FALSE)-F5223</f>
        <v/>
      </c>
      <c r="H5223" s="19" t="n">
        <v>3</v>
      </c>
      <c r="I5223" s="57" t="n">
        <v>4</v>
      </c>
    </row>
    <row r="5224">
      <c r="A5224" s="62" t="n">
        <v>46951</v>
      </c>
      <c r="B5224" s="3" t="inlineStr">
        <is>
          <t>Week</t>
        </is>
      </c>
      <c r="C5224" s="19" t="n">
        <v>7</v>
      </c>
      <c r="D5224" s="19" t="n">
        <v>2028</v>
      </c>
      <c r="E5224" s="57" t="n">
        <v>5</v>
      </c>
      <c r="F5224" s="29">
        <f>ROUND(((SUMIFS(Calendar!$F$2:$F$9997,Calendar!$B$2:$B$9997,D5224,Calendar!$C$2:$C$9997,C5224)*INDEX(ForeCalc!$B$37:$Y$274,MATCH(_xlfn.CONCAT(H5224," ",I5224),ForeCalc!$A$37:$A$274,0),MATCH(_xlfn.CONCAT(B5224," ",E5224),ForeCalc!$B$36:$Y$36,0))))*VLOOKUP(A5224,Calendar!$A$2:$H$9997,8,FALSE),0)</f>
        <v/>
      </c>
      <c r="G5224" s="29">
        <f>VLOOKUP(A5224,Calendar!$A$1:$H$9997,6,FALSE)-F5224</f>
        <v/>
      </c>
      <c r="H5224" s="19" t="n">
        <v>3</v>
      </c>
      <c r="I5224" s="57" t="n">
        <v>4</v>
      </c>
    </row>
    <row r="5225">
      <c r="A5225" s="62" t="n">
        <v>46952</v>
      </c>
      <c r="B5225" s="3" t="inlineStr">
        <is>
          <t>Week</t>
        </is>
      </c>
      <c r="C5225" s="19" t="n">
        <v>7</v>
      </c>
      <c r="D5225" s="19" t="n">
        <v>2028</v>
      </c>
      <c r="E5225" s="57" t="n">
        <v>5</v>
      </c>
      <c r="F5225" s="29">
        <f>ROUND(((SUMIFS(Calendar!$F$2:$F$9997,Calendar!$B$2:$B$9997,D5225,Calendar!$C$2:$C$9997,C5225)*INDEX(ForeCalc!$B$37:$Y$274,MATCH(_xlfn.CONCAT(H5225," ",I5225),ForeCalc!$A$37:$A$274,0),MATCH(_xlfn.CONCAT(B5225," ",E5225),ForeCalc!$B$36:$Y$36,0))))*VLOOKUP(A5225,Calendar!$A$2:$H$9997,8,FALSE),0)</f>
        <v/>
      </c>
      <c r="G5225" s="29">
        <f>VLOOKUP(A5225,Calendar!$A$1:$H$9997,6,FALSE)-F5225</f>
        <v/>
      </c>
      <c r="H5225" s="19" t="n">
        <v>3</v>
      </c>
      <c r="I5225" s="57" t="n">
        <v>4</v>
      </c>
    </row>
    <row r="5226">
      <c r="A5226" s="62" t="n">
        <v>46953</v>
      </c>
      <c r="B5226" s="3" t="inlineStr">
        <is>
          <t>Week</t>
        </is>
      </c>
      <c r="C5226" s="19" t="n">
        <v>7</v>
      </c>
      <c r="D5226" s="19" t="n">
        <v>2028</v>
      </c>
      <c r="E5226" s="57" t="n">
        <v>5</v>
      </c>
      <c r="F5226" s="29">
        <f>ROUND(((SUMIFS(Calendar!$F$2:$F$9997,Calendar!$B$2:$B$9997,D5226,Calendar!$C$2:$C$9997,C5226)*INDEX(ForeCalc!$B$37:$Y$274,MATCH(_xlfn.CONCAT(H5226," ",I5226),ForeCalc!$A$37:$A$274,0),MATCH(_xlfn.CONCAT(B5226," ",E5226),ForeCalc!$B$36:$Y$36,0))))*VLOOKUP(A5226,Calendar!$A$2:$H$9997,8,FALSE),0)</f>
        <v/>
      </c>
      <c r="G5226" s="29">
        <f>VLOOKUP(A5226,Calendar!$A$1:$H$9997,6,FALSE)-F5226</f>
        <v/>
      </c>
      <c r="H5226" s="19" t="n">
        <v>3</v>
      </c>
      <c r="I5226" s="57" t="n">
        <v>4</v>
      </c>
    </row>
    <row r="5227">
      <c r="A5227" s="62" t="n">
        <v>46954</v>
      </c>
      <c r="B5227" s="3" t="inlineStr">
        <is>
          <t>Week</t>
        </is>
      </c>
      <c r="C5227" s="19" t="n">
        <v>7</v>
      </c>
      <c r="D5227" s="19" t="n">
        <v>2028</v>
      </c>
      <c r="E5227" s="57" t="n">
        <v>5</v>
      </c>
      <c r="F5227" s="29">
        <f>ROUND(((SUMIFS(Calendar!$F$2:$F$9997,Calendar!$B$2:$B$9997,D5227,Calendar!$C$2:$C$9997,C5227)*INDEX(ForeCalc!$B$37:$Y$274,MATCH(_xlfn.CONCAT(H5227," ",I5227),ForeCalc!$A$37:$A$274,0),MATCH(_xlfn.CONCAT(B5227," ",E5227),ForeCalc!$B$36:$Y$36,0))))*VLOOKUP(A5227,Calendar!$A$2:$H$9997,8,FALSE),0)</f>
        <v/>
      </c>
      <c r="G5227" s="29">
        <f>VLOOKUP(A5227,Calendar!$A$1:$H$9997,6,FALSE)-F5227</f>
        <v/>
      </c>
      <c r="H5227" s="19" t="n">
        <v>3</v>
      </c>
      <c r="I5227" s="57" t="n">
        <v>4</v>
      </c>
    </row>
    <row r="5228">
      <c r="A5228" s="62" t="n">
        <v>46955</v>
      </c>
      <c r="B5228" s="3" t="inlineStr">
        <is>
          <t>Week</t>
        </is>
      </c>
      <c r="C5228" s="19" t="n">
        <v>7</v>
      </c>
      <c r="D5228" s="19" t="n">
        <v>2028</v>
      </c>
      <c r="E5228" s="57" t="n">
        <v>5</v>
      </c>
      <c r="F5228" s="29">
        <f>ROUND(((SUMIFS(Calendar!$F$2:$F$9997,Calendar!$B$2:$B$9997,D5228,Calendar!$C$2:$C$9997,C5228)*INDEX(ForeCalc!$B$37:$Y$274,MATCH(_xlfn.CONCAT(H5228," ",I5228),ForeCalc!$A$37:$A$274,0),MATCH(_xlfn.CONCAT(B5228," ",E5228),ForeCalc!$B$36:$Y$36,0))))*VLOOKUP(A5228,Calendar!$A$2:$H$9997,8,FALSE),0)</f>
        <v/>
      </c>
      <c r="G5228" s="29">
        <f>VLOOKUP(A5228,Calendar!$A$1:$H$9997,6,FALSE)-F5228</f>
        <v/>
      </c>
      <c r="H5228" s="19" t="n">
        <v>3</v>
      </c>
      <c r="I5228" s="57" t="n">
        <v>4</v>
      </c>
    </row>
    <row r="5229">
      <c r="A5229" s="62" t="n">
        <v>46956</v>
      </c>
      <c r="B5229" s="3" t="inlineStr">
        <is>
          <t>Sat</t>
        </is>
      </c>
      <c r="C5229" s="19" t="n">
        <v>7</v>
      </c>
      <c r="D5229" s="19" t="n">
        <v>2028</v>
      </c>
      <c r="E5229" s="57" t="n">
        <v>5</v>
      </c>
      <c r="F5229" s="29">
        <f>ROUND(((SUMIFS(Calendar!$F$2:$F$9997,Calendar!$B$2:$B$9997,D5229,Calendar!$C$2:$C$9997,C5229)*INDEX(ForeCalc!$B$37:$Y$274,MATCH(_xlfn.CONCAT(H5229," ",I5229),ForeCalc!$A$37:$A$274,0),MATCH(_xlfn.CONCAT(B5229," ",E5229),ForeCalc!$B$36:$Y$36,0))))*VLOOKUP(A5229,Calendar!$A$2:$H$9997,8,FALSE),0)</f>
        <v/>
      </c>
      <c r="G5229" s="29">
        <f>VLOOKUP(A5229,Calendar!$A$1:$H$9997,6,FALSE)-F5229</f>
        <v/>
      </c>
      <c r="H5229" s="19" t="n">
        <v>3</v>
      </c>
      <c r="I5229" s="57" t="n">
        <v>4</v>
      </c>
    </row>
    <row r="5230">
      <c r="A5230" s="62" t="n">
        <v>46957</v>
      </c>
      <c r="B5230" s="3" t="inlineStr">
        <is>
          <t>Sun</t>
        </is>
      </c>
      <c r="C5230" s="19" t="n">
        <v>7</v>
      </c>
      <c r="D5230" s="19" t="n">
        <v>2028</v>
      </c>
      <c r="E5230" s="57" t="n">
        <v>5</v>
      </c>
      <c r="F5230" s="29">
        <f>ROUND(((SUMIFS(Calendar!$F$2:$F$9997,Calendar!$B$2:$B$9997,D5230,Calendar!$C$2:$C$9997,C5230)*INDEX(ForeCalc!$B$37:$Y$274,MATCH(_xlfn.CONCAT(H5230," ",I5230),ForeCalc!$A$37:$A$274,0),MATCH(_xlfn.CONCAT(B5230," ",E5230),ForeCalc!$B$36:$Y$36,0))))*VLOOKUP(A5230,Calendar!$A$2:$H$9997,8,FALSE),0)</f>
        <v/>
      </c>
      <c r="G5230" s="29">
        <f>VLOOKUP(A5230,Calendar!$A$1:$H$9997,6,FALSE)-F5230</f>
        <v/>
      </c>
      <c r="H5230" s="19" t="n">
        <v>3</v>
      </c>
      <c r="I5230" s="57" t="n">
        <v>4</v>
      </c>
    </row>
    <row r="5231">
      <c r="A5231" s="62" t="n">
        <v>46958</v>
      </c>
      <c r="B5231" s="3" t="inlineStr">
        <is>
          <t>Week</t>
        </is>
      </c>
      <c r="C5231" s="19" t="n">
        <v>7</v>
      </c>
      <c r="D5231" s="19" t="n">
        <v>2028</v>
      </c>
      <c r="E5231" s="57" t="n">
        <v>5</v>
      </c>
      <c r="F5231" s="29">
        <f>ROUND(((SUMIFS(Calendar!$F$2:$F$9997,Calendar!$B$2:$B$9997,D5231,Calendar!$C$2:$C$9997,C5231)*INDEX(ForeCalc!$B$37:$Y$274,MATCH(_xlfn.CONCAT(H5231," ",I5231),ForeCalc!$A$37:$A$274,0),MATCH(_xlfn.CONCAT(B5231," ",E5231),ForeCalc!$B$36:$Y$36,0))))*VLOOKUP(A5231,Calendar!$A$2:$H$9997,8,FALSE),0)</f>
        <v/>
      </c>
      <c r="G5231" s="29">
        <f>VLOOKUP(A5231,Calendar!$A$1:$H$9997,6,FALSE)-F5231</f>
        <v/>
      </c>
      <c r="H5231" s="19" t="n">
        <v>3</v>
      </c>
      <c r="I5231" s="57" t="n">
        <v>4</v>
      </c>
    </row>
    <row r="5232">
      <c r="A5232" s="62" t="n">
        <v>46959</v>
      </c>
      <c r="B5232" s="3" t="inlineStr">
        <is>
          <t>Week</t>
        </is>
      </c>
      <c r="C5232" s="19" t="n">
        <v>7</v>
      </c>
      <c r="D5232" s="19" t="n">
        <v>2028</v>
      </c>
      <c r="E5232" s="57" t="n">
        <v>5</v>
      </c>
      <c r="F5232" s="29">
        <f>ROUND(((SUMIFS(Calendar!$F$2:$F$9997,Calendar!$B$2:$B$9997,D5232,Calendar!$C$2:$C$9997,C5232)*INDEX(ForeCalc!$B$37:$Y$274,MATCH(_xlfn.CONCAT(H5232," ",I5232),ForeCalc!$A$37:$A$274,0),MATCH(_xlfn.CONCAT(B5232," ",E5232),ForeCalc!$B$36:$Y$36,0))))*VLOOKUP(A5232,Calendar!$A$2:$H$9997,8,FALSE),0)</f>
        <v/>
      </c>
      <c r="G5232" s="29">
        <f>VLOOKUP(A5232,Calendar!$A$1:$H$9997,6,FALSE)-F5232</f>
        <v/>
      </c>
      <c r="H5232" s="19" t="n">
        <v>3</v>
      </c>
      <c r="I5232" s="57" t="n">
        <v>4</v>
      </c>
    </row>
    <row r="5233">
      <c r="A5233" s="62" t="n">
        <v>46960</v>
      </c>
      <c r="B5233" s="3" t="inlineStr">
        <is>
          <t>Week</t>
        </is>
      </c>
      <c r="C5233" s="19" t="n">
        <v>7</v>
      </c>
      <c r="D5233" s="19" t="n">
        <v>2028</v>
      </c>
      <c r="E5233" s="57" t="n">
        <v>5</v>
      </c>
      <c r="F5233" s="29">
        <f>ROUND(((SUMIFS(Calendar!$F$2:$F$9997,Calendar!$B$2:$B$9997,D5233,Calendar!$C$2:$C$9997,C5233)*INDEX(ForeCalc!$B$37:$Y$274,MATCH(_xlfn.CONCAT(H5233," ",I5233),ForeCalc!$A$37:$A$274,0),MATCH(_xlfn.CONCAT(B5233," ",E5233),ForeCalc!$B$36:$Y$36,0))))*VLOOKUP(A5233,Calendar!$A$2:$H$9997,8,FALSE),0)</f>
        <v/>
      </c>
      <c r="G5233" s="29">
        <f>VLOOKUP(A5233,Calendar!$A$1:$H$9997,6,FALSE)-F5233</f>
        <v/>
      </c>
      <c r="H5233" s="19" t="n">
        <v>3</v>
      </c>
      <c r="I5233" s="57" t="n">
        <v>4</v>
      </c>
    </row>
    <row r="5234">
      <c r="A5234" s="62" t="n">
        <v>46961</v>
      </c>
      <c r="B5234" s="3" t="inlineStr">
        <is>
          <t>Week</t>
        </is>
      </c>
      <c r="C5234" s="19" t="n">
        <v>7</v>
      </c>
      <c r="D5234" s="19" t="n">
        <v>2028</v>
      </c>
      <c r="E5234" s="57" t="n">
        <v>5</v>
      </c>
      <c r="F5234" s="29">
        <f>ROUND(((SUMIFS(Calendar!$F$2:$F$9997,Calendar!$B$2:$B$9997,D5234,Calendar!$C$2:$C$9997,C5234)*INDEX(ForeCalc!$B$37:$Y$274,MATCH(_xlfn.CONCAT(H5234," ",I5234),ForeCalc!$A$37:$A$274,0),MATCH(_xlfn.CONCAT(B5234," ",E5234),ForeCalc!$B$36:$Y$36,0))))*VLOOKUP(A5234,Calendar!$A$2:$H$9997,8,FALSE),0)</f>
        <v/>
      </c>
      <c r="G5234" s="29">
        <f>VLOOKUP(A5234,Calendar!$A$1:$H$9997,6,FALSE)-F5234</f>
        <v/>
      </c>
      <c r="H5234" s="19" t="n">
        <v>3</v>
      </c>
      <c r="I5234" s="57" t="n">
        <v>4</v>
      </c>
    </row>
    <row r="5235">
      <c r="A5235" s="62" t="n">
        <v>46962</v>
      </c>
      <c r="B5235" s="3" t="inlineStr">
        <is>
          <t>Week</t>
        </is>
      </c>
      <c r="C5235" s="19" t="n">
        <v>7</v>
      </c>
      <c r="D5235" s="19" t="n">
        <v>2028</v>
      </c>
      <c r="E5235" s="57" t="n">
        <v>5</v>
      </c>
      <c r="F5235" s="29">
        <f>ROUND(((SUMIFS(Calendar!$F$2:$F$9997,Calendar!$B$2:$B$9997,D5235,Calendar!$C$2:$C$9997,C5235)*INDEX(ForeCalc!$B$37:$Y$274,MATCH(_xlfn.CONCAT(H5235," ",I5235),ForeCalc!$A$37:$A$274,0),MATCH(_xlfn.CONCAT(B5235," ",E5235),ForeCalc!$B$36:$Y$36,0))))*VLOOKUP(A5235,Calendar!$A$2:$H$9997,8,FALSE),0)</f>
        <v/>
      </c>
      <c r="G5235" s="29">
        <f>VLOOKUP(A5235,Calendar!$A$1:$H$9997,6,FALSE)-F5235</f>
        <v/>
      </c>
      <c r="H5235" s="19" t="n">
        <v>3</v>
      </c>
      <c r="I5235" s="57" t="n">
        <v>4</v>
      </c>
    </row>
    <row r="5236">
      <c r="A5236" s="62" t="n">
        <v>46963</v>
      </c>
      <c r="B5236" s="3" t="inlineStr">
        <is>
          <t>Sat</t>
        </is>
      </c>
      <c r="C5236" s="19" t="n">
        <v>7</v>
      </c>
      <c r="D5236" s="19" t="n">
        <v>2028</v>
      </c>
      <c r="E5236" s="57" t="n">
        <v>5</v>
      </c>
      <c r="F5236" s="29">
        <f>ROUND(((SUMIFS(Calendar!$F$2:$F$9997,Calendar!$B$2:$B$9997,D5236,Calendar!$C$2:$C$9997,C5236)*INDEX(ForeCalc!$B$37:$Y$274,MATCH(_xlfn.CONCAT(H5236," ",I5236),ForeCalc!$A$37:$A$274,0),MATCH(_xlfn.CONCAT(B5236," ",E5236),ForeCalc!$B$36:$Y$36,0))))*VLOOKUP(A5236,Calendar!$A$2:$H$9997,8,FALSE),0)</f>
        <v/>
      </c>
      <c r="G5236" s="29">
        <f>VLOOKUP(A5236,Calendar!$A$1:$H$9997,6,FALSE)-F5236</f>
        <v/>
      </c>
      <c r="H5236" s="19" t="n">
        <v>3</v>
      </c>
      <c r="I5236" s="57" t="n">
        <v>4</v>
      </c>
    </row>
    <row r="5237">
      <c r="A5237" s="62" t="n">
        <v>46964</v>
      </c>
      <c r="B5237" s="3" t="inlineStr">
        <is>
          <t>Sun</t>
        </is>
      </c>
      <c r="C5237" s="19" t="n">
        <v>7</v>
      </c>
      <c r="D5237" s="19" t="n">
        <v>2028</v>
      </c>
      <c r="E5237" s="57" t="n">
        <v>5</v>
      </c>
      <c r="F5237" s="29">
        <f>ROUND(((SUMIFS(Calendar!$F$2:$F$9997,Calendar!$B$2:$B$9997,D5237,Calendar!$C$2:$C$9997,C5237)*INDEX(ForeCalc!$B$37:$Y$274,MATCH(_xlfn.CONCAT(H5237," ",I5237),ForeCalc!$A$37:$A$274,0),MATCH(_xlfn.CONCAT(B5237," ",E5237),ForeCalc!$B$36:$Y$36,0))))*VLOOKUP(A5237,Calendar!$A$2:$H$9997,8,FALSE),0)</f>
        <v/>
      </c>
      <c r="G5237" s="29">
        <f>VLOOKUP(A5237,Calendar!$A$1:$H$9997,6,FALSE)-F5237</f>
        <v/>
      </c>
      <c r="H5237" s="19" t="n">
        <v>3</v>
      </c>
      <c r="I5237" s="57" t="n">
        <v>4</v>
      </c>
    </row>
    <row r="5238">
      <c r="A5238" s="62" t="n">
        <v>46965</v>
      </c>
      <c r="B5238" s="3" t="inlineStr">
        <is>
          <t>Week</t>
        </is>
      </c>
      <c r="C5238" s="19" t="n">
        <v>7</v>
      </c>
      <c r="D5238" s="19" t="n">
        <v>2028</v>
      </c>
      <c r="E5238" s="57" t="n">
        <v>5</v>
      </c>
      <c r="F5238" s="29">
        <f>ROUND(((SUMIFS(Calendar!$F$2:$F$9997,Calendar!$B$2:$B$9997,D5238,Calendar!$C$2:$C$9997,C5238)*INDEX(ForeCalc!$B$37:$Y$274,MATCH(_xlfn.CONCAT(H5238," ",I5238),ForeCalc!$A$37:$A$274,0),MATCH(_xlfn.CONCAT(B5238," ",E5238),ForeCalc!$B$36:$Y$36,0))))*VLOOKUP(A5238,Calendar!$A$2:$H$9997,8,FALSE),0)</f>
        <v/>
      </c>
      <c r="G5238" s="29">
        <f>VLOOKUP(A5238,Calendar!$A$1:$H$9997,6,FALSE)-F5238</f>
        <v/>
      </c>
      <c r="H5238" s="19" t="n">
        <v>3</v>
      </c>
      <c r="I5238" s="57" t="n">
        <v>4</v>
      </c>
    </row>
    <row r="5239">
      <c r="A5239" s="62" t="n">
        <v>46966</v>
      </c>
      <c r="B5239" s="3" t="inlineStr">
        <is>
          <t>Week</t>
        </is>
      </c>
      <c r="C5239" s="19" t="n">
        <v>8</v>
      </c>
      <c r="D5239" s="19" t="n">
        <v>2028</v>
      </c>
      <c r="E5239" s="57" t="n">
        <v>5</v>
      </c>
      <c r="F5239" s="29">
        <f>ROUND(((SUMIFS(Calendar!$F$2:$F$9997,Calendar!$B$2:$B$9997,D5239,Calendar!$C$2:$C$9997,C5239)*INDEX(ForeCalc!$B$37:$Y$274,MATCH(_xlfn.CONCAT(H5239," ",I5239),ForeCalc!$A$37:$A$274,0),MATCH(_xlfn.CONCAT(B5239," ",E5239),ForeCalc!$B$36:$Y$36,0))))*VLOOKUP(A5239,Calendar!$A$2:$H$9997,8,FALSE),0)</f>
        <v/>
      </c>
      <c r="G5239" s="29">
        <f>VLOOKUP(A5239,Calendar!$A$1:$H$9997,6,FALSE)-F5239</f>
        <v/>
      </c>
      <c r="H5239" s="19" t="n">
        <v>3</v>
      </c>
      <c r="I5239" s="57" t="n">
        <v>5</v>
      </c>
    </row>
    <row r="5240">
      <c r="A5240" s="62" t="n">
        <v>46967</v>
      </c>
      <c r="B5240" s="3" t="inlineStr">
        <is>
          <t>Week</t>
        </is>
      </c>
      <c r="C5240" s="19" t="n">
        <v>8</v>
      </c>
      <c r="D5240" s="19" t="n">
        <v>2028</v>
      </c>
      <c r="E5240" s="57" t="n">
        <v>5</v>
      </c>
      <c r="F5240" s="29">
        <f>ROUND(((SUMIFS(Calendar!$F$2:$F$9997,Calendar!$B$2:$B$9997,D5240,Calendar!$C$2:$C$9997,C5240)*INDEX(ForeCalc!$B$37:$Y$274,MATCH(_xlfn.CONCAT(H5240," ",I5240),ForeCalc!$A$37:$A$274,0),MATCH(_xlfn.CONCAT(B5240," ",E5240),ForeCalc!$B$36:$Y$36,0))))*VLOOKUP(A5240,Calendar!$A$2:$H$9997,8,FALSE),0)</f>
        <v/>
      </c>
      <c r="G5240" s="29">
        <f>VLOOKUP(A5240,Calendar!$A$1:$H$9997,6,FALSE)-F5240</f>
        <v/>
      </c>
      <c r="H5240" s="19" t="n">
        <v>3</v>
      </c>
      <c r="I5240" s="57" t="n">
        <v>5</v>
      </c>
    </row>
    <row r="5241">
      <c r="A5241" s="62" t="n">
        <v>46968</v>
      </c>
      <c r="B5241" s="3" t="inlineStr">
        <is>
          <t>Week</t>
        </is>
      </c>
      <c r="C5241" s="19" t="n">
        <v>8</v>
      </c>
      <c r="D5241" s="19" t="n">
        <v>2028</v>
      </c>
      <c r="E5241" s="57" t="n">
        <v>5</v>
      </c>
      <c r="F5241" s="29">
        <f>ROUND(((SUMIFS(Calendar!$F$2:$F$9997,Calendar!$B$2:$B$9997,D5241,Calendar!$C$2:$C$9997,C5241)*INDEX(ForeCalc!$B$37:$Y$274,MATCH(_xlfn.CONCAT(H5241," ",I5241),ForeCalc!$A$37:$A$274,0),MATCH(_xlfn.CONCAT(B5241," ",E5241),ForeCalc!$B$36:$Y$36,0))))*VLOOKUP(A5241,Calendar!$A$2:$H$9997,8,FALSE),0)</f>
        <v/>
      </c>
      <c r="G5241" s="29">
        <f>VLOOKUP(A5241,Calendar!$A$1:$H$9997,6,FALSE)-F5241</f>
        <v/>
      </c>
      <c r="H5241" s="19" t="n">
        <v>3</v>
      </c>
      <c r="I5241" s="57" t="n">
        <v>5</v>
      </c>
    </row>
    <row r="5242">
      <c r="A5242" s="62" t="n">
        <v>46969</v>
      </c>
      <c r="B5242" s="3" t="inlineStr">
        <is>
          <t>Week</t>
        </is>
      </c>
      <c r="C5242" s="19" t="n">
        <v>8</v>
      </c>
      <c r="D5242" s="19" t="n">
        <v>2028</v>
      </c>
      <c r="E5242" s="57" t="n">
        <v>5</v>
      </c>
      <c r="F5242" s="29">
        <f>ROUND(((SUMIFS(Calendar!$F$2:$F$9997,Calendar!$B$2:$B$9997,D5242,Calendar!$C$2:$C$9997,C5242)*INDEX(ForeCalc!$B$37:$Y$274,MATCH(_xlfn.CONCAT(H5242," ",I5242),ForeCalc!$A$37:$A$274,0),MATCH(_xlfn.CONCAT(B5242," ",E5242),ForeCalc!$B$36:$Y$36,0))))*VLOOKUP(A5242,Calendar!$A$2:$H$9997,8,FALSE),0)</f>
        <v/>
      </c>
      <c r="G5242" s="29">
        <f>VLOOKUP(A5242,Calendar!$A$1:$H$9997,6,FALSE)-F5242</f>
        <v/>
      </c>
      <c r="H5242" s="19" t="n">
        <v>3</v>
      </c>
      <c r="I5242" s="57" t="n">
        <v>5</v>
      </c>
    </row>
    <row r="5243">
      <c r="A5243" s="62" t="n">
        <v>46970</v>
      </c>
      <c r="B5243" s="3" t="inlineStr">
        <is>
          <t>Sat</t>
        </is>
      </c>
      <c r="C5243" s="19" t="n">
        <v>8</v>
      </c>
      <c r="D5243" s="19" t="n">
        <v>2028</v>
      </c>
      <c r="E5243" s="57" t="n">
        <v>5</v>
      </c>
      <c r="F5243" s="29">
        <f>ROUND(((SUMIFS(Calendar!$F$2:$F$9997,Calendar!$B$2:$B$9997,D5243,Calendar!$C$2:$C$9997,C5243)*INDEX(ForeCalc!$B$37:$Y$274,MATCH(_xlfn.CONCAT(H5243," ",I5243),ForeCalc!$A$37:$A$274,0),MATCH(_xlfn.CONCAT(B5243," ",E5243),ForeCalc!$B$36:$Y$36,0))))*VLOOKUP(A5243,Calendar!$A$2:$H$9997,8,FALSE),0)</f>
        <v/>
      </c>
      <c r="G5243" s="29">
        <f>VLOOKUP(A5243,Calendar!$A$1:$H$9997,6,FALSE)-F5243</f>
        <v/>
      </c>
      <c r="H5243" s="19" t="n">
        <v>3</v>
      </c>
      <c r="I5243" s="57" t="n">
        <v>5</v>
      </c>
    </row>
    <row r="5244">
      <c r="A5244" s="62" t="n">
        <v>46971</v>
      </c>
      <c r="B5244" s="3" t="inlineStr">
        <is>
          <t>Sun</t>
        </is>
      </c>
      <c r="C5244" s="19" t="n">
        <v>8</v>
      </c>
      <c r="D5244" s="19" t="n">
        <v>2028</v>
      </c>
      <c r="E5244" s="57" t="n">
        <v>5</v>
      </c>
      <c r="F5244" s="29">
        <f>ROUND(((SUMIFS(Calendar!$F$2:$F$9997,Calendar!$B$2:$B$9997,D5244,Calendar!$C$2:$C$9997,C5244)*INDEX(ForeCalc!$B$37:$Y$274,MATCH(_xlfn.CONCAT(H5244," ",I5244),ForeCalc!$A$37:$A$274,0),MATCH(_xlfn.CONCAT(B5244," ",E5244),ForeCalc!$B$36:$Y$36,0))))*VLOOKUP(A5244,Calendar!$A$2:$H$9997,8,FALSE),0)</f>
        <v/>
      </c>
      <c r="G5244" s="29">
        <f>VLOOKUP(A5244,Calendar!$A$1:$H$9997,6,FALSE)-F5244</f>
        <v/>
      </c>
      <c r="H5244" s="19" t="n">
        <v>3</v>
      </c>
      <c r="I5244" s="57" t="n">
        <v>5</v>
      </c>
    </row>
    <row r="5245">
      <c r="A5245" s="62" t="n">
        <v>46972</v>
      </c>
      <c r="B5245" s="3" t="inlineStr">
        <is>
          <t>Week</t>
        </is>
      </c>
      <c r="C5245" s="19" t="n">
        <v>8</v>
      </c>
      <c r="D5245" s="19" t="n">
        <v>2028</v>
      </c>
      <c r="E5245" s="57" t="n">
        <v>5</v>
      </c>
      <c r="F5245" s="29">
        <f>ROUND(((SUMIFS(Calendar!$F$2:$F$9997,Calendar!$B$2:$B$9997,D5245,Calendar!$C$2:$C$9997,C5245)*INDEX(ForeCalc!$B$37:$Y$274,MATCH(_xlfn.CONCAT(H5245," ",I5245),ForeCalc!$A$37:$A$274,0),MATCH(_xlfn.CONCAT(B5245," ",E5245),ForeCalc!$B$36:$Y$36,0))))*VLOOKUP(A5245,Calendar!$A$2:$H$9997,8,FALSE),0)</f>
        <v/>
      </c>
      <c r="G5245" s="29">
        <f>VLOOKUP(A5245,Calendar!$A$1:$H$9997,6,FALSE)-F5245</f>
        <v/>
      </c>
      <c r="H5245" s="19" t="n">
        <v>3</v>
      </c>
      <c r="I5245" s="57" t="n">
        <v>5</v>
      </c>
    </row>
    <row r="5246">
      <c r="A5246" s="62" t="n">
        <v>46973</v>
      </c>
      <c r="B5246" s="3" t="inlineStr">
        <is>
          <t>Week</t>
        </is>
      </c>
      <c r="C5246" s="19" t="n">
        <v>8</v>
      </c>
      <c r="D5246" s="19" t="n">
        <v>2028</v>
      </c>
      <c r="E5246" s="57" t="n">
        <v>5</v>
      </c>
      <c r="F5246" s="29">
        <f>ROUND(((SUMIFS(Calendar!$F$2:$F$9997,Calendar!$B$2:$B$9997,D5246,Calendar!$C$2:$C$9997,C5246)*INDEX(ForeCalc!$B$37:$Y$274,MATCH(_xlfn.CONCAT(H5246," ",I5246),ForeCalc!$A$37:$A$274,0),MATCH(_xlfn.CONCAT(B5246," ",E5246),ForeCalc!$B$36:$Y$36,0))))*VLOOKUP(A5246,Calendar!$A$2:$H$9997,8,FALSE),0)</f>
        <v/>
      </c>
      <c r="G5246" s="29">
        <f>VLOOKUP(A5246,Calendar!$A$1:$H$9997,6,FALSE)-F5246</f>
        <v/>
      </c>
      <c r="H5246" s="19" t="n">
        <v>3</v>
      </c>
      <c r="I5246" s="57" t="n">
        <v>5</v>
      </c>
    </row>
    <row r="5247">
      <c r="A5247" s="62" t="n">
        <v>46974</v>
      </c>
      <c r="B5247" s="3" t="inlineStr">
        <is>
          <t>Week</t>
        </is>
      </c>
      <c r="C5247" s="19" t="n">
        <v>8</v>
      </c>
      <c r="D5247" s="19" t="n">
        <v>2028</v>
      </c>
      <c r="E5247" s="57" t="n">
        <v>5</v>
      </c>
      <c r="F5247" s="29">
        <f>ROUND(((SUMIFS(Calendar!$F$2:$F$9997,Calendar!$B$2:$B$9997,D5247,Calendar!$C$2:$C$9997,C5247)*INDEX(ForeCalc!$B$37:$Y$274,MATCH(_xlfn.CONCAT(H5247," ",I5247),ForeCalc!$A$37:$A$274,0),MATCH(_xlfn.CONCAT(B5247," ",E5247),ForeCalc!$B$36:$Y$36,0))))*VLOOKUP(A5247,Calendar!$A$2:$H$9997,8,FALSE),0)</f>
        <v/>
      </c>
      <c r="G5247" s="29">
        <f>VLOOKUP(A5247,Calendar!$A$1:$H$9997,6,FALSE)-F5247</f>
        <v/>
      </c>
      <c r="H5247" s="19" t="n">
        <v>3</v>
      </c>
      <c r="I5247" s="57" t="n">
        <v>5</v>
      </c>
    </row>
    <row r="5248">
      <c r="A5248" s="62" t="n">
        <v>46975</v>
      </c>
      <c r="B5248" s="3" t="inlineStr">
        <is>
          <t>Week</t>
        </is>
      </c>
      <c r="C5248" s="19" t="n">
        <v>8</v>
      </c>
      <c r="D5248" s="19" t="n">
        <v>2028</v>
      </c>
      <c r="E5248" s="57" t="n">
        <v>5</v>
      </c>
      <c r="F5248" s="29">
        <f>ROUND(((SUMIFS(Calendar!$F$2:$F$9997,Calendar!$B$2:$B$9997,D5248,Calendar!$C$2:$C$9997,C5248)*INDEX(ForeCalc!$B$37:$Y$274,MATCH(_xlfn.CONCAT(H5248," ",I5248),ForeCalc!$A$37:$A$274,0),MATCH(_xlfn.CONCAT(B5248," ",E5248),ForeCalc!$B$36:$Y$36,0))))*VLOOKUP(A5248,Calendar!$A$2:$H$9997,8,FALSE),0)</f>
        <v/>
      </c>
      <c r="G5248" s="29">
        <f>VLOOKUP(A5248,Calendar!$A$1:$H$9997,6,FALSE)-F5248</f>
        <v/>
      </c>
      <c r="H5248" s="19" t="n">
        <v>3</v>
      </c>
      <c r="I5248" s="57" t="n">
        <v>5</v>
      </c>
    </row>
    <row r="5249">
      <c r="A5249" s="62" t="n">
        <v>46976</v>
      </c>
      <c r="B5249" s="3" t="inlineStr">
        <is>
          <t>Week</t>
        </is>
      </c>
      <c r="C5249" s="19" t="n">
        <v>8</v>
      </c>
      <c r="D5249" s="19" t="n">
        <v>2028</v>
      </c>
      <c r="E5249" s="57" t="n">
        <v>5</v>
      </c>
      <c r="F5249" s="29">
        <f>ROUND(((SUMIFS(Calendar!$F$2:$F$9997,Calendar!$B$2:$B$9997,D5249,Calendar!$C$2:$C$9997,C5249)*INDEX(ForeCalc!$B$37:$Y$274,MATCH(_xlfn.CONCAT(H5249," ",I5249),ForeCalc!$A$37:$A$274,0),MATCH(_xlfn.CONCAT(B5249," ",E5249),ForeCalc!$B$36:$Y$36,0))))*VLOOKUP(A5249,Calendar!$A$2:$H$9997,8,FALSE),0)</f>
        <v/>
      </c>
      <c r="G5249" s="29">
        <f>VLOOKUP(A5249,Calendar!$A$1:$H$9997,6,FALSE)-F5249</f>
        <v/>
      </c>
      <c r="H5249" s="19" t="n">
        <v>3</v>
      </c>
      <c r="I5249" s="57" t="n">
        <v>5</v>
      </c>
    </row>
    <row r="5250">
      <c r="A5250" s="62" t="n">
        <v>46977</v>
      </c>
      <c r="B5250" s="3" t="inlineStr">
        <is>
          <t>Sat</t>
        </is>
      </c>
      <c r="C5250" s="19" t="n">
        <v>8</v>
      </c>
      <c r="D5250" s="19" t="n">
        <v>2028</v>
      </c>
      <c r="E5250" s="57" t="n">
        <v>5</v>
      </c>
      <c r="F5250" s="29">
        <f>ROUND(((SUMIFS(Calendar!$F$2:$F$9997,Calendar!$B$2:$B$9997,D5250,Calendar!$C$2:$C$9997,C5250)*INDEX(ForeCalc!$B$37:$Y$274,MATCH(_xlfn.CONCAT(H5250," ",I5250),ForeCalc!$A$37:$A$274,0),MATCH(_xlfn.CONCAT(B5250," ",E5250),ForeCalc!$B$36:$Y$36,0))))*VLOOKUP(A5250,Calendar!$A$2:$H$9997,8,FALSE),0)</f>
        <v/>
      </c>
      <c r="G5250" s="29">
        <f>VLOOKUP(A5250,Calendar!$A$1:$H$9997,6,FALSE)-F5250</f>
        <v/>
      </c>
      <c r="H5250" s="19" t="n">
        <v>3</v>
      </c>
      <c r="I5250" s="57" t="n">
        <v>5</v>
      </c>
    </row>
    <row r="5251">
      <c r="A5251" s="62" t="n">
        <v>46978</v>
      </c>
      <c r="B5251" s="3" t="inlineStr">
        <is>
          <t>Sun</t>
        </is>
      </c>
      <c r="C5251" s="19" t="n">
        <v>8</v>
      </c>
      <c r="D5251" s="19" t="n">
        <v>2028</v>
      </c>
      <c r="E5251" s="57" t="n">
        <v>5</v>
      </c>
      <c r="F5251" s="29">
        <f>ROUND(((SUMIFS(Calendar!$F$2:$F$9997,Calendar!$B$2:$B$9997,D5251,Calendar!$C$2:$C$9997,C5251)*INDEX(ForeCalc!$B$37:$Y$274,MATCH(_xlfn.CONCAT(H5251," ",I5251),ForeCalc!$A$37:$A$274,0),MATCH(_xlfn.CONCAT(B5251," ",E5251),ForeCalc!$B$36:$Y$36,0))))*VLOOKUP(A5251,Calendar!$A$2:$H$9997,8,FALSE),0)</f>
        <v/>
      </c>
      <c r="G5251" s="29">
        <f>VLOOKUP(A5251,Calendar!$A$1:$H$9997,6,FALSE)-F5251</f>
        <v/>
      </c>
      <c r="H5251" s="19" t="n">
        <v>3</v>
      </c>
      <c r="I5251" s="57" t="n">
        <v>5</v>
      </c>
    </row>
    <row r="5252">
      <c r="A5252" s="62" t="n">
        <v>46979</v>
      </c>
      <c r="B5252" s="3" t="inlineStr">
        <is>
          <t>Week</t>
        </is>
      </c>
      <c r="C5252" s="19" t="n">
        <v>8</v>
      </c>
      <c r="D5252" s="19" t="n">
        <v>2028</v>
      </c>
      <c r="E5252" s="57" t="n">
        <v>5</v>
      </c>
      <c r="F5252" s="29">
        <f>ROUND(((SUMIFS(Calendar!$F$2:$F$9997,Calendar!$B$2:$B$9997,D5252,Calendar!$C$2:$C$9997,C5252)*INDEX(ForeCalc!$B$37:$Y$274,MATCH(_xlfn.CONCAT(H5252," ",I5252),ForeCalc!$A$37:$A$274,0),MATCH(_xlfn.CONCAT(B5252," ",E5252),ForeCalc!$B$36:$Y$36,0))))*VLOOKUP(A5252,Calendar!$A$2:$H$9997,8,FALSE),0)</f>
        <v/>
      </c>
      <c r="G5252" s="29">
        <f>VLOOKUP(A5252,Calendar!$A$1:$H$9997,6,FALSE)-F5252</f>
        <v/>
      </c>
      <c r="H5252" s="19" t="n">
        <v>3</v>
      </c>
      <c r="I5252" s="57" t="n">
        <v>5</v>
      </c>
    </row>
    <row r="5253">
      <c r="A5253" s="62" t="n">
        <v>46980</v>
      </c>
      <c r="B5253" s="3" t="inlineStr">
        <is>
          <t>Week</t>
        </is>
      </c>
      <c r="C5253" s="19" t="n">
        <v>8</v>
      </c>
      <c r="D5253" s="19" t="n">
        <v>2028</v>
      </c>
      <c r="E5253" s="57" t="n">
        <v>5</v>
      </c>
      <c r="F5253" s="29">
        <f>ROUND(((SUMIFS(Calendar!$F$2:$F$9997,Calendar!$B$2:$B$9997,D5253,Calendar!$C$2:$C$9997,C5253)*INDEX(ForeCalc!$B$37:$Y$274,MATCH(_xlfn.CONCAT(H5253," ",I5253),ForeCalc!$A$37:$A$274,0),MATCH(_xlfn.CONCAT(B5253," ",E5253),ForeCalc!$B$36:$Y$36,0))))*VLOOKUP(A5253,Calendar!$A$2:$H$9997,8,FALSE),0)</f>
        <v/>
      </c>
      <c r="G5253" s="29">
        <f>VLOOKUP(A5253,Calendar!$A$1:$H$9997,6,FALSE)-F5253</f>
        <v/>
      </c>
      <c r="H5253" s="19" t="n">
        <v>3</v>
      </c>
      <c r="I5253" s="57" t="n">
        <v>5</v>
      </c>
    </row>
    <row r="5254">
      <c r="A5254" s="62" t="n">
        <v>46981</v>
      </c>
      <c r="B5254" s="3" t="inlineStr">
        <is>
          <t>Week</t>
        </is>
      </c>
      <c r="C5254" s="19" t="n">
        <v>8</v>
      </c>
      <c r="D5254" s="19" t="n">
        <v>2028</v>
      </c>
      <c r="E5254" s="57" t="n">
        <v>5</v>
      </c>
      <c r="F5254" s="29">
        <f>ROUND(((SUMIFS(Calendar!$F$2:$F$9997,Calendar!$B$2:$B$9997,D5254,Calendar!$C$2:$C$9997,C5254)*INDEX(ForeCalc!$B$37:$Y$274,MATCH(_xlfn.CONCAT(H5254," ",I5254),ForeCalc!$A$37:$A$274,0),MATCH(_xlfn.CONCAT(B5254," ",E5254),ForeCalc!$B$36:$Y$36,0))))*VLOOKUP(A5254,Calendar!$A$2:$H$9997,8,FALSE),0)</f>
        <v/>
      </c>
      <c r="G5254" s="29">
        <f>VLOOKUP(A5254,Calendar!$A$1:$H$9997,6,FALSE)-F5254</f>
        <v/>
      </c>
      <c r="H5254" s="19" t="n">
        <v>3</v>
      </c>
      <c r="I5254" s="57" t="n">
        <v>5</v>
      </c>
    </row>
    <row r="5255">
      <c r="A5255" s="62" t="n">
        <v>46982</v>
      </c>
      <c r="B5255" s="3" t="inlineStr">
        <is>
          <t>Week</t>
        </is>
      </c>
      <c r="C5255" s="19" t="n">
        <v>8</v>
      </c>
      <c r="D5255" s="19" t="n">
        <v>2028</v>
      </c>
      <c r="E5255" s="57" t="n">
        <v>5</v>
      </c>
      <c r="F5255" s="29">
        <f>ROUND(((SUMIFS(Calendar!$F$2:$F$9997,Calendar!$B$2:$B$9997,D5255,Calendar!$C$2:$C$9997,C5255)*INDEX(ForeCalc!$B$37:$Y$274,MATCH(_xlfn.CONCAT(H5255," ",I5255),ForeCalc!$A$37:$A$274,0),MATCH(_xlfn.CONCAT(B5255," ",E5255),ForeCalc!$B$36:$Y$36,0))))*VLOOKUP(A5255,Calendar!$A$2:$H$9997,8,FALSE),0)</f>
        <v/>
      </c>
      <c r="G5255" s="29">
        <f>VLOOKUP(A5255,Calendar!$A$1:$H$9997,6,FALSE)-F5255</f>
        <v/>
      </c>
      <c r="H5255" s="19" t="n">
        <v>3</v>
      </c>
      <c r="I5255" s="57" t="n">
        <v>5</v>
      </c>
    </row>
    <row r="5256">
      <c r="A5256" s="62" t="n">
        <v>46983</v>
      </c>
      <c r="B5256" s="3" t="inlineStr">
        <is>
          <t>Week</t>
        </is>
      </c>
      <c r="C5256" s="19" t="n">
        <v>8</v>
      </c>
      <c r="D5256" s="19" t="n">
        <v>2028</v>
      </c>
      <c r="E5256" s="57" t="n">
        <v>5</v>
      </c>
      <c r="F5256" s="29">
        <f>ROUND(((SUMIFS(Calendar!$F$2:$F$9997,Calendar!$B$2:$B$9997,D5256,Calendar!$C$2:$C$9997,C5256)*INDEX(ForeCalc!$B$37:$Y$274,MATCH(_xlfn.CONCAT(H5256," ",I5256),ForeCalc!$A$37:$A$274,0),MATCH(_xlfn.CONCAT(B5256," ",E5256),ForeCalc!$B$36:$Y$36,0))))*VLOOKUP(A5256,Calendar!$A$2:$H$9997,8,FALSE),0)</f>
        <v/>
      </c>
      <c r="G5256" s="29">
        <f>VLOOKUP(A5256,Calendar!$A$1:$H$9997,6,FALSE)-F5256</f>
        <v/>
      </c>
      <c r="H5256" s="19" t="n">
        <v>3</v>
      </c>
      <c r="I5256" s="57" t="n">
        <v>5</v>
      </c>
    </row>
    <row r="5257">
      <c r="A5257" s="62" t="n">
        <v>46984</v>
      </c>
      <c r="B5257" s="3" t="inlineStr">
        <is>
          <t>Sat</t>
        </is>
      </c>
      <c r="C5257" s="19" t="n">
        <v>8</v>
      </c>
      <c r="D5257" s="19" t="n">
        <v>2028</v>
      </c>
      <c r="E5257" s="57" t="n">
        <v>5</v>
      </c>
      <c r="F5257" s="29">
        <f>ROUND(((SUMIFS(Calendar!$F$2:$F$9997,Calendar!$B$2:$B$9997,D5257,Calendar!$C$2:$C$9997,C5257)*INDEX(ForeCalc!$B$37:$Y$274,MATCH(_xlfn.CONCAT(H5257," ",I5257),ForeCalc!$A$37:$A$274,0),MATCH(_xlfn.CONCAT(B5257," ",E5257),ForeCalc!$B$36:$Y$36,0))))*VLOOKUP(A5257,Calendar!$A$2:$H$9997,8,FALSE),0)</f>
        <v/>
      </c>
      <c r="G5257" s="29">
        <f>VLOOKUP(A5257,Calendar!$A$1:$H$9997,6,FALSE)-F5257</f>
        <v/>
      </c>
      <c r="H5257" s="19" t="n">
        <v>3</v>
      </c>
      <c r="I5257" s="57" t="n">
        <v>5</v>
      </c>
    </row>
    <row r="5258">
      <c r="A5258" s="62" t="n">
        <v>46985</v>
      </c>
      <c r="B5258" s="3" t="inlineStr">
        <is>
          <t>Sun</t>
        </is>
      </c>
      <c r="C5258" s="19" t="n">
        <v>8</v>
      </c>
      <c r="D5258" s="19" t="n">
        <v>2028</v>
      </c>
      <c r="E5258" s="57" t="n">
        <v>5</v>
      </c>
      <c r="F5258" s="29">
        <f>ROUND(((SUMIFS(Calendar!$F$2:$F$9997,Calendar!$B$2:$B$9997,D5258,Calendar!$C$2:$C$9997,C5258)*INDEX(ForeCalc!$B$37:$Y$274,MATCH(_xlfn.CONCAT(H5258," ",I5258),ForeCalc!$A$37:$A$274,0),MATCH(_xlfn.CONCAT(B5258," ",E5258),ForeCalc!$B$36:$Y$36,0))))*VLOOKUP(A5258,Calendar!$A$2:$H$9997,8,FALSE),0)</f>
        <v/>
      </c>
      <c r="G5258" s="29">
        <f>VLOOKUP(A5258,Calendar!$A$1:$H$9997,6,FALSE)-F5258</f>
        <v/>
      </c>
      <c r="H5258" s="19" t="n">
        <v>3</v>
      </c>
      <c r="I5258" s="57" t="n">
        <v>5</v>
      </c>
    </row>
    <row r="5259">
      <c r="A5259" s="62" t="n">
        <v>46986</v>
      </c>
      <c r="B5259" s="3" t="inlineStr">
        <is>
          <t>Week</t>
        </is>
      </c>
      <c r="C5259" s="19" t="n">
        <v>8</v>
      </c>
      <c r="D5259" s="19" t="n">
        <v>2028</v>
      </c>
      <c r="E5259" s="57" t="n">
        <v>5</v>
      </c>
      <c r="F5259" s="29">
        <f>ROUND(((SUMIFS(Calendar!$F$2:$F$9997,Calendar!$B$2:$B$9997,D5259,Calendar!$C$2:$C$9997,C5259)*INDEX(ForeCalc!$B$37:$Y$274,MATCH(_xlfn.CONCAT(H5259," ",I5259),ForeCalc!$A$37:$A$274,0),MATCH(_xlfn.CONCAT(B5259," ",E5259),ForeCalc!$B$36:$Y$36,0))))*VLOOKUP(A5259,Calendar!$A$2:$H$9997,8,FALSE),0)</f>
        <v/>
      </c>
      <c r="G5259" s="29">
        <f>VLOOKUP(A5259,Calendar!$A$1:$H$9997,6,FALSE)-F5259</f>
        <v/>
      </c>
      <c r="H5259" s="19" t="n">
        <v>3</v>
      </c>
      <c r="I5259" s="57" t="n">
        <v>5</v>
      </c>
    </row>
    <row r="5260">
      <c r="A5260" s="62" t="n">
        <v>46987</v>
      </c>
      <c r="B5260" s="3" t="inlineStr">
        <is>
          <t>Week</t>
        </is>
      </c>
      <c r="C5260" s="19" t="n">
        <v>8</v>
      </c>
      <c r="D5260" s="19" t="n">
        <v>2028</v>
      </c>
      <c r="E5260" s="57" t="n">
        <v>5</v>
      </c>
      <c r="F5260" s="29">
        <f>ROUND(((SUMIFS(Calendar!$F$2:$F$9997,Calendar!$B$2:$B$9997,D5260,Calendar!$C$2:$C$9997,C5260)*INDEX(ForeCalc!$B$37:$Y$274,MATCH(_xlfn.CONCAT(H5260," ",I5260),ForeCalc!$A$37:$A$274,0),MATCH(_xlfn.CONCAT(B5260," ",E5260),ForeCalc!$B$36:$Y$36,0))))*VLOOKUP(A5260,Calendar!$A$2:$H$9997,8,FALSE),0)</f>
        <v/>
      </c>
      <c r="G5260" s="29">
        <f>VLOOKUP(A5260,Calendar!$A$1:$H$9997,6,FALSE)-F5260</f>
        <v/>
      </c>
      <c r="H5260" s="19" t="n">
        <v>3</v>
      </c>
      <c r="I5260" s="57" t="n">
        <v>5</v>
      </c>
    </row>
    <row r="5261">
      <c r="A5261" s="62" t="n">
        <v>46988</v>
      </c>
      <c r="B5261" s="3" t="inlineStr">
        <is>
          <t>Week</t>
        </is>
      </c>
      <c r="C5261" s="19" t="n">
        <v>8</v>
      </c>
      <c r="D5261" s="19" t="n">
        <v>2028</v>
      </c>
      <c r="E5261" s="57" t="n">
        <v>5</v>
      </c>
      <c r="F5261" s="29">
        <f>ROUND(((SUMIFS(Calendar!$F$2:$F$9997,Calendar!$B$2:$B$9997,D5261,Calendar!$C$2:$C$9997,C5261)*INDEX(ForeCalc!$B$37:$Y$274,MATCH(_xlfn.CONCAT(H5261," ",I5261),ForeCalc!$A$37:$A$274,0),MATCH(_xlfn.CONCAT(B5261," ",E5261),ForeCalc!$B$36:$Y$36,0))))*VLOOKUP(A5261,Calendar!$A$2:$H$9997,8,FALSE),0)</f>
        <v/>
      </c>
      <c r="G5261" s="29">
        <f>VLOOKUP(A5261,Calendar!$A$1:$H$9997,6,FALSE)-F5261</f>
        <v/>
      </c>
      <c r="H5261" s="19" t="n">
        <v>3</v>
      </c>
      <c r="I5261" s="57" t="n">
        <v>5</v>
      </c>
    </row>
    <row r="5262">
      <c r="A5262" s="62" t="n">
        <v>46989</v>
      </c>
      <c r="B5262" s="3" t="inlineStr">
        <is>
          <t>Week</t>
        </is>
      </c>
      <c r="C5262" s="19" t="n">
        <v>8</v>
      </c>
      <c r="D5262" s="19" t="n">
        <v>2028</v>
      </c>
      <c r="E5262" s="57" t="n">
        <v>5</v>
      </c>
      <c r="F5262" s="29">
        <f>ROUND(((SUMIFS(Calendar!$F$2:$F$9997,Calendar!$B$2:$B$9997,D5262,Calendar!$C$2:$C$9997,C5262)*INDEX(ForeCalc!$B$37:$Y$274,MATCH(_xlfn.CONCAT(H5262," ",I5262),ForeCalc!$A$37:$A$274,0),MATCH(_xlfn.CONCAT(B5262," ",E5262),ForeCalc!$B$36:$Y$36,0))))*VLOOKUP(A5262,Calendar!$A$2:$H$9997,8,FALSE),0)</f>
        <v/>
      </c>
      <c r="G5262" s="29">
        <f>VLOOKUP(A5262,Calendar!$A$1:$H$9997,6,FALSE)-F5262</f>
        <v/>
      </c>
      <c r="H5262" s="19" t="n">
        <v>3</v>
      </c>
      <c r="I5262" s="57" t="n">
        <v>5</v>
      </c>
    </row>
    <row r="5263">
      <c r="A5263" s="62" t="n">
        <v>46990</v>
      </c>
      <c r="B5263" s="3" t="inlineStr">
        <is>
          <t>Week</t>
        </is>
      </c>
      <c r="C5263" s="19" t="n">
        <v>8</v>
      </c>
      <c r="D5263" s="19" t="n">
        <v>2028</v>
      </c>
      <c r="E5263" s="57" t="n">
        <v>5</v>
      </c>
      <c r="F5263" s="29">
        <f>ROUND(((SUMIFS(Calendar!$F$2:$F$9997,Calendar!$B$2:$B$9997,D5263,Calendar!$C$2:$C$9997,C5263)*INDEX(ForeCalc!$B$37:$Y$274,MATCH(_xlfn.CONCAT(H5263," ",I5263),ForeCalc!$A$37:$A$274,0),MATCH(_xlfn.CONCAT(B5263," ",E5263),ForeCalc!$B$36:$Y$36,0))))*VLOOKUP(A5263,Calendar!$A$2:$H$9997,8,FALSE),0)</f>
        <v/>
      </c>
      <c r="G5263" s="29">
        <f>VLOOKUP(A5263,Calendar!$A$1:$H$9997,6,FALSE)-F5263</f>
        <v/>
      </c>
      <c r="H5263" s="19" t="n">
        <v>3</v>
      </c>
      <c r="I5263" s="57" t="n">
        <v>5</v>
      </c>
    </row>
    <row r="5264">
      <c r="A5264" s="62" t="n">
        <v>46991</v>
      </c>
      <c r="B5264" s="3" t="inlineStr">
        <is>
          <t>Sat</t>
        </is>
      </c>
      <c r="C5264" s="19" t="n">
        <v>8</v>
      </c>
      <c r="D5264" s="19" t="n">
        <v>2028</v>
      </c>
      <c r="E5264" s="57" t="n">
        <v>5</v>
      </c>
      <c r="F5264" s="29">
        <f>ROUND(((SUMIFS(Calendar!$F$2:$F$9997,Calendar!$B$2:$B$9997,D5264,Calendar!$C$2:$C$9997,C5264)*INDEX(ForeCalc!$B$37:$Y$274,MATCH(_xlfn.CONCAT(H5264," ",I5264),ForeCalc!$A$37:$A$274,0),MATCH(_xlfn.CONCAT(B5264," ",E5264),ForeCalc!$B$36:$Y$36,0))))*VLOOKUP(A5264,Calendar!$A$2:$H$9997,8,FALSE),0)</f>
        <v/>
      </c>
      <c r="G5264" s="29">
        <f>VLOOKUP(A5264,Calendar!$A$1:$H$9997,6,FALSE)-F5264</f>
        <v/>
      </c>
      <c r="H5264" s="19" t="n">
        <v>3</v>
      </c>
      <c r="I5264" s="57" t="n">
        <v>5</v>
      </c>
    </row>
    <row r="5265">
      <c r="A5265" s="62" t="n">
        <v>46992</v>
      </c>
      <c r="B5265" s="3" t="inlineStr">
        <is>
          <t>Sun</t>
        </is>
      </c>
      <c r="C5265" s="19" t="n">
        <v>8</v>
      </c>
      <c r="D5265" s="19" t="n">
        <v>2028</v>
      </c>
      <c r="E5265" s="57" t="n">
        <v>5</v>
      </c>
      <c r="F5265" s="29">
        <f>ROUND(((SUMIFS(Calendar!$F$2:$F$9997,Calendar!$B$2:$B$9997,D5265,Calendar!$C$2:$C$9997,C5265)*INDEX(ForeCalc!$B$37:$Y$274,MATCH(_xlfn.CONCAT(H5265," ",I5265),ForeCalc!$A$37:$A$274,0),MATCH(_xlfn.CONCAT(B5265," ",E5265),ForeCalc!$B$36:$Y$36,0))))*VLOOKUP(A5265,Calendar!$A$2:$H$9997,8,FALSE),0)</f>
        <v/>
      </c>
      <c r="G5265" s="29">
        <f>VLOOKUP(A5265,Calendar!$A$1:$H$9997,6,FALSE)-F5265</f>
        <v/>
      </c>
      <c r="H5265" s="19" t="n">
        <v>3</v>
      </c>
      <c r="I5265" s="57" t="n">
        <v>5</v>
      </c>
    </row>
    <row r="5266">
      <c r="A5266" s="62" t="n">
        <v>46993</v>
      </c>
      <c r="B5266" s="3" t="inlineStr">
        <is>
          <t>Week</t>
        </is>
      </c>
      <c r="C5266" s="19" t="n">
        <v>8</v>
      </c>
      <c r="D5266" s="19" t="n">
        <v>2028</v>
      </c>
      <c r="E5266" s="57" t="n">
        <v>5</v>
      </c>
      <c r="F5266" s="29">
        <f>ROUND(((SUMIFS(Calendar!$F$2:$F$9997,Calendar!$B$2:$B$9997,D5266,Calendar!$C$2:$C$9997,C5266)*INDEX(ForeCalc!$B$37:$Y$274,MATCH(_xlfn.CONCAT(H5266," ",I5266),ForeCalc!$A$37:$A$274,0),MATCH(_xlfn.CONCAT(B5266," ",E5266),ForeCalc!$B$36:$Y$36,0))))*VLOOKUP(A5266,Calendar!$A$2:$H$9997,8,FALSE),0)</f>
        <v/>
      </c>
      <c r="G5266" s="29">
        <f>VLOOKUP(A5266,Calendar!$A$1:$H$9997,6,FALSE)-F5266</f>
        <v/>
      </c>
      <c r="H5266" s="19" t="n">
        <v>3</v>
      </c>
      <c r="I5266" s="57" t="n">
        <v>5</v>
      </c>
    </row>
    <row r="5267">
      <c r="A5267" s="62" t="n">
        <v>46994</v>
      </c>
      <c r="B5267" s="3" t="inlineStr">
        <is>
          <t>Week</t>
        </is>
      </c>
      <c r="C5267" s="19" t="n">
        <v>8</v>
      </c>
      <c r="D5267" s="19" t="n">
        <v>2028</v>
      </c>
      <c r="E5267" s="57" t="n">
        <v>5</v>
      </c>
      <c r="F5267" s="29">
        <f>ROUND(((SUMIFS(Calendar!$F$2:$F$9997,Calendar!$B$2:$B$9997,D5267,Calendar!$C$2:$C$9997,C5267)*INDEX(ForeCalc!$B$37:$Y$274,MATCH(_xlfn.CONCAT(H5267," ",I5267),ForeCalc!$A$37:$A$274,0),MATCH(_xlfn.CONCAT(B5267," ",E5267),ForeCalc!$B$36:$Y$36,0))))*VLOOKUP(A5267,Calendar!$A$2:$H$9997,8,FALSE),0)</f>
        <v/>
      </c>
      <c r="G5267" s="29">
        <f>VLOOKUP(A5267,Calendar!$A$1:$H$9997,6,FALSE)-F5267</f>
        <v/>
      </c>
      <c r="H5267" s="19" t="n">
        <v>3</v>
      </c>
      <c r="I5267" s="57" t="n">
        <v>5</v>
      </c>
    </row>
    <row r="5268">
      <c r="A5268" s="62" t="n">
        <v>46995</v>
      </c>
      <c r="B5268" s="3" t="inlineStr">
        <is>
          <t>Week</t>
        </is>
      </c>
      <c r="C5268" s="19" t="n">
        <v>8</v>
      </c>
      <c r="D5268" s="19" t="n">
        <v>2028</v>
      </c>
      <c r="E5268" s="57" t="n">
        <v>5</v>
      </c>
      <c r="F5268" s="29">
        <f>ROUND(((SUMIFS(Calendar!$F$2:$F$9997,Calendar!$B$2:$B$9997,D5268,Calendar!$C$2:$C$9997,C5268)*INDEX(ForeCalc!$B$37:$Y$274,MATCH(_xlfn.CONCAT(H5268," ",I5268),ForeCalc!$A$37:$A$274,0),MATCH(_xlfn.CONCAT(B5268," ",E5268),ForeCalc!$B$36:$Y$36,0))))*VLOOKUP(A5268,Calendar!$A$2:$H$9997,8,FALSE),0)</f>
        <v/>
      </c>
      <c r="G5268" s="29">
        <f>VLOOKUP(A5268,Calendar!$A$1:$H$9997,6,FALSE)-F5268</f>
        <v/>
      </c>
      <c r="H5268" s="19" t="n">
        <v>3</v>
      </c>
      <c r="I5268" s="57" t="n">
        <v>5</v>
      </c>
    </row>
    <row r="5269">
      <c r="A5269" s="62" t="n">
        <v>46996</v>
      </c>
      <c r="B5269" s="3" t="inlineStr">
        <is>
          <t>Week</t>
        </is>
      </c>
      <c r="C5269" s="19" t="n">
        <v>8</v>
      </c>
      <c r="D5269" s="19" t="n">
        <v>2028</v>
      </c>
      <c r="E5269" s="57" t="n">
        <v>5</v>
      </c>
      <c r="F5269" s="29">
        <f>ROUND(((SUMIFS(Calendar!$F$2:$F$9997,Calendar!$B$2:$B$9997,D5269,Calendar!$C$2:$C$9997,C5269)*INDEX(ForeCalc!$B$37:$Y$274,MATCH(_xlfn.CONCAT(H5269," ",I5269),ForeCalc!$A$37:$A$274,0),MATCH(_xlfn.CONCAT(B5269," ",E5269),ForeCalc!$B$36:$Y$36,0))))*VLOOKUP(A5269,Calendar!$A$2:$H$9997,8,FALSE),0)</f>
        <v/>
      </c>
      <c r="G5269" s="29">
        <f>VLOOKUP(A5269,Calendar!$A$1:$H$9997,6,FALSE)-F5269</f>
        <v/>
      </c>
      <c r="H5269" s="19" t="n">
        <v>3</v>
      </c>
      <c r="I5269" s="57" t="n">
        <v>5</v>
      </c>
    </row>
    <row r="5270">
      <c r="A5270" s="62" t="n">
        <v>46997</v>
      </c>
      <c r="B5270" s="3" t="inlineStr">
        <is>
          <t>Week</t>
        </is>
      </c>
      <c r="C5270" s="19" t="n">
        <v>9</v>
      </c>
      <c r="D5270" s="19" t="n">
        <v>2028</v>
      </c>
      <c r="E5270" s="57" t="n">
        <v>5</v>
      </c>
      <c r="F5270" s="29">
        <f>ROUND(((SUMIFS(Calendar!$F$2:$F$9997,Calendar!$B$2:$B$9997,D5270,Calendar!$C$2:$C$9997,C5270)*INDEX(ForeCalc!$B$37:$Y$274,MATCH(_xlfn.CONCAT(H5270," ",I5270),ForeCalc!$A$37:$A$274,0),MATCH(_xlfn.CONCAT(B5270," ",E5270),ForeCalc!$B$36:$Y$36,0))))*VLOOKUP(A5270,Calendar!$A$2:$H$9997,8,FALSE),0)</f>
        <v/>
      </c>
      <c r="G5270" s="29">
        <f>VLOOKUP(A5270,Calendar!$A$1:$H$9997,6,FALSE)-F5270</f>
        <v/>
      </c>
      <c r="H5270" s="19" t="n">
        <v>3</v>
      </c>
      <c r="I5270" s="57" t="n">
        <v>6</v>
      </c>
    </row>
    <row r="5271">
      <c r="A5271" s="62" t="n">
        <v>46998</v>
      </c>
      <c r="B5271" s="3" t="inlineStr">
        <is>
          <t>Sat</t>
        </is>
      </c>
      <c r="C5271" s="19" t="n">
        <v>9</v>
      </c>
      <c r="D5271" s="19" t="n">
        <v>2028</v>
      </c>
      <c r="E5271" s="57" t="n">
        <v>5</v>
      </c>
      <c r="F5271" s="29">
        <f>ROUND(((SUMIFS(Calendar!$F$2:$F$9997,Calendar!$B$2:$B$9997,D5271,Calendar!$C$2:$C$9997,C5271)*INDEX(ForeCalc!$B$37:$Y$274,MATCH(_xlfn.CONCAT(H5271," ",I5271),ForeCalc!$A$37:$A$274,0),MATCH(_xlfn.CONCAT(B5271," ",E5271),ForeCalc!$B$36:$Y$36,0))))*VLOOKUP(A5271,Calendar!$A$2:$H$9997,8,FALSE),0)</f>
        <v/>
      </c>
      <c r="G5271" s="29">
        <f>VLOOKUP(A5271,Calendar!$A$1:$H$9997,6,FALSE)-F5271</f>
        <v/>
      </c>
      <c r="H5271" s="19" t="n">
        <v>3</v>
      </c>
      <c r="I5271" s="57" t="n">
        <v>6</v>
      </c>
    </row>
    <row r="5272">
      <c r="A5272" s="62" t="n">
        <v>46999</v>
      </c>
      <c r="B5272" s="3" t="inlineStr">
        <is>
          <t>Sun</t>
        </is>
      </c>
      <c r="C5272" s="19" t="n">
        <v>9</v>
      </c>
      <c r="D5272" s="19" t="n">
        <v>2028</v>
      </c>
      <c r="E5272" s="57" t="n">
        <v>5</v>
      </c>
      <c r="F5272" s="29">
        <f>ROUND(((SUMIFS(Calendar!$F$2:$F$9997,Calendar!$B$2:$B$9997,D5272,Calendar!$C$2:$C$9997,C5272)*INDEX(ForeCalc!$B$37:$Y$274,MATCH(_xlfn.CONCAT(H5272," ",I5272),ForeCalc!$A$37:$A$274,0),MATCH(_xlfn.CONCAT(B5272," ",E5272),ForeCalc!$B$36:$Y$36,0))))*VLOOKUP(A5272,Calendar!$A$2:$H$9997,8,FALSE),0)</f>
        <v/>
      </c>
      <c r="G5272" s="29">
        <f>VLOOKUP(A5272,Calendar!$A$1:$H$9997,6,FALSE)-F5272</f>
        <v/>
      </c>
      <c r="H5272" s="19" t="n">
        <v>3</v>
      </c>
      <c r="I5272" s="57" t="n">
        <v>6</v>
      </c>
    </row>
    <row r="5273">
      <c r="A5273" s="62" t="n">
        <v>47000</v>
      </c>
      <c r="B5273" s="3" t="inlineStr">
        <is>
          <t>Week</t>
        </is>
      </c>
      <c r="C5273" s="19" t="n">
        <v>9</v>
      </c>
      <c r="D5273" s="19" t="n">
        <v>2028</v>
      </c>
      <c r="E5273" s="57" t="n">
        <v>5</v>
      </c>
      <c r="F5273" s="29">
        <f>ROUND(((SUMIFS(Calendar!$F$2:$F$9997,Calendar!$B$2:$B$9997,D5273,Calendar!$C$2:$C$9997,C5273)*INDEX(ForeCalc!$B$37:$Y$274,MATCH(_xlfn.CONCAT(H5273," ",I5273),ForeCalc!$A$37:$A$274,0),MATCH(_xlfn.CONCAT(B5273," ",E5273),ForeCalc!$B$36:$Y$36,0))))*VLOOKUP(A5273,Calendar!$A$2:$H$9997,8,FALSE),0)</f>
        <v/>
      </c>
      <c r="G5273" s="29">
        <f>VLOOKUP(A5273,Calendar!$A$1:$H$9997,6,FALSE)-F5273</f>
        <v/>
      </c>
      <c r="H5273" s="19" t="n">
        <v>3</v>
      </c>
      <c r="I5273" s="57" t="n">
        <v>6</v>
      </c>
    </row>
    <row r="5274">
      <c r="A5274" s="62" t="n">
        <v>47001</v>
      </c>
      <c r="B5274" s="3" t="inlineStr">
        <is>
          <t>Week</t>
        </is>
      </c>
      <c r="C5274" s="19" t="n">
        <v>9</v>
      </c>
      <c r="D5274" s="19" t="n">
        <v>2028</v>
      </c>
      <c r="E5274" s="57" t="n">
        <v>5</v>
      </c>
      <c r="F5274" s="29">
        <f>ROUND(((SUMIFS(Calendar!$F$2:$F$9997,Calendar!$B$2:$B$9997,D5274,Calendar!$C$2:$C$9997,C5274)*INDEX(ForeCalc!$B$37:$Y$274,MATCH(_xlfn.CONCAT(H5274," ",I5274),ForeCalc!$A$37:$A$274,0),MATCH(_xlfn.CONCAT(B5274," ",E5274),ForeCalc!$B$36:$Y$36,0))))*VLOOKUP(A5274,Calendar!$A$2:$H$9997,8,FALSE),0)</f>
        <v/>
      </c>
      <c r="G5274" s="29">
        <f>VLOOKUP(A5274,Calendar!$A$1:$H$9997,6,FALSE)-F5274</f>
        <v/>
      </c>
      <c r="H5274" s="19" t="n">
        <v>3</v>
      </c>
      <c r="I5274" s="57" t="n">
        <v>6</v>
      </c>
    </row>
    <row r="5275">
      <c r="A5275" s="62" t="n">
        <v>47002</v>
      </c>
      <c r="B5275" s="3" t="inlineStr">
        <is>
          <t>Week</t>
        </is>
      </c>
      <c r="C5275" s="19" t="n">
        <v>9</v>
      </c>
      <c r="D5275" s="19" t="n">
        <v>2028</v>
      </c>
      <c r="E5275" s="57" t="n">
        <v>5</v>
      </c>
      <c r="F5275" s="29">
        <f>ROUND(((SUMIFS(Calendar!$F$2:$F$9997,Calendar!$B$2:$B$9997,D5275,Calendar!$C$2:$C$9997,C5275)*INDEX(ForeCalc!$B$37:$Y$274,MATCH(_xlfn.CONCAT(H5275," ",I5275),ForeCalc!$A$37:$A$274,0),MATCH(_xlfn.CONCAT(B5275," ",E5275),ForeCalc!$B$36:$Y$36,0))))*VLOOKUP(A5275,Calendar!$A$2:$H$9997,8,FALSE),0)</f>
        <v/>
      </c>
      <c r="G5275" s="29">
        <f>VLOOKUP(A5275,Calendar!$A$1:$H$9997,6,FALSE)-F5275</f>
        <v/>
      </c>
      <c r="H5275" s="19" t="n">
        <v>3</v>
      </c>
      <c r="I5275" s="57" t="n">
        <v>6</v>
      </c>
    </row>
    <row r="5276">
      <c r="A5276" s="62" t="n">
        <v>47003</v>
      </c>
      <c r="B5276" s="3" t="inlineStr">
        <is>
          <t>Week</t>
        </is>
      </c>
      <c r="C5276" s="19" t="n">
        <v>9</v>
      </c>
      <c r="D5276" s="19" t="n">
        <v>2028</v>
      </c>
      <c r="E5276" s="57" t="n">
        <v>5</v>
      </c>
      <c r="F5276" s="29">
        <f>ROUND(((SUMIFS(Calendar!$F$2:$F$9997,Calendar!$B$2:$B$9997,D5276,Calendar!$C$2:$C$9997,C5276)*INDEX(ForeCalc!$B$37:$Y$274,MATCH(_xlfn.CONCAT(H5276," ",I5276),ForeCalc!$A$37:$A$274,0),MATCH(_xlfn.CONCAT(B5276," ",E5276),ForeCalc!$B$36:$Y$36,0))))*VLOOKUP(A5276,Calendar!$A$2:$H$9997,8,FALSE),0)</f>
        <v/>
      </c>
      <c r="G5276" s="29">
        <f>VLOOKUP(A5276,Calendar!$A$1:$H$9997,6,FALSE)-F5276</f>
        <v/>
      </c>
      <c r="H5276" s="19" t="n">
        <v>3</v>
      </c>
      <c r="I5276" s="57" t="n">
        <v>6</v>
      </c>
    </row>
    <row r="5277">
      <c r="A5277" s="62" t="n">
        <v>47004</v>
      </c>
      <c r="B5277" s="3" t="inlineStr">
        <is>
          <t>Week</t>
        </is>
      </c>
      <c r="C5277" s="19" t="n">
        <v>9</v>
      </c>
      <c r="D5277" s="19" t="n">
        <v>2028</v>
      </c>
      <c r="E5277" s="57" t="n">
        <v>5</v>
      </c>
      <c r="F5277" s="29">
        <f>ROUND(((SUMIFS(Calendar!$F$2:$F$9997,Calendar!$B$2:$B$9997,D5277,Calendar!$C$2:$C$9997,C5277)*INDEX(ForeCalc!$B$37:$Y$274,MATCH(_xlfn.CONCAT(H5277," ",I5277),ForeCalc!$A$37:$A$274,0),MATCH(_xlfn.CONCAT(B5277," ",E5277),ForeCalc!$B$36:$Y$36,0))))*VLOOKUP(A5277,Calendar!$A$2:$H$9997,8,FALSE),0)</f>
        <v/>
      </c>
      <c r="G5277" s="29">
        <f>VLOOKUP(A5277,Calendar!$A$1:$H$9997,6,FALSE)-F5277</f>
        <v/>
      </c>
      <c r="H5277" s="19" t="n">
        <v>3</v>
      </c>
      <c r="I5277" s="57" t="n">
        <v>6</v>
      </c>
    </row>
    <row r="5278">
      <c r="A5278" s="62" t="n">
        <v>47005</v>
      </c>
      <c r="B5278" s="3" t="inlineStr">
        <is>
          <t>Sat</t>
        </is>
      </c>
      <c r="C5278" s="19" t="n">
        <v>9</v>
      </c>
      <c r="D5278" s="19" t="n">
        <v>2028</v>
      </c>
      <c r="E5278" s="57" t="n">
        <v>5</v>
      </c>
      <c r="F5278" s="29">
        <f>ROUND(((SUMIFS(Calendar!$F$2:$F$9997,Calendar!$B$2:$B$9997,D5278,Calendar!$C$2:$C$9997,C5278)*INDEX(ForeCalc!$B$37:$Y$274,MATCH(_xlfn.CONCAT(H5278," ",I5278),ForeCalc!$A$37:$A$274,0),MATCH(_xlfn.CONCAT(B5278," ",E5278),ForeCalc!$B$36:$Y$36,0))))*VLOOKUP(A5278,Calendar!$A$2:$H$9997,8,FALSE),0)</f>
        <v/>
      </c>
      <c r="G5278" s="29">
        <f>VLOOKUP(A5278,Calendar!$A$1:$H$9997,6,FALSE)-F5278</f>
        <v/>
      </c>
      <c r="H5278" s="19" t="n">
        <v>3</v>
      </c>
      <c r="I5278" s="57" t="n">
        <v>6</v>
      </c>
    </row>
    <row r="5279">
      <c r="A5279" s="62" t="n">
        <v>47006</v>
      </c>
      <c r="B5279" s="3" t="inlineStr">
        <is>
          <t>Sun</t>
        </is>
      </c>
      <c r="C5279" s="19" t="n">
        <v>9</v>
      </c>
      <c r="D5279" s="19" t="n">
        <v>2028</v>
      </c>
      <c r="E5279" s="57" t="n">
        <v>5</v>
      </c>
      <c r="F5279" s="29">
        <f>ROUND(((SUMIFS(Calendar!$F$2:$F$9997,Calendar!$B$2:$B$9997,D5279,Calendar!$C$2:$C$9997,C5279)*INDEX(ForeCalc!$B$37:$Y$274,MATCH(_xlfn.CONCAT(H5279," ",I5279),ForeCalc!$A$37:$A$274,0),MATCH(_xlfn.CONCAT(B5279," ",E5279),ForeCalc!$B$36:$Y$36,0))))*VLOOKUP(A5279,Calendar!$A$2:$H$9997,8,FALSE),0)</f>
        <v/>
      </c>
      <c r="G5279" s="29">
        <f>VLOOKUP(A5279,Calendar!$A$1:$H$9997,6,FALSE)-F5279</f>
        <v/>
      </c>
      <c r="H5279" s="19" t="n">
        <v>3</v>
      </c>
      <c r="I5279" s="57" t="n">
        <v>6</v>
      </c>
    </row>
    <row r="5280">
      <c r="A5280" s="62" t="n">
        <v>47007</v>
      </c>
      <c r="B5280" s="3" t="inlineStr">
        <is>
          <t>Week</t>
        </is>
      </c>
      <c r="C5280" s="19" t="n">
        <v>9</v>
      </c>
      <c r="D5280" s="19" t="n">
        <v>2028</v>
      </c>
      <c r="E5280" s="57" t="n">
        <v>5</v>
      </c>
      <c r="F5280" s="29">
        <f>ROUND(((SUMIFS(Calendar!$F$2:$F$9997,Calendar!$B$2:$B$9997,D5280,Calendar!$C$2:$C$9997,C5280)*INDEX(ForeCalc!$B$37:$Y$274,MATCH(_xlfn.CONCAT(H5280," ",I5280),ForeCalc!$A$37:$A$274,0),MATCH(_xlfn.CONCAT(B5280," ",E5280),ForeCalc!$B$36:$Y$36,0))))*VLOOKUP(A5280,Calendar!$A$2:$H$9997,8,FALSE),0)</f>
        <v/>
      </c>
      <c r="G5280" s="29">
        <f>VLOOKUP(A5280,Calendar!$A$1:$H$9997,6,FALSE)-F5280</f>
        <v/>
      </c>
      <c r="H5280" s="19" t="n">
        <v>3</v>
      </c>
      <c r="I5280" s="57" t="n">
        <v>6</v>
      </c>
    </row>
    <row r="5281">
      <c r="A5281" s="62" t="n">
        <v>47008</v>
      </c>
      <c r="B5281" s="3" t="inlineStr">
        <is>
          <t>Week</t>
        </is>
      </c>
      <c r="C5281" s="19" t="n">
        <v>9</v>
      </c>
      <c r="D5281" s="19" t="n">
        <v>2028</v>
      </c>
      <c r="E5281" s="57" t="n">
        <v>5</v>
      </c>
      <c r="F5281" s="29">
        <f>ROUND(((SUMIFS(Calendar!$F$2:$F$9997,Calendar!$B$2:$B$9997,D5281,Calendar!$C$2:$C$9997,C5281)*INDEX(ForeCalc!$B$37:$Y$274,MATCH(_xlfn.CONCAT(H5281," ",I5281),ForeCalc!$A$37:$A$274,0),MATCH(_xlfn.CONCAT(B5281," ",E5281),ForeCalc!$B$36:$Y$36,0))))*VLOOKUP(A5281,Calendar!$A$2:$H$9997,8,FALSE),0)</f>
        <v/>
      </c>
      <c r="G5281" s="29">
        <f>VLOOKUP(A5281,Calendar!$A$1:$H$9997,6,FALSE)-F5281</f>
        <v/>
      </c>
      <c r="H5281" s="19" t="n">
        <v>3</v>
      </c>
      <c r="I5281" s="57" t="n">
        <v>6</v>
      </c>
    </row>
    <row r="5282">
      <c r="A5282" s="62" t="n">
        <v>47009</v>
      </c>
      <c r="B5282" s="3" t="inlineStr">
        <is>
          <t>Week</t>
        </is>
      </c>
      <c r="C5282" s="19" t="n">
        <v>9</v>
      </c>
      <c r="D5282" s="19" t="n">
        <v>2028</v>
      </c>
      <c r="E5282" s="57" t="n">
        <v>5</v>
      </c>
      <c r="F5282" s="29">
        <f>ROUND(((SUMIFS(Calendar!$F$2:$F$9997,Calendar!$B$2:$B$9997,D5282,Calendar!$C$2:$C$9997,C5282)*INDEX(ForeCalc!$B$37:$Y$274,MATCH(_xlfn.CONCAT(H5282," ",I5282),ForeCalc!$A$37:$A$274,0),MATCH(_xlfn.CONCAT(B5282," ",E5282),ForeCalc!$B$36:$Y$36,0))))*VLOOKUP(A5282,Calendar!$A$2:$H$9997,8,FALSE),0)</f>
        <v/>
      </c>
      <c r="G5282" s="29">
        <f>VLOOKUP(A5282,Calendar!$A$1:$H$9997,6,FALSE)-F5282</f>
        <v/>
      </c>
      <c r="H5282" s="19" t="n">
        <v>3</v>
      </c>
      <c r="I5282" s="57" t="n">
        <v>6</v>
      </c>
    </row>
    <row r="5283">
      <c r="A5283" s="62" t="n">
        <v>47010</v>
      </c>
      <c r="B5283" s="3" t="inlineStr">
        <is>
          <t>Week</t>
        </is>
      </c>
      <c r="C5283" s="19" t="n">
        <v>9</v>
      </c>
      <c r="D5283" s="19" t="n">
        <v>2028</v>
      </c>
      <c r="E5283" s="57" t="n">
        <v>5</v>
      </c>
      <c r="F5283" s="29">
        <f>ROUND(((SUMIFS(Calendar!$F$2:$F$9997,Calendar!$B$2:$B$9997,D5283,Calendar!$C$2:$C$9997,C5283)*INDEX(ForeCalc!$B$37:$Y$274,MATCH(_xlfn.CONCAT(H5283," ",I5283),ForeCalc!$A$37:$A$274,0),MATCH(_xlfn.CONCAT(B5283," ",E5283),ForeCalc!$B$36:$Y$36,0))))*VLOOKUP(A5283,Calendar!$A$2:$H$9997,8,FALSE),0)</f>
        <v/>
      </c>
      <c r="G5283" s="29">
        <f>VLOOKUP(A5283,Calendar!$A$1:$H$9997,6,FALSE)-F5283</f>
        <v/>
      </c>
      <c r="H5283" s="19" t="n">
        <v>3</v>
      </c>
      <c r="I5283" s="57" t="n">
        <v>6</v>
      </c>
    </row>
    <row r="5284">
      <c r="A5284" s="62" t="n">
        <v>47011</v>
      </c>
      <c r="B5284" s="3" t="inlineStr">
        <is>
          <t>Week</t>
        </is>
      </c>
      <c r="C5284" s="19" t="n">
        <v>9</v>
      </c>
      <c r="D5284" s="19" t="n">
        <v>2028</v>
      </c>
      <c r="E5284" s="57" t="n">
        <v>5</v>
      </c>
      <c r="F5284" s="29">
        <f>ROUND(((SUMIFS(Calendar!$F$2:$F$9997,Calendar!$B$2:$B$9997,D5284,Calendar!$C$2:$C$9997,C5284)*INDEX(ForeCalc!$B$37:$Y$274,MATCH(_xlfn.CONCAT(H5284," ",I5284),ForeCalc!$A$37:$A$274,0),MATCH(_xlfn.CONCAT(B5284," ",E5284),ForeCalc!$B$36:$Y$36,0))))*VLOOKUP(A5284,Calendar!$A$2:$H$9997,8,FALSE),0)</f>
        <v/>
      </c>
      <c r="G5284" s="29">
        <f>VLOOKUP(A5284,Calendar!$A$1:$H$9997,6,FALSE)-F5284</f>
        <v/>
      </c>
      <c r="H5284" s="19" t="n">
        <v>3</v>
      </c>
      <c r="I5284" s="57" t="n">
        <v>6</v>
      </c>
    </row>
    <row r="5285">
      <c r="A5285" s="62" t="n">
        <v>47012</v>
      </c>
      <c r="B5285" s="3" t="inlineStr">
        <is>
          <t>Sat</t>
        </is>
      </c>
      <c r="C5285" s="19" t="n">
        <v>9</v>
      </c>
      <c r="D5285" s="19" t="n">
        <v>2028</v>
      </c>
      <c r="E5285" s="57" t="n">
        <v>5</v>
      </c>
      <c r="F5285" s="29">
        <f>ROUND(((SUMIFS(Calendar!$F$2:$F$9997,Calendar!$B$2:$B$9997,D5285,Calendar!$C$2:$C$9997,C5285)*INDEX(ForeCalc!$B$37:$Y$274,MATCH(_xlfn.CONCAT(H5285," ",I5285),ForeCalc!$A$37:$A$274,0),MATCH(_xlfn.CONCAT(B5285," ",E5285),ForeCalc!$B$36:$Y$36,0))))*VLOOKUP(A5285,Calendar!$A$2:$H$9997,8,FALSE),0)</f>
        <v/>
      </c>
      <c r="G5285" s="29">
        <f>VLOOKUP(A5285,Calendar!$A$1:$H$9997,6,FALSE)-F5285</f>
        <v/>
      </c>
      <c r="H5285" s="19" t="n">
        <v>3</v>
      </c>
      <c r="I5285" s="57" t="n">
        <v>6</v>
      </c>
    </row>
    <row r="5286">
      <c r="A5286" s="62" t="n">
        <v>47013</v>
      </c>
      <c r="B5286" s="3" t="inlineStr">
        <is>
          <t>Sun</t>
        </is>
      </c>
      <c r="C5286" s="19" t="n">
        <v>9</v>
      </c>
      <c r="D5286" s="19" t="n">
        <v>2028</v>
      </c>
      <c r="E5286" s="57" t="n">
        <v>5</v>
      </c>
      <c r="F5286" s="29">
        <f>ROUND(((SUMIFS(Calendar!$F$2:$F$9997,Calendar!$B$2:$B$9997,D5286,Calendar!$C$2:$C$9997,C5286)*INDEX(ForeCalc!$B$37:$Y$274,MATCH(_xlfn.CONCAT(H5286," ",I5286),ForeCalc!$A$37:$A$274,0),MATCH(_xlfn.CONCAT(B5286," ",E5286),ForeCalc!$B$36:$Y$36,0))))*VLOOKUP(A5286,Calendar!$A$2:$H$9997,8,FALSE),0)</f>
        <v/>
      </c>
      <c r="G5286" s="29">
        <f>VLOOKUP(A5286,Calendar!$A$1:$H$9997,6,FALSE)-F5286</f>
        <v/>
      </c>
      <c r="H5286" s="19" t="n">
        <v>3</v>
      </c>
      <c r="I5286" s="57" t="n">
        <v>6</v>
      </c>
    </row>
    <row r="5287">
      <c r="A5287" s="62" t="n">
        <v>47014</v>
      </c>
      <c r="B5287" s="3" t="inlineStr">
        <is>
          <t>Week</t>
        </is>
      </c>
      <c r="C5287" s="19" t="n">
        <v>9</v>
      </c>
      <c r="D5287" s="19" t="n">
        <v>2028</v>
      </c>
      <c r="E5287" s="57" t="n">
        <v>5</v>
      </c>
      <c r="F5287" s="29">
        <f>ROUND(((SUMIFS(Calendar!$F$2:$F$9997,Calendar!$B$2:$B$9997,D5287,Calendar!$C$2:$C$9997,C5287)*INDEX(ForeCalc!$B$37:$Y$274,MATCH(_xlfn.CONCAT(H5287," ",I5287),ForeCalc!$A$37:$A$274,0),MATCH(_xlfn.CONCAT(B5287," ",E5287),ForeCalc!$B$36:$Y$36,0))))*VLOOKUP(A5287,Calendar!$A$2:$H$9997,8,FALSE),0)</f>
        <v/>
      </c>
      <c r="G5287" s="29">
        <f>VLOOKUP(A5287,Calendar!$A$1:$H$9997,6,FALSE)-F5287</f>
        <v/>
      </c>
      <c r="H5287" s="19" t="n">
        <v>3</v>
      </c>
      <c r="I5287" s="57" t="n">
        <v>6</v>
      </c>
    </row>
    <row r="5288">
      <c r="A5288" s="62" t="n">
        <v>47015</v>
      </c>
      <c r="B5288" s="3" t="inlineStr">
        <is>
          <t>Week</t>
        </is>
      </c>
      <c r="C5288" s="19" t="n">
        <v>9</v>
      </c>
      <c r="D5288" s="19" t="n">
        <v>2028</v>
      </c>
      <c r="E5288" s="57" t="n">
        <v>5</v>
      </c>
      <c r="F5288" s="29">
        <f>ROUND(((SUMIFS(Calendar!$F$2:$F$9997,Calendar!$B$2:$B$9997,D5288,Calendar!$C$2:$C$9997,C5288)*INDEX(ForeCalc!$B$37:$Y$274,MATCH(_xlfn.CONCAT(H5288," ",I5288),ForeCalc!$A$37:$A$274,0),MATCH(_xlfn.CONCAT(B5288," ",E5288),ForeCalc!$B$36:$Y$36,0))))*VLOOKUP(A5288,Calendar!$A$2:$H$9997,8,FALSE),0)</f>
        <v/>
      </c>
      <c r="G5288" s="29">
        <f>VLOOKUP(A5288,Calendar!$A$1:$H$9997,6,FALSE)-F5288</f>
        <v/>
      </c>
      <c r="H5288" s="19" t="n">
        <v>3</v>
      </c>
      <c r="I5288" s="57" t="n">
        <v>6</v>
      </c>
    </row>
    <row r="5289">
      <c r="A5289" s="62" t="n">
        <v>47016</v>
      </c>
      <c r="B5289" s="3" t="inlineStr">
        <is>
          <t>Week</t>
        </is>
      </c>
      <c r="C5289" s="19" t="n">
        <v>9</v>
      </c>
      <c r="D5289" s="19" t="n">
        <v>2028</v>
      </c>
      <c r="E5289" s="57" t="n">
        <v>5</v>
      </c>
      <c r="F5289" s="29">
        <f>ROUND(((SUMIFS(Calendar!$F$2:$F$9997,Calendar!$B$2:$B$9997,D5289,Calendar!$C$2:$C$9997,C5289)*INDEX(ForeCalc!$B$37:$Y$274,MATCH(_xlfn.CONCAT(H5289," ",I5289),ForeCalc!$A$37:$A$274,0),MATCH(_xlfn.CONCAT(B5289," ",E5289),ForeCalc!$B$36:$Y$36,0))))*VLOOKUP(A5289,Calendar!$A$2:$H$9997,8,FALSE),0)</f>
        <v/>
      </c>
      <c r="G5289" s="29">
        <f>VLOOKUP(A5289,Calendar!$A$1:$H$9997,6,FALSE)-F5289</f>
        <v/>
      </c>
      <c r="H5289" s="19" t="n">
        <v>3</v>
      </c>
      <c r="I5289" s="57" t="n">
        <v>6</v>
      </c>
    </row>
    <row r="5290">
      <c r="A5290" s="62" t="n">
        <v>47017</v>
      </c>
      <c r="B5290" s="3" t="inlineStr">
        <is>
          <t>Week</t>
        </is>
      </c>
      <c r="C5290" s="19" t="n">
        <v>9</v>
      </c>
      <c r="D5290" s="19" t="n">
        <v>2028</v>
      </c>
      <c r="E5290" s="57" t="n">
        <v>5</v>
      </c>
      <c r="F5290" s="29">
        <f>ROUND(((SUMIFS(Calendar!$F$2:$F$9997,Calendar!$B$2:$B$9997,D5290,Calendar!$C$2:$C$9997,C5290)*INDEX(ForeCalc!$B$37:$Y$274,MATCH(_xlfn.CONCAT(H5290," ",I5290),ForeCalc!$A$37:$A$274,0),MATCH(_xlfn.CONCAT(B5290," ",E5290),ForeCalc!$B$36:$Y$36,0))))*VLOOKUP(A5290,Calendar!$A$2:$H$9997,8,FALSE),0)</f>
        <v/>
      </c>
      <c r="G5290" s="29">
        <f>VLOOKUP(A5290,Calendar!$A$1:$H$9997,6,FALSE)-F5290</f>
        <v/>
      </c>
      <c r="H5290" s="19" t="n">
        <v>3</v>
      </c>
      <c r="I5290" s="57" t="n">
        <v>6</v>
      </c>
    </row>
    <row r="5291">
      <c r="A5291" s="62" t="n">
        <v>47018</v>
      </c>
      <c r="B5291" s="3" t="inlineStr">
        <is>
          <t>Week</t>
        </is>
      </c>
      <c r="C5291" s="19" t="n">
        <v>9</v>
      </c>
      <c r="D5291" s="19" t="n">
        <v>2028</v>
      </c>
      <c r="E5291" s="57" t="n">
        <v>5</v>
      </c>
      <c r="F5291" s="29">
        <f>ROUND(((SUMIFS(Calendar!$F$2:$F$9997,Calendar!$B$2:$B$9997,D5291,Calendar!$C$2:$C$9997,C5291)*INDEX(ForeCalc!$B$37:$Y$274,MATCH(_xlfn.CONCAT(H5291," ",I5291),ForeCalc!$A$37:$A$274,0),MATCH(_xlfn.CONCAT(B5291," ",E5291),ForeCalc!$B$36:$Y$36,0))))*VLOOKUP(A5291,Calendar!$A$2:$H$9997,8,FALSE),0)</f>
        <v/>
      </c>
      <c r="G5291" s="29">
        <f>VLOOKUP(A5291,Calendar!$A$1:$H$9997,6,FALSE)-F5291</f>
        <v/>
      </c>
      <c r="H5291" s="19" t="n">
        <v>3</v>
      </c>
      <c r="I5291" s="57" t="n">
        <v>6</v>
      </c>
    </row>
    <row r="5292">
      <c r="A5292" s="62" t="n">
        <v>47019</v>
      </c>
      <c r="B5292" s="3" t="inlineStr">
        <is>
          <t>Sat</t>
        </is>
      </c>
      <c r="C5292" s="19" t="n">
        <v>9</v>
      </c>
      <c r="D5292" s="19" t="n">
        <v>2028</v>
      </c>
      <c r="E5292" s="57" t="n">
        <v>5</v>
      </c>
      <c r="F5292" s="29">
        <f>ROUND(((SUMIFS(Calendar!$F$2:$F$9997,Calendar!$B$2:$B$9997,D5292,Calendar!$C$2:$C$9997,C5292)*INDEX(ForeCalc!$B$37:$Y$274,MATCH(_xlfn.CONCAT(H5292," ",I5292),ForeCalc!$A$37:$A$274,0),MATCH(_xlfn.CONCAT(B5292," ",E5292),ForeCalc!$B$36:$Y$36,0))))*VLOOKUP(A5292,Calendar!$A$2:$H$9997,8,FALSE),0)</f>
        <v/>
      </c>
      <c r="G5292" s="29">
        <f>VLOOKUP(A5292,Calendar!$A$1:$H$9997,6,FALSE)-F5292</f>
        <v/>
      </c>
      <c r="H5292" s="19" t="n">
        <v>3</v>
      </c>
      <c r="I5292" s="57" t="n">
        <v>6</v>
      </c>
    </row>
    <row r="5293">
      <c r="A5293" s="62" t="n">
        <v>47020</v>
      </c>
      <c r="B5293" s="3" t="inlineStr">
        <is>
          <t>Sun</t>
        </is>
      </c>
      <c r="C5293" s="19" t="n">
        <v>9</v>
      </c>
      <c r="D5293" s="19" t="n">
        <v>2028</v>
      </c>
      <c r="E5293" s="57" t="n">
        <v>5</v>
      </c>
      <c r="F5293" s="29">
        <f>ROUND(((SUMIFS(Calendar!$F$2:$F$9997,Calendar!$B$2:$B$9997,D5293,Calendar!$C$2:$C$9997,C5293)*INDEX(ForeCalc!$B$37:$Y$274,MATCH(_xlfn.CONCAT(H5293," ",I5293),ForeCalc!$A$37:$A$274,0),MATCH(_xlfn.CONCAT(B5293," ",E5293),ForeCalc!$B$36:$Y$36,0))))*VLOOKUP(A5293,Calendar!$A$2:$H$9997,8,FALSE),0)</f>
        <v/>
      </c>
      <c r="G5293" s="29">
        <f>VLOOKUP(A5293,Calendar!$A$1:$H$9997,6,FALSE)-F5293</f>
        <v/>
      </c>
      <c r="H5293" s="19" t="n">
        <v>3</v>
      </c>
      <c r="I5293" s="57" t="n">
        <v>6</v>
      </c>
    </row>
    <row r="5294">
      <c r="A5294" s="62" t="n">
        <v>47021</v>
      </c>
      <c r="B5294" s="3" t="inlineStr">
        <is>
          <t>Week</t>
        </is>
      </c>
      <c r="C5294" s="19" t="n">
        <v>9</v>
      </c>
      <c r="D5294" s="19" t="n">
        <v>2028</v>
      </c>
      <c r="E5294" s="57" t="n">
        <v>5</v>
      </c>
      <c r="F5294" s="29">
        <f>ROUND(((SUMIFS(Calendar!$F$2:$F$9997,Calendar!$B$2:$B$9997,D5294,Calendar!$C$2:$C$9997,C5294)*INDEX(ForeCalc!$B$37:$Y$274,MATCH(_xlfn.CONCAT(H5294," ",I5294),ForeCalc!$A$37:$A$274,0),MATCH(_xlfn.CONCAT(B5294," ",E5294),ForeCalc!$B$36:$Y$36,0))))*VLOOKUP(A5294,Calendar!$A$2:$H$9997,8,FALSE),0)</f>
        <v/>
      </c>
      <c r="G5294" s="29">
        <f>VLOOKUP(A5294,Calendar!$A$1:$H$9997,6,FALSE)-F5294</f>
        <v/>
      </c>
      <c r="H5294" s="19" t="n">
        <v>3</v>
      </c>
      <c r="I5294" s="57" t="n">
        <v>6</v>
      </c>
    </row>
    <row r="5295">
      <c r="A5295" s="62" t="n">
        <v>47022</v>
      </c>
      <c r="B5295" s="3" t="inlineStr">
        <is>
          <t>Week</t>
        </is>
      </c>
      <c r="C5295" s="19" t="n">
        <v>9</v>
      </c>
      <c r="D5295" s="19" t="n">
        <v>2028</v>
      </c>
      <c r="E5295" s="57" t="n">
        <v>5</v>
      </c>
      <c r="F5295" s="29">
        <f>ROUND(((SUMIFS(Calendar!$F$2:$F$9997,Calendar!$B$2:$B$9997,D5295,Calendar!$C$2:$C$9997,C5295)*INDEX(ForeCalc!$B$37:$Y$274,MATCH(_xlfn.CONCAT(H5295," ",I5295),ForeCalc!$A$37:$A$274,0),MATCH(_xlfn.CONCAT(B5295," ",E5295),ForeCalc!$B$36:$Y$36,0))))*VLOOKUP(A5295,Calendar!$A$2:$H$9997,8,FALSE),0)</f>
        <v/>
      </c>
      <c r="G5295" s="29">
        <f>VLOOKUP(A5295,Calendar!$A$1:$H$9997,6,FALSE)-F5295</f>
        <v/>
      </c>
      <c r="H5295" s="19" t="n">
        <v>3</v>
      </c>
      <c r="I5295" s="57" t="n">
        <v>6</v>
      </c>
    </row>
    <row r="5296">
      <c r="A5296" s="62" t="n">
        <v>47023</v>
      </c>
      <c r="B5296" s="3" t="inlineStr">
        <is>
          <t>Week</t>
        </is>
      </c>
      <c r="C5296" s="19" t="n">
        <v>9</v>
      </c>
      <c r="D5296" s="19" t="n">
        <v>2028</v>
      </c>
      <c r="E5296" s="57" t="n">
        <v>5</v>
      </c>
      <c r="F5296" s="29">
        <f>ROUND(((SUMIFS(Calendar!$F$2:$F$9997,Calendar!$B$2:$B$9997,D5296,Calendar!$C$2:$C$9997,C5296)*INDEX(ForeCalc!$B$37:$Y$274,MATCH(_xlfn.CONCAT(H5296," ",I5296),ForeCalc!$A$37:$A$274,0),MATCH(_xlfn.CONCAT(B5296," ",E5296),ForeCalc!$B$36:$Y$36,0))))*VLOOKUP(A5296,Calendar!$A$2:$H$9997,8,FALSE),0)</f>
        <v/>
      </c>
      <c r="G5296" s="29">
        <f>VLOOKUP(A5296,Calendar!$A$1:$H$9997,6,FALSE)-F5296</f>
        <v/>
      </c>
      <c r="H5296" s="19" t="n">
        <v>3</v>
      </c>
      <c r="I5296" s="57" t="n">
        <v>6</v>
      </c>
    </row>
    <row r="5297">
      <c r="A5297" s="62" t="n">
        <v>47024</v>
      </c>
      <c r="B5297" s="3" t="inlineStr">
        <is>
          <t>Week</t>
        </is>
      </c>
      <c r="C5297" s="19" t="n">
        <v>9</v>
      </c>
      <c r="D5297" s="19" t="n">
        <v>2028</v>
      </c>
      <c r="E5297" s="57" t="n">
        <v>5</v>
      </c>
      <c r="F5297" s="29">
        <f>ROUND(((SUMIFS(Calendar!$F$2:$F$9997,Calendar!$B$2:$B$9997,D5297,Calendar!$C$2:$C$9997,C5297)*INDEX(ForeCalc!$B$37:$Y$274,MATCH(_xlfn.CONCAT(H5297," ",I5297),ForeCalc!$A$37:$A$274,0),MATCH(_xlfn.CONCAT(B5297," ",E5297),ForeCalc!$B$36:$Y$36,0))))*VLOOKUP(A5297,Calendar!$A$2:$H$9997,8,FALSE),0)</f>
        <v/>
      </c>
      <c r="G5297" s="29">
        <f>VLOOKUP(A5297,Calendar!$A$1:$H$9997,6,FALSE)-F5297</f>
        <v/>
      </c>
      <c r="H5297" s="19" t="n">
        <v>3</v>
      </c>
      <c r="I5297" s="57" t="n">
        <v>6</v>
      </c>
    </row>
    <row r="5298">
      <c r="A5298" s="62" t="n">
        <v>47025</v>
      </c>
      <c r="B5298" s="3" t="inlineStr">
        <is>
          <t>Week</t>
        </is>
      </c>
      <c r="C5298" s="19" t="n">
        <v>9</v>
      </c>
      <c r="D5298" s="19" t="n">
        <v>2028</v>
      </c>
      <c r="E5298" s="57" t="n">
        <v>5</v>
      </c>
      <c r="F5298" s="29">
        <f>ROUND(((SUMIFS(Calendar!$F$2:$F$9997,Calendar!$B$2:$B$9997,D5298,Calendar!$C$2:$C$9997,C5298)*INDEX(ForeCalc!$B$37:$Y$274,MATCH(_xlfn.CONCAT(H5298," ",I5298),ForeCalc!$A$37:$A$274,0),MATCH(_xlfn.CONCAT(B5298," ",E5298),ForeCalc!$B$36:$Y$36,0))))*VLOOKUP(A5298,Calendar!$A$2:$H$9997,8,FALSE),0)</f>
        <v/>
      </c>
      <c r="G5298" s="29">
        <f>VLOOKUP(A5298,Calendar!$A$1:$H$9997,6,FALSE)-F5298</f>
        <v/>
      </c>
      <c r="H5298" s="19" t="n">
        <v>3</v>
      </c>
      <c r="I5298" s="57" t="n">
        <v>6</v>
      </c>
    </row>
    <row r="5299">
      <c r="A5299" s="62" t="n">
        <v>47026</v>
      </c>
      <c r="B5299" s="3" t="inlineStr">
        <is>
          <t>Sat</t>
        </is>
      </c>
      <c r="C5299" s="19" t="n">
        <v>9</v>
      </c>
      <c r="D5299" s="19" t="n">
        <v>2028</v>
      </c>
      <c r="E5299" s="57" t="n">
        <v>5</v>
      </c>
      <c r="F5299" s="29">
        <f>ROUND(((SUMIFS(Calendar!$F$2:$F$9997,Calendar!$B$2:$B$9997,D5299,Calendar!$C$2:$C$9997,C5299)*INDEX(ForeCalc!$B$37:$Y$274,MATCH(_xlfn.CONCAT(H5299," ",I5299),ForeCalc!$A$37:$A$274,0),MATCH(_xlfn.CONCAT(B5299," ",E5299),ForeCalc!$B$36:$Y$36,0))))*VLOOKUP(A5299,Calendar!$A$2:$H$9997,8,FALSE),0)</f>
        <v/>
      </c>
      <c r="G5299" s="29">
        <f>VLOOKUP(A5299,Calendar!$A$1:$H$9997,6,FALSE)-F5299</f>
        <v/>
      </c>
      <c r="H5299" s="19" t="n">
        <v>3</v>
      </c>
      <c r="I5299" s="57" t="n">
        <v>6</v>
      </c>
    </row>
    <row r="5300">
      <c r="A5300" s="62" t="n">
        <v>47027</v>
      </c>
      <c r="B5300" s="3" t="inlineStr">
        <is>
          <t>Sun</t>
        </is>
      </c>
      <c r="C5300" s="19" t="n">
        <v>10</v>
      </c>
      <c r="D5300" s="19" t="n">
        <v>2028</v>
      </c>
      <c r="E5300" s="57" t="n">
        <v>5</v>
      </c>
      <c r="F5300" s="29">
        <f>ROUND(((SUMIFS(Calendar!$F$2:$F$9997,Calendar!$B$2:$B$9997,D5300,Calendar!$C$2:$C$9997,C5300)*INDEX(ForeCalc!$B$37:$Y$274,MATCH(_xlfn.CONCAT(H5300," ",I5300),ForeCalc!$A$37:$A$274,0),MATCH(_xlfn.CONCAT(B5300," ",E5300),ForeCalc!$B$36:$Y$36,0))))*VLOOKUP(A5300,Calendar!$A$2:$H$9997,8,FALSE),0)</f>
        <v/>
      </c>
      <c r="G5300" s="29">
        <f>VLOOKUP(A5300,Calendar!$A$1:$H$9997,6,FALSE)-F5300</f>
        <v/>
      </c>
      <c r="H5300" s="19" t="n">
        <v>3</v>
      </c>
      <c r="I5300" s="57" t="n">
        <v>7</v>
      </c>
    </row>
    <row r="5301">
      <c r="A5301" s="62" t="n">
        <v>47028</v>
      </c>
      <c r="B5301" s="3" t="inlineStr">
        <is>
          <t>Week</t>
        </is>
      </c>
      <c r="C5301" s="19" t="n">
        <v>10</v>
      </c>
      <c r="D5301" s="19" t="n">
        <v>2028</v>
      </c>
      <c r="E5301" s="57" t="n">
        <v>5</v>
      </c>
      <c r="F5301" s="29">
        <f>ROUND(((SUMIFS(Calendar!$F$2:$F$9997,Calendar!$B$2:$B$9997,D5301,Calendar!$C$2:$C$9997,C5301)*INDEX(ForeCalc!$B$37:$Y$274,MATCH(_xlfn.CONCAT(H5301," ",I5301),ForeCalc!$A$37:$A$274,0),MATCH(_xlfn.CONCAT(B5301," ",E5301),ForeCalc!$B$36:$Y$36,0))))*VLOOKUP(A5301,Calendar!$A$2:$H$9997,8,FALSE),0)</f>
        <v/>
      </c>
      <c r="G5301" s="29">
        <f>VLOOKUP(A5301,Calendar!$A$1:$H$9997,6,FALSE)-F5301</f>
        <v/>
      </c>
      <c r="H5301" s="19" t="n">
        <v>3</v>
      </c>
      <c r="I5301" s="57" t="n">
        <v>7</v>
      </c>
    </row>
    <row r="5302">
      <c r="A5302" s="62" t="n">
        <v>47029</v>
      </c>
      <c r="B5302" s="3" t="inlineStr">
        <is>
          <t>Week</t>
        </is>
      </c>
      <c r="C5302" s="19" t="n">
        <v>10</v>
      </c>
      <c r="D5302" s="19" t="n">
        <v>2028</v>
      </c>
      <c r="E5302" s="57" t="n">
        <v>5</v>
      </c>
      <c r="F5302" s="29">
        <f>ROUND(((SUMIFS(Calendar!$F$2:$F$9997,Calendar!$B$2:$B$9997,D5302,Calendar!$C$2:$C$9997,C5302)*INDEX(ForeCalc!$B$37:$Y$274,MATCH(_xlfn.CONCAT(H5302," ",I5302),ForeCalc!$A$37:$A$274,0),MATCH(_xlfn.CONCAT(B5302," ",E5302),ForeCalc!$B$36:$Y$36,0))))*VLOOKUP(A5302,Calendar!$A$2:$H$9997,8,FALSE),0)</f>
        <v/>
      </c>
      <c r="G5302" s="29">
        <f>VLOOKUP(A5302,Calendar!$A$1:$H$9997,6,FALSE)-F5302</f>
        <v/>
      </c>
      <c r="H5302" s="19" t="n">
        <v>3</v>
      </c>
      <c r="I5302" s="57" t="n">
        <v>7</v>
      </c>
    </row>
    <row r="5303">
      <c r="A5303" s="62" t="n">
        <v>47030</v>
      </c>
      <c r="B5303" s="3" t="inlineStr">
        <is>
          <t>Week</t>
        </is>
      </c>
      <c r="C5303" s="19" t="n">
        <v>10</v>
      </c>
      <c r="D5303" s="19" t="n">
        <v>2028</v>
      </c>
      <c r="E5303" s="57" t="n">
        <v>5</v>
      </c>
      <c r="F5303" s="29">
        <f>ROUND(((SUMIFS(Calendar!$F$2:$F$9997,Calendar!$B$2:$B$9997,D5303,Calendar!$C$2:$C$9997,C5303)*INDEX(ForeCalc!$B$37:$Y$274,MATCH(_xlfn.CONCAT(H5303," ",I5303),ForeCalc!$A$37:$A$274,0),MATCH(_xlfn.CONCAT(B5303," ",E5303),ForeCalc!$B$36:$Y$36,0))))*VLOOKUP(A5303,Calendar!$A$2:$H$9997,8,FALSE),0)</f>
        <v/>
      </c>
      <c r="G5303" s="29">
        <f>VLOOKUP(A5303,Calendar!$A$1:$H$9997,6,FALSE)-F5303</f>
        <v/>
      </c>
      <c r="H5303" s="19" t="n">
        <v>3</v>
      </c>
      <c r="I5303" s="57" t="n">
        <v>7</v>
      </c>
    </row>
    <row r="5304">
      <c r="A5304" s="62" t="n">
        <v>47031</v>
      </c>
      <c r="B5304" s="3" t="inlineStr">
        <is>
          <t>Week</t>
        </is>
      </c>
      <c r="C5304" s="19" t="n">
        <v>10</v>
      </c>
      <c r="D5304" s="19" t="n">
        <v>2028</v>
      </c>
      <c r="E5304" s="57" t="n">
        <v>5</v>
      </c>
      <c r="F5304" s="29">
        <f>ROUND(((SUMIFS(Calendar!$F$2:$F$9997,Calendar!$B$2:$B$9997,D5304,Calendar!$C$2:$C$9997,C5304)*INDEX(ForeCalc!$B$37:$Y$274,MATCH(_xlfn.CONCAT(H5304," ",I5304),ForeCalc!$A$37:$A$274,0),MATCH(_xlfn.CONCAT(B5304," ",E5304),ForeCalc!$B$36:$Y$36,0))))*VLOOKUP(A5304,Calendar!$A$2:$H$9997,8,FALSE),0)</f>
        <v/>
      </c>
      <c r="G5304" s="29">
        <f>VLOOKUP(A5304,Calendar!$A$1:$H$9997,6,FALSE)-F5304</f>
        <v/>
      </c>
      <c r="H5304" s="19" t="n">
        <v>3</v>
      </c>
      <c r="I5304" s="57" t="n">
        <v>7</v>
      </c>
    </row>
    <row r="5305">
      <c r="A5305" s="62" t="n">
        <v>47032</v>
      </c>
      <c r="B5305" s="3" t="inlineStr">
        <is>
          <t>Week</t>
        </is>
      </c>
      <c r="C5305" s="19" t="n">
        <v>10</v>
      </c>
      <c r="D5305" s="19" t="n">
        <v>2028</v>
      </c>
      <c r="E5305" s="57" t="n">
        <v>5</v>
      </c>
      <c r="F5305" s="29">
        <f>ROUND(((SUMIFS(Calendar!$F$2:$F$9997,Calendar!$B$2:$B$9997,D5305,Calendar!$C$2:$C$9997,C5305)*INDEX(ForeCalc!$B$37:$Y$274,MATCH(_xlfn.CONCAT(H5305," ",I5305),ForeCalc!$A$37:$A$274,0),MATCH(_xlfn.CONCAT(B5305," ",E5305),ForeCalc!$B$36:$Y$36,0))))*VLOOKUP(A5305,Calendar!$A$2:$H$9997,8,FALSE),0)</f>
        <v/>
      </c>
      <c r="G5305" s="29">
        <f>VLOOKUP(A5305,Calendar!$A$1:$H$9997,6,FALSE)-F5305</f>
        <v/>
      </c>
      <c r="H5305" s="19" t="n">
        <v>3</v>
      </c>
      <c r="I5305" s="57" t="n">
        <v>7</v>
      </c>
    </row>
    <row r="5306">
      <c r="A5306" s="62" t="n">
        <v>47033</v>
      </c>
      <c r="B5306" s="3" t="inlineStr">
        <is>
          <t>Sat</t>
        </is>
      </c>
      <c r="C5306" s="19" t="n">
        <v>10</v>
      </c>
      <c r="D5306" s="19" t="n">
        <v>2028</v>
      </c>
      <c r="E5306" s="57" t="n">
        <v>5</v>
      </c>
      <c r="F5306" s="29">
        <f>ROUND(((SUMIFS(Calendar!$F$2:$F$9997,Calendar!$B$2:$B$9997,D5306,Calendar!$C$2:$C$9997,C5306)*INDEX(ForeCalc!$B$37:$Y$274,MATCH(_xlfn.CONCAT(H5306," ",I5306),ForeCalc!$A$37:$A$274,0),MATCH(_xlfn.CONCAT(B5306," ",E5306),ForeCalc!$B$36:$Y$36,0))))*VLOOKUP(A5306,Calendar!$A$2:$H$9997,8,FALSE),0)</f>
        <v/>
      </c>
      <c r="G5306" s="29">
        <f>VLOOKUP(A5306,Calendar!$A$1:$H$9997,6,FALSE)-F5306</f>
        <v/>
      </c>
      <c r="H5306" s="19" t="n">
        <v>3</v>
      </c>
      <c r="I5306" s="57" t="n">
        <v>7</v>
      </c>
    </row>
    <row r="5307">
      <c r="A5307" s="62" t="n">
        <v>47034</v>
      </c>
      <c r="B5307" s="3" t="inlineStr">
        <is>
          <t>Sun</t>
        </is>
      </c>
      <c r="C5307" s="19" t="n">
        <v>10</v>
      </c>
      <c r="D5307" s="19" t="n">
        <v>2028</v>
      </c>
      <c r="E5307" s="57" t="n">
        <v>5</v>
      </c>
      <c r="F5307" s="29">
        <f>ROUND(((SUMIFS(Calendar!$F$2:$F$9997,Calendar!$B$2:$B$9997,D5307,Calendar!$C$2:$C$9997,C5307)*INDEX(ForeCalc!$B$37:$Y$274,MATCH(_xlfn.CONCAT(H5307," ",I5307),ForeCalc!$A$37:$A$274,0),MATCH(_xlfn.CONCAT(B5307," ",E5307),ForeCalc!$B$36:$Y$36,0))))*VLOOKUP(A5307,Calendar!$A$2:$H$9997,8,FALSE),0)</f>
        <v/>
      </c>
      <c r="G5307" s="29">
        <f>VLOOKUP(A5307,Calendar!$A$1:$H$9997,6,FALSE)-F5307</f>
        <v/>
      </c>
      <c r="H5307" s="19" t="n">
        <v>3</v>
      </c>
      <c r="I5307" s="57" t="n">
        <v>7</v>
      </c>
    </row>
    <row r="5308">
      <c r="A5308" s="62" t="n">
        <v>47035</v>
      </c>
      <c r="B5308" s="3" t="inlineStr">
        <is>
          <t>Week</t>
        </is>
      </c>
      <c r="C5308" s="19" t="n">
        <v>10</v>
      </c>
      <c r="D5308" s="19" t="n">
        <v>2028</v>
      </c>
      <c r="E5308" s="57" t="n">
        <v>5</v>
      </c>
      <c r="F5308" s="29">
        <f>ROUND(((SUMIFS(Calendar!$F$2:$F$9997,Calendar!$B$2:$B$9997,D5308,Calendar!$C$2:$C$9997,C5308)*INDEX(ForeCalc!$B$37:$Y$274,MATCH(_xlfn.CONCAT(H5308," ",I5308),ForeCalc!$A$37:$A$274,0),MATCH(_xlfn.CONCAT(B5308," ",E5308),ForeCalc!$B$36:$Y$36,0))))*VLOOKUP(A5308,Calendar!$A$2:$H$9997,8,FALSE),0)</f>
        <v/>
      </c>
      <c r="G5308" s="29">
        <f>VLOOKUP(A5308,Calendar!$A$1:$H$9997,6,FALSE)-F5308</f>
        <v/>
      </c>
      <c r="H5308" s="19" t="n">
        <v>3</v>
      </c>
      <c r="I5308" s="57" t="n">
        <v>7</v>
      </c>
    </row>
    <row r="5309">
      <c r="A5309" s="62" t="n">
        <v>47036</v>
      </c>
      <c r="B5309" s="3" t="inlineStr">
        <is>
          <t>Week</t>
        </is>
      </c>
      <c r="C5309" s="19" t="n">
        <v>10</v>
      </c>
      <c r="D5309" s="19" t="n">
        <v>2028</v>
      </c>
      <c r="E5309" s="57" t="n">
        <v>5</v>
      </c>
      <c r="F5309" s="29">
        <f>ROUND(((SUMIFS(Calendar!$F$2:$F$9997,Calendar!$B$2:$B$9997,D5309,Calendar!$C$2:$C$9997,C5309)*INDEX(ForeCalc!$B$37:$Y$274,MATCH(_xlfn.CONCAT(H5309," ",I5309),ForeCalc!$A$37:$A$274,0),MATCH(_xlfn.CONCAT(B5309," ",E5309),ForeCalc!$B$36:$Y$36,0))))*VLOOKUP(A5309,Calendar!$A$2:$H$9997,8,FALSE),0)</f>
        <v/>
      </c>
      <c r="G5309" s="29">
        <f>VLOOKUP(A5309,Calendar!$A$1:$H$9997,6,FALSE)-F5309</f>
        <v/>
      </c>
      <c r="H5309" s="19" t="n">
        <v>3</v>
      </c>
      <c r="I5309" s="57" t="n">
        <v>7</v>
      </c>
    </row>
    <row r="5310">
      <c r="A5310" s="62" t="n">
        <v>47037</v>
      </c>
      <c r="B5310" s="3" t="inlineStr">
        <is>
          <t>Week</t>
        </is>
      </c>
      <c r="C5310" s="19" t="n">
        <v>10</v>
      </c>
      <c r="D5310" s="19" t="n">
        <v>2028</v>
      </c>
      <c r="E5310" s="57" t="n">
        <v>5</v>
      </c>
      <c r="F5310" s="29">
        <f>ROUND(((SUMIFS(Calendar!$F$2:$F$9997,Calendar!$B$2:$B$9997,D5310,Calendar!$C$2:$C$9997,C5310)*INDEX(ForeCalc!$B$37:$Y$274,MATCH(_xlfn.CONCAT(H5310," ",I5310),ForeCalc!$A$37:$A$274,0),MATCH(_xlfn.CONCAT(B5310," ",E5310),ForeCalc!$B$36:$Y$36,0))))*VLOOKUP(A5310,Calendar!$A$2:$H$9997,8,FALSE),0)</f>
        <v/>
      </c>
      <c r="G5310" s="29">
        <f>VLOOKUP(A5310,Calendar!$A$1:$H$9997,6,FALSE)-F5310</f>
        <v/>
      </c>
      <c r="H5310" s="19" t="n">
        <v>3</v>
      </c>
      <c r="I5310" s="57" t="n">
        <v>7</v>
      </c>
    </row>
    <row r="5311">
      <c r="A5311" s="62" t="n">
        <v>47038</v>
      </c>
      <c r="B5311" s="3" t="inlineStr">
        <is>
          <t>Week</t>
        </is>
      </c>
      <c r="C5311" s="19" t="n">
        <v>10</v>
      </c>
      <c r="D5311" s="19" t="n">
        <v>2028</v>
      </c>
      <c r="E5311" s="57" t="n">
        <v>5</v>
      </c>
      <c r="F5311" s="29">
        <f>ROUND(((SUMIFS(Calendar!$F$2:$F$9997,Calendar!$B$2:$B$9997,D5311,Calendar!$C$2:$C$9997,C5311)*INDEX(ForeCalc!$B$37:$Y$274,MATCH(_xlfn.CONCAT(H5311," ",I5311),ForeCalc!$A$37:$A$274,0),MATCH(_xlfn.CONCAT(B5311," ",E5311),ForeCalc!$B$36:$Y$36,0))))*VLOOKUP(A5311,Calendar!$A$2:$H$9997,8,FALSE),0)</f>
        <v/>
      </c>
      <c r="G5311" s="29">
        <f>VLOOKUP(A5311,Calendar!$A$1:$H$9997,6,FALSE)-F5311</f>
        <v/>
      </c>
      <c r="H5311" s="19" t="n">
        <v>3</v>
      </c>
      <c r="I5311" s="57" t="n">
        <v>7</v>
      </c>
    </row>
    <row r="5312">
      <c r="A5312" s="62" t="n">
        <v>47039</v>
      </c>
      <c r="B5312" s="3" t="inlineStr">
        <is>
          <t>Week</t>
        </is>
      </c>
      <c r="C5312" s="19" t="n">
        <v>10</v>
      </c>
      <c r="D5312" s="19" t="n">
        <v>2028</v>
      </c>
      <c r="E5312" s="57" t="n">
        <v>5</v>
      </c>
      <c r="F5312" s="29">
        <f>ROUND(((SUMIFS(Calendar!$F$2:$F$9997,Calendar!$B$2:$B$9997,D5312,Calendar!$C$2:$C$9997,C5312)*INDEX(ForeCalc!$B$37:$Y$274,MATCH(_xlfn.CONCAT(H5312," ",I5312),ForeCalc!$A$37:$A$274,0),MATCH(_xlfn.CONCAT(B5312," ",E5312),ForeCalc!$B$36:$Y$36,0))))*VLOOKUP(A5312,Calendar!$A$2:$H$9997,8,FALSE),0)</f>
        <v/>
      </c>
      <c r="G5312" s="29">
        <f>VLOOKUP(A5312,Calendar!$A$1:$H$9997,6,FALSE)-F5312</f>
        <v/>
      </c>
      <c r="H5312" s="19" t="n">
        <v>3</v>
      </c>
      <c r="I5312" s="57" t="n">
        <v>7</v>
      </c>
    </row>
    <row r="5313">
      <c r="A5313" s="62" t="n">
        <v>47040</v>
      </c>
      <c r="B5313" s="3" t="inlineStr">
        <is>
          <t>Sat</t>
        </is>
      </c>
      <c r="C5313" s="19" t="n">
        <v>10</v>
      </c>
      <c r="D5313" s="19" t="n">
        <v>2028</v>
      </c>
      <c r="E5313" s="57" t="n">
        <v>5</v>
      </c>
      <c r="F5313" s="29">
        <f>ROUND(((SUMIFS(Calendar!$F$2:$F$9997,Calendar!$B$2:$B$9997,D5313,Calendar!$C$2:$C$9997,C5313)*INDEX(ForeCalc!$B$37:$Y$274,MATCH(_xlfn.CONCAT(H5313," ",I5313),ForeCalc!$A$37:$A$274,0),MATCH(_xlfn.CONCAT(B5313," ",E5313),ForeCalc!$B$36:$Y$36,0))))*VLOOKUP(A5313,Calendar!$A$2:$H$9997,8,FALSE),0)</f>
        <v/>
      </c>
      <c r="G5313" s="29">
        <f>VLOOKUP(A5313,Calendar!$A$1:$H$9997,6,FALSE)-F5313</f>
        <v/>
      </c>
      <c r="H5313" s="19" t="n">
        <v>3</v>
      </c>
      <c r="I5313" s="57" t="n">
        <v>7</v>
      </c>
    </row>
    <row r="5314">
      <c r="A5314" s="62" t="n">
        <v>47041</v>
      </c>
      <c r="B5314" s="3" t="inlineStr">
        <is>
          <t>Sun</t>
        </is>
      </c>
      <c r="C5314" s="19" t="n">
        <v>10</v>
      </c>
      <c r="D5314" s="19" t="n">
        <v>2028</v>
      </c>
      <c r="E5314" s="57" t="n">
        <v>5</v>
      </c>
      <c r="F5314" s="29">
        <f>ROUND(((SUMIFS(Calendar!$F$2:$F$9997,Calendar!$B$2:$B$9997,D5314,Calendar!$C$2:$C$9997,C5314)*INDEX(ForeCalc!$B$37:$Y$274,MATCH(_xlfn.CONCAT(H5314," ",I5314),ForeCalc!$A$37:$A$274,0),MATCH(_xlfn.CONCAT(B5314," ",E5314),ForeCalc!$B$36:$Y$36,0))))*VLOOKUP(A5314,Calendar!$A$2:$H$9997,8,FALSE),0)</f>
        <v/>
      </c>
      <c r="G5314" s="29">
        <f>VLOOKUP(A5314,Calendar!$A$1:$H$9997,6,FALSE)-F5314</f>
        <v/>
      </c>
      <c r="H5314" s="19" t="n">
        <v>3</v>
      </c>
      <c r="I5314" s="57" t="n">
        <v>7</v>
      </c>
    </row>
    <row r="5315">
      <c r="A5315" s="62" t="n">
        <v>47042</v>
      </c>
      <c r="B5315" s="3" t="inlineStr">
        <is>
          <t>Week</t>
        </is>
      </c>
      <c r="C5315" s="19" t="n">
        <v>10</v>
      </c>
      <c r="D5315" s="19" t="n">
        <v>2028</v>
      </c>
      <c r="E5315" s="57" t="n">
        <v>5</v>
      </c>
      <c r="F5315" s="29">
        <f>ROUND(((SUMIFS(Calendar!$F$2:$F$9997,Calendar!$B$2:$B$9997,D5315,Calendar!$C$2:$C$9997,C5315)*INDEX(ForeCalc!$B$37:$Y$274,MATCH(_xlfn.CONCAT(H5315," ",I5315),ForeCalc!$A$37:$A$274,0),MATCH(_xlfn.CONCAT(B5315," ",E5315),ForeCalc!$B$36:$Y$36,0))))*VLOOKUP(A5315,Calendar!$A$2:$H$9997,8,FALSE),0)</f>
        <v/>
      </c>
      <c r="G5315" s="29">
        <f>VLOOKUP(A5315,Calendar!$A$1:$H$9997,6,FALSE)-F5315</f>
        <v/>
      </c>
      <c r="H5315" s="19" t="n">
        <v>3</v>
      </c>
      <c r="I5315" s="57" t="n">
        <v>7</v>
      </c>
    </row>
    <row r="5316">
      <c r="A5316" s="62" t="n">
        <v>47043</v>
      </c>
      <c r="B5316" s="3" t="inlineStr">
        <is>
          <t>Week</t>
        </is>
      </c>
      <c r="C5316" s="19" t="n">
        <v>10</v>
      </c>
      <c r="D5316" s="19" t="n">
        <v>2028</v>
      </c>
      <c r="E5316" s="57" t="n">
        <v>5</v>
      </c>
      <c r="F5316" s="29">
        <f>ROUND(((SUMIFS(Calendar!$F$2:$F$9997,Calendar!$B$2:$B$9997,D5316,Calendar!$C$2:$C$9997,C5316)*INDEX(ForeCalc!$B$37:$Y$274,MATCH(_xlfn.CONCAT(H5316," ",I5316),ForeCalc!$A$37:$A$274,0),MATCH(_xlfn.CONCAT(B5316," ",E5316),ForeCalc!$B$36:$Y$36,0))))*VLOOKUP(A5316,Calendar!$A$2:$H$9997,8,FALSE),0)</f>
        <v/>
      </c>
      <c r="G5316" s="29">
        <f>VLOOKUP(A5316,Calendar!$A$1:$H$9997,6,FALSE)-F5316</f>
        <v/>
      </c>
      <c r="H5316" s="19" t="n">
        <v>3</v>
      </c>
      <c r="I5316" s="57" t="n">
        <v>7</v>
      </c>
    </row>
    <row r="5317">
      <c r="A5317" s="62" t="n">
        <v>47044</v>
      </c>
      <c r="B5317" s="3" t="inlineStr">
        <is>
          <t>Week</t>
        </is>
      </c>
      <c r="C5317" s="19" t="n">
        <v>10</v>
      </c>
      <c r="D5317" s="19" t="n">
        <v>2028</v>
      </c>
      <c r="E5317" s="57" t="n">
        <v>5</v>
      </c>
      <c r="F5317" s="29">
        <f>ROUND(((SUMIFS(Calendar!$F$2:$F$9997,Calendar!$B$2:$B$9997,D5317,Calendar!$C$2:$C$9997,C5317)*INDEX(ForeCalc!$B$37:$Y$274,MATCH(_xlfn.CONCAT(H5317," ",I5317),ForeCalc!$A$37:$A$274,0),MATCH(_xlfn.CONCAT(B5317," ",E5317),ForeCalc!$B$36:$Y$36,0))))*VLOOKUP(A5317,Calendar!$A$2:$H$9997,8,FALSE),0)</f>
        <v/>
      </c>
      <c r="G5317" s="29">
        <f>VLOOKUP(A5317,Calendar!$A$1:$H$9997,6,FALSE)-F5317</f>
        <v/>
      </c>
      <c r="H5317" s="19" t="n">
        <v>3</v>
      </c>
      <c r="I5317" s="57" t="n">
        <v>7</v>
      </c>
    </row>
    <row r="5318">
      <c r="A5318" s="62" t="n">
        <v>47045</v>
      </c>
      <c r="B5318" s="3" t="inlineStr">
        <is>
          <t>Week</t>
        </is>
      </c>
      <c r="C5318" s="19" t="n">
        <v>10</v>
      </c>
      <c r="D5318" s="19" t="n">
        <v>2028</v>
      </c>
      <c r="E5318" s="57" t="n">
        <v>5</v>
      </c>
      <c r="F5318" s="29">
        <f>ROUND(((SUMIFS(Calendar!$F$2:$F$9997,Calendar!$B$2:$B$9997,D5318,Calendar!$C$2:$C$9997,C5318)*INDEX(ForeCalc!$B$37:$Y$274,MATCH(_xlfn.CONCAT(H5318," ",I5318),ForeCalc!$A$37:$A$274,0),MATCH(_xlfn.CONCAT(B5318," ",E5318),ForeCalc!$B$36:$Y$36,0))))*VLOOKUP(A5318,Calendar!$A$2:$H$9997,8,FALSE),0)</f>
        <v/>
      </c>
      <c r="G5318" s="29">
        <f>VLOOKUP(A5318,Calendar!$A$1:$H$9997,6,FALSE)-F5318</f>
        <v/>
      </c>
      <c r="H5318" s="19" t="n">
        <v>3</v>
      </c>
      <c r="I5318" s="57" t="n">
        <v>7</v>
      </c>
    </row>
    <row r="5319">
      <c r="A5319" s="62" t="n">
        <v>47046</v>
      </c>
      <c r="B5319" s="3" t="inlineStr">
        <is>
          <t>Week</t>
        </is>
      </c>
      <c r="C5319" s="19" t="n">
        <v>10</v>
      </c>
      <c r="D5319" s="19" t="n">
        <v>2028</v>
      </c>
      <c r="E5319" s="57" t="n">
        <v>5</v>
      </c>
      <c r="F5319" s="29">
        <f>ROUND(((SUMIFS(Calendar!$F$2:$F$9997,Calendar!$B$2:$B$9997,D5319,Calendar!$C$2:$C$9997,C5319)*INDEX(ForeCalc!$B$37:$Y$274,MATCH(_xlfn.CONCAT(H5319," ",I5319),ForeCalc!$A$37:$A$274,0),MATCH(_xlfn.CONCAT(B5319," ",E5319),ForeCalc!$B$36:$Y$36,0))))*VLOOKUP(A5319,Calendar!$A$2:$H$9997,8,FALSE),0)</f>
        <v/>
      </c>
      <c r="G5319" s="29">
        <f>VLOOKUP(A5319,Calendar!$A$1:$H$9997,6,FALSE)-F5319</f>
        <v/>
      </c>
      <c r="H5319" s="19" t="n">
        <v>3</v>
      </c>
      <c r="I5319" s="57" t="n">
        <v>7</v>
      </c>
    </row>
    <row r="5320">
      <c r="A5320" s="62" t="n">
        <v>47047</v>
      </c>
      <c r="B5320" s="3" t="inlineStr">
        <is>
          <t>Sat</t>
        </is>
      </c>
      <c r="C5320" s="19" t="n">
        <v>10</v>
      </c>
      <c r="D5320" s="19" t="n">
        <v>2028</v>
      </c>
      <c r="E5320" s="57" t="n">
        <v>5</v>
      </c>
      <c r="F5320" s="29">
        <f>ROUND(((SUMIFS(Calendar!$F$2:$F$9997,Calendar!$B$2:$B$9997,D5320,Calendar!$C$2:$C$9997,C5320)*INDEX(ForeCalc!$B$37:$Y$274,MATCH(_xlfn.CONCAT(H5320," ",I5320),ForeCalc!$A$37:$A$274,0),MATCH(_xlfn.CONCAT(B5320," ",E5320),ForeCalc!$B$36:$Y$36,0))))*VLOOKUP(A5320,Calendar!$A$2:$H$9997,8,FALSE),0)</f>
        <v/>
      </c>
      <c r="G5320" s="29">
        <f>VLOOKUP(A5320,Calendar!$A$1:$H$9997,6,FALSE)-F5320</f>
        <v/>
      </c>
      <c r="H5320" s="19" t="n">
        <v>3</v>
      </c>
      <c r="I5320" s="57" t="n">
        <v>7</v>
      </c>
    </row>
    <row r="5321">
      <c r="A5321" s="62" t="n">
        <v>47048</v>
      </c>
      <c r="B5321" s="3" t="inlineStr">
        <is>
          <t>Sun</t>
        </is>
      </c>
      <c r="C5321" s="19" t="n">
        <v>10</v>
      </c>
      <c r="D5321" s="19" t="n">
        <v>2028</v>
      </c>
      <c r="E5321" s="57" t="n">
        <v>5</v>
      </c>
      <c r="F5321" s="29">
        <f>ROUND(((SUMIFS(Calendar!$F$2:$F$9997,Calendar!$B$2:$B$9997,D5321,Calendar!$C$2:$C$9997,C5321)*INDEX(ForeCalc!$B$37:$Y$274,MATCH(_xlfn.CONCAT(H5321," ",I5321),ForeCalc!$A$37:$A$274,0),MATCH(_xlfn.CONCAT(B5321," ",E5321),ForeCalc!$B$36:$Y$36,0))))*VLOOKUP(A5321,Calendar!$A$2:$H$9997,8,FALSE),0)</f>
        <v/>
      </c>
      <c r="G5321" s="29">
        <f>VLOOKUP(A5321,Calendar!$A$1:$H$9997,6,FALSE)-F5321</f>
        <v/>
      </c>
      <c r="H5321" s="19" t="n">
        <v>3</v>
      </c>
      <c r="I5321" s="57" t="n">
        <v>7</v>
      </c>
    </row>
    <row r="5322">
      <c r="A5322" s="62" t="n">
        <v>47049</v>
      </c>
      <c r="B5322" s="3" t="inlineStr">
        <is>
          <t>Week</t>
        </is>
      </c>
      <c r="C5322" s="19" t="n">
        <v>10</v>
      </c>
      <c r="D5322" s="19" t="n">
        <v>2028</v>
      </c>
      <c r="E5322" s="57" t="n">
        <v>5</v>
      </c>
      <c r="F5322" s="29">
        <f>ROUND(((SUMIFS(Calendar!$F$2:$F$9997,Calendar!$B$2:$B$9997,D5322,Calendar!$C$2:$C$9997,C5322)*INDEX(ForeCalc!$B$37:$Y$274,MATCH(_xlfn.CONCAT(H5322," ",I5322),ForeCalc!$A$37:$A$274,0),MATCH(_xlfn.CONCAT(B5322," ",E5322),ForeCalc!$B$36:$Y$36,0))))*VLOOKUP(A5322,Calendar!$A$2:$H$9997,8,FALSE),0)</f>
        <v/>
      </c>
      <c r="G5322" s="29">
        <f>VLOOKUP(A5322,Calendar!$A$1:$H$9997,6,FALSE)-F5322</f>
        <v/>
      </c>
      <c r="H5322" s="19" t="n">
        <v>3</v>
      </c>
      <c r="I5322" s="57" t="n">
        <v>7</v>
      </c>
    </row>
    <row r="5323">
      <c r="A5323" s="62" t="n">
        <v>47050</v>
      </c>
      <c r="B5323" s="3" t="inlineStr">
        <is>
          <t>Week</t>
        </is>
      </c>
      <c r="C5323" s="19" t="n">
        <v>10</v>
      </c>
      <c r="D5323" s="19" t="n">
        <v>2028</v>
      </c>
      <c r="E5323" s="57" t="n">
        <v>5</v>
      </c>
      <c r="F5323" s="29">
        <f>ROUND(((SUMIFS(Calendar!$F$2:$F$9997,Calendar!$B$2:$B$9997,D5323,Calendar!$C$2:$C$9997,C5323)*INDEX(ForeCalc!$B$37:$Y$274,MATCH(_xlfn.CONCAT(H5323," ",I5323),ForeCalc!$A$37:$A$274,0),MATCH(_xlfn.CONCAT(B5323," ",E5323),ForeCalc!$B$36:$Y$36,0))))*VLOOKUP(A5323,Calendar!$A$2:$H$9997,8,FALSE),0)</f>
        <v/>
      </c>
      <c r="G5323" s="29">
        <f>VLOOKUP(A5323,Calendar!$A$1:$H$9997,6,FALSE)-F5323</f>
        <v/>
      </c>
      <c r="H5323" s="19" t="n">
        <v>3</v>
      </c>
      <c r="I5323" s="57" t="n">
        <v>7</v>
      </c>
    </row>
    <row r="5324">
      <c r="A5324" s="62" t="n">
        <v>47051</v>
      </c>
      <c r="B5324" s="3" t="inlineStr">
        <is>
          <t>Week</t>
        </is>
      </c>
      <c r="C5324" s="19" t="n">
        <v>10</v>
      </c>
      <c r="D5324" s="19" t="n">
        <v>2028</v>
      </c>
      <c r="E5324" s="57" t="n">
        <v>5</v>
      </c>
      <c r="F5324" s="29">
        <f>ROUND(((SUMIFS(Calendar!$F$2:$F$9997,Calendar!$B$2:$B$9997,D5324,Calendar!$C$2:$C$9997,C5324)*INDEX(ForeCalc!$B$37:$Y$274,MATCH(_xlfn.CONCAT(H5324," ",I5324),ForeCalc!$A$37:$A$274,0),MATCH(_xlfn.CONCAT(B5324," ",E5324),ForeCalc!$B$36:$Y$36,0))))*VLOOKUP(A5324,Calendar!$A$2:$H$9997,8,FALSE),0)</f>
        <v/>
      </c>
      <c r="G5324" s="29">
        <f>VLOOKUP(A5324,Calendar!$A$1:$H$9997,6,FALSE)-F5324</f>
        <v/>
      </c>
      <c r="H5324" s="19" t="n">
        <v>3</v>
      </c>
      <c r="I5324" s="57" t="n">
        <v>7</v>
      </c>
    </row>
    <row r="5325">
      <c r="A5325" s="62" t="n">
        <v>47052</v>
      </c>
      <c r="B5325" s="3" t="inlineStr">
        <is>
          <t>Week</t>
        </is>
      </c>
      <c r="C5325" s="19" t="n">
        <v>10</v>
      </c>
      <c r="D5325" s="19" t="n">
        <v>2028</v>
      </c>
      <c r="E5325" s="57" t="n">
        <v>5</v>
      </c>
      <c r="F5325" s="29">
        <f>ROUND(((SUMIFS(Calendar!$F$2:$F$9997,Calendar!$B$2:$B$9997,D5325,Calendar!$C$2:$C$9997,C5325)*INDEX(ForeCalc!$B$37:$Y$274,MATCH(_xlfn.CONCAT(H5325," ",I5325),ForeCalc!$A$37:$A$274,0),MATCH(_xlfn.CONCAT(B5325," ",E5325),ForeCalc!$B$36:$Y$36,0))))*VLOOKUP(A5325,Calendar!$A$2:$H$9997,8,FALSE),0)</f>
        <v/>
      </c>
      <c r="G5325" s="29">
        <f>VLOOKUP(A5325,Calendar!$A$1:$H$9997,6,FALSE)-F5325</f>
        <v/>
      </c>
      <c r="H5325" s="19" t="n">
        <v>3</v>
      </c>
      <c r="I5325" s="57" t="n">
        <v>7</v>
      </c>
    </row>
    <row r="5326">
      <c r="A5326" s="62" t="n">
        <v>47053</v>
      </c>
      <c r="B5326" s="3" t="inlineStr">
        <is>
          <t>Week</t>
        </is>
      </c>
      <c r="C5326" s="19" t="n">
        <v>10</v>
      </c>
      <c r="D5326" s="19" t="n">
        <v>2028</v>
      </c>
      <c r="E5326" s="57" t="n">
        <v>5</v>
      </c>
      <c r="F5326" s="29">
        <f>ROUND(((SUMIFS(Calendar!$F$2:$F$9997,Calendar!$B$2:$B$9997,D5326,Calendar!$C$2:$C$9997,C5326)*INDEX(ForeCalc!$B$37:$Y$274,MATCH(_xlfn.CONCAT(H5326," ",I5326),ForeCalc!$A$37:$A$274,0),MATCH(_xlfn.CONCAT(B5326," ",E5326),ForeCalc!$B$36:$Y$36,0))))*VLOOKUP(A5326,Calendar!$A$2:$H$9997,8,FALSE),0)</f>
        <v/>
      </c>
      <c r="G5326" s="29">
        <f>VLOOKUP(A5326,Calendar!$A$1:$H$9997,6,FALSE)-F5326</f>
        <v/>
      </c>
      <c r="H5326" s="19" t="n">
        <v>3</v>
      </c>
      <c r="I5326" s="57" t="n">
        <v>7</v>
      </c>
    </row>
    <row r="5327">
      <c r="A5327" s="62" t="n">
        <v>47054</v>
      </c>
      <c r="B5327" s="3" t="inlineStr">
        <is>
          <t>Sat</t>
        </is>
      </c>
      <c r="C5327" s="19" t="n">
        <v>10</v>
      </c>
      <c r="D5327" s="19" t="n">
        <v>2028</v>
      </c>
      <c r="E5327" s="57" t="n">
        <v>5</v>
      </c>
      <c r="F5327" s="29">
        <f>ROUND(((SUMIFS(Calendar!$F$2:$F$9997,Calendar!$B$2:$B$9997,D5327,Calendar!$C$2:$C$9997,C5327)*INDEX(ForeCalc!$B$37:$Y$274,MATCH(_xlfn.CONCAT(H5327," ",I5327),ForeCalc!$A$37:$A$274,0),MATCH(_xlfn.CONCAT(B5327," ",E5327),ForeCalc!$B$36:$Y$36,0))))*VLOOKUP(A5327,Calendar!$A$2:$H$9997,8,FALSE),0)</f>
        <v/>
      </c>
      <c r="G5327" s="29">
        <f>VLOOKUP(A5327,Calendar!$A$1:$H$9997,6,FALSE)-F5327</f>
        <v/>
      </c>
      <c r="H5327" s="19" t="n">
        <v>3</v>
      </c>
      <c r="I5327" s="57" t="n">
        <v>7</v>
      </c>
    </row>
    <row r="5328">
      <c r="A5328" s="62" t="n">
        <v>47055</v>
      </c>
      <c r="B5328" s="3" t="inlineStr">
        <is>
          <t>Sun</t>
        </is>
      </c>
      <c r="C5328" s="19" t="n">
        <v>10</v>
      </c>
      <c r="D5328" s="19" t="n">
        <v>2028</v>
      </c>
      <c r="E5328" s="57" t="n">
        <v>5</v>
      </c>
      <c r="F5328" s="29">
        <f>ROUND(((SUMIFS(Calendar!$F$2:$F$9997,Calendar!$B$2:$B$9997,D5328,Calendar!$C$2:$C$9997,C5328)*INDEX(ForeCalc!$B$37:$Y$274,MATCH(_xlfn.CONCAT(H5328," ",I5328),ForeCalc!$A$37:$A$274,0),MATCH(_xlfn.CONCAT(B5328," ",E5328),ForeCalc!$B$36:$Y$36,0))))*VLOOKUP(A5328,Calendar!$A$2:$H$9997,8,FALSE),0)</f>
        <v/>
      </c>
      <c r="G5328" s="29">
        <f>VLOOKUP(A5328,Calendar!$A$1:$H$9997,6,FALSE)-F5328</f>
        <v/>
      </c>
      <c r="H5328" s="19" t="n">
        <v>3</v>
      </c>
      <c r="I5328" s="57" t="n">
        <v>7</v>
      </c>
    </row>
    <row r="5329">
      <c r="A5329" s="62" t="n">
        <v>47056</v>
      </c>
      <c r="B5329" s="3" t="inlineStr">
        <is>
          <t>Week</t>
        </is>
      </c>
      <c r="C5329" s="19" t="n">
        <v>10</v>
      </c>
      <c r="D5329" s="19" t="n">
        <v>2028</v>
      </c>
      <c r="E5329" s="57" t="n">
        <v>5</v>
      </c>
      <c r="F5329" s="29">
        <f>ROUND(((SUMIFS(Calendar!$F$2:$F$9997,Calendar!$B$2:$B$9997,D5329,Calendar!$C$2:$C$9997,C5329)*INDEX(ForeCalc!$B$37:$Y$274,MATCH(_xlfn.CONCAT(H5329," ",I5329),ForeCalc!$A$37:$A$274,0),MATCH(_xlfn.CONCAT(B5329," ",E5329),ForeCalc!$B$36:$Y$36,0))))*VLOOKUP(A5329,Calendar!$A$2:$H$9997,8,FALSE),0)</f>
        <v/>
      </c>
      <c r="G5329" s="29">
        <f>VLOOKUP(A5329,Calendar!$A$1:$H$9997,6,FALSE)-F5329</f>
        <v/>
      </c>
      <c r="H5329" s="19" t="n">
        <v>3</v>
      </c>
      <c r="I5329" s="57" t="n">
        <v>7</v>
      </c>
    </row>
    <row r="5330">
      <c r="A5330" s="62" t="n">
        <v>47057</v>
      </c>
      <c r="B5330" s="3" t="inlineStr">
        <is>
          <t>Week</t>
        </is>
      </c>
      <c r="C5330" s="19" t="n">
        <v>10</v>
      </c>
      <c r="D5330" s="19" t="n">
        <v>2028</v>
      </c>
      <c r="E5330" s="57" t="n">
        <v>5</v>
      </c>
      <c r="F5330" s="29">
        <f>ROUND(((SUMIFS(Calendar!$F$2:$F$9997,Calendar!$B$2:$B$9997,D5330,Calendar!$C$2:$C$9997,C5330)*INDEX(ForeCalc!$B$37:$Y$274,MATCH(_xlfn.CONCAT(H5330," ",I5330),ForeCalc!$A$37:$A$274,0),MATCH(_xlfn.CONCAT(B5330," ",E5330),ForeCalc!$B$36:$Y$36,0))))*VLOOKUP(A5330,Calendar!$A$2:$H$9997,8,FALSE),0)</f>
        <v/>
      </c>
      <c r="G5330" s="29">
        <f>VLOOKUP(A5330,Calendar!$A$1:$H$9997,6,FALSE)-F5330</f>
        <v/>
      </c>
      <c r="H5330" s="19" t="n">
        <v>3</v>
      </c>
      <c r="I5330" s="57" t="n">
        <v>7</v>
      </c>
    </row>
    <row r="5331">
      <c r="A5331" s="62" t="n">
        <v>47058</v>
      </c>
      <c r="B5331" s="3" t="inlineStr">
        <is>
          <t>Week</t>
        </is>
      </c>
      <c r="C5331" s="19" t="n">
        <v>11</v>
      </c>
      <c r="D5331" s="19" t="n">
        <v>2028</v>
      </c>
      <c r="E5331" s="57" t="n">
        <v>5</v>
      </c>
      <c r="F5331" s="29">
        <f>ROUND(((SUMIFS(Calendar!$F$2:$F$9997,Calendar!$B$2:$B$9997,D5331,Calendar!$C$2:$C$9997,C5331)*INDEX(ForeCalc!$B$37:$Y$274,MATCH(_xlfn.CONCAT(H5331," ",I5331),ForeCalc!$A$37:$A$274,0),MATCH(_xlfn.CONCAT(B5331," ",E5331),ForeCalc!$B$36:$Y$36,0))))*VLOOKUP(A5331,Calendar!$A$2:$H$9997,8,FALSE),0)</f>
        <v/>
      </c>
      <c r="G5331" s="29">
        <f>VLOOKUP(A5331,Calendar!$A$1:$H$9997,6,FALSE)-F5331</f>
        <v/>
      </c>
      <c r="H5331" s="19" t="n">
        <v>3</v>
      </c>
      <c r="I5331" s="57" t="n">
        <v>8</v>
      </c>
    </row>
    <row r="5332">
      <c r="A5332" s="62" t="n">
        <v>47059</v>
      </c>
      <c r="B5332" s="3" t="inlineStr">
        <is>
          <t>Week</t>
        </is>
      </c>
      <c r="C5332" s="19" t="n">
        <v>11</v>
      </c>
      <c r="D5332" s="19" t="n">
        <v>2028</v>
      </c>
      <c r="E5332" s="57" t="n">
        <v>5</v>
      </c>
      <c r="F5332" s="29">
        <f>ROUND(((SUMIFS(Calendar!$F$2:$F$9997,Calendar!$B$2:$B$9997,D5332,Calendar!$C$2:$C$9997,C5332)*INDEX(ForeCalc!$B$37:$Y$274,MATCH(_xlfn.CONCAT(H5332," ",I5332),ForeCalc!$A$37:$A$274,0),MATCH(_xlfn.CONCAT(B5332," ",E5332),ForeCalc!$B$36:$Y$36,0))))*VLOOKUP(A5332,Calendar!$A$2:$H$9997,8,FALSE),0)</f>
        <v/>
      </c>
      <c r="G5332" s="29">
        <f>VLOOKUP(A5332,Calendar!$A$1:$H$9997,6,FALSE)-F5332</f>
        <v/>
      </c>
      <c r="H5332" s="19" t="n">
        <v>3</v>
      </c>
      <c r="I5332" s="57" t="n">
        <v>8</v>
      </c>
    </row>
    <row r="5333">
      <c r="A5333" s="62" t="n">
        <v>47060</v>
      </c>
      <c r="B5333" s="3" t="inlineStr">
        <is>
          <t>Week</t>
        </is>
      </c>
      <c r="C5333" s="19" t="n">
        <v>11</v>
      </c>
      <c r="D5333" s="19" t="n">
        <v>2028</v>
      </c>
      <c r="E5333" s="57" t="n">
        <v>5</v>
      </c>
      <c r="F5333" s="29">
        <f>ROUND(((SUMIFS(Calendar!$F$2:$F$9997,Calendar!$B$2:$B$9997,D5333,Calendar!$C$2:$C$9997,C5333)*INDEX(ForeCalc!$B$37:$Y$274,MATCH(_xlfn.CONCAT(H5333," ",I5333),ForeCalc!$A$37:$A$274,0),MATCH(_xlfn.CONCAT(B5333," ",E5333),ForeCalc!$B$36:$Y$36,0))))*VLOOKUP(A5333,Calendar!$A$2:$H$9997,8,FALSE),0)</f>
        <v/>
      </c>
      <c r="G5333" s="29">
        <f>VLOOKUP(A5333,Calendar!$A$1:$H$9997,6,FALSE)-F5333</f>
        <v/>
      </c>
      <c r="H5333" s="19" t="n">
        <v>3</v>
      </c>
      <c r="I5333" s="57" t="n">
        <v>8</v>
      </c>
    </row>
    <row r="5334">
      <c r="A5334" s="62" t="n">
        <v>47061</v>
      </c>
      <c r="B5334" s="3" t="inlineStr">
        <is>
          <t>Sat</t>
        </is>
      </c>
      <c r="C5334" s="19" t="n">
        <v>11</v>
      </c>
      <c r="D5334" s="19" t="n">
        <v>2028</v>
      </c>
      <c r="E5334" s="57" t="n">
        <v>5</v>
      </c>
      <c r="F5334" s="29">
        <f>ROUND(((SUMIFS(Calendar!$F$2:$F$9997,Calendar!$B$2:$B$9997,D5334,Calendar!$C$2:$C$9997,C5334)*INDEX(ForeCalc!$B$37:$Y$274,MATCH(_xlfn.CONCAT(H5334," ",I5334),ForeCalc!$A$37:$A$274,0),MATCH(_xlfn.CONCAT(B5334," ",E5334),ForeCalc!$B$36:$Y$36,0))))*VLOOKUP(A5334,Calendar!$A$2:$H$9997,8,FALSE),0)</f>
        <v/>
      </c>
      <c r="G5334" s="29">
        <f>VLOOKUP(A5334,Calendar!$A$1:$H$9997,6,FALSE)-F5334</f>
        <v/>
      </c>
      <c r="H5334" s="19" t="n">
        <v>3</v>
      </c>
      <c r="I5334" s="57" t="n">
        <v>8</v>
      </c>
    </row>
    <row r="5335">
      <c r="A5335" s="62" t="n">
        <v>47062</v>
      </c>
      <c r="B5335" s="3" t="inlineStr">
        <is>
          <t>Sun</t>
        </is>
      </c>
      <c r="C5335" s="19" t="n">
        <v>11</v>
      </c>
      <c r="D5335" s="19" t="n">
        <v>2028</v>
      </c>
      <c r="E5335" s="57" t="n">
        <v>5</v>
      </c>
      <c r="F5335" s="29">
        <f>ROUND(((SUMIFS(Calendar!$F$2:$F$9997,Calendar!$B$2:$B$9997,D5335,Calendar!$C$2:$C$9997,C5335)*INDEX(ForeCalc!$B$37:$Y$274,MATCH(_xlfn.CONCAT(H5335," ",I5335),ForeCalc!$A$37:$A$274,0),MATCH(_xlfn.CONCAT(B5335," ",E5335),ForeCalc!$B$36:$Y$36,0))))*VLOOKUP(A5335,Calendar!$A$2:$H$9997,8,FALSE),0)</f>
        <v/>
      </c>
      <c r="G5335" s="29">
        <f>VLOOKUP(A5335,Calendar!$A$1:$H$9997,6,FALSE)-F5335</f>
        <v/>
      </c>
      <c r="H5335" s="19" t="n">
        <v>3</v>
      </c>
      <c r="I5335" s="57" t="n">
        <v>8</v>
      </c>
    </row>
    <row r="5336">
      <c r="A5336" s="62" t="n">
        <v>47063</v>
      </c>
      <c r="B5336" s="3" t="inlineStr">
        <is>
          <t>Week</t>
        </is>
      </c>
      <c r="C5336" s="19" t="n">
        <v>11</v>
      </c>
      <c r="D5336" s="19" t="n">
        <v>2028</v>
      </c>
      <c r="E5336" s="57" t="n">
        <v>5</v>
      </c>
      <c r="F5336" s="29">
        <f>ROUND(((SUMIFS(Calendar!$F$2:$F$9997,Calendar!$B$2:$B$9997,D5336,Calendar!$C$2:$C$9997,C5336)*INDEX(ForeCalc!$B$37:$Y$274,MATCH(_xlfn.CONCAT(H5336," ",I5336),ForeCalc!$A$37:$A$274,0),MATCH(_xlfn.CONCAT(B5336," ",E5336),ForeCalc!$B$36:$Y$36,0))))*VLOOKUP(A5336,Calendar!$A$2:$H$9997,8,FALSE),0)</f>
        <v/>
      </c>
      <c r="G5336" s="29">
        <f>VLOOKUP(A5336,Calendar!$A$1:$H$9997,6,FALSE)-F5336</f>
        <v/>
      </c>
      <c r="H5336" s="19" t="n">
        <v>3</v>
      </c>
      <c r="I5336" s="57" t="n">
        <v>8</v>
      </c>
    </row>
    <row r="5337">
      <c r="A5337" s="62" t="n">
        <v>47064</v>
      </c>
      <c r="B5337" s="3" t="inlineStr">
        <is>
          <t>Week</t>
        </is>
      </c>
      <c r="C5337" s="19" t="n">
        <v>11</v>
      </c>
      <c r="D5337" s="19" t="n">
        <v>2028</v>
      </c>
      <c r="E5337" s="57" t="n">
        <v>5</v>
      </c>
      <c r="F5337" s="29">
        <f>ROUND(((SUMIFS(Calendar!$F$2:$F$9997,Calendar!$B$2:$B$9997,D5337,Calendar!$C$2:$C$9997,C5337)*INDEX(ForeCalc!$B$37:$Y$274,MATCH(_xlfn.CONCAT(H5337," ",I5337),ForeCalc!$A$37:$A$274,0),MATCH(_xlfn.CONCAT(B5337," ",E5337),ForeCalc!$B$36:$Y$36,0))))*VLOOKUP(A5337,Calendar!$A$2:$H$9997,8,FALSE),0)</f>
        <v/>
      </c>
      <c r="G5337" s="29">
        <f>VLOOKUP(A5337,Calendar!$A$1:$H$9997,6,FALSE)-F5337</f>
        <v/>
      </c>
      <c r="H5337" s="19" t="n">
        <v>3</v>
      </c>
      <c r="I5337" s="57" t="n">
        <v>8</v>
      </c>
    </row>
    <row r="5338">
      <c r="A5338" s="62" t="n">
        <v>47065</v>
      </c>
      <c r="B5338" s="3" t="inlineStr">
        <is>
          <t>Week</t>
        </is>
      </c>
      <c r="C5338" s="19" t="n">
        <v>11</v>
      </c>
      <c r="D5338" s="19" t="n">
        <v>2028</v>
      </c>
      <c r="E5338" s="57" t="n">
        <v>5</v>
      </c>
      <c r="F5338" s="29">
        <f>ROUND(((SUMIFS(Calendar!$F$2:$F$9997,Calendar!$B$2:$B$9997,D5338,Calendar!$C$2:$C$9997,C5338)*INDEX(ForeCalc!$B$37:$Y$274,MATCH(_xlfn.CONCAT(H5338," ",I5338),ForeCalc!$A$37:$A$274,0),MATCH(_xlfn.CONCAT(B5338," ",E5338),ForeCalc!$B$36:$Y$36,0))))*VLOOKUP(A5338,Calendar!$A$2:$H$9997,8,FALSE),0)</f>
        <v/>
      </c>
      <c r="G5338" s="29">
        <f>VLOOKUP(A5338,Calendar!$A$1:$H$9997,6,FALSE)-F5338</f>
        <v/>
      </c>
      <c r="H5338" s="19" t="n">
        <v>3</v>
      </c>
      <c r="I5338" s="57" t="n">
        <v>8</v>
      </c>
    </row>
    <row r="5339">
      <c r="A5339" s="62" t="n">
        <v>47066</v>
      </c>
      <c r="B5339" s="3" t="inlineStr">
        <is>
          <t>Week</t>
        </is>
      </c>
      <c r="C5339" s="19" t="n">
        <v>11</v>
      </c>
      <c r="D5339" s="19" t="n">
        <v>2028</v>
      </c>
      <c r="E5339" s="57" t="n">
        <v>5</v>
      </c>
      <c r="F5339" s="29">
        <f>ROUND(((SUMIFS(Calendar!$F$2:$F$9997,Calendar!$B$2:$B$9997,D5339,Calendar!$C$2:$C$9997,C5339)*INDEX(ForeCalc!$B$37:$Y$274,MATCH(_xlfn.CONCAT(H5339," ",I5339),ForeCalc!$A$37:$A$274,0),MATCH(_xlfn.CONCAT(B5339," ",E5339),ForeCalc!$B$36:$Y$36,0))))*VLOOKUP(A5339,Calendar!$A$2:$H$9997,8,FALSE),0)</f>
        <v/>
      </c>
      <c r="G5339" s="29">
        <f>VLOOKUP(A5339,Calendar!$A$1:$H$9997,6,FALSE)-F5339</f>
        <v/>
      </c>
      <c r="H5339" s="19" t="n">
        <v>3</v>
      </c>
      <c r="I5339" s="57" t="n">
        <v>8</v>
      </c>
    </row>
    <row r="5340">
      <c r="A5340" s="62" t="n">
        <v>47067</v>
      </c>
      <c r="B5340" s="3" t="inlineStr">
        <is>
          <t>Week</t>
        </is>
      </c>
      <c r="C5340" s="19" t="n">
        <v>11</v>
      </c>
      <c r="D5340" s="19" t="n">
        <v>2028</v>
      </c>
      <c r="E5340" s="57" t="n">
        <v>5</v>
      </c>
      <c r="F5340" s="29">
        <f>ROUND(((SUMIFS(Calendar!$F$2:$F$9997,Calendar!$B$2:$B$9997,D5340,Calendar!$C$2:$C$9997,C5340)*INDEX(ForeCalc!$B$37:$Y$274,MATCH(_xlfn.CONCAT(H5340," ",I5340),ForeCalc!$A$37:$A$274,0),MATCH(_xlfn.CONCAT(B5340," ",E5340),ForeCalc!$B$36:$Y$36,0))))*VLOOKUP(A5340,Calendar!$A$2:$H$9997,8,FALSE),0)</f>
        <v/>
      </c>
      <c r="G5340" s="29">
        <f>VLOOKUP(A5340,Calendar!$A$1:$H$9997,6,FALSE)-F5340</f>
        <v/>
      </c>
      <c r="H5340" s="19" t="n">
        <v>3</v>
      </c>
      <c r="I5340" s="57" t="n">
        <v>8</v>
      </c>
    </row>
    <row r="5341">
      <c r="A5341" s="62" t="n">
        <v>47068</v>
      </c>
      <c r="B5341" s="3" t="inlineStr">
        <is>
          <t>Sat</t>
        </is>
      </c>
      <c r="C5341" s="19" t="n">
        <v>11</v>
      </c>
      <c r="D5341" s="19" t="n">
        <v>2028</v>
      </c>
      <c r="E5341" s="57" t="n">
        <v>5</v>
      </c>
      <c r="F5341" s="29">
        <f>ROUND(((SUMIFS(Calendar!$F$2:$F$9997,Calendar!$B$2:$B$9997,D5341,Calendar!$C$2:$C$9997,C5341)*INDEX(ForeCalc!$B$37:$Y$274,MATCH(_xlfn.CONCAT(H5341," ",I5341),ForeCalc!$A$37:$A$274,0),MATCH(_xlfn.CONCAT(B5341," ",E5341),ForeCalc!$B$36:$Y$36,0))))*VLOOKUP(A5341,Calendar!$A$2:$H$9997,8,FALSE),0)</f>
        <v/>
      </c>
      <c r="G5341" s="29">
        <f>VLOOKUP(A5341,Calendar!$A$1:$H$9997,6,FALSE)-F5341</f>
        <v/>
      </c>
      <c r="H5341" s="19" t="n">
        <v>3</v>
      </c>
      <c r="I5341" s="57" t="n">
        <v>8</v>
      </c>
    </row>
    <row r="5342">
      <c r="A5342" s="62" t="n">
        <v>47069</v>
      </c>
      <c r="B5342" s="3" t="inlineStr">
        <is>
          <t>Sun</t>
        </is>
      </c>
      <c r="C5342" s="19" t="n">
        <v>11</v>
      </c>
      <c r="D5342" s="19" t="n">
        <v>2028</v>
      </c>
      <c r="E5342" s="57" t="n">
        <v>5</v>
      </c>
      <c r="F5342" s="29">
        <f>ROUND(((SUMIFS(Calendar!$F$2:$F$9997,Calendar!$B$2:$B$9997,D5342,Calendar!$C$2:$C$9997,C5342)*INDEX(ForeCalc!$B$37:$Y$274,MATCH(_xlfn.CONCAT(H5342," ",I5342),ForeCalc!$A$37:$A$274,0),MATCH(_xlfn.CONCAT(B5342," ",E5342),ForeCalc!$B$36:$Y$36,0))))*VLOOKUP(A5342,Calendar!$A$2:$H$9997,8,FALSE),0)</f>
        <v/>
      </c>
      <c r="G5342" s="29">
        <f>VLOOKUP(A5342,Calendar!$A$1:$H$9997,6,FALSE)-F5342</f>
        <v/>
      </c>
      <c r="H5342" s="19" t="n">
        <v>3</v>
      </c>
      <c r="I5342" s="57" t="n">
        <v>8</v>
      </c>
    </row>
    <row r="5343">
      <c r="A5343" s="62" t="n">
        <v>47070</v>
      </c>
      <c r="B5343" s="3" t="inlineStr">
        <is>
          <t>Week</t>
        </is>
      </c>
      <c r="C5343" s="19" t="n">
        <v>11</v>
      </c>
      <c r="D5343" s="19" t="n">
        <v>2028</v>
      </c>
      <c r="E5343" s="57" t="n">
        <v>5</v>
      </c>
      <c r="F5343" s="29">
        <f>ROUND(((SUMIFS(Calendar!$F$2:$F$9997,Calendar!$B$2:$B$9997,D5343,Calendar!$C$2:$C$9997,C5343)*INDEX(ForeCalc!$B$37:$Y$274,MATCH(_xlfn.CONCAT(H5343," ",I5343),ForeCalc!$A$37:$A$274,0),MATCH(_xlfn.CONCAT(B5343," ",E5343),ForeCalc!$B$36:$Y$36,0))))*VLOOKUP(A5343,Calendar!$A$2:$H$9997,8,FALSE),0)</f>
        <v/>
      </c>
      <c r="G5343" s="29">
        <f>VLOOKUP(A5343,Calendar!$A$1:$H$9997,6,FALSE)-F5343</f>
        <v/>
      </c>
      <c r="H5343" s="19" t="n">
        <v>3</v>
      </c>
      <c r="I5343" s="57" t="n">
        <v>8</v>
      </c>
    </row>
    <row r="5344">
      <c r="A5344" s="62" t="n">
        <v>47071</v>
      </c>
      <c r="B5344" s="3" t="inlineStr">
        <is>
          <t>Week</t>
        </is>
      </c>
      <c r="C5344" s="19" t="n">
        <v>11</v>
      </c>
      <c r="D5344" s="19" t="n">
        <v>2028</v>
      </c>
      <c r="E5344" s="57" t="n">
        <v>5</v>
      </c>
      <c r="F5344" s="29">
        <f>ROUND(((SUMIFS(Calendar!$F$2:$F$9997,Calendar!$B$2:$B$9997,D5344,Calendar!$C$2:$C$9997,C5344)*INDEX(ForeCalc!$B$37:$Y$274,MATCH(_xlfn.CONCAT(H5344," ",I5344),ForeCalc!$A$37:$A$274,0),MATCH(_xlfn.CONCAT(B5344," ",E5344),ForeCalc!$B$36:$Y$36,0))))*VLOOKUP(A5344,Calendar!$A$2:$H$9997,8,FALSE),0)</f>
        <v/>
      </c>
      <c r="G5344" s="29">
        <f>VLOOKUP(A5344,Calendar!$A$1:$H$9997,6,FALSE)-F5344</f>
        <v/>
      </c>
      <c r="H5344" s="19" t="n">
        <v>3</v>
      </c>
      <c r="I5344" s="57" t="n">
        <v>8</v>
      </c>
    </row>
    <row r="5345">
      <c r="A5345" s="62" t="n">
        <v>47072</v>
      </c>
      <c r="B5345" s="3" t="inlineStr">
        <is>
          <t>Week</t>
        </is>
      </c>
      <c r="C5345" s="19" t="n">
        <v>11</v>
      </c>
      <c r="D5345" s="19" t="n">
        <v>2028</v>
      </c>
      <c r="E5345" s="57" t="n">
        <v>5</v>
      </c>
      <c r="F5345" s="29">
        <f>ROUND(((SUMIFS(Calendar!$F$2:$F$9997,Calendar!$B$2:$B$9997,D5345,Calendar!$C$2:$C$9997,C5345)*INDEX(ForeCalc!$B$37:$Y$274,MATCH(_xlfn.CONCAT(H5345," ",I5345),ForeCalc!$A$37:$A$274,0),MATCH(_xlfn.CONCAT(B5345," ",E5345),ForeCalc!$B$36:$Y$36,0))))*VLOOKUP(A5345,Calendar!$A$2:$H$9997,8,FALSE),0)</f>
        <v/>
      </c>
      <c r="G5345" s="29">
        <f>VLOOKUP(A5345,Calendar!$A$1:$H$9997,6,FALSE)-F5345</f>
        <v/>
      </c>
      <c r="H5345" s="19" t="n">
        <v>3</v>
      </c>
      <c r="I5345" s="57" t="n">
        <v>8</v>
      </c>
    </row>
    <row r="5346">
      <c r="A5346" s="62" t="n">
        <v>47073</v>
      </c>
      <c r="B5346" s="3" t="inlineStr">
        <is>
          <t>Week</t>
        </is>
      </c>
      <c r="C5346" s="19" t="n">
        <v>11</v>
      </c>
      <c r="D5346" s="19" t="n">
        <v>2028</v>
      </c>
      <c r="E5346" s="57" t="n">
        <v>5</v>
      </c>
      <c r="F5346" s="29">
        <f>ROUND(((SUMIFS(Calendar!$F$2:$F$9997,Calendar!$B$2:$B$9997,D5346,Calendar!$C$2:$C$9997,C5346)*INDEX(ForeCalc!$B$37:$Y$274,MATCH(_xlfn.CONCAT(H5346," ",I5346),ForeCalc!$A$37:$A$274,0),MATCH(_xlfn.CONCAT(B5346," ",E5346),ForeCalc!$B$36:$Y$36,0))))*VLOOKUP(A5346,Calendar!$A$2:$H$9997,8,FALSE),0)</f>
        <v/>
      </c>
      <c r="G5346" s="29">
        <f>VLOOKUP(A5346,Calendar!$A$1:$H$9997,6,FALSE)-F5346</f>
        <v/>
      </c>
      <c r="H5346" s="19" t="n">
        <v>3</v>
      </c>
      <c r="I5346" s="57" t="n">
        <v>8</v>
      </c>
    </row>
    <row r="5347">
      <c r="A5347" s="62" t="n">
        <v>47074</v>
      </c>
      <c r="B5347" s="3" t="inlineStr">
        <is>
          <t>Week</t>
        </is>
      </c>
      <c r="C5347" s="19" t="n">
        <v>11</v>
      </c>
      <c r="D5347" s="19" t="n">
        <v>2028</v>
      </c>
      <c r="E5347" s="57" t="n">
        <v>5</v>
      </c>
      <c r="F5347" s="29">
        <f>ROUND(((SUMIFS(Calendar!$F$2:$F$9997,Calendar!$B$2:$B$9997,D5347,Calendar!$C$2:$C$9997,C5347)*INDEX(ForeCalc!$B$37:$Y$274,MATCH(_xlfn.CONCAT(H5347," ",I5347),ForeCalc!$A$37:$A$274,0),MATCH(_xlfn.CONCAT(B5347," ",E5347),ForeCalc!$B$36:$Y$36,0))))*VLOOKUP(A5347,Calendar!$A$2:$H$9997,8,FALSE),0)</f>
        <v/>
      </c>
      <c r="G5347" s="29">
        <f>VLOOKUP(A5347,Calendar!$A$1:$H$9997,6,FALSE)-F5347</f>
        <v/>
      </c>
      <c r="H5347" s="19" t="n">
        <v>3</v>
      </c>
      <c r="I5347" s="57" t="n">
        <v>8</v>
      </c>
    </row>
    <row r="5348">
      <c r="A5348" s="62" t="n">
        <v>47075</v>
      </c>
      <c r="B5348" s="3" t="inlineStr">
        <is>
          <t>Sat</t>
        </is>
      </c>
      <c r="C5348" s="19" t="n">
        <v>11</v>
      </c>
      <c r="D5348" s="19" t="n">
        <v>2028</v>
      </c>
      <c r="E5348" s="57" t="n">
        <v>5</v>
      </c>
      <c r="F5348" s="29">
        <f>ROUND(((SUMIFS(Calendar!$F$2:$F$9997,Calendar!$B$2:$B$9997,D5348,Calendar!$C$2:$C$9997,C5348)*INDEX(ForeCalc!$B$37:$Y$274,MATCH(_xlfn.CONCAT(H5348," ",I5348),ForeCalc!$A$37:$A$274,0),MATCH(_xlfn.CONCAT(B5348," ",E5348),ForeCalc!$B$36:$Y$36,0))))*VLOOKUP(A5348,Calendar!$A$2:$H$9997,8,FALSE),0)</f>
        <v/>
      </c>
      <c r="G5348" s="29">
        <f>VLOOKUP(A5348,Calendar!$A$1:$H$9997,6,FALSE)-F5348</f>
        <v/>
      </c>
      <c r="H5348" s="19" t="n">
        <v>3</v>
      </c>
      <c r="I5348" s="57" t="n">
        <v>8</v>
      </c>
    </row>
    <row r="5349">
      <c r="A5349" s="62" t="n">
        <v>47076</v>
      </c>
      <c r="B5349" s="3" t="inlineStr">
        <is>
          <t>Sun</t>
        </is>
      </c>
      <c r="C5349" s="19" t="n">
        <v>11</v>
      </c>
      <c r="D5349" s="19" t="n">
        <v>2028</v>
      </c>
      <c r="E5349" s="57" t="n">
        <v>5</v>
      </c>
      <c r="F5349" s="29">
        <f>ROUND(((SUMIFS(Calendar!$F$2:$F$9997,Calendar!$B$2:$B$9997,D5349,Calendar!$C$2:$C$9997,C5349)*INDEX(ForeCalc!$B$37:$Y$274,MATCH(_xlfn.CONCAT(H5349," ",I5349),ForeCalc!$A$37:$A$274,0),MATCH(_xlfn.CONCAT(B5349," ",E5349),ForeCalc!$B$36:$Y$36,0))))*VLOOKUP(A5349,Calendar!$A$2:$H$9997,8,FALSE),0)</f>
        <v/>
      </c>
      <c r="G5349" s="29">
        <f>VLOOKUP(A5349,Calendar!$A$1:$H$9997,6,FALSE)-F5349</f>
        <v/>
      </c>
      <c r="H5349" s="19" t="n">
        <v>3</v>
      </c>
      <c r="I5349" s="57" t="n">
        <v>8</v>
      </c>
    </row>
    <row r="5350">
      <c r="A5350" s="62" t="n">
        <v>47077</v>
      </c>
      <c r="B5350" s="3" t="inlineStr">
        <is>
          <t>Week</t>
        </is>
      </c>
      <c r="C5350" s="19" t="n">
        <v>11</v>
      </c>
      <c r="D5350" s="19" t="n">
        <v>2028</v>
      </c>
      <c r="E5350" s="57" t="n">
        <v>5</v>
      </c>
      <c r="F5350" s="29">
        <f>ROUND(((SUMIFS(Calendar!$F$2:$F$9997,Calendar!$B$2:$B$9997,D5350,Calendar!$C$2:$C$9997,C5350)*INDEX(ForeCalc!$B$37:$Y$274,MATCH(_xlfn.CONCAT(H5350," ",I5350),ForeCalc!$A$37:$A$274,0),MATCH(_xlfn.CONCAT(B5350," ",E5350),ForeCalc!$B$36:$Y$36,0))))*VLOOKUP(A5350,Calendar!$A$2:$H$9997,8,FALSE),0)</f>
        <v/>
      </c>
      <c r="G5350" s="29">
        <f>VLOOKUP(A5350,Calendar!$A$1:$H$9997,6,FALSE)-F5350</f>
        <v/>
      </c>
      <c r="H5350" s="19" t="n">
        <v>3</v>
      </c>
      <c r="I5350" s="57" t="n">
        <v>8</v>
      </c>
    </row>
    <row r="5351">
      <c r="A5351" s="62" t="n">
        <v>47078</v>
      </c>
      <c r="B5351" s="3" t="inlineStr">
        <is>
          <t>Week</t>
        </is>
      </c>
      <c r="C5351" s="19" t="n">
        <v>11</v>
      </c>
      <c r="D5351" s="19" t="n">
        <v>2028</v>
      </c>
      <c r="E5351" s="57" t="n">
        <v>5</v>
      </c>
      <c r="F5351" s="29">
        <f>ROUND(((SUMIFS(Calendar!$F$2:$F$9997,Calendar!$B$2:$B$9997,D5351,Calendar!$C$2:$C$9997,C5351)*INDEX(ForeCalc!$B$37:$Y$274,MATCH(_xlfn.CONCAT(H5351," ",I5351),ForeCalc!$A$37:$A$274,0),MATCH(_xlfn.CONCAT(B5351," ",E5351),ForeCalc!$B$36:$Y$36,0))))*VLOOKUP(A5351,Calendar!$A$2:$H$9997,8,FALSE),0)</f>
        <v/>
      </c>
      <c r="G5351" s="29">
        <f>VLOOKUP(A5351,Calendar!$A$1:$H$9997,6,FALSE)-F5351</f>
        <v/>
      </c>
      <c r="H5351" s="19" t="n">
        <v>3</v>
      </c>
      <c r="I5351" s="57" t="n">
        <v>8</v>
      </c>
    </row>
    <row r="5352">
      <c r="A5352" s="62" t="n">
        <v>47079</v>
      </c>
      <c r="B5352" s="3" t="inlineStr">
        <is>
          <t>Week</t>
        </is>
      </c>
      <c r="C5352" s="19" t="n">
        <v>11</v>
      </c>
      <c r="D5352" s="19" t="n">
        <v>2028</v>
      </c>
      <c r="E5352" s="57" t="n">
        <v>5</v>
      </c>
      <c r="F5352" s="29">
        <f>ROUND(((SUMIFS(Calendar!$F$2:$F$9997,Calendar!$B$2:$B$9997,D5352,Calendar!$C$2:$C$9997,C5352)*INDEX(ForeCalc!$B$37:$Y$274,MATCH(_xlfn.CONCAT(H5352," ",I5352),ForeCalc!$A$37:$A$274,0),MATCH(_xlfn.CONCAT(B5352," ",E5352),ForeCalc!$B$36:$Y$36,0))))*VLOOKUP(A5352,Calendar!$A$2:$H$9997,8,FALSE),0)</f>
        <v/>
      </c>
      <c r="G5352" s="29">
        <f>VLOOKUP(A5352,Calendar!$A$1:$H$9997,6,FALSE)-F5352</f>
        <v/>
      </c>
      <c r="H5352" s="19" t="n">
        <v>3</v>
      </c>
      <c r="I5352" s="57" t="n">
        <v>8</v>
      </c>
    </row>
    <row r="5353">
      <c r="A5353" s="62" t="n">
        <v>47080</v>
      </c>
      <c r="B5353" s="3" t="inlineStr">
        <is>
          <t>Week</t>
        </is>
      </c>
      <c r="C5353" s="19" t="n">
        <v>11</v>
      </c>
      <c r="D5353" s="19" t="n">
        <v>2028</v>
      </c>
      <c r="E5353" s="57" t="n">
        <v>5</v>
      </c>
      <c r="F5353" s="29">
        <f>ROUND(((SUMIFS(Calendar!$F$2:$F$9997,Calendar!$B$2:$B$9997,D5353,Calendar!$C$2:$C$9997,C5353)*INDEX(ForeCalc!$B$37:$Y$274,MATCH(_xlfn.CONCAT(H5353," ",I5353),ForeCalc!$A$37:$A$274,0),MATCH(_xlfn.CONCAT(B5353," ",E5353),ForeCalc!$B$36:$Y$36,0))))*VLOOKUP(A5353,Calendar!$A$2:$H$9997,8,FALSE),0)</f>
        <v/>
      </c>
      <c r="G5353" s="29">
        <f>VLOOKUP(A5353,Calendar!$A$1:$H$9997,6,FALSE)-F5353</f>
        <v/>
      </c>
      <c r="H5353" s="19" t="n">
        <v>3</v>
      </c>
      <c r="I5353" s="57" t="n">
        <v>8</v>
      </c>
    </row>
    <row r="5354">
      <c r="A5354" s="62" t="n">
        <v>47081</v>
      </c>
      <c r="B5354" s="3" t="inlineStr">
        <is>
          <t>Week</t>
        </is>
      </c>
      <c r="C5354" s="19" t="n">
        <v>11</v>
      </c>
      <c r="D5354" s="19" t="n">
        <v>2028</v>
      </c>
      <c r="E5354" s="57" t="n">
        <v>5</v>
      </c>
      <c r="F5354" s="29">
        <f>ROUND(((SUMIFS(Calendar!$F$2:$F$9997,Calendar!$B$2:$B$9997,D5354,Calendar!$C$2:$C$9997,C5354)*INDEX(ForeCalc!$B$37:$Y$274,MATCH(_xlfn.CONCAT(H5354," ",I5354),ForeCalc!$A$37:$A$274,0),MATCH(_xlfn.CONCAT(B5354," ",E5354),ForeCalc!$B$36:$Y$36,0))))*VLOOKUP(A5354,Calendar!$A$2:$H$9997,8,FALSE),0)</f>
        <v/>
      </c>
      <c r="G5354" s="29">
        <f>VLOOKUP(A5354,Calendar!$A$1:$H$9997,6,FALSE)-F5354</f>
        <v/>
      </c>
      <c r="H5354" s="19" t="n">
        <v>3</v>
      </c>
      <c r="I5354" s="57" t="n">
        <v>8</v>
      </c>
    </row>
    <row r="5355">
      <c r="A5355" s="62" t="n">
        <v>47082</v>
      </c>
      <c r="B5355" s="3" t="inlineStr">
        <is>
          <t>Sat</t>
        </is>
      </c>
      <c r="C5355" s="19" t="n">
        <v>11</v>
      </c>
      <c r="D5355" s="19" t="n">
        <v>2028</v>
      </c>
      <c r="E5355" s="57" t="n">
        <v>5</v>
      </c>
      <c r="F5355" s="29">
        <f>ROUND(((SUMIFS(Calendar!$F$2:$F$9997,Calendar!$B$2:$B$9997,D5355,Calendar!$C$2:$C$9997,C5355)*INDEX(ForeCalc!$B$37:$Y$274,MATCH(_xlfn.CONCAT(H5355," ",I5355),ForeCalc!$A$37:$A$274,0),MATCH(_xlfn.CONCAT(B5355," ",E5355),ForeCalc!$B$36:$Y$36,0))))*VLOOKUP(A5355,Calendar!$A$2:$H$9997,8,FALSE),0)</f>
        <v/>
      </c>
      <c r="G5355" s="29">
        <f>VLOOKUP(A5355,Calendar!$A$1:$H$9997,6,FALSE)-F5355</f>
        <v/>
      </c>
      <c r="H5355" s="19" t="n">
        <v>3</v>
      </c>
      <c r="I5355" s="57" t="n">
        <v>8</v>
      </c>
    </row>
    <row r="5356">
      <c r="A5356" s="62" t="n">
        <v>47083</v>
      </c>
      <c r="B5356" s="3" t="inlineStr">
        <is>
          <t>Sun</t>
        </is>
      </c>
      <c r="C5356" s="19" t="n">
        <v>11</v>
      </c>
      <c r="D5356" s="19" t="n">
        <v>2028</v>
      </c>
      <c r="E5356" s="57" t="n">
        <v>5</v>
      </c>
      <c r="F5356" s="29">
        <f>ROUND(((SUMIFS(Calendar!$F$2:$F$9997,Calendar!$B$2:$B$9997,D5356,Calendar!$C$2:$C$9997,C5356)*INDEX(ForeCalc!$B$37:$Y$274,MATCH(_xlfn.CONCAT(H5356," ",I5356),ForeCalc!$A$37:$A$274,0),MATCH(_xlfn.CONCAT(B5356," ",E5356),ForeCalc!$B$36:$Y$36,0))))*VLOOKUP(A5356,Calendar!$A$2:$H$9997,8,FALSE),0)</f>
        <v/>
      </c>
      <c r="G5356" s="29">
        <f>VLOOKUP(A5356,Calendar!$A$1:$H$9997,6,FALSE)-F5356</f>
        <v/>
      </c>
      <c r="H5356" s="19" t="n">
        <v>3</v>
      </c>
      <c r="I5356" s="57" t="n">
        <v>8</v>
      </c>
    </row>
    <row r="5357">
      <c r="A5357" s="62" t="n">
        <v>47084</v>
      </c>
      <c r="B5357" s="3" t="inlineStr">
        <is>
          <t>Week</t>
        </is>
      </c>
      <c r="C5357" s="19" t="n">
        <v>11</v>
      </c>
      <c r="D5357" s="19" t="n">
        <v>2028</v>
      </c>
      <c r="E5357" s="57" t="n">
        <v>5</v>
      </c>
      <c r="F5357" s="29">
        <f>ROUND(((SUMIFS(Calendar!$F$2:$F$9997,Calendar!$B$2:$B$9997,D5357,Calendar!$C$2:$C$9997,C5357)*INDEX(ForeCalc!$B$37:$Y$274,MATCH(_xlfn.CONCAT(H5357," ",I5357),ForeCalc!$A$37:$A$274,0),MATCH(_xlfn.CONCAT(B5357," ",E5357),ForeCalc!$B$36:$Y$36,0))))*VLOOKUP(A5357,Calendar!$A$2:$H$9997,8,FALSE),0)</f>
        <v/>
      </c>
      <c r="G5357" s="29">
        <f>VLOOKUP(A5357,Calendar!$A$1:$H$9997,6,FALSE)-F5357</f>
        <v/>
      </c>
      <c r="H5357" s="19" t="n">
        <v>3</v>
      </c>
      <c r="I5357" s="57" t="n">
        <v>8</v>
      </c>
    </row>
    <row r="5358">
      <c r="A5358" s="62" t="n">
        <v>47085</v>
      </c>
      <c r="B5358" s="3" t="inlineStr">
        <is>
          <t>Week</t>
        </is>
      </c>
      <c r="C5358" s="19" t="n">
        <v>11</v>
      </c>
      <c r="D5358" s="19" t="n">
        <v>2028</v>
      </c>
      <c r="E5358" s="57" t="n">
        <v>5</v>
      </c>
      <c r="F5358" s="29">
        <f>ROUND(((SUMIFS(Calendar!$F$2:$F$9997,Calendar!$B$2:$B$9997,D5358,Calendar!$C$2:$C$9997,C5358)*INDEX(ForeCalc!$B$37:$Y$274,MATCH(_xlfn.CONCAT(H5358," ",I5358),ForeCalc!$A$37:$A$274,0),MATCH(_xlfn.CONCAT(B5358," ",E5358),ForeCalc!$B$36:$Y$36,0))))*VLOOKUP(A5358,Calendar!$A$2:$H$9997,8,FALSE),0)</f>
        <v/>
      </c>
      <c r="G5358" s="29">
        <f>VLOOKUP(A5358,Calendar!$A$1:$H$9997,6,FALSE)-F5358</f>
        <v/>
      </c>
      <c r="H5358" s="19" t="n">
        <v>3</v>
      </c>
      <c r="I5358" s="57" t="n">
        <v>8</v>
      </c>
    </row>
    <row r="5359">
      <c r="A5359" s="62" t="n">
        <v>47086</v>
      </c>
      <c r="B5359" s="3" t="inlineStr">
        <is>
          <t>Week</t>
        </is>
      </c>
      <c r="C5359" s="19" t="n">
        <v>11</v>
      </c>
      <c r="D5359" s="19" t="n">
        <v>2028</v>
      </c>
      <c r="E5359" s="57" t="n">
        <v>5</v>
      </c>
      <c r="F5359" s="29">
        <f>ROUND(((SUMIFS(Calendar!$F$2:$F$9997,Calendar!$B$2:$B$9997,D5359,Calendar!$C$2:$C$9997,C5359)*INDEX(ForeCalc!$B$37:$Y$274,MATCH(_xlfn.CONCAT(H5359," ",I5359),ForeCalc!$A$37:$A$274,0),MATCH(_xlfn.CONCAT(B5359," ",E5359),ForeCalc!$B$36:$Y$36,0))))*VLOOKUP(A5359,Calendar!$A$2:$H$9997,8,FALSE),0)</f>
        <v/>
      </c>
      <c r="G5359" s="29">
        <f>VLOOKUP(A5359,Calendar!$A$1:$H$9997,6,FALSE)-F5359</f>
        <v/>
      </c>
      <c r="H5359" s="19" t="n">
        <v>3</v>
      </c>
      <c r="I5359" s="57" t="n">
        <v>8</v>
      </c>
    </row>
    <row r="5360">
      <c r="A5360" s="62" t="n">
        <v>47087</v>
      </c>
      <c r="B5360" s="3" t="inlineStr">
        <is>
          <t>Week</t>
        </is>
      </c>
      <c r="C5360" s="19" t="n">
        <v>11</v>
      </c>
      <c r="D5360" s="19" t="n">
        <v>2028</v>
      </c>
      <c r="E5360" s="57" t="n">
        <v>5</v>
      </c>
      <c r="F5360" s="29">
        <f>ROUND(((SUMIFS(Calendar!$F$2:$F$9997,Calendar!$B$2:$B$9997,D5360,Calendar!$C$2:$C$9997,C5360)*INDEX(ForeCalc!$B$37:$Y$274,MATCH(_xlfn.CONCAT(H5360," ",I5360),ForeCalc!$A$37:$A$274,0),MATCH(_xlfn.CONCAT(B5360," ",E5360),ForeCalc!$B$36:$Y$36,0))))*VLOOKUP(A5360,Calendar!$A$2:$H$9997,8,FALSE),0)</f>
        <v/>
      </c>
      <c r="G5360" s="29">
        <f>VLOOKUP(A5360,Calendar!$A$1:$H$9997,6,FALSE)-F5360</f>
        <v/>
      </c>
      <c r="H5360" s="19" t="n">
        <v>3</v>
      </c>
      <c r="I5360" s="57" t="n">
        <v>8</v>
      </c>
    </row>
    <row r="5361">
      <c r="A5361" s="62" t="n">
        <v>47088</v>
      </c>
      <c r="B5361" s="3" t="inlineStr">
        <is>
          <t>Week</t>
        </is>
      </c>
      <c r="C5361" s="19" t="n">
        <v>12</v>
      </c>
      <c r="D5361" s="19" t="n">
        <v>2028</v>
      </c>
      <c r="E5361" s="57" t="n">
        <v>5</v>
      </c>
      <c r="F5361" s="29">
        <f>ROUND(((SUMIFS(Calendar!$F$2:$F$9997,Calendar!$B$2:$B$9997,D5361,Calendar!$C$2:$C$9997,C5361)*INDEX(ForeCalc!$B$37:$Y$274,MATCH(_xlfn.CONCAT(H5361," ",I5361),ForeCalc!$A$37:$A$274,0),MATCH(_xlfn.CONCAT(B5361," ",E5361),ForeCalc!$B$36:$Y$36,0))))*VLOOKUP(A5361,Calendar!$A$2:$H$9997,8,FALSE),0)</f>
        <v/>
      </c>
      <c r="G5361" s="29">
        <f>VLOOKUP(A5361,Calendar!$A$1:$H$9997,6,FALSE)-F5361</f>
        <v/>
      </c>
      <c r="H5361" s="19" t="n">
        <v>3</v>
      </c>
      <c r="I5361" s="57" t="n">
        <v>9</v>
      </c>
    </row>
    <row r="5362">
      <c r="A5362" s="62" t="n">
        <v>47089</v>
      </c>
      <c r="B5362" s="3" t="inlineStr">
        <is>
          <t>Sat</t>
        </is>
      </c>
      <c r="C5362" s="19" t="n">
        <v>12</v>
      </c>
      <c r="D5362" s="19" t="n">
        <v>2028</v>
      </c>
      <c r="E5362" s="57" t="n">
        <v>5</v>
      </c>
      <c r="F5362" s="29">
        <f>ROUND(((SUMIFS(Calendar!$F$2:$F$9997,Calendar!$B$2:$B$9997,D5362,Calendar!$C$2:$C$9997,C5362)*INDEX(ForeCalc!$B$37:$Y$274,MATCH(_xlfn.CONCAT(H5362," ",I5362),ForeCalc!$A$37:$A$274,0),MATCH(_xlfn.CONCAT(B5362," ",E5362),ForeCalc!$B$36:$Y$36,0))))*VLOOKUP(A5362,Calendar!$A$2:$H$9997,8,FALSE),0)</f>
        <v/>
      </c>
      <c r="G5362" s="29">
        <f>VLOOKUP(A5362,Calendar!$A$1:$H$9997,6,FALSE)-F5362</f>
        <v/>
      </c>
      <c r="H5362" s="19" t="n">
        <v>3</v>
      </c>
      <c r="I5362" s="57" t="n">
        <v>9</v>
      </c>
    </row>
    <row r="5363">
      <c r="A5363" s="62" t="n">
        <v>47090</v>
      </c>
      <c r="B5363" s="3" t="inlineStr">
        <is>
          <t>Sun</t>
        </is>
      </c>
      <c r="C5363" s="19" t="n">
        <v>12</v>
      </c>
      <c r="D5363" s="19" t="n">
        <v>2028</v>
      </c>
      <c r="E5363" s="57" t="n">
        <v>5</v>
      </c>
      <c r="F5363" s="29">
        <f>ROUND(((SUMIFS(Calendar!$F$2:$F$9997,Calendar!$B$2:$B$9997,D5363,Calendar!$C$2:$C$9997,C5363)*INDEX(ForeCalc!$B$37:$Y$274,MATCH(_xlfn.CONCAT(H5363," ",I5363),ForeCalc!$A$37:$A$274,0),MATCH(_xlfn.CONCAT(B5363," ",E5363),ForeCalc!$B$36:$Y$36,0))))*VLOOKUP(A5363,Calendar!$A$2:$H$9997,8,FALSE),0)</f>
        <v/>
      </c>
      <c r="G5363" s="29">
        <f>VLOOKUP(A5363,Calendar!$A$1:$H$9997,6,FALSE)-F5363</f>
        <v/>
      </c>
      <c r="H5363" s="19" t="n">
        <v>3</v>
      </c>
      <c r="I5363" s="57" t="n">
        <v>9</v>
      </c>
    </row>
    <row r="5364">
      <c r="A5364" s="62" t="n">
        <v>47091</v>
      </c>
      <c r="B5364" s="3" t="inlineStr">
        <is>
          <t>Week</t>
        </is>
      </c>
      <c r="C5364" s="19" t="n">
        <v>12</v>
      </c>
      <c r="D5364" s="19" t="n">
        <v>2028</v>
      </c>
      <c r="E5364" s="57" t="n">
        <v>5</v>
      </c>
      <c r="F5364" s="29">
        <f>ROUND(((SUMIFS(Calendar!$F$2:$F$9997,Calendar!$B$2:$B$9997,D5364,Calendar!$C$2:$C$9997,C5364)*INDEX(ForeCalc!$B$37:$Y$274,MATCH(_xlfn.CONCAT(H5364," ",I5364),ForeCalc!$A$37:$A$274,0),MATCH(_xlfn.CONCAT(B5364," ",E5364),ForeCalc!$B$36:$Y$36,0))))*VLOOKUP(A5364,Calendar!$A$2:$H$9997,8,FALSE),0)</f>
        <v/>
      </c>
      <c r="G5364" s="29">
        <f>VLOOKUP(A5364,Calendar!$A$1:$H$9997,6,FALSE)-F5364</f>
        <v/>
      </c>
      <c r="H5364" s="19" t="n">
        <v>3</v>
      </c>
      <c r="I5364" s="57" t="n">
        <v>9</v>
      </c>
    </row>
    <row r="5365">
      <c r="A5365" s="62" t="n">
        <v>47092</v>
      </c>
      <c r="B5365" s="3" t="inlineStr">
        <is>
          <t>Week</t>
        </is>
      </c>
      <c r="C5365" s="19" t="n">
        <v>12</v>
      </c>
      <c r="D5365" s="19" t="n">
        <v>2028</v>
      </c>
      <c r="E5365" s="57" t="n">
        <v>5</v>
      </c>
      <c r="F5365" s="29">
        <f>ROUND(((SUMIFS(Calendar!$F$2:$F$9997,Calendar!$B$2:$B$9997,D5365,Calendar!$C$2:$C$9997,C5365)*INDEX(ForeCalc!$B$37:$Y$274,MATCH(_xlfn.CONCAT(H5365," ",I5365),ForeCalc!$A$37:$A$274,0),MATCH(_xlfn.CONCAT(B5365," ",E5365),ForeCalc!$B$36:$Y$36,0))))*VLOOKUP(A5365,Calendar!$A$2:$H$9997,8,FALSE),0)</f>
        <v/>
      </c>
      <c r="G5365" s="29">
        <f>VLOOKUP(A5365,Calendar!$A$1:$H$9997,6,FALSE)-F5365</f>
        <v/>
      </c>
      <c r="H5365" s="19" t="n">
        <v>3</v>
      </c>
      <c r="I5365" s="57" t="n">
        <v>9</v>
      </c>
    </row>
    <row r="5366">
      <c r="A5366" s="62" t="n">
        <v>47093</v>
      </c>
      <c r="B5366" s="3" t="inlineStr">
        <is>
          <t>Week</t>
        </is>
      </c>
      <c r="C5366" s="19" t="n">
        <v>12</v>
      </c>
      <c r="D5366" s="19" t="n">
        <v>2028</v>
      </c>
      <c r="E5366" s="57" t="n">
        <v>5</v>
      </c>
      <c r="F5366" s="29">
        <f>ROUND(((SUMIFS(Calendar!$F$2:$F$9997,Calendar!$B$2:$B$9997,D5366,Calendar!$C$2:$C$9997,C5366)*INDEX(ForeCalc!$B$37:$Y$274,MATCH(_xlfn.CONCAT(H5366," ",I5366),ForeCalc!$A$37:$A$274,0),MATCH(_xlfn.CONCAT(B5366," ",E5366),ForeCalc!$B$36:$Y$36,0))))*VLOOKUP(A5366,Calendar!$A$2:$H$9997,8,FALSE),0)</f>
        <v/>
      </c>
      <c r="G5366" s="29">
        <f>VLOOKUP(A5366,Calendar!$A$1:$H$9997,6,FALSE)-F5366</f>
        <v/>
      </c>
      <c r="H5366" s="19" t="n">
        <v>3</v>
      </c>
      <c r="I5366" s="57" t="n">
        <v>9</v>
      </c>
    </row>
    <row r="5367">
      <c r="A5367" s="62" t="n">
        <v>47094</v>
      </c>
      <c r="B5367" s="3" t="inlineStr">
        <is>
          <t>Week</t>
        </is>
      </c>
      <c r="C5367" s="19" t="n">
        <v>12</v>
      </c>
      <c r="D5367" s="19" t="n">
        <v>2028</v>
      </c>
      <c r="E5367" s="57" t="n">
        <v>5</v>
      </c>
      <c r="F5367" s="29">
        <f>ROUND(((SUMIFS(Calendar!$F$2:$F$9997,Calendar!$B$2:$B$9997,D5367,Calendar!$C$2:$C$9997,C5367)*INDEX(ForeCalc!$B$37:$Y$274,MATCH(_xlfn.CONCAT(H5367," ",I5367),ForeCalc!$A$37:$A$274,0),MATCH(_xlfn.CONCAT(B5367," ",E5367),ForeCalc!$B$36:$Y$36,0))))*VLOOKUP(A5367,Calendar!$A$2:$H$9997,8,FALSE),0)</f>
        <v/>
      </c>
      <c r="G5367" s="29">
        <f>VLOOKUP(A5367,Calendar!$A$1:$H$9997,6,FALSE)-F5367</f>
        <v/>
      </c>
      <c r="H5367" s="19" t="n">
        <v>3</v>
      </c>
      <c r="I5367" s="57" t="n">
        <v>9</v>
      </c>
    </row>
    <row r="5368">
      <c r="A5368" s="62" t="n">
        <v>47095</v>
      </c>
      <c r="B5368" s="3" t="inlineStr">
        <is>
          <t>Week</t>
        </is>
      </c>
      <c r="C5368" s="19" t="n">
        <v>12</v>
      </c>
      <c r="D5368" s="19" t="n">
        <v>2028</v>
      </c>
      <c r="E5368" s="57" t="n">
        <v>5</v>
      </c>
      <c r="F5368" s="29">
        <f>ROUND(((SUMIFS(Calendar!$F$2:$F$9997,Calendar!$B$2:$B$9997,D5368,Calendar!$C$2:$C$9997,C5368)*INDEX(ForeCalc!$B$37:$Y$274,MATCH(_xlfn.CONCAT(H5368," ",I5368),ForeCalc!$A$37:$A$274,0),MATCH(_xlfn.CONCAT(B5368," ",E5368),ForeCalc!$B$36:$Y$36,0))))*VLOOKUP(A5368,Calendar!$A$2:$H$9997,8,FALSE),0)</f>
        <v/>
      </c>
      <c r="G5368" s="29">
        <f>VLOOKUP(A5368,Calendar!$A$1:$H$9997,6,FALSE)-F5368</f>
        <v/>
      </c>
      <c r="H5368" s="19" t="n">
        <v>3</v>
      </c>
      <c r="I5368" s="57" t="n">
        <v>9</v>
      </c>
    </row>
    <row r="5369">
      <c r="A5369" s="62" t="n">
        <v>47096</v>
      </c>
      <c r="B5369" s="3" t="inlineStr">
        <is>
          <t>Sat</t>
        </is>
      </c>
      <c r="C5369" s="19" t="n">
        <v>12</v>
      </c>
      <c r="D5369" s="19" t="n">
        <v>2028</v>
      </c>
      <c r="E5369" s="57" t="n">
        <v>5</v>
      </c>
      <c r="F5369" s="29">
        <f>ROUND(((SUMIFS(Calendar!$F$2:$F$9997,Calendar!$B$2:$B$9997,D5369,Calendar!$C$2:$C$9997,C5369)*INDEX(ForeCalc!$B$37:$Y$274,MATCH(_xlfn.CONCAT(H5369," ",I5369),ForeCalc!$A$37:$A$274,0),MATCH(_xlfn.CONCAT(B5369," ",E5369),ForeCalc!$B$36:$Y$36,0))))*VLOOKUP(A5369,Calendar!$A$2:$H$9997,8,FALSE),0)</f>
        <v/>
      </c>
      <c r="G5369" s="29">
        <f>VLOOKUP(A5369,Calendar!$A$1:$H$9997,6,FALSE)-F5369</f>
        <v/>
      </c>
      <c r="H5369" s="19" t="n">
        <v>3</v>
      </c>
      <c r="I5369" s="57" t="n">
        <v>9</v>
      </c>
    </row>
    <row r="5370">
      <c r="A5370" s="62" t="n">
        <v>47097</v>
      </c>
      <c r="B5370" s="3" t="inlineStr">
        <is>
          <t>Sun</t>
        </is>
      </c>
      <c r="C5370" s="19" t="n">
        <v>12</v>
      </c>
      <c r="D5370" s="19" t="n">
        <v>2028</v>
      </c>
      <c r="E5370" s="57" t="n">
        <v>5</v>
      </c>
      <c r="F5370" s="29">
        <f>ROUND(((SUMIFS(Calendar!$F$2:$F$9997,Calendar!$B$2:$B$9997,D5370,Calendar!$C$2:$C$9997,C5370)*INDEX(ForeCalc!$B$37:$Y$274,MATCH(_xlfn.CONCAT(H5370," ",I5370),ForeCalc!$A$37:$A$274,0),MATCH(_xlfn.CONCAT(B5370," ",E5370),ForeCalc!$B$36:$Y$36,0))))*VLOOKUP(A5370,Calendar!$A$2:$H$9997,8,FALSE),0)</f>
        <v/>
      </c>
      <c r="G5370" s="29">
        <f>VLOOKUP(A5370,Calendar!$A$1:$H$9997,6,FALSE)-F5370</f>
        <v/>
      </c>
      <c r="H5370" s="19" t="n">
        <v>3</v>
      </c>
      <c r="I5370" s="57" t="n">
        <v>9</v>
      </c>
    </row>
    <row r="5371">
      <c r="A5371" s="62" t="n">
        <v>47098</v>
      </c>
      <c r="B5371" s="3" t="inlineStr">
        <is>
          <t>Week</t>
        </is>
      </c>
      <c r="C5371" s="19" t="n">
        <v>12</v>
      </c>
      <c r="D5371" s="19" t="n">
        <v>2028</v>
      </c>
      <c r="E5371" s="57" t="n">
        <v>5</v>
      </c>
      <c r="F5371" s="29">
        <f>ROUND(((SUMIFS(Calendar!$F$2:$F$9997,Calendar!$B$2:$B$9997,D5371,Calendar!$C$2:$C$9997,C5371)*INDEX(ForeCalc!$B$37:$Y$274,MATCH(_xlfn.CONCAT(H5371," ",I5371),ForeCalc!$A$37:$A$274,0),MATCH(_xlfn.CONCAT(B5371," ",E5371),ForeCalc!$B$36:$Y$36,0))))*VLOOKUP(A5371,Calendar!$A$2:$H$9997,8,FALSE),0)</f>
        <v/>
      </c>
      <c r="G5371" s="29">
        <f>VLOOKUP(A5371,Calendar!$A$1:$H$9997,6,FALSE)-F5371</f>
        <v/>
      </c>
      <c r="H5371" s="19" t="n">
        <v>3</v>
      </c>
      <c r="I5371" s="57" t="n">
        <v>9</v>
      </c>
    </row>
    <row r="5372">
      <c r="A5372" s="62" t="n">
        <v>47099</v>
      </c>
      <c r="B5372" s="3" t="inlineStr">
        <is>
          <t>Week</t>
        </is>
      </c>
      <c r="C5372" s="19" t="n">
        <v>12</v>
      </c>
      <c r="D5372" s="19" t="n">
        <v>2028</v>
      </c>
      <c r="E5372" s="57" t="n">
        <v>5</v>
      </c>
      <c r="F5372" s="29">
        <f>ROUND(((SUMIFS(Calendar!$F$2:$F$9997,Calendar!$B$2:$B$9997,D5372,Calendar!$C$2:$C$9997,C5372)*INDEX(ForeCalc!$B$37:$Y$274,MATCH(_xlfn.CONCAT(H5372," ",I5372),ForeCalc!$A$37:$A$274,0),MATCH(_xlfn.CONCAT(B5372," ",E5372),ForeCalc!$B$36:$Y$36,0))))*VLOOKUP(A5372,Calendar!$A$2:$H$9997,8,FALSE),0)</f>
        <v/>
      </c>
      <c r="G5372" s="29">
        <f>VLOOKUP(A5372,Calendar!$A$1:$H$9997,6,FALSE)-F5372</f>
        <v/>
      </c>
      <c r="H5372" s="19" t="n">
        <v>3</v>
      </c>
      <c r="I5372" s="57" t="n">
        <v>9</v>
      </c>
    </row>
    <row r="5373">
      <c r="A5373" s="62" t="n">
        <v>47100</v>
      </c>
      <c r="B5373" s="3" t="inlineStr">
        <is>
          <t>Week</t>
        </is>
      </c>
      <c r="C5373" s="19" t="n">
        <v>12</v>
      </c>
      <c r="D5373" s="19" t="n">
        <v>2028</v>
      </c>
      <c r="E5373" s="57" t="n">
        <v>5</v>
      </c>
      <c r="F5373" s="29">
        <f>ROUND(((SUMIFS(Calendar!$F$2:$F$9997,Calendar!$B$2:$B$9997,D5373,Calendar!$C$2:$C$9997,C5373)*INDEX(ForeCalc!$B$37:$Y$274,MATCH(_xlfn.CONCAT(H5373," ",I5373),ForeCalc!$A$37:$A$274,0),MATCH(_xlfn.CONCAT(B5373," ",E5373),ForeCalc!$B$36:$Y$36,0))))*VLOOKUP(A5373,Calendar!$A$2:$H$9997,8,FALSE),0)</f>
        <v/>
      </c>
      <c r="G5373" s="29">
        <f>VLOOKUP(A5373,Calendar!$A$1:$H$9997,6,FALSE)-F5373</f>
        <v/>
      </c>
      <c r="H5373" s="19" t="n">
        <v>3</v>
      </c>
      <c r="I5373" s="57" t="n">
        <v>9</v>
      </c>
    </row>
    <row r="5374">
      <c r="A5374" s="62" t="n">
        <v>47101</v>
      </c>
      <c r="B5374" s="3" t="inlineStr">
        <is>
          <t>Week</t>
        </is>
      </c>
      <c r="C5374" s="19" t="n">
        <v>12</v>
      </c>
      <c r="D5374" s="19" t="n">
        <v>2028</v>
      </c>
      <c r="E5374" s="57" t="n">
        <v>5</v>
      </c>
      <c r="F5374" s="29">
        <f>ROUND(((SUMIFS(Calendar!$F$2:$F$9997,Calendar!$B$2:$B$9997,D5374,Calendar!$C$2:$C$9997,C5374)*INDEX(ForeCalc!$B$37:$Y$274,MATCH(_xlfn.CONCAT(H5374," ",I5374),ForeCalc!$A$37:$A$274,0),MATCH(_xlfn.CONCAT(B5374," ",E5374),ForeCalc!$B$36:$Y$36,0))))*VLOOKUP(A5374,Calendar!$A$2:$H$9997,8,FALSE),0)</f>
        <v/>
      </c>
      <c r="G5374" s="29">
        <f>VLOOKUP(A5374,Calendar!$A$1:$H$9997,6,FALSE)-F5374</f>
        <v/>
      </c>
      <c r="H5374" s="19" t="n">
        <v>3</v>
      </c>
      <c r="I5374" s="57" t="n">
        <v>9</v>
      </c>
    </row>
    <row r="5375">
      <c r="A5375" s="62" t="n">
        <v>47102</v>
      </c>
      <c r="B5375" s="3" t="inlineStr">
        <is>
          <t>Week</t>
        </is>
      </c>
      <c r="C5375" s="19" t="n">
        <v>12</v>
      </c>
      <c r="D5375" s="19" t="n">
        <v>2028</v>
      </c>
      <c r="E5375" s="57" t="n">
        <v>5</v>
      </c>
      <c r="F5375" s="29">
        <f>ROUND(((SUMIFS(Calendar!$F$2:$F$9997,Calendar!$B$2:$B$9997,D5375,Calendar!$C$2:$C$9997,C5375)*INDEX(ForeCalc!$B$37:$Y$274,MATCH(_xlfn.CONCAT(H5375," ",I5375),ForeCalc!$A$37:$A$274,0),MATCH(_xlfn.CONCAT(B5375," ",E5375),ForeCalc!$B$36:$Y$36,0))))*VLOOKUP(A5375,Calendar!$A$2:$H$9997,8,FALSE),0)</f>
        <v/>
      </c>
      <c r="G5375" s="29">
        <f>VLOOKUP(A5375,Calendar!$A$1:$H$9997,6,FALSE)-F5375</f>
        <v/>
      </c>
      <c r="H5375" s="19" t="n">
        <v>3</v>
      </c>
      <c r="I5375" s="57" t="n">
        <v>9</v>
      </c>
    </row>
    <row r="5376">
      <c r="A5376" s="62" t="n">
        <v>47103</v>
      </c>
      <c r="B5376" s="3" t="inlineStr">
        <is>
          <t>Sat</t>
        </is>
      </c>
      <c r="C5376" s="19" t="n">
        <v>12</v>
      </c>
      <c r="D5376" s="19" t="n">
        <v>2028</v>
      </c>
      <c r="E5376" s="57" t="n">
        <v>5</v>
      </c>
      <c r="F5376" s="29">
        <f>ROUND(((SUMIFS(Calendar!$F$2:$F$9997,Calendar!$B$2:$B$9997,D5376,Calendar!$C$2:$C$9997,C5376)*INDEX(ForeCalc!$B$37:$Y$274,MATCH(_xlfn.CONCAT(H5376," ",I5376),ForeCalc!$A$37:$A$274,0),MATCH(_xlfn.CONCAT(B5376," ",E5376),ForeCalc!$B$36:$Y$36,0))))*VLOOKUP(A5376,Calendar!$A$2:$H$9997,8,FALSE),0)</f>
        <v/>
      </c>
      <c r="G5376" s="29">
        <f>VLOOKUP(A5376,Calendar!$A$1:$H$9997,6,FALSE)-F5376</f>
        <v/>
      </c>
      <c r="H5376" s="19" t="n">
        <v>3</v>
      </c>
      <c r="I5376" s="57" t="n">
        <v>9</v>
      </c>
    </row>
    <row r="5377">
      <c r="A5377" s="62" t="n">
        <v>47104</v>
      </c>
      <c r="B5377" s="3" t="inlineStr">
        <is>
          <t>Sun</t>
        </is>
      </c>
      <c r="C5377" s="19" t="n">
        <v>12</v>
      </c>
      <c r="D5377" s="19" t="n">
        <v>2028</v>
      </c>
      <c r="E5377" s="57" t="n">
        <v>5</v>
      </c>
      <c r="F5377" s="29">
        <f>ROUND(((SUMIFS(Calendar!$F$2:$F$9997,Calendar!$B$2:$B$9997,D5377,Calendar!$C$2:$C$9997,C5377)*INDEX(ForeCalc!$B$37:$Y$274,MATCH(_xlfn.CONCAT(H5377," ",I5377),ForeCalc!$A$37:$A$274,0),MATCH(_xlfn.CONCAT(B5377," ",E5377),ForeCalc!$B$36:$Y$36,0))))*VLOOKUP(A5377,Calendar!$A$2:$H$9997,8,FALSE),0)</f>
        <v/>
      </c>
      <c r="G5377" s="29">
        <f>VLOOKUP(A5377,Calendar!$A$1:$H$9997,6,FALSE)-F5377</f>
        <v/>
      </c>
      <c r="H5377" s="19" t="n">
        <v>3</v>
      </c>
      <c r="I5377" s="57" t="n">
        <v>9</v>
      </c>
    </row>
    <row r="5378">
      <c r="A5378" s="62" t="n">
        <v>47105</v>
      </c>
      <c r="B5378" s="3" t="inlineStr">
        <is>
          <t>Week</t>
        </is>
      </c>
      <c r="C5378" s="19" t="n">
        <v>12</v>
      </c>
      <c r="D5378" s="19" t="n">
        <v>2028</v>
      </c>
      <c r="E5378" s="57" t="n">
        <v>5</v>
      </c>
      <c r="F5378" s="29">
        <f>ROUND(((SUMIFS(Calendar!$F$2:$F$9997,Calendar!$B$2:$B$9997,D5378,Calendar!$C$2:$C$9997,C5378)*INDEX(ForeCalc!$B$37:$Y$274,MATCH(_xlfn.CONCAT(H5378," ",I5378),ForeCalc!$A$37:$A$274,0),MATCH(_xlfn.CONCAT(B5378," ",E5378),ForeCalc!$B$36:$Y$36,0))))*VLOOKUP(A5378,Calendar!$A$2:$H$9997,8,FALSE),0)</f>
        <v/>
      </c>
      <c r="G5378" s="29">
        <f>VLOOKUP(A5378,Calendar!$A$1:$H$9997,6,FALSE)-F5378</f>
        <v/>
      </c>
      <c r="H5378" s="19" t="n">
        <v>3</v>
      </c>
      <c r="I5378" s="57" t="n">
        <v>9</v>
      </c>
    </row>
    <row r="5379">
      <c r="A5379" s="62" t="n">
        <v>47106</v>
      </c>
      <c r="B5379" s="3" t="inlineStr">
        <is>
          <t>Week</t>
        </is>
      </c>
      <c r="C5379" s="19" t="n">
        <v>12</v>
      </c>
      <c r="D5379" s="19" t="n">
        <v>2028</v>
      </c>
      <c r="E5379" s="57" t="n">
        <v>5</v>
      </c>
      <c r="F5379" s="29">
        <f>ROUND(((SUMIFS(Calendar!$F$2:$F$9997,Calendar!$B$2:$B$9997,D5379,Calendar!$C$2:$C$9997,C5379)*INDEX(ForeCalc!$B$37:$Y$274,MATCH(_xlfn.CONCAT(H5379," ",I5379),ForeCalc!$A$37:$A$274,0),MATCH(_xlfn.CONCAT(B5379," ",E5379),ForeCalc!$B$36:$Y$36,0))))*VLOOKUP(A5379,Calendar!$A$2:$H$9997,8,FALSE),0)</f>
        <v/>
      </c>
      <c r="G5379" s="29">
        <f>VLOOKUP(A5379,Calendar!$A$1:$H$9997,6,FALSE)-F5379</f>
        <v/>
      </c>
      <c r="H5379" s="19" t="n">
        <v>3</v>
      </c>
      <c r="I5379" s="57" t="n">
        <v>9</v>
      </c>
    </row>
    <row r="5380">
      <c r="A5380" s="62" t="n">
        <v>47107</v>
      </c>
      <c r="B5380" s="3" t="inlineStr">
        <is>
          <t>Week</t>
        </is>
      </c>
      <c r="C5380" s="19" t="n">
        <v>12</v>
      </c>
      <c r="D5380" s="19" t="n">
        <v>2028</v>
      </c>
      <c r="E5380" s="57" t="n">
        <v>5</v>
      </c>
      <c r="F5380" s="29">
        <f>ROUND(((SUMIFS(Calendar!$F$2:$F$9997,Calendar!$B$2:$B$9997,D5380,Calendar!$C$2:$C$9997,C5380)*INDEX(ForeCalc!$B$37:$Y$274,MATCH(_xlfn.CONCAT(H5380," ",I5380),ForeCalc!$A$37:$A$274,0),MATCH(_xlfn.CONCAT(B5380," ",E5380),ForeCalc!$B$36:$Y$36,0))))*VLOOKUP(A5380,Calendar!$A$2:$H$9997,8,FALSE),0)</f>
        <v/>
      </c>
      <c r="G5380" s="29">
        <f>VLOOKUP(A5380,Calendar!$A$1:$H$9997,6,FALSE)-F5380</f>
        <v/>
      </c>
      <c r="H5380" s="19" t="n">
        <v>3</v>
      </c>
      <c r="I5380" s="57" t="n">
        <v>9</v>
      </c>
    </row>
    <row r="5381">
      <c r="A5381" s="62" t="n">
        <v>47108</v>
      </c>
      <c r="B5381" s="3" t="inlineStr">
        <is>
          <t>Week</t>
        </is>
      </c>
      <c r="C5381" s="19" t="n">
        <v>12</v>
      </c>
      <c r="D5381" s="19" t="n">
        <v>2028</v>
      </c>
      <c r="E5381" s="57" t="n">
        <v>5</v>
      </c>
      <c r="F5381" s="29">
        <f>ROUND(((SUMIFS(Calendar!$F$2:$F$9997,Calendar!$B$2:$B$9997,D5381,Calendar!$C$2:$C$9997,C5381)*INDEX(ForeCalc!$B$37:$Y$274,MATCH(_xlfn.CONCAT(H5381," ",I5381),ForeCalc!$A$37:$A$274,0),MATCH(_xlfn.CONCAT(B5381," ",E5381),ForeCalc!$B$36:$Y$36,0))))*VLOOKUP(A5381,Calendar!$A$2:$H$9997,8,FALSE),0)</f>
        <v/>
      </c>
      <c r="G5381" s="29">
        <f>VLOOKUP(A5381,Calendar!$A$1:$H$9997,6,FALSE)-F5381</f>
        <v/>
      </c>
      <c r="H5381" s="19" t="n">
        <v>3</v>
      </c>
      <c r="I5381" s="57" t="n">
        <v>9</v>
      </c>
    </row>
    <row r="5382">
      <c r="A5382" s="62" t="n">
        <v>47109</v>
      </c>
      <c r="B5382" s="3" t="inlineStr">
        <is>
          <t>Week</t>
        </is>
      </c>
      <c r="C5382" s="19" t="n">
        <v>12</v>
      </c>
      <c r="D5382" s="19" t="n">
        <v>2028</v>
      </c>
      <c r="E5382" s="57" t="n">
        <v>5</v>
      </c>
      <c r="F5382" s="29">
        <f>ROUND(((SUMIFS(Calendar!$F$2:$F$9997,Calendar!$B$2:$B$9997,D5382,Calendar!$C$2:$C$9997,C5382)*INDEX(ForeCalc!$B$37:$Y$274,MATCH(_xlfn.CONCAT(H5382," ",I5382),ForeCalc!$A$37:$A$274,0),MATCH(_xlfn.CONCAT(B5382," ",E5382),ForeCalc!$B$36:$Y$36,0))))*VLOOKUP(A5382,Calendar!$A$2:$H$9997,8,FALSE),0)</f>
        <v/>
      </c>
      <c r="G5382" s="29">
        <f>VLOOKUP(A5382,Calendar!$A$1:$H$9997,6,FALSE)-F5382</f>
        <v/>
      </c>
      <c r="H5382" s="19" t="n">
        <v>3</v>
      </c>
      <c r="I5382" s="57" t="n">
        <v>9</v>
      </c>
    </row>
    <row r="5383">
      <c r="A5383" s="62" t="n">
        <v>47110</v>
      </c>
      <c r="B5383" s="3" t="inlineStr">
        <is>
          <t>Sat</t>
        </is>
      </c>
      <c r="C5383" s="19" t="n">
        <v>12</v>
      </c>
      <c r="D5383" s="19" t="n">
        <v>2028</v>
      </c>
      <c r="E5383" s="57" t="n">
        <v>5</v>
      </c>
      <c r="F5383" s="29">
        <f>ROUND(((SUMIFS(Calendar!$F$2:$F$9997,Calendar!$B$2:$B$9997,D5383,Calendar!$C$2:$C$9997,C5383)*INDEX(ForeCalc!$B$37:$Y$274,MATCH(_xlfn.CONCAT(H5383," ",I5383),ForeCalc!$A$37:$A$274,0),MATCH(_xlfn.CONCAT(B5383," ",E5383),ForeCalc!$B$36:$Y$36,0))))*VLOOKUP(A5383,Calendar!$A$2:$H$9997,8,FALSE),0)</f>
        <v/>
      </c>
      <c r="G5383" s="29">
        <f>VLOOKUP(A5383,Calendar!$A$1:$H$9997,6,FALSE)-F5383</f>
        <v/>
      </c>
      <c r="H5383" s="19" t="n">
        <v>3</v>
      </c>
      <c r="I5383" s="57" t="n">
        <v>9</v>
      </c>
    </row>
    <row r="5384">
      <c r="A5384" s="62" t="n">
        <v>47111</v>
      </c>
      <c r="B5384" s="3" t="inlineStr">
        <is>
          <t>Sun</t>
        </is>
      </c>
      <c r="C5384" s="19" t="n">
        <v>12</v>
      </c>
      <c r="D5384" s="19" t="n">
        <v>2028</v>
      </c>
      <c r="E5384" s="57" t="n">
        <v>5</v>
      </c>
      <c r="F5384" s="29">
        <f>ROUND(((SUMIFS(Calendar!$F$2:$F$9997,Calendar!$B$2:$B$9997,D5384,Calendar!$C$2:$C$9997,C5384)*INDEX(ForeCalc!$B$37:$Y$274,MATCH(_xlfn.CONCAT(H5384," ",I5384),ForeCalc!$A$37:$A$274,0),MATCH(_xlfn.CONCAT(B5384," ",E5384),ForeCalc!$B$36:$Y$36,0))))*VLOOKUP(A5384,Calendar!$A$2:$H$9997,8,FALSE),0)</f>
        <v/>
      </c>
      <c r="G5384" s="29">
        <f>VLOOKUP(A5384,Calendar!$A$1:$H$9997,6,FALSE)-F5384</f>
        <v/>
      </c>
      <c r="H5384" s="19" t="n">
        <v>3</v>
      </c>
      <c r="I5384" s="57" t="n">
        <v>9</v>
      </c>
    </row>
    <row r="5385">
      <c r="A5385" s="62" t="n">
        <v>47112</v>
      </c>
      <c r="B5385" s="3" t="inlineStr">
        <is>
          <t>Week</t>
        </is>
      </c>
      <c r="C5385" s="19" t="n">
        <v>12</v>
      </c>
      <c r="D5385" s="19" t="n">
        <v>2028</v>
      </c>
      <c r="E5385" s="57" t="n">
        <v>5</v>
      </c>
      <c r="F5385" s="29">
        <f>ROUND(((SUMIFS(Calendar!$F$2:$F$9997,Calendar!$B$2:$B$9997,D5385,Calendar!$C$2:$C$9997,C5385)*INDEX(ForeCalc!$B$37:$Y$274,MATCH(_xlfn.CONCAT(H5385," ",I5385),ForeCalc!$A$37:$A$274,0),MATCH(_xlfn.CONCAT(B5385," ",E5385),ForeCalc!$B$36:$Y$36,0))))*VLOOKUP(A5385,Calendar!$A$2:$H$9997,8,FALSE),0)</f>
        <v/>
      </c>
      <c r="G5385" s="29">
        <f>VLOOKUP(A5385,Calendar!$A$1:$H$9997,6,FALSE)-F5385</f>
        <v/>
      </c>
      <c r="H5385" s="19" t="n">
        <v>3</v>
      </c>
      <c r="I5385" s="57" t="n">
        <v>9</v>
      </c>
    </row>
    <row r="5386">
      <c r="A5386" s="62" t="n">
        <v>47113</v>
      </c>
      <c r="B5386" s="3" t="inlineStr">
        <is>
          <t>Week</t>
        </is>
      </c>
      <c r="C5386" s="19" t="n">
        <v>12</v>
      </c>
      <c r="D5386" s="19" t="n">
        <v>2028</v>
      </c>
      <c r="E5386" s="57" t="n">
        <v>5</v>
      </c>
      <c r="F5386" s="29">
        <f>ROUND(((SUMIFS(Calendar!$F$2:$F$9997,Calendar!$B$2:$B$9997,D5386,Calendar!$C$2:$C$9997,C5386)*INDEX(ForeCalc!$B$37:$Y$274,MATCH(_xlfn.CONCAT(H5386," ",I5386),ForeCalc!$A$37:$A$274,0),MATCH(_xlfn.CONCAT(B5386," ",E5386),ForeCalc!$B$36:$Y$36,0))))*VLOOKUP(A5386,Calendar!$A$2:$H$9997,8,FALSE),0)</f>
        <v/>
      </c>
      <c r="G5386" s="29">
        <f>VLOOKUP(A5386,Calendar!$A$1:$H$9997,6,FALSE)-F5386</f>
        <v/>
      </c>
      <c r="H5386" s="19" t="n">
        <v>3</v>
      </c>
      <c r="I5386" s="57" t="n">
        <v>9</v>
      </c>
    </row>
    <row r="5387">
      <c r="A5387" s="62" t="n">
        <v>47114</v>
      </c>
      <c r="B5387" s="3" t="inlineStr">
        <is>
          <t>Week</t>
        </is>
      </c>
      <c r="C5387" s="19" t="n">
        <v>12</v>
      </c>
      <c r="D5387" s="19" t="n">
        <v>2028</v>
      </c>
      <c r="E5387" s="57" t="n">
        <v>5</v>
      </c>
      <c r="F5387" s="29">
        <f>ROUND(((SUMIFS(Calendar!$F$2:$F$9997,Calendar!$B$2:$B$9997,D5387,Calendar!$C$2:$C$9997,C5387)*INDEX(ForeCalc!$B$37:$Y$274,MATCH(_xlfn.CONCAT(H5387," ",I5387),ForeCalc!$A$37:$A$274,0),MATCH(_xlfn.CONCAT(B5387," ",E5387),ForeCalc!$B$36:$Y$36,0))))*VLOOKUP(A5387,Calendar!$A$2:$H$9997,8,FALSE),0)</f>
        <v/>
      </c>
      <c r="G5387" s="29">
        <f>VLOOKUP(A5387,Calendar!$A$1:$H$9997,6,FALSE)-F5387</f>
        <v/>
      </c>
      <c r="H5387" s="19" t="n">
        <v>3</v>
      </c>
      <c r="I5387" s="57" t="n">
        <v>9</v>
      </c>
    </row>
    <row r="5388">
      <c r="A5388" s="62" t="n">
        <v>47115</v>
      </c>
      <c r="B5388" s="3" t="inlineStr">
        <is>
          <t>Week</t>
        </is>
      </c>
      <c r="C5388" s="19" t="n">
        <v>12</v>
      </c>
      <c r="D5388" s="19" t="n">
        <v>2028</v>
      </c>
      <c r="E5388" s="57" t="n">
        <v>5</v>
      </c>
      <c r="F5388" s="29">
        <f>ROUND(((SUMIFS(Calendar!$F$2:$F$9997,Calendar!$B$2:$B$9997,D5388,Calendar!$C$2:$C$9997,C5388)*INDEX(ForeCalc!$B$37:$Y$274,MATCH(_xlfn.CONCAT(H5388," ",I5388),ForeCalc!$A$37:$A$274,0),MATCH(_xlfn.CONCAT(B5388," ",E5388),ForeCalc!$B$36:$Y$36,0))))*VLOOKUP(A5388,Calendar!$A$2:$H$9997,8,FALSE),0)</f>
        <v/>
      </c>
      <c r="G5388" s="29">
        <f>VLOOKUP(A5388,Calendar!$A$1:$H$9997,6,FALSE)-F5388</f>
        <v/>
      </c>
      <c r="H5388" s="19" t="n">
        <v>3</v>
      </c>
      <c r="I5388" s="57" t="n">
        <v>9</v>
      </c>
    </row>
    <row r="5389">
      <c r="A5389" s="62" t="n">
        <v>47116</v>
      </c>
      <c r="B5389" s="3" t="inlineStr">
        <is>
          <t>Week</t>
        </is>
      </c>
      <c r="C5389" s="19" t="n">
        <v>12</v>
      </c>
      <c r="D5389" s="19" t="n">
        <v>2028</v>
      </c>
      <c r="E5389" s="57" t="n">
        <v>5</v>
      </c>
      <c r="F5389" s="29">
        <f>ROUND(((SUMIFS(Calendar!$F$2:$F$9997,Calendar!$B$2:$B$9997,D5389,Calendar!$C$2:$C$9997,C5389)*INDEX(ForeCalc!$B$37:$Y$274,MATCH(_xlfn.CONCAT(H5389," ",I5389),ForeCalc!$A$37:$A$274,0),MATCH(_xlfn.CONCAT(B5389," ",E5389),ForeCalc!$B$36:$Y$36,0))))*VLOOKUP(A5389,Calendar!$A$2:$H$9997,8,FALSE),0)</f>
        <v/>
      </c>
      <c r="G5389" s="29">
        <f>VLOOKUP(A5389,Calendar!$A$1:$H$9997,6,FALSE)-F5389</f>
        <v/>
      </c>
      <c r="H5389" s="19" t="n">
        <v>3</v>
      </c>
      <c r="I5389" s="57" t="n">
        <v>9</v>
      </c>
    </row>
    <row r="5390">
      <c r="A5390" s="62" t="n">
        <v>47117</v>
      </c>
      <c r="B5390" s="3" t="inlineStr">
        <is>
          <t>Sat</t>
        </is>
      </c>
      <c r="C5390" s="19" t="n">
        <v>12</v>
      </c>
      <c r="D5390" s="19" t="n">
        <v>2028</v>
      </c>
      <c r="E5390" s="57" t="n">
        <v>5</v>
      </c>
      <c r="F5390" s="29">
        <f>ROUND(((SUMIFS(Calendar!$F$2:$F$9997,Calendar!$B$2:$B$9997,D5390,Calendar!$C$2:$C$9997,C5390)*INDEX(ForeCalc!$B$37:$Y$274,MATCH(_xlfn.CONCAT(H5390," ",I5390),ForeCalc!$A$37:$A$274,0),MATCH(_xlfn.CONCAT(B5390," ",E5390),ForeCalc!$B$36:$Y$36,0))))*VLOOKUP(A5390,Calendar!$A$2:$H$9997,8,FALSE),0)</f>
        <v/>
      </c>
      <c r="G5390" s="29">
        <f>VLOOKUP(A5390,Calendar!$A$1:$H$9997,6,FALSE)-F5390</f>
        <v/>
      </c>
      <c r="H5390" s="19" t="n">
        <v>3</v>
      </c>
      <c r="I5390" s="57" t="n">
        <v>9</v>
      </c>
    </row>
    <row r="5391">
      <c r="A5391" s="62" t="n">
        <v>47118</v>
      </c>
      <c r="B5391" s="3" t="inlineStr">
        <is>
          <t>Sun</t>
        </is>
      </c>
      <c r="C5391" s="19" t="n">
        <v>12</v>
      </c>
      <c r="D5391" s="19" t="n">
        <v>2028</v>
      </c>
      <c r="E5391" s="57" t="n">
        <v>5</v>
      </c>
      <c r="F5391" s="29">
        <f>ROUND(((SUMIFS(Calendar!$F$2:$F$9997,Calendar!$B$2:$B$9997,D5391,Calendar!$C$2:$C$9997,C5391)*INDEX(ForeCalc!$B$37:$Y$274,MATCH(_xlfn.CONCAT(H5391," ",I5391),ForeCalc!$A$37:$A$274,0),MATCH(_xlfn.CONCAT(B5391," ",E5391),ForeCalc!$B$36:$Y$36,0))))*VLOOKUP(A5391,Calendar!$A$2:$H$9997,8,FALSE),0)</f>
        <v/>
      </c>
      <c r="G5391" s="29">
        <f>VLOOKUP(A5391,Calendar!$A$1:$H$9997,6,FALSE)-F5391</f>
        <v/>
      </c>
      <c r="H5391" s="19" t="n">
        <v>3</v>
      </c>
      <c r="I5391" s="57" t="n">
        <v>9</v>
      </c>
    </row>
    <row r="5392">
      <c r="A5392" s="62" t="n">
        <v>47119</v>
      </c>
      <c r="B5392" s="3" t="inlineStr">
        <is>
          <t>Week</t>
        </is>
      </c>
      <c r="C5392" s="19" t="n">
        <v>1</v>
      </c>
      <c r="D5392" s="19" t="n">
        <v>2029</v>
      </c>
      <c r="E5392" s="57" t="n">
        <v>5</v>
      </c>
      <c r="F5392" s="29">
        <f>ROUND(((SUMIFS(Calendar!$F$2:$F$9997,Calendar!$B$2:$B$9997,D5392,Calendar!$C$2:$C$9997,C5392)*INDEX(ForeCalc!$B$37:$Y$274,MATCH(_xlfn.CONCAT(H5392," ",I5392),ForeCalc!$A$37:$A$274,0),MATCH(_xlfn.CONCAT(B5392," ",E5392),ForeCalc!$B$36:$Y$36,0))))*VLOOKUP(A5392,Calendar!$A$2:$H$9997,8,FALSE),0)</f>
        <v/>
      </c>
      <c r="G5392" s="29">
        <f>VLOOKUP(A5392,Calendar!$A$1:$H$9997,6,FALSE)-F5392</f>
        <v/>
      </c>
      <c r="H5392" s="19" t="n">
        <v>3</v>
      </c>
      <c r="I5392" s="57" t="n">
        <v>10</v>
      </c>
    </row>
    <row r="5393">
      <c r="A5393" s="62" t="n">
        <v>47120</v>
      </c>
      <c r="B5393" s="3" t="inlineStr">
        <is>
          <t>Week</t>
        </is>
      </c>
      <c r="C5393" s="19" t="n">
        <v>1</v>
      </c>
      <c r="D5393" s="19" t="n">
        <v>2029</v>
      </c>
      <c r="E5393" s="57" t="n">
        <v>5</v>
      </c>
      <c r="F5393" s="29">
        <f>ROUND(((SUMIFS(Calendar!$F$2:$F$9997,Calendar!$B$2:$B$9997,D5393,Calendar!$C$2:$C$9997,C5393)*INDEX(ForeCalc!$B$37:$Y$274,MATCH(_xlfn.CONCAT(H5393," ",I5393),ForeCalc!$A$37:$A$274,0),MATCH(_xlfn.CONCAT(B5393," ",E5393),ForeCalc!$B$36:$Y$36,0))))*VLOOKUP(A5393,Calendar!$A$2:$H$9997,8,FALSE),0)</f>
        <v/>
      </c>
      <c r="G5393" s="29">
        <f>VLOOKUP(A5393,Calendar!$A$1:$H$9997,6,FALSE)-F5393</f>
        <v/>
      </c>
      <c r="H5393" s="19" t="n">
        <v>3</v>
      </c>
      <c r="I5393" s="57" t="n">
        <v>10</v>
      </c>
    </row>
    <row r="5394">
      <c r="A5394" s="62" t="n">
        <v>47121</v>
      </c>
      <c r="B5394" s="3" t="inlineStr">
        <is>
          <t>Week</t>
        </is>
      </c>
      <c r="C5394" s="19" t="n">
        <v>1</v>
      </c>
      <c r="D5394" s="19" t="n">
        <v>2029</v>
      </c>
      <c r="E5394" s="57" t="n">
        <v>5</v>
      </c>
      <c r="F5394" s="29">
        <f>ROUND(((SUMIFS(Calendar!$F$2:$F$9997,Calendar!$B$2:$B$9997,D5394,Calendar!$C$2:$C$9997,C5394)*INDEX(ForeCalc!$B$37:$Y$274,MATCH(_xlfn.CONCAT(H5394," ",I5394),ForeCalc!$A$37:$A$274,0),MATCH(_xlfn.CONCAT(B5394," ",E5394),ForeCalc!$B$36:$Y$36,0))))*VLOOKUP(A5394,Calendar!$A$2:$H$9997,8,FALSE),0)</f>
        <v/>
      </c>
      <c r="G5394" s="29">
        <f>VLOOKUP(A5394,Calendar!$A$1:$H$9997,6,FALSE)-F5394</f>
        <v/>
      </c>
      <c r="H5394" s="19" t="n">
        <v>3</v>
      </c>
      <c r="I5394" s="57" t="n">
        <v>10</v>
      </c>
    </row>
    <row r="5395">
      <c r="A5395" s="62" t="n">
        <v>47122</v>
      </c>
      <c r="B5395" s="3" t="inlineStr">
        <is>
          <t>Week</t>
        </is>
      </c>
      <c r="C5395" s="19" t="n">
        <v>1</v>
      </c>
      <c r="D5395" s="19" t="n">
        <v>2029</v>
      </c>
      <c r="E5395" s="57" t="n">
        <v>5</v>
      </c>
      <c r="F5395" s="29">
        <f>ROUND(((SUMIFS(Calendar!$F$2:$F$9997,Calendar!$B$2:$B$9997,D5395,Calendar!$C$2:$C$9997,C5395)*INDEX(ForeCalc!$B$37:$Y$274,MATCH(_xlfn.CONCAT(H5395," ",I5395),ForeCalc!$A$37:$A$274,0),MATCH(_xlfn.CONCAT(B5395," ",E5395),ForeCalc!$B$36:$Y$36,0))))*VLOOKUP(A5395,Calendar!$A$2:$H$9997,8,FALSE),0)</f>
        <v/>
      </c>
      <c r="G5395" s="29">
        <f>VLOOKUP(A5395,Calendar!$A$1:$H$9997,6,FALSE)-F5395</f>
        <v/>
      </c>
      <c r="H5395" s="19" t="n">
        <v>3</v>
      </c>
      <c r="I5395" s="57" t="n">
        <v>10</v>
      </c>
    </row>
    <row r="5396">
      <c r="A5396" s="62" t="n">
        <v>47123</v>
      </c>
      <c r="B5396" s="3" t="inlineStr">
        <is>
          <t>Week</t>
        </is>
      </c>
      <c r="C5396" s="19" t="n">
        <v>1</v>
      </c>
      <c r="D5396" s="19" t="n">
        <v>2029</v>
      </c>
      <c r="E5396" s="57" t="n">
        <v>5</v>
      </c>
      <c r="F5396" s="29">
        <f>ROUND(((SUMIFS(Calendar!$F$2:$F$9997,Calendar!$B$2:$B$9997,D5396,Calendar!$C$2:$C$9997,C5396)*INDEX(ForeCalc!$B$37:$Y$274,MATCH(_xlfn.CONCAT(H5396," ",I5396),ForeCalc!$A$37:$A$274,0),MATCH(_xlfn.CONCAT(B5396," ",E5396),ForeCalc!$B$36:$Y$36,0))))*VLOOKUP(A5396,Calendar!$A$2:$H$9997,8,FALSE),0)</f>
        <v/>
      </c>
      <c r="G5396" s="29">
        <f>VLOOKUP(A5396,Calendar!$A$1:$H$9997,6,FALSE)-F5396</f>
        <v/>
      </c>
      <c r="H5396" s="19" t="n">
        <v>3</v>
      </c>
      <c r="I5396" s="57" t="n">
        <v>10</v>
      </c>
    </row>
    <row r="5397">
      <c r="A5397" s="62" t="n">
        <v>47124</v>
      </c>
      <c r="B5397" s="3" t="inlineStr">
        <is>
          <t>Sat</t>
        </is>
      </c>
      <c r="C5397" s="19" t="n">
        <v>1</v>
      </c>
      <c r="D5397" s="19" t="n">
        <v>2029</v>
      </c>
      <c r="E5397" s="57" t="n">
        <v>5</v>
      </c>
      <c r="F5397" s="29">
        <f>ROUND(((SUMIFS(Calendar!$F$2:$F$9997,Calendar!$B$2:$B$9997,D5397,Calendar!$C$2:$C$9997,C5397)*INDEX(ForeCalc!$B$37:$Y$274,MATCH(_xlfn.CONCAT(H5397," ",I5397),ForeCalc!$A$37:$A$274,0),MATCH(_xlfn.CONCAT(B5397," ",E5397),ForeCalc!$B$36:$Y$36,0))))*VLOOKUP(A5397,Calendar!$A$2:$H$9997,8,FALSE),0)</f>
        <v/>
      </c>
      <c r="G5397" s="29">
        <f>VLOOKUP(A5397,Calendar!$A$1:$H$9997,6,FALSE)-F5397</f>
        <v/>
      </c>
      <c r="H5397" s="19" t="n">
        <v>3</v>
      </c>
      <c r="I5397" s="57" t="n">
        <v>10</v>
      </c>
    </row>
    <row r="5398">
      <c r="A5398" s="62" t="n">
        <v>47125</v>
      </c>
      <c r="B5398" s="3" t="inlineStr">
        <is>
          <t>Sun</t>
        </is>
      </c>
      <c r="C5398" s="19" t="n">
        <v>1</v>
      </c>
      <c r="D5398" s="19" t="n">
        <v>2029</v>
      </c>
      <c r="E5398" s="57" t="n">
        <v>5</v>
      </c>
      <c r="F5398" s="29">
        <f>ROUND(((SUMIFS(Calendar!$F$2:$F$9997,Calendar!$B$2:$B$9997,D5398,Calendar!$C$2:$C$9997,C5398)*INDEX(ForeCalc!$B$37:$Y$274,MATCH(_xlfn.CONCAT(H5398," ",I5398),ForeCalc!$A$37:$A$274,0),MATCH(_xlfn.CONCAT(B5398," ",E5398),ForeCalc!$B$36:$Y$36,0))))*VLOOKUP(A5398,Calendar!$A$2:$H$9997,8,FALSE),0)</f>
        <v/>
      </c>
      <c r="G5398" s="29">
        <f>VLOOKUP(A5398,Calendar!$A$1:$H$9997,6,FALSE)-F5398</f>
        <v/>
      </c>
      <c r="H5398" s="19" t="n">
        <v>3</v>
      </c>
      <c r="I5398" s="57" t="n">
        <v>10</v>
      </c>
    </row>
    <row r="5399">
      <c r="A5399" s="62" t="n">
        <v>47126</v>
      </c>
      <c r="B5399" s="3" t="inlineStr">
        <is>
          <t>Week</t>
        </is>
      </c>
      <c r="C5399" s="19" t="n">
        <v>1</v>
      </c>
      <c r="D5399" s="19" t="n">
        <v>2029</v>
      </c>
      <c r="E5399" s="57" t="n">
        <v>5</v>
      </c>
      <c r="F5399" s="29">
        <f>ROUND(((SUMIFS(Calendar!$F$2:$F$9997,Calendar!$B$2:$B$9997,D5399,Calendar!$C$2:$C$9997,C5399)*INDEX(ForeCalc!$B$37:$Y$274,MATCH(_xlfn.CONCAT(H5399," ",I5399),ForeCalc!$A$37:$A$274,0),MATCH(_xlfn.CONCAT(B5399," ",E5399),ForeCalc!$B$36:$Y$36,0))))*VLOOKUP(A5399,Calendar!$A$2:$H$9997,8,FALSE),0)</f>
        <v/>
      </c>
      <c r="G5399" s="29">
        <f>VLOOKUP(A5399,Calendar!$A$1:$H$9997,6,FALSE)-F5399</f>
        <v/>
      </c>
      <c r="H5399" s="19" t="n">
        <v>3</v>
      </c>
      <c r="I5399" s="57" t="n">
        <v>10</v>
      </c>
    </row>
    <row r="5400">
      <c r="A5400" s="62" t="n">
        <v>47127</v>
      </c>
      <c r="B5400" s="3" t="inlineStr">
        <is>
          <t>Week</t>
        </is>
      </c>
      <c r="C5400" s="19" t="n">
        <v>1</v>
      </c>
      <c r="D5400" s="19" t="n">
        <v>2029</v>
      </c>
      <c r="E5400" s="57" t="n">
        <v>5</v>
      </c>
      <c r="F5400" s="29">
        <f>ROUND(((SUMIFS(Calendar!$F$2:$F$9997,Calendar!$B$2:$B$9997,D5400,Calendar!$C$2:$C$9997,C5400)*INDEX(ForeCalc!$B$37:$Y$274,MATCH(_xlfn.CONCAT(H5400," ",I5400),ForeCalc!$A$37:$A$274,0),MATCH(_xlfn.CONCAT(B5400," ",E5400),ForeCalc!$B$36:$Y$36,0))))*VLOOKUP(A5400,Calendar!$A$2:$H$9997,8,FALSE),0)</f>
        <v/>
      </c>
      <c r="G5400" s="29">
        <f>VLOOKUP(A5400,Calendar!$A$1:$H$9997,6,FALSE)-F5400</f>
        <v/>
      </c>
      <c r="H5400" s="19" t="n">
        <v>3</v>
      </c>
      <c r="I5400" s="57" t="n">
        <v>10</v>
      </c>
    </row>
    <row r="5401">
      <c r="A5401" s="62" t="n">
        <v>47128</v>
      </c>
      <c r="B5401" s="3" t="inlineStr">
        <is>
          <t>Week</t>
        </is>
      </c>
      <c r="C5401" s="19" t="n">
        <v>1</v>
      </c>
      <c r="D5401" s="19" t="n">
        <v>2029</v>
      </c>
      <c r="E5401" s="57" t="n">
        <v>5</v>
      </c>
      <c r="F5401" s="29">
        <f>ROUND(((SUMIFS(Calendar!$F$2:$F$9997,Calendar!$B$2:$B$9997,D5401,Calendar!$C$2:$C$9997,C5401)*INDEX(ForeCalc!$B$37:$Y$274,MATCH(_xlfn.CONCAT(H5401," ",I5401),ForeCalc!$A$37:$A$274,0),MATCH(_xlfn.CONCAT(B5401," ",E5401),ForeCalc!$B$36:$Y$36,0))))*VLOOKUP(A5401,Calendar!$A$2:$H$9997,8,FALSE),0)</f>
        <v/>
      </c>
      <c r="G5401" s="29">
        <f>VLOOKUP(A5401,Calendar!$A$1:$H$9997,6,FALSE)-F5401</f>
        <v/>
      </c>
      <c r="H5401" s="19" t="n">
        <v>3</v>
      </c>
      <c r="I5401" s="57" t="n">
        <v>10</v>
      </c>
    </row>
    <row r="5402">
      <c r="A5402" s="62" t="n">
        <v>47129</v>
      </c>
      <c r="B5402" s="3" t="inlineStr">
        <is>
          <t>Week</t>
        </is>
      </c>
      <c r="C5402" s="19" t="n">
        <v>1</v>
      </c>
      <c r="D5402" s="19" t="n">
        <v>2029</v>
      </c>
      <c r="E5402" s="57" t="n">
        <v>5</v>
      </c>
      <c r="F5402" s="29">
        <f>ROUND(((SUMIFS(Calendar!$F$2:$F$9997,Calendar!$B$2:$B$9997,D5402,Calendar!$C$2:$C$9997,C5402)*INDEX(ForeCalc!$B$37:$Y$274,MATCH(_xlfn.CONCAT(H5402," ",I5402),ForeCalc!$A$37:$A$274,0),MATCH(_xlfn.CONCAT(B5402," ",E5402),ForeCalc!$B$36:$Y$36,0))))*VLOOKUP(A5402,Calendar!$A$2:$H$9997,8,FALSE),0)</f>
        <v/>
      </c>
      <c r="G5402" s="29">
        <f>VLOOKUP(A5402,Calendar!$A$1:$H$9997,6,FALSE)-F5402</f>
        <v/>
      </c>
      <c r="H5402" s="19" t="n">
        <v>3</v>
      </c>
      <c r="I5402" s="57" t="n">
        <v>10</v>
      </c>
    </row>
    <row r="5403">
      <c r="A5403" s="62" t="n">
        <v>47130</v>
      </c>
      <c r="B5403" s="3" t="inlineStr">
        <is>
          <t>Week</t>
        </is>
      </c>
      <c r="C5403" s="19" t="n">
        <v>1</v>
      </c>
      <c r="D5403" s="19" t="n">
        <v>2029</v>
      </c>
      <c r="E5403" s="57" t="n">
        <v>5</v>
      </c>
      <c r="F5403" s="29">
        <f>ROUND(((SUMIFS(Calendar!$F$2:$F$9997,Calendar!$B$2:$B$9997,D5403,Calendar!$C$2:$C$9997,C5403)*INDEX(ForeCalc!$B$37:$Y$274,MATCH(_xlfn.CONCAT(H5403," ",I5403),ForeCalc!$A$37:$A$274,0),MATCH(_xlfn.CONCAT(B5403," ",E5403),ForeCalc!$B$36:$Y$36,0))))*VLOOKUP(A5403,Calendar!$A$2:$H$9997,8,FALSE),0)</f>
        <v/>
      </c>
      <c r="G5403" s="29">
        <f>VLOOKUP(A5403,Calendar!$A$1:$H$9997,6,FALSE)-F5403</f>
        <v/>
      </c>
      <c r="H5403" s="19" t="n">
        <v>3</v>
      </c>
      <c r="I5403" s="57" t="n">
        <v>10</v>
      </c>
    </row>
    <row r="5404">
      <c r="A5404" s="62" t="n">
        <v>47131</v>
      </c>
      <c r="B5404" s="3" t="inlineStr">
        <is>
          <t>Sat</t>
        </is>
      </c>
      <c r="C5404" s="19" t="n">
        <v>1</v>
      </c>
      <c r="D5404" s="19" t="n">
        <v>2029</v>
      </c>
      <c r="E5404" s="57" t="n">
        <v>5</v>
      </c>
      <c r="F5404" s="29">
        <f>ROUND(((SUMIFS(Calendar!$F$2:$F$9997,Calendar!$B$2:$B$9997,D5404,Calendar!$C$2:$C$9997,C5404)*INDEX(ForeCalc!$B$37:$Y$274,MATCH(_xlfn.CONCAT(H5404," ",I5404),ForeCalc!$A$37:$A$274,0),MATCH(_xlfn.CONCAT(B5404," ",E5404),ForeCalc!$B$36:$Y$36,0))))*VLOOKUP(A5404,Calendar!$A$2:$H$9997,8,FALSE),0)</f>
        <v/>
      </c>
      <c r="G5404" s="29">
        <f>VLOOKUP(A5404,Calendar!$A$1:$H$9997,6,FALSE)-F5404</f>
        <v/>
      </c>
      <c r="H5404" s="19" t="n">
        <v>3</v>
      </c>
      <c r="I5404" s="57" t="n">
        <v>10</v>
      </c>
    </row>
    <row r="5405">
      <c r="A5405" s="62" t="n">
        <v>47132</v>
      </c>
      <c r="B5405" s="3" t="inlineStr">
        <is>
          <t>Sun</t>
        </is>
      </c>
      <c r="C5405" s="19" t="n">
        <v>1</v>
      </c>
      <c r="D5405" s="19" t="n">
        <v>2029</v>
      </c>
      <c r="E5405" s="57" t="n">
        <v>5</v>
      </c>
      <c r="F5405" s="29">
        <f>ROUND(((SUMIFS(Calendar!$F$2:$F$9997,Calendar!$B$2:$B$9997,D5405,Calendar!$C$2:$C$9997,C5405)*INDEX(ForeCalc!$B$37:$Y$274,MATCH(_xlfn.CONCAT(H5405," ",I5405),ForeCalc!$A$37:$A$274,0),MATCH(_xlfn.CONCAT(B5405," ",E5405),ForeCalc!$B$36:$Y$36,0))))*VLOOKUP(A5405,Calendar!$A$2:$H$9997,8,FALSE),0)</f>
        <v/>
      </c>
      <c r="G5405" s="29">
        <f>VLOOKUP(A5405,Calendar!$A$1:$H$9997,6,FALSE)-F5405</f>
        <v/>
      </c>
      <c r="H5405" s="19" t="n">
        <v>3</v>
      </c>
      <c r="I5405" s="57" t="n">
        <v>10</v>
      </c>
    </row>
    <row r="5406">
      <c r="A5406" s="62" t="n">
        <v>47133</v>
      </c>
      <c r="B5406" s="3" t="inlineStr">
        <is>
          <t>Week</t>
        </is>
      </c>
      <c r="C5406" s="19" t="n">
        <v>1</v>
      </c>
      <c r="D5406" s="19" t="n">
        <v>2029</v>
      </c>
      <c r="E5406" s="57" t="n">
        <v>5</v>
      </c>
      <c r="F5406" s="29">
        <f>ROUND(((SUMIFS(Calendar!$F$2:$F$9997,Calendar!$B$2:$B$9997,D5406,Calendar!$C$2:$C$9997,C5406)*INDEX(ForeCalc!$B$37:$Y$274,MATCH(_xlfn.CONCAT(H5406," ",I5406),ForeCalc!$A$37:$A$274,0),MATCH(_xlfn.CONCAT(B5406," ",E5406),ForeCalc!$B$36:$Y$36,0))))*VLOOKUP(A5406,Calendar!$A$2:$H$9997,8,FALSE),0)</f>
        <v/>
      </c>
      <c r="G5406" s="29">
        <f>VLOOKUP(A5406,Calendar!$A$1:$H$9997,6,FALSE)-F5406</f>
        <v/>
      </c>
      <c r="H5406" s="19" t="n">
        <v>3</v>
      </c>
      <c r="I5406" s="57" t="n">
        <v>10</v>
      </c>
    </row>
    <row r="5407">
      <c r="A5407" s="62" t="n">
        <v>47134</v>
      </c>
      <c r="B5407" s="3" t="inlineStr">
        <is>
          <t>Week</t>
        </is>
      </c>
      <c r="C5407" s="19" t="n">
        <v>1</v>
      </c>
      <c r="D5407" s="19" t="n">
        <v>2029</v>
      </c>
      <c r="E5407" s="57" t="n">
        <v>5</v>
      </c>
      <c r="F5407" s="29">
        <f>ROUND(((SUMIFS(Calendar!$F$2:$F$9997,Calendar!$B$2:$B$9997,D5407,Calendar!$C$2:$C$9997,C5407)*INDEX(ForeCalc!$B$37:$Y$274,MATCH(_xlfn.CONCAT(H5407," ",I5407),ForeCalc!$A$37:$A$274,0),MATCH(_xlfn.CONCAT(B5407," ",E5407),ForeCalc!$B$36:$Y$36,0))))*VLOOKUP(A5407,Calendar!$A$2:$H$9997,8,FALSE),0)</f>
        <v/>
      </c>
      <c r="G5407" s="29">
        <f>VLOOKUP(A5407,Calendar!$A$1:$H$9997,6,FALSE)-F5407</f>
        <v/>
      </c>
      <c r="H5407" s="19" t="n">
        <v>3</v>
      </c>
      <c r="I5407" s="57" t="n">
        <v>10</v>
      </c>
    </row>
    <row r="5408">
      <c r="A5408" s="62" t="n">
        <v>47135</v>
      </c>
      <c r="B5408" s="3" t="inlineStr">
        <is>
          <t>Week</t>
        </is>
      </c>
      <c r="C5408" s="19" t="n">
        <v>1</v>
      </c>
      <c r="D5408" s="19" t="n">
        <v>2029</v>
      </c>
      <c r="E5408" s="57" t="n">
        <v>5</v>
      </c>
      <c r="F5408" s="29">
        <f>ROUND(((SUMIFS(Calendar!$F$2:$F$9997,Calendar!$B$2:$B$9997,D5408,Calendar!$C$2:$C$9997,C5408)*INDEX(ForeCalc!$B$37:$Y$274,MATCH(_xlfn.CONCAT(H5408," ",I5408),ForeCalc!$A$37:$A$274,0),MATCH(_xlfn.CONCAT(B5408," ",E5408),ForeCalc!$B$36:$Y$36,0))))*VLOOKUP(A5408,Calendar!$A$2:$H$9997,8,FALSE),0)</f>
        <v/>
      </c>
      <c r="G5408" s="29">
        <f>VLOOKUP(A5408,Calendar!$A$1:$H$9997,6,FALSE)-F5408</f>
        <v/>
      </c>
      <c r="H5408" s="19" t="n">
        <v>3</v>
      </c>
      <c r="I5408" s="57" t="n">
        <v>10</v>
      </c>
    </row>
    <row r="5409">
      <c r="A5409" s="62" t="n">
        <v>47136</v>
      </c>
      <c r="B5409" s="3" t="inlineStr">
        <is>
          <t>Week</t>
        </is>
      </c>
      <c r="C5409" s="19" t="n">
        <v>1</v>
      </c>
      <c r="D5409" s="19" t="n">
        <v>2029</v>
      </c>
      <c r="E5409" s="57" t="n">
        <v>5</v>
      </c>
      <c r="F5409" s="29">
        <f>ROUND(((SUMIFS(Calendar!$F$2:$F$9997,Calendar!$B$2:$B$9997,D5409,Calendar!$C$2:$C$9997,C5409)*INDEX(ForeCalc!$B$37:$Y$274,MATCH(_xlfn.CONCAT(H5409," ",I5409),ForeCalc!$A$37:$A$274,0),MATCH(_xlfn.CONCAT(B5409," ",E5409),ForeCalc!$B$36:$Y$36,0))))*VLOOKUP(A5409,Calendar!$A$2:$H$9997,8,FALSE),0)</f>
        <v/>
      </c>
      <c r="G5409" s="29">
        <f>VLOOKUP(A5409,Calendar!$A$1:$H$9997,6,FALSE)-F5409</f>
        <v/>
      </c>
      <c r="H5409" s="19" t="n">
        <v>3</v>
      </c>
      <c r="I5409" s="57" t="n">
        <v>10</v>
      </c>
    </row>
    <row r="5410">
      <c r="A5410" s="62" t="n">
        <v>47137</v>
      </c>
      <c r="B5410" s="3" t="inlineStr">
        <is>
          <t>Week</t>
        </is>
      </c>
      <c r="C5410" s="19" t="n">
        <v>1</v>
      </c>
      <c r="D5410" s="19" t="n">
        <v>2029</v>
      </c>
      <c r="E5410" s="57" t="n">
        <v>5</v>
      </c>
      <c r="F5410" s="29">
        <f>ROUND(((SUMIFS(Calendar!$F$2:$F$9997,Calendar!$B$2:$B$9997,D5410,Calendar!$C$2:$C$9997,C5410)*INDEX(ForeCalc!$B$37:$Y$274,MATCH(_xlfn.CONCAT(H5410," ",I5410),ForeCalc!$A$37:$A$274,0),MATCH(_xlfn.CONCAT(B5410," ",E5410),ForeCalc!$B$36:$Y$36,0))))*VLOOKUP(A5410,Calendar!$A$2:$H$9997,8,FALSE),0)</f>
        <v/>
      </c>
      <c r="G5410" s="29">
        <f>VLOOKUP(A5410,Calendar!$A$1:$H$9997,6,FALSE)-F5410</f>
        <v/>
      </c>
      <c r="H5410" s="19" t="n">
        <v>3</v>
      </c>
      <c r="I5410" s="57" t="n">
        <v>10</v>
      </c>
    </row>
    <row r="5411">
      <c r="A5411" s="62" t="n">
        <v>47138</v>
      </c>
      <c r="B5411" s="3" t="inlineStr">
        <is>
          <t>Sat</t>
        </is>
      </c>
      <c r="C5411" s="19" t="n">
        <v>1</v>
      </c>
      <c r="D5411" s="19" t="n">
        <v>2029</v>
      </c>
      <c r="E5411" s="57" t="n">
        <v>5</v>
      </c>
      <c r="F5411" s="29">
        <f>ROUND(((SUMIFS(Calendar!$F$2:$F$9997,Calendar!$B$2:$B$9997,D5411,Calendar!$C$2:$C$9997,C5411)*INDEX(ForeCalc!$B$37:$Y$274,MATCH(_xlfn.CONCAT(H5411," ",I5411),ForeCalc!$A$37:$A$274,0),MATCH(_xlfn.CONCAT(B5411," ",E5411),ForeCalc!$B$36:$Y$36,0))))*VLOOKUP(A5411,Calendar!$A$2:$H$9997,8,FALSE),0)</f>
        <v/>
      </c>
      <c r="G5411" s="29">
        <f>VLOOKUP(A5411,Calendar!$A$1:$H$9997,6,FALSE)-F5411</f>
        <v/>
      </c>
      <c r="H5411" s="19" t="n">
        <v>3</v>
      </c>
      <c r="I5411" s="57" t="n">
        <v>10</v>
      </c>
    </row>
    <row r="5412">
      <c r="A5412" s="62" t="n">
        <v>47139</v>
      </c>
      <c r="B5412" s="3" t="inlineStr">
        <is>
          <t>Sun</t>
        </is>
      </c>
      <c r="C5412" s="19" t="n">
        <v>1</v>
      </c>
      <c r="D5412" s="19" t="n">
        <v>2029</v>
      </c>
      <c r="E5412" s="57" t="n">
        <v>5</v>
      </c>
      <c r="F5412" s="29">
        <f>ROUND(((SUMIFS(Calendar!$F$2:$F$9997,Calendar!$B$2:$B$9997,D5412,Calendar!$C$2:$C$9997,C5412)*INDEX(ForeCalc!$B$37:$Y$274,MATCH(_xlfn.CONCAT(H5412," ",I5412),ForeCalc!$A$37:$A$274,0),MATCH(_xlfn.CONCAT(B5412," ",E5412),ForeCalc!$B$36:$Y$36,0))))*VLOOKUP(A5412,Calendar!$A$2:$H$9997,8,FALSE),0)</f>
        <v/>
      </c>
      <c r="G5412" s="29">
        <f>VLOOKUP(A5412,Calendar!$A$1:$H$9997,6,FALSE)-F5412</f>
        <v/>
      </c>
      <c r="H5412" s="19" t="n">
        <v>3</v>
      </c>
      <c r="I5412" s="57" t="n">
        <v>10</v>
      </c>
    </row>
    <row r="5413">
      <c r="A5413" s="62" t="n">
        <v>47140</v>
      </c>
      <c r="B5413" s="3" t="inlineStr">
        <is>
          <t>Week</t>
        </is>
      </c>
      <c r="C5413" s="19" t="n">
        <v>1</v>
      </c>
      <c r="D5413" s="19" t="n">
        <v>2029</v>
      </c>
      <c r="E5413" s="57" t="n">
        <v>5</v>
      </c>
      <c r="F5413" s="29">
        <f>ROUND(((SUMIFS(Calendar!$F$2:$F$9997,Calendar!$B$2:$B$9997,D5413,Calendar!$C$2:$C$9997,C5413)*INDEX(ForeCalc!$B$37:$Y$274,MATCH(_xlfn.CONCAT(H5413," ",I5413),ForeCalc!$A$37:$A$274,0),MATCH(_xlfn.CONCAT(B5413," ",E5413),ForeCalc!$B$36:$Y$36,0))))*VLOOKUP(A5413,Calendar!$A$2:$H$9997,8,FALSE),0)</f>
        <v/>
      </c>
      <c r="G5413" s="29">
        <f>VLOOKUP(A5413,Calendar!$A$1:$H$9997,6,FALSE)-F5413</f>
        <v/>
      </c>
      <c r="H5413" s="19" t="n">
        <v>3</v>
      </c>
      <c r="I5413" s="57" t="n">
        <v>10</v>
      </c>
    </row>
    <row r="5414">
      <c r="A5414" s="62" t="n">
        <v>47141</v>
      </c>
      <c r="B5414" s="3" t="inlineStr">
        <is>
          <t>Week</t>
        </is>
      </c>
      <c r="C5414" s="19" t="n">
        <v>1</v>
      </c>
      <c r="D5414" s="19" t="n">
        <v>2029</v>
      </c>
      <c r="E5414" s="57" t="n">
        <v>5</v>
      </c>
      <c r="F5414" s="29">
        <f>ROUND(((SUMIFS(Calendar!$F$2:$F$9997,Calendar!$B$2:$B$9997,D5414,Calendar!$C$2:$C$9997,C5414)*INDEX(ForeCalc!$B$37:$Y$274,MATCH(_xlfn.CONCAT(H5414," ",I5414),ForeCalc!$A$37:$A$274,0),MATCH(_xlfn.CONCAT(B5414," ",E5414),ForeCalc!$B$36:$Y$36,0))))*VLOOKUP(A5414,Calendar!$A$2:$H$9997,8,FALSE),0)</f>
        <v/>
      </c>
      <c r="G5414" s="29">
        <f>VLOOKUP(A5414,Calendar!$A$1:$H$9997,6,FALSE)-F5414</f>
        <v/>
      </c>
      <c r="H5414" s="19" t="n">
        <v>3</v>
      </c>
      <c r="I5414" s="57" t="n">
        <v>10</v>
      </c>
    </row>
    <row r="5415">
      <c r="A5415" s="62" t="n">
        <v>47142</v>
      </c>
      <c r="B5415" s="3" t="inlineStr">
        <is>
          <t>Week</t>
        </is>
      </c>
      <c r="C5415" s="19" t="n">
        <v>1</v>
      </c>
      <c r="D5415" s="19" t="n">
        <v>2029</v>
      </c>
      <c r="E5415" s="57" t="n">
        <v>5</v>
      </c>
      <c r="F5415" s="29">
        <f>ROUND(((SUMIFS(Calendar!$F$2:$F$9997,Calendar!$B$2:$B$9997,D5415,Calendar!$C$2:$C$9997,C5415)*INDEX(ForeCalc!$B$37:$Y$274,MATCH(_xlfn.CONCAT(H5415," ",I5415),ForeCalc!$A$37:$A$274,0),MATCH(_xlfn.CONCAT(B5415," ",E5415),ForeCalc!$B$36:$Y$36,0))))*VLOOKUP(A5415,Calendar!$A$2:$H$9997,8,FALSE),0)</f>
        <v/>
      </c>
      <c r="G5415" s="29">
        <f>VLOOKUP(A5415,Calendar!$A$1:$H$9997,6,FALSE)-F5415</f>
        <v/>
      </c>
      <c r="H5415" s="19" t="n">
        <v>3</v>
      </c>
      <c r="I5415" s="57" t="n">
        <v>10</v>
      </c>
    </row>
    <row r="5416">
      <c r="A5416" s="62" t="n">
        <v>47143</v>
      </c>
      <c r="B5416" s="3" t="inlineStr">
        <is>
          <t>Week</t>
        </is>
      </c>
      <c r="C5416" s="19" t="n">
        <v>1</v>
      </c>
      <c r="D5416" s="19" t="n">
        <v>2029</v>
      </c>
      <c r="E5416" s="57" t="n">
        <v>5</v>
      </c>
      <c r="F5416" s="29">
        <f>ROUND(((SUMIFS(Calendar!$F$2:$F$9997,Calendar!$B$2:$B$9997,D5416,Calendar!$C$2:$C$9997,C5416)*INDEX(ForeCalc!$B$37:$Y$274,MATCH(_xlfn.CONCAT(H5416," ",I5416),ForeCalc!$A$37:$A$274,0),MATCH(_xlfn.CONCAT(B5416," ",E5416),ForeCalc!$B$36:$Y$36,0))))*VLOOKUP(A5416,Calendar!$A$2:$H$9997,8,FALSE),0)</f>
        <v/>
      </c>
      <c r="G5416" s="29">
        <f>VLOOKUP(A5416,Calendar!$A$1:$H$9997,6,FALSE)-F5416</f>
        <v/>
      </c>
      <c r="H5416" s="19" t="n">
        <v>3</v>
      </c>
      <c r="I5416" s="57" t="n">
        <v>10</v>
      </c>
    </row>
    <row r="5417">
      <c r="A5417" s="62" t="n">
        <v>47144</v>
      </c>
      <c r="B5417" s="3" t="inlineStr">
        <is>
          <t>Week</t>
        </is>
      </c>
      <c r="C5417" s="19" t="n">
        <v>1</v>
      </c>
      <c r="D5417" s="19" t="n">
        <v>2029</v>
      </c>
      <c r="E5417" s="57" t="n">
        <v>5</v>
      </c>
      <c r="F5417" s="29">
        <f>ROUND(((SUMIFS(Calendar!$F$2:$F$9997,Calendar!$B$2:$B$9997,D5417,Calendar!$C$2:$C$9997,C5417)*INDEX(ForeCalc!$B$37:$Y$274,MATCH(_xlfn.CONCAT(H5417," ",I5417),ForeCalc!$A$37:$A$274,0),MATCH(_xlfn.CONCAT(B5417," ",E5417),ForeCalc!$B$36:$Y$36,0))))*VLOOKUP(A5417,Calendar!$A$2:$H$9997,8,FALSE),0)</f>
        <v/>
      </c>
      <c r="G5417" s="29">
        <f>VLOOKUP(A5417,Calendar!$A$1:$H$9997,6,FALSE)-F5417</f>
        <v/>
      </c>
      <c r="H5417" s="19" t="n">
        <v>3</v>
      </c>
      <c r="I5417" s="57" t="n">
        <v>10</v>
      </c>
    </row>
    <row r="5418">
      <c r="A5418" s="62" t="n">
        <v>47145</v>
      </c>
      <c r="B5418" s="3" t="inlineStr">
        <is>
          <t>Sat</t>
        </is>
      </c>
      <c r="C5418" s="19" t="n">
        <v>1</v>
      </c>
      <c r="D5418" s="19" t="n">
        <v>2029</v>
      </c>
      <c r="E5418" s="57" t="n">
        <v>5</v>
      </c>
      <c r="F5418" s="29">
        <f>ROUND(((SUMIFS(Calendar!$F$2:$F$9997,Calendar!$B$2:$B$9997,D5418,Calendar!$C$2:$C$9997,C5418)*INDEX(ForeCalc!$B$37:$Y$274,MATCH(_xlfn.CONCAT(H5418," ",I5418),ForeCalc!$A$37:$A$274,0),MATCH(_xlfn.CONCAT(B5418," ",E5418),ForeCalc!$B$36:$Y$36,0))))*VLOOKUP(A5418,Calendar!$A$2:$H$9997,8,FALSE),0)</f>
        <v/>
      </c>
      <c r="G5418" s="29">
        <f>VLOOKUP(A5418,Calendar!$A$1:$H$9997,6,FALSE)-F5418</f>
        <v/>
      </c>
      <c r="H5418" s="19" t="n">
        <v>3</v>
      </c>
      <c r="I5418" s="57" t="n">
        <v>10</v>
      </c>
    </row>
    <row r="5419">
      <c r="A5419" s="62" t="n">
        <v>47146</v>
      </c>
      <c r="B5419" s="3" t="inlineStr">
        <is>
          <t>Sun</t>
        </is>
      </c>
      <c r="C5419" s="19" t="n">
        <v>1</v>
      </c>
      <c r="D5419" s="19" t="n">
        <v>2029</v>
      </c>
      <c r="E5419" s="57" t="n">
        <v>5</v>
      </c>
      <c r="F5419" s="29">
        <f>ROUND(((SUMIFS(Calendar!$F$2:$F$9997,Calendar!$B$2:$B$9997,D5419,Calendar!$C$2:$C$9997,C5419)*INDEX(ForeCalc!$B$37:$Y$274,MATCH(_xlfn.CONCAT(H5419," ",I5419),ForeCalc!$A$37:$A$274,0),MATCH(_xlfn.CONCAT(B5419," ",E5419),ForeCalc!$B$36:$Y$36,0))))*VLOOKUP(A5419,Calendar!$A$2:$H$9997,8,FALSE),0)</f>
        <v/>
      </c>
      <c r="G5419" s="29">
        <f>VLOOKUP(A5419,Calendar!$A$1:$H$9997,6,FALSE)-F5419</f>
        <v/>
      </c>
      <c r="H5419" s="19" t="n">
        <v>3</v>
      </c>
      <c r="I5419" s="57" t="n">
        <v>10</v>
      </c>
    </row>
    <row r="5420">
      <c r="A5420" s="62" t="n">
        <v>47147</v>
      </c>
      <c r="B5420" s="3" t="inlineStr">
        <is>
          <t>Week</t>
        </is>
      </c>
      <c r="C5420" s="19" t="n">
        <v>1</v>
      </c>
      <c r="D5420" s="19" t="n">
        <v>2029</v>
      </c>
      <c r="E5420" s="57" t="n">
        <v>5</v>
      </c>
      <c r="F5420" s="29">
        <f>ROUND(((SUMIFS(Calendar!$F$2:$F$9997,Calendar!$B$2:$B$9997,D5420,Calendar!$C$2:$C$9997,C5420)*INDEX(ForeCalc!$B$37:$Y$274,MATCH(_xlfn.CONCAT(H5420," ",I5420),ForeCalc!$A$37:$A$274,0),MATCH(_xlfn.CONCAT(B5420," ",E5420),ForeCalc!$B$36:$Y$36,0))))*VLOOKUP(A5420,Calendar!$A$2:$H$9997,8,FALSE),0)</f>
        <v/>
      </c>
      <c r="G5420" s="29">
        <f>VLOOKUP(A5420,Calendar!$A$1:$H$9997,6,FALSE)-F5420</f>
        <v/>
      </c>
      <c r="H5420" s="19" t="n">
        <v>3</v>
      </c>
      <c r="I5420" s="57" t="n">
        <v>10</v>
      </c>
    </row>
    <row r="5421">
      <c r="A5421" s="62" t="n">
        <v>47148</v>
      </c>
      <c r="B5421" s="3" t="inlineStr">
        <is>
          <t>Week</t>
        </is>
      </c>
      <c r="C5421" s="19" t="n">
        <v>1</v>
      </c>
      <c r="D5421" s="19" t="n">
        <v>2029</v>
      </c>
      <c r="E5421" s="57" t="n">
        <v>5</v>
      </c>
      <c r="F5421" s="29">
        <f>ROUND(((SUMIFS(Calendar!$F$2:$F$9997,Calendar!$B$2:$B$9997,D5421,Calendar!$C$2:$C$9997,C5421)*INDEX(ForeCalc!$B$37:$Y$274,MATCH(_xlfn.CONCAT(H5421," ",I5421),ForeCalc!$A$37:$A$274,0),MATCH(_xlfn.CONCAT(B5421," ",E5421),ForeCalc!$B$36:$Y$36,0))))*VLOOKUP(A5421,Calendar!$A$2:$H$9997,8,FALSE),0)</f>
        <v/>
      </c>
      <c r="G5421" s="29">
        <f>VLOOKUP(A5421,Calendar!$A$1:$H$9997,6,FALSE)-F5421</f>
        <v/>
      </c>
      <c r="H5421" s="19" t="n">
        <v>3</v>
      </c>
      <c r="I5421" s="57" t="n">
        <v>10</v>
      </c>
    </row>
    <row r="5422">
      <c r="A5422" s="62" t="n">
        <v>47149</v>
      </c>
      <c r="B5422" s="3" t="inlineStr">
        <is>
          <t>Week</t>
        </is>
      </c>
      <c r="C5422" s="19" t="n">
        <v>1</v>
      </c>
      <c r="D5422" s="19" t="n">
        <v>2029</v>
      </c>
      <c r="E5422" s="57" t="n">
        <v>5</v>
      </c>
      <c r="F5422" s="29">
        <f>ROUND(((SUMIFS(Calendar!$F$2:$F$9997,Calendar!$B$2:$B$9997,D5422,Calendar!$C$2:$C$9997,C5422)*INDEX(ForeCalc!$B$37:$Y$274,MATCH(_xlfn.CONCAT(H5422," ",I5422),ForeCalc!$A$37:$A$274,0),MATCH(_xlfn.CONCAT(B5422," ",E5422),ForeCalc!$B$36:$Y$36,0))))*VLOOKUP(A5422,Calendar!$A$2:$H$9997,8,FALSE),0)</f>
        <v/>
      </c>
      <c r="G5422" s="29">
        <f>VLOOKUP(A5422,Calendar!$A$1:$H$9997,6,FALSE)-F5422</f>
        <v/>
      </c>
      <c r="H5422" s="19" t="n">
        <v>3</v>
      </c>
      <c r="I5422" s="57" t="n">
        <v>10</v>
      </c>
    </row>
    <row r="5423">
      <c r="A5423" s="62" t="n">
        <v>47150</v>
      </c>
      <c r="B5423" s="3" t="inlineStr">
        <is>
          <t>Week</t>
        </is>
      </c>
      <c r="C5423" s="19" t="n">
        <v>2</v>
      </c>
      <c r="D5423" s="19" t="n">
        <v>2029</v>
      </c>
      <c r="E5423" s="57" t="n">
        <v>5</v>
      </c>
      <c r="F5423" s="29">
        <f>ROUND(((SUMIFS(Calendar!$F$2:$F$9997,Calendar!$B$2:$B$9997,D5423,Calendar!$C$2:$C$9997,C5423)*INDEX(ForeCalc!$B$37:$Y$274,MATCH(_xlfn.CONCAT(H5423," ",I5423),ForeCalc!$A$37:$A$274,0),MATCH(_xlfn.CONCAT(B5423," ",E5423),ForeCalc!$B$36:$Y$36,0))))*VLOOKUP(A5423,Calendar!$A$2:$H$9997,8,FALSE),0)</f>
        <v/>
      </c>
      <c r="G5423" s="29">
        <f>VLOOKUP(A5423,Calendar!$A$1:$H$9997,6,FALSE)-F5423</f>
        <v/>
      </c>
      <c r="H5423" s="19" t="n">
        <v>3</v>
      </c>
      <c r="I5423" s="57" t="n">
        <v>11</v>
      </c>
    </row>
    <row r="5424">
      <c r="A5424" s="62" t="n">
        <v>47151</v>
      </c>
      <c r="B5424" s="3" t="inlineStr">
        <is>
          <t>Week</t>
        </is>
      </c>
      <c r="C5424" s="19" t="n">
        <v>2</v>
      </c>
      <c r="D5424" s="19" t="n">
        <v>2029</v>
      </c>
      <c r="E5424" s="57" t="n">
        <v>5</v>
      </c>
      <c r="F5424" s="29">
        <f>ROUND(((SUMIFS(Calendar!$F$2:$F$9997,Calendar!$B$2:$B$9997,D5424,Calendar!$C$2:$C$9997,C5424)*INDEX(ForeCalc!$B$37:$Y$274,MATCH(_xlfn.CONCAT(H5424," ",I5424),ForeCalc!$A$37:$A$274,0),MATCH(_xlfn.CONCAT(B5424," ",E5424),ForeCalc!$B$36:$Y$36,0))))*VLOOKUP(A5424,Calendar!$A$2:$H$9997,8,FALSE),0)</f>
        <v/>
      </c>
      <c r="G5424" s="29">
        <f>VLOOKUP(A5424,Calendar!$A$1:$H$9997,6,FALSE)-F5424</f>
        <v/>
      </c>
      <c r="H5424" s="19" t="n">
        <v>3</v>
      </c>
      <c r="I5424" s="57" t="n">
        <v>11</v>
      </c>
    </row>
    <row r="5425">
      <c r="A5425" s="62" t="n">
        <v>47152</v>
      </c>
      <c r="B5425" s="3" t="inlineStr">
        <is>
          <t>Sat</t>
        </is>
      </c>
      <c r="C5425" s="19" t="n">
        <v>2</v>
      </c>
      <c r="D5425" s="19" t="n">
        <v>2029</v>
      </c>
      <c r="E5425" s="57" t="n">
        <v>5</v>
      </c>
      <c r="F5425" s="29">
        <f>ROUND(((SUMIFS(Calendar!$F$2:$F$9997,Calendar!$B$2:$B$9997,D5425,Calendar!$C$2:$C$9997,C5425)*INDEX(ForeCalc!$B$37:$Y$274,MATCH(_xlfn.CONCAT(H5425," ",I5425),ForeCalc!$A$37:$A$274,0),MATCH(_xlfn.CONCAT(B5425," ",E5425),ForeCalc!$B$36:$Y$36,0))))*VLOOKUP(A5425,Calendar!$A$2:$H$9997,8,FALSE),0)</f>
        <v/>
      </c>
      <c r="G5425" s="29">
        <f>VLOOKUP(A5425,Calendar!$A$1:$H$9997,6,FALSE)-F5425</f>
        <v/>
      </c>
      <c r="H5425" s="19" t="n">
        <v>3</v>
      </c>
      <c r="I5425" s="57" t="n">
        <v>11</v>
      </c>
    </row>
    <row r="5426">
      <c r="A5426" s="62" t="n">
        <v>47153</v>
      </c>
      <c r="B5426" s="3" t="inlineStr">
        <is>
          <t>Sun</t>
        </is>
      </c>
      <c r="C5426" s="19" t="n">
        <v>2</v>
      </c>
      <c r="D5426" s="19" t="n">
        <v>2029</v>
      </c>
      <c r="E5426" s="57" t="n">
        <v>5</v>
      </c>
      <c r="F5426" s="29">
        <f>ROUND(((SUMIFS(Calendar!$F$2:$F$9997,Calendar!$B$2:$B$9997,D5426,Calendar!$C$2:$C$9997,C5426)*INDEX(ForeCalc!$B$37:$Y$274,MATCH(_xlfn.CONCAT(H5426," ",I5426),ForeCalc!$A$37:$A$274,0),MATCH(_xlfn.CONCAT(B5426," ",E5426),ForeCalc!$B$36:$Y$36,0))))*VLOOKUP(A5426,Calendar!$A$2:$H$9997,8,FALSE),0)</f>
        <v/>
      </c>
      <c r="G5426" s="29">
        <f>VLOOKUP(A5426,Calendar!$A$1:$H$9997,6,FALSE)-F5426</f>
        <v/>
      </c>
      <c r="H5426" s="19" t="n">
        <v>3</v>
      </c>
      <c r="I5426" s="57" t="n">
        <v>11</v>
      </c>
    </row>
    <row r="5427">
      <c r="A5427" s="62" t="n">
        <v>47154</v>
      </c>
      <c r="B5427" s="3" t="inlineStr">
        <is>
          <t>Week</t>
        </is>
      </c>
      <c r="C5427" s="19" t="n">
        <v>2</v>
      </c>
      <c r="D5427" s="19" t="n">
        <v>2029</v>
      </c>
      <c r="E5427" s="57" t="n">
        <v>5</v>
      </c>
      <c r="F5427" s="29">
        <f>ROUND(((SUMIFS(Calendar!$F$2:$F$9997,Calendar!$B$2:$B$9997,D5427,Calendar!$C$2:$C$9997,C5427)*INDEX(ForeCalc!$B$37:$Y$274,MATCH(_xlfn.CONCAT(H5427," ",I5427),ForeCalc!$A$37:$A$274,0),MATCH(_xlfn.CONCAT(B5427," ",E5427),ForeCalc!$B$36:$Y$36,0))))*VLOOKUP(A5427,Calendar!$A$2:$H$9997,8,FALSE),0)</f>
        <v/>
      </c>
      <c r="G5427" s="29">
        <f>VLOOKUP(A5427,Calendar!$A$1:$H$9997,6,FALSE)-F5427</f>
        <v/>
      </c>
      <c r="H5427" s="19" t="n">
        <v>3</v>
      </c>
      <c r="I5427" s="57" t="n">
        <v>11</v>
      </c>
    </row>
    <row r="5428">
      <c r="A5428" s="62" t="n">
        <v>47155</v>
      </c>
      <c r="B5428" s="3" t="inlineStr">
        <is>
          <t>Week</t>
        </is>
      </c>
      <c r="C5428" s="19" t="n">
        <v>2</v>
      </c>
      <c r="D5428" s="19" t="n">
        <v>2029</v>
      </c>
      <c r="E5428" s="57" t="n">
        <v>5</v>
      </c>
      <c r="F5428" s="29">
        <f>ROUND(((SUMIFS(Calendar!$F$2:$F$9997,Calendar!$B$2:$B$9997,D5428,Calendar!$C$2:$C$9997,C5428)*INDEX(ForeCalc!$B$37:$Y$274,MATCH(_xlfn.CONCAT(H5428," ",I5428),ForeCalc!$A$37:$A$274,0),MATCH(_xlfn.CONCAT(B5428," ",E5428),ForeCalc!$B$36:$Y$36,0))))*VLOOKUP(A5428,Calendar!$A$2:$H$9997,8,FALSE),0)</f>
        <v/>
      </c>
      <c r="G5428" s="29">
        <f>VLOOKUP(A5428,Calendar!$A$1:$H$9997,6,FALSE)-F5428</f>
        <v/>
      </c>
      <c r="H5428" s="19" t="n">
        <v>3</v>
      </c>
      <c r="I5428" s="57" t="n">
        <v>11</v>
      </c>
    </row>
    <row r="5429">
      <c r="A5429" s="62" t="n">
        <v>47156</v>
      </c>
      <c r="B5429" s="3" t="inlineStr">
        <is>
          <t>Week</t>
        </is>
      </c>
      <c r="C5429" s="19" t="n">
        <v>2</v>
      </c>
      <c r="D5429" s="19" t="n">
        <v>2029</v>
      </c>
      <c r="E5429" s="57" t="n">
        <v>5</v>
      </c>
      <c r="F5429" s="29">
        <f>ROUND(((SUMIFS(Calendar!$F$2:$F$9997,Calendar!$B$2:$B$9997,D5429,Calendar!$C$2:$C$9997,C5429)*INDEX(ForeCalc!$B$37:$Y$274,MATCH(_xlfn.CONCAT(H5429," ",I5429),ForeCalc!$A$37:$A$274,0),MATCH(_xlfn.CONCAT(B5429," ",E5429),ForeCalc!$B$36:$Y$36,0))))*VLOOKUP(A5429,Calendar!$A$2:$H$9997,8,FALSE),0)</f>
        <v/>
      </c>
      <c r="G5429" s="29">
        <f>VLOOKUP(A5429,Calendar!$A$1:$H$9997,6,FALSE)-F5429</f>
        <v/>
      </c>
      <c r="H5429" s="19" t="n">
        <v>3</v>
      </c>
      <c r="I5429" s="57" t="n">
        <v>11</v>
      </c>
    </row>
    <row r="5430">
      <c r="A5430" s="62" t="n">
        <v>47157</v>
      </c>
      <c r="B5430" s="3" t="inlineStr">
        <is>
          <t>Week</t>
        </is>
      </c>
      <c r="C5430" s="19" t="n">
        <v>2</v>
      </c>
      <c r="D5430" s="19" t="n">
        <v>2029</v>
      </c>
      <c r="E5430" s="57" t="n">
        <v>5</v>
      </c>
      <c r="F5430" s="29">
        <f>ROUND(((SUMIFS(Calendar!$F$2:$F$9997,Calendar!$B$2:$B$9997,D5430,Calendar!$C$2:$C$9997,C5430)*INDEX(ForeCalc!$B$37:$Y$274,MATCH(_xlfn.CONCAT(H5430," ",I5430),ForeCalc!$A$37:$A$274,0),MATCH(_xlfn.CONCAT(B5430," ",E5430),ForeCalc!$B$36:$Y$36,0))))*VLOOKUP(A5430,Calendar!$A$2:$H$9997,8,FALSE),0)</f>
        <v/>
      </c>
      <c r="G5430" s="29">
        <f>VLOOKUP(A5430,Calendar!$A$1:$H$9997,6,FALSE)-F5430</f>
        <v/>
      </c>
      <c r="H5430" s="19" t="n">
        <v>3</v>
      </c>
      <c r="I5430" s="57" t="n">
        <v>11</v>
      </c>
    </row>
    <row r="5431">
      <c r="A5431" s="62" t="n">
        <v>47158</v>
      </c>
      <c r="B5431" s="3" t="inlineStr">
        <is>
          <t>Week</t>
        </is>
      </c>
      <c r="C5431" s="19" t="n">
        <v>2</v>
      </c>
      <c r="D5431" s="19" t="n">
        <v>2029</v>
      </c>
      <c r="E5431" s="57" t="n">
        <v>5</v>
      </c>
      <c r="F5431" s="29">
        <f>ROUND(((SUMIFS(Calendar!$F$2:$F$9997,Calendar!$B$2:$B$9997,D5431,Calendar!$C$2:$C$9997,C5431)*INDEX(ForeCalc!$B$37:$Y$274,MATCH(_xlfn.CONCAT(H5431," ",I5431),ForeCalc!$A$37:$A$274,0),MATCH(_xlfn.CONCAT(B5431," ",E5431),ForeCalc!$B$36:$Y$36,0))))*VLOOKUP(A5431,Calendar!$A$2:$H$9997,8,FALSE),0)</f>
        <v/>
      </c>
      <c r="G5431" s="29">
        <f>VLOOKUP(A5431,Calendar!$A$1:$H$9997,6,FALSE)-F5431</f>
        <v/>
      </c>
      <c r="H5431" s="19" t="n">
        <v>3</v>
      </c>
      <c r="I5431" s="57" t="n">
        <v>11</v>
      </c>
    </row>
    <row r="5432">
      <c r="A5432" s="62" t="n">
        <v>47159</v>
      </c>
      <c r="B5432" s="3" t="inlineStr">
        <is>
          <t>Sat</t>
        </is>
      </c>
      <c r="C5432" s="19" t="n">
        <v>2</v>
      </c>
      <c r="D5432" s="19" t="n">
        <v>2029</v>
      </c>
      <c r="E5432" s="57" t="n">
        <v>5</v>
      </c>
      <c r="F5432" s="29">
        <f>ROUND(((SUMIFS(Calendar!$F$2:$F$9997,Calendar!$B$2:$B$9997,D5432,Calendar!$C$2:$C$9997,C5432)*INDEX(ForeCalc!$B$37:$Y$274,MATCH(_xlfn.CONCAT(H5432," ",I5432),ForeCalc!$A$37:$A$274,0),MATCH(_xlfn.CONCAT(B5432," ",E5432),ForeCalc!$B$36:$Y$36,0))))*VLOOKUP(A5432,Calendar!$A$2:$H$9997,8,FALSE),0)</f>
        <v/>
      </c>
      <c r="G5432" s="29">
        <f>VLOOKUP(A5432,Calendar!$A$1:$H$9997,6,FALSE)-F5432</f>
        <v/>
      </c>
      <c r="H5432" s="19" t="n">
        <v>3</v>
      </c>
      <c r="I5432" s="57" t="n">
        <v>11</v>
      </c>
    </row>
    <row r="5433">
      <c r="A5433" s="62" t="n">
        <v>47160</v>
      </c>
      <c r="B5433" s="3" t="inlineStr">
        <is>
          <t>Sun</t>
        </is>
      </c>
      <c r="C5433" s="19" t="n">
        <v>2</v>
      </c>
      <c r="D5433" s="19" t="n">
        <v>2029</v>
      </c>
      <c r="E5433" s="57" t="n">
        <v>5</v>
      </c>
      <c r="F5433" s="29">
        <f>ROUND(((SUMIFS(Calendar!$F$2:$F$9997,Calendar!$B$2:$B$9997,D5433,Calendar!$C$2:$C$9997,C5433)*INDEX(ForeCalc!$B$37:$Y$274,MATCH(_xlfn.CONCAT(H5433," ",I5433),ForeCalc!$A$37:$A$274,0),MATCH(_xlfn.CONCAT(B5433," ",E5433),ForeCalc!$B$36:$Y$36,0))))*VLOOKUP(A5433,Calendar!$A$2:$H$9997,8,FALSE),0)</f>
        <v/>
      </c>
      <c r="G5433" s="29">
        <f>VLOOKUP(A5433,Calendar!$A$1:$H$9997,6,FALSE)-F5433</f>
        <v/>
      </c>
      <c r="H5433" s="19" t="n">
        <v>3</v>
      </c>
      <c r="I5433" s="57" t="n">
        <v>11</v>
      </c>
    </row>
    <row r="5434">
      <c r="A5434" s="62" t="n">
        <v>47161</v>
      </c>
      <c r="B5434" s="3" t="inlineStr">
        <is>
          <t>Week</t>
        </is>
      </c>
      <c r="C5434" s="19" t="n">
        <v>2</v>
      </c>
      <c r="D5434" s="19" t="n">
        <v>2029</v>
      </c>
      <c r="E5434" s="57" t="n">
        <v>5</v>
      </c>
      <c r="F5434" s="29">
        <f>ROUND(((SUMIFS(Calendar!$F$2:$F$9997,Calendar!$B$2:$B$9997,D5434,Calendar!$C$2:$C$9997,C5434)*INDEX(ForeCalc!$B$37:$Y$274,MATCH(_xlfn.CONCAT(H5434," ",I5434),ForeCalc!$A$37:$A$274,0),MATCH(_xlfn.CONCAT(B5434," ",E5434),ForeCalc!$B$36:$Y$36,0))))*VLOOKUP(A5434,Calendar!$A$2:$H$9997,8,FALSE),0)</f>
        <v/>
      </c>
      <c r="G5434" s="29">
        <f>VLOOKUP(A5434,Calendar!$A$1:$H$9997,6,FALSE)-F5434</f>
        <v/>
      </c>
      <c r="H5434" s="19" t="n">
        <v>3</v>
      </c>
      <c r="I5434" s="57" t="n">
        <v>11</v>
      </c>
    </row>
    <row r="5435">
      <c r="A5435" s="62" t="n">
        <v>47162</v>
      </c>
      <c r="B5435" s="3" t="inlineStr">
        <is>
          <t>Week</t>
        </is>
      </c>
      <c r="C5435" s="19" t="n">
        <v>2</v>
      </c>
      <c r="D5435" s="19" t="n">
        <v>2029</v>
      </c>
      <c r="E5435" s="57" t="n">
        <v>5</v>
      </c>
      <c r="F5435" s="29">
        <f>ROUND(((SUMIFS(Calendar!$F$2:$F$9997,Calendar!$B$2:$B$9997,D5435,Calendar!$C$2:$C$9997,C5435)*INDEX(ForeCalc!$B$37:$Y$274,MATCH(_xlfn.CONCAT(H5435," ",I5435),ForeCalc!$A$37:$A$274,0),MATCH(_xlfn.CONCAT(B5435," ",E5435),ForeCalc!$B$36:$Y$36,0))))*VLOOKUP(A5435,Calendar!$A$2:$H$9997,8,FALSE),0)</f>
        <v/>
      </c>
      <c r="G5435" s="29">
        <f>VLOOKUP(A5435,Calendar!$A$1:$H$9997,6,FALSE)-F5435</f>
        <v/>
      </c>
      <c r="H5435" s="19" t="n">
        <v>3</v>
      </c>
      <c r="I5435" s="57" t="n">
        <v>11</v>
      </c>
    </row>
    <row r="5436">
      <c r="A5436" s="62" t="n">
        <v>47163</v>
      </c>
      <c r="B5436" s="3" t="inlineStr">
        <is>
          <t>Week</t>
        </is>
      </c>
      <c r="C5436" s="19" t="n">
        <v>2</v>
      </c>
      <c r="D5436" s="19" t="n">
        <v>2029</v>
      </c>
      <c r="E5436" s="57" t="n">
        <v>5</v>
      </c>
      <c r="F5436" s="29">
        <f>ROUND(((SUMIFS(Calendar!$F$2:$F$9997,Calendar!$B$2:$B$9997,D5436,Calendar!$C$2:$C$9997,C5436)*INDEX(ForeCalc!$B$37:$Y$274,MATCH(_xlfn.CONCAT(H5436," ",I5436),ForeCalc!$A$37:$A$274,0),MATCH(_xlfn.CONCAT(B5436," ",E5436),ForeCalc!$B$36:$Y$36,0))))*VLOOKUP(A5436,Calendar!$A$2:$H$9997,8,FALSE),0)</f>
        <v/>
      </c>
      <c r="G5436" s="29">
        <f>VLOOKUP(A5436,Calendar!$A$1:$H$9997,6,FALSE)-F5436</f>
        <v/>
      </c>
      <c r="H5436" s="19" t="n">
        <v>3</v>
      </c>
      <c r="I5436" s="57" t="n">
        <v>11</v>
      </c>
    </row>
    <row r="5437">
      <c r="A5437" s="62" t="n">
        <v>47164</v>
      </c>
      <c r="B5437" s="3" t="inlineStr">
        <is>
          <t>Week</t>
        </is>
      </c>
      <c r="C5437" s="19" t="n">
        <v>2</v>
      </c>
      <c r="D5437" s="19" t="n">
        <v>2029</v>
      </c>
      <c r="E5437" s="57" t="n">
        <v>5</v>
      </c>
      <c r="F5437" s="29">
        <f>ROUND(((SUMIFS(Calendar!$F$2:$F$9997,Calendar!$B$2:$B$9997,D5437,Calendar!$C$2:$C$9997,C5437)*INDEX(ForeCalc!$B$37:$Y$274,MATCH(_xlfn.CONCAT(H5437," ",I5437),ForeCalc!$A$37:$A$274,0),MATCH(_xlfn.CONCAT(B5437," ",E5437),ForeCalc!$B$36:$Y$36,0))))*VLOOKUP(A5437,Calendar!$A$2:$H$9997,8,FALSE),0)</f>
        <v/>
      </c>
      <c r="G5437" s="29">
        <f>VLOOKUP(A5437,Calendar!$A$1:$H$9997,6,FALSE)-F5437</f>
        <v/>
      </c>
      <c r="H5437" s="19" t="n">
        <v>3</v>
      </c>
      <c r="I5437" s="57" t="n">
        <v>11</v>
      </c>
    </row>
    <row r="5438">
      <c r="A5438" s="62" t="n">
        <v>47165</v>
      </c>
      <c r="B5438" s="3" t="inlineStr">
        <is>
          <t>Week</t>
        </is>
      </c>
      <c r="C5438" s="19" t="n">
        <v>2</v>
      </c>
      <c r="D5438" s="19" t="n">
        <v>2029</v>
      </c>
      <c r="E5438" s="57" t="n">
        <v>5</v>
      </c>
      <c r="F5438" s="29">
        <f>ROUND(((SUMIFS(Calendar!$F$2:$F$9997,Calendar!$B$2:$B$9997,D5438,Calendar!$C$2:$C$9997,C5438)*INDEX(ForeCalc!$B$37:$Y$274,MATCH(_xlfn.CONCAT(H5438," ",I5438),ForeCalc!$A$37:$A$274,0),MATCH(_xlfn.CONCAT(B5438," ",E5438),ForeCalc!$B$36:$Y$36,0))))*VLOOKUP(A5438,Calendar!$A$2:$H$9997,8,FALSE),0)</f>
        <v/>
      </c>
      <c r="G5438" s="29">
        <f>VLOOKUP(A5438,Calendar!$A$1:$H$9997,6,FALSE)-F5438</f>
        <v/>
      </c>
      <c r="H5438" s="19" t="n">
        <v>3</v>
      </c>
      <c r="I5438" s="57" t="n">
        <v>11</v>
      </c>
    </row>
    <row r="5439">
      <c r="A5439" s="62" t="n">
        <v>47166</v>
      </c>
      <c r="B5439" s="3" t="inlineStr">
        <is>
          <t>Sat</t>
        </is>
      </c>
      <c r="C5439" s="19" t="n">
        <v>2</v>
      </c>
      <c r="D5439" s="19" t="n">
        <v>2029</v>
      </c>
      <c r="E5439" s="57" t="n">
        <v>5</v>
      </c>
      <c r="F5439" s="29">
        <f>ROUND(((SUMIFS(Calendar!$F$2:$F$9997,Calendar!$B$2:$B$9997,D5439,Calendar!$C$2:$C$9997,C5439)*INDEX(ForeCalc!$B$37:$Y$274,MATCH(_xlfn.CONCAT(H5439," ",I5439),ForeCalc!$A$37:$A$274,0),MATCH(_xlfn.CONCAT(B5439," ",E5439),ForeCalc!$B$36:$Y$36,0))))*VLOOKUP(A5439,Calendar!$A$2:$H$9997,8,FALSE),0)</f>
        <v/>
      </c>
      <c r="G5439" s="29">
        <f>VLOOKUP(A5439,Calendar!$A$1:$H$9997,6,FALSE)-F5439</f>
        <v/>
      </c>
      <c r="H5439" s="19" t="n">
        <v>3</v>
      </c>
      <c r="I5439" s="57" t="n">
        <v>11</v>
      </c>
    </row>
    <row r="5440">
      <c r="A5440" s="62" t="n">
        <v>47167</v>
      </c>
      <c r="B5440" s="3" t="inlineStr">
        <is>
          <t>Sun</t>
        </is>
      </c>
      <c r="C5440" s="19" t="n">
        <v>2</v>
      </c>
      <c r="D5440" s="19" t="n">
        <v>2029</v>
      </c>
      <c r="E5440" s="57" t="n">
        <v>5</v>
      </c>
      <c r="F5440" s="29">
        <f>ROUND(((SUMIFS(Calendar!$F$2:$F$9997,Calendar!$B$2:$B$9997,D5440,Calendar!$C$2:$C$9997,C5440)*INDEX(ForeCalc!$B$37:$Y$274,MATCH(_xlfn.CONCAT(H5440," ",I5440),ForeCalc!$A$37:$A$274,0),MATCH(_xlfn.CONCAT(B5440," ",E5440),ForeCalc!$B$36:$Y$36,0))))*VLOOKUP(A5440,Calendar!$A$2:$H$9997,8,FALSE),0)</f>
        <v/>
      </c>
      <c r="G5440" s="29">
        <f>VLOOKUP(A5440,Calendar!$A$1:$H$9997,6,FALSE)-F5440</f>
        <v/>
      </c>
      <c r="H5440" s="19" t="n">
        <v>3</v>
      </c>
      <c r="I5440" s="57" t="n">
        <v>11</v>
      </c>
    </row>
    <row r="5441">
      <c r="A5441" s="62" t="n">
        <v>47168</v>
      </c>
      <c r="B5441" s="3" t="inlineStr">
        <is>
          <t>Week</t>
        </is>
      </c>
      <c r="C5441" s="19" t="n">
        <v>2</v>
      </c>
      <c r="D5441" s="19" t="n">
        <v>2029</v>
      </c>
      <c r="E5441" s="57" t="n">
        <v>5</v>
      </c>
      <c r="F5441" s="29">
        <f>ROUND(((SUMIFS(Calendar!$F$2:$F$9997,Calendar!$B$2:$B$9997,D5441,Calendar!$C$2:$C$9997,C5441)*INDEX(ForeCalc!$B$37:$Y$274,MATCH(_xlfn.CONCAT(H5441," ",I5441),ForeCalc!$A$37:$A$274,0),MATCH(_xlfn.CONCAT(B5441," ",E5441),ForeCalc!$B$36:$Y$36,0))))*VLOOKUP(A5441,Calendar!$A$2:$H$9997,8,FALSE),0)</f>
        <v/>
      </c>
      <c r="G5441" s="29">
        <f>VLOOKUP(A5441,Calendar!$A$1:$H$9997,6,FALSE)-F5441</f>
        <v/>
      </c>
      <c r="H5441" s="19" t="n">
        <v>3</v>
      </c>
      <c r="I5441" s="57" t="n">
        <v>11</v>
      </c>
    </row>
    <row r="5442">
      <c r="A5442" s="62" t="n">
        <v>47169</v>
      </c>
      <c r="B5442" s="3" t="inlineStr">
        <is>
          <t>Week</t>
        </is>
      </c>
      <c r="C5442" s="19" t="n">
        <v>2</v>
      </c>
      <c r="D5442" s="19" t="n">
        <v>2029</v>
      </c>
      <c r="E5442" s="57" t="n">
        <v>5</v>
      </c>
      <c r="F5442" s="29">
        <f>ROUND(((SUMIFS(Calendar!$F$2:$F$9997,Calendar!$B$2:$B$9997,D5442,Calendar!$C$2:$C$9997,C5442)*INDEX(ForeCalc!$B$37:$Y$274,MATCH(_xlfn.CONCAT(H5442," ",I5442),ForeCalc!$A$37:$A$274,0),MATCH(_xlfn.CONCAT(B5442," ",E5442),ForeCalc!$B$36:$Y$36,0))))*VLOOKUP(A5442,Calendar!$A$2:$H$9997,8,FALSE),0)</f>
        <v/>
      </c>
      <c r="G5442" s="29">
        <f>VLOOKUP(A5442,Calendar!$A$1:$H$9997,6,FALSE)-F5442</f>
        <v/>
      </c>
      <c r="H5442" s="19" t="n">
        <v>3</v>
      </c>
      <c r="I5442" s="57" t="n">
        <v>11</v>
      </c>
    </row>
    <row r="5443">
      <c r="A5443" s="62" t="n">
        <v>47170</v>
      </c>
      <c r="B5443" s="3" t="inlineStr">
        <is>
          <t>Week</t>
        </is>
      </c>
      <c r="C5443" s="19" t="n">
        <v>2</v>
      </c>
      <c r="D5443" s="19" t="n">
        <v>2029</v>
      </c>
      <c r="E5443" s="57" t="n">
        <v>5</v>
      </c>
      <c r="F5443" s="29">
        <f>ROUND(((SUMIFS(Calendar!$F$2:$F$9997,Calendar!$B$2:$B$9997,D5443,Calendar!$C$2:$C$9997,C5443)*INDEX(ForeCalc!$B$37:$Y$274,MATCH(_xlfn.CONCAT(H5443," ",I5443),ForeCalc!$A$37:$A$274,0),MATCH(_xlfn.CONCAT(B5443," ",E5443),ForeCalc!$B$36:$Y$36,0))))*VLOOKUP(A5443,Calendar!$A$2:$H$9997,8,FALSE),0)</f>
        <v/>
      </c>
      <c r="G5443" s="29">
        <f>VLOOKUP(A5443,Calendar!$A$1:$H$9997,6,FALSE)-F5443</f>
        <v/>
      </c>
      <c r="H5443" s="19" t="n">
        <v>3</v>
      </c>
      <c r="I5443" s="57" t="n">
        <v>11</v>
      </c>
    </row>
    <row r="5444">
      <c r="A5444" s="62" t="n">
        <v>47171</v>
      </c>
      <c r="B5444" s="3" t="inlineStr">
        <is>
          <t>Week</t>
        </is>
      </c>
      <c r="C5444" s="19" t="n">
        <v>2</v>
      </c>
      <c r="D5444" s="19" t="n">
        <v>2029</v>
      </c>
      <c r="E5444" s="57" t="n">
        <v>5</v>
      </c>
      <c r="F5444" s="29">
        <f>ROUND(((SUMIFS(Calendar!$F$2:$F$9997,Calendar!$B$2:$B$9997,D5444,Calendar!$C$2:$C$9997,C5444)*INDEX(ForeCalc!$B$37:$Y$274,MATCH(_xlfn.CONCAT(H5444," ",I5444),ForeCalc!$A$37:$A$274,0),MATCH(_xlfn.CONCAT(B5444," ",E5444),ForeCalc!$B$36:$Y$36,0))))*VLOOKUP(A5444,Calendar!$A$2:$H$9997,8,FALSE),0)</f>
        <v/>
      </c>
      <c r="G5444" s="29">
        <f>VLOOKUP(A5444,Calendar!$A$1:$H$9997,6,FALSE)-F5444</f>
        <v/>
      </c>
      <c r="H5444" s="19" t="n">
        <v>3</v>
      </c>
      <c r="I5444" s="57" t="n">
        <v>11</v>
      </c>
    </row>
    <row r="5445">
      <c r="A5445" s="62" t="n">
        <v>47172</v>
      </c>
      <c r="B5445" s="3" t="inlineStr">
        <is>
          <t>Week</t>
        </is>
      </c>
      <c r="C5445" s="19" t="n">
        <v>2</v>
      </c>
      <c r="D5445" s="19" t="n">
        <v>2029</v>
      </c>
      <c r="E5445" s="57" t="n">
        <v>5</v>
      </c>
      <c r="F5445" s="29">
        <f>ROUND(((SUMIFS(Calendar!$F$2:$F$9997,Calendar!$B$2:$B$9997,D5445,Calendar!$C$2:$C$9997,C5445)*INDEX(ForeCalc!$B$37:$Y$274,MATCH(_xlfn.CONCAT(H5445," ",I5445),ForeCalc!$A$37:$A$274,0),MATCH(_xlfn.CONCAT(B5445," ",E5445),ForeCalc!$B$36:$Y$36,0))))*VLOOKUP(A5445,Calendar!$A$2:$H$9997,8,FALSE),0)</f>
        <v/>
      </c>
      <c r="G5445" s="29">
        <f>VLOOKUP(A5445,Calendar!$A$1:$H$9997,6,FALSE)-F5445</f>
        <v/>
      </c>
      <c r="H5445" s="19" t="n">
        <v>3</v>
      </c>
      <c r="I5445" s="57" t="n">
        <v>11</v>
      </c>
    </row>
    <row r="5446">
      <c r="A5446" s="62" t="n">
        <v>47173</v>
      </c>
      <c r="B5446" s="3" t="inlineStr">
        <is>
          <t>Sat</t>
        </is>
      </c>
      <c r="C5446" s="19" t="n">
        <v>2</v>
      </c>
      <c r="D5446" s="19" t="n">
        <v>2029</v>
      </c>
      <c r="E5446" s="57" t="n">
        <v>5</v>
      </c>
      <c r="F5446" s="29">
        <f>ROUND(((SUMIFS(Calendar!$F$2:$F$9997,Calendar!$B$2:$B$9997,D5446,Calendar!$C$2:$C$9997,C5446)*INDEX(ForeCalc!$B$37:$Y$274,MATCH(_xlfn.CONCAT(H5446," ",I5446),ForeCalc!$A$37:$A$274,0),MATCH(_xlfn.CONCAT(B5446," ",E5446),ForeCalc!$B$36:$Y$36,0))))*VLOOKUP(A5446,Calendar!$A$2:$H$9997,8,FALSE),0)</f>
        <v/>
      </c>
      <c r="G5446" s="29">
        <f>VLOOKUP(A5446,Calendar!$A$1:$H$9997,6,FALSE)-F5446</f>
        <v/>
      </c>
      <c r="H5446" s="19" t="n">
        <v>3</v>
      </c>
      <c r="I5446" s="57" t="n">
        <v>11</v>
      </c>
    </row>
    <row r="5447">
      <c r="A5447" s="62" t="n">
        <v>47174</v>
      </c>
      <c r="B5447" s="3" t="inlineStr">
        <is>
          <t>Sun</t>
        </is>
      </c>
      <c r="C5447" s="19" t="n">
        <v>2</v>
      </c>
      <c r="D5447" s="19" t="n">
        <v>2029</v>
      </c>
      <c r="E5447" s="57" t="n">
        <v>5</v>
      </c>
      <c r="F5447" s="29">
        <f>ROUND(((SUMIFS(Calendar!$F$2:$F$9997,Calendar!$B$2:$B$9997,D5447,Calendar!$C$2:$C$9997,C5447)*INDEX(ForeCalc!$B$37:$Y$274,MATCH(_xlfn.CONCAT(H5447," ",I5447),ForeCalc!$A$37:$A$274,0),MATCH(_xlfn.CONCAT(B5447," ",E5447),ForeCalc!$B$36:$Y$36,0))))*VLOOKUP(A5447,Calendar!$A$2:$H$9997,8,FALSE),0)</f>
        <v/>
      </c>
      <c r="G5447" s="29">
        <f>VLOOKUP(A5447,Calendar!$A$1:$H$9997,6,FALSE)-F5447</f>
        <v/>
      </c>
      <c r="H5447" s="19" t="n">
        <v>3</v>
      </c>
      <c r="I5447" s="57" t="n">
        <v>11</v>
      </c>
    </row>
    <row r="5448">
      <c r="A5448" s="62" t="n">
        <v>47175</v>
      </c>
      <c r="B5448" s="3" t="inlineStr">
        <is>
          <t>Week</t>
        </is>
      </c>
      <c r="C5448" s="19" t="n">
        <v>2</v>
      </c>
      <c r="D5448" s="19" t="n">
        <v>2029</v>
      </c>
      <c r="E5448" s="57" t="n">
        <v>5</v>
      </c>
      <c r="F5448" s="29">
        <f>ROUND(((SUMIFS(Calendar!$F$2:$F$9997,Calendar!$B$2:$B$9997,D5448,Calendar!$C$2:$C$9997,C5448)*INDEX(ForeCalc!$B$37:$Y$274,MATCH(_xlfn.CONCAT(H5448," ",I5448),ForeCalc!$A$37:$A$274,0),MATCH(_xlfn.CONCAT(B5448," ",E5448),ForeCalc!$B$36:$Y$36,0))))*VLOOKUP(A5448,Calendar!$A$2:$H$9997,8,FALSE),0)</f>
        <v/>
      </c>
      <c r="G5448" s="29">
        <f>VLOOKUP(A5448,Calendar!$A$1:$H$9997,6,FALSE)-F5448</f>
        <v/>
      </c>
      <c r="H5448" s="19" t="n">
        <v>3</v>
      </c>
      <c r="I5448" s="57" t="n">
        <v>11</v>
      </c>
    </row>
    <row r="5449">
      <c r="A5449" s="62" t="n">
        <v>47176</v>
      </c>
      <c r="B5449" s="3" t="inlineStr">
        <is>
          <t>Week</t>
        </is>
      </c>
      <c r="C5449" s="19" t="n">
        <v>2</v>
      </c>
      <c r="D5449" s="19" t="n">
        <v>2029</v>
      </c>
      <c r="E5449" s="57" t="n">
        <v>5</v>
      </c>
      <c r="F5449" s="29">
        <f>ROUND(((SUMIFS(Calendar!$F$2:$F$9997,Calendar!$B$2:$B$9997,D5449,Calendar!$C$2:$C$9997,C5449)*INDEX(ForeCalc!$B$37:$Y$274,MATCH(_xlfn.CONCAT(H5449," ",I5449),ForeCalc!$A$37:$A$274,0),MATCH(_xlfn.CONCAT(B5449," ",E5449),ForeCalc!$B$36:$Y$36,0))))*VLOOKUP(A5449,Calendar!$A$2:$H$9997,8,FALSE),0)</f>
        <v/>
      </c>
      <c r="G5449" s="29">
        <f>VLOOKUP(A5449,Calendar!$A$1:$H$9997,6,FALSE)-F5449</f>
        <v/>
      </c>
      <c r="H5449" s="19" t="n">
        <v>3</v>
      </c>
      <c r="I5449" s="57" t="n">
        <v>11</v>
      </c>
    </row>
    <row r="5450">
      <c r="A5450" s="62" t="n">
        <v>47177</v>
      </c>
      <c r="B5450" s="3" t="inlineStr">
        <is>
          <t>Week</t>
        </is>
      </c>
      <c r="C5450" s="19" t="n">
        <v>2</v>
      </c>
      <c r="D5450" s="19" t="n">
        <v>2029</v>
      </c>
      <c r="E5450" s="57" t="n">
        <v>5</v>
      </c>
      <c r="F5450" s="29">
        <f>ROUND(((SUMIFS(Calendar!$F$2:$F$9997,Calendar!$B$2:$B$9997,D5450,Calendar!$C$2:$C$9997,C5450)*INDEX(ForeCalc!$B$37:$Y$274,MATCH(_xlfn.CONCAT(H5450," ",I5450),ForeCalc!$A$37:$A$274,0),MATCH(_xlfn.CONCAT(B5450," ",E5450),ForeCalc!$B$36:$Y$36,0))))*VLOOKUP(A5450,Calendar!$A$2:$H$9997,8,FALSE),0)</f>
        <v/>
      </c>
      <c r="G5450" s="29">
        <f>VLOOKUP(A5450,Calendar!$A$1:$H$9997,6,FALSE)-F5450</f>
        <v/>
      </c>
      <c r="H5450" s="19" t="n">
        <v>3</v>
      </c>
      <c r="I5450" s="57" t="n">
        <v>11</v>
      </c>
    </row>
    <row r="5451">
      <c r="A5451" s="62" t="n">
        <v>47178</v>
      </c>
      <c r="B5451" s="3" t="inlineStr">
        <is>
          <t>Week</t>
        </is>
      </c>
      <c r="C5451" s="19" t="n">
        <v>3</v>
      </c>
      <c r="D5451" s="19" t="n">
        <v>2029</v>
      </c>
      <c r="E5451" s="57" t="n">
        <v>5</v>
      </c>
      <c r="F5451" s="29">
        <f>ROUND(((SUMIFS(Calendar!$F$2:$F$9997,Calendar!$B$2:$B$9997,D5451,Calendar!$C$2:$C$9997,C5451)*INDEX(ForeCalc!$B$37:$Y$274,MATCH(_xlfn.CONCAT(H5451," ",I5451),ForeCalc!$A$37:$A$274,0),MATCH(_xlfn.CONCAT(B5451," ",E5451),ForeCalc!$B$36:$Y$36,0))))*VLOOKUP(A5451,Calendar!$A$2:$H$9997,8,FALSE),0)</f>
        <v/>
      </c>
      <c r="G5451" s="29">
        <f>VLOOKUP(A5451,Calendar!$A$1:$H$9997,6,FALSE)-F5451</f>
        <v/>
      </c>
      <c r="H5451" s="19" t="n">
        <v>3</v>
      </c>
      <c r="I5451" s="57" t="n">
        <v>12</v>
      </c>
    </row>
    <row r="5452">
      <c r="A5452" s="62" t="n">
        <v>47179</v>
      </c>
      <c r="B5452" s="3" t="inlineStr">
        <is>
          <t>Week</t>
        </is>
      </c>
      <c r="C5452" s="19" t="n">
        <v>3</v>
      </c>
      <c r="D5452" s="19" t="n">
        <v>2029</v>
      </c>
      <c r="E5452" s="57" t="n">
        <v>5</v>
      </c>
      <c r="F5452" s="29">
        <f>ROUND(((SUMIFS(Calendar!$F$2:$F$9997,Calendar!$B$2:$B$9997,D5452,Calendar!$C$2:$C$9997,C5452)*INDEX(ForeCalc!$B$37:$Y$274,MATCH(_xlfn.CONCAT(H5452," ",I5452),ForeCalc!$A$37:$A$274,0),MATCH(_xlfn.CONCAT(B5452," ",E5452),ForeCalc!$B$36:$Y$36,0))))*VLOOKUP(A5452,Calendar!$A$2:$H$9997,8,FALSE),0)</f>
        <v/>
      </c>
      <c r="G5452" s="29">
        <f>VLOOKUP(A5452,Calendar!$A$1:$H$9997,6,FALSE)-F5452</f>
        <v/>
      </c>
      <c r="H5452" s="19" t="n">
        <v>3</v>
      </c>
      <c r="I5452" s="57" t="n">
        <v>12</v>
      </c>
    </row>
    <row r="5453">
      <c r="A5453" s="62" t="n">
        <v>47180</v>
      </c>
      <c r="B5453" s="3" t="inlineStr">
        <is>
          <t>Sat</t>
        </is>
      </c>
      <c r="C5453" s="19" t="n">
        <v>3</v>
      </c>
      <c r="D5453" s="19" t="n">
        <v>2029</v>
      </c>
      <c r="E5453" s="57" t="n">
        <v>5</v>
      </c>
      <c r="F5453" s="29">
        <f>ROUND(((SUMIFS(Calendar!$F$2:$F$9997,Calendar!$B$2:$B$9997,D5453,Calendar!$C$2:$C$9997,C5453)*INDEX(ForeCalc!$B$37:$Y$274,MATCH(_xlfn.CONCAT(H5453," ",I5453),ForeCalc!$A$37:$A$274,0),MATCH(_xlfn.CONCAT(B5453," ",E5453),ForeCalc!$B$36:$Y$36,0))))*VLOOKUP(A5453,Calendar!$A$2:$H$9997,8,FALSE),0)</f>
        <v/>
      </c>
      <c r="G5453" s="29">
        <f>VLOOKUP(A5453,Calendar!$A$1:$H$9997,6,FALSE)-F5453</f>
        <v/>
      </c>
      <c r="H5453" s="19" t="n">
        <v>3</v>
      </c>
      <c r="I5453" s="57" t="n">
        <v>12</v>
      </c>
    </row>
    <row r="5454">
      <c r="A5454" s="62" t="n">
        <v>47181</v>
      </c>
      <c r="B5454" s="3" t="inlineStr">
        <is>
          <t>Sun</t>
        </is>
      </c>
      <c r="C5454" s="19" t="n">
        <v>3</v>
      </c>
      <c r="D5454" s="19" t="n">
        <v>2029</v>
      </c>
      <c r="E5454" s="57" t="n">
        <v>5</v>
      </c>
      <c r="F5454" s="29">
        <f>ROUND(((SUMIFS(Calendar!$F$2:$F$9997,Calendar!$B$2:$B$9997,D5454,Calendar!$C$2:$C$9997,C5454)*INDEX(ForeCalc!$B$37:$Y$274,MATCH(_xlfn.CONCAT(H5454," ",I5454),ForeCalc!$A$37:$A$274,0),MATCH(_xlfn.CONCAT(B5454," ",E5454),ForeCalc!$B$36:$Y$36,0))))*VLOOKUP(A5454,Calendar!$A$2:$H$9997,8,FALSE),0)</f>
        <v/>
      </c>
      <c r="G5454" s="29">
        <f>VLOOKUP(A5454,Calendar!$A$1:$H$9997,6,FALSE)-F5454</f>
        <v/>
      </c>
      <c r="H5454" s="19" t="n">
        <v>3</v>
      </c>
      <c r="I5454" s="57" t="n">
        <v>12</v>
      </c>
    </row>
    <row r="5455">
      <c r="A5455" s="62" t="n">
        <v>47182</v>
      </c>
      <c r="B5455" s="3" t="inlineStr">
        <is>
          <t>Week</t>
        </is>
      </c>
      <c r="C5455" s="19" t="n">
        <v>3</v>
      </c>
      <c r="D5455" s="19" t="n">
        <v>2029</v>
      </c>
      <c r="E5455" s="57" t="n">
        <v>5</v>
      </c>
      <c r="F5455" s="29">
        <f>ROUND(((SUMIFS(Calendar!$F$2:$F$9997,Calendar!$B$2:$B$9997,D5455,Calendar!$C$2:$C$9997,C5455)*INDEX(ForeCalc!$B$37:$Y$274,MATCH(_xlfn.CONCAT(H5455," ",I5455),ForeCalc!$A$37:$A$274,0),MATCH(_xlfn.CONCAT(B5455," ",E5455),ForeCalc!$B$36:$Y$36,0))))*VLOOKUP(A5455,Calendar!$A$2:$H$9997,8,FALSE),0)</f>
        <v/>
      </c>
      <c r="G5455" s="29">
        <f>VLOOKUP(A5455,Calendar!$A$1:$H$9997,6,FALSE)-F5455</f>
        <v/>
      </c>
      <c r="H5455" s="19" t="n">
        <v>3</v>
      </c>
      <c r="I5455" s="57" t="n">
        <v>12</v>
      </c>
    </row>
    <row r="5456">
      <c r="A5456" s="62" t="n">
        <v>47183</v>
      </c>
      <c r="B5456" s="3" t="inlineStr">
        <is>
          <t>Week</t>
        </is>
      </c>
      <c r="C5456" s="19" t="n">
        <v>3</v>
      </c>
      <c r="D5456" s="19" t="n">
        <v>2029</v>
      </c>
      <c r="E5456" s="57" t="n">
        <v>5</v>
      </c>
      <c r="F5456" s="29">
        <f>ROUND(((SUMIFS(Calendar!$F$2:$F$9997,Calendar!$B$2:$B$9997,D5456,Calendar!$C$2:$C$9997,C5456)*INDEX(ForeCalc!$B$37:$Y$274,MATCH(_xlfn.CONCAT(H5456," ",I5456),ForeCalc!$A$37:$A$274,0),MATCH(_xlfn.CONCAT(B5456," ",E5456),ForeCalc!$B$36:$Y$36,0))))*VLOOKUP(A5456,Calendar!$A$2:$H$9997,8,FALSE),0)</f>
        <v/>
      </c>
      <c r="G5456" s="29">
        <f>VLOOKUP(A5456,Calendar!$A$1:$H$9997,6,FALSE)-F5456</f>
        <v/>
      </c>
      <c r="H5456" s="19" t="n">
        <v>3</v>
      </c>
      <c r="I5456" s="57" t="n">
        <v>12</v>
      </c>
    </row>
    <row r="5457">
      <c r="A5457" s="62" t="n">
        <v>47184</v>
      </c>
      <c r="B5457" s="3" t="inlineStr">
        <is>
          <t>Week</t>
        </is>
      </c>
      <c r="C5457" s="19" t="n">
        <v>3</v>
      </c>
      <c r="D5457" s="19" t="n">
        <v>2029</v>
      </c>
      <c r="E5457" s="57" t="n">
        <v>5</v>
      </c>
      <c r="F5457" s="29">
        <f>ROUND(((SUMIFS(Calendar!$F$2:$F$9997,Calendar!$B$2:$B$9997,D5457,Calendar!$C$2:$C$9997,C5457)*INDEX(ForeCalc!$B$37:$Y$274,MATCH(_xlfn.CONCAT(H5457," ",I5457),ForeCalc!$A$37:$A$274,0),MATCH(_xlfn.CONCAT(B5457," ",E5457),ForeCalc!$B$36:$Y$36,0))))*VLOOKUP(A5457,Calendar!$A$2:$H$9997,8,FALSE),0)</f>
        <v/>
      </c>
      <c r="G5457" s="29">
        <f>VLOOKUP(A5457,Calendar!$A$1:$H$9997,6,FALSE)-F5457</f>
        <v/>
      </c>
      <c r="H5457" s="19" t="n">
        <v>3</v>
      </c>
      <c r="I5457" s="57" t="n">
        <v>12</v>
      </c>
    </row>
    <row r="5458">
      <c r="A5458" s="62" t="n">
        <v>47185</v>
      </c>
      <c r="B5458" s="3" t="inlineStr">
        <is>
          <t>Week</t>
        </is>
      </c>
      <c r="C5458" s="19" t="n">
        <v>3</v>
      </c>
      <c r="D5458" s="19" t="n">
        <v>2029</v>
      </c>
      <c r="E5458" s="57" t="n">
        <v>5</v>
      </c>
      <c r="F5458" s="29">
        <f>ROUND(((SUMIFS(Calendar!$F$2:$F$9997,Calendar!$B$2:$B$9997,D5458,Calendar!$C$2:$C$9997,C5458)*INDEX(ForeCalc!$B$37:$Y$274,MATCH(_xlfn.CONCAT(H5458," ",I5458),ForeCalc!$A$37:$A$274,0),MATCH(_xlfn.CONCAT(B5458," ",E5458),ForeCalc!$B$36:$Y$36,0))))*VLOOKUP(A5458,Calendar!$A$2:$H$9997,8,FALSE),0)</f>
        <v/>
      </c>
      <c r="G5458" s="29">
        <f>VLOOKUP(A5458,Calendar!$A$1:$H$9997,6,FALSE)-F5458</f>
        <v/>
      </c>
      <c r="H5458" s="19" t="n">
        <v>3</v>
      </c>
      <c r="I5458" s="57" t="n">
        <v>12</v>
      </c>
    </row>
    <row r="5459">
      <c r="A5459" s="62" t="n">
        <v>47186</v>
      </c>
      <c r="B5459" s="3" t="inlineStr">
        <is>
          <t>Week</t>
        </is>
      </c>
      <c r="C5459" s="19" t="n">
        <v>3</v>
      </c>
      <c r="D5459" s="19" t="n">
        <v>2029</v>
      </c>
      <c r="E5459" s="57" t="n">
        <v>5</v>
      </c>
      <c r="F5459" s="29">
        <f>ROUND(((SUMIFS(Calendar!$F$2:$F$9997,Calendar!$B$2:$B$9997,D5459,Calendar!$C$2:$C$9997,C5459)*INDEX(ForeCalc!$B$37:$Y$274,MATCH(_xlfn.CONCAT(H5459," ",I5459),ForeCalc!$A$37:$A$274,0),MATCH(_xlfn.CONCAT(B5459," ",E5459),ForeCalc!$B$36:$Y$36,0))))*VLOOKUP(A5459,Calendar!$A$2:$H$9997,8,FALSE),0)</f>
        <v/>
      </c>
      <c r="G5459" s="29">
        <f>VLOOKUP(A5459,Calendar!$A$1:$H$9997,6,FALSE)-F5459</f>
        <v/>
      </c>
      <c r="H5459" s="19" t="n">
        <v>3</v>
      </c>
      <c r="I5459" s="57" t="n">
        <v>12</v>
      </c>
    </row>
    <row r="5460">
      <c r="A5460" s="62" t="n">
        <v>47187</v>
      </c>
      <c r="B5460" s="3" t="inlineStr">
        <is>
          <t>Sat</t>
        </is>
      </c>
      <c r="C5460" s="19" t="n">
        <v>3</v>
      </c>
      <c r="D5460" s="19" t="n">
        <v>2029</v>
      </c>
      <c r="E5460" s="57" t="n">
        <v>5</v>
      </c>
      <c r="F5460" s="29">
        <f>ROUND(((SUMIFS(Calendar!$F$2:$F$9997,Calendar!$B$2:$B$9997,D5460,Calendar!$C$2:$C$9997,C5460)*INDEX(ForeCalc!$B$37:$Y$274,MATCH(_xlfn.CONCAT(H5460," ",I5460),ForeCalc!$A$37:$A$274,0),MATCH(_xlfn.CONCAT(B5460," ",E5460),ForeCalc!$B$36:$Y$36,0))))*VLOOKUP(A5460,Calendar!$A$2:$H$9997,8,FALSE),0)</f>
        <v/>
      </c>
      <c r="G5460" s="29">
        <f>VLOOKUP(A5460,Calendar!$A$1:$H$9997,6,FALSE)-F5460</f>
        <v/>
      </c>
      <c r="H5460" s="19" t="n">
        <v>3</v>
      </c>
      <c r="I5460" s="57" t="n">
        <v>12</v>
      </c>
    </row>
    <row r="5461">
      <c r="A5461" s="62" t="n">
        <v>47188</v>
      </c>
      <c r="B5461" s="3" t="inlineStr">
        <is>
          <t>Sun</t>
        </is>
      </c>
      <c r="C5461" s="19" t="n">
        <v>3</v>
      </c>
      <c r="D5461" s="19" t="n">
        <v>2029</v>
      </c>
      <c r="E5461" s="57" t="n">
        <v>5</v>
      </c>
      <c r="F5461" s="29">
        <f>ROUND(((SUMIFS(Calendar!$F$2:$F$9997,Calendar!$B$2:$B$9997,D5461,Calendar!$C$2:$C$9997,C5461)*INDEX(ForeCalc!$B$37:$Y$274,MATCH(_xlfn.CONCAT(H5461," ",I5461),ForeCalc!$A$37:$A$274,0),MATCH(_xlfn.CONCAT(B5461," ",E5461),ForeCalc!$B$36:$Y$36,0))))*VLOOKUP(A5461,Calendar!$A$2:$H$9997,8,FALSE),0)</f>
        <v/>
      </c>
      <c r="G5461" s="29">
        <f>VLOOKUP(A5461,Calendar!$A$1:$H$9997,6,FALSE)-F5461</f>
        <v/>
      </c>
      <c r="H5461" s="19" t="n">
        <v>3</v>
      </c>
      <c r="I5461" s="57" t="n">
        <v>12</v>
      </c>
    </row>
    <row r="5462">
      <c r="A5462" s="62" t="n">
        <v>47189</v>
      </c>
      <c r="B5462" s="3" t="inlineStr">
        <is>
          <t>Week</t>
        </is>
      </c>
      <c r="C5462" s="19" t="n">
        <v>3</v>
      </c>
      <c r="D5462" s="19" t="n">
        <v>2029</v>
      </c>
      <c r="E5462" s="57" t="n">
        <v>5</v>
      </c>
      <c r="F5462" s="29">
        <f>ROUND(((SUMIFS(Calendar!$F$2:$F$9997,Calendar!$B$2:$B$9997,D5462,Calendar!$C$2:$C$9997,C5462)*INDEX(ForeCalc!$B$37:$Y$274,MATCH(_xlfn.CONCAT(H5462," ",I5462),ForeCalc!$A$37:$A$274,0),MATCH(_xlfn.CONCAT(B5462," ",E5462),ForeCalc!$B$36:$Y$36,0))))*VLOOKUP(A5462,Calendar!$A$2:$H$9997,8,FALSE),0)</f>
        <v/>
      </c>
      <c r="G5462" s="29">
        <f>VLOOKUP(A5462,Calendar!$A$1:$H$9997,6,FALSE)-F5462</f>
        <v/>
      </c>
      <c r="H5462" s="19" t="n">
        <v>3</v>
      </c>
      <c r="I5462" s="57" t="n">
        <v>12</v>
      </c>
    </row>
    <row r="5463">
      <c r="A5463" s="62" t="n">
        <v>47190</v>
      </c>
      <c r="B5463" s="3" t="inlineStr">
        <is>
          <t>Week</t>
        </is>
      </c>
      <c r="C5463" s="19" t="n">
        <v>3</v>
      </c>
      <c r="D5463" s="19" t="n">
        <v>2029</v>
      </c>
      <c r="E5463" s="57" t="n">
        <v>5</v>
      </c>
      <c r="F5463" s="29">
        <f>ROUND(((SUMIFS(Calendar!$F$2:$F$9997,Calendar!$B$2:$B$9997,D5463,Calendar!$C$2:$C$9997,C5463)*INDEX(ForeCalc!$B$37:$Y$274,MATCH(_xlfn.CONCAT(H5463," ",I5463),ForeCalc!$A$37:$A$274,0),MATCH(_xlfn.CONCAT(B5463," ",E5463),ForeCalc!$B$36:$Y$36,0))))*VLOOKUP(A5463,Calendar!$A$2:$H$9997,8,FALSE),0)</f>
        <v/>
      </c>
      <c r="G5463" s="29">
        <f>VLOOKUP(A5463,Calendar!$A$1:$H$9997,6,FALSE)-F5463</f>
        <v/>
      </c>
      <c r="H5463" s="19" t="n">
        <v>3</v>
      </c>
      <c r="I5463" s="57" t="n">
        <v>12</v>
      </c>
    </row>
    <row r="5464">
      <c r="A5464" s="62" t="n">
        <v>47191</v>
      </c>
      <c r="B5464" s="3" t="inlineStr">
        <is>
          <t>Week</t>
        </is>
      </c>
      <c r="C5464" s="19" t="n">
        <v>3</v>
      </c>
      <c r="D5464" s="19" t="n">
        <v>2029</v>
      </c>
      <c r="E5464" s="57" t="n">
        <v>5</v>
      </c>
      <c r="F5464" s="29">
        <f>ROUND(((SUMIFS(Calendar!$F$2:$F$9997,Calendar!$B$2:$B$9997,D5464,Calendar!$C$2:$C$9997,C5464)*INDEX(ForeCalc!$B$37:$Y$274,MATCH(_xlfn.CONCAT(H5464," ",I5464),ForeCalc!$A$37:$A$274,0),MATCH(_xlfn.CONCAT(B5464," ",E5464),ForeCalc!$B$36:$Y$36,0))))*VLOOKUP(A5464,Calendar!$A$2:$H$9997,8,FALSE),0)</f>
        <v/>
      </c>
      <c r="G5464" s="29">
        <f>VLOOKUP(A5464,Calendar!$A$1:$H$9997,6,FALSE)-F5464</f>
        <v/>
      </c>
      <c r="H5464" s="19" t="n">
        <v>3</v>
      </c>
      <c r="I5464" s="57" t="n">
        <v>12</v>
      </c>
    </row>
    <row r="5465">
      <c r="A5465" s="62" t="n">
        <v>47192</v>
      </c>
      <c r="B5465" s="3" t="inlineStr">
        <is>
          <t>Week</t>
        </is>
      </c>
      <c r="C5465" s="19" t="n">
        <v>3</v>
      </c>
      <c r="D5465" s="19" t="n">
        <v>2029</v>
      </c>
      <c r="E5465" s="57" t="n">
        <v>5</v>
      </c>
      <c r="F5465" s="29">
        <f>ROUND(((SUMIFS(Calendar!$F$2:$F$9997,Calendar!$B$2:$B$9997,D5465,Calendar!$C$2:$C$9997,C5465)*INDEX(ForeCalc!$B$37:$Y$274,MATCH(_xlfn.CONCAT(H5465," ",I5465),ForeCalc!$A$37:$A$274,0),MATCH(_xlfn.CONCAT(B5465," ",E5465),ForeCalc!$B$36:$Y$36,0))))*VLOOKUP(A5465,Calendar!$A$2:$H$9997,8,FALSE),0)</f>
        <v/>
      </c>
      <c r="G5465" s="29">
        <f>VLOOKUP(A5465,Calendar!$A$1:$H$9997,6,FALSE)-F5465</f>
        <v/>
      </c>
      <c r="H5465" s="19" t="n">
        <v>3</v>
      </c>
      <c r="I5465" s="57" t="n">
        <v>12</v>
      </c>
    </row>
    <row r="5466">
      <c r="A5466" s="62" t="n">
        <v>47193</v>
      </c>
      <c r="B5466" s="3" t="inlineStr">
        <is>
          <t>Week</t>
        </is>
      </c>
      <c r="C5466" s="19" t="n">
        <v>3</v>
      </c>
      <c r="D5466" s="19" t="n">
        <v>2029</v>
      </c>
      <c r="E5466" s="57" t="n">
        <v>5</v>
      </c>
      <c r="F5466" s="29">
        <f>ROUND(((SUMIFS(Calendar!$F$2:$F$9997,Calendar!$B$2:$B$9997,D5466,Calendar!$C$2:$C$9997,C5466)*INDEX(ForeCalc!$B$37:$Y$274,MATCH(_xlfn.CONCAT(H5466," ",I5466),ForeCalc!$A$37:$A$274,0),MATCH(_xlfn.CONCAT(B5466," ",E5466),ForeCalc!$B$36:$Y$36,0))))*VLOOKUP(A5466,Calendar!$A$2:$H$9997,8,FALSE),0)</f>
        <v/>
      </c>
      <c r="G5466" s="29">
        <f>VLOOKUP(A5466,Calendar!$A$1:$H$9997,6,FALSE)-F5466</f>
        <v/>
      </c>
      <c r="H5466" s="19" t="n">
        <v>3</v>
      </c>
      <c r="I5466" s="57" t="n">
        <v>12</v>
      </c>
    </row>
    <row r="5467">
      <c r="A5467" s="62" t="n">
        <v>47194</v>
      </c>
      <c r="B5467" s="3" t="inlineStr">
        <is>
          <t>Sat</t>
        </is>
      </c>
      <c r="C5467" s="19" t="n">
        <v>3</v>
      </c>
      <c r="D5467" s="19" t="n">
        <v>2029</v>
      </c>
      <c r="E5467" s="57" t="n">
        <v>5</v>
      </c>
      <c r="F5467" s="29">
        <f>ROUND(((SUMIFS(Calendar!$F$2:$F$9997,Calendar!$B$2:$B$9997,D5467,Calendar!$C$2:$C$9997,C5467)*INDEX(ForeCalc!$B$37:$Y$274,MATCH(_xlfn.CONCAT(H5467," ",I5467),ForeCalc!$A$37:$A$274,0),MATCH(_xlfn.CONCAT(B5467," ",E5467),ForeCalc!$B$36:$Y$36,0))))*VLOOKUP(A5467,Calendar!$A$2:$H$9997,8,FALSE),0)</f>
        <v/>
      </c>
      <c r="G5467" s="29">
        <f>VLOOKUP(A5467,Calendar!$A$1:$H$9997,6,FALSE)-F5467</f>
        <v/>
      </c>
      <c r="H5467" s="19" t="n">
        <v>3</v>
      </c>
      <c r="I5467" s="57" t="n">
        <v>12</v>
      </c>
    </row>
    <row r="5468">
      <c r="A5468" s="62" t="n">
        <v>47195</v>
      </c>
      <c r="B5468" s="3" t="inlineStr">
        <is>
          <t>Sun</t>
        </is>
      </c>
      <c r="C5468" s="19" t="n">
        <v>3</v>
      </c>
      <c r="D5468" s="19" t="n">
        <v>2029</v>
      </c>
      <c r="E5468" s="57" t="n">
        <v>5</v>
      </c>
      <c r="F5468" s="29">
        <f>ROUND(((SUMIFS(Calendar!$F$2:$F$9997,Calendar!$B$2:$B$9997,D5468,Calendar!$C$2:$C$9997,C5468)*INDEX(ForeCalc!$B$37:$Y$274,MATCH(_xlfn.CONCAT(H5468," ",I5468),ForeCalc!$A$37:$A$274,0),MATCH(_xlfn.CONCAT(B5468," ",E5468),ForeCalc!$B$36:$Y$36,0))))*VLOOKUP(A5468,Calendar!$A$2:$H$9997,8,FALSE),0)</f>
        <v/>
      </c>
      <c r="G5468" s="29">
        <f>VLOOKUP(A5468,Calendar!$A$1:$H$9997,6,FALSE)-F5468</f>
        <v/>
      </c>
      <c r="H5468" s="19" t="n">
        <v>3</v>
      </c>
      <c r="I5468" s="57" t="n">
        <v>12</v>
      </c>
    </row>
    <row r="5469">
      <c r="A5469" s="62" t="n">
        <v>47196</v>
      </c>
      <c r="B5469" s="3" t="inlineStr">
        <is>
          <t>Week</t>
        </is>
      </c>
      <c r="C5469" s="19" t="n">
        <v>3</v>
      </c>
      <c r="D5469" s="19" t="n">
        <v>2029</v>
      </c>
      <c r="E5469" s="57" t="n">
        <v>5</v>
      </c>
      <c r="F5469" s="29">
        <f>ROUND(((SUMIFS(Calendar!$F$2:$F$9997,Calendar!$B$2:$B$9997,D5469,Calendar!$C$2:$C$9997,C5469)*INDEX(ForeCalc!$B$37:$Y$274,MATCH(_xlfn.CONCAT(H5469," ",I5469),ForeCalc!$A$37:$A$274,0),MATCH(_xlfn.CONCAT(B5469," ",E5469),ForeCalc!$B$36:$Y$36,0))))*VLOOKUP(A5469,Calendar!$A$2:$H$9997,8,FALSE),0)</f>
        <v/>
      </c>
      <c r="G5469" s="29">
        <f>VLOOKUP(A5469,Calendar!$A$1:$H$9997,6,FALSE)-F5469</f>
        <v/>
      </c>
      <c r="H5469" s="19" t="n">
        <v>3</v>
      </c>
      <c r="I5469" s="57" t="n">
        <v>12</v>
      </c>
    </row>
    <row r="5470">
      <c r="A5470" s="62" t="n">
        <v>47197</v>
      </c>
      <c r="B5470" s="3" t="inlineStr">
        <is>
          <t>Week</t>
        </is>
      </c>
      <c r="C5470" s="19" t="n">
        <v>3</v>
      </c>
      <c r="D5470" s="19" t="n">
        <v>2029</v>
      </c>
      <c r="E5470" s="57" t="n">
        <v>5</v>
      </c>
      <c r="F5470" s="29">
        <f>ROUND(((SUMIFS(Calendar!$F$2:$F$9997,Calendar!$B$2:$B$9997,D5470,Calendar!$C$2:$C$9997,C5470)*INDEX(ForeCalc!$B$37:$Y$274,MATCH(_xlfn.CONCAT(H5470," ",I5470),ForeCalc!$A$37:$A$274,0),MATCH(_xlfn.CONCAT(B5470," ",E5470),ForeCalc!$B$36:$Y$36,0))))*VLOOKUP(A5470,Calendar!$A$2:$H$9997,8,FALSE),0)</f>
        <v/>
      </c>
      <c r="G5470" s="29">
        <f>VLOOKUP(A5470,Calendar!$A$1:$H$9997,6,FALSE)-F5470</f>
        <v/>
      </c>
      <c r="H5470" s="19" t="n">
        <v>3</v>
      </c>
      <c r="I5470" s="57" t="n">
        <v>12</v>
      </c>
    </row>
    <row r="5471">
      <c r="A5471" s="62" t="n">
        <v>47198</v>
      </c>
      <c r="B5471" s="3" t="inlineStr">
        <is>
          <t>Week</t>
        </is>
      </c>
      <c r="C5471" s="19" t="n">
        <v>3</v>
      </c>
      <c r="D5471" s="19" t="n">
        <v>2029</v>
      </c>
      <c r="E5471" s="57" t="n">
        <v>5</v>
      </c>
      <c r="F5471" s="29">
        <f>ROUND(((SUMIFS(Calendar!$F$2:$F$9997,Calendar!$B$2:$B$9997,D5471,Calendar!$C$2:$C$9997,C5471)*INDEX(ForeCalc!$B$37:$Y$274,MATCH(_xlfn.CONCAT(H5471," ",I5471),ForeCalc!$A$37:$A$274,0),MATCH(_xlfn.CONCAT(B5471," ",E5471),ForeCalc!$B$36:$Y$36,0))))*VLOOKUP(A5471,Calendar!$A$2:$H$9997,8,FALSE),0)</f>
        <v/>
      </c>
      <c r="G5471" s="29">
        <f>VLOOKUP(A5471,Calendar!$A$1:$H$9997,6,FALSE)-F5471</f>
        <v/>
      </c>
      <c r="H5471" s="19" t="n">
        <v>3</v>
      </c>
      <c r="I5471" s="57" t="n">
        <v>12</v>
      </c>
    </row>
    <row r="5472">
      <c r="A5472" s="62" t="n">
        <v>47199</v>
      </c>
      <c r="B5472" s="3" t="inlineStr">
        <is>
          <t>Week</t>
        </is>
      </c>
      <c r="C5472" s="19" t="n">
        <v>3</v>
      </c>
      <c r="D5472" s="19" t="n">
        <v>2029</v>
      </c>
      <c r="E5472" s="57" t="n">
        <v>5</v>
      </c>
      <c r="F5472" s="29">
        <f>ROUND(((SUMIFS(Calendar!$F$2:$F$9997,Calendar!$B$2:$B$9997,D5472,Calendar!$C$2:$C$9997,C5472)*INDEX(ForeCalc!$B$37:$Y$274,MATCH(_xlfn.CONCAT(H5472," ",I5472),ForeCalc!$A$37:$A$274,0),MATCH(_xlfn.CONCAT(B5472," ",E5472),ForeCalc!$B$36:$Y$36,0))))*VLOOKUP(A5472,Calendar!$A$2:$H$9997,8,FALSE),0)</f>
        <v/>
      </c>
      <c r="G5472" s="29">
        <f>VLOOKUP(A5472,Calendar!$A$1:$H$9997,6,FALSE)-F5472</f>
        <v/>
      </c>
      <c r="H5472" s="19" t="n">
        <v>3</v>
      </c>
      <c r="I5472" s="57" t="n">
        <v>12</v>
      </c>
    </row>
    <row r="5473">
      <c r="A5473" s="62" t="n">
        <v>47200</v>
      </c>
      <c r="B5473" s="3" t="inlineStr">
        <is>
          <t>Week</t>
        </is>
      </c>
      <c r="C5473" s="19" t="n">
        <v>3</v>
      </c>
      <c r="D5473" s="19" t="n">
        <v>2029</v>
      </c>
      <c r="E5473" s="57" t="n">
        <v>5</v>
      </c>
      <c r="F5473" s="29">
        <f>ROUND(((SUMIFS(Calendar!$F$2:$F$9997,Calendar!$B$2:$B$9997,D5473,Calendar!$C$2:$C$9997,C5473)*INDEX(ForeCalc!$B$37:$Y$274,MATCH(_xlfn.CONCAT(H5473," ",I5473),ForeCalc!$A$37:$A$274,0),MATCH(_xlfn.CONCAT(B5473," ",E5473),ForeCalc!$B$36:$Y$36,0))))*VLOOKUP(A5473,Calendar!$A$2:$H$9997,8,FALSE),0)</f>
        <v/>
      </c>
      <c r="G5473" s="29">
        <f>VLOOKUP(A5473,Calendar!$A$1:$H$9997,6,FALSE)-F5473</f>
        <v/>
      </c>
      <c r="H5473" s="19" t="n">
        <v>3</v>
      </c>
      <c r="I5473" s="57" t="n">
        <v>12</v>
      </c>
    </row>
    <row r="5474">
      <c r="A5474" s="62" t="n">
        <v>47201</v>
      </c>
      <c r="B5474" s="3" t="inlineStr">
        <is>
          <t>Sat</t>
        </is>
      </c>
      <c r="C5474" s="19" t="n">
        <v>3</v>
      </c>
      <c r="D5474" s="19" t="n">
        <v>2029</v>
      </c>
      <c r="E5474" s="57" t="n">
        <v>5</v>
      </c>
      <c r="F5474" s="29">
        <f>ROUND(((SUMIFS(Calendar!$F$2:$F$9997,Calendar!$B$2:$B$9997,D5474,Calendar!$C$2:$C$9997,C5474)*INDEX(ForeCalc!$B$37:$Y$274,MATCH(_xlfn.CONCAT(H5474," ",I5474),ForeCalc!$A$37:$A$274,0),MATCH(_xlfn.CONCAT(B5474," ",E5474),ForeCalc!$B$36:$Y$36,0))))*VLOOKUP(A5474,Calendar!$A$2:$H$9997,8,FALSE),0)</f>
        <v/>
      </c>
      <c r="G5474" s="29">
        <f>VLOOKUP(A5474,Calendar!$A$1:$H$9997,6,FALSE)-F5474</f>
        <v/>
      </c>
      <c r="H5474" s="19" t="n">
        <v>3</v>
      </c>
      <c r="I5474" s="57" t="n">
        <v>12</v>
      </c>
    </row>
    <row r="5475">
      <c r="A5475" s="62" t="n">
        <v>47202</v>
      </c>
      <c r="B5475" s="3" t="inlineStr">
        <is>
          <t>Sun</t>
        </is>
      </c>
      <c r="C5475" s="19" t="n">
        <v>3</v>
      </c>
      <c r="D5475" s="19" t="n">
        <v>2029</v>
      </c>
      <c r="E5475" s="57" t="n">
        <v>5</v>
      </c>
      <c r="F5475" s="29">
        <f>ROUND(((SUMIFS(Calendar!$F$2:$F$9997,Calendar!$B$2:$B$9997,D5475,Calendar!$C$2:$C$9997,C5475)*INDEX(ForeCalc!$B$37:$Y$274,MATCH(_xlfn.CONCAT(H5475," ",I5475),ForeCalc!$A$37:$A$274,0),MATCH(_xlfn.CONCAT(B5475," ",E5475),ForeCalc!$B$36:$Y$36,0))))*VLOOKUP(A5475,Calendar!$A$2:$H$9997,8,FALSE),0)</f>
        <v/>
      </c>
      <c r="G5475" s="29">
        <f>VLOOKUP(A5475,Calendar!$A$1:$H$9997,6,FALSE)-F5475</f>
        <v/>
      </c>
      <c r="H5475" s="19" t="n">
        <v>3</v>
      </c>
      <c r="I5475" s="57" t="n">
        <v>12</v>
      </c>
    </row>
    <row r="5476">
      <c r="A5476" s="62" t="n">
        <v>47203</v>
      </c>
      <c r="B5476" s="3" t="inlineStr">
        <is>
          <t>Week</t>
        </is>
      </c>
      <c r="C5476" s="19" t="n">
        <v>3</v>
      </c>
      <c r="D5476" s="19" t="n">
        <v>2029</v>
      </c>
      <c r="E5476" s="57" t="n">
        <v>5</v>
      </c>
      <c r="F5476" s="29">
        <f>ROUND(((SUMIFS(Calendar!$F$2:$F$9997,Calendar!$B$2:$B$9997,D5476,Calendar!$C$2:$C$9997,C5476)*INDEX(ForeCalc!$B$37:$Y$274,MATCH(_xlfn.CONCAT(H5476," ",I5476),ForeCalc!$A$37:$A$274,0),MATCH(_xlfn.CONCAT(B5476," ",E5476),ForeCalc!$B$36:$Y$36,0))))*VLOOKUP(A5476,Calendar!$A$2:$H$9997,8,FALSE),0)</f>
        <v/>
      </c>
      <c r="G5476" s="29">
        <f>VLOOKUP(A5476,Calendar!$A$1:$H$9997,6,FALSE)-F5476</f>
        <v/>
      </c>
      <c r="H5476" s="19" t="n">
        <v>3</v>
      </c>
      <c r="I5476" s="57" t="n">
        <v>12</v>
      </c>
    </row>
    <row r="5477">
      <c r="A5477" s="62" t="n">
        <v>47204</v>
      </c>
      <c r="B5477" s="3" t="inlineStr">
        <is>
          <t>Week</t>
        </is>
      </c>
      <c r="C5477" s="19" t="n">
        <v>3</v>
      </c>
      <c r="D5477" s="19" t="n">
        <v>2029</v>
      </c>
      <c r="E5477" s="57" t="n">
        <v>5</v>
      </c>
      <c r="F5477" s="29">
        <f>ROUND(((SUMIFS(Calendar!$F$2:$F$9997,Calendar!$B$2:$B$9997,D5477,Calendar!$C$2:$C$9997,C5477)*INDEX(ForeCalc!$B$37:$Y$274,MATCH(_xlfn.CONCAT(H5477," ",I5477),ForeCalc!$A$37:$A$274,0),MATCH(_xlfn.CONCAT(B5477," ",E5477),ForeCalc!$B$36:$Y$36,0))))*VLOOKUP(A5477,Calendar!$A$2:$H$9997,8,FALSE),0)</f>
        <v/>
      </c>
      <c r="G5477" s="29">
        <f>VLOOKUP(A5477,Calendar!$A$1:$H$9997,6,FALSE)-F5477</f>
        <v/>
      </c>
      <c r="H5477" s="19" t="n">
        <v>3</v>
      </c>
      <c r="I5477" s="57" t="n">
        <v>12</v>
      </c>
    </row>
    <row r="5478">
      <c r="A5478" s="62" t="n">
        <v>47205</v>
      </c>
      <c r="B5478" s="3" t="inlineStr">
        <is>
          <t>Week</t>
        </is>
      </c>
      <c r="C5478" s="19" t="n">
        <v>3</v>
      </c>
      <c r="D5478" s="19" t="n">
        <v>2029</v>
      </c>
      <c r="E5478" s="57" t="n">
        <v>5</v>
      </c>
      <c r="F5478" s="29">
        <f>ROUND(((SUMIFS(Calendar!$F$2:$F$9997,Calendar!$B$2:$B$9997,D5478,Calendar!$C$2:$C$9997,C5478)*INDEX(ForeCalc!$B$37:$Y$274,MATCH(_xlfn.CONCAT(H5478," ",I5478),ForeCalc!$A$37:$A$274,0),MATCH(_xlfn.CONCAT(B5478," ",E5478),ForeCalc!$B$36:$Y$36,0))))*VLOOKUP(A5478,Calendar!$A$2:$H$9997,8,FALSE),0)</f>
        <v/>
      </c>
      <c r="G5478" s="29">
        <f>VLOOKUP(A5478,Calendar!$A$1:$H$9997,6,FALSE)-F5478</f>
        <v/>
      </c>
      <c r="H5478" s="19" t="n">
        <v>3</v>
      </c>
      <c r="I5478" s="57" t="n">
        <v>12</v>
      </c>
    </row>
    <row r="5479">
      <c r="A5479" s="62" t="n">
        <v>47206</v>
      </c>
      <c r="B5479" s="3" t="inlineStr">
        <is>
          <t>Week</t>
        </is>
      </c>
      <c r="C5479" s="19" t="n">
        <v>3</v>
      </c>
      <c r="D5479" s="19" t="n">
        <v>2029</v>
      </c>
      <c r="E5479" s="57" t="n">
        <v>5</v>
      </c>
      <c r="F5479" s="29">
        <f>ROUND(((SUMIFS(Calendar!$F$2:$F$9997,Calendar!$B$2:$B$9997,D5479,Calendar!$C$2:$C$9997,C5479)*INDEX(ForeCalc!$B$37:$Y$274,MATCH(_xlfn.CONCAT(H5479," ",I5479),ForeCalc!$A$37:$A$274,0),MATCH(_xlfn.CONCAT(B5479," ",E5479),ForeCalc!$B$36:$Y$36,0))))*VLOOKUP(A5479,Calendar!$A$2:$H$9997,8,FALSE),0)</f>
        <v/>
      </c>
      <c r="G5479" s="29">
        <f>VLOOKUP(A5479,Calendar!$A$1:$H$9997,6,FALSE)-F5479</f>
        <v/>
      </c>
      <c r="H5479" s="19" t="n">
        <v>3</v>
      </c>
      <c r="I5479" s="57" t="n">
        <v>12</v>
      </c>
    </row>
    <row r="5480">
      <c r="A5480" s="62" t="n">
        <v>47207</v>
      </c>
      <c r="B5480" s="3" t="inlineStr">
        <is>
          <t>Week</t>
        </is>
      </c>
      <c r="C5480" s="19" t="n">
        <v>3</v>
      </c>
      <c r="D5480" s="19" t="n">
        <v>2029</v>
      </c>
      <c r="E5480" s="57" t="n">
        <v>5</v>
      </c>
      <c r="F5480" s="29">
        <f>ROUND(((SUMIFS(Calendar!$F$2:$F$9997,Calendar!$B$2:$B$9997,D5480,Calendar!$C$2:$C$9997,C5480)*INDEX(ForeCalc!$B$37:$Y$274,MATCH(_xlfn.CONCAT(H5480," ",I5480),ForeCalc!$A$37:$A$274,0),MATCH(_xlfn.CONCAT(B5480," ",E5480),ForeCalc!$B$36:$Y$36,0))))*VLOOKUP(A5480,Calendar!$A$2:$H$9997,8,FALSE),0)</f>
        <v/>
      </c>
      <c r="G5480" s="29">
        <f>VLOOKUP(A5480,Calendar!$A$1:$H$9997,6,FALSE)-F5480</f>
        <v/>
      </c>
      <c r="H5480" s="19" t="n">
        <v>3</v>
      </c>
      <c r="I5480" s="57" t="n">
        <v>12</v>
      </c>
    </row>
    <row r="5481">
      <c r="A5481" s="62" t="n">
        <v>47208</v>
      </c>
      <c r="B5481" s="3" t="inlineStr">
        <is>
          <t>Sat</t>
        </is>
      </c>
      <c r="C5481" s="19" t="n">
        <v>3</v>
      </c>
      <c r="D5481" s="19" t="n">
        <v>2029</v>
      </c>
      <c r="E5481" s="57" t="n">
        <v>5</v>
      </c>
      <c r="F5481" s="29">
        <f>ROUND(((SUMIFS(Calendar!$F$2:$F$9997,Calendar!$B$2:$B$9997,D5481,Calendar!$C$2:$C$9997,C5481)*INDEX(ForeCalc!$B$37:$Y$274,MATCH(_xlfn.CONCAT(H5481," ",I5481),ForeCalc!$A$37:$A$274,0),MATCH(_xlfn.CONCAT(B5481," ",E5481),ForeCalc!$B$36:$Y$36,0))))*VLOOKUP(A5481,Calendar!$A$2:$H$9997,8,FALSE),0)</f>
        <v/>
      </c>
      <c r="G5481" s="29">
        <f>VLOOKUP(A5481,Calendar!$A$1:$H$9997,6,FALSE)-F5481</f>
        <v/>
      </c>
      <c r="H5481" s="19" t="n">
        <v>3</v>
      </c>
      <c r="I5481" s="57" t="n">
        <v>12</v>
      </c>
    </row>
    <row r="5482">
      <c r="A5482" s="62" t="n">
        <v>46113</v>
      </c>
      <c r="B5482" s="3" t="inlineStr">
        <is>
          <t>Week</t>
        </is>
      </c>
      <c r="C5482" s="19" t="n">
        <v>4</v>
      </c>
      <c r="D5482" s="19" t="n">
        <v>2026</v>
      </c>
      <c r="E5482" s="57" t="n">
        <v>6</v>
      </c>
      <c r="F5482" s="29">
        <f>ROUND(((SUMIFS(Calendar!$F$2:$F$9997,Calendar!$B$2:$B$9997,D5482,Calendar!$C$2:$C$9997,C5482)*INDEX(ForeCalc!$B$37:$Y$274,MATCH(_xlfn.CONCAT(H5482," ",I5482),ForeCalc!$A$37:$A$274,0),MATCH(_xlfn.CONCAT(B5482," ",E5482),ForeCalc!$B$36:$Y$36,0))))*VLOOKUP(A5482,Calendar!$A$2:$H$9997,8,FALSE),0)</f>
        <v/>
      </c>
      <c r="G5482" s="29">
        <f>VLOOKUP(A5482,Calendar!$A$1:$H$9997,6,FALSE)-F5482</f>
        <v/>
      </c>
      <c r="H5482" s="19" t="n">
        <v>1</v>
      </c>
      <c r="I5482" s="57" t="n">
        <v>1</v>
      </c>
    </row>
    <row r="5483">
      <c r="A5483" s="62" t="n">
        <v>46114</v>
      </c>
      <c r="B5483" s="3" t="inlineStr">
        <is>
          <t>Week</t>
        </is>
      </c>
      <c r="C5483" s="19" t="n">
        <v>4</v>
      </c>
      <c r="D5483" s="19" t="n">
        <v>2026</v>
      </c>
      <c r="E5483" s="57" t="n">
        <v>6</v>
      </c>
      <c r="F5483" s="29">
        <f>ROUND(((SUMIFS(Calendar!$F$2:$F$9997,Calendar!$B$2:$B$9997,D5483,Calendar!$C$2:$C$9997,C5483)*INDEX(ForeCalc!$B$37:$Y$274,MATCH(_xlfn.CONCAT(H5483," ",I5483),ForeCalc!$A$37:$A$274,0),MATCH(_xlfn.CONCAT(B5483," ",E5483),ForeCalc!$B$36:$Y$36,0))))*VLOOKUP(A5483,Calendar!$A$2:$H$9997,8,FALSE),0)</f>
        <v/>
      </c>
      <c r="G5483" s="29">
        <f>VLOOKUP(A5483,Calendar!$A$1:$H$9997,6,FALSE)-F5483</f>
        <v/>
      </c>
      <c r="H5483" s="19" t="n">
        <v>1</v>
      </c>
      <c r="I5483" s="57" t="n">
        <v>1</v>
      </c>
    </row>
    <row r="5484">
      <c r="A5484" s="62" t="n">
        <v>46115</v>
      </c>
      <c r="B5484" s="3" t="inlineStr">
        <is>
          <t>Week</t>
        </is>
      </c>
      <c r="C5484" s="19" t="n">
        <v>4</v>
      </c>
      <c r="D5484" s="19" t="n">
        <v>2026</v>
      </c>
      <c r="E5484" s="57" t="n">
        <v>6</v>
      </c>
      <c r="F5484" s="29">
        <f>ROUND(((SUMIFS(Calendar!$F$2:$F$9997,Calendar!$B$2:$B$9997,D5484,Calendar!$C$2:$C$9997,C5484)*INDEX(ForeCalc!$B$37:$Y$274,MATCH(_xlfn.CONCAT(H5484," ",I5484),ForeCalc!$A$37:$A$274,0),MATCH(_xlfn.CONCAT(B5484," ",E5484),ForeCalc!$B$36:$Y$36,0))))*VLOOKUP(A5484,Calendar!$A$2:$H$9997,8,FALSE),0)</f>
        <v/>
      </c>
      <c r="G5484" s="29">
        <f>VLOOKUP(A5484,Calendar!$A$1:$H$9997,6,FALSE)-F5484</f>
        <v/>
      </c>
      <c r="H5484" s="19" t="n">
        <v>1</v>
      </c>
      <c r="I5484" s="57" t="n">
        <v>1</v>
      </c>
    </row>
    <row r="5485">
      <c r="A5485" s="62" t="n">
        <v>46116</v>
      </c>
      <c r="B5485" s="3" t="inlineStr">
        <is>
          <t>Sat</t>
        </is>
      </c>
      <c r="C5485" s="19" t="n">
        <v>4</v>
      </c>
      <c r="D5485" s="19" t="n">
        <v>2026</v>
      </c>
      <c r="E5485" s="57" t="n">
        <v>6</v>
      </c>
      <c r="F5485" s="29">
        <f>ROUND(((SUMIFS(Calendar!$F$2:$F$9997,Calendar!$B$2:$B$9997,D5485,Calendar!$C$2:$C$9997,C5485)*INDEX(ForeCalc!$B$37:$Y$274,MATCH(_xlfn.CONCAT(H5485," ",I5485),ForeCalc!$A$37:$A$274,0),MATCH(_xlfn.CONCAT(B5485," ",E5485),ForeCalc!$B$36:$Y$36,0))))*VLOOKUP(A5485,Calendar!$A$2:$H$9997,8,FALSE),0)</f>
        <v/>
      </c>
      <c r="G5485" s="29">
        <f>VLOOKUP(A5485,Calendar!$A$1:$H$9997,6,FALSE)-F5485</f>
        <v/>
      </c>
      <c r="H5485" s="19" t="n">
        <v>1</v>
      </c>
      <c r="I5485" s="57" t="n">
        <v>1</v>
      </c>
    </row>
    <row r="5486">
      <c r="A5486" s="62" t="n">
        <v>46117</v>
      </c>
      <c r="B5486" s="3" t="inlineStr">
        <is>
          <t>Sun</t>
        </is>
      </c>
      <c r="C5486" s="19" t="n">
        <v>4</v>
      </c>
      <c r="D5486" s="19" t="n">
        <v>2026</v>
      </c>
      <c r="E5486" s="57" t="n">
        <v>6</v>
      </c>
      <c r="F5486" s="29">
        <f>ROUND(((SUMIFS(Calendar!$F$2:$F$9997,Calendar!$B$2:$B$9997,D5486,Calendar!$C$2:$C$9997,C5486)*INDEX(ForeCalc!$B$37:$Y$274,MATCH(_xlfn.CONCAT(H5486," ",I5486),ForeCalc!$A$37:$A$274,0),MATCH(_xlfn.CONCAT(B5486," ",E5486),ForeCalc!$B$36:$Y$36,0))))*VLOOKUP(A5486,Calendar!$A$2:$H$9997,8,FALSE),0)</f>
        <v/>
      </c>
      <c r="G5486" s="29">
        <f>VLOOKUP(A5486,Calendar!$A$1:$H$9997,6,FALSE)-F5486</f>
        <v/>
      </c>
      <c r="H5486" s="19" t="n">
        <v>1</v>
      </c>
      <c r="I5486" s="57" t="n">
        <v>1</v>
      </c>
    </row>
    <row r="5487">
      <c r="A5487" s="62" t="n">
        <v>46118</v>
      </c>
      <c r="B5487" s="3" t="inlineStr">
        <is>
          <t>Week</t>
        </is>
      </c>
      <c r="C5487" s="19" t="n">
        <v>4</v>
      </c>
      <c r="D5487" s="19" t="n">
        <v>2026</v>
      </c>
      <c r="E5487" s="57" t="n">
        <v>6</v>
      </c>
      <c r="F5487" s="29">
        <f>ROUND(((SUMIFS(Calendar!$F$2:$F$9997,Calendar!$B$2:$B$9997,D5487,Calendar!$C$2:$C$9997,C5487)*INDEX(ForeCalc!$B$37:$Y$274,MATCH(_xlfn.CONCAT(H5487," ",I5487),ForeCalc!$A$37:$A$274,0),MATCH(_xlfn.CONCAT(B5487," ",E5487),ForeCalc!$B$36:$Y$36,0))))*VLOOKUP(A5487,Calendar!$A$2:$H$9997,8,FALSE),0)</f>
        <v/>
      </c>
      <c r="G5487" s="29">
        <f>VLOOKUP(A5487,Calendar!$A$1:$H$9997,6,FALSE)-F5487</f>
        <v/>
      </c>
      <c r="H5487" s="19" t="n">
        <v>1</v>
      </c>
      <c r="I5487" s="57" t="n">
        <v>1</v>
      </c>
    </row>
    <row r="5488">
      <c r="A5488" s="62" t="n">
        <v>46119</v>
      </c>
      <c r="B5488" s="3" t="inlineStr">
        <is>
          <t>Week</t>
        </is>
      </c>
      <c r="C5488" s="19" t="n">
        <v>4</v>
      </c>
      <c r="D5488" s="19" t="n">
        <v>2026</v>
      </c>
      <c r="E5488" s="57" t="n">
        <v>6</v>
      </c>
      <c r="F5488" s="29">
        <f>ROUND(((SUMIFS(Calendar!$F$2:$F$9997,Calendar!$B$2:$B$9997,D5488,Calendar!$C$2:$C$9997,C5488)*INDEX(ForeCalc!$B$37:$Y$274,MATCH(_xlfn.CONCAT(H5488," ",I5488),ForeCalc!$A$37:$A$274,0),MATCH(_xlfn.CONCAT(B5488," ",E5488),ForeCalc!$B$36:$Y$36,0))))*VLOOKUP(A5488,Calendar!$A$2:$H$9997,8,FALSE),0)</f>
        <v/>
      </c>
      <c r="G5488" s="29">
        <f>VLOOKUP(A5488,Calendar!$A$1:$H$9997,6,FALSE)-F5488</f>
        <v/>
      </c>
      <c r="H5488" s="19" t="n">
        <v>1</v>
      </c>
      <c r="I5488" s="57" t="n">
        <v>1</v>
      </c>
    </row>
    <row r="5489">
      <c r="A5489" s="62" t="n">
        <v>46120</v>
      </c>
      <c r="B5489" s="3" t="inlineStr">
        <is>
          <t>Week</t>
        </is>
      </c>
      <c r="C5489" s="19" t="n">
        <v>4</v>
      </c>
      <c r="D5489" s="19" t="n">
        <v>2026</v>
      </c>
      <c r="E5489" s="57" t="n">
        <v>6</v>
      </c>
      <c r="F5489" s="29">
        <f>ROUND(((SUMIFS(Calendar!$F$2:$F$9997,Calendar!$B$2:$B$9997,D5489,Calendar!$C$2:$C$9997,C5489)*INDEX(ForeCalc!$B$37:$Y$274,MATCH(_xlfn.CONCAT(H5489," ",I5489),ForeCalc!$A$37:$A$274,0),MATCH(_xlfn.CONCAT(B5489," ",E5489),ForeCalc!$B$36:$Y$36,0))))*VLOOKUP(A5489,Calendar!$A$2:$H$9997,8,FALSE),0)</f>
        <v/>
      </c>
      <c r="G5489" s="29">
        <f>VLOOKUP(A5489,Calendar!$A$1:$H$9997,6,FALSE)-F5489</f>
        <v/>
      </c>
      <c r="H5489" s="19" t="n">
        <v>1</v>
      </c>
      <c r="I5489" s="57" t="n">
        <v>1</v>
      </c>
    </row>
    <row r="5490">
      <c r="A5490" s="62" t="n">
        <v>46121</v>
      </c>
      <c r="B5490" s="3" t="inlineStr">
        <is>
          <t>Week</t>
        </is>
      </c>
      <c r="C5490" s="19" t="n">
        <v>4</v>
      </c>
      <c r="D5490" s="19" t="n">
        <v>2026</v>
      </c>
      <c r="E5490" s="57" t="n">
        <v>6</v>
      </c>
      <c r="F5490" s="29">
        <f>ROUND(((SUMIFS(Calendar!$F$2:$F$9997,Calendar!$B$2:$B$9997,D5490,Calendar!$C$2:$C$9997,C5490)*INDEX(ForeCalc!$B$37:$Y$274,MATCH(_xlfn.CONCAT(H5490," ",I5490),ForeCalc!$A$37:$A$274,0),MATCH(_xlfn.CONCAT(B5490," ",E5490),ForeCalc!$B$36:$Y$36,0))))*VLOOKUP(A5490,Calendar!$A$2:$H$9997,8,FALSE),0)</f>
        <v/>
      </c>
      <c r="G5490" s="29">
        <f>VLOOKUP(A5490,Calendar!$A$1:$H$9997,6,FALSE)-F5490</f>
        <v/>
      </c>
      <c r="H5490" s="19" t="n">
        <v>1</v>
      </c>
      <c r="I5490" s="57" t="n">
        <v>1</v>
      </c>
    </row>
    <row r="5491">
      <c r="A5491" s="62" t="n">
        <v>46122</v>
      </c>
      <c r="B5491" s="3" t="inlineStr">
        <is>
          <t>Week</t>
        </is>
      </c>
      <c r="C5491" s="19" t="n">
        <v>4</v>
      </c>
      <c r="D5491" s="19" t="n">
        <v>2026</v>
      </c>
      <c r="E5491" s="57" t="n">
        <v>6</v>
      </c>
      <c r="F5491" s="29">
        <f>ROUND(((SUMIFS(Calendar!$F$2:$F$9997,Calendar!$B$2:$B$9997,D5491,Calendar!$C$2:$C$9997,C5491)*INDEX(ForeCalc!$B$37:$Y$274,MATCH(_xlfn.CONCAT(H5491," ",I5491),ForeCalc!$A$37:$A$274,0),MATCH(_xlfn.CONCAT(B5491," ",E5491),ForeCalc!$B$36:$Y$36,0))))*VLOOKUP(A5491,Calendar!$A$2:$H$9997,8,FALSE),0)</f>
        <v/>
      </c>
      <c r="G5491" s="29">
        <f>VLOOKUP(A5491,Calendar!$A$1:$H$9997,6,FALSE)-F5491</f>
        <v/>
      </c>
      <c r="H5491" s="19" t="n">
        <v>1</v>
      </c>
      <c r="I5491" s="57" t="n">
        <v>1</v>
      </c>
    </row>
    <row r="5492">
      <c r="A5492" s="62" t="n">
        <v>46123</v>
      </c>
      <c r="B5492" s="3" t="inlineStr">
        <is>
          <t>Sat</t>
        </is>
      </c>
      <c r="C5492" s="19" t="n">
        <v>4</v>
      </c>
      <c r="D5492" s="19" t="n">
        <v>2026</v>
      </c>
      <c r="E5492" s="57" t="n">
        <v>6</v>
      </c>
      <c r="F5492" s="29">
        <f>ROUND(((SUMIFS(Calendar!$F$2:$F$9997,Calendar!$B$2:$B$9997,D5492,Calendar!$C$2:$C$9997,C5492)*INDEX(ForeCalc!$B$37:$Y$274,MATCH(_xlfn.CONCAT(H5492," ",I5492),ForeCalc!$A$37:$A$274,0),MATCH(_xlfn.CONCAT(B5492," ",E5492),ForeCalc!$B$36:$Y$36,0))))*VLOOKUP(A5492,Calendar!$A$2:$H$9997,8,FALSE),0)</f>
        <v/>
      </c>
      <c r="G5492" s="29">
        <f>VLOOKUP(A5492,Calendar!$A$1:$H$9997,6,FALSE)-F5492</f>
        <v/>
      </c>
      <c r="H5492" s="19" t="n">
        <v>1</v>
      </c>
      <c r="I5492" s="57" t="n">
        <v>1</v>
      </c>
    </row>
    <row r="5493">
      <c r="A5493" s="62" t="n">
        <v>46124</v>
      </c>
      <c r="B5493" s="3" t="inlineStr">
        <is>
          <t>Sun</t>
        </is>
      </c>
      <c r="C5493" s="19" t="n">
        <v>4</v>
      </c>
      <c r="D5493" s="19" t="n">
        <v>2026</v>
      </c>
      <c r="E5493" s="57" t="n">
        <v>6</v>
      </c>
      <c r="F5493" s="29">
        <f>ROUND(((SUMIFS(Calendar!$F$2:$F$9997,Calendar!$B$2:$B$9997,D5493,Calendar!$C$2:$C$9997,C5493)*INDEX(ForeCalc!$B$37:$Y$274,MATCH(_xlfn.CONCAT(H5493," ",I5493),ForeCalc!$A$37:$A$274,0),MATCH(_xlfn.CONCAT(B5493," ",E5493),ForeCalc!$B$36:$Y$36,0))))*VLOOKUP(A5493,Calendar!$A$2:$H$9997,8,FALSE),0)</f>
        <v/>
      </c>
      <c r="G5493" s="29">
        <f>VLOOKUP(A5493,Calendar!$A$1:$H$9997,6,FALSE)-F5493</f>
        <v/>
      </c>
      <c r="H5493" s="19" t="n">
        <v>1</v>
      </c>
      <c r="I5493" s="57" t="n">
        <v>1</v>
      </c>
    </row>
    <row r="5494">
      <c r="A5494" s="62" t="n">
        <v>46125</v>
      </c>
      <c r="B5494" s="3" t="inlineStr">
        <is>
          <t>Week</t>
        </is>
      </c>
      <c r="C5494" s="19" t="n">
        <v>4</v>
      </c>
      <c r="D5494" s="19" t="n">
        <v>2026</v>
      </c>
      <c r="E5494" s="57" t="n">
        <v>6</v>
      </c>
      <c r="F5494" s="29">
        <f>ROUND(((SUMIFS(Calendar!$F$2:$F$9997,Calendar!$B$2:$B$9997,D5494,Calendar!$C$2:$C$9997,C5494)*INDEX(ForeCalc!$B$37:$Y$274,MATCH(_xlfn.CONCAT(H5494," ",I5494),ForeCalc!$A$37:$A$274,0),MATCH(_xlfn.CONCAT(B5494," ",E5494),ForeCalc!$B$36:$Y$36,0))))*VLOOKUP(A5494,Calendar!$A$2:$H$9997,8,FALSE),0)</f>
        <v/>
      </c>
      <c r="G5494" s="29">
        <f>VLOOKUP(A5494,Calendar!$A$1:$H$9997,6,FALSE)-F5494</f>
        <v/>
      </c>
      <c r="H5494" s="19" t="n">
        <v>1</v>
      </c>
      <c r="I5494" s="57" t="n">
        <v>1</v>
      </c>
    </row>
    <row r="5495">
      <c r="A5495" s="62" t="n">
        <v>46126</v>
      </c>
      <c r="B5495" s="3" t="inlineStr">
        <is>
          <t>Week</t>
        </is>
      </c>
      <c r="C5495" s="19" t="n">
        <v>4</v>
      </c>
      <c r="D5495" s="19" t="n">
        <v>2026</v>
      </c>
      <c r="E5495" s="57" t="n">
        <v>6</v>
      </c>
      <c r="F5495" s="29">
        <f>ROUND(((SUMIFS(Calendar!$F$2:$F$9997,Calendar!$B$2:$B$9997,D5495,Calendar!$C$2:$C$9997,C5495)*INDEX(ForeCalc!$B$37:$Y$274,MATCH(_xlfn.CONCAT(H5495," ",I5495),ForeCalc!$A$37:$A$274,0),MATCH(_xlfn.CONCAT(B5495," ",E5495),ForeCalc!$B$36:$Y$36,0))))*VLOOKUP(A5495,Calendar!$A$2:$H$9997,8,FALSE),0)</f>
        <v/>
      </c>
      <c r="G5495" s="29">
        <f>VLOOKUP(A5495,Calendar!$A$1:$H$9997,6,FALSE)-F5495</f>
        <v/>
      </c>
      <c r="H5495" s="19" t="n">
        <v>1</v>
      </c>
      <c r="I5495" s="57" t="n">
        <v>1</v>
      </c>
    </row>
    <row r="5496">
      <c r="A5496" s="62" t="n">
        <v>46127</v>
      </c>
      <c r="B5496" s="3" t="inlineStr">
        <is>
          <t>Week</t>
        </is>
      </c>
      <c r="C5496" s="19" t="n">
        <v>4</v>
      </c>
      <c r="D5496" s="19" t="n">
        <v>2026</v>
      </c>
      <c r="E5496" s="57" t="n">
        <v>6</v>
      </c>
      <c r="F5496" s="29">
        <f>ROUND(((SUMIFS(Calendar!$F$2:$F$9997,Calendar!$B$2:$B$9997,D5496,Calendar!$C$2:$C$9997,C5496)*INDEX(ForeCalc!$B$37:$Y$274,MATCH(_xlfn.CONCAT(H5496," ",I5496),ForeCalc!$A$37:$A$274,0),MATCH(_xlfn.CONCAT(B5496," ",E5496),ForeCalc!$B$36:$Y$36,0))))*VLOOKUP(A5496,Calendar!$A$2:$H$9997,8,FALSE),0)</f>
        <v/>
      </c>
      <c r="G5496" s="29">
        <f>VLOOKUP(A5496,Calendar!$A$1:$H$9997,6,FALSE)-F5496</f>
        <v/>
      </c>
      <c r="H5496" s="19" t="n">
        <v>1</v>
      </c>
      <c r="I5496" s="57" t="n">
        <v>1</v>
      </c>
    </row>
    <row r="5497">
      <c r="A5497" s="62" t="n">
        <v>46128</v>
      </c>
      <c r="B5497" s="3" t="inlineStr">
        <is>
          <t>Week</t>
        </is>
      </c>
      <c r="C5497" s="19" t="n">
        <v>4</v>
      </c>
      <c r="D5497" s="19" t="n">
        <v>2026</v>
      </c>
      <c r="E5497" s="57" t="n">
        <v>6</v>
      </c>
      <c r="F5497" s="29">
        <f>ROUND(((SUMIFS(Calendar!$F$2:$F$9997,Calendar!$B$2:$B$9997,D5497,Calendar!$C$2:$C$9997,C5497)*INDEX(ForeCalc!$B$37:$Y$274,MATCH(_xlfn.CONCAT(H5497," ",I5497),ForeCalc!$A$37:$A$274,0),MATCH(_xlfn.CONCAT(B5497," ",E5497),ForeCalc!$B$36:$Y$36,0))))*VLOOKUP(A5497,Calendar!$A$2:$H$9997,8,FALSE),0)</f>
        <v/>
      </c>
      <c r="G5497" s="29">
        <f>VLOOKUP(A5497,Calendar!$A$1:$H$9997,6,FALSE)-F5497</f>
        <v/>
      </c>
      <c r="H5497" s="19" t="n">
        <v>1</v>
      </c>
      <c r="I5497" s="57" t="n">
        <v>1</v>
      </c>
    </row>
    <row r="5498">
      <c r="A5498" s="62" t="n">
        <v>46129</v>
      </c>
      <c r="B5498" s="3" t="inlineStr">
        <is>
          <t>Week</t>
        </is>
      </c>
      <c r="C5498" s="19" t="n">
        <v>4</v>
      </c>
      <c r="D5498" s="19" t="n">
        <v>2026</v>
      </c>
      <c r="E5498" s="57" t="n">
        <v>6</v>
      </c>
      <c r="F5498" s="29">
        <f>ROUND(((SUMIFS(Calendar!$F$2:$F$9997,Calendar!$B$2:$B$9997,D5498,Calendar!$C$2:$C$9997,C5498)*INDEX(ForeCalc!$B$37:$Y$274,MATCH(_xlfn.CONCAT(H5498," ",I5498),ForeCalc!$A$37:$A$274,0),MATCH(_xlfn.CONCAT(B5498," ",E5498),ForeCalc!$B$36:$Y$36,0))))*VLOOKUP(A5498,Calendar!$A$2:$H$9997,8,FALSE),0)</f>
        <v/>
      </c>
      <c r="G5498" s="29">
        <f>VLOOKUP(A5498,Calendar!$A$1:$H$9997,6,FALSE)-F5498</f>
        <v/>
      </c>
      <c r="H5498" s="19" t="n">
        <v>1</v>
      </c>
      <c r="I5498" s="57" t="n">
        <v>1</v>
      </c>
    </row>
    <row r="5499">
      <c r="A5499" s="62" t="n">
        <v>46130</v>
      </c>
      <c r="B5499" s="3" t="inlineStr">
        <is>
          <t>Sat</t>
        </is>
      </c>
      <c r="C5499" s="19" t="n">
        <v>4</v>
      </c>
      <c r="D5499" s="19" t="n">
        <v>2026</v>
      </c>
      <c r="E5499" s="57" t="n">
        <v>6</v>
      </c>
      <c r="F5499" s="29">
        <f>ROUND(((SUMIFS(Calendar!$F$2:$F$9997,Calendar!$B$2:$B$9997,D5499,Calendar!$C$2:$C$9997,C5499)*INDEX(ForeCalc!$B$37:$Y$274,MATCH(_xlfn.CONCAT(H5499," ",I5499),ForeCalc!$A$37:$A$274,0),MATCH(_xlfn.CONCAT(B5499," ",E5499),ForeCalc!$B$36:$Y$36,0))))*VLOOKUP(A5499,Calendar!$A$2:$H$9997,8,FALSE),0)</f>
        <v/>
      </c>
      <c r="G5499" s="29">
        <f>VLOOKUP(A5499,Calendar!$A$1:$H$9997,6,FALSE)-F5499</f>
        <v/>
      </c>
      <c r="H5499" s="19" t="n">
        <v>1</v>
      </c>
      <c r="I5499" s="57" t="n">
        <v>1</v>
      </c>
    </row>
    <row r="5500">
      <c r="A5500" s="62" t="n">
        <v>46131</v>
      </c>
      <c r="B5500" s="3" t="inlineStr">
        <is>
          <t>Sun</t>
        </is>
      </c>
      <c r="C5500" s="19" t="n">
        <v>4</v>
      </c>
      <c r="D5500" s="19" t="n">
        <v>2026</v>
      </c>
      <c r="E5500" s="57" t="n">
        <v>6</v>
      </c>
      <c r="F5500" s="29">
        <f>ROUND(((SUMIFS(Calendar!$F$2:$F$9997,Calendar!$B$2:$B$9997,D5500,Calendar!$C$2:$C$9997,C5500)*INDEX(ForeCalc!$B$37:$Y$274,MATCH(_xlfn.CONCAT(H5500," ",I5500),ForeCalc!$A$37:$A$274,0),MATCH(_xlfn.CONCAT(B5500," ",E5500),ForeCalc!$B$36:$Y$36,0))))*VLOOKUP(A5500,Calendar!$A$2:$H$9997,8,FALSE),0)</f>
        <v/>
      </c>
      <c r="G5500" s="29">
        <f>VLOOKUP(A5500,Calendar!$A$1:$H$9997,6,FALSE)-F5500</f>
        <v/>
      </c>
      <c r="H5500" s="19" t="n">
        <v>1</v>
      </c>
      <c r="I5500" s="57" t="n">
        <v>1</v>
      </c>
    </row>
    <row r="5501">
      <c r="A5501" s="62" t="n">
        <v>46132</v>
      </c>
      <c r="B5501" s="3" t="inlineStr">
        <is>
          <t>Week</t>
        </is>
      </c>
      <c r="C5501" s="19" t="n">
        <v>4</v>
      </c>
      <c r="D5501" s="19" t="n">
        <v>2026</v>
      </c>
      <c r="E5501" s="57" t="n">
        <v>6</v>
      </c>
      <c r="F5501" s="29">
        <f>ROUND(((SUMIFS(Calendar!$F$2:$F$9997,Calendar!$B$2:$B$9997,D5501,Calendar!$C$2:$C$9997,C5501)*INDEX(ForeCalc!$B$37:$Y$274,MATCH(_xlfn.CONCAT(H5501," ",I5501),ForeCalc!$A$37:$A$274,0),MATCH(_xlfn.CONCAT(B5501," ",E5501),ForeCalc!$B$36:$Y$36,0))))*VLOOKUP(A5501,Calendar!$A$2:$H$9997,8,FALSE),0)</f>
        <v/>
      </c>
      <c r="G5501" s="29">
        <f>VLOOKUP(A5501,Calendar!$A$1:$H$9997,6,FALSE)-F5501</f>
        <v/>
      </c>
      <c r="H5501" s="19" t="n">
        <v>1</v>
      </c>
      <c r="I5501" s="57" t="n">
        <v>1</v>
      </c>
    </row>
    <row r="5502">
      <c r="A5502" s="62" t="n">
        <v>46133</v>
      </c>
      <c r="B5502" s="3" t="inlineStr">
        <is>
          <t>Week</t>
        </is>
      </c>
      <c r="C5502" s="19" t="n">
        <v>4</v>
      </c>
      <c r="D5502" s="19" t="n">
        <v>2026</v>
      </c>
      <c r="E5502" s="57" t="n">
        <v>6</v>
      </c>
      <c r="F5502" s="29">
        <f>ROUND(((SUMIFS(Calendar!$F$2:$F$9997,Calendar!$B$2:$B$9997,D5502,Calendar!$C$2:$C$9997,C5502)*INDEX(ForeCalc!$B$37:$Y$274,MATCH(_xlfn.CONCAT(H5502," ",I5502),ForeCalc!$A$37:$A$274,0),MATCH(_xlfn.CONCAT(B5502," ",E5502),ForeCalc!$B$36:$Y$36,0))))*VLOOKUP(A5502,Calendar!$A$2:$H$9997,8,FALSE),0)</f>
        <v/>
      </c>
      <c r="G5502" s="29">
        <f>VLOOKUP(A5502,Calendar!$A$1:$H$9997,6,FALSE)-F5502</f>
        <v/>
      </c>
      <c r="H5502" s="19" t="n">
        <v>1</v>
      </c>
      <c r="I5502" s="57" t="n">
        <v>1</v>
      </c>
    </row>
    <row r="5503">
      <c r="A5503" s="62" t="n">
        <v>46134</v>
      </c>
      <c r="B5503" s="3" t="inlineStr">
        <is>
          <t>Week</t>
        </is>
      </c>
      <c r="C5503" s="19" t="n">
        <v>4</v>
      </c>
      <c r="D5503" s="19" t="n">
        <v>2026</v>
      </c>
      <c r="E5503" s="57" t="n">
        <v>6</v>
      </c>
      <c r="F5503" s="29">
        <f>ROUND(((SUMIFS(Calendar!$F$2:$F$9997,Calendar!$B$2:$B$9997,D5503,Calendar!$C$2:$C$9997,C5503)*INDEX(ForeCalc!$B$37:$Y$274,MATCH(_xlfn.CONCAT(H5503," ",I5503),ForeCalc!$A$37:$A$274,0),MATCH(_xlfn.CONCAT(B5503," ",E5503),ForeCalc!$B$36:$Y$36,0))))*VLOOKUP(A5503,Calendar!$A$2:$H$9997,8,FALSE),0)</f>
        <v/>
      </c>
      <c r="G5503" s="29">
        <f>VLOOKUP(A5503,Calendar!$A$1:$H$9997,6,FALSE)-F5503</f>
        <v/>
      </c>
      <c r="H5503" s="19" t="n">
        <v>1</v>
      </c>
      <c r="I5503" s="57" t="n">
        <v>1</v>
      </c>
    </row>
    <row r="5504">
      <c r="A5504" s="62" t="n">
        <v>46135</v>
      </c>
      <c r="B5504" s="3" t="inlineStr">
        <is>
          <t>Week</t>
        </is>
      </c>
      <c r="C5504" s="19" t="n">
        <v>4</v>
      </c>
      <c r="D5504" s="19" t="n">
        <v>2026</v>
      </c>
      <c r="E5504" s="57" t="n">
        <v>6</v>
      </c>
      <c r="F5504" s="29">
        <f>ROUND(((SUMIFS(Calendar!$F$2:$F$9997,Calendar!$B$2:$B$9997,D5504,Calendar!$C$2:$C$9997,C5504)*INDEX(ForeCalc!$B$37:$Y$274,MATCH(_xlfn.CONCAT(H5504," ",I5504),ForeCalc!$A$37:$A$274,0),MATCH(_xlfn.CONCAT(B5504," ",E5504),ForeCalc!$B$36:$Y$36,0))))*VLOOKUP(A5504,Calendar!$A$2:$H$9997,8,FALSE),0)</f>
        <v/>
      </c>
      <c r="G5504" s="29">
        <f>VLOOKUP(A5504,Calendar!$A$1:$H$9997,6,FALSE)-F5504</f>
        <v/>
      </c>
      <c r="H5504" s="19" t="n">
        <v>1</v>
      </c>
      <c r="I5504" s="57" t="n">
        <v>1</v>
      </c>
    </row>
    <row r="5505">
      <c r="A5505" s="62" t="n">
        <v>46136</v>
      </c>
      <c r="B5505" s="3" t="inlineStr">
        <is>
          <t>Week</t>
        </is>
      </c>
      <c r="C5505" s="19" t="n">
        <v>4</v>
      </c>
      <c r="D5505" s="19" t="n">
        <v>2026</v>
      </c>
      <c r="E5505" s="57" t="n">
        <v>6</v>
      </c>
      <c r="F5505" s="29">
        <f>ROUND(((SUMIFS(Calendar!$F$2:$F$9997,Calendar!$B$2:$B$9997,D5505,Calendar!$C$2:$C$9997,C5505)*INDEX(ForeCalc!$B$37:$Y$274,MATCH(_xlfn.CONCAT(H5505," ",I5505),ForeCalc!$A$37:$A$274,0),MATCH(_xlfn.CONCAT(B5505," ",E5505),ForeCalc!$B$36:$Y$36,0))))*VLOOKUP(A5505,Calendar!$A$2:$H$9997,8,FALSE),0)</f>
        <v/>
      </c>
      <c r="G5505" s="29">
        <f>VLOOKUP(A5505,Calendar!$A$1:$H$9997,6,FALSE)-F5505</f>
        <v/>
      </c>
      <c r="H5505" s="19" t="n">
        <v>1</v>
      </c>
      <c r="I5505" s="57" t="n">
        <v>1</v>
      </c>
    </row>
    <row r="5506">
      <c r="A5506" s="62" t="n">
        <v>46137</v>
      </c>
      <c r="B5506" s="3" t="inlineStr">
        <is>
          <t>Sat</t>
        </is>
      </c>
      <c r="C5506" s="19" t="n">
        <v>4</v>
      </c>
      <c r="D5506" s="19" t="n">
        <v>2026</v>
      </c>
      <c r="E5506" s="57" t="n">
        <v>6</v>
      </c>
      <c r="F5506" s="29">
        <f>ROUND(((SUMIFS(Calendar!$F$2:$F$9997,Calendar!$B$2:$B$9997,D5506,Calendar!$C$2:$C$9997,C5506)*INDEX(ForeCalc!$B$37:$Y$274,MATCH(_xlfn.CONCAT(H5506," ",I5506),ForeCalc!$A$37:$A$274,0),MATCH(_xlfn.CONCAT(B5506," ",E5506),ForeCalc!$B$36:$Y$36,0))))*VLOOKUP(A5506,Calendar!$A$2:$H$9997,8,FALSE),0)</f>
        <v/>
      </c>
      <c r="G5506" s="29">
        <f>VLOOKUP(A5506,Calendar!$A$1:$H$9997,6,FALSE)-F5506</f>
        <v/>
      </c>
      <c r="H5506" s="19" t="n">
        <v>1</v>
      </c>
      <c r="I5506" s="57" t="n">
        <v>1</v>
      </c>
    </row>
    <row r="5507">
      <c r="A5507" s="62" t="n">
        <v>46138</v>
      </c>
      <c r="B5507" s="3" t="inlineStr">
        <is>
          <t>Sun</t>
        </is>
      </c>
      <c r="C5507" s="19" t="n">
        <v>4</v>
      </c>
      <c r="D5507" s="19" t="n">
        <v>2026</v>
      </c>
      <c r="E5507" s="57" t="n">
        <v>6</v>
      </c>
      <c r="F5507" s="29">
        <f>ROUND(((SUMIFS(Calendar!$F$2:$F$9997,Calendar!$B$2:$B$9997,D5507,Calendar!$C$2:$C$9997,C5507)*INDEX(ForeCalc!$B$37:$Y$274,MATCH(_xlfn.CONCAT(H5507," ",I5507),ForeCalc!$A$37:$A$274,0),MATCH(_xlfn.CONCAT(B5507," ",E5507),ForeCalc!$B$36:$Y$36,0))))*VLOOKUP(A5507,Calendar!$A$2:$H$9997,8,FALSE),0)</f>
        <v/>
      </c>
      <c r="G5507" s="29">
        <f>VLOOKUP(A5507,Calendar!$A$1:$H$9997,6,FALSE)-F5507</f>
        <v/>
      </c>
      <c r="H5507" s="19" t="n">
        <v>1</v>
      </c>
      <c r="I5507" s="57" t="n">
        <v>1</v>
      </c>
    </row>
    <row r="5508">
      <c r="A5508" s="62" t="n">
        <v>46139</v>
      </c>
      <c r="B5508" s="3" t="inlineStr">
        <is>
          <t>Week</t>
        </is>
      </c>
      <c r="C5508" s="19" t="n">
        <v>4</v>
      </c>
      <c r="D5508" s="19" t="n">
        <v>2026</v>
      </c>
      <c r="E5508" s="57" t="n">
        <v>6</v>
      </c>
      <c r="F5508" s="29">
        <f>ROUND(((SUMIFS(Calendar!$F$2:$F$9997,Calendar!$B$2:$B$9997,D5508,Calendar!$C$2:$C$9997,C5508)*INDEX(ForeCalc!$B$37:$Y$274,MATCH(_xlfn.CONCAT(H5508," ",I5508),ForeCalc!$A$37:$A$274,0),MATCH(_xlfn.CONCAT(B5508," ",E5508),ForeCalc!$B$36:$Y$36,0))))*VLOOKUP(A5508,Calendar!$A$2:$H$9997,8,FALSE),0)</f>
        <v/>
      </c>
      <c r="G5508" s="29">
        <f>VLOOKUP(A5508,Calendar!$A$1:$H$9997,6,FALSE)-F5508</f>
        <v/>
      </c>
      <c r="H5508" s="19" t="n">
        <v>1</v>
      </c>
      <c r="I5508" s="57" t="n">
        <v>1</v>
      </c>
    </row>
    <row r="5509">
      <c r="A5509" s="62" t="n">
        <v>46140</v>
      </c>
      <c r="B5509" s="3" t="inlineStr">
        <is>
          <t>Week</t>
        </is>
      </c>
      <c r="C5509" s="19" t="n">
        <v>4</v>
      </c>
      <c r="D5509" s="19" t="n">
        <v>2026</v>
      </c>
      <c r="E5509" s="57" t="n">
        <v>6</v>
      </c>
      <c r="F5509" s="29">
        <f>ROUND(((SUMIFS(Calendar!$F$2:$F$9997,Calendar!$B$2:$B$9997,D5509,Calendar!$C$2:$C$9997,C5509)*INDEX(ForeCalc!$B$37:$Y$274,MATCH(_xlfn.CONCAT(H5509," ",I5509),ForeCalc!$A$37:$A$274,0),MATCH(_xlfn.CONCAT(B5509," ",E5509),ForeCalc!$B$36:$Y$36,0))))*VLOOKUP(A5509,Calendar!$A$2:$H$9997,8,FALSE),0)</f>
        <v/>
      </c>
      <c r="G5509" s="29">
        <f>VLOOKUP(A5509,Calendar!$A$1:$H$9997,6,FALSE)-F5509</f>
        <v/>
      </c>
      <c r="H5509" s="19" t="n">
        <v>1</v>
      </c>
      <c r="I5509" s="57" t="n">
        <v>1</v>
      </c>
    </row>
    <row r="5510">
      <c r="A5510" s="62" t="n">
        <v>46141</v>
      </c>
      <c r="B5510" s="3" t="inlineStr">
        <is>
          <t>Week</t>
        </is>
      </c>
      <c r="C5510" s="19" t="n">
        <v>4</v>
      </c>
      <c r="D5510" s="19" t="n">
        <v>2026</v>
      </c>
      <c r="E5510" s="57" t="n">
        <v>6</v>
      </c>
      <c r="F5510" s="29">
        <f>ROUND(((SUMIFS(Calendar!$F$2:$F$9997,Calendar!$B$2:$B$9997,D5510,Calendar!$C$2:$C$9997,C5510)*INDEX(ForeCalc!$B$37:$Y$274,MATCH(_xlfn.CONCAT(H5510," ",I5510),ForeCalc!$A$37:$A$274,0),MATCH(_xlfn.CONCAT(B5510," ",E5510),ForeCalc!$B$36:$Y$36,0))))*VLOOKUP(A5510,Calendar!$A$2:$H$9997,8,FALSE),0)</f>
        <v/>
      </c>
      <c r="G5510" s="29">
        <f>VLOOKUP(A5510,Calendar!$A$1:$H$9997,6,FALSE)-F5510</f>
        <v/>
      </c>
      <c r="H5510" s="19" t="n">
        <v>1</v>
      </c>
      <c r="I5510" s="57" t="n">
        <v>1</v>
      </c>
    </row>
    <row r="5511">
      <c r="A5511" s="62" t="n">
        <v>46142</v>
      </c>
      <c r="B5511" s="3" t="inlineStr">
        <is>
          <t>Week</t>
        </is>
      </c>
      <c r="C5511" s="19" t="n">
        <v>4</v>
      </c>
      <c r="D5511" s="19" t="n">
        <v>2026</v>
      </c>
      <c r="E5511" s="57" t="n">
        <v>6</v>
      </c>
      <c r="F5511" s="29">
        <f>ROUND(((SUMIFS(Calendar!$F$2:$F$9997,Calendar!$B$2:$B$9997,D5511,Calendar!$C$2:$C$9997,C5511)*INDEX(ForeCalc!$B$37:$Y$274,MATCH(_xlfn.CONCAT(H5511," ",I5511),ForeCalc!$A$37:$A$274,0),MATCH(_xlfn.CONCAT(B5511," ",E5511),ForeCalc!$B$36:$Y$36,0))))*VLOOKUP(A5511,Calendar!$A$2:$H$9997,8,FALSE),0)</f>
        <v/>
      </c>
      <c r="G5511" s="29">
        <f>VLOOKUP(A5511,Calendar!$A$1:$H$9997,6,FALSE)-F5511</f>
        <v/>
      </c>
      <c r="H5511" s="19" t="n">
        <v>1</v>
      </c>
      <c r="I5511" s="57" t="n">
        <v>1</v>
      </c>
    </row>
    <row r="5512">
      <c r="A5512" s="62" t="n">
        <v>46143</v>
      </c>
      <c r="B5512" s="3" t="inlineStr">
        <is>
          <t>Week</t>
        </is>
      </c>
      <c r="C5512" s="19" t="n">
        <v>5</v>
      </c>
      <c r="D5512" s="19" t="n">
        <v>2026</v>
      </c>
      <c r="E5512" s="57" t="n">
        <v>6</v>
      </c>
      <c r="F5512" s="29">
        <f>ROUND(((SUMIFS(Calendar!$F$2:$F$9997,Calendar!$B$2:$B$9997,D5512,Calendar!$C$2:$C$9997,C5512)*INDEX(ForeCalc!$B$37:$Y$274,MATCH(_xlfn.CONCAT(H5512," ",I5512),ForeCalc!$A$37:$A$274,0),MATCH(_xlfn.CONCAT(B5512," ",E5512),ForeCalc!$B$36:$Y$36,0))))*VLOOKUP(A5512,Calendar!$A$2:$H$9997,8,FALSE),0)</f>
        <v/>
      </c>
      <c r="G5512" s="29">
        <f>VLOOKUP(A5512,Calendar!$A$1:$H$9997,6,FALSE)-F5512</f>
        <v/>
      </c>
      <c r="H5512" s="19" t="n">
        <v>1</v>
      </c>
      <c r="I5512" s="57" t="n">
        <v>2</v>
      </c>
    </row>
    <row r="5513">
      <c r="A5513" s="62" t="n">
        <v>46144</v>
      </c>
      <c r="B5513" s="3" t="inlineStr">
        <is>
          <t>Sat</t>
        </is>
      </c>
      <c r="C5513" s="19" t="n">
        <v>5</v>
      </c>
      <c r="D5513" s="19" t="n">
        <v>2026</v>
      </c>
      <c r="E5513" s="57" t="n">
        <v>6</v>
      </c>
      <c r="F5513" s="29">
        <f>ROUND(((SUMIFS(Calendar!$F$2:$F$9997,Calendar!$B$2:$B$9997,D5513,Calendar!$C$2:$C$9997,C5513)*INDEX(ForeCalc!$B$37:$Y$274,MATCH(_xlfn.CONCAT(H5513," ",I5513),ForeCalc!$A$37:$A$274,0),MATCH(_xlfn.CONCAT(B5513," ",E5513),ForeCalc!$B$36:$Y$36,0))))*VLOOKUP(A5513,Calendar!$A$2:$H$9997,8,FALSE),0)</f>
        <v/>
      </c>
      <c r="G5513" s="29">
        <f>VLOOKUP(A5513,Calendar!$A$1:$H$9997,6,FALSE)-F5513</f>
        <v/>
      </c>
      <c r="H5513" s="19" t="n">
        <v>1</v>
      </c>
      <c r="I5513" s="57" t="n">
        <v>2</v>
      </c>
    </row>
    <row r="5514">
      <c r="A5514" s="62" t="n">
        <v>46145</v>
      </c>
      <c r="B5514" s="3" t="inlineStr">
        <is>
          <t>Sun</t>
        </is>
      </c>
      <c r="C5514" s="19" t="n">
        <v>5</v>
      </c>
      <c r="D5514" s="19" t="n">
        <v>2026</v>
      </c>
      <c r="E5514" s="57" t="n">
        <v>6</v>
      </c>
      <c r="F5514" s="29">
        <f>ROUND(((SUMIFS(Calendar!$F$2:$F$9997,Calendar!$B$2:$B$9997,D5514,Calendar!$C$2:$C$9997,C5514)*INDEX(ForeCalc!$B$37:$Y$274,MATCH(_xlfn.CONCAT(H5514," ",I5514),ForeCalc!$A$37:$A$274,0),MATCH(_xlfn.CONCAT(B5514," ",E5514),ForeCalc!$B$36:$Y$36,0))))*VLOOKUP(A5514,Calendar!$A$2:$H$9997,8,FALSE),0)</f>
        <v/>
      </c>
      <c r="G5514" s="29">
        <f>VLOOKUP(A5514,Calendar!$A$1:$H$9997,6,FALSE)-F5514</f>
        <v/>
      </c>
      <c r="H5514" s="19" t="n">
        <v>1</v>
      </c>
      <c r="I5514" s="57" t="n">
        <v>2</v>
      </c>
    </row>
    <row r="5515">
      <c r="A5515" s="62" t="n">
        <v>46146</v>
      </c>
      <c r="B5515" s="3" t="inlineStr">
        <is>
          <t>Week</t>
        </is>
      </c>
      <c r="C5515" s="19" t="n">
        <v>5</v>
      </c>
      <c r="D5515" s="19" t="n">
        <v>2026</v>
      </c>
      <c r="E5515" s="57" t="n">
        <v>6</v>
      </c>
      <c r="F5515" s="29">
        <f>ROUND(((SUMIFS(Calendar!$F$2:$F$9997,Calendar!$B$2:$B$9997,D5515,Calendar!$C$2:$C$9997,C5515)*INDEX(ForeCalc!$B$37:$Y$274,MATCH(_xlfn.CONCAT(H5515," ",I5515),ForeCalc!$A$37:$A$274,0),MATCH(_xlfn.CONCAT(B5515," ",E5515),ForeCalc!$B$36:$Y$36,0))))*VLOOKUP(A5515,Calendar!$A$2:$H$9997,8,FALSE),0)</f>
        <v/>
      </c>
      <c r="G5515" s="29">
        <f>VLOOKUP(A5515,Calendar!$A$1:$H$9997,6,FALSE)-F5515</f>
        <v/>
      </c>
      <c r="H5515" s="19" t="n">
        <v>1</v>
      </c>
      <c r="I5515" s="57" t="n">
        <v>2</v>
      </c>
    </row>
    <row r="5516">
      <c r="A5516" s="62" t="n">
        <v>46147</v>
      </c>
      <c r="B5516" s="3" t="inlineStr">
        <is>
          <t>Week</t>
        </is>
      </c>
      <c r="C5516" s="19" t="n">
        <v>5</v>
      </c>
      <c r="D5516" s="19" t="n">
        <v>2026</v>
      </c>
      <c r="E5516" s="57" t="n">
        <v>6</v>
      </c>
      <c r="F5516" s="29">
        <f>ROUND(((SUMIFS(Calendar!$F$2:$F$9997,Calendar!$B$2:$B$9997,D5516,Calendar!$C$2:$C$9997,C5516)*INDEX(ForeCalc!$B$37:$Y$274,MATCH(_xlfn.CONCAT(H5516," ",I5516),ForeCalc!$A$37:$A$274,0),MATCH(_xlfn.CONCAT(B5516," ",E5516),ForeCalc!$B$36:$Y$36,0))))*VLOOKUP(A5516,Calendar!$A$2:$H$9997,8,FALSE),0)</f>
        <v/>
      </c>
      <c r="G5516" s="29">
        <f>VLOOKUP(A5516,Calendar!$A$1:$H$9997,6,FALSE)-F5516</f>
        <v/>
      </c>
      <c r="H5516" s="19" t="n">
        <v>1</v>
      </c>
      <c r="I5516" s="57" t="n">
        <v>2</v>
      </c>
    </row>
    <row r="5517">
      <c r="A5517" s="62" t="n">
        <v>46148</v>
      </c>
      <c r="B5517" s="3" t="inlineStr">
        <is>
          <t>Week</t>
        </is>
      </c>
      <c r="C5517" s="19" t="n">
        <v>5</v>
      </c>
      <c r="D5517" s="19" t="n">
        <v>2026</v>
      </c>
      <c r="E5517" s="57" t="n">
        <v>6</v>
      </c>
      <c r="F5517" s="29">
        <f>ROUND(((SUMIFS(Calendar!$F$2:$F$9997,Calendar!$B$2:$B$9997,D5517,Calendar!$C$2:$C$9997,C5517)*INDEX(ForeCalc!$B$37:$Y$274,MATCH(_xlfn.CONCAT(H5517," ",I5517),ForeCalc!$A$37:$A$274,0),MATCH(_xlfn.CONCAT(B5517," ",E5517),ForeCalc!$B$36:$Y$36,0))))*VLOOKUP(A5517,Calendar!$A$2:$H$9997,8,FALSE),0)</f>
        <v/>
      </c>
      <c r="G5517" s="29">
        <f>VLOOKUP(A5517,Calendar!$A$1:$H$9997,6,FALSE)-F5517</f>
        <v/>
      </c>
      <c r="H5517" s="19" t="n">
        <v>1</v>
      </c>
      <c r="I5517" s="57" t="n">
        <v>2</v>
      </c>
    </row>
    <row r="5518">
      <c r="A5518" s="62" t="n">
        <v>46149</v>
      </c>
      <c r="B5518" s="3" t="inlineStr">
        <is>
          <t>Week</t>
        </is>
      </c>
      <c r="C5518" s="19" t="n">
        <v>5</v>
      </c>
      <c r="D5518" s="19" t="n">
        <v>2026</v>
      </c>
      <c r="E5518" s="57" t="n">
        <v>6</v>
      </c>
      <c r="F5518" s="29">
        <f>ROUND(((SUMIFS(Calendar!$F$2:$F$9997,Calendar!$B$2:$B$9997,D5518,Calendar!$C$2:$C$9997,C5518)*INDEX(ForeCalc!$B$37:$Y$274,MATCH(_xlfn.CONCAT(H5518," ",I5518),ForeCalc!$A$37:$A$274,0),MATCH(_xlfn.CONCAT(B5518," ",E5518),ForeCalc!$B$36:$Y$36,0))))*VLOOKUP(A5518,Calendar!$A$2:$H$9997,8,FALSE),0)</f>
        <v/>
      </c>
      <c r="G5518" s="29">
        <f>VLOOKUP(A5518,Calendar!$A$1:$H$9997,6,FALSE)-F5518</f>
        <v/>
      </c>
      <c r="H5518" s="19" t="n">
        <v>1</v>
      </c>
      <c r="I5518" s="57" t="n">
        <v>2</v>
      </c>
    </row>
    <row r="5519">
      <c r="A5519" s="62" t="n">
        <v>46150</v>
      </c>
      <c r="B5519" s="3" t="inlineStr">
        <is>
          <t>Week</t>
        </is>
      </c>
      <c r="C5519" s="19" t="n">
        <v>5</v>
      </c>
      <c r="D5519" s="19" t="n">
        <v>2026</v>
      </c>
      <c r="E5519" s="57" t="n">
        <v>6</v>
      </c>
      <c r="F5519" s="29">
        <f>ROUND(((SUMIFS(Calendar!$F$2:$F$9997,Calendar!$B$2:$B$9997,D5519,Calendar!$C$2:$C$9997,C5519)*INDEX(ForeCalc!$B$37:$Y$274,MATCH(_xlfn.CONCAT(H5519," ",I5519),ForeCalc!$A$37:$A$274,0),MATCH(_xlfn.CONCAT(B5519," ",E5519),ForeCalc!$B$36:$Y$36,0))))*VLOOKUP(A5519,Calendar!$A$2:$H$9997,8,FALSE),0)</f>
        <v/>
      </c>
      <c r="G5519" s="29">
        <f>VLOOKUP(A5519,Calendar!$A$1:$H$9997,6,FALSE)-F5519</f>
        <v/>
      </c>
      <c r="H5519" s="19" t="n">
        <v>1</v>
      </c>
      <c r="I5519" s="57" t="n">
        <v>2</v>
      </c>
    </row>
    <row r="5520">
      <c r="A5520" s="62" t="n">
        <v>46151</v>
      </c>
      <c r="B5520" s="3" t="inlineStr">
        <is>
          <t>Sat</t>
        </is>
      </c>
      <c r="C5520" s="19" t="n">
        <v>5</v>
      </c>
      <c r="D5520" s="19" t="n">
        <v>2026</v>
      </c>
      <c r="E5520" s="57" t="n">
        <v>6</v>
      </c>
      <c r="F5520" s="29">
        <f>ROUND(((SUMIFS(Calendar!$F$2:$F$9997,Calendar!$B$2:$B$9997,D5520,Calendar!$C$2:$C$9997,C5520)*INDEX(ForeCalc!$B$37:$Y$274,MATCH(_xlfn.CONCAT(H5520," ",I5520),ForeCalc!$A$37:$A$274,0),MATCH(_xlfn.CONCAT(B5520," ",E5520),ForeCalc!$B$36:$Y$36,0))))*VLOOKUP(A5520,Calendar!$A$2:$H$9997,8,FALSE),0)</f>
        <v/>
      </c>
      <c r="G5520" s="29">
        <f>VLOOKUP(A5520,Calendar!$A$1:$H$9997,6,FALSE)-F5520</f>
        <v/>
      </c>
      <c r="H5520" s="19" t="n">
        <v>1</v>
      </c>
      <c r="I5520" s="57" t="n">
        <v>2</v>
      </c>
    </row>
    <row r="5521">
      <c r="A5521" s="62" t="n">
        <v>46152</v>
      </c>
      <c r="B5521" s="3" t="inlineStr">
        <is>
          <t>Sun</t>
        </is>
      </c>
      <c r="C5521" s="19" t="n">
        <v>5</v>
      </c>
      <c r="D5521" s="19" t="n">
        <v>2026</v>
      </c>
      <c r="E5521" s="57" t="n">
        <v>6</v>
      </c>
      <c r="F5521" s="29">
        <f>ROUND(((SUMIFS(Calendar!$F$2:$F$9997,Calendar!$B$2:$B$9997,D5521,Calendar!$C$2:$C$9997,C5521)*INDEX(ForeCalc!$B$37:$Y$274,MATCH(_xlfn.CONCAT(H5521," ",I5521),ForeCalc!$A$37:$A$274,0),MATCH(_xlfn.CONCAT(B5521," ",E5521),ForeCalc!$B$36:$Y$36,0))))*VLOOKUP(A5521,Calendar!$A$2:$H$9997,8,FALSE),0)</f>
        <v/>
      </c>
      <c r="G5521" s="29">
        <f>VLOOKUP(A5521,Calendar!$A$1:$H$9997,6,FALSE)-F5521</f>
        <v/>
      </c>
      <c r="H5521" s="19" t="n">
        <v>1</v>
      </c>
      <c r="I5521" s="57" t="n">
        <v>2</v>
      </c>
    </row>
    <row r="5522">
      <c r="A5522" s="62" t="n">
        <v>46153</v>
      </c>
      <c r="B5522" s="3" t="inlineStr">
        <is>
          <t>Week</t>
        </is>
      </c>
      <c r="C5522" s="19" t="n">
        <v>5</v>
      </c>
      <c r="D5522" s="19" t="n">
        <v>2026</v>
      </c>
      <c r="E5522" s="57" t="n">
        <v>6</v>
      </c>
      <c r="F5522" s="29">
        <f>ROUND(((SUMIFS(Calendar!$F$2:$F$9997,Calendar!$B$2:$B$9997,D5522,Calendar!$C$2:$C$9997,C5522)*INDEX(ForeCalc!$B$37:$Y$274,MATCH(_xlfn.CONCAT(H5522," ",I5522),ForeCalc!$A$37:$A$274,0),MATCH(_xlfn.CONCAT(B5522," ",E5522),ForeCalc!$B$36:$Y$36,0))))*VLOOKUP(A5522,Calendar!$A$2:$H$9997,8,FALSE),0)</f>
        <v/>
      </c>
      <c r="G5522" s="29">
        <f>VLOOKUP(A5522,Calendar!$A$1:$H$9997,6,FALSE)-F5522</f>
        <v/>
      </c>
      <c r="H5522" s="19" t="n">
        <v>1</v>
      </c>
      <c r="I5522" s="57" t="n">
        <v>2</v>
      </c>
    </row>
    <row r="5523">
      <c r="A5523" s="62" t="n">
        <v>46154</v>
      </c>
      <c r="B5523" s="3" t="inlineStr">
        <is>
          <t>Week</t>
        </is>
      </c>
      <c r="C5523" s="19" t="n">
        <v>5</v>
      </c>
      <c r="D5523" s="19" t="n">
        <v>2026</v>
      </c>
      <c r="E5523" s="57" t="n">
        <v>6</v>
      </c>
      <c r="F5523" s="29">
        <f>ROUND(((SUMIFS(Calendar!$F$2:$F$9997,Calendar!$B$2:$B$9997,D5523,Calendar!$C$2:$C$9997,C5523)*INDEX(ForeCalc!$B$37:$Y$274,MATCH(_xlfn.CONCAT(H5523," ",I5523),ForeCalc!$A$37:$A$274,0),MATCH(_xlfn.CONCAT(B5523," ",E5523),ForeCalc!$B$36:$Y$36,0))))*VLOOKUP(A5523,Calendar!$A$2:$H$9997,8,FALSE),0)</f>
        <v/>
      </c>
      <c r="G5523" s="29">
        <f>VLOOKUP(A5523,Calendar!$A$1:$H$9997,6,FALSE)-F5523</f>
        <v/>
      </c>
      <c r="H5523" s="19" t="n">
        <v>1</v>
      </c>
      <c r="I5523" s="57" t="n">
        <v>2</v>
      </c>
    </row>
    <row r="5524">
      <c r="A5524" s="62" t="n">
        <v>46155</v>
      </c>
      <c r="B5524" s="3" t="inlineStr">
        <is>
          <t>Week</t>
        </is>
      </c>
      <c r="C5524" s="19" t="n">
        <v>5</v>
      </c>
      <c r="D5524" s="19" t="n">
        <v>2026</v>
      </c>
      <c r="E5524" s="57" t="n">
        <v>6</v>
      </c>
      <c r="F5524" s="29">
        <f>ROUND(((SUMIFS(Calendar!$F$2:$F$9997,Calendar!$B$2:$B$9997,D5524,Calendar!$C$2:$C$9997,C5524)*INDEX(ForeCalc!$B$37:$Y$274,MATCH(_xlfn.CONCAT(H5524," ",I5524),ForeCalc!$A$37:$A$274,0),MATCH(_xlfn.CONCAT(B5524," ",E5524),ForeCalc!$B$36:$Y$36,0))))*VLOOKUP(A5524,Calendar!$A$2:$H$9997,8,FALSE),0)</f>
        <v/>
      </c>
      <c r="G5524" s="29">
        <f>VLOOKUP(A5524,Calendar!$A$1:$H$9997,6,FALSE)-F5524</f>
        <v/>
      </c>
      <c r="H5524" s="19" t="n">
        <v>1</v>
      </c>
      <c r="I5524" s="57" t="n">
        <v>2</v>
      </c>
    </row>
    <row r="5525">
      <c r="A5525" s="62" t="n">
        <v>46156</v>
      </c>
      <c r="B5525" s="3" t="inlineStr">
        <is>
          <t>Week</t>
        </is>
      </c>
      <c r="C5525" s="19" t="n">
        <v>5</v>
      </c>
      <c r="D5525" s="19" t="n">
        <v>2026</v>
      </c>
      <c r="E5525" s="57" t="n">
        <v>6</v>
      </c>
      <c r="F5525" s="29">
        <f>ROUND(((SUMIFS(Calendar!$F$2:$F$9997,Calendar!$B$2:$B$9997,D5525,Calendar!$C$2:$C$9997,C5525)*INDEX(ForeCalc!$B$37:$Y$274,MATCH(_xlfn.CONCAT(H5525," ",I5525),ForeCalc!$A$37:$A$274,0),MATCH(_xlfn.CONCAT(B5525," ",E5525),ForeCalc!$B$36:$Y$36,0))))*VLOOKUP(A5525,Calendar!$A$2:$H$9997,8,FALSE),0)</f>
        <v/>
      </c>
      <c r="G5525" s="29">
        <f>VLOOKUP(A5525,Calendar!$A$1:$H$9997,6,FALSE)-F5525</f>
        <v/>
      </c>
      <c r="H5525" s="19" t="n">
        <v>1</v>
      </c>
      <c r="I5525" s="57" t="n">
        <v>2</v>
      </c>
    </row>
    <row r="5526">
      <c r="A5526" s="62" t="n">
        <v>46157</v>
      </c>
      <c r="B5526" s="3" t="inlineStr">
        <is>
          <t>Week</t>
        </is>
      </c>
      <c r="C5526" s="19" t="n">
        <v>5</v>
      </c>
      <c r="D5526" s="19" t="n">
        <v>2026</v>
      </c>
      <c r="E5526" s="57" t="n">
        <v>6</v>
      </c>
      <c r="F5526" s="29">
        <f>ROUND(((SUMIFS(Calendar!$F$2:$F$9997,Calendar!$B$2:$B$9997,D5526,Calendar!$C$2:$C$9997,C5526)*INDEX(ForeCalc!$B$37:$Y$274,MATCH(_xlfn.CONCAT(H5526," ",I5526),ForeCalc!$A$37:$A$274,0),MATCH(_xlfn.CONCAT(B5526," ",E5526),ForeCalc!$B$36:$Y$36,0))))*VLOOKUP(A5526,Calendar!$A$2:$H$9997,8,FALSE),0)</f>
        <v/>
      </c>
      <c r="G5526" s="29">
        <f>VLOOKUP(A5526,Calendar!$A$1:$H$9997,6,FALSE)-F5526</f>
        <v/>
      </c>
      <c r="H5526" s="19" t="n">
        <v>1</v>
      </c>
      <c r="I5526" s="57" t="n">
        <v>2</v>
      </c>
    </row>
    <row r="5527">
      <c r="A5527" s="62" t="n">
        <v>46158</v>
      </c>
      <c r="B5527" s="3" t="inlineStr">
        <is>
          <t>Sat</t>
        </is>
      </c>
      <c r="C5527" s="19" t="n">
        <v>5</v>
      </c>
      <c r="D5527" s="19" t="n">
        <v>2026</v>
      </c>
      <c r="E5527" s="57" t="n">
        <v>6</v>
      </c>
      <c r="F5527" s="29">
        <f>ROUND(((SUMIFS(Calendar!$F$2:$F$9997,Calendar!$B$2:$B$9997,D5527,Calendar!$C$2:$C$9997,C5527)*INDEX(ForeCalc!$B$37:$Y$274,MATCH(_xlfn.CONCAT(H5527," ",I5527),ForeCalc!$A$37:$A$274,0),MATCH(_xlfn.CONCAT(B5527," ",E5527),ForeCalc!$B$36:$Y$36,0))))*VLOOKUP(A5527,Calendar!$A$2:$H$9997,8,FALSE),0)</f>
        <v/>
      </c>
      <c r="G5527" s="29">
        <f>VLOOKUP(A5527,Calendar!$A$1:$H$9997,6,FALSE)-F5527</f>
        <v/>
      </c>
      <c r="H5527" s="19" t="n">
        <v>1</v>
      </c>
      <c r="I5527" s="57" t="n">
        <v>2</v>
      </c>
    </row>
    <row r="5528">
      <c r="A5528" s="62" t="n">
        <v>46159</v>
      </c>
      <c r="B5528" s="3" t="inlineStr">
        <is>
          <t>Sun</t>
        </is>
      </c>
      <c r="C5528" s="19" t="n">
        <v>5</v>
      </c>
      <c r="D5528" s="19" t="n">
        <v>2026</v>
      </c>
      <c r="E5528" s="57" t="n">
        <v>6</v>
      </c>
      <c r="F5528" s="29">
        <f>ROUND(((SUMIFS(Calendar!$F$2:$F$9997,Calendar!$B$2:$B$9997,D5528,Calendar!$C$2:$C$9997,C5528)*INDEX(ForeCalc!$B$37:$Y$274,MATCH(_xlfn.CONCAT(H5528," ",I5528),ForeCalc!$A$37:$A$274,0),MATCH(_xlfn.CONCAT(B5528," ",E5528),ForeCalc!$B$36:$Y$36,0))))*VLOOKUP(A5528,Calendar!$A$2:$H$9997,8,FALSE),0)</f>
        <v/>
      </c>
      <c r="G5528" s="29">
        <f>VLOOKUP(A5528,Calendar!$A$1:$H$9997,6,FALSE)-F5528</f>
        <v/>
      </c>
      <c r="H5528" s="19" t="n">
        <v>1</v>
      </c>
      <c r="I5528" s="57" t="n">
        <v>2</v>
      </c>
    </row>
    <row r="5529">
      <c r="A5529" s="62" t="n">
        <v>46160</v>
      </c>
      <c r="B5529" s="3" t="inlineStr">
        <is>
          <t>Week</t>
        </is>
      </c>
      <c r="C5529" s="19" t="n">
        <v>5</v>
      </c>
      <c r="D5529" s="19" t="n">
        <v>2026</v>
      </c>
      <c r="E5529" s="57" t="n">
        <v>6</v>
      </c>
      <c r="F5529" s="29">
        <f>ROUND(((SUMIFS(Calendar!$F$2:$F$9997,Calendar!$B$2:$B$9997,D5529,Calendar!$C$2:$C$9997,C5529)*INDEX(ForeCalc!$B$37:$Y$274,MATCH(_xlfn.CONCAT(H5529," ",I5529),ForeCalc!$A$37:$A$274,0),MATCH(_xlfn.CONCAT(B5529," ",E5529),ForeCalc!$B$36:$Y$36,0))))*VLOOKUP(A5529,Calendar!$A$2:$H$9997,8,FALSE),0)</f>
        <v/>
      </c>
      <c r="G5529" s="29">
        <f>VLOOKUP(A5529,Calendar!$A$1:$H$9997,6,FALSE)-F5529</f>
        <v/>
      </c>
      <c r="H5529" s="19" t="n">
        <v>1</v>
      </c>
      <c r="I5529" s="57" t="n">
        <v>2</v>
      </c>
    </row>
    <row r="5530">
      <c r="A5530" s="62" t="n">
        <v>46161</v>
      </c>
      <c r="B5530" s="3" t="inlineStr">
        <is>
          <t>Week</t>
        </is>
      </c>
      <c r="C5530" s="19" t="n">
        <v>5</v>
      </c>
      <c r="D5530" s="19" t="n">
        <v>2026</v>
      </c>
      <c r="E5530" s="57" t="n">
        <v>6</v>
      </c>
      <c r="F5530" s="29">
        <f>ROUND(((SUMIFS(Calendar!$F$2:$F$9997,Calendar!$B$2:$B$9997,D5530,Calendar!$C$2:$C$9997,C5530)*INDEX(ForeCalc!$B$37:$Y$274,MATCH(_xlfn.CONCAT(H5530," ",I5530),ForeCalc!$A$37:$A$274,0),MATCH(_xlfn.CONCAT(B5530," ",E5530),ForeCalc!$B$36:$Y$36,0))))*VLOOKUP(A5530,Calendar!$A$2:$H$9997,8,FALSE),0)</f>
        <v/>
      </c>
      <c r="G5530" s="29">
        <f>VLOOKUP(A5530,Calendar!$A$1:$H$9997,6,FALSE)-F5530</f>
        <v/>
      </c>
      <c r="H5530" s="19" t="n">
        <v>1</v>
      </c>
      <c r="I5530" s="57" t="n">
        <v>2</v>
      </c>
    </row>
    <row r="5531">
      <c r="A5531" s="62" t="n">
        <v>46162</v>
      </c>
      <c r="B5531" s="3" t="inlineStr">
        <is>
          <t>Week</t>
        </is>
      </c>
      <c r="C5531" s="19" t="n">
        <v>5</v>
      </c>
      <c r="D5531" s="19" t="n">
        <v>2026</v>
      </c>
      <c r="E5531" s="57" t="n">
        <v>6</v>
      </c>
      <c r="F5531" s="29">
        <f>ROUND(((SUMIFS(Calendar!$F$2:$F$9997,Calendar!$B$2:$B$9997,D5531,Calendar!$C$2:$C$9997,C5531)*INDEX(ForeCalc!$B$37:$Y$274,MATCH(_xlfn.CONCAT(H5531," ",I5531),ForeCalc!$A$37:$A$274,0),MATCH(_xlfn.CONCAT(B5531," ",E5531),ForeCalc!$B$36:$Y$36,0))))*VLOOKUP(A5531,Calendar!$A$2:$H$9997,8,FALSE),0)</f>
        <v/>
      </c>
      <c r="G5531" s="29">
        <f>VLOOKUP(A5531,Calendar!$A$1:$H$9997,6,FALSE)-F5531</f>
        <v/>
      </c>
      <c r="H5531" s="19" t="n">
        <v>1</v>
      </c>
      <c r="I5531" s="57" t="n">
        <v>2</v>
      </c>
    </row>
    <row r="5532">
      <c r="A5532" s="62" t="n">
        <v>46163</v>
      </c>
      <c r="B5532" s="3" t="inlineStr">
        <is>
          <t>Week</t>
        </is>
      </c>
      <c r="C5532" s="19" t="n">
        <v>5</v>
      </c>
      <c r="D5532" s="19" t="n">
        <v>2026</v>
      </c>
      <c r="E5532" s="57" t="n">
        <v>6</v>
      </c>
      <c r="F5532" s="29">
        <f>ROUND(((SUMIFS(Calendar!$F$2:$F$9997,Calendar!$B$2:$B$9997,D5532,Calendar!$C$2:$C$9997,C5532)*INDEX(ForeCalc!$B$37:$Y$274,MATCH(_xlfn.CONCAT(H5532," ",I5532),ForeCalc!$A$37:$A$274,0),MATCH(_xlfn.CONCAT(B5532," ",E5532),ForeCalc!$B$36:$Y$36,0))))*VLOOKUP(A5532,Calendar!$A$2:$H$9997,8,FALSE),0)</f>
        <v/>
      </c>
      <c r="G5532" s="29">
        <f>VLOOKUP(A5532,Calendar!$A$1:$H$9997,6,FALSE)-F5532</f>
        <v/>
      </c>
      <c r="H5532" s="19" t="n">
        <v>1</v>
      </c>
      <c r="I5532" s="57" t="n">
        <v>2</v>
      </c>
    </row>
    <row r="5533">
      <c r="A5533" s="62" t="n">
        <v>46164</v>
      </c>
      <c r="B5533" s="3" t="inlineStr">
        <is>
          <t>Week</t>
        </is>
      </c>
      <c r="C5533" s="19" t="n">
        <v>5</v>
      </c>
      <c r="D5533" s="19" t="n">
        <v>2026</v>
      </c>
      <c r="E5533" s="57" t="n">
        <v>6</v>
      </c>
      <c r="F5533" s="29">
        <f>ROUND(((SUMIFS(Calendar!$F$2:$F$9997,Calendar!$B$2:$B$9997,D5533,Calendar!$C$2:$C$9997,C5533)*INDEX(ForeCalc!$B$37:$Y$274,MATCH(_xlfn.CONCAT(H5533," ",I5533),ForeCalc!$A$37:$A$274,0),MATCH(_xlfn.CONCAT(B5533," ",E5533),ForeCalc!$B$36:$Y$36,0))))*VLOOKUP(A5533,Calendar!$A$2:$H$9997,8,FALSE),0)</f>
        <v/>
      </c>
      <c r="G5533" s="29">
        <f>VLOOKUP(A5533,Calendar!$A$1:$H$9997,6,FALSE)-F5533</f>
        <v/>
      </c>
      <c r="H5533" s="19" t="n">
        <v>1</v>
      </c>
      <c r="I5533" s="57" t="n">
        <v>2</v>
      </c>
    </row>
    <row r="5534">
      <c r="A5534" s="62" t="n">
        <v>46165</v>
      </c>
      <c r="B5534" s="3" t="inlineStr">
        <is>
          <t>Sat</t>
        </is>
      </c>
      <c r="C5534" s="19" t="n">
        <v>5</v>
      </c>
      <c r="D5534" s="19" t="n">
        <v>2026</v>
      </c>
      <c r="E5534" s="57" t="n">
        <v>6</v>
      </c>
      <c r="F5534" s="29">
        <f>ROUND(((SUMIFS(Calendar!$F$2:$F$9997,Calendar!$B$2:$B$9997,D5534,Calendar!$C$2:$C$9997,C5534)*INDEX(ForeCalc!$B$37:$Y$274,MATCH(_xlfn.CONCAT(H5534," ",I5534),ForeCalc!$A$37:$A$274,0),MATCH(_xlfn.CONCAT(B5534," ",E5534),ForeCalc!$B$36:$Y$36,0))))*VLOOKUP(A5534,Calendar!$A$2:$H$9997,8,FALSE),0)</f>
        <v/>
      </c>
      <c r="G5534" s="29">
        <f>VLOOKUP(A5534,Calendar!$A$1:$H$9997,6,FALSE)-F5534</f>
        <v/>
      </c>
      <c r="H5534" s="19" t="n">
        <v>1</v>
      </c>
      <c r="I5534" s="57" t="n">
        <v>2</v>
      </c>
    </row>
    <row r="5535">
      <c r="A5535" s="62" t="n">
        <v>46166</v>
      </c>
      <c r="B5535" s="3" t="inlineStr">
        <is>
          <t>Sun</t>
        </is>
      </c>
      <c r="C5535" s="19" t="n">
        <v>5</v>
      </c>
      <c r="D5535" s="19" t="n">
        <v>2026</v>
      </c>
      <c r="E5535" s="57" t="n">
        <v>6</v>
      </c>
      <c r="F5535" s="29">
        <f>ROUND(((SUMIFS(Calendar!$F$2:$F$9997,Calendar!$B$2:$B$9997,D5535,Calendar!$C$2:$C$9997,C5535)*INDEX(ForeCalc!$B$37:$Y$274,MATCH(_xlfn.CONCAT(H5535," ",I5535),ForeCalc!$A$37:$A$274,0),MATCH(_xlfn.CONCAT(B5535," ",E5535),ForeCalc!$B$36:$Y$36,0))))*VLOOKUP(A5535,Calendar!$A$2:$H$9997,8,FALSE),0)</f>
        <v/>
      </c>
      <c r="G5535" s="29">
        <f>VLOOKUP(A5535,Calendar!$A$1:$H$9997,6,FALSE)-F5535</f>
        <v/>
      </c>
      <c r="H5535" s="19" t="n">
        <v>1</v>
      </c>
      <c r="I5535" s="57" t="n">
        <v>2</v>
      </c>
    </row>
    <row r="5536">
      <c r="A5536" s="62" t="n">
        <v>46167</v>
      </c>
      <c r="B5536" s="3" t="inlineStr">
        <is>
          <t>Week</t>
        </is>
      </c>
      <c r="C5536" s="19" t="n">
        <v>5</v>
      </c>
      <c r="D5536" s="19" t="n">
        <v>2026</v>
      </c>
      <c r="E5536" s="57" t="n">
        <v>6</v>
      </c>
      <c r="F5536" s="29">
        <f>ROUND(((SUMIFS(Calendar!$F$2:$F$9997,Calendar!$B$2:$B$9997,D5536,Calendar!$C$2:$C$9997,C5536)*INDEX(ForeCalc!$B$37:$Y$274,MATCH(_xlfn.CONCAT(H5536," ",I5536),ForeCalc!$A$37:$A$274,0),MATCH(_xlfn.CONCAT(B5536," ",E5536),ForeCalc!$B$36:$Y$36,0))))*VLOOKUP(A5536,Calendar!$A$2:$H$9997,8,FALSE),0)</f>
        <v/>
      </c>
      <c r="G5536" s="29">
        <f>VLOOKUP(A5536,Calendar!$A$1:$H$9997,6,FALSE)-F5536</f>
        <v/>
      </c>
      <c r="H5536" s="19" t="n">
        <v>1</v>
      </c>
      <c r="I5536" s="57" t="n">
        <v>2</v>
      </c>
    </row>
    <row r="5537">
      <c r="A5537" s="62" t="n">
        <v>46168</v>
      </c>
      <c r="B5537" s="3" t="inlineStr">
        <is>
          <t>Week</t>
        </is>
      </c>
      <c r="C5537" s="19" t="n">
        <v>5</v>
      </c>
      <c r="D5537" s="19" t="n">
        <v>2026</v>
      </c>
      <c r="E5537" s="57" t="n">
        <v>6</v>
      </c>
      <c r="F5537" s="29">
        <f>ROUND(((SUMIFS(Calendar!$F$2:$F$9997,Calendar!$B$2:$B$9997,D5537,Calendar!$C$2:$C$9997,C5537)*INDEX(ForeCalc!$B$37:$Y$274,MATCH(_xlfn.CONCAT(H5537," ",I5537),ForeCalc!$A$37:$A$274,0),MATCH(_xlfn.CONCAT(B5537," ",E5537),ForeCalc!$B$36:$Y$36,0))))*VLOOKUP(A5537,Calendar!$A$2:$H$9997,8,FALSE),0)</f>
        <v/>
      </c>
      <c r="G5537" s="29">
        <f>VLOOKUP(A5537,Calendar!$A$1:$H$9997,6,FALSE)-F5537</f>
        <v/>
      </c>
      <c r="H5537" s="19" t="n">
        <v>1</v>
      </c>
      <c r="I5537" s="57" t="n">
        <v>2</v>
      </c>
    </row>
    <row r="5538">
      <c r="A5538" s="62" t="n">
        <v>46169</v>
      </c>
      <c r="B5538" s="3" t="inlineStr">
        <is>
          <t>Week</t>
        </is>
      </c>
      <c r="C5538" s="19" t="n">
        <v>5</v>
      </c>
      <c r="D5538" s="19" t="n">
        <v>2026</v>
      </c>
      <c r="E5538" s="57" t="n">
        <v>6</v>
      </c>
      <c r="F5538" s="29">
        <f>ROUND(((SUMIFS(Calendar!$F$2:$F$9997,Calendar!$B$2:$B$9997,D5538,Calendar!$C$2:$C$9997,C5538)*INDEX(ForeCalc!$B$37:$Y$274,MATCH(_xlfn.CONCAT(H5538," ",I5538),ForeCalc!$A$37:$A$274,0),MATCH(_xlfn.CONCAT(B5538," ",E5538),ForeCalc!$B$36:$Y$36,0))))*VLOOKUP(A5538,Calendar!$A$2:$H$9997,8,FALSE),0)</f>
        <v/>
      </c>
      <c r="G5538" s="29">
        <f>VLOOKUP(A5538,Calendar!$A$1:$H$9997,6,FALSE)-F5538</f>
        <v/>
      </c>
      <c r="H5538" s="19" t="n">
        <v>1</v>
      </c>
      <c r="I5538" s="57" t="n">
        <v>2</v>
      </c>
    </row>
    <row r="5539">
      <c r="A5539" s="62" t="n">
        <v>46170</v>
      </c>
      <c r="B5539" s="3" t="inlineStr">
        <is>
          <t>Week</t>
        </is>
      </c>
      <c r="C5539" s="19" t="n">
        <v>5</v>
      </c>
      <c r="D5539" s="19" t="n">
        <v>2026</v>
      </c>
      <c r="E5539" s="57" t="n">
        <v>6</v>
      </c>
      <c r="F5539" s="29">
        <f>ROUND(((SUMIFS(Calendar!$F$2:$F$9997,Calendar!$B$2:$B$9997,D5539,Calendar!$C$2:$C$9997,C5539)*INDEX(ForeCalc!$B$37:$Y$274,MATCH(_xlfn.CONCAT(H5539," ",I5539),ForeCalc!$A$37:$A$274,0),MATCH(_xlfn.CONCAT(B5539," ",E5539),ForeCalc!$B$36:$Y$36,0))))*VLOOKUP(A5539,Calendar!$A$2:$H$9997,8,FALSE),0)</f>
        <v/>
      </c>
      <c r="G5539" s="29">
        <f>VLOOKUP(A5539,Calendar!$A$1:$H$9997,6,FALSE)-F5539</f>
        <v/>
      </c>
      <c r="H5539" s="19" t="n">
        <v>1</v>
      </c>
      <c r="I5539" s="57" t="n">
        <v>2</v>
      </c>
    </row>
    <row r="5540">
      <c r="A5540" s="62" t="n">
        <v>46171</v>
      </c>
      <c r="B5540" s="3" t="inlineStr">
        <is>
          <t>Week</t>
        </is>
      </c>
      <c r="C5540" s="19" t="n">
        <v>5</v>
      </c>
      <c r="D5540" s="19" t="n">
        <v>2026</v>
      </c>
      <c r="E5540" s="57" t="n">
        <v>6</v>
      </c>
      <c r="F5540" s="29">
        <f>ROUND(((SUMIFS(Calendar!$F$2:$F$9997,Calendar!$B$2:$B$9997,D5540,Calendar!$C$2:$C$9997,C5540)*INDEX(ForeCalc!$B$37:$Y$274,MATCH(_xlfn.CONCAT(H5540," ",I5540),ForeCalc!$A$37:$A$274,0),MATCH(_xlfn.CONCAT(B5540," ",E5540),ForeCalc!$B$36:$Y$36,0))))*VLOOKUP(A5540,Calendar!$A$2:$H$9997,8,FALSE),0)</f>
        <v/>
      </c>
      <c r="G5540" s="29">
        <f>VLOOKUP(A5540,Calendar!$A$1:$H$9997,6,FALSE)-F5540</f>
        <v/>
      </c>
      <c r="H5540" s="19" t="n">
        <v>1</v>
      </c>
      <c r="I5540" s="57" t="n">
        <v>2</v>
      </c>
    </row>
    <row r="5541">
      <c r="A5541" s="62" t="n">
        <v>46172</v>
      </c>
      <c r="B5541" s="3" t="inlineStr">
        <is>
          <t>Sat</t>
        </is>
      </c>
      <c r="C5541" s="19" t="n">
        <v>5</v>
      </c>
      <c r="D5541" s="19" t="n">
        <v>2026</v>
      </c>
      <c r="E5541" s="57" t="n">
        <v>6</v>
      </c>
      <c r="F5541" s="29">
        <f>ROUND(((SUMIFS(Calendar!$F$2:$F$9997,Calendar!$B$2:$B$9997,D5541,Calendar!$C$2:$C$9997,C5541)*INDEX(ForeCalc!$B$37:$Y$274,MATCH(_xlfn.CONCAT(H5541," ",I5541),ForeCalc!$A$37:$A$274,0),MATCH(_xlfn.CONCAT(B5541," ",E5541),ForeCalc!$B$36:$Y$36,0))))*VLOOKUP(A5541,Calendar!$A$2:$H$9997,8,FALSE),0)</f>
        <v/>
      </c>
      <c r="G5541" s="29">
        <f>VLOOKUP(A5541,Calendar!$A$1:$H$9997,6,FALSE)-F5541</f>
        <v/>
      </c>
      <c r="H5541" s="19" t="n">
        <v>1</v>
      </c>
      <c r="I5541" s="57" t="n">
        <v>2</v>
      </c>
    </row>
    <row r="5542">
      <c r="A5542" s="62" t="n">
        <v>46173</v>
      </c>
      <c r="B5542" s="3" t="inlineStr">
        <is>
          <t>Sun</t>
        </is>
      </c>
      <c r="C5542" s="19" t="n">
        <v>5</v>
      </c>
      <c r="D5542" s="19" t="n">
        <v>2026</v>
      </c>
      <c r="E5542" s="57" t="n">
        <v>6</v>
      </c>
      <c r="F5542" s="29">
        <f>ROUND(((SUMIFS(Calendar!$F$2:$F$9997,Calendar!$B$2:$B$9997,D5542,Calendar!$C$2:$C$9997,C5542)*INDEX(ForeCalc!$B$37:$Y$274,MATCH(_xlfn.CONCAT(H5542," ",I5542),ForeCalc!$A$37:$A$274,0),MATCH(_xlfn.CONCAT(B5542," ",E5542),ForeCalc!$B$36:$Y$36,0))))*VLOOKUP(A5542,Calendar!$A$2:$H$9997,8,FALSE),0)</f>
        <v/>
      </c>
      <c r="G5542" s="29">
        <f>VLOOKUP(A5542,Calendar!$A$1:$H$9997,6,FALSE)-F5542</f>
        <v/>
      </c>
      <c r="H5542" s="19" t="n">
        <v>1</v>
      </c>
      <c r="I5542" s="57" t="n">
        <v>2</v>
      </c>
    </row>
    <row r="5543">
      <c r="A5543" s="62" t="n">
        <v>46174</v>
      </c>
      <c r="B5543" s="3" t="inlineStr">
        <is>
          <t>Week</t>
        </is>
      </c>
      <c r="C5543" s="19" t="n">
        <v>6</v>
      </c>
      <c r="D5543" s="19" t="n">
        <v>2026</v>
      </c>
      <c r="E5543" s="57" t="n">
        <v>6</v>
      </c>
      <c r="F5543" s="29">
        <f>ROUND(((SUMIFS(Calendar!$F$2:$F$9997,Calendar!$B$2:$B$9997,D5543,Calendar!$C$2:$C$9997,C5543)*INDEX(ForeCalc!$B$37:$Y$274,MATCH(_xlfn.CONCAT(H5543," ",I5543),ForeCalc!$A$37:$A$274,0),MATCH(_xlfn.CONCAT(B5543," ",E5543),ForeCalc!$B$36:$Y$36,0))))*VLOOKUP(A5543,Calendar!$A$2:$H$9997,8,FALSE),0)</f>
        <v/>
      </c>
      <c r="G5543" s="29">
        <f>VLOOKUP(A5543,Calendar!$A$1:$H$9997,6,FALSE)-F5543</f>
        <v/>
      </c>
      <c r="H5543" s="19" t="n">
        <v>1</v>
      </c>
      <c r="I5543" s="57" t="n">
        <v>3</v>
      </c>
    </row>
    <row r="5544">
      <c r="A5544" s="62" t="n">
        <v>46175</v>
      </c>
      <c r="B5544" s="3" t="inlineStr">
        <is>
          <t>Week</t>
        </is>
      </c>
      <c r="C5544" s="19" t="n">
        <v>6</v>
      </c>
      <c r="D5544" s="19" t="n">
        <v>2026</v>
      </c>
      <c r="E5544" s="57" t="n">
        <v>6</v>
      </c>
      <c r="F5544" s="29">
        <f>ROUND(((SUMIFS(Calendar!$F$2:$F$9997,Calendar!$B$2:$B$9997,D5544,Calendar!$C$2:$C$9997,C5544)*INDEX(ForeCalc!$B$37:$Y$274,MATCH(_xlfn.CONCAT(H5544," ",I5544),ForeCalc!$A$37:$A$274,0),MATCH(_xlfn.CONCAT(B5544," ",E5544),ForeCalc!$B$36:$Y$36,0))))*VLOOKUP(A5544,Calendar!$A$2:$H$9997,8,FALSE),0)</f>
        <v/>
      </c>
      <c r="G5544" s="29">
        <f>VLOOKUP(A5544,Calendar!$A$1:$H$9997,6,FALSE)-F5544</f>
        <v/>
      </c>
      <c r="H5544" s="19" t="n">
        <v>1</v>
      </c>
      <c r="I5544" s="57" t="n">
        <v>3</v>
      </c>
    </row>
    <row r="5545">
      <c r="A5545" s="62" t="n">
        <v>46176</v>
      </c>
      <c r="B5545" s="3" t="inlineStr">
        <is>
          <t>Week</t>
        </is>
      </c>
      <c r="C5545" s="19" t="n">
        <v>6</v>
      </c>
      <c r="D5545" s="19" t="n">
        <v>2026</v>
      </c>
      <c r="E5545" s="57" t="n">
        <v>6</v>
      </c>
      <c r="F5545" s="29">
        <f>ROUND(((SUMIFS(Calendar!$F$2:$F$9997,Calendar!$B$2:$B$9997,D5545,Calendar!$C$2:$C$9997,C5545)*INDEX(ForeCalc!$B$37:$Y$274,MATCH(_xlfn.CONCAT(H5545," ",I5545),ForeCalc!$A$37:$A$274,0),MATCH(_xlfn.CONCAT(B5545," ",E5545),ForeCalc!$B$36:$Y$36,0))))*VLOOKUP(A5545,Calendar!$A$2:$H$9997,8,FALSE),0)</f>
        <v/>
      </c>
      <c r="G5545" s="29">
        <f>VLOOKUP(A5545,Calendar!$A$1:$H$9997,6,FALSE)-F5545</f>
        <v/>
      </c>
      <c r="H5545" s="19" t="n">
        <v>1</v>
      </c>
      <c r="I5545" s="57" t="n">
        <v>3</v>
      </c>
    </row>
    <row r="5546">
      <c r="A5546" s="62" t="n">
        <v>46177</v>
      </c>
      <c r="B5546" s="3" t="inlineStr">
        <is>
          <t>Week</t>
        </is>
      </c>
      <c r="C5546" s="19" t="n">
        <v>6</v>
      </c>
      <c r="D5546" s="19" t="n">
        <v>2026</v>
      </c>
      <c r="E5546" s="57" t="n">
        <v>6</v>
      </c>
      <c r="F5546" s="29">
        <f>ROUND(((SUMIFS(Calendar!$F$2:$F$9997,Calendar!$B$2:$B$9997,D5546,Calendar!$C$2:$C$9997,C5546)*INDEX(ForeCalc!$B$37:$Y$274,MATCH(_xlfn.CONCAT(H5546," ",I5546),ForeCalc!$A$37:$A$274,0),MATCH(_xlfn.CONCAT(B5546," ",E5546),ForeCalc!$B$36:$Y$36,0))))*VLOOKUP(A5546,Calendar!$A$2:$H$9997,8,FALSE),0)</f>
        <v/>
      </c>
      <c r="G5546" s="29">
        <f>VLOOKUP(A5546,Calendar!$A$1:$H$9997,6,FALSE)-F5546</f>
        <v/>
      </c>
      <c r="H5546" s="19" t="n">
        <v>1</v>
      </c>
      <c r="I5546" s="57" t="n">
        <v>3</v>
      </c>
    </row>
    <row r="5547">
      <c r="A5547" s="62" t="n">
        <v>46178</v>
      </c>
      <c r="B5547" s="3" t="inlineStr">
        <is>
          <t>Week</t>
        </is>
      </c>
      <c r="C5547" s="19" t="n">
        <v>6</v>
      </c>
      <c r="D5547" s="19" t="n">
        <v>2026</v>
      </c>
      <c r="E5547" s="57" t="n">
        <v>6</v>
      </c>
      <c r="F5547" s="29">
        <f>ROUND(((SUMIFS(Calendar!$F$2:$F$9997,Calendar!$B$2:$B$9997,D5547,Calendar!$C$2:$C$9997,C5547)*INDEX(ForeCalc!$B$37:$Y$274,MATCH(_xlfn.CONCAT(H5547," ",I5547),ForeCalc!$A$37:$A$274,0),MATCH(_xlfn.CONCAT(B5547," ",E5547),ForeCalc!$B$36:$Y$36,0))))*VLOOKUP(A5547,Calendar!$A$2:$H$9997,8,FALSE),0)</f>
        <v/>
      </c>
      <c r="G5547" s="29">
        <f>VLOOKUP(A5547,Calendar!$A$1:$H$9997,6,FALSE)-F5547</f>
        <v/>
      </c>
      <c r="H5547" s="19" t="n">
        <v>1</v>
      </c>
      <c r="I5547" s="57" t="n">
        <v>3</v>
      </c>
    </row>
    <row r="5548">
      <c r="A5548" s="62" t="n">
        <v>46179</v>
      </c>
      <c r="B5548" s="3" t="inlineStr">
        <is>
          <t>Sat</t>
        </is>
      </c>
      <c r="C5548" s="19" t="n">
        <v>6</v>
      </c>
      <c r="D5548" s="19" t="n">
        <v>2026</v>
      </c>
      <c r="E5548" s="57" t="n">
        <v>6</v>
      </c>
      <c r="F5548" s="29">
        <f>ROUND(((SUMIFS(Calendar!$F$2:$F$9997,Calendar!$B$2:$B$9997,D5548,Calendar!$C$2:$C$9997,C5548)*INDEX(ForeCalc!$B$37:$Y$274,MATCH(_xlfn.CONCAT(H5548," ",I5548),ForeCalc!$A$37:$A$274,0),MATCH(_xlfn.CONCAT(B5548," ",E5548),ForeCalc!$B$36:$Y$36,0))))*VLOOKUP(A5548,Calendar!$A$2:$H$9997,8,FALSE),0)</f>
        <v/>
      </c>
      <c r="G5548" s="29">
        <f>VLOOKUP(A5548,Calendar!$A$1:$H$9997,6,FALSE)-F5548</f>
        <v/>
      </c>
      <c r="H5548" s="19" t="n">
        <v>1</v>
      </c>
      <c r="I5548" s="57" t="n">
        <v>3</v>
      </c>
    </row>
    <row r="5549">
      <c r="A5549" s="62" t="n">
        <v>46180</v>
      </c>
      <c r="B5549" s="3" t="inlineStr">
        <is>
          <t>Sun</t>
        </is>
      </c>
      <c r="C5549" s="19" t="n">
        <v>6</v>
      </c>
      <c r="D5549" s="19" t="n">
        <v>2026</v>
      </c>
      <c r="E5549" s="57" t="n">
        <v>6</v>
      </c>
      <c r="F5549" s="29">
        <f>ROUND(((SUMIFS(Calendar!$F$2:$F$9997,Calendar!$B$2:$B$9997,D5549,Calendar!$C$2:$C$9997,C5549)*INDEX(ForeCalc!$B$37:$Y$274,MATCH(_xlfn.CONCAT(H5549," ",I5549),ForeCalc!$A$37:$A$274,0),MATCH(_xlfn.CONCAT(B5549," ",E5549),ForeCalc!$B$36:$Y$36,0))))*VLOOKUP(A5549,Calendar!$A$2:$H$9997,8,FALSE),0)</f>
        <v/>
      </c>
      <c r="G5549" s="29">
        <f>VLOOKUP(A5549,Calendar!$A$1:$H$9997,6,FALSE)-F5549</f>
        <v/>
      </c>
      <c r="H5549" s="19" t="n">
        <v>1</v>
      </c>
      <c r="I5549" s="57" t="n">
        <v>3</v>
      </c>
    </row>
    <row r="5550">
      <c r="A5550" s="62" t="n">
        <v>46181</v>
      </c>
      <c r="B5550" s="3" t="inlineStr">
        <is>
          <t>Week</t>
        </is>
      </c>
      <c r="C5550" s="19" t="n">
        <v>6</v>
      </c>
      <c r="D5550" s="19" t="n">
        <v>2026</v>
      </c>
      <c r="E5550" s="57" t="n">
        <v>6</v>
      </c>
      <c r="F5550" s="29">
        <f>ROUND(((SUMIFS(Calendar!$F$2:$F$9997,Calendar!$B$2:$B$9997,D5550,Calendar!$C$2:$C$9997,C5550)*INDEX(ForeCalc!$B$37:$Y$274,MATCH(_xlfn.CONCAT(H5550," ",I5550),ForeCalc!$A$37:$A$274,0),MATCH(_xlfn.CONCAT(B5550," ",E5550),ForeCalc!$B$36:$Y$36,0))))*VLOOKUP(A5550,Calendar!$A$2:$H$9997,8,FALSE),0)</f>
        <v/>
      </c>
      <c r="G5550" s="29">
        <f>VLOOKUP(A5550,Calendar!$A$1:$H$9997,6,FALSE)-F5550</f>
        <v/>
      </c>
      <c r="H5550" s="19" t="n">
        <v>1</v>
      </c>
      <c r="I5550" s="57" t="n">
        <v>3</v>
      </c>
    </row>
    <row r="5551">
      <c r="A5551" s="62" t="n">
        <v>46182</v>
      </c>
      <c r="B5551" s="3" t="inlineStr">
        <is>
          <t>Week</t>
        </is>
      </c>
      <c r="C5551" s="19" t="n">
        <v>6</v>
      </c>
      <c r="D5551" s="19" t="n">
        <v>2026</v>
      </c>
      <c r="E5551" s="57" t="n">
        <v>6</v>
      </c>
      <c r="F5551" s="29">
        <f>ROUND(((SUMIFS(Calendar!$F$2:$F$9997,Calendar!$B$2:$B$9997,D5551,Calendar!$C$2:$C$9997,C5551)*INDEX(ForeCalc!$B$37:$Y$274,MATCH(_xlfn.CONCAT(H5551," ",I5551),ForeCalc!$A$37:$A$274,0),MATCH(_xlfn.CONCAT(B5551," ",E5551),ForeCalc!$B$36:$Y$36,0))))*VLOOKUP(A5551,Calendar!$A$2:$H$9997,8,FALSE),0)</f>
        <v/>
      </c>
      <c r="G5551" s="29">
        <f>VLOOKUP(A5551,Calendar!$A$1:$H$9997,6,FALSE)-F5551</f>
        <v/>
      </c>
      <c r="H5551" s="19" t="n">
        <v>1</v>
      </c>
      <c r="I5551" s="57" t="n">
        <v>3</v>
      </c>
    </row>
    <row r="5552">
      <c r="A5552" s="62" t="n">
        <v>46183</v>
      </c>
      <c r="B5552" s="3" t="inlineStr">
        <is>
          <t>Week</t>
        </is>
      </c>
      <c r="C5552" s="19" t="n">
        <v>6</v>
      </c>
      <c r="D5552" s="19" t="n">
        <v>2026</v>
      </c>
      <c r="E5552" s="57" t="n">
        <v>6</v>
      </c>
      <c r="F5552" s="29">
        <f>ROUND(((SUMIFS(Calendar!$F$2:$F$9997,Calendar!$B$2:$B$9997,D5552,Calendar!$C$2:$C$9997,C5552)*INDEX(ForeCalc!$B$37:$Y$274,MATCH(_xlfn.CONCAT(H5552," ",I5552),ForeCalc!$A$37:$A$274,0),MATCH(_xlfn.CONCAT(B5552," ",E5552),ForeCalc!$B$36:$Y$36,0))))*VLOOKUP(A5552,Calendar!$A$2:$H$9997,8,FALSE),0)</f>
        <v/>
      </c>
      <c r="G5552" s="29">
        <f>VLOOKUP(A5552,Calendar!$A$1:$H$9997,6,FALSE)-F5552</f>
        <v/>
      </c>
      <c r="H5552" s="19" t="n">
        <v>1</v>
      </c>
      <c r="I5552" s="57" t="n">
        <v>3</v>
      </c>
    </row>
    <row r="5553">
      <c r="A5553" s="62" t="n">
        <v>46184</v>
      </c>
      <c r="B5553" s="3" t="inlineStr">
        <is>
          <t>Week</t>
        </is>
      </c>
      <c r="C5553" s="19" t="n">
        <v>6</v>
      </c>
      <c r="D5553" s="19" t="n">
        <v>2026</v>
      </c>
      <c r="E5553" s="57" t="n">
        <v>6</v>
      </c>
      <c r="F5553" s="29">
        <f>ROUND(((SUMIFS(Calendar!$F$2:$F$9997,Calendar!$B$2:$B$9997,D5553,Calendar!$C$2:$C$9997,C5553)*INDEX(ForeCalc!$B$37:$Y$274,MATCH(_xlfn.CONCAT(H5553," ",I5553),ForeCalc!$A$37:$A$274,0),MATCH(_xlfn.CONCAT(B5553," ",E5553),ForeCalc!$B$36:$Y$36,0))))*VLOOKUP(A5553,Calendar!$A$2:$H$9997,8,FALSE),0)</f>
        <v/>
      </c>
      <c r="G5553" s="29">
        <f>VLOOKUP(A5553,Calendar!$A$1:$H$9997,6,FALSE)-F5553</f>
        <v/>
      </c>
      <c r="H5553" s="19" t="n">
        <v>1</v>
      </c>
      <c r="I5553" s="57" t="n">
        <v>3</v>
      </c>
    </row>
    <row r="5554">
      <c r="A5554" s="62" t="n">
        <v>46185</v>
      </c>
      <c r="B5554" s="3" t="inlineStr">
        <is>
          <t>Week</t>
        </is>
      </c>
      <c r="C5554" s="19" t="n">
        <v>6</v>
      </c>
      <c r="D5554" s="19" t="n">
        <v>2026</v>
      </c>
      <c r="E5554" s="57" t="n">
        <v>6</v>
      </c>
      <c r="F5554" s="29">
        <f>ROUND(((SUMIFS(Calendar!$F$2:$F$9997,Calendar!$B$2:$B$9997,D5554,Calendar!$C$2:$C$9997,C5554)*INDEX(ForeCalc!$B$37:$Y$274,MATCH(_xlfn.CONCAT(H5554," ",I5554),ForeCalc!$A$37:$A$274,0),MATCH(_xlfn.CONCAT(B5554," ",E5554),ForeCalc!$B$36:$Y$36,0))))*VLOOKUP(A5554,Calendar!$A$2:$H$9997,8,FALSE),0)</f>
        <v/>
      </c>
      <c r="G5554" s="29">
        <f>VLOOKUP(A5554,Calendar!$A$1:$H$9997,6,FALSE)-F5554</f>
        <v/>
      </c>
      <c r="H5554" s="19" t="n">
        <v>1</v>
      </c>
      <c r="I5554" s="57" t="n">
        <v>3</v>
      </c>
    </row>
    <row r="5555">
      <c r="A5555" s="62" t="n">
        <v>46186</v>
      </c>
      <c r="B5555" s="3" t="inlineStr">
        <is>
          <t>Sat</t>
        </is>
      </c>
      <c r="C5555" s="19" t="n">
        <v>6</v>
      </c>
      <c r="D5555" s="19" t="n">
        <v>2026</v>
      </c>
      <c r="E5555" s="57" t="n">
        <v>6</v>
      </c>
      <c r="F5555" s="29">
        <f>ROUND(((SUMIFS(Calendar!$F$2:$F$9997,Calendar!$B$2:$B$9997,D5555,Calendar!$C$2:$C$9997,C5555)*INDEX(ForeCalc!$B$37:$Y$274,MATCH(_xlfn.CONCAT(H5555," ",I5555),ForeCalc!$A$37:$A$274,0),MATCH(_xlfn.CONCAT(B5555," ",E5555),ForeCalc!$B$36:$Y$36,0))))*VLOOKUP(A5555,Calendar!$A$2:$H$9997,8,FALSE),0)</f>
        <v/>
      </c>
      <c r="G5555" s="29">
        <f>VLOOKUP(A5555,Calendar!$A$1:$H$9997,6,FALSE)-F5555</f>
        <v/>
      </c>
      <c r="H5555" s="19" t="n">
        <v>1</v>
      </c>
      <c r="I5555" s="57" t="n">
        <v>3</v>
      </c>
    </row>
    <row r="5556">
      <c r="A5556" s="62" t="n">
        <v>46187</v>
      </c>
      <c r="B5556" s="3" t="inlineStr">
        <is>
          <t>Sun</t>
        </is>
      </c>
      <c r="C5556" s="19" t="n">
        <v>6</v>
      </c>
      <c r="D5556" s="19" t="n">
        <v>2026</v>
      </c>
      <c r="E5556" s="57" t="n">
        <v>6</v>
      </c>
      <c r="F5556" s="29">
        <f>ROUND(((SUMIFS(Calendar!$F$2:$F$9997,Calendar!$B$2:$B$9997,D5556,Calendar!$C$2:$C$9997,C5556)*INDEX(ForeCalc!$B$37:$Y$274,MATCH(_xlfn.CONCAT(H5556," ",I5556),ForeCalc!$A$37:$A$274,0),MATCH(_xlfn.CONCAT(B5556," ",E5556),ForeCalc!$B$36:$Y$36,0))))*VLOOKUP(A5556,Calendar!$A$2:$H$9997,8,FALSE),0)</f>
        <v/>
      </c>
      <c r="G5556" s="29">
        <f>VLOOKUP(A5556,Calendar!$A$1:$H$9997,6,FALSE)-F5556</f>
        <v/>
      </c>
      <c r="H5556" s="19" t="n">
        <v>1</v>
      </c>
      <c r="I5556" s="57" t="n">
        <v>3</v>
      </c>
    </row>
    <row r="5557">
      <c r="A5557" s="62" t="n">
        <v>46188</v>
      </c>
      <c r="B5557" s="3" t="inlineStr">
        <is>
          <t>Week</t>
        </is>
      </c>
      <c r="C5557" s="19" t="n">
        <v>6</v>
      </c>
      <c r="D5557" s="19" t="n">
        <v>2026</v>
      </c>
      <c r="E5557" s="57" t="n">
        <v>6</v>
      </c>
      <c r="F5557" s="29">
        <f>ROUND(((SUMIFS(Calendar!$F$2:$F$9997,Calendar!$B$2:$B$9997,D5557,Calendar!$C$2:$C$9997,C5557)*INDEX(ForeCalc!$B$37:$Y$274,MATCH(_xlfn.CONCAT(H5557," ",I5557),ForeCalc!$A$37:$A$274,0),MATCH(_xlfn.CONCAT(B5557," ",E5557),ForeCalc!$B$36:$Y$36,0))))*VLOOKUP(A5557,Calendar!$A$2:$H$9997,8,FALSE),0)</f>
        <v/>
      </c>
      <c r="G5557" s="29">
        <f>VLOOKUP(A5557,Calendar!$A$1:$H$9997,6,FALSE)-F5557</f>
        <v/>
      </c>
      <c r="H5557" s="19" t="n">
        <v>1</v>
      </c>
      <c r="I5557" s="57" t="n">
        <v>3</v>
      </c>
    </row>
    <row r="5558">
      <c r="A5558" s="62" t="n">
        <v>46189</v>
      </c>
      <c r="B5558" s="3" t="inlineStr">
        <is>
          <t>Week</t>
        </is>
      </c>
      <c r="C5558" s="19" t="n">
        <v>6</v>
      </c>
      <c r="D5558" s="19" t="n">
        <v>2026</v>
      </c>
      <c r="E5558" s="57" t="n">
        <v>6</v>
      </c>
      <c r="F5558" s="29">
        <f>ROUND(((SUMIFS(Calendar!$F$2:$F$9997,Calendar!$B$2:$B$9997,D5558,Calendar!$C$2:$C$9997,C5558)*INDEX(ForeCalc!$B$37:$Y$274,MATCH(_xlfn.CONCAT(H5558," ",I5558),ForeCalc!$A$37:$A$274,0),MATCH(_xlfn.CONCAT(B5558," ",E5558),ForeCalc!$B$36:$Y$36,0))))*VLOOKUP(A5558,Calendar!$A$2:$H$9997,8,FALSE),0)</f>
        <v/>
      </c>
      <c r="G5558" s="29">
        <f>VLOOKUP(A5558,Calendar!$A$1:$H$9997,6,FALSE)-F5558</f>
        <v/>
      </c>
      <c r="H5558" s="19" t="n">
        <v>1</v>
      </c>
      <c r="I5558" s="57" t="n">
        <v>3</v>
      </c>
    </row>
    <row r="5559">
      <c r="A5559" s="62" t="n">
        <v>46190</v>
      </c>
      <c r="B5559" s="3" t="inlineStr">
        <is>
          <t>Week</t>
        </is>
      </c>
      <c r="C5559" s="19" t="n">
        <v>6</v>
      </c>
      <c r="D5559" s="19" t="n">
        <v>2026</v>
      </c>
      <c r="E5559" s="57" t="n">
        <v>6</v>
      </c>
      <c r="F5559" s="29">
        <f>ROUND(((SUMIFS(Calendar!$F$2:$F$9997,Calendar!$B$2:$B$9997,D5559,Calendar!$C$2:$C$9997,C5559)*INDEX(ForeCalc!$B$37:$Y$274,MATCH(_xlfn.CONCAT(H5559," ",I5559),ForeCalc!$A$37:$A$274,0),MATCH(_xlfn.CONCAT(B5559," ",E5559),ForeCalc!$B$36:$Y$36,0))))*VLOOKUP(A5559,Calendar!$A$2:$H$9997,8,FALSE),0)</f>
        <v/>
      </c>
      <c r="G5559" s="29">
        <f>VLOOKUP(A5559,Calendar!$A$1:$H$9997,6,FALSE)-F5559</f>
        <v/>
      </c>
      <c r="H5559" s="19" t="n">
        <v>1</v>
      </c>
      <c r="I5559" s="57" t="n">
        <v>3</v>
      </c>
    </row>
    <row r="5560">
      <c r="A5560" s="62" t="n">
        <v>46191</v>
      </c>
      <c r="B5560" s="3" t="inlineStr">
        <is>
          <t>Week</t>
        </is>
      </c>
      <c r="C5560" s="19" t="n">
        <v>6</v>
      </c>
      <c r="D5560" s="19" t="n">
        <v>2026</v>
      </c>
      <c r="E5560" s="57" t="n">
        <v>6</v>
      </c>
      <c r="F5560" s="29">
        <f>ROUND(((SUMIFS(Calendar!$F$2:$F$9997,Calendar!$B$2:$B$9997,D5560,Calendar!$C$2:$C$9997,C5560)*INDEX(ForeCalc!$B$37:$Y$274,MATCH(_xlfn.CONCAT(H5560," ",I5560),ForeCalc!$A$37:$A$274,0),MATCH(_xlfn.CONCAT(B5560," ",E5560),ForeCalc!$B$36:$Y$36,0))))*VLOOKUP(A5560,Calendar!$A$2:$H$9997,8,FALSE),0)</f>
        <v/>
      </c>
      <c r="G5560" s="29">
        <f>VLOOKUP(A5560,Calendar!$A$1:$H$9997,6,FALSE)-F5560</f>
        <v/>
      </c>
      <c r="H5560" s="19" t="n">
        <v>1</v>
      </c>
      <c r="I5560" s="57" t="n">
        <v>3</v>
      </c>
    </row>
    <row r="5561">
      <c r="A5561" s="62" t="n">
        <v>46192</v>
      </c>
      <c r="B5561" s="3" t="inlineStr">
        <is>
          <t>Week</t>
        </is>
      </c>
      <c r="C5561" s="19" t="n">
        <v>6</v>
      </c>
      <c r="D5561" s="19" t="n">
        <v>2026</v>
      </c>
      <c r="E5561" s="57" t="n">
        <v>6</v>
      </c>
      <c r="F5561" s="29">
        <f>ROUND(((SUMIFS(Calendar!$F$2:$F$9997,Calendar!$B$2:$B$9997,D5561,Calendar!$C$2:$C$9997,C5561)*INDEX(ForeCalc!$B$37:$Y$274,MATCH(_xlfn.CONCAT(H5561," ",I5561),ForeCalc!$A$37:$A$274,0),MATCH(_xlfn.CONCAT(B5561," ",E5561),ForeCalc!$B$36:$Y$36,0))))*VLOOKUP(A5561,Calendar!$A$2:$H$9997,8,FALSE),0)</f>
        <v/>
      </c>
      <c r="G5561" s="29">
        <f>VLOOKUP(A5561,Calendar!$A$1:$H$9997,6,FALSE)-F5561</f>
        <v/>
      </c>
      <c r="H5561" s="19" t="n">
        <v>1</v>
      </c>
      <c r="I5561" s="57" t="n">
        <v>3</v>
      </c>
    </row>
    <row r="5562">
      <c r="A5562" s="62" t="n">
        <v>46193</v>
      </c>
      <c r="B5562" s="3" t="inlineStr">
        <is>
          <t>Sat</t>
        </is>
      </c>
      <c r="C5562" s="19" t="n">
        <v>6</v>
      </c>
      <c r="D5562" s="19" t="n">
        <v>2026</v>
      </c>
      <c r="E5562" s="57" t="n">
        <v>6</v>
      </c>
      <c r="F5562" s="29">
        <f>ROUND(((SUMIFS(Calendar!$F$2:$F$9997,Calendar!$B$2:$B$9997,D5562,Calendar!$C$2:$C$9997,C5562)*INDEX(ForeCalc!$B$37:$Y$274,MATCH(_xlfn.CONCAT(H5562," ",I5562),ForeCalc!$A$37:$A$274,0),MATCH(_xlfn.CONCAT(B5562," ",E5562),ForeCalc!$B$36:$Y$36,0))))*VLOOKUP(A5562,Calendar!$A$2:$H$9997,8,FALSE),0)</f>
        <v/>
      </c>
      <c r="G5562" s="29">
        <f>VLOOKUP(A5562,Calendar!$A$1:$H$9997,6,FALSE)-F5562</f>
        <v/>
      </c>
      <c r="H5562" s="19" t="n">
        <v>1</v>
      </c>
      <c r="I5562" s="57" t="n">
        <v>3</v>
      </c>
    </row>
    <row r="5563">
      <c r="A5563" s="62" t="n">
        <v>46194</v>
      </c>
      <c r="B5563" s="3" t="inlineStr">
        <is>
          <t>Sun</t>
        </is>
      </c>
      <c r="C5563" s="19" t="n">
        <v>6</v>
      </c>
      <c r="D5563" s="19" t="n">
        <v>2026</v>
      </c>
      <c r="E5563" s="57" t="n">
        <v>6</v>
      </c>
      <c r="F5563" s="29">
        <f>ROUND(((SUMIFS(Calendar!$F$2:$F$9997,Calendar!$B$2:$B$9997,D5563,Calendar!$C$2:$C$9997,C5563)*INDEX(ForeCalc!$B$37:$Y$274,MATCH(_xlfn.CONCAT(H5563," ",I5563),ForeCalc!$A$37:$A$274,0),MATCH(_xlfn.CONCAT(B5563," ",E5563),ForeCalc!$B$36:$Y$36,0))))*VLOOKUP(A5563,Calendar!$A$2:$H$9997,8,FALSE),0)</f>
        <v/>
      </c>
      <c r="G5563" s="29">
        <f>VLOOKUP(A5563,Calendar!$A$1:$H$9997,6,FALSE)-F5563</f>
        <v/>
      </c>
      <c r="H5563" s="19" t="n">
        <v>1</v>
      </c>
      <c r="I5563" s="57" t="n">
        <v>3</v>
      </c>
    </row>
    <row r="5564">
      <c r="A5564" s="62" t="n">
        <v>46195</v>
      </c>
      <c r="B5564" s="3" t="inlineStr">
        <is>
          <t>Week</t>
        </is>
      </c>
      <c r="C5564" s="19" t="n">
        <v>6</v>
      </c>
      <c r="D5564" s="19" t="n">
        <v>2026</v>
      </c>
      <c r="E5564" s="57" t="n">
        <v>6</v>
      </c>
      <c r="F5564" s="29">
        <f>ROUND(((SUMIFS(Calendar!$F$2:$F$9997,Calendar!$B$2:$B$9997,D5564,Calendar!$C$2:$C$9997,C5564)*INDEX(ForeCalc!$B$37:$Y$274,MATCH(_xlfn.CONCAT(H5564," ",I5564),ForeCalc!$A$37:$A$274,0),MATCH(_xlfn.CONCAT(B5564," ",E5564),ForeCalc!$B$36:$Y$36,0))))*VLOOKUP(A5564,Calendar!$A$2:$H$9997,8,FALSE),0)</f>
        <v/>
      </c>
      <c r="G5564" s="29">
        <f>VLOOKUP(A5564,Calendar!$A$1:$H$9997,6,FALSE)-F5564</f>
        <v/>
      </c>
      <c r="H5564" s="19" t="n">
        <v>1</v>
      </c>
      <c r="I5564" s="57" t="n">
        <v>3</v>
      </c>
    </row>
    <row r="5565">
      <c r="A5565" s="62" t="n">
        <v>46196</v>
      </c>
      <c r="B5565" s="3" t="inlineStr">
        <is>
          <t>Week</t>
        </is>
      </c>
      <c r="C5565" s="19" t="n">
        <v>6</v>
      </c>
      <c r="D5565" s="19" t="n">
        <v>2026</v>
      </c>
      <c r="E5565" s="57" t="n">
        <v>6</v>
      </c>
      <c r="F5565" s="29">
        <f>ROUND(((SUMIFS(Calendar!$F$2:$F$9997,Calendar!$B$2:$B$9997,D5565,Calendar!$C$2:$C$9997,C5565)*INDEX(ForeCalc!$B$37:$Y$274,MATCH(_xlfn.CONCAT(H5565," ",I5565),ForeCalc!$A$37:$A$274,0),MATCH(_xlfn.CONCAT(B5565," ",E5565),ForeCalc!$B$36:$Y$36,0))))*VLOOKUP(A5565,Calendar!$A$2:$H$9997,8,FALSE),0)</f>
        <v/>
      </c>
      <c r="G5565" s="29">
        <f>VLOOKUP(A5565,Calendar!$A$1:$H$9997,6,FALSE)-F5565</f>
        <v/>
      </c>
      <c r="H5565" s="19" t="n">
        <v>1</v>
      </c>
      <c r="I5565" s="57" t="n">
        <v>3</v>
      </c>
    </row>
    <row r="5566">
      <c r="A5566" s="62" t="n">
        <v>46197</v>
      </c>
      <c r="B5566" s="3" t="inlineStr">
        <is>
          <t>Week</t>
        </is>
      </c>
      <c r="C5566" s="19" t="n">
        <v>6</v>
      </c>
      <c r="D5566" s="19" t="n">
        <v>2026</v>
      </c>
      <c r="E5566" s="57" t="n">
        <v>6</v>
      </c>
      <c r="F5566" s="29">
        <f>ROUND(((SUMIFS(Calendar!$F$2:$F$9997,Calendar!$B$2:$B$9997,D5566,Calendar!$C$2:$C$9997,C5566)*INDEX(ForeCalc!$B$37:$Y$274,MATCH(_xlfn.CONCAT(H5566," ",I5566),ForeCalc!$A$37:$A$274,0),MATCH(_xlfn.CONCAT(B5566," ",E5566),ForeCalc!$B$36:$Y$36,0))))*VLOOKUP(A5566,Calendar!$A$2:$H$9997,8,FALSE),0)</f>
        <v/>
      </c>
      <c r="G5566" s="29">
        <f>VLOOKUP(A5566,Calendar!$A$1:$H$9997,6,FALSE)-F5566</f>
        <v/>
      </c>
      <c r="H5566" s="19" t="n">
        <v>1</v>
      </c>
      <c r="I5566" s="57" t="n">
        <v>3</v>
      </c>
    </row>
    <row r="5567">
      <c r="A5567" s="62" t="n">
        <v>46198</v>
      </c>
      <c r="B5567" s="3" t="inlineStr">
        <is>
          <t>Week</t>
        </is>
      </c>
      <c r="C5567" s="19" t="n">
        <v>6</v>
      </c>
      <c r="D5567" s="19" t="n">
        <v>2026</v>
      </c>
      <c r="E5567" s="57" t="n">
        <v>6</v>
      </c>
      <c r="F5567" s="29">
        <f>ROUND(((SUMIFS(Calendar!$F$2:$F$9997,Calendar!$B$2:$B$9997,D5567,Calendar!$C$2:$C$9997,C5567)*INDEX(ForeCalc!$B$37:$Y$274,MATCH(_xlfn.CONCAT(H5567," ",I5567),ForeCalc!$A$37:$A$274,0),MATCH(_xlfn.CONCAT(B5567," ",E5567),ForeCalc!$B$36:$Y$36,0))))*VLOOKUP(A5567,Calendar!$A$2:$H$9997,8,FALSE),0)</f>
        <v/>
      </c>
      <c r="G5567" s="29">
        <f>VLOOKUP(A5567,Calendar!$A$1:$H$9997,6,FALSE)-F5567</f>
        <v/>
      </c>
      <c r="H5567" s="19" t="n">
        <v>1</v>
      </c>
      <c r="I5567" s="57" t="n">
        <v>3</v>
      </c>
    </row>
    <row r="5568">
      <c r="A5568" s="62" t="n">
        <v>46199</v>
      </c>
      <c r="B5568" s="3" t="inlineStr">
        <is>
          <t>Week</t>
        </is>
      </c>
      <c r="C5568" s="19" t="n">
        <v>6</v>
      </c>
      <c r="D5568" s="19" t="n">
        <v>2026</v>
      </c>
      <c r="E5568" s="57" t="n">
        <v>6</v>
      </c>
      <c r="F5568" s="29">
        <f>ROUND(((SUMIFS(Calendar!$F$2:$F$9997,Calendar!$B$2:$B$9997,D5568,Calendar!$C$2:$C$9997,C5568)*INDEX(ForeCalc!$B$37:$Y$274,MATCH(_xlfn.CONCAT(H5568," ",I5568),ForeCalc!$A$37:$A$274,0),MATCH(_xlfn.CONCAT(B5568," ",E5568),ForeCalc!$B$36:$Y$36,0))))*VLOOKUP(A5568,Calendar!$A$2:$H$9997,8,FALSE),0)</f>
        <v/>
      </c>
      <c r="G5568" s="29">
        <f>VLOOKUP(A5568,Calendar!$A$1:$H$9997,6,FALSE)-F5568</f>
        <v/>
      </c>
      <c r="H5568" s="19" t="n">
        <v>1</v>
      </c>
      <c r="I5568" s="57" t="n">
        <v>3</v>
      </c>
    </row>
    <row r="5569">
      <c r="A5569" s="62" t="n">
        <v>46200</v>
      </c>
      <c r="B5569" s="3" t="inlineStr">
        <is>
          <t>Sat</t>
        </is>
      </c>
      <c r="C5569" s="19" t="n">
        <v>6</v>
      </c>
      <c r="D5569" s="19" t="n">
        <v>2026</v>
      </c>
      <c r="E5569" s="57" t="n">
        <v>6</v>
      </c>
      <c r="F5569" s="29">
        <f>ROUND(((SUMIFS(Calendar!$F$2:$F$9997,Calendar!$B$2:$B$9997,D5569,Calendar!$C$2:$C$9997,C5569)*INDEX(ForeCalc!$B$37:$Y$274,MATCH(_xlfn.CONCAT(H5569," ",I5569),ForeCalc!$A$37:$A$274,0),MATCH(_xlfn.CONCAT(B5569," ",E5569),ForeCalc!$B$36:$Y$36,0))))*VLOOKUP(A5569,Calendar!$A$2:$H$9997,8,FALSE),0)</f>
        <v/>
      </c>
      <c r="G5569" s="29">
        <f>VLOOKUP(A5569,Calendar!$A$1:$H$9997,6,FALSE)-F5569</f>
        <v/>
      </c>
      <c r="H5569" s="19" t="n">
        <v>1</v>
      </c>
      <c r="I5569" s="57" t="n">
        <v>3</v>
      </c>
    </row>
    <row r="5570">
      <c r="A5570" s="62" t="n">
        <v>46201</v>
      </c>
      <c r="B5570" s="3" t="inlineStr">
        <is>
          <t>Sun</t>
        </is>
      </c>
      <c r="C5570" s="19" t="n">
        <v>6</v>
      </c>
      <c r="D5570" s="19" t="n">
        <v>2026</v>
      </c>
      <c r="E5570" s="57" t="n">
        <v>6</v>
      </c>
      <c r="F5570" s="29">
        <f>ROUND(((SUMIFS(Calendar!$F$2:$F$9997,Calendar!$B$2:$B$9997,D5570,Calendar!$C$2:$C$9997,C5570)*INDEX(ForeCalc!$B$37:$Y$274,MATCH(_xlfn.CONCAT(H5570," ",I5570),ForeCalc!$A$37:$A$274,0),MATCH(_xlfn.CONCAT(B5570," ",E5570),ForeCalc!$B$36:$Y$36,0))))*VLOOKUP(A5570,Calendar!$A$2:$H$9997,8,FALSE),0)</f>
        <v/>
      </c>
      <c r="G5570" s="29">
        <f>VLOOKUP(A5570,Calendar!$A$1:$H$9997,6,FALSE)-F5570</f>
        <v/>
      </c>
      <c r="H5570" s="19" t="n">
        <v>1</v>
      </c>
      <c r="I5570" s="57" t="n">
        <v>3</v>
      </c>
    </row>
    <row r="5571">
      <c r="A5571" s="62" t="n">
        <v>46202</v>
      </c>
      <c r="B5571" s="3" t="inlineStr">
        <is>
          <t>Week</t>
        </is>
      </c>
      <c r="C5571" s="19" t="n">
        <v>6</v>
      </c>
      <c r="D5571" s="19" t="n">
        <v>2026</v>
      </c>
      <c r="E5571" s="57" t="n">
        <v>6</v>
      </c>
      <c r="F5571" s="29">
        <f>ROUND(((SUMIFS(Calendar!$F$2:$F$9997,Calendar!$B$2:$B$9997,D5571,Calendar!$C$2:$C$9997,C5571)*INDEX(ForeCalc!$B$37:$Y$274,MATCH(_xlfn.CONCAT(H5571," ",I5571),ForeCalc!$A$37:$A$274,0),MATCH(_xlfn.CONCAT(B5571," ",E5571),ForeCalc!$B$36:$Y$36,0))))*VLOOKUP(A5571,Calendar!$A$2:$H$9997,8,FALSE),0)</f>
        <v/>
      </c>
      <c r="G5571" s="29">
        <f>VLOOKUP(A5571,Calendar!$A$1:$H$9997,6,FALSE)-F5571</f>
        <v/>
      </c>
      <c r="H5571" s="19" t="n">
        <v>1</v>
      </c>
      <c r="I5571" s="57" t="n">
        <v>3</v>
      </c>
    </row>
    <row r="5572">
      <c r="A5572" s="62" t="n">
        <v>46203</v>
      </c>
      <c r="B5572" s="3" t="inlineStr">
        <is>
          <t>Week</t>
        </is>
      </c>
      <c r="C5572" s="19" t="n">
        <v>6</v>
      </c>
      <c r="D5572" s="19" t="n">
        <v>2026</v>
      </c>
      <c r="E5572" s="57" t="n">
        <v>6</v>
      </c>
      <c r="F5572" s="29">
        <f>ROUND(((SUMIFS(Calendar!$F$2:$F$9997,Calendar!$B$2:$B$9997,D5572,Calendar!$C$2:$C$9997,C5572)*INDEX(ForeCalc!$B$37:$Y$274,MATCH(_xlfn.CONCAT(H5572," ",I5572),ForeCalc!$A$37:$A$274,0),MATCH(_xlfn.CONCAT(B5572," ",E5572),ForeCalc!$B$36:$Y$36,0))))*VLOOKUP(A5572,Calendar!$A$2:$H$9997,8,FALSE),0)</f>
        <v/>
      </c>
      <c r="G5572" s="29">
        <f>VLOOKUP(A5572,Calendar!$A$1:$H$9997,6,FALSE)-F5572</f>
        <v/>
      </c>
      <c r="H5572" s="19" t="n">
        <v>1</v>
      </c>
      <c r="I5572" s="57" t="n">
        <v>3</v>
      </c>
    </row>
    <row r="5573">
      <c r="A5573" s="62" t="n">
        <v>46204</v>
      </c>
      <c r="B5573" s="3" t="inlineStr">
        <is>
          <t>Week</t>
        </is>
      </c>
      <c r="C5573" s="19" t="n">
        <v>7</v>
      </c>
      <c r="D5573" s="19" t="n">
        <v>2026</v>
      </c>
      <c r="E5573" s="57" t="n">
        <v>6</v>
      </c>
      <c r="F5573" s="29">
        <f>ROUND(((SUMIFS(Calendar!$F$2:$F$9997,Calendar!$B$2:$B$9997,D5573,Calendar!$C$2:$C$9997,C5573)*INDEX(ForeCalc!$B$37:$Y$274,MATCH(_xlfn.CONCAT(H5573," ",I5573),ForeCalc!$A$37:$A$274,0),MATCH(_xlfn.CONCAT(B5573," ",E5573),ForeCalc!$B$36:$Y$36,0))))*VLOOKUP(A5573,Calendar!$A$2:$H$9997,8,FALSE),0)</f>
        <v/>
      </c>
      <c r="G5573" s="29">
        <f>VLOOKUP(A5573,Calendar!$A$1:$H$9997,6,FALSE)-F5573</f>
        <v/>
      </c>
      <c r="H5573" s="19" t="n">
        <v>1</v>
      </c>
      <c r="I5573" s="57" t="n">
        <v>4</v>
      </c>
    </row>
    <row r="5574">
      <c r="A5574" s="62" t="n">
        <v>46205</v>
      </c>
      <c r="B5574" s="3" t="inlineStr">
        <is>
          <t>Week</t>
        </is>
      </c>
      <c r="C5574" s="19" t="n">
        <v>7</v>
      </c>
      <c r="D5574" s="19" t="n">
        <v>2026</v>
      </c>
      <c r="E5574" s="57" t="n">
        <v>6</v>
      </c>
      <c r="F5574" s="29">
        <f>ROUND(((SUMIFS(Calendar!$F$2:$F$9997,Calendar!$B$2:$B$9997,D5574,Calendar!$C$2:$C$9997,C5574)*INDEX(ForeCalc!$B$37:$Y$274,MATCH(_xlfn.CONCAT(H5574," ",I5574),ForeCalc!$A$37:$A$274,0),MATCH(_xlfn.CONCAT(B5574," ",E5574),ForeCalc!$B$36:$Y$36,0))))*VLOOKUP(A5574,Calendar!$A$2:$H$9997,8,FALSE),0)</f>
        <v/>
      </c>
      <c r="G5574" s="29">
        <f>VLOOKUP(A5574,Calendar!$A$1:$H$9997,6,FALSE)-F5574</f>
        <v/>
      </c>
      <c r="H5574" s="19" t="n">
        <v>1</v>
      </c>
      <c r="I5574" s="57" t="n">
        <v>4</v>
      </c>
    </row>
    <row r="5575">
      <c r="A5575" s="62" t="n">
        <v>46206</v>
      </c>
      <c r="B5575" s="3" t="inlineStr">
        <is>
          <t>Week</t>
        </is>
      </c>
      <c r="C5575" s="19" t="n">
        <v>7</v>
      </c>
      <c r="D5575" s="19" t="n">
        <v>2026</v>
      </c>
      <c r="E5575" s="57" t="n">
        <v>6</v>
      </c>
      <c r="F5575" s="29">
        <f>ROUND(((SUMIFS(Calendar!$F$2:$F$9997,Calendar!$B$2:$B$9997,D5575,Calendar!$C$2:$C$9997,C5575)*INDEX(ForeCalc!$B$37:$Y$274,MATCH(_xlfn.CONCAT(H5575," ",I5575),ForeCalc!$A$37:$A$274,0),MATCH(_xlfn.CONCAT(B5575," ",E5575),ForeCalc!$B$36:$Y$36,0))))*VLOOKUP(A5575,Calendar!$A$2:$H$9997,8,FALSE),0)</f>
        <v/>
      </c>
      <c r="G5575" s="29">
        <f>VLOOKUP(A5575,Calendar!$A$1:$H$9997,6,FALSE)-F5575</f>
        <v/>
      </c>
      <c r="H5575" s="19" t="n">
        <v>1</v>
      </c>
      <c r="I5575" s="57" t="n">
        <v>4</v>
      </c>
    </row>
    <row r="5576">
      <c r="A5576" s="62" t="n">
        <v>46207</v>
      </c>
      <c r="B5576" s="3" t="inlineStr">
        <is>
          <t>Sat</t>
        </is>
      </c>
      <c r="C5576" s="19" t="n">
        <v>7</v>
      </c>
      <c r="D5576" s="19" t="n">
        <v>2026</v>
      </c>
      <c r="E5576" s="57" t="n">
        <v>6</v>
      </c>
      <c r="F5576" s="29">
        <f>ROUND(((SUMIFS(Calendar!$F$2:$F$9997,Calendar!$B$2:$B$9997,D5576,Calendar!$C$2:$C$9997,C5576)*INDEX(ForeCalc!$B$37:$Y$274,MATCH(_xlfn.CONCAT(H5576," ",I5576),ForeCalc!$A$37:$A$274,0),MATCH(_xlfn.CONCAT(B5576," ",E5576),ForeCalc!$B$36:$Y$36,0))))*VLOOKUP(A5576,Calendar!$A$2:$H$9997,8,FALSE),0)</f>
        <v/>
      </c>
      <c r="G5576" s="29">
        <f>VLOOKUP(A5576,Calendar!$A$1:$H$9997,6,FALSE)-F5576</f>
        <v/>
      </c>
      <c r="H5576" s="19" t="n">
        <v>1</v>
      </c>
      <c r="I5576" s="57" t="n">
        <v>4</v>
      </c>
    </row>
    <row r="5577">
      <c r="A5577" s="62" t="n">
        <v>46208</v>
      </c>
      <c r="B5577" s="3" t="inlineStr">
        <is>
          <t>Sun</t>
        </is>
      </c>
      <c r="C5577" s="19" t="n">
        <v>7</v>
      </c>
      <c r="D5577" s="19" t="n">
        <v>2026</v>
      </c>
      <c r="E5577" s="57" t="n">
        <v>6</v>
      </c>
      <c r="F5577" s="29">
        <f>ROUND(((SUMIFS(Calendar!$F$2:$F$9997,Calendar!$B$2:$B$9997,D5577,Calendar!$C$2:$C$9997,C5577)*INDEX(ForeCalc!$B$37:$Y$274,MATCH(_xlfn.CONCAT(H5577," ",I5577),ForeCalc!$A$37:$A$274,0),MATCH(_xlfn.CONCAT(B5577," ",E5577),ForeCalc!$B$36:$Y$36,0))))*VLOOKUP(A5577,Calendar!$A$2:$H$9997,8,FALSE),0)</f>
        <v/>
      </c>
      <c r="G5577" s="29">
        <f>VLOOKUP(A5577,Calendar!$A$1:$H$9997,6,FALSE)-F5577</f>
        <v/>
      </c>
      <c r="H5577" s="19" t="n">
        <v>1</v>
      </c>
      <c r="I5577" s="57" t="n">
        <v>4</v>
      </c>
    </row>
    <row r="5578">
      <c r="A5578" s="62" t="n">
        <v>46209</v>
      </c>
      <c r="B5578" s="3" t="inlineStr">
        <is>
          <t>Week</t>
        </is>
      </c>
      <c r="C5578" s="19" t="n">
        <v>7</v>
      </c>
      <c r="D5578" s="19" t="n">
        <v>2026</v>
      </c>
      <c r="E5578" s="57" t="n">
        <v>6</v>
      </c>
      <c r="F5578" s="29">
        <f>ROUND(((SUMIFS(Calendar!$F$2:$F$9997,Calendar!$B$2:$B$9997,D5578,Calendar!$C$2:$C$9997,C5578)*INDEX(ForeCalc!$B$37:$Y$274,MATCH(_xlfn.CONCAT(H5578," ",I5578),ForeCalc!$A$37:$A$274,0),MATCH(_xlfn.CONCAT(B5578," ",E5578),ForeCalc!$B$36:$Y$36,0))))*VLOOKUP(A5578,Calendar!$A$2:$H$9997,8,FALSE),0)</f>
        <v/>
      </c>
      <c r="G5578" s="29">
        <f>VLOOKUP(A5578,Calendar!$A$1:$H$9997,6,FALSE)-F5578</f>
        <v/>
      </c>
      <c r="H5578" s="19" t="n">
        <v>1</v>
      </c>
      <c r="I5578" s="57" t="n">
        <v>4</v>
      </c>
    </row>
    <row r="5579">
      <c r="A5579" s="62" t="n">
        <v>46210</v>
      </c>
      <c r="B5579" s="3" t="inlineStr">
        <is>
          <t>Week</t>
        </is>
      </c>
      <c r="C5579" s="19" t="n">
        <v>7</v>
      </c>
      <c r="D5579" s="19" t="n">
        <v>2026</v>
      </c>
      <c r="E5579" s="57" t="n">
        <v>6</v>
      </c>
      <c r="F5579" s="29">
        <f>ROUND(((SUMIFS(Calendar!$F$2:$F$9997,Calendar!$B$2:$B$9997,D5579,Calendar!$C$2:$C$9997,C5579)*INDEX(ForeCalc!$B$37:$Y$274,MATCH(_xlfn.CONCAT(H5579," ",I5579),ForeCalc!$A$37:$A$274,0),MATCH(_xlfn.CONCAT(B5579," ",E5579),ForeCalc!$B$36:$Y$36,0))))*VLOOKUP(A5579,Calendar!$A$2:$H$9997,8,FALSE),0)</f>
        <v/>
      </c>
      <c r="G5579" s="29">
        <f>VLOOKUP(A5579,Calendar!$A$1:$H$9997,6,FALSE)-F5579</f>
        <v/>
      </c>
      <c r="H5579" s="19" t="n">
        <v>1</v>
      </c>
      <c r="I5579" s="57" t="n">
        <v>4</v>
      </c>
    </row>
    <row r="5580">
      <c r="A5580" s="62" t="n">
        <v>46211</v>
      </c>
      <c r="B5580" s="3" t="inlineStr">
        <is>
          <t>Week</t>
        </is>
      </c>
      <c r="C5580" s="19" t="n">
        <v>7</v>
      </c>
      <c r="D5580" s="19" t="n">
        <v>2026</v>
      </c>
      <c r="E5580" s="57" t="n">
        <v>6</v>
      </c>
      <c r="F5580" s="29">
        <f>ROUND(((SUMIFS(Calendar!$F$2:$F$9997,Calendar!$B$2:$B$9997,D5580,Calendar!$C$2:$C$9997,C5580)*INDEX(ForeCalc!$B$37:$Y$274,MATCH(_xlfn.CONCAT(H5580," ",I5580),ForeCalc!$A$37:$A$274,0),MATCH(_xlfn.CONCAT(B5580," ",E5580),ForeCalc!$B$36:$Y$36,0))))*VLOOKUP(A5580,Calendar!$A$2:$H$9997,8,FALSE),0)</f>
        <v/>
      </c>
      <c r="G5580" s="29">
        <f>VLOOKUP(A5580,Calendar!$A$1:$H$9997,6,FALSE)-F5580</f>
        <v/>
      </c>
      <c r="H5580" s="19" t="n">
        <v>1</v>
      </c>
      <c r="I5580" s="57" t="n">
        <v>4</v>
      </c>
    </row>
    <row r="5581">
      <c r="A5581" s="62" t="n">
        <v>46212</v>
      </c>
      <c r="B5581" s="3" t="inlineStr">
        <is>
          <t>Week</t>
        </is>
      </c>
      <c r="C5581" s="19" t="n">
        <v>7</v>
      </c>
      <c r="D5581" s="19" t="n">
        <v>2026</v>
      </c>
      <c r="E5581" s="57" t="n">
        <v>6</v>
      </c>
      <c r="F5581" s="29">
        <f>ROUND(((SUMIFS(Calendar!$F$2:$F$9997,Calendar!$B$2:$B$9997,D5581,Calendar!$C$2:$C$9997,C5581)*INDEX(ForeCalc!$B$37:$Y$274,MATCH(_xlfn.CONCAT(H5581," ",I5581),ForeCalc!$A$37:$A$274,0),MATCH(_xlfn.CONCAT(B5581," ",E5581),ForeCalc!$B$36:$Y$36,0))))*VLOOKUP(A5581,Calendar!$A$2:$H$9997,8,FALSE),0)</f>
        <v/>
      </c>
      <c r="G5581" s="29">
        <f>VLOOKUP(A5581,Calendar!$A$1:$H$9997,6,FALSE)-F5581</f>
        <v/>
      </c>
      <c r="H5581" s="19" t="n">
        <v>1</v>
      </c>
      <c r="I5581" s="57" t="n">
        <v>4</v>
      </c>
    </row>
    <row r="5582">
      <c r="A5582" s="62" t="n">
        <v>46213</v>
      </c>
      <c r="B5582" s="3" t="inlineStr">
        <is>
          <t>Week</t>
        </is>
      </c>
      <c r="C5582" s="19" t="n">
        <v>7</v>
      </c>
      <c r="D5582" s="19" t="n">
        <v>2026</v>
      </c>
      <c r="E5582" s="57" t="n">
        <v>6</v>
      </c>
      <c r="F5582" s="29">
        <f>ROUND(((SUMIFS(Calendar!$F$2:$F$9997,Calendar!$B$2:$B$9997,D5582,Calendar!$C$2:$C$9997,C5582)*INDEX(ForeCalc!$B$37:$Y$274,MATCH(_xlfn.CONCAT(H5582," ",I5582),ForeCalc!$A$37:$A$274,0),MATCH(_xlfn.CONCAT(B5582," ",E5582),ForeCalc!$B$36:$Y$36,0))))*VLOOKUP(A5582,Calendar!$A$2:$H$9997,8,FALSE),0)</f>
        <v/>
      </c>
      <c r="G5582" s="29">
        <f>VLOOKUP(A5582,Calendar!$A$1:$H$9997,6,FALSE)-F5582</f>
        <v/>
      </c>
      <c r="H5582" s="19" t="n">
        <v>1</v>
      </c>
      <c r="I5582" s="57" t="n">
        <v>4</v>
      </c>
    </row>
    <row r="5583">
      <c r="A5583" s="62" t="n">
        <v>46214</v>
      </c>
      <c r="B5583" s="3" t="inlineStr">
        <is>
          <t>Sat</t>
        </is>
      </c>
      <c r="C5583" s="19" t="n">
        <v>7</v>
      </c>
      <c r="D5583" s="19" t="n">
        <v>2026</v>
      </c>
      <c r="E5583" s="57" t="n">
        <v>6</v>
      </c>
      <c r="F5583" s="29">
        <f>ROUND(((SUMIFS(Calendar!$F$2:$F$9997,Calendar!$B$2:$B$9997,D5583,Calendar!$C$2:$C$9997,C5583)*INDEX(ForeCalc!$B$37:$Y$274,MATCH(_xlfn.CONCAT(H5583," ",I5583),ForeCalc!$A$37:$A$274,0),MATCH(_xlfn.CONCAT(B5583," ",E5583),ForeCalc!$B$36:$Y$36,0))))*VLOOKUP(A5583,Calendar!$A$2:$H$9997,8,FALSE),0)</f>
        <v/>
      </c>
      <c r="G5583" s="29">
        <f>VLOOKUP(A5583,Calendar!$A$1:$H$9997,6,FALSE)-F5583</f>
        <v/>
      </c>
      <c r="H5583" s="19" t="n">
        <v>1</v>
      </c>
      <c r="I5583" s="57" t="n">
        <v>4</v>
      </c>
    </row>
    <row r="5584">
      <c r="A5584" s="62" t="n">
        <v>46215</v>
      </c>
      <c r="B5584" s="3" t="inlineStr">
        <is>
          <t>Sun</t>
        </is>
      </c>
      <c r="C5584" s="19" t="n">
        <v>7</v>
      </c>
      <c r="D5584" s="19" t="n">
        <v>2026</v>
      </c>
      <c r="E5584" s="57" t="n">
        <v>6</v>
      </c>
      <c r="F5584" s="29">
        <f>ROUND(((SUMIFS(Calendar!$F$2:$F$9997,Calendar!$B$2:$B$9997,D5584,Calendar!$C$2:$C$9997,C5584)*INDEX(ForeCalc!$B$37:$Y$274,MATCH(_xlfn.CONCAT(H5584," ",I5584),ForeCalc!$A$37:$A$274,0),MATCH(_xlfn.CONCAT(B5584," ",E5584),ForeCalc!$B$36:$Y$36,0))))*VLOOKUP(A5584,Calendar!$A$2:$H$9997,8,FALSE),0)</f>
        <v/>
      </c>
      <c r="G5584" s="29">
        <f>VLOOKUP(A5584,Calendar!$A$1:$H$9997,6,FALSE)-F5584</f>
        <v/>
      </c>
      <c r="H5584" s="19" t="n">
        <v>1</v>
      </c>
      <c r="I5584" s="57" t="n">
        <v>4</v>
      </c>
    </row>
    <row r="5585">
      <c r="A5585" s="62" t="n">
        <v>46216</v>
      </c>
      <c r="B5585" s="3" t="inlineStr">
        <is>
          <t>Week</t>
        </is>
      </c>
      <c r="C5585" s="19" t="n">
        <v>7</v>
      </c>
      <c r="D5585" s="19" t="n">
        <v>2026</v>
      </c>
      <c r="E5585" s="57" t="n">
        <v>6</v>
      </c>
      <c r="F5585" s="29">
        <f>ROUND(((SUMIFS(Calendar!$F$2:$F$9997,Calendar!$B$2:$B$9997,D5585,Calendar!$C$2:$C$9997,C5585)*INDEX(ForeCalc!$B$37:$Y$274,MATCH(_xlfn.CONCAT(H5585," ",I5585),ForeCalc!$A$37:$A$274,0),MATCH(_xlfn.CONCAT(B5585," ",E5585),ForeCalc!$B$36:$Y$36,0))))*VLOOKUP(A5585,Calendar!$A$2:$H$9997,8,FALSE),0)</f>
        <v/>
      </c>
      <c r="G5585" s="29">
        <f>VLOOKUP(A5585,Calendar!$A$1:$H$9997,6,FALSE)-F5585</f>
        <v/>
      </c>
      <c r="H5585" s="19" t="n">
        <v>1</v>
      </c>
      <c r="I5585" s="57" t="n">
        <v>4</v>
      </c>
    </row>
    <row r="5586">
      <c r="A5586" s="62" t="n">
        <v>46217</v>
      </c>
      <c r="B5586" s="3" t="inlineStr">
        <is>
          <t>Week</t>
        </is>
      </c>
      <c r="C5586" s="19" t="n">
        <v>7</v>
      </c>
      <c r="D5586" s="19" t="n">
        <v>2026</v>
      </c>
      <c r="E5586" s="57" t="n">
        <v>6</v>
      </c>
      <c r="F5586" s="29">
        <f>ROUND(((SUMIFS(Calendar!$F$2:$F$9997,Calendar!$B$2:$B$9997,D5586,Calendar!$C$2:$C$9997,C5586)*INDEX(ForeCalc!$B$37:$Y$274,MATCH(_xlfn.CONCAT(H5586," ",I5586),ForeCalc!$A$37:$A$274,0),MATCH(_xlfn.CONCAT(B5586," ",E5586),ForeCalc!$B$36:$Y$36,0))))*VLOOKUP(A5586,Calendar!$A$2:$H$9997,8,FALSE),0)</f>
        <v/>
      </c>
      <c r="G5586" s="29">
        <f>VLOOKUP(A5586,Calendar!$A$1:$H$9997,6,FALSE)-F5586</f>
        <v/>
      </c>
      <c r="H5586" s="19" t="n">
        <v>1</v>
      </c>
      <c r="I5586" s="57" t="n">
        <v>4</v>
      </c>
    </row>
    <row r="5587">
      <c r="A5587" s="62" t="n">
        <v>46218</v>
      </c>
      <c r="B5587" s="3" t="inlineStr">
        <is>
          <t>Week</t>
        </is>
      </c>
      <c r="C5587" s="19" t="n">
        <v>7</v>
      </c>
      <c r="D5587" s="19" t="n">
        <v>2026</v>
      </c>
      <c r="E5587" s="57" t="n">
        <v>6</v>
      </c>
      <c r="F5587" s="29">
        <f>ROUND(((SUMIFS(Calendar!$F$2:$F$9997,Calendar!$B$2:$B$9997,D5587,Calendar!$C$2:$C$9997,C5587)*INDEX(ForeCalc!$B$37:$Y$274,MATCH(_xlfn.CONCAT(H5587," ",I5587),ForeCalc!$A$37:$A$274,0),MATCH(_xlfn.CONCAT(B5587," ",E5587),ForeCalc!$B$36:$Y$36,0))))*VLOOKUP(A5587,Calendar!$A$2:$H$9997,8,FALSE),0)</f>
        <v/>
      </c>
      <c r="G5587" s="29">
        <f>VLOOKUP(A5587,Calendar!$A$1:$H$9997,6,FALSE)-F5587</f>
        <v/>
      </c>
      <c r="H5587" s="19" t="n">
        <v>1</v>
      </c>
      <c r="I5587" s="57" t="n">
        <v>4</v>
      </c>
    </row>
    <row r="5588">
      <c r="A5588" s="62" t="n">
        <v>46219</v>
      </c>
      <c r="B5588" s="3" t="inlineStr">
        <is>
          <t>Week</t>
        </is>
      </c>
      <c r="C5588" s="19" t="n">
        <v>7</v>
      </c>
      <c r="D5588" s="19" t="n">
        <v>2026</v>
      </c>
      <c r="E5588" s="57" t="n">
        <v>6</v>
      </c>
      <c r="F5588" s="29">
        <f>ROUND(((SUMIFS(Calendar!$F$2:$F$9997,Calendar!$B$2:$B$9997,D5588,Calendar!$C$2:$C$9997,C5588)*INDEX(ForeCalc!$B$37:$Y$274,MATCH(_xlfn.CONCAT(H5588," ",I5588),ForeCalc!$A$37:$A$274,0),MATCH(_xlfn.CONCAT(B5588," ",E5588),ForeCalc!$B$36:$Y$36,0))))*VLOOKUP(A5588,Calendar!$A$2:$H$9997,8,FALSE),0)</f>
        <v/>
      </c>
      <c r="G5588" s="29">
        <f>VLOOKUP(A5588,Calendar!$A$1:$H$9997,6,FALSE)-F5588</f>
        <v/>
      </c>
      <c r="H5588" s="19" t="n">
        <v>1</v>
      </c>
      <c r="I5588" s="57" t="n">
        <v>4</v>
      </c>
    </row>
    <row r="5589">
      <c r="A5589" s="62" t="n">
        <v>46220</v>
      </c>
      <c r="B5589" s="3" t="inlineStr">
        <is>
          <t>Week</t>
        </is>
      </c>
      <c r="C5589" s="19" t="n">
        <v>7</v>
      </c>
      <c r="D5589" s="19" t="n">
        <v>2026</v>
      </c>
      <c r="E5589" s="57" t="n">
        <v>6</v>
      </c>
      <c r="F5589" s="29">
        <f>ROUND(((SUMIFS(Calendar!$F$2:$F$9997,Calendar!$B$2:$B$9997,D5589,Calendar!$C$2:$C$9997,C5589)*INDEX(ForeCalc!$B$37:$Y$274,MATCH(_xlfn.CONCAT(H5589," ",I5589),ForeCalc!$A$37:$A$274,0),MATCH(_xlfn.CONCAT(B5589," ",E5589),ForeCalc!$B$36:$Y$36,0))))*VLOOKUP(A5589,Calendar!$A$2:$H$9997,8,FALSE),0)</f>
        <v/>
      </c>
      <c r="G5589" s="29">
        <f>VLOOKUP(A5589,Calendar!$A$1:$H$9997,6,FALSE)-F5589</f>
        <v/>
      </c>
      <c r="H5589" s="19" t="n">
        <v>1</v>
      </c>
      <c r="I5589" s="57" t="n">
        <v>4</v>
      </c>
    </row>
    <row r="5590">
      <c r="A5590" s="62" t="n">
        <v>46221</v>
      </c>
      <c r="B5590" s="3" t="inlineStr">
        <is>
          <t>Sat</t>
        </is>
      </c>
      <c r="C5590" s="19" t="n">
        <v>7</v>
      </c>
      <c r="D5590" s="19" t="n">
        <v>2026</v>
      </c>
      <c r="E5590" s="57" t="n">
        <v>6</v>
      </c>
      <c r="F5590" s="29">
        <f>ROUND(((SUMIFS(Calendar!$F$2:$F$9997,Calendar!$B$2:$B$9997,D5590,Calendar!$C$2:$C$9997,C5590)*INDEX(ForeCalc!$B$37:$Y$274,MATCH(_xlfn.CONCAT(H5590," ",I5590),ForeCalc!$A$37:$A$274,0),MATCH(_xlfn.CONCAT(B5590," ",E5590),ForeCalc!$B$36:$Y$36,0))))*VLOOKUP(A5590,Calendar!$A$2:$H$9997,8,FALSE),0)</f>
        <v/>
      </c>
      <c r="G5590" s="29">
        <f>VLOOKUP(A5590,Calendar!$A$1:$H$9997,6,FALSE)-F5590</f>
        <v/>
      </c>
      <c r="H5590" s="19" t="n">
        <v>1</v>
      </c>
      <c r="I5590" s="57" t="n">
        <v>4</v>
      </c>
    </row>
    <row r="5591">
      <c r="A5591" s="62" t="n">
        <v>46222</v>
      </c>
      <c r="B5591" s="3" t="inlineStr">
        <is>
          <t>Sun</t>
        </is>
      </c>
      <c r="C5591" s="19" t="n">
        <v>7</v>
      </c>
      <c r="D5591" s="19" t="n">
        <v>2026</v>
      </c>
      <c r="E5591" s="57" t="n">
        <v>6</v>
      </c>
      <c r="F5591" s="29">
        <f>ROUND(((SUMIFS(Calendar!$F$2:$F$9997,Calendar!$B$2:$B$9997,D5591,Calendar!$C$2:$C$9997,C5591)*INDEX(ForeCalc!$B$37:$Y$274,MATCH(_xlfn.CONCAT(H5591," ",I5591),ForeCalc!$A$37:$A$274,0),MATCH(_xlfn.CONCAT(B5591," ",E5591),ForeCalc!$B$36:$Y$36,0))))*VLOOKUP(A5591,Calendar!$A$2:$H$9997,8,FALSE),0)</f>
        <v/>
      </c>
      <c r="G5591" s="29">
        <f>VLOOKUP(A5591,Calendar!$A$1:$H$9997,6,FALSE)-F5591</f>
        <v/>
      </c>
      <c r="H5591" s="19" t="n">
        <v>1</v>
      </c>
      <c r="I5591" s="57" t="n">
        <v>4</v>
      </c>
    </row>
    <row r="5592">
      <c r="A5592" s="62" t="n">
        <v>46223</v>
      </c>
      <c r="B5592" s="3" t="inlineStr">
        <is>
          <t>Week</t>
        </is>
      </c>
      <c r="C5592" s="19" t="n">
        <v>7</v>
      </c>
      <c r="D5592" s="19" t="n">
        <v>2026</v>
      </c>
      <c r="E5592" s="57" t="n">
        <v>6</v>
      </c>
      <c r="F5592" s="29">
        <f>ROUND(((SUMIFS(Calendar!$F$2:$F$9997,Calendar!$B$2:$B$9997,D5592,Calendar!$C$2:$C$9997,C5592)*INDEX(ForeCalc!$B$37:$Y$274,MATCH(_xlfn.CONCAT(H5592," ",I5592),ForeCalc!$A$37:$A$274,0),MATCH(_xlfn.CONCAT(B5592," ",E5592),ForeCalc!$B$36:$Y$36,0))))*VLOOKUP(A5592,Calendar!$A$2:$H$9997,8,FALSE),0)</f>
        <v/>
      </c>
      <c r="G5592" s="29">
        <f>VLOOKUP(A5592,Calendar!$A$1:$H$9997,6,FALSE)-F5592</f>
        <v/>
      </c>
      <c r="H5592" s="19" t="n">
        <v>1</v>
      </c>
      <c r="I5592" s="57" t="n">
        <v>4</v>
      </c>
    </row>
    <row r="5593">
      <c r="A5593" s="62" t="n">
        <v>46224</v>
      </c>
      <c r="B5593" s="3" t="inlineStr">
        <is>
          <t>Week</t>
        </is>
      </c>
      <c r="C5593" s="19" t="n">
        <v>7</v>
      </c>
      <c r="D5593" s="19" t="n">
        <v>2026</v>
      </c>
      <c r="E5593" s="57" t="n">
        <v>6</v>
      </c>
      <c r="F5593" s="29">
        <f>ROUND(((SUMIFS(Calendar!$F$2:$F$9997,Calendar!$B$2:$B$9997,D5593,Calendar!$C$2:$C$9997,C5593)*INDEX(ForeCalc!$B$37:$Y$274,MATCH(_xlfn.CONCAT(H5593," ",I5593),ForeCalc!$A$37:$A$274,0),MATCH(_xlfn.CONCAT(B5593," ",E5593),ForeCalc!$B$36:$Y$36,0))))*VLOOKUP(A5593,Calendar!$A$2:$H$9997,8,FALSE),0)</f>
        <v/>
      </c>
      <c r="G5593" s="29">
        <f>VLOOKUP(A5593,Calendar!$A$1:$H$9997,6,FALSE)-F5593</f>
        <v/>
      </c>
      <c r="H5593" s="19" t="n">
        <v>1</v>
      </c>
      <c r="I5593" s="57" t="n">
        <v>4</v>
      </c>
    </row>
    <row r="5594">
      <c r="A5594" s="62" t="n">
        <v>46225</v>
      </c>
      <c r="B5594" s="3" t="inlineStr">
        <is>
          <t>Week</t>
        </is>
      </c>
      <c r="C5594" s="19" t="n">
        <v>7</v>
      </c>
      <c r="D5594" s="19" t="n">
        <v>2026</v>
      </c>
      <c r="E5594" s="57" t="n">
        <v>6</v>
      </c>
      <c r="F5594" s="29">
        <f>ROUND(((SUMIFS(Calendar!$F$2:$F$9997,Calendar!$B$2:$B$9997,D5594,Calendar!$C$2:$C$9997,C5594)*INDEX(ForeCalc!$B$37:$Y$274,MATCH(_xlfn.CONCAT(H5594," ",I5594),ForeCalc!$A$37:$A$274,0),MATCH(_xlfn.CONCAT(B5594," ",E5594),ForeCalc!$B$36:$Y$36,0))))*VLOOKUP(A5594,Calendar!$A$2:$H$9997,8,FALSE),0)</f>
        <v/>
      </c>
      <c r="G5594" s="29">
        <f>VLOOKUP(A5594,Calendar!$A$1:$H$9997,6,FALSE)-F5594</f>
        <v/>
      </c>
      <c r="H5594" s="19" t="n">
        <v>1</v>
      </c>
      <c r="I5594" s="57" t="n">
        <v>4</v>
      </c>
    </row>
    <row r="5595">
      <c r="A5595" s="62" t="n">
        <v>46226</v>
      </c>
      <c r="B5595" s="3" t="inlineStr">
        <is>
          <t>Week</t>
        </is>
      </c>
      <c r="C5595" s="19" t="n">
        <v>7</v>
      </c>
      <c r="D5595" s="19" t="n">
        <v>2026</v>
      </c>
      <c r="E5595" s="57" t="n">
        <v>6</v>
      </c>
      <c r="F5595" s="29">
        <f>ROUND(((SUMIFS(Calendar!$F$2:$F$9997,Calendar!$B$2:$B$9997,D5595,Calendar!$C$2:$C$9997,C5595)*INDEX(ForeCalc!$B$37:$Y$274,MATCH(_xlfn.CONCAT(H5595," ",I5595),ForeCalc!$A$37:$A$274,0),MATCH(_xlfn.CONCAT(B5595," ",E5595),ForeCalc!$B$36:$Y$36,0))))*VLOOKUP(A5595,Calendar!$A$2:$H$9997,8,FALSE),0)</f>
        <v/>
      </c>
      <c r="G5595" s="29">
        <f>VLOOKUP(A5595,Calendar!$A$1:$H$9997,6,FALSE)-F5595</f>
        <v/>
      </c>
      <c r="H5595" s="19" t="n">
        <v>1</v>
      </c>
      <c r="I5595" s="57" t="n">
        <v>4</v>
      </c>
    </row>
    <row r="5596">
      <c r="A5596" s="62" t="n">
        <v>46227</v>
      </c>
      <c r="B5596" s="3" t="inlineStr">
        <is>
          <t>Week</t>
        </is>
      </c>
      <c r="C5596" s="19" t="n">
        <v>7</v>
      </c>
      <c r="D5596" s="19" t="n">
        <v>2026</v>
      </c>
      <c r="E5596" s="57" t="n">
        <v>6</v>
      </c>
      <c r="F5596" s="29">
        <f>ROUND(((SUMIFS(Calendar!$F$2:$F$9997,Calendar!$B$2:$B$9997,D5596,Calendar!$C$2:$C$9997,C5596)*INDEX(ForeCalc!$B$37:$Y$274,MATCH(_xlfn.CONCAT(H5596," ",I5596),ForeCalc!$A$37:$A$274,0),MATCH(_xlfn.CONCAT(B5596," ",E5596),ForeCalc!$B$36:$Y$36,0))))*VLOOKUP(A5596,Calendar!$A$2:$H$9997,8,FALSE),0)</f>
        <v/>
      </c>
      <c r="G5596" s="29">
        <f>VLOOKUP(A5596,Calendar!$A$1:$H$9997,6,FALSE)-F5596</f>
        <v/>
      </c>
      <c r="H5596" s="19" t="n">
        <v>1</v>
      </c>
      <c r="I5596" s="57" t="n">
        <v>4</v>
      </c>
    </row>
    <row r="5597">
      <c r="A5597" s="62" t="n">
        <v>46228</v>
      </c>
      <c r="B5597" s="3" t="inlineStr">
        <is>
          <t>Sat</t>
        </is>
      </c>
      <c r="C5597" s="19" t="n">
        <v>7</v>
      </c>
      <c r="D5597" s="19" t="n">
        <v>2026</v>
      </c>
      <c r="E5597" s="57" t="n">
        <v>6</v>
      </c>
      <c r="F5597" s="29">
        <f>ROUND(((SUMIFS(Calendar!$F$2:$F$9997,Calendar!$B$2:$B$9997,D5597,Calendar!$C$2:$C$9997,C5597)*INDEX(ForeCalc!$B$37:$Y$274,MATCH(_xlfn.CONCAT(H5597," ",I5597),ForeCalc!$A$37:$A$274,0),MATCH(_xlfn.CONCAT(B5597," ",E5597),ForeCalc!$B$36:$Y$36,0))))*VLOOKUP(A5597,Calendar!$A$2:$H$9997,8,FALSE),0)</f>
        <v/>
      </c>
      <c r="G5597" s="29">
        <f>VLOOKUP(A5597,Calendar!$A$1:$H$9997,6,FALSE)-F5597</f>
        <v/>
      </c>
      <c r="H5597" s="19" t="n">
        <v>1</v>
      </c>
      <c r="I5597" s="57" t="n">
        <v>4</v>
      </c>
    </row>
    <row r="5598">
      <c r="A5598" s="62" t="n">
        <v>46229</v>
      </c>
      <c r="B5598" s="3" t="inlineStr">
        <is>
          <t>Sun</t>
        </is>
      </c>
      <c r="C5598" s="19" t="n">
        <v>7</v>
      </c>
      <c r="D5598" s="19" t="n">
        <v>2026</v>
      </c>
      <c r="E5598" s="57" t="n">
        <v>6</v>
      </c>
      <c r="F5598" s="29">
        <f>ROUND(((SUMIFS(Calendar!$F$2:$F$9997,Calendar!$B$2:$B$9997,D5598,Calendar!$C$2:$C$9997,C5598)*INDEX(ForeCalc!$B$37:$Y$274,MATCH(_xlfn.CONCAT(H5598," ",I5598),ForeCalc!$A$37:$A$274,0),MATCH(_xlfn.CONCAT(B5598," ",E5598),ForeCalc!$B$36:$Y$36,0))))*VLOOKUP(A5598,Calendar!$A$2:$H$9997,8,FALSE),0)</f>
        <v/>
      </c>
      <c r="G5598" s="29">
        <f>VLOOKUP(A5598,Calendar!$A$1:$H$9997,6,FALSE)-F5598</f>
        <v/>
      </c>
      <c r="H5598" s="19" t="n">
        <v>1</v>
      </c>
      <c r="I5598" s="57" t="n">
        <v>4</v>
      </c>
    </row>
    <row r="5599">
      <c r="A5599" s="62" t="n">
        <v>46230</v>
      </c>
      <c r="B5599" s="3" t="inlineStr">
        <is>
          <t>Week</t>
        </is>
      </c>
      <c r="C5599" s="19" t="n">
        <v>7</v>
      </c>
      <c r="D5599" s="19" t="n">
        <v>2026</v>
      </c>
      <c r="E5599" s="57" t="n">
        <v>6</v>
      </c>
      <c r="F5599" s="29">
        <f>ROUND(((SUMIFS(Calendar!$F$2:$F$9997,Calendar!$B$2:$B$9997,D5599,Calendar!$C$2:$C$9997,C5599)*INDEX(ForeCalc!$B$37:$Y$274,MATCH(_xlfn.CONCAT(H5599," ",I5599),ForeCalc!$A$37:$A$274,0),MATCH(_xlfn.CONCAT(B5599," ",E5599),ForeCalc!$B$36:$Y$36,0))))*VLOOKUP(A5599,Calendar!$A$2:$H$9997,8,FALSE),0)</f>
        <v/>
      </c>
      <c r="G5599" s="29">
        <f>VLOOKUP(A5599,Calendar!$A$1:$H$9997,6,FALSE)-F5599</f>
        <v/>
      </c>
      <c r="H5599" s="19" t="n">
        <v>1</v>
      </c>
      <c r="I5599" s="57" t="n">
        <v>4</v>
      </c>
    </row>
    <row r="5600">
      <c r="A5600" s="62" t="n">
        <v>46231</v>
      </c>
      <c r="B5600" s="3" t="inlineStr">
        <is>
          <t>Week</t>
        </is>
      </c>
      <c r="C5600" s="19" t="n">
        <v>7</v>
      </c>
      <c r="D5600" s="19" t="n">
        <v>2026</v>
      </c>
      <c r="E5600" s="57" t="n">
        <v>6</v>
      </c>
      <c r="F5600" s="29">
        <f>ROUND(((SUMIFS(Calendar!$F$2:$F$9997,Calendar!$B$2:$B$9997,D5600,Calendar!$C$2:$C$9997,C5600)*INDEX(ForeCalc!$B$37:$Y$274,MATCH(_xlfn.CONCAT(H5600," ",I5600),ForeCalc!$A$37:$A$274,0),MATCH(_xlfn.CONCAT(B5600," ",E5600),ForeCalc!$B$36:$Y$36,0))))*VLOOKUP(A5600,Calendar!$A$2:$H$9997,8,FALSE),0)</f>
        <v/>
      </c>
      <c r="G5600" s="29">
        <f>VLOOKUP(A5600,Calendar!$A$1:$H$9997,6,FALSE)-F5600</f>
        <v/>
      </c>
      <c r="H5600" s="19" t="n">
        <v>1</v>
      </c>
      <c r="I5600" s="57" t="n">
        <v>4</v>
      </c>
    </row>
    <row r="5601">
      <c r="A5601" s="62" t="n">
        <v>46232</v>
      </c>
      <c r="B5601" s="3" t="inlineStr">
        <is>
          <t>Week</t>
        </is>
      </c>
      <c r="C5601" s="19" t="n">
        <v>7</v>
      </c>
      <c r="D5601" s="19" t="n">
        <v>2026</v>
      </c>
      <c r="E5601" s="57" t="n">
        <v>6</v>
      </c>
      <c r="F5601" s="29">
        <f>ROUND(((SUMIFS(Calendar!$F$2:$F$9997,Calendar!$B$2:$B$9997,D5601,Calendar!$C$2:$C$9997,C5601)*INDEX(ForeCalc!$B$37:$Y$274,MATCH(_xlfn.CONCAT(H5601," ",I5601),ForeCalc!$A$37:$A$274,0),MATCH(_xlfn.CONCAT(B5601," ",E5601),ForeCalc!$B$36:$Y$36,0))))*VLOOKUP(A5601,Calendar!$A$2:$H$9997,8,FALSE),0)</f>
        <v/>
      </c>
      <c r="G5601" s="29">
        <f>VLOOKUP(A5601,Calendar!$A$1:$H$9997,6,FALSE)-F5601</f>
        <v/>
      </c>
      <c r="H5601" s="19" t="n">
        <v>1</v>
      </c>
      <c r="I5601" s="57" t="n">
        <v>4</v>
      </c>
    </row>
    <row r="5602">
      <c r="A5602" s="62" t="n">
        <v>46233</v>
      </c>
      <c r="B5602" s="3" t="inlineStr">
        <is>
          <t>Week</t>
        </is>
      </c>
      <c r="C5602" s="19" t="n">
        <v>7</v>
      </c>
      <c r="D5602" s="19" t="n">
        <v>2026</v>
      </c>
      <c r="E5602" s="57" t="n">
        <v>6</v>
      </c>
      <c r="F5602" s="29">
        <f>ROUND(((SUMIFS(Calendar!$F$2:$F$9997,Calendar!$B$2:$B$9997,D5602,Calendar!$C$2:$C$9997,C5602)*INDEX(ForeCalc!$B$37:$Y$274,MATCH(_xlfn.CONCAT(H5602," ",I5602),ForeCalc!$A$37:$A$274,0),MATCH(_xlfn.CONCAT(B5602," ",E5602),ForeCalc!$B$36:$Y$36,0))))*VLOOKUP(A5602,Calendar!$A$2:$H$9997,8,FALSE),0)</f>
        <v/>
      </c>
      <c r="G5602" s="29">
        <f>VLOOKUP(A5602,Calendar!$A$1:$H$9997,6,FALSE)-F5602</f>
        <v/>
      </c>
      <c r="H5602" s="19" t="n">
        <v>1</v>
      </c>
      <c r="I5602" s="57" t="n">
        <v>4</v>
      </c>
    </row>
    <row r="5603">
      <c r="A5603" s="62" t="n">
        <v>46234</v>
      </c>
      <c r="B5603" s="3" t="inlineStr">
        <is>
          <t>Week</t>
        </is>
      </c>
      <c r="C5603" s="19" t="n">
        <v>7</v>
      </c>
      <c r="D5603" s="19" t="n">
        <v>2026</v>
      </c>
      <c r="E5603" s="57" t="n">
        <v>6</v>
      </c>
      <c r="F5603" s="29">
        <f>ROUND(((SUMIFS(Calendar!$F$2:$F$9997,Calendar!$B$2:$B$9997,D5603,Calendar!$C$2:$C$9997,C5603)*INDEX(ForeCalc!$B$37:$Y$274,MATCH(_xlfn.CONCAT(H5603," ",I5603),ForeCalc!$A$37:$A$274,0),MATCH(_xlfn.CONCAT(B5603," ",E5603),ForeCalc!$B$36:$Y$36,0))))*VLOOKUP(A5603,Calendar!$A$2:$H$9997,8,FALSE),0)</f>
        <v/>
      </c>
      <c r="G5603" s="29">
        <f>VLOOKUP(A5603,Calendar!$A$1:$H$9997,6,FALSE)-F5603</f>
        <v/>
      </c>
      <c r="H5603" s="19" t="n">
        <v>1</v>
      </c>
      <c r="I5603" s="57" t="n">
        <v>4</v>
      </c>
    </row>
    <row r="5604">
      <c r="A5604" s="62" t="n">
        <v>46235</v>
      </c>
      <c r="B5604" s="3" t="inlineStr">
        <is>
          <t>Sat</t>
        </is>
      </c>
      <c r="C5604" s="19" t="n">
        <v>8</v>
      </c>
      <c r="D5604" s="19" t="n">
        <v>2026</v>
      </c>
      <c r="E5604" s="57" t="n">
        <v>6</v>
      </c>
      <c r="F5604" s="29">
        <f>ROUND(((SUMIFS(Calendar!$F$2:$F$9997,Calendar!$B$2:$B$9997,D5604,Calendar!$C$2:$C$9997,C5604)*INDEX(ForeCalc!$B$37:$Y$274,MATCH(_xlfn.CONCAT(H5604," ",I5604),ForeCalc!$A$37:$A$274,0),MATCH(_xlfn.CONCAT(B5604," ",E5604),ForeCalc!$B$36:$Y$36,0))))*VLOOKUP(A5604,Calendar!$A$2:$H$9997,8,FALSE),0)</f>
        <v/>
      </c>
      <c r="G5604" s="29">
        <f>VLOOKUP(A5604,Calendar!$A$1:$H$9997,6,FALSE)-F5604</f>
        <v/>
      </c>
      <c r="H5604" s="19" t="n">
        <v>1</v>
      </c>
      <c r="I5604" s="57" t="n">
        <v>5</v>
      </c>
    </row>
    <row r="5605">
      <c r="A5605" s="62" t="n">
        <v>46236</v>
      </c>
      <c r="B5605" s="3" t="inlineStr">
        <is>
          <t>Sun</t>
        </is>
      </c>
      <c r="C5605" s="19" t="n">
        <v>8</v>
      </c>
      <c r="D5605" s="19" t="n">
        <v>2026</v>
      </c>
      <c r="E5605" s="57" t="n">
        <v>6</v>
      </c>
      <c r="F5605" s="29">
        <f>ROUND(((SUMIFS(Calendar!$F$2:$F$9997,Calendar!$B$2:$B$9997,D5605,Calendar!$C$2:$C$9997,C5605)*INDEX(ForeCalc!$B$37:$Y$274,MATCH(_xlfn.CONCAT(H5605," ",I5605),ForeCalc!$A$37:$A$274,0),MATCH(_xlfn.CONCAT(B5605," ",E5605),ForeCalc!$B$36:$Y$36,0))))*VLOOKUP(A5605,Calendar!$A$2:$H$9997,8,FALSE),0)</f>
        <v/>
      </c>
      <c r="G5605" s="29">
        <f>VLOOKUP(A5605,Calendar!$A$1:$H$9997,6,FALSE)-F5605</f>
        <v/>
      </c>
      <c r="H5605" s="19" t="n">
        <v>1</v>
      </c>
      <c r="I5605" s="57" t="n">
        <v>5</v>
      </c>
    </row>
    <row r="5606">
      <c r="A5606" s="62" t="n">
        <v>46237</v>
      </c>
      <c r="B5606" s="3" t="inlineStr">
        <is>
          <t>Week</t>
        </is>
      </c>
      <c r="C5606" s="19" t="n">
        <v>8</v>
      </c>
      <c r="D5606" s="19" t="n">
        <v>2026</v>
      </c>
      <c r="E5606" s="57" t="n">
        <v>6</v>
      </c>
      <c r="F5606" s="29">
        <f>ROUND(((SUMIFS(Calendar!$F$2:$F$9997,Calendar!$B$2:$B$9997,D5606,Calendar!$C$2:$C$9997,C5606)*INDEX(ForeCalc!$B$37:$Y$274,MATCH(_xlfn.CONCAT(H5606," ",I5606),ForeCalc!$A$37:$A$274,0),MATCH(_xlfn.CONCAT(B5606," ",E5606),ForeCalc!$B$36:$Y$36,0))))*VLOOKUP(A5606,Calendar!$A$2:$H$9997,8,FALSE),0)</f>
        <v/>
      </c>
      <c r="G5606" s="29">
        <f>VLOOKUP(A5606,Calendar!$A$1:$H$9997,6,FALSE)-F5606</f>
        <v/>
      </c>
      <c r="H5606" s="19" t="n">
        <v>1</v>
      </c>
      <c r="I5606" s="57" t="n">
        <v>5</v>
      </c>
    </row>
    <row r="5607">
      <c r="A5607" s="62" t="n">
        <v>46238</v>
      </c>
      <c r="B5607" s="3" t="inlineStr">
        <is>
          <t>Week</t>
        </is>
      </c>
      <c r="C5607" s="19" t="n">
        <v>8</v>
      </c>
      <c r="D5607" s="19" t="n">
        <v>2026</v>
      </c>
      <c r="E5607" s="57" t="n">
        <v>6</v>
      </c>
      <c r="F5607" s="29">
        <f>ROUND(((SUMIFS(Calendar!$F$2:$F$9997,Calendar!$B$2:$B$9997,D5607,Calendar!$C$2:$C$9997,C5607)*INDEX(ForeCalc!$B$37:$Y$274,MATCH(_xlfn.CONCAT(H5607," ",I5607),ForeCalc!$A$37:$A$274,0),MATCH(_xlfn.CONCAT(B5607," ",E5607),ForeCalc!$B$36:$Y$36,0))))*VLOOKUP(A5607,Calendar!$A$2:$H$9997,8,FALSE),0)</f>
        <v/>
      </c>
      <c r="G5607" s="29">
        <f>VLOOKUP(A5607,Calendar!$A$1:$H$9997,6,FALSE)-F5607</f>
        <v/>
      </c>
      <c r="H5607" s="19" t="n">
        <v>1</v>
      </c>
      <c r="I5607" s="57" t="n">
        <v>5</v>
      </c>
    </row>
    <row r="5608">
      <c r="A5608" s="62" t="n">
        <v>46239</v>
      </c>
      <c r="B5608" s="3" t="inlineStr">
        <is>
          <t>Week</t>
        </is>
      </c>
      <c r="C5608" s="19" t="n">
        <v>8</v>
      </c>
      <c r="D5608" s="19" t="n">
        <v>2026</v>
      </c>
      <c r="E5608" s="57" t="n">
        <v>6</v>
      </c>
      <c r="F5608" s="29">
        <f>ROUND(((SUMIFS(Calendar!$F$2:$F$9997,Calendar!$B$2:$B$9997,D5608,Calendar!$C$2:$C$9997,C5608)*INDEX(ForeCalc!$B$37:$Y$274,MATCH(_xlfn.CONCAT(H5608," ",I5608),ForeCalc!$A$37:$A$274,0),MATCH(_xlfn.CONCAT(B5608," ",E5608),ForeCalc!$B$36:$Y$36,0))))*VLOOKUP(A5608,Calendar!$A$2:$H$9997,8,FALSE),0)</f>
        <v/>
      </c>
      <c r="G5608" s="29">
        <f>VLOOKUP(A5608,Calendar!$A$1:$H$9997,6,FALSE)-F5608</f>
        <v/>
      </c>
      <c r="H5608" s="19" t="n">
        <v>1</v>
      </c>
      <c r="I5608" s="57" t="n">
        <v>5</v>
      </c>
    </row>
    <row r="5609">
      <c r="A5609" s="62" t="n">
        <v>46240</v>
      </c>
      <c r="B5609" s="3" t="inlineStr">
        <is>
          <t>Week</t>
        </is>
      </c>
      <c r="C5609" s="19" t="n">
        <v>8</v>
      </c>
      <c r="D5609" s="19" t="n">
        <v>2026</v>
      </c>
      <c r="E5609" s="57" t="n">
        <v>6</v>
      </c>
      <c r="F5609" s="29">
        <f>ROUND(((SUMIFS(Calendar!$F$2:$F$9997,Calendar!$B$2:$B$9997,D5609,Calendar!$C$2:$C$9997,C5609)*INDEX(ForeCalc!$B$37:$Y$274,MATCH(_xlfn.CONCAT(H5609," ",I5609),ForeCalc!$A$37:$A$274,0),MATCH(_xlfn.CONCAT(B5609," ",E5609),ForeCalc!$B$36:$Y$36,0))))*VLOOKUP(A5609,Calendar!$A$2:$H$9997,8,FALSE),0)</f>
        <v/>
      </c>
      <c r="G5609" s="29">
        <f>VLOOKUP(A5609,Calendar!$A$1:$H$9997,6,FALSE)-F5609</f>
        <v/>
      </c>
      <c r="H5609" s="19" t="n">
        <v>1</v>
      </c>
      <c r="I5609" s="57" t="n">
        <v>5</v>
      </c>
    </row>
    <row r="5610">
      <c r="A5610" s="62" t="n">
        <v>46241</v>
      </c>
      <c r="B5610" s="3" t="inlineStr">
        <is>
          <t>Week</t>
        </is>
      </c>
      <c r="C5610" s="19" t="n">
        <v>8</v>
      </c>
      <c r="D5610" s="19" t="n">
        <v>2026</v>
      </c>
      <c r="E5610" s="57" t="n">
        <v>6</v>
      </c>
      <c r="F5610" s="29">
        <f>ROUND(((SUMIFS(Calendar!$F$2:$F$9997,Calendar!$B$2:$B$9997,D5610,Calendar!$C$2:$C$9997,C5610)*INDEX(ForeCalc!$B$37:$Y$274,MATCH(_xlfn.CONCAT(H5610," ",I5610),ForeCalc!$A$37:$A$274,0),MATCH(_xlfn.CONCAT(B5610," ",E5610),ForeCalc!$B$36:$Y$36,0))))*VLOOKUP(A5610,Calendar!$A$2:$H$9997,8,FALSE),0)</f>
        <v/>
      </c>
      <c r="G5610" s="29">
        <f>VLOOKUP(A5610,Calendar!$A$1:$H$9997,6,FALSE)-F5610</f>
        <v/>
      </c>
      <c r="H5610" s="19" t="n">
        <v>1</v>
      </c>
      <c r="I5610" s="57" t="n">
        <v>5</v>
      </c>
    </row>
    <row r="5611">
      <c r="A5611" s="62" t="n">
        <v>46242</v>
      </c>
      <c r="B5611" s="3" t="inlineStr">
        <is>
          <t>Sat</t>
        </is>
      </c>
      <c r="C5611" s="19" t="n">
        <v>8</v>
      </c>
      <c r="D5611" s="19" t="n">
        <v>2026</v>
      </c>
      <c r="E5611" s="57" t="n">
        <v>6</v>
      </c>
      <c r="F5611" s="29">
        <f>ROUND(((SUMIFS(Calendar!$F$2:$F$9997,Calendar!$B$2:$B$9997,D5611,Calendar!$C$2:$C$9997,C5611)*INDEX(ForeCalc!$B$37:$Y$274,MATCH(_xlfn.CONCAT(H5611," ",I5611),ForeCalc!$A$37:$A$274,0),MATCH(_xlfn.CONCAT(B5611," ",E5611),ForeCalc!$B$36:$Y$36,0))))*VLOOKUP(A5611,Calendar!$A$2:$H$9997,8,FALSE),0)</f>
        <v/>
      </c>
      <c r="G5611" s="29">
        <f>VLOOKUP(A5611,Calendar!$A$1:$H$9997,6,FALSE)-F5611</f>
        <v/>
      </c>
      <c r="H5611" s="19" t="n">
        <v>1</v>
      </c>
      <c r="I5611" s="57" t="n">
        <v>5</v>
      </c>
    </row>
    <row r="5612">
      <c r="A5612" s="62" t="n">
        <v>46243</v>
      </c>
      <c r="B5612" s="3" t="inlineStr">
        <is>
          <t>Sun</t>
        </is>
      </c>
      <c r="C5612" s="19" t="n">
        <v>8</v>
      </c>
      <c r="D5612" s="19" t="n">
        <v>2026</v>
      </c>
      <c r="E5612" s="57" t="n">
        <v>6</v>
      </c>
      <c r="F5612" s="29">
        <f>ROUND(((SUMIFS(Calendar!$F$2:$F$9997,Calendar!$B$2:$B$9997,D5612,Calendar!$C$2:$C$9997,C5612)*INDEX(ForeCalc!$B$37:$Y$274,MATCH(_xlfn.CONCAT(H5612," ",I5612),ForeCalc!$A$37:$A$274,0),MATCH(_xlfn.CONCAT(B5612," ",E5612),ForeCalc!$B$36:$Y$36,0))))*VLOOKUP(A5612,Calendar!$A$2:$H$9997,8,FALSE),0)</f>
        <v/>
      </c>
      <c r="G5612" s="29">
        <f>VLOOKUP(A5612,Calendar!$A$1:$H$9997,6,FALSE)-F5612</f>
        <v/>
      </c>
      <c r="H5612" s="19" t="n">
        <v>1</v>
      </c>
      <c r="I5612" s="57" t="n">
        <v>5</v>
      </c>
    </row>
    <row r="5613">
      <c r="A5613" s="62" t="n">
        <v>46244</v>
      </c>
      <c r="B5613" s="3" t="inlineStr">
        <is>
          <t>Week</t>
        </is>
      </c>
      <c r="C5613" s="19" t="n">
        <v>8</v>
      </c>
      <c r="D5613" s="19" t="n">
        <v>2026</v>
      </c>
      <c r="E5613" s="57" t="n">
        <v>6</v>
      </c>
      <c r="F5613" s="29">
        <f>ROUND(((SUMIFS(Calendar!$F$2:$F$9997,Calendar!$B$2:$B$9997,D5613,Calendar!$C$2:$C$9997,C5613)*INDEX(ForeCalc!$B$37:$Y$274,MATCH(_xlfn.CONCAT(H5613," ",I5613),ForeCalc!$A$37:$A$274,0),MATCH(_xlfn.CONCAT(B5613," ",E5613),ForeCalc!$B$36:$Y$36,0))))*VLOOKUP(A5613,Calendar!$A$2:$H$9997,8,FALSE),0)</f>
        <v/>
      </c>
      <c r="G5613" s="29">
        <f>VLOOKUP(A5613,Calendar!$A$1:$H$9997,6,FALSE)-F5613</f>
        <v/>
      </c>
      <c r="H5613" s="19" t="n">
        <v>1</v>
      </c>
      <c r="I5613" s="57" t="n">
        <v>5</v>
      </c>
    </row>
    <row r="5614">
      <c r="A5614" s="62" t="n">
        <v>46245</v>
      </c>
      <c r="B5614" s="3" t="inlineStr">
        <is>
          <t>Week</t>
        </is>
      </c>
      <c r="C5614" s="19" t="n">
        <v>8</v>
      </c>
      <c r="D5614" s="19" t="n">
        <v>2026</v>
      </c>
      <c r="E5614" s="57" t="n">
        <v>6</v>
      </c>
      <c r="F5614" s="29">
        <f>ROUND(((SUMIFS(Calendar!$F$2:$F$9997,Calendar!$B$2:$B$9997,D5614,Calendar!$C$2:$C$9997,C5614)*INDEX(ForeCalc!$B$37:$Y$274,MATCH(_xlfn.CONCAT(H5614," ",I5614),ForeCalc!$A$37:$A$274,0),MATCH(_xlfn.CONCAT(B5614," ",E5614),ForeCalc!$B$36:$Y$36,0))))*VLOOKUP(A5614,Calendar!$A$2:$H$9997,8,FALSE),0)</f>
        <v/>
      </c>
      <c r="G5614" s="29">
        <f>VLOOKUP(A5614,Calendar!$A$1:$H$9997,6,FALSE)-F5614</f>
        <v/>
      </c>
      <c r="H5614" s="19" t="n">
        <v>1</v>
      </c>
      <c r="I5614" s="57" t="n">
        <v>5</v>
      </c>
    </row>
    <row r="5615">
      <c r="A5615" s="62" t="n">
        <v>46246</v>
      </c>
      <c r="B5615" s="3" t="inlineStr">
        <is>
          <t>Week</t>
        </is>
      </c>
      <c r="C5615" s="19" t="n">
        <v>8</v>
      </c>
      <c r="D5615" s="19" t="n">
        <v>2026</v>
      </c>
      <c r="E5615" s="57" t="n">
        <v>6</v>
      </c>
      <c r="F5615" s="29">
        <f>ROUND(((SUMIFS(Calendar!$F$2:$F$9997,Calendar!$B$2:$B$9997,D5615,Calendar!$C$2:$C$9997,C5615)*INDEX(ForeCalc!$B$37:$Y$274,MATCH(_xlfn.CONCAT(H5615," ",I5615),ForeCalc!$A$37:$A$274,0),MATCH(_xlfn.CONCAT(B5615," ",E5615),ForeCalc!$B$36:$Y$36,0))))*VLOOKUP(A5615,Calendar!$A$2:$H$9997,8,FALSE),0)</f>
        <v/>
      </c>
      <c r="G5615" s="29">
        <f>VLOOKUP(A5615,Calendar!$A$1:$H$9997,6,FALSE)-F5615</f>
        <v/>
      </c>
      <c r="H5615" s="19" t="n">
        <v>1</v>
      </c>
      <c r="I5615" s="57" t="n">
        <v>5</v>
      </c>
    </row>
    <row r="5616">
      <c r="A5616" s="62" t="n">
        <v>46247</v>
      </c>
      <c r="B5616" s="3" t="inlineStr">
        <is>
          <t>Week</t>
        </is>
      </c>
      <c r="C5616" s="19" t="n">
        <v>8</v>
      </c>
      <c r="D5616" s="19" t="n">
        <v>2026</v>
      </c>
      <c r="E5616" s="57" t="n">
        <v>6</v>
      </c>
      <c r="F5616" s="29">
        <f>ROUND(((SUMIFS(Calendar!$F$2:$F$9997,Calendar!$B$2:$B$9997,D5616,Calendar!$C$2:$C$9997,C5616)*INDEX(ForeCalc!$B$37:$Y$274,MATCH(_xlfn.CONCAT(H5616," ",I5616),ForeCalc!$A$37:$A$274,0),MATCH(_xlfn.CONCAT(B5616," ",E5616),ForeCalc!$B$36:$Y$36,0))))*VLOOKUP(A5616,Calendar!$A$2:$H$9997,8,FALSE),0)</f>
        <v/>
      </c>
      <c r="G5616" s="29">
        <f>VLOOKUP(A5616,Calendar!$A$1:$H$9997,6,FALSE)-F5616</f>
        <v/>
      </c>
      <c r="H5616" s="19" t="n">
        <v>1</v>
      </c>
      <c r="I5616" s="57" t="n">
        <v>5</v>
      </c>
    </row>
    <row r="5617">
      <c r="A5617" s="62" t="n">
        <v>46248</v>
      </c>
      <c r="B5617" s="3" t="inlineStr">
        <is>
          <t>Week</t>
        </is>
      </c>
      <c r="C5617" s="19" t="n">
        <v>8</v>
      </c>
      <c r="D5617" s="19" t="n">
        <v>2026</v>
      </c>
      <c r="E5617" s="57" t="n">
        <v>6</v>
      </c>
      <c r="F5617" s="29">
        <f>ROUND(((SUMIFS(Calendar!$F$2:$F$9997,Calendar!$B$2:$B$9997,D5617,Calendar!$C$2:$C$9997,C5617)*INDEX(ForeCalc!$B$37:$Y$274,MATCH(_xlfn.CONCAT(H5617," ",I5617),ForeCalc!$A$37:$A$274,0),MATCH(_xlfn.CONCAT(B5617," ",E5617),ForeCalc!$B$36:$Y$36,0))))*VLOOKUP(A5617,Calendar!$A$2:$H$9997,8,FALSE),0)</f>
        <v/>
      </c>
      <c r="G5617" s="29">
        <f>VLOOKUP(A5617,Calendar!$A$1:$H$9997,6,FALSE)-F5617</f>
        <v/>
      </c>
      <c r="H5617" s="19" t="n">
        <v>1</v>
      </c>
      <c r="I5617" s="57" t="n">
        <v>5</v>
      </c>
    </row>
    <row r="5618">
      <c r="A5618" s="62" t="n">
        <v>46249</v>
      </c>
      <c r="B5618" s="3" t="inlineStr">
        <is>
          <t>Sat</t>
        </is>
      </c>
      <c r="C5618" s="19" t="n">
        <v>8</v>
      </c>
      <c r="D5618" s="19" t="n">
        <v>2026</v>
      </c>
      <c r="E5618" s="57" t="n">
        <v>6</v>
      </c>
      <c r="F5618" s="29">
        <f>ROUND(((SUMIFS(Calendar!$F$2:$F$9997,Calendar!$B$2:$B$9997,D5618,Calendar!$C$2:$C$9997,C5618)*INDEX(ForeCalc!$B$37:$Y$274,MATCH(_xlfn.CONCAT(H5618," ",I5618),ForeCalc!$A$37:$A$274,0),MATCH(_xlfn.CONCAT(B5618," ",E5618),ForeCalc!$B$36:$Y$36,0))))*VLOOKUP(A5618,Calendar!$A$2:$H$9997,8,FALSE),0)</f>
        <v/>
      </c>
      <c r="G5618" s="29">
        <f>VLOOKUP(A5618,Calendar!$A$1:$H$9997,6,FALSE)-F5618</f>
        <v/>
      </c>
      <c r="H5618" s="19" t="n">
        <v>1</v>
      </c>
      <c r="I5618" s="57" t="n">
        <v>5</v>
      </c>
    </row>
    <row r="5619">
      <c r="A5619" s="62" t="n">
        <v>46250</v>
      </c>
      <c r="B5619" s="3" t="inlineStr">
        <is>
          <t>Sun</t>
        </is>
      </c>
      <c r="C5619" s="19" t="n">
        <v>8</v>
      </c>
      <c r="D5619" s="19" t="n">
        <v>2026</v>
      </c>
      <c r="E5619" s="57" t="n">
        <v>6</v>
      </c>
      <c r="F5619" s="29">
        <f>ROUND(((SUMIFS(Calendar!$F$2:$F$9997,Calendar!$B$2:$B$9997,D5619,Calendar!$C$2:$C$9997,C5619)*INDEX(ForeCalc!$B$37:$Y$274,MATCH(_xlfn.CONCAT(H5619," ",I5619),ForeCalc!$A$37:$A$274,0),MATCH(_xlfn.CONCAT(B5619," ",E5619),ForeCalc!$B$36:$Y$36,0))))*VLOOKUP(A5619,Calendar!$A$2:$H$9997,8,FALSE),0)</f>
        <v/>
      </c>
      <c r="G5619" s="29">
        <f>VLOOKUP(A5619,Calendar!$A$1:$H$9997,6,FALSE)-F5619</f>
        <v/>
      </c>
      <c r="H5619" s="19" t="n">
        <v>1</v>
      </c>
      <c r="I5619" s="57" t="n">
        <v>5</v>
      </c>
    </row>
    <row r="5620">
      <c r="A5620" s="62" t="n">
        <v>46251</v>
      </c>
      <c r="B5620" s="3" t="inlineStr">
        <is>
          <t>Week</t>
        </is>
      </c>
      <c r="C5620" s="19" t="n">
        <v>8</v>
      </c>
      <c r="D5620" s="19" t="n">
        <v>2026</v>
      </c>
      <c r="E5620" s="57" t="n">
        <v>6</v>
      </c>
      <c r="F5620" s="29">
        <f>ROUND(((SUMIFS(Calendar!$F$2:$F$9997,Calendar!$B$2:$B$9997,D5620,Calendar!$C$2:$C$9997,C5620)*INDEX(ForeCalc!$B$37:$Y$274,MATCH(_xlfn.CONCAT(H5620," ",I5620),ForeCalc!$A$37:$A$274,0),MATCH(_xlfn.CONCAT(B5620," ",E5620),ForeCalc!$B$36:$Y$36,0))))*VLOOKUP(A5620,Calendar!$A$2:$H$9997,8,FALSE),0)</f>
        <v/>
      </c>
      <c r="G5620" s="29">
        <f>VLOOKUP(A5620,Calendar!$A$1:$H$9997,6,FALSE)-F5620</f>
        <v/>
      </c>
      <c r="H5620" s="19" t="n">
        <v>1</v>
      </c>
      <c r="I5620" s="57" t="n">
        <v>5</v>
      </c>
    </row>
    <row r="5621">
      <c r="A5621" s="62" t="n">
        <v>46252</v>
      </c>
      <c r="B5621" s="3" t="inlineStr">
        <is>
          <t>Week</t>
        </is>
      </c>
      <c r="C5621" s="19" t="n">
        <v>8</v>
      </c>
      <c r="D5621" s="19" t="n">
        <v>2026</v>
      </c>
      <c r="E5621" s="57" t="n">
        <v>6</v>
      </c>
      <c r="F5621" s="29">
        <f>ROUND(((SUMIFS(Calendar!$F$2:$F$9997,Calendar!$B$2:$B$9997,D5621,Calendar!$C$2:$C$9997,C5621)*INDEX(ForeCalc!$B$37:$Y$274,MATCH(_xlfn.CONCAT(H5621," ",I5621),ForeCalc!$A$37:$A$274,0),MATCH(_xlfn.CONCAT(B5621," ",E5621),ForeCalc!$B$36:$Y$36,0))))*VLOOKUP(A5621,Calendar!$A$2:$H$9997,8,FALSE),0)</f>
        <v/>
      </c>
      <c r="G5621" s="29">
        <f>VLOOKUP(A5621,Calendar!$A$1:$H$9997,6,FALSE)-F5621</f>
        <v/>
      </c>
      <c r="H5621" s="19" t="n">
        <v>1</v>
      </c>
      <c r="I5621" s="57" t="n">
        <v>5</v>
      </c>
    </row>
    <row r="5622">
      <c r="A5622" s="62" t="n">
        <v>46253</v>
      </c>
      <c r="B5622" s="3" t="inlineStr">
        <is>
          <t>Week</t>
        </is>
      </c>
      <c r="C5622" s="19" t="n">
        <v>8</v>
      </c>
      <c r="D5622" s="19" t="n">
        <v>2026</v>
      </c>
      <c r="E5622" s="57" t="n">
        <v>6</v>
      </c>
      <c r="F5622" s="29">
        <f>ROUND(((SUMIFS(Calendar!$F$2:$F$9997,Calendar!$B$2:$B$9997,D5622,Calendar!$C$2:$C$9997,C5622)*INDEX(ForeCalc!$B$37:$Y$274,MATCH(_xlfn.CONCAT(H5622," ",I5622),ForeCalc!$A$37:$A$274,0),MATCH(_xlfn.CONCAT(B5622," ",E5622),ForeCalc!$B$36:$Y$36,0))))*VLOOKUP(A5622,Calendar!$A$2:$H$9997,8,FALSE),0)</f>
        <v/>
      </c>
      <c r="G5622" s="29">
        <f>VLOOKUP(A5622,Calendar!$A$1:$H$9997,6,FALSE)-F5622</f>
        <v/>
      </c>
      <c r="H5622" s="19" t="n">
        <v>1</v>
      </c>
      <c r="I5622" s="57" t="n">
        <v>5</v>
      </c>
    </row>
    <row r="5623">
      <c r="A5623" s="62" t="n">
        <v>46254</v>
      </c>
      <c r="B5623" s="3" t="inlineStr">
        <is>
          <t>Week</t>
        </is>
      </c>
      <c r="C5623" s="19" t="n">
        <v>8</v>
      </c>
      <c r="D5623" s="19" t="n">
        <v>2026</v>
      </c>
      <c r="E5623" s="57" t="n">
        <v>6</v>
      </c>
      <c r="F5623" s="29">
        <f>ROUND(((SUMIFS(Calendar!$F$2:$F$9997,Calendar!$B$2:$B$9997,D5623,Calendar!$C$2:$C$9997,C5623)*INDEX(ForeCalc!$B$37:$Y$274,MATCH(_xlfn.CONCAT(H5623," ",I5623),ForeCalc!$A$37:$A$274,0),MATCH(_xlfn.CONCAT(B5623," ",E5623),ForeCalc!$B$36:$Y$36,0))))*VLOOKUP(A5623,Calendar!$A$2:$H$9997,8,FALSE),0)</f>
        <v/>
      </c>
      <c r="G5623" s="29">
        <f>VLOOKUP(A5623,Calendar!$A$1:$H$9997,6,FALSE)-F5623</f>
        <v/>
      </c>
      <c r="H5623" s="19" t="n">
        <v>1</v>
      </c>
      <c r="I5623" s="57" t="n">
        <v>5</v>
      </c>
    </row>
    <row r="5624">
      <c r="A5624" s="62" t="n">
        <v>46255</v>
      </c>
      <c r="B5624" s="3" t="inlineStr">
        <is>
          <t>Week</t>
        </is>
      </c>
      <c r="C5624" s="19" t="n">
        <v>8</v>
      </c>
      <c r="D5624" s="19" t="n">
        <v>2026</v>
      </c>
      <c r="E5624" s="57" t="n">
        <v>6</v>
      </c>
      <c r="F5624" s="29">
        <f>ROUND(((SUMIFS(Calendar!$F$2:$F$9997,Calendar!$B$2:$B$9997,D5624,Calendar!$C$2:$C$9997,C5624)*INDEX(ForeCalc!$B$37:$Y$274,MATCH(_xlfn.CONCAT(H5624," ",I5624),ForeCalc!$A$37:$A$274,0),MATCH(_xlfn.CONCAT(B5624," ",E5624),ForeCalc!$B$36:$Y$36,0))))*VLOOKUP(A5624,Calendar!$A$2:$H$9997,8,FALSE),0)</f>
        <v/>
      </c>
      <c r="G5624" s="29">
        <f>VLOOKUP(A5624,Calendar!$A$1:$H$9997,6,FALSE)-F5624</f>
        <v/>
      </c>
      <c r="H5624" s="19" t="n">
        <v>1</v>
      </c>
      <c r="I5624" s="57" t="n">
        <v>5</v>
      </c>
    </row>
    <row r="5625">
      <c r="A5625" s="62" t="n">
        <v>46256</v>
      </c>
      <c r="B5625" s="3" t="inlineStr">
        <is>
          <t>Sat</t>
        </is>
      </c>
      <c r="C5625" s="19" t="n">
        <v>8</v>
      </c>
      <c r="D5625" s="19" t="n">
        <v>2026</v>
      </c>
      <c r="E5625" s="57" t="n">
        <v>6</v>
      </c>
      <c r="F5625" s="29">
        <f>ROUND(((SUMIFS(Calendar!$F$2:$F$9997,Calendar!$B$2:$B$9997,D5625,Calendar!$C$2:$C$9997,C5625)*INDEX(ForeCalc!$B$37:$Y$274,MATCH(_xlfn.CONCAT(H5625," ",I5625),ForeCalc!$A$37:$A$274,0),MATCH(_xlfn.CONCAT(B5625," ",E5625),ForeCalc!$B$36:$Y$36,0))))*VLOOKUP(A5625,Calendar!$A$2:$H$9997,8,FALSE),0)</f>
        <v/>
      </c>
      <c r="G5625" s="29">
        <f>VLOOKUP(A5625,Calendar!$A$1:$H$9997,6,FALSE)-F5625</f>
        <v/>
      </c>
      <c r="H5625" s="19" t="n">
        <v>1</v>
      </c>
      <c r="I5625" s="57" t="n">
        <v>5</v>
      </c>
    </row>
    <row r="5626">
      <c r="A5626" s="62" t="n">
        <v>46257</v>
      </c>
      <c r="B5626" s="3" t="inlineStr">
        <is>
          <t>Sun</t>
        </is>
      </c>
      <c r="C5626" s="19" t="n">
        <v>8</v>
      </c>
      <c r="D5626" s="19" t="n">
        <v>2026</v>
      </c>
      <c r="E5626" s="57" t="n">
        <v>6</v>
      </c>
      <c r="F5626" s="29">
        <f>ROUND(((SUMIFS(Calendar!$F$2:$F$9997,Calendar!$B$2:$B$9997,D5626,Calendar!$C$2:$C$9997,C5626)*INDEX(ForeCalc!$B$37:$Y$274,MATCH(_xlfn.CONCAT(H5626," ",I5626),ForeCalc!$A$37:$A$274,0),MATCH(_xlfn.CONCAT(B5626," ",E5626),ForeCalc!$B$36:$Y$36,0))))*VLOOKUP(A5626,Calendar!$A$2:$H$9997,8,FALSE),0)</f>
        <v/>
      </c>
      <c r="G5626" s="29">
        <f>VLOOKUP(A5626,Calendar!$A$1:$H$9997,6,FALSE)-F5626</f>
        <v/>
      </c>
      <c r="H5626" s="19" t="n">
        <v>1</v>
      </c>
      <c r="I5626" s="57" t="n">
        <v>5</v>
      </c>
    </row>
    <row r="5627">
      <c r="A5627" s="62" t="n">
        <v>46258</v>
      </c>
      <c r="B5627" s="3" t="inlineStr">
        <is>
          <t>Week</t>
        </is>
      </c>
      <c r="C5627" s="19" t="n">
        <v>8</v>
      </c>
      <c r="D5627" s="19" t="n">
        <v>2026</v>
      </c>
      <c r="E5627" s="57" t="n">
        <v>6</v>
      </c>
      <c r="F5627" s="29">
        <f>ROUND(((SUMIFS(Calendar!$F$2:$F$9997,Calendar!$B$2:$B$9997,D5627,Calendar!$C$2:$C$9997,C5627)*INDEX(ForeCalc!$B$37:$Y$274,MATCH(_xlfn.CONCAT(H5627," ",I5627),ForeCalc!$A$37:$A$274,0),MATCH(_xlfn.CONCAT(B5627," ",E5627),ForeCalc!$B$36:$Y$36,0))))*VLOOKUP(A5627,Calendar!$A$2:$H$9997,8,FALSE),0)</f>
        <v/>
      </c>
      <c r="G5627" s="29">
        <f>VLOOKUP(A5627,Calendar!$A$1:$H$9997,6,FALSE)-F5627</f>
        <v/>
      </c>
      <c r="H5627" s="19" t="n">
        <v>1</v>
      </c>
      <c r="I5627" s="57" t="n">
        <v>5</v>
      </c>
    </row>
    <row r="5628">
      <c r="A5628" s="62" t="n">
        <v>46259</v>
      </c>
      <c r="B5628" s="3" t="inlineStr">
        <is>
          <t>Week</t>
        </is>
      </c>
      <c r="C5628" s="19" t="n">
        <v>8</v>
      </c>
      <c r="D5628" s="19" t="n">
        <v>2026</v>
      </c>
      <c r="E5628" s="57" t="n">
        <v>6</v>
      </c>
      <c r="F5628" s="29">
        <f>ROUND(((SUMIFS(Calendar!$F$2:$F$9997,Calendar!$B$2:$B$9997,D5628,Calendar!$C$2:$C$9997,C5628)*INDEX(ForeCalc!$B$37:$Y$274,MATCH(_xlfn.CONCAT(H5628," ",I5628),ForeCalc!$A$37:$A$274,0),MATCH(_xlfn.CONCAT(B5628," ",E5628),ForeCalc!$B$36:$Y$36,0))))*VLOOKUP(A5628,Calendar!$A$2:$H$9997,8,FALSE),0)</f>
        <v/>
      </c>
      <c r="G5628" s="29">
        <f>VLOOKUP(A5628,Calendar!$A$1:$H$9997,6,FALSE)-F5628</f>
        <v/>
      </c>
      <c r="H5628" s="19" t="n">
        <v>1</v>
      </c>
      <c r="I5628" s="57" t="n">
        <v>5</v>
      </c>
    </row>
    <row r="5629">
      <c r="A5629" s="62" t="n">
        <v>46260</v>
      </c>
      <c r="B5629" s="3" t="inlineStr">
        <is>
          <t>Week</t>
        </is>
      </c>
      <c r="C5629" s="19" t="n">
        <v>8</v>
      </c>
      <c r="D5629" s="19" t="n">
        <v>2026</v>
      </c>
      <c r="E5629" s="57" t="n">
        <v>6</v>
      </c>
      <c r="F5629" s="29">
        <f>ROUND(((SUMIFS(Calendar!$F$2:$F$9997,Calendar!$B$2:$B$9997,D5629,Calendar!$C$2:$C$9997,C5629)*INDEX(ForeCalc!$B$37:$Y$274,MATCH(_xlfn.CONCAT(H5629," ",I5629),ForeCalc!$A$37:$A$274,0),MATCH(_xlfn.CONCAT(B5629," ",E5629),ForeCalc!$B$36:$Y$36,0))))*VLOOKUP(A5629,Calendar!$A$2:$H$9997,8,FALSE),0)</f>
        <v/>
      </c>
      <c r="G5629" s="29">
        <f>VLOOKUP(A5629,Calendar!$A$1:$H$9997,6,FALSE)-F5629</f>
        <v/>
      </c>
      <c r="H5629" s="19" t="n">
        <v>1</v>
      </c>
      <c r="I5629" s="57" t="n">
        <v>5</v>
      </c>
    </row>
    <row r="5630">
      <c r="A5630" s="62" t="n">
        <v>46261</v>
      </c>
      <c r="B5630" s="3" t="inlineStr">
        <is>
          <t>Week</t>
        </is>
      </c>
      <c r="C5630" s="19" t="n">
        <v>8</v>
      </c>
      <c r="D5630" s="19" t="n">
        <v>2026</v>
      </c>
      <c r="E5630" s="57" t="n">
        <v>6</v>
      </c>
      <c r="F5630" s="29">
        <f>ROUND(((SUMIFS(Calendar!$F$2:$F$9997,Calendar!$B$2:$B$9997,D5630,Calendar!$C$2:$C$9997,C5630)*INDEX(ForeCalc!$B$37:$Y$274,MATCH(_xlfn.CONCAT(H5630," ",I5630),ForeCalc!$A$37:$A$274,0),MATCH(_xlfn.CONCAT(B5630," ",E5630),ForeCalc!$B$36:$Y$36,0))))*VLOOKUP(A5630,Calendar!$A$2:$H$9997,8,FALSE),0)</f>
        <v/>
      </c>
      <c r="G5630" s="29">
        <f>VLOOKUP(A5630,Calendar!$A$1:$H$9997,6,FALSE)-F5630</f>
        <v/>
      </c>
      <c r="H5630" s="19" t="n">
        <v>1</v>
      </c>
      <c r="I5630" s="57" t="n">
        <v>5</v>
      </c>
    </row>
    <row r="5631">
      <c r="A5631" s="62" t="n">
        <v>46262</v>
      </c>
      <c r="B5631" s="3" t="inlineStr">
        <is>
          <t>Week</t>
        </is>
      </c>
      <c r="C5631" s="19" t="n">
        <v>8</v>
      </c>
      <c r="D5631" s="19" t="n">
        <v>2026</v>
      </c>
      <c r="E5631" s="57" t="n">
        <v>6</v>
      </c>
      <c r="F5631" s="29">
        <f>ROUND(((SUMIFS(Calendar!$F$2:$F$9997,Calendar!$B$2:$B$9997,D5631,Calendar!$C$2:$C$9997,C5631)*INDEX(ForeCalc!$B$37:$Y$274,MATCH(_xlfn.CONCAT(H5631," ",I5631),ForeCalc!$A$37:$A$274,0),MATCH(_xlfn.CONCAT(B5631," ",E5631),ForeCalc!$B$36:$Y$36,0))))*VLOOKUP(A5631,Calendar!$A$2:$H$9997,8,FALSE),0)</f>
        <v/>
      </c>
      <c r="G5631" s="29">
        <f>VLOOKUP(A5631,Calendar!$A$1:$H$9997,6,FALSE)-F5631</f>
        <v/>
      </c>
      <c r="H5631" s="19" t="n">
        <v>1</v>
      </c>
      <c r="I5631" s="57" t="n">
        <v>5</v>
      </c>
    </row>
    <row r="5632">
      <c r="A5632" s="62" t="n">
        <v>46263</v>
      </c>
      <c r="B5632" s="3" t="inlineStr">
        <is>
          <t>Sat</t>
        </is>
      </c>
      <c r="C5632" s="19" t="n">
        <v>8</v>
      </c>
      <c r="D5632" s="19" t="n">
        <v>2026</v>
      </c>
      <c r="E5632" s="57" t="n">
        <v>6</v>
      </c>
      <c r="F5632" s="29">
        <f>ROUND(((SUMIFS(Calendar!$F$2:$F$9997,Calendar!$B$2:$B$9997,D5632,Calendar!$C$2:$C$9997,C5632)*INDEX(ForeCalc!$B$37:$Y$274,MATCH(_xlfn.CONCAT(H5632," ",I5632),ForeCalc!$A$37:$A$274,0),MATCH(_xlfn.CONCAT(B5632," ",E5632),ForeCalc!$B$36:$Y$36,0))))*VLOOKUP(A5632,Calendar!$A$2:$H$9997,8,FALSE),0)</f>
        <v/>
      </c>
      <c r="G5632" s="29">
        <f>VLOOKUP(A5632,Calendar!$A$1:$H$9997,6,FALSE)-F5632</f>
        <v/>
      </c>
      <c r="H5632" s="19" t="n">
        <v>1</v>
      </c>
      <c r="I5632" s="57" t="n">
        <v>5</v>
      </c>
    </row>
    <row r="5633">
      <c r="A5633" s="62" t="n">
        <v>46264</v>
      </c>
      <c r="B5633" s="3" t="inlineStr">
        <is>
          <t>Sun</t>
        </is>
      </c>
      <c r="C5633" s="19" t="n">
        <v>8</v>
      </c>
      <c r="D5633" s="19" t="n">
        <v>2026</v>
      </c>
      <c r="E5633" s="57" t="n">
        <v>6</v>
      </c>
      <c r="F5633" s="29">
        <f>ROUND(((SUMIFS(Calendar!$F$2:$F$9997,Calendar!$B$2:$B$9997,D5633,Calendar!$C$2:$C$9997,C5633)*INDEX(ForeCalc!$B$37:$Y$274,MATCH(_xlfn.CONCAT(H5633," ",I5633),ForeCalc!$A$37:$A$274,0),MATCH(_xlfn.CONCAT(B5633," ",E5633),ForeCalc!$B$36:$Y$36,0))))*VLOOKUP(A5633,Calendar!$A$2:$H$9997,8,FALSE),0)</f>
        <v/>
      </c>
      <c r="G5633" s="29">
        <f>VLOOKUP(A5633,Calendar!$A$1:$H$9997,6,FALSE)-F5633</f>
        <v/>
      </c>
      <c r="H5633" s="19" t="n">
        <v>1</v>
      </c>
      <c r="I5633" s="57" t="n">
        <v>5</v>
      </c>
    </row>
    <row r="5634">
      <c r="A5634" s="62" t="n">
        <v>46265</v>
      </c>
      <c r="B5634" s="3" t="inlineStr">
        <is>
          <t>Week</t>
        </is>
      </c>
      <c r="C5634" s="19" t="n">
        <v>8</v>
      </c>
      <c r="D5634" s="19" t="n">
        <v>2026</v>
      </c>
      <c r="E5634" s="57" t="n">
        <v>6</v>
      </c>
      <c r="F5634" s="29">
        <f>ROUND(((SUMIFS(Calendar!$F$2:$F$9997,Calendar!$B$2:$B$9997,D5634,Calendar!$C$2:$C$9997,C5634)*INDEX(ForeCalc!$B$37:$Y$274,MATCH(_xlfn.CONCAT(H5634," ",I5634),ForeCalc!$A$37:$A$274,0),MATCH(_xlfn.CONCAT(B5634," ",E5634),ForeCalc!$B$36:$Y$36,0))))*VLOOKUP(A5634,Calendar!$A$2:$H$9997,8,FALSE),0)</f>
        <v/>
      </c>
      <c r="G5634" s="29">
        <f>VLOOKUP(A5634,Calendar!$A$1:$H$9997,6,FALSE)-F5634</f>
        <v/>
      </c>
      <c r="H5634" s="19" t="n">
        <v>1</v>
      </c>
      <c r="I5634" s="57" t="n">
        <v>5</v>
      </c>
    </row>
    <row r="5635">
      <c r="A5635" s="62" t="n">
        <v>46266</v>
      </c>
      <c r="B5635" s="3" t="inlineStr">
        <is>
          <t>Week</t>
        </is>
      </c>
      <c r="C5635" s="19" t="n">
        <v>9</v>
      </c>
      <c r="D5635" s="19" t="n">
        <v>2026</v>
      </c>
      <c r="E5635" s="57" t="n">
        <v>6</v>
      </c>
      <c r="F5635" s="29">
        <f>ROUND(((SUMIFS(Calendar!$F$2:$F$9997,Calendar!$B$2:$B$9997,D5635,Calendar!$C$2:$C$9997,C5635)*INDEX(ForeCalc!$B$37:$Y$274,MATCH(_xlfn.CONCAT(H5635," ",I5635),ForeCalc!$A$37:$A$274,0),MATCH(_xlfn.CONCAT(B5635," ",E5635),ForeCalc!$B$36:$Y$36,0))))*VLOOKUP(A5635,Calendar!$A$2:$H$9997,8,FALSE),0)</f>
        <v/>
      </c>
      <c r="G5635" s="29">
        <f>VLOOKUP(A5635,Calendar!$A$1:$H$9997,6,FALSE)-F5635</f>
        <v/>
      </c>
      <c r="H5635" s="19" t="n">
        <v>1</v>
      </c>
      <c r="I5635" s="57" t="n">
        <v>6</v>
      </c>
    </row>
    <row r="5636">
      <c r="A5636" s="62" t="n">
        <v>46267</v>
      </c>
      <c r="B5636" s="3" t="inlineStr">
        <is>
          <t>Week</t>
        </is>
      </c>
      <c r="C5636" s="19" t="n">
        <v>9</v>
      </c>
      <c r="D5636" s="19" t="n">
        <v>2026</v>
      </c>
      <c r="E5636" s="57" t="n">
        <v>6</v>
      </c>
      <c r="F5636" s="29">
        <f>ROUND(((SUMIFS(Calendar!$F$2:$F$9997,Calendar!$B$2:$B$9997,D5636,Calendar!$C$2:$C$9997,C5636)*INDEX(ForeCalc!$B$37:$Y$274,MATCH(_xlfn.CONCAT(H5636," ",I5636),ForeCalc!$A$37:$A$274,0),MATCH(_xlfn.CONCAT(B5636," ",E5636),ForeCalc!$B$36:$Y$36,0))))*VLOOKUP(A5636,Calendar!$A$2:$H$9997,8,FALSE),0)</f>
        <v/>
      </c>
      <c r="G5636" s="29">
        <f>VLOOKUP(A5636,Calendar!$A$1:$H$9997,6,FALSE)-F5636</f>
        <v/>
      </c>
      <c r="H5636" s="19" t="n">
        <v>1</v>
      </c>
      <c r="I5636" s="57" t="n">
        <v>6</v>
      </c>
    </row>
    <row r="5637">
      <c r="A5637" s="62" t="n">
        <v>46268</v>
      </c>
      <c r="B5637" s="3" t="inlineStr">
        <is>
          <t>Week</t>
        </is>
      </c>
      <c r="C5637" s="19" t="n">
        <v>9</v>
      </c>
      <c r="D5637" s="19" t="n">
        <v>2026</v>
      </c>
      <c r="E5637" s="57" t="n">
        <v>6</v>
      </c>
      <c r="F5637" s="29">
        <f>ROUND(((SUMIFS(Calendar!$F$2:$F$9997,Calendar!$B$2:$B$9997,D5637,Calendar!$C$2:$C$9997,C5637)*INDEX(ForeCalc!$B$37:$Y$274,MATCH(_xlfn.CONCAT(H5637," ",I5637),ForeCalc!$A$37:$A$274,0),MATCH(_xlfn.CONCAT(B5637," ",E5637),ForeCalc!$B$36:$Y$36,0))))*VLOOKUP(A5637,Calendar!$A$2:$H$9997,8,FALSE),0)</f>
        <v/>
      </c>
      <c r="G5637" s="29">
        <f>VLOOKUP(A5637,Calendar!$A$1:$H$9997,6,FALSE)-F5637</f>
        <v/>
      </c>
      <c r="H5637" s="19" t="n">
        <v>1</v>
      </c>
      <c r="I5637" s="57" t="n">
        <v>6</v>
      </c>
    </row>
    <row r="5638">
      <c r="A5638" s="62" t="n">
        <v>46269</v>
      </c>
      <c r="B5638" s="3" t="inlineStr">
        <is>
          <t>Week</t>
        </is>
      </c>
      <c r="C5638" s="19" t="n">
        <v>9</v>
      </c>
      <c r="D5638" s="19" t="n">
        <v>2026</v>
      </c>
      <c r="E5638" s="57" t="n">
        <v>6</v>
      </c>
      <c r="F5638" s="29">
        <f>ROUND(((SUMIFS(Calendar!$F$2:$F$9997,Calendar!$B$2:$B$9997,D5638,Calendar!$C$2:$C$9997,C5638)*INDEX(ForeCalc!$B$37:$Y$274,MATCH(_xlfn.CONCAT(H5638," ",I5638),ForeCalc!$A$37:$A$274,0),MATCH(_xlfn.CONCAT(B5638," ",E5638),ForeCalc!$B$36:$Y$36,0))))*VLOOKUP(A5638,Calendar!$A$2:$H$9997,8,FALSE),0)</f>
        <v/>
      </c>
      <c r="G5638" s="29">
        <f>VLOOKUP(A5638,Calendar!$A$1:$H$9997,6,FALSE)-F5638</f>
        <v/>
      </c>
      <c r="H5638" s="19" t="n">
        <v>1</v>
      </c>
      <c r="I5638" s="57" t="n">
        <v>6</v>
      </c>
    </row>
    <row r="5639">
      <c r="A5639" s="62" t="n">
        <v>46270</v>
      </c>
      <c r="B5639" s="3" t="inlineStr">
        <is>
          <t>Sat</t>
        </is>
      </c>
      <c r="C5639" s="19" t="n">
        <v>9</v>
      </c>
      <c r="D5639" s="19" t="n">
        <v>2026</v>
      </c>
      <c r="E5639" s="57" t="n">
        <v>6</v>
      </c>
      <c r="F5639" s="29">
        <f>ROUND(((SUMIFS(Calendar!$F$2:$F$9997,Calendar!$B$2:$B$9997,D5639,Calendar!$C$2:$C$9997,C5639)*INDEX(ForeCalc!$B$37:$Y$274,MATCH(_xlfn.CONCAT(H5639," ",I5639),ForeCalc!$A$37:$A$274,0),MATCH(_xlfn.CONCAT(B5639," ",E5639),ForeCalc!$B$36:$Y$36,0))))*VLOOKUP(A5639,Calendar!$A$2:$H$9997,8,FALSE),0)</f>
        <v/>
      </c>
      <c r="G5639" s="29">
        <f>VLOOKUP(A5639,Calendar!$A$1:$H$9997,6,FALSE)-F5639</f>
        <v/>
      </c>
      <c r="H5639" s="19" t="n">
        <v>1</v>
      </c>
      <c r="I5639" s="57" t="n">
        <v>6</v>
      </c>
    </row>
    <row r="5640">
      <c r="A5640" s="62" t="n">
        <v>46271</v>
      </c>
      <c r="B5640" s="3" t="inlineStr">
        <is>
          <t>Sun</t>
        </is>
      </c>
      <c r="C5640" s="19" t="n">
        <v>9</v>
      </c>
      <c r="D5640" s="19" t="n">
        <v>2026</v>
      </c>
      <c r="E5640" s="57" t="n">
        <v>6</v>
      </c>
      <c r="F5640" s="29">
        <f>ROUND(((SUMIFS(Calendar!$F$2:$F$9997,Calendar!$B$2:$B$9997,D5640,Calendar!$C$2:$C$9997,C5640)*INDEX(ForeCalc!$B$37:$Y$274,MATCH(_xlfn.CONCAT(H5640," ",I5640),ForeCalc!$A$37:$A$274,0),MATCH(_xlfn.CONCAT(B5640," ",E5640),ForeCalc!$B$36:$Y$36,0))))*VLOOKUP(A5640,Calendar!$A$2:$H$9997,8,FALSE),0)</f>
        <v/>
      </c>
      <c r="G5640" s="29">
        <f>VLOOKUP(A5640,Calendar!$A$1:$H$9997,6,FALSE)-F5640</f>
        <v/>
      </c>
      <c r="H5640" s="19" t="n">
        <v>1</v>
      </c>
      <c r="I5640" s="57" t="n">
        <v>6</v>
      </c>
    </row>
    <row r="5641">
      <c r="A5641" s="62" t="n">
        <v>46272</v>
      </c>
      <c r="B5641" s="3" t="inlineStr">
        <is>
          <t>Week</t>
        </is>
      </c>
      <c r="C5641" s="19" t="n">
        <v>9</v>
      </c>
      <c r="D5641" s="19" t="n">
        <v>2026</v>
      </c>
      <c r="E5641" s="57" t="n">
        <v>6</v>
      </c>
      <c r="F5641" s="29">
        <f>ROUND(((SUMIFS(Calendar!$F$2:$F$9997,Calendar!$B$2:$B$9997,D5641,Calendar!$C$2:$C$9997,C5641)*INDEX(ForeCalc!$B$37:$Y$274,MATCH(_xlfn.CONCAT(H5641," ",I5641),ForeCalc!$A$37:$A$274,0),MATCH(_xlfn.CONCAT(B5641," ",E5641),ForeCalc!$B$36:$Y$36,0))))*VLOOKUP(A5641,Calendar!$A$2:$H$9997,8,FALSE),0)</f>
        <v/>
      </c>
      <c r="G5641" s="29">
        <f>VLOOKUP(A5641,Calendar!$A$1:$H$9997,6,FALSE)-F5641</f>
        <v/>
      </c>
      <c r="H5641" s="19" t="n">
        <v>1</v>
      </c>
      <c r="I5641" s="57" t="n">
        <v>6</v>
      </c>
    </row>
    <row r="5642">
      <c r="A5642" s="62" t="n">
        <v>46273</v>
      </c>
      <c r="B5642" s="3" t="inlineStr">
        <is>
          <t>Week</t>
        </is>
      </c>
      <c r="C5642" s="19" t="n">
        <v>9</v>
      </c>
      <c r="D5642" s="19" t="n">
        <v>2026</v>
      </c>
      <c r="E5642" s="57" t="n">
        <v>6</v>
      </c>
      <c r="F5642" s="29">
        <f>ROUND(((SUMIFS(Calendar!$F$2:$F$9997,Calendar!$B$2:$B$9997,D5642,Calendar!$C$2:$C$9997,C5642)*INDEX(ForeCalc!$B$37:$Y$274,MATCH(_xlfn.CONCAT(H5642," ",I5642),ForeCalc!$A$37:$A$274,0),MATCH(_xlfn.CONCAT(B5642," ",E5642),ForeCalc!$B$36:$Y$36,0))))*VLOOKUP(A5642,Calendar!$A$2:$H$9997,8,FALSE),0)</f>
        <v/>
      </c>
      <c r="G5642" s="29">
        <f>VLOOKUP(A5642,Calendar!$A$1:$H$9997,6,FALSE)-F5642</f>
        <v/>
      </c>
      <c r="H5642" s="19" t="n">
        <v>1</v>
      </c>
      <c r="I5642" s="57" t="n">
        <v>6</v>
      </c>
    </row>
    <row r="5643">
      <c r="A5643" s="62" t="n">
        <v>46274</v>
      </c>
      <c r="B5643" s="3" t="inlineStr">
        <is>
          <t>Week</t>
        </is>
      </c>
      <c r="C5643" s="19" t="n">
        <v>9</v>
      </c>
      <c r="D5643" s="19" t="n">
        <v>2026</v>
      </c>
      <c r="E5643" s="57" t="n">
        <v>6</v>
      </c>
      <c r="F5643" s="29">
        <f>ROUND(((SUMIFS(Calendar!$F$2:$F$9997,Calendar!$B$2:$B$9997,D5643,Calendar!$C$2:$C$9997,C5643)*INDEX(ForeCalc!$B$37:$Y$274,MATCH(_xlfn.CONCAT(H5643," ",I5643),ForeCalc!$A$37:$A$274,0),MATCH(_xlfn.CONCAT(B5643," ",E5643),ForeCalc!$B$36:$Y$36,0))))*VLOOKUP(A5643,Calendar!$A$2:$H$9997,8,FALSE),0)</f>
        <v/>
      </c>
      <c r="G5643" s="29">
        <f>VLOOKUP(A5643,Calendar!$A$1:$H$9997,6,FALSE)-F5643</f>
        <v/>
      </c>
      <c r="H5643" s="19" t="n">
        <v>1</v>
      </c>
      <c r="I5643" s="57" t="n">
        <v>6</v>
      </c>
    </row>
    <row r="5644">
      <c r="A5644" s="62" t="n">
        <v>46275</v>
      </c>
      <c r="B5644" s="3" t="inlineStr">
        <is>
          <t>Week</t>
        </is>
      </c>
      <c r="C5644" s="19" t="n">
        <v>9</v>
      </c>
      <c r="D5644" s="19" t="n">
        <v>2026</v>
      </c>
      <c r="E5644" s="57" t="n">
        <v>6</v>
      </c>
      <c r="F5644" s="29">
        <f>ROUND(((SUMIFS(Calendar!$F$2:$F$9997,Calendar!$B$2:$B$9997,D5644,Calendar!$C$2:$C$9997,C5644)*INDEX(ForeCalc!$B$37:$Y$274,MATCH(_xlfn.CONCAT(H5644," ",I5644),ForeCalc!$A$37:$A$274,0),MATCH(_xlfn.CONCAT(B5644," ",E5644),ForeCalc!$B$36:$Y$36,0))))*VLOOKUP(A5644,Calendar!$A$2:$H$9997,8,FALSE),0)</f>
        <v/>
      </c>
      <c r="G5644" s="29">
        <f>VLOOKUP(A5644,Calendar!$A$1:$H$9997,6,FALSE)-F5644</f>
        <v/>
      </c>
      <c r="H5644" s="19" t="n">
        <v>1</v>
      </c>
      <c r="I5644" s="57" t="n">
        <v>6</v>
      </c>
    </row>
    <row r="5645">
      <c r="A5645" s="62" t="n">
        <v>46276</v>
      </c>
      <c r="B5645" s="3" t="inlineStr">
        <is>
          <t>Week</t>
        </is>
      </c>
      <c r="C5645" s="19" t="n">
        <v>9</v>
      </c>
      <c r="D5645" s="19" t="n">
        <v>2026</v>
      </c>
      <c r="E5645" s="57" t="n">
        <v>6</v>
      </c>
      <c r="F5645" s="29">
        <f>ROUND(((SUMIFS(Calendar!$F$2:$F$9997,Calendar!$B$2:$B$9997,D5645,Calendar!$C$2:$C$9997,C5645)*INDEX(ForeCalc!$B$37:$Y$274,MATCH(_xlfn.CONCAT(H5645," ",I5645),ForeCalc!$A$37:$A$274,0),MATCH(_xlfn.CONCAT(B5645," ",E5645),ForeCalc!$B$36:$Y$36,0))))*VLOOKUP(A5645,Calendar!$A$2:$H$9997,8,FALSE),0)</f>
        <v/>
      </c>
      <c r="G5645" s="29">
        <f>VLOOKUP(A5645,Calendar!$A$1:$H$9997,6,FALSE)-F5645</f>
        <v/>
      </c>
      <c r="H5645" s="19" t="n">
        <v>1</v>
      </c>
      <c r="I5645" s="57" t="n">
        <v>6</v>
      </c>
    </row>
    <row r="5646">
      <c r="A5646" s="62" t="n">
        <v>46277</v>
      </c>
      <c r="B5646" s="3" t="inlineStr">
        <is>
          <t>Sat</t>
        </is>
      </c>
      <c r="C5646" s="19" t="n">
        <v>9</v>
      </c>
      <c r="D5646" s="19" t="n">
        <v>2026</v>
      </c>
      <c r="E5646" s="57" t="n">
        <v>6</v>
      </c>
      <c r="F5646" s="29">
        <f>ROUND(((SUMIFS(Calendar!$F$2:$F$9997,Calendar!$B$2:$B$9997,D5646,Calendar!$C$2:$C$9997,C5646)*INDEX(ForeCalc!$B$37:$Y$274,MATCH(_xlfn.CONCAT(H5646," ",I5646),ForeCalc!$A$37:$A$274,0),MATCH(_xlfn.CONCAT(B5646," ",E5646),ForeCalc!$B$36:$Y$36,0))))*VLOOKUP(A5646,Calendar!$A$2:$H$9997,8,FALSE),0)</f>
        <v/>
      </c>
      <c r="G5646" s="29">
        <f>VLOOKUP(A5646,Calendar!$A$1:$H$9997,6,FALSE)-F5646</f>
        <v/>
      </c>
      <c r="H5646" s="19" t="n">
        <v>1</v>
      </c>
      <c r="I5646" s="57" t="n">
        <v>6</v>
      </c>
    </row>
    <row r="5647">
      <c r="A5647" s="62" t="n">
        <v>46278</v>
      </c>
      <c r="B5647" s="3" t="inlineStr">
        <is>
          <t>Sun</t>
        </is>
      </c>
      <c r="C5647" s="19" t="n">
        <v>9</v>
      </c>
      <c r="D5647" s="19" t="n">
        <v>2026</v>
      </c>
      <c r="E5647" s="57" t="n">
        <v>6</v>
      </c>
      <c r="F5647" s="29">
        <f>ROUND(((SUMIFS(Calendar!$F$2:$F$9997,Calendar!$B$2:$B$9997,D5647,Calendar!$C$2:$C$9997,C5647)*INDEX(ForeCalc!$B$37:$Y$274,MATCH(_xlfn.CONCAT(H5647," ",I5647),ForeCalc!$A$37:$A$274,0),MATCH(_xlfn.CONCAT(B5647," ",E5647),ForeCalc!$B$36:$Y$36,0))))*VLOOKUP(A5647,Calendar!$A$2:$H$9997,8,FALSE),0)</f>
        <v/>
      </c>
      <c r="G5647" s="29">
        <f>VLOOKUP(A5647,Calendar!$A$1:$H$9997,6,FALSE)-F5647</f>
        <v/>
      </c>
      <c r="H5647" s="19" t="n">
        <v>1</v>
      </c>
      <c r="I5647" s="57" t="n">
        <v>6</v>
      </c>
    </row>
    <row r="5648">
      <c r="A5648" s="62" t="n">
        <v>46279</v>
      </c>
      <c r="B5648" s="3" t="inlineStr">
        <is>
          <t>Week</t>
        </is>
      </c>
      <c r="C5648" s="19" t="n">
        <v>9</v>
      </c>
      <c r="D5648" s="19" t="n">
        <v>2026</v>
      </c>
      <c r="E5648" s="57" t="n">
        <v>6</v>
      </c>
      <c r="F5648" s="29">
        <f>ROUND(((SUMIFS(Calendar!$F$2:$F$9997,Calendar!$B$2:$B$9997,D5648,Calendar!$C$2:$C$9997,C5648)*INDEX(ForeCalc!$B$37:$Y$274,MATCH(_xlfn.CONCAT(H5648," ",I5648),ForeCalc!$A$37:$A$274,0),MATCH(_xlfn.CONCAT(B5648," ",E5648),ForeCalc!$B$36:$Y$36,0))))*VLOOKUP(A5648,Calendar!$A$2:$H$9997,8,FALSE),0)</f>
        <v/>
      </c>
      <c r="G5648" s="29">
        <f>VLOOKUP(A5648,Calendar!$A$1:$H$9997,6,FALSE)-F5648</f>
        <v/>
      </c>
      <c r="H5648" s="19" t="n">
        <v>1</v>
      </c>
      <c r="I5648" s="57" t="n">
        <v>6</v>
      </c>
    </row>
    <row r="5649">
      <c r="A5649" s="62" t="n">
        <v>46280</v>
      </c>
      <c r="B5649" s="3" t="inlineStr">
        <is>
          <t>Week</t>
        </is>
      </c>
      <c r="C5649" s="19" t="n">
        <v>9</v>
      </c>
      <c r="D5649" s="19" t="n">
        <v>2026</v>
      </c>
      <c r="E5649" s="57" t="n">
        <v>6</v>
      </c>
      <c r="F5649" s="29">
        <f>ROUND(((SUMIFS(Calendar!$F$2:$F$9997,Calendar!$B$2:$B$9997,D5649,Calendar!$C$2:$C$9997,C5649)*INDEX(ForeCalc!$B$37:$Y$274,MATCH(_xlfn.CONCAT(H5649," ",I5649),ForeCalc!$A$37:$A$274,0),MATCH(_xlfn.CONCAT(B5649," ",E5649),ForeCalc!$B$36:$Y$36,0))))*VLOOKUP(A5649,Calendar!$A$2:$H$9997,8,FALSE),0)</f>
        <v/>
      </c>
      <c r="G5649" s="29">
        <f>VLOOKUP(A5649,Calendar!$A$1:$H$9997,6,FALSE)-F5649</f>
        <v/>
      </c>
      <c r="H5649" s="19" t="n">
        <v>1</v>
      </c>
      <c r="I5649" s="57" t="n">
        <v>6</v>
      </c>
    </row>
    <row r="5650">
      <c r="A5650" s="62" t="n">
        <v>46281</v>
      </c>
      <c r="B5650" s="3" t="inlineStr">
        <is>
          <t>Week</t>
        </is>
      </c>
      <c r="C5650" s="19" t="n">
        <v>9</v>
      </c>
      <c r="D5650" s="19" t="n">
        <v>2026</v>
      </c>
      <c r="E5650" s="57" t="n">
        <v>6</v>
      </c>
      <c r="F5650" s="29">
        <f>ROUND(((SUMIFS(Calendar!$F$2:$F$9997,Calendar!$B$2:$B$9997,D5650,Calendar!$C$2:$C$9997,C5650)*INDEX(ForeCalc!$B$37:$Y$274,MATCH(_xlfn.CONCAT(H5650," ",I5650),ForeCalc!$A$37:$A$274,0),MATCH(_xlfn.CONCAT(B5650," ",E5650),ForeCalc!$B$36:$Y$36,0))))*VLOOKUP(A5650,Calendar!$A$2:$H$9997,8,FALSE),0)</f>
        <v/>
      </c>
      <c r="G5650" s="29">
        <f>VLOOKUP(A5650,Calendar!$A$1:$H$9997,6,FALSE)-F5650</f>
        <v/>
      </c>
      <c r="H5650" s="19" t="n">
        <v>1</v>
      </c>
      <c r="I5650" s="57" t="n">
        <v>6</v>
      </c>
    </row>
    <row r="5651">
      <c r="A5651" s="62" t="n">
        <v>46282</v>
      </c>
      <c r="B5651" s="3" t="inlineStr">
        <is>
          <t>Week</t>
        </is>
      </c>
      <c r="C5651" s="19" t="n">
        <v>9</v>
      </c>
      <c r="D5651" s="19" t="n">
        <v>2026</v>
      </c>
      <c r="E5651" s="57" t="n">
        <v>6</v>
      </c>
      <c r="F5651" s="29">
        <f>ROUND(((SUMIFS(Calendar!$F$2:$F$9997,Calendar!$B$2:$B$9997,D5651,Calendar!$C$2:$C$9997,C5651)*INDEX(ForeCalc!$B$37:$Y$274,MATCH(_xlfn.CONCAT(H5651," ",I5651),ForeCalc!$A$37:$A$274,0),MATCH(_xlfn.CONCAT(B5651," ",E5651),ForeCalc!$B$36:$Y$36,0))))*VLOOKUP(A5651,Calendar!$A$2:$H$9997,8,FALSE),0)</f>
        <v/>
      </c>
      <c r="G5651" s="29">
        <f>VLOOKUP(A5651,Calendar!$A$1:$H$9997,6,FALSE)-F5651</f>
        <v/>
      </c>
      <c r="H5651" s="19" t="n">
        <v>1</v>
      </c>
      <c r="I5651" s="57" t="n">
        <v>6</v>
      </c>
    </row>
    <row r="5652">
      <c r="A5652" s="62" t="n">
        <v>46283</v>
      </c>
      <c r="B5652" s="3" t="inlineStr">
        <is>
          <t>Week</t>
        </is>
      </c>
      <c r="C5652" s="19" t="n">
        <v>9</v>
      </c>
      <c r="D5652" s="19" t="n">
        <v>2026</v>
      </c>
      <c r="E5652" s="57" t="n">
        <v>6</v>
      </c>
      <c r="F5652" s="29">
        <f>ROUND(((SUMIFS(Calendar!$F$2:$F$9997,Calendar!$B$2:$B$9997,D5652,Calendar!$C$2:$C$9997,C5652)*INDEX(ForeCalc!$B$37:$Y$274,MATCH(_xlfn.CONCAT(H5652," ",I5652),ForeCalc!$A$37:$A$274,0),MATCH(_xlfn.CONCAT(B5652," ",E5652),ForeCalc!$B$36:$Y$36,0))))*VLOOKUP(A5652,Calendar!$A$2:$H$9997,8,FALSE),0)</f>
        <v/>
      </c>
      <c r="G5652" s="29">
        <f>VLOOKUP(A5652,Calendar!$A$1:$H$9997,6,FALSE)-F5652</f>
        <v/>
      </c>
      <c r="H5652" s="19" t="n">
        <v>1</v>
      </c>
      <c r="I5652" s="57" t="n">
        <v>6</v>
      </c>
    </row>
    <row r="5653">
      <c r="A5653" s="62" t="n">
        <v>46284</v>
      </c>
      <c r="B5653" s="3" t="inlineStr">
        <is>
          <t>Sat</t>
        </is>
      </c>
      <c r="C5653" s="19" t="n">
        <v>9</v>
      </c>
      <c r="D5653" s="19" t="n">
        <v>2026</v>
      </c>
      <c r="E5653" s="57" t="n">
        <v>6</v>
      </c>
      <c r="F5653" s="29">
        <f>ROUND(((SUMIFS(Calendar!$F$2:$F$9997,Calendar!$B$2:$B$9997,D5653,Calendar!$C$2:$C$9997,C5653)*INDEX(ForeCalc!$B$37:$Y$274,MATCH(_xlfn.CONCAT(H5653," ",I5653),ForeCalc!$A$37:$A$274,0),MATCH(_xlfn.CONCAT(B5653," ",E5653),ForeCalc!$B$36:$Y$36,0))))*VLOOKUP(A5653,Calendar!$A$2:$H$9997,8,FALSE),0)</f>
        <v/>
      </c>
      <c r="G5653" s="29">
        <f>VLOOKUP(A5653,Calendar!$A$1:$H$9997,6,FALSE)-F5653</f>
        <v/>
      </c>
      <c r="H5653" s="19" t="n">
        <v>1</v>
      </c>
      <c r="I5653" s="57" t="n">
        <v>6</v>
      </c>
    </row>
    <row r="5654">
      <c r="A5654" s="62" t="n">
        <v>46285</v>
      </c>
      <c r="B5654" s="3" t="inlineStr">
        <is>
          <t>Sun</t>
        </is>
      </c>
      <c r="C5654" s="19" t="n">
        <v>9</v>
      </c>
      <c r="D5654" s="19" t="n">
        <v>2026</v>
      </c>
      <c r="E5654" s="57" t="n">
        <v>6</v>
      </c>
      <c r="F5654" s="29">
        <f>ROUND(((SUMIFS(Calendar!$F$2:$F$9997,Calendar!$B$2:$B$9997,D5654,Calendar!$C$2:$C$9997,C5654)*INDEX(ForeCalc!$B$37:$Y$274,MATCH(_xlfn.CONCAT(H5654," ",I5654),ForeCalc!$A$37:$A$274,0),MATCH(_xlfn.CONCAT(B5654," ",E5654),ForeCalc!$B$36:$Y$36,0))))*VLOOKUP(A5654,Calendar!$A$2:$H$9997,8,FALSE),0)</f>
        <v/>
      </c>
      <c r="G5654" s="29">
        <f>VLOOKUP(A5654,Calendar!$A$1:$H$9997,6,FALSE)-F5654</f>
        <v/>
      </c>
      <c r="H5654" s="19" t="n">
        <v>1</v>
      </c>
      <c r="I5654" s="57" t="n">
        <v>6</v>
      </c>
    </row>
    <row r="5655">
      <c r="A5655" s="62" t="n">
        <v>46286</v>
      </c>
      <c r="B5655" s="3" t="inlineStr">
        <is>
          <t>Week</t>
        </is>
      </c>
      <c r="C5655" s="19" t="n">
        <v>9</v>
      </c>
      <c r="D5655" s="19" t="n">
        <v>2026</v>
      </c>
      <c r="E5655" s="57" t="n">
        <v>6</v>
      </c>
      <c r="F5655" s="29">
        <f>ROUND(((SUMIFS(Calendar!$F$2:$F$9997,Calendar!$B$2:$B$9997,D5655,Calendar!$C$2:$C$9997,C5655)*INDEX(ForeCalc!$B$37:$Y$274,MATCH(_xlfn.CONCAT(H5655," ",I5655),ForeCalc!$A$37:$A$274,0),MATCH(_xlfn.CONCAT(B5655," ",E5655),ForeCalc!$B$36:$Y$36,0))))*VLOOKUP(A5655,Calendar!$A$2:$H$9997,8,FALSE),0)</f>
        <v/>
      </c>
      <c r="G5655" s="29">
        <f>VLOOKUP(A5655,Calendar!$A$1:$H$9997,6,FALSE)-F5655</f>
        <v/>
      </c>
      <c r="H5655" s="19" t="n">
        <v>1</v>
      </c>
      <c r="I5655" s="57" t="n">
        <v>6</v>
      </c>
    </row>
    <row r="5656">
      <c r="A5656" s="62" t="n">
        <v>46287</v>
      </c>
      <c r="B5656" s="3" t="inlineStr">
        <is>
          <t>Week</t>
        </is>
      </c>
      <c r="C5656" s="19" t="n">
        <v>9</v>
      </c>
      <c r="D5656" s="19" t="n">
        <v>2026</v>
      </c>
      <c r="E5656" s="57" t="n">
        <v>6</v>
      </c>
      <c r="F5656" s="29">
        <f>ROUND(((SUMIFS(Calendar!$F$2:$F$9997,Calendar!$B$2:$B$9997,D5656,Calendar!$C$2:$C$9997,C5656)*INDEX(ForeCalc!$B$37:$Y$274,MATCH(_xlfn.CONCAT(H5656," ",I5656),ForeCalc!$A$37:$A$274,0),MATCH(_xlfn.CONCAT(B5656," ",E5656),ForeCalc!$B$36:$Y$36,0))))*VLOOKUP(A5656,Calendar!$A$2:$H$9997,8,FALSE),0)</f>
        <v/>
      </c>
      <c r="G5656" s="29">
        <f>VLOOKUP(A5656,Calendar!$A$1:$H$9997,6,FALSE)-F5656</f>
        <v/>
      </c>
      <c r="H5656" s="19" t="n">
        <v>1</v>
      </c>
      <c r="I5656" s="57" t="n">
        <v>6</v>
      </c>
    </row>
    <row r="5657">
      <c r="A5657" s="62" t="n">
        <v>46288</v>
      </c>
      <c r="B5657" s="3" t="inlineStr">
        <is>
          <t>Week</t>
        </is>
      </c>
      <c r="C5657" s="19" t="n">
        <v>9</v>
      </c>
      <c r="D5657" s="19" t="n">
        <v>2026</v>
      </c>
      <c r="E5657" s="57" t="n">
        <v>6</v>
      </c>
      <c r="F5657" s="29">
        <f>ROUND(((SUMIFS(Calendar!$F$2:$F$9997,Calendar!$B$2:$B$9997,D5657,Calendar!$C$2:$C$9997,C5657)*INDEX(ForeCalc!$B$37:$Y$274,MATCH(_xlfn.CONCAT(H5657," ",I5657),ForeCalc!$A$37:$A$274,0),MATCH(_xlfn.CONCAT(B5657," ",E5657),ForeCalc!$B$36:$Y$36,0))))*VLOOKUP(A5657,Calendar!$A$2:$H$9997,8,FALSE),0)</f>
        <v/>
      </c>
      <c r="G5657" s="29">
        <f>VLOOKUP(A5657,Calendar!$A$1:$H$9997,6,FALSE)-F5657</f>
        <v/>
      </c>
      <c r="H5657" s="19" t="n">
        <v>1</v>
      </c>
      <c r="I5657" s="57" t="n">
        <v>6</v>
      </c>
    </row>
    <row r="5658">
      <c r="A5658" s="62" t="n">
        <v>46289</v>
      </c>
      <c r="B5658" s="3" t="inlineStr">
        <is>
          <t>Week</t>
        </is>
      </c>
      <c r="C5658" s="19" t="n">
        <v>9</v>
      </c>
      <c r="D5658" s="19" t="n">
        <v>2026</v>
      </c>
      <c r="E5658" s="57" t="n">
        <v>6</v>
      </c>
      <c r="F5658" s="29">
        <f>ROUND(((SUMIFS(Calendar!$F$2:$F$9997,Calendar!$B$2:$B$9997,D5658,Calendar!$C$2:$C$9997,C5658)*INDEX(ForeCalc!$B$37:$Y$274,MATCH(_xlfn.CONCAT(H5658," ",I5658),ForeCalc!$A$37:$A$274,0),MATCH(_xlfn.CONCAT(B5658," ",E5658),ForeCalc!$B$36:$Y$36,0))))*VLOOKUP(A5658,Calendar!$A$2:$H$9997,8,FALSE),0)</f>
        <v/>
      </c>
      <c r="G5658" s="29">
        <f>VLOOKUP(A5658,Calendar!$A$1:$H$9997,6,FALSE)-F5658</f>
        <v/>
      </c>
      <c r="H5658" s="19" t="n">
        <v>1</v>
      </c>
      <c r="I5658" s="57" t="n">
        <v>6</v>
      </c>
    </row>
    <row r="5659">
      <c r="A5659" s="62" t="n">
        <v>46290</v>
      </c>
      <c r="B5659" s="3" t="inlineStr">
        <is>
          <t>Week</t>
        </is>
      </c>
      <c r="C5659" s="19" t="n">
        <v>9</v>
      </c>
      <c r="D5659" s="19" t="n">
        <v>2026</v>
      </c>
      <c r="E5659" s="57" t="n">
        <v>6</v>
      </c>
      <c r="F5659" s="29">
        <f>ROUND(((SUMIFS(Calendar!$F$2:$F$9997,Calendar!$B$2:$B$9997,D5659,Calendar!$C$2:$C$9997,C5659)*INDEX(ForeCalc!$B$37:$Y$274,MATCH(_xlfn.CONCAT(H5659," ",I5659),ForeCalc!$A$37:$A$274,0),MATCH(_xlfn.CONCAT(B5659," ",E5659),ForeCalc!$B$36:$Y$36,0))))*VLOOKUP(A5659,Calendar!$A$2:$H$9997,8,FALSE),0)</f>
        <v/>
      </c>
      <c r="G5659" s="29">
        <f>VLOOKUP(A5659,Calendar!$A$1:$H$9997,6,FALSE)-F5659</f>
        <v/>
      </c>
      <c r="H5659" s="19" t="n">
        <v>1</v>
      </c>
      <c r="I5659" s="57" t="n">
        <v>6</v>
      </c>
    </row>
    <row r="5660">
      <c r="A5660" s="62" t="n">
        <v>46291</v>
      </c>
      <c r="B5660" s="3" t="inlineStr">
        <is>
          <t>Sat</t>
        </is>
      </c>
      <c r="C5660" s="19" t="n">
        <v>9</v>
      </c>
      <c r="D5660" s="19" t="n">
        <v>2026</v>
      </c>
      <c r="E5660" s="57" t="n">
        <v>6</v>
      </c>
      <c r="F5660" s="29">
        <f>ROUND(((SUMIFS(Calendar!$F$2:$F$9997,Calendar!$B$2:$B$9997,D5660,Calendar!$C$2:$C$9997,C5660)*INDEX(ForeCalc!$B$37:$Y$274,MATCH(_xlfn.CONCAT(H5660," ",I5660),ForeCalc!$A$37:$A$274,0),MATCH(_xlfn.CONCAT(B5660," ",E5660),ForeCalc!$B$36:$Y$36,0))))*VLOOKUP(A5660,Calendar!$A$2:$H$9997,8,FALSE),0)</f>
        <v/>
      </c>
      <c r="G5660" s="29">
        <f>VLOOKUP(A5660,Calendar!$A$1:$H$9997,6,FALSE)-F5660</f>
        <v/>
      </c>
      <c r="H5660" s="19" t="n">
        <v>1</v>
      </c>
      <c r="I5660" s="57" t="n">
        <v>6</v>
      </c>
    </row>
    <row r="5661">
      <c r="A5661" s="62" t="n">
        <v>46292</v>
      </c>
      <c r="B5661" s="3" t="inlineStr">
        <is>
          <t>Sun</t>
        </is>
      </c>
      <c r="C5661" s="19" t="n">
        <v>9</v>
      </c>
      <c r="D5661" s="19" t="n">
        <v>2026</v>
      </c>
      <c r="E5661" s="57" t="n">
        <v>6</v>
      </c>
      <c r="F5661" s="29">
        <f>ROUND(((SUMIFS(Calendar!$F$2:$F$9997,Calendar!$B$2:$B$9997,D5661,Calendar!$C$2:$C$9997,C5661)*INDEX(ForeCalc!$B$37:$Y$274,MATCH(_xlfn.CONCAT(H5661," ",I5661),ForeCalc!$A$37:$A$274,0),MATCH(_xlfn.CONCAT(B5661," ",E5661),ForeCalc!$B$36:$Y$36,0))))*VLOOKUP(A5661,Calendar!$A$2:$H$9997,8,FALSE),0)</f>
        <v/>
      </c>
      <c r="G5661" s="29">
        <f>VLOOKUP(A5661,Calendar!$A$1:$H$9997,6,FALSE)-F5661</f>
        <v/>
      </c>
      <c r="H5661" s="19" t="n">
        <v>1</v>
      </c>
      <c r="I5661" s="57" t="n">
        <v>6</v>
      </c>
    </row>
    <row r="5662">
      <c r="A5662" s="62" t="n">
        <v>46293</v>
      </c>
      <c r="B5662" s="3" t="inlineStr">
        <is>
          <t>Week</t>
        </is>
      </c>
      <c r="C5662" s="19" t="n">
        <v>9</v>
      </c>
      <c r="D5662" s="19" t="n">
        <v>2026</v>
      </c>
      <c r="E5662" s="57" t="n">
        <v>6</v>
      </c>
      <c r="F5662" s="29">
        <f>ROUND(((SUMIFS(Calendar!$F$2:$F$9997,Calendar!$B$2:$B$9997,D5662,Calendar!$C$2:$C$9997,C5662)*INDEX(ForeCalc!$B$37:$Y$274,MATCH(_xlfn.CONCAT(H5662," ",I5662),ForeCalc!$A$37:$A$274,0),MATCH(_xlfn.CONCAT(B5662," ",E5662),ForeCalc!$B$36:$Y$36,0))))*VLOOKUP(A5662,Calendar!$A$2:$H$9997,8,FALSE),0)</f>
        <v/>
      </c>
      <c r="G5662" s="29">
        <f>VLOOKUP(A5662,Calendar!$A$1:$H$9997,6,FALSE)-F5662</f>
        <v/>
      </c>
      <c r="H5662" s="19" t="n">
        <v>1</v>
      </c>
      <c r="I5662" s="57" t="n">
        <v>6</v>
      </c>
    </row>
    <row r="5663">
      <c r="A5663" s="62" t="n">
        <v>46294</v>
      </c>
      <c r="B5663" s="3" t="inlineStr">
        <is>
          <t>Week</t>
        </is>
      </c>
      <c r="C5663" s="19" t="n">
        <v>9</v>
      </c>
      <c r="D5663" s="19" t="n">
        <v>2026</v>
      </c>
      <c r="E5663" s="57" t="n">
        <v>6</v>
      </c>
      <c r="F5663" s="29">
        <f>ROUND(((SUMIFS(Calendar!$F$2:$F$9997,Calendar!$B$2:$B$9997,D5663,Calendar!$C$2:$C$9997,C5663)*INDEX(ForeCalc!$B$37:$Y$274,MATCH(_xlfn.CONCAT(H5663," ",I5663),ForeCalc!$A$37:$A$274,0),MATCH(_xlfn.CONCAT(B5663," ",E5663),ForeCalc!$B$36:$Y$36,0))))*VLOOKUP(A5663,Calendar!$A$2:$H$9997,8,FALSE),0)</f>
        <v/>
      </c>
      <c r="G5663" s="29">
        <f>VLOOKUP(A5663,Calendar!$A$1:$H$9997,6,FALSE)-F5663</f>
        <v/>
      </c>
      <c r="H5663" s="19" t="n">
        <v>1</v>
      </c>
      <c r="I5663" s="57" t="n">
        <v>6</v>
      </c>
    </row>
    <row r="5664">
      <c r="A5664" s="62" t="n">
        <v>46295</v>
      </c>
      <c r="B5664" s="3" t="inlineStr">
        <is>
          <t>Week</t>
        </is>
      </c>
      <c r="C5664" s="19" t="n">
        <v>9</v>
      </c>
      <c r="D5664" s="19" t="n">
        <v>2026</v>
      </c>
      <c r="E5664" s="57" t="n">
        <v>6</v>
      </c>
      <c r="F5664" s="29">
        <f>ROUND(((SUMIFS(Calendar!$F$2:$F$9997,Calendar!$B$2:$B$9997,D5664,Calendar!$C$2:$C$9997,C5664)*INDEX(ForeCalc!$B$37:$Y$274,MATCH(_xlfn.CONCAT(H5664," ",I5664),ForeCalc!$A$37:$A$274,0),MATCH(_xlfn.CONCAT(B5664," ",E5664),ForeCalc!$B$36:$Y$36,0))))*VLOOKUP(A5664,Calendar!$A$2:$H$9997,8,FALSE),0)</f>
        <v/>
      </c>
      <c r="G5664" s="29">
        <f>VLOOKUP(A5664,Calendar!$A$1:$H$9997,6,FALSE)-F5664</f>
        <v/>
      </c>
      <c r="H5664" s="19" t="n">
        <v>1</v>
      </c>
      <c r="I5664" s="57" t="n">
        <v>6</v>
      </c>
    </row>
    <row r="5665">
      <c r="A5665" s="62" t="n">
        <v>46296</v>
      </c>
      <c r="B5665" s="3" t="inlineStr">
        <is>
          <t>Week</t>
        </is>
      </c>
      <c r="C5665" s="19" t="n">
        <v>10</v>
      </c>
      <c r="D5665" s="19" t="n">
        <v>2026</v>
      </c>
      <c r="E5665" s="57" t="n">
        <v>6</v>
      </c>
      <c r="F5665" s="29">
        <f>ROUND(((SUMIFS(Calendar!$F$2:$F$9997,Calendar!$B$2:$B$9997,D5665,Calendar!$C$2:$C$9997,C5665)*INDEX(ForeCalc!$B$37:$Y$274,MATCH(_xlfn.CONCAT(H5665," ",I5665),ForeCalc!$A$37:$A$274,0),MATCH(_xlfn.CONCAT(B5665," ",E5665),ForeCalc!$B$36:$Y$36,0))))*VLOOKUP(A5665,Calendar!$A$2:$H$9997,8,FALSE),0)</f>
        <v/>
      </c>
      <c r="G5665" s="29">
        <f>VLOOKUP(A5665,Calendar!$A$1:$H$9997,6,FALSE)-F5665</f>
        <v/>
      </c>
      <c r="H5665" s="19" t="n">
        <v>1</v>
      </c>
      <c r="I5665" s="57" t="n">
        <v>7</v>
      </c>
    </row>
    <row r="5666">
      <c r="A5666" s="62" t="n">
        <v>46297</v>
      </c>
      <c r="B5666" s="3" t="inlineStr">
        <is>
          <t>Week</t>
        </is>
      </c>
      <c r="C5666" s="19" t="n">
        <v>10</v>
      </c>
      <c r="D5666" s="19" t="n">
        <v>2026</v>
      </c>
      <c r="E5666" s="57" t="n">
        <v>6</v>
      </c>
      <c r="F5666" s="29">
        <f>ROUND(((SUMIFS(Calendar!$F$2:$F$9997,Calendar!$B$2:$B$9997,D5666,Calendar!$C$2:$C$9997,C5666)*INDEX(ForeCalc!$B$37:$Y$274,MATCH(_xlfn.CONCAT(H5666," ",I5666),ForeCalc!$A$37:$A$274,0),MATCH(_xlfn.CONCAT(B5666," ",E5666),ForeCalc!$B$36:$Y$36,0))))*VLOOKUP(A5666,Calendar!$A$2:$H$9997,8,FALSE),0)</f>
        <v/>
      </c>
      <c r="G5666" s="29">
        <f>VLOOKUP(A5666,Calendar!$A$1:$H$9997,6,FALSE)-F5666</f>
        <v/>
      </c>
      <c r="H5666" s="19" t="n">
        <v>1</v>
      </c>
      <c r="I5666" s="57" t="n">
        <v>7</v>
      </c>
    </row>
    <row r="5667">
      <c r="A5667" s="62" t="n">
        <v>46298</v>
      </c>
      <c r="B5667" s="3" t="inlineStr">
        <is>
          <t>Sat</t>
        </is>
      </c>
      <c r="C5667" s="19" t="n">
        <v>10</v>
      </c>
      <c r="D5667" s="19" t="n">
        <v>2026</v>
      </c>
      <c r="E5667" s="57" t="n">
        <v>6</v>
      </c>
      <c r="F5667" s="29">
        <f>ROUND(((SUMIFS(Calendar!$F$2:$F$9997,Calendar!$B$2:$B$9997,D5667,Calendar!$C$2:$C$9997,C5667)*INDEX(ForeCalc!$B$37:$Y$274,MATCH(_xlfn.CONCAT(H5667," ",I5667),ForeCalc!$A$37:$A$274,0),MATCH(_xlfn.CONCAT(B5667," ",E5667),ForeCalc!$B$36:$Y$36,0))))*VLOOKUP(A5667,Calendar!$A$2:$H$9997,8,FALSE),0)</f>
        <v/>
      </c>
      <c r="G5667" s="29">
        <f>VLOOKUP(A5667,Calendar!$A$1:$H$9997,6,FALSE)-F5667</f>
        <v/>
      </c>
      <c r="H5667" s="19" t="n">
        <v>1</v>
      </c>
      <c r="I5667" s="57" t="n">
        <v>7</v>
      </c>
    </row>
    <row r="5668">
      <c r="A5668" s="62" t="n">
        <v>46299</v>
      </c>
      <c r="B5668" s="3" t="inlineStr">
        <is>
          <t>Sun</t>
        </is>
      </c>
      <c r="C5668" s="19" t="n">
        <v>10</v>
      </c>
      <c r="D5668" s="19" t="n">
        <v>2026</v>
      </c>
      <c r="E5668" s="57" t="n">
        <v>6</v>
      </c>
      <c r="F5668" s="29">
        <f>ROUND(((SUMIFS(Calendar!$F$2:$F$9997,Calendar!$B$2:$B$9997,D5668,Calendar!$C$2:$C$9997,C5668)*INDEX(ForeCalc!$B$37:$Y$274,MATCH(_xlfn.CONCAT(H5668," ",I5668),ForeCalc!$A$37:$A$274,0),MATCH(_xlfn.CONCAT(B5668," ",E5668),ForeCalc!$B$36:$Y$36,0))))*VLOOKUP(A5668,Calendar!$A$2:$H$9997,8,FALSE),0)</f>
        <v/>
      </c>
      <c r="G5668" s="29">
        <f>VLOOKUP(A5668,Calendar!$A$1:$H$9997,6,FALSE)-F5668</f>
        <v/>
      </c>
      <c r="H5668" s="19" t="n">
        <v>1</v>
      </c>
      <c r="I5668" s="57" t="n">
        <v>7</v>
      </c>
    </row>
    <row r="5669">
      <c r="A5669" s="62" t="n">
        <v>46300</v>
      </c>
      <c r="B5669" s="3" t="inlineStr">
        <is>
          <t>Week</t>
        </is>
      </c>
      <c r="C5669" s="19" t="n">
        <v>10</v>
      </c>
      <c r="D5669" s="19" t="n">
        <v>2026</v>
      </c>
      <c r="E5669" s="57" t="n">
        <v>6</v>
      </c>
      <c r="F5669" s="29">
        <f>ROUND(((SUMIFS(Calendar!$F$2:$F$9997,Calendar!$B$2:$B$9997,D5669,Calendar!$C$2:$C$9997,C5669)*INDEX(ForeCalc!$B$37:$Y$274,MATCH(_xlfn.CONCAT(H5669," ",I5669),ForeCalc!$A$37:$A$274,0),MATCH(_xlfn.CONCAT(B5669," ",E5669),ForeCalc!$B$36:$Y$36,0))))*VLOOKUP(A5669,Calendar!$A$2:$H$9997,8,FALSE),0)</f>
        <v/>
      </c>
      <c r="G5669" s="29">
        <f>VLOOKUP(A5669,Calendar!$A$1:$H$9997,6,FALSE)-F5669</f>
        <v/>
      </c>
      <c r="H5669" s="19" t="n">
        <v>1</v>
      </c>
      <c r="I5669" s="57" t="n">
        <v>7</v>
      </c>
    </row>
    <row r="5670">
      <c r="A5670" s="62" t="n">
        <v>46301</v>
      </c>
      <c r="B5670" s="3" t="inlineStr">
        <is>
          <t>Week</t>
        </is>
      </c>
      <c r="C5670" s="19" t="n">
        <v>10</v>
      </c>
      <c r="D5670" s="19" t="n">
        <v>2026</v>
      </c>
      <c r="E5670" s="57" t="n">
        <v>6</v>
      </c>
      <c r="F5670" s="29">
        <f>ROUND(((SUMIFS(Calendar!$F$2:$F$9997,Calendar!$B$2:$B$9997,D5670,Calendar!$C$2:$C$9997,C5670)*INDEX(ForeCalc!$B$37:$Y$274,MATCH(_xlfn.CONCAT(H5670," ",I5670),ForeCalc!$A$37:$A$274,0),MATCH(_xlfn.CONCAT(B5670," ",E5670),ForeCalc!$B$36:$Y$36,0))))*VLOOKUP(A5670,Calendar!$A$2:$H$9997,8,FALSE),0)</f>
        <v/>
      </c>
      <c r="G5670" s="29">
        <f>VLOOKUP(A5670,Calendar!$A$1:$H$9997,6,FALSE)-F5670</f>
        <v/>
      </c>
      <c r="H5670" s="19" t="n">
        <v>1</v>
      </c>
      <c r="I5670" s="57" t="n">
        <v>7</v>
      </c>
    </row>
    <row r="5671">
      <c r="A5671" s="62" t="n">
        <v>46302</v>
      </c>
      <c r="B5671" s="3" t="inlineStr">
        <is>
          <t>Week</t>
        </is>
      </c>
      <c r="C5671" s="19" t="n">
        <v>10</v>
      </c>
      <c r="D5671" s="19" t="n">
        <v>2026</v>
      </c>
      <c r="E5671" s="57" t="n">
        <v>6</v>
      </c>
      <c r="F5671" s="29">
        <f>ROUND(((SUMIFS(Calendar!$F$2:$F$9997,Calendar!$B$2:$B$9997,D5671,Calendar!$C$2:$C$9997,C5671)*INDEX(ForeCalc!$B$37:$Y$274,MATCH(_xlfn.CONCAT(H5671," ",I5671),ForeCalc!$A$37:$A$274,0),MATCH(_xlfn.CONCAT(B5671," ",E5671),ForeCalc!$B$36:$Y$36,0))))*VLOOKUP(A5671,Calendar!$A$2:$H$9997,8,FALSE),0)</f>
        <v/>
      </c>
      <c r="G5671" s="29">
        <f>VLOOKUP(A5671,Calendar!$A$1:$H$9997,6,FALSE)-F5671</f>
        <v/>
      </c>
      <c r="H5671" s="19" t="n">
        <v>1</v>
      </c>
      <c r="I5671" s="57" t="n">
        <v>7</v>
      </c>
    </row>
    <row r="5672">
      <c r="A5672" s="62" t="n">
        <v>46303</v>
      </c>
      <c r="B5672" s="3" t="inlineStr">
        <is>
          <t>Week</t>
        </is>
      </c>
      <c r="C5672" s="19" t="n">
        <v>10</v>
      </c>
      <c r="D5672" s="19" t="n">
        <v>2026</v>
      </c>
      <c r="E5672" s="57" t="n">
        <v>6</v>
      </c>
      <c r="F5672" s="29">
        <f>ROUND(((SUMIFS(Calendar!$F$2:$F$9997,Calendar!$B$2:$B$9997,D5672,Calendar!$C$2:$C$9997,C5672)*INDEX(ForeCalc!$B$37:$Y$274,MATCH(_xlfn.CONCAT(H5672," ",I5672),ForeCalc!$A$37:$A$274,0),MATCH(_xlfn.CONCAT(B5672," ",E5672),ForeCalc!$B$36:$Y$36,0))))*VLOOKUP(A5672,Calendar!$A$2:$H$9997,8,FALSE),0)</f>
        <v/>
      </c>
      <c r="G5672" s="29">
        <f>VLOOKUP(A5672,Calendar!$A$1:$H$9997,6,FALSE)-F5672</f>
        <v/>
      </c>
      <c r="H5672" s="19" t="n">
        <v>1</v>
      </c>
      <c r="I5672" s="57" t="n">
        <v>7</v>
      </c>
    </row>
    <row r="5673">
      <c r="A5673" s="62" t="n">
        <v>46304</v>
      </c>
      <c r="B5673" s="3" t="inlineStr">
        <is>
          <t>Week</t>
        </is>
      </c>
      <c r="C5673" s="19" t="n">
        <v>10</v>
      </c>
      <c r="D5673" s="19" t="n">
        <v>2026</v>
      </c>
      <c r="E5673" s="57" t="n">
        <v>6</v>
      </c>
      <c r="F5673" s="29">
        <f>ROUND(((SUMIFS(Calendar!$F$2:$F$9997,Calendar!$B$2:$B$9997,D5673,Calendar!$C$2:$C$9997,C5673)*INDEX(ForeCalc!$B$37:$Y$274,MATCH(_xlfn.CONCAT(H5673," ",I5673),ForeCalc!$A$37:$A$274,0),MATCH(_xlfn.CONCAT(B5673," ",E5673),ForeCalc!$B$36:$Y$36,0))))*VLOOKUP(A5673,Calendar!$A$2:$H$9997,8,FALSE),0)</f>
        <v/>
      </c>
      <c r="G5673" s="29">
        <f>VLOOKUP(A5673,Calendar!$A$1:$H$9997,6,FALSE)-F5673</f>
        <v/>
      </c>
      <c r="H5673" s="19" t="n">
        <v>1</v>
      </c>
      <c r="I5673" s="57" t="n">
        <v>7</v>
      </c>
    </row>
    <row r="5674">
      <c r="A5674" s="62" t="n">
        <v>46305</v>
      </c>
      <c r="B5674" s="3" t="inlineStr">
        <is>
          <t>Sat</t>
        </is>
      </c>
      <c r="C5674" s="19" t="n">
        <v>10</v>
      </c>
      <c r="D5674" s="19" t="n">
        <v>2026</v>
      </c>
      <c r="E5674" s="57" t="n">
        <v>6</v>
      </c>
      <c r="F5674" s="29">
        <f>ROUND(((SUMIFS(Calendar!$F$2:$F$9997,Calendar!$B$2:$B$9997,D5674,Calendar!$C$2:$C$9997,C5674)*INDEX(ForeCalc!$B$37:$Y$274,MATCH(_xlfn.CONCAT(H5674," ",I5674),ForeCalc!$A$37:$A$274,0),MATCH(_xlfn.CONCAT(B5674," ",E5674),ForeCalc!$B$36:$Y$36,0))))*VLOOKUP(A5674,Calendar!$A$2:$H$9997,8,FALSE),0)</f>
        <v/>
      </c>
      <c r="G5674" s="29">
        <f>VLOOKUP(A5674,Calendar!$A$1:$H$9997,6,FALSE)-F5674</f>
        <v/>
      </c>
      <c r="H5674" s="19" t="n">
        <v>1</v>
      </c>
      <c r="I5674" s="57" t="n">
        <v>7</v>
      </c>
    </row>
    <row r="5675">
      <c r="A5675" s="62" t="n">
        <v>46306</v>
      </c>
      <c r="B5675" s="3" t="inlineStr">
        <is>
          <t>Sun</t>
        </is>
      </c>
      <c r="C5675" s="19" t="n">
        <v>10</v>
      </c>
      <c r="D5675" s="19" t="n">
        <v>2026</v>
      </c>
      <c r="E5675" s="57" t="n">
        <v>6</v>
      </c>
      <c r="F5675" s="29">
        <f>ROUND(((SUMIFS(Calendar!$F$2:$F$9997,Calendar!$B$2:$B$9997,D5675,Calendar!$C$2:$C$9997,C5675)*INDEX(ForeCalc!$B$37:$Y$274,MATCH(_xlfn.CONCAT(H5675," ",I5675),ForeCalc!$A$37:$A$274,0),MATCH(_xlfn.CONCAT(B5675," ",E5675),ForeCalc!$B$36:$Y$36,0))))*VLOOKUP(A5675,Calendar!$A$2:$H$9997,8,FALSE),0)</f>
        <v/>
      </c>
      <c r="G5675" s="29">
        <f>VLOOKUP(A5675,Calendar!$A$1:$H$9997,6,FALSE)-F5675</f>
        <v/>
      </c>
      <c r="H5675" s="19" t="n">
        <v>1</v>
      </c>
      <c r="I5675" s="57" t="n">
        <v>7</v>
      </c>
    </row>
    <row r="5676">
      <c r="A5676" s="62" t="n">
        <v>46307</v>
      </c>
      <c r="B5676" s="3" t="inlineStr">
        <is>
          <t>Week</t>
        </is>
      </c>
      <c r="C5676" s="19" t="n">
        <v>10</v>
      </c>
      <c r="D5676" s="19" t="n">
        <v>2026</v>
      </c>
      <c r="E5676" s="57" t="n">
        <v>6</v>
      </c>
      <c r="F5676" s="29">
        <f>ROUND(((SUMIFS(Calendar!$F$2:$F$9997,Calendar!$B$2:$B$9997,D5676,Calendar!$C$2:$C$9997,C5676)*INDEX(ForeCalc!$B$37:$Y$274,MATCH(_xlfn.CONCAT(H5676," ",I5676),ForeCalc!$A$37:$A$274,0),MATCH(_xlfn.CONCAT(B5676," ",E5676),ForeCalc!$B$36:$Y$36,0))))*VLOOKUP(A5676,Calendar!$A$2:$H$9997,8,FALSE),0)</f>
        <v/>
      </c>
      <c r="G5676" s="29">
        <f>VLOOKUP(A5676,Calendar!$A$1:$H$9997,6,FALSE)-F5676</f>
        <v/>
      </c>
      <c r="H5676" s="19" t="n">
        <v>1</v>
      </c>
      <c r="I5676" s="57" t="n">
        <v>7</v>
      </c>
    </row>
    <row r="5677">
      <c r="A5677" s="62" t="n">
        <v>46308</v>
      </c>
      <c r="B5677" s="3" t="inlineStr">
        <is>
          <t>Week</t>
        </is>
      </c>
      <c r="C5677" s="19" t="n">
        <v>10</v>
      </c>
      <c r="D5677" s="19" t="n">
        <v>2026</v>
      </c>
      <c r="E5677" s="57" t="n">
        <v>6</v>
      </c>
      <c r="F5677" s="29">
        <f>ROUND(((SUMIFS(Calendar!$F$2:$F$9997,Calendar!$B$2:$B$9997,D5677,Calendar!$C$2:$C$9997,C5677)*INDEX(ForeCalc!$B$37:$Y$274,MATCH(_xlfn.CONCAT(H5677," ",I5677),ForeCalc!$A$37:$A$274,0),MATCH(_xlfn.CONCAT(B5677," ",E5677),ForeCalc!$B$36:$Y$36,0))))*VLOOKUP(A5677,Calendar!$A$2:$H$9997,8,FALSE),0)</f>
        <v/>
      </c>
      <c r="G5677" s="29">
        <f>VLOOKUP(A5677,Calendar!$A$1:$H$9997,6,FALSE)-F5677</f>
        <v/>
      </c>
      <c r="H5677" s="19" t="n">
        <v>1</v>
      </c>
      <c r="I5677" s="57" t="n">
        <v>7</v>
      </c>
    </row>
    <row r="5678">
      <c r="A5678" s="62" t="n">
        <v>46309</v>
      </c>
      <c r="B5678" s="3" t="inlineStr">
        <is>
          <t>Week</t>
        </is>
      </c>
      <c r="C5678" s="19" t="n">
        <v>10</v>
      </c>
      <c r="D5678" s="19" t="n">
        <v>2026</v>
      </c>
      <c r="E5678" s="57" t="n">
        <v>6</v>
      </c>
      <c r="F5678" s="29">
        <f>ROUND(((SUMIFS(Calendar!$F$2:$F$9997,Calendar!$B$2:$B$9997,D5678,Calendar!$C$2:$C$9997,C5678)*INDEX(ForeCalc!$B$37:$Y$274,MATCH(_xlfn.CONCAT(H5678," ",I5678),ForeCalc!$A$37:$A$274,0),MATCH(_xlfn.CONCAT(B5678," ",E5678),ForeCalc!$B$36:$Y$36,0))))*VLOOKUP(A5678,Calendar!$A$2:$H$9997,8,FALSE),0)</f>
        <v/>
      </c>
      <c r="G5678" s="29">
        <f>VLOOKUP(A5678,Calendar!$A$1:$H$9997,6,FALSE)-F5678</f>
        <v/>
      </c>
      <c r="H5678" s="19" t="n">
        <v>1</v>
      </c>
      <c r="I5678" s="57" t="n">
        <v>7</v>
      </c>
    </row>
    <row r="5679">
      <c r="A5679" s="62" t="n">
        <v>46310</v>
      </c>
      <c r="B5679" s="3" t="inlineStr">
        <is>
          <t>Week</t>
        </is>
      </c>
      <c r="C5679" s="19" t="n">
        <v>10</v>
      </c>
      <c r="D5679" s="19" t="n">
        <v>2026</v>
      </c>
      <c r="E5679" s="57" t="n">
        <v>6</v>
      </c>
      <c r="F5679" s="29">
        <f>ROUND(((SUMIFS(Calendar!$F$2:$F$9997,Calendar!$B$2:$B$9997,D5679,Calendar!$C$2:$C$9997,C5679)*INDEX(ForeCalc!$B$37:$Y$274,MATCH(_xlfn.CONCAT(H5679," ",I5679),ForeCalc!$A$37:$A$274,0),MATCH(_xlfn.CONCAT(B5679," ",E5679),ForeCalc!$B$36:$Y$36,0))))*VLOOKUP(A5679,Calendar!$A$2:$H$9997,8,FALSE),0)</f>
        <v/>
      </c>
      <c r="G5679" s="29">
        <f>VLOOKUP(A5679,Calendar!$A$1:$H$9997,6,FALSE)-F5679</f>
        <v/>
      </c>
      <c r="H5679" s="19" t="n">
        <v>1</v>
      </c>
      <c r="I5679" s="57" t="n">
        <v>7</v>
      </c>
    </row>
    <row r="5680">
      <c r="A5680" s="62" t="n">
        <v>46311</v>
      </c>
      <c r="B5680" s="3" t="inlineStr">
        <is>
          <t>Week</t>
        </is>
      </c>
      <c r="C5680" s="19" t="n">
        <v>10</v>
      </c>
      <c r="D5680" s="19" t="n">
        <v>2026</v>
      </c>
      <c r="E5680" s="57" t="n">
        <v>6</v>
      </c>
      <c r="F5680" s="29">
        <f>ROUND(((SUMIFS(Calendar!$F$2:$F$9997,Calendar!$B$2:$B$9997,D5680,Calendar!$C$2:$C$9997,C5680)*INDEX(ForeCalc!$B$37:$Y$274,MATCH(_xlfn.CONCAT(H5680," ",I5680),ForeCalc!$A$37:$A$274,0),MATCH(_xlfn.CONCAT(B5680," ",E5680),ForeCalc!$B$36:$Y$36,0))))*VLOOKUP(A5680,Calendar!$A$2:$H$9997,8,FALSE),0)</f>
        <v/>
      </c>
      <c r="G5680" s="29">
        <f>VLOOKUP(A5680,Calendar!$A$1:$H$9997,6,FALSE)-F5680</f>
        <v/>
      </c>
      <c r="H5680" s="19" t="n">
        <v>1</v>
      </c>
      <c r="I5680" s="57" t="n">
        <v>7</v>
      </c>
    </row>
    <row r="5681">
      <c r="A5681" s="62" t="n">
        <v>46312</v>
      </c>
      <c r="B5681" s="3" t="inlineStr">
        <is>
          <t>Sat</t>
        </is>
      </c>
      <c r="C5681" s="19" t="n">
        <v>10</v>
      </c>
      <c r="D5681" s="19" t="n">
        <v>2026</v>
      </c>
      <c r="E5681" s="57" t="n">
        <v>6</v>
      </c>
      <c r="F5681" s="29">
        <f>ROUND(((SUMIFS(Calendar!$F$2:$F$9997,Calendar!$B$2:$B$9997,D5681,Calendar!$C$2:$C$9997,C5681)*INDEX(ForeCalc!$B$37:$Y$274,MATCH(_xlfn.CONCAT(H5681," ",I5681),ForeCalc!$A$37:$A$274,0),MATCH(_xlfn.CONCAT(B5681," ",E5681),ForeCalc!$B$36:$Y$36,0))))*VLOOKUP(A5681,Calendar!$A$2:$H$9997,8,FALSE),0)</f>
        <v/>
      </c>
      <c r="G5681" s="29">
        <f>VLOOKUP(A5681,Calendar!$A$1:$H$9997,6,FALSE)-F5681</f>
        <v/>
      </c>
      <c r="H5681" s="19" t="n">
        <v>1</v>
      </c>
      <c r="I5681" s="57" t="n">
        <v>7</v>
      </c>
    </row>
    <row r="5682">
      <c r="A5682" s="62" t="n">
        <v>46313</v>
      </c>
      <c r="B5682" s="3" t="inlineStr">
        <is>
          <t>Sun</t>
        </is>
      </c>
      <c r="C5682" s="19" t="n">
        <v>10</v>
      </c>
      <c r="D5682" s="19" t="n">
        <v>2026</v>
      </c>
      <c r="E5682" s="57" t="n">
        <v>6</v>
      </c>
      <c r="F5682" s="29">
        <f>ROUND(((SUMIFS(Calendar!$F$2:$F$9997,Calendar!$B$2:$B$9997,D5682,Calendar!$C$2:$C$9997,C5682)*INDEX(ForeCalc!$B$37:$Y$274,MATCH(_xlfn.CONCAT(H5682," ",I5682),ForeCalc!$A$37:$A$274,0),MATCH(_xlfn.CONCAT(B5682," ",E5682),ForeCalc!$B$36:$Y$36,0))))*VLOOKUP(A5682,Calendar!$A$2:$H$9997,8,FALSE),0)</f>
        <v/>
      </c>
      <c r="G5682" s="29">
        <f>VLOOKUP(A5682,Calendar!$A$1:$H$9997,6,FALSE)-F5682</f>
        <v/>
      </c>
      <c r="H5682" s="19" t="n">
        <v>1</v>
      </c>
      <c r="I5682" s="57" t="n">
        <v>7</v>
      </c>
    </row>
    <row r="5683">
      <c r="A5683" s="62" t="n">
        <v>46314</v>
      </c>
      <c r="B5683" s="3" t="inlineStr">
        <is>
          <t>Week</t>
        </is>
      </c>
      <c r="C5683" s="19" t="n">
        <v>10</v>
      </c>
      <c r="D5683" s="19" t="n">
        <v>2026</v>
      </c>
      <c r="E5683" s="57" t="n">
        <v>6</v>
      </c>
      <c r="F5683" s="29">
        <f>ROUND(((SUMIFS(Calendar!$F$2:$F$9997,Calendar!$B$2:$B$9997,D5683,Calendar!$C$2:$C$9997,C5683)*INDEX(ForeCalc!$B$37:$Y$274,MATCH(_xlfn.CONCAT(H5683," ",I5683),ForeCalc!$A$37:$A$274,0),MATCH(_xlfn.CONCAT(B5683," ",E5683),ForeCalc!$B$36:$Y$36,0))))*VLOOKUP(A5683,Calendar!$A$2:$H$9997,8,FALSE),0)</f>
        <v/>
      </c>
      <c r="G5683" s="29">
        <f>VLOOKUP(A5683,Calendar!$A$1:$H$9997,6,FALSE)-F5683</f>
        <v/>
      </c>
      <c r="H5683" s="19" t="n">
        <v>1</v>
      </c>
      <c r="I5683" s="57" t="n">
        <v>7</v>
      </c>
    </row>
    <row r="5684">
      <c r="A5684" s="62" t="n">
        <v>46315</v>
      </c>
      <c r="B5684" s="3" t="inlineStr">
        <is>
          <t>Week</t>
        </is>
      </c>
      <c r="C5684" s="19" t="n">
        <v>10</v>
      </c>
      <c r="D5684" s="19" t="n">
        <v>2026</v>
      </c>
      <c r="E5684" s="57" t="n">
        <v>6</v>
      </c>
      <c r="F5684" s="29">
        <f>ROUND(((SUMIFS(Calendar!$F$2:$F$9997,Calendar!$B$2:$B$9997,D5684,Calendar!$C$2:$C$9997,C5684)*INDEX(ForeCalc!$B$37:$Y$274,MATCH(_xlfn.CONCAT(H5684," ",I5684),ForeCalc!$A$37:$A$274,0),MATCH(_xlfn.CONCAT(B5684," ",E5684),ForeCalc!$B$36:$Y$36,0))))*VLOOKUP(A5684,Calendar!$A$2:$H$9997,8,FALSE),0)</f>
        <v/>
      </c>
      <c r="G5684" s="29">
        <f>VLOOKUP(A5684,Calendar!$A$1:$H$9997,6,FALSE)-F5684</f>
        <v/>
      </c>
      <c r="H5684" s="19" t="n">
        <v>1</v>
      </c>
      <c r="I5684" s="57" t="n">
        <v>7</v>
      </c>
    </row>
    <row r="5685">
      <c r="A5685" s="62" t="n">
        <v>46316</v>
      </c>
      <c r="B5685" s="3" t="inlineStr">
        <is>
          <t>Week</t>
        </is>
      </c>
      <c r="C5685" s="19" t="n">
        <v>10</v>
      </c>
      <c r="D5685" s="19" t="n">
        <v>2026</v>
      </c>
      <c r="E5685" s="57" t="n">
        <v>6</v>
      </c>
      <c r="F5685" s="29">
        <f>ROUND(((SUMIFS(Calendar!$F$2:$F$9997,Calendar!$B$2:$B$9997,D5685,Calendar!$C$2:$C$9997,C5685)*INDEX(ForeCalc!$B$37:$Y$274,MATCH(_xlfn.CONCAT(H5685," ",I5685),ForeCalc!$A$37:$A$274,0),MATCH(_xlfn.CONCAT(B5685," ",E5685),ForeCalc!$B$36:$Y$36,0))))*VLOOKUP(A5685,Calendar!$A$2:$H$9997,8,FALSE),0)</f>
        <v/>
      </c>
      <c r="G5685" s="29">
        <f>VLOOKUP(A5685,Calendar!$A$1:$H$9997,6,FALSE)-F5685</f>
        <v/>
      </c>
      <c r="H5685" s="19" t="n">
        <v>1</v>
      </c>
      <c r="I5685" s="57" t="n">
        <v>7</v>
      </c>
    </row>
    <row r="5686">
      <c r="A5686" s="62" t="n">
        <v>46317</v>
      </c>
      <c r="B5686" s="3" t="inlineStr">
        <is>
          <t>Week</t>
        </is>
      </c>
      <c r="C5686" s="19" t="n">
        <v>10</v>
      </c>
      <c r="D5686" s="19" t="n">
        <v>2026</v>
      </c>
      <c r="E5686" s="57" t="n">
        <v>6</v>
      </c>
      <c r="F5686" s="29">
        <f>ROUND(((SUMIFS(Calendar!$F$2:$F$9997,Calendar!$B$2:$B$9997,D5686,Calendar!$C$2:$C$9997,C5686)*INDEX(ForeCalc!$B$37:$Y$274,MATCH(_xlfn.CONCAT(H5686," ",I5686),ForeCalc!$A$37:$A$274,0),MATCH(_xlfn.CONCAT(B5686," ",E5686),ForeCalc!$B$36:$Y$36,0))))*VLOOKUP(A5686,Calendar!$A$2:$H$9997,8,FALSE),0)</f>
        <v/>
      </c>
      <c r="G5686" s="29">
        <f>VLOOKUP(A5686,Calendar!$A$1:$H$9997,6,FALSE)-F5686</f>
        <v/>
      </c>
      <c r="H5686" s="19" t="n">
        <v>1</v>
      </c>
      <c r="I5686" s="57" t="n">
        <v>7</v>
      </c>
    </row>
    <row r="5687">
      <c r="A5687" s="62" t="n">
        <v>46318</v>
      </c>
      <c r="B5687" s="3" t="inlineStr">
        <is>
          <t>Week</t>
        </is>
      </c>
      <c r="C5687" s="19" t="n">
        <v>10</v>
      </c>
      <c r="D5687" s="19" t="n">
        <v>2026</v>
      </c>
      <c r="E5687" s="57" t="n">
        <v>6</v>
      </c>
      <c r="F5687" s="29">
        <f>ROUND(((SUMIFS(Calendar!$F$2:$F$9997,Calendar!$B$2:$B$9997,D5687,Calendar!$C$2:$C$9997,C5687)*INDEX(ForeCalc!$B$37:$Y$274,MATCH(_xlfn.CONCAT(H5687," ",I5687),ForeCalc!$A$37:$A$274,0),MATCH(_xlfn.CONCAT(B5687," ",E5687),ForeCalc!$B$36:$Y$36,0))))*VLOOKUP(A5687,Calendar!$A$2:$H$9997,8,FALSE),0)</f>
        <v/>
      </c>
      <c r="G5687" s="29">
        <f>VLOOKUP(A5687,Calendar!$A$1:$H$9997,6,FALSE)-F5687</f>
        <v/>
      </c>
      <c r="H5687" s="19" t="n">
        <v>1</v>
      </c>
      <c r="I5687" s="57" t="n">
        <v>7</v>
      </c>
    </row>
    <row r="5688">
      <c r="A5688" s="62" t="n">
        <v>46319</v>
      </c>
      <c r="B5688" s="3" t="inlineStr">
        <is>
          <t>Sat</t>
        </is>
      </c>
      <c r="C5688" s="19" t="n">
        <v>10</v>
      </c>
      <c r="D5688" s="19" t="n">
        <v>2026</v>
      </c>
      <c r="E5688" s="57" t="n">
        <v>6</v>
      </c>
      <c r="F5688" s="29">
        <f>ROUND(((SUMIFS(Calendar!$F$2:$F$9997,Calendar!$B$2:$B$9997,D5688,Calendar!$C$2:$C$9997,C5688)*INDEX(ForeCalc!$B$37:$Y$274,MATCH(_xlfn.CONCAT(H5688," ",I5688),ForeCalc!$A$37:$A$274,0),MATCH(_xlfn.CONCAT(B5688," ",E5688),ForeCalc!$B$36:$Y$36,0))))*VLOOKUP(A5688,Calendar!$A$2:$H$9997,8,FALSE),0)</f>
        <v/>
      </c>
      <c r="G5688" s="29">
        <f>VLOOKUP(A5688,Calendar!$A$1:$H$9997,6,FALSE)-F5688</f>
        <v/>
      </c>
      <c r="H5688" s="19" t="n">
        <v>1</v>
      </c>
      <c r="I5688" s="57" t="n">
        <v>7</v>
      </c>
    </row>
    <row r="5689">
      <c r="A5689" s="62" t="n">
        <v>46320</v>
      </c>
      <c r="B5689" s="3" t="inlineStr">
        <is>
          <t>Sun</t>
        </is>
      </c>
      <c r="C5689" s="19" t="n">
        <v>10</v>
      </c>
      <c r="D5689" s="19" t="n">
        <v>2026</v>
      </c>
      <c r="E5689" s="57" t="n">
        <v>6</v>
      </c>
      <c r="F5689" s="29">
        <f>ROUND(((SUMIFS(Calendar!$F$2:$F$9997,Calendar!$B$2:$B$9997,D5689,Calendar!$C$2:$C$9997,C5689)*INDEX(ForeCalc!$B$37:$Y$274,MATCH(_xlfn.CONCAT(H5689," ",I5689),ForeCalc!$A$37:$A$274,0),MATCH(_xlfn.CONCAT(B5689," ",E5689),ForeCalc!$B$36:$Y$36,0))))*VLOOKUP(A5689,Calendar!$A$2:$H$9997,8,FALSE),0)</f>
        <v/>
      </c>
      <c r="G5689" s="29">
        <f>VLOOKUP(A5689,Calendar!$A$1:$H$9997,6,FALSE)-F5689</f>
        <v/>
      </c>
      <c r="H5689" s="19" t="n">
        <v>1</v>
      </c>
      <c r="I5689" s="57" t="n">
        <v>7</v>
      </c>
    </row>
    <row r="5690">
      <c r="A5690" s="62" t="n">
        <v>46321</v>
      </c>
      <c r="B5690" s="3" t="inlineStr">
        <is>
          <t>Week</t>
        </is>
      </c>
      <c r="C5690" s="19" t="n">
        <v>10</v>
      </c>
      <c r="D5690" s="19" t="n">
        <v>2026</v>
      </c>
      <c r="E5690" s="57" t="n">
        <v>6</v>
      </c>
      <c r="F5690" s="29">
        <f>ROUND(((SUMIFS(Calendar!$F$2:$F$9997,Calendar!$B$2:$B$9997,D5690,Calendar!$C$2:$C$9997,C5690)*INDEX(ForeCalc!$B$37:$Y$274,MATCH(_xlfn.CONCAT(H5690," ",I5690),ForeCalc!$A$37:$A$274,0),MATCH(_xlfn.CONCAT(B5690," ",E5690),ForeCalc!$B$36:$Y$36,0))))*VLOOKUP(A5690,Calendar!$A$2:$H$9997,8,FALSE),0)</f>
        <v/>
      </c>
      <c r="G5690" s="29">
        <f>VLOOKUP(A5690,Calendar!$A$1:$H$9997,6,FALSE)-F5690</f>
        <v/>
      </c>
      <c r="H5690" s="19" t="n">
        <v>1</v>
      </c>
      <c r="I5690" s="57" t="n">
        <v>7</v>
      </c>
    </row>
    <row r="5691">
      <c r="A5691" s="62" t="n">
        <v>46322</v>
      </c>
      <c r="B5691" s="3" t="inlineStr">
        <is>
          <t>Week</t>
        </is>
      </c>
      <c r="C5691" s="19" t="n">
        <v>10</v>
      </c>
      <c r="D5691" s="19" t="n">
        <v>2026</v>
      </c>
      <c r="E5691" s="57" t="n">
        <v>6</v>
      </c>
      <c r="F5691" s="29">
        <f>ROUND(((SUMIFS(Calendar!$F$2:$F$9997,Calendar!$B$2:$B$9997,D5691,Calendar!$C$2:$C$9997,C5691)*INDEX(ForeCalc!$B$37:$Y$274,MATCH(_xlfn.CONCAT(H5691," ",I5691),ForeCalc!$A$37:$A$274,0),MATCH(_xlfn.CONCAT(B5691," ",E5691),ForeCalc!$B$36:$Y$36,0))))*VLOOKUP(A5691,Calendar!$A$2:$H$9997,8,FALSE),0)</f>
        <v/>
      </c>
      <c r="G5691" s="29">
        <f>VLOOKUP(A5691,Calendar!$A$1:$H$9997,6,FALSE)-F5691</f>
        <v/>
      </c>
      <c r="H5691" s="19" t="n">
        <v>1</v>
      </c>
      <c r="I5691" s="57" t="n">
        <v>7</v>
      </c>
    </row>
    <row r="5692">
      <c r="A5692" s="62" t="n">
        <v>46323</v>
      </c>
      <c r="B5692" s="3" t="inlineStr">
        <is>
          <t>Week</t>
        </is>
      </c>
      <c r="C5692" s="19" t="n">
        <v>10</v>
      </c>
      <c r="D5692" s="19" t="n">
        <v>2026</v>
      </c>
      <c r="E5692" s="57" t="n">
        <v>6</v>
      </c>
      <c r="F5692" s="29">
        <f>ROUND(((SUMIFS(Calendar!$F$2:$F$9997,Calendar!$B$2:$B$9997,D5692,Calendar!$C$2:$C$9997,C5692)*INDEX(ForeCalc!$B$37:$Y$274,MATCH(_xlfn.CONCAT(H5692," ",I5692),ForeCalc!$A$37:$A$274,0),MATCH(_xlfn.CONCAT(B5692," ",E5692),ForeCalc!$B$36:$Y$36,0))))*VLOOKUP(A5692,Calendar!$A$2:$H$9997,8,FALSE),0)</f>
        <v/>
      </c>
      <c r="G5692" s="29">
        <f>VLOOKUP(A5692,Calendar!$A$1:$H$9997,6,FALSE)-F5692</f>
        <v/>
      </c>
      <c r="H5692" s="19" t="n">
        <v>1</v>
      </c>
      <c r="I5692" s="57" t="n">
        <v>7</v>
      </c>
    </row>
    <row r="5693">
      <c r="A5693" s="62" t="n">
        <v>46324</v>
      </c>
      <c r="B5693" s="3" t="inlineStr">
        <is>
          <t>Week</t>
        </is>
      </c>
      <c r="C5693" s="19" t="n">
        <v>10</v>
      </c>
      <c r="D5693" s="19" t="n">
        <v>2026</v>
      </c>
      <c r="E5693" s="57" t="n">
        <v>6</v>
      </c>
      <c r="F5693" s="29">
        <f>ROUND(((SUMIFS(Calendar!$F$2:$F$9997,Calendar!$B$2:$B$9997,D5693,Calendar!$C$2:$C$9997,C5693)*INDEX(ForeCalc!$B$37:$Y$274,MATCH(_xlfn.CONCAT(H5693," ",I5693),ForeCalc!$A$37:$A$274,0),MATCH(_xlfn.CONCAT(B5693," ",E5693),ForeCalc!$B$36:$Y$36,0))))*VLOOKUP(A5693,Calendar!$A$2:$H$9997,8,FALSE),0)</f>
        <v/>
      </c>
      <c r="G5693" s="29">
        <f>VLOOKUP(A5693,Calendar!$A$1:$H$9997,6,FALSE)-F5693</f>
        <v/>
      </c>
      <c r="H5693" s="19" t="n">
        <v>1</v>
      </c>
      <c r="I5693" s="57" t="n">
        <v>7</v>
      </c>
    </row>
    <row r="5694">
      <c r="A5694" s="62" t="n">
        <v>46325</v>
      </c>
      <c r="B5694" s="3" t="inlineStr">
        <is>
          <t>Week</t>
        </is>
      </c>
      <c r="C5694" s="19" t="n">
        <v>10</v>
      </c>
      <c r="D5694" s="19" t="n">
        <v>2026</v>
      </c>
      <c r="E5694" s="57" t="n">
        <v>6</v>
      </c>
      <c r="F5694" s="29">
        <f>ROUND(((SUMIFS(Calendar!$F$2:$F$9997,Calendar!$B$2:$B$9997,D5694,Calendar!$C$2:$C$9997,C5694)*INDEX(ForeCalc!$B$37:$Y$274,MATCH(_xlfn.CONCAT(H5694," ",I5694),ForeCalc!$A$37:$A$274,0),MATCH(_xlfn.CONCAT(B5694," ",E5694),ForeCalc!$B$36:$Y$36,0))))*VLOOKUP(A5694,Calendar!$A$2:$H$9997,8,FALSE),0)</f>
        <v/>
      </c>
      <c r="G5694" s="29">
        <f>VLOOKUP(A5694,Calendar!$A$1:$H$9997,6,FALSE)-F5694</f>
        <v/>
      </c>
      <c r="H5694" s="19" t="n">
        <v>1</v>
      </c>
      <c r="I5694" s="57" t="n">
        <v>7</v>
      </c>
    </row>
    <row r="5695">
      <c r="A5695" s="62" t="n">
        <v>46326</v>
      </c>
      <c r="B5695" s="3" t="inlineStr">
        <is>
          <t>Sat</t>
        </is>
      </c>
      <c r="C5695" s="19" t="n">
        <v>10</v>
      </c>
      <c r="D5695" s="19" t="n">
        <v>2026</v>
      </c>
      <c r="E5695" s="57" t="n">
        <v>6</v>
      </c>
      <c r="F5695" s="29">
        <f>ROUND(((SUMIFS(Calendar!$F$2:$F$9997,Calendar!$B$2:$B$9997,D5695,Calendar!$C$2:$C$9997,C5695)*INDEX(ForeCalc!$B$37:$Y$274,MATCH(_xlfn.CONCAT(H5695," ",I5695),ForeCalc!$A$37:$A$274,0),MATCH(_xlfn.CONCAT(B5695," ",E5695),ForeCalc!$B$36:$Y$36,0))))*VLOOKUP(A5695,Calendar!$A$2:$H$9997,8,FALSE),0)</f>
        <v/>
      </c>
      <c r="G5695" s="29">
        <f>VLOOKUP(A5695,Calendar!$A$1:$H$9997,6,FALSE)-F5695</f>
        <v/>
      </c>
      <c r="H5695" s="19" t="n">
        <v>1</v>
      </c>
      <c r="I5695" s="57" t="n">
        <v>7</v>
      </c>
    </row>
    <row r="5696">
      <c r="A5696" s="62" t="n">
        <v>46327</v>
      </c>
      <c r="B5696" s="3" t="inlineStr">
        <is>
          <t>Sun</t>
        </is>
      </c>
      <c r="C5696" s="19" t="n">
        <v>11</v>
      </c>
      <c r="D5696" s="19" t="n">
        <v>2026</v>
      </c>
      <c r="E5696" s="57" t="n">
        <v>6</v>
      </c>
      <c r="F5696" s="29">
        <f>ROUND(((SUMIFS(Calendar!$F$2:$F$9997,Calendar!$B$2:$B$9997,D5696,Calendar!$C$2:$C$9997,C5696)*INDEX(ForeCalc!$B$37:$Y$274,MATCH(_xlfn.CONCAT(H5696," ",I5696),ForeCalc!$A$37:$A$274,0),MATCH(_xlfn.CONCAT(B5696," ",E5696),ForeCalc!$B$36:$Y$36,0))))*VLOOKUP(A5696,Calendar!$A$2:$H$9997,8,FALSE),0)</f>
        <v/>
      </c>
      <c r="G5696" s="29">
        <f>VLOOKUP(A5696,Calendar!$A$1:$H$9997,6,FALSE)-F5696</f>
        <v/>
      </c>
      <c r="H5696" s="19" t="n">
        <v>1</v>
      </c>
      <c r="I5696" s="57" t="n">
        <v>8</v>
      </c>
    </row>
    <row r="5697">
      <c r="A5697" s="62" t="n">
        <v>46328</v>
      </c>
      <c r="B5697" s="3" t="inlineStr">
        <is>
          <t>Week</t>
        </is>
      </c>
      <c r="C5697" s="19" t="n">
        <v>11</v>
      </c>
      <c r="D5697" s="19" t="n">
        <v>2026</v>
      </c>
      <c r="E5697" s="57" t="n">
        <v>6</v>
      </c>
      <c r="F5697" s="29">
        <f>ROUND(((SUMIFS(Calendar!$F$2:$F$9997,Calendar!$B$2:$B$9997,D5697,Calendar!$C$2:$C$9997,C5697)*INDEX(ForeCalc!$B$37:$Y$274,MATCH(_xlfn.CONCAT(H5697," ",I5697),ForeCalc!$A$37:$A$274,0),MATCH(_xlfn.CONCAT(B5697," ",E5697),ForeCalc!$B$36:$Y$36,0))))*VLOOKUP(A5697,Calendar!$A$2:$H$9997,8,FALSE),0)</f>
        <v/>
      </c>
      <c r="G5697" s="29">
        <f>VLOOKUP(A5697,Calendar!$A$1:$H$9997,6,FALSE)-F5697</f>
        <v/>
      </c>
      <c r="H5697" s="19" t="n">
        <v>1</v>
      </c>
      <c r="I5697" s="57" t="n">
        <v>8</v>
      </c>
    </row>
    <row r="5698">
      <c r="A5698" s="62" t="n">
        <v>46329</v>
      </c>
      <c r="B5698" s="3" t="inlineStr">
        <is>
          <t>Week</t>
        </is>
      </c>
      <c r="C5698" s="19" t="n">
        <v>11</v>
      </c>
      <c r="D5698" s="19" t="n">
        <v>2026</v>
      </c>
      <c r="E5698" s="57" t="n">
        <v>6</v>
      </c>
      <c r="F5698" s="29">
        <f>ROUND(((SUMIFS(Calendar!$F$2:$F$9997,Calendar!$B$2:$B$9997,D5698,Calendar!$C$2:$C$9997,C5698)*INDEX(ForeCalc!$B$37:$Y$274,MATCH(_xlfn.CONCAT(H5698," ",I5698),ForeCalc!$A$37:$A$274,0),MATCH(_xlfn.CONCAT(B5698," ",E5698),ForeCalc!$B$36:$Y$36,0))))*VLOOKUP(A5698,Calendar!$A$2:$H$9997,8,FALSE),0)</f>
        <v/>
      </c>
      <c r="G5698" s="29">
        <f>VLOOKUP(A5698,Calendar!$A$1:$H$9997,6,FALSE)-F5698</f>
        <v/>
      </c>
      <c r="H5698" s="19" t="n">
        <v>1</v>
      </c>
      <c r="I5698" s="57" t="n">
        <v>8</v>
      </c>
    </row>
    <row r="5699">
      <c r="A5699" s="62" t="n">
        <v>46330</v>
      </c>
      <c r="B5699" s="3" t="inlineStr">
        <is>
          <t>Week</t>
        </is>
      </c>
      <c r="C5699" s="19" t="n">
        <v>11</v>
      </c>
      <c r="D5699" s="19" t="n">
        <v>2026</v>
      </c>
      <c r="E5699" s="57" t="n">
        <v>6</v>
      </c>
      <c r="F5699" s="29">
        <f>ROUND(((SUMIFS(Calendar!$F$2:$F$9997,Calendar!$B$2:$B$9997,D5699,Calendar!$C$2:$C$9997,C5699)*INDEX(ForeCalc!$B$37:$Y$274,MATCH(_xlfn.CONCAT(H5699," ",I5699),ForeCalc!$A$37:$A$274,0),MATCH(_xlfn.CONCAT(B5699," ",E5699),ForeCalc!$B$36:$Y$36,0))))*VLOOKUP(A5699,Calendar!$A$2:$H$9997,8,FALSE),0)</f>
        <v/>
      </c>
      <c r="G5699" s="29">
        <f>VLOOKUP(A5699,Calendar!$A$1:$H$9997,6,FALSE)-F5699</f>
        <v/>
      </c>
      <c r="H5699" s="19" t="n">
        <v>1</v>
      </c>
      <c r="I5699" s="57" t="n">
        <v>8</v>
      </c>
    </row>
    <row r="5700">
      <c r="A5700" s="62" t="n">
        <v>46331</v>
      </c>
      <c r="B5700" s="3" t="inlineStr">
        <is>
          <t>Week</t>
        </is>
      </c>
      <c r="C5700" s="19" t="n">
        <v>11</v>
      </c>
      <c r="D5700" s="19" t="n">
        <v>2026</v>
      </c>
      <c r="E5700" s="57" t="n">
        <v>6</v>
      </c>
      <c r="F5700" s="29">
        <f>ROUND(((SUMIFS(Calendar!$F$2:$F$9997,Calendar!$B$2:$B$9997,D5700,Calendar!$C$2:$C$9997,C5700)*INDEX(ForeCalc!$B$37:$Y$274,MATCH(_xlfn.CONCAT(H5700," ",I5700),ForeCalc!$A$37:$A$274,0),MATCH(_xlfn.CONCAT(B5700," ",E5700),ForeCalc!$B$36:$Y$36,0))))*VLOOKUP(A5700,Calendar!$A$2:$H$9997,8,FALSE),0)</f>
        <v/>
      </c>
      <c r="G5700" s="29">
        <f>VLOOKUP(A5700,Calendar!$A$1:$H$9997,6,FALSE)-F5700</f>
        <v/>
      </c>
      <c r="H5700" s="19" t="n">
        <v>1</v>
      </c>
      <c r="I5700" s="57" t="n">
        <v>8</v>
      </c>
    </row>
    <row r="5701">
      <c r="A5701" s="62" t="n">
        <v>46332</v>
      </c>
      <c r="B5701" s="3" t="inlineStr">
        <is>
          <t>Week</t>
        </is>
      </c>
      <c r="C5701" s="19" t="n">
        <v>11</v>
      </c>
      <c r="D5701" s="19" t="n">
        <v>2026</v>
      </c>
      <c r="E5701" s="57" t="n">
        <v>6</v>
      </c>
      <c r="F5701" s="29">
        <f>ROUND(((SUMIFS(Calendar!$F$2:$F$9997,Calendar!$B$2:$B$9997,D5701,Calendar!$C$2:$C$9997,C5701)*INDEX(ForeCalc!$B$37:$Y$274,MATCH(_xlfn.CONCAT(H5701," ",I5701),ForeCalc!$A$37:$A$274,0),MATCH(_xlfn.CONCAT(B5701," ",E5701),ForeCalc!$B$36:$Y$36,0))))*VLOOKUP(A5701,Calendar!$A$2:$H$9997,8,FALSE),0)</f>
        <v/>
      </c>
      <c r="G5701" s="29">
        <f>VLOOKUP(A5701,Calendar!$A$1:$H$9997,6,FALSE)-F5701</f>
        <v/>
      </c>
      <c r="H5701" s="19" t="n">
        <v>1</v>
      </c>
      <c r="I5701" s="57" t="n">
        <v>8</v>
      </c>
    </row>
    <row r="5702">
      <c r="A5702" s="62" t="n">
        <v>46333</v>
      </c>
      <c r="B5702" s="3" t="inlineStr">
        <is>
          <t>Sat</t>
        </is>
      </c>
      <c r="C5702" s="19" t="n">
        <v>11</v>
      </c>
      <c r="D5702" s="19" t="n">
        <v>2026</v>
      </c>
      <c r="E5702" s="57" t="n">
        <v>6</v>
      </c>
      <c r="F5702" s="29">
        <f>ROUND(((SUMIFS(Calendar!$F$2:$F$9997,Calendar!$B$2:$B$9997,D5702,Calendar!$C$2:$C$9997,C5702)*INDEX(ForeCalc!$B$37:$Y$274,MATCH(_xlfn.CONCAT(H5702," ",I5702),ForeCalc!$A$37:$A$274,0),MATCH(_xlfn.CONCAT(B5702," ",E5702),ForeCalc!$B$36:$Y$36,0))))*VLOOKUP(A5702,Calendar!$A$2:$H$9997,8,FALSE),0)</f>
        <v/>
      </c>
      <c r="G5702" s="29">
        <f>VLOOKUP(A5702,Calendar!$A$1:$H$9997,6,FALSE)-F5702</f>
        <v/>
      </c>
      <c r="H5702" s="19" t="n">
        <v>1</v>
      </c>
      <c r="I5702" s="57" t="n">
        <v>8</v>
      </c>
    </row>
    <row r="5703">
      <c r="A5703" s="62" t="n">
        <v>46334</v>
      </c>
      <c r="B5703" s="3" t="inlineStr">
        <is>
          <t>Sun</t>
        </is>
      </c>
      <c r="C5703" s="19" t="n">
        <v>11</v>
      </c>
      <c r="D5703" s="19" t="n">
        <v>2026</v>
      </c>
      <c r="E5703" s="57" t="n">
        <v>6</v>
      </c>
      <c r="F5703" s="29">
        <f>ROUND(((SUMIFS(Calendar!$F$2:$F$9997,Calendar!$B$2:$B$9997,D5703,Calendar!$C$2:$C$9997,C5703)*INDEX(ForeCalc!$B$37:$Y$274,MATCH(_xlfn.CONCAT(H5703," ",I5703),ForeCalc!$A$37:$A$274,0),MATCH(_xlfn.CONCAT(B5703," ",E5703),ForeCalc!$B$36:$Y$36,0))))*VLOOKUP(A5703,Calendar!$A$2:$H$9997,8,FALSE),0)</f>
        <v/>
      </c>
      <c r="G5703" s="29">
        <f>VLOOKUP(A5703,Calendar!$A$1:$H$9997,6,FALSE)-F5703</f>
        <v/>
      </c>
      <c r="H5703" s="19" t="n">
        <v>1</v>
      </c>
      <c r="I5703" s="57" t="n">
        <v>8</v>
      </c>
    </row>
    <row r="5704">
      <c r="A5704" s="62" t="n">
        <v>46335</v>
      </c>
      <c r="B5704" s="3" t="inlineStr">
        <is>
          <t>Week</t>
        </is>
      </c>
      <c r="C5704" s="19" t="n">
        <v>11</v>
      </c>
      <c r="D5704" s="19" t="n">
        <v>2026</v>
      </c>
      <c r="E5704" s="57" t="n">
        <v>6</v>
      </c>
      <c r="F5704" s="29">
        <f>ROUND(((SUMIFS(Calendar!$F$2:$F$9997,Calendar!$B$2:$B$9997,D5704,Calendar!$C$2:$C$9997,C5704)*INDEX(ForeCalc!$B$37:$Y$274,MATCH(_xlfn.CONCAT(H5704," ",I5704),ForeCalc!$A$37:$A$274,0),MATCH(_xlfn.CONCAT(B5704," ",E5704),ForeCalc!$B$36:$Y$36,0))))*VLOOKUP(A5704,Calendar!$A$2:$H$9997,8,FALSE),0)</f>
        <v/>
      </c>
      <c r="G5704" s="29">
        <f>VLOOKUP(A5704,Calendar!$A$1:$H$9997,6,FALSE)-F5704</f>
        <v/>
      </c>
      <c r="H5704" s="19" t="n">
        <v>1</v>
      </c>
      <c r="I5704" s="57" t="n">
        <v>8</v>
      </c>
    </row>
    <row r="5705">
      <c r="A5705" s="62" t="n">
        <v>46336</v>
      </c>
      <c r="B5705" s="3" t="inlineStr">
        <is>
          <t>Week</t>
        </is>
      </c>
      <c r="C5705" s="19" t="n">
        <v>11</v>
      </c>
      <c r="D5705" s="19" t="n">
        <v>2026</v>
      </c>
      <c r="E5705" s="57" t="n">
        <v>6</v>
      </c>
      <c r="F5705" s="29">
        <f>ROUND(((SUMIFS(Calendar!$F$2:$F$9997,Calendar!$B$2:$B$9997,D5705,Calendar!$C$2:$C$9997,C5705)*INDEX(ForeCalc!$B$37:$Y$274,MATCH(_xlfn.CONCAT(H5705," ",I5705),ForeCalc!$A$37:$A$274,0),MATCH(_xlfn.CONCAT(B5705," ",E5705),ForeCalc!$B$36:$Y$36,0))))*VLOOKUP(A5705,Calendar!$A$2:$H$9997,8,FALSE),0)</f>
        <v/>
      </c>
      <c r="G5705" s="29">
        <f>VLOOKUP(A5705,Calendar!$A$1:$H$9997,6,FALSE)-F5705</f>
        <v/>
      </c>
      <c r="H5705" s="19" t="n">
        <v>1</v>
      </c>
      <c r="I5705" s="57" t="n">
        <v>8</v>
      </c>
    </row>
    <row r="5706">
      <c r="A5706" s="62" t="n">
        <v>46337</v>
      </c>
      <c r="B5706" s="3" t="inlineStr">
        <is>
          <t>Week</t>
        </is>
      </c>
      <c r="C5706" s="19" t="n">
        <v>11</v>
      </c>
      <c r="D5706" s="19" t="n">
        <v>2026</v>
      </c>
      <c r="E5706" s="57" t="n">
        <v>6</v>
      </c>
      <c r="F5706" s="29">
        <f>ROUND(((SUMIFS(Calendar!$F$2:$F$9997,Calendar!$B$2:$B$9997,D5706,Calendar!$C$2:$C$9997,C5706)*INDEX(ForeCalc!$B$37:$Y$274,MATCH(_xlfn.CONCAT(H5706," ",I5706),ForeCalc!$A$37:$A$274,0),MATCH(_xlfn.CONCAT(B5706," ",E5706),ForeCalc!$B$36:$Y$36,0))))*VLOOKUP(A5706,Calendar!$A$2:$H$9997,8,FALSE),0)</f>
        <v/>
      </c>
      <c r="G5706" s="29">
        <f>VLOOKUP(A5706,Calendar!$A$1:$H$9997,6,FALSE)-F5706</f>
        <v/>
      </c>
      <c r="H5706" s="19" t="n">
        <v>1</v>
      </c>
      <c r="I5706" s="57" t="n">
        <v>8</v>
      </c>
    </row>
    <row r="5707">
      <c r="A5707" s="62" t="n">
        <v>46338</v>
      </c>
      <c r="B5707" s="3" t="inlineStr">
        <is>
          <t>Week</t>
        </is>
      </c>
      <c r="C5707" s="19" t="n">
        <v>11</v>
      </c>
      <c r="D5707" s="19" t="n">
        <v>2026</v>
      </c>
      <c r="E5707" s="57" t="n">
        <v>6</v>
      </c>
      <c r="F5707" s="29">
        <f>ROUND(((SUMIFS(Calendar!$F$2:$F$9997,Calendar!$B$2:$B$9997,D5707,Calendar!$C$2:$C$9997,C5707)*INDEX(ForeCalc!$B$37:$Y$274,MATCH(_xlfn.CONCAT(H5707," ",I5707),ForeCalc!$A$37:$A$274,0),MATCH(_xlfn.CONCAT(B5707," ",E5707),ForeCalc!$B$36:$Y$36,0))))*VLOOKUP(A5707,Calendar!$A$2:$H$9997,8,FALSE),0)</f>
        <v/>
      </c>
      <c r="G5707" s="29">
        <f>VLOOKUP(A5707,Calendar!$A$1:$H$9997,6,FALSE)-F5707</f>
        <v/>
      </c>
      <c r="H5707" s="19" t="n">
        <v>1</v>
      </c>
      <c r="I5707" s="57" t="n">
        <v>8</v>
      </c>
    </row>
    <row r="5708">
      <c r="A5708" s="62" t="n">
        <v>46339</v>
      </c>
      <c r="B5708" s="3" t="inlineStr">
        <is>
          <t>Week</t>
        </is>
      </c>
      <c r="C5708" s="19" t="n">
        <v>11</v>
      </c>
      <c r="D5708" s="19" t="n">
        <v>2026</v>
      </c>
      <c r="E5708" s="57" t="n">
        <v>6</v>
      </c>
      <c r="F5708" s="29">
        <f>ROUND(((SUMIFS(Calendar!$F$2:$F$9997,Calendar!$B$2:$B$9997,D5708,Calendar!$C$2:$C$9997,C5708)*INDEX(ForeCalc!$B$37:$Y$274,MATCH(_xlfn.CONCAT(H5708," ",I5708),ForeCalc!$A$37:$A$274,0),MATCH(_xlfn.CONCAT(B5708," ",E5708),ForeCalc!$B$36:$Y$36,0))))*VLOOKUP(A5708,Calendar!$A$2:$H$9997,8,FALSE),0)</f>
        <v/>
      </c>
      <c r="G5708" s="29">
        <f>VLOOKUP(A5708,Calendar!$A$1:$H$9997,6,FALSE)-F5708</f>
        <v/>
      </c>
      <c r="H5708" s="19" t="n">
        <v>1</v>
      </c>
      <c r="I5708" s="57" t="n">
        <v>8</v>
      </c>
    </row>
    <row r="5709">
      <c r="A5709" s="62" t="n">
        <v>46340</v>
      </c>
      <c r="B5709" s="3" t="inlineStr">
        <is>
          <t>Sat</t>
        </is>
      </c>
      <c r="C5709" s="19" t="n">
        <v>11</v>
      </c>
      <c r="D5709" s="19" t="n">
        <v>2026</v>
      </c>
      <c r="E5709" s="57" t="n">
        <v>6</v>
      </c>
      <c r="F5709" s="29">
        <f>ROUND(((SUMIFS(Calendar!$F$2:$F$9997,Calendar!$B$2:$B$9997,D5709,Calendar!$C$2:$C$9997,C5709)*INDEX(ForeCalc!$B$37:$Y$274,MATCH(_xlfn.CONCAT(H5709," ",I5709),ForeCalc!$A$37:$A$274,0),MATCH(_xlfn.CONCAT(B5709," ",E5709),ForeCalc!$B$36:$Y$36,0))))*VLOOKUP(A5709,Calendar!$A$2:$H$9997,8,FALSE),0)</f>
        <v/>
      </c>
      <c r="G5709" s="29">
        <f>VLOOKUP(A5709,Calendar!$A$1:$H$9997,6,FALSE)-F5709</f>
        <v/>
      </c>
      <c r="H5709" s="19" t="n">
        <v>1</v>
      </c>
      <c r="I5709" s="57" t="n">
        <v>8</v>
      </c>
    </row>
    <row r="5710">
      <c r="A5710" s="62" t="n">
        <v>46341</v>
      </c>
      <c r="B5710" s="3" t="inlineStr">
        <is>
          <t>Sun</t>
        </is>
      </c>
      <c r="C5710" s="19" t="n">
        <v>11</v>
      </c>
      <c r="D5710" s="19" t="n">
        <v>2026</v>
      </c>
      <c r="E5710" s="57" t="n">
        <v>6</v>
      </c>
      <c r="F5710" s="29">
        <f>ROUND(((SUMIFS(Calendar!$F$2:$F$9997,Calendar!$B$2:$B$9997,D5710,Calendar!$C$2:$C$9997,C5710)*INDEX(ForeCalc!$B$37:$Y$274,MATCH(_xlfn.CONCAT(H5710," ",I5710),ForeCalc!$A$37:$A$274,0),MATCH(_xlfn.CONCAT(B5710," ",E5710),ForeCalc!$B$36:$Y$36,0))))*VLOOKUP(A5710,Calendar!$A$2:$H$9997,8,FALSE),0)</f>
        <v/>
      </c>
      <c r="G5710" s="29">
        <f>VLOOKUP(A5710,Calendar!$A$1:$H$9997,6,FALSE)-F5710</f>
        <v/>
      </c>
      <c r="H5710" s="19" t="n">
        <v>1</v>
      </c>
      <c r="I5710" s="57" t="n">
        <v>8</v>
      </c>
    </row>
    <row r="5711">
      <c r="A5711" s="62" t="n">
        <v>46342</v>
      </c>
      <c r="B5711" s="3" t="inlineStr">
        <is>
          <t>Week</t>
        </is>
      </c>
      <c r="C5711" s="19" t="n">
        <v>11</v>
      </c>
      <c r="D5711" s="19" t="n">
        <v>2026</v>
      </c>
      <c r="E5711" s="57" t="n">
        <v>6</v>
      </c>
      <c r="F5711" s="29">
        <f>ROUND(((SUMIFS(Calendar!$F$2:$F$9997,Calendar!$B$2:$B$9997,D5711,Calendar!$C$2:$C$9997,C5711)*INDEX(ForeCalc!$B$37:$Y$274,MATCH(_xlfn.CONCAT(H5711," ",I5711),ForeCalc!$A$37:$A$274,0),MATCH(_xlfn.CONCAT(B5711," ",E5711),ForeCalc!$B$36:$Y$36,0))))*VLOOKUP(A5711,Calendar!$A$2:$H$9997,8,FALSE),0)</f>
        <v/>
      </c>
      <c r="G5711" s="29">
        <f>VLOOKUP(A5711,Calendar!$A$1:$H$9997,6,FALSE)-F5711</f>
        <v/>
      </c>
      <c r="H5711" s="19" t="n">
        <v>1</v>
      </c>
      <c r="I5711" s="57" t="n">
        <v>8</v>
      </c>
    </row>
    <row r="5712">
      <c r="A5712" s="62" t="n">
        <v>46343</v>
      </c>
      <c r="B5712" s="3" t="inlineStr">
        <is>
          <t>Week</t>
        </is>
      </c>
      <c r="C5712" s="19" t="n">
        <v>11</v>
      </c>
      <c r="D5712" s="19" t="n">
        <v>2026</v>
      </c>
      <c r="E5712" s="57" t="n">
        <v>6</v>
      </c>
      <c r="F5712" s="29">
        <f>ROUND(((SUMIFS(Calendar!$F$2:$F$9997,Calendar!$B$2:$B$9997,D5712,Calendar!$C$2:$C$9997,C5712)*INDEX(ForeCalc!$B$37:$Y$274,MATCH(_xlfn.CONCAT(H5712," ",I5712),ForeCalc!$A$37:$A$274,0),MATCH(_xlfn.CONCAT(B5712," ",E5712),ForeCalc!$B$36:$Y$36,0))))*VLOOKUP(A5712,Calendar!$A$2:$H$9997,8,FALSE),0)</f>
        <v/>
      </c>
      <c r="G5712" s="29">
        <f>VLOOKUP(A5712,Calendar!$A$1:$H$9997,6,FALSE)-F5712</f>
        <v/>
      </c>
      <c r="H5712" s="19" t="n">
        <v>1</v>
      </c>
      <c r="I5712" s="57" t="n">
        <v>8</v>
      </c>
    </row>
    <row r="5713">
      <c r="A5713" s="62" t="n">
        <v>46344</v>
      </c>
      <c r="B5713" s="3" t="inlineStr">
        <is>
          <t>Week</t>
        </is>
      </c>
      <c r="C5713" s="19" t="n">
        <v>11</v>
      </c>
      <c r="D5713" s="19" t="n">
        <v>2026</v>
      </c>
      <c r="E5713" s="57" t="n">
        <v>6</v>
      </c>
      <c r="F5713" s="29">
        <f>ROUND(((SUMIFS(Calendar!$F$2:$F$9997,Calendar!$B$2:$B$9997,D5713,Calendar!$C$2:$C$9997,C5713)*INDEX(ForeCalc!$B$37:$Y$274,MATCH(_xlfn.CONCAT(H5713," ",I5713),ForeCalc!$A$37:$A$274,0),MATCH(_xlfn.CONCAT(B5713," ",E5713),ForeCalc!$B$36:$Y$36,0))))*VLOOKUP(A5713,Calendar!$A$2:$H$9997,8,FALSE),0)</f>
        <v/>
      </c>
      <c r="G5713" s="29">
        <f>VLOOKUP(A5713,Calendar!$A$1:$H$9997,6,FALSE)-F5713</f>
        <v/>
      </c>
      <c r="H5713" s="19" t="n">
        <v>1</v>
      </c>
      <c r="I5713" s="57" t="n">
        <v>8</v>
      </c>
    </row>
    <row r="5714">
      <c r="A5714" s="62" t="n">
        <v>46345</v>
      </c>
      <c r="B5714" s="3" t="inlineStr">
        <is>
          <t>Week</t>
        </is>
      </c>
      <c r="C5714" s="19" t="n">
        <v>11</v>
      </c>
      <c r="D5714" s="19" t="n">
        <v>2026</v>
      </c>
      <c r="E5714" s="57" t="n">
        <v>6</v>
      </c>
      <c r="F5714" s="29">
        <f>ROUND(((SUMIFS(Calendar!$F$2:$F$9997,Calendar!$B$2:$B$9997,D5714,Calendar!$C$2:$C$9997,C5714)*INDEX(ForeCalc!$B$37:$Y$274,MATCH(_xlfn.CONCAT(H5714," ",I5714),ForeCalc!$A$37:$A$274,0),MATCH(_xlfn.CONCAT(B5714," ",E5714),ForeCalc!$B$36:$Y$36,0))))*VLOOKUP(A5714,Calendar!$A$2:$H$9997,8,FALSE),0)</f>
        <v/>
      </c>
      <c r="G5714" s="29">
        <f>VLOOKUP(A5714,Calendar!$A$1:$H$9997,6,FALSE)-F5714</f>
        <v/>
      </c>
      <c r="H5714" s="19" t="n">
        <v>1</v>
      </c>
      <c r="I5714" s="57" t="n">
        <v>8</v>
      </c>
    </row>
    <row r="5715">
      <c r="A5715" s="62" t="n">
        <v>46346</v>
      </c>
      <c r="B5715" s="3" t="inlineStr">
        <is>
          <t>Week</t>
        </is>
      </c>
      <c r="C5715" s="19" t="n">
        <v>11</v>
      </c>
      <c r="D5715" s="19" t="n">
        <v>2026</v>
      </c>
      <c r="E5715" s="57" t="n">
        <v>6</v>
      </c>
      <c r="F5715" s="29">
        <f>ROUND(((SUMIFS(Calendar!$F$2:$F$9997,Calendar!$B$2:$B$9997,D5715,Calendar!$C$2:$C$9997,C5715)*INDEX(ForeCalc!$B$37:$Y$274,MATCH(_xlfn.CONCAT(H5715," ",I5715),ForeCalc!$A$37:$A$274,0),MATCH(_xlfn.CONCAT(B5715," ",E5715),ForeCalc!$B$36:$Y$36,0))))*VLOOKUP(A5715,Calendar!$A$2:$H$9997,8,FALSE),0)</f>
        <v/>
      </c>
      <c r="G5715" s="29">
        <f>VLOOKUP(A5715,Calendar!$A$1:$H$9997,6,FALSE)-F5715</f>
        <v/>
      </c>
      <c r="H5715" s="19" t="n">
        <v>1</v>
      </c>
      <c r="I5715" s="57" t="n">
        <v>8</v>
      </c>
    </row>
    <row r="5716">
      <c r="A5716" s="62" t="n">
        <v>46347</v>
      </c>
      <c r="B5716" s="3" t="inlineStr">
        <is>
          <t>Sat</t>
        </is>
      </c>
      <c r="C5716" s="19" t="n">
        <v>11</v>
      </c>
      <c r="D5716" s="19" t="n">
        <v>2026</v>
      </c>
      <c r="E5716" s="57" t="n">
        <v>6</v>
      </c>
      <c r="F5716" s="29">
        <f>ROUND(((SUMIFS(Calendar!$F$2:$F$9997,Calendar!$B$2:$B$9997,D5716,Calendar!$C$2:$C$9997,C5716)*INDEX(ForeCalc!$B$37:$Y$274,MATCH(_xlfn.CONCAT(H5716," ",I5716),ForeCalc!$A$37:$A$274,0),MATCH(_xlfn.CONCAT(B5716," ",E5716),ForeCalc!$B$36:$Y$36,0))))*VLOOKUP(A5716,Calendar!$A$2:$H$9997,8,FALSE),0)</f>
        <v/>
      </c>
      <c r="G5716" s="29">
        <f>VLOOKUP(A5716,Calendar!$A$1:$H$9997,6,FALSE)-F5716</f>
        <v/>
      </c>
      <c r="H5716" s="19" t="n">
        <v>1</v>
      </c>
      <c r="I5716" s="57" t="n">
        <v>8</v>
      </c>
    </row>
    <row r="5717">
      <c r="A5717" s="62" t="n">
        <v>46348</v>
      </c>
      <c r="B5717" s="3" t="inlineStr">
        <is>
          <t>Sun</t>
        </is>
      </c>
      <c r="C5717" s="19" t="n">
        <v>11</v>
      </c>
      <c r="D5717" s="19" t="n">
        <v>2026</v>
      </c>
      <c r="E5717" s="57" t="n">
        <v>6</v>
      </c>
      <c r="F5717" s="29">
        <f>ROUND(((SUMIFS(Calendar!$F$2:$F$9997,Calendar!$B$2:$B$9997,D5717,Calendar!$C$2:$C$9997,C5717)*INDEX(ForeCalc!$B$37:$Y$274,MATCH(_xlfn.CONCAT(H5717," ",I5717),ForeCalc!$A$37:$A$274,0),MATCH(_xlfn.CONCAT(B5717," ",E5717),ForeCalc!$B$36:$Y$36,0))))*VLOOKUP(A5717,Calendar!$A$2:$H$9997,8,FALSE),0)</f>
        <v/>
      </c>
      <c r="G5717" s="29">
        <f>VLOOKUP(A5717,Calendar!$A$1:$H$9997,6,FALSE)-F5717</f>
        <v/>
      </c>
      <c r="H5717" s="19" t="n">
        <v>1</v>
      </c>
      <c r="I5717" s="57" t="n">
        <v>8</v>
      </c>
    </row>
    <row r="5718">
      <c r="A5718" s="62" t="n">
        <v>46349</v>
      </c>
      <c r="B5718" s="3" t="inlineStr">
        <is>
          <t>Week</t>
        </is>
      </c>
      <c r="C5718" s="19" t="n">
        <v>11</v>
      </c>
      <c r="D5718" s="19" t="n">
        <v>2026</v>
      </c>
      <c r="E5718" s="57" t="n">
        <v>6</v>
      </c>
      <c r="F5718" s="29">
        <f>ROUND(((SUMIFS(Calendar!$F$2:$F$9997,Calendar!$B$2:$B$9997,D5718,Calendar!$C$2:$C$9997,C5718)*INDEX(ForeCalc!$B$37:$Y$274,MATCH(_xlfn.CONCAT(H5718," ",I5718),ForeCalc!$A$37:$A$274,0),MATCH(_xlfn.CONCAT(B5718," ",E5718),ForeCalc!$B$36:$Y$36,0))))*VLOOKUP(A5718,Calendar!$A$2:$H$9997,8,FALSE),0)</f>
        <v/>
      </c>
      <c r="G5718" s="29">
        <f>VLOOKUP(A5718,Calendar!$A$1:$H$9997,6,FALSE)-F5718</f>
        <v/>
      </c>
      <c r="H5718" s="19" t="n">
        <v>1</v>
      </c>
      <c r="I5718" s="57" t="n">
        <v>8</v>
      </c>
    </row>
    <row r="5719">
      <c r="A5719" s="62" t="n">
        <v>46350</v>
      </c>
      <c r="B5719" s="3" t="inlineStr">
        <is>
          <t>Week</t>
        </is>
      </c>
      <c r="C5719" s="19" t="n">
        <v>11</v>
      </c>
      <c r="D5719" s="19" t="n">
        <v>2026</v>
      </c>
      <c r="E5719" s="57" t="n">
        <v>6</v>
      </c>
      <c r="F5719" s="29">
        <f>ROUND(((SUMIFS(Calendar!$F$2:$F$9997,Calendar!$B$2:$B$9997,D5719,Calendar!$C$2:$C$9997,C5719)*INDEX(ForeCalc!$B$37:$Y$274,MATCH(_xlfn.CONCAT(H5719," ",I5719),ForeCalc!$A$37:$A$274,0),MATCH(_xlfn.CONCAT(B5719," ",E5719),ForeCalc!$B$36:$Y$36,0))))*VLOOKUP(A5719,Calendar!$A$2:$H$9997,8,FALSE),0)</f>
        <v/>
      </c>
      <c r="G5719" s="29">
        <f>VLOOKUP(A5719,Calendar!$A$1:$H$9997,6,FALSE)-F5719</f>
        <v/>
      </c>
      <c r="H5719" s="19" t="n">
        <v>1</v>
      </c>
      <c r="I5719" s="57" t="n">
        <v>8</v>
      </c>
    </row>
    <row r="5720">
      <c r="A5720" s="62" t="n">
        <v>46351</v>
      </c>
      <c r="B5720" s="3" t="inlineStr">
        <is>
          <t>Week</t>
        </is>
      </c>
      <c r="C5720" s="19" t="n">
        <v>11</v>
      </c>
      <c r="D5720" s="19" t="n">
        <v>2026</v>
      </c>
      <c r="E5720" s="57" t="n">
        <v>6</v>
      </c>
      <c r="F5720" s="29">
        <f>ROUND(((SUMIFS(Calendar!$F$2:$F$9997,Calendar!$B$2:$B$9997,D5720,Calendar!$C$2:$C$9997,C5720)*INDEX(ForeCalc!$B$37:$Y$274,MATCH(_xlfn.CONCAT(H5720," ",I5720),ForeCalc!$A$37:$A$274,0),MATCH(_xlfn.CONCAT(B5720," ",E5720),ForeCalc!$B$36:$Y$36,0))))*VLOOKUP(A5720,Calendar!$A$2:$H$9997,8,FALSE),0)</f>
        <v/>
      </c>
      <c r="G5720" s="29">
        <f>VLOOKUP(A5720,Calendar!$A$1:$H$9997,6,FALSE)-F5720</f>
        <v/>
      </c>
      <c r="H5720" s="19" t="n">
        <v>1</v>
      </c>
      <c r="I5720" s="57" t="n">
        <v>8</v>
      </c>
    </row>
    <row r="5721">
      <c r="A5721" s="62" t="n">
        <v>46352</v>
      </c>
      <c r="B5721" s="3" t="inlineStr">
        <is>
          <t>Week</t>
        </is>
      </c>
      <c r="C5721" s="19" t="n">
        <v>11</v>
      </c>
      <c r="D5721" s="19" t="n">
        <v>2026</v>
      </c>
      <c r="E5721" s="57" t="n">
        <v>6</v>
      </c>
      <c r="F5721" s="29">
        <f>ROUND(((SUMIFS(Calendar!$F$2:$F$9997,Calendar!$B$2:$B$9997,D5721,Calendar!$C$2:$C$9997,C5721)*INDEX(ForeCalc!$B$37:$Y$274,MATCH(_xlfn.CONCAT(H5721," ",I5721),ForeCalc!$A$37:$A$274,0),MATCH(_xlfn.CONCAT(B5721," ",E5721),ForeCalc!$B$36:$Y$36,0))))*VLOOKUP(A5721,Calendar!$A$2:$H$9997,8,FALSE),0)</f>
        <v/>
      </c>
      <c r="G5721" s="29">
        <f>VLOOKUP(A5721,Calendar!$A$1:$H$9997,6,FALSE)-F5721</f>
        <v/>
      </c>
      <c r="H5721" s="19" t="n">
        <v>1</v>
      </c>
      <c r="I5721" s="57" t="n">
        <v>8</v>
      </c>
    </row>
    <row r="5722">
      <c r="A5722" s="62" t="n">
        <v>46353</v>
      </c>
      <c r="B5722" s="3" t="inlineStr">
        <is>
          <t>Week</t>
        </is>
      </c>
      <c r="C5722" s="19" t="n">
        <v>11</v>
      </c>
      <c r="D5722" s="19" t="n">
        <v>2026</v>
      </c>
      <c r="E5722" s="57" t="n">
        <v>6</v>
      </c>
      <c r="F5722" s="29">
        <f>ROUND(((SUMIFS(Calendar!$F$2:$F$9997,Calendar!$B$2:$B$9997,D5722,Calendar!$C$2:$C$9997,C5722)*INDEX(ForeCalc!$B$37:$Y$274,MATCH(_xlfn.CONCAT(H5722," ",I5722),ForeCalc!$A$37:$A$274,0),MATCH(_xlfn.CONCAT(B5722," ",E5722),ForeCalc!$B$36:$Y$36,0))))*VLOOKUP(A5722,Calendar!$A$2:$H$9997,8,FALSE),0)</f>
        <v/>
      </c>
      <c r="G5722" s="29">
        <f>VLOOKUP(A5722,Calendar!$A$1:$H$9997,6,FALSE)-F5722</f>
        <v/>
      </c>
      <c r="H5722" s="19" t="n">
        <v>1</v>
      </c>
      <c r="I5722" s="57" t="n">
        <v>8</v>
      </c>
    </row>
    <row r="5723">
      <c r="A5723" s="62" t="n">
        <v>46354</v>
      </c>
      <c r="B5723" s="3" t="inlineStr">
        <is>
          <t>Sat</t>
        </is>
      </c>
      <c r="C5723" s="19" t="n">
        <v>11</v>
      </c>
      <c r="D5723" s="19" t="n">
        <v>2026</v>
      </c>
      <c r="E5723" s="57" t="n">
        <v>6</v>
      </c>
      <c r="F5723" s="29">
        <f>ROUND(((SUMIFS(Calendar!$F$2:$F$9997,Calendar!$B$2:$B$9997,D5723,Calendar!$C$2:$C$9997,C5723)*INDEX(ForeCalc!$B$37:$Y$274,MATCH(_xlfn.CONCAT(H5723," ",I5723),ForeCalc!$A$37:$A$274,0),MATCH(_xlfn.CONCAT(B5723," ",E5723),ForeCalc!$B$36:$Y$36,0))))*VLOOKUP(A5723,Calendar!$A$2:$H$9997,8,FALSE),0)</f>
        <v/>
      </c>
      <c r="G5723" s="29">
        <f>VLOOKUP(A5723,Calendar!$A$1:$H$9997,6,FALSE)-F5723</f>
        <v/>
      </c>
      <c r="H5723" s="19" t="n">
        <v>1</v>
      </c>
      <c r="I5723" s="57" t="n">
        <v>8</v>
      </c>
    </row>
    <row r="5724">
      <c r="A5724" s="62" t="n">
        <v>46355</v>
      </c>
      <c r="B5724" s="3" t="inlineStr">
        <is>
          <t>Sun</t>
        </is>
      </c>
      <c r="C5724" s="19" t="n">
        <v>11</v>
      </c>
      <c r="D5724" s="19" t="n">
        <v>2026</v>
      </c>
      <c r="E5724" s="57" t="n">
        <v>6</v>
      </c>
      <c r="F5724" s="29">
        <f>ROUND(((SUMIFS(Calendar!$F$2:$F$9997,Calendar!$B$2:$B$9997,D5724,Calendar!$C$2:$C$9997,C5724)*INDEX(ForeCalc!$B$37:$Y$274,MATCH(_xlfn.CONCAT(H5724," ",I5724),ForeCalc!$A$37:$A$274,0),MATCH(_xlfn.CONCAT(B5724," ",E5724),ForeCalc!$B$36:$Y$36,0))))*VLOOKUP(A5724,Calendar!$A$2:$H$9997,8,FALSE),0)</f>
        <v/>
      </c>
      <c r="G5724" s="29">
        <f>VLOOKUP(A5724,Calendar!$A$1:$H$9997,6,FALSE)-F5724</f>
        <v/>
      </c>
      <c r="H5724" s="19" t="n">
        <v>1</v>
      </c>
      <c r="I5724" s="57" t="n">
        <v>8</v>
      </c>
    </row>
    <row r="5725">
      <c r="A5725" s="62" t="n">
        <v>46356</v>
      </c>
      <c r="B5725" s="3" t="inlineStr">
        <is>
          <t>Week</t>
        </is>
      </c>
      <c r="C5725" s="19" t="n">
        <v>11</v>
      </c>
      <c r="D5725" s="19" t="n">
        <v>2026</v>
      </c>
      <c r="E5725" s="57" t="n">
        <v>6</v>
      </c>
      <c r="F5725" s="29">
        <f>ROUND(((SUMIFS(Calendar!$F$2:$F$9997,Calendar!$B$2:$B$9997,D5725,Calendar!$C$2:$C$9997,C5725)*INDEX(ForeCalc!$B$37:$Y$274,MATCH(_xlfn.CONCAT(H5725," ",I5725),ForeCalc!$A$37:$A$274,0),MATCH(_xlfn.CONCAT(B5725," ",E5725),ForeCalc!$B$36:$Y$36,0))))*VLOOKUP(A5725,Calendar!$A$2:$H$9997,8,FALSE),0)</f>
        <v/>
      </c>
      <c r="G5725" s="29">
        <f>VLOOKUP(A5725,Calendar!$A$1:$H$9997,6,FALSE)-F5725</f>
        <v/>
      </c>
      <c r="H5725" s="19" t="n">
        <v>1</v>
      </c>
      <c r="I5725" s="57" t="n">
        <v>8</v>
      </c>
    </row>
    <row r="5726">
      <c r="A5726" s="62" t="n">
        <v>46357</v>
      </c>
      <c r="B5726" s="3" t="inlineStr">
        <is>
          <t>Week</t>
        </is>
      </c>
      <c r="C5726" s="19" t="n">
        <v>12</v>
      </c>
      <c r="D5726" s="19" t="n">
        <v>2026</v>
      </c>
      <c r="E5726" s="57" t="n">
        <v>6</v>
      </c>
      <c r="F5726" s="29">
        <f>ROUND(((SUMIFS(Calendar!$F$2:$F$9997,Calendar!$B$2:$B$9997,D5726,Calendar!$C$2:$C$9997,C5726)*INDEX(ForeCalc!$B$37:$Y$274,MATCH(_xlfn.CONCAT(H5726," ",I5726),ForeCalc!$A$37:$A$274,0),MATCH(_xlfn.CONCAT(B5726," ",E5726),ForeCalc!$B$36:$Y$36,0))))*VLOOKUP(A5726,Calendar!$A$2:$H$9997,8,FALSE),0)</f>
        <v/>
      </c>
      <c r="G5726" s="29">
        <f>VLOOKUP(A5726,Calendar!$A$1:$H$9997,6,FALSE)-F5726</f>
        <v/>
      </c>
      <c r="H5726" s="19" t="n">
        <v>1</v>
      </c>
      <c r="I5726" s="57" t="n">
        <v>9</v>
      </c>
    </row>
    <row r="5727">
      <c r="A5727" s="62" t="n">
        <v>46358</v>
      </c>
      <c r="B5727" s="3" t="inlineStr">
        <is>
          <t>Week</t>
        </is>
      </c>
      <c r="C5727" s="19" t="n">
        <v>12</v>
      </c>
      <c r="D5727" s="19" t="n">
        <v>2026</v>
      </c>
      <c r="E5727" s="57" t="n">
        <v>6</v>
      </c>
      <c r="F5727" s="29">
        <f>ROUND(((SUMIFS(Calendar!$F$2:$F$9997,Calendar!$B$2:$B$9997,D5727,Calendar!$C$2:$C$9997,C5727)*INDEX(ForeCalc!$B$37:$Y$274,MATCH(_xlfn.CONCAT(H5727," ",I5727),ForeCalc!$A$37:$A$274,0),MATCH(_xlfn.CONCAT(B5727," ",E5727),ForeCalc!$B$36:$Y$36,0))))*VLOOKUP(A5727,Calendar!$A$2:$H$9997,8,FALSE),0)</f>
        <v/>
      </c>
      <c r="G5727" s="29">
        <f>VLOOKUP(A5727,Calendar!$A$1:$H$9997,6,FALSE)-F5727</f>
        <v/>
      </c>
      <c r="H5727" s="19" t="n">
        <v>1</v>
      </c>
      <c r="I5727" s="57" t="n">
        <v>9</v>
      </c>
    </row>
    <row r="5728">
      <c r="A5728" s="62" t="n">
        <v>46359</v>
      </c>
      <c r="B5728" s="3" t="inlineStr">
        <is>
          <t>Week</t>
        </is>
      </c>
      <c r="C5728" s="19" t="n">
        <v>12</v>
      </c>
      <c r="D5728" s="19" t="n">
        <v>2026</v>
      </c>
      <c r="E5728" s="57" t="n">
        <v>6</v>
      </c>
      <c r="F5728" s="29">
        <f>ROUND(((SUMIFS(Calendar!$F$2:$F$9997,Calendar!$B$2:$B$9997,D5728,Calendar!$C$2:$C$9997,C5728)*INDEX(ForeCalc!$B$37:$Y$274,MATCH(_xlfn.CONCAT(H5728," ",I5728),ForeCalc!$A$37:$A$274,0),MATCH(_xlfn.CONCAT(B5728," ",E5728),ForeCalc!$B$36:$Y$36,0))))*VLOOKUP(A5728,Calendar!$A$2:$H$9997,8,FALSE),0)</f>
        <v/>
      </c>
      <c r="G5728" s="29">
        <f>VLOOKUP(A5728,Calendar!$A$1:$H$9997,6,FALSE)-F5728</f>
        <v/>
      </c>
      <c r="H5728" s="19" t="n">
        <v>1</v>
      </c>
      <c r="I5728" s="57" t="n">
        <v>9</v>
      </c>
    </row>
    <row r="5729">
      <c r="A5729" s="62" t="n">
        <v>46360</v>
      </c>
      <c r="B5729" s="3" t="inlineStr">
        <is>
          <t>Week</t>
        </is>
      </c>
      <c r="C5729" s="19" t="n">
        <v>12</v>
      </c>
      <c r="D5729" s="19" t="n">
        <v>2026</v>
      </c>
      <c r="E5729" s="57" t="n">
        <v>6</v>
      </c>
      <c r="F5729" s="29">
        <f>ROUND(((SUMIFS(Calendar!$F$2:$F$9997,Calendar!$B$2:$B$9997,D5729,Calendar!$C$2:$C$9997,C5729)*INDEX(ForeCalc!$B$37:$Y$274,MATCH(_xlfn.CONCAT(H5729," ",I5729),ForeCalc!$A$37:$A$274,0),MATCH(_xlfn.CONCAT(B5729," ",E5729),ForeCalc!$B$36:$Y$36,0))))*VLOOKUP(A5729,Calendar!$A$2:$H$9997,8,FALSE),0)</f>
        <v/>
      </c>
      <c r="G5729" s="29">
        <f>VLOOKUP(A5729,Calendar!$A$1:$H$9997,6,FALSE)-F5729</f>
        <v/>
      </c>
      <c r="H5729" s="19" t="n">
        <v>1</v>
      </c>
      <c r="I5729" s="57" t="n">
        <v>9</v>
      </c>
    </row>
    <row r="5730">
      <c r="A5730" s="62" t="n">
        <v>46361</v>
      </c>
      <c r="B5730" s="3" t="inlineStr">
        <is>
          <t>Sat</t>
        </is>
      </c>
      <c r="C5730" s="19" t="n">
        <v>12</v>
      </c>
      <c r="D5730" s="19" t="n">
        <v>2026</v>
      </c>
      <c r="E5730" s="57" t="n">
        <v>6</v>
      </c>
      <c r="F5730" s="29">
        <f>ROUND(((SUMIFS(Calendar!$F$2:$F$9997,Calendar!$B$2:$B$9997,D5730,Calendar!$C$2:$C$9997,C5730)*INDEX(ForeCalc!$B$37:$Y$274,MATCH(_xlfn.CONCAT(H5730," ",I5730),ForeCalc!$A$37:$A$274,0),MATCH(_xlfn.CONCAT(B5730," ",E5730),ForeCalc!$B$36:$Y$36,0))))*VLOOKUP(A5730,Calendar!$A$2:$H$9997,8,FALSE),0)</f>
        <v/>
      </c>
      <c r="G5730" s="29">
        <f>VLOOKUP(A5730,Calendar!$A$1:$H$9997,6,FALSE)-F5730</f>
        <v/>
      </c>
      <c r="H5730" s="19" t="n">
        <v>1</v>
      </c>
      <c r="I5730" s="57" t="n">
        <v>9</v>
      </c>
    </row>
    <row r="5731">
      <c r="A5731" s="62" t="n">
        <v>46362</v>
      </c>
      <c r="B5731" s="3" t="inlineStr">
        <is>
          <t>Sun</t>
        </is>
      </c>
      <c r="C5731" s="19" t="n">
        <v>12</v>
      </c>
      <c r="D5731" s="19" t="n">
        <v>2026</v>
      </c>
      <c r="E5731" s="57" t="n">
        <v>6</v>
      </c>
      <c r="F5731" s="29">
        <f>ROUND(((SUMIFS(Calendar!$F$2:$F$9997,Calendar!$B$2:$B$9997,D5731,Calendar!$C$2:$C$9997,C5731)*INDEX(ForeCalc!$B$37:$Y$274,MATCH(_xlfn.CONCAT(H5731," ",I5731),ForeCalc!$A$37:$A$274,0),MATCH(_xlfn.CONCAT(B5731," ",E5731),ForeCalc!$B$36:$Y$36,0))))*VLOOKUP(A5731,Calendar!$A$2:$H$9997,8,FALSE),0)</f>
        <v/>
      </c>
      <c r="G5731" s="29">
        <f>VLOOKUP(A5731,Calendar!$A$1:$H$9997,6,FALSE)-F5731</f>
        <v/>
      </c>
      <c r="H5731" s="19" t="n">
        <v>1</v>
      </c>
      <c r="I5731" s="57" t="n">
        <v>9</v>
      </c>
    </row>
    <row r="5732">
      <c r="A5732" s="62" t="n">
        <v>46363</v>
      </c>
      <c r="B5732" s="3" t="inlineStr">
        <is>
          <t>Week</t>
        </is>
      </c>
      <c r="C5732" s="19" t="n">
        <v>12</v>
      </c>
      <c r="D5732" s="19" t="n">
        <v>2026</v>
      </c>
      <c r="E5732" s="57" t="n">
        <v>6</v>
      </c>
      <c r="F5732" s="29">
        <f>ROUND(((SUMIFS(Calendar!$F$2:$F$9997,Calendar!$B$2:$B$9997,D5732,Calendar!$C$2:$C$9997,C5732)*INDEX(ForeCalc!$B$37:$Y$274,MATCH(_xlfn.CONCAT(H5732," ",I5732),ForeCalc!$A$37:$A$274,0),MATCH(_xlfn.CONCAT(B5732," ",E5732),ForeCalc!$B$36:$Y$36,0))))*VLOOKUP(A5732,Calendar!$A$2:$H$9997,8,FALSE),0)</f>
        <v/>
      </c>
      <c r="G5732" s="29">
        <f>VLOOKUP(A5732,Calendar!$A$1:$H$9997,6,FALSE)-F5732</f>
        <v/>
      </c>
      <c r="H5732" s="19" t="n">
        <v>1</v>
      </c>
      <c r="I5732" s="57" t="n">
        <v>9</v>
      </c>
    </row>
    <row r="5733">
      <c r="A5733" s="62" t="n">
        <v>46364</v>
      </c>
      <c r="B5733" s="3" t="inlineStr">
        <is>
          <t>Week</t>
        </is>
      </c>
      <c r="C5733" s="19" t="n">
        <v>12</v>
      </c>
      <c r="D5733" s="19" t="n">
        <v>2026</v>
      </c>
      <c r="E5733" s="57" t="n">
        <v>6</v>
      </c>
      <c r="F5733" s="29">
        <f>ROUND(((SUMIFS(Calendar!$F$2:$F$9997,Calendar!$B$2:$B$9997,D5733,Calendar!$C$2:$C$9997,C5733)*INDEX(ForeCalc!$B$37:$Y$274,MATCH(_xlfn.CONCAT(H5733," ",I5733),ForeCalc!$A$37:$A$274,0),MATCH(_xlfn.CONCAT(B5733," ",E5733),ForeCalc!$B$36:$Y$36,0))))*VLOOKUP(A5733,Calendar!$A$2:$H$9997,8,FALSE),0)</f>
        <v/>
      </c>
      <c r="G5733" s="29">
        <f>VLOOKUP(A5733,Calendar!$A$1:$H$9997,6,FALSE)-F5733</f>
        <v/>
      </c>
      <c r="H5733" s="19" t="n">
        <v>1</v>
      </c>
      <c r="I5733" s="57" t="n">
        <v>9</v>
      </c>
    </row>
    <row r="5734">
      <c r="A5734" s="62" t="n">
        <v>46365</v>
      </c>
      <c r="B5734" s="3" t="inlineStr">
        <is>
          <t>Week</t>
        </is>
      </c>
      <c r="C5734" s="19" t="n">
        <v>12</v>
      </c>
      <c r="D5734" s="19" t="n">
        <v>2026</v>
      </c>
      <c r="E5734" s="57" t="n">
        <v>6</v>
      </c>
      <c r="F5734" s="29">
        <f>ROUND(((SUMIFS(Calendar!$F$2:$F$9997,Calendar!$B$2:$B$9997,D5734,Calendar!$C$2:$C$9997,C5734)*INDEX(ForeCalc!$B$37:$Y$274,MATCH(_xlfn.CONCAT(H5734," ",I5734),ForeCalc!$A$37:$A$274,0),MATCH(_xlfn.CONCAT(B5734," ",E5734),ForeCalc!$B$36:$Y$36,0))))*VLOOKUP(A5734,Calendar!$A$2:$H$9997,8,FALSE),0)</f>
        <v/>
      </c>
      <c r="G5734" s="29">
        <f>VLOOKUP(A5734,Calendar!$A$1:$H$9997,6,FALSE)-F5734</f>
        <v/>
      </c>
      <c r="H5734" s="19" t="n">
        <v>1</v>
      </c>
      <c r="I5734" s="57" t="n">
        <v>9</v>
      </c>
    </row>
    <row r="5735">
      <c r="A5735" s="62" t="n">
        <v>46366</v>
      </c>
      <c r="B5735" s="3" t="inlineStr">
        <is>
          <t>Week</t>
        </is>
      </c>
      <c r="C5735" s="19" t="n">
        <v>12</v>
      </c>
      <c r="D5735" s="19" t="n">
        <v>2026</v>
      </c>
      <c r="E5735" s="57" t="n">
        <v>6</v>
      </c>
      <c r="F5735" s="29">
        <f>ROUND(((SUMIFS(Calendar!$F$2:$F$9997,Calendar!$B$2:$B$9997,D5735,Calendar!$C$2:$C$9997,C5735)*INDEX(ForeCalc!$B$37:$Y$274,MATCH(_xlfn.CONCAT(H5735," ",I5735),ForeCalc!$A$37:$A$274,0),MATCH(_xlfn.CONCAT(B5735," ",E5735),ForeCalc!$B$36:$Y$36,0))))*VLOOKUP(A5735,Calendar!$A$2:$H$9997,8,FALSE),0)</f>
        <v/>
      </c>
      <c r="G5735" s="29">
        <f>VLOOKUP(A5735,Calendar!$A$1:$H$9997,6,FALSE)-F5735</f>
        <v/>
      </c>
      <c r="H5735" s="19" t="n">
        <v>1</v>
      </c>
      <c r="I5735" s="57" t="n">
        <v>9</v>
      </c>
    </row>
    <row r="5736">
      <c r="A5736" s="62" t="n">
        <v>46367</v>
      </c>
      <c r="B5736" s="3" t="inlineStr">
        <is>
          <t>Week</t>
        </is>
      </c>
      <c r="C5736" s="19" t="n">
        <v>12</v>
      </c>
      <c r="D5736" s="19" t="n">
        <v>2026</v>
      </c>
      <c r="E5736" s="57" t="n">
        <v>6</v>
      </c>
      <c r="F5736" s="29">
        <f>ROUND(((SUMIFS(Calendar!$F$2:$F$9997,Calendar!$B$2:$B$9997,D5736,Calendar!$C$2:$C$9997,C5736)*INDEX(ForeCalc!$B$37:$Y$274,MATCH(_xlfn.CONCAT(H5736," ",I5736),ForeCalc!$A$37:$A$274,0),MATCH(_xlfn.CONCAT(B5736," ",E5736),ForeCalc!$B$36:$Y$36,0))))*VLOOKUP(A5736,Calendar!$A$2:$H$9997,8,FALSE),0)</f>
        <v/>
      </c>
      <c r="G5736" s="29">
        <f>VLOOKUP(A5736,Calendar!$A$1:$H$9997,6,FALSE)-F5736</f>
        <v/>
      </c>
      <c r="H5736" s="19" t="n">
        <v>1</v>
      </c>
      <c r="I5736" s="57" t="n">
        <v>9</v>
      </c>
    </row>
    <row r="5737">
      <c r="A5737" s="62" t="n">
        <v>46368</v>
      </c>
      <c r="B5737" s="3" t="inlineStr">
        <is>
          <t>Sat</t>
        </is>
      </c>
      <c r="C5737" s="19" t="n">
        <v>12</v>
      </c>
      <c r="D5737" s="19" t="n">
        <v>2026</v>
      </c>
      <c r="E5737" s="57" t="n">
        <v>6</v>
      </c>
      <c r="F5737" s="29">
        <f>ROUND(((SUMIFS(Calendar!$F$2:$F$9997,Calendar!$B$2:$B$9997,D5737,Calendar!$C$2:$C$9997,C5737)*INDEX(ForeCalc!$B$37:$Y$274,MATCH(_xlfn.CONCAT(H5737," ",I5737),ForeCalc!$A$37:$A$274,0),MATCH(_xlfn.CONCAT(B5737," ",E5737),ForeCalc!$B$36:$Y$36,0))))*VLOOKUP(A5737,Calendar!$A$2:$H$9997,8,FALSE),0)</f>
        <v/>
      </c>
      <c r="G5737" s="29">
        <f>VLOOKUP(A5737,Calendar!$A$1:$H$9997,6,FALSE)-F5737</f>
        <v/>
      </c>
      <c r="H5737" s="19" t="n">
        <v>1</v>
      </c>
      <c r="I5737" s="57" t="n">
        <v>9</v>
      </c>
    </row>
    <row r="5738">
      <c r="A5738" s="62" t="n">
        <v>46369</v>
      </c>
      <c r="B5738" s="3" t="inlineStr">
        <is>
          <t>Sun</t>
        </is>
      </c>
      <c r="C5738" s="19" t="n">
        <v>12</v>
      </c>
      <c r="D5738" s="19" t="n">
        <v>2026</v>
      </c>
      <c r="E5738" s="57" t="n">
        <v>6</v>
      </c>
      <c r="F5738" s="29">
        <f>ROUND(((SUMIFS(Calendar!$F$2:$F$9997,Calendar!$B$2:$B$9997,D5738,Calendar!$C$2:$C$9997,C5738)*INDEX(ForeCalc!$B$37:$Y$274,MATCH(_xlfn.CONCAT(H5738," ",I5738),ForeCalc!$A$37:$A$274,0),MATCH(_xlfn.CONCAT(B5738," ",E5738),ForeCalc!$B$36:$Y$36,0))))*VLOOKUP(A5738,Calendar!$A$2:$H$9997,8,FALSE),0)</f>
        <v/>
      </c>
      <c r="G5738" s="29">
        <f>VLOOKUP(A5738,Calendar!$A$1:$H$9997,6,FALSE)-F5738</f>
        <v/>
      </c>
      <c r="H5738" s="19" t="n">
        <v>1</v>
      </c>
      <c r="I5738" s="57" t="n">
        <v>9</v>
      </c>
    </row>
    <row r="5739">
      <c r="A5739" s="62" t="n">
        <v>46370</v>
      </c>
      <c r="B5739" s="3" t="inlineStr">
        <is>
          <t>Week</t>
        </is>
      </c>
      <c r="C5739" s="19" t="n">
        <v>12</v>
      </c>
      <c r="D5739" s="19" t="n">
        <v>2026</v>
      </c>
      <c r="E5739" s="57" t="n">
        <v>6</v>
      </c>
      <c r="F5739" s="29">
        <f>ROUND(((SUMIFS(Calendar!$F$2:$F$9997,Calendar!$B$2:$B$9997,D5739,Calendar!$C$2:$C$9997,C5739)*INDEX(ForeCalc!$B$37:$Y$274,MATCH(_xlfn.CONCAT(H5739," ",I5739),ForeCalc!$A$37:$A$274,0),MATCH(_xlfn.CONCAT(B5739," ",E5739),ForeCalc!$B$36:$Y$36,0))))*VLOOKUP(A5739,Calendar!$A$2:$H$9997,8,FALSE),0)</f>
        <v/>
      </c>
      <c r="G5739" s="29">
        <f>VLOOKUP(A5739,Calendar!$A$1:$H$9997,6,FALSE)-F5739</f>
        <v/>
      </c>
      <c r="H5739" s="19" t="n">
        <v>1</v>
      </c>
      <c r="I5739" s="57" t="n">
        <v>9</v>
      </c>
    </row>
    <row r="5740">
      <c r="A5740" s="62" t="n">
        <v>46371</v>
      </c>
      <c r="B5740" s="3" t="inlineStr">
        <is>
          <t>Week</t>
        </is>
      </c>
      <c r="C5740" s="19" t="n">
        <v>12</v>
      </c>
      <c r="D5740" s="19" t="n">
        <v>2026</v>
      </c>
      <c r="E5740" s="57" t="n">
        <v>6</v>
      </c>
      <c r="F5740" s="29">
        <f>ROUND(((SUMIFS(Calendar!$F$2:$F$9997,Calendar!$B$2:$B$9997,D5740,Calendar!$C$2:$C$9997,C5740)*INDEX(ForeCalc!$B$37:$Y$274,MATCH(_xlfn.CONCAT(H5740," ",I5740),ForeCalc!$A$37:$A$274,0),MATCH(_xlfn.CONCAT(B5740," ",E5740),ForeCalc!$B$36:$Y$36,0))))*VLOOKUP(A5740,Calendar!$A$2:$H$9997,8,FALSE),0)</f>
        <v/>
      </c>
      <c r="G5740" s="29">
        <f>VLOOKUP(A5740,Calendar!$A$1:$H$9997,6,FALSE)-F5740</f>
        <v/>
      </c>
      <c r="H5740" s="19" t="n">
        <v>1</v>
      </c>
      <c r="I5740" s="57" t="n">
        <v>9</v>
      </c>
    </row>
    <row r="5741">
      <c r="A5741" s="62" t="n">
        <v>46372</v>
      </c>
      <c r="B5741" s="3" t="inlineStr">
        <is>
          <t>Week</t>
        </is>
      </c>
      <c r="C5741" s="19" t="n">
        <v>12</v>
      </c>
      <c r="D5741" s="19" t="n">
        <v>2026</v>
      </c>
      <c r="E5741" s="57" t="n">
        <v>6</v>
      </c>
      <c r="F5741" s="29">
        <f>ROUND(((SUMIFS(Calendar!$F$2:$F$9997,Calendar!$B$2:$B$9997,D5741,Calendar!$C$2:$C$9997,C5741)*INDEX(ForeCalc!$B$37:$Y$274,MATCH(_xlfn.CONCAT(H5741," ",I5741),ForeCalc!$A$37:$A$274,0),MATCH(_xlfn.CONCAT(B5741," ",E5741),ForeCalc!$B$36:$Y$36,0))))*VLOOKUP(A5741,Calendar!$A$2:$H$9997,8,FALSE),0)</f>
        <v/>
      </c>
      <c r="G5741" s="29">
        <f>VLOOKUP(A5741,Calendar!$A$1:$H$9997,6,FALSE)-F5741</f>
        <v/>
      </c>
      <c r="H5741" s="19" t="n">
        <v>1</v>
      </c>
      <c r="I5741" s="57" t="n">
        <v>9</v>
      </c>
    </row>
    <row r="5742">
      <c r="A5742" s="62" t="n">
        <v>46373</v>
      </c>
      <c r="B5742" s="3" t="inlineStr">
        <is>
          <t>Week</t>
        </is>
      </c>
      <c r="C5742" s="19" t="n">
        <v>12</v>
      </c>
      <c r="D5742" s="19" t="n">
        <v>2026</v>
      </c>
      <c r="E5742" s="57" t="n">
        <v>6</v>
      </c>
      <c r="F5742" s="29">
        <f>ROUND(((SUMIFS(Calendar!$F$2:$F$9997,Calendar!$B$2:$B$9997,D5742,Calendar!$C$2:$C$9997,C5742)*INDEX(ForeCalc!$B$37:$Y$274,MATCH(_xlfn.CONCAT(H5742," ",I5742),ForeCalc!$A$37:$A$274,0),MATCH(_xlfn.CONCAT(B5742," ",E5742),ForeCalc!$B$36:$Y$36,0))))*VLOOKUP(A5742,Calendar!$A$2:$H$9997,8,FALSE),0)</f>
        <v/>
      </c>
      <c r="G5742" s="29">
        <f>VLOOKUP(A5742,Calendar!$A$1:$H$9997,6,FALSE)-F5742</f>
        <v/>
      </c>
      <c r="H5742" s="19" t="n">
        <v>1</v>
      </c>
      <c r="I5742" s="57" t="n">
        <v>9</v>
      </c>
    </row>
    <row r="5743">
      <c r="A5743" s="62" t="n">
        <v>46374</v>
      </c>
      <c r="B5743" s="3" t="inlineStr">
        <is>
          <t>Week</t>
        </is>
      </c>
      <c r="C5743" s="19" t="n">
        <v>12</v>
      </c>
      <c r="D5743" s="19" t="n">
        <v>2026</v>
      </c>
      <c r="E5743" s="57" t="n">
        <v>6</v>
      </c>
      <c r="F5743" s="29">
        <f>ROUND(((SUMIFS(Calendar!$F$2:$F$9997,Calendar!$B$2:$B$9997,D5743,Calendar!$C$2:$C$9997,C5743)*INDEX(ForeCalc!$B$37:$Y$274,MATCH(_xlfn.CONCAT(H5743," ",I5743),ForeCalc!$A$37:$A$274,0),MATCH(_xlfn.CONCAT(B5743," ",E5743),ForeCalc!$B$36:$Y$36,0))))*VLOOKUP(A5743,Calendar!$A$2:$H$9997,8,FALSE),0)</f>
        <v/>
      </c>
      <c r="G5743" s="29">
        <f>VLOOKUP(A5743,Calendar!$A$1:$H$9997,6,FALSE)-F5743</f>
        <v/>
      </c>
      <c r="H5743" s="19" t="n">
        <v>1</v>
      </c>
      <c r="I5743" s="57" t="n">
        <v>9</v>
      </c>
    </row>
    <row r="5744">
      <c r="A5744" s="62" t="n">
        <v>46375</v>
      </c>
      <c r="B5744" s="3" t="inlineStr">
        <is>
          <t>Sat</t>
        </is>
      </c>
      <c r="C5744" s="19" t="n">
        <v>12</v>
      </c>
      <c r="D5744" s="19" t="n">
        <v>2026</v>
      </c>
      <c r="E5744" s="57" t="n">
        <v>6</v>
      </c>
      <c r="F5744" s="29">
        <f>ROUND(((SUMIFS(Calendar!$F$2:$F$9997,Calendar!$B$2:$B$9997,D5744,Calendar!$C$2:$C$9997,C5744)*INDEX(ForeCalc!$B$37:$Y$274,MATCH(_xlfn.CONCAT(H5744," ",I5744),ForeCalc!$A$37:$A$274,0),MATCH(_xlfn.CONCAT(B5744," ",E5744),ForeCalc!$B$36:$Y$36,0))))*VLOOKUP(A5744,Calendar!$A$2:$H$9997,8,FALSE),0)</f>
        <v/>
      </c>
      <c r="G5744" s="29">
        <f>VLOOKUP(A5744,Calendar!$A$1:$H$9997,6,FALSE)-F5744</f>
        <v/>
      </c>
      <c r="H5744" s="19" t="n">
        <v>1</v>
      </c>
      <c r="I5744" s="57" t="n">
        <v>9</v>
      </c>
    </row>
    <row r="5745">
      <c r="A5745" s="62" t="n">
        <v>46376</v>
      </c>
      <c r="B5745" s="3" t="inlineStr">
        <is>
          <t>Sun</t>
        </is>
      </c>
      <c r="C5745" s="19" t="n">
        <v>12</v>
      </c>
      <c r="D5745" s="19" t="n">
        <v>2026</v>
      </c>
      <c r="E5745" s="57" t="n">
        <v>6</v>
      </c>
      <c r="F5745" s="29">
        <f>ROUND(((SUMIFS(Calendar!$F$2:$F$9997,Calendar!$B$2:$B$9997,D5745,Calendar!$C$2:$C$9997,C5745)*INDEX(ForeCalc!$B$37:$Y$274,MATCH(_xlfn.CONCAT(H5745," ",I5745),ForeCalc!$A$37:$A$274,0),MATCH(_xlfn.CONCAT(B5745," ",E5745),ForeCalc!$B$36:$Y$36,0))))*VLOOKUP(A5745,Calendar!$A$2:$H$9997,8,FALSE),0)</f>
        <v/>
      </c>
      <c r="G5745" s="29">
        <f>VLOOKUP(A5745,Calendar!$A$1:$H$9997,6,FALSE)-F5745</f>
        <v/>
      </c>
      <c r="H5745" s="19" t="n">
        <v>1</v>
      </c>
      <c r="I5745" s="57" t="n">
        <v>9</v>
      </c>
    </row>
    <row r="5746">
      <c r="A5746" s="62" t="n">
        <v>46377</v>
      </c>
      <c r="B5746" s="3" t="inlineStr">
        <is>
          <t>Week</t>
        </is>
      </c>
      <c r="C5746" s="19" t="n">
        <v>12</v>
      </c>
      <c r="D5746" s="19" t="n">
        <v>2026</v>
      </c>
      <c r="E5746" s="57" t="n">
        <v>6</v>
      </c>
      <c r="F5746" s="29">
        <f>ROUND(((SUMIFS(Calendar!$F$2:$F$9997,Calendar!$B$2:$B$9997,D5746,Calendar!$C$2:$C$9997,C5746)*INDEX(ForeCalc!$B$37:$Y$274,MATCH(_xlfn.CONCAT(H5746," ",I5746),ForeCalc!$A$37:$A$274,0),MATCH(_xlfn.CONCAT(B5746," ",E5746),ForeCalc!$B$36:$Y$36,0))))*VLOOKUP(A5746,Calendar!$A$2:$H$9997,8,FALSE),0)</f>
        <v/>
      </c>
      <c r="G5746" s="29">
        <f>VLOOKUP(A5746,Calendar!$A$1:$H$9997,6,FALSE)-F5746</f>
        <v/>
      </c>
      <c r="H5746" s="19" t="n">
        <v>1</v>
      </c>
      <c r="I5746" s="57" t="n">
        <v>9</v>
      </c>
    </row>
    <row r="5747">
      <c r="A5747" s="62" t="n">
        <v>46378</v>
      </c>
      <c r="B5747" s="3" t="inlineStr">
        <is>
          <t>Week</t>
        </is>
      </c>
      <c r="C5747" s="19" t="n">
        <v>12</v>
      </c>
      <c r="D5747" s="19" t="n">
        <v>2026</v>
      </c>
      <c r="E5747" s="57" t="n">
        <v>6</v>
      </c>
      <c r="F5747" s="29">
        <f>ROUND(((SUMIFS(Calendar!$F$2:$F$9997,Calendar!$B$2:$B$9997,D5747,Calendar!$C$2:$C$9997,C5747)*INDEX(ForeCalc!$B$37:$Y$274,MATCH(_xlfn.CONCAT(H5747," ",I5747),ForeCalc!$A$37:$A$274,0),MATCH(_xlfn.CONCAT(B5747," ",E5747),ForeCalc!$B$36:$Y$36,0))))*VLOOKUP(A5747,Calendar!$A$2:$H$9997,8,FALSE),0)</f>
        <v/>
      </c>
      <c r="G5747" s="29">
        <f>VLOOKUP(A5747,Calendar!$A$1:$H$9997,6,FALSE)-F5747</f>
        <v/>
      </c>
      <c r="H5747" s="19" t="n">
        <v>1</v>
      </c>
      <c r="I5747" s="57" t="n">
        <v>9</v>
      </c>
    </row>
    <row r="5748">
      <c r="A5748" s="62" t="n">
        <v>46379</v>
      </c>
      <c r="B5748" s="3" t="inlineStr">
        <is>
          <t>Week</t>
        </is>
      </c>
      <c r="C5748" s="19" t="n">
        <v>12</v>
      </c>
      <c r="D5748" s="19" t="n">
        <v>2026</v>
      </c>
      <c r="E5748" s="57" t="n">
        <v>6</v>
      </c>
      <c r="F5748" s="29">
        <f>ROUND(((SUMIFS(Calendar!$F$2:$F$9997,Calendar!$B$2:$B$9997,D5748,Calendar!$C$2:$C$9997,C5748)*INDEX(ForeCalc!$B$37:$Y$274,MATCH(_xlfn.CONCAT(H5748," ",I5748),ForeCalc!$A$37:$A$274,0),MATCH(_xlfn.CONCAT(B5748," ",E5748),ForeCalc!$B$36:$Y$36,0))))*VLOOKUP(A5748,Calendar!$A$2:$H$9997,8,FALSE),0)</f>
        <v/>
      </c>
      <c r="G5748" s="29">
        <f>VLOOKUP(A5748,Calendar!$A$1:$H$9997,6,FALSE)-F5748</f>
        <v/>
      </c>
      <c r="H5748" s="19" t="n">
        <v>1</v>
      </c>
      <c r="I5748" s="57" t="n">
        <v>9</v>
      </c>
    </row>
    <row r="5749">
      <c r="A5749" s="62" t="n">
        <v>46380</v>
      </c>
      <c r="B5749" s="3" t="inlineStr">
        <is>
          <t>Week</t>
        </is>
      </c>
      <c r="C5749" s="19" t="n">
        <v>12</v>
      </c>
      <c r="D5749" s="19" t="n">
        <v>2026</v>
      </c>
      <c r="E5749" s="57" t="n">
        <v>6</v>
      </c>
      <c r="F5749" s="29">
        <f>ROUND(((SUMIFS(Calendar!$F$2:$F$9997,Calendar!$B$2:$B$9997,D5749,Calendar!$C$2:$C$9997,C5749)*INDEX(ForeCalc!$B$37:$Y$274,MATCH(_xlfn.CONCAT(H5749," ",I5749),ForeCalc!$A$37:$A$274,0),MATCH(_xlfn.CONCAT(B5749," ",E5749),ForeCalc!$B$36:$Y$36,0))))*VLOOKUP(A5749,Calendar!$A$2:$H$9997,8,FALSE),0)</f>
        <v/>
      </c>
      <c r="G5749" s="29">
        <f>VLOOKUP(A5749,Calendar!$A$1:$H$9997,6,FALSE)-F5749</f>
        <v/>
      </c>
      <c r="H5749" s="19" t="n">
        <v>1</v>
      </c>
      <c r="I5749" s="57" t="n">
        <v>9</v>
      </c>
    </row>
    <row r="5750">
      <c r="A5750" s="62" t="n">
        <v>46381</v>
      </c>
      <c r="B5750" s="3" t="inlineStr">
        <is>
          <t>Week</t>
        </is>
      </c>
      <c r="C5750" s="19" t="n">
        <v>12</v>
      </c>
      <c r="D5750" s="19" t="n">
        <v>2026</v>
      </c>
      <c r="E5750" s="57" t="n">
        <v>6</v>
      </c>
      <c r="F5750" s="29">
        <f>ROUND(((SUMIFS(Calendar!$F$2:$F$9997,Calendar!$B$2:$B$9997,D5750,Calendar!$C$2:$C$9997,C5750)*INDEX(ForeCalc!$B$37:$Y$274,MATCH(_xlfn.CONCAT(H5750," ",I5750),ForeCalc!$A$37:$A$274,0),MATCH(_xlfn.CONCAT(B5750," ",E5750),ForeCalc!$B$36:$Y$36,0))))*VLOOKUP(A5750,Calendar!$A$2:$H$9997,8,FALSE),0)</f>
        <v/>
      </c>
      <c r="G5750" s="29">
        <f>VLOOKUP(A5750,Calendar!$A$1:$H$9997,6,FALSE)-F5750</f>
        <v/>
      </c>
      <c r="H5750" s="19" t="n">
        <v>1</v>
      </c>
      <c r="I5750" s="57" t="n">
        <v>9</v>
      </c>
    </row>
    <row r="5751">
      <c r="A5751" s="62" t="n">
        <v>46382</v>
      </c>
      <c r="B5751" s="3" t="inlineStr">
        <is>
          <t>Sat</t>
        </is>
      </c>
      <c r="C5751" s="19" t="n">
        <v>12</v>
      </c>
      <c r="D5751" s="19" t="n">
        <v>2026</v>
      </c>
      <c r="E5751" s="57" t="n">
        <v>6</v>
      </c>
      <c r="F5751" s="29">
        <f>ROUND(((SUMIFS(Calendar!$F$2:$F$9997,Calendar!$B$2:$B$9997,D5751,Calendar!$C$2:$C$9997,C5751)*INDEX(ForeCalc!$B$37:$Y$274,MATCH(_xlfn.CONCAT(H5751," ",I5751),ForeCalc!$A$37:$A$274,0),MATCH(_xlfn.CONCAT(B5751," ",E5751),ForeCalc!$B$36:$Y$36,0))))*VLOOKUP(A5751,Calendar!$A$2:$H$9997,8,FALSE),0)</f>
        <v/>
      </c>
      <c r="G5751" s="29">
        <f>VLOOKUP(A5751,Calendar!$A$1:$H$9997,6,FALSE)-F5751</f>
        <v/>
      </c>
      <c r="H5751" s="19" t="n">
        <v>1</v>
      </c>
      <c r="I5751" s="57" t="n">
        <v>9</v>
      </c>
    </row>
    <row r="5752">
      <c r="A5752" s="62" t="n">
        <v>46383</v>
      </c>
      <c r="B5752" s="3" t="inlineStr">
        <is>
          <t>Sun</t>
        </is>
      </c>
      <c r="C5752" s="19" t="n">
        <v>12</v>
      </c>
      <c r="D5752" s="19" t="n">
        <v>2026</v>
      </c>
      <c r="E5752" s="57" t="n">
        <v>6</v>
      </c>
      <c r="F5752" s="29">
        <f>ROUND(((SUMIFS(Calendar!$F$2:$F$9997,Calendar!$B$2:$B$9997,D5752,Calendar!$C$2:$C$9997,C5752)*INDEX(ForeCalc!$B$37:$Y$274,MATCH(_xlfn.CONCAT(H5752," ",I5752),ForeCalc!$A$37:$A$274,0),MATCH(_xlfn.CONCAT(B5752," ",E5752),ForeCalc!$B$36:$Y$36,0))))*VLOOKUP(A5752,Calendar!$A$2:$H$9997,8,FALSE),0)</f>
        <v/>
      </c>
      <c r="G5752" s="29">
        <f>VLOOKUP(A5752,Calendar!$A$1:$H$9997,6,FALSE)-F5752</f>
        <v/>
      </c>
      <c r="H5752" s="19" t="n">
        <v>1</v>
      </c>
      <c r="I5752" s="57" t="n">
        <v>9</v>
      </c>
    </row>
    <row r="5753">
      <c r="A5753" s="62" t="n">
        <v>46384</v>
      </c>
      <c r="B5753" s="3" t="inlineStr">
        <is>
          <t>Week</t>
        </is>
      </c>
      <c r="C5753" s="19" t="n">
        <v>12</v>
      </c>
      <c r="D5753" s="19" t="n">
        <v>2026</v>
      </c>
      <c r="E5753" s="57" t="n">
        <v>6</v>
      </c>
      <c r="F5753" s="29">
        <f>ROUND(((SUMIFS(Calendar!$F$2:$F$9997,Calendar!$B$2:$B$9997,D5753,Calendar!$C$2:$C$9997,C5753)*INDEX(ForeCalc!$B$37:$Y$274,MATCH(_xlfn.CONCAT(H5753," ",I5753),ForeCalc!$A$37:$A$274,0),MATCH(_xlfn.CONCAT(B5753," ",E5753),ForeCalc!$B$36:$Y$36,0))))*VLOOKUP(A5753,Calendar!$A$2:$H$9997,8,FALSE),0)</f>
        <v/>
      </c>
      <c r="G5753" s="29">
        <f>VLOOKUP(A5753,Calendar!$A$1:$H$9997,6,FALSE)-F5753</f>
        <v/>
      </c>
      <c r="H5753" s="19" t="n">
        <v>1</v>
      </c>
      <c r="I5753" s="57" t="n">
        <v>9</v>
      </c>
    </row>
    <row r="5754">
      <c r="A5754" s="62" t="n">
        <v>46385</v>
      </c>
      <c r="B5754" s="3" t="inlineStr">
        <is>
          <t>Week</t>
        </is>
      </c>
      <c r="C5754" s="19" t="n">
        <v>12</v>
      </c>
      <c r="D5754" s="19" t="n">
        <v>2026</v>
      </c>
      <c r="E5754" s="57" t="n">
        <v>6</v>
      </c>
      <c r="F5754" s="29">
        <f>ROUND(((SUMIFS(Calendar!$F$2:$F$9997,Calendar!$B$2:$B$9997,D5754,Calendar!$C$2:$C$9997,C5754)*INDEX(ForeCalc!$B$37:$Y$274,MATCH(_xlfn.CONCAT(H5754," ",I5754),ForeCalc!$A$37:$A$274,0),MATCH(_xlfn.CONCAT(B5754," ",E5754),ForeCalc!$B$36:$Y$36,0))))*VLOOKUP(A5754,Calendar!$A$2:$H$9997,8,FALSE),0)</f>
        <v/>
      </c>
      <c r="G5754" s="29">
        <f>VLOOKUP(A5754,Calendar!$A$1:$H$9997,6,FALSE)-F5754</f>
        <v/>
      </c>
      <c r="H5754" s="19" t="n">
        <v>1</v>
      </c>
      <c r="I5754" s="57" t="n">
        <v>9</v>
      </c>
    </row>
    <row r="5755">
      <c r="A5755" s="62" t="n">
        <v>46386</v>
      </c>
      <c r="B5755" s="3" t="inlineStr">
        <is>
          <t>Week</t>
        </is>
      </c>
      <c r="C5755" s="19" t="n">
        <v>12</v>
      </c>
      <c r="D5755" s="19" t="n">
        <v>2026</v>
      </c>
      <c r="E5755" s="57" t="n">
        <v>6</v>
      </c>
      <c r="F5755" s="29">
        <f>ROUND(((SUMIFS(Calendar!$F$2:$F$9997,Calendar!$B$2:$B$9997,D5755,Calendar!$C$2:$C$9997,C5755)*INDEX(ForeCalc!$B$37:$Y$274,MATCH(_xlfn.CONCAT(H5755," ",I5755),ForeCalc!$A$37:$A$274,0),MATCH(_xlfn.CONCAT(B5755," ",E5755),ForeCalc!$B$36:$Y$36,0))))*VLOOKUP(A5755,Calendar!$A$2:$H$9997,8,FALSE),0)</f>
        <v/>
      </c>
      <c r="G5755" s="29">
        <f>VLOOKUP(A5755,Calendar!$A$1:$H$9997,6,FALSE)-F5755</f>
        <v/>
      </c>
      <c r="H5755" s="19" t="n">
        <v>1</v>
      </c>
      <c r="I5755" s="57" t="n">
        <v>9</v>
      </c>
    </row>
    <row r="5756">
      <c r="A5756" s="62" t="n">
        <v>46387</v>
      </c>
      <c r="B5756" s="3" t="inlineStr">
        <is>
          <t>Week</t>
        </is>
      </c>
      <c r="C5756" s="19" t="n">
        <v>12</v>
      </c>
      <c r="D5756" s="19" t="n">
        <v>2026</v>
      </c>
      <c r="E5756" s="57" t="n">
        <v>6</v>
      </c>
      <c r="F5756" s="29">
        <f>ROUND(((SUMIFS(Calendar!$F$2:$F$9997,Calendar!$B$2:$B$9997,D5756,Calendar!$C$2:$C$9997,C5756)*INDEX(ForeCalc!$B$37:$Y$274,MATCH(_xlfn.CONCAT(H5756," ",I5756),ForeCalc!$A$37:$A$274,0),MATCH(_xlfn.CONCAT(B5756," ",E5756),ForeCalc!$B$36:$Y$36,0))))*VLOOKUP(A5756,Calendar!$A$2:$H$9997,8,FALSE),0)</f>
        <v/>
      </c>
      <c r="G5756" s="29">
        <f>VLOOKUP(A5756,Calendar!$A$1:$H$9997,6,FALSE)-F5756</f>
        <v/>
      </c>
      <c r="H5756" s="19" t="n">
        <v>1</v>
      </c>
      <c r="I5756" s="57" t="n">
        <v>9</v>
      </c>
    </row>
    <row r="5757">
      <c r="A5757" s="62" t="n">
        <v>46388</v>
      </c>
      <c r="B5757" s="3" t="inlineStr">
        <is>
          <t>Week</t>
        </is>
      </c>
      <c r="C5757" s="19" t="n">
        <v>1</v>
      </c>
      <c r="D5757" s="19" t="n">
        <v>2027</v>
      </c>
      <c r="E5757" s="57" t="n">
        <v>6</v>
      </c>
      <c r="F5757" s="29">
        <f>ROUND(((SUMIFS(Calendar!$F$2:$F$9997,Calendar!$B$2:$B$9997,D5757,Calendar!$C$2:$C$9997,C5757)*INDEX(ForeCalc!$B$37:$Y$274,MATCH(_xlfn.CONCAT(H5757," ",I5757),ForeCalc!$A$37:$A$274,0),MATCH(_xlfn.CONCAT(B5757," ",E5757),ForeCalc!$B$36:$Y$36,0))))*VLOOKUP(A5757,Calendar!$A$2:$H$9997,8,FALSE),0)</f>
        <v/>
      </c>
      <c r="G5757" s="29">
        <f>VLOOKUP(A5757,Calendar!$A$1:$H$9997,6,FALSE)-F5757</f>
        <v/>
      </c>
      <c r="H5757" s="19" t="n">
        <v>1</v>
      </c>
      <c r="I5757" s="57" t="n">
        <v>10</v>
      </c>
    </row>
    <row r="5758">
      <c r="A5758" s="62" t="n">
        <v>46389</v>
      </c>
      <c r="B5758" s="3" t="inlineStr">
        <is>
          <t>Sat</t>
        </is>
      </c>
      <c r="C5758" s="19" t="n">
        <v>1</v>
      </c>
      <c r="D5758" s="19" t="n">
        <v>2027</v>
      </c>
      <c r="E5758" s="57" t="n">
        <v>6</v>
      </c>
      <c r="F5758" s="29">
        <f>ROUND(((SUMIFS(Calendar!$F$2:$F$9997,Calendar!$B$2:$B$9997,D5758,Calendar!$C$2:$C$9997,C5758)*INDEX(ForeCalc!$B$37:$Y$274,MATCH(_xlfn.CONCAT(H5758," ",I5758),ForeCalc!$A$37:$A$274,0),MATCH(_xlfn.CONCAT(B5758," ",E5758),ForeCalc!$B$36:$Y$36,0))))*VLOOKUP(A5758,Calendar!$A$2:$H$9997,8,FALSE),0)</f>
        <v/>
      </c>
      <c r="G5758" s="29">
        <f>VLOOKUP(A5758,Calendar!$A$1:$H$9997,6,FALSE)-F5758</f>
        <v/>
      </c>
      <c r="H5758" s="19" t="n">
        <v>1</v>
      </c>
      <c r="I5758" s="57" t="n">
        <v>10</v>
      </c>
    </row>
    <row r="5759">
      <c r="A5759" s="62" t="n">
        <v>46390</v>
      </c>
      <c r="B5759" s="3" t="inlineStr">
        <is>
          <t>Sun</t>
        </is>
      </c>
      <c r="C5759" s="19" t="n">
        <v>1</v>
      </c>
      <c r="D5759" s="19" t="n">
        <v>2027</v>
      </c>
      <c r="E5759" s="57" t="n">
        <v>6</v>
      </c>
      <c r="F5759" s="29">
        <f>ROUND(((SUMIFS(Calendar!$F$2:$F$9997,Calendar!$B$2:$B$9997,D5759,Calendar!$C$2:$C$9997,C5759)*INDEX(ForeCalc!$B$37:$Y$274,MATCH(_xlfn.CONCAT(H5759," ",I5759),ForeCalc!$A$37:$A$274,0),MATCH(_xlfn.CONCAT(B5759," ",E5759),ForeCalc!$B$36:$Y$36,0))))*VLOOKUP(A5759,Calendar!$A$2:$H$9997,8,FALSE),0)</f>
        <v/>
      </c>
      <c r="G5759" s="29">
        <f>VLOOKUP(A5759,Calendar!$A$1:$H$9997,6,FALSE)-F5759</f>
        <v/>
      </c>
      <c r="H5759" s="19" t="n">
        <v>1</v>
      </c>
      <c r="I5759" s="57" t="n">
        <v>10</v>
      </c>
    </row>
    <row r="5760">
      <c r="A5760" s="62" t="n">
        <v>46391</v>
      </c>
      <c r="B5760" s="3" t="inlineStr">
        <is>
          <t>Week</t>
        </is>
      </c>
      <c r="C5760" s="19" t="n">
        <v>1</v>
      </c>
      <c r="D5760" s="19" t="n">
        <v>2027</v>
      </c>
      <c r="E5760" s="57" t="n">
        <v>6</v>
      </c>
      <c r="F5760" s="29">
        <f>ROUND(((SUMIFS(Calendar!$F$2:$F$9997,Calendar!$B$2:$B$9997,D5760,Calendar!$C$2:$C$9997,C5760)*INDEX(ForeCalc!$B$37:$Y$274,MATCH(_xlfn.CONCAT(H5760," ",I5760),ForeCalc!$A$37:$A$274,0),MATCH(_xlfn.CONCAT(B5760," ",E5760),ForeCalc!$B$36:$Y$36,0))))*VLOOKUP(A5760,Calendar!$A$2:$H$9997,8,FALSE),0)</f>
        <v/>
      </c>
      <c r="G5760" s="29">
        <f>VLOOKUP(A5760,Calendar!$A$1:$H$9997,6,FALSE)-F5760</f>
        <v/>
      </c>
      <c r="H5760" s="19" t="n">
        <v>1</v>
      </c>
      <c r="I5760" s="57" t="n">
        <v>10</v>
      </c>
    </row>
    <row r="5761">
      <c r="A5761" s="62" t="n">
        <v>46392</v>
      </c>
      <c r="B5761" s="3" t="inlineStr">
        <is>
          <t>Week</t>
        </is>
      </c>
      <c r="C5761" s="19" t="n">
        <v>1</v>
      </c>
      <c r="D5761" s="19" t="n">
        <v>2027</v>
      </c>
      <c r="E5761" s="57" t="n">
        <v>6</v>
      </c>
      <c r="F5761" s="29">
        <f>ROUND(((SUMIFS(Calendar!$F$2:$F$9997,Calendar!$B$2:$B$9997,D5761,Calendar!$C$2:$C$9997,C5761)*INDEX(ForeCalc!$B$37:$Y$274,MATCH(_xlfn.CONCAT(H5761," ",I5761),ForeCalc!$A$37:$A$274,0),MATCH(_xlfn.CONCAT(B5761," ",E5761),ForeCalc!$B$36:$Y$36,0))))*VLOOKUP(A5761,Calendar!$A$2:$H$9997,8,FALSE),0)</f>
        <v/>
      </c>
      <c r="G5761" s="29">
        <f>VLOOKUP(A5761,Calendar!$A$1:$H$9997,6,FALSE)-F5761</f>
        <v/>
      </c>
      <c r="H5761" s="19" t="n">
        <v>1</v>
      </c>
      <c r="I5761" s="57" t="n">
        <v>10</v>
      </c>
    </row>
    <row r="5762">
      <c r="A5762" s="62" t="n">
        <v>46393</v>
      </c>
      <c r="B5762" s="3" t="inlineStr">
        <is>
          <t>Week</t>
        </is>
      </c>
      <c r="C5762" s="19" t="n">
        <v>1</v>
      </c>
      <c r="D5762" s="19" t="n">
        <v>2027</v>
      </c>
      <c r="E5762" s="57" t="n">
        <v>6</v>
      </c>
      <c r="F5762" s="29">
        <f>ROUND(((SUMIFS(Calendar!$F$2:$F$9997,Calendar!$B$2:$B$9997,D5762,Calendar!$C$2:$C$9997,C5762)*INDEX(ForeCalc!$B$37:$Y$274,MATCH(_xlfn.CONCAT(H5762," ",I5762),ForeCalc!$A$37:$A$274,0),MATCH(_xlfn.CONCAT(B5762," ",E5762),ForeCalc!$B$36:$Y$36,0))))*VLOOKUP(A5762,Calendar!$A$2:$H$9997,8,FALSE),0)</f>
        <v/>
      </c>
      <c r="G5762" s="29">
        <f>VLOOKUP(A5762,Calendar!$A$1:$H$9997,6,FALSE)-F5762</f>
        <v/>
      </c>
      <c r="H5762" s="19" t="n">
        <v>1</v>
      </c>
      <c r="I5762" s="57" t="n">
        <v>10</v>
      </c>
    </row>
    <row r="5763">
      <c r="A5763" s="62" t="n">
        <v>46394</v>
      </c>
      <c r="B5763" s="3" t="inlineStr">
        <is>
          <t>Week</t>
        </is>
      </c>
      <c r="C5763" s="19" t="n">
        <v>1</v>
      </c>
      <c r="D5763" s="19" t="n">
        <v>2027</v>
      </c>
      <c r="E5763" s="57" t="n">
        <v>6</v>
      </c>
      <c r="F5763" s="29">
        <f>ROUND(((SUMIFS(Calendar!$F$2:$F$9997,Calendar!$B$2:$B$9997,D5763,Calendar!$C$2:$C$9997,C5763)*INDEX(ForeCalc!$B$37:$Y$274,MATCH(_xlfn.CONCAT(H5763," ",I5763),ForeCalc!$A$37:$A$274,0),MATCH(_xlfn.CONCAT(B5763," ",E5763),ForeCalc!$B$36:$Y$36,0))))*VLOOKUP(A5763,Calendar!$A$2:$H$9997,8,FALSE),0)</f>
        <v/>
      </c>
      <c r="G5763" s="29">
        <f>VLOOKUP(A5763,Calendar!$A$1:$H$9997,6,FALSE)-F5763</f>
        <v/>
      </c>
      <c r="H5763" s="19" t="n">
        <v>1</v>
      </c>
      <c r="I5763" s="57" t="n">
        <v>10</v>
      </c>
    </row>
    <row r="5764">
      <c r="A5764" s="62" t="n">
        <v>46395</v>
      </c>
      <c r="B5764" s="3" t="inlineStr">
        <is>
          <t>Week</t>
        </is>
      </c>
      <c r="C5764" s="19" t="n">
        <v>1</v>
      </c>
      <c r="D5764" s="19" t="n">
        <v>2027</v>
      </c>
      <c r="E5764" s="57" t="n">
        <v>6</v>
      </c>
      <c r="F5764" s="29">
        <f>ROUND(((SUMIFS(Calendar!$F$2:$F$9997,Calendar!$B$2:$B$9997,D5764,Calendar!$C$2:$C$9997,C5764)*INDEX(ForeCalc!$B$37:$Y$274,MATCH(_xlfn.CONCAT(H5764," ",I5764),ForeCalc!$A$37:$A$274,0),MATCH(_xlfn.CONCAT(B5764," ",E5764),ForeCalc!$B$36:$Y$36,0))))*VLOOKUP(A5764,Calendar!$A$2:$H$9997,8,FALSE),0)</f>
        <v/>
      </c>
      <c r="G5764" s="29">
        <f>VLOOKUP(A5764,Calendar!$A$1:$H$9997,6,FALSE)-F5764</f>
        <v/>
      </c>
      <c r="H5764" s="19" t="n">
        <v>1</v>
      </c>
      <c r="I5764" s="57" t="n">
        <v>10</v>
      </c>
    </row>
    <row r="5765">
      <c r="A5765" s="62" t="n">
        <v>46396</v>
      </c>
      <c r="B5765" s="3" t="inlineStr">
        <is>
          <t>Sat</t>
        </is>
      </c>
      <c r="C5765" s="19" t="n">
        <v>1</v>
      </c>
      <c r="D5765" s="19" t="n">
        <v>2027</v>
      </c>
      <c r="E5765" s="57" t="n">
        <v>6</v>
      </c>
      <c r="F5765" s="29">
        <f>ROUND(((SUMIFS(Calendar!$F$2:$F$9997,Calendar!$B$2:$B$9997,D5765,Calendar!$C$2:$C$9997,C5765)*INDEX(ForeCalc!$B$37:$Y$274,MATCH(_xlfn.CONCAT(H5765," ",I5765),ForeCalc!$A$37:$A$274,0),MATCH(_xlfn.CONCAT(B5765," ",E5765),ForeCalc!$B$36:$Y$36,0))))*VLOOKUP(A5765,Calendar!$A$2:$H$9997,8,FALSE),0)</f>
        <v/>
      </c>
      <c r="G5765" s="29">
        <f>VLOOKUP(A5765,Calendar!$A$1:$H$9997,6,FALSE)-F5765</f>
        <v/>
      </c>
      <c r="H5765" s="19" t="n">
        <v>1</v>
      </c>
      <c r="I5765" s="57" t="n">
        <v>10</v>
      </c>
    </row>
    <row r="5766">
      <c r="A5766" s="62" t="n">
        <v>46397</v>
      </c>
      <c r="B5766" s="3" t="inlineStr">
        <is>
          <t>Sun</t>
        </is>
      </c>
      <c r="C5766" s="19" t="n">
        <v>1</v>
      </c>
      <c r="D5766" s="19" t="n">
        <v>2027</v>
      </c>
      <c r="E5766" s="57" t="n">
        <v>6</v>
      </c>
      <c r="F5766" s="29">
        <f>ROUND(((SUMIFS(Calendar!$F$2:$F$9997,Calendar!$B$2:$B$9997,D5766,Calendar!$C$2:$C$9997,C5766)*INDEX(ForeCalc!$B$37:$Y$274,MATCH(_xlfn.CONCAT(H5766," ",I5766),ForeCalc!$A$37:$A$274,0),MATCH(_xlfn.CONCAT(B5766," ",E5766),ForeCalc!$B$36:$Y$36,0))))*VLOOKUP(A5766,Calendar!$A$2:$H$9997,8,FALSE),0)</f>
        <v/>
      </c>
      <c r="G5766" s="29">
        <f>VLOOKUP(A5766,Calendar!$A$1:$H$9997,6,FALSE)-F5766</f>
        <v/>
      </c>
      <c r="H5766" s="19" t="n">
        <v>1</v>
      </c>
      <c r="I5766" s="57" t="n">
        <v>10</v>
      </c>
    </row>
    <row r="5767">
      <c r="A5767" s="62" t="n">
        <v>46398</v>
      </c>
      <c r="B5767" s="3" t="inlineStr">
        <is>
          <t>Week</t>
        </is>
      </c>
      <c r="C5767" s="19" t="n">
        <v>1</v>
      </c>
      <c r="D5767" s="19" t="n">
        <v>2027</v>
      </c>
      <c r="E5767" s="57" t="n">
        <v>6</v>
      </c>
      <c r="F5767" s="29">
        <f>ROUND(((SUMIFS(Calendar!$F$2:$F$9997,Calendar!$B$2:$B$9997,D5767,Calendar!$C$2:$C$9997,C5767)*INDEX(ForeCalc!$B$37:$Y$274,MATCH(_xlfn.CONCAT(H5767," ",I5767),ForeCalc!$A$37:$A$274,0),MATCH(_xlfn.CONCAT(B5767," ",E5767),ForeCalc!$B$36:$Y$36,0))))*VLOOKUP(A5767,Calendar!$A$2:$H$9997,8,FALSE),0)</f>
        <v/>
      </c>
      <c r="G5767" s="29">
        <f>VLOOKUP(A5767,Calendar!$A$1:$H$9997,6,FALSE)-F5767</f>
        <v/>
      </c>
      <c r="H5767" s="19" t="n">
        <v>1</v>
      </c>
      <c r="I5767" s="57" t="n">
        <v>10</v>
      </c>
    </row>
    <row r="5768">
      <c r="A5768" s="62" t="n">
        <v>46399</v>
      </c>
      <c r="B5768" s="3" t="inlineStr">
        <is>
          <t>Week</t>
        </is>
      </c>
      <c r="C5768" s="19" t="n">
        <v>1</v>
      </c>
      <c r="D5768" s="19" t="n">
        <v>2027</v>
      </c>
      <c r="E5768" s="57" t="n">
        <v>6</v>
      </c>
      <c r="F5768" s="29">
        <f>ROUND(((SUMIFS(Calendar!$F$2:$F$9997,Calendar!$B$2:$B$9997,D5768,Calendar!$C$2:$C$9997,C5768)*INDEX(ForeCalc!$B$37:$Y$274,MATCH(_xlfn.CONCAT(H5768," ",I5768),ForeCalc!$A$37:$A$274,0),MATCH(_xlfn.CONCAT(B5768," ",E5768),ForeCalc!$B$36:$Y$36,0))))*VLOOKUP(A5768,Calendar!$A$2:$H$9997,8,FALSE),0)</f>
        <v/>
      </c>
      <c r="G5768" s="29">
        <f>VLOOKUP(A5768,Calendar!$A$1:$H$9997,6,FALSE)-F5768</f>
        <v/>
      </c>
      <c r="H5768" s="19" t="n">
        <v>1</v>
      </c>
      <c r="I5768" s="57" t="n">
        <v>10</v>
      </c>
    </row>
    <row r="5769">
      <c r="A5769" s="62" t="n">
        <v>46400</v>
      </c>
      <c r="B5769" s="3" t="inlineStr">
        <is>
          <t>Week</t>
        </is>
      </c>
      <c r="C5769" s="19" t="n">
        <v>1</v>
      </c>
      <c r="D5769" s="19" t="n">
        <v>2027</v>
      </c>
      <c r="E5769" s="57" t="n">
        <v>6</v>
      </c>
      <c r="F5769" s="29">
        <f>ROUND(((SUMIFS(Calendar!$F$2:$F$9997,Calendar!$B$2:$B$9997,D5769,Calendar!$C$2:$C$9997,C5769)*INDEX(ForeCalc!$B$37:$Y$274,MATCH(_xlfn.CONCAT(H5769," ",I5769),ForeCalc!$A$37:$A$274,0),MATCH(_xlfn.CONCAT(B5769," ",E5769),ForeCalc!$B$36:$Y$36,0))))*VLOOKUP(A5769,Calendar!$A$2:$H$9997,8,FALSE),0)</f>
        <v/>
      </c>
      <c r="G5769" s="29">
        <f>VLOOKUP(A5769,Calendar!$A$1:$H$9997,6,FALSE)-F5769</f>
        <v/>
      </c>
      <c r="H5769" s="19" t="n">
        <v>1</v>
      </c>
      <c r="I5769" s="57" t="n">
        <v>10</v>
      </c>
    </row>
    <row r="5770">
      <c r="A5770" s="62" t="n">
        <v>46401</v>
      </c>
      <c r="B5770" s="3" t="inlineStr">
        <is>
          <t>Week</t>
        </is>
      </c>
      <c r="C5770" s="19" t="n">
        <v>1</v>
      </c>
      <c r="D5770" s="19" t="n">
        <v>2027</v>
      </c>
      <c r="E5770" s="57" t="n">
        <v>6</v>
      </c>
      <c r="F5770" s="29">
        <f>ROUND(((SUMIFS(Calendar!$F$2:$F$9997,Calendar!$B$2:$B$9997,D5770,Calendar!$C$2:$C$9997,C5770)*INDEX(ForeCalc!$B$37:$Y$274,MATCH(_xlfn.CONCAT(H5770," ",I5770),ForeCalc!$A$37:$A$274,0),MATCH(_xlfn.CONCAT(B5770," ",E5770),ForeCalc!$B$36:$Y$36,0))))*VLOOKUP(A5770,Calendar!$A$2:$H$9997,8,FALSE),0)</f>
        <v/>
      </c>
      <c r="G5770" s="29">
        <f>VLOOKUP(A5770,Calendar!$A$1:$H$9997,6,FALSE)-F5770</f>
        <v/>
      </c>
      <c r="H5770" s="19" t="n">
        <v>1</v>
      </c>
      <c r="I5770" s="57" t="n">
        <v>10</v>
      </c>
    </row>
    <row r="5771">
      <c r="A5771" s="62" t="n">
        <v>46402</v>
      </c>
      <c r="B5771" s="3" t="inlineStr">
        <is>
          <t>Week</t>
        </is>
      </c>
      <c r="C5771" s="19" t="n">
        <v>1</v>
      </c>
      <c r="D5771" s="19" t="n">
        <v>2027</v>
      </c>
      <c r="E5771" s="57" t="n">
        <v>6</v>
      </c>
      <c r="F5771" s="29">
        <f>ROUND(((SUMIFS(Calendar!$F$2:$F$9997,Calendar!$B$2:$B$9997,D5771,Calendar!$C$2:$C$9997,C5771)*INDEX(ForeCalc!$B$37:$Y$274,MATCH(_xlfn.CONCAT(H5771," ",I5771),ForeCalc!$A$37:$A$274,0),MATCH(_xlfn.CONCAT(B5771," ",E5771),ForeCalc!$B$36:$Y$36,0))))*VLOOKUP(A5771,Calendar!$A$2:$H$9997,8,FALSE),0)</f>
        <v/>
      </c>
      <c r="G5771" s="29">
        <f>VLOOKUP(A5771,Calendar!$A$1:$H$9997,6,FALSE)-F5771</f>
        <v/>
      </c>
      <c r="H5771" s="19" t="n">
        <v>1</v>
      </c>
      <c r="I5771" s="57" t="n">
        <v>10</v>
      </c>
    </row>
    <row r="5772">
      <c r="A5772" s="62" t="n">
        <v>46403</v>
      </c>
      <c r="B5772" s="3" t="inlineStr">
        <is>
          <t>Sat</t>
        </is>
      </c>
      <c r="C5772" s="19" t="n">
        <v>1</v>
      </c>
      <c r="D5772" s="19" t="n">
        <v>2027</v>
      </c>
      <c r="E5772" s="57" t="n">
        <v>6</v>
      </c>
      <c r="F5772" s="29">
        <f>ROUND(((SUMIFS(Calendar!$F$2:$F$9997,Calendar!$B$2:$B$9997,D5772,Calendar!$C$2:$C$9997,C5772)*INDEX(ForeCalc!$B$37:$Y$274,MATCH(_xlfn.CONCAT(H5772," ",I5772),ForeCalc!$A$37:$A$274,0),MATCH(_xlfn.CONCAT(B5772," ",E5772),ForeCalc!$B$36:$Y$36,0))))*VLOOKUP(A5772,Calendar!$A$2:$H$9997,8,FALSE),0)</f>
        <v/>
      </c>
      <c r="G5772" s="29">
        <f>VLOOKUP(A5772,Calendar!$A$1:$H$9997,6,FALSE)-F5772</f>
        <v/>
      </c>
      <c r="H5772" s="19" t="n">
        <v>1</v>
      </c>
      <c r="I5772" s="57" t="n">
        <v>10</v>
      </c>
    </row>
    <row r="5773">
      <c r="A5773" s="62" t="n">
        <v>46404</v>
      </c>
      <c r="B5773" s="3" t="inlineStr">
        <is>
          <t>Sun</t>
        </is>
      </c>
      <c r="C5773" s="19" t="n">
        <v>1</v>
      </c>
      <c r="D5773" s="19" t="n">
        <v>2027</v>
      </c>
      <c r="E5773" s="57" t="n">
        <v>6</v>
      </c>
      <c r="F5773" s="29">
        <f>ROUND(((SUMIFS(Calendar!$F$2:$F$9997,Calendar!$B$2:$B$9997,D5773,Calendar!$C$2:$C$9997,C5773)*INDEX(ForeCalc!$B$37:$Y$274,MATCH(_xlfn.CONCAT(H5773," ",I5773),ForeCalc!$A$37:$A$274,0),MATCH(_xlfn.CONCAT(B5773," ",E5773),ForeCalc!$B$36:$Y$36,0))))*VLOOKUP(A5773,Calendar!$A$2:$H$9997,8,FALSE),0)</f>
        <v/>
      </c>
      <c r="G5773" s="29">
        <f>VLOOKUP(A5773,Calendar!$A$1:$H$9997,6,FALSE)-F5773</f>
        <v/>
      </c>
      <c r="H5773" s="19" t="n">
        <v>1</v>
      </c>
      <c r="I5773" s="57" t="n">
        <v>10</v>
      </c>
    </row>
    <row r="5774">
      <c r="A5774" s="62" t="n">
        <v>46405</v>
      </c>
      <c r="B5774" s="3" t="inlineStr">
        <is>
          <t>Week</t>
        </is>
      </c>
      <c r="C5774" s="19" t="n">
        <v>1</v>
      </c>
      <c r="D5774" s="19" t="n">
        <v>2027</v>
      </c>
      <c r="E5774" s="57" t="n">
        <v>6</v>
      </c>
      <c r="F5774" s="29">
        <f>ROUND(((SUMIFS(Calendar!$F$2:$F$9997,Calendar!$B$2:$B$9997,D5774,Calendar!$C$2:$C$9997,C5774)*INDEX(ForeCalc!$B$37:$Y$274,MATCH(_xlfn.CONCAT(H5774," ",I5774),ForeCalc!$A$37:$A$274,0),MATCH(_xlfn.CONCAT(B5774," ",E5774),ForeCalc!$B$36:$Y$36,0))))*VLOOKUP(A5774,Calendar!$A$2:$H$9997,8,FALSE),0)</f>
        <v/>
      </c>
      <c r="G5774" s="29">
        <f>VLOOKUP(A5774,Calendar!$A$1:$H$9997,6,FALSE)-F5774</f>
        <v/>
      </c>
      <c r="H5774" s="19" t="n">
        <v>1</v>
      </c>
      <c r="I5774" s="57" t="n">
        <v>10</v>
      </c>
    </row>
    <row r="5775">
      <c r="A5775" s="62" t="n">
        <v>46406</v>
      </c>
      <c r="B5775" s="3" t="inlineStr">
        <is>
          <t>Week</t>
        </is>
      </c>
      <c r="C5775" s="19" t="n">
        <v>1</v>
      </c>
      <c r="D5775" s="19" t="n">
        <v>2027</v>
      </c>
      <c r="E5775" s="57" t="n">
        <v>6</v>
      </c>
      <c r="F5775" s="29">
        <f>ROUND(((SUMIFS(Calendar!$F$2:$F$9997,Calendar!$B$2:$B$9997,D5775,Calendar!$C$2:$C$9997,C5775)*INDEX(ForeCalc!$B$37:$Y$274,MATCH(_xlfn.CONCAT(H5775," ",I5775),ForeCalc!$A$37:$A$274,0),MATCH(_xlfn.CONCAT(B5775," ",E5775),ForeCalc!$B$36:$Y$36,0))))*VLOOKUP(A5775,Calendar!$A$2:$H$9997,8,FALSE),0)</f>
        <v/>
      </c>
      <c r="G5775" s="29">
        <f>VLOOKUP(A5775,Calendar!$A$1:$H$9997,6,FALSE)-F5775</f>
        <v/>
      </c>
      <c r="H5775" s="19" t="n">
        <v>1</v>
      </c>
      <c r="I5775" s="57" t="n">
        <v>10</v>
      </c>
    </row>
    <row r="5776">
      <c r="A5776" s="62" t="n">
        <v>46407</v>
      </c>
      <c r="B5776" s="3" t="inlineStr">
        <is>
          <t>Week</t>
        </is>
      </c>
      <c r="C5776" s="19" t="n">
        <v>1</v>
      </c>
      <c r="D5776" s="19" t="n">
        <v>2027</v>
      </c>
      <c r="E5776" s="57" t="n">
        <v>6</v>
      </c>
      <c r="F5776" s="29">
        <f>ROUND(((SUMIFS(Calendar!$F$2:$F$9997,Calendar!$B$2:$B$9997,D5776,Calendar!$C$2:$C$9997,C5776)*INDEX(ForeCalc!$B$37:$Y$274,MATCH(_xlfn.CONCAT(H5776," ",I5776),ForeCalc!$A$37:$A$274,0),MATCH(_xlfn.CONCAT(B5776," ",E5776),ForeCalc!$B$36:$Y$36,0))))*VLOOKUP(A5776,Calendar!$A$2:$H$9997,8,FALSE),0)</f>
        <v/>
      </c>
      <c r="G5776" s="29">
        <f>VLOOKUP(A5776,Calendar!$A$1:$H$9997,6,FALSE)-F5776</f>
        <v/>
      </c>
      <c r="H5776" s="19" t="n">
        <v>1</v>
      </c>
      <c r="I5776" s="57" t="n">
        <v>10</v>
      </c>
    </row>
    <row r="5777">
      <c r="A5777" s="62" t="n">
        <v>46408</v>
      </c>
      <c r="B5777" s="3" t="inlineStr">
        <is>
          <t>Week</t>
        </is>
      </c>
      <c r="C5777" s="19" t="n">
        <v>1</v>
      </c>
      <c r="D5777" s="19" t="n">
        <v>2027</v>
      </c>
      <c r="E5777" s="57" t="n">
        <v>6</v>
      </c>
      <c r="F5777" s="29">
        <f>ROUND(((SUMIFS(Calendar!$F$2:$F$9997,Calendar!$B$2:$B$9997,D5777,Calendar!$C$2:$C$9997,C5777)*INDEX(ForeCalc!$B$37:$Y$274,MATCH(_xlfn.CONCAT(H5777," ",I5777),ForeCalc!$A$37:$A$274,0),MATCH(_xlfn.CONCAT(B5777," ",E5777),ForeCalc!$B$36:$Y$36,0))))*VLOOKUP(A5777,Calendar!$A$2:$H$9997,8,FALSE),0)</f>
        <v/>
      </c>
      <c r="G5777" s="29">
        <f>VLOOKUP(A5777,Calendar!$A$1:$H$9997,6,FALSE)-F5777</f>
        <v/>
      </c>
      <c r="H5777" s="19" t="n">
        <v>1</v>
      </c>
      <c r="I5777" s="57" t="n">
        <v>10</v>
      </c>
    </row>
    <row r="5778">
      <c r="A5778" s="62" t="n">
        <v>46409</v>
      </c>
      <c r="B5778" s="3" t="inlineStr">
        <is>
          <t>Week</t>
        </is>
      </c>
      <c r="C5778" s="19" t="n">
        <v>1</v>
      </c>
      <c r="D5778" s="19" t="n">
        <v>2027</v>
      </c>
      <c r="E5778" s="57" t="n">
        <v>6</v>
      </c>
      <c r="F5778" s="29">
        <f>ROUND(((SUMIFS(Calendar!$F$2:$F$9997,Calendar!$B$2:$B$9997,D5778,Calendar!$C$2:$C$9997,C5778)*INDEX(ForeCalc!$B$37:$Y$274,MATCH(_xlfn.CONCAT(H5778," ",I5778),ForeCalc!$A$37:$A$274,0),MATCH(_xlfn.CONCAT(B5778," ",E5778),ForeCalc!$B$36:$Y$36,0))))*VLOOKUP(A5778,Calendar!$A$2:$H$9997,8,FALSE),0)</f>
        <v/>
      </c>
      <c r="G5778" s="29">
        <f>VLOOKUP(A5778,Calendar!$A$1:$H$9997,6,FALSE)-F5778</f>
        <v/>
      </c>
      <c r="H5778" s="19" t="n">
        <v>1</v>
      </c>
      <c r="I5778" s="57" t="n">
        <v>10</v>
      </c>
    </row>
    <row r="5779">
      <c r="A5779" s="62" t="n">
        <v>46410</v>
      </c>
      <c r="B5779" s="3" t="inlineStr">
        <is>
          <t>Sat</t>
        </is>
      </c>
      <c r="C5779" s="19" t="n">
        <v>1</v>
      </c>
      <c r="D5779" s="19" t="n">
        <v>2027</v>
      </c>
      <c r="E5779" s="57" t="n">
        <v>6</v>
      </c>
      <c r="F5779" s="29">
        <f>ROUND(((SUMIFS(Calendar!$F$2:$F$9997,Calendar!$B$2:$B$9997,D5779,Calendar!$C$2:$C$9997,C5779)*INDEX(ForeCalc!$B$37:$Y$274,MATCH(_xlfn.CONCAT(H5779," ",I5779),ForeCalc!$A$37:$A$274,0),MATCH(_xlfn.CONCAT(B5779," ",E5779),ForeCalc!$B$36:$Y$36,0))))*VLOOKUP(A5779,Calendar!$A$2:$H$9997,8,FALSE),0)</f>
        <v/>
      </c>
      <c r="G5779" s="29">
        <f>VLOOKUP(A5779,Calendar!$A$1:$H$9997,6,FALSE)-F5779</f>
        <v/>
      </c>
      <c r="H5779" s="19" t="n">
        <v>1</v>
      </c>
      <c r="I5779" s="57" t="n">
        <v>10</v>
      </c>
    </row>
    <row r="5780">
      <c r="A5780" s="62" t="n">
        <v>46411</v>
      </c>
      <c r="B5780" s="3" t="inlineStr">
        <is>
          <t>Sun</t>
        </is>
      </c>
      <c r="C5780" s="19" t="n">
        <v>1</v>
      </c>
      <c r="D5780" s="19" t="n">
        <v>2027</v>
      </c>
      <c r="E5780" s="57" t="n">
        <v>6</v>
      </c>
      <c r="F5780" s="29">
        <f>ROUND(((SUMIFS(Calendar!$F$2:$F$9997,Calendar!$B$2:$B$9997,D5780,Calendar!$C$2:$C$9997,C5780)*INDEX(ForeCalc!$B$37:$Y$274,MATCH(_xlfn.CONCAT(H5780," ",I5780),ForeCalc!$A$37:$A$274,0),MATCH(_xlfn.CONCAT(B5780," ",E5780),ForeCalc!$B$36:$Y$36,0))))*VLOOKUP(A5780,Calendar!$A$2:$H$9997,8,FALSE),0)</f>
        <v/>
      </c>
      <c r="G5780" s="29">
        <f>VLOOKUP(A5780,Calendar!$A$1:$H$9997,6,FALSE)-F5780</f>
        <v/>
      </c>
      <c r="H5780" s="19" t="n">
        <v>1</v>
      </c>
      <c r="I5780" s="57" t="n">
        <v>10</v>
      </c>
    </row>
    <row r="5781">
      <c r="A5781" s="62" t="n">
        <v>46412</v>
      </c>
      <c r="B5781" s="3" t="inlineStr">
        <is>
          <t>Week</t>
        </is>
      </c>
      <c r="C5781" s="19" t="n">
        <v>1</v>
      </c>
      <c r="D5781" s="19" t="n">
        <v>2027</v>
      </c>
      <c r="E5781" s="57" t="n">
        <v>6</v>
      </c>
      <c r="F5781" s="29">
        <f>ROUND(((SUMIFS(Calendar!$F$2:$F$9997,Calendar!$B$2:$B$9997,D5781,Calendar!$C$2:$C$9997,C5781)*INDEX(ForeCalc!$B$37:$Y$274,MATCH(_xlfn.CONCAT(H5781," ",I5781),ForeCalc!$A$37:$A$274,0),MATCH(_xlfn.CONCAT(B5781," ",E5781),ForeCalc!$B$36:$Y$36,0))))*VLOOKUP(A5781,Calendar!$A$2:$H$9997,8,FALSE),0)</f>
        <v/>
      </c>
      <c r="G5781" s="29">
        <f>VLOOKUP(A5781,Calendar!$A$1:$H$9997,6,FALSE)-F5781</f>
        <v/>
      </c>
      <c r="H5781" s="19" t="n">
        <v>1</v>
      </c>
      <c r="I5781" s="57" t="n">
        <v>10</v>
      </c>
    </row>
    <row r="5782">
      <c r="A5782" s="62" t="n">
        <v>46413</v>
      </c>
      <c r="B5782" s="3" t="inlineStr">
        <is>
          <t>Week</t>
        </is>
      </c>
      <c r="C5782" s="19" t="n">
        <v>1</v>
      </c>
      <c r="D5782" s="19" t="n">
        <v>2027</v>
      </c>
      <c r="E5782" s="57" t="n">
        <v>6</v>
      </c>
      <c r="F5782" s="29">
        <f>ROUND(((SUMIFS(Calendar!$F$2:$F$9997,Calendar!$B$2:$B$9997,D5782,Calendar!$C$2:$C$9997,C5782)*INDEX(ForeCalc!$B$37:$Y$274,MATCH(_xlfn.CONCAT(H5782," ",I5782),ForeCalc!$A$37:$A$274,0),MATCH(_xlfn.CONCAT(B5782," ",E5782),ForeCalc!$B$36:$Y$36,0))))*VLOOKUP(A5782,Calendar!$A$2:$H$9997,8,FALSE),0)</f>
        <v/>
      </c>
      <c r="G5782" s="29">
        <f>VLOOKUP(A5782,Calendar!$A$1:$H$9997,6,FALSE)-F5782</f>
        <v/>
      </c>
      <c r="H5782" s="19" t="n">
        <v>1</v>
      </c>
      <c r="I5782" s="57" t="n">
        <v>10</v>
      </c>
    </row>
    <row r="5783">
      <c r="A5783" s="62" t="n">
        <v>46414</v>
      </c>
      <c r="B5783" s="3" t="inlineStr">
        <is>
          <t>Week</t>
        </is>
      </c>
      <c r="C5783" s="19" t="n">
        <v>1</v>
      </c>
      <c r="D5783" s="19" t="n">
        <v>2027</v>
      </c>
      <c r="E5783" s="57" t="n">
        <v>6</v>
      </c>
      <c r="F5783" s="29">
        <f>ROUND(((SUMIFS(Calendar!$F$2:$F$9997,Calendar!$B$2:$B$9997,D5783,Calendar!$C$2:$C$9997,C5783)*INDEX(ForeCalc!$B$37:$Y$274,MATCH(_xlfn.CONCAT(H5783," ",I5783),ForeCalc!$A$37:$A$274,0),MATCH(_xlfn.CONCAT(B5783," ",E5783),ForeCalc!$B$36:$Y$36,0))))*VLOOKUP(A5783,Calendar!$A$2:$H$9997,8,FALSE),0)</f>
        <v/>
      </c>
      <c r="G5783" s="29">
        <f>VLOOKUP(A5783,Calendar!$A$1:$H$9997,6,FALSE)-F5783</f>
        <v/>
      </c>
      <c r="H5783" s="19" t="n">
        <v>1</v>
      </c>
      <c r="I5783" s="57" t="n">
        <v>10</v>
      </c>
    </row>
    <row r="5784">
      <c r="A5784" s="62" t="n">
        <v>46415</v>
      </c>
      <c r="B5784" s="3" t="inlineStr">
        <is>
          <t>Week</t>
        </is>
      </c>
      <c r="C5784" s="19" t="n">
        <v>1</v>
      </c>
      <c r="D5784" s="19" t="n">
        <v>2027</v>
      </c>
      <c r="E5784" s="57" t="n">
        <v>6</v>
      </c>
      <c r="F5784" s="29">
        <f>ROUND(((SUMIFS(Calendar!$F$2:$F$9997,Calendar!$B$2:$B$9997,D5784,Calendar!$C$2:$C$9997,C5784)*INDEX(ForeCalc!$B$37:$Y$274,MATCH(_xlfn.CONCAT(H5784," ",I5784),ForeCalc!$A$37:$A$274,0),MATCH(_xlfn.CONCAT(B5784," ",E5784),ForeCalc!$B$36:$Y$36,0))))*VLOOKUP(A5784,Calendar!$A$2:$H$9997,8,FALSE),0)</f>
        <v/>
      </c>
      <c r="G5784" s="29">
        <f>VLOOKUP(A5784,Calendar!$A$1:$H$9997,6,FALSE)-F5784</f>
        <v/>
      </c>
      <c r="H5784" s="19" t="n">
        <v>1</v>
      </c>
      <c r="I5784" s="57" t="n">
        <v>10</v>
      </c>
    </row>
    <row r="5785">
      <c r="A5785" s="62" t="n">
        <v>46416</v>
      </c>
      <c r="B5785" s="3" t="inlineStr">
        <is>
          <t>Week</t>
        </is>
      </c>
      <c r="C5785" s="19" t="n">
        <v>1</v>
      </c>
      <c r="D5785" s="19" t="n">
        <v>2027</v>
      </c>
      <c r="E5785" s="57" t="n">
        <v>6</v>
      </c>
      <c r="F5785" s="29">
        <f>ROUND(((SUMIFS(Calendar!$F$2:$F$9997,Calendar!$B$2:$B$9997,D5785,Calendar!$C$2:$C$9997,C5785)*INDEX(ForeCalc!$B$37:$Y$274,MATCH(_xlfn.CONCAT(H5785," ",I5785),ForeCalc!$A$37:$A$274,0),MATCH(_xlfn.CONCAT(B5785," ",E5785),ForeCalc!$B$36:$Y$36,0))))*VLOOKUP(A5785,Calendar!$A$2:$H$9997,8,FALSE),0)</f>
        <v/>
      </c>
      <c r="G5785" s="29">
        <f>VLOOKUP(A5785,Calendar!$A$1:$H$9997,6,FALSE)-F5785</f>
        <v/>
      </c>
      <c r="H5785" s="19" t="n">
        <v>1</v>
      </c>
      <c r="I5785" s="57" t="n">
        <v>10</v>
      </c>
    </row>
    <row r="5786">
      <c r="A5786" s="62" t="n">
        <v>46417</v>
      </c>
      <c r="B5786" s="3" t="inlineStr">
        <is>
          <t>Sat</t>
        </is>
      </c>
      <c r="C5786" s="19" t="n">
        <v>1</v>
      </c>
      <c r="D5786" s="19" t="n">
        <v>2027</v>
      </c>
      <c r="E5786" s="57" t="n">
        <v>6</v>
      </c>
      <c r="F5786" s="29">
        <f>ROUND(((SUMIFS(Calendar!$F$2:$F$9997,Calendar!$B$2:$B$9997,D5786,Calendar!$C$2:$C$9997,C5786)*INDEX(ForeCalc!$B$37:$Y$274,MATCH(_xlfn.CONCAT(H5786," ",I5786),ForeCalc!$A$37:$A$274,0),MATCH(_xlfn.CONCAT(B5786," ",E5786),ForeCalc!$B$36:$Y$36,0))))*VLOOKUP(A5786,Calendar!$A$2:$H$9997,8,FALSE),0)</f>
        <v/>
      </c>
      <c r="G5786" s="29">
        <f>VLOOKUP(A5786,Calendar!$A$1:$H$9997,6,FALSE)-F5786</f>
        <v/>
      </c>
      <c r="H5786" s="19" t="n">
        <v>1</v>
      </c>
      <c r="I5786" s="57" t="n">
        <v>10</v>
      </c>
    </row>
    <row r="5787">
      <c r="A5787" s="62" t="n">
        <v>46418</v>
      </c>
      <c r="B5787" s="3" t="inlineStr">
        <is>
          <t>Sun</t>
        </is>
      </c>
      <c r="C5787" s="19" t="n">
        <v>1</v>
      </c>
      <c r="D5787" s="19" t="n">
        <v>2027</v>
      </c>
      <c r="E5787" s="57" t="n">
        <v>6</v>
      </c>
      <c r="F5787" s="29">
        <f>ROUND(((SUMIFS(Calendar!$F$2:$F$9997,Calendar!$B$2:$B$9997,D5787,Calendar!$C$2:$C$9997,C5787)*INDEX(ForeCalc!$B$37:$Y$274,MATCH(_xlfn.CONCAT(H5787," ",I5787),ForeCalc!$A$37:$A$274,0),MATCH(_xlfn.CONCAT(B5787," ",E5787),ForeCalc!$B$36:$Y$36,0))))*VLOOKUP(A5787,Calendar!$A$2:$H$9997,8,FALSE),0)</f>
        <v/>
      </c>
      <c r="G5787" s="29">
        <f>VLOOKUP(A5787,Calendar!$A$1:$H$9997,6,FALSE)-F5787</f>
        <v/>
      </c>
      <c r="H5787" s="19" t="n">
        <v>1</v>
      </c>
      <c r="I5787" s="57" t="n">
        <v>10</v>
      </c>
    </row>
    <row r="5788">
      <c r="A5788" s="62" t="n">
        <v>46419</v>
      </c>
      <c r="B5788" s="3" t="inlineStr">
        <is>
          <t>Week</t>
        </is>
      </c>
      <c r="C5788" s="19" t="n">
        <v>2</v>
      </c>
      <c r="D5788" s="19" t="n">
        <v>2027</v>
      </c>
      <c r="E5788" s="57" t="n">
        <v>6</v>
      </c>
      <c r="F5788" s="29">
        <f>ROUND(((SUMIFS(Calendar!$F$2:$F$9997,Calendar!$B$2:$B$9997,D5788,Calendar!$C$2:$C$9997,C5788)*INDEX(ForeCalc!$B$37:$Y$274,MATCH(_xlfn.CONCAT(H5788," ",I5788),ForeCalc!$A$37:$A$274,0),MATCH(_xlfn.CONCAT(B5788," ",E5788),ForeCalc!$B$36:$Y$36,0))))*VLOOKUP(A5788,Calendar!$A$2:$H$9997,8,FALSE),0)</f>
        <v/>
      </c>
      <c r="G5788" s="29">
        <f>VLOOKUP(A5788,Calendar!$A$1:$H$9997,6,FALSE)-F5788</f>
        <v/>
      </c>
      <c r="H5788" s="19" t="n">
        <v>1</v>
      </c>
      <c r="I5788" s="57" t="n">
        <v>11</v>
      </c>
    </row>
    <row r="5789">
      <c r="A5789" s="62" t="n">
        <v>46420</v>
      </c>
      <c r="B5789" s="3" t="inlineStr">
        <is>
          <t>Week</t>
        </is>
      </c>
      <c r="C5789" s="19" t="n">
        <v>2</v>
      </c>
      <c r="D5789" s="19" t="n">
        <v>2027</v>
      </c>
      <c r="E5789" s="57" t="n">
        <v>6</v>
      </c>
      <c r="F5789" s="29">
        <f>ROUND(((SUMIFS(Calendar!$F$2:$F$9997,Calendar!$B$2:$B$9997,D5789,Calendar!$C$2:$C$9997,C5789)*INDEX(ForeCalc!$B$37:$Y$274,MATCH(_xlfn.CONCAT(H5789," ",I5789),ForeCalc!$A$37:$A$274,0),MATCH(_xlfn.CONCAT(B5789," ",E5789),ForeCalc!$B$36:$Y$36,0))))*VLOOKUP(A5789,Calendar!$A$2:$H$9997,8,FALSE),0)</f>
        <v/>
      </c>
      <c r="G5789" s="29">
        <f>VLOOKUP(A5789,Calendar!$A$1:$H$9997,6,FALSE)-F5789</f>
        <v/>
      </c>
      <c r="H5789" s="19" t="n">
        <v>1</v>
      </c>
      <c r="I5789" s="57" t="n">
        <v>11</v>
      </c>
    </row>
    <row r="5790">
      <c r="A5790" s="62" t="n">
        <v>46421</v>
      </c>
      <c r="B5790" s="3" t="inlineStr">
        <is>
          <t>Week</t>
        </is>
      </c>
      <c r="C5790" s="19" t="n">
        <v>2</v>
      </c>
      <c r="D5790" s="19" t="n">
        <v>2027</v>
      </c>
      <c r="E5790" s="57" t="n">
        <v>6</v>
      </c>
      <c r="F5790" s="29">
        <f>ROUND(((SUMIFS(Calendar!$F$2:$F$9997,Calendar!$B$2:$B$9997,D5790,Calendar!$C$2:$C$9997,C5790)*INDEX(ForeCalc!$B$37:$Y$274,MATCH(_xlfn.CONCAT(H5790," ",I5790),ForeCalc!$A$37:$A$274,0),MATCH(_xlfn.CONCAT(B5790," ",E5790),ForeCalc!$B$36:$Y$36,0))))*VLOOKUP(A5790,Calendar!$A$2:$H$9997,8,FALSE),0)</f>
        <v/>
      </c>
      <c r="G5790" s="29">
        <f>VLOOKUP(A5790,Calendar!$A$1:$H$9997,6,FALSE)-F5790</f>
        <v/>
      </c>
      <c r="H5790" s="19" t="n">
        <v>1</v>
      </c>
      <c r="I5790" s="57" t="n">
        <v>11</v>
      </c>
    </row>
    <row r="5791">
      <c r="A5791" s="62" t="n">
        <v>46422</v>
      </c>
      <c r="B5791" s="3" t="inlineStr">
        <is>
          <t>Week</t>
        </is>
      </c>
      <c r="C5791" s="19" t="n">
        <v>2</v>
      </c>
      <c r="D5791" s="19" t="n">
        <v>2027</v>
      </c>
      <c r="E5791" s="57" t="n">
        <v>6</v>
      </c>
      <c r="F5791" s="29">
        <f>ROUND(((SUMIFS(Calendar!$F$2:$F$9997,Calendar!$B$2:$B$9997,D5791,Calendar!$C$2:$C$9997,C5791)*INDEX(ForeCalc!$B$37:$Y$274,MATCH(_xlfn.CONCAT(H5791," ",I5791),ForeCalc!$A$37:$A$274,0),MATCH(_xlfn.CONCAT(B5791," ",E5791),ForeCalc!$B$36:$Y$36,0))))*VLOOKUP(A5791,Calendar!$A$2:$H$9997,8,FALSE),0)</f>
        <v/>
      </c>
      <c r="G5791" s="29">
        <f>VLOOKUP(A5791,Calendar!$A$1:$H$9997,6,FALSE)-F5791</f>
        <v/>
      </c>
      <c r="H5791" s="19" t="n">
        <v>1</v>
      </c>
      <c r="I5791" s="57" t="n">
        <v>11</v>
      </c>
    </row>
    <row r="5792">
      <c r="A5792" s="62" t="n">
        <v>46423</v>
      </c>
      <c r="B5792" s="3" t="inlineStr">
        <is>
          <t>Week</t>
        </is>
      </c>
      <c r="C5792" s="19" t="n">
        <v>2</v>
      </c>
      <c r="D5792" s="19" t="n">
        <v>2027</v>
      </c>
      <c r="E5792" s="57" t="n">
        <v>6</v>
      </c>
      <c r="F5792" s="29">
        <f>ROUND(((SUMIFS(Calendar!$F$2:$F$9997,Calendar!$B$2:$B$9997,D5792,Calendar!$C$2:$C$9997,C5792)*INDEX(ForeCalc!$B$37:$Y$274,MATCH(_xlfn.CONCAT(H5792," ",I5792),ForeCalc!$A$37:$A$274,0),MATCH(_xlfn.CONCAT(B5792," ",E5792),ForeCalc!$B$36:$Y$36,0))))*VLOOKUP(A5792,Calendar!$A$2:$H$9997,8,FALSE),0)</f>
        <v/>
      </c>
      <c r="G5792" s="29">
        <f>VLOOKUP(A5792,Calendar!$A$1:$H$9997,6,FALSE)-F5792</f>
        <v/>
      </c>
      <c r="H5792" s="19" t="n">
        <v>1</v>
      </c>
      <c r="I5792" s="57" t="n">
        <v>11</v>
      </c>
    </row>
    <row r="5793">
      <c r="A5793" s="62" t="n">
        <v>46424</v>
      </c>
      <c r="B5793" s="3" t="inlineStr">
        <is>
          <t>Sat</t>
        </is>
      </c>
      <c r="C5793" s="19" t="n">
        <v>2</v>
      </c>
      <c r="D5793" s="19" t="n">
        <v>2027</v>
      </c>
      <c r="E5793" s="57" t="n">
        <v>6</v>
      </c>
      <c r="F5793" s="29">
        <f>ROUND(((SUMIFS(Calendar!$F$2:$F$9997,Calendar!$B$2:$B$9997,D5793,Calendar!$C$2:$C$9997,C5793)*INDEX(ForeCalc!$B$37:$Y$274,MATCH(_xlfn.CONCAT(H5793," ",I5793),ForeCalc!$A$37:$A$274,0),MATCH(_xlfn.CONCAT(B5793," ",E5793),ForeCalc!$B$36:$Y$36,0))))*VLOOKUP(A5793,Calendar!$A$2:$H$9997,8,FALSE),0)</f>
        <v/>
      </c>
      <c r="G5793" s="29">
        <f>VLOOKUP(A5793,Calendar!$A$1:$H$9997,6,FALSE)-F5793</f>
        <v/>
      </c>
      <c r="H5793" s="19" t="n">
        <v>1</v>
      </c>
      <c r="I5793" s="57" t="n">
        <v>11</v>
      </c>
    </row>
    <row r="5794">
      <c r="A5794" s="62" t="n">
        <v>46425</v>
      </c>
      <c r="B5794" s="3" t="inlineStr">
        <is>
          <t>Sun</t>
        </is>
      </c>
      <c r="C5794" s="19" t="n">
        <v>2</v>
      </c>
      <c r="D5794" s="19" t="n">
        <v>2027</v>
      </c>
      <c r="E5794" s="57" t="n">
        <v>6</v>
      </c>
      <c r="F5794" s="29">
        <f>ROUND(((SUMIFS(Calendar!$F$2:$F$9997,Calendar!$B$2:$B$9997,D5794,Calendar!$C$2:$C$9997,C5794)*INDEX(ForeCalc!$B$37:$Y$274,MATCH(_xlfn.CONCAT(H5794," ",I5794),ForeCalc!$A$37:$A$274,0),MATCH(_xlfn.CONCAT(B5794," ",E5794),ForeCalc!$B$36:$Y$36,0))))*VLOOKUP(A5794,Calendar!$A$2:$H$9997,8,FALSE),0)</f>
        <v/>
      </c>
      <c r="G5794" s="29">
        <f>VLOOKUP(A5794,Calendar!$A$1:$H$9997,6,FALSE)-F5794</f>
        <v/>
      </c>
      <c r="H5794" s="19" t="n">
        <v>1</v>
      </c>
      <c r="I5794" s="57" t="n">
        <v>11</v>
      </c>
    </row>
    <row r="5795">
      <c r="A5795" s="62" t="n">
        <v>46426</v>
      </c>
      <c r="B5795" s="3" t="inlineStr">
        <is>
          <t>Week</t>
        </is>
      </c>
      <c r="C5795" s="19" t="n">
        <v>2</v>
      </c>
      <c r="D5795" s="19" t="n">
        <v>2027</v>
      </c>
      <c r="E5795" s="57" t="n">
        <v>6</v>
      </c>
      <c r="F5795" s="29">
        <f>ROUND(((SUMIFS(Calendar!$F$2:$F$9997,Calendar!$B$2:$B$9997,D5795,Calendar!$C$2:$C$9997,C5795)*INDEX(ForeCalc!$B$37:$Y$274,MATCH(_xlfn.CONCAT(H5795," ",I5795),ForeCalc!$A$37:$A$274,0),MATCH(_xlfn.CONCAT(B5795," ",E5795),ForeCalc!$B$36:$Y$36,0))))*VLOOKUP(A5795,Calendar!$A$2:$H$9997,8,FALSE),0)</f>
        <v/>
      </c>
      <c r="G5795" s="29">
        <f>VLOOKUP(A5795,Calendar!$A$1:$H$9997,6,FALSE)-F5795</f>
        <v/>
      </c>
      <c r="H5795" s="19" t="n">
        <v>1</v>
      </c>
      <c r="I5795" s="57" t="n">
        <v>11</v>
      </c>
    </row>
    <row r="5796">
      <c r="A5796" s="62" t="n">
        <v>46427</v>
      </c>
      <c r="B5796" s="3" t="inlineStr">
        <is>
          <t>Week</t>
        </is>
      </c>
      <c r="C5796" s="19" t="n">
        <v>2</v>
      </c>
      <c r="D5796" s="19" t="n">
        <v>2027</v>
      </c>
      <c r="E5796" s="57" t="n">
        <v>6</v>
      </c>
      <c r="F5796" s="29">
        <f>ROUND(((SUMIFS(Calendar!$F$2:$F$9997,Calendar!$B$2:$B$9997,D5796,Calendar!$C$2:$C$9997,C5796)*INDEX(ForeCalc!$B$37:$Y$274,MATCH(_xlfn.CONCAT(H5796," ",I5796),ForeCalc!$A$37:$A$274,0),MATCH(_xlfn.CONCAT(B5796," ",E5796),ForeCalc!$B$36:$Y$36,0))))*VLOOKUP(A5796,Calendar!$A$2:$H$9997,8,FALSE),0)</f>
        <v/>
      </c>
      <c r="G5796" s="29">
        <f>VLOOKUP(A5796,Calendar!$A$1:$H$9997,6,FALSE)-F5796</f>
        <v/>
      </c>
      <c r="H5796" s="19" t="n">
        <v>1</v>
      </c>
      <c r="I5796" s="57" t="n">
        <v>11</v>
      </c>
    </row>
    <row r="5797">
      <c r="A5797" s="62" t="n">
        <v>46428</v>
      </c>
      <c r="B5797" s="3" t="inlineStr">
        <is>
          <t>Week</t>
        </is>
      </c>
      <c r="C5797" s="19" t="n">
        <v>2</v>
      </c>
      <c r="D5797" s="19" t="n">
        <v>2027</v>
      </c>
      <c r="E5797" s="57" t="n">
        <v>6</v>
      </c>
      <c r="F5797" s="29">
        <f>ROUND(((SUMIFS(Calendar!$F$2:$F$9997,Calendar!$B$2:$B$9997,D5797,Calendar!$C$2:$C$9997,C5797)*INDEX(ForeCalc!$B$37:$Y$274,MATCH(_xlfn.CONCAT(H5797," ",I5797),ForeCalc!$A$37:$A$274,0),MATCH(_xlfn.CONCAT(B5797," ",E5797),ForeCalc!$B$36:$Y$36,0))))*VLOOKUP(A5797,Calendar!$A$2:$H$9997,8,FALSE),0)</f>
        <v/>
      </c>
      <c r="G5797" s="29">
        <f>VLOOKUP(A5797,Calendar!$A$1:$H$9997,6,FALSE)-F5797</f>
        <v/>
      </c>
      <c r="H5797" s="19" t="n">
        <v>1</v>
      </c>
      <c r="I5797" s="57" t="n">
        <v>11</v>
      </c>
    </row>
    <row r="5798">
      <c r="A5798" s="62" t="n">
        <v>46429</v>
      </c>
      <c r="B5798" s="3" t="inlineStr">
        <is>
          <t>Week</t>
        </is>
      </c>
      <c r="C5798" s="19" t="n">
        <v>2</v>
      </c>
      <c r="D5798" s="19" t="n">
        <v>2027</v>
      </c>
      <c r="E5798" s="57" t="n">
        <v>6</v>
      </c>
      <c r="F5798" s="29">
        <f>ROUND(((SUMIFS(Calendar!$F$2:$F$9997,Calendar!$B$2:$B$9997,D5798,Calendar!$C$2:$C$9997,C5798)*INDEX(ForeCalc!$B$37:$Y$274,MATCH(_xlfn.CONCAT(H5798," ",I5798),ForeCalc!$A$37:$A$274,0),MATCH(_xlfn.CONCAT(B5798," ",E5798),ForeCalc!$B$36:$Y$36,0))))*VLOOKUP(A5798,Calendar!$A$2:$H$9997,8,FALSE),0)</f>
        <v/>
      </c>
      <c r="G5798" s="29">
        <f>VLOOKUP(A5798,Calendar!$A$1:$H$9997,6,FALSE)-F5798</f>
        <v/>
      </c>
      <c r="H5798" s="19" t="n">
        <v>1</v>
      </c>
      <c r="I5798" s="57" t="n">
        <v>11</v>
      </c>
    </row>
    <row r="5799">
      <c r="A5799" s="62" t="n">
        <v>46430</v>
      </c>
      <c r="B5799" s="3" t="inlineStr">
        <is>
          <t>Week</t>
        </is>
      </c>
      <c r="C5799" s="19" t="n">
        <v>2</v>
      </c>
      <c r="D5799" s="19" t="n">
        <v>2027</v>
      </c>
      <c r="E5799" s="57" t="n">
        <v>6</v>
      </c>
      <c r="F5799" s="29">
        <f>ROUND(((SUMIFS(Calendar!$F$2:$F$9997,Calendar!$B$2:$B$9997,D5799,Calendar!$C$2:$C$9997,C5799)*INDEX(ForeCalc!$B$37:$Y$274,MATCH(_xlfn.CONCAT(H5799," ",I5799),ForeCalc!$A$37:$A$274,0),MATCH(_xlfn.CONCAT(B5799," ",E5799),ForeCalc!$B$36:$Y$36,0))))*VLOOKUP(A5799,Calendar!$A$2:$H$9997,8,FALSE),0)</f>
        <v/>
      </c>
      <c r="G5799" s="29">
        <f>VLOOKUP(A5799,Calendar!$A$1:$H$9997,6,FALSE)-F5799</f>
        <v/>
      </c>
      <c r="H5799" s="19" t="n">
        <v>1</v>
      </c>
      <c r="I5799" s="57" t="n">
        <v>11</v>
      </c>
    </row>
    <row r="5800">
      <c r="A5800" s="62" t="n">
        <v>46431</v>
      </c>
      <c r="B5800" s="3" t="inlineStr">
        <is>
          <t>Sat</t>
        </is>
      </c>
      <c r="C5800" s="19" t="n">
        <v>2</v>
      </c>
      <c r="D5800" s="19" t="n">
        <v>2027</v>
      </c>
      <c r="E5800" s="57" t="n">
        <v>6</v>
      </c>
      <c r="F5800" s="29">
        <f>ROUND(((SUMIFS(Calendar!$F$2:$F$9997,Calendar!$B$2:$B$9997,D5800,Calendar!$C$2:$C$9997,C5800)*INDEX(ForeCalc!$B$37:$Y$274,MATCH(_xlfn.CONCAT(H5800," ",I5800),ForeCalc!$A$37:$A$274,0),MATCH(_xlfn.CONCAT(B5800," ",E5800),ForeCalc!$B$36:$Y$36,0))))*VLOOKUP(A5800,Calendar!$A$2:$H$9997,8,FALSE),0)</f>
        <v/>
      </c>
      <c r="G5800" s="29">
        <f>VLOOKUP(A5800,Calendar!$A$1:$H$9997,6,FALSE)-F5800</f>
        <v/>
      </c>
      <c r="H5800" s="19" t="n">
        <v>1</v>
      </c>
      <c r="I5800" s="57" t="n">
        <v>11</v>
      </c>
    </row>
    <row r="5801">
      <c r="A5801" s="62" t="n">
        <v>46432</v>
      </c>
      <c r="B5801" s="3" t="inlineStr">
        <is>
          <t>Sun</t>
        </is>
      </c>
      <c r="C5801" s="19" t="n">
        <v>2</v>
      </c>
      <c r="D5801" s="19" t="n">
        <v>2027</v>
      </c>
      <c r="E5801" s="57" t="n">
        <v>6</v>
      </c>
      <c r="F5801" s="29">
        <f>ROUND(((SUMIFS(Calendar!$F$2:$F$9997,Calendar!$B$2:$B$9997,D5801,Calendar!$C$2:$C$9997,C5801)*INDEX(ForeCalc!$B$37:$Y$274,MATCH(_xlfn.CONCAT(H5801," ",I5801),ForeCalc!$A$37:$A$274,0),MATCH(_xlfn.CONCAT(B5801," ",E5801),ForeCalc!$B$36:$Y$36,0))))*VLOOKUP(A5801,Calendar!$A$2:$H$9997,8,FALSE),0)</f>
        <v/>
      </c>
      <c r="G5801" s="29">
        <f>VLOOKUP(A5801,Calendar!$A$1:$H$9997,6,FALSE)-F5801</f>
        <v/>
      </c>
      <c r="H5801" s="19" t="n">
        <v>1</v>
      </c>
      <c r="I5801" s="57" t="n">
        <v>11</v>
      </c>
    </row>
    <row r="5802">
      <c r="A5802" s="62" t="n">
        <v>46433</v>
      </c>
      <c r="B5802" s="3" t="inlineStr">
        <is>
          <t>Week</t>
        </is>
      </c>
      <c r="C5802" s="19" t="n">
        <v>2</v>
      </c>
      <c r="D5802" s="19" t="n">
        <v>2027</v>
      </c>
      <c r="E5802" s="57" t="n">
        <v>6</v>
      </c>
      <c r="F5802" s="29">
        <f>ROUND(((SUMIFS(Calendar!$F$2:$F$9997,Calendar!$B$2:$B$9997,D5802,Calendar!$C$2:$C$9997,C5802)*INDEX(ForeCalc!$B$37:$Y$274,MATCH(_xlfn.CONCAT(H5802," ",I5802),ForeCalc!$A$37:$A$274,0),MATCH(_xlfn.CONCAT(B5802," ",E5802),ForeCalc!$B$36:$Y$36,0))))*VLOOKUP(A5802,Calendar!$A$2:$H$9997,8,FALSE),0)</f>
        <v/>
      </c>
      <c r="G5802" s="29">
        <f>VLOOKUP(A5802,Calendar!$A$1:$H$9997,6,FALSE)-F5802</f>
        <v/>
      </c>
      <c r="H5802" s="19" t="n">
        <v>1</v>
      </c>
      <c r="I5802" s="57" t="n">
        <v>11</v>
      </c>
    </row>
    <row r="5803">
      <c r="A5803" s="62" t="n">
        <v>46434</v>
      </c>
      <c r="B5803" s="3" t="inlineStr">
        <is>
          <t>Week</t>
        </is>
      </c>
      <c r="C5803" s="19" t="n">
        <v>2</v>
      </c>
      <c r="D5803" s="19" t="n">
        <v>2027</v>
      </c>
      <c r="E5803" s="57" t="n">
        <v>6</v>
      </c>
      <c r="F5803" s="29">
        <f>ROUND(((SUMIFS(Calendar!$F$2:$F$9997,Calendar!$B$2:$B$9997,D5803,Calendar!$C$2:$C$9997,C5803)*INDEX(ForeCalc!$B$37:$Y$274,MATCH(_xlfn.CONCAT(H5803," ",I5803),ForeCalc!$A$37:$A$274,0),MATCH(_xlfn.CONCAT(B5803," ",E5803),ForeCalc!$B$36:$Y$36,0))))*VLOOKUP(A5803,Calendar!$A$2:$H$9997,8,FALSE),0)</f>
        <v/>
      </c>
      <c r="G5803" s="29">
        <f>VLOOKUP(A5803,Calendar!$A$1:$H$9997,6,FALSE)-F5803</f>
        <v/>
      </c>
      <c r="H5803" s="19" t="n">
        <v>1</v>
      </c>
      <c r="I5803" s="57" t="n">
        <v>11</v>
      </c>
    </row>
    <row r="5804">
      <c r="A5804" s="62" t="n">
        <v>46435</v>
      </c>
      <c r="B5804" s="3" t="inlineStr">
        <is>
          <t>Week</t>
        </is>
      </c>
      <c r="C5804" s="19" t="n">
        <v>2</v>
      </c>
      <c r="D5804" s="19" t="n">
        <v>2027</v>
      </c>
      <c r="E5804" s="57" t="n">
        <v>6</v>
      </c>
      <c r="F5804" s="29">
        <f>ROUND(((SUMIFS(Calendar!$F$2:$F$9997,Calendar!$B$2:$B$9997,D5804,Calendar!$C$2:$C$9997,C5804)*INDEX(ForeCalc!$B$37:$Y$274,MATCH(_xlfn.CONCAT(H5804," ",I5804),ForeCalc!$A$37:$A$274,0),MATCH(_xlfn.CONCAT(B5804," ",E5804),ForeCalc!$B$36:$Y$36,0))))*VLOOKUP(A5804,Calendar!$A$2:$H$9997,8,FALSE),0)</f>
        <v/>
      </c>
      <c r="G5804" s="29">
        <f>VLOOKUP(A5804,Calendar!$A$1:$H$9997,6,FALSE)-F5804</f>
        <v/>
      </c>
      <c r="H5804" s="19" t="n">
        <v>1</v>
      </c>
      <c r="I5804" s="57" t="n">
        <v>11</v>
      </c>
    </row>
    <row r="5805">
      <c r="A5805" s="62" t="n">
        <v>46436</v>
      </c>
      <c r="B5805" s="3" t="inlineStr">
        <is>
          <t>Week</t>
        </is>
      </c>
      <c r="C5805" s="19" t="n">
        <v>2</v>
      </c>
      <c r="D5805" s="19" t="n">
        <v>2027</v>
      </c>
      <c r="E5805" s="57" t="n">
        <v>6</v>
      </c>
      <c r="F5805" s="29">
        <f>ROUND(((SUMIFS(Calendar!$F$2:$F$9997,Calendar!$B$2:$B$9997,D5805,Calendar!$C$2:$C$9997,C5805)*INDEX(ForeCalc!$B$37:$Y$274,MATCH(_xlfn.CONCAT(H5805," ",I5805),ForeCalc!$A$37:$A$274,0),MATCH(_xlfn.CONCAT(B5805," ",E5805),ForeCalc!$B$36:$Y$36,0))))*VLOOKUP(A5805,Calendar!$A$2:$H$9997,8,FALSE),0)</f>
        <v/>
      </c>
      <c r="G5805" s="29">
        <f>VLOOKUP(A5805,Calendar!$A$1:$H$9997,6,FALSE)-F5805</f>
        <v/>
      </c>
      <c r="H5805" s="19" t="n">
        <v>1</v>
      </c>
      <c r="I5805" s="57" t="n">
        <v>11</v>
      </c>
    </row>
    <row r="5806">
      <c r="A5806" s="62" t="n">
        <v>46437</v>
      </c>
      <c r="B5806" s="3" t="inlineStr">
        <is>
          <t>Week</t>
        </is>
      </c>
      <c r="C5806" s="19" t="n">
        <v>2</v>
      </c>
      <c r="D5806" s="19" t="n">
        <v>2027</v>
      </c>
      <c r="E5806" s="57" t="n">
        <v>6</v>
      </c>
      <c r="F5806" s="29">
        <f>ROUND(((SUMIFS(Calendar!$F$2:$F$9997,Calendar!$B$2:$B$9997,D5806,Calendar!$C$2:$C$9997,C5806)*INDEX(ForeCalc!$B$37:$Y$274,MATCH(_xlfn.CONCAT(H5806," ",I5806),ForeCalc!$A$37:$A$274,0),MATCH(_xlfn.CONCAT(B5806," ",E5806),ForeCalc!$B$36:$Y$36,0))))*VLOOKUP(A5806,Calendar!$A$2:$H$9997,8,FALSE),0)</f>
        <v/>
      </c>
      <c r="G5806" s="29">
        <f>VLOOKUP(A5806,Calendar!$A$1:$H$9997,6,FALSE)-F5806</f>
        <v/>
      </c>
      <c r="H5806" s="19" t="n">
        <v>1</v>
      </c>
      <c r="I5806" s="57" t="n">
        <v>11</v>
      </c>
    </row>
    <row r="5807">
      <c r="A5807" s="62" t="n">
        <v>46438</v>
      </c>
      <c r="B5807" s="3" t="inlineStr">
        <is>
          <t>Sat</t>
        </is>
      </c>
      <c r="C5807" s="19" t="n">
        <v>2</v>
      </c>
      <c r="D5807" s="19" t="n">
        <v>2027</v>
      </c>
      <c r="E5807" s="57" t="n">
        <v>6</v>
      </c>
      <c r="F5807" s="29">
        <f>ROUND(((SUMIFS(Calendar!$F$2:$F$9997,Calendar!$B$2:$B$9997,D5807,Calendar!$C$2:$C$9997,C5807)*INDEX(ForeCalc!$B$37:$Y$274,MATCH(_xlfn.CONCAT(H5807," ",I5807),ForeCalc!$A$37:$A$274,0),MATCH(_xlfn.CONCAT(B5807," ",E5807),ForeCalc!$B$36:$Y$36,0))))*VLOOKUP(A5807,Calendar!$A$2:$H$9997,8,FALSE),0)</f>
        <v/>
      </c>
      <c r="G5807" s="29">
        <f>VLOOKUP(A5807,Calendar!$A$1:$H$9997,6,FALSE)-F5807</f>
        <v/>
      </c>
      <c r="H5807" s="19" t="n">
        <v>1</v>
      </c>
      <c r="I5807" s="57" t="n">
        <v>11</v>
      </c>
    </row>
    <row r="5808">
      <c r="A5808" s="62" t="n">
        <v>46439</v>
      </c>
      <c r="B5808" s="3" t="inlineStr">
        <is>
          <t>Sun</t>
        </is>
      </c>
      <c r="C5808" s="19" t="n">
        <v>2</v>
      </c>
      <c r="D5808" s="19" t="n">
        <v>2027</v>
      </c>
      <c r="E5808" s="57" t="n">
        <v>6</v>
      </c>
      <c r="F5808" s="29">
        <f>ROUND(((SUMIFS(Calendar!$F$2:$F$9997,Calendar!$B$2:$B$9997,D5808,Calendar!$C$2:$C$9997,C5808)*INDEX(ForeCalc!$B$37:$Y$274,MATCH(_xlfn.CONCAT(H5808," ",I5808),ForeCalc!$A$37:$A$274,0),MATCH(_xlfn.CONCAT(B5808," ",E5808),ForeCalc!$B$36:$Y$36,0))))*VLOOKUP(A5808,Calendar!$A$2:$H$9997,8,FALSE),0)</f>
        <v/>
      </c>
      <c r="G5808" s="29">
        <f>VLOOKUP(A5808,Calendar!$A$1:$H$9997,6,FALSE)-F5808</f>
        <v/>
      </c>
      <c r="H5808" s="19" t="n">
        <v>1</v>
      </c>
      <c r="I5808" s="57" t="n">
        <v>11</v>
      </c>
    </row>
    <row r="5809">
      <c r="A5809" s="62" t="n">
        <v>46440</v>
      </c>
      <c r="B5809" s="3" t="inlineStr">
        <is>
          <t>Week</t>
        </is>
      </c>
      <c r="C5809" s="19" t="n">
        <v>2</v>
      </c>
      <c r="D5809" s="19" t="n">
        <v>2027</v>
      </c>
      <c r="E5809" s="57" t="n">
        <v>6</v>
      </c>
      <c r="F5809" s="29">
        <f>ROUND(((SUMIFS(Calendar!$F$2:$F$9997,Calendar!$B$2:$B$9997,D5809,Calendar!$C$2:$C$9997,C5809)*INDEX(ForeCalc!$B$37:$Y$274,MATCH(_xlfn.CONCAT(H5809," ",I5809),ForeCalc!$A$37:$A$274,0),MATCH(_xlfn.CONCAT(B5809," ",E5809),ForeCalc!$B$36:$Y$36,0))))*VLOOKUP(A5809,Calendar!$A$2:$H$9997,8,FALSE),0)</f>
        <v/>
      </c>
      <c r="G5809" s="29">
        <f>VLOOKUP(A5809,Calendar!$A$1:$H$9997,6,FALSE)-F5809</f>
        <v/>
      </c>
      <c r="H5809" s="19" t="n">
        <v>1</v>
      </c>
      <c r="I5809" s="57" t="n">
        <v>11</v>
      </c>
    </row>
    <row r="5810">
      <c r="A5810" s="62" t="n">
        <v>46441</v>
      </c>
      <c r="B5810" s="3" t="inlineStr">
        <is>
          <t>Week</t>
        </is>
      </c>
      <c r="C5810" s="19" t="n">
        <v>2</v>
      </c>
      <c r="D5810" s="19" t="n">
        <v>2027</v>
      </c>
      <c r="E5810" s="57" t="n">
        <v>6</v>
      </c>
      <c r="F5810" s="29">
        <f>ROUND(((SUMIFS(Calendar!$F$2:$F$9997,Calendar!$B$2:$B$9997,D5810,Calendar!$C$2:$C$9997,C5810)*INDEX(ForeCalc!$B$37:$Y$274,MATCH(_xlfn.CONCAT(H5810," ",I5810),ForeCalc!$A$37:$A$274,0),MATCH(_xlfn.CONCAT(B5810," ",E5810),ForeCalc!$B$36:$Y$36,0))))*VLOOKUP(A5810,Calendar!$A$2:$H$9997,8,FALSE),0)</f>
        <v/>
      </c>
      <c r="G5810" s="29">
        <f>VLOOKUP(A5810,Calendar!$A$1:$H$9997,6,FALSE)-F5810</f>
        <v/>
      </c>
      <c r="H5810" s="19" t="n">
        <v>1</v>
      </c>
      <c r="I5810" s="57" t="n">
        <v>11</v>
      </c>
    </row>
    <row r="5811">
      <c r="A5811" s="62" t="n">
        <v>46442</v>
      </c>
      <c r="B5811" s="3" t="inlineStr">
        <is>
          <t>Week</t>
        </is>
      </c>
      <c r="C5811" s="19" t="n">
        <v>2</v>
      </c>
      <c r="D5811" s="19" t="n">
        <v>2027</v>
      </c>
      <c r="E5811" s="57" t="n">
        <v>6</v>
      </c>
      <c r="F5811" s="29">
        <f>ROUND(((SUMIFS(Calendar!$F$2:$F$9997,Calendar!$B$2:$B$9997,D5811,Calendar!$C$2:$C$9997,C5811)*INDEX(ForeCalc!$B$37:$Y$274,MATCH(_xlfn.CONCAT(H5811," ",I5811),ForeCalc!$A$37:$A$274,0),MATCH(_xlfn.CONCAT(B5811," ",E5811),ForeCalc!$B$36:$Y$36,0))))*VLOOKUP(A5811,Calendar!$A$2:$H$9997,8,FALSE),0)</f>
        <v/>
      </c>
      <c r="G5811" s="29">
        <f>VLOOKUP(A5811,Calendar!$A$1:$H$9997,6,FALSE)-F5811</f>
        <v/>
      </c>
      <c r="H5811" s="19" t="n">
        <v>1</v>
      </c>
      <c r="I5811" s="57" t="n">
        <v>11</v>
      </c>
    </row>
    <row r="5812">
      <c r="A5812" s="62" t="n">
        <v>46443</v>
      </c>
      <c r="B5812" s="3" t="inlineStr">
        <is>
          <t>Week</t>
        </is>
      </c>
      <c r="C5812" s="19" t="n">
        <v>2</v>
      </c>
      <c r="D5812" s="19" t="n">
        <v>2027</v>
      </c>
      <c r="E5812" s="57" t="n">
        <v>6</v>
      </c>
      <c r="F5812" s="29">
        <f>ROUND(((SUMIFS(Calendar!$F$2:$F$9997,Calendar!$B$2:$B$9997,D5812,Calendar!$C$2:$C$9997,C5812)*INDEX(ForeCalc!$B$37:$Y$274,MATCH(_xlfn.CONCAT(H5812," ",I5812),ForeCalc!$A$37:$A$274,0),MATCH(_xlfn.CONCAT(B5812," ",E5812),ForeCalc!$B$36:$Y$36,0))))*VLOOKUP(A5812,Calendar!$A$2:$H$9997,8,FALSE),0)</f>
        <v/>
      </c>
      <c r="G5812" s="29">
        <f>VLOOKUP(A5812,Calendar!$A$1:$H$9997,6,FALSE)-F5812</f>
        <v/>
      </c>
      <c r="H5812" s="19" t="n">
        <v>1</v>
      </c>
      <c r="I5812" s="57" t="n">
        <v>11</v>
      </c>
    </row>
    <row r="5813">
      <c r="A5813" s="62" t="n">
        <v>46444</v>
      </c>
      <c r="B5813" s="3" t="inlineStr">
        <is>
          <t>Week</t>
        </is>
      </c>
      <c r="C5813" s="19" t="n">
        <v>2</v>
      </c>
      <c r="D5813" s="19" t="n">
        <v>2027</v>
      </c>
      <c r="E5813" s="57" t="n">
        <v>6</v>
      </c>
      <c r="F5813" s="29">
        <f>ROUND(((SUMIFS(Calendar!$F$2:$F$9997,Calendar!$B$2:$B$9997,D5813,Calendar!$C$2:$C$9997,C5813)*INDEX(ForeCalc!$B$37:$Y$274,MATCH(_xlfn.CONCAT(H5813," ",I5813),ForeCalc!$A$37:$A$274,0),MATCH(_xlfn.CONCAT(B5813," ",E5813),ForeCalc!$B$36:$Y$36,0))))*VLOOKUP(A5813,Calendar!$A$2:$H$9997,8,FALSE),0)</f>
        <v/>
      </c>
      <c r="G5813" s="29">
        <f>VLOOKUP(A5813,Calendar!$A$1:$H$9997,6,FALSE)-F5813</f>
        <v/>
      </c>
      <c r="H5813" s="19" t="n">
        <v>1</v>
      </c>
      <c r="I5813" s="57" t="n">
        <v>11</v>
      </c>
    </row>
    <row r="5814">
      <c r="A5814" s="62" t="n">
        <v>46445</v>
      </c>
      <c r="B5814" s="3" t="inlineStr">
        <is>
          <t>Sat</t>
        </is>
      </c>
      <c r="C5814" s="19" t="n">
        <v>2</v>
      </c>
      <c r="D5814" s="19" t="n">
        <v>2027</v>
      </c>
      <c r="E5814" s="57" t="n">
        <v>6</v>
      </c>
      <c r="F5814" s="29">
        <f>ROUND(((SUMIFS(Calendar!$F$2:$F$9997,Calendar!$B$2:$B$9997,D5814,Calendar!$C$2:$C$9997,C5814)*INDEX(ForeCalc!$B$37:$Y$274,MATCH(_xlfn.CONCAT(H5814," ",I5814),ForeCalc!$A$37:$A$274,0),MATCH(_xlfn.CONCAT(B5814," ",E5814),ForeCalc!$B$36:$Y$36,0))))*VLOOKUP(A5814,Calendar!$A$2:$H$9997,8,FALSE),0)</f>
        <v/>
      </c>
      <c r="G5814" s="29">
        <f>VLOOKUP(A5814,Calendar!$A$1:$H$9997,6,FALSE)-F5814</f>
        <v/>
      </c>
      <c r="H5814" s="19" t="n">
        <v>1</v>
      </c>
      <c r="I5814" s="57" t="n">
        <v>11</v>
      </c>
    </row>
    <row r="5815">
      <c r="A5815" s="62" t="n">
        <v>46446</v>
      </c>
      <c r="B5815" s="3" t="inlineStr">
        <is>
          <t>Sun</t>
        </is>
      </c>
      <c r="C5815" s="19" t="n">
        <v>2</v>
      </c>
      <c r="D5815" s="19" t="n">
        <v>2027</v>
      </c>
      <c r="E5815" s="57" t="n">
        <v>6</v>
      </c>
      <c r="F5815" s="29">
        <f>ROUND(((SUMIFS(Calendar!$F$2:$F$9997,Calendar!$B$2:$B$9997,D5815,Calendar!$C$2:$C$9997,C5815)*INDEX(ForeCalc!$B$37:$Y$274,MATCH(_xlfn.CONCAT(H5815," ",I5815),ForeCalc!$A$37:$A$274,0),MATCH(_xlfn.CONCAT(B5815," ",E5815),ForeCalc!$B$36:$Y$36,0))))*VLOOKUP(A5815,Calendar!$A$2:$H$9997,8,FALSE),0)</f>
        <v/>
      </c>
      <c r="G5815" s="29">
        <f>VLOOKUP(A5815,Calendar!$A$1:$H$9997,6,FALSE)-F5815</f>
        <v/>
      </c>
      <c r="H5815" s="19" t="n">
        <v>1</v>
      </c>
      <c r="I5815" s="57" t="n">
        <v>11</v>
      </c>
    </row>
    <row r="5816">
      <c r="A5816" s="62" t="n">
        <v>46447</v>
      </c>
      <c r="B5816" s="3" t="inlineStr">
        <is>
          <t>Week</t>
        </is>
      </c>
      <c r="C5816" s="19" t="n">
        <v>3</v>
      </c>
      <c r="D5816" s="19" t="n">
        <v>2027</v>
      </c>
      <c r="E5816" s="57" t="n">
        <v>6</v>
      </c>
      <c r="F5816" s="29">
        <f>ROUND(((SUMIFS(Calendar!$F$2:$F$9997,Calendar!$B$2:$B$9997,D5816,Calendar!$C$2:$C$9997,C5816)*INDEX(ForeCalc!$B$37:$Y$274,MATCH(_xlfn.CONCAT(H5816," ",I5816),ForeCalc!$A$37:$A$274,0),MATCH(_xlfn.CONCAT(B5816," ",E5816),ForeCalc!$B$36:$Y$36,0))))*VLOOKUP(A5816,Calendar!$A$2:$H$9997,8,FALSE),0)</f>
        <v/>
      </c>
      <c r="G5816" s="29">
        <f>VLOOKUP(A5816,Calendar!$A$1:$H$9997,6,FALSE)-F5816</f>
        <v/>
      </c>
      <c r="H5816" s="19" t="n">
        <v>1</v>
      </c>
      <c r="I5816" s="57" t="n">
        <v>12</v>
      </c>
    </row>
    <row r="5817">
      <c r="A5817" s="62" t="n">
        <v>46448</v>
      </c>
      <c r="B5817" s="3" t="inlineStr">
        <is>
          <t>Week</t>
        </is>
      </c>
      <c r="C5817" s="19" t="n">
        <v>3</v>
      </c>
      <c r="D5817" s="19" t="n">
        <v>2027</v>
      </c>
      <c r="E5817" s="57" t="n">
        <v>6</v>
      </c>
      <c r="F5817" s="29">
        <f>ROUND(((SUMIFS(Calendar!$F$2:$F$9997,Calendar!$B$2:$B$9997,D5817,Calendar!$C$2:$C$9997,C5817)*INDEX(ForeCalc!$B$37:$Y$274,MATCH(_xlfn.CONCAT(H5817," ",I5817),ForeCalc!$A$37:$A$274,0),MATCH(_xlfn.CONCAT(B5817," ",E5817),ForeCalc!$B$36:$Y$36,0))))*VLOOKUP(A5817,Calendar!$A$2:$H$9997,8,FALSE),0)</f>
        <v/>
      </c>
      <c r="G5817" s="29">
        <f>VLOOKUP(A5817,Calendar!$A$1:$H$9997,6,FALSE)-F5817</f>
        <v/>
      </c>
      <c r="H5817" s="19" t="n">
        <v>1</v>
      </c>
      <c r="I5817" s="57" t="n">
        <v>12</v>
      </c>
    </row>
    <row r="5818">
      <c r="A5818" s="62" t="n">
        <v>46449</v>
      </c>
      <c r="B5818" s="3" t="inlineStr">
        <is>
          <t>Week</t>
        </is>
      </c>
      <c r="C5818" s="19" t="n">
        <v>3</v>
      </c>
      <c r="D5818" s="19" t="n">
        <v>2027</v>
      </c>
      <c r="E5818" s="57" t="n">
        <v>6</v>
      </c>
      <c r="F5818" s="29">
        <f>ROUND(((SUMIFS(Calendar!$F$2:$F$9997,Calendar!$B$2:$B$9997,D5818,Calendar!$C$2:$C$9997,C5818)*INDEX(ForeCalc!$B$37:$Y$274,MATCH(_xlfn.CONCAT(H5818," ",I5818),ForeCalc!$A$37:$A$274,0),MATCH(_xlfn.CONCAT(B5818," ",E5818),ForeCalc!$B$36:$Y$36,0))))*VLOOKUP(A5818,Calendar!$A$2:$H$9997,8,FALSE),0)</f>
        <v/>
      </c>
      <c r="G5818" s="29">
        <f>VLOOKUP(A5818,Calendar!$A$1:$H$9997,6,FALSE)-F5818</f>
        <v/>
      </c>
      <c r="H5818" s="19" t="n">
        <v>1</v>
      </c>
      <c r="I5818" s="57" t="n">
        <v>12</v>
      </c>
    </row>
    <row r="5819">
      <c r="A5819" s="62" t="n">
        <v>46450</v>
      </c>
      <c r="B5819" s="3" t="inlineStr">
        <is>
          <t>Week</t>
        </is>
      </c>
      <c r="C5819" s="19" t="n">
        <v>3</v>
      </c>
      <c r="D5819" s="19" t="n">
        <v>2027</v>
      </c>
      <c r="E5819" s="57" t="n">
        <v>6</v>
      </c>
      <c r="F5819" s="29">
        <f>ROUND(((SUMIFS(Calendar!$F$2:$F$9997,Calendar!$B$2:$B$9997,D5819,Calendar!$C$2:$C$9997,C5819)*INDEX(ForeCalc!$B$37:$Y$274,MATCH(_xlfn.CONCAT(H5819," ",I5819),ForeCalc!$A$37:$A$274,0),MATCH(_xlfn.CONCAT(B5819," ",E5819),ForeCalc!$B$36:$Y$36,0))))*VLOOKUP(A5819,Calendar!$A$2:$H$9997,8,FALSE),0)</f>
        <v/>
      </c>
      <c r="G5819" s="29">
        <f>VLOOKUP(A5819,Calendar!$A$1:$H$9997,6,FALSE)-F5819</f>
        <v/>
      </c>
      <c r="H5819" s="19" t="n">
        <v>1</v>
      </c>
      <c r="I5819" s="57" t="n">
        <v>12</v>
      </c>
    </row>
    <row r="5820">
      <c r="A5820" s="62" t="n">
        <v>46451</v>
      </c>
      <c r="B5820" s="3" t="inlineStr">
        <is>
          <t>Week</t>
        </is>
      </c>
      <c r="C5820" s="19" t="n">
        <v>3</v>
      </c>
      <c r="D5820" s="19" t="n">
        <v>2027</v>
      </c>
      <c r="E5820" s="57" t="n">
        <v>6</v>
      </c>
      <c r="F5820" s="29">
        <f>ROUND(((SUMIFS(Calendar!$F$2:$F$9997,Calendar!$B$2:$B$9997,D5820,Calendar!$C$2:$C$9997,C5820)*INDEX(ForeCalc!$B$37:$Y$274,MATCH(_xlfn.CONCAT(H5820," ",I5820),ForeCalc!$A$37:$A$274,0),MATCH(_xlfn.CONCAT(B5820," ",E5820),ForeCalc!$B$36:$Y$36,0))))*VLOOKUP(A5820,Calendar!$A$2:$H$9997,8,FALSE),0)</f>
        <v/>
      </c>
      <c r="G5820" s="29">
        <f>VLOOKUP(A5820,Calendar!$A$1:$H$9997,6,FALSE)-F5820</f>
        <v/>
      </c>
      <c r="H5820" s="19" t="n">
        <v>1</v>
      </c>
      <c r="I5820" s="57" t="n">
        <v>12</v>
      </c>
    </row>
    <row r="5821">
      <c r="A5821" s="62" t="n">
        <v>46452</v>
      </c>
      <c r="B5821" s="3" t="inlineStr">
        <is>
          <t>Sat</t>
        </is>
      </c>
      <c r="C5821" s="19" t="n">
        <v>3</v>
      </c>
      <c r="D5821" s="19" t="n">
        <v>2027</v>
      </c>
      <c r="E5821" s="57" t="n">
        <v>6</v>
      </c>
      <c r="F5821" s="29">
        <f>ROUND(((SUMIFS(Calendar!$F$2:$F$9997,Calendar!$B$2:$B$9997,D5821,Calendar!$C$2:$C$9997,C5821)*INDEX(ForeCalc!$B$37:$Y$274,MATCH(_xlfn.CONCAT(H5821," ",I5821),ForeCalc!$A$37:$A$274,0),MATCH(_xlfn.CONCAT(B5821," ",E5821),ForeCalc!$B$36:$Y$36,0))))*VLOOKUP(A5821,Calendar!$A$2:$H$9997,8,FALSE),0)</f>
        <v/>
      </c>
      <c r="G5821" s="29">
        <f>VLOOKUP(A5821,Calendar!$A$1:$H$9997,6,FALSE)-F5821</f>
        <v/>
      </c>
      <c r="H5821" s="19" t="n">
        <v>1</v>
      </c>
      <c r="I5821" s="57" t="n">
        <v>12</v>
      </c>
    </row>
    <row r="5822">
      <c r="A5822" s="62" t="n">
        <v>46453</v>
      </c>
      <c r="B5822" s="3" t="inlineStr">
        <is>
          <t>Sun</t>
        </is>
      </c>
      <c r="C5822" s="19" t="n">
        <v>3</v>
      </c>
      <c r="D5822" s="19" t="n">
        <v>2027</v>
      </c>
      <c r="E5822" s="57" t="n">
        <v>6</v>
      </c>
      <c r="F5822" s="29">
        <f>ROUND(((SUMIFS(Calendar!$F$2:$F$9997,Calendar!$B$2:$B$9997,D5822,Calendar!$C$2:$C$9997,C5822)*INDEX(ForeCalc!$B$37:$Y$274,MATCH(_xlfn.CONCAT(H5822," ",I5822),ForeCalc!$A$37:$A$274,0),MATCH(_xlfn.CONCAT(B5822," ",E5822),ForeCalc!$B$36:$Y$36,0))))*VLOOKUP(A5822,Calendar!$A$2:$H$9997,8,FALSE),0)</f>
        <v/>
      </c>
      <c r="G5822" s="29">
        <f>VLOOKUP(A5822,Calendar!$A$1:$H$9997,6,FALSE)-F5822</f>
        <v/>
      </c>
      <c r="H5822" s="19" t="n">
        <v>1</v>
      </c>
      <c r="I5822" s="57" t="n">
        <v>12</v>
      </c>
    </row>
    <row r="5823">
      <c r="A5823" s="62" t="n">
        <v>46454</v>
      </c>
      <c r="B5823" s="3" t="inlineStr">
        <is>
          <t>Week</t>
        </is>
      </c>
      <c r="C5823" s="19" t="n">
        <v>3</v>
      </c>
      <c r="D5823" s="19" t="n">
        <v>2027</v>
      </c>
      <c r="E5823" s="57" t="n">
        <v>6</v>
      </c>
      <c r="F5823" s="29">
        <f>ROUND(((SUMIFS(Calendar!$F$2:$F$9997,Calendar!$B$2:$B$9997,D5823,Calendar!$C$2:$C$9997,C5823)*INDEX(ForeCalc!$B$37:$Y$274,MATCH(_xlfn.CONCAT(H5823," ",I5823),ForeCalc!$A$37:$A$274,0),MATCH(_xlfn.CONCAT(B5823," ",E5823),ForeCalc!$B$36:$Y$36,0))))*VLOOKUP(A5823,Calendar!$A$2:$H$9997,8,FALSE),0)</f>
        <v/>
      </c>
      <c r="G5823" s="29">
        <f>VLOOKUP(A5823,Calendar!$A$1:$H$9997,6,FALSE)-F5823</f>
        <v/>
      </c>
      <c r="H5823" s="19" t="n">
        <v>1</v>
      </c>
      <c r="I5823" s="57" t="n">
        <v>12</v>
      </c>
    </row>
    <row r="5824">
      <c r="A5824" s="62" t="n">
        <v>46455</v>
      </c>
      <c r="B5824" s="3" t="inlineStr">
        <is>
          <t>Week</t>
        </is>
      </c>
      <c r="C5824" s="19" t="n">
        <v>3</v>
      </c>
      <c r="D5824" s="19" t="n">
        <v>2027</v>
      </c>
      <c r="E5824" s="57" t="n">
        <v>6</v>
      </c>
      <c r="F5824" s="29">
        <f>ROUND(((SUMIFS(Calendar!$F$2:$F$9997,Calendar!$B$2:$B$9997,D5824,Calendar!$C$2:$C$9997,C5824)*INDEX(ForeCalc!$B$37:$Y$274,MATCH(_xlfn.CONCAT(H5824," ",I5824),ForeCalc!$A$37:$A$274,0),MATCH(_xlfn.CONCAT(B5824," ",E5824),ForeCalc!$B$36:$Y$36,0))))*VLOOKUP(A5824,Calendar!$A$2:$H$9997,8,FALSE),0)</f>
        <v/>
      </c>
      <c r="G5824" s="29">
        <f>VLOOKUP(A5824,Calendar!$A$1:$H$9997,6,FALSE)-F5824</f>
        <v/>
      </c>
      <c r="H5824" s="19" t="n">
        <v>1</v>
      </c>
      <c r="I5824" s="57" t="n">
        <v>12</v>
      </c>
    </row>
    <row r="5825">
      <c r="A5825" s="62" t="n">
        <v>46456</v>
      </c>
      <c r="B5825" s="3" t="inlineStr">
        <is>
          <t>Week</t>
        </is>
      </c>
      <c r="C5825" s="19" t="n">
        <v>3</v>
      </c>
      <c r="D5825" s="19" t="n">
        <v>2027</v>
      </c>
      <c r="E5825" s="57" t="n">
        <v>6</v>
      </c>
      <c r="F5825" s="29">
        <f>ROUND(((SUMIFS(Calendar!$F$2:$F$9997,Calendar!$B$2:$B$9997,D5825,Calendar!$C$2:$C$9997,C5825)*INDEX(ForeCalc!$B$37:$Y$274,MATCH(_xlfn.CONCAT(H5825," ",I5825),ForeCalc!$A$37:$A$274,0),MATCH(_xlfn.CONCAT(B5825," ",E5825),ForeCalc!$B$36:$Y$36,0))))*VLOOKUP(A5825,Calendar!$A$2:$H$9997,8,FALSE),0)</f>
        <v/>
      </c>
      <c r="G5825" s="29">
        <f>VLOOKUP(A5825,Calendar!$A$1:$H$9997,6,FALSE)-F5825</f>
        <v/>
      </c>
      <c r="H5825" s="19" t="n">
        <v>1</v>
      </c>
      <c r="I5825" s="57" t="n">
        <v>12</v>
      </c>
    </row>
    <row r="5826">
      <c r="A5826" s="62" t="n">
        <v>46457</v>
      </c>
      <c r="B5826" s="3" t="inlineStr">
        <is>
          <t>Week</t>
        </is>
      </c>
      <c r="C5826" s="19" t="n">
        <v>3</v>
      </c>
      <c r="D5826" s="19" t="n">
        <v>2027</v>
      </c>
      <c r="E5826" s="57" t="n">
        <v>6</v>
      </c>
      <c r="F5826" s="29">
        <f>ROUND(((SUMIFS(Calendar!$F$2:$F$9997,Calendar!$B$2:$B$9997,D5826,Calendar!$C$2:$C$9997,C5826)*INDEX(ForeCalc!$B$37:$Y$274,MATCH(_xlfn.CONCAT(H5826," ",I5826),ForeCalc!$A$37:$A$274,0),MATCH(_xlfn.CONCAT(B5826," ",E5826),ForeCalc!$B$36:$Y$36,0))))*VLOOKUP(A5826,Calendar!$A$2:$H$9997,8,FALSE),0)</f>
        <v/>
      </c>
      <c r="G5826" s="29">
        <f>VLOOKUP(A5826,Calendar!$A$1:$H$9997,6,FALSE)-F5826</f>
        <v/>
      </c>
      <c r="H5826" s="19" t="n">
        <v>1</v>
      </c>
      <c r="I5826" s="57" t="n">
        <v>12</v>
      </c>
    </row>
    <row r="5827">
      <c r="A5827" s="62" t="n">
        <v>46458</v>
      </c>
      <c r="B5827" s="3" t="inlineStr">
        <is>
          <t>Week</t>
        </is>
      </c>
      <c r="C5827" s="19" t="n">
        <v>3</v>
      </c>
      <c r="D5827" s="19" t="n">
        <v>2027</v>
      </c>
      <c r="E5827" s="57" t="n">
        <v>6</v>
      </c>
      <c r="F5827" s="29">
        <f>ROUND(((SUMIFS(Calendar!$F$2:$F$9997,Calendar!$B$2:$B$9997,D5827,Calendar!$C$2:$C$9997,C5827)*INDEX(ForeCalc!$B$37:$Y$274,MATCH(_xlfn.CONCAT(H5827," ",I5827),ForeCalc!$A$37:$A$274,0),MATCH(_xlfn.CONCAT(B5827," ",E5827),ForeCalc!$B$36:$Y$36,0))))*VLOOKUP(A5827,Calendar!$A$2:$H$9997,8,FALSE),0)</f>
        <v/>
      </c>
      <c r="G5827" s="29">
        <f>VLOOKUP(A5827,Calendar!$A$1:$H$9997,6,FALSE)-F5827</f>
        <v/>
      </c>
      <c r="H5827" s="19" t="n">
        <v>1</v>
      </c>
      <c r="I5827" s="57" t="n">
        <v>12</v>
      </c>
    </row>
    <row r="5828">
      <c r="A5828" s="62" t="n">
        <v>46459</v>
      </c>
      <c r="B5828" s="3" t="inlineStr">
        <is>
          <t>Sat</t>
        </is>
      </c>
      <c r="C5828" s="19" t="n">
        <v>3</v>
      </c>
      <c r="D5828" s="19" t="n">
        <v>2027</v>
      </c>
      <c r="E5828" s="57" t="n">
        <v>6</v>
      </c>
      <c r="F5828" s="29">
        <f>ROUND(((SUMIFS(Calendar!$F$2:$F$9997,Calendar!$B$2:$B$9997,D5828,Calendar!$C$2:$C$9997,C5828)*INDEX(ForeCalc!$B$37:$Y$274,MATCH(_xlfn.CONCAT(H5828," ",I5828),ForeCalc!$A$37:$A$274,0),MATCH(_xlfn.CONCAT(B5828," ",E5828),ForeCalc!$B$36:$Y$36,0))))*VLOOKUP(A5828,Calendar!$A$2:$H$9997,8,FALSE),0)</f>
        <v/>
      </c>
      <c r="G5828" s="29">
        <f>VLOOKUP(A5828,Calendar!$A$1:$H$9997,6,FALSE)-F5828</f>
        <v/>
      </c>
      <c r="H5828" s="19" t="n">
        <v>1</v>
      </c>
      <c r="I5828" s="57" t="n">
        <v>12</v>
      </c>
    </row>
    <row r="5829">
      <c r="A5829" s="62" t="n">
        <v>46460</v>
      </c>
      <c r="B5829" s="3" t="inlineStr">
        <is>
          <t>Sun</t>
        </is>
      </c>
      <c r="C5829" s="19" t="n">
        <v>3</v>
      </c>
      <c r="D5829" s="19" t="n">
        <v>2027</v>
      </c>
      <c r="E5829" s="57" t="n">
        <v>6</v>
      </c>
      <c r="F5829" s="29">
        <f>ROUND(((SUMIFS(Calendar!$F$2:$F$9997,Calendar!$B$2:$B$9997,D5829,Calendar!$C$2:$C$9997,C5829)*INDEX(ForeCalc!$B$37:$Y$274,MATCH(_xlfn.CONCAT(H5829," ",I5829),ForeCalc!$A$37:$A$274,0),MATCH(_xlfn.CONCAT(B5829," ",E5829),ForeCalc!$B$36:$Y$36,0))))*VLOOKUP(A5829,Calendar!$A$2:$H$9997,8,FALSE),0)</f>
        <v/>
      </c>
      <c r="G5829" s="29">
        <f>VLOOKUP(A5829,Calendar!$A$1:$H$9997,6,FALSE)-F5829</f>
        <v/>
      </c>
      <c r="H5829" s="19" t="n">
        <v>1</v>
      </c>
      <c r="I5829" s="57" t="n">
        <v>12</v>
      </c>
    </row>
    <row r="5830">
      <c r="A5830" s="62" t="n">
        <v>46461</v>
      </c>
      <c r="B5830" s="3" t="inlineStr">
        <is>
          <t>Week</t>
        </is>
      </c>
      <c r="C5830" s="19" t="n">
        <v>3</v>
      </c>
      <c r="D5830" s="19" t="n">
        <v>2027</v>
      </c>
      <c r="E5830" s="57" t="n">
        <v>6</v>
      </c>
      <c r="F5830" s="29">
        <f>ROUND(((SUMIFS(Calendar!$F$2:$F$9997,Calendar!$B$2:$B$9997,D5830,Calendar!$C$2:$C$9997,C5830)*INDEX(ForeCalc!$B$37:$Y$274,MATCH(_xlfn.CONCAT(H5830," ",I5830),ForeCalc!$A$37:$A$274,0),MATCH(_xlfn.CONCAT(B5830," ",E5830),ForeCalc!$B$36:$Y$36,0))))*VLOOKUP(A5830,Calendar!$A$2:$H$9997,8,FALSE),0)</f>
        <v/>
      </c>
      <c r="G5830" s="29">
        <f>VLOOKUP(A5830,Calendar!$A$1:$H$9997,6,FALSE)-F5830</f>
        <v/>
      </c>
      <c r="H5830" s="19" t="n">
        <v>1</v>
      </c>
      <c r="I5830" s="57" t="n">
        <v>12</v>
      </c>
    </row>
    <row r="5831">
      <c r="A5831" s="62" t="n">
        <v>46462</v>
      </c>
      <c r="B5831" s="3" t="inlineStr">
        <is>
          <t>Week</t>
        </is>
      </c>
      <c r="C5831" s="19" t="n">
        <v>3</v>
      </c>
      <c r="D5831" s="19" t="n">
        <v>2027</v>
      </c>
      <c r="E5831" s="57" t="n">
        <v>6</v>
      </c>
      <c r="F5831" s="29">
        <f>ROUND(((SUMIFS(Calendar!$F$2:$F$9997,Calendar!$B$2:$B$9997,D5831,Calendar!$C$2:$C$9997,C5831)*INDEX(ForeCalc!$B$37:$Y$274,MATCH(_xlfn.CONCAT(H5831," ",I5831),ForeCalc!$A$37:$A$274,0),MATCH(_xlfn.CONCAT(B5831," ",E5831),ForeCalc!$B$36:$Y$36,0))))*VLOOKUP(A5831,Calendar!$A$2:$H$9997,8,FALSE),0)</f>
        <v/>
      </c>
      <c r="G5831" s="29">
        <f>VLOOKUP(A5831,Calendar!$A$1:$H$9997,6,FALSE)-F5831</f>
        <v/>
      </c>
      <c r="H5831" s="19" t="n">
        <v>1</v>
      </c>
      <c r="I5831" s="57" t="n">
        <v>12</v>
      </c>
    </row>
    <row r="5832">
      <c r="A5832" s="62" t="n">
        <v>46463</v>
      </c>
      <c r="B5832" s="3" t="inlineStr">
        <is>
          <t>Week</t>
        </is>
      </c>
      <c r="C5832" s="19" t="n">
        <v>3</v>
      </c>
      <c r="D5832" s="19" t="n">
        <v>2027</v>
      </c>
      <c r="E5832" s="57" t="n">
        <v>6</v>
      </c>
      <c r="F5832" s="29">
        <f>ROUND(((SUMIFS(Calendar!$F$2:$F$9997,Calendar!$B$2:$B$9997,D5832,Calendar!$C$2:$C$9997,C5832)*INDEX(ForeCalc!$B$37:$Y$274,MATCH(_xlfn.CONCAT(H5832," ",I5832),ForeCalc!$A$37:$A$274,0),MATCH(_xlfn.CONCAT(B5832," ",E5832),ForeCalc!$B$36:$Y$36,0))))*VLOOKUP(A5832,Calendar!$A$2:$H$9997,8,FALSE),0)</f>
        <v/>
      </c>
      <c r="G5832" s="29">
        <f>VLOOKUP(A5832,Calendar!$A$1:$H$9997,6,FALSE)-F5832</f>
        <v/>
      </c>
      <c r="H5832" s="19" t="n">
        <v>1</v>
      </c>
      <c r="I5832" s="57" t="n">
        <v>12</v>
      </c>
    </row>
    <row r="5833">
      <c r="A5833" s="62" t="n">
        <v>46464</v>
      </c>
      <c r="B5833" s="3" t="inlineStr">
        <is>
          <t>Week</t>
        </is>
      </c>
      <c r="C5833" s="19" t="n">
        <v>3</v>
      </c>
      <c r="D5833" s="19" t="n">
        <v>2027</v>
      </c>
      <c r="E5833" s="57" t="n">
        <v>6</v>
      </c>
      <c r="F5833" s="29">
        <f>ROUND(((SUMIFS(Calendar!$F$2:$F$9997,Calendar!$B$2:$B$9997,D5833,Calendar!$C$2:$C$9997,C5833)*INDEX(ForeCalc!$B$37:$Y$274,MATCH(_xlfn.CONCAT(H5833," ",I5833),ForeCalc!$A$37:$A$274,0),MATCH(_xlfn.CONCAT(B5833," ",E5833),ForeCalc!$B$36:$Y$36,0))))*VLOOKUP(A5833,Calendar!$A$2:$H$9997,8,FALSE),0)</f>
        <v/>
      </c>
      <c r="G5833" s="29">
        <f>VLOOKUP(A5833,Calendar!$A$1:$H$9997,6,FALSE)-F5833</f>
        <v/>
      </c>
      <c r="H5833" s="19" t="n">
        <v>1</v>
      </c>
      <c r="I5833" s="57" t="n">
        <v>12</v>
      </c>
    </row>
    <row r="5834">
      <c r="A5834" s="62" t="n">
        <v>46465</v>
      </c>
      <c r="B5834" s="3" t="inlineStr">
        <is>
          <t>Week</t>
        </is>
      </c>
      <c r="C5834" s="19" t="n">
        <v>3</v>
      </c>
      <c r="D5834" s="19" t="n">
        <v>2027</v>
      </c>
      <c r="E5834" s="57" t="n">
        <v>6</v>
      </c>
      <c r="F5834" s="29">
        <f>ROUND(((SUMIFS(Calendar!$F$2:$F$9997,Calendar!$B$2:$B$9997,D5834,Calendar!$C$2:$C$9997,C5834)*INDEX(ForeCalc!$B$37:$Y$274,MATCH(_xlfn.CONCAT(H5834," ",I5834),ForeCalc!$A$37:$A$274,0),MATCH(_xlfn.CONCAT(B5834," ",E5834),ForeCalc!$B$36:$Y$36,0))))*VLOOKUP(A5834,Calendar!$A$2:$H$9997,8,FALSE),0)</f>
        <v/>
      </c>
      <c r="G5834" s="29">
        <f>VLOOKUP(A5834,Calendar!$A$1:$H$9997,6,FALSE)-F5834</f>
        <v/>
      </c>
      <c r="H5834" s="19" t="n">
        <v>1</v>
      </c>
      <c r="I5834" s="57" t="n">
        <v>12</v>
      </c>
    </row>
    <row r="5835">
      <c r="A5835" s="62" t="n">
        <v>46466</v>
      </c>
      <c r="B5835" s="3" t="inlineStr">
        <is>
          <t>Sat</t>
        </is>
      </c>
      <c r="C5835" s="19" t="n">
        <v>3</v>
      </c>
      <c r="D5835" s="19" t="n">
        <v>2027</v>
      </c>
      <c r="E5835" s="57" t="n">
        <v>6</v>
      </c>
      <c r="F5835" s="29">
        <f>ROUND(((SUMIFS(Calendar!$F$2:$F$9997,Calendar!$B$2:$B$9997,D5835,Calendar!$C$2:$C$9997,C5835)*INDEX(ForeCalc!$B$37:$Y$274,MATCH(_xlfn.CONCAT(H5835," ",I5835),ForeCalc!$A$37:$A$274,0),MATCH(_xlfn.CONCAT(B5835," ",E5835),ForeCalc!$B$36:$Y$36,0))))*VLOOKUP(A5835,Calendar!$A$2:$H$9997,8,FALSE),0)</f>
        <v/>
      </c>
      <c r="G5835" s="29">
        <f>VLOOKUP(A5835,Calendar!$A$1:$H$9997,6,FALSE)-F5835</f>
        <v/>
      </c>
      <c r="H5835" s="19" t="n">
        <v>1</v>
      </c>
      <c r="I5835" s="57" t="n">
        <v>12</v>
      </c>
    </row>
    <row r="5836">
      <c r="A5836" s="62" t="n">
        <v>46467</v>
      </c>
      <c r="B5836" s="3" t="inlineStr">
        <is>
          <t>Sun</t>
        </is>
      </c>
      <c r="C5836" s="19" t="n">
        <v>3</v>
      </c>
      <c r="D5836" s="19" t="n">
        <v>2027</v>
      </c>
      <c r="E5836" s="57" t="n">
        <v>6</v>
      </c>
      <c r="F5836" s="29">
        <f>ROUND(((SUMIFS(Calendar!$F$2:$F$9997,Calendar!$B$2:$B$9997,D5836,Calendar!$C$2:$C$9997,C5836)*INDEX(ForeCalc!$B$37:$Y$274,MATCH(_xlfn.CONCAT(H5836," ",I5836),ForeCalc!$A$37:$A$274,0),MATCH(_xlfn.CONCAT(B5836," ",E5836),ForeCalc!$B$36:$Y$36,0))))*VLOOKUP(A5836,Calendar!$A$2:$H$9997,8,FALSE),0)</f>
        <v/>
      </c>
      <c r="G5836" s="29">
        <f>VLOOKUP(A5836,Calendar!$A$1:$H$9997,6,FALSE)-F5836</f>
        <v/>
      </c>
      <c r="H5836" s="19" t="n">
        <v>1</v>
      </c>
      <c r="I5836" s="57" t="n">
        <v>12</v>
      </c>
    </row>
    <row r="5837">
      <c r="A5837" s="62" t="n">
        <v>46468</v>
      </c>
      <c r="B5837" s="3" t="inlineStr">
        <is>
          <t>Week</t>
        </is>
      </c>
      <c r="C5837" s="19" t="n">
        <v>3</v>
      </c>
      <c r="D5837" s="19" t="n">
        <v>2027</v>
      </c>
      <c r="E5837" s="57" t="n">
        <v>6</v>
      </c>
      <c r="F5837" s="29">
        <f>ROUND(((SUMIFS(Calendar!$F$2:$F$9997,Calendar!$B$2:$B$9997,D5837,Calendar!$C$2:$C$9997,C5837)*INDEX(ForeCalc!$B$37:$Y$274,MATCH(_xlfn.CONCAT(H5837," ",I5837),ForeCalc!$A$37:$A$274,0),MATCH(_xlfn.CONCAT(B5837," ",E5837),ForeCalc!$B$36:$Y$36,0))))*VLOOKUP(A5837,Calendar!$A$2:$H$9997,8,FALSE),0)</f>
        <v/>
      </c>
      <c r="G5837" s="29">
        <f>VLOOKUP(A5837,Calendar!$A$1:$H$9997,6,FALSE)-F5837</f>
        <v/>
      </c>
      <c r="H5837" s="19" t="n">
        <v>1</v>
      </c>
      <c r="I5837" s="57" t="n">
        <v>12</v>
      </c>
    </row>
    <row r="5838">
      <c r="A5838" s="62" t="n">
        <v>46469</v>
      </c>
      <c r="B5838" s="3" t="inlineStr">
        <is>
          <t>Week</t>
        </is>
      </c>
      <c r="C5838" s="19" t="n">
        <v>3</v>
      </c>
      <c r="D5838" s="19" t="n">
        <v>2027</v>
      </c>
      <c r="E5838" s="57" t="n">
        <v>6</v>
      </c>
      <c r="F5838" s="29">
        <f>ROUND(((SUMIFS(Calendar!$F$2:$F$9997,Calendar!$B$2:$B$9997,D5838,Calendar!$C$2:$C$9997,C5838)*INDEX(ForeCalc!$B$37:$Y$274,MATCH(_xlfn.CONCAT(H5838," ",I5838),ForeCalc!$A$37:$A$274,0),MATCH(_xlfn.CONCAT(B5838," ",E5838),ForeCalc!$B$36:$Y$36,0))))*VLOOKUP(A5838,Calendar!$A$2:$H$9997,8,FALSE),0)</f>
        <v/>
      </c>
      <c r="G5838" s="29">
        <f>VLOOKUP(A5838,Calendar!$A$1:$H$9997,6,FALSE)-F5838</f>
        <v/>
      </c>
      <c r="H5838" s="19" t="n">
        <v>1</v>
      </c>
      <c r="I5838" s="57" t="n">
        <v>12</v>
      </c>
    </row>
    <row r="5839">
      <c r="A5839" s="62" t="n">
        <v>46470</v>
      </c>
      <c r="B5839" s="3" t="inlineStr">
        <is>
          <t>Week</t>
        </is>
      </c>
      <c r="C5839" s="19" t="n">
        <v>3</v>
      </c>
      <c r="D5839" s="19" t="n">
        <v>2027</v>
      </c>
      <c r="E5839" s="57" t="n">
        <v>6</v>
      </c>
      <c r="F5839" s="29">
        <f>ROUND(((SUMIFS(Calendar!$F$2:$F$9997,Calendar!$B$2:$B$9997,D5839,Calendar!$C$2:$C$9997,C5839)*INDEX(ForeCalc!$B$37:$Y$274,MATCH(_xlfn.CONCAT(H5839," ",I5839),ForeCalc!$A$37:$A$274,0),MATCH(_xlfn.CONCAT(B5839," ",E5839),ForeCalc!$B$36:$Y$36,0))))*VLOOKUP(A5839,Calendar!$A$2:$H$9997,8,FALSE),0)</f>
        <v/>
      </c>
      <c r="G5839" s="29">
        <f>VLOOKUP(A5839,Calendar!$A$1:$H$9997,6,FALSE)-F5839</f>
        <v/>
      </c>
      <c r="H5839" s="19" t="n">
        <v>1</v>
      </c>
      <c r="I5839" s="57" t="n">
        <v>12</v>
      </c>
    </row>
    <row r="5840">
      <c r="A5840" s="62" t="n">
        <v>46471</v>
      </c>
      <c r="B5840" s="3" t="inlineStr">
        <is>
          <t>Week</t>
        </is>
      </c>
      <c r="C5840" s="19" t="n">
        <v>3</v>
      </c>
      <c r="D5840" s="19" t="n">
        <v>2027</v>
      </c>
      <c r="E5840" s="57" t="n">
        <v>6</v>
      </c>
      <c r="F5840" s="29">
        <f>ROUND(((SUMIFS(Calendar!$F$2:$F$9997,Calendar!$B$2:$B$9997,D5840,Calendar!$C$2:$C$9997,C5840)*INDEX(ForeCalc!$B$37:$Y$274,MATCH(_xlfn.CONCAT(H5840," ",I5840),ForeCalc!$A$37:$A$274,0),MATCH(_xlfn.CONCAT(B5840," ",E5840),ForeCalc!$B$36:$Y$36,0))))*VLOOKUP(A5840,Calendar!$A$2:$H$9997,8,FALSE),0)</f>
        <v/>
      </c>
      <c r="G5840" s="29">
        <f>VLOOKUP(A5840,Calendar!$A$1:$H$9997,6,FALSE)-F5840</f>
        <v/>
      </c>
      <c r="H5840" s="19" t="n">
        <v>1</v>
      </c>
      <c r="I5840" s="57" t="n">
        <v>12</v>
      </c>
    </row>
    <row r="5841">
      <c r="A5841" s="62" t="n">
        <v>46472</v>
      </c>
      <c r="B5841" s="3" t="inlineStr">
        <is>
          <t>Week</t>
        </is>
      </c>
      <c r="C5841" s="19" t="n">
        <v>3</v>
      </c>
      <c r="D5841" s="19" t="n">
        <v>2027</v>
      </c>
      <c r="E5841" s="57" t="n">
        <v>6</v>
      </c>
      <c r="F5841" s="29">
        <f>ROUND(((SUMIFS(Calendar!$F$2:$F$9997,Calendar!$B$2:$B$9997,D5841,Calendar!$C$2:$C$9997,C5841)*INDEX(ForeCalc!$B$37:$Y$274,MATCH(_xlfn.CONCAT(H5841," ",I5841),ForeCalc!$A$37:$A$274,0),MATCH(_xlfn.CONCAT(B5841," ",E5841),ForeCalc!$B$36:$Y$36,0))))*VLOOKUP(A5841,Calendar!$A$2:$H$9997,8,FALSE),0)</f>
        <v/>
      </c>
      <c r="G5841" s="29">
        <f>VLOOKUP(A5841,Calendar!$A$1:$H$9997,6,FALSE)-F5841</f>
        <v/>
      </c>
      <c r="H5841" s="19" t="n">
        <v>1</v>
      </c>
      <c r="I5841" s="57" t="n">
        <v>12</v>
      </c>
    </row>
    <row r="5842">
      <c r="A5842" s="62" t="n">
        <v>46473</v>
      </c>
      <c r="B5842" s="3" t="inlineStr">
        <is>
          <t>Sat</t>
        </is>
      </c>
      <c r="C5842" s="19" t="n">
        <v>3</v>
      </c>
      <c r="D5842" s="19" t="n">
        <v>2027</v>
      </c>
      <c r="E5842" s="57" t="n">
        <v>6</v>
      </c>
      <c r="F5842" s="29">
        <f>ROUND(((SUMIFS(Calendar!$F$2:$F$9997,Calendar!$B$2:$B$9997,D5842,Calendar!$C$2:$C$9997,C5842)*INDEX(ForeCalc!$B$37:$Y$274,MATCH(_xlfn.CONCAT(H5842," ",I5842),ForeCalc!$A$37:$A$274,0),MATCH(_xlfn.CONCAT(B5842," ",E5842),ForeCalc!$B$36:$Y$36,0))))*VLOOKUP(A5842,Calendar!$A$2:$H$9997,8,FALSE),0)</f>
        <v/>
      </c>
      <c r="G5842" s="29">
        <f>VLOOKUP(A5842,Calendar!$A$1:$H$9997,6,FALSE)-F5842</f>
        <v/>
      </c>
      <c r="H5842" s="19" t="n">
        <v>1</v>
      </c>
      <c r="I5842" s="57" t="n">
        <v>12</v>
      </c>
    </row>
    <row r="5843">
      <c r="A5843" s="62" t="n">
        <v>46474</v>
      </c>
      <c r="B5843" s="3" t="inlineStr">
        <is>
          <t>Sun</t>
        </is>
      </c>
      <c r="C5843" s="19" t="n">
        <v>3</v>
      </c>
      <c r="D5843" s="19" t="n">
        <v>2027</v>
      </c>
      <c r="E5843" s="57" t="n">
        <v>6</v>
      </c>
      <c r="F5843" s="29">
        <f>ROUND(((SUMIFS(Calendar!$F$2:$F$9997,Calendar!$B$2:$B$9997,D5843,Calendar!$C$2:$C$9997,C5843)*INDEX(ForeCalc!$B$37:$Y$274,MATCH(_xlfn.CONCAT(H5843," ",I5843),ForeCalc!$A$37:$A$274,0),MATCH(_xlfn.CONCAT(B5843," ",E5843),ForeCalc!$B$36:$Y$36,0))))*VLOOKUP(A5843,Calendar!$A$2:$H$9997,8,FALSE),0)</f>
        <v/>
      </c>
      <c r="G5843" s="29">
        <f>VLOOKUP(A5843,Calendar!$A$1:$H$9997,6,FALSE)-F5843</f>
        <v/>
      </c>
      <c r="H5843" s="19" t="n">
        <v>1</v>
      </c>
      <c r="I5843" s="57" t="n">
        <v>12</v>
      </c>
    </row>
    <row r="5844">
      <c r="A5844" s="62" t="n">
        <v>46475</v>
      </c>
      <c r="B5844" s="3" t="inlineStr">
        <is>
          <t>Week</t>
        </is>
      </c>
      <c r="C5844" s="19" t="n">
        <v>3</v>
      </c>
      <c r="D5844" s="19" t="n">
        <v>2027</v>
      </c>
      <c r="E5844" s="57" t="n">
        <v>6</v>
      </c>
      <c r="F5844" s="29">
        <f>ROUND(((SUMIFS(Calendar!$F$2:$F$9997,Calendar!$B$2:$B$9997,D5844,Calendar!$C$2:$C$9997,C5844)*INDEX(ForeCalc!$B$37:$Y$274,MATCH(_xlfn.CONCAT(H5844," ",I5844),ForeCalc!$A$37:$A$274,0),MATCH(_xlfn.CONCAT(B5844," ",E5844),ForeCalc!$B$36:$Y$36,0))))*VLOOKUP(A5844,Calendar!$A$2:$H$9997,8,FALSE),0)</f>
        <v/>
      </c>
      <c r="G5844" s="29">
        <f>VLOOKUP(A5844,Calendar!$A$1:$H$9997,6,FALSE)-F5844</f>
        <v/>
      </c>
      <c r="H5844" s="19" t="n">
        <v>1</v>
      </c>
      <c r="I5844" s="57" t="n">
        <v>12</v>
      </c>
    </row>
    <row r="5845">
      <c r="A5845" s="62" t="n">
        <v>46476</v>
      </c>
      <c r="B5845" s="3" t="inlineStr">
        <is>
          <t>Week</t>
        </is>
      </c>
      <c r="C5845" s="19" t="n">
        <v>3</v>
      </c>
      <c r="D5845" s="19" t="n">
        <v>2027</v>
      </c>
      <c r="E5845" s="57" t="n">
        <v>6</v>
      </c>
      <c r="F5845" s="29">
        <f>ROUND(((SUMIFS(Calendar!$F$2:$F$9997,Calendar!$B$2:$B$9997,D5845,Calendar!$C$2:$C$9997,C5845)*INDEX(ForeCalc!$B$37:$Y$274,MATCH(_xlfn.CONCAT(H5845," ",I5845),ForeCalc!$A$37:$A$274,0),MATCH(_xlfn.CONCAT(B5845," ",E5845),ForeCalc!$B$36:$Y$36,0))))*VLOOKUP(A5845,Calendar!$A$2:$H$9997,8,FALSE),0)</f>
        <v/>
      </c>
      <c r="G5845" s="29">
        <f>VLOOKUP(A5845,Calendar!$A$1:$H$9997,6,FALSE)-F5845</f>
        <v/>
      </c>
      <c r="H5845" s="19" t="n">
        <v>1</v>
      </c>
      <c r="I5845" s="57" t="n">
        <v>12</v>
      </c>
    </row>
    <row r="5846">
      <c r="A5846" s="62" t="n">
        <v>46477</v>
      </c>
      <c r="B5846" s="3" t="inlineStr">
        <is>
          <t>Week</t>
        </is>
      </c>
      <c r="C5846" s="19" t="n">
        <v>3</v>
      </c>
      <c r="D5846" s="19" t="n">
        <v>2027</v>
      </c>
      <c r="E5846" s="57" t="n">
        <v>6</v>
      </c>
      <c r="F5846" s="29">
        <f>ROUND(((SUMIFS(Calendar!$F$2:$F$9997,Calendar!$B$2:$B$9997,D5846,Calendar!$C$2:$C$9997,C5846)*INDEX(ForeCalc!$B$37:$Y$274,MATCH(_xlfn.CONCAT(H5846," ",I5846),ForeCalc!$A$37:$A$274,0),MATCH(_xlfn.CONCAT(B5846," ",E5846),ForeCalc!$B$36:$Y$36,0))))*VLOOKUP(A5846,Calendar!$A$2:$H$9997,8,FALSE),0)</f>
        <v/>
      </c>
      <c r="G5846" s="29">
        <f>VLOOKUP(A5846,Calendar!$A$1:$H$9997,6,FALSE)-F5846</f>
        <v/>
      </c>
      <c r="H5846" s="19" t="n">
        <v>1</v>
      </c>
      <c r="I5846" s="57" t="n">
        <v>12</v>
      </c>
    </row>
    <row r="5847">
      <c r="A5847" s="62" t="n">
        <v>46478</v>
      </c>
      <c r="B5847" s="3" t="inlineStr">
        <is>
          <t>Week</t>
        </is>
      </c>
      <c r="C5847" s="19" t="n">
        <v>4</v>
      </c>
      <c r="D5847" s="19" t="n">
        <v>2027</v>
      </c>
      <c r="E5847" s="57" t="n">
        <v>6</v>
      </c>
      <c r="F5847" s="29">
        <f>ROUND(((SUMIFS(Calendar!$F$2:$F$9997,Calendar!$B$2:$B$9997,D5847,Calendar!$C$2:$C$9997,C5847)*INDEX(ForeCalc!$B$37:$Y$274,MATCH(_xlfn.CONCAT(H5847," ",I5847),ForeCalc!$A$37:$A$274,0),MATCH(_xlfn.CONCAT(B5847," ",E5847),ForeCalc!$B$36:$Y$36,0))))*VLOOKUP(A5847,Calendar!$A$2:$H$9997,8,FALSE),0)</f>
        <v/>
      </c>
      <c r="G5847" s="29">
        <f>VLOOKUP(A5847,Calendar!$A$1:$H$9997,6,FALSE)-F5847</f>
        <v/>
      </c>
      <c r="H5847" s="19" t="n">
        <v>2</v>
      </c>
      <c r="I5847" s="57" t="n">
        <v>1</v>
      </c>
    </row>
    <row r="5848">
      <c r="A5848" s="62" t="n">
        <v>46479</v>
      </c>
      <c r="B5848" s="3" t="inlineStr">
        <is>
          <t>Week</t>
        </is>
      </c>
      <c r="C5848" s="19" t="n">
        <v>4</v>
      </c>
      <c r="D5848" s="19" t="n">
        <v>2027</v>
      </c>
      <c r="E5848" s="57" t="n">
        <v>6</v>
      </c>
      <c r="F5848" s="29">
        <f>ROUND(((SUMIFS(Calendar!$F$2:$F$9997,Calendar!$B$2:$B$9997,D5848,Calendar!$C$2:$C$9997,C5848)*INDEX(ForeCalc!$B$37:$Y$274,MATCH(_xlfn.CONCAT(H5848," ",I5848),ForeCalc!$A$37:$A$274,0),MATCH(_xlfn.CONCAT(B5848," ",E5848),ForeCalc!$B$36:$Y$36,0))))*VLOOKUP(A5848,Calendar!$A$2:$H$9997,8,FALSE),0)</f>
        <v/>
      </c>
      <c r="G5848" s="29">
        <f>VLOOKUP(A5848,Calendar!$A$1:$H$9997,6,FALSE)-F5848</f>
        <v/>
      </c>
      <c r="H5848" s="19" t="n">
        <v>2</v>
      </c>
      <c r="I5848" s="57" t="n">
        <v>1</v>
      </c>
    </row>
    <row r="5849">
      <c r="A5849" s="62" t="n">
        <v>46480</v>
      </c>
      <c r="B5849" s="3" t="inlineStr">
        <is>
          <t>Sat</t>
        </is>
      </c>
      <c r="C5849" s="19" t="n">
        <v>4</v>
      </c>
      <c r="D5849" s="19" t="n">
        <v>2027</v>
      </c>
      <c r="E5849" s="57" t="n">
        <v>6</v>
      </c>
      <c r="F5849" s="29">
        <f>ROUND(((SUMIFS(Calendar!$F$2:$F$9997,Calendar!$B$2:$B$9997,D5849,Calendar!$C$2:$C$9997,C5849)*INDEX(ForeCalc!$B$37:$Y$274,MATCH(_xlfn.CONCAT(H5849," ",I5849),ForeCalc!$A$37:$A$274,0),MATCH(_xlfn.CONCAT(B5849," ",E5849),ForeCalc!$B$36:$Y$36,0))))*VLOOKUP(A5849,Calendar!$A$2:$H$9997,8,FALSE),0)</f>
        <v/>
      </c>
      <c r="G5849" s="29">
        <f>VLOOKUP(A5849,Calendar!$A$1:$H$9997,6,FALSE)-F5849</f>
        <v/>
      </c>
      <c r="H5849" s="19" t="n">
        <v>2</v>
      </c>
      <c r="I5849" s="57" t="n">
        <v>1</v>
      </c>
    </row>
    <row r="5850">
      <c r="A5850" s="62" t="n">
        <v>46481</v>
      </c>
      <c r="B5850" s="3" t="inlineStr">
        <is>
          <t>Sun</t>
        </is>
      </c>
      <c r="C5850" s="19" t="n">
        <v>4</v>
      </c>
      <c r="D5850" s="19" t="n">
        <v>2027</v>
      </c>
      <c r="E5850" s="57" t="n">
        <v>6</v>
      </c>
      <c r="F5850" s="29">
        <f>ROUND(((SUMIFS(Calendar!$F$2:$F$9997,Calendar!$B$2:$B$9997,D5850,Calendar!$C$2:$C$9997,C5850)*INDEX(ForeCalc!$B$37:$Y$274,MATCH(_xlfn.CONCAT(H5850," ",I5850),ForeCalc!$A$37:$A$274,0),MATCH(_xlfn.CONCAT(B5850," ",E5850),ForeCalc!$B$36:$Y$36,0))))*VLOOKUP(A5850,Calendar!$A$2:$H$9997,8,FALSE),0)</f>
        <v/>
      </c>
      <c r="G5850" s="29">
        <f>VLOOKUP(A5850,Calendar!$A$1:$H$9997,6,FALSE)-F5850</f>
        <v/>
      </c>
      <c r="H5850" s="19" t="n">
        <v>2</v>
      </c>
      <c r="I5850" s="57" t="n">
        <v>1</v>
      </c>
    </row>
    <row r="5851">
      <c r="A5851" s="62" t="n">
        <v>46482</v>
      </c>
      <c r="B5851" s="3" t="inlineStr">
        <is>
          <t>Week</t>
        </is>
      </c>
      <c r="C5851" s="19" t="n">
        <v>4</v>
      </c>
      <c r="D5851" s="19" t="n">
        <v>2027</v>
      </c>
      <c r="E5851" s="57" t="n">
        <v>6</v>
      </c>
      <c r="F5851" s="29">
        <f>ROUND(((SUMIFS(Calendar!$F$2:$F$9997,Calendar!$B$2:$B$9997,D5851,Calendar!$C$2:$C$9997,C5851)*INDEX(ForeCalc!$B$37:$Y$274,MATCH(_xlfn.CONCAT(H5851," ",I5851),ForeCalc!$A$37:$A$274,0),MATCH(_xlfn.CONCAT(B5851," ",E5851),ForeCalc!$B$36:$Y$36,0))))*VLOOKUP(A5851,Calendar!$A$2:$H$9997,8,FALSE),0)</f>
        <v/>
      </c>
      <c r="G5851" s="29">
        <f>VLOOKUP(A5851,Calendar!$A$1:$H$9997,6,FALSE)-F5851</f>
        <v/>
      </c>
      <c r="H5851" s="19" t="n">
        <v>2</v>
      </c>
      <c r="I5851" s="57" t="n">
        <v>1</v>
      </c>
    </row>
    <row r="5852">
      <c r="A5852" s="62" t="n">
        <v>46483</v>
      </c>
      <c r="B5852" s="3" t="inlineStr">
        <is>
          <t>Week</t>
        </is>
      </c>
      <c r="C5852" s="19" t="n">
        <v>4</v>
      </c>
      <c r="D5852" s="19" t="n">
        <v>2027</v>
      </c>
      <c r="E5852" s="57" t="n">
        <v>6</v>
      </c>
      <c r="F5852" s="29">
        <f>ROUND(((SUMIFS(Calendar!$F$2:$F$9997,Calendar!$B$2:$B$9997,D5852,Calendar!$C$2:$C$9997,C5852)*INDEX(ForeCalc!$B$37:$Y$274,MATCH(_xlfn.CONCAT(H5852," ",I5852),ForeCalc!$A$37:$A$274,0),MATCH(_xlfn.CONCAT(B5852," ",E5852),ForeCalc!$B$36:$Y$36,0))))*VLOOKUP(A5852,Calendar!$A$2:$H$9997,8,FALSE),0)</f>
        <v/>
      </c>
      <c r="G5852" s="29">
        <f>VLOOKUP(A5852,Calendar!$A$1:$H$9997,6,FALSE)-F5852</f>
        <v/>
      </c>
      <c r="H5852" s="19" t="n">
        <v>2</v>
      </c>
      <c r="I5852" s="57" t="n">
        <v>1</v>
      </c>
    </row>
    <row r="5853">
      <c r="A5853" s="62" t="n">
        <v>46484</v>
      </c>
      <c r="B5853" s="3" t="inlineStr">
        <is>
          <t>Week</t>
        </is>
      </c>
      <c r="C5853" s="19" t="n">
        <v>4</v>
      </c>
      <c r="D5853" s="19" t="n">
        <v>2027</v>
      </c>
      <c r="E5853" s="57" t="n">
        <v>6</v>
      </c>
      <c r="F5853" s="29">
        <f>ROUND(((SUMIFS(Calendar!$F$2:$F$9997,Calendar!$B$2:$B$9997,D5853,Calendar!$C$2:$C$9997,C5853)*INDEX(ForeCalc!$B$37:$Y$274,MATCH(_xlfn.CONCAT(H5853," ",I5853),ForeCalc!$A$37:$A$274,0),MATCH(_xlfn.CONCAT(B5853," ",E5853),ForeCalc!$B$36:$Y$36,0))))*VLOOKUP(A5853,Calendar!$A$2:$H$9997,8,FALSE),0)</f>
        <v/>
      </c>
      <c r="G5853" s="29">
        <f>VLOOKUP(A5853,Calendar!$A$1:$H$9997,6,FALSE)-F5853</f>
        <v/>
      </c>
      <c r="H5853" s="19" t="n">
        <v>2</v>
      </c>
      <c r="I5853" s="57" t="n">
        <v>1</v>
      </c>
    </row>
    <row r="5854">
      <c r="A5854" s="62" t="n">
        <v>46485</v>
      </c>
      <c r="B5854" s="3" t="inlineStr">
        <is>
          <t>Week</t>
        </is>
      </c>
      <c r="C5854" s="19" t="n">
        <v>4</v>
      </c>
      <c r="D5854" s="19" t="n">
        <v>2027</v>
      </c>
      <c r="E5854" s="57" t="n">
        <v>6</v>
      </c>
      <c r="F5854" s="29">
        <f>ROUND(((SUMIFS(Calendar!$F$2:$F$9997,Calendar!$B$2:$B$9997,D5854,Calendar!$C$2:$C$9997,C5854)*INDEX(ForeCalc!$B$37:$Y$274,MATCH(_xlfn.CONCAT(H5854," ",I5854),ForeCalc!$A$37:$A$274,0),MATCH(_xlfn.CONCAT(B5854," ",E5854),ForeCalc!$B$36:$Y$36,0))))*VLOOKUP(A5854,Calendar!$A$2:$H$9997,8,FALSE),0)</f>
        <v/>
      </c>
      <c r="G5854" s="29">
        <f>VLOOKUP(A5854,Calendar!$A$1:$H$9997,6,FALSE)-F5854</f>
        <v/>
      </c>
      <c r="H5854" s="19" t="n">
        <v>2</v>
      </c>
      <c r="I5854" s="57" t="n">
        <v>1</v>
      </c>
    </row>
    <row r="5855">
      <c r="A5855" s="62" t="n">
        <v>46486</v>
      </c>
      <c r="B5855" s="3" t="inlineStr">
        <is>
          <t>Week</t>
        </is>
      </c>
      <c r="C5855" s="19" t="n">
        <v>4</v>
      </c>
      <c r="D5855" s="19" t="n">
        <v>2027</v>
      </c>
      <c r="E5855" s="57" t="n">
        <v>6</v>
      </c>
      <c r="F5855" s="29">
        <f>ROUND(((SUMIFS(Calendar!$F$2:$F$9997,Calendar!$B$2:$B$9997,D5855,Calendar!$C$2:$C$9997,C5855)*INDEX(ForeCalc!$B$37:$Y$274,MATCH(_xlfn.CONCAT(H5855," ",I5855),ForeCalc!$A$37:$A$274,0),MATCH(_xlfn.CONCAT(B5855," ",E5855),ForeCalc!$B$36:$Y$36,0))))*VLOOKUP(A5855,Calendar!$A$2:$H$9997,8,FALSE),0)</f>
        <v/>
      </c>
      <c r="G5855" s="29">
        <f>VLOOKUP(A5855,Calendar!$A$1:$H$9997,6,FALSE)-F5855</f>
        <v/>
      </c>
      <c r="H5855" s="19" t="n">
        <v>2</v>
      </c>
      <c r="I5855" s="57" t="n">
        <v>1</v>
      </c>
    </row>
    <row r="5856">
      <c r="A5856" s="62" t="n">
        <v>46487</v>
      </c>
      <c r="B5856" s="3" t="inlineStr">
        <is>
          <t>Sat</t>
        </is>
      </c>
      <c r="C5856" s="19" t="n">
        <v>4</v>
      </c>
      <c r="D5856" s="19" t="n">
        <v>2027</v>
      </c>
      <c r="E5856" s="57" t="n">
        <v>6</v>
      </c>
      <c r="F5856" s="29">
        <f>ROUND(((SUMIFS(Calendar!$F$2:$F$9997,Calendar!$B$2:$B$9997,D5856,Calendar!$C$2:$C$9997,C5856)*INDEX(ForeCalc!$B$37:$Y$274,MATCH(_xlfn.CONCAT(H5856," ",I5856),ForeCalc!$A$37:$A$274,0),MATCH(_xlfn.CONCAT(B5856," ",E5856),ForeCalc!$B$36:$Y$36,0))))*VLOOKUP(A5856,Calendar!$A$2:$H$9997,8,FALSE),0)</f>
        <v/>
      </c>
      <c r="G5856" s="29">
        <f>VLOOKUP(A5856,Calendar!$A$1:$H$9997,6,FALSE)-F5856</f>
        <v/>
      </c>
      <c r="H5856" s="19" t="n">
        <v>2</v>
      </c>
      <c r="I5856" s="57" t="n">
        <v>1</v>
      </c>
    </row>
    <row r="5857">
      <c r="A5857" s="62" t="n">
        <v>46488</v>
      </c>
      <c r="B5857" s="3" t="inlineStr">
        <is>
          <t>Sun</t>
        </is>
      </c>
      <c r="C5857" s="19" t="n">
        <v>4</v>
      </c>
      <c r="D5857" s="19" t="n">
        <v>2027</v>
      </c>
      <c r="E5857" s="57" t="n">
        <v>6</v>
      </c>
      <c r="F5857" s="29">
        <f>ROUND(((SUMIFS(Calendar!$F$2:$F$9997,Calendar!$B$2:$B$9997,D5857,Calendar!$C$2:$C$9997,C5857)*INDEX(ForeCalc!$B$37:$Y$274,MATCH(_xlfn.CONCAT(H5857," ",I5857),ForeCalc!$A$37:$A$274,0),MATCH(_xlfn.CONCAT(B5857," ",E5857),ForeCalc!$B$36:$Y$36,0))))*VLOOKUP(A5857,Calendar!$A$2:$H$9997,8,FALSE),0)</f>
        <v/>
      </c>
      <c r="G5857" s="29">
        <f>VLOOKUP(A5857,Calendar!$A$1:$H$9997,6,FALSE)-F5857</f>
        <v/>
      </c>
      <c r="H5857" s="19" t="n">
        <v>2</v>
      </c>
      <c r="I5857" s="57" t="n">
        <v>1</v>
      </c>
    </row>
    <row r="5858">
      <c r="A5858" s="62" t="n">
        <v>46489</v>
      </c>
      <c r="B5858" s="3" t="inlineStr">
        <is>
          <t>Week</t>
        </is>
      </c>
      <c r="C5858" s="19" t="n">
        <v>4</v>
      </c>
      <c r="D5858" s="19" t="n">
        <v>2027</v>
      </c>
      <c r="E5858" s="57" t="n">
        <v>6</v>
      </c>
      <c r="F5858" s="29">
        <f>ROUND(((SUMIFS(Calendar!$F$2:$F$9997,Calendar!$B$2:$B$9997,D5858,Calendar!$C$2:$C$9997,C5858)*INDEX(ForeCalc!$B$37:$Y$274,MATCH(_xlfn.CONCAT(H5858," ",I5858),ForeCalc!$A$37:$A$274,0),MATCH(_xlfn.CONCAT(B5858," ",E5858),ForeCalc!$B$36:$Y$36,0))))*VLOOKUP(A5858,Calendar!$A$2:$H$9997,8,FALSE),0)</f>
        <v/>
      </c>
      <c r="G5858" s="29">
        <f>VLOOKUP(A5858,Calendar!$A$1:$H$9997,6,FALSE)-F5858</f>
        <v/>
      </c>
      <c r="H5858" s="19" t="n">
        <v>2</v>
      </c>
      <c r="I5858" s="57" t="n">
        <v>1</v>
      </c>
    </row>
    <row r="5859">
      <c r="A5859" s="62" t="n">
        <v>46490</v>
      </c>
      <c r="B5859" s="3" t="inlineStr">
        <is>
          <t>Week</t>
        </is>
      </c>
      <c r="C5859" s="19" t="n">
        <v>4</v>
      </c>
      <c r="D5859" s="19" t="n">
        <v>2027</v>
      </c>
      <c r="E5859" s="57" t="n">
        <v>6</v>
      </c>
      <c r="F5859" s="29">
        <f>ROUND(((SUMIFS(Calendar!$F$2:$F$9997,Calendar!$B$2:$B$9997,D5859,Calendar!$C$2:$C$9997,C5859)*INDEX(ForeCalc!$B$37:$Y$274,MATCH(_xlfn.CONCAT(H5859," ",I5859),ForeCalc!$A$37:$A$274,0),MATCH(_xlfn.CONCAT(B5859," ",E5859),ForeCalc!$B$36:$Y$36,0))))*VLOOKUP(A5859,Calendar!$A$2:$H$9997,8,FALSE),0)</f>
        <v/>
      </c>
      <c r="G5859" s="29">
        <f>VLOOKUP(A5859,Calendar!$A$1:$H$9997,6,FALSE)-F5859</f>
        <v/>
      </c>
      <c r="H5859" s="19" t="n">
        <v>2</v>
      </c>
      <c r="I5859" s="57" t="n">
        <v>1</v>
      </c>
    </row>
    <row r="5860">
      <c r="A5860" s="62" t="n">
        <v>46491</v>
      </c>
      <c r="B5860" s="3" t="inlineStr">
        <is>
          <t>Week</t>
        </is>
      </c>
      <c r="C5860" s="19" t="n">
        <v>4</v>
      </c>
      <c r="D5860" s="19" t="n">
        <v>2027</v>
      </c>
      <c r="E5860" s="57" t="n">
        <v>6</v>
      </c>
      <c r="F5860" s="29">
        <f>ROUND(((SUMIFS(Calendar!$F$2:$F$9997,Calendar!$B$2:$B$9997,D5860,Calendar!$C$2:$C$9997,C5860)*INDEX(ForeCalc!$B$37:$Y$274,MATCH(_xlfn.CONCAT(H5860," ",I5860),ForeCalc!$A$37:$A$274,0),MATCH(_xlfn.CONCAT(B5860," ",E5860),ForeCalc!$B$36:$Y$36,0))))*VLOOKUP(A5860,Calendar!$A$2:$H$9997,8,FALSE),0)</f>
        <v/>
      </c>
      <c r="G5860" s="29">
        <f>VLOOKUP(A5860,Calendar!$A$1:$H$9997,6,FALSE)-F5860</f>
        <v/>
      </c>
      <c r="H5860" s="19" t="n">
        <v>2</v>
      </c>
      <c r="I5860" s="57" t="n">
        <v>1</v>
      </c>
    </row>
    <row r="5861">
      <c r="A5861" s="62" t="n">
        <v>46492</v>
      </c>
      <c r="B5861" s="3" t="inlineStr">
        <is>
          <t>Week</t>
        </is>
      </c>
      <c r="C5861" s="19" t="n">
        <v>4</v>
      </c>
      <c r="D5861" s="19" t="n">
        <v>2027</v>
      </c>
      <c r="E5861" s="57" t="n">
        <v>6</v>
      </c>
      <c r="F5861" s="29">
        <f>ROUND(((SUMIFS(Calendar!$F$2:$F$9997,Calendar!$B$2:$B$9997,D5861,Calendar!$C$2:$C$9997,C5861)*INDEX(ForeCalc!$B$37:$Y$274,MATCH(_xlfn.CONCAT(H5861," ",I5861),ForeCalc!$A$37:$A$274,0),MATCH(_xlfn.CONCAT(B5861," ",E5861),ForeCalc!$B$36:$Y$36,0))))*VLOOKUP(A5861,Calendar!$A$2:$H$9997,8,FALSE),0)</f>
        <v/>
      </c>
      <c r="G5861" s="29">
        <f>VLOOKUP(A5861,Calendar!$A$1:$H$9997,6,FALSE)-F5861</f>
        <v/>
      </c>
      <c r="H5861" s="19" t="n">
        <v>2</v>
      </c>
      <c r="I5861" s="57" t="n">
        <v>1</v>
      </c>
    </row>
    <row r="5862">
      <c r="A5862" s="62" t="n">
        <v>46493</v>
      </c>
      <c r="B5862" s="3" t="inlineStr">
        <is>
          <t>Week</t>
        </is>
      </c>
      <c r="C5862" s="19" t="n">
        <v>4</v>
      </c>
      <c r="D5862" s="19" t="n">
        <v>2027</v>
      </c>
      <c r="E5862" s="57" t="n">
        <v>6</v>
      </c>
      <c r="F5862" s="29">
        <f>ROUND(((SUMIFS(Calendar!$F$2:$F$9997,Calendar!$B$2:$B$9997,D5862,Calendar!$C$2:$C$9997,C5862)*INDEX(ForeCalc!$B$37:$Y$274,MATCH(_xlfn.CONCAT(H5862," ",I5862),ForeCalc!$A$37:$A$274,0),MATCH(_xlfn.CONCAT(B5862," ",E5862),ForeCalc!$B$36:$Y$36,0))))*VLOOKUP(A5862,Calendar!$A$2:$H$9997,8,FALSE),0)</f>
        <v/>
      </c>
      <c r="G5862" s="29">
        <f>VLOOKUP(A5862,Calendar!$A$1:$H$9997,6,FALSE)-F5862</f>
        <v/>
      </c>
      <c r="H5862" s="19" t="n">
        <v>2</v>
      </c>
      <c r="I5862" s="57" t="n">
        <v>1</v>
      </c>
    </row>
    <row r="5863">
      <c r="A5863" s="62" t="n">
        <v>46494</v>
      </c>
      <c r="B5863" s="3" t="inlineStr">
        <is>
          <t>Sat</t>
        </is>
      </c>
      <c r="C5863" s="19" t="n">
        <v>4</v>
      </c>
      <c r="D5863" s="19" t="n">
        <v>2027</v>
      </c>
      <c r="E5863" s="57" t="n">
        <v>6</v>
      </c>
      <c r="F5863" s="29">
        <f>ROUND(((SUMIFS(Calendar!$F$2:$F$9997,Calendar!$B$2:$B$9997,D5863,Calendar!$C$2:$C$9997,C5863)*INDEX(ForeCalc!$B$37:$Y$274,MATCH(_xlfn.CONCAT(H5863," ",I5863),ForeCalc!$A$37:$A$274,0),MATCH(_xlfn.CONCAT(B5863," ",E5863),ForeCalc!$B$36:$Y$36,0))))*VLOOKUP(A5863,Calendar!$A$2:$H$9997,8,FALSE),0)</f>
        <v/>
      </c>
      <c r="G5863" s="29">
        <f>VLOOKUP(A5863,Calendar!$A$1:$H$9997,6,FALSE)-F5863</f>
        <v/>
      </c>
      <c r="H5863" s="19" t="n">
        <v>2</v>
      </c>
      <c r="I5863" s="57" t="n">
        <v>1</v>
      </c>
    </row>
    <row r="5864">
      <c r="A5864" s="62" t="n">
        <v>46495</v>
      </c>
      <c r="B5864" s="3" t="inlineStr">
        <is>
          <t>Sun</t>
        </is>
      </c>
      <c r="C5864" s="19" t="n">
        <v>4</v>
      </c>
      <c r="D5864" s="19" t="n">
        <v>2027</v>
      </c>
      <c r="E5864" s="57" t="n">
        <v>6</v>
      </c>
      <c r="F5864" s="29">
        <f>ROUND(((SUMIFS(Calendar!$F$2:$F$9997,Calendar!$B$2:$B$9997,D5864,Calendar!$C$2:$C$9997,C5864)*INDEX(ForeCalc!$B$37:$Y$274,MATCH(_xlfn.CONCAT(H5864," ",I5864),ForeCalc!$A$37:$A$274,0),MATCH(_xlfn.CONCAT(B5864," ",E5864),ForeCalc!$B$36:$Y$36,0))))*VLOOKUP(A5864,Calendar!$A$2:$H$9997,8,FALSE),0)</f>
        <v/>
      </c>
      <c r="G5864" s="29">
        <f>VLOOKUP(A5864,Calendar!$A$1:$H$9997,6,FALSE)-F5864</f>
        <v/>
      </c>
      <c r="H5864" s="19" t="n">
        <v>2</v>
      </c>
      <c r="I5864" s="57" t="n">
        <v>1</v>
      </c>
    </row>
    <row r="5865">
      <c r="A5865" s="62" t="n">
        <v>46496</v>
      </c>
      <c r="B5865" s="3" t="inlineStr">
        <is>
          <t>Week</t>
        </is>
      </c>
      <c r="C5865" s="19" t="n">
        <v>4</v>
      </c>
      <c r="D5865" s="19" t="n">
        <v>2027</v>
      </c>
      <c r="E5865" s="57" t="n">
        <v>6</v>
      </c>
      <c r="F5865" s="29">
        <f>ROUND(((SUMIFS(Calendar!$F$2:$F$9997,Calendar!$B$2:$B$9997,D5865,Calendar!$C$2:$C$9997,C5865)*INDEX(ForeCalc!$B$37:$Y$274,MATCH(_xlfn.CONCAT(H5865," ",I5865),ForeCalc!$A$37:$A$274,0),MATCH(_xlfn.CONCAT(B5865," ",E5865),ForeCalc!$B$36:$Y$36,0))))*VLOOKUP(A5865,Calendar!$A$2:$H$9997,8,FALSE),0)</f>
        <v/>
      </c>
      <c r="G5865" s="29">
        <f>VLOOKUP(A5865,Calendar!$A$1:$H$9997,6,FALSE)-F5865</f>
        <v/>
      </c>
      <c r="H5865" s="19" t="n">
        <v>2</v>
      </c>
      <c r="I5865" s="57" t="n">
        <v>1</v>
      </c>
    </row>
    <row r="5866">
      <c r="A5866" s="62" t="n">
        <v>46497</v>
      </c>
      <c r="B5866" s="3" t="inlineStr">
        <is>
          <t>Week</t>
        </is>
      </c>
      <c r="C5866" s="19" t="n">
        <v>4</v>
      </c>
      <c r="D5866" s="19" t="n">
        <v>2027</v>
      </c>
      <c r="E5866" s="57" t="n">
        <v>6</v>
      </c>
      <c r="F5866" s="29">
        <f>ROUND(((SUMIFS(Calendar!$F$2:$F$9997,Calendar!$B$2:$B$9997,D5866,Calendar!$C$2:$C$9997,C5866)*INDEX(ForeCalc!$B$37:$Y$274,MATCH(_xlfn.CONCAT(H5866," ",I5866),ForeCalc!$A$37:$A$274,0),MATCH(_xlfn.CONCAT(B5866," ",E5866),ForeCalc!$B$36:$Y$36,0))))*VLOOKUP(A5866,Calendar!$A$2:$H$9997,8,FALSE),0)</f>
        <v/>
      </c>
      <c r="G5866" s="29">
        <f>VLOOKUP(A5866,Calendar!$A$1:$H$9997,6,FALSE)-F5866</f>
        <v/>
      </c>
      <c r="H5866" s="19" t="n">
        <v>2</v>
      </c>
      <c r="I5866" s="57" t="n">
        <v>1</v>
      </c>
    </row>
    <row r="5867">
      <c r="A5867" s="62" t="n">
        <v>46498</v>
      </c>
      <c r="B5867" s="3" t="inlineStr">
        <is>
          <t>Week</t>
        </is>
      </c>
      <c r="C5867" s="19" t="n">
        <v>4</v>
      </c>
      <c r="D5867" s="19" t="n">
        <v>2027</v>
      </c>
      <c r="E5867" s="57" t="n">
        <v>6</v>
      </c>
      <c r="F5867" s="29">
        <f>ROUND(((SUMIFS(Calendar!$F$2:$F$9997,Calendar!$B$2:$B$9997,D5867,Calendar!$C$2:$C$9997,C5867)*INDEX(ForeCalc!$B$37:$Y$274,MATCH(_xlfn.CONCAT(H5867," ",I5867),ForeCalc!$A$37:$A$274,0),MATCH(_xlfn.CONCAT(B5867," ",E5867),ForeCalc!$B$36:$Y$36,0))))*VLOOKUP(A5867,Calendar!$A$2:$H$9997,8,FALSE),0)</f>
        <v/>
      </c>
      <c r="G5867" s="29">
        <f>VLOOKUP(A5867,Calendar!$A$1:$H$9997,6,FALSE)-F5867</f>
        <v/>
      </c>
      <c r="H5867" s="19" t="n">
        <v>2</v>
      </c>
      <c r="I5867" s="57" t="n">
        <v>1</v>
      </c>
    </row>
    <row r="5868">
      <c r="A5868" s="62" t="n">
        <v>46499</v>
      </c>
      <c r="B5868" s="3" t="inlineStr">
        <is>
          <t>Week</t>
        </is>
      </c>
      <c r="C5868" s="19" t="n">
        <v>4</v>
      </c>
      <c r="D5868" s="19" t="n">
        <v>2027</v>
      </c>
      <c r="E5868" s="57" t="n">
        <v>6</v>
      </c>
      <c r="F5868" s="29">
        <f>ROUND(((SUMIFS(Calendar!$F$2:$F$9997,Calendar!$B$2:$B$9997,D5868,Calendar!$C$2:$C$9997,C5868)*INDEX(ForeCalc!$B$37:$Y$274,MATCH(_xlfn.CONCAT(H5868," ",I5868),ForeCalc!$A$37:$A$274,0),MATCH(_xlfn.CONCAT(B5868," ",E5868),ForeCalc!$B$36:$Y$36,0))))*VLOOKUP(A5868,Calendar!$A$2:$H$9997,8,FALSE),0)</f>
        <v/>
      </c>
      <c r="G5868" s="29">
        <f>VLOOKUP(A5868,Calendar!$A$1:$H$9997,6,FALSE)-F5868</f>
        <v/>
      </c>
      <c r="H5868" s="19" t="n">
        <v>2</v>
      </c>
      <c r="I5868" s="57" t="n">
        <v>1</v>
      </c>
    </row>
    <row r="5869">
      <c r="A5869" s="62" t="n">
        <v>46500</v>
      </c>
      <c r="B5869" s="3" t="inlineStr">
        <is>
          <t>Week</t>
        </is>
      </c>
      <c r="C5869" s="19" t="n">
        <v>4</v>
      </c>
      <c r="D5869" s="19" t="n">
        <v>2027</v>
      </c>
      <c r="E5869" s="57" t="n">
        <v>6</v>
      </c>
      <c r="F5869" s="29">
        <f>ROUND(((SUMIFS(Calendar!$F$2:$F$9997,Calendar!$B$2:$B$9997,D5869,Calendar!$C$2:$C$9997,C5869)*INDEX(ForeCalc!$B$37:$Y$274,MATCH(_xlfn.CONCAT(H5869," ",I5869),ForeCalc!$A$37:$A$274,0),MATCH(_xlfn.CONCAT(B5869," ",E5869),ForeCalc!$B$36:$Y$36,0))))*VLOOKUP(A5869,Calendar!$A$2:$H$9997,8,FALSE),0)</f>
        <v/>
      </c>
      <c r="G5869" s="29">
        <f>VLOOKUP(A5869,Calendar!$A$1:$H$9997,6,FALSE)-F5869</f>
        <v/>
      </c>
      <c r="H5869" s="19" t="n">
        <v>2</v>
      </c>
      <c r="I5869" s="57" t="n">
        <v>1</v>
      </c>
    </row>
    <row r="5870">
      <c r="A5870" s="62" t="n">
        <v>46501</v>
      </c>
      <c r="B5870" s="3" t="inlineStr">
        <is>
          <t>Sat</t>
        </is>
      </c>
      <c r="C5870" s="19" t="n">
        <v>4</v>
      </c>
      <c r="D5870" s="19" t="n">
        <v>2027</v>
      </c>
      <c r="E5870" s="57" t="n">
        <v>6</v>
      </c>
      <c r="F5870" s="29">
        <f>ROUND(((SUMIFS(Calendar!$F$2:$F$9997,Calendar!$B$2:$B$9997,D5870,Calendar!$C$2:$C$9997,C5870)*INDEX(ForeCalc!$B$37:$Y$274,MATCH(_xlfn.CONCAT(H5870," ",I5870),ForeCalc!$A$37:$A$274,0),MATCH(_xlfn.CONCAT(B5870," ",E5870),ForeCalc!$B$36:$Y$36,0))))*VLOOKUP(A5870,Calendar!$A$2:$H$9997,8,FALSE),0)</f>
        <v/>
      </c>
      <c r="G5870" s="29">
        <f>VLOOKUP(A5870,Calendar!$A$1:$H$9997,6,FALSE)-F5870</f>
        <v/>
      </c>
      <c r="H5870" s="19" t="n">
        <v>2</v>
      </c>
      <c r="I5870" s="57" t="n">
        <v>1</v>
      </c>
    </row>
    <row r="5871">
      <c r="A5871" s="62" t="n">
        <v>46502</v>
      </c>
      <c r="B5871" s="3" t="inlineStr">
        <is>
          <t>Sun</t>
        </is>
      </c>
      <c r="C5871" s="19" t="n">
        <v>4</v>
      </c>
      <c r="D5871" s="19" t="n">
        <v>2027</v>
      </c>
      <c r="E5871" s="57" t="n">
        <v>6</v>
      </c>
      <c r="F5871" s="29">
        <f>ROUND(((SUMIFS(Calendar!$F$2:$F$9997,Calendar!$B$2:$B$9997,D5871,Calendar!$C$2:$C$9997,C5871)*INDEX(ForeCalc!$B$37:$Y$274,MATCH(_xlfn.CONCAT(H5871," ",I5871),ForeCalc!$A$37:$A$274,0),MATCH(_xlfn.CONCAT(B5871," ",E5871),ForeCalc!$B$36:$Y$36,0))))*VLOOKUP(A5871,Calendar!$A$2:$H$9997,8,FALSE),0)</f>
        <v/>
      </c>
      <c r="G5871" s="29">
        <f>VLOOKUP(A5871,Calendar!$A$1:$H$9997,6,FALSE)-F5871</f>
        <v/>
      </c>
      <c r="H5871" s="19" t="n">
        <v>2</v>
      </c>
      <c r="I5871" s="57" t="n">
        <v>1</v>
      </c>
    </row>
    <row r="5872">
      <c r="A5872" s="62" t="n">
        <v>46503</v>
      </c>
      <c r="B5872" s="3" t="inlineStr">
        <is>
          <t>Week</t>
        </is>
      </c>
      <c r="C5872" s="19" t="n">
        <v>4</v>
      </c>
      <c r="D5872" s="19" t="n">
        <v>2027</v>
      </c>
      <c r="E5872" s="57" t="n">
        <v>6</v>
      </c>
      <c r="F5872" s="29">
        <f>ROUND(((SUMIFS(Calendar!$F$2:$F$9997,Calendar!$B$2:$B$9997,D5872,Calendar!$C$2:$C$9997,C5872)*INDEX(ForeCalc!$B$37:$Y$274,MATCH(_xlfn.CONCAT(H5872," ",I5872),ForeCalc!$A$37:$A$274,0),MATCH(_xlfn.CONCAT(B5872," ",E5872),ForeCalc!$B$36:$Y$36,0))))*VLOOKUP(A5872,Calendar!$A$2:$H$9997,8,FALSE),0)</f>
        <v/>
      </c>
      <c r="G5872" s="29">
        <f>VLOOKUP(A5872,Calendar!$A$1:$H$9997,6,FALSE)-F5872</f>
        <v/>
      </c>
      <c r="H5872" s="19" t="n">
        <v>2</v>
      </c>
      <c r="I5872" s="57" t="n">
        <v>1</v>
      </c>
    </row>
    <row r="5873">
      <c r="A5873" s="62" t="n">
        <v>46504</v>
      </c>
      <c r="B5873" s="3" t="inlineStr">
        <is>
          <t>Week</t>
        </is>
      </c>
      <c r="C5873" s="19" t="n">
        <v>4</v>
      </c>
      <c r="D5873" s="19" t="n">
        <v>2027</v>
      </c>
      <c r="E5873" s="57" t="n">
        <v>6</v>
      </c>
      <c r="F5873" s="29">
        <f>ROUND(((SUMIFS(Calendar!$F$2:$F$9997,Calendar!$B$2:$B$9997,D5873,Calendar!$C$2:$C$9997,C5873)*INDEX(ForeCalc!$B$37:$Y$274,MATCH(_xlfn.CONCAT(H5873," ",I5873),ForeCalc!$A$37:$A$274,0),MATCH(_xlfn.CONCAT(B5873," ",E5873),ForeCalc!$B$36:$Y$36,0))))*VLOOKUP(A5873,Calendar!$A$2:$H$9997,8,FALSE),0)</f>
        <v/>
      </c>
      <c r="G5873" s="29">
        <f>VLOOKUP(A5873,Calendar!$A$1:$H$9997,6,FALSE)-F5873</f>
        <v/>
      </c>
      <c r="H5873" s="19" t="n">
        <v>2</v>
      </c>
      <c r="I5873" s="57" t="n">
        <v>1</v>
      </c>
    </row>
    <row r="5874">
      <c r="A5874" s="62" t="n">
        <v>46505</v>
      </c>
      <c r="B5874" s="3" t="inlineStr">
        <is>
          <t>Week</t>
        </is>
      </c>
      <c r="C5874" s="19" t="n">
        <v>4</v>
      </c>
      <c r="D5874" s="19" t="n">
        <v>2027</v>
      </c>
      <c r="E5874" s="57" t="n">
        <v>6</v>
      </c>
      <c r="F5874" s="29">
        <f>ROUND(((SUMIFS(Calendar!$F$2:$F$9997,Calendar!$B$2:$B$9997,D5874,Calendar!$C$2:$C$9997,C5874)*INDEX(ForeCalc!$B$37:$Y$274,MATCH(_xlfn.CONCAT(H5874," ",I5874),ForeCalc!$A$37:$A$274,0),MATCH(_xlfn.CONCAT(B5874," ",E5874),ForeCalc!$B$36:$Y$36,0))))*VLOOKUP(A5874,Calendar!$A$2:$H$9997,8,FALSE),0)</f>
        <v/>
      </c>
      <c r="G5874" s="29">
        <f>VLOOKUP(A5874,Calendar!$A$1:$H$9997,6,FALSE)-F5874</f>
        <v/>
      </c>
      <c r="H5874" s="19" t="n">
        <v>2</v>
      </c>
      <c r="I5874" s="57" t="n">
        <v>1</v>
      </c>
    </row>
    <row r="5875">
      <c r="A5875" s="62" t="n">
        <v>46506</v>
      </c>
      <c r="B5875" s="3" t="inlineStr">
        <is>
          <t>Week</t>
        </is>
      </c>
      <c r="C5875" s="19" t="n">
        <v>4</v>
      </c>
      <c r="D5875" s="19" t="n">
        <v>2027</v>
      </c>
      <c r="E5875" s="57" t="n">
        <v>6</v>
      </c>
      <c r="F5875" s="29">
        <f>ROUND(((SUMIFS(Calendar!$F$2:$F$9997,Calendar!$B$2:$B$9997,D5875,Calendar!$C$2:$C$9997,C5875)*INDEX(ForeCalc!$B$37:$Y$274,MATCH(_xlfn.CONCAT(H5875," ",I5875),ForeCalc!$A$37:$A$274,0),MATCH(_xlfn.CONCAT(B5875," ",E5875),ForeCalc!$B$36:$Y$36,0))))*VLOOKUP(A5875,Calendar!$A$2:$H$9997,8,FALSE),0)</f>
        <v/>
      </c>
      <c r="G5875" s="29">
        <f>VLOOKUP(A5875,Calendar!$A$1:$H$9997,6,FALSE)-F5875</f>
        <v/>
      </c>
      <c r="H5875" s="19" t="n">
        <v>2</v>
      </c>
      <c r="I5875" s="57" t="n">
        <v>1</v>
      </c>
    </row>
    <row r="5876">
      <c r="A5876" s="62" t="n">
        <v>46507</v>
      </c>
      <c r="B5876" s="3" t="inlineStr">
        <is>
          <t>Week</t>
        </is>
      </c>
      <c r="C5876" s="19" t="n">
        <v>4</v>
      </c>
      <c r="D5876" s="19" t="n">
        <v>2027</v>
      </c>
      <c r="E5876" s="57" t="n">
        <v>6</v>
      </c>
      <c r="F5876" s="29">
        <f>ROUND(((SUMIFS(Calendar!$F$2:$F$9997,Calendar!$B$2:$B$9997,D5876,Calendar!$C$2:$C$9997,C5876)*INDEX(ForeCalc!$B$37:$Y$274,MATCH(_xlfn.CONCAT(H5876," ",I5876),ForeCalc!$A$37:$A$274,0),MATCH(_xlfn.CONCAT(B5876," ",E5876),ForeCalc!$B$36:$Y$36,0))))*VLOOKUP(A5876,Calendar!$A$2:$H$9997,8,FALSE),0)</f>
        <v/>
      </c>
      <c r="G5876" s="29">
        <f>VLOOKUP(A5876,Calendar!$A$1:$H$9997,6,FALSE)-F5876</f>
        <v/>
      </c>
      <c r="H5876" s="19" t="n">
        <v>2</v>
      </c>
      <c r="I5876" s="57" t="n">
        <v>1</v>
      </c>
    </row>
    <row r="5877">
      <c r="A5877" s="62" t="n">
        <v>46508</v>
      </c>
      <c r="B5877" s="3" t="inlineStr">
        <is>
          <t>Sat</t>
        </is>
      </c>
      <c r="C5877" s="19" t="n">
        <v>5</v>
      </c>
      <c r="D5877" s="19" t="n">
        <v>2027</v>
      </c>
      <c r="E5877" s="57" t="n">
        <v>6</v>
      </c>
      <c r="F5877" s="29">
        <f>ROUND(((SUMIFS(Calendar!$F$2:$F$9997,Calendar!$B$2:$B$9997,D5877,Calendar!$C$2:$C$9997,C5877)*INDEX(ForeCalc!$B$37:$Y$274,MATCH(_xlfn.CONCAT(H5877," ",I5877),ForeCalc!$A$37:$A$274,0),MATCH(_xlfn.CONCAT(B5877," ",E5877),ForeCalc!$B$36:$Y$36,0))))*VLOOKUP(A5877,Calendar!$A$2:$H$9997,8,FALSE),0)</f>
        <v/>
      </c>
      <c r="G5877" s="29">
        <f>VLOOKUP(A5877,Calendar!$A$1:$H$9997,6,FALSE)-F5877</f>
        <v/>
      </c>
      <c r="H5877" s="19" t="n">
        <v>2</v>
      </c>
      <c r="I5877" s="57" t="n">
        <v>2</v>
      </c>
    </row>
    <row r="5878">
      <c r="A5878" s="62" t="n">
        <v>46509</v>
      </c>
      <c r="B5878" s="3" t="inlineStr">
        <is>
          <t>Sun</t>
        </is>
      </c>
      <c r="C5878" s="19" t="n">
        <v>5</v>
      </c>
      <c r="D5878" s="19" t="n">
        <v>2027</v>
      </c>
      <c r="E5878" s="57" t="n">
        <v>6</v>
      </c>
      <c r="F5878" s="29">
        <f>ROUND(((SUMIFS(Calendar!$F$2:$F$9997,Calendar!$B$2:$B$9997,D5878,Calendar!$C$2:$C$9997,C5878)*INDEX(ForeCalc!$B$37:$Y$274,MATCH(_xlfn.CONCAT(H5878," ",I5878),ForeCalc!$A$37:$A$274,0),MATCH(_xlfn.CONCAT(B5878," ",E5878),ForeCalc!$B$36:$Y$36,0))))*VLOOKUP(A5878,Calendar!$A$2:$H$9997,8,FALSE),0)</f>
        <v/>
      </c>
      <c r="G5878" s="29">
        <f>VLOOKUP(A5878,Calendar!$A$1:$H$9997,6,FALSE)-F5878</f>
        <v/>
      </c>
      <c r="H5878" s="19" t="n">
        <v>2</v>
      </c>
      <c r="I5878" s="57" t="n">
        <v>2</v>
      </c>
    </row>
    <row r="5879">
      <c r="A5879" s="62" t="n">
        <v>46510</v>
      </c>
      <c r="B5879" s="3" t="inlineStr">
        <is>
          <t>Week</t>
        </is>
      </c>
      <c r="C5879" s="19" t="n">
        <v>5</v>
      </c>
      <c r="D5879" s="19" t="n">
        <v>2027</v>
      </c>
      <c r="E5879" s="57" t="n">
        <v>6</v>
      </c>
      <c r="F5879" s="29">
        <f>ROUND(((SUMIFS(Calendar!$F$2:$F$9997,Calendar!$B$2:$B$9997,D5879,Calendar!$C$2:$C$9997,C5879)*INDEX(ForeCalc!$B$37:$Y$274,MATCH(_xlfn.CONCAT(H5879," ",I5879),ForeCalc!$A$37:$A$274,0),MATCH(_xlfn.CONCAT(B5879," ",E5879),ForeCalc!$B$36:$Y$36,0))))*VLOOKUP(A5879,Calendar!$A$2:$H$9997,8,FALSE),0)</f>
        <v/>
      </c>
      <c r="G5879" s="29">
        <f>VLOOKUP(A5879,Calendar!$A$1:$H$9997,6,FALSE)-F5879</f>
        <v/>
      </c>
      <c r="H5879" s="19" t="n">
        <v>2</v>
      </c>
      <c r="I5879" s="57" t="n">
        <v>2</v>
      </c>
    </row>
    <row r="5880">
      <c r="A5880" s="62" t="n">
        <v>46511</v>
      </c>
      <c r="B5880" s="3" t="inlineStr">
        <is>
          <t>Week</t>
        </is>
      </c>
      <c r="C5880" s="19" t="n">
        <v>5</v>
      </c>
      <c r="D5880" s="19" t="n">
        <v>2027</v>
      </c>
      <c r="E5880" s="57" t="n">
        <v>6</v>
      </c>
      <c r="F5880" s="29">
        <f>ROUND(((SUMIFS(Calendar!$F$2:$F$9997,Calendar!$B$2:$B$9997,D5880,Calendar!$C$2:$C$9997,C5880)*INDEX(ForeCalc!$B$37:$Y$274,MATCH(_xlfn.CONCAT(H5880," ",I5880),ForeCalc!$A$37:$A$274,0),MATCH(_xlfn.CONCAT(B5880," ",E5880),ForeCalc!$B$36:$Y$36,0))))*VLOOKUP(A5880,Calendar!$A$2:$H$9997,8,FALSE),0)</f>
        <v/>
      </c>
      <c r="G5880" s="29">
        <f>VLOOKUP(A5880,Calendar!$A$1:$H$9997,6,FALSE)-F5880</f>
        <v/>
      </c>
      <c r="H5880" s="19" t="n">
        <v>2</v>
      </c>
      <c r="I5880" s="57" t="n">
        <v>2</v>
      </c>
    </row>
    <row r="5881">
      <c r="A5881" s="62" t="n">
        <v>46512</v>
      </c>
      <c r="B5881" s="3" t="inlineStr">
        <is>
          <t>Week</t>
        </is>
      </c>
      <c r="C5881" s="19" t="n">
        <v>5</v>
      </c>
      <c r="D5881" s="19" t="n">
        <v>2027</v>
      </c>
      <c r="E5881" s="57" t="n">
        <v>6</v>
      </c>
      <c r="F5881" s="29">
        <f>ROUND(((SUMIFS(Calendar!$F$2:$F$9997,Calendar!$B$2:$B$9997,D5881,Calendar!$C$2:$C$9997,C5881)*INDEX(ForeCalc!$B$37:$Y$274,MATCH(_xlfn.CONCAT(H5881," ",I5881),ForeCalc!$A$37:$A$274,0),MATCH(_xlfn.CONCAT(B5881," ",E5881),ForeCalc!$B$36:$Y$36,0))))*VLOOKUP(A5881,Calendar!$A$2:$H$9997,8,FALSE),0)</f>
        <v/>
      </c>
      <c r="G5881" s="29">
        <f>VLOOKUP(A5881,Calendar!$A$1:$H$9997,6,FALSE)-F5881</f>
        <v/>
      </c>
      <c r="H5881" s="19" t="n">
        <v>2</v>
      </c>
      <c r="I5881" s="57" t="n">
        <v>2</v>
      </c>
    </row>
    <row r="5882">
      <c r="A5882" s="62" t="n">
        <v>46513</v>
      </c>
      <c r="B5882" s="3" t="inlineStr">
        <is>
          <t>Week</t>
        </is>
      </c>
      <c r="C5882" s="19" t="n">
        <v>5</v>
      </c>
      <c r="D5882" s="19" t="n">
        <v>2027</v>
      </c>
      <c r="E5882" s="57" t="n">
        <v>6</v>
      </c>
      <c r="F5882" s="29">
        <f>ROUND(((SUMIFS(Calendar!$F$2:$F$9997,Calendar!$B$2:$B$9997,D5882,Calendar!$C$2:$C$9997,C5882)*INDEX(ForeCalc!$B$37:$Y$274,MATCH(_xlfn.CONCAT(H5882," ",I5882),ForeCalc!$A$37:$A$274,0),MATCH(_xlfn.CONCAT(B5882," ",E5882),ForeCalc!$B$36:$Y$36,0))))*VLOOKUP(A5882,Calendar!$A$2:$H$9997,8,FALSE),0)</f>
        <v/>
      </c>
      <c r="G5882" s="29">
        <f>VLOOKUP(A5882,Calendar!$A$1:$H$9997,6,FALSE)-F5882</f>
        <v/>
      </c>
      <c r="H5882" s="19" t="n">
        <v>2</v>
      </c>
      <c r="I5882" s="57" t="n">
        <v>2</v>
      </c>
    </row>
    <row r="5883">
      <c r="A5883" s="62" t="n">
        <v>46514</v>
      </c>
      <c r="B5883" s="3" t="inlineStr">
        <is>
          <t>Week</t>
        </is>
      </c>
      <c r="C5883" s="19" t="n">
        <v>5</v>
      </c>
      <c r="D5883" s="19" t="n">
        <v>2027</v>
      </c>
      <c r="E5883" s="57" t="n">
        <v>6</v>
      </c>
      <c r="F5883" s="29">
        <f>ROUND(((SUMIFS(Calendar!$F$2:$F$9997,Calendar!$B$2:$B$9997,D5883,Calendar!$C$2:$C$9997,C5883)*INDEX(ForeCalc!$B$37:$Y$274,MATCH(_xlfn.CONCAT(H5883," ",I5883),ForeCalc!$A$37:$A$274,0),MATCH(_xlfn.CONCAT(B5883," ",E5883),ForeCalc!$B$36:$Y$36,0))))*VLOOKUP(A5883,Calendar!$A$2:$H$9997,8,FALSE),0)</f>
        <v/>
      </c>
      <c r="G5883" s="29">
        <f>VLOOKUP(A5883,Calendar!$A$1:$H$9997,6,FALSE)-F5883</f>
        <v/>
      </c>
      <c r="H5883" s="19" t="n">
        <v>2</v>
      </c>
      <c r="I5883" s="57" t="n">
        <v>2</v>
      </c>
    </row>
    <row r="5884">
      <c r="A5884" s="62" t="n">
        <v>46515</v>
      </c>
      <c r="B5884" s="3" t="inlineStr">
        <is>
          <t>Sat</t>
        </is>
      </c>
      <c r="C5884" s="19" t="n">
        <v>5</v>
      </c>
      <c r="D5884" s="19" t="n">
        <v>2027</v>
      </c>
      <c r="E5884" s="57" t="n">
        <v>6</v>
      </c>
      <c r="F5884" s="29">
        <f>ROUND(((SUMIFS(Calendar!$F$2:$F$9997,Calendar!$B$2:$B$9997,D5884,Calendar!$C$2:$C$9997,C5884)*INDEX(ForeCalc!$B$37:$Y$274,MATCH(_xlfn.CONCAT(H5884," ",I5884),ForeCalc!$A$37:$A$274,0),MATCH(_xlfn.CONCAT(B5884," ",E5884),ForeCalc!$B$36:$Y$36,0))))*VLOOKUP(A5884,Calendar!$A$2:$H$9997,8,FALSE),0)</f>
        <v/>
      </c>
      <c r="G5884" s="29">
        <f>VLOOKUP(A5884,Calendar!$A$1:$H$9997,6,FALSE)-F5884</f>
        <v/>
      </c>
      <c r="H5884" s="19" t="n">
        <v>2</v>
      </c>
      <c r="I5884" s="57" t="n">
        <v>2</v>
      </c>
    </row>
    <row r="5885">
      <c r="A5885" s="62" t="n">
        <v>46516</v>
      </c>
      <c r="B5885" s="3" t="inlineStr">
        <is>
          <t>Sun</t>
        </is>
      </c>
      <c r="C5885" s="19" t="n">
        <v>5</v>
      </c>
      <c r="D5885" s="19" t="n">
        <v>2027</v>
      </c>
      <c r="E5885" s="57" t="n">
        <v>6</v>
      </c>
      <c r="F5885" s="29">
        <f>ROUND(((SUMIFS(Calendar!$F$2:$F$9997,Calendar!$B$2:$B$9997,D5885,Calendar!$C$2:$C$9997,C5885)*INDEX(ForeCalc!$B$37:$Y$274,MATCH(_xlfn.CONCAT(H5885," ",I5885),ForeCalc!$A$37:$A$274,0),MATCH(_xlfn.CONCAT(B5885," ",E5885),ForeCalc!$B$36:$Y$36,0))))*VLOOKUP(A5885,Calendar!$A$2:$H$9997,8,FALSE),0)</f>
        <v/>
      </c>
      <c r="G5885" s="29">
        <f>VLOOKUP(A5885,Calendar!$A$1:$H$9997,6,FALSE)-F5885</f>
        <v/>
      </c>
      <c r="H5885" s="19" t="n">
        <v>2</v>
      </c>
      <c r="I5885" s="57" t="n">
        <v>2</v>
      </c>
    </row>
    <row r="5886">
      <c r="A5886" s="62" t="n">
        <v>46517</v>
      </c>
      <c r="B5886" s="3" t="inlineStr">
        <is>
          <t>Week</t>
        </is>
      </c>
      <c r="C5886" s="19" t="n">
        <v>5</v>
      </c>
      <c r="D5886" s="19" t="n">
        <v>2027</v>
      </c>
      <c r="E5886" s="57" t="n">
        <v>6</v>
      </c>
      <c r="F5886" s="29">
        <f>ROUND(((SUMIFS(Calendar!$F$2:$F$9997,Calendar!$B$2:$B$9997,D5886,Calendar!$C$2:$C$9997,C5886)*INDEX(ForeCalc!$B$37:$Y$274,MATCH(_xlfn.CONCAT(H5886," ",I5886),ForeCalc!$A$37:$A$274,0),MATCH(_xlfn.CONCAT(B5886," ",E5886),ForeCalc!$B$36:$Y$36,0))))*VLOOKUP(A5886,Calendar!$A$2:$H$9997,8,FALSE),0)</f>
        <v/>
      </c>
      <c r="G5886" s="29">
        <f>VLOOKUP(A5886,Calendar!$A$1:$H$9997,6,FALSE)-F5886</f>
        <v/>
      </c>
      <c r="H5886" s="19" t="n">
        <v>2</v>
      </c>
      <c r="I5886" s="57" t="n">
        <v>2</v>
      </c>
    </row>
    <row r="5887">
      <c r="A5887" s="62" t="n">
        <v>46518</v>
      </c>
      <c r="B5887" s="3" t="inlineStr">
        <is>
          <t>Week</t>
        </is>
      </c>
      <c r="C5887" s="19" t="n">
        <v>5</v>
      </c>
      <c r="D5887" s="19" t="n">
        <v>2027</v>
      </c>
      <c r="E5887" s="57" t="n">
        <v>6</v>
      </c>
      <c r="F5887" s="29">
        <f>ROUND(((SUMIFS(Calendar!$F$2:$F$9997,Calendar!$B$2:$B$9997,D5887,Calendar!$C$2:$C$9997,C5887)*INDEX(ForeCalc!$B$37:$Y$274,MATCH(_xlfn.CONCAT(H5887," ",I5887),ForeCalc!$A$37:$A$274,0),MATCH(_xlfn.CONCAT(B5887," ",E5887),ForeCalc!$B$36:$Y$36,0))))*VLOOKUP(A5887,Calendar!$A$2:$H$9997,8,FALSE),0)</f>
        <v/>
      </c>
      <c r="G5887" s="29">
        <f>VLOOKUP(A5887,Calendar!$A$1:$H$9997,6,FALSE)-F5887</f>
        <v/>
      </c>
      <c r="H5887" s="19" t="n">
        <v>2</v>
      </c>
      <c r="I5887" s="57" t="n">
        <v>2</v>
      </c>
    </row>
    <row r="5888">
      <c r="A5888" s="62" t="n">
        <v>46519</v>
      </c>
      <c r="B5888" s="3" t="inlineStr">
        <is>
          <t>Week</t>
        </is>
      </c>
      <c r="C5888" s="19" t="n">
        <v>5</v>
      </c>
      <c r="D5888" s="19" t="n">
        <v>2027</v>
      </c>
      <c r="E5888" s="57" t="n">
        <v>6</v>
      </c>
      <c r="F5888" s="29">
        <f>ROUND(((SUMIFS(Calendar!$F$2:$F$9997,Calendar!$B$2:$B$9997,D5888,Calendar!$C$2:$C$9997,C5888)*INDEX(ForeCalc!$B$37:$Y$274,MATCH(_xlfn.CONCAT(H5888," ",I5888),ForeCalc!$A$37:$A$274,0),MATCH(_xlfn.CONCAT(B5888," ",E5888),ForeCalc!$B$36:$Y$36,0))))*VLOOKUP(A5888,Calendar!$A$2:$H$9997,8,FALSE),0)</f>
        <v/>
      </c>
      <c r="G5888" s="29">
        <f>VLOOKUP(A5888,Calendar!$A$1:$H$9997,6,FALSE)-F5888</f>
        <v/>
      </c>
      <c r="H5888" s="19" t="n">
        <v>2</v>
      </c>
      <c r="I5888" s="57" t="n">
        <v>2</v>
      </c>
    </row>
    <row r="5889">
      <c r="A5889" s="62" t="n">
        <v>46520</v>
      </c>
      <c r="B5889" s="3" t="inlineStr">
        <is>
          <t>Week</t>
        </is>
      </c>
      <c r="C5889" s="19" t="n">
        <v>5</v>
      </c>
      <c r="D5889" s="19" t="n">
        <v>2027</v>
      </c>
      <c r="E5889" s="57" t="n">
        <v>6</v>
      </c>
      <c r="F5889" s="29">
        <f>ROUND(((SUMIFS(Calendar!$F$2:$F$9997,Calendar!$B$2:$B$9997,D5889,Calendar!$C$2:$C$9997,C5889)*INDEX(ForeCalc!$B$37:$Y$274,MATCH(_xlfn.CONCAT(H5889," ",I5889),ForeCalc!$A$37:$A$274,0),MATCH(_xlfn.CONCAT(B5889," ",E5889),ForeCalc!$B$36:$Y$36,0))))*VLOOKUP(A5889,Calendar!$A$2:$H$9997,8,FALSE),0)</f>
        <v/>
      </c>
      <c r="G5889" s="29">
        <f>VLOOKUP(A5889,Calendar!$A$1:$H$9997,6,FALSE)-F5889</f>
        <v/>
      </c>
      <c r="H5889" s="19" t="n">
        <v>2</v>
      </c>
      <c r="I5889" s="57" t="n">
        <v>2</v>
      </c>
    </row>
    <row r="5890">
      <c r="A5890" s="62" t="n">
        <v>46521</v>
      </c>
      <c r="B5890" s="3" t="inlineStr">
        <is>
          <t>Week</t>
        </is>
      </c>
      <c r="C5890" s="19" t="n">
        <v>5</v>
      </c>
      <c r="D5890" s="19" t="n">
        <v>2027</v>
      </c>
      <c r="E5890" s="57" t="n">
        <v>6</v>
      </c>
      <c r="F5890" s="29">
        <f>ROUND(((SUMIFS(Calendar!$F$2:$F$9997,Calendar!$B$2:$B$9997,D5890,Calendar!$C$2:$C$9997,C5890)*INDEX(ForeCalc!$B$37:$Y$274,MATCH(_xlfn.CONCAT(H5890," ",I5890),ForeCalc!$A$37:$A$274,0),MATCH(_xlfn.CONCAT(B5890," ",E5890),ForeCalc!$B$36:$Y$36,0))))*VLOOKUP(A5890,Calendar!$A$2:$H$9997,8,FALSE),0)</f>
        <v/>
      </c>
      <c r="G5890" s="29">
        <f>VLOOKUP(A5890,Calendar!$A$1:$H$9997,6,FALSE)-F5890</f>
        <v/>
      </c>
      <c r="H5890" s="19" t="n">
        <v>2</v>
      </c>
      <c r="I5890" s="57" t="n">
        <v>2</v>
      </c>
    </row>
    <row r="5891">
      <c r="A5891" s="62" t="n">
        <v>46522</v>
      </c>
      <c r="B5891" s="3" t="inlineStr">
        <is>
          <t>Sat</t>
        </is>
      </c>
      <c r="C5891" s="19" t="n">
        <v>5</v>
      </c>
      <c r="D5891" s="19" t="n">
        <v>2027</v>
      </c>
      <c r="E5891" s="57" t="n">
        <v>6</v>
      </c>
      <c r="F5891" s="29">
        <f>ROUND(((SUMIFS(Calendar!$F$2:$F$9997,Calendar!$B$2:$B$9997,D5891,Calendar!$C$2:$C$9997,C5891)*INDEX(ForeCalc!$B$37:$Y$274,MATCH(_xlfn.CONCAT(H5891," ",I5891),ForeCalc!$A$37:$A$274,0),MATCH(_xlfn.CONCAT(B5891," ",E5891),ForeCalc!$B$36:$Y$36,0))))*VLOOKUP(A5891,Calendar!$A$2:$H$9997,8,FALSE),0)</f>
        <v/>
      </c>
      <c r="G5891" s="29">
        <f>VLOOKUP(A5891,Calendar!$A$1:$H$9997,6,FALSE)-F5891</f>
        <v/>
      </c>
      <c r="H5891" s="19" t="n">
        <v>2</v>
      </c>
      <c r="I5891" s="57" t="n">
        <v>2</v>
      </c>
    </row>
    <row r="5892">
      <c r="A5892" s="62" t="n">
        <v>46523</v>
      </c>
      <c r="B5892" s="3" t="inlineStr">
        <is>
          <t>Sun</t>
        </is>
      </c>
      <c r="C5892" s="19" t="n">
        <v>5</v>
      </c>
      <c r="D5892" s="19" t="n">
        <v>2027</v>
      </c>
      <c r="E5892" s="57" t="n">
        <v>6</v>
      </c>
      <c r="F5892" s="29">
        <f>ROUND(((SUMIFS(Calendar!$F$2:$F$9997,Calendar!$B$2:$B$9997,D5892,Calendar!$C$2:$C$9997,C5892)*INDEX(ForeCalc!$B$37:$Y$274,MATCH(_xlfn.CONCAT(H5892," ",I5892),ForeCalc!$A$37:$A$274,0),MATCH(_xlfn.CONCAT(B5892," ",E5892),ForeCalc!$B$36:$Y$36,0))))*VLOOKUP(A5892,Calendar!$A$2:$H$9997,8,FALSE),0)</f>
        <v/>
      </c>
      <c r="G5892" s="29">
        <f>VLOOKUP(A5892,Calendar!$A$1:$H$9997,6,FALSE)-F5892</f>
        <v/>
      </c>
      <c r="H5892" s="19" t="n">
        <v>2</v>
      </c>
      <c r="I5892" s="57" t="n">
        <v>2</v>
      </c>
    </row>
    <row r="5893">
      <c r="A5893" s="62" t="n">
        <v>46524</v>
      </c>
      <c r="B5893" s="3" t="inlineStr">
        <is>
          <t>Week</t>
        </is>
      </c>
      <c r="C5893" s="19" t="n">
        <v>5</v>
      </c>
      <c r="D5893" s="19" t="n">
        <v>2027</v>
      </c>
      <c r="E5893" s="57" t="n">
        <v>6</v>
      </c>
      <c r="F5893" s="29">
        <f>ROUND(((SUMIFS(Calendar!$F$2:$F$9997,Calendar!$B$2:$B$9997,D5893,Calendar!$C$2:$C$9997,C5893)*INDEX(ForeCalc!$B$37:$Y$274,MATCH(_xlfn.CONCAT(H5893," ",I5893),ForeCalc!$A$37:$A$274,0),MATCH(_xlfn.CONCAT(B5893," ",E5893),ForeCalc!$B$36:$Y$36,0))))*VLOOKUP(A5893,Calendar!$A$2:$H$9997,8,FALSE),0)</f>
        <v/>
      </c>
      <c r="G5893" s="29">
        <f>VLOOKUP(A5893,Calendar!$A$1:$H$9997,6,FALSE)-F5893</f>
        <v/>
      </c>
      <c r="H5893" s="19" t="n">
        <v>2</v>
      </c>
      <c r="I5893" s="57" t="n">
        <v>2</v>
      </c>
    </row>
    <row r="5894">
      <c r="A5894" s="62" t="n">
        <v>46525</v>
      </c>
      <c r="B5894" s="3" t="inlineStr">
        <is>
          <t>Week</t>
        </is>
      </c>
      <c r="C5894" s="19" t="n">
        <v>5</v>
      </c>
      <c r="D5894" s="19" t="n">
        <v>2027</v>
      </c>
      <c r="E5894" s="57" t="n">
        <v>6</v>
      </c>
      <c r="F5894" s="29">
        <f>ROUND(((SUMIFS(Calendar!$F$2:$F$9997,Calendar!$B$2:$B$9997,D5894,Calendar!$C$2:$C$9997,C5894)*INDEX(ForeCalc!$B$37:$Y$274,MATCH(_xlfn.CONCAT(H5894," ",I5894),ForeCalc!$A$37:$A$274,0),MATCH(_xlfn.CONCAT(B5894," ",E5894),ForeCalc!$B$36:$Y$36,0))))*VLOOKUP(A5894,Calendar!$A$2:$H$9997,8,FALSE),0)</f>
        <v/>
      </c>
      <c r="G5894" s="29">
        <f>VLOOKUP(A5894,Calendar!$A$1:$H$9997,6,FALSE)-F5894</f>
        <v/>
      </c>
      <c r="H5894" s="19" t="n">
        <v>2</v>
      </c>
      <c r="I5894" s="57" t="n">
        <v>2</v>
      </c>
    </row>
    <row r="5895">
      <c r="A5895" s="62" t="n">
        <v>46526</v>
      </c>
      <c r="B5895" s="3" t="inlineStr">
        <is>
          <t>Week</t>
        </is>
      </c>
      <c r="C5895" s="19" t="n">
        <v>5</v>
      </c>
      <c r="D5895" s="19" t="n">
        <v>2027</v>
      </c>
      <c r="E5895" s="57" t="n">
        <v>6</v>
      </c>
      <c r="F5895" s="29">
        <f>ROUND(((SUMIFS(Calendar!$F$2:$F$9997,Calendar!$B$2:$B$9997,D5895,Calendar!$C$2:$C$9997,C5895)*INDEX(ForeCalc!$B$37:$Y$274,MATCH(_xlfn.CONCAT(H5895," ",I5895),ForeCalc!$A$37:$A$274,0),MATCH(_xlfn.CONCAT(B5895," ",E5895),ForeCalc!$B$36:$Y$36,0))))*VLOOKUP(A5895,Calendar!$A$2:$H$9997,8,FALSE),0)</f>
        <v/>
      </c>
      <c r="G5895" s="29">
        <f>VLOOKUP(A5895,Calendar!$A$1:$H$9997,6,FALSE)-F5895</f>
        <v/>
      </c>
      <c r="H5895" s="19" t="n">
        <v>2</v>
      </c>
      <c r="I5895" s="57" t="n">
        <v>2</v>
      </c>
    </row>
    <row r="5896">
      <c r="A5896" s="62" t="n">
        <v>46527</v>
      </c>
      <c r="B5896" s="3" t="inlineStr">
        <is>
          <t>Week</t>
        </is>
      </c>
      <c r="C5896" s="19" t="n">
        <v>5</v>
      </c>
      <c r="D5896" s="19" t="n">
        <v>2027</v>
      </c>
      <c r="E5896" s="57" t="n">
        <v>6</v>
      </c>
      <c r="F5896" s="29">
        <f>ROUND(((SUMIFS(Calendar!$F$2:$F$9997,Calendar!$B$2:$B$9997,D5896,Calendar!$C$2:$C$9997,C5896)*INDEX(ForeCalc!$B$37:$Y$274,MATCH(_xlfn.CONCAT(H5896," ",I5896),ForeCalc!$A$37:$A$274,0),MATCH(_xlfn.CONCAT(B5896," ",E5896),ForeCalc!$B$36:$Y$36,0))))*VLOOKUP(A5896,Calendar!$A$2:$H$9997,8,FALSE),0)</f>
        <v/>
      </c>
      <c r="G5896" s="29">
        <f>VLOOKUP(A5896,Calendar!$A$1:$H$9997,6,FALSE)-F5896</f>
        <v/>
      </c>
      <c r="H5896" s="19" t="n">
        <v>2</v>
      </c>
      <c r="I5896" s="57" t="n">
        <v>2</v>
      </c>
    </row>
    <row r="5897">
      <c r="A5897" s="62" t="n">
        <v>46528</v>
      </c>
      <c r="B5897" s="3" t="inlineStr">
        <is>
          <t>Week</t>
        </is>
      </c>
      <c r="C5897" s="19" t="n">
        <v>5</v>
      </c>
      <c r="D5897" s="19" t="n">
        <v>2027</v>
      </c>
      <c r="E5897" s="57" t="n">
        <v>6</v>
      </c>
      <c r="F5897" s="29">
        <f>ROUND(((SUMIFS(Calendar!$F$2:$F$9997,Calendar!$B$2:$B$9997,D5897,Calendar!$C$2:$C$9997,C5897)*INDEX(ForeCalc!$B$37:$Y$274,MATCH(_xlfn.CONCAT(H5897," ",I5897),ForeCalc!$A$37:$A$274,0),MATCH(_xlfn.CONCAT(B5897," ",E5897),ForeCalc!$B$36:$Y$36,0))))*VLOOKUP(A5897,Calendar!$A$2:$H$9997,8,FALSE),0)</f>
        <v/>
      </c>
      <c r="G5897" s="29">
        <f>VLOOKUP(A5897,Calendar!$A$1:$H$9997,6,FALSE)-F5897</f>
        <v/>
      </c>
      <c r="H5897" s="19" t="n">
        <v>2</v>
      </c>
      <c r="I5897" s="57" t="n">
        <v>2</v>
      </c>
    </row>
    <row r="5898">
      <c r="A5898" s="62" t="n">
        <v>46529</v>
      </c>
      <c r="B5898" s="3" t="inlineStr">
        <is>
          <t>Sat</t>
        </is>
      </c>
      <c r="C5898" s="19" t="n">
        <v>5</v>
      </c>
      <c r="D5898" s="19" t="n">
        <v>2027</v>
      </c>
      <c r="E5898" s="57" t="n">
        <v>6</v>
      </c>
      <c r="F5898" s="29">
        <f>ROUND(((SUMIFS(Calendar!$F$2:$F$9997,Calendar!$B$2:$B$9997,D5898,Calendar!$C$2:$C$9997,C5898)*INDEX(ForeCalc!$B$37:$Y$274,MATCH(_xlfn.CONCAT(H5898," ",I5898),ForeCalc!$A$37:$A$274,0),MATCH(_xlfn.CONCAT(B5898," ",E5898),ForeCalc!$B$36:$Y$36,0))))*VLOOKUP(A5898,Calendar!$A$2:$H$9997,8,FALSE),0)</f>
        <v/>
      </c>
      <c r="G5898" s="29">
        <f>VLOOKUP(A5898,Calendar!$A$1:$H$9997,6,FALSE)-F5898</f>
        <v/>
      </c>
      <c r="H5898" s="19" t="n">
        <v>2</v>
      </c>
      <c r="I5898" s="57" t="n">
        <v>2</v>
      </c>
    </row>
    <row r="5899">
      <c r="A5899" s="62" t="n">
        <v>46530</v>
      </c>
      <c r="B5899" s="3" t="inlineStr">
        <is>
          <t>Sun</t>
        </is>
      </c>
      <c r="C5899" s="19" t="n">
        <v>5</v>
      </c>
      <c r="D5899" s="19" t="n">
        <v>2027</v>
      </c>
      <c r="E5899" s="57" t="n">
        <v>6</v>
      </c>
      <c r="F5899" s="29">
        <f>ROUND(((SUMIFS(Calendar!$F$2:$F$9997,Calendar!$B$2:$B$9997,D5899,Calendar!$C$2:$C$9997,C5899)*INDEX(ForeCalc!$B$37:$Y$274,MATCH(_xlfn.CONCAT(H5899," ",I5899),ForeCalc!$A$37:$A$274,0),MATCH(_xlfn.CONCAT(B5899," ",E5899),ForeCalc!$B$36:$Y$36,0))))*VLOOKUP(A5899,Calendar!$A$2:$H$9997,8,FALSE),0)</f>
        <v/>
      </c>
      <c r="G5899" s="29">
        <f>VLOOKUP(A5899,Calendar!$A$1:$H$9997,6,FALSE)-F5899</f>
        <v/>
      </c>
      <c r="H5899" s="19" t="n">
        <v>2</v>
      </c>
      <c r="I5899" s="57" t="n">
        <v>2</v>
      </c>
    </row>
    <row r="5900">
      <c r="A5900" s="62" t="n">
        <v>46531</v>
      </c>
      <c r="B5900" s="3" t="inlineStr">
        <is>
          <t>Week</t>
        </is>
      </c>
      <c r="C5900" s="19" t="n">
        <v>5</v>
      </c>
      <c r="D5900" s="19" t="n">
        <v>2027</v>
      </c>
      <c r="E5900" s="57" t="n">
        <v>6</v>
      </c>
      <c r="F5900" s="29">
        <f>ROUND(((SUMIFS(Calendar!$F$2:$F$9997,Calendar!$B$2:$B$9997,D5900,Calendar!$C$2:$C$9997,C5900)*INDEX(ForeCalc!$B$37:$Y$274,MATCH(_xlfn.CONCAT(H5900," ",I5900),ForeCalc!$A$37:$A$274,0),MATCH(_xlfn.CONCAT(B5900," ",E5900),ForeCalc!$B$36:$Y$36,0))))*VLOOKUP(A5900,Calendar!$A$2:$H$9997,8,FALSE),0)</f>
        <v/>
      </c>
      <c r="G5900" s="29">
        <f>VLOOKUP(A5900,Calendar!$A$1:$H$9997,6,FALSE)-F5900</f>
        <v/>
      </c>
      <c r="H5900" s="19" t="n">
        <v>2</v>
      </c>
      <c r="I5900" s="57" t="n">
        <v>2</v>
      </c>
    </row>
    <row r="5901">
      <c r="A5901" s="62" t="n">
        <v>46532</v>
      </c>
      <c r="B5901" s="3" t="inlineStr">
        <is>
          <t>Week</t>
        </is>
      </c>
      <c r="C5901" s="19" t="n">
        <v>5</v>
      </c>
      <c r="D5901" s="19" t="n">
        <v>2027</v>
      </c>
      <c r="E5901" s="57" t="n">
        <v>6</v>
      </c>
      <c r="F5901" s="29">
        <f>ROUND(((SUMIFS(Calendar!$F$2:$F$9997,Calendar!$B$2:$B$9997,D5901,Calendar!$C$2:$C$9997,C5901)*INDEX(ForeCalc!$B$37:$Y$274,MATCH(_xlfn.CONCAT(H5901," ",I5901),ForeCalc!$A$37:$A$274,0),MATCH(_xlfn.CONCAT(B5901," ",E5901),ForeCalc!$B$36:$Y$36,0))))*VLOOKUP(A5901,Calendar!$A$2:$H$9997,8,FALSE),0)</f>
        <v/>
      </c>
      <c r="G5901" s="29">
        <f>VLOOKUP(A5901,Calendar!$A$1:$H$9997,6,FALSE)-F5901</f>
        <v/>
      </c>
      <c r="H5901" s="19" t="n">
        <v>2</v>
      </c>
      <c r="I5901" s="57" t="n">
        <v>2</v>
      </c>
    </row>
    <row r="5902">
      <c r="A5902" s="62" t="n">
        <v>46533</v>
      </c>
      <c r="B5902" s="3" t="inlineStr">
        <is>
          <t>Week</t>
        </is>
      </c>
      <c r="C5902" s="19" t="n">
        <v>5</v>
      </c>
      <c r="D5902" s="19" t="n">
        <v>2027</v>
      </c>
      <c r="E5902" s="57" t="n">
        <v>6</v>
      </c>
      <c r="F5902" s="29">
        <f>ROUND(((SUMIFS(Calendar!$F$2:$F$9997,Calendar!$B$2:$B$9997,D5902,Calendar!$C$2:$C$9997,C5902)*INDEX(ForeCalc!$B$37:$Y$274,MATCH(_xlfn.CONCAT(H5902," ",I5902),ForeCalc!$A$37:$A$274,0),MATCH(_xlfn.CONCAT(B5902," ",E5902),ForeCalc!$B$36:$Y$36,0))))*VLOOKUP(A5902,Calendar!$A$2:$H$9997,8,FALSE),0)</f>
        <v/>
      </c>
      <c r="G5902" s="29">
        <f>VLOOKUP(A5902,Calendar!$A$1:$H$9997,6,FALSE)-F5902</f>
        <v/>
      </c>
      <c r="H5902" s="19" t="n">
        <v>2</v>
      </c>
      <c r="I5902" s="57" t="n">
        <v>2</v>
      </c>
    </row>
    <row r="5903">
      <c r="A5903" s="62" t="n">
        <v>46534</v>
      </c>
      <c r="B5903" s="3" t="inlineStr">
        <is>
          <t>Week</t>
        </is>
      </c>
      <c r="C5903" s="19" t="n">
        <v>5</v>
      </c>
      <c r="D5903" s="19" t="n">
        <v>2027</v>
      </c>
      <c r="E5903" s="57" t="n">
        <v>6</v>
      </c>
      <c r="F5903" s="29">
        <f>ROUND(((SUMIFS(Calendar!$F$2:$F$9997,Calendar!$B$2:$B$9997,D5903,Calendar!$C$2:$C$9997,C5903)*INDEX(ForeCalc!$B$37:$Y$274,MATCH(_xlfn.CONCAT(H5903," ",I5903),ForeCalc!$A$37:$A$274,0),MATCH(_xlfn.CONCAT(B5903," ",E5903),ForeCalc!$B$36:$Y$36,0))))*VLOOKUP(A5903,Calendar!$A$2:$H$9997,8,FALSE),0)</f>
        <v/>
      </c>
      <c r="G5903" s="29">
        <f>VLOOKUP(A5903,Calendar!$A$1:$H$9997,6,FALSE)-F5903</f>
        <v/>
      </c>
      <c r="H5903" s="19" t="n">
        <v>2</v>
      </c>
      <c r="I5903" s="57" t="n">
        <v>2</v>
      </c>
    </row>
    <row r="5904">
      <c r="A5904" s="62" t="n">
        <v>46535</v>
      </c>
      <c r="B5904" s="3" t="inlineStr">
        <is>
          <t>Week</t>
        </is>
      </c>
      <c r="C5904" s="19" t="n">
        <v>5</v>
      </c>
      <c r="D5904" s="19" t="n">
        <v>2027</v>
      </c>
      <c r="E5904" s="57" t="n">
        <v>6</v>
      </c>
      <c r="F5904" s="29">
        <f>ROUND(((SUMIFS(Calendar!$F$2:$F$9997,Calendar!$B$2:$B$9997,D5904,Calendar!$C$2:$C$9997,C5904)*INDEX(ForeCalc!$B$37:$Y$274,MATCH(_xlfn.CONCAT(H5904," ",I5904),ForeCalc!$A$37:$A$274,0),MATCH(_xlfn.CONCAT(B5904," ",E5904),ForeCalc!$B$36:$Y$36,0))))*VLOOKUP(A5904,Calendar!$A$2:$H$9997,8,FALSE),0)</f>
        <v/>
      </c>
      <c r="G5904" s="29">
        <f>VLOOKUP(A5904,Calendar!$A$1:$H$9997,6,FALSE)-F5904</f>
        <v/>
      </c>
      <c r="H5904" s="19" t="n">
        <v>2</v>
      </c>
      <c r="I5904" s="57" t="n">
        <v>2</v>
      </c>
    </row>
    <row r="5905">
      <c r="A5905" s="62" t="n">
        <v>46536</v>
      </c>
      <c r="B5905" s="3" t="inlineStr">
        <is>
          <t>Sat</t>
        </is>
      </c>
      <c r="C5905" s="19" t="n">
        <v>5</v>
      </c>
      <c r="D5905" s="19" t="n">
        <v>2027</v>
      </c>
      <c r="E5905" s="57" t="n">
        <v>6</v>
      </c>
      <c r="F5905" s="29">
        <f>ROUND(((SUMIFS(Calendar!$F$2:$F$9997,Calendar!$B$2:$B$9997,D5905,Calendar!$C$2:$C$9997,C5905)*INDEX(ForeCalc!$B$37:$Y$274,MATCH(_xlfn.CONCAT(H5905," ",I5905),ForeCalc!$A$37:$A$274,0),MATCH(_xlfn.CONCAT(B5905," ",E5905),ForeCalc!$B$36:$Y$36,0))))*VLOOKUP(A5905,Calendar!$A$2:$H$9997,8,FALSE),0)</f>
        <v/>
      </c>
      <c r="G5905" s="29">
        <f>VLOOKUP(A5905,Calendar!$A$1:$H$9997,6,FALSE)-F5905</f>
        <v/>
      </c>
      <c r="H5905" s="19" t="n">
        <v>2</v>
      </c>
      <c r="I5905" s="57" t="n">
        <v>2</v>
      </c>
    </row>
    <row r="5906">
      <c r="A5906" s="62" t="n">
        <v>46537</v>
      </c>
      <c r="B5906" s="3" t="inlineStr">
        <is>
          <t>Sun</t>
        </is>
      </c>
      <c r="C5906" s="19" t="n">
        <v>5</v>
      </c>
      <c r="D5906" s="19" t="n">
        <v>2027</v>
      </c>
      <c r="E5906" s="57" t="n">
        <v>6</v>
      </c>
      <c r="F5906" s="29">
        <f>ROUND(((SUMIFS(Calendar!$F$2:$F$9997,Calendar!$B$2:$B$9997,D5906,Calendar!$C$2:$C$9997,C5906)*INDEX(ForeCalc!$B$37:$Y$274,MATCH(_xlfn.CONCAT(H5906," ",I5906),ForeCalc!$A$37:$A$274,0),MATCH(_xlfn.CONCAT(B5906," ",E5906),ForeCalc!$B$36:$Y$36,0))))*VLOOKUP(A5906,Calendar!$A$2:$H$9997,8,FALSE),0)</f>
        <v/>
      </c>
      <c r="G5906" s="29">
        <f>VLOOKUP(A5906,Calendar!$A$1:$H$9997,6,FALSE)-F5906</f>
        <v/>
      </c>
      <c r="H5906" s="19" t="n">
        <v>2</v>
      </c>
      <c r="I5906" s="57" t="n">
        <v>2</v>
      </c>
    </row>
    <row r="5907">
      <c r="A5907" s="62" t="n">
        <v>46538</v>
      </c>
      <c r="B5907" s="3" t="inlineStr">
        <is>
          <t>Week</t>
        </is>
      </c>
      <c r="C5907" s="19" t="n">
        <v>5</v>
      </c>
      <c r="D5907" s="19" t="n">
        <v>2027</v>
      </c>
      <c r="E5907" s="57" t="n">
        <v>6</v>
      </c>
      <c r="F5907" s="29">
        <f>ROUND(((SUMIFS(Calendar!$F$2:$F$9997,Calendar!$B$2:$B$9997,D5907,Calendar!$C$2:$C$9997,C5907)*INDEX(ForeCalc!$B$37:$Y$274,MATCH(_xlfn.CONCAT(H5907," ",I5907),ForeCalc!$A$37:$A$274,0),MATCH(_xlfn.CONCAT(B5907," ",E5907),ForeCalc!$B$36:$Y$36,0))))*VLOOKUP(A5907,Calendar!$A$2:$H$9997,8,FALSE),0)</f>
        <v/>
      </c>
      <c r="G5907" s="29">
        <f>VLOOKUP(A5907,Calendar!$A$1:$H$9997,6,FALSE)-F5907</f>
        <v/>
      </c>
      <c r="H5907" s="19" t="n">
        <v>2</v>
      </c>
      <c r="I5907" s="57" t="n">
        <v>2</v>
      </c>
    </row>
    <row r="5908">
      <c r="A5908" s="62" t="n">
        <v>46539</v>
      </c>
      <c r="B5908" s="3" t="inlineStr">
        <is>
          <t>Week</t>
        </is>
      </c>
      <c r="C5908" s="19" t="n">
        <v>6</v>
      </c>
      <c r="D5908" s="19" t="n">
        <v>2027</v>
      </c>
      <c r="E5908" s="57" t="n">
        <v>6</v>
      </c>
      <c r="F5908" s="29">
        <f>ROUND(((SUMIFS(Calendar!$F$2:$F$9997,Calendar!$B$2:$B$9997,D5908,Calendar!$C$2:$C$9997,C5908)*INDEX(ForeCalc!$B$37:$Y$274,MATCH(_xlfn.CONCAT(H5908," ",I5908),ForeCalc!$A$37:$A$274,0),MATCH(_xlfn.CONCAT(B5908," ",E5908),ForeCalc!$B$36:$Y$36,0))))*VLOOKUP(A5908,Calendar!$A$2:$H$9997,8,FALSE),0)</f>
        <v/>
      </c>
      <c r="G5908" s="29">
        <f>VLOOKUP(A5908,Calendar!$A$1:$H$9997,6,FALSE)-F5908</f>
        <v/>
      </c>
      <c r="H5908" s="19" t="n">
        <v>2</v>
      </c>
      <c r="I5908" s="57" t="n">
        <v>3</v>
      </c>
    </row>
    <row r="5909">
      <c r="A5909" s="62" t="n">
        <v>46540</v>
      </c>
      <c r="B5909" s="3" t="inlineStr">
        <is>
          <t>Week</t>
        </is>
      </c>
      <c r="C5909" s="19" t="n">
        <v>6</v>
      </c>
      <c r="D5909" s="19" t="n">
        <v>2027</v>
      </c>
      <c r="E5909" s="57" t="n">
        <v>6</v>
      </c>
      <c r="F5909" s="29">
        <f>ROUND(((SUMIFS(Calendar!$F$2:$F$9997,Calendar!$B$2:$B$9997,D5909,Calendar!$C$2:$C$9997,C5909)*INDEX(ForeCalc!$B$37:$Y$274,MATCH(_xlfn.CONCAT(H5909," ",I5909),ForeCalc!$A$37:$A$274,0),MATCH(_xlfn.CONCAT(B5909," ",E5909),ForeCalc!$B$36:$Y$36,0))))*VLOOKUP(A5909,Calendar!$A$2:$H$9997,8,FALSE),0)</f>
        <v/>
      </c>
      <c r="G5909" s="29">
        <f>VLOOKUP(A5909,Calendar!$A$1:$H$9997,6,FALSE)-F5909</f>
        <v/>
      </c>
      <c r="H5909" s="19" t="n">
        <v>2</v>
      </c>
      <c r="I5909" s="57" t="n">
        <v>3</v>
      </c>
    </row>
    <row r="5910">
      <c r="A5910" s="62" t="n">
        <v>46541</v>
      </c>
      <c r="B5910" s="3" t="inlineStr">
        <is>
          <t>Week</t>
        </is>
      </c>
      <c r="C5910" s="19" t="n">
        <v>6</v>
      </c>
      <c r="D5910" s="19" t="n">
        <v>2027</v>
      </c>
      <c r="E5910" s="57" t="n">
        <v>6</v>
      </c>
      <c r="F5910" s="29">
        <f>ROUND(((SUMIFS(Calendar!$F$2:$F$9997,Calendar!$B$2:$B$9997,D5910,Calendar!$C$2:$C$9997,C5910)*INDEX(ForeCalc!$B$37:$Y$274,MATCH(_xlfn.CONCAT(H5910," ",I5910),ForeCalc!$A$37:$A$274,0),MATCH(_xlfn.CONCAT(B5910," ",E5910),ForeCalc!$B$36:$Y$36,0))))*VLOOKUP(A5910,Calendar!$A$2:$H$9997,8,FALSE),0)</f>
        <v/>
      </c>
      <c r="G5910" s="29">
        <f>VLOOKUP(A5910,Calendar!$A$1:$H$9997,6,FALSE)-F5910</f>
        <v/>
      </c>
      <c r="H5910" s="19" t="n">
        <v>2</v>
      </c>
      <c r="I5910" s="57" t="n">
        <v>3</v>
      </c>
    </row>
    <row r="5911">
      <c r="A5911" s="62" t="n">
        <v>46542</v>
      </c>
      <c r="B5911" s="3" t="inlineStr">
        <is>
          <t>Week</t>
        </is>
      </c>
      <c r="C5911" s="19" t="n">
        <v>6</v>
      </c>
      <c r="D5911" s="19" t="n">
        <v>2027</v>
      </c>
      <c r="E5911" s="57" t="n">
        <v>6</v>
      </c>
      <c r="F5911" s="29">
        <f>ROUND(((SUMIFS(Calendar!$F$2:$F$9997,Calendar!$B$2:$B$9997,D5911,Calendar!$C$2:$C$9997,C5911)*INDEX(ForeCalc!$B$37:$Y$274,MATCH(_xlfn.CONCAT(H5911," ",I5911),ForeCalc!$A$37:$A$274,0),MATCH(_xlfn.CONCAT(B5911," ",E5911),ForeCalc!$B$36:$Y$36,0))))*VLOOKUP(A5911,Calendar!$A$2:$H$9997,8,FALSE),0)</f>
        <v/>
      </c>
      <c r="G5911" s="29">
        <f>VLOOKUP(A5911,Calendar!$A$1:$H$9997,6,FALSE)-F5911</f>
        <v/>
      </c>
      <c r="H5911" s="19" t="n">
        <v>2</v>
      </c>
      <c r="I5911" s="57" t="n">
        <v>3</v>
      </c>
    </row>
    <row r="5912">
      <c r="A5912" s="62" t="n">
        <v>46543</v>
      </c>
      <c r="B5912" s="3" t="inlineStr">
        <is>
          <t>Sat</t>
        </is>
      </c>
      <c r="C5912" s="19" t="n">
        <v>6</v>
      </c>
      <c r="D5912" s="19" t="n">
        <v>2027</v>
      </c>
      <c r="E5912" s="57" t="n">
        <v>6</v>
      </c>
      <c r="F5912" s="29">
        <f>ROUND(((SUMIFS(Calendar!$F$2:$F$9997,Calendar!$B$2:$B$9997,D5912,Calendar!$C$2:$C$9997,C5912)*INDEX(ForeCalc!$B$37:$Y$274,MATCH(_xlfn.CONCAT(H5912," ",I5912),ForeCalc!$A$37:$A$274,0),MATCH(_xlfn.CONCAT(B5912," ",E5912),ForeCalc!$B$36:$Y$36,0))))*VLOOKUP(A5912,Calendar!$A$2:$H$9997,8,FALSE),0)</f>
        <v/>
      </c>
      <c r="G5912" s="29">
        <f>VLOOKUP(A5912,Calendar!$A$1:$H$9997,6,FALSE)-F5912</f>
        <v/>
      </c>
      <c r="H5912" s="19" t="n">
        <v>2</v>
      </c>
      <c r="I5912" s="57" t="n">
        <v>3</v>
      </c>
    </row>
    <row r="5913">
      <c r="A5913" s="62" t="n">
        <v>46544</v>
      </c>
      <c r="B5913" s="3" t="inlineStr">
        <is>
          <t>Sun</t>
        </is>
      </c>
      <c r="C5913" s="19" t="n">
        <v>6</v>
      </c>
      <c r="D5913" s="19" t="n">
        <v>2027</v>
      </c>
      <c r="E5913" s="57" t="n">
        <v>6</v>
      </c>
      <c r="F5913" s="29">
        <f>ROUND(((SUMIFS(Calendar!$F$2:$F$9997,Calendar!$B$2:$B$9997,D5913,Calendar!$C$2:$C$9997,C5913)*INDEX(ForeCalc!$B$37:$Y$274,MATCH(_xlfn.CONCAT(H5913," ",I5913),ForeCalc!$A$37:$A$274,0),MATCH(_xlfn.CONCAT(B5913," ",E5913),ForeCalc!$B$36:$Y$36,0))))*VLOOKUP(A5913,Calendar!$A$2:$H$9997,8,FALSE),0)</f>
        <v/>
      </c>
      <c r="G5913" s="29">
        <f>VLOOKUP(A5913,Calendar!$A$1:$H$9997,6,FALSE)-F5913</f>
        <v/>
      </c>
      <c r="H5913" s="19" t="n">
        <v>2</v>
      </c>
      <c r="I5913" s="57" t="n">
        <v>3</v>
      </c>
    </row>
    <row r="5914">
      <c r="A5914" s="62" t="n">
        <v>46545</v>
      </c>
      <c r="B5914" s="3" t="inlineStr">
        <is>
          <t>Week</t>
        </is>
      </c>
      <c r="C5914" s="19" t="n">
        <v>6</v>
      </c>
      <c r="D5914" s="19" t="n">
        <v>2027</v>
      </c>
      <c r="E5914" s="57" t="n">
        <v>6</v>
      </c>
      <c r="F5914" s="29">
        <f>ROUND(((SUMIFS(Calendar!$F$2:$F$9997,Calendar!$B$2:$B$9997,D5914,Calendar!$C$2:$C$9997,C5914)*INDEX(ForeCalc!$B$37:$Y$274,MATCH(_xlfn.CONCAT(H5914," ",I5914),ForeCalc!$A$37:$A$274,0),MATCH(_xlfn.CONCAT(B5914," ",E5914),ForeCalc!$B$36:$Y$36,0))))*VLOOKUP(A5914,Calendar!$A$2:$H$9997,8,FALSE),0)</f>
        <v/>
      </c>
      <c r="G5914" s="29">
        <f>VLOOKUP(A5914,Calendar!$A$1:$H$9997,6,FALSE)-F5914</f>
        <v/>
      </c>
      <c r="H5914" s="19" t="n">
        <v>2</v>
      </c>
      <c r="I5914" s="57" t="n">
        <v>3</v>
      </c>
    </row>
    <row r="5915">
      <c r="A5915" s="62" t="n">
        <v>46546</v>
      </c>
      <c r="B5915" s="3" t="inlineStr">
        <is>
          <t>Week</t>
        </is>
      </c>
      <c r="C5915" s="19" t="n">
        <v>6</v>
      </c>
      <c r="D5915" s="19" t="n">
        <v>2027</v>
      </c>
      <c r="E5915" s="57" t="n">
        <v>6</v>
      </c>
      <c r="F5915" s="29">
        <f>ROUND(((SUMIFS(Calendar!$F$2:$F$9997,Calendar!$B$2:$B$9997,D5915,Calendar!$C$2:$C$9997,C5915)*INDEX(ForeCalc!$B$37:$Y$274,MATCH(_xlfn.CONCAT(H5915," ",I5915),ForeCalc!$A$37:$A$274,0),MATCH(_xlfn.CONCAT(B5915," ",E5915),ForeCalc!$B$36:$Y$36,0))))*VLOOKUP(A5915,Calendar!$A$2:$H$9997,8,FALSE),0)</f>
        <v/>
      </c>
      <c r="G5915" s="29">
        <f>VLOOKUP(A5915,Calendar!$A$1:$H$9997,6,FALSE)-F5915</f>
        <v/>
      </c>
      <c r="H5915" s="19" t="n">
        <v>2</v>
      </c>
      <c r="I5915" s="57" t="n">
        <v>3</v>
      </c>
    </row>
    <row r="5916">
      <c r="A5916" s="62" t="n">
        <v>46547</v>
      </c>
      <c r="B5916" s="3" t="inlineStr">
        <is>
          <t>Week</t>
        </is>
      </c>
      <c r="C5916" s="19" t="n">
        <v>6</v>
      </c>
      <c r="D5916" s="19" t="n">
        <v>2027</v>
      </c>
      <c r="E5916" s="57" t="n">
        <v>6</v>
      </c>
      <c r="F5916" s="29">
        <f>ROUND(((SUMIFS(Calendar!$F$2:$F$9997,Calendar!$B$2:$B$9997,D5916,Calendar!$C$2:$C$9997,C5916)*INDEX(ForeCalc!$B$37:$Y$274,MATCH(_xlfn.CONCAT(H5916," ",I5916),ForeCalc!$A$37:$A$274,0),MATCH(_xlfn.CONCAT(B5916," ",E5916),ForeCalc!$B$36:$Y$36,0))))*VLOOKUP(A5916,Calendar!$A$2:$H$9997,8,FALSE),0)</f>
        <v/>
      </c>
      <c r="G5916" s="29">
        <f>VLOOKUP(A5916,Calendar!$A$1:$H$9997,6,FALSE)-F5916</f>
        <v/>
      </c>
      <c r="H5916" s="19" t="n">
        <v>2</v>
      </c>
      <c r="I5916" s="57" t="n">
        <v>3</v>
      </c>
    </row>
    <row r="5917">
      <c r="A5917" s="62" t="n">
        <v>46548</v>
      </c>
      <c r="B5917" s="3" t="inlineStr">
        <is>
          <t>Week</t>
        </is>
      </c>
      <c r="C5917" s="19" t="n">
        <v>6</v>
      </c>
      <c r="D5917" s="19" t="n">
        <v>2027</v>
      </c>
      <c r="E5917" s="57" t="n">
        <v>6</v>
      </c>
      <c r="F5917" s="29">
        <f>ROUND(((SUMIFS(Calendar!$F$2:$F$9997,Calendar!$B$2:$B$9997,D5917,Calendar!$C$2:$C$9997,C5917)*INDEX(ForeCalc!$B$37:$Y$274,MATCH(_xlfn.CONCAT(H5917," ",I5917),ForeCalc!$A$37:$A$274,0),MATCH(_xlfn.CONCAT(B5917," ",E5917),ForeCalc!$B$36:$Y$36,0))))*VLOOKUP(A5917,Calendar!$A$2:$H$9997,8,FALSE),0)</f>
        <v/>
      </c>
      <c r="G5917" s="29">
        <f>VLOOKUP(A5917,Calendar!$A$1:$H$9997,6,FALSE)-F5917</f>
        <v/>
      </c>
      <c r="H5917" s="19" t="n">
        <v>2</v>
      </c>
      <c r="I5917" s="57" t="n">
        <v>3</v>
      </c>
    </row>
    <row r="5918">
      <c r="A5918" s="62" t="n">
        <v>46549</v>
      </c>
      <c r="B5918" s="3" t="inlineStr">
        <is>
          <t>Week</t>
        </is>
      </c>
      <c r="C5918" s="19" t="n">
        <v>6</v>
      </c>
      <c r="D5918" s="19" t="n">
        <v>2027</v>
      </c>
      <c r="E5918" s="57" t="n">
        <v>6</v>
      </c>
      <c r="F5918" s="29">
        <f>ROUND(((SUMIFS(Calendar!$F$2:$F$9997,Calendar!$B$2:$B$9997,D5918,Calendar!$C$2:$C$9997,C5918)*INDEX(ForeCalc!$B$37:$Y$274,MATCH(_xlfn.CONCAT(H5918," ",I5918),ForeCalc!$A$37:$A$274,0),MATCH(_xlfn.CONCAT(B5918," ",E5918),ForeCalc!$B$36:$Y$36,0))))*VLOOKUP(A5918,Calendar!$A$2:$H$9997,8,FALSE),0)</f>
        <v/>
      </c>
      <c r="G5918" s="29">
        <f>VLOOKUP(A5918,Calendar!$A$1:$H$9997,6,FALSE)-F5918</f>
        <v/>
      </c>
      <c r="H5918" s="19" t="n">
        <v>2</v>
      </c>
      <c r="I5918" s="57" t="n">
        <v>3</v>
      </c>
    </row>
    <row r="5919">
      <c r="A5919" s="62" t="n">
        <v>46550</v>
      </c>
      <c r="B5919" s="3" t="inlineStr">
        <is>
          <t>Sat</t>
        </is>
      </c>
      <c r="C5919" s="19" t="n">
        <v>6</v>
      </c>
      <c r="D5919" s="19" t="n">
        <v>2027</v>
      </c>
      <c r="E5919" s="57" t="n">
        <v>6</v>
      </c>
      <c r="F5919" s="29">
        <f>ROUND(((SUMIFS(Calendar!$F$2:$F$9997,Calendar!$B$2:$B$9997,D5919,Calendar!$C$2:$C$9997,C5919)*INDEX(ForeCalc!$B$37:$Y$274,MATCH(_xlfn.CONCAT(H5919," ",I5919),ForeCalc!$A$37:$A$274,0),MATCH(_xlfn.CONCAT(B5919," ",E5919),ForeCalc!$B$36:$Y$36,0))))*VLOOKUP(A5919,Calendar!$A$2:$H$9997,8,FALSE),0)</f>
        <v/>
      </c>
      <c r="G5919" s="29">
        <f>VLOOKUP(A5919,Calendar!$A$1:$H$9997,6,FALSE)-F5919</f>
        <v/>
      </c>
      <c r="H5919" s="19" t="n">
        <v>2</v>
      </c>
      <c r="I5919" s="57" t="n">
        <v>3</v>
      </c>
    </row>
    <row r="5920">
      <c r="A5920" s="62" t="n">
        <v>46551</v>
      </c>
      <c r="B5920" s="3" t="inlineStr">
        <is>
          <t>Sun</t>
        </is>
      </c>
      <c r="C5920" s="19" t="n">
        <v>6</v>
      </c>
      <c r="D5920" s="19" t="n">
        <v>2027</v>
      </c>
      <c r="E5920" s="57" t="n">
        <v>6</v>
      </c>
      <c r="F5920" s="29">
        <f>ROUND(((SUMIFS(Calendar!$F$2:$F$9997,Calendar!$B$2:$B$9997,D5920,Calendar!$C$2:$C$9997,C5920)*INDEX(ForeCalc!$B$37:$Y$274,MATCH(_xlfn.CONCAT(H5920," ",I5920),ForeCalc!$A$37:$A$274,0),MATCH(_xlfn.CONCAT(B5920," ",E5920),ForeCalc!$B$36:$Y$36,0))))*VLOOKUP(A5920,Calendar!$A$2:$H$9997,8,FALSE),0)</f>
        <v/>
      </c>
      <c r="G5920" s="29">
        <f>VLOOKUP(A5920,Calendar!$A$1:$H$9997,6,FALSE)-F5920</f>
        <v/>
      </c>
      <c r="H5920" s="19" t="n">
        <v>2</v>
      </c>
      <c r="I5920" s="57" t="n">
        <v>3</v>
      </c>
    </row>
    <row r="5921">
      <c r="A5921" s="62" t="n">
        <v>46552</v>
      </c>
      <c r="B5921" s="3" t="inlineStr">
        <is>
          <t>Week</t>
        </is>
      </c>
      <c r="C5921" s="19" t="n">
        <v>6</v>
      </c>
      <c r="D5921" s="19" t="n">
        <v>2027</v>
      </c>
      <c r="E5921" s="57" t="n">
        <v>6</v>
      </c>
      <c r="F5921" s="29">
        <f>ROUND(((SUMIFS(Calendar!$F$2:$F$9997,Calendar!$B$2:$B$9997,D5921,Calendar!$C$2:$C$9997,C5921)*INDEX(ForeCalc!$B$37:$Y$274,MATCH(_xlfn.CONCAT(H5921," ",I5921),ForeCalc!$A$37:$A$274,0),MATCH(_xlfn.CONCAT(B5921," ",E5921),ForeCalc!$B$36:$Y$36,0))))*VLOOKUP(A5921,Calendar!$A$2:$H$9997,8,FALSE),0)</f>
        <v/>
      </c>
      <c r="G5921" s="29">
        <f>VLOOKUP(A5921,Calendar!$A$1:$H$9997,6,FALSE)-F5921</f>
        <v/>
      </c>
      <c r="H5921" s="19" t="n">
        <v>2</v>
      </c>
      <c r="I5921" s="57" t="n">
        <v>3</v>
      </c>
    </row>
    <row r="5922">
      <c r="A5922" s="62" t="n">
        <v>46553</v>
      </c>
      <c r="B5922" s="3" t="inlineStr">
        <is>
          <t>Week</t>
        </is>
      </c>
      <c r="C5922" s="19" t="n">
        <v>6</v>
      </c>
      <c r="D5922" s="19" t="n">
        <v>2027</v>
      </c>
      <c r="E5922" s="57" t="n">
        <v>6</v>
      </c>
      <c r="F5922" s="29">
        <f>ROUND(((SUMIFS(Calendar!$F$2:$F$9997,Calendar!$B$2:$B$9997,D5922,Calendar!$C$2:$C$9997,C5922)*INDEX(ForeCalc!$B$37:$Y$274,MATCH(_xlfn.CONCAT(H5922," ",I5922),ForeCalc!$A$37:$A$274,0),MATCH(_xlfn.CONCAT(B5922," ",E5922),ForeCalc!$B$36:$Y$36,0))))*VLOOKUP(A5922,Calendar!$A$2:$H$9997,8,FALSE),0)</f>
        <v/>
      </c>
      <c r="G5922" s="29">
        <f>VLOOKUP(A5922,Calendar!$A$1:$H$9997,6,FALSE)-F5922</f>
        <v/>
      </c>
      <c r="H5922" s="19" t="n">
        <v>2</v>
      </c>
      <c r="I5922" s="57" t="n">
        <v>3</v>
      </c>
    </row>
    <row r="5923">
      <c r="A5923" s="62" t="n">
        <v>46554</v>
      </c>
      <c r="B5923" s="3" t="inlineStr">
        <is>
          <t>Week</t>
        </is>
      </c>
      <c r="C5923" s="19" t="n">
        <v>6</v>
      </c>
      <c r="D5923" s="19" t="n">
        <v>2027</v>
      </c>
      <c r="E5923" s="57" t="n">
        <v>6</v>
      </c>
      <c r="F5923" s="29">
        <f>ROUND(((SUMIFS(Calendar!$F$2:$F$9997,Calendar!$B$2:$B$9997,D5923,Calendar!$C$2:$C$9997,C5923)*INDEX(ForeCalc!$B$37:$Y$274,MATCH(_xlfn.CONCAT(H5923," ",I5923),ForeCalc!$A$37:$A$274,0),MATCH(_xlfn.CONCAT(B5923," ",E5923),ForeCalc!$B$36:$Y$36,0))))*VLOOKUP(A5923,Calendar!$A$2:$H$9997,8,FALSE),0)</f>
        <v/>
      </c>
      <c r="G5923" s="29">
        <f>VLOOKUP(A5923,Calendar!$A$1:$H$9997,6,FALSE)-F5923</f>
        <v/>
      </c>
      <c r="H5923" s="19" t="n">
        <v>2</v>
      </c>
      <c r="I5923" s="57" t="n">
        <v>3</v>
      </c>
    </row>
    <row r="5924">
      <c r="A5924" s="62" t="n">
        <v>46555</v>
      </c>
      <c r="B5924" s="3" t="inlineStr">
        <is>
          <t>Week</t>
        </is>
      </c>
      <c r="C5924" s="19" t="n">
        <v>6</v>
      </c>
      <c r="D5924" s="19" t="n">
        <v>2027</v>
      </c>
      <c r="E5924" s="57" t="n">
        <v>6</v>
      </c>
      <c r="F5924" s="29">
        <f>ROUND(((SUMIFS(Calendar!$F$2:$F$9997,Calendar!$B$2:$B$9997,D5924,Calendar!$C$2:$C$9997,C5924)*INDEX(ForeCalc!$B$37:$Y$274,MATCH(_xlfn.CONCAT(H5924," ",I5924),ForeCalc!$A$37:$A$274,0),MATCH(_xlfn.CONCAT(B5924," ",E5924),ForeCalc!$B$36:$Y$36,0))))*VLOOKUP(A5924,Calendar!$A$2:$H$9997,8,FALSE),0)</f>
        <v/>
      </c>
      <c r="G5924" s="29">
        <f>VLOOKUP(A5924,Calendar!$A$1:$H$9997,6,FALSE)-F5924</f>
        <v/>
      </c>
      <c r="H5924" s="19" t="n">
        <v>2</v>
      </c>
      <c r="I5924" s="57" t="n">
        <v>3</v>
      </c>
    </row>
    <row r="5925">
      <c r="A5925" s="62" t="n">
        <v>46556</v>
      </c>
      <c r="B5925" s="3" t="inlineStr">
        <is>
          <t>Week</t>
        </is>
      </c>
      <c r="C5925" s="19" t="n">
        <v>6</v>
      </c>
      <c r="D5925" s="19" t="n">
        <v>2027</v>
      </c>
      <c r="E5925" s="57" t="n">
        <v>6</v>
      </c>
      <c r="F5925" s="29">
        <f>ROUND(((SUMIFS(Calendar!$F$2:$F$9997,Calendar!$B$2:$B$9997,D5925,Calendar!$C$2:$C$9997,C5925)*INDEX(ForeCalc!$B$37:$Y$274,MATCH(_xlfn.CONCAT(H5925," ",I5925),ForeCalc!$A$37:$A$274,0),MATCH(_xlfn.CONCAT(B5925," ",E5925),ForeCalc!$B$36:$Y$36,0))))*VLOOKUP(A5925,Calendar!$A$2:$H$9997,8,FALSE),0)</f>
        <v/>
      </c>
      <c r="G5925" s="29">
        <f>VLOOKUP(A5925,Calendar!$A$1:$H$9997,6,FALSE)-F5925</f>
        <v/>
      </c>
      <c r="H5925" s="19" t="n">
        <v>2</v>
      </c>
      <c r="I5925" s="57" t="n">
        <v>3</v>
      </c>
    </row>
    <row r="5926">
      <c r="A5926" s="62" t="n">
        <v>46557</v>
      </c>
      <c r="B5926" s="3" t="inlineStr">
        <is>
          <t>Sat</t>
        </is>
      </c>
      <c r="C5926" s="19" t="n">
        <v>6</v>
      </c>
      <c r="D5926" s="19" t="n">
        <v>2027</v>
      </c>
      <c r="E5926" s="57" t="n">
        <v>6</v>
      </c>
      <c r="F5926" s="29">
        <f>ROUND(((SUMIFS(Calendar!$F$2:$F$9997,Calendar!$B$2:$B$9997,D5926,Calendar!$C$2:$C$9997,C5926)*INDEX(ForeCalc!$B$37:$Y$274,MATCH(_xlfn.CONCAT(H5926," ",I5926),ForeCalc!$A$37:$A$274,0),MATCH(_xlfn.CONCAT(B5926," ",E5926),ForeCalc!$B$36:$Y$36,0))))*VLOOKUP(A5926,Calendar!$A$2:$H$9997,8,FALSE),0)</f>
        <v/>
      </c>
      <c r="G5926" s="29">
        <f>VLOOKUP(A5926,Calendar!$A$1:$H$9997,6,FALSE)-F5926</f>
        <v/>
      </c>
      <c r="H5926" s="19" t="n">
        <v>2</v>
      </c>
      <c r="I5926" s="57" t="n">
        <v>3</v>
      </c>
    </row>
    <row r="5927">
      <c r="A5927" s="62" t="n">
        <v>46558</v>
      </c>
      <c r="B5927" s="3" t="inlineStr">
        <is>
          <t>Sun</t>
        </is>
      </c>
      <c r="C5927" s="19" t="n">
        <v>6</v>
      </c>
      <c r="D5927" s="19" t="n">
        <v>2027</v>
      </c>
      <c r="E5927" s="57" t="n">
        <v>6</v>
      </c>
      <c r="F5927" s="29">
        <f>ROUND(((SUMIFS(Calendar!$F$2:$F$9997,Calendar!$B$2:$B$9997,D5927,Calendar!$C$2:$C$9997,C5927)*INDEX(ForeCalc!$B$37:$Y$274,MATCH(_xlfn.CONCAT(H5927," ",I5927),ForeCalc!$A$37:$A$274,0),MATCH(_xlfn.CONCAT(B5927," ",E5927),ForeCalc!$B$36:$Y$36,0))))*VLOOKUP(A5927,Calendar!$A$2:$H$9997,8,FALSE),0)</f>
        <v/>
      </c>
      <c r="G5927" s="29">
        <f>VLOOKUP(A5927,Calendar!$A$1:$H$9997,6,FALSE)-F5927</f>
        <v/>
      </c>
      <c r="H5927" s="19" t="n">
        <v>2</v>
      </c>
      <c r="I5927" s="57" t="n">
        <v>3</v>
      </c>
    </row>
    <row r="5928">
      <c r="A5928" s="62" t="n">
        <v>46559</v>
      </c>
      <c r="B5928" s="3" t="inlineStr">
        <is>
          <t>Week</t>
        </is>
      </c>
      <c r="C5928" s="19" t="n">
        <v>6</v>
      </c>
      <c r="D5928" s="19" t="n">
        <v>2027</v>
      </c>
      <c r="E5928" s="57" t="n">
        <v>6</v>
      </c>
      <c r="F5928" s="29">
        <f>ROUND(((SUMIFS(Calendar!$F$2:$F$9997,Calendar!$B$2:$B$9997,D5928,Calendar!$C$2:$C$9997,C5928)*INDEX(ForeCalc!$B$37:$Y$274,MATCH(_xlfn.CONCAT(H5928," ",I5928),ForeCalc!$A$37:$A$274,0),MATCH(_xlfn.CONCAT(B5928," ",E5928),ForeCalc!$B$36:$Y$36,0))))*VLOOKUP(A5928,Calendar!$A$2:$H$9997,8,FALSE),0)</f>
        <v/>
      </c>
      <c r="G5928" s="29">
        <f>VLOOKUP(A5928,Calendar!$A$1:$H$9997,6,FALSE)-F5928</f>
        <v/>
      </c>
      <c r="H5928" s="19" t="n">
        <v>2</v>
      </c>
      <c r="I5928" s="57" t="n">
        <v>3</v>
      </c>
    </row>
    <row r="5929">
      <c r="A5929" s="62" t="n">
        <v>46560</v>
      </c>
      <c r="B5929" s="3" t="inlineStr">
        <is>
          <t>Week</t>
        </is>
      </c>
      <c r="C5929" s="19" t="n">
        <v>6</v>
      </c>
      <c r="D5929" s="19" t="n">
        <v>2027</v>
      </c>
      <c r="E5929" s="57" t="n">
        <v>6</v>
      </c>
      <c r="F5929" s="29">
        <f>ROUND(((SUMIFS(Calendar!$F$2:$F$9997,Calendar!$B$2:$B$9997,D5929,Calendar!$C$2:$C$9997,C5929)*INDEX(ForeCalc!$B$37:$Y$274,MATCH(_xlfn.CONCAT(H5929," ",I5929),ForeCalc!$A$37:$A$274,0),MATCH(_xlfn.CONCAT(B5929," ",E5929),ForeCalc!$B$36:$Y$36,0))))*VLOOKUP(A5929,Calendar!$A$2:$H$9997,8,FALSE),0)</f>
        <v/>
      </c>
      <c r="G5929" s="29">
        <f>VLOOKUP(A5929,Calendar!$A$1:$H$9997,6,FALSE)-F5929</f>
        <v/>
      </c>
      <c r="H5929" s="19" t="n">
        <v>2</v>
      </c>
      <c r="I5929" s="57" t="n">
        <v>3</v>
      </c>
    </row>
    <row r="5930">
      <c r="A5930" s="62" t="n">
        <v>46561</v>
      </c>
      <c r="B5930" s="3" t="inlineStr">
        <is>
          <t>Week</t>
        </is>
      </c>
      <c r="C5930" s="19" t="n">
        <v>6</v>
      </c>
      <c r="D5930" s="19" t="n">
        <v>2027</v>
      </c>
      <c r="E5930" s="57" t="n">
        <v>6</v>
      </c>
      <c r="F5930" s="29">
        <f>ROUND(((SUMIFS(Calendar!$F$2:$F$9997,Calendar!$B$2:$B$9997,D5930,Calendar!$C$2:$C$9997,C5930)*INDEX(ForeCalc!$B$37:$Y$274,MATCH(_xlfn.CONCAT(H5930," ",I5930),ForeCalc!$A$37:$A$274,0),MATCH(_xlfn.CONCAT(B5930," ",E5930),ForeCalc!$B$36:$Y$36,0))))*VLOOKUP(A5930,Calendar!$A$2:$H$9997,8,FALSE),0)</f>
        <v/>
      </c>
      <c r="G5930" s="29">
        <f>VLOOKUP(A5930,Calendar!$A$1:$H$9997,6,FALSE)-F5930</f>
        <v/>
      </c>
      <c r="H5930" s="19" t="n">
        <v>2</v>
      </c>
      <c r="I5930" s="57" t="n">
        <v>3</v>
      </c>
    </row>
    <row r="5931">
      <c r="A5931" s="62" t="n">
        <v>46562</v>
      </c>
      <c r="B5931" s="3" t="inlineStr">
        <is>
          <t>Week</t>
        </is>
      </c>
      <c r="C5931" s="19" t="n">
        <v>6</v>
      </c>
      <c r="D5931" s="19" t="n">
        <v>2027</v>
      </c>
      <c r="E5931" s="57" t="n">
        <v>6</v>
      </c>
      <c r="F5931" s="29">
        <f>ROUND(((SUMIFS(Calendar!$F$2:$F$9997,Calendar!$B$2:$B$9997,D5931,Calendar!$C$2:$C$9997,C5931)*INDEX(ForeCalc!$B$37:$Y$274,MATCH(_xlfn.CONCAT(H5931," ",I5931),ForeCalc!$A$37:$A$274,0),MATCH(_xlfn.CONCAT(B5931," ",E5931),ForeCalc!$B$36:$Y$36,0))))*VLOOKUP(A5931,Calendar!$A$2:$H$9997,8,FALSE),0)</f>
        <v/>
      </c>
      <c r="G5931" s="29">
        <f>VLOOKUP(A5931,Calendar!$A$1:$H$9997,6,FALSE)-F5931</f>
        <v/>
      </c>
      <c r="H5931" s="19" t="n">
        <v>2</v>
      </c>
      <c r="I5931" s="57" t="n">
        <v>3</v>
      </c>
    </row>
    <row r="5932">
      <c r="A5932" s="62" t="n">
        <v>46563</v>
      </c>
      <c r="B5932" s="3" t="inlineStr">
        <is>
          <t>Week</t>
        </is>
      </c>
      <c r="C5932" s="19" t="n">
        <v>6</v>
      </c>
      <c r="D5932" s="19" t="n">
        <v>2027</v>
      </c>
      <c r="E5932" s="57" t="n">
        <v>6</v>
      </c>
      <c r="F5932" s="29">
        <f>ROUND(((SUMIFS(Calendar!$F$2:$F$9997,Calendar!$B$2:$B$9997,D5932,Calendar!$C$2:$C$9997,C5932)*INDEX(ForeCalc!$B$37:$Y$274,MATCH(_xlfn.CONCAT(H5932," ",I5932),ForeCalc!$A$37:$A$274,0),MATCH(_xlfn.CONCAT(B5932," ",E5932),ForeCalc!$B$36:$Y$36,0))))*VLOOKUP(A5932,Calendar!$A$2:$H$9997,8,FALSE),0)</f>
        <v/>
      </c>
      <c r="G5932" s="29">
        <f>VLOOKUP(A5932,Calendar!$A$1:$H$9997,6,FALSE)-F5932</f>
        <v/>
      </c>
      <c r="H5932" s="19" t="n">
        <v>2</v>
      </c>
      <c r="I5932" s="57" t="n">
        <v>3</v>
      </c>
    </row>
    <row r="5933">
      <c r="A5933" s="62" t="n">
        <v>46564</v>
      </c>
      <c r="B5933" s="3" t="inlineStr">
        <is>
          <t>Sat</t>
        </is>
      </c>
      <c r="C5933" s="19" t="n">
        <v>6</v>
      </c>
      <c r="D5933" s="19" t="n">
        <v>2027</v>
      </c>
      <c r="E5933" s="57" t="n">
        <v>6</v>
      </c>
      <c r="F5933" s="29">
        <f>ROUND(((SUMIFS(Calendar!$F$2:$F$9997,Calendar!$B$2:$B$9997,D5933,Calendar!$C$2:$C$9997,C5933)*INDEX(ForeCalc!$B$37:$Y$274,MATCH(_xlfn.CONCAT(H5933," ",I5933),ForeCalc!$A$37:$A$274,0),MATCH(_xlfn.CONCAT(B5933," ",E5933),ForeCalc!$B$36:$Y$36,0))))*VLOOKUP(A5933,Calendar!$A$2:$H$9997,8,FALSE),0)</f>
        <v/>
      </c>
      <c r="G5933" s="29">
        <f>VLOOKUP(A5933,Calendar!$A$1:$H$9997,6,FALSE)-F5933</f>
        <v/>
      </c>
      <c r="H5933" s="19" t="n">
        <v>2</v>
      </c>
      <c r="I5933" s="57" t="n">
        <v>3</v>
      </c>
    </row>
    <row r="5934">
      <c r="A5934" s="62" t="n">
        <v>46565</v>
      </c>
      <c r="B5934" s="3" t="inlineStr">
        <is>
          <t>Sun</t>
        </is>
      </c>
      <c r="C5934" s="19" t="n">
        <v>6</v>
      </c>
      <c r="D5934" s="19" t="n">
        <v>2027</v>
      </c>
      <c r="E5934" s="57" t="n">
        <v>6</v>
      </c>
      <c r="F5934" s="29">
        <f>ROUND(((SUMIFS(Calendar!$F$2:$F$9997,Calendar!$B$2:$B$9997,D5934,Calendar!$C$2:$C$9997,C5934)*INDEX(ForeCalc!$B$37:$Y$274,MATCH(_xlfn.CONCAT(H5934," ",I5934),ForeCalc!$A$37:$A$274,0),MATCH(_xlfn.CONCAT(B5934," ",E5934),ForeCalc!$B$36:$Y$36,0))))*VLOOKUP(A5934,Calendar!$A$2:$H$9997,8,FALSE),0)</f>
        <v/>
      </c>
      <c r="G5934" s="29">
        <f>VLOOKUP(A5934,Calendar!$A$1:$H$9997,6,FALSE)-F5934</f>
        <v/>
      </c>
      <c r="H5934" s="19" t="n">
        <v>2</v>
      </c>
      <c r="I5934" s="57" t="n">
        <v>3</v>
      </c>
    </row>
    <row r="5935">
      <c r="A5935" s="62" t="n">
        <v>46566</v>
      </c>
      <c r="B5935" s="3" t="inlineStr">
        <is>
          <t>Week</t>
        </is>
      </c>
      <c r="C5935" s="19" t="n">
        <v>6</v>
      </c>
      <c r="D5935" s="19" t="n">
        <v>2027</v>
      </c>
      <c r="E5935" s="57" t="n">
        <v>6</v>
      </c>
      <c r="F5935" s="29">
        <f>ROUND(((SUMIFS(Calendar!$F$2:$F$9997,Calendar!$B$2:$B$9997,D5935,Calendar!$C$2:$C$9997,C5935)*INDEX(ForeCalc!$B$37:$Y$274,MATCH(_xlfn.CONCAT(H5935," ",I5935),ForeCalc!$A$37:$A$274,0),MATCH(_xlfn.CONCAT(B5935," ",E5935),ForeCalc!$B$36:$Y$36,0))))*VLOOKUP(A5935,Calendar!$A$2:$H$9997,8,FALSE),0)</f>
        <v/>
      </c>
      <c r="G5935" s="29">
        <f>VLOOKUP(A5935,Calendar!$A$1:$H$9997,6,FALSE)-F5935</f>
        <v/>
      </c>
      <c r="H5935" s="19" t="n">
        <v>2</v>
      </c>
      <c r="I5935" s="57" t="n">
        <v>3</v>
      </c>
    </row>
    <row r="5936">
      <c r="A5936" s="62" t="n">
        <v>46567</v>
      </c>
      <c r="B5936" s="3" t="inlineStr">
        <is>
          <t>Week</t>
        </is>
      </c>
      <c r="C5936" s="19" t="n">
        <v>6</v>
      </c>
      <c r="D5936" s="19" t="n">
        <v>2027</v>
      </c>
      <c r="E5936" s="57" t="n">
        <v>6</v>
      </c>
      <c r="F5936" s="29">
        <f>ROUND(((SUMIFS(Calendar!$F$2:$F$9997,Calendar!$B$2:$B$9997,D5936,Calendar!$C$2:$C$9997,C5936)*INDEX(ForeCalc!$B$37:$Y$274,MATCH(_xlfn.CONCAT(H5936," ",I5936),ForeCalc!$A$37:$A$274,0),MATCH(_xlfn.CONCAT(B5936," ",E5936),ForeCalc!$B$36:$Y$36,0))))*VLOOKUP(A5936,Calendar!$A$2:$H$9997,8,FALSE),0)</f>
        <v/>
      </c>
      <c r="G5936" s="29">
        <f>VLOOKUP(A5936,Calendar!$A$1:$H$9997,6,FALSE)-F5936</f>
        <v/>
      </c>
      <c r="H5936" s="19" t="n">
        <v>2</v>
      </c>
      <c r="I5936" s="57" t="n">
        <v>3</v>
      </c>
    </row>
    <row r="5937">
      <c r="A5937" s="62" t="n">
        <v>46568</v>
      </c>
      <c r="B5937" s="3" t="inlineStr">
        <is>
          <t>Week</t>
        </is>
      </c>
      <c r="C5937" s="19" t="n">
        <v>6</v>
      </c>
      <c r="D5937" s="19" t="n">
        <v>2027</v>
      </c>
      <c r="E5937" s="57" t="n">
        <v>6</v>
      </c>
      <c r="F5937" s="29">
        <f>ROUND(((SUMIFS(Calendar!$F$2:$F$9997,Calendar!$B$2:$B$9997,D5937,Calendar!$C$2:$C$9997,C5937)*INDEX(ForeCalc!$B$37:$Y$274,MATCH(_xlfn.CONCAT(H5937," ",I5937),ForeCalc!$A$37:$A$274,0),MATCH(_xlfn.CONCAT(B5937," ",E5937),ForeCalc!$B$36:$Y$36,0))))*VLOOKUP(A5937,Calendar!$A$2:$H$9997,8,FALSE),0)</f>
        <v/>
      </c>
      <c r="G5937" s="29">
        <f>VLOOKUP(A5937,Calendar!$A$1:$H$9997,6,FALSE)-F5937</f>
        <v/>
      </c>
      <c r="H5937" s="19" t="n">
        <v>2</v>
      </c>
      <c r="I5937" s="57" t="n">
        <v>3</v>
      </c>
    </row>
    <row r="5938">
      <c r="A5938" s="62" t="n">
        <v>46569</v>
      </c>
      <c r="B5938" s="3" t="inlineStr">
        <is>
          <t>Week</t>
        </is>
      </c>
      <c r="C5938" s="19" t="n">
        <v>7</v>
      </c>
      <c r="D5938" s="19" t="n">
        <v>2027</v>
      </c>
      <c r="E5938" s="57" t="n">
        <v>6</v>
      </c>
      <c r="F5938" s="29">
        <f>ROUND(((SUMIFS(Calendar!$F$2:$F$9997,Calendar!$B$2:$B$9997,D5938,Calendar!$C$2:$C$9997,C5938)*INDEX(ForeCalc!$B$37:$Y$274,MATCH(_xlfn.CONCAT(H5938," ",I5938),ForeCalc!$A$37:$A$274,0),MATCH(_xlfn.CONCAT(B5938," ",E5938),ForeCalc!$B$36:$Y$36,0))))*VLOOKUP(A5938,Calendar!$A$2:$H$9997,8,FALSE),0)</f>
        <v/>
      </c>
      <c r="G5938" s="29">
        <f>VLOOKUP(A5938,Calendar!$A$1:$H$9997,6,FALSE)-F5938</f>
        <v/>
      </c>
      <c r="H5938" s="19" t="n">
        <v>2</v>
      </c>
      <c r="I5938" s="57" t="n">
        <v>4</v>
      </c>
    </row>
    <row r="5939">
      <c r="A5939" s="62" t="n">
        <v>46570</v>
      </c>
      <c r="B5939" s="3" t="inlineStr">
        <is>
          <t>Week</t>
        </is>
      </c>
      <c r="C5939" s="19" t="n">
        <v>7</v>
      </c>
      <c r="D5939" s="19" t="n">
        <v>2027</v>
      </c>
      <c r="E5939" s="57" t="n">
        <v>6</v>
      </c>
      <c r="F5939" s="29">
        <f>ROUND(((SUMIFS(Calendar!$F$2:$F$9997,Calendar!$B$2:$B$9997,D5939,Calendar!$C$2:$C$9997,C5939)*INDEX(ForeCalc!$B$37:$Y$274,MATCH(_xlfn.CONCAT(H5939," ",I5939),ForeCalc!$A$37:$A$274,0),MATCH(_xlfn.CONCAT(B5939," ",E5939),ForeCalc!$B$36:$Y$36,0))))*VLOOKUP(A5939,Calendar!$A$2:$H$9997,8,FALSE),0)</f>
        <v/>
      </c>
      <c r="G5939" s="29">
        <f>VLOOKUP(A5939,Calendar!$A$1:$H$9997,6,FALSE)-F5939</f>
        <v/>
      </c>
      <c r="H5939" s="19" t="n">
        <v>2</v>
      </c>
      <c r="I5939" s="57" t="n">
        <v>4</v>
      </c>
    </row>
    <row r="5940">
      <c r="A5940" s="62" t="n">
        <v>46571</v>
      </c>
      <c r="B5940" s="3" t="inlineStr">
        <is>
          <t>Sat</t>
        </is>
      </c>
      <c r="C5940" s="19" t="n">
        <v>7</v>
      </c>
      <c r="D5940" s="19" t="n">
        <v>2027</v>
      </c>
      <c r="E5940" s="57" t="n">
        <v>6</v>
      </c>
      <c r="F5940" s="29">
        <f>ROUND(((SUMIFS(Calendar!$F$2:$F$9997,Calendar!$B$2:$B$9997,D5940,Calendar!$C$2:$C$9997,C5940)*INDEX(ForeCalc!$B$37:$Y$274,MATCH(_xlfn.CONCAT(H5940," ",I5940),ForeCalc!$A$37:$A$274,0),MATCH(_xlfn.CONCAT(B5940," ",E5940),ForeCalc!$B$36:$Y$36,0))))*VLOOKUP(A5940,Calendar!$A$2:$H$9997,8,FALSE),0)</f>
        <v/>
      </c>
      <c r="G5940" s="29">
        <f>VLOOKUP(A5940,Calendar!$A$1:$H$9997,6,FALSE)-F5940</f>
        <v/>
      </c>
      <c r="H5940" s="19" t="n">
        <v>2</v>
      </c>
      <c r="I5940" s="57" t="n">
        <v>4</v>
      </c>
    </row>
    <row r="5941">
      <c r="A5941" s="62" t="n">
        <v>46572</v>
      </c>
      <c r="B5941" s="3" t="inlineStr">
        <is>
          <t>Sun</t>
        </is>
      </c>
      <c r="C5941" s="19" t="n">
        <v>7</v>
      </c>
      <c r="D5941" s="19" t="n">
        <v>2027</v>
      </c>
      <c r="E5941" s="57" t="n">
        <v>6</v>
      </c>
      <c r="F5941" s="29">
        <f>ROUND(((SUMIFS(Calendar!$F$2:$F$9997,Calendar!$B$2:$B$9997,D5941,Calendar!$C$2:$C$9997,C5941)*INDEX(ForeCalc!$B$37:$Y$274,MATCH(_xlfn.CONCAT(H5941," ",I5941),ForeCalc!$A$37:$A$274,0),MATCH(_xlfn.CONCAT(B5941," ",E5941),ForeCalc!$B$36:$Y$36,0))))*VLOOKUP(A5941,Calendar!$A$2:$H$9997,8,FALSE),0)</f>
        <v/>
      </c>
      <c r="G5941" s="29">
        <f>VLOOKUP(A5941,Calendar!$A$1:$H$9997,6,FALSE)-F5941</f>
        <v/>
      </c>
      <c r="H5941" s="19" t="n">
        <v>2</v>
      </c>
      <c r="I5941" s="57" t="n">
        <v>4</v>
      </c>
    </row>
    <row r="5942">
      <c r="A5942" s="62" t="n">
        <v>46573</v>
      </c>
      <c r="B5942" s="3" t="inlineStr">
        <is>
          <t>Week</t>
        </is>
      </c>
      <c r="C5942" s="19" t="n">
        <v>7</v>
      </c>
      <c r="D5942" s="19" t="n">
        <v>2027</v>
      </c>
      <c r="E5942" s="57" t="n">
        <v>6</v>
      </c>
      <c r="F5942" s="29">
        <f>ROUND(((SUMIFS(Calendar!$F$2:$F$9997,Calendar!$B$2:$B$9997,D5942,Calendar!$C$2:$C$9997,C5942)*INDEX(ForeCalc!$B$37:$Y$274,MATCH(_xlfn.CONCAT(H5942," ",I5942),ForeCalc!$A$37:$A$274,0),MATCH(_xlfn.CONCAT(B5942," ",E5942),ForeCalc!$B$36:$Y$36,0))))*VLOOKUP(A5942,Calendar!$A$2:$H$9997,8,FALSE),0)</f>
        <v/>
      </c>
      <c r="G5942" s="29">
        <f>VLOOKUP(A5942,Calendar!$A$1:$H$9997,6,FALSE)-F5942</f>
        <v/>
      </c>
      <c r="H5942" s="19" t="n">
        <v>2</v>
      </c>
      <c r="I5942" s="57" t="n">
        <v>4</v>
      </c>
    </row>
    <row r="5943">
      <c r="A5943" s="62" t="n">
        <v>46574</v>
      </c>
      <c r="B5943" s="3" t="inlineStr">
        <is>
          <t>Week</t>
        </is>
      </c>
      <c r="C5943" s="19" t="n">
        <v>7</v>
      </c>
      <c r="D5943" s="19" t="n">
        <v>2027</v>
      </c>
      <c r="E5943" s="57" t="n">
        <v>6</v>
      </c>
      <c r="F5943" s="29">
        <f>ROUND(((SUMIFS(Calendar!$F$2:$F$9997,Calendar!$B$2:$B$9997,D5943,Calendar!$C$2:$C$9997,C5943)*INDEX(ForeCalc!$B$37:$Y$274,MATCH(_xlfn.CONCAT(H5943," ",I5943),ForeCalc!$A$37:$A$274,0),MATCH(_xlfn.CONCAT(B5943," ",E5943),ForeCalc!$B$36:$Y$36,0))))*VLOOKUP(A5943,Calendar!$A$2:$H$9997,8,FALSE),0)</f>
        <v/>
      </c>
      <c r="G5943" s="29">
        <f>VLOOKUP(A5943,Calendar!$A$1:$H$9997,6,FALSE)-F5943</f>
        <v/>
      </c>
      <c r="H5943" s="19" t="n">
        <v>2</v>
      </c>
      <c r="I5943" s="57" t="n">
        <v>4</v>
      </c>
    </row>
    <row r="5944">
      <c r="A5944" s="62" t="n">
        <v>46575</v>
      </c>
      <c r="B5944" s="3" t="inlineStr">
        <is>
          <t>Week</t>
        </is>
      </c>
      <c r="C5944" s="19" t="n">
        <v>7</v>
      </c>
      <c r="D5944" s="19" t="n">
        <v>2027</v>
      </c>
      <c r="E5944" s="57" t="n">
        <v>6</v>
      </c>
      <c r="F5944" s="29">
        <f>ROUND(((SUMIFS(Calendar!$F$2:$F$9997,Calendar!$B$2:$B$9997,D5944,Calendar!$C$2:$C$9997,C5944)*INDEX(ForeCalc!$B$37:$Y$274,MATCH(_xlfn.CONCAT(H5944," ",I5944),ForeCalc!$A$37:$A$274,0),MATCH(_xlfn.CONCAT(B5944," ",E5944),ForeCalc!$B$36:$Y$36,0))))*VLOOKUP(A5944,Calendar!$A$2:$H$9997,8,FALSE),0)</f>
        <v/>
      </c>
      <c r="G5944" s="29">
        <f>VLOOKUP(A5944,Calendar!$A$1:$H$9997,6,FALSE)-F5944</f>
        <v/>
      </c>
      <c r="H5944" s="19" t="n">
        <v>2</v>
      </c>
      <c r="I5944" s="57" t="n">
        <v>4</v>
      </c>
    </row>
    <row r="5945">
      <c r="A5945" s="62" t="n">
        <v>46576</v>
      </c>
      <c r="B5945" s="3" t="inlineStr">
        <is>
          <t>Week</t>
        </is>
      </c>
      <c r="C5945" s="19" t="n">
        <v>7</v>
      </c>
      <c r="D5945" s="19" t="n">
        <v>2027</v>
      </c>
      <c r="E5945" s="57" t="n">
        <v>6</v>
      </c>
      <c r="F5945" s="29">
        <f>ROUND(((SUMIFS(Calendar!$F$2:$F$9997,Calendar!$B$2:$B$9997,D5945,Calendar!$C$2:$C$9997,C5945)*INDEX(ForeCalc!$B$37:$Y$274,MATCH(_xlfn.CONCAT(H5945," ",I5945),ForeCalc!$A$37:$A$274,0),MATCH(_xlfn.CONCAT(B5945," ",E5945),ForeCalc!$B$36:$Y$36,0))))*VLOOKUP(A5945,Calendar!$A$2:$H$9997,8,FALSE),0)</f>
        <v/>
      </c>
      <c r="G5945" s="29">
        <f>VLOOKUP(A5945,Calendar!$A$1:$H$9997,6,FALSE)-F5945</f>
        <v/>
      </c>
      <c r="H5945" s="19" t="n">
        <v>2</v>
      </c>
      <c r="I5945" s="57" t="n">
        <v>4</v>
      </c>
    </row>
    <row r="5946">
      <c r="A5946" s="62" t="n">
        <v>46577</v>
      </c>
      <c r="B5946" s="3" t="inlineStr">
        <is>
          <t>Week</t>
        </is>
      </c>
      <c r="C5946" s="19" t="n">
        <v>7</v>
      </c>
      <c r="D5946" s="19" t="n">
        <v>2027</v>
      </c>
      <c r="E5946" s="57" t="n">
        <v>6</v>
      </c>
      <c r="F5946" s="29">
        <f>ROUND(((SUMIFS(Calendar!$F$2:$F$9997,Calendar!$B$2:$B$9997,D5946,Calendar!$C$2:$C$9997,C5946)*INDEX(ForeCalc!$B$37:$Y$274,MATCH(_xlfn.CONCAT(H5946," ",I5946),ForeCalc!$A$37:$A$274,0),MATCH(_xlfn.CONCAT(B5946," ",E5946),ForeCalc!$B$36:$Y$36,0))))*VLOOKUP(A5946,Calendar!$A$2:$H$9997,8,FALSE),0)</f>
        <v/>
      </c>
      <c r="G5946" s="29">
        <f>VLOOKUP(A5946,Calendar!$A$1:$H$9997,6,FALSE)-F5946</f>
        <v/>
      </c>
      <c r="H5946" s="19" t="n">
        <v>2</v>
      </c>
      <c r="I5946" s="57" t="n">
        <v>4</v>
      </c>
    </row>
    <row r="5947">
      <c r="A5947" s="62" t="n">
        <v>46578</v>
      </c>
      <c r="B5947" s="3" t="inlineStr">
        <is>
          <t>Sat</t>
        </is>
      </c>
      <c r="C5947" s="19" t="n">
        <v>7</v>
      </c>
      <c r="D5947" s="19" t="n">
        <v>2027</v>
      </c>
      <c r="E5947" s="57" t="n">
        <v>6</v>
      </c>
      <c r="F5947" s="29">
        <f>ROUND(((SUMIFS(Calendar!$F$2:$F$9997,Calendar!$B$2:$B$9997,D5947,Calendar!$C$2:$C$9997,C5947)*INDEX(ForeCalc!$B$37:$Y$274,MATCH(_xlfn.CONCAT(H5947," ",I5947),ForeCalc!$A$37:$A$274,0),MATCH(_xlfn.CONCAT(B5947," ",E5947),ForeCalc!$B$36:$Y$36,0))))*VLOOKUP(A5947,Calendar!$A$2:$H$9997,8,FALSE),0)</f>
        <v/>
      </c>
      <c r="G5947" s="29">
        <f>VLOOKUP(A5947,Calendar!$A$1:$H$9997,6,FALSE)-F5947</f>
        <v/>
      </c>
      <c r="H5947" s="19" t="n">
        <v>2</v>
      </c>
      <c r="I5947" s="57" t="n">
        <v>4</v>
      </c>
    </row>
    <row r="5948">
      <c r="A5948" s="62" t="n">
        <v>46579</v>
      </c>
      <c r="B5948" s="3" t="inlineStr">
        <is>
          <t>Sun</t>
        </is>
      </c>
      <c r="C5948" s="19" t="n">
        <v>7</v>
      </c>
      <c r="D5948" s="19" t="n">
        <v>2027</v>
      </c>
      <c r="E5948" s="57" t="n">
        <v>6</v>
      </c>
      <c r="F5948" s="29">
        <f>ROUND(((SUMIFS(Calendar!$F$2:$F$9997,Calendar!$B$2:$B$9997,D5948,Calendar!$C$2:$C$9997,C5948)*INDEX(ForeCalc!$B$37:$Y$274,MATCH(_xlfn.CONCAT(H5948," ",I5948),ForeCalc!$A$37:$A$274,0),MATCH(_xlfn.CONCAT(B5948," ",E5948),ForeCalc!$B$36:$Y$36,0))))*VLOOKUP(A5948,Calendar!$A$2:$H$9997,8,FALSE),0)</f>
        <v/>
      </c>
      <c r="G5948" s="29">
        <f>VLOOKUP(A5948,Calendar!$A$1:$H$9997,6,FALSE)-F5948</f>
        <v/>
      </c>
      <c r="H5948" s="19" t="n">
        <v>2</v>
      </c>
      <c r="I5948" s="57" t="n">
        <v>4</v>
      </c>
    </row>
    <row r="5949">
      <c r="A5949" s="62" t="n">
        <v>46580</v>
      </c>
      <c r="B5949" s="3" t="inlineStr">
        <is>
          <t>Week</t>
        </is>
      </c>
      <c r="C5949" s="19" t="n">
        <v>7</v>
      </c>
      <c r="D5949" s="19" t="n">
        <v>2027</v>
      </c>
      <c r="E5949" s="57" t="n">
        <v>6</v>
      </c>
      <c r="F5949" s="29">
        <f>ROUND(((SUMIFS(Calendar!$F$2:$F$9997,Calendar!$B$2:$B$9997,D5949,Calendar!$C$2:$C$9997,C5949)*INDEX(ForeCalc!$B$37:$Y$274,MATCH(_xlfn.CONCAT(H5949," ",I5949),ForeCalc!$A$37:$A$274,0),MATCH(_xlfn.CONCAT(B5949," ",E5949),ForeCalc!$B$36:$Y$36,0))))*VLOOKUP(A5949,Calendar!$A$2:$H$9997,8,FALSE),0)</f>
        <v/>
      </c>
      <c r="G5949" s="29">
        <f>VLOOKUP(A5949,Calendar!$A$1:$H$9997,6,FALSE)-F5949</f>
        <v/>
      </c>
      <c r="H5949" s="19" t="n">
        <v>2</v>
      </c>
      <c r="I5949" s="57" t="n">
        <v>4</v>
      </c>
    </row>
    <row r="5950">
      <c r="A5950" s="62" t="n">
        <v>46581</v>
      </c>
      <c r="B5950" s="3" t="inlineStr">
        <is>
          <t>Week</t>
        </is>
      </c>
      <c r="C5950" s="19" t="n">
        <v>7</v>
      </c>
      <c r="D5950" s="19" t="n">
        <v>2027</v>
      </c>
      <c r="E5950" s="57" t="n">
        <v>6</v>
      </c>
      <c r="F5950" s="29">
        <f>ROUND(((SUMIFS(Calendar!$F$2:$F$9997,Calendar!$B$2:$B$9997,D5950,Calendar!$C$2:$C$9997,C5950)*INDEX(ForeCalc!$B$37:$Y$274,MATCH(_xlfn.CONCAT(H5950," ",I5950),ForeCalc!$A$37:$A$274,0),MATCH(_xlfn.CONCAT(B5950," ",E5950),ForeCalc!$B$36:$Y$36,0))))*VLOOKUP(A5950,Calendar!$A$2:$H$9997,8,FALSE),0)</f>
        <v/>
      </c>
      <c r="G5950" s="29">
        <f>VLOOKUP(A5950,Calendar!$A$1:$H$9997,6,FALSE)-F5950</f>
        <v/>
      </c>
      <c r="H5950" s="19" t="n">
        <v>2</v>
      </c>
      <c r="I5950" s="57" t="n">
        <v>4</v>
      </c>
    </row>
    <row r="5951">
      <c r="A5951" s="62" t="n">
        <v>46582</v>
      </c>
      <c r="B5951" s="3" t="inlineStr">
        <is>
          <t>Week</t>
        </is>
      </c>
      <c r="C5951" s="19" t="n">
        <v>7</v>
      </c>
      <c r="D5951" s="19" t="n">
        <v>2027</v>
      </c>
      <c r="E5951" s="57" t="n">
        <v>6</v>
      </c>
      <c r="F5951" s="29">
        <f>ROUND(((SUMIFS(Calendar!$F$2:$F$9997,Calendar!$B$2:$B$9997,D5951,Calendar!$C$2:$C$9997,C5951)*INDEX(ForeCalc!$B$37:$Y$274,MATCH(_xlfn.CONCAT(H5951," ",I5951),ForeCalc!$A$37:$A$274,0),MATCH(_xlfn.CONCAT(B5951," ",E5951),ForeCalc!$B$36:$Y$36,0))))*VLOOKUP(A5951,Calendar!$A$2:$H$9997,8,FALSE),0)</f>
        <v/>
      </c>
      <c r="G5951" s="29">
        <f>VLOOKUP(A5951,Calendar!$A$1:$H$9997,6,FALSE)-F5951</f>
        <v/>
      </c>
      <c r="H5951" s="19" t="n">
        <v>2</v>
      </c>
      <c r="I5951" s="57" t="n">
        <v>4</v>
      </c>
    </row>
    <row r="5952">
      <c r="A5952" s="62" t="n">
        <v>46583</v>
      </c>
      <c r="B5952" s="3" t="inlineStr">
        <is>
          <t>Week</t>
        </is>
      </c>
      <c r="C5952" s="19" t="n">
        <v>7</v>
      </c>
      <c r="D5952" s="19" t="n">
        <v>2027</v>
      </c>
      <c r="E5952" s="57" t="n">
        <v>6</v>
      </c>
      <c r="F5952" s="29">
        <f>ROUND(((SUMIFS(Calendar!$F$2:$F$9997,Calendar!$B$2:$B$9997,D5952,Calendar!$C$2:$C$9997,C5952)*INDEX(ForeCalc!$B$37:$Y$274,MATCH(_xlfn.CONCAT(H5952," ",I5952),ForeCalc!$A$37:$A$274,0),MATCH(_xlfn.CONCAT(B5952," ",E5952),ForeCalc!$B$36:$Y$36,0))))*VLOOKUP(A5952,Calendar!$A$2:$H$9997,8,FALSE),0)</f>
        <v/>
      </c>
      <c r="G5952" s="29">
        <f>VLOOKUP(A5952,Calendar!$A$1:$H$9997,6,FALSE)-F5952</f>
        <v/>
      </c>
      <c r="H5952" s="19" t="n">
        <v>2</v>
      </c>
      <c r="I5952" s="57" t="n">
        <v>4</v>
      </c>
    </row>
    <row r="5953">
      <c r="A5953" s="62" t="n">
        <v>46584</v>
      </c>
      <c r="B5953" s="3" t="inlineStr">
        <is>
          <t>Week</t>
        </is>
      </c>
      <c r="C5953" s="19" t="n">
        <v>7</v>
      </c>
      <c r="D5953" s="19" t="n">
        <v>2027</v>
      </c>
      <c r="E5953" s="57" t="n">
        <v>6</v>
      </c>
      <c r="F5953" s="29">
        <f>ROUND(((SUMIFS(Calendar!$F$2:$F$9997,Calendar!$B$2:$B$9997,D5953,Calendar!$C$2:$C$9997,C5953)*INDEX(ForeCalc!$B$37:$Y$274,MATCH(_xlfn.CONCAT(H5953," ",I5953),ForeCalc!$A$37:$A$274,0),MATCH(_xlfn.CONCAT(B5953," ",E5953),ForeCalc!$B$36:$Y$36,0))))*VLOOKUP(A5953,Calendar!$A$2:$H$9997,8,FALSE),0)</f>
        <v/>
      </c>
      <c r="G5953" s="29">
        <f>VLOOKUP(A5953,Calendar!$A$1:$H$9997,6,FALSE)-F5953</f>
        <v/>
      </c>
      <c r="H5953" s="19" t="n">
        <v>2</v>
      </c>
      <c r="I5953" s="57" t="n">
        <v>4</v>
      </c>
    </row>
    <row r="5954">
      <c r="A5954" s="62" t="n">
        <v>46585</v>
      </c>
      <c r="B5954" s="3" t="inlineStr">
        <is>
          <t>Sat</t>
        </is>
      </c>
      <c r="C5954" s="19" t="n">
        <v>7</v>
      </c>
      <c r="D5954" s="19" t="n">
        <v>2027</v>
      </c>
      <c r="E5954" s="57" t="n">
        <v>6</v>
      </c>
      <c r="F5954" s="29">
        <f>ROUND(((SUMIFS(Calendar!$F$2:$F$9997,Calendar!$B$2:$B$9997,D5954,Calendar!$C$2:$C$9997,C5954)*INDEX(ForeCalc!$B$37:$Y$274,MATCH(_xlfn.CONCAT(H5954," ",I5954),ForeCalc!$A$37:$A$274,0),MATCH(_xlfn.CONCAT(B5954," ",E5954),ForeCalc!$B$36:$Y$36,0))))*VLOOKUP(A5954,Calendar!$A$2:$H$9997,8,FALSE),0)</f>
        <v/>
      </c>
      <c r="G5954" s="29">
        <f>VLOOKUP(A5954,Calendar!$A$1:$H$9997,6,FALSE)-F5954</f>
        <v/>
      </c>
      <c r="H5954" s="19" t="n">
        <v>2</v>
      </c>
      <c r="I5954" s="57" t="n">
        <v>4</v>
      </c>
    </row>
    <row r="5955">
      <c r="A5955" s="62" t="n">
        <v>46586</v>
      </c>
      <c r="B5955" s="3" t="inlineStr">
        <is>
          <t>Sun</t>
        </is>
      </c>
      <c r="C5955" s="19" t="n">
        <v>7</v>
      </c>
      <c r="D5955" s="19" t="n">
        <v>2027</v>
      </c>
      <c r="E5955" s="57" t="n">
        <v>6</v>
      </c>
      <c r="F5955" s="29">
        <f>ROUND(((SUMIFS(Calendar!$F$2:$F$9997,Calendar!$B$2:$B$9997,D5955,Calendar!$C$2:$C$9997,C5955)*INDEX(ForeCalc!$B$37:$Y$274,MATCH(_xlfn.CONCAT(H5955," ",I5955),ForeCalc!$A$37:$A$274,0),MATCH(_xlfn.CONCAT(B5955," ",E5955),ForeCalc!$B$36:$Y$36,0))))*VLOOKUP(A5955,Calendar!$A$2:$H$9997,8,FALSE),0)</f>
        <v/>
      </c>
      <c r="G5955" s="29">
        <f>VLOOKUP(A5955,Calendar!$A$1:$H$9997,6,FALSE)-F5955</f>
        <v/>
      </c>
      <c r="H5955" s="19" t="n">
        <v>2</v>
      </c>
      <c r="I5955" s="57" t="n">
        <v>4</v>
      </c>
    </row>
    <row r="5956">
      <c r="A5956" s="62" t="n">
        <v>46587</v>
      </c>
      <c r="B5956" s="3" t="inlineStr">
        <is>
          <t>Week</t>
        </is>
      </c>
      <c r="C5956" s="19" t="n">
        <v>7</v>
      </c>
      <c r="D5956" s="19" t="n">
        <v>2027</v>
      </c>
      <c r="E5956" s="57" t="n">
        <v>6</v>
      </c>
      <c r="F5956" s="29">
        <f>ROUND(((SUMIFS(Calendar!$F$2:$F$9997,Calendar!$B$2:$B$9997,D5956,Calendar!$C$2:$C$9997,C5956)*INDEX(ForeCalc!$B$37:$Y$274,MATCH(_xlfn.CONCAT(H5956," ",I5956),ForeCalc!$A$37:$A$274,0),MATCH(_xlfn.CONCAT(B5956," ",E5956),ForeCalc!$B$36:$Y$36,0))))*VLOOKUP(A5956,Calendar!$A$2:$H$9997,8,FALSE),0)</f>
        <v/>
      </c>
      <c r="G5956" s="29">
        <f>VLOOKUP(A5956,Calendar!$A$1:$H$9997,6,FALSE)-F5956</f>
        <v/>
      </c>
      <c r="H5956" s="19" t="n">
        <v>2</v>
      </c>
      <c r="I5956" s="57" t="n">
        <v>4</v>
      </c>
    </row>
    <row r="5957">
      <c r="A5957" s="62" t="n">
        <v>46588</v>
      </c>
      <c r="B5957" s="3" t="inlineStr">
        <is>
          <t>Week</t>
        </is>
      </c>
      <c r="C5957" s="19" t="n">
        <v>7</v>
      </c>
      <c r="D5957" s="19" t="n">
        <v>2027</v>
      </c>
      <c r="E5957" s="57" t="n">
        <v>6</v>
      </c>
      <c r="F5957" s="29">
        <f>ROUND(((SUMIFS(Calendar!$F$2:$F$9997,Calendar!$B$2:$B$9997,D5957,Calendar!$C$2:$C$9997,C5957)*INDEX(ForeCalc!$B$37:$Y$274,MATCH(_xlfn.CONCAT(H5957," ",I5957),ForeCalc!$A$37:$A$274,0),MATCH(_xlfn.CONCAT(B5957," ",E5957),ForeCalc!$B$36:$Y$36,0))))*VLOOKUP(A5957,Calendar!$A$2:$H$9997,8,FALSE),0)</f>
        <v/>
      </c>
      <c r="G5957" s="29">
        <f>VLOOKUP(A5957,Calendar!$A$1:$H$9997,6,FALSE)-F5957</f>
        <v/>
      </c>
      <c r="H5957" s="19" t="n">
        <v>2</v>
      </c>
      <c r="I5957" s="57" t="n">
        <v>4</v>
      </c>
    </row>
    <row r="5958">
      <c r="A5958" s="62" t="n">
        <v>46589</v>
      </c>
      <c r="B5958" s="3" t="inlineStr">
        <is>
          <t>Week</t>
        </is>
      </c>
      <c r="C5958" s="19" t="n">
        <v>7</v>
      </c>
      <c r="D5958" s="19" t="n">
        <v>2027</v>
      </c>
      <c r="E5958" s="57" t="n">
        <v>6</v>
      </c>
      <c r="F5958" s="29">
        <f>ROUND(((SUMIFS(Calendar!$F$2:$F$9997,Calendar!$B$2:$B$9997,D5958,Calendar!$C$2:$C$9997,C5958)*INDEX(ForeCalc!$B$37:$Y$274,MATCH(_xlfn.CONCAT(H5958," ",I5958),ForeCalc!$A$37:$A$274,0),MATCH(_xlfn.CONCAT(B5958," ",E5958),ForeCalc!$B$36:$Y$36,0))))*VLOOKUP(A5958,Calendar!$A$2:$H$9997,8,FALSE),0)</f>
        <v/>
      </c>
      <c r="G5958" s="29">
        <f>VLOOKUP(A5958,Calendar!$A$1:$H$9997,6,FALSE)-F5958</f>
        <v/>
      </c>
      <c r="H5958" s="19" t="n">
        <v>2</v>
      </c>
      <c r="I5958" s="57" t="n">
        <v>4</v>
      </c>
    </row>
    <row r="5959">
      <c r="A5959" s="62" t="n">
        <v>46590</v>
      </c>
      <c r="B5959" s="3" t="inlineStr">
        <is>
          <t>Week</t>
        </is>
      </c>
      <c r="C5959" s="19" t="n">
        <v>7</v>
      </c>
      <c r="D5959" s="19" t="n">
        <v>2027</v>
      </c>
      <c r="E5959" s="57" t="n">
        <v>6</v>
      </c>
      <c r="F5959" s="29">
        <f>ROUND(((SUMIFS(Calendar!$F$2:$F$9997,Calendar!$B$2:$B$9997,D5959,Calendar!$C$2:$C$9997,C5959)*INDEX(ForeCalc!$B$37:$Y$274,MATCH(_xlfn.CONCAT(H5959," ",I5959),ForeCalc!$A$37:$A$274,0),MATCH(_xlfn.CONCAT(B5959," ",E5959),ForeCalc!$B$36:$Y$36,0))))*VLOOKUP(A5959,Calendar!$A$2:$H$9997,8,FALSE),0)</f>
        <v/>
      </c>
      <c r="G5959" s="29">
        <f>VLOOKUP(A5959,Calendar!$A$1:$H$9997,6,FALSE)-F5959</f>
        <v/>
      </c>
      <c r="H5959" s="19" t="n">
        <v>2</v>
      </c>
      <c r="I5959" s="57" t="n">
        <v>4</v>
      </c>
    </row>
    <row r="5960">
      <c r="A5960" s="62" t="n">
        <v>46591</v>
      </c>
      <c r="B5960" s="3" t="inlineStr">
        <is>
          <t>Week</t>
        </is>
      </c>
      <c r="C5960" s="19" t="n">
        <v>7</v>
      </c>
      <c r="D5960" s="19" t="n">
        <v>2027</v>
      </c>
      <c r="E5960" s="57" t="n">
        <v>6</v>
      </c>
      <c r="F5960" s="29">
        <f>ROUND(((SUMIFS(Calendar!$F$2:$F$9997,Calendar!$B$2:$B$9997,D5960,Calendar!$C$2:$C$9997,C5960)*INDEX(ForeCalc!$B$37:$Y$274,MATCH(_xlfn.CONCAT(H5960," ",I5960),ForeCalc!$A$37:$A$274,0),MATCH(_xlfn.CONCAT(B5960," ",E5960),ForeCalc!$B$36:$Y$36,0))))*VLOOKUP(A5960,Calendar!$A$2:$H$9997,8,FALSE),0)</f>
        <v/>
      </c>
      <c r="G5960" s="29">
        <f>VLOOKUP(A5960,Calendar!$A$1:$H$9997,6,FALSE)-F5960</f>
        <v/>
      </c>
      <c r="H5960" s="19" t="n">
        <v>2</v>
      </c>
      <c r="I5960" s="57" t="n">
        <v>4</v>
      </c>
    </row>
    <row r="5961">
      <c r="A5961" s="62" t="n">
        <v>46592</v>
      </c>
      <c r="B5961" s="3" t="inlineStr">
        <is>
          <t>Sat</t>
        </is>
      </c>
      <c r="C5961" s="19" t="n">
        <v>7</v>
      </c>
      <c r="D5961" s="19" t="n">
        <v>2027</v>
      </c>
      <c r="E5961" s="57" t="n">
        <v>6</v>
      </c>
      <c r="F5961" s="29">
        <f>ROUND(((SUMIFS(Calendar!$F$2:$F$9997,Calendar!$B$2:$B$9997,D5961,Calendar!$C$2:$C$9997,C5961)*INDEX(ForeCalc!$B$37:$Y$274,MATCH(_xlfn.CONCAT(H5961," ",I5961),ForeCalc!$A$37:$A$274,0),MATCH(_xlfn.CONCAT(B5961," ",E5961),ForeCalc!$B$36:$Y$36,0))))*VLOOKUP(A5961,Calendar!$A$2:$H$9997,8,FALSE),0)</f>
        <v/>
      </c>
      <c r="G5961" s="29">
        <f>VLOOKUP(A5961,Calendar!$A$1:$H$9997,6,FALSE)-F5961</f>
        <v/>
      </c>
      <c r="H5961" s="19" t="n">
        <v>2</v>
      </c>
      <c r="I5961" s="57" t="n">
        <v>4</v>
      </c>
    </row>
    <row r="5962">
      <c r="A5962" s="62" t="n">
        <v>46593</v>
      </c>
      <c r="B5962" s="3" t="inlineStr">
        <is>
          <t>Sun</t>
        </is>
      </c>
      <c r="C5962" s="19" t="n">
        <v>7</v>
      </c>
      <c r="D5962" s="19" t="n">
        <v>2027</v>
      </c>
      <c r="E5962" s="57" t="n">
        <v>6</v>
      </c>
      <c r="F5962" s="29">
        <f>ROUND(((SUMIFS(Calendar!$F$2:$F$9997,Calendar!$B$2:$B$9997,D5962,Calendar!$C$2:$C$9997,C5962)*INDEX(ForeCalc!$B$37:$Y$274,MATCH(_xlfn.CONCAT(H5962," ",I5962),ForeCalc!$A$37:$A$274,0),MATCH(_xlfn.CONCAT(B5962," ",E5962),ForeCalc!$B$36:$Y$36,0))))*VLOOKUP(A5962,Calendar!$A$2:$H$9997,8,FALSE),0)</f>
        <v/>
      </c>
      <c r="G5962" s="29">
        <f>VLOOKUP(A5962,Calendar!$A$1:$H$9997,6,FALSE)-F5962</f>
        <v/>
      </c>
      <c r="H5962" s="19" t="n">
        <v>2</v>
      </c>
      <c r="I5962" s="57" t="n">
        <v>4</v>
      </c>
    </row>
    <row r="5963">
      <c r="A5963" s="62" t="n">
        <v>46594</v>
      </c>
      <c r="B5963" s="3" t="inlineStr">
        <is>
          <t>Week</t>
        </is>
      </c>
      <c r="C5963" s="19" t="n">
        <v>7</v>
      </c>
      <c r="D5963" s="19" t="n">
        <v>2027</v>
      </c>
      <c r="E5963" s="57" t="n">
        <v>6</v>
      </c>
      <c r="F5963" s="29">
        <f>ROUND(((SUMIFS(Calendar!$F$2:$F$9997,Calendar!$B$2:$B$9997,D5963,Calendar!$C$2:$C$9997,C5963)*INDEX(ForeCalc!$B$37:$Y$274,MATCH(_xlfn.CONCAT(H5963," ",I5963),ForeCalc!$A$37:$A$274,0),MATCH(_xlfn.CONCAT(B5963," ",E5963),ForeCalc!$B$36:$Y$36,0))))*VLOOKUP(A5963,Calendar!$A$2:$H$9997,8,FALSE),0)</f>
        <v/>
      </c>
      <c r="G5963" s="29">
        <f>VLOOKUP(A5963,Calendar!$A$1:$H$9997,6,FALSE)-F5963</f>
        <v/>
      </c>
      <c r="H5963" s="19" t="n">
        <v>2</v>
      </c>
      <c r="I5963" s="57" t="n">
        <v>4</v>
      </c>
    </row>
    <row r="5964">
      <c r="A5964" s="62" t="n">
        <v>46595</v>
      </c>
      <c r="B5964" s="3" t="inlineStr">
        <is>
          <t>Week</t>
        </is>
      </c>
      <c r="C5964" s="19" t="n">
        <v>7</v>
      </c>
      <c r="D5964" s="19" t="n">
        <v>2027</v>
      </c>
      <c r="E5964" s="57" t="n">
        <v>6</v>
      </c>
      <c r="F5964" s="29">
        <f>ROUND(((SUMIFS(Calendar!$F$2:$F$9997,Calendar!$B$2:$B$9997,D5964,Calendar!$C$2:$C$9997,C5964)*INDEX(ForeCalc!$B$37:$Y$274,MATCH(_xlfn.CONCAT(H5964," ",I5964),ForeCalc!$A$37:$A$274,0),MATCH(_xlfn.CONCAT(B5964," ",E5964),ForeCalc!$B$36:$Y$36,0))))*VLOOKUP(A5964,Calendar!$A$2:$H$9997,8,FALSE),0)</f>
        <v/>
      </c>
      <c r="G5964" s="29">
        <f>VLOOKUP(A5964,Calendar!$A$1:$H$9997,6,FALSE)-F5964</f>
        <v/>
      </c>
      <c r="H5964" s="19" t="n">
        <v>2</v>
      </c>
      <c r="I5964" s="57" t="n">
        <v>4</v>
      </c>
    </row>
    <row r="5965">
      <c r="A5965" s="62" t="n">
        <v>46596</v>
      </c>
      <c r="B5965" s="3" t="inlineStr">
        <is>
          <t>Week</t>
        </is>
      </c>
      <c r="C5965" s="19" t="n">
        <v>7</v>
      </c>
      <c r="D5965" s="19" t="n">
        <v>2027</v>
      </c>
      <c r="E5965" s="57" t="n">
        <v>6</v>
      </c>
      <c r="F5965" s="29">
        <f>ROUND(((SUMIFS(Calendar!$F$2:$F$9997,Calendar!$B$2:$B$9997,D5965,Calendar!$C$2:$C$9997,C5965)*INDEX(ForeCalc!$B$37:$Y$274,MATCH(_xlfn.CONCAT(H5965," ",I5965),ForeCalc!$A$37:$A$274,0),MATCH(_xlfn.CONCAT(B5965," ",E5965),ForeCalc!$B$36:$Y$36,0))))*VLOOKUP(A5965,Calendar!$A$2:$H$9997,8,FALSE),0)</f>
        <v/>
      </c>
      <c r="G5965" s="29">
        <f>VLOOKUP(A5965,Calendar!$A$1:$H$9997,6,FALSE)-F5965</f>
        <v/>
      </c>
      <c r="H5965" s="19" t="n">
        <v>2</v>
      </c>
      <c r="I5965" s="57" t="n">
        <v>4</v>
      </c>
    </row>
    <row r="5966">
      <c r="A5966" s="62" t="n">
        <v>46597</v>
      </c>
      <c r="B5966" s="3" t="inlineStr">
        <is>
          <t>Week</t>
        </is>
      </c>
      <c r="C5966" s="19" t="n">
        <v>7</v>
      </c>
      <c r="D5966" s="19" t="n">
        <v>2027</v>
      </c>
      <c r="E5966" s="57" t="n">
        <v>6</v>
      </c>
      <c r="F5966" s="29">
        <f>ROUND(((SUMIFS(Calendar!$F$2:$F$9997,Calendar!$B$2:$B$9997,D5966,Calendar!$C$2:$C$9997,C5966)*INDEX(ForeCalc!$B$37:$Y$274,MATCH(_xlfn.CONCAT(H5966," ",I5966),ForeCalc!$A$37:$A$274,0),MATCH(_xlfn.CONCAT(B5966," ",E5966),ForeCalc!$B$36:$Y$36,0))))*VLOOKUP(A5966,Calendar!$A$2:$H$9997,8,FALSE),0)</f>
        <v/>
      </c>
      <c r="G5966" s="29">
        <f>VLOOKUP(A5966,Calendar!$A$1:$H$9997,6,FALSE)-F5966</f>
        <v/>
      </c>
      <c r="H5966" s="19" t="n">
        <v>2</v>
      </c>
      <c r="I5966" s="57" t="n">
        <v>4</v>
      </c>
    </row>
    <row r="5967">
      <c r="A5967" s="62" t="n">
        <v>46598</v>
      </c>
      <c r="B5967" s="3" t="inlineStr">
        <is>
          <t>Week</t>
        </is>
      </c>
      <c r="C5967" s="19" t="n">
        <v>7</v>
      </c>
      <c r="D5967" s="19" t="n">
        <v>2027</v>
      </c>
      <c r="E5967" s="57" t="n">
        <v>6</v>
      </c>
      <c r="F5967" s="29">
        <f>ROUND(((SUMIFS(Calendar!$F$2:$F$9997,Calendar!$B$2:$B$9997,D5967,Calendar!$C$2:$C$9997,C5967)*INDEX(ForeCalc!$B$37:$Y$274,MATCH(_xlfn.CONCAT(H5967," ",I5967),ForeCalc!$A$37:$A$274,0),MATCH(_xlfn.CONCAT(B5967," ",E5967),ForeCalc!$B$36:$Y$36,0))))*VLOOKUP(A5967,Calendar!$A$2:$H$9997,8,FALSE),0)</f>
        <v/>
      </c>
      <c r="G5967" s="29">
        <f>VLOOKUP(A5967,Calendar!$A$1:$H$9997,6,FALSE)-F5967</f>
        <v/>
      </c>
      <c r="H5967" s="19" t="n">
        <v>2</v>
      </c>
      <c r="I5967" s="57" t="n">
        <v>4</v>
      </c>
    </row>
    <row r="5968">
      <c r="A5968" s="62" t="n">
        <v>46599</v>
      </c>
      <c r="B5968" s="3" t="inlineStr">
        <is>
          <t>Sat</t>
        </is>
      </c>
      <c r="C5968" s="19" t="n">
        <v>7</v>
      </c>
      <c r="D5968" s="19" t="n">
        <v>2027</v>
      </c>
      <c r="E5968" s="57" t="n">
        <v>6</v>
      </c>
      <c r="F5968" s="29">
        <f>ROUND(((SUMIFS(Calendar!$F$2:$F$9997,Calendar!$B$2:$B$9997,D5968,Calendar!$C$2:$C$9997,C5968)*INDEX(ForeCalc!$B$37:$Y$274,MATCH(_xlfn.CONCAT(H5968," ",I5968),ForeCalc!$A$37:$A$274,0),MATCH(_xlfn.CONCAT(B5968," ",E5968),ForeCalc!$B$36:$Y$36,0))))*VLOOKUP(A5968,Calendar!$A$2:$H$9997,8,FALSE),0)</f>
        <v/>
      </c>
      <c r="G5968" s="29">
        <f>VLOOKUP(A5968,Calendar!$A$1:$H$9997,6,FALSE)-F5968</f>
        <v/>
      </c>
      <c r="H5968" s="19" t="n">
        <v>2</v>
      </c>
      <c r="I5968" s="57" t="n">
        <v>4</v>
      </c>
    </row>
    <row r="5969">
      <c r="A5969" s="62" t="n">
        <v>46600</v>
      </c>
      <c r="B5969" s="3" t="inlineStr">
        <is>
          <t>Sun</t>
        </is>
      </c>
      <c r="C5969" s="19" t="n">
        <v>8</v>
      </c>
      <c r="D5969" s="19" t="n">
        <v>2027</v>
      </c>
      <c r="E5969" s="57" t="n">
        <v>6</v>
      </c>
      <c r="F5969" s="29">
        <f>ROUND(((SUMIFS(Calendar!$F$2:$F$9997,Calendar!$B$2:$B$9997,D5969,Calendar!$C$2:$C$9997,C5969)*INDEX(ForeCalc!$B$37:$Y$274,MATCH(_xlfn.CONCAT(H5969," ",I5969),ForeCalc!$A$37:$A$274,0),MATCH(_xlfn.CONCAT(B5969," ",E5969),ForeCalc!$B$36:$Y$36,0))))*VLOOKUP(A5969,Calendar!$A$2:$H$9997,8,FALSE),0)</f>
        <v/>
      </c>
      <c r="G5969" s="29">
        <f>VLOOKUP(A5969,Calendar!$A$1:$H$9997,6,FALSE)-F5969</f>
        <v/>
      </c>
      <c r="H5969" s="19" t="n">
        <v>2</v>
      </c>
      <c r="I5969" s="57" t="n">
        <v>5</v>
      </c>
    </row>
    <row r="5970">
      <c r="A5970" s="62" t="n">
        <v>46601</v>
      </c>
      <c r="B5970" s="3" t="inlineStr">
        <is>
          <t>Week</t>
        </is>
      </c>
      <c r="C5970" s="19" t="n">
        <v>8</v>
      </c>
      <c r="D5970" s="19" t="n">
        <v>2027</v>
      </c>
      <c r="E5970" s="57" t="n">
        <v>6</v>
      </c>
      <c r="F5970" s="29">
        <f>ROUND(((SUMIFS(Calendar!$F$2:$F$9997,Calendar!$B$2:$B$9997,D5970,Calendar!$C$2:$C$9997,C5970)*INDEX(ForeCalc!$B$37:$Y$274,MATCH(_xlfn.CONCAT(H5970," ",I5970),ForeCalc!$A$37:$A$274,0),MATCH(_xlfn.CONCAT(B5970," ",E5970),ForeCalc!$B$36:$Y$36,0))))*VLOOKUP(A5970,Calendar!$A$2:$H$9997,8,FALSE),0)</f>
        <v/>
      </c>
      <c r="G5970" s="29">
        <f>VLOOKUP(A5970,Calendar!$A$1:$H$9997,6,FALSE)-F5970</f>
        <v/>
      </c>
      <c r="H5970" s="19" t="n">
        <v>2</v>
      </c>
      <c r="I5970" s="57" t="n">
        <v>5</v>
      </c>
    </row>
    <row r="5971">
      <c r="A5971" s="62" t="n">
        <v>46602</v>
      </c>
      <c r="B5971" s="3" t="inlineStr">
        <is>
          <t>Week</t>
        </is>
      </c>
      <c r="C5971" s="19" t="n">
        <v>8</v>
      </c>
      <c r="D5971" s="19" t="n">
        <v>2027</v>
      </c>
      <c r="E5971" s="57" t="n">
        <v>6</v>
      </c>
      <c r="F5971" s="29">
        <f>ROUND(((SUMIFS(Calendar!$F$2:$F$9997,Calendar!$B$2:$B$9997,D5971,Calendar!$C$2:$C$9997,C5971)*INDEX(ForeCalc!$B$37:$Y$274,MATCH(_xlfn.CONCAT(H5971," ",I5971),ForeCalc!$A$37:$A$274,0),MATCH(_xlfn.CONCAT(B5971," ",E5971),ForeCalc!$B$36:$Y$36,0))))*VLOOKUP(A5971,Calendar!$A$2:$H$9997,8,FALSE),0)</f>
        <v/>
      </c>
      <c r="G5971" s="29">
        <f>VLOOKUP(A5971,Calendar!$A$1:$H$9997,6,FALSE)-F5971</f>
        <v/>
      </c>
      <c r="H5971" s="19" t="n">
        <v>2</v>
      </c>
      <c r="I5971" s="57" t="n">
        <v>5</v>
      </c>
    </row>
    <row r="5972">
      <c r="A5972" s="62" t="n">
        <v>46603</v>
      </c>
      <c r="B5972" s="3" t="inlineStr">
        <is>
          <t>Week</t>
        </is>
      </c>
      <c r="C5972" s="19" t="n">
        <v>8</v>
      </c>
      <c r="D5972" s="19" t="n">
        <v>2027</v>
      </c>
      <c r="E5972" s="57" t="n">
        <v>6</v>
      </c>
      <c r="F5972" s="29">
        <f>ROUND(((SUMIFS(Calendar!$F$2:$F$9997,Calendar!$B$2:$B$9997,D5972,Calendar!$C$2:$C$9997,C5972)*INDEX(ForeCalc!$B$37:$Y$274,MATCH(_xlfn.CONCAT(H5972," ",I5972),ForeCalc!$A$37:$A$274,0),MATCH(_xlfn.CONCAT(B5972," ",E5972),ForeCalc!$B$36:$Y$36,0))))*VLOOKUP(A5972,Calendar!$A$2:$H$9997,8,FALSE),0)</f>
        <v/>
      </c>
      <c r="G5972" s="29">
        <f>VLOOKUP(A5972,Calendar!$A$1:$H$9997,6,FALSE)-F5972</f>
        <v/>
      </c>
      <c r="H5972" s="19" t="n">
        <v>2</v>
      </c>
      <c r="I5972" s="57" t="n">
        <v>5</v>
      </c>
    </row>
    <row r="5973">
      <c r="A5973" s="62" t="n">
        <v>46604</v>
      </c>
      <c r="B5973" s="3" t="inlineStr">
        <is>
          <t>Week</t>
        </is>
      </c>
      <c r="C5973" s="19" t="n">
        <v>8</v>
      </c>
      <c r="D5973" s="19" t="n">
        <v>2027</v>
      </c>
      <c r="E5973" s="57" t="n">
        <v>6</v>
      </c>
      <c r="F5973" s="29">
        <f>ROUND(((SUMIFS(Calendar!$F$2:$F$9997,Calendar!$B$2:$B$9997,D5973,Calendar!$C$2:$C$9997,C5973)*INDEX(ForeCalc!$B$37:$Y$274,MATCH(_xlfn.CONCAT(H5973," ",I5973),ForeCalc!$A$37:$A$274,0),MATCH(_xlfn.CONCAT(B5973," ",E5973),ForeCalc!$B$36:$Y$36,0))))*VLOOKUP(A5973,Calendar!$A$2:$H$9997,8,FALSE),0)</f>
        <v/>
      </c>
      <c r="G5973" s="29">
        <f>VLOOKUP(A5973,Calendar!$A$1:$H$9997,6,FALSE)-F5973</f>
        <v/>
      </c>
      <c r="H5973" s="19" t="n">
        <v>2</v>
      </c>
      <c r="I5973" s="57" t="n">
        <v>5</v>
      </c>
    </row>
    <row r="5974">
      <c r="A5974" s="62" t="n">
        <v>46605</v>
      </c>
      <c r="B5974" s="3" t="inlineStr">
        <is>
          <t>Week</t>
        </is>
      </c>
      <c r="C5974" s="19" t="n">
        <v>8</v>
      </c>
      <c r="D5974" s="19" t="n">
        <v>2027</v>
      </c>
      <c r="E5974" s="57" t="n">
        <v>6</v>
      </c>
      <c r="F5974" s="29">
        <f>ROUND(((SUMIFS(Calendar!$F$2:$F$9997,Calendar!$B$2:$B$9997,D5974,Calendar!$C$2:$C$9997,C5974)*INDEX(ForeCalc!$B$37:$Y$274,MATCH(_xlfn.CONCAT(H5974," ",I5974),ForeCalc!$A$37:$A$274,0),MATCH(_xlfn.CONCAT(B5974," ",E5974),ForeCalc!$B$36:$Y$36,0))))*VLOOKUP(A5974,Calendar!$A$2:$H$9997,8,FALSE),0)</f>
        <v/>
      </c>
      <c r="G5974" s="29">
        <f>VLOOKUP(A5974,Calendar!$A$1:$H$9997,6,FALSE)-F5974</f>
        <v/>
      </c>
      <c r="H5974" s="19" t="n">
        <v>2</v>
      </c>
      <c r="I5974" s="57" t="n">
        <v>5</v>
      </c>
    </row>
    <row r="5975">
      <c r="A5975" s="62" t="n">
        <v>46606</v>
      </c>
      <c r="B5975" s="3" t="inlineStr">
        <is>
          <t>Sat</t>
        </is>
      </c>
      <c r="C5975" s="19" t="n">
        <v>8</v>
      </c>
      <c r="D5975" s="19" t="n">
        <v>2027</v>
      </c>
      <c r="E5975" s="57" t="n">
        <v>6</v>
      </c>
      <c r="F5975" s="29">
        <f>ROUND(((SUMIFS(Calendar!$F$2:$F$9997,Calendar!$B$2:$B$9997,D5975,Calendar!$C$2:$C$9997,C5975)*INDEX(ForeCalc!$B$37:$Y$274,MATCH(_xlfn.CONCAT(H5975," ",I5975),ForeCalc!$A$37:$A$274,0),MATCH(_xlfn.CONCAT(B5975," ",E5975),ForeCalc!$B$36:$Y$36,0))))*VLOOKUP(A5975,Calendar!$A$2:$H$9997,8,FALSE),0)</f>
        <v/>
      </c>
      <c r="G5975" s="29">
        <f>VLOOKUP(A5975,Calendar!$A$1:$H$9997,6,FALSE)-F5975</f>
        <v/>
      </c>
      <c r="H5975" s="19" t="n">
        <v>2</v>
      </c>
      <c r="I5975" s="57" t="n">
        <v>5</v>
      </c>
    </row>
    <row r="5976">
      <c r="A5976" s="62" t="n">
        <v>46607</v>
      </c>
      <c r="B5976" s="3" t="inlineStr">
        <is>
          <t>Sun</t>
        </is>
      </c>
      <c r="C5976" s="19" t="n">
        <v>8</v>
      </c>
      <c r="D5976" s="19" t="n">
        <v>2027</v>
      </c>
      <c r="E5976" s="57" t="n">
        <v>6</v>
      </c>
      <c r="F5976" s="29">
        <f>ROUND(((SUMIFS(Calendar!$F$2:$F$9997,Calendar!$B$2:$B$9997,D5976,Calendar!$C$2:$C$9997,C5976)*INDEX(ForeCalc!$B$37:$Y$274,MATCH(_xlfn.CONCAT(H5976," ",I5976),ForeCalc!$A$37:$A$274,0),MATCH(_xlfn.CONCAT(B5976," ",E5976),ForeCalc!$B$36:$Y$36,0))))*VLOOKUP(A5976,Calendar!$A$2:$H$9997,8,FALSE),0)</f>
        <v/>
      </c>
      <c r="G5976" s="29">
        <f>VLOOKUP(A5976,Calendar!$A$1:$H$9997,6,FALSE)-F5976</f>
        <v/>
      </c>
      <c r="H5976" s="19" t="n">
        <v>2</v>
      </c>
      <c r="I5976" s="57" t="n">
        <v>5</v>
      </c>
    </row>
    <row r="5977">
      <c r="A5977" s="62" t="n">
        <v>46608</v>
      </c>
      <c r="B5977" s="3" t="inlineStr">
        <is>
          <t>Week</t>
        </is>
      </c>
      <c r="C5977" s="19" t="n">
        <v>8</v>
      </c>
      <c r="D5977" s="19" t="n">
        <v>2027</v>
      </c>
      <c r="E5977" s="57" t="n">
        <v>6</v>
      </c>
      <c r="F5977" s="29">
        <f>ROUND(((SUMIFS(Calendar!$F$2:$F$9997,Calendar!$B$2:$B$9997,D5977,Calendar!$C$2:$C$9997,C5977)*INDEX(ForeCalc!$B$37:$Y$274,MATCH(_xlfn.CONCAT(H5977," ",I5977),ForeCalc!$A$37:$A$274,0),MATCH(_xlfn.CONCAT(B5977," ",E5977),ForeCalc!$B$36:$Y$36,0))))*VLOOKUP(A5977,Calendar!$A$2:$H$9997,8,FALSE),0)</f>
        <v/>
      </c>
      <c r="G5977" s="29">
        <f>VLOOKUP(A5977,Calendar!$A$1:$H$9997,6,FALSE)-F5977</f>
        <v/>
      </c>
      <c r="H5977" s="19" t="n">
        <v>2</v>
      </c>
      <c r="I5977" s="57" t="n">
        <v>5</v>
      </c>
    </row>
    <row r="5978">
      <c r="A5978" s="62" t="n">
        <v>46609</v>
      </c>
      <c r="B5978" s="3" t="inlineStr">
        <is>
          <t>Week</t>
        </is>
      </c>
      <c r="C5978" s="19" t="n">
        <v>8</v>
      </c>
      <c r="D5978" s="19" t="n">
        <v>2027</v>
      </c>
      <c r="E5978" s="57" t="n">
        <v>6</v>
      </c>
      <c r="F5978" s="29">
        <f>ROUND(((SUMIFS(Calendar!$F$2:$F$9997,Calendar!$B$2:$B$9997,D5978,Calendar!$C$2:$C$9997,C5978)*INDEX(ForeCalc!$B$37:$Y$274,MATCH(_xlfn.CONCAT(H5978," ",I5978),ForeCalc!$A$37:$A$274,0),MATCH(_xlfn.CONCAT(B5978," ",E5978),ForeCalc!$B$36:$Y$36,0))))*VLOOKUP(A5978,Calendar!$A$2:$H$9997,8,FALSE),0)</f>
        <v/>
      </c>
      <c r="G5978" s="29">
        <f>VLOOKUP(A5978,Calendar!$A$1:$H$9997,6,FALSE)-F5978</f>
        <v/>
      </c>
      <c r="H5978" s="19" t="n">
        <v>2</v>
      </c>
      <c r="I5978" s="57" t="n">
        <v>5</v>
      </c>
    </row>
    <row r="5979">
      <c r="A5979" s="62" t="n">
        <v>46610</v>
      </c>
      <c r="B5979" s="3" t="inlineStr">
        <is>
          <t>Week</t>
        </is>
      </c>
      <c r="C5979" s="19" t="n">
        <v>8</v>
      </c>
      <c r="D5979" s="19" t="n">
        <v>2027</v>
      </c>
      <c r="E5979" s="57" t="n">
        <v>6</v>
      </c>
      <c r="F5979" s="29">
        <f>ROUND(((SUMIFS(Calendar!$F$2:$F$9997,Calendar!$B$2:$B$9997,D5979,Calendar!$C$2:$C$9997,C5979)*INDEX(ForeCalc!$B$37:$Y$274,MATCH(_xlfn.CONCAT(H5979," ",I5979),ForeCalc!$A$37:$A$274,0),MATCH(_xlfn.CONCAT(B5979," ",E5979),ForeCalc!$B$36:$Y$36,0))))*VLOOKUP(A5979,Calendar!$A$2:$H$9997,8,FALSE),0)</f>
        <v/>
      </c>
      <c r="G5979" s="29">
        <f>VLOOKUP(A5979,Calendar!$A$1:$H$9997,6,FALSE)-F5979</f>
        <v/>
      </c>
      <c r="H5979" s="19" t="n">
        <v>2</v>
      </c>
      <c r="I5979" s="57" t="n">
        <v>5</v>
      </c>
    </row>
    <row r="5980">
      <c r="A5980" s="62" t="n">
        <v>46611</v>
      </c>
      <c r="B5980" s="3" t="inlineStr">
        <is>
          <t>Week</t>
        </is>
      </c>
      <c r="C5980" s="19" t="n">
        <v>8</v>
      </c>
      <c r="D5980" s="19" t="n">
        <v>2027</v>
      </c>
      <c r="E5980" s="57" t="n">
        <v>6</v>
      </c>
      <c r="F5980" s="29">
        <f>ROUND(((SUMIFS(Calendar!$F$2:$F$9997,Calendar!$B$2:$B$9997,D5980,Calendar!$C$2:$C$9997,C5980)*INDEX(ForeCalc!$B$37:$Y$274,MATCH(_xlfn.CONCAT(H5980," ",I5980),ForeCalc!$A$37:$A$274,0),MATCH(_xlfn.CONCAT(B5980," ",E5980),ForeCalc!$B$36:$Y$36,0))))*VLOOKUP(A5980,Calendar!$A$2:$H$9997,8,FALSE),0)</f>
        <v/>
      </c>
      <c r="G5980" s="29">
        <f>VLOOKUP(A5980,Calendar!$A$1:$H$9997,6,FALSE)-F5980</f>
        <v/>
      </c>
      <c r="H5980" s="19" t="n">
        <v>2</v>
      </c>
      <c r="I5980" s="57" t="n">
        <v>5</v>
      </c>
    </row>
    <row r="5981">
      <c r="A5981" s="62" t="n">
        <v>46612</v>
      </c>
      <c r="B5981" s="3" t="inlineStr">
        <is>
          <t>Week</t>
        </is>
      </c>
      <c r="C5981" s="19" t="n">
        <v>8</v>
      </c>
      <c r="D5981" s="19" t="n">
        <v>2027</v>
      </c>
      <c r="E5981" s="57" t="n">
        <v>6</v>
      </c>
      <c r="F5981" s="29">
        <f>ROUND(((SUMIFS(Calendar!$F$2:$F$9997,Calendar!$B$2:$B$9997,D5981,Calendar!$C$2:$C$9997,C5981)*INDEX(ForeCalc!$B$37:$Y$274,MATCH(_xlfn.CONCAT(H5981," ",I5981),ForeCalc!$A$37:$A$274,0),MATCH(_xlfn.CONCAT(B5981," ",E5981),ForeCalc!$B$36:$Y$36,0))))*VLOOKUP(A5981,Calendar!$A$2:$H$9997,8,FALSE),0)</f>
        <v/>
      </c>
      <c r="G5981" s="29">
        <f>VLOOKUP(A5981,Calendar!$A$1:$H$9997,6,FALSE)-F5981</f>
        <v/>
      </c>
      <c r="H5981" s="19" t="n">
        <v>2</v>
      </c>
      <c r="I5981" s="57" t="n">
        <v>5</v>
      </c>
    </row>
    <row r="5982">
      <c r="A5982" s="62" t="n">
        <v>46613</v>
      </c>
      <c r="B5982" s="3" t="inlineStr">
        <is>
          <t>Sat</t>
        </is>
      </c>
      <c r="C5982" s="19" t="n">
        <v>8</v>
      </c>
      <c r="D5982" s="19" t="n">
        <v>2027</v>
      </c>
      <c r="E5982" s="57" t="n">
        <v>6</v>
      </c>
      <c r="F5982" s="29">
        <f>ROUND(((SUMIFS(Calendar!$F$2:$F$9997,Calendar!$B$2:$B$9997,D5982,Calendar!$C$2:$C$9997,C5982)*INDEX(ForeCalc!$B$37:$Y$274,MATCH(_xlfn.CONCAT(H5982," ",I5982),ForeCalc!$A$37:$A$274,0),MATCH(_xlfn.CONCAT(B5982," ",E5982),ForeCalc!$B$36:$Y$36,0))))*VLOOKUP(A5982,Calendar!$A$2:$H$9997,8,FALSE),0)</f>
        <v/>
      </c>
      <c r="G5982" s="29">
        <f>VLOOKUP(A5982,Calendar!$A$1:$H$9997,6,FALSE)-F5982</f>
        <v/>
      </c>
      <c r="H5982" s="19" t="n">
        <v>2</v>
      </c>
      <c r="I5982" s="57" t="n">
        <v>5</v>
      </c>
    </row>
    <row r="5983">
      <c r="A5983" s="62" t="n">
        <v>46614</v>
      </c>
      <c r="B5983" s="3" t="inlineStr">
        <is>
          <t>Sun</t>
        </is>
      </c>
      <c r="C5983" s="19" t="n">
        <v>8</v>
      </c>
      <c r="D5983" s="19" t="n">
        <v>2027</v>
      </c>
      <c r="E5983" s="57" t="n">
        <v>6</v>
      </c>
      <c r="F5983" s="29">
        <f>ROUND(((SUMIFS(Calendar!$F$2:$F$9997,Calendar!$B$2:$B$9997,D5983,Calendar!$C$2:$C$9997,C5983)*INDEX(ForeCalc!$B$37:$Y$274,MATCH(_xlfn.CONCAT(H5983," ",I5983),ForeCalc!$A$37:$A$274,0),MATCH(_xlfn.CONCAT(B5983," ",E5983),ForeCalc!$B$36:$Y$36,0))))*VLOOKUP(A5983,Calendar!$A$2:$H$9997,8,FALSE),0)</f>
        <v/>
      </c>
      <c r="G5983" s="29">
        <f>VLOOKUP(A5983,Calendar!$A$1:$H$9997,6,FALSE)-F5983</f>
        <v/>
      </c>
      <c r="H5983" s="19" t="n">
        <v>2</v>
      </c>
      <c r="I5983" s="57" t="n">
        <v>5</v>
      </c>
    </row>
    <row r="5984">
      <c r="A5984" s="62" t="n">
        <v>46615</v>
      </c>
      <c r="B5984" s="3" t="inlineStr">
        <is>
          <t>Week</t>
        </is>
      </c>
      <c r="C5984" s="19" t="n">
        <v>8</v>
      </c>
      <c r="D5984" s="19" t="n">
        <v>2027</v>
      </c>
      <c r="E5984" s="57" t="n">
        <v>6</v>
      </c>
      <c r="F5984" s="29">
        <f>ROUND(((SUMIFS(Calendar!$F$2:$F$9997,Calendar!$B$2:$B$9997,D5984,Calendar!$C$2:$C$9997,C5984)*INDEX(ForeCalc!$B$37:$Y$274,MATCH(_xlfn.CONCAT(H5984," ",I5984),ForeCalc!$A$37:$A$274,0),MATCH(_xlfn.CONCAT(B5984," ",E5984),ForeCalc!$B$36:$Y$36,0))))*VLOOKUP(A5984,Calendar!$A$2:$H$9997,8,FALSE),0)</f>
        <v/>
      </c>
      <c r="G5984" s="29">
        <f>VLOOKUP(A5984,Calendar!$A$1:$H$9997,6,FALSE)-F5984</f>
        <v/>
      </c>
      <c r="H5984" s="19" t="n">
        <v>2</v>
      </c>
      <c r="I5984" s="57" t="n">
        <v>5</v>
      </c>
    </row>
    <row r="5985">
      <c r="A5985" s="62" t="n">
        <v>46616</v>
      </c>
      <c r="B5985" s="3" t="inlineStr">
        <is>
          <t>Week</t>
        </is>
      </c>
      <c r="C5985" s="19" t="n">
        <v>8</v>
      </c>
      <c r="D5985" s="19" t="n">
        <v>2027</v>
      </c>
      <c r="E5985" s="57" t="n">
        <v>6</v>
      </c>
      <c r="F5985" s="29">
        <f>ROUND(((SUMIFS(Calendar!$F$2:$F$9997,Calendar!$B$2:$B$9997,D5985,Calendar!$C$2:$C$9997,C5985)*INDEX(ForeCalc!$B$37:$Y$274,MATCH(_xlfn.CONCAT(H5985," ",I5985),ForeCalc!$A$37:$A$274,0),MATCH(_xlfn.CONCAT(B5985," ",E5985),ForeCalc!$B$36:$Y$36,0))))*VLOOKUP(A5985,Calendar!$A$2:$H$9997,8,FALSE),0)</f>
        <v/>
      </c>
      <c r="G5985" s="29">
        <f>VLOOKUP(A5985,Calendar!$A$1:$H$9997,6,FALSE)-F5985</f>
        <v/>
      </c>
      <c r="H5985" s="19" t="n">
        <v>2</v>
      </c>
      <c r="I5985" s="57" t="n">
        <v>5</v>
      </c>
    </row>
    <row r="5986">
      <c r="A5986" s="62" t="n">
        <v>46617</v>
      </c>
      <c r="B5986" s="3" t="inlineStr">
        <is>
          <t>Week</t>
        </is>
      </c>
      <c r="C5986" s="19" t="n">
        <v>8</v>
      </c>
      <c r="D5986" s="19" t="n">
        <v>2027</v>
      </c>
      <c r="E5986" s="57" t="n">
        <v>6</v>
      </c>
      <c r="F5986" s="29">
        <f>ROUND(((SUMIFS(Calendar!$F$2:$F$9997,Calendar!$B$2:$B$9997,D5986,Calendar!$C$2:$C$9997,C5986)*INDEX(ForeCalc!$B$37:$Y$274,MATCH(_xlfn.CONCAT(H5986," ",I5986),ForeCalc!$A$37:$A$274,0),MATCH(_xlfn.CONCAT(B5986," ",E5986),ForeCalc!$B$36:$Y$36,0))))*VLOOKUP(A5986,Calendar!$A$2:$H$9997,8,FALSE),0)</f>
        <v/>
      </c>
      <c r="G5986" s="29">
        <f>VLOOKUP(A5986,Calendar!$A$1:$H$9997,6,FALSE)-F5986</f>
        <v/>
      </c>
      <c r="H5986" s="19" t="n">
        <v>2</v>
      </c>
      <c r="I5986" s="57" t="n">
        <v>5</v>
      </c>
    </row>
    <row r="5987">
      <c r="A5987" s="62" t="n">
        <v>46618</v>
      </c>
      <c r="B5987" s="3" t="inlineStr">
        <is>
          <t>Week</t>
        </is>
      </c>
      <c r="C5987" s="19" t="n">
        <v>8</v>
      </c>
      <c r="D5987" s="19" t="n">
        <v>2027</v>
      </c>
      <c r="E5987" s="57" t="n">
        <v>6</v>
      </c>
      <c r="F5987" s="29">
        <f>ROUND(((SUMIFS(Calendar!$F$2:$F$9997,Calendar!$B$2:$B$9997,D5987,Calendar!$C$2:$C$9997,C5987)*INDEX(ForeCalc!$B$37:$Y$274,MATCH(_xlfn.CONCAT(H5987," ",I5987),ForeCalc!$A$37:$A$274,0),MATCH(_xlfn.CONCAT(B5987," ",E5987),ForeCalc!$B$36:$Y$36,0))))*VLOOKUP(A5987,Calendar!$A$2:$H$9997,8,FALSE),0)</f>
        <v/>
      </c>
      <c r="G5987" s="29">
        <f>VLOOKUP(A5987,Calendar!$A$1:$H$9997,6,FALSE)-F5987</f>
        <v/>
      </c>
      <c r="H5987" s="19" t="n">
        <v>2</v>
      </c>
      <c r="I5987" s="57" t="n">
        <v>5</v>
      </c>
    </row>
    <row r="5988">
      <c r="A5988" s="62" t="n">
        <v>46619</v>
      </c>
      <c r="B5988" s="3" t="inlineStr">
        <is>
          <t>Week</t>
        </is>
      </c>
      <c r="C5988" s="19" t="n">
        <v>8</v>
      </c>
      <c r="D5988" s="19" t="n">
        <v>2027</v>
      </c>
      <c r="E5988" s="57" t="n">
        <v>6</v>
      </c>
      <c r="F5988" s="29">
        <f>ROUND(((SUMIFS(Calendar!$F$2:$F$9997,Calendar!$B$2:$B$9997,D5988,Calendar!$C$2:$C$9997,C5988)*INDEX(ForeCalc!$B$37:$Y$274,MATCH(_xlfn.CONCAT(H5988," ",I5988),ForeCalc!$A$37:$A$274,0),MATCH(_xlfn.CONCAT(B5988," ",E5988),ForeCalc!$B$36:$Y$36,0))))*VLOOKUP(A5988,Calendar!$A$2:$H$9997,8,FALSE),0)</f>
        <v/>
      </c>
      <c r="G5988" s="29">
        <f>VLOOKUP(A5988,Calendar!$A$1:$H$9997,6,FALSE)-F5988</f>
        <v/>
      </c>
      <c r="H5988" s="19" t="n">
        <v>2</v>
      </c>
      <c r="I5988" s="57" t="n">
        <v>5</v>
      </c>
    </row>
    <row r="5989">
      <c r="A5989" s="62" t="n">
        <v>46620</v>
      </c>
      <c r="B5989" s="3" t="inlineStr">
        <is>
          <t>Sat</t>
        </is>
      </c>
      <c r="C5989" s="19" t="n">
        <v>8</v>
      </c>
      <c r="D5989" s="19" t="n">
        <v>2027</v>
      </c>
      <c r="E5989" s="57" t="n">
        <v>6</v>
      </c>
      <c r="F5989" s="29">
        <f>ROUND(((SUMIFS(Calendar!$F$2:$F$9997,Calendar!$B$2:$B$9997,D5989,Calendar!$C$2:$C$9997,C5989)*INDEX(ForeCalc!$B$37:$Y$274,MATCH(_xlfn.CONCAT(H5989," ",I5989),ForeCalc!$A$37:$A$274,0),MATCH(_xlfn.CONCAT(B5989," ",E5989),ForeCalc!$B$36:$Y$36,0))))*VLOOKUP(A5989,Calendar!$A$2:$H$9997,8,FALSE),0)</f>
        <v/>
      </c>
      <c r="G5989" s="29">
        <f>VLOOKUP(A5989,Calendar!$A$1:$H$9997,6,FALSE)-F5989</f>
        <v/>
      </c>
      <c r="H5989" s="19" t="n">
        <v>2</v>
      </c>
      <c r="I5989" s="57" t="n">
        <v>5</v>
      </c>
    </row>
    <row r="5990">
      <c r="A5990" s="62" t="n">
        <v>46621</v>
      </c>
      <c r="B5990" s="3" t="inlineStr">
        <is>
          <t>Sun</t>
        </is>
      </c>
      <c r="C5990" s="19" t="n">
        <v>8</v>
      </c>
      <c r="D5990" s="19" t="n">
        <v>2027</v>
      </c>
      <c r="E5990" s="57" t="n">
        <v>6</v>
      </c>
      <c r="F5990" s="29">
        <f>ROUND(((SUMIFS(Calendar!$F$2:$F$9997,Calendar!$B$2:$B$9997,D5990,Calendar!$C$2:$C$9997,C5990)*INDEX(ForeCalc!$B$37:$Y$274,MATCH(_xlfn.CONCAT(H5990," ",I5990),ForeCalc!$A$37:$A$274,0),MATCH(_xlfn.CONCAT(B5990," ",E5990),ForeCalc!$B$36:$Y$36,0))))*VLOOKUP(A5990,Calendar!$A$2:$H$9997,8,FALSE),0)</f>
        <v/>
      </c>
      <c r="G5990" s="29">
        <f>VLOOKUP(A5990,Calendar!$A$1:$H$9997,6,FALSE)-F5990</f>
        <v/>
      </c>
      <c r="H5990" s="19" t="n">
        <v>2</v>
      </c>
      <c r="I5990" s="57" t="n">
        <v>5</v>
      </c>
    </row>
    <row r="5991">
      <c r="A5991" s="62" t="n">
        <v>46622</v>
      </c>
      <c r="B5991" s="3" t="inlineStr">
        <is>
          <t>Week</t>
        </is>
      </c>
      <c r="C5991" s="19" t="n">
        <v>8</v>
      </c>
      <c r="D5991" s="19" t="n">
        <v>2027</v>
      </c>
      <c r="E5991" s="57" t="n">
        <v>6</v>
      </c>
      <c r="F5991" s="29">
        <f>ROUND(((SUMIFS(Calendar!$F$2:$F$9997,Calendar!$B$2:$B$9997,D5991,Calendar!$C$2:$C$9997,C5991)*INDEX(ForeCalc!$B$37:$Y$274,MATCH(_xlfn.CONCAT(H5991," ",I5991),ForeCalc!$A$37:$A$274,0),MATCH(_xlfn.CONCAT(B5991," ",E5991),ForeCalc!$B$36:$Y$36,0))))*VLOOKUP(A5991,Calendar!$A$2:$H$9997,8,FALSE),0)</f>
        <v/>
      </c>
      <c r="G5991" s="29">
        <f>VLOOKUP(A5991,Calendar!$A$1:$H$9997,6,FALSE)-F5991</f>
        <v/>
      </c>
      <c r="H5991" s="19" t="n">
        <v>2</v>
      </c>
      <c r="I5991" s="57" t="n">
        <v>5</v>
      </c>
    </row>
    <row r="5992">
      <c r="A5992" s="62" t="n">
        <v>46623</v>
      </c>
      <c r="B5992" s="3" t="inlineStr">
        <is>
          <t>Week</t>
        </is>
      </c>
      <c r="C5992" s="19" t="n">
        <v>8</v>
      </c>
      <c r="D5992" s="19" t="n">
        <v>2027</v>
      </c>
      <c r="E5992" s="57" t="n">
        <v>6</v>
      </c>
      <c r="F5992" s="29">
        <f>ROUND(((SUMIFS(Calendar!$F$2:$F$9997,Calendar!$B$2:$B$9997,D5992,Calendar!$C$2:$C$9997,C5992)*INDEX(ForeCalc!$B$37:$Y$274,MATCH(_xlfn.CONCAT(H5992," ",I5992),ForeCalc!$A$37:$A$274,0),MATCH(_xlfn.CONCAT(B5992," ",E5992),ForeCalc!$B$36:$Y$36,0))))*VLOOKUP(A5992,Calendar!$A$2:$H$9997,8,FALSE),0)</f>
        <v/>
      </c>
      <c r="G5992" s="29">
        <f>VLOOKUP(A5992,Calendar!$A$1:$H$9997,6,FALSE)-F5992</f>
        <v/>
      </c>
      <c r="H5992" s="19" t="n">
        <v>2</v>
      </c>
      <c r="I5992" s="57" t="n">
        <v>5</v>
      </c>
    </row>
    <row r="5993">
      <c r="A5993" s="62" t="n">
        <v>46624</v>
      </c>
      <c r="B5993" s="3" t="inlineStr">
        <is>
          <t>Week</t>
        </is>
      </c>
      <c r="C5993" s="19" t="n">
        <v>8</v>
      </c>
      <c r="D5993" s="19" t="n">
        <v>2027</v>
      </c>
      <c r="E5993" s="57" t="n">
        <v>6</v>
      </c>
      <c r="F5993" s="29">
        <f>ROUND(((SUMIFS(Calendar!$F$2:$F$9997,Calendar!$B$2:$B$9997,D5993,Calendar!$C$2:$C$9997,C5993)*INDEX(ForeCalc!$B$37:$Y$274,MATCH(_xlfn.CONCAT(H5993," ",I5993),ForeCalc!$A$37:$A$274,0),MATCH(_xlfn.CONCAT(B5993," ",E5993),ForeCalc!$B$36:$Y$36,0))))*VLOOKUP(A5993,Calendar!$A$2:$H$9997,8,FALSE),0)</f>
        <v/>
      </c>
      <c r="G5993" s="29">
        <f>VLOOKUP(A5993,Calendar!$A$1:$H$9997,6,FALSE)-F5993</f>
        <v/>
      </c>
      <c r="H5993" s="19" t="n">
        <v>2</v>
      </c>
      <c r="I5993" s="57" t="n">
        <v>5</v>
      </c>
    </row>
    <row r="5994">
      <c r="A5994" s="62" t="n">
        <v>46625</v>
      </c>
      <c r="B5994" s="3" t="inlineStr">
        <is>
          <t>Week</t>
        </is>
      </c>
      <c r="C5994" s="19" t="n">
        <v>8</v>
      </c>
      <c r="D5994" s="19" t="n">
        <v>2027</v>
      </c>
      <c r="E5994" s="57" t="n">
        <v>6</v>
      </c>
      <c r="F5994" s="29">
        <f>ROUND(((SUMIFS(Calendar!$F$2:$F$9997,Calendar!$B$2:$B$9997,D5994,Calendar!$C$2:$C$9997,C5994)*INDEX(ForeCalc!$B$37:$Y$274,MATCH(_xlfn.CONCAT(H5994," ",I5994),ForeCalc!$A$37:$A$274,0),MATCH(_xlfn.CONCAT(B5994," ",E5994),ForeCalc!$B$36:$Y$36,0))))*VLOOKUP(A5994,Calendar!$A$2:$H$9997,8,FALSE),0)</f>
        <v/>
      </c>
      <c r="G5994" s="29">
        <f>VLOOKUP(A5994,Calendar!$A$1:$H$9997,6,FALSE)-F5994</f>
        <v/>
      </c>
      <c r="H5994" s="19" t="n">
        <v>2</v>
      </c>
      <c r="I5994" s="57" t="n">
        <v>5</v>
      </c>
    </row>
    <row r="5995">
      <c r="A5995" s="62" t="n">
        <v>46626</v>
      </c>
      <c r="B5995" s="3" t="inlineStr">
        <is>
          <t>Week</t>
        </is>
      </c>
      <c r="C5995" s="19" t="n">
        <v>8</v>
      </c>
      <c r="D5995" s="19" t="n">
        <v>2027</v>
      </c>
      <c r="E5995" s="57" t="n">
        <v>6</v>
      </c>
      <c r="F5995" s="29">
        <f>ROUND(((SUMIFS(Calendar!$F$2:$F$9997,Calendar!$B$2:$B$9997,D5995,Calendar!$C$2:$C$9997,C5995)*INDEX(ForeCalc!$B$37:$Y$274,MATCH(_xlfn.CONCAT(H5995," ",I5995),ForeCalc!$A$37:$A$274,0),MATCH(_xlfn.CONCAT(B5995," ",E5995),ForeCalc!$B$36:$Y$36,0))))*VLOOKUP(A5995,Calendar!$A$2:$H$9997,8,FALSE),0)</f>
        <v/>
      </c>
      <c r="G5995" s="29">
        <f>VLOOKUP(A5995,Calendar!$A$1:$H$9997,6,FALSE)-F5995</f>
        <v/>
      </c>
      <c r="H5995" s="19" t="n">
        <v>2</v>
      </c>
      <c r="I5995" s="57" t="n">
        <v>5</v>
      </c>
    </row>
    <row r="5996">
      <c r="A5996" s="62" t="n">
        <v>46627</v>
      </c>
      <c r="B5996" s="3" t="inlineStr">
        <is>
          <t>Sat</t>
        </is>
      </c>
      <c r="C5996" s="19" t="n">
        <v>8</v>
      </c>
      <c r="D5996" s="19" t="n">
        <v>2027</v>
      </c>
      <c r="E5996" s="57" t="n">
        <v>6</v>
      </c>
      <c r="F5996" s="29">
        <f>ROUND(((SUMIFS(Calendar!$F$2:$F$9997,Calendar!$B$2:$B$9997,D5996,Calendar!$C$2:$C$9997,C5996)*INDEX(ForeCalc!$B$37:$Y$274,MATCH(_xlfn.CONCAT(H5996," ",I5996),ForeCalc!$A$37:$A$274,0),MATCH(_xlfn.CONCAT(B5996," ",E5996),ForeCalc!$B$36:$Y$36,0))))*VLOOKUP(A5996,Calendar!$A$2:$H$9997,8,FALSE),0)</f>
        <v/>
      </c>
      <c r="G5996" s="29">
        <f>VLOOKUP(A5996,Calendar!$A$1:$H$9997,6,FALSE)-F5996</f>
        <v/>
      </c>
      <c r="H5996" s="19" t="n">
        <v>2</v>
      </c>
      <c r="I5996" s="57" t="n">
        <v>5</v>
      </c>
    </row>
    <row r="5997">
      <c r="A5997" s="62" t="n">
        <v>46628</v>
      </c>
      <c r="B5997" s="3" t="inlineStr">
        <is>
          <t>Sun</t>
        </is>
      </c>
      <c r="C5997" s="19" t="n">
        <v>8</v>
      </c>
      <c r="D5997" s="19" t="n">
        <v>2027</v>
      </c>
      <c r="E5997" s="57" t="n">
        <v>6</v>
      </c>
      <c r="F5997" s="29">
        <f>ROUND(((SUMIFS(Calendar!$F$2:$F$9997,Calendar!$B$2:$B$9997,D5997,Calendar!$C$2:$C$9997,C5997)*INDEX(ForeCalc!$B$37:$Y$274,MATCH(_xlfn.CONCAT(H5997," ",I5997),ForeCalc!$A$37:$A$274,0),MATCH(_xlfn.CONCAT(B5997," ",E5997),ForeCalc!$B$36:$Y$36,0))))*VLOOKUP(A5997,Calendar!$A$2:$H$9997,8,FALSE),0)</f>
        <v/>
      </c>
      <c r="G5997" s="29">
        <f>VLOOKUP(A5997,Calendar!$A$1:$H$9997,6,FALSE)-F5997</f>
        <v/>
      </c>
      <c r="H5997" s="19" t="n">
        <v>2</v>
      </c>
      <c r="I5997" s="57" t="n">
        <v>5</v>
      </c>
    </row>
    <row r="5998">
      <c r="A5998" s="62" t="n">
        <v>46629</v>
      </c>
      <c r="B5998" s="3" t="inlineStr">
        <is>
          <t>Week</t>
        </is>
      </c>
      <c r="C5998" s="19" t="n">
        <v>8</v>
      </c>
      <c r="D5998" s="19" t="n">
        <v>2027</v>
      </c>
      <c r="E5998" s="57" t="n">
        <v>6</v>
      </c>
      <c r="F5998" s="29">
        <f>ROUND(((SUMIFS(Calendar!$F$2:$F$9997,Calendar!$B$2:$B$9997,D5998,Calendar!$C$2:$C$9997,C5998)*INDEX(ForeCalc!$B$37:$Y$274,MATCH(_xlfn.CONCAT(H5998," ",I5998),ForeCalc!$A$37:$A$274,0),MATCH(_xlfn.CONCAT(B5998," ",E5998),ForeCalc!$B$36:$Y$36,0))))*VLOOKUP(A5998,Calendar!$A$2:$H$9997,8,FALSE),0)</f>
        <v/>
      </c>
      <c r="G5998" s="29">
        <f>VLOOKUP(A5998,Calendar!$A$1:$H$9997,6,FALSE)-F5998</f>
        <v/>
      </c>
      <c r="H5998" s="19" t="n">
        <v>2</v>
      </c>
      <c r="I5998" s="57" t="n">
        <v>5</v>
      </c>
    </row>
    <row r="5999">
      <c r="A5999" s="62" t="n">
        <v>46630</v>
      </c>
      <c r="B5999" s="3" t="inlineStr">
        <is>
          <t>Week</t>
        </is>
      </c>
      <c r="C5999" s="19" t="n">
        <v>8</v>
      </c>
      <c r="D5999" s="19" t="n">
        <v>2027</v>
      </c>
      <c r="E5999" s="57" t="n">
        <v>6</v>
      </c>
      <c r="F5999" s="29">
        <f>ROUND(((SUMIFS(Calendar!$F$2:$F$9997,Calendar!$B$2:$B$9997,D5999,Calendar!$C$2:$C$9997,C5999)*INDEX(ForeCalc!$B$37:$Y$274,MATCH(_xlfn.CONCAT(H5999," ",I5999),ForeCalc!$A$37:$A$274,0),MATCH(_xlfn.CONCAT(B5999," ",E5999),ForeCalc!$B$36:$Y$36,0))))*VLOOKUP(A5999,Calendar!$A$2:$H$9997,8,FALSE),0)</f>
        <v/>
      </c>
      <c r="G5999" s="29">
        <f>VLOOKUP(A5999,Calendar!$A$1:$H$9997,6,FALSE)-F5999</f>
        <v/>
      </c>
      <c r="H5999" s="19" t="n">
        <v>2</v>
      </c>
      <c r="I5999" s="57" t="n">
        <v>5</v>
      </c>
    </row>
    <row r="6000">
      <c r="A6000" s="62" t="n">
        <v>46631</v>
      </c>
      <c r="B6000" s="3" t="inlineStr">
        <is>
          <t>Week</t>
        </is>
      </c>
      <c r="C6000" s="19" t="n">
        <v>9</v>
      </c>
      <c r="D6000" s="19" t="n">
        <v>2027</v>
      </c>
      <c r="E6000" s="57" t="n">
        <v>6</v>
      </c>
      <c r="F6000" s="29">
        <f>ROUND(((SUMIFS(Calendar!$F$2:$F$9997,Calendar!$B$2:$B$9997,D6000,Calendar!$C$2:$C$9997,C6000)*INDEX(ForeCalc!$B$37:$Y$274,MATCH(_xlfn.CONCAT(H6000," ",I6000),ForeCalc!$A$37:$A$274,0),MATCH(_xlfn.CONCAT(B6000," ",E6000),ForeCalc!$B$36:$Y$36,0))))*VLOOKUP(A6000,Calendar!$A$2:$H$9997,8,FALSE),0)</f>
        <v/>
      </c>
      <c r="G6000" s="29">
        <f>VLOOKUP(A6000,Calendar!$A$1:$H$9997,6,FALSE)-F6000</f>
        <v/>
      </c>
      <c r="H6000" s="19" t="n">
        <v>2</v>
      </c>
      <c r="I6000" s="57" t="n">
        <v>6</v>
      </c>
    </row>
    <row r="6001">
      <c r="A6001" s="62" t="n">
        <v>46632</v>
      </c>
      <c r="B6001" s="3" t="inlineStr">
        <is>
          <t>Week</t>
        </is>
      </c>
      <c r="C6001" s="19" t="n">
        <v>9</v>
      </c>
      <c r="D6001" s="19" t="n">
        <v>2027</v>
      </c>
      <c r="E6001" s="57" t="n">
        <v>6</v>
      </c>
      <c r="F6001" s="29">
        <f>ROUND(((SUMIFS(Calendar!$F$2:$F$9997,Calendar!$B$2:$B$9997,D6001,Calendar!$C$2:$C$9997,C6001)*INDEX(ForeCalc!$B$37:$Y$274,MATCH(_xlfn.CONCAT(H6001," ",I6001),ForeCalc!$A$37:$A$274,0),MATCH(_xlfn.CONCAT(B6001," ",E6001),ForeCalc!$B$36:$Y$36,0))))*VLOOKUP(A6001,Calendar!$A$2:$H$9997,8,FALSE),0)</f>
        <v/>
      </c>
      <c r="G6001" s="29">
        <f>VLOOKUP(A6001,Calendar!$A$1:$H$9997,6,FALSE)-F6001</f>
        <v/>
      </c>
      <c r="H6001" s="19" t="n">
        <v>2</v>
      </c>
      <c r="I6001" s="57" t="n">
        <v>6</v>
      </c>
    </row>
    <row r="6002">
      <c r="A6002" s="62" t="n">
        <v>46633</v>
      </c>
      <c r="B6002" s="3" t="inlineStr">
        <is>
          <t>Week</t>
        </is>
      </c>
      <c r="C6002" s="19" t="n">
        <v>9</v>
      </c>
      <c r="D6002" s="19" t="n">
        <v>2027</v>
      </c>
      <c r="E6002" s="57" t="n">
        <v>6</v>
      </c>
      <c r="F6002" s="29">
        <f>ROUND(((SUMIFS(Calendar!$F$2:$F$9997,Calendar!$B$2:$B$9997,D6002,Calendar!$C$2:$C$9997,C6002)*INDEX(ForeCalc!$B$37:$Y$274,MATCH(_xlfn.CONCAT(H6002," ",I6002),ForeCalc!$A$37:$A$274,0),MATCH(_xlfn.CONCAT(B6002," ",E6002),ForeCalc!$B$36:$Y$36,0))))*VLOOKUP(A6002,Calendar!$A$2:$H$9997,8,FALSE),0)</f>
        <v/>
      </c>
      <c r="G6002" s="29">
        <f>VLOOKUP(A6002,Calendar!$A$1:$H$9997,6,FALSE)-F6002</f>
        <v/>
      </c>
      <c r="H6002" s="19" t="n">
        <v>2</v>
      </c>
      <c r="I6002" s="57" t="n">
        <v>6</v>
      </c>
    </row>
    <row r="6003">
      <c r="A6003" s="62" t="n">
        <v>46634</v>
      </c>
      <c r="B6003" s="3" t="inlineStr">
        <is>
          <t>Sat</t>
        </is>
      </c>
      <c r="C6003" s="19" t="n">
        <v>9</v>
      </c>
      <c r="D6003" s="19" t="n">
        <v>2027</v>
      </c>
      <c r="E6003" s="57" t="n">
        <v>6</v>
      </c>
      <c r="F6003" s="29">
        <f>ROUND(((SUMIFS(Calendar!$F$2:$F$9997,Calendar!$B$2:$B$9997,D6003,Calendar!$C$2:$C$9997,C6003)*INDEX(ForeCalc!$B$37:$Y$274,MATCH(_xlfn.CONCAT(H6003," ",I6003),ForeCalc!$A$37:$A$274,0),MATCH(_xlfn.CONCAT(B6003," ",E6003),ForeCalc!$B$36:$Y$36,0))))*VLOOKUP(A6003,Calendar!$A$2:$H$9997,8,FALSE),0)</f>
        <v/>
      </c>
      <c r="G6003" s="29">
        <f>VLOOKUP(A6003,Calendar!$A$1:$H$9997,6,FALSE)-F6003</f>
        <v/>
      </c>
      <c r="H6003" s="19" t="n">
        <v>2</v>
      </c>
      <c r="I6003" s="57" t="n">
        <v>6</v>
      </c>
    </row>
    <row r="6004">
      <c r="A6004" s="62" t="n">
        <v>46635</v>
      </c>
      <c r="B6004" s="3" t="inlineStr">
        <is>
          <t>Sun</t>
        </is>
      </c>
      <c r="C6004" s="19" t="n">
        <v>9</v>
      </c>
      <c r="D6004" s="19" t="n">
        <v>2027</v>
      </c>
      <c r="E6004" s="57" t="n">
        <v>6</v>
      </c>
      <c r="F6004" s="29">
        <f>ROUND(((SUMIFS(Calendar!$F$2:$F$9997,Calendar!$B$2:$B$9997,D6004,Calendar!$C$2:$C$9997,C6004)*INDEX(ForeCalc!$B$37:$Y$274,MATCH(_xlfn.CONCAT(H6004," ",I6004),ForeCalc!$A$37:$A$274,0),MATCH(_xlfn.CONCAT(B6004," ",E6004),ForeCalc!$B$36:$Y$36,0))))*VLOOKUP(A6004,Calendar!$A$2:$H$9997,8,FALSE),0)</f>
        <v/>
      </c>
      <c r="G6004" s="29">
        <f>VLOOKUP(A6004,Calendar!$A$1:$H$9997,6,FALSE)-F6004</f>
        <v/>
      </c>
      <c r="H6004" s="19" t="n">
        <v>2</v>
      </c>
      <c r="I6004" s="57" t="n">
        <v>6</v>
      </c>
    </row>
    <row r="6005">
      <c r="A6005" s="62" t="n">
        <v>46636</v>
      </c>
      <c r="B6005" s="3" t="inlineStr">
        <is>
          <t>Week</t>
        </is>
      </c>
      <c r="C6005" s="19" t="n">
        <v>9</v>
      </c>
      <c r="D6005" s="19" t="n">
        <v>2027</v>
      </c>
      <c r="E6005" s="57" t="n">
        <v>6</v>
      </c>
      <c r="F6005" s="29">
        <f>ROUND(((SUMIFS(Calendar!$F$2:$F$9997,Calendar!$B$2:$B$9997,D6005,Calendar!$C$2:$C$9997,C6005)*INDEX(ForeCalc!$B$37:$Y$274,MATCH(_xlfn.CONCAT(H6005," ",I6005),ForeCalc!$A$37:$A$274,0),MATCH(_xlfn.CONCAT(B6005," ",E6005),ForeCalc!$B$36:$Y$36,0))))*VLOOKUP(A6005,Calendar!$A$2:$H$9997,8,FALSE),0)</f>
        <v/>
      </c>
      <c r="G6005" s="29">
        <f>VLOOKUP(A6005,Calendar!$A$1:$H$9997,6,FALSE)-F6005</f>
        <v/>
      </c>
      <c r="H6005" s="19" t="n">
        <v>2</v>
      </c>
      <c r="I6005" s="57" t="n">
        <v>6</v>
      </c>
    </row>
    <row r="6006">
      <c r="A6006" s="62" t="n">
        <v>46637</v>
      </c>
      <c r="B6006" s="3" t="inlineStr">
        <is>
          <t>Week</t>
        </is>
      </c>
      <c r="C6006" s="19" t="n">
        <v>9</v>
      </c>
      <c r="D6006" s="19" t="n">
        <v>2027</v>
      </c>
      <c r="E6006" s="57" t="n">
        <v>6</v>
      </c>
      <c r="F6006" s="29">
        <f>ROUND(((SUMIFS(Calendar!$F$2:$F$9997,Calendar!$B$2:$B$9997,D6006,Calendar!$C$2:$C$9997,C6006)*INDEX(ForeCalc!$B$37:$Y$274,MATCH(_xlfn.CONCAT(H6006," ",I6006),ForeCalc!$A$37:$A$274,0),MATCH(_xlfn.CONCAT(B6006," ",E6006),ForeCalc!$B$36:$Y$36,0))))*VLOOKUP(A6006,Calendar!$A$2:$H$9997,8,FALSE),0)</f>
        <v/>
      </c>
      <c r="G6006" s="29">
        <f>VLOOKUP(A6006,Calendar!$A$1:$H$9997,6,FALSE)-F6006</f>
        <v/>
      </c>
      <c r="H6006" s="19" t="n">
        <v>2</v>
      </c>
      <c r="I6006" s="57" t="n">
        <v>6</v>
      </c>
    </row>
    <row r="6007">
      <c r="A6007" s="62" t="n">
        <v>46638</v>
      </c>
      <c r="B6007" s="3" t="inlineStr">
        <is>
          <t>Week</t>
        </is>
      </c>
      <c r="C6007" s="19" t="n">
        <v>9</v>
      </c>
      <c r="D6007" s="19" t="n">
        <v>2027</v>
      </c>
      <c r="E6007" s="57" t="n">
        <v>6</v>
      </c>
      <c r="F6007" s="29">
        <f>ROUND(((SUMIFS(Calendar!$F$2:$F$9997,Calendar!$B$2:$B$9997,D6007,Calendar!$C$2:$C$9997,C6007)*INDEX(ForeCalc!$B$37:$Y$274,MATCH(_xlfn.CONCAT(H6007," ",I6007),ForeCalc!$A$37:$A$274,0),MATCH(_xlfn.CONCAT(B6007," ",E6007),ForeCalc!$B$36:$Y$36,0))))*VLOOKUP(A6007,Calendar!$A$2:$H$9997,8,FALSE),0)</f>
        <v/>
      </c>
      <c r="G6007" s="29">
        <f>VLOOKUP(A6007,Calendar!$A$1:$H$9997,6,FALSE)-F6007</f>
        <v/>
      </c>
      <c r="H6007" s="19" t="n">
        <v>2</v>
      </c>
      <c r="I6007" s="57" t="n">
        <v>6</v>
      </c>
    </row>
    <row r="6008">
      <c r="A6008" s="62" t="n">
        <v>46639</v>
      </c>
      <c r="B6008" s="3" t="inlineStr">
        <is>
          <t>Week</t>
        </is>
      </c>
      <c r="C6008" s="19" t="n">
        <v>9</v>
      </c>
      <c r="D6008" s="19" t="n">
        <v>2027</v>
      </c>
      <c r="E6008" s="57" t="n">
        <v>6</v>
      </c>
      <c r="F6008" s="29">
        <f>ROUND(((SUMIFS(Calendar!$F$2:$F$9997,Calendar!$B$2:$B$9997,D6008,Calendar!$C$2:$C$9997,C6008)*INDEX(ForeCalc!$B$37:$Y$274,MATCH(_xlfn.CONCAT(H6008," ",I6008),ForeCalc!$A$37:$A$274,0),MATCH(_xlfn.CONCAT(B6008," ",E6008),ForeCalc!$B$36:$Y$36,0))))*VLOOKUP(A6008,Calendar!$A$2:$H$9997,8,FALSE),0)</f>
        <v/>
      </c>
      <c r="G6008" s="29">
        <f>VLOOKUP(A6008,Calendar!$A$1:$H$9997,6,FALSE)-F6008</f>
        <v/>
      </c>
      <c r="H6008" s="19" t="n">
        <v>2</v>
      </c>
      <c r="I6008" s="57" t="n">
        <v>6</v>
      </c>
    </row>
    <row r="6009">
      <c r="A6009" s="62" t="n">
        <v>46640</v>
      </c>
      <c r="B6009" s="3" t="inlineStr">
        <is>
          <t>Week</t>
        </is>
      </c>
      <c r="C6009" s="19" t="n">
        <v>9</v>
      </c>
      <c r="D6009" s="19" t="n">
        <v>2027</v>
      </c>
      <c r="E6009" s="57" t="n">
        <v>6</v>
      </c>
      <c r="F6009" s="29">
        <f>ROUND(((SUMIFS(Calendar!$F$2:$F$9997,Calendar!$B$2:$B$9997,D6009,Calendar!$C$2:$C$9997,C6009)*INDEX(ForeCalc!$B$37:$Y$274,MATCH(_xlfn.CONCAT(H6009," ",I6009),ForeCalc!$A$37:$A$274,0),MATCH(_xlfn.CONCAT(B6009," ",E6009),ForeCalc!$B$36:$Y$36,0))))*VLOOKUP(A6009,Calendar!$A$2:$H$9997,8,FALSE),0)</f>
        <v/>
      </c>
      <c r="G6009" s="29">
        <f>VLOOKUP(A6009,Calendar!$A$1:$H$9997,6,FALSE)-F6009</f>
        <v/>
      </c>
      <c r="H6009" s="19" t="n">
        <v>2</v>
      </c>
      <c r="I6009" s="57" t="n">
        <v>6</v>
      </c>
    </row>
    <row r="6010">
      <c r="A6010" s="62" t="n">
        <v>46641</v>
      </c>
      <c r="B6010" s="3" t="inlineStr">
        <is>
          <t>Sat</t>
        </is>
      </c>
      <c r="C6010" s="19" t="n">
        <v>9</v>
      </c>
      <c r="D6010" s="19" t="n">
        <v>2027</v>
      </c>
      <c r="E6010" s="57" t="n">
        <v>6</v>
      </c>
      <c r="F6010" s="29">
        <f>ROUND(((SUMIFS(Calendar!$F$2:$F$9997,Calendar!$B$2:$B$9997,D6010,Calendar!$C$2:$C$9997,C6010)*INDEX(ForeCalc!$B$37:$Y$274,MATCH(_xlfn.CONCAT(H6010," ",I6010),ForeCalc!$A$37:$A$274,0),MATCH(_xlfn.CONCAT(B6010," ",E6010),ForeCalc!$B$36:$Y$36,0))))*VLOOKUP(A6010,Calendar!$A$2:$H$9997,8,FALSE),0)</f>
        <v/>
      </c>
      <c r="G6010" s="29">
        <f>VLOOKUP(A6010,Calendar!$A$1:$H$9997,6,FALSE)-F6010</f>
        <v/>
      </c>
      <c r="H6010" s="19" t="n">
        <v>2</v>
      </c>
      <c r="I6010" s="57" t="n">
        <v>6</v>
      </c>
    </row>
    <row r="6011">
      <c r="A6011" s="62" t="n">
        <v>46642</v>
      </c>
      <c r="B6011" s="3" t="inlineStr">
        <is>
          <t>Sun</t>
        </is>
      </c>
      <c r="C6011" s="19" t="n">
        <v>9</v>
      </c>
      <c r="D6011" s="19" t="n">
        <v>2027</v>
      </c>
      <c r="E6011" s="57" t="n">
        <v>6</v>
      </c>
      <c r="F6011" s="29">
        <f>ROUND(((SUMIFS(Calendar!$F$2:$F$9997,Calendar!$B$2:$B$9997,D6011,Calendar!$C$2:$C$9997,C6011)*INDEX(ForeCalc!$B$37:$Y$274,MATCH(_xlfn.CONCAT(H6011," ",I6011),ForeCalc!$A$37:$A$274,0),MATCH(_xlfn.CONCAT(B6011," ",E6011),ForeCalc!$B$36:$Y$36,0))))*VLOOKUP(A6011,Calendar!$A$2:$H$9997,8,FALSE),0)</f>
        <v/>
      </c>
      <c r="G6011" s="29">
        <f>VLOOKUP(A6011,Calendar!$A$1:$H$9997,6,FALSE)-F6011</f>
        <v/>
      </c>
      <c r="H6011" s="19" t="n">
        <v>2</v>
      </c>
      <c r="I6011" s="57" t="n">
        <v>6</v>
      </c>
    </row>
    <row r="6012">
      <c r="A6012" s="62" t="n">
        <v>46643</v>
      </c>
      <c r="B6012" s="3" t="inlineStr">
        <is>
          <t>Week</t>
        </is>
      </c>
      <c r="C6012" s="19" t="n">
        <v>9</v>
      </c>
      <c r="D6012" s="19" t="n">
        <v>2027</v>
      </c>
      <c r="E6012" s="57" t="n">
        <v>6</v>
      </c>
      <c r="F6012" s="29">
        <f>ROUND(((SUMIFS(Calendar!$F$2:$F$9997,Calendar!$B$2:$B$9997,D6012,Calendar!$C$2:$C$9997,C6012)*INDEX(ForeCalc!$B$37:$Y$274,MATCH(_xlfn.CONCAT(H6012," ",I6012),ForeCalc!$A$37:$A$274,0),MATCH(_xlfn.CONCAT(B6012," ",E6012),ForeCalc!$B$36:$Y$36,0))))*VLOOKUP(A6012,Calendar!$A$2:$H$9997,8,FALSE),0)</f>
        <v/>
      </c>
      <c r="G6012" s="29">
        <f>VLOOKUP(A6012,Calendar!$A$1:$H$9997,6,FALSE)-F6012</f>
        <v/>
      </c>
      <c r="H6012" s="19" t="n">
        <v>2</v>
      </c>
      <c r="I6012" s="57" t="n">
        <v>6</v>
      </c>
    </row>
    <row r="6013">
      <c r="A6013" s="62" t="n">
        <v>46644</v>
      </c>
      <c r="B6013" s="3" t="inlineStr">
        <is>
          <t>Week</t>
        </is>
      </c>
      <c r="C6013" s="19" t="n">
        <v>9</v>
      </c>
      <c r="D6013" s="19" t="n">
        <v>2027</v>
      </c>
      <c r="E6013" s="57" t="n">
        <v>6</v>
      </c>
      <c r="F6013" s="29">
        <f>ROUND(((SUMIFS(Calendar!$F$2:$F$9997,Calendar!$B$2:$B$9997,D6013,Calendar!$C$2:$C$9997,C6013)*INDEX(ForeCalc!$B$37:$Y$274,MATCH(_xlfn.CONCAT(H6013," ",I6013),ForeCalc!$A$37:$A$274,0),MATCH(_xlfn.CONCAT(B6013," ",E6013),ForeCalc!$B$36:$Y$36,0))))*VLOOKUP(A6013,Calendar!$A$2:$H$9997,8,FALSE),0)</f>
        <v/>
      </c>
      <c r="G6013" s="29">
        <f>VLOOKUP(A6013,Calendar!$A$1:$H$9997,6,FALSE)-F6013</f>
        <v/>
      </c>
      <c r="H6013" s="19" t="n">
        <v>2</v>
      </c>
      <c r="I6013" s="57" t="n">
        <v>6</v>
      </c>
    </row>
    <row r="6014">
      <c r="A6014" s="62" t="n">
        <v>46645</v>
      </c>
      <c r="B6014" s="3" t="inlineStr">
        <is>
          <t>Week</t>
        </is>
      </c>
      <c r="C6014" s="19" t="n">
        <v>9</v>
      </c>
      <c r="D6014" s="19" t="n">
        <v>2027</v>
      </c>
      <c r="E6014" s="57" t="n">
        <v>6</v>
      </c>
      <c r="F6014" s="29">
        <f>ROUND(((SUMIFS(Calendar!$F$2:$F$9997,Calendar!$B$2:$B$9997,D6014,Calendar!$C$2:$C$9997,C6014)*INDEX(ForeCalc!$B$37:$Y$274,MATCH(_xlfn.CONCAT(H6014," ",I6014),ForeCalc!$A$37:$A$274,0),MATCH(_xlfn.CONCAT(B6014," ",E6014),ForeCalc!$B$36:$Y$36,0))))*VLOOKUP(A6014,Calendar!$A$2:$H$9997,8,FALSE),0)</f>
        <v/>
      </c>
      <c r="G6014" s="29">
        <f>VLOOKUP(A6014,Calendar!$A$1:$H$9997,6,FALSE)-F6014</f>
        <v/>
      </c>
      <c r="H6014" s="19" t="n">
        <v>2</v>
      </c>
      <c r="I6014" s="57" t="n">
        <v>6</v>
      </c>
    </row>
    <row r="6015">
      <c r="A6015" s="62" t="n">
        <v>46646</v>
      </c>
      <c r="B6015" s="3" t="inlineStr">
        <is>
          <t>Week</t>
        </is>
      </c>
      <c r="C6015" s="19" t="n">
        <v>9</v>
      </c>
      <c r="D6015" s="19" t="n">
        <v>2027</v>
      </c>
      <c r="E6015" s="57" t="n">
        <v>6</v>
      </c>
      <c r="F6015" s="29">
        <f>ROUND(((SUMIFS(Calendar!$F$2:$F$9997,Calendar!$B$2:$B$9997,D6015,Calendar!$C$2:$C$9997,C6015)*INDEX(ForeCalc!$B$37:$Y$274,MATCH(_xlfn.CONCAT(H6015," ",I6015),ForeCalc!$A$37:$A$274,0),MATCH(_xlfn.CONCAT(B6015," ",E6015),ForeCalc!$B$36:$Y$36,0))))*VLOOKUP(A6015,Calendar!$A$2:$H$9997,8,FALSE),0)</f>
        <v/>
      </c>
      <c r="G6015" s="29">
        <f>VLOOKUP(A6015,Calendar!$A$1:$H$9997,6,FALSE)-F6015</f>
        <v/>
      </c>
      <c r="H6015" s="19" t="n">
        <v>2</v>
      </c>
      <c r="I6015" s="57" t="n">
        <v>6</v>
      </c>
    </row>
    <row r="6016">
      <c r="A6016" s="62" t="n">
        <v>46647</v>
      </c>
      <c r="B6016" s="3" t="inlineStr">
        <is>
          <t>Week</t>
        </is>
      </c>
      <c r="C6016" s="19" t="n">
        <v>9</v>
      </c>
      <c r="D6016" s="19" t="n">
        <v>2027</v>
      </c>
      <c r="E6016" s="57" t="n">
        <v>6</v>
      </c>
      <c r="F6016" s="29">
        <f>ROUND(((SUMIFS(Calendar!$F$2:$F$9997,Calendar!$B$2:$B$9997,D6016,Calendar!$C$2:$C$9997,C6016)*INDEX(ForeCalc!$B$37:$Y$274,MATCH(_xlfn.CONCAT(H6016," ",I6016),ForeCalc!$A$37:$A$274,0),MATCH(_xlfn.CONCAT(B6016," ",E6016),ForeCalc!$B$36:$Y$36,0))))*VLOOKUP(A6016,Calendar!$A$2:$H$9997,8,FALSE),0)</f>
        <v/>
      </c>
      <c r="G6016" s="29">
        <f>VLOOKUP(A6016,Calendar!$A$1:$H$9997,6,FALSE)-F6016</f>
        <v/>
      </c>
      <c r="H6016" s="19" t="n">
        <v>2</v>
      </c>
      <c r="I6016" s="57" t="n">
        <v>6</v>
      </c>
    </row>
    <row r="6017">
      <c r="A6017" s="62" t="n">
        <v>46648</v>
      </c>
      <c r="B6017" s="3" t="inlineStr">
        <is>
          <t>Sat</t>
        </is>
      </c>
      <c r="C6017" s="19" t="n">
        <v>9</v>
      </c>
      <c r="D6017" s="19" t="n">
        <v>2027</v>
      </c>
      <c r="E6017" s="57" t="n">
        <v>6</v>
      </c>
      <c r="F6017" s="29">
        <f>ROUND(((SUMIFS(Calendar!$F$2:$F$9997,Calendar!$B$2:$B$9997,D6017,Calendar!$C$2:$C$9997,C6017)*INDEX(ForeCalc!$B$37:$Y$274,MATCH(_xlfn.CONCAT(H6017," ",I6017),ForeCalc!$A$37:$A$274,0),MATCH(_xlfn.CONCAT(B6017," ",E6017),ForeCalc!$B$36:$Y$36,0))))*VLOOKUP(A6017,Calendar!$A$2:$H$9997,8,FALSE),0)</f>
        <v/>
      </c>
      <c r="G6017" s="29">
        <f>VLOOKUP(A6017,Calendar!$A$1:$H$9997,6,FALSE)-F6017</f>
        <v/>
      </c>
      <c r="H6017" s="19" t="n">
        <v>2</v>
      </c>
      <c r="I6017" s="57" t="n">
        <v>6</v>
      </c>
    </row>
    <row r="6018">
      <c r="A6018" s="62" t="n">
        <v>46649</v>
      </c>
      <c r="B6018" s="3" t="inlineStr">
        <is>
          <t>Sun</t>
        </is>
      </c>
      <c r="C6018" s="19" t="n">
        <v>9</v>
      </c>
      <c r="D6018" s="19" t="n">
        <v>2027</v>
      </c>
      <c r="E6018" s="57" t="n">
        <v>6</v>
      </c>
      <c r="F6018" s="29">
        <f>ROUND(((SUMIFS(Calendar!$F$2:$F$9997,Calendar!$B$2:$B$9997,D6018,Calendar!$C$2:$C$9997,C6018)*INDEX(ForeCalc!$B$37:$Y$274,MATCH(_xlfn.CONCAT(H6018," ",I6018),ForeCalc!$A$37:$A$274,0),MATCH(_xlfn.CONCAT(B6018," ",E6018),ForeCalc!$B$36:$Y$36,0))))*VLOOKUP(A6018,Calendar!$A$2:$H$9997,8,FALSE),0)</f>
        <v/>
      </c>
      <c r="G6018" s="29">
        <f>VLOOKUP(A6018,Calendar!$A$1:$H$9997,6,FALSE)-F6018</f>
        <v/>
      </c>
      <c r="H6018" s="19" t="n">
        <v>2</v>
      </c>
      <c r="I6018" s="57" t="n">
        <v>6</v>
      </c>
    </row>
    <row r="6019">
      <c r="A6019" s="62" t="n">
        <v>46650</v>
      </c>
      <c r="B6019" s="3" t="inlineStr">
        <is>
          <t>Week</t>
        </is>
      </c>
      <c r="C6019" s="19" t="n">
        <v>9</v>
      </c>
      <c r="D6019" s="19" t="n">
        <v>2027</v>
      </c>
      <c r="E6019" s="57" t="n">
        <v>6</v>
      </c>
      <c r="F6019" s="29">
        <f>ROUND(((SUMIFS(Calendar!$F$2:$F$9997,Calendar!$B$2:$B$9997,D6019,Calendar!$C$2:$C$9997,C6019)*INDEX(ForeCalc!$B$37:$Y$274,MATCH(_xlfn.CONCAT(H6019," ",I6019),ForeCalc!$A$37:$A$274,0),MATCH(_xlfn.CONCAT(B6019," ",E6019),ForeCalc!$B$36:$Y$36,0))))*VLOOKUP(A6019,Calendar!$A$2:$H$9997,8,FALSE),0)</f>
        <v/>
      </c>
      <c r="G6019" s="29">
        <f>VLOOKUP(A6019,Calendar!$A$1:$H$9997,6,FALSE)-F6019</f>
        <v/>
      </c>
      <c r="H6019" s="19" t="n">
        <v>2</v>
      </c>
      <c r="I6019" s="57" t="n">
        <v>6</v>
      </c>
    </row>
    <row r="6020">
      <c r="A6020" s="62" t="n">
        <v>46651</v>
      </c>
      <c r="B6020" s="3" t="inlineStr">
        <is>
          <t>Week</t>
        </is>
      </c>
      <c r="C6020" s="19" t="n">
        <v>9</v>
      </c>
      <c r="D6020" s="19" t="n">
        <v>2027</v>
      </c>
      <c r="E6020" s="57" t="n">
        <v>6</v>
      </c>
      <c r="F6020" s="29">
        <f>ROUND(((SUMIFS(Calendar!$F$2:$F$9997,Calendar!$B$2:$B$9997,D6020,Calendar!$C$2:$C$9997,C6020)*INDEX(ForeCalc!$B$37:$Y$274,MATCH(_xlfn.CONCAT(H6020," ",I6020),ForeCalc!$A$37:$A$274,0),MATCH(_xlfn.CONCAT(B6020," ",E6020),ForeCalc!$B$36:$Y$36,0))))*VLOOKUP(A6020,Calendar!$A$2:$H$9997,8,FALSE),0)</f>
        <v/>
      </c>
      <c r="G6020" s="29">
        <f>VLOOKUP(A6020,Calendar!$A$1:$H$9997,6,FALSE)-F6020</f>
        <v/>
      </c>
      <c r="H6020" s="19" t="n">
        <v>2</v>
      </c>
      <c r="I6020" s="57" t="n">
        <v>6</v>
      </c>
    </row>
    <row r="6021">
      <c r="A6021" s="62" t="n">
        <v>46652</v>
      </c>
      <c r="B6021" s="3" t="inlineStr">
        <is>
          <t>Week</t>
        </is>
      </c>
      <c r="C6021" s="19" t="n">
        <v>9</v>
      </c>
      <c r="D6021" s="19" t="n">
        <v>2027</v>
      </c>
      <c r="E6021" s="57" t="n">
        <v>6</v>
      </c>
      <c r="F6021" s="29">
        <f>ROUND(((SUMIFS(Calendar!$F$2:$F$9997,Calendar!$B$2:$B$9997,D6021,Calendar!$C$2:$C$9997,C6021)*INDEX(ForeCalc!$B$37:$Y$274,MATCH(_xlfn.CONCAT(H6021," ",I6021),ForeCalc!$A$37:$A$274,0),MATCH(_xlfn.CONCAT(B6021," ",E6021),ForeCalc!$B$36:$Y$36,0))))*VLOOKUP(A6021,Calendar!$A$2:$H$9997,8,FALSE),0)</f>
        <v/>
      </c>
      <c r="G6021" s="29">
        <f>VLOOKUP(A6021,Calendar!$A$1:$H$9997,6,FALSE)-F6021</f>
        <v/>
      </c>
      <c r="H6021" s="19" t="n">
        <v>2</v>
      </c>
      <c r="I6021" s="57" t="n">
        <v>6</v>
      </c>
    </row>
    <row r="6022">
      <c r="A6022" s="62" t="n">
        <v>46653</v>
      </c>
      <c r="B6022" s="3" t="inlineStr">
        <is>
          <t>Week</t>
        </is>
      </c>
      <c r="C6022" s="19" t="n">
        <v>9</v>
      </c>
      <c r="D6022" s="19" t="n">
        <v>2027</v>
      </c>
      <c r="E6022" s="57" t="n">
        <v>6</v>
      </c>
      <c r="F6022" s="29">
        <f>ROUND(((SUMIFS(Calendar!$F$2:$F$9997,Calendar!$B$2:$B$9997,D6022,Calendar!$C$2:$C$9997,C6022)*INDEX(ForeCalc!$B$37:$Y$274,MATCH(_xlfn.CONCAT(H6022," ",I6022),ForeCalc!$A$37:$A$274,0),MATCH(_xlfn.CONCAT(B6022," ",E6022),ForeCalc!$B$36:$Y$36,0))))*VLOOKUP(A6022,Calendar!$A$2:$H$9997,8,FALSE),0)</f>
        <v/>
      </c>
      <c r="G6022" s="29">
        <f>VLOOKUP(A6022,Calendar!$A$1:$H$9997,6,FALSE)-F6022</f>
        <v/>
      </c>
      <c r="H6022" s="19" t="n">
        <v>2</v>
      </c>
      <c r="I6022" s="57" t="n">
        <v>6</v>
      </c>
    </row>
    <row r="6023">
      <c r="A6023" s="62" t="n">
        <v>46654</v>
      </c>
      <c r="B6023" s="3" t="inlineStr">
        <is>
          <t>Week</t>
        </is>
      </c>
      <c r="C6023" s="19" t="n">
        <v>9</v>
      </c>
      <c r="D6023" s="19" t="n">
        <v>2027</v>
      </c>
      <c r="E6023" s="57" t="n">
        <v>6</v>
      </c>
      <c r="F6023" s="29">
        <f>ROUND(((SUMIFS(Calendar!$F$2:$F$9997,Calendar!$B$2:$B$9997,D6023,Calendar!$C$2:$C$9997,C6023)*INDEX(ForeCalc!$B$37:$Y$274,MATCH(_xlfn.CONCAT(H6023," ",I6023),ForeCalc!$A$37:$A$274,0),MATCH(_xlfn.CONCAT(B6023," ",E6023),ForeCalc!$B$36:$Y$36,0))))*VLOOKUP(A6023,Calendar!$A$2:$H$9997,8,FALSE),0)</f>
        <v/>
      </c>
      <c r="G6023" s="29">
        <f>VLOOKUP(A6023,Calendar!$A$1:$H$9997,6,FALSE)-F6023</f>
        <v/>
      </c>
      <c r="H6023" s="19" t="n">
        <v>2</v>
      </c>
      <c r="I6023" s="57" t="n">
        <v>6</v>
      </c>
    </row>
    <row r="6024">
      <c r="A6024" s="62" t="n">
        <v>46655</v>
      </c>
      <c r="B6024" s="3" t="inlineStr">
        <is>
          <t>Sat</t>
        </is>
      </c>
      <c r="C6024" s="19" t="n">
        <v>9</v>
      </c>
      <c r="D6024" s="19" t="n">
        <v>2027</v>
      </c>
      <c r="E6024" s="57" t="n">
        <v>6</v>
      </c>
      <c r="F6024" s="29">
        <f>ROUND(((SUMIFS(Calendar!$F$2:$F$9997,Calendar!$B$2:$B$9997,D6024,Calendar!$C$2:$C$9997,C6024)*INDEX(ForeCalc!$B$37:$Y$274,MATCH(_xlfn.CONCAT(H6024," ",I6024),ForeCalc!$A$37:$A$274,0),MATCH(_xlfn.CONCAT(B6024," ",E6024),ForeCalc!$B$36:$Y$36,0))))*VLOOKUP(A6024,Calendar!$A$2:$H$9997,8,FALSE),0)</f>
        <v/>
      </c>
      <c r="G6024" s="29">
        <f>VLOOKUP(A6024,Calendar!$A$1:$H$9997,6,FALSE)-F6024</f>
        <v/>
      </c>
      <c r="H6024" s="19" t="n">
        <v>2</v>
      </c>
      <c r="I6024" s="57" t="n">
        <v>6</v>
      </c>
    </row>
    <row r="6025">
      <c r="A6025" s="62" t="n">
        <v>46656</v>
      </c>
      <c r="B6025" s="3" t="inlineStr">
        <is>
          <t>Sun</t>
        </is>
      </c>
      <c r="C6025" s="19" t="n">
        <v>9</v>
      </c>
      <c r="D6025" s="19" t="n">
        <v>2027</v>
      </c>
      <c r="E6025" s="57" t="n">
        <v>6</v>
      </c>
      <c r="F6025" s="29">
        <f>ROUND(((SUMIFS(Calendar!$F$2:$F$9997,Calendar!$B$2:$B$9997,D6025,Calendar!$C$2:$C$9997,C6025)*INDEX(ForeCalc!$B$37:$Y$274,MATCH(_xlfn.CONCAT(H6025," ",I6025),ForeCalc!$A$37:$A$274,0),MATCH(_xlfn.CONCAT(B6025," ",E6025),ForeCalc!$B$36:$Y$36,0))))*VLOOKUP(A6025,Calendar!$A$2:$H$9997,8,FALSE),0)</f>
        <v/>
      </c>
      <c r="G6025" s="29">
        <f>VLOOKUP(A6025,Calendar!$A$1:$H$9997,6,FALSE)-F6025</f>
        <v/>
      </c>
      <c r="H6025" s="19" t="n">
        <v>2</v>
      </c>
      <c r="I6025" s="57" t="n">
        <v>6</v>
      </c>
    </row>
    <row r="6026">
      <c r="A6026" s="62" t="n">
        <v>46657</v>
      </c>
      <c r="B6026" s="3" t="inlineStr">
        <is>
          <t>Week</t>
        </is>
      </c>
      <c r="C6026" s="19" t="n">
        <v>9</v>
      </c>
      <c r="D6026" s="19" t="n">
        <v>2027</v>
      </c>
      <c r="E6026" s="57" t="n">
        <v>6</v>
      </c>
      <c r="F6026" s="29">
        <f>ROUND(((SUMIFS(Calendar!$F$2:$F$9997,Calendar!$B$2:$B$9997,D6026,Calendar!$C$2:$C$9997,C6026)*INDEX(ForeCalc!$B$37:$Y$274,MATCH(_xlfn.CONCAT(H6026," ",I6026),ForeCalc!$A$37:$A$274,0),MATCH(_xlfn.CONCAT(B6026," ",E6026),ForeCalc!$B$36:$Y$36,0))))*VLOOKUP(A6026,Calendar!$A$2:$H$9997,8,FALSE),0)</f>
        <v/>
      </c>
      <c r="G6026" s="29">
        <f>VLOOKUP(A6026,Calendar!$A$1:$H$9997,6,FALSE)-F6026</f>
        <v/>
      </c>
      <c r="H6026" s="19" t="n">
        <v>2</v>
      </c>
      <c r="I6026" s="57" t="n">
        <v>6</v>
      </c>
    </row>
    <row r="6027">
      <c r="A6027" s="62" t="n">
        <v>46658</v>
      </c>
      <c r="B6027" s="3" t="inlineStr">
        <is>
          <t>Week</t>
        </is>
      </c>
      <c r="C6027" s="19" t="n">
        <v>9</v>
      </c>
      <c r="D6027" s="19" t="n">
        <v>2027</v>
      </c>
      <c r="E6027" s="57" t="n">
        <v>6</v>
      </c>
      <c r="F6027" s="29">
        <f>ROUND(((SUMIFS(Calendar!$F$2:$F$9997,Calendar!$B$2:$B$9997,D6027,Calendar!$C$2:$C$9997,C6027)*INDEX(ForeCalc!$B$37:$Y$274,MATCH(_xlfn.CONCAT(H6027," ",I6027),ForeCalc!$A$37:$A$274,0),MATCH(_xlfn.CONCAT(B6027," ",E6027),ForeCalc!$B$36:$Y$36,0))))*VLOOKUP(A6027,Calendar!$A$2:$H$9997,8,FALSE),0)</f>
        <v/>
      </c>
      <c r="G6027" s="29">
        <f>VLOOKUP(A6027,Calendar!$A$1:$H$9997,6,FALSE)-F6027</f>
        <v/>
      </c>
      <c r="H6027" s="19" t="n">
        <v>2</v>
      </c>
      <c r="I6027" s="57" t="n">
        <v>6</v>
      </c>
    </row>
    <row r="6028">
      <c r="A6028" s="62" t="n">
        <v>46659</v>
      </c>
      <c r="B6028" s="3" t="inlineStr">
        <is>
          <t>Week</t>
        </is>
      </c>
      <c r="C6028" s="19" t="n">
        <v>9</v>
      </c>
      <c r="D6028" s="19" t="n">
        <v>2027</v>
      </c>
      <c r="E6028" s="57" t="n">
        <v>6</v>
      </c>
      <c r="F6028" s="29">
        <f>ROUND(((SUMIFS(Calendar!$F$2:$F$9997,Calendar!$B$2:$B$9997,D6028,Calendar!$C$2:$C$9997,C6028)*INDEX(ForeCalc!$B$37:$Y$274,MATCH(_xlfn.CONCAT(H6028," ",I6028),ForeCalc!$A$37:$A$274,0),MATCH(_xlfn.CONCAT(B6028," ",E6028),ForeCalc!$B$36:$Y$36,0))))*VLOOKUP(A6028,Calendar!$A$2:$H$9997,8,FALSE),0)</f>
        <v/>
      </c>
      <c r="G6028" s="29">
        <f>VLOOKUP(A6028,Calendar!$A$1:$H$9997,6,FALSE)-F6028</f>
        <v/>
      </c>
      <c r="H6028" s="19" t="n">
        <v>2</v>
      </c>
      <c r="I6028" s="57" t="n">
        <v>6</v>
      </c>
    </row>
    <row r="6029">
      <c r="A6029" s="62" t="n">
        <v>46660</v>
      </c>
      <c r="B6029" s="3" t="inlineStr">
        <is>
          <t>Week</t>
        </is>
      </c>
      <c r="C6029" s="19" t="n">
        <v>9</v>
      </c>
      <c r="D6029" s="19" t="n">
        <v>2027</v>
      </c>
      <c r="E6029" s="57" t="n">
        <v>6</v>
      </c>
      <c r="F6029" s="29">
        <f>ROUND(((SUMIFS(Calendar!$F$2:$F$9997,Calendar!$B$2:$B$9997,D6029,Calendar!$C$2:$C$9997,C6029)*INDEX(ForeCalc!$B$37:$Y$274,MATCH(_xlfn.CONCAT(H6029," ",I6029),ForeCalc!$A$37:$A$274,0),MATCH(_xlfn.CONCAT(B6029," ",E6029),ForeCalc!$B$36:$Y$36,0))))*VLOOKUP(A6029,Calendar!$A$2:$H$9997,8,FALSE),0)</f>
        <v/>
      </c>
      <c r="G6029" s="29">
        <f>VLOOKUP(A6029,Calendar!$A$1:$H$9997,6,FALSE)-F6029</f>
        <v/>
      </c>
      <c r="H6029" s="19" t="n">
        <v>2</v>
      </c>
      <c r="I6029" s="57" t="n">
        <v>6</v>
      </c>
    </row>
    <row r="6030">
      <c r="A6030" s="62" t="n">
        <v>46661</v>
      </c>
      <c r="B6030" s="3" t="inlineStr">
        <is>
          <t>Week</t>
        </is>
      </c>
      <c r="C6030" s="19" t="n">
        <v>10</v>
      </c>
      <c r="D6030" s="19" t="n">
        <v>2027</v>
      </c>
      <c r="E6030" s="57" t="n">
        <v>6</v>
      </c>
      <c r="F6030" s="29">
        <f>ROUND(((SUMIFS(Calendar!$F$2:$F$9997,Calendar!$B$2:$B$9997,D6030,Calendar!$C$2:$C$9997,C6030)*INDEX(ForeCalc!$B$37:$Y$274,MATCH(_xlfn.CONCAT(H6030," ",I6030),ForeCalc!$A$37:$A$274,0),MATCH(_xlfn.CONCAT(B6030," ",E6030),ForeCalc!$B$36:$Y$36,0))))*VLOOKUP(A6030,Calendar!$A$2:$H$9997,8,FALSE),0)</f>
        <v/>
      </c>
      <c r="G6030" s="29">
        <f>VLOOKUP(A6030,Calendar!$A$1:$H$9997,6,FALSE)-F6030</f>
        <v/>
      </c>
      <c r="H6030" s="19" t="n">
        <v>2</v>
      </c>
      <c r="I6030" s="57" t="n">
        <v>7</v>
      </c>
    </row>
    <row r="6031">
      <c r="A6031" s="62" t="n">
        <v>46662</v>
      </c>
      <c r="B6031" s="3" t="inlineStr">
        <is>
          <t>Sat</t>
        </is>
      </c>
      <c r="C6031" s="19" t="n">
        <v>10</v>
      </c>
      <c r="D6031" s="19" t="n">
        <v>2027</v>
      </c>
      <c r="E6031" s="57" t="n">
        <v>6</v>
      </c>
      <c r="F6031" s="29">
        <f>ROUND(((SUMIFS(Calendar!$F$2:$F$9997,Calendar!$B$2:$B$9997,D6031,Calendar!$C$2:$C$9997,C6031)*INDEX(ForeCalc!$B$37:$Y$274,MATCH(_xlfn.CONCAT(H6031," ",I6031),ForeCalc!$A$37:$A$274,0),MATCH(_xlfn.CONCAT(B6031," ",E6031),ForeCalc!$B$36:$Y$36,0))))*VLOOKUP(A6031,Calendar!$A$2:$H$9997,8,FALSE),0)</f>
        <v/>
      </c>
      <c r="G6031" s="29">
        <f>VLOOKUP(A6031,Calendar!$A$1:$H$9997,6,FALSE)-F6031</f>
        <v/>
      </c>
      <c r="H6031" s="19" t="n">
        <v>2</v>
      </c>
      <c r="I6031" s="57" t="n">
        <v>7</v>
      </c>
    </row>
    <row r="6032">
      <c r="A6032" s="62" t="n">
        <v>46663</v>
      </c>
      <c r="B6032" s="3" t="inlineStr">
        <is>
          <t>Sun</t>
        </is>
      </c>
      <c r="C6032" s="19" t="n">
        <v>10</v>
      </c>
      <c r="D6032" s="19" t="n">
        <v>2027</v>
      </c>
      <c r="E6032" s="57" t="n">
        <v>6</v>
      </c>
      <c r="F6032" s="29">
        <f>ROUND(((SUMIFS(Calendar!$F$2:$F$9997,Calendar!$B$2:$B$9997,D6032,Calendar!$C$2:$C$9997,C6032)*INDEX(ForeCalc!$B$37:$Y$274,MATCH(_xlfn.CONCAT(H6032," ",I6032),ForeCalc!$A$37:$A$274,0),MATCH(_xlfn.CONCAT(B6032," ",E6032),ForeCalc!$B$36:$Y$36,0))))*VLOOKUP(A6032,Calendar!$A$2:$H$9997,8,FALSE),0)</f>
        <v/>
      </c>
      <c r="G6032" s="29">
        <f>VLOOKUP(A6032,Calendar!$A$1:$H$9997,6,FALSE)-F6032</f>
        <v/>
      </c>
      <c r="H6032" s="19" t="n">
        <v>2</v>
      </c>
      <c r="I6032" s="57" t="n">
        <v>7</v>
      </c>
    </row>
    <row r="6033">
      <c r="A6033" s="62" t="n">
        <v>46664</v>
      </c>
      <c r="B6033" s="3" t="inlineStr">
        <is>
          <t>Week</t>
        </is>
      </c>
      <c r="C6033" s="19" t="n">
        <v>10</v>
      </c>
      <c r="D6033" s="19" t="n">
        <v>2027</v>
      </c>
      <c r="E6033" s="57" t="n">
        <v>6</v>
      </c>
      <c r="F6033" s="29">
        <f>ROUND(((SUMIFS(Calendar!$F$2:$F$9997,Calendar!$B$2:$B$9997,D6033,Calendar!$C$2:$C$9997,C6033)*INDEX(ForeCalc!$B$37:$Y$274,MATCH(_xlfn.CONCAT(H6033," ",I6033),ForeCalc!$A$37:$A$274,0),MATCH(_xlfn.CONCAT(B6033," ",E6033),ForeCalc!$B$36:$Y$36,0))))*VLOOKUP(A6033,Calendar!$A$2:$H$9997,8,FALSE),0)</f>
        <v/>
      </c>
      <c r="G6033" s="29">
        <f>VLOOKUP(A6033,Calendar!$A$1:$H$9997,6,FALSE)-F6033</f>
        <v/>
      </c>
      <c r="H6033" s="19" t="n">
        <v>2</v>
      </c>
      <c r="I6033" s="57" t="n">
        <v>7</v>
      </c>
    </row>
    <row r="6034">
      <c r="A6034" s="62" t="n">
        <v>46665</v>
      </c>
      <c r="B6034" s="3" t="inlineStr">
        <is>
          <t>Week</t>
        </is>
      </c>
      <c r="C6034" s="19" t="n">
        <v>10</v>
      </c>
      <c r="D6034" s="19" t="n">
        <v>2027</v>
      </c>
      <c r="E6034" s="57" t="n">
        <v>6</v>
      </c>
      <c r="F6034" s="29">
        <f>ROUND(((SUMIFS(Calendar!$F$2:$F$9997,Calendar!$B$2:$B$9997,D6034,Calendar!$C$2:$C$9997,C6034)*INDEX(ForeCalc!$B$37:$Y$274,MATCH(_xlfn.CONCAT(H6034," ",I6034),ForeCalc!$A$37:$A$274,0),MATCH(_xlfn.CONCAT(B6034," ",E6034),ForeCalc!$B$36:$Y$36,0))))*VLOOKUP(A6034,Calendar!$A$2:$H$9997,8,FALSE),0)</f>
        <v/>
      </c>
      <c r="G6034" s="29">
        <f>VLOOKUP(A6034,Calendar!$A$1:$H$9997,6,FALSE)-F6034</f>
        <v/>
      </c>
      <c r="H6034" s="19" t="n">
        <v>2</v>
      </c>
      <c r="I6034" s="57" t="n">
        <v>7</v>
      </c>
    </row>
    <row r="6035">
      <c r="A6035" s="62" t="n">
        <v>46666</v>
      </c>
      <c r="B6035" s="3" t="inlineStr">
        <is>
          <t>Week</t>
        </is>
      </c>
      <c r="C6035" s="19" t="n">
        <v>10</v>
      </c>
      <c r="D6035" s="19" t="n">
        <v>2027</v>
      </c>
      <c r="E6035" s="57" t="n">
        <v>6</v>
      </c>
      <c r="F6035" s="29">
        <f>ROUND(((SUMIFS(Calendar!$F$2:$F$9997,Calendar!$B$2:$B$9997,D6035,Calendar!$C$2:$C$9997,C6035)*INDEX(ForeCalc!$B$37:$Y$274,MATCH(_xlfn.CONCAT(H6035," ",I6035),ForeCalc!$A$37:$A$274,0),MATCH(_xlfn.CONCAT(B6035," ",E6035),ForeCalc!$B$36:$Y$36,0))))*VLOOKUP(A6035,Calendar!$A$2:$H$9997,8,FALSE),0)</f>
        <v/>
      </c>
      <c r="G6035" s="29">
        <f>VLOOKUP(A6035,Calendar!$A$1:$H$9997,6,FALSE)-F6035</f>
        <v/>
      </c>
      <c r="H6035" s="19" t="n">
        <v>2</v>
      </c>
      <c r="I6035" s="57" t="n">
        <v>7</v>
      </c>
    </row>
    <row r="6036">
      <c r="A6036" s="62" t="n">
        <v>46667</v>
      </c>
      <c r="B6036" s="3" t="inlineStr">
        <is>
          <t>Week</t>
        </is>
      </c>
      <c r="C6036" s="19" t="n">
        <v>10</v>
      </c>
      <c r="D6036" s="19" t="n">
        <v>2027</v>
      </c>
      <c r="E6036" s="57" t="n">
        <v>6</v>
      </c>
      <c r="F6036" s="29">
        <f>ROUND(((SUMIFS(Calendar!$F$2:$F$9997,Calendar!$B$2:$B$9997,D6036,Calendar!$C$2:$C$9997,C6036)*INDEX(ForeCalc!$B$37:$Y$274,MATCH(_xlfn.CONCAT(H6036," ",I6036),ForeCalc!$A$37:$A$274,0),MATCH(_xlfn.CONCAT(B6036," ",E6036),ForeCalc!$B$36:$Y$36,0))))*VLOOKUP(A6036,Calendar!$A$2:$H$9997,8,FALSE),0)</f>
        <v/>
      </c>
      <c r="G6036" s="29">
        <f>VLOOKUP(A6036,Calendar!$A$1:$H$9997,6,FALSE)-F6036</f>
        <v/>
      </c>
      <c r="H6036" s="19" t="n">
        <v>2</v>
      </c>
      <c r="I6036" s="57" t="n">
        <v>7</v>
      </c>
    </row>
    <row r="6037">
      <c r="A6037" s="62" t="n">
        <v>46668</v>
      </c>
      <c r="B6037" s="3" t="inlineStr">
        <is>
          <t>Week</t>
        </is>
      </c>
      <c r="C6037" s="19" t="n">
        <v>10</v>
      </c>
      <c r="D6037" s="19" t="n">
        <v>2027</v>
      </c>
      <c r="E6037" s="57" t="n">
        <v>6</v>
      </c>
      <c r="F6037" s="29">
        <f>ROUND(((SUMIFS(Calendar!$F$2:$F$9997,Calendar!$B$2:$B$9997,D6037,Calendar!$C$2:$C$9997,C6037)*INDEX(ForeCalc!$B$37:$Y$274,MATCH(_xlfn.CONCAT(H6037," ",I6037),ForeCalc!$A$37:$A$274,0),MATCH(_xlfn.CONCAT(B6037," ",E6037),ForeCalc!$B$36:$Y$36,0))))*VLOOKUP(A6037,Calendar!$A$2:$H$9997,8,FALSE),0)</f>
        <v/>
      </c>
      <c r="G6037" s="29">
        <f>VLOOKUP(A6037,Calendar!$A$1:$H$9997,6,FALSE)-F6037</f>
        <v/>
      </c>
      <c r="H6037" s="19" t="n">
        <v>2</v>
      </c>
      <c r="I6037" s="57" t="n">
        <v>7</v>
      </c>
    </row>
    <row r="6038">
      <c r="A6038" s="62" t="n">
        <v>46669</v>
      </c>
      <c r="B6038" s="3" t="inlineStr">
        <is>
          <t>Sat</t>
        </is>
      </c>
      <c r="C6038" s="19" t="n">
        <v>10</v>
      </c>
      <c r="D6038" s="19" t="n">
        <v>2027</v>
      </c>
      <c r="E6038" s="57" t="n">
        <v>6</v>
      </c>
      <c r="F6038" s="29">
        <f>ROUND(((SUMIFS(Calendar!$F$2:$F$9997,Calendar!$B$2:$B$9997,D6038,Calendar!$C$2:$C$9997,C6038)*INDEX(ForeCalc!$B$37:$Y$274,MATCH(_xlfn.CONCAT(H6038," ",I6038),ForeCalc!$A$37:$A$274,0),MATCH(_xlfn.CONCAT(B6038," ",E6038),ForeCalc!$B$36:$Y$36,0))))*VLOOKUP(A6038,Calendar!$A$2:$H$9997,8,FALSE),0)</f>
        <v/>
      </c>
      <c r="G6038" s="29">
        <f>VLOOKUP(A6038,Calendar!$A$1:$H$9997,6,FALSE)-F6038</f>
        <v/>
      </c>
      <c r="H6038" s="19" t="n">
        <v>2</v>
      </c>
      <c r="I6038" s="57" t="n">
        <v>7</v>
      </c>
    </row>
    <row r="6039">
      <c r="A6039" s="62" t="n">
        <v>46670</v>
      </c>
      <c r="B6039" s="3" t="inlineStr">
        <is>
          <t>Sun</t>
        </is>
      </c>
      <c r="C6039" s="19" t="n">
        <v>10</v>
      </c>
      <c r="D6039" s="19" t="n">
        <v>2027</v>
      </c>
      <c r="E6039" s="57" t="n">
        <v>6</v>
      </c>
      <c r="F6039" s="29">
        <f>ROUND(((SUMIFS(Calendar!$F$2:$F$9997,Calendar!$B$2:$B$9997,D6039,Calendar!$C$2:$C$9997,C6039)*INDEX(ForeCalc!$B$37:$Y$274,MATCH(_xlfn.CONCAT(H6039," ",I6039),ForeCalc!$A$37:$A$274,0),MATCH(_xlfn.CONCAT(B6039," ",E6039),ForeCalc!$B$36:$Y$36,0))))*VLOOKUP(A6039,Calendar!$A$2:$H$9997,8,FALSE),0)</f>
        <v/>
      </c>
      <c r="G6039" s="29">
        <f>VLOOKUP(A6039,Calendar!$A$1:$H$9997,6,FALSE)-F6039</f>
        <v/>
      </c>
      <c r="H6039" s="19" t="n">
        <v>2</v>
      </c>
      <c r="I6039" s="57" t="n">
        <v>7</v>
      </c>
    </row>
    <row r="6040">
      <c r="A6040" s="62" t="n">
        <v>46671</v>
      </c>
      <c r="B6040" s="3" t="inlineStr">
        <is>
          <t>Week</t>
        </is>
      </c>
      <c r="C6040" s="19" t="n">
        <v>10</v>
      </c>
      <c r="D6040" s="19" t="n">
        <v>2027</v>
      </c>
      <c r="E6040" s="57" t="n">
        <v>6</v>
      </c>
      <c r="F6040" s="29">
        <f>ROUND(((SUMIFS(Calendar!$F$2:$F$9997,Calendar!$B$2:$B$9997,D6040,Calendar!$C$2:$C$9997,C6040)*INDEX(ForeCalc!$B$37:$Y$274,MATCH(_xlfn.CONCAT(H6040," ",I6040),ForeCalc!$A$37:$A$274,0),MATCH(_xlfn.CONCAT(B6040," ",E6040),ForeCalc!$B$36:$Y$36,0))))*VLOOKUP(A6040,Calendar!$A$2:$H$9997,8,FALSE),0)</f>
        <v/>
      </c>
      <c r="G6040" s="29">
        <f>VLOOKUP(A6040,Calendar!$A$1:$H$9997,6,FALSE)-F6040</f>
        <v/>
      </c>
      <c r="H6040" s="19" t="n">
        <v>2</v>
      </c>
      <c r="I6040" s="57" t="n">
        <v>7</v>
      </c>
    </row>
    <row r="6041">
      <c r="A6041" s="62" t="n">
        <v>46672</v>
      </c>
      <c r="B6041" s="3" t="inlineStr">
        <is>
          <t>Week</t>
        </is>
      </c>
      <c r="C6041" s="19" t="n">
        <v>10</v>
      </c>
      <c r="D6041" s="19" t="n">
        <v>2027</v>
      </c>
      <c r="E6041" s="57" t="n">
        <v>6</v>
      </c>
      <c r="F6041" s="29">
        <f>ROUND(((SUMIFS(Calendar!$F$2:$F$9997,Calendar!$B$2:$B$9997,D6041,Calendar!$C$2:$C$9997,C6041)*INDEX(ForeCalc!$B$37:$Y$274,MATCH(_xlfn.CONCAT(H6041," ",I6041),ForeCalc!$A$37:$A$274,0),MATCH(_xlfn.CONCAT(B6041," ",E6041),ForeCalc!$B$36:$Y$36,0))))*VLOOKUP(A6041,Calendar!$A$2:$H$9997,8,FALSE),0)</f>
        <v/>
      </c>
      <c r="G6041" s="29">
        <f>VLOOKUP(A6041,Calendar!$A$1:$H$9997,6,FALSE)-F6041</f>
        <v/>
      </c>
      <c r="H6041" s="19" t="n">
        <v>2</v>
      </c>
      <c r="I6041" s="57" t="n">
        <v>7</v>
      </c>
    </row>
    <row r="6042">
      <c r="A6042" s="62" t="n">
        <v>46673</v>
      </c>
      <c r="B6042" s="3" t="inlineStr">
        <is>
          <t>Week</t>
        </is>
      </c>
      <c r="C6042" s="19" t="n">
        <v>10</v>
      </c>
      <c r="D6042" s="19" t="n">
        <v>2027</v>
      </c>
      <c r="E6042" s="57" t="n">
        <v>6</v>
      </c>
      <c r="F6042" s="29">
        <f>ROUND(((SUMIFS(Calendar!$F$2:$F$9997,Calendar!$B$2:$B$9997,D6042,Calendar!$C$2:$C$9997,C6042)*INDEX(ForeCalc!$B$37:$Y$274,MATCH(_xlfn.CONCAT(H6042," ",I6042),ForeCalc!$A$37:$A$274,0),MATCH(_xlfn.CONCAT(B6042," ",E6042),ForeCalc!$B$36:$Y$36,0))))*VLOOKUP(A6042,Calendar!$A$2:$H$9997,8,FALSE),0)</f>
        <v/>
      </c>
      <c r="G6042" s="29">
        <f>VLOOKUP(A6042,Calendar!$A$1:$H$9997,6,FALSE)-F6042</f>
        <v/>
      </c>
      <c r="H6042" s="19" t="n">
        <v>2</v>
      </c>
      <c r="I6042" s="57" t="n">
        <v>7</v>
      </c>
    </row>
    <row r="6043">
      <c r="A6043" s="62" t="n">
        <v>46674</v>
      </c>
      <c r="B6043" s="3" t="inlineStr">
        <is>
          <t>Week</t>
        </is>
      </c>
      <c r="C6043" s="19" t="n">
        <v>10</v>
      </c>
      <c r="D6043" s="19" t="n">
        <v>2027</v>
      </c>
      <c r="E6043" s="57" t="n">
        <v>6</v>
      </c>
      <c r="F6043" s="29">
        <f>ROUND(((SUMIFS(Calendar!$F$2:$F$9997,Calendar!$B$2:$B$9997,D6043,Calendar!$C$2:$C$9997,C6043)*INDEX(ForeCalc!$B$37:$Y$274,MATCH(_xlfn.CONCAT(H6043," ",I6043),ForeCalc!$A$37:$A$274,0),MATCH(_xlfn.CONCAT(B6043," ",E6043),ForeCalc!$B$36:$Y$36,0))))*VLOOKUP(A6043,Calendar!$A$2:$H$9997,8,FALSE),0)</f>
        <v/>
      </c>
      <c r="G6043" s="29">
        <f>VLOOKUP(A6043,Calendar!$A$1:$H$9997,6,FALSE)-F6043</f>
        <v/>
      </c>
      <c r="H6043" s="19" t="n">
        <v>2</v>
      </c>
      <c r="I6043" s="57" t="n">
        <v>7</v>
      </c>
    </row>
    <row r="6044">
      <c r="A6044" s="62" t="n">
        <v>46675</v>
      </c>
      <c r="B6044" s="3" t="inlineStr">
        <is>
          <t>Week</t>
        </is>
      </c>
      <c r="C6044" s="19" t="n">
        <v>10</v>
      </c>
      <c r="D6044" s="19" t="n">
        <v>2027</v>
      </c>
      <c r="E6044" s="57" t="n">
        <v>6</v>
      </c>
      <c r="F6044" s="29">
        <f>ROUND(((SUMIFS(Calendar!$F$2:$F$9997,Calendar!$B$2:$B$9997,D6044,Calendar!$C$2:$C$9997,C6044)*INDEX(ForeCalc!$B$37:$Y$274,MATCH(_xlfn.CONCAT(H6044," ",I6044),ForeCalc!$A$37:$A$274,0),MATCH(_xlfn.CONCAT(B6044," ",E6044),ForeCalc!$B$36:$Y$36,0))))*VLOOKUP(A6044,Calendar!$A$2:$H$9997,8,FALSE),0)</f>
        <v/>
      </c>
      <c r="G6044" s="29">
        <f>VLOOKUP(A6044,Calendar!$A$1:$H$9997,6,FALSE)-F6044</f>
        <v/>
      </c>
      <c r="H6044" s="19" t="n">
        <v>2</v>
      </c>
      <c r="I6044" s="57" t="n">
        <v>7</v>
      </c>
    </row>
    <row r="6045">
      <c r="A6045" s="62" t="n">
        <v>46676</v>
      </c>
      <c r="B6045" s="3" t="inlineStr">
        <is>
          <t>Sat</t>
        </is>
      </c>
      <c r="C6045" s="19" t="n">
        <v>10</v>
      </c>
      <c r="D6045" s="19" t="n">
        <v>2027</v>
      </c>
      <c r="E6045" s="57" t="n">
        <v>6</v>
      </c>
      <c r="F6045" s="29">
        <f>ROUND(((SUMIFS(Calendar!$F$2:$F$9997,Calendar!$B$2:$B$9997,D6045,Calendar!$C$2:$C$9997,C6045)*INDEX(ForeCalc!$B$37:$Y$274,MATCH(_xlfn.CONCAT(H6045," ",I6045),ForeCalc!$A$37:$A$274,0),MATCH(_xlfn.CONCAT(B6045," ",E6045),ForeCalc!$B$36:$Y$36,0))))*VLOOKUP(A6045,Calendar!$A$2:$H$9997,8,FALSE),0)</f>
        <v/>
      </c>
      <c r="G6045" s="29">
        <f>VLOOKUP(A6045,Calendar!$A$1:$H$9997,6,FALSE)-F6045</f>
        <v/>
      </c>
      <c r="H6045" s="19" t="n">
        <v>2</v>
      </c>
      <c r="I6045" s="57" t="n">
        <v>7</v>
      </c>
    </row>
    <row r="6046">
      <c r="A6046" s="62" t="n">
        <v>46677</v>
      </c>
      <c r="B6046" s="3" t="inlineStr">
        <is>
          <t>Sun</t>
        </is>
      </c>
      <c r="C6046" s="19" t="n">
        <v>10</v>
      </c>
      <c r="D6046" s="19" t="n">
        <v>2027</v>
      </c>
      <c r="E6046" s="57" t="n">
        <v>6</v>
      </c>
      <c r="F6046" s="29">
        <f>ROUND(((SUMIFS(Calendar!$F$2:$F$9997,Calendar!$B$2:$B$9997,D6046,Calendar!$C$2:$C$9997,C6046)*INDEX(ForeCalc!$B$37:$Y$274,MATCH(_xlfn.CONCAT(H6046," ",I6046),ForeCalc!$A$37:$A$274,0),MATCH(_xlfn.CONCAT(B6046," ",E6046),ForeCalc!$B$36:$Y$36,0))))*VLOOKUP(A6046,Calendar!$A$2:$H$9997,8,FALSE),0)</f>
        <v/>
      </c>
      <c r="G6046" s="29">
        <f>VLOOKUP(A6046,Calendar!$A$1:$H$9997,6,FALSE)-F6046</f>
        <v/>
      </c>
      <c r="H6046" s="19" t="n">
        <v>2</v>
      </c>
      <c r="I6046" s="57" t="n">
        <v>7</v>
      </c>
    </row>
    <row r="6047">
      <c r="A6047" s="62" t="n">
        <v>46678</v>
      </c>
      <c r="B6047" s="3" t="inlineStr">
        <is>
          <t>Week</t>
        </is>
      </c>
      <c r="C6047" s="19" t="n">
        <v>10</v>
      </c>
      <c r="D6047" s="19" t="n">
        <v>2027</v>
      </c>
      <c r="E6047" s="57" t="n">
        <v>6</v>
      </c>
      <c r="F6047" s="29">
        <f>ROUND(((SUMIFS(Calendar!$F$2:$F$9997,Calendar!$B$2:$B$9997,D6047,Calendar!$C$2:$C$9997,C6047)*INDEX(ForeCalc!$B$37:$Y$274,MATCH(_xlfn.CONCAT(H6047," ",I6047),ForeCalc!$A$37:$A$274,0),MATCH(_xlfn.CONCAT(B6047," ",E6047),ForeCalc!$B$36:$Y$36,0))))*VLOOKUP(A6047,Calendar!$A$2:$H$9997,8,FALSE),0)</f>
        <v/>
      </c>
      <c r="G6047" s="29">
        <f>VLOOKUP(A6047,Calendar!$A$1:$H$9997,6,FALSE)-F6047</f>
        <v/>
      </c>
      <c r="H6047" s="19" t="n">
        <v>2</v>
      </c>
      <c r="I6047" s="57" t="n">
        <v>7</v>
      </c>
    </row>
    <row r="6048">
      <c r="A6048" s="62" t="n">
        <v>46679</v>
      </c>
      <c r="B6048" s="3" t="inlineStr">
        <is>
          <t>Week</t>
        </is>
      </c>
      <c r="C6048" s="19" t="n">
        <v>10</v>
      </c>
      <c r="D6048" s="19" t="n">
        <v>2027</v>
      </c>
      <c r="E6048" s="57" t="n">
        <v>6</v>
      </c>
      <c r="F6048" s="29">
        <f>ROUND(((SUMIFS(Calendar!$F$2:$F$9997,Calendar!$B$2:$B$9997,D6048,Calendar!$C$2:$C$9997,C6048)*INDEX(ForeCalc!$B$37:$Y$274,MATCH(_xlfn.CONCAT(H6048," ",I6048),ForeCalc!$A$37:$A$274,0),MATCH(_xlfn.CONCAT(B6048," ",E6048),ForeCalc!$B$36:$Y$36,0))))*VLOOKUP(A6048,Calendar!$A$2:$H$9997,8,FALSE),0)</f>
        <v/>
      </c>
      <c r="G6048" s="29">
        <f>VLOOKUP(A6048,Calendar!$A$1:$H$9997,6,FALSE)-F6048</f>
        <v/>
      </c>
      <c r="H6048" s="19" t="n">
        <v>2</v>
      </c>
      <c r="I6048" s="57" t="n">
        <v>7</v>
      </c>
    </row>
    <row r="6049">
      <c r="A6049" s="62" t="n">
        <v>46680</v>
      </c>
      <c r="B6049" s="3" t="inlineStr">
        <is>
          <t>Week</t>
        </is>
      </c>
      <c r="C6049" s="19" t="n">
        <v>10</v>
      </c>
      <c r="D6049" s="19" t="n">
        <v>2027</v>
      </c>
      <c r="E6049" s="57" t="n">
        <v>6</v>
      </c>
      <c r="F6049" s="29">
        <f>ROUND(((SUMIFS(Calendar!$F$2:$F$9997,Calendar!$B$2:$B$9997,D6049,Calendar!$C$2:$C$9997,C6049)*INDEX(ForeCalc!$B$37:$Y$274,MATCH(_xlfn.CONCAT(H6049," ",I6049),ForeCalc!$A$37:$A$274,0),MATCH(_xlfn.CONCAT(B6049," ",E6049),ForeCalc!$B$36:$Y$36,0))))*VLOOKUP(A6049,Calendar!$A$2:$H$9997,8,FALSE),0)</f>
        <v/>
      </c>
      <c r="G6049" s="29">
        <f>VLOOKUP(A6049,Calendar!$A$1:$H$9997,6,FALSE)-F6049</f>
        <v/>
      </c>
      <c r="H6049" s="19" t="n">
        <v>2</v>
      </c>
      <c r="I6049" s="57" t="n">
        <v>7</v>
      </c>
    </row>
    <row r="6050">
      <c r="A6050" s="62" t="n">
        <v>46681</v>
      </c>
      <c r="B6050" s="3" t="inlineStr">
        <is>
          <t>Week</t>
        </is>
      </c>
      <c r="C6050" s="19" t="n">
        <v>10</v>
      </c>
      <c r="D6050" s="19" t="n">
        <v>2027</v>
      </c>
      <c r="E6050" s="57" t="n">
        <v>6</v>
      </c>
      <c r="F6050" s="29">
        <f>ROUND(((SUMIFS(Calendar!$F$2:$F$9997,Calendar!$B$2:$B$9997,D6050,Calendar!$C$2:$C$9997,C6050)*INDEX(ForeCalc!$B$37:$Y$274,MATCH(_xlfn.CONCAT(H6050," ",I6050),ForeCalc!$A$37:$A$274,0),MATCH(_xlfn.CONCAT(B6050," ",E6050),ForeCalc!$B$36:$Y$36,0))))*VLOOKUP(A6050,Calendar!$A$2:$H$9997,8,FALSE),0)</f>
        <v/>
      </c>
      <c r="G6050" s="29">
        <f>VLOOKUP(A6050,Calendar!$A$1:$H$9997,6,FALSE)-F6050</f>
        <v/>
      </c>
      <c r="H6050" s="19" t="n">
        <v>2</v>
      </c>
      <c r="I6050" s="57" t="n">
        <v>7</v>
      </c>
    </row>
    <row r="6051">
      <c r="A6051" s="62" t="n">
        <v>46682</v>
      </c>
      <c r="B6051" s="3" t="inlineStr">
        <is>
          <t>Week</t>
        </is>
      </c>
      <c r="C6051" s="19" t="n">
        <v>10</v>
      </c>
      <c r="D6051" s="19" t="n">
        <v>2027</v>
      </c>
      <c r="E6051" s="57" t="n">
        <v>6</v>
      </c>
      <c r="F6051" s="29">
        <f>ROUND(((SUMIFS(Calendar!$F$2:$F$9997,Calendar!$B$2:$B$9997,D6051,Calendar!$C$2:$C$9997,C6051)*INDEX(ForeCalc!$B$37:$Y$274,MATCH(_xlfn.CONCAT(H6051," ",I6051),ForeCalc!$A$37:$A$274,0),MATCH(_xlfn.CONCAT(B6051," ",E6051),ForeCalc!$B$36:$Y$36,0))))*VLOOKUP(A6051,Calendar!$A$2:$H$9997,8,FALSE),0)</f>
        <v/>
      </c>
      <c r="G6051" s="29">
        <f>VLOOKUP(A6051,Calendar!$A$1:$H$9997,6,FALSE)-F6051</f>
        <v/>
      </c>
      <c r="H6051" s="19" t="n">
        <v>2</v>
      </c>
      <c r="I6051" s="57" t="n">
        <v>7</v>
      </c>
    </row>
    <row r="6052">
      <c r="A6052" s="62" t="n">
        <v>46683</v>
      </c>
      <c r="B6052" s="3" t="inlineStr">
        <is>
          <t>Sat</t>
        </is>
      </c>
      <c r="C6052" s="19" t="n">
        <v>10</v>
      </c>
      <c r="D6052" s="19" t="n">
        <v>2027</v>
      </c>
      <c r="E6052" s="57" t="n">
        <v>6</v>
      </c>
      <c r="F6052" s="29">
        <f>ROUND(((SUMIFS(Calendar!$F$2:$F$9997,Calendar!$B$2:$B$9997,D6052,Calendar!$C$2:$C$9997,C6052)*INDEX(ForeCalc!$B$37:$Y$274,MATCH(_xlfn.CONCAT(H6052," ",I6052),ForeCalc!$A$37:$A$274,0),MATCH(_xlfn.CONCAT(B6052," ",E6052),ForeCalc!$B$36:$Y$36,0))))*VLOOKUP(A6052,Calendar!$A$2:$H$9997,8,FALSE),0)</f>
        <v/>
      </c>
      <c r="G6052" s="29">
        <f>VLOOKUP(A6052,Calendar!$A$1:$H$9997,6,FALSE)-F6052</f>
        <v/>
      </c>
      <c r="H6052" s="19" t="n">
        <v>2</v>
      </c>
      <c r="I6052" s="57" t="n">
        <v>7</v>
      </c>
    </row>
    <row r="6053">
      <c r="A6053" s="62" t="n">
        <v>46684</v>
      </c>
      <c r="B6053" s="3" t="inlineStr">
        <is>
          <t>Sun</t>
        </is>
      </c>
      <c r="C6053" s="19" t="n">
        <v>10</v>
      </c>
      <c r="D6053" s="19" t="n">
        <v>2027</v>
      </c>
      <c r="E6053" s="57" t="n">
        <v>6</v>
      </c>
      <c r="F6053" s="29">
        <f>ROUND(((SUMIFS(Calendar!$F$2:$F$9997,Calendar!$B$2:$B$9997,D6053,Calendar!$C$2:$C$9997,C6053)*INDEX(ForeCalc!$B$37:$Y$274,MATCH(_xlfn.CONCAT(H6053," ",I6053),ForeCalc!$A$37:$A$274,0),MATCH(_xlfn.CONCAT(B6053," ",E6053),ForeCalc!$B$36:$Y$36,0))))*VLOOKUP(A6053,Calendar!$A$2:$H$9997,8,FALSE),0)</f>
        <v/>
      </c>
      <c r="G6053" s="29">
        <f>VLOOKUP(A6053,Calendar!$A$1:$H$9997,6,FALSE)-F6053</f>
        <v/>
      </c>
      <c r="H6053" s="19" t="n">
        <v>2</v>
      </c>
      <c r="I6053" s="57" t="n">
        <v>7</v>
      </c>
    </row>
    <row r="6054">
      <c r="A6054" s="62" t="n">
        <v>46685</v>
      </c>
      <c r="B6054" s="3" t="inlineStr">
        <is>
          <t>Week</t>
        </is>
      </c>
      <c r="C6054" s="19" t="n">
        <v>10</v>
      </c>
      <c r="D6054" s="19" t="n">
        <v>2027</v>
      </c>
      <c r="E6054" s="57" t="n">
        <v>6</v>
      </c>
      <c r="F6054" s="29">
        <f>ROUND(((SUMIFS(Calendar!$F$2:$F$9997,Calendar!$B$2:$B$9997,D6054,Calendar!$C$2:$C$9997,C6054)*INDEX(ForeCalc!$B$37:$Y$274,MATCH(_xlfn.CONCAT(H6054," ",I6054),ForeCalc!$A$37:$A$274,0),MATCH(_xlfn.CONCAT(B6054," ",E6054),ForeCalc!$B$36:$Y$36,0))))*VLOOKUP(A6054,Calendar!$A$2:$H$9997,8,FALSE),0)</f>
        <v/>
      </c>
      <c r="G6054" s="29">
        <f>VLOOKUP(A6054,Calendar!$A$1:$H$9997,6,FALSE)-F6054</f>
        <v/>
      </c>
      <c r="H6054" s="19" t="n">
        <v>2</v>
      </c>
      <c r="I6054" s="57" t="n">
        <v>7</v>
      </c>
    </row>
    <row r="6055">
      <c r="A6055" s="62" t="n">
        <v>46686</v>
      </c>
      <c r="B6055" s="3" t="inlineStr">
        <is>
          <t>Week</t>
        </is>
      </c>
      <c r="C6055" s="19" t="n">
        <v>10</v>
      </c>
      <c r="D6055" s="19" t="n">
        <v>2027</v>
      </c>
      <c r="E6055" s="57" t="n">
        <v>6</v>
      </c>
      <c r="F6055" s="29">
        <f>ROUND(((SUMIFS(Calendar!$F$2:$F$9997,Calendar!$B$2:$B$9997,D6055,Calendar!$C$2:$C$9997,C6055)*INDEX(ForeCalc!$B$37:$Y$274,MATCH(_xlfn.CONCAT(H6055," ",I6055),ForeCalc!$A$37:$A$274,0),MATCH(_xlfn.CONCAT(B6055," ",E6055),ForeCalc!$B$36:$Y$36,0))))*VLOOKUP(A6055,Calendar!$A$2:$H$9997,8,FALSE),0)</f>
        <v/>
      </c>
      <c r="G6055" s="29">
        <f>VLOOKUP(A6055,Calendar!$A$1:$H$9997,6,FALSE)-F6055</f>
        <v/>
      </c>
      <c r="H6055" s="19" t="n">
        <v>2</v>
      </c>
      <c r="I6055" s="57" t="n">
        <v>7</v>
      </c>
    </row>
    <row r="6056">
      <c r="A6056" s="62" t="n">
        <v>46687</v>
      </c>
      <c r="B6056" s="3" t="inlineStr">
        <is>
          <t>Week</t>
        </is>
      </c>
      <c r="C6056" s="19" t="n">
        <v>10</v>
      </c>
      <c r="D6056" s="19" t="n">
        <v>2027</v>
      </c>
      <c r="E6056" s="57" t="n">
        <v>6</v>
      </c>
      <c r="F6056" s="29">
        <f>ROUND(((SUMIFS(Calendar!$F$2:$F$9997,Calendar!$B$2:$B$9997,D6056,Calendar!$C$2:$C$9997,C6056)*INDEX(ForeCalc!$B$37:$Y$274,MATCH(_xlfn.CONCAT(H6056," ",I6056),ForeCalc!$A$37:$A$274,0),MATCH(_xlfn.CONCAT(B6056," ",E6056),ForeCalc!$B$36:$Y$36,0))))*VLOOKUP(A6056,Calendar!$A$2:$H$9997,8,FALSE),0)</f>
        <v/>
      </c>
      <c r="G6056" s="29">
        <f>VLOOKUP(A6056,Calendar!$A$1:$H$9997,6,FALSE)-F6056</f>
        <v/>
      </c>
      <c r="H6056" s="19" t="n">
        <v>2</v>
      </c>
      <c r="I6056" s="57" t="n">
        <v>7</v>
      </c>
    </row>
    <row r="6057">
      <c r="A6057" s="62" t="n">
        <v>46688</v>
      </c>
      <c r="B6057" s="3" t="inlineStr">
        <is>
          <t>Week</t>
        </is>
      </c>
      <c r="C6057" s="19" t="n">
        <v>10</v>
      </c>
      <c r="D6057" s="19" t="n">
        <v>2027</v>
      </c>
      <c r="E6057" s="57" t="n">
        <v>6</v>
      </c>
      <c r="F6057" s="29">
        <f>ROUND(((SUMIFS(Calendar!$F$2:$F$9997,Calendar!$B$2:$B$9997,D6057,Calendar!$C$2:$C$9997,C6057)*INDEX(ForeCalc!$B$37:$Y$274,MATCH(_xlfn.CONCAT(H6057," ",I6057),ForeCalc!$A$37:$A$274,0),MATCH(_xlfn.CONCAT(B6057," ",E6057),ForeCalc!$B$36:$Y$36,0))))*VLOOKUP(A6057,Calendar!$A$2:$H$9997,8,FALSE),0)</f>
        <v/>
      </c>
      <c r="G6057" s="29">
        <f>VLOOKUP(A6057,Calendar!$A$1:$H$9997,6,FALSE)-F6057</f>
        <v/>
      </c>
      <c r="H6057" s="19" t="n">
        <v>2</v>
      </c>
      <c r="I6057" s="57" t="n">
        <v>7</v>
      </c>
    </row>
    <row r="6058">
      <c r="A6058" s="62" t="n">
        <v>46689</v>
      </c>
      <c r="B6058" s="3" t="inlineStr">
        <is>
          <t>Week</t>
        </is>
      </c>
      <c r="C6058" s="19" t="n">
        <v>10</v>
      </c>
      <c r="D6058" s="19" t="n">
        <v>2027</v>
      </c>
      <c r="E6058" s="57" t="n">
        <v>6</v>
      </c>
      <c r="F6058" s="29">
        <f>ROUND(((SUMIFS(Calendar!$F$2:$F$9997,Calendar!$B$2:$B$9997,D6058,Calendar!$C$2:$C$9997,C6058)*INDEX(ForeCalc!$B$37:$Y$274,MATCH(_xlfn.CONCAT(H6058," ",I6058),ForeCalc!$A$37:$A$274,0),MATCH(_xlfn.CONCAT(B6058," ",E6058),ForeCalc!$B$36:$Y$36,0))))*VLOOKUP(A6058,Calendar!$A$2:$H$9997,8,FALSE),0)</f>
        <v/>
      </c>
      <c r="G6058" s="29">
        <f>VLOOKUP(A6058,Calendar!$A$1:$H$9997,6,FALSE)-F6058</f>
        <v/>
      </c>
      <c r="H6058" s="19" t="n">
        <v>2</v>
      </c>
      <c r="I6058" s="57" t="n">
        <v>7</v>
      </c>
    </row>
    <row r="6059">
      <c r="A6059" s="62" t="n">
        <v>46690</v>
      </c>
      <c r="B6059" s="3" t="inlineStr">
        <is>
          <t>Sat</t>
        </is>
      </c>
      <c r="C6059" s="19" t="n">
        <v>10</v>
      </c>
      <c r="D6059" s="19" t="n">
        <v>2027</v>
      </c>
      <c r="E6059" s="57" t="n">
        <v>6</v>
      </c>
      <c r="F6059" s="29">
        <f>ROUND(((SUMIFS(Calendar!$F$2:$F$9997,Calendar!$B$2:$B$9997,D6059,Calendar!$C$2:$C$9997,C6059)*INDEX(ForeCalc!$B$37:$Y$274,MATCH(_xlfn.CONCAT(H6059," ",I6059),ForeCalc!$A$37:$A$274,0),MATCH(_xlfn.CONCAT(B6059," ",E6059),ForeCalc!$B$36:$Y$36,0))))*VLOOKUP(A6059,Calendar!$A$2:$H$9997,8,FALSE),0)</f>
        <v/>
      </c>
      <c r="G6059" s="29">
        <f>VLOOKUP(A6059,Calendar!$A$1:$H$9997,6,FALSE)-F6059</f>
        <v/>
      </c>
      <c r="H6059" s="19" t="n">
        <v>2</v>
      </c>
      <c r="I6059" s="57" t="n">
        <v>7</v>
      </c>
    </row>
    <row r="6060">
      <c r="A6060" s="62" t="n">
        <v>46691</v>
      </c>
      <c r="B6060" s="3" t="inlineStr">
        <is>
          <t>Sun</t>
        </is>
      </c>
      <c r="C6060" s="19" t="n">
        <v>10</v>
      </c>
      <c r="D6060" s="19" t="n">
        <v>2027</v>
      </c>
      <c r="E6060" s="57" t="n">
        <v>6</v>
      </c>
      <c r="F6060" s="29">
        <f>ROUND(((SUMIFS(Calendar!$F$2:$F$9997,Calendar!$B$2:$B$9997,D6060,Calendar!$C$2:$C$9997,C6060)*INDEX(ForeCalc!$B$37:$Y$274,MATCH(_xlfn.CONCAT(H6060," ",I6060),ForeCalc!$A$37:$A$274,0),MATCH(_xlfn.CONCAT(B6060," ",E6060),ForeCalc!$B$36:$Y$36,0))))*VLOOKUP(A6060,Calendar!$A$2:$H$9997,8,FALSE),0)</f>
        <v/>
      </c>
      <c r="G6060" s="29">
        <f>VLOOKUP(A6060,Calendar!$A$1:$H$9997,6,FALSE)-F6060</f>
        <v/>
      </c>
      <c r="H6060" s="19" t="n">
        <v>2</v>
      </c>
      <c r="I6060" s="57" t="n">
        <v>7</v>
      </c>
    </row>
    <row r="6061">
      <c r="A6061" s="62" t="n">
        <v>46692</v>
      </c>
      <c r="B6061" s="3" t="inlineStr">
        <is>
          <t>Week</t>
        </is>
      </c>
      <c r="C6061" s="19" t="n">
        <v>11</v>
      </c>
      <c r="D6061" s="19" t="n">
        <v>2027</v>
      </c>
      <c r="E6061" s="57" t="n">
        <v>6</v>
      </c>
      <c r="F6061" s="29">
        <f>ROUND(((SUMIFS(Calendar!$F$2:$F$9997,Calendar!$B$2:$B$9997,D6061,Calendar!$C$2:$C$9997,C6061)*INDEX(ForeCalc!$B$37:$Y$274,MATCH(_xlfn.CONCAT(H6061," ",I6061),ForeCalc!$A$37:$A$274,0),MATCH(_xlfn.CONCAT(B6061," ",E6061),ForeCalc!$B$36:$Y$36,0))))*VLOOKUP(A6061,Calendar!$A$2:$H$9997,8,FALSE),0)</f>
        <v/>
      </c>
      <c r="G6061" s="29">
        <f>VLOOKUP(A6061,Calendar!$A$1:$H$9997,6,FALSE)-F6061</f>
        <v/>
      </c>
      <c r="H6061" s="19" t="n">
        <v>2</v>
      </c>
      <c r="I6061" s="57" t="n">
        <v>8</v>
      </c>
    </row>
    <row r="6062">
      <c r="A6062" s="62" t="n">
        <v>46693</v>
      </c>
      <c r="B6062" s="3" t="inlineStr">
        <is>
          <t>Week</t>
        </is>
      </c>
      <c r="C6062" s="19" t="n">
        <v>11</v>
      </c>
      <c r="D6062" s="19" t="n">
        <v>2027</v>
      </c>
      <c r="E6062" s="57" t="n">
        <v>6</v>
      </c>
      <c r="F6062" s="29">
        <f>ROUND(((SUMIFS(Calendar!$F$2:$F$9997,Calendar!$B$2:$B$9997,D6062,Calendar!$C$2:$C$9997,C6062)*INDEX(ForeCalc!$B$37:$Y$274,MATCH(_xlfn.CONCAT(H6062," ",I6062),ForeCalc!$A$37:$A$274,0),MATCH(_xlfn.CONCAT(B6062," ",E6062),ForeCalc!$B$36:$Y$36,0))))*VLOOKUP(A6062,Calendar!$A$2:$H$9997,8,FALSE),0)</f>
        <v/>
      </c>
      <c r="G6062" s="29">
        <f>VLOOKUP(A6062,Calendar!$A$1:$H$9997,6,FALSE)-F6062</f>
        <v/>
      </c>
      <c r="H6062" s="19" t="n">
        <v>2</v>
      </c>
      <c r="I6062" s="57" t="n">
        <v>8</v>
      </c>
    </row>
    <row r="6063">
      <c r="A6063" s="62" t="n">
        <v>46694</v>
      </c>
      <c r="B6063" s="3" t="inlineStr">
        <is>
          <t>Week</t>
        </is>
      </c>
      <c r="C6063" s="19" t="n">
        <v>11</v>
      </c>
      <c r="D6063" s="19" t="n">
        <v>2027</v>
      </c>
      <c r="E6063" s="57" t="n">
        <v>6</v>
      </c>
      <c r="F6063" s="29">
        <f>ROUND(((SUMIFS(Calendar!$F$2:$F$9997,Calendar!$B$2:$B$9997,D6063,Calendar!$C$2:$C$9997,C6063)*INDEX(ForeCalc!$B$37:$Y$274,MATCH(_xlfn.CONCAT(H6063," ",I6063),ForeCalc!$A$37:$A$274,0),MATCH(_xlfn.CONCAT(B6063," ",E6063),ForeCalc!$B$36:$Y$36,0))))*VLOOKUP(A6063,Calendar!$A$2:$H$9997,8,FALSE),0)</f>
        <v/>
      </c>
      <c r="G6063" s="29">
        <f>VLOOKUP(A6063,Calendar!$A$1:$H$9997,6,FALSE)-F6063</f>
        <v/>
      </c>
      <c r="H6063" s="19" t="n">
        <v>2</v>
      </c>
      <c r="I6063" s="57" t="n">
        <v>8</v>
      </c>
    </row>
    <row r="6064">
      <c r="A6064" s="62" t="n">
        <v>46695</v>
      </c>
      <c r="B6064" s="3" t="inlineStr">
        <is>
          <t>Week</t>
        </is>
      </c>
      <c r="C6064" s="19" t="n">
        <v>11</v>
      </c>
      <c r="D6064" s="19" t="n">
        <v>2027</v>
      </c>
      <c r="E6064" s="57" t="n">
        <v>6</v>
      </c>
      <c r="F6064" s="29">
        <f>ROUND(((SUMIFS(Calendar!$F$2:$F$9997,Calendar!$B$2:$B$9997,D6064,Calendar!$C$2:$C$9997,C6064)*INDEX(ForeCalc!$B$37:$Y$274,MATCH(_xlfn.CONCAT(H6064," ",I6064),ForeCalc!$A$37:$A$274,0),MATCH(_xlfn.CONCAT(B6064," ",E6064),ForeCalc!$B$36:$Y$36,0))))*VLOOKUP(A6064,Calendar!$A$2:$H$9997,8,FALSE),0)</f>
        <v/>
      </c>
      <c r="G6064" s="29">
        <f>VLOOKUP(A6064,Calendar!$A$1:$H$9997,6,FALSE)-F6064</f>
        <v/>
      </c>
      <c r="H6064" s="19" t="n">
        <v>2</v>
      </c>
      <c r="I6064" s="57" t="n">
        <v>8</v>
      </c>
    </row>
    <row r="6065">
      <c r="A6065" s="62" t="n">
        <v>46696</v>
      </c>
      <c r="B6065" s="3" t="inlineStr">
        <is>
          <t>Week</t>
        </is>
      </c>
      <c r="C6065" s="19" t="n">
        <v>11</v>
      </c>
      <c r="D6065" s="19" t="n">
        <v>2027</v>
      </c>
      <c r="E6065" s="57" t="n">
        <v>6</v>
      </c>
      <c r="F6065" s="29">
        <f>ROUND(((SUMIFS(Calendar!$F$2:$F$9997,Calendar!$B$2:$B$9997,D6065,Calendar!$C$2:$C$9997,C6065)*INDEX(ForeCalc!$B$37:$Y$274,MATCH(_xlfn.CONCAT(H6065," ",I6065),ForeCalc!$A$37:$A$274,0),MATCH(_xlfn.CONCAT(B6065," ",E6065),ForeCalc!$B$36:$Y$36,0))))*VLOOKUP(A6065,Calendar!$A$2:$H$9997,8,FALSE),0)</f>
        <v/>
      </c>
      <c r="G6065" s="29">
        <f>VLOOKUP(A6065,Calendar!$A$1:$H$9997,6,FALSE)-F6065</f>
        <v/>
      </c>
      <c r="H6065" s="19" t="n">
        <v>2</v>
      </c>
      <c r="I6065" s="57" t="n">
        <v>8</v>
      </c>
    </row>
    <row r="6066">
      <c r="A6066" s="62" t="n">
        <v>46697</v>
      </c>
      <c r="B6066" s="3" t="inlineStr">
        <is>
          <t>Sat</t>
        </is>
      </c>
      <c r="C6066" s="19" t="n">
        <v>11</v>
      </c>
      <c r="D6066" s="19" t="n">
        <v>2027</v>
      </c>
      <c r="E6066" s="57" t="n">
        <v>6</v>
      </c>
      <c r="F6066" s="29">
        <f>ROUND(((SUMIFS(Calendar!$F$2:$F$9997,Calendar!$B$2:$B$9997,D6066,Calendar!$C$2:$C$9997,C6066)*INDEX(ForeCalc!$B$37:$Y$274,MATCH(_xlfn.CONCAT(H6066," ",I6066),ForeCalc!$A$37:$A$274,0),MATCH(_xlfn.CONCAT(B6066," ",E6066),ForeCalc!$B$36:$Y$36,0))))*VLOOKUP(A6066,Calendar!$A$2:$H$9997,8,FALSE),0)</f>
        <v/>
      </c>
      <c r="G6066" s="29">
        <f>VLOOKUP(A6066,Calendar!$A$1:$H$9997,6,FALSE)-F6066</f>
        <v/>
      </c>
      <c r="H6066" s="19" t="n">
        <v>2</v>
      </c>
      <c r="I6066" s="57" t="n">
        <v>8</v>
      </c>
    </row>
    <row r="6067">
      <c r="A6067" s="62" t="n">
        <v>46698</v>
      </c>
      <c r="B6067" s="3" t="inlineStr">
        <is>
          <t>Sun</t>
        </is>
      </c>
      <c r="C6067" s="19" t="n">
        <v>11</v>
      </c>
      <c r="D6067" s="19" t="n">
        <v>2027</v>
      </c>
      <c r="E6067" s="57" t="n">
        <v>6</v>
      </c>
      <c r="F6067" s="29">
        <f>ROUND(((SUMIFS(Calendar!$F$2:$F$9997,Calendar!$B$2:$B$9997,D6067,Calendar!$C$2:$C$9997,C6067)*INDEX(ForeCalc!$B$37:$Y$274,MATCH(_xlfn.CONCAT(H6067," ",I6067),ForeCalc!$A$37:$A$274,0),MATCH(_xlfn.CONCAT(B6067," ",E6067),ForeCalc!$B$36:$Y$36,0))))*VLOOKUP(A6067,Calendar!$A$2:$H$9997,8,FALSE),0)</f>
        <v/>
      </c>
      <c r="G6067" s="29">
        <f>VLOOKUP(A6067,Calendar!$A$1:$H$9997,6,FALSE)-F6067</f>
        <v/>
      </c>
      <c r="H6067" s="19" t="n">
        <v>2</v>
      </c>
      <c r="I6067" s="57" t="n">
        <v>8</v>
      </c>
    </row>
    <row r="6068">
      <c r="A6068" s="62" t="n">
        <v>46699</v>
      </c>
      <c r="B6068" s="3" t="inlineStr">
        <is>
          <t>Week</t>
        </is>
      </c>
      <c r="C6068" s="19" t="n">
        <v>11</v>
      </c>
      <c r="D6068" s="19" t="n">
        <v>2027</v>
      </c>
      <c r="E6068" s="57" t="n">
        <v>6</v>
      </c>
      <c r="F6068" s="29">
        <f>ROUND(((SUMIFS(Calendar!$F$2:$F$9997,Calendar!$B$2:$B$9997,D6068,Calendar!$C$2:$C$9997,C6068)*INDEX(ForeCalc!$B$37:$Y$274,MATCH(_xlfn.CONCAT(H6068," ",I6068),ForeCalc!$A$37:$A$274,0),MATCH(_xlfn.CONCAT(B6068," ",E6068),ForeCalc!$B$36:$Y$36,0))))*VLOOKUP(A6068,Calendar!$A$2:$H$9997,8,FALSE),0)</f>
        <v/>
      </c>
      <c r="G6068" s="29">
        <f>VLOOKUP(A6068,Calendar!$A$1:$H$9997,6,FALSE)-F6068</f>
        <v/>
      </c>
      <c r="H6068" s="19" t="n">
        <v>2</v>
      </c>
      <c r="I6068" s="57" t="n">
        <v>8</v>
      </c>
    </row>
    <row r="6069">
      <c r="A6069" s="62" t="n">
        <v>46700</v>
      </c>
      <c r="B6069" s="3" t="inlineStr">
        <is>
          <t>Week</t>
        </is>
      </c>
      <c r="C6069" s="19" t="n">
        <v>11</v>
      </c>
      <c r="D6069" s="19" t="n">
        <v>2027</v>
      </c>
      <c r="E6069" s="57" t="n">
        <v>6</v>
      </c>
      <c r="F6069" s="29">
        <f>ROUND(((SUMIFS(Calendar!$F$2:$F$9997,Calendar!$B$2:$B$9997,D6069,Calendar!$C$2:$C$9997,C6069)*INDEX(ForeCalc!$B$37:$Y$274,MATCH(_xlfn.CONCAT(H6069," ",I6069),ForeCalc!$A$37:$A$274,0),MATCH(_xlfn.CONCAT(B6069," ",E6069),ForeCalc!$B$36:$Y$36,0))))*VLOOKUP(A6069,Calendar!$A$2:$H$9997,8,FALSE),0)</f>
        <v/>
      </c>
      <c r="G6069" s="29">
        <f>VLOOKUP(A6069,Calendar!$A$1:$H$9997,6,FALSE)-F6069</f>
        <v/>
      </c>
      <c r="H6069" s="19" t="n">
        <v>2</v>
      </c>
      <c r="I6069" s="57" t="n">
        <v>8</v>
      </c>
    </row>
    <row r="6070">
      <c r="A6070" s="62" t="n">
        <v>46701</v>
      </c>
      <c r="B6070" s="3" t="inlineStr">
        <is>
          <t>Week</t>
        </is>
      </c>
      <c r="C6070" s="19" t="n">
        <v>11</v>
      </c>
      <c r="D6070" s="19" t="n">
        <v>2027</v>
      </c>
      <c r="E6070" s="57" t="n">
        <v>6</v>
      </c>
      <c r="F6070" s="29">
        <f>ROUND(((SUMIFS(Calendar!$F$2:$F$9997,Calendar!$B$2:$B$9997,D6070,Calendar!$C$2:$C$9997,C6070)*INDEX(ForeCalc!$B$37:$Y$274,MATCH(_xlfn.CONCAT(H6070," ",I6070),ForeCalc!$A$37:$A$274,0),MATCH(_xlfn.CONCAT(B6070," ",E6070),ForeCalc!$B$36:$Y$36,0))))*VLOOKUP(A6070,Calendar!$A$2:$H$9997,8,FALSE),0)</f>
        <v/>
      </c>
      <c r="G6070" s="29">
        <f>VLOOKUP(A6070,Calendar!$A$1:$H$9997,6,FALSE)-F6070</f>
        <v/>
      </c>
      <c r="H6070" s="19" t="n">
        <v>2</v>
      </c>
      <c r="I6070" s="57" t="n">
        <v>8</v>
      </c>
    </row>
    <row r="6071">
      <c r="A6071" s="62" t="n">
        <v>46702</v>
      </c>
      <c r="B6071" s="3" t="inlineStr">
        <is>
          <t>Week</t>
        </is>
      </c>
      <c r="C6071" s="19" t="n">
        <v>11</v>
      </c>
      <c r="D6071" s="19" t="n">
        <v>2027</v>
      </c>
      <c r="E6071" s="57" t="n">
        <v>6</v>
      </c>
      <c r="F6071" s="29">
        <f>ROUND(((SUMIFS(Calendar!$F$2:$F$9997,Calendar!$B$2:$B$9997,D6071,Calendar!$C$2:$C$9997,C6071)*INDEX(ForeCalc!$B$37:$Y$274,MATCH(_xlfn.CONCAT(H6071," ",I6071),ForeCalc!$A$37:$A$274,0),MATCH(_xlfn.CONCAT(B6071," ",E6071),ForeCalc!$B$36:$Y$36,0))))*VLOOKUP(A6071,Calendar!$A$2:$H$9997,8,FALSE),0)</f>
        <v/>
      </c>
      <c r="G6071" s="29">
        <f>VLOOKUP(A6071,Calendar!$A$1:$H$9997,6,FALSE)-F6071</f>
        <v/>
      </c>
      <c r="H6071" s="19" t="n">
        <v>2</v>
      </c>
      <c r="I6071" s="57" t="n">
        <v>8</v>
      </c>
    </row>
    <row r="6072">
      <c r="A6072" s="62" t="n">
        <v>46703</v>
      </c>
      <c r="B6072" s="3" t="inlineStr">
        <is>
          <t>Week</t>
        </is>
      </c>
      <c r="C6072" s="19" t="n">
        <v>11</v>
      </c>
      <c r="D6072" s="19" t="n">
        <v>2027</v>
      </c>
      <c r="E6072" s="57" t="n">
        <v>6</v>
      </c>
      <c r="F6072" s="29">
        <f>ROUND(((SUMIFS(Calendar!$F$2:$F$9997,Calendar!$B$2:$B$9997,D6072,Calendar!$C$2:$C$9997,C6072)*INDEX(ForeCalc!$B$37:$Y$274,MATCH(_xlfn.CONCAT(H6072," ",I6072),ForeCalc!$A$37:$A$274,0),MATCH(_xlfn.CONCAT(B6072," ",E6072),ForeCalc!$B$36:$Y$36,0))))*VLOOKUP(A6072,Calendar!$A$2:$H$9997,8,FALSE),0)</f>
        <v/>
      </c>
      <c r="G6072" s="29">
        <f>VLOOKUP(A6072,Calendar!$A$1:$H$9997,6,FALSE)-F6072</f>
        <v/>
      </c>
      <c r="H6072" s="19" t="n">
        <v>2</v>
      </c>
      <c r="I6072" s="57" t="n">
        <v>8</v>
      </c>
    </row>
    <row r="6073">
      <c r="A6073" s="62" t="n">
        <v>46704</v>
      </c>
      <c r="B6073" s="3" t="inlineStr">
        <is>
          <t>Sat</t>
        </is>
      </c>
      <c r="C6073" s="19" t="n">
        <v>11</v>
      </c>
      <c r="D6073" s="19" t="n">
        <v>2027</v>
      </c>
      <c r="E6073" s="57" t="n">
        <v>6</v>
      </c>
      <c r="F6073" s="29">
        <f>ROUND(((SUMIFS(Calendar!$F$2:$F$9997,Calendar!$B$2:$B$9997,D6073,Calendar!$C$2:$C$9997,C6073)*INDEX(ForeCalc!$B$37:$Y$274,MATCH(_xlfn.CONCAT(H6073," ",I6073),ForeCalc!$A$37:$A$274,0),MATCH(_xlfn.CONCAT(B6073," ",E6073),ForeCalc!$B$36:$Y$36,0))))*VLOOKUP(A6073,Calendar!$A$2:$H$9997,8,FALSE),0)</f>
        <v/>
      </c>
      <c r="G6073" s="29">
        <f>VLOOKUP(A6073,Calendar!$A$1:$H$9997,6,FALSE)-F6073</f>
        <v/>
      </c>
      <c r="H6073" s="19" t="n">
        <v>2</v>
      </c>
      <c r="I6073" s="57" t="n">
        <v>8</v>
      </c>
    </row>
    <row r="6074">
      <c r="A6074" s="62" t="n">
        <v>46705</v>
      </c>
      <c r="B6074" s="3" t="inlineStr">
        <is>
          <t>Sun</t>
        </is>
      </c>
      <c r="C6074" s="19" t="n">
        <v>11</v>
      </c>
      <c r="D6074" s="19" t="n">
        <v>2027</v>
      </c>
      <c r="E6074" s="57" t="n">
        <v>6</v>
      </c>
      <c r="F6074" s="29">
        <f>ROUND(((SUMIFS(Calendar!$F$2:$F$9997,Calendar!$B$2:$B$9997,D6074,Calendar!$C$2:$C$9997,C6074)*INDEX(ForeCalc!$B$37:$Y$274,MATCH(_xlfn.CONCAT(H6074," ",I6074),ForeCalc!$A$37:$A$274,0),MATCH(_xlfn.CONCAT(B6074," ",E6074),ForeCalc!$B$36:$Y$36,0))))*VLOOKUP(A6074,Calendar!$A$2:$H$9997,8,FALSE),0)</f>
        <v/>
      </c>
      <c r="G6074" s="29">
        <f>VLOOKUP(A6074,Calendar!$A$1:$H$9997,6,FALSE)-F6074</f>
        <v/>
      </c>
      <c r="H6074" s="19" t="n">
        <v>2</v>
      </c>
      <c r="I6074" s="57" t="n">
        <v>8</v>
      </c>
    </row>
    <row r="6075">
      <c r="A6075" s="62" t="n">
        <v>46706</v>
      </c>
      <c r="B6075" s="3" t="inlineStr">
        <is>
          <t>Week</t>
        </is>
      </c>
      <c r="C6075" s="19" t="n">
        <v>11</v>
      </c>
      <c r="D6075" s="19" t="n">
        <v>2027</v>
      </c>
      <c r="E6075" s="57" t="n">
        <v>6</v>
      </c>
      <c r="F6075" s="29">
        <f>ROUND(((SUMIFS(Calendar!$F$2:$F$9997,Calendar!$B$2:$B$9997,D6075,Calendar!$C$2:$C$9997,C6075)*INDEX(ForeCalc!$B$37:$Y$274,MATCH(_xlfn.CONCAT(H6075," ",I6075),ForeCalc!$A$37:$A$274,0),MATCH(_xlfn.CONCAT(B6075," ",E6075),ForeCalc!$B$36:$Y$36,0))))*VLOOKUP(A6075,Calendar!$A$2:$H$9997,8,FALSE),0)</f>
        <v/>
      </c>
      <c r="G6075" s="29">
        <f>VLOOKUP(A6075,Calendar!$A$1:$H$9997,6,FALSE)-F6075</f>
        <v/>
      </c>
      <c r="H6075" s="19" t="n">
        <v>2</v>
      </c>
      <c r="I6075" s="57" t="n">
        <v>8</v>
      </c>
    </row>
    <row r="6076">
      <c r="A6076" s="62" t="n">
        <v>46707</v>
      </c>
      <c r="B6076" s="3" t="inlineStr">
        <is>
          <t>Week</t>
        </is>
      </c>
      <c r="C6076" s="19" t="n">
        <v>11</v>
      </c>
      <c r="D6076" s="19" t="n">
        <v>2027</v>
      </c>
      <c r="E6076" s="57" t="n">
        <v>6</v>
      </c>
      <c r="F6076" s="29">
        <f>ROUND(((SUMIFS(Calendar!$F$2:$F$9997,Calendar!$B$2:$B$9997,D6076,Calendar!$C$2:$C$9997,C6076)*INDEX(ForeCalc!$B$37:$Y$274,MATCH(_xlfn.CONCAT(H6076," ",I6076),ForeCalc!$A$37:$A$274,0),MATCH(_xlfn.CONCAT(B6076," ",E6076),ForeCalc!$B$36:$Y$36,0))))*VLOOKUP(A6076,Calendar!$A$2:$H$9997,8,FALSE),0)</f>
        <v/>
      </c>
      <c r="G6076" s="29">
        <f>VLOOKUP(A6076,Calendar!$A$1:$H$9997,6,FALSE)-F6076</f>
        <v/>
      </c>
      <c r="H6076" s="19" t="n">
        <v>2</v>
      </c>
      <c r="I6076" s="57" t="n">
        <v>8</v>
      </c>
    </row>
    <row r="6077">
      <c r="A6077" s="62" t="n">
        <v>46708</v>
      </c>
      <c r="B6077" s="3" t="inlineStr">
        <is>
          <t>Week</t>
        </is>
      </c>
      <c r="C6077" s="19" t="n">
        <v>11</v>
      </c>
      <c r="D6077" s="19" t="n">
        <v>2027</v>
      </c>
      <c r="E6077" s="57" t="n">
        <v>6</v>
      </c>
      <c r="F6077" s="29">
        <f>ROUND(((SUMIFS(Calendar!$F$2:$F$9997,Calendar!$B$2:$B$9997,D6077,Calendar!$C$2:$C$9997,C6077)*INDEX(ForeCalc!$B$37:$Y$274,MATCH(_xlfn.CONCAT(H6077," ",I6077),ForeCalc!$A$37:$A$274,0),MATCH(_xlfn.CONCAT(B6077," ",E6077),ForeCalc!$B$36:$Y$36,0))))*VLOOKUP(A6077,Calendar!$A$2:$H$9997,8,FALSE),0)</f>
        <v/>
      </c>
      <c r="G6077" s="29">
        <f>VLOOKUP(A6077,Calendar!$A$1:$H$9997,6,FALSE)-F6077</f>
        <v/>
      </c>
      <c r="H6077" s="19" t="n">
        <v>2</v>
      </c>
      <c r="I6077" s="57" t="n">
        <v>8</v>
      </c>
    </row>
    <row r="6078">
      <c r="A6078" s="62" t="n">
        <v>46709</v>
      </c>
      <c r="B6078" s="3" t="inlineStr">
        <is>
          <t>Week</t>
        </is>
      </c>
      <c r="C6078" s="19" t="n">
        <v>11</v>
      </c>
      <c r="D6078" s="19" t="n">
        <v>2027</v>
      </c>
      <c r="E6078" s="57" t="n">
        <v>6</v>
      </c>
      <c r="F6078" s="29">
        <f>ROUND(((SUMIFS(Calendar!$F$2:$F$9997,Calendar!$B$2:$B$9997,D6078,Calendar!$C$2:$C$9997,C6078)*INDEX(ForeCalc!$B$37:$Y$274,MATCH(_xlfn.CONCAT(H6078," ",I6078),ForeCalc!$A$37:$A$274,0),MATCH(_xlfn.CONCAT(B6078," ",E6078),ForeCalc!$B$36:$Y$36,0))))*VLOOKUP(A6078,Calendar!$A$2:$H$9997,8,FALSE),0)</f>
        <v/>
      </c>
      <c r="G6078" s="29">
        <f>VLOOKUP(A6078,Calendar!$A$1:$H$9997,6,FALSE)-F6078</f>
        <v/>
      </c>
      <c r="H6078" s="19" t="n">
        <v>2</v>
      </c>
      <c r="I6078" s="57" t="n">
        <v>8</v>
      </c>
    </row>
    <row r="6079">
      <c r="A6079" s="62" t="n">
        <v>46710</v>
      </c>
      <c r="B6079" s="3" t="inlineStr">
        <is>
          <t>Week</t>
        </is>
      </c>
      <c r="C6079" s="19" t="n">
        <v>11</v>
      </c>
      <c r="D6079" s="19" t="n">
        <v>2027</v>
      </c>
      <c r="E6079" s="57" t="n">
        <v>6</v>
      </c>
      <c r="F6079" s="29">
        <f>ROUND(((SUMIFS(Calendar!$F$2:$F$9997,Calendar!$B$2:$B$9997,D6079,Calendar!$C$2:$C$9997,C6079)*INDEX(ForeCalc!$B$37:$Y$274,MATCH(_xlfn.CONCAT(H6079," ",I6079),ForeCalc!$A$37:$A$274,0),MATCH(_xlfn.CONCAT(B6079," ",E6079),ForeCalc!$B$36:$Y$36,0))))*VLOOKUP(A6079,Calendar!$A$2:$H$9997,8,FALSE),0)</f>
        <v/>
      </c>
      <c r="G6079" s="29">
        <f>VLOOKUP(A6079,Calendar!$A$1:$H$9997,6,FALSE)-F6079</f>
        <v/>
      </c>
      <c r="H6079" s="19" t="n">
        <v>2</v>
      </c>
      <c r="I6079" s="57" t="n">
        <v>8</v>
      </c>
    </row>
    <row r="6080">
      <c r="A6080" s="62" t="n">
        <v>46711</v>
      </c>
      <c r="B6080" s="3" t="inlineStr">
        <is>
          <t>Sat</t>
        </is>
      </c>
      <c r="C6080" s="19" t="n">
        <v>11</v>
      </c>
      <c r="D6080" s="19" t="n">
        <v>2027</v>
      </c>
      <c r="E6080" s="57" t="n">
        <v>6</v>
      </c>
      <c r="F6080" s="29">
        <f>ROUND(((SUMIFS(Calendar!$F$2:$F$9997,Calendar!$B$2:$B$9997,D6080,Calendar!$C$2:$C$9997,C6080)*INDEX(ForeCalc!$B$37:$Y$274,MATCH(_xlfn.CONCAT(H6080," ",I6080),ForeCalc!$A$37:$A$274,0),MATCH(_xlfn.CONCAT(B6080," ",E6080),ForeCalc!$B$36:$Y$36,0))))*VLOOKUP(A6080,Calendar!$A$2:$H$9997,8,FALSE),0)</f>
        <v/>
      </c>
      <c r="G6080" s="29">
        <f>VLOOKUP(A6080,Calendar!$A$1:$H$9997,6,FALSE)-F6080</f>
        <v/>
      </c>
      <c r="H6080" s="19" t="n">
        <v>2</v>
      </c>
      <c r="I6080" s="57" t="n">
        <v>8</v>
      </c>
    </row>
    <row r="6081">
      <c r="A6081" s="62" t="n">
        <v>46712</v>
      </c>
      <c r="B6081" s="3" t="inlineStr">
        <is>
          <t>Sun</t>
        </is>
      </c>
      <c r="C6081" s="19" t="n">
        <v>11</v>
      </c>
      <c r="D6081" s="19" t="n">
        <v>2027</v>
      </c>
      <c r="E6081" s="57" t="n">
        <v>6</v>
      </c>
      <c r="F6081" s="29">
        <f>ROUND(((SUMIFS(Calendar!$F$2:$F$9997,Calendar!$B$2:$B$9997,D6081,Calendar!$C$2:$C$9997,C6081)*INDEX(ForeCalc!$B$37:$Y$274,MATCH(_xlfn.CONCAT(H6081," ",I6081),ForeCalc!$A$37:$A$274,0),MATCH(_xlfn.CONCAT(B6081," ",E6081),ForeCalc!$B$36:$Y$36,0))))*VLOOKUP(A6081,Calendar!$A$2:$H$9997,8,FALSE),0)</f>
        <v/>
      </c>
      <c r="G6081" s="29">
        <f>VLOOKUP(A6081,Calendar!$A$1:$H$9997,6,FALSE)-F6081</f>
        <v/>
      </c>
      <c r="H6081" s="19" t="n">
        <v>2</v>
      </c>
      <c r="I6081" s="57" t="n">
        <v>8</v>
      </c>
    </row>
    <row r="6082">
      <c r="A6082" s="62" t="n">
        <v>46713</v>
      </c>
      <c r="B6082" s="3" t="inlineStr">
        <is>
          <t>Week</t>
        </is>
      </c>
      <c r="C6082" s="19" t="n">
        <v>11</v>
      </c>
      <c r="D6082" s="19" t="n">
        <v>2027</v>
      </c>
      <c r="E6082" s="57" t="n">
        <v>6</v>
      </c>
      <c r="F6082" s="29">
        <f>ROUND(((SUMIFS(Calendar!$F$2:$F$9997,Calendar!$B$2:$B$9997,D6082,Calendar!$C$2:$C$9997,C6082)*INDEX(ForeCalc!$B$37:$Y$274,MATCH(_xlfn.CONCAT(H6082," ",I6082),ForeCalc!$A$37:$A$274,0),MATCH(_xlfn.CONCAT(B6082," ",E6082),ForeCalc!$B$36:$Y$36,0))))*VLOOKUP(A6082,Calendar!$A$2:$H$9997,8,FALSE),0)</f>
        <v/>
      </c>
      <c r="G6082" s="29">
        <f>VLOOKUP(A6082,Calendar!$A$1:$H$9997,6,FALSE)-F6082</f>
        <v/>
      </c>
      <c r="H6082" s="19" t="n">
        <v>2</v>
      </c>
      <c r="I6082" s="57" t="n">
        <v>8</v>
      </c>
    </row>
    <row r="6083">
      <c r="A6083" s="62" t="n">
        <v>46714</v>
      </c>
      <c r="B6083" s="3" t="inlineStr">
        <is>
          <t>Week</t>
        </is>
      </c>
      <c r="C6083" s="19" t="n">
        <v>11</v>
      </c>
      <c r="D6083" s="19" t="n">
        <v>2027</v>
      </c>
      <c r="E6083" s="57" t="n">
        <v>6</v>
      </c>
      <c r="F6083" s="29">
        <f>ROUND(((SUMIFS(Calendar!$F$2:$F$9997,Calendar!$B$2:$B$9997,D6083,Calendar!$C$2:$C$9997,C6083)*INDEX(ForeCalc!$B$37:$Y$274,MATCH(_xlfn.CONCAT(H6083," ",I6083),ForeCalc!$A$37:$A$274,0),MATCH(_xlfn.CONCAT(B6083," ",E6083),ForeCalc!$B$36:$Y$36,0))))*VLOOKUP(A6083,Calendar!$A$2:$H$9997,8,FALSE),0)</f>
        <v/>
      </c>
      <c r="G6083" s="29">
        <f>VLOOKUP(A6083,Calendar!$A$1:$H$9997,6,FALSE)-F6083</f>
        <v/>
      </c>
      <c r="H6083" s="19" t="n">
        <v>2</v>
      </c>
      <c r="I6083" s="57" t="n">
        <v>8</v>
      </c>
    </row>
    <row r="6084">
      <c r="A6084" s="62" t="n">
        <v>46715</v>
      </c>
      <c r="B6084" s="3" t="inlineStr">
        <is>
          <t>Week</t>
        </is>
      </c>
      <c r="C6084" s="19" t="n">
        <v>11</v>
      </c>
      <c r="D6084" s="19" t="n">
        <v>2027</v>
      </c>
      <c r="E6084" s="57" t="n">
        <v>6</v>
      </c>
      <c r="F6084" s="29">
        <f>ROUND(((SUMIFS(Calendar!$F$2:$F$9997,Calendar!$B$2:$B$9997,D6084,Calendar!$C$2:$C$9997,C6084)*INDEX(ForeCalc!$B$37:$Y$274,MATCH(_xlfn.CONCAT(H6084," ",I6084),ForeCalc!$A$37:$A$274,0),MATCH(_xlfn.CONCAT(B6084," ",E6084),ForeCalc!$B$36:$Y$36,0))))*VLOOKUP(A6084,Calendar!$A$2:$H$9997,8,FALSE),0)</f>
        <v/>
      </c>
      <c r="G6084" s="29">
        <f>VLOOKUP(A6084,Calendar!$A$1:$H$9997,6,FALSE)-F6084</f>
        <v/>
      </c>
      <c r="H6084" s="19" t="n">
        <v>2</v>
      </c>
      <c r="I6084" s="57" t="n">
        <v>8</v>
      </c>
    </row>
    <row r="6085">
      <c r="A6085" s="62" t="n">
        <v>46716</v>
      </c>
      <c r="B6085" s="3" t="inlineStr">
        <is>
          <t>Week</t>
        </is>
      </c>
      <c r="C6085" s="19" t="n">
        <v>11</v>
      </c>
      <c r="D6085" s="19" t="n">
        <v>2027</v>
      </c>
      <c r="E6085" s="57" t="n">
        <v>6</v>
      </c>
      <c r="F6085" s="29">
        <f>ROUND(((SUMIFS(Calendar!$F$2:$F$9997,Calendar!$B$2:$B$9997,D6085,Calendar!$C$2:$C$9997,C6085)*INDEX(ForeCalc!$B$37:$Y$274,MATCH(_xlfn.CONCAT(H6085," ",I6085),ForeCalc!$A$37:$A$274,0),MATCH(_xlfn.CONCAT(B6085," ",E6085),ForeCalc!$B$36:$Y$36,0))))*VLOOKUP(A6085,Calendar!$A$2:$H$9997,8,FALSE),0)</f>
        <v/>
      </c>
      <c r="G6085" s="29">
        <f>VLOOKUP(A6085,Calendar!$A$1:$H$9997,6,FALSE)-F6085</f>
        <v/>
      </c>
      <c r="H6085" s="19" t="n">
        <v>2</v>
      </c>
      <c r="I6085" s="57" t="n">
        <v>8</v>
      </c>
    </row>
    <row r="6086">
      <c r="A6086" s="62" t="n">
        <v>46717</v>
      </c>
      <c r="B6086" s="3" t="inlineStr">
        <is>
          <t>Week</t>
        </is>
      </c>
      <c r="C6086" s="19" t="n">
        <v>11</v>
      </c>
      <c r="D6086" s="19" t="n">
        <v>2027</v>
      </c>
      <c r="E6086" s="57" t="n">
        <v>6</v>
      </c>
      <c r="F6086" s="29">
        <f>ROUND(((SUMIFS(Calendar!$F$2:$F$9997,Calendar!$B$2:$B$9997,D6086,Calendar!$C$2:$C$9997,C6086)*INDEX(ForeCalc!$B$37:$Y$274,MATCH(_xlfn.CONCAT(H6086," ",I6086),ForeCalc!$A$37:$A$274,0),MATCH(_xlfn.CONCAT(B6086," ",E6086),ForeCalc!$B$36:$Y$36,0))))*VLOOKUP(A6086,Calendar!$A$2:$H$9997,8,FALSE),0)</f>
        <v/>
      </c>
      <c r="G6086" s="29">
        <f>VLOOKUP(A6086,Calendar!$A$1:$H$9997,6,FALSE)-F6086</f>
        <v/>
      </c>
      <c r="H6086" s="19" t="n">
        <v>2</v>
      </c>
      <c r="I6086" s="57" t="n">
        <v>8</v>
      </c>
    </row>
    <row r="6087">
      <c r="A6087" s="62" t="n">
        <v>46718</v>
      </c>
      <c r="B6087" s="3" t="inlineStr">
        <is>
          <t>Sat</t>
        </is>
      </c>
      <c r="C6087" s="19" t="n">
        <v>11</v>
      </c>
      <c r="D6087" s="19" t="n">
        <v>2027</v>
      </c>
      <c r="E6087" s="57" t="n">
        <v>6</v>
      </c>
      <c r="F6087" s="29">
        <f>ROUND(((SUMIFS(Calendar!$F$2:$F$9997,Calendar!$B$2:$B$9997,D6087,Calendar!$C$2:$C$9997,C6087)*INDEX(ForeCalc!$B$37:$Y$274,MATCH(_xlfn.CONCAT(H6087," ",I6087),ForeCalc!$A$37:$A$274,0),MATCH(_xlfn.CONCAT(B6087," ",E6087),ForeCalc!$B$36:$Y$36,0))))*VLOOKUP(A6087,Calendar!$A$2:$H$9997,8,FALSE),0)</f>
        <v/>
      </c>
      <c r="G6087" s="29">
        <f>VLOOKUP(A6087,Calendar!$A$1:$H$9997,6,FALSE)-F6087</f>
        <v/>
      </c>
      <c r="H6087" s="19" t="n">
        <v>2</v>
      </c>
      <c r="I6087" s="57" t="n">
        <v>8</v>
      </c>
    </row>
    <row r="6088">
      <c r="A6088" s="62" t="n">
        <v>46719</v>
      </c>
      <c r="B6088" s="3" t="inlineStr">
        <is>
          <t>Sun</t>
        </is>
      </c>
      <c r="C6088" s="19" t="n">
        <v>11</v>
      </c>
      <c r="D6088" s="19" t="n">
        <v>2027</v>
      </c>
      <c r="E6088" s="57" t="n">
        <v>6</v>
      </c>
      <c r="F6088" s="29">
        <f>ROUND(((SUMIFS(Calendar!$F$2:$F$9997,Calendar!$B$2:$B$9997,D6088,Calendar!$C$2:$C$9997,C6088)*INDEX(ForeCalc!$B$37:$Y$274,MATCH(_xlfn.CONCAT(H6088," ",I6088),ForeCalc!$A$37:$A$274,0),MATCH(_xlfn.CONCAT(B6088," ",E6088),ForeCalc!$B$36:$Y$36,0))))*VLOOKUP(A6088,Calendar!$A$2:$H$9997,8,FALSE),0)</f>
        <v/>
      </c>
      <c r="G6088" s="29">
        <f>VLOOKUP(A6088,Calendar!$A$1:$H$9997,6,FALSE)-F6088</f>
        <v/>
      </c>
      <c r="H6088" s="19" t="n">
        <v>2</v>
      </c>
      <c r="I6088" s="57" t="n">
        <v>8</v>
      </c>
    </row>
    <row r="6089">
      <c r="A6089" s="62" t="n">
        <v>46720</v>
      </c>
      <c r="B6089" s="3" t="inlineStr">
        <is>
          <t>Week</t>
        </is>
      </c>
      <c r="C6089" s="19" t="n">
        <v>11</v>
      </c>
      <c r="D6089" s="19" t="n">
        <v>2027</v>
      </c>
      <c r="E6089" s="57" t="n">
        <v>6</v>
      </c>
      <c r="F6089" s="29">
        <f>ROUND(((SUMIFS(Calendar!$F$2:$F$9997,Calendar!$B$2:$B$9997,D6089,Calendar!$C$2:$C$9997,C6089)*INDEX(ForeCalc!$B$37:$Y$274,MATCH(_xlfn.CONCAT(H6089," ",I6089),ForeCalc!$A$37:$A$274,0),MATCH(_xlfn.CONCAT(B6089," ",E6089),ForeCalc!$B$36:$Y$36,0))))*VLOOKUP(A6089,Calendar!$A$2:$H$9997,8,FALSE),0)</f>
        <v/>
      </c>
      <c r="G6089" s="29">
        <f>VLOOKUP(A6089,Calendar!$A$1:$H$9997,6,FALSE)-F6089</f>
        <v/>
      </c>
      <c r="H6089" s="19" t="n">
        <v>2</v>
      </c>
      <c r="I6089" s="57" t="n">
        <v>8</v>
      </c>
    </row>
    <row r="6090">
      <c r="A6090" s="62" t="n">
        <v>46721</v>
      </c>
      <c r="B6090" s="3" t="inlineStr">
        <is>
          <t>Week</t>
        </is>
      </c>
      <c r="C6090" s="19" t="n">
        <v>11</v>
      </c>
      <c r="D6090" s="19" t="n">
        <v>2027</v>
      </c>
      <c r="E6090" s="57" t="n">
        <v>6</v>
      </c>
      <c r="F6090" s="29">
        <f>ROUND(((SUMIFS(Calendar!$F$2:$F$9997,Calendar!$B$2:$B$9997,D6090,Calendar!$C$2:$C$9997,C6090)*INDEX(ForeCalc!$B$37:$Y$274,MATCH(_xlfn.CONCAT(H6090," ",I6090),ForeCalc!$A$37:$A$274,0),MATCH(_xlfn.CONCAT(B6090," ",E6090),ForeCalc!$B$36:$Y$36,0))))*VLOOKUP(A6090,Calendar!$A$2:$H$9997,8,FALSE),0)</f>
        <v/>
      </c>
      <c r="G6090" s="29">
        <f>VLOOKUP(A6090,Calendar!$A$1:$H$9997,6,FALSE)-F6090</f>
        <v/>
      </c>
      <c r="H6090" s="19" t="n">
        <v>2</v>
      </c>
      <c r="I6090" s="57" t="n">
        <v>8</v>
      </c>
    </row>
    <row r="6091">
      <c r="A6091" s="62" t="n">
        <v>46722</v>
      </c>
      <c r="B6091" s="3" t="inlineStr">
        <is>
          <t>Week</t>
        </is>
      </c>
      <c r="C6091" s="19" t="n">
        <v>12</v>
      </c>
      <c r="D6091" s="19" t="n">
        <v>2027</v>
      </c>
      <c r="E6091" s="57" t="n">
        <v>6</v>
      </c>
      <c r="F6091" s="29">
        <f>ROUND(((SUMIFS(Calendar!$F$2:$F$9997,Calendar!$B$2:$B$9997,D6091,Calendar!$C$2:$C$9997,C6091)*INDEX(ForeCalc!$B$37:$Y$274,MATCH(_xlfn.CONCAT(H6091," ",I6091),ForeCalc!$A$37:$A$274,0),MATCH(_xlfn.CONCAT(B6091," ",E6091),ForeCalc!$B$36:$Y$36,0))))*VLOOKUP(A6091,Calendar!$A$2:$H$9997,8,FALSE),0)</f>
        <v/>
      </c>
      <c r="G6091" s="29">
        <f>VLOOKUP(A6091,Calendar!$A$1:$H$9997,6,FALSE)-F6091</f>
        <v/>
      </c>
      <c r="H6091" s="19" t="n">
        <v>2</v>
      </c>
      <c r="I6091" s="57" t="n">
        <v>9</v>
      </c>
    </row>
    <row r="6092">
      <c r="A6092" s="62" t="n">
        <v>46723</v>
      </c>
      <c r="B6092" s="3" t="inlineStr">
        <is>
          <t>Week</t>
        </is>
      </c>
      <c r="C6092" s="19" t="n">
        <v>12</v>
      </c>
      <c r="D6092" s="19" t="n">
        <v>2027</v>
      </c>
      <c r="E6092" s="57" t="n">
        <v>6</v>
      </c>
      <c r="F6092" s="29">
        <f>ROUND(((SUMIFS(Calendar!$F$2:$F$9997,Calendar!$B$2:$B$9997,D6092,Calendar!$C$2:$C$9997,C6092)*INDEX(ForeCalc!$B$37:$Y$274,MATCH(_xlfn.CONCAT(H6092," ",I6092),ForeCalc!$A$37:$A$274,0),MATCH(_xlfn.CONCAT(B6092," ",E6092),ForeCalc!$B$36:$Y$36,0))))*VLOOKUP(A6092,Calendar!$A$2:$H$9997,8,FALSE),0)</f>
        <v/>
      </c>
      <c r="G6092" s="29">
        <f>VLOOKUP(A6092,Calendar!$A$1:$H$9997,6,FALSE)-F6092</f>
        <v/>
      </c>
      <c r="H6092" s="19" t="n">
        <v>2</v>
      </c>
      <c r="I6092" s="57" t="n">
        <v>9</v>
      </c>
    </row>
    <row r="6093">
      <c r="A6093" s="62" t="n">
        <v>46724</v>
      </c>
      <c r="B6093" s="3" t="inlineStr">
        <is>
          <t>Week</t>
        </is>
      </c>
      <c r="C6093" s="19" t="n">
        <v>12</v>
      </c>
      <c r="D6093" s="19" t="n">
        <v>2027</v>
      </c>
      <c r="E6093" s="57" t="n">
        <v>6</v>
      </c>
      <c r="F6093" s="29">
        <f>ROUND(((SUMIFS(Calendar!$F$2:$F$9997,Calendar!$B$2:$B$9997,D6093,Calendar!$C$2:$C$9997,C6093)*INDEX(ForeCalc!$B$37:$Y$274,MATCH(_xlfn.CONCAT(H6093," ",I6093),ForeCalc!$A$37:$A$274,0),MATCH(_xlfn.CONCAT(B6093," ",E6093),ForeCalc!$B$36:$Y$36,0))))*VLOOKUP(A6093,Calendar!$A$2:$H$9997,8,FALSE),0)</f>
        <v/>
      </c>
      <c r="G6093" s="29">
        <f>VLOOKUP(A6093,Calendar!$A$1:$H$9997,6,FALSE)-F6093</f>
        <v/>
      </c>
      <c r="H6093" s="19" t="n">
        <v>2</v>
      </c>
      <c r="I6093" s="57" t="n">
        <v>9</v>
      </c>
    </row>
    <row r="6094">
      <c r="A6094" s="62" t="n">
        <v>46725</v>
      </c>
      <c r="B6094" s="3" t="inlineStr">
        <is>
          <t>Sat</t>
        </is>
      </c>
      <c r="C6094" s="19" t="n">
        <v>12</v>
      </c>
      <c r="D6094" s="19" t="n">
        <v>2027</v>
      </c>
      <c r="E6094" s="57" t="n">
        <v>6</v>
      </c>
      <c r="F6094" s="29">
        <f>ROUND(((SUMIFS(Calendar!$F$2:$F$9997,Calendar!$B$2:$B$9997,D6094,Calendar!$C$2:$C$9997,C6094)*INDEX(ForeCalc!$B$37:$Y$274,MATCH(_xlfn.CONCAT(H6094," ",I6094),ForeCalc!$A$37:$A$274,0),MATCH(_xlfn.CONCAT(B6094," ",E6094),ForeCalc!$B$36:$Y$36,0))))*VLOOKUP(A6094,Calendar!$A$2:$H$9997,8,FALSE),0)</f>
        <v/>
      </c>
      <c r="G6094" s="29">
        <f>VLOOKUP(A6094,Calendar!$A$1:$H$9997,6,FALSE)-F6094</f>
        <v/>
      </c>
      <c r="H6094" s="19" t="n">
        <v>2</v>
      </c>
      <c r="I6094" s="57" t="n">
        <v>9</v>
      </c>
    </row>
    <row r="6095">
      <c r="A6095" s="62" t="n">
        <v>46726</v>
      </c>
      <c r="B6095" s="3" t="inlineStr">
        <is>
          <t>Sun</t>
        </is>
      </c>
      <c r="C6095" s="19" t="n">
        <v>12</v>
      </c>
      <c r="D6095" s="19" t="n">
        <v>2027</v>
      </c>
      <c r="E6095" s="57" t="n">
        <v>6</v>
      </c>
      <c r="F6095" s="29">
        <f>ROUND(((SUMIFS(Calendar!$F$2:$F$9997,Calendar!$B$2:$B$9997,D6095,Calendar!$C$2:$C$9997,C6095)*INDEX(ForeCalc!$B$37:$Y$274,MATCH(_xlfn.CONCAT(H6095," ",I6095),ForeCalc!$A$37:$A$274,0),MATCH(_xlfn.CONCAT(B6095," ",E6095),ForeCalc!$B$36:$Y$36,0))))*VLOOKUP(A6095,Calendar!$A$2:$H$9997,8,FALSE),0)</f>
        <v/>
      </c>
      <c r="G6095" s="29">
        <f>VLOOKUP(A6095,Calendar!$A$1:$H$9997,6,FALSE)-F6095</f>
        <v/>
      </c>
      <c r="H6095" s="19" t="n">
        <v>2</v>
      </c>
      <c r="I6095" s="57" t="n">
        <v>9</v>
      </c>
    </row>
    <row r="6096">
      <c r="A6096" s="62" t="n">
        <v>46727</v>
      </c>
      <c r="B6096" s="3" t="inlineStr">
        <is>
          <t>Week</t>
        </is>
      </c>
      <c r="C6096" s="19" t="n">
        <v>12</v>
      </c>
      <c r="D6096" s="19" t="n">
        <v>2027</v>
      </c>
      <c r="E6096" s="57" t="n">
        <v>6</v>
      </c>
      <c r="F6096" s="29">
        <f>ROUND(((SUMIFS(Calendar!$F$2:$F$9997,Calendar!$B$2:$B$9997,D6096,Calendar!$C$2:$C$9997,C6096)*INDEX(ForeCalc!$B$37:$Y$274,MATCH(_xlfn.CONCAT(H6096," ",I6096),ForeCalc!$A$37:$A$274,0),MATCH(_xlfn.CONCAT(B6096," ",E6096),ForeCalc!$B$36:$Y$36,0))))*VLOOKUP(A6096,Calendar!$A$2:$H$9997,8,FALSE),0)</f>
        <v/>
      </c>
      <c r="G6096" s="29">
        <f>VLOOKUP(A6096,Calendar!$A$1:$H$9997,6,FALSE)-F6096</f>
        <v/>
      </c>
      <c r="H6096" s="19" t="n">
        <v>2</v>
      </c>
      <c r="I6096" s="57" t="n">
        <v>9</v>
      </c>
    </row>
    <row r="6097">
      <c r="A6097" s="62" t="n">
        <v>46728</v>
      </c>
      <c r="B6097" s="3" t="inlineStr">
        <is>
          <t>Week</t>
        </is>
      </c>
      <c r="C6097" s="19" t="n">
        <v>12</v>
      </c>
      <c r="D6097" s="19" t="n">
        <v>2027</v>
      </c>
      <c r="E6097" s="57" t="n">
        <v>6</v>
      </c>
      <c r="F6097" s="29">
        <f>ROUND(((SUMIFS(Calendar!$F$2:$F$9997,Calendar!$B$2:$B$9997,D6097,Calendar!$C$2:$C$9997,C6097)*INDEX(ForeCalc!$B$37:$Y$274,MATCH(_xlfn.CONCAT(H6097," ",I6097),ForeCalc!$A$37:$A$274,0),MATCH(_xlfn.CONCAT(B6097," ",E6097),ForeCalc!$B$36:$Y$36,0))))*VLOOKUP(A6097,Calendar!$A$2:$H$9997,8,FALSE),0)</f>
        <v/>
      </c>
      <c r="G6097" s="29">
        <f>VLOOKUP(A6097,Calendar!$A$1:$H$9997,6,FALSE)-F6097</f>
        <v/>
      </c>
      <c r="H6097" s="19" t="n">
        <v>2</v>
      </c>
      <c r="I6097" s="57" t="n">
        <v>9</v>
      </c>
    </row>
    <row r="6098">
      <c r="A6098" s="62" t="n">
        <v>46729</v>
      </c>
      <c r="B6098" s="3" t="inlineStr">
        <is>
          <t>Week</t>
        </is>
      </c>
      <c r="C6098" s="19" t="n">
        <v>12</v>
      </c>
      <c r="D6098" s="19" t="n">
        <v>2027</v>
      </c>
      <c r="E6098" s="57" t="n">
        <v>6</v>
      </c>
      <c r="F6098" s="29">
        <f>ROUND(((SUMIFS(Calendar!$F$2:$F$9997,Calendar!$B$2:$B$9997,D6098,Calendar!$C$2:$C$9997,C6098)*INDEX(ForeCalc!$B$37:$Y$274,MATCH(_xlfn.CONCAT(H6098," ",I6098),ForeCalc!$A$37:$A$274,0),MATCH(_xlfn.CONCAT(B6098," ",E6098),ForeCalc!$B$36:$Y$36,0))))*VLOOKUP(A6098,Calendar!$A$2:$H$9997,8,FALSE),0)</f>
        <v/>
      </c>
      <c r="G6098" s="29">
        <f>VLOOKUP(A6098,Calendar!$A$1:$H$9997,6,FALSE)-F6098</f>
        <v/>
      </c>
      <c r="H6098" s="19" t="n">
        <v>2</v>
      </c>
      <c r="I6098" s="57" t="n">
        <v>9</v>
      </c>
    </row>
    <row r="6099">
      <c r="A6099" s="62" t="n">
        <v>46730</v>
      </c>
      <c r="B6099" s="3" t="inlineStr">
        <is>
          <t>Week</t>
        </is>
      </c>
      <c r="C6099" s="19" t="n">
        <v>12</v>
      </c>
      <c r="D6099" s="19" t="n">
        <v>2027</v>
      </c>
      <c r="E6099" s="57" t="n">
        <v>6</v>
      </c>
      <c r="F6099" s="29">
        <f>ROUND(((SUMIFS(Calendar!$F$2:$F$9997,Calendar!$B$2:$B$9997,D6099,Calendar!$C$2:$C$9997,C6099)*INDEX(ForeCalc!$B$37:$Y$274,MATCH(_xlfn.CONCAT(H6099," ",I6099),ForeCalc!$A$37:$A$274,0),MATCH(_xlfn.CONCAT(B6099," ",E6099),ForeCalc!$B$36:$Y$36,0))))*VLOOKUP(A6099,Calendar!$A$2:$H$9997,8,FALSE),0)</f>
        <v/>
      </c>
      <c r="G6099" s="29">
        <f>VLOOKUP(A6099,Calendar!$A$1:$H$9997,6,FALSE)-F6099</f>
        <v/>
      </c>
      <c r="H6099" s="19" t="n">
        <v>2</v>
      </c>
      <c r="I6099" s="57" t="n">
        <v>9</v>
      </c>
    </row>
    <row r="6100">
      <c r="A6100" s="62" t="n">
        <v>46731</v>
      </c>
      <c r="B6100" s="3" t="inlineStr">
        <is>
          <t>Week</t>
        </is>
      </c>
      <c r="C6100" s="19" t="n">
        <v>12</v>
      </c>
      <c r="D6100" s="19" t="n">
        <v>2027</v>
      </c>
      <c r="E6100" s="57" t="n">
        <v>6</v>
      </c>
      <c r="F6100" s="29">
        <f>ROUND(((SUMIFS(Calendar!$F$2:$F$9997,Calendar!$B$2:$B$9997,D6100,Calendar!$C$2:$C$9997,C6100)*INDEX(ForeCalc!$B$37:$Y$274,MATCH(_xlfn.CONCAT(H6100," ",I6100),ForeCalc!$A$37:$A$274,0),MATCH(_xlfn.CONCAT(B6100," ",E6100),ForeCalc!$B$36:$Y$36,0))))*VLOOKUP(A6100,Calendar!$A$2:$H$9997,8,FALSE),0)</f>
        <v/>
      </c>
      <c r="G6100" s="29">
        <f>VLOOKUP(A6100,Calendar!$A$1:$H$9997,6,FALSE)-F6100</f>
        <v/>
      </c>
      <c r="H6100" s="19" t="n">
        <v>2</v>
      </c>
      <c r="I6100" s="57" t="n">
        <v>9</v>
      </c>
    </row>
    <row r="6101">
      <c r="A6101" s="62" t="n">
        <v>46732</v>
      </c>
      <c r="B6101" s="3" t="inlineStr">
        <is>
          <t>Sat</t>
        </is>
      </c>
      <c r="C6101" s="19" t="n">
        <v>12</v>
      </c>
      <c r="D6101" s="19" t="n">
        <v>2027</v>
      </c>
      <c r="E6101" s="57" t="n">
        <v>6</v>
      </c>
      <c r="F6101" s="29">
        <f>ROUND(((SUMIFS(Calendar!$F$2:$F$9997,Calendar!$B$2:$B$9997,D6101,Calendar!$C$2:$C$9997,C6101)*INDEX(ForeCalc!$B$37:$Y$274,MATCH(_xlfn.CONCAT(H6101," ",I6101),ForeCalc!$A$37:$A$274,0),MATCH(_xlfn.CONCAT(B6101," ",E6101),ForeCalc!$B$36:$Y$36,0))))*VLOOKUP(A6101,Calendar!$A$2:$H$9997,8,FALSE),0)</f>
        <v/>
      </c>
      <c r="G6101" s="29">
        <f>VLOOKUP(A6101,Calendar!$A$1:$H$9997,6,FALSE)-F6101</f>
        <v/>
      </c>
      <c r="H6101" s="19" t="n">
        <v>2</v>
      </c>
      <c r="I6101" s="57" t="n">
        <v>9</v>
      </c>
    </row>
    <row r="6102">
      <c r="A6102" s="62" t="n">
        <v>46733</v>
      </c>
      <c r="B6102" s="3" t="inlineStr">
        <is>
          <t>Sun</t>
        </is>
      </c>
      <c r="C6102" s="19" t="n">
        <v>12</v>
      </c>
      <c r="D6102" s="19" t="n">
        <v>2027</v>
      </c>
      <c r="E6102" s="57" t="n">
        <v>6</v>
      </c>
      <c r="F6102" s="29">
        <f>ROUND(((SUMIFS(Calendar!$F$2:$F$9997,Calendar!$B$2:$B$9997,D6102,Calendar!$C$2:$C$9997,C6102)*INDEX(ForeCalc!$B$37:$Y$274,MATCH(_xlfn.CONCAT(H6102," ",I6102),ForeCalc!$A$37:$A$274,0),MATCH(_xlfn.CONCAT(B6102," ",E6102),ForeCalc!$B$36:$Y$36,0))))*VLOOKUP(A6102,Calendar!$A$2:$H$9997,8,FALSE),0)</f>
        <v/>
      </c>
      <c r="G6102" s="29">
        <f>VLOOKUP(A6102,Calendar!$A$1:$H$9997,6,FALSE)-F6102</f>
        <v/>
      </c>
      <c r="H6102" s="19" t="n">
        <v>2</v>
      </c>
      <c r="I6102" s="57" t="n">
        <v>9</v>
      </c>
    </row>
    <row r="6103">
      <c r="A6103" s="62" t="n">
        <v>46734</v>
      </c>
      <c r="B6103" s="3" t="inlineStr">
        <is>
          <t>Week</t>
        </is>
      </c>
      <c r="C6103" s="19" t="n">
        <v>12</v>
      </c>
      <c r="D6103" s="19" t="n">
        <v>2027</v>
      </c>
      <c r="E6103" s="57" t="n">
        <v>6</v>
      </c>
      <c r="F6103" s="29">
        <f>ROUND(((SUMIFS(Calendar!$F$2:$F$9997,Calendar!$B$2:$B$9997,D6103,Calendar!$C$2:$C$9997,C6103)*INDEX(ForeCalc!$B$37:$Y$274,MATCH(_xlfn.CONCAT(H6103," ",I6103),ForeCalc!$A$37:$A$274,0),MATCH(_xlfn.CONCAT(B6103," ",E6103),ForeCalc!$B$36:$Y$36,0))))*VLOOKUP(A6103,Calendar!$A$2:$H$9997,8,FALSE),0)</f>
        <v/>
      </c>
      <c r="G6103" s="29">
        <f>VLOOKUP(A6103,Calendar!$A$1:$H$9997,6,FALSE)-F6103</f>
        <v/>
      </c>
      <c r="H6103" s="19" t="n">
        <v>2</v>
      </c>
      <c r="I6103" s="57" t="n">
        <v>9</v>
      </c>
    </row>
    <row r="6104">
      <c r="A6104" s="62" t="n">
        <v>46735</v>
      </c>
      <c r="B6104" s="3" t="inlineStr">
        <is>
          <t>Week</t>
        </is>
      </c>
      <c r="C6104" s="19" t="n">
        <v>12</v>
      </c>
      <c r="D6104" s="19" t="n">
        <v>2027</v>
      </c>
      <c r="E6104" s="57" t="n">
        <v>6</v>
      </c>
      <c r="F6104" s="29">
        <f>ROUND(((SUMIFS(Calendar!$F$2:$F$9997,Calendar!$B$2:$B$9997,D6104,Calendar!$C$2:$C$9997,C6104)*INDEX(ForeCalc!$B$37:$Y$274,MATCH(_xlfn.CONCAT(H6104," ",I6104),ForeCalc!$A$37:$A$274,0),MATCH(_xlfn.CONCAT(B6104," ",E6104),ForeCalc!$B$36:$Y$36,0))))*VLOOKUP(A6104,Calendar!$A$2:$H$9997,8,FALSE),0)</f>
        <v/>
      </c>
      <c r="G6104" s="29">
        <f>VLOOKUP(A6104,Calendar!$A$1:$H$9997,6,FALSE)-F6104</f>
        <v/>
      </c>
      <c r="H6104" s="19" t="n">
        <v>2</v>
      </c>
      <c r="I6104" s="57" t="n">
        <v>9</v>
      </c>
    </row>
    <row r="6105">
      <c r="A6105" s="62" t="n">
        <v>46736</v>
      </c>
      <c r="B6105" s="3" t="inlineStr">
        <is>
          <t>Week</t>
        </is>
      </c>
      <c r="C6105" s="19" t="n">
        <v>12</v>
      </c>
      <c r="D6105" s="19" t="n">
        <v>2027</v>
      </c>
      <c r="E6105" s="57" t="n">
        <v>6</v>
      </c>
      <c r="F6105" s="29">
        <f>ROUND(((SUMIFS(Calendar!$F$2:$F$9997,Calendar!$B$2:$B$9997,D6105,Calendar!$C$2:$C$9997,C6105)*INDEX(ForeCalc!$B$37:$Y$274,MATCH(_xlfn.CONCAT(H6105," ",I6105),ForeCalc!$A$37:$A$274,0),MATCH(_xlfn.CONCAT(B6105," ",E6105),ForeCalc!$B$36:$Y$36,0))))*VLOOKUP(A6105,Calendar!$A$2:$H$9997,8,FALSE),0)</f>
        <v/>
      </c>
      <c r="G6105" s="29">
        <f>VLOOKUP(A6105,Calendar!$A$1:$H$9997,6,FALSE)-F6105</f>
        <v/>
      </c>
      <c r="H6105" s="19" t="n">
        <v>2</v>
      </c>
      <c r="I6105" s="57" t="n">
        <v>9</v>
      </c>
    </row>
    <row r="6106">
      <c r="A6106" s="62" t="n">
        <v>46737</v>
      </c>
      <c r="B6106" s="3" t="inlineStr">
        <is>
          <t>Week</t>
        </is>
      </c>
      <c r="C6106" s="19" t="n">
        <v>12</v>
      </c>
      <c r="D6106" s="19" t="n">
        <v>2027</v>
      </c>
      <c r="E6106" s="57" t="n">
        <v>6</v>
      </c>
      <c r="F6106" s="29">
        <f>ROUND(((SUMIFS(Calendar!$F$2:$F$9997,Calendar!$B$2:$B$9997,D6106,Calendar!$C$2:$C$9997,C6106)*INDEX(ForeCalc!$B$37:$Y$274,MATCH(_xlfn.CONCAT(H6106," ",I6106),ForeCalc!$A$37:$A$274,0),MATCH(_xlfn.CONCAT(B6106," ",E6106),ForeCalc!$B$36:$Y$36,0))))*VLOOKUP(A6106,Calendar!$A$2:$H$9997,8,FALSE),0)</f>
        <v/>
      </c>
      <c r="G6106" s="29">
        <f>VLOOKUP(A6106,Calendar!$A$1:$H$9997,6,FALSE)-F6106</f>
        <v/>
      </c>
      <c r="H6106" s="19" t="n">
        <v>2</v>
      </c>
      <c r="I6106" s="57" t="n">
        <v>9</v>
      </c>
    </row>
    <row r="6107">
      <c r="A6107" s="62" t="n">
        <v>46738</v>
      </c>
      <c r="B6107" s="3" t="inlineStr">
        <is>
          <t>Week</t>
        </is>
      </c>
      <c r="C6107" s="19" t="n">
        <v>12</v>
      </c>
      <c r="D6107" s="19" t="n">
        <v>2027</v>
      </c>
      <c r="E6107" s="57" t="n">
        <v>6</v>
      </c>
      <c r="F6107" s="29">
        <f>ROUND(((SUMIFS(Calendar!$F$2:$F$9997,Calendar!$B$2:$B$9997,D6107,Calendar!$C$2:$C$9997,C6107)*INDEX(ForeCalc!$B$37:$Y$274,MATCH(_xlfn.CONCAT(H6107," ",I6107),ForeCalc!$A$37:$A$274,0),MATCH(_xlfn.CONCAT(B6107," ",E6107),ForeCalc!$B$36:$Y$36,0))))*VLOOKUP(A6107,Calendar!$A$2:$H$9997,8,FALSE),0)</f>
        <v/>
      </c>
      <c r="G6107" s="29">
        <f>VLOOKUP(A6107,Calendar!$A$1:$H$9997,6,FALSE)-F6107</f>
        <v/>
      </c>
      <c r="H6107" s="19" t="n">
        <v>2</v>
      </c>
      <c r="I6107" s="57" t="n">
        <v>9</v>
      </c>
    </row>
    <row r="6108">
      <c r="A6108" s="62" t="n">
        <v>46739</v>
      </c>
      <c r="B6108" s="3" t="inlineStr">
        <is>
          <t>Sat</t>
        </is>
      </c>
      <c r="C6108" s="19" t="n">
        <v>12</v>
      </c>
      <c r="D6108" s="19" t="n">
        <v>2027</v>
      </c>
      <c r="E6108" s="57" t="n">
        <v>6</v>
      </c>
      <c r="F6108" s="29">
        <f>ROUND(((SUMIFS(Calendar!$F$2:$F$9997,Calendar!$B$2:$B$9997,D6108,Calendar!$C$2:$C$9997,C6108)*INDEX(ForeCalc!$B$37:$Y$274,MATCH(_xlfn.CONCAT(H6108," ",I6108),ForeCalc!$A$37:$A$274,0),MATCH(_xlfn.CONCAT(B6108," ",E6108),ForeCalc!$B$36:$Y$36,0))))*VLOOKUP(A6108,Calendar!$A$2:$H$9997,8,FALSE),0)</f>
        <v/>
      </c>
      <c r="G6108" s="29">
        <f>VLOOKUP(A6108,Calendar!$A$1:$H$9997,6,FALSE)-F6108</f>
        <v/>
      </c>
      <c r="H6108" s="19" t="n">
        <v>2</v>
      </c>
      <c r="I6108" s="57" t="n">
        <v>9</v>
      </c>
    </row>
    <row r="6109">
      <c r="A6109" s="62" t="n">
        <v>46740</v>
      </c>
      <c r="B6109" s="3" t="inlineStr">
        <is>
          <t>Sun</t>
        </is>
      </c>
      <c r="C6109" s="19" t="n">
        <v>12</v>
      </c>
      <c r="D6109" s="19" t="n">
        <v>2027</v>
      </c>
      <c r="E6109" s="57" t="n">
        <v>6</v>
      </c>
      <c r="F6109" s="29">
        <f>ROUND(((SUMIFS(Calendar!$F$2:$F$9997,Calendar!$B$2:$B$9997,D6109,Calendar!$C$2:$C$9997,C6109)*INDEX(ForeCalc!$B$37:$Y$274,MATCH(_xlfn.CONCAT(H6109," ",I6109),ForeCalc!$A$37:$A$274,0),MATCH(_xlfn.CONCAT(B6109," ",E6109),ForeCalc!$B$36:$Y$36,0))))*VLOOKUP(A6109,Calendar!$A$2:$H$9997,8,FALSE),0)</f>
        <v/>
      </c>
      <c r="G6109" s="29">
        <f>VLOOKUP(A6109,Calendar!$A$1:$H$9997,6,FALSE)-F6109</f>
        <v/>
      </c>
      <c r="H6109" s="19" t="n">
        <v>2</v>
      </c>
      <c r="I6109" s="57" t="n">
        <v>9</v>
      </c>
    </row>
    <row r="6110">
      <c r="A6110" s="62" t="n">
        <v>46741</v>
      </c>
      <c r="B6110" s="3" t="inlineStr">
        <is>
          <t>Week</t>
        </is>
      </c>
      <c r="C6110" s="19" t="n">
        <v>12</v>
      </c>
      <c r="D6110" s="19" t="n">
        <v>2027</v>
      </c>
      <c r="E6110" s="57" t="n">
        <v>6</v>
      </c>
      <c r="F6110" s="29">
        <f>ROUND(((SUMIFS(Calendar!$F$2:$F$9997,Calendar!$B$2:$B$9997,D6110,Calendar!$C$2:$C$9997,C6110)*INDEX(ForeCalc!$B$37:$Y$274,MATCH(_xlfn.CONCAT(H6110," ",I6110),ForeCalc!$A$37:$A$274,0),MATCH(_xlfn.CONCAT(B6110," ",E6110),ForeCalc!$B$36:$Y$36,0))))*VLOOKUP(A6110,Calendar!$A$2:$H$9997,8,FALSE),0)</f>
        <v/>
      </c>
      <c r="G6110" s="29">
        <f>VLOOKUP(A6110,Calendar!$A$1:$H$9997,6,FALSE)-F6110</f>
        <v/>
      </c>
      <c r="H6110" s="19" t="n">
        <v>2</v>
      </c>
      <c r="I6110" s="57" t="n">
        <v>9</v>
      </c>
    </row>
    <row r="6111">
      <c r="A6111" s="62" t="n">
        <v>46742</v>
      </c>
      <c r="B6111" s="3" t="inlineStr">
        <is>
          <t>Week</t>
        </is>
      </c>
      <c r="C6111" s="19" t="n">
        <v>12</v>
      </c>
      <c r="D6111" s="19" t="n">
        <v>2027</v>
      </c>
      <c r="E6111" s="57" t="n">
        <v>6</v>
      </c>
      <c r="F6111" s="29">
        <f>ROUND(((SUMIFS(Calendar!$F$2:$F$9997,Calendar!$B$2:$B$9997,D6111,Calendar!$C$2:$C$9997,C6111)*INDEX(ForeCalc!$B$37:$Y$274,MATCH(_xlfn.CONCAT(H6111," ",I6111),ForeCalc!$A$37:$A$274,0),MATCH(_xlfn.CONCAT(B6111," ",E6111),ForeCalc!$B$36:$Y$36,0))))*VLOOKUP(A6111,Calendar!$A$2:$H$9997,8,FALSE),0)</f>
        <v/>
      </c>
      <c r="G6111" s="29">
        <f>VLOOKUP(A6111,Calendar!$A$1:$H$9997,6,FALSE)-F6111</f>
        <v/>
      </c>
      <c r="H6111" s="19" t="n">
        <v>2</v>
      </c>
      <c r="I6111" s="57" t="n">
        <v>9</v>
      </c>
    </row>
    <row r="6112">
      <c r="A6112" s="62" t="n">
        <v>46743</v>
      </c>
      <c r="B6112" s="3" t="inlineStr">
        <is>
          <t>Week</t>
        </is>
      </c>
      <c r="C6112" s="19" t="n">
        <v>12</v>
      </c>
      <c r="D6112" s="19" t="n">
        <v>2027</v>
      </c>
      <c r="E6112" s="57" t="n">
        <v>6</v>
      </c>
      <c r="F6112" s="29">
        <f>ROUND(((SUMIFS(Calendar!$F$2:$F$9997,Calendar!$B$2:$B$9997,D6112,Calendar!$C$2:$C$9997,C6112)*INDEX(ForeCalc!$B$37:$Y$274,MATCH(_xlfn.CONCAT(H6112," ",I6112),ForeCalc!$A$37:$A$274,0),MATCH(_xlfn.CONCAT(B6112," ",E6112),ForeCalc!$B$36:$Y$36,0))))*VLOOKUP(A6112,Calendar!$A$2:$H$9997,8,FALSE),0)</f>
        <v/>
      </c>
      <c r="G6112" s="29">
        <f>VLOOKUP(A6112,Calendar!$A$1:$H$9997,6,FALSE)-F6112</f>
        <v/>
      </c>
      <c r="H6112" s="19" t="n">
        <v>2</v>
      </c>
      <c r="I6112" s="57" t="n">
        <v>9</v>
      </c>
    </row>
    <row r="6113">
      <c r="A6113" s="62" t="n">
        <v>46744</v>
      </c>
      <c r="B6113" s="3" t="inlineStr">
        <is>
          <t>Week</t>
        </is>
      </c>
      <c r="C6113" s="19" t="n">
        <v>12</v>
      </c>
      <c r="D6113" s="19" t="n">
        <v>2027</v>
      </c>
      <c r="E6113" s="57" t="n">
        <v>6</v>
      </c>
      <c r="F6113" s="29">
        <f>ROUND(((SUMIFS(Calendar!$F$2:$F$9997,Calendar!$B$2:$B$9997,D6113,Calendar!$C$2:$C$9997,C6113)*INDEX(ForeCalc!$B$37:$Y$274,MATCH(_xlfn.CONCAT(H6113," ",I6113),ForeCalc!$A$37:$A$274,0),MATCH(_xlfn.CONCAT(B6113," ",E6113),ForeCalc!$B$36:$Y$36,0))))*VLOOKUP(A6113,Calendar!$A$2:$H$9997,8,FALSE),0)</f>
        <v/>
      </c>
      <c r="G6113" s="29">
        <f>VLOOKUP(A6113,Calendar!$A$1:$H$9997,6,FALSE)-F6113</f>
        <v/>
      </c>
      <c r="H6113" s="19" t="n">
        <v>2</v>
      </c>
      <c r="I6113" s="57" t="n">
        <v>9</v>
      </c>
    </row>
    <row r="6114">
      <c r="A6114" s="62" t="n">
        <v>46745</v>
      </c>
      <c r="B6114" s="3" t="inlineStr">
        <is>
          <t>Week</t>
        </is>
      </c>
      <c r="C6114" s="19" t="n">
        <v>12</v>
      </c>
      <c r="D6114" s="19" t="n">
        <v>2027</v>
      </c>
      <c r="E6114" s="57" t="n">
        <v>6</v>
      </c>
      <c r="F6114" s="29">
        <f>ROUND(((SUMIFS(Calendar!$F$2:$F$9997,Calendar!$B$2:$B$9997,D6114,Calendar!$C$2:$C$9997,C6114)*INDEX(ForeCalc!$B$37:$Y$274,MATCH(_xlfn.CONCAT(H6114," ",I6114),ForeCalc!$A$37:$A$274,0),MATCH(_xlfn.CONCAT(B6114," ",E6114),ForeCalc!$B$36:$Y$36,0))))*VLOOKUP(A6114,Calendar!$A$2:$H$9997,8,FALSE),0)</f>
        <v/>
      </c>
      <c r="G6114" s="29">
        <f>VLOOKUP(A6114,Calendar!$A$1:$H$9997,6,FALSE)-F6114</f>
        <v/>
      </c>
      <c r="H6114" s="19" t="n">
        <v>2</v>
      </c>
      <c r="I6114" s="57" t="n">
        <v>9</v>
      </c>
    </row>
    <row r="6115">
      <c r="A6115" s="62" t="n">
        <v>46746</v>
      </c>
      <c r="B6115" s="3" t="inlineStr">
        <is>
          <t>Sat</t>
        </is>
      </c>
      <c r="C6115" s="19" t="n">
        <v>12</v>
      </c>
      <c r="D6115" s="19" t="n">
        <v>2027</v>
      </c>
      <c r="E6115" s="57" t="n">
        <v>6</v>
      </c>
      <c r="F6115" s="29">
        <f>ROUND(((SUMIFS(Calendar!$F$2:$F$9997,Calendar!$B$2:$B$9997,D6115,Calendar!$C$2:$C$9997,C6115)*INDEX(ForeCalc!$B$37:$Y$274,MATCH(_xlfn.CONCAT(H6115," ",I6115),ForeCalc!$A$37:$A$274,0),MATCH(_xlfn.CONCAT(B6115," ",E6115),ForeCalc!$B$36:$Y$36,0))))*VLOOKUP(A6115,Calendar!$A$2:$H$9997,8,FALSE),0)</f>
        <v/>
      </c>
      <c r="G6115" s="29">
        <f>VLOOKUP(A6115,Calendar!$A$1:$H$9997,6,FALSE)-F6115</f>
        <v/>
      </c>
      <c r="H6115" s="19" t="n">
        <v>2</v>
      </c>
      <c r="I6115" s="57" t="n">
        <v>9</v>
      </c>
    </row>
    <row r="6116">
      <c r="A6116" s="62" t="n">
        <v>46747</v>
      </c>
      <c r="B6116" s="3" t="inlineStr">
        <is>
          <t>Sun</t>
        </is>
      </c>
      <c r="C6116" s="19" t="n">
        <v>12</v>
      </c>
      <c r="D6116" s="19" t="n">
        <v>2027</v>
      </c>
      <c r="E6116" s="57" t="n">
        <v>6</v>
      </c>
      <c r="F6116" s="29">
        <f>ROUND(((SUMIFS(Calendar!$F$2:$F$9997,Calendar!$B$2:$B$9997,D6116,Calendar!$C$2:$C$9997,C6116)*INDEX(ForeCalc!$B$37:$Y$274,MATCH(_xlfn.CONCAT(H6116," ",I6116),ForeCalc!$A$37:$A$274,0),MATCH(_xlfn.CONCAT(B6116," ",E6116),ForeCalc!$B$36:$Y$36,0))))*VLOOKUP(A6116,Calendar!$A$2:$H$9997,8,FALSE),0)</f>
        <v/>
      </c>
      <c r="G6116" s="29">
        <f>VLOOKUP(A6116,Calendar!$A$1:$H$9997,6,FALSE)-F6116</f>
        <v/>
      </c>
      <c r="H6116" s="19" t="n">
        <v>2</v>
      </c>
      <c r="I6116" s="57" t="n">
        <v>9</v>
      </c>
    </row>
    <row r="6117">
      <c r="A6117" s="62" t="n">
        <v>46748</v>
      </c>
      <c r="B6117" s="3" t="inlineStr">
        <is>
          <t>Week</t>
        </is>
      </c>
      <c r="C6117" s="19" t="n">
        <v>12</v>
      </c>
      <c r="D6117" s="19" t="n">
        <v>2027</v>
      </c>
      <c r="E6117" s="57" t="n">
        <v>6</v>
      </c>
      <c r="F6117" s="29">
        <f>ROUND(((SUMIFS(Calendar!$F$2:$F$9997,Calendar!$B$2:$B$9997,D6117,Calendar!$C$2:$C$9997,C6117)*INDEX(ForeCalc!$B$37:$Y$274,MATCH(_xlfn.CONCAT(H6117," ",I6117),ForeCalc!$A$37:$A$274,0),MATCH(_xlfn.CONCAT(B6117," ",E6117),ForeCalc!$B$36:$Y$36,0))))*VLOOKUP(A6117,Calendar!$A$2:$H$9997,8,FALSE),0)</f>
        <v/>
      </c>
      <c r="G6117" s="29">
        <f>VLOOKUP(A6117,Calendar!$A$1:$H$9997,6,FALSE)-F6117</f>
        <v/>
      </c>
      <c r="H6117" s="19" t="n">
        <v>2</v>
      </c>
      <c r="I6117" s="57" t="n">
        <v>9</v>
      </c>
    </row>
    <row r="6118">
      <c r="A6118" s="62" t="n">
        <v>46749</v>
      </c>
      <c r="B6118" s="3" t="inlineStr">
        <is>
          <t>Week</t>
        </is>
      </c>
      <c r="C6118" s="19" t="n">
        <v>12</v>
      </c>
      <c r="D6118" s="19" t="n">
        <v>2027</v>
      </c>
      <c r="E6118" s="57" t="n">
        <v>6</v>
      </c>
      <c r="F6118" s="29">
        <f>ROUND(((SUMIFS(Calendar!$F$2:$F$9997,Calendar!$B$2:$B$9997,D6118,Calendar!$C$2:$C$9997,C6118)*INDEX(ForeCalc!$B$37:$Y$274,MATCH(_xlfn.CONCAT(H6118," ",I6118),ForeCalc!$A$37:$A$274,0),MATCH(_xlfn.CONCAT(B6118," ",E6118),ForeCalc!$B$36:$Y$36,0))))*VLOOKUP(A6118,Calendar!$A$2:$H$9997,8,FALSE),0)</f>
        <v/>
      </c>
      <c r="G6118" s="29">
        <f>VLOOKUP(A6118,Calendar!$A$1:$H$9997,6,FALSE)-F6118</f>
        <v/>
      </c>
      <c r="H6118" s="19" t="n">
        <v>2</v>
      </c>
      <c r="I6118" s="57" t="n">
        <v>9</v>
      </c>
    </row>
    <row r="6119">
      <c r="A6119" s="62" t="n">
        <v>46750</v>
      </c>
      <c r="B6119" s="3" t="inlineStr">
        <is>
          <t>Week</t>
        </is>
      </c>
      <c r="C6119" s="19" t="n">
        <v>12</v>
      </c>
      <c r="D6119" s="19" t="n">
        <v>2027</v>
      </c>
      <c r="E6119" s="57" t="n">
        <v>6</v>
      </c>
      <c r="F6119" s="29">
        <f>ROUND(((SUMIFS(Calendar!$F$2:$F$9997,Calendar!$B$2:$B$9997,D6119,Calendar!$C$2:$C$9997,C6119)*INDEX(ForeCalc!$B$37:$Y$274,MATCH(_xlfn.CONCAT(H6119," ",I6119),ForeCalc!$A$37:$A$274,0),MATCH(_xlfn.CONCAT(B6119," ",E6119),ForeCalc!$B$36:$Y$36,0))))*VLOOKUP(A6119,Calendar!$A$2:$H$9997,8,FALSE),0)</f>
        <v/>
      </c>
      <c r="G6119" s="29">
        <f>VLOOKUP(A6119,Calendar!$A$1:$H$9997,6,FALSE)-F6119</f>
        <v/>
      </c>
      <c r="H6119" s="19" t="n">
        <v>2</v>
      </c>
      <c r="I6119" s="57" t="n">
        <v>9</v>
      </c>
    </row>
    <row r="6120">
      <c r="A6120" s="62" t="n">
        <v>46751</v>
      </c>
      <c r="B6120" s="3" t="inlineStr">
        <is>
          <t>Week</t>
        </is>
      </c>
      <c r="C6120" s="19" t="n">
        <v>12</v>
      </c>
      <c r="D6120" s="19" t="n">
        <v>2027</v>
      </c>
      <c r="E6120" s="57" t="n">
        <v>6</v>
      </c>
      <c r="F6120" s="29">
        <f>ROUND(((SUMIFS(Calendar!$F$2:$F$9997,Calendar!$B$2:$B$9997,D6120,Calendar!$C$2:$C$9997,C6120)*INDEX(ForeCalc!$B$37:$Y$274,MATCH(_xlfn.CONCAT(H6120," ",I6120),ForeCalc!$A$37:$A$274,0),MATCH(_xlfn.CONCAT(B6120," ",E6120),ForeCalc!$B$36:$Y$36,0))))*VLOOKUP(A6120,Calendar!$A$2:$H$9997,8,FALSE),0)</f>
        <v/>
      </c>
      <c r="G6120" s="29">
        <f>VLOOKUP(A6120,Calendar!$A$1:$H$9997,6,FALSE)-F6120</f>
        <v/>
      </c>
      <c r="H6120" s="19" t="n">
        <v>2</v>
      </c>
      <c r="I6120" s="57" t="n">
        <v>9</v>
      </c>
    </row>
    <row r="6121">
      <c r="A6121" s="62" t="n">
        <v>46752</v>
      </c>
      <c r="B6121" s="3" t="inlineStr">
        <is>
          <t>Week</t>
        </is>
      </c>
      <c r="C6121" s="19" t="n">
        <v>12</v>
      </c>
      <c r="D6121" s="19" t="n">
        <v>2027</v>
      </c>
      <c r="E6121" s="57" t="n">
        <v>6</v>
      </c>
      <c r="F6121" s="29">
        <f>ROUND(((SUMIFS(Calendar!$F$2:$F$9997,Calendar!$B$2:$B$9997,D6121,Calendar!$C$2:$C$9997,C6121)*INDEX(ForeCalc!$B$37:$Y$274,MATCH(_xlfn.CONCAT(H6121," ",I6121),ForeCalc!$A$37:$A$274,0),MATCH(_xlfn.CONCAT(B6121," ",E6121),ForeCalc!$B$36:$Y$36,0))))*VLOOKUP(A6121,Calendar!$A$2:$H$9997,8,FALSE),0)</f>
        <v/>
      </c>
      <c r="G6121" s="29">
        <f>VLOOKUP(A6121,Calendar!$A$1:$H$9997,6,FALSE)-F6121</f>
        <v/>
      </c>
      <c r="H6121" s="19" t="n">
        <v>2</v>
      </c>
      <c r="I6121" s="57" t="n">
        <v>9</v>
      </c>
    </row>
    <row r="6122">
      <c r="A6122" s="62" t="n">
        <v>46753</v>
      </c>
      <c r="B6122" s="3" t="inlineStr">
        <is>
          <t>Sat</t>
        </is>
      </c>
      <c r="C6122" s="19" t="n">
        <v>1</v>
      </c>
      <c r="D6122" s="19" t="n">
        <v>2028</v>
      </c>
      <c r="E6122" s="57" t="n">
        <v>6</v>
      </c>
      <c r="F6122" s="29">
        <f>ROUND(((SUMIFS(Calendar!$F$2:$F$9997,Calendar!$B$2:$B$9997,D6122,Calendar!$C$2:$C$9997,C6122)*INDEX(ForeCalc!$B$37:$Y$274,MATCH(_xlfn.CONCAT(H6122," ",I6122),ForeCalc!$A$37:$A$274,0),MATCH(_xlfn.CONCAT(B6122," ",E6122),ForeCalc!$B$36:$Y$36,0))))*VLOOKUP(A6122,Calendar!$A$2:$H$9997,8,FALSE),0)</f>
        <v/>
      </c>
      <c r="G6122" s="29">
        <f>VLOOKUP(A6122,Calendar!$A$1:$H$9997,6,FALSE)-F6122</f>
        <v/>
      </c>
      <c r="H6122" s="19" t="n">
        <v>2</v>
      </c>
      <c r="I6122" s="57" t="n">
        <v>10</v>
      </c>
    </row>
    <row r="6123">
      <c r="A6123" s="62" t="n">
        <v>46754</v>
      </c>
      <c r="B6123" s="3" t="inlineStr">
        <is>
          <t>Sun</t>
        </is>
      </c>
      <c r="C6123" s="19" t="n">
        <v>1</v>
      </c>
      <c r="D6123" s="19" t="n">
        <v>2028</v>
      </c>
      <c r="E6123" s="57" t="n">
        <v>6</v>
      </c>
      <c r="F6123" s="29">
        <f>ROUND(((SUMIFS(Calendar!$F$2:$F$9997,Calendar!$B$2:$B$9997,D6123,Calendar!$C$2:$C$9997,C6123)*INDEX(ForeCalc!$B$37:$Y$274,MATCH(_xlfn.CONCAT(H6123," ",I6123),ForeCalc!$A$37:$A$274,0),MATCH(_xlfn.CONCAT(B6123," ",E6123),ForeCalc!$B$36:$Y$36,0))))*VLOOKUP(A6123,Calendar!$A$2:$H$9997,8,FALSE),0)</f>
        <v/>
      </c>
      <c r="G6123" s="29">
        <f>VLOOKUP(A6123,Calendar!$A$1:$H$9997,6,FALSE)-F6123</f>
        <v/>
      </c>
      <c r="H6123" s="19" t="n">
        <v>2</v>
      </c>
      <c r="I6123" s="57" t="n">
        <v>10</v>
      </c>
    </row>
    <row r="6124">
      <c r="A6124" s="62" t="n">
        <v>46755</v>
      </c>
      <c r="B6124" s="3" t="inlineStr">
        <is>
          <t>Week</t>
        </is>
      </c>
      <c r="C6124" s="19" t="n">
        <v>1</v>
      </c>
      <c r="D6124" s="19" t="n">
        <v>2028</v>
      </c>
      <c r="E6124" s="57" t="n">
        <v>6</v>
      </c>
      <c r="F6124" s="29">
        <f>ROUND(((SUMIFS(Calendar!$F$2:$F$9997,Calendar!$B$2:$B$9997,D6124,Calendar!$C$2:$C$9997,C6124)*INDEX(ForeCalc!$B$37:$Y$274,MATCH(_xlfn.CONCAT(H6124," ",I6124),ForeCalc!$A$37:$A$274,0),MATCH(_xlfn.CONCAT(B6124," ",E6124),ForeCalc!$B$36:$Y$36,0))))*VLOOKUP(A6124,Calendar!$A$2:$H$9997,8,FALSE),0)</f>
        <v/>
      </c>
      <c r="G6124" s="29">
        <f>VLOOKUP(A6124,Calendar!$A$1:$H$9997,6,FALSE)-F6124</f>
        <v/>
      </c>
      <c r="H6124" s="19" t="n">
        <v>2</v>
      </c>
      <c r="I6124" s="57" t="n">
        <v>10</v>
      </c>
    </row>
    <row r="6125">
      <c r="A6125" s="62" t="n">
        <v>46756</v>
      </c>
      <c r="B6125" s="3" t="inlineStr">
        <is>
          <t>Week</t>
        </is>
      </c>
      <c r="C6125" s="19" t="n">
        <v>1</v>
      </c>
      <c r="D6125" s="19" t="n">
        <v>2028</v>
      </c>
      <c r="E6125" s="57" t="n">
        <v>6</v>
      </c>
      <c r="F6125" s="29">
        <f>ROUND(((SUMIFS(Calendar!$F$2:$F$9997,Calendar!$B$2:$B$9997,D6125,Calendar!$C$2:$C$9997,C6125)*INDEX(ForeCalc!$B$37:$Y$274,MATCH(_xlfn.CONCAT(H6125," ",I6125),ForeCalc!$A$37:$A$274,0),MATCH(_xlfn.CONCAT(B6125," ",E6125),ForeCalc!$B$36:$Y$36,0))))*VLOOKUP(A6125,Calendar!$A$2:$H$9997,8,FALSE),0)</f>
        <v/>
      </c>
      <c r="G6125" s="29">
        <f>VLOOKUP(A6125,Calendar!$A$1:$H$9997,6,FALSE)-F6125</f>
        <v/>
      </c>
      <c r="H6125" s="19" t="n">
        <v>2</v>
      </c>
      <c r="I6125" s="57" t="n">
        <v>10</v>
      </c>
    </row>
    <row r="6126">
      <c r="A6126" s="62" t="n">
        <v>46757</v>
      </c>
      <c r="B6126" s="3" t="inlineStr">
        <is>
          <t>Week</t>
        </is>
      </c>
      <c r="C6126" s="19" t="n">
        <v>1</v>
      </c>
      <c r="D6126" s="19" t="n">
        <v>2028</v>
      </c>
      <c r="E6126" s="57" t="n">
        <v>6</v>
      </c>
      <c r="F6126" s="29">
        <f>ROUND(((SUMIFS(Calendar!$F$2:$F$9997,Calendar!$B$2:$B$9997,D6126,Calendar!$C$2:$C$9997,C6126)*INDEX(ForeCalc!$B$37:$Y$274,MATCH(_xlfn.CONCAT(H6126," ",I6126),ForeCalc!$A$37:$A$274,0),MATCH(_xlfn.CONCAT(B6126," ",E6126),ForeCalc!$B$36:$Y$36,0))))*VLOOKUP(A6126,Calendar!$A$2:$H$9997,8,FALSE),0)</f>
        <v/>
      </c>
      <c r="G6126" s="29">
        <f>VLOOKUP(A6126,Calendar!$A$1:$H$9997,6,FALSE)-F6126</f>
        <v/>
      </c>
      <c r="H6126" s="19" t="n">
        <v>2</v>
      </c>
      <c r="I6126" s="57" t="n">
        <v>10</v>
      </c>
    </row>
    <row r="6127">
      <c r="A6127" s="62" t="n">
        <v>46758</v>
      </c>
      <c r="B6127" s="3" t="inlineStr">
        <is>
          <t>Week</t>
        </is>
      </c>
      <c r="C6127" s="19" t="n">
        <v>1</v>
      </c>
      <c r="D6127" s="19" t="n">
        <v>2028</v>
      </c>
      <c r="E6127" s="57" t="n">
        <v>6</v>
      </c>
      <c r="F6127" s="29">
        <f>ROUND(((SUMIFS(Calendar!$F$2:$F$9997,Calendar!$B$2:$B$9997,D6127,Calendar!$C$2:$C$9997,C6127)*INDEX(ForeCalc!$B$37:$Y$274,MATCH(_xlfn.CONCAT(H6127," ",I6127),ForeCalc!$A$37:$A$274,0),MATCH(_xlfn.CONCAT(B6127," ",E6127),ForeCalc!$B$36:$Y$36,0))))*VLOOKUP(A6127,Calendar!$A$2:$H$9997,8,FALSE),0)</f>
        <v/>
      </c>
      <c r="G6127" s="29">
        <f>VLOOKUP(A6127,Calendar!$A$1:$H$9997,6,FALSE)-F6127</f>
        <v/>
      </c>
      <c r="H6127" s="19" t="n">
        <v>2</v>
      </c>
      <c r="I6127" s="57" t="n">
        <v>10</v>
      </c>
    </row>
    <row r="6128">
      <c r="A6128" s="62" t="n">
        <v>46759</v>
      </c>
      <c r="B6128" s="3" t="inlineStr">
        <is>
          <t>Week</t>
        </is>
      </c>
      <c r="C6128" s="19" t="n">
        <v>1</v>
      </c>
      <c r="D6128" s="19" t="n">
        <v>2028</v>
      </c>
      <c r="E6128" s="57" t="n">
        <v>6</v>
      </c>
      <c r="F6128" s="29">
        <f>ROUND(((SUMIFS(Calendar!$F$2:$F$9997,Calendar!$B$2:$B$9997,D6128,Calendar!$C$2:$C$9997,C6128)*INDEX(ForeCalc!$B$37:$Y$274,MATCH(_xlfn.CONCAT(H6128," ",I6128),ForeCalc!$A$37:$A$274,0),MATCH(_xlfn.CONCAT(B6128," ",E6128),ForeCalc!$B$36:$Y$36,0))))*VLOOKUP(A6128,Calendar!$A$2:$H$9997,8,FALSE),0)</f>
        <v/>
      </c>
      <c r="G6128" s="29">
        <f>VLOOKUP(A6128,Calendar!$A$1:$H$9997,6,FALSE)-F6128</f>
        <v/>
      </c>
      <c r="H6128" s="19" t="n">
        <v>2</v>
      </c>
      <c r="I6128" s="57" t="n">
        <v>10</v>
      </c>
    </row>
    <row r="6129">
      <c r="A6129" s="62" t="n">
        <v>46760</v>
      </c>
      <c r="B6129" s="3" t="inlineStr">
        <is>
          <t>Sat</t>
        </is>
      </c>
      <c r="C6129" s="19" t="n">
        <v>1</v>
      </c>
      <c r="D6129" s="19" t="n">
        <v>2028</v>
      </c>
      <c r="E6129" s="57" t="n">
        <v>6</v>
      </c>
      <c r="F6129" s="29">
        <f>ROUND(((SUMIFS(Calendar!$F$2:$F$9997,Calendar!$B$2:$B$9997,D6129,Calendar!$C$2:$C$9997,C6129)*INDEX(ForeCalc!$B$37:$Y$274,MATCH(_xlfn.CONCAT(H6129," ",I6129),ForeCalc!$A$37:$A$274,0),MATCH(_xlfn.CONCAT(B6129," ",E6129),ForeCalc!$B$36:$Y$36,0))))*VLOOKUP(A6129,Calendar!$A$2:$H$9997,8,FALSE),0)</f>
        <v/>
      </c>
      <c r="G6129" s="29">
        <f>VLOOKUP(A6129,Calendar!$A$1:$H$9997,6,FALSE)-F6129</f>
        <v/>
      </c>
      <c r="H6129" s="19" t="n">
        <v>2</v>
      </c>
      <c r="I6129" s="57" t="n">
        <v>10</v>
      </c>
    </row>
    <row r="6130">
      <c r="A6130" s="62" t="n">
        <v>46761</v>
      </c>
      <c r="B6130" s="3" t="inlineStr">
        <is>
          <t>Sun</t>
        </is>
      </c>
      <c r="C6130" s="19" t="n">
        <v>1</v>
      </c>
      <c r="D6130" s="19" t="n">
        <v>2028</v>
      </c>
      <c r="E6130" s="57" t="n">
        <v>6</v>
      </c>
      <c r="F6130" s="29">
        <f>ROUND(((SUMIFS(Calendar!$F$2:$F$9997,Calendar!$B$2:$B$9997,D6130,Calendar!$C$2:$C$9997,C6130)*INDEX(ForeCalc!$B$37:$Y$274,MATCH(_xlfn.CONCAT(H6130," ",I6130),ForeCalc!$A$37:$A$274,0),MATCH(_xlfn.CONCAT(B6130," ",E6130),ForeCalc!$B$36:$Y$36,0))))*VLOOKUP(A6130,Calendar!$A$2:$H$9997,8,FALSE),0)</f>
        <v/>
      </c>
      <c r="G6130" s="29">
        <f>VLOOKUP(A6130,Calendar!$A$1:$H$9997,6,FALSE)-F6130</f>
        <v/>
      </c>
      <c r="H6130" s="19" t="n">
        <v>2</v>
      </c>
      <c r="I6130" s="57" t="n">
        <v>10</v>
      </c>
    </row>
    <row r="6131">
      <c r="A6131" s="62" t="n">
        <v>46762</v>
      </c>
      <c r="B6131" s="3" t="inlineStr">
        <is>
          <t>Week</t>
        </is>
      </c>
      <c r="C6131" s="19" t="n">
        <v>1</v>
      </c>
      <c r="D6131" s="19" t="n">
        <v>2028</v>
      </c>
      <c r="E6131" s="57" t="n">
        <v>6</v>
      </c>
      <c r="F6131" s="29">
        <f>ROUND(((SUMIFS(Calendar!$F$2:$F$9997,Calendar!$B$2:$B$9997,D6131,Calendar!$C$2:$C$9997,C6131)*INDEX(ForeCalc!$B$37:$Y$274,MATCH(_xlfn.CONCAT(H6131," ",I6131),ForeCalc!$A$37:$A$274,0),MATCH(_xlfn.CONCAT(B6131," ",E6131),ForeCalc!$B$36:$Y$36,0))))*VLOOKUP(A6131,Calendar!$A$2:$H$9997,8,FALSE),0)</f>
        <v/>
      </c>
      <c r="G6131" s="29">
        <f>VLOOKUP(A6131,Calendar!$A$1:$H$9997,6,FALSE)-F6131</f>
        <v/>
      </c>
      <c r="H6131" s="19" t="n">
        <v>2</v>
      </c>
      <c r="I6131" s="57" t="n">
        <v>10</v>
      </c>
    </row>
    <row r="6132">
      <c r="A6132" s="62" t="n">
        <v>46763</v>
      </c>
      <c r="B6132" s="3" t="inlineStr">
        <is>
          <t>Week</t>
        </is>
      </c>
      <c r="C6132" s="19" t="n">
        <v>1</v>
      </c>
      <c r="D6132" s="19" t="n">
        <v>2028</v>
      </c>
      <c r="E6132" s="57" t="n">
        <v>6</v>
      </c>
      <c r="F6132" s="29">
        <f>ROUND(((SUMIFS(Calendar!$F$2:$F$9997,Calendar!$B$2:$B$9997,D6132,Calendar!$C$2:$C$9997,C6132)*INDEX(ForeCalc!$B$37:$Y$274,MATCH(_xlfn.CONCAT(H6132," ",I6132),ForeCalc!$A$37:$A$274,0),MATCH(_xlfn.CONCAT(B6132," ",E6132),ForeCalc!$B$36:$Y$36,0))))*VLOOKUP(A6132,Calendar!$A$2:$H$9997,8,FALSE),0)</f>
        <v/>
      </c>
      <c r="G6132" s="29">
        <f>VLOOKUP(A6132,Calendar!$A$1:$H$9997,6,FALSE)-F6132</f>
        <v/>
      </c>
      <c r="H6132" s="19" t="n">
        <v>2</v>
      </c>
      <c r="I6132" s="57" t="n">
        <v>10</v>
      </c>
    </row>
    <row r="6133">
      <c r="A6133" s="62" t="n">
        <v>46764</v>
      </c>
      <c r="B6133" s="3" t="inlineStr">
        <is>
          <t>Week</t>
        </is>
      </c>
      <c r="C6133" s="19" t="n">
        <v>1</v>
      </c>
      <c r="D6133" s="19" t="n">
        <v>2028</v>
      </c>
      <c r="E6133" s="57" t="n">
        <v>6</v>
      </c>
      <c r="F6133" s="29">
        <f>ROUND(((SUMIFS(Calendar!$F$2:$F$9997,Calendar!$B$2:$B$9997,D6133,Calendar!$C$2:$C$9997,C6133)*INDEX(ForeCalc!$B$37:$Y$274,MATCH(_xlfn.CONCAT(H6133," ",I6133),ForeCalc!$A$37:$A$274,0),MATCH(_xlfn.CONCAT(B6133," ",E6133),ForeCalc!$B$36:$Y$36,0))))*VLOOKUP(A6133,Calendar!$A$2:$H$9997,8,FALSE),0)</f>
        <v/>
      </c>
      <c r="G6133" s="29">
        <f>VLOOKUP(A6133,Calendar!$A$1:$H$9997,6,FALSE)-F6133</f>
        <v/>
      </c>
      <c r="H6133" s="19" t="n">
        <v>2</v>
      </c>
      <c r="I6133" s="57" t="n">
        <v>10</v>
      </c>
    </row>
    <row r="6134">
      <c r="A6134" s="62" t="n">
        <v>46765</v>
      </c>
      <c r="B6134" s="3" t="inlineStr">
        <is>
          <t>Week</t>
        </is>
      </c>
      <c r="C6134" s="19" t="n">
        <v>1</v>
      </c>
      <c r="D6134" s="19" t="n">
        <v>2028</v>
      </c>
      <c r="E6134" s="57" t="n">
        <v>6</v>
      </c>
      <c r="F6134" s="29">
        <f>ROUND(((SUMIFS(Calendar!$F$2:$F$9997,Calendar!$B$2:$B$9997,D6134,Calendar!$C$2:$C$9997,C6134)*INDEX(ForeCalc!$B$37:$Y$274,MATCH(_xlfn.CONCAT(H6134," ",I6134),ForeCalc!$A$37:$A$274,0),MATCH(_xlfn.CONCAT(B6134," ",E6134),ForeCalc!$B$36:$Y$36,0))))*VLOOKUP(A6134,Calendar!$A$2:$H$9997,8,FALSE),0)</f>
        <v/>
      </c>
      <c r="G6134" s="29">
        <f>VLOOKUP(A6134,Calendar!$A$1:$H$9997,6,FALSE)-F6134</f>
        <v/>
      </c>
      <c r="H6134" s="19" t="n">
        <v>2</v>
      </c>
      <c r="I6134" s="57" t="n">
        <v>10</v>
      </c>
    </row>
    <row r="6135">
      <c r="A6135" s="62" t="n">
        <v>46766</v>
      </c>
      <c r="B6135" s="3" t="inlineStr">
        <is>
          <t>Week</t>
        </is>
      </c>
      <c r="C6135" s="19" t="n">
        <v>1</v>
      </c>
      <c r="D6135" s="19" t="n">
        <v>2028</v>
      </c>
      <c r="E6135" s="57" t="n">
        <v>6</v>
      </c>
      <c r="F6135" s="29">
        <f>ROUND(((SUMIFS(Calendar!$F$2:$F$9997,Calendar!$B$2:$B$9997,D6135,Calendar!$C$2:$C$9997,C6135)*INDEX(ForeCalc!$B$37:$Y$274,MATCH(_xlfn.CONCAT(H6135," ",I6135),ForeCalc!$A$37:$A$274,0),MATCH(_xlfn.CONCAT(B6135," ",E6135),ForeCalc!$B$36:$Y$36,0))))*VLOOKUP(A6135,Calendar!$A$2:$H$9997,8,FALSE),0)</f>
        <v/>
      </c>
      <c r="G6135" s="29">
        <f>VLOOKUP(A6135,Calendar!$A$1:$H$9997,6,FALSE)-F6135</f>
        <v/>
      </c>
      <c r="H6135" s="19" t="n">
        <v>2</v>
      </c>
      <c r="I6135" s="57" t="n">
        <v>10</v>
      </c>
    </row>
    <row r="6136">
      <c r="A6136" s="62" t="n">
        <v>46767</v>
      </c>
      <c r="B6136" s="3" t="inlineStr">
        <is>
          <t>Sat</t>
        </is>
      </c>
      <c r="C6136" s="19" t="n">
        <v>1</v>
      </c>
      <c r="D6136" s="19" t="n">
        <v>2028</v>
      </c>
      <c r="E6136" s="57" t="n">
        <v>6</v>
      </c>
      <c r="F6136" s="29">
        <f>ROUND(((SUMIFS(Calendar!$F$2:$F$9997,Calendar!$B$2:$B$9997,D6136,Calendar!$C$2:$C$9997,C6136)*INDEX(ForeCalc!$B$37:$Y$274,MATCH(_xlfn.CONCAT(H6136," ",I6136),ForeCalc!$A$37:$A$274,0),MATCH(_xlfn.CONCAT(B6136," ",E6136),ForeCalc!$B$36:$Y$36,0))))*VLOOKUP(A6136,Calendar!$A$2:$H$9997,8,FALSE),0)</f>
        <v/>
      </c>
      <c r="G6136" s="29">
        <f>VLOOKUP(A6136,Calendar!$A$1:$H$9997,6,FALSE)-F6136</f>
        <v/>
      </c>
      <c r="H6136" s="19" t="n">
        <v>2</v>
      </c>
      <c r="I6136" s="57" t="n">
        <v>10</v>
      </c>
    </row>
    <row r="6137">
      <c r="A6137" s="62" t="n">
        <v>46768</v>
      </c>
      <c r="B6137" s="3" t="inlineStr">
        <is>
          <t>Sun</t>
        </is>
      </c>
      <c r="C6137" s="19" t="n">
        <v>1</v>
      </c>
      <c r="D6137" s="19" t="n">
        <v>2028</v>
      </c>
      <c r="E6137" s="57" t="n">
        <v>6</v>
      </c>
      <c r="F6137" s="29">
        <f>ROUND(((SUMIFS(Calendar!$F$2:$F$9997,Calendar!$B$2:$B$9997,D6137,Calendar!$C$2:$C$9997,C6137)*INDEX(ForeCalc!$B$37:$Y$274,MATCH(_xlfn.CONCAT(H6137," ",I6137),ForeCalc!$A$37:$A$274,0),MATCH(_xlfn.CONCAT(B6137," ",E6137),ForeCalc!$B$36:$Y$36,0))))*VLOOKUP(A6137,Calendar!$A$2:$H$9997,8,FALSE),0)</f>
        <v/>
      </c>
      <c r="G6137" s="29">
        <f>VLOOKUP(A6137,Calendar!$A$1:$H$9997,6,FALSE)-F6137</f>
        <v/>
      </c>
      <c r="H6137" s="19" t="n">
        <v>2</v>
      </c>
      <c r="I6137" s="57" t="n">
        <v>10</v>
      </c>
    </row>
    <row r="6138">
      <c r="A6138" s="62" t="n">
        <v>46769</v>
      </c>
      <c r="B6138" s="3" t="inlineStr">
        <is>
          <t>Week</t>
        </is>
      </c>
      <c r="C6138" s="19" t="n">
        <v>1</v>
      </c>
      <c r="D6138" s="19" t="n">
        <v>2028</v>
      </c>
      <c r="E6138" s="57" t="n">
        <v>6</v>
      </c>
      <c r="F6138" s="29">
        <f>ROUND(((SUMIFS(Calendar!$F$2:$F$9997,Calendar!$B$2:$B$9997,D6138,Calendar!$C$2:$C$9997,C6138)*INDEX(ForeCalc!$B$37:$Y$274,MATCH(_xlfn.CONCAT(H6138," ",I6138),ForeCalc!$A$37:$A$274,0),MATCH(_xlfn.CONCAT(B6138," ",E6138),ForeCalc!$B$36:$Y$36,0))))*VLOOKUP(A6138,Calendar!$A$2:$H$9997,8,FALSE),0)</f>
        <v/>
      </c>
      <c r="G6138" s="29">
        <f>VLOOKUP(A6138,Calendar!$A$1:$H$9997,6,FALSE)-F6138</f>
        <v/>
      </c>
      <c r="H6138" s="19" t="n">
        <v>2</v>
      </c>
      <c r="I6138" s="57" t="n">
        <v>10</v>
      </c>
    </row>
    <row r="6139">
      <c r="A6139" s="62" t="n">
        <v>46770</v>
      </c>
      <c r="B6139" s="3" t="inlineStr">
        <is>
          <t>Week</t>
        </is>
      </c>
      <c r="C6139" s="19" t="n">
        <v>1</v>
      </c>
      <c r="D6139" s="19" t="n">
        <v>2028</v>
      </c>
      <c r="E6139" s="57" t="n">
        <v>6</v>
      </c>
      <c r="F6139" s="29">
        <f>ROUND(((SUMIFS(Calendar!$F$2:$F$9997,Calendar!$B$2:$B$9997,D6139,Calendar!$C$2:$C$9997,C6139)*INDEX(ForeCalc!$B$37:$Y$274,MATCH(_xlfn.CONCAT(H6139," ",I6139),ForeCalc!$A$37:$A$274,0),MATCH(_xlfn.CONCAT(B6139," ",E6139),ForeCalc!$B$36:$Y$36,0))))*VLOOKUP(A6139,Calendar!$A$2:$H$9997,8,FALSE),0)</f>
        <v/>
      </c>
      <c r="G6139" s="29">
        <f>VLOOKUP(A6139,Calendar!$A$1:$H$9997,6,FALSE)-F6139</f>
        <v/>
      </c>
      <c r="H6139" s="19" t="n">
        <v>2</v>
      </c>
      <c r="I6139" s="57" t="n">
        <v>10</v>
      </c>
    </row>
    <row r="6140">
      <c r="A6140" s="62" t="n">
        <v>46771</v>
      </c>
      <c r="B6140" s="3" t="inlineStr">
        <is>
          <t>Week</t>
        </is>
      </c>
      <c r="C6140" s="19" t="n">
        <v>1</v>
      </c>
      <c r="D6140" s="19" t="n">
        <v>2028</v>
      </c>
      <c r="E6140" s="57" t="n">
        <v>6</v>
      </c>
      <c r="F6140" s="29">
        <f>ROUND(((SUMIFS(Calendar!$F$2:$F$9997,Calendar!$B$2:$B$9997,D6140,Calendar!$C$2:$C$9997,C6140)*INDEX(ForeCalc!$B$37:$Y$274,MATCH(_xlfn.CONCAT(H6140," ",I6140),ForeCalc!$A$37:$A$274,0),MATCH(_xlfn.CONCAT(B6140," ",E6140),ForeCalc!$B$36:$Y$36,0))))*VLOOKUP(A6140,Calendar!$A$2:$H$9997,8,FALSE),0)</f>
        <v/>
      </c>
      <c r="G6140" s="29">
        <f>VLOOKUP(A6140,Calendar!$A$1:$H$9997,6,FALSE)-F6140</f>
        <v/>
      </c>
      <c r="H6140" s="19" t="n">
        <v>2</v>
      </c>
      <c r="I6140" s="57" t="n">
        <v>10</v>
      </c>
    </row>
    <row r="6141">
      <c r="A6141" s="62" t="n">
        <v>46772</v>
      </c>
      <c r="B6141" s="3" t="inlineStr">
        <is>
          <t>Week</t>
        </is>
      </c>
      <c r="C6141" s="19" t="n">
        <v>1</v>
      </c>
      <c r="D6141" s="19" t="n">
        <v>2028</v>
      </c>
      <c r="E6141" s="57" t="n">
        <v>6</v>
      </c>
      <c r="F6141" s="29">
        <f>ROUND(((SUMIFS(Calendar!$F$2:$F$9997,Calendar!$B$2:$B$9997,D6141,Calendar!$C$2:$C$9997,C6141)*INDEX(ForeCalc!$B$37:$Y$274,MATCH(_xlfn.CONCAT(H6141," ",I6141),ForeCalc!$A$37:$A$274,0),MATCH(_xlfn.CONCAT(B6141," ",E6141),ForeCalc!$B$36:$Y$36,0))))*VLOOKUP(A6141,Calendar!$A$2:$H$9997,8,FALSE),0)</f>
        <v/>
      </c>
      <c r="G6141" s="29">
        <f>VLOOKUP(A6141,Calendar!$A$1:$H$9997,6,FALSE)-F6141</f>
        <v/>
      </c>
      <c r="H6141" s="19" t="n">
        <v>2</v>
      </c>
      <c r="I6141" s="57" t="n">
        <v>10</v>
      </c>
    </row>
    <row r="6142">
      <c r="A6142" s="62" t="n">
        <v>46773</v>
      </c>
      <c r="B6142" s="3" t="inlineStr">
        <is>
          <t>Week</t>
        </is>
      </c>
      <c r="C6142" s="19" t="n">
        <v>1</v>
      </c>
      <c r="D6142" s="19" t="n">
        <v>2028</v>
      </c>
      <c r="E6142" s="57" t="n">
        <v>6</v>
      </c>
      <c r="F6142" s="29">
        <f>ROUND(((SUMIFS(Calendar!$F$2:$F$9997,Calendar!$B$2:$B$9997,D6142,Calendar!$C$2:$C$9997,C6142)*INDEX(ForeCalc!$B$37:$Y$274,MATCH(_xlfn.CONCAT(H6142," ",I6142),ForeCalc!$A$37:$A$274,0),MATCH(_xlfn.CONCAT(B6142," ",E6142),ForeCalc!$B$36:$Y$36,0))))*VLOOKUP(A6142,Calendar!$A$2:$H$9997,8,FALSE),0)</f>
        <v/>
      </c>
      <c r="G6142" s="29">
        <f>VLOOKUP(A6142,Calendar!$A$1:$H$9997,6,FALSE)-F6142</f>
        <v/>
      </c>
      <c r="H6142" s="19" t="n">
        <v>2</v>
      </c>
      <c r="I6142" s="57" t="n">
        <v>10</v>
      </c>
    </row>
    <row r="6143">
      <c r="A6143" s="62" t="n">
        <v>46774</v>
      </c>
      <c r="B6143" s="3" t="inlineStr">
        <is>
          <t>Sat</t>
        </is>
      </c>
      <c r="C6143" s="19" t="n">
        <v>1</v>
      </c>
      <c r="D6143" s="19" t="n">
        <v>2028</v>
      </c>
      <c r="E6143" s="57" t="n">
        <v>6</v>
      </c>
      <c r="F6143" s="29">
        <f>ROUND(((SUMIFS(Calendar!$F$2:$F$9997,Calendar!$B$2:$B$9997,D6143,Calendar!$C$2:$C$9997,C6143)*INDEX(ForeCalc!$B$37:$Y$274,MATCH(_xlfn.CONCAT(H6143," ",I6143),ForeCalc!$A$37:$A$274,0),MATCH(_xlfn.CONCAT(B6143," ",E6143),ForeCalc!$B$36:$Y$36,0))))*VLOOKUP(A6143,Calendar!$A$2:$H$9997,8,FALSE),0)</f>
        <v/>
      </c>
      <c r="G6143" s="29">
        <f>VLOOKUP(A6143,Calendar!$A$1:$H$9997,6,FALSE)-F6143</f>
        <v/>
      </c>
      <c r="H6143" s="19" t="n">
        <v>2</v>
      </c>
      <c r="I6143" s="57" t="n">
        <v>10</v>
      </c>
    </row>
    <row r="6144">
      <c r="A6144" s="62" t="n">
        <v>46775</v>
      </c>
      <c r="B6144" s="3" t="inlineStr">
        <is>
          <t>Sun</t>
        </is>
      </c>
      <c r="C6144" s="19" t="n">
        <v>1</v>
      </c>
      <c r="D6144" s="19" t="n">
        <v>2028</v>
      </c>
      <c r="E6144" s="57" t="n">
        <v>6</v>
      </c>
      <c r="F6144" s="29">
        <f>ROUND(((SUMIFS(Calendar!$F$2:$F$9997,Calendar!$B$2:$B$9997,D6144,Calendar!$C$2:$C$9997,C6144)*INDEX(ForeCalc!$B$37:$Y$274,MATCH(_xlfn.CONCAT(H6144," ",I6144),ForeCalc!$A$37:$A$274,0),MATCH(_xlfn.CONCAT(B6144," ",E6144),ForeCalc!$B$36:$Y$36,0))))*VLOOKUP(A6144,Calendar!$A$2:$H$9997,8,FALSE),0)</f>
        <v/>
      </c>
      <c r="G6144" s="29">
        <f>VLOOKUP(A6144,Calendar!$A$1:$H$9997,6,FALSE)-F6144</f>
        <v/>
      </c>
      <c r="H6144" s="19" t="n">
        <v>2</v>
      </c>
      <c r="I6144" s="57" t="n">
        <v>10</v>
      </c>
    </row>
    <row r="6145">
      <c r="A6145" s="62" t="n">
        <v>46776</v>
      </c>
      <c r="B6145" s="3" t="inlineStr">
        <is>
          <t>Week</t>
        </is>
      </c>
      <c r="C6145" s="19" t="n">
        <v>1</v>
      </c>
      <c r="D6145" s="19" t="n">
        <v>2028</v>
      </c>
      <c r="E6145" s="57" t="n">
        <v>6</v>
      </c>
      <c r="F6145" s="29">
        <f>ROUND(((SUMIFS(Calendar!$F$2:$F$9997,Calendar!$B$2:$B$9997,D6145,Calendar!$C$2:$C$9997,C6145)*INDEX(ForeCalc!$B$37:$Y$274,MATCH(_xlfn.CONCAT(H6145," ",I6145),ForeCalc!$A$37:$A$274,0),MATCH(_xlfn.CONCAT(B6145," ",E6145),ForeCalc!$B$36:$Y$36,0))))*VLOOKUP(A6145,Calendar!$A$2:$H$9997,8,FALSE),0)</f>
        <v/>
      </c>
      <c r="G6145" s="29">
        <f>VLOOKUP(A6145,Calendar!$A$1:$H$9997,6,FALSE)-F6145</f>
        <v/>
      </c>
      <c r="H6145" s="19" t="n">
        <v>2</v>
      </c>
      <c r="I6145" s="57" t="n">
        <v>10</v>
      </c>
    </row>
    <row r="6146">
      <c r="A6146" s="62" t="n">
        <v>46777</v>
      </c>
      <c r="B6146" s="3" t="inlineStr">
        <is>
          <t>Week</t>
        </is>
      </c>
      <c r="C6146" s="19" t="n">
        <v>1</v>
      </c>
      <c r="D6146" s="19" t="n">
        <v>2028</v>
      </c>
      <c r="E6146" s="57" t="n">
        <v>6</v>
      </c>
      <c r="F6146" s="29">
        <f>ROUND(((SUMIFS(Calendar!$F$2:$F$9997,Calendar!$B$2:$B$9997,D6146,Calendar!$C$2:$C$9997,C6146)*INDEX(ForeCalc!$B$37:$Y$274,MATCH(_xlfn.CONCAT(H6146," ",I6146),ForeCalc!$A$37:$A$274,0),MATCH(_xlfn.CONCAT(B6146," ",E6146),ForeCalc!$B$36:$Y$36,0))))*VLOOKUP(A6146,Calendar!$A$2:$H$9997,8,FALSE),0)</f>
        <v/>
      </c>
      <c r="G6146" s="29">
        <f>VLOOKUP(A6146,Calendar!$A$1:$H$9997,6,FALSE)-F6146</f>
        <v/>
      </c>
      <c r="H6146" s="19" t="n">
        <v>2</v>
      </c>
      <c r="I6146" s="57" t="n">
        <v>10</v>
      </c>
    </row>
    <row r="6147">
      <c r="A6147" s="62" t="n">
        <v>46778</v>
      </c>
      <c r="B6147" s="3" t="inlineStr">
        <is>
          <t>Week</t>
        </is>
      </c>
      <c r="C6147" s="19" t="n">
        <v>1</v>
      </c>
      <c r="D6147" s="19" t="n">
        <v>2028</v>
      </c>
      <c r="E6147" s="57" t="n">
        <v>6</v>
      </c>
      <c r="F6147" s="29">
        <f>ROUND(((SUMIFS(Calendar!$F$2:$F$9997,Calendar!$B$2:$B$9997,D6147,Calendar!$C$2:$C$9997,C6147)*INDEX(ForeCalc!$B$37:$Y$274,MATCH(_xlfn.CONCAT(H6147," ",I6147),ForeCalc!$A$37:$A$274,0),MATCH(_xlfn.CONCAT(B6147," ",E6147),ForeCalc!$B$36:$Y$36,0))))*VLOOKUP(A6147,Calendar!$A$2:$H$9997,8,FALSE),0)</f>
        <v/>
      </c>
      <c r="G6147" s="29">
        <f>VLOOKUP(A6147,Calendar!$A$1:$H$9997,6,FALSE)-F6147</f>
        <v/>
      </c>
      <c r="H6147" s="19" t="n">
        <v>2</v>
      </c>
      <c r="I6147" s="57" t="n">
        <v>10</v>
      </c>
    </row>
    <row r="6148">
      <c r="A6148" s="62" t="n">
        <v>46779</v>
      </c>
      <c r="B6148" s="3" t="inlineStr">
        <is>
          <t>Week</t>
        </is>
      </c>
      <c r="C6148" s="19" t="n">
        <v>1</v>
      </c>
      <c r="D6148" s="19" t="n">
        <v>2028</v>
      </c>
      <c r="E6148" s="57" t="n">
        <v>6</v>
      </c>
      <c r="F6148" s="29">
        <f>ROUND(((SUMIFS(Calendar!$F$2:$F$9997,Calendar!$B$2:$B$9997,D6148,Calendar!$C$2:$C$9997,C6148)*INDEX(ForeCalc!$B$37:$Y$274,MATCH(_xlfn.CONCAT(H6148," ",I6148),ForeCalc!$A$37:$A$274,0),MATCH(_xlfn.CONCAT(B6148," ",E6148),ForeCalc!$B$36:$Y$36,0))))*VLOOKUP(A6148,Calendar!$A$2:$H$9997,8,FALSE),0)</f>
        <v/>
      </c>
      <c r="G6148" s="29">
        <f>VLOOKUP(A6148,Calendar!$A$1:$H$9997,6,FALSE)-F6148</f>
        <v/>
      </c>
      <c r="H6148" s="19" t="n">
        <v>2</v>
      </c>
      <c r="I6148" s="57" t="n">
        <v>10</v>
      </c>
    </row>
    <row r="6149">
      <c r="A6149" s="62" t="n">
        <v>46780</v>
      </c>
      <c r="B6149" s="3" t="inlineStr">
        <is>
          <t>Week</t>
        </is>
      </c>
      <c r="C6149" s="19" t="n">
        <v>1</v>
      </c>
      <c r="D6149" s="19" t="n">
        <v>2028</v>
      </c>
      <c r="E6149" s="57" t="n">
        <v>6</v>
      </c>
      <c r="F6149" s="29">
        <f>ROUND(((SUMIFS(Calendar!$F$2:$F$9997,Calendar!$B$2:$B$9997,D6149,Calendar!$C$2:$C$9997,C6149)*INDEX(ForeCalc!$B$37:$Y$274,MATCH(_xlfn.CONCAT(H6149," ",I6149),ForeCalc!$A$37:$A$274,0),MATCH(_xlfn.CONCAT(B6149," ",E6149),ForeCalc!$B$36:$Y$36,0))))*VLOOKUP(A6149,Calendar!$A$2:$H$9997,8,FALSE),0)</f>
        <v/>
      </c>
      <c r="G6149" s="29">
        <f>VLOOKUP(A6149,Calendar!$A$1:$H$9997,6,FALSE)-F6149</f>
        <v/>
      </c>
      <c r="H6149" s="19" t="n">
        <v>2</v>
      </c>
      <c r="I6149" s="57" t="n">
        <v>10</v>
      </c>
    </row>
    <row r="6150">
      <c r="A6150" s="62" t="n">
        <v>46781</v>
      </c>
      <c r="B6150" s="3" t="inlineStr">
        <is>
          <t>Sat</t>
        </is>
      </c>
      <c r="C6150" s="19" t="n">
        <v>1</v>
      </c>
      <c r="D6150" s="19" t="n">
        <v>2028</v>
      </c>
      <c r="E6150" s="57" t="n">
        <v>6</v>
      </c>
      <c r="F6150" s="29">
        <f>ROUND(((SUMIFS(Calendar!$F$2:$F$9997,Calendar!$B$2:$B$9997,D6150,Calendar!$C$2:$C$9997,C6150)*INDEX(ForeCalc!$B$37:$Y$274,MATCH(_xlfn.CONCAT(H6150," ",I6150),ForeCalc!$A$37:$A$274,0),MATCH(_xlfn.CONCAT(B6150," ",E6150),ForeCalc!$B$36:$Y$36,0))))*VLOOKUP(A6150,Calendar!$A$2:$H$9997,8,FALSE),0)</f>
        <v/>
      </c>
      <c r="G6150" s="29">
        <f>VLOOKUP(A6150,Calendar!$A$1:$H$9997,6,FALSE)-F6150</f>
        <v/>
      </c>
      <c r="H6150" s="19" t="n">
        <v>2</v>
      </c>
      <c r="I6150" s="57" t="n">
        <v>10</v>
      </c>
    </row>
    <row r="6151">
      <c r="A6151" s="62" t="n">
        <v>46782</v>
      </c>
      <c r="B6151" s="3" t="inlineStr">
        <is>
          <t>Sun</t>
        </is>
      </c>
      <c r="C6151" s="19" t="n">
        <v>1</v>
      </c>
      <c r="D6151" s="19" t="n">
        <v>2028</v>
      </c>
      <c r="E6151" s="57" t="n">
        <v>6</v>
      </c>
      <c r="F6151" s="29">
        <f>ROUND(((SUMIFS(Calendar!$F$2:$F$9997,Calendar!$B$2:$B$9997,D6151,Calendar!$C$2:$C$9997,C6151)*INDEX(ForeCalc!$B$37:$Y$274,MATCH(_xlfn.CONCAT(H6151," ",I6151),ForeCalc!$A$37:$A$274,0),MATCH(_xlfn.CONCAT(B6151," ",E6151),ForeCalc!$B$36:$Y$36,0))))*VLOOKUP(A6151,Calendar!$A$2:$H$9997,8,FALSE),0)</f>
        <v/>
      </c>
      <c r="G6151" s="29">
        <f>VLOOKUP(A6151,Calendar!$A$1:$H$9997,6,FALSE)-F6151</f>
        <v/>
      </c>
      <c r="H6151" s="19" t="n">
        <v>2</v>
      </c>
      <c r="I6151" s="57" t="n">
        <v>10</v>
      </c>
    </row>
    <row r="6152">
      <c r="A6152" s="62" t="n">
        <v>46783</v>
      </c>
      <c r="B6152" s="3" t="inlineStr">
        <is>
          <t>Week</t>
        </is>
      </c>
      <c r="C6152" s="19" t="n">
        <v>1</v>
      </c>
      <c r="D6152" s="19" t="n">
        <v>2028</v>
      </c>
      <c r="E6152" s="57" t="n">
        <v>6</v>
      </c>
      <c r="F6152" s="29">
        <f>ROUND(((SUMIFS(Calendar!$F$2:$F$9997,Calendar!$B$2:$B$9997,D6152,Calendar!$C$2:$C$9997,C6152)*INDEX(ForeCalc!$B$37:$Y$274,MATCH(_xlfn.CONCAT(H6152," ",I6152),ForeCalc!$A$37:$A$274,0),MATCH(_xlfn.CONCAT(B6152," ",E6152),ForeCalc!$B$36:$Y$36,0))))*VLOOKUP(A6152,Calendar!$A$2:$H$9997,8,FALSE),0)</f>
        <v/>
      </c>
      <c r="G6152" s="29">
        <f>VLOOKUP(A6152,Calendar!$A$1:$H$9997,6,FALSE)-F6152</f>
        <v/>
      </c>
      <c r="H6152" s="19" t="n">
        <v>2</v>
      </c>
      <c r="I6152" s="57" t="n">
        <v>10</v>
      </c>
    </row>
    <row r="6153">
      <c r="A6153" s="62" t="n">
        <v>46784</v>
      </c>
      <c r="B6153" s="3" t="inlineStr">
        <is>
          <t>Week</t>
        </is>
      </c>
      <c r="C6153" s="19" t="n">
        <v>2</v>
      </c>
      <c r="D6153" s="19" t="n">
        <v>2028</v>
      </c>
      <c r="E6153" s="57" t="n">
        <v>6</v>
      </c>
      <c r="F6153" s="29">
        <f>ROUND(((SUMIFS(Calendar!$F$2:$F$9997,Calendar!$B$2:$B$9997,D6153,Calendar!$C$2:$C$9997,C6153)*INDEX(ForeCalc!$B$37:$Y$274,MATCH(_xlfn.CONCAT(H6153," ",I6153),ForeCalc!$A$37:$A$274,0),MATCH(_xlfn.CONCAT(B6153," ",E6153),ForeCalc!$B$36:$Y$36,0))))*VLOOKUP(A6153,Calendar!$A$2:$H$9997,8,FALSE),0)</f>
        <v/>
      </c>
      <c r="G6153" s="29">
        <f>VLOOKUP(A6153,Calendar!$A$1:$H$9997,6,FALSE)-F6153</f>
        <v/>
      </c>
      <c r="H6153" s="19" t="n">
        <v>2</v>
      </c>
      <c r="I6153" s="57" t="n">
        <v>11</v>
      </c>
    </row>
    <row r="6154">
      <c r="A6154" s="62" t="n">
        <v>46785</v>
      </c>
      <c r="B6154" s="3" t="inlineStr">
        <is>
          <t>Week</t>
        </is>
      </c>
      <c r="C6154" s="19" t="n">
        <v>2</v>
      </c>
      <c r="D6154" s="19" t="n">
        <v>2028</v>
      </c>
      <c r="E6154" s="57" t="n">
        <v>6</v>
      </c>
      <c r="F6154" s="29">
        <f>ROUND(((SUMIFS(Calendar!$F$2:$F$9997,Calendar!$B$2:$B$9997,D6154,Calendar!$C$2:$C$9997,C6154)*INDEX(ForeCalc!$B$37:$Y$274,MATCH(_xlfn.CONCAT(H6154," ",I6154),ForeCalc!$A$37:$A$274,0),MATCH(_xlfn.CONCAT(B6154," ",E6154),ForeCalc!$B$36:$Y$36,0))))*VLOOKUP(A6154,Calendar!$A$2:$H$9997,8,FALSE),0)</f>
        <v/>
      </c>
      <c r="G6154" s="29">
        <f>VLOOKUP(A6154,Calendar!$A$1:$H$9997,6,FALSE)-F6154</f>
        <v/>
      </c>
      <c r="H6154" s="19" t="n">
        <v>2</v>
      </c>
      <c r="I6154" s="57" t="n">
        <v>11</v>
      </c>
    </row>
    <row r="6155">
      <c r="A6155" s="62" t="n">
        <v>46786</v>
      </c>
      <c r="B6155" s="3" t="inlineStr">
        <is>
          <t>Week</t>
        </is>
      </c>
      <c r="C6155" s="19" t="n">
        <v>2</v>
      </c>
      <c r="D6155" s="19" t="n">
        <v>2028</v>
      </c>
      <c r="E6155" s="57" t="n">
        <v>6</v>
      </c>
      <c r="F6155" s="29">
        <f>ROUND(((SUMIFS(Calendar!$F$2:$F$9997,Calendar!$B$2:$B$9997,D6155,Calendar!$C$2:$C$9997,C6155)*INDEX(ForeCalc!$B$37:$Y$274,MATCH(_xlfn.CONCAT(H6155," ",I6155),ForeCalc!$A$37:$A$274,0),MATCH(_xlfn.CONCAT(B6155," ",E6155),ForeCalc!$B$36:$Y$36,0))))*VLOOKUP(A6155,Calendar!$A$2:$H$9997,8,FALSE),0)</f>
        <v/>
      </c>
      <c r="G6155" s="29">
        <f>VLOOKUP(A6155,Calendar!$A$1:$H$9997,6,FALSE)-F6155</f>
        <v/>
      </c>
      <c r="H6155" s="19" t="n">
        <v>2</v>
      </c>
      <c r="I6155" s="57" t="n">
        <v>11</v>
      </c>
    </row>
    <row r="6156">
      <c r="A6156" s="62" t="n">
        <v>46787</v>
      </c>
      <c r="B6156" s="3" t="inlineStr">
        <is>
          <t>Week</t>
        </is>
      </c>
      <c r="C6156" s="19" t="n">
        <v>2</v>
      </c>
      <c r="D6156" s="19" t="n">
        <v>2028</v>
      </c>
      <c r="E6156" s="57" t="n">
        <v>6</v>
      </c>
      <c r="F6156" s="29">
        <f>ROUND(((SUMIFS(Calendar!$F$2:$F$9997,Calendar!$B$2:$B$9997,D6156,Calendar!$C$2:$C$9997,C6156)*INDEX(ForeCalc!$B$37:$Y$274,MATCH(_xlfn.CONCAT(H6156," ",I6156),ForeCalc!$A$37:$A$274,0),MATCH(_xlfn.CONCAT(B6156," ",E6156),ForeCalc!$B$36:$Y$36,0))))*VLOOKUP(A6156,Calendar!$A$2:$H$9997,8,FALSE),0)</f>
        <v/>
      </c>
      <c r="G6156" s="29">
        <f>VLOOKUP(A6156,Calendar!$A$1:$H$9997,6,FALSE)-F6156</f>
        <v/>
      </c>
      <c r="H6156" s="19" t="n">
        <v>2</v>
      </c>
      <c r="I6156" s="57" t="n">
        <v>11</v>
      </c>
    </row>
    <row r="6157">
      <c r="A6157" s="62" t="n">
        <v>46788</v>
      </c>
      <c r="B6157" s="3" t="inlineStr">
        <is>
          <t>Sat</t>
        </is>
      </c>
      <c r="C6157" s="19" t="n">
        <v>2</v>
      </c>
      <c r="D6157" s="19" t="n">
        <v>2028</v>
      </c>
      <c r="E6157" s="57" t="n">
        <v>6</v>
      </c>
      <c r="F6157" s="29">
        <f>ROUND(((SUMIFS(Calendar!$F$2:$F$9997,Calendar!$B$2:$B$9997,D6157,Calendar!$C$2:$C$9997,C6157)*INDEX(ForeCalc!$B$37:$Y$274,MATCH(_xlfn.CONCAT(H6157," ",I6157),ForeCalc!$A$37:$A$274,0),MATCH(_xlfn.CONCAT(B6157," ",E6157),ForeCalc!$B$36:$Y$36,0))))*VLOOKUP(A6157,Calendar!$A$2:$H$9997,8,FALSE),0)</f>
        <v/>
      </c>
      <c r="G6157" s="29">
        <f>VLOOKUP(A6157,Calendar!$A$1:$H$9997,6,FALSE)-F6157</f>
        <v/>
      </c>
      <c r="H6157" s="19" t="n">
        <v>2</v>
      </c>
      <c r="I6157" s="57" t="n">
        <v>11</v>
      </c>
    </row>
    <row r="6158">
      <c r="A6158" s="62" t="n">
        <v>46789</v>
      </c>
      <c r="B6158" s="3" t="inlineStr">
        <is>
          <t>Sun</t>
        </is>
      </c>
      <c r="C6158" s="19" t="n">
        <v>2</v>
      </c>
      <c r="D6158" s="19" t="n">
        <v>2028</v>
      </c>
      <c r="E6158" s="57" t="n">
        <v>6</v>
      </c>
      <c r="F6158" s="29">
        <f>ROUND(((SUMIFS(Calendar!$F$2:$F$9997,Calendar!$B$2:$B$9997,D6158,Calendar!$C$2:$C$9997,C6158)*INDEX(ForeCalc!$B$37:$Y$274,MATCH(_xlfn.CONCAT(H6158," ",I6158),ForeCalc!$A$37:$A$274,0),MATCH(_xlfn.CONCAT(B6158," ",E6158),ForeCalc!$B$36:$Y$36,0))))*VLOOKUP(A6158,Calendar!$A$2:$H$9997,8,FALSE),0)</f>
        <v/>
      </c>
      <c r="G6158" s="29">
        <f>VLOOKUP(A6158,Calendar!$A$1:$H$9997,6,FALSE)-F6158</f>
        <v/>
      </c>
      <c r="H6158" s="19" t="n">
        <v>2</v>
      </c>
      <c r="I6158" s="57" t="n">
        <v>11</v>
      </c>
    </row>
    <row r="6159">
      <c r="A6159" s="62" t="n">
        <v>46790</v>
      </c>
      <c r="B6159" s="3" t="inlineStr">
        <is>
          <t>Week</t>
        </is>
      </c>
      <c r="C6159" s="19" t="n">
        <v>2</v>
      </c>
      <c r="D6159" s="19" t="n">
        <v>2028</v>
      </c>
      <c r="E6159" s="57" t="n">
        <v>6</v>
      </c>
      <c r="F6159" s="29">
        <f>ROUND(((SUMIFS(Calendar!$F$2:$F$9997,Calendar!$B$2:$B$9997,D6159,Calendar!$C$2:$C$9997,C6159)*INDEX(ForeCalc!$B$37:$Y$274,MATCH(_xlfn.CONCAT(H6159," ",I6159),ForeCalc!$A$37:$A$274,0),MATCH(_xlfn.CONCAT(B6159," ",E6159),ForeCalc!$B$36:$Y$36,0))))*VLOOKUP(A6159,Calendar!$A$2:$H$9997,8,FALSE),0)</f>
        <v/>
      </c>
      <c r="G6159" s="29">
        <f>VLOOKUP(A6159,Calendar!$A$1:$H$9997,6,FALSE)-F6159</f>
        <v/>
      </c>
      <c r="H6159" s="19" t="n">
        <v>2</v>
      </c>
      <c r="I6159" s="57" t="n">
        <v>11</v>
      </c>
    </row>
    <row r="6160">
      <c r="A6160" s="62" t="n">
        <v>46791</v>
      </c>
      <c r="B6160" s="3" t="inlineStr">
        <is>
          <t>Week</t>
        </is>
      </c>
      <c r="C6160" s="19" t="n">
        <v>2</v>
      </c>
      <c r="D6160" s="19" t="n">
        <v>2028</v>
      </c>
      <c r="E6160" s="57" t="n">
        <v>6</v>
      </c>
      <c r="F6160" s="29">
        <f>ROUND(((SUMIFS(Calendar!$F$2:$F$9997,Calendar!$B$2:$B$9997,D6160,Calendar!$C$2:$C$9997,C6160)*INDEX(ForeCalc!$B$37:$Y$274,MATCH(_xlfn.CONCAT(H6160," ",I6160),ForeCalc!$A$37:$A$274,0),MATCH(_xlfn.CONCAT(B6160," ",E6160),ForeCalc!$B$36:$Y$36,0))))*VLOOKUP(A6160,Calendar!$A$2:$H$9997,8,FALSE),0)</f>
        <v/>
      </c>
      <c r="G6160" s="29">
        <f>VLOOKUP(A6160,Calendar!$A$1:$H$9997,6,FALSE)-F6160</f>
        <v/>
      </c>
      <c r="H6160" s="19" t="n">
        <v>2</v>
      </c>
      <c r="I6160" s="57" t="n">
        <v>11</v>
      </c>
    </row>
    <row r="6161">
      <c r="A6161" s="62" t="n">
        <v>46792</v>
      </c>
      <c r="B6161" s="3" t="inlineStr">
        <is>
          <t>Week</t>
        </is>
      </c>
      <c r="C6161" s="19" t="n">
        <v>2</v>
      </c>
      <c r="D6161" s="19" t="n">
        <v>2028</v>
      </c>
      <c r="E6161" s="57" t="n">
        <v>6</v>
      </c>
      <c r="F6161" s="29">
        <f>ROUND(((SUMIFS(Calendar!$F$2:$F$9997,Calendar!$B$2:$B$9997,D6161,Calendar!$C$2:$C$9997,C6161)*INDEX(ForeCalc!$B$37:$Y$274,MATCH(_xlfn.CONCAT(H6161," ",I6161),ForeCalc!$A$37:$A$274,0),MATCH(_xlfn.CONCAT(B6161," ",E6161),ForeCalc!$B$36:$Y$36,0))))*VLOOKUP(A6161,Calendar!$A$2:$H$9997,8,FALSE),0)</f>
        <v/>
      </c>
      <c r="G6161" s="29">
        <f>VLOOKUP(A6161,Calendar!$A$1:$H$9997,6,FALSE)-F6161</f>
        <v/>
      </c>
      <c r="H6161" s="19" t="n">
        <v>2</v>
      </c>
      <c r="I6161" s="57" t="n">
        <v>11</v>
      </c>
    </row>
    <row r="6162">
      <c r="A6162" s="62" t="n">
        <v>46793</v>
      </c>
      <c r="B6162" s="3" t="inlineStr">
        <is>
          <t>Week</t>
        </is>
      </c>
      <c r="C6162" s="19" t="n">
        <v>2</v>
      </c>
      <c r="D6162" s="19" t="n">
        <v>2028</v>
      </c>
      <c r="E6162" s="57" t="n">
        <v>6</v>
      </c>
      <c r="F6162" s="29">
        <f>ROUND(((SUMIFS(Calendar!$F$2:$F$9997,Calendar!$B$2:$B$9997,D6162,Calendar!$C$2:$C$9997,C6162)*INDEX(ForeCalc!$B$37:$Y$274,MATCH(_xlfn.CONCAT(H6162," ",I6162),ForeCalc!$A$37:$A$274,0),MATCH(_xlfn.CONCAT(B6162," ",E6162),ForeCalc!$B$36:$Y$36,0))))*VLOOKUP(A6162,Calendar!$A$2:$H$9997,8,FALSE),0)</f>
        <v/>
      </c>
      <c r="G6162" s="29">
        <f>VLOOKUP(A6162,Calendar!$A$1:$H$9997,6,FALSE)-F6162</f>
        <v/>
      </c>
      <c r="H6162" s="19" t="n">
        <v>2</v>
      </c>
      <c r="I6162" s="57" t="n">
        <v>11</v>
      </c>
    </row>
    <row r="6163">
      <c r="A6163" s="62" t="n">
        <v>46794</v>
      </c>
      <c r="B6163" s="3" t="inlineStr">
        <is>
          <t>Week</t>
        </is>
      </c>
      <c r="C6163" s="19" t="n">
        <v>2</v>
      </c>
      <c r="D6163" s="19" t="n">
        <v>2028</v>
      </c>
      <c r="E6163" s="57" t="n">
        <v>6</v>
      </c>
      <c r="F6163" s="29">
        <f>ROUND(((SUMIFS(Calendar!$F$2:$F$9997,Calendar!$B$2:$B$9997,D6163,Calendar!$C$2:$C$9997,C6163)*INDEX(ForeCalc!$B$37:$Y$274,MATCH(_xlfn.CONCAT(H6163," ",I6163),ForeCalc!$A$37:$A$274,0),MATCH(_xlfn.CONCAT(B6163," ",E6163),ForeCalc!$B$36:$Y$36,0))))*VLOOKUP(A6163,Calendar!$A$2:$H$9997,8,FALSE),0)</f>
        <v/>
      </c>
      <c r="G6163" s="29">
        <f>VLOOKUP(A6163,Calendar!$A$1:$H$9997,6,FALSE)-F6163</f>
        <v/>
      </c>
      <c r="H6163" s="19" t="n">
        <v>2</v>
      </c>
      <c r="I6163" s="57" t="n">
        <v>11</v>
      </c>
    </row>
    <row r="6164">
      <c r="A6164" s="62" t="n">
        <v>46795</v>
      </c>
      <c r="B6164" s="3" t="inlineStr">
        <is>
          <t>Sat</t>
        </is>
      </c>
      <c r="C6164" s="19" t="n">
        <v>2</v>
      </c>
      <c r="D6164" s="19" t="n">
        <v>2028</v>
      </c>
      <c r="E6164" s="57" t="n">
        <v>6</v>
      </c>
      <c r="F6164" s="29">
        <f>ROUND(((SUMIFS(Calendar!$F$2:$F$9997,Calendar!$B$2:$B$9997,D6164,Calendar!$C$2:$C$9997,C6164)*INDEX(ForeCalc!$B$37:$Y$274,MATCH(_xlfn.CONCAT(H6164," ",I6164),ForeCalc!$A$37:$A$274,0),MATCH(_xlfn.CONCAT(B6164," ",E6164),ForeCalc!$B$36:$Y$36,0))))*VLOOKUP(A6164,Calendar!$A$2:$H$9997,8,FALSE),0)</f>
        <v/>
      </c>
      <c r="G6164" s="29">
        <f>VLOOKUP(A6164,Calendar!$A$1:$H$9997,6,FALSE)-F6164</f>
        <v/>
      </c>
      <c r="H6164" s="19" t="n">
        <v>2</v>
      </c>
      <c r="I6164" s="57" t="n">
        <v>11</v>
      </c>
    </row>
    <row r="6165">
      <c r="A6165" s="62" t="n">
        <v>46796</v>
      </c>
      <c r="B6165" s="3" t="inlineStr">
        <is>
          <t>Sun</t>
        </is>
      </c>
      <c r="C6165" s="19" t="n">
        <v>2</v>
      </c>
      <c r="D6165" s="19" t="n">
        <v>2028</v>
      </c>
      <c r="E6165" s="57" t="n">
        <v>6</v>
      </c>
      <c r="F6165" s="29">
        <f>ROUND(((SUMIFS(Calendar!$F$2:$F$9997,Calendar!$B$2:$B$9997,D6165,Calendar!$C$2:$C$9997,C6165)*INDEX(ForeCalc!$B$37:$Y$274,MATCH(_xlfn.CONCAT(H6165," ",I6165),ForeCalc!$A$37:$A$274,0),MATCH(_xlfn.CONCAT(B6165," ",E6165),ForeCalc!$B$36:$Y$36,0))))*VLOOKUP(A6165,Calendar!$A$2:$H$9997,8,FALSE),0)</f>
        <v/>
      </c>
      <c r="G6165" s="29">
        <f>VLOOKUP(A6165,Calendar!$A$1:$H$9997,6,FALSE)-F6165</f>
        <v/>
      </c>
      <c r="H6165" s="19" t="n">
        <v>2</v>
      </c>
      <c r="I6165" s="57" t="n">
        <v>11</v>
      </c>
    </row>
    <row r="6166">
      <c r="A6166" s="62" t="n">
        <v>46797</v>
      </c>
      <c r="B6166" s="3" t="inlineStr">
        <is>
          <t>Week</t>
        </is>
      </c>
      <c r="C6166" s="19" t="n">
        <v>2</v>
      </c>
      <c r="D6166" s="19" t="n">
        <v>2028</v>
      </c>
      <c r="E6166" s="57" t="n">
        <v>6</v>
      </c>
      <c r="F6166" s="29">
        <f>ROUND(((SUMIFS(Calendar!$F$2:$F$9997,Calendar!$B$2:$B$9997,D6166,Calendar!$C$2:$C$9997,C6166)*INDEX(ForeCalc!$B$37:$Y$274,MATCH(_xlfn.CONCAT(H6166," ",I6166),ForeCalc!$A$37:$A$274,0),MATCH(_xlfn.CONCAT(B6166," ",E6166),ForeCalc!$B$36:$Y$36,0))))*VLOOKUP(A6166,Calendar!$A$2:$H$9997,8,FALSE),0)</f>
        <v/>
      </c>
      <c r="G6166" s="29">
        <f>VLOOKUP(A6166,Calendar!$A$1:$H$9997,6,FALSE)-F6166</f>
        <v/>
      </c>
      <c r="H6166" s="19" t="n">
        <v>2</v>
      </c>
      <c r="I6166" s="57" t="n">
        <v>11</v>
      </c>
    </row>
    <row r="6167">
      <c r="A6167" s="62" t="n">
        <v>46798</v>
      </c>
      <c r="B6167" s="3" t="inlineStr">
        <is>
          <t>Week</t>
        </is>
      </c>
      <c r="C6167" s="19" t="n">
        <v>2</v>
      </c>
      <c r="D6167" s="19" t="n">
        <v>2028</v>
      </c>
      <c r="E6167" s="57" t="n">
        <v>6</v>
      </c>
      <c r="F6167" s="29">
        <f>ROUND(((SUMIFS(Calendar!$F$2:$F$9997,Calendar!$B$2:$B$9997,D6167,Calendar!$C$2:$C$9997,C6167)*INDEX(ForeCalc!$B$37:$Y$274,MATCH(_xlfn.CONCAT(H6167," ",I6167),ForeCalc!$A$37:$A$274,0),MATCH(_xlfn.CONCAT(B6167," ",E6167),ForeCalc!$B$36:$Y$36,0))))*VLOOKUP(A6167,Calendar!$A$2:$H$9997,8,FALSE),0)</f>
        <v/>
      </c>
      <c r="G6167" s="29">
        <f>VLOOKUP(A6167,Calendar!$A$1:$H$9997,6,FALSE)-F6167</f>
        <v/>
      </c>
      <c r="H6167" s="19" t="n">
        <v>2</v>
      </c>
      <c r="I6167" s="57" t="n">
        <v>11</v>
      </c>
    </row>
    <row r="6168">
      <c r="A6168" s="62" t="n">
        <v>46799</v>
      </c>
      <c r="B6168" s="3" t="inlineStr">
        <is>
          <t>Week</t>
        </is>
      </c>
      <c r="C6168" s="19" t="n">
        <v>2</v>
      </c>
      <c r="D6168" s="19" t="n">
        <v>2028</v>
      </c>
      <c r="E6168" s="57" t="n">
        <v>6</v>
      </c>
      <c r="F6168" s="29">
        <f>ROUND(((SUMIFS(Calendar!$F$2:$F$9997,Calendar!$B$2:$B$9997,D6168,Calendar!$C$2:$C$9997,C6168)*INDEX(ForeCalc!$B$37:$Y$274,MATCH(_xlfn.CONCAT(H6168," ",I6168),ForeCalc!$A$37:$A$274,0),MATCH(_xlfn.CONCAT(B6168," ",E6168),ForeCalc!$B$36:$Y$36,0))))*VLOOKUP(A6168,Calendar!$A$2:$H$9997,8,FALSE),0)</f>
        <v/>
      </c>
      <c r="G6168" s="29">
        <f>VLOOKUP(A6168,Calendar!$A$1:$H$9997,6,FALSE)-F6168</f>
        <v/>
      </c>
      <c r="H6168" s="19" t="n">
        <v>2</v>
      </c>
      <c r="I6168" s="57" t="n">
        <v>11</v>
      </c>
    </row>
    <row r="6169">
      <c r="A6169" s="62" t="n">
        <v>46800</v>
      </c>
      <c r="B6169" s="3" t="inlineStr">
        <is>
          <t>Week</t>
        </is>
      </c>
      <c r="C6169" s="19" t="n">
        <v>2</v>
      </c>
      <c r="D6169" s="19" t="n">
        <v>2028</v>
      </c>
      <c r="E6169" s="57" t="n">
        <v>6</v>
      </c>
      <c r="F6169" s="29">
        <f>ROUND(((SUMIFS(Calendar!$F$2:$F$9997,Calendar!$B$2:$B$9997,D6169,Calendar!$C$2:$C$9997,C6169)*INDEX(ForeCalc!$B$37:$Y$274,MATCH(_xlfn.CONCAT(H6169," ",I6169),ForeCalc!$A$37:$A$274,0),MATCH(_xlfn.CONCAT(B6169," ",E6169),ForeCalc!$B$36:$Y$36,0))))*VLOOKUP(A6169,Calendar!$A$2:$H$9997,8,FALSE),0)</f>
        <v/>
      </c>
      <c r="G6169" s="29">
        <f>VLOOKUP(A6169,Calendar!$A$1:$H$9997,6,FALSE)-F6169</f>
        <v/>
      </c>
      <c r="H6169" s="19" t="n">
        <v>2</v>
      </c>
      <c r="I6169" s="57" t="n">
        <v>11</v>
      </c>
    </row>
    <row r="6170">
      <c r="A6170" s="62" t="n">
        <v>46801</v>
      </c>
      <c r="B6170" s="3" t="inlineStr">
        <is>
          <t>Week</t>
        </is>
      </c>
      <c r="C6170" s="19" t="n">
        <v>2</v>
      </c>
      <c r="D6170" s="19" t="n">
        <v>2028</v>
      </c>
      <c r="E6170" s="57" t="n">
        <v>6</v>
      </c>
      <c r="F6170" s="29">
        <f>ROUND(((SUMIFS(Calendar!$F$2:$F$9997,Calendar!$B$2:$B$9997,D6170,Calendar!$C$2:$C$9997,C6170)*INDEX(ForeCalc!$B$37:$Y$274,MATCH(_xlfn.CONCAT(H6170," ",I6170),ForeCalc!$A$37:$A$274,0),MATCH(_xlfn.CONCAT(B6170," ",E6170),ForeCalc!$B$36:$Y$36,0))))*VLOOKUP(A6170,Calendar!$A$2:$H$9997,8,FALSE),0)</f>
        <v/>
      </c>
      <c r="G6170" s="29">
        <f>VLOOKUP(A6170,Calendar!$A$1:$H$9997,6,FALSE)-F6170</f>
        <v/>
      </c>
      <c r="H6170" s="19" t="n">
        <v>2</v>
      </c>
      <c r="I6170" s="57" t="n">
        <v>11</v>
      </c>
    </row>
    <row r="6171">
      <c r="A6171" s="62" t="n">
        <v>46802</v>
      </c>
      <c r="B6171" s="3" t="inlineStr">
        <is>
          <t>Sat</t>
        </is>
      </c>
      <c r="C6171" s="19" t="n">
        <v>2</v>
      </c>
      <c r="D6171" s="19" t="n">
        <v>2028</v>
      </c>
      <c r="E6171" s="57" t="n">
        <v>6</v>
      </c>
      <c r="F6171" s="29">
        <f>ROUND(((SUMIFS(Calendar!$F$2:$F$9997,Calendar!$B$2:$B$9997,D6171,Calendar!$C$2:$C$9997,C6171)*INDEX(ForeCalc!$B$37:$Y$274,MATCH(_xlfn.CONCAT(H6171," ",I6171),ForeCalc!$A$37:$A$274,0),MATCH(_xlfn.CONCAT(B6171," ",E6171),ForeCalc!$B$36:$Y$36,0))))*VLOOKUP(A6171,Calendar!$A$2:$H$9997,8,FALSE),0)</f>
        <v/>
      </c>
      <c r="G6171" s="29">
        <f>VLOOKUP(A6171,Calendar!$A$1:$H$9997,6,FALSE)-F6171</f>
        <v/>
      </c>
      <c r="H6171" s="19" t="n">
        <v>2</v>
      </c>
      <c r="I6171" s="57" t="n">
        <v>11</v>
      </c>
    </row>
    <row r="6172">
      <c r="A6172" s="62" t="n">
        <v>46803</v>
      </c>
      <c r="B6172" s="3" t="inlineStr">
        <is>
          <t>Sun</t>
        </is>
      </c>
      <c r="C6172" s="19" t="n">
        <v>2</v>
      </c>
      <c r="D6172" s="19" t="n">
        <v>2028</v>
      </c>
      <c r="E6172" s="57" t="n">
        <v>6</v>
      </c>
      <c r="F6172" s="29">
        <f>ROUND(((SUMIFS(Calendar!$F$2:$F$9997,Calendar!$B$2:$B$9997,D6172,Calendar!$C$2:$C$9997,C6172)*INDEX(ForeCalc!$B$37:$Y$274,MATCH(_xlfn.CONCAT(H6172," ",I6172),ForeCalc!$A$37:$A$274,0),MATCH(_xlfn.CONCAT(B6172," ",E6172),ForeCalc!$B$36:$Y$36,0))))*VLOOKUP(A6172,Calendar!$A$2:$H$9997,8,FALSE),0)</f>
        <v/>
      </c>
      <c r="G6172" s="29">
        <f>VLOOKUP(A6172,Calendar!$A$1:$H$9997,6,FALSE)-F6172</f>
        <v/>
      </c>
      <c r="H6172" s="19" t="n">
        <v>2</v>
      </c>
      <c r="I6172" s="57" t="n">
        <v>11</v>
      </c>
    </row>
    <row r="6173">
      <c r="A6173" s="62" t="n">
        <v>46804</v>
      </c>
      <c r="B6173" s="3" t="inlineStr">
        <is>
          <t>Week</t>
        </is>
      </c>
      <c r="C6173" s="19" t="n">
        <v>2</v>
      </c>
      <c r="D6173" s="19" t="n">
        <v>2028</v>
      </c>
      <c r="E6173" s="57" t="n">
        <v>6</v>
      </c>
      <c r="F6173" s="29">
        <f>ROUND(((SUMIFS(Calendar!$F$2:$F$9997,Calendar!$B$2:$B$9997,D6173,Calendar!$C$2:$C$9997,C6173)*INDEX(ForeCalc!$B$37:$Y$274,MATCH(_xlfn.CONCAT(H6173," ",I6173),ForeCalc!$A$37:$A$274,0),MATCH(_xlfn.CONCAT(B6173," ",E6173),ForeCalc!$B$36:$Y$36,0))))*VLOOKUP(A6173,Calendar!$A$2:$H$9997,8,FALSE),0)</f>
        <v/>
      </c>
      <c r="G6173" s="29">
        <f>VLOOKUP(A6173,Calendar!$A$1:$H$9997,6,FALSE)-F6173</f>
        <v/>
      </c>
      <c r="H6173" s="19" t="n">
        <v>2</v>
      </c>
      <c r="I6173" s="57" t="n">
        <v>11</v>
      </c>
    </row>
    <row r="6174">
      <c r="A6174" s="62" t="n">
        <v>46805</v>
      </c>
      <c r="B6174" s="3" t="inlineStr">
        <is>
          <t>Week</t>
        </is>
      </c>
      <c r="C6174" s="19" t="n">
        <v>2</v>
      </c>
      <c r="D6174" s="19" t="n">
        <v>2028</v>
      </c>
      <c r="E6174" s="57" t="n">
        <v>6</v>
      </c>
      <c r="F6174" s="29">
        <f>ROUND(((SUMIFS(Calendar!$F$2:$F$9997,Calendar!$B$2:$B$9997,D6174,Calendar!$C$2:$C$9997,C6174)*INDEX(ForeCalc!$B$37:$Y$274,MATCH(_xlfn.CONCAT(H6174," ",I6174),ForeCalc!$A$37:$A$274,0),MATCH(_xlfn.CONCAT(B6174," ",E6174),ForeCalc!$B$36:$Y$36,0))))*VLOOKUP(A6174,Calendar!$A$2:$H$9997,8,FALSE),0)</f>
        <v/>
      </c>
      <c r="G6174" s="29">
        <f>VLOOKUP(A6174,Calendar!$A$1:$H$9997,6,FALSE)-F6174</f>
        <v/>
      </c>
      <c r="H6174" s="19" t="n">
        <v>2</v>
      </c>
      <c r="I6174" s="57" t="n">
        <v>11</v>
      </c>
    </row>
    <row r="6175">
      <c r="A6175" s="62" t="n">
        <v>46806</v>
      </c>
      <c r="B6175" s="3" t="inlineStr">
        <is>
          <t>Week</t>
        </is>
      </c>
      <c r="C6175" s="19" t="n">
        <v>2</v>
      </c>
      <c r="D6175" s="19" t="n">
        <v>2028</v>
      </c>
      <c r="E6175" s="57" t="n">
        <v>6</v>
      </c>
      <c r="F6175" s="29">
        <f>ROUND(((SUMIFS(Calendar!$F$2:$F$9997,Calendar!$B$2:$B$9997,D6175,Calendar!$C$2:$C$9997,C6175)*INDEX(ForeCalc!$B$37:$Y$274,MATCH(_xlfn.CONCAT(H6175," ",I6175),ForeCalc!$A$37:$A$274,0),MATCH(_xlfn.CONCAT(B6175," ",E6175),ForeCalc!$B$36:$Y$36,0))))*VLOOKUP(A6175,Calendar!$A$2:$H$9997,8,FALSE),0)</f>
        <v/>
      </c>
      <c r="G6175" s="29">
        <f>VLOOKUP(A6175,Calendar!$A$1:$H$9997,6,FALSE)-F6175</f>
        <v/>
      </c>
      <c r="H6175" s="19" t="n">
        <v>2</v>
      </c>
      <c r="I6175" s="57" t="n">
        <v>11</v>
      </c>
    </row>
    <row r="6176">
      <c r="A6176" s="62" t="n">
        <v>46807</v>
      </c>
      <c r="B6176" s="3" t="inlineStr">
        <is>
          <t>Week</t>
        </is>
      </c>
      <c r="C6176" s="19" t="n">
        <v>2</v>
      </c>
      <c r="D6176" s="19" t="n">
        <v>2028</v>
      </c>
      <c r="E6176" s="57" t="n">
        <v>6</v>
      </c>
      <c r="F6176" s="29">
        <f>ROUND(((SUMIFS(Calendar!$F$2:$F$9997,Calendar!$B$2:$B$9997,D6176,Calendar!$C$2:$C$9997,C6176)*INDEX(ForeCalc!$B$37:$Y$274,MATCH(_xlfn.CONCAT(H6176," ",I6176),ForeCalc!$A$37:$A$274,0),MATCH(_xlfn.CONCAT(B6176," ",E6176),ForeCalc!$B$36:$Y$36,0))))*VLOOKUP(A6176,Calendar!$A$2:$H$9997,8,FALSE),0)</f>
        <v/>
      </c>
      <c r="G6176" s="29">
        <f>VLOOKUP(A6176,Calendar!$A$1:$H$9997,6,FALSE)-F6176</f>
        <v/>
      </c>
      <c r="H6176" s="19" t="n">
        <v>2</v>
      </c>
      <c r="I6176" s="57" t="n">
        <v>11</v>
      </c>
    </row>
    <row r="6177">
      <c r="A6177" s="62" t="n">
        <v>46808</v>
      </c>
      <c r="B6177" s="3" t="inlineStr">
        <is>
          <t>Week</t>
        </is>
      </c>
      <c r="C6177" s="19" t="n">
        <v>2</v>
      </c>
      <c r="D6177" s="19" t="n">
        <v>2028</v>
      </c>
      <c r="E6177" s="57" t="n">
        <v>6</v>
      </c>
      <c r="F6177" s="29">
        <f>ROUND(((SUMIFS(Calendar!$F$2:$F$9997,Calendar!$B$2:$B$9997,D6177,Calendar!$C$2:$C$9997,C6177)*INDEX(ForeCalc!$B$37:$Y$274,MATCH(_xlfn.CONCAT(H6177," ",I6177),ForeCalc!$A$37:$A$274,0),MATCH(_xlfn.CONCAT(B6177," ",E6177),ForeCalc!$B$36:$Y$36,0))))*VLOOKUP(A6177,Calendar!$A$2:$H$9997,8,FALSE),0)</f>
        <v/>
      </c>
      <c r="G6177" s="29">
        <f>VLOOKUP(A6177,Calendar!$A$1:$H$9997,6,FALSE)-F6177</f>
        <v/>
      </c>
      <c r="H6177" s="19" t="n">
        <v>2</v>
      </c>
      <c r="I6177" s="57" t="n">
        <v>11</v>
      </c>
    </row>
    <row r="6178">
      <c r="A6178" s="62" t="n">
        <v>46809</v>
      </c>
      <c r="B6178" s="3" t="inlineStr">
        <is>
          <t>Sat</t>
        </is>
      </c>
      <c r="C6178" s="19" t="n">
        <v>2</v>
      </c>
      <c r="D6178" s="19" t="n">
        <v>2028</v>
      </c>
      <c r="E6178" s="57" t="n">
        <v>6</v>
      </c>
      <c r="F6178" s="29">
        <f>ROUND(((SUMIFS(Calendar!$F$2:$F$9997,Calendar!$B$2:$B$9997,D6178,Calendar!$C$2:$C$9997,C6178)*INDEX(ForeCalc!$B$37:$Y$274,MATCH(_xlfn.CONCAT(H6178," ",I6178),ForeCalc!$A$37:$A$274,0),MATCH(_xlfn.CONCAT(B6178," ",E6178),ForeCalc!$B$36:$Y$36,0))))*VLOOKUP(A6178,Calendar!$A$2:$H$9997,8,FALSE),0)</f>
        <v/>
      </c>
      <c r="G6178" s="29">
        <f>VLOOKUP(A6178,Calendar!$A$1:$H$9997,6,FALSE)-F6178</f>
        <v/>
      </c>
      <c r="H6178" s="19" t="n">
        <v>2</v>
      </c>
      <c r="I6178" s="57" t="n">
        <v>11</v>
      </c>
    </row>
    <row r="6179">
      <c r="A6179" s="62" t="n">
        <v>46810</v>
      </c>
      <c r="B6179" s="3" t="inlineStr">
        <is>
          <t>Sun</t>
        </is>
      </c>
      <c r="C6179" s="19" t="n">
        <v>2</v>
      </c>
      <c r="D6179" s="19" t="n">
        <v>2028</v>
      </c>
      <c r="E6179" s="57" t="n">
        <v>6</v>
      </c>
      <c r="F6179" s="29">
        <f>ROUND(((SUMIFS(Calendar!$F$2:$F$9997,Calendar!$B$2:$B$9997,D6179,Calendar!$C$2:$C$9997,C6179)*INDEX(ForeCalc!$B$37:$Y$274,MATCH(_xlfn.CONCAT(H6179," ",I6179),ForeCalc!$A$37:$A$274,0),MATCH(_xlfn.CONCAT(B6179," ",E6179),ForeCalc!$B$36:$Y$36,0))))*VLOOKUP(A6179,Calendar!$A$2:$H$9997,8,FALSE),0)</f>
        <v/>
      </c>
      <c r="G6179" s="29">
        <f>VLOOKUP(A6179,Calendar!$A$1:$H$9997,6,FALSE)-F6179</f>
        <v/>
      </c>
      <c r="H6179" s="19" t="n">
        <v>2</v>
      </c>
      <c r="I6179" s="57" t="n">
        <v>11</v>
      </c>
    </row>
    <row r="6180">
      <c r="A6180" s="62" t="n">
        <v>46811</v>
      </c>
      <c r="B6180" s="3" t="inlineStr">
        <is>
          <t>Week</t>
        </is>
      </c>
      <c r="C6180" s="19" t="n">
        <v>2</v>
      </c>
      <c r="D6180" s="19" t="n">
        <v>2028</v>
      </c>
      <c r="E6180" s="57" t="n">
        <v>6</v>
      </c>
      <c r="F6180" s="29">
        <f>ROUND(((SUMIFS(Calendar!$F$2:$F$9997,Calendar!$B$2:$B$9997,D6180,Calendar!$C$2:$C$9997,C6180)*INDEX(ForeCalc!$B$37:$Y$274,MATCH(_xlfn.CONCAT(H6180," ",I6180),ForeCalc!$A$37:$A$274,0),MATCH(_xlfn.CONCAT(B6180," ",E6180),ForeCalc!$B$36:$Y$36,0))))*VLOOKUP(A6180,Calendar!$A$2:$H$9997,8,FALSE),0)</f>
        <v/>
      </c>
      <c r="G6180" s="29">
        <f>VLOOKUP(A6180,Calendar!$A$1:$H$9997,6,FALSE)-F6180</f>
        <v/>
      </c>
      <c r="H6180" s="19" t="n">
        <v>2</v>
      </c>
      <c r="I6180" s="57" t="n">
        <v>11</v>
      </c>
    </row>
    <row r="6181">
      <c r="A6181" s="62" t="n">
        <v>46812</v>
      </c>
      <c r="B6181" s="3" t="inlineStr">
        <is>
          <t>Week</t>
        </is>
      </c>
      <c r="C6181" s="19" t="n">
        <v>2</v>
      </c>
      <c r="D6181" s="19" t="n">
        <v>2028</v>
      </c>
      <c r="E6181" s="57" t="n">
        <v>6</v>
      </c>
      <c r="F6181" s="29">
        <f>ROUND(((SUMIFS(Calendar!$F$2:$F$9997,Calendar!$B$2:$B$9997,D6181,Calendar!$C$2:$C$9997,C6181)*INDEX(ForeCalc!$B$37:$Y$274,MATCH(_xlfn.CONCAT(H6181," ",I6181),ForeCalc!$A$37:$A$274,0),MATCH(_xlfn.CONCAT(B6181," ",E6181),ForeCalc!$B$36:$Y$36,0))))*VLOOKUP(A6181,Calendar!$A$2:$H$9997,8,FALSE),0)</f>
        <v/>
      </c>
      <c r="G6181" s="29">
        <f>VLOOKUP(A6181,Calendar!$A$1:$H$9997,6,FALSE)-F6181</f>
        <v/>
      </c>
      <c r="H6181" s="19" t="n">
        <v>2</v>
      </c>
      <c r="I6181" s="57" t="n">
        <v>11</v>
      </c>
    </row>
    <row r="6182">
      <c r="A6182" s="62" t="n">
        <v>46813</v>
      </c>
      <c r="B6182" s="3" t="inlineStr">
        <is>
          <t>Week</t>
        </is>
      </c>
      <c r="C6182" s="19" t="n">
        <v>3</v>
      </c>
      <c r="D6182" s="19" t="n">
        <v>2028</v>
      </c>
      <c r="E6182" s="57" t="n">
        <v>6</v>
      </c>
      <c r="F6182" s="29">
        <f>ROUND(((SUMIFS(Calendar!$F$2:$F$9997,Calendar!$B$2:$B$9997,D6182,Calendar!$C$2:$C$9997,C6182)*INDEX(ForeCalc!$B$37:$Y$274,MATCH(_xlfn.CONCAT(H6182," ",I6182),ForeCalc!$A$37:$A$274,0),MATCH(_xlfn.CONCAT(B6182," ",E6182),ForeCalc!$B$36:$Y$36,0))))*VLOOKUP(A6182,Calendar!$A$2:$H$9997,8,FALSE),0)</f>
        <v/>
      </c>
      <c r="G6182" s="29">
        <f>VLOOKUP(A6182,Calendar!$A$1:$H$9997,6,FALSE)-F6182</f>
        <v/>
      </c>
      <c r="H6182" s="19" t="n">
        <v>2</v>
      </c>
      <c r="I6182" s="57" t="n">
        <v>12</v>
      </c>
    </row>
    <row r="6183">
      <c r="A6183" s="62" t="n">
        <v>46814</v>
      </c>
      <c r="B6183" s="3" t="inlineStr">
        <is>
          <t>Week</t>
        </is>
      </c>
      <c r="C6183" s="19" t="n">
        <v>3</v>
      </c>
      <c r="D6183" s="19" t="n">
        <v>2028</v>
      </c>
      <c r="E6183" s="57" t="n">
        <v>6</v>
      </c>
      <c r="F6183" s="29">
        <f>ROUND(((SUMIFS(Calendar!$F$2:$F$9997,Calendar!$B$2:$B$9997,D6183,Calendar!$C$2:$C$9997,C6183)*INDEX(ForeCalc!$B$37:$Y$274,MATCH(_xlfn.CONCAT(H6183," ",I6183),ForeCalc!$A$37:$A$274,0),MATCH(_xlfn.CONCAT(B6183," ",E6183),ForeCalc!$B$36:$Y$36,0))))*VLOOKUP(A6183,Calendar!$A$2:$H$9997,8,FALSE),0)</f>
        <v/>
      </c>
      <c r="G6183" s="29">
        <f>VLOOKUP(A6183,Calendar!$A$1:$H$9997,6,FALSE)-F6183</f>
        <v/>
      </c>
      <c r="H6183" s="19" t="n">
        <v>2</v>
      </c>
      <c r="I6183" s="57" t="n">
        <v>12</v>
      </c>
    </row>
    <row r="6184">
      <c r="A6184" s="62" t="n">
        <v>46815</v>
      </c>
      <c r="B6184" s="3" t="inlineStr">
        <is>
          <t>Week</t>
        </is>
      </c>
      <c r="C6184" s="19" t="n">
        <v>3</v>
      </c>
      <c r="D6184" s="19" t="n">
        <v>2028</v>
      </c>
      <c r="E6184" s="57" t="n">
        <v>6</v>
      </c>
      <c r="F6184" s="29">
        <f>ROUND(((SUMIFS(Calendar!$F$2:$F$9997,Calendar!$B$2:$B$9997,D6184,Calendar!$C$2:$C$9997,C6184)*INDEX(ForeCalc!$B$37:$Y$274,MATCH(_xlfn.CONCAT(H6184," ",I6184),ForeCalc!$A$37:$A$274,0),MATCH(_xlfn.CONCAT(B6184," ",E6184),ForeCalc!$B$36:$Y$36,0))))*VLOOKUP(A6184,Calendar!$A$2:$H$9997,8,FALSE),0)</f>
        <v/>
      </c>
      <c r="G6184" s="29">
        <f>VLOOKUP(A6184,Calendar!$A$1:$H$9997,6,FALSE)-F6184</f>
        <v/>
      </c>
      <c r="H6184" s="19" t="n">
        <v>2</v>
      </c>
      <c r="I6184" s="57" t="n">
        <v>12</v>
      </c>
    </row>
    <row r="6185">
      <c r="A6185" s="62" t="n">
        <v>46816</v>
      </c>
      <c r="B6185" s="3" t="inlineStr">
        <is>
          <t>Sat</t>
        </is>
      </c>
      <c r="C6185" s="19" t="n">
        <v>3</v>
      </c>
      <c r="D6185" s="19" t="n">
        <v>2028</v>
      </c>
      <c r="E6185" s="57" t="n">
        <v>6</v>
      </c>
      <c r="F6185" s="29">
        <f>ROUND(((SUMIFS(Calendar!$F$2:$F$9997,Calendar!$B$2:$B$9997,D6185,Calendar!$C$2:$C$9997,C6185)*INDEX(ForeCalc!$B$37:$Y$274,MATCH(_xlfn.CONCAT(H6185," ",I6185),ForeCalc!$A$37:$A$274,0),MATCH(_xlfn.CONCAT(B6185," ",E6185),ForeCalc!$B$36:$Y$36,0))))*VLOOKUP(A6185,Calendar!$A$2:$H$9997,8,FALSE),0)</f>
        <v/>
      </c>
      <c r="G6185" s="29">
        <f>VLOOKUP(A6185,Calendar!$A$1:$H$9997,6,FALSE)-F6185</f>
        <v/>
      </c>
      <c r="H6185" s="19" t="n">
        <v>2</v>
      </c>
      <c r="I6185" s="57" t="n">
        <v>12</v>
      </c>
    </row>
    <row r="6186">
      <c r="A6186" s="62" t="n">
        <v>46817</v>
      </c>
      <c r="B6186" s="3" t="inlineStr">
        <is>
          <t>Sun</t>
        </is>
      </c>
      <c r="C6186" s="19" t="n">
        <v>3</v>
      </c>
      <c r="D6186" s="19" t="n">
        <v>2028</v>
      </c>
      <c r="E6186" s="57" t="n">
        <v>6</v>
      </c>
      <c r="F6186" s="29">
        <f>ROUND(((SUMIFS(Calendar!$F$2:$F$9997,Calendar!$B$2:$B$9997,D6186,Calendar!$C$2:$C$9997,C6186)*INDEX(ForeCalc!$B$37:$Y$274,MATCH(_xlfn.CONCAT(H6186," ",I6186),ForeCalc!$A$37:$A$274,0),MATCH(_xlfn.CONCAT(B6186," ",E6186),ForeCalc!$B$36:$Y$36,0))))*VLOOKUP(A6186,Calendar!$A$2:$H$9997,8,FALSE),0)</f>
        <v/>
      </c>
      <c r="G6186" s="29">
        <f>VLOOKUP(A6186,Calendar!$A$1:$H$9997,6,FALSE)-F6186</f>
        <v/>
      </c>
      <c r="H6186" s="19" t="n">
        <v>2</v>
      </c>
      <c r="I6186" s="57" t="n">
        <v>12</v>
      </c>
    </row>
    <row r="6187">
      <c r="A6187" s="62" t="n">
        <v>46818</v>
      </c>
      <c r="B6187" s="3" t="inlineStr">
        <is>
          <t>Week</t>
        </is>
      </c>
      <c r="C6187" s="19" t="n">
        <v>3</v>
      </c>
      <c r="D6187" s="19" t="n">
        <v>2028</v>
      </c>
      <c r="E6187" s="57" t="n">
        <v>6</v>
      </c>
      <c r="F6187" s="29">
        <f>ROUND(((SUMIFS(Calendar!$F$2:$F$9997,Calendar!$B$2:$B$9997,D6187,Calendar!$C$2:$C$9997,C6187)*INDEX(ForeCalc!$B$37:$Y$274,MATCH(_xlfn.CONCAT(H6187," ",I6187),ForeCalc!$A$37:$A$274,0),MATCH(_xlfn.CONCAT(B6187," ",E6187),ForeCalc!$B$36:$Y$36,0))))*VLOOKUP(A6187,Calendar!$A$2:$H$9997,8,FALSE),0)</f>
        <v/>
      </c>
      <c r="G6187" s="29">
        <f>VLOOKUP(A6187,Calendar!$A$1:$H$9997,6,FALSE)-F6187</f>
        <v/>
      </c>
      <c r="H6187" s="19" t="n">
        <v>2</v>
      </c>
      <c r="I6187" s="57" t="n">
        <v>12</v>
      </c>
    </row>
    <row r="6188">
      <c r="A6188" s="62" t="n">
        <v>46819</v>
      </c>
      <c r="B6188" s="3" t="inlineStr">
        <is>
          <t>Week</t>
        </is>
      </c>
      <c r="C6188" s="19" t="n">
        <v>3</v>
      </c>
      <c r="D6188" s="19" t="n">
        <v>2028</v>
      </c>
      <c r="E6188" s="57" t="n">
        <v>6</v>
      </c>
      <c r="F6188" s="29">
        <f>ROUND(((SUMIFS(Calendar!$F$2:$F$9997,Calendar!$B$2:$B$9997,D6188,Calendar!$C$2:$C$9997,C6188)*INDEX(ForeCalc!$B$37:$Y$274,MATCH(_xlfn.CONCAT(H6188," ",I6188),ForeCalc!$A$37:$A$274,0),MATCH(_xlfn.CONCAT(B6188," ",E6188),ForeCalc!$B$36:$Y$36,0))))*VLOOKUP(A6188,Calendar!$A$2:$H$9997,8,FALSE),0)</f>
        <v/>
      </c>
      <c r="G6188" s="29">
        <f>VLOOKUP(A6188,Calendar!$A$1:$H$9997,6,FALSE)-F6188</f>
        <v/>
      </c>
      <c r="H6188" s="19" t="n">
        <v>2</v>
      </c>
      <c r="I6188" s="57" t="n">
        <v>12</v>
      </c>
    </row>
    <row r="6189">
      <c r="A6189" s="62" t="n">
        <v>46820</v>
      </c>
      <c r="B6189" s="3" t="inlineStr">
        <is>
          <t>Week</t>
        </is>
      </c>
      <c r="C6189" s="19" t="n">
        <v>3</v>
      </c>
      <c r="D6189" s="19" t="n">
        <v>2028</v>
      </c>
      <c r="E6189" s="57" t="n">
        <v>6</v>
      </c>
      <c r="F6189" s="29">
        <f>ROUND(((SUMIFS(Calendar!$F$2:$F$9997,Calendar!$B$2:$B$9997,D6189,Calendar!$C$2:$C$9997,C6189)*INDEX(ForeCalc!$B$37:$Y$274,MATCH(_xlfn.CONCAT(H6189," ",I6189),ForeCalc!$A$37:$A$274,0),MATCH(_xlfn.CONCAT(B6189," ",E6189),ForeCalc!$B$36:$Y$36,0))))*VLOOKUP(A6189,Calendar!$A$2:$H$9997,8,FALSE),0)</f>
        <v/>
      </c>
      <c r="G6189" s="29">
        <f>VLOOKUP(A6189,Calendar!$A$1:$H$9997,6,FALSE)-F6189</f>
        <v/>
      </c>
      <c r="H6189" s="19" t="n">
        <v>2</v>
      </c>
      <c r="I6189" s="57" t="n">
        <v>12</v>
      </c>
    </row>
    <row r="6190">
      <c r="A6190" s="62" t="n">
        <v>46821</v>
      </c>
      <c r="B6190" s="3" t="inlineStr">
        <is>
          <t>Week</t>
        </is>
      </c>
      <c r="C6190" s="19" t="n">
        <v>3</v>
      </c>
      <c r="D6190" s="19" t="n">
        <v>2028</v>
      </c>
      <c r="E6190" s="57" t="n">
        <v>6</v>
      </c>
      <c r="F6190" s="29">
        <f>ROUND(((SUMIFS(Calendar!$F$2:$F$9997,Calendar!$B$2:$B$9997,D6190,Calendar!$C$2:$C$9997,C6190)*INDEX(ForeCalc!$B$37:$Y$274,MATCH(_xlfn.CONCAT(H6190," ",I6190),ForeCalc!$A$37:$A$274,0),MATCH(_xlfn.CONCAT(B6190," ",E6190),ForeCalc!$B$36:$Y$36,0))))*VLOOKUP(A6190,Calendar!$A$2:$H$9997,8,FALSE),0)</f>
        <v/>
      </c>
      <c r="G6190" s="29">
        <f>VLOOKUP(A6190,Calendar!$A$1:$H$9997,6,FALSE)-F6190</f>
        <v/>
      </c>
      <c r="H6190" s="19" t="n">
        <v>2</v>
      </c>
      <c r="I6190" s="57" t="n">
        <v>12</v>
      </c>
    </row>
    <row r="6191">
      <c r="A6191" s="62" t="n">
        <v>46822</v>
      </c>
      <c r="B6191" s="3" t="inlineStr">
        <is>
          <t>Week</t>
        </is>
      </c>
      <c r="C6191" s="19" t="n">
        <v>3</v>
      </c>
      <c r="D6191" s="19" t="n">
        <v>2028</v>
      </c>
      <c r="E6191" s="57" t="n">
        <v>6</v>
      </c>
      <c r="F6191" s="29">
        <f>ROUND(((SUMIFS(Calendar!$F$2:$F$9997,Calendar!$B$2:$B$9997,D6191,Calendar!$C$2:$C$9997,C6191)*INDEX(ForeCalc!$B$37:$Y$274,MATCH(_xlfn.CONCAT(H6191," ",I6191),ForeCalc!$A$37:$A$274,0),MATCH(_xlfn.CONCAT(B6191," ",E6191),ForeCalc!$B$36:$Y$36,0))))*VLOOKUP(A6191,Calendar!$A$2:$H$9997,8,FALSE),0)</f>
        <v/>
      </c>
      <c r="G6191" s="29">
        <f>VLOOKUP(A6191,Calendar!$A$1:$H$9997,6,FALSE)-F6191</f>
        <v/>
      </c>
      <c r="H6191" s="19" t="n">
        <v>2</v>
      </c>
      <c r="I6191" s="57" t="n">
        <v>12</v>
      </c>
    </row>
    <row r="6192">
      <c r="A6192" s="62" t="n">
        <v>46823</v>
      </c>
      <c r="B6192" s="3" t="inlineStr">
        <is>
          <t>Sat</t>
        </is>
      </c>
      <c r="C6192" s="19" t="n">
        <v>3</v>
      </c>
      <c r="D6192" s="19" t="n">
        <v>2028</v>
      </c>
      <c r="E6192" s="57" t="n">
        <v>6</v>
      </c>
      <c r="F6192" s="29">
        <f>ROUND(((SUMIFS(Calendar!$F$2:$F$9997,Calendar!$B$2:$B$9997,D6192,Calendar!$C$2:$C$9997,C6192)*INDEX(ForeCalc!$B$37:$Y$274,MATCH(_xlfn.CONCAT(H6192," ",I6192),ForeCalc!$A$37:$A$274,0),MATCH(_xlfn.CONCAT(B6192," ",E6192),ForeCalc!$B$36:$Y$36,0))))*VLOOKUP(A6192,Calendar!$A$2:$H$9997,8,FALSE),0)</f>
        <v/>
      </c>
      <c r="G6192" s="29">
        <f>VLOOKUP(A6192,Calendar!$A$1:$H$9997,6,FALSE)-F6192</f>
        <v/>
      </c>
      <c r="H6192" s="19" t="n">
        <v>2</v>
      </c>
      <c r="I6192" s="57" t="n">
        <v>12</v>
      </c>
    </row>
    <row r="6193">
      <c r="A6193" s="62" t="n">
        <v>46824</v>
      </c>
      <c r="B6193" s="3" t="inlineStr">
        <is>
          <t>Sun</t>
        </is>
      </c>
      <c r="C6193" s="19" t="n">
        <v>3</v>
      </c>
      <c r="D6193" s="19" t="n">
        <v>2028</v>
      </c>
      <c r="E6193" s="57" t="n">
        <v>6</v>
      </c>
      <c r="F6193" s="29">
        <f>ROUND(((SUMIFS(Calendar!$F$2:$F$9997,Calendar!$B$2:$B$9997,D6193,Calendar!$C$2:$C$9997,C6193)*INDEX(ForeCalc!$B$37:$Y$274,MATCH(_xlfn.CONCAT(H6193," ",I6193),ForeCalc!$A$37:$A$274,0),MATCH(_xlfn.CONCAT(B6193," ",E6193),ForeCalc!$B$36:$Y$36,0))))*VLOOKUP(A6193,Calendar!$A$2:$H$9997,8,FALSE),0)</f>
        <v/>
      </c>
      <c r="G6193" s="29">
        <f>VLOOKUP(A6193,Calendar!$A$1:$H$9997,6,FALSE)-F6193</f>
        <v/>
      </c>
      <c r="H6193" s="19" t="n">
        <v>2</v>
      </c>
      <c r="I6193" s="57" t="n">
        <v>12</v>
      </c>
    </row>
    <row r="6194">
      <c r="A6194" s="62" t="n">
        <v>46825</v>
      </c>
      <c r="B6194" s="3" t="inlineStr">
        <is>
          <t>Week</t>
        </is>
      </c>
      <c r="C6194" s="19" t="n">
        <v>3</v>
      </c>
      <c r="D6194" s="19" t="n">
        <v>2028</v>
      </c>
      <c r="E6194" s="57" t="n">
        <v>6</v>
      </c>
      <c r="F6194" s="29">
        <f>ROUND(((SUMIFS(Calendar!$F$2:$F$9997,Calendar!$B$2:$B$9997,D6194,Calendar!$C$2:$C$9997,C6194)*INDEX(ForeCalc!$B$37:$Y$274,MATCH(_xlfn.CONCAT(H6194," ",I6194),ForeCalc!$A$37:$A$274,0),MATCH(_xlfn.CONCAT(B6194," ",E6194),ForeCalc!$B$36:$Y$36,0))))*VLOOKUP(A6194,Calendar!$A$2:$H$9997,8,FALSE),0)</f>
        <v/>
      </c>
      <c r="G6194" s="29">
        <f>VLOOKUP(A6194,Calendar!$A$1:$H$9997,6,FALSE)-F6194</f>
        <v/>
      </c>
      <c r="H6194" s="19" t="n">
        <v>2</v>
      </c>
      <c r="I6194" s="57" t="n">
        <v>12</v>
      </c>
    </row>
    <row r="6195">
      <c r="A6195" s="62" t="n">
        <v>46826</v>
      </c>
      <c r="B6195" s="3" t="inlineStr">
        <is>
          <t>Week</t>
        </is>
      </c>
      <c r="C6195" s="19" t="n">
        <v>3</v>
      </c>
      <c r="D6195" s="19" t="n">
        <v>2028</v>
      </c>
      <c r="E6195" s="57" t="n">
        <v>6</v>
      </c>
      <c r="F6195" s="29">
        <f>ROUND(((SUMIFS(Calendar!$F$2:$F$9997,Calendar!$B$2:$B$9997,D6195,Calendar!$C$2:$C$9997,C6195)*INDEX(ForeCalc!$B$37:$Y$274,MATCH(_xlfn.CONCAT(H6195," ",I6195),ForeCalc!$A$37:$A$274,0),MATCH(_xlfn.CONCAT(B6195," ",E6195),ForeCalc!$B$36:$Y$36,0))))*VLOOKUP(A6195,Calendar!$A$2:$H$9997,8,FALSE),0)</f>
        <v/>
      </c>
      <c r="G6195" s="29">
        <f>VLOOKUP(A6195,Calendar!$A$1:$H$9997,6,FALSE)-F6195</f>
        <v/>
      </c>
      <c r="H6195" s="19" t="n">
        <v>2</v>
      </c>
      <c r="I6195" s="57" t="n">
        <v>12</v>
      </c>
    </row>
    <row r="6196">
      <c r="A6196" s="62" t="n">
        <v>46827</v>
      </c>
      <c r="B6196" s="3" t="inlineStr">
        <is>
          <t>Week</t>
        </is>
      </c>
      <c r="C6196" s="19" t="n">
        <v>3</v>
      </c>
      <c r="D6196" s="19" t="n">
        <v>2028</v>
      </c>
      <c r="E6196" s="57" t="n">
        <v>6</v>
      </c>
      <c r="F6196" s="29">
        <f>ROUND(((SUMIFS(Calendar!$F$2:$F$9997,Calendar!$B$2:$B$9997,D6196,Calendar!$C$2:$C$9997,C6196)*INDEX(ForeCalc!$B$37:$Y$274,MATCH(_xlfn.CONCAT(H6196," ",I6196),ForeCalc!$A$37:$A$274,0),MATCH(_xlfn.CONCAT(B6196," ",E6196),ForeCalc!$B$36:$Y$36,0))))*VLOOKUP(A6196,Calendar!$A$2:$H$9997,8,FALSE),0)</f>
        <v/>
      </c>
      <c r="G6196" s="29">
        <f>VLOOKUP(A6196,Calendar!$A$1:$H$9997,6,FALSE)-F6196</f>
        <v/>
      </c>
      <c r="H6196" s="19" t="n">
        <v>2</v>
      </c>
      <c r="I6196" s="57" t="n">
        <v>12</v>
      </c>
    </row>
    <row r="6197">
      <c r="A6197" s="62" t="n">
        <v>46828</v>
      </c>
      <c r="B6197" s="3" t="inlineStr">
        <is>
          <t>Week</t>
        </is>
      </c>
      <c r="C6197" s="19" t="n">
        <v>3</v>
      </c>
      <c r="D6197" s="19" t="n">
        <v>2028</v>
      </c>
      <c r="E6197" s="57" t="n">
        <v>6</v>
      </c>
      <c r="F6197" s="29">
        <f>ROUND(((SUMIFS(Calendar!$F$2:$F$9997,Calendar!$B$2:$B$9997,D6197,Calendar!$C$2:$C$9997,C6197)*INDEX(ForeCalc!$B$37:$Y$274,MATCH(_xlfn.CONCAT(H6197," ",I6197),ForeCalc!$A$37:$A$274,0),MATCH(_xlfn.CONCAT(B6197," ",E6197),ForeCalc!$B$36:$Y$36,0))))*VLOOKUP(A6197,Calendar!$A$2:$H$9997,8,FALSE),0)</f>
        <v/>
      </c>
      <c r="G6197" s="29">
        <f>VLOOKUP(A6197,Calendar!$A$1:$H$9997,6,FALSE)-F6197</f>
        <v/>
      </c>
      <c r="H6197" s="19" t="n">
        <v>2</v>
      </c>
      <c r="I6197" s="57" t="n">
        <v>12</v>
      </c>
    </row>
    <row r="6198">
      <c r="A6198" s="62" t="n">
        <v>46829</v>
      </c>
      <c r="B6198" s="3" t="inlineStr">
        <is>
          <t>Week</t>
        </is>
      </c>
      <c r="C6198" s="19" t="n">
        <v>3</v>
      </c>
      <c r="D6198" s="19" t="n">
        <v>2028</v>
      </c>
      <c r="E6198" s="57" t="n">
        <v>6</v>
      </c>
      <c r="F6198" s="29">
        <f>ROUND(((SUMIFS(Calendar!$F$2:$F$9997,Calendar!$B$2:$B$9997,D6198,Calendar!$C$2:$C$9997,C6198)*INDEX(ForeCalc!$B$37:$Y$274,MATCH(_xlfn.CONCAT(H6198," ",I6198),ForeCalc!$A$37:$A$274,0),MATCH(_xlfn.CONCAT(B6198," ",E6198),ForeCalc!$B$36:$Y$36,0))))*VLOOKUP(A6198,Calendar!$A$2:$H$9997,8,FALSE),0)</f>
        <v/>
      </c>
      <c r="G6198" s="29">
        <f>VLOOKUP(A6198,Calendar!$A$1:$H$9997,6,FALSE)-F6198</f>
        <v/>
      </c>
      <c r="H6198" s="19" t="n">
        <v>2</v>
      </c>
      <c r="I6198" s="57" t="n">
        <v>12</v>
      </c>
    </row>
    <row r="6199">
      <c r="A6199" s="62" t="n">
        <v>46830</v>
      </c>
      <c r="B6199" s="3" t="inlineStr">
        <is>
          <t>Sat</t>
        </is>
      </c>
      <c r="C6199" s="19" t="n">
        <v>3</v>
      </c>
      <c r="D6199" s="19" t="n">
        <v>2028</v>
      </c>
      <c r="E6199" s="57" t="n">
        <v>6</v>
      </c>
      <c r="F6199" s="29">
        <f>ROUND(((SUMIFS(Calendar!$F$2:$F$9997,Calendar!$B$2:$B$9997,D6199,Calendar!$C$2:$C$9997,C6199)*INDEX(ForeCalc!$B$37:$Y$274,MATCH(_xlfn.CONCAT(H6199," ",I6199),ForeCalc!$A$37:$A$274,0),MATCH(_xlfn.CONCAT(B6199," ",E6199),ForeCalc!$B$36:$Y$36,0))))*VLOOKUP(A6199,Calendar!$A$2:$H$9997,8,FALSE),0)</f>
        <v/>
      </c>
      <c r="G6199" s="29">
        <f>VLOOKUP(A6199,Calendar!$A$1:$H$9997,6,FALSE)-F6199</f>
        <v/>
      </c>
      <c r="H6199" s="19" t="n">
        <v>2</v>
      </c>
      <c r="I6199" s="57" t="n">
        <v>12</v>
      </c>
    </row>
    <row r="6200">
      <c r="A6200" s="62" t="n">
        <v>46831</v>
      </c>
      <c r="B6200" s="3" t="inlineStr">
        <is>
          <t>Sun</t>
        </is>
      </c>
      <c r="C6200" s="19" t="n">
        <v>3</v>
      </c>
      <c r="D6200" s="19" t="n">
        <v>2028</v>
      </c>
      <c r="E6200" s="57" t="n">
        <v>6</v>
      </c>
      <c r="F6200" s="29">
        <f>ROUND(((SUMIFS(Calendar!$F$2:$F$9997,Calendar!$B$2:$B$9997,D6200,Calendar!$C$2:$C$9997,C6200)*INDEX(ForeCalc!$B$37:$Y$274,MATCH(_xlfn.CONCAT(H6200," ",I6200),ForeCalc!$A$37:$A$274,0),MATCH(_xlfn.CONCAT(B6200," ",E6200),ForeCalc!$B$36:$Y$36,0))))*VLOOKUP(A6200,Calendar!$A$2:$H$9997,8,FALSE),0)</f>
        <v/>
      </c>
      <c r="G6200" s="29">
        <f>VLOOKUP(A6200,Calendar!$A$1:$H$9997,6,FALSE)-F6200</f>
        <v/>
      </c>
      <c r="H6200" s="19" t="n">
        <v>2</v>
      </c>
      <c r="I6200" s="57" t="n">
        <v>12</v>
      </c>
    </row>
    <row r="6201">
      <c r="A6201" s="62" t="n">
        <v>46832</v>
      </c>
      <c r="B6201" s="3" t="inlineStr">
        <is>
          <t>Week</t>
        </is>
      </c>
      <c r="C6201" s="19" t="n">
        <v>3</v>
      </c>
      <c r="D6201" s="19" t="n">
        <v>2028</v>
      </c>
      <c r="E6201" s="57" t="n">
        <v>6</v>
      </c>
      <c r="F6201" s="29">
        <f>ROUND(((SUMIFS(Calendar!$F$2:$F$9997,Calendar!$B$2:$B$9997,D6201,Calendar!$C$2:$C$9997,C6201)*INDEX(ForeCalc!$B$37:$Y$274,MATCH(_xlfn.CONCAT(H6201," ",I6201),ForeCalc!$A$37:$A$274,0),MATCH(_xlfn.CONCAT(B6201," ",E6201),ForeCalc!$B$36:$Y$36,0))))*VLOOKUP(A6201,Calendar!$A$2:$H$9997,8,FALSE),0)</f>
        <v/>
      </c>
      <c r="G6201" s="29">
        <f>VLOOKUP(A6201,Calendar!$A$1:$H$9997,6,FALSE)-F6201</f>
        <v/>
      </c>
      <c r="H6201" s="19" t="n">
        <v>2</v>
      </c>
      <c r="I6201" s="57" t="n">
        <v>12</v>
      </c>
    </row>
    <row r="6202">
      <c r="A6202" s="62" t="n">
        <v>46833</v>
      </c>
      <c r="B6202" s="3" t="inlineStr">
        <is>
          <t>Week</t>
        </is>
      </c>
      <c r="C6202" s="19" t="n">
        <v>3</v>
      </c>
      <c r="D6202" s="19" t="n">
        <v>2028</v>
      </c>
      <c r="E6202" s="57" t="n">
        <v>6</v>
      </c>
      <c r="F6202" s="29">
        <f>ROUND(((SUMIFS(Calendar!$F$2:$F$9997,Calendar!$B$2:$B$9997,D6202,Calendar!$C$2:$C$9997,C6202)*INDEX(ForeCalc!$B$37:$Y$274,MATCH(_xlfn.CONCAT(H6202," ",I6202),ForeCalc!$A$37:$A$274,0),MATCH(_xlfn.CONCAT(B6202," ",E6202),ForeCalc!$B$36:$Y$36,0))))*VLOOKUP(A6202,Calendar!$A$2:$H$9997,8,FALSE),0)</f>
        <v/>
      </c>
      <c r="G6202" s="29">
        <f>VLOOKUP(A6202,Calendar!$A$1:$H$9997,6,FALSE)-F6202</f>
        <v/>
      </c>
      <c r="H6202" s="19" t="n">
        <v>2</v>
      </c>
      <c r="I6202" s="57" t="n">
        <v>12</v>
      </c>
    </row>
    <row r="6203">
      <c r="A6203" s="62" t="n">
        <v>46834</v>
      </c>
      <c r="B6203" s="3" t="inlineStr">
        <is>
          <t>Week</t>
        </is>
      </c>
      <c r="C6203" s="19" t="n">
        <v>3</v>
      </c>
      <c r="D6203" s="19" t="n">
        <v>2028</v>
      </c>
      <c r="E6203" s="57" t="n">
        <v>6</v>
      </c>
      <c r="F6203" s="29">
        <f>ROUND(((SUMIFS(Calendar!$F$2:$F$9997,Calendar!$B$2:$B$9997,D6203,Calendar!$C$2:$C$9997,C6203)*INDEX(ForeCalc!$B$37:$Y$274,MATCH(_xlfn.CONCAT(H6203," ",I6203),ForeCalc!$A$37:$A$274,0),MATCH(_xlfn.CONCAT(B6203," ",E6203),ForeCalc!$B$36:$Y$36,0))))*VLOOKUP(A6203,Calendar!$A$2:$H$9997,8,FALSE),0)</f>
        <v/>
      </c>
      <c r="G6203" s="29">
        <f>VLOOKUP(A6203,Calendar!$A$1:$H$9997,6,FALSE)-F6203</f>
        <v/>
      </c>
      <c r="H6203" s="19" t="n">
        <v>2</v>
      </c>
      <c r="I6203" s="57" t="n">
        <v>12</v>
      </c>
    </row>
    <row r="6204">
      <c r="A6204" s="62" t="n">
        <v>46835</v>
      </c>
      <c r="B6204" s="3" t="inlineStr">
        <is>
          <t>Week</t>
        </is>
      </c>
      <c r="C6204" s="19" t="n">
        <v>3</v>
      </c>
      <c r="D6204" s="19" t="n">
        <v>2028</v>
      </c>
      <c r="E6204" s="57" t="n">
        <v>6</v>
      </c>
      <c r="F6204" s="29">
        <f>ROUND(((SUMIFS(Calendar!$F$2:$F$9997,Calendar!$B$2:$B$9997,D6204,Calendar!$C$2:$C$9997,C6204)*INDEX(ForeCalc!$B$37:$Y$274,MATCH(_xlfn.CONCAT(H6204," ",I6204),ForeCalc!$A$37:$A$274,0),MATCH(_xlfn.CONCAT(B6204," ",E6204),ForeCalc!$B$36:$Y$36,0))))*VLOOKUP(A6204,Calendar!$A$2:$H$9997,8,FALSE),0)</f>
        <v/>
      </c>
      <c r="G6204" s="29">
        <f>VLOOKUP(A6204,Calendar!$A$1:$H$9997,6,FALSE)-F6204</f>
        <v/>
      </c>
      <c r="H6204" s="19" t="n">
        <v>2</v>
      </c>
      <c r="I6204" s="57" t="n">
        <v>12</v>
      </c>
    </row>
    <row r="6205">
      <c r="A6205" s="62" t="n">
        <v>46836</v>
      </c>
      <c r="B6205" s="3" t="inlineStr">
        <is>
          <t>Week</t>
        </is>
      </c>
      <c r="C6205" s="19" t="n">
        <v>3</v>
      </c>
      <c r="D6205" s="19" t="n">
        <v>2028</v>
      </c>
      <c r="E6205" s="57" t="n">
        <v>6</v>
      </c>
      <c r="F6205" s="29">
        <f>ROUND(((SUMIFS(Calendar!$F$2:$F$9997,Calendar!$B$2:$B$9997,D6205,Calendar!$C$2:$C$9997,C6205)*INDEX(ForeCalc!$B$37:$Y$274,MATCH(_xlfn.CONCAT(H6205," ",I6205),ForeCalc!$A$37:$A$274,0),MATCH(_xlfn.CONCAT(B6205," ",E6205),ForeCalc!$B$36:$Y$36,0))))*VLOOKUP(A6205,Calendar!$A$2:$H$9997,8,FALSE),0)</f>
        <v/>
      </c>
      <c r="G6205" s="29">
        <f>VLOOKUP(A6205,Calendar!$A$1:$H$9997,6,FALSE)-F6205</f>
        <v/>
      </c>
      <c r="H6205" s="19" t="n">
        <v>2</v>
      </c>
      <c r="I6205" s="57" t="n">
        <v>12</v>
      </c>
    </row>
    <row r="6206">
      <c r="A6206" s="62" t="n">
        <v>46837</v>
      </c>
      <c r="B6206" s="3" t="inlineStr">
        <is>
          <t>Sat</t>
        </is>
      </c>
      <c r="C6206" s="19" t="n">
        <v>3</v>
      </c>
      <c r="D6206" s="19" t="n">
        <v>2028</v>
      </c>
      <c r="E6206" s="57" t="n">
        <v>6</v>
      </c>
      <c r="F6206" s="29">
        <f>ROUND(((SUMIFS(Calendar!$F$2:$F$9997,Calendar!$B$2:$B$9997,D6206,Calendar!$C$2:$C$9997,C6206)*INDEX(ForeCalc!$B$37:$Y$274,MATCH(_xlfn.CONCAT(H6206," ",I6206),ForeCalc!$A$37:$A$274,0),MATCH(_xlfn.CONCAT(B6206," ",E6206),ForeCalc!$B$36:$Y$36,0))))*VLOOKUP(A6206,Calendar!$A$2:$H$9997,8,FALSE),0)</f>
        <v/>
      </c>
      <c r="G6206" s="29">
        <f>VLOOKUP(A6206,Calendar!$A$1:$H$9997,6,FALSE)-F6206</f>
        <v/>
      </c>
      <c r="H6206" s="19" t="n">
        <v>2</v>
      </c>
      <c r="I6206" s="57" t="n">
        <v>12</v>
      </c>
    </row>
    <row r="6207">
      <c r="A6207" s="62" t="n">
        <v>46838</v>
      </c>
      <c r="B6207" s="3" t="inlineStr">
        <is>
          <t>Sun</t>
        </is>
      </c>
      <c r="C6207" s="19" t="n">
        <v>3</v>
      </c>
      <c r="D6207" s="19" t="n">
        <v>2028</v>
      </c>
      <c r="E6207" s="57" t="n">
        <v>6</v>
      </c>
      <c r="F6207" s="29">
        <f>ROUND(((SUMIFS(Calendar!$F$2:$F$9997,Calendar!$B$2:$B$9997,D6207,Calendar!$C$2:$C$9997,C6207)*INDEX(ForeCalc!$B$37:$Y$274,MATCH(_xlfn.CONCAT(H6207," ",I6207),ForeCalc!$A$37:$A$274,0),MATCH(_xlfn.CONCAT(B6207," ",E6207),ForeCalc!$B$36:$Y$36,0))))*VLOOKUP(A6207,Calendar!$A$2:$H$9997,8,FALSE),0)</f>
        <v/>
      </c>
      <c r="G6207" s="29">
        <f>VLOOKUP(A6207,Calendar!$A$1:$H$9997,6,FALSE)-F6207</f>
        <v/>
      </c>
      <c r="H6207" s="19" t="n">
        <v>2</v>
      </c>
      <c r="I6207" s="57" t="n">
        <v>12</v>
      </c>
    </row>
    <row r="6208">
      <c r="A6208" s="62" t="n">
        <v>46839</v>
      </c>
      <c r="B6208" s="3" t="inlineStr">
        <is>
          <t>Week</t>
        </is>
      </c>
      <c r="C6208" s="19" t="n">
        <v>3</v>
      </c>
      <c r="D6208" s="19" t="n">
        <v>2028</v>
      </c>
      <c r="E6208" s="57" t="n">
        <v>6</v>
      </c>
      <c r="F6208" s="29">
        <f>ROUND(((SUMIFS(Calendar!$F$2:$F$9997,Calendar!$B$2:$B$9997,D6208,Calendar!$C$2:$C$9997,C6208)*INDEX(ForeCalc!$B$37:$Y$274,MATCH(_xlfn.CONCAT(H6208," ",I6208),ForeCalc!$A$37:$A$274,0),MATCH(_xlfn.CONCAT(B6208," ",E6208),ForeCalc!$B$36:$Y$36,0))))*VLOOKUP(A6208,Calendar!$A$2:$H$9997,8,FALSE),0)</f>
        <v/>
      </c>
      <c r="G6208" s="29">
        <f>VLOOKUP(A6208,Calendar!$A$1:$H$9997,6,FALSE)-F6208</f>
        <v/>
      </c>
      <c r="H6208" s="19" t="n">
        <v>2</v>
      </c>
      <c r="I6208" s="57" t="n">
        <v>12</v>
      </c>
    </row>
    <row r="6209">
      <c r="A6209" s="62" t="n">
        <v>46840</v>
      </c>
      <c r="B6209" s="3" t="inlineStr">
        <is>
          <t>Week</t>
        </is>
      </c>
      <c r="C6209" s="19" t="n">
        <v>3</v>
      </c>
      <c r="D6209" s="19" t="n">
        <v>2028</v>
      </c>
      <c r="E6209" s="57" t="n">
        <v>6</v>
      </c>
      <c r="F6209" s="29">
        <f>ROUND(((SUMIFS(Calendar!$F$2:$F$9997,Calendar!$B$2:$B$9997,D6209,Calendar!$C$2:$C$9997,C6209)*INDEX(ForeCalc!$B$37:$Y$274,MATCH(_xlfn.CONCAT(H6209," ",I6209),ForeCalc!$A$37:$A$274,0),MATCH(_xlfn.CONCAT(B6209," ",E6209),ForeCalc!$B$36:$Y$36,0))))*VLOOKUP(A6209,Calendar!$A$2:$H$9997,8,FALSE),0)</f>
        <v/>
      </c>
      <c r="G6209" s="29">
        <f>VLOOKUP(A6209,Calendar!$A$1:$H$9997,6,FALSE)-F6209</f>
        <v/>
      </c>
      <c r="H6209" s="19" t="n">
        <v>2</v>
      </c>
      <c r="I6209" s="57" t="n">
        <v>12</v>
      </c>
    </row>
    <row r="6210">
      <c r="A6210" s="62" t="n">
        <v>46841</v>
      </c>
      <c r="B6210" s="3" t="inlineStr">
        <is>
          <t>Week</t>
        </is>
      </c>
      <c r="C6210" s="19" t="n">
        <v>3</v>
      </c>
      <c r="D6210" s="19" t="n">
        <v>2028</v>
      </c>
      <c r="E6210" s="57" t="n">
        <v>6</v>
      </c>
      <c r="F6210" s="29">
        <f>ROUND(((SUMIFS(Calendar!$F$2:$F$9997,Calendar!$B$2:$B$9997,D6210,Calendar!$C$2:$C$9997,C6210)*INDEX(ForeCalc!$B$37:$Y$274,MATCH(_xlfn.CONCAT(H6210," ",I6210),ForeCalc!$A$37:$A$274,0),MATCH(_xlfn.CONCAT(B6210," ",E6210),ForeCalc!$B$36:$Y$36,0))))*VLOOKUP(A6210,Calendar!$A$2:$H$9997,8,FALSE),0)</f>
        <v/>
      </c>
      <c r="G6210" s="29">
        <f>VLOOKUP(A6210,Calendar!$A$1:$H$9997,6,FALSE)-F6210</f>
        <v/>
      </c>
      <c r="H6210" s="19" t="n">
        <v>2</v>
      </c>
      <c r="I6210" s="57" t="n">
        <v>12</v>
      </c>
    </row>
    <row r="6211">
      <c r="A6211" s="62" t="n">
        <v>46842</v>
      </c>
      <c r="B6211" s="3" t="inlineStr">
        <is>
          <t>Week</t>
        </is>
      </c>
      <c r="C6211" s="19" t="n">
        <v>3</v>
      </c>
      <c r="D6211" s="19" t="n">
        <v>2028</v>
      </c>
      <c r="E6211" s="57" t="n">
        <v>6</v>
      </c>
      <c r="F6211" s="29">
        <f>ROUND(((SUMIFS(Calendar!$F$2:$F$9997,Calendar!$B$2:$B$9997,D6211,Calendar!$C$2:$C$9997,C6211)*INDEX(ForeCalc!$B$37:$Y$274,MATCH(_xlfn.CONCAT(H6211," ",I6211),ForeCalc!$A$37:$A$274,0),MATCH(_xlfn.CONCAT(B6211," ",E6211),ForeCalc!$B$36:$Y$36,0))))*VLOOKUP(A6211,Calendar!$A$2:$H$9997,8,FALSE),0)</f>
        <v/>
      </c>
      <c r="G6211" s="29">
        <f>VLOOKUP(A6211,Calendar!$A$1:$H$9997,6,FALSE)-F6211</f>
        <v/>
      </c>
      <c r="H6211" s="19" t="n">
        <v>2</v>
      </c>
      <c r="I6211" s="57" t="n">
        <v>12</v>
      </c>
    </row>
    <row r="6212">
      <c r="A6212" s="62" t="n">
        <v>46843</v>
      </c>
      <c r="B6212" s="3" t="inlineStr">
        <is>
          <t>Week</t>
        </is>
      </c>
      <c r="C6212" s="19" t="n">
        <v>3</v>
      </c>
      <c r="D6212" s="19" t="n">
        <v>2028</v>
      </c>
      <c r="E6212" s="57" t="n">
        <v>6</v>
      </c>
      <c r="F6212" s="29">
        <f>ROUND(((SUMIFS(Calendar!$F$2:$F$9997,Calendar!$B$2:$B$9997,D6212,Calendar!$C$2:$C$9997,C6212)*INDEX(ForeCalc!$B$37:$Y$274,MATCH(_xlfn.CONCAT(H6212," ",I6212),ForeCalc!$A$37:$A$274,0),MATCH(_xlfn.CONCAT(B6212," ",E6212),ForeCalc!$B$36:$Y$36,0))))*VLOOKUP(A6212,Calendar!$A$2:$H$9997,8,FALSE),0)</f>
        <v/>
      </c>
      <c r="G6212" s="29">
        <f>VLOOKUP(A6212,Calendar!$A$1:$H$9997,6,FALSE)-F6212</f>
        <v/>
      </c>
      <c r="H6212" s="19" t="n">
        <v>2</v>
      </c>
      <c r="I6212" s="57" t="n">
        <v>12</v>
      </c>
    </row>
    <row r="6213">
      <c r="A6213" s="62" t="n">
        <v>46844</v>
      </c>
      <c r="B6213" s="3" t="inlineStr">
        <is>
          <t>Sat</t>
        </is>
      </c>
      <c r="C6213" s="19" t="n">
        <v>4</v>
      </c>
      <c r="D6213" s="19" t="n">
        <v>2028</v>
      </c>
      <c r="E6213" s="57" t="n">
        <v>6</v>
      </c>
      <c r="F6213" s="29">
        <f>ROUND(((SUMIFS(Calendar!$F$2:$F$9997,Calendar!$B$2:$B$9997,D6213,Calendar!$C$2:$C$9997,C6213)*INDEX(ForeCalc!$B$37:$Y$274,MATCH(_xlfn.CONCAT(H6213," ",I6213),ForeCalc!$A$37:$A$274,0),MATCH(_xlfn.CONCAT(B6213," ",E6213),ForeCalc!$B$36:$Y$36,0))))*VLOOKUP(A6213,Calendar!$A$2:$H$9997,8,FALSE),0)</f>
        <v/>
      </c>
      <c r="G6213" s="29">
        <f>VLOOKUP(A6213,Calendar!$A$1:$H$9997,6,FALSE)-F6213</f>
        <v/>
      </c>
      <c r="H6213" s="19" t="n">
        <v>3</v>
      </c>
      <c r="I6213" s="57" t="n">
        <v>1</v>
      </c>
    </row>
    <row r="6214">
      <c r="A6214" s="62" t="n">
        <v>46845</v>
      </c>
      <c r="B6214" s="3" t="inlineStr">
        <is>
          <t>Sun</t>
        </is>
      </c>
      <c r="C6214" s="19" t="n">
        <v>4</v>
      </c>
      <c r="D6214" s="19" t="n">
        <v>2028</v>
      </c>
      <c r="E6214" s="57" t="n">
        <v>6</v>
      </c>
      <c r="F6214" s="29">
        <f>ROUND(((SUMIFS(Calendar!$F$2:$F$9997,Calendar!$B$2:$B$9997,D6214,Calendar!$C$2:$C$9997,C6214)*INDEX(ForeCalc!$B$37:$Y$274,MATCH(_xlfn.CONCAT(H6214," ",I6214),ForeCalc!$A$37:$A$274,0),MATCH(_xlfn.CONCAT(B6214," ",E6214),ForeCalc!$B$36:$Y$36,0))))*VLOOKUP(A6214,Calendar!$A$2:$H$9997,8,FALSE),0)</f>
        <v/>
      </c>
      <c r="G6214" s="29">
        <f>VLOOKUP(A6214,Calendar!$A$1:$H$9997,6,FALSE)-F6214</f>
        <v/>
      </c>
      <c r="H6214" s="19" t="n">
        <v>3</v>
      </c>
      <c r="I6214" s="57" t="n">
        <v>1</v>
      </c>
    </row>
    <row r="6215">
      <c r="A6215" s="62" t="n">
        <v>46846</v>
      </c>
      <c r="B6215" s="3" t="inlineStr">
        <is>
          <t>Week</t>
        </is>
      </c>
      <c r="C6215" s="19" t="n">
        <v>4</v>
      </c>
      <c r="D6215" s="19" t="n">
        <v>2028</v>
      </c>
      <c r="E6215" s="57" t="n">
        <v>6</v>
      </c>
      <c r="F6215" s="29">
        <f>ROUND(((SUMIFS(Calendar!$F$2:$F$9997,Calendar!$B$2:$B$9997,D6215,Calendar!$C$2:$C$9997,C6215)*INDEX(ForeCalc!$B$37:$Y$274,MATCH(_xlfn.CONCAT(H6215," ",I6215),ForeCalc!$A$37:$A$274,0),MATCH(_xlfn.CONCAT(B6215," ",E6215),ForeCalc!$B$36:$Y$36,0))))*VLOOKUP(A6215,Calendar!$A$2:$H$9997,8,FALSE),0)</f>
        <v/>
      </c>
      <c r="G6215" s="29">
        <f>VLOOKUP(A6215,Calendar!$A$1:$H$9997,6,FALSE)-F6215</f>
        <v/>
      </c>
      <c r="H6215" s="19" t="n">
        <v>3</v>
      </c>
      <c r="I6215" s="57" t="n">
        <v>1</v>
      </c>
    </row>
    <row r="6216">
      <c r="A6216" s="62" t="n">
        <v>46847</v>
      </c>
      <c r="B6216" s="3" t="inlineStr">
        <is>
          <t>Week</t>
        </is>
      </c>
      <c r="C6216" s="19" t="n">
        <v>4</v>
      </c>
      <c r="D6216" s="19" t="n">
        <v>2028</v>
      </c>
      <c r="E6216" s="57" t="n">
        <v>6</v>
      </c>
      <c r="F6216" s="29">
        <f>ROUND(((SUMIFS(Calendar!$F$2:$F$9997,Calendar!$B$2:$B$9997,D6216,Calendar!$C$2:$C$9997,C6216)*INDEX(ForeCalc!$B$37:$Y$274,MATCH(_xlfn.CONCAT(H6216," ",I6216),ForeCalc!$A$37:$A$274,0),MATCH(_xlfn.CONCAT(B6216," ",E6216),ForeCalc!$B$36:$Y$36,0))))*VLOOKUP(A6216,Calendar!$A$2:$H$9997,8,FALSE),0)</f>
        <v/>
      </c>
      <c r="G6216" s="29">
        <f>VLOOKUP(A6216,Calendar!$A$1:$H$9997,6,FALSE)-F6216</f>
        <v/>
      </c>
      <c r="H6216" s="19" t="n">
        <v>3</v>
      </c>
      <c r="I6216" s="57" t="n">
        <v>1</v>
      </c>
    </row>
    <row r="6217">
      <c r="A6217" s="62" t="n">
        <v>46848</v>
      </c>
      <c r="B6217" s="3" t="inlineStr">
        <is>
          <t>Week</t>
        </is>
      </c>
      <c r="C6217" s="19" t="n">
        <v>4</v>
      </c>
      <c r="D6217" s="19" t="n">
        <v>2028</v>
      </c>
      <c r="E6217" s="57" t="n">
        <v>6</v>
      </c>
      <c r="F6217" s="29">
        <f>ROUND(((SUMIFS(Calendar!$F$2:$F$9997,Calendar!$B$2:$B$9997,D6217,Calendar!$C$2:$C$9997,C6217)*INDEX(ForeCalc!$B$37:$Y$274,MATCH(_xlfn.CONCAT(H6217," ",I6217),ForeCalc!$A$37:$A$274,0),MATCH(_xlfn.CONCAT(B6217," ",E6217),ForeCalc!$B$36:$Y$36,0))))*VLOOKUP(A6217,Calendar!$A$2:$H$9997,8,FALSE),0)</f>
        <v/>
      </c>
      <c r="G6217" s="29">
        <f>VLOOKUP(A6217,Calendar!$A$1:$H$9997,6,FALSE)-F6217</f>
        <v/>
      </c>
      <c r="H6217" s="19" t="n">
        <v>3</v>
      </c>
      <c r="I6217" s="57" t="n">
        <v>1</v>
      </c>
    </row>
    <row r="6218">
      <c r="A6218" s="62" t="n">
        <v>46849</v>
      </c>
      <c r="B6218" s="3" t="inlineStr">
        <is>
          <t>Week</t>
        </is>
      </c>
      <c r="C6218" s="19" t="n">
        <v>4</v>
      </c>
      <c r="D6218" s="19" t="n">
        <v>2028</v>
      </c>
      <c r="E6218" s="57" t="n">
        <v>6</v>
      </c>
      <c r="F6218" s="29">
        <f>ROUND(((SUMIFS(Calendar!$F$2:$F$9997,Calendar!$B$2:$B$9997,D6218,Calendar!$C$2:$C$9997,C6218)*INDEX(ForeCalc!$B$37:$Y$274,MATCH(_xlfn.CONCAT(H6218," ",I6218),ForeCalc!$A$37:$A$274,0),MATCH(_xlfn.CONCAT(B6218," ",E6218),ForeCalc!$B$36:$Y$36,0))))*VLOOKUP(A6218,Calendar!$A$2:$H$9997,8,FALSE),0)</f>
        <v/>
      </c>
      <c r="G6218" s="29">
        <f>VLOOKUP(A6218,Calendar!$A$1:$H$9997,6,FALSE)-F6218</f>
        <v/>
      </c>
      <c r="H6218" s="19" t="n">
        <v>3</v>
      </c>
      <c r="I6218" s="57" t="n">
        <v>1</v>
      </c>
    </row>
    <row r="6219">
      <c r="A6219" s="62" t="n">
        <v>46850</v>
      </c>
      <c r="B6219" s="3" t="inlineStr">
        <is>
          <t>Week</t>
        </is>
      </c>
      <c r="C6219" s="19" t="n">
        <v>4</v>
      </c>
      <c r="D6219" s="19" t="n">
        <v>2028</v>
      </c>
      <c r="E6219" s="57" t="n">
        <v>6</v>
      </c>
      <c r="F6219" s="29">
        <f>ROUND(((SUMIFS(Calendar!$F$2:$F$9997,Calendar!$B$2:$B$9997,D6219,Calendar!$C$2:$C$9997,C6219)*INDEX(ForeCalc!$B$37:$Y$274,MATCH(_xlfn.CONCAT(H6219," ",I6219),ForeCalc!$A$37:$A$274,0),MATCH(_xlfn.CONCAT(B6219," ",E6219),ForeCalc!$B$36:$Y$36,0))))*VLOOKUP(A6219,Calendar!$A$2:$H$9997,8,FALSE),0)</f>
        <v/>
      </c>
      <c r="G6219" s="29">
        <f>VLOOKUP(A6219,Calendar!$A$1:$H$9997,6,FALSE)-F6219</f>
        <v/>
      </c>
      <c r="H6219" s="19" t="n">
        <v>3</v>
      </c>
      <c r="I6219" s="57" t="n">
        <v>1</v>
      </c>
    </row>
    <row r="6220">
      <c r="A6220" s="62" t="n">
        <v>46851</v>
      </c>
      <c r="B6220" s="3" t="inlineStr">
        <is>
          <t>Sat</t>
        </is>
      </c>
      <c r="C6220" s="19" t="n">
        <v>4</v>
      </c>
      <c r="D6220" s="19" t="n">
        <v>2028</v>
      </c>
      <c r="E6220" s="57" t="n">
        <v>6</v>
      </c>
      <c r="F6220" s="29">
        <f>ROUND(((SUMIFS(Calendar!$F$2:$F$9997,Calendar!$B$2:$B$9997,D6220,Calendar!$C$2:$C$9997,C6220)*INDEX(ForeCalc!$B$37:$Y$274,MATCH(_xlfn.CONCAT(H6220," ",I6220),ForeCalc!$A$37:$A$274,0),MATCH(_xlfn.CONCAT(B6220," ",E6220),ForeCalc!$B$36:$Y$36,0))))*VLOOKUP(A6220,Calendar!$A$2:$H$9997,8,FALSE),0)</f>
        <v/>
      </c>
      <c r="G6220" s="29">
        <f>VLOOKUP(A6220,Calendar!$A$1:$H$9997,6,FALSE)-F6220</f>
        <v/>
      </c>
      <c r="H6220" s="19" t="n">
        <v>3</v>
      </c>
      <c r="I6220" s="57" t="n">
        <v>1</v>
      </c>
    </row>
    <row r="6221">
      <c r="A6221" s="62" t="n">
        <v>46852</v>
      </c>
      <c r="B6221" s="3" t="inlineStr">
        <is>
          <t>Sun</t>
        </is>
      </c>
      <c r="C6221" s="19" t="n">
        <v>4</v>
      </c>
      <c r="D6221" s="19" t="n">
        <v>2028</v>
      </c>
      <c r="E6221" s="57" t="n">
        <v>6</v>
      </c>
      <c r="F6221" s="29">
        <f>ROUND(((SUMIFS(Calendar!$F$2:$F$9997,Calendar!$B$2:$B$9997,D6221,Calendar!$C$2:$C$9997,C6221)*INDEX(ForeCalc!$B$37:$Y$274,MATCH(_xlfn.CONCAT(H6221," ",I6221),ForeCalc!$A$37:$A$274,0),MATCH(_xlfn.CONCAT(B6221," ",E6221),ForeCalc!$B$36:$Y$36,0))))*VLOOKUP(A6221,Calendar!$A$2:$H$9997,8,FALSE),0)</f>
        <v/>
      </c>
      <c r="G6221" s="29">
        <f>VLOOKUP(A6221,Calendar!$A$1:$H$9997,6,FALSE)-F6221</f>
        <v/>
      </c>
      <c r="H6221" s="19" t="n">
        <v>3</v>
      </c>
      <c r="I6221" s="57" t="n">
        <v>1</v>
      </c>
    </row>
    <row r="6222">
      <c r="A6222" s="62" t="n">
        <v>46853</v>
      </c>
      <c r="B6222" s="3" t="inlineStr">
        <is>
          <t>Week</t>
        </is>
      </c>
      <c r="C6222" s="19" t="n">
        <v>4</v>
      </c>
      <c r="D6222" s="19" t="n">
        <v>2028</v>
      </c>
      <c r="E6222" s="57" t="n">
        <v>6</v>
      </c>
      <c r="F6222" s="29">
        <f>ROUND(((SUMIFS(Calendar!$F$2:$F$9997,Calendar!$B$2:$B$9997,D6222,Calendar!$C$2:$C$9997,C6222)*INDEX(ForeCalc!$B$37:$Y$274,MATCH(_xlfn.CONCAT(H6222," ",I6222),ForeCalc!$A$37:$A$274,0),MATCH(_xlfn.CONCAT(B6222," ",E6222),ForeCalc!$B$36:$Y$36,0))))*VLOOKUP(A6222,Calendar!$A$2:$H$9997,8,FALSE),0)</f>
        <v/>
      </c>
      <c r="G6222" s="29">
        <f>VLOOKUP(A6222,Calendar!$A$1:$H$9997,6,FALSE)-F6222</f>
        <v/>
      </c>
      <c r="H6222" s="19" t="n">
        <v>3</v>
      </c>
      <c r="I6222" s="57" t="n">
        <v>1</v>
      </c>
    </row>
    <row r="6223">
      <c r="A6223" s="62" t="n">
        <v>46854</v>
      </c>
      <c r="B6223" s="3" t="inlineStr">
        <is>
          <t>Week</t>
        </is>
      </c>
      <c r="C6223" s="19" t="n">
        <v>4</v>
      </c>
      <c r="D6223" s="19" t="n">
        <v>2028</v>
      </c>
      <c r="E6223" s="57" t="n">
        <v>6</v>
      </c>
      <c r="F6223" s="29">
        <f>ROUND(((SUMIFS(Calendar!$F$2:$F$9997,Calendar!$B$2:$B$9997,D6223,Calendar!$C$2:$C$9997,C6223)*INDEX(ForeCalc!$B$37:$Y$274,MATCH(_xlfn.CONCAT(H6223," ",I6223),ForeCalc!$A$37:$A$274,0),MATCH(_xlfn.CONCAT(B6223," ",E6223),ForeCalc!$B$36:$Y$36,0))))*VLOOKUP(A6223,Calendar!$A$2:$H$9997,8,FALSE),0)</f>
        <v/>
      </c>
      <c r="G6223" s="29">
        <f>VLOOKUP(A6223,Calendar!$A$1:$H$9997,6,FALSE)-F6223</f>
        <v/>
      </c>
      <c r="H6223" s="19" t="n">
        <v>3</v>
      </c>
      <c r="I6223" s="57" t="n">
        <v>1</v>
      </c>
    </row>
    <row r="6224">
      <c r="A6224" s="62" t="n">
        <v>46855</v>
      </c>
      <c r="B6224" s="3" t="inlineStr">
        <is>
          <t>Week</t>
        </is>
      </c>
      <c r="C6224" s="19" t="n">
        <v>4</v>
      </c>
      <c r="D6224" s="19" t="n">
        <v>2028</v>
      </c>
      <c r="E6224" s="57" t="n">
        <v>6</v>
      </c>
      <c r="F6224" s="29">
        <f>ROUND(((SUMIFS(Calendar!$F$2:$F$9997,Calendar!$B$2:$B$9997,D6224,Calendar!$C$2:$C$9997,C6224)*INDEX(ForeCalc!$B$37:$Y$274,MATCH(_xlfn.CONCAT(H6224," ",I6224),ForeCalc!$A$37:$A$274,0),MATCH(_xlfn.CONCAT(B6224," ",E6224),ForeCalc!$B$36:$Y$36,0))))*VLOOKUP(A6224,Calendar!$A$2:$H$9997,8,FALSE),0)</f>
        <v/>
      </c>
      <c r="G6224" s="29">
        <f>VLOOKUP(A6224,Calendar!$A$1:$H$9997,6,FALSE)-F6224</f>
        <v/>
      </c>
      <c r="H6224" s="19" t="n">
        <v>3</v>
      </c>
      <c r="I6224" s="57" t="n">
        <v>1</v>
      </c>
    </row>
    <row r="6225">
      <c r="A6225" s="62" t="n">
        <v>46856</v>
      </c>
      <c r="B6225" s="3" t="inlineStr">
        <is>
          <t>Week</t>
        </is>
      </c>
      <c r="C6225" s="19" t="n">
        <v>4</v>
      </c>
      <c r="D6225" s="19" t="n">
        <v>2028</v>
      </c>
      <c r="E6225" s="57" t="n">
        <v>6</v>
      </c>
      <c r="F6225" s="29">
        <f>ROUND(((SUMIFS(Calendar!$F$2:$F$9997,Calendar!$B$2:$B$9997,D6225,Calendar!$C$2:$C$9997,C6225)*INDEX(ForeCalc!$B$37:$Y$274,MATCH(_xlfn.CONCAT(H6225," ",I6225),ForeCalc!$A$37:$A$274,0),MATCH(_xlfn.CONCAT(B6225," ",E6225),ForeCalc!$B$36:$Y$36,0))))*VLOOKUP(A6225,Calendar!$A$2:$H$9997,8,FALSE),0)</f>
        <v/>
      </c>
      <c r="G6225" s="29">
        <f>VLOOKUP(A6225,Calendar!$A$1:$H$9997,6,FALSE)-F6225</f>
        <v/>
      </c>
      <c r="H6225" s="19" t="n">
        <v>3</v>
      </c>
      <c r="I6225" s="57" t="n">
        <v>1</v>
      </c>
    </row>
    <row r="6226">
      <c r="A6226" s="62" t="n">
        <v>46857</v>
      </c>
      <c r="B6226" s="3" t="inlineStr">
        <is>
          <t>Week</t>
        </is>
      </c>
      <c r="C6226" s="19" t="n">
        <v>4</v>
      </c>
      <c r="D6226" s="19" t="n">
        <v>2028</v>
      </c>
      <c r="E6226" s="57" t="n">
        <v>6</v>
      </c>
      <c r="F6226" s="29">
        <f>ROUND(((SUMIFS(Calendar!$F$2:$F$9997,Calendar!$B$2:$B$9997,D6226,Calendar!$C$2:$C$9997,C6226)*INDEX(ForeCalc!$B$37:$Y$274,MATCH(_xlfn.CONCAT(H6226," ",I6226),ForeCalc!$A$37:$A$274,0),MATCH(_xlfn.CONCAT(B6226," ",E6226),ForeCalc!$B$36:$Y$36,0))))*VLOOKUP(A6226,Calendar!$A$2:$H$9997,8,FALSE),0)</f>
        <v/>
      </c>
      <c r="G6226" s="29">
        <f>VLOOKUP(A6226,Calendar!$A$1:$H$9997,6,FALSE)-F6226</f>
        <v/>
      </c>
      <c r="H6226" s="19" t="n">
        <v>3</v>
      </c>
      <c r="I6226" s="57" t="n">
        <v>1</v>
      </c>
    </row>
    <row r="6227">
      <c r="A6227" s="62" t="n">
        <v>46858</v>
      </c>
      <c r="B6227" s="3" t="inlineStr">
        <is>
          <t>Sat</t>
        </is>
      </c>
      <c r="C6227" s="19" t="n">
        <v>4</v>
      </c>
      <c r="D6227" s="19" t="n">
        <v>2028</v>
      </c>
      <c r="E6227" s="57" t="n">
        <v>6</v>
      </c>
      <c r="F6227" s="29">
        <f>ROUND(((SUMIFS(Calendar!$F$2:$F$9997,Calendar!$B$2:$B$9997,D6227,Calendar!$C$2:$C$9997,C6227)*INDEX(ForeCalc!$B$37:$Y$274,MATCH(_xlfn.CONCAT(H6227," ",I6227),ForeCalc!$A$37:$A$274,0),MATCH(_xlfn.CONCAT(B6227," ",E6227),ForeCalc!$B$36:$Y$36,0))))*VLOOKUP(A6227,Calendar!$A$2:$H$9997,8,FALSE),0)</f>
        <v/>
      </c>
      <c r="G6227" s="29">
        <f>VLOOKUP(A6227,Calendar!$A$1:$H$9997,6,FALSE)-F6227</f>
        <v/>
      </c>
      <c r="H6227" s="19" t="n">
        <v>3</v>
      </c>
      <c r="I6227" s="57" t="n">
        <v>1</v>
      </c>
    </row>
    <row r="6228">
      <c r="A6228" s="62" t="n">
        <v>46859</v>
      </c>
      <c r="B6228" s="3" t="inlineStr">
        <is>
          <t>Sun</t>
        </is>
      </c>
      <c r="C6228" s="19" t="n">
        <v>4</v>
      </c>
      <c r="D6228" s="19" t="n">
        <v>2028</v>
      </c>
      <c r="E6228" s="57" t="n">
        <v>6</v>
      </c>
      <c r="F6228" s="29">
        <f>ROUND(((SUMIFS(Calendar!$F$2:$F$9997,Calendar!$B$2:$B$9997,D6228,Calendar!$C$2:$C$9997,C6228)*INDEX(ForeCalc!$B$37:$Y$274,MATCH(_xlfn.CONCAT(H6228," ",I6228),ForeCalc!$A$37:$A$274,0),MATCH(_xlfn.CONCAT(B6228," ",E6228),ForeCalc!$B$36:$Y$36,0))))*VLOOKUP(A6228,Calendar!$A$2:$H$9997,8,FALSE),0)</f>
        <v/>
      </c>
      <c r="G6228" s="29">
        <f>VLOOKUP(A6228,Calendar!$A$1:$H$9997,6,FALSE)-F6228</f>
        <v/>
      </c>
      <c r="H6228" s="19" t="n">
        <v>3</v>
      </c>
      <c r="I6228" s="57" t="n">
        <v>1</v>
      </c>
    </row>
    <row r="6229">
      <c r="A6229" s="62" t="n">
        <v>46860</v>
      </c>
      <c r="B6229" s="3" t="inlineStr">
        <is>
          <t>Week</t>
        </is>
      </c>
      <c r="C6229" s="19" t="n">
        <v>4</v>
      </c>
      <c r="D6229" s="19" t="n">
        <v>2028</v>
      </c>
      <c r="E6229" s="57" t="n">
        <v>6</v>
      </c>
      <c r="F6229" s="29">
        <f>ROUND(((SUMIFS(Calendar!$F$2:$F$9997,Calendar!$B$2:$B$9997,D6229,Calendar!$C$2:$C$9997,C6229)*INDEX(ForeCalc!$B$37:$Y$274,MATCH(_xlfn.CONCAT(H6229," ",I6229),ForeCalc!$A$37:$A$274,0),MATCH(_xlfn.CONCAT(B6229," ",E6229),ForeCalc!$B$36:$Y$36,0))))*VLOOKUP(A6229,Calendar!$A$2:$H$9997,8,FALSE),0)</f>
        <v/>
      </c>
      <c r="G6229" s="29">
        <f>VLOOKUP(A6229,Calendar!$A$1:$H$9997,6,FALSE)-F6229</f>
        <v/>
      </c>
      <c r="H6229" s="19" t="n">
        <v>3</v>
      </c>
      <c r="I6229" s="57" t="n">
        <v>1</v>
      </c>
    </row>
    <row r="6230">
      <c r="A6230" s="62" t="n">
        <v>46861</v>
      </c>
      <c r="B6230" s="3" t="inlineStr">
        <is>
          <t>Week</t>
        </is>
      </c>
      <c r="C6230" s="19" t="n">
        <v>4</v>
      </c>
      <c r="D6230" s="19" t="n">
        <v>2028</v>
      </c>
      <c r="E6230" s="57" t="n">
        <v>6</v>
      </c>
      <c r="F6230" s="29">
        <f>ROUND(((SUMIFS(Calendar!$F$2:$F$9997,Calendar!$B$2:$B$9997,D6230,Calendar!$C$2:$C$9997,C6230)*INDEX(ForeCalc!$B$37:$Y$274,MATCH(_xlfn.CONCAT(H6230," ",I6230),ForeCalc!$A$37:$A$274,0),MATCH(_xlfn.CONCAT(B6230," ",E6230),ForeCalc!$B$36:$Y$36,0))))*VLOOKUP(A6230,Calendar!$A$2:$H$9997,8,FALSE),0)</f>
        <v/>
      </c>
      <c r="G6230" s="29">
        <f>VLOOKUP(A6230,Calendar!$A$1:$H$9997,6,FALSE)-F6230</f>
        <v/>
      </c>
      <c r="H6230" s="19" t="n">
        <v>3</v>
      </c>
      <c r="I6230" s="57" t="n">
        <v>1</v>
      </c>
    </row>
    <row r="6231">
      <c r="A6231" s="62" t="n">
        <v>46862</v>
      </c>
      <c r="B6231" s="3" t="inlineStr">
        <is>
          <t>Week</t>
        </is>
      </c>
      <c r="C6231" s="19" t="n">
        <v>4</v>
      </c>
      <c r="D6231" s="19" t="n">
        <v>2028</v>
      </c>
      <c r="E6231" s="57" t="n">
        <v>6</v>
      </c>
      <c r="F6231" s="29">
        <f>ROUND(((SUMIFS(Calendar!$F$2:$F$9997,Calendar!$B$2:$B$9997,D6231,Calendar!$C$2:$C$9997,C6231)*INDEX(ForeCalc!$B$37:$Y$274,MATCH(_xlfn.CONCAT(H6231," ",I6231),ForeCalc!$A$37:$A$274,0),MATCH(_xlfn.CONCAT(B6231," ",E6231),ForeCalc!$B$36:$Y$36,0))))*VLOOKUP(A6231,Calendar!$A$2:$H$9997,8,FALSE),0)</f>
        <v/>
      </c>
      <c r="G6231" s="29">
        <f>VLOOKUP(A6231,Calendar!$A$1:$H$9997,6,FALSE)-F6231</f>
        <v/>
      </c>
      <c r="H6231" s="19" t="n">
        <v>3</v>
      </c>
      <c r="I6231" s="57" t="n">
        <v>1</v>
      </c>
    </row>
    <row r="6232">
      <c r="A6232" s="62" t="n">
        <v>46863</v>
      </c>
      <c r="B6232" s="3" t="inlineStr">
        <is>
          <t>Week</t>
        </is>
      </c>
      <c r="C6232" s="19" t="n">
        <v>4</v>
      </c>
      <c r="D6232" s="19" t="n">
        <v>2028</v>
      </c>
      <c r="E6232" s="57" t="n">
        <v>6</v>
      </c>
      <c r="F6232" s="29">
        <f>ROUND(((SUMIFS(Calendar!$F$2:$F$9997,Calendar!$B$2:$B$9997,D6232,Calendar!$C$2:$C$9997,C6232)*INDEX(ForeCalc!$B$37:$Y$274,MATCH(_xlfn.CONCAT(H6232," ",I6232),ForeCalc!$A$37:$A$274,0),MATCH(_xlfn.CONCAT(B6232," ",E6232),ForeCalc!$B$36:$Y$36,0))))*VLOOKUP(A6232,Calendar!$A$2:$H$9997,8,FALSE),0)</f>
        <v/>
      </c>
      <c r="G6232" s="29">
        <f>VLOOKUP(A6232,Calendar!$A$1:$H$9997,6,FALSE)-F6232</f>
        <v/>
      </c>
      <c r="H6232" s="19" t="n">
        <v>3</v>
      </c>
      <c r="I6232" s="57" t="n">
        <v>1</v>
      </c>
    </row>
    <row r="6233">
      <c r="A6233" s="62" t="n">
        <v>46864</v>
      </c>
      <c r="B6233" s="3" t="inlineStr">
        <is>
          <t>Week</t>
        </is>
      </c>
      <c r="C6233" s="19" t="n">
        <v>4</v>
      </c>
      <c r="D6233" s="19" t="n">
        <v>2028</v>
      </c>
      <c r="E6233" s="57" t="n">
        <v>6</v>
      </c>
      <c r="F6233" s="29">
        <f>ROUND(((SUMIFS(Calendar!$F$2:$F$9997,Calendar!$B$2:$B$9997,D6233,Calendar!$C$2:$C$9997,C6233)*INDEX(ForeCalc!$B$37:$Y$274,MATCH(_xlfn.CONCAT(H6233," ",I6233),ForeCalc!$A$37:$A$274,0),MATCH(_xlfn.CONCAT(B6233," ",E6233),ForeCalc!$B$36:$Y$36,0))))*VLOOKUP(A6233,Calendar!$A$2:$H$9997,8,FALSE),0)</f>
        <v/>
      </c>
      <c r="G6233" s="29">
        <f>VLOOKUP(A6233,Calendar!$A$1:$H$9997,6,FALSE)-F6233</f>
        <v/>
      </c>
      <c r="H6233" s="19" t="n">
        <v>3</v>
      </c>
      <c r="I6233" s="57" t="n">
        <v>1</v>
      </c>
    </row>
    <row r="6234">
      <c r="A6234" s="62" t="n">
        <v>46865</v>
      </c>
      <c r="B6234" s="3" t="inlineStr">
        <is>
          <t>Sat</t>
        </is>
      </c>
      <c r="C6234" s="19" t="n">
        <v>4</v>
      </c>
      <c r="D6234" s="19" t="n">
        <v>2028</v>
      </c>
      <c r="E6234" s="57" t="n">
        <v>6</v>
      </c>
      <c r="F6234" s="29">
        <f>ROUND(((SUMIFS(Calendar!$F$2:$F$9997,Calendar!$B$2:$B$9997,D6234,Calendar!$C$2:$C$9997,C6234)*INDEX(ForeCalc!$B$37:$Y$274,MATCH(_xlfn.CONCAT(H6234," ",I6234),ForeCalc!$A$37:$A$274,0),MATCH(_xlfn.CONCAT(B6234," ",E6234),ForeCalc!$B$36:$Y$36,0))))*VLOOKUP(A6234,Calendar!$A$2:$H$9997,8,FALSE),0)</f>
        <v/>
      </c>
      <c r="G6234" s="29">
        <f>VLOOKUP(A6234,Calendar!$A$1:$H$9997,6,FALSE)-F6234</f>
        <v/>
      </c>
      <c r="H6234" s="19" t="n">
        <v>3</v>
      </c>
      <c r="I6234" s="57" t="n">
        <v>1</v>
      </c>
    </row>
    <row r="6235">
      <c r="A6235" s="62" t="n">
        <v>46866</v>
      </c>
      <c r="B6235" s="3" t="inlineStr">
        <is>
          <t>Sun</t>
        </is>
      </c>
      <c r="C6235" s="19" t="n">
        <v>4</v>
      </c>
      <c r="D6235" s="19" t="n">
        <v>2028</v>
      </c>
      <c r="E6235" s="57" t="n">
        <v>6</v>
      </c>
      <c r="F6235" s="29">
        <f>ROUND(((SUMIFS(Calendar!$F$2:$F$9997,Calendar!$B$2:$B$9997,D6235,Calendar!$C$2:$C$9997,C6235)*INDEX(ForeCalc!$B$37:$Y$274,MATCH(_xlfn.CONCAT(H6235," ",I6235),ForeCalc!$A$37:$A$274,0),MATCH(_xlfn.CONCAT(B6235," ",E6235),ForeCalc!$B$36:$Y$36,0))))*VLOOKUP(A6235,Calendar!$A$2:$H$9997,8,FALSE),0)</f>
        <v/>
      </c>
      <c r="G6235" s="29">
        <f>VLOOKUP(A6235,Calendar!$A$1:$H$9997,6,FALSE)-F6235</f>
        <v/>
      </c>
      <c r="H6235" s="19" t="n">
        <v>3</v>
      </c>
      <c r="I6235" s="57" t="n">
        <v>1</v>
      </c>
    </row>
    <row r="6236">
      <c r="A6236" s="62" t="n">
        <v>46867</v>
      </c>
      <c r="B6236" s="3" t="inlineStr">
        <is>
          <t>Week</t>
        </is>
      </c>
      <c r="C6236" s="19" t="n">
        <v>4</v>
      </c>
      <c r="D6236" s="19" t="n">
        <v>2028</v>
      </c>
      <c r="E6236" s="57" t="n">
        <v>6</v>
      </c>
      <c r="F6236" s="29">
        <f>ROUND(((SUMIFS(Calendar!$F$2:$F$9997,Calendar!$B$2:$B$9997,D6236,Calendar!$C$2:$C$9997,C6236)*INDEX(ForeCalc!$B$37:$Y$274,MATCH(_xlfn.CONCAT(H6236," ",I6236),ForeCalc!$A$37:$A$274,0),MATCH(_xlfn.CONCAT(B6236," ",E6236),ForeCalc!$B$36:$Y$36,0))))*VLOOKUP(A6236,Calendar!$A$2:$H$9997,8,FALSE),0)</f>
        <v/>
      </c>
      <c r="G6236" s="29">
        <f>VLOOKUP(A6236,Calendar!$A$1:$H$9997,6,FALSE)-F6236</f>
        <v/>
      </c>
      <c r="H6236" s="19" t="n">
        <v>3</v>
      </c>
      <c r="I6236" s="57" t="n">
        <v>1</v>
      </c>
    </row>
    <row r="6237">
      <c r="A6237" s="62" t="n">
        <v>46868</v>
      </c>
      <c r="B6237" s="3" t="inlineStr">
        <is>
          <t>Week</t>
        </is>
      </c>
      <c r="C6237" s="19" t="n">
        <v>4</v>
      </c>
      <c r="D6237" s="19" t="n">
        <v>2028</v>
      </c>
      <c r="E6237" s="57" t="n">
        <v>6</v>
      </c>
      <c r="F6237" s="29">
        <f>ROUND(((SUMIFS(Calendar!$F$2:$F$9997,Calendar!$B$2:$B$9997,D6237,Calendar!$C$2:$C$9997,C6237)*INDEX(ForeCalc!$B$37:$Y$274,MATCH(_xlfn.CONCAT(H6237," ",I6237),ForeCalc!$A$37:$A$274,0),MATCH(_xlfn.CONCAT(B6237," ",E6237),ForeCalc!$B$36:$Y$36,0))))*VLOOKUP(A6237,Calendar!$A$2:$H$9997,8,FALSE),0)</f>
        <v/>
      </c>
      <c r="G6237" s="29">
        <f>VLOOKUP(A6237,Calendar!$A$1:$H$9997,6,FALSE)-F6237</f>
        <v/>
      </c>
      <c r="H6237" s="19" t="n">
        <v>3</v>
      </c>
      <c r="I6237" s="57" t="n">
        <v>1</v>
      </c>
    </row>
    <row r="6238">
      <c r="A6238" s="62" t="n">
        <v>46869</v>
      </c>
      <c r="B6238" s="3" t="inlineStr">
        <is>
          <t>Week</t>
        </is>
      </c>
      <c r="C6238" s="19" t="n">
        <v>4</v>
      </c>
      <c r="D6238" s="19" t="n">
        <v>2028</v>
      </c>
      <c r="E6238" s="57" t="n">
        <v>6</v>
      </c>
      <c r="F6238" s="29">
        <f>ROUND(((SUMIFS(Calendar!$F$2:$F$9997,Calendar!$B$2:$B$9997,D6238,Calendar!$C$2:$C$9997,C6238)*INDEX(ForeCalc!$B$37:$Y$274,MATCH(_xlfn.CONCAT(H6238," ",I6238),ForeCalc!$A$37:$A$274,0),MATCH(_xlfn.CONCAT(B6238," ",E6238),ForeCalc!$B$36:$Y$36,0))))*VLOOKUP(A6238,Calendar!$A$2:$H$9997,8,FALSE),0)</f>
        <v/>
      </c>
      <c r="G6238" s="29">
        <f>VLOOKUP(A6238,Calendar!$A$1:$H$9997,6,FALSE)-F6238</f>
        <v/>
      </c>
      <c r="H6238" s="19" t="n">
        <v>3</v>
      </c>
      <c r="I6238" s="57" t="n">
        <v>1</v>
      </c>
    </row>
    <row r="6239">
      <c r="A6239" s="62" t="n">
        <v>46870</v>
      </c>
      <c r="B6239" s="3" t="inlineStr">
        <is>
          <t>Week</t>
        </is>
      </c>
      <c r="C6239" s="19" t="n">
        <v>4</v>
      </c>
      <c r="D6239" s="19" t="n">
        <v>2028</v>
      </c>
      <c r="E6239" s="57" t="n">
        <v>6</v>
      </c>
      <c r="F6239" s="29">
        <f>ROUND(((SUMIFS(Calendar!$F$2:$F$9997,Calendar!$B$2:$B$9997,D6239,Calendar!$C$2:$C$9997,C6239)*INDEX(ForeCalc!$B$37:$Y$274,MATCH(_xlfn.CONCAT(H6239," ",I6239),ForeCalc!$A$37:$A$274,0),MATCH(_xlfn.CONCAT(B6239," ",E6239),ForeCalc!$B$36:$Y$36,0))))*VLOOKUP(A6239,Calendar!$A$2:$H$9997,8,FALSE),0)</f>
        <v/>
      </c>
      <c r="G6239" s="29">
        <f>VLOOKUP(A6239,Calendar!$A$1:$H$9997,6,FALSE)-F6239</f>
        <v/>
      </c>
      <c r="H6239" s="19" t="n">
        <v>3</v>
      </c>
      <c r="I6239" s="57" t="n">
        <v>1</v>
      </c>
    </row>
    <row r="6240">
      <c r="A6240" s="62" t="n">
        <v>46871</v>
      </c>
      <c r="B6240" s="3" t="inlineStr">
        <is>
          <t>Week</t>
        </is>
      </c>
      <c r="C6240" s="19" t="n">
        <v>4</v>
      </c>
      <c r="D6240" s="19" t="n">
        <v>2028</v>
      </c>
      <c r="E6240" s="57" t="n">
        <v>6</v>
      </c>
      <c r="F6240" s="29">
        <f>ROUND(((SUMIFS(Calendar!$F$2:$F$9997,Calendar!$B$2:$B$9997,D6240,Calendar!$C$2:$C$9997,C6240)*INDEX(ForeCalc!$B$37:$Y$274,MATCH(_xlfn.CONCAT(H6240," ",I6240),ForeCalc!$A$37:$A$274,0),MATCH(_xlfn.CONCAT(B6240," ",E6240),ForeCalc!$B$36:$Y$36,0))))*VLOOKUP(A6240,Calendar!$A$2:$H$9997,8,FALSE),0)</f>
        <v/>
      </c>
      <c r="G6240" s="29">
        <f>VLOOKUP(A6240,Calendar!$A$1:$H$9997,6,FALSE)-F6240</f>
        <v/>
      </c>
      <c r="H6240" s="19" t="n">
        <v>3</v>
      </c>
      <c r="I6240" s="57" t="n">
        <v>1</v>
      </c>
    </row>
    <row r="6241">
      <c r="A6241" s="62" t="n">
        <v>46872</v>
      </c>
      <c r="B6241" s="3" t="inlineStr">
        <is>
          <t>Sat</t>
        </is>
      </c>
      <c r="C6241" s="19" t="n">
        <v>4</v>
      </c>
      <c r="D6241" s="19" t="n">
        <v>2028</v>
      </c>
      <c r="E6241" s="57" t="n">
        <v>6</v>
      </c>
      <c r="F6241" s="29">
        <f>ROUND(((SUMIFS(Calendar!$F$2:$F$9997,Calendar!$B$2:$B$9997,D6241,Calendar!$C$2:$C$9997,C6241)*INDEX(ForeCalc!$B$37:$Y$274,MATCH(_xlfn.CONCAT(H6241," ",I6241),ForeCalc!$A$37:$A$274,0),MATCH(_xlfn.CONCAT(B6241," ",E6241),ForeCalc!$B$36:$Y$36,0))))*VLOOKUP(A6241,Calendar!$A$2:$H$9997,8,FALSE),0)</f>
        <v/>
      </c>
      <c r="G6241" s="29">
        <f>VLOOKUP(A6241,Calendar!$A$1:$H$9997,6,FALSE)-F6241</f>
        <v/>
      </c>
      <c r="H6241" s="19" t="n">
        <v>3</v>
      </c>
      <c r="I6241" s="57" t="n">
        <v>1</v>
      </c>
    </row>
    <row r="6242">
      <c r="A6242" s="62" t="n">
        <v>46873</v>
      </c>
      <c r="B6242" s="3" t="inlineStr">
        <is>
          <t>Sun</t>
        </is>
      </c>
      <c r="C6242" s="19" t="n">
        <v>4</v>
      </c>
      <c r="D6242" s="19" t="n">
        <v>2028</v>
      </c>
      <c r="E6242" s="57" t="n">
        <v>6</v>
      </c>
      <c r="F6242" s="29">
        <f>ROUND(((SUMIFS(Calendar!$F$2:$F$9997,Calendar!$B$2:$B$9997,D6242,Calendar!$C$2:$C$9997,C6242)*INDEX(ForeCalc!$B$37:$Y$274,MATCH(_xlfn.CONCAT(H6242," ",I6242),ForeCalc!$A$37:$A$274,0),MATCH(_xlfn.CONCAT(B6242," ",E6242),ForeCalc!$B$36:$Y$36,0))))*VLOOKUP(A6242,Calendar!$A$2:$H$9997,8,FALSE),0)</f>
        <v/>
      </c>
      <c r="G6242" s="29">
        <f>VLOOKUP(A6242,Calendar!$A$1:$H$9997,6,FALSE)-F6242</f>
        <v/>
      </c>
      <c r="H6242" s="19" t="n">
        <v>3</v>
      </c>
      <c r="I6242" s="57" t="n">
        <v>1</v>
      </c>
    </row>
    <row r="6243">
      <c r="A6243" s="62" t="n">
        <v>46874</v>
      </c>
      <c r="B6243" s="3" t="inlineStr">
        <is>
          <t>Week</t>
        </is>
      </c>
      <c r="C6243" s="19" t="n">
        <v>5</v>
      </c>
      <c r="D6243" s="19" t="n">
        <v>2028</v>
      </c>
      <c r="E6243" s="57" t="n">
        <v>6</v>
      </c>
      <c r="F6243" s="29">
        <f>ROUND(((SUMIFS(Calendar!$F$2:$F$9997,Calendar!$B$2:$B$9997,D6243,Calendar!$C$2:$C$9997,C6243)*INDEX(ForeCalc!$B$37:$Y$274,MATCH(_xlfn.CONCAT(H6243," ",I6243),ForeCalc!$A$37:$A$274,0),MATCH(_xlfn.CONCAT(B6243," ",E6243),ForeCalc!$B$36:$Y$36,0))))*VLOOKUP(A6243,Calendar!$A$2:$H$9997,8,FALSE),0)</f>
        <v/>
      </c>
      <c r="G6243" s="29">
        <f>VLOOKUP(A6243,Calendar!$A$1:$H$9997,6,FALSE)-F6243</f>
        <v/>
      </c>
      <c r="H6243" s="19" t="n">
        <v>3</v>
      </c>
      <c r="I6243" s="57" t="n">
        <v>2</v>
      </c>
    </row>
    <row r="6244">
      <c r="A6244" s="62" t="n">
        <v>46875</v>
      </c>
      <c r="B6244" s="3" t="inlineStr">
        <is>
          <t>Week</t>
        </is>
      </c>
      <c r="C6244" s="19" t="n">
        <v>5</v>
      </c>
      <c r="D6244" s="19" t="n">
        <v>2028</v>
      </c>
      <c r="E6244" s="57" t="n">
        <v>6</v>
      </c>
      <c r="F6244" s="29">
        <f>ROUND(((SUMIFS(Calendar!$F$2:$F$9997,Calendar!$B$2:$B$9997,D6244,Calendar!$C$2:$C$9997,C6244)*INDEX(ForeCalc!$B$37:$Y$274,MATCH(_xlfn.CONCAT(H6244," ",I6244),ForeCalc!$A$37:$A$274,0),MATCH(_xlfn.CONCAT(B6244," ",E6244),ForeCalc!$B$36:$Y$36,0))))*VLOOKUP(A6244,Calendar!$A$2:$H$9997,8,FALSE),0)</f>
        <v/>
      </c>
      <c r="G6244" s="29">
        <f>VLOOKUP(A6244,Calendar!$A$1:$H$9997,6,FALSE)-F6244</f>
        <v/>
      </c>
      <c r="H6244" s="19" t="n">
        <v>3</v>
      </c>
      <c r="I6244" s="57" t="n">
        <v>2</v>
      </c>
    </row>
    <row r="6245">
      <c r="A6245" s="62" t="n">
        <v>46876</v>
      </c>
      <c r="B6245" s="3" t="inlineStr">
        <is>
          <t>Week</t>
        </is>
      </c>
      <c r="C6245" s="19" t="n">
        <v>5</v>
      </c>
      <c r="D6245" s="19" t="n">
        <v>2028</v>
      </c>
      <c r="E6245" s="57" t="n">
        <v>6</v>
      </c>
      <c r="F6245" s="29">
        <f>ROUND(((SUMIFS(Calendar!$F$2:$F$9997,Calendar!$B$2:$B$9997,D6245,Calendar!$C$2:$C$9997,C6245)*INDEX(ForeCalc!$B$37:$Y$274,MATCH(_xlfn.CONCAT(H6245," ",I6245),ForeCalc!$A$37:$A$274,0),MATCH(_xlfn.CONCAT(B6245," ",E6245),ForeCalc!$B$36:$Y$36,0))))*VLOOKUP(A6245,Calendar!$A$2:$H$9997,8,FALSE),0)</f>
        <v/>
      </c>
      <c r="G6245" s="29">
        <f>VLOOKUP(A6245,Calendar!$A$1:$H$9997,6,FALSE)-F6245</f>
        <v/>
      </c>
      <c r="H6245" s="19" t="n">
        <v>3</v>
      </c>
      <c r="I6245" s="57" t="n">
        <v>2</v>
      </c>
    </row>
    <row r="6246">
      <c r="A6246" s="62" t="n">
        <v>46877</v>
      </c>
      <c r="B6246" s="3" t="inlineStr">
        <is>
          <t>Week</t>
        </is>
      </c>
      <c r="C6246" s="19" t="n">
        <v>5</v>
      </c>
      <c r="D6246" s="19" t="n">
        <v>2028</v>
      </c>
      <c r="E6246" s="57" t="n">
        <v>6</v>
      </c>
      <c r="F6246" s="29">
        <f>ROUND(((SUMIFS(Calendar!$F$2:$F$9997,Calendar!$B$2:$B$9997,D6246,Calendar!$C$2:$C$9997,C6246)*INDEX(ForeCalc!$B$37:$Y$274,MATCH(_xlfn.CONCAT(H6246," ",I6246),ForeCalc!$A$37:$A$274,0),MATCH(_xlfn.CONCAT(B6246," ",E6246),ForeCalc!$B$36:$Y$36,0))))*VLOOKUP(A6246,Calendar!$A$2:$H$9997,8,FALSE),0)</f>
        <v/>
      </c>
      <c r="G6246" s="29">
        <f>VLOOKUP(A6246,Calendar!$A$1:$H$9997,6,FALSE)-F6246</f>
        <v/>
      </c>
      <c r="H6246" s="19" t="n">
        <v>3</v>
      </c>
      <c r="I6246" s="57" t="n">
        <v>2</v>
      </c>
    </row>
    <row r="6247">
      <c r="A6247" s="62" t="n">
        <v>46878</v>
      </c>
      <c r="B6247" s="3" t="inlineStr">
        <is>
          <t>Week</t>
        </is>
      </c>
      <c r="C6247" s="19" t="n">
        <v>5</v>
      </c>
      <c r="D6247" s="19" t="n">
        <v>2028</v>
      </c>
      <c r="E6247" s="57" t="n">
        <v>6</v>
      </c>
      <c r="F6247" s="29">
        <f>ROUND(((SUMIFS(Calendar!$F$2:$F$9997,Calendar!$B$2:$B$9997,D6247,Calendar!$C$2:$C$9997,C6247)*INDEX(ForeCalc!$B$37:$Y$274,MATCH(_xlfn.CONCAT(H6247," ",I6247),ForeCalc!$A$37:$A$274,0),MATCH(_xlfn.CONCAT(B6247," ",E6247),ForeCalc!$B$36:$Y$36,0))))*VLOOKUP(A6247,Calendar!$A$2:$H$9997,8,FALSE),0)</f>
        <v/>
      </c>
      <c r="G6247" s="29">
        <f>VLOOKUP(A6247,Calendar!$A$1:$H$9997,6,FALSE)-F6247</f>
        <v/>
      </c>
      <c r="H6247" s="19" t="n">
        <v>3</v>
      </c>
      <c r="I6247" s="57" t="n">
        <v>2</v>
      </c>
    </row>
    <row r="6248">
      <c r="A6248" s="62" t="n">
        <v>46879</v>
      </c>
      <c r="B6248" s="3" t="inlineStr">
        <is>
          <t>Sat</t>
        </is>
      </c>
      <c r="C6248" s="19" t="n">
        <v>5</v>
      </c>
      <c r="D6248" s="19" t="n">
        <v>2028</v>
      </c>
      <c r="E6248" s="57" t="n">
        <v>6</v>
      </c>
      <c r="F6248" s="29">
        <f>ROUND(((SUMIFS(Calendar!$F$2:$F$9997,Calendar!$B$2:$B$9997,D6248,Calendar!$C$2:$C$9997,C6248)*INDEX(ForeCalc!$B$37:$Y$274,MATCH(_xlfn.CONCAT(H6248," ",I6248),ForeCalc!$A$37:$A$274,0),MATCH(_xlfn.CONCAT(B6248," ",E6248),ForeCalc!$B$36:$Y$36,0))))*VLOOKUP(A6248,Calendar!$A$2:$H$9997,8,FALSE),0)</f>
        <v/>
      </c>
      <c r="G6248" s="29">
        <f>VLOOKUP(A6248,Calendar!$A$1:$H$9997,6,FALSE)-F6248</f>
        <v/>
      </c>
      <c r="H6248" s="19" t="n">
        <v>3</v>
      </c>
      <c r="I6248" s="57" t="n">
        <v>2</v>
      </c>
    </row>
    <row r="6249">
      <c r="A6249" s="62" t="n">
        <v>46880</v>
      </c>
      <c r="B6249" s="3" t="inlineStr">
        <is>
          <t>Sun</t>
        </is>
      </c>
      <c r="C6249" s="19" t="n">
        <v>5</v>
      </c>
      <c r="D6249" s="19" t="n">
        <v>2028</v>
      </c>
      <c r="E6249" s="57" t="n">
        <v>6</v>
      </c>
      <c r="F6249" s="29">
        <f>ROUND(((SUMIFS(Calendar!$F$2:$F$9997,Calendar!$B$2:$B$9997,D6249,Calendar!$C$2:$C$9997,C6249)*INDEX(ForeCalc!$B$37:$Y$274,MATCH(_xlfn.CONCAT(H6249," ",I6249),ForeCalc!$A$37:$A$274,0),MATCH(_xlfn.CONCAT(B6249," ",E6249),ForeCalc!$B$36:$Y$36,0))))*VLOOKUP(A6249,Calendar!$A$2:$H$9997,8,FALSE),0)</f>
        <v/>
      </c>
      <c r="G6249" s="29">
        <f>VLOOKUP(A6249,Calendar!$A$1:$H$9997,6,FALSE)-F6249</f>
        <v/>
      </c>
      <c r="H6249" s="19" t="n">
        <v>3</v>
      </c>
      <c r="I6249" s="57" t="n">
        <v>2</v>
      </c>
    </row>
    <row r="6250">
      <c r="A6250" s="62" t="n">
        <v>46881</v>
      </c>
      <c r="B6250" s="3" t="inlineStr">
        <is>
          <t>Week</t>
        </is>
      </c>
      <c r="C6250" s="19" t="n">
        <v>5</v>
      </c>
      <c r="D6250" s="19" t="n">
        <v>2028</v>
      </c>
      <c r="E6250" s="57" t="n">
        <v>6</v>
      </c>
      <c r="F6250" s="29">
        <f>ROUND(((SUMIFS(Calendar!$F$2:$F$9997,Calendar!$B$2:$B$9997,D6250,Calendar!$C$2:$C$9997,C6250)*INDEX(ForeCalc!$B$37:$Y$274,MATCH(_xlfn.CONCAT(H6250," ",I6250),ForeCalc!$A$37:$A$274,0),MATCH(_xlfn.CONCAT(B6250," ",E6250),ForeCalc!$B$36:$Y$36,0))))*VLOOKUP(A6250,Calendar!$A$2:$H$9997,8,FALSE),0)</f>
        <v/>
      </c>
      <c r="G6250" s="29">
        <f>VLOOKUP(A6250,Calendar!$A$1:$H$9997,6,FALSE)-F6250</f>
        <v/>
      </c>
      <c r="H6250" s="19" t="n">
        <v>3</v>
      </c>
      <c r="I6250" s="57" t="n">
        <v>2</v>
      </c>
    </row>
    <row r="6251">
      <c r="A6251" s="62" t="n">
        <v>46882</v>
      </c>
      <c r="B6251" s="3" t="inlineStr">
        <is>
          <t>Week</t>
        </is>
      </c>
      <c r="C6251" s="19" t="n">
        <v>5</v>
      </c>
      <c r="D6251" s="19" t="n">
        <v>2028</v>
      </c>
      <c r="E6251" s="57" t="n">
        <v>6</v>
      </c>
      <c r="F6251" s="29">
        <f>ROUND(((SUMIFS(Calendar!$F$2:$F$9997,Calendar!$B$2:$B$9997,D6251,Calendar!$C$2:$C$9997,C6251)*INDEX(ForeCalc!$B$37:$Y$274,MATCH(_xlfn.CONCAT(H6251," ",I6251),ForeCalc!$A$37:$A$274,0),MATCH(_xlfn.CONCAT(B6251," ",E6251),ForeCalc!$B$36:$Y$36,0))))*VLOOKUP(A6251,Calendar!$A$2:$H$9997,8,FALSE),0)</f>
        <v/>
      </c>
      <c r="G6251" s="29">
        <f>VLOOKUP(A6251,Calendar!$A$1:$H$9997,6,FALSE)-F6251</f>
        <v/>
      </c>
      <c r="H6251" s="19" t="n">
        <v>3</v>
      </c>
      <c r="I6251" s="57" t="n">
        <v>2</v>
      </c>
    </row>
    <row r="6252">
      <c r="A6252" s="62" t="n">
        <v>46883</v>
      </c>
      <c r="B6252" s="3" t="inlineStr">
        <is>
          <t>Week</t>
        </is>
      </c>
      <c r="C6252" s="19" t="n">
        <v>5</v>
      </c>
      <c r="D6252" s="19" t="n">
        <v>2028</v>
      </c>
      <c r="E6252" s="57" t="n">
        <v>6</v>
      </c>
      <c r="F6252" s="29">
        <f>ROUND(((SUMIFS(Calendar!$F$2:$F$9997,Calendar!$B$2:$B$9997,D6252,Calendar!$C$2:$C$9997,C6252)*INDEX(ForeCalc!$B$37:$Y$274,MATCH(_xlfn.CONCAT(H6252," ",I6252),ForeCalc!$A$37:$A$274,0),MATCH(_xlfn.CONCAT(B6252," ",E6252),ForeCalc!$B$36:$Y$36,0))))*VLOOKUP(A6252,Calendar!$A$2:$H$9997,8,FALSE),0)</f>
        <v/>
      </c>
      <c r="G6252" s="29">
        <f>VLOOKUP(A6252,Calendar!$A$1:$H$9997,6,FALSE)-F6252</f>
        <v/>
      </c>
      <c r="H6252" s="19" t="n">
        <v>3</v>
      </c>
      <c r="I6252" s="57" t="n">
        <v>2</v>
      </c>
    </row>
    <row r="6253">
      <c r="A6253" s="62" t="n">
        <v>46884</v>
      </c>
      <c r="B6253" s="3" t="inlineStr">
        <is>
          <t>Week</t>
        </is>
      </c>
      <c r="C6253" s="19" t="n">
        <v>5</v>
      </c>
      <c r="D6253" s="19" t="n">
        <v>2028</v>
      </c>
      <c r="E6253" s="57" t="n">
        <v>6</v>
      </c>
      <c r="F6253" s="29">
        <f>ROUND(((SUMIFS(Calendar!$F$2:$F$9997,Calendar!$B$2:$B$9997,D6253,Calendar!$C$2:$C$9997,C6253)*INDEX(ForeCalc!$B$37:$Y$274,MATCH(_xlfn.CONCAT(H6253," ",I6253),ForeCalc!$A$37:$A$274,0),MATCH(_xlfn.CONCAT(B6253," ",E6253),ForeCalc!$B$36:$Y$36,0))))*VLOOKUP(A6253,Calendar!$A$2:$H$9997,8,FALSE),0)</f>
        <v/>
      </c>
      <c r="G6253" s="29">
        <f>VLOOKUP(A6253,Calendar!$A$1:$H$9997,6,FALSE)-F6253</f>
        <v/>
      </c>
      <c r="H6253" s="19" t="n">
        <v>3</v>
      </c>
      <c r="I6253" s="57" t="n">
        <v>2</v>
      </c>
    </row>
    <row r="6254">
      <c r="A6254" s="62" t="n">
        <v>46885</v>
      </c>
      <c r="B6254" s="3" t="inlineStr">
        <is>
          <t>Week</t>
        </is>
      </c>
      <c r="C6254" s="19" t="n">
        <v>5</v>
      </c>
      <c r="D6254" s="19" t="n">
        <v>2028</v>
      </c>
      <c r="E6254" s="57" t="n">
        <v>6</v>
      </c>
      <c r="F6254" s="29">
        <f>ROUND(((SUMIFS(Calendar!$F$2:$F$9997,Calendar!$B$2:$B$9997,D6254,Calendar!$C$2:$C$9997,C6254)*INDEX(ForeCalc!$B$37:$Y$274,MATCH(_xlfn.CONCAT(H6254," ",I6254),ForeCalc!$A$37:$A$274,0),MATCH(_xlfn.CONCAT(B6254," ",E6254),ForeCalc!$B$36:$Y$36,0))))*VLOOKUP(A6254,Calendar!$A$2:$H$9997,8,FALSE),0)</f>
        <v/>
      </c>
      <c r="G6254" s="29">
        <f>VLOOKUP(A6254,Calendar!$A$1:$H$9997,6,FALSE)-F6254</f>
        <v/>
      </c>
      <c r="H6254" s="19" t="n">
        <v>3</v>
      </c>
      <c r="I6254" s="57" t="n">
        <v>2</v>
      </c>
    </row>
    <row r="6255">
      <c r="A6255" s="62" t="n">
        <v>46886</v>
      </c>
      <c r="B6255" s="3" t="inlineStr">
        <is>
          <t>Sat</t>
        </is>
      </c>
      <c r="C6255" s="19" t="n">
        <v>5</v>
      </c>
      <c r="D6255" s="19" t="n">
        <v>2028</v>
      </c>
      <c r="E6255" s="57" t="n">
        <v>6</v>
      </c>
      <c r="F6255" s="29">
        <f>ROUND(((SUMIFS(Calendar!$F$2:$F$9997,Calendar!$B$2:$B$9997,D6255,Calendar!$C$2:$C$9997,C6255)*INDEX(ForeCalc!$B$37:$Y$274,MATCH(_xlfn.CONCAT(H6255," ",I6255),ForeCalc!$A$37:$A$274,0),MATCH(_xlfn.CONCAT(B6255," ",E6255),ForeCalc!$B$36:$Y$36,0))))*VLOOKUP(A6255,Calendar!$A$2:$H$9997,8,FALSE),0)</f>
        <v/>
      </c>
      <c r="G6255" s="29">
        <f>VLOOKUP(A6255,Calendar!$A$1:$H$9997,6,FALSE)-F6255</f>
        <v/>
      </c>
      <c r="H6255" s="19" t="n">
        <v>3</v>
      </c>
      <c r="I6255" s="57" t="n">
        <v>2</v>
      </c>
    </row>
    <row r="6256">
      <c r="A6256" s="62" t="n">
        <v>46887</v>
      </c>
      <c r="B6256" s="3" t="inlineStr">
        <is>
          <t>Sun</t>
        </is>
      </c>
      <c r="C6256" s="19" t="n">
        <v>5</v>
      </c>
      <c r="D6256" s="19" t="n">
        <v>2028</v>
      </c>
      <c r="E6256" s="57" t="n">
        <v>6</v>
      </c>
      <c r="F6256" s="29">
        <f>ROUND(((SUMIFS(Calendar!$F$2:$F$9997,Calendar!$B$2:$B$9997,D6256,Calendar!$C$2:$C$9997,C6256)*INDEX(ForeCalc!$B$37:$Y$274,MATCH(_xlfn.CONCAT(H6256," ",I6256),ForeCalc!$A$37:$A$274,0),MATCH(_xlfn.CONCAT(B6256," ",E6256),ForeCalc!$B$36:$Y$36,0))))*VLOOKUP(A6256,Calendar!$A$2:$H$9997,8,FALSE),0)</f>
        <v/>
      </c>
      <c r="G6256" s="29">
        <f>VLOOKUP(A6256,Calendar!$A$1:$H$9997,6,FALSE)-F6256</f>
        <v/>
      </c>
      <c r="H6256" s="19" t="n">
        <v>3</v>
      </c>
      <c r="I6256" s="57" t="n">
        <v>2</v>
      </c>
    </row>
    <row r="6257">
      <c r="A6257" s="62" t="n">
        <v>46888</v>
      </c>
      <c r="B6257" s="3" t="inlineStr">
        <is>
          <t>Week</t>
        </is>
      </c>
      <c r="C6257" s="19" t="n">
        <v>5</v>
      </c>
      <c r="D6257" s="19" t="n">
        <v>2028</v>
      </c>
      <c r="E6257" s="57" t="n">
        <v>6</v>
      </c>
      <c r="F6257" s="29">
        <f>ROUND(((SUMIFS(Calendar!$F$2:$F$9997,Calendar!$B$2:$B$9997,D6257,Calendar!$C$2:$C$9997,C6257)*INDEX(ForeCalc!$B$37:$Y$274,MATCH(_xlfn.CONCAT(H6257," ",I6257),ForeCalc!$A$37:$A$274,0),MATCH(_xlfn.CONCAT(B6257," ",E6257),ForeCalc!$B$36:$Y$36,0))))*VLOOKUP(A6257,Calendar!$A$2:$H$9997,8,FALSE),0)</f>
        <v/>
      </c>
      <c r="G6257" s="29">
        <f>VLOOKUP(A6257,Calendar!$A$1:$H$9997,6,FALSE)-F6257</f>
        <v/>
      </c>
      <c r="H6257" s="19" t="n">
        <v>3</v>
      </c>
      <c r="I6257" s="57" t="n">
        <v>2</v>
      </c>
    </row>
    <row r="6258">
      <c r="A6258" s="62" t="n">
        <v>46889</v>
      </c>
      <c r="B6258" s="3" t="inlineStr">
        <is>
          <t>Week</t>
        </is>
      </c>
      <c r="C6258" s="19" t="n">
        <v>5</v>
      </c>
      <c r="D6258" s="19" t="n">
        <v>2028</v>
      </c>
      <c r="E6258" s="57" t="n">
        <v>6</v>
      </c>
      <c r="F6258" s="29">
        <f>ROUND(((SUMIFS(Calendar!$F$2:$F$9997,Calendar!$B$2:$B$9997,D6258,Calendar!$C$2:$C$9997,C6258)*INDEX(ForeCalc!$B$37:$Y$274,MATCH(_xlfn.CONCAT(H6258," ",I6258),ForeCalc!$A$37:$A$274,0),MATCH(_xlfn.CONCAT(B6258," ",E6258),ForeCalc!$B$36:$Y$36,0))))*VLOOKUP(A6258,Calendar!$A$2:$H$9997,8,FALSE),0)</f>
        <v/>
      </c>
      <c r="G6258" s="29">
        <f>VLOOKUP(A6258,Calendar!$A$1:$H$9997,6,FALSE)-F6258</f>
        <v/>
      </c>
      <c r="H6258" s="19" t="n">
        <v>3</v>
      </c>
      <c r="I6258" s="57" t="n">
        <v>2</v>
      </c>
    </row>
    <row r="6259">
      <c r="A6259" s="62" t="n">
        <v>46890</v>
      </c>
      <c r="B6259" s="3" t="inlineStr">
        <is>
          <t>Week</t>
        </is>
      </c>
      <c r="C6259" s="19" t="n">
        <v>5</v>
      </c>
      <c r="D6259" s="19" t="n">
        <v>2028</v>
      </c>
      <c r="E6259" s="57" t="n">
        <v>6</v>
      </c>
      <c r="F6259" s="29">
        <f>ROUND(((SUMIFS(Calendar!$F$2:$F$9997,Calendar!$B$2:$B$9997,D6259,Calendar!$C$2:$C$9997,C6259)*INDEX(ForeCalc!$B$37:$Y$274,MATCH(_xlfn.CONCAT(H6259," ",I6259),ForeCalc!$A$37:$A$274,0),MATCH(_xlfn.CONCAT(B6259," ",E6259),ForeCalc!$B$36:$Y$36,0))))*VLOOKUP(A6259,Calendar!$A$2:$H$9997,8,FALSE),0)</f>
        <v/>
      </c>
      <c r="G6259" s="29">
        <f>VLOOKUP(A6259,Calendar!$A$1:$H$9997,6,FALSE)-F6259</f>
        <v/>
      </c>
      <c r="H6259" s="19" t="n">
        <v>3</v>
      </c>
      <c r="I6259" s="57" t="n">
        <v>2</v>
      </c>
    </row>
    <row r="6260">
      <c r="A6260" s="62" t="n">
        <v>46891</v>
      </c>
      <c r="B6260" s="3" t="inlineStr">
        <is>
          <t>Week</t>
        </is>
      </c>
      <c r="C6260" s="19" t="n">
        <v>5</v>
      </c>
      <c r="D6260" s="19" t="n">
        <v>2028</v>
      </c>
      <c r="E6260" s="57" t="n">
        <v>6</v>
      </c>
      <c r="F6260" s="29">
        <f>ROUND(((SUMIFS(Calendar!$F$2:$F$9997,Calendar!$B$2:$B$9997,D6260,Calendar!$C$2:$C$9997,C6260)*INDEX(ForeCalc!$B$37:$Y$274,MATCH(_xlfn.CONCAT(H6260," ",I6260),ForeCalc!$A$37:$A$274,0),MATCH(_xlfn.CONCAT(B6260," ",E6260),ForeCalc!$B$36:$Y$36,0))))*VLOOKUP(A6260,Calendar!$A$2:$H$9997,8,FALSE),0)</f>
        <v/>
      </c>
      <c r="G6260" s="29">
        <f>VLOOKUP(A6260,Calendar!$A$1:$H$9997,6,FALSE)-F6260</f>
        <v/>
      </c>
      <c r="H6260" s="19" t="n">
        <v>3</v>
      </c>
      <c r="I6260" s="57" t="n">
        <v>2</v>
      </c>
    </row>
    <row r="6261">
      <c r="A6261" s="62" t="n">
        <v>46892</v>
      </c>
      <c r="B6261" s="3" t="inlineStr">
        <is>
          <t>Week</t>
        </is>
      </c>
      <c r="C6261" s="19" t="n">
        <v>5</v>
      </c>
      <c r="D6261" s="19" t="n">
        <v>2028</v>
      </c>
      <c r="E6261" s="57" t="n">
        <v>6</v>
      </c>
      <c r="F6261" s="29">
        <f>ROUND(((SUMIFS(Calendar!$F$2:$F$9997,Calendar!$B$2:$B$9997,D6261,Calendar!$C$2:$C$9997,C6261)*INDEX(ForeCalc!$B$37:$Y$274,MATCH(_xlfn.CONCAT(H6261," ",I6261),ForeCalc!$A$37:$A$274,0),MATCH(_xlfn.CONCAT(B6261," ",E6261),ForeCalc!$B$36:$Y$36,0))))*VLOOKUP(A6261,Calendar!$A$2:$H$9997,8,FALSE),0)</f>
        <v/>
      </c>
      <c r="G6261" s="29">
        <f>VLOOKUP(A6261,Calendar!$A$1:$H$9997,6,FALSE)-F6261</f>
        <v/>
      </c>
      <c r="H6261" s="19" t="n">
        <v>3</v>
      </c>
      <c r="I6261" s="57" t="n">
        <v>2</v>
      </c>
    </row>
    <row r="6262">
      <c r="A6262" s="62" t="n">
        <v>46893</v>
      </c>
      <c r="B6262" s="3" t="inlineStr">
        <is>
          <t>Sat</t>
        </is>
      </c>
      <c r="C6262" s="19" t="n">
        <v>5</v>
      </c>
      <c r="D6262" s="19" t="n">
        <v>2028</v>
      </c>
      <c r="E6262" s="57" t="n">
        <v>6</v>
      </c>
      <c r="F6262" s="29">
        <f>ROUND(((SUMIFS(Calendar!$F$2:$F$9997,Calendar!$B$2:$B$9997,D6262,Calendar!$C$2:$C$9997,C6262)*INDEX(ForeCalc!$B$37:$Y$274,MATCH(_xlfn.CONCAT(H6262," ",I6262),ForeCalc!$A$37:$A$274,0),MATCH(_xlfn.CONCAT(B6262," ",E6262),ForeCalc!$B$36:$Y$36,0))))*VLOOKUP(A6262,Calendar!$A$2:$H$9997,8,FALSE),0)</f>
        <v/>
      </c>
      <c r="G6262" s="29">
        <f>VLOOKUP(A6262,Calendar!$A$1:$H$9997,6,FALSE)-F6262</f>
        <v/>
      </c>
      <c r="H6262" s="19" t="n">
        <v>3</v>
      </c>
      <c r="I6262" s="57" t="n">
        <v>2</v>
      </c>
    </row>
    <row r="6263">
      <c r="A6263" s="62" t="n">
        <v>46894</v>
      </c>
      <c r="B6263" s="3" t="inlineStr">
        <is>
          <t>Sun</t>
        </is>
      </c>
      <c r="C6263" s="19" t="n">
        <v>5</v>
      </c>
      <c r="D6263" s="19" t="n">
        <v>2028</v>
      </c>
      <c r="E6263" s="57" t="n">
        <v>6</v>
      </c>
      <c r="F6263" s="29">
        <f>ROUND(((SUMIFS(Calendar!$F$2:$F$9997,Calendar!$B$2:$B$9997,D6263,Calendar!$C$2:$C$9997,C6263)*INDEX(ForeCalc!$B$37:$Y$274,MATCH(_xlfn.CONCAT(H6263," ",I6263),ForeCalc!$A$37:$A$274,0),MATCH(_xlfn.CONCAT(B6263," ",E6263),ForeCalc!$B$36:$Y$36,0))))*VLOOKUP(A6263,Calendar!$A$2:$H$9997,8,FALSE),0)</f>
        <v/>
      </c>
      <c r="G6263" s="29">
        <f>VLOOKUP(A6263,Calendar!$A$1:$H$9997,6,FALSE)-F6263</f>
        <v/>
      </c>
      <c r="H6263" s="19" t="n">
        <v>3</v>
      </c>
      <c r="I6263" s="57" t="n">
        <v>2</v>
      </c>
    </row>
    <row r="6264">
      <c r="A6264" s="62" t="n">
        <v>46895</v>
      </c>
      <c r="B6264" s="3" t="inlineStr">
        <is>
          <t>Week</t>
        </is>
      </c>
      <c r="C6264" s="19" t="n">
        <v>5</v>
      </c>
      <c r="D6264" s="19" t="n">
        <v>2028</v>
      </c>
      <c r="E6264" s="57" t="n">
        <v>6</v>
      </c>
      <c r="F6264" s="29">
        <f>ROUND(((SUMIFS(Calendar!$F$2:$F$9997,Calendar!$B$2:$B$9997,D6264,Calendar!$C$2:$C$9997,C6264)*INDEX(ForeCalc!$B$37:$Y$274,MATCH(_xlfn.CONCAT(H6264," ",I6264),ForeCalc!$A$37:$A$274,0),MATCH(_xlfn.CONCAT(B6264," ",E6264),ForeCalc!$B$36:$Y$36,0))))*VLOOKUP(A6264,Calendar!$A$2:$H$9997,8,FALSE),0)</f>
        <v/>
      </c>
      <c r="G6264" s="29">
        <f>VLOOKUP(A6264,Calendar!$A$1:$H$9997,6,FALSE)-F6264</f>
        <v/>
      </c>
      <c r="H6264" s="19" t="n">
        <v>3</v>
      </c>
      <c r="I6264" s="57" t="n">
        <v>2</v>
      </c>
    </row>
    <row r="6265">
      <c r="A6265" s="62" t="n">
        <v>46896</v>
      </c>
      <c r="B6265" s="3" t="inlineStr">
        <is>
          <t>Week</t>
        </is>
      </c>
      <c r="C6265" s="19" t="n">
        <v>5</v>
      </c>
      <c r="D6265" s="19" t="n">
        <v>2028</v>
      </c>
      <c r="E6265" s="57" t="n">
        <v>6</v>
      </c>
      <c r="F6265" s="29">
        <f>ROUND(((SUMIFS(Calendar!$F$2:$F$9997,Calendar!$B$2:$B$9997,D6265,Calendar!$C$2:$C$9997,C6265)*INDEX(ForeCalc!$B$37:$Y$274,MATCH(_xlfn.CONCAT(H6265," ",I6265),ForeCalc!$A$37:$A$274,0),MATCH(_xlfn.CONCAT(B6265," ",E6265),ForeCalc!$B$36:$Y$36,0))))*VLOOKUP(A6265,Calendar!$A$2:$H$9997,8,FALSE),0)</f>
        <v/>
      </c>
      <c r="G6265" s="29">
        <f>VLOOKUP(A6265,Calendar!$A$1:$H$9997,6,FALSE)-F6265</f>
        <v/>
      </c>
      <c r="H6265" s="19" t="n">
        <v>3</v>
      </c>
      <c r="I6265" s="57" t="n">
        <v>2</v>
      </c>
    </row>
    <row r="6266">
      <c r="A6266" s="62" t="n">
        <v>46897</v>
      </c>
      <c r="B6266" s="3" t="inlineStr">
        <is>
          <t>Week</t>
        </is>
      </c>
      <c r="C6266" s="19" t="n">
        <v>5</v>
      </c>
      <c r="D6266" s="19" t="n">
        <v>2028</v>
      </c>
      <c r="E6266" s="57" t="n">
        <v>6</v>
      </c>
      <c r="F6266" s="29">
        <f>ROUND(((SUMIFS(Calendar!$F$2:$F$9997,Calendar!$B$2:$B$9997,D6266,Calendar!$C$2:$C$9997,C6266)*INDEX(ForeCalc!$B$37:$Y$274,MATCH(_xlfn.CONCAT(H6266," ",I6266),ForeCalc!$A$37:$A$274,0),MATCH(_xlfn.CONCAT(B6266," ",E6266),ForeCalc!$B$36:$Y$36,0))))*VLOOKUP(A6266,Calendar!$A$2:$H$9997,8,FALSE),0)</f>
        <v/>
      </c>
      <c r="G6266" s="29">
        <f>VLOOKUP(A6266,Calendar!$A$1:$H$9997,6,FALSE)-F6266</f>
        <v/>
      </c>
      <c r="H6266" s="19" t="n">
        <v>3</v>
      </c>
      <c r="I6266" s="57" t="n">
        <v>2</v>
      </c>
    </row>
    <row r="6267">
      <c r="A6267" s="62" t="n">
        <v>46898</v>
      </c>
      <c r="B6267" s="3" t="inlineStr">
        <is>
          <t>Week</t>
        </is>
      </c>
      <c r="C6267" s="19" t="n">
        <v>5</v>
      </c>
      <c r="D6267" s="19" t="n">
        <v>2028</v>
      </c>
      <c r="E6267" s="57" t="n">
        <v>6</v>
      </c>
      <c r="F6267" s="29">
        <f>ROUND(((SUMIFS(Calendar!$F$2:$F$9997,Calendar!$B$2:$B$9997,D6267,Calendar!$C$2:$C$9997,C6267)*INDEX(ForeCalc!$B$37:$Y$274,MATCH(_xlfn.CONCAT(H6267," ",I6267),ForeCalc!$A$37:$A$274,0),MATCH(_xlfn.CONCAT(B6267," ",E6267),ForeCalc!$B$36:$Y$36,0))))*VLOOKUP(A6267,Calendar!$A$2:$H$9997,8,FALSE),0)</f>
        <v/>
      </c>
      <c r="G6267" s="29">
        <f>VLOOKUP(A6267,Calendar!$A$1:$H$9997,6,FALSE)-F6267</f>
        <v/>
      </c>
      <c r="H6267" s="19" t="n">
        <v>3</v>
      </c>
      <c r="I6267" s="57" t="n">
        <v>2</v>
      </c>
    </row>
    <row r="6268">
      <c r="A6268" s="62" t="n">
        <v>46899</v>
      </c>
      <c r="B6268" s="3" t="inlineStr">
        <is>
          <t>Week</t>
        </is>
      </c>
      <c r="C6268" s="19" t="n">
        <v>5</v>
      </c>
      <c r="D6268" s="19" t="n">
        <v>2028</v>
      </c>
      <c r="E6268" s="57" t="n">
        <v>6</v>
      </c>
      <c r="F6268" s="29">
        <f>ROUND(((SUMIFS(Calendar!$F$2:$F$9997,Calendar!$B$2:$B$9997,D6268,Calendar!$C$2:$C$9997,C6268)*INDEX(ForeCalc!$B$37:$Y$274,MATCH(_xlfn.CONCAT(H6268," ",I6268),ForeCalc!$A$37:$A$274,0),MATCH(_xlfn.CONCAT(B6268," ",E6268),ForeCalc!$B$36:$Y$36,0))))*VLOOKUP(A6268,Calendar!$A$2:$H$9997,8,FALSE),0)</f>
        <v/>
      </c>
      <c r="G6268" s="29">
        <f>VLOOKUP(A6268,Calendar!$A$1:$H$9997,6,FALSE)-F6268</f>
        <v/>
      </c>
      <c r="H6268" s="19" t="n">
        <v>3</v>
      </c>
      <c r="I6268" s="57" t="n">
        <v>2</v>
      </c>
    </row>
    <row r="6269">
      <c r="A6269" s="62" t="n">
        <v>46900</v>
      </c>
      <c r="B6269" s="3" t="inlineStr">
        <is>
          <t>Sat</t>
        </is>
      </c>
      <c r="C6269" s="19" t="n">
        <v>5</v>
      </c>
      <c r="D6269" s="19" t="n">
        <v>2028</v>
      </c>
      <c r="E6269" s="57" t="n">
        <v>6</v>
      </c>
      <c r="F6269" s="29">
        <f>ROUND(((SUMIFS(Calendar!$F$2:$F$9997,Calendar!$B$2:$B$9997,D6269,Calendar!$C$2:$C$9997,C6269)*INDEX(ForeCalc!$B$37:$Y$274,MATCH(_xlfn.CONCAT(H6269," ",I6269),ForeCalc!$A$37:$A$274,0),MATCH(_xlfn.CONCAT(B6269," ",E6269),ForeCalc!$B$36:$Y$36,0))))*VLOOKUP(A6269,Calendar!$A$2:$H$9997,8,FALSE),0)</f>
        <v/>
      </c>
      <c r="G6269" s="29">
        <f>VLOOKUP(A6269,Calendar!$A$1:$H$9997,6,FALSE)-F6269</f>
        <v/>
      </c>
      <c r="H6269" s="19" t="n">
        <v>3</v>
      </c>
      <c r="I6269" s="57" t="n">
        <v>2</v>
      </c>
    </row>
    <row r="6270">
      <c r="A6270" s="62" t="n">
        <v>46901</v>
      </c>
      <c r="B6270" s="3" t="inlineStr">
        <is>
          <t>Sun</t>
        </is>
      </c>
      <c r="C6270" s="19" t="n">
        <v>5</v>
      </c>
      <c r="D6270" s="19" t="n">
        <v>2028</v>
      </c>
      <c r="E6270" s="57" t="n">
        <v>6</v>
      </c>
      <c r="F6270" s="29">
        <f>ROUND(((SUMIFS(Calendar!$F$2:$F$9997,Calendar!$B$2:$B$9997,D6270,Calendar!$C$2:$C$9997,C6270)*INDEX(ForeCalc!$B$37:$Y$274,MATCH(_xlfn.CONCAT(H6270," ",I6270),ForeCalc!$A$37:$A$274,0),MATCH(_xlfn.CONCAT(B6270," ",E6270),ForeCalc!$B$36:$Y$36,0))))*VLOOKUP(A6270,Calendar!$A$2:$H$9997,8,FALSE),0)</f>
        <v/>
      </c>
      <c r="G6270" s="29">
        <f>VLOOKUP(A6270,Calendar!$A$1:$H$9997,6,FALSE)-F6270</f>
        <v/>
      </c>
      <c r="H6270" s="19" t="n">
        <v>3</v>
      </c>
      <c r="I6270" s="57" t="n">
        <v>2</v>
      </c>
    </row>
    <row r="6271">
      <c r="A6271" s="62" t="n">
        <v>46902</v>
      </c>
      <c r="B6271" s="3" t="inlineStr">
        <is>
          <t>Week</t>
        </is>
      </c>
      <c r="C6271" s="19" t="n">
        <v>5</v>
      </c>
      <c r="D6271" s="19" t="n">
        <v>2028</v>
      </c>
      <c r="E6271" s="57" t="n">
        <v>6</v>
      </c>
      <c r="F6271" s="29">
        <f>ROUND(((SUMIFS(Calendar!$F$2:$F$9997,Calendar!$B$2:$B$9997,D6271,Calendar!$C$2:$C$9997,C6271)*INDEX(ForeCalc!$B$37:$Y$274,MATCH(_xlfn.CONCAT(H6271," ",I6271),ForeCalc!$A$37:$A$274,0),MATCH(_xlfn.CONCAT(B6271," ",E6271),ForeCalc!$B$36:$Y$36,0))))*VLOOKUP(A6271,Calendar!$A$2:$H$9997,8,FALSE),0)</f>
        <v/>
      </c>
      <c r="G6271" s="29">
        <f>VLOOKUP(A6271,Calendar!$A$1:$H$9997,6,FALSE)-F6271</f>
        <v/>
      </c>
      <c r="H6271" s="19" t="n">
        <v>3</v>
      </c>
      <c r="I6271" s="57" t="n">
        <v>2</v>
      </c>
    </row>
    <row r="6272">
      <c r="A6272" s="62" t="n">
        <v>46903</v>
      </c>
      <c r="B6272" s="3" t="inlineStr">
        <is>
          <t>Week</t>
        </is>
      </c>
      <c r="C6272" s="19" t="n">
        <v>5</v>
      </c>
      <c r="D6272" s="19" t="n">
        <v>2028</v>
      </c>
      <c r="E6272" s="57" t="n">
        <v>6</v>
      </c>
      <c r="F6272" s="29">
        <f>ROUND(((SUMIFS(Calendar!$F$2:$F$9997,Calendar!$B$2:$B$9997,D6272,Calendar!$C$2:$C$9997,C6272)*INDEX(ForeCalc!$B$37:$Y$274,MATCH(_xlfn.CONCAT(H6272," ",I6272),ForeCalc!$A$37:$A$274,0),MATCH(_xlfn.CONCAT(B6272," ",E6272),ForeCalc!$B$36:$Y$36,0))))*VLOOKUP(A6272,Calendar!$A$2:$H$9997,8,FALSE),0)</f>
        <v/>
      </c>
      <c r="G6272" s="29">
        <f>VLOOKUP(A6272,Calendar!$A$1:$H$9997,6,FALSE)-F6272</f>
        <v/>
      </c>
      <c r="H6272" s="19" t="n">
        <v>3</v>
      </c>
      <c r="I6272" s="57" t="n">
        <v>2</v>
      </c>
    </row>
    <row r="6273">
      <c r="A6273" s="62" t="n">
        <v>46904</v>
      </c>
      <c r="B6273" s="3" t="inlineStr">
        <is>
          <t>Week</t>
        </is>
      </c>
      <c r="C6273" s="19" t="n">
        <v>5</v>
      </c>
      <c r="D6273" s="19" t="n">
        <v>2028</v>
      </c>
      <c r="E6273" s="57" t="n">
        <v>6</v>
      </c>
      <c r="F6273" s="29">
        <f>ROUND(((SUMIFS(Calendar!$F$2:$F$9997,Calendar!$B$2:$B$9997,D6273,Calendar!$C$2:$C$9997,C6273)*INDEX(ForeCalc!$B$37:$Y$274,MATCH(_xlfn.CONCAT(H6273," ",I6273),ForeCalc!$A$37:$A$274,0),MATCH(_xlfn.CONCAT(B6273," ",E6273),ForeCalc!$B$36:$Y$36,0))))*VLOOKUP(A6273,Calendar!$A$2:$H$9997,8,FALSE),0)</f>
        <v/>
      </c>
      <c r="G6273" s="29">
        <f>VLOOKUP(A6273,Calendar!$A$1:$H$9997,6,FALSE)-F6273</f>
        <v/>
      </c>
      <c r="H6273" s="19" t="n">
        <v>3</v>
      </c>
      <c r="I6273" s="57" t="n">
        <v>2</v>
      </c>
    </row>
    <row r="6274">
      <c r="A6274" s="62" t="n">
        <v>46905</v>
      </c>
      <c r="B6274" s="3" t="inlineStr">
        <is>
          <t>Week</t>
        </is>
      </c>
      <c r="C6274" s="19" t="n">
        <v>6</v>
      </c>
      <c r="D6274" s="19" t="n">
        <v>2028</v>
      </c>
      <c r="E6274" s="57" t="n">
        <v>6</v>
      </c>
      <c r="F6274" s="29">
        <f>ROUND(((SUMIFS(Calendar!$F$2:$F$9997,Calendar!$B$2:$B$9997,D6274,Calendar!$C$2:$C$9997,C6274)*INDEX(ForeCalc!$B$37:$Y$274,MATCH(_xlfn.CONCAT(H6274," ",I6274),ForeCalc!$A$37:$A$274,0),MATCH(_xlfn.CONCAT(B6274," ",E6274),ForeCalc!$B$36:$Y$36,0))))*VLOOKUP(A6274,Calendar!$A$2:$H$9997,8,FALSE),0)</f>
        <v/>
      </c>
      <c r="G6274" s="29">
        <f>VLOOKUP(A6274,Calendar!$A$1:$H$9997,6,FALSE)-F6274</f>
        <v/>
      </c>
      <c r="H6274" s="19" t="n">
        <v>3</v>
      </c>
      <c r="I6274" s="57" t="n">
        <v>3</v>
      </c>
    </row>
    <row r="6275">
      <c r="A6275" s="62" t="n">
        <v>46906</v>
      </c>
      <c r="B6275" s="3" t="inlineStr">
        <is>
          <t>Week</t>
        </is>
      </c>
      <c r="C6275" s="19" t="n">
        <v>6</v>
      </c>
      <c r="D6275" s="19" t="n">
        <v>2028</v>
      </c>
      <c r="E6275" s="57" t="n">
        <v>6</v>
      </c>
      <c r="F6275" s="29">
        <f>ROUND(((SUMIFS(Calendar!$F$2:$F$9997,Calendar!$B$2:$B$9997,D6275,Calendar!$C$2:$C$9997,C6275)*INDEX(ForeCalc!$B$37:$Y$274,MATCH(_xlfn.CONCAT(H6275," ",I6275),ForeCalc!$A$37:$A$274,0),MATCH(_xlfn.CONCAT(B6275," ",E6275),ForeCalc!$B$36:$Y$36,0))))*VLOOKUP(A6275,Calendar!$A$2:$H$9997,8,FALSE),0)</f>
        <v/>
      </c>
      <c r="G6275" s="29">
        <f>VLOOKUP(A6275,Calendar!$A$1:$H$9997,6,FALSE)-F6275</f>
        <v/>
      </c>
      <c r="H6275" s="19" t="n">
        <v>3</v>
      </c>
      <c r="I6275" s="57" t="n">
        <v>3</v>
      </c>
    </row>
    <row r="6276">
      <c r="A6276" s="62" t="n">
        <v>46907</v>
      </c>
      <c r="B6276" s="3" t="inlineStr">
        <is>
          <t>Sat</t>
        </is>
      </c>
      <c r="C6276" s="19" t="n">
        <v>6</v>
      </c>
      <c r="D6276" s="19" t="n">
        <v>2028</v>
      </c>
      <c r="E6276" s="57" t="n">
        <v>6</v>
      </c>
      <c r="F6276" s="29">
        <f>ROUND(((SUMIFS(Calendar!$F$2:$F$9997,Calendar!$B$2:$B$9997,D6276,Calendar!$C$2:$C$9997,C6276)*INDEX(ForeCalc!$B$37:$Y$274,MATCH(_xlfn.CONCAT(H6276," ",I6276),ForeCalc!$A$37:$A$274,0),MATCH(_xlfn.CONCAT(B6276," ",E6276),ForeCalc!$B$36:$Y$36,0))))*VLOOKUP(A6276,Calendar!$A$2:$H$9997,8,FALSE),0)</f>
        <v/>
      </c>
      <c r="G6276" s="29">
        <f>VLOOKUP(A6276,Calendar!$A$1:$H$9997,6,FALSE)-F6276</f>
        <v/>
      </c>
      <c r="H6276" s="19" t="n">
        <v>3</v>
      </c>
      <c r="I6276" s="57" t="n">
        <v>3</v>
      </c>
    </row>
    <row r="6277">
      <c r="A6277" s="62" t="n">
        <v>46908</v>
      </c>
      <c r="B6277" s="3" t="inlineStr">
        <is>
          <t>Sun</t>
        </is>
      </c>
      <c r="C6277" s="19" t="n">
        <v>6</v>
      </c>
      <c r="D6277" s="19" t="n">
        <v>2028</v>
      </c>
      <c r="E6277" s="57" t="n">
        <v>6</v>
      </c>
      <c r="F6277" s="29">
        <f>ROUND(((SUMIFS(Calendar!$F$2:$F$9997,Calendar!$B$2:$B$9997,D6277,Calendar!$C$2:$C$9997,C6277)*INDEX(ForeCalc!$B$37:$Y$274,MATCH(_xlfn.CONCAT(H6277," ",I6277),ForeCalc!$A$37:$A$274,0),MATCH(_xlfn.CONCAT(B6277," ",E6277),ForeCalc!$B$36:$Y$36,0))))*VLOOKUP(A6277,Calendar!$A$2:$H$9997,8,FALSE),0)</f>
        <v/>
      </c>
      <c r="G6277" s="29">
        <f>VLOOKUP(A6277,Calendar!$A$1:$H$9997,6,FALSE)-F6277</f>
        <v/>
      </c>
      <c r="H6277" s="19" t="n">
        <v>3</v>
      </c>
      <c r="I6277" s="57" t="n">
        <v>3</v>
      </c>
    </row>
    <row r="6278">
      <c r="A6278" s="62" t="n">
        <v>46909</v>
      </c>
      <c r="B6278" s="3" t="inlineStr">
        <is>
          <t>Week</t>
        </is>
      </c>
      <c r="C6278" s="19" t="n">
        <v>6</v>
      </c>
      <c r="D6278" s="19" t="n">
        <v>2028</v>
      </c>
      <c r="E6278" s="57" t="n">
        <v>6</v>
      </c>
      <c r="F6278" s="29">
        <f>ROUND(((SUMIFS(Calendar!$F$2:$F$9997,Calendar!$B$2:$B$9997,D6278,Calendar!$C$2:$C$9997,C6278)*INDEX(ForeCalc!$B$37:$Y$274,MATCH(_xlfn.CONCAT(H6278," ",I6278),ForeCalc!$A$37:$A$274,0),MATCH(_xlfn.CONCAT(B6278," ",E6278),ForeCalc!$B$36:$Y$36,0))))*VLOOKUP(A6278,Calendar!$A$2:$H$9997,8,FALSE),0)</f>
        <v/>
      </c>
      <c r="G6278" s="29">
        <f>VLOOKUP(A6278,Calendar!$A$1:$H$9997,6,FALSE)-F6278</f>
        <v/>
      </c>
      <c r="H6278" s="19" t="n">
        <v>3</v>
      </c>
      <c r="I6278" s="57" t="n">
        <v>3</v>
      </c>
    </row>
    <row r="6279">
      <c r="A6279" s="62" t="n">
        <v>46910</v>
      </c>
      <c r="B6279" s="3" t="inlineStr">
        <is>
          <t>Week</t>
        </is>
      </c>
      <c r="C6279" s="19" t="n">
        <v>6</v>
      </c>
      <c r="D6279" s="19" t="n">
        <v>2028</v>
      </c>
      <c r="E6279" s="57" t="n">
        <v>6</v>
      </c>
      <c r="F6279" s="29">
        <f>ROUND(((SUMIFS(Calendar!$F$2:$F$9997,Calendar!$B$2:$B$9997,D6279,Calendar!$C$2:$C$9997,C6279)*INDEX(ForeCalc!$B$37:$Y$274,MATCH(_xlfn.CONCAT(H6279," ",I6279),ForeCalc!$A$37:$A$274,0),MATCH(_xlfn.CONCAT(B6279," ",E6279),ForeCalc!$B$36:$Y$36,0))))*VLOOKUP(A6279,Calendar!$A$2:$H$9997,8,FALSE),0)</f>
        <v/>
      </c>
      <c r="G6279" s="29">
        <f>VLOOKUP(A6279,Calendar!$A$1:$H$9997,6,FALSE)-F6279</f>
        <v/>
      </c>
      <c r="H6279" s="19" t="n">
        <v>3</v>
      </c>
      <c r="I6279" s="57" t="n">
        <v>3</v>
      </c>
    </row>
    <row r="6280">
      <c r="A6280" s="62" t="n">
        <v>46911</v>
      </c>
      <c r="B6280" s="3" t="inlineStr">
        <is>
          <t>Week</t>
        </is>
      </c>
      <c r="C6280" s="19" t="n">
        <v>6</v>
      </c>
      <c r="D6280" s="19" t="n">
        <v>2028</v>
      </c>
      <c r="E6280" s="57" t="n">
        <v>6</v>
      </c>
      <c r="F6280" s="29">
        <f>ROUND(((SUMIFS(Calendar!$F$2:$F$9997,Calendar!$B$2:$B$9997,D6280,Calendar!$C$2:$C$9997,C6280)*INDEX(ForeCalc!$B$37:$Y$274,MATCH(_xlfn.CONCAT(H6280," ",I6280),ForeCalc!$A$37:$A$274,0),MATCH(_xlfn.CONCAT(B6280," ",E6280),ForeCalc!$B$36:$Y$36,0))))*VLOOKUP(A6280,Calendar!$A$2:$H$9997,8,FALSE),0)</f>
        <v/>
      </c>
      <c r="G6280" s="29">
        <f>VLOOKUP(A6280,Calendar!$A$1:$H$9997,6,FALSE)-F6280</f>
        <v/>
      </c>
      <c r="H6280" s="19" t="n">
        <v>3</v>
      </c>
      <c r="I6280" s="57" t="n">
        <v>3</v>
      </c>
    </row>
    <row r="6281">
      <c r="A6281" s="62" t="n">
        <v>46912</v>
      </c>
      <c r="B6281" s="3" t="inlineStr">
        <is>
          <t>Week</t>
        </is>
      </c>
      <c r="C6281" s="19" t="n">
        <v>6</v>
      </c>
      <c r="D6281" s="19" t="n">
        <v>2028</v>
      </c>
      <c r="E6281" s="57" t="n">
        <v>6</v>
      </c>
      <c r="F6281" s="29">
        <f>ROUND(((SUMIFS(Calendar!$F$2:$F$9997,Calendar!$B$2:$B$9997,D6281,Calendar!$C$2:$C$9997,C6281)*INDEX(ForeCalc!$B$37:$Y$274,MATCH(_xlfn.CONCAT(H6281," ",I6281),ForeCalc!$A$37:$A$274,0),MATCH(_xlfn.CONCAT(B6281," ",E6281),ForeCalc!$B$36:$Y$36,0))))*VLOOKUP(A6281,Calendar!$A$2:$H$9997,8,FALSE),0)</f>
        <v/>
      </c>
      <c r="G6281" s="29">
        <f>VLOOKUP(A6281,Calendar!$A$1:$H$9997,6,FALSE)-F6281</f>
        <v/>
      </c>
      <c r="H6281" s="19" t="n">
        <v>3</v>
      </c>
      <c r="I6281" s="57" t="n">
        <v>3</v>
      </c>
    </row>
    <row r="6282">
      <c r="A6282" s="62" t="n">
        <v>46913</v>
      </c>
      <c r="B6282" s="3" t="inlineStr">
        <is>
          <t>Week</t>
        </is>
      </c>
      <c r="C6282" s="19" t="n">
        <v>6</v>
      </c>
      <c r="D6282" s="19" t="n">
        <v>2028</v>
      </c>
      <c r="E6282" s="57" t="n">
        <v>6</v>
      </c>
      <c r="F6282" s="29">
        <f>ROUND(((SUMIFS(Calendar!$F$2:$F$9997,Calendar!$B$2:$B$9997,D6282,Calendar!$C$2:$C$9997,C6282)*INDEX(ForeCalc!$B$37:$Y$274,MATCH(_xlfn.CONCAT(H6282," ",I6282),ForeCalc!$A$37:$A$274,0),MATCH(_xlfn.CONCAT(B6282," ",E6282),ForeCalc!$B$36:$Y$36,0))))*VLOOKUP(A6282,Calendar!$A$2:$H$9997,8,FALSE),0)</f>
        <v/>
      </c>
      <c r="G6282" s="29">
        <f>VLOOKUP(A6282,Calendar!$A$1:$H$9997,6,FALSE)-F6282</f>
        <v/>
      </c>
      <c r="H6282" s="19" t="n">
        <v>3</v>
      </c>
      <c r="I6282" s="57" t="n">
        <v>3</v>
      </c>
    </row>
    <row r="6283">
      <c r="A6283" s="62" t="n">
        <v>46914</v>
      </c>
      <c r="B6283" s="3" t="inlineStr">
        <is>
          <t>Sat</t>
        </is>
      </c>
      <c r="C6283" s="19" t="n">
        <v>6</v>
      </c>
      <c r="D6283" s="19" t="n">
        <v>2028</v>
      </c>
      <c r="E6283" s="57" t="n">
        <v>6</v>
      </c>
      <c r="F6283" s="29">
        <f>ROUND(((SUMIFS(Calendar!$F$2:$F$9997,Calendar!$B$2:$B$9997,D6283,Calendar!$C$2:$C$9997,C6283)*INDEX(ForeCalc!$B$37:$Y$274,MATCH(_xlfn.CONCAT(H6283," ",I6283),ForeCalc!$A$37:$A$274,0),MATCH(_xlfn.CONCAT(B6283," ",E6283),ForeCalc!$B$36:$Y$36,0))))*VLOOKUP(A6283,Calendar!$A$2:$H$9997,8,FALSE),0)</f>
        <v/>
      </c>
      <c r="G6283" s="29">
        <f>VLOOKUP(A6283,Calendar!$A$1:$H$9997,6,FALSE)-F6283</f>
        <v/>
      </c>
      <c r="H6283" s="19" t="n">
        <v>3</v>
      </c>
      <c r="I6283" s="57" t="n">
        <v>3</v>
      </c>
    </row>
    <row r="6284">
      <c r="A6284" s="62" t="n">
        <v>46915</v>
      </c>
      <c r="B6284" s="3" t="inlineStr">
        <is>
          <t>Sun</t>
        </is>
      </c>
      <c r="C6284" s="19" t="n">
        <v>6</v>
      </c>
      <c r="D6284" s="19" t="n">
        <v>2028</v>
      </c>
      <c r="E6284" s="57" t="n">
        <v>6</v>
      </c>
      <c r="F6284" s="29">
        <f>ROUND(((SUMIFS(Calendar!$F$2:$F$9997,Calendar!$B$2:$B$9997,D6284,Calendar!$C$2:$C$9997,C6284)*INDEX(ForeCalc!$B$37:$Y$274,MATCH(_xlfn.CONCAT(H6284," ",I6284),ForeCalc!$A$37:$A$274,0),MATCH(_xlfn.CONCAT(B6284," ",E6284),ForeCalc!$B$36:$Y$36,0))))*VLOOKUP(A6284,Calendar!$A$2:$H$9997,8,FALSE),0)</f>
        <v/>
      </c>
      <c r="G6284" s="29">
        <f>VLOOKUP(A6284,Calendar!$A$1:$H$9997,6,FALSE)-F6284</f>
        <v/>
      </c>
      <c r="H6284" s="19" t="n">
        <v>3</v>
      </c>
      <c r="I6284" s="57" t="n">
        <v>3</v>
      </c>
    </row>
    <row r="6285">
      <c r="A6285" s="62" t="n">
        <v>46916</v>
      </c>
      <c r="B6285" s="3" t="inlineStr">
        <is>
          <t>Week</t>
        </is>
      </c>
      <c r="C6285" s="19" t="n">
        <v>6</v>
      </c>
      <c r="D6285" s="19" t="n">
        <v>2028</v>
      </c>
      <c r="E6285" s="57" t="n">
        <v>6</v>
      </c>
      <c r="F6285" s="29">
        <f>ROUND(((SUMIFS(Calendar!$F$2:$F$9997,Calendar!$B$2:$B$9997,D6285,Calendar!$C$2:$C$9997,C6285)*INDEX(ForeCalc!$B$37:$Y$274,MATCH(_xlfn.CONCAT(H6285," ",I6285),ForeCalc!$A$37:$A$274,0),MATCH(_xlfn.CONCAT(B6285," ",E6285),ForeCalc!$B$36:$Y$36,0))))*VLOOKUP(A6285,Calendar!$A$2:$H$9997,8,FALSE),0)</f>
        <v/>
      </c>
      <c r="G6285" s="29">
        <f>VLOOKUP(A6285,Calendar!$A$1:$H$9997,6,FALSE)-F6285</f>
        <v/>
      </c>
      <c r="H6285" s="19" t="n">
        <v>3</v>
      </c>
      <c r="I6285" s="57" t="n">
        <v>3</v>
      </c>
    </row>
    <row r="6286">
      <c r="A6286" s="62" t="n">
        <v>46917</v>
      </c>
      <c r="B6286" s="3" t="inlineStr">
        <is>
          <t>Week</t>
        </is>
      </c>
      <c r="C6286" s="19" t="n">
        <v>6</v>
      </c>
      <c r="D6286" s="19" t="n">
        <v>2028</v>
      </c>
      <c r="E6286" s="57" t="n">
        <v>6</v>
      </c>
      <c r="F6286" s="29">
        <f>ROUND(((SUMIFS(Calendar!$F$2:$F$9997,Calendar!$B$2:$B$9997,D6286,Calendar!$C$2:$C$9997,C6286)*INDEX(ForeCalc!$B$37:$Y$274,MATCH(_xlfn.CONCAT(H6286," ",I6286),ForeCalc!$A$37:$A$274,0),MATCH(_xlfn.CONCAT(B6286," ",E6286),ForeCalc!$B$36:$Y$36,0))))*VLOOKUP(A6286,Calendar!$A$2:$H$9997,8,FALSE),0)</f>
        <v/>
      </c>
      <c r="G6286" s="29">
        <f>VLOOKUP(A6286,Calendar!$A$1:$H$9997,6,FALSE)-F6286</f>
        <v/>
      </c>
      <c r="H6286" s="19" t="n">
        <v>3</v>
      </c>
      <c r="I6286" s="57" t="n">
        <v>3</v>
      </c>
    </row>
    <row r="6287">
      <c r="A6287" s="62" t="n">
        <v>46918</v>
      </c>
      <c r="B6287" s="3" t="inlineStr">
        <is>
          <t>Week</t>
        </is>
      </c>
      <c r="C6287" s="19" t="n">
        <v>6</v>
      </c>
      <c r="D6287" s="19" t="n">
        <v>2028</v>
      </c>
      <c r="E6287" s="57" t="n">
        <v>6</v>
      </c>
      <c r="F6287" s="29">
        <f>ROUND(((SUMIFS(Calendar!$F$2:$F$9997,Calendar!$B$2:$B$9997,D6287,Calendar!$C$2:$C$9997,C6287)*INDEX(ForeCalc!$B$37:$Y$274,MATCH(_xlfn.CONCAT(H6287," ",I6287),ForeCalc!$A$37:$A$274,0),MATCH(_xlfn.CONCAT(B6287," ",E6287),ForeCalc!$B$36:$Y$36,0))))*VLOOKUP(A6287,Calendar!$A$2:$H$9997,8,FALSE),0)</f>
        <v/>
      </c>
      <c r="G6287" s="29">
        <f>VLOOKUP(A6287,Calendar!$A$1:$H$9997,6,FALSE)-F6287</f>
        <v/>
      </c>
      <c r="H6287" s="19" t="n">
        <v>3</v>
      </c>
      <c r="I6287" s="57" t="n">
        <v>3</v>
      </c>
    </row>
    <row r="6288">
      <c r="A6288" s="62" t="n">
        <v>46919</v>
      </c>
      <c r="B6288" s="3" t="inlineStr">
        <is>
          <t>Week</t>
        </is>
      </c>
      <c r="C6288" s="19" t="n">
        <v>6</v>
      </c>
      <c r="D6288" s="19" t="n">
        <v>2028</v>
      </c>
      <c r="E6288" s="57" t="n">
        <v>6</v>
      </c>
      <c r="F6288" s="29">
        <f>ROUND(((SUMIFS(Calendar!$F$2:$F$9997,Calendar!$B$2:$B$9997,D6288,Calendar!$C$2:$C$9997,C6288)*INDEX(ForeCalc!$B$37:$Y$274,MATCH(_xlfn.CONCAT(H6288," ",I6288),ForeCalc!$A$37:$A$274,0),MATCH(_xlfn.CONCAT(B6288," ",E6288),ForeCalc!$B$36:$Y$36,0))))*VLOOKUP(A6288,Calendar!$A$2:$H$9997,8,FALSE),0)</f>
        <v/>
      </c>
      <c r="G6288" s="29">
        <f>VLOOKUP(A6288,Calendar!$A$1:$H$9997,6,FALSE)-F6288</f>
        <v/>
      </c>
      <c r="H6288" s="19" t="n">
        <v>3</v>
      </c>
      <c r="I6288" s="57" t="n">
        <v>3</v>
      </c>
    </row>
    <row r="6289">
      <c r="A6289" s="62" t="n">
        <v>46920</v>
      </c>
      <c r="B6289" s="3" t="inlineStr">
        <is>
          <t>Week</t>
        </is>
      </c>
      <c r="C6289" s="19" t="n">
        <v>6</v>
      </c>
      <c r="D6289" s="19" t="n">
        <v>2028</v>
      </c>
      <c r="E6289" s="57" t="n">
        <v>6</v>
      </c>
      <c r="F6289" s="29">
        <f>ROUND(((SUMIFS(Calendar!$F$2:$F$9997,Calendar!$B$2:$B$9997,D6289,Calendar!$C$2:$C$9997,C6289)*INDEX(ForeCalc!$B$37:$Y$274,MATCH(_xlfn.CONCAT(H6289," ",I6289),ForeCalc!$A$37:$A$274,0),MATCH(_xlfn.CONCAT(B6289," ",E6289),ForeCalc!$B$36:$Y$36,0))))*VLOOKUP(A6289,Calendar!$A$2:$H$9997,8,FALSE),0)</f>
        <v/>
      </c>
      <c r="G6289" s="29">
        <f>VLOOKUP(A6289,Calendar!$A$1:$H$9997,6,FALSE)-F6289</f>
        <v/>
      </c>
      <c r="H6289" s="19" t="n">
        <v>3</v>
      </c>
      <c r="I6289" s="57" t="n">
        <v>3</v>
      </c>
    </row>
    <row r="6290">
      <c r="A6290" s="62" t="n">
        <v>46921</v>
      </c>
      <c r="B6290" s="3" t="inlineStr">
        <is>
          <t>Sat</t>
        </is>
      </c>
      <c r="C6290" s="19" t="n">
        <v>6</v>
      </c>
      <c r="D6290" s="19" t="n">
        <v>2028</v>
      </c>
      <c r="E6290" s="57" t="n">
        <v>6</v>
      </c>
      <c r="F6290" s="29">
        <f>ROUND(((SUMIFS(Calendar!$F$2:$F$9997,Calendar!$B$2:$B$9997,D6290,Calendar!$C$2:$C$9997,C6290)*INDEX(ForeCalc!$B$37:$Y$274,MATCH(_xlfn.CONCAT(H6290," ",I6290),ForeCalc!$A$37:$A$274,0),MATCH(_xlfn.CONCAT(B6290," ",E6290),ForeCalc!$B$36:$Y$36,0))))*VLOOKUP(A6290,Calendar!$A$2:$H$9997,8,FALSE),0)</f>
        <v/>
      </c>
      <c r="G6290" s="29">
        <f>VLOOKUP(A6290,Calendar!$A$1:$H$9997,6,FALSE)-F6290</f>
        <v/>
      </c>
      <c r="H6290" s="19" t="n">
        <v>3</v>
      </c>
      <c r="I6290" s="57" t="n">
        <v>3</v>
      </c>
    </row>
    <row r="6291">
      <c r="A6291" s="62" t="n">
        <v>46922</v>
      </c>
      <c r="B6291" s="3" t="inlineStr">
        <is>
          <t>Sun</t>
        </is>
      </c>
      <c r="C6291" s="19" t="n">
        <v>6</v>
      </c>
      <c r="D6291" s="19" t="n">
        <v>2028</v>
      </c>
      <c r="E6291" s="57" t="n">
        <v>6</v>
      </c>
      <c r="F6291" s="29">
        <f>ROUND(((SUMIFS(Calendar!$F$2:$F$9997,Calendar!$B$2:$B$9997,D6291,Calendar!$C$2:$C$9997,C6291)*INDEX(ForeCalc!$B$37:$Y$274,MATCH(_xlfn.CONCAT(H6291," ",I6291),ForeCalc!$A$37:$A$274,0),MATCH(_xlfn.CONCAT(B6291," ",E6291),ForeCalc!$B$36:$Y$36,0))))*VLOOKUP(A6291,Calendar!$A$2:$H$9997,8,FALSE),0)</f>
        <v/>
      </c>
      <c r="G6291" s="29">
        <f>VLOOKUP(A6291,Calendar!$A$1:$H$9997,6,FALSE)-F6291</f>
        <v/>
      </c>
      <c r="H6291" s="19" t="n">
        <v>3</v>
      </c>
      <c r="I6291" s="57" t="n">
        <v>3</v>
      </c>
    </row>
    <row r="6292">
      <c r="A6292" s="62" t="n">
        <v>46923</v>
      </c>
      <c r="B6292" s="3" t="inlineStr">
        <is>
          <t>Week</t>
        </is>
      </c>
      <c r="C6292" s="19" t="n">
        <v>6</v>
      </c>
      <c r="D6292" s="19" t="n">
        <v>2028</v>
      </c>
      <c r="E6292" s="57" t="n">
        <v>6</v>
      </c>
      <c r="F6292" s="29">
        <f>ROUND(((SUMIFS(Calendar!$F$2:$F$9997,Calendar!$B$2:$B$9997,D6292,Calendar!$C$2:$C$9997,C6292)*INDEX(ForeCalc!$B$37:$Y$274,MATCH(_xlfn.CONCAT(H6292," ",I6292),ForeCalc!$A$37:$A$274,0),MATCH(_xlfn.CONCAT(B6292," ",E6292),ForeCalc!$B$36:$Y$36,0))))*VLOOKUP(A6292,Calendar!$A$2:$H$9997,8,FALSE),0)</f>
        <v/>
      </c>
      <c r="G6292" s="29">
        <f>VLOOKUP(A6292,Calendar!$A$1:$H$9997,6,FALSE)-F6292</f>
        <v/>
      </c>
      <c r="H6292" s="19" t="n">
        <v>3</v>
      </c>
      <c r="I6292" s="57" t="n">
        <v>3</v>
      </c>
    </row>
    <row r="6293">
      <c r="A6293" s="62" t="n">
        <v>46924</v>
      </c>
      <c r="B6293" s="3" t="inlineStr">
        <is>
          <t>Week</t>
        </is>
      </c>
      <c r="C6293" s="19" t="n">
        <v>6</v>
      </c>
      <c r="D6293" s="19" t="n">
        <v>2028</v>
      </c>
      <c r="E6293" s="57" t="n">
        <v>6</v>
      </c>
      <c r="F6293" s="29">
        <f>ROUND(((SUMIFS(Calendar!$F$2:$F$9997,Calendar!$B$2:$B$9997,D6293,Calendar!$C$2:$C$9997,C6293)*INDEX(ForeCalc!$B$37:$Y$274,MATCH(_xlfn.CONCAT(H6293," ",I6293),ForeCalc!$A$37:$A$274,0),MATCH(_xlfn.CONCAT(B6293," ",E6293),ForeCalc!$B$36:$Y$36,0))))*VLOOKUP(A6293,Calendar!$A$2:$H$9997,8,FALSE),0)</f>
        <v/>
      </c>
      <c r="G6293" s="29">
        <f>VLOOKUP(A6293,Calendar!$A$1:$H$9997,6,FALSE)-F6293</f>
        <v/>
      </c>
      <c r="H6293" s="19" t="n">
        <v>3</v>
      </c>
      <c r="I6293" s="57" t="n">
        <v>3</v>
      </c>
    </row>
    <row r="6294">
      <c r="A6294" s="62" t="n">
        <v>46925</v>
      </c>
      <c r="B6294" s="3" t="inlineStr">
        <is>
          <t>Week</t>
        </is>
      </c>
      <c r="C6294" s="19" t="n">
        <v>6</v>
      </c>
      <c r="D6294" s="19" t="n">
        <v>2028</v>
      </c>
      <c r="E6294" s="57" t="n">
        <v>6</v>
      </c>
      <c r="F6294" s="29">
        <f>ROUND(((SUMIFS(Calendar!$F$2:$F$9997,Calendar!$B$2:$B$9997,D6294,Calendar!$C$2:$C$9997,C6294)*INDEX(ForeCalc!$B$37:$Y$274,MATCH(_xlfn.CONCAT(H6294," ",I6294),ForeCalc!$A$37:$A$274,0),MATCH(_xlfn.CONCAT(B6294," ",E6294),ForeCalc!$B$36:$Y$36,0))))*VLOOKUP(A6294,Calendar!$A$2:$H$9997,8,FALSE),0)</f>
        <v/>
      </c>
      <c r="G6294" s="29">
        <f>VLOOKUP(A6294,Calendar!$A$1:$H$9997,6,FALSE)-F6294</f>
        <v/>
      </c>
      <c r="H6294" s="19" t="n">
        <v>3</v>
      </c>
      <c r="I6294" s="57" t="n">
        <v>3</v>
      </c>
    </row>
    <row r="6295">
      <c r="A6295" s="62" t="n">
        <v>46926</v>
      </c>
      <c r="B6295" s="3" t="inlineStr">
        <is>
          <t>Week</t>
        </is>
      </c>
      <c r="C6295" s="19" t="n">
        <v>6</v>
      </c>
      <c r="D6295" s="19" t="n">
        <v>2028</v>
      </c>
      <c r="E6295" s="57" t="n">
        <v>6</v>
      </c>
      <c r="F6295" s="29">
        <f>ROUND(((SUMIFS(Calendar!$F$2:$F$9997,Calendar!$B$2:$B$9997,D6295,Calendar!$C$2:$C$9997,C6295)*INDEX(ForeCalc!$B$37:$Y$274,MATCH(_xlfn.CONCAT(H6295," ",I6295),ForeCalc!$A$37:$A$274,0),MATCH(_xlfn.CONCAT(B6295," ",E6295),ForeCalc!$B$36:$Y$36,0))))*VLOOKUP(A6295,Calendar!$A$2:$H$9997,8,FALSE),0)</f>
        <v/>
      </c>
      <c r="G6295" s="29">
        <f>VLOOKUP(A6295,Calendar!$A$1:$H$9997,6,FALSE)-F6295</f>
        <v/>
      </c>
      <c r="H6295" s="19" t="n">
        <v>3</v>
      </c>
      <c r="I6295" s="57" t="n">
        <v>3</v>
      </c>
    </row>
    <row r="6296">
      <c r="A6296" s="62" t="n">
        <v>46927</v>
      </c>
      <c r="B6296" s="3" t="inlineStr">
        <is>
          <t>Week</t>
        </is>
      </c>
      <c r="C6296" s="19" t="n">
        <v>6</v>
      </c>
      <c r="D6296" s="19" t="n">
        <v>2028</v>
      </c>
      <c r="E6296" s="57" t="n">
        <v>6</v>
      </c>
      <c r="F6296" s="29">
        <f>ROUND(((SUMIFS(Calendar!$F$2:$F$9997,Calendar!$B$2:$B$9997,D6296,Calendar!$C$2:$C$9997,C6296)*INDEX(ForeCalc!$B$37:$Y$274,MATCH(_xlfn.CONCAT(H6296," ",I6296),ForeCalc!$A$37:$A$274,0),MATCH(_xlfn.CONCAT(B6296," ",E6296),ForeCalc!$B$36:$Y$36,0))))*VLOOKUP(A6296,Calendar!$A$2:$H$9997,8,FALSE),0)</f>
        <v/>
      </c>
      <c r="G6296" s="29">
        <f>VLOOKUP(A6296,Calendar!$A$1:$H$9997,6,FALSE)-F6296</f>
        <v/>
      </c>
      <c r="H6296" s="19" t="n">
        <v>3</v>
      </c>
      <c r="I6296" s="57" t="n">
        <v>3</v>
      </c>
    </row>
    <row r="6297">
      <c r="A6297" s="62" t="n">
        <v>46928</v>
      </c>
      <c r="B6297" s="3" t="inlineStr">
        <is>
          <t>Sat</t>
        </is>
      </c>
      <c r="C6297" s="19" t="n">
        <v>6</v>
      </c>
      <c r="D6297" s="19" t="n">
        <v>2028</v>
      </c>
      <c r="E6297" s="57" t="n">
        <v>6</v>
      </c>
      <c r="F6297" s="29">
        <f>ROUND(((SUMIFS(Calendar!$F$2:$F$9997,Calendar!$B$2:$B$9997,D6297,Calendar!$C$2:$C$9997,C6297)*INDEX(ForeCalc!$B$37:$Y$274,MATCH(_xlfn.CONCAT(H6297," ",I6297),ForeCalc!$A$37:$A$274,0),MATCH(_xlfn.CONCAT(B6297," ",E6297),ForeCalc!$B$36:$Y$36,0))))*VLOOKUP(A6297,Calendar!$A$2:$H$9997,8,FALSE),0)</f>
        <v/>
      </c>
      <c r="G6297" s="29">
        <f>VLOOKUP(A6297,Calendar!$A$1:$H$9997,6,FALSE)-F6297</f>
        <v/>
      </c>
      <c r="H6297" s="19" t="n">
        <v>3</v>
      </c>
      <c r="I6297" s="57" t="n">
        <v>3</v>
      </c>
    </row>
    <row r="6298">
      <c r="A6298" s="62" t="n">
        <v>46929</v>
      </c>
      <c r="B6298" s="3" t="inlineStr">
        <is>
          <t>Sun</t>
        </is>
      </c>
      <c r="C6298" s="19" t="n">
        <v>6</v>
      </c>
      <c r="D6298" s="19" t="n">
        <v>2028</v>
      </c>
      <c r="E6298" s="57" t="n">
        <v>6</v>
      </c>
      <c r="F6298" s="29">
        <f>ROUND(((SUMIFS(Calendar!$F$2:$F$9997,Calendar!$B$2:$B$9997,D6298,Calendar!$C$2:$C$9997,C6298)*INDEX(ForeCalc!$B$37:$Y$274,MATCH(_xlfn.CONCAT(H6298," ",I6298),ForeCalc!$A$37:$A$274,0),MATCH(_xlfn.CONCAT(B6298," ",E6298),ForeCalc!$B$36:$Y$36,0))))*VLOOKUP(A6298,Calendar!$A$2:$H$9997,8,FALSE),0)</f>
        <v/>
      </c>
      <c r="G6298" s="29">
        <f>VLOOKUP(A6298,Calendar!$A$1:$H$9997,6,FALSE)-F6298</f>
        <v/>
      </c>
      <c r="H6298" s="19" t="n">
        <v>3</v>
      </c>
      <c r="I6298" s="57" t="n">
        <v>3</v>
      </c>
    </row>
    <row r="6299">
      <c r="A6299" s="62" t="n">
        <v>46930</v>
      </c>
      <c r="B6299" s="3" t="inlineStr">
        <is>
          <t>Week</t>
        </is>
      </c>
      <c r="C6299" s="19" t="n">
        <v>6</v>
      </c>
      <c r="D6299" s="19" t="n">
        <v>2028</v>
      </c>
      <c r="E6299" s="57" t="n">
        <v>6</v>
      </c>
      <c r="F6299" s="29">
        <f>ROUND(((SUMIFS(Calendar!$F$2:$F$9997,Calendar!$B$2:$B$9997,D6299,Calendar!$C$2:$C$9997,C6299)*INDEX(ForeCalc!$B$37:$Y$274,MATCH(_xlfn.CONCAT(H6299," ",I6299),ForeCalc!$A$37:$A$274,0),MATCH(_xlfn.CONCAT(B6299," ",E6299),ForeCalc!$B$36:$Y$36,0))))*VLOOKUP(A6299,Calendar!$A$2:$H$9997,8,FALSE),0)</f>
        <v/>
      </c>
      <c r="G6299" s="29">
        <f>VLOOKUP(A6299,Calendar!$A$1:$H$9997,6,FALSE)-F6299</f>
        <v/>
      </c>
      <c r="H6299" s="19" t="n">
        <v>3</v>
      </c>
      <c r="I6299" s="57" t="n">
        <v>3</v>
      </c>
    </row>
    <row r="6300">
      <c r="A6300" s="62" t="n">
        <v>46931</v>
      </c>
      <c r="B6300" s="3" t="inlineStr">
        <is>
          <t>Week</t>
        </is>
      </c>
      <c r="C6300" s="19" t="n">
        <v>6</v>
      </c>
      <c r="D6300" s="19" t="n">
        <v>2028</v>
      </c>
      <c r="E6300" s="57" t="n">
        <v>6</v>
      </c>
      <c r="F6300" s="29">
        <f>ROUND(((SUMIFS(Calendar!$F$2:$F$9997,Calendar!$B$2:$B$9997,D6300,Calendar!$C$2:$C$9997,C6300)*INDEX(ForeCalc!$B$37:$Y$274,MATCH(_xlfn.CONCAT(H6300," ",I6300),ForeCalc!$A$37:$A$274,0),MATCH(_xlfn.CONCAT(B6300," ",E6300),ForeCalc!$B$36:$Y$36,0))))*VLOOKUP(A6300,Calendar!$A$2:$H$9997,8,FALSE),0)</f>
        <v/>
      </c>
      <c r="G6300" s="29">
        <f>VLOOKUP(A6300,Calendar!$A$1:$H$9997,6,FALSE)-F6300</f>
        <v/>
      </c>
      <c r="H6300" s="19" t="n">
        <v>3</v>
      </c>
      <c r="I6300" s="57" t="n">
        <v>3</v>
      </c>
    </row>
    <row r="6301">
      <c r="A6301" s="62" t="n">
        <v>46932</v>
      </c>
      <c r="B6301" s="3" t="inlineStr">
        <is>
          <t>Week</t>
        </is>
      </c>
      <c r="C6301" s="19" t="n">
        <v>6</v>
      </c>
      <c r="D6301" s="19" t="n">
        <v>2028</v>
      </c>
      <c r="E6301" s="57" t="n">
        <v>6</v>
      </c>
      <c r="F6301" s="29">
        <f>ROUND(((SUMIFS(Calendar!$F$2:$F$9997,Calendar!$B$2:$B$9997,D6301,Calendar!$C$2:$C$9997,C6301)*INDEX(ForeCalc!$B$37:$Y$274,MATCH(_xlfn.CONCAT(H6301," ",I6301),ForeCalc!$A$37:$A$274,0),MATCH(_xlfn.CONCAT(B6301," ",E6301),ForeCalc!$B$36:$Y$36,0))))*VLOOKUP(A6301,Calendar!$A$2:$H$9997,8,FALSE),0)</f>
        <v/>
      </c>
      <c r="G6301" s="29">
        <f>VLOOKUP(A6301,Calendar!$A$1:$H$9997,6,FALSE)-F6301</f>
        <v/>
      </c>
      <c r="H6301" s="19" t="n">
        <v>3</v>
      </c>
      <c r="I6301" s="57" t="n">
        <v>3</v>
      </c>
    </row>
    <row r="6302">
      <c r="A6302" s="62" t="n">
        <v>46933</v>
      </c>
      <c r="B6302" s="3" t="inlineStr">
        <is>
          <t>Week</t>
        </is>
      </c>
      <c r="C6302" s="19" t="n">
        <v>6</v>
      </c>
      <c r="D6302" s="19" t="n">
        <v>2028</v>
      </c>
      <c r="E6302" s="57" t="n">
        <v>6</v>
      </c>
      <c r="F6302" s="29">
        <f>ROUND(((SUMIFS(Calendar!$F$2:$F$9997,Calendar!$B$2:$B$9997,D6302,Calendar!$C$2:$C$9997,C6302)*INDEX(ForeCalc!$B$37:$Y$274,MATCH(_xlfn.CONCAT(H6302," ",I6302),ForeCalc!$A$37:$A$274,0),MATCH(_xlfn.CONCAT(B6302," ",E6302),ForeCalc!$B$36:$Y$36,0))))*VLOOKUP(A6302,Calendar!$A$2:$H$9997,8,FALSE),0)</f>
        <v/>
      </c>
      <c r="G6302" s="29">
        <f>VLOOKUP(A6302,Calendar!$A$1:$H$9997,6,FALSE)-F6302</f>
        <v/>
      </c>
      <c r="H6302" s="19" t="n">
        <v>3</v>
      </c>
      <c r="I6302" s="57" t="n">
        <v>3</v>
      </c>
    </row>
    <row r="6303">
      <c r="A6303" s="62" t="n">
        <v>46934</v>
      </c>
      <c r="B6303" s="3" t="inlineStr">
        <is>
          <t>Week</t>
        </is>
      </c>
      <c r="C6303" s="19" t="n">
        <v>6</v>
      </c>
      <c r="D6303" s="19" t="n">
        <v>2028</v>
      </c>
      <c r="E6303" s="57" t="n">
        <v>6</v>
      </c>
      <c r="F6303" s="29">
        <f>ROUND(((SUMIFS(Calendar!$F$2:$F$9997,Calendar!$B$2:$B$9997,D6303,Calendar!$C$2:$C$9997,C6303)*INDEX(ForeCalc!$B$37:$Y$274,MATCH(_xlfn.CONCAT(H6303," ",I6303),ForeCalc!$A$37:$A$274,0),MATCH(_xlfn.CONCAT(B6303," ",E6303),ForeCalc!$B$36:$Y$36,0))))*VLOOKUP(A6303,Calendar!$A$2:$H$9997,8,FALSE),0)</f>
        <v/>
      </c>
      <c r="G6303" s="29">
        <f>VLOOKUP(A6303,Calendar!$A$1:$H$9997,6,FALSE)-F6303</f>
        <v/>
      </c>
      <c r="H6303" s="19" t="n">
        <v>3</v>
      </c>
      <c r="I6303" s="57" t="n">
        <v>3</v>
      </c>
    </row>
    <row r="6304">
      <c r="A6304" s="62" t="n">
        <v>46935</v>
      </c>
      <c r="B6304" s="3" t="inlineStr">
        <is>
          <t>Sat</t>
        </is>
      </c>
      <c r="C6304" s="19" t="n">
        <v>7</v>
      </c>
      <c r="D6304" s="19" t="n">
        <v>2028</v>
      </c>
      <c r="E6304" s="57" t="n">
        <v>6</v>
      </c>
      <c r="F6304" s="29">
        <f>ROUND(((SUMIFS(Calendar!$F$2:$F$9997,Calendar!$B$2:$B$9997,D6304,Calendar!$C$2:$C$9997,C6304)*INDEX(ForeCalc!$B$37:$Y$274,MATCH(_xlfn.CONCAT(H6304," ",I6304),ForeCalc!$A$37:$A$274,0),MATCH(_xlfn.CONCAT(B6304," ",E6304),ForeCalc!$B$36:$Y$36,0))))*VLOOKUP(A6304,Calendar!$A$2:$H$9997,8,FALSE),0)</f>
        <v/>
      </c>
      <c r="G6304" s="29">
        <f>VLOOKUP(A6304,Calendar!$A$1:$H$9997,6,FALSE)-F6304</f>
        <v/>
      </c>
      <c r="H6304" s="19" t="n">
        <v>3</v>
      </c>
      <c r="I6304" s="57" t="n">
        <v>4</v>
      </c>
    </row>
    <row r="6305">
      <c r="A6305" s="62" t="n">
        <v>46936</v>
      </c>
      <c r="B6305" s="3" t="inlineStr">
        <is>
          <t>Sun</t>
        </is>
      </c>
      <c r="C6305" s="19" t="n">
        <v>7</v>
      </c>
      <c r="D6305" s="19" t="n">
        <v>2028</v>
      </c>
      <c r="E6305" s="57" t="n">
        <v>6</v>
      </c>
      <c r="F6305" s="29">
        <f>ROUND(((SUMIFS(Calendar!$F$2:$F$9997,Calendar!$B$2:$B$9997,D6305,Calendar!$C$2:$C$9997,C6305)*INDEX(ForeCalc!$B$37:$Y$274,MATCH(_xlfn.CONCAT(H6305," ",I6305),ForeCalc!$A$37:$A$274,0),MATCH(_xlfn.CONCAT(B6305," ",E6305),ForeCalc!$B$36:$Y$36,0))))*VLOOKUP(A6305,Calendar!$A$2:$H$9997,8,FALSE),0)</f>
        <v/>
      </c>
      <c r="G6305" s="29">
        <f>VLOOKUP(A6305,Calendar!$A$1:$H$9997,6,FALSE)-F6305</f>
        <v/>
      </c>
      <c r="H6305" s="19" t="n">
        <v>3</v>
      </c>
      <c r="I6305" s="57" t="n">
        <v>4</v>
      </c>
    </row>
    <row r="6306">
      <c r="A6306" s="62" t="n">
        <v>46937</v>
      </c>
      <c r="B6306" s="3" t="inlineStr">
        <is>
          <t>Week</t>
        </is>
      </c>
      <c r="C6306" s="19" t="n">
        <v>7</v>
      </c>
      <c r="D6306" s="19" t="n">
        <v>2028</v>
      </c>
      <c r="E6306" s="57" t="n">
        <v>6</v>
      </c>
      <c r="F6306" s="29">
        <f>ROUND(((SUMIFS(Calendar!$F$2:$F$9997,Calendar!$B$2:$B$9997,D6306,Calendar!$C$2:$C$9997,C6306)*INDEX(ForeCalc!$B$37:$Y$274,MATCH(_xlfn.CONCAT(H6306," ",I6306),ForeCalc!$A$37:$A$274,0),MATCH(_xlfn.CONCAT(B6306," ",E6306),ForeCalc!$B$36:$Y$36,0))))*VLOOKUP(A6306,Calendar!$A$2:$H$9997,8,FALSE),0)</f>
        <v/>
      </c>
      <c r="G6306" s="29">
        <f>VLOOKUP(A6306,Calendar!$A$1:$H$9997,6,FALSE)-F6306</f>
        <v/>
      </c>
      <c r="H6306" s="19" t="n">
        <v>3</v>
      </c>
      <c r="I6306" s="57" t="n">
        <v>4</v>
      </c>
    </row>
    <row r="6307">
      <c r="A6307" s="62" t="n">
        <v>46938</v>
      </c>
      <c r="B6307" s="3" t="inlineStr">
        <is>
          <t>Week</t>
        </is>
      </c>
      <c r="C6307" s="19" t="n">
        <v>7</v>
      </c>
      <c r="D6307" s="19" t="n">
        <v>2028</v>
      </c>
      <c r="E6307" s="57" t="n">
        <v>6</v>
      </c>
      <c r="F6307" s="29">
        <f>ROUND(((SUMIFS(Calendar!$F$2:$F$9997,Calendar!$B$2:$B$9997,D6307,Calendar!$C$2:$C$9997,C6307)*INDEX(ForeCalc!$B$37:$Y$274,MATCH(_xlfn.CONCAT(H6307," ",I6307),ForeCalc!$A$37:$A$274,0),MATCH(_xlfn.CONCAT(B6307," ",E6307),ForeCalc!$B$36:$Y$36,0))))*VLOOKUP(A6307,Calendar!$A$2:$H$9997,8,FALSE),0)</f>
        <v/>
      </c>
      <c r="G6307" s="29">
        <f>VLOOKUP(A6307,Calendar!$A$1:$H$9997,6,FALSE)-F6307</f>
        <v/>
      </c>
      <c r="H6307" s="19" t="n">
        <v>3</v>
      </c>
      <c r="I6307" s="57" t="n">
        <v>4</v>
      </c>
    </row>
    <row r="6308">
      <c r="A6308" s="62" t="n">
        <v>46939</v>
      </c>
      <c r="B6308" s="3" t="inlineStr">
        <is>
          <t>Week</t>
        </is>
      </c>
      <c r="C6308" s="19" t="n">
        <v>7</v>
      </c>
      <c r="D6308" s="19" t="n">
        <v>2028</v>
      </c>
      <c r="E6308" s="57" t="n">
        <v>6</v>
      </c>
      <c r="F6308" s="29">
        <f>ROUND(((SUMIFS(Calendar!$F$2:$F$9997,Calendar!$B$2:$B$9997,D6308,Calendar!$C$2:$C$9997,C6308)*INDEX(ForeCalc!$B$37:$Y$274,MATCH(_xlfn.CONCAT(H6308," ",I6308),ForeCalc!$A$37:$A$274,0),MATCH(_xlfn.CONCAT(B6308," ",E6308),ForeCalc!$B$36:$Y$36,0))))*VLOOKUP(A6308,Calendar!$A$2:$H$9997,8,FALSE),0)</f>
        <v/>
      </c>
      <c r="G6308" s="29">
        <f>VLOOKUP(A6308,Calendar!$A$1:$H$9997,6,FALSE)-F6308</f>
        <v/>
      </c>
      <c r="H6308" s="19" t="n">
        <v>3</v>
      </c>
      <c r="I6308" s="57" t="n">
        <v>4</v>
      </c>
    </row>
    <row r="6309">
      <c r="A6309" s="62" t="n">
        <v>46940</v>
      </c>
      <c r="B6309" s="3" t="inlineStr">
        <is>
          <t>Week</t>
        </is>
      </c>
      <c r="C6309" s="19" t="n">
        <v>7</v>
      </c>
      <c r="D6309" s="19" t="n">
        <v>2028</v>
      </c>
      <c r="E6309" s="57" t="n">
        <v>6</v>
      </c>
      <c r="F6309" s="29">
        <f>ROUND(((SUMIFS(Calendar!$F$2:$F$9997,Calendar!$B$2:$B$9997,D6309,Calendar!$C$2:$C$9997,C6309)*INDEX(ForeCalc!$B$37:$Y$274,MATCH(_xlfn.CONCAT(H6309," ",I6309),ForeCalc!$A$37:$A$274,0),MATCH(_xlfn.CONCAT(B6309," ",E6309),ForeCalc!$B$36:$Y$36,0))))*VLOOKUP(A6309,Calendar!$A$2:$H$9997,8,FALSE),0)</f>
        <v/>
      </c>
      <c r="G6309" s="29">
        <f>VLOOKUP(A6309,Calendar!$A$1:$H$9997,6,FALSE)-F6309</f>
        <v/>
      </c>
      <c r="H6309" s="19" t="n">
        <v>3</v>
      </c>
      <c r="I6309" s="57" t="n">
        <v>4</v>
      </c>
    </row>
    <row r="6310">
      <c r="A6310" s="62" t="n">
        <v>46941</v>
      </c>
      <c r="B6310" s="3" t="inlineStr">
        <is>
          <t>Week</t>
        </is>
      </c>
      <c r="C6310" s="19" t="n">
        <v>7</v>
      </c>
      <c r="D6310" s="19" t="n">
        <v>2028</v>
      </c>
      <c r="E6310" s="57" t="n">
        <v>6</v>
      </c>
      <c r="F6310" s="29">
        <f>ROUND(((SUMIFS(Calendar!$F$2:$F$9997,Calendar!$B$2:$B$9997,D6310,Calendar!$C$2:$C$9997,C6310)*INDEX(ForeCalc!$B$37:$Y$274,MATCH(_xlfn.CONCAT(H6310," ",I6310),ForeCalc!$A$37:$A$274,0),MATCH(_xlfn.CONCAT(B6310," ",E6310),ForeCalc!$B$36:$Y$36,0))))*VLOOKUP(A6310,Calendar!$A$2:$H$9997,8,FALSE),0)</f>
        <v/>
      </c>
      <c r="G6310" s="29">
        <f>VLOOKUP(A6310,Calendar!$A$1:$H$9997,6,FALSE)-F6310</f>
        <v/>
      </c>
      <c r="H6310" s="19" t="n">
        <v>3</v>
      </c>
      <c r="I6310" s="57" t="n">
        <v>4</v>
      </c>
    </row>
    <row r="6311">
      <c r="A6311" s="62" t="n">
        <v>46942</v>
      </c>
      <c r="B6311" s="3" t="inlineStr">
        <is>
          <t>Sat</t>
        </is>
      </c>
      <c r="C6311" s="19" t="n">
        <v>7</v>
      </c>
      <c r="D6311" s="19" t="n">
        <v>2028</v>
      </c>
      <c r="E6311" s="57" t="n">
        <v>6</v>
      </c>
      <c r="F6311" s="29">
        <f>ROUND(((SUMIFS(Calendar!$F$2:$F$9997,Calendar!$B$2:$B$9997,D6311,Calendar!$C$2:$C$9997,C6311)*INDEX(ForeCalc!$B$37:$Y$274,MATCH(_xlfn.CONCAT(H6311," ",I6311),ForeCalc!$A$37:$A$274,0),MATCH(_xlfn.CONCAT(B6311," ",E6311),ForeCalc!$B$36:$Y$36,0))))*VLOOKUP(A6311,Calendar!$A$2:$H$9997,8,FALSE),0)</f>
        <v/>
      </c>
      <c r="G6311" s="29">
        <f>VLOOKUP(A6311,Calendar!$A$1:$H$9997,6,FALSE)-F6311</f>
        <v/>
      </c>
      <c r="H6311" s="19" t="n">
        <v>3</v>
      </c>
      <c r="I6311" s="57" t="n">
        <v>4</v>
      </c>
    </row>
    <row r="6312">
      <c r="A6312" s="62" t="n">
        <v>46943</v>
      </c>
      <c r="B6312" s="3" t="inlineStr">
        <is>
          <t>Sun</t>
        </is>
      </c>
      <c r="C6312" s="19" t="n">
        <v>7</v>
      </c>
      <c r="D6312" s="19" t="n">
        <v>2028</v>
      </c>
      <c r="E6312" s="57" t="n">
        <v>6</v>
      </c>
      <c r="F6312" s="29">
        <f>ROUND(((SUMIFS(Calendar!$F$2:$F$9997,Calendar!$B$2:$B$9997,D6312,Calendar!$C$2:$C$9997,C6312)*INDEX(ForeCalc!$B$37:$Y$274,MATCH(_xlfn.CONCAT(H6312," ",I6312),ForeCalc!$A$37:$A$274,0),MATCH(_xlfn.CONCAT(B6312," ",E6312),ForeCalc!$B$36:$Y$36,0))))*VLOOKUP(A6312,Calendar!$A$2:$H$9997,8,FALSE),0)</f>
        <v/>
      </c>
      <c r="G6312" s="29">
        <f>VLOOKUP(A6312,Calendar!$A$1:$H$9997,6,FALSE)-F6312</f>
        <v/>
      </c>
      <c r="H6312" s="19" t="n">
        <v>3</v>
      </c>
      <c r="I6312" s="57" t="n">
        <v>4</v>
      </c>
    </row>
    <row r="6313">
      <c r="A6313" s="62" t="n">
        <v>46944</v>
      </c>
      <c r="B6313" s="3" t="inlineStr">
        <is>
          <t>Week</t>
        </is>
      </c>
      <c r="C6313" s="19" t="n">
        <v>7</v>
      </c>
      <c r="D6313" s="19" t="n">
        <v>2028</v>
      </c>
      <c r="E6313" s="57" t="n">
        <v>6</v>
      </c>
      <c r="F6313" s="29">
        <f>ROUND(((SUMIFS(Calendar!$F$2:$F$9997,Calendar!$B$2:$B$9997,D6313,Calendar!$C$2:$C$9997,C6313)*INDEX(ForeCalc!$B$37:$Y$274,MATCH(_xlfn.CONCAT(H6313," ",I6313),ForeCalc!$A$37:$A$274,0),MATCH(_xlfn.CONCAT(B6313," ",E6313),ForeCalc!$B$36:$Y$36,0))))*VLOOKUP(A6313,Calendar!$A$2:$H$9997,8,FALSE),0)</f>
        <v/>
      </c>
      <c r="G6313" s="29">
        <f>VLOOKUP(A6313,Calendar!$A$1:$H$9997,6,FALSE)-F6313</f>
        <v/>
      </c>
      <c r="H6313" s="19" t="n">
        <v>3</v>
      </c>
      <c r="I6313" s="57" t="n">
        <v>4</v>
      </c>
    </row>
    <row r="6314">
      <c r="A6314" s="62" t="n">
        <v>46945</v>
      </c>
      <c r="B6314" s="3" t="inlineStr">
        <is>
          <t>Week</t>
        </is>
      </c>
      <c r="C6314" s="19" t="n">
        <v>7</v>
      </c>
      <c r="D6314" s="19" t="n">
        <v>2028</v>
      </c>
      <c r="E6314" s="57" t="n">
        <v>6</v>
      </c>
      <c r="F6314" s="29">
        <f>ROUND(((SUMIFS(Calendar!$F$2:$F$9997,Calendar!$B$2:$B$9997,D6314,Calendar!$C$2:$C$9997,C6314)*INDEX(ForeCalc!$B$37:$Y$274,MATCH(_xlfn.CONCAT(H6314," ",I6314),ForeCalc!$A$37:$A$274,0),MATCH(_xlfn.CONCAT(B6314," ",E6314),ForeCalc!$B$36:$Y$36,0))))*VLOOKUP(A6314,Calendar!$A$2:$H$9997,8,FALSE),0)</f>
        <v/>
      </c>
      <c r="G6314" s="29">
        <f>VLOOKUP(A6314,Calendar!$A$1:$H$9997,6,FALSE)-F6314</f>
        <v/>
      </c>
      <c r="H6314" s="19" t="n">
        <v>3</v>
      </c>
      <c r="I6314" s="57" t="n">
        <v>4</v>
      </c>
    </row>
    <row r="6315">
      <c r="A6315" s="62" t="n">
        <v>46946</v>
      </c>
      <c r="B6315" s="3" t="inlineStr">
        <is>
          <t>Week</t>
        </is>
      </c>
      <c r="C6315" s="19" t="n">
        <v>7</v>
      </c>
      <c r="D6315" s="19" t="n">
        <v>2028</v>
      </c>
      <c r="E6315" s="57" t="n">
        <v>6</v>
      </c>
      <c r="F6315" s="29">
        <f>ROUND(((SUMIFS(Calendar!$F$2:$F$9997,Calendar!$B$2:$B$9997,D6315,Calendar!$C$2:$C$9997,C6315)*INDEX(ForeCalc!$B$37:$Y$274,MATCH(_xlfn.CONCAT(H6315," ",I6315),ForeCalc!$A$37:$A$274,0),MATCH(_xlfn.CONCAT(B6315," ",E6315),ForeCalc!$B$36:$Y$36,0))))*VLOOKUP(A6315,Calendar!$A$2:$H$9997,8,FALSE),0)</f>
        <v/>
      </c>
      <c r="G6315" s="29">
        <f>VLOOKUP(A6315,Calendar!$A$1:$H$9997,6,FALSE)-F6315</f>
        <v/>
      </c>
      <c r="H6315" s="19" t="n">
        <v>3</v>
      </c>
      <c r="I6315" s="57" t="n">
        <v>4</v>
      </c>
    </row>
    <row r="6316">
      <c r="A6316" s="62" t="n">
        <v>46947</v>
      </c>
      <c r="B6316" s="3" t="inlineStr">
        <is>
          <t>Week</t>
        </is>
      </c>
      <c r="C6316" s="19" t="n">
        <v>7</v>
      </c>
      <c r="D6316" s="19" t="n">
        <v>2028</v>
      </c>
      <c r="E6316" s="57" t="n">
        <v>6</v>
      </c>
      <c r="F6316" s="29">
        <f>ROUND(((SUMIFS(Calendar!$F$2:$F$9997,Calendar!$B$2:$B$9997,D6316,Calendar!$C$2:$C$9997,C6316)*INDEX(ForeCalc!$B$37:$Y$274,MATCH(_xlfn.CONCAT(H6316," ",I6316),ForeCalc!$A$37:$A$274,0),MATCH(_xlfn.CONCAT(B6316," ",E6316),ForeCalc!$B$36:$Y$36,0))))*VLOOKUP(A6316,Calendar!$A$2:$H$9997,8,FALSE),0)</f>
        <v/>
      </c>
      <c r="G6316" s="29">
        <f>VLOOKUP(A6316,Calendar!$A$1:$H$9997,6,FALSE)-F6316</f>
        <v/>
      </c>
      <c r="H6316" s="19" t="n">
        <v>3</v>
      </c>
      <c r="I6316" s="57" t="n">
        <v>4</v>
      </c>
    </row>
    <row r="6317">
      <c r="A6317" s="62" t="n">
        <v>46948</v>
      </c>
      <c r="B6317" s="3" t="inlineStr">
        <is>
          <t>Week</t>
        </is>
      </c>
      <c r="C6317" s="19" t="n">
        <v>7</v>
      </c>
      <c r="D6317" s="19" t="n">
        <v>2028</v>
      </c>
      <c r="E6317" s="57" t="n">
        <v>6</v>
      </c>
      <c r="F6317" s="29">
        <f>ROUND(((SUMIFS(Calendar!$F$2:$F$9997,Calendar!$B$2:$B$9997,D6317,Calendar!$C$2:$C$9997,C6317)*INDEX(ForeCalc!$B$37:$Y$274,MATCH(_xlfn.CONCAT(H6317," ",I6317),ForeCalc!$A$37:$A$274,0),MATCH(_xlfn.CONCAT(B6317," ",E6317),ForeCalc!$B$36:$Y$36,0))))*VLOOKUP(A6317,Calendar!$A$2:$H$9997,8,FALSE),0)</f>
        <v/>
      </c>
      <c r="G6317" s="29">
        <f>VLOOKUP(A6317,Calendar!$A$1:$H$9997,6,FALSE)-F6317</f>
        <v/>
      </c>
      <c r="H6317" s="19" t="n">
        <v>3</v>
      </c>
      <c r="I6317" s="57" t="n">
        <v>4</v>
      </c>
    </row>
    <row r="6318">
      <c r="A6318" s="62" t="n">
        <v>46949</v>
      </c>
      <c r="B6318" s="3" t="inlineStr">
        <is>
          <t>Sat</t>
        </is>
      </c>
      <c r="C6318" s="19" t="n">
        <v>7</v>
      </c>
      <c r="D6318" s="19" t="n">
        <v>2028</v>
      </c>
      <c r="E6318" s="57" t="n">
        <v>6</v>
      </c>
      <c r="F6318" s="29">
        <f>ROUND(((SUMIFS(Calendar!$F$2:$F$9997,Calendar!$B$2:$B$9997,D6318,Calendar!$C$2:$C$9997,C6318)*INDEX(ForeCalc!$B$37:$Y$274,MATCH(_xlfn.CONCAT(H6318," ",I6318),ForeCalc!$A$37:$A$274,0),MATCH(_xlfn.CONCAT(B6318," ",E6318),ForeCalc!$B$36:$Y$36,0))))*VLOOKUP(A6318,Calendar!$A$2:$H$9997,8,FALSE),0)</f>
        <v/>
      </c>
      <c r="G6318" s="29">
        <f>VLOOKUP(A6318,Calendar!$A$1:$H$9997,6,FALSE)-F6318</f>
        <v/>
      </c>
      <c r="H6318" s="19" t="n">
        <v>3</v>
      </c>
      <c r="I6318" s="57" t="n">
        <v>4</v>
      </c>
    </row>
    <row r="6319">
      <c r="A6319" s="62" t="n">
        <v>46950</v>
      </c>
      <c r="B6319" s="3" t="inlineStr">
        <is>
          <t>Sun</t>
        </is>
      </c>
      <c r="C6319" s="19" t="n">
        <v>7</v>
      </c>
      <c r="D6319" s="19" t="n">
        <v>2028</v>
      </c>
      <c r="E6319" s="57" t="n">
        <v>6</v>
      </c>
      <c r="F6319" s="29">
        <f>ROUND(((SUMIFS(Calendar!$F$2:$F$9997,Calendar!$B$2:$B$9997,D6319,Calendar!$C$2:$C$9997,C6319)*INDEX(ForeCalc!$B$37:$Y$274,MATCH(_xlfn.CONCAT(H6319," ",I6319),ForeCalc!$A$37:$A$274,0),MATCH(_xlfn.CONCAT(B6319," ",E6319),ForeCalc!$B$36:$Y$36,0))))*VLOOKUP(A6319,Calendar!$A$2:$H$9997,8,FALSE),0)</f>
        <v/>
      </c>
      <c r="G6319" s="29">
        <f>VLOOKUP(A6319,Calendar!$A$1:$H$9997,6,FALSE)-F6319</f>
        <v/>
      </c>
      <c r="H6319" s="19" t="n">
        <v>3</v>
      </c>
      <c r="I6319" s="57" t="n">
        <v>4</v>
      </c>
    </row>
    <row r="6320">
      <c r="A6320" s="62" t="n">
        <v>46951</v>
      </c>
      <c r="B6320" s="3" t="inlineStr">
        <is>
          <t>Week</t>
        </is>
      </c>
      <c r="C6320" s="19" t="n">
        <v>7</v>
      </c>
      <c r="D6320" s="19" t="n">
        <v>2028</v>
      </c>
      <c r="E6320" s="57" t="n">
        <v>6</v>
      </c>
      <c r="F6320" s="29">
        <f>ROUND(((SUMIFS(Calendar!$F$2:$F$9997,Calendar!$B$2:$B$9997,D6320,Calendar!$C$2:$C$9997,C6320)*INDEX(ForeCalc!$B$37:$Y$274,MATCH(_xlfn.CONCAT(H6320," ",I6320),ForeCalc!$A$37:$A$274,0),MATCH(_xlfn.CONCAT(B6320," ",E6320),ForeCalc!$B$36:$Y$36,0))))*VLOOKUP(A6320,Calendar!$A$2:$H$9997,8,FALSE),0)</f>
        <v/>
      </c>
      <c r="G6320" s="29">
        <f>VLOOKUP(A6320,Calendar!$A$1:$H$9997,6,FALSE)-F6320</f>
        <v/>
      </c>
      <c r="H6320" s="19" t="n">
        <v>3</v>
      </c>
      <c r="I6320" s="57" t="n">
        <v>4</v>
      </c>
    </row>
    <row r="6321">
      <c r="A6321" s="62" t="n">
        <v>46952</v>
      </c>
      <c r="B6321" s="3" t="inlineStr">
        <is>
          <t>Week</t>
        </is>
      </c>
      <c r="C6321" s="19" t="n">
        <v>7</v>
      </c>
      <c r="D6321" s="19" t="n">
        <v>2028</v>
      </c>
      <c r="E6321" s="57" t="n">
        <v>6</v>
      </c>
      <c r="F6321" s="29">
        <f>ROUND(((SUMIFS(Calendar!$F$2:$F$9997,Calendar!$B$2:$B$9997,D6321,Calendar!$C$2:$C$9997,C6321)*INDEX(ForeCalc!$B$37:$Y$274,MATCH(_xlfn.CONCAT(H6321," ",I6321),ForeCalc!$A$37:$A$274,0),MATCH(_xlfn.CONCAT(B6321," ",E6321),ForeCalc!$B$36:$Y$36,0))))*VLOOKUP(A6321,Calendar!$A$2:$H$9997,8,FALSE),0)</f>
        <v/>
      </c>
      <c r="G6321" s="29">
        <f>VLOOKUP(A6321,Calendar!$A$1:$H$9997,6,FALSE)-F6321</f>
        <v/>
      </c>
      <c r="H6321" s="19" t="n">
        <v>3</v>
      </c>
      <c r="I6321" s="57" t="n">
        <v>4</v>
      </c>
    </row>
    <row r="6322">
      <c r="A6322" s="62" t="n">
        <v>46953</v>
      </c>
      <c r="B6322" s="3" t="inlineStr">
        <is>
          <t>Week</t>
        </is>
      </c>
      <c r="C6322" s="19" t="n">
        <v>7</v>
      </c>
      <c r="D6322" s="19" t="n">
        <v>2028</v>
      </c>
      <c r="E6322" s="57" t="n">
        <v>6</v>
      </c>
      <c r="F6322" s="29">
        <f>ROUND(((SUMIFS(Calendar!$F$2:$F$9997,Calendar!$B$2:$B$9997,D6322,Calendar!$C$2:$C$9997,C6322)*INDEX(ForeCalc!$B$37:$Y$274,MATCH(_xlfn.CONCAT(H6322," ",I6322),ForeCalc!$A$37:$A$274,0),MATCH(_xlfn.CONCAT(B6322," ",E6322),ForeCalc!$B$36:$Y$36,0))))*VLOOKUP(A6322,Calendar!$A$2:$H$9997,8,FALSE),0)</f>
        <v/>
      </c>
      <c r="G6322" s="29">
        <f>VLOOKUP(A6322,Calendar!$A$1:$H$9997,6,FALSE)-F6322</f>
        <v/>
      </c>
      <c r="H6322" s="19" t="n">
        <v>3</v>
      </c>
      <c r="I6322" s="57" t="n">
        <v>4</v>
      </c>
    </row>
    <row r="6323">
      <c r="A6323" s="62" t="n">
        <v>46954</v>
      </c>
      <c r="B6323" s="3" t="inlineStr">
        <is>
          <t>Week</t>
        </is>
      </c>
      <c r="C6323" s="19" t="n">
        <v>7</v>
      </c>
      <c r="D6323" s="19" t="n">
        <v>2028</v>
      </c>
      <c r="E6323" s="57" t="n">
        <v>6</v>
      </c>
      <c r="F6323" s="29">
        <f>ROUND(((SUMIFS(Calendar!$F$2:$F$9997,Calendar!$B$2:$B$9997,D6323,Calendar!$C$2:$C$9997,C6323)*INDEX(ForeCalc!$B$37:$Y$274,MATCH(_xlfn.CONCAT(H6323," ",I6323),ForeCalc!$A$37:$A$274,0),MATCH(_xlfn.CONCAT(B6323," ",E6323),ForeCalc!$B$36:$Y$36,0))))*VLOOKUP(A6323,Calendar!$A$2:$H$9997,8,FALSE),0)</f>
        <v/>
      </c>
      <c r="G6323" s="29">
        <f>VLOOKUP(A6323,Calendar!$A$1:$H$9997,6,FALSE)-F6323</f>
        <v/>
      </c>
      <c r="H6323" s="19" t="n">
        <v>3</v>
      </c>
      <c r="I6323" s="57" t="n">
        <v>4</v>
      </c>
    </row>
    <row r="6324">
      <c r="A6324" s="62" t="n">
        <v>46955</v>
      </c>
      <c r="B6324" s="3" t="inlineStr">
        <is>
          <t>Week</t>
        </is>
      </c>
      <c r="C6324" s="19" t="n">
        <v>7</v>
      </c>
      <c r="D6324" s="19" t="n">
        <v>2028</v>
      </c>
      <c r="E6324" s="57" t="n">
        <v>6</v>
      </c>
      <c r="F6324" s="29">
        <f>ROUND(((SUMIFS(Calendar!$F$2:$F$9997,Calendar!$B$2:$B$9997,D6324,Calendar!$C$2:$C$9997,C6324)*INDEX(ForeCalc!$B$37:$Y$274,MATCH(_xlfn.CONCAT(H6324," ",I6324),ForeCalc!$A$37:$A$274,0),MATCH(_xlfn.CONCAT(B6324," ",E6324),ForeCalc!$B$36:$Y$36,0))))*VLOOKUP(A6324,Calendar!$A$2:$H$9997,8,FALSE),0)</f>
        <v/>
      </c>
      <c r="G6324" s="29">
        <f>VLOOKUP(A6324,Calendar!$A$1:$H$9997,6,FALSE)-F6324</f>
        <v/>
      </c>
      <c r="H6324" s="19" t="n">
        <v>3</v>
      </c>
      <c r="I6324" s="57" t="n">
        <v>4</v>
      </c>
    </row>
    <row r="6325">
      <c r="A6325" s="62" t="n">
        <v>46956</v>
      </c>
      <c r="B6325" s="3" t="inlineStr">
        <is>
          <t>Sat</t>
        </is>
      </c>
      <c r="C6325" s="19" t="n">
        <v>7</v>
      </c>
      <c r="D6325" s="19" t="n">
        <v>2028</v>
      </c>
      <c r="E6325" s="57" t="n">
        <v>6</v>
      </c>
      <c r="F6325" s="29">
        <f>ROUND(((SUMIFS(Calendar!$F$2:$F$9997,Calendar!$B$2:$B$9997,D6325,Calendar!$C$2:$C$9997,C6325)*INDEX(ForeCalc!$B$37:$Y$274,MATCH(_xlfn.CONCAT(H6325," ",I6325),ForeCalc!$A$37:$A$274,0),MATCH(_xlfn.CONCAT(B6325," ",E6325),ForeCalc!$B$36:$Y$36,0))))*VLOOKUP(A6325,Calendar!$A$2:$H$9997,8,FALSE),0)</f>
        <v/>
      </c>
      <c r="G6325" s="29">
        <f>VLOOKUP(A6325,Calendar!$A$1:$H$9997,6,FALSE)-F6325</f>
        <v/>
      </c>
      <c r="H6325" s="19" t="n">
        <v>3</v>
      </c>
      <c r="I6325" s="57" t="n">
        <v>4</v>
      </c>
    </row>
    <row r="6326">
      <c r="A6326" s="62" t="n">
        <v>46957</v>
      </c>
      <c r="B6326" s="3" t="inlineStr">
        <is>
          <t>Sun</t>
        </is>
      </c>
      <c r="C6326" s="19" t="n">
        <v>7</v>
      </c>
      <c r="D6326" s="19" t="n">
        <v>2028</v>
      </c>
      <c r="E6326" s="57" t="n">
        <v>6</v>
      </c>
      <c r="F6326" s="29">
        <f>ROUND(((SUMIFS(Calendar!$F$2:$F$9997,Calendar!$B$2:$B$9997,D6326,Calendar!$C$2:$C$9997,C6326)*INDEX(ForeCalc!$B$37:$Y$274,MATCH(_xlfn.CONCAT(H6326," ",I6326),ForeCalc!$A$37:$A$274,0),MATCH(_xlfn.CONCAT(B6326," ",E6326),ForeCalc!$B$36:$Y$36,0))))*VLOOKUP(A6326,Calendar!$A$2:$H$9997,8,FALSE),0)</f>
        <v/>
      </c>
      <c r="G6326" s="29">
        <f>VLOOKUP(A6326,Calendar!$A$1:$H$9997,6,FALSE)-F6326</f>
        <v/>
      </c>
      <c r="H6326" s="19" t="n">
        <v>3</v>
      </c>
      <c r="I6326" s="57" t="n">
        <v>4</v>
      </c>
    </row>
    <row r="6327">
      <c r="A6327" s="62" t="n">
        <v>46958</v>
      </c>
      <c r="B6327" s="3" t="inlineStr">
        <is>
          <t>Week</t>
        </is>
      </c>
      <c r="C6327" s="19" t="n">
        <v>7</v>
      </c>
      <c r="D6327" s="19" t="n">
        <v>2028</v>
      </c>
      <c r="E6327" s="57" t="n">
        <v>6</v>
      </c>
      <c r="F6327" s="29">
        <f>ROUND(((SUMIFS(Calendar!$F$2:$F$9997,Calendar!$B$2:$B$9997,D6327,Calendar!$C$2:$C$9997,C6327)*INDEX(ForeCalc!$B$37:$Y$274,MATCH(_xlfn.CONCAT(H6327," ",I6327),ForeCalc!$A$37:$A$274,0),MATCH(_xlfn.CONCAT(B6327," ",E6327),ForeCalc!$B$36:$Y$36,0))))*VLOOKUP(A6327,Calendar!$A$2:$H$9997,8,FALSE),0)</f>
        <v/>
      </c>
      <c r="G6327" s="29">
        <f>VLOOKUP(A6327,Calendar!$A$1:$H$9997,6,FALSE)-F6327</f>
        <v/>
      </c>
      <c r="H6327" s="19" t="n">
        <v>3</v>
      </c>
      <c r="I6327" s="57" t="n">
        <v>4</v>
      </c>
    </row>
    <row r="6328">
      <c r="A6328" s="62" t="n">
        <v>46959</v>
      </c>
      <c r="B6328" s="3" t="inlineStr">
        <is>
          <t>Week</t>
        </is>
      </c>
      <c r="C6328" s="19" t="n">
        <v>7</v>
      </c>
      <c r="D6328" s="19" t="n">
        <v>2028</v>
      </c>
      <c r="E6328" s="57" t="n">
        <v>6</v>
      </c>
      <c r="F6328" s="29">
        <f>ROUND(((SUMIFS(Calendar!$F$2:$F$9997,Calendar!$B$2:$B$9997,D6328,Calendar!$C$2:$C$9997,C6328)*INDEX(ForeCalc!$B$37:$Y$274,MATCH(_xlfn.CONCAT(H6328," ",I6328),ForeCalc!$A$37:$A$274,0),MATCH(_xlfn.CONCAT(B6328," ",E6328),ForeCalc!$B$36:$Y$36,0))))*VLOOKUP(A6328,Calendar!$A$2:$H$9997,8,FALSE),0)</f>
        <v/>
      </c>
      <c r="G6328" s="29">
        <f>VLOOKUP(A6328,Calendar!$A$1:$H$9997,6,FALSE)-F6328</f>
        <v/>
      </c>
      <c r="H6328" s="19" t="n">
        <v>3</v>
      </c>
      <c r="I6328" s="57" t="n">
        <v>4</v>
      </c>
    </row>
    <row r="6329">
      <c r="A6329" s="62" t="n">
        <v>46960</v>
      </c>
      <c r="B6329" s="3" t="inlineStr">
        <is>
          <t>Week</t>
        </is>
      </c>
      <c r="C6329" s="19" t="n">
        <v>7</v>
      </c>
      <c r="D6329" s="19" t="n">
        <v>2028</v>
      </c>
      <c r="E6329" s="57" t="n">
        <v>6</v>
      </c>
      <c r="F6329" s="29">
        <f>ROUND(((SUMIFS(Calendar!$F$2:$F$9997,Calendar!$B$2:$B$9997,D6329,Calendar!$C$2:$C$9997,C6329)*INDEX(ForeCalc!$B$37:$Y$274,MATCH(_xlfn.CONCAT(H6329," ",I6329),ForeCalc!$A$37:$A$274,0),MATCH(_xlfn.CONCAT(B6329," ",E6329),ForeCalc!$B$36:$Y$36,0))))*VLOOKUP(A6329,Calendar!$A$2:$H$9997,8,FALSE),0)</f>
        <v/>
      </c>
      <c r="G6329" s="29">
        <f>VLOOKUP(A6329,Calendar!$A$1:$H$9997,6,FALSE)-F6329</f>
        <v/>
      </c>
      <c r="H6329" s="19" t="n">
        <v>3</v>
      </c>
      <c r="I6329" s="57" t="n">
        <v>4</v>
      </c>
    </row>
    <row r="6330">
      <c r="A6330" s="62" t="n">
        <v>46961</v>
      </c>
      <c r="B6330" s="3" t="inlineStr">
        <is>
          <t>Week</t>
        </is>
      </c>
      <c r="C6330" s="19" t="n">
        <v>7</v>
      </c>
      <c r="D6330" s="19" t="n">
        <v>2028</v>
      </c>
      <c r="E6330" s="57" t="n">
        <v>6</v>
      </c>
      <c r="F6330" s="29">
        <f>ROUND(((SUMIFS(Calendar!$F$2:$F$9997,Calendar!$B$2:$B$9997,D6330,Calendar!$C$2:$C$9997,C6330)*INDEX(ForeCalc!$B$37:$Y$274,MATCH(_xlfn.CONCAT(H6330," ",I6330),ForeCalc!$A$37:$A$274,0),MATCH(_xlfn.CONCAT(B6330," ",E6330),ForeCalc!$B$36:$Y$36,0))))*VLOOKUP(A6330,Calendar!$A$2:$H$9997,8,FALSE),0)</f>
        <v/>
      </c>
      <c r="G6330" s="29">
        <f>VLOOKUP(A6330,Calendar!$A$1:$H$9997,6,FALSE)-F6330</f>
        <v/>
      </c>
      <c r="H6330" s="19" t="n">
        <v>3</v>
      </c>
      <c r="I6330" s="57" t="n">
        <v>4</v>
      </c>
    </row>
    <row r="6331">
      <c r="A6331" s="62" t="n">
        <v>46962</v>
      </c>
      <c r="B6331" s="3" t="inlineStr">
        <is>
          <t>Week</t>
        </is>
      </c>
      <c r="C6331" s="19" t="n">
        <v>7</v>
      </c>
      <c r="D6331" s="19" t="n">
        <v>2028</v>
      </c>
      <c r="E6331" s="57" t="n">
        <v>6</v>
      </c>
      <c r="F6331" s="29">
        <f>ROUND(((SUMIFS(Calendar!$F$2:$F$9997,Calendar!$B$2:$B$9997,D6331,Calendar!$C$2:$C$9997,C6331)*INDEX(ForeCalc!$B$37:$Y$274,MATCH(_xlfn.CONCAT(H6331," ",I6331),ForeCalc!$A$37:$A$274,0),MATCH(_xlfn.CONCAT(B6331," ",E6331),ForeCalc!$B$36:$Y$36,0))))*VLOOKUP(A6331,Calendar!$A$2:$H$9997,8,FALSE),0)</f>
        <v/>
      </c>
      <c r="G6331" s="29">
        <f>VLOOKUP(A6331,Calendar!$A$1:$H$9997,6,FALSE)-F6331</f>
        <v/>
      </c>
      <c r="H6331" s="19" t="n">
        <v>3</v>
      </c>
      <c r="I6331" s="57" t="n">
        <v>4</v>
      </c>
    </row>
    <row r="6332">
      <c r="A6332" s="62" t="n">
        <v>46963</v>
      </c>
      <c r="B6332" s="3" t="inlineStr">
        <is>
          <t>Sat</t>
        </is>
      </c>
      <c r="C6332" s="19" t="n">
        <v>7</v>
      </c>
      <c r="D6332" s="19" t="n">
        <v>2028</v>
      </c>
      <c r="E6332" s="57" t="n">
        <v>6</v>
      </c>
      <c r="F6332" s="29">
        <f>ROUND(((SUMIFS(Calendar!$F$2:$F$9997,Calendar!$B$2:$B$9997,D6332,Calendar!$C$2:$C$9997,C6332)*INDEX(ForeCalc!$B$37:$Y$274,MATCH(_xlfn.CONCAT(H6332," ",I6332),ForeCalc!$A$37:$A$274,0),MATCH(_xlfn.CONCAT(B6332," ",E6332),ForeCalc!$B$36:$Y$36,0))))*VLOOKUP(A6332,Calendar!$A$2:$H$9997,8,FALSE),0)</f>
        <v/>
      </c>
      <c r="G6332" s="29">
        <f>VLOOKUP(A6332,Calendar!$A$1:$H$9997,6,FALSE)-F6332</f>
        <v/>
      </c>
      <c r="H6332" s="19" t="n">
        <v>3</v>
      </c>
      <c r="I6332" s="57" t="n">
        <v>4</v>
      </c>
    </row>
    <row r="6333">
      <c r="A6333" s="62" t="n">
        <v>46964</v>
      </c>
      <c r="B6333" s="3" t="inlineStr">
        <is>
          <t>Sun</t>
        </is>
      </c>
      <c r="C6333" s="19" t="n">
        <v>7</v>
      </c>
      <c r="D6333" s="19" t="n">
        <v>2028</v>
      </c>
      <c r="E6333" s="57" t="n">
        <v>6</v>
      </c>
      <c r="F6333" s="29">
        <f>ROUND(((SUMIFS(Calendar!$F$2:$F$9997,Calendar!$B$2:$B$9997,D6333,Calendar!$C$2:$C$9997,C6333)*INDEX(ForeCalc!$B$37:$Y$274,MATCH(_xlfn.CONCAT(H6333," ",I6333),ForeCalc!$A$37:$A$274,0),MATCH(_xlfn.CONCAT(B6333," ",E6333),ForeCalc!$B$36:$Y$36,0))))*VLOOKUP(A6333,Calendar!$A$2:$H$9997,8,FALSE),0)</f>
        <v/>
      </c>
      <c r="G6333" s="29">
        <f>VLOOKUP(A6333,Calendar!$A$1:$H$9997,6,FALSE)-F6333</f>
        <v/>
      </c>
      <c r="H6333" s="19" t="n">
        <v>3</v>
      </c>
      <c r="I6333" s="57" t="n">
        <v>4</v>
      </c>
    </row>
    <row r="6334">
      <c r="A6334" s="62" t="n">
        <v>46965</v>
      </c>
      <c r="B6334" s="3" t="inlineStr">
        <is>
          <t>Week</t>
        </is>
      </c>
      <c r="C6334" s="19" t="n">
        <v>7</v>
      </c>
      <c r="D6334" s="19" t="n">
        <v>2028</v>
      </c>
      <c r="E6334" s="57" t="n">
        <v>6</v>
      </c>
      <c r="F6334" s="29">
        <f>ROUND(((SUMIFS(Calendar!$F$2:$F$9997,Calendar!$B$2:$B$9997,D6334,Calendar!$C$2:$C$9997,C6334)*INDEX(ForeCalc!$B$37:$Y$274,MATCH(_xlfn.CONCAT(H6334," ",I6334),ForeCalc!$A$37:$A$274,0),MATCH(_xlfn.CONCAT(B6334," ",E6334),ForeCalc!$B$36:$Y$36,0))))*VLOOKUP(A6334,Calendar!$A$2:$H$9997,8,FALSE),0)</f>
        <v/>
      </c>
      <c r="G6334" s="29">
        <f>VLOOKUP(A6334,Calendar!$A$1:$H$9997,6,FALSE)-F6334</f>
        <v/>
      </c>
      <c r="H6334" s="19" t="n">
        <v>3</v>
      </c>
      <c r="I6334" s="57" t="n">
        <v>4</v>
      </c>
    </row>
    <row r="6335">
      <c r="A6335" s="62" t="n">
        <v>46966</v>
      </c>
      <c r="B6335" s="3" t="inlineStr">
        <is>
          <t>Week</t>
        </is>
      </c>
      <c r="C6335" s="19" t="n">
        <v>8</v>
      </c>
      <c r="D6335" s="19" t="n">
        <v>2028</v>
      </c>
      <c r="E6335" s="57" t="n">
        <v>6</v>
      </c>
      <c r="F6335" s="29">
        <f>ROUND(((SUMIFS(Calendar!$F$2:$F$9997,Calendar!$B$2:$B$9997,D6335,Calendar!$C$2:$C$9997,C6335)*INDEX(ForeCalc!$B$37:$Y$274,MATCH(_xlfn.CONCAT(H6335," ",I6335),ForeCalc!$A$37:$A$274,0),MATCH(_xlfn.CONCAT(B6335," ",E6335),ForeCalc!$B$36:$Y$36,0))))*VLOOKUP(A6335,Calendar!$A$2:$H$9997,8,FALSE),0)</f>
        <v/>
      </c>
      <c r="G6335" s="29">
        <f>VLOOKUP(A6335,Calendar!$A$1:$H$9997,6,FALSE)-F6335</f>
        <v/>
      </c>
      <c r="H6335" s="19" t="n">
        <v>3</v>
      </c>
      <c r="I6335" s="57" t="n">
        <v>5</v>
      </c>
    </row>
    <row r="6336">
      <c r="A6336" s="62" t="n">
        <v>46967</v>
      </c>
      <c r="B6336" s="3" t="inlineStr">
        <is>
          <t>Week</t>
        </is>
      </c>
      <c r="C6336" s="19" t="n">
        <v>8</v>
      </c>
      <c r="D6336" s="19" t="n">
        <v>2028</v>
      </c>
      <c r="E6336" s="57" t="n">
        <v>6</v>
      </c>
      <c r="F6336" s="29">
        <f>ROUND(((SUMIFS(Calendar!$F$2:$F$9997,Calendar!$B$2:$B$9997,D6336,Calendar!$C$2:$C$9997,C6336)*INDEX(ForeCalc!$B$37:$Y$274,MATCH(_xlfn.CONCAT(H6336," ",I6336),ForeCalc!$A$37:$A$274,0),MATCH(_xlfn.CONCAT(B6336," ",E6336),ForeCalc!$B$36:$Y$36,0))))*VLOOKUP(A6336,Calendar!$A$2:$H$9997,8,FALSE),0)</f>
        <v/>
      </c>
      <c r="G6336" s="29">
        <f>VLOOKUP(A6336,Calendar!$A$1:$H$9997,6,FALSE)-F6336</f>
        <v/>
      </c>
      <c r="H6336" s="19" t="n">
        <v>3</v>
      </c>
      <c r="I6336" s="57" t="n">
        <v>5</v>
      </c>
    </row>
    <row r="6337">
      <c r="A6337" s="62" t="n">
        <v>46968</v>
      </c>
      <c r="B6337" s="3" t="inlineStr">
        <is>
          <t>Week</t>
        </is>
      </c>
      <c r="C6337" s="19" t="n">
        <v>8</v>
      </c>
      <c r="D6337" s="19" t="n">
        <v>2028</v>
      </c>
      <c r="E6337" s="57" t="n">
        <v>6</v>
      </c>
      <c r="F6337" s="29">
        <f>ROUND(((SUMIFS(Calendar!$F$2:$F$9997,Calendar!$B$2:$B$9997,D6337,Calendar!$C$2:$C$9997,C6337)*INDEX(ForeCalc!$B$37:$Y$274,MATCH(_xlfn.CONCAT(H6337," ",I6337),ForeCalc!$A$37:$A$274,0),MATCH(_xlfn.CONCAT(B6337," ",E6337),ForeCalc!$B$36:$Y$36,0))))*VLOOKUP(A6337,Calendar!$A$2:$H$9997,8,FALSE),0)</f>
        <v/>
      </c>
      <c r="G6337" s="29">
        <f>VLOOKUP(A6337,Calendar!$A$1:$H$9997,6,FALSE)-F6337</f>
        <v/>
      </c>
      <c r="H6337" s="19" t="n">
        <v>3</v>
      </c>
      <c r="I6337" s="57" t="n">
        <v>5</v>
      </c>
    </row>
    <row r="6338">
      <c r="A6338" s="62" t="n">
        <v>46969</v>
      </c>
      <c r="B6338" s="3" t="inlineStr">
        <is>
          <t>Week</t>
        </is>
      </c>
      <c r="C6338" s="19" t="n">
        <v>8</v>
      </c>
      <c r="D6338" s="19" t="n">
        <v>2028</v>
      </c>
      <c r="E6338" s="57" t="n">
        <v>6</v>
      </c>
      <c r="F6338" s="29">
        <f>ROUND(((SUMIFS(Calendar!$F$2:$F$9997,Calendar!$B$2:$B$9997,D6338,Calendar!$C$2:$C$9997,C6338)*INDEX(ForeCalc!$B$37:$Y$274,MATCH(_xlfn.CONCAT(H6338," ",I6338),ForeCalc!$A$37:$A$274,0),MATCH(_xlfn.CONCAT(B6338," ",E6338),ForeCalc!$B$36:$Y$36,0))))*VLOOKUP(A6338,Calendar!$A$2:$H$9997,8,FALSE),0)</f>
        <v/>
      </c>
      <c r="G6338" s="29">
        <f>VLOOKUP(A6338,Calendar!$A$1:$H$9997,6,FALSE)-F6338</f>
        <v/>
      </c>
      <c r="H6338" s="19" t="n">
        <v>3</v>
      </c>
      <c r="I6338" s="57" t="n">
        <v>5</v>
      </c>
    </row>
    <row r="6339">
      <c r="A6339" s="62" t="n">
        <v>46970</v>
      </c>
      <c r="B6339" s="3" t="inlineStr">
        <is>
          <t>Sat</t>
        </is>
      </c>
      <c r="C6339" s="19" t="n">
        <v>8</v>
      </c>
      <c r="D6339" s="19" t="n">
        <v>2028</v>
      </c>
      <c r="E6339" s="57" t="n">
        <v>6</v>
      </c>
      <c r="F6339" s="29">
        <f>ROUND(((SUMIFS(Calendar!$F$2:$F$9997,Calendar!$B$2:$B$9997,D6339,Calendar!$C$2:$C$9997,C6339)*INDEX(ForeCalc!$B$37:$Y$274,MATCH(_xlfn.CONCAT(H6339," ",I6339),ForeCalc!$A$37:$A$274,0),MATCH(_xlfn.CONCAT(B6339," ",E6339),ForeCalc!$B$36:$Y$36,0))))*VLOOKUP(A6339,Calendar!$A$2:$H$9997,8,FALSE),0)</f>
        <v/>
      </c>
      <c r="G6339" s="29">
        <f>VLOOKUP(A6339,Calendar!$A$1:$H$9997,6,FALSE)-F6339</f>
        <v/>
      </c>
      <c r="H6339" s="19" t="n">
        <v>3</v>
      </c>
      <c r="I6339" s="57" t="n">
        <v>5</v>
      </c>
    </row>
    <row r="6340">
      <c r="A6340" s="62" t="n">
        <v>46971</v>
      </c>
      <c r="B6340" s="3" t="inlineStr">
        <is>
          <t>Sun</t>
        </is>
      </c>
      <c r="C6340" s="19" t="n">
        <v>8</v>
      </c>
      <c r="D6340" s="19" t="n">
        <v>2028</v>
      </c>
      <c r="E6340" s="57" t="n">
        <v>6</v>
      </c>
      <c r="F6340" s="29">
        <f>ROUND(((SUMIFS(Calendar!$F$2:$F$9997,Calendar!$B$2:$B$9997,D6340,Calendar!$C$2:$C$9997,C6340)*INDEX(ForeCalc!$B$37:$Y$274,MATCH(_xlfn.CONCAT(H6340," ",I6340),ForeCalc!$A$37:$A$274,0),MATCH(_xlfn.CONCAT(B6340," ",E6340),ForeCalc!$B$36:$Y$36,0))))*VLOOKUP(A6340,Calendar!$A$2:$H$9997,8,FALSE),0)</f>
        <v/>
      </c>
      <c r="G6340" s="29">
        <f>VLOOKUP(A6340,Calendar!$A$1:$H$9997,6,FALSE)-F6340</f>
        <v/>
      </c>
      <c r="H6340" s="19" t="n">
        <v>3</v>
      </c>
      <c r="I6340" s="57" t="n">
        <v>5</v>
      </c>
    </row>
    <row r="6341">
      <c r="A6341" s="62" t="n">
        <v>46972</v>
      </c>
      <c r="B6341" s="3" t="inlineStr">
        <is>
          <t>Week</t>
        </is>
      </c>
      <c r="C6341" s="19" t="n">
        <v>8</v>
      </c>
      <c r="D6341" s="19" t="n">
        <v>2028</v>
      </c>
      <c r="E6341" s="57" t="n">
        <v>6</v>
      </c>
      <c r="F6341" s="29">
        <f>ROUND(((SUMIFS(Calendar!$F$2:$F$9997,Calendar!$B$2:$B$9997,D6341,Calendar!$C$2:$C$9997,C6341)*INDEX(ForeCalc!$B$37:$Y$274,MATCH(_xlfn.CONCAT(H6341," ",I6341),ForeCalc!$A$37:$A$274,0),MATCH(_xlfn.CONCAT(B6341," ",E6341),ForeCalc!$B$36:$Y$36,0))))*VLOOKUP(A6341,Calendar!$A$2:$H$9997,8,FALSE),0)</f>
        <v/>
      </c>
      <c r="G6341" s="29">
        <f>VLOOKUP(A6341,Calendar!$A$1:$H$9997,6,FALSE)-F6341</f>
        <v/>
      </c>
      <c r="H6341" s="19" t="n">
        <v>3</v>
      </c>
      <c r="I6341" s="57" t="n">
        <v>5</v>
      </c>
    </row>
    <row r="6342">
      <c r="A6342" s="62" t="n">
        <v>46973</v>
      </c>
      <c r="B6342" s="3" t="inlineStr">
        <is>
          <t>Week</t>
        </is>
      </c>
      <c r="C6342" s="19" t="n">
        <v>8</v>
      </c>
      <c r="D6342" s="19" t="n">
        <v>2028</v>
      </c>
      <c r="E6342" s="57" t="n">
        <v>6</v>
      </c>
      <c r="F6342" s="29">
        <f>ROUND(((SUMIFS(Calendar!$F$2:$F$9997,Calendar!$B$2:$B$9997,D6342,Calendar!$C$2:$C$9997,C6342)*INDEX(ForeCalc!$B$37:$Y$274,MATCH(_xlfn.CONCAT(H6342," ",I6342),ForeCalc!$A$37:$A$274,0),MATCH(_xlfn.CONCAT(B6342," ",E6342),ForeCalc!$B$36:$Y$36,0))))*VLOOKUP(A6342,Calendar!$A$2:$H$9997,8,FALSE),0)</f>
        <v/>
      </c>
      <c r="G6342" s="29">
        <f>VLOOKUP(A6342,Calendar!$A$1:$H$9997,6,FALSE)-F6342</f>
        <v/>
      </c>
      <c r="H6342" s="19" t="n">
        <v>3</v>
      </c>
      <c r="I6342" s="57" t="n">
        <v>5</v>
      </c>
    </row>
    <row r="6343">
      <c r="A6343" s="62" t="n">
        <v>46974</v>
      </c>
      <c r="B6343" s="3" t="inlineStr">
        <is>
          <t>Week</t>
        </is>
      </c>
      <c r="C6343" s="19" t="n">
        <v>8</v>
      </c>
      <c r="D6343" s="19" t="n">
        <v>2028</v>
      </c>
      <c r="E6343" s="57" t="n">
        <v>6</v>
      </c>
      <c r="F6343" s="29">
        <f>ROUND(((SUMIFS(Calendar!$F$2:$F$9997,Calendar!$B$2:$B$9997,D6343,Calendar!$C$2:$C$9997,C6343)*INDEX(ForeCalc!$B$37:$Y$274,MATCH(_xlfn.CONCAT(H6343," ",I6343),ForeCalc!$A$37:$A$274,0),MATCH(_xlfn.CONCAT(B6343," ",E6343),ForeCalc!$B$36:$Y$36,0))))*VLOOKUP(A6343,Calendar!$A$2:$H$9997,8,FALSE),0)</f>
        <v/>
      </c>
      <c r="G6343" s="29">
        <f>VLOOKUP(A6343,Calendar!$A$1:$H$9997,6,FALSE)-F6343</f>
        <v/>
      </c>
      <c r="H6343" s="19" t="n">
        <v>3</v>
      </c>
      <c r="I6343" s="57" t="n">
        <v>5</v>
      </c>
    </row>
    <row r="6344">
      <c r="A6344" s="62" t="n">
        <v>46975</v>
      </c>
      <c r="B6344" s="3" t="inlineStr">
        <is>
          <t>Week</t>
        </is>
      </c>
      <c r="C6344" s="19" t="n">
        <v>8</v>
      </c>
      <c r="D6344" s="19" t="n">
        <v>2028</v>
      </c>
      <c r="E6344" s="57" t="n">
        <v>6</v>
      </c>
      <c r="F6344" s="29">
        <f>ROUND(((SUMIFS(Calendar!$F$2:$F$9997,Calendar!$B$2:$B$9997,D6344,Calendar!$C$2:$C$9997,C6344)*INDEX(ForeCalc!$B$37:$Y$274,MATCH(_xlfn.CONCAT(H6344," ",I6344),ForeCalc!$A$37:$A$274,0),MATCH(_xlfn.CONCAT(B6344," ",E6344),ForeCalc!$B$36:$Y$36,0))))*VLOOKUP(A6344,Calendar!$A$2:$H$9997,8,FALSE),0)</f>
        <v/>
      </c>
      <c r="G6344" s="29">
        <f>VLOOKUP(A6344,Calendar!$A$1:$H$9997,6,FALSE)-F6344</f>
        <v/>
      </c>
      <c r="H6344" s="19" t="n">
        <v>3</v>
      </c>
      <c r="I6344" s="57" t="n">
        <v>5</v>
      </c>
    </row>
    <row r="6345">
      <c r="A6345" s="62" t="n">
        <v>46976</v>
      </c>
      <c r="B6345" s="3" t="inlineStr">
        <is>
          <t>Week</t>
        </is>
      </c>
      <c r="C6345" s="19" t="n">
        <v>8</v>
      </c>
      <c r="D6345" s="19" t="n">
        <v>2028</v>
      </c>
      <c r="E6345" s="57" t="n">
        <v>6</v>
      </c>
      <c r="F6345" s="29">
        <f>ROUND(((SUMIFS(Calendar!$F$2:$F$9997,Calendar!$B$2:$B$9997,D6345,Calendar!$C$2:$C$9997,C6345)*INDEX(ForeCalc!$B$37:$Y$274,MATCH(_xlfn.CONCAT(H6345," ",I6345),ForeCalc!$A$37:$A$274,0),MATCH(_xlfn.CONCAT(B6345," ",E6345),ForeCalc!$B$36:$Y$36,0))))*VLOOKUP(A6345,Calendar!$A$2:$H$9997,8,FALSE),0)</f>
        <v/>
      </c>
      <c r="G6345" s="29">
        <f>VLOOKUP(A6345,Calendar!$A$1:$H$9997,6,FALSE)-F6345</f>
        <v/>
      </c>
      <c r="H6345" s="19" t="n">
        <v>3</v>
      </c>
      <c r="I6345" s="57" t="n">
        <v>5</v>
      </c>
    </row>
    <row r="6346">
      <c r="A6346" s="62" t="n">
        <v>46977</v>
      </c>
      <c r="B6346" s="3" t="inlineStr">
        <is>
          <t>Sat</t>
        </is>
      </c>
      <c r="C6346" s="19" t="n">
        <v>8</v>
      </c>
      <c r="D6346" s="19" t="n">
        <v>2028</v>
      </c>
      <c r="E6346" s="57" t="n">
        <v>6</v>
      </c>
      <c r="F6346" s="29">
        <f>ROUND(((SUMIFS(Calendar!$F$2:$F$9997,Calendar!$B$2:$B$9997,D6346,Calendar!$C$2:$C$9997,C6346)*INDEX(ForeCalc!$B$37:$Y$274,MATCH(_xlfn.CONCAT(H6346," ",I6346),ForeCalc!$A$37:$A$274,0),MATCH(_xlfn.CONCAT(B6346," ",E6346),ForeCalc!$B$36:$Y$36,0))))*VLOOKUP(A6346,Calendar!$A$2:$H$9997,8,FALSE),0)</f>
        <v/>
      </c>
      <c r="G6346" s="29">
        <f>VLOOKUP(A6346,Calendar!$A$1:$H$9997,6,FALSE)-F6346</f>
        <v/>
      </c>
      <c r="H6346" s="19" t="n">
        <v>3</v>
      </c>
      <c r="I6346" s="57" t="n">
        <v>5</v>
      </c>
    </row>
    <row r="6347">
      <c r="A6347" s="62" t="n">
        <v>46978</v>
      </c>
      <c r="B6347" s="3" t="inlineStr">
        <is>
          <t>Sun</t>
        </is>
      </c>
      <c r="C6347" s="19" t="n">
        <v>8</v>
      </c>
      <c r="D6347" s="19" t="n">
        <v>2028</v>
      </c>
      <c r="E6347" s="57" t="n">
        <v>6</v>
      </c>
      <c r="F6347" s="29">
        <f>ROUND(((SUMIFS(Calendar!$F$2:$F$9997,Calendar!$B$2:$B$9997,D6347,Calendar!$C$2:$C$9997,C6347)*INDEX(ForeCalc!$B$37:$Y$274,MATCH(_xlfn.CONCAT(H6347," ",I6347),ForeCalc!$A$37:$A$274,0),MATCH(_xlfn.CONCAT(B6347," ",E6347),ForeCalc!$B$36:$Y$36,0))))*VLOOKUP(A6347,Calendar!$A$2:$H$9997,8,FALSE),0)</f>
        <v/>
      </c>
      <c r="G6347" s="29">
        <f>VLOOKUP(A6347,Calendar!$A$1:$H$9997,6,FALSE)-F6347</f>
        <v/>
      </c>
      <c r="H6347" s="19" t="n">
        <v>3</v>
      </c>
      <c r="I6347" s="57" t="n">
        <v>5</v>
      </c>
    </row>
    <row r="6348">
      <c r="A6348" s="62" t="n">
        <v>46979</v>
      </c>
      <c r="B6348" s="3" t="inlineStr">
        <is>
          <t>Week</t>
        </is>
      </c>
      <c r="C6348" s="19" t="n">
        <v>8</v>
      </c>
      <c r="D6348" s="19" t="n">
        <v>2028</v>
      </c>
      <c r="E6348" s="57" t="n">
        <v>6</v>
      </c>
      <c r="F6348" s="29">
        <f>ROUND(((SUMIFS(Calendar!$F$2:$F$9997,Calendar!$B$2:$B$9997,D6348,Calendar!$C$2:$C$9997,C6348)*INDEX(ForeCalc!$B$37:$Y$274,MATCH(_xlfn.CONCAT(H6348," ",I6348),ForeCalc!$A$37:$A$274,0),MATCH(_xlfn.CONCAT(B6348," ",E6348),ForeCalc!$B$36:$Y$36,0))))*VLOOKUP(A6348,Calendar!$A$2:$H$9997,8,FALSE),0)</f>
        <v/>
      </c>
      <c r="G6348" s="29">
        <f>VLOOKUP(A6348,Calendar!$A$1:$H$9997,6,FALSE)-F6348</f>
        <v/>
      </c>
      <c r="H6348" s="19" t="n">
        <v>3</v>
      </c>
      <c r="I6348" s="57" t="n">
        <v>5</v>
      </c>
    </row>
    <row r="6349">
      <c r="A6349" s="62" t="n">
        <v>46980</v>
      </c>
      <c r="B6349" s="3" t="inlineStr">
        <is>
          <t>Week</t>
        </is>
      </c>
      <c r="C6349" s="19" t="n">
        <v>8</v>
      </c>
      <c r="D6349" s="19" t="n">
        <v>2028</v>
      </c>
      <c r="E6349" s="57" t="n">
        <v>6</v>
      </c>
      <c r="F6349" s="29">
        <f>ROUND(((SUMIFS(Calendar!$F$2:$F$9997,Calendar!$B$2:$B$9997,D6349,Calendar!$C$2:$C$9997,C6349)*INDEX(ForeCalc!$B$37:$Y$274,MATCH(_xlfn.CONCAT(H6349," ",I6349),ForeCalc!$A$37:$A$274,0),MATCH(_xlfn.CONCAT(B6349," ",E6349),ForeCalc!$B$36:$Y$36,0))))*VLOOKUP(A6349,Calendar!$A$2:$H$9997,8,FALSE),0)</f>
        <v/>
      </c>
      <c r="G6349" s="29">
        <f>VLOOKUP(A6349,Calendar!$A$1:$H$9997,6,FALSE)-F6349</f>
        <v/>
      </c>
      <c r="H6349" s="19" t="n">
        <v>3</v>
      </c>
      <c r="I6349" s="57" t="n">
        <v>5</v>
      </c>
    </row>
    <row r="6350">
      <c r="A6350" s="62" t="n">
        <v>46981</v>
      </c>
      <c r="B6350" s="3" t="inlineStr">
        <is>
          <t>Week</t>
        </is>
      </c>
      <c r="C6350" s="19" t="n">
        <v>8</v>
      </c>
      <c r="D6350" s="19" t="n">
        <v>2028</v>
      </c>
      <c r="E6350" s="57" t="n">
        <v>6</v>
      </c>
      <c r="F6350" s="29">
        <f>ROUND(((SUMIFS(Calendar!$F$2:$F$9997,Calendar!$B$2:$B$9997,D6350,Calendar!$C$2:$C$9997,C6350)*INDEX(ForeCalc!$B$37:$Y$274,MATCH(_xlfn.CONCAT(H6350," ",I6350),ForeCalc!$A$37:$A$274,0),MATCH(_xlfn.CONCAT(B6350," ",E6350),ForeCalc!$B$36:$Y$36,0))))*VLOOKUP(A6350,Calendar!$A$2:$H$9997,8,FALSE),0)</f>
        <v/>
      </c>
      <c r="G6350" s="29">
        <f>VLOOKUP(A6350,Calendar!$A$1:$H$9997,6,FALSE)-F6350</f>
        <v/>
      </c>
      <c r="H6350" s="19" t="n">
        <v>3</v>
      </c>
      <c r="I6350" s="57" t="n">
        <v>5</v>
      </c>
    </row>
    <row r="6351">
      <c r="A6351" s="62" t="n">
        <v>46982</v>
      </c>
      <c r="B6351" s="3" t="inlineStr">
        <is>
          <t>Week</t>
        </is>
      </c>
      <c r="C6351" s="19" t="n">
        <v>8</v>
      </c>
      <c r="D6351" s="19" t="n">
        <v>2028</v>
      </c>
      <c r="E6351" s="57" t="n">
        <v>6</v>
      </c>
      <c r="F6351" s="29">
        <f>ROUND(((SUMIFS(Calendar!$F$2:$F$9997,Calendar!$B$2:$B$9997,D6351,Calendar!$C$2:$C$9997,C6351)*INDEX(ForeCalc!$B$37:$Y$274,MATCH(_xlfn.CONCAT(H6351," ",I6351),ForeCalc!$A$37:$A$274,0),MATCH(_xlfn.CONCAT(B6351," ",E6351),ForeCalc!$B$36:$Y$36,0))))*VLOOKUP(A6351,Calendar!$A$2:$H$9997,8,FALSE),0)</f>
        <v/>
      </c>
      <c r="G6351" s="29">
        <f>VLOOKUP(A6351,Calendar!$A$1:$H$9997,6,FALSE)-F6351</f>
        <v/>
      </c>
      <c r="H6351" s="19" t="n">
        <v>3</v>
      </c>
      <c r="I6351" s="57" t="n">
        <v>5</v>
      </c>
    </row>
    <row r="6352">
      <c r="A6352" s="62" t="n">
        <v>46983</v>
      </c>
      <c r="B6352" s="3" t="inlineStr">
        <is>
          <t>Week</t>
        </is>
      </c>
      <c r="C6352" s="19" t="n">
        <v>8</v>
      </c>
      <c r="D6352" s="19" t="n">
        <v>2028</v>
      </c>
      <c r="E6352" s="57" t="n">
        <v>6</v>
      </c>
      <c r="F6352" s="29">
        <f>ROUND(((SUMIFS(Calendar!$F$2:$F$9997,Calendar!$B$2:$B$9997,D6352,Calendar!$C$2:$C$9997,C6352)*INDEX(ForeCalc!$B$37:$Y$274,MATCH(_xlfn.CONCAT(H6352," ",I6352),ForeCalc!$A$37:$A$274,0),MATCH(_xlfn.CONCAT(B6352," ",E6352),ForeCalc!$B$36:$Y$36,0))))*VLOOKUP(A6352,Calendar!$A$2:$H$9997,8,FALSE),0)</f>
        <v/>
      </c>
      <c r="G6352" s="29">
        <f>VLOOKUP(A6352,Calendar!$A$1:$H$9997,6,FALSE)-F6352</f>
        <v/>
      </c>
      <c r="H6352" s="19" t="n">
        <v>3</v>
      </c>
      <c r="I6352" s="57" t="n">
        <v>5</v>
      </c>
    </row>
    <row r="6353">
      <c r="A6353" s="62" t="n">
        <v>46984</v>
      </c>
      <c r="B6353" s="3" t="inlineStr">
        <is>
          <t>Sat</t>
        </is>
      </c>
      <c r="C6353" s="19" t="n">
        <v>8</v>
      </c>
      <c r="D6353" s="19" t="n">
        <v>2028</v>
      </c>
      <c r="E6353" s="57" t="n">
        <v>6</v>
      </c>
      <c r="F6353" s="29">
        <f>ROUND(((SUMIFS(Calendar!$F$2:$F$9997,Calendar!$B$2:$B$9997,D6353,Calendar!$C$2:$C$9997,C6353)*INDEX(ForeCalc!$B$37:$Y$274,MATCH(_xlfn.CONCAT(H6353," ",I6353),ForeCalc!$A$37:$A$274,0),MATCH(_xlfn.CONCAT(B6353," ",E6353),ForeCalc!$B$36:$Y$36,0))))*VLOOKUP(A6353,Calendar!$A$2:$H$9997,8,FALSE),0)</f>
        <v/>
      </c>
      <c r="G6353" s="29">
        <f>VLOOKUP(A6353,Calendar!$A$1:$H$9997,6,FALSE)-F6353</f>
        <v/>
      </c>
      <c r="H6353" s="19" t="n">
        <v>3</v>
      </c>
      <c r="I6353" s="57" t="n">
        <v>5</v>
      </c>
    </row>
    <row r="6354">
      <c r="A6354" s="62" t="n">
        <v>46985</v>
      </c>
      <c r="B6354" s="3" t="inlineStr">
        <is>
          <t>Sun</t>
        </is>
      </c>
      <c r="C6354" s="19" t="n">
        <v>8</v>
      </c>
      <c r="D6354" s="19" t="n">
        <v>2028</v>
      </c>
      <c r="E6354" s="57" t="n">
        <v>6</v>
      </c>
      <c r="F6354" s="29">
        <f>ROUND(((SUMIFS(Calendar!$F$2:$F$9997,Calendar!$B$2:$B$9997,D6354,Calendar!$C$2:$C$9997,C6354)*INDEX(ForeCalc!$B$37:$Y$274,MATCH(_xlfn.CONCAT(H6354," ",I6354),ForeCalc!$A$37:$A$274,0),MATCH(_xlfn.CONCAT(B6354," ",E6354),ForeCalc!$B$36:$Y$36,0))))*VLOOKUP(A6354,Calendar!$A$2:$H$9997,8,FALSE),0)</f>
        <v/>
      </c>
      <c r="G6354" s="29">
        <f>VLOOKUP(A6354,Calendar!$A$1:$H$9997,6,FALSE)-F6354</f>
        <v/>
      </c>
      <c r="H6354" s="19" t="n">
        <v>3</v>
      </c>
      <c r="I6354" s="57" t="n">
        <v>5</v>
      </c>
    </row>
    <row r="6355">
      <c r="A6355" s="62" t="n">
        <v>46986</v>
      </c>
      <c r="B6355" s="3" t="inlineStr">
        <is>
          <t>Week</t>
        </is>
      </c>
      <c r="C6355" s="19" t="n">
        <v>8</v>
      </c>
      <c r="D6355" s="19" t="n">
        <v>2028</v>
      </c>
      <c r="E6355" s="57" t="n">
        <v>6</v>
      </c>
      <c r="F6355" s="29">
        <f>ROUND(((SUMIFS(Calendar!$F$2:$F$9997,Calendar!$B$2:$B$9997,D6355,Calendar!$C$2:$C$9997,C6355)*INDEX(ForeCalc!$B$37:$Y$274,MATCH(_xlfn.CONCAT(H6355," ",I6355),ForeCalc!$A$37:$A$274,0),MATCH(_xlfn.CONCAT(B6355," ",E6355),ForeCalc!$B$36:$Y$36,0))))*VLOOKUP(A6355,Calendar!$A$2:$H$9997,8,FALSE),0)</f>
        <v/>
      </c>
      <c r="G6355" s="29">
        <f>VLOOKUP(A6355,Calendar!$A$1:$H$9997,6,FALSE)-F6355</f>
        <v/>
      </c>
      <c r="H6355" s="19" t="n">
        <v>3</v>
      </c>
      <c r="I6355" s="57" t="n">
        <v>5</v>
      </c>
    </row>
    <row r="6356">
      <c r="A6356" s="62" t="n">
        <v>46987</v>
      </c>
      <c r="B6356" s="3" t="inlineStr">
        <is>
          <t>Week</t>
        </is>
      </c>
      <c r="C6356" s="19" t="n">
        <v>8</v>
      </c>
      <c r="D6356" s="19" t="n">
        <v>2028</v>
      </c>
      <c r="E6356" s="57" t="n">
        <v>6</v>
      </c>
      <c r="F6356" s="29">
        <f>ROUND(((SUMIFS(Calendar!$F$2:$F$9997,Calendar!$B$2:$B$9997,D6356,Calendar!$C$2:$C$9997,C6356)*INDEX(ForeCalc!$B$37:$Y$274,MATCH(_xlfn.CONCAT(H6356," ",I6356),ForeCalc!$A$37:$A$274,0),MATCH(_xlfn.CONCAT(B6356," ",E6356),ForeCalc!$B$36:$Y$36,0))))*VLOOKUP(A6356,Calendar!$A$2:$H$9997,8,FALSE),0)</f>
        <v/>
      </c>
      <c r="G6356" s="29">
        <f>VLOOKUP(A6356,Calendar!$A$1:$H$9997,6,FALSE)-F6356</f>
        <v/>
      </c>
      <c r="H6356" s="19" t="n">
        <v>3</v>
      </c>
      <c r="I6356" s="57" t="n">
        <v>5</v>
      </c>
    </row>
    <row r="6357">
      <c r="A6357" s="62" t="n">
        <v>46988</v>
      </c>
      <c r="B6357" s="3" t="inlineStr">
        <is>
          <t>Week</t>
        </is>
      </c>
      <c r="C6357" s="19" t="n">
        <v>8</v>
      </c>
      <c r="D6357" s="19" t="n">
        <v>2028</v>
      </c>
      <c r="E6357" s="57" t="n">
        <v>6</v>
      </c>
      <c r="F6357" s="29">
        <f>ROUND(((SUMIFS(Calendar!$F$2:$F$9997,Calendar!$B$2:$B$9997,D6357,Calendar!$C$2:$C$9997,C6357)*INDEX(ForeCalc!$B$37:$Y$274,MATCH(_xlfn.CONCAT(H6357," ",I6357),ForeCalc!$A$37:$A$274,0),MATCH(_xlfn.CONCAT(B6357," ",E6357),ForeCalc!$B$36:$Y$36,0))))*VLOOKUP(A6357,Calendar!$A$2:$H$9997,8,FALSE),0)</f>
        <v/>
      </c>
      <c r="G6357" s="29">
        <f>VLOOKUP(A6357,Calendar!$A$1:$H$9997,6,FALSE)-F6357</f>
        <v/>
      </c>
      <c r="H6357" s="19" t="n">
        <v>3</v>
      </c>
      <c r="I6357" s="57" t="n">
        <v>5</v>
      </c>
    </row>
    <row r="6358">
      <c r="A6358" s="62" t="n">
        <v>46989</v>
      </c>
      <c r="B6358" s="3" t="inlineStr">
        <is>
          <t>Week</t>
        </is>
      </c>
      <c r="C6358" s="19" t="n">
        <v>8</v>
      </c>
      <c r="D6358" s="19" t="n">
        <v>2028</v>
      </c>
      <c r="E6358" s="57" t="n">
        <v>6</v>
      </c>
      <c r="F6358" s="29">
        <f>ROUND(((SUMIFS(Calendar!$F$2:$F$9997,Calendar!$B$2:$B$9997,D6358,Calendar!$C$2:$C$9997,C6358)*INDEX(ForeCalc!$B$37:$Y$274,MATCH(_xlfn.CONCAT(H6358," ",I6358),ForeCalc!$A$37:$A$274,0),MATCH(_xlfn.CONCAT(B6358," ",E6358),ForeCalc!$B$36:$Y$36,0))))*VLOOKUP(A6358,Calendar!$A$2:$H$9997,8,FALSE),0)</f>
        <v/>
      </c>
      <c r="G6358" s="29">
        <f>VLOOKUP(A6358,Calendar!$A$1:$H$9997,6,FALSE)-F6358</f>
        <v/>
      </c>
      <c r="H6358" s="19" t="n">
        <v>3</v>
      </c>
      <c r="I6358" s="57" t="n">
        <v>5</v>
      </c>
    </row>
    <row r="6359">
      <c r="A6359" s="62" t="n">
        <v>46990</v>
      </c>
      <c r="B6359" s="3" t="inlineStr">
        <is>
          <t>Week</t>
        </is>
      </c>
      <c r="C6359" s="19" t="n">
        <v>8</v>
      </c>
      <c r="D6359" s="19" t="n">
        <v>2028</v>
      </c>
      <c r="E6359" s="57" t="n">
        <v>6</v>
      </c>
      <c r="F6359" s="29">
        <f>ROUND(((SUMIFS(Calendar!$F$2:$F$9997,Calendar!$B$2:$B$9997,D6359,Calendar!$C$2:$C$9997,C6359)*INDEX(ForeCalc!$B$37:$Y$274,MATCH(_xlfn.CONCAT(H6359," ",I6359),ForeCalc!$A$37:$A$274,0),MATCH(_xlfn.CONCAT(B6359," ",E6359),ForeCalc!$B$36:$Y$36,0))))*VLOOKUP(A6359,Calendar!$A$2:$H$9997,8,FALSE),0)</f>
        <v/>
      </c>
      <c r="G6359" s="29">
        <f>VLOOKUP(A6359,Calendar!$A$1:$H$9997,6,FALSE)-F6359</f>
        <v/>
      </c>
      <c r="H6359" s="19" t="n">
        <v>3</v>
      </c>
      <c r="I6359" s="57" t="n">
        <v>5</v>
      </c>
    </row>
    <row r="6360">
      <c r="A6360" s="62" t="n">
        <v>46991</v>
      </c>
      <c r="B6360" s="3" t="inlineStr">
        <is>
          <t>Sat</t>
        </is>
      </c>
      <c r="C6360" s="19" t="n">
        <v>8</v>
      </c>
      <c r="D6360" s="19" t="n">
        <v>2028</v>
      </c>
      <c r="E6360" s="57" t="n">
        <v>6</v>
      </c>
      <c r="F6360" s="29">
        <f>ROUND(((SUMIFS(Calendar!$F$2:$F$9997,Calendar!$B$2:$B$9997,D6360,Calendar!$C$2:$C$9997,C6360)*INDEX(ForeCalc!$B$37:$Y$274,MATCH(_xlfn.CONCAT(H6360," ",I6360),ForeCalc!$A$37:$A$274,0),MATCH(_xlfn.CONCAT(B6360," ",E6360),ForeCalc!$B$36:$Y$36,0))))*VLOOKUP(A6360,Calendar!$A$2:$H$9997,8,FALSE),0)</f>
        <v/>
      </c>
      <c r="G6360" s="29">
        <f>VLOOKUP(A6360,Calendar!$A$1:$H$9997,6,FALSE)-F6360</f>
        <v/>
      </c>
      <c r="H6360" s="19" t="n">
        <v>3</v>
      </c>
      <c r="I6360" s="57" t="n">
        <v>5</v>
      </c>
    </row>
    <row r="6361">
      <c r="A6361" s="62" t="n">
        <v>46992</v>
      </c>
      <c r="B6361" s="3" t="inlineStr">
        <is>
          <t>Sun</t>
        </is>
      </c>
      <c r="C6361" s="19" t="n">
        <v>8</v>
      </c>
      <c r="D6361" s="19" t="n">
        <v>2028</v>
      </c>
      <c r="E6361" s="57" t="n">
        <v>6</v>
      </c>
      <c r="F6361" s="29">
        <f>ROUND(((SUMIFS(Calendar!$F$2:$F$9997,Calendar!$B$2:$B$9997,D6361,Calendar!$C$2:$C$9997,C6361)*INDEX(ForeCalc!$B$37:$Y$274,MATCH(_xlfn.CONCAT(H6361," ",I6361),ForeCalc!$A$37:$A$274,0),MATCH(_xlfn.CONCAT(B6361," ",E6361),ForeCalc!$B$36:$Y$36,0))))*VLOOKUP(A6361,Calendar!$A$2:$H$9997,8,FALSE),0)</f>
        <v/>
      </c>
      <c r="G6361" s="29">
        <f>VLOOKUP(A6361,Calendar!$A$1:$H$9997,6,FALSE)-F6361</f>
        <v/>
      </c>
      <c r="H6361" s="19" t="n">
        <v>3</v>
      </c>
      <c r="I6361" s="57" t="n">
        <v>5</v>
      </c>
    </row>
    <row r="6362">
      <c r="A6362" s="62" t="n">
        <v>46993</v>
      </c>
      <c r="B6362" s="3" t="inlineStr">
        <is>
          <t>Week</t>
        </is>
      </c>
      <c r="C6362" s="19" t="n">
        <v>8</v>
      </c>
      <c r="D6362" s="19" t="n">
        <v>2028</v>
      </c>
      <c r="E6362" s="57" t="n">
        <v>6</v>
      </c>
      <c r="F6362" s="29">
        <f>ROUND(((SUMIFS(Calendar!$F$2:$F$9997,Calendar!$B$2:$B$9997,D6362,Calendar!$C$2:$C$9997,C6362)*INDEX(ForeCalc!$B$37:$Y$274,MATCH(_xlfn.CONCAT(H6362," ",I6362),ForeCalc!$A$37:$A$274,0),MATCH(_xlfn.CONCAT(B6362," ",E6362),ForeCalc!$B$36:$Y$36,0))))*VLOOKUP(A6362,Calendar!$A$2:$H$9997,8,FALSE),0)</f>
        <v/>
      </c>
      <c r="G6362" s="29">
        <f>VLOOKUP(A6362,Calendar!$A$1:$H$9997,6,FALSE)-F6362</f>
        <v/>
      </c>
      <c r="H6362" s="19" t="n">
        <v>3</v>
      </c>
      <c r="I6362" s="57" t="n">
        <v>5</v>
      </c>
    </row>
    <row r="6363">
      <c r="A6363" s="62" t="n">
        <v>46994</v>
      </c>
      <c r="B6363" s="3" t="inlineStr">
        <is>
          <t>Week</t>
        </is>
      </c>
      <c r="C6363" s="19" t="n">
        <v>8</v>
      </c>
      <c r="D6363" s="19" t="n">
        <v>2028</v>
      </c>
      <c r="E6363" s="57" t="n">
        <v>6</v>
      </c>
      <c r="F6363" s="29">
        <f>ROUND(((SUMIFS(Calendar!$F$2:$F$9997,Calendar!$B$2:$B$9997,D6363,Calendar!$C$2:$C$9997,C6363)*INDEX(ForeCalc!$B$37:$Y$274,MATCH(_xlfn.CONCAT(H6363," ",I6363),ForeCalc!$A$37:$A$274,0),MATCH(_xlfn.CONCAT(B6363," ",E6363),ForeCalc!$B$36:$Y$36,0))))*VLOOKUP(A6363,Calendar!$A$2:$H$9997,8,FALSE),0)</f>
        <v/>
      </c>
      <c r="G6363" s="29">
        <f>VLOOKUP(A6363,Calendar!$A$1:$H$9997,6,FALSE)-F6363</f>
        <v/>
      </c>
      <c r="H6363" s="19" t="n">
        <v>3</v>
      </c>
      <c r="I6363" s="57" t="n">
        <v>5</v>
      </c>
    </row>
    <row r="6364">
      <c r="A6364" s="62" t="n">
        <v>46995</v>
      </c>
      <c r="B6364" s="3" t="inlineStr">
        <is>
          <t>Week</t>
        </is>
      </c>
      <c r="C6364" s="19" t="n">
        <v>8</v>
      </c>
      <c r="D6364" s="19" t="n">
        <v>2028</v>
      </c>
      <c r="E6364" s="57" t="n">
        <v>6</v>
      </c>
      <c r="F6364" s="29">
        <f>ROUND(((SUMIFS(Calendar!$F$2:$F$9997,Calendar!$B$2:$B$9997,D6364,Calendar!$C$2:$C$9997,C6364)*INDEX(ForeCalc!$B$37:$Y$274,MATCH(_xlfn.CONCAT(H6364," ",I6364),ForeCalc!$A$37:$A$274,0),MATCH(_xlfn.CONCAT(B6364," ",E6364),ForeCalc!$B$36:$Y$36,0))))*VLOOKUP(A6364,Calendar!$A$2:$H$9997,8,FALSE),0)</f>
        <v/>
      </c>
      <c r="G6364" s="29">
        <f>VLOOKUP(A6364,Calendar!$A$1:$H$9997,6,FALSE)-F6364</f>
        <v/>
      </c>
      <c r="H6364" s="19" t="n">
        <v>3</v>
      </c>
      <c r="I6364" s="57" t="n">
        <v>5</v>
      </c>
    </row>
    <row r="6365">
      <c r="A6365" s="62" t="n">
        <v>46996</v>
      </c>
      <c r="B6365" s="3" t="inlineStr">
        <is>
          <t>Week</t>
        </is>
      </c>
      <c r="C6365" s="19" t="n">
        <v>8</v>
      </c>
      <c r="D6365" s="19" t="n">
        <v>2028</v>
      </c>
      <c r="E6365" s="57" t="n">
        <v>6</v>
      </c>
      <c r="F6365" s="29">
        <f>ROUND(((SUMIFS(Calendar!$F$2:$F$9997,Calendar!$B$2:$B$9997,D6365,Calendar!$C$2:$C$9997,C6365)*INDEX(ForeCalc!$B$37:$Y$274,MATCH(_xlfn.CONCAT(H6365," ",I6365),ForeCalc!$A$37:$A$274,0),MATCH(_xlfn.CONCAT(B6365," ",E6365),ForeCalc!$B$36:$Y$36,0))))*VLOOKUP(A6365,Calendar!$A$2:$H$9997,8,FALSE),0)</f>
        <v/>
      </c>
      <c r="G6365" s="29">
        <f>VLOOKUP(A6365,Calendar!$A$1:$H$9997,6,FALSE)-F6365</f>
        <v/>
      </c>
      <c r="H6365" s="19" t="n">
        <v>3</v>
      </c>
      <c r="I6365" s="57" t="n">
        <v>5</v>
      </c>
    </row>
    <row r="6366">
      <c r="A6366" s="62" t="n">
        <v>46997</v>
      </c>
      <c r="B6366" s="3" t="inlineStr">
        <is>
          <t>Week</t>
        </is>
      </c>
      <c r="C6366" s="19" t="n">
        <v>9</v>
      </c>
      <c r="D6366" s="19" t="n">
        <v>2028</v>
      </c>
      <c r="E6366" s="57" t="n">
        <v>6</v>
      </c>
      <c r="F6366" s="29">
        <f>ROUND(((SUMIFS(Calendar!$F$2:$F$9997,Calendar!$B$2:$B$9997,D6366,Calendar!$C$2:$C$9997,C6366)*INDEX(ForeCalc!$B$37:$Y$274,MATCH(_xlfn.CONCAT(H6366," ",I6366),ForeCalc!$A$37:$A$274,0),MATCH(_xlfn.CONCAT(B6366," ",E6366),ForeCalc!$B$36:$Y$36,0))))*VLOOKUP(A6366,Calendar!$A$2:$H$9997,8,FALSE),0)</f>
        <v/>
      </c>
      <c r="G6366" s="29">
        <f>VLOOKUP(A6366,Calendar!$A$1:$H$9997,6,FALSE)-F6366</f>
        <v/>
      </c>
      <c r="H6366" s="19" t="n">
        <v>3</v>
      </c>
      <c r="I6366" s="57" t="n">
        <v>6</v>
      </c>
    </row>
    <row r="6367">
      <c r="A6367" s="62" t="n">
        <v>46998</v>
      </c>
      <c r="B6367" s="3" t="inlineStr">
        <is>
          <t>Sat</t>
        </is>
      </c>
      <c r="C6367" s="19" t="n">
        <v>9</v>
      </c>
      <c r="D6367" s="19" t="n">
        <v>2028</v>
      </c>
      <c r="E6367" s="57" t="n">
        <v>6</v>
      </c>
      <c r="F6367" s="29">
        <f>ROUND(((SUMIFS(Calendar!$F$2:$F$9997,Calendar!$B$2:$B$9997,D6367,Calendar!$C$2:$C$9997,C6367)*INDEX(ForeCalc!$B$37:$Y$274,MATCH(_xlfn.CONCAT(H6367," ",I6367),ForeCalc!$A$37:$A$274,0),MATCH(_xlfn.CONCAT(B6367," ",E6367),ForeCalc!$B$36:$Y$36,0))))*VLOOKUP(A6367,Calendar!$A$2:$H$9997,8,FALSE),0)</f>
        <v/>
      </c>
      <c r="G6367" s="29">
        <f>VLOOKUP(A6367,Calendar!$A$1:$H$9997,6,FALSE)-F6367</f>
        <v/>
      </c>
      <c r="H6367" s="19" t="n">
        <v>3</v>
      </c>
      <c r="I6367" s="57" t="n">
        <v>6</v>
      </c>
    </row>
    <row r="6368">
      <c r="A6368" s="62" t="n">
        <v>46999</v>
      </c>
      <c r="B6368" s="3" t="inlineStr">
        <is>
          <t>Sun</t>
        </is>
      </c>
      <c r="C6368" s="19" t="n">
        <v>9</v>
      </c>
      <c r="D6368" s="19" t="n">
        <v>2028</v>
      </c>
      <c r="E6368" s="57" t="n">
        <v>6</v>
      </c>
      <c r="F6368" s="29">
        <f>ROUND(((SUMIFS(Calendar!$F$2:$F$9997,Calendar!$B$2:$B$9997,D6368,Calendar!$C$2:$C$9997,C6368)*INDEX(ForeCalc!$B$37:$Y$274,MATCH(_xlfn.CONCAT(H6368," ",I6368),ForeCalc!$A$37:$A$274,0),MATCH(_xlfn.CONCAT(B6368," ",E6368),ForeCalc!$B$36:$Y$36,0))))*VLOOKUP(A6368,Calendar!$A$2:$H$9997,8,FALSE),0)</f>
        <v/>
      </c>
      <c r="G6368" s="29">
        <f>VLOOKUP(A6368,Calendar!$A$1:$H$9997,6,FALSE)-F6368</f>
        <v/>
      </c>
      <c r="H6368" s="19" t="n">
        <v>3</v>
      </c>
      <c r="I6368" s="57" t="n">
        <v>6</v>
      </c>
    </row>
    <row r="6369">
      <c r="A6369" s="62" t="n">
        <v>47000</v>
      </c>
      <c r="B6369" s="3" t="inlineStr">
        <is>
          <t>Week</t>
        </is>
      </c>
      <c r="C6369" s="19" t="n">
        <v>9</v>
      </c>
      <c r="D6369" s="19" t="n">
        <v>2028</v>
      </c>
      <c r="E6369" s="57" t="n">
        <v>6</v>
      </c>
      <c r="F6369" s="29">
        <f>ROUND(((SUMIFS(Calendar!$F$2:$F$9997,Calendar!$B$2:$B$9997,D6369,Calendar!$C$2:$C$9997,C6369)*INDEX(ForeCalc!$B$37:$Y$274,MATCH(_xlfn.CONCAT(H6369," ",I6369),ForeCalc!$A$37:$A$274,0),MATCH(_xlfn.CONCAT(B6369," ",E6369),ForeCalc!$B$36:$Y$36,0))))*VLOOKUP(A6369,Calendar!$A$2:$H$9997,8,FALSE),0)</f>
        <v/>
      </c>
      <c r="G6369" s="29">
        <f>VLOOKUP(A6369,Calendar!$A$1:$H$9997,6,FALSE)-F6369</f>
        <v/>
      </c>
      <c r="H6369" s="19" t="n">
        <v>3</v>
      </c>
      <c r="I6369" s="57" t="n">
        <v>6</v>
      </c>
    </row>
    <row r="6370">
      <c r="A6370" s="62" t="n">
        <v>47001</v>
      </c>
      <c r="B6370" s="3" t="inlineStr">
        <is>
          <t>Week</t>
        </is>
      </c>
      <c r="C6370" s="19" t="n">
        <v>9</v>
      </c>
      <c r="D6370" s="19" t="n">
        <v>2028</v>
      </c>
      <c r="E6370" s="57" t="n">
        <v>6</v>
      </c>
      <c r="F6370" s="29">
        <f>ROUND(((SUMIFS(Calendar!$F$2:$F$9997,Calendar!$B$2:$B$9997,D6370,Calendar!$C$2:$C$9997,C6370)*INDEX(ForeCalc!$B$37:$Y$274,MATCH(_xlfn.CONCAT(H6370," ",I6370),ForeCalc!$A$37:$A$274,0),MATCH(_xlfn.CONCAT(B6370," ",E6370),ForeCalc!$B$36:$Y$36,0))))*VLOOKUP(A6370,Calendar!$A$2:$H$9997,8,FALSE),0)</f>
        <v/>
      </c>
      <c r="G6370" s="29">
        <f>VLOOKUP(A6370,Calendar!$A$1:$H$9997,6,FALSE)-F6370</f>
        <v/>
      </c>
      <c r="H6370" s="19" t="n">
        <v>3</v>
      </c>
      <c r="I6370" s="57" t="n">
        <v>6</v>
      </c>
    </row>
    <row r="6371">
      <c r="A6371" s="62" t="n">
        <v>47002</v>
      </c>
      <c r="B6371" s="3" t="inlineStr">
        <is>
          <t>Week</t>
        </is>
      </c>
      <c r="C6371" s="19" t="n">
        <v>9</v>
      </c>
      <c r="D6371" s="19" t="n">
        <v>2028</v>
      </c>
      <c r="E6371" s="57" t="n">
        <v>6</v>
      </c>
      <c r="F6371" s="29">
        <f>ROUND(((SUMIFS(Calendar!$F$2:$F$9997,Calendar!$B$2:$B$9997,D6371,Calendar!$C$2:$C$9997,C6371)*INDEX(ForeCalc!$B$37:$Y$274,MATCH(_xlfn.CONCAT(H6371," ",I6371),ForeCalc!$A$37:$A$274,0),MATCH(_xlfn.CONCAT(B6371," ",E6371),ForeCalc!$B$36:$Y$36,0))))*VLOOKUP(A6371,Calendar!$A$2:$H$9997,8,FALSE),0)</f>
        <v/>
      </c>
      <c r="G6371" s="29">
        <f>VLOOKUP(A6371,Calendar!$A$1:$H$9997,6,FALSE)-F6371</f>
        <v/>
      </c>
      <c r="H6371" s="19" t="n">
        <v>3</v>
      </c>
      <c r="I6371" s="57" t="n">
        <v>6</v>
      </c>
    </row>
    <row r="6372">
      <c r="A6372" s="62" t="n">
        <v>47003</v>
      </c>
      <c r="B6372" s="3" t="inlineStr">
        <is>
          <t>Week</t>
        </is>
      </c>
      <c r="C6372" s="19" t="n">
        <v>9</v>
      </c>
      <c r="D6372" s="19" t="n">
        <v>2028</v>
      </c>
      <c r="E6372" s="57" t="n">
        <v>6</v>
      </c>
      <c r="F6372" s="29">
        <f>ROUND(((SUMIFS(Calendar!$F$2:$F$9997,Calendar!$B$2:$B$9997,D6372,Calendar!$C$2:$C$9997,C6372)*INDEX(ForeCalc!$B$37:$Y$274,MATCH(_xlfn.CONCAT(H6372," ",I6372),ForeCalc!$A$37:$A$274,0),MATCH(_xlfn.CONCAT(B6372," ",E6372),ForeCalc!$B$36:$Y$36,0))))*VLOOKUP(A6372,Calendar!$A$2:$H$9997,8,FALSE),0)</f>
        <v/>
      </c>
      <c r="G6372" s="29">
        <f>VLOOKUP(A6372,Calendar!$A$1:$H$9997,6,FALSE)-F6372</f>
        <v/>
      </c>
      <c r="H6372" s="19" t="n">
        <v>3</v>
      </c>
      <c r="I6372" s="57" t="n">
        <v>6</v>
      </c>
    </row>
    <row r="6373">
      <c r="A6373" s="62" t="n">
        <v>47004</v>
      </c>
      <c r="B6373" s="3" t="inlineStr">
        <is>
          <t>Week</t>
        </is>
      </c>
      <c r="C6373" s="19" t="n">
        <v>9</v>
      </c>
      <c r="D6373" s="19" t="n">
        <v>2028</v>
      </c>
      <c r="E6373" s="57" t="n">
        <v>6</v>
      </c>
      <c r="F6373" s="29">
        <f>ROUND(((SUMIFS(Calendar!$F$2:$F$9997,Calendar!$B$2:$B$9997,D6373,Calendar!$C$2:$C$9997,C6373)*INDEX(ForeCalc!$B$37:$Y$274,MATCH(_xlfn.CONCAT(H6373," ",I6373),ForeCalc!$A$37:$A$274,0),MATCH(_xlfn.CONCAT(B6373," ",E6373),ForeCalc!$B$36:$Y$36,0))))*VLOOKUP(A6373,Calendar!$A$2:$H$9997,8,FALSE),0)</f>
        <v/>
      </c>
      <c r="G6373" s="29">
        <f>VLOOKUP(A6373,Calendar!$A$1:$H$9997,6,FALSE)-F6373</f>
        <v/>
      </c>
      <c r="H6373" s="19" t="n">
        <v>3</v>
      </c>
      <c r="I6373" s="57" t="n">
        <v>6</v>
      </c>
    </row>
    <row r="6374">
      <c r="A6374" s="62" t="n">
        <v>47005</v>
      </c>
      <c r="B6374" s="3" t="inlineStr">
        <is>
          <t>Sat</t>
        </is>
      </c>
      <c r="C6374" s="19" t="n">
        <v>9</v>
      </c>
      <c r="D6374" s="19" t="n">
        <v>2028</v>
      </c>
      <c r="E6374" s="57" t="n">
        <v>6</v>
      </c>
      <c r="F6374" s="29">
        <f>ROUND(((SUMIFS(Calendar!$F$2:$F$9997,Calendar!$B$2:$B$9997,D6374,Calendar!$C$2:$C$9997,C6374)*INDEX(ForeCalc!$B$37:$Y$274,MATCH(_xlfn.CONCAT(H6374," ",I6374),ForeCalc!$A$37:$A$274,0),MATCH(_xlfn.CONCAT(B6374," ",E6374),ForeCalc!$B$36:$Y$36,0))))*VLOOKUP(A6374,Calendar!$A$2:$H$9997,8,FALSE),0)</f>
        <v/>
      </c>
      <c r="G6374" s="29">
        <f>VLOOKUP(A6374,Calendar!$A$1:$H$9997,6,FALSE)-F6374</f>
        <v/>
      </c>
      <c r="H6374" s="19" t="n">
        <v>3</v>
      </c>
      <c r="I6374" s="57" t="n">
        <v>6</v>
      </c>
    </row>
    <row r="6375">
      <c r="A6375" s="62" t="n">
        <v>47006</v>
      </c>
      <c r="B6375" s="3" t="inlineStr">
        <is>
          <t>Sun</t>
        </is>
      </c>
      <c r="C6375" s="19" t="n">
        <v>9</v>
      </c>
      <c r="D6375" s="19" t="n">
        <v>2028</v>
      </c>
      <c r="E6375" s="57" t="n">
        <v>6</v>
      </c>
      <c r="F6375" s="29">
        <f>ROUND(((SUMIFS(Calendar!$F$2:$F$9997,Calendar!$B$2:$B$9997,D6375,Calendar!$C$2:$C$9997,C6375)*INDEX(ForeCalc!$B$37:$Y$274,MATCH(_xlfn.CONCAT(H6375," ",I6375),ForeCalc!$A$37:$A$274,0),MATCH(_xlfn.CONCAT(B6375," ",E6375),ForeCalc!$B$36:$Y$36,0))))*VLOOKUP(A6375,Calendar!$A$2:$H$9997,8,FALSE),0)</f>
        <v/>
      </c>
      <c r="G6375" s="29">
        <f>VLOOKUP(A6375,Calendar!$A$1:$H$9997,6,FALSE)-F6375</f>
        <v/>
      </c>
      <c r="H6375" s="19" t="n">
        <v>3</v>
      </c>
      <c r="I6375" s="57" t="n">
        <v>6</v>
      </c>
    </row>
    <row r="6376">
      <c r="A6376" s="62" t="n">
        <v>47007</v>
      </c>
      <c r="B6376" s="3" t="inlineStr">
        <is>
          <t>Week</t>
        </is>
      </c>
      <c r="C6376" s="19" t="n">
        <v>9</v>
      </c>
      <c r="D6376" s="19" t="n">
        <v>2028</v>
      </c>
      <c r="E6376" s="57" t="n">
        <v>6</v>
      </c>
      <c r="F6376" s="29">
        <f>ROUND(((SUMIFS(Calendar!$F$2:$F$9997,Calendar!$B$2:$B$9997,D6376,Calendar!$C$2:$C$9997,C6376)*INDEX(ForeCalc!$B$37:$Y$274,MATCH(_xlfn.CONCAT(H6376," ",I6376),ForeCalc!$A$37:$A$274,0),MATCH(_xlfn.CONCAT(B6376," ",E6376),ForeCalc!$B$36:$Y$36,0))))*VLOOKUP(A6376,Calendar!$A$2:$H$9997,8,FALSE),0)</f>
        <v/>
      </c>
      <c r="G6376" s="29">
        <f>VLOOKUP(A6376,Calendar!$A$1:$H$9997,6,FALSE)-F6376</f>
        <v/>
      </c>
      <c r="H6376" s="19" t="n">
        <v>3</v>
      </c>
      <c r="I6376" s="57" t="n">
        <v>6</v>
      </c>
    </row>
    <row r="6377">
      <c r="A6377" s="62" t="n">
        <v>47008</v>
      </c>
      <c r="B6377" s="3" t="inlineStr">
        <is>
          <t>Week</t>
        </is>
      </c>
      <c r="C6377" s="19" t="n">
        <v>9</v>
      </c>
      <c r="D6377" s="19" t="n">
        <v>2028</v>
      </c>
      <c r="E6377" s="57" t="n">
        <v>6</v>
      </c>
      <c r="F6377" s="29">
        <f>ROUND(((SUMIFS(Calendar!$F$2:$F$9997,Calendar!$B$2:$B$9997,D6377,Calendar!$C$2:$C$9997,C6377)*INDEX(ForeCalc!$B$37:$Y$274,MATCH(_xlfn.CONCAT(H6377," ",I6377),ForeCalc!$A$37:$A$274,0),MATCH(_xlfn.CONCAT(B6377," ",E6377),ForeCalc!$B$36:$Y$36,0))))*VLOOKUP(A6377,Calendar!$A$2:$H$9997,8,FALSE),0)</f>
        <v/>
      </c>
      <c r="G6377" s="29">
        <f>VLOOKUP(A6377,Calendar!$A$1:$H$9997,6,FALSE)-F6377</f>
        <v/>
      </c>
      <c r="H6377" s="19" t="n">
        <v>3</v>
      </c>
      <c r="I6377" s="57" t="n">
        <v>6</v>
      </c>
    </row>
    <row r="6378">
      <c r="A6378" s="62" t="n">
        <v>47009</v>
      </c>
      <c r="B6378" s="3" t="inlineStr">
        <is>
          <t>Week</t>
        </is>
      </c>
      <c r="C6378" s="19" t="n">
        <v>9</v>
      </c>
      <c r="D6378" s="19" t="n">
        <v>2028</v>
      </c>
      <c r="E6378" s="57" t="n">
        <v>6</v>
      </c>
      <c r="F6378" s="29">
        <f>ROUND(((SUMIFS(Calendar!$F$2:$F$9997,Calendar!$B$2:$B$9997,D6378,Calendar!$C$2:$C$9997,C6378)*INDEX(ForeCalc!$B$37:$Y$274,MATCH(_xlfn.CONCAT(H6378," ",I6378),ForeCalc!$A$37:$A$274,0),MATCH(_xlfn.CONCAT(B6378," ",E6378),ForeCalc!$B$36:$Y$36,0))))*VLOOKUP(A6378,Calendar!$A$2:$H$9997,8,FALSE),0)</f>
        <v/>
      </c>
      <c r="G6378" s="29">
        <f>VLOOKUP(A6378,Calendar!$A$1:$H$9997,6,FALSE)-F6378</f>
        <v/>
      </c>
      <c r="H6378" s="19" t="n">
        <v>3</v>
      </c>
      <c r="I6378" s="57" t="n">
        <v>6</v>
      </c>
    </row>
    <row r="6379">
      <c r="A6379" s="62" t="n">
        <v>47010</v>
      </c>
      <c r="B6379" s="3" t="inlineStr">
        <is>
          <t>Week</t>
        </is>
      </c>
      <c r="C6379" s="19" t="n">
        <v>9</v>
      </c>
      <c r="D6379" s="19" t="n">
        <v>2028</v>
      </c>
      <c r="E6379" s="57" t="n">
        <v>6</v>
      </c>
      <c r="F6379" s="29">
        <f>ROUND(((SUMIFS(Calendar!$F$2:$F$9997,Calendar!$B$2:$B$9997,D6379,Calendar!$C$2:$C$9997,C6379)*INDEX(ForeCalc!$B$37:$Y$274,MATCH(_xlfn.CONCAT(H6379," ",I6379),ForeCalc!$A$37:$A$274,0),MATCH(_xlfn.CONCAT(B6379," ",E6379),ForeCalc!$B$36:$Y$36,0))))*VLOOKUP(A6379,Calendar!$A$2:$H$9997,8,FALSE),0)</f>
        <v/>
      </c>
      <c r="G6379" s="29">
        <f>VLOOKUP(A6379,Calendar!$A$1:$H$9997,6,FALSE)-F6379</f>
        <v/>
      </c>
      <c r="H6379" s="19" t="n">
        <v>3</v>
      </c>
      <c r="I6379" s="57" t="n">
        <v>6</v>
      </c>
    </row>
    <row r="6380">
      <c r="A6380" s="62" t="n">
        <v>47011</v>
      </c>
      <c r="B6380" s="3" t="inlineStr">
        <is>
          <t>Week</t>
        </is>
      </c>
      <c r="C6380" s="19" t="n">
        <v>9</v>
      </c>
      <c r="D6380" s="19" t="n">
        <v>2028</v>
      </c>
      <c r="E6380" s="57" t="n">
        <v>6</v>
      </c>
      <c r="F6380" s="29">
        <f>ROUND(((SUMIFS(Calendar!$F$2:$F$9997,Calendar!$B$2:$B$9997,D6380,Calendar!$C$2:$C$9997,C6380)*INDEX(ForeCalc!$B$37:$Y$274,MATCH(_xlfn.CONCAT(H6380," ",I6380),ForeCalc!$A$37:$A$274,0),MATCH(_xlfn.CONCAT(B6380," ",E6380),ForeCalc!$B$36:$Y$36,0))))*VLOOKUP(A6380,Calendar!$A$2:$H$9997,8,FALSE),0)</f>
        <v/>
      </c>
      <c r="G6380" s="29">
        <f>VLOOKUP(A6380,Calendar!$A$1:$H$9997,6,FALSE)-F6380</f>
        <v/>
      </c>
      <c r="H6380" s="19" t="n">
        <v>3</v>
      </c>
      <c r="I6380" s="57" t="n">
        <v>6</v>
      </c>
    </row>
    <row r="6381">
      <c r="A6381" s="62" t="n">
        <v>47012</v>
      </c>
      <c r="B6381" s="3" t="inlineStr">
        <is>
          <t>Sat</t>
        </is>
      </c>
      <c r="C6381" s="19" t="n">
        <v>9</v>
      </c>
      <c r="D6381" s="19" t="n">
        <v>2028</v>
      </c>
      <c r="E6381" s="57" t="n">
        <v>6</v>
      </c>
      <c r="F6381" s="29">
        <f>ROUND(((SUMIFS(Calendar!$F$2:$F$9997,Calendar!$B$2:$B$9997,D6381,Calendar!$C$2:$C$9997,C6381)*INDEX(ForeCalc!$B$37:$Y$274,MATCH(_xlfn.CONCAT(H6381," ",I6381),ForeCalc!$A$37:$A$274,0),MATCH(_xlfn.CONCAT(B6381," ",E6381),ForeCalc!$B$36:$Y$36,0))))*VLOOKUP(A6381,Calendar!$A$2:$H$9997,8,FALSE),0)</f>
        <v/>
      </c>
      <c r="G6381" s="29">
        <f>VLOOKUP(A6381,Calendar!$A$1:$H$9997,6,FALSE)-F6381</f>
        <v/>
      </c>
      <c r="H6381" s="19" t="n">
        <v>3</v>
      </c>
      <c r="I6381" s="57" t="n">
        <v>6</v>
      </c>
    </row>
    <row r="6382">
      <c r="A6382" s="62" t="n">
        <v>47013</v>
      </c>
      <c r="B6382" s="3" t="inlineStr">
        <is>
          <t>Sun</t>
        </is>
      </c>
      <c r="C6382" s="19" t="n">
        <v>9</v>
      </c>
      <c r="D6382" s="19" t="n">
        <v>2028</v>
      </c>
      <c r="E6382" s="57" t="n">
        <v>6</v>
      </c>
      <c r="F6382" s="29">
        <f>ROUND(((SUMIFS(Calendar!$F$2:$F$9997,Calendar!$B$2:$B$9997,D6382,Calendar!$C$2:$C$9997,C6382)*INDEX(ForeCalc!$B$37:$Y$274,MATCH(_xlfn.CONCAT(H6382," ",I6382),ForeCalc!$A$37:$A$274,0),MATCH(_xlfn.CONCAT(B6382," ",E6382),ForeCalc!$B$36:$Y$36,0))))*VLOOKUP(A6382,Calendar!$A$2:$H$9997,8,FALSE),0)</f>
        <v/>
      </c>
      <c r="G6382" s="29">
        <f>VLOOKUP(A6382,Calendar!$A$1:$H$9997,6,FALSE)-F6382</f>
        <v/>
      </c>
      <c r="H6382" s="19" t="n">
        <v>3</v>
      </c>
      <c r="I6382" s="57" t="n">
        <v>6</v>
      </c>
    </row>
    <row r="6383">
      <c r="A6383" s="62" t="n">
        <v>47014</v>
      </c>
      <c r="B6383" s="3" t="inlineStr">
        <is>
          <t>Week</t>
        </is>
      </c>
      <c r="C6383" s="19" t="n">
        <v>9</v>
      </c>
      <c r="D6383" s="19" t="n">
        <v>2028</v>
      </c>
      <c r="E6383" s="57" t="n">
        <v>6</v>
      </c>
      <c r="F6383" s="29">
        <f>ROUND(((SUMIFS(Calendar!$F$2:$F$9997,Calendar!$B$2:$B$9997,D6383,Calendar!$C$2:$C$9997,C6383)*INDEX(ForeCalc!$B$37:$Y$274,MATCH(_xlfn.CONCAT(H6383," ",I6383),ForeCalc!$A$37:$A$274,0),MATCH(_xlfn.CONCAT(B6383," ",E6383),ForeCalc!$B$36:$Y$36,0))))*VLOOKUP(A6383,Calendar!$A$2:$H$9997,8,FALSE),0)</f>
        <v/>
      </c>
      <c r="G6383" s="29">
        <f>VLOOKUP(A6383,Calendar!$A$1:$H$9997,6,FALSE)-F6383</f>
        <v/>
      </c>
      <c r="H6383" s="19" t="n">
        <v>3</v>
      </c>
      <c r="I6383" s="57" t="n">
        <v>6</v>
      </c>
    </row>
    <row r="6384">
      <c r="A6384" s="62" t="n">
        <v>47015</v>
      </c>
      <c r="B6384" s="3" t="inlineStr">
        <is>
          <t>Week</t>
        </is>
      </c>
      <c r="C6384" s="19" t="n">
        <v>9</v>
      </c>
      <c r="D6384" s="19" t="n">
        <v>2028</v>
      </c>
      <c r="E6384" s="57" t="n">
        <v>6</v>
      </c>
      <c r="F6384" s="29">
        <f>ROUND(((SUMIFS(Calendar!$F$2:$F$9997,Calendar!$B$2:$B$9997,D6384,Calendar!$C$2:$C$9997,C6384)*INDEX(ForeCalc!$B$37:$Y$274,MATCH(_xlfn.CONCAT(H6384," ",I6384),ForeCalc!$A$37:$A$274,0),MATCH(_xlfn.CONCAT(B6384," ",E6384),ForeCalc!$B$36:$Y$36,0))))*VLOOKUP(A6384,Calendar!$A$2:$H$9997,8,FALSE),0)</f>
        <v/>
      </c>
      <c r="G6384" s="29">
        <f>VLOOKUP(A6384,Calendar!$A$1:$H$9997,6,FALSE)-F6384</f>
        <v/>
      </c>
      <c r="H6384" s="19" t="n">
        <v>3</v>
      </c>
      <c r="I6384" s="57" t="n">
        <v>6</v>
      </c>
    </row>
    <row r="6385">
      <c r="A6385" s="62" t="n">
        <v>47016</v>
      </c>
      <c r="B6385" s="3" t="inlineStr">
        <is>
          <t>Week</t>
        </is>
      </c>
      <c r="C6385" s="19" t="n">
        <v>9</v>
      </c>
      <c r="D6385" s="19" t="n">
        <v>2028</v>
      </c>
      <c r="E6385" s="57" t="n">
        <v>6</v>
      </c>
      <c r="F6385" s="29">
        <f>ROUND(((SUMIFS(Calendar!$F$2:$F$9997,Calendar!$B$2:$B$9997,D6385,Calendar!$C$2:$C$9997,C6385)*INDEX(ForeCalc!$B$37:$Y$274,MATCH(_xlfn.CONCAT(H6385," ",I6385),ForeCalc!$A$37:$A$274,0),MATCH(_xlfn.CONCAT(B6385," ",E6385),ForeCalc!$B$36:$Y$36,0))))*VLOOKUP(A6385,Calendar!$A$2:$H$9997,8,FALSE),0)</f>
        <v/>
      </c>
      <c r="G6385" s="29">
        <f>VLOOKUP(A6385,Calendar!$A$1:$H$9997,6,FALSE)-F6385</f>
        <v/>
      </c>
      <c r="H6385" s="19" t="n">
        <v>3</v>
      </c>
      <c r="I6385" s="57" t="n">
        <v>6</v>
      </c>
    </row>
    <row r="6386">
      <c r="A6386" s="62" t="n">
        <v>47017</v>
      </c>
      <c r="B6386" s="3" t="inlineStr">
        <is>
          <t>Week</t>
        </is>
      </c>
      <c r="C6386" s="19" t="n">
        <v>9</v>
      </c>
      <c r="D6386" s="19" t="n">
        <v>2028</v>
      </c>
      <c r="E6386" s="57" t="n">
        <v>6</v>
      </c>
      <c r="F6386" s="29">
        <f>ROUND(((SUMIFS(Calendar!$F$2:$F$9997,Calendar!$B$2:$B$9997,D6386,Calendar!$C$2:$C$9997,C6386)*INDEX(ForeCalc!$B$37:$Y$274,MATCH(_xlfn.CONCAT(H6386," ",I6386),ForeCalc!$A$37:$A$274,0),MATCH(_xlfn.CONCAT(B6386," ",E6386),ForeCalc!$B$36:$Y$36,0))))*VLOOKUP(A6386,Calendar!$A$2:$H$9997,8,FALSE),0)</f>
        <v/>
      </c>
      <c r="G6386" s="29">
        <f>VLOOKUP(A6386,Calendar!$A$1:$H$9997,6,FALSE)-F6386</f>
        <v/>
      </c>
      <c r="H6386" s="19" t="n">
        <v>3</v>
      </c>
      <c r="I6386" s="57" t="n">
        <v>6</v>
      </c>
    </row>
    <row r="6387">
      <c r="A6387" s="62" t="n">
        <v>47018</v>
      </c>
      <c r="B6387" s="3" t="inlineStr">
        <is>
          <t>Week</t>
        </is>
      </c>
      <c r="C6387" s="19" t="n">
        <v>9</v>
      </c>
      <c r="D6387" s="19" t="n">
        <v>2028</v>
      </c>
      <c r="E6387" s="57" t="n">
        <v>6</v>
      </c>
      <c r="F6387" s="29">
        <f>ROUND(((SUMIFS(Calendar!$F$2:$F$9997,Calendar!$B$2:$B$9997,D6387,Calendar!$C$2:$C$9997,C6387)*INDEX(ForeCalc!$B$37:$Y$274,MATCH(_xlfn.CONCAT(H6387," ",I6387),ForeCalc!$A$37:$A$274,0),MATCH(_xlfn.CONCAT(B6387," ",E6387),ForeCalc!$B$36:$Y$36,0))))*VLOOKUP(A6387,Calendar!$A$2:$H$9997,8,FALSE),0)</f>
        <v/>
      </c>
      <c r="G6387" s="29">
        <f>VLOOKUP(A6387,Calendar!$A$1:$H$9997,6,FALSE)-F6387</f>
        <v/>
      </c>
      <c r="H6387" s="19" t="n">
        <v>3</v>
      </c>
      <c r="I6387" s="57" t="n">
        <v>6</v>
      </c>
    </row>
    <row r="6388">
      <c r="A6388" s="62" t="n">
        <v>47019</v>
      </c>
      <c r="B6388" s="3" t="inlineStr">
        <is>
          <t>Sat</t>
        </is>
      </c>
      <c r="C6388" s="19" t="n">
        <v>9</v>
      </c>
      <c r="D6388" s="19" t="n">
        <v>2028</v>
      </c>
      <c r="E6388" s="57" t="n">
        <v>6</v>
      </c>
      <c r="F6388" s="29">
        <f>ROUND(((SUMIFS(Calendar!$F$2:$F$9997,Calendar!$B$2:$B$9997,D6388,Calendar!$C$2:$C$9997,C6388)*INDEX(ForeCalc!$B$37:$Y$274,MATCH(_xlfn.CONCAT(H6388," ",I6388),ForeCalc!$A$37:$A$274,0),MATCH(_xlfn.CONCAT(B6388," ",E6388),ForeCalc!$B$36:$Y$36,0))))*VLOOKUP(A6388,Calendar!$A$2:$H$9997,8,FALSE),0)</f>
        <v/>
      </c>
      <c r="G6388" s="29">
        <f>VLOOKUP(A6388,Calendar!$A$1:$H$9997,6,FALSE)-F6388</f>
        <v/>
      </c>
      <c r="H6388" s="19" t="n">
        <v>3</v>
      </c>
      <c r="I6388" s="57" t="n">
        <v>6</v>
      </c>
    </row>
    <row r="6389">
      <c r="A6389" s="62" t="n">
        <v>47020</v>
      </c>
      <c r="B6389" s="3" t="inlineStr">
        <is>
          <t>Sun</t>
        </is>
      </c>
      <c r="C6389" s="19" t="n">
        <v>9</v>
      </c>
      <c r="D6389" s="19" t="n">
        <v>2028</v>
      </c>
      <c r="E6389" s="57" t="n">
        <v>6</v>
      </c>
      <c r="F6389" s="29">
        <f>ROUND(((SUMIFS(Calendar!$F$2:$F$9997,Calendar!$B$2:$B$9997,D6389,Calendar!$C$2:$C$9997,C6389)*INDEX(ForeCalc!$B$37:$Y$274,MATCH(_xlfn.CONCAT(H6389," ",I6389),ForeCalc!$A$37:$A$274,0),MATCH(_xlfn.CONCAT(B6389," ",E6389),ForeCalc!$B$36:$Y$36,0))))*VLOOKUP(A6389,Calendar!$A$2:$H$9997,8,FALSE),0)</f>
        <v/>
      </c>
      <c r="G6389" s="29">
        <f>VLOOKUP(A6389,Calendar!$A$1:$H$9997,6,FALSE)-F6389</f>
        <v/>
      </c>
      <c r="H6389" s="19" t="n">
        <v>3</v>
      </c>
      <c r="I6389" s="57" t="n">
        <v>6</v>
      </c>
    </row>
    <row r="6390">
      <c r="A6390" s="62" t="n">
        <v>47021</v>
      </c>
      <c r="B6390" s="3" t="inlineStr">
        <is>
          <t>Week</t>
        </is>
      </c>
      <c r="C6390" s="19" t="n">
        <v>9</v>
      </c>
      <c r="D6390" s="19" t="n">
        <v>2028</v>
      </c>
      <c r="E6390" s="57" t="n">
        <v>6</v>
      </c>
      <c r="F6390" s="29">
        <f>ROUND(((SUMIFS(Calendar!$F$2:$F$9997,Calendar!$B$2:$B$9997,D6390,Calendar!$C$2:$C$9997,C6390)*INDEX(ForeCalc!$B$37:$Y$274,MATCH(_xlfn.CONCAT(H6390," ",I6390),ForeCalc!$A$37:$A$274,0),MATCH(_xlfn.CONCAT(B6390," ",E6390),ForeCalc!$B$36:$Y$36,0))))*VLOOKUP(A6390,Calendar!$A$2:$H$9997,8,FALSE),0)</f>
        <v/>
      </c>
      <c r="G6390" s="29">
        <f>VLOOKUP(A6390,Calendar!$A$1:$H$9997,6,FALSE)-F6390</f>
        <v/>
      </c>
      <c r="H6390" s="19" t="n">
        <v>3</v>
      </c>
      <c r="I6390" s="57" t="n">
        <v>6</v>
      </c>
    </row>
    <row r="6391">
      <c r="A6391" s="62" t="n">
        <v>47022</v>
      </c>
      <c r="B6391" s="3" t="inlineStr">
        <is>
          <t>Week</t>
        </is>
      </c>
      <c r="C6391" s="19" t="n">
        <v>9</v>
      </c>
      <c r="D6391" s="19" t="n">
        <v>2028</v>
      </c>
      <c r="E6391" s="57" t="n">
        <v>6</v>
      </c>
      <c r="F6391" s="29">
        <f>ROUND(((SUMIFS(Calendar!$F$2:$F$9997,Calendar!$B$2:$B$9997,D6391,Calendar!$C$2:$C$9997,C6391)*INDEX(ForeCalc!$B$37:$Y$274,MATCH(_xlfn.CONCAT(H6391," ",I6391),ForeCalc!$A$37:$A$274,0),MATCH(_xlfn.CONCAT(B6391," ",E6391),ForeCalc!$B$36:$Y$36,0))))*VLOOKUP(A6391,Calendar!$A$2:$H$9997,8,FALSE),0)</f>
        <v/>
      </c>
      <c r="G6391" s="29">
        <f>VLOOKUP(A6391,Calendar!$A$1:$H$9997,6,FALSE)-F6391</f>
        <v/>
      </c>
      <c r="H6391" s="19" t="n">
        <v>3</v>
      </c>
      <c r="I6391" s="57" t="n">
        <v>6</v>
      </c>
    </row>
    <row r="6392">
      <c r="A6392" s="62" t="n">
        <v>47023</v>
      </c>
      <c r="B6392" s="3" t="inlineStr">
        <is>
          <t>Week</t>
        </is>
      </c>
      <c r="C6392" s="19" t="n">
        <v>9</v>
      </c>
      <c r="D6392" s="19" t="n">
        <v>2028</v>
      </c>
      <c r="E6392" s="57" t="n">
        <v>6</v>
      </c>
      <c r="F6392" s="29">
        <f>ROUND(((SUMIFS(Calendar!$F$2:$F$9997,Calendar!$B$2:$B$9997,D6392,Calendar!$C$2:$C$9997,C6392)*INDEX(ForeCalc!$B$37:$Y$274,MATCH(_xlfn.CONCAT(H6392," ",I6392),ForeCalc!$A$37:$A$274,0),MATCH(_xlfn.CONCAT(B6392," ",E6392),ForeCalc!$B$36:$Y$36,0))))*VLOOKUP(A6392,Calendar!$A$2:$H$9997,8,FALSE),0)</f>
        <v/>
      </c>
      <c r="G6392" s="29">
        <f>VLOOKUP(A6392,Calendar!$A$1:$H$9997,6,FALSE)-F6392</f>
        <v/>
      </c>
      <c r="H6392" s="19" t="n">
        <v>3</v>
      </c>
      <c r="I6392" s="57" t="n">
        <v>6</v>
      </c>
    </row>
    <row r="6393">
      <c r="A6393" s="62" t="n">
        <v>47024</v>
      </c>
      <c r="B6393" s="3" t="inlineStr">
        <is>
          <t>Week</t>
        </is>
      </c>
      <c r="C6393" s="19" t="n">
        <v>9</v>
      </c>
      <c r="D6393" s="19" t="n">
        <v>2028</v>
      </c>
      <c r="E6393" s="57" t="n">
        <v>6</v>
      </c>
      <c r="F6393" s="29">
        <f>ROUND(((SUMIFS(Calendar!$F$2:$F$9997,Calendar!$B$2:$B$9997,D6393,Calendar!$C$2:$C$9997,C6393)*INDEX(ForeCalc!$B$37:$Y$274,MATCH(_xlfn.CONCAT(H6393," ",I6393),ForeCalc!$A$37:$A$274,0),MATCH(_xlfn.CONCAT(B6393," ",E6393),ForeCalc!$B$36:$Y$36,0))))*VLOOKUP(A6393,Calendar!$A$2:$H$9997,8,FALSE),0)</f>
        <v/>
      </c>
      <c r="G6393" s="29">
        <f>VLOOKUP(A6393,Calendar!$A$1:$H$9997,6,FALSE)-F6393</f>
        <v/>
      </c>
      <c r="H6393" s="19" t="n">
        <v>3</v>
      </c>
      <c r="I6393" s="57" t="n">
        <v>6</v>
      </c>
    </row>
    <row r="6394">
      <c r="A6394" s="62" t="n">
        <v>47025</v>
      </c>
      <c r="B6394" s="3" t="inlineStr">
        <is>
          <t>Week</t>
        </is>
      </c>
      <c r="C6394" s="19" t="n">
        <v>9</v>
      </c>
      <c r="D6394" s="19" t="n">
        <v>2028</v>
      </c>
      <c r="E6394" s="57" t="n">
        <v>6</v>
      </c>
      <c r="F6394" s="29">
        <f>ROUND(((SUMIFS(Calendar!$F$2:$F$9997,Calendar!$B$2:$B$9997,D6394,Calendar!$C$2:$C$9997,C6394)*INDEX(ForeCalc!$B$37:$Y$274,MATCH(_xlfn.CONCAT(H6394," ",I6394),ForeCalc!$A$37:$A$274,0),MATCH(_xlfn.CONCAT(B6394," ",E6394),ForeCalc!$B$36:$Y$36,0))))*VLOOKUP(A6394,Calendar!$A$2:$H$9997,8,FALSE),0)</f>
        <v/>
      </c>
      <c r="G6394" s="29">
        <f>VLOOKUP(A6394,Calendar!$A$1:$H$9997,6,FALSE)-F6394</f>
        <v/>
      </c>
      <c r="H6394" s="19" t="n">
        <v>3</v>
      </c>
      <c r="I6394" s="57" t="n">
        <v>6</v>
      </c>
    </row>
    <row r="6395">
      <c r="A6395" s="62" t="n">
        <v>47026</v>
      </c>
      <c r="B6395" s="3" t="inlineStr">
        <is>
          <t>Sat</t>
        </is>
      </c>
      <c r="C6395" s="19" t="n">
        <v>9</v>
      </c>
      <c r="D6395" s="19" t="n">
        <v>2028</v>
      </c>
      <c r="E6395" s="57" t="n">
        <v>6</v>
      </c>
      <c r="F6395" s="29">
        <f>ROUND(((SUMIFS(Calendar!$F$2:$F$9997,Calendar!$B$2:$B$9997,D6395,Calendar!$C$2:$C$9997,C6395)*INDEX(ForeCalc!$B$37:$Y$274,MATCH(_xlfn.CONCAT(H6395," ",I6395),ForeCalc!$A$37:$A$274,0),MATCH(_xlfn.CONCAT(B6395," ",E6395),ForeCalc!$B$36:$Y$36,0))))*VLOOKUP(A6395,Calendar!$A$2:$H$9997,8,FALSE),0)</f>
        <v/>
      </c>
      <c r="G6395" s="29">
        <f>VLOOKUP(A6395,Calendar!$A$1:$H$9997,6,FALSE)-F6395</f>
        <v/>
      </c>
      <c r="H6395" s="19" t="n">
        <v>3</v>
      </c>
      <c r="I6395" s="57" t="n">
        <v>6</v>
      </c>
    </row>
    <row r="6396">
      <c r="A6396" s="62" t="n">
        <v>47027</v>
      </c>
      <c r="B6396" s="3" t="inlineStr">
        <is>
          <t>Sun</t>
        </is>
      </c>
      <c r="C6396" s="19" t="n">
        <v>10</v>
      </c>
      <c r="D6396" s="19" t="n">
        <v>2028</v>
      </c>
      <c r="E6396" s="57" t="n">
        <v>6</v>
      </c>
      <c r="F6396" s="29">
        <f>ROUND(((SUMIFS(Calendar!$F$2:$F$9997,Calendar!$B$2:$B$9997,D6396,Calendar!$C$2:$C$9997,C6396)*INDEX(ForeCalc!$B$37:$Y$274,MATCH(_xlfn.CONCAT(H6396," ",I6396),ForeCalc!$A$37:$A$274,0),MATCH(_xlfn.CONCAT(B6396," ",E6396),ForeCalc!$B$36:$Y$36,0))))*VLOOKUP(A6396,Calendar!$A$2:$H$9997,8,FALSE),0)</f>
        <v/>
      </c>
      <c r="G6396" s="29">
        <f>VLOOKUP(A6396,Calendar!$A$1:$H$9997,6,FALSE)-F6396</f>
        <v/>
      </c>
      <c r="H6396" s="19" t="n">
        <v>3</v>
      </c>
      <c r="I6396" s="57" t="n">
        <v>7</v>
      </c>
    </row>
    <row r="6397">
      <c r="A6397" s="62" t="n">
        <v>47028</v>
      </c>
      <c r="B6397" s="3" t="inlineStr">
        <is>
          <t>Week</t>
        </is>
      </c>
      <c r="C6397" s="19" t="n">
        <v>10</v>
      </c>
      <c r="D6397" s="19" t="n">
        <v>2028</v>
      </c>
      <c r="E6397" s="57" t="n">
        <v>6</v>
      </c>
      <c r="F6397" s="29">
        <f>ROUND(((SUMIFS(Calendar!$F$2:$F$9997,Calendar!$B$2:$B$9997,D6397,Calendar!$C$2:$C$9997,C6397)*INDEX(ForeCalc!$B$37:$Y$274,MATCH(_xlfn.CONCAT(H6397," ",I6397),ForeCalc!$A$37:$A$274,0),MATCH(_xlfn.CONCAT(B6397," ",E6397),ForeCalc!$B$36:$Y$36,0))))*VLOOKUP(A6397,Calendar!$A$2:$H$9997,8,FALSE),0)</f>
        <v/>
      </c>
      <c r="G6397" s="29">
        <f>VLOOKUP(A6397,Calendar!$A$1:$H$9997,6,FALSE)-F6397</f>
        <v/>
      </c>
      <c r="H6397" s="19" t="n">
        <v>3</v>
      </c>
      <c r="I6397" s="57" t="n">
        <v>7</v>
      </c>
    </row>
    <row r="6398">
      <c r="A6398" s="62" t="n">
        <v>47029</v>
      </c>
      <c r="B6398" s="3" t="inlineStr">
        <is>
          <t>Week</t>
        </is>
      </c>
      <c r="C6398" s="19" t="n">
        <v>10</v>
      </c>
      <c r="D6398" s="19" t="n">
        <v>2028</v>
      </c>
      <c r="E6398" s="57" t="n">
        <v>6</v>
      </c>
      <c r="F6398" s="29">
        <f>ROUND(((SUMIFS(Calendar!$F$2:$F$9997,Calendar!$B$2:$B$9997,D6398,Calendar!$C$2:$C$9997,C6398)*INDEX(ForeCalc!$B$37:$Y$274,MATCH(_xlfn.CONCAT(H6398," ",I6398),ForeCalc!$A$37:$A$274,0),MATCH(_xlfn.CONCAT(B6398," ",E6398),ForeCalc!$B$36:$Y$36,0))))*VLOOKUP(A6398,Calendar!$A$2:$H$9997,8,FALSE),0)</f>
        <v/>
      </c>
      <c r="G6398" s="29">
        <f>VLOOKUP(A6398,Calendar!$A$1:$H$9997,6,FALSE)-F6398</f>
        <v/>
      </c>
      <c r="H6398" s="19" t="n">
        <v>3</v>
      </c>
      <c r="I6398" s="57" t="n">
        <v>7</v>
      </c>
    </row>
    <row r="6399">
      <c r="A6399" s="62" t="n">
        <v>47030</v>
      </c>
      <c r="B6399" s="3" t="inlineStr">
        <is>
          <t>Week</t>
        </is>
      </c>
      <c r="C6399" s="19" t="n">
        <v>10</v>
      </c>
      <c r="D6399" s="19" t="n">
        <v>2028</v>
      </c>
      <c r="E6399" s="57" t="n">
        <v>6</v>
      </c>
      <c r="F6399" s="29">
        <f>ROUND(((SUMIFS(Calendar!$F$2:$F$9997,Calendar!$B$2:$B$9997,D6399,Calendar!$C$2:$C$9997,C6399)*INDEX(ForeCalc!$B$37:$Y$274,MATCH(_xlfn.CONCAT(H6399," ",I6399),ForeCalc!$A$37:$A$274,0),MATCH(_xlfn.CONCAT(B6399," ",E6399),ForeCalc!$B$36:$Y$36,0))))*VLOOKUP(A6399,Calendar!$A$2:$H$9997,8,FALSE),0)</f>
        <v/>
      </c>
      <c r="G6399" s="29">
        <f>VLOOKUP(A6399,Calendar!$A$1:$H$9997,6,FALSE)-F6399</f>
        <v/>
      </c>
      <c r="H6399" s="19" t="n">
        <v>3</v>
      </c>
      <c r="I6399" s="57" t="n">
        <v>7</v>
      </c>
    </row>
    <row r="6400">
      <c r="A6400" s="62" t="n">
        <v>47031</v>
      </c>
      <c r="B6400" s="3" t="inlineStr">
        <is>
          <t>Week</t>
        </is>
      </c>
      <c r="C6400" s="19" t="n">
        <v>10</v>
      </c>
      <c r="D6400" s="19" t="n">
        <v>2028</v>
      </c>
      <c r="E6400" s="57" t="n">
        <v>6</v>
      </c>
      <c r="F6400" s="29">
        <f>ROUND(((SUMIFS(Calendar!$F$2:$F$9997,Calendar!$B$2:$B$9997,D6400,Calendar!$C$2:$C$9997,C6400)*INDEX(ForeCalc!$B$37:$Y$274,MATCH(_xlfn.CONCAT(H6400," ",I6400),ForeCalc!$A$37:$A$274,0),MATCH(_xlfn.CONCAT(B6400," ",E6400),ForeCalc!$B$36:$Y$36,0))))*VLOOKUP(A6400,Calendar!$A$2:$H$9997,8,FALSE),0)</f>
        <v/>
      </c>
      <c r="G6400" s="29">
        <f>VLOOKUP(A6400,Calendar!$A$1:$H$9997,6,FALSE)-F6400</f>
        <v/>
      </c>
      <c r="H6400" s="19" t="n">
        <v>3</v>
      </c>
      <c r="I6400" s="57" t="n">
        <v>7</v>
      </c>
    </row>
    <row r="6401">
      <c r="A6401" s="62" t="n">
        <v>47032</v>
      </c>
      <c r="B6401" s="3" t="inlineStr">
        <is>
          <t>Week</t>
        </is>
      </c>
      <c r="C6401" s="19" t="n">
        <v>10</v>
      </c>
      <c r="D6401" s="19" t="n">
        <v>2028</v>
      </c>
      <c r="E6401" s="57" t="n">
        <v>6</v>
      </c>
      <c r="F6401" s="29">
        <f>ROUND(((SUMIFS(Calendar!$F$2:$F$9997,Calendar!$B$2:$B$9997,D6401,Calendar!$C$2:$C$9997,C6401)*INDEX(ForeCalc!$B$37:$Y$274,MATCH(_xlfn.CONCAT(H6401," ",I6401),ForeCalc!$A$37:$A$274,0),MATCH(_xlfn.CONCAT(B6401," ",E6401),ForeCalc!$B$36:$Y$36,0))))*VLOOKUP(A6401,Calendar!$A$2:$H$9997,8,FALSE),0)</f>
        <v/>
      </c>
      <c r="G6401" s="29">
        <f>VLOOKUP(A6401,Calendar!$A$1:$H$9997,6,FALSE)-F6401</f>
        <v/>
      </c>
      <c r="H6401" s="19" t="n">
        <v>3</v>
      </c>
      <c r="I6401" s="57" t="n">
        <v>7</v>
      </c>
    </row>
    <row r="6402">
      <c r="A6402" s="62" t="n">
        <v>47033</v>
      </c>
      <c r="B6402" s="3" t="inlineStr">
        <is>
          <t>Sat</t>
        </is>
      </c>
      <c r="C6402" s="19" t="n">
        <v>10</v>
      </c>
      <c r="D6402" s="19" t="n">
        <v>2028</v>
      </c>
      <c r="E6402" s="57" t="n">
        <v>6</v>
      </c>
      <c r="F6402" s="29">
        <f>ROUND(((SUMIFS(Calendar!$F$2:$F$9997,Calendar!$B$2:$B$9997,D6402,Calendar!$C$2:$C$9997,C6402)*INDEX(ForeCalc!$B$37:$Y$274,MATCH(_xlfn.CONCAT(H6402," ",I6402),ForeCalc!$A$37:$A$274,0),MATCH(_xlfn.CONCAT(B6402," ",E6402),ForeCalc!$B$36:$Y$36,0))))*VLOOKUP(A6402,Calendar!$A$2:$H$9997,8,FALSE),0)</f>
        <v/>
      </c>
      <c r="G6402" s="29">
        <f>VLOOKUP(A6402,Calendar!$A$1:$H$9997,6,FALSE)-F6402</f>
        <v/>
      </c>
      <c r="H6402" s="19" t="n">
        <v>3</v>
      </c>
      <c r="I6402" s="57" t="n">
        <v>7</v>
      </c>
    </row>
    <row r="6403">
      <c r="A6403" s="62" t="n">
        <v>47034</v>
      </c>
      <c r="B6403" s="3" t="inlineStr">
        <is>
          <t>Sun</t>
        </is>
      </c>
      <c r="C6403" s="19" t="n">
        <v>10</v>
      </c>
      <c r="D6403" s="19" t="n">
        <v>2028</v>
      </c>
      <c r="E6403" s="57" t="n">
        <v>6</v>
      </c>
      <c r="F6403" s="29">
        <f>ROUND(((SUMIFS(Calendar!$F$2:$F$9997,Calendar!$B$2:$B$9997,D6403,Calendar!$C$2:$C$9997,C6403)*INDEX(ForeCalc!$B$37:$Y$274,MATCH(_xlfn.CONCAT(H6403," ",I6403),ForeCalc!$A$37:$A$274,0),MATCH(_xlfn.CONCAT(B6403," ",E6403),ForeCalc!$B$36:$Y$36,0))))*VLOOKUP(A6403,Calendar!$A$2:$H$9997,8,FALSE),0)</f>
        <v/>
      </c>
      <c r="G6403" s="29">
        <f>VLOOKUP(A6403,Calendar!$A$1:$H$9997,6,FALSE)-F6403</f>
        <v/>
      </c>
      <c r="H6403" s="19" t="n">
        <v>3</v>
      </c>
      <c r="I6403" s="57" t="n">
        <v>7</v>
      </c>
    </row>
    <row r="6404">
      <c r="A6404" s="62" t="n">
        <v>47035</v>
      </c>
      <c r="B6404" s="3" t="inlineStr">
        <is>
          <t>Week</t>
        </is>
      </c>
      <c r="C6404" s="19" t="n">
        <v>10</v>
      </c>
      <c r="D6404" s="19" t="n">
        <v>2028</v>
      </c>
      <c r="E6404" s="57" t="n">
        <v>6</v>
      </c>
      <c r="F6404" s="29">
        <f>ROUND(((SUMIFS(Calendar!$F$2:$F$9997,Calendar!$B$2:$B$9997,D6404,Calendar!$C$2:$C$9997,C6404)*INDEX(ForeCalc!$B$37:$Y$274,MATCH(_xlfn.CONCAT(H6404," ",I6404),ForeCalc!$A$37:$A$274,0),MATCH(_xlfn.CONCAT(B6404," ",E6404),ForeCalc!$B$36:$Y$36,0))))*VLOOKUP(A6404,Calendar!$A$2:$H$9997,8,FALSE),0)</f>
        <v/>
      </c>
      <c r="G6404" s="29">
        <f>VLOOKUP(A6404,Calendar!$A$1:$H$9997,6,FALSE)-F6404</f>
        <v/>
      </c>
      <c r="H6404" s="19" t="n">
        <v>3</v>
      </c>
      <c r="I6404" s="57" t="n">
        <v>7</v>
      </c>
    </row>
    <row r="6405">
      <c r="A6405" s="62" t="n">
        <v>47036</v>
      </c>
      <c r="B6405" s="3" t="inlineStr">
        <is>
          <t>Week</t>
        </is>
      </c>
      <c r="C6405" s="19" t="n">
        <v>10</v>
      </c>
      <c r="D6405" s="19" t="n">
        <v>2028</v>
      </c>
      <c r="E6405" s="57" t="n">
        <v>6</v>
      </c>
      <c r="F6405" s="29">
        <f>ROUND(((SUMIFS(Calendar!$F$2:$F$9997,Calendar!$B$2:$B$9997,D6405,Calendar!$C$2:$C$9997,C6405)*INDEX(ForeCalc!$B$37:$Y$274,MATCH(_xlfn.CONCAT(H6405," ",I6405),ForeCalc!$A$37:$A$274,0),MATCH(_xlfn.CONCAT(B6405," ",E6405),ForeCalc!$B$36:$Y$36,0))))*VLOOKUP(A6405,Calendar!$A$2:$H$9997,8,FALSE),0)</f>
        <v/>
      </c>
      <c r="G6405" s="29">
        <f>VLOOKUP(A6405,Calendar!$A$1:$H$9997,6,FALSE)-F6405</f>
        <v/>
      </c>
      <c r="H6405" s="19" t="n">
        <v>3</v>
      </c>
      <c r="I6405" s="57" t="n">
        <v>7</v>
      </c>
    </row>
    <row r="6406">
      <c r="A6406" s="62" t="n">
        <v>47037</v>
      </c>
      <c r="B6406" s="3" t="inlineStr">
        <is>
          <t>Week</t>
        </is>
      </c>
      <c r="C6406" s="19" t="n">
        <v>10</v>
      </c>
      <c r="D6406" s="19" t="n">
        <v>2028</v>
      </c>
      <c r="E6406" s="57" t="n">
        <v>6</v>
      </c>
      <c r="F6406" s="29">
        <f>ROUND(((SUMIFS(Calendar!$F$2:$F$9997,Calendar!$B$2:$B$9997,D6406,Calendar!$C$2:$C$9997,C6406)*INDEX(ForeCalc!$B$37:$Y$274,MATCH(_xlfn.CONCAT(H6406," ",I6406),ForeCalc!$A$37:$A$274,0),MATCH(_xlfn.CONCAT(B6406," ",E6406),ForeCalc!$B$36:$Y$36,0))))*VLOOKUP(A6406,Calendar!$A$2:$H$9997,8,FALSE),0)</f>
        <v/>
      </c>
      <c r="G6406" s="29">
        <f>VLOOKUP(A6406,Calendar!$A$1:$H$9997,6,FALSE)-F6406</f>
        <v/>
      </c>
      <c r="H6406" s="19" t="n">
        <v>3</v>
      </c>
      <c r="I6406" s="57" t="n">
        <v>7</v>
      </c>
    </row>
    <row r="6407">
      <c r="A6407" s="62" t="n">
        <v>47038</v>
      </c>
      <c r="B6407" s="3" t="inlineStr">
        <is>
          <t>Week</t>
        </is>
      </c>
      <c r="C6407" s="19" t="n">
        <v>10</v>
      </c>
      <c r="D6407" s="19" t="n">
        <v>2028</v>
      </c>
      <c r="E6407" s="57" t="n">
        <v>6</v>
      </c>
      <c r="F6407" s="29">
        <f>ROUND(((SUMIFS(Calendar!$F$2:$F$9997,Calendar!$B$2:$B$9997,D6407,Calendar!$C$2:$C$9997,C6407)*INDEX(ForeCalc!$B$37:$Y$274,MATCH(_xlfn.CONCAT(H6407," ",I6407),ForeCalc!$A$37:$A$274,0),MATCH(_xlfn.CONCAT(B6407," ",E6407),ForeCalc!$B$36:$Y$36,0))))*VLOOKUP(A6407,Calendar!$A$2:$H$9997,8,FALSE),0)</f>
        <v/>
      </c>
      <c r="G6407" s="29">
        <f>VLOOKUP(A6407,Calendar!$A$1:$H$9997,6,FALSE)-F6407</f>
        <v/>
      </c>
      <c r="H6407" s="19" t="n">
        <v>3</v>
      </c>
      <c r="I6407" s="57" t="n">
        <v>7</v>
      </c>
    </row>
    <row r="6408">
      <c r="A6408" s="62" t="n">
        <v>47039</v>
      </c>
      <c r="B6408" s="3" t="inlineStr">
        <is>
          <t>Week</t>
        </is>
      </c>
      <c r="C6408" s="19" t="n">
        <v>10</v>
      </c>
      <c r="D6408" s="19" t="n">
        <v>2028</v>
      </c>
      <c r="E6408" s="57" t="n">
        <v>6</v>
      </c>
      <c r="F6408" s="29">
        <f>ROUND(((SUMIFS(Calendar!$F$2:$F$9997,Calendar!$B$2:$B$9997,D6408,Calendar!$C$2:$C$9997,C6408)*INDEX(ForeCalc!$B$37:$Y$274,MATCH(_xlfn.CONCAT(H6408," ",I6408),ForeCalc!$A$37:$A$274,0),MATCH(_xlfn.CONCAT(B6408," ",E6408),ForeCalc!$B$36:$Y$36,0))))*VLOOKUP(A6408,Calendar!$A$2:$H$9997,8,FALSE),0)</f>
        <v/>
      </c>
      <c r="G6408" s="29">
        <f>VLOOKUP(A6408,Calendar!$A$1:$H$9997,6,FALSE)-F6408</f>
        <v/>
      </c>
      <c r="H6408" s="19" t="n">
        <v>3</v>
      </c>
      <c r="I6408" s="57" t="n">
        <v>7</v>
      </c>
    </row>
    <row r="6409">
      <c r="A6409" s="62" t="n">
        <v>47040</v>
      </c>
      <c r="B6409" s="3" t="inlineStr">
        <is>
          <t>Sat</t>
        </is>
      </c>
      <c r="C6409" s="19" t="n">
        <v>10</v>
      </c>
      <c r="D6409" s="19" t="n">
        <v>2028</v>
      </c>
      <c r="E6409" s="57" t="n">
        <v>6</v>
      </c>
      <c r="F6409" s="29">
        <f>ROUND(((SUMIFS(Calendar!$F$2:$F$9997,Calendar!$B$2:$B$9997,D6409,Calendar!$C$2:$C$9997,C6409)*INDEX(ForeCalc!$B$37:$Y$274,MATCH(_xlfn.CONCAT(H6409," ",I6409),ForeCalc!$A$37:$A$274,0),MATCH(_xlfn.CONCAT(B6409," ",E6409),ForeCalc!$B$36:$Y$36,0))))*VLOOKUP(A6409,Calendar!$A$2:$H$9997,8,FALSE),0)</f>
        <v/>
      </c>
      <c r="G6409" s="29">
        <f>VLOOKUP(A6409,Calendar!$A$1:$H$9997,6,FALSE)-F6409</f>
        <v/>
      </c>
      <c r="H6409" s="19" t="n">
        <v>3</v>
      </c>
      <c r="I6409" s="57" t="n">
        <v>7</v>
      </c>
    </row>
    <row r="6410">
      <c r="A6410" s="62" t="n">
        <v>47041</v>
      </c>
      <c r="B6410" s="3" t="inlineStr">
        <is>
          <t>Sun</t>
        </is>
      </c>
      <c r="C6410" s="19" t="n">
        <v>10</v>
      </c>
      <c r="D6410" s="19" t="n">
        <v>2028</v>
      </c>
      <c r="E6410" s="57" t="n">
        <v>6</v>
      </c>
      <c r="F6410" s="29">
        <f>ROUND(((SUMIFS(Calendar!$F$2:$F$9997,Calendar!$B$2:$B$9997,D6410,Calendar!$C$2:$C$9997,C6410)*INDEX(ForeCalc!$B$37:$Y$274,MATCH(_xlfn.CONCAT(H6410," ",I6410),ForeCalc!$A$37:$A$274,0),MATCH(_xlfn.CONCAT(B6410," ",E6410),ForeCalc!$B$36:$Y$36,0))))*VLOOKUP(A6410,Calendar!$A$2:$H$9997,8,FALSE),0)</f>
        <v/>
      </c>
      <c r="G6410" s="29">
        <f>VLOOKUP(A6410,Calendar!$A$1:$H$9997,6,FALSE)-F6410</f>
        <v/>
      </c>
      <c r="H6410" s="19" t="n">
        <v>3</v>
      </c>
      <c r="I6410" s="57" t="n">
        <v>7</v>
      </c>
    </row>
    <row r="6411">
      <c r="A6411" s="62" t="n">
        <v>47042</v>
      </c>
      <c r="B6411" s="3" t="inlineStr">
        <is>
          <t>Week</t>
        </is>
      </c>
      <c r="C6411" s="19" t="n">
        <v>10</v>
      </c>
      <c r="D6411" s="19" t="n">
        <v>2028</v>
      </c>
      <c r="E6411" s="57" t="n">
        <v>6</v>
      </c>
      <c r="F6411" s="29">
        <f>ROUND(((SUMIFS(Calendar!$F$2:$F$9997,Calendar!$B$2:$B$9997,D6411,Calendar!$C$2:$C$9997,C6411)*INDEX(ForeCalc!$B$37:$Y$274,MATCH(_xlfn.CONCAT(H6411," ",I6411),ForeCalc!$A$37:$A$274,0),MATCH(_xlfn.CONCAT(B6411," ",E6411),ForeCalc!$B$36:$Y$36,0))))*VLOOKUP(A6411,Calendar!$A$2:$H$9997,8,FALSE),0)</f>
        <v/>
      </c>
      <c r="G6411" s="29">
        <f>VLOOKUP(A6411,Calendar!$A$1:$H$9997,6,FALSE)-F6411</f>
        <v/>
      </c>
      <c r="H6411" s="19" t="n">
        <v>3</v>
      </c>
      <c r="I6411" s="57" t="n">
        <v>7</v>
      </c>
    </row>
    <row r="6412">
      <c r="A6412" s="62" t="n">
        <v>47043</v>
      </c>
      <c r="B6412" s="3" t="inlineStr">
        <is>
          <t>Week</t>
        </is>
      </c>
      <c r="C6412" s="19" t="n">
        <v>10</v>
      </c>
      <c r="D6412" s="19" t="n">
        <v>2028</v>
      </c>
      <c r="E6412" s="57" t="n">
        <v>6</v>
      </c>
      <c r="F6412" s="29">
        <f>ROUND(((SUMIFS(Calendar!$F$2:$F$9997,Calendar!$B$2:$B$9997,D6412,Calendar!$C$2:$C$9997,C6412)*INDEX(ForeCalc!$B$37:$Y$274,MATCH(_xlfn.CONCAT(H6412," ",I6412),ForeCalc!$A$37:$A$274,0),MATCH(_xlfn.CONCAT(B6412," ",E6412),ForeCalc!$B$36:$Y$36,0))))*VLOOKUP(A6412,Calendar!$A$2:$H$9997,8,FALSE),0)</f>
        <v/>
      </c>
      <c r="G6412" s="29">
        <f>VLOOKUP(A6412,Calendar!$A$1:$H$9997,6,FALSE)-F6412</f>
        <v/>
      </c>
      <c r="H6412" s="19" t="n">
        <v>3</v>
      </c>
      <c r="I6412" s="57" t="n">
        <v>7</v>
      </c>
    </row>
    <row r="6413">
      <c r="A6413" s="62" t="n">
        <v>47044</v>
      </c>
      <c r="B6413" s="3" t="inlineStr">
        <is>
          <t>Week</t>
        </is>
      </c>
      <c r="C6413" s="19" t="n">
        <v>10</v>
      </c>
      <c r="D6413" s="19" t="n">
        <v>2028</v>
      </c>
      <c r="E6413" s="57" t="n">
        <v>6</v>
      </c>
      <c r="F6413" s="29">
        <f>ROUND(((SUMIFS(Calendar!$F$2:$F$9997,Calendar!$B$2:$B$9997,D6413,Calendar!$C$2:$C$9997,C6413)*INDEX(ForeCalc!$B$37:$Y$274,MATCH(_xlfn.CONCAT(H6413," ",I6413),ForeCalc!$A$37:$A$274,0),MATCH(_xlfn.CONCAT(B6413," ",E6413),ForeCalc!$B$36:$Y$36,0))))*VLOOKUP(A6413,Calendar!$A$2:$H$9997,8,FALSE),0)</f>
        <v/>
      </c>
      <c r="G6413" s="29">
        <f>VLOOKUP(A6413,Calendar!$A$1:$H$9997,6,FALSE)-F6413</f>
        <v/>
      </c>
      <c r="H6413" s="19" t="n">
        <v>3</v>
      </c>
      <c r="I6413" s="57" t="n">
        <v>7</v>
      </c>
    </row>
    <row r="6414">
      <c r="A6414" s="62" t="n">
        <v>47045</v>
      </c>
      <c r="B6414" s="3" t="inlineStr">
        <is>
          <t>Week</t>
        </is>
      </c>
      <c r="C6414" s="19" t="n">
        <v>10</v>
      </c>
      <c r="D6414" s="19" t="n">
        <v>2028</v>
      </c>
      <c r="E6414" s="57" t="n">
        <v>6</v>
      </c>
      <c r="F6414" s="29">
        <f>ROUND(((SUMIFS(Calendar!$F$2:$F$9997,Calendar!$B$2:$B$9997,D6414,Calendar!$C$2:$C$9997,C6414)*INDEX(ForeCalc!$B$37:$Y$274,MATCH(_xlfn.CONCAT(H6414," ",I6414),ForeCalc!$A$37:$A$274,0),MATCH(_xlfn.CONCAT(B6414," ",E6414),ForeCalc!$B$36:$Y$36,0))))*VLOOKUP(A6414,Calendar!$A$2:$H$9997,8,FALSE),0)</f>
        <v/>
      </c>
      <c r="G6414" s="29">
        <f>VLOOKUP(A6414,Calendar!$A$1:$H$9997,6,FALSE)-F6414</f>
        <v/>
      </c>
      <c r="H6414" s="19" t="n">
        <v>3</v>
      </c>
      <c r="I6414" s="57" t="n">
        <v>7</v>
      </c>
    </row>
    <row r="6415">
      <c r="A6415" s="62" t="n">
        <v>47046</v>
      </c>
      <c r="B6415" s="3" t="inlineStr">
        <is>
          <t>Week</t>
        </is>
      </c>
      <c r="C6415" s="19" t="n">
        <v>10</v>
      </c>
      <c r="D6415" s="19" t="n">
        <v>2028</v>
      </c>
      <c r="E6415" s="57" t="n">
        <v>6</v>
      </c>
      <c r="F6415" s="29">
        <f>ROUND(((SUMIFS(Calendar!$F$2:$F$9997,Calendar!$B$2:$B$9997,D6415,Calendar!$C$2:$C$9997,C6415)*INDEX(ForeCalc!$B$37:$Y$274,MATCH(_xlfn.CONCAT(H6415," ",I6415),ForeCalc!$A$37:$A$274,0),MATCH(_xlfn.CONCAT(B6415," ",E6415),ForeCalc!$B$36:$Y$36,0))))*VLOOKUP(A6415,Calendar!$A$2:$H$9997,8,FALSE),0)</f>
        <v/>
      </c>
      <c r="G6415" s="29">
        <f>VLOOKUP(A6415,Calendar!$A$1:$H$9997,6,FALSE)-F6415</f>
        <v/>
      </c>
      <c r="H6415" s="19" t="n">
        <v>3</v>
      </c>
      <c r="I6415" s="57" t="n">
        <v>7</v>
      </c>
    </row>
    <row r="6416">
      <c r="A6416" s="62" t="n">
        <v>47047</v>
      </c>
      <c r="B6416" s="3" t="inlineStr">
        <is>
          <t>Sat</t>
        </is>
      </c>
      <c r="C6416" s="19" t="n">
        <v>10</v>
      </c>
      <c r="D6416" s="19" t="n">
        <v>2028</v>
      </c>
      <c r="E6416" s="57" t="n">
        <v>6</v>
      </c>
      <c r="F6416" s="29">
        <f>ROUND(((SUMIFS(Calendar!$F$2:$F$9997,Calendar!$B$2:$B$9997,D6416,Calendar!$C$2:$C$9997,C6416)*INDEX(ForeCalc!$B$37:$Y$274,MATCH(_xlfn.CONCAT(H6416," ",I6416),ForeCalc!$A$37:$A$274,0),MATCH(_xlfn.CONCAT(B6416," ",E6416),ForeCalc!$B$36:$Y$36,0))))*VLOOKUP(A6416,Calendar!$A$2:$H$9997,8,FALSE),0)</f>
        <v/>
      </c>
      <c r="G6416" s="29">
        <f>VLOOKUP(A6416,Calendar!$A$1:$H$9997,6,FALSE)-F6416</f>
        <v/>
      </c>
      <c r="H6416" s="19" t="n">
        <v>3</v>
      </c>
      <c r="I6416" s="57" t="n">
        <v>7</v>
      </c>
    </row>
    <row r="6417">
      <c r="A6417" s="62" t="n">
        <v>47048</v>
      </c>
      <c r="B6417" s="3" t="inlineStr">
        <is>
          <t>Sun</t>
        </is>
      </c>
      <c r="C6417" s="19" t="n">
        <v>10</v>
      </c>
      <c r="D6417" s="19" t="n">
        <v>2028</v>
      </c>
      <c r="E6417" s="57" t="n">
        <v>6</v>
      </c>
      <c r="F6417" s="29">
        <f>ROUND(((SUMIFS(Calendar!$F$2:$F$9997,Calendar!$B$2:$B$9997,D6417,Calendar!$C$2:$C$9997,C6417)*INDEX(ForeCalc!$B$37:$Y$274,MATCH(_xlfn.CONCAT(H6417," ",I6417),ForeCalc!$A$37:$A$274,0),MATCH(_xlfn.CONCAT(B6417," ",E6417),ForeCalc!$B$36:$Y$36,0))))*VLOOKUP(A6417,Calendar!$A$2:$H$9997,8,FALSE),0)</f>
        <v/>
      </c>
      <c r="G6417" s="29">
        <f>VLOOKUP(A6417,Calendar!$A$1:$H$9997,6,FALSE)-F6417</f>
        <v/>
      </c>
      <c r="H6417" s="19" t="n">
        <v>3</v>
      </c>
      <c r="I6417" s="57" t="n">
        <v>7</v>
      </c>
    </row>
    <row r="6418">
      <c r="A6418" s="62" t="n">
        <v>47049</v>
      </c>
      <c r="B6418" s="3" t="inlineStr">
        <is>
          <t>Week</t>
        </is>
      </c>
      <c r="C6418" s="19" t="n">
        <v>10</v>
      </c>
      <c r="D6418" s="19" t="n">
        <v>2028</v>
      </c>
      <c r="E6418" s="57" t="n">
        <v>6</v>
      </c>
      <c r="F6418" s="29">
        <f>ROUND(((SUMIFS(Calendar!$F$2:$F$9997,Calendar!$B$2:$B$9997,D6418,Calendar!$C$2:$C$9997,C6418)*INDEX(ForeCalc!$B$37:$Y$274,MATCH(_xlfn.CONCAT(H6418," ",I6418),ForeCalc!$A$37:$A$274,0),MATCH(_xlfn.CONCAT(B6418," ",E6418),ForeCalc!$B$36:$Y$36,0))))*VLOOKUP(A6418,Calendar!$A$2:$H$9997,8,FALSE),0)</f>
        <v/>
      </c>
      <c r="G6418" s="29">
        <f>VLOOKUP(A6418,Calendar!$A$1:$H$9997,6,FALSE)-F6418</f>
        <v/>
      </c>
      <c r="H6418" s="19" t="n">
        <v>3</v>
      </c>
      <c r="I6418" s="57" t="n">
        <v>7</v>
      </c>
    </row>
    <row r="6419">
      <c r="A6419" s="62" t="n">
        <v>47050</v>
      </c>
      <c r="B6419" s="3" t="inlineStr">
        <is>
          <t>Week</t>
        </is>
      </c>
      <c r="C6419" s="19" t="n">
        <v>10</v>
      </c>
      <c r="D6419" s="19" t="n">
        <v>2028</v>
      </c>
      <c r="E6419" s="57" t="n">
        <v>6</v>
      </c>
      <c r="F6419" s="29">
        <f>ROUND(((SUMIFS(Calendar!$F$2:$F$9997,Calendar!$B$2:$B$9997,D6419,Calendar!$C$2:$C$9997,C6419)*INDEX(ForeCalc!$B$37:$Y$274,MATCH(_xlfn.CONCAT(H6419," ",I6419),ForeCalc!$A$37:$A$274,0),MATCH(_xlfn.CONCAT(B6419," ",E6419),ForeCalc!$B$36:$Y$36,0))))*VLOOKUP(A6419,Calendar!$A$2:$H$9997,8,FALSE),0)</f>
        <v/>
      </c>
      <c r="G6419" s="29">
        <f>VLOOKUP(A6419,Calendar!$A$1:$H$9997,6,FALSE)-F6419</f>
        <v/>
      </c>
      <c r="H6419" s="19" t="n">
        <v>3</v>
      </c>
      <c r="I6419" s="57" t="n">
        <v>7</v>
      </c>
    </row>
    <row r="6420">
      <c r="A6420" s="62" t="n">
        <v>47051</v>
      </c>
      <c r="B6420" s="3" t="inlineStr">
        <is>
          <t>Week</t>
        </is>
      </c>
      <c r="C6420" s="19" t="n">
        <v>10</v>
      </c>
      <c r="D6420" s="19" t="n">
        <v>2028</v>
      </c>
      <c r="E6420" s="57" t="n">
        <v>6</v>
      </c>
      <c r="F6420" s="29">
        <f>ROUND(((SUMIFS(Calendar!$F$2:$F$9997,Calendar!$B$2:$B$9997,D6420,Calendar!$C$2:$C$9997,C6420)*INDEX(ForeCalc!$B$37:$Y$274,MATCH(_xlfn.CONCAT(H6420," ",I6420),ForeCalc!$A$37:$A$274,0),MATCH(_xlfn.CONCAT(B6420," ",E6420),ForeCalc!$B$36:$Y$36,0))))*VLOOKUP(A6420,Calendar!$A$2:$H$9997,8,FALSE),0)</f>
        <v/>
      </c>
      <c r="G6420" s="29">
        <f>VLOOKUP(A6420,Calendar!$A$1:$H$9997,6,FALSE)-F6420</f>
        <v/>
      </c>
      <c r="H6420" s="19" t="n">
        <v>3</v>
      </c>
      <c r="I6420" s="57" t="n">
        <v>7</v>
      </c>
    </row>
    <row r="6421">
      <c r="A6421" s="62" t="n">
        <v>47052</v>
      </c>
      <c r="B6421" s="3" t="inlineStr">
        <is>
          <t>Week</t>
        </is>
      </c>
      <c r="C6421" s="19" t="n">
        <v>10</v>
      </c>
      <c r="D6421" s="19" t="n">
        <v>2028</v>
      </c>
      <c r="E6421" s="57" t="n">
        <v>6</v>
      </c>
      <c r="F6421" s="29">
        <f>ROUND(((SUMIFS(Calendar!$F$2:$F$9997,Calendar!$B$2:$B$9997,D6421,Calendar!$C$2:$C$9997,C6421)*INDEX(ForeCalc!$B$37:$Y$274,MATCH(_xlfn.CONCAT(H6421," ",I6421),ForeCalc!$A$37:$A$274,0),MATCH(_xlfn.CONCAT(B6421," ",E6421),ForeCalc!$B$36:$Y$36,0))))*VLOOKUP(A6421,Calendar!$A$2:$H$9997,8,FALSE),0)</f>
        <v/>
      </c>
      <c r="G6421" s="29">
        <f>VLOOKUP(A6421,Calendar!$A$1:$H$9997,6,FALSE)-F6421</f>
        <v/>
      </c>
      <c r="H6421" s="19" t="n">
        <v>3</v>
      </c>
      <c r="I6421" s="57" t="n">
        <v>7</v>
      </c>
    </row>
    <row r="6422">
      <c r="A6422" s="62" t="n">
        <v>47053</v>
      </c>
      <c r="B6422" s="3" t="inlineStr">
        <is>
          <t>Week</t>
        </is>
      </c>
      <c r="C6422" s="19" t="n">
        <v>10</v>
      </c>
      <c r="D6422" s="19" t="n">
        <v>2028</v>
      </c>
      <c r="E6422" s="57" t="n">
        <v>6</v>
      </c>
      <c r="F6422" s="29">
        <f>ROUND(((SUMIFS(Calendar!$F$2:$F$9997,Calendar!$B$2:$B$9997,D6422,Calendar!$C$2:$C$9997,C6422)*INDEX(ForeCalc!$B$37:$Y$274,MATCH(_xlfn.CONCAT(H6422," ",I6422),ForeCalc!$A$37:$A$274,0),MATCH(_xlfn.CONCAT(B6422," ",E6422),ForeCalc!$B$36:$Y$36,0))))*VLOOKUP(A6422,Calendar!$A$2:$H$9997,8,FALSE),0)</f>
        <v/>
      </c>
      <c r="G6422" s="29">
        <f>VLOOKUP(A6422,Calendar!$A$1:$H$9997,6,FALSE)-F6422</f>
        <v/>
      </c>
      <c r="H6422" s="19" t="n">
        <v>3</v>
      </c>
      <c r="I6422" s="57" t="n">
        <v>7</v>
      </c>
    </row>
    <row r="6423">
      <c r="A6423" s="62" t="n">
        <v>47054</v>
      </c>
      <c r="B6423" s="3" t="inlineStr">
        <is>
          <t>Sat</t>
        </is>
      </c>
      <c r="C6423" s="19" t="n">
        <v>10</v>
      </c>
      <c r="D6423" s="19" t="n">
        <v>2028</v>
      </c>
      <c r="E6423" s="57" t="n">
        <v>6</v>
      </c>
      <c r="F6423" s="29">
        <f>ROUND(((SUMIFS(Calendar!$F$2:$F$9997,Calendar!$B$2:$B$9997,D6423,Calendar!$C$2:$C$9997,C6423)*INDEX(ForeCalc!$B$37:$Y$274,MATCH(_xlfn.CONCAT(H6423," ",I6423),ForeCalc!$A$37:$A$274,0),MATCH(_xlfn.CONCAT(B6423," ",E6423),ForeCalc!$B$36:$Y$36,0))))*VLOOKUP(A6423,Calendar!$A$2:$H$9997,8,FALSE),0)</f>
        <v/>
      </c>
      <c r="G6423" s="29">
        <f>VLOOKUP(A6423,Calendar!$A$1:$H$9997,6,FALSE)-F6423</f>
        <v/>
      </c>
      <c r="H6423" s="19" t="n">
        <v>3</v>
      </c>
      <c r="I6423" s="57" t="n">
        <v>7</v>
      </c>
    </row>
    <row r="6424">
      <c r="A6424" s="62" t="n">
        <v>47055</v>
      </c>
      <c r="B6424" s="3" t="inlineStr">
        <is>
          <t>Sun</t>
        </is>
      </c>
      <c r="C6424" s="19" t="n">
        <v>10</v>
      </c>
      <c r="D6424" s="19" t="n">
        <v>2028</v>
      </c>
      <c r="E6424" s="57" t="n">
        <v>6</v>
      </c>
      <c r="F6424" s="29">
        <f>ROUND(((SUMIFS(Calendar!$F$2:$F$9997,Calendar!$B$2:$B$9997,D6424,Calendar!$C$2:$C$9997,C6424)*INDEX(ForeCalc!$B$37:$Y$274,MATCH(_xlfn.CONCAT(H6424," ",I6424),ForeCalc!$A$37:$A$274,0),MATCH(_xlfn.CONCAT(B6424," ",E6424),ForeCalc!$B$36:$Y$36,0))))*VLOOKUP(A6424,Calendar!$A$2:$H$9997,8,FALSE),0)</f>
        <v/>
      </c>
      <c r="G6424" s="29">
        <f>VLOOKUP(A6424,Calendar!$A$1:$H$9997,6,FALSE)-F6424</f>
        <v/>
      </c>
      <c r="H6424" s="19" t="n">
        <v>3</v>
      </c>
      <c r="I6424" s="57" t="n">
        <v>7</v>
      </c>
    </row>
    <row r="6425">
      <c r="A6425" s="62" t="n">
        <v>47056</v>
      </c>
      <c r="B6425" s="3" t="inlineStr">
        <is>
          <t>Week</t>
        </is>
      </c>
      <c r="C6425" s="19" t="n">
        <v>10</v>
      </c>
      <c r="D6425" s="19" t="n">
        <v>2028</v>
      </c>
      <c r="E6425" s="57" t="n">
        <v>6</v>
      </c>
      <c r="F6425" s="29">
        <f>ROUND(((SUMIFS(Calendar!$F$2:$F$9997,Calendar!$B$2:$B$9997,D6425,Calendar!$C$2:$C$9997,C6425)*INDEX(ForeCalc!$B$37:$Y$274,MATCH(_xlfn.CONCAT(H6425," ",I6425),ForeCalc!$A$37:$A$274,0),MATCH(_xlfn.CONCAT(B6425," ",E6425),ForeCalc!$B$36:$Y$36,0))))*VLOOKUP(A6425,Calendar!$A$2:$H$9997,8,FALSE),0)</f>
        <v/>
      </c>
      <c r="G6425" s="29">
        <f>VLOOKUP(A6425,Calendar!$A$1:$H$9997,6,FALSE)-F6425</f>
        <v/>
      </c>
      <c r="H6425" s="19" t="n">
        <v>3</v>
      </c>
      <c r="I6425" s="57" t="n">
        <v>7</v>
      </c>
    </row>
    <row r="6426">
      <c r="A6426" s="62" t="n">
        <v>47057</v>
      </c>
      <c r="B6426" s="3" t="inlineStr">
        <is>
          <t>Week</t>
        </is>
      </c>
      <c r="C6426" s="19" t="n">
        <v>10</v>
      </c>
      <c r="D6426" s="19" t="n">
        <v>2028</v>
      </c>
      <c r="E6426" s="57" t="n">
        <v>6</v>
      </c>
      <c r="F6426" s="29">
        <f>ROUND(((SUMIFS(Calendar!$F$2:$F$9997,Calendar!$B$2:$B$9997,D6426,Calendar!$C$2:$C$9997,C6426)*INDEX(ForeCalc!$B$37:$Y$274,MATCH(_xlfn.CONCAT(H6426," ",I6426),ForeCalc!$A$37:$A$274,0),MATCH(_xlfn.CONCAT(B6426," ",E6426),ForeCalc!$B$36:$Y$36,0))))*VLOOKUP(A6426,Calendar!$A$2:$H$9997,8,FALSE),0)</f>
        <v/>
      </c>
      <c r="G6426" s="29">
        <f>VLOOKUP(A6426,Calendar!$A$1:$H$9997,6,FALSE)-F6426</f>
        <v/>
      </c>
      <c r="H6426" s="19" t="n">
        <v>3</v>
      </c>
      <c r="I6426" s="57" t="n">
        <v>7</v>
      </c>
    </row>
    <row r="6427">
      <c r="A6427" s="62" t="n">
        <v>47058</v>
      </c>
      <c r="B6427" s="3" t="inlineStr">
        <is>
          <t>Week</t>
        </is>
      </c>
      <c r="C6427" s="19" t="n">
        <v>11</v>
      </c>
      <c r="D6427" s="19" t="n">
        <v>2028</v>
      </c>
      <c r="E6427" s="57" t="n">
        <v>6</v>
      </c>
      <c r="F6427" s="29">
        <f>ROUND(((SUMIFS(Calendar!$F$2:$F$9997,Calendar!$B$2:$B$9997,D6427,Calendar!$C$2:$C$9997,C6427)*INDEX(ForeCalc!$B$37:$Y$274,MATCH(_xlfn.CONCAT(H6427," ",I6427),ForeCalc!$A$37:$A$274,0),MATCH(_xlfn.CONCAT(B6427," ",E6427),ForeCalc!$B$36:$Y$36,0))))*VLOOKUP(A6427,Calendar!$A$2:$H$9997,8,FALSE),0)</f>
        <v/>
      </c>
      <c r="G6427" s="29">
        <f>VLOOKUP(A6427,Calendar!$A$1:$H$9997,6,FALSE)-F6427</f>
        <v/>
      </c>
      <c r="H6427" s="19" t="n">
        <v>3</v>
      </c>
      <c r="I6427" s="57" t="n">
        <v>8</v>
      </c>
    </row>
    <row r="6428">
      <c r="A6428" s="62" t="n">
        <v>47059</v>
      </c>
      <c r="B6428" s="3" t="inlineStr">
        <is>
          <t>Week</t>
        </is>
      </c>
      <c r="C6428" s="19" t="n">
        <v>11</v>
      </c>
      <c r="D6428" s="19" t="n">
        <v>2028</v>
      </c>
      <c r="E6428" s="57" t="n">
        <v>6</v>
      </c>
      <c r="F6428" s="29">
        <f>ROUND(((SUMIFS(Calendar!$F$2:$F$9997,Calendar!$B$2:$B$9997,D6428,Calendar!$C$2:$C$9997,C6428)*INDEX(ForeCalc!$B$37:$Y$274,MATCH(_xlfn.CONCAT(H6428," ",I6428),ForeCalc!$A$37:$A$274,0),MATCH(_xlfn.CONCAT(B6428," ",E6428),ForeCalc!$B$36:$Y$36,0))))*VLOOKUP(A6428,Calendar!$A$2:$H$9997,8,FALSE),0)</f>
        <v/>
      </c>
      <c r="G6428" s="29">
        <f>VLOOKUP(A6428,Calendar!$A$1:$H$9997,6,FALSE)-F6428</f>
        <v/>
      </c>
      <c r="H6428" s="19" t="n">
        <v>3</v>
      </c>
      <c r="I6428" s="57" t="n">
        <v>8</v>
      </c>
    </row>
    <row r="6429">
      <c r="A6429" s="62" t="n">
        <v>47060</v>
      </c>
      <c r="B6429" s="3" t="inlineStr">
        <is>
          <t>Week</t>
        </is>
      </c>
      <c r="C6429" s="19" t="n">
        <v>11</v>
      </c>
      <c r="D6429" s="19" t="n">
        <v>2028</v>
      </c>
      <c r="E6429" s="57" t="n">
        <v>6</v>
      </c>
      <c r="F6429" s="29">
        <f>ROUND(((SUMIFS(Calendar!$F$2:$F$9997,Calendar!$B$2:$B$9997,D6429,Calendar!$C$2:$C$9997,C6429)*INDEX(ForeCalc!$B$37:$Y$274,MATCH(_xlfn.CONCAT(H6429," ",I6429),ForeCalc!$A$37:$A$274,0),MATCH(_xlfn.CONCAT(B6429," ",E6429),ForeCalc!$B$36:$Y$36,0))))*VLOOKUP(A6429,Calendar!$A$2:$H$9997,8,FALSE),0)</f>
        <v/>
      </c>
      <c r="G6429" s="29">
        <f>VLOOKUP(A6429,Calendar!$A$1:$H$9997,6,FALSE)-F6429</f>
        <v/>
      </c>
      <c r="H6429" s="19" t="n">
        <v>3</v>
      </c>
      <c r="I6429" s="57" t="n">
        <v>8</v>
      </c>
    </row>
    <row r="6430">
      <c r="A6430" s="62" t="n">
        <v>47061</v>
      </c>
      <c r="B6430" s="3" t="inlineStr">
        <is>
          <t>Sat</t>
        </is>
      </c>
      <c r="C6430" s="19" t="n">
        <v>11</v>
      </c>
      <c r="D6430" s="19" t="n">
        <v>2028</v>
      </c>
      <c r="E6430" s="57" t="n">
        <v>6</v>
      </c>
      <c r="F6430" s="29">
        <f>ROUND(((SUMIFS(Calendar!$F$2:$F$9997,Calendar!$B$2:$B$9997,D6430,Calendar!$C$2:$C$9997,C6430)*INDEX(ForeCalc!$B$37:$Y$274,MATCH(_xlfn.CONCAT(H6430," ",I6430),ForeCalc!$A$37:$A$274,0),MATCH(_xlfn.CONCAT(B6430," ",E6430),ForeCalc!$B$36:$Y$36,0))))*VLOOKUP(A6430,Calendar!$A$2:$H$9997,8,FALSE),0)</f>
        <v/>
      </c>
      <c r="G6430" s="29">
        <f>VLOOKUP(A6430,Calendar!$A$1:$H$9997,6,FALSE)-F6430</f>
        <v/>
      </c>
      <c r="H6430" s="19" t="n">
        <v>3</v>
      </c>
      <c r="I6430" s="57" t="n">
        <v>8</v>
      </c>
    </row>
    <row r="6431">
      <c r="A6431" s="62" t="n">
        <v>47062</v>
      </c>
      <c r="B6431" s="3" t="inlineStr">
        <is>
          <t>Sun</t>
        </is>
      </c>
      <c r="C6431" s="19" t="n">
        <v>11</v>
      </c>
      <c r="D6431" s="19" t="n">
        <v>2028</v>
      </c>
      <c r="E6431" s="57" t="n">
        <v>6</v>
      </c>
      <c r="F6431" s="29">
        <f>ROUND(((SUMIFS(Calendar!$F$2:$F$9997,Calendar!$B$2:$B$9997,D6431,Calendar!$C$2:$C$9997,C6431)*INDEX(ForeCalc!$B$37:$Y$274,MATCH(_xlfn.CONCAT(H6431," ",I6431),ForeCalc!$A$37:$A$274,0),MATCH(_xlfn.CONCAT(B6431," ",E6431),ForeCalc!$B$36:$Y$36,0))))*VLOOKUP(A6431,Calendar!$A$2:$H$9997,8,FALSE),0)</f>
        <v/>
      </c>
      <c r="G6431" s="29">
        <f>VLOOKUP(A6431,Calendar!$A$1:$H$9997,6,FALSE)-F6431</f>
        <v/>
      </c>
      <c r="H6431" s="19" t="n">
        <v>3</v>
      </c>
      <c r="I6431" s="57" t="n">
        <v>8</v>
      </c>
    </row>
    <row r="6432">
      <c r="A6432" s="62" t="n">
        <v>47063</v>
      </c>
      <c r="B6432" s="3" t="inlineStr">
        <is>
          <t>Week</t>
        </is>
      </c>
      <c r="C6432" s="19" t="n">
        <v>11</v>
      </c>
      <c r="D6432" s="19" t="n">
        <v>2028</v>
      </c>
      <c r="E6432" s="57" t="n">
        <v>6</v>
      </c>
      <c r="F6432" s="29">
        <f>ROUND(((SUMIFS(Calendar!$F$2:$F$9997,Calendar!$B$2:$B$9997,D6432,Calendar!$C$2:$C$9997,C6432)*INDEX(ForeCalc!$B$37:$Y$274,MATCH(_xlfn.CONCAT(H6432," ",I6432),ForeCalc!$A$37:$A$274,0),MATCH(_xlfn.CONCAT(B6432," ",E6432),ForeCalc!$B$36:$Y$36,0))))*VLOOKUP(A6432,Calendar!$A$2:$H$9997,8,FALSE),0)</f>
        <v/>
      </c>
      <c r="G6432" s="29">
        <f>VLOOKUP(A6432,Calendar!$A$1:$H$9997,6,FALSE)-F6432</f>
        <v/>
      </c>
      <c r="H6432" s="19" t="n">
        <v>3</v>
      </c>
      <c r="I6432" s="57" t="n">
        <v>8</v>
      </c>
    </row>
    <row r="6433">
      <c r="A6433" s="62" t="n">
        <v>47064</v>
      </c>
      <c r="B6433" s="3" t="inlineStr">
        <is>
          <t>Week</t>
        </is>
      </c>
      <c r="C6433" s="19" t="n">
        <v>11</v>
      </c>
      <c r="D6433" s="19" t="n">
        <v>2028</v>
      </c>
      <c r="E6433" s="57" t="n">
        <v>6</v>
      </c>
      <c r="F6433" s="29">
        <f>ROUND(((SUMIFS(Calendar!$F$2:$F$9997,Calendar!$B$2:$B$9997,D6433,Calendar!$C$2:$C$9997,C6433)*INDEX(ForeCalc!$B$37:$Y$274,MATCH(_xlfn.CONCAT(H6433," ",I6433),ForeCalc!$A$37:$A$274,0),MATCH(_xlfn.CONCAT(B6433," ",E6433),ForeCalc!$B$36:$Y$36,0))))*VLOOKUP(A6433,Calendar!$A$2:$H$9997,8,FALSE),0)</f>
        <v/>
      </c>
      <c r="G6433" s="29">
        <f>VLOOKUP(A6433,Calendar!$A$1:$H$9997,6,FALSE)-F6433</f>
        <v/>
      </c>
      <c r="H6433" s="19" t="n">
        <v>3</v>
      </c>
      <c r="I6433" s="57" t="n">
        <v>8</v>
      </c>
    </row>
    <row r="6434">
      <c r="A6434" s="62" t="n">
        <v>47065</v>
      </c>
      <c r="B6434" s="3" t="inlineStr">
        <is>
          <t>Week</t>
        </is>
      </c>
      <c r="C6434" s="19" t="n">
        <v>11</v>
      </c>
      <c r="D6434" s="19" t="n">
        <v>2028</v>
      </c>
      <c r="E6434" s="57" t="n">
        <v>6</v>
      </c>
      <c r="F6434" s="29">
        <f>ROUND(((SUMIFS(Calendar!$F$2:$F$9997,Calendar!$B$2:$B$9997,D6434,Calendar!$C$2:$C$9997,C6434)*INDEX(ForeCalc!$B$37:$Y$274,MATCH(_xlfn.CONCAT(H6434," ",I6434),ForeCalc!$A$37:$A$274,0),MATCH(_xlfn.CONCAT(B6434," ",E6434),ForeCalc!$B$36:$Y$36,0))))*VLOOKUP(A6434,Calendar!$A$2:$H$9997,8,FALSE),0)</f>
        <v/>
      </c>
      <c r="G6434" s="29">
        <f>VLOOKUP(A6434,Calendar!$A$1:$H$9997,6,FALSE)-F6434</f>
        <v/>
      </c>
      <c r="H6434" s="19" t="n">
        <v>3</v>
      </c>
      <c r="I6434" s="57" t="n">
        <v>8</v>
      </c>
    </row>
    <row r="6435">
      <c r="A6435" s="62" t="n">
        <v>47066</v>
      </c>
      <c r="B6435" s="3" t="inlineStr">
        <is>
          <t>Week</t>
        </is>
      </c>
      <c r="C6435" s="19" t="n">
        <v>11</v>
      </c>
      <c r="D6435" s="19" t="n">
        <v>2028</v>
      </c>
      <c r="E6435" s="57" t="n">
        <v>6</v>
      </c>
      <c r="F6435" s="29">
        <f>ROUND(((SUMIFS(Calendar!$F$2:$F$9997,Calendar!$B$2:$B$9997,D6435,Calendar!$C$2:$C$9997,C6435)*INDEX(ForeCalc!$B$37:$Y$274,MATCH(_xlfn.CONCAT(H6435," ",I6435),ForeCalc!$A$37:$A$274,0),MATCH(_xlfn.CONCAT(B6435," ",E6435),ForeCalc!$B$36:$Y$36,0))))*VLOOKUP(A6435,Calendar!$A$2:$H$9997,8,FALSE),0)</f>
        <v/>
      </c>
      <c r="G6435" s="29">
        <f>VLOOKUP(A6435,Calendar!$A$1:$H$9997,6,FALSE)-F6435</f>
        <v/>
      </c>
      <c r="H6435" s="19" t="n">
        <v>3</v>
      </c>
      <c r="I6435" s="57" t="n">
        <v>8</v>
      </c>
    </row>
    <row r="6436">
      <c r="A6436" s="62" t="n">
        <v>47067</v>
      </c>
      <c r="B6436" s="3" t="inlineStr">
        <is>
          <t>Week</t>
        </is>
      </c>
      <c r="C6436" s="19" t="n">
        <v>11</v>
      </c>
      <c r="D6436" s="19" t="n">
        <v>2028</v>
      </c>
      <c r="E6436" s="57" t="n">
        <v>6</v>
      </c>
      <c r="F6436" s="29">
        <f>ROUND(((SUMIFS(Calendar!$F$2:$F$9997,Calendar!$B$2:$B$9997,D6436,Calendar!$C$2:$C$9997,C6436)*INDEX(ForeCalc!$B$37:$Y$274,MATCH(_xlfn.CONCAT(H6436," ",I6436),ForeCalc!$A$37:$A$274,0),MATCH(_xlfn.CONCAT(B6436," ",E6436),ForeCalc!$B$36:$Y$36,0))))*VLOOKUP(A6436,Calendar!$A$2:$H$9997,8,FALSE),0)</f>
        <v/>
      </c>
      <c r="G6436" s="29">
        <f>VLOOKUP(A6436,Calendar!$A$1:$H$9997,6,FALSE)-F6436</f>
        <v/>
      </c>
      <c r="H6436" s="19" t="n">
        <v>3</v>
      </c>
      <c r="I6436" s="57" t="n">
        <v>8</v>
      </c>
    </row>
    <row r="6437">
      <c r="A6437" s="62" t="n">
        <v>47068</v>
      </c>
      <c r="B6437" s="3" t="inlineStr">
        <is>
          <t>Sat</t>
        </is>
      </c>
      <c r="C6437" s="19" t="n">
        <v>11</v>
      </c>
      <c r="D6437" s="19" t="n">
        <v>2028</v>
      </c>
      <c r="E6437" s="57" t="n">
        <v>6</v>
      </c>
      <c r="F6437" s="29">
        <f>ROUND(((SUMIFS(Calendar!$F$2:$F$9997,Calendar!$B$2:$B$9997,D6437,Calendar!$C$2:$C$9997,C6437)*INDEX(ForeCalc!$B$37:$Y$274,MATCH(_xlfn.CONCAT(H6437," ",I6437),ForeCalc!$A$37:$A$274,0),MATCH(_xlfn.CONCAT(B6437," ",E6437),ForeCalc!$B$36:$Y$36,0))))*VLOOKUP(A6437,Calendar!$A$2:$H$9997,8,FALSE),0)</f>
        <v/>
      </c>
      <c r="G6437" s="29">
        <f>VLOOKUP(A6437,Calendar!$A$1:$H$9997,6,FALSE)-F6437</f>
        <v/>
      </c>
      <c r="H6437" s="19" t="n">
        <v>3</v>
      </c>
      <c r="I6437" s="57" t="n">
        <v>8</v>
      </c>
    </row>
    <row r="6438">
      <c r="A6438" s="62" t="n">
        <v>47069</v>
      </c>
      <c r="B6438" s="3" t="inlineStr">
        <is>
          <t>Sun</t>
        </is>
      </c>
      <c r="C6438" s="19" t="n">
        <v>11</v>
      </c>
      <c r="D6438" s="19" t="n">
        <v>2028</v>
      </c>
      <c r="E6438" s="57" t="n">
        <v>6</v>
      </c>
      <c r="F6438" s="29">
        <f>ROUND(((SUMIFS(Calendar!$F$2:$F$9997,Calendar!$B$2:$B$9997,D6438,Calendar!$C$2:$C$9997,C6438)*INDEX(ForeCalc!$B$37:$Y$274,MATCH(_xlfn.CONCAT(H6438," ",I6438),ForeCalc!$A$37:$A$274,0),MATCH(_xlfn.CONCAT(B6438," ",E6438),ForeCalc!$B$36:$Y$36,0))))*VLOOKUP(A6438,Calendar!$A$2:$H$9997,8,FALSE),0)</f>
        <v/>
      </c>
      <c r="G6438" s="29">
        <f>VLOOKUP(A6438,Calendar!$A$1:$H$9997,6,FALSE)-F6438</f>
        <v/>
      </c>
      <c r="H6438" s="19" t="n">
        <v>3</v>
      </c>
      <c r="I6438" s="57" t="n">
        <v>8</v>
      </c>
    </row>
    <row r="6439">
      <c r="A6439" s="62" t="n">
        <v>47070</v>
      </c>
      <c r="B6439" s="3" t="inlineStr">
        <is>
          <t>Week</t>
        </is>
      </c>
      <c r="C6439" s="19" t="n">
        <v>11</v>
      </c>
      <c r="D6439" s="19" t="n">
        <v>2028</v>
      </c>
      <c r="E6439" s="57" t="n">
        <v>6</v>
      </c>
      <c r="F6439" s="29">
        <f>ROUND(((SUMIFS(Calendar!$F$2:$F$9997,Calendar!$B$2:$B$9997,D6439,Calendar!$C$2:$C$9997,C6439)*INDEX(ForeCalc!$B$37:$Y$274,MATCH(_xlfn.CONCAT(H6439," ",I6439),ForeCalc!$A$37:$A$274,0),MATCH(_xlfn.CONCAT(B6439," ",E6439),ForeCalc!$B$36:$Y$36,0))))*VLOOKUP(A6439,Calendar!$A$2:$H$9997,8,FALSE),0)</f>
        <v/>
      </c>
      <c r="G6439" s="29">
        <f>VLOOKUP(A6439,Calendar!$A$1:$H$9997,6,FALSE)-F6439</f>
        <v/>
      </c>
      <c r="H6439" s="19" t="n">
        <v>3</v>
      </c>
      <c r="I6439" s="57" t="n">
        <v>8</v>
      </c>
    </row>
    <row r="6440">
      <c r="A6440" s="62" t="n">
        <v>47071</v>
      </c>
      <c r="B6440" s="3" t="inlineStr">
        <is>
          <t>Week</t>
        </is>
      </c>
      <c r="C6440" s="19" t="n">
        <v>11</v>
      </c>
      <c r="D6440" s="19" t="n">
        <v>2028</v>
      </c>
      <c r="E6440" s="57" t="n">
        <v>6</v>
      </c>
      <c r="F6440" s="29">
        <f>ROUND(((SUMIFS(Calendar!$F$2:$F$9997,Calendar!$B$2:$B$9997,D6440,Calendar!$C$2:$C$9997,C6440)*INDEX(ForeCalc!$B$37:$Y$274,MATCH(_xlfn.CONCAT(H6440," ",I6440),ForeCalc!$A$37:$A$274,0),MATCH(_xlfn.CONCAT(B6440," ",E6440),ForeCalc!$B$36:$Y$36,0))))*VLOOKUP(A6440,Calendar!$A$2:$H$9997,8,FALSE),0)</f>
        <v/>
      </c>
      <c r="G6440" s="29">
        <f>VLOOKUP(A6440,Calendar!$A$1:$H$9997,6,FALSE)-F6440</f>
        <v/>
      </c>
      <c r="H6440" s="19" t="n">
        <v>3</v>
      </c>
      <c r="I6440" s="57" t="n">
        <v>8</v>
      </c>
    </row>
    <row r="6441">
      <c r="A6441" s="62" t="n">
        <v>47072</v>
      </c>
      <c r="B6441" s="3" t="inlineStr">
        <is>
          <t>Week</t>
        </is>
      </c>
      <c r="C6441" s="19" t="n">
        <v>11</v>
      </c>
      <c r="D6441" s="19" t="n">
        <v>2028</v>
      </c>
      <c r="E6441" s="57" t="n">
        <v>6</v>
      </c>
      <c r="F6441" s="29">
        <f>ROUND(((SUMIFS(Calendar!$F$2:$F$9997,Calendar!$B$2:$B$9997,D6441,Calendar!$C$2:$C$9997,C6441)*INDEX(ForeCalc!$B$37:$Y$274,MATCH(_xlfn.CONCAT(H6441," ",I6441),ForeCalc!$A$37:$A$274,0),MATCH(_xlfn.CONCAT(B6441," ",E6441),ForeCalc!$B$36:$Y$36,0))))*VLOOKUP(A6441,Calendar!$A$2:$H$9997,8,FALSE),0)</f>
        <v/>
      </c>
      <c r="G6441" s="29">
        <f>VLOOKUP(A6441,Calendar!$A$1:$H$9997,6,FALSE)-F6441</f>
        <v/>
      </c>
      <c r="H6441" s="19" t="n">
        <v>3</v>
      </c>
      <c r="I6441" s="57" t="n">
        <v>8</v>
      </c>
    </row>
    <row r="6442">
      <c r="A6442" s="62" t="n">
        <v>47073</v>
      </c>
      <c r="B6442" s="3" t="inlineStr">
        <is>
          <t>Week</t>
        </is>
      </c>
      <c r="C6442" s="19" t="n">
        <v>11</v>
      </c>
      <c r="D6442" s="19" t="n">
        <v>2028</v>
      </c>
      <c r="E6442" s="57" t="n">
        <v>6</v>
      </c>
      <c r="F6442" s="29">
        <f>ROUND(((SUMIFS(Calendar!$F$2:$F$9997,Calendar!$B$2:$B$9997,D6442,Calendar!$C$2:$C$9997,C6442)*INDEX(ForeCalc!$B$37:$Y$274,MATCH(_xlfn.CONCAT(H6442," ",I6442),ForeCalc!$A$37:$A$274,0),MATCH(_xlfn.CONCAT(B6442," ",E6442),ForeCalc!$B$36:$Y$36,0))))*VLOOKUP(A6442,Calendar!$A$2:$H$9997,8,FALSE),0)</f>
        <v/>
      </c>
      <c r="G6442" s="29">
        <f>VLOOKUP(A6442,Calendar!$A$1:$H$9997,6,FALSE)-F6442</f>
        <v/>
      </c>
      <c r="H6442" s="19" t="n">
        <v>3</v>
      </c>
      <c r="I6442" s="57" t="n">
        <v>8</v>
      </c>
    </row>
    <row r="6443">
      <c r="A6443" s="62" t="n">
        <v>47074</v>
      </c>
      <c r="B6443" s="3" t="inlineStr">
        <is>
          <t>Week</t>
        </is>
      </c>
      <c r="C6443" s="19" t="n">
        <v>11</v>
      </c>
      <c r="D6443" s="19" t="n">
        <v>2028</v>
      </c>
      <c r="E6443" s="57" t="n">
        <v>6</v>
      </c>
      <c r="F6443" s="29">
        <f>ROUND(((SUMIFS(Calendar!$F$2:$F$9997,Calendar!$B$2:$B$9997,D6443,Calendar!$C$2:$C$9997,C6443)*INDEX(ForeCalc!$B$37:$Y$274,MATCH(_xlfn.CONCAT(H6443," ",I6443),ForeCalc!$A$37:$A$274,0),MATCH(_xlfn.CONCAT(B6443," ",E6443),ForeCalc!$B$36:$Y$36,0))))*VLOOKUP(A6443,Calendar!$A$2:$H$9997,8,FALSE),0)</f>
        <v/>
      </c>
      <c r="G6443" s="29">
        <f>VLOOKUP(A6443,Calendar!$A$1:$H$9997,6,FALSE)-F6443</f>
        <v/>
      </c>
      <c r="H6443" s="19" t="n">
        <v>3</v>
      </c>
      <c r="I6443" s="57" t="n">
        <v>8</v>
      </c>
    </row>
    <row r="6444">
      <c r="A6444" s="62" t="n">
        <v>47075</v>
      </c>
      <c r="B6444" s="3" t="inlineStr">
        <is>
          <t>Sat</t>
        </is>
      </c>
      <c r="C6444" s="19" t="n">
        <v>11</v>
      </c>
      <c r="D6444" s="19" t="n">
        <v>2028</v>
      </c>
      <c r="E6444" s="57" t="n">
        <v>6</v>
      </c>
      <c r="F6444" s="29">
        <f>ROUND(((SUMIFS(Calendar!$F$2:$F$9997,Calendar!$B$2:$B$9997,D6444,Calendar!$C$2:$C$9997,C6444)*INDEX(ForeCalc!$B$37:$Y$274,MATCH(_xlfn.CONCAT(H6444," ",I6444),ForeCalc!$A$37:$A$274,0),MATCH(_xlfn.CONCAT(B6444," ",E6444),ForeCalc!$B$36:$Y$36,0))))*VLOOKUP(A6444,Calendar!$A$2:$H$9997,8,FALSE),0)</f>
        <v/>
      </c>
      <c r="G6444" s="29">
        <f>VLOOKUP(A6444,Calendar!$A$1:$H$9997,6,FALSE)-F6444</f>
        <v/>
      </c>
      <c r="H6444" s="19" t="n">
        <v>3</v>
      </c>
      <c r="I6444" s="57" t="n">
        <v>8</v>
      </c>
    </row>
    <row r="6445">
      <c r="A6445" s="62" t="n">
        <v>47076</v>
      </c>
      <c r="B6445" s="3" t="inlineStr">
        <is>
          <t>Sun</t>
        </is>
      </c>
      <c r="C6445" s="19" t="n">
        <v>11</v>
      </c>
      <c r="D6445" s="19" t="n">
        <v>2028</v>
      </c>
      <c r="E6445" s="57" t="n">
        <v>6</v>
      </c>
      <c r="F6445" s="29">
        <f>ROUND(((SUMIFS(Calendar!$F$2:$F$9997,Calendar!$B$2:$B$9997,D6445,Calendar!$C$2:$C$9997,C6445)*INDEX(ForeCalc!$B$37:$Y$274,MATCH(_xlfn.CONCAT(H6445," ",I6445),ForeCalc!$A$37:$A$274,0),MATCH(_xlfn.CONCAT(B6445," ",E6445),ForeCalc!$B$36:$Y$36,0))))*VLOOKUP(A6445,Calendar!$A$2:$H$9997,8,FALSE),0)</f>
        <v/>
      </c>
      <c r="G6445" s="29">
        <f>VLOOKUP(A6445,Calendar!$A$1:$H$9997,6,FALSE)-F6445</f>
        <v/>
      </c>
      <c r="H6445" s="19" t="n">
        <v>3</v>
      </c>
      <c r="I6445" s="57" t="n">
        <v>8</v>
      </c>
    </row>
    <row r="6446">
      <c r="A6446" s="62" t="n">
        <v>47077</v>
      </c>
      <c r="B6446" s="3" t="inlineStr">
        <is>
          <t>Week</t>
        </is>
      </c>
      <c r="C6446" s="19" t="n">
        <v>11</v>
      </c>
      <c r="D6446" s="19" t="n">
        <v>2028</v>
      </c>
      <c r="E6446" s="57" t="n">
        <v>6</v>
      </c>
      <c r="F6446" s="29">
        <f>ROUND(((SUMIFS(Calendar!$F$2:$F$9997,Calendar!$B$2:$B$9997,D6446,Calendar!$C$2:$C$9997,C6446)*INDEX(ForeCalc!$B$37:$Y$274,MATCH(_xlfn.CONCAT(H6446," ",I6446),ForeCalc!$A$37:$A$274,0),MATCH(_xlfn.CONCAT(B6446," ",E6446),ForeCalc!$B$36:$Y$36,0))))*VLOOKUP(A6446,Calendar!$A$2:$H$9997,8,FALSE),0)</f>
        <v/>
      </c>
      <c r="G6446" s="29">
        <f>VLOOKUP(A6446,Calendar!$A$1:$H$9997,6,FALSE)-F6446</f>
        <v/>
      </c>
      <c r="H6446" s="19" t="n">
        <v>3</v>
      </c>
      <c r="I6446" s="57" t="n">
        <v>8</v>
      </c>
    </row>
    <row r="6447">
      <c r="A6447" s="62" t="n">
        <v>47078</v>
      </c>
      <c r="B6447" s="3" t="inlineStr">
        <is>
          <t>Week</t>
        </is>
      </c>
      <c r="C6447" s="19" t="n">
        <v>11</v>
      </c>
      <c r="D6447" s="19" t="n">
        <v>2028</v>
      </c>
      <c r="E6447" s="57" t="n">
        <v>6</v>
      </c>
      <c r="F6447" s="29">
        <f>ROUND(((SUMIFS(Calendar!$F$2:$F$9997,Calendar!$B$2:$B$9997,D6447,Calendar!$C$2:$C$9997,C6447)*INDEX(ForeCalc!$B$37:$Y$274,MATCH(_xlfn.CONCAT(H6447," ",I6447),ForeCalc!$A$37:$A$274,0),MATCH(_xlfn.CONCAT(B6447," ",E6447),ForeCalc!$B$36:$Y$36,0))))*VLOOKUP(A6447,Calendar!$A$2:$H$9997,8,FALSE),0)</f>
        <v/>
      </c>
      <c r="G6447" s="29">
        <f>VLOOKUP(A6447,Calendar!$A$1:$H$9997,6,FALSE)-F6447</f>
        <v/>
      </c>
      <c r="H6447" s="19" t="n">
        <v>3</v>
      </c>
      <c r="I6447" s="57" t="n">
        <v>8</v>
      </c>
    </row>
    <row r="6448">
      <c r="A6448" s="62" t="n">
        <v>47079</v>
      </c>
      <c r="B6448" s="3" t="inlineStr">
        <is>
          <t>Week</t>
        </is>
      </c>
      <c r="C6448" s="19" t="n">
        <v>11</v>
      </c>
      <c r="D6448" s="19" t="n">
        <v>2028</v>
      </c>
      <c r="E6448" s="57" t="n">
        <v>6</v>
      </c>
      <c r="F6448" s="29">
        <f>ROUND(((SUMIFS(Calendar!$F$2:$F$9997,Calendar!$B$2:$B$9997,D6448,Calendar!$C$2:$C$9997,C6448)*INDEX(ForeCalc!$B$37:$Y$274,MATCH(_xlfn.CONCAT(H6448," ",I6448),ForeCalc!$A$37:$A$274,0),MATCH(_xlfn.CONCAT(B6448," ",E6448),ForeCalc!$B$36:$Y$36,0))))*VLOOKUP(A6448,Calendar!$A$2:$H$9997,8,FALSE),0)</f>
        <v/>
      </c>
      <c r="G6448" s="29">
        <f>VLOOKUP(A6448,Calendar!$A$1:$H$9997,6,FALSE)-F6448</f>
        <v/>
      </c>
      <c r="H6448" s="19" t="n">
        <v>3</v>
      </c>
      <c r="I6448" s="57" t="n">
        <v>8</v>
      </c>
    </row>
    <row r="6449">
      <c r="A6449" s="62" t="n">
        <v>47080</v>
      </c>
      <c r="B6449" s="3" t="inlineStr">
        <is>
          <t>Week</t>
        </is>
      </c>
      <c r="C6449" s="19" t="n">
        <v>11</v>
      </c>
      <c r="D6449" s="19" t="n">
        <v>2028</v>
      </c>
      <c r="E6449" s="57" t="n">
        <v>6</v>
      </c>
      <c r="F6449" s="29">
        <f>ROUND(((SUMIFS(Calendar!$F$2:$F$9997,Calendar!$B$2:$B$9997,D6449,Calendar!$C$2:$C$9997,C6449)*INDEX(ForeCalc!$B$37:$Y$274,MATCH(_xlfn.CONCAT(H6449," ",I6449),ForeCalc!$A$37:$A$274,0),MATCH(_xlfn.CONCAT(B6449," ",E6449),ForeCalc!$B$36:$Y$36,0))))*VLOOKUP(A6449,Calendar!$A$2:$H$9997,8,FALSE),0)</f>
        <v/>
      </c>
      <c r="G6449" s="29">
        <f>VLOOKUP(A6449,Calendar!$A$1:$H$9997,6,FALSE)-F6449</f>
        <v/>
      </c>
      <c r="H6449" s="19" t="n">
        <v>3</v>
      </c>
      <c r="I6449" s="57" t="n">
        <v>8</v>
      </c>
    </row>
    <row r="6450">
      <c r="A6450" s="62" t="n">
        <v>47081</v>
      </c>
      <c r="B6450" s="3" t="inlineStr">
        <is>
          <t>Week</t>
        </is>
      </c>
      <c r="C6450" s="19" t="n">
        <v>11</v>
      </c>
      <c r="D6450" s="19" t="n">
        <v>2028</v>
      </c>
      <c r="E6450" s="57" t="n">
        <v>6</v>
      </c>
      <c r="F6450" s="29">
        <f>ROUND(((SUMIFS(Calendar!$F$2:$F$9997,Calendar!$B$2:$B$9997,D6450,Calendar!$C$2:$C$9997,C6450)*INDEX(ForeCalc!$B$37:$Y$274,MATCH(_xlfn.CONCAT(H6450," ",I6450),ForeCalc!$A$37:$A$274,0),MATCH(_xlfn.CONCAT(B6450," ",E6450),ForeCalc!$B$36:$Y$36,0))))*VLOOKUP(A6450,Calendar!$A$2:$H$9997,8,FALSE),0)</f>
        <v/>
      </c>
      <c r="G6450" s="29">
        <f>VLOOKUP(A6450,Calendar!$A$1:$H$9997,6,FALSE)-F6450</f>
        <v/>
      </c>
      <c r="H6450" s="19" t="n">
        <v>3</v>
      </c>
      <c r="I6450" s="57" t="n">
        <v>8</v>
      </c>
    </row>
    <row r="6451">
      <c r="A6451" s="62" t="n">
        <v>47082</v>
      </c>
      <c r="B6451" s="3" t="inlineStr">
        <is>
          <t>Sat</t>
        </is>
      </c>
      <c r="C6451" s="19" t="n">
        <v>11</v>
      </c>
      <c r="D6451" s="19" t="n">
        <v>2028</v>
      </c>
      <c r="E6451" s="57" t="n">
        <v>6</v>
      </c>
      <c r="F6451" s="29">
        <f>ROUND(((SUMIFS(Calendar!$F$2:$F$9997,Calendar!$B$2:$B$9997,D6451,Calendar!$C$2:$C$9997,C6451)*INDEX(ForeCalc!$B$37:$Y$274,MATCH(_xlfn.CONCAT(H6451," ",I6451),ForeCalc!$A$37:$A$274,0),MATCH(_xlfn.CONCAT(B6451," ",E6451),ForeCalc!$B$36:$Y$36,0))))*VLOOKUP(A6451,Calendar!$A$2:$H$9997,8,FALSE),0)</f>
        <v/>
      </c>
      <c r="G6451" s="29">
        <f>VLOOKUP(A6451,Calendar!$A$1:$H$9997,6,FALSE)-F6451</f>
        <v/>
      </c>
      <c r="H6451" s="19" t="n">
        <v>3</v>
      </c>
      <c r="I6451" s="57" t="n">
        <v>8</v>
      </c>
    </row>
    <row r="6452">
      <c r="A6452" s="62" t="n">
        <v>47083</v>
      </c>
      <c r="B6452" s="3" t="inlineStr">
        <is>
          <t>Sun</t>
        </is>
      </c>
      <c r="C6452" s="19" t="n">
        <v>11</v>
      </c>
      <c r="D6452" s="19" t="n">
        <v>2028</v>
      </c>
      <c r="E6452" s="57" t="n">
        <v>6</v>
      </c>
      <c r="F6452" s="29">
        <f>ROUND(((SUMIFS(Calendar!$F$2:$F$9997,Calendar!$B$2:$B$9997,D6452,Calendar!$C$2:$C$9997,C6452)*INDEX(ForeCalc!$B$37:$Y$274,MATCH(_xlfn.CONCAT(H6452," ",I6452),ForeCalc!$A$37:$A$274,0),MATCH(_xlfn.CONCAT(B6452," ",E6452),ForeCalc!$B$36:$Y$36,0))))*VLOOKUP(A6452,Calendar!$A$2:$H$9997,8,FALSE),0)</f>
        <v/>
      </c>
      <c r="G6452" s="29">
        <f>VLOOKUP(A6452,Calendar!$A$1:$H$9997,6,FALSE)-F6452</f>
        <v/>
      </c>
      <c r="H6452" s="19" t="n">
        <v>3</v>
      </c>
      <c r="I6452" s="57" t="n">
        <v>8</v>
      </c>
    </row>
    <row r="6453">
      <c r="A6453" s="62" t="n">
        <v>47084</v>
      </c>
      <c r="B6453" s="3" t="inlineStr">
        <is>
          <t>Week</t>
        </is>
      </c>
      <c r="C6453" s="19" t="n">
        <v>11</v>
      </c>
      <c r="D6453" s="19" t="n">
        <v>2028</v>
      </c>
      <c r="E6453" s="57" t="n">
        <v>6</v>
      </c>
      <c r="F6453" s="29">
        <f>ROUND(((SUMIFS(Calendar!$F$2:$F$9997,Calendar!$B$2:$B$9997,D6453,Calendar!$C$2:$C$9997,C6453)*INDEX(ForeCalc!$B$37:$Y$274,MATCH(_xlfn.CONCAT(H6453," ",I6453),ForeCalc!$A$37:$A$274,0),MATCH(_xlfn.CONCAT(B6453," ",E6453),ForeCalc!$B$36:$Y$36,0))))*VLOOKUP(A6453,Calendar!$A$2:$H$9997,8,FALSE),0)</f>
        <v/>
      </c>
      <c r="G6453" s="29">
        <f>VLOOKUP(A6453,Calendar!$A$1:$H$9997,6,FALSE)-F6453</f>
        <v/>
      </c>
      <c r="H6453" s="19" t="n">
        <v>3</v>
      </c>
      <c r="I6453" s="57" t="n">
        <v>8</v>
      </c>
    </row>
    <row r="6454">
      <c r="A6454" s="62" t="n">
        <v>47085</v>
      </c>
      <c r="B6454" s="3" t="inlineStr">
        <is>
          <t>Week</t>
        </is>
      </c>
      <c r="C6454" s="19" t="n">
        <v>11</v>
      </c>
      <c r="D6454" s="19" t="n">
        <v>2028</v>
      </c>
      <c r="E6454" s="57" t="n">
        <v>6</v>
      </c>
      <c r="F6454" s="29">
        <f>ROUND(((SUMIFS(Calendar!$F$2:$F$9997,Calendar!$B$2:$B$9997,D6454,Calendar!$C$2:$C$9997,C6454)*INDEX(ForeCalc!$B$37:$Y$274,MATCH(_xlfn.CONCAT(H6454," ",I6454),ForeCalc!$A$37:$A$274,0),MATCH(_xlfn.CONCAT(B6454," ",E6454),ForeCalc!$B$36:$Y$36,0))))*VLOOKUP(A6454,Calendar!$A$2:$H$9997,8,FALSE),0)</f>
        <v/>
      </c>
      <c r="G6454" s="29">
        <f>VLOOKUP(A6454,Calendar!$A$1:$H$9997,6,FALSE)-F6454</f>
        <v/>
      </c>
      <c r="H6454" s="19" t="n">
        <v>3</v>
      </c>
      <c r="I6454" s="57" t="n">
        <v>8</v>
      </c>
    </row>
    <row r="6455">
      <c r="A6455" s="62" t="n">
        <v>47086</v>
      </c>
      <c r="B6455" s="3" t="inlineStr">
        <is>
          <t>Week</t>
        </is>
      </c>
      <c r="C6455" s="19" t="n">
        <v>11</v>
      </c>
      <c r="D6455" s="19" t="n">
        <v>2028</v>
      </c>
      <c r="E6455" s="57" t="n">
        <v>6</v>
      </c>
      <c r="F6455" s="29">
        <f>ROUND(((SUMIFS(Calendar!$F$2:$F$9997,Calendar!$B$2:$B$9997,D6455,Calendar!$C$2:$C$9997,C6455)*INDEX(ForeCalc!$B$37:$Y$274,MATCH(_xlfn.CONCAT(H6455," ",I6455),ForeCalc!$A$37:$A$274,0),MATCH(_xlfn.CONCAT(B6455," ",E6455),ForeCalc!$B$36:$Y$36,0))))*VLOOKUP(A6455,Calendar!$A$2:$H$9997,8,FALSE),0)</f>
        <v/>
      </c>
      <c r="G6455" s="29">
        <f>VLOOKUP(A6455,Calendar!$A$1:$H$9997,6,FALSE)-F6455</f>
        <v/>
      </c>
      <c r="H6455" s="19" t="n">
        <v>3</v>
      </c>
      <c r="I6455" s="57" t="n">
        <v>8</v>
      </c>
    </row>
    <row r="6456">
      <c r="A6456" s="62" t="n">
        <v>47087</v>
      </c>
      <c r="B6456" s="3" t="inlineStr">
        <is>
          <t>Week</t>
        </is>
      </c>
      <c r="C6456" s="19" t="n">
        <v>11</v>
      </c>
      <c r="D6456" s="19" t="n">
        <v>2028</v>
      </c>
      <c r="E6456" s="57" t="n">
        <v>6</v>
      </c>
      <c r="F6456" s="29">
        <f>ROUND(((SUMIFS(Calendar!$F$2:$F$9997,Calendar!$B$2:$B$9997,D6456,Calendar!$C$2:$C$9997,C6456)*INDEX(ForeCalc!$B$37:$Y$274,MATCH(_xlfn.CONCAT(H6456," ",I6456),ForeCalc!$A$37:$A$274,0),MATCH(_xlfn.CONCAT(B6456," ",E6456),ForeCalc!$B$36:$Y$36,0))))*VLOOKUP(A6456,Calendar!$A$2:$H$9997,8,FALSE),0)</f>
        <v/>
      </c>
      <c r="G6456" s="29">
        <f>VLOOKUP(A6456,Calendar!$A$1:$H$9997,6,FALSE)-F6456</f>
        <v/>
      </c>
      <c r="H6456" s="19" t="n">
        <v>3</v>
      </c>
      <c r="I6456" s="57" t="n">
        <v>8</v>
      </c>
    </row>
    <row r="6457">
      <c r="A6457" s="62" t="n">
        <v>47088</v>
      </c>
      <c r="B6457" s="3" t="inlineStr">
        <is>
          <t>Week</t>
        </is>
      </c>
      <c r="C6457" s="19" t="n">
        <v>12</v>
      </c>
      <c r="D6457" s="19" t="n">
        <v>2028</v>
      </c>
      <c r="E6457" s="57" t="n">
        <v>6</v>
      </c>
      <c r="F6457" s="29">
        <f>ROUND(((SUMIFS(Calendar!$F$2:$F$9997,Calendar!$B$2:$B$9997,D6457,Calendar!$C$2:$C$9997,C6457)*INDEX(ForeCalc!$B$37:$Y$274,MATCH(_xlfn.CONCAT(H6457," ",I6457),ForeCalc!$A$37:$A$274,0),MATCH(_xlfn.CONCAT(B6457," ",E6457),ForeCalc!$B$36:$Y$36,0))))*VLOOKUP(A6457,Calendar!$A$2:$H$9997,8,FALSE),0)</f>
        <v/>
      </c>
      <c r="G6457" s="29">
        <f>VLOOKUP(A6457,Calendar!$A$1:$H$9997,6,FALSE)-F6457</f>
        <v/>
      </c>
      <c r="H6457" s="19" t="n">
        <v>3</v>
      </c>
      <c r="I6457" s="57" t="n">
        <v>9</v>
      </c>
    </row>
    <row r="6458">
      <c r="A6458" s="62" t="n">
        <v>47089</v>
      </c>
      <c r="B6458" s="3" t="inlineStr">
        <is>
          <t>Sat</t>
        </is>
      </c>
      <c r="C6458" s="19" t="n">
        <v>12</v>
      </c>
      <c r="D6458" s="19" t="n">
        <v>2028</v>
      </c>
      <c r="E6458" s="57" t="n">
        <v>6</v>
      </c>
      <c r="F6458" s="29">
        <f>ROUND(((SUMIFS(Calendar!$F$2:$F$9997,Calendar!$B$2:$B$9997,D6458,Calendar!$C$2:$C$9997,C6458)*INDEX(ForeCalc!$B$37:$Y$274,MATCH(_xlfn.CONCAT(H6458," ",I6458),ForeCalc!$A$37:$A$274,0),MATCH(_xlfn.CONCAT(B6458," ",E6458),ForeCalc!$B$36:$Y$36,0))))*VLOOKUP(A6458,Calendar!$A$2:$H$9997,8,FALSE),0)</f>
        <v/>
      </c>
      <c r="G6458" s="29">
        <f>VLOOKUP(A6458,Calendar!$A$1:$H$9997,6,FALSE)-F6458</f>
        <v/>
      </c>
      <c r="H6458" s="19" t="n">
        <v>3</v>
      </c>
      <c r="I6458" s="57" t="n">
        <v>9</v>
      </c>
    </row>
    <row r="6459">
      <c r="A6459" s="62" t="n">
        <v>47090</v>
      </c>
      <c r="B6459" s="3" t="inlineStr">
        <is>
          <t>Sun</t>
        </is>
      </c>
      <c r="C6459" s="19" t="n">
        <v>12</v>
      </c>
      <c r="D6459" s="19" t="n">
        <v>2028</v>
      </c>
      <c r="E6459" s="57" t="n">
        <v>6</v>
      </c>
      <c r="F6459" s="29">
        <f>ROUND(((SUMIFS(Calendar!$F$2:$F$9997,Calendar!$B$2:$B$9997,D6459,Calendar!$C$2:$C$9997,C6459)*INDEX(ForeCalc!$B$37:$Y$274,MATCH(_xlfn.CONCAT(H6459," ",I6459),ForeCalc!$A$37:$A$274,0),MATCH(_xlfn.CONCAT(B6459," ",E6459),ForeCalc!$B$36:$Y$36,0))))*VLOOKUP(A6459,Calendar!$A$2:$H$9997,8,FALSE),0)</f>
        <v/>
      </c>
      <c r="G6459" s="29">
        <f>VLOOKUP(A6459,Calendar!$A$1:$H$9997,6,FALSE)-F6459</f>
        <v/>
      </c>
      <c r="H6459" s="19" t="n">
        <v>3</v>
      </c>
      <c r="I6459" s="57" t="n">
        <v>9</v>
      </c>
    </row>
    <row r="6460">
      <c r="A6460" s="62" t="n">
        <v>47091</v>
      </c>
      <c r="B6460" s="3" t="inlineStr">
        <is>
          <t>Week</t>
        </is>
      </c>
      <c r="C6460" s="19" t="n">
        <v>12</v>
      </c>
      <c r="D6460" s="19" t="n">
        <v>2028</v>
      </c>
      <c r="E6460" s="57" t="n">
        <v>6</v>
      </c>
      <c r="F6460" s="29">
        <f>ROUND(((SUMIFS(Calendar!$F$2:$F$9997,Calendar!$B$2:$B$9997,D6460,Calendar!$C$2:$C$9997,C6460)*INDEX(ForeCalc!$B$37:$Y$274,MATCH(_xlfn.CONCAT(H6460," ",I6460),ForeCalc!$A$37:$A$274,0),MATCH(_xlfn.CONCAT(B6460," ",E6460),ForeCalc!$B$36:$Y$36,0))))*VLOOKUP(A6460,Calendar!$A$2:$H$9997,8,FALSE),0)</f>
        <v/>
      </c>
      <c r="G6460" s="29">
        <f>VLOOKUP(A6460,Calendar!$A$1:$H$9997,6,FALSE)-F6460</f>
        <v/>
      </c>
      <c r="H6460" s="19" t="n">
        <v>3</v>
      </c>
      <c r="I6460" s="57" t="n">
        <v>9</v>
      </c>
    </row>
    <row r="6461">
      <c r="A6461" s="62" t="n">
        <v>47092</v>
      </c>
      <c r="B6461" s="3" t="inlineStr">
        <is>
          <t>Week</t>
        </is>
      </c>
      <c r="C6461" s="19" t="n">
        <v>12</v>
      </c>
      <c r="D6461" s="19" t="n">
        <v>2028</v>
      </c>
      <c r="E6461" s="57" t="n">
        <v>6</v>
      </c>
      <c r="F6461" s="29">
        <f>ROUND(((SUMIFS(Calendar!$F$2:$F$9997,Calendar!$B$2:$B$9997,D6461,Calendar!$C$2:$C$9997,C6461)*INDEX(ForeCalc!$B$37:$Y$274,MATCH(_xlfn.CONCAT(H6461," ",I6461),ForeCalc!$A$37:$A$274,0),MATCH(_xlfn.CONCAT(B6461," ",E6461),ForeCalc!$B$36:$Y$36,0))))*VLOOKUP(A6461,Calendar!$A$2:$H$9997,8,FALSE),0)</f>
        <v/>
      </c>
      <c r="G6461" s="29">
        <f>VLOOKUP(A6461,Calendar!$A$1:$H$9997,6,FALSE)-F6461</f>
        <v/>
      </c>
      <c r="H6461" s="19" t="n">
        <v>3</v>
      </c>
      <c r="I6461" s="57" t="n">
        <v>9</v>
      </c>
    </row>
    <row r="6462">
      <c r="A6462" s="62" t="n">
        <v>47093</v>
      </c>
      <c r="B6462" s="3" t="inlineStr">
        <is>
          <t>Week</t>
        </is>
      </c>
      <c r="C6462" s="19" t="n">
        <v>12</v>
      </c>
      <c r="D6462" s="19" t="n">
        <v>2028</v>
      </c>
      <c r="E6462" s="57" t="n">
        <v>6</v>
      </c>
      <c r="F6462" s="29">
        <f>ROUND(((SUMIFS(Calendar!$F$2:$F$9997,Calendar!$B$2:$B$9997,D6462,Calendar!$C$2:$C$9997,C6462)*INDEX(ForeCalc!$B$37:$Y$274,MATCH(_xlfn.CONCAT(H6462," ",I6462),ForeCalc!$A$37:$A$274,0),MATCH(_xlfn.CONCAT(B6462," ",E6462),ForeCalc!$B$36:$Y$36,0))))*VLOOKUP(A6462,Calendar!$A$2:$H$9997,8,FALSE),0)</f>
        <v/>
      </c>
      <c r="G6462" s="29">
        <f>VLOOKUP(A6462,Calendar!$A$1:$H$9997,6,FALSE)-F6462</f>
        <v/>
      </c>
      <c r="H6462" s="19" t="n">
        <v>3</v>
      </c>
      <c r="I6462" s="57" t="n">
        <v>9</v>
      </c>
    </row>
    <row r="6463">
      <c r="A6463" s="62" t="n">
        <v>47094</v>
      </c>
      <c r="B6463" s="3" t="inlineStr">
        <is>
          <t>Week</t>
        </is>
      </c>
      <c r="C6463" s="19" t="n">
        <v>12</v>
      </c>
      <c r="D6463" s="19" t="n">
        <v>2028</v>
      </c>
      <c r="E6463" s="57" t="n">
        <v>6</v>
      </c>
      <c r="F6463" s="29">
        <f>ROUND(((SUMIFS(Calendar!$F$2:$F$9997,Calendar!$B$2:$B$9997,D6463,Calendar!$C$2:$C$9997,C6463)*INDEX(ForeCalc!$B$37:$Y$274,MATCH(_xlfn.CONCAT(H6463," ",I6463),ForeCalc!$A$37:$A$274,0),MATCH(_xlfn.CONCAT(B6463," ",E6463),ForeCalc!$B$36:$Y$36,0))))*VLOOKUP(A6463,Calendar!$A$2:$H$9997,8,FALSE),0)</f>
        <v/>
      </c>
      <c r="G6463" s="29">
        <f>VLOOKUP(A6463,Calendar!$A$1:$H$9997,6,FALSE)-F6463</f>
        <v/>
      </c>
      <c r="H6463" s="19" t="n">
        <v>3</v>
      </c>
      <c r="I6463" s="57" t="n">
        <v>9</v>
      </c>
    </row>
    <row r="6464">
      <c r="A6464" s="62" t="n">
        <v>47095</v>
      </c>
      <c r="B6464" s="3" t="inlineStr">
        <is>
          <t>Week</t>
        </is>
      </c>
      <c r="C6464" s="19" t="n">
        <v>12</v>
      </c>
      <c r="D6464" s="19" t="n">
        <v>2028</v>
      </c>
      <c r="E6464" s="57" t="n">
        <v>6</v>
      </c>
      <c r="F6464" s="29">
        <f>ROUND(((SUMIFS(Calendar!$F$2:$F$9997,Calendar!$B$2:$B$9997,D6464,Calendar!$C$2:$C$9997,C6464)*INDEX(ForeCalc!$B$37:$Y$274,MATCH(_xlfn.CONCAT(H6464," ",I6464),ForeCalc!$A$37:$A$274,0),MATCH(_xlfn.CONCAT(B6464," ",E6464),ForeCalc!$B$36:$Y$36,0))))*VLOOKUP(A6464,Calendar!$A$2:$H$9997,8,FALSE),0)</f>
        <v/>
      </c>
      <c r="G6464" s="29">
        <f>VLOOKUP(A6464,Calendar!$A$1:$H$9997,6,FALSE)-F6464</f>
        <v/>
      </c>
      <c r="H6464" s="19" t="n">
        <v>3</v>
      </c>
      <c r="I6464" s="57" t="n">
        <v>9</v>
      </c>
    </row>
    <row r="6465">
      <c r="A6465" s="62" t="n">
        <v>47096</v>
      </c>
      <c r="B6465" s="3" t="inlineStr">
        <is>
          <t>Sat</t>
        </is>
      </c>
      <c r="C6465" s="19" t="n">
        <v>12</v>
      </c>
      <c r="D6465" s="19" t="n">
        <v>2028</v>
      </c>
      <c r="E6465" s="57" t="n">
        <v>6</v>
      </c>
      <c r="F6465" s="29">
        <f>ROUND(((SUMIFS(Calendar!$F$2:$F$9997,Calendar!$B$2:$B$9997,D6465,Calendar!$C$2:$C$9997,C6465)*INDEX(ForeCalc!$B$37:$Y$274,MATCH(_xlfn.CONCAT(H6465," ",I6465),ForeCalc!$A$37:$A$274,0),MATCH(_xlfn.CONCAT(B6465," ",E6465),ForeCalc!$B$36:$Y$36,0))))*VLOOKUP(A6465,Calendar!$A$2:$H$9997,8,FALSE),0)</f>
        <v/>
      </c>
      <c r="G6465" s="29">
        <f>VLOOKUP(A6465,Calendar!$A$1:$H$9997,6,FALSE)-F6465</f>
        <v/>
      </c>
      <c r="H6465" s="19" t="n">
        <v>3</v>
      </c>
      <c r="I6465" s="57" t="n">
        <v>9</v>
      </c>
    </row>
    <row r="6466">
      <c r="A6466" s="62" t="n">
        <v>47097</v>
      </c>
      <c r="B6466" s="3" t="inlineStr">
        <is>
          <t>Sun</t>
        </is>
      </c>
      <c r="C6466" s="19" t="n">
        <v>12</v>
      </c>
      <c r="D6466" s="19" t="n">
        <v>2028</v>
      </c>
      <c r="E6466" s="57" t="n">
        <v>6</v>
      </c>
      <c r="F6466" s="29">
        <f>ROUND(((SUMIFS(Calendar!$F$2:$F$9997,Calendar!$B$2:$B$9997,D6466,Calendar!$C$2:$C$9997,C6466)*INDEX(ForeCalc!$B$37:$Y$274,MATCH(_xlfn.CONCAT(H6466," ",I6466),ForeCalc!$A$37:$A$274,0),MATCH(_xlfn.CONCAT(B6466," ",E6466),ForeCalc!$B$36:$Y$36,0))))*VLOOKUP(A6466,Calendar!$A$2:$H$9997,8,FALSE),0)</f>
        <v/>
      </c>
      <c r="G6466" s="29">
        <f>VLOOKUP(A6466,Calendar!$A$1:$H$9997,6,FALSE)-F6466</f>
        <v/>
      </c>
      <c r="H6466" s="19" t="n">
        <v>3</v>
      </c>
      <c r="I6466" s="57" t="n">
        <v>9</v>
      </c>
    </row>
    <row r="6467">
      <c r="A6467" s="62" t="n">
        <v>47098</v>
      </c>
      <c r="B6467" s="3" t="inlineStr">
        <is>
          <t>Week</t>
        </is>
      </c>
      <c r="C6467" s="19" t="n">
        <v>12</v>
      </c>
      <c r="D6467" s="19" t="n">
        <v>2028</v>
      </c>
      <c r="E6467" s="57" t="n">
        <v>6</v>
      </c>
      <c r="F6467" s="29">
        <f>ROUND(((SUMIFS(Calendar!$F$2:$F$9997,Calendar!$B$2:$B$9997,D6467,Calendar!$C$2:$C$9997,C6467)*INDEX(ForeCalc!$B$37:$Y$274,MATCH(_xlfn.CONCAT(H6467," ",I6467),ForeCalc!$A$37:$A$274,0),MATCH(_xlfn.CONCAT(B6467," ",E6467),ForeCalc!$B$36:$Y$36,0))))*VLOOKUP(A6467,Calendar!$A$2:$H$9997,8,FALSE),0)</f>
        <v/>
      </c>
      <c r="G6467" s="29">
        <f>VLOOKUP(A6467,Calendar!$A$1:$H$9997,6,FALSE)-F6467</f>
        <v/>
      </c>
      <c r="H6467" s="19" t="n">
        <v>3</v>
      </c>
      <c r="I6467" s="57" t="n">
        <v>9</v>
      </c>
    </row>
    <row r="6468">
      <c r="A6468" s="62" t="n">
        <v>47099</v>
      </c>
      <c r="B6468" s="3" t="inlineStr">
        <is>
          <t>Week</t>
        </is>
      </c>
      <c r="C6468" s="19" t="n">
        <v>12</v>
      </c>
      <c r="D6468" s="19" t="n">
        <v>2028</v>
      </c>
      <c r="E6468" s="57" t="n">
        <v>6</v>
      </c>
      <c r="F6468" s="29">
        <f>ROUND(((SUMIFS(Calendar!$F$2:$F$9997,Calendar!$B$2:$B$9997,D6468,Calendar!$C$2:$C$9997,C6468)*INDEX(ForeCalc!$B$37:$Y$274,MATCH(_xlfn.CONCAT(H6468," ",I6468),ForeCalc!$A$37:$A$274,0),MATCH(_xlfn.CONCAT(B6468," ",E6468),ForeCalc!$B$36:$Y$36,0))))*VLOOKUP(A6468,Calendar!$A$2:$H$9997,8,FALSE),0)</f>
        <v/>
      </c>
      <c r="G6468" s="29">
        <f>VLOOKUP(A6468,Calendar!$A$1:$H$9997,6,FALSE)-F6468</f>
        <v/>
      </c>
      <c r="H6468" s="19" t="n">
        <v>3</v>
      </c>
      <c r="I6468" s="57" t="n">
        <v>9</v>
      </c>
    </row>
    <row r="6469">
      <c r="A6469" s="62" t="n">
        <v>47100</v>
      </c>
      <c r="B6469" s="3" t="inlineStr">
        <is>
          <t>Week</t>
        </is>
      </c>
      <c r="C6469" s="19" t="n">
        <v>12</v>
      </c>
      <c r="D6469" s="19" t="n">
        <v>2028</v>
      </c>
      <c r="E6469" s="57" t="n">
        <v>6</v>
      </c>
      <c r="F6469" s="29">
        <f>ROUND(((SUMIFS(Calendar!$F$2:$F$9997,Calendar!$B$2:$B$9997,D6469,Calendar!$C$2:$C$9997,C6469)*INDEX(ForeCalc!$B$37:$Y$274,MATCH(_xlfn.CONCAT(H6469," ",I6469),ForeCalc!$A$37:$A$274,0),MATCH(_xlfn.CONCAT(B6469," ",E6469),ForeCalc!$B$36:$Y$36,0))))*VLOOKUP(A6469,Calendar!$A$2:$H$9997,8,FALSE),0)</f>
        <v/>
      </c>
      <c r="G6469" s="29">
        <f>VLOOKUP(A6469,Calendar!$A$1:$H$9997,6,FALSE)-F6469</f>
        <v/>
      </c>
      <c r="H6469" s="19" t="n">
        <v>3</v>
      </c>
      <c r="I6469" s="57" t="n">
        <v>9</v>
      </c>
    </row>
    <row r="6470">
      <c r="A6470" s="62" t="n">
        <v>47101</v>
      </c>
      <c r="B6470" s="3" t="inlineStr">
        <is>
          <t>Week</t>
        </is>
      </c>
      <c r="C6470" s="19" t="n">
        <v>12</v>
      </c>
      <c r="D6470" s="19" t="n">
        <v>2028</v>
      </c>
      <c r="E6470" s="57" t="n">
        <v>6</v>
      </c>
      <c r="F6470" s="29">
        <f>ROUND(((SUMIFS(Calendar!$F$2:$F$9997,Calendar!$B$2:$B$9997,D6470,Calendar!$C$2:$C$9997,C6470)*INDEX(ForeCalc!$B$37:$Y$274,MATCH(_xlfn.CONCAT(H6470," ",I6470),ForeCalc!$A$37:$A$274,0),MATCH(_xlfn.CONCAT(B6470," ",E6470),ForeCalc!$B$36:$Y$36,0))))*VLOOKUP(A6470,Calendar!$A$2:$H$9997,8,FALSE),0)</f>
        <v/>
      </c>
      <c r="G6470" s="29">
        <f>VLOOKUP(A6470,Calendar!$A$1:$H$9997,6,FALSE)-F6470</f>
        <v/>
      </c>
      <c r="H6470" s="19" t="n">
        <v>3</v>
      </c>
      <c r="I6470" s="57" t="n">
        <v>9</v>
      </c>
    </row>
    <row r="6471">
      <c r="A6471" s="62" t="n">
        <v>47102</v>
      </c>
      <c r="B6471" s="3" t="inlineStr">
        <is>
          <t>Week</t>
        </is>
      </c>
      <c r="C6471" s="19" t="n">
        <v>12</v>
      </c>
      <c r="D6471" s="19" t="n">
        <v>2028</v>
      </c>
      <c r="E6471" s="57" t="n">
        <v>6</v>
      </c>
      <c r="F6471" s="29">
        <f>ROUND(((SUMIFS(Calendar!$F$2:$F$9997,Calendar!$B$2:$B$9997,D6471,Calendar!$C$2:$C$9997,C6471)*INDEX(ForeCalc!$B$37:$Y$274,MATCH(_xlfn.CONCAT(H6471," ",I6471),ForeCalc!$A$37:$A$274,0),MATCH(_xlfn.CONCAT(B6471," ",E6471),ForeCalc!$B$36:$Y$36,0))))*VLOOKUP(A6471,Calendar!$A$2:$H$9997,8,FALSE),0)</f>
        <v/>
      </c>
      <c r="G6471" s="29">
        <f>VLOOKUP(A6471,Calendar!$A$1:$H$9997,6,FALSE)-F6471</f>
        <v/>
      </c>
      <c r="H6471" s="19" t="n">
        <v>3</v>
      </c>
      <c r="I6471" s="57" t="n">
        <v>9</v>
      </c>
    </row>
    <row r="6472">
      <c r="A6472" s="62" t="n">
        <v>47103</v>
      </c>
      <c r="B6472" s="3" t="inlineStr">
        <is>
          <t>Sat</t>
        </is>
      </c>
      <c r="C6472" s="19" t="n">
        <v>12</v>
      </c>
      <c r="D6472" s="19" t="n">
        <v>2028</v>
      </c>
      <c r="E6472" s="57" t="n">
        <v>6</v>
      </c>
      <c r="F6472" s="29">
        <f>ROUND(((SUMIFS(Calendar!$F$2:$F$9997,Calendar!$B$2:$B$9997,D6472,Calendar!$C$2:$C$9997,C6472)*INDEX(ForeCalc!$B$37:$Y$274,MATCH(_xlfn.CONCAT(H6472," ",I6472),ForeCalc!$A$37:$A$274,0),MATCH(_xlfn.CONCAT(B6472," ",E6472),ForeCalc!$B$36:$Y$36,0))))*VLOOKUP(A6472,Calendar!$A$2:$H$9997,8,FALSE),0)</f>
        <v/>
      </c>
      <c r="G6472" s="29">
        <f>VLOOKUP(A6472,Calendar!$A$1:$H$9997,6,FALSE)-F6472</f>
        <v/>
      </c>
      <c r="H6472" s="19" t="n">
        <v>3</v>
      </c>
      <c r="I6472" s="57" t="n">
        <v>9</v>
      </c>
    </row>
    <row r="6473">
      <c r="A6473" s="62" t="n">
        <v>47104</v>
      </c>
      <c r="B6473" s="3" t="inlineStr">
        <is>
          <t>Sun</t>
        </is>
      </c>
      <c r="C6473" s="19" t="n">
        <v>12</v>
      </c>
      <c r="D6473" s="19" t="n">
        <v>2028</v>
      </c>
      <c r="E6473" s="57" t="n">
        <v>6</v>
      </c>
      <c r="F6473" s="29">
        <f>ROUND(((SUMIFS(Calendar!$F$2:$F$9997,Calendar!$B$2:$B$9997,D6473,Calendar!$C$2:$C$9997,C6473)*INDEX(ForeCalc!$B$37:$Y$274,MATCH(_xlfn.CONCAT(H6473," ",I6473),ForeCalc!$A$37:$A$274,0),MATCH(_xlfn.CONCAT(B6473," ",E6473),ForeCalc!$B$36:$Y$36,0))))*VLOOKUP(A6473,Calendar!$A$2:$H$9997,8,FALSE),0)</f>
        <v/>
      </c>
      <c r="G6473" s="29">
        <f>VLOOKUP(A6473,Calendar!$A$1:$H$9997,6,FALSE)-F6473</f>
        <v/>
      </c>
      <c r="H6473" s="19" t="n">
        <v>3</v>
      </c>
      <c r="I6473" s="57" t="n">
        <v>9</v>
      </c>
    </row>
    <row r="6474">
      <c r="A6474" s="62" t="n">
        <v>47105</v>
      </c>
      <c r="B6474" s="3" t="inlineStr">
        <is>
          <t>Week</t>
        </is>
      </c>
      <c r="C6474" s="19" t="n">
        <v>12</v>
      </c>
      <c r="D6474" s="19" t="n">
        <v>2028</v>
      </c>
      <c r="E6474" s="57" t="n">
        <v>6</v>
      </c>
      <c r="F6474" s="29">
        <f>ROUND(((SUMIFS(Calendar!$F$2:$F$9997,Calendar!$B$2:$B$9997,D6474,Calendar!$C$2:$C$9997,C6474)*INDEX(ForeCalc!$B$37:$Y$274,MATCH(_xlfn.CONCAT(H6474," ",I6474),ForeCalc!$A$37:$A$274,0),MATCH(_xlfn.CONCAT(B6474," ",E6474),ForeCalc!$B$36:$Y$36,0))))*VLOOKUP(A6474,Calendar!$A$2:$H$9997,8,FALSE),0)</f>
        <v/>
      </c>
      <c r="G6474" s="29">
        <f>VLOOKUP(A6474,Calendar!$A$1:$H$9997,6,FALSE)-F6474</f>
        <v/>
      </c>
      <c r="H6474" s="19" t="n">
        <v>3</v>
      </c>
      <c r="I6474" s="57" t="n">
        <v>9</v>
      </c>
    </row>
    <row r="6475">
      <c r="A6475" s="62" t="n">
        <v>47106</v>
      </c>
      <c r="B6475" s="3" t="inlineStr">
        <is>
          <t>Week</t>
        </is>
      </c>
      <c r="C6475" s="19" t="n">
        <v>12</v>
      </c>
      <c r="D6475" s="19" t="n">
        <v>2028</v>
      </c>
      <c r="E6475" s="57" t="n">
        <v>6</v>
      </c>
      <c r="F6475" s="29">
        <f>ROUND(((SUMIFS(Calendar!$F$2:$F$9997,Calendar!$B$2:$B$9997,D6475,Calendar!$C$2:$C$9997,C6475)*INDEX(ForeCalc!$B$37:$Y$274,MATCH(_xlfn.CONCAT(H6475," ",I6475),ForeCalc!$A$37:$A$274,0),MATCH(_xlfn.CONCAT(B6475," ",E6475),ForeCalc!$B$36:$Y$36,0))))*VLOOKUP(A6475,Calendar!$A$2:$H$9997,8,FALSE),0)</f>
        <v/>
      </c>
      <c r="G6475" s="29">
        <f>VLOOKUP(A6475,Calendar!$A$1:$H$9997,6,FALSE)-F6475</f>
        <v/>
      </c>
      <c r="H6475" s="19" t="n">
        <v>3</v>
      </c>
      <c r="I6475" s="57" t="n">
        <v>9</v>
      </c>
    </row>
    <row r="6476">
      <c r="A6476" s="62" t="n">
        <v>47107</v>
      </c>
      <c r="B6476" s="3" t="inlineStr">
        <is>
          <t>Week</t>
        </is>
      </c>
      <c r="C6476" s="19" t="n">
        <v>12</v>
      </c>
      <c r="D6476" s="19" t="n">
        <v>2028</v>
      </c>
      <c r="E6476" s="57" t="n">
        <v>6</v>
      </c>
      <c r="F6476" s="29">
        <f>ROUND(((SUMIFS(Calendar!$F$2:$F$9997,Calendar!$B$2:$B$9997,D6476,Calendar!$C$2:$C$9997,C6476)*INDEX(ForeCalc!$B$37:$Y$274,MATCH(_xlfn.CONCAT(H6476," ",I6476),ForeCalc!$A$37:$A$274,0),MATCH(_xlfn.CONCAT(B6476," ",E6476),ForeCalc!$B$36:$Y$36,0))))*VLOOKUP(A6476,Calendar!$A$2:$H$9997,8,FALSE),0)</f>
        <v/>
      </c>
      <c r="G6476" s="29">
        <f>VLOOKUP(A6476,Calendar!$A$1:$H$9997,6,FALSE)-F6476</f>
        <v/>
      </c>
      <c r="H6476" s="19" t="n">
        <v>3</v>
      </c>
      <c r="I6476" s="57" t="n">
        <v>9</v>
      </c>
    </row>
    <row r="6477">
      <c r="A6477" s="62" t="n">
        <v>47108</v>
      </c>
      <c r="B6477" s="3" t="inlineStr">
        <is>
          <t>Week</t>
        </is>
      </c>
      <c r="C6477" s="19" t="n">
        <v>12</v>
      </c>
      <c r="D6477" s="19" t="n">
        <v>2028</v>
      </c>
      <c r="E6477" s="57" t="n">
        <v>6</v>
      </c>
      <c r="F6477" s="29">
        <f>ROUND(((SUMIFS(Calendar!$F$2:$F$9997,Calendar!$B$2:$B$9997,D6477,Calendar!$C$2:$C$9997,C6477)*INDEX(ForeCalc!$B$37:$Y$274,MATCH(_xlfn.CONCAT(H6477," ",I6477),ForeCalc!$A$37:$A$274,0),MATCH(_xlfn.CONCAT(B6477," ",E6477),ForeCalc!$B$36:$Y$36,0))))*VLOOKUP(A6477,Calendar!$A$2:$H$9997,8,FALSE),0)</f>
        <v/>
      </c>
      <c r="G6477" s="29">
        <f>VLOOKUP(A6477,Calendar!$A$1:$H$9997,6,FALSE)-F6477</f>
        <v/>
      </c>
      <c r="H6477" s="19" t="n">
        <v>3</v>
      </c>
      <c r="I6477" s="57" t="n">
        <v>9</v>
      </c>
    </row>
    <row r="6478">
      <c r="A6478" s="62" t="n">
        <v>47109</v>
      </c>
      <c r="B6478" s="3" t="inlineStr">
        <is>
          <t>Week</t>
        </is>
      </c>
      <c r="C6478" s="19" t="n">
        <v>12</v>
      </c>
      <c r="D6478" s="19" t="n">
        <v>2028</v>
      </c>
      <c r="E6478" s="57" t="n">
        <v>6</v>
      </c>
      <c r="F6478" s="29">
        <f>ROUND(((SUMIFS(Calendar!$F$2:$F$9997,Calendar!$B$2:$B$9997,D6478,Calendar!$C$2:$C$9997,C6478)*INDEX(ForeCalc!$B$37:$Y$274,MATCH(_xlfn.CONCAT(H6478," ",I6478),ForeCalc!$A$37:$A$274,0),MATCH(_xlfn.CONCAT(B6478," ",E6478),ForeCalc!$B$36:$Y$36,0))))*VLOOKUP(A6478,Calendar!$A$2:$H$9997,8,FALSE),0)</f>
        <v/>
      </c>
      <c r="G6478" s="29">
        <f>VLOOKUP(A6478,Calendar!$A$1:$H$9997,6,FALSE)-F6478</f>
        <v/>
      </c>
      <c r="H6478" s="19" t="n">
        <v>3</v>
      </c>
      <c r="I6478" s="57" t="n">
        <v>9</v>
      </c>
    </row>
    <row r="6479">
      <c r="A6479" s="62" t="n">
        <v>47110</v>
      </c>
      <c r="B6479" s="3" t="inlineStr">
        <is>
          <t>Sat</t>
        </is>
      </c>
      <c r="C6479" s="19" t="n">
        <v>12</v>
      </c>
      <c r="D6479" s="19" t="n">
        <v>2028</v>
      </c>
      <c r="E6479" s="57" t="n">
        <v>6</v>
      </c>
      <c r="F6479" s="29">
        <f>ROUND(((SUMIFS(Calendar!$F$2:$F$9997,Calendar!$B$2:$B$9997,D6479,Calendar!$C$2:$C$9997,C6479)*INDEX(ForeCalc!$B$37:$Y$274,MATCH(_xlfn.CONCAT(H6479," ",I6479),ForeCalc!$A$37:$A$274,0),MATCH(_xlfn.CONCAT(B6479," ",E6479),ForeCalc!$B$36:$Y$36,0))))*VLOOKUP(A6479,Calendar!$A$2:$H$9997,8,FALSE),0)</f>
        <v/>
      </c>
      <c r="G6479" s="29">
        <f>VLOOKUP(A6479,Calendar!$A$1:$H$9997,6,FALSE)-F6479</f>
        <v/>
      </c>
      <c r="H6479" s="19" t="n">
        <v>3</v>
      </c>
      <c r="I6479" s="57" t="n">
        <v>9</v>
      </c>
    </row>
    <row r="6480">
      <c r="A6480" s="62" t="n">
        <v>47111</v>
      </c>
      <c r="B6480" s="3" t="inlineStr">
        <is>
          <t>Sun</t>
        </is>
      </c>
      <c r="C6480" s="19" t="n">
        <v>12</v>
      </c>
      <c r="D6480" s="19" t="n">
        <v>2028</v>
      </c>
      <c r="E6480" s="57" t="n">
        <v>6</v>
      </c>
      <c r="F6480" s="29">
        <f>ROUND(((SUMIFS(Calendar!$F$2:$F$9997,Calendar!$B$2:$B$9997,D6480,Calendar!$C$2:$C$9997,C6480)*INDEX(ForeCalc!$B$37:$Y$274,MATCH(_xlfn.CONCAT(H6480," ",I6480),ForeCalc!$A$37:$A$274,0),MATCH(_xlfn.CONCAT(B6480," ",E6480),ForeCalc!$B$36:$Y$36,0))))*VLOOKUP(A6480,Calendar!$A$2:$H$9997,8,FALSE),0)</f>
        <v/>
      </c>
      <c r="G6480" s="29">
        <f>VLOOKUP(A6480,Calendar!$A$1:$H$9997,6,FALSE)-F6480</f>
        <v/>
      </c>
      <c r="H6480" s="19" t="n">
        <v>3</v>
      </c>
      <c r="I6480" s="57" t="n">
        <v>9</v>
      </c>
    </row>
    <row r="6481">
      <c r="A6481" s="62" t="n">
        <v>47112</v>
      </c>
      <c r="B6481" s="3" t="inlineStr">
        <is>
          <t>Week</t>
        </is>
      </c>
      <c r="C6481" s="19" t="n">
        <v>12</v>
      </c>
      <c r="D6481" s="19" t="n">
        <v>2028</v>
      </c>
      <c r="E6481" s="57" t="n">
        <v>6</v>
      </c>
      <c r="F6481" s="29">
        <f>ROUND(((SUMIFS(Calendar!$F$2:$F$9997,Calendar!$B$2:$B$9997,D6481,Calendar!$C$2:$C$9997,C6481)*INDEX(ForeCalc!$B$37:$Y$274,MATCH(_xlfn.CONCAT(H6481," ",I6481),ForeCalc!$A$37:$A$274,0),MATCH(_xlfn.CONCAT(B6481," ",E6481),ForeCalc!$B$36:$Y$36,0))))*VLOOKUP(A6481,Calendar!$A$2:$H$9997,8,FALSE),0)</f>
        <v/>
      </c>
      <c r="G6481" s="29">
        <f>VLOOKUP(A6481,Calendar!$A$1:$H$9997,6,FALSE)-F6481</f>
        <v/>
      </c>
      <c r="H6481" s="19" t="n">
        <v>3</v>
      </c>
      <c r="I6481" s="57" t="n">
        <v>9</v>
      </c>
    </row>
    <row r="6482">
      <c r="A6482" s="62" t="n">
        <v>47113</v>
      </c>
      <c r="B6482" s="3" t="inlineStr">
        <is>
          <t>Week</t>
        </is>
      </c>
      <c r="C6482" s="19" t="n">
        <v>12</v>
      </c>
      <c r="D6482" s="19" t="n">
        <v>2028</v>
      </c>
      <c r="E6482" s="57" t="n">
        <v>6</v>
      </c>
      <c r="F6482" s="29">
        <f>ROUND(((SUMIFS(Calendar!$F$2:$F$9997,Calendar!$B$2:$B$9997,D6482,Calendar!$C$2:$C$9997,C6482)*INDEX(ForeCalc!$B$37:$Y$274,MATCH(_xlfn.CONCAT(H6482," ",I6482),ForeCalc!$A$37:$A$274,0),MATCH(_xlfn.CONCAT(B6482," ",E6482),ForeCalc!$B$36:$Y$36,0))))*VLOOKUP(A6482,Calendar!$A$2:$H$9997,8,FALSE),0)</f>
        <v/>
      </c>
      <c r="G6482" s="29">
        <f>VLOOKUP(A6482,Calendar!$A$1:$H$9997,6,FALSE)-F6482</f>
        <v/>
      </c>
      <c r="H6482" s="19" t="n">
        <v>3</v>
      </c>
      <c r="I6482" s="57" t="n">
        <v>9</v>
      </c>
    </row>
    <row r="6483">
      <c r="A6483" s="62" t="n">
        <v>47114</v>
      </c>
      <c r="B6483" s="3" t="inlineStr">
        <is>
          <t>Week</t>
        </is>
      </c>
      <c r="C6483" s="19" t="n">
        <v>12</v>
      </c>
      <c r="D6483" s="19" t="n">
        <v>2028</v>
      </c>
      <c r="E6483" s="57" t="n">
        <v>6</v>
      </c>
      <c r="F6483" s="29">
        <f>ROUND(((SUMIFS(Calendar!$F$2:$F$9997,Calendar!$B$2:$B$9997,D6483,Calendar!$C$2:$C$9997,C6483)*INDEX(ForeCalc!$B$37:$Y$274,MATCH(_xlfn.CONCAT(H6483," ",I6483),ForeCalc!$A$37:$A$274,0),MATCH(_xlfn.CONCAT(B6483," ",E6483),ForeCalc!$B$36:$Y$36,0))))*VLOOKUP(A6483,Calendar!$A$2:$H$9997,8,FALSE),0)</f>
        <v/>
      </c>
      <c r="G6483" s="29">
        <f>VLOOKUP(A6483,Calendar!$A$1:$H$9997,6,FALSE)-F6483</f>
        <v/>
      </c>
      <c r="H6483" s="19" t="n">
        <v>3</v>
      </c>
      <c r="I6483" s="57" t="n">
        <v>9</v>
      </c>
    </row>
    <row r="6484">
      <c r="A6484" s="62" t="n">
        <v>47115</v>
      </c>
      <c r="B6484" s="3" t="inlineStr">
        <is>
          <t>Week</t>
        </is>
      </c>
      <c r="C6484" s="19" t="n">
        <v>12</v>
      </c>
      <c r="D6484" s="19" t="n">
        <v>2028</v>
      </c>
      <c r="E6484" s="57" t="n">
        <v>6</v>
      </c>
      <c r="F6484" s="29">
        <f>ROUND(((SUMIFS(Calendar!$F$2:$F$9997,Calendar!$B$2:$B$9997,D6484,Calendar!$C$2:$C$9997,C6484)*INDEX(ForeCalc!$B$37:$Y$274,MATCH(_xlfn.CONCAT(H6484," ",I6484),ForeCalc!$A$37:$A$274,0),MATCH(_xlfn.CONCAT(B6484," ",E6484),ForeCalc!$B$36:$Y$36,0))))*VLOOKUP(A6484,Calendar!$A$2:$H$9997,8,FALSE),0)</f>
        <v/>
      </c>
      <c r="G6484" s="29">
        <f>VLOOKUP(A6484,Calendar!$A$1:$H$9997,6,FALSE)-F6484</f>
        <v/>
      </c>
      <c r="H6484" s="19" t="n">
        <v>3</v>
      </c>
      <c r="I6484" s="57" t="n">
        <v>9</v>
      </c>
    </row>
    <row r="6485">
      <c r="A6485" s="62" t="n">
        <v>47116</v>
      </c>
      <c r="B6485" s="3" t="inlineStr">
        <is>
          <t>Week</t>
        </is>
      </c>
      <c r="C6485" s="19" t="n">
        <v>12</v>
      </c>
      <c r="D6485" s="19" t="n">
        <v>2028</v>
      </c>
      <c r="E6485" s="57" t="n">
        <v>6</v>
      </c>
      <c r="F6485" s="29">
        <f>ROUND(((SUMIFS(Calendar!$F$2:$F$9997,Calendar!$B$2:$B$9997,D6485,Calendar!$C$2:$C$9997,C6485)*INDEX(ForeCalc!$B$37:$Y$274,MATCH(_xlfn.CONCAT(H6485," ",I6485),ForeCalc!$A$37:$A$274,0),MATCH(_xlfn.CONCAT(B6485," ",E6485),ForeCalc!$B$36:$Y$36,0))))*VLOOKUP(A6485,Calendar!$A$2:$H$9997,8,FALSE),0)</f>
        <v/>
      </c>
      <c r="G6485" s="29">
        <f>VLOOKUP(A6485,Calendar!$A$1:$H$9997,6,FALSE)-F6485</f>
        <v/>
      </c>
      <c r="H6485" s="19" t="n">
        <v>3</v>
      </c>
      <c r="I6485" s="57" t="n">
        <v>9</v>
      </c>
    </row>
    <row r="6486">
      <c r="A6486" s="62" t="n">
        <v>47117</v>
      </c>
      <c r="B6486" s="3" t="inlineStr">
        <is>
          <t>Sat</t>
        </is>
      </c>
      <c r="C6486" s="19" t="n">
        <v>12</v>
      </c>
      <c r="D6486" s="19" t="n">
        <v>2028</v>
      </c>
      <c r="E6486" s="57" t="n">
        <v>6</v>
      </c>
      <c r="F6486" s="29">
        <f>ROUND(((SUMIFS(Calendar!$F$2:$F$9997,Calendar!$B$2:$B$9997,D6486,Calendar!$C$2:$C$9997,C6486)*INDEX(ForeCalc!$B$37:$Y$274,MATCH(_xlfn.CONCAT(H6486," ",I6486),ForeCalc!$A$37:$A$274,0),MATCH(_xlfn.CONCAT(B6486," ",E6486),ForeCalc!$B$36:$Y$36,0))))*VLOOKUP(A6486,Calendar!$A$2:$H$9997,8,FALSE),0)</f>
        <v/>
      </c>
      <c r="G6486" s="29">
        <f>VLOOKUP(A6486,Calendar!$A$1:$H$9997,6,FALSE)-F6486</f>
        <v/>
      </c>
      <c r="H6486" s="19" t="n">
        <v>3</v>
      </c>
      <c r="I6486" s="57" t="n">
        <v>9</v>
      </c>
    </row>
    <row r="6487">
      <c r="A6487" s="62" t="n">
        <v>47118</v>
      </c>
      <c r="B6487" s="3" t="inlineStr">
        <is>
          <t>Sun</t>
        </is>
      </c>
      <c r="C6487" s="19" t="n">
        <v>12</v>
      </c>
      <c r="D6487" s="19" t="n">
        <v>2028</v>
      </c>
      <c r="E6487" s="57" t="n">
        <v>6</v>
      </c>
      <c r="F6487" s="29">
        <f>ROUND(((SUMIFS(Calendar!$F$2:$F$9997,Calendar!$B$2:$B$9997,D6487,Calendar!$C$2:$C$9997,C6487)*INDEX(ForeCalc!$B$37:$Y$274,MATCH(_xlfn.CONCAT(H6487," ",I6487),ForeCalc!$A$37:$A$274,0),MATCH(_xlfn.CONCAT(B6487," ",E6487),ForeCalc!$B$36:$Y$36,0))))*VLOOKUP(A6487,Calendar!$A$2:$H$9997,8,FALSE),0)</f>
        <v/>
      </c>
      <c r="G6487" s="29">
        <f>VLOOKUP(A6487,Calendar!$A$1:$H$9997,6,FALSE)-F6487</f>
        <v/>
      </c>
      <c r="H6487" s="19" t="n">
        <v>3</v>
      </c>
      <c r="I6487" s="57" t="n">
        <v>9</v>
      </c>
    </row>
    <row r="6488">
      <c r="A6488" s="62" t="n">
        <v>47119</v>
      </c>
      <c r="B6488" s="3" t="inlineStr">
        <is>
          <t>Week</t>
        </is>
      </c>
      <c r="C6488" s="19" t="n">
        <v>1</v>
      </c>
      <c r="D6488" s="19" t="n">
        <v>2029</v>
      </c>
      <c r="E6488" s="57" t="n">
        <v>6</v>
      </c>
      <c r="F6488" s="29">
        <f>ROUND(((SUMIFS(Calendar!$F$2:$F$9997,Calendar!$B$2:$B$9997,D6488,Calendar!$C$2:$C$9997,C6488)*INDEX(ForeCalc!$B$37:$Y$274,MATCH(_xlfn.CONCAT(H6488," ",I6488),ForeCalc!$A$37:$A$274,0),MATCH(_xlfn.CONCAT(B6488," ",E6488),ForeCalc!$B$36:$Y$36,0))))*VLOOKUP(A6488,Calendar!$A$2:$H$9997,8,FALSE),0)</f>
        <v/>
      </c>
      <c r="G6488" s="29">
        <f>VLOOKUP(A6488,Calendar!$A$1:$H$9997,6,FALSE)-F6488</f>
        <v/>
      </c>
      <c r="H6488" s="19" t="n">
        <v>3</v>
      </c>
      <c r="I6488" s="57" t="n">
        <v>10</v>
      </c>
    </row>
    <row r="6489">
      <c r="A6489" s="62" t="n">
        <v>47120</v>
      </c>
      <c r="B6489" s="3" t="inlineStr">
        <is>
          <t>Week</t>
        </is>
      </c>
      <c r="C6489" s="19" t="n">
        <v>1</v>
      </c>
      <c r="D6489" s="19" t="n">
        <v>2029</v>
      </c>
      <c r="E6489" s="57" t="n">
        <v>6</v>
      </c>
      <c r="F6489" s="29">
        <f>ROUND(((SUMIFS(Calendar!$F$2:$F$9997,Calendar!$B$2:$B$9997,D6489,Calendar!$C$2:$C$9997,C6489)*INDEX(ForeCalc!$B$37:$Y$274,MATCH(_xlfn.CONCAT(H6489," ",I6489),ForeCalc!$A$37:$A$274,0),MATCH(_xlfn.CONCAT(B6489," ",E6489),ForeCalc!$B$36:$Y$36,0))))*VLOOKUP(A6489,Calendar!$A$2:$H$9997,8,FALSE),0)</f>
        <v/>
      </c>
      <c r="G6489" s="29">
        <f>VLOOKUP(A6489,Calendar!$A$1:$H$9997,6,FALSE)-F6489</f>
        <v/>
      </c>
      <c r="H6489" s="19" t="n">
        <v>3</v>
      </c>
      <c r="I6489" s="57" t="n">
        <v>10</v>
      </c>
    </row>
    <row r="6490">
      <c r="A6490" s="62" t="n">
        <v>47121</v>
      </c>
      <c r="B6490" s="3" t="inlineStr">
        <is>
          <t>Week</t>
        </is>
      </c>
      <c r="C6490" s="19" t="n">
        <v>1</v>
      </c>
      <c r="D6490" s="19" t="n">
        <v>2029</v>
      </c>
      <c r="E6490" s="57" t="n">
        <v>6</v>
      </c>
      <c r="F6490" s="29">
        <f>ROUND(((SUMIFS(Calendar!$F$2:$F$9997,Calendar!$B$2:$B$9997,D6490,Calendar!$C$2:$C$9997,C6490)*INDEX(ForeCalc!$B$37:$Y$274,MATCH(_xlfn.CONCAT(H6490," ",I6490),ForeCalc!$A$37:$A$274,0),MATCH(_xlfn.CONCAT(B6490," ",E6490),ForeCalc!$B$36:$Y$36,0))))*VLOOKUP(A6490,Calendar!$A$2:$H$9997,8,FALSE),0)</f>
        <v/>
      </c>
      <c r="G6490" s="29">
        <f>VLOOKUP(A6490,Calendar!$A$1:$H$9997,6,FALSE)-F6490</f>
        <v/>
      </c>
      <c r="H6490" s="19" t="n">
        <v>3</v>
      </c>
      <c r="I6490" s="57" t="n">
        <v>10</v>
      </c>
    </row>
    <row r="6491">
      <c r="A6491" s="62" t="n">
        <v>47122</v>
      </c>
      <c r="B6491" s="3" t="inlineStr">
        <is>
          <t>Week</t>
        </is>
      </c>
      <c r="C6491" s="19" t="n">
        <v>1</v>
      </c>
      <c r="D6491" s="19" t="n">
        <v>2029</v>
      </c>
      <c r="E6491" s="57" t="n">
        <v>6</v>
      </c>
      <c r="F6491" s="29">
        <f>ROUND(((SUMIFS(Calendar!$F$2:$F$9997,Calendar!$B$2:$B$9997,D6491,Calendar!$C$2:$C$9997,C6491)*INDEX(ForeCalc!$B$37:$Y$274,MATCH(_xlfn.CONCAT(H6491," ",I6491),ForeCalc!$A$37:$A$274,0),MATCH(_xlfn.CONCAT(B6491," ",E6491),ForeCalc!$B$36:$Y$36,0))))*VLOOKUP(A6491,Calendar!$A$2:$H$9997,8,FALSE),0)</f>
        <v/>
      </c>
      <c r="G6491" s="29">
        <f>VLOOKUP(A6491,Calendar!$A$1:$H$9997,6,FALSE)-F6491</f>
        <v/>
      </c>
      <c r="H6491" s="19" t="n">
        <v>3</v>
      </c>
      <c r="I6491" s="57" t="n">
        <v>10</v>
      </c>
    </row>
    <row r="6492">
      <c r="A6492" s="62" t="n">
        <v>47123</v>
      </c>
      <c r="B6492" s="3" t="inlineStr">
        <is>
          <t>Week</t>
        </is>
      </c>
      <c r="C6492" s="19" t="n">
        <v>1</v>
      </c>
      <c r="D6492" s="19" t="n">
        <v>2029</v>
      </c>
      <c r="E6492" s="57" t="n">
        <v>6</v>
      </c>
      <c r="F6492" s="29">
        <f>ROUND(((SUMIFS(Calendar!$F$2:$F$9997,Calendar!$B$2:$B$9997,D6492,Calendar!$C$2:$C$9997,C6492)*INDEX(ForeCalc!$B$37:$Y$274,MATCH(_xlfn.CONCAT(H6492," ",I6492),ForeCalc!$A$37:$A$274,0),MATCH(_xlfn.CONCAT(B6492," ",E6492),ForeCalc!$B$36:$Y$36,0))))*VLOOKUP(A6492,Calendar!$A$2:$H$9997,8,FALSE),0)</f>
        <v/>
      </c>
      <c r="G6492" s="29">
        <f>VLOOKUP(A6492,Calendar!$A$1:$H$9997,6,FALSE)-F6492</f>
        <v/>
      </c>
      <c r="H6492" s="19" t="n">
        <v>3</v>
      </c>
      <c r="I6492" s="57" t="n">
        <v>10</v>
      </c>
    </row>
    <row r="6493">
      <c r="A6493" s="62" t="n">
        <v>47124</v>
      </c>
      <c r="B6493" s="3" t="inlineStr">
        <is>
          <t>Sat</t>
        </is>
      </c>
      <c r="C6493" s="19" t="n">
        <v>1</v>
      </c>
      <c r="D6493" s="19" t="n">
        <v>2029</v>
      </c>
      <c r="E6493" s="57" t="n">
        <v>6</v>
      </c>
      <c r="F6493" s="29">
        <f>ROUND(((SUMIFS(Calendar!$F$2:$F$9997,Calendar!$B$2:$B$9997,D6493,Calendar!$C$2:$C$9997,C6493)*INDEX(ForeCalc!$B$37:$Y$274,MATCH(_xlfn.CONCAT(H6493," ",I6493),ForeCalc!$A$37:$A$274,0),MATCH(_xlfn.CONCAT(B6493," ",E6493),ForeCalc!$B$36:$Y$36,0))))*VLOOKUP(A6493,Calendar!$A$2:$H$9997,8,FALSE),0)</f>
        <v/>
      </c>
      <c r="G6493" s="29">
        <f>VLOOKUP(A6493,Calendar!$A$1:$H$9997,6,FALSE)-F6493</f>
        <v/>
      </c>
      <c r="H6493" s="19" t="n">
        <v>3</v>
      </c>
      <c r="I6493" s="57" t="n">
        <v>10</v>
      </c>
    </row>
    <row r="6494">
      <c r="A6494" s="62" t="n">
        <v>47125</v>
      </c>
      <c r="B6494" s="3" t="inlineStr">
        <is>
          <t>Sun</t>
        </is>
      </c>
      <c r="C6494" s="19" t="n">
        <v>1</v>
      </c>
      <c r="D6494" s="19" t="n">
        <v>2029</v>
      </c>
      <c r="E6494" s="57" t="n">
        <v>6</v>
      </c>
      <c r="F6494" s="29">
        <f>ROUND(((SUMIFS(Calendar!$F$2:$F$9997,Calendar!$B$2:$B$9997,D6494,Calendar!$C$2:$C$9997,C6494)*INDEX(ForeCalc!$B$37:$Y$274,MATCH(_xlfn.CONCAT(H6494," ",I6494),ForeCalc!$A$37:$A$274,0),MATCH(_xlfn.CONCAT(B6494," ",E6494),ForeCalc!$B$36:$Y$36,0))))*VLOOKUP(A6494,Calendar!$A$2:$H$9997,8,FALSE),0)</f>
        <v/>
      </c>
      <c r="G6494" s="29">
        <f>VLOOKUP(A6494,Calendar!$A$1:$H$9997,6,FALSE)-F6494</f>
        <v/>
      </c>
      <c r="H6494" s="19" t="n">
        <v>3</v>
      </c>
      <c r="I6494" s="57" t="n">
        <v>10</v>
      </c>
    </row>
    <row r="6495">
      <c r="A6495" s="62" t="n">
        <v>47126</v>
      </c>
      <c r="B6495" s="3" t="inlineStr">
        <is>
          <t>Week</t>
        </is>
      </c>
      <c r="C6495" s="19" t="n">
        <v>1</v>
      </c>
      <c r="D6495" s="19" t="n">
        <v>2029</v>
      </c>
      <c r="E6495" s="57" t="n">
        <v>6</v>
      </c>
      <c r="F6495" s="29">
        <f>ROUND(((SUMIFS(Calendar!$F$2:$F$9997,Calendar!$B$2:$B$9997,D6495,Calendar!$C$2:$C$9997,C6495)*INDEX(ForeCalc!$B$37:$Y$274,MATCH(_xlfn.CONCAT(H6495," ",I6495),ForeCalc!$A$37:$A$274,0),MATCH(_xlfn.CONCAT(B6495," ",E6495),ForeCalc!$B$36:$Y$36,0))))*VLOOKUP(A6495,Calendar!$A$2:$H$9997,8,FALSE),0)</f>
        <v/>
      </c>
      <c r="G6495" s="29">
        <f>VLOOKUP(A6495,Calendar!$A$1:$H$9997,6,FALSE)-F6495</f>
        <v/>
      </c>
      <c r="H6495" s="19" t="n">
        <v>3</v>
      </c>
      <c r="I6495" s="57" t="n">
        <v>10</v>
      </c>
    </row>
    <row r="6496">
      <c r="A6496" s="62" t="n">
        <v>47127</v>
      </c>
      <c r="B6496" s="3" t="inlineStr">
        <is>
          <t>Week</t>
        </is>
      </c>
      <c r="C6496" s="19" t="n">
        <v>1</v>
      </c>
      <c r="D6496" s="19" t="n">
        <v>2029</v>
      </c>
      <c r="E6496" s="57" t="n">
        <v>6</v>
      </c>
      <c r="F6496" s="29">
        <f>ROUND(((SUMIFS(Calendar!$F$2:$F$9997,Calendar!$B$2:$B$9997,D6496,Calendar!$C$2:$C$9997,C6496)*INDEX(ForeCalc!$B$37:$Y$274,MATCH(_xlfn.CONCAT(H6496," ",I6496),ForeCalc!$A$37:$A$274,0),MATCH(_xlfn.CONCAT(B6496," ",E6496),ForeCalc!$B$36:$Y$36,0))))*VLOOKUP(A6496,Calendar!$A$2:$H$9997,8,FALSE),0)</f>
        <v/>
      </c>
      <c r="G6496" s="29">
        <f>VLOOKUP(A6496,Calendar!$A$1:$H$9997,6,FALSE)-F6496</f>
        <v/>
      </c>
      <c r="H6496" s="19" t="n">
        <v>3</v>
      </c>
      <c r="I6496" s="57" t="n">
        <v>10</v>
      </c>
    </row>
    <row r="6497">
      <c r="A6497" s="62" t="n">
        <v>47128</v>
      </c>
      <c r="B6497" s="3" t="inlineStr">
        <is>
          <t>Week</t>
        </is>
      </c>
      <c r="C6497" s="19" t="n">
        <v>1</v>
      </c>
      <c r="D6497" s="19" t="n">
        <v>2029</v>
      </c>
      <c r="E6497" s="57" t="n">
        <v>6</v>
      </c>
      <c r="F6497" s="29">
        <f>ROUND(((SUMIFS(Calendar!$F$2:$F$9997,Calendar!$B$2:$B$9997,D6497,Calendar!$C$2:$C$9997,C6497)*INDEX(ForeCalc!$B$37:$Y$274,MATCH(_xlfn.CONCAT(H6497," ",I6497),ForeCalc!$A$37:$A$274,0),MATCH(_xlfn.CONCAT(B6497," ",E6497),ForeCalc!$B$36:$Y$36,0))))*VLOOKUP(A6497,Calendar!$A$2:$H$9997,8,FALSE),0)</f>
        <v/>
      </c>
      <c r="G6497" s="29">
        <f>VLOOKUP(A6497,Calendar!$A$1:$H$9997,6,FALSE)-F6497</f>
        <v/>
      </c>
      <c r="H6497" s="19" t="n">
        <v>3</v>
      </c>
      <c r="I6497" s="57" t="n">
        <v>10</v>
      </c>
    </row>
    <row r="6498">
      <c r="A6498" s="62" t="n">
        <v>47129</v>
      </c>
      <c r="B6498" s="3" t="inlineStr">
        <is>
          <t>Week</t>
        </is>
      </c>
      <c r="C6498" s="19" t="n">
        <v>1</v>
      </c>
      <c r="D6498" s="19" t="n">
        <v>2029</v>
      </c>
      <c r="E6498" s="57" t="n">
        <v>6</v>
      </c>
      <c r="F6498" s="29">
        <f>ROUND(((SUMIFS(Calendar!$F$2:$F$9997,Calendar!$B$2:$B$9997,D6498,Calendar!$C$2:$C$9997,C6498)*INDEX(ForeCalc!$B$37:$Y$274,MATCH(_xlfn.CONCAT(H6498," ",I6498),ForeCalc!$A$37:$A$274,0),MATCH(_xlfn.CONCAT(B6498," ",E6498),ForeCalc!$B$36:$Y$36,0))))*VLOOKUP(A6498,Calendar!$A$2:$H$9997,8,FALSE),0)</f>
        <v/>
      </c>
      <c r="G6498" s="29">
        <f>VLOOKUP(A6498,Calendar!$A$1:$H$9997,6,FALSE)-F6498</f>
        <v/>
      </c>
      <c r="H6498" s="19" t="n">
        <v>3</v>
      </c>
      <c r="I6498" s="57" t="n">
        <v>10</v>
      </c>
    </row>
    <row r="6499">
      <c r="A6499" s="62" t="n">
        <v>47130</v>
      </c>
      <c r="B6499" s="3" t="inlineStr">
        <is>
          <t>Week</t>
        </is>
      </c>
      <c r="C6499" s="19" t="n">
        <v>1</v>
      </c>
      <c r="D6499" s="19" t="n">
        <v>2029</v>
      </c>
      <c r="E6499" s="57" t="n">
        <v>6</v>
      </c>
      <c r="F6499" s="29">
        <f>ROUND(((SUMIFS(Calendar!$F$2:$F$9997,Calendar!$B$2:$B$9997,D6499,Calendar!$C$2:$C$9997,C6499)*INDEX(ForeCalc!$B$37:$Y$274,MATCH(_xlfn.CONCAT(H6499," ",I6499),ForeCalc!$A$37:$A$274,0),MATCH(_xlfn.CONCAT(B6499," ",E6499),ForeCalc!$B$36:$Y$36,0))))*VLOOKUP(A6499,Calendar!$A$2:$H$9997,8,FALSE),0)</f>
        <v/>
      </c>
      <c r="G6499" s="29">
        <f>VLOOKUP(A6499,Calendar!$A$1:$H$9997,6,FALSE)-F6499</f>
        <v/>
      </c>
      <c r="H6499" s="19" t="n">
        <v>3</v>
      </c>
      <c r="I6499" s="57" t="n">
        <v>10</v>
      </c>
    </row>
    <row r="6500">
      <c r="A6500" s="62" t="n">
        <v>47131</v>
      </c>
      <c r="B6500" s="3" t="inlineStr">
        <is>
          <t>Sat</t>
        </is>
      </c>
      <c r="C6500" s="19" t="n">
        <v>1</v>
      </c>
      <c r="D6500" s="19" t="n">
        <v>2029</v>
      </c>
      <c r="E6500" s="57" t="n">
        <v>6</v>
      </c>
      <c r="F6500" s="29">
        <f>ROUND(((SUMIFS(Calendar!$F$2:$F$9997,Calendar!$B$2:$B$9997,D6500,Calendar!$C$2:$C$9997,C6500)*INDEX(ForeCalc!$B$37:$Y$274,MATCH(_xlfn.CONCAT(H6500," ",I6500),ForeCalc!$A$37:$A$274,0),MATCH(_xlfn.CONCAT(B6500," ",E6500),ForeCalc!$B$36:$Y$36,0))))*VLOOKUP(A6500,Calendar!$A$2:$H$9997,8,FALSE),0)</f>
        <v/>
      </c>
      <c r="G6500" s="29">
        <f>VLOOKUP(A6500,Calendar!$A$1:$H$9997,6,FALSE)-F6500</f>
        <v/>
      </c>
      <c r="H6500" s="19" t="n">
        <v>3</v>
      </c>
      <c r="I6500" s="57" t="n">
        <v>10</v>
      </c>
    </row>
    <row r="6501">
      <c r="A6501" s="62" t="n">
        <v>47132</v>
      </c>
      <c r="B6501" s="3" t="inlineStr">
        <is>
          <t>Sun</t>
        </is>
      </c>
      <c r="C6501" s="19" t="n">
        <v>1</v>
      </c>
      <c r="D6501" s="19" t="n">
        <v>2029</v>
      </c>
      <c r="E6501" s="57" t="n">
        <v>6</v>
      </c>
      <c r="F6501" s="29">
        <f>ROUND(((SUMIFS(Calendar!$F$2:$F$9997,Calendar!$B$2:$B$9997,D6501,Calendar!$C$2:$C$9997,C6501)*INDEX(ForeCalc!$B$37:$Y$274,MATCH(_xlfn.CONCAT(H6501," ",I6501),ForeCalc!$A$37:$A$274,0),MATCH(_xlfn.CONCAT(B6501," ",E6501),ForeCalc!$B$36:$Y$36,0))))*VLOOKUP(A6501,Calendar!$A$2:$H$9997,8,FALSE),0)</f>
        <v/>
      </c>
      <c r="G6501" s="29">
        <f>VLOOKUP(A6501,Calendar!$A$1:$H$9997,6,FALSE)-F6501</f>
        <v/>
      </c>
      <c r="H6501" s="19" t="n">
        <v>3</v>
      </c>
      <c r="I6501" s="57" t="n">
        <v>10</v>
      </c>
    </row>
    <row r="6502">
      <c r="A6502" s="62" t="n">
        <v>47133</v>
      </c>
      <c r="B6502" s="3" t="inlineStr">
        <is>
          <t>Week</t>
        </is>
      </c>
      <c r="C6502" s="19" t="n">
        <v>1</v>
      </c>
      <c r="D6502" s="19" t="n">
        <v>2029</v>
      </c>
      <c r="E6502" s="57" t="n">
        <v>6</v>
      </c>
      <c r="F6502" s="29">
        <f>ROUND(((SUMIFS(Calendar!$F$2:$F$9997,Calendar!$B$2:$B$9997,D6502,Calendar!$C$2:$C$9997,C6502)*INDEX(ForeCalc!$B$37:$Y$274,MATCH(_xlfn.CONCAT(H6502," ",I6502),ForeCalc!$A$37:$A$274,0),MATCH(_xlfn.CONCAT(B6502," ",E6502),ForeCalc!$B$36:$Y$36,0))))*VLOOKUP(A6502,Calendar!$A$2:$H$9997,8,FALSE),0)</f>
        <v/>
      </c>
      <c r="G6502" s="29">
        <f>VLOOKUP(A6502,Calendar!$A$1:$H$9997,6,FALSE)-F6502</f>
        <v/>
      </c>
      <c r="H6502" s="19" t="n">
        <v>3</v>
      </c>
      <c r="I6502" s="57" t="n">
        <v>10</v>
      </c>
    </row>
    <row r="6503">
      <c r="A6503" s="62" t="n">
        <v>47134</v>
      </c>
      <c r="B6503" s="3" t="inlineStr">
        <is>
          <t>Week</t>
        </is>
      </c>
      <c r="C6503" s="19" t="n">
        <v>1</v>
      </c>
      <c r="D6503" s="19" t="n">
        <v>2029</v>
      </c>
      <c r="E6503" s="57" t="n">
        <v>6</v>
      </c>
      <c r="F6503" s="29">
        <f>ROUND(((SUMIFS(Calendar!$F$2:$F$9997,Calendar!$B$2:$B$9997,D6503,Calendar!$C$2:$C$9997,C6503)*INDEX(ForeCalc!$B$37:$Y$274,MATCH(_xlfn.CONCAT(H6503," ",I6503),ForeCalc!$A$37:$A$274,0),MATCH(_xlfn.CONCAT(B6503," ",E6503),ForeCalc!$B$36:$Y$36,0))))*VLOOKUP(A6503,Calendar!$A$2:$H$9997,8,FALSE),0)</f>
        <v/>
      </c>
      <c r="G6503" s="29">
        <f>VLOOKUP(A6503,Calendar!$A$1:$H$9997,6,FALSE)-F6503</f>
        <v/>
      </c>
      <c r="H6503" s="19" t="n">
        <v>3</v>
      </c>
      <c r="I6503" s="57" t="n">
        <v>10</v>
      </c>
    </row>
    <row r="6504">
      <c r="A6504" s="62" t="n">
        <v>47135</v>
      </c>
      <c r="B6504" s="3" t="inlineStr">
        <is>
          <t>Week</t>
        </is>
      </c>
      <c r="C6504" s="19" t="n">
        <v>1</v>
      </c>
      <c r="D6504" s="19" t="n">
        <v>2029</v>
      </c>
      <c r="E6504" s="57" t="n">
        <v>6</v>
      </c>
      <c r="F6504" s="29">
        <f>ROUND(((SUMIFS(Calendar!$F$2:$F$9997,Calendar!$B$2:$B$9997,D6504,Calendar!$C$2:$C$9997,C6504)*INDEX(ForeCalc!$B$37:$Y$274,MATCH(_xlfn.CONCAT(H6504," ",I6504),ForeCalc!$A$37:$A$274,0),MATCH(_xlfn.CONCAT(B6504," ",E6504),ForeCalc!$B$36:$Y$36,0))))*VLOOKUP(A6504,Calendar!$A$2:$H$9997,8,FALSE),0)</f>
        <v/>
      </c>
      <c r="G6504" s="29">
        <f>VLOOKUP(A6504,Calendar!$A$1:$H$9997,6,FALSE)-F6504</f>
        <v/>
      </c>
      <c r="H6504" s="19" t="n">
        <v>3</v>
      </c>
      <c r="I6504" s="57" t="n">
        <v>10</v>
      </c>
    </row>
    <row r="6505">
      <c r="A6505" s="62" t="n">
        <v>47136</v>
      </c>
      <c r="B6505" s="3" t="inlineStr">
        <is>
          <t>Week</t>
        </is>
      </c>
      <c r="C6505" s="19" t="n">
        <v>1</v>
      </c>
      <c r="D6505" s="19" t="n">
        <v>2029</v>
      </c>
      <c r="E6505" s="57" t="n">
        <v>6</v>
      </c>
      <c r="F6505" s="29">
        <f>ROUND(((SUMIFS(Calendar!$F$2:$F$9997,Calendar!$B$2:$B$9997,D6505,Calendar!$C$2:$C$9997,C6505)*INDEX(ForeCalc!$B$37:$Y$274,MATCH(_xlfn.CONCAT(H6505," ",I6505),ForeCalc!$A$37:$A$274,0),MATCH(_xlfn.CONCAT(B6505," ",E6505),ForeCalc!$B$36:$Y$36,0))))*VLOOKUP(A6505,Calendar!$A$2:$H$9997,8,FALSE),0)</f>
        <v/>
      </c>
      <c r="G6505" s="29">
        <f>VLOOKUP(A6505,Calendar!$A$1:$H$9997,6,FALSE)-F6505</f>
        <v/>
      </c>
      <c r="H6505" s="19" t="n">
        <v>3</v>
      </c>
      <c r="I6505" s="57" t="n">
        <v>10</v>
      </c>
    </row>
    <row r="6506">
      <c r="A6506" s="62" t="n">
        <v>47137</v>
      </c>
      <c r="B6506" s="3" t="inlineStr">
        <is>
          <t>Week</t>
        </is>
      </c>
      <c r="C6506" s="19" t="n">
        <v>1</v>
      </c>
      <c r="D6506" s="19" t="n">
        <v>2029</v>
      </c>
      <c r="E6506" s="57" t="n">
        <v>6</v>
      </c>
      <c r="F6506" s="29">
        <f>ROUND(((SUMIFS(Calendar!$F$2:$F$9997,Calendar!$B$2:$B$9997,D6506,Calendar!$C$2:$C$9997,C6506)*INDEX(ForeCalc!$B$37:$Y$274,MATCH(_xlfn.CONCAT(H6506," ",I6506),ForeCalc!$A$37:$A$274,0),MATCH(_xlfn.CONCAT(B6506," ",E6506),ForeCalc!$B$36:$Y$36,0))))*VLOOKUP(A6506,Calendar!$A$2:$H$9997,8,FALSE),0)</f>
        <v/>
      </c>
      <c r="G6506" s="29">
        <f>VLOOKUP(A6506,Calendar!$A$1:$H$9997,6,FALSE)-F6506</f>
        <v/>
      </c>
      <c r="H6506" s="19" t="n">
        <v>3</v>
      </c>
      <c r="I6506" s="57" t="n">
        <v>10</v>
      </c>
    </row>
    <row r="6507">
      <c r="A6507" s="62" t="n">
        <v>47138</v>
      </c>
      <c r="B6507" s="3" t="inlineStr">
        <is>
          <t>Sat</t>
        </is>
      </c>
      <c r="C6507" s="19" t="n">
        <v>1</v>
      </c>
      <c r="D6507" s="19" t="n">
        <v>2029</v>
      </c>
      <c r="E6507" s="57" t="n">
        <v>6</v>
      </c>
      <c r="F6507" s="29">
        <f>ROUND(((SUMIFS(Calendar!$F$2:$F$9997,Calendar!$B$2:$B$9997,D6507,Calendar!$C$2:$C$9997,C6507)*INDEX(ForeCalc!$B$37:$Y$274,MATCH(_xlfn.CONCAT(H6507," ",I6507),ForeCalc!$A$37:$A$274,0),MATCH(_xlfn.CONCAT(B6507," ",E6507),ForeCalc!$B$36:$Y$36,0))))*VLOOKUP(A6507,Calendar!$A$2:$H$9997,8,FALSE),0)</f>
        <v/>
      </c>
      <c r="G6507" s="29">
        <f>VLOOKUP(A6507,Calendar!$A$1:$H$9997,6,FALSE)-F6507</f>
        <v/>
      </c>
      <c r="H6507" s="19" t="n">
        <v>3</v>
      </c>
      <c r="I6507" s="57" t="n">
        <v>10</v>
      </c>
    </row>
    <row r="6508">
      <c r="A6508" s="62" t="n">
        <v>47139</v>
      </c>
      <c r="B6508" s="3" t="inlineStr">
        <is>
          <t>Sun</t>
        </is>
      </c>
      <c r="C6508" s="19" t="n">
        <v>1</v>
      </c>
      <c r="D6508" s="19" t="n">
        <v>2029</v>
      </c>
      <c r="E6508" s="57" t="n">
        <v>6</v>
      </c>
      <c r="F6508" s="29">
        <f>ROUND(((SUMIFS(Calendar!$F$2:$F$9997,Calendar!$B$2:$B$9997,D6508,Calendar!$C$2:$C$9997,C6508)*INDEX(ForeCalc!$B$37:$Y$274,MATCH(_xlfn.CONCAT(H6508," ",I6508),ForeCalc!$A$37:$A$274,0),MATCH(_xlfn.CONCAT(B6508," ",E6508),ForeCalc!$B$36:$Y$36,0))))*VLOOKUP(A6508,Calendar!$A$2:$H$9997,8,FALSE),0)</f>
        <v/>
      </c>
      <c r="G6508" s="29">
        <f>VLOOKUP(A6508,Calendar!$A$1:$H$9997,6,FALSE)-F6508</f>
        <v/>
      </c>
      <c r="H6508" s="19" t="n">
        <v>3</v>
      </c>
      <c r="I6508" s="57" t="n">
        <v>10</v>
      </c>
    </row>
    <row r="6509">
      <c r="A6509" s="62" t="n">
        <v>47140</v>
      </c>
      <c r="B6509" s="3" t="inlineStr">
        <is>
          <t>Week</t>
        </is>
      </c>
      <c r="C6509" s="19" t="n">
        <v>1</v>
      </c>
      <c r="D6509" s="19" t="n">
        <v>2029</v>
      </c>
      <c r="E6509" s="57" t="n">
        <v>6</v>
      </c>
      <c r="F6509" s="29">
        <f>ROUND(((SUMIFS(Calendar!$F$2:$F$9997,Calendar!$B$2:$B$9997,D6509,Calendar!$C$2:$C$9997,C6509)*INDEX(ForeCalc!$B$37:$Y$274,MATCH(_xlfn.CONCAT(H6509," ",I6509),ForeCalc!$A$37:$A$274,0),MATCH(_xlfn.CONCAT(B6509," ",E6509),ForeCalc!$B$36:$Y$36,0))))*VLOOKUP(A6509,Calendar!$A$2:$H$9997,8,FALSE),0)</f>
        <v/>
      </c>
      <c r="G6509" s="29">
        <f>VLOOKUP(A6509,Calendar!$A$1:$H$9997,6,FALSE)-F6509</f>
        <v/>
      </c>
      <c r="H6509" s="19" t="n">
        <v>3</v>
      </c>
      <c r="I6509" s="57" t="n">
        <v>10</v>
      </c>
    </row>
    <row r="6510">
      <c r="A6510" s="62" t="n">
        <v>47141</v>
      </c>
      <c r="B6510" s="3" t="inlineStr">
        <is>
          <t>Week</t>
        </is>
      </c>
      <c r="C6510" s="19" t="n">
        <v>1</v>
      </c>
      <c r="D6510" s="19" t="n">
        <v>2029</v>
      </c>
      <c r="E6510" s="57" t="n">
        <v>6</v>
      </c>
      <c r="F6510" s="29">
        <f>ROUND(((SUMIFS(Calendar!$F$2:$F$9997,Calendar!$B$2:$B$9997,D6510,Calendar!$C$2:$C$9997,C6510)*INDEX(ForeCalc!$B$37:$Y$274,MATCH(_xlfn.CONCAT(H6510," ",I6510),ForeCalc!$A$37:$A$274,0),MATCH(_xlfn.CONCAT(B6510," ",E6510),ForeCalc!$B$36:$Y$36,0))))*VLOOKUP(A6510,Calendar!$A$2:$H$9997,8,FALSE),0)</f>
        <v/>
      </c>
      <c r="G6510" s="29">
        <f>VLOOKUP(A6510,Calendar!$A$1:$H$9997,6,FALSE)-F6510</f>
        <v/>
      </c>
      <c r="H6510" s="19" t="n">
        <v>3</v>
      </c>
      <c r="I6510" s="57" t="n">
        <v>10</v>
      </c>
    </row>
    <row r="6511">
      <c r="A6511" s="62" t="n">
        <v>47142</v>
      </c>
      <c r="B6511" s="3" t="inlineStr">
        <is>
          <t>Week</t>
        </is>
      </c>
      <c r="C6511" s="19" t="n">
        <v>1</v>
      </c>
      <c r="D6511" s="19" t="n">
        <v>2029</v>
      </c>
      <c r="E6511" s="57" t="n">
        <v>6</v>
      </c>
      <c r="F6511" s="29">
        <f>ROUND(((SUMIFS(Calendar!$F$2:$F$9997,Calendar!$B$2:$B$9997,D6511,Calendar!$C$2:$C$9997,C6511)*INDEX(ForeCalc!$B$37:$Y$274,MATCH(_xlfn.CONCAT(H6511," ",I6511),ForeCalc!$A$37:$A$274,0),MATCH(_xlfn.CONCAT(B6511," ",E6511),ForeCalc!$B$36:$Y$36,0))))*VLOOKUP(A6511,Calendar!$A$2:$H$9997,8,FALSE),0)</f>
        <v/>
      </c>
      <c r="G6511" s="29">
        <f>VLOOKUP(A6511,Calendar!$A$1:$H$9997,6,FALSE)-F6511</f>
        <v/>
      </c>
      <c r="H6511" s="19" t="n">
        <v>3</v>
      </c>
      <c r="I6511" s="57" t="n">
        <v>10</v>
      </c>
    </row>
    <row r="6512">
      <c r="A6512" s="62" t="n">
        <v>47143</v>
      </c>
      <c r="B6512" s="3" t="inlineStr">
        <is>
          <t>Week</t>
        </is>
      </c>
      <c r="C6512" s="19" t="n">
        <v>1</v>
      </c>
      <c r="D6512" s="19" t="n">
        <v>2029</v>
      </c>
      <c r="E6512" s="57" t="n">
        <v>6</v>
      </c>
      <c r="F6512" s="29">
        <f>ROUND(((SUMIFS(Calendar!$F$2:$F$9997,Calendar!$B$2:$B$9997,D6512,Calendar!$C$2:$C$9997,C6512)*INDEX(ForeCalc!$B$37:$Y$274,MATCH(_xlfn.CONCAT(H6512," ",I6512),ForeCalc!$A$37:$A$274,0),MATCH(_xlfn.CONCAT(B6512," ",E6512),ForeCalc!$B$36:$Y$36,0))))*VLOOKUP(A6512,Calendar!$A$2:$H$9997,8,FALSE),0)</f>
        <v/>
      </c>
      <c r="G6512" s="29">
        <f>VLOOKUP(A6512,Calendar!$A$1:$H$9997,6,FALSE)-F6512</f>
        <v/>
      </c>
      <c r="H6512" s="19" t="n">
        <v>3</v>
      </c>
      <c r="I6512" s="57" t="n">
        <v>10</v>
      </c>
    </row>
    <row r="6513">
      <c r="A6513" s="62" t="n">
        <v>47144</v>
      </c>
      <c r="B6513" s="3" t="inlineStr">
        <is>
          <t>Week</t>
        </is>
      </c>
      <c r="C6513" s="19" t="n">
        <v>1</v>
      </c>
      <c r="D6513" s="19" t="n">
        <v>2029</v>
      </c>
      <c r="E6513" s="57" t="n">
        <v>6</v>
      </c>
      <c r="F6513" s="29">
        <f>ROUND(((SUMIFS(Calendar!$F$2:$F$9997,Calendar!$B$2:$B$9997,D6513,Calendar!$C$2:$C$9997,C6513)*INDEX(ForeCalc!$B$37:$Y$274,MATCH(_xlfn.CONCAT(H6513," ",I6513),ForeCalc!$A$37:$A$274,0),MATCH(_xlfn.CONCAT(B6513," ",E6513),ForeCalc!$B$36:$Y$36,0))))*VLOOKUP(A6513,Calendar!$A$2:$H$9997,8,FALSE),0)</f>
        <v/>
      </c>
      <c r="G6513" s="29">
        <f>VLOOKUP(A6513,Calendar!$A$1:$H$9997,6,FALSE)-F6513</f>
        <v/>
      </c>
      <c r="H6513" s="19" t="n">
        <v>3</v>
      </c>
      <c r="I6513" s="57" t="n">
        <v>10</v>
      </c>
    </row>
    <row r="6514">
      <c r="A6514" s="62" t="n">
        <v>47145</v>
      </c>
      <c r="B6514" s="3" t="inlineStr">
        <is>
          <t>Sat</t>
        </is>
      </c>
      <c r="C6514" s="19" t="n">
        <v>1</v>
      </c>
      <c r="D6514" s="19" t="n">
        <v>2029</v>
      </c>
      <c r="E6514" s="57" t="n">
        <v>6</v>
      </c>
      <c r="F6514" s="29">
        <f>ROUND(((SUMIFS(Calendar!$F$2:$F$9997,Calendar!$B$2:$B$9997,D6514,Calendar!$C$2:$C$9997,C6514)*INDEX(ForeCalc!$B$37:$Y$274,MATCH(_xlfn.CONCAT(H6514," ",I6514),ForeCalc!$A$37:$A$274,0),MATCH(_xlfn.CONCAT(B6514," ",E6514),ForeCalc!$B$36:$Y$36,0))))*VLOOKUP(A6514,Calendar!$A$2:$H$9997,8,FALSE),0)</f>
        <v/>
      </c>
      <c r="G6514" s="29">
        <f>VLOOKUP(A6514,Calendar!$A$1:$H$9997,6,FALSE)-F6514</f>
        <v/>
      </c>
      <c r="H6514" s="19" t="n">
        <v>3</v>
      </c>
      <c r="I6514" s="57" t="n">
        <v>10</v>
      </c>
    </row>
    <row r="6515">
      <c r="A6515" s="62" t="n">
        <v>47146</v>
      </c>
      <c r="B6515" s="3" t="inlineStr">
        <is>
          <t>Sun</t>
        </is>
      </c>
      <c r="C6515" s="19" t="n">
        <v>1</v>
      </c>
      <c r="D6515" s="19" t="n">
        <v>2029</v>
      </c>
      <c r="E6515" s="57" t="n">
        <v>6</v>
      </c>
      <c r="F6515" s="29">
        <f>ROUND(((SUMIFS(Calendar!$F$2:$F$9997,Calendar!$B$2:$B$9997,D6515,Calendar!$C$2:$C$9997,C6515)*INDEX(ForeCalc!$B$37:$Y$274,MATCH(_xlfn.CONCAT(H6515," ",I6515),ForeCalc!$A$37:$A$274,0),MATCH(_xlfn.CONCAT(B6515," ",E6515),ForeCalc!$B$36:$Y$36,0))))*VLOOKUP(A6515,Calendar!$A$2:$H$9997,8,FALSE),0)</f>
        <v/>
      </c>
      <c r="G6515" s="29">
        <f>VLOOKUP(A6515,Calendar!$A$1:$H$9997,6,FALSE)-F6515</f>
        <v/>
      </c>
      <c r="H6515" s="19" t="n">
        <v>3</v>
      </c>
      <c r="I6515" s="57" t="n">
        <v>10</v>
      </c>
    </row>
    <row r="6516">
      <c r="A6516" s="62" t="n">
        <v>47147</v>
      </c>
      <c r="B6516" s="3" t="inlineStr">
        <is>
          <t>Week</t>
        </is>
      </c>
      <c r="C6516" s="19" t="n">
        <v>1</v>
      </c>
      <c r="D6516" s="19" t="n">
        <v>2029</v>
      </c>
      <c r="E6516" s="57" t="n">
        <v>6</v>
      </c>
      <c r="F6516" s="29">
        <f>ROUND(((SUMIFS(Calendar!$F$2:$F$9997,Calendar!$B$2:$B$9997,D6516,Calendar!$C$2:$C$9997,C6516)*INDEX(ForeCalc!$B$37:$Y$274,MATCH(_xlfn.CONCAT(H6516," ",I6516),ForeCalc!$A$37:$A$274,0),MATCH(_xlfn.CONCAT(B6516," ",E6516),ForeCalc!$B$36:$Y$36,0))))*VLOOKUP(A6516,Calendar!$A$2:$H$9997,8,FALSE),0)</f>
        <v/>
      </c>
      <c r="G6516" s="29">
        <f>VLOOKUP(A6516,Calendar!$A$1:$H$9997,6,FALSE)-F6516</f>
        <v/>
      </c>
      <c r="H6516" s="19" t="n">
        <v>3</v>
      </c>
      <c r="I6516" s="57" t="n">
        <v>10</v>
      </c>
    </row>
    <row r="6517">
      <c r="A6517" s="62" t="n">
        <v>47148</v>
      </c>
      <c r="B6517" s="3" t="inlineStr">
        <is>
          <t>Week</t>
        </is>
      </c>
      <c r="C6517" s="19" t="n">
        <v>1</v>
      </c>
      <c r="D6517" s="19" t="n">
        <v>2029</v>
      </c>
      <c r="E6517" s="57" t="n">
        <v>6</v>
      </c>
      <c r="F6517" s="29">
        <f>ROUND(((SUMIFS(Calendar!$F$2:$F$9997,Calendar!$B$2:$B$9997,D6517,Calendar!$C$2:$C$9997,C6517)*INDEX(ForeCalc!$B$37:$Y$274,MATCH(_xlfn.CONCAT(H6517," ",I6517),ForeCalc!$A$37:$A$274,0),MATCH(_xlfn.CONCAT(B6517," ",E6517),ForeCalc!$B$36:$Y$36,0))))*VLOOKUP(A6517,Calendar!$A$2:$H$9997,8,FALSE),0)</f>
        <v/>
      </c>
      <c r="G6517" s="29">
        <f>VLOOKUP(A6517,Calendar!$A$1:$H$9997,6,FALSE)-F6517</f>
        <v/>
      </c>
      <c r="H6517" s="19" t="n">
        <v>3</v>
      </c>
      <c r="I6517" s="57" t="n">
        <v>10</v>
      </c>
    </row>
    <row r="6518">
      <c r="A6518" s="62" t="n">
        <v>47149</v>
      </c>
      <c r="B6518" s="3" t="inlineStr">
        <is>
          <t>Week</t>
        </is>
      </c>
      <c r="C6518" s="19" t="n">
        <v>1</v>
      </c>
      <c r="D6518" s="19" t="n">
        <v>2029</v>
      </c>
      <c r="E6518" s="57" t="n">
        <v>6</v>
      </c>
      <c r="F6518" s="29">
        <f>ROUND(((SUMIFS(Calendar!$F$2:$F$9997,Calendar!$B$2:$B$9997,D6518,Calendar!$C$2:$C$9997,C6518)*INDEX(ForeCalc!$B$37:$Y$274,MATCH(_xlfn.CONCAT(H6518," ",I6518),ForeCalc!$A$37:$A$274,0),MATCH(_xlfn.CONCAT(B6518," ",E6518),ForeCalc!$B$36:$Y$36,0))))*VLOOKUP(A6518,Calendar!$A$2:$H$9997,8,FALSE),0)</f>
        <v/>
      </c>
      <c r="G6518" s="29">
        <f>VLOOKUP(A6518,Calendar!$A$1:$H$9997,6,FALSE)-F6518</f>
        <v/>
      </c>
      <c r="H6518" s="19" t="n">
        <v>3</v>
      </c>
      <c r="I6518" s="57" t="n">
        <v>10</v>
      </c>
    </row>
    <row r="6519">
      <c r="A6519" s="62" t="n">
        <v>47150</v>
      </c>
      <c r="B6519" s="3" t="inlineStr">
        <is>
          <t>Week</t>
        </is>
      </c>
      <c r="C6519" s="19" t="n">
        <v>2</v>
      </c>
      <c r="D6519" s="19" t="n">
        <v>2029</v>
      </c>
      <c r="E6519" s="57" t="n">
        <v>6</v>
      </c>
      <c r="F6519" s="29">
        <f>ROUND(((SUMIFS(Calendar!$F$2:$F$9997,Calendar!$B$2:$B$9997,D6519,Calendar!$C$2:$C$9997,C6519)*INDEX(ForeCalc!$B$37:$Y$274,MATCH(_xlfn.CONCAT(H6519," ",I6519),ForeCalc!$A$37:$A$274,0),MATCH(_xlfn.CONCAT(B6519," ",E6519),ForeCalc!$B$36:$Y$36,0))))*VLOOKUP(A6519,Calendar!$A$2:$H$9997,8,FALSE),0)</f>
        <v/>
      </c>
      <c r="G6519" s="29">
        <f>VLOOKUP(A6519,Calendar!$A$1:$H$9997,6,FALSE)-F6519</f>
        <v/>
      </c>
      <c r="H6519" s="19" t="n">
        <v>3</v>
      </c>
      <c r="I6519" s="57" t="n">
        <v>11</v>
      </c>
    </row>
    <row r="6520">
      <c r="A6520" s="62" t="n">
        <v>47151</v>
      </c>
      <c r="B6520" s="3" t="inlineStr">
        <is>
          <t>Week</t>
        </is>
      </c>
      <c r="C6520" s="19" t="n">
        <v>2</v>
      </c>
      <c r="D6520" s="19" t="n">
        <v>2029</v>
      </c>
      <c r="E6520" s="57" t="n">
        <v>6</v>
      </c>
      <c r="F6520" s="29">
        <f>ROUND(((SUMIFS(Calendar!$F$2:$F$9997,Calendar!$B$2:$B$9997,D6520,Calendar!$C$2:$C$9997,C6520)*INDEX(ForeCalc!$B$37:$Y$274,MATCH(_xlfn.CONCAT(H6520," ",I6520),ForeCalc!$A$37:$A$274,0),MATCH(_xlfn.CONCAT(B6520," ",E6520),ForeCalc!$B$36:$Y$36,0))))*VLOOKUP(A6520,Calendar!$A$2:$H$9997,8,FALSE),0)</f>
        <v/>
      </c>
      <c r="G6520" s="29">
        <f>VLOOKUP(A6520,Calendar!$A$1:$H$9997,6,FALSE)-F6520</f>
        <v/>
      </c>
      <c r="H6520" s="19" t="n">
        <v>3</v>
      </c>
      <c r="I6520" s="57" t="n">
        <v>11</v>
      </c>
    </row>
    <row r="6521">
      <c r="A6521" s="62" t="n">
        <v>47152</v>
      </c>
      <c r="B6521" s="3" t="inlineStr">
        <is>
          <t>Sat</t>
        </is>
      </c>
      <c r="C6521" s="19" t="n">
        <v>2</v>
      </c>
      <c r="D6521" s="19" t="n">
        <v>2029</v>
      </c>
      <c r="E6521" s="57" t="n">
        <v>6</v>
      </c>
      <c r="F6521" s="29">
        <f>ROUND(((SUMIFS(Calendar!$F$2:$F$9997,Calendar!$B$2:$B$9997,D6521,Calendar!$C$2:$C$9997,C6521)*INDEX(ForeCalc!$B$37:$Y$274,MATCH(_xlfn.CONCAT(H6521," ",I6521),ForeCalc!$A$37:$A$274,0),MATCH(_xlfn.CONCAT(B6521," ",E6521),ForeCalc!$B$36:$Y$36,0))))*VLOOKUP(A6521,Calendar!$A$2:$H$9997,8,FALSE),0)</f>
        <v/>
      </c>
      <c r="G6521" s="29">
        <f>VLOOKUP(A6521,Calendar!$A$1:$H$9997,6,FALSE)-F6521</f>
        <v/>
      </c>
      <c r="H6521" s="19" t="n">
        <v>3</v>
      </c>
      <c r="I6521" s="57" t="n">
        <v>11</v>
      </c>
    </row>
    <row r="6522">
      <c r="A6522" s="62" t="n">
        <v>47153</v>
      </c>
      <c r="B6522" s="3" t="inlineStr">
        <is>
          <t>Sun</t>
        </is>
      </c>
      <c r="C6522" s="19" t="n">
        <v>2</v>
      </c>
      <c r="D6522" s="19" t="n">
        <v>2029</v>
      </c>
      <c r="E6522" s="57" t="n">
        <v>6</v>
      </c>
      <c r="F6522" s="29">
        <f>ROUND(((SUMIFS(Calendar!$F$2:$F$9997,Calendar!$B$2:$B$9997,D6522,Calendar!$C$2:$C$9997,C6522)*INDEX(ForeCalc!$B$37:$Y$274,MATCH(_xlfn.CONCAT(H6522," ",I6522),ForeCalc!$A$37:$A$274,0),MATCH(_xlfn.CONCAT(B6522," ",E6522),ForeCalc!$B$36:$Y$36,0))))*VLOOKUP(A6522,Calendar!$A$2:$H$9997,8,FALSE),0)</f>
        <v/>
      </c>
      <c r="G6522" s="29">
        <f>VLOOKUP(A6522,Calendar!$A$1:$H$9997,6,FALSE)-F6522</f>
        <v/>
      </c>
      <c r="H6522" s="19" t="n">
        <v>3</v>
      </c>
      <c r="I6522" s="57" t="n">
        <v>11</v>
      </c>
    </row>
    <row r="6523">
      <c r="A6523" s="62" t="n">
        <v>47154</v>
      </c>
      <c r="B6523" s="3" t="inlineStr">
        <is>
          <t>Week</t>
        </is>
      </c>
      <c r="C6523" s="19" t="n">
        <v>2</v>
      </c>
      <c r="D6523" s="19" t="n">
        <v>2029</v>
      </c>
      <c r="E6523" s="57" t="n">
        <v>6</v>
      </c>
      <c r="F6523" s="29">
        <f>ROUND(((SUMIFS(Calendar!$F$2:$F$9997,Calendar!$B$2:$B$9997,D6523,Calendar!$C$2:$C$9997,C6523)*INDEX(ForeCalc!$B$37:$Y$274,MATCH(_xlfn.CONCAT(H6523," ",I6523),ForeCalc!$A$37:$A$274,0),MATCH(_xlfn.CONCAT(B6523," ",E6523),ForeCalc!$B$36:$Y$36,0))))*VLOOKUP(A6523,Calendar!$A$2:$H$9997,8,FALSE),0)</f>
        <v/>
      </c>
      <c r="G6523" s="29">
        <f>VLOOKUP(A6523,Calendar!$A$1:$H$9997,6,FALSE)-F6523</f>
        <v/>
      </c>
      <c r="H6523" s="19" t="n">
        <v>3</v>
      </c>
      <c r="I6523" s="57" t="n">
        <v>11</v>
      </c>
    </row>
    <row r="6524">
      <c r="A6524" s="62" t="n">
        <v>47155</v>
      </c>
      <c r="B6524" s="3" t="inlineStr">
        <is>
          <t>Week</t>
        </is>
      </c>
      <c r="C6524" s="19" t="n">
        <v>2</v>
      </c>
      <c r="D6524" s="19" t="n">
        <v>2029</v>
      </c>
      <c r="E6524" s="57" t="n">
        <v>6</v>
      </c>
      <c r="F6524" s="29">
        <f>ROUND(((SUMIFS(Calendar!$F$2:$F$9997,Calendar!$B$2:$B$9997,D6524,Calendar!$C$2:$C$9997,C6524)*INDEX(ForeCalc!$B$37:$Y$274,MATCH(_xlfn.CONCAT(H6524," ",I6524),ForeCalc!$A$37:$A$274,0),MATCH(_xlfn.CONCAT(B6524," ",E6524),ForeCalc!$B$36:$Y$36,0))))*VLOOKUP(A6524,Calendar!$A$2:$H$9997,8,FALSE),0)</f>
        <v/>
      </c>
      <c r="G6524" s="29">
        <f>VLOOKUP(A6524,Calendar!$A$1:$H$9997,6,FALSE)-F6524</f>
        <v/>
      </c>
      <c r="H6524" s="19" t="n">
        <v>3</v>
      </c>
      <c r="I6524" s="57" t="n">
        <v>11</v>
      </c>
    </row>
    <row r="6525">
      <c r="A6525" s="62" t="n">
        <v>47156</v>
      </c>
      <c r="B6525" s="3" t="inlineStr">
        <is>
          <t>Week</t>
        </is>
      </c>
      <c r="C6525" s="19" t="n">
        <v>2</v>
      </c>
      <c r="D6525" s="19" t="n">
        <v>2029</v>
      </c>
      <c r="E6525" s="57" t="n">
        <v>6</v>
      </c>
      <c r="F6525" s="29">
        <f>ROUND(((SUMIFS(Calendar!$F$2:$F$9997,Calendar!$B$2:$B$9997,D6525,Calendar!$C$2:$C$9997,C6525)*INDEX(ForeCalc!$B$37:$Y$274,MATCH(_xlfn.CONCAT(H6525," ",I6525),ForeCalc!$A$37:$A$274,0),MATCH(_xlfn.CONCAT(B6525," ",E6525),ForeCalc!$B$36:$Y$36,0))))*VLOOKUP(A6525,Calendar!$A$2:$H$9997,8,FALSE),0)</f>
        <v/>
      </c>
      <c r="G6525" s="29">
        <f>VLOOKUP(A6525,Calendar!$A$1:$H$9997,6,FALSE)-F6525</f>
        <v/>
      </c>
      <c r="H6525" s="19" t="n">
        <v>3</v>
      </c>
      <c r="I6525" s="57" t="n">
        <v>11</v>
      </c>
    </row>
    <row r="6526">
      <c r="A6526" s="62" t="n">
        <v>47157</v>
      </c>
      <c r="B6526" s="3" t="inlineStr">
        <is>
          <t>Week</t>
        </is>
      </c>
      <c r="C6526" s="19" t="n">
        <v>2</v>
      </c>
      <c r="D6526" s="19" t="n">
        <v>2029</v>
      </c>
      <c r="E6526" s="57" t="n">
        <v>6</v>
      </c>
      <c r="F6526" s="29">
        <f>ROUND(((SUMIFS(Calendar!$F$2:$F$9997,Calendar!$B$2:$B$9997,D6526,Calendar!$C$2:$C$9997,C6526)*INDEX(ForeCalc!$B$37:$Y$274,MATCH(_xlfn.CONCAT(H6526," ",I6526),ForeCalc!$A$37:$A$274,0),MATCH(_xlfn.CONCAT(B6526," ",E6526),ForeCalc!$B$36:$Y$36,0))))*VLOOKUP(A6526,Calendar!$A$2:$H$9997,8,FALSE),0)</f>
        <v/>
      </c>
      <c r="G6526" s="29">
        <f>VLOOKUP(A6526,Calendar!$A$1:$H$9997,6,FALSE)-F6526</f>
        <v/>
      </c>
      <c r="H6526" s="19" t="n">
        <v>3</v>
      </c>
      <c r="I6526" s="57" t="n">
        <v>11</v>
      </c>
    </row>
    <row r="6527">
      <c r="A6527" s="62" t="n">
        <v>47158</v>
      </c>
      <c r="B6527" s="3" t="inlineStr">
        <is>
          <t>Week</t>
        </is>
      </c>
      <c r="C6527" s="19" t="n">
        <v>2</v>
      </c>
      <c r="D6527" s="19" t="n">
        <v>2029</v>
      </c>
      <c r="E6527" s="57" t="n">
        <v>6</v>
      </c>
      <c r="F6527" s="29">
        <f>ROUND(((SUMIFS(Calendar!$F$2:$F$9997,Calendar!$B$2:$B$9997,D6527,Calendar!$C$2:$C$9997,C6527)*INDEX(ForeCalc!$B$37:$Y$274,MATCH(_xlfn.CONCAT(H6527," ",I6527),ForeCalc!$A$37:$A$274,0),MATCH(_xlfn.CONCAT(B6527," ",E6527),ForeCalc!$B$36:$Y$36,0))))*VLOOKUP(A6527,Calendar!$A$2:$H$9997,8,FALSE),0)</f>
        <v/>
      </c>
      <c r="G6527" s="29">
        <f>VLOOKUP(A6527,Calendar!$A$1:$H$9997,6,FALSE)-F6527</f>
        <v/>
      </c>
      <c r="H6527" s="19" t="n">
        <v>3</v>
      </c>
      <c r="I6527" s="57" t="n">
        <v>11</v>
      </c>
    </row>
    <row r="6528">
      <c r="A6528" s="62" t="n">
        <v>47159</v>
      </c>
      <c r="B6528" s="3" t="inlineStr">
        <is>
          <t>Sat</t>
        </is>
      </c>
      <c r="C6528" s="19" t="n">
        <v>2</v>
      </c>
      <c r="D6528" s="19" t="n">
        <v>2029</v>
      </c>
      <c r="E6528" s="57" t="n">
        <v>6</v>
      </c>
      <c r="F6528" s="29">
        <f>ROUND(((SUMIFS(Calendar!$F$2:$F$9997,Calendar!$B$2:$B$9997,D6528,Calendar!$C$2:$C$9997,C6528)*INDEX(ForeCalc!$B$37:$Y$274,MATCH(_xlfn.CONCAT(H6528," ",I6528),ForeCalc!$A$37:$A$274,0),MATCH(_xlfn.CONCAT(B6528," ",E6528),ForeCalc!$B$36:$Y$36,0))))*VLOOKUP(A6528,Calendar!$A$2:$H$9997,8,FALSE),0)</f>
        <v/>
      </c>
      <c r="G6528" s="29">
        <f>VLOOKUP(A6528,Calendar!$A$1:$H$9997,6,FALSE)-F6528</f>
        <v/>
      </c>
      <c r="H6528" s="19" t="n">
        <v>3</v>
      </c>
      <c r="I6528" s="57" t="n">
        <v>11</v>
      </c>
    </row>
    <row r="6529">
      <c r="A6529" s="62" t="n">
        <v>47160</v>
      </c>
      <c r="B6529" s="3" t="inlineStr">
        <is>
          <t>Sun</t>
        </is>
      </c>
      <c r="C6529" s="19" t="n">
        <v>2</v>
      </c>
      <c r="D6529" s="19" t="n">
        <v>2029</v>
      </c>
      <c r="E6529" s="57" t="n">
        <v>6</v>
      </c>
      <c r="F6529" s="29">
        <f>ROUND(((SUMIFS(Calendar!$F$2:$F$9997,Calendar!$B$2:$B$9997,D6529,Calendar!$C$2:$C$9997,C6529)*INDEX(ForeCalc!$B$37:$Y$274,MATCH(_xlfn.CONCAT(H6529," ",I6529),ForeCalc!$A$37:$A$274,0),MATCH(_xlfn.CONCAT(B6529," ",E6529),ForeCalc!$B$36:$Y$36,0))))*VLOOKUP(A6529,Calendar!$A$2:$H$9997,8,FALSE),0)</f>
        <v/>
      </c>
      <c r="G6529" s="29">
        <f>VLOOKUP(A6529,Calendar!$A$1:$H$9997,6,FALSE)-F6529</f>
        <v/>
      </c>
      <c r="H6529" s="19" t="n">
        <v>3</v>
      </c>
      <c r="I6529" s="57" t="n">
        <v>11</v>
      </c>
    </row>
    <row r="6530">
      <c r="A6530" s="62" t="n">
        <v>47161</v>
      </c>
      <c r="B6530" s="3" t="inlineStr">
        <is>
          <t>Week</t>
        </is>
      </c>
      <c r="C6530" s="19" t="n">
        <v>2</v>
      </c>
      <c r="D6530" s="19" t="n">
        <v>2029</v>
      </c>
      <c r="E6530" s="57" t="n">
        <v>6</v>
      </c>
      <c r="F6530" s="29">
        <f>ROUND(((SUMIFS(Calendar!$F$2:$F$9997,Calendar!$B$2:$B$9997,D6530,Calendar!$C$2:$C$9997,C6530)*INDEX(ForeCalc!$B$37:$Y$274,MATCH(_xlfn.CONCAT(H6530," ",I6530),ForeCalc!$A$37:$A$274,0),MATCH(_xlfn.CONCAT(B6530," ",E6530),ForeCalc!$B$36:$Y$36,0))))*VLOOKUP(A6530,Calendar!$A$2:$H$9997,8,FALSE),0)</f>
        <v/>
      </c>
      <c r="G6530" s="29">
        <f>VLOOKUP(A6530,Calendar!$A$1:$H$9997,6,FALSE)-F6530</f>
        <v/>
      </c>
      <c r="H6530" s="19" t="n">
        <v>3</v>
      </c>
      <c r="I6530" s="57" t="n">
        <v>11</v>
      </c>
    </row>
    <row r="6531">
      <c r="A6531" s="62" t="n">
        <v>47162</v>
      </c>
      <c r="B6531" s="3" t="inlineStr">
        <is>
          <t>Week</t>
        </is>
      </c>
      <c r="C6531" s="19" t="n">
        <v>2</v>
      </c>
      <c r="D6531" s="19" t="n">
        <v>2029</v>
      </c>
      <c r="E6531" s="57" t="n">
        <v>6</v>
      </c>
      <c r="F6531" s="29">
        <f>ROUND(((SUMIFS(Calendar!$F$2:$F$9997,Calendar!$B$2:$B$9997,D6531,Calendar!$C$2:$C$9997,C6531)*INDEX(ForeCalc!$B$37:$Y$274,MATCH(_xlfn.CONCAT(H6531," ",I6531),ForeCalc!$A$37:$A$274,0),MATCH(_xlfn.CONCAT(B6531," ",E6531),ForeCalc!$B$36:$Y$36,0))))*VLOOKUP(A6531,Calendar!$A$2:$H$9997,8,FALSE),0)</f>
        <v/>
      </c>
      <c r="G6531" s="29">
        <f>VLOOKUP(A6531,Calendar!$A$1:$H$9997,6,FALSE)-F6531</f>
        <v/>
      </c>
      <c r="H6531" s="19" t="n">
        <v>3</v>
      </c>
      <c r="I6531" s="57" t="n">
        <v>11</v>
      </c>
    </row>
    <row r="6532">
      <c r="A6532" s="62" t="n">
        <v>47163</v>
      </c>
      <c r="B6532" s="3" t="inlineStr">
        <is>
          <t>Week</t>
        </is>
      </c>
      <c r="C6532" s="19" t="n">
        <v>2</v>
      </c>
      <c r="D6532" s="19" t="n">
        <v>2029</v>
      </c>
      <c r="E6532" s="57" t="n">
        <v>6</v>
      </c>
      <c r="F6532" s="29">
        <f>ROUND(((SUMIFS(Calendar!$F$2:$F$9997,Calendar!$B$2:$B$9997,D6532,Calendar!$C$2:$C$9997,C6532)*INDEX(ForeCalc!$B$37:$Y$274,MATCH(_xlfn.CONCAT(H6532," ",I6532),ForeCalc!$A$37:$A$274,0),MATCH(_xlfn.CONCAT(B6532," ",E6532),ForeCalc!$B$36:$Y$36,0))))*VLOOKUP(A6532,Calendar!$A$2:$H$9997,8,FALSE),0)</f>
        <v/>
      </c>
      <c r="G6532" s="29">
        <f>VLOOKUP(A6532,Calendar!$A$1:$H$9997,6,FALSE)-F6532</f>
        <v/>
      </c>
      <c r="H6532" s="19" t="n">
        <v>3</v>
      </c>
      <c r="I6532" s="57" t="n">
        <v>11</v>
      </c>
    </row>
    <row r="6533">
      <c r="A6533" s="62" t="n">
        <v>47164</v>
      </c>
      <c r="B6533" s="3" t="inlineStr">
        <is>
          <t>Week</t>
        </is>
      </c>
      <c r="C6533" s="19" t="n">
        <v>2</v>
      </c>
      <c r="D6533" s="19" t="n">
        <v>2029</v>
      </c>
      <c r="E6533" s="57" t="n">
        <v>6</v>
      </c>
      <c r="F6533" s="29">
        <f>ROUND(((SUMIFS(Calendar!$F$2:$F$9997,Calendar!$B$2:$B$9997,D6533,Calendar!$C$2:$C$9997,C6533)*INDEX(ForeCalc!$B$37:$Y$274,MATCH(_xlfn.CONCAT(H6533," ",I6533),ForeCalc!$A$37:$A$274,0),MATCH(_xlfn.CONCAT(B6533," ",E6533),ForeCalc!$B$36:$Y$36,0))))*VLOOKUP(A6533,Calendar!$A$2:$H$9997,8,FALSE),0)</f>
        <v/>
      </c>
      <c r="G6533" s="29">
        <f>VLOOKUP(A6533,Calendar!$A$1:$H$9997,6,FALSE)-F6533</f>
        <v/>
      </c>
      <c r="H6533" s="19" t="n">
        <v>3</v>
      </c>
      <c r="I6533" s="57" t="n">
        <v>11</v>
      </c>
    </row>
    <row r="6534">
      <c r="A6534" s="62" t="n">
        <v>47165</v>
      </c>
      <c r="B6534" s="3" t="inlineStr">
        <is>
          <t>Week</t>
        </is>
      </c>
      <c r="C6534" s="19" t="n">
        <v>2</v>
      </c>
      <c r="D6534" s="19" t="n">
        <v>2029</v>
      </c>
      <c r="E6534" s="57" t="n">
        <v>6</v>
      </c>
      <c r="F6534" s="29">
        <f>ROUND(((SUMIFS(Calendar!$F$2:$F$9997,Calendar!$B$2:$B$9997,D6534,Calendar!$C$2:$C$9997,C6534)*INDEX(ForeCalc!$B$37:$Y$274,MATCH(_xlfn.CONCAT(H6534," ",I6534),ForeCalc!$A$37:$A$274,0),MATCH(_xlfn.CONCAT(B6534," ",E6534),ForeCalc!$B$36:$Y$36,0))))*VLOOKUP(A6534,Calendar!$A$2:$H$9997,8,FALSE),0)</f>
        <v/>
      </c>
      <c r="G6534" s="29">
        <f>VLOOKUP(A6534,Calendar!$A$1:$H$9997,6,FALSE)-F6534</f>
        <v/>
      </c>
      <c r="H6534" s="19" t="n">
        <v>3</v>
      </c>
      <c r="I6534" s="57" t="n">
        <v>11</v>
      </c>
    </row>
    <row r="6535">
      <c r="A6535" s="62" t="n">
        <v>47166</v>
      </c>
      <c r="B6535" s="3" t="inlineStr">
        <is>
          <t>Sat</t>
        </is>
      </c>
      <c r="C6535" s="19" t="n">
        <v>2</v>
      </c>
      <c r="D6535" s="19" t="n">
        <v>2029</v>
      </c>
      <c r="E6535" s="57" t="n">
        <v>6</v>
      </c>
      <c r="F6535" s="29">
        <f>ROUND(((SUMIFS(Calendar!$F$2:$F$9997,Calendar!$B$2:$B$9997,D6535,Calendar!$C$2:$C$9997,C6535)*INDEX(ForeCalc!$B$37:$Y$274,MATCH(_xlfn.CONCAT(H6535," ",I6535),ForeCalc!$A$37:$A$274,0),MATCH(_xlfn.CONCAT(B6535," ",E6535),ForeCalc!$B$36:$Y$36,0))))*VLOOKUP(A6535,Calendar!$A$2:$H$9997,8,FALSE),0)</f>
        <v/>
      </c>
      <c r="G6535" s="29">
        <f>VLOOKUP(A6535,Calendar!$A$1:$H$9997,6,FALSE)-F6535</f>
        <v/>
      </c>
      <c r="H6535" s="19" t="n">
        <v>3</v>
      </c>
      <c r="I6535" s="57" t="n">
        <v>11</v>
      </c>
    </row>
    <row r="6536">
      <c r="A6536" s="62" t="n">
        <v>47167</v>
      </c>
      <c r="B6536" s="3" t="inlineStr">
        <is>
          <t>Sun</t>
        </is>
      </c>
      <c r="C6536" s="19" t="n">
        <v>2</v>
      </c>
      <c r="D6536" s="19" t="n">
        <v>2029</v>
      </c>
      <c r="E6536" s="57" t="n">
        <v>6</v>
      </c>
      <c r="F6536" s="29">
        <f>ROUND(((SUMIFS(Calendar!$F$2:$F$9997,Calendar!$B$2:$B$9997,D6536,Calendar!$C$2:$C$9997,C6536)*INDEX(ForeCalc!$B$37:$Y$274,MATCH(_xlfn.CONCAT(H6536," ",I6536),ForeCalc!$A$37:$A$274,0),MATCH(_xlfn.CONCAT(B6536," ",E6536),ForeCalc!$B$36:$Y$36,0))))*VLOOKUP(A6536,Calendar!$A$2:$H$9997,8,FALSE),0)</f>
        <v/>
      </c>
      <c r="G6536" s="29">
        <f>VLOOKUP(A6536,Calendar!$A$1:$H$9997,6,FALSE)-F6536</f>
        <v/>
      </c>
      <c r="H6536" s="19" t="n">
        <v>3</v>
      </c>
      <c r="I6536" s="57" t="n">
        <v>11</v>
      </c>
    </row>
    <row r="6537">
      <c r="A6537" s="62" t="n">
        <v>47168</v>
      </c>
      <c r="B6537" s="3" t="inlineStr">
        <is>
          <t>Week</t>
        </is>
      </c>
      <c r="C6537" s="19" t="n">
        <v>2</v>
      </c>
      <c r="D6537" s="19" t="n">
        <v>2029</v>
      </c>
      <c r="E6537" s="57" t="n">
        <v>6</v>
      </c>
      <c r="F6537" s="29">
        <f>ROUND(((SUMIFS(Calendar!$F$2:$F$9997,Calendar!$B$2:$B$9997,D6537,Calendar!$C$2:$C$9997,C6537)*INDEX(ForeCalc!$B$37:$Y$274,MATCH(_xlfn.CONCAT(H6537," ",I6537),ForeCalc!$A$37:$A$274,0),MATCH(_xlfn.CONCAT(B6537," ",E6537),ForeCalc!$B$36:$Y$36,0))))*VLOOKUP(A6537,Calendar!$A$2:$H$9997,8,FALSE),0)</f>
        <v/>
      </c>
      <c r="G6537" s="29">
        <f>VLOOKUP(A6537,Calendar!$A$1:$H$9997,6,FALSE)-F6537</f>
        <v/>
      </c>
      <c r="H6537" s="19" t="n">
        <v>3</v>
      </c>
      <c r="I6537" s="57" t="n">
        <v>11</v>
      </c>
    </row>
    <row r="6538">
      <c r="A6538" s="62" t="n">
        <v>47169</v>
      </c>
      <c r="B6538" s="3" t="inlineStr">
        <is>
          <t>Week</t>
        </is>
      </c>
      <c r="C6538" s="19" t="n">
        <v>2</v>
      </c>
      <c r="D6538" s="19" t="n">
        <v>2029</v>
      </c>
      <c r="E6538" s="57" t="n">
        <v>6</v>
      </c>
      <c r="F6538" s="29">
        <f>ROUND(((SUMIFS(Calendar!$F$2:$F$9997,Calendar!$B$2:$B$9997,D6538,Calendar!$C$2:$C$9997,C6538)*INDEX(ForeCalc!$B$37:$Y$274,MATCH(_xlfn.CONCAT(H6538," ",I6538),ForeCalc!$A$37:$A$274,0),MATCH(_xlfn.CONCAT(B6538," ",E6538),ForeCalc!$B$36:$Y$36,0))))*VLOOKUP(A6538,Calendar!$A$2:$H$9997,8,FALSE),0)</f>
        <v/>
      </c>
      <c r="G6538" s="29">
        <f>VLOOKUP(A6538,Calendar!$A$1:$H$9997,6,FALSE)-F6538</f>
        <v/>
      </c>
      <c r="H6538" s="19" t="n">
        <v>3</v>
      </c>
      <c r="I6538" s="57" t="n">
        <v>11</v>
      </c>
    </row>
    <row r="6539">
      <c r="A6539" s="62" t="n">
        <v>47170</v>
      </c>
      <c r="B6539" s="3" t="inlineStr">
        <is>
          <t>Week</t>
        </is>
      </c>
      <c r="C6539" s="19" t="n">
        <v>2</v>
      </c>
      <c r="D6539" s="19" t="n">
        <v>2029</v>
      </c>
      <c r="E6539" s="57" t="n">
        <v>6</v>
      </c>
      <c r="F6539" s="29">
        <f>ROUND(((SUMIFS(Calendar!$F$2:$F$9997,Calendar!$B$2:$B$9997,D6539,Calendar!$C$2:$C$9997,C6539)*INDEX(ForeCalc!$B$37:$Y$274,MATCH(_xlfn.CONCAT(H6539," ",I6539),ForeCalc!$A$37:$A$274,0),MATCH(_xlfn.CONCAT(B6539," ",E6539),ForeCalc!$B$36:$Y$36,0))))*VLOOKUP(A6539,Calendar!$A$2:$H$9997,8,FALSE),0)</f>
        <v/>
      </c>
      <c r="G6539" s="29">
        <f>VLOOKUP(A6539,Calendar!$A$1:$H$9997,6,FALSE)-F6539</f>
        <v/>
      </c>
      <c r="H6539" s="19" t="n">
        <v>3</v>
      </c>
      <c r="I6539" s="57" t="n">
        <v>11</v>
      </c>
    </row>
    <row r="6540">
      <c r="A6540" s="62" t="n">
        <v>47171</v>
      </c>
      <c r="B6540" s="3" t="inlineStr">
        <is>
          <t>Week</t>
        </is>
      </c>
      <c r="C6540" s="19" t="n">
        <v>2</v>
      </c>
      <c r="D6540" s="19" t="n">
        <v>2029</v>
      </c>
      <c r="E6540" s="57" t="n">
        <v>6</v>
      </c>
      <c r="F6540" s="29">
        <f>ROUND(((SUMIFS(Calendar!$F$2:$F$9997,Calendar!$B$2:$B$9997,D6540,Calendar!$C$2:$C$9997,C6540)*INDEX(ForeCalc!$B$37:$Y$274,MATCH(_xlfn.CONCAT(H6540," ",I6540),ForeCalc!$A$37:$A$274,0),MATCH(_xlfn.CONCAT(B6540," ",E6540),ForeCalc!$B$36:$Y$36,0))))*VLOOKUP(A6540,Calendar!$A$2:$H$9997,8,FALSE),0)</f>
        <v/>
      </c>
      <c r="G6540" s="29">
        <f>VLOOKUP(A6540,Calendar!$A$1:$H$9997,6,FALSE)-F6540</f>
        <v/>
      </c>
      <c r="H6540" s="19" t="n">
        <v>3</v>
      </c>
      <c r="I6540" s="57" t="n">
        <v>11</v>
      </c>
    </row>
    <row r="6541">
      <c r="A6541" s="62" t="n">
        <v>47172</v>
      </c>
      <c r="B6541" s="3" t="inlineStr">
        <is>
          <t>Week</t>
        </is>
      </c>
      <c r="C6541" s="19" t="n">
        <v>2</v>
      </c>
      <c r="D6541" s="19" t="n">
        <v>2029</v>
      </c>
      <c r="E6541" s="57" t="n">
        <v>6</v>
      </c>
      <c r="F6541" s="29">
        <f>ROUND(((SUMIFS(Calendar!$F$2:$F$9997,Calendar!$B$2:$B$9997,D6541,Calendar!$C$2:$C$9997,C6541)*INDEX(ForeCalc!$B$37:$Y$274,MATCH(_xlfn.CONCAT(H6541," ",I6541),ForeCalc!$A$37:$A$274,0),MATCH(_xlfn.CONCAT(B6541," ",E6541),ForeCalc!$B$36:$Y$36,0))))*VLOOKUP(A6541,Calendar!$A$2:$H$9997,8,FALSE),0)</f>
        <v/>
      </c>
      <c r="G6541" s="29">
        <f>VLOOKUP(A6541,Calendar!$A$1:$H$9997,6,FALSE)-F6541</f>
        <v/>
      </c>
      <c r="H6541" s="19" t="n">
        <v>3</v>
      </c>
      <c r="I6541" s="57" t="n">
        <v>11</v>
      </c>
    </row>
    <row r="6542">
      <c r="A6542" s="62" t="n">
        <v>47173</v>
      </c>
      <c r="B6542" s="3" t="inlineStr">
        <is>
          <t>Sat</t>
        </is>
      </c>
      <c r="C6542" s="19" t="n">
        <v>2</v>
      </c>
      <c r="D6542" s="19" t="n">
        <v>2029</v>
      </c>
      <c r="E6542" s="57" t="n">
        <v>6</v>
      </c>
      <c r="F6542" s="29">
        <f>ROUND(((SUMIFS(Calendar!$F$2:$F$9997,Calendar!$B$2:$B$9997,D6542,Calendar!$C$2:$C$9997,C6542)*INDEX(ForeCalc!$B$37:$Y$274,MATCH(_xlfn.CONCAT(H6542," ",I6542),ForeCalc!$A$37:$A$274,0),MATCH(_xlfn.CONCAT(B6542," ",E6542),ForeCalc!$B$36:$Y$36,0))))*VLOOKUP(A6542,Calendar!$A$2:$H$9997,8,FALSE),0)</f>
        <v/>
      </c>
      <c r="G6542" s="29">
        <f>VLOOKUP(A6542,Calendar!$A$1:$H$9997,6,FALSE)-F6542</f>
        <v/>
      </c>
      <c r="H6542" s="19" t="n">
        <v>3</v>
      </c>
      <c r="I6542" s="57" t="n">
        <v>11</v>
      </c>
    </row>
    <row r="6543">
      <c r="A6543" s="62" t="n">
        <v>47174</v>
      </c>
      <c r="B6543" s="3" t="inlineStr">
        <is>
          <t>Sun</t>
        </is>
      </c>
      <c r="C6543" s="19" t="n">
        <v>2</v>
      </c>
      <c r="D6543" s="19" t="n">
        <v>2029</v>
      </c>
      <c r="E6543" s="57" t="n">
        <v>6</v>
      </c>
      <c r="F6543" s="29">
        <f>ROUND(((SUMIFS(Calendar!$F$2:$F$9997,Calendar!$B$2:$B$9997,D6543,Calendar!$C$2:$C$9997,C6543)*INDEX(ForeCalc!$B$37:$Y$274,MATCH(_xlfn.CONCAT(H6543," ",I6543),ForeCalc!$A$37:$A$274,0),MATCH(_xlfn.CONCAT(B6543," ",E6543),ForeCalc!$B$36:$Y$36,0))))*VLOOKUP(A6543,Calendar!$A$2:$H$9997,8,FALSE),0)</f>
        <v/>
      </c>
      <c r="G6543" s="29">
        <f>VLOOKUP(A6543,Calendar!$A$1:$H$9997,6,FALSE)-F6543</f>
        <v/>
      </c>
      <c r="H6543" s="19" t="n">
        <v>3</v>
      </c>
      <c r="I6543" s="57" t="n">
        <v>11</v>
      </c>
    </row>
    <row r="6544">
      <c r="A6544" s="62" t="n">
        <v>47175</v>
      </c>
      <c r="B6544" s="3" t="inlineStr">
        <is>
          <t>Week</t>
        </is>
      </c>
      <c r="C6544" s="19" t="n">
        <v>2</v>
      </c>
      <c r="D6544" s="19" t="n">
        <v>2029</v>
      </c>
      <c r="E6544" s="57" t="n">
        <v>6</v>
      </c>
      <c r="F6544" s="29">
        <f>ROUND(((SUMIFS(Calendar!$F$2:$F$9997,Calendar!$B$2:$B$9997,D6544,Calendar!$C$2:$C$9997,C6544)*INDEX(ForeCalc!$B$37:$Y$274,MATCH(_xlfn.CONCAT(H6544," ",I6544),ForeCalc!$A$37:$A$274,0),MATCH(_xlfn.CONCAT(B6544," ",E6544),ForeCalc!$B$36:$Y$36,0))))*VLOOKUP(A6544,Calendar!$A$2:$H$9997,8,FALSE),0)</f>
        <v/>
      </c>
      <c r="G6544" s="29">
        <f>VLOOKUP(A6544,Calendar!$A$1:$H$9997,6,FALSE)-F6544</f>
        <v/>
      </c>
      <c r="H6544" s="19" t="n">
        <v>3</v>
      </c>
      <c r="I6544" s="57" t="n">
        <v>11</v>
      </c>
    </row>
    <row r="6545">
      <c r="A6545" s="62" t="n">
        <v>47176</v>
      </c>
      <c r="B6545" s="3" t="inlineStr">
        <is>
          <t>Week</t>
        </is>
      </c>
      <c r="C6545" s="19" t="n">
        <v>2</v>
      </c>
      <c r="D6545" s="19" t="n">
        <v>2029</v>
      </c>
      <c r="E6545" s="57" t="n">
        <v>6</v>
      </c>
      <c r="F6545" s="29">
        <f>ROUND(((SUMIFS(Calendar!$F$2:$F$9997,Calendar!$B$2:$B$9997,D6545,Calendar!$C$2:$C$9997,C6545)*INDEX(ForeCalc!$B$37:$Y$274,MATCH(_xlfn.CONCAT(H6545," ",I6545),ForeCalc!$A$37:$A$274,0),MATCH(_xlfn.CONCAT(B6545," ",E6545),ForeCalc!$B$36:$Y$36,0))))*VLOOKUP(A6545,Calendar!$A$2:$H$9997,8,FALSE),0)</f>
        <v/>
      </c>
      <c r="G6545" s="29">
        <f>VLOOKUP(A6545,Calendar!$A$1:$H$9997,6,FALSE)-F6545</f>
        <v/>
      </c>
      <c r="H6545" s="19" t="n">
        <v>3</v>
      </c>
      <c r="I6545" s="57" t="n">
        <v>11</v>
      </c>
    </row>
    <row r="6546">
      <c r="A6546" s="62" t="n">
        <v>47177</v>
      </c>
      <c r="B6546" s="3" t="inlineStr">
        <is>
          <t>Week</t>
        </is>
      </c>
      <c r="C6546" s="19" t="n">
        <v>2</v>
      </c>
      <c r="D6546" s="19" t="n">
        <v>2029</v>
      </c>
      <c r="E6546" s="57" t="n">
        <v>6</v>
      </c>
      <c r="F6546" s="29">
        <f>ROUND(((SUMIFS(Calendar!$F$2:$F$9997,Calendar!$B$2:$B$9997,D6546,Calendar!$C$2:$C$9997,C6546)*INDEX(ForeCalc!$B$37:$Y$274,MATCH(_xlfn.CONCAT(H6546," ",I6546),ForeCalc!$A$37:$A$274,0),MATCH(_xlfn.CONCAT(B6546," ",E6546),ForeCalc!$B$36:$Y$36,0))))*VLOOKUP(A6546,Calendar!$A$2:$H$9997,8,FALSE),0)</f>
        <v/>
      </c>
      <c r="G6546" s="29">
        <f>VLOOKUP(A6546,Calendar!$A$1:$H$9997,6,FALSE)-F6546</f>
        <v/>
      </c>
      <c r="H6546" s="19" t="n">
        <v>3</v>
      </c>
      <c r="I6546" s="57" t="n">
        <v>11</v>
      </c>
    </row>
    <row r="6547">
      <c r="A6547" s="62" t="n">
        <v>47178</v>
      </c>
      <c r="B6547" s="3" t="inlineStr">
        <is>
          <t>Week</t>
        </is>
      </c>
      <c r="C6547" s="19" t="n">
        <v>3</v>
      </c>
      <c r="D6547" s="19" t="n">
        <v>2029</v>
      </c>
      <c r="E6547" s="57" t="n">
        <v>6</v>
      </c>
      <c r="F6547" s="29">
        <f>ROUND(((SUMIFS(Calendar!$F$2:$F$9997,Calendar!$B$2:$B$9997,D6547,Calendar!$C$2:$C$9997,C6547)*INDEX(ForeCalc!$B$37:$Y$274,MATCH(_xlfn.CONCAT(H6547," ",I6547),ForeCalc!$A$37:$A$274,0),MATCH(_xlfn.CONCAT(B6547," ",E6547),ForeCalc!$B$36:$Y$36,0))))*VLOOKUP(A6547,Calendar!$A$2:$H$9997,8,FALSE),0)</f>
        <v/>
      </c>
      <c r="G6547" s="29">
        <f>VLOOKUP(A6547,Calendar!$A$1:$H$9997,6,FALSE)-F6547</f>
        <v/>
      </c>
      <c r="H6547" s="19" t="n">
        <v>3</v>
      </c>
      <c r="I6547" s="57" t="n">
        <v>12</v>
      </c>
    </row>
    <row r="6548">
      <c r="A6548" s="62" t="n">
        <v>47179</v>
      </c>
      <c r="B6548" s="3" t="inlineStr">
        <is>
          <t>Week</t>
        </is>
      </c>
      <c r="C6548" s="19" t="n">
        <v>3</v>
      </c>
      <c r="D6548" s="19" t="n">
        <v>2029</v>
      </c>
      <c r="E6548" s="57" t="n">
        <v>6</v>
      </c>
      <c r="F6548" s="29">
        <f>ROUND(((SUMIFS(Calendar!$F$2:$F$9997,Calendar!$B$2:$B$9997,D6548,Calendar!$C$2:$C$9997,C6548)*INDEX(ForeCalc!$B$37:$Y$274,MATCH(_xlfn.CONCAT(H6548," ",I6548),ForeCalc!$A$37:$A$274,0),MATCH(_xlfn.CONCAT(B6548," ",E6548),ForeCalc!$B$36:$Y$36,0))))*VLOOKUP(A6548,Calendar!$A$2:$H$9997,8,FALSE),0)</f>
        <v/>
      </c>
      <c r="G6548" s="29">
        <f>VLOOKUP(A6548,Calendar!$A$1:$H$9997,6,FALSE)-F6548</f>
        <v/>
      </c>
      <c r="H6548" s="19" t="n">
        <v>3</v>
      </c>
      <c r="I6548" s="57" t="n">
        <v>12</v>
      </c>
    </row>
    <row r="6549">
      <c r="A6549" s="62" t="n">
        <v>47180</v>
      </c>
      <c r="B6549" s="3" t="inlineStr">
        <is>
          <t>Sat</t>
        </is>
      </c>
      <c r="C6549" s="19" t="n">
        <v>3</v>
      </c>
      <c r="D6549" s="19" t="n">
        <v>2029</v>
      </c>
      <c r="E6549" s="57" t="n">
        <v>6</v>
      </c>
      <c r="F6549" s="29">
        <f>ROUND(((SUMIFS(Calendar!$F$2:$F$9997,Calendar!$B$2:$B$9997,D6549,Calendar!$C$2:$C$9997,C6549)*INDEX(ForeCalc!$B$37:$Y$274,MATCH(_xlfn.CONCAT(H6549," ",I6549),ForeCalc!$A$37:$A$274,0),MATCH(_xlfn.CONCAT(B6549," ",E6549),ForeCalc!$B$36:$Y$36,0))))*VLOOKUP(A6549,Calendar!$A$2:$H$9997,8,FALSE),0)</f>
        <v/>
      </c>
      <c r="G6549" s="29">
        <f>VLOOKUP(A6549,Calendar!$A$1:$H$9997,6,FALSE)-F6549</f>
        <v/>
      </c>
      <c r="H6549" s="19" t="n">
        <v>3</v>
      </c>
      <c r="I6549" s="57" t="n">
        <v>12</v>
      </c>
    </row>
    <row r="6550">
      <c r="A6550" s="62" t="n">
        <v>47181</v>
      </c>
      <c r="B6550" s="3" t="inlineStr">
        <is>
          <t>Sun</t>
        </is>
      </c>
      <c r="C6550" s="19" t="n">
        <v>3</v>
      </c>
      <c r="D6550" s="19" t="n">
        <v>2029</v>
      </c>
      <c r="E6550" s="57" t="n">
        <v>6</v>
      </c>
      <c r="F6550" s="29">
        <f>ROUND(((SUMIFS(Calendar!$F$2:$F$9997,Calendar!$B$2:$B$9997,D6550,Calendar!$C$2:$C$9997,C6550)*INDEX(ForeCalc!$B$37:$Y$274,MATCH(_xlfn.CONCAT(H6550," ",I6550),ForeCalc!$A$37:$A$274,0),MATCH(_xlfn.CONCAT(B6550," ",E6550),ForeCalc!$B$36:$Y$36,0))))*VLOOKUP(A6550,Calendar!$A$2:$H$9997,8,FALSE),0)</f>
        <v/>
      </c>
      <c r="G6550" s="29">
        <f>VLOOKUP(A6550,Calendar!$A$1:$H$9997,6,FALSE)-F6550</f>
        <v/>
      </c>
      <c r="H6550" s="19" t="n">
        <v>3</v>
      </c>
      <c r="I6550" s="57" t="n">
        <v>12</v>
      </c>
    </row>
    <row r="6551">
      <c r="A6551" s="62" t="n">
        <v>47182</v>
      </c>
      <c r="B6551" s="3" t="inlineStr">
        <is>
          <t>Week</t>
        </is>
      </c>
      <c r="C6551" s="19" t="n">
        <v>3</v>
      </c>
      <c r="D6551" s="19" t="n">
        <v>2029</v>
      </c>
      <c r="E6551" s="57" t="n">
        <v>6</v>
      </c>
      <c r="F6551" s="29">
        <f>ROUND(((SUMIFS(Calendar!$F$2:$F$9997,Calendar!$B$2:$B$9997,D6551,Calendar!$C$2:$C$9997,C6551)*INDEX(ForeCalc!$B$37:$Y$274,MATCH(_xlfn.CONCAT(H6551," ",I6551),ForeCalc!$A$37:$A$274,0),MATCH(_xlfn.CONCAT(B6551," ",E6551),ForeCalc!$B$36:$Y$36,0))))*VLOOKUP(A6551,Calendar!$A$2:$H$9997,8,FALSE),0)</f>
        <v/>
      </c>
      <c r="G6551" s="29">
        <f>VLOOKUP(A6551,Calendar!$A$1:$H$9997,6,FALSE)-F6551</f>
        <v/>
      </c>
      <c r="H6551" s="19" t="n">
        <v>3</v>
      </c>
      <c r="I6551" s="57" t="n">
        <v>12</v>
      </c>
    </row>
    <row r="6552">
      <c r="A6552" s="62" t="n">
        <v>47183</v>
      </c>
      <c r="B6552" s="3" t="inlineStr">
        <is>
          <t>Week</t>
        </is>
      </c>
      <c r="C6552" s="19" t="n">
        <v>3</v>
      </c>
      <c r="D6552" s="19" t="n">
        <v>2029</v>
      </c>
      <c r="E6552" s="57" t="n">
        <v>6</v>
      </c>
      <c r="F6552" s="29">
        <f>ROUND(((SUMIFS(Calendar!$F$2:$F$9997,Calendar!$B$2:$B$9997,D6552,Calendar!$C$2:$C$9997,C6552)*INDEX(ForeCalc!$B$37:$Y$274,MATCH(_xlfn.CONCAT(H6552," ",I6552),ForeCalc!$A$37:$A$274,0),MATCH(_xlfn.CONCAT(B6552," ",E6552),ForeCalc!$B$36:$Y$36,0))))*VLOOKUP(A6552,Calendar!$A$2:$H$9997,8,FALSE),0)</f>
        <v/>
      </c>
      <c r="G6552" s="29">
        <f>VLOOKUP(A6552,Calendar!$A$1:$H$9997,6,FALSE)-F6552</f>
        <v/>
      </c>
      <c r="H6552" s="19" t="n">
        <v>3</v>
      </c>
      <c r="I6552" s="57" t="n">
        <v>12</v>
      </c>
    </row>
    <row r="6553">
      <c r="A6553" s="62" t="n">
        <v>47184</v>
      </c>
      <c r="B6553" s="3" t="inlineStr">
        <is>
          <t>Week</t>
        </is>
      </c>
      <c r="C6553" s="19" t="n">
        <v>3</v>
      </c>
      <c r="D6553" s="19" t="n">
        <v>2029</v>
      </c>
      <c r="E6553" s="57" t="n">
        <v>6</v>
      </c>
      <c r="F6553" s="29">
        <f>ROUND(((SUMIFS(Calendar!$F$2:$F$9997,Calendar!$B$2:$B$9997,D6553,Calendar!$C$2:$C$9997,C6553)*INDEX(ForeCalc!$B$37:$Y$274,MATCH(_xlfn.CONCAT(H6553," ",I6553),ForeCalc!$A$37:$A$274,0),MATCH(_xlfn.CONCAT(B6553," ",E6553),ForeCalc!$B$36:$Y$36,0))))*VLOOKUP(A6553,Calendar!$A$2:$H$9997,8,FALSE),0)</f>
        <v/>
      </c>
      <c r="G6553" s="29">
        <f>VLOOKUP(A6553,Calendar!$A$1:$H$9997,6,FALSE)-F6553</f>
        <v/>
      </c>
      <c r="H6553" s="19" t="n">
        <v>3</v>
      </c>
      <c r="I6553" s="57" t="n">
        <v>12</v>
      </c>
    </row>
    <row r="6554">
      <c r="A6554" s="62" t="n">
        <v>47185</v>
      </c>
      <c r="B6554" s="3" t="inlineStr">
        <is>
          <t>Week</t>
        </is>
      </c>
      <c r="C6554" s="19" t="n">
        <v>3</v>
      </c>
      <c r="D6554" s="19" t="n">
        <v>2029</v>
      </c>
      <c r="E6554" s="57" t="n">
        <v>6</v>
      </c>
      <c r="F6554" s="29">
        <f>ROUND(((SUMIFS(Calendar!$F$2:$F$9997,Calendar!$B$2:$B$9997,D6554,Calendar!$C$2:$C$9997,C6554)*INDEX(ForeCalc!$B$37:$Y$274,MATCH(_xlfn.CONCAT(H6554," ",I6554),ForeCalc!$A$37:$A$274,0),MATCH(_xlfn.CONCAT(B6554," ",E6554),ForeCalc!$B$36:$Y$36,0))))*VLOOKUP(A6554,Calendar!$A$2:$H$9997,8,FALSE),0)</f>
        <v/>
      </c>
      <c r="G6554" s="29">
        <f>VLOOKUP(A6554,Calendar!$A$1:$H$9997,6,FALSE)-F6554</f>
        <v/>
      </c>
      <c r="H6554" s="19" t="n">
        <v>3</v>
      </c>
      <c r="I6554" s="57" t="n">
        <v>12</v>
      </c>
    </row>
    <row r="6555">
      <c r="A6555" s="62" t="n">
        <v>47186</v>
      </c>
      <c r="B6555" s="3" t="inlineStr">
        <is>
          <t>Week</t>
        </is>
      </c>
      <c r="C6555" s="19" t="n">
        <v>3</v>
      </c>
      <c r="D6555" s="19" t="n">
        <v>2029</v>
      </c>
      <c r="E6555" s="57" t="n">
        <v>6</v>
      </c>
      <c r="F6555" s="29">
        <f>ROUND(((SUMIFS(Calendar!$F$2:$F$9997,Calendar!$B$2:$B$9997,D6555,Calendar!$C$2:$C$9997,C6555)*INDEX(ForeCalc!$B$37:$Y$274,MATCH(_xlfn.CONCAT(H6555," ",I6555),ForeCalc!$A$37:$A$274,0),MATCH(_xlfn.CONCAT(B6555," ",E6555),ForeCalc!$B$36:$Y$36,0))))*VLOOKUP(A6555,Calendar!$A$2:$H$9997,8,FALSE),0)</f>
        <v/>
      </c>
      <c r="G6555" s="29">
        <f>VLOOKUP(A6555,Calendar!$A$1:$H$9997,6,FALSE)-F6555</f>
        <v/>
      </c>
      <c r="H6555" s="19" t="n">
        <v>3</v>
      </c>
      <c r="I6555" s="57" t="n">
        <v>12</v>
      </c>
    </row>
    <row r="6556">
      <c r="A6556" s="62" t="n">
        <v>47187</v>
      </c>
      <c r="B6556" s="3" t="inlineStr">
        <is>
          <t>Sat</t>
        </is>
      </c>
      <c r="C6556" s="19" t="n">
        <v>3</v>
      </c>
      <c r="D6556" s="19" t="n">
        <v>2029</v>
      </c>
      <c r="E6556" s="57" t="n">
        <v>6</v>
      </c>
      <c r="F6556" s="29">
        <f>ROUND(((SUMIFS(Calendar!$F$2:$F$9997,Calendar!$B$2:$B$9997,D6556,Calendar!$C$2:$C$9997,C6556)*INDEX(ForeCalc!$B$37:$Y$274,MATCH(_xlfn.CONCAT(H6556," ",I6556),ForeCalc!$A$37:$A$274,0),MATCH(_xlfn.CONCAT(B6556," ",E6556),ForeCalc!$B$36:$Y$36,0))))*VLOOKUP(A6556,Calendar!$A$2:$H$9997,8,FALSE),0)</f>
        <v/>
      </c>
      <c r="G6556" s="29">
        <f>VLOOKUP(A6556,Calendar!$A$1:$H$9997,6,FALSE)-F6556</f>
        <v/>
      </c>
      <c r="H6556" s="19" t="n">
        <v>3</v>
      </c>
      <c r="I6556" s="57" t="n">
        <v>12</v>
      </c>
    </row>
    <row r="6557">
      <c r="A6557" s="62" t="n">
        <v>47188</v>
      </c>
      <c r="B6557" s="3" t="inlineStr">
        <is>
          <t>Sun</t>
        </is>
      </c>
      <c r="C6557" s="19" t="n">
        <v>3</v>
      </c>
      <c r="D6557" s="19" t="n">
        <v>2029</v>
      </c>
      <c r="E6557" s="57" t="n">
        <v>6</v>
      </c>
      <c r="F6557" s="29">
        <f>ROUND(((SUMIFS(Calendar!$F$2:$F$9997,Calendar!$B$2:$B$9997,D6557,Calendar!$C$2:$C$9997,C6557)*INDEX(ForeCalc!$B$37:$Y$274,MATCH(_xlfn.CONCAT(H6557," ",I6557),ForeCalc!$A$37:$A$274,0),MATCH(_xlfn.CONCAT(B6557," ",E6557),ForeCalc!$B$36:$Y$36,0))))*VLOOKUP(A6557,Calendar!$A$2:$H$9997,8,FALSE),0)</f>
        <v/>
      </c>
      <c r="G6557" s="29">
        <f>VLOOKUP(A6557,Calendar!$A$1:$H$9997,6,FALSE)-F6557</f>
        <v/>
      </c>
      <c r="H6557" s="19" t="n">
        <v>3</v>
      </c>
      <c r="I6557" s="57" t="n">
        <v>12</v>
      </c>
    </row>
    <row r="6558">
      <c r="A6558" s="62" t="n">
        <v>47189</v>
      </c>
      <c r="B6558" s="3" t="inlineStr">
        <is>
          <t>Week</t>
        </is>
      </c>
      <c r="C6558" s="19" t="n">
        <v>3</v>
      </c>
      <c r="D6558" s="19" t="n">
        <v>2029</v>
      </c>
      <c r="E6558" s="57" t="n">
        <v>6</v>
      </c>
      <c r="F6558" s="29">
        <f>ROUND(((SUMIFS(Calendar!$F$2:$F$9997,Calendar!$B$2:$B$9997,D6558,Calendar!$C$2:$C$9997,C6558)*INDEX(ForeCalc!$B$37:$Y$274,MATCH(_xlfn.CONCAT(H6558," ",I6558),ForeCalc!$A$37:$A$274,0),MATCH(_xlfn.CONCAT(B6558," ",E6558),ForeCalc!$B$36:$Y$36,0))))*VLOOKUP(A6558,Calendar!$A$2:$H$9997,8,FALSE),0)</f>
        <v/>
      </c>
      <c r="G6558" s="29">
        <f>VLOOKUP(A6558,Calendar!$A$1:$H$9997,6,FALSE)-F6558</f>
        <v/>
      </c>
      <c r="H6558" s="19" t="n">
        <v>3</v>
      </c>
      <c r="I6558" s="57" t="n">
        <v>12</v>
      </c>
    </row>
    <row r="6559">
      <c r="A6559" s="62" t="n">
        <v>47190</v>
      </c>
      <c r="B6559" s="3" t="inlineStr">
        <is>
          <t>Week</t>
        </is>
      </c>
      <c r="C6559" s="19" t="n">
        <v>3</v>
      </c>
      <c r="D6559" s="19" t="n">
        <v>2029</v>
      </c>
      <c r="E6559" s="57" t="n">
        <v>6</v>
      </c>
      <c r="F6559" s="29">
        <f>ROUND(((SUMIFS(Calendar!$F$2:$F$9997,Calendar!$B$2:$B$9997,D6559,Calendar!$C$2:$C$9997,C6559)*INDEX(ForeCalc!$B$37:$Y$274,MATCH(_xlfn.CONCAT(H6559," ",I6559),ForeCalc!$A$37:$A$274,0),MATCH(_xlfn.CONCAT(B6559," ",E6559),ForeCalc!$B$36:$Y$36,0))))*VLOOKUP(A6559,Calendar!$A$2:$H$9997,8,FALSE),0)</f>
        <v/>
      </c>
      <c r="G6559" s="29">
        <f>VLOOKUP(A6559,Calendar!$A$1:$H$9997,6,FALSE)-F6559</f>
        <v/>
      </c>
      <c r="H6559" s="19" t="n">
        <v>3</v>
      </c>
      <c r="I6559" s="57" t="n">
        <v>12</v>
      </c>
    </row>
    <row r="6560">
      <c r="A6560" s="62" t="n">
        <v>47191</v>
      </c>
      <c r="B6560" s="3" t="inlineStr">
        <is>
          <t>Week</t>
        </is>
      </c>
      <c r="C6560" s="19" t="n">
        <v>3</v>
      </c>
      <c r="D6560" s="19" t="n">
        <v>2029</v>
      </c>
      <c r="E6560" s="57" t="n">
        <v>6</v>
      </c>
      <c r="F6560" s="29">
        <f>ROUND(((SUMIFS(Calendar!$F$2:$F$9997,Calendar!$B$2:$B$9997,D6560,Calendar!$C$2:$C$9997,C6560)*INDEX(ForeCalc!$B$37:$Y$274,MATCH(_xlfn.CONCAT(H6560," ",I6560),ForeCalc!$A$37:$A$274,0),MATCH(_xlfn.CONCAT(B6560," ",E6560),ForeCalc!$B$36:$Y$36,0))))*VLOOKUP(A6560,Calendar!$A$2:$H$9997,8,FALSE),0)</f>
        <v/>
      </c>
      <c r="G6560" s="29">
        <f>VLOOKUP(A6560,Calendar!$A$1:$H$9997,6,FALSE)-F6560</f>
        <v/>
      </c>
      <c r="H6560" s="19" t="n">
        <v>3</v>
      </c>
      <c r="I6560" s="57" t="n">
        <v>12</v>
      </c>
    </row>
    <row r="6561">
      <c r="A6561" s="62" t="n">
        <v>47192</v>
      </c>
      <c r="B6561" s="3" t="inlineStr">
        <is>
          <t>Week</t>
        </is>
      </c>
      <c r="C6561" s="19" t="n">
        <v>3</v>
      </c>
      <c r="D6561" s="19" t="n">
        <v>2029</v>
      </c>
      <c r="E6561" s="57" t="n">
        <v>6</v>
      </c>
      <c r="F6561" s="29">
        <f>ROUND(((SUMIFS(Calendar!$F$2:$F$9997,Calendar!$B$2:$B$9997,D6561,Calendar!$C$2:$C$9997,C6561)*INDEX(ForeCalc!$B$37:$Y$274,MATCH(_xlfn.CONCAT(H6561," ",I6561),ForeCalc!$A$37:$A$274,0),MATCH(_xlfn.CONCAT(B6561," ",E6561),ForeCalc!$B$36:$Y$36,0))))*VLOOKUP(A6561,Calendar!$A$2:$H$9997,8,FALSE),0)</f>
        <v/>
      </c>
      <c r="G6561" s="29">
        <f>VLOOKUP(A6561,Calendar!$A$1:$H$9997,6,FALSE)-F6561</f>
        <v/>
      </c>
      <c r="H6561" s="19" t="n">
        <v>3</v>
      </c>
      <c r="I6561" s="57" t="n">
        <v>12</v>
      </c>
    </row>
    <row r="6562">
      <c r="A6562" s="62" t="n">
        <v>47193</v>
      </c>
      <c r="B6562" s="3" t="inlineStr">
        <is>
          <t>Week</t>
        </is>
      </c>
      <c r="C6562" s="19" t="n">
        <v>3</v>
      </c>
      <c r="D6562" s="19" t="n">
        <v>2029</v>
      </c>
      <c r="E6562" s="57" t="n">
        <v>6</v>
      </c>
      <c r="F6562" s="29">
        <f>ROUND(((SUMIFS(Calendar!$F$2:$F$9997,Calendar!$B$2:$B$9997,D6562,Calendar!$C$2:$C$9997,C6562)*INDEX(ForeCalc!$B$37:$Y$274,MATCH(_xlfn.CONCAT(H6562," ",I6562),ForeCalc!$A$37:$A$274,0),MATCH(_xlfn.CONCAT(B6562," ",E6562),ForeCalc!$B$36:$Y$36,0))))*VLOOKUP(A6562,Calendar!$A$2:$H$9997,8,FALSE),0)</f>
        <v/>
      </c>
      <c r="G6562" s="29">
        <f>VLOOKUP(A6562,Calendar!$A$1:$H$9997,6,FALSE)-F6562</f>
        <v/>
      </c>
      <c r="H6562" s="19" t="n">
        <v>3</v>
      </c>
      <c r="I6562" s="57" t="n">
        <v>12</v>
      </c>
    </row>
    <row r="6563">
      <c r="A6563" s="62" t="n">
        <v>47194</v>
      </c>
      <c r="B6563" s="3" t="inlineStr">
        <is>
          <t>Sat</t>
        </is>
      </c>
      <c r="C6563" s="19" t="n">
        <v>3</v>
      </c>
      <c r="D6563" s="19" t="n">
        <v>2029</v>
      </c>
      <c r="E6563" s="57" t="n">
        <v>6</v>
      </c>
      <c r="F6563" s="29">
        <f>ROUND(((SUMIFS(Calendar!$F$2:$F$9997,Calendar!$B$2:$B$9997,D6563,Calendar!$C$2:$C$9997,C6563)*INDEX(ForeCalc!$B$37:$Y$274,MATCH(_xlfn.CONCAT(H6563," ",I6563),ForeCalc!$A$37:$A$274,0),MATCH(_xlfn.CONCAT(B6563," ",E6563),ForeCalc!$B$36:$Y$36,0))))*VLOOKUP(A6563,Calendar!$A$2:$H$9997,8,FALSE),0)</f>
        <v/>
      </c>
      <c r="G6563" s="29">
        <f>VLOOKUP(A6563,Calendar!$A$1:$H$9997,6,FALSE)-F6563</f>
        <v/>
      </c>
      <c r="H6563" s="19" t="n">
        <v>3</v>
      </c>
      <c r="I6563" s="57" t="n">
        <v>12</v>
      </c>
    </row>
    <row r="6564">
      <c r="A6564" s="62" t="n">
        <v>47195</v>
      </c>
      <c r="B6564" s="3" t="inlineStr">
        <is>
          <t>Sun</t>
        </is>
      </c>
      <c r="C6564" s="19" t="n">
        <v>3</v>
      </c>
      <c r="D6564" s="19" t="n">
        <v>2029</v>
      </c>
      <c r="E6564" s="57" t="n">
        <v>6</v>
      </c>
      <c r="F6564" s="29">
        <f>ROUND(((SUMIFS(Calendar!$F$2:$F$9997,Calendar!$B$2:$B$9997,D6564,Calendar!$C$2:$C$9997,C6564)*INDEX(ForeCalc!$B$37:$Y$274,MATCH(_xlfn.CONCAT(H6564," ",I6564),ForeCalc!$A$37:$A$274,0),MATCH(_xlfn.CONCAT(B6564," ",E6564),ForeCalc!$B$36:$Y$36,0))))*VLOOKUP(A6564,Calendar!$A$2:$H$9997,8,FALSE),0)</f>
        <v/>
      </c>
      <c r="G6564" s="29">
        <f>VLOOKUP(A6564,Calendar!$A$1:$H$9997,6,FALSE)-F6564</f>
        <v/>
      </c>
      <c r="H6564" s="19" t="n">
        <v>3</v>
      </c>
      <c r="I6564" s="57" t="n">
        <v>12</v>
      </c>
    </row>
    <row r="6565">
      <c r="A6565" s="62" t="n">
        <v>47196</v>
      </c>
      <c r="B6565" s="3" t="inlineStr">
        <is>
          <t>Week</t>
        </is>
      </c>
      <c r="C6565" s="19" t="n">
        <v>3</v>
      </c>
      <c r="D6565" s="19" t="n">
        <v>2029</v>
      </c>
      <c r="E6565" s="57" t="n">
        <v>6</v>
      </c>
      <c r="F6565" s="29">
        <f>ROUND(((SUMIFS(Calendar!$F$2:$F$9997,Calendar!$B$2:$B$9997,D6565,Calendar!$C$2:$C$9997,C6565)*INDEX(ForeCalc!$B$37:$Y$274,MATCH(_xlfn.CONCAT(H6565," ",I6565),ForeCalc!$A$37:$A$274,0),MATCH(_xlfn.CONCAT(B6565," ",E6565),ForeCalc!$B$36:$Y$36,0))))*VLOOKUP(A6565,Calendar!$A$2:$H$9997,8,FALSE),0)</f>
        <v/>
      </c>
      <c r="G6565" s="29">
        <f>VLOOKUP(A6565,Calendar!$A$1:$H$9997,6,FALSE)-F6565</f>
        <v/>
      </c>
      <c r="H6565" s="19" t="n">
        <v>3</v>
      </c>
      <c r="I6565" s="57" t="n">
        <v>12</v>
      </c>
    </row>
    <row r="6566">
      <c r="A6566" s="62" t="n">
        <v>47197</v>
      </c>
      <c r="B6566" s="3" t="inlineStr">
        <is>
          <t>Week</t>
        </is>
      </c>
      <c r="C6566" s="19" t="n">
        <v>3</v>
      </c>
      <c r="D6566" s="19" t="n">
        <v>2029</v>
      </c>
      <c r="E6566" s="57" t="n">
        <v>6</v>
      </c>
      <c r="F6566" s="29">
        <f>ROUND(((SUMIFS(Calendar!$F$2:$F$9997,Calendar!$B$2:$B$9997,D6566,Calendar!$C$2:$C$9997,C6566)*INDEX(ForeCalc!$B$37:$Y$274,MATCH(_xlfn.CONCAT(H6566," ",I6566),ForeCalc!$A$37:$A$274,0),MATCH(_xlfn.CONCAT(B6566," ",E6566),ForeCalc!$B$36:$Y$36,0))))*VLOOKUP(A6566,Calendar!$A$2:$H$9997,8,FALSE),0)</f>
        <v/>
      </c>
      <c r="G6566" s="29">
        <f>VLOOKUP(A6566,Calendar!$A$1:$H$9997,6,FALSE)-F6566</f>
        <v/>
      </c>
      <c r="H6566" s="19" t="n">
        <v>3</v>
      </c>
      <c r="I6566" s="57" t="n">
        <v>12</v>
      </c>
    </row>
    <row r="6567">
      <c r="A6567" s="62" t="n">
        <v>47198</v>
      </c>
      <c r="B6567" s="3" t="inlineStr">
        <is>
          <t>Week</t>
        </is>
      </c>
      <c r="C6567" s="19" t="n">
        <v>3</v>
      </c>
      <c r="D6567" s="19" t="n">
        <v>2029</v>
      </c>
      <c r="E6567" s="57" t="n">
        <v>6</v>
      </c>
      <c r="F6567" s="29">
        <f>ROUND(((SUMIFS(Calendar!$F$2:$F$9997,Calendar!$B$2:$B$9997,D6567,Calendar!$C$2:$C$9997,C6567)*INDEX(ForeCalc!$B$37:$Y$274,MATCH(_xlfn.CONCAT(H6567," ",I6567),ForeCalc!$A$37:$A$274,0),MATCH(_xlfn.CONCAT(B6567," ",E6567),ForeCalc!$B$36:$Y$36,0))))*VLOOKUP(A6567,Calendar!$A$2:$H$9997,8,FALSE),0)</f>
        <v/>
      </c>
      <c r="G6567" s="29">
        <f>VLOOKUP(A6567,Calendar!$A$1:$H$9997,6,FALSE)-F6567</f>
        <v/>
      </c>
      <c r="H6567" s="19" t="n">
        <v>3</v>
      </c>
      <c r="I6567" s="57" t="n">
        <v>12</v>
      </c>
    </row>
    <row r="6568">
      <c r="A6568" s="62" t="n">
        <v>47199</v>
      </c>
      <c r="B6568" s="3" t="inlineStr">
        <is>
          <t>Week</t>
        </is>
      </c>
      <c r="C6568" s="19" t="n">
        <v>3</v>
      </c>
      <c r="D6568" s="19" t="n">
        <v>2029</v>
      </c>
      <c r="E6568" s="57" t="n">
        <v>6</v>
      </c>
      <c r="F6568" s="29">
        <f>ROUND(((SUMIFS(Calendar!$F$2:$F$9997,Calendar!$B$2:$B$9997,D6568,Calendar!$C$2:$C$9997,C6568)*INDEX(ForeCalc!$B$37:$Y$274,MATCH(_xlfn.CONCAT(H6568," ",I6568),ForeCalc!$A$37:$A$274,0),MATCH(_xlfn.CONCAT(B6568," ",E6568),ForeCalc!$B$36:$Y$36,0))))*VLOOKUP(A6568,Calendar!$A$2:$H$9997,8,FALSE),0)</f>
        <v/>
      </c>
      <c r="G6568" s="29">
        <f>VLOOKUP(A6568,Calendar!$A$1:$H$9997,6,FALSE)-F6568</f>
        <v/>
      </c>
      <c r="H6568" s="19" t="n">
        <v>3</v>
      </c>
      <c r="I6568" s="57" t="n">
        <v>12</v>
      </c>
    </row>
    <row r="6569">
      <c r="A6569" s="62" t="n">
        <v>47200</v>
      </c>
      <c r="B6569" s="3" t="inlineStr">
        <is>
          <t>Week</t>
        </is>
      </c>
      <c r="C6569" s="19" t="n">
        <v>3</v>
      </c>
      <c r="D6569" s="19" t="n">
        <v>2029</v>
      </c>
      <c r="E6569" s="57" t="n">
        <v>6</v>
      </c>
      <c r="F6569" s="29">
        <f>ROUND(((SUMIFS(Calendar!$F$2:$F$9997,Calendar!$B$2:$B$9997,D6569,Calendar!$C$2:$C$9997,C6569)*INDEX(ForeCalc!$B$37:$Y$274,MATCH(_xlfn.CONCAT(H6569," ",I6569),ForeCalc!$A$37:$A$274,0),MATCH(_xlfn.CONCAT(B6569," ",E6569),ForeCalc!$B$36:$Y$36,0))))*VLOOKUP(A6569,Calendar!$A$2:$H$9997,8,FALSE),0)</f>
        <v/>
      </c>
      <c r="G6569" s="29">
        <f>VLOOKUP(A6569,Calendar!$A$1:$H$9997,6,FALSE)-F6569</f>
        <v/>
      </c>
      <c r="H6569" s="19" t="n">
        <v>3</v>
      </c>
      <c r="I6569" s="57" t="n">
        <v>12</v>
      </c>
    </row>
    <row r="6570">
      <c r="A6570" s="62" t="n">
        <v>47201</v>
      </c>
      <c r="B6570" s="3" t="inlineStr">
        <is>
          <t>Sat</t>
        </is>
      </c>
      <c r="C6570" s="19" t="n">
        <v>3</v>
      </c>
      <c r="D6570" s="19" t="n">
        <v>2029</v>
      </c>
      <c r="E6570" s="57" t="n">
        <v>6</v>
      </c>
      <c r="F6570" s="29">
        <f>ROUND(((SUMIFS(Calendar!$F$2:$F$9997,Calendar!$B$2:$B$9997,D6570,Calendar!$C$2:$C$9997,C6570)*INDEX(ForeCalc!$B$37:$Y$274,MATCH(_xlfn.CONCAT(H6570," ",I6570),ForeCalc!$A$37:$A$274,0),MATCH(_xlfn.CONCAT(B6570," ",E6570),ForeCalc!$B$36:$Y$36,0))))*VLOOKUP(A6570,Calendar!$A$2:$H$9997,8,FALSE),0)</f>
        <v/>
      </c>
      <c r="G6570" s="29">
        <f>VLOOKUP(A6570,Calendar!$A$1:$H$9997,6,FALSE)-F6570</f>
        <v/>
      </c>
      <c r="H6570" s="19" t="n">
        <v>3</v>
      </c>
      <c r="I6570" s="57" t="n">
        <v>12</v>
      </c>
    </row>
    <row r="6571">
      <c r="A6571" s="62" t="n">
        <v>47202</v>
      </c>
      <c r="B6571" s="3" t="inlineStr">
        <is>
          <t>Sun</t>
        </is>
      </c>
      <c r="C6571" s="19" t="n">
        <v>3</v>
      </c>
      <c r="D6571" s="19" t="n">
        <v>2029</v>
      </c>
      <c r="E6571" s="57" t="n">
        <v>6</v>
      </c>
      <c r="F6571" s="29">
        <f>ROUND(((SUMIFS(Calendar!$F$2:$F$9997,Calendar!$B$2:$B$9997,D6571,Calendar!$C$2:$C$9997,C6571)*INDEX(ForeCalc!$B$37:$Y$274,MATCH(_xlfn.CONCAT(H6571," ",I6571),ForeCalc!$A$37:$A$274,0),MATCH(_xlfn.CONCAT(B6571," ",E6571),ForeCalc!$B$36:$Y$36,0))))*VLOOKUP(A6571,Calendar!$A$2:$H$9997,8,FALSE),0)</f>
        <v/>
      </c>
      <c r="G6571" s="29">
        <f>VLOOKUP(A6571,Calendar!$A$1:$H$9997,6,FALSE)-F6571</f>
        <v/>
      </c>
      <c r="H6571" s="19" t="n">
        <v>3</v>
      </c>
      <c r="I6571" s="57" t="n">
        <v>12</v>
      </c>
    </row>
    <row r="6572">
      <c r="A6572" s="62" t="n">
        <v>47203</v>
      </c>
      <c r="B6572" s="3" t="inlineStr">
        <is>
          <t>Week</t>
        </is>
      </c>
      <c r="C6572" s="19" t="n">
        <v>3</v>
      </c>
      <c r="D6572" s="19" t="n">
        <v>2029</v>
      </c>
      <c r="E6572" s="57" t="n">
        <v>6</v>
      </c>
      <c r="F6572" s="29">
        <f>ROUND(((SUMIFS(Calendar!$F$2:$F$9997,Calendar!$B$2:$B$9997,D6572,Calendar!$C$2:$C$9997,C6572)*INDEX(ForeCalc!$B$37:$Y$274,MATCH(_xlfn.CONCAT(H6572," ",I6572),ForeCalc!$A$37:$A$274,0),MATCH(_xlfn.CONCAT(B6572," ",E6572),ForeCalc!$B$36:$Y$36,0))))*VLOOKUP(A6572,Calendar!$A$2:$H$9997,8,FALSE),0)</f>
        <v/>
      </c>
      <c r="G6572" s="29">
        <f>VLOOKUP(A6572,Calendar!$A$1:$H$9997,6,FALSE)-F6572</f>
        <v/>
      </c>
      <c r="H6572" s="19" t="n">
        <v>3</v>
      </c>
      <c r="I6572" s="57" t="n">
        <v>12</v>
      </c>
    </row>
    <row r="6573">
      <c r="A6573" s="62" t="n">
        <v>47204</v>
      </c>
      <c r="B6573" s="3" t="inlineStr">
        <is>
          <t>Week</t>
        </is>
      </c>
      <c r="C6573" s="19" t="n">
        <v>3</v>
      </c>
      <c r="D6573" s="19" t="n">
        <v>2029</v>
      </c>
      <c r="E6573" s="57" t="n">
        <v>6</v>
      </c>
      <c r="F6573" s="29">
        <f>ROUND(((SUMIFS(Calendar!$F$2:$F$9997,Calendar!$B$2:$B$9997,D6573,Calendar!$C$2:$C$9997,C6573)*INDEX(ForeCalc!$B$37:$Y$274,MATCH(_xlfn.CONCAT(H6573," ",I6573),ForeCalc!$A$37:$A$274,0),MATCH(_xlfn.CONCAT(B6573," ",E6573),ForeCalc!$B$36:$Y$36,0))))*VLOOKUP(A6573,Calendar!$A$2:$H$9997,8,FALSE),0)</f>
        <v/>
      </c>
      <c r="G6573" s="29">
        <f>VLOOKUP(A6573,Calendar!$A$1:$H$9997,6,FALSE)-F6573</f>
        <v/>
      </c>
      <c r="H6573" s="19" t="n">
        <v>3</v>
      </c>
      <c r="I6573" s="57" t="n">
        <v>12</v>
      </c>
    </row>
    <row r="6574">
      <c r="A6574" s="62" t="n">
        <v>47205</v>
      </c>
      <c r="B6574" s="3" t="inlineStr">
        <is>
          <t>Week</t>
        </is>
      </c>
      <c r="C6574" s="19" t="n">
        <v>3</v>
      </c>
      <c r="D6574" s="19" t="n">
        <v>2029</v>
      </c>
      <c r="E6574" s="57" t="n">
        <v>6</v>
      </c>
      <c r="F6574" s="29">
        <f>ROUND(((SUMIFS(Calendar!$F$2:$F$9997,Calendar!$B$2:$B$9997,D6574,Calendar!$C$2:$C$9997,C6574)*INDEX(ForeCalc!$B$37:$Y$274,MATCH(_xlfn.CONCAT(H6574," ",I6574),ForeCalc!$A$37:$A$274,0),MATCH(_xlfn.CONCAT(B6574," ",E6574),ForeCalc!$B$36:$Y$36,0))))*VLOOKUP(A6574,Calendar!$A$2:$H$9997,8,FALSE),0)</f>
        <v/>
      </c>
      <c r="G6574" s="29">
        <f>VLOOKUP(A6574,Calendar!$A$1:$H$9997,6,FALSE)-F6574</f>
        <v/>
      </c>
      <c r="H6574" s="19" t="n">
        <v>3</v>
      </c>
      <c r="I6574" s="57" t="n">
        <v>12</v>
      </c>
    </row>
    <row r="6575">
      <c r="A6575" s="62" t="n">
        <v>47206</v>
      </c>
      <c r="B6575" s="3" t="inlineStr">
        <is>
          <t>Week</t>
        </is>
      </c>
      <c r="C6575" s="19" t="n">
        <v>3</v>
      </c>
      <c r="D6575" s="19" t="n">
        <v>2029</v>
      </c>
      <c r="E6575" s="57" t="n">
        <v>6</v>
      </c>
      <c r="F6575" s="29">
        <f>ROUND(((SUMIFS(Calendar!$F$2:$F$9997,Calendar!$B$2:$B$9997,D6575,Calendar!$C$2:$C$9997,C6575)*INDEX(ForeCalc!$B$37:$Y$274,MATCH(_xlfn.CONCAT(H6575," ",I6575),ForeCalc!$A$37:$A$274,0),MATCH(_xlfn.CONCAT(B6575," ",E6575),ForeCalc!$B$36:$Y$36,0))))*VLOOKUP(A6575,Calendar!$A$2:$H$9997,8,FALSE),0)</f>
        <v/>
      </c>
      <c r="G6575" s="29">
        <f>VLOOKUP(A6575,Calendar!$A$1:$H$9997,6,FALSE)-F6575</f>
        <v/>
      </c>
      <c r="H6575" s="19" t="n">
        <v>3</v>
      </c>
      <c r="I6575" s="57" t="n">
        <v>12</v>
      </c>
    </row>
    <row r="6576">
      <c r="A6576" s="62" t="n">
        <v>47207</v>
      </c>
      <c r="B6576" s="3" t="inlineStr">
        <is>
          <t>Week</t>
        </is>
      </c>
      <c r="C6576" s="19" t="n">
        <v>3</v>
      </c>
      <c r="D6576" s="19" t="n">
        <v>2029</v>
      </c>
      <c r="E6576" s="57" t="n">
        <v>6</v>
      </c>
      <c r="F6576" s="29">
        <f>ROUND(((SUMIFS(Calendar!$F$2:$F$9997,Calendar!$B$2:$B$9997,D6576,Calendar!$C$2:$C$9997,C6576)*INDEX(ForeCalc!$B$37:$Y$274,MATCH(_xlfn.CONCAT(H6576," ",I6576),ForeCalc!$A$37:$A$274,0),MATCH(_xlfn.CONCAT(B6576," ",E6576),ForeCalc!$B$36:$Y$36,0))))*VLOOKUP(A6576,Calendar!$A$2:$H$9997,8,FALSE),0)</f>
        <v/>
      </c>
      <c r="G6576" s="29">
        <f>VLOOKUP(A6576,Calendar!$A$1:$H$9997,6,FALSE)-F6576</f>
        <v/>
      </c>
      <c r="H6576" s="19" t="n">
        <v>3</v>
      </c>
      <c r="I6576" s="57" t="n">
        <v>12</v>
      </c>
    </row>
    <row r="6577">
      <c r="A6577" s="62" t="n">
        <v>47208</v>
      </c>
      <c r="B6577" s="3" t="inlineStr">
        <is>
          <t>Sat</t>
        </is>
      </c>
      <c r="C6577" s="19" t="n">
        <v>3</v>
      </c>
      <c r="D6577" s="19" t="n">
        <v>2029</v>
      </c>
      <c r="E6577" s="57" t="n">
        <v>6</v>
      </c>
      <c r="F6577" s="29">
        <f>ROUND(((SUMIFS(Calendar!$F$2:$F$9997,Calendar!$B$2:$B$9997,D6577,Calendar!$C$2:$C$9997,C6577)*INDEX(ForeCalc!$B$37:$Y$274,MATCH(_xlfn.CONCAT(H6577," ",I6577),ForeCalc!$A$37:$A$274,0),MATCH(_xlfn.CONCAT(B6577," ",E6577),ForeCalc!$B$36:$Y$36,0))))*VLOOKUP(A6577,Calendar!$A$2:$H$9997,8,FALSE),0)</f>
        <v/>
      </c>
      <c r="G6577" s="29">
        <f>VLOOKUP(A6577,Calendar!$A$1:$H$9997,6,FALSE)-F6577</f>
        <v/>
      </c>
      <c r="H6577" s="19" t="n">
        <v>3</v>
      </c>
      <c r="I6577" s="57" t="n">
        <v>12</v>
      </c>
    </row>
    <row r="6578">
      <c r="A6578" s="62" t="n">
        <v>46113</v>
      </c>
      <c r="B6578" s="3" t="inlineStr">
        <is>
          <t>Week</t>
        </is>
      </c>
      <c r="C6578" s="19" t="n">
        <v>4</v>
      </c>
      <c r="D6578" s="19" t="n">
        <v>2026</v>
      </c>
      <c r="E6578" s="57" t="n">
        <v>7</v>
      </c>
      <c r="F6578" s="29">
        <f>ROUND(((SUMIFS(Calendar!$F$2:$F$9997,Calendar!$B$2:$B$9997,D6578,Calendar!$C$2:$C$9997,C6578)*INDEX(ForeCalc!$B$37:$Y$274,MATCH(_xlfn.CONCAT(H6578," ",I6578),ForeCalc!$A$37:$A$274,0),MATCH(_xlfn.CONCAT(B6578," ",E6578),ForeCalc!$B$36:$Y$36,0))))*VLOOKUP(A6578,Calendar!$A$2:$H$9997,8,FALSE),0)</f>
        <v/>
      </c>
      <c r="G6578" s="29">
        <f>VLOOKUP(A6578,Calendar!$A$1:$H$9997,6,FALSE)-F6578</f>
        <v/>
      </c>
      <c r="H6578" s="19" t="n">
        <v>1</v>
      </c>
      <c r="I6578" s="57" t="n">
        <v>1</v>
      </c>
    </row>
    <row r="6579">
      <c r="A6579" s="62" t="n">
        <v>46114</v>
      </c>
      <c r="B6579" s="3" t="inlineStr">
        <is>
          <t>Week</t>
        </is>
      </c>
      <c r="C6579" s="19" t="n">
        <v>4</v>
      </c>
      <c r="D6579" s="19" t="n">
        <v>2026</v>
      </c>
      <c r="E6579" s="57" t="n">
        <v>7</v>
      </c>
      <c r="F6579" s="29">
        <f>ROUND(((SUMIFS(Calendar!$F$2:$F$9997,Calendar!$B$2:$B$9997,D6579,Calendar!$C$2:$C$9997,C6579)*INDEX(ForeCalc!$B$37:$Y$274,MATCH(_xlfn.CONCAT(H6579," ",I6579),ForeCalc!$A$37:$A$274,0),MATCH(_xlfn.CONCAT(B6579," ",E6579),ForeCalc!$B$36:$Y$36,0))))*VLOOKUP(A6579,Calendar!$A$2:$H$9997,8,FALSE),0)</f>
        <v/>
      </c>
      <c r="G6579" s="29">
        <f>VLOOKUP(A6579,Calendar!$A$1:$H$9997,6,FALSE)-F6579</f>
        <v/>
      </c>
      <c r="H6579" s="19" t="n">
        <v>1</v>
      </c>
      <c r="I6579" s="57" t="n">
        <v>1</v>
      </c>
    </row>
    <row r="6580">
      <c r="A6580" s="62" t="n">
        <v>46115</v>
      </c>
      <c r="B6580" s="3" t="inlineStr">
        <is>
          <t>Week</t>
        </is>
      </c>
      <c r="C6580" s="19" t="n">
        <v>4</v>
      </c>
      <c r="D6580" s="19" t="n">
        <v>2026</v>
      </c>
      <c r="E6580" s="57" t="n">
        <v>7</v>
      </c>
      <c r="F6580" s="29">
        <f>ROUND(((SUMIFS(Calendar!$F$2:$F$9997,Calendar!$B$2:$B$9997,D6580,Calendar!$C$2:$C$9997,C6580)*INDEX(ForeCalc!$B$37:$Y$274,MATCH(_xlfn.CONCAT(H6580," ",I6580),ForeCalc!$A$37:$A$274,0),MATCH(_xlfn.CONCAT(B6580," ",E6580),ForeCalc!$B$36:$Y$36,0))))*VLOOKUP(A6580,Calendar!$A$2:$H$9997,8,FALSE),0)</f>
        <v/>
      </c>
      <c r="G6580" s="29">
        <f>VLOOKUP(A6580,Calendar!$A$1:$H$9997,6,FALSE)-F6580</f>
        <v/>
      </c>
      <c r="H6580" s="19" t="n">
        <v>1</v>
      </c>
      <c r="I6580" s="57" t="n">
        <v>1</v>
      </c>
    </row>
    <row r="6581">
      <c r="A6581" s="62" t="n">
        <v>46116</v>
      </c>
      <c r="B6581" s="3" t="inlineStr">
        <is>
          <t>Sat</t>
        </is>
      </c>
      <c r="C6581" s="19" t="n">
        <v>4</v>
      </c>
      <c r="D6581" s="19" t="n">
        <v>2026</v>
      </c>
      <c r="E6581" s="57" t="n">
        <v>7</v>
      </c>
      <c r="F6581" s="29">
        <f>ROUND(((SUMIFS(Calendar!$F$2:$F$9997,Calendar!$B$2:$B$9997,D6581,Calendar!$C$2:$C$9997,C6581)*INDEX(ForeCalc!$B$37:$Y$274,MATCH(_xlfn.CONCAT(H6581," ",I6581),ForeCalc!$A$37:$A$274,0),MATCH(_xlfn.CONCAT(B6581," ",E6581),ForeCalc!$B$36:$Y$36,0))))*VLOOKUP(A6581,Calendar!$A$2:$H$9997,8,FALSE),0)</f>
        <v/>
      </c>
      <c r="G6581" s="29">
        <f>VLOOKUP(A6581,Calendar!$A$1:$H$9997,6,FALSE)-F6581</f>
        <v/>
      </c>
      <c r="H6581" s="19" t="n">
        <v>1</v>
      </c>
      <c r="I6581" s="57" t="n">
        <v>1</v>
      </c>
    </row>
    <row r="6582">
      <c r="A6582" s="62" t="n">
        <v>46117</v>
      </c>
      <c r="B6582" s="3" t="inlineStr">
        <is>
          <t>Sun</t>
        </is>
      </c>
      <c r="C6582" s="19" t="n">
        <v>4</v>
      </c>
      <c r="D6582" s="19" t="n">
        <v>2026</v>
      </c>
      <c r="E6582" s="57" t="n">
        <v>7</v>
      </c>
      <c r="F6582" s="29">
        <f>ROUND(((SUMIFS(Calendar!$F$2:$F$9997,Calendar!$B$2:$B$9997,D6582,Calendar!$C$2:$C$9997,C6582)*INDEX(ForeCalc!$B$37:$Y$274,MATCH(_xlfn.CONCAT(H6582," ",I6582),ForeCalc!$A$37:$A$274,0),MATCH(_xlfn.CONCAT(B6582," ",E6582),ForeCalc!$B$36:$Y$36,0))))*VLOOKUP(A6582,Calendar!$A$2:$H$9997,8,FALSE),0)</f>
        <v/>
      </c>
      <c r="G6582" s="29">
        <f>VLOOKUP(A6582,Calendar!$A$1:$H$9997,6,FALSE)-F6582</f>
        <v/>
      </c>
      <c r="H6582" s="19" t="n">
        <v>1</v>
      </c>
      <c r="I6582" s="57" t="n">
        <v>1</v>
      </c>
    </row>
    <row r="6583">
      <c r="A6583" s="62" t="n">
        <v>46118</v>
      </c>
      <c r="B6583" s="3" t="inlineStr">
        <is>
          <t>Week</t>
        </is>
      </c>
      <c r="C6583" s="19" t="n">
        <v>4</v>
      </c>
      <c r="D6583" s="19" t="n">
        <v>2026</v>
      </c>
      <c r="E6583" s="57" t="n">
        <v>7</v>
      </c>
      <c r="F6583" s="29">
        <f>ROUND(((SUMIFS(Calendar!$F$2:$F$9997,Calendar!$B$2:$B$9997,D6583,Calendar!$C$2:$C$9997,C6583)*INDEX(ForeCalc!$B$37:$Y$274,MATCH(_xlfn.CONCAT(H6583," ",I6583),ForeCalc!$A$37:$A$274,0),MATCH(_xlfn.CONCAT(B6583," ",E6583),ForeCalc!$B$36:$Y$36,0))))*VLOOKUP(A6583,Calendar!$A$2:$H$9997,8,FALSE),0)</f>
        <v/>
      </c>
      <c r="G6583" s="29">
        <f>VLOOKUP(A6583,Calendar!$A$1:$H$9997,6,FALSE)-F6583</f>
        <v/>
      </c>
      <c r="H6583" s="19" t="n">
        <v>1</v>
      </c>
      <c r="I6583" s="57" t="n">
        <v>1</v>
      </c>
    </row>
    <row r="6584">
      <c r="A6584" s="62" t="n">
        <v>46119</v>
      </c>
      <c r="B6584" s="3" t="inlineStr">
        <is>
          <t>Week</t>
        </is>
      </c>
      <c r="C6584" s="19" t="n">
        <v>4</v>
      </c>
      <c r="D6584" s="19" t="n">
        <v>2026</v>
      </c>
      <c r="E6584" s="57" t="n">
        <v>7</v>
      </c>
      <c r="F6584" s="29">
        <f>ROUND(((SUMIFS(Calendar!$F$2:$F$9997,Calendar!$B$2:$B$9997,D6584,Calendar!$C$2:$C$9997,C6584)*INDEX(ForeCalc!$B$37:$Y$274,MATCH(_xlfn.CONCAT(H6584," ",I6584),ForeCalc!$A$37:$A$274,0),MATCH(_xlfn.CONCAT(B6584," ",E6584),ForeCalc!$B$36:$Y$36,0))))*VLOOKUP(A6584,Calendar!$A$2:$H$9997,8,FALSE),0)</f>
        <v/>
      </c>
      <c r="G6584" s="29">
        <f>VLOOKUP(A6584,Calendar!$A$1:$H$9997,6,FALSE)-F6584</f>
        <v/>
      </c>
      <c r="H6584" s="19" t="n">
        <v>1</v>
      </c>
      <c r="I6584" s="57" t="n">
        <v>1</v>
      </c>
    </row>
    <row r="6585">
      <c r="A6585" s="62" t="n">
        <v>46120</v>
      </c>
      <c r="B6585" s="3" t="inlineStr">
        <is>
          <t>Week</t>
        </is>
      </c>
      <c r="C6585" s="19" t="n">
        <v>4</v>
      </c>
      <c r="D6585" s="19" t="n">
        <v>2026</v>
      </c>
      <c r="E6585" s="57" t="n">
        <v>7</v>
      </c>
      <c r="F6585" s="29">
        <f>ROUND(((SUMIFS(Calendar!$F$2:$F$9997,Calendar!$B$2:$B$9997,D6585,Calendar!$C$2:$C$9997,C6585)*INDEX(ForeCalc!$B$37:$Y$274,MATCH(_xlfn.CONCAT(H6585," ",I6585),ForeCalc!$A$37:$A$274,0),MATCH(_xlfn.CONCAT(B6585," ",E6585),ForeCalc!$B$36:$Y$36,0))))*VLOOKUP(A6585,Calendar!$A$2:$H$9997,8,FALSE),0)</f>
        <v/>
      </c>
      <c r="G6585" s="29">
        <f>VLOOKUP(A6585,Calendar!$A$1:$H$9997,6,FALSE)-F6585</f>
        <v/>
      </c>
      <c r="H6585" s="19" t="n">
        <v>1</v>
      </c>
      <c r="I6585" s="57" t="n">
        <v>1</v>
      </c>
    </row>
    <row r="6586">
      <c r="A6586" s="62" t="n">
        <v>46121</v>
      </c>
      <c r="B6586" s="3" t="inlineStr">
        <is>
          <t>Week</t>
        </is>
      </c>
      <c r="C6586" s="19" t="n">
        <v>4</v>
      </c>
      <c r="D6586" s="19" t="n">
        <v>2026</v>
      </c>
      <c r="E6586" s="57" t="n">
        <v>7</v>
      </c>
      <c r="F6586" s="29">
        <f>ROUND(((SUMIFS(Calendar!$F$2:$F$9997,Calendar!$B$2:$B$9997,D6586,Calendar!$C$2:$C$9997,C6586)*INDEX(ForeCalc!$B$37:$Y$274,MATCH(_xlfn.CONCAT(H6586," ",I6586),ForeCalc!$A$37:$A$274,0),MATCH(_xlfn.CONCAT(B6586," ",E6586),ForeCalc!$B$36:$Y$36,0))))*VLOOKUP(A6586,Calendar!$A$2:$H$9997,8,FALSE),0)</f>
        <v/>
      </c>
      <c r="G6586" s="29">
        <f>VLOOKUP(A6586,Calendar!$A$1:$H$9997,6,FALSE)-F6586</f>
        <v/>
      </c>
      <c r="H6586" s="19" t="n">
        <v>1</v>
      </c>
      <c r="I6586" s="57" t="n">
        <v>1</v>
      </c>
    </row>
    <row r="6587">
      <c r="A6587" s="62" t="n">
        <v>46122</v>
      </c>
      <c r="B6587" s="3" t="inlineStr">
        <is>
          <t>Week</t>
        </is>
      </c>
      <c r="C6587" s="19" t="n">
        <v>4</v>
      </c>
      <c r="D6587" s="19" t="n">
        <v>2026</v>
      </c>
      <c r="E6587" s="57" t="n">
        <v>7</v>
      </c>
      <c r="F6587" s="29">
        <f>ROUND(((SUMIFS(Calendar!$F$2:$F$9997,Calendar!$B$2:$B$9997,D6587,Calendar!$C$2:$C$9997,C6587)*INDEX(ForeCalc!$B$37:$Y$274,MATCH(_xlfn.CONCAT(H6587," ",I6587),ForeCalc!$A$37:$A$274,0),MATCH(_xlfn.CONCAT(B6587," ",E6587),ForeCalc!$B$36:$Y$36,0))))*VLOOKUP(A6587,Calendar!$A$2:$H$9997,8,FALSE),0)</f>
        <v/>
      </c>
      <c r="G6587" s="29">
        <f>VLOOKUP(A6587,Calendar!$A$1:$H$9997,6,FALSE)-F6587</f>
        <v/>
      </c>
      <c r="H6587" s="19" t="n">
        <v>1</v>
      </c>
      <c r="I6587" s="57" t="n">
        <v>1</v>
      </c>
    </row>
    <row r="6588">
      <c r="A6588" s="62" t="n">
        <v>46123</v>
      </c>
      <c r="B6588" s="3" t="inlineStr">
        <is>
          <t>Sat</t>
        </is>
      </c>
      <c r="C6588" s="19" t="n">
        <v>4</v>
      </c>
      <c r="D6588" s="19" t="n">
        <v>2026</v>
      </c>
      <c r="E6588" s="57" t="n">
        <v>7</v>
      </c>
      <c r="F6588" s="29">
        <f>ROUND(((SUMIFS(Calendar!$F$2:$F$9997,Calendar!$B$2:$B$9997,D6588,Calendar!$C$2:$C$9997,C6588)*INDEX(ForeCalc!$B$37:$Y$274,MATCH(_xlfn.CONCAT(H6588," ",I6588),ForeCalc!$A$37:$A$274,0),MATCH(_xlfn.CONCAT(B6588," ",E6588),ForeCalc!$B$36:$Y$36,0))))*VLOOKUP(A6588,Calendar!$A$2:$H$9997,8,FALSE),0)</f>
        <v/>
      </c>
      <c r="G6588" s="29">
        <f>VLOOKUP(A6588,Calendar!$A$1:$H$9997,6,FALSE)-F6588</f>
        <v/>
      </c>
      <c r="H6588" s="19" t="n">
        <v>1</v>
      </c>
      <c r="I6588" s="57" t="n">
        <v>1</v>
      </c>
    </row>
    <row r="6589">
      <c r="A6589" s="62" t="n">
        <v>46124</v>
      </c>
      <c r="B6589" s="3" t="inlineStr">
        <is>
          <t>Sun</t>
        </is>
      </c>
      <c r="C6589" s="19" t="n">
        <v>4</v>
      </c>
      <c r="D6589" s="19" t="n">
        <v>2026</v>
      </c>
      <c r="E6589" s="57" t="n">
        <v>7</v>
      </c>
      <c r="F6589" s="29">
        <f>ROUND(((SUMIFS(Calendar!$F$2:$F$9997,Calendar!$B$2:$B$9997,D6589,Calendar!$C$2:$C$9997,C6589)*INDEX(ForeCalc!$B$37:$Y$274,MATCH(_xlfn.CONCAT(H6589," ",I6589),ForeCalc!$A$37:$A$274,0),MATCH(_xlfn.CONCAT(B6589," ",E6589),ForeCalc!$B$36:$Y$36,0))))*VLOOKUP(A6589,Calendar!$A$2:$H$9997,8,FALSE),0)</f>
        <v/>
      </c>
      <c r="G6589" s="29">
        <f>VLOOKUP(A6589,Calendar!$A$1:$H$9997,6,FALSE)-F6589</f>
        <v/>
      </c>
      <c r="H6589" s="19" t="n">
        <v>1</v>
      </c>
      <c r="I6589" s="57" t="n">
        <v>1</v>
      </c>
    </row>
    <row r="6590">
      <c r="A6590" s="62" t="n">
        <v>46125</v>
      </c>
      <c r="B6590" s="3" t="inlineStr">
        <is>
          <t>Week</t>
        </is>
      </c>
      <c r="C6590" s="19" t="n">
        <v>4</v>
      </c>
      <c r="D6590" s="19" t="n">
        <v>2026</v>
      </c>
      <c r="E6590" s="57" t="n">
        <v>7</v>
      </c>
      <c r="F6590" s="29">
        <f>ROUND(((SUMIFS(Calendar!$F$2:$F$9997,Calendar!$B$2:$B$9997,D6590,Calendar!$C$2:$C$9997,C6590)*INDEX(ForeCalc!$B$37:$Y$274,MATCH(_xlfn.CONCAT(H6590," ",I6590),ForeCalc!$A$37:$A$274,0),MATCH(_xlfn.CONCAT(B6590," ",E6590),ForeCalc!$B$36:$Y$36,0))))*VLOOKUP(A6590,Calendar!$A$2:$H$9997,8,FALSE),0)</f>
        <v/>
      </c>
      <c r="G6590" s="29">
        <f>VLOOKUP(A6590,Calendar!$A$1:$H$9997,6,FALSE)-F6590</f>
        <v/>
      </c>
      <c r="H6590" s="19" t="n">
        <v>1</v>
      </c>
      <c r="I6590" s="57" t="n">
        <v>1</v>
      </c>
    </row>
    <row r="6591">
      <c r="A6591" s="62" t="n">
        <v>46126</v>
      </c>
      <c r="B6591" s="3" t="inlineStr">
        <is>
          <t>Week</t>
        </is>
      </c>
      <c r="C6591" s="19" t="n">
        <v>4</v>
      </c>
      <c r="D6591" s="19" t="n">
        <v>2026</v>
      </c>
      <c r="E6591" s="57" t="n">
        <v>7</v>
      </c>
      <c r="F6591" s="29">
        <f>ROUND(((SUMIFS(Calendar!$F$2:$F$9997,Calendar!$B$2:$B$9997,D6591,Calendar!$C$2:$C$9997,C6591)*INDEX(ForeCalc!$B$37:$Y$274,MATCH(_xlfn.CONCAT(H6591," ",I6591),ForeCalc!$A$37:$A$274,0),MATCH(_xlfn.CONCAT(B6591," ",E6591),ForeCalc!$B$36:$Y$36,0))))*VLOOKUP(A6591,Calendar!$A$2:$H$9997,8,FALSE),0)</f>
        <v/>
      </c>
      <c r="G6591" s="29">
        <f>VLOOKUP(A6591,Calendar!$A$1:$H$9997,6,FALSE)-F6591</f>
        <v/>
      </c>
      <c r="H6591" s="19" t="n">
        <v>1</v>
      </c>
      <c r="I6591" s="57" t="n">
        <v>1</v>
      </c>
    </row>
    <row r="6592">
      <c r="A6592" s="62" t="n">
        <v>46127</v>
      </c>
      <c r="B6592" s="3" t="inlineStr">
        <is>
          <t>Week</t>
        </is>
      </c>
      <c r="C6592" s="19" t="n">
        <v>4</v>
      </c>
      <c r="D6592" s="19" t="n">
        <v>2026</v>
      </c>
      <c r="E6592" s="57" t="n">
        <v>7</v>
      </c>
      <c r="F6592" s="29">
        <f>ROUND(((SUMIFS(Calendar!$F$2:$F$9997,Calendar!$B$2:$B$9997,D6592,Calendar!$C$2:$C$9997,C6592)*INDEX(ForeCalc!$B$37:$Y$274,MATCH(_xlfn.CONCAT(H6592," ",I6592),ForeCalc!$A$37:$A$274,0),MATCH(_xlfn.CONCAT(B6592," ",E6592),ForeCalc!$B$36:$Y$36,0))))*VLOOKUP(A6592,Calendar!$A$2:$H$9997,8,FALSE),0)</f>
        <v/>
      </c>
      <c r="G6592" s="29">
        <f>VLOOKUP(A6592,Calendar!$A$1:$H$9997,6,FALSE)-F6592</f>
        <v/>
      </c>
      <c r="H6592" s="19" t="n">
        <v>1</v>
      </c>
      <c r="I6592" s="57" t="n">
        <v>1</v>
      </c>
    </row>
    <row r="6593">
      <c r="A6593" s="62" t="n">
        <v>46128</v>
      </c>
      <c r="B6593" s="3" t="inlineStr">
        <is>
          <t>Week</t>
        </is>
      </c>
      <c r="C6593" s="19" t="n">
        <v>4</v>
      </c>
      <c r="D6593" s="19" t="n">
        <v>2026</v>
      </c>
      <c r="E6593" s="57" t="n">
        <v>7</v>
      </c>
      <c r="F6593" s="29">
        <f>ROUND(((SUMIFS(Calendar!$F$2:$F$9997,Calendar!$B$2:$B$9997,D6593,Calendar!$C$2:$C$9997,C6593)*INDEX(ForeCalc!$B$37:$Y$274,MATCH(_xlfn.CONCAT(H6593," ",I6593),ForeCalc!$A$37:$A$274,0),MATCH(_xlfn.CONCAT(B6593," ",E6593),ForeCalc!$B$36:$Y$36,0))))*VLOOKUP(A6593,Calendar!$A$2:$H$9997,8,FALSE),0)</f>
        <v/>
      </c>
      <c r="G6593" s="29">
        <f>VLOOKUP(A6593,Calendar!$A$1:$H$9997,6,FALSE)-F6593</f>
        <v/>
      </c>
      <c r="H6593" s="19" t="n">
        <v>1</v>
      </c>
      <c r="I6593" s="57" t="n">
        <v>1</v>
      </c>
    </row>
    <row r="6594">
      <c r="A6594" s="62" t="n">
        <v>46129</v>
      </c>
      <c r="B6594" s="3" t="inlineStr">
        <is>
          <t>Week</t>
        </is>
      </c>
      <c r="C6594" s="19" t="n">
        <v>4</v>
      </c>
      <c r="D6594" s="19" t="n">
        <v>2026</v>
      </c>
      <c r="E6594" s="57" t="n">
        <v>7</v>
      </c>
      <c r="F6594" s="29">
        <f>ROUND(((SUMIFS(Calendar!$F$2:$F$9997,Calendar!$B$2:$B$9997,D6594,Calendar!$C$2:$C$9997,C6594)*INDEX(ForeCalc!$B$37:$Y$274,MATCH(_xlfn.CONCAT(H6594," ",I6594),ForeCalc!$A$37:$A$274,0),MATCH(_xlfn.CONCAT(B6594," ",E6594),ForeCalc!$B$36:$Y$36,0))))*VLOOKUP(A6594,Calendar!$A$2:$H$9997,8,FALSE),0)</f>
        <v/>
      </c>
      <c r="G6594" s="29">
        <f>VLOOKUP(A6594,Calendar!$A$1:$H$9997,6,FALSE)-F6594</f>
        <v/>
      </c>
      <c r="H6594" s="19" t="n">
        <v>1</v>
      </c>
      <c r="I6594" s="57" t="n">
        <v>1</v>
      </c>
    </row>
    <row r="6595">
      <c r="A6595" s="62" t="n">
        <v>46130</v>
      </c>
      <c r="B6595" s="3" t="inlineStr">
        <is>
          <t>Sat</t>
        </is>
      </c>
      <c r="C6595" s="19" t="n">
        <v>4</v>
      </c>
      <c r="D6595" s="19" t="n">
        <v>2026</v>
      </c>
      <c r="E6595" s="57" t="n">
        <v>7</v>
      </c>
      <c r="F6595" s="29">
        <f>ROUND(((SUMIFS(Calendar!$F$2:$F$9997,Calendar!$B$2:$B$9997,D6595,Calendar!$C$2:$C$9997,C6595)*INDEX(ForeCalc!$B$37:$Y$274,MATCH(_xlfn.CONCAT(H6595," ",I6595),ForeCalc!$A$37:$A$274,0),MATCH(_xlfn.CONCAT(B6595," ",E6595),ForeCalc!$B$36:$Y$36,0))))*VLOOKUP(A6595,Calendar!$A$2:$H$9997,8,FALSE),0)</f>
        <v/>
      </c>
      <c r="G6595" s="29">
        <f>VLOOKUP(A6595,Calendar!$A$1:$H$9997,6,FALSE)-F6595</f>
        <v/>
      </c>
      <c r="H6595" s="19" t="n">
        <v>1</v>
      </c>
      <c r="I6595" s="57" t="n">
        <v>1</v>
      </c>
    </row>
    <row r="6596">
      <c r="A6596" s="62" t="n">
        <v>46131</v>
      </c>
      <c r="B6596" s="3" t="inlineStr">
        <is>
          <t>Sun</t>
        </is>
      </c>
      <c r="C6596" s="19" t="n">
        <v>4</v>
      </c>
      <c r="D6596" s="19" t="n">
        <v>2026</v>
      </c>
      <c r="E6596" s="57" t="n">
        <v>7</v>
      </c>
      <c r="F6596" s="29">
        <f>ROUND(((SUMIFS(Calendar!$F$2:$F$9997,Calendar!$B$2:$B$9997,D6596,Calendar!$C$2:$C$9997,C6596)*INDEX(ForeCalc!$B$37:$Y$274,MATCH(_xlfn.CONCAT(H6596," ",I6596),ForeCalc!$A$37:$A$274,0),MATCH(_xlfn.CONCAT(B6596," ",E6596),ForeCalc!$B$36:$Y$36,0))))*VLOOKUP(A6596,Calendar!$A$2:$H$9997,8,FALSE),0)</f>
        <v/>
      </c>
      <c r="G6596" s="29">
        <f>VLOOKUP(A6596,Calendar!$A$1:$H$9997,6,FALSE)-F6596</f>
        <v/>
      </c>
      <c r="H6596" s="19" t="n">
        <v>1</v>
      </c>
      <c r="I6596" s="57" t="n">
        <v>1</v>
      </c>
    </row>
    <row r="6597">
      <c r="A6597" s="62" t="n">
        <v>46132</v>
      </c>
      <c r="B6597" s="3" t="inlineStr">
        <is>
          <t>Week</t>
        </is>
      </c>
      <c r="C6597" s="19" t="n">
        <v>4</v>
      </c>
      <c r="D6597" s="19" t="n">
        <v>2026</v>
      </c>
      <c r="E6597" s="57" t="n">
        <v>7</v>
      </c>
      <c r="F6597" s="29">
        <f>ROUND(((SUMIFS(Calendar!$F$2:$F$9997,Calendar!$B$2:$B$9997,D6597,Calendar!$C$2:$C$9997,C6597)*INDEX(ForeCalc!$B$37:$Y$274,MATCH(_xlfn.CONCAT(H6597," ",I6597),ForeCalc!$A$37:$A$274,0),MATCH(_xlfn.CONCAT(B6597," ",E6597),ForeCalc!$B$36:$Y$36,0))))*VLOOKUP(A6597,Calendar!$A$2:$H$9997,8,FALSE),0)</f>
        <v/>
      </c>
      <c r="G6597" s="29">
        <f>VLOOKUP(A6597,Calendar!$A$1:$H$9997,6,FALSE)-F6597</f>
        <v/>
      </c>
      <c r="H6597" s="19" t="n">
        <v>1</v>
      </c>
      <c r="I6597" s="57" t="n">
        <v>1</v>
      </c>
    </row>
    <row r="6598">
      <c r="A6598" s="62" t="n">
        <v>46133</v>
      </c>
      <c r="B6598" s="3" t="inlineStr">
        <is>
          <t>Week</t>
        </is>
      </c>
      <c r="C6598" s="19" t="n">
        <v>4</v>
      </c>
      <c r="D6598" s="19" t="n">
        <v>2026</v>
      </c>
      <c r="E6598" s="57" t="n">
        <v>7</v>
      </c>
      <c r="F6598" s="29">
        <f>ROUND(((SUMIFS(Calendar!$F$2:$F$9997,Calendar!$B$2:$B$9997,D6598,Calendar!$C$2:$C$9997,C6598)*INDEX(ForeCalc!$B$37:$Y$274,MATCH(_xlfn.CONCAT(H6598," ",I6598),ForeCalc!$A$37:$A$274,0),MATCH(_xlfn.CONCAT(B6598," ",E6598),ForeCalc!$B$36:$Y$36,0))))*VLOOKUP(A6598,Calendar!$A$2:$H$9997,8,FALSE),0)</f>
        <v/>
      </c>
      <c r="G6598" s="29">
        <f>VLOOKUP(A6598,Calendar!$A$1:$H$9997,6,FALSE)-F6598</f>
        <v/>
      </c>
      <c r="H6598" s="19" t="n">
        <v>1</v>
      </c>
      <c r="I6598" s="57" t="n">
        <v>1</v>
      </c>
    </row>
    <row r="6599">
      <c r="A6599" s="62" t="n">
        <v>46134</v>
      </c>
      <c r="B6599" s="3" t="inlineStr">
        <is>
          <t>Week</t>
        </is>
      </c>
      <c r="C6599" s="19" t="n">
        <v>4</v>
      </c>
      <c r="D6599" s="19" t="n">
        <v>2026</v>
      </c>
      <c r="E6599" s="57" t="n">
        <v>7</v>
      </c>
      <c r="F6599" s="29">
        <f>ROUND(((SUMIFS(Calendar!$F$2:$F$9997,Calendar!$B$2:$B$9997,D6599,Calendar!$C$2:$C$9997,C6599)*INDEX(ForeCalc!$B$37:$Y$274,MATCH(_xlfn.CONCAT(H6599," ",I6599),ForeCalc!$A$37:$A$274,0),MATCH(_xlfn.CONCAT(B6599," ",E6599),ForeCalc!$B$36:$Y$36,0))))*VLOOKUP(A6599,Calendar!$A$2:$H$9997,8,FALSE),0)</f>
        <v/>
      </c>
      <c r="G6599" s="29">
        <f>VLOOKUP(A6599,Calendar!$A$1:$H$9997,6,FALSE)-F6599</f>
        <v/>
      </c>
      <c r="H6599" s="19" t="n">
        <v>1</v>
      </c>
      <c r="I6599" s="57" t="n">
        <v>1</v>
      </c>
    </row>
    <row r="6600">
      <c r="A6600" s="62" t="n">
        <v>46135</v>
      </c>
      <c r="B6600" s="3" t="inlineStr">
        <is>
          <t>Week</t>
        </is>
      </c>
      <c r="C6600" s="19" t="n">
        <v>4</v>
      </c>
      <c r="D6600" s="19" t="n">
        <v>2026</v>
      </c>
      <c r="E6600" s="57" t="n">
        <v>7</v>
      </c>
      <c r="F6600" s="29">
        <f>ROUND(((SUMIFS(Calendar!$F$2:$F$9997,Calendar!$B$2:$B$9997,D6600,Calendar!$C$2:$C$9997,C6600)*INDEX(ForeCalc!$B$37:$Y$274,MATCH(_xlfn.CONCAT(H6600," ",I6600),ForeCalc!$A$37:$A$274,0),MATCH(_xlfn.CONCAT(B6600," ",E6600),ForeCalc!$B$36:$Y$36,0))))*VLOOKUP(A6600,Calendar!$A$2:$H$9997,8,FALSE),0)</f>
        <v/>
      </c>
      <c r="G6600" s="29">
        <f>VLOOKUP(A6600,Calendar!$A$1:$H$9997,6,FALSE)-F6600</f>
        <v/>
      </c>
      <c r="H6600" s="19" t="n">
        <v>1</v>
      </c>
      <c r="I6600" s="57" t="n">
        <v>1</v>
      </c>
    </row>
    <row r="6601">
      <c r="A6601" s="62" t="n">
        <v>46136</v>
      </c>
      <c r="B6601" s="3" t="inlineStr">
        <is>
          <t>Week</t>
        </is>
      </c>
      <c r="C6601" s="19" t="n">
        <v>4</v>
      </c>
      <c r="D6601" s="19" t="n">
        <v>2026</v>
      </c>
      <c r="E6601" s="57" t="n">
        <v>7</v>
      </c>
      <c r="F6601" s="29">
        <f>ROUND(((SUMIFS(Calendar!$F$2:$F$9997,Calendar!$B$2:$B$9997,D6601,Calendar!$C$2:$C$9997,C6601)*INDEX(ForeCalc!$B$37:$Y$274,MATCH(_xlfn.CONCAT(H6601," ",I6601),ForeCalc!$A$37:$A$274,0),MATCH(_xlfn.CONCAT(B6601," ",E6601),ForeCalc!$B$36:$Y$36,0))))*VLOOKUP(A6601,Calendar!$A$2:$H$9997,8,FALSE),0)</f>
        <v/>
      </c>
      <c r="G6601" s="29">
        <f>VLOOKUP(A6601,Calendar!$A$1:$H$9997,6,FALSE)-F6601</f>
        <v/>
      </c>
      <c r="H6601" s="19" t="n">
        <v>1</v>
      </c>
      <c r="I6601" s="57" t="n">
        <v>1</v>
      </c>
    </row>
    <row r="6602">
      <c r="A6602" s="62" t="n">
        <v>46137</v>
      </c>
      <c r="B6602" s="3" t="inlineStr">
        <is>
          <t>Sat</t>
        </is>
      </c>
      <c r="C6602" s="19" t="n">
        <v>4</v>
      </c>
      <c r="D6602" s="19" t="n">
        <v>2026</v>
      </c>
      <c r="E6602" s="57" t="n">
        <v>7</v>
      </c>
      <c r="F6602" s="29">
        <f>ROUND(((SUMIFS(Calendar!$F$2:$F$9997,Calendar!$B$2:$B$9997,D6602,Calendar!$C$2:$C$9997,C6602)*INDEX(ForeCalc!$B$37:$Y$274,MATCH(_xlfn.CONCAT(H6602," ",I6602),ForeCalc!$A$37:$A$274,0),MATCH(_xlfn.CONCAT(B6602," ",E6602),ForeCalc!$B$36:$Y$36,0))))*VLOOKUP(A6602,Calendar!$A$2:$H$9997,8,FALSE),0)</f>
        <v/>
      </c>
      <c r="G6602" s="29">
        <f>VLOOKUP(A6602,Calendar!$A$1:$H$9997,6,FALSE)-F6602</f>
        <v/>
      </c>
      <c r="H6602" s="19" t="n">
        <v>1</v>
      </c>
      <c r="I6602" s="57" t="n">
        <v>1</v>
      </c>
    </row>
    <row r="6603">
      <c r="A6603" s="62" t="n">
        <v>46138</v>
      </c>
      <c r="B6603" s="3" t="inlineStr">
        <is>
          <t>Sun</t>
        </is>
      </c>
      <c r="C6603" s="19" t="n">
        <v>4</v>
      </c>
      <c r="D6603" s="19" t="n">
        <v>2026</v>
      </c>
      <c r="E6603" s="57" t="n">
        <v>7</v>
      </c>
      <c r="F6603" s="29">
        <f>ROUND(((SUMIFS(Calendar!$F$2:$F$9997,Calendar!$B$2:$B$9997,D6603,Calendar!$C$2:$C$9997,C6603)*INDEX(ForeCalc!$B$37:$Y$274,MATCH(_xlfn.CONCAT(H6603," ",I6603),ForeCalc!$A$37:$A$274,0),MATCH(_xlfn.CONCAT(B6603," ",E6603),ForeCalc!$B$36:$Y$36,0))))*VLOOKUP(A6603,Calendar!$A$2:$H$9997,8,FALSE),0)</f>
        <v/>
      </c>
      <c r="G6603" s="29">
        <f>VLOOKUP(A6603,Calendar!$A$1:$H$9997,6,FALSE)-F6603</f>
        <v/>
      </c>
      <c r="H6603" s="19" t="n">
        <v>1</v>
      </c>
      <c r="I6603" s="57" t="n">
        <v>1</v>
      </c>
    </row>
    <row r="6604">
      <c r="A6604" s="62" t="n">
        <v>46139</v>
      </c>
      <c r="B6604" s="3" t="inlineStr">
        <is>
          <t>Week</t>
        </is>
      </c>
      <c r="C6604" s="19" t="n">
        <v>4</v>
      </c>
      <c r="D6604" s="19" t="n">
        <v>2026</v>
      </c>
      <c r="E6604" s="57" t="n">
        <v>7</v>
      </c>
      <c r="F6604" s="29">
        <f>ROUND(((SUMIFS(Calendar!$F$2:$F$9997,Calendar!$B$2:$B$9997,D6604,Calendar!$C$2:$C$9997,C6604)*INDEX(ForeCalc!$B$37:$Y$274,MATCH(_xlfn.CONCAT(H6604," ",I6604),ForeCalc!$A$37:$A$274,0),MATCH(_xlfn.CONCAT(B6604," ",E6604),ForeCalc!$B$36:$Y$36,0))))*VLOOKUP(A6604,Calendar!$A$2:$H$9997,8,FALSE),0)</f>
        <v/>
      </c>
      <c r="G6604" s="29">
        <f>VLOOKUP(A6604,Calendar!$A$1:$H$9997,6,FALSE)-F6604</f>
        <v/>
      </c>
      <c r="H6604" s="19" t="n">
        <v>1</v>
      </c>
      <c r="I6604" s="57" t="n">
        <v>1</v>
      </c>
    </row>
    <row r="6605">
      <c r="A6605" s="62" t="n">
        <v>46140</v>
      </c>
      <c r="B6605" s="3" t="inlineStr">
        <is>
          <t>Week</t>
        </is>
      </c>
      <c r="C6605" s="19" t="n">
        <v>4</v>
      </c>
      <c r="D6605" s="19" t="n">
        <v>2026</v>
      </c>
      <c r="E6605" s="57" t="n">
        <v>7</v>
      </c>
      <c r="F6605" s="29">
        <f>ROUND(((SUMIFS(Calendar!$F$2:$F$9997,Calendar!$B$2:$B$9997,D6605,Calendar!$C$2:$C$9997,C6605)*INDEX(ForeCalc!$B$37:$Y$274,MATCH(_xlfn.CONCAT(H6605," ",I6605),ForeCalc!$A$37:$A$274,0),MATCH(_xlfn.CONCAT(B6605," ",E6605),ForeCalc!$B$36:$Y$36,0))))*VLOOKUP(A6605,Calendar!$A$2:$H$9997,8,FALSE),0)</f>
        <v/>
      </c>
      <c r="G6605" s="29">
        <f>VLOOKUP(A6605,Calendar!$A$1:$H$9997,6,FALSE)-F6605</f>
        <v/>
      </c>
      <c r="H6605" s="19" t="n">
        <v>1</v>
      </c>
      <c r="I6605" s="57" t="n">
        <v>1</v>
      </c>
    </row>
    <row r="6606">
      <c r="A6606" s="62" t="n">
        <v>46141</v>
      </c>
      <c r="B6606" s="3" t="inlineStr">
        <is>
          <t>Week</t>
        </is>
      </c>
      <c r="C6606" s="19" t="n">
        <v>4</v>
      </c>
      <c r="D6606" s="19" t="n">
        <v>2026</v>
      </c>
      <c r="E6606" s="57" t="n">
        <v>7</v>
      </c>
      <c r="F6606" s="29">
        <f>ROUND(((SUMIFS(Calendar!$F$2:$F$9997,Calendar!$B$2:$B$9997,D6606,Calendar!$C$2:$C$9997,C6606)*INDEX(ForeCalc!$B$37:$Y$274,MATCH(_xlfn.CONCAT(H6606," ",I6606),ForeCalc!$A$37:$A$274,0),MATCH(_xlfn.CONCAT(B6606," ",E6606),ForeCalc!$B$36:$Y$36,0))))*VLOOKUP(A6606,Calendar!$A$2:$H$9997,8,FALSE),0)</f>
        <v/>
      </c>
      <c r="G6606" s="29">
        <f>VLOOKUP(A6606,Calendar!$A$1:$H$9997,6,FALSE)-F6606</f>
        <v/>
      </c>
      <c r="H6606" s="19" t="n">
        <v>1</v>
      </c>
      <c r="I6606" s="57" t="n">
        <v>1</v>
      </c>
    </row>
    <row r="6607">
      <c r="A6607" s="62" t="n">
        <v>46142</v>
      </c>
      <c r="B6607" s="3" t="inlineStr">
        <is>
          <t>Week</t>
        </is>
      </c>
      <c r="C6607" s="19" t="n">
        <v>4</v>
      </c>
      <c r="D6607" s="19" t="n">
        <v>2026</v>
      </c>
      <c r="E6607" s="57" t="n">
        <v>7</v>
      </c>
      <c r="F6607" s="29">
        <f>ROUND(((SUMIFS(Calendar!$F$2:$F$9997,Calendar!$B$2:$B$9997,D6607,Calendar!$C$2:$C$9997,C6607)*INDEX(ForeCalc!$B$37:$Y$274,MATCH(_xlfn.CONCAT(H6607," ",I6607),ForeCalc!$A$37:$A$274,0),MATCH(_xlfn.CONCAT(B6607," ",E6607),ForeCalc!$B$36:$Y$36,0))))*VLOOKUP(A6607,Calendar!$A$2:$H$9997,8,FALSE),0)</f>
        <v/>
      </c>
      <c r="G6607" s="29">
        <f>VLOOKUP(A6607,Calendar!$A$1:$H$9997,6,FALSE)-F6607</f>
        <v/>
      </c>
      <c r="H6607" s="19" t="n">
        <v>1</v>
      </c>
      <c r="I6607" s="57" t="n">
        <v>1</v>
      </c>
    </row>
    <row r="6608">
      <c r="A6608" s="62" t="n">
        <v>46143</v>
      </c>
      <c r="B6608" s="3" t="inlineStr">
        <is>
          <t>Week</t>
        </is>
      </c>
      <c r="C6608" s="19" t="n">
        <v>5</v>
      </c>
      <c r="D6608" s="19" t="n">
        <v>2026</v>
      </c>
      <c r="E6608" s="57" t="n">
        <v>7</v>
      </c>
      <c r="F6608" s="29">
        <f>ROUND(((SUMIFS(Calendar!$F$2:$F$9997,Calendar!$B$2:$B$9997,D6608,Calendar!$C$2:$C$9997,C6608)*INDEX(ForeCalc!$B$37:$Y$274,MATCH(_xlfn.CONCAT(H6608," ",I6608),ForeCalc!$A$37:$A$274,0),MATCH(_xlfn.CONCAT(B6608," ",E6608),ForeCalc!$B$36:$Y$36,0))))*VLOOKUP(A6608,Calendar!$A$2:$H$9997,8,FALSE),0)</f>
        <v/>
      </c>
      <c r="G6608" s="29">
        <f>VLOOKUP(A6608,Calendar!$A$1:$H$9997,6,FALSE)-F6608</f>
        <v/>
      </c>
      <c r="H6608" s="19" t="n">
        <v>1</v>
      </c>
      <c r="I6608" s="57" t="n">
        <v>2</v>
      </c>
    </row>
    <row r="6609">
      <c r="A6609" s="62" t="n">
        <v>46144</v>
      </c>
      <c r="B6609" s="3" t="inlineStr">
        <is>
          <t>Sat</t>
        </is>
      </c>
      <c r="C6609" s="19" t="n">
        <v>5</v>
      </c>
      <c r="D6609" s="19" t="n">
        <v>2026</v>
      </c>
      <c r="E6609" s="57" t="n">
        <v>7</v>
      </c>
      <c r="F6609" s="29">
        <f>ROUND(((SUMIFS(Calendar!$F$2:$F$9997,Calendar!$B$2:$B$9997,D6609,Calendar!$C$2:$C$9997,C6609)*INDEX(ForeCalc!$B$37:$Y$274,MATCH(_xlfn.CONCAT(H6609," ",I6609),ForeCalc!$A$37:$A$274,0),MATCH(_xlfn.CONCAT(B6609," ",E6609),ForeCalc!$B$36:$Y$36,0))))*VLOOKUP(A6609,Calendar!$A$2:$H$9997,8,FALSE),0)</f>
        <v/>
      </c>
      <c r="G6609" s="29">
        <f>VLOOKUP(A6609,Calendar!$A$1:$H$9997,6,FALSE)-F6609</f>
        <v/>
      </c>
      <c r="H6609" s="19" t="n">
        <v>1</v>
      </c>
      <c r="I6609" s="57" t="n">
        <v>2</v>
      </c>
    </row>
    <row r="6610">
      <c r="A6610" s="62" t="n">
        <v>46145</v>
      </c>
      <c r="B6610" s="3" t="inlineStr">
        <is>
          <t>Sun</t>
        </is>
      </c>
      <c r="C6610" s="19" t="n">
        <v>5</v>
      </c>
      <c r="D6610" s="19" t="n">
        <v>2026</v>
      </c>
      <c r="E6610" s="57" t="n">
        <v>7</v>
      </c>
      <c r="F6610" s="29">
        <f>ROUND(((SUMIFS(Calendar!$F$2:$F$9997,Calendar!$B$2:$B$9997,D6610,Calendar!$C$2:$C$9997,C6610)*INDEX(ForeCalc!$B$37:$Y$274,MATCH(_xlfn.CONCAT(H6610," ",I6610),ForeCalc!$A$37:$A$274,0),MATCH(_xlfn.CONCAT(B6610," ",E6610),ForeCalc!$B$36:$Y$36,0))))*VLOOKUP(A6610,Calendar!$A$2:$H$9997,8,FALSE),0)</f>
        <v/>
      </c>
      <c r="G6610" s="29">
        <f>VLOOKUP(A6610,Calendar!$A$1:$H$9997,6,FALSE)-F6610</f>
        <v/>
      </c>
      <c r="H6610" s="19" t="n">
        <v>1</v>
      </c>
      <c r="I6610" s="57" t="n">
        <v>2</v>
      </c>
    </row>
    <row r="6611">
      <c r="A6611" s="62" t="n">
        <v>46146</v>
      </c>
      <c r="B6611" s="3" t="inlineStr">
        <is>
          <t>Week</t>
        </is>
      </c>
      <c r="C6611" s="19" t="n">
        <v>5</v>
      </c>
      <c r="D6611" s="19" t="n">
        <v>2026</v>
      </c>
      <c r="E6611" s="57" t="n">
        <v>7</v>
      </c>
      <c r="F6611" s="29">
        <f>ROUND(((SUMIFS(Calendar!$F$2:$F$9997,Calendar!$B$2:$B$9997,D6611,Calendar!$C$2:$C$9997,C6611)*INDEX(ForeCalc!$B$37:$Y$274,MATCH(_xlfn.CONCAT(H6611," ",I6611),ForeCalc!$A$37:$A$274,0),MATCH(_xlfn.CONCAT(B6611," ",E6611),ForeCalc!$B$36:$Y$36,0))))*VLOOKUP(A6611,Calendar!$A$2:$H$9997,8,FALSE),0)</f>
        <v/>
      </c>
      <c r="G6611" s="29">
        <f>VLOOKUP(A6611,Calendar!$A$1:$H$9997,6,FALSE)-F6611</f>
        <v/>
      </c>
      <c r="H6611" s="19" t="n">
        <v>1</v>
      </c>
      <c r="I6611" s="57" t="n">
        <v>2</v>
      </c>
    </row>
    <row r="6612">
      <c r="A6612" s="62" t="n">
        <v>46147</v>
      </c>
      <c r="B6612" s="3" t="inlineStr">
        <is>
          <t>Week</t>
        </is>
      </c>
      <c r="C6612" s="19" t="n">
        <v>5</v>
      </c>
      <c r="D6612" s="19" t="n">
        <v>2026</v>
      </c>
      <c r="E6612" s="57" t="n">
        <v>7</v>
      </c>
      <c r="F6612" s="29">
        <f>ROUND(((SUMIFS(Calendar!$F$2:$F$9997,Calendar!$B$2:$B$9997,D6612,Calendar!$C$2:$C$9997,C6612)*INDEX(ForeCalc!$B$37:$Y$274,MATCH(_xlfn.CONCAT(H6612," ",I6612),ForeCalc!$A$37:$A$274,0),MATCH(_xlfn.CONCAT(B6612," ",E6612),ForeCalc!$B$36:$Y$36,0))))*VLOOKUP(A6612,Calendar!$A$2:$H$9997,8,FALSE),0)</f>
        <v/>
      </c>
      <c r="G6612" s="29">
        <f>VLOOKUP(A6612,Calendar!$A$1:$H$9997,6,FALSE)-F6612</f>
        <v/>
      </c>
      <c r="H6612" s="19" t="n">
        <v>1</v>
      </c>
      <c r="I6612" s="57" t="n">
        <v>2</v>
      </c>
    </row>
    <row r="6613">
      <c r="A6613" s="62" t="n">
        <v>46148</v>
      </c>
      <c r="B6613" s="3" t="inlineStr">
        <is>
          <t>Week</t>
        </is>
      </c>
      <c r="C6613" s="19" t="n">
        <v>5</v>
      </c>
      <c r="D6613" s="19" t="n">
        <v>2026</v>
      </c>
      <c r="E6613" s="57" t="n">
        <v>7</v>
      </c>
      <c r="F6613" s="29">
        <f>ROUND(((SUMIFS(Calendar!$F$2:$F$9997,Calendar!$B$2:$B$9997,D6613,Calendar!$C$2:$C$9997,C6613)*INDEX(ForeCalc!$B$37:$Y$274,MATCH(_xlfn.CONCAT(H6613," ",I6613),ForeCalc!$A$37:$A$274,0),MATCH(_xlfn.CONCAT(B6613," ",E6613),ForeCalc!$B$36:$Y$36,0))))*VLOOKUP(A6613,Calendar!$A$2:$H$9997,8,FALSE),0)</f>
        <v/>
      </c>
      <c r="G6613" s="29">
        <f>VLOOKUP(A6613,Calendar!$A$1:$H$9997,6,FALSE)-F6613</f>
        <v/>
      </c>
      <c r="H6613" s="19" t="n">
        <v>1</v>
      </c>
      <c r="I6613" s="57" t="n">
        <v>2</v>
      </c>
    </row>
    <row r="6614">
      <c r="A6614" s="62" t="n">
        <v>46149</v>
      </c>
      <c r="B6614" s="3" t="inlineStr">
        <is>
          <t>Week</t>
        </is>
      </c>
      <c r="C6614" s="19" t="n">
        <v>5</v>
      </c>
      <c r="D6614" s="19" t="n">
        <v>2026</v>
      </c>
      <c r="E6614" s="57" t="n">
        <v>7</v>
      </c>
      <c r="F6614" s="29">
        <f>ROUND(((SUMIFS(Calendar!$F$2:$F$9997,Calendar!$B$2:$B$9997,D6614,Calendar!$C$2:$C$9997,C6614)*INDEX(ForeCalc!$B$37:$Y$274,MATCH(_xlfn.CONCAT(H6614," ",I6614),ForeCalc!$A$37:$A$274,0),MATCH(_xlfn.CONCAT(B6614," ",E6614),ForeCalc!$B$36:$Y$36,0))))*VLOOKUP(A6614,Calendar!$A$2:$H$9997,8,FALSE),0)</f>
        <v/>
      </c>
      <c r="G6614" s="29">
        <f>VLOOKUP(A6614,Calendar!$A$1:$H$9997,6,FALSE)-F6614</f>
        <v/>
      </c>
      <c r="H6614" s="19" t="n">
        <v>1</v>
      </c>
      <c r="I6614" s="57" t="n">
        <v>2</v>
      </c>
    </row>
    <row r="6615">
      <c r="A6615" s="62" t="n">
        <v>46150</v>
      </c>
      <c r="B6615" s="3" t="inlineStr">
        <is>
          <t>Week</t>
        </is>
      </c>
      <c r="C6615" s="19" t="n">
        <v>5</v>
      </c>
      <c r="D6615" s="19" t="n">
        <v>2026</v>
      </c>
      <c r="E6615" s="57" t="n">
        <v>7</v>
      </c>
      <c r="F6615" s="29">
        <f>ROUND(((SUMIFS(Calendar!$F$2:$F$9997,Calendar!$B$2:$B$9997,D6615,Calendar!$C$2:$C$9997,C6615)*INDEX(ForeCalc!$B$37:$Y$274,MATCH(_xlfn.CONCAT(H6615," ",I6615),ForeCalc!$A$37:$A$274,0),MATCH(_xlfn.CONCAT(B6615," ",E6615),ForeCalc!$B$36:$Y$36,0))))*VLOOKUP(A6615,Calendar!$A$2:$H$9997,8,FALSE),0)</f>
        <v/>
      </c>
      <c r="G6615" s="29">
        <f>VLOOKUP(A6615,Calendar!$A$1:$H$9997,6,FALSE)-F6615</f>
        <v/>
      </c>
      <c r="H6615" s="19" t="n">
        <v>1</v>
      </c>
      <c r="I6615" s="57" t="n">
        <v>2</v>
      </c>
    </row>
    <row r="6616">
      <c r="A6616" s="62" t="n">
        <v>46151</v>
      </c>
      <c r="B6616" s="3" t="inlineStr">
        <is>
          <t>Sat</t>
        </is>
      </c>
      <c r="C6616" s="19" t="n">
        <v>5</v>
      </c>
      <c r="D6616" s="19" t="n">
        <v>2026</v>
      </c>
      <c r="E6616" s="57" t="n">
        <v>7</v>
      </c>
      <c r="F6616" s="29">
        <f>ROUND(((SUMIFS(Calendar!$F$2:$F$9997,Calendar!$B$2:$B$9997,D6616,Calendar!$C$2:$C$9997,C6616)*INDEX(ForeCalc!$B$37:$Y$274,MATCH(_xlfn.CONCAT(H6616," ",I6616),ForeCalc!$A$37:$A$274,0),MATCH(_xlfn.CONCAT(B6616," ",E6616),ForeCalc!$B$36:$Y$36,0))))*VLOOKUP(A6616,Calendar!$A$2:$H$9997,8,FALSE),0)</f>
        <v/>
      </c>
      <c r="G6616" s="29">
        <f>VLOOKUP(A6616,Calendar!$A$1:$H$9997,6,FALSE)-F6616</f>
        <v/>
      </c>
      <c r="H6616" s="19" t="n">
        <v>1</v>
      </c>
      <c r="I6616" s="57" t="n">
        <v>2</v>
      </c>
    </row>
    <row r="6617">
      <c r="A6617" s="62" t="n">
        <v>46152</v>
      </c>
      <c r="B6617" s="3" t="inlineStr">
        <is>
          <t>Sun</t>
        </is>
      </c>
      <c r="C6617" s="19" t="n">
        <v>5</v>
      </c>
      <c r="D6617" s="19" t="n">
        <v>2026</v>
      </c>
      <c r="E6617" s="57" t="n">
        <v>7</v>
      </c>
      <c r="F6617" s="29">
        <f>ROUND(((SUMIFS(Calendar!$F$2:$F$9997,Calendar!$B$2:$B$9997,D6617,Calendar!$C$2:$C$9997,C6617)*INDEX(ForeCalc!$B$37:$Y$274,MATCH(_xlfn.CONCAT(H6617," ",I6617),ForeCalc!$A$37:$A$274,0),MATCH(_xlfn.CONCAT(B6617," ",E6617),ForeCalc!$B$36:$Y$36,0))))*VLOOKUP(A6617,Calendar!$A$2:$H$9997,8,FALSE),0)</f>
        <v/>
      </c>
      <c r="G6617" s="29">
        <f>VLOOKUP(A6617,Calendar!$A$1:$H$9997,6,FALSE)-F6617</f>
        <v/>
      </c>
      <c r="H6617" s="19" t="n">
        <v>1</v>
      </c>
      <c r="I6617" s="57" t="n">
        <v>2</v>
      </c>
    </row>
    <row r="6618">
      <c r="A6618" s="62" t="n">
        <v>46153</v>
      </c>
      <c r="B6618" s="3" t="inlineStr">
        <is>
          <t>Week</t>
        </is>
      </c>
      <c r="C6618" s="19" t="n">
        <v>5</v>
      </c>
      <c r="D6618" s="19" t="n">
        <v>2026</v>
      </c>
      <c r="E6618" s="57" t="n">
        <v>7</v>
      </c>
      <c r="F6618" s="29">
        <f>ROUND(((SUMIFS(Calendar!$F$2:$F$9997,Calendar!$B$2:$B$9997,D6618,Calendar!$C$2:$C$9997,C6618)*INDEX(ForeCalc!$B$37:$Y$274,MATCH(_xlfn.CONCAT(H6618," ",I6618),ForeCalc!$A$37:$A$274,0),MATCH(_xlfn.CONCAT(B6618," ",E6618),ForeCalc!$B$36:$Y$36,0))))*VLOOKUP(A6618,Calendar!$A$2:$H$9997,8,FALSE),0)</f>
        <v/>
      </c>
      <c r="G6618" s="29">
        <f>VLOOKUP(A6618,Calendar!$A$1:$H$9997,6,FALSE)-F6618</f>
        <v/>
      </c>
      <c r="H6618" s="19" t="n">
        <v>1</v>
      </c>
      <c r="I6618" s="57" t="n">
        <v>2</v>
      </c>
    </row>
    <row r="6619">
      <c r="A6619" s="62" t="n">
        <v>46154</v>
      </c>
      <c r="B6619" s="3" t="inlineStr">
        <is>
          <t>Week</t>
        </is>
      </c>
      <c r="C6619" s="19" t="n">
        <v>5</v>
      </c>
      <c r="D6619" s="19" t="n">
        <v>2026</v>
      </c>
      <c r="E6619" s="57" t="n">
        <v>7</v>
      </c>
      <c r="F6619" s="29">
        <f>ROUND(((SUMIFS(Calendar!$F$2:$F$9997,Calendar!$B$2:$B$9997,D6619,Calendar!$C$2:$C$9997,C6619)*INDEX(ForeCalc!$B$37:$Y$274,MATCH(_xlfn.CONCAT(H6619," ",I6619),ForeCalc!$A$37:$A$274,0),MATCH(_xlfn.CONCAT(B6619," ",E6619),ForeCalc!$B$36:$Y$36,0))))*VLOOKUP(A6619,Calendar!$A$2:$H$9997,8,FALSE),0)</f>
        <v/>
      </c>
      <c r="G6619" s="29">
        <f>VLOOKUP(A6619,Calendar!$A$1:$H$9997,6,FALSE)-F6619</f>
        <v/>
      </c>
      <c r="H6619" s="19" t="n">
        <v>1</v>
      </c>
      <c r="I6619" s="57" t="n">
        <v>2</v>
      </c>
    </row>
    <row r="6620">
      <c r="A6620" s="62" t="n">
        <v>46155</v>
      </c>
      <c r="B6620" s="3" t="inlineStr">
        <is>
          <t>Week</t>
        </is>
      </c>
      <c r="C6620" s="19" t="n">
        <v>5</v>
      </c>
      <c r="D6620" s="19" t="n">
        <v>2026</v>
      </c>
      <c r="E6620" s="57" t="n">
        <v>7</v>
      </c>
      <c r="F6620" s="29">
        <f>ROUND(((SUMIFS(Calendar!$F$2:$F$9997,Calendar!$B$2:$B$9997,D6620,Calendar!$C$2:$C$9997,C6620)*INDEX(ForeCalc!$B$37:$Y$274,MATCH(_xlfn.CONCAT(H6620," ",I6620),ForeCalc!$A$37:$A$274,0),MATCH(_xlfn.CONCAT(B6620," ",E6620),ForeCalc!$B$36:$Y$36,0))))*VLOOKUP(A6620,Calendar!$A$2:$H$9997,8,FALSE),0)</f>
        <v/>
      </c>
      <c r="G6620" s="29">
        <f>VLOOKUP(A6620,Calendar!$A$1:$H$9997,6,FALSE)-F6620</f>
        <v/>
      </c>
      <c r="H6620" s="19" t="n">
        <v>1</v>
      </c>
      <c r="I6620" s="57" t="n">
        <v>2</v>
      </c>
    </row>
    <row r="6621">
      <c r="A6621" s="62" t="n">
        <v>46156</v>
      </c>
      <c r="B6621" s="3" t="inlineStr">
        <is>
          <t>Week</t>
        </is>
      </c>
      <c r="C6621" s="19" t="n">
        <v>5</v>
      </c>
      <c r="D6621" s="19" t="n">
        <v>2026</v>
      </c>
      <c r="E6621" s="57" t="n">
        <v>7</v>
      </c>
      <c r="F6621" s="29">
        <f>ROUND(((SUMIFS(Calendar!$F$2:$F$9997,Calendar!$B$2:$B$9997,D6621,Calendar!$C$2:$C$9997,C6621)*INDEX(ForeCalc!$B$37:$Y$274,MATCH(_xlfn.CONCAT(H6621," ",I6621),ForeCalc!$A$37:$A$274,0),MATCH(_xlfn.CONCAT(B6621," ",E6621),ForeCalc!$B$36:$Y$36,0))))*VLOOKUP(A6621,Calendar!$A$2:$H$9997,8,FALSE),0)</f>
        <v/>
      </c>
      <c r="G6621" s="29">
        <f>VLOOKUP(A6621,Calendar!$A$1:$H$9997,6,FALSE)-F6621</f>
        <v/>
      </c>
      <c r="H6621" s="19" t="n">
        <v>1</v>
      </c>
      <c r="I6621" s="57" t="n">
        <v>2</v>
      </c>
    </row>
    <row r="6622">
      <c r="A6622" s="62" t="n">
        <v>46157</v>
      </c>
      <c r="B6622" s="3" t="inlineStr">
        <is>
          <t>Week</t>
        </is>
      </c>
      <c r="C6622" s="19" t="n">
        <v>5</v>
      </c>
      <c r="D6622" s="19" t="n">
        <v>2026</v>
      </c>
      <c r="E6622" s="57" t="n">
        <v>7</v>
      </c>
      <c r="F6622" s="29">
        <f>ROUND(((SUMIFS(Calendar!$F$2:$F$9997,Calendar!$B$2:$B$9997,D6622,Calendar!$C$2:$C$9997,C6622)*INDEX(ForeCalc!$B$37:$Y$274,MATCH(_xlfn.CONCAT(H6622," ",I6622),ForeCalc!$A$37:$A$274,0),MATCH(_xlfn.CONCAT(B6622," ",E6622),ForeCalc!$B$36:$Y$36,0))))*VLOOKUP(A6622,Calendar!$A$2:$H$9997,8,FALSE),0)</f>
        <v/>
      </c>
      <c r="G6622" s="29">
        <f>VLOOKUP(A6622,Calendar!$A$1:$H$9997,6,FALSE)-F6622</f>
        <v/>
      </c>
      <c r="H6622" s="19" t="n">
        <v>1</v>
      </c>
      <c r="I6622" s="57" t="n">
        <v>2</v>
      </c>
    </row>
    <row r="6623">
      <c r="A6623" s="62" t="n">
        <v>46158</v>
      </c>
      <c r="B6623" s="3" t="inlineStr">
        <is>
          <t>Sat</t>
        </is>
      </c>
      <c r="C6623" s="19" t="n">
        <v>5</v>
      </c>
      <c r="D6623" s="19" t="n">
        <v>2026</v>
      </c>
      <c r="E6623" s="57" t="n">
        <v>7</v>
      </c>
      <c r="F6623" s="29">
        <f>ROUND(((SUMIFS(Calendar!$F$2:$F$9997,Calendar!$B$2:$B$9997,D6623,Calendar!$C$2:$C$9997,C6623)*INDEX(ForeCalc!$B$37:$Y$274,MATCH(_xlfn.CONCAT(H6623," ",I6623),ForeCalc!$A$37:$A$274,0),MATCH(_xlfn.CONCAT(B6623," ",E6623),ForeCalc!$B$36:$Y$36,0))))*VLOOKUP(A6623,Calendar!$A$2:$H$9997,8,FALSE),0)</f>
        <v/>
      </c>
      <c r="G6623" s="29">
        <f>VLOOKUP(A6623,Calendar!$A$1:$H$9997,6,FALSE)-F6623</f>
        <v/>
      </c>
      <c r="H6623" s="19" t="n">
        <v>1</v>
      </c>
      <c r="I6623" s="57" t="n">
        <v>2</v>
      </c>
    </row>
    <row r="6624">
      <c r="A6624" s="62" t="n">
        <v>46159</v>
      </c>
      <c r="B6624" s="3" t="inlineStr">
        <is>
          <t>Sun</t>
        </is>
      </c>
      <c r="C6624" s="19" t="n">
        <v>5</v>
      </c>
      <c r="D6624" s="19" t="n">
        <v>2026</v>
      </c>
      <c r="E6624" s="57" t="n">
        <v>7</v>
      </c>
      <c r="F6624" s="29">
        <f>ROUND(((SUMIFS(Calendar!$F$2:$F$9997,Calendar!$B$2:$B$9997,D6624,Calendar!$C$2:$C$9997,C6624)*INDEX(ForeCalc!$B$37:$Y$274,MATCH(_xlfn.CONCAT(H6624," ",I6624),ForeCalc!$A$37:$A$274,0),MATCH(_xlfn.CONCAT(B6624," ",E6624),ForeCalc!$B$36:$Y$36,0))))*VLOOKUP(A6624,Calendar!$A$2:$H$9997,8,FALSE),0)</f>
        <v/>
      </c>
      <c r="G6624" s="29">
        <f>VLOOKUP(A6624,Calendar!$A$1:$H$9997,6,FALSE)-F6624</f>
        <v/>
      </c>
      <c r="H6624" s="19" t="n">
        <v>1</v>
      </c>
      <c r="I6624" s="57" t="n">
        <v>2</v>
      </c>
    </row>
    <row r="6625">
      <c r="A6625" s="62" t="n">
        <v>46160</v>
      </c>
      <c r="B6625" s="3" t="inlineStr">
        <is>
          <t>Week</t>
        </is>
      </c>
      <c r="C6625" s="19" t="n">
        <v>5</v>
      </c>
      <c r="D6625" s="19" t="n">
        <v>2026</v>
      </c>
      <c r="E6625" s="57" t="n">
        <v>7</v>
      </c>
      <c r="F6625" s="29">
        <f>ROUND(((SUMIFS(Calendar!$F$2:$F$9997,Calendar!$B$2:$B$9997,D6625,Calendar!$C$2:$C$9997,C6625)*INDEX(ForeCalc!$B$37:$Y$274,MATCH(_xlfn.CONCAT(H6625," ",I6625),ForeCalc!$A$37:$A$274,0),MATCH(_xlfn.CONCAT(B6625," ",E6625),ForeCalc!$B$36:$Y$36,0))))*VLOOKUP(A6625,Calendar!$A$2:$H$9997,8,FALSE),0)</f>
        <v/>
      </c>
      <c r="G6625" s="29">
        <f>VLOOKUP(A6625,Calendar!$A$1:$H$9997,6,FALSE)-F6625</f>
        <v/>
      </c>
      <c r="H6625" s="19" t="n">
        <v>1</v>
      </c>
      <c r="I6625" s="57" t="n">
        <v>2</v>
      </c>
    </row>
    <row r="6626">
      <c r="A6626" s="62" t="n">
        <v>46161</v>
      </c>
      <c r="B6626" s="3" t="inlineStr">
        <is>
          <t>Week</t>
        </is>
      </c>
      <c r="C6626" s="19" t="n">
        <v>5</v>
      </c>
      <c r="D6626" s="19" t="n">
        <v>2026</v>
      </c>
      <c r="E6626" s="57" t="n">
        <v>7</v>
      </c>
      <c r="F6626" s="29">
        <f>ROUND(((SUMIFS(Calendar!$F$2:$F$9997,Calendar!$B$2:$B$9997,D6626,Calendar!$C$2:$C$9997,C6626)*INDEX(ForeCalc!$B$37:$Y$274,MATCH(_xlfn.CONCAT(H6626," ",I6626),ForeCalc!$A$37:$A$274,0),MATCH(_xlfn.CONCAT(B6626," ",E6626),ForeCalc!$B$36:$Y$36,0))))*VLOOKUP(A6626,Calendar!$A$2:$H$9997,8,FALSE),0)</f>
        <v/>
      </c>
      <c r="G6626" s="29">
        <f>VLOOKUP(A6626,Calendar!$A$1:$H$9997,6,FALSE)-F6626</f>
        <v/>
      </c>
      <c r="H6626" s="19" t="n">
        <v>1</v>
      </c>
      <c r="I6626" s="57" t="n">
        <v>2</v>
      </c>
    </row>
    <row r="6627">
      <c r="A6627" s="62" t="n">
        <v>46162</v>
      </c>
      <c r="B6627" s="3" t="inlineStr">
        <is>
          <t>Week</t>
        </is>
      </c>
      <c r="C6627" s="19" t="n">
        <v>5</v>
      </c>
      <c r="D6627" s="19" t="n">
        <v>2026</v>
      </c>
      <c r="E6627" s="57" t="n">
        <v>7</v>
      </c>
      <c r="F6627" s="29">
        <f>ROUND(((SUMIFS(Calendar!$F$2:$F$9997,Calendar!$B$2:$B$9997,D6627,Calendar!$C$2:$C$9997,C6627)*INDEX(ForeCalc!$B$37:$Y$274,MATCH(_xlfn.CONCAT(H6627," ",I6627),ForeCalc!$A$37:$A$274,0),MATCH(_xlfn.CONCAT(B6627," ",E6627),ForeCalc!$B$36:$Y$36,0))))*VLOOKUP(A6627,Calendar!$A$2:$H$9997,8,FALSE),0)</f>
        <v/>
      </c>
      <c r="G6627" s="29">
        <f>VLOOKUP(A6627,Calendar!$A$1:$H$9997,6,FALSE)-F6627</f>
        <v/>
      </c>
      <c r="H6627" s="19" t="n">
        <v>1</v>
      </c>
      <c r="I6627" s="57" t="n">
        <v>2</v>
      </c>
    </row>
    <row r="6628">
      <c r="A6628" s="62" t="n">
        <v>46163</v>
      </c>
      <c r="B6628" s="3" t="inlineStr">
        <is>
          <t>Week</t>
        </is>
      </c>
      <c r="C6628" s="19" t="n">
        <v>5</v>
      </c>
      <c r="D6628" s="19" t="n">
        <v>2026</v>
      </c>
      <c r="E6628" s="57" t="n">
        <v>7</v>
      </c>
      <c r="F6628" s="29">
        <f>ROUND(((SUMIFS(Calendar!$F$2:$F$9997,Calendar!$B$2:$B$9997,D6628,Calendar!$C$2:$C$9997,C6628)*INDEX(ForeCalc!$B$37:$Y$274,MATCH(_xlfn.CONCAT(H6628," ",I6628),ForeCalc!$A$37:$A$274,0),MATCH(_xlfn.CONCAT(B6628," ",E6628),ForeCalc!$B$36:$Y$36,0))))*VLOOKUP(A6628,Calendar!$A$2:$H$9997,8,FALSE),0)</f>
        <v/>
      </c>
      <c r="G6628" s="29">
        <f>VLOOKUP(A6628,Calendar!$A$1:$H$9997,6,FALSE)-F6628</f>
        <v/>
      </c>
      <c r="H6628" s="19" t="n">
        <v>1</v>
      </c>
      <c r="I6628" s="57" t="n">
        <v>2</v>
      </c>
    </row>
    <row r="6629">
      <c r="A6629" s="62" t="n">
        <v>46164</v>
      </c>
      <c r="B6629" s="3" t="inlineStr">
        <is>
          <t>Week</t>
        </is>
      </c>
      <c r="C6629" s="19" t="n">
        <v>5</v>
      </c>
      <c r="D6629" s="19" t="n">
        <v>2026</v>
      </c>
      <c r="E6629" s="57" t="n">
        <v>7</v>
      </c>
      <c r="F6629" s="29">
        <f>ROUND(((SUMIFS(Calendar!$F$2:$F$9997,Calendar!$B$2:$B$9997,D6629,Calendar!$C$2:$C$9997,C6629)*INDEX(ForeCalc!$B$37:$Y$274,MATCH(_xlfn.CONCAT(H6629," ",I6629),ForeCalc!$A$37:$A$274,0),MATCH(_xlfn.CONCAT(B6629," ",E6629),ForeCalc!$B$36:$Y$36,0))))*VLOOKUP(A6629,Calendar!$A$2:$H$9997,8,FALSE),0)</f>
        <v/>
      </c>
      <c r="G6629" s="29">
        <f>VLOOKUP(A6629,Calendar!$A$1:$H$9997,6,FALSE)-F6629</f>
        <v/>
      </c>
      <c r="H6629" s="19" t="n">
        <v>1</v>
      </c>
      <c r="I6629" s="57" t="n">
        <v>2</v>
      </c>
    </row>
    <row r="6630">
      <c r="A6630" s="62" t="n">
        <v>46165</v>
      </c>
      <c r="B6630" s="3" t="inlineStr">
        <is>
          <t>Sat</t>
        </is>
      </c>
      <c r="C6630" s="19" t="n">
        <v>5</v>
      </c>
      <c r="D6630" s="19" t="n">
        <v>2026</v>
      </c>
      <c r="E6630" s="57" t="n">
        <v>7</v>
      </c>
      <c r="F6630" s="29">
        <f>ROUND(((SUMIFS(Calendar!$F$2:$F$9997,Calendar!$B$2:$B$9997,D6630,Calendar!$C$2:$C$9997,C6630)*INDEX(ForeCalc!$B$37:$Y$274,MATCH(_xlfn.CONCAT(H6630," ",I6630),ForeCalc!$A$37:$A$274,0),MATCH(_xlfn.CONCAT(B6630," ",E6630),ForeCalc!$B$36:$Y$36,0))))*VLOOKUP(A6630,Calendar!$A$2:$H$9997,8,FALSE),0)</f>
        <v/>
      </c>
      <c r="G6630" s="29">
        <f>VLOOKUP(A6630,Calendar!$A$1:$H$9997,6,FALSE)-F6630</f>
        <v/>
      </c>
      <c r="H6630" s="19" t="n">
        <v>1</v>
      </c>
      <c r="I6630" s="57" t="n">
        <v>2</v>
      </c>
    </row>
    <row r="6631">
      <c r="A6631" s="62" t="n">
        <v>46166</v>
      </c>
      <c r="B6631" s="3" t="inlineStr">
        <is>
          <t>Sun</t>
        </is>
      </c>
      <c r="C6631" s="19" t="n">
        <v>5</v>
      </c>
      <c r="D6631" s="19" t="n">
        <v>2026</v>
      </c>
      <c r="E6631" s="57" t="n">
        <v>7</v>
      </c>
      <c r="F6631" s="29">
        <f>ROUND(((SUMIFS(Calendar!$F$2:$F$9997,Calendar!$B$2:$B$9997,D6631,Calendar!$C$2:$C$9997,C6631)*INDEX(ForeCalc!$B$37:$Y$274,MATCH(_xlfn.CONCAT(H6631," ",I6631),ForeCalc!$A$37:$A$274,0),MATCH(_xlfn.CONCAT(B6631," ",E6631),ForeCalc!$B$36:$Y$36,0))))*VLOOKUP(A6631,Calendar!$A$2:$H$9997,8,FALSE),0)</f>
        <v/>
      </c>
      <c r="G6631" s="29">
        <f>VLOOKUP(A6631,Calendar!$A$1:$H$9997,6,FALSE)-F6631</f>
        <v/>
      </c>
      <c r="H6631" s="19" t="n">
        <v>1</v>
      </c>
      <c r="I6631" s="57" t="n">
        <v>2</v>
      </c>
    </row>
    <row r="6632">
      <c r="A6632" s="62" t="n">
        <v>46167</v>
      </c>
      <c r="B6632" s="3" t="inlineStr">
        <is>
          <t>Week</t>
        </is>
      </c>
      <c r="C6632" s="19" t="n">
        <v>5</v>
      </c>
      <c r="D6632" s="19" t="n">
        <v>2026</v>
      </c>
      <c r="E6632" s="57" t="n">
        <v>7</v>
      </c>
      <c r="F6632" s="29">
        <f>ROUND(((SUMIFS(Calendar!$F$2:$F$9997,Calendar!$B$2:$B$9997,D6632,Calendar!$C$2:$C$9997,C6632)*INDEX(ForeCalc!$B$37:$Y$274,MATCH(_xlfn.CONCAT(H6632," ",I6632),ForeCalc!$A$37:$A$274,0),MATCH(_xlfn.CONCAT(B6632," ",E6632),ForeCalc!$B$36:$Y$36,0))))*VLOOKUP(A6632,Calendar!$A$2:$H$9997,8,FALSE),0)</f>
        <v/>
      </c>
      <c r="G6632" s="29">
        <f>VLOOKUP(A6632,Calendar!$A$1:$H$9997,6,FALSE)-F6632</f>
        <v/>
      </c>
      <c r="H6632" s="19" t="n">
        <v>1</v>
      </c>
      <c r="I6632" s="57" t="n">
        <v>2</v>
      </c>
    </row>
    <row r="6633">
      <c r="A6633" s="62" t="n">
        <v>46168</v>
      </c>
      <c r="B6633" s="3" t="inlineStr">
        <is>
          <t>Week</t>
        </is>
      </c>
      <c r="C6633" s="19" t="n">
        <v>5</v>
      </c>
      <c r="D6633" s="19" t="n">
        <v>2026</v>
      </c>
      <c r="E6633" s="57" t="n">
        <v>7</v>
      </c>
      <c r="F6633" s="29">
        <f>ROUND(((SUMIFS(Calendar!$F$2:$F$9997,Calendar!$B$2:$B$9997,D6633,Calendar!$C$2:$C$9997,C6633)*INDEX(ForeCalc!$B$37:$Y$274,MATCH(_xlfn.CONCAT(H6633," ",I6633),ForeCalc!$A$37:$A$274,0),MATCH(_xlfn.CONCAT(B6633," ",E6633),ForeCalc!$B$36:$Y$36,0))))*VLOOKUP(A6633,Calendar!$A$2:$H$9997,8,FALSE),0)</f>
        <v/>
      </c>
      <c r="G6633" s="29">
        <f>VLOOKUP(A6633,Calendar!$A$1:$H$9997,6,FALSE)-F6633</f>
        <v/>
      </c>
      <c r="H6633" s="19" t="n">
        <v>1</v>
      </c>
      <c r="I6633" s="57" t="n">
        <v>2</v>
      </c>
    </row>
    <row r="6634">
      <c r="A6634" s="62" t="n">
        <v>46169</v>
      </c>
      <c r="B6634" s="3" t="inlineStr">
        <is>
          <t>Week</t>
        </is>
      </c>
      <c r="C6634" s="19" t="n">
        <v>5</v>
      </c>
      <c r="D6634" s="19" t="n">
        <v>2026</v>
      </c>
      <c r="E6634" s="57" t="n">
        <v>7</v>
      </c>
      <c r="F6634" s="29">
        <f>ROUND(((SUMIFS(Calendar!$F$2:$F$9997,Calendar!$B$2:$B$9997,D6634,Calendar!$C$2:$C$9997,C6634)*INDEX(ForeCalc!$B$37:$Y$274,MATCH(_xlfn.CONCAT(H6634," ",I6634),ForeCalc!$A$37:$A$274,0),MATCH(_xlfn.CONCAT(B6634," ",E6634),ForeCalc!$B$36:$Y$36,0))))*VLOOKUP(A6634,Calendar!$A$2:$H$9997,8,FALSE),0)</f>
        <v/>
      </c>
      <c r="G6634" s="29">
        <f>VLOOKUP(A6634,Calendar!$A$1:$H$9997,6,FALSE)-F6634</f>
        <v/>
      </c>
      <c r="H6634" s="19" t="n">
        <v>1</v>
      </c>
      <c r="I6634" s="57" t="n">
        <v>2</v>
      </c>
    </row>
    <row r="6635">
      <c r="A6635" s="62" t="n">
        <v>46170</v>
      </c>
      <c r="B6635" s="3" t="inlineStr">
        <is>
          <t>Week</t>
        </is>
      </c>
      <c r="C6635" s="19" t="n">
        <v>5</v>
      </c>
      <c r="D6635" s="19" t="n">
        <v>2026</v>
      </c>
      <c r="E6635" s="57" t="n">
        <v>7</v>
      </c>
      <c r="F6635" s="29">
        <f>ROUND(((SUMIFS(Calendar!$F$2:$F$9997,Calendar!$B$2:$B$9997,D6635,Calendar!$C$2:$C$9997,C6635)*INDEX(ForeCalc!$B$37:$Y$274,MATCH(_xlfn.CONCAT(H6635," ",I6635),ForeCalc!$A$37:$A$274,0),MATCH(_xlfn.CONCAT(B6635," ",E6635),ForeCalc!$B$36:$Y$36,0))))*VLOOKUP(A6635,Calendar!$A$2:$H$9997,8,FALSE),0)</f>
        <v/>
      </c>
      <c r="G6635" s="29">
        <f>VLOOKUP(A6635,Calendar!$A$1:$H$9997,6,FALSE)-F6635</f>
        <v/>
      </c>
      <c r="H6635" s="19" t="n">
        <v>1</v>
      </c>
      <c r="I6635" s="57" t="n">
        <v>2</v>
      </c>
    </row>
    <row r="6636">
      <c r="A6636" s="62" t="n">
        <v>46171</v>
      </c>
      <c r="B6636" s="3" t="inlineStr">
        <is>
          <t>Week</t>
        </is>
      </c>
      <c r="C6636" s="19" t="n">
        <v>5</v>
      </c>
      <c r="D6636" s="19" t="n">
        <v>2026</v>
      </c>
      <c r="E6636" s="57" t="n">
        <v>7</v>
      </c>
      <c r="F6636" s="29">
        <f>ROUND(((SUMIFS(Calendar!$F$2:$F$9997,Calendar!$B$2:$B$9997,D6636,Calendar!$C$2:$C$9997,C6636)*INDEX(ForeCalc!$B$37:$Y$274,MATCH(_xlfn.CONCAT(H6636," ",I6636),ForeCalc!$A$37:$A$274,0),MATCH(_xlfn.CONCAT(B6636," ",E6636),ForeCalc!$B$36:$Y$36,0))))*VLOOKUP(A6636,Calendar!$A$2:$H$9997,8,FALSE),0)</f>
        <v/>
      </c>
      <c r="G6636" s="29">
        <f>VLOOKUP(A6636,Calendar!$A$1:$H$9997,6,FALSE)-F6636</f>
        <v/>
      </c>
      <c r="H6636" s="19" t="n">
        <v>1</v>
      </c>
      <c r="I6636" s="57" t="n">
        <v>2</v>
      </c>
    </row>
    <row r="6637">
      <c r="A6637" s="62" t="n">
        <v>46172</v>
      </c>
      <c r="B6637" s="3" t="inlineStr">
        <is>
          <t>Sat</t>
        </is>
      </c>
      <c r="C6637" s="19" t="n">
        <v>5</v>
      </c>
      <c r="D6637" s="19" t="n">
        <v>2026</v>
      </c>
      <c r="E6637" s="57" t="n">
        <v>7</v>
      </c>
      <c r="F6637" s="29">
        <f>ROUND(((SUMIFS(Calendar!$F$2:$F$9997,Calendar!$B$2:$B$9997,D6637,Calendar!$C$2:$C$9997,C6637)*INDEX(ForeCalc!$B$37:$Y$274,MATCH(_xlfn.CONCAT(H6637," ",I6637),ForeCalc!$A$37:$A$274,0),MATCH(_xlfn.CONCAT(B6637," ",E6637),ForeCalc!$B$36:$Y$36,0))))*VLOOKUP(A6637,Calendar!$A$2:$H$9997,8,FALSE),0)</f>
        <v/>
      </c>
      <c r="G6637" s="29">
        <f>VLOOKUP(A6637,Calendar!$A$1:$H$9997,6,FALSE)-F6637</f>
        <v/>
      </c>
      <c r="H6637" s="19" t="n">
        <v>1</v>
      </c>
      <c r="I6637" s="57" t="n">
        <v>2</v>
      </c>
    </row>
    <row r="6638">
      <c r="A6638" s="62" t="n">
        <v>46173</v>
      </c>
      <c r="B6638" s="3" t="inlineStr">
        <is>
          <t>Sun</t>
        </is>
      </c>
      <c r="C6638" s="19" t="n">
        <v>5</v>
      </c>
      <c r="D6638" s="19" t="n">
        <v>2026</v>
      </c>
      <c r="E6638" s="57" t="n">
        <v>7</v>
      </c>
      <c r="F6638" s="29">
        <f>ROUND(((SUMIFS(Calendar!$F$2:$F$9997,Calendar!$B$2:$B$9997,D6638,Calendar!$C$2:$C$9997,C6638)*INDEX(ForeCalc!$B$37:$Y$274,MATCH(_xlfn.CONCAT(H6638," ",I6638),ForeCalc!$A$37:$A$274,0),MATCH(_xlfn.CONCAT(B6638," ",E6638),ForeCalc!$B$36:$Y$36,0))))*VLOOKUP(A6638,Calendar!$A$2:$H$9997,8,FALSE),0)</f>
        <v/>
      </c>
      <c r="G6638" s="29">
        <f>VLOOKUP(A6638,Calendar!$A$1:$H$9997,6,FALSE)-F6638</f>
        <v/>
      </c>
      <c r="H6638" s="19" t="n">
        <v>1</v>
      </c>
      <c r="I6638" s="57" t="n">
        <v>2</v>
      </c>
    </row>
    <row r="6639">
      <c r="A6639" s="62" t="n">
        <v>46174</v>
      </c>
      <c r="B6639" s="3" t="inlineStr">
        <is>
          <t>Week</t>
        </is>
      </c>
      <c r="C6639" s="19" t="n">
        <v>6</v>
      </c>
      <c r="D6639" s="19" t="n">
        <v>2026</v>
      </c>
      <c r="E6639" s="57" t="n">
        <v>7</v>
      </c>
      <c r="F6639" s="29">
        <f>ROUND(((SUMIFS(Calendar!$F$2:$F$9997,Calendar!$B$2:$B$9997,D6639,Calendar!$C$2:$C$9997,C6639)*INDEX(ForeCalc!$B$37:$Y$274,MATCH(_xlfn.CONCAT(H6639," ",I6639),ForeCalc!$A$37:$A$274,0),MATCH(_xlfn.CONCAT(B6639," ",E6639),ForeCalc!$B$36:$Y$36,0))))*VLOOKUP(A6639,Calendar!$A$2:$H$9997,8,FALSE),0)</f>
        <v/>
      </c>
      <c r="G6639" s="29">
        <f>VLOOKUP(A6639,Calendar!$A$1:$H$9997,6,FALSE)-F6639</f>
        <v/>
      </c>
      <c r="H6639" s="19" t="n">
        <v>1</v>
      </c>
      <c r="I6639" s="57" t="n">
        <v>3</v>
      </c>
    </row>
    <row r="6640">
      <c r="A6640" s="62" t="n">
        <v>46175</v>
      </c>
      <c r="B6640" s="3" t="inlineStr">
        <is>
          <t>Week</t>
        </is>
      </c>
      <c r="C6640" s="19" t="n">
        <v>6</v>
      </c>
      <c r="D6640" s="19" t="n">
        <v>2026</v>
      </c>
      <c r="E6640" s="57" t="n">
        <v>7</v>
      </c>
      <c r="F6640" s="29">
        <f>ROUND(((SUMIFS(Calendar!$F$2:$F$9997,Calendar!$B$2:$B$9997,D6640,Calendar!$C$2:$C$9997,C6640)*INDEX(ForeCalc!$B$37:$Y$274,MATCH(_xlfn.CONCAT(H6640," ",I6640),ForeCalc!$A$37:$A$274,0),MATCH(_xlfn.CONCAT(B6640," ",E6640),ForeCalc!$B$36:$Y$36,0))))*VLOOKUP(A6640,Calendar!$A$2:$H$9997,8,FALSE),0)</f>
        <v/>
      </c>
      <c r="G6640" s="29">
        <f>VLOOKUP(A6640,Calendar!$A$1:$H$9997,6,FALSE)-F6640</f>
        <v/>
      </c>
      <c r="H6640" s="19" t="n">
        <v>1</v>
      </c>
      <c r="I6640" s="57" t="n">
        <v>3</v>
      </c>
    </row>
    <row r="6641">
      <c r="A6641" s="62" t="n">
        <v>46176</v>
      </c>
      <c r="B6641" s="3" t="inlineStr">
        <is>
          <t>Week</t>
        </is>
      </c>
      <c r="C6641" s="19" t="n">
        <v>6</v>
      </c>
      <c r="D6641" s="19" t="n">
        <v>2026</v>
      </c>
      <c r="E6641" s="57" t="n">
        <v>7</v>
      </c>
      <c r="F6641" s="29">
        <f>ROUND(((SUMIFS(Calendar!$F$2:$F$9997,Calendar!$B$2:$B$9997,D6641,Calendar!$C$2:$C$9997,C6641)*INDEX(ForeCalc!$B$37:$Y$274,MATCH(_xlfn.CONCAT(H6641," ",I6641),ForeCalc!$A$37:$A$274,0),MATCH(_xlfn.CONCAT(B6641," ",E6641),ForeCalc!$B$36:$Y$36,0))))*VLOOKUP(A6641,Calendar!$A$2:$H$9997,8,FALSE),0)</f>
        <v/>
      </c>
      <c r="G6641" s="29">
        <f>VLOOKUP(A6641,Calendar!$A$1:$H$9997,6,FALSE)-F6641</f>
        <v/>
      </c>
      <c r="H6641" s="19" t="n">
        <v>1</v>
      </c>
      <c r="I6641" s="57" t="n">
        <v>3</v>
      </c>
    </row>
    <row r="6642">
      <c r="A6642" s="62" t="n">
        <v>46177</v>
      </c>
      <c r="B6642" s="3" t="inlineStr">
        <is>
          <t>Week</t>
        </is>
      </c>
      <c r="C6642" s="19" t="n">
        <v>6</v>
      </c>
      <c r="D6642" s="19" t="n">
        <v>2026</v>
      </c>
      <c r="E6642" s="57" t="n">
        <v>7</v>
      </c>
      <c r="F6642" s="29">
        <f>ROUND(((SUMIFS(Calendar!$F$2:$F$9997,Calendar!$B$2:$B$9997,D6642,Calendar!$C$2:$C$9997,C6642)*INDEX(ForeCalc!$B$37:$Y$274,MATCH(_xlfn.CONCAT(H6642," ",I6642),ForeCalc!$A$37:$A$274,0),MATCH(_xlfn.CONCAT(B6642," ",E6642),ForeCalc!$B$36:$Y$36,0))))*VLOOKUP(A6642,Calendar!$A$2:$H$9997,8,FALSE),0)</f>
        <v/>
      </c>
      <c r="G6642" s="29">
        <f>VLOOKUP(A6642,Calendar!$A$1:$H$9997,6,FALSE)-F6642</f>
        <v/>
      </c>
      <c r="H6642" s="19" t="n">
        <v>1</v>
      </c>
      <c r="I6642" s="57" t="n">
        <v>3</v>
      </c>
    </row>
    <row r="6643">
      <c r="A6643" s="62" t="n">
        <v>46178</v>
      </c>
      <c r="B6643" s="3" t="inlineStr">
        <is>
          <t>Week</t>
        </is>
      </c>
      <c r="C6643" s="19" t="n">
        <v>6</v>
      </c>
      <c r="D6643" s="19" t="n">
        <v>2026</v>
      </c>
      <c r="E6643" s="57" t="n">
        <v>7</v>
      </c>
      <c r="F6643" s="29">
        <f>ROUND(((SUMIFS(Calendar!$F$2:$F$9997,Calendar!$B$2:$B$9997,D6643,Calendar!$C$2:$C$9997,C6643)*INDEX(ForeCalc!$B$37:$Y$274,MATCH(_xlfn.CONCAT(H6643," ",I6643),ForeCalc!$A$37:$A$274,0),MATCH(_xlfn.CONCAT(B6643," ",E6643),ForeCalc!$B$36:$Y$36,0))))*VLOOKUP(A6643,Calendar!$A$2:$H$9997,8,FALSE),0)</f>
        <v/>
      </c>
      <c r="G6643" s="29">
        <f>VLOOKUP(A6643,Calendar!$A$1:$H$9997,6,FALSE)-F6643</f>
        <v/>
      </c>
      <c r="H6643" s="19" t="n">
        <v>1</v>
      </c>
      <c r="I6643" s="57" t="n">
        <v>3</v>
      </c>
    </row>
    <row r="6644">
      <c r="A6644" s="62" t="n">
        <v>46179</v>
      </c>
      <c r="B6644" s="3" t="inlineStr">
        <is>
          <t>Sat</t>
        </is>
      </c>
      <c r="C6644" s="19" t="n">
        <v>6</v>
      </c>
      <c r="D6644" s="19" t="n">
        <v>2026</v>
      </c>
      <c r="E6644" s="57" t="n">
        <v>7</v>
      </c>
      <c r="F6644" s="29">
        <f>ROUND(((SUMIFS(Calendar!$F$2:$F$9997,Calendar!$B$2:$B$9997,D6644,Calendar!$C$2:$C$9997,C6644)*INDEX(ForeCalc!$B$37:$Y$274,MATCH(_xlfn.CONCAT(H6644," ",I6644),ForeCalc!$A$37:$A$274,0),MATCH(_xlfn.CONCAT(B6644," ",E6644),ForeCalc!$B$36:$Y$36,0))))*VLOOKUP(A6644,Calendar!$A$2:$H$9997,8,FALSE),0)</f>
        <v/>
      </c>
      <c r="G6644" s="29">
        <f>VLOOKUP(A6644,Calendar!$A$1:$H$9997,6,FALSE)-F6644</f>
        <v/>
      </c>
      <c r="H6644" s="19" t="n">
        <v>1</v>
      </c>
      <c r="I6644" s="57" t="n">
        <v>3</v>
      </c>
    </row>
    <row r="6645">
      <c r="A6645" s="62" t="n">
        <v>46180</v>
      </c>
      <c r="B6645" s="3" t="inlineStr">
        <is>
          <t>Sun</t>
        </is>
      </c>
      <c r="C6645" s="19" t="n">
        <v>6</v>
      </c>
      <c r="D6645" s="19" t="n">
        <v>2026</v>
      </c>
      <c r="E6645" s="57" t="n">
        <v>7</v>
      </c>
      <c r="F6645" s="29">
        <f>ROUND(((SUMIFS(Calendar!$F$2:$F$9997,Calendar!$B$2:$B$9997,D6645,Calendar!$C$2:$C$9997,C6645)*INDEX(ForeCalc!$B$37:$Y$274,MATCH(_xlfn.CONCAT(H6645," ",I6645),ForeCalc!$A$37:$A$274,0),MATCH(_xlfn.CONCAT(B6645," ",E6645),ForeCalc!$B$36:$Y$36,0))))*VLOOKUP(A6645,Calendar!$A$2:$H$9997,8,FALSE),0)</f>
        <v/>
      </c>
      <c r="G6645" s="29">
        <f>VLOOKUP(A6645,Calendar!$A$1:$H$9997,6,FALSE)-F6645</f>
        <v/>
      </c>
      <c r="H6645" s="19" t="n">
        <v>1</v>
      </c>
      <c r="I6645" s="57" t="n">
        <v>3</v>
      </c>
    </row>
    <row r="6646">
      <c r="A6646" s="62" t="n">
        <v>46181</v>
      </c>
      <c r="B6646" s="3" t="inlineStr">
        <is>
          <t>Week</t>
        </is>
      </c>
      <c r="C6646" s="19" t="n">
        <v>6</v>
      </c>
      <c r="D6646" s="19" t="n">
        <v>2026</v>
      </c>
      <c r="E6646" s="57" t="n">
        <v>7</v>
      </c>
      <c r="F6646" s="29">
        <f>ROUND(((SUMIFS(Calendar!$F$2:$F$9997,Calendar!$B$2:$B$9997,D6646,Calendar!$C$2:$C$9997,C6646)*INDEX(ForeCalc!$B$37:$Y$274,MATCH(_xlfn.CONCAT(H6646," ",I6646),ForeCalc!$A$37:$A$274,0),MATCH(_xlfn.CONCAT(B6646," ",E6646),ForeCalc!$B$36:$Y$36,0))))*VLOOKUP(A6646,Calendar!$A$2:$H$9997,8,FALSE),0)</f>
        <v/>
      </c>
      <c r="G6646" s="29">
        <f>VLOOKUP(A6646,Calendar!$A$1:$H$9997,6,FALSE)-F6646</f>
        <v/>
      </c>
      <c r="H6646" s="19" t="n">
        <v>1</v>
      </c>
      <c r="I6646" s="57" t="n">
        <v>3</v>
      </c>
    </row>
    <row r="6647">
      <c r="A6647" s="62" t="n">
        <v>46182</v>
      </c>
      <c r="B6647" s="3" t="inlineStr">
        <is>
          <t>Week</t>
        </is>
      </c>
      <c r="C6647" s="19" t="n">
        <v>6</v>
      </c>
      <c r="D6647" s="19" t="n">
        <v>2026</v>
      </c>
      <c r="E6647" s="57" t="n">
        <v>7</v>
      </c>
      <c r="F6647" s="29">
        <f>ROUND(((SUMIFS(Calendar!$F$2:$F$9997,Calendar!$B$2:$B$9997,D6647,Calendar!$C$2:$C$9997,C6647)*INDEX(ForeCalc!$B$37:$Y$274,MATCH(_xlfn.CONCAT(H6647," ",I6647),ForeCalc!$A$37:$A$274,0),MATCH(_xlfn.CONCAT(B6647," ",E6647),ForeCalc!$B$36:$Y$36,0))))*VLOOKUP(A6647,Calendar!$A$2:$H$9997,8,FALSE),0)</f>
        <v/>
      </c>
      <c r="G6647" s="29">
        <f>VLOOKUP(A6647,Calendar!$A$1:$H$9997,6,FALSE)-F6647</f>
        <v/>
      </c>
      <c r="H6647" s="19" t="n">
        <v>1</v>
      </c>
      <c r="I6647" s="57" t="n">
        <v>3</v>
      </c>
    </row>
    <row r="6648">
      <c r="A6648" s="62" t="n">
        <v>46183</v>
      </c>
      <c r="B6648" s="3" t="inlineStr">
        <is>
          <t>Week</t>
        </is>
      </c>
      <c r="C6648" s="19" t="n">
        <v>6</v>
      </c>
      <c r="D6648" s="19" t="n">
        <v>2026</v>
      </c>
      <c r="E6648" s="57" t="n">
        <v>7</v>
      </c>
      <c r="F6648" s="29">
        <f>ROUND(((SUMIFS(Calendar!$F$2:$F$9997,Calendar!$B$2:$B$9997,D6648,Calendar!$C$2:$C$9997,C6648)*INDEX(ForeCalc!$B$37:$Y$274,MATCH(_xlfn.CONCAT(H6648," ",I6648),ForeCalc!$A$37:$A$274,0),MATCH(_xlfn.CONCAT(B6648," ",E6648),ForeCalc!$B$36:$Y$36,0))))*VLOOKUP(A6648,Calendar!$A$2:$H$9997,8,FALSE),0)</f>
        <v/>
      </c>
      <c r="G6648" s="29">
        <f>VLOOKUP(A6648,Calendar!$A$1:$H$9997,6,FALSE)-F6648</f>
        <v/>
      </c>
      <c r="H6648" s="19" t="n">
        <v>1</v>
      </c>
      <c r="I6648" s="57" t="n">
        <v>3</v>
      </c>
    </row>
    <row r="6649">
      <c r="A6649" s="62" t="n">
        <v>46184</v>
      </c>
      <c r="B6649" s="3" t="inlineStr">
        <is>
          <t>Week</t>
        </is>
      </c>
      <c r="C6649" s="19" t="n">
        <v>6</v>
      </c>
      <c r="D6649" s="19" t="n">
        <v>2026</v>
      </c>
      <c r="E6649" s="57" t="n">
        <v>7</v>
      </c>
      <c r="F6649" s="29">
        <f>ROUND(((SUMIFS(Calendar!$F$2:$F$9997,Calendar!$B$2:$B$9997,D6649,Calendar!$C$2:$C$9997,C6649)*INDEX(ForeCalc!$B$37:$Y$274,MATCH(_xlfn.CONCAT(H6649," ",I6649),ForeCalc!$A$37:$A$274,0),MATCH(_xlfn.CONCAT(B6649," ",E6649),ForeCalc!$B$36:$Y$36,0))))*VLOOKUP(A6649,Calendar!$A$2:$H$9997,8,FALSE),0)</f>
        <v/>
      </c>
      <c r="G6649" s="29">
        <f>VLOOKUP(A6649,Calendar!$A$1:$H$9997,6,FALSE)-F6649</f>
        <v/>
      </c>
      <c r="H6649" s="19" t="n">
        <v>1</v>
      </c>
      <c r="I6649" s="57" t="n">
        <v>3</v>
      </c>
    </row>
    <row r="6650">
      <c r="A6650" s="62" t="n">
        <v>46185</v>
      </c>
      <c r="B6650" s="3" t="inlineStr">
        <is>
          <t>Week</t>
        </is>
      </c>
      <c r="C6650" s="19" t="n">
        <v>6</v>
      </c>
      <c r="D6650" s="19" t="n">
        <v>2026</v>
      </c>
      <c r="E6650" s="57" t="n">
        <v>7</v>
      </c>
      <c r="F6650" s="29">
        <f>ROUND(((SUMIFS(Calendar!$F$2:$F$9997,Calendar!$B$2:$B$9997,D6650,Calendar!$C$2:$C$9997,C6650)*INDEX(ForeCalc!$B$37:$Y$274,MATCH(_xlfn.CONCAT(H6650," ",I6650),ForeCalc!$A$37:$A$274,0),MATCH(_xlfn.CONCAT(B6650," ",E6650),ForeCalc!$B$36:$Y$36,0))))*VLOOKUP(A6650,Calendar!$A$2:$H$9997,8,FALSE),0)</f>
        <v/>
      </c>
      <c r="G6650" s="29">
        <f>VLOOKUP(A6650,Calendar!$A$1:$H$9997,6,FALSE)-F6650</f>
        <v/>
      </c>
      <c r="H6650" s="19" t="n">
        <v>1</v>
      </c>
      <c r="I6650" s="57" t="n">
        <v>3</v>
      </c>
    </row>
    <row r="6651">
      <c r="A6651" s="62" t="n">
        <v>46186</v>
      </c>
      <c r="B6651" s="3" t="inlineStr">
        <is>
          <t>Sat</t>
        </is>
      </c>
      <c r="C6651" s="19" t="n">
        <v>6</v>
      </c>
      <c r="D6651" s="19" t="n">
        <v>2026</v>
      </c>
      <c r="E6651" s="57" t="n">
        <v>7</v>
      </c>
      <c r="F6651" s="29">
        <f>ROUND(((SUMIFS(Calendar!$F$2:$F$9997,Calendar!$B$2:$B$9997,D6651,Calendar!$C$2:$C$9997,C6651)*INDEX(ForeCalc!$B$37:$Y$274,MATCH(_xlfn.CONCAT(H6651," ",I6651),ForeCalc!$A$37:$A$274,0),MATCH(_xlfn.CONCAT(B6651," ",E6651),ForeCalc!$B$36:$Y$36,0))))*VLOOKUP(A6651,Calendar!$A$2:$H$9997,8,FALSE),0)</f>
        <v/>
      </c>
      <c r="G6651" s="29">
        <f>VLOOKUP(A6651,Calendar!$A$1:$H$9997,6,FALSE)-F6651</f>
        <v/>
      </c>
      <c r="H6651" s="19" t="n">
        <v>1</v>
      </c>
      <c r="I6651" s="57" t="n">
        <v>3</v>
      </c>
    </row>
    <row r="6652">
      <c r="A6652" s="62" t="n">
        <v>46187</v>
      </c>
      <c r="B6652" s="3" t="inlineStr">
        <is>
          <t>Sun</t>
        </is>
      </c>
      <c r="C6652" s="19" t="n">
        <v>6</v>
      </c>
      <c r="D6652" s="19" t="n">
        <v>2026</v>
      </c>
      <c r="E6652" s="57" t="n">
        <v>7</v>
      </c>
      <c r="F6652" s="29">
        <f>ROUND(((SUMIFS(Calendar!$F$2:$F$9997,Calendar!$B$2:$B$9997,D6652,Calendar!$C$2:$C$9997,C6652)*INDEX(ForeCalc!$B$37:$Y$274,MATCH(_xlfn.CONCAT(H6652," ",I6652),ForeCalc!$A$37:$A$274,0),MATCH(_xlfn.CONCAT(B6652," ",E6652),ForeCalc!$B$36:$Y$36,0))))*VLOOKUP(A6652,Calendar!$A$2:$H$9997,8,FALSE),0)</f>
        <v/>
      </c>
      <c r="G6652" s="29">
        <f>VLOOKUP(A6652,Calendar!$A$1:$H$9997,6,FALSE)-F6652</f>
        <v/>
      </c>
      <c r="H6652" s="19" t="n">
        <v>1</v>
      </c>
      <c r="I6652" s="57" t="n">
        <v>3</v>
      </c>
    </row>
    <row r="6653">
      <c r="A6653" s="62" t="n">
        <v>46188</v>
      </c>
      <c r="B6653" s="3" t="inlineStr">
        <is>
          <t>Week</t>
        </is>
      </c>
      <c r="C6653" s="19" t="n">
        <v>6</v>
      </c>
      <c r="D6653" s="19" t="n">
        <v>2026</v>
      </c>
      <c r="E6653" s="57" t="n">
        <v>7</v>
      </c>
      <c r="F6653" s="29">
        <f>ROUND(((SUMIFS(Calendar!$F$2:$F$9997,Calendar!$B$2:$B$9997,D6653,Calendar!$C$2:$C$9997,C6653)*INDEX(ForeCalc!$B$37:$Y$274,MATCH(_xlfn.CONCAT(H6653," ",I6653),ForeCalc!$A$37:$A$274,0),MATCH(_xlfn.CONCAT(B6653," ",E6653),ForeCalc!$B$36:$Y$36,0))))*VLOOKUP(A6653,Calendar!$A$2:$H$9997,8,FALSE),0)</f>
        <v/>
      </c>
      <c r="G6653" s="29">
        <f>VLOOKUP(A6653,Calendar!$A$1:$H$9997,6,FALSE)-F6653</f>
        <v/>
      </c>
      <c r="H6653" s="19" t="n">
        <v>1</v>
      </c>
      <c r="I6653" s="57" t="n">
        <v>3</v>
      </c>
    </row>
    <row r="6654">
      <c r="A6654" s="62" t="n">
        <v>46189</v>
      </c>
      <c r="B6654" s="3" t="inlineStr">
        <is>
          <t>Week</t>
        </is>
      </c>
      <c r="C6654" s="19" t="n">
        <v>6</v>
      </c>
      <c r="D6654" s="19" t="n">
        <v>2026</v>
      </c>
      <c r="E6654" s="57" t="n">
        <v>7</v>
      </c>
      <c r="F6654" s="29">
        <f>ROUND(((SUMIFS(Calendar!$F$2:$F$9997,Calendar!$B$2:$B$9997,D6654,Calendar!$C$2:$C$9997,C6654)*INDEX(ForeCalc!$B$37:$Y$274,MATCH(_xlfn.CONCAT(H6654," ",I6654),ForeCalc!$A$37:$A$274,0),MATCH(_xlfn.CONCAT(B6654," ",E6654),ForeCalc!$B$36:$Y$36,0))))*VLOOKUP(A6654,Calendar!$A$2:$H$9997,8,FALSE),0)</f>
        <v/>
      </c>
      <c r="G6654" s="29">
        <f>VLOOKUP(A6654,Calendar!$A$1:$H$9997,6,FALSE)-F6654</f>
        <v/>
      </c>
      <c r="H6654" s="19" t="n">
        <v>1</v>
      </c>
      <c r="I6654" s="57" t="n">
        <v>3</v>
      </c>
    </row>
    <row r="6655">
      <c r="A6655" s="62" t="n">
        <v>46190</v>
      </c>
      <c r="B6655" s="3" t="inlineStr">
        <is>
          <t>Week</t>
        </is>
      </c>
      <c r="C6655" s="19" t="n">
        <v>6</v>
      </c>
      <c r="D6655" s="19" t="n">
        <v>2026</v>
      </c>
      <c r="E6655" s="57" t="n">
        <v>7</v>
      </c>
      <c r="F6655" s="29">
        <f>ROUND(((SUMIFS(Calendar!$F$2:$F$9997,Calendar!$B$2:$B$9997,D6655,Calendar!$C$2:$C$9997,C6655)*INDEX(ForeCalc!$B$37:$Y$274,MATCH(_xlfn.CONCAT(H6655," ",I6655),ForeCalc!$A$37:$A$274,0),MATCH(_xlfn.CONCAT(B6655," ",E6655),ForeCalc!$B$36:$Y$36,0))))*VLOOKUP(A6655,Calendar!$A$2:$H$9997,8,FALSE),0)</f>
        <v/>
      </c>
      <c r="G6655" s="29">
        <f>VLOOKUP(A6655,Calendar!$A$1:$H$9997,6,FALSE)-F6655</f>
        <v/>
      </c>
      <c r="H6655" s="19" t="n">
        <v>1</v>
      </c>
      <c r="I6655" s="57" t="n">
        <v>3</v>
      </c>
    </row>
    <row r="6656">
      <c r="A6656" s="62" t="n">
        <v>46191</v>
      </c>
      <c r="B6656" s="3" t="inlineStr">
        <is>
          <t>Week</t>
        </is>
      </c>
      <c r="C6656" s="19" t="n">
        <v>6</v>
      </c>
      <c r="D6656" s="19" t="n">
        <v>2026</v>
      </c>
      <c r="E6656" s="57" t="n">
        <v>7</v>
      </c>
      <c r="F6656" s="29">
        <f>ROUND(((SUMIFS(Calendar!$F$2:$F$9997,Calendar!$B$2:$B$9997,D6656,Calendar!$C$2:$C$9997,C6656)*INDEX(ForeCalc!$B$37:$Y$274,MATCH(_xlfn.CONCAT(H6656," ",I6656),ForeCalc!$A$37:$A$274,0),MATCH(_xlfn.CONCAT(B6656," ",E6656),ForeCalc!$B$36:$Y$36,0))))*VLOOKUP(A6656,Calendar!$A$2:$H$9997,8,FALSE),0)</f>
        <v/>
      </c>
      <c r="G6656" s="29">
        <f>VLOOKUP(A6656,Calendar!$A$1:$H$9997,6,FALSE)-F6656</f>
        <v/>
      </c>
      <c r="H6656" s="19" t="n">
        <v>1</v>
      </c>
      <c r="I6656" s="57" t="n">
        <v>3</v>
      </c>
    </row>
    <row r="6657">
      <c r="A6657" s="62" t="n">
        <v>46192</v>
      </c>
      <c r="B6657" s="3" t="inlineStr">
        <is>
          <t>Week</t>
        </is>
      </c>
      <c r="C6657" s="19" t="n">
        <v>6</v>
      </c>
      <c r="D6657" s="19" t="n">
        <v>2026</v>
      </c>
      <c r="E6657" s="57" t="n">
        <v>7</v>
      </c>
      <c r="F6657" s="29">
        <f>ROUND(((SUMIFS(Calendar!$F$2:$F$9997,Calendar!$B$2:$B$9997,D6657,Calendar!$C$2:$C$9997,C6657)*INDEX(ForeCalc!$B$37:$Y$274,MATCH(_xlfn.CONCAT(H6657," ",I6657),ForeCalc!$A$37:$A$274,0),MATCH(_xlfn.CONCAT(B6657," ",E6657),ForeCalc!$B$36:$Y$36,0))))*VLOOKUP(A6657,Calendar!$A$2:$H$9997,8,FALSE),0)</f>
        <v/>
      </c>
      <c r="G6657" s="29">
        <f>VLOOKUP(A6657,Calendar!$A$1:$H$9997,6,FALSE)-F6657</f>
        <v/>
      </c>
      <c r="H6657" s="19" t="n">
        <v>1</v>
      </c>
      <c r="I6657" s="57" t="n">
        <v>3</v>
      </c>
    </row>
    <row r="6658">
      <c r="A6658" s="62" t="n">
        <v>46193</v>
      </c>
      <c r="B6658" s="3" t="inlineStr">
        <is>
          <t>Sat</t>
        </is>
      </c>
      <c r="C6658" s="19" t="n">
        <v>6</v>
      </c>
      <c r="D6658" s="19" t="n">
        <v>2026</v>
      </c>
      <c r="E6658" s="57" t="n">
        <v>7</v>
      </c>
      <c r="F6658" s="29">
        <f>ROUND(((SUMIFS(Calendar!$F$2:$F$9997,Calendar!$B$2:$B$9997,D6658,Calendar!$C$2:$C$9997,C6658)*INDEX(ForeCalc!$B$37:$Y$274,MATCH(_xlfn.CONCAT(H6658," ",I6658),ForeCalc!$A$37:$A$274,0),MATCH(_xlfn.CONCAT(B6658," ",E6658),ForeCalc!$B$36:$Y$36,0))))*VLOOKUP(A6658,Calendar!$A$2:$H$9997,8,FALSE),0)</f>
        <v/>
      </c>
      <c r="G6658" s="29">
        <f>VLOOKUP(A6658,Calendar!$A$1:$H$9997,6,FALSE)-F6658</f>
        <v/>
      </c>
      <c r="H6658" s="19" t="n">
        <v>1</v>
      </c>
      <c r="I6658" s="57" t="n">
        <v>3</v>
      </c>
    </row>
    <row r="6659">
      <c r="A6659" s="62" t="n">
        <v>46194</v>
      </c>
      <c r="B6659" s="3" t="inlineStr">
        <is>
          <t>Sun</t>
        </is>
      </c>
      <c r="C6659" s="19" t="n">
        <v>6</v>
      </c>
      <c r="D6659" s="19" t="n">
        <v>2026</v>
      </c>
      <c r="E6659" s="57" t="n">
        <v>7</v>
      </c>
      <c r="F6659" s="29">
        <f>ROUND(((SUMIFS(Calendar!$F$2:$F$9997,Calendar!$B$2:$B$9997,D6659,Calendar!$C$2:$C$9997,C6659)*INDEX(ForeCalc!$B$37:$Y$274,MATCH(_xlfn.CONCAT(H6659," ",I6659),ForeCalc!$A$37:$A$274,0),MATCH(_xlfn.CONCAT(B6659," ",E6659),ForeCalc!$B$36:$Y$36,0))))*VLOOKUP(A6659,Calendar!$A$2:$H$9997,8,FALSE),0)</f>
        <v/>
      </c>
      <c r="G6659" s="29">
        <f>VLOOKUP(A6659,Calendar!$A$1:$H$9997,6,FALSE)-F6659</f>
        <v/>
      </c>
      <c r="H6659" s="19" t="n">
        <v>1</v>
      </c>
      <c r="I6659" s="57" t="n">
        <v>3</v>
      </c>
    </row>
    <row r="6660">
      <c r="A6660" s="62" t="n">
        <v>46195</v>
      </c>
      <c r="B6660" s="3" t="inlineStr">
        <is>
          <t>Week</t>
        </is>
      </c>
      <c r="C6660" s="19" t="n">
        <v>6</v>
      </c>
      <c r="D6660" s="19" t="n">
        <v>2026</v>
      </c>
      <c r="E6660" s="57" t="n">
        <v>7</v>
      </c>
      <c r="F6660" s="29">
        <f>ROUND(((SUMIFS(Calendar!$F$2:$F$9997,Calendar!$B$2:$B$9997,D6660,Calendar!$C$2:$C$9997,C6660)*INDEX(ForeCalc!$B$37:$Y$274,MATCH(_xlfn.CONCAT(H6660," ",I6660),ForeCalc!$A$37:$A$274,0),MATCH(_xlfn.CONCAT(B6660," ",E6660),ForeCalc!$B$36:$Y$36,0))))*VLOOKUP(A6660,Calendar!$A$2:$H$9997,8,FALSE),0)</f>
        <v/>
      </c>
      <c r="G6660" s="29">
        <f>VLOOKUP(A6660,Calendar!$A$1:$H$9997,6,FALSE)-F6660</f>
        <v/>
      </c>
      <c r="H6660" s="19" t="n">
        <v>1</v>
      </c>
      <c r="I6660" s="57" t="n">
        <v>3</v>
      </c>
    </row>
    <row r="6661">
      <c r="A6661" s="62" t="n">
        <v>46196</v>
      </c>
      <c r="B6661" s="3" t="inlineStr">
        <is>
          <t>Week</t>
        </is>
      </c>
      <c r="C6661" s="19" t="n">
        <v>6</v>
      </c>
      <c r="D6661" s="19" t="n">
        <v>2026</v>
      </c>
      <c r="E6661" s="57" t="n">
        <v>7</v>
      </c>
      <c r="F6661" s="29">
        <f>ROUND(((SUMIFS(Calendar!$F$2:$F$9997,Calendar!$B$2:$B$9997,D6661,Calendar!$C$2:$C$9997,C6661)*INDEX(ForeCalc!$B$37:$Y$274,MATCH(_xlfn.CONCAT(H6661," ",I6661),ForeCalc!$A$37:$A$274,0),MATCH(_xlfn.CONCAT(B6661," ",E6661),ForeCalc!$B$36:$Y$36,0))))*VLOOKUP(A6661,Calendar!$A$2:$H$9997,8,FALSE),0)</f>
        <v/>
      </c>
      <c r="G6661" s="29">
        <f>VLOOKUP(A6661,Calendar!$A$1:$H$9997,6,FALSE)-F6661</f>
        <v/>
      </c>
      <c r="H6661" s="19" t="n">
        <v>1</v>
      </c>
      <c r="I6661" s="57" t="n">
        <v>3</v>
      </c>
    </row>
    <row r="6662">
      <c r="A6662" s="62" t="n">
        <v>46197</v>
      </c>
      <c r="B6662" s="3" t="inlineStr">
        <is>
          <t>Week</t>
        </is>
      </c>
      <c r="C6662" s="19" t="n">
        <v>6</v>
      </c>
      <c r="D6662" s="19" t="n">
        <v>2026</v>
      </c>
      <c r="E6662" s="57" t="n">
        <v>7</v>
      </c>
      <c r="F6662" s="29">
        <f>ROUND(((SUMIFS(Calendar!$F$2:$F$9997,Calendar!$B$2:$B$9997,D6662,Calendar!$C$2:$C$9997,C6662)*INDEX(ForeCalc!$B$37:$Y$274,MATCH(_xlfn.CONCAT(H6662," ",I6662),ForeCalc!$A$37:$A$274,0),MATCH(_xlfn.CONCAT(B6662," ",E6662),ForeCalc!$B$36:$Y$36,0))))*VLOOKUP(A6662,Calendar!$A$2:$H$9997,8,FALSE),0)</f>
        <v/>
      </c>
      <c r="G6662" s="29">
        <f>VLOOKUP(A6662,Calendar!$A$1:$H$9997,6,FALSE)-F6662</f>
        <v/>
      </c>
      <c r="H6662" s="19" t="n">
        <v>1</v>
      </c>
      <c r="I6662" s="57" t="n">
        <v>3</v>
      </c>
    </row>
    <row r="6663">
      <c r="A6663" s="62" t="n">
        <v>46198</v>
      </c>
      <c r="B6663" s="3" t="inlineStr">
        <is>
          <t>Week</t>
        </is>
      </c>
      <c r="C6663" s="19" t="n">
        <v>6</v>
      </c>
      <c r="D6663" s="19" t="n">
        <v>2026</v>
      </c>
      <c r="E6663" s="57" t="n">
        <v>7</v>
      </c>
      <c r="F6663" s="29">
        <f>ROUND(((SUMIFS(Calendar!$F$2:$F$9997,Calendar!$B$2:$B$9997,D6663,Calendar!$C$2:$C$9997,C6663)*INDEX(ForeCalc!$B$37:$Y$274,MATCH(_xlfn.CONCAT(H6663," ",I6663),ForeCalc!$A$37:$A$274,0),MATCH(_xlfn.CONCAT(B6663," ",E6663),ForeCalc!$B$36:$Y$36,0))))*VLOOKUP(A6663,Calendar!$A$2:$H$9997,8,FALSE),0)</f>
        <v/>
      </c>
      <c r="G6663" s="29">
        <f>VLOOKUP(A6663,Calendar!$A$1:$H$9997,6,FALSE)-F6663</f>
        <v/>
      </c>
      <c r="H6663" s="19" t="n">
        <v>1</v>
      </c>
      <c r="I6663" s="57" t="n">
        <v>3</v>
      </c>
    </row>
    <row r="6664">
      <c r="A6664" s="62" t="n">
        <v>46199</v>
      </c>
      <c r="B6664" s="3" t="inlineStr">
        <is>
          <t>Week</t>
        </is>
      </c>
      <c r="C6664" s="19" t="n">
        <v>6</v>
      </c>
      <c r="D6664" s="19" t="n">
        <v>2026</v>
      </c>
      <c r="E6664" s="57" t="n">
        <v>7</v>
      </c>
      <c r="F6664" s="29">
        <f>ROUND(((SUMIFS(Calendar!$F$2:$F$9997,Calendar!$B$2:$B$9997,D6664,Calendar!$C$2:$C$9997,C6664)*INDEX(ForeCalc!$B$37:$Y$274,MATCH(_xlfn.CONCAT(H6664," ",I6664),ForeCalc!$A$37:$A$274,0),MATCH(_xlfn.CONCAT(B6664," ",E6664),ForeCalc!$B$36:$Y$36,0))))*VLOOKUP(A6664,Calendar!$A$2:$H$9997,8,FALSE),0)</f>
        <v/>
      </c>
      <c r="G6664" s="29">
        <f>VLOOKUP(A6664,Calendar!$A$1:$H$9997,6,FALSE)-F6664</f>
        <v/>
      </c>
      <c r="H6664" s="19" t="n">
        <v>1</v>
      </c>
      <c r="I6664" s="57" t="n">
        <v>3</v>
      </c>
    </row>
    <row r="6665">
      <c r="A6665" s="62" t="n">
        <v>46200</v>
      </c>
      <c r="B6665" s="3" t="inlineStr">
        <is>
          <t>Sat</t>
        </is>
      </c>
      <c r="C6665" s="19" t="n">
        <v>6</v>
      </c>
      <c r="D6665" s="19" t="n">
        <v>2026</v>
      </c>
      <c r="E6665" s="57" t="n">
        <v>7</v>
      </c>
      <c r="F6665" s="29">
        <f>ROUND(((SUMIFS(Calendar!$F$2:$F$9997,Calendar!$B$2:$B$9997,D6665,Calendar!$C$2:$C$9997,C6665)*INDEX(ForeCalc!$B$37:$Y$274,MATCH(_xlfn.CONCAT(H6665," ",I6665),ForeCalc!$A$37:$A$274,0),MATCH(_xlfn.CONCAT(B6665," ",E6665),ForeCalc!$B$36:$Y$36,0))))*VLOOKUP(A6665,Calendar!$A$2:$H$9997,8,FALSE),0)</f>
        <v/>
      </c>
      <c r="G6665" s="29">
        <f>VLOOKUP(A6665,Calendar!$A$1:$H$9997,6,FALSE)-F6665</f>
        <v/>
      </c>
      <c r="H6665" s="19" t="n">
        <v>1</v>
      </c>
      <c r="I6665" s="57" t="n">
        <v>3</v>
      </c>
    </row>
    <row r="6666">
      <c r="A6666" s="62" t="n">
        <v>46201</v>
      </c>
      <c r="B6666" s="3" t="inlineStr">
        <is>
          <t>Sun</t>
        </is>
      </c>
      <c r="C6666" s="19" t="n">
        <v>6</v>
      </c>
      <c r="D6666" s="19" t="n">
        <v>2026</v>
      </c>
      <c r="E6666" s="57" t="n">
        <v>7</v>
      </c>
      <c r="F6666" s="29">
        <f>ROUND(((SUMIFS(Calendar!$F$2:$F$9997,Calendar!$B$2:$B$9997,D6666,Calendar!$C$2:$C$9997,C6666)*INDEX(ForeCalc!$B$37:$Y$274,MATCH(_xlfn.CONCAT(H6666," ",I6666),ForeCalc!$A$37:$A$274,0),MATCH(_xlfn.CONCAT(B6666," ",E6666),ForeCalc!$B$36:$Y$36,0))))*VLOOKUP(A6666,Calendar!$A$2:$H$9997,8,FALSE),0)</f>
        <v/>
      </c>
      <c r="G6666" s="29">
        <f>VLOOKUP(A6666,Calendar!$A$1:$H$9997,6,FALSE)-F6666</f>
        <v/>
      </c>
      <c r="H6666" s="19" t="n">
        <v>1</v>
      </c>
      <c r="I6666" s="57" t="n">
        <v>3</v>
      </c>
    </row>
    <row r="6667">
      <c r="A6667" s="62" t="n">
        <v>46202</v>
      </c>
      <c r="B6667" s="3" t="inlineStr">
        <is>
          <t>Week</t>
        </is>
      </c>
      <c r="C6667" s="19" t="n">
        <v>6</v>
      </c>
      <c r="D6667" s="19" t="n">
        <v>2026</v>
      </c>
      <c r="E6667" s="57" t="n">
        <v>7</v>
      </c>
      <c r="F6667" s="29">
        <f>ROUND(((SUMIFS(Calendar!$F$2:$F$9997,Calendar!$B$2:$B$9997,D6667,Calendar!$C$2:$C$9997,C6667)*INDEX(ForeCalc!$B$37:$Y$274,MATCH(_xlfn.CONCAT(H6667," ",I6667),ForeCalc!$A$37:$A$274,0),MATCH(_xlfn.CONCAT(B6667," ",E6667),ForeCalc!$B$36:$Y$36,0))))*VLOOKUP(A6667,Calendar!$A$2:$H$9997,8,FALSE),0)</f>
        <v/>
      </c>
      <c r="G6667" s="29">
        <f>VLOOKUP(A6667,Calendar!$A$1:$H$9997,6,FALSE)-F6667</f>
        <v/>
      </c>
      <c r="H6667" s="19" t="n">
        <v>1</v>
      </c>
      <c r="I6667" s="57" t="n">
        <v>3</v>
      </c>
    </row>
    <row r="6668">
      <c r="A6668" s="62" t="n">
        <v>46203</v>
      </c>
      <c r="B6668" s="3" t="inlineStr">
        <is>
          <t>Week</t>
        </is>
      </c>
      <c r="C6668" s="19" t="n">
        <v>6</v>
      </c>
      <c r="D6668" s="19" t="n">
        <v>2026</v>
      </c>
      <c r="E6668" s="57" t="n">
        <v>7</v>
      </c>
      <c r="F6668" s="29">
        <f>ROUND(((SUMIFS(Calendar!$F$2:$F$9997,Calendar!$B$2:$B$9997,D6668,Calendar!$C$2:$C$9997,C6668)*INDEX(ForeCalc!$B$37:$Y$274,MATCH(_xlfn.CONCAT(H6668," ",I6668),ForeCalc!$A$37:$A$274,0),MATCH(_xlfn.CONCAT(B6668," ",E6668),ForeCalc!$B$36:$Y$36,0))))*VLOOKUP(A6668,Calendar!$A$2:$H$9997,8,FALSE),0)</f>
        <v/>
      </c>
      <c r="G6668" s="29">
        <f>VLOOKUP(A6668,Calendar!$A$1:$H$9997,6,FALSE)-F6668</f>
        <v/>
      </c>
      <c r="H6668" s="19" t="n">
        <v>1</v>
      </c>
      <c r="I6668" s="57" t="n">
        <v>3</v>
      </c>
    </row>
    <row r="6669">
      <c r="A6669" s="62" t="n">
        <v>46204</v>
      </c>
      <c r="B6669" s="3" t="inlineStr">
        <is>
          <t>Week</t>
        </is>
      </c>
      <c r="C6669" s="19" t="n">
        <v>7</v>
      </c>
      <c r="D6669" s="19" t="n">
        <v>2026</v>
      </c>
      <c r="E6669" s="57" t="n">
        <v>7</v>
      </c>
      <c r="F6669" s="29">
        <f>ROUND(((SUMIFS(Calendar!$F$2:$F$9997,Calendar!$B$2:$B$9997,D6669,Calendar!$C$2:$C$9997,C6669)*INDEX(ForeCalc!$B$37:$Y$274,MATCH(_xlfn.CONCAT(H6669," ",I6669),ForeCalc!$A$37:$A$274,0),MATCH(_xlfn.CONCAT(B6669," ",E6669),ForeCalc!$B$36:$Y$36,0))))*VLOOKUP(A6669,Calendar!$A$2:$H$9997,8,FALSE),0)</f>
        <v/>
      </c>
      <c r="G6669" s="29">
        <f>VLOOKUP(A6669,Calendar!$A$1:$H$9997,6,FALSE)-F6669</f>
        <v/>
      </c>
      <c r="H6669" s="19" t="n">
        <v>1</v>
      </c>
      <c r="I6669" s="57" t="n">
        <v>4</v>
      </c>
    </row>
    <row r="6670">
      <c r="A6670" s="62" t="n">
        <v>46205</v>
      </c>
      <c r="B6670" s="3" t="inlineStr">
        <is>
          <t>Week</t>
        </is>
      </c>
      <c r="C6670" s="19" t="n">
        <v>7</v>
      </c>
      <c r="D6670" s="19" t="n">
        <v>2026</v>
      </c>
      <c r="E6670" s="57" t="n">
        <v>7</v>
      </c>
      <c r="F6670" s="29">
        <f>ROUND(((SUMIFS(Calendar!$F$2:$F$9997,Calendar!$B$2:$B$9997,D6670,Calendar!$C$2:$C$9997,C6670)*INDEX(ForeCalc!$B$37:$Y$274,MATCH(_xlfn.CONCAT(H6670," ",I6670),ForeCalc!$A$37:$A$274,0),MATCH(_xlfn.CONCAT(B6670," ",E6670),ForeCalc!$B$36:$Y$36,0))))*VLOOKUP(A6670,Calendar!$A$2:$H$9997,8,FALSE),0)</f>
        <v/>
      </c>
      <c r="G6670" s="29">
        <f>VLOOKUP(A6670,Calendar!$A$1:$H$9997,6,FALSE)-F6670</f>
        <v/>
      </c>
      <c r="H6670" s="19" t="n">
        <v>1</v>
      </c>
      <c r="I6670" s="57" t="n">
        <v>4</v>
      </c>
    </row>
    <row r="6671">
      <c r="A6671" s="62" t="n">
        <v>46206</v>
      </c>
      <c r="B6671" s="3" t="inlineStr">
        <is>
          <t>Week</t>
        </is>
      </c>
      <c r="C6671" s="19" t="n">
        <v>7</v>
      </c>
      <c r="D6671" s="19" t="n">
        <v>2026</v>
      </c>
      <c r="E6671" s="57" t="n">
        <v>7</v>
      </c>
      <c r="F6671" s="29">
        <f>ROUND(((SUMIFS(Calendar!$F$2:$F$9997,Calendar!$B$2:$B$9997,D6671,Calendar!$C$2:$C$9997,C6671)*INDEX(ForeCalc!$B$37:$Y$274,MATCH(_xlfn.CONCAT(H6671," ",I6671),ForeCalc!$A$37:$A$274,0),MATCH(_xlfn.CONCAT(B6671," ",E6671),ForeCalc!$B$36:$Y$36,0))))*VLOOKUP(A6671,Calendar!$A$2:$H$9997,8,FALSE),0)</f>
        <v/>
      </c>
      <c r="G6671" s="29">
        <f>VLOOKUP(A6671,Calendar!$A$1:$H$9997,6,FALSE)-F6671</f>
        <v/>
      </c>
      <c r="H6671" s="19" t="n">
        <v>1</v>
      </c>
      <c r="I6671" s="57" t="n">
        <v>4</v>
      </c>
    </row>
    <row r="6672">
      <c r="A6672" s="62" t="n">
        <v>46207</v>
      </c>
      <c r="B6672" s="3" t="inlineStr">
        <is>
          <t>Sat</t>
        </is>
      </c>
      <c r="C6672" s="19" t="n">
        <v>7</v>
      </c>
      <c r="D6672" s="19" t="n">
        <v>2026</v>
      </c>
      <c r="E6672" s="57" t="n">
        <v>7</v>
      </c>
      <c r="F6672" s="29">
        <f>ROUND(((SUMIFS(Calendar!$F$2:$F$9997,Calendar!$B$2:$B$9997,D6672,Calendar!$C$2:$C$9997,C6672)*INDEX(ForeCalc!$B$37:$Y$274,MATCH(_xlfn.CONCAT(H6672," ",I6672),ForeCalc!$A$37:$A$274,0),MATCH(_xlfn.CONCAT(B6672," ",E6672),ForeCalc!$B$36:$Y$36,0))))*VLOOKUP(A6672,Calendar!$A$2:$H$9997,8,FALSE),0)</f>
        <v/>
      </c>
      <c r="G6672" s="29">
        <f>VLOOKUP(A6672,Calendar!$A$1:$H$9997,6,FALSE)-F6672</f>
        <v/>
      </c>
      <c r="H6672" s="19" t="n">
        <v>1</v>
      </c>
      <c r="I6672" s="57" t="n">
        <v>4</v>
      </c>
    </row>
    <row r="6673">
      <c r="A6673" s="62" t="n">
        <v>46208</v>
      </c>
      <c r="B6673" s="3" t="inlineStr">
        <is>
          <t>Sun</t>
        </is>
      </c>
      <c r="C6673" s="19" t="n">
        <v>7</v>
      </c>
      <c r="D6673" s="19" t="n">
        <v>2026</v>
      </c>
      <c r="E6673" s="57" t="n">
        <v>7</v>
      </c>
      <c r="F6673" s="29">
        <f>ROUND(((SUMIFS(Calendar!$F$2:$F$9997,Calendar!$B$2:$B$9997,D6673,Calendar!$C$2:$C$9997,C6673)*INDEX(ForeCalc!$B$37:$Y$274,MATCH(_xlfn.CONCAT(H6673," ",I6673),ForeCalc!$A$37:$A$274,0),MATCH(_xlfn.CONCAT(B6673," ",E6673),ForeCalc!$B$36:$Y$36,0))))*VLOOKUP(A6673,Calendar!$A$2:$H$9997,8,FALSE),0)</f>
        <v/>
      </c>
      <c r="G6673" s="29">
        <f>VLOOKUP(A6673,Calendar!$A$1:$H$9997,6,FALSE)-F6673</f>
        <v/>
      </c>
      <c r="H6673" s="19" t="n">
        <v>1</v>
      </c>
      <c r="I6673" s="57" t="n">
        <v>4</v>
      </c>
    </row>
    <row r="6674">
      <c r="A6674" s="62" t="n">
        <v>46209</v>
      </c>
      <c r="B6674" s="3" t="inlineStr">
        <is>
          <t>Week</t>
        </is>
      </c>
      <c r="C6674" s="19" t="n">
        <v>7</v>
      </c>
      <c r="D6674" s="19" t="n">
        <v>2026</v>
      </c>
      <c r="E6674" s="57" t="n">
        <v>7</v>
      </c>
      <c r="F6674" s="29">
        <f>ROUND(((SUMIFS(Calendar!$F$2:$F$9997,Calendar!$B$2:$B$9997,D6674,Calendar!$C$2:$C$9997,C6674)*INDEX(ForeCalc!$B$37:$Y$274,MATCH(_xlfn.CONCAT(H6674," ",I6674),ForeCalc!$A$37:$A$274,0),MATCH(_xlfn.CONCAT(B6674," ",E6674),ForeCalc!$B$36:$Y$36,0))))*VLOOKUP(A6674,Calendar!$A$2:$H$9997,8,FALSE),0)</f>
        <v/>
      </c>
      <c r="G6674" s="29">
        <f>VLOOKUP(A6674,Calendar!$A$1:$H$9997,6,FALSE)-F6674</f>
        <v/>
      </c>
      <c r="H6674" s="19" t="n">
        <v>1</v>
      </c>
      <c r="I6674" s="57" t="n">
        <v>4</v>
      </c>
    </row>
    <row r="6675">
      <c r="A6675" s="62" t="n">
        <v>46210</v>
      </c>
      <c r="B6675" s="3" t="inlineStr">
        <is>
          <t>Week</t>
        </is>
      </c>
      <c r="C6675" s="19" t="n">
        <v>7</v>
      </c>
      <c r="D6675" s="19" t="n">
        <v>2026</v>
      </c>
      <c r="E6675" s="57" t="n">
        <v>7</v>
      </c>
      <c r="F6675" s="29">
        <f>ROUND(((SUMIFS(Calendar!$F$2:$F$9997,Calendar!$B$2:$B$9997,D6675,Calendar!$C$2:$C$9997,C6675)*INDEX(ForeCalc!$B$37:$Y$274,MATCH(_xlfn.CONCAT(H6675," ",I6675),ForeCalc!$A$37:$A$274,0),MATCH(_xlfn.CONCAT(B6675," ",E6675),ForeCalc!$B$36:$Y$36,0))))*VLOOKUP(A6675,Calendar!$A$2:$H$9997,8,FALSE),0)</f>
        <v/>
      </c>
      <c r="G6675" s="29">
        <f>VLOOKUP(A6675,Calendar!$A$1:$H$9997,6,FALSE)-F6675</f>
        <v/>
      </c>
      <c r="H6675" s="19" t="n">
        <v>1</v>
      </c>
      <c r="I6675" s="57" t="n">
        <v>4</v>
      </c>
    </row>
    <row r="6676">
      <c r="A6676" s="62" t="n">
        <v>46211</v>
      </c>
      <c r="B6676" s="3" t="inlineStr">
        <is>
          <t>Week</t>
        </is>
      </c>
      <c r="C6676" s="19" t="n">
        <v>7</v>
      </c>
      <c r="D6676" s="19" t="n">
        <v>2026</v>
      </c>
      <c r="E6676" s="57" t="n">
        <v>7</v>
      </c>
      <c r="F6676" s="29">
        <f>ROUND(((SUMIFS(Calendar!$F$2:$F$9997,Calendar!$B$2:$B$9997,D6676,Calendar!$C$2:$C$9997,C6676)*INDEX(ForeCalc!$B$37:$Y$274,MATCH(_xlfn.CONCAT(H6676," ",I6676),ForeCalc!$A$37:$A$274,0),MATCH(_xlfn.CONCAT(B6676," ",E6676),ForeCalc!$B$36:$Y$36,0))))*VLOOKUP(A6676,Calendar!$A$2:$H$9997,8,FALSE),0)</f>
        <v/>
      </c>
      <c r="G6676" s="29">
        <f>VLOOKUP(A6676,Calendar!$A$1:$H$9997,6,FALSE)-F6676</f>
        <v/>
      </c>
      <c r="H6676" s="19" t="n">
        <v>1</v>
      </c>
      <c r="I6676" s="57" t="n">
        <v>4</v>
      </c>
    </row>
    <row r="6677">
      <c r="A6677" s="62" t="n">
        <v>46212</v>
      </c>
      <c r="B6677" s="3" t="inlineStr">
        <is>
          <t>Week</t>
        </is>
      </c>
      <c r="C6677" s="19" t="n">
        <v>7</v>
      </c>
      <c r="D6677" s="19" t="n">
        <v>2026</v>
      </c>
      <c r="E6677" s="57" t="n">
        <v>7</v>
      </c>
      <c r="F6677" s="29">
        <f>ROUND(((SUMIFS(Calendar!$F$2:$F$9997,Calendar!$B$2:$B$9997,D6677,Calendar!$C$2:$C$9997,C6677)*INDEX(ForeCalc!$B$37:$Y$274,MATCH(_xlfn.CONCAT(H6677," ",I6677),ForeCalc!$A$37:$A$274,0),MATCH(_xlfn.CONCAT(B6677," ",E6677),ForeCalc!$B$36:$Y$36,0))))*VLOOKUP(A6677,Calendar!$A$2:$H$9997,8,FALSE),0)</f>
        <v/>
      </c>
      <c r="G6677" s="29">
        <f>VLOOKUP(A6677,Calendar!$A$1:$H$9997,6,FALSE)-F6677</f>
        <v/>
      </c>
      <c r="H6677" s="19" t="n">
        <v>1</v>
      </c>
      <c r="I6677" s="57" t="n">
        <v>4</v>
      </c>
    </row>
    <row r="6678">
      <c r="A6678" s="62" t="n">
        <v>46213</v>
      </c>
      <c r="B6678" s="3" t="inlineStr">
        <is>
          <t>Week</t>
        </is>
      </c>
      <c r="C6678" s="19" t="n">
        <v>7</v>
      </c>
      <c r="D6678" s="19" t="n">
        <v>2026</v>
      </c>
      <c r="E6678" s="57" t="n">
        <v>7</v>
      </c>
      <c r="F6678" s="29">
        <f>ROUND(((SUMIFS(Calendar!$F$2:$F$9997,Calendar!$B$2:$B$9997,D6678,Calendar!$C$2:$C$9997,C6678)*INDEX(ForeCalc!$B$37:$Y$274,MATCH(_xlfn.CONCAT(H6678," ",I6678),ForeCalc!$A$37:$A$274,0),MATCH(_xlfn.CONCAT(B6678," ",E6678),ForeCalc!$B$36:$Y$36,0))))*VLOOKUP(A6678,Calendar!$A$2:$H$9997,8,FALSE),0)</f>
        <v/>
      </c>
      <c r="G6678" s="29">
        <f>VLOOKUP(A6678,Calendar!$A$1:$H$9997,6,FALSE)-F6678</f>
        <v/>
      </c>
      <c r="H6678" s="19" t="n">
        <v>1</v>
      </c>
      <c r="I6678" s="57" t="n">
        <v>4</v>
      </c>
    </row>
    <row r="6679">
      <c r="A6679" s="62" t="n">
        <v>46214</v>
      </c>
      <c r="B6679" s="3" t="inlineStr">
        <is>
          <t>Sat</t>
        </is>
      </c>
      <c r="C6679" s="19" t="n">
        <v>7</v>
      </c>
      <c r="D6679" s="19" t="n">
        <v>2026</v>
      </c>
      <c r="E6679" s="57" t="n">
        <v>7</v>
      </c>
      <c r="F6679" s="29">
        <f>ROUND(((SUMIFS(Calendar!$F$2:$F$9997,Calendar!$B$2:$B$9997,D6679,Calendar!$C$2:$C$9997,C6679)*INDEX(ForeCalc!$B$37:$Y$274,MATCH(_xlfn.CONCAT(H6679," ",I6679),ForeCalc!$A$37:$A$274,0),MATCH(_xlfn.CONCAT(B6679," ",E6679),ForeCalc!$B$36:$Y$36,0))))*VLOOKUP(A6679,Calendar!$A$2:$H$9997,8,FALSE),0)</f>
        <v/>
      </c>
      <c r="G6679" s="29">
        <f>VLOOKUP(A6679,Calendar!$A$1:$H$9997,6,FALSE)-F6679</f>
        <v/>
      </c>
      <c r="H6679" s="19" t="n">
        <v>1</v>
      </c>
      <c r="I6679" s="57" t="n">
        <v>4</v>
      </c>
    </row>
    <row r="6680">
      <c r="A6680" s="62" t="n">
        <v>46215</v>
      </c>
      <c r="B6680" s="3" t="inlineStr">
        <is>
          <t>Sun</t>
        </is>
      </c>
      <c r="C6680" s="19" t="n">
        <v>7</v>
      </c>
      <c r="D6680" s="19" t="n">
        <v>2026</v>
      </c>
      <c r="E6680" s="57" t="n">
        <v>7</v>
      </c>
      <c r="F6680" s="29">
        <f>ROUND(((SUMIFS(Calendar!$F$2:$F$9997,Calendar!$B$2:$B$9997,D6680,Calendar!$C$2:$C$9997,C6680)*INDEX(ForeCalc!$B$37:$Y$274,MATCH(_xlfn.CONCAT(H6680," ",I6680),ForeCalc!$A$37:$A$274,0),MATCH(_xlfn.CONCAT(B6680," ",E6680),ForeCalc!$B$36:$Y$36,0))))*VLOOKUP(A6680,Calendar!$A$2:$H$9997,8,FALSE),0)</f>
        <v/>
      </c>
      <c r="G6680" s="29">
        <f>VLOOKUP(A6680,Calendar!$A$1:$H$9997,6,FALSE)-F6680</f>
        <v/>
      </c>
      <c r="H6680" s="19" t="n">
        <v>1</v>
      </c>
      <c r="I6680" s="57" t="n">
        <v>4</v>
      </c>
    </row>
    <row r="6681">
      <c r="A6681" s="62" t="n">
        <v>46216</v>
      </c>
      <c r="B6681" s="3" t="inlineStr">
        <is>
          <t>Week</t>
        </is>
      </c>
      <c r="C6681" s="19" t="n">
        <v>7</v>
      </c>
      <c r="D6681" s="19" t="n">
        <v>2026</v>
      </c>
      <c r="E6681" s="57" t="n">
        <v>7</v>
      </c>
      <c r="F6681" s="29">
        <f>ROUND(((SUMIFS(Calendar!$F$2:$F$9997,Calendar!$B$2:$B$9997,D6681,Calendar!$C$2:$C$9997,C6681)*INDEX(ForeCalc!$B$37:$Y$274,MATCH(_xlfn.CONCAT(H6681," ",I6681),ForeCalc!$A$37:$A$274,0),MATCH(_xlfn.CONCAT(B6681," ",E6681),ForeCalc!$B$36:$Y$36,0))))*VLOOKUP(A6681,Calendar!$A$2:$H$9997,8,FALSE),0)</f>
        <v/>
      </c>
      <c r="G6681" s="29">
        <f>VLOOKUP(A6681,Calendar!$A$1:$H$9997,6,FALSE)-F6681</f>
        <v/>
      </c>
      <c r="H6681" s="19" t="n">
        <v>1</v>
      </c>
      <c r="I6681" s="57" t="n">
        <v>4</v>
      </c>
    </row>
    <row r="6682">
      <c r="A6682" s="62" t="n">
        <v>46217</v>
      </c>
      <c r="B6682" s="3" t="inlineStr">
        <is>
          <t>Week</t>
        </is>
      </c>
      <c r="C6682" s="19" t="n">
        <v>7</v>
      </c>
      <c r="D6682" s="19" t="n">
        <v>2026</v>
      </c>
      <c r="E6682" s="57" t="n">
        <v>7</v>
      </c>
      <c r="F6682" s="29">
        <f>ROUND(((SUMIFS(Calendar!$F$2:$F$9997,Calendar!$B$2:$B$9997,D6682,Calendar!$C$2:$C$9997,C6682)*INDEX(ForeCalc!$B$37:$Y$274,MATCH(_xlfn.CONCAT(H6682," ",I6682),ForeCalc!$A$37:$A$274,0),MATCH(_xlfn.CONCAT(B6682," ",E6682),ForeCalc!$B$36:$Y$36,0))))*VLOOKUP(A6682,Calendar!$A$2:$H$9997,8,FALSE),0)</f>
        <v/>
      </c>
      <c r="G6682" s="29">
        <f>VLOOKUP(A6682,Calendar!$A$1:$H$9997,6,FALSE)-F6682</f>
        <v/>
      </c>
      <c r="H6682" s="19" t="n">
        <v>1</v>
      </c>
      <c r="I6682" s="57" t="n">
        <v>4</v>
      </c>
    </row>
    <row r="6683">
      <c r="A6683" s="62" t="n">
        <v>46218</v>
      </c>
      <c r="B6683" s="3" t="inlineStr">
        <is>
          <t>Week</t>
        </is>
      </c>
      <c r="C6683" s="19" t="n">
        <v>7</v>
      </c>
      <c r="D6683" s="19" t="n">
        <v>2026</v>
      </c>
      <c r="E6683" s="57" t="n">
        <v>7</v>
      </c>
      <c r="F6683" s="29">
        <f>ROUND(((SUMIFS(Calendar!$F$2:$F$9997,Calendar!$B$2:$B$9997,D6683,Calendar!$C$2:$C$9997,C6683)*INDEX(ForeCalc!$B$37:$Y$274,MATCH(_xlfn.CONCAT(H6683," ",I6683),ForeCalc!$A$37:$A$274,0),MATCH(_xlfn.CONCAT(B6683," ",E6683),ForeCalc!$B$36:$Y$36,0))))*VLOOKUP(A6683,Calendar!$A$2:$H$9997,8,FALSE),0)</f>
        <v/>
      </c>
      <c r="G6683" s="29">
        <f>VLOOKUP(A6683,Calendar!$A$1:$H$9997,6,FALSE)-F6683</f>
        <v/>
      </c>
      <c r="H6683" s="19" t="n">
        <v>1</v>
      </c>
      <c r="I6683" s="57" t="n">
        <v>4</v>
      </c>
    </row>
    <row r="6684">
      <c r="A6684" s="62" t="n">
        <v>46219</v>
      </c>
      <c r="B6684" s="3" t="inlineStr">
        <is>
          <t>Week</t>
        </is>
      </c>
      <c r="C6684" s="19" t="n">
        <v>7</v>
      </c>
      <c r="D6684" s="19" t="n">
        <v>2026</v>
      </c>
      <c r="E6684" s="57" t="n">
        <v>7</v>
      </c>
      <c r="F6684" s="29">
        <f>ROUND(((SUMIFS(Calendar!$F$2:$F$9997,Calendar!$B$2:$B$9997,D6684,Calendar!$C$2:$C$9997,C6684)*INDEX(ForeCalc!$B$37:$Y$274,MATCH(_xlfn.CONCAT(H6684," ",I6684),ForeCalc!$A$37:$A$274,0),MATCH(_xlfn.CONCAT(B6684," ",E6684),ForeCalc!$B$36:$Y$36,0))))*VLOOKUP(A6684,Calendar!$A$2:$H$9997,8,FALSE),0)</f>
        <v/>
      </c>
      <c r="G6684" s="29">
        <f>VLOOKUP(A6684,Calendar!$A$1:$H$9997,6,FALSE)-F6684</f>
        <v/>
      </c>
      <c r="H6684" s="19" t="n">
        <v>1</v>
      </c>
      <c r="I6684" s="57" t="n">
        <v>4</v>
      </c>
    </row>
    <row r="6685">
      <c r="A6685" s="62" t="n">
        <v>46220</v>
      </c>
      <c r="B6685" s="3" t="inlineStr">
        <is>
          <t>Week</t>
        </is>
      </c>
      <c r="C6685" s="19" t="n">
        <v>7</v>
      </c>
      <c r="D6685" s="19" t="n">
        <v>2026</v>
      </c>
      <c r="E6685" s="57" t="n">
        <v>7</v>
      </c>
      <c r="F6685" s="29">
        <f>ROUND(((SUMIFS(Calendar!$F$2:$F$9997,Calendar!$B$2:$B$9997,D6685,Calendar!$C$2:$C$9997,C6685)*INDEX(ForeCalc!$B$37:$Y$274,MATCH(_xlfn.CONCAT(H6685," ",I6685),ForeCalc!$A$37:$A$274,0),MATCH(_xlfn.CONCAT(B6685," ",E6685),ForeCalc!$B$36:$Y$36,0))))*VLOOKUP(A6685,Calendar!$A$2:$H$9997,8,FALSE),0)</f>
        <v/>
      </c>
      <c r="G6685" s="29">
        <f>VLOOKUP(A6685,Calendar!$A$1:$H$9997,6,FALSE)-F6685</f>
        <v/>
      </c>
      <c r="H6685" s="19" t="n">
        <v>1</v>
      </c>
      <c r="I6685" s="57" t="n">
        <v>4</v>
      </c>
    </row>
    <row r="6686">
      <c r="A6686" s="62" t="n">
        <v>46221</v>
      </c>
      <c r="B6686" s="3" t="inlineStr">
        <is>
          <t>Sat</t>
        </is>
      </c>
      <c r="C6686" s="19" t="n">
        <v>7</v>
      </c>
      <c r="D6686" s="19" t="n">
        <v>2026</v>
      </c>
      <c r="E6686" s="57" t="n">
        <v>7</v>
      </c>
      <c r="F6686" s="29">
        <f>ROUND(((SUMIFS(Calendar!$F$2:$F$9997,Calendar!$B$2:$B$9997,D6686,Calendar!$C$2:$C$9997,C6686)*INDEX(ForeCalc!$B$37:$Y$274,MATCH(_xlfn.CONCAT(H6686," ",I6686),ForeCalc!$A$37:$A$274,0),MATCH(_xlfn.CONCAT(B6686," ",E6686),ForeCalc!$B$36:$Y$36,0))))*VLOOKUP(A6686,Calendar!$A$2:$H$9997,8,FALSE),0)</f>
        <v/>
      </c>
      <c r="G6686" s="29">
        <f>VLOOKUP(A6686,Calendar!$A$1:$H$9997,6,FALSE)-F6686</f>
        <v/>
      </c>
      <c r="H6686" s="19" t="n">
        <v>1</v>
      </c>
      <c r="I6686" s="57" t="n">
        <v>4</v>
      </c>
    </row>
    <row r="6687">
      <c r="A6687" s="62" t="n">
        <v>46222</v>
      </c>
      <c r="B6687" s="3" t="inlineStr">
        <is>
          <t>Sun</t>
        </is>
      </c>
      <c r="C6687" s="19" t="n">
        <v>7</v>
      </c>
      <c r="D6687" s="19" t="n">
        <v>2026</v>
      </c>
      <c r="E6687" s="57" t="n">
        <v>7</v>
      </c>
      <c r="F6687" s="29">
        <f>ROUND(((SUMIFS(Calendar!$F$2:$F$9997,Calendar!$B$2:$B$9997,D6687,Calendar!$C$2:$C$9997,C6687)*INDEX(ForeCalc!$B$37:$Y$274,MATCH(_xlfn.CONCAT(H6687," ",I6687),ForeCalc!$A$37:$A$274,0),MATCH(_xlfn.CONCAT(B6687," ",E6687),ForeCalc!$B$36:$Y$36,0))))*VLOOKUP(A6687,Calendar!$A$2:$H$9997,8,FALSE),0)</f>
        <v/>
      </c>
      <c r="G6687" s="29">
        <f>VLOOKUP(A6687,Calendar!$A$1:$H$9997,6,FALSE)-F6687</f>
        <v/>
      </c>
      <c r="H6687" s="19" t="n">
        <v>1</v>
      </c>
      <c r="I6687" s="57" t="n">
        <v>4</v>
      </c>
    </row>
    <row r="6688">
      <c r="A6688" s="62" t="n">
        <v>46223</v>
      </c>
      <c r="B6688" s="3" t="inlineStr">
        <is>
          <t>Week</t>
        </is>
      </c>
      <c r="C6688" s="19" t="n">
        <v>7</v>
      </c>
      <c r="D6688" s="19" t="n">
        <v>2026</v>
      </c>
      <c r="E6688" s="57" t="n">
        <v>7</v>
      </c>
      <c r="F6688" s="29">
        <f>ROUND(((SUMIFS(Calendar!$F$2:$F$9997,Calendar!$B$2:$B$9997,D6688,Calendar!$C$2:$C$9997,C6688)*INDEX(ForeCalc!$B$37:$Y$274,MATCH(_xlfn.CONCAT(H6688," ",I6688),ForeCalc!$A$37:$A$274,0),MATCH(_xlfn.CONCAT(B6688," ",E6688),ForeCalc!$B$36:$Y$36,0))))*VLOOKUP(A6688,Calendar!$A$2:$H$9997,8,FALSE),0)</f>
        <v/>
      </c>
      <c r="G6688" s="29">
        <f>VLOOKUP(A6688,Calendar!$A$1:$H$9997,6,FALSE)-F6688</f>
        <v/>
      </c>
      <c r="H6688" s="19" t="n">
        <v>1</v>
      </c>
      <c r="I6688" s="57" t="n">
        <v>4</v>
      </c>
    </row>
    <row r="6689">
      <c r="A6689" s="62" t="n">
        <v>46224</v>
      </c>
      <c r="B6689" s="3" t="inlineStr">
        <is>
          <t>Week</t>
        </is>
      </c>
      <c r="C6689" s="19" t="n">
        <v>7</v>
      </c>
      <c r="D6689" s="19" t="n">
        <v>2026</v>
      </c>
      <c r="E6689" s="57" t="n">
        <v>7</v>
      </c>
      <c r="F6689" s="29">
        <f>ROUND(((SUMIFS(Calendar!$F$2:$F$9997,Calendar!$B$2:$B$9997,D6689,Calendar!$C$2:$C$9997,C6689)*INDEX(ForeCalc!$B$37:$Y$274,MATCH(_xlfn.CONCAT(H6689," ",I6689),ForeCalc!$A$37:$A$274,0),MATCH(_xlfn.CONCAT(B6689," ",E6689),ForeCalc!$B$36:$Y$36,0))))*VLOOKUP(A6689,Calendar!$A$2:$H$9997,8,FALSE),0)</f>
        <v/>
      </c>
      <c r="G6689" s="29">
        <f>VLOOKUP(A6689,Calendar!$A$1:$H$9997,6,FALSE)-F6689</f>
        <v/>
      </c>
      <c r="H6689" s="19" t="n">
        <v>1</v>
      </c>
      <c r="I6689" s="57" t="n">
        <v>4</v>
      </c>
    </row>
    <row r="6690">
      <c r="A6690" s="62" t="n">
        <v>46225</v>
      </c>
      <c r="B6690" s="3" t="inlineStr">
        <is>
          <t>Week</t>
        </is>
      </c>
      <c r="C6690" s="19" t="n">
        <v>7</v>
      </c>
      <c r="D6690" s="19" t="n">
        <v>2026</v>
      </c>
      <c r="E6690" s="57" t="n">
        <v>7</v>
      </c>
      <c r="F6690" s="29">
        <f>ROUND(((SUMIFS(Calendar!$F$2:$F$9997,Calendar!$B$2:$B$9997,D6690,Calendar!$C$2:$C$9997,C6690)*INDEX(ForeCalc!$B$37:$Y$274,MATCH(_xlfn.CONCAT(H6690," ",I6690),ForeCalc!$A$37:$A$274,0),MATCH(_xlfn.CONCAT(B6690," ",E6690),ForeCalc!$B$36:$Y$36,0))))*VLOOKUP(A6690,Calendar!$A$2:$H$9997,8,FALSE),0)</f>
        <v/>
      </c>
      <c r="G6690" s="29">
        <f>VLOOKUP(A6690,Calendar!$A$1:$H$9997,6,FALSE)-F6690</f>
        <v/>
      </c>
      <c r="H6690" s="19" t="n">
        <v>1</v>
      </c>
      <c r="I6690" s="57" t="n">
        <v>4</v>
      </c>
    </row>
    <row r="6691">
      <c r="A6691" s="62" t="n">
        <v>46226</v>
      </c>
      <c r="B6691" s="3" t="inlineStr">
        <is>
          <t>Week</t>
        </is>
      </c>
      <c r="C6691" s="19" t="n">
        <v>7</v>
      </c>
      <c r="D6691" s="19" t="n">
        <v>2026</v>
      </c>
      <c r="E6691" s="57" t="n">
        <v>7</v>
      </c>
      <c r="F6691" s="29">
        <f>ROUND(((SUMIFS(Calendar!$F$2:$F$9997,Calendar!$B$2:$B$9997,D6691,Calendar!$C$2:$C$9997,C6691)*INDEX(ForeCalc!$B$37:$Y$274,MATCH(_xlfn.CONCAT(H6691," ",I6691),ForeCalc!$A$37:$A$274,0),MATCH(_xlfn.CONCAT(B6691," ",E6691),ForeCalc!$B$36:$Y$36,0))))*VLOOKUP(A6691,Calendar!$A$2:$H$9997,8,FALSE),0)</f>
        <v/>
      </c>
      <c r="G6691" s="29">
        <f>VLOOKUP(A6691,Calendar!$A$1:$H$9997,6,FALSE)-F6691</f>
        <v/>
      </c>
      <c r="H6691" s="19" t="n">
        <v>1</v>
      </c>
      <c r="I6691" s="57" t="n">
        <v>4</v>
      </c>
    </row>
    <row r="6692">
      <c r="A6692" s="62" t="n">
        <v>46227</v>
      </c>
      <c r="B6692" s="3" t="inlineStr">
        <is>
          <t>Week</t>
        </is>
      </c>
      <c r="C6692" s="19" t="n">
        <v>7</v>
      </c>
      <c r="D6692" s="19" t="n">
        <v>2026</v>
      </c>
      <c r="E6692" s="57" t="n">
        <v>7</v>
      </c>
      <c r="F6692" s="29">
        <f>ROUND(((SUMIFS(Calendar!$F$2:$F$9997,Calendar!$B$2:$B$9997,D6692,Calendar!$C$2:$C$9997,C6692)*INDEX(ForeCalc!$B$37:$Y$274,MATCH(_xlfn.CONCAT(H6692," ",I6692),ForeCalc!$A$37:$A$274,0),MATCH(_xlfn.CONCAT(B6692," ",E6692),ForeCalc!$B$36:$Y$36,0))))*VLOOKUP(A6692,Calendar!$A$2:$H$9997,8,FALSE),0)</f>
        <v/>
      </c>
      <c r="G6692" s="29">
        <f>VLOOKUP(A6692,Calendar!$A$1:$H$9997,6,FALSE)-F6692</f>
        <v/>
      </c>
      <c r="H6692" s="19" t="n">
        <v>1</v>
      </c>
      <c r="I6692" s="57" t="n">
        <v>4</v>
      </c>
    </row>
    <row r="6693">
      <c r="A6693" s="62" t="n">
        <v>46228</v>
      </c>
      <c r="B6693" s="3" t="inlineStr">
        <is>
          <t>Sat</t>
        </is>
      </c>
      <c r="C6693" s="19" t="n">
        <v>7</v>
      </c>
      <c r="D6693" s="19" t="n">
        <v>2026</v>
      </c>
      <c r="E6693" s="57" t="n">
        <v>7</v>
      </c>
      <c r="F6693" s="29">
        <f>ROUND(((SUMIFS(Calendar!$F$2:$F$9997,Calendar!$B$2:$B$9997,D6693,Calendar!$C$2:$C$9997,C6693)*INDEX(ForeCalc!$B$37:$Y$274,MATCH(_xlfn.CONCAT(H6693," ",I6693),ForeCalc!$A$37:$A$274,0),MATCH(_xlfn.CONCAT(B6693," ",E6693),ForeCalc!$B$36:$Y$36,0))))*VLOOKUP(A6693,Calendar!$A$2:$H$9997,8,FALSE),0)</f>
        <v/>
      </c>
      <c r="G6693" s="29">
        <f>VLOOKUP(A6693,Calendar!$A$1:$H$9997,6,FALSE)-F6693</f>
        <v/>
      </c>
      <c r="H6693" s="19" t="n">
        <v>1</v>
      </c>
      <c r="I6693" s="57" t="n">
        <v>4</v>
      </c>
    </row>
    <row r="6694">
      <c r="A6694" s="62" t="n">
        <v>46229</v>
      </c>
      <c r="B6694" s="3" t="inlineStr">
        <is>
          <t>Sun</t>
        </is>
      </c>
      <c r="C6694" s="19" t="n">
        <v>7</v>
      </c>
      <c r="D6694" s="19" t="n">
        <v>2026</v>
      </c>
      <c r="E6694" s="57" t="n">
        <v>7</v>
      </c>
      <c r="F6694" s="29">
        <f>ROUND(((SUMIFS(Calendar!$F$2:$F$9997,Calendar!$B$2:$B$9997,D6694,Calendar!$C$2:$C$9997,C6694)*INDEX(ForeCalc!$B$37:$Y$274,MATCH(_xlfn.CONCAT(H6694," ",I6694),ForeCalc!$A$37:$A$274,0),MATCH(_xlfn.CONCAT(B6694," ",E6694),ForeCalc!$B$36:$Y$36,0))))*VLOOKUP(A6694,Calendar!$A$2:$H$9997,8,FALSE),0)</f>
        <v/>
      </c>
      <c r="G6694" s="29">
        <f>VLOOKUP(A6694,Calendar!$A$1:$H$9997,6,FALSE)-F6694</f>
        <v/>
      </c>
      <c r="H6694" s="19" t="n">
        <v>1</v>
      </c>
      <c r="I6694" s="57" t="n">
        <v>4</v>
      </c>
    </row>
    <row r="6695">
      <c r="A6695" s="62" t="n">
        <v>46230</v>
      </c>
      <c r="B6695" s="3" t="inlineStr">
        <is>
          <t>Week</t>
        </is>
      </c>
      <c r="C6695" s="19" t="n">
        <v>7</v>
      </c>
      <c r="D6695" s="19" t="n">
        <v>2026</v>
      </c>
      <c r="E6695" s="57" t="n">
        <v>7</v>
      </c>
      <c r="F6695" s="29">
        <f>ROUND(((SUMIFS(Calendar!$F$2:$F$9997,Calendar!$B$2:$B$9997,D6695,Calendar!$C$2:$C$9997,C6695)*INDEX(ForeCalc!$B$37:$Y$274,MATCH(_xlfn.CONCAT(H6695," ",I6695),ForeCalc!$A$37:$A$274,0),MATCH(_xlfn.CONCAT(B6695," ",E6695),ForeCalc!$B$36:$Y$36,0))))*VLOOKUP(A6695,Calendar!$A$2:$H$9997,8,FALSE),0)</f>
        <v/>
      </c>
      <c r="G6695" s="29">
        <f>VLOOKUP(A6695,Calendar!$A$1:$H$9997,6,FALSE)-F6695</f>
        <v/>
      </c>
      <c r="H6695" s="19" t="n">
        <v>1</v>
      </c>
      <c r="I6695" s="57" t="n">
        <v>4</v>
      </c>
    </row>
    <row r="6696">
      <c r="A6696" s="62" t="n">
        <v>46231</v>
      </c>
      <c r="B6696" s="3" t="inlineStr">
        <is>
          <t>Week</t>
        </is>
      </c>
      <c r="C6696" s="19" t="n">
        <v>7</v>
      </c>
      <c r="D6696" s="19" t="n">
        <v>2026</v>
      </c>
      <c r="E6696" s="57" t="n">
        <v>7</v>
      </c>
      <c r="F6696" s="29">
        <f>ROUND(((SUMIFS(Calendar!$F$2:$F$9997,Calendar!$B$2:$B$9997,D6696,Calendar!$C$2:$C$9997,C6696)*INDEX(ForeCalc!$B$37:$Y$274,MATCH(_xlfn.CONCAT(H6696," ",I6696),ForeCalc!$A$37:$A$274,0),MATCH(_xlfn.CONCAT(B6696," ",E6696),ForeCalc!$B$36:$Y$36,0))))*VLOOKUP(A6696,Calendar!$A$2:$H$9997,8,FALSE),0)</f>
        <v/>
      </c>
      <c r="G6696" s="29">
        <f>VLOOKUP(A6696,Calendar!$A$1:$H$9997,6,FALSE)-F6696</f>
        <v/>
      </c>
      <c r="H6696" s="19" t="n">
        <v>1</v>
      </c>
      <c r="I6696" s="57" t="n">
        <v>4</v>
      </c>
    </row>
    <row r="6697">
      <c r="A6697" s="62" t="n">
        <v>46232</v>
      </c>
      <c r="B6697" s="3" t="inlineStr">
        <is>
          <t>Week</t>
        </is>
      </c>
      <c r="C6697" s="19" t="n">
        <v>7</v>
      </c>
      <c r="D6697" s="19" t="n">
        <v>2026</v>
      </c>
      <c r="E6697" s="57" t="n">
        <v>7</v>
      </c>
      <c r="F6697" s="29">
        <f>ROUND(((SUMIFS(Calendar!$F$2:$F$9997,Calendar!$B$2:$B$9997,D6697,Calendar!$C$2:$C$9997,C6697)*INDEX(ForeCalc!$B$37:$Y$274,MATCH(_xlfn.CONCAT(H6697," ",I6697),ForeCalc!$A$37:$A$274,0),MATCH(_xlfn.CONCAT(B6697," ",E6697),ForeCalc!$B$36:$Y$36,0))))*VLOOKUP(A6697,Calendar!$A$2:$H$9997,8,FALSE),0)</f>
        <v/>
      </c>
      <c r="G6697" s="29">
        <f>VLOOKUP(A6697,Calendar!$A$1:$H$9997,6,FALSE)-F6697</f>
        <v/>
      </c>
      <c r="H6697" s="19" t="n">
        <v>1</v>
      </c>
      <c r="I6697" s="57" t="n">
        <v>4</v>
      </c>
    </row>
    <row r="6698">
      <c r="A6698" s="62" t="n">
        <v>46233</v>
      </c>
      <c r="B6698" s="3" t="inlineStr">
        <is>
          <t>Week</t>
        </is>
      </c>
      <c r="C6698" s="19" t="n">
        <v>7</v>
      </c>
      <c r="D6698" s="19" t="n">
        <v>2026</v>
      </c>
      <c r="E6698" s="57" t="n">
        <v>7</v>
      </c>
      <c r="F6698" s="29">
        <f>ROUND(((SUMIFS(Calendar!$F$2:$F$9997,Calendar!$B$2:$B$9997,D6698,Calendar!$C$2:$C$9997,C6698)*INDEX(ForeCalc!$B$37:$Y$274,MATCH(_xlfn.CONCAT(H6698," ",I6698),ForeCalc!$A$37:$A$274,0),MATCH(_xlfn.CONCAT(B6698," ",E6698),ForeCalc!$B$36:$Y$36,0))))*VLOOKUP(A6698,Calendar!$A$2:$H$9997,8,FALSE),0)</f>
        <v/>
      </c>
      <c r="G6698" s="29">
        <f>VLOOKUP(A6698,Calendar!$A$1:$H$9997,6,FALSE)-F6698</f>
        <v/>
      </c>
      <c r="H6698" s="19" t="n">
        <v>1</v>
      </c>
      <c r="I6698" s="57" t="n">
        <v>4</v>
      </c>
    </row>
    <row r="6699">
      <c r="A6699" s="62" t="n">
        <v>46234</v>
      </c>
      <c r="B6699" s="3" t="inlineStr">
        <is>
          <t>Week</t>
        </is>
      </c>
      <c r="C6699" s="19" t="n">
        <v>7</v>
      </c>
      <c r="D6699" s="19" t="n">
        <v>2026</v>
      </c>
      <c r="E6699" s="57" t="n">
        <v>7</v>
      </c>
      <c r="F6699" s="29">
        <f>ROUND(((SUMIFS(Calendar!$F$2:$F$9997,Calendar!$B$2:$B$9997,D6699,Calendar!$C$2:$C$9997,C6699)*INDEX(ForeCalc!$B$37:$Y$274,MATCH(_xlfn.CONCAT(H6699," ",I6699),ForeCalc!$A$37:$A$274,0),MATCH(_xlfn.CONCAT(B6699," ",E6699),ForeCalc!$B$36:$Y$36,0))))*VLOOKUP(A6699,Calendar!$A$2:$H$9997,8,FALSE),0)</f>
        <v/>
      </c>
      <c r="G6699" s="29">
        <f>VLOOKUP(A6699,Calendar!$A$1:$H$9997,6,FALSE)-F6699</f>
        <v/>
      </c>
      <c r="H6699" s="19" t="n">
        <v>1</v>
      </c>
      <c r="I6699" s="57" t="n">
        <v>4</v>
      </c>
    </row>
    <row r="6700">
      <c r="A6700" s="62" t="n">
        <v>46235</v>
      </c>
      <c r="B6700" s="3" t="inlineStr">
        <is>
          <t>Sat</t>
        </is>
      </c>
      <c r="C6700" s="19" t="n">
        <v>8</v>
      </c>
      <c r="D6700" s="19" t="n">
        <v>2026</v>
      </c>
      <c r="E6700" s="57" t="n">
        <v>7</v>
      </c>
      <c r="F6700" s="29">
        <f>ROUND(((SUMIFS(Calendar!$F$2:$F$9997,Calendar!$B$2:$B$9997,D6700,Calendar!$C$2:$C$9997,C6700)*INDEX(ForeCalc!$B$37:$Y$274,MATCH(_xlfn.CONCAT(H6700," ",I6700),ForeCalc!$A$37:$A$274,0),MATCH(_xlfn.CONCAT(B6700," ",E6700),ForeCalc!$B$36:$Y$36,0))))*VLOOKUP(A6700,Calendar!$A$2:$H$9997,8,FALSE),0)</f>
        <v/>
      </c>
      <c r="G6700" s="29">
        <f>VLOOKUP(A6700,Calendar!$A$1:$H$9997,6,FALSE)-F6700</f>
        <v/>
      </c>
      <c r="H6700" s="19" t="n">
        <v>1</v>
      </c>
      <c r="I6700" s="57" t="n">
        <v>5</v>
      </c>
    </row>
    <row r="6701">
      <c r="A6701" s="62" t="n">
        <v>46236</v>
      </c>
      <c r="B6701" s="3" t="inlineStr">
        <is>
          <t>Sun</t>
        </is>
      </c>
      <c r="C6701" s="19" t="n">
        <v>8</v>
      </c>
      <c r="D6701" s="19" t="n">
        <v>2026</v>
      </c>
      <c r="E6701" s="57" t="n">
        <v>7</v>
      </c>
      <c r="F6701" s="29">
        <f>ROUND(((SUMIFS(Calendar!$F$2:$F$9997,Calendar!$B$2:$B$9997,D6701,Calendar!$C$2:$C$9997,C6701)*INDEX(ForeCalc!$B$37:$Y$274,MATCH(_xlfn.CONCAT(H6701," ",I6701),ForeCalc!$A$37:$A$274,0),MATCH(_xlfn.CONCAT(B6701," ",E6701),ForeCalc!$B$36:$Y$36,0))))*VLOOKUP(A6701,Calendar!$A$2:$H$9997,8,FALSE),0)</f>
        <v/>
      </c>
      <c r="G6701" s="29">
        <f>VLOOKUP(A6701,Calendar!$A$1:$H$9997,6,FALSE)-F6701</f>
        <v/>
      </c>
      <c r="H6701" s="19" t="n">
        <v>1</v>
      </c>
      <c r="I6701" s="57" t="n">
        <v>5</v>
      </c>
    </row>
    <row r="6702">
      <c r="A6702" s="62" t="n">
        <v>46237</v>
      </c>
      <c r="B6702" s="3" t="inlineStr">
        <is>
          <t>Week</t>
        </is>
      </c>
      <c r="C6702" s="19" t="n">
        <v>8</v>
      </c>
      <c r="D6702" s="19" t="n">
        <v>2026</v>
      </c>
      <c r="E6702" s="57" t="n">
        <v>7</v>
      </c>
      <c r="F6702" s="29">
        <f>ROUND(((SUMIFS(Calendar!$F$2:$F$9997,Calendar!$B$2:$B$9997,D6702,Calendar!$C$2:$C$9997,C6702)*INDEX(ForeCalc!$B$37:$Y$274,MATCH(_xlfn.CONCAT(H6702," ",I6702),ForeCalc!$A$37:$A$274,0),MATCH(_xlfn.CONCAT(B6702," ",E6702),ForeCalc!$B$36:$Y$36,0))))*VLOOKUP(A6702,Calendar!$A$2:$H$9997,8,FALSE),0)</f>
        <v/>
      </c>
      <c r="G6702" s="29">
        <f>VLOOKUP(A6702,Calendar!$A$1:$H$9997,6,FALSE)-F6702</f>
        <v/>
      </c>
      <c r="H6702" s="19" t="n">
        <v>1</v>
      </c>
      <c r="I6702" s="57" t="n">
        <v>5</v>
      </c>
    </row>
    <row r="6703">
      <c r="A6703" s="62" t="n">
        <v>46238</v>
      </c>
      <c r="B6703" s="3" t="inlineStr">
        <is>
          <t>Week</t>
        </is>
      </c>
      <c r="C6703" s="19" t="n">
        <v>8</v>
      </c>
      <c r="D6703" s="19" t="n">
        <v>2026</v>
      </c>
      <c r="E6703" s="57" t="n">
        <v>7</v>
      </c>
      <c r="F6703" s="29">
        <f>ROUND(((SUMIFS(Calendar!$F$2:$F$9997,Calendar!$B$2:$B$9997,D6703,Calendar!$C$2:$C$9997,C6703)*INDEX(ForeCalc!$B$37:$Y$274,MATCH(_xlfn.CONCAT(H6703," ",I6703),ForeCalc!$A$37:$A$274,0),MATCH(_xlfn.CONCAT(B6703," ",E6703),ForeCalc!$B$36:$Y$36,0))))*VLOOKUP(A6703,Calendar!$A$2:$H$9997,8,FALSE),0)</f>
        <v/>
      </c>
      <c r="G6703" s="29">
        <f>VLOOKUP(A6703,Calendar!$A$1:$H$9997,6,FALSE)-F6703</f>
        <v/>
      </c>
      <c r="H6703" s="19" t="n">
        <v>1</v>
      </c>
      <c r="I6703" s="57" t="n">
        <v>5</v>
      </c>
    </row>
    <row r="6704">
      <c r="A6704" s="62" t="n">
        <v>46239</v>
      </c>
      <c r="B6704" s="3" t="inlineStr">
        <is>
          <t>Week</t>
        </is>
      </c>
      <c r="C6704" s="19" t="n">
        <v>8</v>
      </c>
      <c r="D6704" s="19" t="n">
        <v>2026</v>
      </c>
      <c r="E6704" s="57" t="n">
        <v>7</v>
      </c>
      <c r="F6704" s="29">
        <f>ROUND(((SUMIFS(Calendar!$F$2:$F$9997,Calendar!$B$2:$B$9997,D6704,Calendar!$C$2:$C$9997,C6704)*INDEX(ForeCalc!$B$37:$Y$274,MATCH(_xlfn.CONCAT(H6704," ",I6704),ForeCalc!$A$37:$A$274,0),MATCH(_xlfn.CONCAT(B6704," ",E6704),ForeCalc!$B$36:$Y$36,0))))*VLOOKUP(A6704,Calendar!$A$2:$H$9997,8,FALSE),0)</f>
        <v/>
      </c>
      <c r="G6704" s="29">
        <f>VLOOKUP(A6704,Calendar!$A$1:$H$9997,6,FALSE)-F6704</f>
        <v/>
      </c>
      <c r="H6704" s="19" t="n">
        <v>1</v>
      </c>
      <c r="I6704" s="57" t="n">
        <v>5</v>
      </c>
    </row>
    <row r="6705">
      <c r="A6705" s="62" t="n">
        <v>46240</v>
      </c>
      <c r="B6705" s="3" t="inlineStr">
        <is>
          <t>Week</t>
        </is>
      </c>
      <c r="C6705" s="19" t="n">
        <v>8</v>
      </c>
      <c r="D6705" s="19" t="n">
        <v>2026</v>
      </c>
      <c r="E6705" s="57" t="n">
        <v>7</v>
      </c>
      <c r="F6705" s="29">
        <f>ROUND(((SUMIFS(Calendar!$F$2:$F$9997,Calendar!$B$2:$B$9997,D6705,Calendar!$C$2:$C$9997,C6705)*INDEX(ForeCalc!$B$37:$Y$274,MATCH(_xlfn.CONCAT(H6705," ",I6705),ForeCalc!$A$37:$A$274,0),MATCH(_xlfn.CONCAT(B6705," ",E6705),ForeCalc!$B$36:$Y$36,0))))*VLOOKUP(A6705,Calendar!$A$2:$H$9997,8,FALSE),0)</f>
        <v/>
      </c>
      <c r="G6705" s="29">
        <f>VLOOKUP(A6705,Calendar!$A$1:$H$9997,6,FALSE)-F6705</f>
        <v/>
      </c>
      <c r="H6705" s="19" t="n">
        <v>1</v>
      </c>
      <c r="I6705" s="57" t="n">
        <v>5</v>
      </c>
    </row>
    <row r="6706">
      <c r="A6706" s="62" t="n">
        <v>46241</v>
      </c>
      <c r="B6706" s="3" t="inlineStr">
        <is>
          <t>Week</t>
        </is>
      </c>
      <c r="C6706" s="19" t="n">
        <v>8</v>
      </c>
      <c r="D6706" s="19" t="n">
        <v>2026</v>
      </c>
      <c r="E6706" s="57" t="n">
        <v>7</v>
      </c>
      <c r="F6706" s="29">
        <f>ROUND(((SUMIFS(Calendar!$F$2:$F$9997,Calendar!$B$2:$B$9997,D6706,Calendar!$C$2:$C$9997,C6706)*INDEX(ForeCalc!$B$37:$Y$274,MATCH(_xlfn.CONCAT(H6706," ",I6706),ForeCalc!$A$37:$A$274,0),MATCH(_xlfn.CONCAT(B6706," ",E6706),ForeCalc!$B$36:$Y$36,0))))*VLOOKUP(A6706,Calendar!$A$2:$H$9997,8,FALSE),0)</f>
        <v/>
      </c>
      <c r="G6706" s="29">
        <f>VLOOKUP(A6706,Calendar!$A$1:$H$9997,6,FALSE)-F6706</f>
        <v/>
      </c>
      <c r="H6706" s="19" t="n">
        <v>1</v>
      </c>
      <c r="I6706" s="57" t="n">
        <v>5</v>
      </c>
    </row>
    <row r="6707">
      <c r="A6707" s="62" t="n">
        <v>46242</v>
      </c>
      <c r="B6707" s="3" t="inlineStr">
        <is>
          <t>Sat</t>
        </is>
      </c>
      <c r="C6707" s="19" t="n">
        <v>8</v>
      </c>
      <c r="D6707" s="19" t="n">
        <v>2026</v>
      </c>
      <c r="E6707" s="57" t="n">
        <v>7</v>
      </c>
      <c r="F6707" s="29">
        <f>ROUND(((SUMIFS(Calendar!$F$2:$F$9997,Calendar!$B$2:$B$9997,D6707,Calendar!$C$2:$C$9997,C6707)*INDEX(ForeCalc!$B$37:$Y$274,MATCH(_xlfn.CONCAT(H6707," ",I6707),ForeCalc!$A$37:$A$274,0),MATCH(_xlfn.CONCAT(B6707," ",E6707),ForeCalc!$B$36:$Y$36,0))))*VLOOKUP(A6707,Calendar!$A$2:$H$9997,8,FALSE),0)</f>
        <v/>
      </c>
      <c r="G6707" s="29">
        <f>VLOOKUP(A6707,Calendar!$A$1:$H$9997,6,FALSE)-F6707</f>
        <v/>
      </c>
      <c r="H6707" s="19" t="n">
        <v>1</v>
      </c>
      <c r="I6707" s="57" t="n">
        <v>5</v>
      </c>
    </row>
    <row r="6708">
      <c r="A6708" s="62" t="n">
        <v>46243</v>
      </c>
      <c r="B6708" s="3" t="inlineStr">
        <is>
          <t>Sun</t>
        </is>
      </c>
      <c r="C6708" s="19" t="n">
        <v>8</v>
      </c>
      <c r="D6708" s="19" t="n">
        <v>2026</v>
      </c>
      <c r="E6708" s="57" t="n">
        <v>7</v>
      </c>
      <c r="F6708" s="29">
        <f>ROUND(((SUMIFS(Calendar!$F$2:$F$9997,Calendar!$B$2:$B$9997,D6708,Calendar!$C$2:$C$9997,C6708)*INDEX(ForeCalc!$B$37:$Y$274,MATCH(_xlfn.CONCAT(H6708," ",I6708),ForeCalc!$A$37:$A$274,0),MATCH(_xlfn.CONCAT(B6708," ",E6708),ForeCalc!$B$36:$Y$36,0))))*VLOOKUP(A6708,Calendar!$A$2:$H$9997,8,FALSE),0)</f>
        <v/>
      </c>
      <c r="G6708" s="29">
        <f>VLOOKUP(A6708,Calendar!$A$1:$H$9997,6,FALSE)-F6708</f>
        <v/>
      </c>
      <c r="H6708" s="19" t="n">
        <v>1</v>
      </c>
      <c r="I6708" s="57" t="n">
        <v>5</v>
      </c>
    </row>
    <row r="6709">
      <c r="A6709" s="62" t="n">
        <v>46244</v>
      </c>
      <c r="B6709" s="3" t="inlineStr">
        <is>
          <t>Week</t>
        </is>
      </c>
      <c r="C6709" s="19" t="n">
        <v>8</v>
      </c>
      <c r="D6709" s="19" t="n">
        <v>2026</v>
      </c>
      <c r="E6709" s="57" t="n">
        <v>7</v>
      </c>
      <c r="F6709" s="29">
        <f>ROUND(((SUMIFS(Calendar!$F$2:$F$9997,Calendar!$B$2:$B$9997,D6709,Calendar!$C$2:$C$9997,C6709)*INDEX(ForeCalc!$B$37:$Y$274,MATCH(_xlfn.CONCAT(H6709," ",I6709),ForeCalc!$A$37:$A$274,0),MATCH(_xlfn.CONCAT(B6709," ",E6709),ForeCalc!$B$36:$Y$36,0))))*VLOOKUP(A6709,Calendar!$A$2:$H$9997,8,FALSE),0)</f>
        <v/>
      </c>
      <c r="G6709" s="29">
        <f>VLOOKUP(A6709,Calendar!$A$1:$H$9997,6,FALSE)-F6709</f>
        <v/>
      </c>
      <c r="H6709" s="19" t="n">
        <v>1</v>
      </c>
      <c r="I6709" s="57" t="n">
        <v>5</v>
      </c>
    </row>
    <row r="6710">
      <c r="A6710" s="62" t="n">
        <v>46245</v>
      </c>
      <c r="B6710" s="3" t="inlineStr">
        <is>
          <t>Week</t>
        </is>
      </c>
      <c r="C6710" s="19" t="n">
        <v>8</v>
      </c>
      <c r="D6710" s="19" t="n">
        <v>2026</v>
      </c>
      <c r="E6710" s="57" t="n">
        <v>7</v>
      </c>
      <c r="F6710" s="29">
        <f>ROUND(((SUMIFS(Calendar!$F$2:$F$9997,Calendar!$B$2:$B$9997,D6710,Calendar!$C$2:$C$9997,C6710)*INDEX(ForeCalc!$B$37:$Y$274,MATCH(_xlfn.CONCAT(H6710," ",I6710),ForeCalc!$A$37:$A$274,0),MATCH(_xlfn.CONCAT(B6710," ",E6710),ForeCalc!$B$36:$Y$36,0))))*VLOOKUP(A6710,Calendar!$A$2:$H$9997,8,FALSE),0)</f>
        <v/>
      </c>
      <c r="G6710" s="29">
        <f>VLOOKUP(A6710,Calendar!$A$1:$H$9997,6,FALSE)-F6710</f>
        <v/>
      </c>
      <c r="H6710" s="19" t="n">
        <v>1</v>
      </c>
      <c r="I6710" s="57" t="n">
        <v>5</v>
      </c>
    </row>
    <row r="6711">
      <c r="A6711" s="62" t="n">
        <v>46246</v>
      </c>
      <c r="B6711" s="3" t="inlineStr">
        <is>
          <t>Week</t>
        </is>
      </c>
      <c r="C6711" s="19" t="n">
        <v>8</v>
      </c>
      <c r="D6711" s="19" t="n">
        <v>2026</v>
      </c>
      <c r="E6711" s="57" t="n">
        <v>7</v>
      </c>
      <c r="F6711" s="29">
        <f>ROUND(((SUMIFS(Calendar!$F$2:$F$9997,Calendar!$B$2:$B$9997,D6711,Calendar!$C$2:$C$9997,C6711)*INDEX(ForeCalc!$B$37:$Y$274,MATCH(_xlfn.CONCAT(H6711," ",I6711),ForeCalc!$A$37:$A$274,0),MATCH(_xlfn.CONCAT(B6711," ",E6711),ForeCalc!$B$36:$Y$36,0))))*VLOOKUP(A6711,Calendar!$A$2:$H$9997,8,FALSE),0)</f>
        <v/>
      </c>
      <c r="G6711" s="29">
        <f>VLOOKUP(A6711,Calendar!$A$1:$H$9997,6,FALSE)-F6711</f>
        <v/>
      </c>
      <c r="H6711" s="19" t="n">
        <v>1</v>
      </c>
      <c r="I6711" s="57" t="n">
        <v>5</v>
      </c>
    </row>
    <row r="6712">
      <c r="A6712" s="62" t="n">
        <v>46247</v>
      </c>
      <c r="B6712" s="3" t="inlineStr">
        <is>
          <t>Week</t>
        </is>
      </c>
      <c r="C6712" s="19" t="n">
        <v>8</v>
      </c>
      <c r="D6712" s="19" t="n">
        <v>2026</v>
      </c>
      <c r="E6712" s="57" t="n">
        <v>7</v>
      </c>
      <c r="F6712" s="29">
        <f>ROUND(((SUMIFS(Calendar!$F$2:$F$9997,Calendar!$B$2:$B$9997,D6712,Calendar!$C$2:$C$9997,C6712)*INDEX(ForeCalc!$B$37:$Y$274,MATCH(_xlfn.CONCAT(H6712," ",I6712),ForeCalc!$A$37:$A$274,0),MATCH(_xlfn.CONCAT(B6712," ",E6712),ForeCalc!$B$36:$Y$36,0))))*VLOOKUP(A6712,Calendar!$A$2:$H$9997,8,FALSE),0)</f>
        <v/>
      </c>
      <c r="G6712" s="29">
        <f>VLOOKUP(A6712,Calendar!$A$1:$H$9997,6,FALSE)-F6712</f>
        <v/>
      </c>
      <c r="H6712" s="19" t="n">
        <v>1</v>
      </c>
      <c r="I6712" s="57" t="n">
        <v>5</v>
      </c>
    </row>
    <row r="6713">
      <c r="A6713" s="62" t="n">
        <v>46248</v>
      </c>
      <c r="B6713" s="3" t="inlineStr">
        <is>
          <t>Week</t>
        </is>
      </c>
      <c r="C6713" s="19" t="n">
        <v>8</v>
      </c>
      <c r="D6713" s="19" t="n">
        <v>2026</v>
      </c>
      <c r="E6713" s="57" t="n">
        <v>7</v>
      </c>
      <c r="F6713" s="29">
        <f>ROUND(((SUMIFS(Calendar!$F$2:$F$9997,Calendar!$B$2:$B$9997,D6713,Calendar!$C$2:$C$9997,C6713)*INDEX(ForeCalc!$B$37:$Y$274,MATCH(_xlfn.CONCAT(H6713," ",I6713),ForeCalc!$A$37:$A$274,0),MATCH(_xlfn.CONCAT(B6713," ",E6713),ForeCalc!$B$36:$Y$36,0))))*VLOOKUP(A6713,Calendar!$A$2:$H$9997,8,FALSE),0)</f>
        <v/>
      </c>
      <c r="G6713" s="29">
        <f>VLOOKUP(A6713,Calendar!$A$1:$H$9997,6,FALSE)-F6713</f>
        <v/>
      </c>
      <c r="H6713" s="19" t="n">
        <v>1</v>
      </c>
      <c r="I6713" s="57" t="n">
        <v>5</v>
      </c>
    </row>
    <row r="6714">
      <c r="A6714" s="62" t="n">
        <v>46249</v>
      </c>
      <c r="B6714" s="3" t="inlineStr">
        <is>
          <t>Sat</t>
        </is>
      </c>
      <c r="C6714" s="19" t="n">
        <v>8</v>
      </c>
      <c r="D6714" s="19" t="n">
        <v>2026</v>
      </c>
      <c r="E6714" s="57" t="n">
        <v>7</v>
      </c>
      <c r="F6714" s="29">
        <f>ROUND(((SUMIFS(Calendar!$F$2:$F$9997,Calendar!$B$2:$B$9997,D6714,Calendar!$C$2:$C$9997,C6714)*INDEX(ForeCalc!$B$37:$Y$274,MATCH(_xlfn.CONCAT(H6714," ",I6714),ForeCalc!$A$37:$A$274,0),MATCH(_xlfn.CONCAT(B6714," ",E6714),ForeCalc!$B$36:$Y$36,0))))*VLOOKUP(A6714,Calendar!$A$2:$H$9997,8,FALSE),0)</f>
        <v/>
      </c>
      <c r="G6714" s="29">
        <f>VLOOKUP(A6714,Calendar!$A$1:$H$9997,6,FALSE)-F6714</f>
        <v/>
      </c>
      <c r="H6714" s="19" t="n">
        <v>1</v>
      </c>
      <c r="I6714" s="57" t="n">
        <v>5</v>
      </c>
    </row>
    <row r="6715">
      <c r="A6715" s="62" t="n">
        <v>46250</v>
      </c>
      <c r="B6715" s="3" t="inlineStr">
        <is>
          <t>Sun</t>
        </is>
      </c>
      <c r="C6715" s="19" t="n">
        <v>8</v>
      </c>
      <c r="D6715" s="19" t="n">
        <v>2026</v>
      </c>
      <c r="E6715" s="57" t="n">
        <v>7</v>
      </c>
      <c r="F6715" s="29">
        <f>ROUND(((SUMIFS(Calendar!$F$2:$F$9997,Calendar!$B$2:$B$9997,D6715,Calendar!$C$2:$C$9997,C6715)*INDEX(ForeCalc!$B$37:$Y$274,MATCH(_xlfn.CONCAT(H6715," ",I6715),ForeCalc!$A$37:$A$274,0),MATCH(_xlfn.CONCAT(B6715," ",E6715),ForeCalc!$B$36:$Y$36,0))))*VLOOKUP(A6715,Calendar!$A$2:$H$9997,8,FALSE),0)</f>
        <v/>
      </c>
      <c r="G6715" s="29">
        <f>VLOOKUP(A6715,Calendar!$A$1:$H$9997,6,FALSE)-F6715</f>
        <v/>
      </c>
      <c r="H6715" s="19" t="n">
        <v>1</v>
      </c>
      <c r="I6715" s="57" t="n">
        <v>5</v>
      </c>
    </row>
    <row r="6716">
      <c r="A6716" s="62" t="n">
        <v>46251</v>
      </c>
      <c r="B6716" s="3" t="inlineStr">
        <is>
          <t>Week</t>
        </is>
      </c>
      <c r="C6716" s="19" t="n">
        <v>8</v>
      </c>
      <c r="D6716" s="19" t="n">
        <v>2026</v>
      </c>
      <c r="E6716" s="57" t="n">
        <v>7</v>
      </c>
      <c r="F6716" s="29">
        <f>ROUND(((SUMIFS(Calendar!$F$2:$F$9997,Calendar!$B$2:$B$9997,D6716,Calendar!$C$2:$C$9997,C6716)*INDEX(ForeCalc!$B$37:$Y$274,MATCH(_xlfn.CONCAT(H6716," ",I6716),ForeCalc!$A$37:$A$274,0),MATCH(_xlfn.CONCAT(B6716," ",E6716),ForeCalc!$B$36:$Y$36,0))))*VLOOKUP(A6716,Calendar!$A$2:$H$9997,8,FALSE),0)</f>
        <v/>
      </c>
      <c r="G6716" s="29">
        <f>VLOOKUP(A6716,Calendar!$A$1:$H$9997,6,FALSE)-F6716</f>
        <v/>
      </c>
      <c r="H6716" s="19" t="n">
        <v>1</v>
      </c>
      <c r="I6716" s="57" t="n">
        <v>5</v>
      </c>
    </row>
    <row r="6717">
      <c r="A6717" s="62" t="n">
        <v>46252</v>
      </c>
      <c r="B6717" s="3" t="inlineStr">
        <is>
          <t>Week</t>
        </is>
      </c>
      <c r="C6717" s="19" t="n">
        <v>8</v>
      </c>
      <c r="D6717" s="19" t="n">
        <v>2026</v>
      </c>
      <c r="E6717" s="57" t="n">
        <v>7</v>
      </c>
      <c r="F6717" s="29">
        <f>ROUND(((SUMIFS(Calendar!$F$2:$F$9997,Calendar!$B$2:$B$9997,D6717,Calendar!$C$2:$C$9997,C6717)*INDEX(ForeCalc!$B$37:$Y$274,MATCH(_xlfn.CONCAT(H6717," ",I6717),ForeCalc!$A$37:$A$274,0),MATCH(_xlfn.CONCAT(B6717," ",E6717),ForeCalc!$B$36:$Y$36,0))))*VLOOKUP(A6717,Calendar!$A$2:$H$9997,8,FALSE),0)</f>
        <v/>
      </c>
      <c r="G6717" s="29">
        <f>VLOOKUP(A6717,Calendar!$A$1:$H$9997,6,FALSE)-F6717</f>
        <v/>
      </c>
      <c r="H6717" s="19" t="n">
        <v>1</v>
      </c>
      <c r="I6717" s="57" t="n">
        <v>5</v>
      </c>
    </row>
    <row r="6718">
      <c r="A6718" s="62" t="n">
        <v>46253</v>
      </c>
      <c r="B6718" s="3" t="inlineStr">
        <is>
          <t>Week</t>
        </is>
      </c>
      <c r="C6718" s="19" t="n">
        <v>8</v>
      </c>
      <c r="D6718" s="19" t="n">
        <v>2026</v>
      </c>
      <c r="E6718" s="57" t="n">
        <v>7</v>
      </c>
      <c r="F6718" s="29">
        <f>ROUND(((SUMIFS(Calendar!$F$2:$F$9997,Calendar!$B$2:$B$9997,D6718,Calendar!$C$2:$C$9997,C6718)*INDEX(ForeCalc!$B$37:$Y$274,MATCH(_xlfn.CONCAT(H6718," ",I6718),ForeCalc!$A$37:$A$274,0),MATCH(_xlfn.CONCAT(B6718," ",E6718),ForeCalc!$B$36:$Y$36,0))))*VLOOKUP(A6718,Calendar!$A$2:$H$9997,8,FALSE),0)</f>
        <v/>
      </c>
      <c r="G6718" s="29">
        <f>VLOOKUP(A6718,Calendar!$A$1:$H$9997,6,FALSE)-F6718</f>
        <v/>
      </c>
      <c r="H6718" s="19" t="n">
        <v>1</v>
      </c>
      <c r="I6718" s="57" t="n">
        <v>5</v>
      </c>
    </row>
    <row r="6719">
      <c r="A6719" s="62" t="n">
        <v>46254</v>
      </c>
      <c r="B6719" s="3" t="inlineStr">
        <is>
          <t>Week</t>
        </is>
      </c>
      <c r="C6719" s="19" t="n">
        <v>8</v>
      </c>
      <c r="D6719" s="19" t="n">
        <v>2026</v>
      </c>
      <c r="E6719" s="57" t="n">
        <v>7</v>
      </c>
      <c r="F6719" s="29">
        <f>ROUND(((SUMIFS(Calendar!$F$2:$F$9997,Calendar!$B$2:$B$9997,D6719,Calendar!$C$2:$C$9997,C6719)*INDEX(ForeCalc!$B$37:$Y$274,MATCH(_xlfn.CONCAT(H6719," ",I6719),ForeCalc!$A$37:$A$274,0),MATCH(_xlfn.CONCAT(B6719," ",E6719),ForeCalc!$B$36:$Y$36,0))))*VLOOKUP(A6719,Calendar!$A$2:$H$9997,8,FALSE),0)</f>
        <v/>
      </c>
      <c r="G6719" s="29">
        <f>VLOOKUP(A6719,Calendar!$A$1:$H$9997,6,FALSE)-F6719</f>
        <v/>
      </c>
      <c r="H6719" s="19" t="n">
        <v>1</v>
      </c>
      <c r="I6719" s="57" t="n">
        <v>5</v>
      </c>
    </row>
    <row r="6720">
      <c r="A6720" s="62" t="n">
        <v>46255</v>
      </c>
      <c r="B6720" s="3" t="inlineStr">
        <is>
          <t>Week</t>
        </is>
      </c>
      <c r="C6720" s="19" t="n">
        <v>8</v>
      </c>
      <c r="D6720" s="19" t="n">
        <v>2026</v>
      </c>
      <c r="E6720" s="57" t="n">
        <v>7</v>
      </c>
      <c r="F6720" s="29">
        <f>ROUND(((SUMIFS(Calendar!$F$2:$F$9997,Calendar!$B$2:$B$9997,D6720,Calendar!$C$2:$C$9997,C6720)*INDEX(ForeCalc!$B$37:$Y$274,MATCH(_xlfn.CONCAT(H6720," ",I6720),ForeCalc!$A$37:$A$274,0),MATCH(_xlfn.CONCAT(B6720," ",E6720),ForeCalc!$B$36:$Y$36,0))))*VLOOKUP(A6720,Calendar!$A$2:$H$9997,8,FALSE),0)</f>
        <v/>
      </c>
      <c r="G6720" s="29">
        <f>VLOOKUP(A6720,Calendar!$A$1:$H$9997,6,FALSE)-F6720</f>
        <v/>
      </c>
      <c r="H6720" s="19" t="n">
        <v>1</v>
      </c>
      <c r="I6720" s="57" t="n">
        <v>5</v>
      </c>
    </row>
    <row r="6721">
      <c r="A6721" s="62" t="n">
        <v>46256</v>
      </c>
      <c r="B6721" s="3" t="inlineStr">
        <is>
          <t>Sat</t>
        </is>
      </c>
      <c r="C6721" s="19" t="n">
        <v>8</v>
      </c>
      <c r="D6721" s="19" t="n">
        <v>2026</v>
      </c>
      <c r="E6721" s="57" t="n">
        <v>7</v>
      </c>
      <c r="F6721" s="29">
        <f>ROUND(((SUMIFS(Calendar!$F$2:$F$9997,Calendar!$B$2:$B$9997,D6721,Calendar!$C$2:$C$9997,C6721)*INDEX(ForeCalc!$B$37:$Y$274,MATCH(_xlfn.CONCAT(H6721," ",I6721),ForeCalc!$A$37:$A$274,0),MATCH(_xlfn.CONCAT(B6721," ",E6721),ForeCalc!$B$36:$Y$36,0))))*VLOOKUP(A6721,Calendar!$A$2:$H$9997,8,FALSE),0)</f>
        <v/>
      </c>
      <c r="G6721" s="29">
        <f>VLOOKUP(A6721,Calendar!$A$1:$H$9997,6,FALSE)-F6721</f>
        <v/>
      </c>
      <c r="H6721" s="19" t="n">
        <v>1</v>
      </c>
      <c r="I6721" s="57" t="n">
        <v>5</v>
      </c>
    </row>
    <row r="6722">
      <c r="A6722" s="62" t="n">
        <v>46257</v>
      </c>
      <c r="B6722" s="3" t="inlineStr">
        <is>
          <t>Sun</t>
        </is>
      </c>
      <c r="C6722" s="19" t="n">
        <v>8</v>
      </c>
      <c r="D6722" s="19" t="n">
        <v>2026</v>
      </c>
      <c r="E6722" s="57" t="n">
        <v>7</v>
      </c>
      <c r="F6722" s="29">
        <f>ROUND(((SUMIFS(Calendar!$F$2:$F$9997,Calendar!$B$2:$B$9997,D6722,Calendar!$C$2:$C$9997,C6722)*INDEX(ForeCalc!$B$37:$Y$274,MATCH(_xlfn.CONCAT(H6722," ",I6722),ForeCalc!$A$37:$A$274,0),MATCH(_xlfn.CONCAT(B6722," ",E6722),ForeCalc!$B$36:$Y$36,0))))*VLOOKUP(A6722,Calendar!$A$2:$H$9997,8,FALSE),0)</f>
        <v/>
      </c>
      <c r="G6722" s="29">
        <f>VLOOKUP(A6722,Calendar!$A$1:$H$9997,6,FALSE)-F6722</f>
        <v/>
      </c>
      <c r="H6722" s="19" t="n">
        <v>1</v>
      </c>
      <c r="I6722" s="57" t="n">
        <v>5</v>
      </c>
    </row>
    <row r="6723">
      <c r="A6723" s="62" t="n">
        <v>46258</v>
      </c>
      <c r="B6723" s="3" t="inlineStr">
        <is>
          <t>Week</t>
        </is>
      </c>
      <c r="C6723" s="19" t="n">
        <v>8</v>
      </c>
      <c r="D6723" s="19" t="n">
        <v>2026</v>
      </c>
      <c r="E6723" s="57" t="n">
        <v>7</v>
      </c>
      <c r="F6723" s="29">
        <f>ROUND(((SUMIFS(Calendar!$F$2:$F$9997,Calendar!$B$2:$B$9997,D6723,Calendar!$C$2:$C$9997,C6723)*INDEX(ForeCalc!$B$37:$Y$274,MATCH(_xlfn.CONCAT(H6723," ",I6723),ForeCalc!$A$37:$A$274,0),MATCH(_xlfn.CONCAT(B6723," ",E6723),ForeCalc!$B$36:$Y$36,0))))*VLOOKUP(A6723,Calendar!$A$2:$H$9997,8,FALSE),0)</f>
        <v/>
      </c>
      <c r="G6723" s="29">
        <f>VLOOKUP(A6723,Calendar!$A$1:$H$9997,6,FALSE)-F6723</f>
        <v/>
      </c>
      <c r="H6723" s="19" t="n">
        <v>1</v>
      </c>
      <c r="I6723" s="57" t="n">
        <v>5</v>
      </c>
    </row>
    <row r="6724">
      <c r="A6724" s="62" t="n">
        <v>46259</v>
      </c>
      <c r="B6724" s="3" t="inlineStr">
        <is>
          <t>Week</t>
        </is>
      </c>
      <c r="C6724" s="19" t="n">
        <v>8</v>
      </c>
      <c r="D6724" s="19" t="n">
        <v>2026</v>
      </c>
      <c r="E6724" s="57" t="n">
        <v>7</v>
      </c>
      <c r="F6724" s="29">
        <f>ROUND(((SUMIFS(Calendar!$F$2:$F$9997,Calendar!$B$2:$B$9997,D6724,Calendar!$C$2:$C$9997,C6724)*INDEX(ForeCalc!$B$37:$Y$274,MATCH(_xlfn.CONCAT(H6724," ",I6724),ForeCalc!$A$37:$A$274,0),MATCH(_xlfn.CONCAT(B6724," ",E6724),ForeCalc!$B$36:$Y$36,0))))*VLOOKUP(A6724,Calendar!$A$2:$H$9997,8,FALSE),0)</f>
        <v/>
      </c>
      <c r="G6724" s="29">
        <f>VLOOKUP(A6724,Calendar!$A$1:$H$9997,6,FALSE)-F6724</f>
        <v/>
      </c>
      <c r="H6724" s="19" t="n">
        <v>1</v>
      </c>
      <c r="I6724" s="57" t="n">
        <v>5</v>
      </c>
    </row>
    <row r="6725">
      <c r="A6725" s="62" t="n">
        <v>46260</v>
      </c>
      <c r="B6725" s="3" t="inlineStr">
        <is>
          <t>Week</t>
        </is>
      </c>
      <c r="C6725" s="19" t="n">
        <v>8</v>
      </c>
      <c r="D6725" s="19" t="n">
        <v>2026</v>
      </c>
      <c r="E6725" s="57" t="n">
        <v>7</v>
      </c>
      <c r="F6725" s="29">
        <f>ROUND(((SUMIFS(Calendar!$F$2:$F$9997,Calendar!$B$2:$B$9997,D6725,Calendar!$C$2:$C$9997,C6725)*INDEX(ForeCalc!$B$37:$Y$274,MATCH(_xlfn.CONCAT(H6725," ",I6725),ForeCalc!$A$37:$A$274,0),MATCH(_xlfn.CONCAT(B6725," ",E6725),ForeCalc!$B$36:$Y$36,0))))*VLOOKUP(A6725,Calendar!$A$2:$H$9997,8,FALSE),0)</f>
        <v/>
      </c>
      <c r="G6725" s="29">
        <f>VLOOKUP(A6725,Calendar!$A$1:$H$9997,6,FALSE)-F6725</f>
        <v/>
      </c>
      <c r="H6725" s="19" t="n">
        <v>1</v>
      </c>
      <c r="I6725" s="57" t="n">
        <v>5</v>
      </c>
    </row>
    <row r="6726">
      <c r="A6726" s="62" t="n">
        <v>46261</v>
      </c>
      <c r="B6726" s="3" t="inlineStr">
        <is>
          <t>Week</t>
        </is>
      </c>
      <c r="C6726" s="19" t="n">
        <v>8</v>
      </c>
      <c r="D6726" s="19" t="n">
        <v>2026</v>
      </c>
      <c r="E6726" s="57" t="n">
        <v>7</v>
      </c>
      <c r="F6726" s="29">
        <f>ROUND(((SUMIFS(Calendar!$F$2:$F$9997,Calendar!$B$2:$B$9997,D6726,Calendar!$C$2:$C$9997,C6726)*INDEX(ForeCalc!$B$37:$Y$274,MATCH(_xlfn.CONCAT(H6726," ",I6726),ForeCalc!$A$37:$A$274,0),MATCH(_xlfn.CONCAT(B6726," ",E6726),ForeCalc!$B$36:$Y$36,0))))*VLOOKUP(A6726,Calendar!$A$2:$H$9997,8,FALSE),0)</f>
        <v/>
      </c>
      <c r="G6726" s="29">
        <f>VLOOKUP(A6726,Calendar!$A$1:$H$9997,6,FALSE)-F6726</f>
        <v/>
      </c>
      <c r="H6726" s="19" t="n">
        <v>1</v>
      </c>
      <c r="I6726" s="57" t="n">
        <v>5</v>
      </c>
    </row>
    <row r="6727">
      <c r="A6727" s="62" t="n">
        <v>46262</v>
      </c>
      <c r="B6727" s="3" t="inlineStr">
        <is>
          <t>Week</t>
        </is>
      </c>
      <c r="C6727" s="19" t="n">
        <v>8</v>
      </c>
      <c r="D6727" s="19" t="n">
        <v>2026</v>
      </c>
      <c r="E6727" s="57" t="n">
        <v>7</v>
      </c>
      <c r="F6727" s="29">
        <f>ROUND(((SUMIFS(Calendar!$F$2:$F$9997,Calendar!$B$2:$B$9997,D6727,Calendar!$C$2:$C$9997,C6727)*INDEX(ForeCalc!$B$37:$Y$274,MATCH(_xlfn.CONCAT(H6727," ",I6727),ForeCalc!$A$37:$A$274,0),MATCH(_xlfn.CONCAT(B6727," ",E6727),ForeCalc!$B$36:$Y$36,0))))*VLOOKUP(A6727,Calendar!$A$2:$H$9997,8,FALSE),0)</f>
        <v/>
      </c>
      <c r="G6727" s="29">
        <f>VLOOKUP(A6727,Calendar!$A$1:$H$9997,6,FALSE)-F6727</f>
        <v/>
      </c>
      <c r="H6727" s="19" t="n">
        <v>1</v>
      </c>
      <c r="I6727" s="57" t="n">
        <v>5</v>
      </c>
    </row>
    <row r="6728">
      <c r="A6728" s="62" t="n">
        <v>46263</v>
      </c>
      <c r="B6728" s="3" t="inlineStr">
        <is>
          <t>Sat</t>
        </is>
      </c>
      <c r="C6728" s="19" t="n">
        <v>8</v>
      </c>
      <c r="D6728" s="19" t="n">
        <v>2026</v>
      </c>
      <c r="E6728" s="57" t="n">
        <v>7</v>
      </c>
      <c r="F6728" s="29">
        <f>ROUND(((SUMIFS(Calendar!$F$2:$F$9997,Calendar!$B$2:$B$9997,D6728,Calendar!$C$2:$C$9997,C6728)*INDEX(ForeCalc!$B$37:$Y$274,MATCH(_xlfn.CONCAT(H6728," ",I6728),ForeCalc!$A$37:$A$274,0),MATCH(_xlfn.CONCAT(B6728," ",E6728),ForeCalc!$B$36:$Y$36,0))))*VLOOKUP(A6728,Calendar!$A$2:$H$9997,8,FALSE),0)</f>
        <v/>
      </c>
      <c r="G6728" s="29">
        <f>VLOOKUP(A6728,Calendar!$A$1:$H$9997,6,FALSE)-F6728</f>
        <v/>
      </c>
      <c r="H6728" s="19" t="n">
        <v>1</v>
      </c>
      <c r="I6728" s="57" t="n">
        <v>5</v>
      </c>
    </row>
    <row r="6729">
      <c r="A6729" s="62" t="n">
        <v>46264</v>
      </c>
      <c r="B6729" s="3" t="inlineStr">
        <is>
          <t>Sun</t>
        </is>
      </c>
      <c r="C6729" s="19" t="n">
        <v>8</v>
      </c>
      <c r="D6729" s="19" t="n">
        <v>2026</v>
      </c>
      <c r="E6729" s="57" t="n">
        <v>7</v>
      </c>
      <c r="F6729" s="29">
        <f>ROUND(((SUMIFS(Calendar!$F$2:$F$9997,Calendar!$B$2:$B$9997,D6729,Calendar!$C$2:$C$9997,C6729)*INDEX(ForeCalc!$B$37:$Y$274,MATCH(_xlfn.CONCAT(H6729," ",I6729),ForeCalc!$A$37:$A$274,0),MATCH(_xlfn.CONCAT(B6729," ",E6729),ForeCalc!$B$36:$Y$36,0))))*VLOOKUP(A6729,Calendar!$A$2:$H$9997,8,FALSE),0)</f>
        <v/>
      </c>
      <c r="G6729" s="29">
        <f>VLOOKUP(A6729,Calendar!$A$1:$H$9997,6,FALSE)-F6729</f>
        <v/>
      </c>
      <c r="H6729" s="19" t="n">
        <v>1</v>
      </c>
      <c r="I6729" s="57" t="n">
        <v>5</v>
      </c>
    </row>
    <row r="6730">
      <c r="A6730" s="62" t="n">
        <v>46265</v>
      </c>
      <c r="B6730" s="3" t="inlineStr">
        <is>
          <t>Week</t>
        </is>
      </c>
      <c r="C6730" s="19" t="n">
        <v>8</v>
      </c>
      <c r="D6730" s="19" t="n">
        <v>2026</v>
      </c>
      <c r="E6730" s="57" t="n">
        <v>7</v>
      </c>
      <c r="F6730" s="29">
        <f>ROUND(((SUMIFS(Calendar!$F$2:$F$9997,Calendar!$B$2:$B$9997,D6730,Calendar!$C$2:$C$9997,C6730)*INDEX(ForeCalc!$B$37:$Y$274,MATCH(_xlfn.CONCAT(H6730," ",I6730),ForeCalc!$A$37:$A$274,0),MATCH(_xlfn.CONCAT(B6730," ",E6730),ForeCalc!$B$36:$Y$36,0))))*VLOOKUP(A6730,Calendar!$A$2:$H$9997,8,FALSE),0)</f>
        <v/>
      </c>
      <c r="G6730" s="29">
        <f>VLOOKUP(A6730,Calendar!$A$1:$H$9997,6,FALSE)-F6730</f>
        <v/>
      </c>
      <c r="H6730" s="19" t="n">
        <v>1</v>
      </c>
      <c r="I6730" s="57" t="n">
        <v>5</v>
      </c>
    </row>
    <row r="6731">
      <c r="A6731" s="62" t="n">
        <v>46266</v>
      </c>
      <c r="B6731" s="3" t="inlineStr">
        <is>
          <t>Week</t>
        </is>
      </c>
      <c r="C6731" s="19" t="n">
        <v>9</v>
      </c>
      <c r="D6731" s="19" t="n">
        <v>2026</v>
      </c>
      <c r="E6731" s="57" t="n">
        <v>7</v>
      </c>
      <c r="F6731" s="29">
        <f>ROUND(((SUMIFS(Calendar!$F$2:$F$9997,Calendar!$B$2:$B$9997,D6731,Calendar!$C$2:$C$9997,C6731)*INDEX(ForeCalc!$B$37:$Y$274,MATCH(_xlfn.CONCAT(H6731," ",I6731),ForeCalc!$A$37:$A$274,0),MATCH(_xlfn.CONCAT(B6731," ",E6731),ForeCalc!$B$36:$Y$36,0))))*VLOOKUP(A6731,Calendar!$A$2:$H$9997,8,FALSE),0)</f>
        <v/>
      </c>
      <c r="G6731" s="29">
        <f>VLOOKUP(A6731,Calendar!$A$1:$H$9997,6,FALSE)-F6731</f>
        <v/>
      </c>
      <c r="H6731" s="19" t="n">
        <v>1</v>
      </c>
      <c r="I6731" s="57" t="n">
        <v>6</v>
      </c>
    </row>
    <row r="6732">
      <c r="A6732" s="62" t="n">
        <v>46267</v>
      </c>
      <c r="B6732" s="3" t="inlineStr">
        <is>
          <t>Week</t>
        </is>
      </c>
      <c r="C6732" s="19" t="n">
        <v>9</v>
      </c>
      <c r="D6732" s="19" t="n">
        <v>2026</v>
      </c>
      <c r="E6732" s="57" t="n">
        <v>7</v>
      </c>
      <c r="F6732" s="29">
        <f>ROUND(((SUMIFS(Calendar!$F$2:$F$9997,Calendar!$B$2:$B$9997,D6732,Calendar!$C$2:$C$9997,C6732)*INDEX(ForeCalc!$B$37:$Y$274,MATCH(_xlfn.CONCAT(H6732," ",I6732),ForeCalc!$A$37:$A$274,0),MATCH(_xlfn.CONCAT(B6732," ",E6732),ForeCalc!$B$36:$Y$36,0))))*VLOOKUP(A6732,Calendar!$A$2:$H$9997,8,FALSE),0)</f>
        <v/>
      </c>
      <c r="G6732" s="29">
        <f>VLOOKUP(A6732,Calendar!$A$1:$H$9997,6,FALSE)-F6732</f>
        <v/>
      </c>
      <c r="H6732" s="19" t="n">
        <v>1</v>
      </c>
      <c r="I6732" s="57" t="n">
        <v>6</v>
      </c>
    </row>
    <row r="6733">
      <c r="A6733" s="62" t="n">
        <v>46268</v>
      </c>
      <c r="B6733" s="3" t="inlineStr">
        <is>
          <t>Week</t>
        </is>
      </c>
      <c r="C6733" s="19" t="n">
        <v>9</v>
      </c>
      <c r="D6733" s="19" t="n">
        <v>2026</v>
      </c>
      <c r="E6733" s="57" t="n">
        <v>7</v>
      </c>
      <c r="F6733" s="29">
        <f>ROUND(((SUMIFS(Calendar!$F$2:$F$9997,Calendar!$B$2:$B$9997,D6733,Calendar!$C$2:$C$9997,C6733)*INDEX(ForeCalc!$B$37:$Y$274,MATCH(_xlfn.CONCAT(H6733," ",I6733),ForeCalc!$A$37:$A$274,0),MATCH(_xlfn.CONCAT(B6733," ",E6733),ForeCalc!$B$36:$Y$36,0))))*VLOOKUP(A6733,Calendar!$A$2:$H$9997,8,FALSE),0)</f>
        <v/>
      </c>
      <c r="G6733" s="29">
        <f>VLOOKUP(A6733,Calendar!$A$1:$H$9997,6,FALSE)-F6733</f>
        <v/>
      </c>
      <c r="H6733" s="19" t="n">
        <v>1</v>
      </c>
      <c r="I6733" s="57" t="n">
        <v>6</v>
      </c>
    </row>
    <row r="6734">
      <c r="A6734" s="62" t="n">
        <v>46269</v>
      </c>
      <c r="B6734" s="3" t="inlineStr">
        <is>
          <t>Week</t>
        </is>
      </c>
      <c r="C6734" s="19" t="n">
        <v>9</v>
      </c>
      <c r="D6734" s="19" t="n">
        <v>2026</v>
      </c>
      <c r="E6734" s="57" t="n">
        <v>7</v>
      </c>
      <c r="F6734" s="29">
        <f>ROUND(((SUMIFS(Calendar!$F$2:$F$9997,Calendar!$B$2:$B$9997,D6734,Calendar!$C$2:$C$9997,C6734)*INDEX(ForeCalc!$B$37:$Y$274,MATCH(_xlfn.CONCAT(H6734," ",I6734),ForeCalc!$A$37:$A$274,0),MATCH(_xlfn.CONCAT(B6734," ",E6734),ForeCalc!$B$36:$Y$36,0))))*VLOOKUP(A6734,Calendar!$A$2:$H$9997,8,FALSE),0)</f>
        <v/>
      </c>
      <c r="G6734" s="29">
        <f>VLOOKUP(A6734,Calendar!$A$1:$H$9997,6,FALSE)-F6734</f>
        <v/>
      </c>
      <c r="H6734" s="19" t="n">
        <v>1</v>
      </c>
      <c r="I6734" s="57" t="n">
        <v>6</v>
      </c>
    </row>
    <row r="6735">
      <c r="A6735" s="62" t="n">
        <v>46270</v>
      </c>
      <c r="B6735" s="3" t="inlineStr">
        <is>
          <t>Sat</t>
        </is>
      </c>
      <c r="C6735" s="19" t="n">
        <v>9</v>
      </c>
      <c r="D6735" s="19" t="n">
        <v>2026</v>
      </c>
      <c r="E6735" s="57" t="n">
        <v>7</v>
      </c>
      <c r="F6735" s="29">
        <f>ROUND(((SUMIFS(Calendar!$F$2:$F$9997,Calendar!$B$2:$B$9997,D6735,Calendar!$C$2:$C$9997,C6735)*INDEX(ForeCalc!$B$37:$Y$274,MATCH(_xlfn.CONCAT(H6735," ",I6735),ForeCalc!$A$37:$A$274,0),MATCH(_xlfn.CONCAT(B6735," ",E6735),ForeCalc!$B$36:$Y$36,0))))*VLOOKUP(A6735,Calendar!$A$2:$H$9997,8,FALSE),0)</f>
        <v/>
      </c>
      <c r="G6735" s="29">
        <f>VLOOKUP(A6735,Calendar!$A$1:$H$9997,6,FALSE)-F6735</f>
        <v/>
      </c>
      <c r="H6735" s="19" t="n">
        <v>1</v>
      </c>
      <c r="I6735" s="57" t="n">
        <v>6</v>
      </c>
    </row>
    <row r="6736">
      <c r="A6736" s="62" t="n">
        <v>46271</v>
      </c>
      <c r="B6736" s="3" t="inlineStr">
        <is>
          <t>Sun</t>
        </is>
      </c>
      <c r="C6736" s="19" t="n">
        <v>9</v>
      </c>
      <c r="D6736" s="19" t="n">
        <v>2026</v>
      </c>
      <c r="E6736" s="57" t="n">
        <v>7</v>
      </c>
      <c r="F6736" s="29">
        <f>ROUND(((SUMIFS(Calendar!$F$2:$F$9997,Calendar!$B$2:$B$9997,D6736,Calendar!$C$2:$C$9997,C6736)*INDEX(ForeCalc!$B$37:$Y$274,MATCH(_xlfn.CONCAT(H6736," ",I6736),ForeCalc!$A$37:$A$274,0),MATCH(_xlfn.CONCAT(B6736," ",E6736),ForeCalc!$B$36:$Y$36,0))))*VLOOKUP(A6736,Calendar!$A$2:$H$9997,8,FALSE),0)</f>
        <v/>
      </c>
      <c r="G6736" s="29">
        <f>VLOOKUP(A6736,Calendar!$A$1:$H$9997,6,FALSE)-F6736</f>
        <v/>
      </c>
      <c r="H6736" s="19" t="n">
        <v>1</v>
      </c>
      <c r="I6736" s="57" t="n">
        <v>6</v>
      </c>
    </row>
    <row r="6737">
      <c r="A6737" s="62" t="n">
        <v>46272</v>
      </c>
      <c r="B6737" s="3" t="inlineStr">
        <is>
          <t>Week</t>
        </is>
      </c>
      <c r="C6737" s="19" t="n">
        <v>9</v>
      </c>
      <c r="D6737" s="19" t="n">
        <v>2026</v>
      </c>
      <c r="E6737" s="57" t="n">
        <v>7</v>
      </c>
      <c r="F6737" s="29">
        <f>ROUND(((SUMIFS(Calendar!$F$2:$F$9997,Calendar!$B$2:$B$9997,D6737,Calendar!$C$2:$C$9997,C6737)*INDEX(ForeCalc!$B$37:$Y$274,MATCH(_xlfn.CONCAT(H6737," ",I6737),ForeCalc!$A$37:$A$274,0),MATCH(_xlfn.CONCAT(B6737," ",E6737),ForeCalc!$B$36:$Y$36,0))))*VLOOKUP(A6737,Calendar!$A$2:$H$9997,8,FALSE),0)</f>
        <v/>
      </c>
      <c r="G6737" s="29">
        <f>VLOOKUP(A6737,Calendar!$A$1:$H$9997,6,FALSE)-F6737</f>
        <v/>
      </c>
      <c r="H6737" s="19" t="n">
        <v>1</v>
      </c>
      <c r="I6737" s="57" t="n">
        <v>6</v>
      </c>
    </row>
    <row r="6738">
      <c r="A6738" s="62" t="n">
        <v>46273</v>
      </c>
      <c r="B6738" s="3" t="inlineStr">
        <is>
          <t>Week</t>
        </is>
      </c>
      <c r="C6738" s="19" t="n">
        <v>9</v>
      </c>
      <c r="D6738" s="19" t="n">
        <v>2026</v>
      </c>
      <c r="E6738" s="57" t="n">
        <v>7</v>
      </c>
      <c r="F6738" s="29">
        <f>ROUND(((SUMIFS(Calendar!$F$2:$F$9997,Calendar!$B$2:$B$9997,D6738,Calendar!$C$2:$C$9997,C6738)*INDEX(ForeCalc!$B$37:$Y$274,MATCH(_xlfn.CONCAT(H6738," ",I6738),ForeCalc!$A$37:$A$274,0),MATCH(_xlfn.CONCAT(B6738," ",E6738),ForeCalc!$B$36:$Y$36,0))))*VLOOKUP(A6738,Calendar!$A$2:$H$9997,8,FALSE),0)</f>
        <v/>
      </c>
      <c r="G6738" s="29">
        <f>VLOOKUP(A6738,Calendar!$A$1:$H$9997,6,FALSE)-F6738</f>
        <v/>
      </c>
      <c r="H6738" s="19" t="n">
        <v>1</v>
      </c>
      <c r="I6738" s="57" t="n">
        <v>6</v>
      </c>
    </row>
    <row r="6739">
      <c r="A6739" s="62" t="n">
        <v>46274</v>
      </c>
      <c r="B6739" s="3" t="inlineStr">
        <is>
          <t>Week</t>
        </is>
      </c>
      <c r="C6739" s="19" t="n">
        <v>9</v>
      </c>
      <c r="D6739" s="19" t="n">
        <v>2026</v>
      </c>
      <c r="E6739" s="57" t="n">
        <v>7</v>
      </c>
      <c r="F6739" s="29">
        <f>ROUND(((SUMIFS(Calendar!$F$2:$F$9997,Calendar!$B$2:$B$9997,D6739,Calendar!$C$2:$C$9997,C6739)*INDEX(ForeCalc!$B$37:$Y$274,MATCH(_xlfn.CONCAT(H6739," ",I6739),ForeCalc!$A$37:$A$274,0),MATCH(_xlfn.CONCAT(B6739," ",E6739),ForeCalc!$B$36:$Y$36,0))))*VLOOKUP(A6739,Calendar!$A$2:$H$9997,8,FALSE),0)</f>
        <v/>
      </c>
      <c r="G6739" s="29">
        <f>VLOOKUP(A6739,Calendar!$A$1:$H$9997,6,FALSE)-F6739</f>
        <v/>
      </c>
      <c r="H6739" s="19" t="n">
        <v>1</v>
      </c>
      <c r="I6739" s="57" t="n">
        <v>6</v>
      </c>
    </row>
    <row r="6740">
      <c r="A6740" s="62" t="n">
        <v>46275</v>
      </c>
      <c r="B6740" s="3" t="inlineStr">
        <is>
          <t>Week</t>
        </is>
      </c>
      <c r="C6740" s="19" t="n">
        <v>9</v>
      </c>
      <c r="D6740" s="19" t="n">
        <v>2026</v>
      </c>
      <c r="E6740" s="57" t="n">
        <v>7</v>
      </c>
      <c r="F6740" s="29">
        <f>ROUND(((SUMIFS(Calendar!$F$2:$F$9997,Calendar!$B$2:$B$9997,D6740,Calendar!$C$2:$C$9997,C6740)*INDEX(ForeCalc!$B$37:$Y$274,MATCH(_xlfn.CONCAT(H6740," ",I6740),ForeCalc!$A$37:$A$274,0),MATCH(_xlfn.CONCAT(B6740," ",E6740),ForeCalc!$B$36:$Y$36,0))))*VLOOKUP(A6740,Calendar!$A$2:$H$9997,8,FALSE),0)</f>
        <v/>
      </c>
      <c r="G6740" s="29">
        <f>VLOOKUP(A6740,Calendar!$A$1:$H$9997,6,FALSE)-F6740</f>
        <v/>
      </c>
      <c r="H6740" s="19" t="n">
        <v>1</v>
      </c>
      <c r="I6740" s="57" t="n">
        <v>6</v>
      </c>
    </row>
    <row r="6741">
      <c r="A6741" s="62" t="n">
        <v>46276</v>
      </c>
      <c r="B6741" s="3" t="inlineStr">
        <is>
          <t>Week</t>
        </is>
      </c>
      <c r="C6741" s="19" t="n">
        <v>9</v>
      </c>
      <c r="D6741" s="19" t="n">
        <v>2026</v>
      </c>
      <c r="E6741" s="57" t="n">
        <v>7</v>
      </c>
      <c r="F6741" s="29">
        <f>ROUND(((SUMIFS(Calendar!$F$2:$F$9997,Calendar!$B$2:$B$9997,D6741,Calendar!$C$2:$C$9997,C6741)*INDEX(ForeCalc!$B$37:$Y$274,MATCH(_xlfn.CONCAT(H6741," ",I6741),ForeCalc!$A$37:$A$274,0),MATCH(_xlfn.CONCAT(B6741," ",E6741),ForeCalc!$B$36:$Y$36,0))))*VLOOKUP(A6741,Calendar!$A$2:$H$9997,8,FALSE),0)</f>
        <v/>
      </c>
      <c r="G6741" s="29">
        <f>VLOOKUP(A6741,Calendar!$A$1:$H$9997,6,FALSE)-F6741</f>
        <v/>
      </c>
      <c r="H6741" s="19" t="n">
        <v>1</v>
      </c>
      <c r="I6741" s="57" t="n">
        <v>6</v>
      </c>
    </row>
    <row r="6742">
      <c r="A6742" s="62" t="n">
        <v>46277</v>
      </c>
      <c r="B6742" s="3" t="inlineStr">
        <is>
          <t>Sat</t>
        </is>
      </c>
      <c r="C6742" s="19" t="n">
        <v>9</v>
      </c>
      <c r="D6742" s="19" t="n">
        <v>2026</v>
      </c>
      <c r="E6742" s="57" t="n">
        <v>7</v>
      </c>
      <c r="F6742" s="29">
        <f>ROUND(((SUMIFS(Calendar!$F$2:$F$9997,Calendar!$B$2:$B$9997,D6742,Calendar!$C$2:$C$9997,C6742)*INDEX(ForeCalc!$B$37:$Y$274,MATCH(_xlfn.CONCAT(H6742," ",I6742),ForeCalc!$A$37:$A$274,0),MATCH(_xlfn.CONCAT(B6742," ",E6742),ForeCalc!$B$36:$Y$36,0))))*VLOOKUP(A6742,Calendar!$A$2:$H$9997,8,FALSE),0)</f>
        <v/>
      </c>
      <c r="G6742" s="29">
        <f>VLOOKUP(A6742,Calendar!$A$1:$H$9997,6,FALSE)-F6742</f>
        <v/>
      </c>
      <c r="H6742" s="19" t="n">
        <v>1</v>
      </c>
      <c r="I6742" s="57" t="n">
        <v>6</v>
      </c>
    </row>
    <row r="6743">
      <c r="A6743" s="62" t="n">
        <v>46278</v>
      </c>
      <c r="B6743" s="3" t="inlineStr">
        <is>
          <t>Sun</t>
        </is>
      </c>
      <c r="C6743" s="19" t="n">
        <v>9</v>
      </c>
      <c r="D6743" s="19" t="n">
        <v>2026</v>
      </c>
      <c r="E6743" s="57" t="n">
        <v>7</v>
      </c>
      <c r="F6743" s="29">
        <f>ROUND(((SUMIFS(Calendar!$F$2:$F$9997,Calendar!$B$2:$B$9997,D6743,Calendar!$C$2:$C$9997,C6743)*INDEX(ForeCalc!$B$37:$Y$274,MATCH(_xlfn.CONCAT(H6743," ",I6743),ForeCalc!$A$37:$A$274,0),MATCH(_xlfn.CONCAT(B6743," ",E6743),ForeCalc!$B$36:$Y$36,0))))*VLOOKUP(A6743,Calendar!$A$2:$H$9997,8,FALSE),0)</f>
        <v/>
      </c>
      <c r="G6743" s="29">
        <f>VLOOKUP(A6743,Calendar!$A$1:$H$9997,6,FALSE)-F6743</f>
        <v/>
      </c>
      <c r="H6743" s="19" t="n">
        <v>1</v>
      </c>
      <c r="I6743" s="57" t="n">
        <v>6</v>
      </c>
    </row>
    <row r="6744">
      <c r="A6744" s="62" t="n">
        <v>46279</v>
      </c>
      <c r="B6744" s="3" t="inlineStr">
        <is>
          <t>Week</t>
        </is>
      </c>
      <c r="C6744" s="19" t="n">
        <v>9</v>
      </c>
      <c r="D6744" s="19" t="n">
        <v>2026</v>
      </c>
      <c r="E6744" s="57" t="n">
        <v>7</v>
      </c>
      <c r="F6744" s="29">
        <f>ROUND(((SUMIFS(Calendar!$F$2:$F$9997,Calendar!$B$2:$B$9997,D6744,Calendar!$C$2:$C$9997,C6744)*INDEX(ForeCalc!$B$37:$Y$274,MATCH(_xlfn.CONCAT(H6744," ",I6744),ForeCalc!$A$37:$A$274,0),MATCH(_xlfn.CONCAT(B6744," ",E6744),ForeCalc!$B$36:$Y$36,0))))*VLOOKUP(A6744,Calendar!$A$2:$H$9997,8,FALSE),0)</f>
        <v/>
      </c>
      <c r="G6744" s="29">
        <f>VLOOKUP(A6744,Calendar!$A$1:$H$9997,6,FALSE)-F6744</f>
        <v/>
      </c>
      <c r="H6744" s="19" t="n">
        <v>1</v>
      </c>
      <c r="I6744" s="57" t="n">
        <v>6</v>
      </c>
    </row>
    <row r="6745">
      <c r="A6745" s="62" t="n">
        <v>46280</v>
      </c>
      <c r="B6745" s="3" t="inlineStr">
        <is>
          <t>Week</t>
        </is>
      </c>
      <c r="C6745" s="19" t="n">
        <v>9</v>
      </c>
      <c r="D6745" s="19" t="n">
        <v>2026</v>
      </c>
      <c r="E6745" s="57" t="n">
        <v>7</v>
      </c>
      <c r="F6745" s="29">
        <f>ROUND(((SUMIFS(Calendar!$F$2:$F$9997,Calendar!$B$2:$B$9997,D6745,Calendar!$C$2:$C$9997,C6745)*INDEX(ForeCalc!$B$37:$Y$274,MATCH(_xlfn.CONCAT(H6745," ",I6745),ForeCalc!$A$37:$A$274,0),MATCH(_xlfn.CONCAT(B6745," ",E6745),ForeCalc!$B$36:$Y$36,0))))*VLOOKUP(A6745,Calendar!$A$2:$H$9997,8,FALSE),0)</f>
        <v/>
      </c>
      <c r="G6745" s="29">
        <f>VLOOKUP(A6745,Calendar!$A$1:$H$9997,6,FALSE)-F6745</f>
        <v/>
      </c>
      <c r="H6745" s="19" t="n">
        <v>1</v>
      </c>
      <c r="I6745" s="57" t="n">
        <v>6</v>
      </c>
    </row>
    <row r="6746">
      <c r="A6746" s="62" t="n">
        <v>46281</v>
      </c>
      <c r="B6746" s="3" t="inlineStr">
        <is>
          <t>Week</t>
        </is>
      </c>
      <c r="C6746" s="19" t="n">
        <v>9</v>
      </c>
      <c r="D6746" s="19" t="n">
        <v>2026</v>
      </c>
      <c r="E6746" s="57" t="n">
        <v>7</v>
      </c>
      <c r="F6746" s="29">
        <f>ROUND(((SUMIFS(Calendar!$F$2:$F$9997,Calendar!$B$2:$B$9997,D6746,Calendar!$C$2:$C$9997,C6746)*INDEX(ForeCalc!$B$37:$Y$274,MATCH(_xlfn.CONCAT(H6746," ",I6746),ForeCalc!$A$37:$A$274,0),MATCH(_xlfn.CONCAT(B6746," ",E6746),ForeCalc!$B$36:$Y$36,0))))*VLOOKUP(A6746,Calendar!$A$2:$H$9997,8,FALSE),0)</f>
        <v/>
      </c>
      <c r="G6746" s="29">
        <f>VLOOKUP(A6746,Calendar!$A$1:$H$9997,6,FALSE)-F6746</f>
        <v/>
      </c>
      <c r="H6746" s="19" t="n">
        <v>1</v>
      </c>
      <c r="I6746" s="57" t="n">
        <v>6</v>
      </c>
    </row>
    <row r="6747">
      <c r="A6747" s="62" t="n">
        <v>46282</v>
      </c>
      <c r="B6747" s="3" t="inlineStr">
        <is>
          <t>Week</t>
        </is>
      </c>
      <c r="C6747" s="19" t="n">
        <v>9</v>
      </c>
      <c r="D6747" s="19" t="n">
        <v>2026</v>
      </c>
      <c r="E6747" s="57" t="n">
        <v>7</v>
      </c>
      <c r="F6747" s="29">
        <f>ROUND(((SUMIFS(Calendar!$F$2:$F$9997,Calendar!$B$2:$B$9997,D6747,Calendar!$C$2:$C$9997,C6747)*INDEX(ForeCalc!$B$37:$Y$274,MATCH(_xlfn.CONCAT(H6747," ",I6747),ForeCalc!$A$37:$A$274,0),MATCH(_xlfn.CONCAT(B6747," ",E6747),ForeCalc!$B$36:$Y$36,0))))*VLOOKUP(A6747,Calendar!$A$2:$H$9997,8,FALSE),0)</f>
        <v/>
      </c>
      <c r="G6747" s="29">
        <f>VLOOKUP(A6747,Calendar!$A$1:$H$9997,6,FALSE)-F6747</f>
        <v/>
      </c>
      <c r="H6747" s="19" t="n">
        <v>1</v>
      </c>
      <c r="I6747" s="57" t="n">
        <v>6</v>
      </c>
    </row>
    <row r="6748">
      <c r="A6748" s="62" t="n">
        <v>46283</v>
      </c>
      <c r="B6748" s="3" t="inlineStr">
        <is>
          <t>Week</t>
        </is>
      </c>
      <c r="C6748" s="19" t="n">
        <v>9</v>
      </c>
      <c r="D6748" s="19" t="n">
        <v>2026</v>
      </c>
      <c r="E6748" s="57" t="n">
        <v>7</v>
      </c>
      <c r="F6748" s="29">
        <f>ROUND(((SUMIFS(Calendar!$F$2:$F$9997,Calendar!$B$2:$B$9997,D6748,Calendar!$C$2:$C$9997,C6748)*INDEX(ForeCalc!$B$37:$Y$274,MATCH(_xlfn.CONCAT(H6748," ",I6748),ForeCalc!$A$37:$A$274,0),MATCH(_xlfn.CONCAT(B6748," ",E6748),ForeCalc!$B$36:$Y$36,0))))*VLOOKUP(A6748,Calendar!$A$2:$H$9997,8,FALSE),0)</f>
        <v/>
      </c>
      <c r="G6748" s="29">
        <f>VLOOKUP(A6748,Calendar!$A$1:$H$9997,6,FALSE)-F6748</f>
        <v/>
      </c>
      <c r="H6748" s="19" t="n">
        <v>1</v>
      </c>
      <c r="I6748" s="57" t="n">
        <v>6</v>
      </c>
    </row>
    <row r="6749">
      <c r="A6749" s="62" t="n">
        <v>46284</v>
      </c>
      <c r="B6749" s="3" t="inlineStr">
        <is>
          <t>Sat</t>
        </is>
      </c>
      <c r="C6749" s="19" t="n">
        <v>9</v>
      </c>
      <c r="D6749" s="19" t="n">
        <v>2026</v>
      </c>
      <c r="E6749" s="57" t="n">
        <v>7</v>
      </c>
      <c r="F6749" s="29">
        <f>ROUND(((SUMIFS(Calendar!$F$2:$F$9997,Calendar!$B$2:$B$9997,D6749,Calendar!$C$2:$C$9997,C6749)*INDEX(ForeCalc!$B$37:$Y$274,MATCH(_xlfn.CONCAT(H6749," ",I6749),ForeCalc!$A$37:$A$274,0),MATCH(_xlfn.CONCAT(B6749," ",E6749),ForeCalc!$B$36:$Y$36,0))))*VLOOKUP(A6749,Calendar!$A$2:$H$9997,8,FALSE),0)</f>
        <v/>
      </c>
      <c r="G6749" s="29">
        <f>VLOOKUP(A6749,Calendar!$A$1:$H$9997,6,FALSE)-F6749</f>
        <v/>
      </c>
      <c r="H6749" s="19" t="n">
        <v>1</v>
      </c>
      <c r="I6749" s="57" t="n">
        <v>6</v>
      </c>
    </row>
    <row r="6750">
      <c r="A6750" s="62" t="n">
        <v>46285</v>
      </c>
      <c r="B6750" s="3" t="inlineStr">
        <is>
          <t>Sun</t>
        </is>
      </c>
      <c r="C6750" s="19" t="n">
        <v>9</v>
      </c>
      <c r="D6750" s="19" t="n">
        <v>2026</v>
      </c>
      <c r="E6750" s="57" t="n">
        <v>7</v>
      </c>
      <c r="F6750" s="29">
        <f>ROUND(((SUMIFS(Calendar!$F$2:$F$9997,Calendar!$B$2:$B$9997,D6750,Calendar!$C$2:$C$9997,C6750)*INDEX(ForeCalc!$B$37:$Y$274,MATCH(_xlfn.CONCAT(H6750," ",I6750),ForeCalc!$A$37:$A$274,0),MATCH(_xlfn.CONCAT(B6750," ",E6750),ForeCalc!$B$36:$Y$36,0))))*VLOOKUP(A6750,Calendar!$A$2:$H$9997,8,FALSE),0)</f>
        <v/>
      </c>
      <c r="G6750" s="29">
        <f>VLOOKUP(A6750,Calendar!$A$1:$H$9997,6,FALSE)-F6750</f>
        <v/>
      </c>
      <c r="H6750" s="19" t="n">
        <v>1</v>
      </c>
      <c r="I6750" s="57" t="n">
        <v>6</v>
      </c>
    </row>
    <row r="6751">
      <c r="A6751" s="62" t="n">
        <v>46286</v>
      </c>
      <c r="B6751" s="3" t="inlineStr">
        <is>
          <t>Week</t>
        </is>
      </c>
      <c r="C6751" s="19" t="n">
        <v>9</v>
      </c>
      <c r="D6751" s="19" t="n">
        <v>2026</v>
      </c>
      <c r="E6751" s="57" t="n">
        <v>7</v>
      </c>
      <c r="F6751" s="29">
        <f>ROUND(((SUMIFS(Calendar!$F$2:$F$9997,Calendar!$B$2:$B$9997,D6751,Calendar!$C$2:$C$9997,C6751)*INDEX(ForeCalc!$B$37:$Y$274,MATCH(_xlfn.CONCAT(H6751," ",I6751),ForeCalc!$A$37:$A$274,0),MATCH(_xlfn.CONCAT(B6751," ",E6751),ForeCalc!$B$36:$Y$36,0))))*VLOOKUP(A6751,Calendar!$A$2:$H$9997,8,FALSE),0)</f>
        <v/>
      </c>
      <c r="G6751" s="29">
        <f>VLOOKUP(A6751,Calendar!$A$1:$H$9997,6,FALSE)-F6751</f>
        <v/>
      </c>
      <c r="H6751" s="19" t="n">
        <v>1</v>
      </c>
      <c r="I6751" s="57" t="n">
        <v>6</v>
      </c>
    </row>
    <row r="6752">
      <c r="A6752" s="62" t="n">
        <v>46287</v>
      </c>
      <c r="B6752" s="3" t="inlineStr">
        <is>
          <t>Week</t>
        </is>
      </c>
      <c r="C6752" s="19" t="n">
        <v>9</v>
      </c>
      <c r="D6752" s="19" t="n">
        <v>2026</v>
      </c>
      <c r="E6752" s="57" t="n">
        <v>7</v>
      </c>
      <c r="F6752" s="29">
        <f>ROUND(((SUMIFS(Calendar!$F$2:$F$9997,Calendar!$B$2:$B$9997,D6752,Calendar!$C$2:$C$9997,C6752)*INDEX(ForeCalc!$B$37:$Y$274,MATCH(_xlfn.CONCAT(H6752," ",I6752),ForeCalc!$A$37:$A$274,0),MATCH(_xlfn.CONCAT(B6752," ",E6752),ForeCalc!$B$36:$Y$36,0))))*VLOOKUP(A6752,Calendar!$A$2:$H$9997,8,FALSE),0)</f>
        <v/>
      </c>
      <c r="G6752" s="29">
        <f>VLOOKUP(A6752,Calendar!$A$1:$H$9997,6,FALSE)-F6752</f>
        <v/>
      </c>
      <c r="H6752" s="19" t="n">
        <v>1</v>
      </c>
      <c r="I6752" s="57" t="n">
        <v>6</v>
      </c>
    </row>
    <row r="6753">
      <c r="A6753" s="62" t="n">
        <v>46288</v>
      </c>
      <c r="B6753" s="3" t="inlineStr">
        <is>
          <t>Week</t>
        </is>
      </c>
      <c r="C6753" s="19" t="n">
        <v>9</v>
      </c>
      <c r="D6753" s="19" t="n">
        <v>2026</v>
      </c>
      <c r="E6753" s="57" t="n">
        <v>7</v>
      </c>
      <c r="F6753" s="29">
        <f>ROUND(((SUMIFS(Calendar!$F$2:$F$9997,Calendar!$B$2:$B$9997,D6753,Calendar!$C$2:$C$9997,C6753)*INDEX(ForeCalc!$B$37:$Y$274,MATCH(_xlfn.CONCAT(H6753," ",I6753),ForeCalc!$A$37:$A$274,0),MATCH(_xlfn.CONCAT(B6753," ",E6753),ForeCalc!$B$36:$Y$36,0))))*VLOOKUP(A6753,Calendar!$A$2:$H$9997,8,FALSE),0)</f>
        <v/>
      </c>
      <c r="G6753" s="29">
        <f>VLOOKUP(A6753,Calendar!$A$1:$H$9997,6,FALSE)-F6753</f>
        <v/>
      </c>
      <c r="H6753" s="19" t="n">
        <v>1</v>
      </c>
      <c r="I6753" s="57" t="n">
        <v>6</v>
      </c>
    </row>
    <row r="6754">
      <c r="A6754" s="62" t="n">
        <v>46289</v>
      </c>
      <c r="B6754" s="3" t="inlineStr">
        <is>
          <t>Week</t>
        </is>
      </c>
      <c r="C6754" s="19" t="n">
        <v>9</v>
      </c>
      <c r="D6754" s="19" t="n">
        <v>2026</v>
      </c>
      <c r="E6754" s="57" t="n">
        <v>7</v>
      </c>
      <c r="F6754" s="29">
        <f>ROUND(((SUMIFS(Calendar!$F$2:$F$9997,Calendar!$B$2:$B$9997,D6754,Calendar!$C$2:$C$9997,C6754)*INDEX(ForeCalc!$B$37:$Y$274,MATCH(_xlfn.CONCAT(H6754," ",I6754),ForeCalc!$A$37:$A$274,0),MATCH(_xlfn.CONCAT(B6754," ",E6754),ForeCalc!$B$36:$Y$36,0))))*VLOOKUP(A6754,Calendar!$A$2:$H$9997,8,FALSE),0)</f>
        <v/>
      </c>
      <c r="G6754" s="29">
        <f>VLOOKUP(A6754,Calendar!$A$1:$H$9997,6,FALSE)-F6754</f>
        <v/>
      </c>
      <c r="H6754" s="19" t="n">
        <v>1</v>
      </c>
      <c r="I6754" s="57" t="n">
        <v>6</v>
      </c>
    </row>
    <row r="6755">
      <c r="A6755" s="62" t="n">
        <v>46290</v>
      </c>
      <c r="B6755" s="3" t="inlineStr">
        <is>
          <t>Week</t>
        </is>
      </c>
      <c r="C6755" s="19" t="n">
        <v>9</v>
      </c>
      <c r="D6755" s="19" t="n">
        <v>2026</v>
      </c>
      <c r="E6755" s="57" t="n">
        <v>7</v>
      </c>
      <c r="F6755" s="29">
        <f>ROUND(((SUMIFS(Calendar!$F$2:$F$9997,Calendar!$B$2:$B$9997,D6755,Calendar!$C$2:$C$9997,C6755)*INDEX(ForeCalc!$B$37:$Y$274,MATCH(_xlfn.CONCAT(H6755," ",I6755),ForeCalc!$A$37:$A$274,0),MATCH(_xlfn.CONCAT(B6755," ",E6755),ForeCalc!$B$36:$Y$36,0))))*VLOOKUP(A6755,Calendar!$A$2:$H$9997,8,FALSE),0)</f>
        <v/>
      </c>
      <c r="G6755" s="29">
        <f>VLOOKUP(A6755,Calendar!$A$1:$H$9997,6,FALSE)-F6755</f>
        <v/>
      </c>
      <c r="H6755" s="19" t="n">
        <v>1</v>
      </c>
      <c r="I6755" s="57" t="n">
        <v>6</v>
      </c>
    </row>
    <row r="6756">
      <c r="A6756" s="62" t="n">
        <v>46291</v>
      </c>
      <c r="B6756" s="3" t="inlineStr">
        <is>
          <t>Sat</t>
        </is>
      </c>
      <c r="C6756" s="19" t="n">
        <v>9</v>
      </c>
      <c r="D6756" s="19" t="n">
        <v>2026</v>
      </c>
      <c r="E6756" s="57" t="n">
        <v>7</v>
      </c>
      <c r="F6756" s="29">
        <f>ROUND(((SUMIFS(Calendar!$F$2:$F$9997,Calendar!$B$2:$B$9997,D6756,Calendar!$C$2:$C$9997,C6756)*INDEX(ForeCalc!$B$37:$Y$274,MATCH(_xlfn.CONCAT(H6756," ",I6756),ForeCalc!$A$37:$A$274,0),MATCH(_xlfn.CONCAT(B6756," ",E6756),ForeCalc!$B$36:$Y$36,0))))*VLOOKUP(A6756,Calendar!$A$2:$H$9997,8,FALSE),0)</f>
        <v/>
      </c>
      <c r="G6756" s="29">
        <f>VLOOKUP(A6756,Calendar!$A$1:$H$9997,6,FALSE)-F6756</f>
        <v/>
      </c>
      <c r="H6756" s="19" t="n">
        <v>1</v>
      </c>
      <c r="I6756" s="57" t="n">
        <v>6</v>
      </c>
    </row>
    <row r="6757">
      <c r="A6757" s="62" t="n">
        <v>46292</v>
      </c>
      <c r="B6757" s="3" t="inlineStr">
        <is>
          <t>Sun</t>
        </is>
      </c>
      <c r="C6757" s="19" t="n">
        <v>9</v>
      </c>
      <c r="D6757" s="19" t="n">
        <v>2026</v>
      </c>
      <c r="E6757" s="57" t="n">
        <v>7</v>
      </c>
      <c r="F6757" s="29">
        <f>ROUND(((SUMIFS(Calendar!$F$2:$F$9997,Calendar!$B$2:$B$9997,D6757,Calendar!$C$2:$C$9997,C6757)*INDEX(ForeCalc!$B$37:$Y$274,MATCH(_xlfn.CONCAT(H6757," ",I6757),ForeCalc!$A$37:$A$274,0),MATCH(_xlfn.CONCAT(B6757," ",E6757),ForeCalc!$B$36:$Y$36,0))))*VLOOKUP(A6757,Calendar!$A$2:$H$9997,8,FALSE),0)</f>
        <v/>
      </c>
      <c r="G6757" s="29">
        <f>VLOOKUP(A6757,Calendar!$A$1:$H$9997,6,FALSE)-F6757</f>
        <v/>
      </c>
      <c r="H6757" s="19" t="n">
        <v>1</v>
      </c>
      <c r="I6757" s="57" t="n">
        <v>6</v>
      </c>
    </row>
    <row r="6758">
      <c r="A6758" s="62" t="n">
        <v>46293</v>
      </c>
      <c r="B6758" s="3" t="inlineStr">
        <is>
          <t>Week</t>
        </is>
      </c>
      <c r="C6758" s="19" t="n">
        <v>9</v>
      </c>
      <c r="D6758" s="19" t="n">
        <v>2026</v>
      </c>
      <c r="E6758" s="57" t="n">
        <v>7</v>
      </c>
      <c r="F6758" s="29">
        <f>ROUND(((SUMIFS(Calendar!$F$2:$F$9997,Calendar!$B$2:$B$9997,D6758,Calendar!$C$2:$C$9997,C6758)*INDEX(ForeCalc!$B$37:$Y$274,MATCH(_xlfn.CONCAT(H6758," ",I6758),ForeCalc!$A$37:$A$274,0),MATCH(_xlfn.CONCAT(B6758," ",E6758),ForeCalc!$B$36:$Y$36,0))))*VLOOKUP(A6758,Calendar!$A$2:$H$9997,8,FALSE),0)</f>
        <v/>
      </c>
      <c r="G6758" s="29">
        <f>VLOOKUP(A6758,Calendar!$A$1:$H$9997,6,FALSE)-F6758</f>
        <v/>
      </c>
      <c r="H6758" s="19" t="n">
        <v>1</v>
      </c>
      <c r="I6758" s="57" t="n">
        <v>6</v>
      </c>
    </row>
    <row r="6759">
      <c r="A6759" s="62" t="n">
        <v>46294</v>
      </c>
      <c r="B6759" s="3" t="inlineStr">
        <is>
          <t>Week</t>
        </is>
      </c>
      <c r="C6759" s="19" t="n">
        <v>9</v>
      </c>
      <c r="D6759" s="19" t="n">
        <v>2026</v>
      </c>
      <c r="E6759" s="57" t="n">
        <v>7</v>
      </c>
      <c r="F6759" s="29">
        <f>ROUND(((SUMIFS(Calendar!$F$2:$F$9997,Calendar!$B$2:$B$9997,D6759,Calendar!$C$2:$C$9997,C6759)*INDEX(ForeCalc!$B$37:$Y$274,MATCH(_xlfn.CONCAT(H6759," ",I6759),ForeCalc!$A$37:$A$274,0),MATCH(_xlfn.CONCAT(B6759," ",E6759),ForeCalc!$B$36:$Y$36,0))))*VLOOKUP(A6759,Calendar!$A$2:$H$9997,8,FALSE),0)</f>
        <v/>
      </c>
      <c r="G6759" s="29">
        <f>VLOOKUP(A6759,Calendar!$A$1:$H$9997,6,FALSE)-F6759</f>
        <v/>
      </c>
      <c r="H6759" s="19" t="n">
        <v>1</v>
      </c>
      <c r="I6759" s="57" t="n">
        <v>6</v>
      </c>
    </row>
    <row r="6760">
      <c r="A6760" s="62" t="n">
        <v>46295</v>
      </c>
      <c r="B6760" s="3" t="inlineStr">
        <is>
          <t>Week</t>
        </is>
      </c>
      <c r="C6760" s="19" t="n">
        <v>9</v>
      </c>
      <c r="D6760" s="19" t="n">
        <v>2026</v>
      </c>
      <c r="E6760" s="57" t="n">
        <v>7</v>
      </c>
      <c r="F6760" s="29">
        <f>ROUND(((SUMIFS(Calendar!$F$2:$F$9997,Calendar!$B$2:$B$9997,D6760,Calendar!$C$2:$C$9997,C6760)*INDEX(ForeCalc!$B$37:$Y$274,MATCH(_xlfn.CONCAT(H6760," ",I6760),ForeCalc!$A$37:$A$274,0),MATCH(_xlfn.CONCAT(B6760," ",E6760),ForeCalc!$B$36:$Y$36,0))))*VLOOKUP(A6760,Calendar!$A$2:$H$9997,8,FALSE),0)</f>
        <v/>
      </c>
      <c r="G6760" s="29">
        <f>VLOOKUP(A6760,Calendar!$A$1:$H$9997,6,FALSE)-F6760</f>
        <v/>
      </c>
      <c r="H6760" s="19" t="n">
        <v>1</v>
      </c>
      <c r="I6760" s="57" t="n">
        <v>6</v>
      </c>
    </row>
    <row r="6761">
      <c r="A6761" s="62" t="n">
        <v>46296</v>
      </c>
      <c r="B6761" s="3" t="inlineStr">
        <is>
          <t>Week</t>
        </is>
      </c>
      <c r="C6761" s="19" t="n">
        <v>10</v>
      </c>
      <c r="D6761" s="19" t="n">
        <v>2026</v>
      </c>
      <c r="E6761" s="57" t="n">
        <v>7</v>
      </c>
      <c r="F6761" s="29">
        <f>ROUND(((SUMIFS(Calendar!$F$2:$F$9997,Calendar!$B$2:$B$9997,D6761,Calendar!$C$2:$C$9997,C6761)*INDEX(ForeCalc!$B$37:$Y$274,MATCH(_xlfn.CONCAT(H6761," ",I6761),ForeCalc!$A$37:$A$274,0),MATCH(_xlfn.CONCAT(B6761," ",E6761),ForeCalc!$B$36:$Y$36,0))))*VLOOKUP(A6761,Calendar!$A$2:$H$9997,8,FALSE),0)</f>
        <v/>
      </c>
      <c r="G6761" s="29">
        <f>VLOOKUP(A6761,Calendar!$A$1:$H$9997,6,FALSE)-F6761</f>
        <v/>
      </c>
      <c r="H6761" s="19" t="n">
        <v>1</v>
      </c>
      <c r="I6761" s="57" t="n">
        <v>7</v>
      </c>
    </row>
    <row r="6762">
      <c r="A6762" s="62" t="n">
        <v>46297</v>
      </c>
      <c r="B6762" s="3" t="inlineStr">
        <is>
          <t>Week</t>
        </is>
      </c>
      <c r="C6762" s="19" t="n">
        <v>10</v>
      </c>
      <c r="D6762" s="19" t="n">
        <v>2026</v>
      </c>
      <c r="E6762" s="57" t="n">
        <v>7</v>
      </c>
      <c r="F6762" s="29">
        <f>ROUND(((SUMIFS(Calendar!$F$2:$F$9997,Calendar!$B$2:$B$9997,D6762,Calendar!$C$2:$C$9997,C6762)*INDEX(ForeCalc!$B$37:$Y$274,MATCH(_xlfn.CONCAT(H6762," ",I6762),ForeCalc!$A$37:$A$274,0),MATCH(_xlfn.CONCAT(B6762," ",E6762),ForeCalc!$B$36:$Y$36,0))))*VLOOKUP(A6762,Calendar!$A$2:$H$9997,8,FALSE),0)</f>
        <v/>
      </c>
      <c r="G6762" s="29">
        <f>VLOOKUP(A6762,Calendar!$A$1:$H$9997,6,FALSE)-F6762</f>
        <v/>
      </c>
      <c r="H6762" s="19" t="n">
        <v>1</v>
      </c>
      <c r="I6762" s="57" t="n">
        <v>7</v>
      </c>
    </row>
    <row r="6763">
      <c r="A6763" s="62" t="n">
        <v>46298</v>
      </c>
      <c r="B6763" s="3" t="inlineStr">
        <is>
          <t>Sat</t>
        </is>
      </c>
      <c r="C6763" s="19" t="n">
        <v>10</v>
      </c>
      <c r="D6763" s="19" t="n">
        <v>2026</v>
      </c>
      <c r="E6763" s="57" t="n">
        <v>7</v>
      </c>
      <c r="F6763" s="29">
        <f>ROUND(((SUMIFS(Calendar!$F$2:$F$9997,Calendar!$B$2:$B$9997,D6763,Calendar!$C$2:$C$9997,C6763)*INDEX(ForeCalc!$B$37:$Y$274,MATCH(_xlfn.CONCAT(H6763," ",I6763),ForeCalc!$A$37:$A$274,0),MATCH(_xlfn.CONCAT(B6763," ",E6763),ForeCalc!$B$36:$Y$36,0))))*VLOOKUP(A6763,Calendar!$A$2:$H$9997,8,FALSE),0)</f>
        <v/>
      </c>
      <c r="G6763" s="29">
        <f>VLOOKUP(A6763,Calendar!$A$1:$H$9997,6,FALSE)-F6763</f>
        <v/>
      </c>
      <c r="H6763" s="19" t="n">
        <v>1</v>
      </c>
      <c r="I6763" s="57" t="n">
        <v>7</v>
      </c>
    </row>
    <row r="6764">
      <c r="A6764" s="62" t="n">
        <v>46299</v>
      </c>
      <c r="B6764" s="3" t="inlineStr">
        <is>
          <t>Sun</t>
        </is>
      </c>
      <c r="C6764" s="19" t="n">
        <v>10</v>
      </c>
      <c r="D6764" s="19" t="n">
        <v>2026</v>
      </c>
      <c r="E6764" s="57" t="n">
        <v>7</v>
      </c>
      <c r="F6764" s="29">
        <f>ROUND(((SUMIFS(Calendar!$F$2:$F$9997,Calendar!$B$2:$B$9997,D6764,Calendar!$C$2:$C$9997,C6764)*INDEX(ForeCalc!$B$37:$Y$274,MATCH(_xlfn.CONCAT(H6764," ",I6764),ForeCalc!$A$37:$A$274,0),MATCH(_xlfn.CONCAT(B6764," ",E6764),ForeCalc!$B$36:$Y$36,0))))*VLOOKUP(A6764,Calendar!$A$2:$H$9997,8,FALSE),0)</f>
        <v/>
      </c>
      <c r="G6764" s="29">
        <f>VLOOKUP(A6764,Calendar!$A$1:$H$9997,6,FALSE)-F6764</f>
        <v/>
      </c>
      <c r="H6764" s="19" t="n">
        <v>1</v>
      </c>
      <c r="I6764" s="57" t="n">
        <v>7</v>
      </c>
    </row>
    <row r="6765">
      <c r="A6765" s="62" t="n">
        <v>46300</v>
      </c>
      <c r="B6765" s="3" t="inlineStr">
        <is>
          <t>Week</t>
        </is>
      </c>
      <c r="C6765" s="19" t="n">
        <v>10</v>
      </c>
      <c r="D6765" s="19" t="n">
        <v>2026</v>
      </c>
      <c r="E6765" s="57" t="n">
        <v>7</v>
      </c>
      <c r="F6765" s="29">
        <f>ROUND(((SUMIFS(Calendar!$F$2:$F$9997,Calendar!$B$2:$B$9997,D6765,Calendar!$C$2:$C$9997,C6765)*INDEX(ForeCalc!$B$37:$Y$274,MATCH(_xlfn.CONCAT(H6765," ",I6765),ForeCalc!$A$37:$A$274,0),MATCH(_xlfn.CONCAT(B6765," ",E6765),ForeCalc!$B$36:$Y$36,0))))*VLOOKUP(A6765,Calendar!$A$2:$H$9997,8,FALSE),0)</f>
        <v/>
      </c>
      <c r="G6765" s="29">
        <f>VLOOKUP(A6765,Calendar!$A$1:$H$9997,6,FALSE)-F6765</f>
        <v/>
      </c>
      <c r="H6765" s="19" t="n">
        <v>1</v>
      </c>
      <c r="I6765" s="57" t="n">
        <v>7</v>
      </c>
    </row>
    <row r="6766">
      <c r="A6766" s="62" t="n">
        <v>46301</v>
      </c>
      <c r="B6766" s="3" t="inlineStr">
        <is>
          <t>Week</t>
        </is>
      </c>
      <c r="C6766" s="19" t="n">
        <v>10</v>
      </c>
      <c r="D6766" s="19" t="n">
        <v>2026</v>
      </c>
      <c r="E6766" s="57" t="n">
        <v>7</v>
      </c>
      <c r="F6766" s="29">
        <f>ROUND(((SUMIFS(Calendar!$F$2:$F$9997,Calendar!$B$2:$B$9997,D6766,Calendar!$C$2:$C$9997,C6766)*INDEX(ForeCalc!$B$37:$Y$274,MATCH(_xlfn.CONCAT(H6766," ",I6766),ForeCalc!$A$37:$A$274,0),MATCH(_xlfn.CONCAT(B6766," ",E6766),ForeCalc!$B$36:$Y$36,0))))*VLOOKUP(A6766,Calendar!$A$2:$H$9997,8,FALSE),0)</f>
        <v/>
      </c>
      <c r="G6766" s="29">
        <f>VLOOKUP(A6766,Calendar!$A$1:$H$9997,6,FALSE)-F6766</f>
        <v/>
      </c>
      <c r="H6766" s="19" t="n">
        <v>1</v>
      </c>
      <c r="I6766" s="57" t="n">
        <v>7</v>
      </c>
    </row>
    <row r="6767">
      <c r="A6767" s="62" t="n">
        <v>46302</v>
      </c>
      <c r="B6767" s="3" t="inlineStr">
        <is>
          <t>Week</t>
        </is>
      </c>
      <c r="C6767" s="19" t="n">
        <v>10</v>
      </c>
      <c r="D6767" s="19" t="n">
        <v>2026</v>
      </c>
      <c r="E6767" s="57" t="n">
        <v>7</v>
      </c>
      <c r="F6767" s="29">
        <f>ROUND(((SUMIFS(Calendar!$F$2:$F$9997,Calendar!$B$2:$B$9997,D6767,Calendar!$C$2:$C$9997,C6767)*INDEX(ForeCalc!$B$37:$Y$274,MATCH(_xlfn.CONCAT(H6767," ",I6767),ForeCalc!$A$37:$A$274,0),MATCH(_xlfn.CONCAT(B6767," ",E6767),ForeCalc!$B$36:$Y$36,0))))*VLOOKUP(A6767,Calendar!$A$2:$H$9997,8,FALSE),0)</f>
        <v/>
      </c>
      <c r="G6767" s="29">
        <f>VLOOKUP(A6767,Calendar!$A$1:$H$9997,6,FALSE)-F6767</f>
        <v/>
      </c>
      <c r="H6767" s="19" t="n">
        <v>1</v>
      </c>
      <c r="I6767" s="57" t="n">
        <v>7</v>
      </c>
    </row>
    <row r="6768">
      <c r="A6768" s="62" t="n">
        <v>46303</v>
      </c>
      <c r="B6768" s="3" t="inlineStr">
        <is>
          <t>Week</t>
        </is>
      </c>
      <c r="C6768" s="19" t="n">
        <v>10</v>
      </c>
      <c r="D6768" s="19" t="n">
        <v>2026</v>
      </c>
      <c r="E6768" s="57" t="n">
        <v>7</v>
      </c>
      <c r="F6768" s="29">
        <f>ROUND(((SUMIFS(Calendar!$F$2:$F$9997,Calendar!$B$2:$B$9997,D6768,Calendar!$C$2:$C$9997,C6768)*INDEX(ForeCalc!$B$37:$Y$274,MATCH(_xlfn.CONCAT(H6768," ",I6768),ForeCalc!$A$37:$A$274,0),MATCH(_xlfn.CONCAT(B6768," ",E6768),ForeCalc!$B$36:$Y$36,0))))*VLOOKUP(A6768,Calendar!$A$2:$H$9997,8,FALSE),0)</f>
        <v/>
      </c>
      <c r="G6768" s="29">
        <f>VLOOKUP(A6768,Calendar!$A$1:$H$9997,6,FALSE)-F6768</f>
        <v/>
      </c>
      <c r="H6768" s="19" t="n">
        <v>1</v>
      </c>
      <c r="I6768" s="57" t="n">
        <v>7</v>
      </c>
    </row>
    <row r="6769">
      <c r="A6769" s="62" t="n">
        <v>46304</v>
      </c>
      <c r="B6769" s="3" t="inlineStr">
        <is>
          <t>Week</t>
        </is>
      </c>
      <c r="C6769" s="19" t="n">
        <v>10</v>
      </c>
      <c r="D6769" s="19" t="n">
        <v>2026</v>
      </c>
      <c r="E6769" s="57" t="n">
        <v>7</v>
      </c>
      <c r="F6769" s="29">
        <f>ROUND(((SUMIFS(Calendar!$F$2:$F$9997,Calendar!$B$2:$B$9997,D6769,Calendar!$C$2:$C$9997,C6769)*INDEX(ForeCalc!$B$37:$Y$274,MATCH(_xlfn.CONCAT(H6769," ",I6769),ForeCalc!$A$37:$A$274,0),MATCH(_xlfn.CONCAT(B6769," ",E6769),ForeCalc!$B$36:$Y$36,0))))*VLOOKUP(A6769,Calendar!$A$2:$H$9997,8,FALSE),0)</f>
        <v/>
      </c>
      <c r="G6769" s="29">
        <f>VLOOKUP(A6769,Calendar!$A$1:$H$9997,6,FALSE)-F6769</f>
        <v/>
      </c>
      <c r="H6769" s="19" t="n">
        <v>1</v>
      </c>
      <c r="I6769" s="57" t="n">
        <v>7</v>
      </c>
    </row>
    <row r="6770">
      <c r="A6770" s="62" t="n">
        <v>46305</v>
      </c>
      <c r="B6770" s="3" t="inlineStr">
        <is>
          <t>Sat</t>
        </is>
      </c>
      <c r="C6770" s="19" t="n">
        <v>10</v>
      </c>
      <c r="D6770" s="19" t="n">
        <v>2026</v>
      </c>
      <c r="E6770" s="57" t="n">
        <v>7</v>
      </c>
      <c r="F6770" s="29">
        <f>ROUND(((SUMIFS(Calendar!$F$2:$F$9997,Calendar!$B$2:$B$9997,D6770,Calendar!$C$2:$C$9997,C6770)*INDEX(ForeCalc!$B$37:$Y$274,MATCH(_xlfn.CONCAT(H6770," ",I6770),ForeCalc!$A$37:$A$274,0),MATCH(_xlfn.CONCAT(B6770," ",E6770),ForeCalc!$B$36:$Y$36,0))))*VLOOKUP(A6770,Calendar!$A$2:$H$9997,8,FALSE),0)</f>
        <v/>
      </c>
      <c r="G6770" s="29">
        <f>VLOOKUP(A6770,Calendar!$A$1:$H$9997,6,FALSE)-F6770</f>
        <v/>
      </c>
      <c r="H6770" s="19" t="n">
        <v>1</v>
      </c>
      <c r="I6770" s="57" t="n">
        <v>7</v>
      </c>
    </row>
    <row r="6771">
      <c r="A6771" s="62" t="n">
        <v>46306</v>
      </c>
      <c r="B6771" s="3" t="inlineStr">
        <is>
          <t>Sun</t>
        </is>
      </c>
      <c r="C6771" s="19" t="n">
        <v>10</v>
      </c>
      <c r="D6771" s="19" t="n">
        <v>2026</v>
      </c>
      <c r="E6771" s="57" t="n">
        <v>7</v>
      </c>
      <c r="F6771" s="29">
        <f>ROUND(((SUMIFS(Calendar!$F$2:$F$9997,Calendar!$B$2:$B$9997,D6771,Calendar!$C$2:$C$9997,C6771)*INDEX(ForeCalc!$B$37:$Y$274,MATCH(_xlfn.CONCAT(H6771," ",I6771),ForeCalc!$A$37:$A$274,0),MATCH(_xlfn.CONCAT(B6771," ",E6771),ForeCalc!$B$36:$Y$36,0))))*VLOOKUP(A6771,Calendar!$A$2:$H$9997,8,FALSE),0)</f>
        <v/>
      </c>
      <c r="G6771" s="29">
        <f>VLOOKUP(A6771,Calendar!$A$1:$H$9997,6,FALSE)-F6771</f>
        <v/>
      </c>
      <c r="H6771" s="19" t="n">
        <v>1</v>
      </c>
      <c r="I6771" s="57" t="n">
        <v>7</v>
      </c>
    </row>
    <row r="6772">
      <c r="A6772" s="62" t="n">
        <v>46307</v>
      </c>
      <c r="B6772" s="3" t="inlineStr">
        <is>
          <t>Week</t>
        </is>
      </c>
      <c r="C6772" s="19" t="n">
        <v>10</v>
      </c>
      <c r="D6772" s="19" t="n">
        <v>2026</v>
      </c>
      <c r="E6772" s="57" t="n">
        <v>7</v>
      </c>
      <c r="F6772" s="29">
        <f>ROUND(((SUMIFS(Calendar!$F$2:$F$9997,Calendar!$B$2:$B$9997,D6772,Calendar!$C$2:$C$9997,C6772)*INDEX(ForeCalc!$B$37:$Y$274,MATCH(_xlfn.CONCAT(H6772," ",I6772),ForeCalc!$A$37:$A$274,0),MATCH(_xlfn.CONCAT(B6772," ",E6772),ForeCalc!$B$36:$Y$36,0))))*VLOOKUP(A6772,Calendar!$A$2:$H$9997,8,FALSE),0)</f>
        <v/>
      </c>
      <c r="G6772" s="29">
        <f>VLOOKUP(A6772,Calendar!$A$1:$H$9997,6,FALSE)-F6772</f>
        <v/>
      </c>
      <c r="H6772" s="19" t="n">
        <v>1</v>
      </c>
      <c r="I6772" s="57" t="n">
        <v>7</v>
      </c>
    </row>
    <row r="6773">
      <c r="A6773" s="62" t="n">
        <v>46308</v>
      </c>
      <c r="B6773" s="3" t="inlineStr">
        <is>
          <t>Week</t>
        </is>
      </c>
      <c r="C6773" s="19" t="n">
        <v>10</v>
      </c>
      <c r="D6773" s="19" t="n">
        <v>2026</v>
      </c>
      <c r="E6773" s="57" t="n">
        <v>7</v>
      </c>
      <c r="F6773" s="29">
        <f>ROUND(((SUMIFS(Calendar!$F$2:$F$9997,Calendar!$B$2:$B$9997,D6773,Calendar!$C$2:$C$9997,C6773)*INDEX(ForeCalc!$B$37:$Y$274,MATCH(_xlfn.CONCAT(H6773," ",I6773),ForeCalc!$A$37:$A$274,0),MATCH(_xlfn.CONCAT(B6773," ",E6773),ForeCalc!$B$36:$Y$36,0))))*VLOOKUP(A6773,Calendar!$A$2:$H$9997,8,FALSE),0)</f>
        <v/>
      </c>
      <c r="G6773" s="29">
        <f>VLOOKUP(A6773,Calendar!$A$1:$H$9997,6,FALSE)-F6773</f>
        <v/>
      </c>
      <c r="H6773" s="19" t="n">
        <v>1</v>
      </c>
      <c r="I6773" s="57" t="n">
        <v>7</v>
      </c>
    </row>
    <row r="6774">
      <c r="A6774" s="62" t="n">
        <v>46309</v>
      </c>
      <c r="B6774" s="3" t="inlineStr">
        <is>
          <t>Week</t>
        </is>
      </c>
      <c r="C6774" s="19" t="n">
        <v>10</v>
      </c>
      <c r="D6774" s="19" t="n">
        <v>2026</v>
      </c>
      <c r="E6774" s="57" t="n">
        <v>7</v>
      </c>
      <c r="F6774" s="29">
        <f>ROUND(((SUMIFS(Calendar!$F$2:$F$9997,Calendar!$B$2:$B$9997,D6774,Calendar!$C$2:$C$9997,C6774)*INDEX(ForeCalc!$B$37:$Y$274,MATCH(_xlfn.CONCAT(H6774," ",I6774),ForeCalc!$A$37:$A$274,0),MATCH(_xlfn.CONCAT(B6774," ",E6774),ForeCalc!$B$36:$Y$36,0))))*VLOOKUP(A6774,Calendar!$A$2:$H$9997,8,FALSE),0)</f>
        <v/>
      </c>
      <c r="G6774" s="29">
        <f>VLOOKUP(A6774,Calendar!$A$1:$H$9997,6,FALSE)-F6774</f>
        <v/>
      </c>
      <c r="H6774" s="19" t="n">
        <v>1</v>
      </c>
      <c r="I6774" s="57" t="n">
        <v>7</v>
      </c>
    </row>
    <row r="6775">
      <c r="A6775" s="62" t="n">
        <v>46310</v>
      </c>
      <c r="B6775" s="3" t="inlineStr">
        <is>
          <t>Week</t>
        </is>
      </c>
      <c r="C6775" s="19" t="n">
        <v>10</v>
      </c>
      <c r="D6775" s="19" t="n">
        <v>2026</v>
      </c>
      <c r="E6775" s="57" t="n">
        <v>7</v>
      </c>
      <c r="F6775" s="29">
        <f>ROUND(((SUMIFS(Calendar!$F$2:$F$9997,Calendar!$B$2:$B$9997,D6775,Calendar!$C$2:$C$9997,C6775)*INDEX(ForeCalc!$B$37:$Y$274,MATCH(_xlfn.CONCAT(H6775," ",I6775),ForeCalc!$A$37:$A$274,0),MATCH(_xlfn.CONCAT(B6775," ",E6775),ForeCalc!$B$36:$Y$36,0))))*VLOOKUP(A6775,Calendar!$A$2:$H$9997,8,FALSE),0)</f>
        <v/>
      </c>
      <c r="G6775" s="29">
        <f>VLOOKUP(A6775,Calendar!$A$1:$H$9997,6,FALSE)-F6775</f>
        <v/>
      </c>
      <c r="H6775" s="19" t="n">
        <v>1</v>
      </c>
      <c r="I6775" s="57" t="n">
        <v>7</v>
      </c>
    </row>
    <row r="6776">
      <c r="A6776" s="62" t="n">
        <v>46311</v>
      </c>
      <c r="B6776" s="3" t="inlineStr">
        <is>
          <t>Week</t>
        </is>
      </c>
      <c r="C6776" s="19" t="n">
        <v>10</v>
      </c>
      <c r="D6776" s="19" t="n">
        <v>2026</v>
      </c>
      <c r="E6776" s="57" t="n">
        <v>7</v>
      </c>
      <c r="F6776" s="29">
        <f>ROUND(((SUMIFS(Calendar!$F$2:$F$9997,Calendar!$B$2:$B$9997,D6776,Calendar!$C$2:$C$9997,C6776)*INDEX(ForeCalc!$B$37:$Y$274,MATCH(_xlfn.CONCAT(H6776," ",I6776),ForeCalc!$A$37:$A$274,0),MATCH(_xlfn.CONCAT(B6776," ",E6776),ForeCalc!$B$36:$Y$36,0))))*VLOOKUP(A6776,Calendar!$A$2:$H$9997,8,FALSE),0)</f>
        <v/>
      </c>
      <c r="G6776" s="29">
        <f>VLOOKUP(A6776,Calendar!$A$1:$H$9997,6,FALSE)-F6776</f>
        <v/>
      </c>
      <c r="H6776" s="19" t="n">
        <v>1</v>
      </c>
      <c r="I6776" s="57" t="n">
        <v>7</v>
      </c>
    </row>
    <row r="6777">
      <c r="A6777" s="62" t="n">
        <v>46312</v>
      </c>
      <c r="B6777" s="3" t="inlineStr">
        <is>
          <t>Sat</t>
        </is>
      </c>
      <c r="C6777" s="19" t="n">
        <v>10</v>
      </c>
      <c r="D6777" s="19" t="n">
        <v>2026</v>
      </c>
      <c r="E6777" s="57" t="n">
        <v>7</v>
      </c>
      <c r="F6777" s="29">
        <f>ROUND(((SUMIFS(Calendar!$F$2:$F$9997,Calendar!$B$2:$B$9997,D6777,Calendar!$C$2:$C$9997,C6777)*INDEX(ForeCalc!$B$37:$Y$274,MATCH(_xlfn.CONCAT(H6777," ",I6777),ForeCalc!$A$37:$A$274,0),MATCH(_xlfn.CONCAT(B6777," ",E6777),ForeCalc!$B$36:$Y$36,0))))*VLOOKUP(A6777,Calendar!$A$2:$H$9997,8,FALSE),0)</f>
        <v/>
      </c>
      <c r="G6777" s="29">
        <f>VLOOKUP(A6777,Calendar!$A$1:$H$9997,6,FALSE)-F6777</f>
        <v/>
      </c>
      <c r="H6777" s="19" t="n">
        <v>1</v>
      </c>
      <c r="I6777" s="57" t="n">
        <v>7</v>
      </c>
    </row>
    <row r="6778">
      <c r="A6778" s="62" t="n">
        <v>46313</v>
      </c>
      <c r="B6778" s="3" t="inlineStr">
        <is>
          <t>Sun</t>
        </is>
      </c>
      <c r="C6778" s="19" t="n">
        <v>10</v>
      </c>
      <c r="D6778" s="19" t="n">
        <v>2026</v>
      </c>
      <c r="E6778" s="57" t="n">
        <v>7</v>
      </c>
      <c r="F6778" s="29">
        <f>ROUND(((SUMIFS(Calendar!$F$2:$F$9997,Calendar!$B$2:$B$9997,D6778,Calendar!$C$2:$C$9997,C6778)*INDEX(ForeCalc!$B$37:$Y$274,MATCH(_xlfn.CONCAT(H6778," ",I6778),ForeCalc!$A$37:$A$274,0),MATCH(_xlfn.CONCAT(B6778," ",E6778),ForeCalc!$B$36:$Y$36,0))))*VLOOKUP(A6778,Calendar!$A$2:$H$9997,8,FALSE),0)</f>
        <v/>
      </c>
      <c r="G6778" s="29">
        <f>VLOOKUP(A6778,Calendar!$A$1:$H$9997,6,FALSE)-F6778</f>
        <v/>
      </c>
      <c r="H6778" s="19" t="n">
        <v>1</v>
      </c>
      <c r="I6778" s="57" t="n">
        <v>7</v>
      </c>
    </row>
    <row r="6779">
      <c r="A6779" s="62" t="n">
        <v>46314</v>
      </c>
      <c r="B6779" s="3" t="inlineStr">
        <is>
          <t>Week</t>
        </is>
      </c>
      <c r="C6779" s="19" t="n">
        <v>10</v>
      </c>
      <c r="D6779" s="19" t="n">
        <v>2026</v>
      </c>
      <c r="E6779" s="57" t="n">
        <v>7</v>
      </c>
      <c r="F6779" s="29">
        <f>ROUND(((SUMIFS(Calendar!$F$2:$F$9997,Calendar!$B$2:$B$9997,D6779,Calendar!$C$2:$C$9997,C6779)*INDEX(ForeCalc!$B$37:$Y$274,MATCH(_xlfn.CONCAT(H6779," ",I6779),ForeCalc!$A$37:$A$274,0),MATCH(_xlfn.CONCAT(B6779," ",E6779),ForeCalc!$B$36:$Y$36,0))))*VLOOKUP(A6779,Calendar!$A$2:$H$9997,8,FALSE),0)</f>
        <v/>
      </c>
      <c r="G6779" s="29">
        <f>VLOOKUP(A6779,Calendar!$A$1:$H$9997,6,FALSE)-F6779</f>
        <v/>
      </c>
      <c r="H6779" s="19" t="n">
        <v>1</v>
      </c>
      <c r="I6779" s="57" t="n">
        <v>7</v>
      </c>
    </row>
    <row r="6780">
      <c r="A6780" s="62" t="n">
        <v>46315</v>
      </c>
      <c r="B6780" s="3" t="inlineStr">
        <is>
          <t>Week</t>
        </is>
      </c>
      <c r="C6780" s="19" t="n">
        <v>10</v>
      </c>
      <c r="D6780" s="19" t="n">
        <v>2026</v>
      </c>
      <c r="E6780" s="57" t="n">
        <v>7</v>
      </c>
      <c r="F6780" s="29">
        <f>ROUND(((SUMIFS(Calendar!$F$2:$F$9997,Calendar!$B$2:$B$9997,D6780,Calendar!$C$2:$C$9997,C6780)*INDEX(ForeCalc!$B$37:$Y$274,MATCH(_xlfn.CONCAT(H6780," ",I6780),ForeCalc!$A$37:$A$274,0),MATCH(_xlfn.CONCAT(B6780," ",E6780),ForeCalc!$B$36:$Y$36,0))))*VLOOKUP(A6780,Calendar!$A$2:$H$9997,8,FALSE),0)</f>
        <v/>
      </c>
      <c r="G6780" s="29">
        <f>VLOOKUP(A6780,Calendar!$A$1:$H$9997,6,FALSE)-F6780</f>
        <v/>
      </c>
      <c r="H6780" s="19" t="n">
        <v>1</v>
      </c>
      <c r="I6780" s="57" t="n">
        <v>7</v>
      </c>
    </row>
    <row r="6781">
      <c r="A6781" s="62" t="n">
        <v>46316</v>
      </c>
      <c r="B6781" s="3" t="inlineStr">
        <is>
          <t>Week</t>
        </is>
      </c>
      <c r="C6781" s="19" t="n">
        <v>10</v>
      </c>
      <c r="D6781" s="19" t="n">
        <v>2026</v>
      </c>
      <c r="E6781" s="57" t="n">
        <v>7</v>
      </c>
      <c r="F6781" s="29">
        <f>ROUND(((SUMIFS(Calendar!$F$2:$F$9997,Calendar!$B$2:$B$9997,D6781,Calendar!$C$2:$C$9997,C6781)*INDEX(ForeCalc!$B$37:$Y$274,MATCH(_xlfn.CONCAT(H6781," ",I6781),ForeCalc!$A$37:$A$274,0),MATCH(_xlfn.CONCAT(B6781," ",E6781),ForeCalc!$B$36:$Y$36,0))))*VLOOKUP(A6781,Calendar!$A$2:$H$9997,8,FALSE),0)</f>
        <v/>
      </c>
      <c r="G6781" s="29">
        <f>VLOOKUP(A6781,Calendar!$A$1:$H$9997,6,FALSE)-F6781</f>
        <v/>
      </c>
      <c r="H6781" s="19" t="n">
        <v>1</v>
      </c>
      <c r="I6781" s="57" t="n">
        <v>7</v>
      </c>
    </row>
    <row r="6782">
      <c r="A6782" s="62" t="n">
        <v>46317</v>
      </c>
      <c r="B6782" s="3" t="inlineStr">
        <is>
          <t>Week</t>
        </is>
      </c>
      <c r="C6782" s="19" t="n">
        <v>10</v>
      </c>
      <c r="D6782" s="19" t="n">
        <v>2026</v>
      </c>
      <c r="E6782" s="57" t="n">
        <v>7</v>
      </c>
      <c r="F6782" s="29">
        <f>ROUND(((SUMIFS(Calendar!$F$2:$F$9997,Calendar!$B$2:$B$9997,D6782,Calendar!$C$2:$C$9997,C6782)*INDEX(ForeCalc!$B$37:$Y$274,MATCH(_xlfn.CONCAT(H6782," ",I6782),ForeCalc!$A$37:$A$274,0),MATCH(_xlfn.CONCAT(B6782," ",E6782),ForeCalc!$B$36:$Y$36,0))))*VLOOKUP(A6782,Calendar!$A$2:$H$9997,8,FALSE),0)</f>
        <v/>
      </c>
      <c r="G6782" s="29">
        <f>VLOOKUP(A6782,Calendar!$A$1:$H$9997,6,FALSE)-F6782</f>
        <v/>
      </c>
      <c r="H6782" s="19" t="n">
        <v>1</v>
      </c>
      <c r="I6782" s="57" t="n">
        <v>7</v>
      </c>
    </row>
    <row r="6783">
      <c r="A6783" s="62" t="n">
        <v>46318</v>
      </c>
      <c r="B6783" s="3" t="inlineStr">
        <is>
          <t>Week</t>
        </is>
      </c>
      <c r="C6783" s="19" t="n">
        <v>10</v>
      </c>
      <c r="D6783" s="19" t="n">
        <v>2026</v>
      </c>
      <c r="E6783" s="57" t="n">
        <v>7</v>
      </c>
      <c r="F6783" s="29">
        <f>ROUND(((SUMIFS(Calendar!$F$2:$F$9997,Calendar!$B$2:$B$9997,D6783,Calendar!$C$2:$C$9997,C6783)*INDEX(ForeCalc!$B$37:$Y$274,MATCH(_xlfn.CONCAT(H6783," ",I6783),ForeCalc!$A$37:$A$274,0),MATCH(_xlfn.CONCAT(B6783," ",E6783),ForeCalc!$B$36:$Y$36,0))))*VLOOKUP(A6783,Calendar!$A$2:$H$9997,8,FALSE),0)</f>
        <v/>
      </c>
      <c r="G6783" s="29">
        <f>VLOOKUP(A6783,Calendar!$A$1:$H$9997,6,FALSE)-F6783</f>
        <v/>
      </c>
      <c r="H6783" s="19" t="n">
        <v>1</v>
      </c>
      <c r="I6783" s="57" t="n">
        <v>7</v>
      </c>
    </row>
    <row r="6784">
      <c r="A6784" s="62" t="n">
        <v>46319</v>
      </c>
      <c r="B6784" s="3" t="inlineStr">
        <is>
          <t>Sat</t>
        </is>
      </c>
      <c r="C6784" s="19" t="n">
        <v>10</v>
      </c>
      <c r="D6784" s="19" t="n">
        <v>2026</v>
      </c>
      <c r="E6784" s="57" t="n">
        <v>7</v>
      </c>
      <c r="F6784" s="29">
        <f>ROUND(((SUMIFS(Calendar!$F$2:$F$9997,Calendar!$B$2:$B$9997,D6784,Calendar!$C$2:$C$9997,C6784)*INDEX(ForeCalc!$B$37:$Y$274,MATCH(_xlfn.CONCAT(H6784," ",I6784),ForeCalc!$A$37:$A$274,0),MATCH(_xlfn.CONCAT(B6784," ",E6784),ForeCalc!$B$36:$Y$36,0))))*VLOOKUP(A6784,Calendar!$A$2:$H$9997,8,FALSE),0)</f>
        <v/>
      </c>
      <c r="G6784" s="29">
        <f>VLOOKUP(A6784,Calendar!$A$1:$H$9997,6,FALSE)-F6784</f>
        <v/>
      </c>
      <c r="H6784" s="19" t="n">
        <v>1</v>
      </c>
      <c r="I6784" s="57" t="n">
        <v>7</v>
      </c>
    </row>
    <row r="6785">
      <c r="A6785" s="62" t="n">
        <v>46320</v>
      </c>
      <c r="B6785" s="3" t="inlineStr">
        <is>
          <t>Sun</t>
        </is>
      </c>
      <c r="C6785" s="19" t="n">
        <v>10</v>
      </c>
      <c r="D6785" s="19" t="n">
        <v>2026</v>
      </c>
      <c r="E6785" s="57" t="n">
        <v>7</v>
      </c>
      <c r="F6785" s="29">
        <f>ROUND(((SUMIFS(Calendar!$F$2:$F$9997,Calendar!$B$2:$B$9997,D6785,Calendar!$C$2:$C$9997,C6785)*INDEX(ForeCalc!$B$37:$Y$274,MATCH(_xlfn.CONCAT(H6785," ",I6785),ForeCalc!$A$37:$A$274,0),MATCH(_xlfn.CONCAT(B6785," ",E6785),ForeCalc!$B$36:$Y$36,0))))*VLOOKUP(A6785,Calendar!$A$2:$H$9997,8,FALSE),0)</f>
        <v/>
      </c>
      <c r="G6785" s="29">
        <f>VLOOKUP(A6785,Calendar!$A$1:$H$9997,6,FALSE)-F6785</f>
        <v/>
      </c>
      <c r="H6785" s="19" t="n">
        <v>1</v>
      </c>
      <c r="I6785" s="57" t="n">
        <v>7</v>
      </c>
    </row>
    <row r="6786">
      <c r="A6786" s="62" t="n">
        <v>46321</v>
      </c>
      <c r="B6786" s="3" t="inlineStr">
        <is>
          <t>Week</t>
        </is>
      </c>
      <c r="C6786" s="19" t="n">
        <v>10</v>
      </c>
      <c r="D6786" s="19" t="n">
        <v>2026</v>
      </c>
      <c r="E6786" s="57" t="n">
        <v>7</v>
      </c>
      <c r="F6786" s="29">
        <f>ROUND(((SUMIFS(Calendar!$F$2:$F$9997,Calendar!$B$2:$B$9997,D6786,Calendar!$C$2:$C$9997,C6786)*INDEX(ForeCalc!$B$37:$Y$274,MATCH(_xlfn.CONCAT(H6786," ",I6786),ForeCalc!$A$37:$A$274,0),MATCH(_xlfn.CONCAT(B6786," ",E6786),ForeCalc!$B$36:$Y$36,0))))*VLOOKUP(A6786,Calendar!$A$2:$H$9997,8,FALSE),0)</f>
        <v/>
      </c>
      <c r="G6786" s="29">
        <f>VLOOKUP(A6786,Calendar!$A$1:$H$9997,6,FALSE)-F6786</f>
        <v/>
      </c>
      <c r="H6786" s="19" t="n">
        <v>1</v>
      </c>
      <c r="I6786" s="57" t="n">
        <v>7</v>
      </c>
    </row>
    <row r="6787">
      <c r="A6787" s="62" t="n">
        <v>46322</v>
      </c>
      <c r="B6787" s="3" t="inlineStr">
        <is>
          <t>Week</t>
        </is>
      </c>
      <c r="C6787" s="19" t="n">
        <v>10</v>
      </c>
      <c r="D6787" s="19" t="n">
        <v>2026</v>
      </c>
      <c r="E6787" s="57" t="n">
        <v>7</v>
      </c>
      <c r="F6787" s="29">
        <f>ROUND(((SUMIFS(Calendar!$F$2:$F$9997,Calendar!$B$2:$B$9997,D6787,Calendar!$C$2:$C$9997,C6787)*INDEX(ForeCalc!$B$37:$Y$274,MATCH(_xlfn.CONCAT(H6787," ",I6787),ForeCalc!$A$37:$A$274,0),MATCH(_xlfn.CONCAT(B6787," ",E6787),ForeCalc!$B$36:$Y$36,0))))*VLOOKUP(A6787,Calendar!$A$2:$H$9997,8,FALSE),0)</f>
        <v/>
      </c>
      <c r="G6787" s="29">
        <f>VLOOKUP(A6787,Calendar!$A$1:$H$9997,6,FALSE)-F6787</f>
        <v/>
      </c>
      <c r="H6787" s="19" t="n">
        <v>1</v>
      </c>
      <c r="I6787" s="57" t="n">
        <v>7</v>
      </c>
    </row>
    <row r="6788">
      <c r="A6788" s="62" t="n">
        <v>46323</v>
      </c>
      <c r="B6788" s="3" t="inlineStr">
        <is>
          <t>Week</t>
        </is>
      </c>
      <c r="C6788" s="19" t="n">
        <v>10</v>
      </c>
      <c r="D6788" s="19" t="n">
        <v>2026</v>
      </c>
      <c r="E6788" s="57" t="n">
        <v>7</v>
      </c>
      <c r="F6788" s="29">
        <f>ROUND(((SUMIFS(Calendar!$F$2:$F$9997,Calendar!$B$2:$B$9997,D6788,Calendar!$C$2:$C$9997,C6788)*INDEX(ForeCalc!$B$37:$Y$274,MATCH(_xlfn.CONCAT(H6788," ",I6788),ForeCalc!$A$37:$A$274,0),MATCH(_xlfn.CONCAT(B6788," ",E6788),ForeCalc!$B$36:$Y$36,0))))*VLOOKUP(A6788,Calendar!$A$2:$H$9997,8,FALSE),0)</f>
        <v/>
      </c>
      <c r="G6788" s="29">
        <f>VLOOKUP(A6788,Calendar!$A$1:$H$9997,6,FALSE)-F6788</f>
        <v/>
      </c>
      <c r="H6788" s="19" t="n">
        <v>1</v>
      </c>
      <c r="I6788" s="57" t="n">
        <v>7</v>
      </c>
    </row>
    <row r="6789">
      <c r="A6789" s="62" t="n">
        <v>46324</v>
      </c>
      <c r="B6789" s="3" t="inlineStr">
        <is>
          <t>Week</t>
        </is>
      </c>
      <c r="C6789" s="19" t="n">
        <v>10</v>
      </c>
      <c r="D6789" s="19" t="n">
        <v>2026</v>
      </c>
      <c r="E6789" s="57" t="n">
        <v>7</v>
      </c>
      <c r="F6789" s="29">
        <f>ROUND(((SUMIFS(Calendar!$F$2:$F$9997,Calendar!$B$2:$B$9997,D6789,Calendar!$C$2:$C$9997,C6789)*INDEX(ForeCalc!$B$37:$Y$274,MATCH(_xlfn.CONCAT(H6789," ",I6789),ForeCalc!$A$37:$A$274,0),MATCH(_xlfn.CONCAT(B6789," ",E6789),ForeCalc!$B$36:$Y$36,0))))*VLOOKUP(A6789,Calendar!$A$2:$H$9997,8,FALSE),0)</f>
        <v/>
      </c>
      <c r="G6789" s="29">
        <f>VLOOKUP(A6789,Calendar!$A$1:$H$9997,6,FALSE)-F6789</f>
        <v/>
      </c>
      <c r="H6789" s="19" t="n">
        <v>1</v>
      </c>
      <c r="I6789" s="57" t="n">
        <v>7</v>
      </c>
    </row>
    <row r="6790">
      <c r="A6790" s="62" t="n">
        <v>46325</v>
      </c>
      <c r="B6790" s="3" t="inlineStr">
        <is>
          <t>Week</t>
        </is>
      </c>
      <c r="C6790" s="19" t="n">
        <v>10</v>
      </c>
      <c r="D6790" s="19" t="n">
        <v>2026</v>
      </c>
      <c r="E6790" s="57" t="n">
        <v>7</v>
      </c>
      <c r="F6790" s="29">
        <f>ROUND(((SUMIFS(Calendar!$F$2:$F$9997,Calendar!$B$2:$B$9997,D6790,Calendar!$C$2:$C$9997,C6790)*INDEX(ForeCalc!$B$37:$Y$274,MATCH(_xlfn.CONCAT(H6790," ",I6790),ForeCalc!$A$37:$A$274,0),MATCH(_xlfn.CONCAT(B6790," ",E6790),ForeCalc!$B$36:$Y$36,0))))*VLOOKUP(A6790,Calendar!$A$2:$H$9997,8,FALSE),0)</f>
        <v/>
      </c>
      <c r="G6790" s="29">
        <f>VLOOKUP(A6790,Calendar!$A$1:$H$9997,6,FALSE)-F6790</f>
        <v/>
      </c>
      <c r="H6790" s="19" t="n">
        <v>1</v>
      </c>
      <c r="I6790" s="57" t="n">
        <v>7</v>
      </c>
    </row>
    <row r="6791">
      <c r="A6791" s="62" t="n">
        <v>46326</v>
      </c>
      <c r="B6791" s="3" t="inlineStr">
        <is>
          <t>Sat</t>
        </is>
      </c>
      <c r="C6791" s="19" t="n">
        <v>10</v>
      </c>
      <c r="D6791" s="19" t="n">
        <v>2026</v>
      </c>
      <c r="E6791" s="57" t="n">
        <v>7</v>
      </c>
      <c r="F6791" s="29">
        <f>ROUND(((SUMIFS(Calendar!$F$2:$F$9997,Calendar!$B$2:$B$9997,D6791,Calendar!$C$2:$C$9997,C6791)*INDEX(ForeCalc!$B$37:$Y$274,MATCH(_xlfn.CONCAT(H6791," ",I6791),ForeCalc!$A$37:$A$274,0),MATCH(_xlfn.CONCAT(B6791," ",E6791),ForeCalc!$B$36:$Y$36,0))))*VLOOKUP(A6791,Calendar!$A$2:$H$9997,8,FALSE),0)</f>
        <v/>
      </c>
      <c r="G6791" s="29">
        <f>VLOOKUP(A6791,Calendar!$A$1:$H$9997,6,FALSE)-F6791</f>
        <v/>
      </c>
      <c r="H6791" s="19" t="n">
        <v>1</v>
      </c>
      <c r="I6791" s="57" t="n">
        <v>7</v>
      </c>
    </row>
    <row r="6792">
      <c r="A6792" s="62" t="n">
        <v>46327</v>
      </c>
      <c r="B6792" s="3" t="inlineStr">
        <is>
          <t>Sun</t>
        </is>
      </c>
      <c r="C6792" s="19" t="n">
        <v>11</v>
      </c>
      <c r="D6792" s="19" t="n">
        <v>2026</v>
      </c>
      <c r="E6792" s="57" t="n">
        <v>7</v>
      </c>
      <c r="F6792" s="29">
        <f>ROUND(((SUMIFS(Calendar!$F$2:$F$9997,Calendar!$B$2:$B$9997,D6792,Calendar!$C$2:$C$9997,C6792)*INDEX(ForeCalc!$B$37:$Y$274,MATCH(_xlfn.CONCAT(H6792," ",I6792),ForeCalc!$A$37:$A$274,0),MATCH(_xlfn.CONCAT(B6792," ",E6792),ForeCalc!$B$36:$Y$36,0))))*VLOOKUP(A6792,Calendar!$A$2:$H$9997,8,FALSE),0)</f>
        <v/>
      </c>
      <c r="G6792" s="29">
        <f>VLOOKUP(A6792,Calendar!$A$1:$H$9997,6,FALSE)-F6792</f>
        <v/>
      </c>
      <c r="H6792" s="19" t="n">
        <v>1</v>
      </c>
      <c r="I6792" s="57" t="n">
        <v>8</v>
      </c>
    </row>
    <row r="6793">
      <c r="A6793" s="62" t="n">
        <v>46328</v>
      </c>
      <c r="B6793" s="3" t="inlineStr">
        <is>
          <t>Week</t>
        </is>
      </c>
      <c r="C6793" s="19" t="n">
        <v>11</v>
      </c>
      <c r="D6793" s="19" t="n">
        <v>2026</v>
      </c>
      <c r="E6793" s="57" t="n">
        <v>7</v>
      </c>
      <c r="F6793" s="29">
        <f>ROUND(((SUMIFS(Calendar!$F$2:$F$9997,Calendar!$B$2:$B$9997,D6793,Calendar!$C$2:$C$9997,C6793)*INDEX(ForeCalc!$B$37:$Y$274,MATCH(_xlfn.CONCAT(H6793," ",I6793),ForeCalc!$A$37:$A$274,0),MATCH(_xlfn.CONCAT(B6793," ",E6793),ForeCalc!$B$36:$Y$36,0))))*VLOOKUP(A6793,Calendar!$A$2:$H$9997,8,FALSE),0)</f>
        <v/>
      </c>
      <c r="G6793" s="29">
        <f>VLOOKUP(A6793,Calendar!$A$1:$H$9997,6,FALSE)-F6793</f>
        <v/>
      </c>
      <c r="H6793" s="19" t="n">
        <v>1</v>
      </c>
      <c r="I6793" s="57" t="n">
        <v>8</v>
      </c>
    </row>
    <row r="6794">
      <c r="A6794" s="62" t="n">
        <v>46329</v>
      </c>
      <c r="B6794" s="3" t="inlineStr">
        <is>
          <t>Week</t>
        </is>
      </c>
      <c r="C6794" s="19" t="n">
        <v>11</v>
      </c>
      <c r="D6794" s="19" t="n">
        <v>2026</v>
      </c>
      <c r="E6794" s="57" t="n">
        <v>7</v>
      </c>
      <c r="F6794" s="29">
        <f>ROUND(((SUMIFS(Calendar!$F$2:$F$9997,Calendar!$B$2:$B$9997,D6794,Calendar!$C$2:$C$9997,C6794)*INDEX(ForeCalc!$B$37:$Y$274,MATCH(_xlfn.CONCAT(H6794," ",I6794),ForeCalc!$A$37:$A$274,0),MATCH(_xlfn.CONCAT(B6794," ",E6794),ForeCalc!$B$36:$Y$36,0))))*VLOOKUP(A6794,Calendar!$A$2:$H$9997,8,FALSE),0)</f>
        <v/>
      </c>
      <c r="G6794" s="29">
        <f>VLOOKUP(A6794,Calendar!$A$1:$H$9997,6,FALSE)-F6794</f>
        <v/>
      </c>
      <c r="H6794" s="19" t="n">
        <v>1</v>
      </c>
      <c r="I6794" s="57" t="n">
        <v>8</v>
      </c>
    </row>
    <row r="6795">
      <c r="A6795" s="62" t="n">
        <v>46330</v>
      </c>
      <c r="B6795" s="3" t="inlineStr">
        <is>
          <t>Week</t>
        </is>
      </c>
      <c r="C6795" s="19" t="n">
        <v>11</v>
      </c>
      <c r="D6795" s="19" t="n">
        <v>2026</v>
      </c>
      <c r="E6795" s="57" t="n">
        <v>7</v>
      </c>
      <c r="F6795" s="29">
        <f>ROUND(((SUMIFS(Calendar!$F$2:$F$9997,Calendar!$B$2:$B$9997,D6795,Calendar!$C$2:$C$9997,C6795)*INDEX(ForeCalc!$B$37:$Y$274,MATCH(_xlfn.CONCAT(H6795," ",I6795),ForeCalc!$A$37:$A$274,0),MATCH(_xlfn.CONCAT(B6795," ",E6795),ForeCalc!$B$36:$Y$36,0))))*VLOOKUP(A6795,Calendar!$A$2:$H$9997,8,FALSE),0)</f>
        <v/>
      </c>
      <c r="G6795" s="29">
        <f>VLOOKUP(A6795,Calendar!$A$1:$H$9997,6,FALSE)-F6795</f>
        <v/>
      </c>
      <c r="H6795" s="19" t="n">
        <v>1</v>
      </c>
      <c r="I6795" s="57" t="n">
        <v>8</v>
      </c>
    </row>
    <row r="6796">
      <c r="A6796" s="62" t="n">
        <v>46331</v>
      </c>
      <c r="B6796" s="3" t="inlineStr">
        <is>
          <t>Week</t>
        </is>
      </c>
      <c r="C6796" s="19" t="n">
        <v>11</v>
      </c>
      <c r="D6796" s="19" t="n">
        <v>2026</v>
      </c>
      <c r="E6796" s="57" t="n">
        <v>7</v>
      </c>
      <c r="F6796" s="29">
        <f>ROUND(((SUMIFS(Calendar!$F$2:$F$9997,Calendar!$B$2:$B$9997,D6796,Calendar!$C$2:$C$9997,C6796)*INDEX(ForeCalc!$B$37:$Y$274,MATCH(_xlfn.CONCAT(H6796," ",I6796),ForeCalc!$A$37:$A$274,0),MATCH(_xlfn.CONCAT(B6796," ",E6796),ForeCalc!$B$36:$Y$36,0))))*VLOOKUP(A6796,Calendar!$A$2:$H$9997,8,FALSE),0)</f>
        <v/>
      </c>
      <c r="G6796" s="29">
        <f>VLOOKUP(A6796,Calendar!$A$1:$H$9997,6,FALSE)-F6796</f>
        <v/>
      </c>
      <c r="H6796" s="19" t="n">
        <v>1</v>
      </c>
      <c r="I6796" s="57" t="n">
        <v>8</v>
      </c>
    </row>
    <row r="6797">
      <c r="A6797" s="62" t="n">
        <v>46332</v>
      </c>
      <c r="B6797" s="3" t="inlineStr">
        <is>
          <t>Week</t>
        </is>
      </c>
      <c r="C6797" s="19" t="n">
        <v>11</v>
      </c>
      <c r="D6797" s="19" t="n">
        <v>2026</v>
      </c>
      <c r="E6797" s="57" t="n">
        <v>7</v>
      </c>
      <c r="F6797" s="29">
        <f>ROUND(((SUMIFS(Calendar!$F$2:$F$9997,Calendar!$B$2:$B$9997,D6797,Calendar!$C$2:$C$9997,C6797)*INDEX(ForeCalc!$B$37:$Y$274,MATCH(_xlfn.CONCAT(H6797," ",I6797),ForeCalc!$A$37:$A$274,0),MATCH(_xlfn.CONCAT(B6797," ",E6797),ForeCalc!$B$36:$Y$36,0))))*VLOOKUP(A6797,Calendar!$A$2:$H$9997,8,FALSE),0)</f>
        <v/>
      </c>
      <c r="G6797" s="29">
        <f>VLOOKUP(A6797,Calendar!$A$1:$H$9997,6,FALSE)-F6797</f>
        <v/>
      </c>
      <c r="H6797" s="19" t="n">
        <v>1</v>
      </c>
      <c r="I6797" s="57" t="n">
        <v>8</v>
      </c>
    </row>
    <row r="6798">
      <c r="A6798" s="62" t="n">
        <v>46333</v>
      </c>
      <c r="B6798" s="3" t="inlineStr">
        <is>
          <t>Sat</t>
        </is>
      </c>
      <c r="C6798" s="19" t="n">
        <v>11</v>
      </c>
      <c r="D6798" s="19" t="n">
        <v>2026</v>
      </c>
      <c r="E6798" s="57" t="n">
        <v>7</v>
      </c>
      <c r="F6798" s="29">
        <f>ROUND(((SUMIFS(Calendar!$F$2:$F$9997,Calendar!$B$2:$B$9997,D6798,Calendar!$C$2:$C$9997,C6798)*INDEX(ForeCalc!$B$37:$Y$274,MATCH(_xlfn.CONCAT(H6798," ",I6798),ForeCalc!$A$37:$A$274,0),MATCH(_xlfn.CONCAT(B6798," ",E6798),ForeCalc!$B$36:$Y$36,0))))*VLOOKUP(A6798,Calendar!$A$2:$H$9997,8,FALSE),0)</f>
        <v/>
      </c>
      <c r="G6798" s="29">
        <f>VLOOKUP(A6798,Calendar!$A$1:$H$9997,6,FALSE)-F6798</f>
        <v/>
      </c>
      <c r="H6798" s="19" t="n">
        <v>1</v>
      </c>
      <c r="I6798" s="57" t="n">
        <v>8</v>
      </c>
    </row>
    <row r="6799">
      <c r="A6799" s="62" t="n">
        <v>46334</v>
      </c>
      <c r="B6799" s="3" t="inlineStr">
        <is>
          <t>Sun</t>
        </is>
      </c>
      <c r="C6799" s="19" t="n">
        <v>11</v>
      </c>
      <c r="D6799" s="19" t="n">
        <v>2026</v>
      </c>
      <c r="E6799" s="57" t="n">
        <v>7</v>
      </c>
      <c r="F6799" s="29">
        <f>ROUND(((SUMIFS(Calendar!$F$2:$F$9997,Calendar!$B$2:$B$9997,D6799,Calendar!$C$2:$C$9997,C6799)*INDEX(ForeCalc!$B$37:$Y$274,MATCH(_xlfn.CONCAT(H6799," ",I6799),ForeCalc!$A$37:$A$274,0),MATCH(_xlfn.CONCAT(B6799," ",E6799),ForeCalc!$B$36:$Y$36,0))))*VLOOKUP(A6799,Calendar!$A$2:$H$9997,8,FALSE),0)</f>
        <v/>
      </c>
      <c r="G6799" s="29">
        <f>VLOOKUP(A6799,Calendar!$A$1:$H$9997,6,FALSE)-F6799</f>
        <v/>
      </c>
      <c r="H6799" s="19" t="n">
        <v>1</v>
      </c>
      <c r="I6799" s="57" t="n">
        <v>8</v>
      </c>
    </row>
    <row r="6800">
      <c r="A6800" s="62" t="n">
        <v>46335</v>
      </c>
      <c r="B6800" s="3" t="inlineStr">
        <is>
          <t>Week</t>
        </is>
      </c>
      <c r="C6800" s="19" t="n">
        <v>11</v>
      </c>
      <c r="D6800" s="19" t="n">
        <v>2026</v>
      </c>
      <c r="E6800" s="57" t="n">
        <v>7</v>
      </c>
      <c r="F6800" s="29">
        <f>ROUND(((SUMIFS(Calendar!$F$2:$F$9997,Calendar!$B$2:$B$9997,D6800,Calendar!$C$2:$C$9997,C6800)*INDEX(ForeCalc!$B$37:$Y$274,MATCH(_xlfn.CONCAT(H6800," ",I6800),ForeCalc!$A$37:$A$274,0),MATCH(_xlfn.CONCAT(B6800," ",E6800),ForeCalc!$B$36:$Y$36,0))))*VLOOKUP(A6800,Calendar!$A$2:$H$9997,8,FALSE),0)</f>
        <v/>
      </c>
      <c r="G6800" s="29">
        <f>VLOOKUP(A6800,Calendar!$A$1:$H$9997,6,FALSE)-F6800</f>
        <v/>
      </c>
      <c r="H6800" s="19" t="n">
        <v>1</v>
      </c>
      <c r="I6800" s="57" t="n">
        <v>8</v>
      </c>
    </row>
    <row r="6801">
      <c r="A6801" s="62" t="n">
        <v>46336</v>
      </c>
      <c r="B6801" s="3" t="inlineStr">
        <is>
          <t>Week</t>
        </is>
      </c>
      <c r="C6801" s="19" t="n">
        <v>11</v>
      </c>
      <c r="D6801" s="19" t="n">
        <v>2026</v>
      </c>
      <c r="E6801" s="57" t="n">
        <v>7</v>
      </c>
      <c r="F6801" s="29">
        <f>ROUND(((SUMIFS(Calendar!$F$2:$F$9997,Calendar!$B$2:$B$9997,D6801,Calendar!$C$2:$C$9997,C6801)*INDEX(ForeCalc!$B$37:$Y$274,MATCH(_xlfn.CONCAT(H6801," ",I6801),ForeCalc!$A$37:$A$274,0),MATCH(_xlfn.CONCAT(B6801," ",E6801),ForeCalc!$B$36:$Y$36,0))))*VLOOKUP(A6801,Calendar!$A$2:$H$9997,8,FALSE),0)</f>
        <v/>
      </c>
      <c r="G6801" s="29">
        <f>VLOOKUP(A6801,Calendar!$A$1:$H$9997,6,FALSE)-F6801</f>
        <v/>
      </c>
      <c r="H6801" s="19" t="n">
        <v>1</v>
      </c>
      <c r="I6801" s="57" t="n">
        <v>8</v>
      </c>
    </row>
    <row r="6802">
      <c r="A6802" s="62" t="n">
        <v>46337</v>
      </c>
      <c r="B6802" s="3" t="inlineStr">
        <is>
          <t>Week</t>
        </is>
      </c>
      <c r="C6802" s="19" t="n">
        <v>11</v>
      </c>
      <c r="D6802" s="19" t="n">
        <v>2026</v>
      </c>
      <c r="E6802" s="57" t="n">
        <v>7</v>
      </c>
      <c r="F6802" s="29">
        <f>ROUND(((SUMIFS(Calendar!$F$2:$F$9997,Calendar!$B$2:$B$9997,D6802,Calendar!$C$2:$C$9997,C6802)*INDEX(ForeCalc!$B$37:$Y$274,MATCH(_xlfn.CONCAT(H6802," ",I6802),ForeCalc!$A$37:$A$274,0),MATCH(_xlfn.CONCAT(B6802," ",E6802),ForeCalc!$B$36:$Y$36,0))))*VLOOKUP(A6802,Calendar!$A$2:$H$9997,8,FALSE),0)</f>
        <v/>
      </c>
      <c r="G6802" s="29">
        <f>VLOOKUP(A6802,Calendar!$A$1:$H$9997,6,FALSE)-F6802</f>
        <v/>
      </c>
      <c r="H6802" s="19" t="n">
        <v>1</v>
      </c>
      <c r="I6802" s="57" t="n">
        <v>8</v>
      </c>
    </row>
    <row r="6803">
      <c r="A6803" s="62" t="n">
        <v>46338</v>
      </c>
      <c r="B6803" s="3" t="inlineStr">
        <is>
          <t>Week</t>
        </is>
      </c>
      <c r="C6803" s="19" t="n">
        <v>11</v>
      </c>
      <c r="D6803" s="19" t="n">
        <v>2026</v>
      </c>
      <c r="E6803" s="57" t="n">
        <v>7</v>
      </c>
      <c r="F6803" s="29">
        <f>ROUND(((SUMIFS(Calendar!$F$2:$F$9997,Calendar!$B$2:$B$9997,D6803,Calendar!$C$2:$C$9997,C6803)*INDEX(ForeCalc!$B$37:$Y$274,MATCH(_xlfn.CONCAT(H6803," ",I6803),ForeCalc!$A$37:$A$274,0),MATCH(_xlfn.CONCAT(B6803," ",E6803),ForeCalc!$B$36:$Y$36,0))))*VLOOKUP(A6803,Calendar!$A$2:$H$9997,8,FALSE),0)</f>
        <v/>
      </c>
      <c r="G6803" s="29">
        <f>VLOOKUP(A6803,Calendar!$A$1:$H$9997,6,FALSE)-F6803</f>
        <v/>
      </c>
      <c r="H6803" s="19" t="n">
        <v>1</v>
      </c>
      <c r="I6803" s="57" t="n">
        <v>8</v>
      </c>
    </row>
    <row r="6804">
      <c r="A6804" s="62" t="n">
        <v>46339</v>
      </c>
      <c r="B6804" s="3" t="inlineStr">
        <is>
          <t>Week</t>
        </is>
      </c>
      <c r="C6804" s="19" t="n">
        <v>11</v>
      </c>
      <c r="D6804" s="19" t="n">
        <v>2026</v>
      </c>
      <c r="E6804" s="57" t="n">
        <v>7</v>
      </c>
      <c r="F6804" s="29">
        <f>ROUND(((SUMIFS(Calendar!$F$2:$F$9997,Calendar!$B$2:$B$9997,D6804,Calendar!$C$2:$C$9997,C6804)*INDEX(ForeCalc!$B$37:$Y$274,MATCH(_xlfn.CONCAT(H6804," ",I6804),ForeCalc!$A$37:$A$274,0),MATCH(_xlfn.CONCAT(B6804," ",E6804),ForeCalc!$B$36:$Y$36,0))))*VLOOKUP(A6804,Calendar!$A$2:$H$9997,8,FALSE),0)</f>
        <v/>
      </c>
      <c r="G6804" s="29">
        <f>VLOOKUP(A6804,Calendar!$A$1:$H$9997,6,FALSE)-F6804</f>
        <v/>
      </c>
      <c r="H6804" s="19" t="n">
        <v>1</v>
      </c>
      <c r="I6804" s="57" t="n">
        <v>8</v>
      </c>
    </row>
    <row r="6805">
      <c r="A6805" s="62" t="n">
        <v>46340</v>
      </c>
      <c r="B6805" s="3" t="inlineStr">
        <is>
          <t>Sat</t>
        </is>
      </c>
      <c r="C6805" s="19" t="n">
        <v>11</v>
      </c>
      <c r="D6805" s="19" t="n">
        <v>2026</v>
      </c>
      <c r="E6805" s="57" t="n">
        <v>7</v>
      </c>
      <c r="F6805" s="29">
        <f>ROUND(((SUMIFS(Calendar!$F$2:$F$9997,Calendar!$B$2:$B$9997,D6805,Calendar!$C$2:$C$9997,C6805)*INDEX(ForeCalc!$B$37:$Y$274,MATCH(_xlfn.CONCAT(H6805," ",I6805),ForeCalc!$A$37:$A$274,0),MATCH(_xlfn.CONCAT(B6805," ",E6805),ForeCalc!$B$36:$Y$36,0))))*VLOOKUP(A6805,Calendar!$A$2:$H$9997,8,FALSE),0)</f>
        <v/>
      </c>
      <c r="G6805" s="29">
        <f>VLOOKUP(A6805,Calendar!$A$1:$H$9997,6,FALSE)-F6805</f>
        <v/>
      </c>
      <c r="H6805" s="19" t="n">
        <v>1</v>
      </c>
      <c r="I6805" s="57" t="n">
        <v>8</v>
      </c>
    </row>
    <row r="6806">
      <c r="A6806" s="62" t="n">
        <v>46341</v>
      </c>
      <c r="B6806" s="3" t="inlineStr">
        <is>
          <t>Sun</t>
        </is>
      </c>
      <c r="C6806" s="19" t="n">
        <v>11</v>
      </c>
      <c r="D6806" s="19" t="n">
        <v>2026</v>
      </c>
      <c r="E6806" s="57" t="n">
        <v>7</v>
      </c>
      <c r="F6806" s="29">
        <f>ROUND(((SUMIFS(Calendar!$F$2:$F$9997,Calendar!$B$2:$B$9997,D6806,Calendar!$C$2:$C$9997,C6806)*INDEX(ForeCalc!$B$37:$Y$274,MATCH(_xlfn.CONCAT(H6806," ",I6806),ForeCalc!$A$37:$A$274,0),MATCH(_xlfn.CONCAT(B6806," ",E6806),ForeCalc!$B$36:$Y$36,0))))*VLOOKUP(A6806,Calendar!$A$2:$H$9997,8,FALSE),0)</f>
        <v/>
      </c>
      <c r="G6806" s="29">
        <f>VLOOKUP(A6806,Calendar!$A$1:$H$9997,6,FALSE)-F6806</f>
        <v/>
      </c>
      <c r="H6806" s="19" t="n">
        <v>1</v>
      </c>
      <c r="I6806" s="57" t="n">
        <v>8</v>
      </c>
    </row>
    <row r="6807">
      <c r="A6807" s="62" t="n">
        <v>46342</v>
      </c>
      <c r="B6807" s="3" t="inlineStr">
        <is>
          <t>Week</t>
        </is>
      </c>
      <c r="C6807" s="19" t="n">
        <v>11</v>
      </c>
      <c r="D6807" s="19" t="n">
        <v>2026</v>
      </c>
      <c r="E6807" s="57" t="n">
        <v>7</v>
      </c>
      <c r="F6807" s="29">
        <f>ROUND(((SUMIFS(Calendar!$F$2:$F$9997,Calendar!$B$2:$B$9997,D6807,Calendar!$C$2:$C$9997,C6807)*INDEX(ForeCalc!$B$37:$Y$274,MATCH(_xlfn.CONCAT(H6807," ",I6807),ForeCalc!$A$37:$A$274,0),MATCH(_xlfn.CONCAT(B6807," ",E6807),ForeCalc!$B$36:$Y$36,0))))*VLOOKUP(A6807,Calendar!$A$2:$H$9997,8,FALSE),0)</f>
        <v/>
      </c>
      <c r="G6807" s="29">
        <f>VLOOKUP(A6807,Calendar!$A$1:$H$9997,6,FALSE)-F6807</f>
        <v/>
      </c>
      <c r="H6807" s="19" t="n">
        <v>1</v>
      </c>
      <c r="I6807" s="57" t="n">
        <v>8</v>
      </c>
    </row>
    <row r="6808">
      <c r="A6808" s="62" t="n">
        <v>46343</v>
      </c>
      <c r="B6808" s="3" t="inlineStr">
        <is>
          <t>Week</t>
        </is>
      </c>
      <c r="C6808" s="19" t="n">
        <v>11</v>
      </c>
      <c r="D6808" s="19" t="n">
        <v>2026</v>
      </c>
      <c r="E6808" s="57" t="n">
        <v>7</v>
      </c>
      <c r="F6808" s="29">
        <f>ROUND(((SUMIFS(Calendar!$F$2:$F$9997,Calendar!$B$2:$B$9997,D6808,Calendar!$C$2:$C$9997,C6808)*INDEX(ForeCalc!$B$37:$Y$274,MATCH(_xlfn.CONCAT(H6808," ",I6808),ForeCalc!$A$37:$A$274,0),MATCH(_xlfn.CONCAT(B6808," ",E6808),ForeCalc!$B$36:$Y$36,0))))*VLOOKUP(A6808,Calendar!$A$2:$H$9997,8,FALSE),0)</f>
        <v/>
      </c>
      <c r="G6808" s="29">
        <f>VLOOKUP(A6808,Calendar!$A$1:$H$9997,6,FALSE)-F6808</f>
        <v/>
      </c>
      <c r="H6808" s="19" t="n">
        <v>1</v>
      </c>
      <c r="I6808" s="57" t="n">
        <v>8</v>
      </c>
    </row>
    <row r="6809">
      <c r="A6809" s="62" t="n">
        <v>46344</v>
      </c>
      <c r="B6809" s="3" t="inlineStr">
        <is>
          <t>Week</t>
        </is>
      </c>
      <c r="C6809" s="19" t="n">
        <v>11</v>
      </c>
      <c r="D6809" s="19" t="n">
        <v>2026</v>
      </c>
      <c r="E6809" s="57" t="n">
        <v>7</v>
      </c>
      <c r="F6809" s="29">
        <f>ROUND(((SUMIFS(Calendar!$F$2:$F$9997,Calendar!$B$2:$B$9997,D6809,Calendar!$C$2:$C$9997,C6809)*INDEX(ForeCalc!$B$37:$Y$274,MATCH(_xlfn.CONCAT(H6809," ",I6809),ForeCalc!$A$37:$A$274,0),MATCH(_xlfn.CONCAT(B6809," ",E6809),ForeCalc!$B$36:$Y$36,0))))*VLOOKUP(A6809,Calendar!$A$2:$H$9997,8,FALSE),0)</f>
        <v/>
      </c>
      <c r="G6809" s="29">
        <f>VLOOKUP(A6809,Calendar!$A$1:$H$9997,6,FALSE)-F6809</f>
        <v/>
      </c>
      <c r="H6809" s="19" t="n">
        <v>1</v>
      </c>
      <c r="I6809" s="57" t="n">
        <v>8</v>
      </c>
    </row>
    <row r="6810">
      <c r="A6810" s="62" t="n">
        <v>46345</v>
      </c>
      <c r="B6810" s="3" t="inlineStr">
        <is>
          <t>Week</t>
        </is>
      </c>
      <c r="C6810" s="19" t="n">
        <v>11</v>
      </c>
      <c r="D6810" s="19" t="n">
        <v>2026</v>
      </c>
      <c r="E6810" s="57" t="n">
        <v>7</v>
      </c>
      <c r="F6810" s="29">
        <f>ROUND(((SUMIFS(Calendar!$F$2:$F$9997,Calendar!$B$2:$B$9997,D6810,Calendar!$C$2:$C$9997,C6810)*INDEX(ForeCalc!$B$37:$Y$274,MATCH(_xlfn.CONCAT(H6810," ",I6810),ForeCalc!$A$37:$A$274,0),MATCH(_xlfn.CONCAT(B6810," ",E6810),ForeCalc!$B$36:$Y$36,0))))*VLOOKUP(A6810,Calendar!$A$2:$H$9997,8,FALSE),0)</f>
        <v/>
      </c>
      <c r="G6810" s="29">
        <f>VLOOKUP(A6810,Calendar!$A$1:$H$9997,6,FALSE)-F6810</f>
        <v/>
      </c>
      <c r="H6810" s="19" t="n">
        <v>1</v>
      </c>
      <c r="I6810" s="57" t="n">
        <v>8</v>
      </c>
    </row>
    <row r="6811">
      <c r="A6811" s="62" t="n">
        <v>46346</v>
      </c>
      <c r="B6811" s="3" t="inlineStr">
        <is>
          <t>Week</t>
        </is>
      </c>
      <c r="C6811" s="19" t="n">
        <v>11</v>
      </c>
      <c r="D6811" s="19" t="n">
        <v>2026</v>
      </c>
      <c r="E6811" s="57" t="n">
        <v>7</v>
      </c>
      <c r="F6811" s="29">
        <f>ROUND(((SUMIFS(Calendar!$F$2:$F$9997,Calendar!$B$2:$B$9997,D6811,Calendar!$C$2:$C$9997,C6811)*INDEX(ForeCalc!$B$37:$Y$274,MATCH(_xlfn.CONCAT(H6811," ",I6811),ForeCalc!$A$37:$A$274,0),MATCH(_xlfn.CONCAT(B6811," ",E6811),ForeCalc!$B$36:$Y$36,0))))*VLOOKUP(A6811,Calendar!$A$2:$H$9997,8,FALSE),0)</f>
        <v/>
      </c>
      <c r="G6811" s="29">
        <f>VLOOKUP(A6811,Calendar!$A$1:$H$9997,6,FALSE)-F6811</f>
        <v/>
      </c>
      <c r="H6811" s="19" t="n">
        <v>1</v>
      </c>
      <c r="I6811" s="57" t="n">
        <v>8</v>
      </c>
    </row>
    <row r="6812">
      <c r="A6812" s="62" t="n">
        <v>46347</v>
      </c>
      <c r="B6812" s="3" t="inlineStr">
        <is>
          <t>Sat</t>
        </is>
      </c>
      <c r="C6812" s="19" t="n">
        <v>11</v>
      </c>
      <c r="D6812" s="19" t="n">
        <v>2026</v>
      </c>
      <c r="E6812" s="57" t="n">
        <v>7</v>
      </c>
      <c r="F6812" s="29">
        <f>ROUND(((SUMIFS(Calendar!$F$2:$F$9997,Calendar!$B$2:$B$9997,D6812,Calendar!$C$2:$C$9997,C6812)*INDEX(ForeCalc!$B$37:$Y$274,MATCH(_xlfn.CONCAT(H6812," ",I6812),ForeCalc!$A$37:$A$274,0),MATCH(_xlfn.CONCAT(B6812," ",E6812),ForeCalc!$B$36:$Y$36,0))))*VLOOKUP(A6812,Calendar!$A$2:$H$9997,8,FALSE),0)</f>
        <v/>
      </c>
      <c r="G6812" s="29">
        <f>VLOOKUP(A6812,Calendar!$A$1:$H$9997,6,FALSE)-F6812</f>
        <v/>
      </c>
      <c r="H6812" s="19" t="n">
        <v>1</v>
      </c>
      <c r="I6812" s="57" t="n">
        <v>8</v>
      </c>
    </row>
    <row r="6813">
      <c r="A6813" s="62" t="n">
        <v>46348</v>
      </c>
      <c r="B6813" s="3" t="inlineStr">
        <is>
          <t>Sun</t>
        </is>
      </c>
      <c r="C6813" s="19" t="n">
        <v>11</v>
      </c>
      <c r="D6813" s="19" t="n">
        <v>2026</v>
      </c>
      <c r="E6813" s="57" t="n">
        <v>7</v>
      </c>
      <c r="F6813" s="29">
        <f>ROUND(((SUMIFS(Calendar!$F$2:$F$9997,Calendar!$B$2:$B$9997,D6813,Calendar!$C$2:$C$9997,C6813)*INDEX(ForeCalc!$B$37:$Y$274,MATCH(_xlfn.CONCAT(H6813," ",I6813),ForeCalc!$A$37:$A$274,0),MATCH(_xlfn.CONCAT(B6813," ",E6813),ForeCalc!$B$36:$Y$36,0))))*VLOOKUP(A6813,Calendar!$A$2:$H$9997,8,FALSE),0)</f>
        <v/>
      </c>
      <c r="G6813" s="29">
        <f>VLOOKUP(A6813,Calendar!$A$1:$H$9997,6,FALSE)-F6813</f>
        <v/>
      </c>
      <c r="H6813" s="19" t="n">
        <v>1</v>
      </c>
      <c r="I6813" s="57" t="n">
        <v>8</v>
      </c>
    </row>
    <row r="6814">
      <c r="A6814" s="62" t="n">
        <v>46349</v>
      </c>
      <c r="B6814" s="3" t="inlineStr">
        <is>
          <t>Week</t>
        </is>
      </c>
      <c r="C6814" s="19" t="n">
        <v>11</v>
      </c>
      <c r="D6814" s="19" t="n">
        <v>2026</v>
      </c>
      <c r="E6814" s="57" t="n">
        <v>7</v>
      </c>
      <c r="F6814" s="29">
        <f>ROUND(((SUMIFS(Calendar!$F$2:$F$9997,Calendar!$B$2:$B$9997,D6814,Calendar!$C$2:$C$9997,C6814)*INDEX(ForeCalc!$B$37:$Y$274,MATCH(_xlfn.CONCAT(H6814," ",I6814),ForeCalc!$A$37:$A$274,0),MATCH(_xlfn.CONCAT(B6814," ",E6814),ForeCalc!$B$36:$Y$36,0))))*VLOOKUP(A6814,Calendar!$A$2:$H$9997,8,FALSE),0)</f>
        <v/>
      </c>
      <c r="G6814" s="29">
        <f>VLOOKUP(A6814,Calendar!$A$1:$H$9997,6,FALSE)-F6814</f>
        <v/>
      </c>
      <c r="H6814" s="19" t="n">
        <v>1</v>
      </c>
      <c r="I6814" s="57" t="n">
        <v>8</v>
      </c>
    </row>
    <row r="6815">
      <c r="A6815" s="62" t="n">
        <v>46350</v>
      </c>
      <c r="B6815" s="3" t="inlineStr">
        <is>
          <t>Week</t>
        </is>
      </c>
      <c r="C6815" s="19" t="n">
        <v>11</v>
      </c>
      <c r="D6815" s="19" t="n">
        <v>2026</v>
      </c>
      <c r="E6815" s="57" t="n">
        <v>7</v>
      </c>
      <c r="F6815" s="29">
        <f>ROUND(((SUMIFS(Calendar!$F$2:$F$9997,Calendar!$B$2:$B$9997,D6815,Calendar!$C$2:$C$9997,C6815)*INDEX(ForeCalc!$B$37:$Y$274,MATCH(_xlfn.CONCAT(H6815," ",I6815),ForeCalc!$A$37:$A$274,0),MATCH(_xlfn.CONCAT(B6815," ",E6815),ForeCalc!$B$36:$Y$36,0))))*VLOOKUP(A6815,Calendar!$A$2:$H$9997,8,FALSE),0)</f>
        <v/>
      </c>
      <c r="G6815" s="29">
        <f>VLOOKUP(A6815,Calendar!$A$1:$H$9997,6,FALSE)-F6815</f>
        <v/>
      </c>
      <c r="H6815" s="19" t="n">
        <v>1</v>
      </c>
      <c r="I6815" s="57" t="n">
        <v>8</v>
      </c>
    </row>
    <row r="6816">
      <c r="A6816" s="62" t="n">
        <v>46351</v>
      </c>
      <c r="B6816" s="3" t="inlineStr">
        <is>
          <t>Week</t>
        </is>
      </c>
      <c r="C6816" s="19" t="n">
        <v>11</v>
      </c>
      <c r="D6816" s="19" t="n">
        <v>2026</v>
      </c>
      <c r="E6816" s="57" t="n">
        <v>7</v>
      </c>
      <c r="F6816" s="29">
        <f>ROUND(((SUMIFS(Calendar!$F$2:$F$9997,Calendar!$B$2:$B$9997,D6816,Calendar!$C$2:$C$9997,C6816)*INDEX(ForeCalc!$B$37:$Y$274,MATCH(_xlfn.CONCAT(H6816," ",I6816),ForeCalc!$A$37:$A$274,0),MATCH(_xlfn.CONCAT(B6816," ",E6816),ForeCalc!$B$36:$Y$36,0))))*VLOOKUP(A6816,Calendar!$A$2:$H$9997,8,FALSE),0)</f>
        <v/>
      </c>
      <c r="G6816" s="29">
        <f>VLOOKUP(A6816,Calendar!$A$1:$H$9997,6,FALSE)-F6816</f>
        <v/>
      </c>
      <c r="H6816" s="19" t="n">
        <v>1</v>
      </c>
      <c r="I6816" s="57" t="n">
        <v>8</v>
      </c>
    </row>
    <row r="6817">
      <c r="A6817" s="62" t="n">
        <v>46352</v>
      </c>
      <c r="B6817" s="3" t="inlineStr">
        <is>
          <t>Week</t>
        </is>
      </c>
      <c r="C6817" s="19" t="n">
        <v>11</v>
      </c>
      <c r="D6817" s="19" t="n">
        <v>2026</v>
      </c>
      <c r="E6817" s="57" t="n">
        <v>7</v>
      </c>
      <c r="F6817" s="29">
        <f>ROUND(((SUMIFS(Calendar!$F$2:$F$9997,Calendar!$B$2:$B$9997,D6817,Calendar!$C$2:$C$9997,C6817)*INDEX(ForeCalc!$B$37:$Y$274,MATCH(_xlfn.CONCAT(H6817," ",I6817),ForeCalc!$A$37:$A$274,0),MATCH(_xlfn.CONCAT(B6817," ",E6817),ForeCalc!$B$36:$Y$36,0))))*VLOOKUP(A6817,Calendar!$A$2:$H$9997,8,FALSE),0)</f>
        <v/>
      </c>
      <c r="G6817" s="29">
        <f>VLOOKUP(A6817,Calendar!$A$1:$H$9997,6,FALSE)-F6817</f>
        <v/>
      </c>
      <c r="H6817" s="19" t="n">
        <v>1</v>
      </c>
      <c r="I6817" s="57" t="n">
        <v>8</v>
      </c>
    </row>
    <row r="6818">
      <c r="A6818" s="62" t="n">
        <v>46353</v>
      </c>
      <c r="B6818" s="3" t="inlineStr">
        <is>
          <t>Week</t>
        </is>
      </c>
      <c r="C6818" s="19" t="n">
        <v>11</v>
      </c>
      <c r="D6818" s="19" t="n">
        <v>2026</v>
      </c>
      <c r="E6818" s="57" t="n">
        <v>7</v>
      </c>
      <c r="F6818" s="29">
        <f>ROUND(((SUMIFS(Calendar!$F$2:$F$9997,Calendar!$B$2:$B$9997,D6818,Calendar!$C$2:$C$9997,C6818)*INDEX(ForeCalc!$B$37:$Y$274,MATCH(_xlfn.CONCAT(H6818," ",I6818),ForeCalc!$A$37:$A$274,0),MATCH(_xlfn.CONCAT(B6818," ",E6818),ForeCalc!$B$36:$Y$36,0))))*VLOOKUP(A6818,Calendar!$A$2:$H$9997,8,FALSE),0)</f>
        <v/>
      </c>
      <c r="G6818" s="29">
        <f>VLOOKUP(A6818,Calendar!$A$1:$H$9997,6,FALSE)-F6818</f>
        <v/>
      </c>
      <c r="H6818" s="19" t="n">
        <v>1</v>
      </c>
      <c r="I6818" s="57" t="n">
        <v>8</v>
      </c>
    </row>
    <row r="6819">
      <c r="A6819" s="62" t="n">
        <v>46354</v>
      </c>
      <c r="B6819" s="3" t="inlineStr">
        <is>
          <t>Sat</t>
        </is>
      </c>
      <c r="C6819" s="19" t="n">
        <v>11</v>
      </c>
      <c r="D6819" s="19" t="n">
        <v>2026</v>
      </c>
      <c r="E6819" s="57" t="n">
        <v>7</v>
      </c>
      <c r="F6819" s="29">
        <f>ROUND(((SUMIFS(Calendar!$F$2:$F$9997,Calendar!$B$2:$B$9997,D6819,Calendar!$C$2:$C$9997,C6819)*INDEX(ForeCalc!$B$37:$Y$274,MATCH(_xlfn.CONCAT(H6819," ",I6819),ForeCalc!$A$37:$A$274,0),MATCH(_xlfn.CONCAT(B6819," ",E6819),ForeCalc!$B$36:$Y$36,0))))*VLOOKUP(A6819,Calendar!$A$2:$H$9997,8,FALSE),0)</f>
        <v/>
      </c>
      <c r="G6819" s="29">
        <f>VLOOKUP(A6819,Calendar!$A$1:$H$9997,6,FALSE)-F6819</f>
        <v/>
      </c>
      <c r="H6819" s="19" t="n">
        <v>1</v>
      </c>
      <c r="I6819" s="57" t="n">
        <v>8</v>
      </c>
    </row>
    <row r="6820">
      <c r="A6820" s="62" t="n">
        <v>46355</v>
      </c>
      <c r="B6820" s="3" t="inlineStr">
        <is>
          <t>Sun</t>
        </is>
      </c>
      <c r="C6820" s="19" t="n">
        <v>11</v>
      </c>
      <c r="D6820" s="19" t="n">
        <v>2026</v>
      </c>
      <c r="E6820" s="57" t="n">
        <v>7</v>
      </c>
      <c r="F6820" s="29">
        <f>ROUND(((SUMIFS(Calendar!$F$2:$F$9997,Calendar!$B$2:$B$9997,D6820,Calendar!$C$2:$C$9997,C6820)*INDEX(ForeCalc!$B$37:$Y$274,MATCH(_xlfn.CONCAT(H6820," ",I6820),ForeCalc!$A$37:$A$274,0),MATCH(_xlfn.CONCAT(B6820," ",E6820),ForeCalc!$B$36:$Y$36,0))))*VLOOKUP(A6820,Calendar!$A$2:$H$9997,8,FALSE),0)</f>
        <v/>
      </c>
      <c r="G6820" s="29">
        <f>VLOOKUP(A6820,Calendar!$A$1:$H$9997,6,FALSE)-F6820</f>
        <v/>
      </c>
      <c r="H6820" s="19" t="n">
        <v>1</v>
      </c>
      <c r="I6820" s="57" t="n">
        <v>8</v>
      </c>
    </row>
    <row r="6821">
      <c r="A6821" s="62" t="n">
        <v>46356</v>
      </c>
      <c r="B6821" s="3" t="inlineStr">
        <is>
          <t>Week</t>
        </is>
      </c>
      <c r="C6821" s="19" t="n">
        <v>11</v>
      </c>
      <c r="D6821" s="19" t="n">
        <v>2026</v>
      </c>
      <c r="E6821" s="57" t="n">
        <v>7</v>
      </c>
      <c r="F6821" s="29">
        <f>ROUND(((SUMIFS(Calendar!$F$2:$F$9997,Calendar!$B$2:$B$9997,D6821,Calendar!$C$2:$C$9997,C6821)*INDEX(ForeCalc!$B$37:$Y$274,MATCH(_xlfn.CONCAT(H6821," ",I6821),ForeCalc!$A$37:$A$274,0),MATCH(_xlfn.CONCAT(B6821," ",E6821),ForeCalc!$B$36:$Y$36,0))))*VLOOKUP(A6821,Calendar!$A$2:$H$9997,8,FALSE),0)</f>
        <v/>
      </c>
      <c r="G6821" s="29">
        <f>VLOOKUP(A6821,Calendar!$A$1:$H$9997,6,FALSE)-F6821</f>
        <v/>
      </c>
      <c r="H6821" s="19" t="n">
        <v>1</v>
      </c>
      <c r="I6821" s="57" t="n">
        <v>8</v>
      </c>
    </row>
    <row r="6822">
      <c r="A6822" s="62" t="n">
        <v>46357</v>
      </c>
      <c r="B6822" s="3" t="inlineStr">
        <is>
          <t>Week</t>
        </is>
      </c>
      <c r="C6822" s="19" t="n">
        <v>12</v>
      </c>
      <c r="D6822" s="19" t="n">
        <v>2026</v>
      </c>
      <c r="E6822" s="57" t="n">
        <v>7</v>
      </c>
      <c r="F6822" s="29">
        <f>ROUND(((SUMIFS(Calendar!$F$2:$F$9997,Calendar!$B$2:$B$9997,D6822,Calendar!$C$2:$C$9997,C6822)*INDEX(ForeCalc!$B$37:$Y$274,MATCH(_xlfn.CONCAT(H6822," ",I6822),ForeCalc!$A$37:$A$274,0),MATCH(_xlfn.CONCAT(B6822," ",E6822),ForeCalc!$B$36:$Y$36,0))))*VLOOKUP(A6822,Calendar!$A$2:$H$9997,8,FALSE),0)</f>
        <v/>
      </c>
      <c r="G6822" s="29">
        <f>VLOOKUP(A6822,Calendar!$A$1:$H$9997,6,FALSE)-F6822</f>
        <v/>
      </c>
      <c r="H6822" s="19" t="n">
        <v>1</v>
      </c>
      <c r="I6822" s="57" t="n">
        <v>9</v>
      </c>
    </row>
    <row r="6823">
      <c r="A6823" s="62" t="n">
        <v>46358</v>
      </c>
      <c r="B6823" s="3" t="inlineStr">
        <is>
          <t>Week</t>
        </is>
      </c>
      <c r="C6823" s="19" t="n">
        <v>12</v>
      </c>
      <c r="D6823" s="19" t="n">
        <v>2026</v>
      </c>
      <c r="E6823" s="57" t="n">
        <v>7</v>
      </c>
      <c r="F6823" s="29">
        <f>ROUND(((SUMIFS(Calendar!$F$2:$F$9997,Calendar!$B$2:$B$9997,D6823,Calendar!$C$2:$C$9997,C6823)*INDEX(ForeCalc!$B$37:$Y$274,MATCH(_xlfn.CONCAT(H6823," ",I6823),ForeCalc!$A$37:$A$274,0),MATCH(_xlfn.CONCAT(B6823," ",E6823),ForeCalc!$B$36:$Y$36,0))))*VLOOKUP(A6823,Calendar!$A$2:$H$9997,8,FALSE),0)</f>
        <v/>
      </c>
      <c r="G6823" s="29">
        <f>VLOOKUP(A6823,Calendar!$A$1:$H$9997,6,FALSE)-F6823</f>
        <v/>
      </c>
      <c r="H6823" s="19" t="n">
        <v>1</v>
      </c>
      <c r="I6823" s="57" t="n">
        <v>9</v>
      </c>
    </row>
    <row r="6824">
      <c r="A6824" s="62" t="n">
        <v>46359</v>
      </c>
      <c r="B6824" s="3" t="inlineStr">
        <is>
          <t>Week</t>
        </is>
      </c>
      <c r="C6824" s="19" t="n">
        <v>12</v>
      </c>
      <c r="D6824" s="19" t="n">
        <v>2026</v>
      </c>
      <c r="E6824" s="57" t="n">
        <v>7</v>
      </c>
      <c r="F6824" s="29">
        <f>ROUND(((SUMIFS(Calendar!$F$2:$F$9997,Calendar!$B$2:$B$9997,D6824,Calendar!$C$2:$C$9997,C6824)*INDEX(ForeCalc!$B$37:$Y$274,MATCH(_xlfn.CONCAT(H6824," ",I6824),ForeCalc!$A$37:$A$274,0),MATCH(_xlfn.CONCAT(B6824," ",E6824),ForeCalc!$B$36:$Y$36,0))))*VLOOKUP(A6824,Calendar!$A$2:$H$9997,8,FALSE),0)</f>
        <v/>
      </c>
      <c r="G6824" s="29">
        <f>VLOOKUP(A6824,Calendar!$A$1:$H$9997,6,FALSE)-F6824</f>
        <v/>
      </c>
      <c r="H6824" s="19" t="n">
        <v>1</v>
      </c>
      <c r="I6824" s="57" t="n">
        <v>9</v>
      </c>
    </row>
    <row r="6825">
      <c r="A6825" s="62" t="n">
        <v>46360</v>
      </c>
      <c r="B6825" s="3" t="inlineStr">
        <is>
          <t>Week</t>
        </is>
      </c>
      <c r="C6825" s="19" t="n">
        <v>12</v>
      </c>
      <c r="D6825" s="19" t="n">
        <v>2026</v>
      </c>
      <c r="E6825" s="57" t="n">
        <v>7</v>
      </c>
      <c r="F6825" s="29">
        <f>ROUND(((SUMIFS(Calendar!$F$2:$F$9997,Calendar!$B$2:$B$9997,D6825,Calendar!$C$2:$C$9997,C6825)*INDEX(ForeCalc!$B$37:$Y$274,MATCH(_xlfn.CONCAT(H6825," ",I6825),ForeCalc!$A$37:$A$274,0),MATCH(_xlfn.CONCAT(B6825," ",E6825),ForeCalc!$B$36:$Y$36,0))))*VLOOKUP(A6825,Calendar!$A$2:$H$9997,8,FALSE),0)</f>
        <v/>
      </c>
      <c r="G6825" s="29">
        <f>VLOOKUP(A6825,Calendar!$A$1:$H$9997,6,FALSE)-F6825</f>
        <v/>
      </c>
      <c r="H6825" s="19" t="n">
        <v>1</v>
      </c>
      <c r="I6825" s="57" t="n">
        <v>9</v>
      </c>
    </row>
    <row r="6826">
      <c r="A6826" s="62" t="n">
        <v>46361</v>
      </c>
      <c r="B6826" s="3" t="inlineStr">
        <is>
          <t>Sat</t>
        </is>
      </c>
      <c r="C6826" s="19" t="n">
        <v>12</v>
      </c>
      <c r="D6826" s="19" t="n">
        <v>2026</v>
      </c>
      <c r="E6826" s="57" t="n">
        <v>7</v>
      </c>
      <c r="F6826" s="29">
        <f>ROUND(((SUMIFS(Calendar!$F$2:$F$9997,Calendar!$B$2:$B$9997,D6826,Calendar!$C$2:$C$9997,C6826)*INDEX(ForeCalc!$B$37:$Y$274,MATCH(_xlfn.CONCAT(H6826," ",I6826),ForeCalc!$A$37:$A$274,0),MATCH(_xlfn.CONCAT(B6826," ",E6826),ForeCalc!$B$36:$Y$36,0))))*VLOOKUP(A6826,Calendar!$A$2:$H$9997,8,FALSE),0)</f>
        <v/>
      </c>
      <c r="G6826" s="29">
        <f>VLOOKUP(A6826,Calendar!$A$1:$H$9997,6,FALSE)-F6826</f>
        <v/>
      </c>
      <c r="H6826" s="19" t="n">
        <v>1</v>
      </c>
      <c r="I6826" s="57" t="n">
        <v>9</v>
      </c>
    </row>
    <row r="6827">
      <c r="A6827" s="62" t="n">
        <v>46362</v>
      </c>
      <c r="B6827" s="3" t="inlineStr">
        <is>
          <t>Sun</t>
        </is>
      </c>
      <c r="C6827" s="19" t="n">
        <v>12</v>
      </c>
      <c r="D6827" s="19" t="n">
        <v>2026</v>
      </c>
      <c r="E6827" s="57" t="n">
        <v>7</v>
      </c>
      <c r="F6827" s="29">
        <f>ROUND(((SUMIFS(Calendar!$F$2:$F$9997,Calendar!$B$2:$B$9997,D6827,Calendar!$C$2:$C$9997,C6827)*INDEX(ForeCalc!$B$37:$Y$274,MATCH(_xlfn.CONCAT(H6827," ",I6827),ForeCalc!$A$37:$A$274,0),MATCH(_xlfn.CONCAT(B6827," ",E6827),ForeCalc!$B$36:$Y$36,0))))*VLOOKUP(A6827,Calendar!$A$2:$H$9997,8,FALSE),0)</f>
        <v/>
      </c>
      <c r="G6827" s="29">
        <f>VLOOKUP(A6827,Calendar!$A$1:$H$9997,6,FALSE)-F6827</f>
        <v/>
      </c>
      <c r="H6827" s="19" t="n">
        <v>1</v>
      </c>
      <c r="I6827" s="57" t="n">
        <v>9</v>
      </c>
    </row>
    <row r="6828">
      <c r="A6828" s="62" t="n">
        <v>46363</v>
      </c>
      <c r="B6828" s="3" t="inlineStr">
        <is>
          <t>Week</t>
        </is>
      </c>
      <c r="C6828" s="19" t="n">
        <v>12</v>
      </c>
      <c r="D6828" s="19" t="n">
        <v>2026</v>
      </c>
      <c r="E6828" s="57" t="n">
        <v>7</v>
      </c>
      <c r="F6828" s="29">
        <f>ROUND(((SUMIFS(Calendar!$F$2:$F$9997,Calendar!$B$2:$B$9997,D6828,Calendar!$C$2:$C$9997,C6828)*INDEX(ForeCalc!$B$37:$Y$274,MATCH(_xlfn.CONCAT(H6828," ",I6828),ForeCalc!$A$37:$A$274,0),MATCH(_xlfn.CONCAT(B6828," ",E6828),ForeCalc!$B$36:$Y$36,0))))*VLOOKUP(A6828,Calendar!$A$2:$H$9997,8,FALSE),0)</f>
        <v/>
      </c>
      <c r="G6828" s="29">
        <f>VLOOKUP(A6828,Calendar!$A$1:$H$9997,6,FALSE)-F6828</f>
        <v/>
      </c>
      <c r="H6828" s="19" t="n">
        <v>1</v>
      </c>
      <c r="I6828" s="57" t="n">
        <v>9</v>
      </c>
    </row>
    <row r="6829">
      <c r="A6829" s="62" t="n">
        <v>46364</v>
      </c>
      <c r="B6829" s="3" t="inlineStr">
        <is>
          <t>Week</t>
        </is>
      </c>
      <c r="C6829" s="19" t="n">
        <v>12</v>
      </c>
      <c r="D6829" s="19" t="n">
        <v>2026</v>
      </c>
      <c r="E6829" s="57" t="n">
        <v>7</v>
      </c>
      <c r="F6829" s="29">
        <f>ROUND(((SUMIFS(Calendar!$F$2:$F$9997,Calendar!$B$2:$B$9997,D6829,Calendar!$C$2:$C$9997,C6829)*INDEX(ForeCalc!$B$37:$Y$274,MATCH(_xlfn.CONCAT(H6829," ",I6829),ForeCalc!$A$37:$A$274,0),MATCH(_xlfn.CONCAT(B6829," ",E6829),ForeCalc!$B$36:$Y$36,0))))*VLOOKUP(A6829,Calendar!$A$2:$H$9997,8,FALSE),0)</f>
        <v/>
      </c>
      <c r="G6829" s="29">
        <f>VLOOKUP(A6829,Calendar!$A$1:$H$9997,6,FALSE)-F6829</f>
        <v/>
      </c>
      <c r="H6829" s="19" t="n">
        <v>1</v>
      </c>
      <c r="I6829" s="57" t="n">
        <v>9</v>
      </c>
    </row>
    <row r="6830">
      <c r="A6830" s="62" t="n">
        <v>46365</v>
      </c>
      <c r="B6830" s="3" t="inlineStr">
        <is>
          <t>Week</t>
        </is>
      </c>
      <c r="C6830" s="19" t="n">
        <v>12</v>
      </c>
      <c r="D6830" s="19" t="n">
        <v>2026</v>
      </c>
      <c r="E6830" s="57" t="n">
        <v>7</v>
      </c>
      <c r="F6830" s="29">
        <f>ROUND(((SUMIFS(Calendar!$F$2:$F$9997,Calendar!$B$2:$B$9997,D6830,Calendar!$C$2:$C$9997,C6830)*INDEX(ForeCalc!$B$37:$Y$274,MATCH(_xlfn.CONCAT(H6830," ",I6830),ForeCalc!$A$37:$A$274,0),MATCH(_xlfn.CONCAT(B6830," ",E6830),ForeCalc!$B$36:$Y$36,0))))*VLOOKUP(A6830,Calendar!$A$2:$H$9997,8,FALSE),0)</f>
        <v/>
      </c>
      <c r="G6830" s="29">
        <f>VLOOKUP(A6830,Calendar!$A$1:$H$9997,6,FALSE)-F6830</f>
        <v/>
      </c>
      <c r="H6830" s="19" t="n">
        <v>1</v>
      </c>
      <c r="I6830" s="57" t="n">
        <v>9</v>
      </c>
    </row>
    <row r="6831">
      <c r="A6831" s="62" t="n">
        <v>46366</v>
      </c>
      <c r="B6831" s="3" t="inlineStr">
        <is>
          <t>Week</t>
        </is>
      </c>
      <c r="C6831" s="19" t="n">
        <v>12</v>
      </c>
      <c r="D6831" s="19" t="n">
        <v>2026</v>
      </c>
      <c r="E6831" s="57" t="n">
        <v>7</v>
      </c>
      <c r="F6831" s="29">
        <f>ROUND(((SUMIFS(Calendar!$F$2:$F$9997,Calendar!$B$2:$B$9997,D6831,Calendar!$C$2:$C$9997,C6831)*INDEX(ForeCalc!$B$37:$Y$274,MATCH(_xlfn.CONCAT(H6831," ",I6831),ForeCalc!$A$37:$A$274,0),MATCH(_xlfn.CONCAT(B6831," ",E6831),ForeCalc!$B$36:$Y$36,0))))*VLOOKUP(A6831,Calendar!$A$2:$H$9997,8,FALSE),0)</f>
        <v/>
      </c>
      <c r="G6831" s="29">
        <f>VLOOKUP(A6831,Calendar!$A$1:$H$9997,6,FALSE)-F6831</f>
        <v/>
      </c>
      <c r="H6831" s="19" t="n">
        <v>1</v>
      </c>
      <c r="I6831" s="57" t="n">
        <v>9</v>
      </c>
    </row>
    <row r="6832">
      <c r="A6832" s="62" t="n">
        <v>46367</v>
      </c>
      <c r="B6832" s="3" t="inlineStr">
        <is>
          <t>Week</t>
        </is>
      </c>
      <c r="C6832" s="19" t="n">
        <v>12</v>
      </c>
      <c r="D6832" s="19" t="n">
        <v>2026</v>
      </c>
      <c r="E6832" s="57" t="n">
        <v>7</v>
      </c>
      <c r="F6832" s="29">
        <f>ROUND(((SUMIFS(Calendar!$F$2:$F$9997,Calendar!$B$2:$B$9997,D6832,Calendar!$C$2:$C$9997,C6832)*INDEX(ForeCalc!$B$37:$Y$274,MATCH(_xlfn.CONCAT(H6832," ",I6832),ForeCalc!$A$37:$A$274,0),MATCH(_xlfn.CONCAT(B6832," ",E6832),ForeCalc!$B$36:$Y$36,0))))*VLOOKUP(A6832,Calendar!$A$2:$H$9997,8,FALSE),0)</f>
        <v/>
      </c>
      <c r="G6832" s="29">
        <f>VLOOKUP(A6832,Calendar!$A$1:$H$9997,6,FALSE)-F6832</f>
        <v/>
      </c>
      <c r="H6832" s="19" t="n">
        <v>1</v>
      </c>
      <c r="I6832" s="57" t="n">
        <v>9</v>
      </c>
    </row>
    <row r="6833">
      <c r="A6833" s="62" t="n">
        <v>46368</v>
      </c>
      <c r="B6833" s="3" t="inlineStr">
        <is>
          <t>Sat</t>
        </is>
      </c>
      <c r="C6833" s="19" t="n">
        <v>12</v>
      </c>
      <c r="D6833" s="19" t="n">
        <v>2026</v>
      </c>
      <c r="E6833" s="57" t="n">
        <v>7</v>
      </c>
      <c r="F6833" s="29">
        <f>ROUND(((SUMIFS(Calendar!$F$2:$F$9997,Calendar!$B$2:$B$9997,D6833,Calendar!$C$2:$C$9997,C6833)*INDEX(ForeCalc!$B$37:$Y$274,MATCH(_xlfn.CONCAT(H6833," ",I6833),ForeCalc!$A$37:$A$274,0),MATCH(_xlfn.CONCAT(B6833," ",E6833),ForeCalc!$B$36:$Y$36,0))))*VLOOKUP(A6833,Calendar!$A$2:$H$9997,8,FALSE),0)</f>
        <v/>
      </c>
      <c r="G6833" s="29">
        <f>VLOOKUP(A6833,Calendar!$A$1:$H$9997,6,FALSE)-F6833</f>
        <v/>
      </c>
      <c r="H6833" s="19" t="n">
        <v>1</v>
      </c>
      <c r="I6833" s="57" t="n">
        <v>9</v>
      </c>
    </row>
    <row r="6834">
      <c r="A6834" s="62" t="n">
        <v>46369</v>
      </c>
      <c r="B6834" s="3" t="inlineStr">
        <is>
          <t>Sun</t>
        </is>
      </c>
      <c r="C6834" s="19" t="n">
        <v>12</v>
      </c>
      <c r="D6834" s="19" t="n">
        <v>2026</v>
      </c>
      <c r="E6834" s="57" t="n">
        <v>7</v>
      </c>
      <c r="F6834" s="29">
        <f>ROUND(((SUMIFS(Calendar!$F$2:$F$9997,Calendar!$B$2:$B$9997,D6834,Calendar!$C$2:$C$9997,C6834)*INDEX(ForeCalc!$B$37:$Y$274,MATCH(_xlfn.CONCAT(H6834," ",I6834),ForeCalc!$A$37:$A$274,0),MATCH(_xlfn.CONCAT(B6834," ",E6834),ForeCalc!$B$36:$Y$36,0))))*VLOOKUP(A6834,Calendar!$A$2:$H$9997,8,FALSE),0)</f>
        <v/>
      </c>
      <c r="G6834" s="29">
        <f>VLOOKUP(A6834,Calendar!$A$1:$H$9997,6,FALSE)-F6834</f>
        <v/>
      </c>
      <c r="H6834" s="19" t="n">
        <v>1</v>
      </c>
      <c r="I6834" s="57" t="n">
        <v>9</v>
      </c>
    </row>
    <row r="6835">
      <c r="A6835" s="62" t="n">
        <v>46370</v>
      </c>
      <c r="B6835" s="3" t="inlineStr">
        <is>
          <t>Week</t>
        </is>
      </c>
      <c r="C6835" s="19" t="n">
        <v>12</v>
      </c>
      <c r="D6835" s="19" t="n">
        <v>2026</v>
      </c>
      <c r="E6835" s="57" t="n">
        <v>7</v>
      </c>
      <c r="F6835" s="29">
        <f>ROUND(((SUMIFS(Calendar!$F$2:$F$9997,Calendar!$B$2:$B$9997,D6835,Calendar!$C$2:$C$9997,C6835)*INDEX(ForeCalc!$B$37:$Y$274,MATCH(_xlfn.CONCAT(H6835," ",I6835),ForeCalc!$A$37:$A$274,0),MATCH(_xlfn.CONCAT(B6835," ",E6835),ForeCalc!$B$36:$Y$36,0))))*VLOOKUP(A6835,Calendar!$A$2:$H$9997,8,FALSE),0)</f>
        <v/>
      </c>
      <c r="G6835" s="29">
        <f>VLOOKUP(A6835,Calendar!$A$1:$H$9997,6,FALSE)-F6835</f>
        <v/>
      </c>
      <c r="H6835" s="19" t="n">
        <v>1</v>
      </c>
      <c r="I6835" s="57" t="n">
        <v>9</v>
      </c>
    </row>
    <row r="6836">
      <c r="A6836" s="62" t="n">
        <v>46371</v>
      </c>
      <c r="B6836" s="3" t="inlineStr">
        <is>
          <t>Week</t>
        </is>
      </c>
      <c r="C6836" s="19" t="n">
        <v>12</v>
      </c>
      <c r="D6836" s="19" t="n">
        <v>2026</v>
      </c>
      <c r="E6836" s="57" t="n">
        <v>7</v>
      </c>
      <c r="F6836" s="29">
        <f>ROUND(((SUMIFS(Calendar!$F$2:$F$9997,Calendar!$B$2:$B$9997,D6836,Calendar!$C$2:$C$9997,C6836)*INDEX(ForeCalc!$B$37:$Y$274,MATCH(_xlfn.CONCAT(H6836," ",I6836),ForeCalc!$A$37:$A$274,0),MATCH(_xlfn.CONCAT(B6836," ",E6836),ForeCalc!$B$36:$Y$36,0))))*VLOOKUP(A6836,Calendar!$A$2:$H$9997,8,FALSE),0)</f>
        <v/>
      </c>
      <c r="G6836" s="29">
        <f>VLOOKUP(A6836,Calendar!$A$1:$H$9997,6,FALSE)-F6836</f>
        <v/>
      </c>
      <c r="H6836" s="19" t="n">
        <v>1</v>
      </c>
      <c r="I6836" s="57" t="n">
        <v>9</v>
      </c>
    </row>
    <row r="6837">
      <c r="A6837" s="62" t="n">
        <v>46372</v>
      </c>
      <c r="B6837" s="3" t="inlineStr">
        <is>
          <t>Week</t>
        </is>
      </c>
      <c r="C6837" s="19" t="n">
        <v>12</v>
      </c>
      <c r="D6837" s="19" t="n">
        <v>2026</v>
      </c>
      <c r="E6837" s="57" t="n">
        <v>7</v>
      </c>
      <c r="F6837" s="29">
        <f>ROUND(((SUMIFS(Calendar!$F$2:$F$9997,Calendar!$B$2:$B$9997,D6837,Calendar!$C$2:$C$9997,C6837)*INDEX(ForeCalc!$B$37:$Y$274,MATCH(_xlfn.CONCAT(H6837," ",I6837),ForeCalc!$A$37:$A$274,0),MATCH(_xlfn.CONCAT(B6837," ",E6837),ForeCalc!$B$36:$Y$36,0))))*VLOOKUP(A6837,Calendar!$A$2:$H$9997,8,FALSE),0)</f>
        <v/>
      </c>
      <c r="G6837" s="29">
        <f>VLOOKUP(A6837,Calendar!$A$1:$H$9997,6,FALSE)-F6837</f>
        <v/>
      </c>
      <c r="H6837" s="19" t="n">
        <v>1</v>
      </c>
      <c r="I6837" s="57" t="n">
        <v>9</v>
      </c>
    </row>
    <row r="6838">
      <c r="A6838" s="62" t="n">
        <v>46373</v>
      </c>
      <c r="B6838" s="3" t="inlineStr">
        <is>
          <t>Week</t>
        </is>
      </c>
      <c r="C6838" s="19" t="n">
        <v>12</v>
      </c>
      <c r="D6838" s="19" t="n">
        <v>2026</v>
      </c>
      <c r="E6838" s="57" t="n">
        <v>7</v>
      </c>
      <c r="F6838" s="29">
        <f>ROUND(((SUMIFS(Calendar!$F$2:$F$9997,Calendar!$B$2:$B$9997,D6838,Calendar!$C$2:$C$9997,C6838)*INDEX(ForeCalc!$B$37:$Y$274,MATCH(_xlfn.CONCAT(H6838," ",I6838),ForeCalc!$A$37:$A$274,0),MATCH(_xlfn.CONCAT(B6838," ",E6838),ForeCalc!$B$36:$Y$36,0))))*VLOOKUP(A6838,Calendar!$A$2:$H$9997,8,FALSE),0)</f>
        <v/>
      </c>
      <c r="G6838" s="29">
        <f>VLOOKUP(A6838,Calendar!$A$1:$H$9997,6,FALSE)-F6838</f>
        <v/>
      </c>
      <c r="H6838" s="19" t="n">
        <v>1</v>
      </c>
      <c r="I6838" s="57" t="n">
        <v>9</v>
      </c>
    </row>
    <row r="6839">
      <c r="A6839" s="62" t="n">
        <v>46374</v>
      </c>
      <c r="B6839" s="3" t="inlineStr">
        <is>
          <t>Week</t>
        </is>
      </c>
      <c r="C6839" s="19" t="n">
        <v>12</v>
      </c>
      <c r="D6839" s="19" t="n">
        <v>2026</v>
      </c>
      <c r="E6839" s="57" t="n">
        <v>7</v>
      </c>
      <c r="F6839" s="29">
        <f>ROUND(((SUMIFS(Calendar!$F$2:$F$9997,Calendar!$B$2:$B$9997,D6839,Calendar!$C$2:$C$9997,C6839)*INDEX(ForeCalc!$B$37:$Y$274,MATCH(_xlfn.CONCAT(H6839," ",I6839),ForeCalc!$A$37:$A$274,0),MATCH(_xlfn.CONCAT(B6839," ",E6839),ForeCalc!$B$36:$Y$36,0))))*VLOOKUP(A6839,Calendar!$A$2:$H$9997,8,FALSE),0)</f>
        <v/>
      </c>
      <c r="G6839" s="29">
        <f>VLOOKUP(A6839,Calendar!$A$1:$H$9997,6,FALSE)-F6839</f>
        <v/>
      </c>
      <c r="H6839" s="19" t="n">
        <v>1</v>
      </c>
      <c r="I6839" s="57" t="n">
        <v>9</v>
      </c>
    </row>
    <row r="6840">
      <c r="A6840" s="62" t="n">
        <v>46375</v>
      </c>
      <c r="B6840" s="3" t="inlineStr">
        <is>
          <t>Sat</t>
        </is>
      </c>
      <c r="C6840" s="19" t="n">
        <v>12</v>
      </c>
      <c r="D6840" s="19" t="n">
        <v>2026</v>
      </c>
      <c r="E6840" s="57" t="n">
        <v>7</v>
      </c>
      <c r="F6840" s="29">
        <f>ROUND(((SUMIFS(Calendar!$F$2:$F$9997,Calendar!$B$2:$B$9997,D6840,Calendar!$C$2:$C$9997,C6840)*INDEX(ForeCalc!$B$37:$Y$274,MATCH(_xlfn.CONCAT(H6840," ",I6840),ForeCalc!$A$37:$A$274,0),MATCH(_xlfn.CONCAT(B6840," ",E6840),ForeCalc!$B$36:$Y$36,0))))*VLOOKUP(A6840,Calendar!$A$2:$H$9997,8,FALSE),0)</f>
        <v/>
      </c>
      <c r="G6840" s="29">
        <f>VLOOKUP(A6840,Calendar!$A$1:$H$9997,6,FALSE)-F6840</f>
        <v/>
      </c>
      <c r="H6840" s="19" t="n">
        <v>1</v>
      </c>
      <c r="I6840" s="57" t="n">
        <v>9</v>
      </c>
    </row>
    <row r="6841">
      <c r="A6841" s="62" t="n">
        <v>46376</v>
      </c>
      <c r="B6841" s="3" t="inlineStr">
        <is>
          <t>Sun</t>
        </is>
      </c>
      <c r="C6841" s="19" t="n">
        <v>12</v>
      </c>
      <c r="D6841" s="19" t="n">
        <v>2026</v>
      </c>
      <c r="E6841" s="57" t="n">
        <v>7</v>
      </c>
      <c r="F6841" s="29">
        <f>ROUND(((SUMIFS(Calendar!$F$2:$F$9997,Calendar!$B$2:$B$9997,D6841,Calendar!$C$2:$C$9997,C6841)*INDEX(ForeCalc!$B$37:$Y$274,MATCH(_xlfn.CONCAT(H6841," ",I6841),ForeCalc!$A$37:$A$274,0),MATCH(_xlfn.CONCAT(B6841," ",E6841),ForeCalc!$B$36:$Y$36,0))))*VLOOKUP(A6841,Calendar!$A$2:$H$9997,8,FALSE),0)</f>
        <v/>
      </c>
      <c r="G6841" s="29">
        <f>VLOOKUP(A6841,Calendar!$A$1:$H$9997,6,FALSE)-F6841</f>
        <v/>
      </c>
      <c r="H6841" s="19" t="n">
        <v>1</v>
      </c>
      <c r="I6841" s="57" t="n">
        <v>9</v>
      </c>
    </row>
    <row r="6842">
      <c r="A6842" s="62" t="n">
        <v>46377</v>
      </c>
      <c r="B6842" s="3" t="inlineStr">
        <is>
          <t>Week</t>
        </is>
      </c>
      <c r="C6842" s="19" t="n">
        <v>12</v>
      </c>
      <c r="D6842" s="19" t="n">
        <v>2026</v>
      </c>
      <c r="E6842" s="57" t="n">
        <v>7</v>
      </c>
      <c r="F6842" s="29">
        <f>ROUND(((SUMIFS(Calendar!$F$2:$F$9997,Calendar!$B$2:$B$9997,D6842,Calendar!$C$2:$C$9997,C6842)*INDEX(ForeCalc!$B$37:$Y$274,MATCH(_xlfn.CONCAT(H6842," ",I6842),ForeCalc!$A$37:$A$274,0),MATCH(_xlfn.CONCAT(B6842," ",E6842),ForeCalc!$B$36:$Y$36,0))))*VLOOKUP(A6842,Calendar!$A$2:$H$9997,8,FALSE),0)</f>
        <v/>
      </c>
      <c r="G6842" s="29">
        <f>VLOOKUP(A6842,Calendar!$A$1:$H$9997,6,FALSE)-F6842</f>
        <v/>
      </c>
      <c r="H6842" s="19" t="n">
        <v>1</v>
      </c>
      <c r="I6842" s="57" t="n">
        <v>9</v>
      </c>
    </row>
    <row r="6843">
      <c r="A6843" s="62" t="n">
        <v>46378</v>
      </c>
      <c r="B6843" s="3" t="inlineStr">
        <is>
          <t>Week</t>
        </is>
      </c>
      <c r="C6843" s="19" t="n">
        <v>12</v>
      </c>
      <c r="D6843" s="19" t="n">
        <v>2026</v>
      </c>
      <c r="E6843" s="57" t="n">
        <v>7</v>
      </c>
      <c r="F6843" s="29">
        <f>ROUND(((SUMIFS(Calendar!$F$2:$F$9997,Calendar!$B$2:$B$9997,D6843,Calendar!$C$2:$C$9997,C6843)*INDEX(ForeCalc!$B$37:$Y$274,MATCH(_xlfn.CONCAT(H6843," ",I6843),ForeCalc!$A$37:$A$274,0),MATCH(_xlfn.CONCAT(B6843," ",E6843),ForeCalc!$B$36:$Y$36,0))))*VLOOKUP(A6843,Calendar!$A$2:$H$9997,8,FALSE),0)</f>
        <v/>
      </c>
      <c r="G6843" s="29">
        <f>VLOOKUP(A6843,Calendar!$A$1:$H$9997,6,FALSE)-F6843</f>
        <v/>
      </c>
      <c r="H6843" s="19" t="n">
        <v>1</v>
      </c>
      <c r="I6843" s="57" t="n">
        <v>9</v>
      </c>
    </row>
    <row r="6844">
      <c r="A6844" s="62" t="n">
        <v>46379</v>
      </c>
      <c r="B6844" s="3" t="inlineStr">
        <is>
          <t>Week</t>
        </is>
      </c>
      <c r="C6844" s="19" t="n">
        <v>12</v>
      </c>
      <c r="D6844" s="19" t="n">
        <v>2026</v>
      </c>
      <c r="E6844" s="57" t="n">
        <v>7</v>
      </c>
      <c r="F6844" s="29">
        <f>ROUND(((SUMIFS(Calendar!$F$2:$F$9997,Calendar!$B$2:$B$9997,D6844,Calendar!$C$2:$C$9997,C6844)*INDEX(ForeCalc!$B$37:$Y$274,MATCH(_xlfn.CONCAT(H6844," ",I6844),ForeCalc!$A$37:$A$274,0),MATCH(_xlfn.CONCAT(B6844," ",E6844),ForeCalc!$B$36:$Y$36,0))))*VLOOKUP(A6844,Calendar!$A$2:$H$9997,8,FALSE),0)</f>
        <v/>
      </c>
      <c r="G6844" s="29">
        <f>VLOOKUP(A6844,Calendar!$A$1:$H$9997,6,FALSE)-F6844</f>
        <v/>
      </c>
      <c r="H6844" s="19" t="n">
        <v>1</v>
      </c>
      <c r="I6844" s="57" t="n">
        <v>9</v>
      </c>
    </row>
    <row r="6845">
      <c r="A6845" s="62" t="n">
        <v>46380</v>
      </c>
      <c r="B6845" s="3" t="inlineStr">
        <is>
          <t>Week</t>
        </is>
      </c>
      <c r="C6845" s="19" t="n">
        <v>12</v>
      </c>
      <c r="D6845" s="19" t="n">
        <v>2026</v>
      </c>
      <c r="E6845" s="57" t="n">
        <v>7</v>
      </c>
      <c r="F6845" s="29">
        <f>ROUND(((SUMIFS(Calendar!$F$2:$F$9997,Calendar!$B$2:$B$9997,D6845,Calendar!$C$2:$C$9997,C6845)*INDEX(ForeCalc!$B$37:$Y$274,MATCH(_xlfn.CONCAT(H6845," ",I6845),ForeCalc!$A$37:$A$274,0),MATCH(_xlfn.CONCAT(B6845," ",E6845),ForeCalc!$B$36:$Y$36,0))))*VLOOKUP(A6845,Calendar!$A$2:$H$9997,8,FALSE),0)</f>
        <v/>
      </c>
      <c r="G6845" s="29">
        <f>VLOOKUP(A6845,Calendar!$A$1:$H$9997,6,FALSE)-F6845</f>
        <v/>
      </c>
      <c r="H6845" s="19" t="n">
        <v>1</v>
      </c>
      <c r="I6845" s="57" t="n">
        <v>9</v>
      </c>
    </row>
    <row r="6846">
      <c r="A6846" s="62" t="n">
        <v>46381</v>
      </c>
      <c r="B6846" s="3" t="inlineStr">
        <is>
          <t>Week</t>
        </is>
      </c>
      <c r="C6846" s="19" t="n">
        <v>12</v>
      </c>
      <c r="D6846" s="19" t="n">
        <v>2026</v>
      </c>
      <c r="E6846" s="57" t="n">
        <v>7</v>
      </c>
      <c r="F6846" s="29">
        <f>ROUND(((SUMIFS(Calendar!$F$2:$F$9997,Calendar!$B$2:$B$9997,D6846,Calendar!$C$2:$C$9997,C6846)*INDEX(ForeCalc!$B$37:$Y$274,MATCH(_xlfn.CONCAT(H6846," ",I6846),ForeCalc!$A$37:$A$274,0),MATCH(_xlfn.CONCAT(B6846," ",E6846),ForeCalc!$B$36:$Y$36,0))))*VLOOKUP(A6846,Calendar!$A$2:$H$9997,8,FALSE),0)</f>
        <v/>
      </c>
      <c r="G6846" s="29">
        <f>VLOOKUP(A6846,Calendar!$A$1:$H$9997,6,FALSE)-F6846</f>
        <v/>
      </c>
      <c r="H6846" s="19" t="n">
        <v>1</v>
      </c>
      <c r="I6846" s="57" t="n">
        <v>9</v>
      </c>
    </row>
    <row r="6847">
      <c r="A6847" s="62" t="n">
        <v>46382</v>
      </c>
      <c r="B6847" s="3" t="inlineStr">
        <is>
          <t>Sat</t>
        </is>
      </c>
      <c r="C6847" s="19" t="n">
        <v>12</v>
      </c>
      <c r="D6847" s="19" t="n">
        <v>2026</v>
      </c>
      <c r="E6847" s="57" t="n">
        <v>7</v>
      </c>
      <c r="F6847" s="29">
        <f>ROUND(((SUMIFS(Calendar!$F$2:$F$9997,Calendar!$B$2:$B$9997,D6847,Calendar!$C$2:$C$9997,C6847)*INDEX(ForeCalc!$B$37:$Y$274,MATCH(_xlfn.CONCAT(H6847," ",I6847),ForeCalc!$A$37:$A$274,0),MATCH(_xlfn.CONCAT(B6847," ",E6847),ForeCalc!$B$36:$Y$36,0))))*VLOOKUP(A6847,Calendar!$A$2:$H$9997,8,FALSE),0)</f>
        <v/>
      </c>
      <c r="G6847" s="29">
        <f>VLOOKUP(A6847,Calendar!$A$1:$H$9997,6,FALSE)-F6847</f>
        <v/>
      </c>
      <c r="H6847" s="19" t="n">
        <v>1</v>
      </c>
      <c r="I6847" s="57" t="n">
        <v>9</v>
      </c>
    </row>
    <row r="6848">
      <c r="A6848" s="62" t="n">
        <v>46383</v>
      </c>
      <c r="B6848" s="3" t="inlineStr">
        <is>
          <t>Sun</t>
        </is>
      </c>
      <c r="C6848" s="19" t="n">
        <v>12</v>
      </c>
      <c r="D6848" s="19" t="n">
        <v>2026</v>
      </c>
      <c r="E6848" s="57" t="n">
        <v>7</v>
      </c>
      <c r="F6848" s="29">
        <f>ROUND(((SUMIFS(Calendar!$F$2:$F$9997,Calendar!$B$2:$B$9997,D6848,Calendar!$C$2:$C$9997,C6848)*INDEX(ForeCalc!$B$37:$Y$274,MATCH(_xlfn.CONCAT(H6848," ",I6848),ForeCalc!$A$37:$A$274,0),MATCH(_xlfn.CONCAT(B6848," ",E6848),ForeCalc!$B$36:$Y$36,0))))*VLOOKUP(A6848,Calendar!$A$2:$H$9997,8,FALSE),0)</f>
        <v/>
      </c>
      <c r="G6848" s="29">
        <f>VLOOKUP(A6848,Calendar!$A$1:$H$9997,6,FALSE)-F6848</f>
        <v/>
      </c>
      <c r="H6848" s="19" t="n">
        <v>1</v>
      </c>
      <c r="I6848" s="57" t="n">
        <v>9</v>
      </c>
    </row>
    <row r="6849">
      <c r="A6849" s="62" t="n">
        <v>46384</v>
      </c>
      <c r="B6849" s="3" t="inlineStr">
        <is>
          <t>Week</t>
        </is>
      </c>
      <c r="C6849" s="19" t="n">
        <v>12</v>
      </c>
      <c r="D6849" s="19" t="n">
        <v>2026</v>
      </c>
      <c r="E6849" s="57" t="n">
        <v>7</v>
      </c>
      <c r="F6849" s="29">
        <f>ROUND(((SUMIFS(Calendar!$F$2:$F$9997,Calendar!$B$2:$B$9997,D6849,Calendar!$C$2:$C$9997,C6849)*INDEX(ForeCalc!$B$37:$Y$274,MATCH(_xlfn.CONCAT(H6849," ",I6849),ForeCalc!$A$37:$A$274,0),MATCH(_xlfn.CONCAT(B6849," ",E6849),ForeCalc!$B$36:$Y$36,0))))*VLOOKUP(A6849,Calendar!$A$2:$H$9997,8,FALSE),0)</f>
        <v/>
      </c>
      <c r="G6849" s="29">
        <f>VLOOKUP(A6849,Calendar!$A$1:$H$9997,6,FALSE)-F6849</f>
        <v/>
      </c>
      <c r="H6849" s="19" t="n">
        <v>1</v>
      </c>
      <c r="I6849" s="57" t="n">
        <v>9</v>
      </c>
    </row>
    <row r="6850">
      <c r="A6850" s="62" t="n">
        <v>46385</v>
      </c>
      <c r="B6850" s="3" t="inlineStr">
        <is>
          <t>Week</t>
        </is>
      </c>
      <c r="C6850" s="19" t="n">
        <v>12</v>
      </c>
      <c r="D6850" s="19" t="n">
        <v>2026</v>
      </c>
      <c r="E6850" s="57" t="n">
        <v>7</v>
      </c>
      <c r="F6850" s="29">
        <f>ROUND(((SUMIFS(Calendar!$F$2:$F$9997,Calendar!$B$2:$B$9997,D6850,Calendar!$C$2:$C$9997,C6850)*INDEX(ForeCalc!$B$37:$Y$274,MATCH(_xlfn.CONCAT(H6850," ",I6850),ForeCalc!$A$37:$A$274,0),MATCH(_xlfn.CONCAT(B6850," ",E6850),ForeCalc!$B$36:$Y$36,0))))*VLOOKUP(A6850,Calendar!$A$2:$H$9997,8,FALSE),0)</f>
        <v/>
      </c>
      <c r="G6850" s="29">
        <f>VLOOKUP(A6850,Calendar!$A$1:$H$9997,6,FALSE)-F6850</f>
        <v/>
      </c>
      <c r="H6850" s="19" t="n">
        <v>1</v>
      </c>
      <c r="I6850" s="57" t="n">
        <v>9</v>
      </c>
    </row>
    <row r="6851">
      <c r="A6851" s="62" t="n">
        <v>46386</v>
      </c>
      <c r="B6851" s="3" t="inlineStr">
        <is>
          <t>Week</t>
        </is>
      </c>
      <c r="C6851" s="19" t="n">
        <v>12</v>
      </c>
      <c r="D6851" s="19" t="n">
        <v>2026</v>
      </c>
      <c r="E6851" s="57" t="n">
        <v>7</v>
      </c>
      <c r="F6851" s="29">
        <f>ROUND(((SUMIFS(Calendar!$F$2:$F$9997,Calendar!$B$2:$B$9997,D6851,Calendar!$C$2:$C$9997,C6851)*INDEX(ForeCalc!$B$37:$Y$274,MATCH(_xlfn.CONCAT(H6851," ",I6851),ForeCalc!$A$37:$A$274,0),MATCH(_xlfn.CONCAT(B6851," ",E6851),ForeCalc!$B$36:$Y$36,0))))*VLOOKUP(A6851,Calendar!$A$2:$H$9997,8,FALSE),0)</f>
        <v/>
      </c>
      <c r="G6851" s="29">
        <f>VLOOKUP(A6851,Calendar!$A$1:$H$9997,6,FALSE)-F6851</f>
        <v/>
      </c>
      <c r="H6851" s="19" t="n">
        <v>1</v>
      </c>
      <c r="I6851" s="57" t="n">
        <v>9</v>
      </c>
    </row>
    <row r="6852">
      <c r="A6852" s="62" t="n">
        <v>46387</v>
      </c>
      <c r="B6852" s="3" t="inlineStr">
        <is>
          <t>Week</t>
        </is>
      </c>
      <c r="C6852" s="19" t="n">
        <v>12</v>
      </c>
      <c r="D6852" s="19" t="n">
        <v>2026</v>
      </c>
      <c r="E6852" s="57" t="n">
        <v>7</v>
      </c>
      <c r="F6852" s="29">
        <f>ROUND(((SUMIFS(Calendar!$F$2:$F$9997,Calendar!$B$2:$B$9997,D6852,Calendar!$C$2:$C$9997,C6852)*INDEX(ForeCalc!$B$37:$Y$274,MATCH(_xlfn.CONCAT(H6852," ",I6852),ForeCalc!$A$37:$A$274,0),MATCH(_xlfn.CONCAT(B6852," ",E6852),ForeCalc!$B$36:$Y$36,0))))*VLOOKUP(A6852,Calendar!$A$2:$H$9997,8,FALSE),0)</f>
        <v/>
      </c>
      <c r="G6852" s="29">
        <f>VLOOKUP(A6852,Calendar!$A$1:$H$9997,6,FALSE)-F6852</f>
        <v/>
      </c>
      <c r="H6852" s="19" t="n">
        <v>1</v>
      </c>
      <c r="I6852" s="57" t="n">
        <v>9</v>
      </c>
    </row>
    <row r="6853">
      <c r="A6853" s="62" t="n">
        <v>46388</v>
      </c>
      <c r="B6853" s="3" t="inlineStr">
        <is>
          <t>Week</t>
        </is>
      </c>
      <c r="C6853" s="19" t="n">
        <v>1</v>
      </c>
      <c r="D6853" s="19" t="n">
        <v>2027</v>
      </c>
      <c r="E6853" s="57" t="n">
        <v>7</v>
      </c>
      <c r="F6853" s="29">
        <f>ROUND(((SUMIFS(Calendar!$F$2:$F$9997,Calendar!$B$2:$B$9997,D6853,Calendar!$C$2:$C$9997,C6853)*INDEX(ForeCalc!$B$37:$Y$274,MATCH(_xlfn.CONCAT(H6853," ",I6853),ForeCalc!$A$37:$A$274,0),MATCH(_xlfn.CONCAT(B6853," ",E6853),ForeCalc!$B$36:$Y$36,0))))*VLOOKUP(A6853,Calendar!$A$2:$H$9997,8,FALSE),0)</f>
        <v/>
      </c>
      <c r="G6853" s="29">
        <f>VLOOKUP(A6853,Calendar!$A$1:$H$9997,6,FALSE)-F6853</f>
        <v/>
      </c>
      <c r="H6853" s="19" t="n">
        <v>1</v>
      </c>
      <c r="I6853" s="57" t="n">
        <v>10</v>
      </c>
    </row>
    <row r="6854">
      <c r="A6854" s="62" t="n">
        <v>46389</v>
      </c>
      <c r="B6854" s="3" t="inlineStr">
        <is>
          <t>Sat</t>
        </is>
      </c>
      <c r="C6854" s="19" t="n">
        <v>1</v>
      </c>
      <c r="D6854" s="19" t="n">
        <v>2027</v>
      </c>
      <c r="E6854" s="57" t="n">
        <v>7</v>
      </c>
      <c r="F6854" s="29">
        <f>ROUND(((SUMIFS(Calendar!$F$2:$F$9997,Calendar!$B$2:$B$9997,D6854,Calendar!$C$2:$C$9997,C6854)*INDEX(ForeCalc!$B$37:$Y$274,MATCH(_xlfn.CONCAT(H6854," ",I6854),ForeCalc!$A$37:$A$274,0),MATCH(_xlfn.CONCAT(B6854," ",E6854),ForeCalc!$B$36:$Y$36,0))))*VLOOKUP(A6854,Calendar!$A$2:$H$9997,8,FALSE),0)</f>
        <v/>
      </c>
      <c r="G6854" s="29">
        <f>VLOOKUP(A6854,Calendar!$A$1:$H$9997,6,FALSE)-F6854</f>
        <v/>
      </c>
      <c r="H6854" s="19" t="n">
        <v>1</v>
      </c>
      <c r="I6854" s="57" t="n">
        <v>10</v>
      </c>
    </row>
    <row r="6855">
      <c r="A6855" s="62" t="n">
        <v>46390</v>
      </c>
      <c r="B6855" s="3" t="inlineStr">
        <is>
          <t>Sun</t>
        </is>
      </c>
      <c r="C6855" s="19" t="n">
        <v>1</v>
      </c>
      <c r="D6855" s="19" t="n">
        <v>2027</v>
      </c>
      <c r="E6855" s="57" t="n">
        <v>7</v>
      </c>
      <c r="F6855" s="29">
        <f>ROUND(((SUMIFS(Calendar!$F$2:$F$9997,Calendar!$B$2:$B$9997,D6855,Calendar!$C$2:$C$9997,C6855)*INDEX(ForeCalc!$B$37:$Y$274,MATCH(_xlfn.CONCAT(H6855," ",I6855),ForeCalc!$A$37:$A$274,0),MATCH(_xlfn.CONCAT(B6855," ",E6855),ForeCalc!$B$36:$Y$36,0))))*VLOOKUP(A6855,Calendar!$A$2:$H$9997,8,FALSE),0)</f>
        <v/>
      </c>
      <c r="G6855" s="29">
        <f>VLOOKUP(A6855,Calendar!$A$1:$H$9997,6,FALSE)-F6855</f>
        <v/>
      </c>
      <c r="H6855" s="19" t="n">
        <v>1</v>
      </c>
      <c r="I6855" s="57" t="n">
        <v>10</v>
      </c>
    </row>
    <row r="6856">
      <c r="A6856" s="62" t="n">
        <v>46391</v>
      </c>
      <c r="B6856" s="3" t="inlineStr">
        <is>
          <t>Week</t>
        </is>
      </c>
      <c r="C6856" s="19" t="n">
        <v>1</v>
      </c>
      <c r="D6856" s="19" t="n">
        <v>2027</v>
      </c>
      <c r="E6856" s="57" t="n">
        <v>7</v>
      </c>
      <c r="F6856" s="29">
        <f>ROUND(((SUMIFS(Calendar!$F$2:$F$9997,Calendar!$B$2:$B$9997,D6856,Calendar!$C$2:$C$9997,C6856)*INDEX(ForeCalc!$B$37:$Y$274,MATCH(_xlfn.CONCAT(H6856," ",I6856),ForeCalc!$A$37:$A$274,0),MATCH(_xlfn.CONCAT(B6856," ",E6856),ForeCalc!$B$36:$Y$36,0))))*VLOOKUP(A6856,Calendar!$A$2:$H$9997,8,FALSE),0)</f>
        <v/>
      </c>
      <c r="G6856" s="29">
        <f>VLOOKUP(A6856,Calendar!$A$1:$H$9997,6,FALSE)-F6856</f>
        <v/>
      </c>
      <c r="H6856" s="19" t="n">
        <v>1</v>
      </c>
      <c r="I6856" s="57" t="n">
        <v>10</v>
      </c>
    </row>
    <row r="6857">
      <c r="A6857" s="62" t="n">
        <v>46392</v>
      </c>
      <c r="B6857" s="3" t="inlineStr">
        <is>
          <t>Week</t>
        </is>
      </c>
      <c r="C6857" s="19" t="n">
        <v>1</v>
      </c>
      <c r="D6857" s="19" t="n">
        <v>2027</v>
      </c>
      <c r="E6857" s="57" t="n">
        <v>7</v>
      </c>
      <c r="F6857" s="29">
        <f>ROUND(((SUMIFS(Calendar!$F$2:$F$9997,Calendar!$B$2:$B$9997,D6857,Calendar!$C$2:$C$9997,C6857)*INDEX(ForeCalc!$B$37:$Y$274,MATCH(_xlfn.CONCAT(H6857," ",I6857),ForeCalc!$A$37:$A$274,0),MATCH(_xlfn.CONCAT(B6857," ",E6857),ForeCalc!$B$36:$Y$36,0))))*VLOOKUP(A6857,Calendar!$A$2:$H$9997,8,FALSE),0)</f>
        <v/>
      </c>
      <c r="G6857" s="29">
        <f>VLOOKUP(A6857,Calendar!$A$1:$H$9997,6,FALSE)-F6857</f>
        <v/>
      </c>
      <c r="H6857" s="19" t="n">
        <v>1</v>
      </c>
      <c r="I6857" s="57" t="n">
        <v>10</v>
      </c>
    </row>
    <row r="6858">
      <c r="A6858" s="62" t="n">
        <v>46393</v>
      </c>
      <c r="B6858" s="3" t="inlineStr">
        <is>
          <t>Week</t>
        </is>
      </c>
      <c r="C6858" s="19" t="n">
        <v>1</v>
      </c>
      <c r="D6858" s="19" t="n">
        <v>2027</v>
      </c>
      <c r="E6858" s="57" t="n">
        <v>7</v>
      </c>
      <c r="F6858" s="29">
        <f>ROUND(((SUMIFS(Calendar!$F$2:$F$9997,Calendar!$B$2:$B$9997,D6858,Calendar!$C$2:$C$9997,C6858)*INDEX(ForeCalc!$B$37:$Y$274,MATCH(_xlfn.CONCAT(H6858," ",I6858),ForeCalc!$A$37:$A$274,0),MATCH(_xlfn.CONCAT(B6858," ",E6858),ForeCalc!$B$36:$Y$36,0))))*VLOOKUP(A6858,Calendar!$A$2:$H$9997,8,FALSE),0)</f>
        <v/>
      </c>
      <c r="G6858" s="29">
        <f>VLOOKUP(A6858,Calendar!$A$1:$H$9997,6,FALSE)-F6858</f>
        <v/>
      </c>
      <c r="H6858" s="19" t="n">
        <v>1</v>
      </c>
      <c r="I6858" s="57" t="n">
        <v>10</v>
      </c>
    </row>
    <row r="6859">
      <c r="A6859" s="62" t="n">
        <v>46394</v>
      </c>
      <c r="B6859" s="3" t="inlineStr">
        <is>
          <t>Week</t>
        </is>
      </c>
      <c r="C6859" s="19" t="n">
        <v>1</v>
      </c>
      <c r="D6859" s="19" t="n">
        <v>2027</v>
      </c>
      <c r="E6859" s="57" t="n">
        <v>7</v>
      </c>
      <c r="F6859" s="29">
        <f>ROUND(((SUMIFS(Calendar!$F$2:$F$9997,Calendar!$B$2:$B$9997,D6859,Calendar!$C$2:$C$9997,C6859)*INDEX(ForeCalc!$B$37:$Y$274,MATCH(_xlfn.CONCAT(H6859," ",I6859),ForeCalc!$A$37:$A$274,0),MATCH(_xlfn.CONCAT(B6859," ",E6859),ForeCalc!$B$36:$Y$36,0))))*VLOOKUP(A6859,Calendar!$A$2:$H$9997,8,FALSE),0)</f>
        <v/>
      </c>
      <c r="G6859" s="29">
        <f>VLOOKUP(A6859,Calendar!$A$1:$H$9997,6,FALSE)-F6859</f>
        <v/>
      </c>
      <c r="H6859" s="19" t="n">
        <v>1</v>
      </c>
      <c r="I6859" s="57" t="n">
        <v>10</v>
      </c>
    </row>
    <row r="6860">
      <c r="A6860" s="62" t="n">
        <v>46395</v>
      </c>
      <c r="B6860" s="3" t="inlineStr">
        <is>
          <t>Week</t>
        </is>
      </c>
      <c r="C6860" s="19" t="n">
        <v>1</v>
      </c>
      <c r="D6860" s="19" t="n">
        <v>2027</v>
      </c>
      <c r="E6860" s="57" t="n">
        <v>7</v>
      </c>
      <c r="F6860" s="29">
        <f>ROUND(((SUMIFS(Calendar!$F$2:$F$9997,Calendar!$B$2:$B$9997,D6860,Calendar!$C$2:$C$9997,C6860)*INDEX(ForeCalc!$B$37:$Y$274,MATCH(_xlfn.CONCAT(H6860," ",I6860),ForeCalc!$A$37:$A$274,0),MATCH(_xlfn.CONCAT(B6860," ",E6860),ForeCalc!$B$36:$Y$36,0))))*VLOOKUP(A6860,Calendar!$A$2:$H$9997,8,FALSE),0)</f>
        <v/>
      </c>
      <c r="G6860" s="29">
        <f>VLOOKUP(A6860,Calendar!$A$1:$H$9997,6,FALSE)-F6860</f>
        <v/>
      </c>
      <c r="H6860" s="19" t="n">
        <v>1</v>
      </c>
      <c r="I6860" s="57" t="n">
        <v>10</v>
      </c>
    </row>
    <row r="6861">
      <c r="A6861" s="62" t="n">
        <v>46396</v>
      </c>
      <c r="B6861" s="3" t="inlineStr">
        <is>
          <t>Sat</t>
        </is>
      </c>
      <c r="C6861" s="19" t="n">
        <v>1</v>
      </c>
      <c r="D6861" s="19" t="n">
        <v>2027</v>
      </c>
      <c r="E6861" s="57" t="n">
        <v>7</v>
      </c>
      <c r="F6861" s="29">
        <f>ROUND(((SUMIFS(Calendar!$F$2:$F$9997,Calendar!$B$2:$B$9997,D6861,Calendar!$C$2:$C$9997,C6861)*INDEX(ForeCalc!$B$37:$Y$274,MATCH(_xlfn.CONCAT(H6861," ",I6861),ForeCalc!$A$37:$A$274,0),MATCH(_xlfn.CONCAT(B6861," ",E6861),ForeCalc!$B$36:$Y$36,0))))*VLOOKUP(A6861,Calendar!$A$2:$H$9997,8,FALSE),0)</f>
        <v/>
      </c>
      <c r="G6861" s="29">
        <f>VLOOKUP(A6861,Calendar!$A$1:$H$9997,6,FALSE)-F6861</f>
        <v/>
      </c>
      <c r="H6861" s="19" t="n">
        <v>1</v>
      </c>
      <c r="I6861" s="57" t="n">
        <v>10</v>
      </c>
    </row>
    <row r="6862">
      <c r="A6862" s="62" t="n">
        <v>46397</v>
      </c>
      <c r="B6862" s="3" t="inlineStr">
        <is>
          <t>Sun</t>
        </is>
      </c>
      <c r="C6862" s="19" t="n">
        <v>1</v>
      </c>
      <c r="D6862" s="19" t="n">
        <v>2027</v>
      </c>
      <c r="E6862" s="57" t="n">
        <v>7</v>
      </c>
      <c r="F6862" s="29">
        <f>ROUND(((SUMIFS(Calendar!$F$2:$F$9997,Calendar!$B$2:$B$9997,D6862,Calendar!$C$2:$C$9997,C6862)*INDEX(ForeCalc!$B$37:$Y$274,MATCH(_xlfn.CONCAT(H6862," ",I6862),ForeCalc!$A$37:$A$274,0),MATCH(_xlfn.CONCAT(B6862," ",E6862),ForeCalc!$B$36:$Y$36,0))))*VLOOKUP(A6862,Calendar!$A$2:$H$9997,8,FALSE),0)</f>
        <v/>
      </c>
      <c r="G6862" s="29">
        <f>VLOOKUP(A6862,Calendar!$A$1:$H$9997,6,FALSE)-F6862</f>
        <v/>
      </c>
      <c r="H6862" s="19" t="n">
        <v>1</v>
      </c>
      <c r="I6862" s="57" t="n">
        <v>10</v>
      </c>
    </row>
    <row r="6863">
      <c r="A6863" s="62" t="n">
        <v>46398</v>
      </c>
      <c r="B6863" s="3" t="inlineStr">
        <is>
          <t>Week</t>
        </is>
      </c>
      <c r="C6863" s="19" t="n">
        <v>1</v>
      </c>
      <c r="D6863" s="19" t="n">
        <v>2027</v>
      </c>
      <c r="E6863" s="57" t="n">
        <v>7</v>
      </c>
      <c r="F6863" s="29">
        <f>ROUND(((SUMIFS(Calendar!$F$2:$F$9997,Calendar!$B$2:$B$9997,D6863,Calendar!$C$2:$C$9997,C6863)*INDEX(ForeCalc!$B$37:$Y$274,MATCH(_xlfn.CONCAT(H6863," ",I6863),ForeCalc!$A$37:$A$274,0),MATCH(_xlfn.CONCAT(B6863," ",E6863),ForeCalc!$B$36:$Y$36,0))))*VLOOKUP(A6863,Calendar!$A$2:$H$9997,8,FALSE),0)</f>
        <v/>
      </c>
      <c r="G6863" s="29">
        <f>VLOOKUP(A6863,Calendar!$A$1:$H$9997,6,FALSE)-F6863</f>
        <v/>
      </c>
      <c r="H6863" s="19" t="n">
        <v>1</v>
      </c>
      <c r="I6863" s="57" t="n">
        <v>10</v>
      </c>
    </row>
    <row r="6864">
      <c r="A6864" s="62" t="n">
        <v>46399</v>
      </c>
      <c r="B6864" s="3" t="inlineStr">
        <is>
          <t>Week</t>
        </is>
      </c>
      <c r="C6864" s="19" t="n">
        <v>1</v>
      </c>
      <c r="D6864" s="19" t="n">
        <v>2027</v>
      </c>
      <c r="E6864" s="57" t="n">
        <v>7</v>
      </c>
      <c r="F6864" s="29">
        <f>ROUND(((SUMIFS(Calendar!$F$2:$F$9997,Calendar!$B$2:$B$9997,D6864,Calendar!$C$2:$C$9997,C6864)*INDEX(ForeCalc!$B$37:$Y$274,MATCH(_xlfn.CONCAT(H6864," ",I6864),ForeCalc!$A$37:$A$274,0),MATCH(_xlfn.CONCAT(B6864," ",E6864),ForeCalc!$B$36:$Y$36,0))))*VLOOKUP(A6864,Calendar!$A$2:$H$9997,8,FALSE),0)</f>
        <v/>
      </c>
      <c r="G6864" s="29">
        <f>VLOOKUP(A6864,Calendar!$A$1:$H$9997,6,FALSE)-F6864</f>
        <v/>
      </c>
      <c r="H6864" s="19" t="n">
        <v>1</v>
      </c>
      <c r="I6864" s="57" t="n">
        <v>10</v>
      </c>
    </row>
    <row r="6865">
      <c r="A6865" s="62" t="n">
        <v>46400</v>
      </c>
      <c r="B6865" s="3" t="inlineStr">
        <is>
          <t>Week</t>
        </is>
      </c>
      <c r="C6865" s="19" t="n">
        <v>1</v>
      </c>
      <c r="D6865" s="19" t="n">
        <v>2027</v>
      </c>
      <c r="E6865" s="57" t="n">
        <v>7</v>
      </c>
      <c r="F6865" s="29">
        <f>ROUND(((SUMIFS(Calendar!$F$2:$F$9997,Calendar!$B$2:$B$9997,D6865,Calendar!$C$2:$C$9997,C6865)*INDEX(ForeCalc!$B$37:$Y$274,MATCH(_xlfn.CONCAT(H6865," ",I6865),ForeCalc!$A$37:$A$274,0),MATCH(_xlfn.CONCAT(B6865," ",E6865),ForeCalc!$B$36:$Y$36,0))))*VLOOKUP(A6865,Calendar!$A$2:$H$9997,8,FALSE),0)</f>
        <v/>
      </c>
      <c r="G6865" s="29">
        <f>VLOOKUP(A6865,Calendar!$A$1:$H$9997,6,FALSE)-F6865</f>
        <v/>
      </c>
      <c r="H6865" s="19" t="n">
        <v>1</v>
      </c>
      <c r="I6865" s="57" t="n">
        <v>10</v>
      </c>
    </row>
    <row r="6866">
      <c r="A6866" s="62" t="n">
        <v>46401</v>
      </c>
      <c r="B6866" s="3" t="inlineStr">
        <is>
          <t>Week</t>
        </is>
      </c>
      <c r="C6866" s="19" t="n">
        <v>1</v>
      </c>
      <c r="D6866" s="19" t="n">
        <v>2027</v>
      </c>
      <c r="E6866" s="57" t="n">
        <v>7</v>
      </c>
      <c r="F6866" s="29">
        <f>ROUND(((SUMIFS(Calendar!$F$2:$F$9997,Calendar!$B$2:$B$9997,D6866,Calendar!$C$2:$C$9997,C6866)*INDEX(ForeCalc!$B$37:$Y$274,MATCH(_xlfn.CONCAT(H6866," ",I6866),ForeCalc!$A$37:$A$274,0),MATCH(_xlfn.CONCAT(B6866," ",E6866),ForeCalc!$B$36:$Y$36,0))))*VLOOKUP(A6866,Calendar!$A$2:$H$9997,8,FALSE),0)</f>
        <v/>
      </c>
      <c r="G6866" s="29">
        <f>VLOOKUP(A6866,Calendar!$A$1:$H$9997,6,FALSE)-F6866</f>
        <v/>
      </c>
      <c r="H6866" s="19" t="n">
        <v>1</v>
      </c>
      <c r="I6866" s="57" t="n">
        <v>10</v>
      </c>
    </row>
    <row r="6867">
      <c r="A6867" s="62" t="n">
        <v>46402</v>
      </c>
      <c r="B6867" s="3" t="inlineStr">
        <is>
          <t>Week</t>
        </is>
      </c>
      <c r="C6867" s="19" t="n">
        <v>1</v>
      </c>
      <c r="D6867" s="19" t="n">
        <v>2027</v>
      </c>
      <c r="E6867" s="57" t="n">
        <v>7</v>
      </c>
      <c r="F6867" s="29">
        <f>ROUND(((SUMIFS(Calendar!$F$2:$F$9997,Calendar!$B$2:$B$9997,D6867,Calendar!$C$2:$C$9997,C6867)*INDEX(ForeCalc!$B$37:$Y$274,MATCH(_xlfn.CONCAT(H6867," ",I6867),ForeCalc!$A$37:$A$274,0),MATCH(_xlfn.CONCAT(B6867," ",E6867),ForeCalc!$B$36:$Y$36,0))))*VLOOKUP(A6867,Calendar!$A$2:$H$9997,8,FALSE),0)</f>
        <v/>
      </c>
      <c r="G6867" s="29">
        <f>VLOOKUP(A6867,Calendar!$A$1:$H$9997,6,FALSE)-F6867</f>
        <v/>
      </c>
      <c r="H6867" s="19" t="n">
        <v>1</v>
      </c>
      <c r="I6867" s="57" t="n">
        <v>10</v>
      </c>
    </row>
    <row r="6868">
      <c r="A6868" s="62" t="n">
        <v>46403</v>
      </c>
      <c r="B6868" s="3" t="inlineStr">
        <is>
          <t>Sat</t>
        </is>
      </c>
      <c r="C6868" s="19" t="n">
        <v>1</v>
      </c>
      <c r="D6868" s="19" t="n">
        <v>2027</v>
      </c>
      <c r="E6868" s="57" t="n">
        <v>7</v>
      </c>
      <c r="F6868" s="29">
        <f>ROUND(((SUMIFS(Calendar!$F$2:$F$9997,Calendar!$B$2:$B$9997,D6868,Calendar!$C$2:$C$9997,C6868)*INDEX(ForeCalc!$B$37:$Y$274,MATCH(_xlfn.CONCAT(H6868," ",I6868),ForeCalc!$A$37:$A$274,0),MATCH(_xlfn.CONCAT(B6868," ",E6868),ForeCalc!$B$36:$Y$36,0))))*VLOOKUP(A6868,Calendar!$A$2:$H$9997,8,FALSE),0)</f>
        <v/>
      </c>
      <c r="G6868" s="29">
        <f>VLOOKUP(A6868,Calendar!$A$1:$H$9997,6,FALSE)-F6868</f>
        <v/>
      </c>
      <c r="H6868" s="19" t="n">
        <v>1</v>
      </c>
      <c r="I6868" s="57" t="n">
        <v>10</v>
      </c>
    </row>
    <row r="6869">
      <c r="A6869" s="62" t="n">
        <v>46404</v>
      </c>
      <c r="B6869" s="3" t="inlineStr">
        <is>
          <t>Sun</t>
        </is>
      </c>
      <c r="C6869" s="19" t="n">
        <v>1</v>
      </c>
      <c r="D6869" s="19" t="n">
        <v>2027</v>
      </c>
      <c r="E6869" s="57" t="n">
        <v>7</v>
      </c>
      <c r="F6869" s="29">
        <f>ROUND(((SUMIFS(Calendar!$F$2:$F$9997,Calendar!$B$2:$B$9997,D6869,Calendar!$C$2:$C$9997,C6869)*INDEX(ForeCalc!$B$37:$Y$274,MATCH(_xlfn.CONCAT(H6869," ",I6869),ForeCalc!$A$37:$A$274,0),MATCH(_xlfn.CONCAT(B6869," ",E6869),ForeCalc!$B$36:$Y$36,0))))*VLOOKUP(A6869,Calendar!$A$2:$H$9997,8,FALSE),0)</f>
        <v/>
      </c>
      <c r="G6869" s="29">
        <f>VLOOKUP(A6869,Calendar!$A$1:$H$9997,6,FALSE)-F6869</f>
        <v/>
      </c>
      <c r="H6869" s="19" t="n">
        <v>1</v>
      </c>
      <c r="I6869" s="57" t="n">
        <v>10</v>
      </c>
    </row>
    <row r="6870">
      <c r="A6870" s="62" t="n">
        <v>46405</v>
      </c>
      <c r="B6870" s="3" t="inlineStr">
        <is>
          <t>Week</t>
        </is>
      </c>
      <c r="C6870" s="19" t="n">
        <v>1</v>
      </c>
      <c r="D6870" s="19" t="n">
        <v>2027</v>
      </c>
      <c r="E6870" s="57" t="n">
        <v>7</v>
      </c>
      <c r="F6870" s="29">
        <f>ROUND(((SUMIFS(Calendar!$F$2:$F$9997,Calendar!$B$2:$B$9997,D6870,Calendar!$C$2:$C$9997,C6870)*INDEX(ForeCalc!$B$37:$Y$274,MATCH(_xlfn.CONCAT(H6870," ",I6870),ForeCalc!$A$37:$A$274,0),MATCH(_xlfn.CONCAT(B6870," ",E6870),ForeCalc!$B$36:$Y$36,0))))*VLOOKUP(A6870,Calendar!$A$2:$H$9997,8,FALSE),0)</f>
        <v/>
      </c>
      <c r="G6870" s="29">
        <f>VLOOKUP(A6870,Calendar!$A$1:$H$9997,6,FALSE)-F6870</f>
        <v/>
      </c>
      <c r="H6870" s="19" t="n">
        <v>1</v>
      </c>
      <c r="I6870" s="57" t="n">
        <v>10</v>
      </c>
    </row>
    <row r="6871">
      <c r="A6871" s="62" t="n">
        <v>46406</v>
      </c>
      <c r="B6871" s="3" t="inlineStr">
        <is>
          <t>Week</t>
        </is>
      </c>
      <c r="C6871" s="19" t="n">
        <v>1</v>
      </c>
      <c r="D6871" s="19" t="n">
        <v>2027</v>
      </c>
      <c r="E6871" s="57" t="n">
        <v>7</v>
      </c>
      <c r="F6871" s="29">
        <f>ROUND(((SUMIFS(Calendar!$F$2:$F$9997,Calendar!$B$2:$B$9997,D6871,Calendar!$C$2:$C$9997,C6871)*INDEX(ForeCalc!$B$37:$Y$274,MATCH(_xlfn.CONCAT(H6871," ",I6871),ForeCalc!$A$37:$A$274,0),MATCH(_xlfn.CONCAT(B6871," ",E6871),ForeCalc!$B$36:$Y$36,0))))*VLOOKUP(A6871,Calendar!$A$2:$H$9997,8,FALSE),0)</f>
        <v/>
      </c>
      <c r="G6871" s="29">
        <f>VLOOKUP(A6871,Calendar!$A$1:$H$9997,6,FALSE)-F6871</f>
        <v/>
      </c>
      <c r="H6871" s="19" t="n">
        <v>1</v>
      </c>
      <c r="I6871" s="57" t="n">
        <v>10</v>
      </c>
    </row>
    <row r="6872">
      <c r="A6872" s="62" t="n">
        <v>46407</v>
      </c>
      <c r="B6872" s="3" t="inlineStr">
        <is>
          <t>Week</t>
        </is>
      </c>
      <c r="C6872" s="19" t="n">
        <v>1</v>
      </c>
      <c r="D6872" s="19" t="n">
        <v>2027</v>
      </c>
      <c r="E6872" s="57" t="n">
        <v>7</v>
      </c>
      <c r="F6872" s="29">
        <f>ROUND(((SUMIFS(Calendar!$F$2:$F$9997,Calendar!$B$2:$B$9997,D6872,Calendar!$C$2:$C$9997,C6872)*INDEX(ForeCalc!$B$37:$Y$274,MATCH(_xlfn.CONCAT(H6872," ",I6872),ForeCalc!$A$37:$A$274,0),MATCH(_xlfn.CONCAT(B6872," ",E6872),ForeCalc!$B$36:$Y$36,0))))*VLOOKUP(A6872,Calendar!$A$2:$H$9997,8,FALSE),0)</f>
        <v/>
      </c>
      <c r="G6872" s="29">
        <f>VLOOKUP(A6872,Calendar!$A$1:$H$9997,6,FALSE)-F6872</f>
        <v/>
      </c>
      <c r="H6872" s="19" t="n">
        <v>1</v>
      </c>
      <c r="I6872" s="57" t="n">
        <v>10</v>
      </c>
    </row>
    <row r="6873">
      <c r="A6873" s="62" t="n">
        <v>46408</v>
      </c>
      <c r="B6873" s="3" t="inlineStr">
        <is>
          <t>Week</t>
        </is>
      </c>
      <c r="C6873" s="19" t="n">
        <v>1</v>
      </c>
      <c r="D6873" s="19" t="n">
        <v>2027</v>
      </c>
      <c r="E6873" s="57" t="n">
        <v>7</v>
      </c>
      <c r="F6873" s="29">
        <f>ROUND(((SUMIFS(Calendar!$F$2:$F$9997,Calendar!$B$2:$B$9997,D6873,Calendar!$C$2:$C$9997,C6873)*INDEX(ForeCalc!$B$37:$Y$274,MATCH(_xlfn.CONCAT(H6873," ",I6873),ForeCalc!$A$37:$A$274,0),MATCH(_xlfn.CONCAT(B6873," ",E6873),ForeCalc!$B$36:$Y$36,0))))*VLOOKUP(A6873,Calendar!$A$2:$H$9997,8,FALSE),0)</f>
        <v/>
      </c>
      <c r="G6873" s="29">
        <f>VLOOKUP(A6873,Calendar!$A$1:$H$9997,6,FALSE)-F6873</f>
        <v/>
      </c>
      <c r="H6873" s="19" t="n">
        <v>1</v>
      </c>
      <c r="I6873" s="57" t="n">
        <v>10</v>
      </c>
    </row>
    <row r="6874">
      <c r="A6874" s="62" t="n">
        <v>46409</v>
      </c>
      <c r="B6874" s="3" t="inlineStr">
        <is>
          <t>Week</t>
        </is>
      </c>
      <c r="C6874" s="19" t="n">
        <v>1</v>
      </c>
      <c r="D6874" s="19" t="n">
        <v>2027</v>
      </c>
      <c r="E6874" s="57" t="n">
        <v>7</v>
      </c>
      <c r="F6874" s="29">
        <f>ROUND(((SUMIFS(Calendar!$F$2:$F$9997,Calendar!$B$2:$B$9997,D6874,Calendar!$C$2:$C$9997,C6874)*INDEX(ForeCalc!$B$37:$Y$274,MATCH(_xlfn.CONCAT(H6874," ",I6874),ForeCalc!$A$37:$A$274,0),MATCH(_xlfn.CONCAT(B6874," ",E6874),ForeCalc!$B$36:$Y$36,0))))*VLOOKUP(A6874,Calendar!$A$2:$H$9997,8,FALSE),0)</f>
        <v/>
      </c>
      <c r="G6874" s="29">
        <f>VLOOKUP(A6874,Calendar!$A$1:$H$9997,6,FALSE)-F6874</f>
        <v/>
      </c>
      <c r="H6874" s="19" t="n">
        <v>1</v>
      </c>
      <c r="I6874" s="57" t="n">
        <v>10</v>
      </c>
    </row>
    <row r="6875">
      <c r="A6875" s="62" t="n">
        <v>46410</v>
      </c>
      <c r="B6875" s="3" t="inlineStr">
        <is>
          <t>Sat</t>
        </is>
      </c>
      <c r="C6875" s="19" t="n">
        <v>1</v>
      </c>
      <c r="D6875" s="19" t="n">
        <v>2027</v>
      </c>
      <c r="E6875" s="57" t="n">
        <v>7</v>
      </c>
      <c r="F6875" s="29">
        <f>ROUND(((SUMIFS(Calendar!$F$2:$F$9997,Calendar!$B$2:$B$9997,D6875,Calendar!$C$2:$C$9997,C6875)*INDEX(ForeCalc!$B$37:$Y$274,MATCH(_xlfn.CONCAT(H6875," ",I6875),ForeCalc!$A$37:$A$274,0),MATCH(_xlfn.CONCAT(B6875," ",E6875),ForeCalc!$B$36:$Y$36,0))))*VLOOKUP(A6875,Calendar!$A$2:$H$9997,8,FALSE),0)</f>
        <v/>
      </c>
      <c r="G6875" s="29">
        <f>VLOOKUP(A6875,Calendar!$A$1:$H$9997,6,FALSE)-F6875</f>
        <v/>
      </c>
      <c r="H6875" s="19" t="n">
        <v>1</v>
      </c>
      <c r="I6875" s="57" t="n">
        <v>10</v>
      </c>
    </row>
    <row r="6876">
      <c r="A6876" s="62" t="n">
        <v>46411</v>
      </c>
      <c r="B6876" s="3" t="inlineStr">
        <is>
          <t>Sun</t>
        </is>
      </c>
      <c r="C6876" s="19" t="n">
        <v>1</v>
      </c>
      <c r="D6876" s="19" t="n">
        <v>2027</v>
      </c>
      <c r="E6876" s="57" t="n">
        <v>7</v>
      </c>
      <c r="F6876" s="29">
        <f>ROUND(((SUMIFS(Calendar!$F$2:$F$9997,Calendar!$B$2:$B$9997,D6876,Calendar!$C$2:$C$9997,C6876)*INDEX(ForeCalc!$B$37:$Y$274,MATCH(_xlfn.CONCAT(H6876," ",I6876),ForeCalc!$A$37:$A$274,0),MATCH(_xlfn.CONCAT(B6876," ",E6876),ForeCalc!$B$36:$Y$36,0))))*VLOOKUP(A6876,Calendar!$A$2:$H$9997,8,FALSE),0)</f>
        <v/>
      </c>
      <c r="G6876" s="29">
        <f>VLOOKUP(A6876,Calendar!$A$1:$H$9997,6,FALSE)-F6876</f>
        <v/>
      </c>
      <c r="H6876" s="19" t="n">
        <v>1</v>
      </c>
      <c r="I6876" s="57" t="n">
        <v>10</v>
      </c>
    </row>
    <row r="6877">
      <c r="A6877" s="62" t="n">
        <v>46412</v>
      </c>
      <c r="B6877" s="3" t="inlineStr">
        <is>
          <t>Week</t>
        </is>
      </c>
      <c r="C6877" s="19" t="n">
        <v>1</v>
      </c>
      <c r="D6877" s="19" t="n">
        <v>2027</v>
      </c>
      <c r="E6877" s="57" t="n">
        <v>7</v>
      </c>
      <c r="F6877" s="29">
        <f>ROUND(((SUMIFS(Calendar!$F$2:$F$9997,Calendar!$B$2:$B$9997,D6877,Calendar!$C$2:$C$9997,C6877)*INDEX(ForeCalc!$B$37:$Y$274,MATCH(_xlfn.CONCAT(H6877," ",I6877),ForeCalc!$A$37:$A$274,0),MATCH(_xlfn.CONCAT(B6877," ",E6877),ForeCalc!$B$36:$Y$36,0))))*VLOOKUP(A6877,Calendar!$A$2:$H$9997,8,FALSE),0)</f>
        <v/>
      </c>
      <c r="G6877" s="29">
        <f>VLOOKUP(A6877,Calendar!$A$1:$H$9997,6,FALSE)-F6877</f>
        <v/>
      </c>
      <c r="H6877" s="19" t="n">
        <v>1</v>
      </c>
      <c r="I6877" s="57" t="n">
        <v>10</v>
      </c>
    </row>
    <row r="6878">
      <c r="A6878" s="62" t="n">
        <v>46413</v>
      </c>
      <c r="B6878" s="3" t="inlineStr">
        <is>
          <t>Week</t>
        </is>
      </c>
      <c r="C6878" s="19" t="n">
        <v>1</v>
      </c>
      <c r="D6878" s="19" t="n">
        <v>2027</v>
      </c>
      <c r="E6878" s="57" t="n">
        <v>7</v>
      </c>
      <c r="F6878" s="29">
        <f>ROUND(((SUMIFS(Calendar!$F$2:$F$9997,Calendar!$B$2:$B$9997,D6878,Calendar!$C$2:$C$9997,C6878)*INDEX(ForeCalc!$B$37:$Y$274,MATCH(_xlfn.CONCAT(H6878," ",I6878),ForeCalc!$A$37:$A$274,0),MATCH(_xlfn.CONCAT(B6878," ",E6878),ForeCalc!$B$36:$Y$36,0))))*VLOOKUP(A6878,Calendar!$A$2:$H$9997,8,FALSE),0)</f>
        <v/>
      </c>
      <c r="G6878" s="29">
        <f>VLOOKUP(A6878,Calendar!$A$1:$H$9997,6,FALSE)-F6878</f>
        <v/>
      </c>
      <c r="H6878" s="19" t="n">
        <v>1</v>
      </c>
      <c r="I6878" s="57" t="n">
        <v>10</v>
      </c>
    </row>
    <row r="6879">
      <c r="A6879" s="62" t="n">
        <v>46414</v>
      </c>
      <c r="B6879" s="3" t="inlineStr">
        <is>
          <t>Week</t>
        </is>
      </c>
      <c r="C6879" s="19" t="n">
        <v>1</v>
      </c>
      <c r="D6879" s="19" t="n">
        <v>2027</v>
      </c>
      <c r="E6879" s="57" t="n">
        <v>7</v>
      </c>
      <c r="F6879" s="29">
        <f>ROUND(((SUMIFS(Calendar!$F$2:$F$9997,Calendar!$B$2:$B$9997,D6879,Calendar!$C$2:$C$9997,C6879)*INDEX(ForeCalc!$B$37:$Y$274,MATCH(_xlfn.CONCAT(H6879," ",I6879),ForeCalc!$A$37:$A$274,0),MATCH(_xlfn.CONCAT(B6879," ",E6879),ForeCalc!$B$36:$Y$36,0))))*VLOOKUP(A6879,Calendar!$A$2:$H$9997,8,FALSE),0)</f>
        <v/>
      </c>
      <c r="G6879" s="29">
        <f>VLOOKUP(A6879,Calendar!$A$1:$H$9997,6,FALSE)-F6879</f>
        <v/>
      </c>
      <c r="H6879" s="19" t="n">
        <v>1</v>
      </c>
      <c r="I6879" s="57" t="n">
        <v>10</v>
      </c>
    </row>
    <row r="6880">
      <c r="A6880" s="62" t="n">
        <v>46415</v>
      </c>
      <c r="B6880" s="3" t="inlineStr">
        <is>
          <t>Week</t>
        </is>
      </c>
      <c r="C6880" s="19" t="n">
        <v>1</v>
      </c>
      <c r="D6880" s="19" t="n">
        <v>2027</v>
      </c>
      <c r="E6880" s="57" t="n">
        <v>7</v>
      </c>
      <c r="F6880" s="29">
        <f>ROUND(((SUMIFS(Calendar!$F$2:$F$9997,Calendar!$B$2:$B$9997,D6880,Calendar!$C$2:$C$9997,C6880)*INDEX(ForeCalc!$B$37:$Y$274,MATCH(_xlfn.CONCAT(H6880," ",I6880),ForeCalc!$A$37:$A$274,0),MATCH(_xlfn.CONCAT(B6880," ",E6880),ForeCalc!$B$36:$Y$36,0))))*VLOOKUP(A6880,Calendar!$A$2:$H$9997,8,FALSE),0)</f>
        <v/>
      </c>
      <c r="G6880" s="29">
        <f>VLOOKUP(A6880,Calendar!$A$1:$H$9997,6,FALSE)-F6880</f>
        <v/>
      </c>
      <c r="H6880" s="19" t="n">
        <v>1</v>
      </c>
      <c r="I6880" s="57" t="n">
        <v>10</v>
      </c>
    </row>
    <row r="6881">
      <c r="A6881" s="62" t="n">
        <v>46416</v>
      </c>
      <c r="B6881" s="3" t="inlineStr">
        <is>
          <t>Week</t>
        </is>
      </c>
      <c r="C6881" s="19" t="n">
        <v>1</v>
      </c>
      <c r="D6881" s="19" t="n">
        <v>2027</v>
      </c>
      <c r="E6881" s="57" t="n">
        <v>7</v>
      </c>
      <c r="F6881" s="29">
        <f>ROUND(((SUMIFS(Calendar!$F$2:$F$9997,Calendar!$B$2:$B$9997,D6881,Calendar!$C$2:$C$9997,C6881)*INDEX(ForeCalc!$B$37:$Y$274,MATCH(_xlfn.CONCAT(H6881," ",I6881),ForeCalc!$A$37:$A$274,0),MATCH(_xlfn.CONCAT(B6881," ",E6881),ForeCalc!$B$36:$Y$36,0))))*VLOOKUP(A6881,Calendar!$A$2:$H$9997,8,FALSE),0)</f>
        <v/>
      </c>
      <c r="G6881" s="29">
        <f>VLOOKUP(A6881,Calendar!$A$1:$H$9997,6,FALSE)-F6881</f>
        <v/>
      </c>
      <c r="H6881" s="19" t="n">
        <v>1</v>
      </c>
      <c r="I6881" s="57" t="n">
        <v>10</v>
      </c>
    </row>
    <row r="6882">
      <c r="A6882" s="62" t="n">
        <v>46417</v>
      </c>
      <c r="B6882" s="3" t="inlineStr">
        <is>
          <t>Sat</t>
        </is>
      </c>
      <c r="C6882" s="19" t="n">
        <v>1</v>
      </c>
      <c r="D6882" s="19" t="n">
        <v>2027</v>
      </c>
      <c r="E6882" s="57" t="n">
        <v>7</v>
      </c>
      <c r="F6882" s="29">
        <f>ROUND(((SUMIFS(Calendar!$F$2:$F$9997,Calendar!$B$2:$B$9997,D6882,Calendar!$C$2:$C$9997,C6882)*INDEX(ForeCalc!$B$37:$Y$274,MATCH(_xlfn.CONCAT(H6882," ",I6882),ForeCalc!$A$37:$A$274,0),MATCH(_xlfn.CONCAT(B6882," ",E6882),ForeCalc!$B$36:$Y$36,0))))*VLOOKUP(A6882,Calendar!$A$2:$H$9997,8,FALSE),0)</f>
        <v/>
      </c>
      <c r="G6882" s="29">
        <f>VLOOKUP(A6882,Calendar!$A$1:$H$9997,6,FALSE)-F6882</f>
        <v/>
      </c>
      <c r="H6882" s="19" t="n">
        <v>1</v>
      </c>
      <c r="I6882" s="57" t="n">
        <v>10</v>
      </c>
    </row>
    <row r="6883">
      <c r="A6883" s="62" t="n">
        <v>46418</v>
      </c>
      <c r="B6883" s="3" t="inlineStr">
        <is>
          <t>Sun</t>
        </is>
      </c>
      <c r="C6883" s="19" t="n">
        <v>1</v>
      </c>
      <c r="D6883" s="19" t="n">
        <v>2027</v>
      </c>
      <c r="E6883" s="57" t="n">
        <v>7</v>
      </c>
      <c r="F6883" s="29">
        <f>ROUND(((SUMIFS(Calendar!$F$2:$F$9997,Calendar!$B$2:$B$9997,D6883,Calendar!$C$2:$C$9997,C6883)*INDEX(ForeCalc!$B$37:$Y$274,MATCH(_xlfn.CONCAT(H6883," ",I6883),ForeCalc!$A$37:$A$274,0),MATCH(_xlfn.CONCAT(B6883," ",E6883),ForeCalc!$B$36:$Y$36,0))))*VLOOKUP(A6883,Calendar!$A$2:$H$9997,8,FALSE),0)</f>
        <v/>
      </c>
      <c r="G6883" s="29">
        <f>VLOOKUP(A6883,Calendar!$A$1:$H$9997,6,FALSE)-F6883</f>
        <v/>
      </c>
      <c r="H6883" s="19" t="n">
        <v>1</v>
      </c>
      <c r="I6883" s="57" t="n">
        <v>10</v>
      </c>
    </row>
    <row r="6884">
      <c r="A6884" s="62" t="n">
        <v>46419</v>
      </c>
      <c r="B6884" s="3" t="inlineStr">
        <is>
          <t>Week</t>
        </is>
      </c>
      <c r="C6884" s="19" t="n">
        <v>2</v>
      </c>
      <c r="D6884" s="19" t="n">
        <v>2027</v>
      </c>
      <c r="E6884" s="57" t="n">
        <v>7</v>
      </c>
      <c r="F6884" s="29">
        <f>ROUND(((SUMIFS(Calendar!$F$2:$F$9997,Calendar!$B$2:$B$9997,D6884,Calendar!$C$2:$C$9997,C6884)*INDEX(ForeCalc!$B$37:$Y$274,MATCH(_xlfn.CONCAT(H6884," ",I6884),ForeCalc!$A$37:$A$274,0),MATCH(_xlfn.CONCAT(B6884," ",E6884),ForeCalc!$B$36:$Y$36,0))))*VLOOKUP(A6884,Calendar!$A$2:$H$9997,8,FALSE),0)</f>
        <v/>
      </c>
      <c r="G6884" s="29">
        <f>VLOOKUP(A6884,Calendar!$A$1:$H$9997,6,FALSE)-F6884</f>
        <v/>
      </c>
      <c r="H6884" s="19" t="n">
        <v>1</v>
      </c>
      <c r="I6884" s="57" t="n">
        <v>11</v>
      </c>
    </row>
    <row r="6885">
      <c r="A6885" s="62" t="n">
        <v>46420</v>
      </c>
      <c r="B6885" s="3" t="inlineStr">
        <is>
          <t>Week</t>
        </is>
      </c>
      <c r="C6885" s="19" t="n">
        <v>2</v>
      </c>
      <c r="D6885" s="19" t="n">
        <v>2027</v>
      </c>
      <c r="E6885" s="57" t="n">
        <v>7</v>
      </c>
      <c r="F6885" s="29">
        <f>ROUND(((SUMIFS(Calendar!$F$2:$F$9997,Calendar!$B$2:$B$9997,D6885,Calendar!$C$2:$C$9997,C6885)*INDEX(ForeCalc!$B$37:$Y$274,MATCH(_xlfn.CONCAT(H6885," ",I6885),ForeCalc!$A$37:$A$274,0),MATCH(_xlfn.CONCAT(B6885," ",E6885),ForeCalc!$B$36:$Y$36,0))))*VLOOKUP(A6885,Calendar!$A$2:$H$9997,8,FALSE),0)</f>
        <v/>
      </c>
      <c r="G6885" s="29">
        <f>VLOOKUP(A6885,Calendar!$A$1:$H$9997,6,FALSE)-F6885</f>
        <v/>
      </c>
      <c r="H6885" s="19" t="n">
        <v>1</v>
      </c>
      <c r="I6885" s="57" t="n">
        <v>11</v>
      </c>
    </row>
    <row r="6886">
      <c r="A6886" s="62" t="n">
        <v>46421</v>
      </c>
      <c r="B6886" s="3" t="inlineStr">
        <is>
          <t>Week</t>
        </is>
      </c>
      <c r="C6886" s="19" t="n">
        <v>2</v>
      </c>
      <c r="D6886" s="19" t="n">
        <v>2027</v>
      </c>
      <c r="E6886" s="57" t="n">
        <v>7</v>
      </c>
      <c r="F6886" s="29">
        <f>ROUND(((SUMIFS(Calendar!$F$2:$F$9997,Calendar!$B$2:$B$9997,D6886,Calendar!$C$2:$C$9997,C6886)*INDEX(ForeCalc!$B$37:$Y$274,MATCH(_xlfn.CONCAT(H6886," ",I6886),ForeCalc!$A$37:$A$274,0),MATCH(_xlfn.CONCAT(B6886," ",E6886),ForeCalc!$B$36:$Y$36,0))))*VLOOKUP(A6886,Calendar!$A$2:$H$9997,8,FALSE),0)</f>
        <v/>
      </c>
      <c r="G6886" s="29">
        <f>VLOOKUP(A6886,Calendar!$A$1:$H$9997,6,FALSE)-F6886</f>
        <v/>
      </c>
      <c r="H6886" s="19" t="n">
        <v>1</v>
      </c>
      <c r="I6886" s="57" t="n">
        <v>11</v>
      </c>
    </row>
    <row r="6887">
      <c r="A6887" s="62" t="n">
        <v>46422</v>
      </c>
      <c r="B6887" s="3" t="inlineStr">
        <is>
          <t>Week</t>
        </is>
      </c>
      <c r="C6887" s="19" t="n">
        <v>2</v>
      </c>
      <c r="D6887" s="19" t="n">
        <v>2027</v>
      </c>
      <c r="E6887" s="57" t="n">
        <v>7</v>
      </c>
      <c r="F6887" s="29">
        <f>ROUND(((SUMIFS(Calendar!$F$2:$F$9997,Calendar!$B$2:$B$9997,D6887,Calendar!$C$2:$C$9997,C6887)*INDEX(ForeCalc!$B$37:$Y$274,MATCH(_xlfn.CONCAT(H6887," ",I6887),ForeCalc!$A$37:$A$274,0),MATCH(_xlfn.CONCAT(B6887," ",E6887),ForeCalc!$B$36:$Y$36,0))))*VLOOKUP(A6887,Calendar!$A$2:$H$9997,8,FALSE),0)</f>
        <v/>
      </c>
      <c r="G6887" s="29">
        <f>VLOOKUP(A6887,Calendar!$A$1:$H$9997,6,FALSE)-F6887</f>
        <v/>
      </c>
      <c r="H6887" s="19" t="n">
        <v>1</v>
      </c>
      <c r="I6887" s="57" t="n">
        <v>11</v>
      </c>
    </row>
    <row r="6888">
      <c r="A6888" s="62" t="n">
        <v>46423</v>
      </c>
      <c r="B6888" s="3" t="inlineStr">
        <is>
          <t>Week</t>
        </is>
      </c>
      <c r="C6888" s="19" t="n">
        <v>2</v>
      </c>
      <c r="D6888" s="19" t="n">
        <v>2027</v>
      </c>
      <c r="E6888" s="57" t="n">
        <v>7</v>
      </c>
      <c r="F6888" s="29">
        <f>ROUND(((SUMIFS(Calendar!$F$2:$F$9997,Calendar!$B$2:$B$9997,D6888,Calendar!$C$2:$C$9997,C6888)*INDEX(ForeCalc!$B$37:$Y$274,MATCH(_xlfn.CONCAT(H6888," ",I6888),ForeCalc!$A$37:$A$274,0),MATCH(_xlfn.CONCAT(B6888," ",E6888),ForeCalc!$B$36:$Y$36,0))))*VLOOKUP(A6888,Calendar!$A$2:$H$9997,8,FALSE),0)</f>
        <v/>
      </c>
      <c r="G6888" s="29">
        <f>VLOOKUP(A6888,Calendar!$A$1:$H$9997,6,FALSE)-F6888</f>
        <v/>
      </c>
      <c r="H6888" s="19" t="n">
        <v>1</v>
      </c>
      <c r="I6888" s="57" t="n">
        <v>11</v>
      </c>
    </row>
    <row r="6889">
      <c r="A6889" s="62" t="n">
        <v>46424</v>
      </c>
      <c r="B6889" s="3" t="inlineStr">
        <is>
          <t>Sat</t>
        </is>
      </c>
      <c r="C6889" s="19" t="n">
        <v>2</v>
      </c>
      <c r="D6889" s="19" t="n">
        <v>2027</v>
      </c>
      <c r="E6889" s="57" t="n">
        <v>7</v>
      </c>
      <c r="F6889" s="29">
        <f>ROUND(((SUMIFS(Calendar!$F$2:$F$9997,Calendar!$B$2:$B$9997,D6889,Calendar!$C$2:$C$9997,C6889)*INDEX(ForeCalc!$B$37:$Y$274,MATCH(_xlfn.CONCAT(H6889," ",I6889),ForeCalc!$A$37:$A$274,0),MATCH(_xlfn.CONCAT(B6889," ",E6889),ForeCalc!$B$36:$Y$36,0))))*VLOOKUP(A6889,Calendar!$A$2:$H$9997,8,FALSE),0)</f>
        <v/>
      </c>
      <c r="G6889" s="29">
        <f>VLOOKUP(A6889,Calendar!$A$1:$H$9997,6,FALSE)-F6889</f>
        <v/>
      </c>
      <c r="H6889" s="19" t="n">
        <v>1</v>
      </c>
      <c r="I6889" s="57" t="n">
        <v>11</v>
      </c>
    </row>
    <row r="6890">
      <c r="A6890" s="62" t="n">
        <v>46425</v>
      </c>
      <c r="B6890" s="3" t="inlineStr">
        <is>
          <t>Sun</t>
        </is>
      </c>
      <c r="C6890" s="19" t="n">
        <v>2</v>
      </c>
      <c r="D6890" s="19" t="n">
        <v>2027</v>
      </c>
      <c r="E6890" s="57" t="n">
        <v>7</v>
      </c>
      <c r="F6890" s="29">
        <f>ROUND(((SUMIFS(Calendar!$F$2:$F$9997,Calendar!$B$2:$B$9997,D6890,Calendar!$C$2:$C$9997,C6890)*INDEX(ForeCalc!$B$37:$Y$274,MATCH(_xlfn.CONCAT(H6890," ",I6890),ForeCalc!$A$37:$A$274,0),MATCH(_xlfn.CONCAT(B6890," ",E6890),ForeCalc!$B$36:$Y$36,0))))*VLOOKUP(A6890,Calendar!$A$2:$H$9997,8,FALSE),0)</f>
        <v/>
      </c>
      <c r="G6890" s="29">
        <f>VLOOKUP(A6890,Calendar!$A$1:$H$9997,6,FALSE)-F6890</f>
        <v/>
      </c>
      <c r="H6890" s="19" t="n">
        <v>1</v>
      </c>
      <c r="I6890" s="57" t="n">
        <v>11</v>
      </c>
    </row>
    <row r="6891">
      <c r="A6891" s="62" t="n">
        <v>46426</v>
      </c>
      <c r="B6891" s="3" t="inlineStr">
        <is>
          <t>Week</t>
        </is>
      </c>
      <c r="C6891" s="19" t="n">
        <v>2</v>
      </c>
      <c r="D6891" s="19" t="n">
        <v>2027</v>
      </c>
      <c r="E6891" s="57" t="n">
        <v>7</v>
      </c>
      <c r="F6891" s="29">
        <f>ROUND(((SUMIFS(Calendar!$F$2:$F$9997,Calendar!$B$2:$B$9997,D6891,Calendar!$C$2:$C$9997,C6891)*INDEX(ForeCalc!$B$37:$Y$274,MATCH(_xlfn.CONCAT(H6891," ",I6891),ForeCalc!$A$37:$A$274,0),MATCH(_xlfn.CONCAT(B6891," ",E6891),ForeCalc!$B$36:$Y$36,0))))*VLOOKUP(A6891,Calendar!$A$2:$H$9997,8,FALSE),0)</f>
        <v/>
      </c>
      <c r="G6891" s="29">
        <f>VLOOKUP(A6891,Calendar!$A$1:$H$9997,6,FALSE)-F6891</f>
        <v/>
      </c>
      <c r="H6891" s="19" t="n">
        <v>1</v>
      </c>
      <c r="I6891" s="57" t="n">
        <v>11</v>
      </c>
    </row>
    <row r="6892">
      <c r="A6892" s="62" t="n">
        <v>46427</v>
      </c>
      <c r="B6892" s="3" t="inlineStr">
        <is>
          <t>Week</t>
        </is>
      </c>
      <c r="C6892" s="19" t="n">
        <v>2</v>
      </c>
      <c r="D6892" s="19" t="n">
        <v>2027</v>
      </c>
      <c r="E6892" s="57" t="n">
        <v>7</v>
      </c>
      <c r="F6892" s="29">
        <f>ROUND(((SUMIFS(Calendar!$F$2:$F$9997,Calendar!$B$2:$B$9997,D6892,Calendar!$C$2:$C$9997,C6892)*INDEX(ForeCalc!$B$37:$Y$274,MATCH(_xlfn.CONCAT(H6892," ",I6892),ForeCalc!$A$37:$A$274,0),MATCH(_xlfn.CONCAT(B6892," ",E6892),ForeCalc!$B$36:$Y$36,0))))*VLOOKUP(A6892,Calendar!$A$2:$H$9997,8,FALSE),0)</f>
        <v/>
      </c>
      <c r="G6892" s="29">
        <f>VLOOKUP(A6892,Calendar!$A$1:$H$9997,6,FALSE)-F6892</f>
        <v/>
      </c>
      <c r="H6892" s="19" t="n">
        <v>1</v>
      </c>
      <c r="I6892" s="57" t="n">
        <v>11</v>
      </c>
    </row>
    <row r="6893">
      <c r="A6893" s="62" t="n">
        <v>46428</v>
      </c>
      <c r="B6893" s="3" t="inlineStr">
        <is>
          <t>Week</t>
        </is>
      </c>
      <c r="C6893" s="19" t="n">
        <v>2</v>
      </c>
      <c r="D6893" s="19" t="n">
        <v>2027</v>
      </c>
      <c r="E6893" s="57" t="n">
        <v>7</v>
      </c>
      <c r="F6893" s="29">
        <f>ROUND(((SUMIFS(Calendar!$F$2:$F$9997,Calendar!$B$2:$B$9997,D6893,Calendar!$C$2:$C$9997,C6893)*INDEX(ForeCalc!$B$37:$Y$274,MATCH(_xlfn.CONCAT(H6893," ",I6893),ForeCalc!$A$37:$A$274,0),MATCH(_xlfn.CONCAT(B6893," ",E6893),ForeCalc!$B$36:$Y$36,0))))*VLOOKUP(A6893,Calendar!$A$2:$H$9997,8,FALSE),0)</f>
        <v/>
      </c>
      <c r="G6893" s="29">
        <f>VLOOKUP(A6893,Calendar!$A$1:$H$9997,6,FALSE)-F6893</f>
        <v/>
      </c>
      <c r="H6893" s="19" t="n">
        <v>1</v>
      </c>
      <c r="I6893" s="57" t="n">
        <v>11</v>
      </c>
    </row>
    <row r="6894">
      <c r="A6894" s="62" t="n">
        <v>46429</v>
      </c>
      <c r="B6894" s="3" t="inlineStr">
        <is>
          <t>Week</t>
        </is>
      </c>
      <c r="C6894" s="19" t="n">
        <v>2</v>
      </c>
      <c r="D6894" s="19" t="n">
        <v>2027</v>
      </c>
      <c r="E6894" s="57" t="n">
        <v>7</v>
      </c>
      <c r="F6894" s="29">
        <f>ROUND(((SUMIFS(Calendar!$F$2:$F$9997,Calendar!$B$2:$B$9997,D6894,Calendar!$C$2:$C$9997,C6894)*INDEX(ForeCalc!$B$37:$Y$274,MATCH(_xlfn.CONCAT(H6894," ",I6894),ForeCalc!$A$37:$A$274,0),MATCH(_xlfn.CONCAT(B6894," ",E6894),ForeCalc!$B$36:$Y$36,0))))*VLOOKUP(A6894,Calendar!$A$2:$H$9997,8,FALSE),0)</f>
        <v/>
      </c>
      <c r="G6894" s="29">
        <f>VLOOKUP(A6894,Calendar!$A$1:$H$9997,6,FALSE)-F6894</f>
        <v/>
      </c>
      <c r="H6894" s="19" t="n">
        <v>1</v>
      </c>
      <c r="I6894" s="57" t="n">
        <v>11</v>
      </c>
    </row>
    <row r="6895">
      <c r="A6895" s="62" t="n">
        <v>46430</v>
      </c>
      <c r="B6895" s="3" t="inlineStr">
        <is>
          <t>Week</t>
        </is>
      </c>
      <c r="C6895" s="19" t="n">
        <v>2</v>
      </c>
      <c r="D6895" s="19" t="n">
        <v>2027</v>
      </c>
      <c r="E6895" s="57" t="n">
        <v>7</v>
      </c>
      <c r="F6895" s="29">
        <f>ROUND(((SUMIFS(Calendar!$F$2:$F$9997,Calendar!$B$2:$B$9997,D6895,Calendar!$C$2:$C$9997,C6895)*INDEX(ForeCalc!$B$37:$Y$274,MATCH(_xlfn.CONCAT(H6895," ",I6895),ForeCalc!$A$37:$A$274,0),MATCH(_xlfn.CONCAT(B6895," ",E6895),ForeCalc!$B$36:$Y$36,0))))*VLOOKUP(A6895,Calendar!$A$2:$H$9997,8,FALSE),0)</f>
        <v/>
      </c>
      <c r="G6895" s="29">
        <f>VLOOKUP(A6895,Calendar!$A$1:$H$9997,6,FALSE)-F6895</f>
        <v/>
      </c>
      <c r="H6895" s="19" t="n">
        <v>1</v>
      </c>
      <c r="I6895" s="57" t="n">
        <v>11</v>
      </c>
    </row>
    <row r="6896">
      <c r="A6896" s="62" t="n">
        <v>46431</v>
      </c>
      <c r="B6896" s="3" t="inlineStr">
        <is>
          <t>Sat</t>
        </is>
      </c>
      <c r="C6896" s="19" t="n">
        <v>2</v>
      </c>
      <c r="D6896" s="19" t="n">
        <v>2027</v>
      </c>
      <c r="E6896" s="57" t="n">
        <v>7</v>
      </c>
      <c r="F6896" s="29">
        <f>ROUND(((SUMIFS(Calendar!$F$2:$F$9997,Calendar!$B$2:$B$9997,D6896,Calendar!$C$2:$C$9997,C6896)*INDEX(ForeCalc!$B$37:$Y$274,MATCH(_xlfn.CONCAT(H6896," ",I6896),ForeCalc!$A$37:$A$274,0),MATCH(_xlfn.CONCAT(B6896," ",E6896),ForeCalc!$B$36:$Y$36,0))))*VLOOKUP(A6896,Calendar!$A$2:$H$9997,8,FALSE),0)</f>
        <v/>
      </c>
      <c r="G6896" s="29">
        <f>VLOOKUP(A6896,Calendar!$A$1:$H$9997,6,FALSE)-F6896</f>
        <v/>
      </c>
      <c r="H6896" s="19" t="n">
        <v>1</v>
      </c>
      <c r="I6896" s="57" t="n">
        <v>11</v>
      </c>
    </row>
    <row r="6897">
      <c r="A6897" s="62" t="n">
        <v>46432</v>
      </c>
      <c r="B6897" s="3" t="inlineStr">
        <is>
          <t>Sun</t>
        </is>
      </c>
      <c r="C6897" s="19" t="n">
        <v>2</v>
      </c>
      <c r="D6897" s="19" t="n">
        <v>2027</v>
      </c>
      <c r="E6897" s="57" t="n">
        <v>7</v>
      </c>
      <c r="F6897" s="29">
        <f>ROUND(((SUMIFS(Calendar!$F$2:$F$9997,Calendar!$B$2:$B$9997,D6897,Calendar!$C$2:$C$9997,C6897)*INDEX(ForeCalc!$B$37:$Y$274,MATCH(_xlfn.CONCAT(H6897," ",I6897),ForeCalc!$A$37:$A$274,0),MATCH(_xlfn.CONCAT(B6897," ",E6897),ForeCalc!$B$36:$Y$36,0))))*VLOOKUP(A6897,Calendar!$A$2:$H$9997,8,FALSE),0)</f>
        <v/>
      </c>
      <c r="G6897" s="29">
        <f>VLOOKUP(A6897,Calendar!$A$1:$H$9997,6,FALSE)-F6897</f>
        <v/>
      </c>
      <c r="H6897" s="19" t="n">
        <v>1</v>
      </c>
      <c r="I6897" s="57" t="n">
        <v>11</v>
      </c>
    </row>
    <row r="6898">
      <c r="A6898" s="62" t="n">
        <v>46433</v>
      </c>
      <c r="B6898" s="3" t="inlineStr">
        <is>
          <t>Week</t>
        </is>
      </c>
      <c r="C6898" s="19" t="n">
        <v>2</v>
      </c>
      <c r="D6898" s="19" t="n">
        <v>2027</v>
      </c>
      <c r="E6898" s="57" t="n">
        <v>7</v>
      </c>
      <c r="F6898" s="29">
        <f>ROUND(((SUMIFS(Calendar!$F$2:$F$9997,Calendar!$B$2:$B$9997,D6898,Calendar!$C$2:$C$9997,C6898)*INDEX(ForeCalc!$B$37:$Y$274,MATCH(_xlfn.CONCAT(H6898," ",I6898),ForeCalc!$A$37:$A$274,0),MATCH(_xlfn.CONCAT(B6898," ",E6898),ForeCalc!$B$36:$Y$36,0))))*VLOOKUP(A6898,Calendar!$A$2:$H$9997,8,FALSE),0)</f>
        <v/>
      </c>
      <c r="G6898" s="29">
        <f>VLOOKUP(A6898,Calendar!$A$1:$H$9997,6,FALSE)-F6898</f>
        <v/>
      </c>
      <c r="H6898" s="19" t="n">
        <v>1</v>
      </c>
      <c r="I6898" s="57" t="n">
        <v>11</v>
      </c>
    </row>
    <row r="6899">
      <c r="A6899" s="62" t="n">
        <v>46434</v>
      </c>
      <c r="B6899" s="3" t="inlineStr">
        <is>
          <t>Week</t>
        </is>
      </c>
      <c r="C6899" s="19" t="n">
        <v>2</v>
      </c>
      <c r="D6899" s="19" t="n">
        <v>2027</v>
      </c>
      <c r="E6899" s="57" t="n">
        <v>7</v>
      </c>
      <c r="F6899" s="29">
        <f>ROUND(((SUMIFS(Calendar!$F$2:$F$9997,Calendar!$B$2:$B$9997,D6899,Calendar!$C$2:$C$9997,C6899)*INDEX(ForeCalc!$B$37:$Y$274,MATCH(_xlfn.CONCAT(H6899," ",I6899),ForeCalc!$A$37:$A$274,0),MATCH(_xlfn.CONCAT(B6899," ",E6899),ForeCalc!$B$36:$Y$36,0))))*VLOOKUP(A6899,Calendar!$A$2:$H$9997,8,FALSE),0)</f>
        <v/>
      </c>
      <c r="G6899" s="29">
        <f>VLOOKUP(A6899,Calendar!$A$1:$H$9997,6,FALSE)-F6899</f>
        <v/>
      </c>
      <c r="H6899" s="19" t="n">
        <v>1</v>
      </c>
      <c r="I6899" s="57" t="n">
        <v>11</v>
      </c>
    </row>
    <row r="6900">
      <c r="A6900" s="62" t="n">
        <v>46435</v>
      </c>
      <c r="B6900" s="3" t="inlineStr">
        <is>
          <t>Week</t>
        </is>
      </c>
      <c r="C6900" s="19" t="n">
        <v>2</v>
      </c>
      <c r="D6900" s="19" t="n">
        <v>2027</v>
      </c>
      <c r="E6900" s="57" t="n">
        <v>7</v>
      </c>
      <c r="F6900" s="29">
        <f>ROUND(((SUMIFS(Calendar!$F$2:$F$9997,Calendar!$B$2:$B$9997,D6900,Calendar!$C$2:$C$9997,C6900)*INDEX(ForeCalc!$B$37:$Y$274,MATCH(_xlfn.CONCAT(H6900," ",I6900),ForeCalc!$A$37:$A$274,0),MATCH(_xlfn.CONCAT(B6900," ",E6900),ForeCalc!$B$36:$Y$36,0))))*VLOOKUP(A6900,Calendar!$A$2:$H$9997,8,FALSE),0)</f>
        <v/>
      </c>
      <c r="G6900" s="29">
        <f>VLOOKUP(A6900,Calendar!$A$1:$H$9997,6,FALSE)-F6900</f>
        <v/>
      </c>
      <c r="H6900" s="19" t="n">
        <v>1</v>
      </c>
      <c r="I6900" s="57" t="n">
        <v>11</v>
      </c>
    </row>
    <row r="6901">
      <c r="A6901" s="62" t="n">
        <v>46436</v>
      </c>
      <c r="B6901" s="3" t="inlineStr">
        <is>
          <t>Week</t>
        </is>
      </c>
      <c r="C6901" s="19" t="n">
        <v>2</v>
      </c>
      <c r="D6901" s="19" t="n">
        <v>2027</v>
      </c>
      <c r="E6901" s="57" t="n">
        <v>7</v>
      </c>
      <c r="F6901" s="29">
        <f>ROUND(((SUMIFS(Calendar!$F$2:$F$9997,Calendar!$B$2:$B$9997,D6901,Calendar!$C$2:$C$9997,C6901)*INDEX(ForeCalc!$B$37:$Y$274,MATCH(_xlfn.CONCAT(H6901," ",I6901),ForeCalc!$A$37:$A$274,0),MATCH(_xlfn.CONCAT(B6901," ",E6901),ForeCalc!$B$36:$Y$36,0))))*VLOOKUP(A6901,Calendar!$A$2:$H$9997,8,FALSE),0)</f>
        <v/>
      </c>
      <c r="G6901" s="29">
        <f>VLOOKUP(A6901,Calendar!$A$1:$H$9997,6,FALSE)-F6901</f>
        <v/>
      </c>
      <c r="H6901" s="19" t="n">
        <v>1</v>
      </c>
      <c r="I6901" s="57" t="n">
        <v>11</v>
      </c>
    </row>
    <row r="6902">
      <c r="A6902" s="62" t="n">
        <v>46437</v>
      </c>
      <c r="B6902" s="3" t="inlineStr">
        <is>
          <t>Week</t>
        </is>
      </c>
      <c r="C6902" s="19" t="n">
        <v>2</v>
      </c>
      <c r="D6902" s="19" t="n">
        <v>2027</v>
      </c>
      <c r="E6902" s="57" t="n">
        <v>7</v>
      </c>
      <c r="F6902" s="29">
        <f>ROUND(((SUMIFS(Calendar!$F$2:$F$9997,Calendar!$B$2:$B$9997,D6902,Calendar!$C$2:$C$9997,C6902)*INDEX(ForeCalc!$B$37:$Y$274,MATCH(_xlfn.CONCAT(H6902," ",I6902),ForeCalc!$A$37:$A$274,0),MATCH(_xlfn.CONCAT(B6902," ",E6902),ForeCalc!$B$36:$Y$36,0))))*VLOOKUP(A6902,Calendar!$A$2:$H$9997,8,FALSE),0)</f>
        <v/>
      </c>
      <c r="G6902" s="29">
        <f>VLOOKUP(A6902,Calendar!$A$1:$H$9997,6,FALSE)-F6902</f>
        <v/>
      </c>
      <c r="H6902" s="19" t="n">
        <v>1</v>
      </c>
      <c r="I6902" s="57" t="n">
        <v>11</v>
      </c>
    </row>
    <row r="6903">
      <c r="A6903" s="62" t="n">
        <v>46438</v>
      </c>
      <c r="B6903" s="3" t="inlineStr">
        <is>
          <t>Sat</t>
        </is>
      </c>
      <c r="C6903" s="19" t="n">
        <v>2</v>
      </c>
      <c r="D6903" s="19" t="n">
        <v>2027</v>
      </c>
      <c r="E6903" s="57" t="n">
        <v>7</v>
      </c>
      <c r="F6903" s="29">
        <f>ROUND(((SUMIFS(Calendar!$F$2:$F$9997,Calendar!$B$2:$B$9997,D6903,Calendar!$C$2:$C$9997,C6903)*INDEX(ForeCalc!$B$37:$Y$274,MATCH(_xlfn.CONCAT(H6903," ",I6903),ForeCalc!$A$37:$A$274,0),MATCH(_xlfn.CONCAT(B6903," ",E6903),ForeCalc!$B$36:$Y$36,0))))*VLOOKUP(A6903,Calendar!$A$2:$H$9997,8,FALSE),0)</f>
        <v/>
      </c>
      <c r="G6903" s="29">
        <f>VLOOKUP(A6903,Calendar!$A$1:$H$9997,6,FALSE)-F6903</f>
        <v/>
      </c>
      <c r="H6903" s="19" t="n">
        <v>1</v>
      </c>
      <c r="I6903" s="57" t="n">
        <v>11</v>
      </c>
    </row>
    <row r="6904">
      <c r="A6904" s="62" t="n">
        <v>46439</v>
      </c>
      <c r="B6904" s="3" t="inlineStr">
        <is>
          <t>Sun</t>
        </is>
      </c>
      <c r="C6904" s="19" t="n">
        <v>2</v>
      </c>
      <c r="D6904" s="19" t="n">
        <v>2027</v>
      </c>
      <c r="E6904" s="57" t="n">
        <v>7</v>
      </c>
      <c r="F6904" s="29">
        <f>ROUND(((SUMIFS(Calendar!$F$2:$F$9997,Calendar!$B$2:$B$9997,D6904,Calendar!$C$2:$C$9997,C6904)*INDEX(ForeCalc!$B$37:$Y$274,MATCH(_xlfn.CONCAT(H6904," ",I6904),ForeCalc!$A$37:$A$274,0),MATCH(_xlfn.CONCAT(B6904," ",E6904),ForeCalc!$B$36:$Y$36,0))))*VLOOKUP(A6904,Calendar!$A$2:$H$9997,8,FALSE),0)</f>
        <v/>
      </c>
      <c r="G6904" s="29">
        <f>VLOOKUP(A6904,Calendar!$A$1:$H$9997,6,FALSE)-F6904</f>
        <v/>
      </c>
      <c r="H6904" s="19" t="n">
        <v>1</v>
      </c>
      <c r="I6904" s="57" t="n">
        <v>11</v>
      </c>
    </row>
    <row r="6905">
      <c r="A6905" s="62" t="n">
        <v>46440</v>
      </c>
      <c r="B6905" s="3" t="inlineStr">
        <is>
          <t>Week</t>
        </is>
      </c>
      <c r="C6905" s="19" t="n">
        <v>2</v>
      </c>
      <c r="D6905" s="19" t="n">
        <v>2027</v>
      </c>
      <c r="E6905" s="57" t="n">
        <v>7</v>
      </c>
      <c r="F6905" s="29">
        <f>ROUND(((SUMIFS(Calendar!$F$2:$F$9997,Calendar!$B$2:$B$9997,D6905,Calendar!$C$2:$C$9997,C6905)*INDEX(ForeCalc!$B$37:$Y$274,MATCH(_xlfn.CONCAT(H6905," ",I6905),ForeCalc!$A$37:$A$274,0),MATCH(_xlfn.CONCAT(B6905," ",E6905),ForeCalc!$B$36:$Y$36,0))))*VLOOKUP(A6905,Calendar!$A$2:$H$9997,8,FALSE),0)</f>
        <v/>
      </c>
      <c r="G6905" s="29">
        <f>VLOOKUP(A6905,Calendar!$A$1:$H$9997,6,FALSE)-F6905</f>
        <v/>
      </c>
      <c r="H6905" s="19" t="n">
        <v>1</v>
      </c>
      <c r="I6905" s="57" t="n">
        <v>11</v>
      </c>
    </row>
    <row r="6906">
      <c r="A6906" s="62" t="n">
        <v>46441</v>
      </c>
      <c r="B6906" s="3" t="inlineStr">
        <is>
          <t>Week</t>
        </is>
      </c>
      <c r="C6906" s="19" t="n">
        <v>2</v>
      </c>
      <c r="D6906" s="19" t="n">
        <v>2027</v>
      </c>
      <c r="E6906" s="57" t="n">
        <v>7</v>
      </c>
      <c r="F6906" s="29">
        <f>ROUND(((SUMIFS(Calendar!$F$2:$F$9997,Calendar!$B$2:$B$9997,D6906,Calendar!$C$2:$C$9997,C6906)*INDEX(ForeCalc!$B$37:$Y$274,MATCH(_xlfn.CONCAT(H6906," ",I6906),ForeCalc!$A$37:$A$274,0),MATCH(_xlfn.CONCAT(B6906," ",E6906),ForeCalc!$B$36:$Y$36,0))))*VLOOKUP(A6906,Calendar!$A$2:$H$9997,8,FALSE),0)</f>
        <v/>
      </c>
      <c r="G6906" s="29">
        <f>VLOOKUP(A6906,Calendar!$A$1:$H$9997,6,FALSE)-F6906</f>
        <v/>
      </c>
      <c r="H6906" s="19" t="n">
        <v>1</v>
      </c>
      <c r="I6906" s="57" t="n">
        <v>11</v>
      </c>
    </row>
    <row r="6907">
      <c r="A6907" s="62" t="n">
        <v>46442</v>
      </c>
      <c r="B6907" s="3" t="inlineStr">
        <is>
          <t>Week</t>
        </is>
      </c>
      <c r="C6907" s="19" t="n">
        <v>2</v>
      </c>
      <c r="D6907" s="19" t="n">
        <v>2027</v>
      </c>
      <c r="E6907" s="57" t="n">
        <v>7</v>
      </c>
      <c r="F6907" s="29">
        <f>ROUND(((SUMIFS(Calendar!$F$2:$F$9997,Calendar!$B$2:$B$9997,D6907,Calendar!$C$2:$C$9997,C6907)*INDEX(ForeCalc!$B$37:$Y$274,MATCH(_xlfn.CONCAT(H6907," ",I6907),ForeCalc!$A$37:$A$274,0),MATCH(_xlfn.CONCAT(B6907," ",E6907),ForeCalc!$B$36:$Y$36,0))))*VLOOKUP(A6907,Calendar!$A$2:$H$9997,8,FALSE),0)</f>
        <v/>
      </c>
      <c r="G6907" s="29">
        <f>VLOOKUP(A6907,Calendar!$A$1:$H$9997,6,FALSE)-F6907</f>
        <v/>
      </c>
      <c r="H6907" s="19" t="n">
        <v>1</v>
      </c>
      <c r="I6907" s="57" t="n">
        <v>11</v>
      </c>
    </row>
    <row r="6908">
      <c r="A6908" s="62" t="n">
        <v>46443</v>
      </c>
      <c r="B6908" s="3" t="inlineStr">
        <is>
          <t>Week</t>
        </is>
      </c>
      <c r="C6908" s="19" t="n">
        <v>2</v>
      </c>
      <c r="D6908" s="19" t="n">
        <v>2027</v>
      </c>
      <c r="E6908" s="57" t="n">
        <v>7</v>
      </c>
      <c r="F6908" s="29">
        <f>ROUND(((SUMIFS(Calendar!$F$2:$F$9997,Calendar!$B$2:$B$9997,D6908,Calendar!$C$2:$C$9997,C6908)*INDEX(ForeCalc!$B$37:$Y$274,MATCH(_xlfn.CONCAT(H6908," ",I6908),ForeCalc!$A$37:$A$274,0),MATCH(_xlfn.CONCAT(B6908," ",E6908),ForeCalc!$B$36:$Y$36,0))))*VLOOKUP(A6908,Calendar!$A$2:$H$9997,8,FALSE),0)</f>
        <v/>
      </c>
      <c r="G6908" s="29">
        <f>VLOOKUP(A6908,Calendar!$A$1:$H$9997,6,FALSE)-F6908</f>
        <v/>
      </c>
      <c r="H6908" s="19" t="n">
        <v>1</v>
      </c>
      <c r="I6908" s="57" t="n">
        <v>11</v>
      </c>
    </row>
    <row r="6909">
      <c r="A6909" s="62" t="n">
        <v>46444</v>
      </c>
      <c r="B6909" s="3" t="inlineStr">
        <is>
          <t>Week</t>
        </is>
      </c>
      <c r="C6909" s="19" t="n">
        <v>2</v>
      </c>
      <c r="D6909" s="19" t="n">
        <v>2027</v>
      </c>
      <c r="E6909" s="57" t="n">
        <v>7</v>
      </c>
      <c r="F6909" s="29">
        <f>ROUND(((SUMIFS(Calendar!$F$2:$F$9997,Calendar!$B$2:$B$9997,D6909,Calendar!$C$2:$C$9997,C6909)*INDEX(ForeCalc!$B$37:$Y$274,MATCH(_xlfn.CONCAT(H6909," ",I6909),ForeCalc!$A$37:$A$274,0),MATCH(_xlfn.CONCAT(B6909," ",E6909),ForeCalc!$B$36:$Y$36,0))))*VLOOKUP(A6909,Calendar!$A$2:$H$9997,8,FALSE),0)</f>
        <v/>
      </c>
      <c r="G6909" s="29">
        <f>VLOOKUP(A6909,Calendar!$A$1:$H$9997,6,FALSE)-F6909</f>
        <v/>
      </c>
      <c r="H6909" s="19" t="n">
        <v>1</v>
      </c>
      <c r="I6909" s="57" t="n">
        <v>11</v>
      </c>
    </row>
    <row r="6910">
      <c r="A6910" s="62" t="n">
        <v>46445</v>
      </c>
      <c r="B6910" s="3" t="inlineStr">
        <is>
          <t>Sat</t>
        </is>
      </c>
      <c r="C6910" s="19" t="n">
        <v>2</v>
      </c>
      <c r="D6910" s="19" t="n">
        <v>2027</v>
      </c>
      <c r="E6910" s="57" t="n">
        <v>7</v>
      </c>
      <c r="F6910" s="29">
        <f>ROUND(((SUMIFS(Calendar!$F$2:$F$9997,Calendar!$B$2:$B$9997,D6910,Calendar!$C$2:$C$9997,C6910)*INDEX(ForeCalc!$B$37:$Y$274,MATCH(_xlfn.CONCAT(H6910," ",I6910),ForeCalc!$A$37:$A$274,0),MATCH(_xlfn.CONCAT(B6910," ",E6910),ForeCalc!$B$36:$Y$36,0))))*VLOOKUP(A6910,Calendar!$A$2:$H$9997,8,FALSE),0)</f>
        <v/>
      </c>
      <c r="G6910" s="29">
        <f>VLOOKUP(A6910,Calendar!$A$1:$H$9997,6,FALSE)-F6910</f>
        <v/>
      </c>
      <c r="H6910" s="19" t="n">
        <v>1</v>
      </c>
      <c r="I6910" s="57" t="n">
        <v>11</v>
      </c>
    </row>
    <row r="6911">
      <c r="A6911" s="62" t="n">
        <v>46446</v>
      </c>
      <c r="B6911" s="3" t="inlineStr">
        <is>
          <t>Sun</t>
        </is>
      </c>
      <c r="C6911" s="19" t="n">
        <v>2</v>
      </c>
      <c r="D6911" s="19" t="n">
        <v>2027</v>
      </c>
      <c r="E6911" s="57" t="n">
        <v>7</v>
      </c>
      <c r="F6911" s="29">
        <f>ROUND(((SUMIFS(Calendar!$F$2:$F$9997,Calendar!$B$2:$B$9997,D6911,Calendar!$C$2:$C$9997,C6911)*INDEX(ForeCalc!$B$37:$Y$274,MATCH(_xlfn.CONCAT(H6911," ",I6911),ForeCalc!$A$37:$A$274,0),MATCH(_xlfn.CONCAT(B6911," ",E6911),ForeCalc!$B$36:$Y$36,0))))*VLOOKUP(A6911,Calendar!$A$2:$H$9997,8,FALSE),0)</f>
        <v/>
      </c>
      <c r="G6911" s="29">
        <f>VLOOKUP(A6911,Calendar!$A$1:$H$9997,6,FALSE)-F6911</f>
        <v/>
      </c>
      <c r="H6911" s="19" t="n">
        <v>1</v>
      </c>
      <c r="I6911" s="57" t="n">
        <v>11</v>
      </c>
    </row>
    <row r="6912">
      <c r="A6912" s="62" t="n">
        <v>46447</v>
      </c>
      <c r="B6912" s="3" t="inlineStr">
        <is>
          <t>Week</t>
        </is>
      </c>
      <c r="C6912" s="19" t="n">
        <v>3</v>
      </c>
      <c r="D6912" s="19" t="n">
        <v>2027</v>
      </c>
      <c r="E6912" s="57" t="n">
        <v>7</v>
      </c>
      <c r="F6912" s="29">
        <f>ROUND(((SUMIFS(Calendar!$F$2:$F$9997,Calendar!$B$2:$B$9997,D6912,Calendar!$C$2:$C$9997,C6912)*INDEX(ForeCalc!$B$37:$Y$274,MATCH(_xlfn.CONCAT(H6912," ",I6912),ForeCalc!$A$37:$A$274,0),MATCH(_xlfn.CONCAT(B6912," ",E6912),ForeCalc!$B$36:$Y$36,0))))*VLOOKUP(A6912,Calendar!$A$2:$H$9997,8,FALSE),0)</f>
        <v/>
      </c>
      <c r="G6912" s="29">
        <f>VLOOKUP(A6912,Calendar!$A$1:$H$9997,6,FALSE)-F6912</f>
        <v/>
      </c>
      <c r="H6912" s="19" t="n">
        <v>1</v>
      </c>
      <c r="I6912" s="57" t="n">
        <v>12</v>
      </c>
    </row>
    <row r="6913">
      <c r="A6913" s="62" t="n">
        <v>46448</v>
      </c>
      <c r="B6913" s="3" t="inlineStr">
        <is>
          <t>Week</t>
        </is>
      </c>
      <c r="C6913" s="19" t="n">
        <v>3</v>
      </c>
      <c r="D6913" s="19" t="n">
        <v>2027</v>
      </c>
      <c r="E6913" s="57" t="n">
        <v>7</v>
      </c>
      <c r="F6913" s="29">
        <f>ROUND(((SUMIFS(Calendar!$F$2:$F$9997,Calendar!$B$2:$B$9997,D6913,Calendar!$C$2:$C$9997,C6913)*INDEX(ForeCalc!$B$37:$Y$274,MATCH(_xlfn.CONCAT(H6913," ",I6913),ForeCalc!$A$37:$A$274,0),MATCH(_xlfn.CONCAT(B6913," ",E6913),ForeCalc!$B$36:$Y$36,0))))*VLOOKUP(A6913,Calendar!$A$2:$H$9997,8,FALSE),0)</f>
        <v/>
      </c>
      <c r="G6913" s="29">
        <f>VLOOKUP(A6913,Calendar!$A$1:$H$9997,6,FALSE)-F6913</f>
        <v/>
      </c>
      <c r="H6913" s="19" t="n">
        <v>1</v>
      </c>
      <c r="I6913" s="57" t="n">
        <v>12</v>
      </c>
    </row>
    <row r="6914">
      <c r="A6914" s="62" t="n">
        <v>46449</v>
      </c>
      <c r="B6914" s="3" t="inlineStr">
        <is>
          <t>Week</t>
        </is>
      </c>
      <c r="C6914" s="19" t="n">
        <v>3</v>
      </c>
      <c r="D6914" s="19" t="n">
        <v>2027</v>
      </c>
      <c r="E6914" s="57" t="n">
        <v>7</v>
      </c>
      <c r="F6914" s="29">
        <f>ROUND(((SUMIFS(Calendar!$F$2:$F$9997,Calendar!$B$2:$B$9997,D6914,Calendar!$C$2:$C$9997,C6914)*INDEX(ForeCalc!$B$37:$Y$274,MATCH(_xlfn.CONCAT(H6914," ",I6914),ForeCalc!$A$37:$A$274,0),MATCH(_xlfn.CONCAT(B6914," ",E6914),ForeCalc!$B$36:$Y$36,0))))*VLOOKUP(A6914,Calendar!$A$2:$H$9997,8,FALSE),0)</f>
        <v/>
      </c>
      <c r="G6914" s="29">
        <f>VLOOKUP(A6914,Calendar!$A$1:$H$9997,6,FALSE)-F6914</f>
        <v/>
      </c>
      <c r="H6914" s="19" t="n">
        <v>1</v>
      </c>
      <c r="I6914" s="57" t="n">
        <v>12</v>
      </c>
    </row>
    <row r="6915">
      <c r="A6915" s="62" t="n">
        <v>46450</v>
      </c>
      <c r="B6915" s="3" t="inlineStr">
        <is>
          <t>Week</t>
        </is>
      </c>
      <c r="C6915" s="19" t="n">
        <v>3</v>
      </c>
      <c r="D6915" s="19" t="n">
        <v>2027</v>
      </c>
      <c r="E6915" s="57" t="n">
        <v>7</v>
      </c>
      <c r="F6915" s="29">
        <f>ROUND(((SUMIFS(Calendar!$F$2:$F$9997,Calendar!$B$2:$B$9997,D6915,Calendar!$C$2:$C$9997,C6915)*INDEX(ForeCalc!$B$37:$Y$274,MATCH(_xlfn.CONCAT(H6915," ",I6915),ForeCalc!$A$37:$A$274,0),MATCH(_xlfn.CONCAT(B6915," ",E6915),ForeCalc!$B$36:$Y$36,0))))*VLOOKUP(A6915,Calendar!$A$2:$H$9997,8,FALSE),0)</f>
        <v/>
      </c>
      <c r="G6915" s="29">
        <f>VLOOKUP(A6915,Calendar!$A$1:$H$9997,6,FALSE)-F6915</f>
        <v/>
      </c>
      <c r="H6915" s="19" t="n">
        <v>1</v>
      </c>
      <c r="I6915" s="57" t="n">
        <v>12</v>
      </c>
    </row>
    <row r="6916">
      <c r="A6916" s="62" t="n">
        <v>46451</v>
      </c>
      <c r="B6916" s="3" t="inlineStr">
        <is>
          <t>Week</t>
        </is>
      </c>
      <c r="C6916" s="19" t="n">
        <v>3</v>
      </c>
      <c r="D6916" s="19" t="n">
        <v>2027</v>
      </c>
      <c r="E6916" s="57" t="n">
        <v>7</v>
      </c>
      <c r="F6916" s="29">
        <f>ROUND(((SUMIFS(Calendar!$F$2:$F$9997,Calendar!$B$2:$B$9997,D6916,Calendar!$C$2:$C$9997,C6916)*INDEX(ForeCalc!$B$37:$Y$274,MATCH(_xlfn.CONCAT(H6916," ",I6916),ForeCalc!$A$37:$A$274,0),MATCH(_xlfn.CONCAT(B6916," ",E6916),ForeCalc!$B$36:$Y$36,0))))*VLOOKUP(A6916,Calendar!$A$2:$H$9997,8,FALSE),0)</f>
        <v/>
      </c>
      <c r="G6916" s="29">
        <f>VLOOKUP(A6916,Calendar!$A$1:$H$9997,6,FALSE)-F6916</f>
        <v/>
      </c>
      <c r="H6916" s="19" t="n">
        <v>1</v>
      </c>
      <c r="I6916" s="57" t="n">
        <v>12</v>
      </c>
    </row>
    <row r="6917">
      <c r="A6917" s="62" t="n">
        <v>46452</v>
      </c>
      <c r="B6917" s="3" t="inlineStr">
        <is>
          <t>Sat</t>
        </is>
      </c>
      <c r="C6917" s="19" t="n">
        <v>3</v>
      </c>
      <c r="D6917" s="19" t="n">
        <v>2027</v>
      </c>
      <c r="E6917" s="57" t="n">
        <v>7</v>
      </c>
      <c r="F6917" s="29">
        <f>ROUND(((SUMIFS(Calendar!$F$2:$F$9997,Calendar!$B$2:$B$9997,D6917,Calendar!$C$2:$C$9997,C6917)*INDEX(ForeCalc!$B$37:$Y$274,MATCH(_xlfn.CONCAT(H6917," ",I6917),ForeCalc!$A$37:$A$274,0),MATCH(_xlfn.CONCAT(B6917," ",E6917),ForeCalc!$B$36:$Y$36,0))))*VLOOKUP(A6917,Calendar!$A$2:$H$9997,8,FALSE),0)</f>
        <v/>
      </c>
      <c r="G6917" s="29">
        <f>VLOOKUP(A6917,Calendar!$A$1:$H$9997,6,FALSE)-F6917</f>
        <v/>
      </c>
      <c r="H6917" s="19" t="n">
        <v>1</v>
      </c>
      <c r="I6917" s="57" t="n">
        <v>12</v>
      </c>
    </row>
    <row r="6918">
      <c r="A6918" s="62" t="n">
        <v>46453</v>
      </c>
      <c r="B6918" s="3" t="inlineStr">
        <is>
          <t>Sun</t>
        </is>
      </c>
      <c r="C6918" s="19" t="n">
        <v>3</v>
      </c>
      <c r="D6918" s="19" t="n">
        <v>2027</v>
      </c>
      <c r="E6918" s="57" t="n">
        <v>7</v>
      </c>
      <c r="F6918" s="29">
        <f>ROUND(((SUMIFS(Calendar!$F$2:$F$9997,Calendar!$B$2:$B$9997,D6918,Calendar!$C$2:$C$9997,C6918)*INDEX(ForeCalc!$B$37:$Y$274,MATCH(_xlfn.CONCAT(H6918," ",I6918),ForeCalc!$A$37:$A$274,0),MATCH(_xlfn.CONCAT(B6918," ",E6918),ForeCalc!$B$36:$Y$36,0))))*VLOOKUP(A6918,Calendar!$A$2:$H$9997,8,FALSE),0)</f>
        <v/>
      </c>
      <c r="G6918" s="29">
        <f>VLOOKUP(A6918,Calendar!$A$1:$H$9997,6,FALSE)-F6918</f>
        <v/>
      </c>
      <c r="H6918" s="19" t="n">
        <v>1</v>
      </c>
      <c r="I6918" s="57" t="n">
        <v>12</v>
      </c>
    </row>
    <row r="6919">
      <c r="A6919" s="62" t="n">
        <v>46454</v>
      </c>
      <c r="B6919" s="3" t="inlineStr">
        <is>
          <t>Week</t>
        </is>
      </c>
      <c r="C6919" s="19" t="n">
        <v>3</v>
      </c>
      <c r="D6919" s="19" t="n">
        <v>2027</v>
      </c>
      <c r="E6919" s="57" t="n">
        <v>7</v>
      </c>
      <c r="F6919" s="29">
        <f>ROUND(((SUMIFS(Calendar!$F$2:$F$9997,Calendar!$B$2:$B$9997,D6919,Calendar!$C$2:$C$9997,C6919)*INDEX(ForeCalc!$B$37:$Y$274,MATCH(_xlfn.CONCAT(H6919," ",I6919),ForeCalc!$A$37:$A$274,0),MATCH(_xlfn.CONCAT(B6919," ",E6919),ForeCalc!$B$36:$Y$36,0))))*VLOOKUP(A6919,Calendar!$A$2:$H$9997,8,FALSE),0)</f>
        <v/>
      </c>
      <c r="G6919" s="29">
        <f>VLOOKUP(A6919,Calendar!$A$1:$H$9997,6,FALSE)-F6919</f>
        <v/>
      </c>
      <c r="H6919" s="19" t="n">
        <v>1</v>
      </c>
      <c r="I6919" s="57" t="n">
        <v>12</v>
      </c>
    </row>
    <row r="6920">
      <c r="A6920" s="62" t="n">
        <v>46455</v>
      </c>
      <c r="B6920" s="3" t="inlineStr">
        <is>
          <t>Week</t>
        </is>
      </c>
      <c r="C6920" s="19" t="n">
        <v>3</v>
      </c>
      <c r="D6920" s="19" t="n">
        <v>2027</v>
      </c>
      <c r="E6920" s="57" t="n">
        <v>7</v>
      </c>
      <c r="F6920" s="29">
        <f>ROUND(((SUMIFS(Calendar!$F$2:$F$9997,Calendar!$B$2:$B$9997,D6920,Calendar!$C$2:$C$9997,C6920)*INDEX(ForeCalc!$B$37:$Y$274,MATCH(_xlfn.CONCAT(H6920," ",I6920),ForeCalc!$A$37:$A$274,0),MATCH(_xlfn.CONCAT(B6920," ",E6920),ForeCalc!$B$36:$Y$36,0))))*VLOOKUP(A6920,Calendar!$A$2:$H$9997,8,FALSE),0)</f>
        <v/>
      </c>
      <c r="G6920" s="29">
        <f>VLOOKUP(A6920,Calendar!$A$1:$H$9997,6,FALSE)-F6920</f>
        <v/>
      </c>
      <c r="H6920" s="19" t="n">
        <v>1</v>
      </c>
      <c r="I6920" s="57" t="n">
        <v>12</v>
      </c>
    </row>
    <row r="6921">
      <c r="A6921" s="62" t="n">
        <v>46456</v>
      </c>
      <c r="B6921" s="3" t="inlineStr">
        <is>
          <t>Week</t>
        </is>
      </c>
      <c r="C6921" s="19" t="n">
        <v>3</v>
      </c>
      <c r="D6921" s="19" t="n">
        <v>2027</v>
      </c>
      <c r="E6921" s="57" t="n">
        <v>7</v>
      </c>
      <c r="F6921" s="29">
        <f>ROUND(((SUMIFS(Calendar!$F$2:$F$9997,Calendar!$B$2:$B$9997,D6921,Calendar!$C$2:$C$9997,C6921)*INDEX(ForeCalc!$B$37:$Y$274,MATCH(_xlfn.CONCAT(H6921," ",I6921),ForeCalc!$A$37:$A$274,0),MATCH(_xlfn.CONCAT(B6921," ",E6921),ForeCalc!$B$36:$Y$36,0))))*VLOOKUP(A6921,Calendar!$A$2:$H$9997,8,FALSE),0)</f>
        <v/>
      </c>
      <c r="G6921" s="29">
        <f>VLOOKUP(A6921,Calendar!$A$1:$H$9997,6,FALSE)-F6921</f>
        <v/>
      </c>
      <c r="H6921" s="19" t="n">
        <v>1</v>
      </c>
      <c r="I6921" s="57" t="n">
        <v>12</v>
      </c>
    </row>
    <row r="6922">
      <c r="A6922" s="62" t="n">
        <v>46457</v>
      </c>
      <c r="B6922" s="3" t="inlineStr">
        <is>
          <t>Week</t>
        </is>
      </c>
      <c r="C6922" s="19" t="n">
        <v>3</v>
      </c>
      <c r="D6922" s="19" t="n">
        <v>2027</v>
      </c>
      <c r="E6922" s="57" t="n">
        <v>7</v>
      </c>
      <c r="F6922" s="29">
        <f>ROUND(((SUMIFS(Calendar!$F$2:$F$9997,Calendar!$B$2:$B$9997,D6922,Calendar!$C$2:$C$9997,C6922)*INDEX(ForeCalc!$B$37:$Y$274,MATCH(_xlfn.CONCAT(H6922," ",I6922),ForeCalc!$A$37:$A$274,0),MATCH(_xlfn.CONCAT(B6922," ",E6922),ForeCalc!$B$36:$Y$36,0))))*VLOOKUP(A6922,Calendar!$A$2:$H$9997,8,FALSE),0)</f>
        <v/>
      </c>
      <c r="G6922" s="29">
        <f>VLOOKUP(A6922,Calendar!$A$1:$H$9997,6,FALSE)-F6922</f>
        <v/>
      </c>
      <c r="H6922" s="19" t="n">
        <v>1</v>
      </c>
      <c r="I6922" s="57" t="n">
        <v>12</v>
      </c>
    </row>
    <row r="6923">
      <c r="A6923" s="62" t="n">
        <v>46458</v>
      </c>
      <c r="B6923" s="3" t="inlineStr">
        <is>
          <t>Week</t>
        </is>
      </c>
      <c r="C6923" s="19" t="n">
        <v>3</v>
      </c>
      <c r="D6923" s="19" t="n">
        <v>2027</v>
      </c>
      <c r="E6923" s="57" t="n">
        <v>7</v>
      </c>
      <c r="F6923" s="29">
        <f>ROUND(((SUMIFS(Calendar!$F$2:$F$9997,Calendar!$B$2:$B$9997,D6923,Calendar!$C$2:$C$9997,C6923)*INDEX(ForeCalc!$B$37:$Y$274,MATCH(_xlfn.CONCAT(H6923," ",I6923),ForeCalc!$A$37:$A$274,0),MATCH(_xlfn.CONCAT(B6923," ",E6923),ForeCalc!$B$36:$Y$36,0))))*VLOOKUP(A6923,Calendar!$A$2:$H$9997,8,FALSE),0)</f>
        <v/>
      </c>
      <c r="G6923" s="29">
        <f>VLOOKUP(A6923,Calendar!$A$1:$H$9997,6,FALSE)-F6923</f>
        <v/>
      </c>
      <c r="H6923" s="19" t="n">
        <v>1</v>
      </c>
      <c r="I6923" s="57" t="n">
        <v>12</v>
      </c>
    </row>
    <row r="6924">
      <c r="A6924" s="62" t="n">
        <v>46459</v>
      </c>
      <c r="B6924" s="3" t="inlineStr">
        <is>
          <t>Sat</t>
        </is>
      </c>
      <c r="C6924" s="19" t="n">
        <v>3</v>
      </c>
      <c r="D6924" s="19" t="n">
        <v>2027</v>
      </c>
      <c r="E6924" s="57" t="n">
        <v>7</v>
      </c>
      <c r="F6924" s="29">
        <f>ROUND(((SUMIFS(Calendar!$F$2:$F$9997,Calendar!$B$2:$B$9997,D6924,Calendar!$C$2:$C$9997,C6924)*INDEX(ForeCalc!$B$37:$Y$274,MATCH(_xlfn.CONCAT(H6924," ",I6924),ForeCalc!$A$37:$A$274,0),MATCH(_xlfn.CONCAT(B6924," ",E6924),ForeCalc!$B$36:$Y$36,0))))*VLOOKUP(A6924,Calendar!$A$2:$H$9997,8,FALSE),0)</f>
        <v/>
      </c>
      <c r="G6924" s="29">
        <f>VLOOKUP(A6924,Calendar!$A$1:$H$9997,6,FALSE)-F6924</f>
        <v/>
      </c>
      <c r="H6924" s="19" t="n">
        <v>1</v>
      </c>
      <c r="I6924" s="57" t="n">
        <v>12</v>
      </c>
    </row>
    <row r="6925">
      <c r="A6925" s="62" t="n">
        <v>46460</v>
      </c>
      <c r="B6925" s="3" t="inlineStr">
        <is>
          <t>Sun</t>
        </is>
      </c>
      <c r="C6925" s="19" t="n">
        <v>3</v>
      </c>
      <c r="D6925" s="19" t="n">
        <v>2027</v>
      </c>
      <c r="E6925" s="57" t="n">
        <v>7</v>
      </c>
      <c r="F6925" s="29">
        <f>ROUND(((SUMIFS(Calendar!$F$2:$F$9997,Calendar!$B$2:$B$9997,D6925,Calendar!$C$2:$C$9997,C6925)*INDEX(ForeCalc!$B$37:$Y$274,MATCH(_xlfn.CONCAT(H6925," ",I6925),ForeCalc!$A$37:$A$274,0),MATCH(_xlfn.CONCAT(B6925," ",E6925),ForeCalc!$B$36:$Y$36,0))))*VLOOKUP(A6925,Calendar!$A$2:$H$9997,8,FALSE),0)</f>
        <v/>
      </c>
      <c r="G6925" s="29">
        <f>VLOOKUP(A6925,Calendar!$A$1:$H$9997,6,FALSE)-F6925</f>
        <v/>
      </c>
      <c r="H6925" s="19" t="n">
        <v>1</v>
      </c>
      <c r="I6925" s="57" t="n">
        <v>12</v>
      </c>
    </row>
    <row r="6926">
      <c r="A6926" s="62" t="n">
        <v>46461</v>
      </c>
      <c r="B6926" s="3" t="inlineStr">
        <is>
          <t>Week</t>
        </is>
      </c>
      <c r="C6926" s="19" t="n">
        <v>3</v>
      </c>
      <c r="D6926" s="19" t="n">
        <v>2027</v>
      </c>
      <c r="E6926" s="57" t="n">
        <v>7</v>
      </c>
      <c r="F6926" s="29">
        <f>ROUND(((SUMIFS(Calendar!$F$2:$F$9997,Calendar!$B$2:$B$9997,D6926,Calendar!$C$2:$C$9997,C6926)*INDEX(ForeCalc!$B$37:$Y$274,MATCH(_xlfn.CONCAT(H6926," ",I6926),ForeCalc!$A$37:$A$274,0),MATCH(_xlfn.CONCAT(B6926," ",E6926),ForeCalc!$B$36:$Y$36,0))))*VLOOKUP(A6926,Calendar!$A$2:$H$9997,8,FALSE),0)</f>
        <v/>
      </c>
      <c r="G6926" s="29">
        <f>VLOOKUP(A6926,Calendar!$A$1:$H$9997,6,FALSE)-F6926</f>
        <v/>
      </c>
      <c r="H6926" s="19" t="n">
        <v>1</v>
      </c>
      <c r="I6926" s="57" t="n">
        <v>12</v>
      </c>
    </row>
    <row r="6927">
      <c r="A6927" s="62" t="n">
        <v>46462</v>
      </c>
      <c r="B6927" s="3" t="inlineStr">
        <is>
          <t>Week</t>
        </is>
      </c>
      <c r="C6927" s="19" t="n">
        <v>3</v>
      </c>
      <c r="D6927" s="19" t="n">
        <v>2027</v>
      </c>
      <c r="E6927" s="57" t="n">
        <v>7</v>
      </c>
      <c r="F6927" s="29">
        <f>ROUND(((SUMIFS(Calendar!$F$2:$F$9997,Calendar!$B$2:$B$9997,D6927,Calendar!$C$2:$C$9997,C6927)*INDEX(ForeCalc!$B$37:$Y$274,MATCH(_xlfn.CONCAT(H6927," ",I6927),ForeCalc!$A$37:$A$274,0),MATCH(_xlfn.CONCAT(B6927," ",E6927),ForeCalc!$B$36:$Y$36,0))))*VLOOKUP(A6927,Calendar!$A$2:$H$9997,8,FALSE),0)</f>
        <v/>
      </c>
      <c r="G6927" s="29">
        <f>VLOOKUP(A6927,Calendar!$A$1:$H$9997,6,FALSE)-F6927</f>
        <v/>
      </c>
      <c r="H6927" s="19" t="n">
        <v>1</v>
      </c>
      <c r="I6927" s="57" t="n">
        <v>12</v>
      </c>
    </row>
    <row r="6928">
      <c r="A6928" s="62" t="n">
        <v>46463</v>
      </c>
      <c r="B6928" s="3" t="inlineStr">
        <is>
          <t>Week</t>
        </is>
      </c>
      <c r="C6928" s="19" t="n">
        <v>3</v>
      </c>
      <c r="D6928" s="19" t="n">
        <v>2027</v>
      </c>
      <c r="E6928" s="57" t="n">
        <v>7</v>
      </c>
      <c r="F6928" s="29">
        <f>ROUND(((SUMIFS(Calendar!$F$2:$F$9997,Calendar!$B$2:$B$9997,D6928,Calendar!$C$2:$C$9997,C6928)*INDEX(ForeCalc!$B$37:$Y$274,MATCH(_xlfn.CONCAT(H6928," ",I6928),ForeCalc!$A$37:$A$274,0),MATCH(_xlfn.CONCAT(B6928," ",E6928),ForeCalc!$B$36:$Y$36,0))))*VLOOKUP(A6928,Calendar!$A$2:$H$9997,8,FALSE),0)</f>
        <v/>
      </c>
      <c r="G6928" s="29">
        <f>VLOOKUP(A6928,Calendar!$A$1:$H$9997,6,FALSE)-F6928</f>
        <v/>
      </c>
      <c r="H6928" s="19" t="n">
        <v>1</v>
      </c>
      <c r="I6928" s="57" t="n">
        <v>12</v>
      </c>
    </row>
    <row r="6929">
      <c r="A6929" s="62" t="n">
        <v>46464</v>
      </c>
      <c r="B6929" s="3" t="inlineStr">
        <is>
          <t>Week</t>
        </is>
      </c>
      <c r="C6929" s="19" t="n">
        <v>3</v>
      </c>
      <c r="D6929" s="19" t="n">
        <v>2027</v>
      </c>
      <c r="E6929" s="57" t="n">
        <v>7</v>
      </c>
      <c r="F6929" s="29">
        <f>ROUND(((SUMIFS(Calendar!$F$2:$F$9997,Calendar!$B$2:$B$9997,D6929,Calendar!$C$2:$C$9997,C6929)*INDEX(ForeCalc!$B$37:$Y$274,MATCH(_xlfn.CONCAT(H6929," ",I6929),ForeCalc!$A$37:$A$274,0),MATCH(_xlfn.CONCAT(B6929," ",E6929),ForeCalc!$B$36:$Y$36,0))))*VLOOKUP(A6929,Calendar!$A$2:$H$9997,8,FALSE),0)</f>
        <v/>
      </c>
      <c r="G6929" s="29">
        <f>VLOOKUP(A6929,Calendar!$A$1:$H$9997,6,FALSE)-F6929</f>
        <v/>
      </c>
      <c r="H6929" s="19" t="n">
        <v>1</v>
      </c>
      <c r="I6929" s="57" t="n">
        <v>12</v>
      </c>
    </row>
    <row r="6930">
      <c r="A6930" s="62" t="n">
        <v>46465</v>
      </c>
      <c r="B6930" s="3" t="inlineStr">
        <is>
          <t>Week</t>
        </is>
      </c>
      <c r="C6930" s="19" t="n">
        <v>3</v>
      </c>
      <c r="D6930" s="19" t="n">
        <v>2027</v>
      </c>
      <c r="E6930" s="57" t="n">
        <v>7</v>
      </c>
      <c r="F6930" s="29">
        <f>ROUND(((SUMIFS(Calendar!$F$2:$F$9997,Calendar!$B$2:$B$9997,D6930,Calendar!$C$2:$C$9997,C6930)*INDEX(ForeCalc!$B$37:$Y$274,MATCH(_xlfn.CONCAT(H6930," ",I6930),ForeCalc!$A$37:$A$274,0),MATCH(_xlfn.CONCAT(B6930," ",E6930),ForeCalc!$B$36:$Y$36,0))))*VLOOKUP(A6930,Calendar!$A$2:$H$9997,8,FALSE),0)</f>
        <v/>
      </c>
      <c r="G6930" s="29">
        <f>VLOOKUP(A6930,Calendar!$A$1:$H$9997,6,FALSE)-F6930</f>
        <v/>
      </c>
      <c r="H6930" s="19" t="n">
        <v>1</v>
      </c>
      <c r="I6930" s="57" t="n">
        <v>12</v>
      </c>
    </row>
    <row r="6931">
      <c r="A6931" s="62" t="n">
        <v>46466</v>
      </c>
      <c r="B6931" s="3" t="inlineStr">
        <is>
          <t>Sat</t>
        </is>
      </c>
      <c r="C6931" s="19" t="n">
        <v>3</v>
      </c>
      <c r="D6931" s="19" t="n">
        <v>2027</v>
      </c>
      <c r="E6931" s="57" t="n">
        <v>7</v>
      </c>
      <c r="F6931" s="29">
        <f>ROUND(((SUMIFS(Calendar!$F$2:$F$9997,Calendar!$B$2:$B$9997,D6931,Calendar!$C$2:$C$9997,C6931)*INDEX(ForeCalc!$B$37:$Y$274,MATCH(_xlfn.CONCAT(H6931," ",I6931),ForeCalc!$A$37:$A$274,0),MATCH(_xlfn.CONCAT(B6931," ",E6931),ForeCalc!$B$36:$Y$36,0))))*VLOOKUP(A6931,Calendar!$A$2:$H$9997,8,FALSE),0)</f>
        <v/>
      </c>
      <c r="G6931" s="29">
        <f>VLOOKUP(A6931,Calendar!$A$1:$H$9997,6,FALSE)-F6931</f>
        <v/>
      </c>
      <c r="H6931" s="19" t="n">
        <v>1</v>
      </c>
      <c r="I6931" s="57" t="n">
        <v>12</v>
      </c>
    </row>
    <row r="6932">
      <c r="A6932" s="62" t="n">
        <v>46467</v>
      </c>
      <c r="B6932" s="3" t="inlineStr">
        <is>
          <t>Sun</t>
        </is>
      </c>
      <c r="C6932" s="19" t="n">
        <v>3</v>
      </c>
      <c r="D6932" s="19" t="n">
        <v>2027</v>
      </c>
      <c r="E6932" s="57" t="n">
        <v>7</v>
      </c>
      <c r="F6932" s="29">
        <f>ROUND(((SUMIFS(Calendar!$F$2:$F$9997,Calendar!$B$2:$B$9997,D6932,Calendar!$C$2:$C$9997,C6932)*INDEX(ForeCalc!$B$37:$Y$274,MATCH(_xlfn.CONCAT(H6932," ",I6932),ForeCalc!$A$37:$A$274,0),MATCH(_xlfn.CONCAT(B6932," ",E6932),ForeCalc!$B$36:$Y$36,0))))*VLOOKUP(A6932,Calendar!$A$2:$H$9997,8,FALSE),0)</f>
        <v/>
      </c>
      <c r="G6932" s="29">
        <f>VLOOKUP(A6932,Calendar!$A$1:$H$9997,6,FALSE)-F6932</f>
        <v/>
      </c>
      <c r="H6932" s="19" t="n">
        <v>1</v>
      </c>
      <c r="I6932" s="57" t="n">
        <v>12</v>
      </c>
    </row>
    <row r="6933">
      <c r="A6933" s="62" t="n">
        <v>46468</v>
      </c>
      <c r="B6933" s="3" t="inlineStr">
        <is>
          <t>Week</t>
        </is>
      </c>
      <c r="C6933" s="19" t="n">
        <v>3</v>
      </c>
      <c r="D6933" s="19" t="n">
        <v>2027</v>
      </c>
      <c r="E6933" s="57" t="n">
        <v>7</v>
      </c>
      <c r="F6933" s="29">
        <f>ROUND(((SUMIFS(Calendar!$F$2:$F$9997,Calendar!$B$2:$B$9997,D6933,Calendar!$C$2:$C$9997,C6933)*INDEX(ForeCalc!$B$37:$Y$274,MATCH(_xlfn.CONCAT(H6933," ",I6933),ForeCalc!$A$37:$A$274,0),MATCH(_xlfn.CONCAT(B6933," ",E6933),ForeCalc!$B$36:$Y$36,0))))*VLOOKUP(A6933,Calendar!$A$2:$H$9997,8,FALSE),0)</f>
        <v/>
      </c>
      <c r="G6933" s="29">
        <f>VLOOKUP(A6933,Calendar!$A$1:$H$9997,6,FALSE)-F6933</f>
        <v/>
      </c>
      <c r="H6933" s="19" t="n">
        <v>1</v>
      </c>
      <c r="I6933" s="57" t="n">
        <v>12</v>
      </c>
    </row>
    <row r="6934">
      <c r="A6934" s="62" t="n">
        <v>46469</v>
      </c>
      <c r="B6934" s="3" t="inlineStr">
        <is>
          <t>Week</t>
        </is>
      </c>
      <c r="C6934" s="19" t="n">
        <v>3</v>
      </c>
      <c r="D6934" s="19" t="n">
        <v>2027</v>
      </c>
      <c r="E6934" s="57" t="n">
        <v>7</v>
      </c>
      <c r="F6934" s="29">
        <f>ROUND(((SUMIFS(Calendar!$F$2:$F$9997,Calendar!$B$2:$B$9997,D6934,Calendar!$C$2:$C$9997,C6934)*INDEX(ForeCalc!$B$37:$Y$274,MATCH(_xlfn.CONCAT(H6934," ",I6934),ForeCalc!$A$37:$A$274,0),MATCH(_xlfn.CONCAT(B6934," ",E6934),ForeCalc!$B$36:$Y$36,0))))*VLOOKUP(A6934,Calendar!$A$2:$H$9997,8,FALSE),0)</f>
        <v/>
      </c>
      <c r="G6934" s="29">
        <f>VLOOKUP(A6934,Calendar!$A$1:$H$9997,6,FALSE)-F6934</f>
        <v/>
      </c>
      <c r="H6934" s="19" t="n">
        <v>1</v>
      </c>
      <c r="I6934" s="57" t="n">
        <v>12</v>
      </c>
    </row>
    <row r="6935">
      <c r="A6935" s="62" t="n">
        <v>46470</v>
      </c>
      <c r="B6935" s="3" t="inlineStr">
        <is>
          <t>Week</t>
        </is>
      </c>
      <c r="C6935" s="19" t="n">
        <v>3</v>
      </c>
      <c r="D6935" s="19" t="n">
        <v>2027</v>
      </c>
      <c r="E6935" s="57" t="n">
        <v>7</v>
      </c>
      <c r="F6935" s="29">
        <f>ROUND(((SUMIFS(Calendar!$F$2:$F$9997,Calendar!$B$2:$B$9997,D6935,Calendar!$C$2:$C$9997,C6935)*INDEX(ForeCalc!$B$37:$Y$274,MATCH(_xlfn.CONCAT(H6935," ",I6935),ForeCalc!$A$37:$A$274,0),MATCH(_xlfn.CONCAT(B6935," ",E6935),ForeCalc!$B$36:$Y$36,0))))*VLOOKUP(A6935,Calendar!$A$2:$H$9997,8,FALSE),0)</f>
        <v/>
      </c>
      <c r="G6935" s="29">
        <f>VLOOKUP(A6935,Calendar!$A$1:$H$9997,6,FALSE)-F6935</f>
        <v/>
      </c>
      <c r="H6935" s="19" t="n">
        <v>1</v>
      </c>
      <c r="I6935" s="57" t="n">
        <v>12</v>
      </c>
    </row>
    <row r="6936">
      <c r="A6936" s="62" t="n">
        <v>46471</v>
      </c>
      <c r="B6936" s="3" t="inlineStr">
        <is>
          <t>Week</t>
        </is>
      </c>
      <c r="C6936" s="19" t="n">
        <v>3</v>
      </c>
      <c r="D6936" s="19" t="n">
        <v>2027</v>
      </c>
      <c r="E6936" s="57" t="n">
        <v>7</v>
      </c>
      <c r="F6936" s="29">
        <f>ROUND(((SUMIFS(Calendar!$F$2:$F$9997,Calendar!$B$2:$B$9997,D6936,Calendar!$C$2:$C$9997,C6936)*INDEX(ForeCalc!$B$37:$Y$274,MATCH(_xlfn.CONCAT(H6936," ",I6936),ForeCalc!$A$37:$A$274,0),MATCH(_xlfn.CONCAT(B6936," ",E6936),ForeCalc!$B$36:$Y$36,0))))*VLOOKUP(A6936,Calendar!$A$2:$H$9997,8,FALSE),0)</f>
        <v/>
      </c>
      <c r="G6936" s="29">
        <f>VLOOKUP(A6936,Calendar!$A$1:$H$9997,6,FALSE)-F6936</f>
        <v/>
      </c>
      <c r="H6936" s="19" t="n">
        <v>1</v>
      </c>
      <c r="I6936" s="57" t="n">
        <v>12</v>
      </c>
    </row>
    <row r="6937">
      <c r="A6937" s="62" t="n">
        <v>46472</v>
      </c>
      <c r="B6937" s="3" t="inlineStr">
        <is>
          <t>Week</t>
        </is>
      </c>
      <c r="C6937" s="19" t="n">
        <v>3</v>
      </c>
      <c r="D6937" s="19" t="n">
        <v>2027</v>
      </c>
      <c r="E6937" s="57" t="n">
        <v>7</v>
      </c>
      <c r="F6937" s="29">
        <f>ROUND(((SUMIFS(Calendar!$F$2:$F$9997,Calendar!$B$2:$B$9997,D6937,Calendar!$C$2:$C$9997,C6937)*INDEX(ForeCalc!$B$37:$Y$274,MATCH(_xlfn.CONCAT(H6937," ",I6937),ForeCalc!$A$37:$A$274,0),MATCH(_xlfn.CONCAT(B6937," ",E6937),ForeCalc!$B$36:$Y$36,0))))*VLOOKUP(A6937,Calendar!$A$2:$H$9997,8,FALSE),0)</f>
        <v/>
      </c>
      <c r="G6937" s="29">
        <f>VLOOKUP(A6937,Calendar!$A$1:$H$9997,6,FALSE)-F6937</f>
        <v/>
      </c>
      <c r="H6937" s="19" t="n">
        <v>1</v>
      </c>
      <c r="I6937" s="57" t="n">
        <v>12</v>
      </c>
    </row>
    <row r="6938">
      <c r="A6938" s="62" t="n">
        <v>46473</v>
      </c>
      <c r="B6938" s="3" t="inlineStr">
        <is>
          <t>Sat</t>
        </is>
      </c>
      <c r="C6938" s="19" t="n">
        <v>3</v>
      </c>
      <c r="D6938" s="19" t="n">
        <v>2027</v>
      </c>
      <c r="E6938" s="57" t="n">
        <v>7</v>
      </c>
      <c r="F6938" s="29">
        <f>ROUND(((SUMIFS(Calendar!$F$2:$F$9997,Calendar!$B$2:$B$9997,D6938,Calendar!$C$2:$C$9997,C6938)*INDEX(ForeCalc!$B$37:$Y$274,MATCH(_xlfn.CONCAT(H6938," ",I6938),ForeCalc!$A$37:$A$274,0),MATCH(_xlfn.CONCAT(B6938," ",E6938),ForeCalc!$B$36:$Y$36,0))))*VLOOKUP(A6938,Calendar!$A$2:$H$9997,8,FALSE),0)</f>
        <v/>
      </c>
      <c r="G6938" s="29">
        <f>VLOOKUP(A6938,Calendar!$A$1:$H$9997,6,FALSE)-F6938</f>
        <v/>
      </c>
      <c r="H6938" s="19" t="n">
        <v>1</v>
      </c>
      <c r="I6938" s="57" t="n">
        <v>12</v>
      </c>
    </row>
    <row r="6939">
      <c r="A6939" s="62" t="n">
        <v>46474</v>
      </c>
      <c r="B6939" s="3" t="inlineStr">
        <is>
          <t>Sun</t>
        </is>
      </c>
      <c r="C6939" s="19" t="n">
        <v>3</v>
      </c>
      <c r="D6939" s="19" t="n">
        <v>2027</v>
      </c>
      <c r="E6939" s="57" t="n">
        <v>7</v>
      </c>
      <c r="F6939" s="29">
        <f>ROUND(((SUMIFS(Calendar!$F$2:$F$9997,Calendar!$B$2:$B$9997,D6939,Calendar!$C$2:$C$9997,C6939)*INDEX(ForeCalc!$B$37:$Y$274,MATCH(_xlfn.CONCAT(H6939," ",I6939),ForeCalc!$A$37:$A$274,0),MATCH(_xlfn.CONCAT(B6939," ",E6939),ForeCalc!$B$36:$Y$36,0))))*VLOOKUP(A6939,Calendar!$A$2:$H$9997,8,FALSE),0)</f>
        <v/>
      </c>
      <c r="G6939" s="29">
        <f>VLOOKUP(A6939,Calendar!$A$1:$H$9997,6,FALSE)-F6939</f>
        <v/>
      </c>
      <c r="H6939" s="19" t="n">
        <v>1</v>
      </c>
      <c r="I6939" s="57" t="n">
        <v>12</v>
      </c>
    </row>
    <row r="6940">
      <c r="A6940" s="62" t="n">
        <v>46475</v>
      </c>
      <c r="B6940" s="3" t="inlineStr">
        <is>
          <t>Week</t>
        </is>
      </c>
      <c r="C6940" s="19" t="n">
        <v>3</v>
      </c>
      <c r="D6940" s="19" t="n">
        <v>2027</v>
      </c>
      <c r="E6940" s="57" t="n">
        <v>7</v>
      </c>
      <c r="F6940" s="29">
        <f>ROUND(((SUMIFS(Calendar!$F$2:$F$9997,Calendar!$B$2:$B$9997,D6940,Calendar!$C$2:$C$9997,C6940)*INDEX(ForeCalc!$B$37:$Y$274,MATCH(_xlfn.CONCAT(H6940," ",I6940),ForeCalc!$A$37:$A$274,0),MATCH(_xlfn.CONCAT(B6940," ",E6940),ForeCalc!$B$36:$Y$36,0))))*VLOOKUP(A6940,Calendar!$A$2:$H$9997,8,FALSE),0)</f>
        <v/>
      </c>
      <c r="G6940" s="29">
        <f>VLOOKUP(A6940,Calendar!$A$1:$H$9997,6,FALSE)-F6940</f>
        <v/>
      </c>
      <c r="H6940" s="19" t="n">
        <v>1</v>
      </c>
      <c r="I6940" s="57" t="n">
        <v>12</v>
      </c>
    </row>
    <row r="6941">
      <c r="A6941" s="62" t="n">
        <v>46476</v>
      </c>
      <c r="B6941" s="3" t="inlineStr">
        <is>
          <t>Week</t>
        </is>
      </c>
      <c r="C6941" s="19" t="n">
        <v>3</v>
      </c>
      <c r="D6941" s="19" t="n">
        <v>2027</v>
      </c>
      <c r="E6941" s="57" t="n">
        <v>7</v>
      </c>
      <c r="F6941" s="29">
        <f>ROUND(((SUMIFS(Calendar!$F$2:$F$9997,Calendar!$B$2:$B$9997,D6941,Calendar!$C$2:$C$9997,C6941)*INDEX(ForeCalc!$B$37:$Y$274,MATCH(_xlfn.CONCAT(H6941," ",I6941),ForeCalc!$A$37:$A$274,0),MATCH(_xlfn.CONCAT(B6941," ",E6941),ForeCalc!$B$36:$Y$36,0))))*VLOOKUP(A6941,Calendar!$A$2:$H$9997,8,FALSE),0)</f>
        <v/>
      </c>
      <c r="G6941" s="29">
        <f>VLOOKUP(A6941,Calendar!$A$1:$H$9997,6,FALSE)-F6941</f>
        <v/>
      </c>
      <c r="H6941" s="19" t="n">
        <v>1</v>
      </c>
      <c r="I6941" s="57" t="n">
        <v>12</v>
      </c>
    </row>
    <row r="6942">
      <c r="A6942" s="62" t="n">
        <v>46477</v>
      </c>
      <c r="B6942" s="3" t="inlineStr">
        <is>
          <t>Week</t>
        </is>
      </c>
      <c r="C6942" s="19" t="n">
        <v>3</v>
      </c>
      <c r="D6942" s="19" t="n">
        <v>2027</v>
      </c>
      <c r="E6942" s="57" t="n">
        <v>7</v>
      </c>
      <c r="F6942" s="29">
        <f>ROUND(((SUMIFS(Calendar!$F$2:$F$9997,Calendar!$B$2:$B$9997,D6942,Calendar!$C$2:$C$9997,C6942)*INDEX(ForeCalc!$B$37:$Y$274,MATCH(_xlfn.CONCAT(H6942," ",I6942),ForeCalc!$A$37:$A$274,0),MATCH(_xlfn.CONCAT(B6942," ",E6942),ForeCalc!$B$36:$Y$36,0))))*VLOOKUP(A6942,Calendar!$A$2:$H$9997,8,FALSE),0)</f>
        <v/>
      </c>
      <c r="G6942" s="29">
        <f>VLOOKUP(A6942,Calendar!$A$1:$H$9997,6,FALSE)-F6942</f>
        <v/>
      </c>
      <c r="H6942" s="19" t="n">
        <v>1</v>
      </c>
      <c r="I6942" s="57" t="n">
        <v>12</v>
      </c>
    </row>
    <row r="6943">
      <c r="A6943" s="62" t="n">
        <v>46478</v>
      </c>
      <c r="B6943" s="3" t="inlineStr">
        <is>
          <t>Week</t>
        </is>
      </c>
      <c r="C6943" s="19" t="n">
        <v>4</v>
      </c>
      <c r="D6943" s="19" t="n">
        <v>2027</v>
      </c>
      <c r="E6943" s="57" t="n">
        <v>7</v>
      </c>
      <c r="F6943" s="29">
        <f>ROUND(((SUMIFS(Calendar!$F$2:$F$9997,Calendar!$B$2:$B$9997,D6943,Calendar!$C$2:$C$9997,C6943)*INDEX(ForeCalc!$B$37:$Y$274,MATCH(_xlfn.CONCAT(H6943," ",I6943),ForeCalc!$A$37:$A$274,0),MATCH(_xlfn.CONCAT(B6943," ",E6943),ForeCalc!$B$36:$Y$36,0))))*VLOOKUP(A6943,Calendar!$A$2:$H$9997,8,FALSE),0)</f>
        <v/>
      </c>
      <c r="G6943" s="29">
        <f>VLOOKUP(A6943,Calendar!$A$1:$H$9997,6,FALSE)-F6943</f>
        <v/>
      </c>
      <c r="H6943" s="19" t="n">
        <v>2</v>
      </c>
      <c r="I6943" s="57" t="n">
        <v>1</v>
      </c>
    </row>
    <row r="6944">
      <c r="A6944" s="62" t="n">
        <v>46479</v>
      </c>
      <c r="B6944" s="3" t="inlineStr">
        <is>
          <t>Week</t>
        </is>
      </c>
      <c r="C6944" s="19" t="n">
        <v>4</v>
      </c>
      <c r="D6944" s="19" t="n">
        <v>2027</v>
      </c>
      <c r="E6944" s="57" t="n">
        <v>7</v>
      </c>
      <c r="F6944" s="29">
        <f>ROUND(((SUMIFS(Calendar!$F$2:$F$9997,Calendar!$B$2:$B$9997,D6944,Calendar!$C$2:$C$9997,C6944)*INDEX(ForeCalc!$B$37:$Y$274,MATCH(_xlfn.CONCAT(H6944," ",I6944),ForeCalc!$A$37:$A$274,0),MATCH(_xlfn.CONCAT(B6944," ",E6944),ForeCalc!$B$36:$Y$36,0))))*VLOOKUP(A6944,Calendar!$A$2:$H$9997,8,FALSE),0)</f>
        <v/>
      </c>
      <c r="G6944" s="29">
        <f>VLOOKUP(A6944,Calendar!$A$1:$H$9997,6,FALSE)-F6944</f>
        <v/>
      </c>
      <c r="H6944" s="19" t="n">
        <v>2</v>
      </c>
      <c r="I6944" s="57" t="n">
        <v>1</v>
      </c>
    </row>
    <row r="6945">
      <c r="A6945" s="62" t="n">
        <v>46480</v>
      </c>
      <c r="B6945" s="3" t="inlineStr">
        <is>
          <t>Sat</t>
        </is>
      </c>
      <c r="C6945" s="19" t="n">
        <v>4</v>
      </c>
      <c r="D6945" s="19" t="n">
        <v>2027</v>
      </c>
      <c r="E6945" s="57" t="n">
        <v>7</v>
      </c>
      <c r="F6945" s="29">
        <f>ROUND(((SUMIFS(Calendar!$F$2:$F$9997,Calendar!$B$2:$B$9997,D6945,Calendar!$C$2:$C$9997,C6945)*INDEX(ForeCalc!$B$37:$Y$274,MATCH(_xlfn.CONCAT(H6945," ",I6945),ForeCalc!$A$37:$A$274,0),MATCH(_xlfn.CONCAT(B6945," ",E6945),ForeCalc!$B$36:$Y$36,0))))*VLOOKUP(A6945,Calendar!$A$2:$H$9997,8,FALSE),0)</f>
        <v/>
      </c>
      <c r="G6945" s="29">
        <f>VLOOKUP(A6945,Calendar!$A$1:$H$9997,6,FALSE)-F6945</f>
        <v/>
      </c>
      <c r="H6945" s="19" t="n">
        <v>2</v>
      </c>
      <c r="I6945" s="57" t="n">
        <v>1</v>
      </c>
    </row>
    <row r="6946">
      <c r="A6946" s="62" t="n">
        <v>46481</v>
      </c>
      <c r="B6946" s="3" t="inlineStr">
        <is>
          <t>Sun</t>
        </is>
      </c>
      <c r="C6946" s="19" t="n">
        <v>4</v>
      </c>
      <c r="D6946" s="19" t="n">
        <v>2027</v>
      </c>
      <c r="E6946" s="57" t="n">
        <v>7</v>
      </c>
      <c r="F6946" s="29">
        <f>ROUND(((SUMIFS(Calendar!$F$2:$F$9997,Calendar!$B$2:$B$9997,D6946,Calendar!$C$2:$C$9997,C6946)*INDEX(ForeCalc!$B$37:$Y$274,MATCH(_xlfn.CONCAT(H6946," ",I6946),ForeCalc!$A$37:$A$274,0),MATCH(_xlfn.CONCAT(B6946," ",E6946),ForeCalc!$B$36:$Y$36,0))))*VLOOKUP(A6946,Calendar!$A$2:$H$9997,8,FALSE),0)</f>
        <v/>
      </c>
      <c r="G6946" s="29">
        <f>VLOOKUP(A6946,Calendar!$A$1:$H$9997,6,FALSE)-F6946</f>
        <v/>
      </c>
      <c r="H6946" s="19" t="n">
        <v>2</v>
      </c>
      <c r="I6946" s="57" t="n">
        <v>1</v>
      </c>
    </row>
    <row r="6947">
      <c r="A6947" s="62" t="n">
        <v>46482</v>
      </c>
      <c r="B6947" s="3" t="inlineStr">
        <is>
          <t>Week</t>
        </is>
      </c>
      <c r="C6947" s="19" t="n">
        <v>4</v>
      </c>
      <c r="D6947" s="19" t="n">
        <v>2027</v>
      </c>
      <c r="E6947" s="57" t="n">
        <v>7</v>
      </c>
      <c r="F6947" s="29">
        <f>ROUND(((SUMIFS(Calendar!$F$2:$F$9997,Calendar!$B$2:$B$9997,D6947,Calendar!$C$2:$C$9997,C6947)*INDEX(ForeCalc!$B$37:$Y$274,MATCH(_xlfn.CONCAT(H6947," ",I6947),ForeCalc!$A$37:$A$274,0),MATCH(_xlfn.CONCAT(B6947," ",E6947),ForeCalc!$B$36:$Y$36,0))))*VLOOKUP(A6947,Calendar!$A$2:$H$9997,8,FALSE),0)</f>
        <v/>
      </c>
      <c r="G6947" s="29">
        <f>VLOOKUP(A6947,Calendar!$A$1:$H$9997,6,FALSE)-F6947</f>
        <v/>
      </c>
      <c r="H6947" s="19" t="n">
        <v>2</v>
      </c>
      <c r="I6947" s="57" t="n">
        <v>1</v>
      </c>
    </row>
    <row r="6948">
      <c r="A6948" s="62" t="n">
        <v>46483</v>
      </c>
      <c r="B6948" s="3" t="inlineStr">
        <is>
          <t>Week</t>
        </is>
      </c>
      <c r="C6948" s="19" t="n">
        <v>4</v>
      </c>
      <c r="D6948" s="19" t="n">
        <v>2027</v>
      </c>
      <c r="E6948" s="57" t="n">
        <v>7</v>
      </c>
      <c r="F6948" s="29">
        <f>ROUND(((SUMIFS(Calendar!$F$2:$F$9997,Calendar!$B$2:$B$9997,D6948,Calendar!$C$2:$C$9997,C6948)*INDEX(ForeCalc!$B$37:$Y$274,MATCH(_xlfn.CONCAT(H6948," ",I6948),ForeCalc!$A$37:$A$274,0),MATCH(_xlfn.CONCAT(B6948," ",E6948),ForeCalc!$B$36:$Y$36,0))))*VLOOKUP(A6948,Calendar!$A$2:$H$9997,8,FALSE),0)</f>
        <v/>
      </c>
      <c r="G6948" s="29">
        <f>VLOOKUP(A6948,Calendar!$A$1:$H$9997,6,FALSE)-F6948</f>
        <v/>
      </c>
      <c r="H6948" s="19" t="n">
        <v>2</v>
      </c>
      <c r="I6948" s="57" t="n">
        <v>1</v>
      </c>
    </row>
    <row r="6949">
      <c r="A6949" s="62" t="n">
        <v>46484</v>
      </c>
      <c r="B6949" s="3" t="inlineStr">
        <is>
          <t>Week</t>
        </is>
      </c>
      <c r="C6949" s="19" t="n">
        <v>4</v>
      </c>
      <c r="D6949" s="19" t="n">
        <v>2027</v>
      </c>
      <c r="E6949" s="57" t="n">
        <v>7</v>
      </c>
      <c r="F6949" s="29">
        <f>ROUND(((SUMIFS(Calendar!$F$2:$F$9997,Calendar!$B$2:$B$9997,D6949,Calendar!$C$2:$C$9997,C6949)*INDEX(ForeCalc!$B$37:$Y$274,MATCH(_xlfn.CONCAT(H6949," ",I6949),ForeCalc!$A$37:$A$274,0),MATCH(_xlfn.CONCAT(B6949," ",E6949),ForeCalc!$B$36:$Y$36,0))))*VLOOKUP(A6949,Calendar!$A$2:$H$9997,8,FALSE),0)</f>
        <v/>
      </c>
      <c r="G6949" s="29">
        <f>VLOOKUP(A6949,Calendar!$A$1:$H$9997,6,FALSE)-F6949</f>
        <v/>
      </c>
      <c r="H6949" s="19" t="n">
        <v>2</v>
      </c>
      <c r="I6949" s="57" t="n">
        <v>1</v>
      </c>
    </row>
    <row r="6950">
      <c r="A6950" s="62" t="n">
        <v>46485</v>
      </c>
      <c r="B6950" s="3" t="inlineStr">
        <is>
          <t>Week</t>
        </is>
      </c>
      <c r="C6950" s="19" t="n">
        <v>4</v>
      </c>
      <c r="D6950" s="19" t="n">
        <v>2027</v>
      </c>
      <c r="E6950" s="57" t="n">
        <v>7</v>
      </c>
      <c r="F6950" s="29">
        <f>ROUND(((SUMIFS(Calendar!$F$2:$F$9997,Calendar!$B$2:$B$9997,D6950,Calendar!$C$2:$C$9997,C6950)*INDEX(ForeCalc!$B$37:$Y$274,MATCH(_xlfn.CONCAT(H6950," ",I6950),ForeCalc!$A$37:$A$274,0),MATCH(_xlfn.CONCAT(B6950," ",E6950),ForeCalc!$B$36:$Y$36,0))))*VLOOKUP(A6950,Calendar!$A$2:$H$9997,8,FALSE),0)</f>
        <v/>
      </c>
      <c r="G6950" s="29">
        <f>VLOOKUP(A6950,Calendar!$A$1:$H$9997,6,FALSE)-F6950</f>
        <v/>
      </c>
      <c r="H6950" s="19" t="n">
        <v>2</v>
      </c>
      <c r="I6950" s="57" t="n">
        <v>1</v>
      </c>
    </row>
    <row r="6951">
      <c r="A6951" s="62" t="n">
        <v>46486</v>
      </c>
      <c r="B6951" s="3" t="inlineStr">
        <is>
          <t>Week</t>
        </is>
      </c>
      <c r="C6951" s="19" t="n">
        <v>4</v>
      </c>
      <c r="D6951" s="19" t="n">
        <v>2027</v>
      </c>
      <c r="E6951" s="57" t="n">
        <v>7</v>
      </c>
      <c r="F6951" s="29">
        <f>ROUND(((SUMIFS(Calendar!$F$2:$F$9997,Calendar!$B$2:$B$9997,D6951,Calendar!$C$2:$C$9997,C6951)*INDEX(ForeCalc!$B$37:$Y$274,MATCH(_xlfn.CONCAT(H6951," ",I6951),ForeCalc!$A$37:$A$274,0),MATCH(_xlfn.CONCAT(B6951," ",E6951),ForeCalc!$B$36:$Y$36,0))))*VLOOKUP(A6951,Calendar!$A$2:$H$9997,8,FALSE),0)</f>
        <v/>
      </c>
      <c r="G6951" s="29">
        <f>VLOOKUP(A6951,Calendar!$A$1:$H$9997,6,FALSE)-F6951</f>
        <v/>
      </c>
      <c r="H6951" s="19" t="n">
        <v>2</v>
      </c>
      <c r="I6951" s="57" t="n">
        <v>1</v>
      </c>
    </row>
    <row r="6952">
      <c r="A6952" s="62" t="n">
        <v>46487</v>
      </c>
      <c r="B6952" s="3" t="inlineStr">
        <is>
          <t>Sat</t>
        </is>
      </c>
      <c r="C6952" s="19" t="n">
        <v>4</v>
      </c>
      <c r="D6952" s="19" t="n">
        <v>2027</v>
      </c>
      <c r="E6952" s="57" t="n">
        <v>7</v>
      </c>
      <c r="F6952" s="29">
        <f>ROUND(((SUMIFS(Calendar!$F$2:$F$9997,Calendar!$B$2:$B$9997,D6952,Calendar!$C$2:$C$9997,C6952)*INDEX(ForeCalc!$B$37:$Y$274,MATCH(_xlfn.CONCAT(H6952," ",I6952),ForeCalc!$A$37:$A$274,0),MATCH(_xlfn.CONCAT(B6952," ",E6952),ForeCalc!$B$36:$Y$36,0))))*VLOOKUP(A6952,Calendar!$A$2:$H$9997,8,FALSE),0)</f>
        <v/>
      </c>
      <c r="G6952" s="29">
        <f>VLOOKUP(A6952,Calendar!$A$1:$H$9997,6,FALSE)-F6952</f>
        <v/>
      </c>
      <c r="H6952" s="19" t="n">
        <v>2</v>
      </c>
      <c r="I6952" s="57" t="n">
        <v>1</v>
      </c>
    </row>
    <row r="6953">
      <c r="A6953" s="62" t="n">
        <v>46488</v>
      </c>
      <c r="B6953" s="3" t="inlineStr">
        <is>
          <t>Sun</t>
        </is>
      </c>
      <c r="C6953" s="19" t="n">
        <v>4</v>
      </c>
      <c r="D6953" s="19" t="n">
        <v>2027</v>
      </c>
      <c r="E6953" s="57" t="n">
        <v>7</v>
      </c>
      <c r="F6953" s="29">
        <f>ROUND(((SUMIFS(Calendar!$F$2:$F$9997,Calendar!$B$2:$B$9997,D6953,Calendar!$C$2:$C$9997,C6953)*INDEX(ForeCalc!$B$37:$Y$274,MATCH(_xlfn.CONCAT(H6953," ",I6953),ForeCalc!$A$37:$A$274,0),MATCH(_xlfn.CONCAT(B6953," ",E6953),ForeCalc!$B$36:$Y$36,0))))*VLOOKUP(A6953,Calendar!$A$2:$H$9997,8,FALSE),0)</f>
        <v/>
      </c>
      <c r="G6953" s="29">
        <f>VLOOKUP(A6953,Calendar!$A$1:$H$9997,6,FALSE)-F6953</f>
        <v/>
      </c>
      <c r="H6953" s="19" t="n">
        <v>2</v>
      </c>
      <c r="I6953" s="57" t="n">
        <v>1</v>
      </c>
    </row>
    <row r="6954">
      <c r="A6954" s="62" t="n">
        <v>46489</v>
      </c>
      <c r="B6954" s="3" t="inlineStr">
        <is>
          <t>Week</t>
        </is>
      </c>
      <c r="C6954" s="19" t="n">
        <v>4</v>
      </c>
      <c r="D6954" s="19" t="n">
        <v>2027</v>
      </c>
      <c r="E6954" s="57" t="n">
        <v>7</v>
      </c>
      <c r="F6954" s="29">
        <f>ROUND(((SUMIFS(Calendar!$F$2:$F$9997,Calendar!$B$2:$B$9997,D6954,Calendar!$C$2:$C$9997,C6954)*INDEX(ForeCalc!$B$37:$Y$274,MATCH(_xlfn.CONCAT(H6954," ",I6954),ForeCalc!$A$37:$A$274,0),MATCH(_xlfn.CONCAT(B6954," ",E6954),ForeCalc!$B$36:$Y$36,0))))*VLOOKUP(A6954,Calendar!$A$2:$H$9997,8,FALSE),0)</f>
        <v/>
      </c>
      <c r="G6954" s="29">
        <f>VLOOKUP(A6954,Calendar!$A$1:$H$9997,6,FALSE)-F6954</f>
        <v/>
      </c>
      <c r="H6954" s="19" t="n">
        <v>2</v>
      </c>
      <c r="I6954" s="57" t="n">
        <v>1</v>
      </c>
    </row>
    <row r="6955">
      <c r="A6955" s="62" t="n">
        <v>46490</v>
      </c>
      <c r="B6955" s="3" t="inlineStr">
        <is>
          <t>Week</t>
        </is>
      </c>
      <c r="C6955" s="19" t="n">
        <v>4</v>
      </c>
      <c r="D6955" s="19" t="n">
        <v>2027</v>
      </c>
      <c r="E6955" s="57" t="n">
        <v>7</v>
      </c>
      <c r="F6955" s="29">
        <f>ROUND(((SUMIFS(Calendar!$F$2:$F$9997,Calendar!$B$2:$B$9997,D6955,Calendar!$C$2:$C$9997,C6955)*INDEX(ForeCalc!$B$37:$Y$274,MATCH(_xlfn.CONCAT(H6955," ",I6955),ForeCalc!$A$37:$A$274,0),MATCH(_xlfn.CONCAT(B6955," ",E6955),ForeCalc!$B$36:$Y$36,0))))*VLOOKUP(A6955,Calendar!$A$2:$H$9997,8,FALSE),0)</f>
        <v/>
      </c>
      <c r="G6955" s="29">
        <f>VLOOKUP(A6955,Calendar!$A$1:$H$9997,6,FALSE)-F6955</f>
        <v/>
      </c>
      <c r="H6955" s="19" t="n">
        <v>2</v>
      </c>
      <c r="I6955" s="57" t="n">
        <v>1</v>
      </c>
    </row>
    <row r="6956">
      <c r="A6956" s="62" t="n">
        <v>46491</v>
      </c>
      <c r="B6956" s="3" t="inlineStr">
        <is>
          <t>Week</t>
        </is>
      </c>
      <c r="C6956" s="19" t="n">
        <v>4</v>
      </c>
      <c r="D6956" s="19" t="n">
        <v>2027</v>
      </c>
      <c r="E6956" s="57" t="n">
        <v>7</v>
      </c>
      <c r="F6956" s="29">
        <f>ROUND(((SUMIFS(Calendar!$F$2:$F$9997,Calendar!$B$2:$B$9997,D6956,Calendar!$C$2:$C$9997,C6956)*INDEX(ForeCalc!$B$37:$Y$274,MATCH(_xlfn.CONCAT(H6956," ",I6956),ForeCalc!$A$37:$A$274,0),MATCH(_xlfn.CONCAT(B6956," ",E6956),ForeCalc!$B$36:$Y$36,0))))*VLOOKUP(A6956,Calendar!$A$2:$H$9997,8,FALSE),0)</f>
        <v/>
      </c>
      <c r="G6956" s="29">
        <f>VLOOKUP(A6956,Calendar!$A$1:$H$9997,6,FALSE)-F6956</f>
        <v/>
      </c>
      <c r="H6956" s="19" t="n">
        <v>2</v>
      </c>
      <c r="I6956" s="57" t="n">
        <v>1</v>
      </c>
    </row>
    <row r="6957">
      <c r="A6957" s="62" t="n">
        <v>46492</v>
      </c>
      <c r="B6957" s="3" t="inlineStr">
        <is>
          <t>Week</t>
        </is>
      </c>
      <c r="C6957" s="19" t="n">
        <v>4</v>
      </c>
      <c r="D6957" s="19" t="n">
        <v>2027</v>
      </c>
      <c r="E6957" s="57" t="n">
        <v>7</v>
      </c>
      <c r="F6957" s="29">
        <f>ROUND(((SUMIFS(Calendar!$F$2:$F$9997,Calendar!$B$2:$B$9997,D6957,Calendar!$C$2:$C$9997,C6957)*INDEX(ForeCalc!$B$37:$Y$274,MATCH(_xlfn.CONCAT(H6957," ",I6957),ForeCalc!$A$37:$A$274,0),MATCH(_xlfn.CONCAT(B6957," ",E6957),ForeCalc!$B$36:$Y$36,0))))*VLOOKUP(A6957,Calendar!$A$2:$H$9997,8,FALSE),0)</f>
        <v/>
      </c>
      <c r="G6957" s="29">
        <f>VLOOKUP(A6957,Calendar!$A$1:$H$9997,6,FALSE)-F6957</f>
        <v/>
      </c>
      <c r="H6957" s="19" t="n">
        <v>2</v>
      </c>
      <c r="I6957" s="57" t="n">
        <v>1</v>
      </c>
    </row>
    <row r="6958">
      <c r="A6958" s="62" t="n">
        <v>46493</v>
      </c>
      <c r="B6958" s="3" t="inlineStr">
        <is>
          <t>Week</t>
        </is>
      </c>
      <c r="C6958" s="19" t="n">
        <v>4</v>
      </c>
      <c r="D6958" s="19" t="n">
        <v>2027</v>
      </c>
      <c r="E6958" s="57" t="n">
        <v>7</v>
      </c>
      <c r="F6958" s="29">
        <f>ROUND(((SUMIFS(Calendar!$F$2:$F$9997,Calendar!$B$2:$B$9997,D6958,Calendar!$C$2:$C$9997,C6958)*INDEX(ForeCalc!$B$37:$Y$274,MATCH(_xlfn.CONCAT(H6958," ",I6958),ForeCalc!$A$37:$A$274,0),MATCH(_xlfn.CONCAT(B6958," ",E6958),ForeCalc!$B$36:$Y$36,0))))*VLOOKUP(A6958,Calendar!$A$2:$H$9997,8,FALSE),0)</f>
        <v/>
      </c>
      <c r="G6958" s="29">
        <f>VLOOKUP(A6958,Calendar!$A$1:$H$9997,6,FALSE)-F6958</f>
        <v/>
      </c>
      <c r="H6958" s="19" t="n">
        <v>2</v>
      </c>
      <c r="I6958" s="57" t="n">
        <v>1</v>
      </c>
    </row>
    <row r="6959">
      <c r="A6959" s="62" t="n">
        <v>46494</v>
      </c>
      <c r="B6959" s="3" t="inlineStr">
        <is>
          <t>Sat</t>
        </is>
      </c>
      <c r="C6959" s="19" t="n">
        <v>4</v>
      </c>
      <c r="D6959" s="19" t="n">
        <v>2027</v>
      </c>
      <c r="E6959" s="57" t="n">
        <v>7</v>
      </c>
      <c r="F6959" s="29">
        <f>ROUND(((SUMIFS(Calendar!$F$2:$F$9997,Calendar!$B$2:$B$9997,D6959,Calendar!$C$2:$C$9997,C6959)*INDEX(ForeCalc!$B$37:$Y$274,MATCH(_xlfn.CONCAT(H6959," ",I6959),ForeCalc!$A$37:$A$274,0),MATCH(_xlfn.CONCAT(B6959," ",E6959),ForeCalc!$B$36:$Y$36,0))))*VLOOKUP(A6959,Calendar!$A$2:$H$9997,8,FALSE),0)</f>
        <v/>
      </c>
      <c r="G6959" s="29">
        <f>VLOOKUP(A6959,Calendar!$A$1:$H$9997,6,FALSE)-F6959</f>
        <v/>
      </c>
      <c r="H6959" s="19" t="n">
        <v>2</v>
      </c>
      <c r="I6959" s="57" t="n">
        <v>1</v>
      </c>
    </row>
    <row r="6960">
      <c r="A6960" s="62" t="n">
        <v>46495</v>
      </c>
      <c r="B6960" s="3" t="inlineStr">
        <is>
          <t>Sun</t>
        </is>
      </c>
      <c r="C6960" s="19" t="n">
        <v>4</v>
      </c>
      <c r="D6960" s="19" t="n">
        <v>2027</v>
      </c>
      <c r="E6960" s="57" t="n">
        <v>7</v>
      </c>
      <c r="F6960" s="29">
        <f>ROUND(((SUMIFS(Calendar!$F$2:$F$9997,Calendar!$B$2:$B$9997,D6960,Calendar!$C$2:$C$9997,C6960)*INDEX(ForeCalc!$B$37:$Y$274,MATCH(_xlfn.CONCAT(H6960," ",I6960),ForeCalc!$A$37:$A$274,0),MATCH(_xlfn.CONCAT(B6960," ",E6960),ForeCalc!$B$36:$Y$36,0))))*VLOOKUP(A6960,Calendar!$A$2:$H$9997,8,FALSE),0)</f>
        <v/>
      </c>
      <c r="G6960" s="29">
        <f>VLOOKUP(A6960,Calendar!$A$1:$H$9997,6,FALSE)-F6960</f>
        <v/>
      </c>
      <c r="H6960" s="19" t="n">
        <v>2</v>
      </c>
      <c r="I6960" s="57" t="n">
        <v>1</v>
      </c>
    </row>
    <row r="6961">
      <c r="A6961" s="62" t="n">
        <v>46496</v>
      </c>
      <c r="B6961" s="3" t="inlineStr">
        <is>
          <t>Week</t>
        </is>
      </c>
      <c r="C6961" s="19" t="n">
        <v>4</v>
      </c>
      <c r="D6961" s="19" t="n">
        <v>2027</v>
      </c>
      <c r="E6961" s="57" t="n">
        <v>7</v>
      </c>
      <c r="F6961" s="29">
        <f>ROUND(((SUMIFS(Calendar!$F$2:$F$9997,Calendar!$B$2:$B$9997,D6961,Calendar!$C$2:$C$9997,C6961)*INDEX(ForeCalc!$B$37:$Y$274,MATCH(_xlfn.CONCAT(H6961," ",I6961),ForeCalc!$A$37:$A$274,0),MATCH(_xlfn.CONCAT(B6961," ",E6961),ForeCalc!$B$36:$Y$36,0))))*VLOOKUP(A6961,Calendar!$A$2:$H$9997,8,FALSE),0)</f>
        <v/>
      </c>
      <c r="G6961" s="29">
        <f>VLOOKUP(A6961,Calendar!$A$1:$H$9997,6,FALSE)-F6961</f>
        <v/>
      </c>
      <c r="H6961" s="19" t="n">
        <v>2</v>
      </c>
      <c r="I6961" s="57" t="n">
        <v>1</v>
      </c>
    </row>
    <row r="6962">
      <c r="A6962" s="62" t="n">
        <v>46497</v>
      </c>
      <c r="B6962" s="3" t="inlineStr">
        <is>
          <t>Week</t>
        </is>
      </c>
      <c r="C6962" s="19" t="n">
        <v>4</v>
      </c>
      <c r="D6962" s="19" t="n">
        <v>2027</v>
      </c>
      <c r="E6962" s="57" t="n">
        <v>7</v>
      </c>
      <c r="F6962" s="29">
        <f>ROUND(((SUMIFS(Calendar!$F$2:$F$9997,Calendar!$B$2:$B$9997,D6962,Calendar!$C$2:$C$9997,C6962)*INDEX(ForeCalc!$B$37:$Y$274,MATCH(_xlfn.CONCAT(H6962," ",I6962),ForeCalc!$A$37:$A$274,0),MATCH(_xlfn.CONCAT(B6962," ",E6962),ForeCalc!$B$36:$Y$36,0))))*VLOOKUP(A6962,Calendar!$A$2:$H$9997,8,FALSE),0)</f>
        <v/>
      </c>
      <c r="G6962" s="29">
        <f>VLOOKUP(A6962,Calendar!$A$1:$H$9997,6,FALSE)-F6962</f>
        <v/>
      </c>
      <c r="H6962" s="19" t="n">
        <v>2</v>
      </c>
      <c r="I6962" s="57" t="n">
        <v>1</v>
      </c>
    </row>
    <row r="6963">
      <c r="A6963" s="62" t="n">
        <v>46498</v>
      </c>
      <c r="B6963" s="3" t="inlineStr">
        <is>
          <t>Week</t>
        </is>
      </c>
      <c r="C6963" s="19" t="n">
        <v>4</v>
      </c>
      <c r="D6963" s="19" t="n">
        <v>2027</v>
      </c>
      <c r="E6963" s="57" t="n">
        <v>7</v>
      </c>
      <c r="F6963" s="29">
        <f>ROUND(((SUMIFS(Calendar!$F$2:$F$9997,Calendar!$B$2:$B$9997,D6963,Calendar!$C$2:$C$9997,C6963)*INDEX(ForeCalc!$B$37:$Y$274,MATCH(_xlfn.CONCAT(H6963," ",I6963),ForeCalc!$A$37:$A$274,0),MATCH(_xlfn.CONCAT(B6963," ",E6963),ForeCalc!$B$36:$Y$36,0))))*VLOOKUP(A6963,Calendar!$A$2:$H$9997,8,FALSE),0)</f>
        <v/>
      </c>
      <c r="G6963" s="29">
        <f>VLOOKUP(A6963,Calendar!$A$1:$H$9997,6,FALSE)-F6963</f>
        <v/>
      </c>
      <c r="H6963" s="19" t="n">
        <v>2</v>
      </c>
      <c r="I6963" s="57" t="n">
        <v>1</v>
      </c>
    </row>
    <row r="6964">
      <c r="A6964" s="62" t="n">
        <v>46499</v>
      </c>
      <c r="B6964" s="3" t="inlineStr">
        <is>
          <t>Week</t>
        </is>
      </c>
      <c r="C6964" s="19" t="n">
        <v>4</v>
      </c>
      <c r="D6964" s="19" t="n">
        <v>2027</v>
      </c>
      <c r="E6964" s="57" t="n">
        <v>7</v>
      </c>
      <c r="F6964" s="29">
        <f>ROUND(((SUMIFS(Calendar!$F$2:$F$9997,Calendar!$B$2:$B$9997,D6964,Calendar!$C$2:$C$9997,C6964)*INDEX(ForeCalc!$B$37:$Y$274,MATCH(_xlfn.CONCAT(H6964," ",I6964),ForeCalc!$A$37:$A$274,0),MATCH(_xlfn.CONCAT(B6964," ",E6964),ForeCalc!$B$36:$Y$36,0))))*VLOOKUP(A6964,Calendar!$A$2:$H$9997,8,FALSE),0)</f>
        <v/>
      </c>
      <c r="G6964" s="29">
        <f>VLOOKUP(A6964,Calendar!$A$1:$H$9997,6,FALSE)-F6964</f>
        <v/>
      </c>
      <c r="H6964" s="19" t="n">
        <v>2</v>
      </c>
      <c r="I6964" s="57" t="n">
        <v>1</v>
      </c>
    </row>
    <row r="6965">
      <c r="A6965" s="62" t="n">
        <v>46500</v>
      </c>
      <c r="B6965" s="3" t="inlineStr">
        <is>
          <t>Week</t>
        </is>
      </c>
      <c r="C6965" s="19" t="n">
        <v>4</v>
      </c>
      <c r="D6965" s="19" t="n">
        <v>2027</v>
      </c>
      <c r="E6965" s="57" t="n">
        <v>7</v>
      </c>
      <c r="F6965" s="29">
        <f>ROUND(((SUMIFS(Calendar!$F$2:$F$9997,Calendar!$B$2:$B$9997,D6965,Calendar!$C$2:$C$9997,C6965)*INDEX(ForeCalc!$B$37:$Y$274,MATCH(_xlfn.CONCAT(H6965," ",I6965),ForeCalc!$A$37:$A$274,0),MATCH(_xlfn.CONCAT(B6965," ",E6965),ForeCalc!$B$36:$Y$36,0))))*VLOOKUP(A6965,Calendar!$A$2:$H$9997,8,FALSE),0)</f>
        <v/>
      </c>
      <c r="G6965" s="29">
        <f>VLOOKUP(A6965,Calendar!$A$1:$H$9997,6,FALSE)-F6965</f>
        <v/>
      </c>
      <c r="H6965" s="19" t="n">
        <v>2</v>
      </c>
      <c r="I6965" s="57" t="n">
        <v>1</v>
      </c>
    </row>
    <row r="6966">
      <c r="A6966" s="62" t="n">
        <v>46501</v>
      </c>
      <c r="B6966" s="3" t="inlineStr">
        <is>
          <t>Sat</t>
        </is>
      </c>
      <c r="C6966" s="19" t="n">
        <v>4</v>
      </c>
      <c r="D6966" s="19" t="n">
        <v>2027</v>
      </c>
      <c r="E6966" s="57" t="n">
        <v>7</v>
      </c>
      <c r="F6966" s="29">
        <f>ROUND(((SUMIFS(Calendar!$F$2:$F$9997,Calendar!$B$2:$B$9997,D6966,Calendar!$C$2:$C$9997,C6966)*INDEX(ForeCalc!$B$37:$Y$274,MATCH(_xlfn.CONCAT(H6966," ",I6966),ForeCalc!$A$37:$A$274,0),MATCH(_xlfn.CONCAT(B6966," ",E6966),ForeCalc!$B$36:$Y$36,0))))*VLOOKUP(A6966,Calendar!$A$2:$H$9997,8,FALSE),0)</f>
        <v/>
      </c>
      <c r="G6966" s="29">
        <f>VLOOKUP(A6966,Calendar!$A$1:$H$9997,6,FALSE)-F6966</f>
        <v/>
      </c>
      <c r="H6966" s="19" t="n">
        <v>2</v>
      </c>
      <c r="I6966" s="57" t="n">
        <v>1</v>
      </c>
    </row>
    <row r="6967">
      <c r="A6967" s="62" t="n">
        <v>46502</v>
      </c>
      <c r="B6967" s="3" t="inlineStr">
        <is>
          <t>Sun</t>
        </is>
      </c>
      <c r="C6967" s="19" t="n">
        <v>4</v>
      </c>
      <c r="D6967" s="19" t="n">
        <v>2027</v>
      </c>
      <c r="E6967" s="57" t="n">
        <v>7</v>
      </c>
      <c r="F6967" s="29">
        <f>ROUND(((SUMIFS(Calendar!$F$2:$F$9997,Calendar!$B$2:$B$9997,D6967,Calendar!$C$2:$C$9997,C6967)*INDEX(ForeCalc!$B$37:$Y$274,MATCH(_xlfn.CONCAT(H6967," ",I6967),ForeCalc!$A$37:$A$274,0),MATCH(_xlfn.CONCAT(B6967," ",E6967),ForeCalc!$B$36:$Y$36,0))))*VLOOKUP(A6967,Calendar!$A$2:$H$9997,8,FALSE),0)</f>
        <v/>
      </c>
      <c r="G6967" s="29">
        <f>VLOOKUP(A6967,Calendar!$A$1:$H$9997,6,FALSE)-F6967</f>
        <v/>
      </c>
      <c r="H6967" s="19" t="n">
        <v>2</v>
      </c>
      <c r="I6967" s="57" t="n">
        <v>1</v>
      </c>
    </row>
    <row r="6968">
      <c r="A6968" s="62" t="n">
        <v>46503</v>
      </c>
      <c r="B6968" s="3" t="inlineStr">
        <is>
          <t>Week</t>
        </is>
      </c>
      <c r="C6968" s="19" t="n">
        <v>4</v>
      </c>
      <c r="D6968" s="19" t="n">
        <v>2027</v>
      </c>
      <c r="E6968" s="57" t="n">
        <v>7</v>
      </c>
      <c r="F6968" s="29">
        <f>ROUND(((SUMIFS(Calendar!$F$2:$F$9997,Calendar!$B$2:$B$9997,D6968,Calendar!$C$2:$C$9997,C6968)*INDEX(ForeCalc!$B$37:$Y$274,MATCH(_xlfn.CONCAT(H6968," ",I6968),ForeCalc!$A$37:$A$274,0),MATCH(_xlfn.CONCAT(B6968," ",E6968),ForeCalc!$B$36:$Y$36,0))))*VLOOKUP(A6968,Calendar!$A$2:$H$9997,8,FALSE),0)</f>
        <v/>
      </c>
      <c r="G6968" s="29">
        <f>VLOOKUP(A6968,Calendar!$A$1:$H$9997,6,FALSE)-F6968</f>
        <v/>
      </c>
      <c r="H6968" s="19" t="n">
        <v>2</v>
      </c>
      <c r="I6968" s="57" t="n">
        <v>1</v>
      </c>
    </row>
    <row r="6969">
      <c r="A6969" s="62" t="n">
        <v>46504</v>
      </c>
      <c r="B6969" s="3" t="inlineStr">
        <is>
          <t>Week</t>
        </is>
      </c>
      <c r="C6969" s="19" t="n">
        <v>4</v>
      </c>
      <c r="D6969" s="19" t="n">
        <v>2027</v>
      </c>
      <c r="E6969" s="57" t="n">
        <v>7</v>
      </c>
      <c r="F6969" s="29">
        <f>ROUND(((SUMIFS(Calendar!$F$2:$F$9997,Calendar!$B$2:$B$9997,D6969,Calendar!$C$2:$C$9997,C6969)*INDEX(ForeCalc!$B$37:$Y$274,MATCH(_xlfn.CONCAT(H6969," ",I6969),ForeCalc!$A$37:$A$274,0),MATCH(_xlfn.CONCAT(B6969," ",E6969),ForeCalc!$B$36:$Y$36,0))))*VLOOKUP(A6969,Calendar!$A$2:$H$9997,8,FALSE),0)</f>
        <v/>
      </c>
      <c r="G6969" s="29">
        <f>VLOOKUP(A6969,Calendar!$A$1:$H$9997,6,FALSE)-F6969</f>
        <v/>
      </c>
      <c r="H6969" s="19" t="n">
        <v>2</v>
      </c>
      <c r="I6969" s="57" t="n">
        <v>1</v>
      </c>
    </row>
    <row r="6970">
      <c r="A6970" s="62" t="n">
        <v>46505</v>
      </c>
      <c r="B6970" s="3" t="inlineStr">
        <is>
          <t>Week</t>
        </is>
      </c>
      <c r="C6970" s="19" t="n">
        <v>4</v>
      </c>
      <c r="D6970" s="19" t="n">
        <v>2027</v>
      </c>
      <c r="E6970" s="57" t="n">
        <v>7</v>
      </c>
      <c r="F6970" s="29">
        <f>ROUND(((SUMIFS(Calendar!$F$2:$F$9997,Calendar!$B$2:$B$9997,D6970,Calendar!$C$2:$C$9997,C6970)*INDEX(ForeCalc!$B$37:$Y$274,MATCH(_xlfn.CONCAT(H6970," ",I6970),ForeCalc!$A$37:$A$274,0),MATCH(_xlfn.CONCAT(B6970," ",E6970),ForeCalc!$B$36:$Y$36,0))))*VLOOKUP(A6970,Calendar!$A$2:$H$9997,8,FALSE),0)</f>
        <v/>
      </c>
      <c r="G6970" s="29">
        <f>VLOOKUP(A6970,Calendar!$A$1:$H$9997,6,FALSE)-F6970</f>
        <v/>
      </c>
      <c r="H6970" s="19" t="n">
        <v>2</v>
      </c>
      <c r="I6970" s="57" t="n">
        <v>1</v>
      </c>
    </row>
    <row r="6971">
      <c r="A6971" s="62" t="n">
        <v>46506</v>
      </c>
      <c r="B6971" s="3" t="inlineStr">
        <is>
          <t>Week</t>
        </is>
      </c>
      <c r="C6971" s="19" t="n">
        <v>4</v>
      </c>
      <c r="D6971" s="19" t="n">
        <v>2027</v>
      </c>
      <c r="E6971" s="57" t="n">
        <v>7</v>
      </c>
      <c r="F6971" s="29">
        <f>ROUND(((SUMIFS(Calendar!$F$2:$F$9997,Calendar!$B$2:$B$9997,D6971,Calendar!$C$2:$C$9997,C6971)*INDEX(ForeCalc!$B$37:$Y$274,MATCH(_xlfn.CONCAT(H6971," ",I6971),ForeCalc!$A$37:$A$274,0),MATCH(_xlfn.CONCAT(B6971," ",E6971),ForeCalc!$B$36:$Y$36,0))))*VLOOKUP(A6971,Calendar!$A$2:$H$9997,8,FALSE),0)</f>
        <v/>
      </c>
      <c r="G6971" s="29">
        <f>VLOOKUP(A6971,Calendar!$A$1:$H$9997,6,FALSE)-F6971</f>
        <v/>
      </c>
      <c r="H6971" s="19" t="n">
        <v>2</v>
      </c>
      <c r="I6971" s="57" t="n">
        <v>1</v>
      </c>
    </row>
    <row r="6972">
      <c r="A6972" s="62" t="n">
        <v>46507</v>
      </c>
      <c r="B6972" s="3" t="inlineStr">
        <is>
          <t>Week</t>
        </is>
      </c>
      <c r="C6972" s="19" t="n">
        <v>4</v>
      </c>
      <c r="D6972" s="19" t="n">
        <v>2027</v>
      </c>
      <c r="E6972" s="57" t="n">
        <v>7</v>
      </c>
      <c r="F6972" s="29">
        <f>ROUND(((SUMIFS(Calendar!$F$2:$F$9997,Calendar!$B$2:$B$9997,D6972,Calendar!$C$2:$C$9997,C6972)*INDEX(ForeCalc!$B$37:$Y$274,MATCH(_xlfn.CONCAT(H6972," ",I6972),ForeCalc!$A$37:$A$274,0),MATCH(_xlfn.CONCAT(B6972," ",E6972),ForeCalc!$B$36:$Y$36,0))))*VLOOKUP(A6972,Calendar!$A$2:$H$9997,8,FALSE),0)</f>
        <v/>
      </c>
      <c r="G6972" s="29">
        <f>VLOOKUP(A6972,Calendar!$A$1:$H$9997,6,FALSE)-F6972</f>
        <v/>
      </c>
      <c r="H6972" s="19" t="n">
        <v>2</v>
      </c>
      <c r="I6972" s="57" t="n">
        <v>1</v>
      </c>
    </row>
    <row r="6973">
      <c r="A6973" s="62" t="n">
        <v>46508</v>
      </c>
      <c r="B6973" s="3" t="inlineStr">
        <is>
          <t>Sat</t>
        </is>
      </c>
      <c r="C6973" s="19" t="n">
        <v>5</v>
      </c>
      <c r="D6973" s="19" t="n">
        <v>2027</v>
      </c>
      <c r="E6973" s="57" t="n">
        <v>7</v>
      </c>
      <c r="F6973" s="29">
        <f>ROUND(((SUMIFS(Calendar!$F$2:$F$9997,Calendar!$B$2:$B$9997,D6973,Calendar!$C$2:$C$9997,C6973)*INDEX(ForeCalc!$B$37:$Y$274,MATCH(_xlfn.CONCAT(H6973," ",I6973),ForeCalc!$A$37:$A$274,0),MATCH(_xlfn.CONCAT(B6973," ",E6973),ForeCalc!$B$36:$Y$36,0))))*VLOOKUP(A6973,Calendar!$A$2:$H$9997,8,FALSE),0)</f>
        <v/>
      </c>
      <c r="G6973" s="29">
        <f>VLOOKUP(A6973,Calendar!$A$1:$H$9997,6,FALSE)-F6973</f>
        <v/>
      </c>
      <c r="H6973" s="19" t="n">
        <v>2</v>
      </c>
      <c r="I6973" s="57" t="n">
        <v>2</v>
      </c>
    </row>
    <row r="6974">
      <c r="A6974" s="62" t="n">
        <v>46509</v>
      </c>
      <c r="B6974" s="3" t="inlineStr">
        <is>
          <t>Sun</t>
        </is>
      </c>
      <c r="C6974" s="19" t="n">
        <v>5</v>
      </c>
      <c r="D6974" s="19" t="n">
        <v>2027</v>
      </c>
      <c r="E6974" s="57" t="n">
        <v>7</v>
      </c>
      <c r="F6974" s="29">
        <f>ROUND(((SUMIFS(Calendar!$F$2:$F$9997,Calendar!$B$2:$B$9997,D6974,Calendar!$C$2:$C$9997,C6974)*INDEX(ForeCalc!$B$37:$Y$274,MATCH(_xlfn.CONCAT(H6974," ",I6974),ForeCalc!$A$37:$A$274,0),MATCH(_xlfn.CONCAT(B6974," ",E6974),ForeCalc!$B$36:$Y$36,0))))*VLOOKUP(A6974,Calendar!$A$2:$H$9997,8,FALSE),0)</f>
        <v/>
      </c>
      <c r="G6974" s="29">
        <f>VLOOKUP(A6974,Calendar!$A$1:$H$9997,6,FALSE)-F6974</f>
        <v/>
      </c>
      <c r="H6974" s="19" t="n">
        <v>2</v>
      </c>
      <c r="I6974" s="57" t="n">
        <v>2</v>
      </c>
    </row>
    <row r="6975">
      <c r="A6975" s="62" t="n">
        <v>46510</v>
      </c>
      <c r="B6975" s="3" t="inlineStr">
        <is>
          <t>Week</t>
        </is>
      </c>
      <c r="C6975" s="19" t="n">
        <v>5</v>
      </c>
      <c r="D6975" s="19" t="n">
        <v>2027</v>
      </c>
      <c r="E6975" s="57" t="n">
        <v>7</v>
      </c>
      <c r="F6975" s="29">
        <f>ROUND(((SUMIFS(Calendar!$F$2:$F$9997,Calendar!$B$2:$B$9997,D6975,Calendar!$C$2:$C$9997,C6975)*INDEX(ForeCalc!$B$37:$Y$274,MATCH(_xlfn.CONCAT(H6975," ",I6975),ForeCalc!$A$37:$A$274,0),MATCH(_xlfn.CONCAT(B6975," ",E6975),ForeCalc!$B$36:$Y$36,0))))*VLOOKUP(A6975,Calendar!$A$2:$H$9997,8,FALSE),0)</f>
        <v/>
      </c>
      <c r="G6975" s="29">
        <f>VLOOKUP(A6975,Calendar!$A$1:$H$9997,6,FALSE)-F6975</f>
        <v/>
      </c>
      <c r="H6975" s="19" t="n">
        <v>2</v>
      </c>
      <c r="I6975" s="57" t="n">
        <v>2</v>
      </c>
    </row>
    <row r="6976">
      <c r="A6976" s="62" t="n">
        <v>46511</v>
      </c>
      <c r="B6976" s="3" t="inlineStr">
        <is>
          <t>Week</t>
        </is>
      </c>
      <c r="C6976" s="19" t="n">
        <v>5</v>
      </c>
      <c r="D6976" s="19" t="n">
        <v>2027</v>
      </c>
      <c r="E6976" s="57" t="n">
        <v>7</v>
      </c>
      <c r="F6976" s="29">
        <f>ROUND(((SUMIFS(Calendar!$F$2:$F$9997,Calendar!$B$2:$B$9997,D6976,Calendar!$C$2:$C$9997,C6976)*INDEX(ForeCalc!$B$37:$Y$274,MATCH(_xlfn.CONCAT(H6976," ",I6976),ForeCalc!$A$37:$A$274,0),MATCH(_xlfn.CONCAT(B6976," ",E6976),ForeCalc!$B$36:$Y$36,0))))*VLOOKUP(A6976,Calendar!$A$2:$H$9997,8,FALSE),0)</f>
        <v/>
      </c>
      <c r="G6976" s="29">
        <f>VLOOKUP(A6976,Calendar!$A$1:$H$9997,6,FALSE)-F6976</f>
        <v/>
      </c>
      <c r="H6976" s="19" t="n">
        <v>2</v>
      </c>
      <c r="I6976" s="57" t="n">
        <v>2</v>
      </c>
    </row>
    <row r="6977">
      <c r="A6977" s="62" t="n">
        <v>46512</v>
      </c>
      <c r="B6977" s="3" t="inlineStr">
        <is>
          <t>Week</t>
        </is>
      </c>
      <c r="C6977" s="19" t="n">
        <v>5</v>
      </c>
      <c r="D6977" s="19" t="n">
        <v>2027</v>
      </c>
      <c r="E6977" s="57" t="n">
        <v>7</v>
      </c>
      <c r="F6977" s="29">
        <f>ROUND(((SUMIFS(Calendar!$F$2:$F$9997,Calendar!$B$2:$B$9997,D6977,Calendar!$C$2:$C$9997,C6977)*INDEX(ForeCalc!$B$37:$Y$274,MATCH(_xlfn.CONCAT(H6977," ",I6977),ForeCalc!$A$37:$A$274,0),MATCH(_xlfn.CONCAT(B6977," ",E6977),ForeCalc!$B$36:$Y$36,0))))*VLOOKUP(A6977,Calendar!$A$2:$H$9997,8,FALSE),0)</f>
        <v/>
      </c>
      <c r="G6977" s="29">
        <f>VLOOKUP(A6977,Calendar!$A$1:$H$9997,6,FALSE)-F6977</f>
        <v/>
      </c>
      <c r="H6977" s="19" t="n">
        <v>2</v>
      </c>
      <c r="I6977" s="57" t="n">
        <v>2</v>
      </c>
    </row>
    <row r="6978">
      <c r="A6978" s="62" t="n">
        <v>46513</v>
      </c>
      <c r="B6978" s="3" t="inlineStr">
        <is>
          <t>Week</t>
        </is>
      </c>
      <c r="C6978" s="19" t="n">
        <v>5</v>
      </c>
      <c r="D6978" s="19" t="n">
        <v>2027</v>
      </c>
      <c r="E6978" s="57" t="n">
        <v>7</v>
      </c>
      <c r="F6978" s="29">
        <f>ROUND(((SUMIFS(Calendar!$F$2:$F$9997,Calendar!$B$2:$B$9997,D6978,Calendar!$C$2:$C$9997,C6978)*INDEX(ForeCalc!$B$37:$Y$274,MATCH(_xlfn.CONCAT(H6978," ",I6978),ForeCalc!$A$37:$A$274,0),MATCH(_xlfn.CONCAT(B6978," ",E6978),ForeCalc!$B$36:$Y$36,0))))*VLOOKUP(A6978,Calendar!$A$2:$H$9997,8,FALSE),0)</f>
        <v/>
      </c>
      <c r="G6978" s="29">
        <f>VLOOKUP(A6978,Calendar!$A$1:$H$9997,6,FALSE)-F6978</f>
        <v/>
      </c>
      <c r="H6978" s="19" t="n">
        <v>2</v>
      </c>
      <c r="I6978" s="57" t="n">
        <v>2</v>
      </c>
    </row>
    <row r="6979">
      <c r="A6979" s="62" t="n">
        <v>46514</v>
      </c>
      <c r="B6979" s="3" t="inlineStr">
        <is>
          <t>Week</t>
        </is>
      </c>
      <c r="C6979" s="19" t="n">
        <v>5</v>
      </c>
      <c r="D6979" s="19" t="n">
        <v>2027</v>
      </c>
      <c r="E6979" s="57" t="n">
        <v>7</v>
      </c>
      <c r="F6979" s="29">
        <f>ROUND(((SUMIFS(Calendar!$F$2:$F$9997,Calendar!$B$2:$B$9997,D6979,Calendar!$C$2:$C$9997,C6979)*INDEX(ForeCalc!$B$37:$Y$274,MATCH(_xlfn.CONCAT(H6979," ",I6979),ForeCalc!$A$37:$A$274,0),MATCH(_xlfn.CONCAT(B6979," ",E6979),ForeCalc!$B$36:$Y$36,0))))*VLOOKUP(A6979,Calendar!$A$2:$H$9997,8,FALSE),0)</f>
        <v/>
      </c>
      <c r="G6979" s="29">
        <f>VLOOKUP(A6979,Calendar!$A$1:$H$9997,6,FALSE)-F6979</f>
        <v/>
      </c>
      <c r="H6979" s="19" t="n">
        <v>2</v>
      </c>
      <c r="I6979" s="57" t="n">
        <v>2</v>
      </c>
    </row>
    <row r="6980">
      <c r="A6980" s="62" t="n">
        <v>46515</v>
      </c>
      <c r="B6980" s="3" t="inlineStr">
        <is>
          <t>Sat</t>
        </is>
      </c>
      <c r="C6980" s="19" t="n">
        <v>5</v>
      </c>
      <c r="D6980" s="19" t="n">
        <v>2027</v>
      </c>
      <c r="E6980" s="57" t="n">
        <v>7</v>
      </c>
      <c r="F6980" s="29">
        <f>ROUND(((SUMIFS(Calendar!$F$2:$F$9997,Calendar!$B$2:$B$9997,D6980,Calendar!$C$2:$C$9997,C6980)*INDEX(ForeCalc!$B$37:$Y$274,MATCH(_xlfn.CONCAT(H6980," ",I6980),ForeCalc!$A$37:$A$274,0),MATCH(_xlfn.CONCAT(B6980," ",E6980),ForeCalc!$B$36:$Y$36,0))))*VLOOKUP(A6980,Calendar!$A$2:$H$9997,8,FALSE),0)</f>
        <v/>
      </c>
      <c r="G6980" s="29">
        <f>VLOOKUP(A6980,Calendar!$A$1:$H$9997,6,FALSE)-F6980</f>
        <v/>
      </c>
      <c r="H6980" s="19" t="n">
        <v>2</v>
      </c>
      <c r="I6980" s="57" t="n">
        <v>2</v>
      </c>
    </row>
    <row r="6981">
      <c r="A6981" s="62" t="n">
        <v>46516</v>
      </c>
      <c r="B6981" s="3" t="inlineStr">
        <is>
          <t>Sun</t>
        </is>
      </c>
      <c r="C6981" s="19" t="n">
        <v>5</v>
      </c>
      <c r="D6981" s="19" t="n">
        <v>2027</v>
      </c>
      <c r="E6981" s="57" t="n">
        <v>7</v>
      </c>
      <c r="F6981" s="29">
        <f>ROUND(((SUMIFS(Calendar!$F$2:$F$9997,Calendar!$B$2:$B$9997,D6981,Calendar!$C$2:$C$9997,C6981)*INDEX(ForeCalc!$B$37:$Y$274,MATCH(_xlfn.CONCAT(H6981," ",I6981),ForeCalc!$A$37:$A$274,0),MATCH(_xlfn.CONCAT(B6981," ",E6981),ForeCalc!$B$36:$Y$36,0))))*VLOOKUP(A6981,Calendar!$A$2:$H$9997,8,FALSE),0)</f>
        <v/>
      </c>
      <c r="G6981" s="29">
        <f>VLOOKUP(A6981,Calendar!$A$1:$H$9997,6,FALSE)-F6981</f>
        <v/>
      </c>
      <c r="H6981" s="19" t="n">
        <v>2</v>
      </c>
      <c r="I6981" s="57" t="n">
        <v>2</v>
      </c>
    </row>
    <row r="6982">
      <c r="A6982" s="62" t="n">
        <v>46517</v>
      </c>
      <c r="B6982" s="3" t="inlineStr">
        <is>
          <t>Week</t>
        </is>
      </c>
      <c r="C6982" s="19" t="n">
        <v>5</v>
      </c>
      <c r="D6982" s="19" t="n">
        <v>2027</v>
      </c>
      <c r="E6982" s="57" t="n">
        <v>7</v>
      </c>
      <c r="F6982" s="29">
        <f>ROUND(((SUMIFS(Calendar!$F$2:$F$9997,Calendar!$B$2:$B$9997,D6982,Calendar!$C$2:$C$9997,C6982)*INDEX(ForeCalc!$B$37:$Y$274,MATCH(_xlfn.CONCAT(H6982," ",I6982),ForeCalc!$A$37:$A$274,0),MATCH(_xlfn.CONCAT(B6982," ",E6982),ForeCalc!$B$36:$Y$36,0))))*VLOOKUP(A6982,Calendar!$A$2:$H$9997,8,FALSE),0)</f>
        <v/>
      </c>
      <c r="G6982" s="29">
        <f>VLOOKUP(A6982,Calendar!$A$1:$H$9997,6,FALSE)-F6982</f>
        <v/>
      </c>
      <c r="H6982" s="19" t="n">
        <v>2</v>
      </c>
      <c r="I6982" s="57" t="n">
        <v>2</v>
      </c>
    </row>
    <row r="6983">
      <c r="A6983" s="62" t="n">
        <v>46518</v>
      </c>
      <c r="B6983" s="3" t="inlineStr">
        <is>
          <t>Week</t>
        </is>
      </c>
      <c r="C6983" s="19" t="n">
        <v>5</v>
      </c>
      <c r="D6983" s="19" t="n">
        <v>2027</v>
      </c>
      <c r="E6983" s="57" t="n">
        <v>7</v>
      </c>
      <c r="F6983" s="29">
        <f>ROUND(((SUMIFS(Calendar!$F$2:$F$9997,Calendar!$B$2:$B$9997,D6983,Calendar!$C$2:$C$9997,C6983)*INDEX(ForeCalc!$B$37:$Y$274,MATCH(_xlfn.CONCAT(H6983," ",I6983),ForeCalc!$A$37:$A$274,0),MATCH(_xlfn.CONCAT(B6983," ",E6983),ForeCalc!$B$36:$Y$36,0))))*VLOOKUP(A6983,Calendar!$A$2:$H$9997,8,FALSE),0)</f>
        <v/>
      </c>
      <c r="G6983" s="29">
        <f>VLOOKUP(A6983,Calendar!$A$1:$H$9997,6,FALSE)-F6983</f>
        <v/>
      </c>
      <c r="H6983" s="19" t="n">
        <v>2</v>
      </c>
      <c r="I6983" s="57" t="n">
        <v>2</v>
      </c>
    </row>
    <row r="6984">
      <c r="A6984" s="62" t="n">
        <v>46519</v>
      </c>
      <c r="B6984" s="3" t="inlineStr">
        <is>
          <t>Week</t>
        </is>
      </c>
      <c r="C6984" s="19" t="n">
        <v>5</v>
      </c>
      <c r="D6984" s="19" t="n">
        <v>2027</v>
      </c>
      <c r="E6984" s="57" t="n">
        <v>7</v>
      </c>
      <c r="F6984" s="29">
        <f>ROUND(((SUMIFS(Calendar!$F$2:$F$9997,Calendar!$B$2:$B$9997,D6984,Calendar!$C$2:$C$9997,C6984)*INDEX(ForeCalc!$B$37:$Y$274,MATCH(_xlfn.CONCAT(H6984," ",I6984),ForeCalc!$A$37:$A$274,0),MATCH(_xlfn.CONCAT(B6984," ",E6984),ForeCalc!$B$36:$Y$36,0))))*VLOOKUP(A6984,Calendar!$A$2:$H$9997,8,FALSE),0)</f>
        <v/>
      </c>
      <c r="G6984" s="29">
        <f>VLOOKUP(A6984,Calendar!$A$1:$H$9997,6,FALSE)-F6984</f>
        <v/>
      </c>
      <c r="H6984" s="19" t="n">
        <v>2</v>
      </c>
      <c r="I6984" s="57" t="n">
        <v>2</v>
      </c>
    </row>
    <row r="6985">
      <c r="A6985" s="62" t="n">
        <v>46520</v>
      </c>
      <c r="B6985" s="3" t="inlineStr">
        <is>
          <t>Week</t>
        </is>
      </c>
      <c r="C6985" s="19" t="n">
        <v>5</v>
      </c>
      <c r="D6985" s="19" t="n">
        <v>2027</v>
      </c>
      <c r="E6985" s="57" t="n">
        <v>7</v>
      </c>
      <c r="F6985" s="29">
        <f>ROUND(((SUMIFS(Calendar!$F$2:$F$9997,Calendar!$B$2:$B$9997,D6985,Calendar!$C$2:$C$9997,C6985)*INDEX(ForeCalc!$B$37:$Y$274,MATCH(_xlfn.CONCAT(H6985," ",I6985),ForeCalc!$A$37:$A$274,0),MATCH(_xlfn.CONCAT(B6985," ",E6985),ForeCalc!$B$36:$Y$36,0))))*VLOOKUP(A6985,Calendar!$A$2:$H$9997,8,FALSE),0)</f>
        <v/>
      </c>
      <c r="G6985" s="29">
        <f>VLOOKUP(A6985,Calendar!$A$1:$H$9997,6,FALSE)-F6985</f>
        <v/>
      </c>
      <c r="H6985" s="19" t="n">
        <v>2</v>
      </c>
      <c r="I6985" s="57" t="n">
        <v>2</v>
      </c>
    </row>
    <row r="6986">
      <c r="A6986" s="62" t="n">
        <v>46521</v>
      </c>
      <c r="B6986" s="3" t="inlineStr">
        <is>
          <t>Week</t>
        </is>
      </c>
      <c r="C6986" s="19" t="n">
        <v>5</v>
      </c>
      <c r="D6986" s="19" t="n">
        <v>2027</v>
      </c>
      <c r="E6986" s="57" t="n">
        <v>7</v>
      </c>
      <c r="F6986" s="29">
        <f>ROUND(((SUMIFS(Calendar!$F$2:$F$9997,Calendar!$B$2:$B$9997,D6986,Calendar!$C$2:$C$9997,C6986)*INDEX(ForeCalc!$B$37:$Y$274,MATCH(_xlfn.CONCAT(H6986," ",I6986),ForeCalc!$A$37:$A$274,0),MATCH(_xlfn.CONCAT(B6986," ",E6986),ForeCalc!$B$36:$Y$36,0))))*VLOOKUP(A6986,Calendar!$A$2:$H$9997,8,FALSE),0)</f>
        <v/>
      </c>
      <c r="G6986" s="29">
        <f>VLOOKUP(A6986,Calendar!$A$1:$H$9997,6,FALSE)-F6986</f>
        <v/>
      </c>
      <c r="H6986" s="19" t="n">
        <v>2</v>
      </c>
      <c r="I6986" s="57" t="n">
        <v>2</v>
      </c>
    </row>
    <row r="6987">
      <c r="A6987" s="62" t="n">
        <v>46522</v>
      </c>
      <c r="B6987" s="3" t="inlineStr">
        <is>
          <t>Sat</t>
        </is>
      </c>
      <c r="C6987" s="19" t="n">
        <v>5</v>
      </c>
      <c r="D6987" s="19" t="n">
        <v>2027</v>
      </c>
      <c r="E6987" s="57" t="n">
        <v>7</v>
      </c>
      <c r="F6987" s="29">
        <f>ROUND(((SUMIFS(Calendar!$F$2:$F$9997,Calendar!$B$2:$B$9997,D6987,Calendar!$C$2:$C$9997,C6987)*INDEX(ForeCalc!$B$37:$Y$274,MATCH(_xlfn.CONCAT(H6987," ",I6987),ForeCalc!$A$37:$A$274,0),MATCH(_xlfn.CONCAT(B6987," ",E6987),ForeCalc!$B$36:$Y$36,0))))*VLOOKUP(A6987,Calendar!$A$2:$H$9997,8,FALSE),0)</f>
        <v/>
      </c>
      <c r="G6987" s="29">
        <f>VLOOKUP(A6987,Calendar!$A$1:$H$9997,6,FALSE)-F6987</f>
        <v/>
      </c>
      <c r="H6987" s="19" t="n">
        <v>2</v>
      </c>
      <c r="I6987" s="57" t="n">
        <v>2</v>
      </c>
    </row>
    <row r="6988">
      <c r="A6988" s="62" t="n">
        <v>46523</v>
      </c>
      <c r="B6988" s="3" t="inlineStr">
        <is>
          <t>Sun</t>
        </is>
      </c>
      <c r="C6988" s="19" t="n">
        <v>5</v>
      </c>
      <c r="D6988" s="19" t="n">
        <v>2027</v>
      </c>
      <c r="E6988" s="57" t="n">
        <v>7</v>
      </c>
      <c r="F6988" s="29">
        <f>ROUND(((SUMIFS(Calendar!$F$2:$F$9997,Calendar!$B$2:$B$9997,D6988,Calendar!$C$2:$C$9997,C6988)*INDEX(ForeCalc!$B$37:$Y$274,MATCH(_xlfn.CONCAT(H6988," ",I6988),ForeCalc!$A$37:$A$274,0),MATCH(_xlfn.CONCAT(B6988," ",E6988),ForeCalc!$B$36:$Y$36,0))))*VLOOKUP(A6988,Calendar!$A$2:$H$9997,8,FALSE),0)</f>
        <v/>
      </c>
      <c r="G6988" s="29">
        <f>VLOOKUP(A6988,Calendar!$A$1:$H$9997,6,FALSE)-F6988</f>
        <v/>
      </c>
      <c r="H6988" s="19" t="n">
        <v>2</v>
      </c>
      <c r="I6988" s="57" t="n">
        <v>2</v>
      </c>
    </row>
    <row r="6989">
      <c r="A6989" s="62" t="n">
        <v>46524</v>
      </c>
      <c r="B6989" s="3" t="inlineStr">
        <is>
          <t>Week</t>
        </is>
      </c>
      <c r="C6989" s="19" t="n">
        <v>5</v>
      </c>
      <c r="D6989" s="19" t="n">
        <v>2027</v>
      </c>
      <c r="E6989" s="57" t="n">
        <v>7</v>
      </c>
      <c r="F6989" s="29">
        <f>ROUND(((SUMIFS(Calendar!$F$2:$F$9997,Calendar!$B$2:$B$9997,D6989,Calendar!$C$2:$C$9997,C6989)*INDEX(ForeCalc!$B$37:$Y$274,MATCH(_xlfn.CONCAT(H6989," ",I6989),ForeCalc!$A$37:$A$274,0),MATCH(_xlfn.CONCAT(B6989," ",E6989),ForeCalc!$B$36:$Y$36,0))))*VLOOKUP(A6989,Calendar!$A$2:$H$9997,8,FALSE),0)</f>
        <v/>
      </c>
      <c r="G6989" s="29">
        <f>VLOOKUP(A6989,Calendar!$A$1:$H$9997,6,FALSE)-F6989</f>
        <v/>
      </c>
      <c r="H6989" s="19" t="n">
        <v>2</v>
      </c>
      <c r="I6989" s="57" t="n">
        <v>2</v>
      </c>
    </row>
    <row r="6990">
      <c r="A6990" s="62" t="n">
        <v>46525</v>
      </c>
      <c r="B6990" s="3" t="inlineStr">
        <is>
          <t>Week</t>
        </is>
      </c>
      <c r="C6990" s="19" t="n">
        <v>5</v>
      </c>
      <c r="D6990" s="19" t="n">
        <v>2027</v>
      </c>
      <c r="E6990" s="57" t="n">
        <v>7</v>
      </c>
      <c r="F6990" s="29">
        <f>ROUND(((SUMIFS(Calendar!$F$2:$F$9997,Calendar!$B$2:$B$9997,D6990,Calendar!$C$2:$C$9997,C6990)*INDEX(ForeCalc!$B$37:$Y$274,MATCH(_xlfn.CONCAT(H6990," ",I6990),ForeCalc!$A$37:$A$274,0),MATCH(_xlfn.CONCAT(B6990," ",E6990),ForeCalc!$B$36:$Y$36,0))))*VLOOKUP(A6990,Calendar!$A$2:$H$9997,8,FALSE),0)</f>
        <v/>
      </c>
      <c r="G6990" s="29">
        <f>VLOOKUP(A6990,Calendar!$A$1:$H$9997,6,FALSE)-F6990</f>
        <v/>
      </c>
      <c r="H6990" s="19" t="n">
        <v>2</v>
      </c>
      <c r="I6990" s="57" t="n">
        <v>2</v>
      </c>
    </row>
    <row r="6991">
      <c r="A6991" s="62" t="n">
        <v>46526</v>
      </c>
      <c r="B6991" s="3" t="inlineStr">
        <is>
          <t>Week</t>
        </is>
      </c>
      <c r="C6991" s="19" t="n">
        <v>5</v>
      </c>
      <c r="D6991" s="19" t="n">
        <v>2027</v>
      </c>
      <c r="E6991" s="57" t="n">
        <v>7</v>
      </c>
      <c r="F6991" s="29">
        <f>ROUND(((SUMIFS(Calendar!$F$2:$F$9997,Calendar!$B$2:$B$9997,D6991,Calendar!$C$2:$C$9997,C6991)*INDEX(ForeCalc!$B$37:$Y$274,MATCH(_xlfn.CONCAT(H6991," ",I6991),ForeCalc!$A$37:$A$274,0),MATCH(_xlfn.CONCAT(B6991," ",E6991),ForeCalc!$B$36:$Y$36,0))))*VLOOKUP(A6991,Calendar!$A$2:$H$9997,8,FALSE),0)</f>
        <v/>
      </c>
      <c r="G6991" s="29">
        <f>VLOOKUP(A6991,Calendar!$A$1:$H$9997,6,FALSE)-F6991</f>
        <v/>
      </c>
      <c r="H6991" s="19" t="n">
        <v>2</v>
      </c>
      <c r="I6991" s="57" t="n">
        <v>2</v>
      </c>
    </row>
    <row r="6992">
      <c r="A6992" s="62" t="n">
        <v>46527</v>
      </c>
      <c r="B6992" s="3" t="inlineStr">
        <is>
          <t>Week</t>
        </is>
      </c>
      <c r="C6992" s="19" t="n">
        <v>5</v>
      </c>
      <c r="D6992" s="19" t="n">
        <v>2027</v>
      </c>
      <c r="E6992" s="57" t="n">
        <v>7</v>
      </c>
      <c r="F6992" s="29">
        <f>ROUND(((SUMIFS(Calendar!$F$2:$F$9997,Calendar!$B$2:$B$9997,D6992,Calendar!$C$2:$C$9997,C6992)*INDEX(ForeCalc!$B$37:$Y$274,MATCH(_xlfn.CONCAT(H6992," ",I6992),ForeCalc!$A$37:$A$274,0),MATCH(_xlfn.CONCAT(B6992," ",E6992),ForeCalc!$B$36:$Y$36,0))))*VLOOKUP(A6992,Calendar!$A$2:$H$9997,8,FALSE),0)</f>
        <v/>
      </c>
      <c r="G6992" s="29">
        <f>VLOOKUP(A6992,Calendar!$A$1:$H$9997,6,FALSE)-F6992</f>
        <v/>
      </c>
      <c r="H6992" s="19" t="n">
        <v>2</v>
      </c>
      <c r="I6992" s="57" t="n">
        <v>2</v>
      </c>
    </row>
    <row r="6993">
      <c r="A6993" s="62" t="n">
        <v>46528</v>
      </c>
      <c r="B6993" s="3" t="inlineStr">
        <is>
          <t>Week</t>
        </is>
      </c>
      <c r="C6993" s="19" t="n">
        <v>5</v>
      </c>
      <c r="D6993" s="19" t="n">
        <v>2027</v>
      </c>
      <c r="E6993" s="57" t="n">
        <v>7</v>
      </c>
      <c r="F6993" s="29">
        <f>ROUND(((SUMIFS(Calendar!$F$2:$F$9997,Calendar!$B$2:$B$9997,D6993,Calendar!$C$2:$C$9997,C6993)*INDEX(ForeCalc!$B$37:$Y$274,MATCH(_xlfn.CONCAT(H6993," ",I6993),ForeCalc!$A$37:$A$274,0),MATCH(_xlfn.CONCAT(B6993," ",E6993),ForeCalc!$B$36:$Y$36,0))))*VLOOKUP(A6993,Calendar!$A$2:$H$9997,8,FALSE),0)</f>
        <v/>
      </c>
      <c r="G6993" s="29">
        <f>VLOOKUP(A6993,Calendar!$A$1:$H$9997,6,FALSE)-F6993</f>
        <v/>
      </c>
      <c r="H6993" s="19" t="n">
        <v>2</v>
      </c>
      <c r="I6993" s="57" t="n">
        <v>2</v>
      </c>
    </row>
    <row r="6994">
      <c r="A6994" s="62" t="n">
        <v>46529</v>
      </c>
      <c r="B6994" s="3" t="inlineStr">
        <is>
          <t>Sat</t>
        </is>
      </c>
      <c r="C6994" s="19" t="n">
        <v>5</v>
      </c>
      <c r="D6994" s="19" t="n">
        <v>2027</v>
      </c>
      <c r="E6994" s="57" t="n">
        <v>7</v>
      </c>
      <c r="F6994" s="29">
        <f>ROUND(((SUMIFS(Calendar!$F$2:$F$9997,Calendar!$B$2:$B$9997,D6994,Calendar!$C$2:$C$9997,C6994)*INDEX(ForeCalc!$B$37:$Y$274,MATCH(_xlfn.CONCAT(H6994," ",I6994),ForeCalc!$A$37:$A$274,0),MATCH(_xlfn.CONCAT(B6994," ",E6994),ForeCalc!$B$36:$Y$36,0))))*VLOOKUP(A6994,Calendar!$A$2:$H$9997,8,FALSE),0)</f>
        <v/>
      </c>
      <c r="G6994" s="29">
        <f>VLOOKUP(A6994,Calendar!$A$1:$H$9997,6,FALSE)-F6994</f>
        <v/>
      </c>
      <c r="H6994" s="19" t="n">
        <v>2</v>
      </c>
      <c r="I6994" s="57" t="n">
        <v>2</v>
      </c>
    </row>
    <row r="6995">
      <c r="A6995" s="62" t="n">
        <v>46530</v>
      </c>
      <c r="B6995" s="3" t="inlineStr">
        <is>
          <t>Sun</t>
        </is>
      </c>
      <c r="C6995" s="19" t="n">
        <v>5</v>
      </c>
      <c r="D6995" s="19" t="n">
        <v>2027</v>
      </c>
      <c r="E6995" s="57" t="n">
        <v>7</v>
      </c>
      <c r="F6995" s="29">
        <f>ROUND(((SUMIFS(Calendar!$F$2:$F$9997,Calendar!$B$2:$B$9997,D6995,Calendar!$C$2:$C$9997,C6995)*INDEX(ForeCalc!$B$37:$Y$274,MATCH(_xlfn.CONCAT(H6995," ",I6995),ForeCalc!$A$37:$A$274,0),MATCH(_xlfn.CONCAT(B6995," ",E6995),ForeCalc!$B$36:$Y$36,0))))*VLOOKUP(A6995,Calendar!$A$2:$H$9997,8,FALSE),0)</f>
        <v/>
      </c>
      <c r="G6995" s="29">
        <f>VLOOKUP(A6995,Calendar!$A$1:$H$9997,6,FALSE)-F6995</f>
        <v/>
      </c>
      <c r="H6995" s="19" t="n">
        <v>2</v>
      </c>
      <c r="I6995" s="57" t="n">
        <v>2</v>
      </c>
    </row>
    <row r="6996">
      <c r="A6996" s="62" t="n">
        <v>46531</v>
      </c>
      <c r="B6996" s="3" t="inlineStr">
        <is>
          <t>Week</t>
        </is>
      </c>
      <c r="C6996" s="19" t="n">
        <v>5</v>
      </c>
      <c r="D6996" s="19" t="n">
        <v>2027</v>
      </c>
      <c r="E6996" s="57" t="n">
        <v>7</v>
      </c>
      <c r="F6996" s="29">
        <f>ROUND(((SUMIFS(Calendar!$F$2:$F$9997,Calendar!$B$2:$B$9997,D6996,Calendar!$C$2:$C$9997,C6996)*INDEX(ForeCalc!$B$37:$Y$274,MATCH(_xlfn.CONCAT(H6996," ",I6996),ForeCalc!$A$37:$A$274,0),MATCH(_xlfn.CONCAT(B6996," ",E6996),ForeCalc!$B$36:$Y$36,0))))*VLOOKUP(A6996,Calendar!$A$2:$H$9997,8,FALSE),0)</f>
        <v/>
      </c>
      <c r="G6996" s="29">
        <f>VLOOKUP(A6996,Calendar!$A$1:$H$9997,6,FALSE)-F6996</f>
        <v/>
      </c>
      <c r="H6996" s="19" t="n">
        <v>2</v>
      </c>
      <c r="I6996" s="57" t="n">
        <v>2</v>
      </c>
    </row>
    <row r="6997">
      <c r="A6997" s="62" t="n">
        <v>46532</v>
      </c>
      <c r="B6997" s="3" t="inlineStr">
        <is>
          <t>Week</t>
        </is>
      </c>
      <c r="C6997" s="19" t="n">
        <v>5</v>
      </c>
      <c r="D6997" s="19" t="n">
        <v>2027</v>
      </c>
      <c r="E6997" s="57" t="n">
        <v>7</v>
      </c>
      <c r="F6997" s="29">
        <f>ROUND(((SUMIFS(Calendar!$F$2:$F$9997,Calendar!$B$2:$B$9997,D6997,Calendar!$C$2:$C$9997,C6997)*INDEX(ForeCalc!$B$37:$Y$274,MATCH(_xlfn.CONCAT(H6997," ",I6997),ForeCalc!$A$37:$A$274,0),MATCH(_xlfn.CONCAT(B6997," ",E6997),ForeCalc!$B$36:$Y$36,0))))*VLOOKUP(A6997,Calendar!$A$2:$H$9997,8,FALSE),0)</f>
        <v/>
      </c>
      <c r="G6997" s="29">
        <f>VLOOKUP(A6997,Calendar!$A$1:$H$9997,6,FALSE)-F6997</f>
        <v/>
      </c>
      <c r="H6997" s="19" t="n">
        <v>2</v>
      </c>
      <c r="I6997" s="57" t="n">
        <v>2</v>
      </c>
    </row>
    <row r="6998">
      <c r="A6998" s="62" t="n">
        <v>46533</v>
      </c>
      <c r="B6998" s="3" t="inlineStr">
        <is>
          <t>Week</t>
        </is>
      </c>
      <c r="C6998" s="19" t="n">
        <v>5</v>
      </c>
      <c r="D6998" s="19" t="n">
        <v>2027</v>
      </c>
      <c r="E6998" s="57" t="n">
        <v>7</v>
      </c>
      <c r="F6998" s="29">
        <f>ROUND(((SUMIFS(Calendar!$F$2:$F$9997,Calendar!$B$2:$B$9997,D6998,Calendar!$C$2:$C$9997,C6998)*INDEX(ForeCalc!$B$37:$Y$274,MATCH(_xlfn.CONCAT(H6998," ",I6998),ForeCalc!$A$37:$A$274,0),MATCH(_xlfn.CONCAT(B6998," ",E6998),ForeCalc!$B$36:$Y$36,0))))*VLOOKUP(A6998,Calendar!$A$2:$H$9997,8,FALSE),0)</f>
        <v/>
      </c>
      <c r="G6998" s="29">
        <f>VLOOKUP(A6998,Calendar!$A$1:$H$9997,6,FALSE)-F6998</f>
        <v/>
      </c>
      <c r="H6998" s="19" t="n">
        <v>2</v>
      </c>
      <c r="I6998" s="57" t="n">
        <v>2</v>
      </c>
    </row>
    <row r="6999">
      <c r="A6999" s="62" t="n">
        <v>46534</v>
      </c>
      <c r="B6999" s="3" t="inlineStr">
        <is>
          <t>Week</t>
        </is>
      </c>
      <c r="C6999" s="19" t="n">
        <v>5</v>
      </c>
      <c r="D6999" s="19" t="n">
        <v>2027</v>
      </c>
      <c r="E6999" s="57" t="n">
        <v>7</v>
      </c>
      <c r="F6999" s="29">
        <f>ROUND(((SUMIFS(Calendar!$F$2:$F$9997,Calendar!$B$2:$B$9997,D6999,Calendar!$C$2:$C$9997,C6999)*INDEX(ForeCalc!$B$37:$Y$274,MATCH(_xlfn.CONCAT(H6999," ",I6999),ForeCalc!$A$37:$A$274,0),MATCH(_xlfn.CONCAT(B6999," ",E6999),ForeCalc!$B$36:$Y$36,0))))*VLOOKUP(A6999,Calendar!$A$2:$H$9997,8,FALSE),0)</f>
        <v/>
      </c>
      <c r="G6999" s="29">
        <f>VLOOKUP(A6999,Calendar!$A$1:$H$9997,6,FALSE)-F6999</f>
        <v/>
      </c>
      <c r="H6999" s="19" t="n">
        <v>2</v>
      </c>
      <c r="I6999" s="57" t="n">
        <v>2</v>
      </c>
    </row>
    <row r="7000">
      <c r="A7000" s="62" t="n">
        <v>46535</v>
      </c>
      <c r="B7000" s="3" t="inlineStr">
        <is>
          <t>Week</t>
        </is>
      </c>
      <c r="C7000" s="19" t="n">
        <v>5</v>
      </c>
      <c r="D7000" s="19" t="n">
        <v>2027</v>
      </c>
      <c r="E7000" s="57" t="n">
        <v>7</v>
      </c>
      <c r="F7000" s="29">
        <f>ROUND(((SUMIFS(Calendar!$F$2:$F$9997,Calendar!$B$2:$B$9997,D7000,Calendar!$C$2:$C$9997,C7000)*INDEX(ForeCalc!$B$37:$Y$274,MATCH(_xlfn.CONCAT(H7000," ",I7000),ForeCalc!$A$37:$A$274,0),MATCH(_xlfn.CONCAT(B7000," ",E7000),ForeCalc!$B$36:$Y$36,0))))*VLOOKUP(A7000,Calendar!$A$2:$H$9997,8,FALSE),0)</f>
        <v/>
      </c>
      <c r="G7000" s="29">
        <f>VLOOKUP(A7000,Calendar!$A$1:$H$9997,6,FALSE)-F7000</f>
        <v/>
      </c>
      <c r="H7000" s="19" t="n">
        <v>2</v>
      </c>
      <c r="I7000" s="57" t="n">
        <v>2</v>
      </c>
    </row>
    <row r="7001">
      <c r="A7001" s="62" t="n">
        <v>46536</v>
      </c>
      <c r="B7001" s="3" t="inlineStr">
        <is>
          <t>Sat</t>
        </is>
      </c>
      <c r="C7001" s="19" t="n">
        <v>5</v>
      </c>
      <c r="D7001" s="19" t="n">
        <v>2027</v>
      </c>
      <c r="E7001" s="57" t="n">
        <v>7</v>
      </c>
      <c r="F7001" s="29">
        <f>ROUND(((SUMIFS(Calendar!$F$2:$F$9997,Calendar!$B$2:$B$9997,D7001,Calendar!$C$2:$C$9997,C7001)*INDEX(ForeCalc!$B$37:$Y$274,MATCH(_xlfn.CONCAT(H7001," ",I7001),ForeCalc!$A$37:$A$274,0),MATCH(_xlfn.CONCAT(B7001," ",E7001),ForeCalc!$B$36:$Y$36,0))))*VLOOKUP(A7001,Calendar!$A$2:$H$9997,8,FALSE),0)</f>
        <v/>
      </c>
      <c r="G7001" s="29">
        <f>VLOOKUP(A7001,Calendar!$A$1:$H$9997,6,FALSE)-F7001</f>
        <v/>
      </c>
      <c r="H7001" s="19" t="n">
        <v>2</v>
      </c>
      <c r="I7001" s="57" t="n">
        <v>2</v>
      </c>
    </row>
    <row r="7002">
      <c r="A7002" s="62" t="n">
        <v>46537</v>
      </c>
      <c r="B7002" s="3" t="inlineStr">
        <is>
          <t>Sun</t>
        </is>
      </c>
      <c r="C7002" s="19" t="n">
        <v>5</v>
      </c>
      <c r="D7002" s="19" t="n">
        <v>2027</v>
      </c>
      <c r="E7002" s="57" t="n">
        <v>7</v>
      </c>
      <c r="F7002" s="29">
        <f>ROUND(((SUMIFS(Calendar!$F$2:$F$9997,Calendar!$B$2:$B$9997,D7002,Calendar!$C$2:$C$9997,C7002)*INDEX(ForeCalc!$B$37:$Y$274,MATCH(_xlfn.CONCAT(H7002," ",I7002),ForeCalc!$A$37:$A$274,0),MATCH(_xlfn.CONCAT(B7002," ",E7002),ForeCalc!$B$36:$Y$36,0))))*VLOOKUP(A7002,Calendar!$A$2:$H$9997,8,FALSE),0)</f>
        <v/>
      </c>
      <c r="G7002" s="29">
        <f>VLOOKUP(A7002,Calendar!$A$1:$H$9997,6,FALSE)-F7002</f>
        <v/>
      </c>
      <c r="H7002" s="19" t="n">
        <v>2</v>
      </c>
      <c r="I7002" s="57" t="n">
        <v>2</v>
      </c>
    </row>
    <row r="7003">
      <c r="A7003" s="62" t="n">
        <v>46538</v>
      </c>
      <c r="B7003" s="3" t="inlineStr">
        <is>
          <t>Week</t>
        </is>
      </c>
      <c r="C7003" s="19" t="n">
        <v>5</v>
      </c>
      <c r="D7003" s="19" t="n">
        <v>2027</v>
      </c>
      <c r="E7003" s="57" t="n">
        <v>7</v>
      </c>
      <c r="F7003" s="29">
        <f>ROUND(((SUMIFS(Calendar!$F$2:$F$9997,Calendar!$B$2:$B$9997,D7003,Calendar!$C$2:$C$9997,C7003)*INDEX(ForeCalc!$B$37:$Y$274,MATCH(_xlfn.CONCAT(H7003," ",I7003),ForeCalc!$A$37:$A$274,0),MATCH(_xlfn.CONCAT(B7003," ",E7003),ForeCalc!$B$36:$Y$36,0))))*VLOOKUP(A7003,Calendar!$A$2:$H$9997,8,FALSE),0)</f>
        <v/>
      </c>
      <c r="G7003" s="29">
        <f>VLOOKUP(A7003,Calendar!$A$1:$H$9997,6,FALSE)-F7003</f>
        <v/>
      </c>
      <c r="H7003" s="19" t="n">
        <v>2</v>
      </c>
      <c r="I7003" s="57" t="n">
        <v>2</v>
      </c>
    </row>
    <row r="7004">
      <c r="A7004" s="62" t="n">
        <v>46539</v>
      </c>
      <c r="B7004" s="3" t="inlineStr">
        <is>
          <t>Week</t>
        </is>
      </c>
      <c r="C7004" s="19" t="n">
        <v>6</v>
      </c>
      <c r="D7004" s="19" t="n">
        <v>2027</v>
      </c>
      <c r="E7004" s="57" t="n">
        <v>7</v>
      </c>
      <c r="F7004" s="29">
        <f>ROUND(((SUMIFS(Calendar!$F$2:$F$9997,Calendar!$B$2:$B$9997,D7004,Calendar!$C$2:$C$9997,C7004)*INDEX(ForeCalc!$B$37:$Y$274,MATCH(_xlfn.CONCAT(H7004," ",I7004),ForeCalc!$A$37:$A$274,0),MATCH(_xlfn.CONCAT(B7004," ",E7004),ForeCalc!$B$36:$Y$36,0))))*VLOOKUP(A7004,Calendar!$A$2:$H$9997,8,FALSE),0)</f>
        <v/>
      </c>
      <c r="G7004" s="29">
        <f>VLOOKUP(A7004,Calendar!$A$1:$H$9997,6,FALSE)-F7004</f>
        <v/>
      </c>
      <c r="H7004" s="19" t="n">
        <v>2</v>
      </c>
      <c r="I7004" s="57" t="n">
        <v>3</v>
      </c>
    </row>
    <row r="7005">
      <c r="A7005" s="62" t="n">
        <v>46540</v>
      </c>
      <c r="B7005" s="3" t="inlineStr">
        <is>
          <t>Week</t>
        </is>
      </c>
      <c r="C7005" s="19" t="n">
        <v>6</v>
      </c>
      <c r="D7005" s="19" t="n">
        <v>2027</v>
      </c>
      <c r="E7005" s="57" t="n">
        <v>7</v>
      </c>
      <c r="F7005" s="29">
        <f>ROUND(((SUMIFS(Calendar!$F$2:$F$9997,Calendar!$B$2:$B$9997,D7005,Calendar!$C$2:$C$9997,C7005)*INDEX(ForeCalc!$B$37:$Y$274,MATCH(_xlfn.CONCAT(H7005," ",I7005),ForeCalc!$A$37:$A$274,0),MATCH(_xlfn.CONCAT(B7005," ",E7005),ForeCalc!$B$36:$Y$36,0))))*VLOOKUP(A7005,Calendar!$A$2:$H$9997,8,FALSE),0)</f>
        <v/>
      </c>
      <c r="G7005" s="29">
        <f>VLOOKUP(A7005,Calendar!$A$1:$H$9997,6,FALSE)-F7005</f>
        <v/>
      </c>
      <c r="H7005" s="19" t="n">
        <v>2</v>
      </c>
      <c r="I7005" s="57" t="n">
        <v>3</v>
      </c>
    </row>
    <row r="7006">
      <c r="A7006" s="62" t="n">
        <v>46541</v>
      </c>
      <c r="B7006" s="3" t="inlineStr">
        <is>
          <t>Week</t>
        </is>
      </c>
      <c r="C7006" s="19" t="n">
        <v>6</v>
      </c>
      <c r="D7006" s="19" t="n">
        <v>2027</v>
      </c>
      <c r="E7006" s="57" t="n">
        <v>7</v>
      </c>
      <c r="F7006" s="29">
        <f>ROUND(((SUMIFS(Calendar!$F$2:$F$9997,Calendar!$B$2:$B$9997,D7006,Calendar!$C$2:$C$9997,C7006)*INDEX(ForeCalc!$B$37:$Y$274,MATCH(_xlfn.CONCAT(H7006," ",I7006),ForeCalc!$A$37:$A$274,0),MATCH(_xlfn.CONCAT(B7006," ",E7006),ForeCalc!$B$36:$Y$36,0))))*VLOOKUP(A7006,Calendar!$A$2:$H$9997,8,FALSE),0)</f>
        <v/>
      </c>
      <c r="G7006" s="29">
        <f>VLOOKUP(A7006,Calendar!$A$1:$H$9997,6,FALSE)-F7006</f>
        <v/>
      </c>
      <c r="H7006" s="19" t="n">
        <v>2</v>
      </c>
      <c r="I7006" s="57" t="n">
        <v>3</v>
      </c>
    </row>
    <row r="7007">
      <c r="A7007" s="62" t="n">
        <v>46542</v>
      </c>
      <c r="B7007" s="3" t="inlineStr">
        <is>
          <t>Week</t>
        </is>
      </c>
      <c r="C7007" s="19" t="n">
        <v>6</v>
      </c>
      <c r="D7007" s="19" t="n">
        <v>2027</v>
      </c>
      <c r="E7007" s="57" t="n">
        <v>7</v>
      </c>
      <c r="F7007" s="29">
        <f>ROUND(((SUMIFS(Calendar!$F$2:$F$9997,Calendar!$B$2:$B$9997,D7007,Calendar!$C$2:$C$9997,C7007)*INDEX(ForeCalc!$B$37:$Y$274,MATCH(_xlfn.CONCAT(H7007," ",I7007),ForeCalc!$A$37:$A$274,0),MATCH(_xlfn.CONCAT(B7007," ",E7007),ForeCalc!$B$36:$Y$36,0))))*VLOOKUP(A7007,Calendar!$A$2:$H$9997,8,FALSE),0)</f>
        <v/>
      </c>
      <c r="G7007" s="29">
        <f>VLOOKUP(A7007,Calendar!$A$1:$H$9997,6,FALSE)-F7007</f>
        <v/>
      </c>
      <c r="H7007" s="19" t="n">
        <v>2</v>
      </c>
      <c r="I7007" s="57" t="n">
        <v>3</v>
      </c>
    </row>
    <row r="7008">
      <c r="A7008" s="62" t="n">
        <v>46543</v>
      </c>
      <c r="B7008" s="3" t="inlineStr">
        <is>
          <t>Sat</t>
        </is>
      </c>
      <c r="C7008" s="19" t="n">
        <v>6</v>
      </c>
      <c r="D7008" s="19" t="n">
        <v>2027</v>
      </c>
      <c r="E7008" s="57" t="n">
        <v>7</v>
      </c>
      <c r="F7008" s="29">
        <f>ROUND(((SUMIFS(Calendar!$F$2:$F$9997,Calendar!$B$2:$B$9997,D7008,Calendar!$C$2:$C$9997,C7008)*INDEX(ForeCalc!$B$37:$Y$274,MATCH(_xlfn.CONCAT(H7008," ",I7008),ForeCalc!$A$37:$A$274,0),MATCH(_xlfn.CONCAT(B7008," ",E7008),ForeCalc!$B$36:$Y$36,0))))*VLOOKUP(A7008,Calendar!$A$2:$H$9997,8,FALSE),0)</f>
        <v/>
      </c>
      <c r="G7008" s="29">
        <f>VLOOKUP(A7008,Calendar!$A$1:$H$9997,6,FALSE)-F7008</f>
        <v/>
      </c>
      <c r="H7008" s="19" t="n">
        <v>2</v>
      </c>
      <c r="I7008" s="57" t="n">
        <v>3</v>
      </c>
    </row>
    <row r="7009">
      <c r="A7009" s="62" t="n">
        <v>46544</v>
      </c>
      <c r="B7009" s="3" t="inlineStr">
        <is>
          <t>Sun</t>
        </is>
      </c>
      <c r="C7009" s="19" t="n">
        <v>6</v>
      </c>
      <c r="D7009" s="19" t="n">
        <v>2027</v>
      </c>
      <c r="E7009" s="57" t="n">
        <v>7</v>
      </c>
      <c r="F7009" s="29">
        <f>ROUND(((SUMIFS(Calendar!$F$2:$F$9997,Calendar!$B$2:$B$9997,D7009,Calendar!$C$2:$C$9997,C7009)*INDEX(ForeCalc!$B$37:$Y$274,MATCH(_xlfn.CONCAT(H7009," ",I7009),ForeCalc!$A$37:$A$274,0),MATCH(_xlfn.CONCAT(B7009," ",E7009),ForeCalc!$B$36:$Y$36,0))))*VLOOKUP(A7009,Calendar!$A$2:$H$9997,8,FALSE),0)</f>
        <v/>
      </c>
      <c r="G7009" s="29">
        <f>VLOOKUP(A7009,Calendar!$A$1:$H$9997,6,FALSE)-F7009</f>
        <v/>
      </c>
      <c r="H7009" s="19" t="n">
        <v>2</v>
      </c>
      <c r="I7009" s="57" t="n">
        <v>3</v>
      </c>
    </row>
    <row r="7010">
      <c r="A7010" s="62" t="n">
        <v>46545</v>
      </c>
      <c r="B7010" s="3" t="inlineStr">
        <is>
          <t>Week</t>
        </is>
      </c>
      <c r="C7010" s="19" t="n">
        <v>6</v>
      </c>
      <c r="D7010" s="19" t="n">
        <v>2027</v>
      </c>
      <c r="E7010" s="57" t="n">
        <v>7</v>
      </c>
      <c r="F7010" s="29">
        <f>ROUND(((SUMIFS(Calendar!$F$2:$F$9997,Calendar!$B$2:$B$9997,D7010,Calendar!$C$2:$C$9997,C7010)*INDEX(ForeCalc!$B$37:$Y$274,MATCH(_xlfn.CONCAT(H7010," ",I7010),ForeCalc!$A$37:$A$274,0),MATCH(_xlfn.CONCAT(B7010," ",E7010),ForeCalc!$B$36:$Y$36,0))))*VLOOKUP(A7010,Calendar!$A$2:$H$9997,8,FALSE),0)</f>
        <v/>
      </c>
      <c r="G7010" s="29">
        <f>VLOOKUP(A7010,Calendar!$A$1:$H$9997,6,FALSE)-F7010</f>
        <v/>
      </c>
      <c r="H7010" s="19" t="n">
        <v>2</v>
      </c>
      <c r="I7010" s="57" t="n">
        <v>3</v>
      </c>
    </row>
    <row r="7011">
      <c r="A7011" s="62" t="n">
        <v>46546</v>
      </c>
      <c r="B7011" s="3" t="inlineStr">
        <is>
          <t>Week</t>
        </is>
      </c>
      <c r="C7011" s="19" t="n">
        <v>6</v>
      </c>
      <c r="D7011" s="19" t="n">
        <v>2027</v>
      </c>
      <c r="E7011" s="57" t="n">
        <v>7</v>
      </c>
      <c r="F7011" s="29">
        <f>ROUND(((SUMIFS(Calendar!$F$2:$F$9997,Calendar!$B$2:$B$9997,D7011,Calendar!$C$2:$C$9997,C7011)*INDEX(ForeCalc!$B$37:$Y$274,MATCH(_xlfn.CONCAT(H7011," ",I7011),ForeCalc!$A$37:$A$274,0),MATCH(_xlfn.CONCAT(B7011," ",E7011),ForeCalc!$B$36:$Y$36,0))))*VLOOKUP(A7011,Calendar!$A$2:$H$9997,8,FALSE),0)</f>
        <v/>
      </c>
      <c r="G7011" s="29">
        <f>VLOOKUP(A7011,Calendar!$A$1:$H$9997,6,FALSE)-F7011</f>
        <v/>
      </c>
      <c r="H7011" s="19" t="n">
        <v>2</v>
      </c>
      <c r="I7011" s="57" t="n">
        <v>3</v>
      </c>
    </row>
    <row r="7012">
      <c r="A7012" s="62" t="n">
        <v>46547</v>
      </c>
      <c r="B7012" s="3" t="inlineStr">
        <is>
          <t>Week</t>
        </is>
      </c>
      <c r="C7012" s="19" t="n">
        <v>6</v>
      </c>
      <c r="D7012" s="19" t="n">
        <v>2027</v>
      </c>
      <c r="E7012" s="57" t="n">
        <v>7</v>
      </c>
      <c r="F7012" s="29">
        <f>ROUND(((SUMIFS(Calendar!$F$2:$F$9997,Calendar!$B$2:$B$9997,D7012,Calendar!$C$2:$C$9997,C7012)*INDEX(ForeCalc!$B$37:$Y$274,MATCH(_xlfn.CONCAT(H7012," ",I7012),ForeCalc!$A$37:$A$274,0),MATCH(_xlfn.CONCAT(B7012," ",E7012),ForeCalc!$B$36:$Y$36,0))))*VLOOKUP(A7012,Calendar!$A$2:$H$9997,8,FALSE),0)</f>
        <v/>
      </c>
      <c r="G7012" s="29">
        <f>VLOOKUP(A7012,Calendar!$A$1:$H$9997,6,FALSE)-F7012</f>
        <v/>
      </c>
      <c r="H7012" s="19" t="n">
        <v>2</v>
      </c>
      <c r="I7012" s="57" t="n">
        <v>3</v>
      </c>
    </row>
    <row r="7013">
      <c r="A7013" s="62" t="n">
        <v>46548</v>
      </c>
      <c r="B7013" s="3" t="inlineStr">
        <is>
          <t>Week</t>
        </is>
      </c>
      <c r="C7013" s="19" t="n">
        <v>6</v>
      </c>
      <c r="D7013" s="19" t="n">
        <v>2027</v>
      </c>
      <c r="E7013" s="57" t="n">
        <v>7</v>
      </c>
      <c r="F7013" s="29">
        <f>ROUND(((SUMIFS(Calendar!$F$2:$F$9997,Calendar!$B$2:$B$9997,D7013,Calendar!$C$2:$C$9997,C7013)*INDEX(ForeCalc!$B$37:$Y$274,MATCH(_xlfn.CONCAT(H7013," ",I7013),ForeCalc!$A$37:$A$274,0),MATCH(_xlfn.CONCAT(B7013," ",E7013),ForeCalc!$B$36:$Y$36,0))))*VLOOKUP(A7013,Calendar!$A$2:$H$9997,8,FALSE),0)</f>
        <v/>
      </c>
      <c r="G7013" s="29">
        <f>VLOOKUP(A7013,Calendar!$A$1:$H$9997,6,FALSE)-F7013</f>
        <v/>
      </c>
      <c r="H7013" s="19" t="n">
        <v>2</v>
      </c>
      <c r="I7013" s="57" t="n">
        <v>3</v>
      </c>
    </row>
    <row r="7014">
      <c r="A7014" s="62" t="n">
        <v>46549</v>
      </c>
      <c r="B7014" s="3" t="inlineStr">
        <is>
          <t>Week</t>
        </is>
      </c>
      <c r="C7014" s="19" t="n">
        <v>6</v>
      </c>
      <c r="D7014" s="19" t="n">
        <v>2027</v>
      </c>
      <c r="E7014" s="57" t="n">
        <v>7</v>
      </c>
      <c r="F7014" s="29">
        <f>ROUND(((SUMIFS(Calendar!$F$2:$F$9997,Calendar!$B$2:$B$9997,D7014,Calendar!$C$2:$C$9997,C7014)*INDEX(ForeCalc!$B$37:$Y$274,MATCH(_xlfn.CONCAT(H7014," ",I7014),ForeCalc!$A$37:$A$274,0),MATCH(_xlfn.CONCAT(B7014," ",E7014),ForeCalc!$B$36:$Y$36,0))))*VLOOKUP(A7014,Calendar!$A$2:$H$9997,8,FALSE),0)</f>
        <v/>
      </c>
      <c r="G7014" s="29">
        <f>VLOOKUP(A7014,Calendar!$A$1:$H$9997,6,FALSE)-F7014</f>
        <v/>
      </c>
      <c r="H7014" s="19" t="n">
        <v>2</v>
      </c>
      <c r="I7014" s="57" t="n">
        <v>3</v>
      </c>
    </row>
    <row r="7015">
      <c r="A7015" s="62" t="n">
        <v>46550</v>
      </c>
      <c r="B7015" s="3" t="inlineStr">
        <is>
          <t>Sat</t>
        </is>
      </c>
      <c r="C7015" s="19" t="n">
        <v>6</v>
      </c>
      <c r="D7015" s="19" t="n">
        <v>2027</v>
      </c>
      <c r="E7015" s="57" t="n">
        <v>7</v>
      </c>
      <c r="F7015" s="29">
        <f>ROUND(((SUMIFS(Calendar!$F$2:$F$9997,Calendar!$B$2:$B$9997,D7015,Calendar!$C$2:$C$9997,C7015)*INDEX(ForeCalc!$B$37:$Y$274,MATCH(_xlfn.CONCAT(H7015," ",I7015),ForeCalc!$A$37:$A$274,0),MATCH(_xlfn.CONCAT(B7015," ",E7015),ForeCalc!$B$36:$Y$36,0))))*VLOOKUP(A7015,Calendar!$A$2:$H$9997,8,FALSE),0)</f>
        <v/>
      </c>
      <c r="G7015" s="29">
        <f>VLOOKUP(A7015,Calendar!$A$1:$H$9997,6,FALSE)-F7015</f>
        <v/>
      </c>
      <c r="H7015" s="19" t="n">
        <v>2</v>
      </c>
      <c r="I7015" s="57" t="n">
        <v>3</v>
      </c>
    </row>
    <row r="7016">
      <c r="A7016" s="62" t="n">
        <v>46551</v>
      </c>
      <c r="B7016" s="3" t="inlineStr">
        <is>
          <t>Sun</t>
        </is>
      </c>
      <c r="C7016" s="19" t="n">
        <v>6</v>
      </c>
      <c r="D7016" s="19" t="n">
        <v>2027</v>
      </c>
      <c r="E7016" s="57" t="n">
        <v>7</v>
      </c>
      <c r="F7016" s="29">
        <f>ROUND(((SUMIFS(Calendar!$F$2:$F$9997,Calendar!$B$2:$B$9997,D7016,Calendar!$C$2:$C$9997,C7016)*INDEX(ForeCalc!$B$37:$Y$274,MATCH(_xlfn.CONCAT(H7016," ",I7016),ForeCalc!$A$37:$A$274,0),MATCH(_xlfn.CONCAT(B7016," ",E7016),ForeCalc!$B$36:$Y$36,0))))*VLOOKUP(A7016,Calendar!$A$2:$H$9997,8,FALSE),0)</f>
        <v/>
      </c>
      <c r="G7016" s="29">
        <f>VLOOKUP(A7016,Calendar!$A$1:$H$9997,6,FALSE)-F7016</f>
        <v/>
      </c>
      <c r="H7016" s="19" t="n">
        <v>2</v>
      </c>
      <c r="I7016" s="57" t="n">
        <v>3</v>
      </c>
    </row>
    <row r="7017">
      <c r="A7017" s="62" t="n">
        <v>46552</v>
      </c>
      <c r="B7017" s="3" t="inlineStr">
        <is>
          <t>Week</t>
        </is>
      </c>
      <c r="C7017" s="19" t="n">
        <v>6</v>
      </c>
      <c r="D7017" s="19" t="n">
        <v>2027</v>
      </c>
      <c r="E7017" s="57" t="n">
        <v>7</v>
      </c>
      <c r="F7017" s="29">
        <f>ROUND(((SUMIFS(Calendar!$F$2:$F$9997,Calendar!$B$2:$B$9997,D7017,Calendar!$C$2:$C$9997,C7017)*INDEX(ForeCalc!$B$37:$Y$274,MATCH(_xlfn.CONCAT(H7017," ",I7017),ForeCalc!$A$37:$A$274,0),MATCH(_xlfn.CONCAT(B7017," ",E7017),ForeCalc!$B$36:$Y$36,0))))*VLOOKUP(A7017,Calendar!$A$2:$H$9997,8,FALSE),0)</f>
        <v/>
      </c>
      <c r="G7017" s="29">
        <f>VLOOKUP(A7017,Calendar!$A$1:$H$9997,6,FALSE)-F7017</f>
        <v/>
      </c>
      <c r="H7017" s="19" t="n">
        <v>2</v>
      </c>
      <c r="I7017" s="57" t="n">
        <v>3</v>
      </c>
    </row>
    <row r="7018">
      <c r="A7018" s="62" t="n">
        <v>46553</v>
      </c>
      <c r="B7018" s="3" t="inlineStr">
        <is>
          <t>Week</t>
        </is>
      </c>
      <c r="C7018" s="19" t="n">
        <v>6</v>
      </c>
      <c r="D7018" s="19" t="n">
        <v>2027</v>
      </c>
      <c r="E7018" s="57" t="n">
        <v>7</v>
      </c>
      <c r="F7018" s="29">
        <f>ROUND(((SUMIFS(Calendar!$F$2:$F$9997,Calendar!$B$2:$B$9997,D7018,Calendar!$C$2:$C$9997,C7018)*INDEX(ForeCalc!$B$37:$Y$274,MATCH(_xlfn.CONCAT(H7018," ",I7018),ForeCalc!$A$37:$A$274,0),MATCH(_xlfn.CONCAT(B7018," ",E7018),ForeCalc!$B$36:$Y$36,0))))*VLOOKUP(A7018,Calendar!$A$2:$H$9997,8,FALSE),0)</f>
        <v/>
      </c>
      <c r="G7018" s="29">
        <f>VLOOKUP(A7018,Calendar!$A$1:$H$9997,6,FALSE)-F7018</f>
        <v/>
      </c>
      <c r="H7018" s="19" t="n">
        <v>2</v>
      </c>
      <c r="I7018" s="57" t="n">
        <v>3</v>
      </c>
    </row>
    <row r="7019">
      <c r="A7019" s="62" t="n">
        <v>46554</v>
      </c>
      <c r="B7019" s="3" t="inlineStr">
        <is>
          <t>Week</t>
        </is>
      </c>
      <c r="C7019" s="19" t="n">
        <v>6</v>
      </c>
      <c r="D7019" s="19" t="n">
        <v>2027</v>
      </c>
      <c r="E7019" s="57" t="n">
        <v>7</v>
      </c>
      <c r="F7019" s="29">
        <f>ROUND(((SUMIFS(Calendar!$F$2:$F$9997,Calendar!$B$2:$B$9997,D7019,Calendar!$C$2:$C$9997,C7019)*INDEX(ForeCalc!$B$37:$Y$274,MATCH(_xlfn.CONCAT(H7019," ",I7019),ForeCalc!$A$37:$A$274,0),MATCH(_xlfn.CONCAT(B7019," ",E7019),ForeCalc!$B$36:$Y$36,0))))*VLOOKUP(A7019,Calendar!$A$2:$H$9997,8,FALSE),0)</f>
        <v/>
      </c>
      <c r="G7019" s="29">
        <f>VLOOKUP(A7019,Calendar!$A$1:$H$9997,6,FALSE)-F7019</f>
        <v/>
      </c>
      <c r="H7019" s="19" t="n">
        <v>2</v>
      </c>
      <c r="I7019" s="57" t="n">
        <v>3</v>
      </c>
    </row>
    <row r="7020">
      <c r="A7020" s="62" t="n">
        <v>46555</v>
      </c>
      <c r="B7020" s="3" t="inlineStr">
        <is>
          <t>Week</t>
        </is>
      </c>
      <c r="C7020" s="19" t="n">
        <v>6</v>
      </c>
      <c r="D7020" s="19" t="n">
        <v>2027</v>
      </c>
      <c r="E7020" s="57" t="n">
        <v>7</v>
      </c>
      <c r="F7020" s="29">
        <f>ROUND(((SUMIFS(Calendar!$F$2:$F$9997,Calendar!$B$2:$B$9997,D7020,Calendar!$C$2:$C$9997,C7020)*INDEX(ForeCalc!$B$37:$Y$274,MATCH(_xlfn.CONCAT(H7020," ",I7020),ForeCalc!$A$37:$A$274,0),MATCH(_xlfn.CONCAT(B7020," ",E7020),ForeCalc!$B$36:$Y$36,0))))*VLOOKUP(A7020,Calendar!$A$2:$H$9997,8,FALSE),0)</f>
        <v/>
      </c>
      <c r="G7020" s="29">
        <f>VLOOKUP(A7020,Calendar!$A$1:$H$9997,6,FALSE)-F7020</f>
        <v/>
      </c>
      <c r="H7020" s="19" t="n">
        <v>2</v>
      </c>
      <c r="I7020" s="57" t="n">
        <v>3</v>
      </c>
    </row>
    <row r="7021">
      <c r="A7021" s="62" t="n">
        <v>46556</v>
      </c>
      <c r="B7021" s="3" t="inlineStr">
        <is>
          <t>Week</t>
        </is>
      </c>
      <c r="C7021" s="19" t="n">
        <v>6</v>
      </c>
      <c r="D7021" s="19" t="n">
        <v>2027</v>
      </c>
      <c r="E7021" s="57" t="n">
        <v>7</v>
      </c>
      <c r="F7021" s="29">
        <f>ROUND(((SUMIFS(Calendar!$F$2:$F$9997,Calendar!$B$2:$B$9997,D7021,Calendar!$C$2:$C$9997,C7021)*INDEX(ForeCalc!$B$37:$Y$274,MATCH(_xlfn.CONCAT(H7021," ",I7021),ForeCalc!$A$37:$A$274,0),MATCH(_xlfn.CONCAT(B7021," ",E7021),ForeCalc!$B$36:$Y$36,0))))*VLOOKUP(A7021,Calendar!$A$2:$H$9997,8,FALSE),0)</f>
        <v/>
      </c>
      <c r="G7021" s="29">
        <f>VLOOKUP(A7021,Calendar!$A$1:$H$9997,6,FALSE)-F7021</f>
        <v/>
      </c>
      <c r="H7021" s="19" t="n">
        <v>2</v>
      </c>
      <c r="I7021" s="57" t="n">
        <v>3</v>
      </c>
    </row>
    <row r="7022">
      <c r="A7022" s="62" t="n">
        <v>46557</v>
      </c>
      <c r="B7022" s="3" t="inlineStr">
        <is>
          <t>Sat</t>
        </is>
      </c>
      <c r="C7022" s="19" t="n">
        <v>6</v>
      </c>
      <c r="D7022" s="19" t="n">
        <v>2027</v>
      </c>
      <c r="E7022" s="57" t="n">
        <v>7</v>
      </c>
      <c r="F7022" s="29">
        <f>ROUND(((SUMIFS(Calendar!$F$2:$F$9997,Calendar!$B$2:$B$9997,D7022,Calendar!$C$2:$C$9997,C7022)*INDEX(ForeCalc!$B$37:$Y$274,MATCH(_xlfn.CONCAT(H7022," ",I7022),ForeCalc!$A$37:$A$274,0),MATCH(_xlfn.CONCAT(B7022," ",E7022),ForeCalc!$B$36:$Y$36,0))))*VLOOKUP(A7022,Calendar!$A$2:$H$9997,8,FALSE),0)</f>
        <v/>
      </c>
      <c r="G7022" s="29">
        <f>VLOOKUP(A7022,Calendar!$A$1:$H$9997,6,FALSE)-F7022</f>
        <v/>
      </c>
      <c r="H7022" s="19" t="n">
        <v>2</v>
      </c>
      <c r="I7022" s="57" t="n">
        <v>3</v>
      </c>
    </row>
    <row r="7023">
      <c r="A7023" s="62" t="n">
        <v>46558</v>
      </c>
      <c r="B7023" s="3" t="inlineStr">
        <is>
          <t>Sun</t>
        </is>
      </c>
      <c r="C7023" s="19" t="n">
        <v>6</v>
      </c>
      <c r="D7023" s="19" t="n">
        <v>2027</v>
      </c>
      <c r="E7023" s="57" t="n">
        <v>7</v>
      </c>
      <c r="F7023" s="29">
        <f>ROUND(((SUMIFS(Calendar!$F$2:$F$9997,Calendar!$B$2:$B$9997,D7023,Calendar!$C$2:$C$9997,C7023)*INDEX(ForeCalc!$B$37:$Y$274,MATCH(_xlfn.CONCAT(H7023," ",I7023),ForeCalc!$A$37:$A$274,0),MATCH(_xlfn.CONCAT(B7023," ",E7023),ForeCalc!$B$36:$Y$36,0))))*VLOOKUP(A7023,Calendar!$A$2:$H$9997,8,FALSE),0)</f>
        <v/>
      </c>
      <c r="G7023" s="29">
        <f>VLOOKUP(A7023,Calendar!$A$1:$H$9997,6,FALSE)-F7023</f>
        <v/>
      </c>
      <c r="H7023" s="19" t="n">
        <v>2</v>
      </c>
      <c r="I7023" s="57" t="n">
        <v>3</v>
      </c>
    </row>
    <row r="7024">
      <c r="A7024" s="62" t="n">
        <v>46559</v>
      </c>
      <c r="B7024" s="3" t="inlineStr">
        <is>
          <t>Week</t>
        </is>
      </c>
      <c r="C7024" s="19" t="n">
        <v>6</v>
      </c>
      <c r="D7024" s="19" t="n">
        <v>2027</v>
      </c>
      <c r="E7024" s="57" t="n">
        <v>7</v>
      </c>
      <c r="F7024" s="29">
        <f>ROUND(((SUMIFS(Calendar!$F$2:$F$9997,Calendar!$B$2:$B$9997,D7024,Calendar!$C$2:$C$9997,C7024)*INDEX(ForeCalc!$B$37:$Y$274,MATCH(_xlfn.CONCAT(H7024," ",I7024),ForeCalc!$A$37:$A$274,0),MATCH(_xlfn.CONCAT(B7024," ",E7024),ForeCalc!$B$36:$Y$36,0))))*VLOOKUP(A7024,Calendar!$A$2:$H$9997,8,FALSE),0)</f>
        <v/>
      </c>
      <c r="G7024" s="29">
        <f>VLOOKUP(A7024,Calendar!$A$1:$H$9997,6,FALSE)-F7024</f>
        <v/>
      </c>
      <c r="H7024" s="19" t="n">
        <v>2</v>
      </c>
      <c r="I7024" s="57" t="n">
        <v>3</v>
      </c>
    </row>
    <row r="7025">
      <c r="A7025" s="62" t="n">
        <v>46560</v>
      </c>
      <c r="B7025" s="3" t="inlineStr">
        <is>
          <t>Week</t>
        </is>
      </c>
      <c r="C7025" s="19" t="n">
        <v>6</v>
      </c>
      <c r="D7025" s="19" t="n">
        <v>2027</v>
      </c>
      <c r="E7025" s="57" t="n">
        <v>7</v>
      </c>
      <c r="F7025" s="29">
        <f>ROUND(((SUMIFS(Calendar!$F$2:$F$9997,Calendar!$B$2:$B$9997,D7025,Calendar!$C$2:$C$9997,C7025)*INDEX(ForeCalc!$B$37:$Y$274,MATCH(_xlfn.CONCAT(H7025," ",I7025),ForeCalc!$A$37:$A$274,0),MATCH(_xlfn.CONCAT(B7025," ",E7025),ForeCalc!$B$36:$Y$36,0))))*VLOOKUP(A7025,Calendar!$A$2:$H$9997,8,FALSE),0)</f>
        <v/>
      </c>
      <c r="G7025" s="29">
        <f>VLOOKUP(A7025,Calendar!$A$1:$H$9997,6,FALSE)-F7025</f>
        <v/>
      </c>
      <c r="H7025" s="19" t="n">
        <v>2</v>
      </c>
      <c r="I7025" s="57" t="n">
        <v>3</v>
      </c>
    </row>
    <row r="7026">
      <c r="A7026" s="62" t="n">
        <v>46561</v>
      </c>
      <c r="B7026" s="3" t="inlineStr">
        <is>
          <t>Week</t>
        </is>
      </c>
      <c r="C7026" s="19" t="n">
        <v>6</v>
      </c>
      <c r="D7026" s="19" t="n">
        <v>2027</v>
      </c>
      <c r="E7026" s="57" t="n">
        <v>7</v>
      </c>
      <c r="F7026" s="29">
        <f>ROUND(((SUMIFS(Calendar!$F$2:$F$9997,Calendar!$B$2:$B$9997,D7026,Calendar!$C$2:$C$9997,C7026)*INDEX(ForeCalc!$B$37:$Y$274,MATCH(_xlfn.CONCAT(H7026," ",I7026),ForeCalc!$A$37:$A$274,0),MATCH(_xlfn.CONCAT(B7026," ",E7026),ForeCalc!$B$36:$Y$36,0))))*VLOOKUP(A7026,Calendar!$A$2:$H$9997,8,FALSE),0)</f>
        <v/>
      </c>
      <c r="G7026" s="29">
        <f>VLOOKUP(A7026,Calendar!$A$1:$H$9997,6,FALSE)-F7026</f>
        <v/>
      </c>
      <c r="H7026" s="19" t="n">
        <v>2</v>
      </c>
      <c r="I7026" s="57" t="n">
        <v>3</v>
      </c>
    </row>
    <row r="7027">
      <c r="A7027" s="62" t="n">
        <v>46562</v>
      </c>
      <c r="B7027" s="3" t="inlineStr">
        <is>
          <t>Week</t>
        </is>
      </c>
      <c r="C7027" s="19" t="n">
        <v>6</v>
      </c>
      <c r="D7027" s="19" t="n">
        <v>2027</v>
      </c>
      <c r="E7027" s="57" t="n">
        <v>7</v>
      </c>
      <c r="F7027" s="29">
        <f>ROUND(((SUMIFS(Calendar!$F$2:$F$9997,Calendar!$B$2:$B$9997,D7027,Calendar!$C$2:$C$9997,C7027)*INDEX(ForeCalc!$B$37:$Y$274,MATCH(_xlfn.CONCAT(H7027," ",I7027),ForeCalc!$A$37:$A$274,0),MATCH(_xlfn.CONCAT(B7027," ",E7027),ForeCalc!$B$36:$Y$36,0))))*VLOOKUP(A7027,Calendar!$A$2:$H$9997,8,FALSE),0)</f>
        <v/>
      </c>
      <c r="G7027" s="29">
        <f>VLOOKUP(A7027,Calendar!$A$1:$H$9997,6,FALSE)-F7027</f>
        <v/>
      </c>
      <c r="H7027" s="19" t="n">
        <v>2</v>
      </c>
      <c r="I7027" s="57" t="n">
        <v>3</v>
      </c>
    </row>
    <row r="7028">
      <c r="A7028" s="62" t="n">
        <v>46563</v>
      </c>
      <c r="B7028" s="3" t="inlineStr">
        <is>
          <t>Week</t>
        </is>
      </c>
      <c r="C7028" s="19" t="n">
        <v>6</v>
      </c>
      <c r="D7028" s="19" t="n">
        <v>2027</v>
      </c>
      <c r="E7028" s="57" t="n">
        <v>7</v>
      </c>
      <c r="F7028" s="29">
        <f>ROUND(((SUMIFS(Calendar!$F$2:$F$9997,Calendar!$B$2:$B$9997,D7028,Calendar!$C$2:$C$9997,C7028)*INDEX(ForeCalc!$B$37:$Y$274,MATCH(_xlfn.CONCAT(H7028," ",I7028),ForeCalc!$A$37:$A$274,0),MATCH(_xlfn.CONCAT(B7028," ",E7028),ForeCalc!$B$36:$Y$36,0))))*VLOOKUP(A7028,Calendar!$A$2:$H$9997,8,FALSE),0)</f>
        <v/>
      </c>
      <c r="G7028" s="29">
        <f>VLOOKUP(A7028,Calendar!$A$1:$H$9997,6,FALSE)-F7028</f>
        <v/>
      </c>
      <c r="H7028" s="19" t="n">
        <v>2</v>
      </c>
      <c r="I7028" s="57" t="n">
        <v>3</v>
      </c>
    </row>
    <row r="7029">
      <c r="A7029" s="62" t="n">
        <v>46564</v>
      </c>
      <c r="B7029" s="3" t="inlineStr">
        <is>
          <t>Sat</t>
        </is>
      </c>
      <c r="C7029" s="19" t="n">
        <v>6</v>
      </c>
      <c r="D7029" s="19" t="n">
        <v>2027</v>
      </c>
      <c r="E7029" s="57" t="n">
        <v>7</v>
      </c>
      <c r="F7029" s="29">
        <f>ROUND(((SUMIFS(Calendar!$F$2:$F$9997,Calendar!$B$2:$B$9997,D7029,Calendar!$C$2:$C$9997,C7029)*INDEX(ForeCalc!$B$37:$Y$274,MATCH(_xlfn.CONCAT(H7029," ",I7029),ForeCalc!$A$37:$A$274,0),MATCH(_xlfn.CONCAT(B7029," ",E7029),ForeCalc!$B$36:$Y$36,0))))*VLOOKUP(A7029,Calendar!$A$2:$H$9997,8,FALSE),0)</f>
        <v/>
      </c>
      <c r="G7029" s="29">
        <f>VLOOKUP(A7029,Calendar!$A$1:$H$9997,6,FALSE)-F7029</f>
        <v/>
      </c>
      <c r="H7029" s="19" t="n">
        <v>2</v>
      </c>
      <c r="I7029" s="57" t="n">
        <v>3</v>
      </c>
    </row>
    <row r="7030">
      <c r="A7030" s="62" t="n">
        <v>46565</v>
      </c>
      <c r="B7030" s="3" t="inlineStr">
        <is>
          <t>Sun</t>
        </is>
      </c>
      <c r="C7030" s="19" t="n">
        <v>6</v>
      </c>
      <c r="D7030" s="19" t="n">
        <v>2027</v>
      </c>
      <c r="E7030" s="57" t="n">
        <v>7</v>
      </c>
      <c r="F7030" s="29">
        <f>ROUND(((SUMIFS(Calendar!$F$2:$F$9997,Calendar!$B$2:$B$9997,D7030,Calendar!$C$2:$C$9997,C7030)*INDEX(ForeCalc!$B$37:$Y$274,MATCH(_xlfn.CONCAT(H7030," ",I7030),ForeCalc!$A$37:$A$274,0),MATCH(_xlfn.CONCAT(B7030," ",E7030),ForeCalc!$B$36:$Y$36,0))))*VLOOKUP(A7030,Calendar!$A$2:$H$9997,8,FALSE),0)</f>
        <v/>
      </c>
      <c r="G7030" s="29">
        <f>VLOOKUP(A7030,Calendar!$A$1:$H$9997,6,FALSE)-F7030</f>
        <v/>
      </c>
      <c r="H7030" s="19" t="n">
        <v>2</v>
      </c>
      <c r="I7030" s="57" t="n">
        <v>3</v>
      </c>
    </row>
    <row r="7031">
      <c r="A7031" s="62" t="n">
        <v>46566</v>
      </c>
      <c r="B7031" s="3" t="inlineStr">
        <is>
          <t>Week</t>
        </is>
      </c>
      <c r="C7031" s="19" t="n">
        <v>6</v>
      </c>
      <c r="D7031" s="19" t="n">
        <v>2027</v>
      </c>
      <c r="E7031" s="57" t="n">
        <v>7</v>
      </c>
      <c r="F7031" s="29">
        <f>ROUND(((SUMIFS(Calendar!$F$2:$F$9997,Calendar!$B$2:$B$9997,D7031,Calendar!$C$2:$C$9997,C7031)*INDEX(ForeCalc!$B$37:$Y$274,MATCH(_xlfn.CONCAT(H7031," ",I7031),ForeCalc!$A$37:$A$274,0),MATCH(_xlfn.CONCAT(B7031," ",E7031),ForeCalc!$B$36:$Y$36,0))))*VLOOKUP(A7031,Calendar!$A$2:$H$9997,8,FALSE),0)</f>
        <v/>
      </c>
      <c r="G7031" s="29">
        <f>VLOOKUP(A7031,Calendar!$A$1:$H$9997,6,FALSE)-F7031</f>
        <v/>
      </c>
      <c r="H7031" s="19" t="n">
        <v>2</v>
      </c>
      <c r="I7031" s="57" t="n">
        <v>3</v>
      </c>
    </row>
    <row r="7032">
      <c r="A7032" s="62" t="n">
        <v>46567</v>
      </c>
      <c r="B7032" s="3" t="inlineStr">
        <is>
          <t>Week</t>
        </is>
      </c>
      <c r="C7032" s="19" t="n">
        <v>6</v>
      </c>
      <c r="D7032" s="19" t="n">
        <v>2027</v>
      </c>
      <c r="E7032" s="57" t="n">
        <v>7</v>
      </c>
      <c r="F7032" s="29">
        <f>ROUND(((SUMIFS(Calendar!$F$2:$F$9997,Calendar!$B$2:$B$9997,D7032,Calendar!$C$2:$C$9997,C7032)*INDEX(ForeCalc!$B$37:$Y$274,MATCH(_xlfn.CONCAT(H7032," ",I7032),ForeCalc!$A$37:$A$274,0),MATCH(_xlfn.CONCAT(B7032," ",E7032),ForeCalc!$B$36:$Y$36,0))))*VLOOKUP(A7032,Calendar!$A$2:$H$9997,8,FALSE),0)</f>
        <v/>
      </c>
      <c r="G7032" s="29">
        <f>VLOOKUP(A7032,Calendar!$A$1:$H$9997,6,FALSE)-F7032</f>
        <v/>
      </c>
      <c r="H7032" s="19" t="n">
        <v>2</v>
      </c>
      <c r="I7032" s="57" t="n">
        <v>3</v>
      </c>
    </row>
    <row r="7033">
      <c r="A7033" s="62" t="n">
        <v>46568</v>
      </c>
      <c r="B7033" s="3" t="inlineStr">
        <is>
          <t>Week</t>
        </is>
      </c>
      <c r="C7033" s="19" t="n">
        <v>6</v>
      </c>
      <c r="D7033" s="19" t="n">
        <v>2027</v>
      </c>
      <c r="E7033" s="57" t="n">
        <v>7</v>
      </c>
      <c r="F7033" s="29">
        <f>ROUND(((SUMIFS(Calendar!$F$2:$F$9997,Calendar!$B$2:$B$9997,D7033,Calendar!$C$2:$C$9997,C7033)*INDEX(ForeCalc!$B$37:$Y$274,MATCH(_xlfn.CONCAT(H7033," ",I7033),ForeCalc!$A$37:$A$274,0),MATCH(_xlfn.CONCAT(B7033," ",E7033),ForeCalc!$B$36:$Y$36,0))))*VLOOKUP(A7033,Calendar!$A$2:$H$9997,8,FALSE),0)</f>
        <v/>
      </c>
      <c r="G7033" s="29">
        <f>VLOOKUP(A7033,Calendar!$A$1:$H$9997,6,FALSE)-F7033</f>
        <v/>
      </c>
      <c r="H7033" s="19" t="n">
        <v>2</v>
      </c>
      <c r="I7033" s="57" t="n">
        <v>3</v>
      </c>
    </row>
    <row r="7034">
      <c r="A7034" s="62" t="n">
        <v>46569</v>
      </c>
      <c r="B7034" s="3" t="inlineStr">
        <is>
          <t>Week</t>
        </is>
      </c>
      <c r="C7034" s="19" t="n">
        <v>7</v>
      </c>
      <c r="D7034" s="19" t="n">
        <v>2027</v>
      </c>
      <c r="E7034" s="57" t="n">
        <v>7</v>
      </c>
      <c r="F7034" s="29">
        <f>ROUND(((SUMIFS(Calendar!$F$2:$F$9997,Calendar!$B$2:$B$9997,D7034,Calendar!$C$2:$C$9997,C7034)*INDEX(ForeCalc!$B$37:$Y$274,MATCH(_xlfn.CONCAT(H7034," ",I7034),ForeCalc!$A$37:$A$274,0),MATCH(_xlfn.CONCAT(B7034," ",E7034),ForeCalc!$B$36:$Y$36,0))))*VLOOKUP(A7034,Calendar!$A$2:$H$9997,8,FALSE),0)</f>
        <v/>
      </c>
      <c r="G7034" s="29">
        <f>VLOOKUP(A7034,Calendar!$A$1:$H$9997,6,FALSE)-F7034</f>
        <v/>
      </c>
      <c r="H7034" s="19" t="n">
        <v>2</v>
      </c>
      <c r="I7034" s="57" t="n">
        <v>4</v>
      </c>
    </row>
    <row r="7035">
      <c r="A7035" s="62" t="n">
        <v>46570</v>
      </c>
      <c r="B7035" s="3" t="inlineStr">
        <is>
          <t>Week</t>
        </is>
      </c>
      <c r="C7035" s="19" t="n">
        <v>7</v>
      </c>
      <c r="D7035" s="19" t="n">
        <v>2027</v>
      </c>
      <c r="E7035" s="57" t="n">
        <v>7</v>
      </c>
      <c r="F7035" s="29">
        <f>ROUND(((SUMIFS(Calendar!$F$2:$F$9997,Calendar!$B$2:$B$9997,D7035,Calendar!$C$2:$C$9997,C7035)*INDEX(ForeCalc!$B$37:$Y$274,MATCH(_xlfn.CONCAT(H7035," ",I7035),ForeCalc!$A$37:$A$274,0),MATCH(_xlfn.CONCAT(B7035," ",E7035),ForeCalc!$B$36:$Y$36,0))))*VLOOKUP(A7035,Calendar!$A$2:$H$9997,8,FALSE),0)</f>
        <v/>
      </c>
      <c r="G7035" s="29">
        <f>VLOOKUP(A7035,Calendar!$A$1:$H$9997,6,FALSE)-F7035</f>
        <v/>
      </c>
      <c r="H7035" s="19" t="n">
        <v>2</v>
      </c>
      <c r="I7035" s="57" t="n">
        <v>4</v>
      </c>
    </row>
    <row r="7036">
      <c r="A7036" s="62" t="n">
        <v>46571</v>
      </c>
      <c r="B7036" s="3" t="inlineStr">
        <is>
          <t>Sat</t>
        </is>
      </c>
      <c r="C7036" s="19" t="n">
        <v>7</v>
      </c>
      <c r="D7036" s="19" t="n">
        <v>2027</v>
      </c>
      <c r="E7036" s="57" t="n">
        <v>7</v>
      </c>
      <c r="F7036" s="29">
        <f>ROUND(((SUMIFS(Calendar!$F$2:$F$9997,Calendar!$B$2:$B$9997,D7036,Calendar!$C$2:$C$9997,C7036)*INDEX(ForeCalc!$B$37:$Y$274,MATCH(_xlfn.CONCAT(H7036," ",I7036),ForeCalc!$A$37:$A$274,0),MATCH(_xlfn.CONCAT(B7036," ",E7036),ForeCalc!$B$36:$Y$36,0))))*VLOOKUP(A7036,Calendar!$A$2:$H$9997,8,FALSE),0)</f>
        <v/>
      </c>
      <c r="G7036" s="29">
        <f>VLOOKUP(A7036,Calendar!$A$1:$H$9997,6,FALSE)-F7036</f>
        <v/>
      </c>
      <c r="H7036" s="19" t="n">
        <v>2</v>
      </c>
      <c r="I7036" s="57" t="n">
        <v>4</v>
      </c>
    </row>
    <row r="7037">
      <c r="A7037" s="62" t="n">
        <v>46572</v>
      </c>
      <c r="B7037" s="3" t="inlineStr">
        <is>
          <t>Sun</t>
        </is>
      </c>
      <c r="C7037" s="19" t="n">
        <v>7</v>
      </c>
      <c r="D7037" s="19" t="n">
        <v>2027</v>
      </c>
      <c r="E7037" s="57" t="n">
        <v>7</v>
      </c>
      <c r="F7037" s="29">
        <f>ROUND(((SUMIFS(Calendar!$F$2:$F$9997,Calendar!$B$2:$B$9997,D7037,Calendar!$C$2:$C$9997,C7037)*INDEX(ForeCalc!$B$37:$Y$274,MATCH(_xlfn.CONCAT(H7037," ",I7037),ForeCalc!$A$37:$A$274,0),MATCH(_xlfn.CONCAT(B7037," ",E7037),ForeCalc!$B$36:$Y$36,0))))*VLOOKUP(A7037,Calendar!$A$2:$H$9997,8,FALSE),0)</f>
        <v/>
      </c>
      <c r="G7037" s="29">
        <f>VLOOKUP(A7037,Calendar!$A$1:$H$9997,6,FALSE)-F7037</f>
        <v/>
      </c>
      <c r="H7037" s="19" t="n">
        <v>2</v>
      </c>
      <c r="I7037" s="57" t="n">
        <v>4</v>
      </c>
    </row>
    <row r="7038">
      <c r="A7038" s="62" t="n">
        <v>46573</v>
      </c>
      <c r="B7038" s="3" t="inlineStr">
        <is>
          <t>Week</t>
        </is>
      </c>
      <c r="C7038" s="19" t="n">
        <v>7</v>
      </c>
      <c r="D7038" s="19" t="n">
        <v>2027</v>
      </c>
      <c r="E7038" s="57" t="n">
        <v>7</v>
      </c>
      <c r="F7038" s="29">
        <f>ROUND(((SUMIFS(Calendar!$F$2:$F$9997,Calendar!$B$2:$B$9997,D7038,Calendar!$C$2:$C$9997,C7038)*INDEX(ForeCalc!$B$37:$Y$274,MATCH(_xlfn.CONCAT(H7038," ",I7038),ForeCalc!$A$37:$A$274,0),MATCH(_xlfn.CONCAT(B7038," ",E7038),ForeCalc!$B$36:$Y$36,0))))*VLOOKUP(A7038,Calendar!$A$2:$H$9997,8,FALSE),0)</f>
        <v/>
      </c>
      <c r="G7038" s="29">
        <f>VLOOKUP(A7038,Calendar!$A$1:$H$9997,6,FALSE)-F7038</f>
        <v/>
      </c>
      <c r="H7038" s="19" t="n">
        <v>2</v>
      </c>
      <c r="I7038" s="57" t="n">
        <v>4</v>
      </c>
    </row>
    <row r="7039">
      <c r="A7039" s="62" t="n">
        <v>46574</v>
      </c>
      <c r="B7039" s="3" t="inlineStr">
        <is>
          <t>Week</t>
        </is>
      </c>
      <c r="C7039" s="19" t="n">
        <v>7</v>
      </c>
      <c r="D7039" s="19" t="n">
        <v>2027</v>
      </c>
      <c r="E7039" s="57" t="n">
        <v>7</v>
      </c>
      <c r="F7039" s="29">
        <f>ROUND(((SUMIFS(Calendar!$F$2:$F$9997,Calendar!$B$2:$B$9997,D7039,Calendar!$C$2:$C$9997,C7039)*INDEX(ForeCalc!$B$37:$Y$274,MATCH(_xlfn.CONCAT(H7039," ",I7039),ForeCalc!$A$37:$A$274,0),MATCH(_xlfn.CONCAT(B7039," ",E7039),ForeCalc!$B$36:$Y$36,0))))*VLOOKUP(A7039,Calendar!$A$2:$H$9997,8,FALSE),0)</f>
        <v/>
      </c>
      <c r="G7039" s="29">
        <f>VLOOKUP(A7039,Calendar!$A$1:$H$9997,6,FALSE)-F7039</f>
        <v/>
      </c>
      <c r="H7039" s="19" t="n">
        <v>2</v>
      </c>
      <c r="I7039" s="57" t="n">
        <v>4</v>
      </c>
    </row>
    <row r="7040">
      <c r="A7040" s="62" t="n">
        <v>46575</v>
      </c>
      <c r="B7040" s="3" t="inlineStr">
        <is>
          <t>Week</t>
        </is>
      </c>
      <c r="C7040" s="19" t="n">
        <v>7</v>
      </c>
      <c r="D7040" s="19" t="n">
        <v>2027</v>
      </c>
      <c r="E7040" s="57" t="n">
        <v>7</v>
      </c>
      <c r="F7040" s="29">
        <f>ROUND(((SUMIFS(Calendar!$F$2:$F$9997,Calendar!$B$2:$B$9997,D7040,Calendar!$C$2:$C$9997,C7040)*INDEX(ForeCalc!$B$37:$Y$274,MATCH(_xlfn.CONCAT(H7040," ",I7040),ForeCalc!$A$37:$A$274,0),MATCH(_xlfn.CONCAT(B7040," ",E7040),ForeCalc!$B$36:$Y$36,0))))*VLOOKUP(A7040,Calendar!$A$2:$H$9997,8,FALSE),0)</f>
        <v/>
      </c>
      <c r="G7040" s="29">
        <f>VLOOKUP(A7040,Calendar!$A$1:$H$9997,6,FALSE)-F7040</f>
        <v/>
      </c>
      <c r="H7040" s="19" t="n">
        <v>2</v>
      </c>
      <c r="I7040" s="57" t="n">
        <v>4</v>
      </c>
    </row>
    <row r="7041">
      <c r="A7041" s="62" t="n">
        <v>46576</v>
      </c>
      <c r="B7041" s="3" t="inlineStr">
        <is>
          <t>Week</t>
        </is>
      </c>
      <c r="C7041" s="19" t="n">
        <v>7</v>
      </c>
      <c r="D7041" s="19" t="n">
        <v>2027</v>
      </c>
      <c r="E7041" s="57" t="n">
        <v>7</v>
      </c>
      <c r="F7041" s="29">
        <f>ROUND(((SUMIFS(Calendar!$F$2:$F$9997,Calendar!$B$2:$B$9997,D7041,Calendar!$C$2:$C$9997,C7041)*INDEX(ForeCalc!$B$37:$Y$274,MATCH(_xlfn.CONCAT(H7041," ",I7041),ForeCalc!$A$37:$A$274,0),MATCH(_xlfn.CONCAT(B7041," ",E7041),ForeCalc!$B$36:$Y$36,0))))*VLOOKUP(A7041,Calendar!$A$2:$H$9997,8,FALSE),0)</f>
        <v/>
      </c>
      <c r="G7041" s="29">
        <f>VLOOKUP(A7041,Calendar!$A$1:$H$9997,6,FALSE)-F7041</f>
        <v/>
      </c>
      <c r="H7041" s="19" t="n">
        <v>2</v>
      </c>
      <c r="I7041" s="57" t="n">
        <v>4</v>
      </c>
    </row>
    <row r="7042">
      <c r="A7042" s="62" t="n">
        <v>46577</v>
      </c>
      <c r="B7042" s="3" t="inlineStr">
        <is>
          <t>Week</t>
        </is>
      </c>
      <c r="C7042" s="19" t="n">
        <v>7</v>
      </c>
      <c r="D7042" s="19" t="n">
        <v>2027</v>
      </c>
      <c r="E7042" s="57" t="n">
        <v>7</v>
      </c>
      <c r="F7042" s="29">
        <f>ROUND(((SUMIFS(Calendar!$F$2:$F$9997,Calendar!$B$2:$B$9997,D7042,Calendar!$C$2:$C$9997,C7042)*INDEX(ForeCalc!$B$37:$Y$274,MATCH(_xlfn.CONCAT(H7042," ",I7042),ForeCalc!$A$37:$A$274,0),MATCH(_xlfn.CONCAT(B7042," ",E7042),ForeCalc!$B$36:$Y$36,0))))*VLOOKUP(A7042,Calendar!$A$2:$H$9997,8,FALSE),0)</f>
        <v/>
      </c>
      <c r="G7042" s="29">
        <f>VLOOKUP(A7042,Calendar!$A$1:$H$9997,6,FALSE)-F7042</f>
        <v/>
      </c>
      <c r="H7042" s="19" t="n">
        <v>2</v>
      </c>
      <c r="I7042" s="57" t="n">
        <v>4</v>
      </c>
    </row>
    <row r="7043">
      <c r="A7043" s="62" t="n">
        <v>46578</v>
      </c>
      <c r="B7043" s="3" t="inlineStr">
        <is>
          <t>Sat</t>
        </is>
      </c>
      <c r="C7043" s="19" t="n">
        <v>7</v>
      </c>
      <c r="D7043" s="19" t="n">
        <v>2027</v>
      </c>
      <c r="E7043" s="57" t="n">
        <v>7</v>
      </c>
      <c r="F7043" s="29">
        <f>ROUND(((SUMIFS(Calendar!$F$2:$F$9997,Calendar!$B$2:$B$9997,D7043,Calendar!$C$2:$C$9997,C7043)*INDEX(ForeCalc!$B$37:$Y$274,MATCH(_xlfn.CONCAT(H7043," ",I7043),ForeCalc!$A$37:$A$274,0),MATCH(_xlfn.CONCAT(B7043," ",E7043),ForeCalc!$B$36:$Y$36,0))))*VLOOKUP(A7043,Calendar!$A$2:$H$9997,8,FALSE),0)</f>
        <v/>
      </c>
      <c r="G7043" s="29">
        <f>VLOOKUP(A7043,Calendar!$A$1:$H$9997,6,FALSE)-F7043</f>
        <v/>
      </c>
      <c r="H7043" s="19" t="n">
        <v>2</v>
      </c>
      <c r="I7043" s="57" t="n">
        <v>4</v>
      </c>
    </row>
    <row r="7044">
      <c r="A7044" s="62" t="n">
        <v>46579</v>
      </c>
      <c r="B7044" s="3" t="inlineStr">
        <is>
          <t>Sun</t>
        </is>
      </c>
      <c r="C7044" s="19" t="n">
        <v>7</v>
      </c>
      <c r="D7044" s="19" t="n">
        <v>2027</v>
      </c>
      <c r="E7044" s="57" t="n">
        <v>7</v>
      </c>
      <c r="F7044" s="29">
        <f>ROUND(((SUMIFS(Calendar!$F$2:$F$9997,Calendar!$B$2:$B$9997,D7044,Calendar!$C$2:$C$9997,C7044)*INDEX(ForeCalc!$B$37:$Y$274,MATCH(_xlfn.CONCAT(H7044," ",I7044),ForeCalc!$A$37:$A$274,0),MATCH(_xlfn.CONCAT(B7044," ",E7044),ForeCalc!$B$36:$Y$36,0))))*VLOOKUP(A7044,Calendar!$A$2:$H$9997,8,FALSE),0)</f>
        <v/>
      </c>
      <c r="G7044" s="29">
        <f>VLOOKUP(A7044,Calendar!$A$1:$H$9997,6,FALSE)-F7044</f>
        <v/>
      </c>
      <c r="H7044" s="19" t="n">
        <v>2</v>
      </c>
      <c r="I7044" s="57" t="n">
        <v>4</v>
      </c>
    </row>
    <row r="7045">
      <c r="A7045" s="62" t="n">
        <v>46580</v>
      </c>
      <c r="B7045" s="3" t="inlineStr">
        <is>
          <t>Week</t>
        </is>
      </c>
      <c r="C7045" s="19" t="n">
        <v>7</v>
      </c>
      <c r="D7045" s="19" t="n">
        <v>2027</v>
      </c>
      <c r="E7045" s="57" t="n">
        <v>7</v>
      </c>
      <c r="F7045" s="29">
        <f>ROUND(((SUMIFS(Calendar!$F$2:$F$9997,Calendar!$B$2:$B$9997,D7045,Calendar!$C$2:$C$9997,C7045)*INDEX(ForeCalc!$B$37:$Y$274,MATCH(_xlfn.CONCAT(H7045," ",I7045),ForeCalc!$A$37:$A$274,0),MATCH(_xlfn.CONCAT(B7045," ",E7045),ForeCalc!$B$36:$Y$36,0))))*VLOOKUP(A7045,Calendar!$A$2:$H$9997,8,FALSE),0)</f>
        <v/>
      </c>
      <c r="G7045" s="29">
        <f>VLOOKUP(A7045,Calendar!$A$1:$H$9997,6,FALSE)-F7045</f>
        <v/>
      </c>
      <c r="H7045" s="19" t="n">
        <v>2</v>
      </c>
      <c r="I7045" s="57" t="n">
        <v>4</v>
      </c>
    </row>
    <row r="7046">
      <c r="A7046" s="62" t="n">
        <v>46581</v>
      </c>
      <c r="B7046" s="3" t="inlineStr">
        <is>
          <t>Week</t>
        </is>
      </c>
      <c r="C7046" s="19" t="n">
        <v>7</v>
      </c>
      <c r="D7046" s="19" t="n">
        <v>2027</v>
      </c>
      <c r="E7046" s="57" t="n">
        <v>7</v>
      </c>
      <c r="F7046" s="29">
        <f>ROUND(((SUMIFS(Calendar!$F$2:$F$9997,Calendar!$B$2:$B$9997,D7046,Calendar!$C$2:$C$9997,C7046)*INDEX(ForeCalc!$B$37:$Y$274,MATCH(_xlfn.CONCAT(H7046," ",I7046),ForeCalc!$A$37:$A$274,0),MATCH(_xlfn.CONCAT(B7046," ",E7046),ForeCalc!$B$36:$Y$36,0))))*VLOOKUP(A7046,Calendar!$A$2:$H$9997,8,FALSE),0)</f>
        <v/>
      </c>
      <c r="G7046" s="29">
        <f>VLOOKUP(A7046,Calendar!$A$1:$H$9997,6,FALSE)-F7046</f>
        <v/>
      </c>
      <c r="H7046" s="19" t="n">
        <v>2</v>
      </c>
      <c r="I7046" s="57" t="n">
        <v>4</v>
      </c>
    </row>
    <row r="7047">
      <c r="A7047" s="62" t="n">
        <v>46582</v>
      </c>
      <c r="B7047" s="3" t="inlineStr">
        <is>
          <t>Week</t>
        </is>
      </c>
      <c r="C7047" s="19" t="n">
        <v>7</v>
      </c>
      <c r="D7047" s="19" t="n">
        <v>2027</v>
      </c>
      <c r="E7047" s="57" t="n">
        <v>7</v>
      </c>
      <c r="F7047" s="29">
        <f>ROUND(((SUMIFS(Calendar!$F$2:$F$9997,Calendar!$B$2:$B$9997,D7047,Calendar!$C$2:$C$9997,C7047)*INDEX(ForeCalc!$B$37:$Y$274,MATCH(_xlfn.CONCAT(H7047," ",I7047),ForeCalc!$A$37:$A$274,0),MATCH(_xlfn.CONCAT(B7047," ",E7047),ForeCalc!$B$36:$Y$36,0))))*VLOOKUP(A7047,Calendar!$A$2:$H$9997,8,FALSE),0)</f>
        <v/>
      </c>
      <c r="G7047" s="29">
        <f>VLOOKUP(A7047,Calendar!$A$1:$H$9997,6,FALSE)-F7047</f>
        <v/>
      </c>
      <c r="H7047" s="19" t="n">
        <v>2</v>
      </c>
      <c r="I7047" s="57" t="n">
        <v>4</v>
      </c>
    </row>
    <row r="7048">
      <c r="A7048" s="62" t="n">
        <v>46583</v>
      </c>
      <c r="B7048" s="3" t="inlineStr">
        <is>
          <t>Week</t>
        </is>
      </c>
      <c r="C7048" s="19" t="n">
        <v>7</v>
      </c>
      <c r="D7048" s="19" t="n">
        <v>2027</v>
      </c>
      <c r="E7048" s="57" t="n">
        <v>7</v>
      </c>
      <c r="F7048" s="29">
        <f>ROUND(((SUMIFS(Calendar!$F$2:$F$9997,Calendar!$B$2:$B$9997,D7048,Calendar!$C$2:$C$9997,C7048)*INDEX(ForeCalc!$B$37:$Y$274,MATCH(_xlfn.CONCAT(H7048," ",I7048),ForeCalc!$A$37:$A$274,0),MATCH(_xlfn.CONCAT(B7048," ",E7048),ForeCalc!$B$36:$Y$36,0))))*VLOOKUP(A7048,Calendar!$A$2:$H$9997,8,FALSE),0)</f>
        <v/>
      </c>
      <c r="G7048" s="29">
        <f>VLOOKUP(A7048,Calendar!$A$1:$H$9997,6,FALSE)-F7048</f>
        <v/>
      </c>
      <c r="H7048" s="19" t="n">
        <v>2</v>
      </c>
      <c r="I7048" s="57" t="n">
        <v>4</v>
      </c>
    </row>
    <row r="7049">
      <c r="A7049" s="62" t="n">
        <v>46584</v>
      </c>
      <c r="B7049" s="3" t="inlineStr">
        <is>
          <t>Week</t>
        </is>
      </c>
      <c r="C7049" s="19" t="n">
        <v>7</v>
      </c>
      <c r="D7049" s="19" t="n">
        <v>2027</v>
      </c>
      <c r="E7049" s="57" t="n">
        <v>7</v>
      </c>
      <c r="F7049" s="29">
        <f>ROUND(((SUMIFS(Calendar!$F$2:$F$9997,Calendar!$B$2:$B$9997,D7049,Calendar!$C$2:$C$9997,C7049)*INDEX(ForeCalc!$B$37:$Y$274,MATCH(_xlfn.CONCAT(H7049," ",I7049),ForeCalc!$A$37:$A$274,0),MATCH(_xlfn.CONCAT(B7049," ",E7049),ForeCalc!$B$36:$Y$36,0))))*VLOOKUP(A7049,Calendar!$A$2:$H$9997,8,FALSE),0)</f>
        <v/>
      </c>
      <c r="G7049" s="29">
        <f>VLOOKUP(A7049,Calendar!$A$1:$H$9997,6,FALSE)-F7049</f>
        <v/>
      </c>
      <c r="H7049" s="19" t="n">
        <v>2</v>
      </c>
      <c r="I7049" s="57" t="n">
        <v>4</v>
      </c>
    </row>
    <row r="7050">
      <c r="A7050" s="62" t="n">
        <v>46585</v>
      </c>
      <c r="B7050" s="3" t="inlineStr">
        <is>
          <t>Sat</t>
        </is>
      </c>
      <c r="C7050" s="19" t="n">
        <v>7</v>
      </c>
      <c r="D7050" s="19" t="n">
        <v>2027</v>
      </c>
      <c r="E7050" s="57" t="n">
        <v>7</v>
      </c>
      <c r="F7050" s="29">
        <f>ROUND(((SUMIFS(Calendar!$F$2:$F$9997,Calendar!$B$2:$B$9997,D7050,Calendar!$C$2:$C$9997,C7050)*INDEX(ForeCalc!$B$37:$Y$274,MATCH(_xlfn.CONCAT(H7050," ",I7050),ForeCalc!$A$37:$A$274,0),MATCH(_xlfn.CONCAT(B7050," ",E7050),ForeCalc!$B$36:$Y$36,0))))*VLOOKUP(A7050,Calendar!$A$2:$H$9997,8,FALSE),0)</f>
        <v/>
      </c>
      <c r="G7050" s="29">
        <f>VLOOKUP(A7050,Calendar!$A$1:$H$9997,6,FALSE)-F7050</f>
        <v/>
      </c>
      <c r="H7050" s="19" t="n">
        <v>2</v>
      </c>
      <c r="I7050" s="57" t="n">
        <v>4</v>
      </c>
    </row>
    <row r="7051">
      <c r="A7051" s="62" t="n">
        <v>46586</v>
      </c>
      <c r="B7051" s="3" t="inlineStr">
        <is>
          <t>Sun</t>
        </is>
      </c>
      <c r="C7051" s="19" t="n">
        <v>7</v>
      </c>
      <c r="D7051" s="19" t="n">
        <v>2027</v>
      </c>
      <c r="E7051" s="57" t="n">
        <v>7</v>
      </c>
      <c r="F7051" s="29">
        <f>ROUND(((SUMIFS(Calendar!$F$2:$F$9997,Calendar!$B$2:$B$9997,D7051,Calendar!$C$2:$C$9997,C7051)*INDEX(ForeCalc!$B$37:$Y$274,MATCH(_xlfn.CONCAT(H7051," ",I7051),ForeCalc!$A$37:$A$274,0),MATCH(_xlfn.CONCAT(B7051," ",E7051),ForeCalc!$B$36:$Y$36,0))))*VLOOKUP(A7051,Calendar!$A$2:$H$9997,8,FALSE),0)</f>
        <v/>
      </c>
      <c r="G7051" s="29">
        <f>VLOOKUP(A7051,Calendar!$A$1:$H$9997,6,FALSE)-F7051</f>
        <v/>
      </c>
      <c r="H7051" s="19" t="n">
        <v>2</v>
      </c>
      <c r="I7051" s="57" t="n">
        <v>4</v>
      </c>
    </row>
    <row r="7052">
      <c r="A7052" s="62" t="n">
        <v>46587</v>
      </c>
      <c r="B7052" s="3" t="inlineStr">
        <is>
          <t>Week</t>
        </is>
      </c>
      <c r="C7052" s="19" t="n">
        <v>7</v>
      </c>
      <c r="D7052" s="19" t="n">
        <v>2027</v>
      </c>
      <c r="E7052" s="57" t="n">
        <v>7</v>
      </c>
      <c r="F7052" s="29">
        <f>ROUND(((SUMIFS(Calendar!$F$2:$F$9997,Calendar!$B$2:$B$9997,D7052,Calendar!$C$2:$C$9997,C7052)*INDEX(ForeCalc!$B$37:$Y$274,MATCH(_xlfn.CONCAT(H7052," ",I7052),ForeCalc!$A$37:$A$274,0),MATCH(_xlfn.CONCAT(B7052," ",E7052),ForeCalc!$B$36:$Y$36,0))))*VLOOKUP(A7052,Calendar!$A$2:$H$9997,8,FALSE),0)</f>
        <v/>
      </c>
      <c r="G7052" s="29">
        <f>VLOOKUP(A7052,Calendar!$A$1:$H$9997,6,FALSE)-F7052</f>
        <v/>
      </c>
      <c r="H7052" s="19" t="n">
        <v>2</v>
      </c>
      <c r="I7052" s="57" t="n">
        <v>4</v>
      </c>
    </row>
    <row r="7053">
      <c r="A7053" s="62" t="n">
        <v>46588</v>
      </c>
      <c r="B7053" s="3" t="inlineStr">
        <is>
          <t>Week</t>
        </is>
      </c>
      <c r="C7053" s="19" t="n">
        <v>7</v>
      </c>
      <c r="D7053" s="19" t="n">
        <v>2027</v>
      </c>
      <c r="E7053" s="57" t="n">
        <v>7</v>
      </c>
      <c r="F7053" s="29">
        <f>ROUND(((SUMIFS(Calendar!$F$2:$F$9997,Calendar!$B$2:$B$9997,D7053,Calendar!$C$2:$C$9997,C7053)*INDEX(ForeCalc!$B$37:$Y$274,MATCH(_xlfn.CONCAT(H7053," ",I7053),ForeCalc!$A$37:$A$274,0),MATCH(_xlfn.CONCAT(B7053," ",E7053),ForeCalc!$B$36:$Y$36,0))))*VLOOKUP(A7053,Calendar!$A$2:$H$9997,8,FALSE),0)</f>
        <v/>
      </c>
      <c r="G7053" s="29">
        <f>VLOOKUP(A7053,Calendar!$A$1:$H$9997,6,FALSE)-F7053</f>
        <v/>
      </c>
      <c r="H7053" s="19" t="n">
        <v>2</v>
      </c>
      <c r="I7053" s="57" t="n">
        <v>4</v>
      </c>
    </row>
    <row r="7054">
      <c r="A7054" s="62" t="n">
        <v>46589</v>
      </c>
      <c r="B7054" s="3" t="inlineStr">
        <is>
          <t>Week</t>
        </is>
      </c>
      <c r="C7054" s="19" t="n">
        <v>7</v>
      </c>
      <c r="D7054" s="19" t="n">
        <v>2027</v>
      </c>
      <c r="E7054" s="57" t="n">
        <v>7</v>
      </c>
      <c r="F7054" s="29">
        <f>ROUND(((SUMIFS(Calendar!$F$2:$F$9997,Calendar!$B$2:$B$9997,D7054,Calendar!$C$2:$C$9997,C7054)*INDEX(ForeCalc!$B$37:$Y$274,MATCH(_xlfn.CONCAT(H7054," ",I7054),ForeCalc!$A$37:$A$274,0),MATCH(_xlfn.CONCAT(B7054," ",E7054),ForeCalc!$B$36:$Y$36,0))))*VLOOKUP(A7054,Calendar!$A$2:$H$9997,8,FALSE),0)</f>
        <v/>
      </c>
      <c r="G7054" s="29">
        <f>VLOOKUP(A7054,Calendar!$A$1:$H$9997,6,FALSE)-F7054</f>
        <v/>
      </c>
      <c r="H7054" s="19" t="n">
        <v>2</v>
      </c>
      <c r="I7054" s="57" t="n">
        <v>4</v>
      </c>
    </row>
    <row r="7055">
      <c r="A7055" s="62" t="n">
        <v>46590</v>
      </c>
      <c r="B7055" s="3" t="inlineStr">
        <is>
          <t>Week</t>
        </is>
      </c>
      <c r="C7055" s="19" t="n">
        <v>7</v>
      </c>
      <c r="D7055" s="19" t="n">
        <v>2027</v>
      </c>
      <c r="E7055" s="57" t="n">
        <v>7</v>
      </c>
      <c r="F7055" s="29">
        <f>ROUND(((SUMIFS(Calendar!$F$2:$F$9997,Calendar!$B$2:$B$9997,D7055,Calendar!$C$2:$C$9997,C7055)*INDEX(ForeCalc!$B$37:$Y$274,MATCH(_xlfn.CONCAT(H7055," ",I7055),ForeCalc!$A$37:$A$274,0),MATCH(_xlfn.CONCAT(B7055," ",E7055),ForeCalc!$B$36:$Y$36,0))))*VLOOKUP(A7055,Calendar!$A$2:$H$9997,8,FALSE),0)</f>
        <v/>
      </c>
      <c r="G7055" s="29">
        <f>VLOOKUP(A7055,Calendar!$A$1:$H$9997,6,FALSE)-F7055</f>
        <v/>
      </c>
      <c r="H7055" s="19" t="n">
        <v>2</v>
      </c>
      <c r="I7055" s="57" t="n">
        <v>4</v>
      </c>
    </row>
    <row r="7056">
      <c r="A7056" s="62" t="n">
        <v>46591</v>
      </c>
      <c r="B7056" s="3" t="inlineStr">
        <is>
          <t>Week</t>
        </is>
      </c>
      <c r="C7056" s="19" t="n">
        <v>7</v>
      </c>
      <c r="D7056" s="19" t="n">
        <v>2027</v>
      </c>
      <c r="E7056" s="57" t="n">
        <v>7</v>
      </c>
      <c r="F7056" s="29">
        <f>ROUND(((SUMIFS(Calendar!$F$2:$F$9997,Calendar!$B$2:$B$9997,D7056,Calendar!$C$2:$C$9997,C7056)*INDEX(ForeCalc!$B$37:$Y$274,MATCH(_xlfn.CONCAT(H7056," ",I7056),ForeCalc!$A$37:$A$274,0),MATCH(_xlfn.CONCAT(B7056," ",E7056),ForeCalc!$B$36:$Y$36,0))))*VLOOKUP(A7056,Calendar!$A$2:$H$9997,8,FALSE),0)</f>
        <v/>
      </c>
      <c r="G7056" s="29">
        <f>VLOOKUP(A7056,Calendar!$A$1:$H$9997,6,FALSE)-F7056</f>
        <v/>
      </c>
      <c r="H7056" s="19" t="n">
        <v>2</v>
      </c>
      <c r="I7056" s="57" t="n">
        <v>4</v>
      </c>
    </row>
    <row r="7057">
      <c r="A7057" s="62" t="n">
        <v>46592</v>
      </c>
      <c r="B7057" s="3" t="inlineStr">
        <is>
          <t>Sat</t>
        </is>
      </c>
      <c r="C7057" s="19" t="n">
        <v>7</v>
      </c>
      <c r="D7057" s="19" t="n">
        <v>2027</v>
      </c>
      <c r="E7057" s="57" t="n">
        <v>7</v>
      </c>
      <c r="F7057" s="29">
        <f>ROUND(((SUMIFS(Calendar!$F$2:$F$9997,Calendar!$B$2:$B$9997,D7057,Calendar!$C$2:$C$9997,C7057)*INDEX(ForeCalc!$B$37:$Y$274,MATCH(_xlfn.CONCAT(H7057," ",I7057),ForeCalc!$A$37:$A$274,0),MATCH(_xlfn.CONCAT(B7057," ",E7057),ForeCalc!$B$36:$Y$36,0))))*VLOOKUP(A7057,Calendar!$A$2:$H$9997,8,FALSE),0)</f>
        <v/>
      </c>
      <c r="G7057" s="29">
        <f>VLOOKUP(A7057,Calendar!$A$1:$H$9997,6,FALSE)-F7057</f>
        <v/>
      </c>
      <c r="H7057" s="19" t="n">
        <v>2</v>
      </c>
      <c r="I7057" s="57" t="n">
        <v>4</v>
      </c>
    </row>
    <row r="7058">
      <c r="A7058" s="62" t="n">
        <v>46593</v>
      </c>
      <c r="B7058" s="3" t="inlineStr">
        <is>
          <t>Sun</t>
        </is>
      </c>
      <c r="C7058" s="19" t="n">
        <v>7</v>
      </c>
      <c r="D7058" s="19" t="n">
        <v>2027</v>
      </c>
      <c r="E7058" s="57" t="n">
        <v>7</v>
      </c>
      <c r="F7058" s="29">
        <f>ROUND(((SUMIFS(Calendar!$F$2:$F$9997,Calendar!$B$2:$B$9997,D7058,Calendar!$C$2:$C$9997,C7058)*INDEX(ForeCalc!$B$37:$Y$274,MATCH(_xlfn.CONCAT(H7058," ",I7058),ForeCalc!$A$37:$A$274,0),MATCH(_xlfn.CONCAT(B7058," ",E7058),ForeCalc!$B$36:$Y$36,0))))*VLOOKUP(A7058,Calendar!$A$2:$H$9997,8,FALSE),0)</f>
        <v/>
      </c>
      <c r="G7058" s="29">
        <f>VLOOKUP(A7058,Calendar!$A$1:$H$9997,6,FALSE)-F7058</f>
        <v/>
      </c>
      <c r="H7058" s="19" t="n">
        <v>2</v>
      </c>
      <c r="I7058" s="57" t="n">
        <v>4</v>
      </c>
    </row>
    <row r="7059">
      <c r="A7059" s="62" t="n">
        <v>46594</v>
      </c>
      <c r="B7059" s="3" t="inlineStr">
        <is>
          <t>Week</t>
        </is>
      </c>
      <c r="C7059" s="19" t="n">
        <v>7</v>
      </c>
      <c r="D7059" s="19" t="n">
        <v>2027</v>
      </c>
      <c r="E7059" s="57" t="n">
        <v>7</v>
      </c>
      <c r="F7059" s="29">
        <f>ROUND(((SUMIFS(Calendar!$F$2:$F$9997,Calendar!$B$2:$B$9997,D7059,Calendar!$C$2:$C$9997,C7059)*INDEX(ForeCalc!$B$37:$Y$274,MATCH(_xlfn.CONCAT(H7059," ",I7059),ForeCalc!$A$37:$A$274,0),MATCH(_xlfn.CONCAT(B7059," ",E7059),ForeCalc!$B$36:$Y$36,0))))*VLOOKUP(A7059,Calendar!$A$2:$H$9997,8,FALSE),0)</f>
        <v/>
      </c>
      <c r="G7059" s="29">
        <f>VLOOKUP(A7059,Calendar!$A$1:$H$9997,6,FALSE)-F7059</f>
        <v/>
      </c>
      <c r="H7059" s="19" t="n">
        <v>2</v>
      </c>
      <c r="I7059" s="57" t="n">
        <v>4</v>
      </c>
    </row>
    <row r="7060">
      <c r="A7060" s="62" t="n">
        <v>46595</v>
      </c>
      <c r="B7060" s="3" t="inlineStr">
        <is>
          <t>Week</t>
        </is>
      </c>
      <c r="C7060" s="19" t="n">
        <v>7</v>
      </c>
      <c r="D7060" s="19" t="n">
        <v>2027</v>
      </c>
      <c r="E7060" s="57" t="n">
        <v>7</v>
      </c>
      <c r="F7060" s="29">
        <f>ROUND(((SUMIFS(Calendar!$F$2:$F$9997,Calendar!$B$2:$B$9997,D7060,Calendar!$C$2:$C$9997,C7060)*INDEX(ForeCalc!$B$37:$Y$274,MATCH(_xlfn.CONCAT(H7060," ",I7060),ForeCalc!$A$37:$A$274,0),MATCH(_xlfn.CONCAT(B7060," ",E7060),ForeCalc!$B$36:$Y$36,0))))*VLOOKUP(A7060,Calendar!$A$2:$H$9997,8,FALSE),0)</f>
        <v/>
      </c>
      <c r="G7060" s="29">
        <f>VLOOKUP(A7060,Calendar!$A$1:$H$9997,6,FALSE)-F7060</f>
        <v/>
      </c>
      <c r="H7060" s="19" t="n">
        <v>2</v>
      </c>
      <c r="I7060" s="57" t="n">
        <v>4</v>
      </c>
    </row>
    <row r="7061">
      <c r="A7061" s="62" t="n">
        <v>46596</v>
      </c>
      <c r="B7061" s="3" t="inlineStr">
        <is>
          <t>Week</t>
        </is>
      </c>
      <c r="C7061" s="19" t="n">
        <v>7</v>
      </c>
      <c r="D7061" s="19" t="n">
        <v>2027</v>
      </c>
      <c r="E7061" s="57" t="n">
        <v>7</v>
      </c>
      <c r="F7061" s="29">
        <f>ROUND(((SUMIFS(Calendar!$F$2:$F$9997,Calendar!$B$2:$B$9997,D7061,Calendar!$C$2:$C$9997,C7061)*INDEX(ForeCalc!$B$37:$Y$274,MATCH(_xlfn.CONCAT(H7061," ",I7061),ForeCalc!$A$37:$A$274,0),MATCH(_xlfn.CONCAT(B7061," ",E7061),ForeCalc!$B$36:$Y$36,0))))*VLOOKUP(A7061,Calendar!$A$2:$H$9997,8,FALSE),0)</f>
        <v/>
      </c>
      <c r="G7061" s="29">
        <f>VLOOKUP(A7061,Calendar!$A$1:$H$9997,6,FALSE)-F7061</f>
        <v/>
      </c>
      <c r="H7061" s="19" t="n">
        <v>2</v>
      </c>
      <c r="I7061" s="57" t="n">
        <v>4</v>
      </c>
    </row>
    <row r="7062">
      <c r="A7062" s="62" t="n">
        <v>46597</v>
      </c>
      <c r="B7062" s="3" t="inlineStr">
        <is>
          <t>Week</t>
        </is>
      </c>
      <c r="C7062" s="19" t="n">
        <v>7</v>
      </c>
      <c r="D7062" s="19" t="n">
        <v>2027</v>
      </c>
      <c r="E7062" s="57" t="n">
        <v>7</v>
      </c>
      <c r="F7062" s="29">
        <f>ROUND(((SUMIFS(Calendar!$F$2:$F$9997,Calendar!$B$2:$B$9997,D7062,Calendar!$C$2:$C$9997,C7062)*INDEX(ForeCalc!$B$37:$Y$274,MATCH(_xlfn.CONCAT(H7062," ",I7062),ForeCalc!$A$37:$A$274,0),MATCH(_xlfn.CONCAT(B7062," ",E7062),ForeCalc!$B$36:$Y$36,0))))*VLOOKUP(A7062,Calendar!$A$2:$H$9997,8,FALSE),0)</f>
        <v/>
      </c>
      <c r="G7062" s="29">
        <f>VLOOKUP(A7062,Calendar!$A$1:$H$9997,6,FALSE)-F7062</f>
        <v/>
      </c>
      <c r="H7062" s="19" t="n">
        <v>2</v>
      </c>
      <c r="I7062" s="57" t="n">
        <v>4</v>
      </c>
    </row>
    <row r="7063">
      <c r="A7063" s="62" t="n">
        <v>46598</v>
      </c>
      <c r="B7063" s="3" t="inlineStr">
        <is>
          <t>Week</t>
        </is>
      </c>
      <c r="C7063" s="19" t="n">
        <v>7</v>
      </c>
      <c r="D7063" s="19" t="n">
        <v>2027</v>
      </c>
      <c r="E7063" s="57" t="n">
        <v>7</v>
      </c>
      <c r="F7063" s="29">
        <f>ROUND(((SUMIFS(Calendar!$F$2:$F$9997,Calendar!$B$2:$B$9997,D7063,Calendar!$C$2:$C$9997,C7063)*INDEX(ForeCalc!$B$37:$Y$274,MATCH(_xlfn.CONCAT(H7063," ",I7063),ForeCalc!$A$37:$A$274,0),MATCH(_xlfn.CONCAT(B7063," ",E7063),ForeCalc!$B$36:$Y$36,0))))*VLOOKUP(A7063,Calendar!$A$2:$H$9997,8,FALSE),0)</f>
        <v/>
      </c>
      <c r="G7063" s="29">
        <f>VLOOKUP(A7063,Calendar!$A$1:$H$9997,6,FALSE)-F7063</f>
        <v/>
      </c>
      <c r="H7063" s="19" t="n">
        <v>2</v>
      </c>
      <c r="I7063" s="57" t="n">
        <v>4</v>
      </c>
    </row>
    <row r="7064">
      <c r="A7064" s="62" t="n">
        <v>46599</v>
      </c>
      <c r="B7064" s="3" t="inlineStr">
        <is>
          <t>Sat</t>
        </is>
      </c>
      <c r="C7064" s="19" t="n">
        <v>7</v>
      </c>
      <c r="D7064" s="19" t="n">
        <v>2027</v>
      </c>
      <c r="E7064" s="57" t="n">
        <v>7</v>
      </c>
      <c r="F7064" s="29">
        <f>ROUND(((SUMIFS(Calendar!$F$2:$F$9997,Calendar!$B$2:$B$9997,D7064,Calendar!$C$2:$C$9997,C7064)*INDEX(ForeCalc!$B$37:$Y$274,MATCH(_xlfn.CONCAT(H7064," ",I7064),ForeCalc!$A$37:$A$274,0),MATCH(_xlfn.CONCAT(B7064," ",E7064),ForeCalc!$B$36:$Y$36,0))))*VLOOKUP(A7064,Calendar!$A$2:$H$9997,8,FALSE),0)</f>
        <v/>
      </c>
      <c r="G7064" s="29">
        <f>VLOOKUP(A7064,Calendar!$A$1:$H$9997,6,FALSE)-F7064</f>
        <v/>
      </c>
      <c r="H7064" s="19" t="n">
        <v>2</v>
      </c>
      <c r="I7064" s="57" t="n">
        <v>4</v>
      </c>
    </row>
    <row r="7065">
      <c r="A7065" s="62" t="n">
        <v>46600</v>
      </c>
      <c r="B7065" s="3" t="inlineStr">
        <is>
          <t>Sun</t>
        </is>
      </c>
      <c r="C7065" s="19" t="n">
        <v>8</v>
      </c>
      <c r="D7065" s="19" t="n">
        <v>2027</v>
      </c>
      <c r="E7065" s="57" t="n">
        <v>7</v>
      </c>
      <c r="F7065" s="29">
        <f>ROUND(((SUMIFS(Calendar!$F$2:$F$9997,Calendar!$B$2:$B$9997,D7065,Calendar!$C$2:$C$9997,C7065)*INDEX(ForeCalc!$B$37:$Y$274,MATCH(_xlfn.CONCAT(H7065," ",I7065),ForeCalc!$A$37:$A$274,0),MATCH(_xlfn.CONCAT(B7065," ",E7065),ForeCalc!$B$36:$Y$36,0))))*VLOOKUP(A7065,Calendar!$A$2:$H$9997,8,FALSE),0)</f>
        <v/>
      </c>
      <c r="G7065" s="29">
        <f>VLOOKUP(A7065,Calendar!$A$1:$H$9997,6,FALSE)-F7065</f>
        <v/>
      </c>
      <c r="H7065" s="19" t="n">
        <v>2</v>
      </c>
      <c r="I7065" s="57" t="n">
        <v>5</v>
      </c>
    </row>
    <row r="7066">
      <c r="A7066" s="62" t="n">
        <v>46601</v>
      </c>
      <c r="B7066" s="3" t="inlineStr">
        <is>
          <t>Week</t>
        </is>
      </c>
      <c r="C7066" s="19" t="n">
        <v>8</v>
      </c>
      <c r="D7066" s="19" t="n">
        <v>2027</v>
      </c>
      <c r="E7066" s="57" t="n">
        <v>7</v>
      </c>
      <c r="F7066" s="29">
        <f>ROUND(((SUMIFS(Calendar!$F$2:$F$9997,Calendar!$B$2:$B$9997,D7066,Calendar!$C$2:$C$9997,C7066)*INDEX(ForeCalc!$B$37:$Y$274,MATCH(_xlfn.CONCAT(H7066," ",I7066),ForeCalc!$A$37:$A$274,0),MATCH(_xlfn.CONCAT(B7066," ",E7066),ForeCalc!$B$36:$Y$36,0))))*VLOOKUP(A7066,Calendar!$A$2:$H$9997,8,FALSE),0)</f>
        <v/>
      </c>
      <c r="G7066" s="29">
        <f>VLOOKUP(A7066,Calendar!$A$1:$H$9997,6,FALSE)-F7066</f>
        <v/>
      </c>
      <c r="H7066" s="19" t="n">
        <v>2</v>
      </c>
      <c r="I7066" s="57" t="n">
        <v>5</v>
      </c>
    </row>
    <row r="7067">
      <c r="A7067" s="62" t="n">
        <v>46602</v>
      </c>
      <c r="B7067" s="3" t="inlineStr">
        <is>
          <t>Week</t>
        </is>
      </c>
      <c r="C7067" s="19" t="n">
        <v>8</v>
      </c>
      <c r="D7067" s="19" t="n">
        <v>2027</v>
      </c>
      <c r="E7067" s="57" t="n">
        <v>7</v>
      </c>
      <c r="F7067" s="29">
        <f>ROUND(((SUMIFS(Calendar!$F$2:$F$9997,Calendar!$B$2:$B$9997,D7067,Calendar!$C$2:$C$9997,C7067)*INDEX(ForeCalc!$B$37:$Y$274,MATCH(_xlfn.CONCAT(H7067," ",I7067),ForeCalc!$A$37:$A$274,0),MATCH(_xlfn.CONCAT(B7067," ",E7067),ForeCalc!$B$36:$Y$36,0))))*VLOOKUP(A7067,Calendar!$A$2:$H$9997,8,FALSE),0)</f>
        <v/>
      </c>
      <c r="G7067" s="29">
        <f>VLOOKUP(A7067,Calendar!$A$1:$H$9997,6,FALSE)-F7067</f>
        <v/>
      </c>
      <c r="H7067" s="19" t="n">
        <v>2</v>
      </c>
      <c r="I7067" s="57" t="n">
        <v>5</v>
      </c>
    </row>
    <row r="7068">
      <c r="A7068" s="62" t="n">
        <v>46603</v>
      </c>
      <c r="B7068" s="3" t="inlineStr">
        <is>
          <t>Week</t>
        </is>
      </c>
      <c r="C7068" s="19" t="n">
        <v>8</v>
      </c>
      <c r="D7068" s="19" t="n">
        <v>2027</v>
      </c>
      <c r="E7068" s="57" t="n">
        <v>7</v>
      </c>
      <c r="F7068" s="29">
        <f>ROUND(((SUMIFS(Calendar!$F$2:$F$9997,Calendar!$B$2:$B$9997,D7068,Calendar!$C$2:$C$9997,C7068)*INDEX(ForeCalc!$B$37:$Y$274,MATCH(_xlfn.CONCAT(H7068," ",I7068),ForeCalc!$A$37:$A$274,0),MATCH(_xlfn.CONCAT(B7068," ",E7068),ForeCalc!$B$36:$Y$36,0))))*VLOOKUP(A7068,Calendar!$A$2:$H$9997,8,FALSE),0)</f>
        <v/>
      </c>
      <c r="G7068" s="29">
        <f>VLOOKUP(A7068,Calendar!$A$1:$H$9997,6,FALSE)-F7068</f>
        <v/>
      </c>
      <c r="H7068" s="19" t="n">
        <v>2</v>
      </c>
      <c r="I7068" s="57" t="n">
        <v>5</v>
      </c>
    </row>
    <row r="7069">
      <c r="A7069" s="62" t="n">
        <v>46604</v>
      </c>
      <c r="B7069" s="3" t="inlineStr">
        <is>
          <t>Week</t>
        </is>
      </c>
      <c r="C7069" s="19" t="n">
        <v>8</v>
      </c>
      <c r="D7069" s="19" t="n">
        <v>2027</v>
      </c>
      <c r="E7069" s="57" t="n">
        <v>7</v>
      </c>
      <c r="F7069" s="29">
        <f>ROUND(((SUMIFS(Calendar!$F$2:$F$9997,Calendar!$B$2:$B$9997,D7069,Calendar!$C$2:$C$9997,C7069)*INDEX(ForeCalc!$B$37:$Y$274,MATCH(_xlfn.CONCAT(H7069," ",I7069),ForeCalc!$A$37:$A$274,0),MATCH(_xlfn.CONCAT(B7069," ",E7069),ForeCalc!$B$36:$Y$36,0))))*VLOOKUP(A7069,Calendar!$A$2:$H$9997,8,FALSE),0)</f>
        <v/>
      </c>
      <c r="G7069" s="29">
        <f>VLOOKUP(A7069,Calendar!$A$1:$H$9997,6,FALSE)-F7069</f>
        <v/>
      </c>
      <c r="H7069" s="19" t="n">
        <v>2</v>
      </c>
      <c r="I7069" s="57" t="n">
        <v>5</v>
      </c>
    </row>
    <row r="7070">
      <c r="A7070" s="62" t="n">
        <v>46605</v>
      </c>
      <c r="B7070" s="3" t="inlineStr">
        <is>
          <t>Week</t>
        </is>
      </c>
      <c r="C7070" s="19" t="n">
        <v>8</v>
      </c>
      <c r="D7070" s="19" t="n">
        <v>2027</v>
      </c>
      <c r="E7070" s="57" t="n">
        <v>7</v>
      </c>
      <c r="F7070" s="29">
        <f>ROUND(((SUMIFS(Calendar!$F$2:$F$9997,Calendar!$B$2:$B$9997,D7070,Calendar!$C$2:$C$9997,C7070)*INDEX(ForeCalc!$B$37:$Y$274,MATCH(_xlfn.CONCAT(H7070," ",I7070),ForeCalc!$A$37:$A$274,0),MATCH(_xlfn.CONCAT(B7070," ",E7070),ForeCalc!$B$36:$Y$36,0))))*VLOOKUP(A7070,Calendar!$A$2:$H$9997,8,FALSE),0)</f>
        <v/>
      </c>
      <c r="G7070" s="29">
        <f>VLOOKUP(A7070,Calendar!$A$1:$H$9997,6,FALSE)-F7070</f>
        <v/>
      </c>
      <c r="H7070" s="19" t="n">
        <v>2</v>
      </c>
      <c r="I7070" s="57" t="n">
        <v>5</v>
      </c>
    </row>
    <row r="7071">
      <c r="A7071" s="62" t="n">
        <v>46606</v>
      </c>
      <c r="B7071" s="3" t="inlineStr">
        <is>
          <t>Sat</t>
        </is>
      </c>
      <c r="C7071" s="19" t="n">
        <v>8</v>
      </c>
      <c r="D7071" s="19" t="n">
        <v>2027</v>
      </c>
      <c r="E7071" s="57" t="n">
        <v>7</v>
      </c>
      <c r="F7071" s="29">
        <f>ROUND(((SUMIFS(Calendar!$F$2:$F$9997,Calendar!$B$2:$B$9997,D7071,Calendar!$C$2:$C$9997,C7071)*INDEX(ForeCalc!$B$37:$Y$274,MATCH(_xlfn.CONCAT(H7071," ",I7071),ForeCalc!$A$37:$A$274,0),MATCH(_xlfn.CONCAT(B7071," ",E7071),ForeCalc!$B$36:$Y$36,0))))*VLOOKUP(A7071,Calendar!$A$2:$H$9997,8,FALSE),0)</f>
        <v/>
      </c>
      <c r="G7071" s="29">
        <f>VLOOKUP(A7071,Calendar!$A$1:$H$9997,6,FALSE)-F7071</f>
        <v/>
      </c>
      <c r="H7071" s="19" t="n">
        <v>2</v>
      </c>
      <c r="I7071" s="57" t="n">
        <v>5</v>
      </c>
    </row>
    <row r="7072">
      <c r="A7072" s="62" t="n">
        <v>46607</v>
      </c>
      <c r="B7072" s="3" t="inlineStr">
        <is>
          <t>Sun</t>
        </is>
      </c>
      <c r="C7072" s="19" t="n">
        <v>8</v>
      </c>
      <c r="D7072" s="19" t="n">
        <v>2027</v>
      </c>
      <c r="E7072" s="57" t="n">
        <v>7</v>
      </c>
      <c r="F7072" s="29">
        <f>ROUND(((SUMIFS(Calendar!$F$2:$F$9997,Calendar!$B$2:$B$9997,D7072,Calendar!$C$2:$C$9997,C7072)*INDEX(ForeCalc!$B$37:$Y$274,MATCH(_xlfn.CONCAT(H7072," ",I7072),ForeCalc!$A$37:$A$274,0),MATCH(_xlfn.CONCAT(B7072," ",E7072),ForeCalc!$B$36:$Y$36,0))))*VLOOKUP(A7072,Calendar!$A$2:$H$9997,8,FALSE),0)</f>
        <v/>
      </c>
      <c r="G7072" s="29">
        <f>VLOOKUP(A7072,Calendar!$A$1:$H$9997,6,FALSE)-F7072</f>
        <v/>
      </c>
      <c r="H7072" s="19" t="n">
        <v>2</v>
      </c>
      <c r="I7072" s="57" t="n">
        <v>5</v>
      </c>
    </row>
    <row r="7073">
      <c r="A7073" s="62" t="n">
        <v>46608</v>
      </c>
      <c r="B7073" s="3" t="inlineStr">
        <is>
          <t>Week</t>
        </is>
      </c>
      <c r="C7073" s="19" t="n">
        <v>8</v>
      </c>
      <c r="D7073" s="19" t="n">
        <v>2027</v>
      </c>
      <c r="E7073" s="57" t="n">
        <v>7</v>
      </c>
      <c r="F7073" s="29">
        <f>ROUND(((SUMIFS(Calendar!$F$2:$F$9997,Calendar!$B$2:$B$9997,D7073,Calendar!$C$2:$C$9997,C7073)*INDEX(ForeCalc!$B$37:$Y$274,MATCH(_xlfn.CONCAT(H7073," ",I7073),ForeCalc!$A$37:$A$274,0),MATCH(_xlfn.CONCAT(B7073," ",E7073),ForeCalc!$B$36:$Y$36,0))))*VLOOKUP(A7073,Calendar!$A$2:$H$9997,8,FALSE),0)</f>
        <v/>
      </c>
      <c r="G7073" s="29">
        <f>VLOOKUP(A7073,Calendar!$A$1:$H$9997,6,FALSE)-F7073</f>
        <v/>
      </c>
      <c r="H7073" s="19" t="n">
        <v>2</v>
      </c>
      <c r="I7073" s="57" t="n">
        <v>5</v>
      </c>
    </row>
    <row r="7074">
      <c r="A7074" s="62" t="n">
        <v>46609</v>
      </c>
      <c r="B7074" s="3" t="inlineStr">
        <is>
          <t>Week</t>
        </is>
      </c>
      <c r="C7074" s="19" t="n">
        <v>8</v>
      </c>
      <c r="D7074" s="19" t="n">
        <v>2027</v>
      </c>
      <c r="E7074" s="57" t="n">
        <v>7</v>
      </c>
      <c r="F7074" s="29">
        <f>ROUND(((SUMIFS(Calendar!$F$2:$F$9997,Calendar!$B$2:$B$9997,D7074,Calendar!$C$2:$C$9997,C7074)*INDEX(ForeCalc!$B$37:$Y$274,MATCH(_xlfn.CONCAT(H7074," ",I7074),ForeCalc!$A$37:$A$274,0),MATCH(_xlfn.CONCAT(B7074," ",E7074),ForeCalc!$B$36:$Y$36,0))))*VLOOKUP(A7074,Calendar!$A$2:$H$9997,8,FALSE),0)</f>
        <v/>
      </c>
      <c r="G7074" s="29">
        <f>VLOOKUP(A7074,Calendar!$A$1:$H$9997,6,FALSE)-F7074</f>
        <v/>
      </c>
      <c r="H7074" s="19" t="n">
        <v>2</v>
      </c>
      <c r="I7074" s="57" t="n">
        <v>5</v>
      </c>
    </row>
    <row r="7075">
      <c r="A7075" s="62" t="n">
        <v>46610</v>
      </c>
      <c r="B7075" s="3" t="inlineStr">
        <is>
          <t>Week</t>
        </is>
      </c>
      <c r="C7075" s="19" t="n">
        <v>8</v>
      </c>
      <c r="D7075" s="19" t="n">
        <v>2027</v>
      </c>
      <c r="E7075" s="57" t="n">
        <v>7</v>
      </c>
      <c r="F7075" s="29">
        <f>ROUND(((SUMIFS(Calendar!$F$2:$F$9997,Calendar!$B$2:$B$9997,D7075,Calendar!$C$2:$C$9997,C7075)*INDEX(ForeCalc!$B$37:$Y$274,MATCH(_xlfn.CONCAT(H7075," ",I7075),ForeCalc!$A$37:$A$274,0),MATCH(_xlfn.CONCAT(B7075," ",E7075),ForeCalc!$B$36:$Y$36,0))))*VLOOKUP(A7075,Calendar!$A$2:$H$9997,8,FALSE),0)</f>
        <v/>
      </c>
      <c r="G7075" s="29">
        <f>VLOOKUP(A7075,Calendar!$A$1:$H$9997,6,FALSE)-F7075</f>
        <v/>
      </c>
      <c r="H7075" s="19" t="n">
        <v>2</v>
      </c>
      <c r="I7075" s="57" t="n">
        <v>5</v>
      </c>
    </row>
    <row r="7076">
      <c r="A7076" s="62" t="n">
        <v>46611</v>
      </c>
      <c r="B7076" s="3" t="inlineStr">
        <is>
          <t>Week</t>
        </is>
      </c>
      <c r="C7076" s="19" t="n">
        <v>8</v>
      </c>
      <c r="D7076" s="19" t="n">
        <v>2027</v>
      </c>
      <c r="E7076" s="57" t="n">
        <v>7</v>
      </c>
      <c r="F7076" s="29">
        <f>ROUND(((SUMIFS(Calendar!$F$2:$F$9997,Calendar!$B$2:$B$9997,D7076,Calendar!$C$2:$C$9997,C7076)*INDEX(ForeCalc!$B$37:$Y$274,MATCH(_xlfn.CONCAT(H7076," ",I7076),ForeCalc!$A$37:$A$274,0),MATCH(_xlfn.CONCAT(B7076," ",E7076),ForeCalc!$B$36:$Y$36,0))))*VLOOKUP(A7076,Calendar!$A$2:$H$9997,8,FALSE),0)</f>
        <v/>
      </c>
      <c r="G7076" s="29">
        <f>VLOOKUP(A7076,Calendar!$A$1:$H$9997,6,FALSE)-F7076</f>
        <v/>
      </c>
      <c r="H7076" s="19" t="n">
        <v>2</v>
      </c>
      <c r="I7076" s="57" t="n">
        <v>5</v>
      </c>
    </row>
    <row r="7077">
      <c r="A7077" s="62" t="n">
        <v>46612</v>
      </c>
      <c r="B7077" s="3" t="inlineStr">
        <is>
          <t>Week</t>
        </is>
      </c>
      <c r="C7077" s="19" t="n">
        <v>8</v>
      </c>
      <c r="D7077" s="19" t="n">
        <v>2027</v>
      </c>
      <c r="E7077" s="57" t="n">
        <v>7</v>
      </c>
      <c r="F7077" s="29">
        <f>ROUND(((SUMIFS(Calendar!$F$2:$F$9997,Calendar!$B$2:$B$9997,D7077,Calendar!$C$2:$C$9997,C7077)*INDEX(ForeCalc!$B$37:$Y$274,MATCH(_xlfn.CONCAT(H7077," ",I7077),ForeCalc!$A$37:$A$274,0),MATCH(_xlfn.CONCAT(B7077," ",E7077),ForeCalc!$B$36:$Y$36,0))))*VLOOKUP(A7077,Calendar!$A$2:$H$9997,8,FALSE),0)</f>
        <v/>
      </c>
      <c r="G7077" s="29">
        <f>VLOOKUP(A7077,Calendar!$A$1:$H$9997,6,FALSE)-F7077</f>
        <v/>
      </c>
      <c r="H7077" s="19" t="n">
        <v>2</v>
      </c>
      <c r="I7077" s="57" t="n">
        <v>5</v>
      </c>
    </row>
    <row r="7078">
      <c r="A7078" s="62" t="n">
        <v>46613</v>
      </c>
      <c r="B7078" s="3" t="inlineStr">
        <is>
          <t>Sat</t>
        </is>
      </c>
      <c r="C7078" s="19" t="n">
        <v>8</v>
      </c>
      <c r="D7078" s="19" t="n">
        <v>2027</v>
      </c>
      <c r="E7078" s="57" t="n">
        <v>7</v>
      </c>
      <c r="F7078" s="29">
        <f>ROUND(((SUMIFS(Calendar!$F$2:$F$9997,Calendar!$B$2:$B$9997,D7078,Calendar!$C$2:$C$9997,C7078)*INDEX(ForeCalc!$B$37:$Y$274,MATCH(_xlfn.CONCAT(H7078," ",I7078),ForeCalc!$A$37:$A$274,0),MATCH(_xlfn.CONCAT(B7078," ",E7078),ForeCalc!$B$36:$Y$36,0))))*VLOOKUP(A7078,Calendar!$A$2:$H$9997,8,FALSE),0)</f>
        <v/>
      </c>
      <c r="G7078" s="29">
        <f>VLOOKUP(A7078,Calendar!$A$1:$H$9997,6,FALSE)-F7078</f>
        <v/>
      </c>
      <c r="H7078" s="19" t="n">
        <v>2</v>
      </c>
      <c r="I7078" s="57" t="n">
        <v>5</v>
      </c>
    </row>
    <row r="7079">
      <c r="A7079" s="62" t="n">
        <v>46614</v>
      </c>
      <c r="B7079" s="3" t="inlineStr">
        <is>
          <t>Sun</t>
        </is>
      </c>
      <c r="C7079" s="19" t="n">
        <v>8</v>
      </c>
      <c r="D7079" s="19" t="n">
        <v>2027</v>
      </c>
      <c r="E7079" s="57" t="n">
        <v>7</v>
      </c>
      <c r="F7079" s="29">
        <f>ROUND(((SUMIFS(Calendar!$F$2:$F$9997,Calendar!$B$2:$B$9997,D7079,Calendar!$C$2:$C$9997,C7079)*INDEX(ForeCalc!$B$37:$Y$274,MATCH(_xlfn.CONCAT(H7079," ",I7079),ForeCalc!$A$37:$A$274,0),MATCH(_xlfn.CONCAT(B7079," ",E7079),ForeCalc!$B$36:$Y$36,0))))*VLOOKUP(A7079,Calendar!$A$2:$H$9997,8,FALSE),0)</f>
        <v/>
      </c>
      <c r="G7079" s="29">
        <f>VLOOKUP(A7079,Calendar!$A$1:$H$9997,6,FALSE)-F7079</f>
        <v/>
      </c>
      <c r="H7079" s="19" t="n">
        <v>2</v>
      </c>
      <c r="I7079" s="57" t="n">
        <v>5</v>
      </c>
    </row>
    <row r="7080">
      <c r="A7080" s="62" t="n">
        <v>46615</v>
      </c>
      <c r="B7080" s="3" t="inlineStr">
        <is>
          <t>Week</t>
        </is>
      </c>
      <c r="C7080" s="19" t="n">
        <v>8</v>
      </c>
      <c r="D7080" s="19" t="n">
        <v>2027</v>
      </c>
      <c r="E7080" s="57" t="n">
        <v>7</v>
      </c>
      <c r="F7080" s="29">
        <f>ROUND(((SUMIFS(Calendar!$F$2:$F$9997,Calendar!$B$2:$B$9997,D7080,Calendar!$C$2:$C$9997,C7080)*INDEX(ForeCalc!$B$37:$Y$274,MATCH(_xlfn.CONCAT(H7080," ",I7080),ForeCalc!$A$37:$A$274,0),MATCH(_xlfn.CONCAT(B7080," ",E7080),ForeCalc!$B$36:$Y$36,0))))*VLOOKUP(A7080,Calendar!$A$2:$H$9997,8,FALSE),0)</f>
        <v/>
      </c>
      <c r="G7080" s="29">
        <f>VLOOKUP(A7080,Calendar!$A$1:$H$9997,6,FALSE)-F7080</f>
        <v/>
      </c>
      <c r="H7080" s="19" t="n">
        <v>2</v>
      </c>
      <c r="I7080" s="57" t="n">
        <v>5</v>
      </c>
    </row>
    <row r="7081">
      <c r="A7081" s="62" t="n">
        <v>46616</v>
      </c>
      <c r="B7081" s="3" t="inlineStr">
        <is>
          <t>Week</t>
        </is>
      </c>
      <c r="C7081" s="19" t="n">
        <v>8</v>
      </c>
      <c r="D7081" s="19" t="n">
        <v>2027</v>
      </c>
      <c r="E7081" s="57" t="n">
        <v>7</v>
      </c>
      <c r="F7081" s="29">
        <f>ROUND(((SUMIFS(Calendar!$F$2:$F$9997,Calendar!$B$2:$B$9997,D7081,Calendar!$C$2:$C$9997,C7081)*INDEX(ForeCalc!$B$37:$Y$274,MATCH(_xlfn.CONCAT(H7081," ",I7081),ForeCalc!$A$37:$A$274,0),MATCH(_xlfn.CONCAT(B7081," ",E7081),ForeCalc!$B$36:$Y$36,0))))*VLOOKUP(A7081,Calendar!$A$2:$H$9997,8,FALSE),0)</f>
        <v/>
      </c>
      <c r="G7081" s="29">
        <f>VLOOKUP(A7081,Calendar!$A$1:$H$9997,6,FALSE)-F7081</f>
        <v/>
      </c>
      <c r="H7081" s="19" t="n">
        <v>2</v>
      </c>
      <c r="I7081" s="57" t="n">
        <v>5</v>
      </c>
    </row>
    <row r="7082">
      <c r="A7082" s="62" t="n">
        <v>46617</v>
      </c>
      <c r="B7082" s="3" t="inlineStr">
        <is>
          <t>Week</t>
        </is>
      </c>
      <c r="C7082" s="19" t="n">
        <v>8</v>
      </c>
      <c r="D7082" s="19" t="n">
        <v>2027</v>
      </c>
      <c r="E7082" s="57" t="n">
        <v>7</v>
      </c>
      <c r="F7082" s="29">
        <f>ROUND(((SUMIFS(Calendar!$F$2:$F$9997,Calendar!$B$2:$B$9997,D7082,Calendar!$C$2:$C$9997,C7082)*INDEX(ForeCalc!$B$37:$Y$274,MATCH(_xlfn.CONCAT(H7082," ",I7082),ForeCalc!$A$37:$A$274,0),MATCH(_xlfn.CONCAT(B7082," ",E7082),ForeCalc!$B$36:$Y$36,0))))*VLOOKUP(A7082,Calendar!$A$2:$H$9997,8,FALSE),0)</f>
        <v/>
      </c>
      <c r="G7082" s="29">
        <f>VLOOKUP(A7082,Calendar!$A$1:$H$9997,6,FALSE)-F7082</f>
        <v/>
      </c>
      <c r="H7082" s="19" t="n">
        <v>2</v>
      </c>
      <c r="I7082" s="57" t="n">
        <v>5</v>
      </c>
    </row>
    <row r="7083">
      <c r="A7083" s="62" t="n">
        <v>46618</v>
      </c>
      <c r="B7083" s="3" t="inlineStr">
        <is>
          <t>Week</t>
        </is>
      </c>
      <c r="C7083" s="19" t="n">
        <v>8</v>
      </c>
      <c r="D7083" s="19" t="n">
        <v>2027</v>
      </c>
      <c r="E7083" s="57" t="n">
        <v>7</v>
      </c>
      <c r="F7083" s="29">
        <f>ROUND(((SUMIFS(Calendar!$F$2:$F$9997,Calendar!$B$2:$B$9997,D7083,Calendar!$C$2:$C$9997,C7083)*INDEX(ForeCalc!$B$37:$Y$274,MATCH(_xlfn.CONCAT(H7083," ",I7083),ForeCalc!$A$37:$A$274,0),MATCH(_xlfn.CONCAT(B7083," ",E7083),ForeCalc!$B$36:$Y$36,0))))*VLOOKUP(A7083,Calendar!$A$2:$H$9997,8,FALSE),0)</f>
        <v/>
      </c>
      <c r="G7083" s="29">
        <f>VLOOKUP(A7083,Calendar!$A$1:$H$9997,6,FALSE)-F7083</f>
        <v/>
      </c>
      <c r="H7083" s="19" t="n">
        <v>2</v>
      </c>
      <c r="I7083" s="57" t="n">
        <v>5</v>
      </c>
    </row>
    <row r="7084">
      <c r="A7084" s="62" t="n">
        <v>46619</v>
      </c>
      <c r="B7084" s="3" t="inlineStr">
        <is>
          <t>Week</t>
        </is>
      </c>
      <c r="C7084" s="19" t="n">
        <v>8</v>
      </c>
      <c r="D7084" s="19" t="n">
        <v>2027</v>
      </c>
      <c r="E7084" s="57" t="n">
        <v>7</v>
      </c>
      <c r="F7084" s="29">
        <f>ROUND(((SUMIFS(Calendar!$F$2:$F$9997,Calendar!$B$2:$B$9997,D7084,Calendar!$C$2:$C$9997,C7084)*INDEX(ForeCalc!$B$37:$Y$274,MATCH(_xlfn.CONCAT(H7084," ",I7084),ForeCalc!$A$37:$A$274,0),MATCH(_xlfn.CONCAT(B7084," ",E7084),ForeCalc!$B$36:$Y$36,0))))*VLOOKUP(A7084,Calendar!$A$2:$H$9997,8,FALSE),0)</f>
        <v/>
      </c>
      <c r="G7084" s="29">
        <f>VLOOKUP(A7084,Calendar!$A$1:$H$9997,6,FALSE)-F7084</f>
        <v/>
      </c>
      <c r="H7084" s="19" t="n">
        <v>2</v>
      </c>
      <c r="I7084" s="57" t="n">
        <v>5</v>
      </c>
    </row>
    <row r="7085">
      <c r="A7085" s="62" t="n">
        <v>46620</v>
      </c>
      <c r="B7085" s="3" t="inlineStr">
        <is>
          <t>Sat</t>
        </is>
      </c>
      <c r="C7085" s="19" t="n">
        <v>8</v>
      </c>
      <c r="D7085" s="19" t="n">
        <v>2027</v>
      </c>
      <c r="E7085" s="57" t="n">
        <v>7</v>
      </c>
      <c r="F7085" s="29">
        <f>ROUND(((SUMIFS(Calendar!$F$2:$F$9997,Calendar!$B$2:$B$9997,D7085,Calendar!$C$2:$C$9997,C7085)*INDEX(ForeCalc!$B$37:$Y$274,MATCH(_xlfn.CONCAT(H7085," ",I7085),ForeCalc!$A$37:$A$274,0),MATCH(_xlfn.CONCAT(B7085," ",E7085),ForeCalc!$B$36:$Y$36,0))))*VLOOKUP(A7085,Calendar!$A$2:$H$9997,8,FALSE),0)</f>
        <v/>
      </c>
      <c r="G7085" s="29">
        <f>VLOOKUP(A7085,Calendar!$A$1:$H$9997,6,FALSE)-F7085</f>
        <v/>
      </c>
      <c r="H7085" s="19" t="n">
        <v>2</v>
      </c>
      <c r="I7085" s="57" t="n">
        <v>5</v>
      </c>
    </row>
    <row r="7086">
      <c r="A7086" s="62" t="n">
        <v>46621</v>
      </c>
      <c r="B7086" s="3" t="inlineStr">
        <is>
          <t>Sun</t>
        </is>
      </c>
      <c r="C7086" s="19" t="n">
        <v>8</v>
      </c>
      <c r="D7086" s="19" t="n">
        <v>2027</v>
      </c>
      <c r="E7086" s="57" t="n">
        <v>7</v>
      </c>
      <c r="F7086" s="29">
        <f>ROUND(((SUMIFS(Calendar!$F$2:$F$9997,Calendar!$B$2:$B$9997,D7086,Calendar!$C$2:$C$9997,C7086)*INDEX(ForeCalc!$B$37:$Y$274,MATCH(_xlfn.CONCAT(H7086," ",I7086),ForeCalc!$A$37:$A$274,0),MATCH(_xlfn.CONCAT(B7086," ",E7086),ForeCalc!$B$36:$Y$36,0))))*VLOOKUP(A7086,Calendar!$A$2:$H$9997,8,FALSE),0)</f>
        <v/>
      </c>
      <c r="G7086" s="29">
        <f>VLOOKUP(A7086,Calendar!$A$1:$H$9997,6,FALSE)-F7086</f>
        <v/>
      </c>
      <c r="H7086" s="19" t="n">
        <v>2</v>
      </c>
      <c r="I7086" s="57" t="n">
        <v>5</v>
      </c>
    </row>
    <row r="7087">
      <c r="A7087" s="62" t="n">
        <v>46622</v>
      </c>
      <c r="B7087" s="3" t="inlineStr">
        <is>
          <t>Week</t>
        </is>
      </c>
      <c r="C7087" s="19" t="n">
        <v>8</v>
      </c>
      <c r="D7087" s="19" t="n">
        <v>2027</v>
      </c>
      <c r="E7087" s="57" t="n">
        <v>7</v>
      </c>
      <c r="F7087" s="29">
        <f>ROUND(((SUMIFS(Calendar!$F$2:$F$9997,Calendar!$B$2:$B$9997,D7087,Calendar!$C$2:$C$9997,C7087)*INDEX(ForeCalc!$B$37:$Y$274,MATCH(_xlfn.CONCAT(H7087," ",I7087),ForeCalc!$A$37:$A$274,0),MATCH(_xlfn.CONCAT(B7087," ",E7087),ForeCalc!$B$36:$Y$36,0))))*VLOOKUP(A7087,Calendar!$A$2:$H$9997,8,FALSE),0)</f>
        <v/>
      </c>
      <c r="G7087" s="29">
        <f>VLOOKUP(A7087,Calendar!$A$1:$H$9997,6,FALSE)-F7087</f>
        <v/>
      </c>
      <c r="H7087" s="19" t="n">
        <v>2</v>
      </c>
      <c r="I7087" s="57" t="n">
        <v>5</v>
      </c>
    </row>
    <row r="7088">
      <c r="A7088" s="62" t="n">
        <v>46623</v>
      </c>
      <c r="B7088" s="3" t="inlineStr">
        <is>
          <t>Week</t>
        </is>
      </c>
      <c r="C7088" s="19" t="n">
        <v>8</v>
      </c>
      <c r="D7088" s="19" t="n">
        <v>2027</v>
      </c>
      <c r="E7088" s="57" t="n">
        <v>7</v>
      </c>
      <c r="F7088" s="29">
        <f>ROUND(((SUMIFS(Calendar!$F$2:$F$9997,Calendar!$B$2:$B$9997,D7088,Calendar!$C$2:$C$9997,C7088)*INDEX(ForeCalc!$B$37:$Y$274,MATCH(_xlfn.CONCAT(H7088," ",I7088),ForeCalc!$A$37:$A$274,0),MATCH(_xlfn.CONCAT(B7088," ",E7088),ForeCalc!$B$36:$Y$36,0))))*VLOOKUP(A7088,Calendar!$A$2:$H$9997,8,FALSE),0)</f>
        <v/>
      </c>
      <c r="G7088" s="29">
        <f>VLOOKUP(A7088,Calendar!$A$1:$H$9997,6,FALSE)-F7088</f>
        <v/>
      </c>
      <c r="H7088" s="19" t="n">
        <v>2</v>
      </c>
      <c r="I7088" s="57" t="n">
        <v>5</v>
      </c>
    </row>
    <row r="7089">
      <c r="A7089" s="62" t="n">
        <v>46624</v>
      </c>
      <c r="B7089" s="3" t="inlineStr">
        <is>
          <t>Week</t>
        </is>
      </c>
      <c r="C7089" s="19" t="n">
        <v>8</v>
      </c>
      <c r="D7089" s="19" t="n">
        <v>2027</v>
      </c>
      <c r="E7089" s="57" t="n">
        <v>7</v>
      </c>
      <c r="F7089" s="29">
        <f>ROUND(((SUMIFS(Calendar!$F$2:$F$9997,Calendar!$B$2:$B$9997,D7089,Calendar!$C$2:$C$9997,C7089)*INDEX(ForeCalc!$B$37:$Y$274,MATCH(_xlfn.CONCAT(H7089," ",I7089),ForeCalc!$A$37:$A$274,0),MATCH(_xlfn.CONCAT(B7089," ",E7089),ForeCalc!$B$36:$Y$36,0))))*VLOOKUP(A7089,Calendar!$A$2:$H$9997,8,FALSE),0)</f>
        <v/>
      </c>
      <c r="G7089" s="29">
        <f>VLOOKUP(A7089,Calendar!$A$1:$H$9997,6,FALSE)-F7089</f>
        <v/>
      </c>
      <c r="H7089" s="19" t="n">
        <v>2</v>
      </c>
      <c r="I7089" s="57" t="n">
        <v>5</v>
      </c>
    </row>
    <row r="7090">
      <c r="A7090" s="62" t="n">
        <v>46625</v>
      </c>
      <c r="B7090" s="3" t="inlineStr">
        <is>
          <t>Week</t>
        </is>
      </c>
      <c r="C7090" s="19" t="n">
        <v>8</v>
      </c>
      <c r="D7090" s="19" t="n">
        <v>2027</v>
      </c>
      <c r="E7090" s="57" t="n">
        <v>7</v>
      </c>
      <c r="F7090" s="29">
        <f>ROUND(((SUMIFS(Calendar!$F$2:$F$9997,Calendar!$B$2:$B$9997,D7090,Calendar!$C$2:$C$9997,C7090)*INDEX(ForeCalc!$B$37:$Y$274,MATCH(_xlfn.CONCAT(H7090," ",I7090),ForeCalc!$A$37:$A$274,0),MATCH(_xlfn.CONCAT(B7090," ",E7090),ForeCalc!$B$36:$Y$36,0))))*VLOOKUP(A7090,Calendar!$A$2:$H$9997,8,FALSE),0)</f>
        <v/>
      </c>
      <c r="G7090" s="29">
        <f>VLOOKUP(A7090,Calendar!$A$1:$H$9997,6,FALSE)-F7090</f>
        <v/>
      </c>
      <c r="H7090" s="19" t="n">
        <v>2</v>
      </c>
      <c r="I7090" s="57" t="n">
        <v>5</v>
      </c>
    </row>
    <row r="7091">
      <c r="A7091" s="62" t="n">
        <v>46626</v>
      </c>
      <c r="B7091" s="3" t="inlineStr">
        <is>
          <t>Week</t>
        </is>
      </c>
      <c r="C7091" s="19" t="n">
        <v>8</v>
      </c>
      <c r="D7091" s="19" t="n">
        <v>2027</v>
      </c>
      <c r="E7091" s="57" t="n">
        <v>7</v>
      </c>
      <c r="F7091" s="29">
        <f>ROUND(((SUMIFS(Calendar!$F$2:$F$9997,Calendar!$B$2:$B$9997,D7091,Calendar!$C$2:$C$9997,C7091)*INDEX(ForeCalc!$B$37:$Y$274,MATCH(_xlfn.CONCAT(H7091," ",I7091),ForeCalc!$A$37:$A$274,0),MATCH(_xlfn.CONCAT(B7091," ",E7091),ForeCalc!$B$36:$Y$36,0))))*VLOOKUP(A7091,Calendar!$A$2:$H$9997,8,FALSE),0)</f>
        <v/>
      </c>
      <c r="G7091" s="29">
        <f>VLOOKUP(A7091,Calendar!$A$1:$H$9997,6,FALSE)-F7091</f>
        <v/>
      </c>
      <c r="H7091" s="19" t="n">
        <v>2</v>
      </c>
      <c r="I7091" s="57" t="n">
        <v>5</v>
      </c>
    </row>
    <row r="7092">
      <c r="A7092" s="62" t="n">
        <v>46627</v>
      </c>
      <c r="B7092" s="3" t="inlineStr">
        <is>
          <t>Sat</t>
        </is>
      </c>
      <c r="C7092" s="19" t="n">
        <v>8</v>
      </c>
      <c r="D7092" s="19" t="n">
        <v>2027</v>
      </c>
      <c r="E7092" s="57" t="n">
        <v>7</v>
      </c>
      <c r="F7092" s="29">
        <f>ROUND(((SUMIFS(Calendar!$F$2:$F$9997,Calendar!$B$2:$B$9997,D7092,Calendar!$C$2:$C$9997,C7092)*INDEX(ForeCalc!$B$37:$Y$274,MATCH(_xlfn.CONCAT(H7092," ",I7092),ForeCalc!$A$37:$A$274,0),MATCH(_xlfn.CONCAT(B7092," ",E7092),ForeCalc!$B$36:$Y$36,0))))*VLOOKUP(A7092,Calendar!$A$2:$H$9997,8,FALSE),0)</f>
        <v/>
      </c>
      <c r="G7092" s="29">
        <f>VLOOKUP(A7092,Calendar!$A$1:$H$9997,6,FALSE)-F7092</f>
        <v/>
      </c>
      <c r="H7092" s="19" t="n">
        <v>2</v>
      </c>
      <c r="I7092" s="57" t="n">
        <v>5</v>
      </c>
    </row>
    <row r="7093">
      <c r="A7093" s="62" t="n">
        <v>46628</v>
      </c>
      <c r="B7093" s="3" t="inlineStr">
        <is>
          <t>Sun</t>
        </is>
      </c>
      <c r="C7093" s="19" t="n">
        <v>8</v>
      </c>
      <c r="D7093" s="19" t="n">
        <v>2027</v>
      </c>
      <c r="E7093" s="57" t="n">
        <v>7</v>
      </c>
      <c r="F7093" s="29">
        <f>ROUND(((SUMIFS(Calendar!$F$2:$F$9997,Calendar!$B$2:$B$9997,D7093,Calendar!$C$2:$C$9997,C7093)*INDEX(ForeCalc!$B$37:$Y$274,MATCH(_xlfn.CONCAT(H7093," ",I7093),ForeCalc!$A$37:$A$274,0),MATCH(_xlfn.CONCAT(B7093," ",E7093),ForeCalc!$B$36:$Y$36,0))))*VLOOKUP(A7093,Calendar!$A$2:$H$9997,8,FALSE),0)</f>
        <v/>
      </c>
      <c r="G7093" s="29">
        <f>VLOOKUP(A7093,Calendar!$A$1:$H$9997,6,FALSE)-F7093</f>
        <v/>
      </c>
      <c r="H7093" s="19" t="n">
        <v>2</v>
      </c>
      <c r="I7093" s="57" t="n">
        <v>5</v>
      </c>
    </row>
    <row r="7094">
      <c r="A7094" s="62" t="n">
        <v>46629</v>
      </c>
      <c r="B7094" s="3" t="inlineStr">
        <is>
          <t>Week</t>
        </is>
      </c>
      <c r="C7094" s="19" t="n">
        <v>8</v>
      </c>
      <c r="D7094" s="19" t="n">
        <v>2027</v>
      </c>
      <c r="E7094" s="57" t="n">
        <v>7</v>
      </c>
      <c r="F7094" s="29">
        <f>ROUND(((SUMIFS(Calendar!$F$2:$F$9997,Calendar!$B$2:$B$9997,D7094,Calendar!$C$2:$C$9997,C7094)*INDEX(ForeCalc!$B$37:$Y$274,MATCH(_xlfn.CONCAT(H7094," ",I7094),ForeCalc!$A$37:$A$274,0),MATCH(_xlfn.CONCAT(B7094," ",E7094),ForeCalc!$B$36:$Y$36,0))))*VLOOKUP(A7094,Calendar!$A$2:$H$9997,8,FALSE),0)</f>
        <v/>
      </c>
      <c r="G7094" s="29">
        <f>VLOOKUP(A7094,Calendar!$A$1:$H$9997,6,FALSE)-F7094</f>
        <v/>
      </c>
      <c r="H7094" s="19" t="n">
        <v>2</v>
      </c>
      <c r="I7094" s="57" t="n">
        <v>5</v>
      </c>
    </row>
    <row r="7095">
      <c r="A7095" s="62" t="n">
        <v>46630</v>
      </c>
      <c r="B7095" s="3" t="inlineStr">
        <is>
          <t>Week</t>
        </is>
      </c>
      <c r="C7095" s="19" t="n">
        <v>8</v>
      </c>
      <c r="D7095" s="19" t="n">
        <v>2027</v>
      </c>
      <c r="E7095" s="57" t="n">
        <v>7</v>
      </c>
      <c r="F7095" s="29">
        <f>ROUND(((SUMIFS(Calendar!$F$2:$F$9997,Calendar!$B$2:$B$9997,D7095,Calendar!$C$2:$C$9997,C7095)*INDEX(ForeCalc!$B$37:$Y$274,MATCH(_xlfn.CONCAT(H7095," ",I7095),ForeCalc!$A$37:$A$274,0),MATCH(_xlfn.CONCAT(B7095," ",E7095),ForeCalc!$B$36:$Y$36,0))))*VLOOKUP(A7095,Calendar!$A$2:$H$9997,8,FALSE),0)</f>
        <v/>
      </c>
      <c r="G7095" s="29">
        <f>VLOOKUP(A7095,Calendar!$A$1:$H$9997,6,FALSE)-F7095</f>
        <v/>
      </c>
      <c r="H7095" s="19" t="n">
        <v>2</v>
      </c>
      <c r="I7095" s="57" t="n">
        <v>5</v>
      </c>
    </row>
    <row r="7096">
      <c r="A7096" s="62" t="n">
        <v>46631</v>
      </c>
      <c r="B7096" s="3" t="inlineStr">
        <is>
          <t>Week</t>
        </is>
      </c>
      <c r="C7096" s="19" t="n">
        <v>9</v>
      </c>
      <c r="D7096" s="19" t="n">
        <v>2027</v>
      </c>
      <c r="E7096" s="57" t="n">
        <v>7</v>
      </c>
      <c r="F7096" s="29">
        <f>ROUND(((SUMIFS(Calendar!$F$2:$F$9997,Calendar!$B$2:$B$9997,D7096,Calendar!$C$2:$C$9997,C7096)*INDEX(ForeCalc!$B$37:$Y$274,MATCH(_xlfn.CONCAT(H7096," ",I7096),ForeCalc!$A$37:$A$274,0),MATCH(_xlfn.CONCAT(B7096," ",E7096),ForeCalc!$B$36:$Y$36,0))))*VLOOKUP(A7096,Calendar!$A$2:$H$9997,8,FALSE),0)</f>
        <v/>
      </c>
      <c r="G7096" s="29">
        <f>VLOOKUP(A7096,Calendar!$A$1:$H$9997,6,FALSE)-F7096</f>
        <v/>
      </c>
      <c r="H7096" s="19" t="n">
        <v>2</v>
      </c>
      <c r="I7096" s="57" t="n">
        <v>6</v>
      </c>
    </row>
    <row r="7097">
      <c r="A7097" s="62" t="n">
        <v>46632</v>
      </c>
      <c r="B7097" s="3" t="inlineStr">
        <is>
          <t>Week</t>
        </is>
      </c>
      <c r="C7097" s="19" t="n">
        <v>9</v>
      </c>
      <c r="D7097" s="19" t="n">
        <v>2027</v>
      </c>
      <c r="E7097" s="57" t="n">
        <v>7</v>
      </c>
      <c r="F7097" s="29">
        <f>ROUND(((SUMIFS(Calendar!$F$2:$F$9997,Calendar!$B$2:$B$9997,D7097,Calendar!$C$2:$C$9997,C7097)*INDEX(ForeCalc!$B$37:$Y$274,MATCH(_xlfn.CONCAT(H7097," ",I7097),ForeCalc!$A$37:$A$274,0),MATCH(_xlfn.CONCAT(B7097," ",E7097),ForeCalc!$B$36:$Y$36,0))))*VLOOKUP(A7097,Calendar!$A$2:$H$9997,8,FALSE),0)</f>
        <v/>
      </c>
      <c r="G7097" s="29">
        <f>VLOOKUP(A7097,Calendar!$A$1:$H$9997,6,FALSE)-F7097</f>
        <v/>
      </c>
      <c r="H7097" s="19" t="n">
        <v>2</v>
      </c>
      <c r="I7097" s="57" t="n">
        <v>6</v>
      </c>
    </row>
    <row r="7098">
      <c r="A7098" s="62" t="n">
        <v>46633</v>
      </c>
      <c r="B7098" s="3" t="inlineStr">
        <is>
          <t>Week</t>
        </is>
      </c>
      <c r="C7098" s="19" t="n">
        <v>9</v>
      </c>
      <c r="D7098" s="19" t="n">
        <v>2027</v>
      </c>
      <c r="E7098" s="57" t="n">
        <v>7</v>
      </c>
      <c r="F7098" s="29">
        <f>ROUND(((SUMIFS(Calendar!$F$2:$F$9997,Calendar!$B$2:$B$9997,D7098,Calendar!$C$2:$C$9997,C7098)*INDEX(ForeCalc!$B$37:$Y$274,MATCH(_xlfn.CONCAT(H7098," ",I7098),ForeCalc!$A$37:$A$274,0),MATCH(_xlfn.CONCAT(B7098," ",E7098),ForeCalc!$B$36:$Y$36,0))))*VLOOKUP(A7098,Calendar!$A$2:$H$9997,8,FALSE),0)</f>
        <v/>
      </c>
      <c r="G7098" s="29">
        <f>VLOOKUP(A7098,Calendar!$A$1:$H$9997,6,FALSE)-F7098</f>
        <v/>
      </c>
      <c r="H7098" s="19" t="n">
        <v>2</v>
      </c>
      <c r="I7098" s="57" t="n">
        <v>6</v>
      </c>
    </row>
    <row r="7099">
      <c r="A7099" s="62" t="n">
        <v>46634</v>
      </c>
      <c r="B7099" s="3" t="inlineStr">
        <is>
          <t>Sat</t>
        </is>
      </c>
      <c r="C7099" s="19" t="n">
        <v>9</v>
      </c>
      <c r="D7099" s="19" t="n">
        <v>2027</v>
      </c>
      <c r="E7099" s="57" t="n">
        <v>7</v>
      </c>
      <c r="F7099" s="29">
        <f>ROUND(((SUMIFS(Calendar!$F$2:$F$9997,Calendar!$B$2:$B$9997,D7099,Calendar!$C$2:$C$9997,C7099)*INDEX(ForeCalc!$B$37:$Y$274,MATCH(_xlfn.CONCAT(H7099," ",I7099),ForeCalc!$A$37:$A$274,0),MATCH(_xlfn.CONCAT(B7099," ",E7099),ForeCalc!$B$36:$Y$36,0))))*VLOOKUP(A7099,Calendar!$A$2:$H$9997,8,FALSE),0)</f>
        <v/>
      </c>
      <c r="G7099" s="29">
        <f>VLOOKUP(A7099,Calendar!$A$1:$H$9997,6,FALSE)-F7099</f>
        <v/>
      </c>
      <c r="H7099" s="19" t="n">
        <v>2</v>
      </c>
      <c r="I7099" s="57" t="n">
        <v>6</v>
      </c>
    </row>
    <row r="7100">
      <c r="A7100" s="62" t="n">
        <v>46635</v>
      </c>
      <c r="B7100" s="3" t="inlineStr">
        <is>
          <t>Sun</t>
        </is>
      </c>
      <c r="C7100" s="19" t="n">
        <v>9</v>
      </c>
      <c r="D7100" s="19" t="n">
        <v>2027</v>
      </c>
      <c r="E7100" s="57" t="n">
        <v>7</v>
      </c>
      <c r="F7100" s="29">
        <f>ROUND(((SUMIFS(Calendar!$F$2:$F$9997,Calendar!$B$2:$B$9997,D7100,Calendar!$C$2:$C$9997,C7100)*INDEX(ForeCalc!$B$37:$Y$274,MATCH(_xlfn.CONCAT(H7100," ",I7100),ForeCalc!$A$37:$A$274,0),MATCH(_xlfn.CONCAT(B7100," ",E7100),ForeCalc!$B$36:$Y$36,0))))*VLOOKUP(A7100,Calendar!$A$2:$H$9997,8,FALSE),0)</f>
        <v/>
      </c>
      <c r="G7100" s="29">
        <f>VLOOKUP(A7100,Calendar!$A$1:$H$9997,6,FALSE)-F7100</f>
        <v/>
      </c>
      <c r="H7100" s="19" t="n">
        <v>2</v>
      </c>
      <c r="I7100" s="57" t="n">
        <v>6</v>
      </c>
    </row>
    <row r="7101">
      <c r="A7101" s="62" t="n">
        <v>46636</v>
      </c>
      <c r="B7101" s="3" t="inlineStr">
        <is>
          <t>Week</t>
        </is>
      </c>
      <c r="C7101" s="19" t="n">
        <v>9</v>
      </c>
      <c r="D7101" s="19" t="n">
        <v>2027</v>
      </c>
      <c r="E7101" s="57" t="n">
        <v>7</v>
      </c>
      <c r="F7101" s="29">
        <f>ROUND(((SUMIFS(Calendar!$F$2:$F$9997,Calendar!$B$2:$B$9997,D7101,Calendar!$C$2:$C$9997,C7101)*INDEX(ForeCalc!$B$37:$Y$274,MATCH(_xlfn.CONCAT(H7101," ",I7101),ForeCalc!$A$37:$A$274,0),MATCH(_xlfn.CONCAT(B7101," ",E7101),ForeCalc!$B$36:$Y$36,0))))*VLOOKUP(A7101,Calendar!$A$2:$H$9997,8,FALSE),0)</f>
        <v/>
      </c>
      <c r="G7101" s="29">
        <f>VLOOKUP(A7101,Calendar!$A$1:$H$9997,6,FALSE)-F7101</f>
        <v/>
      </c>
      <c r="H7101" s="19" t="n">
        <v>2</v>
      </c>
      <c r="I7101" s="57" t="n">
        <v>6</v>
      </c>
    </row>
    <row r="7102">
      <c r="A7102" s="62" t="n">
        <v>46637</v>
      </c>
      <c r="B7102" s="3" t="inlineStr">
        <is>
          <t>Week</t>
        </is>
      </c>
      <c r="C7102" s="19" t="n">
        <v>9</v>
      </c>
      <c r="D7102" s="19" t="n">
        <v>2027</v>
      </c>
      <c r="E7102" s="57" t="n">
        <v>7</v>
      </c>
      <c r="F7102" s="29">
        <f>ROUND(((SUMIFS(Calendar!$F$2:$F$9997,Calendar!$B$2:$B$9997,D7102,Calendar!$C$2:$C$9997,C7102)*INDEX(ForeCalc!$B$37:$Y$274,MATCH(_xlfn.CONCAT(H7102," ",I7102),ForeCalc!$A$37:$A$274,0),MATCH(_xlfn.CONCAT(B7102," ",E7102),ForeCalc!$B$36:$Y$36,0))))*VLOOKUP(A7102,Calendar!$A$2:$H$9997,8,FALSE),0)</f>
        <v/>
      </c>
      <c r="G7102" s="29">
        <f>VLOOKUP(A7102,Calendar!$A$1:$H$9997,6,FALSE)-F7102</f>
        <v/>
      </c>
      <c r="H7102" s="19" t="n">
        <v>2</v>
      </c>
      <c r="I7102" s="57" t="n">
        <v>6</v>
      </c>
    </row>
    <row r="7103">
      <c r="A7103" s="62" t="n">
        <v>46638</v>
      </c>
      <c r="B7103" s="3" t="inlineStr">
        <is>
          <t>Week</t>
        </is>
      </c>
      <c r="C7103" s="19" t="n">
        <v>9</v>
      </c>
      <c r="D7103" s="19" t="n">
        <v>2027</v>
      </c>
      <c r="E7103" s="57" t="n">
        <v>7</v>
      </c>
      <c r="F7103" s="29">
        <f>ROUND(((SUMIFS(Calendar!$F$2:$F$9997,Calendar!$B$2:$B$9997,D7103,Calendar!$C$2:$C$9997,C7103)*INDEX(ForeCalc!$B$37:$Y$274,MATCH(_xlfn.CONCAT(H7103," ",I7103),ForeCalc!$A$37:$A$274,0),MATCH(_xlfn.CONCAT(B7103," ",E7103),ForeCalc!$B$36:$Y$36,0))))*VLOOKUP(A7103,Calendar!$A$2:$H$9997,8,FALSE),0)</f>
        <v/>
      </c>
      <c r="G7103" s="29">
        <f>VLOOKUP(A7103,Calendar!$A$1:$H$9997,6,FALSE)-F7103</f>
        <v/>
      </c>
      <c r="H7103" s="19" t="n">
        <v>2</v>
      </c>
      <c r="I7103" s="57" t="n">
        <v>6</v>
      </c>
    </row>
    <row r="7104">
      <c r="A7104" s="62" t="n">
        <v>46639</v>
      </c>
      <c r="B7104" s="3" t="inlineStr">
        <is>
          <t>Week</t>
        </is>
      </c>
      <c r="C7104" s="19" t="n">
        <v>9</v>
      </c>
      <c r="D7104" s="19" t="n">
        <v>2027</v>
      </c>
      <c r="E7104" s="57" t="n">
        <v>7</v>
      </c>
      <c r="F7104" s="29">
        <f>ROUND(((SUMIFS(Calendar!$F$2:$F$9997,Calendar!$B$2:$B$9997,D7104,Calendar!$C$2:$C$9997,C7104)*INDEX(ForeCalc!$B$37:$Y$274,MATCH(_xlfn.CONCAT(H7104," ",I7104),ForeCalc!$A$37:$A$274,0),MATCH(_xlfn.CONCAT(B7104," ",E7104),ForeCalc!$B$36:$Y$36,0))))*VLOOKUP(A7104,Calendar!$A$2:$H$9997,8,FALSE),0)</f>
        <v/>
      </c>
      <c r="G7104" s="29">
        <f>VLOOKUP(A7104,Calendar!$A$1:$H$9997,6,FALSE)-F7104</f>
        <v/>
      </c>
      <c r="H7104" s="19" t="n">
        <v>2</v>
      </c>
      <c r="I7104" s="57" t="n">
        <v>6</v>
      </c>
    </row>
    <row r="7105">
      <c r="A7105" s="62" t="n">
        <v>46640</v>
      </c>
      <c r="B7105" s="3" t="inlineStr">
        <is>
          <t>Week</t>
        </is>
      </c>
      <c r="C7105" s="19" t="n">
        <v>9</v>
      </c>
      <c r="D7105" s="19" t="n">
        <v>2027</v>
      </c>
      <c r="E7105" s="57" t="n">
        <v>7</v>
      </c>
      <c r="F7105" s="29">
        <f>ROUND(((SUMIFS(Calendar!$F$2:$F$9997,Calendar!$B$2:$B$9997,D7105,Calendar!$C$2:$C$9997,C7105)*INDEX(ForeCalc!$B$37:$Y$274,MATCH(_xlfn.CONCAT(H7105," ",I7105),ForeCalc!$A$37:$A$274,0),MATCH(_xlfn.CONCAT(B7105," ",E7105),ForeCalc!$B$36:$Y$36,0))))*VLOOKUP(A7105,Calendar!$A$2:$H$9997,8,FALSE),0)</f>
        <v/>
      </c>
      <c r="G7105" s="29">
        <f>VLOOKUP(A7105,Calendar!$A$1:$H$9997,6,FALSE)-F7105</f>
        <v/>
      </c>
      <c r="H7105" s="19" t="n">
        <v>2</v>
      </c>
      <c r="I7105" s="57" t="n">
        <v>6</v>
      </c>
    </row>
    <row r="7106">
      <c r="A7106" s="62" t="n">
        <v>46641</v>
      </c>
      <c r="B7106" s="3" t="inlineStr">
        <is>
          <t>Sat</t>
        </is>
      </c>
      <c r="C7106" s="19" t="n">
        <v>9</v>
      </c>
      <c r="D7106" s="19" t="n">
        <v>2027</v>
      </c>
      <c r="E7106" s="57" t="n">
        <v>7</v>
      </c>
      <c r="F7106" s="29">
        <f>ROUND(((SUMIFS(Calendar!$F$2:$F$9997,Calendar!$B$2:$B$9997,D7106,Calendar!$C$2:$C$9997,C7106)*INDEX(ForeCalc!$B$37:$Y$274,MATCH(_xlfn.CONCAT(H7106," ",I7106),ForeCalc!$A$37:$A$274,0),MATCH(_xlfn.CONCAT(B7106," ",E7106),ForeCalc!$B$36:$Y$36,0))))*VLOOKUP(A7106,Calendar!$A$2:$H$9997,8,FALSE),0)</f>
        <v/>
      </c>
      <c r="G7106" s="29">
        <f>VLOOKUP(A7106,Calendar!$A$1:$H$9997,6,FALSE)-F7106</f>
        <v/>
      </c>
      <c r="H7106" s="19" t="n">
        <v>2</v>
      </c>
      <c r="I7106" s="57" t="n">
        <v>6</v>
      </c>
    </row>
    <row r="7107">
      <c r="A7107" s="62" t="n">
        <v>46642</v>
      </c>
      <c r="B7107" s="3" t="inlineStr">
        <is>
          <t>Sun</t>
        </is>
      </c>
      <c r="C7107" s="19" t="n">
        <v>9</v>
      </c>
      <c r="D7107" s="19" t="n">
        <v>2027</v>
      </c>
      <c r="E7107" s="57" t="n">
        <v>7</v>
      </c>
      <c r="F7107" s="29">
        <f>ROUND(((SUMIFS(Calendar!$F$2:$F$9997,Calendar!$B$2:$B$9997,D7107,Calendar!$C$2:$C$9997,C7107)*INDEX(ForeCalc!$B$37:$Y$274,MATCH(_xlfn.CONCAT(H7107," ",I7107),ForeCalc!$A$37:$A$274,0),MATCH(_xlfn.CONCAT(B7107," ",E7107),ForeCalc!$B$36:$Y$36,0))))*VLOOKUP(A7107,Calendar!$A$2:$H$9997,8,FALSE),0)</f>
        <v/>
      </c>
      <c r="G7107" s="29">
        <f>VLOOKUP(A7107,Calendar!$A$1:$H$9997,6,FALSE)-F7107</f>
        <v/>
      </c>
      <c r="H7107" s="19" t="n">
        <v>2</v>
      </c>
      <c r="I7107" s="57" t="n">
        <v>6</v>
      </c>
    </row>
    <row r="7108">
      <c r="A7108" s="62" t="n">
        <v>46643</v>
      </c>
      <c r="B7108" s="3" t="inlineStr">
        <is>
          <t>Week</t>
        </is>
      </c>
      <c r="C7108" s="19" t="n">
        <v>9</v>
      </c>
      <c r="D7108" s="19" t="n">
        <v>2027</v>
      </c>
      <c r="E7108" s="57" t="n">
        <v>7</v>
      </c>
      <c r="F7108" s="29">
        <f>ROUND(((SUMIFS(Calendar!$F$2:$F$9997,Calendar!$B$2:$B$9997,D7108,Calendar!$C$2:$C$9997,C7108)*INDEX(ForeCalc!$B$37:$Y$274,MATCH(_xlfn.CONCAT(H7108," ",I7108),ForeCalc!$A$37:$A$274,0),MATCH(_xlfn.CONCAT(B7108," ",E7108),ForeCalc!$B$36:$Y$36,0))))*VLOOKUP(A7108,Calendar!$A$2:$H$9997,8,FALSE),0)</f>
        <v/>
      </c>
      <c r="G7108" s="29">
        <f>VLOOKUP(A7108,Calendar!$A$1:$H$9997,6,FALSE)-F7108</f>
        <v/>
      </c>
      <c r="H7108" s="19" t="n">
        <v>2</v>
      </c>
      <c r="I7108" s="57" t="n">
        <v>6</v>
      </c>
    </row>
    <row r="7109">
      <c r="A7109" s="62" t="n">
        <v>46644</v>
      </c>
      <c r="B7109" s="3" t="inlineStr">
        <is>
          <t>Week</t>
        </is>
      </c>
      <c r="C7109" s="19" t="n">
        <v>9</v>
      </c>
      <c r="D7109" s="19" t="n">
        <v>2027</v>
      </c>
      <c r="E7109" s="57" t="n">
        <v>7</v>
      </c>
      <c r="F7109" s="29">
        <f>ROUND(((SUMIFS(Calendar!$F$2:$F$9997,Calendar!$B$2:$B$9997,D7109,Calendar!$C$2:$C$9997,C7109)*INDEX(ForeCalc!$B$37:$Y$274,MATCH(_xlfn.CONCAT(H7109," ",I7109),ForeCalc!$A$37:$A$274,0),MATCH(_xlfn.CONCAT(B7109," ",E7109),ForeCalc!$B$36:$Y$36,0))))*VLOOKUP(A7109,Calendar!$A$2:$H$9997,8,FALSE),0)</f>
        <v/>
      </c>
      <c r="G7109" s="29">
        <f>VLOOKUP(A7109,Calendar!$A$1:$H$9997,6,FALSE)-F7109</f>
        <v/>
      </c>
      <c r="H7109" s="19" t="n">
        <v>2</v>
      </c>
      <c r="I7109" s="57" t="n">
        <v>6</v>
      </c>
    </row>
    <row r="7110">
      <c r="A7110" s="62" t="n">
        <v>46645</v>
      </c>
      <c r="B7110" s="3" t="inlineStr">
        <is>
          <t>Week</t>
        </is>
      </c>
      <c r="C7110" s="19" t="n">
        <v>9</v>
      </c>
      <c r="D7110" s="19" t="n">
        <v>2027</v>
      </c>
      <c r="E7110" s="57" t="n">
        <v>7</v>
      </c>
      <c r="F7110" s="29">
        <f>ROUND(((SUMIFS(Calendar!$F$2:$F$9997,Calendar!$B$2:$B$9997,D7110,Calendar!$C$2:$C$9997,C7110)*INDEX(ForeCalc!$B$37:$Y$274,MATCH(_xlfn.CONCAT(H7110," ",I7110),ForeCalc!$A$37:$A$274,0),MATCH(_xlfn.CONCAT(B7110," ",E7110),ForeCalc!$B$36:$Y$36,0))))*VLOOKUP(A7110,Calendar!$A$2:$H$9997,8,FALSE),0)</f>
        <v/>
      </c>
      <c r="G7110" s="29">
        <f>VLOOKUP(A7110,Calendar!$A$1:$H$9997,6,FALSE)-F7110</f>
        <v/>
      </c>
      <c r="H7110" s="19" t="n">
        <v>2</v>
      </c>
      <c r="I7110" s="57" t="n">
        <v>6</v>
      </c>
    </row>
    <row r="7111">
      <c r="A7111" s="62" t="n">
        <v>46646</v>
      </c>
      <c r="B7111" s="3" t="inlineStr">
        <is>
          <t>Week</t>
        </is>
      </c>
      <c r="C7111" s="19" t="n">
        <v>9</v>
      </c>
      <c r="D7111" s="19" t="n">
        <v>2027</v>
      </c>
      <c r="E7111" s="57" t="n">
        <v>7</v>
      </c>
      <c r="F7111" s="29">
        <f>ROUND(((SUMIFS(Calendar!$F$2:$F$9997,Calendar!$B$2:$B$9997,D7111,Calendar!$C$2:$C$9997,C7111)*INDEX(ForeCalc!$B$37:$Y$274,MATCH(_xlfn.CONCAT(H7111," ",I7111),ForeCalc!$A$37:$A$274,0),MATCH(_xlfn.CONCAT(B7111," ",E7111),ForeCalc!$B$36:$Y$36,0))))*VLOOKUP(A7111,Calendar!$A$2:$H$9997,8,FALSE),0)</f>
        <v/>
      </c>
      <c r="G7111" s="29">
        <f>VLOOKUP(A7111,Calendar!$A$1:$H$9997,6,FALSE)-F7111</f>
        <v/>
      </c>
      <c r="H7111" s="19" t="n">
        <v>2</v>
      </c>
      <c r="I7111" s="57" t="n">
        <v>6</v>
      </c>
    </row>
    <row r="7112">
      <c r="A7112" s="62" t="n">
        <v>46647</v>
      </c>
      <c r="B7112" s="3" t="inlineStr">
        <is>
          <t>Week</t>
        </is>
      </c>
      <c r="C7112" s="19" t="n">
        <v>9</v>
      </c>
      <c r="D7112" s="19" t="n">
        <v>2027</v>
      </c>
      <c r="E7112" s="57" t="n">
        <v>7</v>
      </c>
      <c r="F7112" s="29">
        <f>ROUND(((SUMIFS(Calendar!$F$2:$F$9997,Calendar!$B$2:$B$9997,D7112,Calendar!$C$2:$C$9997,C7112)*INDEX(ForeCalc!$B$37:$Y$274,MATCH(_xlfn.CONCAT(H7112," ",I7112),ForeCalc!$A$37:$A$274,0),MATCH(_xlfn.CONCAT(B7112," ",E7112),ForeCalc!$B$36:$Y$36,0))))*VLOOKUP(A7112,Calendar!$A$2:$H$9997,8,FALSE),0)</f>
        <v/>
      </c>
      <c r="G7112" s="29">
        <f>VLOOKUP(A7112,Calendar!$A$1:$H$9997,6,FALSE)-F7112</f>
        <v/>
      </c>
      <c r="H7112" s="19" t="n">
        <v>2</v>
      </c>
      <c r="I7112" s="57" t="n">
        <v>6</v>
      </c>
    </row>
    <row r="7113">
      <c r="A7113" s="62" t="n">
        <v>46648</v>
      </c>
      <c r="B7113" s="3" t="inlineStr">
        <is>
          <t>Sat</t>
        </is>
      </c>
      <c r="C7113" s="19" t="n">
        <v>9</v>
      </c>
      <c r="D7113" s="19" t="n">
        <v>2027</v>
      </c>
      <c r="E7113" s="57" t="n">
        <v>7</v>
      </c>
      <c r="F7113" s="29">
        <f>ROUND(((SUMIFS(Calendar!$F$2:$F$9997,Calendar!$B$2:$B$9997,D7113,Calendar!$C$2:$C$9997,C7113)*INDEX(ForeCalc!$B$37:$Y$274,MATCH(_xlfn.CONCAT(H7113," ",I7113),ForeCalc!$A$37:$A$274,0),MATCH(_xlfn.CONCAT(B7113," ",E7113),ForeCalc!$B$36:$Y$36,0))))*VLOOKUP(A7113,Calendar!$A$2:$H$9997,8,FALSE),0)</f>
        <v/>
      </c>
      <c r="G7113" s="29">
        <f>VLOOKUP(A7113,Calendar!$A$1:$H$9997,6,FALSE)-F7113</f>
        <v/>
      </c>
      <c r="H7113" s="19" t="n">
        <v>2</v>
      </c>
      <c r="I7113" s="57" t="n">
        <v>6</v>
      </c>
    </row>
    <row r="7114">
      <c r="A7114" s="62" t="n">
        <v>46649</v>
      </c>
      <c r="B7114" s="3" t="inlineStr">
        <is>
          <t>Sun</t>
        </is>
      </c>
      <c r="C7114" s="19" t="n">
        <v>9</v>
      </c>
      <c r="D7114" s="19" t="n">
        <v>2027</v>
      </c>
      <c r="E7114" s="57" t="n">
        <v>7</v>
      </c>
      <c r="F7114" s="29">
        <f>ROUND(((SUMIFS(Calendar!$F$2:$F$9997,Calendar!$B$2:$B$9997,D7114,Calendar!$C$2:$C$9997,C7114)*INDEX(ForeCalc!$B$37:$Y$274,MATCH(_xlfn.CONCAT(H7114," ",I7114),ForeCalc!$A$37:$A$274,0),MATCH(_xlfn.CONCAT(B7114," ",E7114),ForeCalc!$B$36:$Y$36,0))))*VLOOKUP(A7114,Calendar!$A$2:$H$9997,8,FALSE),0)</f>
        <v/>
      </c>
      <c r="G7114" s="29">
        <f>VLOOKUP(A7114,Calendar!$A$1:$H$9997,6,FALSE)-F7114</f>
        <v/>
      </c>
      <c r="H7114" s="19" t="n">
        <v>2</v>
      </c>
      <c r="I7114" s="57" t="n">
        <v>6</v>
      </c>
    </row>
    <row r="7115">
      <c r="A7115" s="62" t="n">
        <v>46650</v>
      </c>
      <c r="B7115" s="3" t="inlineStr">
        <is>
          <t>Week</t>
        </is>
      </c>
      <c r="C7115" s="19" t="n">
        <v>9</v>
      </c>
      <c r="D7115" s="19" t="n">
        <v>2027</v>
      </c>
      <c r="E7115" s="57" t="n">
        <v>7</v>
      </c>
      <c r="F7115" s="29">
        <f>ROUND(((SUMIFS(Calendar!$F$2:$F$9997,Calendar!$B$2:$B$9997,D7115,Calendar!$C$2:$C$9997,C7115)*INDEX(ForeCalc!$B$37:$Y$274,MATCH(_xlfn.CONCAT(H7115," ",I7115),ForeCalc!$A$37:$A$274,0),MATCH(_xlfn.CONCAT(B7115," ",E7115),ForeCalc!$B$36:$Y$36,0))))*VLOOKUP(A7115,Calendar!$A$2:$H$9997,8,FALSE),0)</f>
        <v/>
      </c>
      <c r="G7115" s="29">
        <f>VLOOKUP(A7115,Calendar!$A$1:$H$9997,6,FALSE)-F7115</f>
        <v/>
      </c>
      <c r="H7115" s="19" t="n">
        <v>2</v>
      </c>
      <c r="I7115" s="57" t="n">
        <v>6</v>
      </c>
    </row>
    <row r="7116">
      <c r="A7116" s="62" t="n">
        <v>46651</v>
      </c>
      <c r="B7116" s="3" t="inlineStr">
        <is>
          <t>Week</t>
        </is>
      </c>
      <c r="C7116" s="19" t="n">
        <v>9</v>
      </c>
      <c r="D7116" s="19" t="n">
        <v>2027</v>
      </c>
      <c r="E7116" s="57" t="n">
        <v>7</v>
      </c>
      <c r="F7116" s="29">
        <f>ROUND(((SUMIFS(Calendar!$F$2:$F$9997,Calendar!$B$2:$B$9997,D7116,Calendar!$C$2:$C$9997,C7116)*INDEX(ForeCalc!$B$37:$Y$274,MATCH(_xlfn.CONCAT(H7116," ",I7116),ForeCalc!$A$37:$A$274,0),MATCH(_xlfn.CONCAT(B7116," ",E7116),ForeCalc!$B$36:$Y$36,0))))*VLOOKUP(A7116,Calendar!$A$2:$H$9997,8,FALSE),0)</f>
        <v/>
      </c>
      <c r="G7116" s="29">
        <f>VLOOKUP(A7116,Calendar!$A$1:$H$9997,6,FALSE)-F7116</f>
        <v/>
      </c>
      <c r="H7116" s="19" t="n">
        <v>2</v>
      </c>
      <c r="I7116" s="57" t="n">
        <v>6</v>
      </c>
    </row>
    <row r="7117">
      <c r="A7117" s="62" t="n">
        <v>46652</v>
      </c>
      <c r="B7117" s="3" t="inlineStr">
        <is>
          <t>Week</t>
        </is>
      </c>
      <c r="C7117" s="19" t="n">
        <v>9</v>
      </c>
      <c r="D7117" s="19" t="n">
        <v>2027</v>
      </c>
      <c r="E7117" s="57" t="n">
        <v>7</v>
      </c>
      <c r="F7117" s="29">
        <f>ROUND(((SUMIFS(Calendar!$F$2:$F$9997,Calendar!$B$2:$B$9997,D7117,Calendar!$C$2:$C$9997,C7117)*INDEX(ForeCalc!$B$37:$Y$274,MATCH(_xlfn.CONCAT(H7117," ",I7117),ForeCalc!$A$37:$A$274,0),MATCH(_xlfn.CONCAT(B7117," ",E7117),ForeCalc!$B$36:$Y$36,0))))*VLOOKUP(A7117,Calendar!$A$2:$H$9997,8,FALSE),0)</f>
        <v/>
      </c>
      <c r="G7117" s="29">
        <f>VLOOKUP(A7117,Calendar!$A$1:$H$9997,6,FALSE)-F7117</f>
        <v/>
      </c>
      <c r="H7117" s="19" t="n">
        <v>2</v>
      </c>
      <c r="I7117" s="57" t="n">
        <v>6</v>
      </c>
    </row>
    <row r="7118">
      <c r="A7118" s="62" t="n">
        <v>46653</v>
      </c>
      <c r="B7118" s="3" t="inlineStr">
        <is>
          <t>Week</t>
        </is>
      </c>
      <c r="C7118" s="19" t="n">
        <v>9</v>
      </c>
      <c r="D7118" s="19" t="n">
        <v>2027</v>
      </c>
      <c r="E7118" s="57" t="n">
        <v>7</v>
      </c>
      <c r="F7118" s="29">
        <f>ROUND(((SUMIFS(Calendar!$F$2:$F$9997,Calendar!$B$2:$B$9997,D7118,Calendar!$C$2:$C$9997,C7118)*INDEX(ForeCalc!$B$37:$Y$274,MATCH(_xlfn.CONCAT(H7118," ",I7118),ForeCalc!$A$37:$A$274,0),MATCH(_xlfn.CONCAT(B7118," ",E7118),ForeCalc!$B$36:$Y$36,0))))*VLOOKUP(A7118,Calendar!$A$2:$H$9997,8,FALSE),0)</f>
        <v/>
      </c>
      <c r="G7118" s="29">
        <f>VLOOKUP(A7118,Calendar!$A$1:$H$9997,6,FALSE)-F7118</f>
        <v/>
      </c>
      <c r="H7118" s="19" t="n">
        <v>2</v>
      </c>
      <c r="I7118" s="57" t="n">
        <v>6</v>
      </c>
    </row>
    <row r="7119">
      <c r="A7119" s="62" t="n">
        <v>46654</v>
      </c>
      <c r="B7119" s="3" t="inlineStr">
        <is>
          <t>Week</t>
        </is>
      </c>
      <c r="C7119" s="19" t="n">
        <v>9</v>
      </c>
      <c r="D7119" s="19" t="n">
        <v>2027</v>
      </c>
      <c r="E7119" s="57" t="n">
        <v>7</v>
      </c>
      <c r="F7119" s="29">
        <f>ROUND(((SUMIFS(Calendar!$F$2:$F$9997,Calendar!$B$2:$B$9997,D7119,Calendar!$C$2:$C$9997,C7119)*INDEX(ForeCalc!$B$37:$Y$274,MATCH(_xlfn.CONCAT(H7119," ",I7119),ForeCalc!$A$37:$A$274,0),MATCH(_xlfn.CONCAT(B7119," ",E7119),ForeCalc!$B$36:$Y$36,0))))*VLOOKUP(A7119,Calendar!$A$2:$H$9997,8,FALSE),0)</f>
        <v/>
      </c>
      <c r="G7119" s="29">
        <f>VLOOKUP(A7119,Calendar!$A$1:$H$9997,6,FALSE)-F7119</f>
        <v/>
      </c>
      <c r="H7119" s="19" t="n">
        <v>2</v>
      </c>
      <c r="I7119" s="57" t="n">
        <v>6</v>
      </c>
    </row>
    <row r="7120">
      <c r="A7120" s="62" t="n">
        <v>46655</v>
      </c>
      <c r="B7120" s="3" t="inlineStr">
        <is>
          <t>Sat</t>
        </is>
      </c>
      <c r="C7120" s="19" t="n">
        <v>9</v>
      </c>
      <c r="D7120" s="19" t="n">
        <v>2027</v>
      </c>
      <c r="E7120" s="57" t="n">
        <v>7</v>
      </c>
      <c r="F7120" s="29">
        <f>ROUND(((SUMIFS(Calendar!$F$2:$F$9997,Calendar!$B$2:$B$9997,D7120,Calendar!$C$2:$C$9997,C7120)*INDEX(ForeCalc!$B$37:$Y$274,MATCH(_xlfn.CONCAT(H7120," ",I7120),ForeCalc!$A$37:$A$274,0),MATCH(_xlfn.CONCAT(B7120," ",E7120),ForeCalc!$B$36:$Y$36,0))))*VLOOKUP(A7120,Calendar!$A$2:$H$9997,8,FALSE),0)</f>
        <v/>
      </c>
      <c r="G7120" s="29">
        <f>VLOOKUP(A7120,Calendar!$A$1:$H$9997,6,FALSE)-F7120</f>
        <v/>
      </c>
      <c r="H7120" s="19" t="n">
        <v>2</v>
      </c>
      <c r="I7120" s="57" t="n">
        <v>6</v>
      </c>
    </row>
    <row r="7121">
      <c r="A7121" s="62" t="n">
        <v>46656</v>
      </c>
      <c r="B7121" s="3" t="inlineStr">
        <is>
          <t>Sun</t>
        </is>
      </c>
      <c r="C7121" s="19" t="n">
        <v>9</v>
      </c>
      <c r="D7121" s="19" t="n">
        <v>2027</v>
      </c>
      <c r="E7121" s="57" t="n">
        <v>7</v>
      </c>
      <c r="F7121" s="29">
        <f>ROUND(((SUMIFS(Calendar!$F$2:$F$9997,Calendar!$B$2:$B$9997,D7121,Calendar!$C$2:$C$9997,C7121)*INDEX(ForeCalc!$B$37:$Y$274,MATCH(_xlfn.CONCAT(H7121," ",I7121),ForeCalc!$A$37:$A$274,0),MATCH(_xlfn.CONCAT(B7121," ",E7121),ForeCalc!$B$36:$Y$36,0))))*VLOOKUP(A7121,Calendar!$A$2:$H$9997,8,FALSE),0)</f>
        <v/>
      </c>
      <c r="G7121" s="29">
        <f>VLOOKUP(A7121,Calendar!$A$1:$H$9997,6,FALSE)-F7121</f>
        <v/>
      </c>
      <c r="H7121" s="19" t="n">
        <v>2</v>
      </c>
      <c r="I7121" s="57" t="n">
        <v>6</v>
      </c>
    </row>
    <row r="7122">
      <c r="A7122" s="62" t="n">
        <v>46657</v>
      </c>
      <c r="B7122" s="3" t="inlineStr">
        <is>
          <t>Week</t>
        </is>
      </c>
      <c r="C7122" s="19" t="n">
        <v>9</v>
      </c>
      <c r="D7122" s="19" t="n">
        <v>2027</v>
      </c>
      <c r="E7122" s="57" t="n">
        <v>7</v>
      </c>
      <c r="F7122" s="29">
        <f>ROUND(((SUMIFS(Calendar!$F$2:$F$9997,Calendar!$B$2:$B$9997,D7122,Calendar!$C$2:$C$9997,C7122)*INDEX(ForeCalc!$B$37:$Y$274,MATCH(_xlfn.CONCAT(H7122," ",I7122),ForeCalc!$A$37:$A$274,0),MATCH(_xlfn.CONCAT(B7122," ",E7122),ForeCalc!$B$36:$Y$36,0))))*VLOOKUP(A7122,Calendar!$A$2:$H$9997,8,FALSE),0)</f>
        <v/>
      </c>
      <c r="G7122" s="29">
        <f>VLOOKUP(A7122,Calendar!$A$1:$H$9997,6,FALSE)-F7122</f>
        <v/>
      </c>
      <c r="H7122" s="19" t="n">
        <v>2</v>
      </c>
      <c r="I7122" s="57" t="n">
        <v>6</v>
      </c>
    </row>
    <row r="7123">
      <c r="A7123" s="62" t="n">
        <v>46658</v>
      </c>
      <c r="B7123" s="3" t="inlineStr">
        <is>
          <t>Week</t>
        </is>
      </c>
      <c r="C7123" s="19" t="n">
        <v>9</v>
      </c>
      <c r="D7123" s="19" t="n">
        <v>2027</v>
      </c>
      <c r="E7123" s="57" t="n">
        <v>7</v>
      </c>
      <c r="F7123" s="29">
        <f>ROUND(((SUMIFS(Calendar!$F$2:$F$9997,Calendar!$B$2:$B$9997,D7123,Calendar!$C$2:$C$9997,C7123)*INDEX(ForeCalc!$B$37:$Y$274,MATCH(_xlfn.CONCAT(H7123," ",I7123),ForeCalc!$A$37:$A$274,0),MATCH(_xlfn.CONCAT(B7123," ",E7123),ForeCalc!$B$36:$Y$36,0))))*VLOOKUP(A7123,Calendar!$A$2:$H$9997,8,FALSE),0)</f>
        <v/>
      </c>
      <c r="G7123" s="29">
        <f>VLOOKUP(A7123,Calendar!$A$1:$H$9997,6,FALSE)-F7123</f>
        <v/>
      </c>
      <c r="H7123" s="19" t="n">
        <v>2</v>
      </c>
      <c r="I7123" s="57" t="n">
        <v>6</v>
      </c>
    </row>
    <row r="7124">
      <c r="A7124" s="62" t="n">
        <v>46659</v>
      </c>
      <c r="B7124" s="3" t="inlineStr">
        <is>
          <t>Week</t>
        </is>
      </c>
      <c r="C7124" s="19" t="n">
        <v>9</v>
      </c>
      <c r="D7124" s="19" t="n">
        <v>2027</v>
      </c>
      <c r="E7124" s="57" t="n">
        <v>7</v>
      </c>
      <c r="F7124" s="29">
        <f>ROUND(((SUMIFS(Calendar!$F$2:$F$9997,Calendar!$B$2:$B$9997,D7124,Calendar!$C$2:$C$9997,C7124)*INDEX(ForeCalc!$B$37:$Y$274,MATCH(_xlfn.CONCAT(H7124," ",I7124),ForeCalc!$A$37:$A$274,0),MATCH(_xlfn.CONCAT(B7124," ",E7124),ForeCalc!$B$36:$Y$36,0))))*VLOOKUP(A7124,Calendar!$A$2:$H$9997,8,FALSE),0)</f>
        <v/>
      </c>
      <c r="G7124" s="29">
        <f>VLOOKUP(A7124,Calendar!$A$1:$H$9997,6,FALSE)-F7124</f>
        <v/>
      </c>
      <c r="H7124" s="19" t="n">
        <v>2</v>
      </c>
      <c r="I7124" s="57" t="n">
        <v>6</v>
      </c>
    </row>
    <row r="7125">
      <c r="A7125" s="62" t="n">
        <v>46660</v>
      </c>
      <c r="B7125" s="3" t="inlineStr">
        <is>
          <t>Week</t>
        </is>
      </c>
      <c r="C7125" s="19" t="n">
        <v>9</v>
      </c>
      <c r="D7125" s="19" t="n">
        <v>2027</v>
      </c>
      <c r="E7125" s="57" t="n">
        <v>7</v>
      </c>
      <c r="F7125" s="29">
        <f>ROUND(((SUMIFS(Calendar!$F$2:$F$9997,Calendar!$B$2:$B$9997,D7125,Calendar!$C$2:$C$9997,C7125)*INDEX(ForeCalc!$B$37:$Y$274,MATCH(_xlfn.CONCAT(H7125," ",I7125),ForeCalc!$A$37:$A$274,0),MATCH(_xlfn.CONCAT(B7125," ",E7125),ForeCalc!$B$36:$Y$36,0))))*VLOOKUP(A7125,Calendar!$A$2:$H$9997,8,FALSE),0)</f>
        <v/>
      </c>
      <c r="G7125" s="29">
        <f>VLOOKUP(A7125,Calendar!$A$1:$H$9997,6,FALSE)-F7125</f>
        <v/>
      </c>
      <c r="H7125" s="19" t="n">
        <v>2</v>
      </c>
      <c r="I7125" s="57" t="n">
        <v>6</v>
      </c>
    </row>
    <row r="7126">
      <c r="A7126" s="62" t="n">
        <v>46661</v>
      </c>
      <c r="B7126" s="3" t="inlineStr">
        <is>
          <t>Week</t>
        </is>
      </c>
      <c r="C7126" s="19" t="n">
        <v>10</v>
      </c>
      <c r="D7126" s="19" t="n">
        <v>2027</v>
      </c>
      <c r="E7126" s="57" t="n">
        <v>7</v>
      </c>
      <c r="F7126" s="29">
        <f>ROUND(((SUMIFS(Calendar!$F$2:$F$9997,Calendar!$B$2:$B$9997,D7126,Calendar!$C$2:$C$9997,C7126)*INDEX(ForeCalc!$B$37:$Y$274,MATCH(_xlfn.CONCAT(H7126," ",I7126),ForeCalc!$A$37:$A$274,0),MATCH(_xlfn.CONCAT(B7126," ",E7126),ForeCalc!$B$36:$Y$36,0))))*VLOOKUP(A7126,Calendar!$A$2:$H$9997,8,FALSE),0)</f>
        <v/>
      </c>
      <c r="G7126" s="29">
        <f>VLOOKUP(A7126,Calendar!$A$1:$H$9997,6,FALSE)-F7126</f>
        <v/>
      </c>
      <c r="H7126" s="19" t="n">
        <v>2</v>
      </c>
      <c r="I7126" s="57" t="n">
        <v>7</v>
      </c>
    </row>
    <row r="7127">
      <c r="A7127" s="62" t="n">
        <v>46662</v>
      </c>
      <c r="B7127" s="3" t="inlineStr">
        <is>
          <t>Sat</t>
        </is>
      </c>
      <c r="C7127" s="19" t="n">
        <v>10</v>
      </c>
      <c r="D7127" s="19" t="n">
        <v>2027</v>
      </c>
      <c r="E7127" s="57" t="n">
        <v>7</v>
      </c>
      <c r="F7127" s="29">
        <f>ROUND(((SUMIFS(Calendar!$F$2:$F$9997,Calendar!$B$2:$B$9997,D7127,Calendar!$C$2:$C$9997,C7127)*INDEX(ForeCalc!$B$37:$Y$274,MATCH(_xlfn.CONCAT(H7127," ",I7127),ForeCalc!$A$37:$A$274,0),MATCH(_xlfn.CONCAT(B7127," ",E7127),ForeCalc!$B$36:$Y$36,0))))*VLOOKUP(A7127,Calendar!$A$2:$H$9997,8,FALSE),0)</f>
        <v/>
      </c>
      <c r="G7127" s="29">
        <f>VLOOKUP(A7127,Calendar!$A$1:$H$9997,6,FALSE)-F7127</f>
        <v/>
      </c>
      <c r="H7127" s="19" t="n">
        <v>2</v>
      </c>
      <c r="I7127" s="57" t="n">
        <v>7</v>
      </c>
    </row>
    <row r="7128">
      <c r="A7128" s="62" t="n">
        <v>46663</v>
      </c>
      <c r="B7128" s="3" t="inlineStr">
        <is>
          <t>Sun</t>
        </is>
      </c>
      <c r="C7128" s="19" t="n">
        <v>10</v>
      </c>
      <c r="D7128" s="19" t="n">
        <v>2027</v>
      </c>
      <c r="E7128" s="57" t="n">
        <v>7</v>
      </c>
      <c r="F7128" s="29">
        <f>ROUND(((SUMIFS(Calendar!$F$2:$F$9997,Calendar!$B$2:$B$9997,D7128,Calendar!$C$2:$C$9997,C7128)*INDEX(ForeCalc!$B$37:$Y$274,MATCH(_xlfn.CONCAT(H7128," ",I7128),ForeCalc!$A$37:$A$274,0),MATCH(_xlfn.CONCAT(B7128," ",E7128),ForeCalc!$B$36:$Y$36,0))))*VLOOKUP(A7128,Calendar!$A$2:$H$9997,8,FALSE),0)</f>
        <v/>
      </c>
      <c r="G7128" s="29">
        <f>VLOOKUP(A7128,Calendar!$A$1:$H$9997,6,FALSE)-F7128</f>
        <v/>
      </c>
      <c r="H7128" s="19" t="n">
        <v>2</v>
      </c>
      <c r="I7128" s="57" t="n">
        <v>7</v>
      </c>
    </row>
    <row r="7129">
      <c r="A7129" s="62" t="n">
        <v>46664</v>
      </c>
      <c r="B7129" s="3" t="inlineStr">
        <is>
          <t>Week</t>
        </is>
      </c>
      <c r="C7129" s="19" t="n">
        <v>10</v>
      </c>
      <c r="D7129" s="19" t="n">
        <v>2027</v>
      </c>
      <c r="E7129" s="57" t="n">
        <v>7</v>
      </c>
      <c r="F7129" s="29">
        <f>ROUND(((SUMIFS(Calendar!$F$2:$F$9997,Calendar!$B$2:$B$9997,D7129,Calendar!$C$2:$C$9997,C7129)*INDEX(ForeCalc!$B$37:$Y$274,MATCH(_xlfn.CONCAT(H7129," ",I7129),ForeCalc!$A$37:$A$274,0),MATCH(_xlfn.CONCAT(B7129," ",E7129),ForeCalc!$B$36:$Y$36,0))))*VLOOKUP(A7129,Calendar!$A$2:$H$9997,8,FALSE),0)</f>
        <v/>
      </c>
      <c r="G7129" s="29">
        <f>VLOOKUP(A7129,Calendar!$A$1:$H$9997,6,FALSE)-F7129</f>
        <v/>
      </c>
      <c r="H7129" s="19" t="n">
        <v>2</v>
      </c>
      <c r="I7129" s="57" t="n">
        <v>7</v>
      </c>
    </row>
    <row r="7130">
      <c r="A7130" s="62" t="n">
        <v>46665</v>
      </c>
      <c r="B7130" s="3" t="inlineStr">
        <is>
          <t>Week</t>
        </is>
      </c>
      <c r="C7130" s="19" t="n">
        <v>10</v>
      </c>
      <c r="D7130" s="19" t="n">
        <v>2027</v>
      </c>
      <c r="E7130" s="57" t="n">
        <v>7</v>
      </c>
      <c r="F7130" s="29">
        <f>ROUND(((SUMIFS(Calendar!$F$2:$F$9997,Calendar!$B$2:$B$9997,D7130,Calendar!$C$2:$C$9997,C7130)*INDEX(ForeCalc!$B$37:$Y$274,MATCH(_xlfn.CONCAT(H7130," ",I7130),ForeCalc!$A$37:$A$274,0),MATCH(_xlfn.CONCAT(B7130," ",E7130),ForeCalc!$B$36:$Y$36,0))))*VLOOKUP(A7130,Calendar!$A$2:$H$9997,8,FALSE),0)</f>
        <v/>
      </c>
      <c r="G7130" s="29">
        <f>VLOOKUP(A7130,Calendar!$A$1:$H$9997,6,FALSE)-F7130</f>
        <v/>
      </c>
      <c r="H7130" s="19" t="n">
        <v>2</v>
      </c>
      <c r="I7130" s="57" t="n">
        <v>7</v>
      </c>
    </row>
    <row r="7131">
      <c r="A7131" s="62" t="n">
        <v>46666</v>
      </c>
      <c r="B7131" s="3" t="inlineStr">
        <is>
          <t>Week</t>
        </is>
      </c>
      <c r="C7131" s="19" t="n">
        <v>10</v>
      </c>
      <c r="D7131" s="19" t="n">
        <v>2027</v>
      </c>
      <c r="E7131" s="57" t="n">
        <v>7</v>
      </c>
      <c r="F7131" s="29">
        <f>ROUND(((SUMIFS(Calendar!$F$2:$F$9997,Calendar!$B$2:$B$9997,D7131,Calendar!$C$2:$C$9997,C7131)*INDEX(ForeCalc!$B$37:$Y$274,MATCH(_xlfn.CONCAT(H7131," ",I7131),ForeCalc!$A$37:$A$274,0),MATCH(_xlfn.CONCAT(B7131," ",E7131),ForeCalc!$B$36:$Y$36,0))))*VLOOKUP(A7131,Calendar!$A$2:$H$9997,8,FALSE),0)</f>
        <v/>
      </c>
      <c r="G7131" s="29">
        <f>VLOOKUP(A7131,Calendar!$A$1:$H$9997,6,FALSE)-F7131</f>
        <v/>
      </c>
      <c r="H7131" s="19" t="n">
        <v>2</v>
      </c>
      <c r="I7131" s="57" t="n">
        <v>7</v>
      </c>
    </row>
    <row r="7132">
      <c r="A7132" s="62" t="n">
        <v>46667</v>
      </c>
      <c r="B7132" s="3" t="inlineStr">
        <is>
          <t>Week</t>
        </is>
      </c>
      <c r="C7132" s="19" t="n">
        <v>10</v>
      </c>
      <c r="D7132" s="19" t="n">
        <v>2027</v>
      </c>
      <c r="E7132" s="57" t="n">
        <v>7</v>
      </c>
      <c r="F7132" s="29">
        <f>ROUND(((SUMIFS(Calendar!$F$2:$F$9997,Calendar!$B$2:$B$9997,D7132,Calendar!$C$2:$C$9997,C7132)*INDEX(ForeCalc!$B$37:$Y$274,MATCH(_xlfn.CONCAT(H7132," ",I7132),ForeCalc!$A$37:$A$274,0),MATCH(_xlfn.CONCAT(B7132," ",E7132),ForeCalc!$B$36:$Y$36,0))))*VLOOKUP(A7132,Calendar!$A$2:$H$9997,8,FALSE),0)</f>
        <v/>
      </c>
      <c r="G7132" s="29">
        <f>VLOOKUP(A7132,Calendar!$A$1:$H$9997,6,FALSE)-F7132</f>
        <v/>
      </c>
      <c r="H7132" s="19" t="n">
        <v>2</v>
      </c>
      <c r="I7132" s="57" t="n">
        <v>7</v>
      </c>
    </row>
    <row r="7133">
      <c r="A7133" s="62" t="n">
        <v>46668</v>
      </c>
      <c r="B7133" s="3" t="inlineStr">
        <is>
          <t>Week</t>
        </is>
      </c>
      <c r="C7133" s="19" t="n">
        <v>10</v>
      </c>
      <c r="D7133" s="19" t="n">
        <v>2027</v>
      </c>
      <c r="E7133" s="57" t="n">
        <v>7</v>
      </c>
      <c r="F7133" s="29">
        <f>ROUND(((SUMIFS(Calendar!$F$2:$F$9997,Calendar!$B$2:$B$9997,D7133,Calendar!$C$2:$C$9997,C7133)*INDEX(ForeCalc!$B$37:$Y$274,MATCH(_xlfn.CONCAT(H7133," ",I7133),ForeCalc!$A$37:$A$274,0),MATCH(_xlfn.CONCAT(B7133," ",E7133),ForeCalc!$B$36:$Y$36,0))))*VLOOKUP(A7133,Calendar!$A$2:$H$9997,8,FALSE),0)</f>
        <v/>
      </c>
      <c r="G7133" s="29">
        <f>VLOOKUP(A7133,Calendar!$A$1:$H$9997,6,FALSE)-F7133</f>
        <v/>
      </c>
      <c r="H7133" s="19" t="n">
        <v>2</v>
      </c>
      <c r="I7133" s="57" t="n">
        <v>7</v>
      </c>
    </row>
    <row r="7134">
      <c r="A7134" s="62" t="n">
        <v>46669</v>
      </c>
      <c r="B7134" s="3" t="inlineStr">
        <is>
          <t>Sat</t>
        </is>
      </c>
      <c r="C7134" s="19" t="n">
        <v>10</v>
      </c>
      <c r="D7134" s="19" t="n">
        <v>2027</v>
      </c>
      <c r="E7134" s="57" t="n">
        <v>7</v>
      </c>
      <c r="F7134" s="29">
        <f>ROUND(((SUMIFS(Calendar!$F$2:$F$9997,Calendar!$B$2:$B$9997,D7134,Calendar!$C$2:$C$9997,C7134)*INDEX(ForeCalc!$B$37:$Y$274,MATCH(_xlfn.CONCAT(H7134," ",I7134),ForeCalc!$A$37:$A$274,0),MATCH(_xlfn.CONCAT(B7134," ",E7134),ForeCalc!$B$36:$Y$36,0))))*VLOOKUP(A7134,Calendar!$A$2:$H$9997,8,FALSE),0)</f>
        <v/>
      </c>
      <c r="G7134" s="29">
        <f>VLOOKUP(A7134,Calendar!$A$1:$H$9997,6,FALSE)-F7134</f>
        <v/>
      </c>
      <c r="H7134" s="19" t="n">
        <v>2</v>
      </c>
      <c r="I7134" s="57" t="n">
        <v>7</v>
      </c>
    </row>
    <row r="7135">
      <c r="A7135" s="62" t="n">
        <v>46670</v>
      </c>
      <c r="B7135" s="3" t="inlineStr">
        <is>
          <t>Sun</t>
        </is>
      </c>
      <c r="C7135" s="19" t="n">
        <v>10</v>
      </c>
      <c r="D7135" s="19" t="n">
        <v>2027</v>
      </c>
      <c r="E7135" s="57" t="n">
        <v>7</v>
      </c>
      <c r="F7135" s="29">
        <f>ROUND(((SUMIFS(Calendar!$F$2:$F$9997,Calendar!$B$2:$B$9997,D7135,Calendar!$C$2:$C$9997,C7135)*INDEX(ForeCalc!$B$37:$Y$274,MATCH(_xlfn.CONCAT(H7135," ",I7135),ForeCalc!$A$37:$A$274,0),MATCH(_xlfn.CONCAT(B7135," ",E7135),ForeCalc!$B$36:$Y$36,0))))*VLOOKUP(A7135,Calendar!$A$2:$H$9997,8,FALSE),0)</f>
        <v/>
      </c>
      <c r="G7135" s="29">
        <f>VLOOKUP(A7135,Calendar!$A$1:$H$9997,6,FALSE)-F7135</f>
        <v/>
      </c>
      <c r="H7135" s="19" t="n">
        <v>2</v>
      </c>
      <c r="I7135" s="57" t="n">
        <v>7</v>
      </c>
    </row>
    <row r="7136">
      <c r="A7136" s="62" t="n">
        <v>46671</v>
      </c>
      <c r="B7136" s="3" t="inlineStr">
        <is>
          <t>Week</t>
        </is>
      </c>
      <c r="C7136" s="19" t="n">
        <v>10</v>
      </c>
      <c r="D7136" s="19" t="n">
        <v>2027</v>
      </c>
      <c r="E7136" s="57" t="n">
        <v>7</v>
      </c>
      <c r="F7136" s="29">
        <f>ROUND(((SUMIFS(Calendar!$F$2:$F$9997,Calendar!$B$2:$B$9997,D7136,Calendar!$C$2:$C$9997,C7136)*INDEX(ForeCalc!$B$37:$Y$274,MATCH(_xlfn.CONCAT(H7136," ",I7136),ForeCalc!$A$37:$A$274,0),MATCH(_xlfn.CONCAT(B7136," ",E7136),ForeCalc!$B$36:$Y$36,0))))*VLOOKUP(A7136,Calendar!$A$2:$H$9997,8,FALSE),0)</f>
        <v/>
      </c>
      <c r="G7136" s="29">
        <f>VLOOKUP(A7136,Calendar!$A$1:$H$9997,6,FALSE)-F7136</f>
        <v/>
      </c>
      <c r="H7136" s="19" t="n">
        <v>2</v>
      </c>
      <c r="I7136" s="57" t="n">
        <v>7</v>
      </c>
    </row>
    <row r="7137">
      <c r="A7137" s="62" t="n">
        <v>46672</v>
      </c>
      <c r="B7137" s="3" t="inlineStr">
        <is>
          <t>Week</t>
        </is>
      </c>
      <c r="C7137" s="19" t="n">
        <v>10</v>
      </c>
      <c r="D7137" s="19" t="n">
        <v>2027</v>
      </c>
      <c r="E7137" s="57" t="n">
        <v>7</v>
      </c>
      <c r="F7137" s="29">
        <f>ROUND(((SUMIFS(Calendar!$F$2:$F$9997,Calendar!$B$2:$B$9997,D7137,Calendar!$C$2:$C$9997,C7137)*INDEX(ForeCalc!$B$37:$Y$274,MATCH(_xlfn.CONCAT(H7137," ",I7137),ForeCalc!$A$37:$A$274,0),MATCH(_xlfn.CONCAT(B7137," ",E7137),ForeCalc!$B$36:$Y$36,0))))*VLOOKUP(A7137,Calendar!$A$2:$H$9997,8,FALSE),0)</f>
        <v/>
      </c>
      <c r="G7137" s="29">
        <f>VLOOKUP(A7137,Calendar!$A$1:$H$9997,6,FALSE)-F7137</f>
        <v/>
      </c>
      <c r="H7137" s="19" t="n">
        <v>2</v>
      </c>
      <c r="I7137" s="57" t="n">
        <v>7</v>
      </c>
    </row>
    <row r="7138">
      <c r="A7138" s="62" t="n">
        <v>46673</v>
      </c>
      <c r="B7138" s="3" t="inlineStr">
        <is>
          <t>Week</t>
        </is>
      </c>
      <c r="C7138" s="19" t="n">
        <v>10</v>
      </c>
      <c r="D7138" s="19" t="n">
        <v>2027</v>
      </c>
      <c r="E7138" s="57" t="n">
        <v>7</v>
      </c>
      <c r="F7138" s="29">
        <f>ROUND(((SUMIFS(Calendar!$F$2:$F$9997,Calendar!$B$2:$B$9997,D7138,Calendar!$C$2:$C$9997,C7138)*INDEX(ForeCalc!$B$37:$Y$274,MATCH(_xlfn.CONCAT(H7138," ",I7138),ForeCalc!$A$37:$A$274,0),MATCH(_xlfn.CONCAT(B7138," ",E7138),ForeCalc!$B$36:$Y$36,0))))*VLOOKUP(A7138,Calendar!$A$2:$H$9997,8,FALSE),0)</f>
        <v/>
      </c>
      <c r="G7138" s="29">
        <f>VLOOKUP(A7138,Calendar!$A$1:$H$9997,6,FALSE)-F7138</f>
        <v/>
      </c>
      <c r="H7138" s="19" t="n">
        <v>2</v>
      </c>
      <c r="I7138" s="57" t="n">
        <v>7</v>
      </c>
    </row>
    <row r="7139">
      <c r="A7139" s="62" t="n">
        <v>46674</v>
      </c>
      <c r="B7139" s="3" t="inlineStr">
        <is>
          <t>Week</t>
        </is>
      </c>
      <c r="C7139" s="19" t="n">
        <v>10</v>
      </c>
      <c r="D7139" s="19" t="n">
        <v>2027</v>
      </c>
      <c r="E7139" s="57" t="n">
        <v>7</v>
      </c>
      <c r="F7139" s="29">
        <f>ROUND(((SUMIFS(Calendar!$F$2:$F$9997,Calendar!$B$2:$B$9997,D7139,Calendar!$C$2:$C$9997,C7139)*INDEX(ForeCalc!$B$37:$Y$274,MATCH(_xlfn.CONCAT(H7139," ",I7139),ForeCalc!$A$37:$A$274,0),MATCH(_xlfn.CONCAT(B7139," ",E7139),ForeCalc!$B$36:$Y$36,0))))*VLOOKUP(A7139,Calendar!$A$2:$H$9997,8,FALSE),0)</f>
        <v/>
      </c>
      <c r="G7139" s="29">
        <f>VLOOKUP(A7139,Calendar!$A$1:$H$9997,6,FALSE)-F7139</f>
        <v/>
      </c>
      <c r="H7139" s="19" t="n">
        <v>2</v>
      </c>
      <c r="I7139" s="57" t="n">
        <v>7</v>
      </c>
    </row>
    <row r="7140">
      <c r="A7140" s="62" t="n">
        <v>46675</v>
      </c>
      <c r="B7140" s="3" t="inlineStr">
        <is>
          <t>Week</t>
        </is>
      </c>
      <c r="C7140" s="19" t="n">
        <v>10</v>
      </c>
      <c r="D7140" s="19" t="n">
        <v>2027</v>
      </c>
      <c r="E7140" s="57" t="n">
        <v>7</v>
      </c>
      <c r="F7140" s="29">
        <f>ROUND(((SUMIFS(Calendar!$F$2:$F$9997,Calendar!$B$2:$B$9997,D7140,Calendar!$C$2:$C$9997,C7140)*INDEX(ForeCalc!$B$37:$Y$274,MATCH(_xlfn.CONCAT(H7140," ",I7140),ForeCalc!$A$37:$A$274,0),MATCH(_xlfn.CONCAT(B7140," ",E7140),ForeCalc!$B$36:$Y$36,0))))*VLOOKUP(A7140,Calendar!$A$2:$H$9997,8,FALSE),0)</f>
        <v/>
      </c>
      <c r="G7140" s="29">
        <f>VLOOKUP(A7140,Calendar!$A$1:$H$9997,6,FALSE)-F7140</f>
        <v/>
      </c>
      <c r="H7140" s="19" t="n">
        <v>2</v>
      </c>
      <c r="I7140" s="57" t="n">
        <v>7</v>
      </c>
    </row>
    <row r="7141">
      <c r="A7141" s="62" t="n">
        <v>46676</v>
      </c>
      <c r="B7141" s="3" t="inlineStr">
        <is>
          <t>Sat</t>
        </is>
      </c>
      <c r="C7141" s="19" t="n">
        <v>10</v>
      </c>
      <c r="D7141" s="19" t="n">
        <v>2027</v>
      </c>
      <c r="E7141" s="57" t="n">
        <v>7</v>
      </c>
      <c r="F7141" s="29">
        <f>ROUND(((SUMIFS(Calendar!$F$2:$F$9997,Calendar!$B$2:$B$9997,D7141,Calendar!$C$2:$C$9997,C7141)*INDEX(ForeCalc!$B$37:$Y$274,MATCH(_xlfn.CONCAT(H7141," ",I7141),ForeCalc!$A$37:$A$274,0),MATCH(_xlfn.CONCAT(B7141," ",E7141),ForeCalc!$B$36:$Y$36,0))))*VLOOKUP(A7141,Calendar!$A$2:$H$9997,8,FALSE),0)</f>
        <v/>
      </c>
      <c r="G7141" s="29">
        <f>VLOOKUP(A7141,Calendar!$A$1:$H$9997,6,FALSE)-F7141</f>
        <v/>
      </c>
      <c r="H7141" s="19" t="n">
        <v>2</v>
      </c>
      <c r="I7141" s="57" t="n">
        <v>7</v>
      </c>
    </row>
    <row r="7142">
      <c r="A7142" s="62" t="n">
        <v>46677</v>
      </c>
      <c r="B7142" s="3" t="inlineStr">
        <is>
          <t>Sun</t>
        </is>
      </c>
      <c r="C7142" s="19" t="n">
        <v>10</v>
      </c>
      <c r="D7142" s="19" t="n">
        <v>2027</v>
      </c>
      <c r="E7142" s="57" t="n">
        <v>7</v>
      </c>
      <c r="F7142" s="29">
        <f>ROUND(((SUMIFS(Calendar!$F$2:$F$9997,Calendar!$B$2:$B$9997,D7142,Calendar!$C$2:$C$9997,C7142)*INDEX(ForeCalc!$B$37:$Y$274,MATCH(_xlfn.CONCAT(H7142," ",I7142),ForeCalc!$A$37:$A$274,0),MATCH(_xlfn.CONCAT(B7142," ",E7142),ForeCalc!$B$36:$Y$36,0))))*VLOOKUP(A7142,Calendar!$A$2:$H$9997,8,FALSE),0)</f>
        <v/>
      </c>
      <c r="G7142" s="29">
        <f>VLOOKUP(A7142,Calendar!$A$1:$H$9997,6,FALSE)-F7142</f>
        <v/>
      </c>
      <c r="H7142" s="19" t="n">
        <v>2</v>
      </c>
      <c r="I7142" s="57" t="n">
        <v>7</v>
      </c>
    </row>
    <row r="7143">
      <c r="A7143" s="62" t="n">
        <v>46678</v>
      </c>
      <c r="B7143" s="3" t="inlineStr">
        <is>
          <t>Week</t>
        </is>
      </c>
      <c r="C7143" s="19" t="n">
        <v>10</v>
      </c>
      <c r="D7143" s="19" t="n">
        <v>2027</v>
      </c>
      <c r="E7143" s="57" t="n">
        <v>7</v>
      </c>
      <c r="F7143" s="29">
        <f>ROUND(((SUMIFS(Calendar!$F$2:$F$9997,Calendar!$B$2:$B$9997,D7143,Calendar!$C$2:$C$9997,C7143)*INDEX(ForeCalc!$B$37:$Y$274,MATCH(_xlfn.CONCAT(H7143," ",I7143),ForeCalc!$A$37:$A$274,0),MATCH(_xlfn.CONCAT(B7143," ",E7143),ForeCalc!$B$36:$Y$36,0))))*VLOOKUP(A7143,Calendar!$A$2:$H$9997,8,FALSE),0)</f>
        <v/>
      </c>
      <c r="G7143" s="29">
        <f>VLOOKUP(A7143,Calendar!$A$1:$H$9997,6,FALSE)-F7143</f>
        <v/>
      </c>
      <c r="H7143" s="19" t="n">
        <v>2</v>
      </c>
      <c r="I7143" s="57" t="n">
        <v>7</v>
      </c>
    </row>
    <row r="7144">
      <c r="A7144" s="62" t="n">
        <v>46679</v>
      </c>
      <c r="B7144" s="3" t="inlineStr">
        <is>
          <t>Week</t>
        </is>
      </c>
      <c r="C7144" s="19" t="n">
        <v>10</v>
      </c>
      <c r="D7144" s="19" t="n">
        <v>2027</v>
      </c>
      <c r="E7144" s="57" t="n">
        <v>7</v>
      </c>
      <c r="F7144" s="29">
        <f>ROUND(((SUMIFS(Calendar!$F$2:$F$9997,Calendar!$B$2:$B$9997,D7144,Calendar!$C$2:$C$9997,C7144)*INDEX(ForeCalc!$B$37:$Y$274,MATCH(_xlfn.CONCAT(H7144," ",I7144),ForeCalc!$A$37:$A$274,0),MATCH(_xlfn.CONCAT(B7144," ",E7144),ForeCalc!$B$36:$Y$36,0))))*VLOOKUP(A7144,Calendar!$A$2:$H$9997,8,FALSE),0)</f>
        <v/>
      </c>
      <c r="G7144" s="29">
        <f>VLOOKUP(A7144,Calendar!$A$1:$H$9997,6,FALSE)-F7144</f>
        <v/>
      </c>
      <c r="H7144" s="19" t="n">
        <v>2</v>
      </c>
      <c r="I7144" s="57" t="n">
        <v>7</v>
      </c>
    </row>
    <row r="7145">
      <c r="A7145" s="62" t="n">
        <v>46680</v>
      </c>
      <c r="B7145" s="3" t="inlineStr">
        <is>
          <t>Week</t>
        </is>
      </c>
      <c r="C7145" s="19" t="n">
        <v>10</v>
      </c>
      <c r="D7145" s="19" t="n">
        <v>2027</v>
      </c>
      <c r="E7145" s="57" t="n">
        <v>7</v>
      </c>
      <c r="F7145" s="29">
        <f>ROUND(((SUMIFS(Calendar!$F$2:$F$9997,Calendar!$B$2:$B$9997,D7145,Calendar!$C$2:$C$9997,C7145)*INDEX(ForeCalc!$B$37:$Y$274,MATCH(_xlfn.CONCAT(H7145," ",I7145),ForeCalc!$A$37:$A$274,0),MATCH(_xlfn.CONCAT(B7145," ",E7145),ForeCalc!$B$36:$Y$36,0))))*VLOOKUP(A7145,Calendar!$A$2:$H$9997,8,FALSE),0)</f>
        <v/>
      </c>
      <c r="G7145" s="29">
        <f>VLOOKUP(A7145,Calendar!$A$1:$H$9997,6,FALSE)-F7145</f>
        <v/>
      </c>
      <c r="H7145" s="19" t="n">
        <v>2</v>
      </c>
      <c r="I7145" s="57" t="n">
        <v>7</v>
      </c>
    </row>
    <row r="7146">
      <c r="A7146" s="62" t="n">
        <v>46681</v>
      </c>
      <c r="B7146" s="3" t="inlineStr">
        <is>
          <t>Week</t>
        </is>
      </c>
      <c r="C7146" s="19" t="n">
        <v>10</v>
      </c>
      <c r="D7146" s="19" t="n">
        <v>2027</v>
      </c>
      <c r="E7146" s="57" t="n">
        <v>7</v>
      </c>
      <c r="F7146" s="29">
        <f>ROUND(((SUMIFS(Calendar!$F$2:$F$9997,Calendar!$B$2:$B$9997,D7146,Calendar!$C$2:$C$9997,C7146)*INDEX(ForeCalc!$B$37:$Y$274,MATCH(_xlfn.CONCAT(H7146," ",I7146),ForeCalc!$A$37:$A$274,0),MATCH(_xlfn.CONCAT(B7146," ",E7146),ForeCalc!$B$36:$Y$36,0))))*VLOOKUP(A7146,Calendar!$A$2:$H$9997,8,FALSE),0)</f>
        <v/>
      </c>
      <c r="G7146" s="29">
        <f>VLOOKUP(A7146,Calendar!$A$1:$H$9997,6,FALSE)-F7146</f>
        <v/>
      </c>
      <c r="H7146" s="19" t="n">
        <v>2</v>
      </c>
      <c r="I7146" s="57" t="n">
        <v>7</v>
      </c>
    </row>
    <row r="7147">
      <c r="A7147" s="62" t="n">
        <v>46682</v>
      </c>
      <c r="B7147" s="3" t="inlineStr">
        <is>
          <t>Week</t>
        </is>
      </c>
      <c r="C7147" s="19" t="n">
        <v>10</v>
      </c>
      <c r="D7147" s="19" t="n">
        <v>2027</v>
      </c>
      <c r="E7147" s="57" t="n">
        <v>7</v>
      </c>
      <c r="F7147" s="29">
        <f>ROUND(((SUMIFS(Calendar!$F$2:$F$9997,Calendar!$B$2:$B$9997,D7147,Calendar!$C$2:$C$9997,C7147)*INDEX(ForeCalc!$B$37:$Y$274,MATCH(_xlfn.CONCAT(H7147," ",I7147),ForeCalc!$A$37:$A$274,0),MATCH(_xlfn.CONCAT(B7147," ",E7147),ForeCalc!$B$36:$Y$36,0))))*VLOOKUP(A7147,Calendar!$A$2:$H$9997,8,FALSE),0)</f>
        <v/>
      </c>
      <c r="G7147" s="29">
        <f>VLOOKUP(A7147,Calendar!$A$1:$H$9997,6,FALSE)-F7147</f>
        <v/>
      </c>
      <c r="H7147" s="19" t="n">
        <v>2</v>
      </c>
      <c r="I7147" s="57" t="n">
        <v>7</v>
      </c>
    </row>
    <row r="7148">
      <c r="A7148" s="62" t="n">
        <v>46683</v>
      </c>
      <c r="B7148" s="3" t="inlineStr">
        <is>
          <t>Sat</t>
        </is>
      </c>
      <c r="C7148" s="19" t="n">
        <v>10</v>
      </c>
      <c r="D7148" s="19" t="n">
        <v>2027</v>
      </c>
      <c r="E7148" s="57" t="n">
        <v>7</v>
      </c>
      <c r="F7148" s="29">
        <f>ROUND(((SUMIFS(Calendar!$F$2:$F$9997,Calendar!$B$2:$B$9997,D7148,Calendar!$C$2:$C$9997,C7148)*INDEX(ForeCalc!$B$37:$Y$274,MATCH(_xlfn.CONCAT(H7148," ",I7148),ForeCalc!$A$37:$A$274,0),MATCH(_xlfn.CONCAT(B7148," ",E7148),ForeCalc!$B$36:$Y$36,0))))*VLOOKUP(A7148,Calendar!$A$2:$H$9997,8,FALSE),0)</f>
        <v/>
      </c>
      <c r="G7148" s="29">
        <f>VLOOKUP(A7148,Calendar!$A$1:$H$9997,6,FALSE)-F7148</f>
        <v/>
      </c>
      <c r="H7148" s="19" t="n">
        <v>2</v>
      </c>
      <c r="I7148" s="57" t="n">
        <v>7</v>
      </c>
    </row>
    <row r="7149">
      <c r="A7149" s="62" t="n">
        <v>46684</v>
      </c>
      <c r="B7149" s="3" t="inlineStr">
        <is>
          <t>Sun</t>
        </is>
      </c>
      <c r="C7149" s="19" t="n">
        <v>10</v>
      </c>
      <c r="D7149" s="19" t="n">
        <v>2027</v>
      </c>
      <c r="E7149" s="57" t="n">
        <v>7</v>
      </c>
      <c r="F7149" s="29">
        <f>ROUND(((SUMIFS(Calendar!$F$2:$F$9997,Calendar!$B$2:$B$9997,D7149,Calendar!$C$2:$C$9997,C7149)*INDEX(ForeCalc!$B$37:$Y$274,MATCH(_xlfn.CONCAT(H7149," ",I7149),ForeCalc!$A$37:$A$274,0),MATCH(_xlfn.CONCAT(B7149," ",E7149),ForeCalc!$B$36:$Y$36,0))))*VLOOKUP(A7149,Calendar!$A$2:$H$9997,8,FALSE),0)</f>
        <v/>
      </c>
      <c r="G7149" s="29">
        <f>VLOOKUP(A7149,Calendar!$A$1:$H$9997,6,FALSE)-F7149</f>
        <v/>
      </c>
      <c r="H7149" s="19" t="n">
        <v>2</v>
      </c>
      <c r="I7149" s="57" t="n">
        <v>7</v>
      </c>
    </row>
    <row r="7150">
      <c r="A7150" s="62" t="n">
        <v>46685</v>
      </c>
      <c r="B7150" s="3" t="inlineStr">
        <is>
          <t>Week</t>
        </is>
      </c>
      <c r="C7150" s="19" t="n">
        <v>10</v>
      </c>
      <c r="D7150" s="19" t="n">
        <v>2027</v>
      </c>
      <c r="E7150" s="57" t="n">
        <v>7</v>
      </c>
      <c r="F7150" s="29">
        <f>ROUND(((SUMIFS(Calendar!$F$2:$F$9997,Calendar!$B$2:$B$9997,D7150,Calendar!$C$2:$C$9997,C7150)*INDEX(ForeCalc!$B$37:$Y$274,MATCH(_xlfn.CONCAT(H7150," ",I7150),ForeCalc!$A$37:$A$274,0),MATCH(_xlfn.CONCAT(B7150," ",E7150),ForeCalc!$B$36:$Y$36,0))))*VLOOKUP(A7150,Calendar!$A$2:$H$9997,8,FALSE),0)</f>
        <v/>
      </c>
      <c r="G7150" s="29">
        <f>VLOOKUP(A7150,Calendar!$A$1:$H$9997,6,FALSE)-F7150</f>
        <v/>
      </c>
      <c r="H7150" s="19" t="n">
        <v>2</v>
      </c>
      <c r="I7150" s="57" t="n">
        <v>7</v>
      </c>
    </row>
    <row r="7151">
      <c r="A7151" s="62" t="n">
        <v>46686</v>
      </c>
      <c r="B7151" s="3" t="inlineStr">
        <is>
          <t>Week</t>
        </is>
      </c>
      <c r="C7151" s="19" t="n">
        <v>10</v>
      </c>
      <c r="D7151" s="19" t="n">
        <v>2027</v>
      </c>
      <c r="E7151" s="57" t="n">
        <v>7</v>
      </c>
      <c r="F7151" s="29">
        <f>ROUND(((SUMIFS(Calendar!$F$2:$F$9997,Calendar!$B$2:$B$9997,D7151,Calendar!$C$2:$C$9997,C7151)*INDEX(ForeCalc!$B$37:$Y$274,MATCH(_xlfn.CONCAT(H7151," ",I7151),ForeCalc!$A$37:$A$274,0),MATCH(_xlfn.CONCAT(B7151," ",E7151),ForeCalc!$B$36:$Y$36,0))))*VLOOKUP(A7151,Calendar!$A$2:$H$9997,8,FALSE),0)</f>
        <v/>
      </c>
      <c r="G7151" s="29">
        <f>VLOOKUP(A7151,Calendar!$A$1:$H$9997,6,FALSE)-F7151</f>
        <v/>
      </c>
      <c r="H7151" s="19" t="n">
        <v>2</v>
      </c>
      <c r="I7151" s="57" t="n">
        <v>7</v>
      </c>
    </row>
    <row r="7152">
      <c r="A7152" s="62" t="n">
        <v>46687</v>
      </c>
      <c r="B7152" s="3" t="inlineStr">
        <is>
          <t>Week</t>
        </is>
      </c>
      <c r="C7152" s="19" t="n">
        <v>10</v>
      </c>
      <c r="D7152" s="19" t="n">
        <v>2027</v>
      </c>
      <c r="E7152" s="57" t="n">
        <v>7</v>
      </c>
      <c r="F7152" s="29">
        <f>ROUND(((SUMIFS(Calendar!$F$2:$F$9997,Calendar!$B$2:$B$9997,D7152,Calendar!$C$2:$C$9997,C7152)*INDEX(ForeCalc!$B$37:$Y$274,MATCH(_xlfn.CONCAT(H7152," ",I7152),ForeCalc!$A$37:$A$274,0),MATCH(_xlfn.CONCAT(B7152," ",E7152),ForeCalc!$B$36:$Y$36,0))))*VLOOKUP(A7152,Calendar!$A$2:$H$9997,8,FALSE),0)</f>
        <v/>
      </c>
      <c r="G7152" s="29">
        <f>VLOOKUP(A7152,Calendar!$A$1:$H$9997,6,FALSE)-F7152</f>
        <v/>
      </c>
      <c r="H7152" s="19" t="n">
        <v>2</v>
      </c>
      <c r="I7152" s="57" t="n">
        <v>7</v>
      </c>
    </row>
    <row r="7153">
      <c r="A7153" s="62" t="n">
        <v>46688</v>
      </c>
      <c r="B7153" s="3" t="inlineStr">
        <is>
          <t>Week</t>
        </is>
      </c>
      <c r="C7153" s="19" t="n">
        <v>10</v>
      </c>
      <c r="D7153" s="19" t="n">
        <v>2027</v>
      </c>
      <c r="E7153" s="57" t="n">
        <v>7</v>
      </c>
      <c r="F7153" s="29">
        <f>ROUND(((SUMIFS(Calendar!$F$2:$F$9997,Calendar!$B$2:$B$9997,D7153,Calendar!$C$2:$C$9997,C7153)*INDEX(ForeCalc!$B$37:$Y$274,MATCH(_xlfn.CONCAT(H7153," ",I7153),ForeCalc!$A$37:$A$274,0),MATCH(_xlfn.CONCAT(B7153," ",E7153),ForeCalc!$B$36:$Y$36,0))))*VLOOKUP(A7153,Calendar!$A$2:$H$9997,8,FALSE),0)</f>
        <v/>
      </c>
      <c r="G7153" s="29">
        <f>VLOOKUP(A7153,Calendar!$A$1:$H$9997,6,FALSE)-F7153</f>
        <v/>
      </c>
      <c r="H7153" s="19" t="n">
        <v>2</v>
      </c>
      <c r="I7153" s="57" t="n">
        <v>7</v>
      </c>
    </row>
    <row r="7154">
      <c r="A7154" s="62" t="n">
        <v>46689</v>
      </c>
      <c r="B7154" s="3" t="inlineStr">
        <is>
          <t>Week</t>
        </is>
      </c>
      <c r="C7154" s="19" t="n">
        <v>10</v>
      </c>
      <c r="D7154" s="19" t="n">
        <v>2027</v>
      </c>
      <c r="E7154" s="57" t="n">
        <v>7</v>
      </c>
      <c r="F7154" s="29">
        <f>ROUND(((SUMIFS(Calendar!$F$2:$F$9997,Calendar!$B$2:$B$9997,D7154,Calendar!$C$2:$C$9997,C7154)*INDEX(ForeCalc!$B$37:$Y$274,MATCH(_xlfn.CONCAT(H7154," ",I7154),ForeCalc!$A$37:$A$274,0),MATCH(_xlfn.CONCAT(B7154," ",E7154),ForeCalc!$B$36:$Y$36,0))))*VLOOKUP(A7154,Calendar!$A$2:$H$9997,8,FALSE),0)</f>
        <v/>
      </c>
      <c r="G7154" s="29">
        <f>VLOOKUP(A7154,Calendar!$A$1:$H$9997,6,FALSE)-F7154</f>
        <v/>
      </c>
      <c r="H7154" s="19" t="n">
        <v>2</v>
      </c>
      <c r="I7154" s="57" t="n">
        <v>7</v>
      </c>
    </row>
    <row r="7155">
      <c r="A7155" s="62" t="n">
        <v>46690</v>
      </c>
      <c r="B7155" s="3" t="inlineStr">
        <is>
          <t>Sat</t>
        </is>
      </c>
      <c r="C7155" s="19" t="n">
        <v>10</v>
      </c>
      <c r="D7155" s="19" t="n">
        <v>2027</v>
      </c>
      <c r="E7155" s="57" t="n">
        <v>7</v>
      </c>
      <c r="F7155" s="29">
        <f>ROUND(((SUMIFS(Calendar!$F$2:$F$9997,Calendar!$B$2:$B$9997,D7155,Calendar!$C$2:$C$9997,C7155)*INDEX(ForeCalc!$B$37:$Y$274,MATCH(_xlfn.CONCAT(H7155," ",I7155),ForeCalc!$A$37:$A$274,0),MATCH(_xlfn.CONCAT(B7155," ",E7155),ForeCalc!$B$36:$Y$36,0))))*VLOOKUP(A7155,Calendar!$A$2:$H$9997,8,FALSE),0)</f>
        <v/>
      </c>
      <c r="G7155" s="29">
        <f>VLOOKUP(A7155,Calendar!$A$1:$H$9997,6,FALSE)-F7155</f>
        <v/>
      </c>
      <c r="H7155" s="19" t="n">
        <v>2</v>
      </c>
      <c r="I7155" s="57" t="n">
        <v>7</v>
      </c>
    </row>
    <row r="7156">
      <c r="A7156" s="62" t="n">
        <v>46691</v>
      </c>
      <c r="B7156" s="3" t="inlineStr">
        <is>
          <t>Sun</t>
        </is>
      </c>
      <c r="C7156" s="19" t="n">
        <v>10</v>
      </c>
      <c r="D7156" s="19" t="n">
        <v>2027</v>
      </c>
      <c r="E7156" s="57" t="n">
        <v>7</v>
      </c>
      <c r="F7156" s="29">
        <f>ROUND(((SUMIFS(Calendar!$F$2:$F$9997,Calendar!$B$2:$B$9997,D7156,Calendar!$C$2:$C$9997,C7156)*INDEX(ForeCalc!$B$37:$Y$274,MATCH(_xlfn.CONCAT(H7156," ",I7156),ForeCalc!$A$37:$A$274,0),MATCH(_xlfn.CONCAT(B7156," ",E7156),ForeCalc!$B$36:$Y$36,0))))*VLOOKUP(A7156,Calendar!$A$2:$H$9997,8,FALSE),0)</f>
        <v/>
      </c>
      <c r="G7156" s="29">
        <f>VLOOKUP(A7156,Calendar!$A$1:$H$9997,6,FALSE)-F7156</f>
        <v/>
      </c>
      <c r="H7156" s="19" t="n">
        <v>2</v>
      </c>
      <c r="I7156" s="57" t="n">
        <v>7</v>
      </c>
    </row>
    <row r="7157">
      <c r="A7157" s="62" t="n">
        <v>46692</v>
      </c>
      <c r="B7157" s="3" t="inlineStr">
        <is>
          <t>Week</t>
        </is>
      </c>
      <c r="C7157" s="19" t="n">
        <v>11</v>
      </c>
      <c r="D7157" s="19" t="n">
        <v>2027</v>
      </c>
      <c r="E7157" s="57" t="n">
        <v>7</v>
      </c>
      <c r="F7157" s="29">
        <f>ROUND(((SUMIFS(Calendar!$F$2:$F$9997,Calendar!$B$2:$B$9997,D7157,Calendar!$C$2:$C$9997,C7157)*INDEX(ForeCalc!$B$37:$Y$274,MATCH(_xlfn.CONCAT(H7157," ",I7157),ForeCalc!$A$37:$A$274,0),MATCH(_xlfn.CONCAT(B7157," ",E7157),ForeCalc!$B$36:$Y$36,0))))*VLOOKUP(A7157,Calendar!$A$2:$H$9997,8,FALSE),0)</f>
        <v/>
      </c>
      <c r="G7157" s="29">
        <f>VLOOKUP(A7157,Calendar!$A$1:$H$9997,6,FALSE)-F7157</f>
        <v/>
      </c>
      <c r="H7157" s="19" t="n">
        <v>2</v>
      </c>
      <c r="I7157" s="57" t="n">
        <v>8</v>
      </c>
    </row>
    <row r="7158">
      <c r="A7158" s="62" t="n">
        <v>46693</v>
      </c>
      <c r="B7158" s="3" t="inlineStr">
        <is>
          <t>Week</t>
        </is>
      </c>
      <c r="C7158" s="19" t="n">
        <v>11</v>
      </c>
      <c r="D7158" s="19" t="n">
        <v>2027</v>
      </c>
      <c r="E7158" s="57" t="n">
        <v>7</v>
      </c>
      <c r="F7158" s="29">
        <f>ROUND(((SUMIFS(Calendar!$F$2:$F$9997,Calendar!$B$2:$B$9997,D7158,Calendar!$C$2:$C$9997,C7158)*INDEX(ForeCalc!$B$37:$Y$274,MATCH(_xlfn.CONCAT(H7158," ",I7158),ForeCalc!$A$37:$A$274,0),MATCH(_xlfn.CONCAT(B7158," ",E7158),ForeCalc!$B$36:$Y$36,0))))*VLOOKUP(A7158,Calendar!$A$2:$H$9997,8,FALSE),0)</f>
        <v/>
      </c>
      <c r="G7158" s="29">
        <f>VLOOKUP(A7158,Calendar!$A$1:$H$9997,6,FALSE)-F7158</f>
        <v/>
      </c>
      <c r="H7158" s="19" t="n">
        <v>2</v>
      </c>
      <c r="I7158" s="57" t="n">
        <v>8</v>
      </c>
    </row>
    <row r="7159">
      <c r="A7159" s="62" t="n">
        <v>46694</v>
      </c>
      <c r="B7159" s="3" t="inlineStr">
        <is>
          <t>Week</t>
        </is>
      </c>
      <c r="C7159" s="19" t="n">
        <v>11</v>
      </c>
      <c r="D7159" s="19" t="n">
        <v>2027</v>
      </c>
      <c r="E7159" s="57" t="n">
        <v>7</v>
      </c>
      <c r="F7159" s="29">
        <f>ROUND(((SUMIFS(Calendar!$F$2:$F$9997,Calendar!$B$2:$B$9997,D7159,Calendar!$C$2:$C$9997,C7159)*INDEX(ForeCalc!$B$37:$Y$274,MATCH(_xlfn.CONCAT(H7159," ",I7159),ForeCalc!$A$37:$A$274,0),MATCH(_xlfn.CONCAT(B7159," ",E7159),ForeCalc!$B$36:$Y$36,0))))*VLOOKUP(A7159,Calendar!$A$2:$H$9997,8,FALSE),0)</f>
        <v/>
      </c>
      <c r="G7159" s="29">
        <f>VLOOKUP(A7159,Calendar!$A$1:$H$9997,6,FALSE)-F7159</f>
        <v/>
      </c>
      <c r="H7159" s="19" t="n">
        <v>2</v>
      </c>
      <c r="I7159" s="57" t="n">
        <v>8</v>
      </c>
    </row>
    <row r="7160">
      <c r="A7160" s="62" t="n">
        <v>46695</v>
      </c>
      <c r="B7160" s="3" t="inlineStr">
        <is>
          <t>Week</t>
        </is>
      </c>
      <c r="C7160" s="19" t="n">
        <v>11</v>
      </c>
      <c r="D7160" s="19" t="n">
        <v>2027</v>
      </c>
      <c r="E7160" s="57" t="n">
        <v>7</v>
      </c>
      <c r="F7160" s="29">
        <f>ROUND(((SUMIFS(Calendar!$F$2:$F$9997,Calendar!$B$2:$B$9997,D7160,Calendar!$C$2:$C$9997,C7160)*INDEX(ForeCalc!$B$37:$Y$274,MATCH(_xlfn.CONCAT(H7160," ",I7160),ForeCalc!$A$37:$A$274,0),MATCH(_xlfn.CONCAT(B7160," ",E7160),ForeCalc!$B$36:$Y$36,0))))*VLOOKUP(A7160,Calendar!$A$2:$H$9997,8,FALSE),0)</f>
        <v/>
      </c>
      <c r="G7160" s="29">
        <f>VLOOKUP(A7160,Calendar!$A$1:$H$9997,6,FALSE)-F7160</f>
        <v/>
      </c>
      <c r="H7160" s="19" t="n">
        <v>2</v>
      </c>
      <c r="I7160" s="57" t="n">
        <v>8</v>
      </c>
    </row>
    <row r="7161">
      <c r="A7161" s="62" t="n">
        <v>46696</v>
      </c>
      <c r="B7161" s="3" t="inlineStr">
        <is>
          <t>Week</t>
        </is>
      </c>
      <c r="C7161" s="19" t="n">
        <v>11</v>
      </c>
      <c r="D7161" s="19" t="n">
        <v>2027</v>
      </c>
      <c r="E7161" s="57" t="n">
        <v>7</v>
      </c>
      <c r="F7161" s="29">
        <f>ROUND(((SUMIFS(Calendar!$F$2:$F$9997,Calendar!$B$2:$B$9997,D7161,Calendar!$C$2:$C$9997,C7161)*INDEX(ForeCalc!$B$37:$Y$274,MATCH(_xlfn.CONCAT(H7161," ",I7161),ForeCalc!$A$37:$A$274,0),MATCH(_xlfn.CONCAT(B7161," ",E7161),ForeCalc!$B$36:$Y$36,0))))*VLOOKUP(A7161,Calendar!$A$2:$H$9997,8,FALSE),0)</f>
        <v/>
      </c>
      <c r="G7161" s="29">
        <f>VLOOKUP(A7161,Calendar!$A$1:$H$9997,6,FALSE)-F7161</f>
        <v/>
      </c>
      <c r="H7161" s="19" t="n">
        <v>2</v>
      </c>
      <c r="I7161" s="57" t="n">
        <v>8</v>
      </c>
    </row>
    <row r="7162">
      <c r="A7162" s="62" t="n">
        <v>46697</v>
      </c>
      <c r="B7162" s="3" t="inlineStr">
        <is>
          <t>Sat</t>
        </is>
      </c>
      <c r="C7162" s="19" t="n">
        <v>11</v>
      </c>
      <c r="D7162" s="19" t="n">
        <v>2027</v>
      </c>
      <c r="E7162" s="57" t="n">
        <v>7</v>
      </c>
      <c r="F7162" s="29">
        <f>ROUND(((SUMIFS(Calendar!$F$2:$F$9997,Calendar!$B$2:$B$9997,D7162,Calendar!$C$2:$C$9997,C7162)*INDEX(ForeCalc!$B$37:$Y$274,MATCH(_xlfn.CONCAT(H7162," ",I7162),ForeCalc!$A$37:$A$274,0),MATCH(_xlfn.CONCAT(B7162," ",E7162),ForeCalc!$B$36:$Y$36,0))))*VLOOKUP(A7162,Calendar!$A$2:$H$9997,8,FALSE),0)</f>
        <v/>
      </c>
      <c r="G7162" s="29">
        <f>VLOOKUP(A7162,Calendar!$A$1:$H$9997,6,FALSE)-F7162</f>
        <v/>
      </c>
      <c r="H7162" s="19" t="n">
        <v>2</v>
      </c>
      <c r="I7162" s="57" t="n">
        <v>8</v>
      </c>
    </row>
    <row r="7163">
      <c r="A7163" s="62" t="n">
        <v>46698</v>
      </c>
      <c r="B7163" s="3" t="inlineStr">
        <is>
          <t>Sun</t>
        </is>
      </c>
      <c r="C7163" s="19" t="n">
        <v>11</v>
      </c>
      <c r="D7163" s="19" t="n">
        <v>2027</v>
      </c>
      <c r="E7163" s="57" t="n">
        <v>7</v>
      </c>
      <c r="F7163" s="29">
        <f>ROUND(((SUMIFS(Calendar!$F$2:$F$9997,Calendar!$B$2:$B$9997,D7163,Calendar!$C$2:$C$9997,C7163)*INDEX(ForeCalc!$B$37:$Y$274,MATCH(_xlfn.CONCAT(H7163," ",I7163),ForeCalc!$A$37:$A$274,0),MATCH(_xlfn.CONCAT(B7163," ",E7163),ForeCalc!$B$36:$Y$36,0))))*VLOOKUP(A7163,Calendar!$A$2:$H$9997,8,FALSE),0)</f>
        <v/>
      </c>
      <c r="G7163" s="29">
        <f>VLOOKUP(A7163,Calendar!$A$1:$H$9997,6,FALSE)-F7163</f>
        <v/>
      </c>
      <c r="H7163" s="19" t="n">
        <v>2</v>
      </c>
      <c r="I7163" s="57" t="n">
        <v>8</v>
      </c>
    </row>
    <row r="7164">
      <c r="A7164" s="62" t="n">
        <v>46699</v>
      </c>
      <c r="B7164" s="3" t="inlineStr">
        <is>
          <t>Week</t>
        </is>
      </c>
      <c r="C7164" s="19" t="n">
        <v>11</v>
      </c>
      <c r="D7164" s="19" t="n">
        <v>2027</v>
      </c>
      <c r="E7164" s="57" t="n">
        <v>7</v>
      </c>
      <c r="F7164" s="29">
        <f>ROUND(((SUMIFS(Calendar!$F$2:$F$9997,Calendar!$B$2:$B$9997,D7164,Calendar!$C$2:$C$9997,C7164)*INDEX(ForeCalc!$B$37:$Y$274,MATCH(_xlfn.CONCAT(H7164," ",I7164),ForeCalc!$A$37:$A$274,0),MATCH(_xlfn.CONCAT(B7164," ",E7164),ForeCalc!$B$36:$Y$36,0))))*VLOOKUP(A7164,Calendar!$A$2:$H$9997,8,FALSE),0)</f>
        <v/>
      </c>
      <c r="G7164" s="29">
        <f>VLOOKUP(A7164,Calendar!$A$1:$H$9997,6,FALSE)-F7164</f>
        <v/>
      </c>
      <c r="H7164" s="19" t="n">
        <v>2</v>
      </c>
      <c r="I7164" s="57" t="n">
        <v>8</v>
      </c>
    </row>
    <row r="7165">
      <c r="A7165" s="62" t="n">
        <v>46700</v>
      </c>
      <c r="B7165" s="3" t="inlineStr">
        <is>
          <t>Week</t>
        </is>
      </c>
      <c r="C7165" s="19" t="n">
        <v>11</v>
      </c>
      <c r="D7165" s="19" t="n">
        <v>2027</v>
      </c>
      <c r="E7165" s="57" t="n">
        <v>7</v>
      </c>
      <c r="F7165" s="29">
        <f>ROUND(((SUMIFS(Calendar!$F$2:$F$9997,Calendar!$B$2:$B$9997,D7165,Calendar!$C$2:$C$9997,C7165)*INDEX(ForeCalc!$B$37:$Y$274,MATCH(_xlfn.CONCAT(H7165," ",I7165),ForeCalc!$A$37:$A$274,0),MATCH(_xlfn.CONCAT(B7165," ",E7165),ForeCalc!$B$36:$Y$36,0))))*VLOOKUP(A7165,Calendar!$A$2:$H$9997,8,FALSE),0)</f>
        <v/>
      </c>
      <c r="G7165" s="29">
        <f>VLOOKUP(A7165,Calendar!$A$1:$H$9997,6,FALSE)-F7165</f>
        <v/>
      </c>
      <c r="H7165" s="19" t="n">
        <v>2</v>
      </c>
      <c r="I7165" s="57" t="n">
        <v>8</v>
      </c>
    </row>
    <row r="7166">
      <c r="A7166" s="62" t="n">
        <v>46701</v>
      </c>
      <c r="B7166" s="3" t="inlineStr">
        <is>
          <t>Week</t>
        </is>
      </c>
      <c r="C7166" s="19" t="n">
        <v>11</v>
      </c>
      <c r="D7166" s="19" t="n">
        <v>2027</v>
      </c>
      <c r="E7166" s="57" t="n">
        <v>7</v>
      </c>
      <c r="F7166" s="29">
        <f>ROUND(((SUMIFS(Calendar!$F$2:$F$9997,Calendar!$B$2:$B$9997,D7166,Calendar!$C$2:$C$9997,C7166)*INDEX(ForeCalc!$B$37:$Y$274,MATCH(_xlfn.CONCAT(H7166," ",I7166),ForeCalc!$A$37:$A$274,0),MATCH(_xlfn.CONCAT(B7166," ",E7166),ForeCalc!$B$36:$Y$36,0))))*VLOOKUP(A7166,Calendar!$A$2:$H$9997,8,FALSE),0)</f>
        <v/>
      </c>
      <c r="G7166" s="29">
        <f>VLOOKUP(A7166,Calendar!$A$1:$H$9997,6,FALSE)-F7166</f>
        <v/>
      </c>
      <c r="H7166" s="19" t="n">
        <v>2</v>
      </c>
      <c r="I7166" s="57" t="n">
        <v>8</v>
      </c>
    </row>
    <row r="7167">
      <c r="A7167" s="62" t="n">
        <v>46702</v>
      </c>
      <c r="B7167" s="3" t="inlineStr">
        <is>
          <t>Week</t>
        </is>
      </c>
      <c r="C7167" s="19" t="n">
        <v>11</v>
      </c>
      <c r="D7167" s="19" t="n">
        <v>2027</v>
      </c>
      <c r="E7167" s="57" t="n">
        <v>7</v>
      </c>
      <c r="F7167" s="29">
        <f>ROUND(((SUMIFS(Calendar!$F$2:$F$9997,Calendar!$B$2:$B$9997,D7167,Calendar!$C$2:$C$9997,C7167)*INDEX(ForeCalc!$B$37:$Y$274,MATCH(_xlfn.CONCAT(H7167," ",I7167),ForeCalc!$A$37:$A$274,0),MATCH(_xlfn.CONCAT(B7167," ",E7167),ForeCalc!$B$36:$Y$36,0))))*VLOOKUP(A7167,Calendar!$A$2:$H$9997,8,FALSE),0)</f>
        <v/>
      </c>
      <c r="G7167" s="29">
        <f>VLOOKUP(A7167,Calendar!$A$1:$H$9997,6,FALSE)-F7167</f>
        <v/>
      </c>
      <c r="H7167" s="19" t="n">
        <v>2</v>
      </c>
      <c r="I7167" s="57" t="n">
        <v>8</v>
      </c>
    </row>
    <row r="7168">
      <c r="A7168" s="62" t="n">
        <v>46703</v>
      </c>
      <c r="B7168" s="3" t="inlineStr">
        <is>
          <t>Week</t>
        </is>
      </c>
      <c r="C7168" s="19" t="n">
        <v>11</v>
      </c>
      <c r="D7168" s="19" t="n">
        <v>2027</v>
      </c>
      <c r="E7168" s="57" t="n">
        <v>7</v>
      </c>
      <c r="F7168" s="29">
        <f>ROUND(((SUMIFS(Calendar!$F$2:$F$9997,Calendar!$B$2:$B$9997,D7168,Calendar!$C$2:$C$9997,C7168)*INDEX(ForeCalc!$B$37:$Y$274,MATCH(_xlfn.CONCAT(H7168," ",I7168),ForeCalc!$A$37:$A$274,0),MATCH(_xlfn.CONCAT(B7168," ",E7168),ForeCalc!$B$36:$Y$36,0))))*VLOOKUP(A7168,Calendar!$A$2:$H$9997,8,FALSE),0)</f>
        <v/>
      </c>
      <c r="G7168" s="29">
        <f>VLOOKUP(A7168,Calendar!$A$1:$H$9997,6,FALSE)-F7168</f>
        <v/>
      </c>
      <c r="H7168" s="19" t="n">
        <v>2</v>
      </c>
      <c r="I7168" s="57" t="n">
        <v>8</v>
      </c>
    </row>
    <row r="7169">
      <c r="A7169" s="62" t="n">
        <v>46704</v>
      </c>
      <c r="B7169" s="3" t="inlineStr">
        <is>
          <t>Sat</t>
        </is>
      </c>
      <c r="C7169" s="19" t="n">
        <v>11</v>
      </c>
      <c r="D7169" s="19" t="n">
        <v>2027</v>
      </c>
      <c r="E7169" s="57" t="n">
        <v>7</v>
      </c>
      <c r="F7169" s="29">
        <f>ROUND(((SUMIFS(Calendar!$F$2:$F$9997,Calendar!$B$2:$B$9997,D7169,Calendar!$C$2:$C$9997,C7169)*INDEX(ForeCalc!$B$37:$Y$274,MATCH(_xlfn.CONCAT(H7169," ",I7169),ForeCalc!$A$37:$A$274,0),MATCH(_xlfn.CONCAT(B7169," ",E7169),ForeCalc!$B$36:$Y$36,0))))*VLOOKUP(A7169,Calendar!$A$2:$H$9997,8,FALSE),0)</f>
        <v/>
      </c>
      <c r="G7169" s="29">
        <f>VLOOKUP(A7169,Calendar!$A$1:$H$9997,6,FALSE)-F7169</f>
        <v/>
      </c>
      <c r="H7169" s="19" t="n">
        <v>2</v>
      </c>
      <c r="I7169" s="57" t="n">
        <v>8</v>
      </c>
    </row>
    <row r="7170">
      <c r="A7170" s="62" t="n">
        <v>46705</v>
      </c>
      <c r="B7170" s="3" t="inlineStr">
        <is>
          <t>Sun</t>
        </is>
      </c>
      <c r="C7170" s="19" t="n">
        <v>11</v>
      </c>
      <c r="D7170" s="19" t="n">
        <v>2027</v>
      </c>
      <c r="E7170" s="57" t="n">
        <v>7</v>
      </c>
      <c r="F7170" s="29">
        <f>ROUND(((SUMIFS(Calendar!$F$2:$F$9997,Calendar!$B$2:$B$9997,D7170,Calendar!$C$2:$C$9997,C7170)*INDEX(ForeCalc!$B$37:$Y$274,MATCH(_xlfn.CONCAT(H7170," ",I7170),ForeCalc!$A$37:$A$274,0),MATCH(_xlfn.CONCAT(B7170," ",E7170),ForeCalc!$B$36:$Y$36,0))))*VLOOKUP(A7170,Calendar!$A$2:$H$9997,8,FALSE),0)</f>
        <v/>
      </c>
      <c r="G7170" s="29">
        <f>VLOOKUP(A7170,Calendar!$A$1:$H$9997,6,FALSE)-F7170</f>
        <v/>
      </c>
      <c r="H7170" s="19" t="n">
        <v>2</v>
      </c>
      <c r="I7170" s="57" t="n">
        <v>8</v>
      </c>
    </row>
    <row r="7171">
      <c r="A7171" s="62" t="n">
        <v>46706</v>
      </c>
      <c r="B7171" s="3" t="inlineStr">
        <is>
          <t>Week</t>
        </is>
      </c>
      <c r="C7171" s="19" t="n">
        <v>11</v>
      </c>
      <c r="D7171" s="19" t="n">
        <v>2027</v>
      </c>
      <c r="E7171" s="57" t="n">
        <v>7</v>
      </c>
      <c r="F7171" s="29">
        <f>ROUND(((SUMIFS(Calendar!$F$2:$F$9997,Calendar!$B$2:$B$9997,D7171,Calendar!$C$2:$C$9997,C7171)*INDEX(ForeCalc!$B$37:$Y$274,MATCH(_xlfn.CONCAT(H7171," ",I7171),ForeCalc!$A$37:$A$274,0),MATCH(_xlfn.CONCAT(B7171," ",E7171),ForeCalc!$B$36:$Y$36,0))))*VLOOKUP(A7171,Calendar!$A$2:$H$9997,8,FALSE),0)</f>
        <v/>
      </c>
      <c r="G7171" s="29">
        <f>VLOOKUP(A7171,Calendar!$A$1:$H$9997,6,FALSE)-F7171</f>
        <v/>
      </c>
      <c r="H7171" s="19" t="n">
        <v>2</v>
      </c>
      <c r="I7171" s="57" t="n">
        <v>8</v>
      </c>
    </row>
    <row r="7172">
      <c r="A7172" s="62" t="n">
        <v>46707</v>
      </c>
      <c r="B7172" s="3" t="inlineStr">
        <is>
          <t>Week</t>
        </is>
      </c>
      <c r="C7172" s="19" t="n">
        <v>11</v>
      </c>
      <c r="D7172" s="19" t="n">
        <v>2027</v>
      </c>
      <c r="E7172" s="57" t="n">
        <v>7</v>
      </c>
      <c r="F7172" s="29">
        <f>ROUND(((SUMIFS(Calendar!$F$2:$F$9997,Calendar!$B$2:$B$9997,D7172,Calendar!$C$2:$C$9997,C7172)*INDEX(ForeCalc!$B$37:$Y$274,MATCH(_xlfn.CONCAT(H7172," ",I7172),ForeCalc!$A$37:$A$274,0),MATCH(_xlfn.CONCAT(B7172," ",E7172),ForeCalc!$B$36:$Y$36,0))))*VLOOKUP(A7172,Calendar!$A$2:$H$9997,8,FALSE),0)</f>
        <v/>
      </c>
      <c r="G7172" s="29">
        <f>VLOOKUP(A7172,Calendar!$A$1:$H$9997,6,FALSE)-F7172</f>
        <v/>
      </c>
      <c r="H7172" s="19" t="n">
        <v>2</v>
      </c>
      <c r="I7172" s="57" t="n">
        <v>8</v>
      </c>
    </row>
    <row r="7173">
      <c r="A7173" s="62" t="n">
        <v>46708</v>
      </c>
      <c r="B7173" s="3" t="inlineStr">
        <is>
          <t>Week</t>
        </is>
      </c>
      <c r="C7173" s="19" t="n">
        <v>11</v>
      </c>
      <c r="D7173" s="19" t="n">
        <v>2027</v>
      </c>
      <c r="E7173" s="57" t="n">
        <v>7</v>
      </c>
      <c r="F7173" s="29">
        <f>ROUND(((SUMIFS(Calendar!$F$2:$F$9997,Calendar!$B$2:$B$9997,D7173,Calendar!$C$2:$C$9997,C7173)*INDEX(ForeCalc!$B$37:$Y$274,MATCH(_xlfn.CONCAT(H7173," ",I7173),ForeCalc!$A$37:$A$274,0),MATCH(_xlfn.CONCAT(B7173," ",E7173),ForeCalc!$B$36:$Y$36,0))))*VLOOKUP(A7173,Calendar!$A$2:$H$9997,8,FALSE),0)</f>
        <v/>
      </c>
      <c r="G7173" s="29">
        <f>VLOOKUP(A7173,Calendar!$A$1:$H$9997,6,FALSE)-F7173</f>
        <v/>
      </c>
      <c r="H7173" s="19" t="n">
        <v>2</v>
      </c>
      <c r="I7173" s="57" t="n">
        <v>8</v>
      </c>
    </row>
    <row r="7174">
      <c r="A7174" s="62" t="n">
        <v>46709</v>
      </c>
      <c r="B7174" s="3" t="inlineStr">
        <is>
          <t>Week</t>
        </is>
      </c>
      <c r="C7174" s="19" t="n">
        <v>11</v>
      </c>
      <c r="D7174" s="19" t="n">
        <v>2027</v>
      </c>
      <c r="E7174" s="57" t="n">
        <v>7</v>
      </c>
      <c r="F7174" s="29">
        <f>ROUND(((SUMIFS(Calendar!$F$2:$F$9997,Calendar!$B$2:$B$9997,D7174,Calendar!$C$2:$C$9997,C7174)*INDEX(ForeCalc!$B$37:$Y$274,MATCH(_xlfn.CONCAT(H7174," ",I7174),ForeCalc!$A$37:$A$274,0),MATCH(_xlfn.CONCAT(B7174," ",E7174),ForeCalc!$B$36:$Y$36,0))))*VLOOKUP(A7174,Calendar!$A$2:$H$9997,8,FALSE),0)</f>
        <v/>
      </c>
      <c r="G7174" s="29">
        <f>VLOOKUP(A7174,Calendar!$A$1:$H$9997,6,FALSE)-F7174</f>
        <v/>
      </c>
      <c r="H7174" s="19" t="n">
        <v>2</v>
      </c>
      <c r="I7174" s="57" t="n">
        <v>8</v>
      </c>
    </row>
    <row r="7175">
      <c r="A7175" s="62" t="n">
        <v>46710</v>
      </c>
      <c r="B7175" s="3" t="inlineStr">
        <is>
          <t>Week</t>
        </is>
      </c>
      <c r="C7175" s="19" t="n">
        <v>11</v>
      </c>
      <c r="D7175" s="19" t="n">
        <v>2027</v>
      </c>
      <c r="E7175" s="57" t="n">
        <v>7</v>
      </c>
      <c r="F7175" s="29">
        <f>ROUND(((SUMIFS(Calendar!$F$2:$F$9997,Calendar!$B$2:$B$9997,D7175,Calendar!$C$2:$C$9997,C7175)*INDEX(ForeCalc!$B$37:$Y$274,MATCH(_xlfn.CONCAT(H7175," ",I7175),ForeCalc!$A$37:$A$274,0),MATCH(_xlfn.CONCAT(B7175," ",E7175),ForeCalc!$B$36:$Y$36,0))))*VLOOKUP(A7175,Calendar!$A$2:$H$9997,8,FALSE),0)</f>
        <v/>
      </c>
      <c r="G7175" s="29">
        <f>VLOOKUP(A7175,Calendar!$A$1:$H$9997,6,FALSE)-F7175</f>
        <v/>
      </c>
      <c r="H7175" s="19" t="n">
        <v>2</v>
      </c>
      <c r="I7175" s="57" t="n">
        <v>8</v>
      </c>
    </row>
    <row r="7176">
      <c r="A7176" s="62" t="n">
        <v>46711</v>
      </c>
      <c r="B7176" s="3" t="inlineStr">
        <is>
          <t>Sat</t>
        </is>
      </c>
      <c r="C7176" s="19" t="n">
        <v>11</v>
      </c>
      <c r="D7176" s="19" t="n">
        <v>2027</v>
      </c>
      <c r="E7176" s="57" t="n">
        <v>7</v>
      </c>
      <c r="F7176" s="29">
        <f>ROUND(((SUMIFS(Calendar!$F$2:$F$9997,Calendar!$B$2:$B$9997,D7176,Calendar!$C$2:$C$9997,C7176)*INDEX(ForeCalc!$B$37:$Y$274,MATCH(_xlfn.CONCAT(H7176," ",I7176),ForeCalc!$A$37:$A$274,0),MATCH(_xlfn.CONCAT(B7176," ",E7176),ForeCalc!$B$36:$Y$36,0))))*VLOOKUP(A7176,Calendar!$A$2:$H$9997,8,FALSE),0)</f>
        <v/>
      </c>
      <c r="G7176" s="29">
        <f>VLOOKUP(A7176,Calendar!$A$1:$H$9997,6,FALSE)-F7176</f>
        <v/>
      </c>
      <c r="H7176" s="19" t="n">
        <v>2</v>
      </c>
      <c r="I7176" s="57" t="n">
        <v>8</v>
      </c>
    </row>
    <row r="7177">
      <c r="A7177" s="62" t="n">
        <v>46712</v>
      </c>
      <c r="B7177" s="3" t="inlineStr">
        <is>
          <t>Sun</t>
        </is>
      </c>
      <c r="C7177" s="19" t="n">
        <v>11</v>
      </c>
      <c r="D7177" s="19" t="n">
        <v>2027</v>
      </c>
      <c r="E7177" s="57" t="n">
        <v>7</v>
      </c>
      <c r="F7177" s="29">
        <f>ROUND(((SUMIFS(Calendar!$F$2:$F$9997,Calendar!$B$2:$B$9997,D7177,Calendar!$C$2:$C$9997,C7177)*INDEX(ForeCalc!$B$37:$Y$274,MATCH(_xlfn.CONCAT(H7177," ",I7177),ForeCalc!$A$37:$A$274,0),MATCH(_xlfn.CONCAT(B7177," ",E7177),ForeCalc!$B$36:$Y$36,0))))*VLOOKUP(A7177,Calendar!$A$2:$H$9997,8,FALSE),0)</f>
        <v/>
      </c>
      <c r="G7177" s="29">
        <f>VLOOKUP(A7177,Calendar!$A$1:$H$9997,6,FALSE)-F7177</f>
        <v/>
      </c>
      <c r="H7177" s="19" t="n">
        <v>2</v>
      </c>
      <c r="I7177" s="57" t="n">
        <v>8</v>
      </c>
    </row>
    <row r="7178">
      <c r="A7178" s="62" t="n">
        <v>46713</v>
      </c>
      <c r="B7178" s="3" t="inlineStr">
        <is>
          <t>Week</t>
        </is>
      </c>
      <c r="C7178" s="19" t="n">
        <v>11</v>
      </c>
      <c r="D7178" s="19" t="n">
        <v>2027</v>
      </c>
      <c r="E7178" s="57" t="n">
        <v>7</v>
      </c>
      <c r="F7178" s="29">
        <f>ROUND(((SUMIFS(Calendar!$F$2:$F$9997,Calendar!$B$2:$B$9997,D7178,Calendar!$C$2:$C$9997,C7178)*INDEX(ForeCalc!$B$37:$Y$274,MATCH(_xlfn.CONCAT(H7178," ",I7178),ForeCalc!$A$37:$A$274,0),MATCH(_xlfn.CONCAT(B7178," ",E7178),ForeCalc!$B$36:$Y$36,0))))*VLOOKUP(A7178,Calendar!$A$2:$H$9997,8,FALSE),0)</f>
        <v/>
      </c>
      <c r="G7178" s="29">
        <f>VLOOKUP(A7178,Calendar!$A$1:$H$9997,6,FALSE)-F7178</f>
        <v/>
      </c>
      <c r="H7178" s="19" t="n">
        <v>2</v>
      </c>
      <c r="I7178" s="57" t="n">
        <v>8</v>
      </c>
    </row>
    <row r="7179">
      <c r="A7179" s="62" t="n">
        <v>46714</v>
      </c>
      <c r="B7179" s="3" t="inlineStr">
        <is>
          <t>Week</t>
        </is>
      </c>
      <c r="C7179" s="19" t="n">
        <v>11</v>
      </c>
      <c r="D7179" s="19" t="n">
        <v>2027</v>
      </c>
      <c r="E7179" s="57" t="n">
        <v>7</v>
      </c>
      <c r="F7179" s="29">
        <f>ROUND(((SUMIFS(Calendar!$F$2:$F$9997,Calendar!$B$2:$B$9997,D7179,Calendar!$C$2:$C$9997,C7179)*INDEX(ForeCalc!$B$37:$Y$274,MATCH(_xlfn.CONCAT(H7179," ",I7179),ForeCalc!$A$37:$A$274,0),MATCH(_xlfn.CONCAT(B7179," ",E7179),ForeCalc!$B$36:$Y$36,0))))*VLOOKUP(A7179,Calendar!$A$2:$H$9997,8,FALSE),0)</f>
        <v/>
      </c>
      <c r="G7179" s="29">
        <f>VLOOKUP(A7179,Calendar!$A$1:$H$9997,6,FALSE)-F7179</f>
        <v/>
      </c>
      <c r="H7179" s="19" t="n">
        <v>2</v>
      </c>
      <c r="I7179" s="57" t="n">
        <v>8</v>
      </c>
    </row>
    <row r="7180">
      <c r="A7180" s="62" t="n">
        <v>46715</v>
      </c>
      <c r="B7180" s="3" t="inlineStr">
        <is>
          <t>Week</t>
        </is>
      </c>
      <c r="C7180" s="19" t="n">
        <v>11</v>
      </c>
      <c r="D7180" s="19" t="n">
        <v>2027</v>
      </c>
      <c r="E7180" s="57" t="n">
        <v>7</v>
      </c>
      <c r="F7180" s="29">
        <f>ROUND(((SUMIFS(Calendar!$F$2:$F$9997,Calendar!$B$2:$B$9997,D7180,Calendar!$C$2:$C$9997,C7180)*INDEX(ForeCalc!$B$37:$Y$274,MATCH(_xlfn.CONCAT(H7180," ",I7180),ForeCalc!$A$37:$A$274,0),MATCH(_xlfn.CONCAT(B7180," ",E7180),ForeCalc!$B$36:$Y$36,0))))*VLOOKUP(A7180,Calendar!$A$2:$H$9997,8,FALSE),0)</f>
        <v/>
      </c>
      <c r="G7180" s="29">
        <f>VLOOKUP(A7180,Calendar!$A$1:$H$9997,6,FALSE)-F7180</f>
        <v/>
      </c>
      <c r="H7180" s="19" t="n">
        <v>2</v>
      </c>
      <c r="I7180" s="57" t="n">
        <v>8</v>
      </c>
    </row>
    <row r="7181">
      <c r="A7181" s="62" t="n">
        <v>46716</v>
      </c>
      <c r="B7181" s="3" t="inlineStr">
        <is>
          <t>Week</t>
        </is>
      </c>
      <c r="C7181" s="19" t="n">
        <v>11</v>
      </c>
      <c r="D7181" s="19" t="n">
        <v>2027</v>
      </c>
      <c r="E7181" s="57" t="n">
        <v>7</v>
      </c>
      <c r="F7181" s="29">
        <f>ROUND(((SUMIFS(Calendar!$F$2:$F$9997,Calendar!$B$2:$B$9997,D7181,Calendar!$C$2:$C$9997,C7181)*INDEX(ForeCalc!$B$37:$Y$274,MATCH(_xlfn.CONCAT(H7181," ",I7181),ForeCalc!$A$37:$A$274,0),MATCH(_xlfn.CONCAT(B7181," ",E7181),ForeCalc!$B$36:$Y$36,0))))*VLOOKUP(A7181,Calendar!$A$2:$H$9997,8,FALSE),0)</f>
        <v/>
      </c>
      <c r="G7181" s="29">
        <f>VLOOKUP(A7181,Calendar!$A$1:$H$9997,6,FALSE)-F7181</f>
        <v/>
      </c>
      <c r="H7181" s="19" t="n">
        <v>2</v>
      </c>
      <c r="I7181" s="57" t="n">
        <v>8</v>
      </c>
    </row>
    <row r="7182">
      <c r="A7182" s="62" t="n">
        <v>46717</v>
      </c>
      <c r="B7182" s="3" t="inlineStr">
        <is>
          <t>Week</t>
        </is>
      </c>
      <c r="C7182" s="19" t="n">
        <v>11</v>
      </c>
      <c r="D7182" s="19" t="n">
        <v>2027</v>
      </c>
      <c r="E7182" s="57" t="n">
        <v>7</v>
      </c>
      <c r="F7182" s="29">
        <f>ROUND(((SUMIFS(Calendar!$F$2:$F$9997,Calendar!$B$2:$B$9997,D7182,Calendar!$C$2:$C$9997,C7182)*INDEX(ForeCalc!$B$37:$Y$274,MATCH(_xlfn.CONCAT(H7182," ",I7182),ForeCalc!$A$37:$A$274,0),MATCH(_xlfn.CONCAT(B7182," ",E7182),ForeCalc!$B$36:$Y$36,0))))*VLOOKUP(A7182,Calendar!$A$2:$H$9997,8,FALSE),0)</f>
        <v/>
      </c>
      <c r="G7182" s="29">
        <f>VLOOKUP(A7182,Calendar!$A$1:$H$9997,6,FALSE)-F7182</f>
        <v/>
      </c>
      <c r="H7182" s="19" t="n">
        <v>2</v>
      </c>
      <c r="I7182" s="57" t="n">
        <v>8</v>
      </c>
    </row>
    <row r="7183">
      <c r="A7183" s="62" t="n">
        <v>46718</v>
      </c>
      <c r="B7183" s="3" t="inlineStr">
        <is>
          <t>Sat</t>
        </is>
      </c>
      <c r="C7183" s="19" t="n">
        <v>11</v>
      </c>
      <c r="D7183" s="19" t="n">
        <v>2027</v>
      </c>
      <c r="E7183" s="57" t="n">
        <v>7</v>
      </c>
      <c r="F7183" s="29">
        <f>ROUND(((SUMIFS(Calendar!$F$2:$F$9997,Calendar!$B$2:$B$9997,D7183,Calendar!$C$2:$C$9997,C7183)*INDEX(ForeCalc!$B$37:$Y$274,MATCH(_xlfn.CONCAT(H7183," ",I7183),ForeCalc!$A$37:$A$274,0),MATCH(_xlfn.CONCAT(B7183," ",E7183),ForeCalc!$B$36:$Y$36,0))))*VLOOKUP(A7183,Calendar!$A$2:$H$9997,8,FALSE),0)</f>
        <v/>
      </c>
      <c r="G7183" s="29">
        <f>VLOOKUP(A7183,Calendar!$A$1:$H$9997,6,FALSE)-F7183</f>
        <v/>
      </c>
      <c r="H7183" s="19" t="n">
        <v>2</v>
      </c>
      <c r="I7183" s="57" t="n">
        <v>8</v>
      </c>
    </row>
    <row r="7184">
      <c r="A7184" s="62" t="n">
        <v>46719</v>
      </c>
      <c r="B7184" s="3" t="inlineStr">
        <is>
          <t>Sun</t>
        </is>
      </c>
      <c r="C7184" s="19" t="n">
        <v>11</v>
      </c>
      <c r="D7184" s="19" t="n">
        <v>2027</v>
      </c>
      <c r="E7184" s="57" t="n">
        <v>7</v>
      </c>
      <c r="F7184" s="29">
        <f>ROUND(((SUMIFS(Calendar!$F$2:$F$9997,Calendar!$B$2:$B$9997,D7184,Calendar!$C$2:$C$9997,C7184)*INDEX(ForeCalc!$B$37:$Y$274,MATCH(_xlfn.CONCAT(H7184," ",I7184),ForeCalc!$A$37:$A$274,0),MATCH(_xlfn.CONCAT(B7184," ",E7184),ForeCalc!$B$36:$Y$36,0))))*VLOOKUP(A7184,Calendar!$A$2:$H$9997,8,FALSE),0)</f>
        <v/>
      </c>
      <c r="G7184" s="29">
        <f>VLOOKUP(A7184,Calendar!$A$1:$H$9997,6,FALSE)-F7184</f>
        <v/>
      </c>
      <c r="H7184" s="19" t="n">
        <v>2</v>
      </c>
      <c r="I7184" s="57" t="n">
        <v>8</v>
      </c>
    </row>
    <row r="7185">
      <c r="A7185" s="62" t="n">
        <v>46720</v>
      </c>
      <c r="B7185" s="3" t="inlineStr">
        <is>
          <t>Week</t>
        </is>
      </c>
      <c r="C7185" s="19" t="n">
        <v>11</v>
      </c>
      <c r="D7185" s="19" t="n">
        <v>2027</v>
      </c>
      <c r="E7185" s="57" t="n">
        <v>7</v>
      </c>
      <c r="F7185" s="29">
        <f>ROUND(((SUMIFS(Calendar!$F$2:$F$9997,Calendar!$B$2:$B$9997,D7185,Calendar!$C$2:$C$9997,C7185)*INDEX(ForeCalc!$B$37:$Y$274,MATCH(_xlfn.CONCAT(H7185," ",I7185),ForeCalc!$A$37:$A$274,0),MATCH(_xlfn.CONCAT(B7185," ",E7185),ForeCalc!$B$36:$Y$36,0))))*VLOOKUP(A7185,Calendar!$A$2:$H$9997,8,FALSE),0)</f>
        <v/>
      </c>
      <c r="G7185" s="29">
        <f>VLOOKUP(A7185,Calendar!$A$1:$H$9997,6,FALSE)-F7185</f>
        <v/>
      </c>
      <c r="H7185" s="19" t="n">
        <v>2</v>
      </c>
      <c r="I7185" s="57" t="n">
        <v>8</v>
      </c>
    </row>
    <row r="7186">
      <c r="A7186" s="62" t="n">
        <v>46721</v>
      </c>
      <c r="B7186" s="3" t="inlineStr">
        <is>
          <t>Week</t>
        </is>
      </c>
      <c r="C7186" s="19" t="n">
        <v>11</v>
      </c>
      <c r="D7186" s="19" t="n">
        <v>2027</v>
      </c>
      <c r="E7186" s="57" t="n">
        <v>7</v>
      </c>
      <c r="F7186" s="29">
        <f>ROUND(((SUMIFS(Calendar!$F$2:$F$9997,Calendar!$B$2:$B$9997,D7186,Calendar!$C$2:$C$9997,C7186)*INDEX(ForeCalc!$B$37:$Y$274,MATCH(_xlfn.CONCAT(H7186," ",I7186),ForeCalc!$A$37:$A$274,0),MATCH(_xlfn.CONCAT(B7186," ",E7186),ForeCalc!$B$36:$Y$36,0))))*VLOOKUP(A7186,Calendar!$A$2:$H$9997,8,FALSE),0)</f>
        <v/>
      </c>
      <c r="G7186" s="29">
        <f>VLOOKUP(A7186,Calendar!$A$1:$H$9997,6,FALSE)-F7186</f>
        <v/>
      </c>
      <c r="H7186" s="19" t="n">
        <v>2</v>
      </c>
      <c r="I7186" s="57" t="n">
        <v>8</v>
      </c>
    </row>
    <row r="7187">
      <c r="A7187" s="62" t="n">
        <v>46722</v>
      </c>
      <c r="B7187" s="3" t="inlineStr">
        <is>
          <t>Week</t>
        </is>
      </c>
      <c r="C7187" s="19" t="n">
        <v>12</v>
      </c>
      <c r="D7187" s="19" t="n">
        <v>2027</v>
      </c>
      <c r="E7187" s="57" t="n">
        <v>7</v>
      </c>
      <c r="F7187" s="29">
        <f>ROUND(((SUMIFS(Calendar!$F$2:$F$9997,Calendar!$B$2:$B$9997,D7187,Calendar!$C$2:$C$9997,C7187)*INDEX(ForeCalc!$B$37:$Y$274,MATCH(_xlfn.CONCAT(H7187," ",I7187),ForeCalc!$A$37:$A$274,0),MATCH(_xlfn.CONCAT(B7187," ",E7187),ForeCalc!$B$36:$Y$36,0))))*VLOOKUP(A7187,Calendar!$A$2:$H$9997,8,FALSE),0)</f>
        <v/>
      </c>
      <c r="G7187" s="29">
        <f>VLOOKUP(A7187,Calendar!$A$1:$H$9997,6,FALSE)-F7187</f>
        <v/>
      </c>
      <c r="H7187" s="19" t="n">
        <v>2</v>
      </c>
      <c r="I7187" s="57" t="n">
        <v>9</v>
      </c>
    </row>
    <row r="7188">
      <c r="A7188" s="62" t="n">
        <v>46723</v>
      </c>
      <c r="B7188" s="3" t="inlineStr">
        <is>
          <t>Week</t>
        </is>
      </c>
      <c r="C7188" s="19" t="n">
        <v>12</v>
      </c>
      <c r="D7188" s="19" t="n">
        <v>2027</v>
      </c>
      <c r="E7188" s="57" t="n">
        <v>7</v>
      </c>
      <c r="F7188" s="29">
        <f>ROUND(((SUMIFS(Calendar!$F$2:$F$9997,Calendar!$B$2:$B$9997,D7188,Calendar!$C$2:$C$9997,C7188)*INDEX(ForeCalc!$B$37:$Y$274,MATCH(_xlfn.CONCAT(H7188," ",I7188),ForeCalc!$A$37:$A$274,0),MATCH(_xlfn.CONCAT(B7188," ",E7188),ForeCalc!$B$36:$Y$36,0))))*VLOOKUP(A7188,Calendar!$A$2:$H$9997,8,FALSE),0)</f>
        <v/>
      </c>
      <c r="G7188" s="29">
        <f>VLOOKUP(A7188,Calendar!$A$1:$H$9997,6,FALSE)-F7188</f>
        <v/>
      </c>
      <c r="H7188" s="19" t="n">
        <v>2</v>
      </c>
      <c r="I7188" s="57" t="n">
        <v>9</v>
      </c>
    </row>
    <row r="7189">
      <c r="A7189" s="62" t="n">
        <v>46724</v>
      </c>
      <c r="B7189" s="3" t="inlineStr">
        <is>
          <t>Week</t>
        </is>
      </c>
      <c r="C7189" s="19" t="n">
        <v>12</v>
      </c>
      <c r="D7189" s="19" t="n">
        <v>2027</v>
      </c>
      <c r="E7189" s="57" t="n">
        <v>7</v>
      </c>
      <c r="F7189" s="29">
        <f>ROUND(((SUMIFS(Calendar!$F$2:$F$9997,Calendar!$B$2:$B$9997,D7189,Calendar!$C$2:$C$9997,C7189)*INDEX(ForeCalc!$B$37:$Y$274,MATCH(_xlfn.CONCAT(H7189," ",I7189),ForeCalc!$A$37:$A$274,0),MATCH(_xlfn.CONCAT(B7189," ",E7189),ForeCalc!$B$36:$Y$36,0))))*VLOOKUP(A7189,Calendar!$A$2:$H$9997,8,FALSE),0)</f>
        <v/>
      </c>
      <c r="G7189" s="29">
        <f>VLOOKUP(A7189,Calendar!$A$1:$H$9997,6,FALSE)-F7189</f>
        <v/>
      </c>
      <c r="H7189" s="19" t="n">
        <v>2</v>
      </c>
      <c r="I7189" s="57" t="n">
        <v>9</v>
      </c>
    </row>
    <row r="7190">
      <c r="A7190" s="62" t="n">
        <v>46725</v>
      </c>
      <c r="B7190" s="3" t="inlineStr">
        <is>
          <t>Sat</t>
        </is>
      </c>
      <c r="C7190" s="19" t="n">
        <v>12</v>
      </c>
      <c r="D7190" s="19" t="n">
        <v>2027</v>
      </c>
      <c r="E7190" s="57" t="n">
        <v>7</v>
      </c>
      <c r="F7190" s="29">
        <f>ROUND(((SUMIFS(Calendar!$F$2:$F$9997,Calendar!$B$2:$B$9997,D7190,Calendar!$C$2:$C$9997,C7190)*INDEX(ForeCalc!$B$37:$Y$274,MATCH(_xlfn.CONCAT(H7190," ",I7190),ForeCalc!$A$37:$A$274,0),MATCH(_xlfn.CONCAT(B7190," ",E7190),ForeCalc!$B$36:$Y$36,0))))*VLOOKUP(A7190,Calendar!$A$2:$H$9997,8,FALSE),0)</f>
        <v/>
      </c>
      <c r="G7190" s="29">
        <f>VLOOKUP(A7190,Calendar!$A$1:$H$9997,6,FALSE)-F7190</f>
        <v/>
      </c>
      <c r="H7190" s="19" t="n">
        <v>2</v>
      </c>
      <c r="I7190" s="57" t="n">
        <v>9</v>
      </c>
    </row>
    <row r="7191">
      <c r="A7191" s="62" t="n">
        <v>46726</v>
      </c>
      <c r="B7191" s="3" t="inlineStr">
        <is>
          <t>Sun</t>
        </is>
      </c>
      <c r="C7191" s="19" t="n">
        <v>12</v>
      </c>
      <c r="D7191" s="19" t="n">
        <v>2027</v>
      </c>
      <c r="E7191" s="57" t="n">
        <v>7</v>
      </c>
      <c r="F7191" s="29">
        <f>ROUND(((SUMIFS(Calendar!$F$2:$F$9997,Calendar!$B$2:$B$9997,D7191,Calendar!$C$2:$C$9997,C7191)*INDEX(ForeCalc!$B$37:$Y$274,MATCH(_xlfn.CONCAT(H7191," ",I7191),ForeCalc!$A$37:$A$274,0),MATCH(_xlfn.CONCAT(B7191," ",E7191),ForeCalc!$B$36:$Y$36,0))))*VLOOKUP(A7191,Calendar!$A$2:$H$9997,8,FALSE),0)</f>
        <v/>
      </c>
      <c r="G7191" s="29">
        <f>VLOOKUP(A7191,Calendar!$A$1:$H$9997,6,FALSE)-F7191</f>
        <v/>
      </c>
      <c r="H7191" s="19" t="n">
        <v>2</v>
      </c>
      <c r="I7191" s="57" t="n">
        <v>9</v>
      </c>
    </row>
    <row r="7192">
      <c r="A7192" s="62" t="n">
        <v>46727</v>
      </c>
      <c r="B7192" s="3" t="inlineStr">
        <is>
          <t>Week</t>
        </is>
      </c>
      <c r="C7192" s="19" t="n">
        <v>12</v>
      </c>
      <c r="D7192" s="19" t="n">
        <v>2027</v>
      </c>
      <c r="E7192" s="57" t="n">
        <v>7</v>
      </c>
      <c r="F7192" s="29">
        <f>ROUND(((SUMIFS(Calendar!$F$2:$F$9997,Calendar!$B$2:$B$9997,D7192,Calendar!$C$2:$C$9997,C7192)*INDEX(ForeCalc!$B$37:$Y$274,MATCH(_xlfn.CONCAT(H7192," ",I7192),ForeCalc!$A$37:$A$274,0),MATCH(_xlfn.CONCAT(B7192," ",E7192),ForeCalc!$B$36:$Y$36,0))))*VLOOKUP(A7192,Calendar!$A$2:$H$9997,8,FALSE),0)</f>
        <v/>
      </c>
      <c r="G7192" s="29">
        <f>VLOOKUP(A7192,Calendar!$A$1:$H$9997,6,FALSE)-F7192</f>
        <v/>
      </c>
      <c r="H7192" s="19" t="n">
        <v>2</v>
      </c>
      <c r="I7192" s="57" t="n">
        <v>9</v>
      </c>
    </row>
    <row r="7193">
      <c r="A7193" s="62" t="n">
        <v>46728</v>
      </c>
      <c r="B7193" s="3" t="inlineStr">
        <is>
          <t>Week</t>
        </is>
      </c>
      <c r="C7193" s="19" t="n">
        <v>12</v>
      </c>
      <c r="D7193" s="19" t="n">
        <v>2027</v>
      </c>
      <c r="E7193" s="57" t="n">
        <v>7</v>
      </c>
      <c r="F7193" s="29">
        <f>ROUND(((SUMIFS(Calendar!$F$2:$F$9997,Calendar!$B$2:$B$9997,D7193,Calendar!$C$2:$C$9997,C7193)*INDEX(ForeCalc!$B$37:$Y$274,MATCH(_xlfn.CONCAT(H7193," ",I7193),ForeCalc!$A$37:$A$274,0),MATCH(_xlfn.CONCAT(B7193," ",E7193),ForeCalc!$B$36:$Y$36,0))))*VLOOKUP(A7193,Calendar!$A$2:$H$9997,8,FALSE),0)</f>
        <v/>
      </c>
      <c r="G7193" s="29">
        <f>VLOOKUP(A7193,Calendar!$A$1:$H$9997,6,FALSE)-F7193</f>
        <v/>
      </c>
      <c r="H7193" s="19" t="n">
        <v>2</v>
      </c>
      <c r="I7193" s="57" t="n">
        <v>9</v>
      </c>
    </row>
    <row r="7194">
      <c r="A7194" s="62" t="n">
        <v>46729</v>
      </c>
      <c r="B7194" s="3" t="inlineStr">
        <is>
          <t>Week</t>
        </is>
      </c>
      <c r="C7194" s="19" t="n">
        <v>12</v>
      </c>
      <c r="D7194" s="19" t="n">
        <v>2027</v>
      </c>
      <c r="E7194" s="57" t="n">
        <v>7</v>
      </c>
      <c r="F7194" s="29">
        <f>ROUND(((SUMIFS(Calendar!$F$2:$F$9997,Calendar!$B$2:$B$9997,D7194,Calendar!$C$2:$C$9997,C7194)*INDEX(ForeCalc!$B$37:$Y$274,MATCH(_xlfn.CONCAT(H7194," ",I7194),ForeCalc!$A$37:$A$274,0),MATCH(_xlfn.CONCAT(B7194," ",E7194),ForeCalc!$B$36:$Y$36,0))))*VLOOKUP(A7194,Calendar!$A$2:$H$9997,8,FALSE),0)</f>
        <v/>
      </c>
      <c r="G7194" s="29">
        <f>VLOOKUP(A7194,Calendar!$A$1:$H$9997,6,FALSE)-F7194</f>
        <v/>
      </c>
      <c r="H7194" s="19" t="n">
        <v>2</v>
      </c>
      <c r="I7194" s="57" t="n">
        <v>9</v>
      </c>
    </row>
    <row r="7195">
      <c r="A7195" s="62" t="n">
        <v>46730</v>
      </c>
      <c r="B7195" s="3" t="inlineStr">
        <is>
          <t>Week</t>
        </is>
      </c>
      <c r="C7195" s="19" t="n">
        <v>12</v>
      </c>
      <c r="D7195" s="19" t="n">
        <v>2027</v>
      </c>
      <c r="E7195" s="57" t="n">
        <v>7</v>
      </c>
      <c r="F7195" s="29">
        <f>ROUND(((SUMIFS(Calendar!$F$2:$F$9997,Calendar!$B$2:$B$9997,D7195,Calendar!$C$2:$C$9997,C7195)*INDEX(ForeCalc!$B$37:$Y$274,MATCH(_xlfn.CONCAT(H7195," ",I7195),ForeCalc!$A$37:$A$274,0),MATCH(_xlfn.CONCAT(B7195," ",E7195),ForeCalc!$B$36:$Y$36,0))))*VLOOKUP(A7195,Calendar!$A$2:$H$9997,8,FALSE),0)</f>
        <v/>
      </c>
      <c r="G7195" s="29">
        <f>VLOOKUP(A7195,Calendar!$A$1:$H$9997,6,FALSE)-F7195</f>
        <v/>
      </c>
      <c r="H7195" s="19" t="n">
        <v>2</v>
      </c>
      <c r="I7195" s="57" t="n">
        <v>9</v>
      </c>
    </row>
    <row r="7196">
      <c r="A7196" s="62" t="n">
        <v>46731</v>
      </c>
      <c r="B7196" s="3" t="inlineStr">
        <is>
          <t>Week</t>
        </is>
      </c>
      <c r="C7196" s="19" t="n">
        <v>12</v>
      </c>
      <c r="D7196" s="19" t="n">
        <v>2027</v>
      </c>
      <c r="E7196" s="57" t="n">
        <v>7</v>
      </c>
      <c r="F7196" s="29">
        <f>ROUND(((SUMIFS(Calendar!$F$2:$F$9997,Calendar!$B$2:$B$9997,D7196,Calendar!$C$2:$C$9997,C7196)*INDEX(ForeCalc!$B$37:$Y$274,MATCH(_xlfn.CONCAT(H7196," ",I7196),ForeCalc!$A$37:$A$274,0),MATCH(_xlfn.CONCAT(B7196," ",E7196),ForeCalc!$B$36:$Y$36,0))))*VLOOKUP(A7196,Calendar!$A$2:$H$9997,8,FALSE),0)</f>
        <v/>
      </c>
      <c r="G7196" s="29">
        <f>VLOOKUP(A7196,Calendar!$A$1:$H$9997,6,FALSE)-F7196</f>
        <v/>
      </c>
      <c r="H7196" s="19" t="n">
        <v>2</v>
      </c>
      <c r="I7196" s="57" t="n">
        <v>9</v>
      </c>
    </row>
    <row r="7197">
      <c r="A7197" s="62" t="n">
        <v>46732</v>
      </c>
      <c r="B7197" s="3" t="inlineStr">
        <is>
          <t>Sat</t>
        </is>
      </c>
      <c r="C7197" s="19" t="n">
        <v>12</v>
      </c>
      <c r="D7197" s="19" t="n">
        <v>2027</v>
      </c>
      <c r="E7197" s="57" t="n">
        <v>7</v>
      </c>
      <c r="F7197" s="29">
        <f>ROUND(((SUMIFS(Calendar!$F$2:$F$9997,Calendar!$B$2:$B$9997,D7197,Calendar!$C$2:$C$9997,C7197)*INDEX(ForeCalc!$B$37:$Y$274,MATCH(_xlfn.CONCAT(H7197," ",I7197),ForeCalc!$A$37:$A$274,0),MATCH(_xlfn.CONCAT(B7197," ",E7197),ForeCalc!$B$36:$Y$36,0))))*VLOOKUP(A7197,Calendar!$A$2:$H$9997,8,FALSE),0)</f>
        <v/>
      </c>
      <c r="G7197" s="29">
        <f>VLOOKUP(A7197,Calendar!$A$1:$H$9997,6,FALSE)-F7197</f>
        <v/>
      </c>
      <c r="H7197" s="19" t="n">
        <v>2</v>
      </c>
      <c r="I7197" s="57" t="n">
        <v>9</v>
      </c>
    </row>
    <row r="7198">
      <c r="A7198" s="62" t="n">
        <v>46733</v>
      </c>
      <c r="B7198" s="3" t="inlineStr">
        <is>
          <t>Sun</t>
        </is>
      </c>
      <c r="C7198" s="19" t="n">
        <v>12</v>
      </c>
      <c r="D7198" s="19" t="n">
        <v>2027</v>
      </c>
      <c r="E7198" s="57" t="n">
        <v>7</v>
      </c>
      <c r="F7198" s="29">
        <f>ROUND(((SUMIFS(Calendar!$F$2:$F$9997,Calendar!$B$2:$B$9997,D7198,Calendar!$C$2:$C$9997,C7198)*INDEX(ForeCalc!$B$37:$Y$274,MATCH(_xlfn.CONCAT(H7198," ",I7198),ForeCalc!$A$37:$A$274,0),MATCH(_xlfn.CONCAT(B7198," ",E7198),ForeCalc!$B$36:$Y$36,0))))*VLOOKUP(A7198,Calendar!$A$2:$H$9997,8,FALSE),0)</f>
        <v/>
      </c>
      <c r="G7198" s="29">
        <f>VLOOKUP(A7198,Calendar!$A$1:$H$9997,6,FALSE)-F7198</f>
        <v/>
      </c>
      <c r="H7198" s="19" t="n">
        <v>2</v>
      </c>
      <c r="I7198" s="57" t="n">
        <v>9</v>
      </c>
    </row>
    <row r="7199">
      <c r="A7199" s="62" t="n">
        <v>46734</v>
      </c>
      <c r="B7199" s="3" t="inlineStr">
        <is>
          <t>Week</t>
        </is>
      </c>
      <c r="C7199" s="19" t="n">
        <v>12</v>
      </c>
      <c r="D7199" s="19" t="n">
        <v>2027</v>
      </c>
      <c r="E7199" s="57" t="n">
        <v>7</v>
      </c>
      <c r="F7199" s="29">
        <f>ROUND(((SUMIFS(Calendar!$F$2:$F$9997,Calendar!$B$2:$B$9997,D7199,Calendar!$C$2:$C$9997,C7199)*INDEX(ForeCalc!$B$37:$Y$274,MATCH(_xlfn.CONCAT(H7199," ",I7199),ForeCalc!$A$37:$A$274,0),MATCH(_xlfn.CONCAT(B7199," ",E7199),ForeCalc!$B$36:$Y$36,0))))*VLOOKUP(A7199,Calendar!$A$2:$H$9997,8,FALSE),0)</f>
        <v/>
      </c>
      <c r="G7199" s="29">
        <f>VLOOKUP(A7199,Calendar!$A$1:$H$9997,6,FALSE)-F7199</f>
        <v/>
      </c>
      <c r="H7199" s="19" t="n">
        <v>2</v>
      </c>
      <c r="I7199" s="57" t="n">
        <v>9</v>
      </c>
    </row>
    <row r="7200">
      <c r="A7200" s="62" t="n">
        <v>46735</v>
      </c>
      <c r="B7200" s="3" t="inlineStr">
        <is>
          <t>Week</t>
        </is>
      </c>
      <c r="C7200" s="19" t="n">
        <v>12</v>
      </c>
      <c r="D7200" s="19" t="n">
        <v>2027</v>
      </c>
      <c r="E7200" s="57" t="n">
        <v>7</v>
      </c>
      <c r="F7200" s="29">
        <f>ROUND(((SUMIFS(Calendar!$F$2:$F$9997,Calendar!$B$2:$B$9997,D7200,Calendar!$C$2:$C$9997,C7200)*INDEX(ForeCalc!$B$37:$Y$274,MATCH(_xlfn.CONCAT(H7200," ",I7200),ForeCalc!$A$37:$A$274,0),MATCH(_xlfn.CONCAT(B7200," ",E7200),ForeCalc!$B$36:$Y$36,0))))*VLOOKUP(A7200,Calendar!$A$2:$H$9997,8,FALSE),0)</f>
        <v/>
      </c>
      <c r="G7200" s="29">
        <f>VLOOKUP(A7200,Calendar!$A$1:$H$9997,6,FALSE)-F7200</f>
        <v/>
      </c>
      <c r="H7200" s="19" t="n">
        <v>2</v>
      </c>
      <c r="I7200" s="57" t="n">
        <v>9</v>
      </c>
    </row>
    <row r="7201">
      <c r="A7201" s="62" t="n">
        <v>46736</v>
      </c>
      <c r="B7201" s="3" t="inlineStr">
        <is>
          <t>Week</t>
        </is>
      </c>
      <c r="C7201" s="19" t="n">
        <v>12</v>
      </c>
      <c r="D7201" s="19" t="n">
        <v>2027</v>
      </c>
      <c r="E7201" s="57" t="n">
        <v>7</v>
      </c>
      <c r="F7201" s="29">
        <f>ROUND(((SUMIFS(Calendar!$F$2:$F$9997,Calendar!$B$2:$B$9997,D7201,Calendar!$C$2:$C$9997,C7201)*INDEX(ForeCalc!$B$37:$Y$274,MATCH(_xlfn.CONCAT(H7201," ",I7201),ForeCalc!$A$37:$A$274,0),MATCH(_xlfn.CONCAT(B7201," ",E7201),ForeCalc!$B$36:$Y$36,0))))*VLOOKUP(A7201,Calendar!$A$2:$H$9997,8,FALSE),0)</f>
        <v/>
      </c>
      <c r="G7201" s="29">
        <f>VLOOKUP(A7201,Calendar!$A$1:$H$9997,6,FALSE)-F7201</f>
        <v/>
      </c>
      <c r="H7201" s="19" t="n">
        <v>2</v>
      </c>
      <c r="I7201" s="57" t="n">
        <v>9</v>
      </c>
    </row>
    <row r="7202">
      <c r="A7202" s="62" t="n">
        <v>46737</v>
      </c>
      <c r="B7202" s="3" t="inlineStr">
        <is>
          <t>Week</t>
        </is>
      </c>
      <c r="C7202" s="19" t="n">
        <v>12</v>
      </c>
      <c r="D7202" s="19" t="n">
        <v>2027</v>
      </c>
      <c r="E7202" s="57" t="n">
        <v>7</v>
      </c>
      <c r="F7202" s="29">
        <f>ROUND(((SUMIFS(Calendar!$F$2:$F$9997,Calendar!$B$2:$B$9997,D7202,Calendar!$C$2:$C$9997,C7202)*INDEX(ForeCalc!$B$37:$Y$274,MATCH(_xlfn.CONCAT(H7202," ",I7202),ForeCalc!$A$37:$A$274,0),MATCH(_xlfn.CONCAT(B7202," ",E7202),ForeCalc!$B$36:$Y$36,0))))*VLOOKUP(A7202,Calendar!$A$2:$H$9997,8,FALSE),0)</f>
        <v/>
      </c>
      <c r="G7202" s="29">
        <f>VLOOKUP(A7202,Calendar!$A$1:$H$9997,6,FALSE)-F7202</f>
        <v/>
      </c>
      <c r="H7202" s="19" t="n">
        <v>2</v>
      </c>
      <c r="I7202" s="57" t="n">
        <v>9</v>
      </c>
    </row>
    <row r="7203">
      <c r="A7203" s="62" t="n">
        <v>46738</v>
      </c>
      <c r="B7203" s="3" t="inlineStr">
        <is>
          <t>Week</t>
        </is>
      </c>
      <c r="C7203" s="19" t="n">
        <v>12</v>
      </c>
      <c r="D7203" s="19" t="n">
        <v>2027</v>
      </c>
      <c r="E7203" s="57" t="n">
        <v>7</v>
      </c>
      <c r="F7203" s="29">
        <f>ROUND(((SUMIFS(Calendar!$F$2:$F$9997,Calendar!$B$2:$B$9997,D7203,Calendar!$C$2:$C$9997,C7203)*INDEX(ForeCalc!$B$37:$Y$274,MATCH(_xlfn.CONCAT(H7203," ",I7203),ForeCalc!$A$37:$A$274,0),MATCH(_xlfn.CONCAT(B7203," ",E7203),ForeCalc!$B$36:$Y$36,0))))*VLOOKUP(A7203,Calendar!$A$2:$H$9997,8,FALSE),0)</f>
        <v/>
      </c>
      <c r="G7203" s="29">
        <f>VLOOKUP(A7203,Calendar!$A$1:$H$9997,6,FALSE)-F7203</f>
        <v/>
      </c>
      <c r="H7203" s="19" t="n">
        <v>2</v>
      </c>
      <c r="I7203" s="57" t="n">
        <v>9</v>
      </c>
    </row>
    <row r="7204">
      <c r="A7204" s="62" t="n">
        <v>46739</v>
      </c>
      <c r="B7204" s="3" t="inlineStr">
        <is>
          <t>Sat</t>
        </is>
      </c>
      <c r="C7204" s="19" t="n">
        <v>12</v>
      </c>
      <c r="D7204" s="19" t="n">
        <v>2027</v>
      </c>
      <c r="E7204" s="57" t="n">
        <v>7</v>
      </c>
      <c r="F7204" s="29">
        <f>ROUND(((SUMIFS(Calendar!$F$2:$F$9997,Calendar!$B$2:$B$9997,D7204,Calendar!$C$2:$C$9997,C7204)*INDEX(ForeCalc!$B$37:$Y$274,MATCH(_xlfn.CONCAT(H7204," ",I7204),ForeCalc!$A$37:$A$274,0),MATCH(_xlfn.CONCAT(B7204," ",E7204),ForeCalc!$B$36:$Y$36,0))))*VLOOKUP(A7204,Calendar!$A$2:$H$9997,8,FALSE),0)</f>
        <v/>
      </c>
      <c r="G7204" s="29">
        <f>VLOOKUP(A7204,Calendar!$A$1:$H$9997,6,FALSE)-F7204</f>
        <v/>
      </c>
      <c r="H7204" s="19" t="n">
        <v>2</v>
      </c>
      <c r="I7204" s="57" t="n">
        <v>9</v>
      </c>
    </row>
    <row r="7205">
      <c r="A7205" s="62" t="n">
        <v>46740</v>
      </c>
      <c r="B7205" s="3" t="inlineStr">
        <is>
          <t>Sun</t>
        </is>
      </c>
      <c r="C7205" s="19" t="n">
        <v>12</v>
      </c>
      <c r="D7205" s="19" t="n">
        <v>2027</v>
      </c>
      <c r="E7205" s="57" t="n">
        <v>7</v>
      </c>
      <c r="F7205" s="29">
        <f>ROUND(((SUMIFS(Calendar!$F$2:$F$9997,Calendar!$B$2:$B$9997,D7205,Calendar!$C$2:$C$9997,C7205)*INDEX(ForeCalc!$B$37:$Y$274,MATCH(_xlfn.CONCAT(H7205," ",I7205),ForeCalc!$A$37:$A$274,0),MATCH(_xlfn.CONCAT(B7205," ",E7205),ForeCalc!$B$36:$Y$36,0))))*VLOOKUP(A7205,Calendar!$A$2:$H$9997,8,FALSE),0)</f>
        <v/>
      </c>
      <c r="G7205" s="29">
        <f>VLOOKUP(A7205,Calendar!$A$1:$H$9997,6,FALSE)-F7205</f>
        <v/>
      </c>
      <c r="H7205" s="19" t="n">
        <v>2</v>
      </c>
      <c r="I7205" s="57" t="n">
        <v>9</v>
      </c>
    </row>
    <row r="7206">
      <c r="A7206" s="62" t="n">
        <v>46741</v>
      </c>
      <c r="B7206" s="3" t="inlineStr">
        <is>
          <t>Week</t>
        </is>
      </c>
      <c r="C7206" s="19" t="n">
        <v>12</v>
      </c>
      <c r="D7206" s="19" t="n">
        <v>2027</v>
      </c>
      <c r="E7206" s="57" t="n">
        <v>7</v>
      </c>
      <c r="F7206" s="29">
        <f>ROUND(((SUMIFS(Calendar!$F$2:$F$9997,Calendar!$B$2:$B$9997,D7206,Calendar!$C$2:$C$9997,C7206)*INDEX(ForeCalc!$B$37:$Y$274,MATCH(_xlfn.CONCAT(H7206," ",I7206),ForeCalc!$A$37:$A$274,0),MATCH(_xlfn.CONCAT(B7206," ",E7206),ForeCalc!$B$36:$Y$36,0))))*VLOOKUP(A7206,Calendar!$A$2:$H$9997,8,FALSE),0)</f>
        <v/>
      </c>
      <c r="G7206" s="29">
        <f>VLOOKUP(A7206,Calendar!$A$1:$H$9997,6,FALSE)-F7206</f>
        <v/>
      </c>
      <c r="H7206" s="19" t="n">
        <v>2</v>
      </c>
      <c r="I7206" s="57" t="n">
        <v>9</v>
      </c>
    </row>
    <row r="7207">
      <c r="A7207" s="62" t="n">
        <v>46742</v>
      </c>
      <c r="B7207" s="3" t="inlineStr">
        <is>
          <t>Week</t>
        </is>
      </c>
      <c r="C7207" s="19" t="n">
        <v>12</v>
      </c>
      <c r="D7207" s="19" t="n">
        <v>2027</v>
      </c>
      <c r="E7207" s="57" t="n">
        <v>7</v>
      </c>
      <c r="F7207" s="29">
        <f>ROUND(((SUMIFS(Calendar!$F$2:$F$9997,Calendar!$B$2:$B$9997,D7207,Calendar!$C$2:$C$9997,C7207)*INDEX(ForeCalc!$B$37:$Y$274,MATCH(_xlfn.CONCAT(H7207," ",I7207),ForeCalc!$A$37:$A$274,0),MATCH(_xlfn.CONCAT(B7207," ",E7207),ForeCalc!$B$36:$Y$36,0))))*VLOOKUP(A7207,Calendar!$A$2:$H$9997,8,FALSE),0)</f>
        <v/>
      </c>
      <c r="G7207" s="29">
        <f>VLOOKUP(A7207,Calendar!$A$1:$H$9997,6,FALSE)-F7207</f>
        <v/>
      </c>
      <c r="H7207" s="19" t="n">
        <v>2</v>
      </c>
      <c r="I7207" s="57" t="n">
        <v>9</v>
      </c>
    </row>
    <row r="7208">
      <c r="A7208" s="62" t="n">
        <v>46743</v>
      </c>
      <c r="B7208" s="3" t="inlineStr">
        <is>
          <t>Week</t>
        </is>
      </c>
      <c r="C7208" s="19" t="n">
        <v>12</v>
      </c>
      <c r="D7208" s="19" t="n">
        <v>2027</v>
      </c>
      <c r="E7208" s="57" t="n">
        <v>7</v>
      </c>
      <c r="F7208" s="29">
        <f>ROUND(((SUMIFS(Calendar!$F$2:$F$9997,Calendar!$B$2:$B$9997,D7208,Calendar!$C$2:$C$9997,C7208)*INDEX(ForeCalc!$B$37:$Y$274,MATCH(_xlfn.CONCAT(H7208," ",I7208),ForeCalc!$A$37:$A$274,0),MATCH(_xlfn.CONCAT(B7208," ",E7208),ForeCalc!$B$36:$Y$36,0))))*VLOOKUP(A7208,Calendar!$A$2:$H$9997,8,FALSE),0)</f>
        <v/>
      </c>
      <c r="G7208" s="29">
        <f>VLOOKUP(A7208,Calendar!$A$1:$H$9997,6,FALSE)-F7208</f>
        <v/>
      </c>
      <c r="H7208" s="19" t="n">
        <v>2</v>
      </c>
      <c r="I7208" s="57" t="n">
        <v>9</v>
      </c>
    </row>
    <row r="7209">
      <c r="A7209" s="62" t="n">
        <v>46744</v>
      </c>
      <c r="B7209" s="3" t="inlineStr">
        <is>
          <t>Week</t>
        </is>
      </c>
      <c r="C7209" s="19" t="n">
        <v>12</v>
      </c>
      <c r="D7209" s="19" t="n">
        <v>2027</v>
      </c>
      <c r="E7209" s="57" t="n">
        <v>7</v>
      </c>
      <c r="F7209" s="29">
        <f>ROUND(((SUMIFS(Calendar!$F$2:$F$9997,Calendar!$B$2:$B$9997,D7209,Calendar!$C$2:$C$9997,C7209)*INDEX(ForeCalc!$B$37:$Y$274,MATCH(_xlfn.CONCAT(H7209," ",I7209),ForeCalc!$A$37:$A$274,0),MATCH(_xlfn.CONCAT(B7209," ",E7209),ForeCalc!$B$36:$Y$36,0))))*VLOOKUP(A7209,Calendar!$A$2:$H$9997,8,FALSE),0)</f>
        <v/>
      </c>
      <c r="G7209" s="29">
        <f>VLOOKUP(A7209,Calendar!$A$1:$H$9997,6,FALSE)-F7209</f>
        <v/>
      </c>
      <c r="H7209" s="19" t="n">
        <v>2</v>
      </c>
      <c r="I7209" s="57" t="n">
        <v>9</v>
      </c>
    </row>
    <row r="7210">
      <c r="A7210" s="62" t="n">
        <v>46745</v>
      </c>
      <c r="B7210" s="3" t="inlineStr">
        <is>
          <t>Week</t>
        </is>
      </c>
      <c r="C7210" s="19" t="n">
        <v>12</v>
      </c>
      <c r="D7210" s="19" t="n">
        <v>2027</v>
      </c>
      <c r="E7210" s="57" t="n">
        <v>7</v>
      </c>
      <c r="F7210" s="29">
        <f>ROUND(((SUMIFS(Calendar!$F$2:$F$9997,Calendar!$B$2:$B$9997,D7210,Calendar!$C$2:$C$9997,C7210)*INDEX(ForeCalc!$B$37:$Y$274,MATCH(_xlfn.CONCAT(H7210," ",I7210),ForeCalc!$A$37:$A$274,0),MATCH(_xlfn.CONCAT(B7210," ",E7210),ForeCalc!$B$36:$Y$36,0))))*VLOOKUP(A7210,Calendar!$A$2:$H$9997,8,FALSE),0)</f>
        <v/>
      </c>
      <c r="G7210" s="29">
        <f>VLOOKUP(A7210,Calendar!$A$1:$H$9997,6,FALSE)-F7210</f>
        <v/>
      </c>
      <c r="H7210" s="19" t="n">
        <v>2</v>
      </c>
      <c r="I7210" s="57" t="n">
        <v>9</v>
      </c>
    </row>
    <row r="7211">
      <c r="A7211" s="62" t="n">
        <v>46746</v>
      </c>
      <c r="B7211" s="3" t="inlineStr">
        <is>
          <t>Sat</t>
        </is>
      </c>
      <c r="C7211" s="19" t="n">
        <v>12</v>
      </c>
      <c r="D7211" s="19" t="n">
        <v>2027</v>
      </c>
      <c r="E7211" s="57" t="n">
        <v>7</v>
      </c>
      <c r="F7211" s="29">
        <f>ROUND(((SUMIFS(Calendar!$F$2:$F$9997,Calendar!$B$2:$B$9997,D7211,Calendar!$C$2:$C$9997,C7211)*INDEX(ForeCalc!$B$37:$Y$274,MATCH(_xlfn.CONCAT(H7211," ",I7211),ForeCalc!$A$37:$A$274,0),MATCH(_xlfn.CONCAT(B7211," ",E7211),ForeCalc!$B$36:$Y$36,0))))*VLOOKUP(A7211,Calendar!$A$2:$H$9997,8,FALSE),0)</f>
        <v/>
      </c>
      <c r="G7211" s="29">
        <f>VLOOKUP(A7211,Calendar!$A$1:$H$9997,6,FALSE)-F7211</f>
        <v/>
      </c>
      <c r="H7211" s="19" t="n">
        <v>2</v>
      </c>
      <c r="I7211" s="57" t="n">
        <v>9</v>
      </c>
    </row>
    <row r="7212">
      <c r="A7212" s="62" t="n">
        <v>46747</v>
      </c>
      <c r="B7212" s="3" t="inlineStr">
        <is>
          <t>Sun</t>
        </is>
      </c>
      <c r="C7212" s="19" t="n">
        <v>12</v>
      </c>
      <c r="D7212" s="19" t="n">
        <v>2027</v>
      </c>
      <c r="E7212" s="57" t="n">
        <v>7</v>
      </c>
      <c r="F7212" s="29">
        <f>ROUND(((SUMIFS(Calendar!$F$2:$F$9997,Calendar!$B$2:$B$9997,D7212,Calendar!$C$2:$C$9997,C7212)*INDEX(ForeCalc!$B$37:$Y$274,MATCH(_xlfn.CONCAT(H7212," ",I7212),ForeCalc!$A$37:$A$274,0),MATCH(_xlfn.CONCAT(B7212," ",E7212),ForeCalc!$B$36:$Y$36,0))))*VLOOKUP(A7212,Calendar!$A$2:$H$9997,8,FALSE),0)</f>
        <v/>
      </c>
      <c r="G7212" s="29">
        <f>VLOOKUP(A7212,Calendar!$A$1:$H$9997,6,FALSE)-F7212</f>
        <v/>
      </c>
      <c r="H7212" s="19" t="n">
        <v>2</v>
      </c>
      <c r="I7212" s="57" t="n">
        <v>9</v>
      </c>
    </row>
    <row r="7213">
      <c r="A7213" s="62" t="n">
        <v>46748</v>
      </c>
      <c r="B7213" s="3" t="inlineStr">
        <is>
          <t>Week</t>
        </is>
      </c>
      <c r="C7213" s="19" t="n">
        <v>12</v>
      </c>
      <c r="D7213" s="19" t="n">
        <v>2027</v>
      </c>
      <c r="E7213" s="57" t="n">
        <v>7</v>
      </c>
      <c r="F7213" s="29">
        <f>ROUND(((SUMIFS(Calendar!$F$2:$F$9997,Calendar!$B$2:$B$9997,D7213,Calendar!$C$2:$C$9997,C7213)*INDEX(ForeCalc!$B$37:$Y$274,MATCH(_xlfn.CONCAT(H7213," ",I7213),ForeCalc!$A$37:$A$274,0),MATCH(_xlfn.CONCAT(B7213," ",E7213),ForeCalc!$B$36:$Y$36,0))))*VLOOKUP(A7213,Calendar!$A$2:$H$9997,8,FALSE),0)</f>
        <v/>
      </c>
      <c r="G7213" s="29">
        <f>VLOOKUP(A7213,Calendar!$A$1:$H$9997,6,FALSE)-F7213</f>
        <v/>
      </c>
      <c r="H7213" s="19" t="n">
        <v>2</v>
      </c>
      <c r="I7213" s="57" t="n">
        <v>9</v>
      </c>
    </row>
    <row r="7214">
      <c r="A7214" s="62" t="n">
        <v>46749</v>
      </c>
      <c r="B7214" s="3" t="inlineStr">
        <is>
          <t>Week</t>
        </is>
      </c>
      <c r="C7214" s="19" t="n">
        <v>12</v>
      </c>
      <c r="D7214" s="19" t="n">
        <v>2027</v>
      </c>
      <c r="E7214" s="57" t="n">
        <v>7</v>
      </c>
      <c r="F7214" s="29">
        <f>ROUND(((SUMIFS(Calendar!$F$2:$F$9997,Calendar!$B$2:$B$9997,D7214,Calendar!$C$2:$C$9997,C7214)*INDEX(ForeCalc!$B$37:$Y$274,MATCH(_xlfn.CONCAT(H7214," ",I7214),ForeCalc!$A$37:$A$274,0),MATCH(_xlfn.CONCAT(B7214," ",E7214),ForeCalc!$B$36:$Y$36,0))))*VLOOKUP(A7214,Calendar!$A$2:$H$9997,8,FALSE),0)</f>
        <v/>
      </c>
      <c r="G7214" s="29">
        <f>VLOOKUP(A7214,Calendar!$A$1:$H$9997,6,FALSE)-F7214</f>
        <v/>
      </c>
      <c r="H7214" s="19" t="n">
        <v>2</v>
      </c>
      <c r="I7214" s="57" t="n">
        <v>9</v>
      </c>
    </row>
    <row r="7215">
      <c r="A7215" s="62" t="n">
        <v>46750</v>
      </c>
      <c r="B7215" s="3" t="inlineStr">
        <is>
          <t>Week</t>
        </is>
      </c>
      <c r="C7215" s="19" t="n">
        <v>12</v>
      </c>
      <c r="D7215" s="19" t="n">
        <v>2027</v>
      </c>
      <c r="E7215" s="57" t="n">
        <v>7</v>
      </c>
      <c r="F7215" s="29">
        <f>ROUND(((SUMIFS(Calendar!$F$2:$F$9997,Calendar!$B$2:$B$9997,D7215,Calendar!$C$2:$C$9997,C7215)*INDEX(ForeCalc!$B$37:$Y$274,MATCH(_xlfn.CONCAT(H7215," ",I7215),ForeCalc!$A$37:$A$274,0),MATCH(_xlfn.CONCAT(B7215," ",E7215),ForeCalc!$B$36:$Y$36,0))))*VLOOKUP(A7215,Calendar!$A$2:$H$9997,8,FALSE),0)</f>
        <v/>
      </c>
      <c r="G7215" s="29">
        <f>VLOOKUP(A7215,Calendar!$A$1:$H$9997,6,FALSE)-F7215</f>
        <v/>
      </c>
      <c r="H7215" s="19" t="n">
        <v>2</v>
      </c>
      <c r="I7215" s="57" t="n">
        <v>9</v>
      </c>
    </row>
    <row r="7216">
      <c r="A7216" s="62" t="n">
        <v>46751</v>
      </c>
      <c r="B7216" s="3" t="inlineStr">
        <is>
          <t>Week</t>
        </is>
      </c>
      <c r="C7216" s="19" t="n">
        <v>12</v>
      </c>
      <c r="D7216" s="19" t="n">
        <v>2027</v>
      </c>
      <c r="E7216" s="57" t="n">
        <v>7</v>
      </c>
      <c r="F7216" s="29">
        <f>ROUND(((SUMIFS(Calendar!$F$2:$F$9997,Calendar!$B$2:$B$9997,D7216,Calendar!$C$2:$C$9997,C7216)*INDEX(ForeCalc!$B$37:$Y$274,MATCH(_xlfn.CONCAT(H7216," ",I7216),ForeCalc!$A$37:$A$274,0),MATCH(_xlfn.CONCAT(B7216," ",E7216),ForeCalc!$B$36:$Y$36,0))))*VLOOKUP(A7216,Calendar!$A$2:$H$9997,8,FALSE),0)</f>
        <v/>
      </c>
      <c r="G7216" s="29">
        <f>VLOOKUP(A7216,Calendar!$A$1:$H$9997,6,FALSE)-F7216</f>
        <v/>
      </c>
      <c r="H7216" s="19" t="n">
        <v>2</v>
      </c>
      <c r="I7216" s="57" t="n">
        <v>9</v>
      </c>
    </row>
    <row r="7217">
      <c r="A7217" s="62" t="n">
        <v>46752</v>
      </c>
      <c r="B7217" s="3" t="inlineStr">
        <is>
          <t>Week</t>
        </is>
      </c>
      <c r="C7217" s="19" t="n">
        <v>12</v>
      </c>
      <c r="D7217" s="19" t="n">
        <v>2027</v>
      </c>
      <c r="E7217" s="57" t="n">
        <v>7</v>
      </c>
      <c r="F7217" s="29">
        <f>ROUND(((SUMIFS(Calendar!$F$2:$F$9997,Calendar!$B$2:$B$9997,D7217,Calendar!$C$2:$C$9997,C7217)*INDEX(ForeCalc!$B$37:$Y$274,MATCH(_xlfn.CONCAT(H7217," ",I7217),ForeCalc!$A$37:$A$274,0),MATCH(_xlfn.CONCAT(B7217," ",E7217),ForeCalc!$B$36:$Y$36,0))))*VLOOKUP(A7217,Calendar!$A$2:$H$9997,8,FALSE),0)</f>
        <v/>
      </c>
      <c r="G7217" s="29">
        <f>VLOOKUP(A7217,Calendar!$A$1:$H$9997,6,FALSE)-F7217</f>
        <v/>
      </c>
      <c r="H7217" s="19" t="n">
        <v>2</v>
      </c>
      <c r="I7217" s="57" t="n">
        <v>9</v>
      </c>
    </row>
    <row r="7218">
      <c r="A7218" s="62" t="n">
        <v>46753</v>
      </c>
      <c r="B7218" s="3" t="inlineStr">
        <is>
          <t>Sat</t>
        </is>
      </c>
      <c r="C7218" s="19" t="n">
        <v>1</v>
      </c>
      <c r="D7218" s="19" t="n">
        <v>2028</v>
      </c>
      <c r="E7218" s="57" t="n">
        <v>7</v>
      </c>
      <c r="F7218" s="29">
        <f>ROUND(((SUMIFS(Calendar!$F$2:$F$9997,Calendar!$B$2:$B$9997,D7218,Calendar!$C$2:$C$9997,C7218)*INDEX(ForeCalc!$B$37:$Y$274,MATCH(_xlfn.CONCAT(H7218," ",I7218),ForeCalc!$A$37:$A$274,0),MATCH(_xlfn.CONCAT(B7218," ",E7218),ForeCalc!$B$36:$Y$36,0))))*VLOOKUP(A7218,Calendar!$A$2:$H$9997,8,FALSE),0)</f>
        <v/>
      </c>
      <c r="G7218" s="29">
        <f>VLOOKUP(A7218,Calendar!$A$1:$H$9997,6,FALSE)-F7218</f>
        <v/>
      </c>
      <c r="H7218" s="19" t="n">
        <v>2</v>
      </c>
      <c r="I7218" s="57" t="n">
        <v>10</v>
      </c>
    </row>
    <row r="7219">
      <c r="A7219" s="62" t="n">
        <v>46754</v>
      </c>
      <c r="B7219" s="3" t="inlineStr">
        <is>
          <t>Sun</t>
        </is>
      </c>
      <c r="C7219" s="19" t="n">
        <v>1</v>
      </c>
      <c r="D7219" s="19" t="n">
        <v>2028</v>
      </c>
      <c r="E7219" s="57" t="n">
        <v>7</v>
      </c>
      <c r="F7219" s="29">
        <f>ROUND(((SUMIFS(Calendar!$F$2:$F$9997,Calendar!$B$2:$B$9997,D7219,Calendar!$C$2:$C$9997,C7219)*INDEX(ForeCalc!$B$37:$Y$274,MATCH(_xlfn.CONCAT(H7219," ",I7219),ForeCalc!$A$37:$A$274,0),MATCH(_xlfn.CONCAT(B7219," ",E7219),ForeCalc!$B$36:$Y$36,0))))*VLOOKUP(A7219,Calendar!$A$2:$H$9997,8,FALSE),0)</f>
        <v/>
      </c>
      <c r="G7219" s="29">
        <f>VLOOKUP(A7219,Calendar!$A$1:$H$9997,6,FALSE)-F7219</f>
        <v/>
      </c>
      <c r="H7219" s="19" t="n">
        <v>2</v>
      </c>
      <c r="I7219" s="57" t="n">
        <v>10</v>
      </c>
    </row>
    <row r="7220">
      <c r="A7220" s="62" t="n">
        <v>46755</v>
      </c>
      <c r="B7220" s="3" t="inlineStr">
        <is>
          <t>Week</t>
        </is>
      </c>
      <c r="C7220" s="19" t="n">
        <v>1</v>
      </c>
      <c r="D7220" s="19" t="n">
        <v>2028</v>
      </c>
      <c r="E7220" s="57" t="n">
        <v>7</v>
      </c>
      <c r="F7220" s="29">
        <f>ROUND(((SUMIFS(Calendar!$F$2:$F$9997,Calendar!$B$2:$B$9997,D7220,Calendar!$C$2:$C$9997,C7220)*INDEX(ForeCalc!$B$37:$Y$274,MATCH(_xlfn.CONCAT(H7220," ",I7220),ForeCalc!$A$37:$A$274,0),MATCH(_xlfn.CONCAT(B7220," ",E7220),ForeCalc!$B$36:$Y$36,0))))*VLOOKUP(A7220,Calendar!$A$2:$H$9997,8,FALSE),0)</f>
        <v/>
      </c>
      <c r="G7220" s="29">
        <f>VLOOKUP(A7220,Calendar!$A$1:$H$9997,6,FALSE)-F7220</f>
        <v/>
      </c>
      <c r="H7220" s="19" t="n">
        <v>2</v>
      </c>
      <c r="I7220" s="57" t="n">
        <v>10</v>
      </c>
    </row>
    <row r="7221">
      <c r="A7221" s="62" t="n">
        <v>46756</v>
      </c>
      <c r="B7221" s="3" t="inlineStr">
        <is>
          <t>Week</t>
        </is>
      </c>
      <c r="C7221" s="19" t="n">
        <v>1</v>
      </c>
      <c r="D7221" s="19" t="n">
        <v>2028</v>
      </c>
      <c r="E7221" s="57" t="n">
        <v>7</v>
      </c>
      <c r="F7221" s="29">
        <f>ROUND(((SUMIFS(Calendar!$F$2:$F$9997,Calendar!$B$2:$B$9997,D7221,Calendar!$C$2:$C$9997,C7221)*INDEX(ForeCalc!$B$37:$Y$274,MATCH(_xlfn.CONCAT(H7221," ",I7221),ForeCalc!$A$37:$A$274,0),MATCH(_xlfn.CONCAT(B7221," ",E7221),ForeCalc!$B$36:$Y$36,0))))*VLOOKUP(A7221,Calendar!$A$2:$H$9997,8,FALSE),0)</f>
        <v/>
      </c>
      <c r="G7221" s="29">
        <f>VLOOKUP(A7221,Calendar!$A$1:$H$9997,6,FALSE)-F7221</f>
        <v/>
      </c>
      <c r="H7221" s="19" t="n">
        <v>2</v>
      </c>
      <c r="I7221" s="57" t="n">
        <v>10</v>
      </c>
    </row>
    <row r="7222">
      <c r="A7222" s="62" t="n">
        <v>46757</v>
      </c>
      <c r="B7222" s="3" t="inlineStr">
        <is>
          <t>Week</t>
        </is>
      </c>
      <c r="C7222" s="19" t="n">
        <v>1</v>
      </c>
      <c r="D7222" s="19" t="n">
        <v>2028</v>
      </c>
      <c r="E7222" s="57" t="n">
        <v>7</v>
      </c>
      <c r="F7222" s="29">
        <f>ROUND(((SUMIFS(Calendar!$F$2:$F$9997,Calendar!$B$2:$B$9997,D7222,Calendar!$C$2:$C$9997,C7222)*INDEX(ForeCalc!$B$37:$Y$274,MATCH(_xlfn.CONCAT(H7222," ",I7222),ForeCalc!$A$37:$A$274,0),MATCH(_xlfn.CONCAT(B7222," ",E7222),ForeCalc!$B$36:$Y$36,0))))*VLOOKUP(A7222,Calendar!$A$2:$H$9997,8,FALSE),0)</f>
        <v/>
      </c>
      <c r="G7222" s="29">
        <f>VLOOKUP(A7222,Calendar!$A$1:$H$9997,6,FALSE)-F7222</f>
        <v/>
      </c>
      <c r="H7222" s="19" t="n">
        <v>2</v>
      </c>
      <c r="I7222" s="57" t="n">
        <v>10</v>
      </c>
    </row>
    <row r="7223">
      <c r="A7223" s="62" t="n">
        <v>46758</v>
      </c>
      <c r="B7223" s="3" t="inlineStr">
        <is>
          <t>Week</t>
        </is>
      </c>
      <c r="C7223" s="19" t="n">
        <v>1</v>
      </c>
      <c r="D7223" s="19" t="n">
        <v>2028</v>
      </c>
      <c r="E7223" s="57" t="n">
        <v>7</v>
      </c>
      <c r="F7223" s="29">
        <f>ROUND(((SUMIFS(Calendar!$F$2:$F$9997,Calendar!$B$2:$B$9997,D7223,Calendar!$C$2:$C$9997,C7223)*INDEX(ForeCalc!$B$37:$Y$274,MATCH(_xlfn.CONCAT(H7223," ",I7223),ForeCalc!$A$37:$A$274,0),MATCH(_xlfn.CONCAT(B7223," ",E7223),ForeCalc!$B$36:$Y$36,0))))*VLOOKUP(A7223,Calendar!$A$2:$H$9997,8,FALSE),0)</f>
        <v/>
      </c>
      <c r="G7223" s="29">
        <f>VLOOKUP(A7223,Calendar!$A$1:$H$9997,6,FALSE)-F7223</f>
        <v/>
      </c>
      <c r="H7223" s="19" t="n">
        <v>2</v>
      </c>
      <c r="I7223" s="57" t="n">
        <v>10</v>
      </c>
    </row>
    <row r="7224">
      <c r="A7224" s="62" t="n">
        <v>46759</v>
      </c>
      <c r="B7224" s="3" t="inlineStr">
        <is>
          <t>Week</t>
        </is>
      </c>
      <c r="C7224" s="19" t="n">
        <v>1</v>
      </c>
      <c r="D7224" s="19" t="n">
        <v>2028</v>
      </c>
      <c r="E7224" s="57" t="n">
        <v>7</v>
      </c>
      <c r="F7224" s="29">
        <f>ROUND(((SUMIFS(Calendar!$F$2:$F$9997,Calendar!$B$2:$B$9997,D7224,Calendar!$C$2:$C$9997,C7224)*INDEX(ForeCalc!$B$37:$Y$274,MATCH(_xlfn.CONCAT(H7224," ",I7224),ForeCalc!$A$37:$A$274,0),MATCH(_xlfn.CONCAT(B7224," ",E7224),ForeCalc!$B$36:$Y$36,0))))*VLOOKUP(A7224,Calendar!$A$2:$H$9997,8,FALSE),0)</f>
        <v/>
      </c>
      <c r="G7224" s="29">
        <f>VLOOKUP(A7224,Calendar!$A$1:$H$9997,6,FALSE)-F7224</f>
        <v/>
      </c>
      <c r="H7224" s="19" t="n">
        <v>2</v>
      </c>
      <c r="I7224" s="57" t="n">
        <v>10</v>
      </c>
    </row>
    <row r="7225">
      <c r="A7225" s="62" t="n">
        <v>46760</v>
      </c>
      <c r="B7225" s="3" t="inlineStr">
        <is>
          <t>Sat</t>
        </is>
      </c>
      <c r="C7225" s="19" t="n">
        <v>1</v>
      </c>
      <c r="D7225" s="19" t="n">
        <v>2028</v>
      </c>
      <c r="E7225" s="57" t="n">
        <v>7</v>
      </c>
      <c r="F7225" s="29">
        <f>ROUND(((SUMIFS(Calendar!$F$2:$F$9997,Calendar!$B$2:$B$9997,D7225,Calendar!$C$2:$C$9997,C7225)*INDEX(ForeCalc!$B$37:$Y$274,MATCH(_xlfn.CONCAT(H7225," ",I7225),ForeCalc!$A$37:$A$274,0),MATCH(_xlfn.CONCAT(B7225," ",E7225),ForeCalc!$B$36:$Y$36,0))))*VLOOKUP(A7225,Calendar!$A$2:$H$9997,8,FALSE),0)</f>
        <v/>
      </c>
      <c r="G7225" s="29">
        <f>VLOOKUP(A7225,Calendar!$A$1:$H$9997,6,FALSE)-F7225</f>
        <v/>
      </c>
      <c r="H7225" s="19" t="n">
        <v>2</v>
      </c>
      <c r="I7225" s="57" t="n">
        <v>10</v>
      </c>
    </row>
    <row r="7226">
      <c r="A7226" s="62" t="n">
        <v>46761</v>
      </c>
      <c r="B7226" s="3" t="inlineStr">
        <is>
          <t>Sun</t>
        </is>
      </c>
      <c r="C7226" s="19" t="n">
        <v>1</v>
      </c>
      <c r="D7226" s="19" t="n">
        <v>2028</v>
      </c>
      <c r="E7226" s="57" t="n">
        <v>7</v>
      </c>
      <c r="F7226" s="29">
        <f>ROUND(((SUMIFS(Calendar!$F$2:$F$9997,Calendar!$B$2:$B$9997,D7226,Calendar!$C$2:$C$9997,C7226)*INDEX(ForeCalc!$B$37:$Y$274,MATCH(_xlfn.CONCAT(H7226," ",I7226),ForeCalc!$A$37:$A$274,0),MATCH(_xlfn.CONCAT(B7226," ",E7226),ForeCalc!$B$36:$Y$36,0))))*VLOOKUP(A7226,Calendar!$A$2:$H$9997,8,FALSE),0)</f>
        <v/>
      </c>
      <c r="G7226" s="29">
        <f>VLOOKUP(A7226,Calendar!$A$1:$H$9997,6,FALSE)-F7226</f>
        <v/>
      </c>
      <c r="H7226" s="19" t="n">
        <v>2</v>
      </c>
      <c r="I7226" s="57" t="n">
        <v>10</v>
      </c>
    </row>
    <row r="7227">
      <c r="A7227" s="62" t="n">
        <v>46762</v>
      </c>
      <c r="B7227" s="3" t="inlineStr">
        <is>
          <t>Week</t>
        </is>
      </c>
      <c r="C7227" s="19" t="n">
        <v>1</v>
      </c>
      <c r="D7227" s="19" t="n">
        <v>2028</v>
      </c>
      <c r="E7227" s="57" t="n">
        <v>7</v>
      </c>
      <c r="F7227" s="29">
        <f>ROUND(((SUMIFS(Calendar!$F$2:$F$9997,Calendar!$B$2:$B$9997,D7227,Calendar!$C$2:$C$9997,C7227)*INDEX(ForeCalc!$B$37:$Y$274,MATCH(_xlfn.CONCAT(H7227," ",I7227),ForeCalc!$A$37:$A$274,0),MATCH(_xlfn.CONCAT(B7227," ",E7227),ForeCalc!$B$36:$Y$36,0))))*VLOOKUP(A7227,Calendar!$A$2:$H$9997,8,FALSE),0)</f>
        <v/>
      </c>
      <c r="G7227" s="29">
        <f>VLOOKUP(A7227,Calendar!$A$1:$H$9997,6,FALSE)-F7227</f>
        <v/>
      </c>
      <c r="H7227" s="19" t="n">
        <v>2</v>
      </c>
      <c r="I7227" s="57" t="n">
        <v>10</v>
      </c>
    </row>
    <row r="7228">
      <c r="A7228" s="62" t="n">
        <v>46763</v>
      </c>
      <c r="B7228" s="3" t="inlineStr">
        <is>
          <t>Week</t>
        </is>
      </c>
      <c r="C7228" s="19" t="n">
        <v>1</v>
      </c>
      <c r="D7228" s="19" t="n">
        <v>2028</v>
      </c>
      <c r="E7228" s="57" t="n">
        <v>7</v>
      </c>
      <c r="F7228" s="29">
        <f>ROUND(((SUMIFS(Calendar!$F$2:$F$9997,Calendar!$B$2:$B$9997,D7228,Calendar!$C$2:$C$9997,C7228)*INDEX(ForeCalc!$B$37:$Y$274,MATCH(_xlfn.CONCAT(H7228," ",I7228),ForeCalc!$A$37:$A$274,0),MATCH(_xlfn.CONCAT(B7228," ",E7228),ForeCalc!$B$36:$Y$36,0))))*VLOOKUP(A7228,Calendar!$A$2:$H$9997,8,FALSE),0)</f>
        <v/>
      </c>
      <c r="G7228" s="29">
        <f>VLOOKUP(A7228,Calendar!$A$1:$H$9997,6,FALSE)-F7228</f>
        <v/>
      </c>
      <c r="H7228" s="19" t="n">
        <v>2</v>
      </c>
      <c r="I7228" s="57" t="n">
        <v>10</v>
      </c>
    </row>
    <row r="7229">
      <c r="A7229" s="62" t="n">
        <v>46764</v>
      </c>
      <c r="B7229" s="3" t="inlineStr">
        <is>
          <t>Week</t>
        </is>
      </c>
      <c r="C7229" s="19" t="n">
        <v>1</v>
      </c>
      <c r="D7229" s="19" t="n">
        <v>2028</v>
      </c>
      <c r="E7229" s="57" t="n">
        <v>7</v>
      </c>
      <c r="F7229" s="29">
        <f>ROUND(((SUMIFS(Calendar!$F$2:$F$9997,Calendar!$B$2:$B$9997,D7229,Calendar!$C$2:$C$9997,C7229)*INDEX(ForeCalc!$B$37:$Y$274,MATCH(_xlfn.CONCAT(H7229," ",I7229),ForeCalc!$A$37:$A$274,0),MATCH(_xlfn.CONCAT(B7229," ",E7229),ForeCalc!$B$36:$Y$36,0))))*VLOOKUP(A7229,Calendar!$A$2:$H$9997,8,FALSE),0)</f>
        <v/>
      </c>
      <c r="G7229" s="29">
        <f>VLOOKUP(A7229,Calendar!$A$1:$H$9997,6,FALSE)-F7229</f>
        <v/>
      </c>
      <c r="H7229" s="19" t="n">
        <v>2</v>
      </c>
      <c r="I7229" s="57" t="n">
        <v>10</v>
      </c>
    </row>
    <row r="7230">
      <c r="A7230" s="62" t="n">
        <v>46765</v>
      </c>
      <c r="B7230" s="3" t="inlineStr">
        <is>
          <t>Week</t>
        </is>
      </c>
      <c r="C7230" s="19" t="n">
        <v>1</v>
      </c>
      <c r="D7230" s="19" t="n">
        <v>2028</v>
      </c>
      <c r="E7230" s="57" t="n">
        <v>7</v>
      </c>
      <c r="F7230" s="29">
        <f>ROUND(((SUMIFS(Calendar!$F$2:$F$9997,Calendar!$B$2:$B$9997,D7230,Calendar!$C$2:$C$9997,C7230)*INDEX(ForeCalc!$B$37:$Y$274,MATCH(_xlfn.CONCAT(H7230," ",I7230),ForeCalc!$A$37:$A$274,0),MATCH(_xlfn.CONCAT(B7230," ",E7230),ForeCalc!$B$36:$Y$36,0))))*VLOOKUP(A7230,Calendar!$A$2:$H$9997,8,FALSE),0)</f>
        <v/>
      </c>
      <c r="G7230" s="29">
        <f>VLOOKUP(A7230,Calendar!$A$1:$H$9997,6,FALSE)-F7230</f>
        <v/>
      </c>
      <c r="H7230" s="19" t="n">
        <v>2</v>
      </c>
      <c r="I7230" s="57" t="n">
        <v>10</v>
      </c>
    </row>
    <row r="7231">
      <c r="A7231" s="62" t="n">
        <v>46766</v>
      </c>
      <c r="B7231" s="3" t="inlineStr">
        <is>
          <t>Week</t>
        </is>
      </c>
      <c r="C7231" s="19" t="n">
        <v>1</v>
      </c>
      <c r="D7231" s="19" t="n">
        <v>2028</v>
      </c>
      <c r="E7231" s="57" t="n">
        <v>7</v>
      </c>
      <c r="F7231" s="29">
        <f>ROUND(((SUMIFS(Calendar!$F$2:$F$9997,Calendar!$B$2:$B$9997,D7231,Calendar!$C$2:$C$9997,C7231)*INDEX(ForeCalc!$B$37:$Y$274,MATCH(_xlfn.CONCAT(H7231," ",I7231),ForeCalc!$A$37:$A$274,0),MATCH(_xlfn.CONCAT(B7231," ",E7231),ForeCalc!$B$36:$Y$36,0))))*VLOOKUP(A7231,Calendar!$A$2:$H$9997,8,FALSE),0)</f>
        <v/>
      </c>
      <c r="G7231" s="29">
        <f>VLOOKUP(A7231,Calendar!$A$1:$H$9997,6,FALSE)-F7231</f>
        <v/>
      </c>
      <c r="H7231" s="19" t="n">
        <v>2</v>
      </c>
      <c r="I7231" s="57" t="n">
        <v>10</v>
      </c>
    </row>
    <row r="7232">
      <c r="A7232" s="62" t="n">
        <v>46767</v>
      </c>
      <c r="B7232" s="3" t="inlineStr">
        <is>
          <t>Sat</t>
        </is>
      </c>
      <c r="C7232" s="19" t="n">
        <v>1</v>
      </c>
      <c r="D7232" s="19" t="n">
        <v>2028</v>
      </c>
      <c r="E7232" s="57" t="n">
        <v>7</v>
      </c>
      <c r="F7232" s="29">
        <f>ROUND(((SUMIFS(Calendar!$F$2:$F$9997,Calendar!$B$2:$B$9997,D7232,Calendar!$C$2:$C$9997,C7232)*INDEX(ForeCalc!$B$37:$Y$274,MATCH(_xlfn.CONCAT(H7232," ",I7232),ForeCalc!$A$37:$A$274,0),MATCH(_xlfn.CONCAT(B7232," ",E7232),ForeCalc!$B$36:$Y$36,0))))*VLOOKUP(A7232,Calendar!$A$2:$H$9997,8,FALSE),0)</f>
        <v/>
      </c>
      <c r="G7232" s="29">
        <f>VLOOKUP(A7232,Calendar!$A$1:$H$9997,6,FALSE)-F7232</f>
        <v/>
      </c>
      <c r="H7232" s="19" t="n">
        <v>2</v>
      </c>
      <c r="I7232" s="57" t="n">
        <v>10</v>
      </c>
    </row>
    <row r="7233">
      <c r="A7233" s="62" t="n">
        <v>46768</v>
      </c>
      <c r="B7233" s="3" t="inlineStr">
        <is>
          <t>Sun</t>
        </is>
      </c>
      <c r="C7233" s="19" t="n">
        <v>1</v>
      </c>
      <c r="D7233" s="19" t="n">
        <v>2028</v>
      </c>
      <c r="E7233" s="57" t="n">
        <v>7</v>
      </c>
      <c r="F7233" s="29">
        <f>ROUND(((SUMIFS(Calendar!$F$2:$F$9997,Calendar!$B$2:$B$9997,D7233,Calendar!$C$2:$C$9997,C7233)*INDEX(ForeCalc!$B$37:$Y$274,MATCH(_xlfn.CONCAT(H7233," ",I7233),ForeCalc!$A$37:$A$274,0),MATCH(_xlfn.CONCAT(B7233," ",E7233),ForeCalc!$B$36:$Y$36,0))))*VLOOKUP(A7233,Calendar!$A$2:$H$9997,8,FALSE),0)</f>
        <v/>
      </c>
      <c r="G7233" s="29">
        <f>VLOOKUP(A7233,Calendar!$A$1:$H$9997,6,FALSE)-F7233</f>
        <v/>
      </c>
      <c r="H7233" s="19" t="n">
        <v>2</v>
      </c>
      <c r="I7233" s="57" t="n">
        <v>10</v>
      </c>
    </row>
    <row r="7234">
      <c r="A7234" s="62" t="n">
        <v>46769</v>
      </c>
      <c r="B7234" s="3" t="inlineStr">
        <is>
          <t>Week</t>
        </is>
      </c>
      <c r="C7234" s="19" t="n">
        <v>1</v>
      </c>
      <c r="D7234" s="19" t="n">
        <v>2028</v>
      </c>
      <c r="E7234" s="57" t="n">
        <v>7</v>
      </c>
      <c r="F7234" s="29">
        <f>ROUND(((SUMIFS(Calendar!$F$2:$F$9997,Calendar!$B$2:$B$9997,D7234,Calendar!$C$2:$C$9997,C7234)*INDEX(ForeCalc!$B$37:$Y$274,MATCH(_xlfn.CONCAT(H7234," ",I7234),ForeCalc!$A$37:$A$274,0),MATCH(_xlfn.CONCAT(B7234," ",E7234),ForeCalc!$B$36:$Y$36,0))))*VLOOKUP(A7234,Calendar!$A$2:$H$9997,8,FALSE),0)</f>
        <v/>
      </c>
      <c r="G7234" s="29">
        <f>VLOOKUP(A7234,Calendar!$A$1:$H$9997,6,FALSE)-F7234</f>
        <v/>
      </c>
      <c r="H7234" s="19" t="n">
        <v>2</v>
      </c>
      <c r="I7234" s="57" t="n">
        <v>10</v>
      </c>
    </row>
    <row r="7235">
      <c r="A7235" s="62" t="n">
        <v>46770</v>
      </c>
      <c r="B7235" s="3" t="inlineStr">
        <is>
          <t>Week</t>
        </is>
      </c>
      <c r="C7235" s="19" t="n">
        <v>1</v>
      </c>
      <c r="D7235" s="19" t="n">
        <v>2028</v>
      </c>
      <c r="E7235" s="57" t="n">
        <v>7</v>
      </c>
      <c r="F7235" s="29">
        <f>ROUND(((SUMIFS(Calendar!$F$2:$F$9997,Calendar!$B$2:$B$9997,D7235,Calendar!$C$2:$C$9997,C7235)*INDEX(ForeCalc!$B$37:$Y$274,MATCH(_xlfn.CONCAT(H7235," ",I7235),ForeCalc!$A$37:$A$274,0),MATCH(_xlfn.CONCAT(B7235," ",E7235),ForeCalc!$B$36:$Y$36,0))))*VLOOKUP(A7235,Calendar!$A$2:$H$9997,8,FALSE),0)</f>
        <v/>
      </c>
      <c r="G7235" s="29">
        <f>VLOOKUP(A7235,Calendar!$A$1:$H$9997,6,FALSE)-F7235</f>
        <v/>
      </c>
      <c r="H7235" s="19" t="n">
        <v>2</v>
      </c>
      <c r="I7235" s="57" t="n">
        <v>10</v>
      </c>
    </row>
    <row r="7236">
      <c r="A7236" s="62" t="n">
        <v>46771</v>
      </c>
      <c r="B7236" s="3" t="inlineStr">
        <is>
          <t>Week</t>
        </is>
      </c>
      <c r="C7236" s="19" t="n">
        <v>1</v>
      </c>
      <c r="D7236" s="19" t="n">
        <v>2028</v>
      </c>
      <c r="E7236" s="57" t="n">
        <v>7</v>
      </c>
      <c r="F7236" s="29">
        <f>ROUND(((SUMIFS(Calendar!$F$2:$F$9997,Calendar!$B$2:$B$9997,D7236,Calendar!$C$2:$C$9997,C7236)*INDEX(ForeCalc!$B$37:$Y$274,MATCH(_xlfn.CONCAT(H7236," ",I7236),ForeCalc!$A$37:$A$274,0),MATCH(_xlfn.CONCAT(B7236," ",E7236),ForeCalc!$B$36:$Y$36,0))))*VLOOKUP(A7236,Calendar!$A$2:$H$9997,8,FALSE),0)</f>
        <v/>
      </c>
      <c r="G7236" s="29">
        <f>VLOOKUP(A7236,Calendar!$A$1:$H$9997,6,FALSE)-F7236</f>
        <v/>
      </c>
      <c r="H7236" s="19" t="n">
        <v>2</v>
      </c>
      <c r="I7236" s="57" t="n">
        <v>10</v>
      </c>
    </row>
    <row r="7237">
      <c r="A7237" s="62" t="n">
        <v>46772</v>
      </c>
      <c r="B7237" s="3" t="inlineStr">
        <is>
          <t>Week</t>
        </is>
      </c>
      <c r="C7237" s="19" t="n">
        <v>1</v>
      </c>
      <c r="D7237" s="19" t="n">
        <v>2028</v>
      </c>
      <c r="E7237" s="57" t="n">
        <v>7</v>
      </c>
      <c r="F7237" s="29">
        <f>ROUND(((SUMIFS(Calendar!$F$2:$F$9997,Calendar!$B$2:$B$9997,D7237,Calendar!$C$2:$C$9997,C7237)*INDEX(ForeCalc!$B$37:$Y$274,MATCH(_xlfn.CONCAT(H7237," ",I7237),ForeCalc!$A$37:$A$274,0),MATCH(_xlfn.CONCAT(B7237," ",E7237),ForeCalc!$B$36:$Y$36,0))))*VLOOKUP(A7237,Calendar!$A$2:$H$9997,8,FALSE),0)</f>
        <v/>
      </c>
      <c r="G7237" s="29">
        <f>VLOOKUP(A7237,Calendar!$A$1:$H$9997,6,FALSE)-F7237</f>
        <v/>
      </c>
      <c r="H7237" s="19" t="n">
        <v>2</v>
      </c>
      <c r="I7237" s="57" t="n">
        <v>10</v>
      </c>
    </row>
    <row r="7238">
      <c r="A7238" s="62" t="n">
        <v>46773</v>
      </c>
      <c r="B7238" s="3" t="inlineStr">
        <is>
          <t>Week</t>
        </is>
      </c>
      <c r="C7238" s="19" t="n">
        <v>1</v>
      </c>
      <c r="D7238" s="19" t="n">
        <v>2028</v>
      </c>
      <c r="E7238" s="57" t="n">
        <v>7</v>
      </c>
      <c r="F7238" s="29">
        <f>ROUND(((SUMIFS(Calendar!$F$2:$F$9997,Calendar!$B$2:$B$9997,D7238,Calendar!$C$2:$C$9997,C7238)*INDEX(ForeCalc!$B$37:$Y$274,MATCH(_xlfn.CONCAT(H7238," ",I7238),ForeCalc!$A$37:$A$274,0),MATCH(_xlfn.CONCAT(B7238," ",E7238),ForeCalc!$B$36:$Y$36,0))))*VLOOKUP(A7238,Calendar!$A$2:$H$9997,8,FALSE),0)</f>
        <v/>
      </c>
      <c r="G7238" s="29">
        <f>VLOOKUP(A7238,Calendar!$A$1:$H$9997,6,FALSE)-F7238</f>
        <v/>
      </c>
      <c r="H7238" s="19" t="n">
        <v>2</v>
      </c>
      <c r="I7238" s="57" t="n">
        <v>10</v>
      </c>
    </row>
    <row r="7239">
      <c r="A7239" s="62" t="n">
        <v>46774</v>
      </c>
      <c r="B7239" s="3" t="inlineStr">
        <is>
          <t>Sat</t>
        </is>
      </c>
      <c r="C7239" s="19" t="n">
        <v>1</v>
      </c>
      <c r="D7239" s="19" t="n">
        <v>2028</v>
      </c>
      <c r="E7239" s="57" t="n">
        <v>7</v>
      </c>
      <c r="F7239" s="29">
        <f>ROUND(((SUMIFS(Calendar!$F$2:$F$9997,Calendar!$B$2:$B$9997,D7239,Calendar!$C$2:$C$9997,C7239)*INDEX(ForeCalc!$B$37:$Y$274,MATCH(_xlfn.CONCAT(H7239," ",I7239),ForeCalc!$A$37:$A$274,0),MATCH(_xlfn.CONCAT(B7239," ",E7239),ForeCalc!$B$36:$Y$36,0))))*VLOOKUP(A7239,Calendar!$A$2:$H$9997,8,FALSE),0)</f>
        <v/>
      </c>
      <c r="G7239" s="29">
        <f>VLOOKUP(A7239,Calendar!$A$1:$H$9997,6,FALSE)-F7239</f>
        <v/>
      </c>
      <c r="H7239" s="19" t="n">
        <v>2</v>
      </c>
      <c r="I7239" s="57" t="n">
        <v>10</v>
      </c>
    </row>
    <row r="7240">
      <c r="A7240" s="62" t="n">
        <v>46775</v>
      </c>
      <c r="B7240" s="3" t="inlineStr">
        <is>
          <t>Sun</t>
        </is>
      </c>
      <c r="C7240" s="19" t="n">
        <v>1</v>
      </c>
      <c r="D7240" s="19" t="n">
        <v>2028</v>
      </c>
      <c r="E7240" s="57" t="n">
        <v>7</v>
      </c>
      <c r="F7240" s="29">
        <f>ROUND(((SUMIFS(Calendar!$F$2:$F$9997,Calendar!$B$2:$B$9997,D7240,Calendar!$C$2:$C$9997,C7240)*INDEX(ForeCalc!$B$37:$Y$274,MATCH(_xlfn.CONCAT(H7240," ",I7240),ForeCalc!$A$37:$A$274,0),MATCH(_xlfn.CONCAT(B7240," ",E7240),ForeCalc!$B$36:$Y$36,0))))*VLOOKUP(A7240,Calendar!$A$2:$H$9997,8,FALSE),0)</f>
        <v/>
      </c>
      <c r="G7240" s="29">
        <f>VLOOKUP(A7240,Calendar!$A$1:$H$9997,6,FALSE)-F7240</f>
        <v/>
      </c>
      <c r="H7240" s="19" t="n">
        <v>2</v>
      </c>
      <c r="I7240" s="57" t="n">
        <v>10</v>
      </c>
    </row>
    <row r="7241">
      <c r="A7241" s="62" t="n">
        <v>46776</v>
      </c>
      <c r="B7241" s="3" t="inlineStr">
        <is>
          <t>Week</t>
        </is>
      </c>
      <c r="C7241" s="19" t="n">
        <v>1</v>
      </c>
      <c r="D7241" s="19" t="n">
        <v>2028</v>
      </c>
      <c r="E7241" s="57" t="n">
        <v>7</v>
      </c>
      <c r="F7241" s="29">
        <f>ROUND(((SUMIFS(Calendar!$F$2:$F$9997,Calendar!$B$2:$B$9997,D7241,Calendar!$C$2:$C$9997,C7241)*INDEX(ForeCalc!$B$37:$Y$274,MATCH(_xlfn.CONCAT(H7241," ",I7241),ForeCalc!$A$37:$A$274,0),MATCH(_xlfn.CONCAT(B7241," ",E7241),ForeCalc!$B$36:$Y$36,0))))*VLOOKUP(A7241,Calendar!$A$2:$H$9997,8,FALSE),0)</f>
        <v/>
      </c>
      <c r="G7241" s="29">
        <f>VLOOKUP(A7241,Calendar!$A$1:$H$9997,6,FALSE)-F7241</f>
        <v/>
      </c>
      <c r="H7241" s="19" t="n">
        <v>2</v>
      </c>
      <c r="I7241" s="57" t="n">
        <v>10</v>
      </c>
    </row>
    <row r="7242">
      <c r="A7242" s="62" t="n">
        <v>46777</v>
      </c>
      <c r="B7242" s="3" t="inlineStr">
        <is>
          <t>Week</t>
        </is>
      </c>
      <c r="C7242" s="19" t="n">
        <v>1</v>
      </c>
      <c r="D7242" s="19" t="n">
        <v>2028</v>
      </c>
      <c r="E7242" s="57" t="n">
        <v>7</v>
      </c>
      <c r="F7242" s="29">
        <f>ROUND(((SUMIFS(Calendar!$F$2:$F$9997,Calendar!$B$2:$B$9997,D7242,Calendar!$C$2:$C$9997,C7242)*INDEX(ForeCalc!$B$37:$Y$274,MATCH(_xlfn.CONCAT(H7242," ",I7242),ForeCalc!$A$37:$A$274,0),MATCH(_xlfn.CONCAT(B7242," ",E7242),ForeCalc!$B$36:$Y$36,0))))*VLOOKUP(A7242,Calendar!$A$2:$H$9997,8,FALSE),0)</f>
        <v/>
      </c>
      <c r="G7242" s="29">
        <f>VLOOKUP(A7242,Calendar!$A$1:$H$9997,6,FALSE)-F7242</f>
        <v/>
      </c>
      <c r="H7242" s="19" t="n">
        <v>2</v>
      </c>
      <c r="I7242" s="57" t="n">
        <v>10</v>
      </c>
    </row>
    <row r="7243">
      <c r="A7243" s="62" t="n">
        <v>46778</v>
      </c>
      <c r="B7243" s="3" t="inlineStr">
        <is>
          <t>Week</t>
        </is>
      </c>
      <c r="C7243" s="19" t="n">
        <v>1</v>
      </c>
      <c r="D7243" s="19" t="n">
        <v>2028</v>
      </c>
      <c r="E7243" s="57" t="n">
        <v>7</v>
      </c>
      <c r="F7243" s="29">
        <f>ROUND(((SUMIFS(Calendar!$F$2:$F$9997,Calendar!$B$2:$B$9997,D7243,Calendar!$C$2:$C$9997,C7243)*INDEX(ForeCalc!$B$37:$Y$274,MATCH(_xlfn.CONCAT(H7243," ",I7243),ForeCalc!$A$37:$A$274,0),MATCH(_xlfn.CONCAT(B7243," ",E7243),ForeCalc!$B$36:$Y$36,0))))*VLOOKUP(A7243,Calendar!$A$2:$H$9997,8,FALSE),0)</f>
        <v/>
      </c>
      <c r="G7243" s="29">
        <f>VLOOKUP(A7243,Calendar!$A$1:$H$9997,6,FALSE)-F7243</f>
        <v/>
      </c>
      <c r="H7243" s="19" t="n">
        <v>2</v>
      </c>
      <c r="I7243" s="57" t="n">
        <v>10</v>
      </c>
    </row>
    <row r="7244">
      <c r="A7244" s="62" t="n">
        <v>46779</v>
      </c>
      <c r="B7244" s="3" t="inlineStr">
        <is>
          <t>Week</t>
        </is>
      </c>
      <c r="C7244" s="19" t="n">
        <v>1</v>
      </c>
      <c r="D7244" s="19" t="n">
        <v>2028</v>
      </c>
      <c r="E7244" s="57" t="n">
        <v>7</v>
      </c>
      <c r="F7244" s="29">
        <f>ROUND(((SUMIFS(Calendar!$F$2:$F$9997,Calendar!$B$2:$B$9997,D7244,Calendar!$C$2:$C$9997,C7244)*INDEX(ForeCalc!$B$37:$Y$274,MATCH(_xlfn.CONCAT(H7244," ",I7244),ForeCalc!$A$37:$A$274,0),MATCH(_xlfn.CONCAT(B7244," ",E7244),ForeCalc!$B$36:$Y$36,0))))*VLOOKUP(A7244,Calendar!$A$2:$H$9997,8,FALSE),0)</f>
        <v/>
      </c>
      <c r="G7244" s="29">
        <f>VLOOKUP(A7244,Calendar!$A$1:$H$9997,6,FALSE)-F7244</f>
        <v/>
      </c>
      <c r="H7244" s="19" t="n">
        <v>2</v>
      </c>
      <c r="I7244" s="57" t="n">
        <v>10</v>
      </c>
    </row>
    <row r="7245">
      <c r="A7245" s="62" t="n">
        <v>46780</v>
      </c>
      <c r="B7245" s="3" t="inlineStr">
        <is>
          <t>Week</t>
        </is>
      </c>
      <c r="C7245" s="19" t="n">
        <v>1</v>
      </c>
      <c r="D7245" s="19" t="n">
        <v>2028</v>
      </c>
      <c r="E7245" s="57" t="n">
        <v>7</v>
      </c>
      <c r="F7245" s="29">
        <f>ROUND(((SUMIFS(Calendar!$F$2:$F$9997,Calendar!$B$2:$B$9997,D7245,Calendar!$C$2:$C$9997,C7245)*INDEX(ForeCalc!$B$37:$Y$274,MATCH(_xlfn.CONCAT(H7245," ",I7245),ForeCalc!$A$37:$A$274,0),MATCH(_xlfn.CONCAT(B7245," ",E7245),ForeCalc!$B$36:$Y$36,0))))*VLOOKUP(A7245,Calendar!$A$2:$H$9997,8,FALSE),0)</f>
        <v/>
      </c>
      <c r="G7245" s="29">
        <f>VLOOKUP(A7245,Calendar!$A$1:$H$9997,6,FALSE)-F7245</f>
        <v/>
      </c>
      <c r="H7245" s="19" t="n">
        <v>2</v>
      </c>
      <c r="I7245" s="57" t="n">
        <v>10</v>
      </c>
    </row>
    <row r="7246">
      <c r="A7246" s="62" t="n">
        <v>46781</v>
      </c>
      <c r="B7246" s="3" t="inlineStr">
        <is>
          <t>Sat</t>
        </is>
      </c>
      <c r="C7246" s="19" t="n">
        <v>1</v>
      </c>
      <c r="D7246" s="19" t="n">
        <v>2028</v>
      </c>
      <c r="E7246" s="57" t="n">
        <v>7</v>
      </c>
      <c r="F7246" s="29">
        <f>ROUND(((SUMIFS(Calendar!$F$2:$F$9997,Calendar!$B$2:$B$9997,D7246,Calendar!$C$2:$C$9997,C7246)*INDEX(ForeCalc!$B$37:$Y$274,MATCH(_xlfn.CONCAT(H7246," ",I7246),ForeCalc!$A$37:$A$274,0),MATCH(_xlfn.CONCAT(B7246," ",E7246),ForeCalc!$B$36:$Y$36,0))))*VLOOKUP(A7246,Calendar!$A$2:$H$9997,8,FALSE),0)</f>
        <v/>
      </c>
      <c r="G7246" s="29">
        <f>VLOOKUP(A7246,Calendar!$A$1:$H$9997,6,FALSE)-F7246</f>
        <v/>
      </c>
      <c r="H7246" s="19" t="n">
        <v>2</v>
      </c>
      <c r="I7246" s="57" t="n">
        <v>10</v>
      </c>
    </row>
    <row r="7247">
      <c r="A7247" s="62" t="n">
        <v>46782</v>
      </c>
      <c r="B7247" s="3" t="inlineStr">
        <is>
          <t>Sun</t>
        </is>
      </c>
      <c r="C7247" s="19" t="n">
        <v>1</v>
      </c>
      <c r="D7247" s="19" t="n">
        <v>2028</v>
      </c>
      <c r="E7247" s="57" t="n">
        <v>7</v>
      </c>
      <c r="F7247" s="29">
        <f>ROUND(((SUMIFS(Calendar!$F$2:$F$9997,Calendar!$B$2:$B$9997,D7247,Calendar!$C$2:$C$9997,C7247)*INDEX(ForeCalc!$B$37:$Y$274,MATCH(_xlfn.CONCAT(H7247," ",I7247),ForeCalc!$A$37:$A$274,0),MATCH(_xlfn.CONCAT(B7247," ",E7247),ForeCalc!$B$36:$Y$36,0))))*VLOOKUP(A7247,Calendar!$A$2:$H$9997,8,FALSE),0)</f>
        <v/>
      </c>
      <c r="G7247" s="29">
        <f>VLOOKUP(A7247,Calendar!$A$1:$H$9997,6,FALSE)-F7247</f>
        <v/>
      </c>
      <c r="H7247" s="19" t="n">
        <v>2</v>
      </c>
      <c r="I7247" s="57" t="n">
        <v>10</v>
      </c>
    </row>
    <row r="7248">
      <c r="A7248" s="62" t="n">
        <v>46783</v>
      </c>
      <c r="B7248" s="3" t="inlineStr">
        <is>
          <t>Week</t>
        </is>
      </c>
      <c r="C7248" s="19" t="n">
        <v>1</v>
      </c>
      <c r="D7248" s="19" t="n">
        <v>2028</v>
      </c>
      <c r="E7248" s="57" t="n">
        <v>7</v>
      </c>
      <c r="F7248" s="29">
        <f>ROUND(((SUMIFS(Calendar!$F$2:$F$9997,Calendar!$B$2:$B$9997,D7248,Calendar!$C$2:$C$9997,C7248)*INDEX(ForeCalc!$B$37:$Y$274,MATCH(_xlfn.CONCAT(H7248," ",I7248),ForeCalc!$A$37:$A$274,0),MATCH(_xlfn.CONCAT(B7248," ",E7248),ForeCalc!$B$36:$Y$36,0))))*VLOOKUP(A7248,Calendar!$A$2:$H$9997,8,FALSE),0)</f>
        <v/>
      </c>
      <c r="G7248" s="29">
        <f>VLOOKUP(A7248,Calendar!$A$1:$H$9997,6,FALSE)-F7248</f>
        <v/>
      </c>
      <c r="H7248" s="19" t="n">
        <v>2</v>
      </c>
      <c r="I7248" s="57" t="n">
        <v>10</v>
      </c>
    </row>
    <row r="7249">
      <c r="A7249" s="62" t="n">
        <v>46784</v>
      </c>
      <c r="B7249" s="3" t="inlineStr">
        <is>
          <t>Week</t>
        </is>
      </c>
      <c r="C7249" s="19" t="n">
        <v>2</v>
      </c>
      <c r="D7249" s="19" t="n">
        <v>2028</v>
      </c>
      <c r="E7249" s="57" t="n">
        <v>7</v>
      </c>
      <c r="F7249" s="29">
        <f>ROUND(((SUMIFS(Calendar!$F$2:$F$9997,Calendar!$B$2:$B$9997,D7249,Calendar!$C$2:$C$9997,C7249)*INDEX(ForeCalc!$B$37:$Y$274,MATCH(_xlfn.CONCAT(H7249," ",I7249),ForeCalc!$A$37:$A$274,0),MATCH(_xlfn.CONCAT(B7249," ",E7249),ForeCalc!$B$36:$Y$36,0))))*VLOOKUP(A7249,Calendar!$A$2:$H$9997,8,FALSE),0)</f>
        <v/>
      </c>
      <c r="G7249" s="29">
        <f>VLOOKUP(A7249,Calendar!$A$1:$H$9997,6,FALSE)-F7249</f>
        <v/>
      </c>
      <c r="H7249" s="19" t="n">
        <v>2</v>
      </c>
      <c r="I7249" s="57" t="n">
        <v>11</v>
      </c>
    </row>
    <row r="7250">
      <c r="A7250" s="62" t="n">
        <v>46785</v>
      </c>
      <c r="B7250" s="3" t="inlineStr">
        <is>
          <t>Week</t>
        </is>
      </c>
      <c r="C7250" s="19" t="n">
        <v>2</v>
      </c>
      <c r="D7250" s="19" t="n">
        <v>2028</v>
      </c>
      <c r="E7250" s="57" t="n">
        <v>7</v>
      </c>
      <c r="F7250" s="29">
        <f>ROUND(((SUMIFS(Calendar!$F$2:$F$9997,Calendar!$B$2:$B$9997,D7250,Calendar!$C$2:$C$9997,C7250)*INDEX(ForeCalc!$B$37:$Y$274,MATCH(_xlfn.CONCAT(H7250," ",I7250),ForeCalc!$A$37:$A$274,0),MATCH(_xlfn.CONCAT(B7250," ",E7250),ForeCalc!$B$36:$Y$36,0))))*VLOOKUP(A7250,Calendar!$A$2:$H$9997,8,FALSE),0)</f>
        <v/>
      </c>
      <c r="G7250" s="29">
        <f>VLOOKUP(A7250,Calendar!$A$1:$H$9997,6,FALSE)-F7250</f>
        <v/>
      </c>
      <c r="H7250" s="19" t="n">
        <v>2</v>
      </c>
      <c r="I7250" s="57" t="n">
        <v>11</v>
      </c>
    </row>
    <row r="7251">
      <c r="A7251" s="62" t="n">
        <v>46786</v>
      </c>
      <c r="B7251" s="3" t="inlineStr">
        <is>
          <t>Week</t>
        </is>
      </c>
      <c r="C7251" s="19" t="n">
        <v>2</v>
      </c>
      <c r="D7251" s="19" t="n">
        <v>2028</v>
      </c>
      <c r="E7251" s="57" t="n">
        <v>7</v>
      </c>
      <c r="F7251" s="29">
        <f>ROUND(((SUMIFS(Calendar!$F$2:$F$9997,Calendar!$B$2:$B$9997,D7251,Calendar!$C$2:$C$9997,C7251)*INDEX(ForeCalc!$B$37:$Y$274,MATCH(_xlfn.CONCAT(H7251," ",I7251),ForeCalc!$A$37:$A$274,0),MATCH(_xlfn.CONCAT(B7251," ",E7251),ForeCalc!$B$36:$Y$36,0))))*VLOOKUP(A7251,Calendar!$A$2:$H$9997,8,FALSE),0)</f>
        <v/>
      </c>
      <c r="G7251" s="29">
        <f>VLOOKUP(A7251,Calendar!$A$1:$H$9997,6,FALSE)-F7251</f>
        <v/>
      </c>
      <c r="H7251" s="19" t="n">
        <v>2</v>
      </c>
      <c r="I7251" s="57" t="n">
        <v>11</v>
      </c>
    </row>
    <row r="7252">
      <c r="A7252" s="62" t="n">
        <v>46787</v>
      </c>
      <c r="B7252" s="3" t="inlineStr">
        <is>
          <t>Week</t>
        </is>
      </c>
      <c r="C7252" s="19" t="n">
        <v>2</v>
      </c>
      <c r="D7252" s="19" t="n">
        <v>2028</v>
      </c>
      <c r="E7252" s="57" t="n">
        <v>7</v>
      </c>
      <c r="F7252" s="29">
        <f>ROUND(((SUMIFS(Calendar!$F$2:$F$9997,Calendar!$B$2:$B$9997,D7252,Calendar!$C$2:$C$9997,C7252)*INDEX(ForeCalc!$B$37:$Y$274,MATCH(_xlfn.CONCAT(H7252," ",I7252),ForeCalc!$A$37:$A$274,0),MATCH(_xlfn.CONCAT(B7252," ",E7252),ForeCalc!$B$36:$Y$36,0))))*VLOOKUP(A7252,Calendar!$A$2:$H$9997,8,FALSE),0)</f>
        <v/>
      </c>
      <c r="G7252" s="29">
        <f>VLOOKUP(A7252,Calendar!$A$1:$H$9997,6,FALSE)-F7252</f>
        <v/>
      </c>
      <c r="H7252" s="19" t="n">
        <v>2</v>
      </c>
      <c r="I7252" s="57" t="n">
        <v>11</v>
      </c>
    </row>
    <row r="7253">
      <c r="A7253" s="62" t="n">
        <v>46788</v>
      </c>
      <c r="B7253" s="3" t="inlineStr">
        <is>
          <t>Sat</t>
        </is>
      </c>
      <c r="C7253" s="19" t="n">
        <v>2</v>
      </c>
      <c r="D7253" s="19" t="n">
        <v>2028</v>
      </c>
      <c r="E7253" s="57" t="n">
        <v>7</v>
      </c>
      <c r="F7253" s="29">
        <f>ROUND(((SUMIFS(Calendar!$F$2:$F$9997,Calendar!$B$2:$B$9997,D7253,Calendar!$C$2:$C$9997,C7253)*INDEX(ForeCalc!$B$37:$Y$274,MATCH(_xlfn.CONCAT(H7253," ",I7253),ForeCalc!$A$37:$A$274,0),MATCH(_xlfn.CONCAT(B7253," ",E7253),ForeCalc!$B$36:$Y$36,0))))*VLOOKUP(A7253,Calendar!$A$2:$H$9997,8,FALSE),0)</f>
        <v/>
      </c>
      <c r="G7253" s="29">
        <f>VLOOKUP(A7253,Calendar!$A$1:$H$9997,6,FALSE)-F7253</f>
        <v/>
      </c>
      <c r="H7253" s="19" t="n">
        <v>2</v>
      </c>
      <c r="I7253" s="57" t="n">
        <v>11</v>
      </c>
    </row>
    <row r="7254">
      <c r="A7254" s="62" t="n">
        <v>46789</v>
      </c>
      <c r="B7254" s="3" t="inlineStr">
        <is>
          <t>Sun</t>
        </is>
      </c>
      <c r="C7254" s="19" t="n">
        <v>2</v>
      </c>
      <c r="D7254" s="19" t="n">
        <v>2028</v>
      </c>
      <c r="E7254" s="57" t="n">
        <v>7</v>
      </c>
      <c r="F7254" s="29">
        <f>ROUND(((SUMIFS(Calendar!$F$2:$F$9997,Calendar!$B$2:$B$9997,D7254,Calendar!$C$2:$C$9997,C7254)*INDEX(ForeCalc!$B$37:$Y$274,MATCH(_xlfn.CONCAT(H7254," ",I7254),ForeCalc!$A$37:$A$274,0),MATCH(_xlfn.CONCAT(B7254," ",E7254),ForeCalc!$B$36:$Y$36,0))))*VLOOKUP(A7254,Calendar!$A$2:$H$9997,8,FALSE),0)</f>
        <v/>
      </c>
      <c r="G7254" s="29">
        <f>VLOOKUP(A7254,Calendar!$A$1:$H$9997,6,FALSE)-F7254</f>
        <v/>
      </c>
      <c r="H7254" s="19" t="n">
        <v>2</v>
      </c>
      <c r="I7254" s="57" t="n">
        <v>11</v>
      </c>
    </row>
    <row r="7255">
      <c r="A7255" s="62" t="n">
        <v>46790</v>
      </c>
      <c r="B7255" s="3" t="inlineStr">
        <is>
          <t>Week</t>
        </is>
      </c>
      <c r="C7255" s="19" t="n">
        <v>2</v>
      </c>
      <c r="D7255" s="19" t="n">
        <v>2028</v>
      </c>
      <c r="E7255" s="57" t="n">
        <v>7</v>
      </c>
      <c r="F7255" s="29">
        <f>ROUND(((SUMIFS(Calendar!$F$2:$F$9997,Calendar!$B$2:$B$9997,D7255,Calendar!$C$2:$C$9997,C7255)*INDEX(ForeCalc!$B$37:$Y$274,MATCH(_xlfn.CONCAT(H7255," ",I7255),ForeCalc!$A$37:$A$274,0),MATCH(_xlfn.CONCAT(B7255," ",E7255),ForeCalc!$B$36:$Y$36,0))))*VLOOKUP(A7255,Calendar!$A$2:$H$9997,8,FALSE),0)</f>
        <v/>
      </c>
      <c r="G7255" s="29">
        <f>VLOOKUP(A7255,Calendar!$A$1:$H$9997,6,FALSE)-F7255</f>
        <v/>
      </c>
      <c r="H7255" s="19" t="n">
        <v>2</v>
      </c>
      <c r="I7255" s="57" t="n">
        <v>11</v>
      </c>
    </row>
    <row r="7256">
      <c r="A7256" s="62" t="n">
        <v>46791</v>
      </c>
      <c r="B7256" s="3" t="inlineStr">
        <is>
          <t>Week</t>
        </is>
      </c>
      <c r="C7256" s="19" t="n">
        <v>2</v>
      </c>
      <c r="D7256" s="19" t="n">
        <v>2028</v>
      </c>
      <c r="E7256" s="57" t="n">
        <v>7</v>
      </c>
      <c r="F7256" s="29">
        <f>ROUND(((SUMIFS(Calendar!$F$2:$F$9997,Calendar!$B$2:$B$9997,D7256,Calendar!$C$2:$C$9997,C7256)*INDEX(ForeCalc!$B$37:$Y$274,MATCH(_xlfn.CONCAT(H7256," ",I7256),ForeCalc!$A$37:$A$274,0),MATCH(_xlfn.CONCAT(B7256," ",E7256),ForeCalc!$B$36:$Y$36,0))))*VLOOKUP(A7256,Calendar!$A$2:$H$9997,8,FALSE),0)</f>
        <v/>
      </c>
      <c r="G7256" s="29">
        <f>VLOOKUP(A7256,Calendar!$A$1:$H$9997,6,FALSE)-F7256</f>
        <v/>
      </c>
      <c r="H7256" s="19" t="n">
        <v>2</v>
      </c>
      <c r="I7256" s="57" t="n">
        <v>11</v>
      </c>
    </row>
    <row r="7257">
      <c r="A7257" s="62" t="n">
        <v>46792</v>
      </c>
      <c r="B7257" s="3" t="inlineStr">
        <is>
          <t>Week</t>
        </is>
      </c>
      <c r="C7257" s="19" t="n">
        <v>2</v>
      </c>
      <c r="D7257" s="19" t="n">
        <v>2028</v>
      </c>
      <c r="E7257" s="57" t="n">
        <v>7</v>
      </c>
      <c r="F7257" s="29">
        <f>ROUND(((SUMIFS(Calendar!$F$2:$F$9997,Calendar!$B$2:$B$9997,D7257,Calendar!$C$2:$C$9997,C7257)*INDEX(ForeCalc!$B$37:$Y$274,MATCH(_xlfn.CONCAT(H7257," ",I7257),ForeCalc!$A$37:$A$274,0),MATCH(_xlfn.CONCAT(B7257," ",E7257),ForeCalc!$B$36:$Y$36,0))))*VLOOKUP(A7257,Calendar!$A$2:$H$9997,8,FALSE),0)</f>
        <v/>
      </c>
      <c r="G7257" s="29">
        <f>VLOOKUP(A7257,Calendar!$A$1:$H$9997,6,FALSE)-F7257</f>
        <v/>
      </c>
      <c r="H7257" s="19" t="n">
        <v>2</v>
      </c>
      <c r="I7257" s="57" t="n">
        <v>11</v>
      </c>
    </row>
    <row r="7258">
      <c r="A7258" s="62" t="n">
        <v>46793</v>
      </c>
      <c r="B7258" s="3" t="inlineStr">
        <is>
          <t>Week</t>
        </is>
      </c>
      <c r="C7258" s="19" t="n">
        <v>2</v>
      </c>
      <c r="D7258" s="19" t="n">
        <v>2028</v>
      </c>
      <c r="E7258" s="57" t="n">
        <v>7</v>
      </c>
      <c r="F7258" s="29">
        <f>ROUND(((SUMIFS(Calendar!$F$2:$F$9997,Calendar!$B$2:$B$9997,D7258,Calendar!$C$2:$C$9997,C7258)*INDEX(ForeCalc!$B$37:$Y$274,MATCH(_xlfn.CONCAT(H7258," ",I7258),ForeCalc!$A$37:$A$274,0),MATCH(_xlfn.CONCAT(B7258," ",E7258),ForeCalc!$B$36:$Y$36,0))))*VLOOKUP(A7258,Calendar!$A$2:$H$9997,8,FALSE),0)</f>
        <v/>
      </c>
      <c r="G7258" s="29">
        <f>VLOOKUP(A7258,Calendar!$A$1:$H$9997,6,FALSE)-F7258</f>
        <v/>
      </c>
      <c r="H7258" s="19" t="n">
        <v>2</v>
      </c>
      <c r="I7258" s="57" t="n">
        <v>11</v>
      </c>
    </row>
    <row r="7259">
      <c r="A7259" s="62" t="n">
        <v>46794</v>
      </c>
      <c r="B7259" s="3" t="inlineStr">
        <is>
          <t>Week</t>
        </is>
      </c>
      <c r="C7259" s="19" t="n">
        <v>2</v>
      </c>
      <c r="D7259" s="19" t="n">
        <v>2028</v>
      </c>
      <c r="E7259" s="57" t="n">
        <v>7</v>
      </c>
      <c r="F7259" s="29">
        <f>ROUND(((SUMIFS(Calendar!$F$2:$F$9997,Calendar!$B$2:$B$9997,D7259,Calendar!$C$2:$C$9997,C7259)*INDEX(ForeCalc!$B$37:$Y$274,MATCH(_xlfn.CONCAT(H7259," ",I7259),ForeCalc!$A$37:$A$274,0),MATCH(_xlfn.CONCAT(B7259," ",E7259),ForeCalc!$B$36:$Y$36,0))))*VLOOKUP(A7259,Calendar!$A$2:$H$9997,8,FALSE),0)</f>
        <v/>
      </c>
      <c r="G7259" s="29">
        <f>VLOOKUP(A7259,Calendar!$A$1:$H$9997,6,FALSE)-F7259</f>
        <v/>
      </c>
      <c r="H7259" s="19" t="n">
        <v>2</v>
      </c>
      <c r="I7259" s="57" t="n">
        <v>11</v>
      </c>
    </row>
    <row r="7260">
      <c r="A7260" s="62" t="n">
        <v>46795</v>
      </c>
      <c r="B7260" s="3" t="inlineStr">
        <is>
          <t>Sat</t>
        </is>
      </c>
      <c r="C7260" s="19" t="n">
        <v>2</v>
      </c>
      <c r="D7260" s="19" t="n">
        <v>2028</v>
      </c>
      <c r="E7260" s="57" t="n">
        <v>7</v>
      </c>
      <c r="F7260" s="29">
        <f>ROUND(((SUMIFS(Calendar!$F$2:$F$9997,Calendar!$B$2:$B$9997,D7260,Calendar!$C$2:$C$9997,C7260)*INDEX(ForeCalc!$B$37:$Y$274,MATCH(_xlfn.CONCAT(H7260," ",I7260),ForeCalc!$A$37:$A$274,0),MATCH(_xlfn.CONCAT(B7260," ",E7260),ForeCalc!$B$36:$Y$36,0))))*VLOOKUP(A7260,Calendar!$A$2:$H$9997,8,FALSE),0)</f>
        <v/>
      </c>
      <c r="G7260" s="29">
        <f>VLOOKUP(A7260,Calendar!$A$1:$H$9997,6,FALSE)-F7260</f>
        <v/>
      </c>
      <c r="H7260" s="19" t="n">
        <v>2</v>
      </c>
      <c r="I7260" s="57" t="n">
        <v>11</v>
      </c>
    </row>
    <row r="7261">
      <c r="A7261" s="62" t="n">
        <v>46796</v>
      </c>
      <c r="B7261" s="3" t="inlineStr">
        <is>
          <t>Sun</t>
        </is>
      </c>
      <c r="C7261" s="19" t="n">
        <v>2</v>
      </c>
      <c r="D7261" s="19" t="n">
        <v>2028</v>
      </c>
      <c r="E7261" s="57" t="n">
        <v>7</v>
      </c>
      <c r="F7261" s="29">
        <f>ROUND(((SUMIFS(Calendar!$F$2:$F$9997,Calendar!$B$2:$B$9997,D7261,Calendar!$C$2:$C$9997,C7261)*INDEX(ForeCalc!$B$37:$Y$274,MATCH(_xlfn.CONCAT(H7261," ",I7261),ForeCalc!$A$37:$A$274,0),MATCH(_xlfn.CONCAT(B7261," ",E7261),ForeCalc!$B$36:$Y$36,0))))*VLOOKUP(A7261,Calendar!$A$2:$H$9997,8,FALSE),0)</f>
        <v/>
      </c>
      <c r="G7261" s="29">
        <f>VLOOKUP(A7261,Calendar!$A$1:$H$9997,6,FALSE)-F7261</f>
        <v/>
      </c>
      <c r="H7261" s="19" t="n">
        <v>2</v>
      </c>
      <c r="I7261" s="57" t="n">
        <v>11</v>
      </c>
    </row>
    <row r="7262">
      <c r="A7262" s="62" t="n">
        <v>46797</v>
      </c>
      <c r="B7262" s="3" t="inlineStr">
        <is>
          <t>Week</t>
        </is>
      </c>
      <c r="C7262" s="19" t="n">
        <v>2</v>
      </c>
      <c r="D7262" s="19" t="n">
        <v>2028</v>
      </c>
      <c r="E7262" s="57" t="n">
        <v>7</v>
      </c>
      <c r="F7262" s="29">
        <f>ROUND(((SUMIFS(Calendar!$F$2:$F$9997,Calendar!$B$2:$B$9997,D7262,Calendar!$C$2:$C$9997,C7262)*INDEX(ForeCalc!$B$37:$Y$274,MATCH(_xlfn.CONCAT(H7262," ",I7262),ForeCalc!$A$37:$A$274,0),MATCH(_xlfn.CONCAT(B7262," ",E7262),ForeCalc!$B$36:$Y$36,0))))*VLOOKUP(A7262,Calendar!$A$2:$H$9997,8,FALSE),0)</f>
        <v/>
      </c>
      <c r="G7262" s="29">
        <f>VLOOKUP(A7262,Calendar!$A$1:$H$9997,6,FALSE)-F7262</f>
        <v/>
      </c>
      <c r="H7262" s="19" t="n">
        <v>2</v>
      </c>
      <c r="I7262" s="57" t="n">
        <v>11</v>
      </c>
    </row>
    <row r="7263">
      <c r="A7263" s="62" t="n">
        <v>46798</v>
      </c>
      <c r="B7263" s="3" t="inlineStr">
        <is>
          <t>Week</t>
        </is>
      </c>
      <c r="C7263" s="19" t="n">
        <v>2</v>
      </c>
      <c r="D7263" s="19" t="n">
        <v>2028</v>
      </c>
      <c r="E7263" s="57" t="n">
        <v>7</v>
      </c>
      <c r="F7263" s="29">
        <f>ROUND(((SUMIFS(Calendar!$F$2:$F$9997,Calendar!$B$2:$B$9997,D7263,Calendar!$C$2:$C$9997,C7263)*INDEX(ForeCalc!$B$37:$Y$274,MATCH(_xlfn.CONCAT(H7263," ",I7263),ForeCalc!$A$37:$A$274,0),MATCH(_xlfn.CONCAT(B7263," ",E7263),ForeCalc!$B$36:$Y$36,0))))*VLOOKUP(A7263,Calendar!$A$2:$H$9997,8,FALSE),0)</f>
        <v/>
      </c>
      <c r="G7263" s="29">
        <f>VLOOKUP(A7263,Calendar!$A$1:$H$9997,6,FALSE)-F7263</f>
        <v/>
      </c>
      <c r="H7263" s="19" t="n">
        <v>2</v>
      </c>
      <c r="I7263" s="57" t="n">
        <v>11</v>
      </c>
    </row>
    <row r="7264">
      <c r="A7264" s="62" t="n">
        <v>46799</v>
      </c>
      <c r="B7264" s="3" t="inlineStr">
        <is>
          <t>Week</t>
        </is>
      </c>
      <c r="C7264" s="19" t="n">
        <v>2</v>
      </c>
      <c r="D7264" s="19" t="n">
        <v>2028</v>
      </c>
      <c r="E7264" s="57" t="n">
        <v>7</v>
      </c>
      <c r="F7264" s="29">
        <f>ROUND(((SUMIFS(Calendar!$F$2:$F$9997,Calendar!$B$2:$B$9997,D7264,Calendar!$C$2:$C$9997,C7264)*INDEX(ForeCalc!$B$37:$Y$274,MATCH(_xlfn.CONCAT(H7264," ",I7264),ForeCalc!$A$37:$A$274,0),MATCH(_xlfn.CONCAT(B7264," ",E7264),ForeCalc!$B$36:$Y$36,0))))*VLOOKUP(A7264,Calendar!$A$2:$H$9997,8,FALSE),0)</f>
        <v/>
      </c>
      <c r="G7264" s="29">
        <f>VLOOKUP(A7264,Calendar!$A$1:$H$9997,6,FALSE)-F7264</f>
        <v/>
      </c>
      <c r="H7264" s="19" t="n">
        <v>2</v>
      </c>
      <c r="I7264" s="57" t="n">
        <v>11</v>
      </c>
    </row>
    <row r="7265">
      <c r="A7265" s="62" t="n">
        <v>46800</v>
      </c>
      <c r="B7265" s="3" t="inlineStr">
        <is>
          <t>Week</t>
        </is>
      </c>
      <c r="C7265" s="19" t="n">
        <v>2</v>
      </c>
      <c r="D7265" s="19" t="n">
        <v>2028</v>
      </c>
      <c r="E7265" s="57" t="n">
        <v>7</v>
      </c>
      <c r="F7265" s="29">
        <f>ROUND(((SUMIFS(Calendar!$F$2:$F$9997,Calendar!$B$2:$B$9997,D7265,Calendar!$C$2:$C$9997,C7265)*INDEX(ForeCalc!$B$37:$Y$274,MATCH(_xlfn.CONCAT(H7265," ",I7265),ForeCalc!$A$37:$A$274,0),MATCH(_xlfn.CONCAT(B7265," ",E7265),ForeCalc!$B$36:$Y$36,0))))*VLOOKUP(A7265,Calendar!$A$2:$H$9997,8,FALSE),0)</f>
        <v/>
      </c>
      <c r="G7265" s="29">
        <f>VLOOKUP(A7265,Calendar!$A$1:$H$9997,6,FALSE)-F7265</f>
        <v/>
      </c>
      <c r="H7265" s="19" t="n">
        <v>2</v>
      </c>
      <c r="I7265" s="57" t="n">
        <v>11</v>
      </c>
    </row>
    <row r="7266">
      <c r="A7266" s="62" t="n">
        <v>46801</v>
      </c>
      <c r="B7266" s="3" t="inlineStr">
        <is>
          <t>Week</t>
        </is>
      </c>
      <c r="C7266" s="19" t="n">
        <v>2</v>
      </c>
      <c r="D7266" s="19" t="n">
        <v>2028</v>
      </c>
      <c r="E7266" s="57" t="n">
        <v>7</v>
      </c>
      <c r="F7266" s="29">
        <f>ROUND(((SUMIFS(Calendar!$F$2:$F$9997,Calendar!$B$2:$B$9997,D7266,Calendar!$C$2:$C$9997,C7266)*INDEX(ForeCalc!$B$37:$Y$274,MATCH(_xlfn.CONCAT(H7266," ",I7266),ForeCalc!$A$37:$A$274,0),MATCH(_xlfn.CONCAT(B7266," ",E7266),ForeCalc!$B$36:$Y$36,0))))*VLOOKUP(A7266,Calendar!$A$2:$H$9997,8,FALSE),0)</f>
        <v/>
      </c>
      <c r="G7266" s="29">
        <f>VLOOKUP(A7266,Calendar!$A$1:$H$9997,6,FALSE)-F7266</f>
        <v/>
      </c>
      <c r="H7266" s="19" t="n">
        <v>2</v>
      </c>
      <c r="I7266" s="57" t="n">
        <v>11</v>
      </c>
    </row>
    <row r="7267">
      <c r="A7267" s="62" t="n">
        <v>46802</v>
      </c>
      <c r="B7267" s="3" t="inlineStr">
        <is>
          <t>Sat</t>
        </is>
      </c>
      <c r="C7267" s="19" t="n">
        <v>2</v>
      </c>
      <c r="D7267" s="19" t="n">
        <v>2028</v>
      </c>
      <c r="E7267" s="57" t="n">
        <v>7</v>
      </c>
      <c r="F7267" s="29">
        <f>ROUND(((SUMIFS(Calendar!$F$2:$F$9997,Calendar!$B$2:$B$9997,D7267,Calendar!$C$2:$C$9997,C7267)*INDEX(ForeCalc!$B$37:$Y$274,MATCH(_xlfn.CONCAT(H7267," ",I7267),ForeCalc!$A$37:$A$274,0),MATCH(_xlfn.CONCAT(B7267," ",E7267),ForeCalc!$B$36:$Y$36,0))))*VLOOKUP(A7267,Calendar!$A$2:$H$9997,8,FALSE),0)</f>
        <v/>
      </c>
      <c r="G7267" s="29">
        <f>VLOOKUP(A7267,Calendar!$A$1:$H$9997,6,FALSE)-F7267</f>
        <v/>
      </c>
      <c r="H7267" s="19" t="n">
        <v>2</v>
      </c>
      <c r="I7267" s="57" t="n">
        <v>11</v>
      </c>
    </row>
    <row r="7268">
      <c r="A7268" s="62" t="n">
        <v>46803</v>
      </c>
      <c r="B7268" s="3" t="inlineStr">
        <is>
          <t>Sun</t>
        </is>
      </c>
      <c r="C7268" s="19" t="n">
        <v>2</v>
      </c>
      <c r="D7268" s="19" t="n">
        <v>2028</v>
      </c>
      <c r="E7268" s="57" t="n">
        <v>7</v>
      </c>
      <c r="F7268" s="29">
        <f>ROUND(((SUMIFS(Calendar!$F$2:$F$9997,Calendar!$B$2:$B$9997,D7268,Calendar!$C$2:$C$9997,C7268)*INDEX(ForeCalc!$B$37:$Y$274,MATCH(_xlfn.CONCAT(H7268," ",I7268),ForeCalc!$A$37:$A$274,0),MATCH(_xlfn.CONCAT(B7268," ",E7268),ForeCalc!$B$36:$Y$36,0))))*VLOOKUP(A7268,Calendar!$A$2:$H$9997,8,FALSE),0)</f>
        <v/>
      </c>
      <c r="G7268" s="29">
        <f>VLOOKUP(A7268,Calendar!$A$1:$H$9997,6,FALSE)-F7268</f>
        <v/>
      </c>
      <c r="H7268" s="19" t="n">
        <v>2</v>
      </c>
      <c r="I7268" s="57" t="n">
        <v>11</v>
      </c>
    </row>
    <row r="7269">
      <c r="A7269" s="62" t="n">
        <v>46804</v>
      </c>
      <c r="B7269" s="3" t="inlineStr">
        <is>
          <t>Week</t>
        </is>
      </c>
      <c r="C7269" s="19" t="n">
        <v>2</v>
      </c>
      <c r="D7269" s="19" t="n">
        <v>2028</v>
      </c>
      <c r="E7269" s="57" t="n">
        <v>7</v>
      </c>
      <c r="F7269" s="29">
        <f>ROUND(((SUMIFS(Calendar!$F$2:$F$9997,Calendar!$B$2:$B$9997,D7269,Calendar!$C$2:$C$9997,C7269)*INDEX(ForeCalc!$B$37:$Y$274,MATCH(_xlfn.CONCAT(H7269," ",I7269),ForeCalc!$A$37:$A$274,0),MATCH(_xlfn.CONCAT(B7269," ",E7269),ForeCalc!$B$36:$Y$36,0))))*VLOOKUP(A7269,Calendar!$A$2:$H$9997,8,FALSE),0)</f>
        <v/>
      </c>
      <c r="G7269" s="29">
        <f>VLOOKUP(A7269,Calendar!$A$1:$H$9997,6,FALSE)-F7269</f>
        <v/>
      </c>
      <c r="H7269" s="19" t="n">
        <v>2</v>
      </c>
      <c r="I7269" s="57" t="n">
        <v>11</v>
      </c>
    </row>
    <row r="7270">
      <c r="A7270" s="62" t="n">
        <v>46805</v>
      </c>
      <c r="B7270" s="3" t="inlineStr">
        <is>
          <t>Week</t>
        </is>
      </c>
      <c r="C7270" s="19" t="n">
        <v>2</v>
      </c>
      <c r="D7270" s="19" t="n">
        <v>2028</v>
      </c>
      <c r="E7270" s="57" t="n">
        <v>7</v>
      </c>
      <c r="F7270" s="29">
        <f>ROUND(((SUMIFS(Calendar!$F$2:$F$9997,Calendar!$B$2:$B$9997,D7270,Calendar!$C$2:$C$9997,C7270)*INDEX(ForeCalc!$B$37:$Y$274,MATCH(_xlfn.CONCAT(H7270," ",I7270),ForeCalc!$A$37:$A$274,0),MATCH(_xlfn.CONCAT(B7270," ",E7270),ForeCalc!$B$36:$Y$36,0))))*VLOOKUP(A7270,Calendar!$A$2:$H$9997,8,FALSE),0)</f>
        <v/>
      </c>
      <c r="G7270" s="29">
        <f>VLOOKUP(A7270,Calendar!$A$1:$H$9997,6,FALSE)-F7270</f>
        <v/>
      </c>
      <c r="H7270" s="19" t="n">
        <v>2</v>
      </c>
      <c r="I7270" s="57" t="n">
        <v>11</v>
      </c>
    </row>
    <row r="7271">
      <c r="A7271" s="62" t="n">
        <v>46806</v>
      </c>
      <c r="B7271" s="3" t="inlineStr">
        <is>
          <t>Week</t>
        </is>
      </c>
      <c r="C7271" s="19" t="n">
        <v>2</v>
      </c>
      <c r="D7271" s="19" t="n">
        <v>2028</v>
      </c>
      <c r="E7271" s="57" t="n">
        <v>7</v>
      </c>
      <c r="F7271" s="29">
        <f>ROUND(((SUMIFS(Calendar!$F$2:$F$9997,Calendar!$B$2:$B$9997,D7271,Calendar!$C$2:$C$9997,C7271)*INDEX(ForeCalc!$B$37:$Y$274,MATCH(_xlfn.CONCAT(H7271," ",I7271),ForeCalc!$A$37:$A$274,0),MATCH(_xlfn.CONCAT(B7271," ",E7271),ForeCalc!$B$36:$Y$36,0))))*VLOOKUP(A7271,Calendar!$A$2:$H$9997,8,FALSE),0)</f>
        <v/>
      </c>
      <c r="G7271" s="29">
        <f>VLOOKUP(A7271,Calendar!$A$1:$H$9997,6,FALSE)-F7271</f>
        <v/>
      </c>
      <c r="H7271" s="19" t="n">
        <v>2</v>
      </c>
      <c r="I7271" s="57" t="n">
        <v>11</v>
      </c>
    </row>
    <row r="7272">
      <c r="A7272" s="62" t="n">
        <v>46807</v>
      </c>
      <c r="B7272" s="3" t="inlineStr">
        <is>
          <t>Week</t>
        </is>
      </c>
      <c r="C7272" s="19" t="n">
        <v>2</v>
      </c>
      <c r="D7272" s="19" t="n">
        <v>2028</v>
      </c>
      <c r="E7272" s="57" t="n">
        <v>7</v>
      </c>
      <c r="F7272" s="29">
        <f>ROUND(((SUMIFS(Calendar!$F$2:$F$9997,Calendar!$B$2:$B$9997,D7272,Calendar!$C$2:$C$9997,C7272)*INDEX(ForeCalc!$B$37:$Y$274,MATCH(_xlfn.CONCAT(H7272," ",I7272),ForeCalc!$A$37:$A$274,0),MATCH(_xlfn.CONCAT(B7272," ",E7272),ForeCalc!$B$36:$Y$36,0))))*VLOOKUP(A7272,Calendar!$A$2:$H$9997,8,FALSE),0)</f>
        <v/>
      </c>
      <c r="G7272" s="29">
        <f>VLOOKUP(A7272,Calendar!$A$1:$H$9997,6,FALSE)-F7272</f>
        <v/>
      </c>
      <c r="H7272" s="19" t="n">
        <v>2</v>
      </c>
      <c r="I7272" s="57" t="n">
        <v>11</v>
      </c>
    </row>
    <row r="7273">
      <c r="A7273" s="62" t="n">
        <v>46808</v>
      </c>
      <c r="B7273" s="3" t="inlineStr">
        <is>
          <t>Week</t>
        </is>
      </c>
      <c r="C7273" s="19" t="n">
        <v>2</v>
      </c>
      <c r="D7273" s="19" t="n">
        <v>2028</v>
      </c>
      <c r="E7273" s="57" t="n">
        <v>7</v>
      </c>
      <c r="F7273" s="29">
        <f>ROUND(((SUMIFS(Calendar!$F$2:$F$9997,Calendar!$B$2:$B$9997,D7273,Calendar!$C$2:$C$9997,C7273)*INDEX(ForeCalc!$B$37:$Y$274,MATCH(_xlfn.CONCAT(H7273," ",I7273),ForeCalc!$A$37:$A$274,0),MATCH(_xlfn.CONCAT(B7273," ",E7273),ForeCalc!$B$36:$Y$36,0))))*VLOOKUP(A7273,Calendar!$A$2:$H$9997,8,FALSE),0)</f>
        <v/>
      </c>
      <c r="G7273" s="29">
        <f>VLOOKUP(A7273,Calendar!$A$1:$H$9997,6,FALSE)-F7273</f>
        <v/>
      </c>
      <c r="H7273" s="19" t="n">
        <v>2</v>
      </c>
      <c r="I7273" s="57" t="n">
        <v>11</v>
      </c>
    </row>
    <row r="7274">
      <c r="A7274" s="62" t="n">
        <v>46809</v>
      </c>
      <c r="B7274" s="3" t="inlineStr">
        <is>
          <t>Sat</t>
        </is>
      </c>
      <c r="C7274" s="19" t="n">
        <v>2</v>
      </c>
      <c r="D7274" s="19" t="n">
        <v>2028</v>
      </c>
      <c r="E7274" s="57" t="n">
        <v>7</v>
      </c>
      <c r="F7274" s="29">
        <f>ROUND(((SUMIFS(Calendar!$F$2:$F$9997,Calendar!$B$2:$B$9997,D7274,Calendar!$C$2:$C$9997,C7274)*INDEX(ForeCalc!$B$37:$Y$274,MATCH(_xlfn.CONCAT(H7274," ",I7274),ForeCalc!$A$37:$A$274,0),MATCH(_xlfn.CONCAT(B7274," ",E7274),ForeCalc!$B$36:$Y$36,0))))*VLOOKUP(A7274,Calendar!$A$2:$H$9997,8,FALSE),0)</f>
        <v/>
      </c>
      <c r="G7274" s="29">
        <f>VLOOKUP(A7274,Calendar!$A$1:$H$9997,6,FALSE)-F7274</f>
        <v/>
      </c>
      <c r="H7274" s="19" t="n">
        <v>2</v>
      </c>
      <c r="I7274" s="57" t="n">
        <v>11</v>
      </c>
    </row>
    <row r="7275">
      <c r="A7275" s="62" t="n">
        <v>46810</v>
      </c>
      <c r="B7275" s="3" t="inlineStr">
        <is>
          <t>Sun</t>
        </is>
      </c>
      <c r="C7275" s="19" t="n">
        <v>2</v>
      </c>
      <c r="D7275" s="19" t="n">
        <v>2028</v>
      </c>
      <c r="E7275" s="57" t="n">
        <v>7</v>
      </c>
      <c r="F7275" s="29">
        <f>ROUND(((SUMIFS(Calendar!$F$2:$F$9997,Calendar!$B$2:$B$9997,D7275,Calendar!$C$2:$C$9997,C7275)*INDEX(ForeCalc!$B$37:$Y$274,MATCH(_xlfn.CONCAT(H7275," ",I7275),ForeCalc!$A$37:$A$274,0),MATCH(_xlfn.CONCAT(B7275," ",E7275),ForeCalc!$B$36:$Y$36,0))))*VLOOKUP(A7275,Calendar!$A$2:$H$9997,8,FALSE),0)</f>
        <v/>
      </c>
      <c r="G7275" s="29">
        <f>VLOOKUP(A7275,Calendar!$A$1:$H$9997,6,FALSE)-F7275</f>
        <v/>
      </c>
      <c r="H7275" s="19" t="n">
        <v>2</v>
      </c>
      <c r="I7275" s="57" t="n">
        <v>11</v>
      </c>
    </row>
    <row r="7276">
      <c r="A7276" s="62" t="n">
        <v>46811</v>
      </c>
      <c r="B7276" s="3" t="inlineStr">
        <is>
          <t>Week</t>
        </is>
      </c>
      <c r="C7276" s="19" t="n">
        <v>2</v>
      </c>
      <c r="D7276" s="19" t="n">
        <v>2028</v>
      </c>
      <c r="E7276" s="57" t="n">
        <v>7</v>
      </c>
      <c r="F7276" s="29">
        <f>ROUND(((SUMIFS(Calendar!$F$2:$F$9997,Calendar!$B$2:$B$9997,D7276,Calendar!$C$2:$C$9997,C7276)*INDEX(ForeCalc!$B$37:$Y$274,MATCH(_xlfn.CONCAT(H7276," ",I7276),ForeCalc!$A$37:$A$274,0),MATCH(_xlfn.CONCAT(B7276," ",E7276),ForeCalc!$B$36:$Y$36,0))))*VLOOKUP(A7276,Calendar!$A$2:$H$9997,8,FALSE),0)</f>
        <v/>
      </c>
      <c r="G7276" s="29">
        <f>VLOOKUP(A7276,Calendar!$A$1:$H$9997,6,FALSE)-F7276</f>
        <v/>
      </c>
      <c r="H7276" s="19" t="n">
        <v>2</v>
      </c>
      <c r="I7276" s="57" t="n">
        <v>11</v>
      </c>
    </row>
    <row r="7277">
      <c r="A7277" s="62" t="n">
        <v>46812</v>
      </c>
      <c r="B7277" s="3" t="inlineStr">
        <is>
          <t>Week</t>
        </is>
      </c>
      <c r="C7277" s="19" t="n">
        <v>2</v>
      </c>
      <c r="D7277" s="19" t="n">
        <v>2028</v>
      </c>
      <c r="E7277" s="57" t="n">
        <v>7</v>
      </c>
      <c r="F7277" s="29">
        <f>ROUND(((SUMIFS(Calendar!$F$2:$F$9997,Calendar!$B$2:$B$9997,D7277,Calendar!$C$2:$C$9997,C7277)*INDEX(ForeCalc!$B$37:$Y$274,MATCH(_xlfn.CONCAT(H7277," ",I7277),ForeCalc!$A$37:$A$274,0),MATCH(_xlfn.CONCAT(B7277," ",E7277),ForeCalc!$B$36:$Y$36,0))))*VLOOKUP(A7277,Calendar!$A$2:$H$9997,8,FALSE),0)</f>
        <v/>
      </c>
      <c r="G7277" s="29">
        <f>VLOOKUP(A7277,Calendar!$A$1:$H$9997,6,FALSE)-F7277</f>
        <v/>
      </c>
      <c r="H7277" s="19" t="n">
        <v>2</v>
      </c>
      <c r="I7277" s="57" t="n">
        <v>11</v>
      </c>
    </row>
    <row r="7278">
      <c r="A7278" s="62" t="n">
        <v>46813</v>
      </c>
      <c r="B7278" s="3" t="inlineStr">
        <is>
          <t>Week</t>
        </is>
      </c>
      <c r="C7278" s="19" t="n">
        <v>3</v>
      </c>
      <c r="D7278" s="19" t="n">
        <v>2028</v>
      </c>
      <c r="E7278" s="57" t="n">
        <v>7</v>
      </c>
      <c r="F7278" s="29">
        <f>ROUND(((SUMIFS(Calendar!$F$2:$F$9997,Calendar!$B$2:$B$9997,D7278,Calendar!$C$2:$C$9997,C7278)*INDEX(ForeCalc!$B$37:$Y$274,MATCH(_xlfn.CONCAT(H7278," ",I7278),ForeCalc!$A$37:$A$274,0),MATCH(_xlfn.CONCAT(B7278," ",E7278),ForeCalc!$B$36:$Y$36,0))))*VLOOKUP(A7278,Calendar!$A$2:$H$9997,8,FALSE),0)</f>
        <v/>
      </c>
      <c r="G7278" s="29">
        <f>VLOOKUP(A7278,Calendar!$A$1:$H$9997,6,FALSE)-F7278</f>
        <v/>
      </c>
      <c r="H7278" s="19" t="n">
        <v>2</v>
      </c>
      <c r="I7278" s="57" t="n">
        <v>12</v>
      </c>
    </row>
    <row r="7279">
      <c r="A7279" s="62" t="n">
        <v>46814</v>
      </c>
      <c r="B7279" s="3" t="inlineStr">
        <is>
          <t>Week</t>
        </is>
      </c>
      <c r="C7279" s="19" t="n">
        <v>3</v>
      </c>
      <c r="D7279" s="19" t="n">
        <v>2028</v>
      </c>
      <c r="E7279" s="57" t="n">
        <v>7</v>
      </c>
      <c r="F7279" s="29">
        <f>ROUND(((SUMIFS(Calendar!$F$2:$F$9997,Calendar!$B$2:$B$9997,D7279,Calendar!$C$2:$C$9997,C7279)*INDEX(ForeCalc!$B$37:$Y$274,MATCH(_xlfn.CONCAT(H7279," ",I7279),ForeCalc!$A$37:$A$274,0),MATCH(_xlfn.CONCAT(B7279," ",E7279),ForeCalc!$B$36:$Y$36,0))))*VLOOKUP(A7279,Calendar!$A$2:$H$9997,8,FALSE),0)</f>
        <v/>
      </c>
      <c r="G7279" s="29">
        <f>VLOOKUP(A7279,Calendar!$A$1:$H$9997,6,FALSE)-F7279</f>
        <v/>
      </c>
      <c r="H7279" s="19" t="n">
        <v>2</v>
      </c>
      <c r="I7279" s="57" t="n">
        <v>12</v>
      </c>
    </row>
    <row r="7280">
      <c r="A7280" s="62" t="n">
        <v>46815</v>
      </c>
      <c r="B7280" s="3" t="inlineStr">
        <is>
          <t>Week</t>
        </is>
      </c>
      <c r="C7280" s="19" t="n">
        <v>3</v>
      </c>
      <c r="D7280" s="19" t="n">
        <v>2028</v>
      </c>
      <c r="E7280" s="57" t="n">
        <v>7</v>
      </c>
      <c r="F7280" s="29">
        <f>ROUND(((SUMIFS(Calendar!$F$2:$F$9997,Calendar!$B$2:$B$9997,D7280,Calendar!$C$2:$C$9997,C7280)*INDEX(ForeCalc!$B$37:$Y$274,MATCH(_xlfn.CONCAT(H7280," ",I7280),ForeCalc!$A$37:$A$274,0),MATCH(_xlfn.CONCAT(B7280," ",E7280),ForeCalc!$B$36:$Y$36,0))))*VLOOKUP(A7280,Calendar!$A$2:$H$9997,8,FALSE),0)</f>
        <v/>
      </c>
      <c r="G7280" s="29">
        <f>VLOOKUP(A7280,Calendar!$A$1:$H$9997,6,FALSE)-F7280</f>
        <v/>
      </c>
      <c r="H7280" s="19" t="n">
        <v>2</v>
      </c>
      <c r="I7280" s="57" t="n">
        <v>12</v>
      </c>
    </row>
    <row r="7281">
      <c r="A7281" s="62" t="n">
        <v>46816</v>
      </c>
      <c r="B7281" s="3" t="inlineStr">
        <is>
          <t>Sat</t>
        </is>
      </c>
      <c r="C7281" s="19" t="n">
        <v>3</v>
      </c>
      <c r="D7281" s="19" t="n">
        <v>2028</v>
      </c>
      <c r="E7281" s="57" t="n">
        <v>7</v>
      </c>
      <c r="F7281" s="29">
        <f>ROUND(((SUMIFS(Calendar!$F$2:$F$9997,Calendar!$B$2:$B$9997,D7281,Calendar!$C$2:$C$9997,C7281)*INDEX(ForeCalc!$B$37:$Y$274,MATCH(_xlfn.CONCAT(H7281," ",I7281),ForeCalc!$A$37:$A$274,0),MATCH(_xlfn.CONCAT(B7281," ",E7281),ForeCalc!$B$36:$Y$36,0))))*VLOOKUP(A7281,Calendar!$A$2:$H$9997,8,FALSE),0)</f>
        <v/>
      </c>
      <c r="G7281" s="29">
        <f>VLOOKUP(A7281,Calendar!$A$1:$H$9997,6,FALSE)-F7281</f>
        <v/>
      </c>
      <c r="H7281" s="19" t="n">
        <v>2</v>
      </c>
      <c r="I7281" s="57" t="n">
        <v>12</v>
      </c>
    </row>
    <row r="7282">
      <c r="A7282" s="62" t="n">
        <v>46817</v>
      </c>
      <c r="B7282" s="3" t="inlineStr">
        <is>
          <t>Sun</t>
        </is>
      </c>
      <c r="C7282" s="19" t="n">
        <v>3</v>
      </c>
      <c r="D7282" s="19" t="n">
        <v>2028</v>
      </c>
      <c r="E7282" s="57" t="n">
        <v>7</v>
      </c>
      <c r="F7282" s="29">
        <f>ROUND(((SUMIFS(Calendar!$F$2:$F$9997,Calendar!$B$2:$B$9997,D7282,Calendar!$C$2:$C$9997,C7282)*INDEX(ForeCalc!$B$37:$Y$274,MATCH(_xlfn.CONCAT(H7282," ",I7282),ForeCalc!$A$37:$A$274,0),MATCH(_xlfn.CONCAT(B7282," ",E7282),ForeCalc!$B$36:$Y$36,0))))*VLOOKUP(A7282,Calendar!$A$2:$H$9997,8,FALSE),0)</f>
        <v/>
      </c>
      <c r="G7282" s="29">
        <f>VLOOKUP(A7282,Calendar!$A$1:$H$9997,6,FALSE)-F7282</f>
        <v/>
      </c>
      <c r="H7282" s="19" t="n">
        <v>2</v>
      </c>
      <c r="I7282" s="57" t="n">
        <v>12</v>
      </c>
    </row>
    <row r="7283">
      <c r="A7283" s="62" t="n">
        <v>46818</v>
      </c>
      <c r="B7283" s="3" t="inlineStr">
        <is>
          <t>Week</t>
        </is>
      </c>
      <c r="C7283" s="19" t="n">
        <v>3</v>
      </c>
      <c r="D7283" s="19" t="n">
        <v>2028</v>
      </c>
      <c r="E7283" s="57" t="n">
        <v>7</v>
      </c>
      <c r="F7283" s="29">
        <f>ROUND(((SUMIFS(Calendar!$F$2:$F$9997,Calendar!$B$2:$B$9997,D7283,Calendar!$C$2:$C$9997,C7283)*INDEX(ForeCalc!$B$37:$Y$274,MATCH(_xlfn.CONCAT(H7283," ",I7283),ForeCalc!$A$37:$A$274,0),MATCH(_xlfn.CONCAT(B7283," ",E7283),ForeCalc!$B$36:$Y$36,0))))*VLOOKUP(A7283,Calendar!$A$2:$H$9997,8,FALSE),0)</f>
        <v/>
      </c>
      <c r="G7283" s="29">
        <f>VLOOKUP(A7283,Calendar!$A$1:$H$9997,6,FALSE)-F7283</f>
        <v/>
      </c>
      <c r="H7283" s="19" t="n">
        <v>2</v>
      </c>
      <c r="I7283" s="57" t="n">
        <v>12</v>
      </c>
    </row>
    <row r="7284">
      <c r="A7284" s="62" t="n">
        <v>46819</v>
      </c>
      <c r="B7284" s="3" t="inlineStr">
        <is>
          <t>Week</t>
        </is>
      </c>
      <c r="C7284" s="19" t="n">
        <v>3</v>
      </c>
      <c r="D7284" s="19" t="n">
        <v>2028</v>
      </c>
      <c r="E7284" s="57" t="n">
        <v>7</v>
      </c>
      <c r="F7284" s="29">
        <f>ROUND(((SUMIFS(Calendar!$F$2:$F$9997,Calendar!$B$2:$B$9997,D7284,Calendar!$C$2:$C$9997,C7284)*INDEX(ForeCalc!$B$37:$Y$274,MATCH(_xlfn.CONCAT(H7284," ",I7284),ForeCalc!$A$37:$A$274,0),MATCH(_xlfn.CONCAT(B7284," ",E7284),ForeCalc!$B$36:$Y$36,0))))*VLOOKUP(A7284,Calendar!$A$2:$H$9997,8,FALSE),0)</f>
        <v/>
      </c>
      <c r="G7284" s="29">
        <f>VLOOKUP(A7284,Calendar!$A$1:$H$9997,6,FALSE)-F7284</f>
        <v/>
      </c>
      <c r="H7284" s="19" t="n">
        <v>2</v>
      </c>
      <c r="I7284" s="57" t="n">
        <v>12</v>
      </c>
    </row>
    <row r="7285">
      <c r="A7285" s="62" t="n">
        <v>46820</v>
      </c>
      <c r="B7285" s="3" t="inlineStr">
        <is>
          <t>Week</t>
        </is>
      </c>
      <c r="C7285" s="19" t="n">
        <v>3</v>
      </c>
      <c r="D7285" s="19" t="n">
        <v>2028</v>
      </c>
      <c r="E7285" s="57" t="n">
        <v>7</v>
      </c>
      <c r="F7285" s="29">
        <f>ROUND(((SUMIFS(Calendar!$F$2:$F$9997,Calendar!$B$2:$B$9997,D7285,Calendar!$C$2:$C$9997,C7285)*INDEX(ForeCalc!$B$37:$Y$274,MATCH(_xlfn.CONCAT(H7285," ",I7285),ForeCalc!$A$37:$A$274,0),MATCH(_xlfn.CONCAT(B7285," ",E7285),ForeCalc!$B$36:$Y$36,0))))*VLOOKUP(A7285,Calendar!$A$2:$H$9997,8,FALSE),0)</f>
        <v/>
      </c>
      <c r="G7285" s="29">
        <f>VLOOKUP(A7285,Calendar!$A$1:$H$9997,6,FALSE)-F7285</f>
        <v/>
      </c>
      <c r="H7285" s="19" t="n">
        <v>2</v>
      </c>
      <c r="I7285" s="57" t="n">
        <v>12</v>
      </c>
    </row>
    <row r="7286">
      <c r="A7286" s="62" t="n">
        <v>46821</v>
      </c>
      <c r="B7286" s="3" t="inlineStr">
        <is>
          <t>Week</t>
        </is>
      </c>
      <c r="C7286" s="19" t="n">
        <v>3</v>
      </c>
      <c r="D7286" s="19" t="n">
        <v>2028</v>
      </c>
      <c r="E7286" s="57" t="n">
        <v>7</v>
      </c>
      <c r="F7286" s="29">
        <f>ROUND(((SUMIFS(Calendar!$F$2:$F$9997,Calendar!$B$2:$B$9997,D7286,Calendar!$C$2:$C$9997,C7286)*INDEX(ForeCalc!$B$37:$Y$274,MATCH(_xlfn.CONCAT(H7286," ",I7286),ForeCalc!$A$37:$A$274,0),MATCH(_xlfn.CONCAT(B7286," ",E7286),ForeCalc!$B$36:$Y$36,0))))*VLOOKUP(A7286,Calendar!$A$2:$H$9997,8,FALSE),0)</f>
        <v/>
      </c>
      <c r="G7286" s="29">
        <f>VLOOKUP(A7286,Calendar!$A$1:$H$9997,6,FALSE)-F7286</f>
        <v/>
      </c>
      <c r="H7286" s="19" t="n">
        <v>2</v>
      </c>
      <c r="I7286" s="57" t="n">
        <v>12</v>
      </c>
    </row>
    <row r="7287">
      <c r="A7287" s="62" t="n">
        <v>46822</v>
      </c>
      <c r="B7287" s="3" t="inlineStr">
        <is>
          <t>Week</t>
        </is>
      </c>
      <c r="C7287" s="19" t="n">
        <v>3</v>
      </c>
      <c r="D7287" s="19" t="n">
        <v>2028</v>
      </c>
      <c r="E7287" s="57" t="n">
        <v>7</v>
      </c>
      <c r="F7287" s="29">
        <f>ROUND(((SUMIFS(Calendar!$F$2:$F$9997,Calendar!$B$2:$B$9997,D7287,Calendar!$C$2:$C$9997,C7287)*INDEX(ForeCalc!$B$37:$Y$274,MATCH(_xlfn.CONCAT(H7287," ",I7287),ForeCalc!$A$37:$A$274,0),MATCH(_xlfn.CONCAT(B7287," ",E7287),ForeCalc!$B$36:$Y$36,0))))*VLOOKUP(A7287,Calendar!$A$2:$H$9997,8,FALSE),0)</f>
        <v/>
      </c>
      <c r="G7287" s="29">
        <f>VLOOKUP(A7287,Calendar!$A$1:$H$9997,6,FALSE)-F7287</f>
        <v/>
      </c>
      <c r="H7287" s="19" t="n">
        <v>2</v>
      </c>
      <c r="I7287" s="57" t="n">
        <v>12</v>
      </c>
    </row>
    <row r="7288">
      <c r="A7288" s="62" t="n">
        <v>46823</v>
      </c>
      <c r="B7288" s="3" t="inlineStr">
        <is>
          <t>Sat</t>
        </is>
      </c>
      <c r="C7288" s="19" t="n">
        <v>3</v>
      </c>
      <c r="D7288" s="19" t="n">
        <v>2028</v>
      </c>
      <c r="E7288" s="57" t="n">
        <v>7</v>
      </c>
      <c r="F7288" s="29">
        <f>ROUND(((SUMIFS(Calendar!$F$2:$F$9997,Calendar!$B$2:$B$9997,D7288,Calendar!$C$2:$C$9997,C7288)*INDEX(ForeCalc!$B$37:$Y$274,MATCH(_xlfn.CONCAT(H7288," ",I7288),ForeCalc!$A$37:$A$274,0),MATCH(_xlfn.CONCAT(B7288," ",E7288),ForeCalc!$B$36:$Y$36,0))))*VLOOKUP(A7288,Calendar!$A$2:$H$9997,8,FALSE),0)</f>
        <v/>
      </c>
      <c r="G7288" s="29">
        <f>VLOOKUP(A7288,Calendar!$A$1:$H$9997,6,FALSE)-F7288</f>
        <v/>
      </c>
      <c r="H7288" s="19" t="n">
        <v>2</v>
      </c>
      <c r="I7288" s="57" t="n">
        <v>12</v>
      </c>
    </row>
    <row r="7289">
      <c r="A7289" s="62" t="n">
        <v>46824</v>
      </c>
      <c r="B7289" s="3" t="inlineStr">
        <is>
          <t>Sun</t>
        </is>
      </c>
      <c r="C7289" s="19" t="n">
        <v>3</v>
      </c>
      <c r="D7289" s="19" t="n">
        <v>2028</v>
      </c>
      <c r="E7289" s="57" t="n">
        <v>7</v>
      </c>
      <c r="F7289" s="29">
        <f>ROUND(((SUMIFS(Calendar!$F$2:$F$9997,Calendar!$B$2:$B$9997,D7289,Calendar!$C$2:$C$9997,C7289)*INDEX(ForeCalc!$B$37:$Y$274,MATCH(_xlfn.CONCAT(H7289," ",I7289),ForeCalc!$A$37:$A$274,0),MATCH(_xlfn.CONCAT(B7289," ",E7289),ForeCalc!$B$36:$Y$36,0))))*VLOOKUP(A7289,Calendar!$A$2:$H$9997,8,FALSE),0)</f>
        <v/>
      </c>
      <c r="G7289" s="29">
        <f>VLOOKUP(A7289,Calendar!$A$1:$H$9997,6,FALSE)-F7289</f>
        <v/>
      </c>
      <c r="H7289" s="19" t="n">
        <v>2</v>
      </c>
      <c r="I7289" s="57" t="n">
        <v>12</v>
      </c>
    </row>
    <row r="7290">
      <c r="A7290" s="62" t="n">
        <v>46825</v>
      </c>
      <c r="B7290" s="3" t="inlineStr">
        <is>
          <t>Week</t>
        </is>
      </c>
      <c r="C7290" s="19" t="n">
        <v>3</v>
      </c>
      <c r="D7290" s="19" t="n">
        <v>2028</v>
      </c>
      <c r="E7290" s="57" t="n">
        <v>7</v>
      </c>
      <c r="F7290" s="29">
        <f>ROUND(((SUMIFS(Calendar!$F$2:$F$9997,Calendar!$B$2:$B$9997,D7290,Calendar!$C$2:$C$9997,C7290)*INDEX(ForeCalc!$B$37:$Y$274,MATCH(_xlfn.CONCAT(H7290," ",I7290),ForeCalc!$A$37:$A$274,0),MATCH(_xlfn.CONCAT(B7290," ",E7290),ForeCalc!$B$36:$Y$36,0))))*VLOOKUP(A7290,Calendar!$A$2:$H$9997,8,FALSE),0)</f>
        <v/>
      </c>
      <c r="G7290" s="29">
        <f>VLOOKUP(A7290,Calendar!$A$1:$H$9997,6,FALSE)-F7290</f>
        <v/>
      </c>
      <c r="H7290" s="19" t="n">
        <v>2</v>
      </c>
      <c r="I7290" s="57" t="n">
        <v>12</v>
      </c>
    </row>
    <row r="7291">
      <c r="A7291" s="62" t="n">
        <v>46826</v>
      </c>
      <c r="B7291" s="3" t="inlineStr">
        <is>
          <t>Week</t>
        </is>
      </c>
      <c r="C7291" s="19" t="n">
        <v>3</v>
      </c>
      <c r="D7291" s="19" t="n">
        <v>2028</v>
      </c>
      <c r="E7291" s="57" t="n">
        <v>7</v>
      </c>
      <c r="F7291" s="29">
        <f>ROUND(((SUMIFS(Calendar!$F$2:$F$9997,Calendar!$B$2:$B$9997,D7291,Calendar!$C$2:$C$9997,C7291)*INDEX(ForeCalc!$B$37:$Y$274,MATCH(_xlfn.CONCAT(H7291," ",I7291),ForeCalc!$A$37:$A$274,0),MATCH(_xlfn.CONCAT(B7291," ",E7291),ForeCalc!$B$36:$Y$36,0))))*VLOOKUP(A7291,Calendar!$A$2:$H$9997,8,FALSE),0)</f>
        <v/>
      </c>
      <c r="G7291" s="29">
        <f>VLOOKUP(A7291,Calendar!$A$1:$H$9997,6,FALSE)-F7291</f>
        <v/>
      </c>
      <c r="H7291" s="19" t="n">
        <v>2</v>
      </c>
      <c r="I7291" s="57" t="n">
        <v>12</v>
      </c>
    </row>
    <row r="7292">
      <c r="A7292" s="62" t="n">
        <v>46827</v>
      </c>
      <c r="B7292" s="3" t="inlineStr">
        <is>
          <t>Week</t>
        </is>
      </c>
      <c r="C7292" s="19" t="n">
        <v>3</v>
      </c>
      <c r="D7292" s="19" t="n">
        <v>2028</v>
      </c>
      <c r="E7292" s="57" t="n">
        <v>7</v>
      </c>
      <c r="F7292" s="29">
        <f>ROUND(((SUMIFS(Calendar!$F$2:$F$9997,Calendar!$B$2:$B$9997,D7292,Calendar!$C$2:$C$9997,C7292)*INDEX(ForeCalc!$B$37:$Y$274,MATCH(_xlfn.CONCAT(H7292," ",I7292),ForeCalc!$A$37:$A$274,0),MATCH(_xlfn.CONCAT(B7292," ",E7292),ForeCalc!$B$36:$Y$36,0))))*VLOOKUP(A7292,Calendar!$A$2:$H$9997,8,FALSE),0)</f>
        <v/>
      </c>
      <c r="G7292" s="29">
        <f>VLOOKUP(A7292,Calendar!$A$1:$H$9997,6,FALSE)-F7292</f>
        <v/>
      </c>
      <c r="H7292" s="19" t="n">
        <v>2</v>
      </c>
      <c r="I7292" s="57" t="n">
        <v>12</v>
      </c>
    </row>
    <row r="7293">
      <c r="A7293" s="62" t="n">
        <v>46828</v>
      </c>
      <c r="B7293" s="3" t="inlineStr">
        <is>
          <t>Week</t>
        </is>
      </c>
      <c r="C7293" s="19" t="n">
        <v>3</v>
      </c>
      <c r="D7293" s="19" t="n">
        <v>2028</v>
      </c>
      <c r="E7293" s="57" t="n">
        <v>7</v>
      </c>
      <c r="F7293" s="29">
        <f>ROUND(((SUMIFS(Calendar!$F$2:$F$9997,Calendar!$B$2:$B$9997,D7293,Calendar!$C$2:$C$9997,C7293)*INDEX(ForeCalc!$B$37:$Y$274,MATCH(_xlfn.CONCAT(H7293," ",I7293),ForeCalc!$A$37:$A$274,0),MATCH(_xlfn.CONCAT(B7293," ",E7293),ForeCalc!$B$36:$Y$36,0))))*VLOOKUP(A7293,Calendar!$A$2:$H$9997,8,FALSE),0)</f>
        <v/>
      </c>
      <c r="G7293" s="29">
        <f>VLOOKUP(A7293,Calendar!$A$1:$H$9997,6,FALSE)-F7293</f>
        <v/>
      </c>
      <c r="H7293" s="19" t="n">
        <v>2</v>
      </c>
      <c r="I7293" s="57" t="n">
        <v>12</v>
      </c>
    </row>
    <row r="7294">
      <c r="A7294" s="62" t="n">
        <v>46829</v>
      </c>
      <c r="B7294" s="3" t="inlineStr">
        <is>
          <t>Week</t>
        </is>
      </c>
      <c r="C7294" s="19" t="n">
        <v>3</v>
      </c>
      <c r="D7294" s="19" t="n">
        <v>2028</v>
      </c>
      <c r="E7294" s="57" t="n">
        <v>7</v>
      </c>
      <c r="F7294" s="29">
        <f>ROUND(((SUMIFS(Calendar!$F$2:$F$9997,Calendar!$B$2:$B$9997,D7294,Calendar!$C$2:$C$9997,C7294)*INDEX(ForeCalc!$B$37:$Y$274,MATCH(_xlfn.CONCAT(H7294," ",I7294),ForeCalc!$A$37:$A$274,0),MATCH(_xlfn.CONCAT(B7294," ",E7294),ForeCalc!$B$36:$Y$36,0))))*VLOOKUP(A7294,Calendar!$A$2:$H$9997,8,FALSE),0)</f>
        <v/>
      </c>
      <c r="G7294" s="29">
        <f>VLOOKUP(A7294,Calendar!$A$1:$H$9997,6,FALSE)-F7294</f>
        <v/>
      </c>
      <c r="H7294" s="19" t="n">
        <v>2</v>
      </c>
      <c r="I7294" s="57" t="n">
        <v>12</v>
      </c>
    </row>
    <row r="7295">
      <c r="A7295" s="62" t="n">
        <v>46830</v>
      </c>
      <c r="B7295" s="3" t="inlineStr">
        <is>
          <t>Sat</t>
        </is>
      </c>
      <c r="C7295" s="19" t="n">
        <v>3</v>
      </c>
      <c r="D7295" s="19" t="n">
        <v>2028</v>
      </c>
      <c r="E7295" s="57" t="n">
        <v>7</v>
      </c>
      <c r="F7295" s="29">
        <f>ROUND(((SUMIFS(Calendar!$F$2:$F$9997,Calendar!$B$2:$B$9997,D7295,Calendar!$C$2:$C$9997,C7295)*INDEX(ForeCalc!$B$37:$Y$274,MATCH(_xlfn.CONCAT(H7295," ",I7295),ForeCalc!$A$37:$A$274,0),MATCH(_xlfn.CONCAT(B7295," ",E7295),ForeCalc!$B$36:$Y$36,0))))*VLOOKUP(A7295,Calendar!$A$2:$H$9997,8,FALSE),0)</f>
        <v/>
      </c>
      <c r="G7295" s="29">
        <f>VLOOKUP(A7295,Calendar!$A$1:$H$9997,6,FALSE)-F7295</f>
        <v/>
      </c>
      <c r="H7295" s="19" t="n">
        <v>2</v>
      </c>
      <c r="I7295" s="57" t="n">
        <v>12</v>
      </c>
    </row>
    <row r="7296">
      <c r="A7296" s="62" t="n">
        <v>46831</v>
      </c>
      <c r="B7296" s="3" t="inlineStr">
        <is>
          <t>Sun</t>
        </is>
      </c>
      <c r="C7296" s="19" t="n">
        <v>3</v>
      </c>
      <c r="D7296" s="19" t="n">
        <v>2028</v>
      </c>
      <c r="E7296" s="57" t="n">
        <v>7</v>
      </c>
      <c r="F7296" s="29">
        <f>ROUND(((SUMIFS(Calendar!$F$2:$F$9997,Calendar!$B$2:$B$9997,D7296,Calendar!$C$2:$C$9997,C7296)*INDEX(ForeCalc!$B$37:$Y$274,MATCH(_xlfn.CONCAT(H7296," ",I7296),ForeCalc!$A$37:$A$274,0),MATCH(_xlfn.CONCAT(B7296," ",E7296),ForeCalc!$B$36:$Y$36,0))))*VLOOKUP(A7296,Calendar!$A$2:$H$9997,8,FALSE),0)</f>
        <v/>
      </c>
      <c r="G7296" s="29">
        <f>VLOOKUP(A7296,Calendar!$A$1:$H$9997,6,FALSE)-F7296</f>
        <v/>
      </c>
      <c r="H7296" s="19" t="n">
        <v>2</v>
      </c>
      <c r="I7296" s="57" t="n">
        <v>12</v>
      </c>
    </row>
    <row r="7297">
      <c r="A7297" s="62" t="n">
        <v>46832</v>
      </c>
      <c r="B7297" s="3" t="inlineStr">
        <is>
          <t>Week</t>
        </is>
      </c>
      <c r="C7297" s="19" t="n">
        <v>3</v>
      </c>
      <c r="D7297" s="19" t="n">
        <v>2028</v>
      </c>
      <c r="E7297" s="57" t="n">
        <v>7</v>
      </c>
      <c r="F7297" s="29">
        <f>ROUND(((SUMIFS(Calendar!$F$2:$F$9997,Calendar!$B$2:$B$9997,D7297,Calendar!$C$2:$C$9997,C7297)*INDEX(ForeCalc!$B$37:$Y$274,MATCH(_xlfn.CONCAT(H7297," ",I7297),ForeCalc!$A$37:$A$274,0),MATCH(_xlfn.CONCAT(B7297," ",E7297),ForeCalc!$B$36:$Y$36,0))))*VLOOKUP(A7297,Calendar!$A$2:$H$9997,8,FALSE),0)</f>
        <v/>
      </c>
      <c r="G7297" s="29">
        <f>VLOOKUP(A7297,Calendar!$A$1:$H$9997,6,FALSE)-F7297</f>
        <v/>
      </c>
      <c r="H7297" s="19" t="n">
        <v>2</v>
      </c>
      <c r="I7297" s="57" t="n">
        <v>12</v>
      </c>
    </row>
    <row r="7298">
      <c r="A7298" s="62" t="n">
        <v>46833</v>
      </c>
      <c r="B7298" s="3" t="inlineStr">
        <is>
          <t>Week</t>
        </is>
      </c>
      <c r="C7298" s="19" t="n">
        <v>3</v>
      </c>
      <c r="D7298" s="19" t="n">
        <v>2028</v>
      </c>
      <c r="E7298" s="57" t="n">
        <v>7</v>
      </c>
      <c r="F7298" s="29">
        <f>ROUND(((SUMIFS(Calendar!$F$2:$F$9997,Calendar!$B$2:$B$9997,D7298,Calendar!$C$2:$C$9997,C7298)*INDEX(ForeCalc!$B$37:$Y$274,MATCH(_xlfn.CONCAT(H7298," ",I7298),ForeCalc!$A$37:$A$274,0),MATCH(_xlfn.CONCAT(B7298," ",E7298),ForeCalc!$B$36:$Y$36,0))))*VLOOKUP(A7298,Calendar!$A$2:$H$9997,8,FALSE),0)</f>
        <v/>
      </c>
      <c r="G7298" s="29">
        <f>VLOOKUP(A7298,Calendar!$A$1:$H$9997,6,FALSE)-F7298</f>
        <v/>
      </c>
      <c r="H7298" s="19" t="n">
        <v>2</v>
      </c>
      <c r="I7298" s="57" t="n">
        <v>12</v>
      </c>
    </row>
    <row r="7299">
      <c r="A7299" s="62" t="n">
        <v>46834</v>
      </c>
      <c r="B7299" s="3" t="inlineStr">
        <is>
          <t>Week</t>
        </is>
      </c>
      <c r="C7299" s="19" t="n">
        <v>3</v>
      </c>
      <c r="D7299" s="19" t="n">
        <v>2028</v>
      </c>
      <c r="E7299" s="57" t="n">
        <v>7</v>
      </c>
      <c r="F7299" s="29">
        <f>ROUND(((SUMIFS(Calendar!$F$2:$F$9997,Calendar!$B$2:$B$9997,D7299,Calendar!$C$2:$C$9997,C7299)*INDEX(ForeCalc!$B$37:$Y$274,MATCH(_xlfn.CONCAT(H7299," ",I7299),ForeCalc!$A$37:$A$274,0),MATCH(_xlfn.CONCAT(B7299," ",E7299),ForeCalc!$B$36:$Y$36,0))))*VLOOKUP(A7299,Calendar!$A$2:$H$9997,8,FALSE),0)</f>
        <v/>
      </c>
      <c r="G7299" s="29">
        <f>VLOOKUP(A7299,Calendar!$A$1:$H$9997,6,FALSE)-F7299</f>
        <v/>
      </c>
      <c r="H7299" s="19" t="n">
        <v>2</v>
      </c>
      <c r="I7299" s="57" t="n">
        <v>12</v>
      </c>
    </row>
    <row r="7300">
      <c r="A7300" s="62" t="n">
        <v>46835</v>
      </c>
      <c r="B7300" s="3" t="inlineStr">
        <is>
          <t>Week</t>
        </is>
      </c>
      <c r="C7300" s="19" t="n">
        <v>3</v>
      </c>
      <c r="D7300" s="19" t="n">
        <v>2028</v>
      </c>
      <c r="E7300" s="57" t="n">
        <v>7</v>
      </c>
      <c r="F7300" s="29">
        <f>ROUND(((SUMIFS(Calendar!$F$2:$F$9997,Calendar!$B$2:$B$9997,D7300,Calendar!$C$2:$C$9997,C7300)*INDEX(ForeCalc!$B$37:$Y$274,MATCH(_xlfn.CONCAT(H7300," ",I7300),ForeCalc!$A$37:$A$274,0),MATCH(_xlfn.CONCAT(B7300," ",E7300),ForeCalc!$B$36:$Y$36,0))))*VLOOKUP(A7300,Calendar!$A$2:$H$9997,8,FALSE),0)</f>
        <v/>
      </c>
      <c r="G7300" s="29">
        <f>VLOOKUP(A7300,Calendar!$A$1:$H$9997,6,FALSE)-F7300</f>
        <v/>
      </c>
      <c r="H7300" s="19" t="n">
        <v>2</v>
      </c>
      <c r="I7300" s="57" t="n">
        <v>12</v>
      </c>
    </row>
    <row r="7301">
      <c r="A7301" s="62" t="n">
        <v>46836</v>
      </c>
      <c r="B7301" s="3" t="inlineStr">
        <is>
          <t>Week</t>
        </is>
      </c>
      <c r="C7301" s="19" t="n">
        <v>3</v>
      </c>
      <c r="D7301" s="19" t="n">
        <v>2028</v>
      </c>
      <c r="E7301" s="57" t="n">
        <v>7</v>
      </c>
      <c r="F7301" s="29">
        <f>ROUND(((SUMIFS(Calendar!$F$2:$F$9997,Calendar!$B$2:$B$9997,D7301,Calendar!$C$2:$C$9997,C7301)*INDEX(ForeCalc!$B$37:$Y$274,MATCH(_xlfn.CONCAT(H7301," ",I7301),ForeCalc!$A$37:$A$274,0),MATCH(_xlfn.CONCAT(B7301," ",E7301),ForeCalc!$B$36:$Y$36,0))))*VLOOKUP(A7301,Calendar!$A$2:$H$9997,8,FALSE),0)</f>
        <v/>
      </c>
      <c r="G7301" s="29">
        <f>VLOOKUP(A7301,Calendar!$A$1:$H$9997,6,FALSE)-F7301</f>
        <v/>
      </c>
      <c r="H7301" s="19" t="n">
        <v>2</v>
      </c>
      <c r="I7301" s="57" t="n">
        <v>12</v>
      </c>
    </row>
    <row r="7302">
      <c r="A7302" s="62" t="n">
        <v>46837</v>
      </c>
      <c r="B7302" s="3" t="inlineStr">
        <is>
          <t>Sat</t>
        </is>
      </c>
      <c r="C7302" s="19" t="n">
        <v>3</v>
      </c>
      <c r="D7302" s="19" t="n">
        <v>2028</v>
      </c>
      <c r="E7302" s="57" t="n">
        <v>7</v>
      </c>
      <c r="F7302" s="29">
        <f>ROUND(((SUMIFS(Calendar!$F$2:$F$9997,Calendar!$B$2:$B$9997,D7302,Calendar!$C$2:$C$9997,C7302)*INDEX(ForeCalc!$B$37:$Y$274,MATCH(_xlfn.CONCAT(H7302," ",I7302),ForeCalc!$A$37:$A$274,0),MATCH(_xlfn.CONCAT(B7302," ",E7302),ForeCalc!$B$36:$Y$36,0))))*VLOOKUP(A7302,Calendar!$A$2:$H$9997,8,FALSE),0)</f>
        <v/>
      </c>
      <c r="G7302" s="29">
        <f>VLOOKUP(A7302,Calendar!$A$1:$H$9997,6,FALSE)-F7302</f>
        <v/>
      </c>
      <c r="H7302" s="19" t="n">
        <v>2</v>
      </c>
      <c r="I7302" s="57" t="n">
        <v>12</v>
      </c>
    </row>
    <row r="7303">
      <c r="A7303" s="62" t="n">
        <v>46838</v>
      </c>
      <c r="B7303" s="3" t="inlineStr">
        <is>
          <t>Sun</t>
        </is>
      </c>
      <c r="C7303" s="19" t="n">
        <v>3</v>
      </c>
      <c r="D7303" s="19" t="n">
        <v>2028</v>
      </c>
      <c r="E7303" s="57" t="n">
        <v>7</v>
      </c>
      <c r="F7303" s="29">
        <f>ROUND(((SUMIFS(Calendar!$F$2:$F$9997,Calendar!$B$2:$B$9997,D7303,Calendar!$C$2:$C$9997,C7303)*INDEX(ForeCalc!$B$37:$Y$274,MATCH(_xlfn.CONCAT(H7303," ",I7303),ForeCalc!$A$37:$A$274,0),MATCH(_xlfn.CONCAT(B7303," ",E7303),ForeCalc!$B$36:$Y$36,0))))*VLOOKUP(A7303,Calendar!$A$2:$H$9997,8,FALSE),0)</f>
        <v/>
      </c>
      <c r="G7303" s="29">
        <f>VLOOKUP(A7303,Calendar!$A$1:$H$9997,6,FALSE)-F7303</f>
        <v/>
      </c>
      <c r="H7303" s="19" t="n">
        <v>2</v>
      </c>
      <c r="I7303" s="57" t="n">
        <v>12</v>
      </c>
    </row>
    <row r="7304">
      <c r="A7304" s="62" t="n">
        <v>46839</v>
      </c>
      <c r="B7304" s="3" t="inlineStr">
        <is>
          <t>Week</t>
        </is>
      </c>
      <c r="C7304" s="19" t="n">
        <v>3</v>
      </c>
      <c r="D7304" s="19" t="n">
        <v>2028</v>
      </c>
      <c r="E7304" s="57" t="n">
        <v>7</v>
      </c>
      <c r="F7304" s="29">
        <f>ROUND(((SUMIFS(Calendar!$F$2:$F$9997,Calendar!$B$2:$B$9997,D7304,Calendar!$C$2:$C$9997,C7304)*INDEX(ForeCalc!$B$37:$Y$274,MATCH(_xlfn.CONCAT(H7304," ",I7304),ForeCalc!$A$37:$A$274,0),MATCH(_xlfn.CONCAT(B7304," ",E7304),ForeCalc!$B$36:$Y$36,0))))*VLOOKUP(A7304,Calendar!$A$2:$H$9997,8,FALSE),0)</f>
        <v/>
      </c>
      <c r="G7304" s="29">
        <f>VLOOKUP(A7304,Calendar!$A$1:$H$9997,6,FALSE)-F7304</f>
        <v/>
      </c>
      <c r="H7304" s="19" t="n">
        <v>2</v>
      </c>
      <c r="I7304" s="57" t="n">
        <v>12</v>
      </c>
    </row>
    <row r="7305">
      <c r="A7305" s="62" t="n">
        <v>46840</v>
      </c>
      <c r="B7305" s="3" t="inlineStr">
        <is>
          <t>Week</t>
        </is>
      </c>
      <c r="C7305" s="19" t="n">
        <v>3</v>
      </c>
      <c r="D7305" s="19" t="n">
        <v>2028</v>
      </c>
      <c r="E7305" s="57" t="n">
        <v>7</v>
      </c>
      <c r="F7305" s="29">
        <f>ROUND(((SUMIFS(Calendar!$F$2:$F$9997,Calendar!$B$2:$B$9997,D7305,Calendar!$C$2:$C$9997,C7305)*INDEX(ForeCalc!$B$37:$Y$274,MATCH(_xlfn.CONCAT(H7305," ",I7305),ForeCalc!$A$37:$A$274,0),MATCH(_xlfn.CONCAT(B7305," ",E7305),ForeCalc!$B$36:$Y$36,0))))*VLOOKUP(A7305,Calendar!$A$2:$H$9997,8,FALSE),0)</f>
        <v/>
      </c>
      <c r="G7305" s="29">
        <f>VLOOKUP(A7305,Calendar!$A$1:$H$9997,6,FALSE)-F7305</f>
        <v/>
      </c>
      <c r="H7305" s="19" t="n">
        <v>2</v>
      </c>
      <c r="I7305" s="57" t="n">
        <v>12</v>
      </c>
    </row>
    <row r="7306">
      <c r="A7306" s="62" t="n">
        <v>46841</v>
      </c>
      <c r="B7306" s="3" t="inlineStr">
        <is>
          <t>Week</t>
        </is>
      </c>
      <c r="C7306" s="19" t="n">
        <v>3</v>
      </c>
      <c r="D7306" s="19" t="n">
        <v>2028</v>
      </c>
      <c r="E7306" s="57" t="n">
        <v>7</v>
      </c>
      <c r="F7306" s="29">
        <f>ROUND(((SUMIFS(Calendar!$F$2:$F$9997,Calendar!$B$2:$B$9997,D7306,Calendar!$C$2:$C$9997,C7306)*INDEX(ForeCalc!$B$37:$Y$274,MATCH(_xlfn.CONCAT(H7306," ",I7306),ForeCalc!$A$37:$A$274,0),MATCH(_xlfn.CONCAT(B7306," ",E7306),ForeCalc!$B$36:$Y$36,0))))*VLOOKUP(A7306,Calendar!$A$2:$H$9997,8,FALSE),0)</f>
        <v/>
      </c>
      <c r="G7306" s="29">
        <f>VLOOKUP(A7306,Calendar!$A$1:$H$9997,6,FALSE)-F7306</f>
        <v/>
      </c>
      <c r="H7306" s="19" t="n">
        <v>2</v>
      </c>
      <c r="I7306" s="57" t="n">
        <v>12</v>
      </c>
    </row>
    <row r="7307">
      <c r="A7307" s="62" t="n">
        <v>46842</v>
      </c>
      <c r="B7307" s="3" t="inlineStr">
        <is>
          <t>Week</t>
        </is>
      </c>
      <c r="C7307" s="19" t="n">
        <v>3</v>
      </c>
      <c r="D7307" s="19" t="n">
        <v>2028</v>
      </c>
      <c r="E7307" s="57" t="n">
        <v>7</v>
      </c>
      <c r="F7307" s="29">
        <f>ROUND(((SUMIFS(Calendar!$F$2:$F$9997,Calendar!$B$2:$B$9997,D7307,Calendar!$C$2:$C$9997,C7307)*INDEX(ForeCalc!$B$37:$Y$274,MATCH(_xlfn.CONCAT(H7307," ",I7307),ForeCalc!$A$37:$A$274,0),MATCH(_xlfn.CONCAT(B7307," ",E7307),ForeCalc!$B$36:$Y$36,0))))*VLOOKUP(A7307,Calendar!$A$2:$H$9997,8,FALSE),0)</f>
        <v/>
      </c>
      <c r="G7307" s="29">
        <f>VLOOKUP(A7307,Calendar!$A$1:$H$9997,6,FALSE)-F7307</f>
        <v/>
      </c>
      <c r="H7307" s="19" t="n">
        <v>2</v>
      </c>
      <c r="I7307" s="57" t="n">
        <v>12</v>
      </c>
    </row>
    <row r="7308">
      <c r="A7308" s="62" t="n">
        <v>46843</v>
      </c>
      <c r="B7308" s="3" t="inlineStr">
        <is>
          <t>Week</t>
        </is>
      </c>
      <c r="C7308" s="19" t="n">
        <v>3</v>
      </c>
      <c r="D7308" s="19" t="n">
        <v>2028</v>
      </c>
      <c r="E7308" s="57" t="n">
        <v>7</v>
      </c>
      <c r="F7308" s="29">
        <f>ROUND(((SUMIFS(Calendar!$F$2:$F$9997,Calendar!$B$2:$B$9997,D7308,Calendar!$C$2:$C$9997,C7308)*INDEX(ForeCalc!$B$37:$Y$274,MATCH(_xlfn.CONCAT(H7308," ",I7308),ForeCalc!$A$37:$A$274,0),MATCH(_xlfn.CONCAT(B7308," ",E7308),ForeCalc!$B$36:$Y$36,0))))*VLOOKUP(A7308,Calendar!$A$2:$H$9997,8,FALSE),0)</f>
        <v/>
      </c>
      <c r="G7308" s="29">
        <f>VLOOKUP(A7308,Calendar!$A$1:$H$9997,6,FALSE)-F7308</f>
        <v/>
      </c>
      <c r="H7308" s="19" t="n">
        <v>2</v>
      </c>
      <c r="I7308" s="57" t="n">
        <v>12</v>
      </c>
    </row>
    <row r="7309">
      <c r="A7309" s="62" t="n">
        <v>46844</v>
      </c>
      <c r="B7309" s="3" t="inlineStr">
        <is>
          <t>Sat</t>
        </is>
      </c>
      <c r="C7309" s="19" t="n">
        <v>4</v>
      </c>
      <c r="D7309" s="19" t="n">
        <v>2028</v>
      </c>
      <c r="E7309" s="57" t="n">
        <v>7</v>
      </c>
      <c r="F7309" s="29">
        <f>ROUND(((SUMIFS(Calendar!$F$2:$F$9997,Calendar!$B$2:$B$9997,D7309,Calendar!$C$2:$C$9997,C7309)*INDEX(ForeCalc!$B$37:$Y$274,MATCH(_xlfn.CONCAT(H7309," ",I7309),ForeCalc!$A$37:$A$274,0),MATCH(_xlfn.CONCAT(B7309," ",E7309),ForeCalc!$B$36:$Y$36,0))))*VLOOKUP(A7309,Calendar!$A$2:$H$9997,8,FALSE),0)</f>
        <v/>
      </c>
      <c r="G7309" s="29">
        <f>VLOOKUP(A7309,Calendar!$A$1:$H$9997,6,FALSE)-F7309</f>
        <v/>
      </c>
      <c r="H7309" s="19" t="n">
        <v>3</v>
      </c>
      <c r="I7309" s="57" t="n">
        <v>1</v>
      </c>
    </row>
    <row r="7310">
      <c r="A7310" s="62" t="n">
        <v>46845</v>
      </c>
      <c r="B7310" s="3" t="inlineStr">
        <is>
          <t>Sun</t>
        </is>
      </c>
      <c r="C7310" s="19" t="n">
        <v>4</v>
      </c>
      <c r="D7310" s="19" t="n">
        <v>2028</v>
      </c>
      <c r="E7310" s="57" t="n">
        <v>7</v>
      </c>
      <c r="F7310" s="29">
        <f>ROUND(((SUMIFS(Calendar!$F$2:$F$9997,Calendar!$B$2:$B$9997,D7310,Calendar!$C$2:$C$9997,C7310)*INDEX(ForeCalc!$B$37:$Y$274,MATCH(_xlfn.CONCAT(H7310," ",I7310),ForeCalc!$A$37:$A$274,0),MATCH(_xlfn.CONCAT(B7310," ",E7310),ForeCalc!$B$36:$Y$36,0))))*VLOOKUP(A7310,Calendar!$A$2:$H$9997,8,FALSE),0)</f>
        <v/>
      </c>
      <c r="G7310" s="29">
        <f>VLOOKUP(A7310,Calendar!$A$1:$H$9997,6,FALSE)-F7310</f>
        <v/>
      </c>
      <c r="H7310" s="19" t="n">
        <v>3</v>
      </c>
      <c r="I7310" s="57" t="n">
        <v>1</v>
      </c>
    </row>
    <row r="7311">
      <c r="A7311" s="62" t="n">
        <v>46846</v>
      </c>
      <c r="B7311" s="3" t="inlineStr">
        <is>
          <t>Week</t>
        </is>
      </c>
      <c r="C7311" s="19" t="n">
        <v>4</v>
      </c>
      <c r="D7311" s="19" t="n">
        <v>2028</v>
      </c>
      <c r="E7311" s="57" t="n">
        <v>7</v>
      </c>
      <c r="F7311" s="29">
        <f>ROUND(((SUMIFS(Calendar!$F$2:$F$9997,Calendar!$B$2:$B$9997,D7311,Calendar!$C$2:$C$9997,C7311)*INDEX(ForeCalc!$B$37:$Y$274,MATCH(_xlfn.CONCAT(H7311," ",I7311),ForeCalc!$A$37:$A$274,0),MATCH(_xlfn.CONCAT(B7311," ",E7311),ForeCalc!$B$36:$Y$36,0))))*VLOOKUP(A7311,Calendar!$A$2:$H$9997,8,FALSE),0)</f>
        <v/>
      </c>
      <c r="G7311" s="29">
        <f>VLOOKUP(A7311,Calendar!$A$1:$H$9997,6,FALSE)-F7311</f>
        <v/>
      </c>
      <c r="H7311" s="19" t="n">
        <v>3</v>
      </c>
      <c r="I7311" s="57" t="n">
        <v>1</v>
      </c>
    </row>
    <row r="7312">
      <c r="A7312" s="62" t="n">
        <v>46847</v>
      </c>
      <c r="B7312" s="3" t="inlineStr">
        <is>
          <t>Week</t>
        </is>
      </c>
      <c r="C7312" s="19" t="n">
        <v>4</v>
      </c>
      <c r="D7312" s="19" t="n">
        <v>2028</v>
      </c>
      <c r="E7312" s="57" t="n">
        <v>7</v>
      </c>
      <c r="F7312" s="29">
        <f>ROUND(((SUMIFS(Calendar!$F$2:$F$9997,Calendar!$B$2:$B$9997,D7312,Calendar!$C$2:$C$9997,C7312)*INDEX(ForeCalc!$B$37:$Y$274,MATCH(_xlfn.CONCAT(H7312," ",I7312),ForeCalc!$A$37:$A$274,0),MATCH(_xlfn.CONCAT(B7312," ",E7312),ForeCalc!$B$36:$Y$36,0))))*VLOOKUP(A7312,Calendar!$A$2:$H$9997,8,FALSE),0)</f>
        <v/>
      </c>
      <c r="G7312" s="29">
        <f>VLOOKUP(A7312,Calendar!$A$1:$H$9997,6,FALSE)-F7312</f>
        <v/>
      </c>
      <c r="H7312" s="19" t="n">
        <v>3</v>
      </c>
      <c r="I7312" s="57" t="n">
        <v>1</v>
      </c>
    </row>
    <row r="7313">
      <c r="A7313" s="62" t="n">
        <v>46848</v>
      </c>
      <c r="B7313" s="3" t="inlineStr">
        <is>
          <t>Week</t>
        </is>
      </c>
      <c r="C7313" s="19" t="n">
        <v>4</v>
      </c>
      <c r="D7313" s="19" t="n">
        <v>2028</v>
      </c>
      <c r="E7313" s="57" t="n">
        <v>7</v>
      </c>
      <c r="F7313" s="29">
        <f>ROUND(((SUMIFS(Calendar!$F$2:$F$9997,Calendar!$B$2:$B$9997,D7313,Calendar!$C$2:$C$9997,C7313)*INDEX(ForeCalc!$B$37:$Y$274,MATCH(_xlfn.CONCAT(H7313," ",I7313),ForeCalc!$A$37:$A$274,0),MATCH(_xlfn.CONCAT(B7313," ",E7313),ForeCalc!$B$36:$Y$36,0))))*VLOOKUP(A7313,Calendar!$A$2:$H$9997,8,FALSE),0)</f>
        <v/>
      </c>
      <c r="G7313" s="29">
        <f>VLOOKUP(A7313,Calendar!$A$1:$H$9997,6,FALSE)-F7313</f>
        <v/>
      </c>
      <c r="H7313" s="19" t="n">
        <v>3</v>
      </c>
      <c r="I7313" s="57" t="n">
        <v>1</v>
      </c>
    </row>
    <row r="7314">
      <c r="A7314" s="62" t="n">
        <v>46849</v>
      </c>
      <c r="B7314" s="3" t="inlineStr">
        <is>
          <t>Week</t>
        </is>
      </c>
      <c r="C7314" s="19" t="n">
        <v>4</v>
      </c>
      <c r="D7314" s="19" t="n">
        <v>2028</v>
      </c>
      <c r="E7314" s="57" t="n">
        <v>7</v>
      </c>
      <c r="F7314" s="29">
        <f>ROUND(((SUMIFS(Calendar!$F$2:$F$9997,Calendar!$B$2:$B$9997,D7314,Calendar!$C$2:$C$9997,C7314)*INDEX(ForeCalc!$B$37:$Y$274,MATCH(_xlfn.CONCAT(H7314," ",I7314),ForeCalc!$A$37:$A$274,0),MATCH(_xlfn.CONCAT(B7314," ",E7314),ForeCalc!$B$36:$Y$36,0))))*VLOOKUP(A7314,Calendar!$A$2:$H$9997,8,FALSE),0)</f>
        <v/>
      </c>
      <c r="G7314" s="29">
        <f>VLOOKUP(A7314,Calendar!$A$1:$H$9997,6,FALSE)-F7314</f>
        <v/>
      </c>
      <c r="H7314" s="19" t="n">
        <v>3</v>
      </c>
      <c r="I7314" s="57" t="n">
        <v>1</v>
      </c>
    </row>
    <row r="7315">
      <c r="A7315" s="62" t="n">
        <v>46850</v>
      </c>
      <c r="B7315" s="3" t="inlineStr">
        <is>
          <t>Week</t>
        </is>
      </c>
      <c r="C7315" s="19" t="n">
        <v>4</v>
      </c>
      <c r="D7315" s="19" t="n">
        <v>2028</v>
      </c>
      <c r="E7315" s="57" t="n">
        <v>7</v>
      </c>
      <c r="F7315" s="29">
        <f>ROUND(((SUMIFS(Calendar!$F$2:$F$9997,Calendar!$B$2:$B$9997,D7315,Calendar!$C$2:$C$9997,C7315)*INDEX(ForeCalc!$B$37:$Y$274,MATCH(_xlfn.CONCAT(H7315," ",I7315),ForeCalc!$A$37:$A$274,0),MATCH(_xlfn.CONCAT(B7315," ",E7315),ForeCalc!$B$36:$Y$36,0))))*VLOOKUP(A7315,Calendar!$A$2:$H$9997,8,FALSE),0)</f>
        <v/>
      </c>
      <c r="G7315" s="29">
        <f>VLOOKUP(A7315,Calendar!$A$1:$H$9997,6,FALSE)-F7315</f>
        <v/>
      </c>
      <c r="H7315" s="19" t="n">
        <v>3</v>
      </c>
      <c r="I7315" s="57" t="n">
        <v>1</v>
      </c>
    </row>
    <row r="7316">
      <c r="A7316" s="62" t="n">
        <v>46851</v>
      </c>
      <c r="B7316" s="3" t="inlineStr">
        <is>
          <t>Sat</t>
        </is>
      </c>
      <c r="C7316" s="19" t="n">
        <v>4</v>
      </c>
      <c r="D7316" s="19" t="n">
        <v>2028</v>
      </c>
      <c r="E7316" s="57" t="n">
        <v>7</v>
      </c>
      <c r="F7316" s="29">
        <f>ROUND(((SUMIFS(Calendar!$F$2:$F$9997,Calendar!$B$2:$B$9997,D7316,Calendar!$C$2:$C$9997,C7316)*INDEX(ForeCalc!$B$37:$Y$274,MATCH(_xlfn.CONCAT(H7316," ",I7316),ForeCalc!$A$37:$A$274,0),MATCH(_xlfn.CONCAT(B7316," ",E7316),ForeCalc!$B$36:$Y$36,0))))*VLOOKUP(A7316,Calendar!$A$2:$H$9997,8,FALSE),0)</f>
        <v/>
      </c>
      <c r="G7316" s="29">
        <f>VLOOKUP(A7316,Calendar!$A$1:$H$9997,6,FALSE)-F7316</f>
        <v/>
      </c>
      <c r="H7316" s="19" t="n">
        <v>3</v>
      </c>
      <c r="I7316" s="57" t="n">
        <v>1</v>
      </c>
    </row>
    <row r="7317">
      <c r="A7317" s="62" t="n">
        <v>46852</v>
      </c>
      <c r="B7317" s="3" t="inlineStr">
        <is>
          <t>Sun</t>
        </is>
      </c>
      <c r="C7317" s="19" t="n">
        <v>4</v>
      </c>
      <c r="D7317" s="19" t="n">
        <v>2028</v>
      </c>
      <c r="E7317" s="57" t="n">
        <v>7</v>
      </c>
      <c r="F7317" s="29">
        <f>ROUND(((SUMIFS(Calendar!$F$2:$F$9997,Calendar!$B$2:$B$9997,D7317,Calendar!$C$2:$C$9997,C7317)*INDEX(ForeCalc!$B$37:$Y$274,MATCH(_xlfn.CONCAT(H7317," ",I7317),ForeCalc!$A$37:$A$274,0),MATCH(_xlfn.CONCAT(B7317," ",E7317),ForeCalc!$B$36:$Y$36,0))))*VLOOKUP(A7317,Calendar!$A$2:$H$9997,8,FALSE),0)</f>
        <v/>
      </c>
      <c r="G7317" s="29">
        <f>VLOOKUP(A7317,Calendar!$A$1:$H$9997,6,FALSE)-F7317</f>
        <v/>
      </c>
      <c r="H7317" s="19" t="n">
        <v>3</v>
      </c>
      <c r="I7317" s="57" t="n">
        <v>1</v>
      </c>
    </row>
    <row r="7318">
      <c r="A7318" s="62" t="n">
        <v>46853</v>
      </c>
      <c r="B7318" s="3" t="inlineStr">
        <is>
          <t>Week</t>
        </is>
      </c>
      <c r="C7318" s="19" t="n">
        <v>4</v>
      </c>
      <c r="D7318" s="19" t="n">
        <v>2028</v>
      </c>
      <c r="E7318" s="57" t="n">
        <v>7</v>
      </c>
      <c r="F7318" s="29">
        <f>ROUND(((SUMIFS(Calendar!$F$2:$F$9997,Calendar!$B$2:$B$9997,D7318,Calendar!$C$2:$C$9997,C7318)*INDEX(ForeCalc!$B$37:$Y$274,MATCH(_xlfn.CONCAT(H7318," ",I7318),ForeCalc!$A$37:$A$274,0),MATCH(_xlfn.CONCAT(B7318," ",E7318),ForeCalc!$B$36:$Y$36,0))))*VLOOKUP(A7318,Calendar!$A$2:$H$9997,8,FALSE),0)</f>
        <v/>
      </c>
      <c r="G7318" s="29">
        <f>VLOOKUP(A7318,Calendar!$A$1:$H$9997,6,FALSE)-F7318</f>
        <v/>
      </c>
      <c r="H7318" s="19" t="n">
        <v>3</v>
      </c>
      <c r="I7318" s="57" t="n">
        <v>1</v>
      </c>
    </row>
    <row r="7319">
      <c r="A7319" s="62" t="n">
        <v>46854</v>
      </c>
      <c r="B7319" s="3" t="inlineStr">
        <is>
          <t>Week</t>
        </is>
      </c>
      <c r="C7319" s="19" t="n">
        <v>4</v>
      </c>
      <c r="D7319" s="19" t="n">
        <v>2028</v>
      </c>
      <c r="E7319" s="57" t="n">
        <v>7</v>
      </c>
      <c r="F7319" s="29">
        <f>ROUND(((SUMIFS(Calendar!$F$2:$F$9997,Calendar!$B$2:$B$9997,D7319,Calendar!$C$2:$C$9997,C7319)*INDEX(ForeCalc!$B$37:$Y$274,MATCH(_xlfn.CONCAT(H7319," ",I7319),ForeCalc!$A$37:$A$274,0),MATCH(_xlfn.CONCAT(B7319," ",E7319),ForeCalc!$B$36:$Y$36,0))))*VLOOKUP(A7319,Calendar!$A$2:$H$9997,8,FALSE),0)</f>
        <v/>
      </c>
      <c r="G7319" s="29">
        <f>VLOOKUP(A7319,Calendar!$A$1:$H$9997,6,FALSE)-F7319</f>
        <v/>
      </c>
      <c r="H7319" s="19" t="n">
        <v>3</v>
      </c>
      <c r="I7319" s="57" t="n">
        <v>1</v>
      </c>
    </row>
    <row r="7320">
      <c r="A7320" s="62" t="n">
        <v>46855</v>
      </c>
      <c r="B7320" s="3" t="inlineStr">
        <is>
          <t>Week</t>
        </is>
      </c>
      <c r="C7320" s="19" t="n">
        <v>4</v>
      </c>
      <c r="D7320" s="19" t="n">
        <v>2028</v>
      </c>
      <c r="E7320" s="57" t="n">
        <v>7</v>
      </c>
      <c r="F7320" s="29">
        <f>ROUND(((SUMIFS(Calendar!$F$2:$F$9997,Calendar!$B$2:$B$9997,D7320,Calendar!$C$2:$C$9997,C7320)*INDEX(ForeCalc!$B$37:$Y$274,MATCH(_xlfn.CONCAT(H7320," ",I7320),ForeCalc!$A$37:$A$274,0),MATCH(_xlfn.CONCAT(B7320," ",E7320),ForeCalc!$B$36:$Y$36,0))))*VLOOKUP(A7320,Calendar!$A$2:$H$9997,8,FALSE),0)</f>
        <v/>
      </c>
      <c r="G7320" s="29">
        <f>VLOOKUP(A7320,Calendar!$A$1:$H$9997,6,FALSE)-F7320</f>
        <v/>
      </c>
      <c r="H7320" s="19" t="n">
        <v>3</v>
      </c>
      <c r="I7320" s="57" t="n">
        <v>1</v>
      </c>
    </row>
    <row r="7321">
      <c r="A7321" s="62" t="n">
        <v>46856</v>
      </c>
      <c r="B7321" s="3" t="inlineStr">
        <is>
          <t>Week</t>
        </is>
      </c>
      <c r="C7321" s="19" t="n">
        <v>4</v>
      </c>
      <c r="D7321" s="19" t="n">
        <v>2028</v>
      </c>
      <c r="E7321" s="57" t="n">
        <v>7</v>
      </c>
      <c r="F7321" s="29">
        <f>ROUND(((SUMIFS(Calendar!$F$2:$F$9997,Calendar!$B$2:$B$9997,D7321,Calendar!$C$2:$C$9997,C7321)*INDEX(ForeCalc!$B$37:$Y$274,MATCH(_xlfn.CONCAT(H7321," ",I7321),ForeCalc!$A$37:$A$274,0),MATCH(_xlfn.CONCAT(B7321," ",E7321),ForeCalc!$B$36:$Y$36,0))))*VLOOKUP(A7321,Calendar!$A$2:$H$9997,8,FALSE),0)</f>
        <v/>
      </c>
      <c r="G7321" s="29">
        <f>VLOOKUP(A7321,Calendar!$A$1:$H$9997,6,FALSE)-F7321</f>
        <v/>
      </c>
      <c r="H7321" s="19" t="n">
        <v>3</v>
      </c>
      <c r="I7321" s="57" t="n">
        <v>1</v>
      </c>
    </row>
    <row r="7322">
      <c r="A7322" s="62" t="n">
        <v>46857</v>
      </c>
      <c r="B7322" s="3" t="inlineStr">
        <is>
          <t>Week</t>
        </is>
      </c>
      <c r="C7322" s="19" t="n">
        <v>4</v>
      </c>
      <c r="D7322" s="19" t="n">
        <v>2028</v>
      </c>
      <c r="E7322" s="57" t="n">
        <v>7</v>
      </c>
      <c r="F7322" s="29">
        <f>ROUND(((SUMIFS(Calendar!$F$2:$F$9997,Calendar!$B$2:$B$9997,D7322,Calendar!$C$2:$C$9997,C7322)*INDEX(ForeCalc!$B$37:$Y$274,MATCH(_xlfn.CONCAT(H7322," ",I7322),ForeCalc!$A$37:$A$274,0),MATCH(_xlfn.CONCAT(B7322," ",E7322),ForeCalc!$B$36:$Y$36,0))))*VLOOKUP(A7322,Calendar!$A$2:$H$9997,8,FALSE),0)</f>
        <v/>
      </c>
      <c r="G7322" s="29">
        <f>VLOOKUP(A7322,Calendar!$A$1:$H$9997,6,FALSE)-F7322</f>
        <v/>
      </c>
      <c r="H7322" s="19" t="n">
        <v>3</v>
      </c>
      <c r="I7322" s="57" t="n">
        <v>1</v>
      </c>
    </row>
    <row r="7323">
      <c r="A7323" s="62" t="n">
        <v>46858</v>
      </c>
      <c r="B7323" s="3" t="inlineStr">
        <is>
          <t>Sat</t>
        </is>
      </c>
      <c r="C7323" s="19" t="n">
        <v>4</v>
      </c>
      <c r="D7323" s="19" t="n">
        <v>2028</v>
      </c>
      <c r="E7323" s="57" t="n">
        <v>7</v>
      </c>
      <c r="F7323" s="29">
        <f>ROUND(((SUMIFS(Calendar!$F$2:$F$9997,Calendar!$B$2:$B$9997,D7323,Calendar!$C$2:$C$9997,C7323)*INDEX(ForeCalc!$B$37:$Y$274,MATCH(_xlfn.CONCAT(H7323," ",I7323),ForeCalc!$A$37:$A$274,0),MATCH(_xlfn.CONCAT(B7323," ",E7323),ForeCalc!$B$36:$Y$36,0))))*VLOOKUP(A7323,Calendar!$A$2:$H$9997,8,FALSE),0)</f>
        <v/>
      </c>
      <c r="G7323" s="29">
        <f>VLOOKUP(A7323,Calendar!$A$1:$H$9997,6,FALSE)-F7323</f>
        <v/>
      </c>
      <c r="H7323" s="19" t="n">
        <v>3</v>
      </c>
      <c r="I7323" s="57" t="n">
        <v>1</v>
      </c>
    </row>
    <row r="7324">
      <c r="A7324" s="62" t="n">
        <v>46859</v>
      </c>
      <c r="B7324" s="3" t="inlineStr">
        <is>
          <t>Sun</t>
        </is>
      </c>
      <c r="C7324" s="19" t="n">
        <v>4</v>
      </c>
      <c r="D7324" s="19" t="n">
        <v>2028</v>
      </c>
      <c r="E7324" s="57" t="n">
        <v>7</v>
      </c>
      <c r="F7324" s="29">
        <f>ROUND(((SUMIFS(Calendar!$F$2:$F$9997,Calendar!$B$2:$B$9997,D7324,Calendar!$C$2:$C$9997,C7324)*INDEX(ForeCalc!$B$37:$Y$274,MATCH(_xlfn.CONCAT(H7324," ",I7324),ForeCalc!$A$37:$A$274,0),MATCH(_xlfn.CONCAT(B7324," ",E7324),ForeCalc!$B$36:$Y$36,0))))*VLOOKUP(A7324,Calendar!$A$2:$H$9997,8,FALSE),0)</f>
        <v/>
      </c>
      <c r="G7324" s="29">
        <f>VLOOKUP(A7324,Calendar!$A$1:$H$9997,6,FALSE)-F7324</f>
        <v/>
      </c>
      <c r="H7324" s="19" t="n">
        <v>3</v>
      </c>
      <c r="I7324" s="57" t="n">
        <v>1</v>
      </c>
    </row>
    <row r="7325">
      <c r="A7325" s="62" t="n">
        <v>46860</v>
      </c>
      <c r="B7325" s="3" t="inlineStr">
        <is>
          <t>Week</t>
        </is>
      </c>
      <c r="C7325" s="19" t="n">
        <v>4</v>
      </c>
      <c r="D7325" s="19" t="n">
        <v>2028</v>
      </c>
      <c r="E7325" s="57" t="n">
        <v>7</v>
      </c>
      <c r="F7325" s="29">
        <f>ROUND(((SUMIFS(Calendar!$F$2:$F$9997,Calendar!$B$2:$B$9997,D7325,Calendar!$C$2:$C$9997,C7325)*INDEX(ForeCalc!$B$37:$Y$274,MATCH(_xlfn.CONCAT(H7325," ",I7325),ForeCalc!$A$37:$A$274,0),MATCH(_xlfn.CONCAT(B7325," ",E7325),ForeCalc!$B$36:$Y$36,0))))*VLOOKUP(A7325,Calendar!$A$2:$H$9997,8,FALSE),0)</f>
        <v/>
      </c>
      <c r="G7325" s="29">
        <f>VLOOKUP(A7325,Calendar!$A$1:$H$9997,6,FALSE)-F7325</f>
        <v/>
      </c>
      <c r="H7325" s="19" t="n">
        <v>3</v>
      </c>
      <c r="I7325" s="57" t="n">
        <v>1</v>
      </c>
    </row>
    <row r="7326">
      <c r="A7326" s="62" t="n">
        <v>46861</v>
      </c>
      <c r="B7326" s="3" t="inlineStr">
        <is>
          <t>Week</t>
        </is>
      </c>
      <c r="C7326" s="19" t="n">
        <v>4</v>
      </c>
      <c r="D7326" s="19" t="n">
        <v>2028</v>
      </c>
      <c r="E7326" s="57" t="n">
        <v>7</v>
      </c>
      <c r="F7326" s="29">
        <f>ROUND(((SUMIFS(Calendar!$F$2:$F$9997,Calendar!$B$2:$B$9997,D7326,Calendar!$C$2:$C$9997,C7326)*INDEX(ForeCalc!$B$37:$Y$274,MATCH(_xlfn.CONCAT(H7326," ",I7326),ForeCalc!$A$37:$A$274,0),MATCH(_xlfn.CONCAT(B7326," ",E7326),ForeCalc!$B$36:$Y$36,0))))*VLOOKUP(A7326,Calendar!$A$2:$H$9997,8,FALSE),0)</f>
        <v/>
      </c>
      <c r="G7326" s="29">
        <f>VLOOKUP(A7326,Calendar!$A$1:$H$9997,6,FALSE)-F7326</f>
        <v/>
      </c>
      <c r="H7326" s="19" t="n">
        <v>3</v>
      </c>
      <c r="I7326" s="57" t="n">
        <v>1</v>
      </c>
    </row>
    <row r="7327">
      <c r="A7327" s="62" t="n">
        <v>46862</v>
      </c>
      <c r="B7327" s="3" t="inlineStr">
        <is>
          <t>Week</t>
        </is>
      </c>
      <c r="C7327" s="19" t="n">
        <v>4</v>
      </c>
      <c r="D7327" s="19" t="n">
        <v>2028</v>
      </c>
      <c r="E7327" s="57" t="n">
        <v>7</v>
      </c>
      <c r="F7327" s="29">
        <f>ROUND(((SUMIFS(Calendar!$F$2:$F$9997,Calendar!$B$2:$B$9997,D7327,Calendar!$C$2:$C$9997,C7327)*INDEX(ForeCalc!$B$37:$Y$274,MATCH(_xlfn.CONCAT(H7327," ",I7327),ForeCalc!$A$37:$A$274,0),MATCH(_xlfn.CONCAT(B7327," ",E7327),ForeCalc!$B$36:$Y$36,0))))*VLOOKUP(A7327,Calendar!$A$2:$H$9997,8,FALSE),0)</f>
        <v/>
      </c>
      <c r="G7327" s="29">
        <f>VLOOKUP(A7327,Calendar!$A$1:$H$9997,6,FALSE)-F7327</f>
        <v/>
      </c>
      <c r="H7327" s="19" t="n">
        <v>3</v>
      </c>
      <c r="I7327" s="57" t="n">
        <v>1</v>
      </c>
    </row>
    <row r="7328">
      <c r="A7328" s="62" t="n">
        <v>46863</v>
      </c>
      <c r="B7328" s="3" t="inlineStr">
        <is>
          <t>Week</t>
        </is>
      </c>
      <c r="C7328" s="19" t="n">
        <v>4</v>
      </c>
      <c r="D7328" s="19" t="n">
        <v>2028</v>
      </c>
      <c r="E7328" s="57" t="n">
        <v>7</v>
      </c>
      <c r="F7328" s="29">
        <f>ROUND(((SUMIFS(Calendar!$F$2:$F$9997,Calendar!$B$2:$B$9997,D7328,Calendar!$C$2:$C$9997,C7328)*INDEX(ForeCalc!$B$37:$Y$274,MATCH(_xlfn.CONCAT(H7328," ",I7328),ForeCalc!$A$37:$A$274,0),MATCH(_xlfn.CONCAT(B7328," ",E7328),ForeCalc!$B$36:$Y$36,0))))*VLOOKUP(A7328,Calendar!$A$2:$H$9997,8,FALSE),0)</f>
        <v/>
      </c>
      <c r="G7328" s="29">
        <f>VLOOKUP(A7328,Calendar!$A$1:$H$9997,6,FALSE)-F7328</f>
        <v/>
      </c>
      <c r="H7328" s="19" t="n">
        <v>3</v>
      </c>
      <c r="I7328" s="57" t="n">
        <v>1</v>
      </c>
    </row>
    <row r="7329">
      <c r="A7329" s="62" t="n">
        <v>46864</v>
      </c>
      <c r="B7329" s="3" t="inlineStr">
        <is>
          <t>Week</t>
        </is>
      </c>
      <c r="C7329" s="19" t="n">
        <v>4</v>
      </c>
      <c r="D7329" s="19" t="n">
        <v>2028</v>
      </c>
      <c r="E7329" s="57" t="n">
        <v>7</v>
      </c>
      <c r="F7329" s="29">
        <f>ROUND(((SUMIFS(Calendar!$F$2:$F$9997,Calendar!$B$2:$B$9997,D7329,Calendar!$C$2:$C$9997,C7329)*INDEX(ForeCalc!$B$37:$Y$274,MATCH(_xlfn.CONCAT(H7329," ",I7329),ForeCalc!$A$37:$A$274,0),MATCH(_xlfn.CONCAT(B7329," ",E7329),ForeCalc!$B$36:$Y$36,0))))*VLOOKUP(A7329,Calendar!$A$2:$H$9997,8,FALSE),0)</f>
        <v/>
      </c>
      <c r="G7329" s="29">
        <f>VLOOKUP(A7329,Calendar!$A$1:$H$9997,6,FALSE)-F7329</f>
        <v/>
      </c>
      <c r="H7329" s="19" t="n">
        <v>3</v>
      </c>
      <c r="I7329" s="57" t="n">
        <v>1</v>
      </c>
    </row>
    <row r="7330">
      <c r="A7330" s="62" t="n">
        <v>46865</v>
      </c>
      <c r="B7330" s="3" t="inlineStr">
        <is>
          <t>Sat</t>
        </is>
      </c>
      <c r="C7330" s="19" t="n">
        <v>4</v>
      </c>
      <c r="D7330" s="19" t="n">
        <v>2028</v>
      </c>
      <c r="E7330" s="57" t="n">
        <v>7</v>
      </c>
      <c r="F7330" s="29">
        <f>ROUND(((SUMIFS(Calendar!$F$2:$F$9997,Calendar!$B$2:$B$9997,D7330,Calendar!$C$2:$C$9997,C7330)*INDEX(ForeCalc!$B$37:$Y$274,MATCH(_xlfn.CONCAT(H7330," ",I7330),ForeCalc!$A$37:$A$274,0),MATCH(_xlfn.CONCAT(B7330," ",E7330),ForeCalc!$B$36:$Y$36,0))))*VLOOKUP(A7330,Calendar!$A$2:$H$9997,8,FALSE),0)</f>
        <v/>
      </c>
      <c r="G7330" s="29">
        <f>VLOOKUP(A7330,Calendar!$A$1:$H$9997,6,FALSE)-F7330</f>
        <v/>
      </c>
      <c r="H7330" s="19" t="n">
        <v>3</v>
      </c>
      <c r="I7330" s="57" t="n">
        <v>1</v>
      </c>
    </row>
    <row r="7331">
      <c r="A7331" s="62" t="n">
        <v>46866</v>
      </c>
      <c r="B7331" s="3" t="inlineStr">
        <is>
          <t>Sun</t>
        </is>
      </c>
      <c r="C7331" s="19" t="n">
        <v>4</v>
      </c>
      <c r="D7331" s="19" t="n">
        <v>2028</v>
      </c>
      <c r="E7331" s="57" t="n">
        <v>7</v>
      </c>
      <c r="F7331" s="29">
        <f>ROUND(((SUMIFS(Calendar!$F$2:$F$9997,Calendar!$B$2:$B$9997,D7331,Calendar!$C$2:$C$9997,C7331)*INDEX(ForeCalc!$B$37:$Y$274,MATCH(_xlfn.CONCAT(H7331," ",I7331),ForeCalc!$A$37:$A$274,0),MATCH(_xlfn.CONCAT(B7331," ",E7331),ForeCalc!$B$36:$Y$36,0))))*VLOOKUP(A7331,Calendar!$A$2:$H$9997,8,FALSE),0)</f>
        <v/>
      </c>
      <c r="G7331" s="29">
        <f>VLOOKUP(A7331,Calendar!$A$1:$H$9997,6,FALSE)-F7331</f>
        <v/>
      </c>
      <c r="H7331" s="19" t="n">
        <v>3</v>
      </c>
      <c r="I7331" s="57" t="n">
        <v>1</v>
      </c>
    </row>
    <row r="7332">
      <c r="A7332" s="62" t="n">
        <v>46867</v>
      </c>
      <c r="B7332" s="3" t="inlineStr">
        <is>
          <t>Week</t>
        </is>
      </c>
      <c r="C7332" s="19" t="n">
        <v>4</v>
      </c>
      <c r="D7332" s="19" t="n">
        <v>2028</v>
      </c>
      <c r="E7332" s="57" t="n">
        <v>7</v>
      </c>
      <c r="F7332" s="29">
        <f>ROUND(((SUMIFS(Calendar!$F$2:$F$9997,Calendar!$B$2:$B$9997,D7332,Calendar!$C$2:$C$9997,C7332)*INDEX(ForeCalc!$B$37:$Y$274,MATCH(_xlfn.CONCAT(H7332," ",I7332),ForeCalc!$A$37:$A$274,0),MATCH(_xlfn.CONCAT(B7332," ",E7332),ForeCalc!$B$36:$Y$36,0))))*VLOOKUP(A7332,Calendar!$A$2:$H$9997,8,FALSE),0)</f>
        <v/>
      </c>
      <c r="G7332" s="29">
        <f>VLOOKUP(A7332,Calendar!$A$1:$H$9997,6,FALSE)-F7332</f>
        <v/>
      </c>
      <c r="H7332" s="19" t="n">
        <v>3</v>
      </c>
      <c r="I7332" s="57" t="n">
        <v>1</v>
      </c>
    </row>
    <row r="7333">
      <c r="A7333" s="62" t="n">
        <v>46868</v>
      </c>
      <c r="B7333" s="3" t="inlineStr">
        <is>
          <t>Week</t>
        </is>
      </c>
      <c r="C7333" s="19" t="n">
        <v>4</v>
      </c>
      <c r="D7333" s="19" t="n">
        <v>2028</v>
      </c>
      <c r="E7333" s="57" t="n">
        <v>7</v>
      </c>
      <c r="F7333" s="29">
        <f>ROUND(((SUMIFS(Calendar!$F$2:$F$9997,Calendar!$B$2:$B$9997,D7333,Calendar!$C$2:$C$9997,C7333)*INDEX(ForeCalc!$B$37:$Y$274,MATCH(_xlfn.CONCAT(H7333," ",I7333),ForeCalc!$A$37:$A$274,0),MATCH(_xlfn.CONCAT(B7333," ",E7333),ForeCalc!$B$36:$Y$36,0))))*VLOOKUP(A7333,Calendar!$A$2:$H$9997,8,FALSE),0)</f>
        <v/>
      </c>
      <c r="G7333" s="29">
        <f>VLOOKUP(A7333,Calendar!$A$1:$H$9997,6,FALSE)-F7333</f>
        <v/>
      </c>
      <c r="H7333" s="19" t="n">
        <v>3</v>
      </c>
      <c r="I7333" s="57" t="n">
        <v>1</v>
      </c>
    </row>
    <row r="7334">
      <c r="A7334" s="62" t="n">
        <v>46869</v>
      </c>
      <c r="B7334" s="3" t="inlineStr">
        <is>
          <t>Week</t>
        </is>
      </c>
      <c r="C7334" s="19" t="n">
        <v>4</v>
      </c>
      <c r="D7334" s="19" t="n">
        <v>2028</v>
      </c>
      <c r="E7334" s="57" t="n">
        <v>7</v>
      </c>
      <c r="F7334" s="29">
        <f>ROUND(((SUMIFS(Calendar!$F$2:$F$9997,Calendar!$B$2:$B$9997,D7334,Calendar!$C$2:$C$9997,C7334)*INDEX(ForeCalc!$B$37:$Y$274,MATCH(_xlfn.CONCAT(H7334," ",I7334),ForeCalc!$A$37:$A$274,0),MATCH(_xlfn.CONCAT(B7334," ",E7334),ForeCalc!$B$36:$Y$36,0))))*VLOOKUP(A7334,Calendar!$A$2:$H$9997,8,FALSE),0)</f>
        <v/>
      </c>
      <c r="G7334" s="29">
        <f>VLOOKUP(A7334,Calendar!$A$1:$H$9997,6,FALSE)-F7334</f>
        <v/>
      </c>
      <c r="H7334" s="19" t="n">
        <v>3</v>
      </c>
      <c r="I7334" s="57" t="n">
        <v>1</v>
      </c>
    </row>
    <row r="7335">
      <c r="A7335" s="62" t="n">
        <v>46870</v>
      </c>
      <c r="B7335" s="3" t="inlineStr">
        <is>
          <t>Week</t>
        </is>
      </c>
      <c r="C7335" s="19" t="n">
        <v>4</v>
      </c>
      <c r="D7335" s="19" t="n">
        <v>2028</v>
      </c>
      <c r="E7335" s="57" t="n">
        <v>7</v>
      </c>
      <c r="F7335" s="29">
        <f>ROUND(((SUMIFS(Calendar!$F$2:$F$9997,Calendar!$B$2:$B$9997,D7335,Calendar!$C$2:$C$9997,C7335)*INDEX(ForeCalc!$B$37:$Y$274,MATCH(_xlfn.CONCAT(H7335," ",I7335),ForeCalc!$A$37:$A$274,0),MATCH(_xlfn.CONCAT(B7335," ",E7335),ForeCalc!$B$36:$Y$36,0))))*VLOOKUP(A7335,Calendar!$A$2:$H$9997,8,FALSE),0)</f>
        <v/>
      </c>
      <c r="G7335" s="29">
        <f>VLOOKUP(A7335,Calendar!$A$1:$H$9997,6,FALSE)-F7335</f>
        <v/>
      </c>
      <c r="H7335" s="19" t="n">
        <v>3</v>
      </c>
      <c r="I7335" s="57" t="n">
        <v>1</v>
      </c>
    </row>
    <row r="7336">
      <c r="A7336" s="62" t="n">
        <v>46871</v>
      </c>
      <c r="B7336" s="3" t="inlineStr">
        <is>
          <t>Week</t>
        </is>
      </c>
      <c r="C7336" s="19" t="n">
        <v>4</v>
      </c>
      <c r="D7336" s="19" t="n">
        <v>2028</v>
      </c>
      <c r="E7336" s="57" t="n">
        <v>7</v>
      </c>
      <c r="F7336" s="29">
        <f>ROUND(((SUMIFS(Calendar!$F$2:$F$9997,Calendar!$B$2:$B$9997,D7336,Calendar!$C$2:$C$9997,C7336)*INDEX(ForeCalc!$B$37:$Y$274,MATCH(_xlfn.CONCAT(H7336," ",I7336),ForeCalc!$A$37:$A$274,0),MATCH(_xlfn.CONCAT(B7336," ",E7336),ForeCalc!$B$36:$Y$36,0))))*VLOOKUP(A7336,Calendar!$A$2:$H$9997,8,FALSE),0)</f>
        <v/>
      </c>
      <c r="G7336" s="29">
        <f>VLOOKUP(A7336,Calendar!$A$1:$H$9997,6,FALSE)-F7336</f>
        <v/>
      </c>
      <c r="H7336" s="19" t="n">
        <v>3</v>
      </c>
      <c r="I7336" s="57" t="n">
        <v>1</v>
      </c>
    </row>
    <row r="7337">
      <c r="A7337" s="62" t="n">
        <v>46872</v>
      </c>
      <c r="B7337" s="3" t="inlineStr">
        <is>
          <t>Sat</t>
        </is>
      </c>
      <c r="C7337" s="19" t="n">
        <v>4</v>
      </c>
      <c r="D7337" s="19" t="n">
        <v>2028</v>
      </c>
      <c r="E7337" s="57" t="n">
        <v>7</v>
      </c>
      <c r="F7337" s="29">
        <f>ROUND(((SUMIFS(Calendar!$F$2:$F$9997,Calendar!$B$2:$B$9997,D7337,Calendar!$C$2:$C$9997,C7337)*INDEX(ForeCalc!$B$37:$Y$274,MATCH(_xlfn.CONCAT(H7337," ",I7337),ForeCalc!$A$37:$A$274,0),MATCH(_xlfn.CONCAT(B7337," ",E7337),ForeCalc!$B$36:$Y$36,0))))*VLOOKUP(A7337,Calendar!$A$2:$H$9997,8,FALSE),0)</f>
        <v/>
      </c>
      <c r="G7337" s="29">
        <f>VLOOKUP(A7337,Calendar!$A$1:$H$9997,6,FALSE)-F7337</f>
        <v/>
      </c>
      <c r="H7337" s="19" t="n">
        <v>3</v>
      </c>
      <c r="I7337" s="57" t="n">
        <v>1</v>
      </c>
    </row>
    <row r="7338">
      <c r="A7338" s="62" t="n">
        <v>46873</v>
      </c>
      <c r="B7338" s="3" t="inlineStr">
        <is>
          <t>Sun</t>
        </is>
      </c>
      <c r="C7338" s="19" t="n">
        <v>4</v>
      </c>
      <c r="D7338" s="19" t="n">
        <v>2028</v>
      </c>
      <c r="E7338" s="57" t="n">
        <v>7</v>
      </c>
      <c r="F7338" s="29">
        <f>ROUND(((SUMIFS(Calendar!$F$2:$F$9997,Calendar!$B$2:$B$9997,D7338,Calendar!$C$2:$C$9997,C7338)*INDEX(ForeCalc!$B$37:$Y$274,MATCH(_xlfn.CONCAT(H7338," ",I7338),ForeCalc!$A$37:$A$274,0),MATCH(_xlfn.CONCAT(B7338," ",E7338),ForeCalc!$B$36:$Y$36,0))))*VLOOKUP(A7338,Calendar!$A$2:$H$9997,8,FALSE),0)</f>
        <v/>
      </c>
      <c r="G7338" s="29">
        <f>VLOOKUP(A7338,Calendar!$A$1:$H$9997,6,FALSE)-F7338</f>
        <v/>
      </c>
      <c r="H7338" s="19" t="n">
        <v>3</v>
      </c>
      <c r="I7338" s="57" t="n">
        <v>1</v>
      </c>
    </row>
    <row r="7339">
      <c r="A7339" s="62" t="n">
        <v>46874</v>
      </c>
      <c r="B7339" s="3" t="inlineStr">
        <is>
          <t>Week</t>
        </is>
      </c>
      <c r="C7339" s="19" t="n">
        <v>5</v>
      </c>
      <c r="D7339" s="19" t="n">
        <v>2028</v>
      </c>
      <c r="E7339" s="57" t="n">
        <v>7</v>
      </c>
      <c r="F7339" s="29">
        <f>ROUND(((SUMIFS(Calendar!$F$2:$F$9997,Calendar!$B$2:$B$9997,D7339,Calendar!$C$2:$C$9997,C7339)*INDEX(ForeCalc!$B$37:$Y$274,MATCH(_xlfn.CONCAT(H7339," ",I7339),ForeCalc!$A$37:$A$274,0),MATCH(_xlfn.CONCAT(B7339," ",E7339),ForeCalc!$B$36:$Y$36,0))))*VLOOKUP(A7339,Calendar!$A$2:$H$9997,8,FALSE),0)</f>
        <v/>
      </c>
      <c r="G7339" s="29">
        <f>VLOOKUP(A7339,Calendar!$A$1:$H$9997,6,FALSE)-F7339</f>
        <v/>
      </c>
      <c r="H7339" s="19" t="n">
        <v>3</v>
      </c>
      <c r="I7339" s="57" t="n">
        <v>2</v>
      </c>
    </row>
    <row r="7340">
      <c r="A7340" s="62" t="n">
        <v>46875</v>
      </c>
      <c r="B7340" s="3" t="inlineStr">
        <is>
          <t>Week</t>
        </is>
      </c>
      <c r="C7340" s="19" t="n">
        <v>5</v>
      </c>
      <c r="D7340" s="19" t="n">
        <v>2028</v>
      </c>
      <c r="E7340" s="57" t="n">
        <v>7</v>
      </c>
      <c r="F7340" s="29">
        <f>ROUND(((SUMIFS(Calendar!$F$2:$F$9997,Calendar!$B$2:$B$9997,D7340,Calendar!$C$2:$C$9997,C7340)*INDEX(ForeCalc!$B$37:$Y$274,MATCH(_xlfn.CONCAT(H7340," ",I7340),ForeCalc!$A$37:$A$274,0),MATCH(_xlfn.CONCAT(B7340," ",E7340),ForeCalc!$B$36:$Y$36,0))))*VLOOKUP(A7340,Calendar!$A$2:$H$9997,8,FALSE),0)</f>
        <v/>
      </c>
      <c r="G7340" s="29">
        <f>VLOOKUP(A7340,Calendar!$A$1:$H$9997,6,FALSE)-F7340</f>
        <v/>
      </c>
      <c r="H7340" s="19" t="n">
        <v>3</v>
      </c>
      <c r="I7340" s="57" t="n">
        <v>2</v>
      </c>
    </row>
    <row r="7341">
      <c r="A7341" s="62" t="n">
        <v>46876</v>
      </c>
      <c r="B7341" s="3" t="inlineStr">
        <is>
          <t>Week</t>
        </is>
      </c>
      <c r="C7341" s="19" t="n">
        <v>5</v>
      </c>
      <c r="D7341" s="19" t="n">
        <v>2028</v>
      </c>
      <c r="E7341" s="57" t="n">
        <v>7</v>
      </c>
      <c r="F7341" s="29">
        <f>ROUND(((SUMIFS(Calendar!$F$2:$F$9997,Calendar!$B$2:$B$9997,D7341,Calendar!$C$2:$C$9997,C7341)*INDEX(ForeCalc!$B$37:$Y$274,MATCH(_xlfn.CONCAT(H7341," ",I7341),ForeCalc!$A$37:$A$274,0),MATCH(_xlfn.CONCAT(B7341," ",E7341),ForeCalc!$B$36:$Y$36,0))))*VLOOKUP(A7341,Calendar!$A$2:$H$9997,8,FALSE),0)</f>
        <v/>
      </c>
      <c r="G7341" s="29">
        <f>VLOOKUP(A7341,Calendar!$A$1:$H$9997,6,FALSE)-F7341</f>
        <v/>
      </c>
      <c r="H7341" s="19" t="n">
        <v>3</v>
      </c>
      <c r="I7341" s="57" t="n">
        <v>2</v>
      </c>
    </row>
    <row r="7342">
      <c r="A7342" s="62" t="n">
        <v>46877</v>
      </c>
      <c r="B7342" s="3" t="inlineStr">
        <is>
          <t>Week</t>
        </is>
      </c>
      <c r="C7342" s="19" t="n">
        <v>5</v>
      </c>
      <c r="D7342" s="19" t="n">
        <v>2028</v>
      </c>
      <c r="E7342" s="57" t="n">
        <v>7</v>
      </c>
      <c r="F7342" s="29">
        <f>ROUND(((SUMIFS(Calendar!$F$2:$F$9997,Calendar!$B$2:$B$9997,D7342,Calendar!$C$2:$C$9997,C7342)*INDEX(ForeCalc!$B$37:$Y$274,MATCH(_xlfn.CONCAT(H7342," ",I7342),ForeCalc!$A$37:$A$274,0),MATCH(_xlfn.CONCAT(B7342," ",E7342),ForeCalc!$B$36:$Y$36,0))))*VLOOKUP(A7342,Calendar!$A$2:$H$9997,8,FALSE),0)</f>
        <v/>
      </c>
      <c r="G7342" s="29">
        <f>VLOOKUP(A7342,Calendar!$A$1:$H$9997,6,FALSE)-F7342</f>
        <v/>
      </c>
      <c r="H7342" s="19" t="n">
        <v>3</v>
      </c>
      <c r="I7342" s="57" t="n">
        <v>2</v>
      </c>
    </row>
    <row r="7343">
      <c r="A7343" s="62" t="n">
        <v>46878</v>
      </c>
      <c r="B7343" s="3" t="inlineStr">
        <is>
          <t>Week</t>
        </is>
      </c>
      <c r="C7343" s="19" t="n">
        <v>5</v>
      </c>
      <c r="D7343" s="19" t="n">
        <v>2028</v>
      </c>
      <c r="E7343" s="57" t="n">
        <v>7</v>
      </c>
      <c r="F7343" s="29">
        <f>ROUND(((SUMIFS(Calendar!$F$2:$F$9997,Calendar!$B$2:$B$9997,D7343,Calendar!$C$2:$C$9997,C7343)*INDEX(ForeCalc!$B$37:$Y$274,MATCH(_xlfn.CONCAT(H7343," ",I7343),ForeCalc!$A$37:$A$274,0),MATCH(_xlfn.CONCAT(B7343," ",E7343),ForeCalc!$B$36:$Y$36,0))))*VLOOKUP(A7343,Calendar!$A$2:$H$9997,8,FALSE),0)</f>
        <v/>
      </c>
      <c r="G7343" s="29">
        <f>VLOOKUP(A7343,Calendar!$A$1:$H$9997,6,FALSE)-F7343</f>
        <v/>
      </c>
      <c r="H7343" s="19" t="n">
        <v>3</v>
      </c>
      <c r="I7343" s="57" t="n">
        <v>2</v>
      </c>
    </row>
    <row r="7344">
      <c r="A7344" s="62" t="n">
        <v>46879</v>
      </c>
      <c r="B7344" s="3" t="inlineStr">
        <is>
          <t>Sat</t>
        </is>
      </c>
      <c r="C7344" s="19" t="n">
        <v>5</v>
      </c>
      <c r="D7344" s="19" t="n">
        <v>2028</v>
      </c>
      <c r="E7344" s="57" t="n">
        <v>7</v>
      </c>
      <c r="F7344" s="29">
        <f>ROUND(((SUMIFS(Calendar!$F$2:$F$9997,Calendar!$B$2:$B$9997,D7344,Calendar!$C$2:$C$9997,C7344)*INDEX(ForeCalc!$B$37:$Y$274,MATCH(_xlfn.CONCAT(H7344," ",I7344),ForeCalc!$A$37:$A$274,0),MATCH(_xlfn.CONCAT(B7344," ",E7344),ForeCalc!$B$36:$Y$36,0))))*VLOOKUP(A7344,Calendar!$A$2:$H$9997,8,FALSE),0)</f>
        <v/>
      </c>
      <c r="G7344" s="29">
        <f>VLOOKUP(A7344,Calendar!$A$1:$H$9997,6,FALSE)-F7344</f>
        <v/>
      </c>
      <c r="H7344" s="19" t="n">
        <v>3</v>
      </c>
      <c r="I7344" s="57" t="n">
        <v>2</v>
      </c>
    </row>
    <row r="7345">
      <c r="A7345" s="62" t="n">
        <v>46880</v>
      </c>
      <c r="B7345" s="3" t="inlineStr">
        <is>
          <t>Sun</t>
        </is>
      </c>
      <c r="C7345" s="19" t="n">
        <v>5</v>
      </c>
      <c r="D7345" s="19" t="n">
        <v>2028</v>
      </c>
      <c r="E7345" s="57" t="n">
        <v>7</v>
      </c>
      <c r="F7345" s="29">
        <f>ROUND(((SUMIFS(Calendar!$F$2:$F$9997,Calendar!$B$2:$B$9997,D7345,Calendar!$C$2:$C$9997,C7345)*INDEX(ForeCalc!$B$37:$Y$274,MATCH(_xlfn.CONCAT(H7345," ",I7345),ForeCalc!$A$37:$A$274,0),MATCH(_xlfn.CONCAT(B7345," ",E7345),ForeCalc!$B$36:$Y$36,0))))*VLOOKUP(A7345,Calendar!$A$2:$H$9997,8,FALSE),0)</f>
        <v/>
      </c>
      <c r="G7345" s="29">
        <f>VLOOKUP(A7345,Calendar!$A$1:$H$9997,6,FALSE)-F7345</f>
        <v/>
      </c>
      <c r="H7345" s="19" t="n">
        <v>3</v>
      </c>
      <c r="I7345" s="57" t="n">
        <v>2</v>
      </c>
    </row>
    <row r="7346">
      <c r="A7346" s="62" t="n">
        <v>46881</v>
      </c>
      <c r="B7346" s="3" t="inlineStr">
        <is>
          <t>Week</t>
        </is>
      </c>
      <c r="C7346" s="19" t="n">
        <v>5</v>
      </c>
      <c r="D7346" s="19" t="n">
        <v>2028</v>
      </c>
      <c r="E7346" s="57" t="n">
        <v>7</v>
      </c>
      <c r="F7346" s="29">
        <f>ROUND(((SUMIFS(Calendar!$F$2:$F$9997,Calendar!$B$2:$B$9997,D7346,Calendar!$C$2:$C$9997,C7346)*INDEX(ForeCalc!$B$37:$Y$274,MATCH(_xlfn.CONCAT(H7346," ",I7346),ForeCalc!$A$37:$A$274,0),MATCH(_xlfn.CONCAT(B7346," ",E7346),ForeCalc!$B$36:$Y$36,0))))*VLOOKUP(A7346,Calendar!$A$2:$H$9997,8,FALSE),0)</f>
        <v/>
      </c>
      <c r="G7346" s="29">
        <f>VLOOKUP(A7346,Calendar!$A$1:$H$9997,6,FALSE)-F7346</f>
        <v/>
      </c>
      <c r="H7346" s="19" t="n">
        <v>3</v>
      </c>
      <c r="I7346" s="57" t="n">
        <v>2</v>
      </c>
    </row>
    <row r="7347">
      <c r="A7347" s="62" t="n">
        <v>46882</v>
      </c>
      <c r="B7347" s="3" t="inlineStr">
        <is>
          <t>Week</t>
        </is>
      </c>
      <c r="C7347" s="19" t="n">
        <v>5</v>
      </c>
      <c r="D7347" s="19" t="n">
        <v>2028</v>
      </c>
      <c r="E7347" s="57" t="n">
        <v>7</v>
      </c>
      <c r="F7347" s="29">
        <f>ROUND(((SUMIFS(Calendar!$F$2:$F$9997,Calendar!$B$2:$B$9997,D7347,Calendar!$C$2:$C$9997,C7347)*INDEX(ForeCalc!$B$37:$Y$274,MATCH(_xlfn.CONCAT(H7347," ",I7347),ForeCalc!$A$37:$A$274,0),MATCH(_xlfn.CONCAT(B7347," ",E7347),ForeCalc!$B$36:$Y$36,0))))*VLOOKUP(A7347,Calendar!$A$2:$H$9997,8,FALSE),0)</f>
        <v/>
      </c>
      <c r="G7347" s="29">
        <f>VLOOKUP(A7347,Calendar!$A$1:$H$9997,6,FALSE)-F7347</f>
        <v/>
      </c>
      <c r="H7347" s="19" t="n">
        <v>3</v>
      </c>
      <c r="I7347" s="57" t="n">
        <v>2</v>
      </c>
    </row>
    <row r="7348">
      <c r="A7348" s="62" t="n">
        <v>46883</v>
      </c>
      <c r="B7348" s="3" t="inlineStr">
        <is>
          <t>Week</t>
        </is>
      </c>
      <c r="C7348" s="19" t="n">
        <v>5</v>
      </c>
      <c r="D7348" s="19" t="n">
        <v>2028</v>
      </c>
      <c r="E7348" s="57" t="n">
        <v>7</v>
      </c>
      <c r="F7348" s="29">
        <f>ROUND(((SUMIFS(Calendar!$F$2:$F$9997,Calendar!$B$2:$B$9997,D7348,Calendar!$C$2:$C$9997,C7348)*INDEX(ForeCalc!$B$37:$Y$274,MATCH(_xlfn.CONCAT(H7348," ",I7348),ForeCalc!$A$37:$A$274,0),MATCH(_xlfn.CONCAT(B7348," ",E7348),ForeCalc!$B$36:$Y$36,0))))*VLOOKUP(A7348,Calendar!$A$2:$H$9997,8,FALSE),0)</f>
        <v/>
      </c>
      <c r="G7348" s="29">
        <f>VLOOKUP(A7348,Calendar!$A$1:$H$9997,6,FALSE)-F7348</f>
        <v/>
      </c>
      <c r="H7348" s="19" t="n">
        <v>3</v>
      </c>
      <c r="I7348" s="57" t="n">
        <v>2</v>
      </c>
    </row>
    <row r="7349">
      <c r="A7349" s="62" t="n">
        <v>46884</v>
      </c>
      <c r="B7349" s="3" t="inlineStr">
        <is>
          <t>Week</t>
        </is>
      </c>
      <c r="C7349" s="19" t="n">
        <v>5</v>
      </c>
      <c r="D7349" s="19" t="n">
        <v>2028</v>
      </c>
      <c r="E7349" s="57" t="n">
        <v>7</v>
      </c>
      <c r="F7349" s="29">
        <f>ROUND(((SUMIFS(Calendar!$F$2:$F$9997,Calendar!$B$2:$B$9997,D7349,Calendar!$C$2:$C$9997,C7349)*INDEX(ForeCalc!$B$37:$Y$274,MATCH(_xlfn.CONCAT(H7349," ",I7349),ForeCalc!$A$37:$A$274,0),MATCH(_xlfn.CONCAT(B7349," ",E7349),ForeCalc!$B$36:$Y$36,0))))*VLOOKUP(A7349,Calendar!$A$2:$H$9997,8,FALSE),0)</f>
        <v/>
      </c>
      <c r="G7349" s="29">
        <f>VLOOKUP(A7349,Calendar!$A$1:$H$9997,6,FALSE)-F7349</f>
        <v/>
      </c>
      <c r="H7349" s="19" t="n">
        <v>3</v>
      </c>
      <c r="I7349" s="57" t="n">
        <v>2</v>
      </c>
    </row>
    <row r="7350">
      <c r="A7350" s="62" t="n">
        <v>46885</v>
      </c>
      <c r="B7350" s="3" t="inlineStr">
        <is>
          <t>Week</t>
        </is>
      </c>
      <c r="C7350" s="19" t="n">
        <v>5</v>
      </c>
      <c r="D7350" s="19" t="n">
        <v>2028</v>
      </c>
      <c r="E7350" s="57" t="n">
        <v>7</v>
      </c>
      <c r="F7350" s="29">
        <f>ROUND(((SUMIFS(Calendar!$F$2:$F$9997,Calendar!$B$2:$B$9997,D7350,Calendar!$C$2:$C$9997,C7350)*INDEX(ForeCalc!$B$37:$Y$274,MATCH(_xlfn.CONCAT(H7350," ",I7350),ForeCalc!$A$37:$A$274,0),MATCH(_xlfn.CONCAT(B7350," ",E7350),ForeCalc!$B$36:$Y$36,0))))*VLOOKUP(A7350,Calendar!$A$2:$H$9997,8,FALSE),0)</f>
        <v/>
      </c>
      <c r="G7350" s="29">
        <f>VLOOKUP(A7350,Calendar!$A$1:$H$9997,6,FALSE)-F7350</f>
        <v/>
      </c>
      <c r="H7350" s="19" t="n">
        <v>3</v>
      </c>
      <c r="I7350" s="57" t="n">
        <v>2</v>
      </c>
    </row>
    <row r="7351">
      <c r="A7351" s="62" t="n">
        <v>46886</v>
      </c>
      <c r="B7351" s="3" t="inlineStr">
        <is>
          <t>Sat</t>
        </is>
      </c>
      <c r="C7351" s="19" t="n">
        <v>5</v>
      </c>
      <c r="D7351" s="19" t="n">
        <v>2028</v>
      </c>
      <c r="E7351" s="57" t="n">
        <v>7</v>
      </c>
      <c r="F7351" s="29">
        <f>ROUND(((SUMIFS(Calendar!$F$2:$F$9997,Calendar!$B$2:$B$9997,D7351,Calendar!$C$2:$C$9997,C7351)*INDEX(ForeCalc!$B$37:$Y$274,MATCH(_xlfn.CONCAT(H7351," ",I7351),ForeCalc!$A$37:$A$274,0),MATCH(_xlfn.CONCAT(B7351," ",E7351),ForeCalc!$B$36:$Y$36,0))))*VLOOKUP(A7351,Calendar!$A$2:$H$9997,8,FALSE),0)</f>
        <v/>
      </c>
      <c r="G7351" s="29">
        <f>VLOOKUP(A7351,Calendar!$A$1:$H$9997,6,FALSE)-F7351</f>
        <v/>
      </c>
      <c r="H7351" s="19" t="n">
        <v>3</v>
      </c>
      <c r="I7351" s="57" t="n">
        <v>2</v>
      </c>
    </row>
    <row r="7352">
      <c r="A7352" s="62" t="n">
        <v>46887</v>
      </c>
      <c r="B7352" s="3" t="inlineStr">
        <is>
          <t>Sun</t>
        </is>
      </c>
      <c r="C7352" s="19" t="n">
        <v>5</v>
      </c>
      <c r="D7352" s="19" t="n">
        <v>2028</v>
      </c>
      <c r="E7352" s="57" t="n">
        <v>7</v>
      </c>
      <c r="F7352" s="29">
        <f>ROUND(((SUMIFS(Calendar!$F$2:$F$9997,Calendar!$B$2:$B$9997,D7352,Calendar!$C$2:$C$9997,C7352)*INDEX(ForeCalc!$B$37:$Y$274,MATCH(_xlfn.CONCAT(H7352," ",I7352),ForeCalc!$A$37:$A$274,0),MATCH(_xlfn.CONCAT(B7352," ",E7352),ForeCalc!$B$36:$Y$36,0))))*VLOOKUP(A7352,Calendar!$A$2:$H$9997,8,FALSE),0)</f>
        <v/>
      </c>
      <c r="G7352" s="29">
        <f>VLOOKUP(A7352,Calendar!$A$1:$H$9997,6,FALSE)-F7352</f>
        <v/>
      </c>
      <c r="H7352" s="19" t="n">
        <v>3</v>
      </c>
      <c r="I7352" s="57" t="n">
        <v>2</v>
      </c>
    </row>
    <row r="7353">
      <c r="A7353" s="62" t="n">
        <v>46888</v>
      </c>
      <c r="B7353" s="3" t="inlineStr">
        <is>
          <t>Week</t>
        </is>
      </c>
      <c r="C7353" s="19" t="n">
        <v>5</v>
      </c>
      <c r="D7353" s="19" t="n">
        <v>2028</v>
      </c>
      <c r="E7353" s="57" t="n">
        <v>7</v>
      </c>
      <c r="F7353" s="29">
        <f>ROUND(((SUMIFS(Calendar!$F$2:$F$9997,Calendar!$B$2:$B$9997,D7353,Calendar!$C$2:$C$9997,C7353)*INDEX(ForeCalc!$B$37:$Y$274,MATCH(_xlfn.CONCAT(H7353," ",I7353),ForeCalc!$A$37:$A$274,0),MATCH(_xlfn.CONCAT(B7353," ",E7353),ForeCalc!$B$36:$Y$36,0))))*VLOOKUP(A7353,Calendar!$A$2:$H$9997,8,FALSE),0)</f>
        <v/>
      </c>
      <c r="G7353" s="29">
        <f>VLOOKUP(A7353,Calendar!$A$1:$H$9997,6,FALSE)-F7353</f>
        <v/>
      </c>
      <c r="H7353" s="19" t="n">
        <v>3</v>
      </c>
      <c r="I7353" s="57" t="n">
        <v>2</v>
      </c>
    </row>
    <row r="7354">
      <c r="A7354" s="62" t="n">
        <v>46889</v>
      </c>
      <c r="B7354" s="3" t="inlineStr">
        <is>
          <t>Week</t>
        </is>
      </c>
      <c r="C7354" s="19" t="n">
        <v>5</v>
      </c>
      <c r="D7354" s="19" t="n">
        <v>2028</v>
      </c>
      <c r="E7354" s="57" t="n">
        <v>7</v>
      </c>
      <c r="F7354" s="29">
        <f>ROUND(((SUMIFS(Calendar!$F$2:$F$9997,Calendar!$B$2:$B$9997,D7354,Calendar!$C$2:$C$9997,C7354)*INDEX(ForeCalc!$B$37:$Y$274,MATCH(_xlfn.CONCAT(H7354," ",I7354),ForeCalc!$A$37:$A$274,0),MATCH(_xlfn.CONCAT(B7354," ",E7354),ForeCalc!$B$36:$Y$36,0))))*VLOOKUP(A7354,Calendar!$A$2:$H$9997,8,FALSE),0)</f>
        <v/>
      </c>
      <c r="G7354" s="29">
        <f>VLOOKUP(A7354,Calendar!$A$1:$H$9997,6,FALSE)-F7354</f>
        <v/>
      </c>
      <c r="H7354" s="19" t="n">
        <v>3</v>
      </c>
      <c r="I7354" s="57" t="n">
        <v>2</v>
      </c>
    </row>
    <row r="7355">
      <c r="A7355" s="62" t="n">
        <v>46890</v>
      </c>
      <c r="B7355" s="3" t="inlineStr">
        <is>
          <t>Week</t>
        </is>
      </c>
      <c r="C7355" s="19" t="n">
        <v>5</v>
      </c>
      <c r="D7355" s="19" t="n">
        <v>2028</v>
      </c>
      <c r="E7355" s="57" t="n">
        <v>7</v>
      </c>
      <c r="F7355" s="29">
        <f>ROUND(((SUMIFS(Calendar!$F$2:$F$9997,Calendar!$B$2:$B$9997,D7355,Calendar!$C$2:$C$9997,C7355)*INDEX(ForeCalc!$B$37:$Y$274,MATCH(_xlfn.CONCAT(H7355," ",I7355),ForeCalc!$A$37:$A$274,0),MATCH(_xlfn.CONCAT(B7355," ",E7355),ForeCalc!$B$36:$Y$36,0))))*VLOOKUP(A7355,Calendar!$A$2:$H$9997,8,FALSE),0)</f>
        <v/>
      </c>
      <c r="G7355" s="29">
        <f>VLOOKUP(A7355,Calendar!$A$1:$H$9997,6,FALSE)-F7355</f>
        <v/>
      </c>
      <c r="H7355" s="19" t="n">
        <v>3</v>
      </c>
      <c r="I7355" s="57" t="n">
        <v>2</v>
      </c>
    </row>
    <row r="7356">
      <c r="A7356" s="62" t="n">
        <v>46891</v>
      </c>
      <c r="B7356" s="3" t="inlineStr">
        <is>
          <t>Week</t>
        </is>
      </c>
      <c r="C7356" s="19" t="n">
        <v>5</v>
      </c>
      <c r="D7356" s="19" t="n">
        <v>2028</v>
      </c>
      <c r="E7356" s="57" t="n">
        <v>7</v>
      </c>
      <c r="F7356" s="29">
        <f>ROUND(((SUMIFS(Calendar!$F$2:$F$9997,Calendar!$B$2:$B$9997,D7356,Calendar!$C$2:$C$9997,C7356)*INDEX(ForeCalc!$B$37:$Y$274,MATCH(_xlfn.CONCAT(H7356," ",I7356),ForeCalc!$A$37:$A$274,0),MATCH(_xlfn.CONCAT(B7356," ",E7356),ForeCalc!$B$36:$Y$36,0))))*VLOOKUP(A7356,Calendar!$A$2:$H$9997,8,FALSE),0)</f>
        <v/>
      </c>
      <c r="G7356" s="29">
        <f>VLOOKUP(A7356,Calendar!$A$1:$H$9997,6,FALSE)-F7356</f>
        <v/>
      </c>
      <c r="H7356" s="19" t="n">
        <v>3</v>
      </c>
      <c r="I7356" s="57" t="n">
        <v>2</v>
      </c>
    </row>
    <row r="7357">
      <c r="A7357" s="62" t="n">
        <v>46892</v>
      </c>
      <c r="B7357" s="3" t="inlineStr">
        <is>
          <t>Week</t>
        </is>
      </c>
      <c r="C7357" s="19" t="n">
        <v>5</v>
      </c>
      <c r="D7357" s="19" t="n">
        <v>2028</v>
      </c>
      <c r="E7357" s="57" t="n">
        <v>7</v>
      </c>
      <c r="F7357" s="29">
        <f>ROUND(((SUMIFS(Calendar!$F$2:$F$9997,Calendar!$B$2:$B$9997,D7357,Calendar!$C$2:$C$9997,C7357)*INDEX(ForeCalc!$B$37:$Y$274,MATCH(_xlfn.CONCAT(H7357," ",I7357),ForeCalc!$A$37:$A$274,0),MATCH(_xlfn.CONCAT(B7357," ",E7357),ForeCalc!$B$36:$Y$36,0))))*VLOOKUP(A7357,Calendar!$A$2:$H$9997,8,FALSE),0)</f>
        <v/>
      </c>
      <c r="G7357" s="29">
        <f>VLOOKUP(A7357,Calendar!$A$1:$H$9997,6,FALSE)-F7357</f>
        <v/>
      </c>
      <c r="H7357" s="19" t="n">
        <v>3</v>
      </c>
      <c r="I7357" s="57" t="n">
        <v>2</v>
      </c>
    </row>
    <row r="7358">
      <c r="A7358" s="62" t="n">
        <v>46893</v>
      </c>
      <c r="B7358" s="3" t="inlineStr">
        <is>
          <t>Sat</t>
        </is>
      </c>
      <c r="C7358" s="19" t="n">
        <v>5</v>
      </c>
      <c r="D7358" s="19" t="n">
        <v>2028</v>
      </c>
      <c r="E7358" s="57" t="n">
        <v>7</v>
      </c>
      <c r="F7358" s="29">
        <f>ROUND(((SUMIFS(Calendar!$F$2:$F$9997,Calendar!$B$2:$B$9997,D7358,Calendar!$C$2:$C$9997,C7358)*INDEX(ForeCalc!$B$37:$Y$274,MATCH(_xlfn.CONCAT(H7358," ",I7358),ForeCalc!$A$37:$A$274,0),MATCH(_xlfn.CONCAT(B7358," ",E7358),ForeCalc!$B$36:$Y$36,0))))*VLOOKUP(A7358,Calendar!$A$2:$H$9997,8,FALSE),0)</f>
        <v/>
      </c>
      <c r="G7358" s="29">
        <f>VLOOKUP(A7358,Calendar!$A$1:$H$9997,6,FALSE)-F7358</f>
        <v/>
      </c>
      <c r="H7358" s="19" t="n">
        <v>3</v>
      </c>
      <c r="I7358" s="57" t="n">
        <v>2</v>
      </c>
    </row>
    <row r="7359">
      <c r="A7359" s="62" t="n">
        <v>46894</v>
      </c>
      <c r="B7359" s="3" t="inlineStr">
        <is>
          <t>Sun</t>
        </is>
      </c>
      <c r="C7359" s="19" t="n">
        <v>5</v>
      </c>
      <c r="D7359" s="19" t="n">
        <v>2028</v>
      </c>
      <c r="E7359" s="57" t="n">
        <v>7</v>
      </c>
      <c r="F7359" s="29">
        <f>ROUND(((SUMIFS(Calendar!$F$2:$F$9997,Calendar!$B$2:$B$9997,D7359,Calendar!$C$2:$C$9997,C7359)*INDEX(ForeCalc!$B$37:$Y$274,MATCH(_xlfn.CONCAT(H7359," ",I7359),ForeCalc!$A$37:$A$274,0),MATCH(_xlfn.CONCAT(B7359," ",E7359),ForeCalc!$B$36:$Y$36,0))))*VLOOKUP(A7359,Calendar!$A$2:$H$9997,8,FALSE),0)</f>
        <v/>
      </c>
      <c r="G7359" s="29">
        <f>VLOOKUP(A7359,Calendar!$A$1:$H$9997,6,FALSE)-F7359</f>
        <v/>
      </c>
      <c r="H7359" s="19" t="n">
        <v>3</v>
      </c>
      <c r="I7359" s="57" t="n">
        <v>2</v>
      </c>
    </row>
    <row r="7360">
      <c r="A7360" s="62" t="n">
        <v>46895</v>
      </c>
      <c r="B7360" s="3" t="inlineStr">
        <is>
          <t>Week</t>
        </is>
      </c>
      <c r="C7360" s="19" t="n">
        <v>5</v>
      </c>
      <c r="D7360" s="19" t="n">
        <v>2028</v>
      </c>
      <c r="E7360" s="57" t="n">
        <v>7</v>
      </c>
      <c r="F7360" s="29">
        <f>ROUND(((SUMIFS(Calendar!$F$2:$F$9997,Calendar!$B$2:$B$9997,D7360,Calendar!$C$2:$C$9997,C7360)*INDEX(ForeCalc!$B$37:$Y$274,MATCH(_xlfn.CONCAT(H7360," ",I7360),ForeCalc!$A$37:$A$274,0),MATCH(_xlfn.CONCAT(B7360," ",E7360),ForeCalc!$B$36:$Y$36,0))))*VLOOKUP(A7360,Calendar!$A$2:$H$9997,8,FALSE),0)</f>
        <v/>
      </c>
      <c r="G7360" s="29">
        <f>VLOOKUP(A7360,Calendar!$A$1:$H$9997,6,FALSE)-F7360</f>
        <v/>
      </c>
      <c r="H7360" s="19" t="n">
        <v>3</v>
      </c>
      <c r="I7360" s="57" t="n">
        <v>2</v>
      </c>
    </row>
    <row r="7361">
      <c r="A7361" s="62" t="n">
        <v>46896</v>
      </c>
      <c r="B7361" s="3" t="inlineStr">
        <is>
          <t>Week</t>
        </is>
      </c>
      <c r="C7361" s="19" t="n">
        <v>5</v>
      </c>
      <c r="D7361" s="19" t="n">
        <v>2028</v>
      </c>
      <c r="E7361" s="57" t="n">
        <v>7</v>
      </c>
      <c r="F7361" s="29">
        <f>ROUND(((SUMIFS(Calendar!$F$2:$F$9997,Calendar!$B$2:$B$9997,D7361,Calendar!$C$2:$C$9997,C7361)*INDEX(ForeCalc!$B$37:$Y$274,MATCH(_xlfn.CONCAT(H7361," ",I7361),ForeCalc!$A$37:$A$274,0),MATCH(_xlfn.CONCAT(B7361," ",E7361),ForeCalc!$B$36:$Y$36,0))))*VLOOKUP(A7361,Calendar!$A$2:$H$9997,8,FALSE),0)</f>
        <v/>
      </c>
      <c r="G7361" s="29">
        <f>VLOOKUP(A7361,Calendar!$A$1:$H$9997,6,FALSE)-F7361</f>
        <v/>
      </c>
      <c r="H7361" s="19" t="n">
        <v>3</v>
      </c>
      <c r="I7361" s="57" t="n">
        <v>2</v>
      </c>
    </row>
    <row r="7362">
      <c r="A7362" s="62" t="n">
        <v>46897</v>
      </c>
      <c r="B7362" s="3" t="inlineStr">
        <is>
          <t>Week</t>
        </is>
      </c>
      <c r="C7362" s="19" t="n">
        <v>5</v>
      </c>
      <c r="D7362" s="19" t="n">
        <v>2028</v>
      </c>
      <c r="E7362" s="57" t="n">
        <v>7</v>
      </c>
      <c r="F7362" s="29">
        <f>ROUND(((SUMIFS(Calendar!$F$2:$F$9997,Calendar!$B$2:$B$9997,D7362,Calendar!$C$2:$C$9997,C7362)*INDEX(ForeCalc!$B$37:$Y$274,MATCH(_xlfn.CONCAT(H7362," ",I7362),ForeCalc!$A$37:$A$274,0),MATCH(_xlfn.CONCAT(B7362," ",E7362),ForeCalc!$B$36:$Y$36,0))))*VLOOKUP(A7362,Calendar!$A$2:$H$9997,8,FALSE),0)</f>
        <v/>
      </c>
      <c r="G7362" s="29">
        <f>VLOOKUP(A7362,Calendar!$A$1:$H$9997,6,FALSE)-F7362</f>
        <v/>
      </c>
      <c r="H7362" s="19" t="n">
        <v>3</v>
      </c>
      <c r="I7362" s="57" t="n">
        <v>2</v>
      </c>
    </row>
    <row r="7363">
      <c r="A7363" s="62" t="n">
        <v>46898</v>
      </c>
      <c r="B7363" s="3" t="inlineStr">
        <is>
          <t>Week</t>
        </is>
      </c>
      <c r="C7363" s="19" t="n">
        <v>5</v>
      </c>
      <c r="D7363" s="19" t="n">
        <v>2028</v>
      </c>
      <c r="E7363" s="57" t="n">
        <v>7</v>
      </c>
      <c r="F7363" s="29">
        <f>ROUND(((SUMIFS(Calendar!$F$2:$F$9997,Calendar!$B$2:$B$9997,D7363,Calendar!$C$2:$C$9997,C7363)*INDEX(ForeCalc!$B$37:$Y$274,MATCH(_xlfn.CONCAT(H7363," ",I7363),ForeCalc!$A$37:$A$274,0),MATCH(_xlfn.CONCAT(B7363," ",E7363),ForeCalc!$B$36:$Y$36,0))))*VLOOKUP(A7363,Calendar!$A$2:$H$9997,8,FALSE),0)</f>
        <v/>
      </c>
      <c r="G7363" s="29">
        <f>VLOOKUP(A7363,Calendar!$A$1:$H$9997,6,FALSE)-F7363</f>
        <v/>
      </c>
      <c r="H7363" s="19" t="n">
        <v>3</v>
      </c>
      <c r="I7363" s="57" t="n">
        <v>2</v>
      </c>
    </row>
    <row r="7364">
      <c r="A7364" s="62" t="n">
        <v>46899</v>
      </c>
      <c r="B7364" s="3" t="inlineStr">
        <is>
          <t>Week</t>
        </is>
      </c>
      <c r="C7364" s="19" t="n">
        <v>5</v>
      </c>
      <c r="D7364" s="19" t="n">
        <v>2028</v>
      </c>
      <c r="E7364" s="57" t="n">
        <v>7</v>
      </c>
      <c r="F7364" s="29">
        <f>ROUND(((SUMIFS(Calendar!$F$2:$F$9997,Calendar!$B$2:$B$9997,D7364,Calendar!$C$2:$C$9997,C7364)*INDEX(ForeCalc!$B$37:$Y$274,MATCH(_xlfn.CONCAT(H7364," ",I7364),ForeCalc!$A$37:$A$274,0),MATCH(_xlfn.CONCAT(B7364," ",E7364),ForeCalc!$B$36:$Y$36,0))))*VLOOKUP(A7364,Calendar!$A$2:$H$9997,8,FALSE),0)</f>
        <v/>
      </c>
      <c r="G7364" s="29">
        <f>VLOOKUP(A7364,Calendar!$A$1:$H$9997,6,FALSE)-F7364</f>
        <v/>
      </c>
      <c r="H7364" s="19" t="n">
        <v>3</v>
      </c>
      <c r="I7364" s="57" t="n">
        <v>2</v>
      </c>
    </row>
    <row r="7365">
      <c r="A7365" s="62" t="n">
        <v>46900</v>
      </c>
      <c r="B7365" s="3" t="inlineStr">
        <is>
          <t>Sat</t>
        </is>
      </c>
      <c r="C7365" s="19" t="n">
        <v>5</v>
      </c>
      <c r="D7365" s="19" t="n">
        <v>2028</v>
      </c>
      <c r="E7365" s="57" t="n">
        <v>7</v>
      </c>
      <c r="F7365" s="29">
        <f>ROUND(((SUMIFS(Calendar!$F$2:$F$9997,Calendar!$B$2:$B$9997,D7365,Calendar!$C$2:$C$9997,C7365)*INDEX(ForeCalc!$B$37:$Y$274,MATCH(_xlfn.CONCAT(H7365," ",I7365),ForeCalc!$A$37:$A$274,0),MATCH(_xlfn.CONCAT(B7365," ",E7365),ForeCalc!$B$36:$Y$36,0))))*VLOOKUP(A7365,Calendar!$A$2:$H$9997,8,FALSE),0)</f>
        <v/>
      </c>
      <c r="G7365" s="29">
        <f>VLOOKUP(A7365,Calendar!$A$1:$H$9997,6,FALSE)-F7365</f>
        <v/>
      </c>
      <c r="H7365" s="19" t="n">
        <v>3</v>
      </c>
      <c r="I7365" s="57" t="n">
        <v>2</v>
      </c>
    </row>
    <row r="7366">
      <c r="A7366" s="62" t="n">
        <v>46901</v>
      </c>
      <c r="B7366" s="3" t="inlineStr">
        <is>
          <t>Sun</t>
        </is>
      </c>
      <c r="C7366" s="19" t="n">
        <v>5</v>
      </c>
      <c r="D7366" s="19" t="n">
        <v>2028</v>
      </c>
      <c r="E7366" s="57" t="n">
        <v>7</v>
      </c>
      <c r="F7366" s="29">
        <f>ROUND(((SUMIFS(Calendar!$F$2:$F$9997,Calendar!$B$2:$B$9997,D7366,Calendar!$C$2:$C$9997,C7366)*INDEX(ForeCalc!$B$37:$Y$274,MATCH(_xlfn.CONCAT(H7366," ",I7366),ForeCalc!$A$37:$A$274,0),MATCH(_xlfn.CONCAT(B7366," ",E7366),ForeCalc!$B$36:$Y$36,0))))*VLOOKUP(A7366,Calendar!$A$2:$H$9997,8,FALSE),0)</f>
        <v/>
      </c>
      <c r="G7366" s="29">
        <f>VLOOKUP(A7366,Calendar!$A$1:$H$9997,6,FALSE)-F7366</f>
        <v/>
      </c>
      <c r="H7366" s="19" t="n">
        <v>3</v>
      </c>
      <c r="I7366" s="57" t="n">
        <v>2</v>
      </c>
    </row>
    <row r="7367">
      <c r="A7367" s="62" t="n">
        <v>46902</v>
      </c>
      <c r="B7367" s="3" t="inlineStr">
        <is>
          <t>Week</t>
        </is>
      </c>
      <c r="C7367" s="19" t="n">
        <v>5</v>
      </c>
      <c r="D7367" s="19" t="n">
        <v>2028</v>
      </c>
      <c r="E7367" s="57" t="n">
        <v>7</v>
      </c>
      <c r="F7367" s="29">
        <f>ROUND(((SUMIFS(Calendar!$F$2:$F$9997,Calendar!$B$2:$B$9997,D7367,Calendar!$C$2:$C$9997,C7367)*INDEX(ForeCalc!$B$37:$Y$274,MATCH(_xlfn.CONCAT(H7367," ",I7367),ForeCalc!$A$37:$A$274,0),MATCH(_xlfn.CONCAT(B7367," ",E7367),ForeCalc!$B$36:$Y$36,0))))*VLOOKUP(A7367,Calendar!$A$2:$H$9997,8,FALSE),0)</f>
        <v/>
      </c>
      <c r="G7367" s="29">
        <f>VLOOKUP(A7367,Calendar!$A$1:$H$9997,6,FALSE)-F7367</f>
        <v/>
      </c>
      <c r="H7367" s="19" t="n">
        <v>3</v>
      </c>
      <c r="I7367" s="57" t="n">
        <v>2</v>
      </c>
    </row>
    <row r="7368">
      <c r="A7368" s="62" t="n">
        <v>46903</v>
      </c>
      <c r="B7368" s="3" t="inlineStr">
        <is>
          <t>Week</t>
        </is>
      </c>
      <c r="C7368" s="19" t="n">
        <v>5</v>
      </c>
      <c r="D7368" s="19" t="n">
        <v>2028</v>
      </c>
      <c r="E7368" s="57" t="n">
        <v>7</v>
      </c>
      <c r="F7368" s="29">
        <f>ROUND(((SUMIFS(Calendar!$F$2:$F$9997,Calendar!$B$2:$B$9997,D7368,Calendar!$C$2:$C$9997,C7368)*INDEX(ForeCalc!$B$37:$Y$274,MATCH(_xlfn.CONCAT(H7368," ",I7368),ForeCalc!$A$37:$A$274,0),MATCH(_xlfn.CONCAT(B7368," ",E7368),ForeCalc!$B$36:$Y$36,0))))*VLOOKUP(A7368,Calendar!$A$2:$H$9997,8,FALSE),0)</f>
        <v/>
      </c>
      <c r="G7368" s="29">
        <f>VLOOKUP(A7368,Calendar!$A$1:$H$9997,6,FALSE)-F7368</f>
        <v/>
      </c>
      <c r="H7368" s="19" t="n">
        <v>3</v>
      </c>
      <c r="I7368" s="57" t="n">
        <v>2</v>
      </c>
    </row>
    <row r="7369">
      <c r="A7369" s="62" t="n">
        <v>46904</v>
      </c>
      <c r="B7369" s="3" t="inlineStr">
        <is>
          <t>Week</t>
        </is>
      </c>
      <c r="C7369" s="19" t="n">
        <v>5</v>
      </c>
      <c r="D7369" s="19" t="n">
        <v>2028</v>
      </c>
      <c r="E7369" s="57" t="n">
        <v>7</v>
      </c>
      <c r="F7369" s="29">
        <f>ROUND(((SUMIFS(Calendar!$F$2:$F$9997,Calendar!$B$2:$B$9997,D7369,Calendar!$C$2:$C$9997,C7369)*INDEX(ForeCalc!$B$37:$Y$274,MATCH(_xlfn.CONCAT(H7369," ",I7369),ForeCalc!$A$37:$A$274,0),MATCH(_xlfn.CONCAT(B7369," ",E7369),ForeCalc!$B$36:$Y$36,0))))*VLOOKUP(A7369,Calendar!$A$2:$H$9997,8,FALSE),0)</f>
        <v/>
      </c>
      <c r="G7369" s="29">
        <f>VLOOKUP(A7369,Calendar!$A$1:$H$9997,6,FALSE)-F7369</f>
        <v/>
      </c>
      <c r="H7369" s="19" t="n">
        <v>3</v>
      </c>
      <c r="I7369" s="57" t="n">
        <v>2</v>
      </c>
    </row>
    <row r="7370">
      <c r="A7370" s="62" t="n">
        <v>46905</v>
      </c>
      <c r="B7370" s="3" t="inlineStr">
        <is>
          <t>Week</t>
        </is>
      </c>
      <c r="C7370" s="19" t="n">
        <v>6</v>
      </c>
      <c r="D7370" s="19" t="n">
        <v>2028</v>
      </c>
      <c r="E7370" s="57" t="n">
        <v>7</v>
      </c>
      <c r="F7370" s="29">
        <f>ROUND(((SUMIFS(Calendar!$F$2:$F$9997,Calendar!$B$2:$B$9997,D7370,Calendar!$C$2:$C$9997,C7370)*INDEX(ForeCalc!$B$37:$Y$274,MATCH(_xlfn.CONCAT(H7370," ",I7370),ForeCalc!$A$37:$A$274,0),MATCH(_xlfn.CONCAT(B7370," ",E7370),ForeCalc!$B$36:$Y$36,0))))*VLOOKUP(A7370,Calendar!$A$2:$H$9997,8,FALSE),0)</f>
        <v/>
      </c>
      <c r="G7370" s="29">
        <f>VLOOKUP(A7370,Calendar!$A$1:$H$9997,6,FALSE)-F7370</f>
        <v/>
      </c>
      <c r="H7370" s="19" t="n">
        <v>3</v>
      </c>
      <c r="I7370" s="57" t="n">
        <v>3</v>
      </c>
    </row>
    <row r="7371">
      <c r="A7371" s="62" t="n">
        <v>46906</v>
      </c>
      <c r="B7371" s="3" t="inlineStr">
        <is>
          <t>Week</t>
        </is>
      </c>
      <c r="C7371" s="19" t="n">
        <v>6</v>
      </c>
      <c r="D7371" s="19" t="n">
        <v>2028</v>
      </c>
      <c r="E7371" s="57" t="n">
        <v>7</v>
      </c>
      <c r="F7371" s="29">
        <f>ROUND(((SUMIFS(Calendar!$F$2:$F$9997,Calendar!$B$2:$B$9997,D7371,Calendar!$C$2:$C$9997,C7371)*INDEX(ForeCalc!$B$37:$Y$274,MATCH(_xlfn.CONCAT(H7371," ",I7371),ForeCalc!$A$37:$A$274,0),MATCH(_xlfn.CONCAT(B7371," ",E7371),ForeCalc!$B$36:$Y$36,0))))*VLOOKUP(A7371,Calendar!$A$2:$H$9997,8,FALSE),0)</f>
        <v/>
      </c>
      <c r="G7371" s="29">
        <f>VLOOKUP(A7371,Calendar!$A$1:$H$9997,6,FALSE)-F7371</f>
        <v/>
      </c>
      <c r="H7371" s="19" t="n">
        <v>3</v>
      </c>
      <c r="I7371" s="57" t="n">
        <v>3</v>
      </c>
    </row>
    <row r="7372">
      <c r="A7372" s="62" t="n">
        <v>46907</v>
      </c>
      <c r="B7372" s="3" t="inlineStr">
        <is>
          <t>Sat</t>
        </is>
      </c>
      <c r="C7372" s="19" t="n">
        <v>6</v>
      </c>
      <c r="D7372" s="19" t="n">
        <v>2028</v>
      </c>
      <c r="E7372" s="57" t="n">
        <v>7</v>
      </c>
      <c r="F7372" s="29">
        <f>ROUND(((SUMIFS(Calendar!$F$2:$F$9997,Calendar!$B$2:$B$9997,D7372,Calendar!$C$2:$C$9997,C7372)*INDEX(ForeCalc!$B$37:$Y$274,MATCH(_xlfn.CONCAT(H7372," ",I7372),ForeCalc!$A$37:$A$274,0),MATCH(_xlfn.CONCAT(B7372," ",E7372),ForeCalc!$B$36:$Y$36,0))))*VLOOKUP(A7372,Calendar!$A$2:$H$9997,8,FALSE),0)</f>
        <v/>
      </c>
      <c r="G7372" s="29">
        <f>VLOOKUP(A7372,Calendar!$A$1:$H$9997,6,FALSE)-F7372</f>
        <v/>
      </c>
      <c r="H7372" s="19" t="n">
        <v>3</v>
      </c>
      <c r="I7372" s="57" t="n">
        <v>3</v>
      </c>
    </row>
    <row r="7373">
      <c r="A7373" s="62" t="n">
        <v>46908</v>
      </c>
      <c r="B7373" s="3" t="inlineStr">
        <is>
          <t>Sun</t>
        </is>
      </c>
      <c r="C7373" s="19" t="n">
        <v>6</v>
      </c>
      <c r="D7373" s="19" t="n">
        <v>2028</v>
      </c>
      <c r="E7373" s="57" t="n">
        <v>7</v>
      </c>
      <c r="F7373" s="29">
        <f>ROUND(((SUMIFS(Calendar!$F$2:$F$9997,Calendar!$B$2:$B$9997,D7373,Calendar!$C$2:$C$9997,C7373)*INDEX(ForeCalc!$B$37:$Y$274,MATCH(_xlfn.CONCAT(H7373," ",I7373),ForeCalc!$A$37:$A$274,0),MATCH(_xlfn.CONCAT(B7373," ",E7373),ForeCalc!$B$36:$Y$36,0))))*VLOOKUP(A7373,Calendar!$A$2:$H$9997,8,FALSE),0)</f>
        <v/>
      </c>
      <c r="G7373" s="29">
        <f>VLOOKUP(A7373,Calendar!$A$1:$H$9997,6,FALSE)-F7373</f>
        <v/>
      </c>
      <c r="H7373" s="19" t="n">
        <v>3</v>
      </c>
      <c r="I7373" s="57" t="n">
        <v>3</v>
      </c>
    </row>
    <row r="7374">
      <c r="A7374" s="62" t="n">
        <v>46909</v>
      </c>
      <c r="B7374" s="3" t="inlineStr">
        <is>
          <t>Week</t>
        </is>
      </c>
      <c r="C7374" s="19" t="n">
        <v>6</v>
      </c>
      <c r="D7374" s="19" t="n">
        <v>2028</v>
      </c>
      <c r="E7374" s="57" t="n">
        <v>7</v>
      </c>
      <c r="F7374" s="29">
        <f>ROUND(((SUMIFS(Calendar!$F$2:$F$9997,Calendar!$B$2:$B$9997,D7374,Calendar!$C$2:$C$9997,C7374)*INDEX(ForeCalc!$B$37:$Y$274,MATCH(_xlfn.CONCAT(H7374," ",I7374),ForeCalc!$A$37:$A$274,0),MATCH(_xlfn.CONCAT(B7374," ",E7374),ForeCalc!$B$36:$Y$36,0))))*VLOOKUP(A7374,Calendar!$A$2:$H$9997,8,FALSE),0)</f>
        <v/>
      </c>
      <c r="G7374" s="29">
        <f>VLOOKUP(A7374,Calendar!$A$1:$H$9997,6,FALSE)-F7374</f>
        <v/>
      </c>
      <c r="H7374" s="19" t="n">
        <v>3</v>
      </c>
      <c r="I7374" s="57" t="n">
        <v>3</v>
      </c>
    </row>
    <row r="7375">
      <c r="A7375" s="62" t="n">
        <v>46910</v>
      </c>
      <c r="B7375" s="3" t="inlineStr">
        <is>
          <t>Week</t>
        </is>
      </c>
      <c r="C7375" s="19" t="n">
        <v>6</v>
      </c>
      <c r="D7375" s="19" t="n">
        <v>2028</v>
      </c>
      <c r="E7375" s="57" t="n">
        <v>7</v>
      </c>
      <c r="F7375" s="29">
        <f>ROUND(((SUMIFS(Calendar!$F$2:$F$9997,Calendar!$B$2:$B$9997,D7375,Calendar!$C$2:$C$9997,C7375)*INDEX(ForeCalc!$B$37:$Y$274,MATCH(_xlfn.CONCAT(H7375," ",I7375),ForeCalc!$A$37:$A$274,0),MATCH(_xlfn.CONCAT(B7375," ",E7375),ForeCalc!$B$36:$Y$36,0))))*VLOOKUP(A7375,Calendar!$A$2:$H$9997,8,FALSE),0)</f>
        <v/>
      </c>
      <c r="G7375" s="29">
        <f>VLOOKUP(A7375,Calendar!$A$1:$H$9997,6,FALSE)-F7375</f>
        <v/>
      </c>
      <c r="H7375" s="19" t="n">
        <v>3</v>
      </c>
      <c r="I7375" s="57" t="n">
        <v>3</v>
      </c>
    </row>
    <row r="7376">
      <c r="A7376" s="62" t="n">
        <v>46911</v>
      </c>
      <c r="B7376" s="3" t="inlineStr">
        <is>
          <t>Week</t>
        </is>
      </c>
      <c r="C7376" s="19" t="n">
        <v>6</v>
      </c>
      <c r="D7376" s="19" t="n">
        <v>2028</v>
      </c>
      <c r="E7376" s="57" t="n">
        <v>7</v>
      </c>
      <c r="F7376" s="29">
        <f>ROUND(((SUMIFS(Calendar!$F$2:$F$9997,Calendar!$B$2:$B$9997,D7376,Calendar!$C$2:$C$9997,C7376)*INDEX(ForeCalc!$B$37:$Y$274,MATCH(_xlfn.CONCAT(H7376," ",I7376),ForeCalc!$A$37:$A$274,0),MATCH(_xlfn.CONCAT(B7376," ",E7376),ForeCalc!$B$36:$Y$36,0))))*VLOOKUP(A7376,Calendar!$A$2:$H$9997,8,FALSE),0)</f>
        <v/>
      </c>
      <c r="G7376" s="29">
        <f>VLOOKUP(A7376,Calendar!$A$1:$H$9997,6,FALSE)-F7376</f>
        <v/>
      </c>
      <c r="H7376" s="19" t="n">
        <v>3</v>
      </c>
      <c r="I7376" s="57" t="n">
        <v>3</v>
      </c>
    </row>
    <row r="7377">
      <c r="A7377" s="62" t="n">
        <v>46912</v>
      </c>
      <c r="B7377" s="3" t="inlineStr">
        <is>
          <t>Week</t>
        </is>
      </c>
      <c r="C7377" s="19" t="n">
        <v>6</v>
      </c>
      <c r="D7377" s="19" t="n">
        <v>2028</v>
      </c>
      <c r="E7377" s="57" t="n">
        <v>7</v>
      </c>
      <c r="F7377" s="29">
        <f>ROUND(((SUMIFS(Calendar!$F$2:$F$9997,Calendar!$B$2:$B$9997,D7377,Calendar!$C$2:$C$9997,C7377)*INDEX(ForeCalc!$B$37:$Y$274,MATCH(_xlfn.CONCAT(H7377," ",I7377),ForeCalc!$A$37:$A$274,0),MATCH(_xlfn.CONCAT(B7377," ",E7377),ForeCalc!$B$36:$Y$36,0))))*VLOOKUP(A7377,Calendar!$A$2:$H$9997,8,FALSE),0)</f>
        <v/>
      </c>
      <c r="G7377" s="29">
        <f>VLOOKUP(A7377,Calendar!$A$1:$H$9997,6,FALSE)-F7377</f>
        <v/>
      </c>
      <c r="H7377" s="19" t="n">
        <v>3</v>
      </c>
      <c r="I7377" s="57" t="n">
        <v>3</v>
      </c>
    </row>
    <row r="7378">
      <c r="A7378" s="62" t="n">
        <v>46913</v>
      </c>
      <c r="B7378" s="3" t="inlineStr">
        <is>
          <t>Week</t>
        </is>
      </c>
      <c r="C7378" s="19" t="n">
        <v>6</v>
      </c>
      <c r="D7378" s="19" t="n">
        <v>2028</v>
      </c>
      <c r="E7378" s="57" t="n">
        <v>7</v>
      </c>
      <c r="F7378" s="29">
        <f>ROUND(((SUMIFS(Calendar!$F$2:$F$9997,Calendar!$B$2:$B$9997,D7378,Calendar!$C$2:$C$9997,C7378)*INDEX(ForeCalc!$B$37:$Y$274,MATCH(_xlfn.CONCAT(H7378," ",I7378),ForeCalc!$A$37:$A$274,0),MATCH(_xlfn.CONCAT(B7378," ",E7378),ForeCalc!$B$36:$Y$36,0))))*VLOOKUP(A7378,Calendar!$A$2:$H$9997,8,FALSE),0)</f>
        <v/>
      </c>
      <c r="G7378" s="29">
        <f>VLOOKUP(A7378,Calendar!$A$1:$H$9997,6,FALSE)-F7378</f>
        <v/>
      </c>
      <c r="H7378" s="19" t="n">
        <v>3</v>
      </c>
      <c r="I7378" s="57" t="n">
        <v>3</v>
      </c>
    </row>
    <row r="7379">
      <c r="A7379" s="62" t="n">
        <v>46914</v>
      </c>
      <c r="B7379" s="3" t="inlineStr">
        <is>
          <t>Sat</t>
        </is>
      </c>
      <c r="C7379" s="19" t="n">
        <v>6</v>
      </c>
      <c r="D7379" s="19" t="n">
        <v>2028</v>
      </c>
      <c r="E7379" s="57" t="n">
        <v>7</v>
      </c>
      <c r="F7379" s="29">
        <f>ROUND(((SUMIFS(Calendar!$F$2:$F$9997,Calendar!$B$2:$B$9997,D7379,Calendar!$C$2:$C$9997,C7379)*INDEX(ForeCalc!$B$37:$Y$274,MATCH(_xlfn.CONCAT(H7379," ",I7379),ForeCalc!$A$37:$A$274,0),MATCH(_xlfn.CONCAT(B7379," ",E7379),ForeCalc!$B$36:$Y$36,0))))*VLOOKUP(A7379,Calendar!$A$2:$H$9997,8,FALSE),0)</f>
        <v/>
      </c>
      <c r="G7379" s="29">
        <f>VLOOKUP(A7379,Calendar!$A$1:$H$9997,6,FALSE)-F7379</f>
        <v/>
      </c>
      <c r="H7379" s="19" t="n">
        <v>3</v>
      </c>
      <c r="I7379" s="57" t="n">
        <v>3</v>
      </c>
    </row>
    <row r="7380">
      <c r="A7380" s="62" t="n">
        <v>46915</v>
      </c>
      <c r="B7380" s="3" t="inlineStr">
        <is>
          <t>Sun</t>
        </is>
      </c>
      <c r="C7380" s="19" t="n">
        <v>6</v>
      </c>
      <c r="D7380" s="19" t="n">
        <v>2028</v>
      </c>
      <c r="E7380" s="57" t="n">
        <v>7</v>
      </c>
      <c r="F7380" s="29">
        <f>ROUND(((SUMIFS(Calendar!$F$2:$F$9997,Calendar!$B$2:$B$9997,D7380,Calendar!$C$2:$C$9997,C7380)*INDEX(ForeCalc!$B$37:$Y$274,MATCH(_xlfn.CONCAT(H7380," ",I7380),ForeCalc!$A$37:$A$274,0),MATCH(_xlfn.CONCAT(B7380," ",E7380),ForeCalc!$B$36:$Y$36,0))))*VLOOKUP(A7380,Calendar!$A$2:$H$9997,8,FALSE),0)</f>
        <v/>
      </c>
      <c r="G7380" s="29">
        <f>VLOOKUP(A7380,Calendar!$A$1:$H$9997,6,FALSE)-F7380</f>
        <v/>
      </c>
      <c r="H7380" s="19" t="n">
        <v>3</v>
      </c>
      <c r="I7380" s="57" t="n">
        <v>3</v>
      </c>
    </row>
    <row r="7381">
      <c r="A7381" s="62" t="n">
        <v>46916</v>
      </c>
      <c r="B7381" s="3" t="inlineStr">
        <is>
          <t>Week</t>
        </is>
      </c>
      <c r="C7381" s="19" t="n">
        <v>6</v>
      </c>
      <c r="D7381" s="19" t="n">
        <v>2028</v>
      </c>
      <c r="E7381" s="57" t="n">
        <v>7</v>
      </c>
      <c r="F7381" s="29">
        <f>ROUND(((SUMIFS(Calendar!$F$2:$F$9997,Calendar!$B$2:$B$9997,D7381,Calendar!$C$2:$C$9997,C7381)*INDEX(ForeCalc!$B$37:$Y$274,MATCH(_xlfn.CONCAT(H7381," ",I7381),ForeCalc!$A$37:$A$274,0),MATCH(_xlfn.CONCAT(B7381," ",E7381),ForeCalc!$B$36:$Y$36,0))))*VLOOKUP(A7381,Calendar!$A$2:$H$9997,8,FALSE),0)</f>
        <v/>
      </c>
      <c r="G7381" s="29">
        <f>VLOOKUP(A7381,Calendar!$A$1:$H$9997,6,FALSE)-F7381</f>
        <v/>
      </c>
      <c r="H7381" s="19" t="n">
        <v>3</v>
      </c>
      <c r="I7381" s="57" t="n">
        <v>3</v>
      </c>
    </row>
    <row r="7382">
      <c r="A7382" s="62" t="n">
        <v>46917</v>
      </c>
      <c r="B7382" s="3" t="inlineStr">
        <is>
          <t>Week</t>
        </is>
      </c>
      <c r="C7382" s="19" t="n">
        <v>6</v>
      </c>
      <c r="D7382" s="19" t="n">
        <v>2028</v>
      </c>
      <c r="E7382" s="57" t="n">
        <v>7</v>
      </c>
      <c r="F7382" s="29">
        <f>ROUND(((SUMIFS(Calendar!$F$2:$F$9997,Calendar!$B$2:$B$9997,D7382,Calendar!$C$2:$C$9997,C7382)*INDEX(ForeCalc!$B$37:$Y$274,MATCH(_xlfn.CONCAT(H7382," ",I7382),ForeCalc!$A$37:$A$274,0),MATCH(_xlfn.CONCAT(B7382," ",E7382),ForeCalc!$B$36:$Y$36,0))))*VLOOKUP(A7382,Calendar!$A$2:$H$9997,8,FALSE),0)</f>
        <v/>
      </c>
      <c r="G7382" s="29">
        <f>VLOOKUP(A7382,Calendar!$A$1:$H$9997,6,FALSE)-F7382</f>
        <v/>
      </c>
      <c r="H7382" s="19" t="n">
        <v>3</v>
      </c>
      <c r="I7382" s="57" t="n">
        <v>3</v>
      </c>
    </row>
    <row r="7383">
      <c r="A7383" s="62" t="n">
        <v>46918</v>
      </c>
      <c r="B7383" s="3" t="inlineStr">
        <is>
          <t>Week</t>
        </is>
      </c>
      <c r="C7383" s="19" t="n">
        <v>6</v>
      </c>
      <c r="D7383" s="19" t="n">
        <v>2028</v>
      </c>
      <c r="E7383" s="57" t="n">
        <v>7</v>
      </c>
      <c r="F7383" s="29">
        <f>ROUND(((SUMIFS(Calendar!$F$2:$F$9997,Calendar!$B$2:$B$9997,D7383,Calendar!$C$2:$C$9997,C7383)*INDEX(ForeCalc!$B$37:$Y$274,MATCH(_xlfn.CONCAT(H7383," ",I7383),ForeCalc!$A$37:$A$274,0),MATCH(_xlfn.CONCAT(B7383," ",E7383),ForeCalc!$B$36:$Y$36,0))))*VLOOKUP(A7383,Calendar!$A$2:$H$9997,8,FALSE),0)</f>
        <v/>
      </c>
      <c r="G7383" s="29">
        <f>VLOOKUP(A7383,Calendar!$A$1:$H$9997,6,FALSE)-F7383</f>
        <v/>
      </c>
      <c r="H7383" s="19" t="n">
        <v>3</v>
      </c>
      <c r="I7383" s="57" t="n">
        <v>3</v>
      </c>
    </row>
    <row r="7384">
      <c r="A7384" s="62" t="n">
        <v>46919</v>
      </c>
      <c r="B7384" s="3" t="inlineStr">
        <is>
          <t>Week</t>
        </is>
      </c>
      <c r="C7384" s="19" t="n">
        <v>6</v>
      </c>
      <c r="D7384" s="19" t="n">
        <v>2028</v>
      </c>
      <c r="E7384" s="57" t="n">
        <v>7</v>
      </c>
      <c r="F7384" s="29">
        <f>ROUND(((SUMIFS(Calendar!$F$2:$F$9997,Calendar!$B$2:$B$9997,D7384,Calendar!$C$2:$C$9997,C7384)*INDEX(ForeCalc!$B$37:$Y$274,MATCH(_xlfn.CONCAT(H7384," ",I7384),ForeCalc!$A$37:$A$274,0),MATCH(_xlfn.CONCAT(B7384," ",E7384),ForeCalc!$B$36:$Y$36,0))))*VLOOKUP(A7384,Calendar!$A$2:$H$9997,8,FALSE),0)</f>
        <v/>
      </c>
      <c r="G7384" s="29">
        <f>VLOOKUP(A7384,Calendar!$A$1:$H$9997,6,FALSE)-F7384</f>
        <v/>
      </c>
      <c r="H7384" s="19" t="n">
        <v>3</v>
      </c>
      <c r="I7384" s="57" t="n">
        <v>3</v>
      </c>
    </row>
    <row r="7385">
      <c r="A7385" s="62" t="n">
        <v>46920</v>
      </c>
      <c r="B7385" s="3" t="inlineStr">
        <is>
          <t>Week</t>
        </is>
      </c>
      <c r="C7385" s="19" t="n">
        <v>6</v>
      </c>
      <c r="D7385" s="19" t="n">
        <v>2028</v>
      </c>
      <c r="E7385" s="57" t="n">
        <v>7</v>
      </c>
      <c r="F7385" s="29">
        <f>ROUND(((SUMIFS(Calendar!$F$2:$F$9997,Calendar!$B$2:$B$9997,D7385,Calendar!$C$2:$C$9997,C7385)*INDEX(ForeCalc!$B$37:$Y$274,MATCH(_xlfn.CONCAT(H7385," ",I7385),ForeCalc!$A$37:$A$274,0),MATCH(_xlfn.CONCAT(B7385," ",E7385),ForeCalc!$B$36:$Y$36,0))))*VLOOKUP(A7385,Calendar!$A$2:$H$9997,8,FALSE),0)</f>
        <v/>
      </c>
      <c r="G7385" s="29">
        <f>VLOOKUP(A7385,Calendar!$A$1:$H$9997,6,FALSE)-F7385</f>
        <v/>
      </c>
      <c r="H7385" s="19" t="n">
        <v>3</v>
      </c>
      <c r="I7385" s="57" t="n">
        <v>3</v>
      </c>
    </row>
    <row r="7386">
      <c r="A7386" s="62" t="n">
        <v>46921</v>
      </c>
      <c r="B7386" s="3" t="inlineStr">
        <is>
          <t>Sat</t>
        </is>
      </c>
      <c r="C7386" s="19" t="n">
        <v>6</v>
      </c>
      <c r="D7386" s="19" t="n">
        <v>2028</v>
      </c>
      <c r="E7386" s="57" t="n">
        <v>7</v>
      </c>
      <c r="F7386" s="29">
        <f>ROUND(((SUMIFS(Calendar!$F$2:$F$9997,Calendar!$B$2:$B$9997,D7386,Calendar!$C$2:$C$9997,C7386)*INDEX(ForeCalc!$B$37:$Y$274,MATCH(_xlfn.CONCAT(H7386," ",I7386),ForeCalc!$A$37:$A$274,0),MATCH(_xlfn.CONCAT(B7386," ",E7386),ForeCalc!$B$36:$Y$36,0))))*VLOOKUP(A7386,Calendar!$A$2:$H$9997,8,FALSE),0)</f>
        <v/>
      </c>
      <c r="G7386" s="29">
        <f>VLOOKUP(A7386,Calendar!$A$1:$H$9997,6,FALSE)-F7386</f>
        <v/>
      </c>
      <c r="H7386" s="19" t="n">
        <v>3</v>
      </c>
      <c r="I7386" s="57" t="n">
        <v>3</v>
      </c>
    </row>
    <row r="7387">
      <c r="A7387" s="62" t="n">
        <v>46922</v>
      </c>
      <c r="B7387" s="3" t="inlineStr">
        <is>
          <t>Sun</t>
        </is>
      </c>
      <c r="C7387" s="19" t="n">
        <v>6</v>
      </c>
      <c r="D7387" s="19" t="n">
        <v>2028</v>
      </c>
      <c r="E7387" s="57" t="n">
        <v>7</v>
      </c>
      <c r="F7387" s="29">
        <f>ROUND(((SUMIFS(Calendar!$F$2:$F$9997,Calendar!$B$2:$B$9997,D7387,Calendar!$C$2:$C$9997,C7387)*INDEX(ForeCalc!$B$37:$Y$274,MATCH(_xlfn.CONCAT(H7387," ",I7387),ForeCalc!$A$37:$A$274,0),MATCH(_xlfn.CONCAT(B7387," ",E7387),ForeCalc!$B$36:$Y$36,0))))*VLOOKUP(A7387,Calendar!$A$2:$H$9997,8,FALSE),0)</f>
        <v/>
      </c>
      <c r="G7387" s="29">
        <f>VLOOKUP(A7387,Calendar!$A$1:$H$9997,6,FALSE)-F7387</f>
        <v/>
      </c>
      <c r="H7387" s="19" t="n">
        <v>3</v>
      </c>
      <c r="I7387" s="57" t="n">
        <v>3</v>
      </c>
    </row>
    <row r="7388">
      <c r="A7388" s="62" t="n">
        <v>46923</v>
      </c>
      <c r="B7388" s="3" t="inlineStr">
        <is>
          <t>Week</t>
        </is>
      </c>
      <c r="C7388" s="19" t="n">
        <v>6</v>
      </c>
      <c r="D7388" s="19" t="n">
        <v>2028</v>
      </c>
      <c r="E7388" s="57" t="n">
        <v>7</v>
      </c>
      <c r="F7388" s="29">
        <f>ROUND(((SUMIFS(Calendar!$F$2:$F$9997,Calendar!$B$2:$B$9997,D7388,Calendar!$C$2:$C$9997,C7388)*INDEX(ForeCalc!$B$37:$Y$274,MATCH(_xlfn.CONCAT(H7388," ",I7388),ForeCalc!$A$37:$A$274,0),MATCH(_xlfn.CONCAT(B7388," ",E7388),ForeCalc!$B$36:$Y$36,0))))*VLOOKUP(A7388,Calendar!$A$2:$H$9997,8,FALSE),0)</f>
        <v/>
      </c>
      <c r="G7388" s="29">
        <f>VLOOKUP(A7388,Calendar!$A$1:$H$9997,6,FALSE)-F7388</f>
        <v/>
      </c>
      <c r="H7388" s="19" t="n">
        <v>3</v>
      </c>
      <c r="I7388" s="57" t="n">
        <v>3</v>
      </c>
    </row>
    <row r="7389">
      <c r="A7389" s="62" t="n">
        <v>46924</v>
      </c>
      <c r="B7389" s="3" t="inlineStr">
        <is>
          <t>Week</t>
        </is>
      </c>
      <c r="C7389" s="19" t="n">
        <v>6</v>
      </c>
      <c r="D7389" s="19" t="n">
        <v>2028</v>
      </c>
      <c r="E7389" s="57" t="n">
        <v>7</v>
      </c>
      <c r="F7389" s="29">
        <f>ROUND(((SUMIFS(Calendar!$F$2:$F$9997,Calendar!$B$2:$B$9997,D7389,Calendar!$C$2:$C$9997,C7389)*INDEX(ForeCalc!$B$37:$Y$274,MATCH(_xlfn.CONCAT(H7389," ",I7389),ForeCalc!$A$37:$A$274,0),MATCH(_xlfn.CONCAT(B7389," ",E7389),ForeCalc!$B$36:$Y$36,0))))*VLOOKUP(A7389,Calendar!$A$2:$H$9997,8,FALSE),0)</f>
        <v/>
      </c>
      <c r="G7389" s="29">
        <f>VLOOKUP(A7389,Calendar!$A$1:$H$9997,6,FALSE)-F7389</f>
        <v/>
      </c>
      <c r="H7389" s="19" t="n">
        <v>3</v>
      </c>
      <c r="I7389" s="57" t="n">
        <v>3</v>
      </c>
    </row>
    <row r="7390">
      <c r="A7390" s="62" t="n">
        <v>46925</v>
      </c>
      <c r="B7390" s="3" t="inlineStr">
        <is>
          <t>Week</t>
        </is>
      </c>
      <c r="C7390" s="19" t="n">
        <v>6</v>
      </c>
      <c r="D7390" s="19" t="n">
        <v>2028</v>
      </c>
      <c r="E7390" s="57" t="n">
        <v>7</v>
      </c>
      <c r="F7390" s="29">
        <f>ROUND(((SUMIFS(Calendar!$F$2:$F$9997,Calendar!$B$2:$B$9997,D7390,Calendar!$C$2:$C$9997,C7390)*INDEX(ForeCalc!$B$37:$Y$274,MATCH(_xlfn.CONCAT(H7390," ",I7390),ForeCalc!$A$37:$A$274,0),MATCH(_xlfn.CONCAT(B7390," ",E7390),ForeCalc!$B$36:$Y$36,0))))*VLOOKUP(A7390,Calendar!$A$2:$H$9997,8,FALSE),0)</f>
        <v/>
      </c>
      <c r="G7390" s="29">
        <f>VLOOKUP(A7390,Calendar!$A$1:$H$9997,6,FALSE)-F7390</f>
        <v/>
      </c>
      <c r="H7390" s="19" t="n">
        <v>3</v>
      </c>
      <c r="I7390" s="57" t="n">
        <v>3</v>
      </c>
    </row>
    <row r="7391">
      <c r="A7391" s="62" t="n">
        <v>46926</v>
      </c>
      <c r="B7391" s="3" t="inlineStr">
        <is>
          <t>Week</t>
        </is>
      </c>
      <c r="C7391" s="19" t="n">
        <v>6</v>
      </c>
      <c r="D7391" s="19" t="n">
        <v>2028</v>
      </c>
      <c r="E7391" s="57" t="n">
        <v>7</v>
      </c>
      <c r="F7391" s="29">
        <f>ROUND(((SUMIFS(Calendar!$F$2:$F$9997,Calendar!$B$2:$B$9997,D7391,Calendar!$C$2:$C$9997,C7391)*INDEX(ForeCalc!$B$37:$Y$274,MATCH(_xlfn.CONCAT(H7391," ",I7391),ForeCalc!$A$37:$A$274,0),MATCH(_xlfn.CONCAT(B7391," ",E7391),ForeCalc!$B$36:$Y$36,0))))*VLOOKUP(A7391,Calendar!$A$2:$H$9997,8,FALSE),0)</f>
        <v/>
      </c>
      <c r="G7391" s="29">
        <f>VLOOKUP(A7391,Calendar!$A$1:$H$9997,6,FALSE)-F7391</f>
        <v/>
      </c>
      <c r="H7391" s="19" t="n">
        <v>3</v>
      </c>
      <c r="I7391" s="57" t="n">
        <v>3</v>
      </c>
    </row>
    <row r="7392">
      <c r="A7392" s="62" t="n">
        <v>46927</v>
      </c>
      <c r="B7392" s="3" t="inlineStr">
        <is>
          <t>Week</t>
        </is>
      </c>
      <c r="C7392" s="19" t="n">
        <v>6</v>
      </c>
      <c r="D7392" s="19" t="n">
        <v>2028</v>
      </c>
      <c r="E7392" s="57" t="n">
        <v>7</v>
      </c>
      <c r="F7392" s="29">
        <f>ROUND(((SUMIFS(Calendar!$F$2:$F$9997,Calendar!$B$2:$B$9997,D7392,Calendar!$C$2:$C$9997,C7392)*INDEX(ForeCalc!$B$37:$Y$274,MATCH(_xlfn.CONCAT(H7392," ",I7392),ForeCalc!$A$37:$A$274,0),MATCH(_xlfn.CONCAT(B7392," ",E7392),ForeCalc!$B$36:$Y$36,0))))*VLOOKUP(A7392,Calendar!$A$2:$H$9997,8,FALSE),0)</f>
        <v/>
      </c>
      <c r="G7392" s="29">
        <f>VLOOKUP(A7392,Calendar!$A$1:$H$9997,6,FALSE)-F7392</f>
        <v/>
      </c>
      <c r="H7392" s="19" t="n">
        <v>3</v>
      </c>
      <c r="I7392" s="57" t="n">
        <v>3</v>
      </c>
    </row>
    <row r="7393">
      <c r="A7393" s="62" t="n">
        <v>46928</v>
      </c>
      <c r="B7393" s="3" t="inlineStr">
        <is>
          <t>Sat</t>
        </is>
      </c>
      <c r="C7393" s="19" t="n">
        <v>6</v>
      </c>
      <c r="D7393" s="19" t="n">
        <v>2028</v>
      </c>
      <c r="E7393" s="57" t="n">
        <v>7</v>
      </c>
      <c r="F7393" s="29">
        <f>ROUND(((SUMIFS(Calendar!$F$2:$F$9997,Calendar!$B$2:$B$9997,D7393,Calendar!$C$2:$C$9997,C7393)*INDEX(ForeCalc!$B$37:$Y$274,MATCH(_xlfn.CONCAT(H7393," ",I7393),ForeCalc!$A$37:$A$274,0),MATCH(_xlfn.CONCAT(B7393," ",E7393),ForeCalc!$B$36:$Y$36,0))))*VLOOKUP(A7393,Calendar!$A$2:$H$9997,8,FALSE),0)</f>
        <v/>
      </c>
      <c r="G7393" s="29">
        <f>VLOOKUP(A7393,Calendar!$A$1:$H$9997,6,FALSE)-F7393</f>
        <v/>
      </c>
      <c r="H7393" s="19" t="n">
        <v>3</v>
      </c>
      <c r="I7393" s="57" t="n">
        <v>3</v>
      </c>
    </row>
    <row r="7394">
      <c r="A7394" s="62" t="n">
        <v>46929</v>
      </c>
      <c r="B7394" s="3" t="inlineStr">
        <is>
          <t>Sun</t>
        </is>
      </c>
      <c r="C7394" s="19" t="n">
        <v>6</v>
      </c>
      <c r="D7394" s="19" t="n">
        <v>2028</v>
      </c>
      <c r="E7394" s="57" t="n">
        <v>7</v>
      </c>
      <c r="F7394" s="29">
        <f>ROUND(((SUMIFS(Calendar!$F$2:$F$9997,Calendar!$B$2:$B$9997,D7394,Calendar!$C$2:$C$9997,C7394)*INDEX(ForeCalc!$B$37:$Y$274,MATCH(_xlfn.CONCAT(H7394," ",I7394),ForeCalc!$A$37:$A$274,0),MATCH(_xlfn.CONCAT(B7394," ",E7394),ForeCalc!$B$36:$Y$36,0))))*VLOOKUP(A7394,Calendar!$A$2:$H$9997,8,FALSE),0)</f>
        <v/>
      </c>
      <c r="G7394" s="29">
        <f>VLOOKUP(A7394,Calendar!$A$1:$H$9997,6,FALSE)-F7394</f>
        <v/>
      </c>
      <c r="H7394" s="19" t="n">
        <v>3</v>
      </c>
      <c r="I7394" s="57" t="n">
        <v>3</v>
      </c>
    </row>
    <row r="7395">
      <c r="A7395" s="62" t="n">
        <v>46930</v>
      </c>
      <c r="B7395" s="3" t="inlineStr">
        <is>
          <t>Week</t>
        </is>
      </c>
      <c r="C7395" s="19" t="n">
        <v>6</v>
      </c>
      <c r="D7395" s="19" t="n">
        <v>2028</v>
      </c>
      <c r="E7395" s="57" t="n">
        <v>7</v>
      </c>
      <c r="F7395" s="29">
        <f>ROUND(((SUMIFS(Calendar!$F$2:$F$9997,Calendar!$B$2:$B$9997,D7395,Calendar!$C$2:$C$9997,C7395)*INDEX(ForeCalc!$B$37:$Y$274,MATCH(_xlfn.CONCAT(H7395," ",I7395),ForeCalc!$A$37:$A$274,0),MATCH(_xlfn.CONCAT(B7395," ",E7395),ForeCalc!$B$36:$Y$36,0))))*VLOOKUP(A7395,Calendar!$A$2:$H$9997,8,FALSE),0)</f>
        <v/>
      </c>
      <c r="G7395" s="29">
        <f>VLOOKUP(A7395,Calendar!$A$1:$H$9997,6,FALSE)-F7395</f>
        <v/>
      </c>
      <c r="H7395" s="19" t="n">
        <v>3</v>
      </c>
      <c r="I7395" s="57" t="n">
        <v>3</v>
      </c>
    </row>
    <row r="7396">
      <c r="A7396" s="62" t="n">
        <v>46931</v>
      </c>
      <c r="B7396" s="3" t="inlineStr">
        <is>
          <t>Week</t>
        </is>
      </c>
      <c r="C7396" s="19" t="n">
        <v>6</v>
      </c>
      <c r="D7396" s="19" t="n">
        <v>2028</v>
      </c>
      <c r="E7396" s="57" t="n">
        <v>7</v>
      </c>
      <c r="F7396" s="29">
        <f>ROUND(((SUMIFS(Calendar!$F$2:$F$9997,Calendar!$B$2:$B$9997,D7396,Calendar!$C$2:$C$9997,C7396)*INDEX(ForeCalc!$B$37:$Y$274,MATCH(_xlfn.CONCAT(H7396," ",I7396),ForeCalc!$A$37:$A$274,0),MATCH(_xlfn.CONCAT(B7396," ",E7396),ForeCalc!$B$36:$Y$36,0))))*VLOOKUP(A7396,Calendar!$A$2:$H$9997,8,FALSE),0)</f>
        <v/>
      </c>
      <c r="G7396" s="29">
        <f>VLOOKUP(A7396,Calendar!$A$1:$H$9997,6,FALSE)-F7396</f>
        <v/>
      </c>
      <c r="H7396" s="19" t="n">
        <v>3</v>
      </c>
      <c r="I7396" s="57" t="n">
        <v>3</v>
      </c>
    </row>
    <row r="7397">
      <c r="A7397" s="62" t="n">
        <v>46932</v>
      </c>
      <c r="B7397" s="3" t="inlineStr">
        <is>
          <t>Week</t>
        </is>
      </c>
      <c r="C7397" s="19" t="n">
        <v>6</v>
      </c>
      <c r="D7397" s="19" t="n">
        <v>2028</v>
      </c>
      <c r="E7397" s="57" t="n">
        <v>7</v>
      </c>
      <c r="F7397" s="29">
        <f>ROUND(((SUMIFS(Calendar!$F$2:$F$9997,Calendar!$B$2:$B$9997,D7397,Calendar!$C$2:$C$9997,C7397)*INDEX(ForeCalc!$B$37:$Y$274,MATCH(_xlfn.CONCAT(H7397," ",I7397),ForeCalc!$A$37:$A$274,0),MATCH(_xlfn.CONCAT(B7397," ",E7397),ForeCalc!$B$36:$Y$36,0))))*VLOOKUP(A7397,Calendar!$A$2:$H$9997,8,FALSE),0)</f>
        <v/>
      </c>
      <c r="G7397" s="29">
        <f>VLOOKUP(A7397,Calendar!$A$1:$H$9997,6,FALSE)-F7397</f>
        <v/>
      </c>
      <c r="H7397" s="19" t="n">
        <v>3</v>
      </c>
      <c r="I7397" s="57" t="n">
        <v>3</v>
      </c>
    </row>
    <row r="7398">
      <c r="A7398" s="62" t="n">
        <v>46933</v>
      </c>
      <c r="B7398" s="3" t="inlineStr">
        <is>
          <t>Week</t>
        </is>
      </c>
      <c r="C7398" s="19" t="n">
        <v>6</v>
      </c>
      <c r="D7398" s="19" t="n">
        <v>2028</v>
      </c>
      <c r="E7398" s="57" t="n">
        <v>7</v>
      </c>
      <c r="F7398" s="29">
        <f>ROUND(((SUMIFS(Calendar!$F$2:$F$9997,Calendar!$B$2:$B$9997,D7398,Calendar!$C$2:$C$9997,C7398)*INDEX(ForeCalc!$B$37:$Y$274,MATCH(_xlfn.CONCAT(H7398," ",I7398),ForeCalc!$A$37:$A$274,0),MATCH(_xlfn.CONCAT(B7398," ",E7398),ForeCalc!$B$36:$Y$36,0))))*VLOOKUP(A7398,Calendar!$A$2:$H$9997,8,FALSE),0)</f>
        <v/>
      </c>
      <c r="G7398" s="29">
        <f>VLOOKUP(A7398,Calendar!$A$1:$H$9997,6,FALSE)-F7398</f>
        <v/>
      </c>
      <c r="H7398" s="19" t="n">
        <v>3</v>
      </c>
      <c r="I7398" s="57" t="n">
        <v>3</v>
      </c>
    </row>
    <row r="7399">
      <c r="A7399" s="62" t="n">
        <v>46934</v>
      </c>
      <c r="B7399" s="3" t="inlineStr">
        <is>
          <t>Week</t>
        </is>
      </c>
      <c r="C7399" s="19" t="n">
        <v>6</v>
      </c>
      <c r="D7399" s="19" t="n">
        <v>2028</v>
      </c>
      <c r="E7399" s="57" t="n">
        <v>7</v>
      </c>
      <c r="F7399" s="29">
        <f>ROUND(((SUMIFS(Calendar!$F$2:$F$9997,Calendar!$B$2:$B$9997,D7399,Calendar!$C$2:$C$9997,C7399)*INDEX(ForeCalc!$B$37:$Y$274,MATCH(_xlfn.CONCAT(H7399," ",I7399),ForeCalc!$A$37:$A$274,0),MATCH(_xlfn.CONCAT(B7399," ",E7399),ForeCalc!$B$36:$Y$36,0))))*VLOOKUP(A7399,Calendar!$A$2:$H$9997,8,FALSE),0)</f>
        <v/>
      </c>
      <c r="G7399" s="29">
        <f>VLOOKUP(A7399,Calendar!$A$1:$H$9997,6,FALSE)-F7399</f>
        <v/>
      </c>
      <c r="H7399" s="19" t="n">
        <v>3</v>
      </c>
      <c r="I7399" s="57" t="n">
        <v>3</v>
      </c>
    </row>
    <row r="7400">
      <c r="A7400" s="62" t="n">
        <v>46935</v>
      </c>
      <c r="B7400" s="3" t="inlineStr">
        <is>
          <t>Sat</t>
        </is>
      </c>
      <c r="C7400" s="19" t="n">
        <v>7</v>
      </c>
      <c r="D7400" s="19" t="n">
        <v>2028</v>
      </c>
      <c r="E7400" s="57" t="n">
        <v>7</v>
      </c>
      <c r="F7400" s="29">
        <f>ROUND(((SUMIFS(Calendar!$F$2:$F$9997,Calendar!$B$2:$B$9997,D7400,Calendar!$C$2:$C$9997,C7400)*INDEX(ForeCalc!$B$37:$Y$274,MATCH(_xlfn.CONCAT(H7400," ",I7400),ForeCalc!$A$37:$A$274,0),MATCH(_xlfn.CONCAT(B7400," ",E7400),ForeCalc!$B$36:$Y$36,0))))*VLOOKUP(A7400,Calendar!$A$2:$H$9997,8,FALSE),0)</f>
        <v/>
      </c>
      <c r="G7400" s="29">
        <f>VLOOKUP(A7400,Calendar!$A$1:$H$9997,6,FALSE)-F7400</f>
        <v/>
      </c>
      <c r="H7400" s="19" t="n">
        <v>3</v>
      </c>
      <c r="I7400" s="57" t="n">
        <v>4</v>
      </c>
    </row>
    <row r="7401">
      <c r="A7401" s="62" t="n">
        <v>46936</v>
      </c>
      <c r="B7401" s="3" t="inlineStr">
        <is>
          <t>Sun</t>
        </is>
      </c>
      <c r="C7401" s="19" t="n">
        <v>7</v>
      </c>
      <c r="D7401" s="19" t="n">
        <v>2028</v>
      </c>
      <c r="E7401" s="57" t="n">
        <v>7</v>
      </c>
      <c r="F7401" s="29">
        <f>ROUND(((SUMIFS(Calendar!$F$2:$F$9997,Calendar!$B$2:$B$9997,D7401,Calendar!$C$2:$C$9997,C7401)*INDEX(ForeCalc!$B$37:$Y$274,MATCH(_xlfn.CONCAT(H7401," ",I7401),ForeCalc!$A$37:$A$274,0),MATCH(_xlfn.CONCAT(B7401," ",E7401),ForeCalc!$B$36:$Y$36,0))))*VLOOKUP(A7401,Calendar!$A$2:$H$9997,8,FALSE),0)</f>
        <v/>
      </c>
      <c r="G7401" s="29">
        <f>VLOOKUP(A7401,Calendar!$A$1:$H$9997,6,FALSE)-F7401</f>
        <v/>
      </c>
      <c r="H7401" s="19" t="n">
        <v>3</v>
      </c>
      <c r="I7401" s="57" t="n">
        <v>4</v>
      </c>
    </row>
    <row r="7402">
      <c r="A7402" s="62" t="n">
        <v>46937</v>
      </c>
      <c r="B7402" s="3" t="inlineStr">
        <is>
          <t>Week</t>
        </is>
      </c>
      <c r="C7402" s="19" t="n">
        <v>7</v>
      </c>
      <c r="D7402" s="19" t="n">
        <v>2028</v>
      </c>
      <c r="E7402" s="57" t="n">
        <v>7</v>
      </c>
      <c r="F7402" s="29">
        <f>ROUND(((SUMIFS(Calendar!$F$2:$F$9997,Calendar!$B$2:$B$9997,D7402,Calendar!$C$2:$C$9997,C7402)*INDEX(ForeCalc!$B$37:$Y$274,MATCH(_xlfn.CONCAT(H7402," ",I7402),ForeCalc!$A$37:$A$274,0),MATCH(_xlfn.CONCAT(B7402," ",E7402),ForeCalc!$B$36:$Y$36,0))))*VLOOKUP(A7402,Calendar!$A$2:$H$9997,8,FALSE),0)</f>
        <v/>
      </c>
      <c r="G7402" s="29">
        <f>VLOOKUP(A7402,Calendar!$A$1:$H$9997,6,FALSE)-F7402</f>
        <v/>
      </c>
      <c r="H7402" s="19" t="n">
        <v>3</v>
      </c>
      <c r="I7402" s="57" t="n">
        <v>4</v>
      </c>
    </row>
    <row r="7403">
      <c r="A7403" s="62" t="n">
        <v>46938</v>
      </c>
      <c r="B7403" s="3" t="inlineStr">
        <is>
          <t>Week</t>
        </is>
      </c>
      <c r="C7403" s="19" t="n">
        <v>7</v>
      </c>
      <c r="D7403" s="19" t="n">
        <v>2028</v>
      </c>
      <c r="E7403" s="57" t="n">
        <v>7</v>
      </c>
      <c r="F7403" s="29">
        <f>ROUND(((SUMIFS(Calendar!$F$2:$F$9997,Calendar!$B$2:$B$9997,D7403,Calendar!$C$2:$C$9997,C7403)*INDEX(ForeCalc!$B$37:$Y$274,MATCH(_xlfn.CONCAT(H7403," ",I7403),ForeCalc!$A$37:$A$274,0),MATCH(_xlfn.CONCAT(B7403," ",E7403),ForeCalc!$B$36:$Y$36,0))))*VLOOKUP(A7403,Calendar!$A$2:$H$9997,8,FALSE),0)</f>
        <v/>
      </c>
      <c r="G7403" s="29">
        <f>VLOOKUP(A7403,Calendar!$A$1:$H$9997,6,FALSE)-F7403</f>
        <v/>
      </c>
      <c r="H7403" s="19" t="n">
        <v>3</v>
      </c>
      <c r="I7403" s="57" t="n">
        <v>4</v>
      </c>
    </row>
    <row r="7404">
      <c r="A7404" s="62" t="n">
        <v>46939</v>
      </c>
      <c r="B7404" s="3" t="inlineStr">
        <is>
          <t>Week</t>
        </is>
      </c>
      <c r="C7404" s="19" t="n">
        <v>7</v>
      </c>
      <c r="D7404" s="19" t="n">
        <v>2028</v>
      </c>
      <c r="E7404" s="57" t="n">
        <v>7</v>
      </c>
      <c r="F7404" s="29">
        <f>ROUND(((SUMIFS(Calendar!$F$2:$F$9997,Calendar!$B$2:$B$9997,D7404,Calendar!$C$2:$C$9997,C7404)*INDEX(ForeCalc!$B$37:$Y$274,MATCH(_xlfn.CONCAT(H7404," ",I7404),ForeCalc!$A$37:$A$274,0),MATCH(_xlfn.CONCAT(B7404," ",E7404),ForeCalc!$B$36:$Y$36,0))))*VLOOKUP(A7404,Calendar!$A$2:$H$9997,8,FALSE),0)</f>
        <v/>
      </c>
      <c r="G7404" s="29">
        <f>VLOOKUP(A7404,Calendar!$A$1:$H$9997,6,FALSE)-F7404</f>
        <v/>
      </c>
      <c r="H7404" s="19" t="n">
        <v>3</v>
      </c>
      <c r="I7404" s="57" t="n">
        <v>4</v>
      </c>
    </row>
    <row r="7405">
      <c r="A7405" s="62" t="n">
        <v>46940</v>
      </c>
      <c r="B7405" s="3" t="inlineStr">
        <is>
          <t>Week</t>
        </is>
      </c>
      <c r="C7405" s="19" t="n">
        <v>7</v>
      </c>
      <c r="D7405" s="19" t="n">
        <v>2028</v>
      </c>
      <c r="E7405" s="57" t="n">
        <v>7</v>
      </c>
      <c r="F7405" s="29">
        <f>ROUND(((SUMIFS(Calendar!$F$2:$F$9997,Calendar!$B$2:$B$9997,D7405,Calendar!$C$2:$C$9997,C7405)*INDEX(ForeCalc!$B$37:$Y$274,MATCH(_xlfn.CONCAT(H7405," ",I7405),ForeCalc!$A$37:$A$274,0),MATCH(_xlfn.CONCAT(B7405," ",E7405),ForeCalc!$B$36:$Y$36,0))))*VLOOKUP(A7405,Calendar!$A$2:$H$9997,8,FALSE),0)</f>
        <v/>
      </c>
      <c r="G7405" s="29">
        <f>VLOOKUP(A7405,Calendar!$A$1:$H$9997,6,FALSE)-F7405</f>
        <v/>
      </c>
      <c r="H7405" s="19" t="n">
        <v>3</v>
      </c>
      <c r="I7405" s="57" t="n">
        <v>4</v>
      </c>
    </row>
    <row r="7406">
      <c r="A7406" s="62" t="n">
        <v>46941</v>
      </c>
      <c r="B7406" s="3" t="inlineStr">
        <is>
          <t>Week</t>
        </is>
      </c>
      <c r="C7406" s="19" t="n">
        <v>7</v>
      </c>
      <c r="D7406" s="19" t="n">
        <v>2028</v>
      </c>
      <c r="E7406" s="57" t="n">
        <v>7</v>
      </c>
      <c r="F7406" s="29">
        <f>ROUND(((SUMIFS(Calendar!$F$2:$F$9997,Calendar!$B$2:$B$9997,D7406,Calendar!$C$2:$C$9997,C7406)*INDEX(ForeCalc!$B$37:$Y$274,MATCH(_xlfn.CONCAT(H7406," ",I7406),ForeCalc!$A$37:$A$274,0),MATCH(_xlfn.CONCAT(B7406," ",E7406),ForeCalc!$B$36:$Y$36,0))))*VLOOKUP(A7406,Calendar!$A$2:$H$9997,8,FALSE),0)</f>
        <v/>
      </c>
      <c r="G7406" s="29">
        <f>VLOOKUP(A7406,Calendar!$A$1:$H$9997,6,FALSE)-F7406</f>
        <v/>
      </c>
      <c r="H7406" s="19" t="n">
        <v>3</v>
      </c>
      <c r="I7406" s="57" t="n">
        <v>4</v>
      </c>
    </row>
    <row r="7407">
      <c r="A7407" s="62" t="n">
        <v>46942</v>
      </c>
      <c r="B7407" s="3" t="inlineStr">
        <is>
          <t>Sat</t>
        </is>
      </c>
      <c r="C7407" s="19" t="n">
        <v>7</v>
      </c>
      <c r="D7407" s="19" t="n">
        <v>2028</v>
      </c>
      <c r="E7407" s="57" t="n">
        <v>7</v>
      </c>
      <c r="F7407" s="29">
        <f>ROUND(((SUMIFS(Calendar!$F$2:$F$9997,Calendar!$B$2:$B$9997,D7407,Calendar!$C$2:$C$9997,C7407)*INDEX(ForeCalc!$B$37:$Y$274,MATCH(_xlfn.CONCAT(H7407," ",I7407),ForeCalc!$A$37:$A$274,0),MATCH(_xlfn.CONCAT(B7407," ",E7407),ForeCalc!$B$36:$Y$36,0))))*VLOOKUP(A7407,Calendar!$A$2:$H$9997,8,FALSE),0)</f>
        <v/>
      </c>
      <c r="G7407" s="29">
        <f>VLOOKUP(A7407,Calendar!$A$1:$H$9997,6,FALSE)-F7407</f>
        <v/>
      </c>
      <c r="H7407" s="19" t="n">
        <v>3</v>
      </c>
      <c r="I7407" s="57" t="n">
        <v>4</v>
      </c>
    </row>
    <row r="7408">
      <c r="A7408" s="62" t="n">
        <v>46943</v>
      </c>
      <c r="B7408" s="3" t="inlineStr">
        <is>
          <t>Sun</t>
        </is>
      </c>
      <c r="C7408" s="19" t="n">
        <v>7</v>
      </c>
      <c r="D7408" s="19" t="n">
        <v>2028</v>
      </c>
      <c r="E7408" s="57" t="n">
        <v>7</v>
      </c>
      <c r="F7408" s="29">
        <f>ROUND(((SUMIFS(Calendar!$F$2:$F$9997,Calendar!$B$2:$B$9997,D7408,Calendar!$C$2:$C$9997,C7408)*INDEX(ForeCalc!$B$37:$Y$274,MATCH(_xlfn.CONCAT(H7408," ",I7408),ForeCalc!$A$37:$A$274,0),MATCH(_xlfn.CONCAT(B7408," ",E7408),ForeCalc!$B$36:$Y$36,0))))*VLOOKUP(A7408,Calendar!$A$2:$H$9997,8,FALSE),0)</f>
        <v/>
      </c>
      <c r="G7408" s="29">
        <f>VLOOKUP(A7408,Calendar!$A$1:$H$9997,6,FALSE)-F7408</f>
        <v/>
      </c>
      <c r="H7408" s="19" t="n">
        <v>3</v>
      </c>
      <c r="I7408" s="57" t="n">
        <v>4</v>
      </c>
    </row>
    <row r="7409">
      <c r="A7409" s="62" t="n">
        <v>46944</v>
      </c>
      <c r="B7409" s="3" t="inlineStr">
        <is>
          <t>Week</t>
        </is>
      </c>
      <c r="C7409" s="19" t="n">
        <v>7</v>
      </c>
      <c r="D7409" s="19" t="n">
        <v>2028</v>
      </c>
      <c r="E7409" s="57" t="n">
        <v>7</v>
      </c>
      <c r="F7409" s="29">
        <f>ROUND(((SUMIFS(Calendar!$F$2:$F$9997,Calendar!$B$2:$B$9997,D7409,Calendar!$C$2:$C$9997,C7409)*INDEX(ForeCalc!$B$37:$Y$274,MATCH(_xlfn.CONCAT(H7409," ",I7409),ForeCalc!$A$37:$A$274,0),MATCH(_xlfn.CONCAT(B7409," ",E7409),ForeCalc!$B$36:$Y$36,0))))*VLOOKUP(A7409,Calendar!$A$2:$H$9997,8,FALSE),0)</f>
        <v/>
      </c>
      <c r="G7409" s="29">
        <f>VLOOKUP(A7409,Calendar!$A$1:$H$9997,6,FALSE)-F7409</f>
        <v/>
      </c>
      <c r="H7409" s="19" t="n">
        <v>3</v>
      </c>
      <c r="I7409" s="57" t="n">
        <v>4</v>
      </c>
    </row>
    <row r="7410">
      <c r="A7410" s="62" t="n">
        <v>46945</v>
      </c>
      <c r="B7410" s="3" t="inlineStr">
        <is>
          <t>Week</t>
        </is>
      </c>
      <c r="C7410" s="19" t="n">
        <v>7</v>
      </c>
      <c r="D7410" s="19" t="n">
        <v>2028</v>
      </c>
      <c r="E7410" s="57" t="n">
        <v>7</v>
      </c>
      <c r="F7410" s="29">
        <f>ROUND(((SUMIFS(Calendar!$F$2:$F$9997,Calendar!$B$2:$B$9997,D7410,Calendar!$C$2:$C$9997,C7410)*INDEX(ForeCalc!$B$37:$Y$274,MATCH(_xlfn.CONCAT(H7410," ",I7410),ForeCalc!$A$37:$A$274,0),MATCH(_xlfn.CONCAT(B7410," ",E7410),ForeCalc!$B$36:$Y$36,0))))*VLOOKUP(A7410,Calendar!$A$2:$H$9997,8,FALSE),0)</f>
        <v/>
      </c>
      <c r="G7410" s="29">
        <f>VLOOKUP(A7410,Calendar!$A$1:$H$9997,6,FALSE)-F7410</f>
        <v/>
      </c>
      <c r="H7410" s="19" t="n">
        <v>3</v>
      </c>
      <c r="I7410" s="57" t="n">
        <v>4</v>
      </c>
    </row>
    <row r="7411">
      <c r="A7411" s="62" t="n">
        <v>46946</v>
      </c>
      <c r="B7411" s="3" t="inlineStr">
        <is>
          <t>Week</t>
        </is>
      </c>
      <c r="C7411" s="19" t="n">
        <v>7</v>
      </c>
      <c r="D7411" s="19" t="n">
        <v>2028</v>
      </c>
      <c r="E7411" s="57" t="n">
        <v>7</v>
      </c>
      <c r="F7411" s="29">
        <f>ROUND(((SUMIFS(Calendar!$F$2:$F$9997,Calendar!$B$2:$B$9997,D7411,Calendar!$C$2:$C$9997,C7411)*INDEX(ForeCalc!$B$37:$Y$274,MATCH(_xlfn.CONCAT(H7411," ",I7411),ForeCalc!$A$37:$A$274,0),MATCH(_xlfn.CONCAT(B7411," ",E7411),ForeCalc!$B$36:$Y$36,0))))*VLOOKUP(A7411,Calendar!$A$2:$H$9997,8,FALSE),0)</f>
        <v/>
      </c>
      <c r="G7411" s="29">
        <f>VLOOKUP(A7411,Calendar!$A$1:$H$9997,6,FALSE)-F7411</f>
        <v/>
      </c>
      <c r="H7411" s="19" t="n">
        <v>3</v>
      </c>
      <c r="I7411" s="57" t="n">
        <v>4</v>
      </c>
    </row>
    <row r="7412">
      <c r="A7412" s="62" t="n">
        <v>46947</v>
      </c>
      <c r="B7412" s="3" t="inlineStr">
        <is>
          <t>Week</t>
        </is>
      </c>
      <c r="C7412" s="19" t="n">
        <v>7</v>
      </c>
      <c r="D7412" s="19" t="n">
        <v>2028</v>
      </c>
      <c r="E7412" s="57" t="n">
        <v>7</v>
      </c>
      <c r="F7412" s="29">
        <f>ROUND(((SUMIFS(Calendar!$F$2:$F$9997,Calendar!$B$2:$B$9997,D7412,Calendar!$C$2:$C$9997,C7412)*INDEX(ForeCalc!$B$37:$Y$274,MATCH(_xlfn.CONCAT(H7412," ",I7412),ForeCalc!$A$37:$A$274,0),MATCH(_xlfn.CONCAT(B7412," ",E7412),ForeCalc!$B$36:$Y$36,0))))*VLOOKUP(A7412,Calendar!$A$2:$H$9997,8,FALSE),0)</f>
        <v/>
      </c>
      <c r="G7412" s="29">
        <f>VLOOKUP(A7412,Calendar!$A$1:$H$9997,6,FALSE)-F7412</f>
        <v/>
      </c>
      <c r="H7412" s="19" t="n">
        <v>3</v>
      </c>
      <c r="I7412" s="57" t="n">
        <v>4</v>
      </c>
    </row>
    <row r="7413">
      <c r="A7413" s="62" t="n">
        <v>46948</v>
      </c>
      <c r="B7413" s="3" t="inlineStr">
        <is>
          <t>Week</t>
        </is>
      </c>
      <c r="C7413" s="19" t="n">
        <v>7</v>
      </c>
      <c r="D7413" s="19" t="n">
        <v>2028</v>
      </c>
      <c r="E7413" s="57" t="n">
        <v>7</v>
      </c>
      <c r="F7413" s="29">
        <f>ROUND(((SUMIFS(Calendar!$F$2:$F$9997,Calendar!$B$2:$B$9997,D7413,Calendar!$C$2:$C$9997,C7413)*INDEX(ForeCalc!$B$37:$Y$274,MATCH(_xlfn.CONCAT(H7413," ",I7413),ForeCalc!$A$37:$A$274,0),MATCH(_xlfn.CONCAT(B7413," ",E7413),ForeCalc!$B$36:$Y$36,0))))*VLOOKUP(A7413,Calendar!$A$2:$H$9997,8,FALSE),0)</f>
        <v/>
      </c>
      <c r="G7413" s="29">
        <f>VLOOKUP(A7413,Calendar!$A$1:$H$9997,6,FALSE)-F7413</f>
        <v/>
      </c>
      <c r="H7413" s="19" t="n">
        <v>3</v>
      </c>
      <c r="I7413" s="57" t="n">
        <v>4</v>
      </c>
    </row>
    <row r="7414">
      <c r="A7414" s="62" t="n">
        <v>46949</v>
      </c>
      <c r="B7414" s="3" t="inlineStr">
        <is>
          <t>Sat</t>
        </is>
      </c>
      <c r="C7414" s="19" t="n">
        <v>7</v>
      </c>
      <c r="D7414" s="19" t="n">
        <v>2028</v>
      </c>
      <c r="E7414" s="57" t="n">
        <v>7</v>
      </c>
      <c r="F7414" s="29">
        <f>ROUND(((SUMIFS(Calendar!$F$2:$F$9997,Calendar!$B$2:$B$9997,D7414,Calendar!$C$2:$C$9997,C7414)*INDEX(ForeCalc!$B$37:$Y$274,MATCH(_xlfn.CONCAT(H7414," ",I7414),ForeCalc!$A$37:$A$274,0),MATCH(_xlfn.CONCAT(B7414," ",E7414),ForeCalc!$B$36:$Y$36,0))))*VLOOKUP(A7414,Calendar!$A$2:$H$9997,8,FALSE),0)</f>
        <v/>
      </c>
      <c r="G7414" s="29">
        <f>VLOOKUP(A7414,Calendar!$A$1:$H$9997,6,FALSE)-F7414</f>
        <v/>
      </c>
      <c r="H7414" s="19" t="n">
        <v>3</v>
      </c>
      <c r="I7414" s="57" t="n">
        <v>4</v>
      </c>
    </row>
    <row r="7415">
      <c r="A7415" s="62" t="n">
        <v>46950</v>
      </c>
      <c r="B7415" s="3" t="inlineStr">
        <is>
          <t>Sun</t>
        </is>
      </c>
      <c r="C7415" s="19" t="n">
        <v>7</v>
      </c>
      <c r="D7415" s="19" t="n">
        <v>2028</v>
      </c>
      <c r="E7415" s="57" t="n">
        <v>7</v>
      </c>
      <c r="F7415" s="29">
        <f>ROUND(((SUMIFS(Calendar!$F$2:$F$9997,Calendar!$B$2:$B$9997,D7415,Calendar!$C$2:$C$9997,C7415)*INDEX(ForeCalc!$B$37:$Y$274,MATCH(_xlfn.CONCAT(H7415," ",I7415),ForeCalc!$A$37:$A$274,0),MATCH(_xlfn.CONCAT(B7415," ",E7415),ForeCalc!$B$36:$Y$36,0))))*VLOOKUP(A7415,Calendar!$A$2:$H$9997,8,FALSE),0)</f>
        <v/>
      </c>
      <c r="G7415" s="29">
        <f>VLOOKUP(A7415,Calendar!$A$1:$H$9997,6,FALSE)-F7415</f>
        <v/>
      </c>
      <c r="H7415" s="19" t="n">
        <v>3</v>
      </c>
      <c r="I7415" s="57" t="n">
        <v>4</v>
      </c>
    </row>
    <row r="7416">
      <c r="A7416" s="62" t="n">
        <v>46951</v>
      </c>
      <c r="B7416" s="3" t="inlineStr">
        <is>
          <t>Week</t>
        </is>
      </c>
      <c r="C7416" s="19" t="n">
        <v>7</v>
      </c>
      <c r="D7416" s="19" t="n">
        <v>2028</v>
      </c>
      <c r="E7416" s="57" t="n">
        <v>7</v>
      </c>
      <c r="F7416" s="29">
        <f>ROUND(((SUMIFS(Calendar!$F$2:$F$9997,Calendar!$B$2:$B$9997,D7416,Calendar!$C$2:$C$9997,C7416)*INDEX(ForeCalc!$B$37:$Y$274,MATCH(_xlfn.CONCAT(H7416," ",I7416),ForeCalc!$A$37:$A$274,0),MATCH(_xlfn.CONCAT(B7416," ",E7416),ForeCalc!$B$36:$Y$36,0))))*VLOOKUP(A7416,Calendar!$A$2:$H$9997,8,FALSE),0)</f>
        <v/>
      </c>
      <c r="G7416" s="29">
        <f>VLOOKUP(A7416,Calendar!$A$1:$H$9997,6,FALSE)-F7416</f>
        <v/>
      </c>
      <c r="H7416" s="19" t="n">
        <v>3</v>
      </c>
      <c r="I7416" s="57" t="n">
        <v>4</v>
      </c>
    </row>
    <row r="7417">
      <c r="A7417" s="62" t="n">
        <v>46952</v>
      </c>
      <c r="B7417" s="3" t="inlineStr">
        <is>
          <t>Week</t>
        </is>
      </c>
      <c r="C7417" s="19" t="n">
        <v>7</v>
      </c>
      <c r="D7417" s="19" t="n">
        <v>2028</v>
      </c>
      <c r="E7417" s="57" t="n">
        <v>7</v>
      </c>
      <c r="F7417" s="29">
        <f>ROUND(((SUMIFS(Calendar!$F$2:$F$9997,Calendar!$B$2:$B$9997,D7417,Calendar!$C$2:$C$9997,C7417)*INDEX(ForeCalc!$B$37:$Y$274,MATCH(_xlfn.CONCAT(H7417," ",I7417),ForeCalc!$A$37:$A$274,0),MATCH(_xlfn.CONCAT(B7417," ",E7417),ForeCalc!$B$36:$Y$36,0))))*VLOOKUP(A7417,Calendar!$A$2:$H$9997,8,FALSE),0)</f>
        <v/>
      </c>
      <c r="G7417" s="29">
        <f>VLOOKUP(A7417,Calendar!$A$1:$H$9997,6,FALSE)-F7417</f>
        <v/>
      </c>
      <c r="H7417" s="19" t="n">
        <v>3</v>
      </c>
      <c r="I7417" s="57" t="n">
        <v>4</v>
      </c>
    </row>
    <row r="7418">
      <c r="A7418" s="62" t="n">
        <v>46953</v>
      </c>
      <c r="B7418" s="3" t="inlineStr">
        <is>
          <t>Week</t>
        </is>
      </c>
      <c r="C7418" s="19" t="n">
        <v>7</v>
      </c>
      <c r="D7418" s="19" t="n">
        <v>2028</v>
      </c>
      <c r="E7418" s="57" t="n">
        <v>7</v>
      </c>
      <c r="F7418" s="29">
        <f>ROUND(((SUMIFS(Calendar!$F$2:$F$9997,Calendar!$B$2:$B$9997,D7418,Calendar!$C$2:$C$9997,C7418)*INDEX(ForeCalc!$B$37:$Y$274,MATCH(_xlfn.CONCAT(H7418," ",I7418),ForeCalc!$A$37:$A$274,0),MATCH(_xlfn.CONCAT(B7418," ",E7418),ForeCalc!$B$36:$Y$36,0))))*VLOOKUP(A7418,Calendar!$A$2:$H$9997,8,FALSE),0)</f>
        <v/>
      </c>
      <c r="G7418" s="29">
        <f>VLOOKUP(A7418,Calendar!$A$1:$H$9997,6,FALSE)-F7418</f>
        <v/>
      </c>
      <c r="H7418" s="19" t="n">
        <v>3</v>
      </c>
      <c r="I7418" s="57" t="n">
        <v>4</v>
      </c>
    </row>
    <row r="7419">
      <c r="A7419" s="62" t="n">
        <v>46954</v>
      </c>
      <c r="B7419" s="3" t="inlineStr">
        <is>
          <t>Week</t>
        </is>
      </c>
      <c r="C7419" s="19" t="n">
        <v>7</v>
      </c>
      <c r="D7419" s="19" t="n">
        <v>2028</v>
      </c>
      <c r="E7419" s="57" t="n">
        <v>7</v>
      </c>
      <c r="F7419" s="29">
        <f>ROUND(((SUMIFS(Calendar!$F$2:$F$9997,Calendar!$B$2:$B$9997,D7419,Calendar!$C$2:$C$9997,C7419)*INDEX(ForeCalc!$B$37:$Y$274,MATCH(_xlfn.CONCAT(H7419," ",I7419),ForeCalc!$A$37:$A$274,0),MATCH(_xlfn.CONCAT(B7419," ",E7419),ForeCalc!$B$36:$Y$36,0))))*VLOOKUP(A7419,Calendar!$A$2:$H$9997,8,FALSE),0)</f>
        <v/>
      </c>
      <c r="G7419" s="29">
        <f>VLOOKUP(A7419,Calendar!$A$1:$H$9997,6,FALSE)-F7419</f>
        <v/>
      </c>
      <c r="H7419" s="19" t="n">
        <v>3</v>
      </c>
      <c r="I7419" s="57" t="n">
        <v>4</v>
      </c>
    </row>
    <row r="7420">
      <c r="A7420" s="62" t="n">
        <v>46955</v>
      </c>
      <c r="B7420" s="3" t="inlineStr">
        <is>
          <t>Week</t>
        </is>
      </c>
      <c r="C7420" s="19" t="n">
        <v>7</v>
      </c>
      <c r="D7420" s="19" t="n">
        <v>2028</v>
      </c>
      <c r="E7420" s="57" t="n">
        <v>7</v>
      </c>
      <c r="F7420" s="29">
        <f>ROUND(((SUMIFS(Calendar!$F$2:$F$9997,Calendar!$B$2:$B$9997,D7420,Calendar!$C$2:$C$9997,C7420)*INDEX(ForeCalc!$B$37:$Y$274,MATCH(_xlfn.CONCAT(H7420," ",I7420),ForeCalc!$A$37:$A$274,0),MATCH(_xlfn.CONCAT(B7420," ",E7420),ForeCalc!$B$36:$Y$36,0))))*VLOOKUP(A7420,Calendar!$A$2:$H$9997,8,FALSE),0)</f>
        <v/>
      </c>
      <c r="G7420" s="29">
        <f>VLOOKUP(A7420,Calendar!$A$1:$H$9997,6,FALSE)-F7420</f>
        <v/>
      </c>
      <c r="H7420" s="19" t="n">
        <v>3</v>
      </c>
      <c r="I7420" s="57" t="n">
        <v>4</v>
      </c>
    </row>
    <row r="7421">
      <c r="A7421" s="62" t="n">
        <v>46956</v>
      </c>
      <c r="B7421" s="3" t="inlineStr">
        <is>
          <t>Sat</t>
        </is>
      </c>
      <c r="C7421" s="19" t="n">
        <v>7</v>
      </c>
      <c r="D7421" s="19" t="n">
        <v>2028</v>
      </c>
      <c r="E7421" s="57" t="n">
        <v>7</v>
      </c>
      <c r="F7421" s="29">
        <f>ROUND(((SUMIFS(Calendar!$F$2:$F$9997,Calendar!$B$2:$B$9997,D7421,Calendar!$C$2:$C$9997,C7421)*INDEX(ForeCalc!$B$37:$Y$274,MATCH(_xlfn.CONCAT(H7421," ",I7421),ForeCalc!$A$37:$A$274,0),MATCH(_xlfn.CONCAT(B7421," ",E7421),ForeCalc!$B$36:$Y$36,0))))*VLOOKUP(A7421,Calendar!$A$2:$H$9997,8,FALSE),0)</f>
        <v/>
      </c>
      <c r="G7421" s="29">
        <f>VLOOKUP(A7421,Calendar!$A$1:$H$9997,6,FALSE)-F7421</f>
        <v/>
      </c>
      <c r="H7421" s="19" t="n">
        <v>3</v>
      </c>
      <c r="I7421" s="57" t="n">
        <v>4</v>
      </c>
    </row>
    <row r="7422">
      <c r="A7422" s="62" t="n">
        <v>46957</v>
      </c>
      <c r="B7422" s="3" t="inlineStr">
        <is>
          <t>Sun</t>
        </is>
      </c>
      <c r="C7422" s="19" t="n">
        <v>7</v>
      </c>
      <c r="D7422" s="19" t="n">
        <v>2028</v>
      </c>
      <c r="E7422" s="57" t="n">
        <v>7</v>
      </c>
      <c r="F7422" s="29">
        <f>ROUND(((SUMIFS(Calendar!$F$2:$F$9997,Calendar!$B$2:$B$9997,D7422,Calendar!$C$2:$C$9997,C7422)*INDEX(ForeCalc!$B$37:$Y$274,MATCH(_xlfn.CONCAT(H7422," ",I7422),ForeCalc!$A$37:$A$274,0),MATCH(_xlfn.CONCAT(B7422," ",E7422),ForeCalc!$B$36:$Y$36,0))))*VLOOKUP(A7422,Calendar!$A$2:$H$9997,8,FALSE),0)</f>
        <v/>
      </c>
      <c r="G7422" s="29">
        <f>VLOOKUP(A7422,Calendar!$A$1:$H$9997,6,FALSE)-F7422</f>
        <v/>
      </c>
      <c r="H7422" s="19" t="n">
        <v>3</v>
      </c>
      <c r="I7422" s="57" t="n">
        <v>4</v>
      </c>
    </row>
    <row r="7423">
      <c r="A7423" s="62" t="n">
        <v>46958</v>
      </c>
      <c r="B7423" s="3" t="inlineStr">
        <is>
          <t>Week</t>
        </is>
      </c>
      <c r="C7423" s="19" t="n">
        <v>7</v>
      </c>
      <c r="D7423" s="19" t="n">
        <v>2028</v>
      </c>
      <c r="E7423" s="57" t="n">
        <v>7</v>
      </c>
      <c r="F7423" s="29">
        <f>ROUND(((SUMIFS(Calendar!$F$2:$F$9997,Calendar!$B$2:$B$9997,D7423,Calendar!$C$2:$C$9997,C7423)*INDEX(ForeCalc!$B$37:$Y$274,MATCH(_xlfn.CONCAT(H7423," ",I7423),ForeCalc!$A$37:$A$274,0),MATCH(_xlfn.CONCAT(B7423," ",E7423),ForeCalc!$B$36:$Y$36,0))))*VLOOKUP(A7423,Calendar!$A$2:$H$9997,8,FALSE),0)</f>
        <v/>
      </c>
      <c r="G7423" s="29">
        <f>VLOOKUP(A7423,Calendar!$A$1:$H$9997,6,FALSE)-F7423</f>
        <v/>
      </c>
      <c r="H7423" s="19" t="n">
        <v>3</v>
      </c>
      <c r="I7423" s="57" t="n">
        <v>4</v>
      </c>
    </row>
    <row r="7424">
      <c r="A7424" s="62" t="n">
        <v>46959</v>
      </c>
      <c r="B7424" s="3" t="inlineStr">
        <is>
          <t>Week</t>
        </is>
      </c>
      <c r="C7424" s="19" t="n">
        <v>7</v>
      </c>
      <c r="D7424" s="19" t="n">
        <v>2028</v>
      </c>
      <c r="E7424" s="57" t="n">
        <v>7</v>
      </c>
      <c r="F7424" s="29">
        <f>ROUND(((SUMIFS(Calendar!$F$2:$F$9997,Calendar!$B$2:$B$9997,D7424,Calendar!$C$2:$C$9997,C7424)*INDEX(ForeCalc!$B$37:$Y$274,MATCH(_xlfn.CONCAT(H7424," ",I7424),ForeCalc!$A$37:$A$274,0),MATCH(_xlfn.CONCAT(B7424," ",E7424),ForeCalc!$B$36:$Y$36,0))))*VLOOKUP(A7424,Calendar!$A$2:$H$9997,8,FALSE),0)</f>
        <v/>
      </c>
      <c r="G7424" s="29">
        <f>VLOOKUP(A7424,Calendar!$A$1:$H$9997,6,FALSE)-F7424</f>
        <v/>
      </c>
      <c r="H7424" s="19" t="n">
        <v>3</v>
      </c>
      <c r="I7424" s="57" t="n">
        <v>4</v>
      </c>
    </row>
    <row r="7425">
      <c r="A7425" s="62" t="n">
        <v>46960</v>
      </c>
      <c r="B7425" s="3" t="inlineStr">
        <is>
          <t>Week</t>
        </is>
      </c>
      <c r="C7425" s="19" t="n">
        <v>7</v>
      </c>
      <c r="D7425" s="19" t="n">
        <v>2028</v>
      </c>
      <c r="E7425" s="57" t="n">
        <v>7</v>
      </c>
      <c r="F7425" s="29">
        <f>ROUND(((SUMIFS(Calendar!$F$2:$F$9997,Calendar!$B$2:$B$9997,D7425,Calendar!$C$2:$C$9997,C7425)*INDEX(ForeCalc!$B$37:$Y$274,MATCH(_xlfn.CONCAT(H7425," ",I7425),ForeCalc!$A$37:$A$274,0),MATCH(_xlfn.CONCAT(B7425," ",E7425),ForeCalc!$B$36:$Y$36,0))))*VLOOKUP(A7425,Calendar!$A$2:$H$9997,8,FALSE),0)</f>
        <v/>
      </c>
      <c r="G7425" s="29">
        <f>VLOOKUP(A7425,Calendar!$A$1:$H$9997,6,FALSE)-F7425</f>
        <v/>
      </c>
      <c r="H7425" s="19" t="n">
        <v>3</v>
      </c>
      <c r="I7425" s="57" t="n">
        <v>4</v>
      </c>
    </row>
    <row r="7426">
      <c r="A7426" s="62" t="n">
        <v>46961</v>
      </c>
      <c r="B7426" s="3" t="inlineStr">
        <is>
          <t>Week</t>
        </is>
      </c>
      <c r="C7426" s="19" t="n">
        <v>7</v>
      </c>
      <c r="D7426" s="19" t="n">
        <v>2028</v>
      </c>
      <c r="E7426" s="57" t="n">
        <v>7</v>
      </c>
      <c r="F7426" s="29">
        <f>ROUND(((SUMIFS(Calendar!$F$2:$F$9997,Calendar!$B$2:$B$9997,D7426,Calendar!$C$2:$C$9997,C7426)*INDEX(ForeCalc!$B$37:$Y$274,MATCH(_xlfn.CONCAT(H7426," ",I7426),ForeCalc!$A$37:$A$274,0),MATCH(_xlfn.CONCAT(B7426," ",E7426),ForeCalc!$B$36:$Y$36,0))))*VLOOKUP(A7426,Calendar!$A$2:$H$9997,8,FALSE),0)</f>
        <v/>
      </c>
      <c r="G7426" s="29">
        <f>VLOOKUP(A7426,Calendar!$A$1:$H$9997,6,FALSE)-F7426</f>
        <v/>
      </c>
      <c r="H7426" s="19" t="n">
        <v>3</v>
      </c>
      <c r="I7426" s="57" t="n">
        <v>4</v>
      </c>
    </row>
    <row r="7427">
      <c r="A7427" s="62" t="n">
        <v>46962</v>
      </c>
      <c r="B7427" s="3" t="inlineStr">
        <is>
          <t>Week</t>
        </is>
      </c>
      <c r="C7427" s="19" t="n">
        <v>7</v>
      </c>
      <c r="D7427" s="19" t="n">
        <v>2028</v>
      </c>
      <c r="E7427" s="57" t="n">
        <v>7</v>
      </c>
      <c r="F7427" s="29">
        <f>ROUND(((SUMIFS(Calendar!$F$2:$F$9997,Calendar!$B$2:$B$9997,D7427,Calendar!$C$2:$C$9997,C7427)*INDEX(ForeCalc!$B$37:$Y$274,MATCH(_xlfn.CONCAT(H7427," ",I7427),ForeCalc!$A$37:$A$274,0),MATCH(_xlfn.CONCAT(B7427," ",E7427),ForeCalc!$B$36:$Y$36,0))))*VLOOKUP(A7427,Calendar!$A$2:$H$9997,8,FALSE),0)</f>
        <v/>
      </c>
      <c r="G7427" s="29">
        <f>VLOOKUP(A7427,Calendar!$A$1:$H$9997,6,FALSE)-F7427</f>
        <v/>
      </c>
      <c r="H7427" s="19" t="n">
        <v>3</v>
      </c>
      <c r="I7427" s="57" t="n">
        <v>4</v>
      </c>
    </row>
    <row r="7428">
      <c r="A7428" s="62" t="n">
        <v>46963</v>
      </c>
      <c r="B7428" s="3" t="inlineStr">
        <is>
          <t>Sat</t>
        </is>
      </c>
      <c r="C7428" s="19" t="n">
        <v>7</v>
      </c>
      <c r="D7428" s="19" t="n">
        <v>2028</v>
      </c>
      <c r="E7428" s="57" t="n">
        <v>7</v>
      </c>
      <c r="F7428" s="29">
        <f>ROUND(((SUMIFS(Calendar!$F$2:$F$9997,Calendar!$B$2:$B$9997,D7428,Calendar!$C$2:$C$9997,C7428)*INDEX(ForeCalc!$B$37:$Y$274,MATCH(_xlfn.CONCAT(H7428," ",I7428),ForeCalc!$A$37:$A$274,0),MATCH(_xlfn.CONCAT(B7428," ",E7428),ForeCalc!$B$36:$Y$36,0))))*VLOOKUP(A7428,Calendar!$A$2:$H$9997,8,FALSE),0)</f>
        <v/>
      </c>
      <c r="G7428" s="29">
        <f>VLOOKUP(A7428,Calendar!$A$1:$H$9997,6,FALSE)-F7428</f>
        <v/>
      </c>
      <c r="H7428" s="19" t="n">
        <v>3</v>
      </c>
      <c r="I7428" s="57" t="n">
        <v>4</v>
      </c>
    </row>
    <row r="7429">
      <c r="A7429" s="62" t="n">
        <v>46964</v>
      </c>
      <c r="B7429" s="3" t="inlineStr">
        <is>
          <t>Sun</t>
        </is>
      </c>
      <c r="C7429" s="19" t="n">
        <v>7</v>
      </c>
      <c r="D7429" s="19" t="n">
        <v>2028</v>
      </c>
      <c r="E7429" s="57" t="n">
        <v>7</v>
      </c>
      <c r="F7429" s="29">
        <f>ROUND(((SUMIFS(Calendar!$F$2:$F$9997,Calendar!$B$2:$B$9997,D7429,Calendar!$C$2:$C$9997,C7429)*INDEX(ForeCalc!$B$37:$Y$274,MATCH(_xlfn.CONCAT(H7429," ",I7429),ForeCalc!$A$37:$A$274,0),MATCH(_xlfn.CONCAT(B7429," ",E7429),ForeCalc!$B$36:$Y$36,0))))*VLOOKUP(A7429,Calendar!$A$2:$H$9997,8,FALSE),0)</f>
        <v/>
      </c>
      <c r="G7429" s="29">
        <f>VLOOKUP(A7429,Calendar!$A$1:$H$9997,6,FALSE)-F7429</f>
        <v/>
      </c>
      <c r="H7429" s="19" t="n">
        <v>3</v>
      </c>
      <c r="I7429" s="57" t="n">
        <v>4</v>
      </c>
    </row>
    <row r="7430">
      <c r="A7430" s="62" t="n">
        <v>46965</v>
      </c>
      <c r="B7430" s="3" t="inlineStr">
        <is>
          <t>Week</t>
        </is>
      </c>
      <c r="C7430" s="19" t="n">
        <v>7</v>
      </c>
      <c r="D7430" s="19" t="n">
        <v>2028</v>
      </c>
      <c r="E7430" s="57" t="n">
        <v>7</v>
      </c>
      <c r="F7430" s="29">
        <f>ROUND(((SUMIFS(Calendar!$F$2:$F$9997,Calendar!$B$2:$B$9997,D7430,Calendar!$C$2:$C$9997,C7430)*INDEX(ForeCalc!$B$37:$Y$274,MATCH(_xlfn.CONCAT(H7430," ",I7430),ForeCalc!$A$37:$A$274,0),MATCH(_xlfn.CONCAT(B7430," ",E7430),ForeCalc!$B$36:$Y$36,0))))*VLOOKUP(A7430,Calendar!$A$2:$H$9997,8,FALSE),0)</f>
        <v/>
      </c>
      <c r="G7430" s="29">
        <f>VLOOKUP(A7430,Calendar!$A$1:$H$9997,6,FALSE)-F7430</f>
        <v/>
      </c>
      <c r="H7430" s="19" t="n">
        <v>3</v>
      </c>
      <c r="I7430" s="57" t="n">
        <v>4</v>
      </c>
    </row>
    <row r="7431">
      <c r="A7431" s="62" t="n">
        <v>46966</v>
      </c>
      <c r="B7431" s="3" t="inlineStr">
        <is>
          <t>Week</t>
        </is>
      </c>
      <c r="C7431" s="19" t="n">
        <v>8</v>
      </c>
      <c r="D7431" s="19" t="n">
        <v>2028</v>
      </c>
      <c r="E7431" s="57" t="n">
        <v>7</v>
      </c>
      <c r="F7431" s="29">
        <f>ROUND(((SUMIFS(Calendar!$F$2:$F$9997,Calendar!$B$2:$B$9997,D7431,Calendar!$C$2:$C$9997,C7431)*INDEX(ForeCalc!$B$37:$Y$274,MATCH(_xlfn.CONCAT(H7431," ",I7431),ForeCalc!$A$37:$A$274,0),MATCH(_xlfn.CONCAT(B7431," ",E7431),ForeCalc!$B$36:$Y$36,0))))*VLOOKUP(A7431,Calendar!$A$2:$H$9997,8,FALSE),0)</f>
        <v/>
      </c>
      <c r="G7431" s="29">
        <f>VLOOKUP(A7431,Calendar!$A$1:$H$9997,6,FALSE)-F7431</f>
        <v/>
      </c>
      <c r="H7431" s="19" t="n">
        <v>3</v>
      </c>
      <c r="I7431" s="57" t="n">
        <v>5</v>
      </c>
    </row>
    <row r="7432">
      <c r="A7432" s="62" t="n">
        <v>46967</v>
      </c>
      <c r="B7432" s="3" t="inlineStr">
        <is>
          <t>Week</t>
        </is>
      </c>
      <c r="C7432" s="19" t="n">
        <v>8</v>
      </c>
      <c r="D7432" s="19" t="n">
        <v>2028</v>
      </c>
      <c r="E7432" s="57" t="n">
        <v>7</v>
      </c>
      <c r="F7432" s="29">
        <f>ROUND(((SUMIFS(Calendar!$F$2:$F$9997,Calendar!$B$2:$B$9997,D7432,Calendar!$C$2:$C$9997,C7432)*INDEX(ForeCalc!$B$37:$Y$274,MATCH(_xlfn.CONCAT(H7432," ",I7432),ForeCalc!$A$37:$A$274,0),MATCH(_xlfn.CONCAT(B7432," ",E7432),ForeCalc!$B$36:$Y$36,0))))*VLOOKUP(A7432,Calendar!$A$2:$H$9997,8,FALSE),0)</f>
        <v/>
      </c>
      <c r="G7432" s="29">
        <f>VLOOKUP(A7432,Calendar!$A$1:$H$9997,6,FALSE)-F7432</f>
        <v/>
      </c>
      <c r="H7432" s="19" t="n">
        <v>3</v>
      </c>
      <c r="I7432" s="57" t="n">
        <v>5</v>
      </c>
    </row>
    <row r="7433">
      <c r="A7433" s="62" t="n">
        <v>46968</v>
      </c>
      <c r="B7433" s="3" t="inlineStr">
        <is>
          <t>Week</t>
        </is>
      </c>
      <c r="C7433" s="19" t="n">
        <v>8</v>
      </c>
      <c r="D7433" s="19" t="n">
        <v>2028</v>
      </c>
      <c r="E7433" s="57" t="n">
        <v>7</v>
      </c>
      <c r="F7433" s="29">
        <f>ROUND(((SUMIFS(Calendar!$F$2:$F$9997,Calendar!$B$2:$B$9997,D7433,Calendar!$C$2:$C$9997,C7433)*INDEX(ForeCalc!$B$37:$Y$274,MATCH(_xlfn.CONCAT(H7433," ",I7433),ForeCalc!$A$37:$A$274,0),MATCH(_xlfn.CONCAT(B7433," ",E7433),ForeCalc!$B$36:$Y$36,0))))*VLOOKUP(A7433,Calendar!$A$2:$H$9997,8,FALSE),0)</f>
        <v/>
      </c>
      <c r="G7433" s="29">
        <f>VLOOKUP(A7433,Calendar!$A$1:$H$9997,6,FALSE)-F7433</f>
        <v/>
      </c>
      <c r="H7433" s="19" t="n">
        <v>3</v>
      </c>
      <c r="I7433" s="57" t="n">
        <v>5</v>
      </c>
    </row>
    <row r="7434">
      <c r="A7434" s="62" t="n">
        <v>46969</v>
      </c>
      <c r="B7434" s="3" t="inlineStr">
        <is>
          <t>Week</t>
        </is>
      </c>
      <c r="C7434" s="19" t="n">
        <v>8</v>
      </c>
      <c r="D7434" s="19" t="n">
        <v>2028</v>
      </c>
      <c r="E7434" s="57" t="n">
        <v>7</v>
      </c>
      <c r="F7434" s="29">
        <f>ROUND(((SUMIFS(Calendar!$F$2:$F$9997,Calendar!$B$2:$B$9997,D7434,Calendar!$C$2:$C$9997,C7434)*INDEX(ForeCalc!$B$37:$Y$274,MATCH(_xlfn.CONCAT(H7434," ",I7434),ForeCalc!$A$37:$A$274,0),MATCH(_xlfn.CONCAT(B7434," ",E7434),ForeCalc!$B$36:$Y$36,0))))*VLOOKUP(A7434,Calendar!$A$2:$H$9997,8,FALSE),0)</f>
        <v/>
      </c>
      <c r="G7434" s="29">
        <f>VLOOKUP(A7434,Calendar!$A$1:$H$9997,6,FALSE)-F7434</f>
        <v/>
      </c>
      <c r="H7434" s="19" t="n">
        <v>3</v>
      </c>
      <c r="I7434" s="57" t="n">
        <v>5</v>
      </c>
    </row>
    <row r="7435">
      <c r="A7435" s="62" t="n">
        <v>46970</v>
      </c>
      <c r="B7435" s="3" t="inlineStr">
        <is>
          <t>Sat</t>
        </is>
      </c>
      <c r="C7435" s="19" t="n">
        <v>8</v>
      </c>
      <c r="D7435" s="19" t="n">
        <v>2028</v>
      </c>
      <c r="E7435" s="57" t="n">
        <v>7</v>
      </c>
      <c r="F7435" s="29">
        <f>ROUND(((SUMIFS(Calendar!$F$2:$F$9997,Calendar!$B$2:$B$9997,D7435,Calendar!$C$2:$C$9997,C7435)*INDEX(ForeCalc!$B$37:$Y$274,MATCH(_xlfn.CONCAT(H7435," ",I7435),ForeCalc!$A$37:$A$274,0),MATCH(_xlfn.CONCAT(B7435," ",E7435),ForeCalc!$B$36:$Y$36,0))))*VLOOKUP(A7435,Calendar!$A$2:$H$9997,8,FALSE),0)</f>
        <v/>
      </c>
      <c r="G7435" s="29">
        <f>VLOOKUP(A7435,Calendar!$A$1:$H$9997,6,FALSE)-F7435</f>
        <v/>
      </c>
      <c r="H7435" s="19" t="n">
        <v>3</v>
      </c>
      <c r="I7435" s="57" t="n">
        <v>5</v>
      </c>
    </row>
    <row r="7436">
      <c r="A7436" s="62" t="n">
        <v>46971</v>
      </c>
      <c r="B7436" s="3" t="inlineStr">
        <is>
          <t>Sun</t>
        </is>
      </c>
      <c r="C7436" s="19" t="n">
        <v>8</v>
      </c>
      <c r="D7436" s="19" t="n">
        <v>2028</v>
      </c>
      <c r="E7436" s="57" t="n">
        <v>7</v>
      </c>
      <c r="F7436" s="29">
        <f>ROUND(((SUMIFS(Calendar!$F$2:$F$9997,Calendar!$B$2:$B$9997,D7436,Calendar!$C$2:$C$9997,C7436)*INDEX(ForeCalc!$B$37:$Y$274,MATCH(_xlfn.CONCAT(H7436," ",I7436),ForeCalc!$A$37:$A$274,0),MATCH(_xlfn.CONCAT(B7436," ",E7436),ForeCalc!$B$36:$Y$36,0))))*VLOOKUP(A7436,Calendar!$A$2:$H$9997,8,FALSE),0)</f>
        <v/>
      </c>
      <c r="G7436" s="29">
        <f>VLOOKUP(A7436,Calendar!$A$1:$H$9997,6,FALSE)-F7436</f>
        <v/>
      </c>
      <c r="H7436" s="19" t="n">
        <v>3</v>
      </c>
      <c r="I7436" s="57" t="n">
        <v>5</v>
      </c>
    </row>
    <row r="7437">
      <c r="A7437" s="62" t="n">
        <v>46972</v>
      </c>
      <c r="B7437" s="3" t="inlineStr">
        <is>
          <t>Week</t>
        </is>
      </c>
      <c r="C7437" s="19" t="n">
        <v>8</v>
      </c>
      <c r="D7437" s="19" t="n">
        <v>2028</v>
      </c>
      <c r="E7437" s="57" t="n">
        <v>7</v>
      </c>
      <c r="F7437" s="29">
        <f>ROUND(((SUMIFS(Calendar!$F$2:$F$9997,Calendar!$B$2:$B$9997,D7437,Calendar!$C$2:$C$9997,C7437)*INDEX(ForeCalc!$B$37:$Y$274,MATCH(_xlfn.CONCAT(H7437," ",I7437),ForeCalc!$A$37:$A$274,0),MATCH(_xlfn.CONCAT(B7437," ",E7437),ForeCalc!$B$36:$Y$36,0))))*VLOOKUP(A7437,Calendar!$A$2:$H$9997,8,FALSE),0)</f>
        <v/>
      </c>
      <c r="G7437" s="29">
        <f>VLOOKUP(A7437,Calendar!$A$1:$H$9997,6,FALSE)-F7437</f>
        <v/>
      </c>
      <c r="H7437" s="19" t="n">
        <v>3</v>
      </c>
      <c r="I7437" s="57" t="n">
        <v>5</v>
      </c>
    </row>
    <row r="7438">
      <c r="A7438" s="62" t="n">
        <v>46973</v>
      </c>
      <c r="B7438" s="3" t="inlineStr">
        <is>
          <t>Week</t>
        </is>
      </c>
      <c r="C7438" s="19" t="n">
        <v>8</v>
      </c>
      <c r="D7438" s="19" t="n">
        <v>2028</v>
      </c>
      <c r="E7438" s="57" t="n">
        <v>7</v>
      </c>
      <c r="F7438" s="29">
        <f>ROUND(((SUMIFS(Calendar!$F$2:$F$9997,Calendar!$B$2:$B$9997,D7438,Calendar!$C$2:$C$9997,C7438)*INDEX(ForeCalc!$B$37:$Y$274,MATCH(_xlfn.CONCAT(H7438," ",I7438),ForeCalc!$A$37:$A$274,0),MATCH(_xlfn.CONCAT(B7438," ",E7438),ForeCalc!$B$36:$Y$36,0))))*VLOOKUP(A7438,Calendar!$A$2:$H$9997,8,FALSE),0)</f>
        <v/>
      </c>
      <c r="G7438" s="29">
        <f>VLOOKUP(A7438,Calendar!$A$1:$H$9997,6,FALSE)-F7438</f>
        <v/>
      </c>
      <c r="H7438" s="19" t="n">
        <v>3</v>
      </c>
      <c r="I7438" s="57" t="n">
        <v>5</v>
      </c>
    </row>
    <row r="7439">
      <c r="A7439" s="62" t="n">
        <v>46974</v>
      </c>
      <c r="B7439" s="3" t="inlineStr">
        <is>
          <t>Week</t>
        </is>
      </c>
      <c r="C7439" s="19" t="n">
        <v>8</v>
      </c>
      <c r="D7439" s="19" t="n">
        <v>2028</v>
      </c>
      <c r="E7439" s="57" t="n">
        <v>7</v>
      </c>
      <c r="F7439" s="29">
        <f>ROUND(((SUMIFS(Calendar!$F$2:$F$9997,Calendar!$B$2:$B$9997,D7439,Calendar!$C$2:$C$9997,C7439)*INDEX(ForeCalc!$B$37:$Y$274,MATCH(_xlfn.CONCAT(H7439," ",I7439),ForeCalc!$A$37:$A$274,0),MATCH(_xlfn.CONCAT(B7439," ",E7439),ForeCalc!$B$36:$Y$36,0))))*VLOOKUP(A7439,Calendar!$A$2:$H$9997,8,FALSE),0)</f>
        <v/>
      </c>
      <c r="G7439" s="29">
        <f>VLOOKUP(A7439,Calendar!$A$1:$H$9997,6,FALSE)-F7439</f>
        <v/>
      </c>
      <c r="H7439" s="19" t="n">
        <v>3</v>
      </c>
      <c r="I7439" s="57" t="n">
        <v>5</v>
      </c>
    </row>
    <row r="7440">
      <c r="A7440" s="62" t="n">
        <v>46975</v>
      </c>
      <c r="B7440" s="3" t="inlineStr">
        <is>
          <t>Week</t>
        </is>
      </c>
      <c r="C7440" s="19" t="n">
        <v>8</v>
      </c>
      <c r="D7440" s="19" t="n">
        <v>2028</v>
      </c>
      <c r="E7440" s="57" t="n">
        <v>7</v>
      </c>
      <c r="F7440" s="29">
        <f>ROUND(((SUMIFS(Calendar!$F$2:$F$9997,Calendar!$B$2:$B$9997,D7440,Calendar!$C$2:$C$9997,C7440)*INDEX(ForeCalc!$B$37:$Y$274,MATCH(_xlfn.CONCAT(H7440," ",I7440),ForeCalc!$A$37:$A$274,0),MATCH(_xlfn.CONCAT(B7440," ",E7440),ForeCalc!$B$36:$Y$36,0))))*VLOOKUP(A7440,Calendar!$A$2:$H$9997,8,FALSE),0)</f>
        <v/>
      </c>
      <c r="G7440" s="29">
        <f>VLOOKUP(A7440,Calendar!$A$1:$H$9997,6,FALSE)-F7440</f>
        <v/>
      </c>
      <c r="H7440" s="19" t="n">
        <v>3</v>
      </c>
      <c r="I7440" s="57" t="n">
        <v>5</v>
      </c>
    </row>
    <row r="7441">
      <c r="A7441" s="62" t="n">
        <v>46976</v>
      </c>
      <c r="B7441" s="3" t="inlineStr">
        <is>
          <t>Week</t>
        </is>
      </c>
      <c r="C7441" s="19" t="n">
        <v>8</v>
      </c>
      <c r="D7441" s="19" t="n">
        <v>2028</v>
      </c>
      <c r="E7441" s="57" t="n">
        <v>7</v>
      </c>
      <c r="F7441" s="29">
        <f>ROUND(((SUMIFS(Calendar!$F$2:$F$9997,Calendar!$B$2:$B$9997,D7441,Calendar!$C$2:$C$9997,C7441)*INDEX(ForeCalc!$B$37:$Y$274,MATCH(_xlfn.CONCAT(H7441," ",I7441),ForeCalc!$A$37:$A$274,0),MATCH(_xlfn.CONCAT(B7441," ",E7441),ForeCalc!$B$36:$Y$36,0))))*VLOOKUP(A7441,Calendar!$A$2:$H$9997,8,FALSE),0)</f>
        <v/>
      </c>
      <c r="G7441" s="29">
        <f>VLOOKUP(A7441,Calendar!$A$1:$H$9997,6,FALSE)-F7441</f>
        <v/>
      </c>
      <c r="H7441" s="19" t="n">
        <v>3</v>
      </c>
      <c r="I7441" s="57" t="n">
        <v>5</v>
      </c>
    </row>
    <row r="7442">
      <c r="A7442" s="62" t="n">
        <v>46977</v>
      </c>
      <c r="B7442" s="3" t="inlineStr">
        <is>
          <t>Sat</t>
        </is>
      </c>
      <c r="C7442" s="19" t="n">
        <v>8</v>
      </c>
      <c r="D7442" s="19" t="n">
        <v>2028</v>
      </c>
      <c r="E7442" s="57" t="n">
        <v>7</v>
      </c>
      <c r="F7442" s="29">
        <f>ROUND(((SUMIFS(Calendar!$F$2:$F$9997,Calendar!$B$2:$B$9997,D7442,Calendar!$C$2:$C$9997,C7442)*INDEX(ForeCalc!$B$37:$Y$274,MATCH(_xlfn.CONCAT(H7442," ",I7442),ForeCalc!$A$37:$A$274,0),MATCH(_xlfn.CONCAT(B7442," ",E7442),ForeCalc!$B$36:$Y$36,0))))*VLOOKUP(A7442,Calendar!$A$2:$H$9997,8,FALSE),0)</f>
        <v/>
      </c>
      <c r="G7442" s="29">
        <f>VLOOKUP(A7442,Calendar!$A$1:$H$9997,6,FALSE)-F7442</f>
        <v/>
      </c>
      <c r="H7442" s="19" t="n">
        <v>3</v>
      </c>
      <c r="I7442" s="57" t="n">
        <v>5</v>
      </c>
    </row>
    <row r="7443">
      <c r="A7443" s="62" t="n">
        <v>46978</v>
      </c>
      <c r="B7443" s="3" t="inlineStr">
        <is>
          <t>Sun</t>
        </is>
      </c>
      <c r="C7443" s="19" t="n">
        <v>8</v>
      </c>
      <c r="D7443" s="19" t="n">
        <v>2028</v>
      </c>
      <c r="E7443" s="57" t="n">
        <v>7</v>
      </c>
      <c r="F7443" s="29">
        <f>ROUND(((SUMIFS(Calendar!$F$2:$F$9997,Calendar!$B$2:$B$9997,D7443,Calendar!$C$2:$C$9997,C7443)*INDEX(ForeCalc!$B$37:$Y$274,MATCH(_xlfn.CONCAT(H7443," ",I7443),ForeCalc!$A$37:$A$274,0),MATCH(_xlfn.CONCAT(B7443," ",E7443),ForeCalc!$B$36:$Y$36,0))))*VLOOKUP(A7443,Calendar!$A$2:$H$9997,8,FALSE),0)</f>
        <v/>
      </c>
      <c r="G7443" s="29">
        <f>VLOOKUP(A7443,Calendar!$A$1:$H$9997,6,FALSE)-F7443</f>
        <v/>
      </c>
      <c r="H7443" s="19" t="n">
        <v>3</v>
      </c>
      <c r="I7443" s="57" t="n">
        <v>5</v>
      </c>
    </row>
    <row r="7444">
      <c r="A7444" s="62" t="n">
        <v>46979</v>
      </c>
      <c r="B7444" s="3" t="inlineStr">
        <is>
          <t>Week</t>
        </is>
      </c>
      <c r="C7444" s="19" t="n">
        <v>8</v>
      </c>
      <c r="D7444" s="19" t="n">
        <v>2028</v>
      </c>
      <c r="E7444" s="57" t="n">
        <v>7</v>
      </c>
      <c r="F7444" s="29">
        <f>ROUND(((SUMIFS(Calendar!$F$2:$F$9997,Calendar!$B$2:$B$9997,D7444,Calendar!$C$2:$C$9997,C7444)*INDEX(ForeCalc!$B$37:$Y$274,MATCH(_xlfn.CONCAT(H7444," ",I7444),ForeCalc!$A$37:$A$274,0),MATCH(_xlfn.CONCAT(B7444," ",E7444),ForeCalc!$B$36:$Y$36,0))))*VLOOKUP(A7444,Calendar!$A$2:$H$9997,8,FALSE),0)</f>
        <v/>
      </c>
      <c r="G7444" s="29">
        <f>VLOOKUP(A7444,Calendar!$A$1:$H$9997,6,FALSE)-F7444</f>
        <v/>
      </c>
      <c r="H7444" s="19" t="n">
        <v>3</v>
      </c>
      <c r="I7444" s="57" t="n">
        <v>5</v>
      </c>
    </row>
    <row r="7445">
      <c r="A7445" s="62" t="n">
        <v>46980</v>
      </c>
      <c r="B7445" s="3" t="inlineStr">
        <is>
          <t>Week</t>
        </is>
      </c>
      <c r="C7445" s="19" t="n">
        <v>8</v>
      </c>
      <c r="D7445" s="19" t="n">
        <v>2028</v>
      </c>
      <c r="E7445" s="57" t="n">
        <v>7</v>
      </c>
      <c r="F7445" s="29">
        <f>ROUND(((SUMIFS(Calendar!$F$2:$F$9997,Calendar!$B$2:$B$9997,D7445,Calendar!$C$2:$C$9997,C7445)*INDEX(ForeCalc!$B$37:$Y$274,MATCH(_xlfn.CONCAT(H7445," ",I7445),ForeCalc!$A$37:$A$274,0),MATCH(_xlfn.CONCAT(B7445," ",E7445),ForeCalc!$B$36:$Y$36,0))))*VLOOKUP(A7445,Calendar!$A$2:$H$9997,8,FALSE),0)</f>
        <v/>
      </c>
      <c r="G7445" s="29">
        <f>VLOOKUP(A7445,Calendar!$A$1:$H$9997,6,FALSE)-F7445</f>
        <v/>
      </c>
      <c r="H7445" s="19" t="n">
        <v>3</v>
      </c>
      <c r="I7445" s="57" t="n">
        <v>5</v>
      </c>
    </row>
    <row r="7446">
      <c r="A7446" s="62" t="n">
        <v>46981</v>
      </c>
      <c r="B7446" s="3" t="inlineStr">
        <is>
          <t>Week</t>
        </is>
      </c>
      <c r="C7446" s="19" t="n">
        <v>8</v>
      </c>
      <c r="D7446" s="19" t="n">
        <v>2028</v>
      </c>
      <c r="E7446" s="57" t="n">
        <v>7</v>
      </c>
      <c r="F7446" s="29">
        <f>ROUND(((SUMIFS(Calendar!$F$2:$F$9997,Calendar!$B$2:$B$9997,D7446,Calendar!$C$2:$C$9997,C7446)*INDEX(ForeCalc!$B$37:$Y$274,MATCH(_xlfn.CONCAT(H7446," ",I7446),ForeCalc!$A$37:$A$274,0),MATCH(_xlfn.CONCAT(B7446," ",E7446),ForeCalc!$B$36:$Y$36,0))))*VLOOKUP(A7446,Calendar!$A$2:$H$9997,8,FALSE),0)</f>
        <v/>
      </c>
      <c r="G7446" s="29">
        <f>VLOOKUP(A7446,Calendar!$A$1:$H$9997,6,FALSE)-F7446</f>
        <v/>
      </c>
      <c r="H7446" s="19" t="n">
        <v>3</v>
      </c>
      <c r="I7446" s="57" t="n">
        <v>5</v>
      </c>
    </row>
    <row r="7447">
      <c r="A7447" s="62" t="n">
        <v>46982</v>
      </c>
      <c r="B7447" s="3" t="inlineStr">
        <is>
          <t>Week</t>
        </is>
      </c>
      <c r="C7447" s="19" t="n">
        <v>8</v>
      </c>
      <c r="D7447" s="19" t="n">
        <v>2028</v>
      </c>
      <c r="E7447" s="57" t="n">
        <v>7</v>
      </c>
      <c r="F7447" s="29">
        <f>ROUND(((SUMIFS(Calendar!$F$2:$F$9997,Calendar!$B$2:$B$9997,D7447,Calendar!$C$2:$C$9997,C7447)*INDEX(ForeCalc!$B$37:$Y$274,MATCH(_xlfn.CONCAT(H7447," ",I7447),ForeCalc!$A$37:$A$274,0),MATCH(_xlfn.CONCAT(B7447," ",E7447),ForeCalc!$B$36:$Y$36,0))))*VLOOKUP(A7447,Calendar!$A$2:$H$9997,8,FALSE),0)</f>
        <v/>
      </c>
      <c r="G7447" s="29">
        <f>VLOOKUP(A7447,Calendar!$A$1:$H$9997,6,FALSE)-F7447</f>
        <v/>
      </c>
      <c r="H7447" s="19" t="n">
        <v>3</v>
      </c>
      <c r="I7447" s="57" t="n">
        <v>5</v>
      </c>
    </row>
    <row r="7448">
      <c r="A7448" s="62" t="n">
        <v>46983</v>
      </c>
      <c r="B7448" s="3" t="inlineStr">
        <is>
          <t>Week</t>
        </is>
      </c>
      <c r="C7448" s="19" t="n">
        <v>8</v>
      </c>
      <c r="D7448" s="19" t="n">
        <v>2028</v>
      </c>
      <c r="E7448" s="57" t="n">
        <v>7</v>
      </c>
      <c r="F7448" s="29">
        <f>ROUND(((SUMIFS(Calendar!$F$2:$F$9997,Calendar!$B$2:$B$9997,D7448,Calendar!$C$2:$C$9997,C7448)*INDEX(ForeCalc!$B$37:$Y$274,MATCH(_xlfn.CONCAT(H7448," ",I7448),ForeCalc!$A$37:$A$274,0),MATCH(_xlfn.CONCAT(B7448," ",E7448),ForeCalc!$B$36:$Y$36,0))))*VLOOKUP(A7448,Calendar!$A$2:$H$9997,8,FALSE),0)</f>
        <v/>
      </c>
      <c r="G7448" s="29">
        <f>VLOOKUP(A7448,Calendar!$A$1:$H$9997,6,FALSE)-F7448</f>
        <v/>
      </c>
      <c r="H7448" s="19" t="n">
        <v>3</v>
      </c>
      <c r="I7448" s="57" t="n">
        <v>5</v>
      </c>
    </row>
    <row r="7449">
      <c r="A7449" s="62" t="n">
        <v>46984</v>
      </c>
      <c r="B7449" s="3" t="inlineStr">
        <is>
          <t>Sat</t>
        </is>
      </c>
      <c r="C7449" s="19" t="n">
        <v>8</v>
      </c>
      <c r="D7449" s="19" t="n">
        <v>2028</v>
      </c>
      <c r="E7449" s="57" t="n">
        <v>7</v>
      </c>
      <c r="F7449" s="29">
        <f>ROUND(((SUMIFS(Calendar!$F$2:$F$9997,Calendar!$B$2:$B$9997,D7449,Calendar!$C$2:$C$9997,C7449)*INDEX(ForeCalc!$B$37:$Y$274,MATCH(_xlfn.CONCAT(H7449," ",I7449),ForeCalc!$A$37:$A$274,0),MATCH(_xlfn.CONCAT(B7449," ",E7449),ForeCalc!$B$36:$Y$36,0))))*VLOOKUP(A7449,Calendar!$A$2:$H$9997,8,FALSE),0)</f>
        <v/>
      </c>
      <c r="G7449" s="29">
        <f>VLOOKUP(A7449,Calendar!$A$1:$H$9997,6,FALSE)-F7449</f>
        <v/>
      </c>
      <c r="H7449" s="19" t="n">
        <v>3</v>
      </c>
      <c r="I7449" s="57" t="n">
        <v>5</v>
      </c>
    </row>
    <row r="7450">
      <c r="A7450" s="62" t="n">
        <v>46985</v>
      </c>
      <c r="B7450" s="3" t="inlineStr">
        <is>
          <t>Sun</t>
        </is>
      </c>
      <c r="C7450" s="19" t="n">
        <v>8</v>
      </c>
      <c r="D7450" s="19" t="n">
        <v>2028</v>
      </c>
      <c r="E7450" s="57" t="n">
        <v>7</v>
      </c>
      <c r="F7450" s="29">
        <f>ROUND(((SUMIFS(Calendar!$F$2:$F$9997,Calendar!$B$2:$B$9997,D7450,Calendar!$C$2:$C$9997,C7450)*INDEX(ForeCalc!$B$37:$Y$274,MATCH(_xlfn.CONCAT(H7450," ",I7450),ForeCalc!$A$37:$A$274,0),MATCH(_xlfn.CONCAT(B7450," ",E7450),ForeCalc!$B$36:$Y$36,0))))*VLOOKUP(A7450,Calendar!$A$2:$H$9997,8,FALSE),0)</f>
        <v/>
      </c>
      <c r="G7450" s="29">
        <f>VLOOKUP(A7450,Calendar!$A$1:$H$9997,6,FALSE)-F7450</f>
        <v/>
      </c>
      <c r="H7450" s="19" t="n">
        <v>3</v>
      </c>
      <c r="I7450" s="57" t="n">
        <v>5</v>
      </c>
    </row>
    <row r="7451">
      <c r="A7451" s="62" t="n">
        <v>46986</v>
      </c>
      <c r="B7451" s="3" t="inlineStr">
        <is>
          <t>Week</t>
        </is>
      </c>
      <c r="C7451" s="19" t="n">
        <v>8</v>
      </c>
      <c r="D7451" s="19" t="n">
        <v>2028</v>
      </c>
      <c r="E7451" s="57" t="n">
        <v>7</v>
      </c>
      <c r="F7451" s="29">
        <f>ROUND(((SUMIFS(Calendar!$F$2:$F$9997,Calendar!$B$2:$B$9997,D7451,Calendar!$C$2:$C$9997,C7451)*INDEX(ForeCalc!$B$37:$Y$274,MATCH(_xlfn.CONCAT(H7451," ",I7451),ForeCalc!$A$37:$A$274,0),MATCH(_xlfn.CONCAT(B7451," ",E7451),ForeCalc!$B$36:$Y$36,0))))*VLOOKUP(A7451,Calendar!$A$2:$H$9997,8,FALSE),0)</f>
        <v/>
      </c>
      <c r="G7451" s="29">
        <f>VLOOKUP(A7451,Calendar!$A$1:$H$9997,6,FALSE)-F7451</f>
        <v/>
      </c>
      <c r="H7451" s="19" t="n">
        <v>3</v>
      </c>
      <c r="I7451" s="57" t="n">
        <v>5</v>
      </c>
    </row>
    <row r="7452">
      <c r="A7452" s="62" t="n">
        <v>46987</v>
      </c>
      <c r="B7452" s="3" t="inlineStr">
        <is>
          <t>Week</t>
        </is>
      </c>
      <c r="C7452" s="19" t="n">
        <v>8</v>
      </c>
      <c r="D7452" s="19" t="n">
        <v>2028</v>
      </c>
      <c r="E7452" s="57" t="n">
        <v>7</v>
      </c>
      <c r="F7452" s="29">
        <f>ROUND(((SUMIFS(Calendar!$F$2:$F$9997,Calendar!$B$2:$B$9997,D7452,Calendar!$C$2:$C$9997,C7452)*INDEX(ForeCalc!$B$37:$Y$274,MATCH(_xlfn.CONCAT(H7452," ",I7452),ForeCalc!$A$37:$A$274,0),MATCH(_xlfn.CONCAT(B7452," ",E7452),ForeCalc!$B$36:$Y$36,0))))*VLOOKUP(A7452,Calendar!$A$2:$H$9997,8,FALSE),0)</f>
        <v/>
      </c>
      <c r="G7452" s="29">
        <f>VLOOKUP(A7452,Calendar!$A$1:$H$9997,6,FALSE)-F7452</f>
        <v/>
      </c>
      <c r="H7452" s="19" t="n">
        <v>3</v>
      </c>
      <c r="I7452" s="57" t="n">
        <v>5</v>
      </c>
    </row>
    <row r="7453">
      <c r="A7453" s="62" t="n">
        <v>46988</v>
      </c>
      <c r="B7453" s="3" t="inlineStr">
        <is>
          <t>Week</t>
        </is>
      </c>
      <c r="C7453" s="19" t="n">
        <v>8</v>
      </c>
      <c r="D7453" s="19" t="n">
        <v>2028</v>
      </c>
      <c r="E7453" s="57" t="n">
        <v>7</v>
      </c>
      <c r="F7453" s="29">
        <f>ROUND(((SUMIFS(Calendar!$F$2:$F$9997,Calendar!$B$2:$B$9997,D7453,Calendar!$C$2:$C$9997,C7453)*INDEX(ForeCalc!$B$37:$Y$274,MATCH(_xlfn.CONCAT(H7453," ",I7453),ForeCalc!$A$37:$A$274,0),MATCH(_xlfn.CONCAT(B7453," ",E7453),ForeCalc!$B$36:$Y$36,0))))*VLOOKUP(A7453,Calendar!$A$2:$H$9997,8,FALSE),0)</f>
        <v/>
      </c>
      <c r="G7453" s="29">
        <f>VLOOKUP(A7453,Calendar!$A$1:$H$9997,6,FALSE)-F7453</f>
        <v/>
      </c>
      <c r="H7453" s="19" t="n">
        <v>3</v>
      </c>
      <c r="I7453" s="57" t="n">
        <v>5</v>
      </c>
    </row>
    <row r="7454">
      <c r="A7454" s="62" t="n">
        <v>46989</v>
      </c>
      <c r="B7454" s="3" t="inlineStr">
        <is>
          <t>Week</t>
        </is>
      </c>
      <c r="C7454" s="19" t="n">
        <v>8</v>
      </c>
      <c r="D7454" s="19" t="n">
        <v>2028</v>
      </c>
      <c r="E7454" s="57" t="n">
        <v>7</v>
      </c>
      <c r="F7454" s="29">
        <f>ROUND(((SUMIFS(Calendar!$F$2:$F$9997,Calendar!$B$2:$B$9997,D7454,Calendar!$C$2:$C$9997,C7454)*INDEX(ForeCalc!$B$37:$Y$274,MATCH(_xlfn.CONCAT(H7454," ",I7454),ForeCalc!$A$37:$A$274,0),MATCH(_xlfn.CONCAT(B7454," ",E7454),ForeCalc!$B$36:$Y$36,0))))*VLOOKUP(A7454,Calendar!$A$2:$H$9997,8,FALSE),0)</f>
        <v/>
      </c>
      <c r="G7454" s="29">
        <f>VLOOKUP(A7454,Calendar!$A$1:$H$9997,6,FALSE)-F7454</f>
        <v/>
      </c>
      <c r="H7454" s="19" t="n">
        <v>3</v>
      </c>
      <c r="I7454" s="57" t="n">
        <v>5</v>
      </c>
    </row>
    <row r="7455">
      <c r="A7455" s="62" t="n">
        <v>46990</v>
      </c>
      <c r="B7455" s="3" t="inlineStr">
        <is>
          <t>Week</t>
        </is>
      </c>
      <c r="C7455" s="19" t="n">
        <v>8</v>
      </c>
      <c r="D7455" s="19" t="n">
        <v>2028</v>
      </c>
      <c r="E7455" s="57" t="n">
        <v>7</v>
      </c>
      <c r="F7455" s="29">
        <f>ROUND(((SUMIFS(Calendar!$F$2:$F$9997,Calendar!$B$2:$B$9997,D7455,Calendar!$C$2:$C$9997,C7455)*INDEX(ForeCalc!$B$37:$Y$274,MATCH(_xlfn.CONCAT(H7455," ",I7455),ForeCalc!$A$37:$A$274,0),MATCH(_xlfn.CONCAT(B7455," ",E7455),ForeCalc!$B$36:$Y$36,0))))*VLOOKUP(A7455,Calendar!$A$2:$H$9997,8,FALSE),0)</f>
        <v/>
      </c>
      <c r="G7455" s="29">
        <f>VLOOKUP(A7455,Calendar!$A$1:$H$9997,6,FALSE)-F7455</f>
        <v/>
      </c>
      <c r="H7455" s="19" t="n">
        <v>3</v>
      </c>
      <c r="I7455" s="57" t="n">
        <v>5</v>
      </c>
    </row>
    <row r="7456">
      <c r="A7456" s="62" t="n">
        <v>46991</v>
      </c>
      <c r="B7456" s="3" t="inlineStr">
        <is>
          <t>Sat</t>
        </is>
      </c>
      <c r="C7456" s="19" t="n">
        <v>8</v>
      </c>
      <c r="D7456" s="19" t="n">
        <v>2028</v>
      </c>
      <c r="E7456" s="57" t="n">
        <v>7</v>
      </c>
      <c r="F7456" s="29">
        <f>ROUND(((SUMIFS(Calendar!$F$2:$F$9997,Calendar!$B$2:$B$9997,D7456,Calendar!$C$2:$C$9997,C7456)*INDEX(ForeCalc!$B$37:$Y$274,MATCH(_xlfn.CONCAT(H7456," ",I7456),ForeCalc!$A$37:$A$274,0),MATCH(_xlfn.CONCAT(B7456," ",E7456),ForeCalc!$B$36:$Y$36,0))))*VLOOKUP(A7456,Calendar!$A$2:$H$9997,8,FALSE),0)</f>
        <v/>
      </c>
      <c r="G7456" s="29">
        <f>VLOOKUP(A7456,Calendar!$A$1:$H$9997,6,FALSE)-F7456</f>
        <v/>
      </c>
      <c r="H7456" s="19" t="n">
        <v>3</v>
      </c>
      <c r="I7456" s="57" t="n">
        <v>5</v>
      </c>
    </row>
    <row r="7457">
      <c r="A7457" s="62" t="n">
        <v>46992</v>
      </c>
      <c r="B7457" s="3" t="inlineStr">
        <is>
          <t>Sun</t>
        </is>
      </c>
      <c r="C7457" s="19" t="n">
        <v>8</v>
      </c>
      <c r="D7457" s="19" t="n">
        <v>2028</v>
      </c>
      <c r="E7457" s="57" t="n">
        <v>7</v>
      </c>
      <c r="F7457" s="29">
        <f>ROUND(((SUMIFS(Calendar!$F$2:$F$9997,Calendar!$B$2:$B$9997,D7457,Calendar!$C$2:$C$9997,C7457)*INDEX(ForeCalc!$B$37:$Y$274,MATCH(_xlfn.CONCAT(H7457," ",I7457),ForeCalc!$A$37:$A$274,0),MATCH(_xlfn.CONCAT(B7457," ",E7457),ForeCalc!$B$36:$Y$36,0))))*VLOOKUP(A7457,Calendar!$A$2:$H$9997,8,FALSE),0)</f>
        <v/>
      </c>
      <c r="G7457" s="29">
        <f>VLOOKUP(A7457,Calendar!$A$1:$H$9997,6,FALSE)-F7457</f>
        <v/>
      </c>
      <c r="H7457" s="19" t="n">
        <v>3</v>
      </c>
      <c r="I7457" s="57" t="n">
        <v>5</v>
      </c>
    </row>
    <row r="7458">
      <c r="A7458" s="62" t="n">
        <v>46993</v>
      </c>
      <c r="B7458" s="3" t="inlineStr">
        <is>
          <t>Week</t>
        </is>
      </c>
      <c r="C7458" s="19" t="n">
        <v>8</v>
      </c>
      <c r="D7458" s="19" t="n">
        <v>2028</v>
      </c>
      <c r="E7458" s="57" t="n">
        <v>7</v>
      </c>
      <c r="F7458" s="29">
        <f>ROUND(((SUMIFS(Calendar!$F$2:$F$9997,Calendar!$B$2:$B$9997,D7458,Calendar!$C$2:$C$9997,C7458)*INDEX(ForeCalc!$B$37:$Y$274,MATCH(_xlfn.CONCAT(H7458," ",I7458),ForeCalc!$A$37:$A$274,0),MATCH(_xlfn.CONCAT(B7458," ",E7458),ForeCalc!$B$36:$Y$36,0))))*VLOOKUP(A7458,Calendar!$A$2:$H$9997,8,FALSE),0)</f>
        <v/>
      </c>
      <c r="G7458" s="29">
        <f>VLOOKUP(A7458,Calendar!$A$1:$H$9997,6,FALSE)-F7458</f>
        <v/>
      </c>
      <c r="H7458" s="19" t="n">
        <v>3</v>
      </c>
      <c r="I7458" s="57" t="n">
        <v>5</v>
      </c>
    </row>
    <row r="7459">
      <c r="A7459" s="62" t="n">
        <v>46994</v>
      </c>
      <c r="B7459" s="3" t="inlineStr">
        <is>
          <t>Week</t>
        </is>
      </c>
      <c r="C7459" s="19" t="n">
        <v>8</v>
      </c>
      <c r="D7459" s="19" t="n">
        <v>2028</v>
      </c>
      <c r="E7459" s="57" t="n">
        <v>7</v>
      </c>
      <c r="F7459" s="29">
        <f>ROUND(((SUMIFS(Calendar!$F$2:$F$9997,Calendar!$B$2:$B$9997,D7459,Calendar!$C$2:$C$9997,C7459)*INDEX(ForeCalc!$B$37:$Y$274,MATCH(_xlfn.CONCAT(H7459," ",I7459),ForeCalc!$A$37:$A$274,0),MATCH(_xlfn.CONCAT(B7459," ",E7459),ForeCalc!$B$36:$Y$36,0))))*VLOOKUP(A7459,Calendar!$A$2:$H$9997,8,FALSE),0)</f>
        <v/>
      </c>
      <c r="G7459" s="29">
        <f>VLOOKUP(A7459,Calendar!$A$1:$H$9997,6,FALSE)-F7459</f>
        <v/>
      </c>
      <c r="H7459" s="19" t="n">
        <v>3</v>
      </c>
      <c r="I7459" s="57" t="n">
        <v>5</v>
      </c>
    </row>
    <row r="7460">
      <c r="A7460" s="62" t="n">
        <v>46995</v>
      </c>
      <c r="B7460" s="3" t="inlineStr">
        <is>
          <t>Week</t>
        </is>
      </c>
      <c r="C7460" s="19" t="n">
        <v>8</v>
      </c>
      <c r="D7460" s="19" t="n">
        <v>2028</v>
      </c>
      <c r="E7460" s="57" t="n">
        <v>7</v>
      </c>
      <c r="F7460" s="29">
        <f>ROUND(((SUMIFS(Calendar!$F$2:$F$9997,Calendar!$B$2:$B$9997,D7460,Calendar!$C$2:$C$9997,C7460)*INDEX(ForeCalc!$B$37:$Y$274,MATCH(_xlfn.CONCAT(H7460," ",I7460),ForeCalc!$A$37:$A$274,0),MATCH(_xlfn.CONCAT(B7460," ",E7460),ForeCalc!$B$36:$Y$36,0))))*VLOOKUP(A7460,Calendar!$A$2:$H$9997,8,FALSE),0)</f>
        <v/>
      </c>
      <c r="G7460" s="29">
        <f>VLOOKUP(A7460,Calendar!$A$1:$H$9997,6,FALSE)-F7460</f>
        <v/>
      </c>
      <c r="H7460" s="19" t="n">
        <v>3</v>
      </c>
      <c r="I7460" s="57" t="n">
        <v>5</v>
      </c>
    </row>
    <row r="7461">
      <c r="A7461" s="62" t="n">
        <v>46996</v>
      </c>
      <c r="B7461" s="3" t="inlineStr">
        <is>
          <t>Week</t>
        </is>
      </c>
      <c r="C7461" s="19" t="n">
        <v>8</v>
      </c>
      <c r="D7461" s="19" t="n">
        <v>2028</v>
      </c>
      <c r="E7461" s="57" t="n">
        <v>7</v>
      </c>
      <c r="F7461" s="29">
        <f>ROUND(((SUMIFS(Calendar!$F$2:$F$9997,Calendar!$B$2:$B$9997,D7461,Calendar!$C$2:$C$9997,C7461)*INDEX(ForeCalc!$B$37:$Y$274,MATCH(_xlfn.CONCAT(H7461," ",I7461),ForeCalc!$A$37:$A$274,0),MATCH(_xlfn.CONCAT(B7461," ",E7461),ForeCalc!$B$36:$Y$36,0))))*VLOOKUP(A7461,Calendar!$A$2:$H$9997,8,FALSE),0)</f>
        <v/>
      </c>
      <c r="G7461" s="29">
        <f>VLOOKUP(A7461,Calendar!$A$1:$H$9997,6,FALSE)-F7461</f>
        <v/>
      </c>
      <c r="H7461" s="19" t="n">
        <v>3</v>
      </c>
      <c r="I7461" s="57" t="n">
        <v>5</v>
      </c>
    </row>
    <row r="7462">
      <c r="A7462" s="62" t="n">
        <v>46997</v>
      </c>
      <c r="B7462" s="3" t="inlineStr">
        <is>
          <t>Week</t>
        </is>
      </c>
      <c r="C7462" s="19" t="n">
        <v>9</v>
      </c>
      <c r="D7462" s="19" t="n">
        <v>2028</v>
      </c>
      <c r="E7462" s="57" t="n">
        <v>7</v>
      </c>
      <c r="F7462" s="29">
        <f>ROUND(((SUMIFS(Calendar!$F$2:$F$9997,Calendar!$B$2:$B$9997,D7462,Calendar!$C$2:$C$9997,C7462)*INDEX(ForeCalc!$B$37:$Y$274,MATCH(_xlfn.CONCAT(H7462," ",I7462),ForeCalc!$A$37:$A$274,0),MATCH(_xlfn.CONCAT(B7462," ",E7462),ForeCalc!$B$36:$Y$36,0))))*VLOOKUP(A7462,Calendar!$A$2:$H$9997,8,FALSE),0)</f>
        <v/>
      </c>
      <c r="G7462" s="29">
        <f>VLOOKUP(A7462,Calendar!$A$1:$H$9997,6,FALSE)-F7462</f>
        <v/>
      </c>
      <c r="H7462" s="19" t="n">
        <v>3</v>
      </c>
      <c r="I7462" s="57" t="n">
        <v>6</v>
      </c>
    </row>
    <row r="7463">
      <c r="A7463" s="62" t="n">
        <v>46998</v>
      </c>
      <c r="B7463" s="3" t="inlineStr">
        <is>
          <t>Sat</t>
        </is>
      </c>
      <c r="C7463" s="19" t="n">
        <v>9</v>
      </c>
      <c r="D7463" s="19" t="n">
        <v>2028</v>
      </c>
      <c r="E7463" s="57" t="n">
        <v>7</v>
      </c>
      <c r="F7463" s="29">
        <f>ROUND(((SUMIFS(Calendar!$F$2:$F$9997,Calendar!$B$2:$B$9997,D7463,Calendar!$C$2:$C$9997,C7463)*INDEX(ForeCalc!$B$37:$Y$274,MATCH(_xlfn.CONCAT(H7463," ",I7463),ForeCalc!$A$37:$A$274,0),MATCH(_xlfn.CONCAT(B7463," ",E7463),ForeCalc!$B$36:$Y$36,0))))*VLOOKUP(A7463,Calendar!$A$2:$H$9997,8,FALSE),0)</f>
        <v/>
      </c>
      <c r="G7463" s="29">
        <f>VLOOKUP(A7463,Calendar!$A$1:$H$9997,6,FALSE)-F7463</f>
        <v/>
      </c>
      <c r="H7463" s="19" t="n">
        <v>3</v>
      </c>
      <c r="I7463" s="57" t="n">
        <v>6</v>
      </c>
    </row>
    <row r="7464">
      <c r="A7464" s="62" t="n">
        <v>46999</v>
      </c>
      <c r="B7464" s="3" t="inlineStr">
        <is>
          <t>Sun</t>
        </is>
      </c>
      <c r="C7464" s="19" t="n">
        <v>9</v>
      </c>
      <c r="D7464" s="19" t="n">
        <v>2028</v>
      </c>
      <c r="E7464" s="57" t="n">
        <v>7</v>
      </c>
      <c r="F7464" s="29">
        <f>ROUND(((SUMIFS(Calendar!$F$2:$F$9997,Calendar!$B$2:$B$9997,D7464,Calendar!$C$2:$C$9997,C7464)*INDEX(ForeCalc!$B$37:$Y$274,MATCH(_xlfn.CONCAT(H7464," ",I7464),ForeCalc!$A$37:$A$274,0),MATCH(_xlfn.CONCAT(B7464," ",E7464),ForeCalc!$B$36:$Y$36,0))))*VLOOKUP(A7464,Calendar!$A$2:$H$9997,8,FALSE),0)</f>
        <v/>
      </c>
      <c r="G7464" s="29">
        <f>VLOOKUP(A7464,Calendar!$A$1:$H$9997,6,FALSE)-F7464</f>
        <v/>
      </c>
      <c r="H7464" s="19" t="n">
        <v>3</v>
      </c>
      <c r="I7464" s="57" t="n">
        <v>6</v>
      </c>
    </row>
    <row r="7465">
      <c r="A7465" s="62" t="n">
        <v>47000</v>
      </c>
      <c r="B7465" s="3" t="inlineStr">
        <is>
          <t>Week</t>
        </is>
      </c>
      <c r="C7465" s="19" t="n">
        <v>9</v>
      </c>
      <c r="D7465" s="19" t="n">
        <v>2028</v>
      </c>
      <c r="E7465" s="57" t="n">
        <v>7</v>
      </c>
      <c r="F7465" s="29">
        <f>ROUND(((SUMIFS(Calendar!$F$2:$F$9997,Calendar!$B$2:$B$9997,D7465,Calendar!$C$2:$C$9997,C7465)*INDEX(ForeCalc!$B$37:$Y$274,MATCH(_xlfn.CONCAT(H7465," ",I7465),ForeCalc!$A$37:$A$274,0),MATCH(_xlfn.CONCAT(B7465," ",E7465),ForeCalc!$B$36:$Y$36,0))))*VLOOKUP(A7465,Calendar!$A$2:$H$9997,8,FALSE),0)</f>
        <v/>
      </c>
      <c r="G7465" s="29">
        <f>VLOOKUP(A7465,Calendar!$A$1:$H$9997,6,FALSE)-F7465</f>
        <v/>
      </c>
      <c r="H7465" s="19" t="n">
        <v>3</v>
      </c>
      <c r="I7465" s="57" t="n">
        <v>6</v>
      </c>
    </row>
    <row r="7466">
      <c r="A7466" s="62" t="n">
        <v>47001</v>
      </c>
      <c r="B7466" s="3" t="inlineStr">
        <is>
          <t>Week</t>
        </is>
      </c>
      <c r="C7466" s="19" t="n">
        <v>9</v>
      </c>
      <c r="D7466" s="19" t="n">
        <v>2028</v>
      </c>
      <c r="E7466" s="57" t="n">
        <v>7</v>
      </c>
      <c r="F7466" s="29">
        <f>ROUND(((SUMIFS(Calendar!$F$2:$F$9997,Calendar!$B$2:$B$9997,D7466,Calendar!$C$2:$C$9997,C7466)*INDEX(ForeCalc!$B$37:$Y$274,MATCH(_xlfn.CONCAT(H7466," ",I7466),ForeCalc!$A$37:$A$274,0),MATCH(_xlfn.CONCAT(B7466," ",E7466),ForeCalc!$B$36:$Y$36,0))))*VLOOKUP(A7466,Calendar!$A$2:$H$9997,8,FALSE),0)</f>
        <v/>
      </c>
      <c r="G7466" s="29">
        <f>VLOOKUP(A7466,Calendar!$A$1:$H$9997,6,FALSE)-F7466</f>
        <v/>
      </c>
      <c r="H7466" s="19" t="n">
        <v>3</v>
      </c>
      <c r="I7466" s="57" t="n">
        <v>6</v>
      </c>
    </row>
    <row r="7467">
      <c r="A7467" s="62" t="n">
        <v>47002</v>
      </c>
      <c r="B7467" s="3" t="inlineStr">
        <is>
          <t>Week</t>
        </is>
      </c>
      <c r="C7467" s="19" t="n">
        <v>9</v>
      </c>
      <c r="D7467" s="19" t="n">
        <v>2028</v>
      </c>
      <c r="E7467" s="57" t="n">
        <v>7</v>
      </c>
      <c r="F7467" s="29">
        <f>ROUND(((SUMIFS(Calendar!$F$2:$F$9997,Calendar!$B$2:$B$9997,D7467,Calendar!$C$2:$C$9997,C7467)*INDEX(ForeCalc!$B$37:$Y$274,MATCH(_xlfn.CONCAT(H7467," ",I7467),ForeCalc!$A$37:$A$274,0),MATCH(_xlfn.CONCAT(B7467," ",E7467),ForeCalc!$B$36:$Y$36,0))))*VLOOKUP(A7467,Calendar!$A$2:$H$9997,8,FALSE),0)</f>
        <v/>
      </c>
      <c r="G7467" s="29">
        <f>VLOOKUP(A7467,Calendar!$A$1:$H$9997,6,FALSE)-F7467</f>
        <v/>
      </c>
      <c r="H7467" s="19" t="n">
        <v>3</v>
      </c>
      <c r="I7467" s="57" t="n">
        <v>6</v>
      </c>
    </row>
    <row r="7468">
      <c r="A7468" s="62" t="n">
        <v>47003</v>
      </c>
      <c r="B7468" s="3" t="inlineStr">
        <is>
          <t>Week</t>
        </is>
      </c>
      <c r="C7468" s="19" t="n">
        <v>9</v>
      </c>
      <c r="D7468" s="19" t="n">
        <v>2028</v>
      </c>
      <c r="E7468" s="57" t="n">
        <v>7</v>
      </c>
      <c r="F7468" s="29">
        <f>ROUND(((SUMIFS(Calendar!$F$2:$F$9997,Calendar!$B$2:$B$9997,D7468,Calendar!$C$2:$C$9997,C7468)*INDEX(ForeCalc!$B$37:$Y$274,MATCH(_xlfn.CONCAT(H7468," ",I7468),ForeCalc!$A$37:$A$274,0),MATCH(_xlfn.CONCAT(B7468," ",E7468),ForeCalc!$B$36:$Y$36,0))))*VLOOKUP(A7468,Calendar!$A$2:$H$9997,8,FALSE),0)</f>
        <v/>
      </c>
      <c r="G7468" s="29">
        <f>VLOOKUP(A7468,Calendar!$A$1:$H$9997,6,FALSE)-F7468</f>
        <v/>
      </c>
      <c r="H7468" s="19" t="n">
        <v>3</v>
      </c>
      <c r="I7468" s="57" t="n">
        <v>6</v>
      </c>
    </row>
    <row r="7469">
      <c r="A7469" s="62" t="n">
        <v>47004</v>
      </c>
      <c r="B7469" s="3" t="inlineStr">
        <is>
          <t>Week</t>
        </is>
      </c>
      <c r="C7469" s="19" t="n">
        <v>9</v>
      </c>
      <c r="D7469" s="19" t="n">
        <v>2028</v>
      </c>
      <c r="E7469" s="57" t="n">
        <v>7</v>
      </c>
      <c r="F7469" s="29">
        <f>ROUND(((SUMIFS(Calendar!$F$2:$F$9997,Calendar!$B$2:$B$9997,D7469,Calendar!$C$2:$C$9997,C7469)*INDEX(ForeCalc!$B$37:$Y$274,MATCH(_xlfn.CONCAT(H7469," ",I7469),ForeCalc!$A$37:$A$274,0),MATCH(_xlfn.CONCAT(B7469," ",E7469),ForeCalc!$B$36:$Y$36,0))))*VLOOKUP(A7469,Calendar!$A$2:$H$9997,8,FALSE),0)</f>
        <v/>
      </c>
      <c r="G7469" s="29">
        <f>VLOOKUP(A7469,Calendar!$A$1:$H$9997,6,FALSE)-F7469</f>
        <v/>
      </c>
      <c r="H7469" s="19" t="n">
        <v>3</v>
      </c>
      <c r="I7469" s="57" t="n">
        <v>6</v>
      </c>
    </row>
    <row r="7470">
      <c r="A7470" s="62" t="n">
        <v>47005</v>
      </c>
      <c r="B7470" s="3" t="inlineStr">
        <is>
          <t>Sat</t>
        </is>
      </c>
      <c r="C7470" s="19" t="n">
        <v>9</v>
      </c>
      <c r="D7470" s="19" t="n">
        <v>2028</v>
      </c>
      <c r="E7470" s="57" t="n">
        <v>7</v>
      </c>
      <c r="F7470" s="29">
        <f>ROUND(((SUMIFS(Calendar!$F$2:$F$9997,Calendar!$B$2:$B$9997,D7470,Calendar!$C$2:$C$9997,C7470)*INDEX(ForeCalc!$B$37:$Y$274,MATCH(_xlfn.CONCAT(H7470," ",I7470),ForeCalc!$A$37:$A$274,0),MATCH(_xlfn.CONCAT(B7470," ",E7470),ForeCalc!$B$36:$Y$36,0))))*VLOOKUP(A7470,Calendar!$A$2:$H$9997,8,FALSE),0)</f>
        <v/>
      </c>
      <c r="G7470" s="29">
        <f>VLOOKUP(A7470,Calendar!$A$1:$H$9997,6,FALSE)-F7470</f>
        <v/>
      </c>
      <c r="H7470" s="19" t="n">
        <v>3</v>
      </c>
      <c r="I7470" s="57" t="n">
        <v>6</v>
      </c>
    </row>
    <row r="7471">
      <c r="A7471" s="62" t="n">
        <v>47006</v>
      </c>
      <c r="B7471" s="3" t="inlineStr">
        <is>
          <t>Sun</t>
        </is>
      </c>
      <c r="C7471" s="19" t="n">
        <v>9</v>
      </c>
      <c r="D7471" s="19" t="n">
        <v>2028</v>
      </c>
      <c r="E7471" s="57" t="n">
        <v>7</v>
      </c>
      <c r="F7471" s="29">
        <f>ROUND(((SUMIFS(Calendar!$F$2:$F$9997,Calendar!$B$2:$B$9997,D7471,Calendar!$C$2:$C$9997,C7471)*INDEX(ForeCalc!$B$37:$Y$274,MATCH(_xlfn.CONCAT(H7471," ",I7471),ForeCalc!$A$37:$A$274,0),MATCH(_xlfn.CONCAT(B7471," ",E7471),ForeCalc!$B$36:$Y$36,0))))*VLOOKUP(A7471,Calendar!$A$2:$H$9997,8,FALSE),0)</f>
        <v/>
      </c>
      <c r="G7471" s="29">
        <f>VLOOKUP(A7471,Calendar!$A$1:$H$9997,6,FALSE)-F7471</f>
        <v/>
      </c>
      <c r="H7471" s="19" t="n">
        <v>3</v>
      </c>
      <c r="I7471" s="57" t="n">
        <v>6</v>
      </c>
    </row>
    <row r="7472">
      <c r="A7472" s="62" t="n">
        <v>47007</v>
      </c>
      <c r="B7472" s="3" t="inlineStr">
        <is>
          <t>Week</t>
        </is>
      </c>
      <c r="C7472" s="19" t="n">
        <v>9</v>
      </c>
      <c r="D7472" s="19" t="n">
        <v>2028</v>
      </c>
      <c r="E7472" s="57" t="n">
        <v>7</v>
      </c>
      <c r="F7472" s="29">
        <f>ROUND(((SUMIFS(Calendar!$F$2:$F$9997,Calendar!$B$2:$B$9997,D7472,Calendar!$C$2:$C$9997,C7472)*INDEX(ForeCalc!$B$37:$Y$274,MATCH(_xlfn.CONCAT(H7472," ",I7472),ForeCalc!$A$37:$A$274,0),MATCH(_xlfn.CONCAT(B7472," ",E7472),ForeCalc!$B$36:$Y$36,0))))*VLOOKUP(A7472,Calendar!$A$2:$H$9997,8,FALSE),0)</f>
        <v/>
      </c>
      <c r="G7472" s="29">
        <f>VLOOKUP(A7472,Calendar!$A$1:$H$9997,6,FALSE)-F7472</f>
        <v/>
      </c>
      <c r="H7472" s="19" t="n">
        <v>3</v>
      </c>
      <c r="I7472" s="57" t="n">
        <v>6</v>
      </c>
    </row>
    <row r="7473">
      <c r="A7473" s="62" t="n">
        <v>47008</v>
      </c>
      <c r="B7473" s="3" t="inlineStr">
        <is>
          <t>Week</t>
        </is>
      </c>
      <c r="C7473" s="19" t="n">
        <v>9</v>
      </c>
      <c r="D7473" s="19" t="n">
        <v>2028</v>
      </c>
      <c r="E7473" s="57" t="n">
        <v>7</v>
      </c>
      <c r="F7473" s="29">
        <f>ROUND(((SUMIFS(Calendar!$F$2:$F$9997,Calendar!$B$2:$B$9997,D7473,Calendar!$C$2:$C$9997,C7473)*INDEX(ForeCalc!$B$37:$Y$274,MATCH(_xlfn.CONCAT(H7473," ",I7473),ForeCalc!$A$37:$A$274,0),MATCH(_xlfn.CONCAT(B7473," ",E7473),ForeCalc!$B$36:$Y$36,0))))*VLOOKUP(A7473,Calendar!$A$2:$H$9997,8,FALSE),0)</f>
        <v/>
      </c>
      <c r="G7473" s="29">
        <f>VLOOKUP(A7473,Calendar!$A$1:$H$9997,6,FALSE)-F7473</f>
        <v/>
      </c>
      <c r="H7473" s="19" t="n">
        <v>3</v>
      </c>
      <c r="I7473" s="57" t="n">
        <v>6</v>
      </c>
    </row>
    <row r="7474">
      <c r="A7474" s="62" t="n">
        <v>47009</v>
      </c>
      <c r="B7474" s="3" t="inlineStr">
        <is>
          <t>Week</t>
        </is>
      </c>
      <c r="C7474" s="19" t="n">
        <v>9</v>
      </c>
      <c r="D7474" s="19" t="n">
        <v>2028</v>
      </c>
      <c r="E7474" s="57" t="n">
        <v>7</v>
      </c>
      <c r="F7474" s="29">
        <f>ROUND(((SUMIFS(Calendar!$F$2:$F$9997,Calendar!$B$2:$B$9997,D7474,Calendar!$C$2:$C$9997,C7474)*INDEX(ForeCalc!$B$37:$Y$274,MATCH(_xlfn.CONCAT(H7474," ",I7474),ForeCalc!$A$37:$A$274,0),MATCH(_xlfn.CONCAT(B7474," ",E7474),ForeCalc!$B$36:$Y$36,0))))*VLOOKUP(A7474,Calendar!$A$2:$H$9997,8,FALSE),0)</f>
        <v/>
      </c>
      <c r="G7474" s="29">
        <f>VLOOKUP(A7474,Calendar!$A$1:$H$9997,6,FALSE)-F7474</f>
        <v/>
      </c>
      <c r="H7474" s="19" t="n">
        <v>3</v>
      </c>
      <c r="I7474" s="57" t="n">
        <v>6</v>
      </c>
    </row>
    <row r="7475">
      <c r="A7475" s="62" t="n">
        <v>47010</v>
      </c>
      <c r="B7475" s="3" t="inlineStr">
        <is>
          <t>Week</t>
        </is>
      </c>
      <c r="C7475" s="19" t="n">
        <v>9</v>
      </c>
      <c r="D7475" s="19" t="n">
        <v>2028</v>
      </c>
      <c r="E7475" s="57" t="n">
        <v>7</v>
      </c>
      <c r="F7475" s="29">
        <f>ROUND(((SUMIFS(Calendar!$F$2:$F$9997,Calendar!$B$2:$B$9997,D7475,Calendar!$C$2:$C$9997,C7475)*INDEX(ForeCalc!$B$37:$Y$274,MATCH(_xlfn.CONCAT(H7475," ",I7475),ForeCalc!$A$37:$A$274,0),MATCH(_xlfn.CONCAT(B7475," ",E7475),ForeCalc!$B$36:$Y$36,0))))*VLOOKUP(A7475,Calendar!$A$2:$H$9997,8,FALSE),0)</f>
        <v/>
      </c>
      <c r="G7475" s="29">
        <f>VLOOKUP(A7475,Calendar!$A$1:$H$9997,6,FALSE)-F7475</f>
        <v/>
      </c>
      <c r="H7475" s="19" t="n">
        <v>3</v>
      </c>
      <c r="I7475" s="57" t="n">
        <v>6</v>
      </c>
    </row>
    <row r="7476">
      <c r="A7476" s="62" t="n">
        <v>47011</v>
      </c>
      <c r="B7476" s="3" t="inlineStr">
        <is>
          <t>Week</t>
        </is>
      </c>
      <c r="C7476" s="19" t="n">
        <v>9</v>
      </c>
      <c r="D7476" s="19" t="n">
        <v>2028</v>
      </c>
      <c r="E7476" s="57" t="n">
        <v>7</v>
      </c>
      <c r="F7476" s="29">
        <f>ROUND(((SUMIFS(Calendar!$F$2:$F$9997,Calendar!$B$2:$B$9997,D7476,Calendar!$C$2:$C$9997,C7476)*INDEX(ForeCalc!$B$37:$Y$274,MATCH(_xlfn.CONCAT(H7476," ",I7476),ForeCalc!$A$37:$A$274,0),MATCH(_xlfn.CONCAT(B7476," ",E7476),ForeCalc!$B$36:$Y$36,0))))*VLOOKUP(A7476,Calendar!$A$2:$H$9997,8,FALSE),0)</f>
        <v/>
      </c>
      <c r="G7476" s="29">
        <f>VLOOKUP(A7476,Calendar!$A$1:$H$9997,6,FALSE)-F7476</f>
        <v/>
      </c>
      <c r="H7476" s="19" t="n">
        <v>3</v>
      </c>
      <c r="I7476" s="57" t="n">
        <v>6</v>
      </c>
    </row>
    <row r="7477">
      <c r="A7477" s="62" t="n">
        <v>47012</v>
      </c>
      <c r="B7477" s="3" t="inlineStr">
        <is>
          <t>Sat</t>
        </is>
      </c>
      <c r="C7477" s="19" t="n">
        <v>9</v>
      </c>
      <c r="D7477" s="19" t="n">
        <v>2028</v>
      </c>
      <c r="E7477" s="57" t="n">
        <v>7</v>
      </c>
      <c r="F7477" s="29">
        <f>ROUND(((SUMIFS(Calendar!$F$2:$F$9997,Calendar!$B$2:$B$9997,D7477,Calendar!$C$2:$C$9997,C7477)*INDEX(ForeCalc!$B$37:$Y$274,MATCH(_xlfn.CONCAT(H7477," ",I7477),ForeCalc!$A$37:$A$274,0),MATCH(_xlfn.CONCAT(B7477," ",E7477),ForeCalc!$B$36:$Y$36,0))))*VLOOKUP(A7477,Calendar!$A$2:$H$9997,8,FALSE),0)</f>
        <v/>
      </c>
      <c r="G7477" s="29">
        <f>VLOOKUP(A7477,Calendar!$A$1:$H$9997,6,FALSE)-F7477</f>
        <v/>
      </c>
      <c r="H7477" s="19" t="n">
        <v>3</v>
      </c>
      <c r="I7477" s="57" t="n">
        <v>6</v>
      </c>
    </row>
    <row r="7478">
      <c r="A7478" s="62" t="n">
        <v>47013</v>
      </c>
      <c r="B7478" s="3" t="inlineStr">
        <is>
          <t>Sun</t>
        </is>
      </c>
      <c r="C7478" s="19" t="n">
        <v>9</v>
      </c>
      <c r="D7478" s="19" t="n">
        <v>2028</v>
      </c>
      <c r="E7478" s="57" t="n">
        <v>7</v>
      </c>
      <c r="F7478" s="29">
        <f>ROUND(((SUMIFS(Calendar!$F$2:$F$9997,Calendar!$B$2:$B$9997,D7478,Calendar!$C$2:$C$9997,C7478)*INDEX(ForeCalc!$B$37:$Y$274,MATCH(_xlfn.CONCAT(H7478," ",I7478),ForeCalc!$A$37:$A$274,0),MATCH(_xlfn.CONCAT(B7478," ",E7478),ForeCalc!$B$36:$Y$36,0))))*VLOOKUP(A7478,Calendar!$A$2:$H$9997,8,FALSE),0)</f>
        <v/>
      </c>
      <c r="G7478" s="29">
        <f>VLOOKUP(A7478,Calendar!$A$1:$H$9997,6,FALSE)-F7478</f>
        <v/>
      </c>
      <c r="H7478" s="19" t="n">
        <v>3</v>
      </c>
      <c r="I7478" s="57" t="n">
        <v>6</v>
      </c>
    </row>
    <row r="7479">
      <c r="A7479" s="62" t="n">
        <v>47014</v>
      </c>
      <c r="B7479" s="3" t="inlineStr">
        <is>
          <t>Week</t>
        </is>
      </c>
      <c r="C7479" s="19" t="n">
        <v>9</v>
      </c>
      <c r="D7479" s="19" t="n">
        <v>2028</v>
      </c>
      <c r="E7479" s="57" t="n">
        <v>7</v>
      </c>
      <c r="F7479" s="29">
        <f>ROUND(((SUMIFS(Calendar!$F$2:$F$9997,Calendar!$B$2:$B$9997,D7479,Calendar!$C$2:$C$9997,C7479)*INDEX(ForeCalc!$B$37:$Y$274,MATCH(_xlfn.CONCAT(H7479," ",I7479),ForeCalc!$A$37:$A$274,0),MATCH(_xlfn.CONCAT(B7479," ",E7479),ForeCalc!$B$36:$Y$36,0))))*VLOOKUP(A7479,Calendar!$A$2:$H$9997,8,FALSE),0)</f>
        <v/>
      </c>
      <c r="G7479" s="29">
        <f>VLOOKUP(A7479,Calendar!$A$1:$H$9997,6,FALSE)-F7479</f>
        <v/>
      </c>
      <c r="H7479" s="19" t="n">
        <v>3</v>
      </c>
      <c r="I7479" s="57" t="n">
        <v>6</v>
      </c>
    </row>
    <row r="7480">
      <c r="A7480" s="62" t="n">
        <v>47015</v>
      </c>
      <c r="B7480" s="3" t="inlineStr">
        <is>
          <t>Week</t>
        </is>
      </c>
      <c r="C7480" s="19" t="n">
        <v>9</v>
      </c>
      <c r="D7480" s="19" t="n">
        <v>2028</v>
      </c>
      <c r="E7480" s="57" t="n">
        <v>7</v>
      </c>
      <c r="F7480" s="29">
        <f>ROUND(((SUMIFS(Calendar!$F$2:$F$9997,Calendar!$B$2:$B$9997,D7480,Calendar!$C$2:$C$9997,C7480)*INDEX(ForeCalc!$B$37:$Y$274,MATCH(_xlfn.CONCAT(H7480," ",I7480),ForeCalc!$A$37:$A$274,0),MATCH(_xlfn.CONCAT(B7480," ",E7480),ForeCalc!$B$36:$Y$36,0))))*VLOOKUP(A7480,Calendar!$A$2:$H$9997,8,FALSE),0)</f>
        <v/>
      </c>
      <c r="G7480" s="29">
        <f>VLOOKUP(A7480,Calendar!$A$1:$H$9997,6,FALSE)-F7480</f>
        <v/>
      </c>
      <c r="H7480" s="19" t="n">
        <v>3</v>
      </c>
      <c r="I7480" s="57" t="n">
        <v>6</v>
      </c>
    </row>
    <row r="7481">
      <c r="A7481" s="62" t="n">
        <v>47016</v>
      </c>
      <c r="B7481" s="3" t="inlineStr">
        <is>
          <t>Week</t>
        </is>
      </c>
      <c r="C7481" s="19" t="n">
        <v>9</v>
      </c>
      <c r="D7481" s="19" t="n">
        <v>2028</v>
      </c>
      <c r="E7481" s="57" t="n">
        <v>7</v>
      </c>
      <c r="F7481" s="29">
        <f>ROUND(((SUMIFS(Calendar!$F$2:$F$9997,Calendar!$B$2:$B$9997,D7481,Calendar!$C$2:$C$9997,C7481)*INDEX(ForeCalc!$B$37:$Y$274,MATCH(_xlfn.CONCAT(H7481," ",I7481),ForeCalc!$A$37:$A$274,0),MATCH(_xlfn.CONCAT(B7481," ",E7481),ForeCalc!$B$36:$Y$36,0))))*VLOOKUP(A7481,Calendar!$A$2:$H$9997,8,FALSE),0)</f>
        <v/>
      </c>
      <c r="G7481" s="29">
        <f>VLOOKUP(A7481,Calendar!$A$1:$H$9997,6,FALSE)-F7481</f>
        <v/>
      </c>
      <c r="H7481" s="19" t="n">
        <v>3</v>
      </c>
      <c r="I7481" s="57" t="n">
        <v>6</v>
      </c>
    </row>
    <row r="7482">
      <c r="A7482" s="62" t="n">
        <v>47017</v>
      </c>
      <c r="B7482" s="3" t="inlineStr">
        <is>
          <t>Week</t>
        </is>
      </c>
      <c r="C7482" s="19" t="n">
        <v>9</v>
      </c>
      <c r="D7482" s="19" t="n">
        <v>2028</v>
      </c>
      <c r="E7482" s="57" t="n">
        <v>7</v>
      </c>
      <c r="F7482" s="29">
        <f>ROUND(((SUMIFS(Calendar!$F$2:$F$9997,Calendar!$B$2:$B$9997,D7482,Calendar!$C$2:$C$9997,C7482)*INDEX(ForeCalc!$B$37:$Y$274,MATCH(_xlfn.CONCAT(H7482," ",I7482),ForeCalc!$A$37:$A$274,0),MATCH(_xlfn.CONCAT(B7482," ",E7482),ForeCalc!$B$36:$Y$36,0))))*VLOOKUP(A7482,Calendar!$A$2:$H$9997,8,FALSE),0)</f>
        <v/>
      </c>
      <c r="G7482" s="29">
        <f>VLOOKUP(A7482,Calendar!$A$1:$H$9997,6,FALSE)-F7482</f>
        <v/>
      </c>
      <c r="H7482" s="19" t="n">
        <v>3</v>
      </c>
      <c r="I7482" s="57" t="n">
        <v>6</v>
      </c>
    </row>
    <row r="7483">
      <c r="A7483" s="62" t="n">
        <v>47018</v>
      </c>
      <c r="B7483" s="3" t="inlineStr">
        <is>
          <t>Week</t>
        </is>
      </c>
      <c r="C7483" s="19" t="n">
        <v>9</v>
      </c>
      <c r="D7483" s="19" t="n">
        <v>2028</v>
      </c>
      <c r="E7483" s="57" t="n">
        <v>7</v>
      </c>
      <c r="F7483" s="29">
        <f>ROUND(((SUMIFS(Calendar!$F$2:$F$9997,Calendar!$B$2:$B$9997,D7483,Calendar!$C$2:$C$9997,C7483)*INDEX(ForeCalc!$B$37:$Y$274,MATCH(_xlfn.CONCAT(H7483," ",I7483),ForeCalc!$A$37:$A$274,0),MATCH(_xlfn.CONCAT(B7483," ",E7483),ForeCalc!$B$36:$Y$36,0))))*VLOOKUP(A7483,Calendar!$A$2:$H$9997,8,FALSE),0)</f>
        <v/>
      </c>
      <c r="G7483" s="29">
        <f>VLOOKUP(A7483,Calendar!$A$1:$H$9997,6,FALSE)-F7483</f>
        <v/>
      </c>
      <c r="H7483" s="19" t="n">
        <v>3</v>
      </c>
      <c r="I7483" s="57" t="n">
        <v>6</v>
      </c>
    </row>
    <row r="7484">
      <c r="A7484" s="62" t="n">
        <v>47019</v>
      </c>
      <c r="B7484" s="3" t="inlineStr">
        <is>
          <t>Sat</t>
        </is>
      </c>
      <c r="C7484" s="19" t="n">
        <v>9</v>
      </c>
      <c r="D7484" s="19" t="n">
        <v>2028</v>
      </c>
      <c r="E7484" s="57" t="n">
        <v>7</v>
      </c>
      <c r="F7484" s="29">
        <f>ROUND(((SUMIFS(Calendar!$F$2:$F$9997,Calendar!$B$2:$B$9997,D7484,Calendar!$C$2:$C$9997,C7484)*INDEX(ForeCalc!$B$37:$Y$274,MATCH(_xlfn.CONCAT(H7484," ",I7484),ForeCalc!$A$37:$A$274,0),MATCH(_xlfn.CONCAT(B7484," ",E7484),ForeCalc!$B$36:$Y$36,0))))*VLOOKUP(A7484,Calendar!$A$2:$H$9997,8,FALSE),0)</f>
        <v/>
      </c>
      <c r="G7484" s="29">
        <f>VLOOKUP(A7484,Calendar!$A$1:$H$9997,6,FALSE)-F7484</f>
        <v/>
      </c>
      <c r="H7484" s="19" t="n">
        <v>3</v>
      </c>
      <c r="I7484" s="57" t="n">
        <v>6</v>
      </c>
    </row>
    <row r="7485">
      <c r="A7485" s="62" t="n">
        <v>47020</v>
      </c>
      <c r="B7485" s="3" t="inlineStr">
        <is>
          <t>Sun</t>
        </is>
      </c>
      <c r="C7485" s="19" t="n">
        <v>9</v>
      </c>
      <c r="D7485" s="19" t="n">
        <v>2028</v>
      </c>
      <c r="E7485" s="57" t="n">
        <v>7</v>
      </c>
      <c r="F7485" s="29">
        <f>ROUND(((SUMIFS(Calendar!$F$2:$F$9997,Calendar!$B$2:$B$9997,D7485,Calendar!$C$2:$C$9997,C7485)*INDEX(ForeCalc!$B$37:$Y$274,MATCH(_xlfn.CONCAT(H7485," ",I7485),ForeCalc!$A$37:$A$274,0),MATCH(_xlfn.CONCAT(B7485," ",E7485),ForeCalc!$B$36:$Y$36,0))))*VLOOKUP(A7485,Calendar!$A$2:$H$9997,8,FALSE),0)</f>
        <v/>
      </c>
      <c r="G7485" s="29">
        <f>VLOOKUP(A7485,Calendar!$A$1:$H$9997,6,FALSE)-F7485</f>
        <v/>
      </c>
      <c r="H7485" s="19" t="n">
        <v>3</v>
      </c>
      <c r="I7485" s="57" t="n">
        <v>6</v>
      </c>
    </row>
    <row r="7486">
      <c r="A7486" s="62" t="n">
        <v>47021</v>
      </c>
      <c r="B7486" s="3" t="inlineStr">
        <is>
          <t>Week</t>
        </is>
      </c>
      <c r="C7486" s="19" t="n">
        <v>9</v>
      </c>
      <c r="D7486" s="19" t="n">
        <v>2028</v>
      </c>
      <c r="E7486" s="57" t="n">
        <v>7</v>
      </c>
      <c r="F7486" s="29">
        <f>ROUND(((SUMIFS(Calendar!$F$2:$F$9997,Calendar!$B$2:$B$9997,D7486,Calendar!$C$2:$C$9997,C7486)*INDEX(ForeCalc!$B$37:$Y$274,MATCH(_xlfn.CONCAT(H7486," ",I7486),ForeCalc!$A$37:$A$274,0),MATCH(_xlfn.CONCAT(B7486," ",E7486),ForeCalc!$B$36:$Y$36,0))))*VLOOKUP(A7486,Calendar!$A$2:$H$9997,8,FALSE),0)</f>
        <v/>
      </c>
      <c r="G7486" s="29">
        <f>VLOOKUP(A7486,Calendar!$A$1:$H$9997,6,FALSE)-F7486</f>
        <v/>
      </c>
      <c r="H7486" s="19" t="n">
        <v>3</v>
      </c>
      <c r="I7486" s="57" t="n">
        <v>6</v>
      </c>
    </row>
    <row r="7487">
      <c r="A7487" s="62" t="n">
        <v>47022</v>
      </c>
      <c r="B7487" s="3" t="inlineStr">
        <is>
          <t>Week</t>
        </is>
      </c>
      <c r="C7487" s="19" t="n">
        <v>9</v>
      </c>
      <c r="D7487" s="19" t="n">
        <v>2028</v>
      </c>
      <c r="E7487" s="57" t="n">
        <v>7</v>
      </c>
      <c r="F7487" s="29">
        <f>ROUND(((SUMIFS(Calendar!$F$2:$F$9997,Calendar!$B$2:$B$9997,D7487,Calendar!$C$2:$C$9997,C7487)*INDEX(ForeCalc!$B$37:$Y$274,MATCH(_xlfn.CONCAT(H7487," ",I7487),ForeCalc!$A$37:$A$274,0),MATCH(_xlfn.CONCAT(B7487," ",E7487),ForeCalc!$B$36:$Y$36,0))))*VLOOKUP(A7487,Calendar!$A$2:$H$9997,8,FALSE),0)</f>
        <v/>
      </c>
      <c r="G7487" s="29">
        <f>VLOOKUP(A7487,Calendar!$A$1:$H$9997,6,FALSE)-F7487</f>
        <v/>
      </c>
      <c r="H7487" s="19" t="n">
        <v>3</v>
      </c>
      <c r="I7487" s="57" t="n">
        <v>6</v>
      </c>
    </row>
    <row r="7488">
      <c r="A7488" s="62" t="n">
        <v>47023</v>
      </c>
      <c r="B7488" s="3" t="inlineStr">
        <is>
          <t>Week</t>
        </is>
      </c>
      <c r="C7488" s="19" t="n">
        <v>9</v>
      </c>
      <c r="D7488" s="19" t="n">
        <v>2028</v>
      </c>
      <c r="E7488" s="57" t="n">
        <v>7</v>
      </c>
      <c r="F7488" s="29">
        <f>ROUND(((SUMIFS(Calendar!$F$2:$F$9997,Calendar!$B$2:$B$9997,D7488,Calendar!$C$2:$C$9997,C7488)*INDEX(ForeCalc!$B$37:$Y$274,MATCH(_xlfn.CONCAT(H7488," ",I7488),ForeCalc!$A$37:$A$274,0),MATCH(_xlfn.CONCAT(B7488," ",E7488),ForeCalc!$B$36:$Y$36,0))))*VLOOKUP(A7488,Calendar!$A$2:$H$9997,8,FALSE),0)</f>
        <v/>
      </c>
      <c r="G7488" s="29">
        <f>VLOOKUP(A7488,Calendar!$A$1:$H$9997,6,FALSE)-F7488</f>
        <v/>
      </c>
      <c r="H7488" s="19" t="n">
        <v>3</v>
      </c>
      <c r="I7488" s="57" t="n">
        <v>6</v>
      </c>
    </row>
    <row r="7489">
      <c r="A7489" s="62" t="n">
        <v>47024</v>
      </c>
      <c r="B7489" s="3" t="inlineStr">
        <is>
          <t>Week</t>
        </is>
      </c>
      <c r="C7489" s="19" t="n">
        <v>9</v>
      </c>
      <c r="D7489" s="19" t="n">
        <v>2028</v>
      </c>
      <c r="E7489" s="57" t="n">
        <v>7</v>
      </c>
      <c r="F7489" s="29">
        <f>ROUND(((SUMIFS(Calendar!$F$2:$F$9997,Calendar!$B$2:$B$9997,D7489,Calendar!$C$2:$C$9997,C7489)*INDEX(ForeCalc!$B$37:$Y$274,MATCH(_xlfn.CONCAT(H7489," ",I7489),ForeCalc!$A$37:$A$274,0),MATCH(_xlfn.CONCAT(B7489," ",E7489),ForeCalc!$B$36:$Y$36,0))))*VLOOKUP(A7489,Calendar!$A$2:$H$9997,8,FALSE),0)</f>
        <v/>
      </c>
      <c r="G7489" s="29">
        <f>VLOOKUP(A7489,Calendar!$A$1:$H$9997,6,FALSE)-F7489</f>
        <v/>
      </c>
      <c r="H7489" s="19" t="n">
        <v>3</v>
      </c>
      <c r="I7489" s="57" t="n">
        <v>6</v>
      </c>
    </row>
    <row r="7490">
      <c r="A7490" s="62" t="n">
        <v>47025</v>
      </c>
      <c r="B7490" s="3" t="inlineStr">
        <is>
          <t>Week</t>
        </is>
      </c>
      <c r="C7490" s="19" t="n">
        <v>9</v>
      </c>
      <c r="D7490" s="19" t="n">
        <v>2028</v>
      </c>
      <c r="E7490" s="57" t="n">
        <v>7</v>
      </c>
      <c r="F7490" s="29">
        <f>ROUND(((SUMIFS(Calendar!$F$2:$F$9997,Calendar!$B$2:$B$9997,D7490,Calendar!$C$2:$C$9997,C7490)*INDEX(ForeCalc!$B$37:$Y$274,MATCH(_xlfn.CONCAT(H7490," ",I7490),ForeCalc!$A$37:$A$274,0),MATCH(_xlfn.CONCAT(B7490," ",E7490),ForeCalc!$B$36:$Y$36,0))))*VLOOKUP(A7490,Calendar!$A$2:$H$9997,8,FALSE),0)</f>
        <v/>
      </c>
      <c r="G7490" s="29">
        <f>VLOOKUP(A7490,Calendar!$A$1:$H$9997,6,FALSE)-F7490</f>
        <v/>
      </c>
      <c r="H7490" s="19" t="n">
        <v>3</v>
      </c>
      <c r="I7490" s="57" t="n">
        <v>6</v>
      </c>
    </row>
    <row r="7491">
      <c r="A7491" s="62" t="n">
        <v>47026</v>
      </c>
      <c r="B7491" s="3" t="inlineStr">
        <is>
          <t>Sat</t>
        </is>
      </c>
      <c r="C7491" s="19" t="n">
        <v>9</v>
      </c>
      <c r="D7491" s="19" t="n">
        <v>2028</v>
      </c>
      <c r="E7491" s="57" t="n">
        <v>7</v>
      </c>
      <c r="F7491" s="29">
        <f>ROUND(((SUMIFS(Calendar!$F$2:$F$9997,Calendar!$B$2:$B$9997,D7491,Calendar!$C$2:$C$9997,C7491)*INDEX(ForeCalc!$B$37:$Y$274,MATCH(_xlfn.CONCAT(H7491," ",I7491),ForeCalc!$A$37:$A$274,0),MATCH(_xlfn.CONCAT(B7491," ",E7491),ForeCalc!$B$36:$Y$36,0))))*VLOOKUP(A7491,Calendar!$A$2:$H$9997,8,FALSE),0)</f>
        <v/>
      </c>
      <c r="G7491" s="29">
        <f>VLOOKUP(A7491,Calendar!$A$1:$H$9997,6,FALSE)-F7491</f>
        <v/>
      </c>
      <c r="H7491" s="19" t="n">
        <v>3</v>
      </c>
      <c r="I7491" s="57" t="n">
        <v>6</v>
      </c>
    </row>
    <row r="7492">
      <c r="A7492" s="62" t="n">
        <v>47027</v>
      </c>
      <c r="B7492" s="3" t="inlineStr">
        <is>
          <t>Sun</t>
        </is>
      </c>
      <c r="C7492" s="19" t="n">
        <v>10</v>
      </c>
      <c r="D7492" s="19" t="n">
        <v>2028</v>
      </c>
      <c r="E7492" s="57" t="n">
        <v>7</v>
      </c>
      <c r="F7492" s="29">
        <f>ROUND(((SUMIFS(Calendar!$F$2:$F$9997,Calendar!$B$2:$B$9997,D7492,Calendar!$C$2:$C$9997,C7492)*INDEX(ForeCalc!$B$37:$Y$274,MATCH(_xlfn.CONCAT(H7492," ",I7492),ForeCalc!$A$37:$A$274,0),MATCH(_xlfn.CONCAT(B7492," ",E7492),ForeCalc!$B$36:$Y$36,0))))*VLOOKUP(A7492,Calendar!$A$2:$H$9997,8,FALSE),0)</f>
        <v/>
      </c>
      <c r="G7492" s="29">
        <f>VLOOKUP(A7492,Calendar!$A$1:$H$9997,6,FALSE)-F7492</f>
        <v/>
      </c>
      <c r="H7492" s="19" t="n">
        <v>3</v>
      </c>
      <c r="I7492" s="57" t="n">
        <v>7</v>
      </c>
    </row>
    <row r="7493">
      <c r="A7493" s="62" t="n">
        <v>47028</v>
      </c>
      <c r="B7493" s="3" t="inlineStr">
        <is>
          <t>Week</t>
        </is>
      </c>
      <c r="C7493" s="19" t="n">
        <v>10</v>
      </c>
      <c r="D7493" s="19" t="n">
        <v>2028</v>
      </c>
      <c r="E7493" s="57" t="n">
        <v>7</v>
      </c>
      <c r="F7493" s="29">
        <f>ROUND(((SUMIFS(Calendar!$F$2:$F$9997,Calendar!$B$2:$B$9997,D7493,Calendar!$C$2:$C$9997,C7493)*INDEX(ForeCalc!$B$37:$Y$274,MATCH(_xlfn.CONCAT(H7493," ",I7493),ForeCalc!$A$37:$A$274,0),MATCH(_xlfn.CONCAT(B7493," ",E7493),ForeCalc!$B$36:$Y$36,0))))*VLOOKUP(A7493,Calendar!$A$2:$H$9997,8,FALSE),0)</f>
        <v/>
      </c>
      <c r="G7493" s="29">
        <f>VLOOKUP(A7493,Calendar!$A$1:$H$9997,6,FALSE)-F7493</f>
        <v/>
      </c>
      <c r="H7493" s="19" t="n">
        <v>3</v>
      </c>
      <c r="I7493" s="57" t="n">
        <v>7</v>
      </c>
    </row>
    <row r="7494">
      <c r="A7494" s="62" t="n">
        <v>47029</v>
      </c>
      <c r="B7494" s="3" t="inlineStr">
        <is>
          <t>Week</t>
        </is>
      </c>
      <c r="C7494" s="19" t="n">
        <v>10</v>
      </c>
      <c r="D7494" s="19" t="n">
        <v>2028</v>
      </c>
      <c r="E7494" s="57" t="n">
        <v>7</v>
      </c>
      <c r="F7494" s="29">
        <f>ROUND(((SUMIFS(Calendar!$F$2:$F$9997,Calendar!$B$2:$B$9997,D7494,Calendar!$C$2:$C$9997,C7494)*INDEX(ForeCalc!$B$37:$Y$274,MATCH(_xlfn.CONCAT(H7494," ",I7494),ForeCalc!$A$37:$A$274,0),MATCH(_xlfn.CONCAT(B7494," ",E7494),ForeCalc!$B$36:$Y$36,0))))*VLOOKUP(A7494,Calendar!$A$2:$H$9997,8,FALSE),0)</f>
        <v/>
      </c>
      <c r="G7494" s="29">
        <f>VLOOKUP(A7494,Calendar!$A$1:$H$9997,6,FALSE)-F7494</f>
        <v/>
      </c>
      <c r="H7494" s="19" t="n">
        <v>3</v>
      </c>
      <c r="I7494" s="57" t="n">
        <v>7</v>
      </c>
    </row>
    <row r="7495">
      <c r="A7495" s="62" t="n">
        <v>47030</v>
      </c>
      <c r="B7495" s="3" t="inlineStr">
        <is>
          <t>Week</t>
        </is>
      </c>
      <c r="C7495" s="19" t="n">
        <v>10</v>
      </c>
      <c r="D7495" s="19" t="n">
        <v>2028</v>
      </c>
      <c r="E7495" s="57" t="n">
        <v>7</v>
      </c>
      <c r="F7495" s="29">
        <f>ROUND(((SUMIFS(Calendar!$F$2:$F$9997,Calendar!$B$2:$B$9997,D7495,Calendar!$C$2:$C$9997,C7495)*INDEX(ForeCalc!$B$37:$Y$274,MATCH(_xlfn.CONCAT(H7495," ",I7495),ForeCalc!$A$37:$A$274,0),MATCH(_xlfn.CONCAT(B7495," ",E7495),ForeCalc!$B$36:$Y$36,0))))*VLOOKUP(A7495,Calendar!$A$2:$H$9997,8,FALSE),0)</f>
        <v/>
      </c>
      <c r="G7495" s="29">
        <f>VLOOKUP(A7495,Calendar!$A$1:$H$9997,6,FALSE)-F7495</f>
        <v/>
      </c>
      <c r="H7495" s="19" t="n">
        <v>3</v>
      </c>
      <c r="I7495" s="57" t="n">
        <v>7</v>
      </c>
    </row>
    <row r="7496">
      <c r="A7496" s="62" t="n">
        <v>47031</v>
      </c>
      <c r="B7496" s="3" t="inlineStr">
        <is>
          <t>Week</t>
        </is>
      </c>
      <c r="C7496" s="19" t="n">
        <v>10</v>
      </c>
      <c r="D7496" s="19" t="n">
        <v>2028</v>
      </c>
      <c r="E7496" s="57" t="n">
        <v>7</v>
      </c>
      <c r="F7496" s="29">
        <f>ROUND(((SUMIFS(Calendar!$F$2:$F$9997,Calendar!$B$2:$B$9997,D7496,Calendar!$C$2:$C$9997,C7496)*INDEX(ForeCalc!$B$37:$Y$274,MATCH(_xlfn.CONCAT(H7496," ",I7496),ForeCalc!$A$37:$A$274,0),MATCH(_xlfn.CONCAT(B7496," ",E7496),ForeCalc!$B$36:$Y$36,0))))*VLOOKUP(A7496,Calendar!$A$2:$H$9997,8,FALSE),0)</f>
        <v/>
      </c>
      <c r="G7496" s="29">
        <f>VLOOKUP(A7496,Calendar!$A$1:$H$9997,6,FALSE)-F7496</f>
        <v/>
      </c>
      <c r="H7496" s="19" t="n">
        <v>3</v>
      </c>
      <c r="I7496" s="57" t="n">
        <v>7</v>
      </c>
    </row>
    <row r="7497">
      <c r="A7497" s="62" t="n">
        <v>47032</v>
      </c>
      <c r="B7497" s="3" t="inlineStr">
        <is>
          <t>Week</t>
        </is>
      </c>
      <c r="C7497" s="19" t="n">
        <v>10</v>
      </c>
      <c r="D7497" s="19" t="n">
        <v>2028</v>
      </c>
      <c r="E7497" s="57" t="n">
        <v>7</v>
      </c>
      <c r="F7497" s="29">
        <f>ROUND(((SUMIFS(Calendar!$F$2:$F$9997,Calendar!$B$2:$B$9997,D7497,Calendar!$C$2:$C$9997,C7497)*INDEX(ForeCalc!$B$37:$Y$274,MATCH(_xlfn.CONCAT(H7497," ",I7497),ForeCalc!$A$37:$A$274,0),MATCH(_xlfn.CONCAT(B7497," ",E7497),ForeCalc!$B$36:$Y$36,0))))*VLOOKUP(A7497,Calendar!$A$2:$H$9997,8,FALSE),0)</f>
        <v/>
      </c>
      <c r="G7497" s="29">
        <f>VLOOKUP(A7497,Calendar!$A$1:$H$9997,6,FALSE)-F7497</f>
        <v/>
      </c>
      <c r="H7497" s="19" t="n">
        <v>3</v>
      </c>
      <c r="I7497" s="57" t="n">
        <v>7</v>
      </c>
    </row>
    <row r="7498">
      <c r="A7498" s="62" t="n">
        <v>47033</v>
      </c>
      <c r="B7498" s="3" t="inlineStr">
        <is>
          <t>Sat</t>
        </is>
      </c>
      <c r="C7498" s="19" t="n">
        <v>10</v>
      </c>
      <c r="D7498" s="19" t="n">
        <v>2028</v>
      </c>
      <c r="E7498" s="57" t="n">
        <v>7</v>
      </c>
      <c r="F7498" s="29">
        <f>ROUND(((SUMIFS(Calendar!$F$2:$F$9997,Calendar!$B$2:$B$9997,D7498,Calendar!$C$2:$C$9997,C7498)*INDEX(ForeCalc!$B$37:$Y$274,MATCH(_xlfn.CONCAT(H7498," ",I7498),ForeCalc!$A$37:$A$274,0),MATCH(_xlfn.CONCAT(B7498," ",E7498),ForeCalc!$B$36:$Y$36,0))))*VLOOKUP(A7498,Calendar!$A$2:$H$9997,8,FALSE),0)</f>
        <v/>
      </c>
      <c r="G7498" s="29">
        <f>VLOOKUP(A7498,Calendar!$A$1:$H$9997,6,FALSE)-F7498</f>
        <v/>
      </c>
      <c r="H7498" s="19" t="n">
        <v>3</v>
      </c>
      <c r="I7498" s="57" t="n">
        <v>7</v>
      </c>
    </row>
    <row r="7499">
      <c r="A7499" s="62" t="n">
        <v>47034</v>
      </c>
      <c r="B7499" s="3" t="inlineStr">
        <is>
          <t>Sun</t>
        </is>
      </c>
      <c r="C7499" s="19" t="n">
        <v>10</v>
      </c>
      <c r="D7499" s="19" t="n">
        <v>2028</v>
      </c>
      <c r="E7499" s="57" t="n">
        <v>7</v>
      </c>
      <c r="F7499" s="29">
        <f>ROUND(((SUMIFS(Calendar!$F$2:$F$9997,Calendar!$B$2:$B$9997,D7499,Calendar!$C$2:$C$9997,C7499)*INDEX(ForeCalc!$B$37:$Y$274,MATCH(_xlfn.CONCAT(H7499," ",I7499),ForeCalc!$A$37:$A$274,0),MATCH(_xlfn.CONCAT(B7499," ",E7499),ForeCalc!$B$36:$Y$36,0))))*VLOOKUP(A7499,Calendar!$A$2:$H$9997,8,FALSE),0)</f>
        <v/>
      </c>
      <c r="G7499" s="29">
        <f>VLOOKUP(A7499,Calendar!$A$1:$H$9997,6,FALSE)-F7499</f>
        <v/>
      </c>
      <c r="H7499" s="19" t="n">
        <v>3</v>
      </c>
      <c r="I7499" s="57" t="n">
        <v>7</v>
      </c>
    </row>
    <row r="7500">
      <c r="A7500" s="62" t="n">
        <v>47035</v>
      </c>
      <c r="B7500" s="3" t="inlineStr">
        <is>
          <t>Week</t>
        </is>
      </c>
      <c r="C7500" s="19" t="n">
        <v>10</v>
      </c>
      <c r="D7500" s="19" t="n">
        <v>2028</v>
      </c>
      <c r="E7500" s="57" t="n">
        <v>7</v>
      </c>
      <c r="F7500" s="29">
        <f>ROUND(((SUMIFS(Calendar!$F$2:$F$9997,Calendar!$B$2:$B$9997,D7500,Calendar!$C$2:$C$9997,C7500)*INDEX(ForeCalc!$B$37:$Y$274,MATCH(_xlfn.CONCAT(H7500," ",I7500),ForeCalc!$A$37:$A$274,0),MATCH(_xlfn.CONCAT(B7500," ",E7500),ForeCalc!$B$36:$Y$36,0))))*VLOOKUP(A7500,Calendar!$A$2:$H$9997,8,FALSE),0)</f>
        <v/>
      </c>
      <c r="G7500" s="29">
        <f>VLOOKUP(A7500,Calendar!$A$1:$H$9997,6,FALSE)-F7500</f>
        <v/>
      </c>
      <c r="H7500" s="19" t="n">
        <v>3</v>
      </c>
      <c r="I7500" s="57" t="n">
        <v>7</v>
      </c>
    </row>
    <row r="7501">
      <c r="A7501" s="62" t="n">
        <v>47036</v>
      </c>
      <c r="B7501" s="3" t="inlineStr">
        <is>
          <t>Week</t>
        </is>
      </c>
      <c r="C7501" s="19" t="n">
        <v>10</v>
      </c>
      <c r="D7501" s="19" t="n">
        <v>2028</v>
      </c>
      <c r="E7501" s="57" t="n">
        <v>7</v>
      </c>
      <c r="F7501" s="29">
        <f>ROUND(((SUMIFS(Calendar!$F$2:$F$9997,Calendar!$B$2:$B$9997,D7501,Calendar!$C$2:$C$9997,C7501)*INDEX(ForeCalc!$B$37:$Y$274,MATCH(_xlfn.CONCAT(H7501," ",I7501),ForeCalc!$A$37:$A$274,0),MATCH(_xlfn.CONCAT(B7501," ",E7501),ForeCalc!$B$36:$Y$36,0))))*VLOOKUP(A7501,Calendar!$A$2:$H$9997,8,FALSE),0)</f>
        <v/>
      </c>
      <c r="G7501" s="29">
        <f>VLOOKUP(A7501,Calendar!$A$1:$H$9997,6,FALSE)-F7501</f>
        <v/>
      </c>
      <c r="H7501" s="19" t="n">
        <v>3</v>
      </c>
      <c r="I7501" s="57" t="n">
        <v>7</v>
      </c>
    </row>
    <row r="7502">
      <c r="A7502" s="62" t="n">
        <v>47037</v>
      </c>
      <c r="B7502" s="3" t="inlineStr">
        <is>
          <t>Week</t>
        </is>
      </c>
      <c r="C7502" s="19" t="n">
        <v>10</v>
      </c>
      <c r="D7502" s="19" t="n">
        <v>2028</v>
      </c>
      <c r="E7502" s="57" t="n">
        <v>7</v>
      </c>
      <c r="F7502" s="29">
        <f>ROUND(((SUMIFS(Calendar!$F$2:$F$9997,Calendar!$B$2:$B$9997,D7502,Calendar!$C$2:$C$9997,C7502)*INDEX(ForeCalc!$B$37:$Y$274,MATCH(_xlfn.CONCAT(H7502," ",I7502),ForeCalc!$A$37:$A$274,0),MATCH(_xlfn.CONCAT(B7502," ",E7502),ForeCalc!$B$36:$Y$36,0))))*VLOOKUP(A7502,Calendar!$A$2:$H$9997,8,FALSE),0)</f>
        <v/>
      </c>
      <c r="G7502" s="29">
        <f>VLOOKUP(A7502,Calendar!$A$1:$H$9997,6,FALSE)-F7502</f>
        <v/>
      </c>
      <c r="H7502" s="19" t="n">
        <v>3</v>
      </c>
      <c r="I7502" s="57" t="n">
        <v>7</v>
      </c>
    </row>
    <row r="7503">
      <c r="A7503" s="62" t="n">
        <v>47038</v>
      </c>
      <c r="B7503" s="3" t="inlineStr">
        <is>
          <t>Week</t>
        </is>
      </c>
      <c r="C7503" s="19" t="n">
        <v>10</v>
      </c>
      <c r="D7503" s="19" t="n">
        <v>2028</v>
      </c>
      <c r="E7503" s="57" t="n">
        <v>7</v>
      </c>
      <c r="F7503" s="29">
        <f>ROUND(((SUMIFS(Calendar!$F$2:$F$9997,Calendar!$B$2:$B$9997,D7503,Calendar!$C$2:$C$9997,C7503)*INDEX(ForeCalc!$B$37:$Y$274,MATCH(_xlfn.CONCAT(H7503," ",I7503),ForeCalc!$A$37:$A$274,0),MATCH(_xlfn.CONCAT(B7503," ",E7503),ForeCalc!$B$36:$Y$36,0))))*VLOOKUP(A7503,Calendar!$A$2:$H$9997,8,FALSE),0)</f>
        <v/>
      </c>
      <c r="G7503" s="29">
        <f>VLOOKUP(A7503,Calendar!$A$1:$H$9997,6,FALSE)-F7503</f>
        <v/>
      </c>
      <c r="H7503" s="19" t="n">
        <v>3</v>
      </c>
      <c r="I7503" s="57" t="n">
        <v>7</v>
      </c>
    </row>
    <row r="7504">
      <c r="A7504" s="62" t="n">
        <v>47039</v>
      </c>
      <c r="B7504" s="3" t="inlineStr">
        <is>
          <t>Week</t>
        </is>
      </c>
      <c r="C7504" s="19" t="n">
        <v>10</v>
      </c>
      <c r="D7504" s="19" t="n">
        <v>2028</v>
      </c>
      <c r="E7504" s="57" t="n">
        <v>7</v>
      </c>
      <c r="F7504" s="29">
        <f>ROUND(((SUMIFS(Calendar!$F$2:$F$9997,Calendar!$B$2:$B$9997,D7504,Calendar!$C$2:$C$9997,C7504)*INDEX(ForeCalc!$B$37:$Y$274,MATCH(_xlfn.CONCAT(H7504," ",I7504),ForeCalc!$A$37:$A$274,0),MATCH(_xlfn.CONCAT(B7504," ",E7504),ForeCalc!$B$36:$Y$36,0))))*VLOOKUP(A7504,Calendar!$A$2:$H$9997,8,FALSE),0)</f>
        <v/>
      </c>
      <c r="G7504" s="29">
        <f>VLOOKUP(A7504,Calendar!$A$1:$H$9997,6,FALSE)-F7504</f>
        <v/>
      </c>
      <c r="H7504" s="19" t="n">
        <v>3</v>
      </c>
      <c r="I7504" s="57" t="n">
        <v>7</v>
      </c>
    </row>
    <row r="7505">
      <c r="A7505" s="62" t="n">
        <v>47040</v>
      </c>
      <c r="B7505" s="3" t="inlineStr">
        <is>
          <t>Sat</t>
        </is>
      </c>
      <c r="C7505" s="19" t="n">
        <v>10</v>
      </c>
      <c r="D7505" s="19" t="n">
        <v>2028</v>
      </c>
      <c r="E7505" s="57" t="n">
        <v>7</v>
      </c>
      <c r="F7505" s="29">
        <f>ROUND(((SUMIFS(Calendar!$F$2:$F$9997,Calendar!$B$2:$B$9997,D7505,Calendar!$C$2:$C$9997,C7505)*INDEX(ForeCalc!$B$37:$Y$274,MATCH(_xlfn.CONCAT(H7505," ",I7505),ForeCalc!$A$37:$A$274,0),MATCH(_xlfn.CONCAT(B7505," ",E7505),ForeCalc!$B$36:$Y$36,0))))*VLOOKUP(A7505,Calendar!$A$2:$H$9997,8,FALSE),0)</f>
        <v/>
      </c>
      <c r="G7505" s="29">
        <f>VLOOKUP(A7505,Calendar!$A$1:$H$9997,6,FALSE)-F7505</f>
        <v/>
      </c>
      <c r="H7505" s="19" t="n">
        <v>3</v>
      </c>
      <c r="I7505" s="57" t="n">
        <v>7</v>
      </c>
    </row>
    <row r="7506">
      <c r="A7506" s="62" t="n">
        <v>47041</v>
      </c>
      <c r="B7506" s="3" t="inlineStr">
        <is>
          <t>Sun</t>
        </is>
      </c>
      <c r="C7506" s="19" t="n">
        <v>10</v>
      </c>
      <c r="D7506" s="19" t="n">
        <v>2028</v>
      </c>
      <c r="E7506" s="57" t="n">
        <v>7</v>
      </c>
      <c r="F7506" s="29">
        <f>ROUND(((SUMIFS(Calendar!$F$2:$F$9997,Calendar!$B$2:$B$9997,D7506,Calendar!$C$2:$C$9997,C7506)*INDEX(ForeCalc!$B$37:$Y$274,MATCH(_xlfn.CONCAT(H7506," ",I7506),ForeCalc!$A$37:$A$274,0),MATCH(_xlfn.CONCAT(B7506," ",E7506),ForeCalc!$B$36:$Y$36,0))))*VLOOKUP(A7506,Calendar!$A$2:$H$9997,8,FALSE),0)</f>
        <v/>
      </c>
      <c r="G7506" s="29">
        <f>VLOOKUP(A7506,Calendar!$A$1:$H$9997,6,FALSE)-F7506</f>
        <v/>
      </c>
      <c r="H7506" s="19" t="n">
        <v>3</v>
      </c>
      <c r="I7506" s="57" t="n">
        <v>7</v>
      </c>
    </row>
    <row r="7507">
      <c r="A7507" s="62" t="n">
        <v>47042</v>
      </c>
      <c r="B7507" s="3" t="inlineStr">
        <is>
          <t>Week</t>
        </is>
      </c>
      <c r="C7507" s="19" t="n">
        <v>10</v>
      </c>
      <c r="D7507" s="19" t="n">
        <v>2028</v>
      </c>
      <c r="E7507" s="57" t="n">
        <v>7</v>
      </c>
      <c r="F7507" s="29">
        <f>ROUND(((SUMIFS(Calendar!$F$2:$F$9997,Calendar!$B$2:$B$9997,D7507,Calendar!$C$2:$C$9997,C7507)*INDEX(ForeCalc!$B$37:$Y$274,MATCH(_xlfn.CONCAT(H7507," ",I7507),ForeCalc!$A$37:$A$274,0),MATCH(_xlfn.CONCAT(B7507," ",E7507),ForeCalc!$B$36:$Y$36,0))))*VLOOKUP(A7507,Calendar!$A$2:$H$9997,8,FALSE),0)</f>
        <v/>
      </c>
      <c r="G7507" s="29">
        <f>VLOOKUP(A7507,Calendar!$A$1:$H$9997,6,FALSE)-F7507</f>
        <v/>
      </c>
      <c r="H7507" s="19" t="n">
        <v>3</v>
      </c>
      <c r="I7507" s="57" t="n">
        <v>7</v>
      </c>
    </row>
    <row r="7508">
      <c r="A7508" s="62" t="n">
        <v>47043</v>
      </c>
      <c r="B7508" s="3" t="inlineStr">
        <is>
          <t>Week</t>
        </is>
      </c>
      <c r="C7508" s="19" t="n">
        <v>10</v>
      </c>
      <c r="D7508" s="19" t="n">
        <v>2028</v>
      </c>
      <c r="E7508" s="57" t="n">
        <v>7</v>
      </c>
      <c r="F7508" s="29">
        <f>ROUND(((SUMIFS(Calendar!$F$2:$F$9997,Calendar!$B$2:$B$9997,D7508,Calendar!$C$2:$C$9997,C7508)*INDEX(ForeCalc!$B$37:$Y$274,MATCH(_xlfn.CONCAT(H7508," ",I7508),ForeCalc!$A$37:$A$274,0),MATCH(_xlfn.CONCAT(B7508," ",E7508),ForeCalc!$B$36:$Y$36,0))))*VLOOKUP(A7508,Calendar!$A$2:$H$9997,8,FALSE),0)</f>
        <v/>
      </c>
      <c r="G7508" s="29">
        <f>VLOOKUP(A7508,Calendar!$A$1:$H$9997,6,FALSE)-F7508</f>
        <v/>
      </c>
      <c r="H7508" s="19" t="n">
        <v>3</v>
      </c>
      <c r="I7508" s="57" t="n">
        <v>7</v>
      </c>
    </row>
    <row r="7509">
      <c r="A7509" s="62" t="n">
        <v>47044</v>
      </c>
      <c r="B7509" s="3" t="inlineStr">
        <is>
          <t>Week</t>
        </is>
      </c>
      <c r="C7509" s="19" t="n">
        <v>10</v>
      </c>
      <c r="D7509" s="19" t="n">
        <v>2028</v>
      </c>
      <c r="E7509" s="57" t="n">
        <v>7</v>
      </c>
      <c r="F7509" s="29">
        <f>ROUND(((SUMIFS(Calendar!$F$2:$F$9997,Calendar!$B$2:$B$9997,D7509,Calendar!$C$2:$C$9997,C7509)*INDEX(ForeCalc!$B$37:$Y$274,MATCH(_xlfn.CONCAT(H7509," ",I7509),ForeCalc!$A$37:$A$274,0),MATCH(_xlfn.CONCAT(B7509," ",E7509),ForeCalc!$B$36:$Y$36,0))))*VLOOKUP(A7509,Calendar!$A$2:$H$9997,8,FALSE),0)</f>
        <v/>
      </c>
      <c r="G7509" s="29">
        <f>VLOOKUP(A7509,Calendar!$A$1:$H$9997,6,FALSE)-F7509</f>
        <v/>
      </c>
      <c r="H7509" s="19" t="n">
        <v>3</v>
      </c>
      <c r="I7509" s="57" t="n">
        <v>7</v>
      </c>
    </row>
    <row r="7510">
      <c r="A7510" s="62" t="n">
        <v>47045</v>
      </c>
      <c r="B7510" s="3" t="inlineStr">
        <is>
          <t>Week</t>
        </is>
      </c>
      <c r="C7510" s="19" t="n">
        <v>10</v>
      </c>
      <c r="D7510" s="19" t="n">
        <v>2028</v>
      </c>
      <c r="E7510" s="57" t="n">
        <v>7</v>
      </c>
      <c r="F7510" s="29">
        <f>ROUND(((SUMIFS(Calendar!$F$2:$F$9997,Calendar!$B$2:$B$9997,D7510,Calendar!$C$2:$C$9997,C7510)*INDEX(ForeCalc!$B$37:$Y$274,MATCH(_xlfn.CONCAT(H7510," ",I7510),ForeCalc!$A$37:$A$274,0),MATCH(_xlfn.CONCAT(B7510," ",E7510),ForeCalc!$B$36:$Y$36,0))))*VLOOKUP(A7510,Calendar!$A$2:$H$9997,8,FALSE),0)</f>
        <v/>
      </c>
      <c r="G7510" s="29">
        <f>VLOOKUP(A7510,Calendar!$A$1:$H$9997,6,FALSE)-F7510</f>
        <v/>
      </c>
      <c r="H7510" s="19" t="n">
        <v>3</v>
      </c>
      <c r="I7510" s="57" t="n">
        <v>7</v>
      </c>
    </row>
    <row r="7511">
      <c r="A7511" s="62" t="n">
        <v>47046</v>
      </c>
      <c r="B7511" s="3" t="inlineStr">
        <is>
          <t>Week</t>
        </is>
      </c>
      <c r="C7511" s="19" t="n">
        <v>10</v>
      </c>
      <c r="D7511" s="19" t="n">
        <v>2028</v>
      </c>
      <c r="E7511" s="57" t="n">
        <v>7</v>
      </c>
      <c r="F7511" s="29">
        <f>ROUND(((SUMIFS(Calendar!$F$2:$F$9997,Calendar!$B$2:$B$9997,D7511,Calendar!$C$2:$C$9997,C7511)*INDEX(ForeCalc!$B$37:$Y$274,MATCH(_xlfn.CONCAT(H7511," ",I7511),ForeCalc!$A$37:$A$274,0),MATCH(_xlfn.CONCAT(B7511," ",E7511),ForeCalc!$B$36:$Y$36,0))))*VLOOKUP(A7511,Calendar!$A$2:$H$9997,8,FALSE),0)</f>
        <v/>
      </c>
      <c r="G7511" s="29">
        <f>VLOOKUP(A7511,Calendar!$A$1:$H$9997,6,FALSE)-F7511</f>
        <v/>
      </c>
      <c r="H7511" s="19" t="n">
        <v>3</v>
      </c>
      <c r="I7511" s="57" t="n">
        <v>7</v>
      </c>
    </row>
    <row r="7512">
      <c r="A7512" s="62" t="n">
        <v>47047</v>
      </c>
      <c r="B7512" s="3" t="inlineStr">
        <is>
          <t>Sat</t>
        </is>
      </c>
      <c r="C7512" s="19" t="n">
        <v>10</v>
      </c>
      <c r="D7512" s="19" t="n">
        <v>2028</v>
      </c>
      <c r="E7512" s="57" t="n">
        <v>7</v>
      </c>
      <c r="F7512" s="29">
        <f>ROUND(((SUMIFS(Calendar!$F$2:$F$9997,Calendar!$B$2:$B$9997,D7512,Calendar!$C$2:$C$9997,C7512)*INDEX(ForeCalc!$B$37:$Y$274,MATCH(_xlfn.CONCAT(H7512," ",I7512),ForeCalc!$A$37:$A$274,0),MATCH(_xlfn.CONCAT(B7512," ",E7512),ForeCalc!$B$36:$Y$36,0))))*VLOOKUP(A7512,Calendar!$A$2:$H$9997,8,FALSE),0)</f>
        <v/>
      </c>
      <c r="G7512" s="29">
        <f>VLOOKUP(A7512,Calendar!$A$1:$H$9997,6,FALSE)-F7512</f>
        <v/>
      </c>
      <c r="H7512" s="19" t="n">
        <v>3</v>
      </c>
      <c r="I7512" s="57" t="n">
        <v>7</v>
      </c>
    </row>
    <row r="7513">
      <c r="A7513" s="62" t="n">
        <v>47048</v>
      </c>
      <c r="B7513" s="3" t="inlineStr">
        <is>
          <t>Sun</t>
        </is>
      </c>
      <c r="C7513" s="19" t="n">
        <v>10</v>
      </c>
      <c r="D7513" s="19" t="n">
        <v>2028</v>
      </c>
      <c r="E7513" s="57" t="n">
        <v>7</v>
      </c>
      <c r="F7513" s="29">
        <f>ROUND(((SUMIFS(Calendar!$F$2:$F$9997,Calendar!$B$2:$B$9997,D7513,Calendar!$C$2:$C$9997,C7513)*INDEX(ForeCalc!$B$37:$Y$274,MATCH(_xlfn.CONCAT(H7513," ",I7513),ForeCalc!$A$37:$A$274,0),MATCH(_xlfn.CONCAT(B7513," ",E7513),ForeCalc!$B$36:$Y$36,0))))*VLOOKUP(A7513,Calendar!$A$2:$H$9997,8,FALSE),0)</f>
        <v/>
      </c>
      <c r="G7513" s="29">
        <f>VLOOKUP(A7513,Calendar!$A$1:$H$9997,6,FALSE)-F7513</f>
        <v/>
      </c>
      <c r="H7513" s="19" t="n">
        <v>3</v>
      </c>
      <c r="I7513" s="57" t="n">
        <v>7</v>
      </c>
    </row>
    <row r="7514">
      <c r="A7514" s="62" t="n">
        <v>47049</v>
      </c>
      <c r="B7514" s="3" t="inlineStr">
        <is>
          <t>Week</t>
        </is>
      </c>
      <c r="C7514" s="19" t="n">
        <v>10</v>
      </c>
      <c r="D7514" s="19" t="n">
        <v>2028</v>
      </c>
      <c r="E7514" s="57" t="n">
        <v>7</v>
      </c>
      <c r="F7514" s="29">
        <f>ROUND(((SUMIFS(Calendar!$F$2:$F$9997,Calendar!$B$2:$B$9997,D7514,Calendar!$C$2:$C$9997,C7514)*INDEX(ForeCalc!$B$37:$Y$274,MATCH(_xlfn.CONCAT(H7514," ",I7514),ForeCalc!$A$37:$A$274,0),MATCH(_xlfn.CONCAT(B7514," ",E7514),ForeCalc!$B$36:$Y$36,0))))*VLOOKUP(A7514,Calendar!$A$2:$H$9997,8,FALSE),0)</f>
        <v/>
      </c>
      <c r="G7514" s="29">
        <f>VLOOKUP(A7514,Calendar!$A$1:$H$9997,6,FALSE)-F7514</f>
        <v/>
      </c>
      <c r="H7514" s="19" t="n">
        <v>3</v>
      </c>
      <c r="I7514" s="57" t="n">
        <v>7</v>
      </c>
    </row>
    <row r="7515">
      <c r="A7515" s="62" t="n">
        <v>47050</v>
      </c>
      <c r="B7515" s="3" t="inlineStr">
        <is>
          <t>Week</t>
        </is>
      </c>
      <c r="C7515" s="19" t="n">
        <v>10</v>
      </c>
      <c r="D7515" s="19" t="n">
        <v>2028</v>
      </c>
      <c r="E7515" s="57" t="n">
        <v>7</v>
      </c>
      <c r="F7515" s="29">
        <f>ROUND(((SUMIFS(Calendar!$F$2:$F$9997,Calendar!$B$2:$B$9997,D7515,Calendar!$C$2:$C$9997,C7515)*INDEX(ForeCalc!$B$37:$Y$274,MATCH(_xlfn.CONCAT(H7515," ",I7515),ForeCalc!$A$37:$A$274,0),MATCH(_xlfn.CONCAT(B7515," ",E7515),ForeCalc!$B$36:$Y$36,0))))*VLOOKUP(A7515,Calendar!$A$2:$H$9997,8,FALSE),0)</f>
        <v/>
      </c>
      <c r="G7515" s="29">
        <f>VLOOKUP(A7515,Calendar!$A$1:$H$9997,6,FALSE)-F7515</f>
        <v/>
      </c>
      <c r="H7515" s="19" t="n">
        <v>3</v>
      </c>
      <c r="I7515" s="57" t="n">
        <v>7</v>
      </c>
    </row>
    <row r="7516">
      <c r="A7516" s="62" t="n">
        <v>47051</v>
      </c>
      <c r="B7516" s="3" t="inlineStr">
        <is>
          <t>Week</t>
        </is>
      </c>
      <c r="C7516" s="19" t="n">
        <v>10</v>
      </c>
      <c r="D7516" s="19" t="n">
        <v>2028</v>
      </c>
      <c r="E7516" s="57" t="n">
        <v>7</v>
      </c>
      <c r="F7516" s="29">
        <f>ROUND(((SUMIFS(Calendar!$F$2:$F$9997,Calendar!$B$2:$B$9997,D7516,Calendar!$C$2:$C$9997,C7516)*INDEX(ForeCalc!$B$37:$Y$274,MATCH(_xlfn.CONCAT(H7516," ",I7516),ForeCalc!$A$37:$A$274,0),MATCH(_xlfn.CONCAT(B7516," ",E7516),ForeCalc!$B$36:$Y$36,0))))*VLOOKUP(A7516,Calendar!$A$2:$H$9997,8,FALSE),0)</f>
        <v/>
      </c>
      <c r="G7516" s="29">
        <f>VLOOKUP(A7516,Calendar!$A$1:$H$9997,6,FALSE)-F7516</f>
        <v/>
      </c>
      <c r="H7516" s="19" t="n">
        <v>3</v>
      </c>
      <c r="I7516" s="57" t="n">
        <v>7</v>
      </c>
    </row>
    <row r="7517">
      <c r="A7517" s="62" t="n">
        <v>47052</v>
      </c>
      <c r="B7517" s="3" t="inlineStr">
        <is>
          <t>Week</t>
        </is>
      </c>
      <c r="C7517" s="19" t="n">
        <v>10</v>
      </c>
      <c r="D7517" s="19" t="n">
        <v>2028</v>
      </c>
      <c r="E7517" s="57" t="n">
        <v>7</v>
      </c>
      <c r="F7517" s="29">
        <f>ROUND(((SUMIFS(Calendar!$F$2:$F$9997,Calendar!$B$2:$B$9997,D7517,Calendar!$C$2:$C$9997,C7517)*INDEX(ForeCalc!$B$37:$Y$274,MATCH(_xlfn.CONCAT(H7517," ",I7517),ForeCalc!$A$37:$A$274,0),MATCH(_xlfn.CONCAT(B7517," ",E7517),ForeCalc!$B$36:$Y$36,0))))*VLOOKUP(A7517,Calendar!$A$2:$H$9997,8,FALSE),0)</f>
        <v/>
      </c>
      <c r="G7517" s="29">
        <f>VLOOKUP(A7517,Calendar!$A$1:$H$9997,6,FALSE)-F7517</f>
        <v/>
      </c>
      <c r="H7517" s="19" t="n">
        <v>3</v>
      </c>
      <c r="I7517" s="57" t="n">
        <v>7</v>
      </c>
    </row>
    <row r="7518">
      <c r="A7518" s="62" t="n">
        <v>47053</v>
      </c>
      <c r="B7518" s="3" t="inlineStr">
        <is>
          <t>Week</t>
        </is>
      </c>
      <c r="C7518" s="19" t="n">
        <v>10</v>
      </c>
      <c r="D7518" s="19" t="n">
        <v>2028</v>
      </c>
      <c r="E7518" s="57" t="n">
        <v>7</v>
      </c>
      <c r="F7518" s="29">
        <f>ROUND(((SUMIFS(Calendar!$F$2:$F$9997,Calendar!$B$2:$B$9997,D7518,Calendar!$C$2:$C$9997,C7518)*INDEX(ForeCalc!$B$37:$Y$274,MATCH(_xlfn.CONCAT(H7518," ",I7518),ForeCalc!$A$37:$A$274,0),MATCH(_xlfn.CONCAT(B7518," ",E7518),ForeCalc!$B$36:$Y$36,0))))*VLOOKUP(A7518,Calendar!$A$2:$H$9997,8,FALSE),0)</f>
        <v/>
      </c>
      <c r="G7518" s="29">
        <f>VLOOKUP(A7518,Calendar!$A$1:$H$9997,6,FALSE)-F7518</f>
        <v/>
      </c>
      <c r="H7518" s="19" t="n">
        <v>3</v>
      </c>
      <c r="I7518" s="57" t="n">
        <v>7</v>
      </c>
    </row>
    <row r="7519">
      <c r="A7519" s="62" t="n">
        <v>47054</v>
      </c>
      <c r="B7519" s="3" t="inlineStr">
        <is>
          <t>Sat</t>
        </is>
      </c>
      <c r="C7519" s="19" t="n">
        <v>10</v>
      </c>
      <c r="D7519" s="19" t="n">
        <v>2028</v>
      </c>
      <c r="E7519" s="57" t="n">
        <v>7</v>
      </c>
      <c r="F7519" s="29">
        <f>ROUND(((SUMIFS(Calendar!$F$2:$F$9997,Calendar!$B$2:$B$9997,D7519,Calendar!$C$2:$C$9997,C7519)*INDEX(ForeCalc!$B$37:$Y$274,MATCH(_xlfn.CONCAT(H7519," ",I7519),ForeCalc!$A$37:$A$274,0),MATCH(_xlfn.CONCAT(B7519," ",E7519),ForeCalc!$B$36:$Y$36,0))))*VLOOKUP(A7519,Calendar!$A$2:$H$9997,8,FALSE),0)</f>
        <v/>
      </c>
      <c r="G7519" s="29">
        <f>VLOOKUP(A7519,Calendar!$A$1:$H$9997,6,FALSE)-F7519</f>
        <v/>
      </c>
      <c r="H7519" s="19" t="n">
        <v>3</v>
      </c>
      <c r="I7519" s="57" t="n">
        <v>7</v>
      </c>
    </row>
    <row r="7520">
      <c r="A7520" s="62" t="n">
        <v>47055</v>
      </c>
      <c r="B7520" s="3" t="inlineStr">
        <is>
          <t>Sun</t>
        </is>
      </c>
      <c r="C7520" s="19" t="n">
        <v>10</v>
      </c>
      <c r="D7520" s="19" t="n">
        <v>2028</v>
      </c>
      <c r="E7520" s="57" t="n">
        <v>7</v>
      </c>
      <c r="F7520" s="29">
        <f>ROUND(((SUMIFS(Calendar!$F$2:$F$9997,Calendar!$B$2:$B$9997,D7520,Calendar!$C$2:$C$9997,C7520)*INDEX(ForeCalc!$B$37:$Y$274,MATCH(_xlfn.CONCAT(H7520," ",I7520),ForeCalc!$A$37:$A$274,0),MATCH(_xlfn.CONCAT(B7520," ",E7520),ForeCalc!$B$36:$Y$36,0))))*VLOOKUP(A7520,Calendar!$A$2:$H$9997,8,FALSE),0)</f>
        <v/>
      </c>
      <c r="G7520" s="29">
        <f>VLOOKUP(A7520,Calendar!$A$1:$H$9997,6,FALSE)-F7520</f>
        <v/>
      </c>
      <c r="H7520" s="19" t="n">
        <v>3</v>
      </c>
      <c r="I7520" s="57" t="n">
        <v>7</v>
      </c>
    </row>
    <row r="7521">
      <c r="A7521" s="62" t="n">
        <v>47056</v>
      </c>
      <c r="B7521" s="3" t="inlineStr">
        <is>
          <t>Week</t>
        </is>
      </c>
      <c r="C7521" s="19" t="n">
        <v>10</v>
      </c>
      <c r="D7521" s="19" t="n">
        <v>2028</v>
      </c>
      <c r="E7521" s="57" t="n">
        <v>7</v>
      </c>
      <c r="F7521" s="29">
        <f>ROUND(((SUMIFS(Calendar!$F$2:$F$9997,Calendar!$B$2:$B$9997,D7521,Calendar!$C$2:$C$9997,C7521)*INDEX(ForeCalc!$B$37:$Y$274,MATCH(_xlfn.CONCAT(H7521," ",I7521),ForeCalc!$A$37:$A$274,0),MATCH(_xlfn.CONCAT(B7521," ",E7521),ForeCalc!$B$36:$Y$36,0))))*VLOOKUP(A7521,Calendar!$A$2:$H$9997,8,FALSE),0)</f>
        <v/>
      </c>
      <c r="G7521" s="29">
        <f>VLOOKUP(A7521,Calendar!$A$1:$H$9997,6,FALSE)-F7521</f>
        <v/>
      </c>
      <c r="H7521" s="19" t="n">
        <v>3</v>
      </c>
      <c r="I7521" s="57" t="n">
        <v>7</v>
      </c>
    </row>
    <row r="7522">
      <c r="A7522" s="62" t="n">
        <v>47057</v>
      </c>
      <c r="B7522" s="3" t="inlineStr">
        <is>
          <t>Week</t>
        </is>
      </c>
      <c r="C7522" s="19" t="n">
        <v>10</v>
      </c>
      <c r="D7522" s="19" t="n">
        <v>2028</v>
      </c>
      <c r="E7522" s="57" t="n">
        <v>7</v>
      </c>
      <c r="F7522" s="29">
        <f>ROUND(((SUMIFS(Calendar!$F$2:$F$9997,Calendar!$B$2:$B$9997,D7522,Calendar!$C$2:$C$9997,C7522)*INDEX(ForeCalc!$B$37:$Y$274,MATCH(_xlfn.CONCAT(H7522," ",I7522),ForeCalc!$A$37:$A$274,0),MATCH(_xlfn.CONCAT(B7522," ",E7522),ForeCalc!$B$36:$Y$36,0))))*VLOOKUP(A7522,Calendar!$A$2:$H$9997,8,FALSE),0)</f>
        <v/>
      </c>
      <c r="G7522" s="29">
        <f>VLOOKUP(A7522,Calendar!$A$1:$H$9997,6,FALSE)-F7522</f>
        <v/>
      </c>
      <c r="H7522" s="19" t="n">
        <v>3</v>
      </c>
      <c r="I7522" s="57" t="n">
        <v>7</v>
      </c>
    </row>
    <row r="7523">
      <c r="A7523" s="62" t="n">
        <v>47058</v>
      </c>
      <c r="B7523" s="3" t="inlineStr">
        <is>
          <t>Week</t>
        </is>
      </c>
      <c r="C7523" s="19" t="n">
        <v>11</v>
      </c>
      <c r="D7523" s="19" t="n">
        <v>2028</v>
      </c>
      <c r="E7523" s="57" t="n">
        <v>7</v>
      </c>
      <c r="F7523" s="29">
        <f>ROUND(((SUMIFS(Calendar!$F$2:$F$9997,Calendar!$B$2:$B$9997,D7523,Calendar!$C$2:$C$9997,C7523)*INDEX(ForeCalc!$B$37:$Y$274,MATCH(_xlfn.CONCAT(H7523," ",I7523),ForeCalc!$A$37:$A$274,0),MATCH(_xlfn.CONCAT(B7523," ",E7523),ForeCalc!$B$36:$Y$36,0))))*VLOOKUP(A7523,Calendar!$A$2:$H$9997,8,FALSE),0)</f>
        <v/>
      </c>
      <c r="G7523" s="29">
        <f>VLOOKUP(A7523,Calendar!$A$1:$H$9997,6,FALSE)-F7523</f>
        <v/>
      </c>
      <c r="H7523" s="19" t="n">
        <v>3</v>
      </c>
      <c r="I7523" s="57" t="n">
        <v>8</v>
      </c>
    </row>
    <row r="7524">
      <c r="A7524" s="62" t="n">
        <v>47059</v>
      </c>
      <c r="B7524" s="3" t="inlineStr">
        <is>
          <t>Week</t>
        </is>
      </c>
      <c r="C7524" s="19" t="n">
        <v>11</v>
      </c>
      <c r="D7524" s="19" t="n">
        <v>2028</v>
      </c>
      <c r="E7524" s="57" t="n">
        <v>7</v>
      </c>
      <c r="F7524" s="29">
        <f>ROUND(((SUMIFS(Calendar!$F$2:$F$9997,Calendar!$B$2:$B$9997,D7524,Calendar!$C$2:$C$9997,C7524)*INDEX(ForeCalc!$B$37:$Y$274,MATCH(_xlfn.CONCAT(H7524," ",I7524),ForeCalc!$A$37:$A$274,0),MATCH(_xlfn.CONCAT(B7524," ",E7524),ForeCalc!$B$36:$Y$36,0))))*VLOOKUP(A7524,Calendar!$A$2:$H$9997,8,FALSE),0)</f>
        <v/>
      </c>
      <c r="G7524" s="29">
        <f>VLOOKUP(A7524,Calendar!$A$1:$H$9997,6,FALSE)-F7524</f>
        <v/>
      </c>
      <c r="H7524" s="19" t="n">
        <v>3</v>
      </c>
      <c r="I7524" s="57" t="n">
        <v>8</v>
      </c>
    </row>
    <row r="7525">
      <c r="A7525" s="62" t="n">
        <v>47060</v>
      </c>
      <c r="B7525" s="3" t="inlineStr">
        <is>
          <t>Week</t>
        </is>
      </c>
      <c r="C7525" s="19" t="n">
        <v>11</v>
      </c>
      <c r="D7525" s="19" t="n">
        <v>2028</v>
      </c>
      <c r="E7525" s="57" t="n">
        <v>7</v>
      </c>
      <c r="F7525" s="29">
        <f>ROUND(((SUMIFS(Calendar!$F$2:$F$9997,Calendar!$B$2:$B$9997,D7525,Calendar!$C$2:$C$9997,C7525)*INDEX(ForeCalc!$B$37:$Y$274,MATCH(_xlfn.CONCAT(H7525," ",I7525),ForeCalc!$A$37:$A$274,0),MATCH(_xlfn.CONCAT(B7525," ",E7525),ForeCalc!$B$36:$Y$36,0))))*VLOOKUP(A7525,Calendar!$A$2:$H$9997,8,FALSE),0)</f>
        <v/>
      </c>
      <c r="G7525" s="29">
        <f>VLOOKUP(A7525,Calendar!$A$1:$H$9997,6,FALSE)-F7525</f>
        <v/>
      </c>
      <c r="H7525" s="19" t="n">
        <v>3</v>
      </c>
      <c r="I7525" s="57" t="n">
        <v>8</v>
      </c>
    </row>
    <row r="7526">
      <c r="A7526" s="62" t="n">
        <v>47061</v>
      </c>
      <c r="B7526" s="3" t="inlineStr">
        <is>
          <t>Sat</t>
        </is>
      </c>
      <c r="C7526" s="19" t="n">
        <v>11</v>
      </c>
      <c r="D7526" s="19" t="n">
        <v>2028</v>
      </c>
      <c r="E7526" s="57" t="n">
        <v>7</v>
      </c>
      <c r="F7526" s="29">
        <f>ROUND(((SUMIFS(Calendar!$F$2:$F$9997,Calendar!$B$2:$B$9997,D7526,Calendar!$C$2:$C$9997,C7526)*INDEX(ForeCalc!$B$37:$Y$274,MATCH(_xlfn.CONCAT(H7526," ",I7526),ForeCalc!$A$37:$A$274,0),MATCH(_xlfn.CONCAT(B7526," ",E7526),ForeCalc!$B$36:$Y$36,0))))*VLOOKUP(A7526,Calendar!$A$2:$H$9997,8,FALSE),0)</f>
        <v/>
      </c>
      <c r="G7526" s="29">
        <f>VLOOKUP(A7526,Calendar!$A$1:$H$9997,6,FALSE)-F7526</f>
        <v/>
      </c>
      <c r="H7526" s="19" t="n">
        <v>3</v>
      </c>
      <c r="I7526" s="57" t="n">
        <v>8</v>
      </c>
    </row>
    <row r="7527">
      <c r="A7527" s="62" t="n">
        <v>47062</v>
      </c>
      <c r="B7527" s="3" t="inlineStr">
        <is>
          <t>Sun</t>
        </is>
      </c>
      <c r="C7527" s="19" t="n">
        <v>11</v>
      </c>
      <c r="D7527" s="19" t="n">
        <v>2028</v>
      </c>
      <c r="E7527" s="57" t="n">
        <v>7</v>
      </c>
      <c r="F7527" s="29">
        <f>ROUND(((SUMIFS(Calendar!$F$2:$F$9997,Calendar!$B$2:$B$9997,D7527,Calendar!$C$2:$C$9997,C7527)*INDEX(ForeCalc!$B$37:$Y$274,MATCH(_xlfn.CONCAT(H7527," ",I7527),ForeCalc!$A$37:$A$274,0),MATCH(_xlfn.CONCAT(B7527," ",E7527),ForeCalc!$B$36:$Y$36,0))))*VLOOKUP(A7527,Calendar!$A$2:$H$9997,8,FALSE),0)</f>
        <v/>
      </c>
      <c r="G7527" s="29">
        <f>VLOOKUP(A7527,Calendar!$A$1:$H$9997,6,FALSE)-F7527</f>
        <v/>
      </c>
      <c r="H7527" s="19" t="n">
        <v>3</v>
      </c>
      <c r="I7527" s="57" t="n">
        <v>8</v>
      </c>
    </row>
    <row r="7528">
      <c r="A7528" s="62" t="n">
        <v>47063</v>
      </c>
      <c r="B7528" s="3" t="inlineStr">
        <is>
          <t>Week</t>
        </is>
      </c>
      <c r="C7528" s="19" t="n">
        <v>11</v>
      </c>
      <c r="D7528" s="19" t="n">
        <v>2028</v>
      </c>
      <c r="E7528" s="57" t="n">
        <v>7</v>
      </c>
      <c r="F7528" s="29">
        <f>ROUND(((SUMIFS(Calendar!$F$2:$F$9997,Calendar!$B$2:$B$9997,D7528,Calendar!$C$2:$C$9997,C7528)*INDEX(ForeCalc!$B$37:$Y$274,MATCH(_xlfn.CONCAT(H7528," ",I7528),ForeCalc!$A$37:$A$274,0),MATCH(_xlfn.CONCAT(B7528," ",E7528),ForeCalc!$B$36:$Y$36,0))))*VLOOKUP(A7528,Calendar!$A$2:$H$9997,8,FALSE),0)</f>
        <v/>
      </c>
      <c r="G7528" s="29">
        <f>VLOOKUP(A7528,Calendar!$A$1:$H$9997,6,FALSE)-F7528</f>
        <v/>
      </c>
      <c r="H7528" s="19" t="n">
        <v>3</v>
      </c>
      <c r="I7528" s="57" t="n">
        <v>8</v>
      </c>
    </row>
    <row r="7529">
      <c r="A7529" s="62" t="n">
        <v>47064</v>
      </c>
      <c r="B7529" s="3" t="inlineStr">
        <is>
          <t>Week</t>
        </is>
      </c>
      <c r="C7529" s="19" t="n">
        <v>11</v>
      </c>
      <c r="D7529" s="19" t="n">
        <v>2028</v>
      </c>
      <c r="E7529" s="57" t="n">
        <v>7</v>
      </c>
      <c r="F7529" s="29">
        <f>ROUND(((SUMIFS(Calendar!$F$2:$F$9997,Calendar!$B$2:$B$9997,D7529,Calendar!$C$2:$C$9997,C7529)*INDEX(ForeCalc!$B$37:$Y$274,MATCH(_xlfn.CONCAT(H7529," ",I7529),ForeCalc!$A$37:$A$274,0),MATCH(_xlfn.CONCAT(B7529," ",E7529),ForeCalc!$B$36:$Y$36,0))))*VLOOKUP(A7529,Calendar!$A$2:$H$9997,8,FALSE),0)</f>
        <v/>
      </c>
      <c r="G7529" s="29">
        <f>VLOOKUP(A7529,Calendar!$A$1:$H$9997,6,FALSE)-F7529</f>
        <v/>
      </c>
      <c r="H7529" s="19" t="n">
        <v>3</v>
      </c>
      <c r="I7529" s="57" t="n">
        <v>8</v>
      </c>
    </row>
    <row r="7530">
      <c r="A7530" s="62" t="n">
        <v>47065</v>
      </c>
      <c r="B7530" s="3" t="inlineStr">
        <is>
          <t>Week</t>
        </is>
      </c>
      <c r="C7530" s="19" t="n">
        <v>11</v>
      </c>
      <c r="D7530" s="19" t="n">
        <v>2028</v>
      </c>
      <c r="E7530" s="57" t="n">
        <v>7</v>
      </c>
      <c r="F7530" s="29">
        <f>ROUND(((SUMIFS(Calendar!$F$2:$F$9997,Calendar!$B$2:$B$9997,D7530,Calendar!$C$2:$C$9997,C7530)*INDEX(ForeCalc!$B$37:$Y$274,MATCH(_xlfn.CONCAT(H7530," ",I7530),ForeCalc!$A$37:$A$274,0),MATCH(_xlfn.CONCAT(B7530," ",E7530),ForeCalc!$B$36:$Y$36,0))))*VLOOKUP(A7530,Calendar!$A$2:$H$9997,8,FALSE),0)</f>
        <v/>
      </c>
      <c r="G7530" s="29">
        <f>VLOOKUP(A7530,Calendar!$A$1:$H$9997,6,FALSE)-F7530</f>
        <v/>
      </c>
      <c r="H7530" s="19" t="n">
        <v>3</v>
      </c>
      <c r="I7530" s="57" t="n">
        <v>8</v>
      </c>
    </row>
    <row r="7531">
      <c r="A7531" s="62" t="n">
        <v>47066</v>
      </c>
      <c r="B7531" s="3" t="inlineStr">
        <is>
          <t>Week</t>
        </is>
      </c>
      <c r="C7531" s="19" t="n">
        <v>11</v>
      </c>
      <c r="D7531" s="19" t="n">
        <v>2028</v>
      </c>
      <c r="E7531" s="57" t="n">
        <v>7</v>
      </c>
      <c r="F7531" s="29">
        <f>ROUND(((SUMIFS(Calendar!$F$2:$F$9997,Calendar!$B$2:$B$9997,D7531,Calendar!$C$2:$C$9997,C7531)*INDEX(ForeCalc!$B$37:$Y$274,MATCH(_xlfn.CONCAT(H7531," ",I7531),ForeCalc!$A$37:$A$274,0),MATCH(_xlfn.CONCAT(B7531," ",E7531),ForeCalc!$B$36:$Y$36,0))))*VLOOKUP(A7531,Calendar!$A$2:$H$9997,8,FALSE),0)</f>
        <v/>
      </c>
      <c r="G7531" s="29">
        <f>VLOOKUP(A7531,Calendar!$A$1:$H$9997,6,FALSE)-F7531</f>
        <v/>
      </c>
      <c r="H7531" s="19" t="n">
        <v>3</v>
      </c>
      <c r="I7531" s="57" t="n">
        <v>8</v>
      </c>
    </row>
    <row r="7532">
      <c r="A7532" s="62" t="n">
        <v>47067</v>
      </c>
      <c r="B7532" s="3" t="inlineStr">
        <is>
          <t>Week</t>
        </is>
      </c>
      <c r="C7532" s="19" t="n">
        <v>11</v>
      </c>
      <c r="D7532" s="19" t="n">
        <v>2028</v>
      </c>
      <c r="E7532" s="57" t="n">
        <v>7</v>
      </c>
      <c r="F7532" s="29">
        <f>ROUND(((SUMIFS(Calendar!$F$2:$F$9997,Calendar!$B$2:$B$9997,D7532,Calendar!$C$2:$C$9997,C7532)*INDEX(ForeCalc!$B$37:$Y$274,MATCH(_xlfn.CONCAT(H7532," ",I7532),ForeCalc!$A$37:$A$274,0),MATCH(_xlfn.CONCAT(B7532," ",E7532),ForeCalc!$B$36:$Y$36,0))))*VLOOKUP(A7532,Calendar!$A$2:$H$9997,8,FALSE),0)</f>
        <v/>
      </c>
      <c r="G7532" s="29">
        <f>VLOOKUP(A7532,Calendar!$A$1:$H$9997,6,FALSE)-F7532</f>
        <v/>
      </c>
      <c r="H7532" s="19" t="n">
        <v>3</v>
      </c>
      <c r="I7532" s="57" t="n">
        <v>8</v>
      </c>
    </row>
    <row r="7533">
      <c r="A7533" s="62" t="n">
        <v>47068</v>
      </c>
      <c r="B7533" s="3" t="inlineStr">
        <is>
          <t>Sat</t>
        </is>
      </c>
      <c r="C7533" s="19" t="n">
        <v>11</v>
      </c>
      <c r="D7533" s="19" t="n">
        <v>2028</v>
      </c>
      <c r="E7533" s="57" t="n">
        <v>7</v>
      </c>
      <c r="F7533" s="29">
        <f>ROUND(((SUMIFS(Calendar!$F$2:$F$9997,Calendar!$B$2:$B$9997,D7533,Calendar!$C$2:$C$9997,C7533)*INDEX(ForeCalc!$B$37:$Y$274,MATCH(_xlfn.CONCAT(H7533," ",I7533),ForeCalc!$A$37:$A$274,0),MATCH(_xlfn.CONCAT(B7533," ",E7533),ForeCalc!$B$36:$Y$36,0))))*VLOOKUP(A7533,Calendar!$A$2:$H$9997,8,FALSE),0)</f>
        <v/>
      </c>
      <c r="G7533" s="29">
        <f>VLOOKUP(A7533,Calendar!$A$1:$H$9997,6,FALSE)-F7533</f>
        <v/>
      </c>
      <c r="H7533" s="19" t="n">
        <v>3</v>
      </c>
      <c r="I7533" s="57" t="n">
        <v>8</v>
      </c>
    </row>
    <row r="7534">
      <c r="A7534" s="62" t="n">
        <v>47069</v>
      </c>
      <c r="B7534" s="3" t="inlineStr">
        <is>
          <t>Sun</t>
        </is>
      </c>
      <c r="C7534" s="19" t="n">
        <v>11</v>
      </c>
      <c r="D7534" s="19" t="n">
        <v>2028</v>
      </c>
      <c r="E7534" s="57" t="n">
        <v>7</v>
      </c>
      <c r="F7534" s="29">
        <f>ROUND(((SUMIFS(Calendar!$F$2:$F$9997,Calendar!$B$2:$B$9997,D7534,Calendar!$C$2:$C$9997,C7534)*INDEX(ForeCalc!$B$37:$Y$274,MATCH(_xlfn.CONCAT(H7534," ",I7534),ForeCalc!$A$37:$A$274,0),MATCH(_xlfn.CONCAT(B7534," ",E7534),ForeCalc!$B$36:$Y$36,0))))*VLOOKUP(A7534,Calendar!$A$2:$H$9997,8,FALSE),0)</f>
        <v/>
      </c>
      <c r="G7534" s="29">
        <f>VLOOKUP(A7534,Calendar!$A$1:$H$9997,6,FALSE)-F7534</f>
        <v/>
      </c>
      <c r="H7534" s="19" t="n">
        <v>3</v>
      </c>
      <c r="I7534" s="57" t="n">
        <v>8</v>
      </c>
    </row>
    <row r="7535">
      <c r="A7535" s="62" t="n">
        <v>47070</v>
      </c>
      <c r="B7535" s="3" t="inlineStr">
        <is>
          <t>Week</t>
        </is>
      </c>
      <c r="C7535" s="19" t="n">
        <v>11</v>
      </c>
      <c r="D7535" s="19" t="n">
        <v>2028</v>
      </c>
      <c r="E7535" s="57" t="n">
        <v>7</v>
      </c>
      <c r="F7535" s="29">
        <f>ROUND(((SUMIFS(Calendar!$F$2:$F$9997,Calendar!$B$2:$B$9997,D7535,Calendar!$C$2:$C$9997,C7535)*INDEX(ForeCalc!$B$37:$Y$274,MATCH(_xlfn.CONCAT(H7535," ",I7535),ForeCalc!$A$37:$A$274,0),MATCH(_xlfn.CONCAT(B7535," ",E7535),ForeCalc!$B$36:$Y$36,0))))*VLOOKUP(A7535,Calendar!$A$2:$H$9997,8,FALSE),0)</f>
        <v/>
      </c>
      <c r="G7535" s="29">
        <f>VLOOKUP(A7535,Calendar!$A$1:$H$9997,6,FALSE)-F7535</f>
        <v/>
      </c>
      <c r="H7535" s="19" t="n">
        <v>3</v>
      </c>
      <c r="I7535" s="57" t="n">
        <v>8</v>
      </c>
    </row>
    <row r="7536">
      <c r="A7536" s="62" t="n">
        <v>47071</v>
      </c>
      <c r="B7536" s="3" t="inlineStr">
        <is>
          <t>Week</t>
        </is>
      </c>
      <c r="C7536" s="19" t="n">
        <v>11</v>
      </c>
      <c r="D7536" s="19" t="n">
        <v>2028</v>
      </c>
      <c r="E7536" s="57" t="n">
        <v>7</v>
      </c>
      <c r="F7536" s="29">
        <f>ROUND(((SUMIFS(Calendar!$F$2:$F$9997,Calendar!$B$2:$B$9997,D7536,Calendar!$C$2:$C$9997,C7536)*INDEX(ForeCalc!$B$37:$Y$274,MATCH(_xlfn.CONCAT(H7536," ",I7536),ForeCalc!$A$37:$A$274,0),MATCH(_xlfn.CONCAT(B7536," ",E7536),ForeCalc!$B$36:$Y$36,0))))*VLOOKUP(A7536,Calendar!$A$2:$H$9997,8,FALSE),0)</f>
        <v/>
      </c>
      <c r="G7536" s="29">
        <f>VLOOKUP(A7536,Calendar!$A$1:$H$9997,6,FALSE)-F7536</f>
        <v/>
      </c>
      <c r="H7536" s="19" t="n">
        <v>3</v>
      </c>
      <c r="I7536" s="57" t="n">
        <v>8</v>
      </c>
    </row>
    <row r="7537">
      <c r="A7537" s="62" t="n">
        <v>47072</v>
      </c>
      <c r="B7537" s="3" t="inlineStr">
        <is>
          <t>Week</t>
        </is>
      </c>
      <c r="C7537" s="19" t="n">
        <v>11</v>
      </c>
      <c r="D7537" s="19" t="n">
        <v>2028</v>
      </c>
      <c r="E7537" s="57" t="n">
        <v>7</v>
      </c>
      <c r="F7537" s="29">
        <f>ROUND(((SUMIFS(Calendar!$F$2:$F$9997,Calendar!$B$2:$B$9997,D7537,Calendar!$C$2:$C$9997,C7537)*INDEX(ForeCalc!$B$37:$Y$274,MATCH(_xlfn.CONCAT(H7537," ",I7537),ForeCalc!$A$37:$A$274,0),MATCH(_xlfn.CONCAT(B7537," ",E7537),ForeCalc!$B$36:$Y$36,0))))*VLOOKUP(A7537,Calendar!$A$2:$H$9997,8,FALSE),0)</f>
        <v/>
      </c>
      <c r="G7537" s="29">
        <f>VLOOKUP(A7537,Calendar!$A$1:$H$9997,6,FALSE)-F7537</f>
        <v/>
      </c>
      <c r="H7537" s="19" t="n">
        <v>3</v>
      </c>
      <c r="I7537" s="57" t="n">
        <v>8</v>
      </c>
    </row>
    <row r="7538">
      <c r="A7538" s="62" t="n">
        <v>47073</v>
      </c>
      <c r="B7538" s="3" t="inlineStr">
        <is>
          <t>Week</t>
        </is>
      </c>
      <c r="C7538" s="19" t="n">
        <v>11</v>
      </c>
      <c r="D7538" s="19" t="n">
        <v>2028</v>
      </c>
      <c r="E7538" s="57" t="n">
        <v>7</v>
      </c>
      <c r="F7538" s="29">
        <f>ROUND(((SUMIFS(Calendar!$F$2:$F$9997,Calendar!$B$2:$B$9997,D7538,Calendar!$C$2:$C$9997,C7538)*INDEX(ForeCalc!$B$37:$Y$274,MATCH(_xlfn.CONCAT(H7538," ",I7538),ForeCalc!$A$37:$A$274,0),MATCH(_xlfn.CONCAT(B7538," ",E7538),ForeCalc!$B$36:$Y$36,0))))*VLOOKUP(A7538,Calendar!$A$2:$H$9997,8,FALSE),0)</f>
        <v/>
      </c>
      <c r="G7538" s="29">
        <f>VLOOKUP(A7538,Calendar!$A$1:$H$9997,6,FALSE)-F7538</f>
        <v/>
      </c>
      <c r="H7538" s="19" t="n">
        <v>3</v>
      </c>
      <c r="I7538" s="57" t="n">
        <v>8</v>
      </c>
    </row>
    <row r="7539">
      <c r="A7539" s="62" t="n">
        <v>47074</v>
      </c>
      <c r="B7539" s="3" t="inlineStr">
        <is>
          <t>Week</t>
        </is>
      </c>
      <c r="C7539" s="19" t="n">
        <v>11</v>
      </c>
      <c r="D7539" s="19" t="n">
        <v>2028</v>
      </c>
      <c r="E7539" s="57" t="n">
        <v>7</v>
      </c>
      <c r="F7539" s="29">
        <f>ROUND(((SUMIFS(Calendar!$F$2:$F$9997,Calendar!$B$2:$B$9997,D7539,Calendar!$C$2:$C$9997,C7539)*INDEX(ForeCalc!$B$37:$Y$274,MATCH(_xlfn.CONCAT(H7539," ",I7539),ForeCalc!$A$37:$A$274,0),MATCH(_xlfn.CONCAT(B7539," ",E7539),ForeCalc!$B$36:$Y$36,0))))*VLOOKUP(A7539,Calendar!$A$2:$H$9997,8,FALSE),0)</f>
        <v/>
      </c>
      <c r="G7539" s="29">
        <f>VLOOKUP(A7539,Calendar!$A$1:$H$9997,6,FALSE)-F7539</f>
        <v/>
      </c>
      <c r="H7539" s="19" t="n">
        <v>3</v>
      </c>
      <c r="I7539" s="57" t="n">
        <v>8</v>
      </c>
    </row>
    <row r="7540">
      <c r="A7540" s="62" t="n">
        <v>47075</v>
      </c>
      <c r="B7540" s="3" t="inlineStr">
        <is>
          <t>Sat</t>
        </is>
      </c>
      <c r="C7540" s="19" t="n">
        <v>11</v>
      </c>
      <c r="D7540" s="19" t="n">
        <v>2028</v>
      </c>
      <c r="E7540" s="57" t="n">
        <v>7</v>
      </c>
      <c r="F7540" s="29">
        <f>ROUND(((SUMIFS(Calendar!$F$2:$F$9997,Calendar!$B$2:$B$9997,D7540,Calendar!$C$2:$C$9997,C7540)*INDEX(ForeCalc!$B$37:$Y$274,MATCH(_xlfn.CONCAT(H7540," ",I7540),ForeCalc!$A$37:$A$274,0),MATCH(_xlfn.CONCAT(B7540," ",E7540),ForeCalc!$B$36:$Y$36,0))))*VLOOKUP(A7540,Calendar!$A$2:$H$9997,8,FALSE),0)</f>
        <v/>
      </c>
      <c r="G7540" s="29">
        <f>VLOOKUP(A7540,Calendar!$A$1:$H$9997,6,FALSE)-F7540</f>
        <v/>
      </c>
      <c r="H7540" s="19" t="n">
        <v>3</v>
      </c>
      <c r="I7540" s="57" t="n">
        <v>8</v>
      </c>
    </row>
    <row r="7541">
      <c r="A7541" s="62" t="n">
        <v>47076</v>
      </c>
      <c r="B7541" s="3" t="inlineStr">
        <is>
          <t>Sun</t>
        </is>
      </c>
      <c r="C7541" s="19" t="n">
        <v>11</v>
      </c>
      <c r="D7541" s="19" t="n">
        <v>2028</v>
      </c>
      <c r="E7541" s="57" t="n">
        <v>7</v>
      </c>
      <c r="F7541" s="29">
        <f>ROUND(((SUMIFS(Calendar!$F$2:$F$9997,Calendar!$B$2:$B$9997,D7541,Calendar!$C$2:$C$9997,C7541)*INDEX(ForeCalc!$B$37:$Y$274,MATCH(_xlfn.CONCAT(H7541," ",I7541),ForeCalc!$A$37:$A$274,0),MATCH(_xlfn.CONCAT(B7541," ",E7541),ForeCalc!$B$36:$Y$36,0))))*VLOOKUP(A7541,Calendar!$A$2:$H$9997,8,FALSE),0)</f>
        <v/>
      </c>
      <c r="G7541" s="29">
        <f>VLOOKUP(A7541,Calendar!$A$1:$H$9997,6,FALSE)-F7541</f>
        <v/>
      </c>
      <c r="H7541" s="19" t="n">
        <v>3</v>
      </c>
      <c r="I7541" s="57" t="n">
        <v>8</v>
      </c>
    </row>
    <row r="7542">
      <c r="A7542" s="62" t="n">
        <v>47077</v>
      </c>
      <c r="B7542" s="3" t="inlineStr">
        <is>
          <t>Week</t>
        </is>
      </c>
      <c r="C7542" s="19" t="n">
        <v>11</v>
      </c>
      <c r="D7542" s="19" t="n">
        <v>2028</v>
      </c>
      <c r="E7542" s="57" t="n">
        <v>7</v>
      </c>
      <c r="F7542" s="29">
        <f>ROUND(((SUMIFS(Calendar!$F$2:$F$9997,Calendar!$B$2:$B$9997,D7542,Calendar!$C$2:$C$9997,C7542)*INDEX(ForeCalc!$B$37:$Y$274,MATCH(_xlfn.CONCAT(H7542," ",I7542),ForeCalc!$A$37:$A$274,0),MATCH(_xlfn.CONCAT(B7542," ",E7542),ForeCalc!$B$36:$Y$36,0))))*VLOOKUP(A7542,Calendar!$A$2:$H$9997,8,FALSE),0)</f>
        <v/>
      </c>
      <c r="G7542" s="29">
        <f>VLOOKUP(A7542,Calendar!$A$1:$H$9997,6,FALSE)-F7542</f>
        <v/>
      </c>
      <c r="H7542" s="19" t="n">
        <v>3</v>
      </c>
      <c r="I7542" s="57" t="n">
        <v>8</v>
      </c>
    </row>
    <row r="7543">
      <c r="A7543" s="62" t="n">
        <v>47078</v>
      </c>
      <c r="B7543" s="3" t="inlineStr">
        <is>
          <t>Week</t>
        </is>
      </c>
      <c r="C7543" s="19" t="n">
        <v>11</v>
      </c>
      <c r="D7543" s="19" t="n">
        <v>2028</v>
      </c>
      <c r="E7543" s="57" t="n">
        <v>7</v>
      </c>
      <c r="F7543" s="29">
        <f>ROUND(((SUMIFS(Calendar!$F$2:$F$9997,Calendar!$B$2:$B$9997,D7543,Calendar!$C$2:$C$9997,C7543)*INDEX(ForeCalc!$B$37:$Y$274,MATCH(_xlfn.CONCAT(H7543," ",I7543),ForeCalc!$A$37:$A$274,0),MATCH(_xlfn.CONCAT(B7543," ",E7543),ForeCalc!$B$36:$Y$36,0))))*VLOOKUP(A7543,Calendar!$A$2:$H$9997,8,FALSE),0)</f>
        <v/>
      </c>
      <c r="G7543" s="29">
        <f>VLOOKUP(A7543,Calendar!$A$1:$H$9997,6,FALSE)-F7543</f>
        <v/>
      </c>
      <c r="H7543" s="19" t="n">
        <v>3</v>
      </c>
      <c r="I7543" s="57" t="n">
        <v>8</v>
      </c>
    </row>
    <row r="7544">
      <c r="A7544" s="62" t="n">
        <v>47079</v>
      </c>
      <c r="B7544" s="3" t="inlineStr">
        <is>
          <t>Week</t>
        </is>
      </c>
      <c r="C7544" s="19" t="n">
        <v>11</v>
      </c>
      <c r="D7544" s="19" t="n">
        <v>2028</v>
      </c>
      <c r="E7544" s="57" t="n">
        <v>7</v>
      </c>
      <c r="F7544" s="29">
        <f>ROUND(((SUMIFS(Calendar!$F$2:$F$9997,Calendar!$B$2:$B$9997,D7544,Calendar!$C$2:$C$9997,C7544)*INDEX(ForeCalc!$B$37:$Y$274,MATCH(_xlfn.CONCAT(H7544," ",I7544),ForeCalc!$A$37:$A$274,0),MATCH(_xlfn.CONCAT(B7544," ",E7544),ForeCalc!$B$36:$Y$36,0))))*VLOOKUP(A7544,Calendar!$A$2:$H$9997,8,FALSE),0)</f>
        <v/>
      </c>
      <c r="G7544" s="29">
        <f>VLOOKUP(A7544,Calendar!$A$1:$H$9997,6,FALSE)-F7544</f>
        <v/>
      </c>
      <c r="H7544" s="19" t="n">
        <v>3</v>
      </c>
      <c r="I7544" s="57" t="n">
        <v>8</v>
      </c>
    </row>
    <row r="7545">
      <c r="A7545" s="62" t="n">
        <v>47080</v>
      </c>
      <c r="B7545" s="3" t="inlineStr">
        <is>
          <t>Week</t>
        </is>
      </c>
      <c r="C7545" s="19" t="n">
        <v>11</v>
      </c>
      <c r="D7545" s="19" t="n">
        <v>2028</v>
      </c>
      <c r="E7545" s="57" t="n">
        <v>7</v>
      </c>
      <c r="F7545" s="29">
        <f>ROUND(((SUMIFS(Calendar!$F$2:$F$9997,Calendar!$B$2:$B$9997,D7545,Calendar!$C$2:$C$9997,C7545)*INDEX(ForeCalc!$B$37:$Y$274,MATCH(_xlfn.CONCAT(H7545," ",I7545),ForeCalc!$A$37:$A$274,0),MATCH(_xlfn.CONCAT(B7545," ",E7545),ForeCalc!$B$36:$Y$36,0))))*VLOOKUP(A7545,Calendar!$A$2:$H$9997,8,FALSE),0)</f>
        <v/>
      </c>
      <c r="G7545" s="29">
        <f>VLOOKUP(A7545,Calendar!$A$1:$H$9997,6,FALSE)-F7545</f>
        <v/>
      </c>
      <c r="H7545" s="19" t="n">
        <v>3</v>
      </c>
      <c r="I7545" s="57" t="n">
        <v>8</v>
      </c>
    </row>
    <row r="7546">
      <c r="A7546" s="62" t="n">
        <v>47081</v>
      </c>
      <c r="B7546" s="3" t="inlineStr">
        <is>
          <t>Week</t>
        </is>
      </c>
      <c r="C7546" s="19" t="n">
        <v>11</v>
      </c>
      <c r="D7546" s="19" t="n">
        <v>2028</v>
      </c>
      <c r="E7546" s="57" t="n">
        <v>7</v>
      </c>
      <c r="F7546" s="29">
        <f>ROUND(((SUMIFS(Calendar!$F$2:$F$9997,Calendar!$B$2:$B$9997,D7546,Calendar!$C$2:$C$9997,C7546)*INDEX(ForeCalc!$B$37:$Y$274,MATCH(_xlfn.CONCAT(H7546," ",I7546),ForeCalc!$A$37:$A$274,0),MATCH(_xlfn.CONCAT(B7546," ",E7546),ForeCalc!$B$36:$Y$36,0))))*VLOOKUP(A7546,Calendar!$A$2:$H$9997,8,FALSE),0)</f>
        <v/>
      </c>
      <c r="G7546" s="29">
        <f>VLOOKUP(A7546,Calendar!$A$1:$H$9997,6,FALSE)-F7546</f>
        <v/>
      </c>
      <c r="H7546" s="19" t="n">
        <v>3</v>
      </c>
      <c r="I7546" s="57" t="n">
        <v>8</v>
      </c>
    </row>
    <row r="7547">
      <c r="A7547" s="62" t="n">
        <v>47082</v>
      </c>
      <c r="B7547" s="3" t="inlineStr">
        <is>
          <t>Sat</t>
        </is>
      </c>
      <c r="C7547" s="19" t="n">
        <v>11</v>
      </c>
      <c r="D7547" s="19" t="n">
        <v>2028</v>
      </c>
      <c r="E7547" s="57" t="n">
        <v>7</v>
      </c>
      <c r="F7547" s="29">
        <f>ROUND(((SUMIFS(Calendar!$F$2:$F$9997,Calendar!$B$2:$B$9997,D7547,Calendar!$C$2:$C$9997,C7547)*INDEX(ForeCalc!$B$37:$Y$274,MATCH(_xlfn.CONCAT(H7547," ",I7547),ForeCalc!$A$37:$A$274,0),MATCH(_xlfn.CONCAT(B7547," ",E7547),ForeCalc!$B$36:$Y$36,0))))*VLOOKUP(A7547,Calendar!$A$2:$H$9997,8,FALSE),0)</f>
        <v/>
      </c>
      <c r="G7547" s="29">
        <f>VLOOKUP(A7547,Calendar!$A$1:$H$9997,6,FALSE)-F7547</f>
        <v/>
      </c>
      <c r="H7547" s="19" t="n">
        <v>3</v>
      </c>
      <c r="I7547" s="57" t="n">
        <v>8</v>
      </c>
    </row>
    <row r="7548">
      <c r="A7548" s="62" t="n">
        <v>47083</v>
      </c>
      <c r="B7548" s="3" t="inlineStr">
        <is>
          <t>Sun</t>
        </is>
      </c>
      <c r="C7548" s="19" t="n">
        <v>11</v>
      </c>
      <c r="D7548" s="19" t="n">
        <v>2028</v>
      </c>
      <c r="E7548" s="57" t="n">
        <v>7</v>
      </c>
      <c r="F7548" s="29">
        <f>ROUND(((SUMIFS(Calendar!$F$2:$F$9997,Calendar!$B$2:$B$9997,D7548,Calendar!$C$2:$C$9997,C7548)*INDEX(ForeCalc!$B$37:$Y$274,MATCH(_xlfn.CONCAT(H7548," ",I7548),ForeCalc!$A$37:$A$274,0),MATCH(_xlfn.CONCAT(B7548," ",E7548),ForeCalc!$B$36:$Y$36,0))))*VLOOKUP(A7548,Calendar!$A$2:$H$9997,8,FALSE),0)</f>
        <v/>
      </c>
      <c r="G7548" s="29">
        <f>VLOOKUP(A7548,Calendar!$A$1:$H$9997,6,FALSE)-F7548</f>
        <v/>
      </c>
      <c r="H7548" s="19" t="n">
        <v>3</v>
      </c>
      <c r="I7548" s="57" t="n">
        <v>8</v>
      </c>
    </row>
    <row r="7549">
      <c r="A7549" s="62" t="n">
        <v>47084</v>
      </c>
      <c r="B7549" s="3" t="inlineStr">
        <is>
          <t>Week</t>
        </is>
      </c>
      <c r="C7549" s="19" t="n">
        <v>11</v>
      </c>
      <c r="D7549" s="19" t="n">
        <v>2028</v>
      </c>
      <c r="E7549" s="57" t="n">
        <v>7</v>
      </c>
      <c r="F7549" s="29">
        <f>ROUND(((SUMIFS(Calendar!$F$2:$F$9997,Calendar!$B$2:$B$9997,D7549,Calendar!$C$2:$C$9997,C7549)*INDEX(ForeCalc!$B$37:$Y$274,MATCH(_xlfn.CONCAT(H7549," ",I7549),ForeCalc!$A$37:$A$274,0),MATCH(_xlfn.CONCAT(B7549," ",E7549),ForeCalc!$B$36:$Y$36,0))))*VLOOKUP(A7549,Calendar!$A$2:$H$9997,8,FALSE),0)</f>
        <v/>
      </c>
      <c r="G7549" s="29">
        <f>VLOOKUP(A7549,Calendar!$A$1:$H$9997,6,FALSE)-F7549</f>
        <v/>
      </c>
      <c r="H7549" s="19" t="n">
        <v>3</v>
      </c>
      <c r="I7549" s="57" t="n">
        <v>8</v>
      </c>
    </row>
    <row r="7550">
      <c r="A7550" s="62" t="n">
        <v>47085</v>
      </c>
      <c r="B7550" s="3" t="inlineStr">
        <is>
          <t>Week</t>
        </is>
      </c>
      <c r="C7550" s="19" t="n">
        <v>11</v>
      </c>
      <c r="D7550" s="19" t="n">
        <v>2028</v>
      </c>
      <c r="E7550" s="57" t="n">
        <v>7</v>
      </c>
      <c r="F7550" s="29">
        <f>ROUND(((SUMIFS(Calendar!$F$2:$F$9997,Calendar!$B$2:$B$9997,D7550,Calendar!$C$2:$C$9997,C7550)*INDEX(ForeCalc!$B$37:$Y$274,MATCH(_xlfn.CONCAT(H7550," ",I7550),ForeCalc!$A$37:$A$274,0),MATCH(_xlfn.CONCAT(B7550," ",E7550),ForeCalc!$B$36:$Y$36,0))))*VLOOKUP(A7550,Calendar!$A$2:$H$9997,8,FALSE),0)</f>
        <v/>
      </c>
      <c r="G7550" s="29">
        <f>VLOOKUP(A7550,Calendar!$A$1:$H$9997,6,FALSE)-F7550</f>
        <v/>
      </c>
      <c r="H7550" s="19" t="n">
        <v>3</v>
      </c>
      <c r="I7550" s="57" t="n">
        <v>8</v>
      </c>
    </row>
    <row r="7551">
      <c r="A7551" s="62" t="n">
        <v>47086</v>
      </c>
      <c r="B7551" s="3" t="inlineStr">
        <is>
          <t>Week</t>
        </is>
      </c>
      <c r="C7551" s="19" t="n">
        <v>11</v>
      </c>
      <c r="D7551" s="19" t="n">
        <v>2028</v>
      </c>
      <c r="E7551" s="57" t="n">
        <v>7</v>
      </c>
      <c r="F7551" s="29">
        <f>ROUND(((SUMIFS(Calendar!$F$2:$F$9997,Calendar!$B$2:$B$9997,D7551,Calendar!$C$2:$C$9997,C7551)*INDEX(ForeCalc!$B$37:$Y$274,MATCH(_xlfn.CONCAT(H7551," ",I7551),ForeCalc!$A$37:$A$274,0),MATCH(_xlfn.CONCAT(B7551," ",E7551),ForeCalc!$B$36:$Y$36,0))))*VLOOKUP(A7551,Calendar!$A$2:$H$9997,8,FALSE),0)</f>
        <v/>
      </c>
      <c r="G7551" s="29">
        <f>VLOOKUP(A7551,Calendar!$A$1:$H$9997,6,FALSE)-F7551</f>
        <v/>
      </c>
      <c r="H7551" s="19" t="n">
        <v>3</v>
      </c>
      <c r="I7551" s="57" t="n">
        <v>8</v>
      </c>
    </row>
    <row r="7552">
      <c r="A7552" s="62" t="n">
        <v>47087</v>
      </c>
      <c r="B7552" s="3" t="inlineStr">
        <is>
          <t>Week</t>
        </is>
      </c>
      <c r="C7552" s="19" t="n">
        <v>11</v>
      </c>
      <c r="D7552" s="19" t="n">
        <v>2028</v>
      </c>
      <c r="E7552" s="57" t="n">
        <v>7</v>
      </c>
      <c r="F7552" s="29">
        <f>ROUND(((SUMIFS(Calendar!$F$2:$F$9997,Calendar!$B$2:$B$9997,D7552,Calendar!$C$2:$C$9997,C7552)*INDEX(ForeCalc!$B$37:$Y$274,MATCH(_xlfn.CONCAT(H7552," ",I7552),ForeCalc!$A$37:$A$274,0),MATCH(_xlfn.CONCAT(B7552," ",E7552),ForeCalc!$B$36:$Y$36,0))))*VLOOKUP(A7552,Calendar!$A$2:$H$9997,8,FALSE),0)</f>
        <v/>
      </c>
      <c r="G7552" s="29">
        <f>VLOOKUP(A7552,Calendar!$A$1:$H$9997,6,FALSE)-F7552</f>
        <v/>
      </c>
      <c r="H7552" s="19" t="n">
        <v>3</v>
      </c>
      <c r="I7552" s="57" t="n">
        <v>8</v>
      </c>
    </row>
    <row r="7553">
      <c r="A7553" s="62" t="n">
        <v>47088</v>
      </c>
      <c r="B7553" s="3" t="inlineStr">
        <is>
          <t>Week</t>
        </is>
      </c>
      <c r="C7553" s="19" t="n">
        <v>12</v>
      </c>
      <c r="D7553" s="19" t="n">
        <v>2028</v>
      </c>
      <c r="E7553" s="57" t="n">
        <v>7</v>
      </c>
      <c r="F7553" s="29">
        <f>ROUND(((SUMIFS(Calendar!$F$2:$F$9997,Calendar!$B$2:$B$9997,D7553,Calendar!$C$2:$C$9997,C7553)*INDEX(ForeCalc!$B$37:$Y$274,MATCH(_xlfn.CONCAT(H7553," ",I7553),ForeCalc!$A$37:$A$274,0),MATCH(_xlfn.CONCAT(B7553," ",E7553),ForeCalc!$B$36:$Y$36,0))))*VLOOKUP(A7553,Calendar!$A$2:$H$9997,8,FALSE),0)</f>
        <v/>
      </c>
      <c r="G7553" s="29">
        <f>VLOOKUP(A7553,Calendar!$A$1:$H$9997,6,FALSE)-F7553</f>
        <v/>
      </c>
      <c r="H7553" s="19" t="n">
        <v>3</v>
      </c>
      <c r="I7553" s="57" t="n">
        <v>9</v>
      </c>
    </row>
    <row r="7554">
      <c r="A7554" s="62" t="n">
        <v>47089</v>
      </c>
      <c r="B7554" s="3" t="inlineStr">
        <is>
          <t>Sat</t>
        </is>
      </c>
      <c r="C7554" s="19" t="n">
        <v>12</v>
      </c>
      <c r="D7554" s="19" t="n">
        <v>2028</v>
      </c>
      <c r="E7554" s="57" t="n">
        <v>7</v>
      </c>
      <c r="F7554" s="29">
        <f>ROUND(((SUMIFS(Calendar!$F$2:$F$9997,Calendar!$B$2:$B$9997,D7554,Calendar!$C$2:$C$9997,C7554)*INDEX(ForeCalc!$B$37:$Y$274,MATCH(_xlfn.CONCAT(H7554," ",I7554),ForeCalc!$A$37:$A$274,0),MATCH(_xlfn.CONCAT(B7554," ",E7554),ForeCalc!$B$36:$Y$36,0))))*VLOOKUP(A7554,Calendar!$A$2:$H$9997,8,FALSE),0)</f>
        <v/>
      </c>
      <c r="G7554" s="29">
        <f>VLOOKUP(A7554,Calendar!$A$1:$H$9997,6,FALSE)-F7554</f>
        <v/>
      </c>
      <c r="H7554" s="19" t="n">
        <v>3</v>
      </c>
      <c r="I7554" s="57" t="n">
        <v>9</v>
      </c>
    </row>
    <row r="7555">
      <c r="A7555" s="62" t="n">
        <v>47090</v>
      </c>
      <c r="B7555" s="3" t="inlineStr">
        <is>
          <t>Sun</t>
        </is>
      </c>
      <c r="C7555" s="19" t="n">
        <v>12</v>
      </c>
      <c r="D7555" s="19" t="n">
        <v>2028</v>
      </c>
      <c r="E7555" s="57" t="n">
        <v>7</v>
      </c>
      <c r="F7555" s="29">
        <f>ROUND(((SUMIFS(Calendar!$F$2:$F$9997,Calendar!$B$2:$B$9997,D7555,Calendar!$C$2:$C$9997,C7555)*INDEX(ForeCalc!$B$37:$Y$274,MATCH(_xlfn.CONCAT(H7555," ",I7555),ForeCalc!$A$37:$A$274,0),MATCH(_xlfn.CONCAT(B7555," ",E7555),ForeCalc!$B$36:$Y$36,0))))*VLOOKUP(A7555,Calendar!$A$2:$H$9997,8,FALSE),0)</f>
        <v/>
      </c>
      <c r="G7555" s="29">
        <f>VLOOKUP(A7555,Calendar!$A$1:$H$9997,6,FALSE)-F7555</f>
        <v/>
      </c>
      <c r="H7555" s="19" t="n">
        <v>3</v>
      </c>
      <c r="I7555" s="57" t="n">
        <v>9</v>
      </c>
    </row>
    <row r="7556">
      <c r="A7556" s="62" t="n">
        <v>47091</v>
      </c>
      <c r="B7556" s="3" t="inlineStr">
        <is>
          <t>Week</t>
        </is>
      </c>
      <c r="C7556" s="19" t="n">
        <v>12</v>
      </c>
      <c r="D7556" s="19" t="n">
        <v>2028</v>
      </c>
      <c r="E7556" s="57" t="n">
        <v>7</v>
      </c>
      <c r="F7556" s="29">
        <f>ROUND(((SUMIFS(Calendar!$F$2:$F$9997,Calendar!$B$2:$B$9997,D7556,Calendar!$C$2:$C$9997,C7556)*INDEX(ForeCalc!$B$37:$Y$274,MATCH(_xlfn.CONCAT(H7556," ",I7556),ForeCalc!$A$37:$A$274,0),MATCH(_xlfn.CONCAT(B7556," ",E7556),ForeCalc!$B$36:$Y$36,0))))*VLOOKUP(A7556,Calendar!$A$2:$H$9997,8,FALSE),0)</f>
        <v/>
      </c>
      <c r="G7556" s="29">
        <f>VLOOKUP(A7556,Calendar!$A$1:$H$9997,6,FALSE)-F7556</f>
        <v/>
      </c>
      <c r="H7556" s="19" t="n">
        <v>3</v>
      </c>
      <c r="I7556" s="57" t="n">
        <v>9</v>
      </c>
    </row>
    <row r="7557">
      <c r="A7557" s="62" t="n">
        <v>47092</v>
      </c>
      <c r="B7557" s="3" t="inlineStr">
        <is>
          <t>Week</t>
        </is>
      </c>
      <c r="C7557" s="19" t="n">
        <v>12</v>
      </c>
      <c r="D7557" s="19" t="n">
        <v>2028</v>
      </c>
      <c r="E7557" s="57" t="n">
        <v>7</v>
      </c>
      <c r="F7557" s="29">
        <f>ROUND(((SUMIFS(Calendar!$F$2:$F$9997,Calendar!$B$2:$B$9997,D7557,Calendar!$C$2:$C$9997,C7557)*INDEX(ForeCalc!$B$37:$Y$274,MATCH(_xlfn.CONCAT(H7557," ",I7557),ForeCalc!$A$37:$A$274,0),MATCH(_xlfn.CONCAT(B7557," ",E7557),ForeCalc!$B$36:$Y$36,0))))*VLOOKUP(A7557,Calendar!$A$2:$H$9997,8,FALSE),0)</f>
        <v/>
      </c>
      <c r="G7557" s="29">
        <f>VLOOKUP(A7557,Calendar!$A$1:$H$9997,6,FALSE)-F7557</f>
        <v/>
      </c>
      <c r="H7557" s="19" t="n">
        <v>3</v>
      </c>
      <c r="I7557" s="57" t="n">
        <v>9</v>
      </c>
    </row>
    <row r="7558">
      <c r="A7558" s="62" t="n">
        <v>47093</v>
      </c>
      <c r="B7558" s="3" t="inlineStr">
        <is>
          <t>Week</t>
        </is>
      </c>
      <c r="C7558" s="19" t="n">
        <v>12</v>
      </c>
      <c r="D7558" s="19" t="n">
        <v>2028</v>
      </c>
      <c r="E7558" s="57" t="n">
        <v>7</v>
      </c>
      <c r="F7558" s="29">
        <f>ROUND(((SUMIFS(Calendar!$F$2:$F$9997,Calendar!$B$2:$B$9997,D7558,Calendar!$C$2:$C$9997,C7558)*INDEX(ForeCalc!$B$37:$Y$274,MATCH(_xlfn.CONCAT(H7558," ",I7558),ForeCalc!$A$37:$A$274,0),MATCH(_xlfn.CONCAT(B7558," ",E7558),ForeCalc!$B$36:$Y$36,0))))*VLOOKUP(A7558,Calendar!$A$2:$H$9997,8,FALSE),0)</f>
        <v/>
      </c>
      <c r="G7558" s="29">
        <f>VLOOKUP(A7558,Calendar!$A$1:$H$9997,6,FALSE)-F7558</f>
        <v/>
      </c>
      <c r="H7558" s="19" t="n">
        <v>3</v>
      </c>
      <c r="I7558" s="57" t="n">
        <v>9</v>
      </c>
    </row>
    <row r="7559">
      <c r="A7559" s="62" t="n">
        <v>47094</v>
      </c>
      <c r="B7559" s="3" t="inlineStr">
        <is>
          <t>Week</t>
        </is>
      </c>
      <c r="C7559" s="19" t="n">
        <v>12</v>
      </c>
      <c r="D7559" s="19" t="n">
        <v>2028</v>
      </c>
      <c r="E7559" s="57" t="n">
        <v>7</v>
      </c>
      <c r="F7559" s="29">
        <f>ROUND(((SUMIFS(Calendar!$F$2:$F$9997,Calendar!$B$2:$B$9997,D7559,Calendar!$C$2:$C$9997,C7559)*INDEX(ForeCalc!$B$37:$Y$274,MATCH(_xlfn.CONCAT(H7559," ",I7559),ForeCalc!$A$37:$A$274,0),MATCH(_xlfn.CONCAT(B7559," ",E7559),ForeCalc!$B$36:$Y$36,0))))*VLOOKUP(A7559,Calendar!$A$2:$H$9997,8,FALSE),0)</f>
        <v/>
      </c>
      <c r="G7559" s="29">
        <f>VLOOKUP(A7559,Calendar!$A$1:$H$9997,6,FALSE)-F7559</f>
        <v/>
      </c>
      <c r="H7559" s="19" t="n">
        <v>3</v>
      </c>
      <c r="I7559" s="57" t="n">
        <v>9</v>
      </c>
    </row>
    <row r="7560">
      <c r="A7560" s="62" t="n">
        <v>47095</v>
      </c>
      <c r="B7560" s="3" t="inlineStr">
        <is>
          <t>Week</t>
        </is>
      </c>
      <c r="C7560" s="19" t="n">
        <v>12</v>
      </c>
      <c r="D7560" s="19" t="n">
        <v>2028</v>
      </c>
      <c r="E7560" s="57" t="n">
        <v>7</v>
      </c>
      <c r="F7560" s="29">
        <f>ROUND(((SUMIFS(Calendar!$F$2:$F$9997,Calendar!$B$2:$B$9997,D7560,Calendar!$C$2:$C$9997,C7560)*INDEX(ForeCalc!$B$37:$Y$274,MATCH(_xlfn.CONCAT(H7560," ",I7560),ForeCalc!$A$37:$A$274,0),MATCH(_xlfn.CONCAT(B7560," ",E7560),ForeCalc!$B$36:$Y$36,0))))*VLOOKUP(A7560,Calendar!$A$2:$H$9997,8,FALSE),0)</f>
        <v/>
      </c>
      <c r="G7560" s="29">
        <f>VLOOKUP(A7560,Calendar!$A$1:$H$9997,6,FALSE)-F7560</f>
        <v/>
      </c>
      <c r="H7560" s="19" t="n">
        <v>3</v>
      </c>
      <c r="I7560" s="57" t="n">
        <v>9</v>
      </c>
    </row>
    <row r="7561">
      <c r="A7561" s="62" t="n">
        <v>47096</v>
      </c>
      <c r="B7561" s="3" t="inlineStr">
        <is>
          <t>Sat</t>
        </is>
      </c>
      <c r="C7561" s="19" t="n">
        <v>12</v>
      </c>
      <c r="D7561" s="19" t="n">
        <v>2028</v>
      </c>
      <c r="E7561" s="57" t="n">
        <v>7</v>
      </c>
      <c r="F7561" s="29">
        <f>ROUND(((SUMIFS(Calendar!$F$2:$F$9997,Calendar!$B$2:$B$9997,D7561,Calendar!$C$2:$C$9997,C7561)*INDEX(ForeCalc!$B$37:$Y$274,MATCH(_xlfn.CONCAT(H7561," ",I7561),ForeCalc!$A$37:$A$274,0),MATCH(_xlfn.CONCAT(B7561," ",E7561),ForeCalc!$B$36:$Y$36,0))))*VLOOKUP(A7561,Calendar!$A$2:$H$9997,8,FALSE),0)</f>
        <v/>
      </c>
      <c r="G7561" s="29">
        <f>VLOOKUP(A7561,Calendar!$A$1:$H$9997,6,FALSE)-F7561</f>
        <v/>
      </c>
      <c r="H7561" s="19" t="n">
        <v>3</v>
      </c>
      <c r="I7561" s="57" t="n">
        <v>9</v>
      </c>
    </row>
    <row r="7562">
      <c r="A7562" s="62" t="n">
        <v>47097</v>
      </c>
      <c r="B7562" s="3" t="inlineStr">
        <is>
          <t>Sun</t>
        </is>
      </c>
      <c r="C7562" s="19" t="n">
        <v>12</v>
      </c>
      <c r="D7562" s="19" t="n">
        <v>2028</v>
      </c>
      <c r="E7562" s="57" t="n">
        <v>7</v>
      </c>
      <c r="F7562" s="29">
        <f>ROUND(((SUMIFS(Calendar!$F$2:$F$9997,Calendar!$B$2:$B$9997,D7562,Calendar!$C$2:$C$9997,C7562)*INDEX(ForeCalc!$B$37:$Y$274,MATCH(_xlfn.CONCAT(H7562," ",I7562),ForeCalc!$A$37:$A$274,0),MATCH(_xlfn.CONCAT(B7562," ",E7562),ForeCalc!$B$36:$Y$36,0))))*VLOOKUP(A7562,Calendar!$A$2:$H$9997,8,FALSE),0)</f>
        <v/>
      </c>
      <c r="G7562" s="29">
        <f>VLOOKUP(A7562,Calendar!$A$1:$H$9997,6,FALSE)-F7562</f>
        <v/>
      </c>
      <c r="H7562" s="19" t="n">
        <v>3</v>
      </c>
      <c r="I7562" s="57" t="n">
        <v>9</v>
      </c>
    </row>
    <row r="7563">
      <c r="A7563" s="62" t="n">
        <v>47098</v>
      </c>
      <c r="B7563" s="3" t="inlineStr">
        <is>
          <t>Week</t>
        </is>
      </c>
      <c r="C7563" s="19" t="n">
        <v>12</v>
      </c>
      <c r="D7563" s="19" t="n">
        <v>2028</v>
      </c>
      <c r="E7563" s="57" t="n">
        <v>7</v>
      </c>
      <c r="F7563" s="29">
        <f>ROUND(((SUMIFS(Calendar!$F$2:$F$9997,Calendar!$B$2:$B$9997,D7563,Calendar!$C$2:$C$9997,C7563)*INDEX(ForeCalc!$B$37:$Y$274,MATCH(_xlfn.CONCAT(H7563," ",I7563),ForeCalc!$A$37:$A$274,0),MATCH(_xlfn.CONCAT(B7563," ",E7563),ForeCalc!$B$36:$Y$36,0))))*VLOOKUP(A7563,Calendar!$A$2:$H$9997,8,FALSE),0)</f>
        <v/>
      </c>
      <c r="G7563" s="29">
        <f>VLOOKUP(A7563,Calendar!$A$1:$H$9997,6,FALSE)-F7563</f>
        <v/>
      </c>
      <c r="H7563" s="19" t="n">
        <v>3</v>
      </c>
      <c r="I7563" s="57" t="n">
        <v>9</v>
      </c>
    </row>
    <row r="7564">
      <c r="A7564" s="62" t="n">
        <v>47099</v>
      </c>
      <c r="B7564" s="3" t="inlineStr">
        <is>
          <t>Week</t>
        </is>
      </c>
      <c r="C7564" s="19" t="n">
        <v>12</v>
      </c>
      <c r="D7564" s="19" t="n">
        <v>2028</v>
      </c>
      <c r="E7564" s="57" t="n">
        <v>7</v>
      </c>
      <c r="F7564" s="29">
        <f>ROUND(((SUMIFS(Calendar!$F$2:$F$9997,Calendar!$B$2:$B$9997,D7564,Calendar!$C$2:$C$9997,C7564)*INDEX(ForeCalc!$B$37:$Y$274,MATCH(_xlfn.CONCAT(H7564," ",I7564),ForeCalc!$A$37:$A$274,0),MATCH(_xlfn.CONCAT(B7564," ",E7564),ForeCalc!$B$36:$Y$36,0))))*VLOOKUP(A7564,Calendar!$A$2:$H$9997,8,FALSE),0)</f>
        <v/>
      </c>
      <c r="G7564" s="29">
        <f>VLOOKUP(A7564,Calendar!$A$1:$H$9997,6,FALSE)-F7564</f>
        <v/>
      </c>
      <c r="H7564" s="19" t="n">
        <v>3</v>
      </c>
      <c r="I7564" s="57" t="n">
        <v>9</v>
      </c>
    </row>
    <row r="7565">
      <c r="A7565" s="62" t="n">
        <v>47100</v>
      </c>
      <c r="B7565" s="3" t="inlineStr">
        <is>
          <t>Week</t>
        </is>
      </c>
      <c r="C7565" s="19" t="n">
        <v>12</v>
      </c>
      <c r="D7565" s="19" t="n">
        <v>2028</v>
      </c>
      <c r="E7565" s="57" t="n">
        <v>7</v>
      </c>
      <c r="F7565" s="29">
        <f>ROUND(((SUMIFS(Calendar!$F$2:$F$9997,Calendar!$B$2:$B$9997,D7565,Calendar!$C$2:$C$9997,C7565)*INDEX(ForeCalc!$B$37:$Y$274,MATCH(_xlfn.CONCAT(H7565," ",I7565),ForeCalc!$A$37:$A$274,0),MATCH(_xlfn.CONCAT(B7565," ",E7565),ForeCalc!$B$36:$Y$36,0))))*VLOOKUP(A7565,Calendar!$A$2:$H$9997,8,FALSE),0)</f>
        <v/>
      </c>
      <c r="G7565" s="29">
        <f>VLOOKUP(A7565,Calendar!$A$1:$H$9997,6,FALSE)-F7565</f>
        <v/>
      </c>
      <c r="H7565" s="19" t="n">
        <v>3</v>
      </c>
      <c r="I7565" s="57" t="n">
        <v>9</v>
      </c>
    </row>
    <row r="7566">
      <c r="A7566" s="62" t="n">
        <v>47101</v>
      </c>
      <c r="B7566" s="3" t="inlineStr">
        <is>
          <t>Week</t>
        </is>
      </c>
      <c r="C7566" s="19" t="n">
        <v>12</v>
      </c>
      <c r="D7566" s="19" t="n">
        <v>2028</v>
      </c>
      <c r="E7566" s="57" t="n">
        <v>7</v>
      </c>
      <c r="F7566" s="29">
        <f>ROUND(((SUMIFS(Calendar!$F$2:$F$9997,Calendar!$B$2:$B$9997,D7566,Calendar!$C$2:$C$9997,C7566)*INDEX(ForeCalc!$B$37:$Y$274,MATCH(_xlfn.CONCAT(H7566," ",I7566),ForeCalc!$A$37:$A$274,0),MATCH(_xlfn.CONCAT(B7566," ",E7566),ForeCalc!$B$36:$Y$36,0))))*VLOOKUP(A7566,Calendar!$A$2:$H$9997,8,FALSE),0)</f>
        <v/>
      </c>
      <c r="G7566" s="29">
        <f>VLOOKUP(A7566,Calendar!$A$1:$H$9997,6,FALSE)-F7566</f>
        <v/>
      </c>
      <c r="H7566" s="19" t="n">
        <v>3</v>
      </c>
      <c r="I7566" s="57" t="n">
        <v>9</v>
      </c>
    </row>
    <row r="7567">
      <c r="A7567" s="62" t="n">
        <v>47102</v>
      </c>
      <c r="B7567" s="3" t="inlineStr">
        <is>
          <t>Week</t>
        </is>
      </c>
      <c r="C7567" s="19" t="n">
        <v>12</v>
      </c>
      <c r="D7567" s="19" t="n">
        <v>2028</v>
      </c>
      <c r="E7567" s="57" t="n">
        <v>7</v>
      </c>
      <c r="F7567" s="29">
        <f>ROUND(((SUMIFS(Calendar!$F$2:$F$9997,Calendar!$B$2:$B$9997,D7567,Calendar!$C$2:$C$9997,C7567)*INDEX(ForeCalc!$B$37:$Y$274,MATCH(_xlfn.CONCAT(H7567," ",I7567),ForeCalc!$A$37:$A$274,0),MATCH(_xlfn.CONCAT(B7567," ",E7567),ForeCalc!$B$36:$Y$36,0))))*VLOOKUP(A7567,Calendar!$A$2:$H$9997,8,FALSE),0)</f>
        <v/>
      </c>
      <c r="G7567" s="29">
        <f>VLOOKUP(A7567,Calendar!$A$1:$H$9997,6,FALSE)-F7567</f>
        <v/>
      </c>
      <c r="H7567" s="19" t="n">
        <v>3</v>
      </c>
      <c r="I7567" s="57" t="n">
        <v>9</v>
      </c>
    </row>
    <row r="7568">
      <c r="A7568" s="62" t="n">
        <v>47103</v>
      </c>
      <c r="B7568" s="3" t="inlineStr">
        <is>
          <t>Sat</t>
        </is>
      </c>
      <c r="C7568" s="19" t="n">
        <v>12</v>
      </c>
      <c r="D7568" s="19" t="n">
        <v>2028</v>
      </c>
      <c r="E7568" s="57" t="n">
        <v>7</v>
      </c>
      <c r="F7568" s="29">
        <f>ROUND(((SUMIFS(Calendar!$F$2:$F$9997,Calendar!$B$2:$B$9997,D7568,Calendar!$C$2:$C$9997,C7568)*INDEX(ForeCalc!$B$37:$Y$274,MATCH(_xlfn.CONCAT(H7568," ",I7568),ForeCalc!$A$37:$A$274,0),MATCH(_xlfn.CONCAT(B7568," ",E7568),ForeCalc!$B$36:$Y$36,0))))*VLOOKUP(A7568,Calendar!$A$2:$H$9997,8,FALSE),0)</f>
        <v/>
      </c>
      <c r="G7568" s="29">
        <f>VLOOKUP(A7568,Calendar!$A$1:$H$9997,6,FALSE)-F7568</f>
        <v/>
      </c>
      <c r="H7568" s="19" t="n">
        <v>3</v>
      </c>
      <c r="I7568" s="57" t="n">
        <v>9</v>
      </c>
    </row>
    <row r="7569">
      <c r="A7569" s="62" t="n">
        <v>47104</v>
      </c>
      <c r="B7569" s="3" t="inlineStr">
        <is>
          <t>Sun</t>
        </is>
      </c>
      <c r="C7569" s="19" t="n">
        <v>12</v>
      </c>
      <c r="D7569" s="19" t="n">
        <v>2028</v>
      </c>
      <c r="E7569" s="57" t="n">
        <v>7</v>
      </c>
      <c r="F7569" s="29">
        <f>ROUND(((SUMIFS(Calendar!$F$2:$F$9997,Calendar!$B$2:$B$9997,D7569,Calendar!$C$2:$C$9997,C7569)*INDEX(ForeCalc!$B$37:$Y$274,MATCH(_xlfn.CONCAT(H7569," ",I7569),ForeCalc!$A$37:$A$274,0),MATCH(_xlfn.CONCAT(B7569," ",E7569),ForeCalc!$B$36:$Y$36,0))))*VLOOKUP(A7569,Calendar!$A$2:$H$9997,8,FALSE),0)</f>
        <v/>
      </c>
      <c r="G7569" s="29">
        <f>VLOOKUP(A7569,Calendar!$A$1:$H$9997,6,FALSE)-F7569</f>
        <v/>
      </c>
      <c r="H7569" s="19" t="n">
        <v>3</v>
      </c>
      <c r="I7569" s="57" t="n">
        <v>9</v>
      </c>
    </row>
    <row r="7570">
      <c r="A7570" s="62" t="n">
        <v>47105</v>
      </c>
      <c r="B7570" s="3" t="inlineStr">
        <is>
          <t>Week</t>
        </is>
      </c>
      <c r="C7570" s="19" t="n">
        <v>12</v>
      </c>
      <c r="D7570" s="19" t="n">
        <v>2028</v>
      </c>
      <c r="E7570" s="57" t="n">
        <v>7</v>
      </c>
      <c r="F7570" s="29">
        <f>ROUND(((SUMIFS(Calendar!$F$2:$F$9997,Calendar!$B$2:$B$9997,D7570,Calendar!$C$2:$C$9997,C7570)*INDEX(ForeCalc!$B$37:$Y$274,MATCH(_xlfn.CONCAT(H7570," ",I7570),ForeCalc!$A$37:$A$274,0),MATCH(_xlfn.CONCAT(B7570," ",E7570),ForeCalc!$B$36:$Y$36,0))))*VLOOKUP(A7570,Calendar!$A$2:$H$9997,8,FALSE),0)</f>
        <v/>
      </c>
      <c r="G7570" s="29">
        <f>VLOOKUP(A7570,Calendar!$A$1:$H$9997,6,FALSE)-F7570</f>
        <v/>
      </c>
      <c r="H7570" s="19" t="n">
        <v>3</v>
      </c>
      <c r="I7570" s="57" t="n">
        <v>9</v>
      </c>
    </row>
    <row r="7571">
      <c r="A7571" s="62" t="n">
        <v>47106</v>
      </c>
      <c r="B7571" s="3" t="inlineStr">
        <is>
          <t>Week</t>
        </is>
      </c>
      <c r="C7571" s="19" t="n">
        <v>12</v>
      </c>
      <c r="D7571" s="19" t="n">
        <v>2028</v>
      </c>
      <c r="E7571" s="57" t="n">
        <v>7</v>
      </c>
      <c r="F7571" s="29">
        <f>ROUND(((SUMIFS(Calendar!$F$2:$F$9997,Calendar!$B$2:$B$9997,D7571,Calendar!$C$2:$C$9997,C7571)*INDEX(ForeCalc!$B$37:$Y$274,MATCH(_xlfn.CONCAT(H7571," ",I7571),ForeCalc!$A$37:$A$274,0),MATCH(_xlfn.CONCAT(B7571," ",E7571),ForeCalc!$B$36:$Y$36,0))))*VLOOKUP(A7571,Calendar!$A$2:$H$9997,8,FALSE),0)</f>
        <v/>
      </c>
      <c r="G7571" s="29">
        <f>VLOOKUP(A7571,Calendar!$A$1:$H$9997,6,FALSE)-F7571</f>
        <v/>
      </c>
      <c r="H7571" s="19" t="n">
        <v>3</v>
      </c>
      <c r="I7571" s="57" t="n">
        <v>9</v>
      </c>
    </row>
    <row r="7572">
      <c r="A7572" s="62" t="n">
        <v>47107</v>
      </c>
      <c r="B7572" s="3" t="inlineStr">
        <is>
          <t>Week</t>
        </is>
      </c>
      <c r="C7572" s="19" t="n">
        <v>12</v>
      </c>
      <c r="D7572" s="19" t="n">
        <v>2028</v>
      </c>
      <c r="E7572" s="57" t="n">
        <v>7</v>
      </c>
      <c r="F7572" s="29">
        <f>ROUND(((SUMIFS(Calendar!$F$2:$F$9997,Calendar!$B$2:$B$9997,D7572,Calendar!$C$2:$C$9997,C7572)*INDEX(ForeCalc!$B$37:$Y$274,MATCH(_xlfn.CONCAT(H7572," ",I7572),ForeCalc!$A$37:$A$274,0),MATCH(_xlfn.CONCAT(B7572," ",E7572),ForeCalc!$B$36:$Y$36,0))))*VLOOKUP(A7572,Calendar!$A$2:$H$9997,8,FALSE),0)</f>
        <v/>
      </c>
      <c r="G7572" s="29">
        <f>VLOOKUP(A7572,Calendar!$A$1:$H$9997,6,FALSE)-F7572</f>
        <v/>
      </c>
      <c r="H7572" s="19" t="n">
        <v>3</v>
      </c>
      <c r="I7572" s="57" t="n">
        <v>9</v>
      </c>
    </row>
    <row r="7573">
      <c r="A7573" s="62" t="n">
        <v>47108</v>
      </c>
      <c r="B7573" s="3" t="inlineStr">
        <is>
          <t>Week</t>
        </is>
      </c>
      <c r="C7573" s="19" t="n">
        <v>12</v>
      </c>
      <c r="D7573" s="19" t="n">
        <v>2028</v>
      </c>
      <c r="E7573" s="57" t="n">
        <v>7</v>
      </c>
      <c r="F7573" s="29">
        <f>ROUND(((SUMIFS(Calendar!$F$2:$F$9997,Calendar!$B$2:$B$9997,D7573,Calendar!$C$2:$C$9997,C7573)*INDEX(ForeCalc!$B$37:$Y$274,MATCH(_xlfn.CONCAT(H7573," ",I7573),ForeCalc!$A$37:$A$274,0),MATCH(_xlfn.CONCAT(B7573," ",E7573),ForeCalc!$B$36:$Y$36,0))))*VLOOKUP(A7573,Calendar!$A$2:$H$9997,8,FALSE),0)</f>
        <v/>
      </c>
      <c r="G7573" s="29">
        <f>VLOOKUP(A7573,Calendar!$A$1:$H$9997,6,FALSE)-F7573</f>
        <v/>
      </c>
      <c r="H7573" s="19" t="n">
        <v>3</v>
      </c>
      <c r="I7573" s="57" t="n">
        <v>9</v>
      </c>
    </row>
    <row r="7574">
      <c r="A7574" s="62" t="n">
        <v>47109</v>
      </c>
      <c r="B7574" s="3" t="inlineStr">
        <is>
          <t>Week</t>
        </is>
      </c>
      <c r="C7574" s="19" t="n">
        <v>12</v>
      </c>
      <c r="D7574" s="19" t="n">
        <v>2028</v>
      </c>
      <c r="E7574" s="57" t="n">
        <v>7</v>
      </c>
      <c r="F7574" s="29">
        <f>ROUND(((SUMIFS(Calendar!$F$2:$F$9997,Calendar!$B$2:$B$9997,D7574,Calendar!$C$2:$C$9997,C7574)*INDEX(ForeCalc!$B$37:$Y$274,MATCH(_xlfn.CONCAT(H7574," ",I7574),ForeCalc!$A$37:$A$274,0),MATCH(_xlfn.CONCAT(B7574," ",E7574),ForeCalc!$B$36:$Y$36,0))))*VLOOKUP(A7574,Calendar!$A$2:$H$9997,8,FALSE),0)</f>
        <v/>
      </c>
      <c r="G7574" s="29">
        <f>VLOOKUP(A7574,Calendar!$A$1:$H$9997,6,FALSE)-F7574</f>
        <v/>
      </c>
      <c r="H7574" s="19" t="n">
        <v>3</v>
      </c>
      <c r="I7574" s="57" t="n">
        <v>9</v>
      </c>
    </row>
    <row r="7575">
      <c r="A7575" s="62" t="n">
        <v>47110</v>
      </c>
      <c r="B7575" s="3" t="inlineStr">
        <is>
          <t>Sat</t>
        </is>
      </c>
      <c r="C7575" s="19" t="n">
        <v>12</v>
      </c>
      <c r="D7575" s="19" t="n">
        <v>2028</v>
      </c>
      <c r="E7575" s="57" t="n">
        <v>7</v>
      </c>
      <c r="F7575" s="29">
        <f>ROUND(((SUMIFS(Calendar!$F$2:$F$9997,Calendar!$B$2:$B$9997,D7575,Calendar!$C$2:$C$9997,C7575)*INDEX(ForeCalc!$B$37:$Y$274,MATCH(_xlfn.CONCAT(H7575," ",I7575),ForeCalc!$A$37:$A$274,0),MATCH(_xlfn.CONCAT(B7575," ",E7575),ForeCalc!$B$36:$Y$36,0))))*VLOOKUP(A7575,Calendar!$A$2:$H$9997,8,FALSE),0)</f>
        <v/>
      </c>
      <c r="G7575" s="29">
        <f>VLOOKUP(A7575,Calendar!$A$1:$H$9997,6,FALSE)-F7575</f>
        <v/>
      </c>
      <c r="H7575" s="19" t="n">
        <v>3</v>
      </c>
      <c r="I7575" s="57" t="n">
        <v>9</v>
      </c>
    </row>
    <row r="7576">
      <c r="A7576" s="62" t="n">
        <v>47111</v>
      </c>
      <c r="B7576" s="3" t="inlineStr">
        <is>
          <t>Sun</t>
        </is>
      </c>
      <c r="C7576" s="19" t="n">
        <v>12</v>
      </c>
      <c r="D7576" s="19" t="n">
        <v>2028</v>
      </c>
      <c r="E7576" s="57" t="n">
        <v>7</v>
      </c>
      <c r="F7576" s="29">
        <f>ROUND(((SUMIFS(Calendar!$F$2:$F$9997,Calendar!$B$2:$B$9997,D7576,Calendar!$C$2:$C$9997,C7576)*INDEX(ForeCalc!$B$37:$Y$274,MATCH(_xlfn.CONCAT(H7576," ",I7576),ForeCalc!$A$37:$A$274,0),MATCH(_xlfn.CONCAT(B7576," ",E7576),ForeCalc!$B$36:$Y$36,0))))*VLOOKUP(A7576,Calendar!$A$2:$H$9997,8,FALSE),0)</f>
        <v/>
      </c>
      <c r="G7576" s="29">
        <f>VLOOKUP(A7576,Calendar!$A$1:$H$9997,6,FALSE)-F7576</f>
        <v/>
      </c>
      <c r="H7576" s="19" t="n">
        <v>3</v>
      </c>
      <c r="I7576" s="57" t="n">
        <v>9</v>
      </c>
    </row>
    <row r="7577">
      <c r="A7577" s="62" t="n">
        <v>47112</v>
      </c>
      <c r="B7577" s="3" t="inlineStr">
        <is>
          <t>Week</t>
        </is>
      </c>
      <c r="C7577" s="19" t="n">
        <v>12</v>
      </c>
      <c r="D7577" s="19" t="n">
        <v>2028</v>
      </c>
      <c r="E7577" s="57" t="n">
        <v>7</v>
      </c>
      <c r="F7577" s="29">
        <f>ROUND(((SUMIFS(Calendar!$F$2:$F$9997,Calendar!$B$2:$B$9997,D7577,Calendar!$C$2:$C$9997,C7577)*INDEX(ForeCalc!$B$37:$Y$274,MATCH(_xlfn.CONCAT(H7577," ",I7577),ForeCalc!$A$37:$A$274,0),MATCH(_xlfn.CONCAT(B7577," ",E7577),ForeCalc!$B$36:$Y$36,0))))*VLOOKUP(A7577,Calendar!$A$2:$H$9997,8,FALSE),0)</f>
        <v/>
      </c>
      <c r="G7577" s="29">
        <f>VLOOKUP(A7577,Calendar!$A$1:$H$9997,6,FALSE)-F7577</f>
        <v/>
      </c>
      <c r="H7577" s="19" t="n">
        <v>3</v>
      </c>
      <c r="I7577" s="57" t="n">
        <v>9</v>
      </c>
    </row>
    <row r="7578">
      <c r="A7578" s="62" t="n">
        <v>47113</v>
      </c>
      <c r="B7578" s="3" t="inlineStr">
        <is>
          <t>Week</t>
        </is>
      </c>
      <c r="C7578" s="19" t="n">
        <v>12</v>
      </c>
      <c r="D7578" s="19" t="n">
        <v>2028</v>
      </c>
      <c r="E7578" s="57" t="n">
        <v>7</v>
      </c>
      <c r="F7578" s="29">
        <f>ROUND(((SUMIFS(Calendar!$F$2:$F$9997,Calendar!$B$2:$B$9997,D7578,Calendar!$C$2:$C$9997,C7578)*INDEX(ForeCalc!$B$37:$Y$274,MATCH(_xlfn.CONCAT(H7578," ",I7578),ForeCalc!$A$37:$A$274,0),MATCH(_xlfn.CONCAT(B7578," ",E7578),ForeCalc!$B$36:$Y$36,0))))*VLOOKUP(A7578,Calendar!$A$2:$H$9997,8,FALSE),0)</f>
        <v/>
      </c>
      <c r="G7578" s="29">
        <f>VLOOKUP(A7578,Calendar!$A$1:$H$9997,6,FALSE)-F7578</f>
        <v/>
      </c>
      <c r="H7578" s="19" t="n">
        <v>3</v>
      </c>
      <c r="I7578" s="57" t="n">
        <v>9</v>
      </c>
    </row>
    <row r="7579">
      <c r="A7579" s="62" t="n">
        <v>47114</v>
      </c>
      <c r="B7579" s="3" t="inlineStr">
        <is>
          <t>Week</t>
        </is>
      </c>
      <c r="C7579" s="19" t="n">
        <v>12</v>
      </c>
      <c r="D7579" s="19" t="n">
        <v>2028</v>
      </c>
      <c r="E7579" s="57" t="n">
        <v>7</v>
      </c>
      <c r="F7579" s="29">
        <f>ROUND(((SUMIFS(Calendar!$F$2:$F$9997,Calendar!$B$2:$B$9997,D7579,Calendar!$C$2:$C$9997,C7579)*INDEX(ForeCalc!$B$37:$Y$274,MATCH(_xlfn.CONCAT(H7579," ",I7579),ForeCalc!$A$37:$A$274,0),MATCH(_xlfn.CONCAT(B7579," ",E7579),ForeCalc!$B$36:$Y$36,0))))*VLOOKUP(A7579,Calendar!$A$2:$H$9997,8,FALSE),0)</f>
        <v/>
      </c>
      <c r="G7579" s="29">
        <f>VLOOKUP(A7579,Calendar!$A$1:$H$9997,6,FALSE)-F7579</f>
        <v/>
      </c>
      <c r="H7579" s="19" t="n">
        <v>3</v>
      </c>
      <c r="I7579" s="57" t="n">
        <v>9</v>
      </c>
    </row>
    <row r="7580">
      <c r="A7580" s="62" t="n">
        <v>47115</v>
      </c>
      <c r="B7580" s="3" t="inlineStr">
        <is>
          <t>Week</t>
        </is>
      </c>
      <c r="C7580" s="19" t="n">
        <v>12</v>
      </c>
      <c r="D7580" s="19" t="n">
        <v>2028</v>
      </c>
      <c r="E7580" s="57" t="n">
        <v>7</v>
      </c>
      <c r="F7580" s="29">
        <f>ROUND(((SUMIFS(Calendar!$F$2:$F$9997,Calendar!$B$2:$B$9997,D7580,Calendar!$C$2:$C$9997,C7580)*INDEX(ForeCalc!$B$37:$Y$274,MATCH(_xlfn.CONCAT(H7580," ",I7580),ForeCalc!$A$37:$A$274,0),MATCH(_xlfn.CONCAT(B7580," ",E7580),ForeCalc!$B$36:$Y$36,0))))*VLOOKUP(A7580,Calendar!$A$2:$H$9997,8,FALSE),0)</f>
        <v/>
      </c>
      <c r="G7580" s="29">
        <f>VLOOKUP(A7580,Calendar!$A$1:$H$9997,6,FALSE)-F7580</f>
        <v/>
      </c>
      <c r="H7580" s="19" t="n">
        <v>3</v>
      </c>
      <c r="I7580" s="57" t="n">
        <v>9</v>
      </c>
    </row>
    <row r="7581">
      <c r="A7581" s="62" t="n">
        <v>47116</v>
      </c>
      <c r="B7581" s="3" t="inlineStr">
        <is>
          <t>Week</t>
        </is>
      </c>
      <c r="C7581" s="19" t="n">
        <v>12</v>
      </c>
      <c r="D7581" s="19" t="n">
        <v>2028</v>
      </c>
      <c r="E7581" s="57" t="n">
        <v>7</v>
      </c>
      <c r="F7581" s="29">
        <f>ROUND(((SUMIFS(Calendar!$F$2:$F$9997,Calendar!$B$2:$B$9997,D7581,Calendar!$C$2:$C$9997,C7581)*INDEX(ForeCalc!$B$37:$Y$274,MATCH(_xlfn.CONCAT(H7581," ",I7581),ForeCalc!$A$37:$A$274,0),MATCH(_xlfn.CONCAT(B7581," ",E7581),ForeCalc!$B$36:$Y$36,0))))*VLOOKUP(A7581,Calendar!$A$2:$H$9997,8,FALSE),0)</f>
        <v/>
      </c>
      <c r="G7581" s="29">
        <f>VLOOKUP(A7581,Calendar!$A$1:$H$9997,6,FALSE)-F7581</f>
        <v/>
      </c>
      <c r="H7581" s="19" t="n">
        <v>3</v>
      </c>
      <c r="I7581" s="57" t="n">
        <v>9</v>
      </c>
    </row>
    <row r="7582">
      <c r="A7582" s="62" t="n">
        <v>47117</v>
      </c>
      <c r="B7582" s="3" t="inlineStr">
        <is>
          <t>Sat</t>
        </is>
      </c>
      <c r="C7582" s="19" t="n">
        <v>12</v>
      </c>
      <c r="D7582" s="19" t="n">
        <v>2028</v>
      </c>
      <c r="E7582" s="57" t="n">
        <v>7</v>
      </c>
      <c r="F7582" s="29">
        <f>ROUND(((SUMIFS(Calendar!$F$2:$F$9997,Calendar!$B$2:$B$9997,D7582,Calendar!$C$2:$C$9997,C7582)*INDEX(ForeCalc!$B$37:$Y$274,MATCH(_xlfn.CONCAT(H7582," ",I7582),ForeCalc!$A$37:$A$274,0),MATCH(_xlfn.CONCAT(B7582," ",E7582),ForeCalc!$B$36:$Y$36,0))))*VLOOKUP(A7582,Calendar!$A$2:$H$9997,8,FALSE),0)</f>
        <v/>
      </c>
      <c r="G7582" s="29">
        <f>VLOOKUP(A7582,Calendar!$A$1:$H$9997,6,FALSE)-F7582</f>
        <v/>
      </c>
      <c r="H7582" s="19" t="n">
        <v>3</v>
      </c>
      <c r="I7582" s="57" t="n">
        <v>9</v>
      </c>
    </row>
    <row r="7583">
      <c r="A7583" s="62" t="n">
        <v>47118</v>
      </c>
      <c r="B7583" s="3" t="inlineStr">
        <is>
          <t>Sun</t>
        </is>
      </c>
      <c r="C7583" s="19" t="n">
        <v>12</v>
      </c>
      <c r="D7583" s="19" t="n">
        <v>2028</v>
      </c>
      <c r="E7583" s="57" t="n">
        <v>7</v>
      </c>
      <c r="F7583" s="29">
        <f>ROUND(((SUMIFS(Calendar!$F$2:$F$9997,Calendar!$B$2:$B$9997,D7583,Calendar!$C$2:$C$9997,C7583)*INDEX(ForeCalc!$B$37:$Y$274,MATCH(_xlfn.CONCAT(H7583," ",I7583),ForeCalc!$A$37:$A$274,0),MATCH(_xlfn.CONCAT(B7583," ",E7583),ForeCalc!$B$36:$Y$36,0))))*VLOOKUP(A7583,Calendar!$A$2:$H$9997,8,FALSE),0)</f>
        <v/>
      </c>
      <c r="G7583" s="29">
        <f>VLOOKUP(A7583,Calendar!$A$1:$H$9997,6,FALSE)-F7583</f>
        <v/>
      </c>
      <c r="H7583" s="19" t="n">
        <v>3</v>
      </c>
      <c r="I7583" s="57" t="n">
        <v>9</v>
      </c>
    </row>
    <row r="7584">
      <c r="A7584" s="62" t="n">
        <v>47119</v>
      </c>
      <c r="B7584" s="3" t="inlineStr">
        <is>
          <t>Week</t>
        </is>
      </c>
      <c r="C7584" s="19" t="n">
        <v>1</v>
      </c>
      <c r="D7584" s="19" t="n">
        <v>2029</v>
      </c>
      <c r="E7584" s="57" t="n">
        <v>7</v>
      </c>
      <c r="F7584" s="29">
        <f>ROUND(((SUMIFS(Calendar!$F$2:$F$9997,Calendar!$B$2:$B$9997,D7584,Calendar!$C$2:$C$9997,C7584)*INDEX(ForeCalc!$B$37:$Y$274,MATCH(_xlfn.CONCAT(H7584," ",I7584),ForeCalc!$A$37:$A$274,0),MATCH(_xlfn.CONCAT(B7584," ",E7584),ForeCalc!$B$36:$Y$36,0))))*VLOOKUP(A7584,Calendar!$A$2:$H$9997,8,FALSE),0)</f>
        <v/>
      </c>
      <c r="G7584" s="29">
        <f>VLOOKUP(A7584,Calendar!$A$1:$H$9997,6,FALSE)-F7584</f>
        <v/>
      </c>
      <c r="H7584" s="19" t="n">
        <v>3</v>
      </c>
      <c r="I7584" s="57" t="n">
        <v>10</v>
      </c>
    </row>
    <row r="7585">
      <c r="A7585" s="62" t="n">
        <v>47120</v>
      </c>
      <c r="B7585" s="3" t="inlineStr">
        <is>
          <t>Week</t>
        </is>
      </c>
      <c r="C7585" s="19" t="n">
        <v>1</v>
      </c>
      <c r="D7585" s="19" t="n">
        <v>2029</v>
      </c>
      <c r="E7585" s="57" t="n">
        <v>7</v>
      </c>
      <c r="F7585" s="29">
        <f>ROUND(((SUMIFS(Calendar!$F$2:$F$9997,Calendar!$B$2:$B$9997,D7585,Calendar!$C$2:$C$9997,C7585)*INDEX(ForeCalc!$B$37:$Y$274,MATCH(_xlfn.CONCAT(H7585," ",I7585),ForeCalc!$A$37:$A$274,0),MATCH(_xlfn.CONCAT(B7585," ",E7585),ForeCalc!$B$36:$Y$36,0))))*VLOOKUP(A7585,Calendar!$A$2:$H$9997,8,FALSE),0)</f>
        <v/>
      </c>
      <c r="G7585" s="29">
        <f>VLOOKUP(A7585,Calendar!$A$1:$H$9997,6,FALSE)-F7585</f>
        <v/>
      </c>
      <c r="H7585" s="19" t="n">
        <v>3</v>
      </c>
      <c r="I7585" s="57" t="n">
        <v>10</v>
      </c>
    </row>
    <row r="7586">
      <c r="A7586" s="62" t="n">
        <v>47121</v>
      </c>
      <c r="B7586" s="3" t="inlineStr">
        <is>
          <t>Week</t>
        </is>
      </c>
      <c r="C7586" s="19" t="n">
        <v>1</v>
      </c>
      <c r="D7586" s="19" t="n">
        <v>2029</v>
      </c>
      <c r="E7586" s="57" t="n">
        <v>7</v>
      </c>
      <c r="F7586" s="29">
        <f>ROUND(((SUMIFS(Calendar!$F$2:$F$9997,Calendar!$B$2:$B$9997,D7586,Calendar!$C$2:$C$9997,C7586)*INDEX(ForeCalc!$B$37:$Y$274,MATCH(_xlfn.CONCAT(H7586," ",I7586),ForeCalc!$A$37:$A$274,0),MATCH(_xlfn.CONCAT(B7586," ",E7586),ForeCalc!$B$36:$Y$36,0))))*VLOOKUP(A7586,Calendar!$A$2:$H$9997,8,FALSE),0)</f>
        <v/>
      </c>
      <c r="G7586" s="29">
        <f>VLOOKUP(A7586,Calendar!$A$1:$H$9997,6,FALSE)-F7586</f>
        <v/>
      </c>
      <c r="H7586" s="19" t="n">
        <v>3</v>
      </c>
      <c r="I7586" s="57" t="n">
        <v>10</v>
      </c>
    </row>
    <row r="7587">
      <c r="A7587" s="62" t="n">
        <v>47122</v>
      </c>
      <c r="B7587" s="3" t="inlineStr">
        <is>
          <t>Week</t>
        </is>
      </c>
      <c r="C7587" s="19" t="n">
        <v>1</v>
      </c>
      <c r="D7587" s="19" t="n">
        <v>2029</v>
      </c>
      <c r="E7587" s="57" t="n">
        <v>7</v>
      </c>
      <c r="F7587" s="29">
        <f>ROUND(((SUMIFS(Calendar!$F$2:$F$9997,Calendar!$B$2:$B$9997,D7587,Calendar!$C$2:$C$9997,C7587)*INDEX(ForeCalc!$B$37:$Y$274,MATCH(_xlfn.CONCAT(H7587," ",I7587),ForeCalc!$A$37:$A$274,0),MATCH(_xlfn.CONCAT(B7587," ",E7587),ForeCalc!$B$36:$Y$36,0))))*VLOOKUP(A7587,Calendar!$A$2:$H$9997,8,FALSE),0)</f>
        <v/>
      </c>
      <c r="G7587" s="29">
        <f>VLOOKUP(A7587,Calendar!$A$1:$H$9997,6,FALSE)-F7587</f>
        <v/>
      </c>
      <c r="H7587" s="19" t="n">
        <v>3</v>
      </c>
      <c r="I7587" s="57" t="n">
        <v>10</v>
      </c>
    </row>
    <row r="7588">
      <c r="A7588" s="62" t="n">
        <v>47123</v>
      </c>
      <c r="B7588" s="3" t="inlineStr">
        <is>
          <t>Week</t>
        </is>
      </c>
      <c r="C7588" s="19" t="n">
        <v>1</v>
      </c>
      <c r="D7588" s="19" t="n">
        <v>2029</v>
      </c>
      <c r="E7588" s="57" t="n">
        <v>7</v>
      </c>
      <c r="F7588" s="29">
        <f>ROUND(((SUMIFS(Calendar!$F$2:$F$9997,Calendar!$B$2:$B$9997,D7588,Calendar!$C$2:$C$9997,C7588)*INDEX(ForeCalc!$B$37:$Y$274,MATCH(_xlfn.CONCAT(H7588," ",I7588),ForeCalc!$A$37:$A$274,0),MATCH(_xlfn.CONCAT(B7588," ",E7588),ForeCalc!$B$36:$Y$36,0))))*VLOOKUP(A7588,Calendar!$A$2:$H$9997,8,FALSE),0)</f>
        <v/>
      </c>
      <c r="G7588" s="29">
        <f>VLOOKUP(A7588,Calendar!$A$1:$H$9997,6,FALSE)-F7588</f>
        <v/>
      </c>
      <c r="H7588" s="19" t="n">
        <v>3</v>
      </c>
      <c r="I7588" s="57" t="n">
        <v>10</v>
      </c>
    </row>
    <row r="7589">
      <c r="A7589" s="62" t="n">
        <v>47124</v>
      </c>
      <c r="B7589" s="3" t="inlineStr">
        <is>
          <t>Sat</t>
        </is>
      </c>
      <c r="C7589" s="19" t="n">
        <v>1</v>
      </c>
      <c r="D7589" s="19" t="n">
        <v>2029</v>
      </c>
      <c r="E7589" s="57" t="n">
        <v>7</v>
      </c>
      <c r="F7589" s="29">
        <f>ROUND(((SUMIFS(Calendar!$F$2:$F$9997,Calendar!$B$2:$B$9997,D7589,Calendar!$C$2:$C$9997,C7589)*INDEX(ForeCalc!$B$37:$Y$274,MATCH(_xlfn.CONCAT(H7589," ",I7589),ForeCalc!$A$37:$A$274,0),MATCH(_xlfn.CONCAT(B7589," ",E7589),ForeCalc!$B$36:$Y$36,0))))*VLOOKUP(A7589,Calendar!$A$2:$H$9997,8,FALSE),0)</f>
        <v/>
      </c>
      <c r="G7589" s="29">
        <f>VLOOKUP(A7589,Calendar!$A$1:$H$9997,6,FALSE)-F7589</f>
        <v/>
      </c>
      <c r="H7589" s="19" t="n">
        <v>3</v>
      </c>
      <c r="I7589" s="57" t="n">
        <v>10</v>
      </c>
    </row>
    <row r="7590">
      <c r="A7590" s="62" t="n">
        <v>47125</v>
      </c>
      <c r="B7590" s="3" t="inlineStr">
        <is>
          <t>Sun</t>
        </is>
      </c>
      <c r="C7590" s="19" t="n">
        <v>1</v>
      </c>
      <c r="D7590" s="19" t="n">
        <v>2029</v>
      </c>
      <c r="E7590" s="57" t="n">
        <v>7</v>
      </c>
      <c r="F7590" s="29">
        <f>ROUND(((SUMIFS(Calendar!$F$2:$F$9997,Calendar!$B$2:$B$9997,D7590,Calendar!$C$2:$C$9997,C7590)*INDEX(ForeCalc!$B$37:$Y$274,MATCH(_xlfn.CONCAT(H7590," ",I7590),ForeCalc!$A$37:$A$274,0),MATCH(_xlfn.CONCAT(B7590," ",E7590),ForeCalc!$B$36:$Y$36,0))))*VLOOKUP(A7590,Calendar!$A$2:$H$9997,8,FALSE),0)</f>
        <v/>
      </c>
      <c r="G7590" s="29">
        <f>VLOOKUP(A7590,Calendar!$A$1:$H$9997,6,FALSE)-F7590</f>
        <v/>
      </c>
      <c r="H7590" s="19" t="n">
        <v>3</v>
      </c>
      <c r="I7590" s="57" t="n">
        <v>10</v>
      </c>
    </row>
    <row r="7591">
      <c r="A7591" s="62" t="n">
        <v>47126</v>
      </c>
      <c r="B7591" s="3" t="inlineStr">
        <is>
          <t>Week</t>
        </is>
      </c>
      <c r="C7591" s="19" t="n">
        <v>1</v>
      </c>
      <c r="D7591" s="19" t="n">
        <v>2029</v>
      </c>
      <c r="E7591" s="57" t="n">
        <v>7</v>
      </c>
      <c r="F7591" s="29">
        <f>ROUND(((SUMIFS(Calendar!$F$2:$F$9997,Calendar!$B$2:$B$9997,D7591,Calendar!$C$2:$C$9997,C7591)*INDEX(ForeCalc!$B$37:$Y$274,MATCH(_xlfn.CONCAT(H7591," ",I7591),ForeCalc!$A$37:$A$274,0),MATCH(_xlfn.CONCAT(B7591," ",E7591),ForeCalc!$B$36:$Y$36,0))))*VLOOKUP(A7591,Calendar!$A$2:$H$9997,8,FALSE),0)</f>
        <v/>
      </c>
      <c r="G7591" s="29">
        <f>VLOOKUP(A7591,Calendar!$A$1:$H$9997,6,FALSE)-F7591</f>
        <v/>
      </c>
      <c r="H7591" s="19" t="n">
        <v>3</v>
      </c>
      <c r="I7591" s="57" t="n">
        <v>10</v>
      </c>
    </row>
    <row r="7592">
      <c r="A7592" s="62" t="n">
        <v>47127</v>
      </c>
      <c r="B7592" s="3" t="inlineStr">
        <is>
          <t>Week</t>
        </is>
      </c>
      <c r="C7592" s="19" t="n">
        <v>1</v>
      </c>
      <c r="D7592" s="19" t="n">
        <v>2029</v>
      </c>
      <c r="E7592" s="57" t="n">
        <v>7</v>
      </c>
      <c r="F7592" s="29">
        <f>ROUND(((SUMIFS(Calendar!$F$2:$F$9997,Calendar!$B$2:$B$9997,D7592,Calendar!$C$2:$C$9997,C7592)*INDEX(ForeCalc!$B$37:$Y$274,MATCH(_xlfn.CONCAT(H7592," ",I7592),ForeCalc!$A$37:$A$274,0),MATCH(_xlfn.CONCAT(B7592," ",E7592),ForeCalc!$B$36:$Y$36,0))))*VLOOKUP(A7592,Calendar!$A$2:$H$9997,8,FALSE),0)</f>
        <v/>
      </c>
      <c r="G7592" s="29">
        <f>VLOOKUP(A7592,Calendar!$A$1:$H$9997,6,FALSE)-F7592</f>
        <v/>
      </c>
      <c r="H7592" s="19" t="n">
        <v>3</v>
      </c>
      <c r="I7592" s="57" t="n">
        <v>10</v>
      </c>
    </row>
    <row r="7593">
      <c r="A7593" s="62" t="n">
        <v>47128</v>
      </c>
      <c r="B7593" s="3" t="inlineStr">
        <is>
          <t>Week</t>
        </is>
      </c>
      <c r="C7593" s="19" t="n">
        <v>1</v>
      </c>
      <c r="D7593" s="19" t="n">
        <v>2029</v>
      </c>
      <c r="E7593" s="57" t="n">
        <v>7</v>
      </c>
      <c r="F7593" s="29">
        <f>ROUND(((SUMIFS(Calendar!$F$2:$F$9997,Calendar!$B$2:$B$9997,D7593,Calendar!$C$2:$C$9997,C7593)*INDEX(ForeCalc!$B$37:$Y$274,MATCH(_xlfn.CONCAT(H7593," ",I7593),ForeCalc!$A$37:$A$274,0),MATCH(_xlfn.CONCAT(B7593," ",E7593),ForeCalc!$B$36:$Y$36,0))))*VLOOKUP(A7593,Calendar!$A$2:$H$9997,8,FALSE),0)</f>
        <v/>
      </c>
      <c r="G7593" s="29">
        <f>VLOOKUP(A7593,Calendar!$A$1:$H$9997,6,FALSE)-F7593</f>
        <v/>
      </c>
      <c r="H7593" s="19" t="n">
        <v>3</v>
      </c>
      <c r="I7593" s="57" t="n">
        <v>10</v>
      </c>
    </row>
    <row r="7594">
      <c r="A7594" s="62" t="n">
        <v>47129</v>
      </c>
      <c r="B7594" s="3" t="inlineStr">
        <is>
          <t>Week</t>
        </is>
      </c>
      <c r="C7594" s="19" t="n">
        <v>1</v>
      </c>
      <c r="D7594" s="19" t="n">
        <v>2029</v>
      </c>
      <c r="E7594" s="57" t="n">
        <v>7</v>
      </c>
      <c r="F7594" s="29">
        <f>ROUND(((SUMIFS(Calendar!$F$2:$F$9997,Calendar!$B$2:$B$9997,D7594,Calendar!$C$2:$C$9997,C7594)*INDEX(ForeCalc!$B$37:$Y$274,MATCH(_xlfn.CONCAT(H7594," ",I7594),ForeCalc!$A$37:$A$274,0),MATCH(_xlfn.CONCAT(B7594," ",E7594),ForeCalc!$B$36:$Y$36,0))))*VLOOKUP(A7594,Calendar!$A$2:$H$9997,8,FALSE),0)</f>
        <v/>
      </c>
      <c r="G7594" s="29">
        <f>VLOOKUP(A7594,Calendar!$A$1:$H$9997,6,FALSE)-F7594</f>
        <v/>
      </c>
      <c r="H7594" s="19" t="n">
        <v>3</v>
      </c>
      <c r="I7594" s="57" t="n">
        <v>10</v>
      </c>
    </row>
    <row r="7595">
      <c r="A7595" s="62" t="n">
        <v>47130</v>
      </c>
      <c r="B7595" s="3" t="inlineStr">
        <is>
          <t>Week</t>
        </is>
      </c>
      <c r="C7595" s="19" t="n">
        <v>1</v>
      </c>
      <c r="D7595" s="19" t="n">
        <v>2029</v>
      </c>
      <c r="E7595" s="57" t="n">
        <v>7</v>
      </c>
      <c r="F7595" s="29">
        <f>ROUND(((SUMIFS(Calendar!$F$2:$F$9997,Calendar!$B$2:$B$9997,D7595,Calendar!$C$2:$C$9997,C7595)*INDEX(ForeCalc!$B$37:$Y$274,MATCH(_xlfn.CONCAT(H7595," ",I7595),ForeCalc!$A$37:$A$274,0),MATCH(_xlfn.CONCAT(B7595," ",E7595),ForeCalc!$B$36:$Y$36,0))))*VLOOKUP(A7595,Calendar!$A$2:$H$9997,8,FALSE),0)</f>
        <v/>
      </c>
      <c r="G7595" s="29">
        <f>VLOOKUP(A7595,Calendar!$A$1:$H$9997,6,FALSE)-F7595</f>
        <v/>
      </c>
      <c r="H7595" s="19" t="n">
        <v>3</v>
      </c>
      <c r="I7595" s="57" t="n">
        <v>10</v>
      </c>
    </row>
    <row r="7596">
      <c r="A7596" s="62" t="n">
        <v>47131</v>
      </c>
      <c r="B7596" s="3" t="inlineStr">
        <is>
          <t>Sat</t>
        </is>
      </c>
      <c r="C7596" s="19" t="n">
        <v>1</v>
      </c>
      <c r="D7596" s="19" t="n">
        <v>2029</v>
      </c>
      <c r="E7596" s="57" t="n">
        <v>7</v>
      </c>
      <c r="F7596" s="29">
        <f>ROUND(((SUMIFS(Calendar!$F$2:$F$9997,Calendar!$B$2:$B$9997,D7596,Calendar!$C$2:$C$9997,C7596)*INDEX(ForeCalc!$B$37:$Y$274,MATCH(_xlfn.CONCAT(H7596," ",I7596),ForeCalc!$A$37:$A$274,0),MATCH(_xlfn.CONCAT(B7596," ",E7596),ForeCalc!$B$36:$Y$36,0))))*VLOOKUP(A7596,Calendar!$A$2:$H$9997,8,FALSE),0)</f>
        <v/>
      </c>
      <c r="G7596" s="29">
        <f>VLOOKUP(A7596,Calendar!$A$1:$H$9997,6,FALSE)-F7596</f>
        <v/>
      </c>
      <c r="H7596" s="19" t="n">
        <v>3</v>
      </c>
      <c r="I7596" s="57" t="n">
        <v>10</v>
      </c>
    </row>
    <row r="7597">
      <c r="A7597" s="62" t="n">
        <v>47132</v>
      </c>
      <c r="B7597" s="3" t="inlineStr">
        <is>
          <t>Sun</t>
        </is>
      </c>
      <c r="C7597" s="19" t="n">
        <v>1</v>
      </c>
      <c r="D7597" s="19" t="n">
        <v>2029</v>
      </c>
      <c r="E7597" s="57" t="n">
        <v>7</v>
      </c>
      <c r="F7597" s="29">
        <f>ROUND(((SUMIFS(Calendar!$F$2:$F$9997,Calendar!$B$2:$B$9997,D7597,Calendar!$C$2:$C$9997,C7597)*INDEX(ForeCalc!$B$37:$Y$274,MATCH(_xlfn.CONCAT(H7597," ",I7597),ForeCalc!$A$37:$A$274,0),MATCH(_xlfn.CONCAT(B7597," ",E7597),ForeCalc!$B$36:$Y$36,0))))*VLOOKUP(A7597,Calendar!$A$2:$H$9997,8,FALSE),0)</f>
        <v/>
      </c>
      <c r="G7597" s="29">
        <f>VLOOKUP(A7597,Calendar!$A$1:$H$9997,6,FALSE)-F7597</f>
        <v/>
      </c>
      <c r="H7597" s="19" t="n">
        <v>3</v>
      </c>
      <c r="I7597" s="57" t="n">
        <v>10</v>
      </c>
    </row>
    <row r="7598">
      <c r="A7598" s="62" t="n">
        <v>47133</v>
      </c>
      <c r="B7598" s="3" t="inlineStr">
        <is>
          <t>Week</t>
        </is>
      </c>
      <c r="C7598" s="19" t="n">
        <v>1</v>
      </c>
      <c r="D7598" s="19" t="n">
        <v>2029</v>
      </c>
      <c r="E7598" s="57" t="n">
        <v>7</v>
      </c>
      <c r="F7598" s="29">
        <f>ROUND(((SUMIFS(Calendar!$F$2:$F$9997,Calendar!$B$2:$B$9997,D7598,Calendar!$C$2:$C$9997,C7598)*INDEX(ForeCalc!$B$37:$Y$274,MATCH(_xlfn.CONCAT(H7598," ",I7598),ForeCalc!$A$37:$A$274,0),MATCH(_xlfn.CONCAT(B7598," ",E7598),ForeCalc!$B$36:$Y$36,0))))*VLOOKUP(A7598,Calendar!$A$2:$H$9997,8,FALSE),0)</f>
        <v/>
      </c>
      <c r="G7598" s="29">
        <f>VLOOKUP(A7598,Calendar!$A$1:$H$9997,6,FALSE)-F7598</f>
        <v/>
      </c>
      <c r="H7598" s="19" t="n">
        <v>3</v>
      </c>
      <c r="I7598" s="57" t="n">
        <v>10</v>
      </c>
    </row>
    <row r="7599">
      <c r="A7599" s="62" t="n">
        <v>47134</v>
      </c>
      <c r="B7599" s="3" t="inlineStr">
        <is>
          <t>Week</t>
        </is>
      </c>
      <c r="C7599" s="19" t="n">
        <v>1</v>
      </c>
      <c r="D7599" s="19" t="n">
        <v>2029</v>
      </c>
      <c r="E7599" s="57" t="n">
        <v>7</v>
      </c>
      <c r="F7599" s="29">
        <f>ROUND(((SUMIFS(Calendar!$F$2:$F$9997,Calendar!$B$2:$B$9997,D7599,Calendar!$C$2:$C$9997,C7599)*INDEX(ForeCalc!$B$37:$Y$274,MATCH(_xlfn.CONCAT(H7599," ",I7599),ForeCalc!$A$37:$A$274,0),MATCH(_xlfn.CONCAT(B7599," ",E7599),ForeCalc!$B$36:$Y$36,0))))*VLOOKUP(A7599,Calendar!$A$2:$H$9997,8,FALSE),0)</f>
        <v/>
      </c>
      <c r="G7599" s="29">
        <f>VLOOKUP(A7599,Calendar!$A$1:$H$9997,6,FALSE)-F7599</f>
        <v/>
      </c>
      <c r="H7599" s="19" t="n">
        <v>3</v>
      </c>
      <c r="I7599" s="57" t="n">
        <v>10</v>
      </c>
    </row>
    <row r="7600">
      <c r="A7600" s="62" t="n">
        <v>47135</v>
      </c>
      <c r="B7600" s="3" t="inlineStr">
        <is>
          <t>Week</t>
        </is>
      </c>
      <c r="C7600" s="19" t="n">
        <v>1</v>
      </c>
      <c r="D7600" s="19" t="n">
        <v>2029</v>
      </c>
      <c r="E7600" s="57" t="n">
        <v>7</v>
      </c>
      <c r="F7600" s="29">
        <f>ROUND(((SUMIFS(Calendar!$F$2:$F$9997,Calendar!$B$2:$B$9997,D7600,Calendar!$C$2:$C$9997,C7600)*INDEX(ForeCalc!$B$37:$Y$274,MATCH(_xlfn.CONCAT(H7600," ",I7600),ForeCalc!$A$37:$A$274,0),MATCH(_xlfn.CONCAT(B7600," ",E7600),ForeCalc!$B$36:$Y$36,0))))*VLOOKUP(A7600,Calendar!$A$2:$H$9997,8,FALSE),0)</f>
        <v/>
      </c>
      <c r="G7600" s="29">
        <f>VLOOKUP(A7600,Calendar!$A$1:$H$9997,6,FALSE)-F7600</f>
        <v/>
      </c>
      <c r="H7600" s="19" t="n">
        <v>3</v>
      </c>
      <c r="I7600" s="57" t="n">
        <v>10</v>
      </c>
    </row>
    <row r="7601">
      <c r="A7601" s="62" t="n">
        <v>47136</v>
      </c>
      <c r="B7601" s="3" t="inlineStr">
        <is>
          <t>Week</t>
        </is>
      </c>
      <c r="C7601" s="19" t="n">
        <v>1</v>
      </c>
      <c r="D7601" s="19" t="n">
        <v>2029</v>
      </c>
      <c r="E7601" s="57" t="n">
        <v>7</v>
      </c>
      <c r="F7601" s="29">
        <f>ROUND(((SUMIFS(Calendar!$F$2:$F$9997,Calendar!$B$2:$B$9997,D7601,Calendar!$C$2:$C$9997,C7601)*INDEX(ForeCalc!$B$37:$Y$274,MATCH(_xlfn.CONCAT(H7601," ",I7601),ForeCalc!$A$37:$A$274,0),MATCH(_xlfn.CONCAT(B7601," ",E7601),ForeCalc!$B$36:$Y$36,0))))*VLOOKUP(A7601,Calendar!$A$2:$H$9997,8,FALSE),0)</f>
        <v/>
      </c>
      <c r="G7601" s="29">
        <f>VLOOKUP(A7601,Calendar!$A$1:$H$9997,6,FALSE)-F7601</f>
        <v/>
      </c>
      <c r="H7601" s="19" t="n">
        <v>3</v>
      </c>
      <c r="I7601" s="57" t="n">
        <v>10</v>
      </c>
    </row>
    <row r="7602">
      <c r="A7602" s="62" t="n">
        <v>47137</v>
      </c>
      <c r="B7602" s="3" t="inlineStr">
        <is>
          <t>Week</t>
        </is>
      </c>
      <c r="C7602" s="19" t="n">
        <v>1</v>
      </c>
      <c r="D7602" s="19" t="n">
        <v>2029</v>
      </c>
      <c r="E7602" s="57" t="n">
        <v>7</v>
      </c>
      <c r="F7602" s="29">
        <f>ROUND(((SUMIFS(Calendar!$F$2:$F$9997,Calendar!$B$2:$B$9997,D7602,Calendar!$C$2:$C$9997,C7602)*INDEX(ForeCalc!$B$37:$Y$274,MATCH(_xlfn.CONCAT(H7602," ",I7602),ForeCalc!$A$37:$A$274,0),MATCH(_xlfn.CONCAT(B7602," ",E7602),ForeCalc!$B$36:$Y$36,0))))*VLOOKUP(A7602,Calendar!$A$2:$H$9997,8,FALSE),0)</f>
        <v/>
      </c>
      <c r="G7602" s="29">
        <f>VLOOKUP(A7602,Calendar!$A$1:$H$9997,6,FALSE)-F7602</f>
        <v/>
      </c>
      <c r="H7602" s="19" t="n">
        <v>3</v>
      </c>
      <c r="I7602" s="57" t="n">
        <v>10</v>
      </c>
    </row>
    <row r="7603">
      <c r="A7603" s="62" t="n">
        <v>47138</v>
      </c>
      <c r="B7603" s="3" t="inlineStr">
        <is>
          <t>Sat</t>
        </is>
      </c>
      <c r="C7603" s="19" t="n">
        <v>1</v>
      </c>
      <c r="D7603" s="19" t="n">
        <v>2029</v>
      </c>
      <c r="E7603" s="57" t="n">
        <v>7</v>
      </c>
      <c r="F7603" s="29">
        <f>ROUND(((SUMIFS(Calendar!$F$2:$F$9997,Calendar!$B$2:$B$9997,D7603,Calendar!$C$2:$C$9997,C7603)*INDEX(ForeCalc!$B$37:$Y$274,MATCH(_xlfn.CONCAT(H7603," ",I7603),ForeCalc!$A$37:$A$274,0),MATCH(_xlfn.CONCAT(B7603," ",E7603),ForeCalc!$B$36:$Y$36,0))))*VLOOKUP(A7603,Calendar!$A$2:$H$9997,8,FALSE),0)</f>
        <v/>
      </c>
      <c r="G7603" s="29">
        <f>VLOOKUP(A7603,Calendar!$A$1:$H$9997,6,FALSE)-F7603</f>
        <v/>
      </c>
      <c r="H7603" s="19" t="n">
        <v>3</v>
      </c>
      <c r="I7603" s="57" t="n">
        <v>10</v>
      </c>
    </row>
    <row r="7604">
      <c r="A7604" s="62" t="n">
        <v>47139</v>
      </c>
      <c r="B7604" s="3" t="inlineStr">
        <is>
          <t>Sun</t>
        </is>
      </c>
      <c r="C7604" s="19" t="n">
        <v>1</v>
      </c>
      <c r="D7604" s="19" t="n">
        <v>2029</v>
      </c>
      <c r="E7604" s="57" t="n">
        <v>7</v>
      </c>
      <c r="F7604" s="29">
        <f>ROUND(((SUMIFS(Calendar!$F$2:$F$9997,Calendar!$B$2:$B$9997,D7604,Calendar!$C$2:$C$9997,C7604)*INDEX(ForeCalc!$B$37:$Y$274,MATCH(_xlfn.CONCAT(H7604," ",I7604),ForeCalc!$A$37:$A$274,0),MATCH(_xlfn.CONCAT(B7604," ",E7604),ForeCalc!$B$36:$Y$36,0))))*VLOOKUP(A7604,Calendar!$A$2:$H$9997,8,FALSE),0)</f>
        <v/>
      </c>
      <c r="G7604" s="29">
        <f>VLOOKUP(A7604,Calendar!$A$1:$H$9997,6,FALSE)-F7604</f>
        <v/>
      </c>
      <c r="H7604" s="19" t="n">
        <v>3</v>
      </c>
      <c r="I7604" s="57" t="n">
        <v>10</v>
      </c>
    </row>
    <row r="7605">
      <c r="A7605" s="62" t="n">
        <v>47140</v>
      </c>
      <c r="B7605" s="3" t="inlineStr">
        <is>
          <t>Week</t>
        </is>
      </c>
      <c r="C7605" s="19" t="n">
        <v>1</v>
      </c>
      <c r="D7605" s="19" t="n">
        <v>2029</v>
      </c>
      <c r="E7605" s="57" t="n">
        <v>7</v>
      </c>
      <c r="F7605" s="29">
        <f>ROUND(((SUMIFS(Calendar!$F$2:$F$9997,Calendar!$B$2:$B$9997,D7605,Calendar!$C$2:$C$9997,C7605)*INDEX(ForeCalc!$B$37:$Y$274,MATCH(_xlfn.CONCAT(H7605," ",I7605),ForeCalc!$A$37:$A$274,0),MATCH(_xlfn.CONCAT(B7605," ",E7605),ForeCalc!$B$36:$Y$36,0))))*VLOOKUP(A7605,Calendar!$A$2:$H$9997,8,FALSE),0)</f>
        <v/>
      </c>
      <c r="G7605" s="29">
        <f>VLOOKUP(A7605,Calendar!$A$1:$H$9997,6,FALSE)-F7605</f>
        <v/>
      </c>
      <c r="H7605" s="19" t="n">
        <v>3</v>
      </c>
      <c r="I7605" s="57" t="n">
        <v>10</v>
      </c>
    </row>
    <row r="7606">
      <c r="A7606" s="62" t="n">
        <v>47141</v>
      </c>
      <c r="B7606" s="3" t="inlineStr">
        <is>
          <t>Week</t>
        </is>
      </c>
      <c r="C7606" s="19" t="n">
        <v>1</v>
      </c>
      <c r="D7606" s="19" t="n">
        <v>2029</v>
      </c>
      <c r="E7606" s="57" t="n">
        <v>7</v>
      </c>
      <c r="F7606" s="29">
        <f>ROUND(((SUMIFS(Calendar!$F$2:$F$9997,Calendar!$B$2:$B$9997,D7606,Calendar!$C$2:$C$9997,C7606)*INDEX(ForeCalc!$B$37:$Y$274,MATCH(_xlfn.CONCAT(H7606," ",I7606),ForeCalc!$A$37:$A$274,0),MATCH(_xlfn.CONCAT(B7606," ",E7606),ForeCalc!$B$36:$Y$36,0))))*VLOOKUP(A7606,Calendar!$A$2:$H$9997,8,FALSE),0)</f>
        <v/>
      </c>
      <c r="G7606" s="29">
        <f>VLOOKUP(A7606,Calendar!$A$1:$H$9997,6,FALSE)-F7606</f>
        <v/>
      </c>
      <c r="H7606" s="19" t="n">
        <v>3</v>
      </c>
      <c r="I7606" s="57" t="n">
        <v>10</v>
      </c>
    </row>
    <row r="7607">
      <c r="A7607" s="62" t="n">
        <v>47142</v>
      </c>
      <c r="B7607" s="3" t="inlineStr">
        <is>
          <t>Week</t>
        </is>
      </c>
      <c r="C7607" s="19" t="n">
        <v>1</v>
      </c>
      <c r="D7607" s="19" t="n">
        <v>2029</v>
      </c>
      <c r="E7607" s="57" t="n">
        <v>7</v>
      </c>
      <c r="F7607" s="29">
        <f>ROUND(((SUMIFS(Calendar!$F$2:$F$9997,Calendar!$B$2:$B$9997,D7607,Calendar!$C$2:$C$9997,C7607)*INDEX(ForeCalc!$B$37:$Y$274,MATCH(_xlfn.CONCAT(H7607," ",I7607),ForeCalc!$A$37:$A$274,0),MATCH(_xlfn.CONCAT(B7607," ",E7607),ForeCalc!$B$36:$Y$36,0))))*VLOOKUP(A7607,Calendar!$A$2:$H$9997,8,FALSE),0)</f>
        <v/>
      </c>
      <c r="G7607" s="29">
        <f>VLOOKUP(A7607,Calendar!$A$1:$H$9997,6,FALSE)-F7607</f>
        <v/>
      </c>
      <c r="H7607" s="19" t="n">
        <v>3</v>
      </c>
      <c r="I7607" s="57" t="n">
        <v>10</v>
      </c>
    </row>
    <row r="7608">
      <c r="A7608" s="62" t="n">
        <v>47143</v>
      </c>
      <c r="B7608" s="3" t="inlineStr">
        <is>
          <t>Week</t>
        </is>
      </c>
      <c r="C7608" s="19" t="n">
        <v>1</v>
      </c>
      <c r="D7608" s="19" t="n">
        <v>2029</v>
      </c>
      <c r="E7608" s="57" t="n">
        <v>7</v>
      </c>
      <c r="F7608" s="29">
        <f>ROUND(((SUMIFS(Calendar!$F$2:$F$9997,Calendar!$B$2:$B$9997,D7608,Calendar!$C$2:$C$9997,C7608)*INDEX(ForeCalc!$B$37:$Y$274,MATCH(_xlfn.CONCAT(H7608," ",I7608),ForeCalc!$A$37:$A$274,0),MATCH(_xlfn.CONCAT(B7608," ",E7608),ForeCalc!$B$36:$Y$36,0))))*VLOOKUP(A7608,Calendar!$A$2:$H$9997,8,FALSE),0)</f>
        <v/>
      </c>
      <c r="G7608" s="29">
        <f>VLOOKUP(A7608,Calendar!$A$1:$H$9997,6,FALSE)-F7608</f>
        <v/>
      </c>
      <c r="H7608" s="19" t="n">
        <v>3</v>
      </c>
      <c r="I7608" s="57" t="n">
        <v>10</v>
      </c>
    </row>
    <row r="7609">
      <c r="A7609" s="62" t="n">
        <v>47144</v>
      </c>
      <c r="B7609" s="3" t="inlineStr">
        <is>
          <t>Week</t>
        </is>
      </c>
      <c r="C7609" s="19" t="n">
        <v>1</v>
      </c>
      <c r="D7609" s="19" t="n">
        <v>2029</v>
      </c>
      <c r="E7609" s="57" t="n">
        <v>7</v>
      </c>
      <c r="F7609" s="29">
        <f>ROUND(((SUMIFS(Calendar!$F$2:$F$9997,Calendar!$B$2:$B$9997,D7609,Calendar!$C$2:$C$9997,C7609)*INDEX(ForeCalc!$B$37:$Y$274,MATCH(_xlfn.CONCAT(H7609," ",I7609),ForeCalc!$A$37:$A$274,0),MATCH(_xlfn.CONCAT(B7609," ",E7609),ForeCalc!$B$36:$Y$36,0))))*VLOOKUP(A7609,Calendar!$A$2:$H$9997,8,FALSE),0)</f>
        <v/>
      </c>
      <c r="G7609" s="29">
        <f>VLOOKUP(A7609,Calendar!$A$1:$H$9997,6,FALSE)-F7609</f>
        <v/>
      </c>
      <c r="H7609" s="19" t="n">
        <v>3</v>
      </c>
      <c r="I7609" s="57" t="n">
        <v>10</v>
      </c>
    </row>
    <row r="7610">
      <c r="A7610" s="62" t="n">
        <v>47145</v>
      </c>
      <c r="B7610" s="3" t="inlineStr">
        <is>
          <t>Sat</t>
        </is>
      </c>
      <c r="C7610" s="19" t="n">
        <v>1</v>
      </c>
      <c r="D7610" s="19" t="n">
        <v>2029</v>
      </c>
      <c r="E7610" s="57" t="n">
        <v>7</v>
      </c>
      <c r="F7610" s="29">
        <f>ROUND(((SUMIFS(Calendar!$F$2:$F$9997,Calendar!$B$2:$B$9997,D7610,Calendar!$C$2:$C$9997,C7610)*INDEX(ForeCalc!$B$37:$Y$274,MATCH(_xlfn.CONCAT(H7610," ",I7610),ForeCalc!$A$37:$A$274,0),MATCH(_xlfn.CONCAT(B7610," ",E7610),ForeCalc!$B$36:$Y$36,0))))*VLOOKUP(A7610,Calendar!$A$2:$H$9997,8,FALSE),0)</f>
        <v/>
      </c>
      <c r="G7610" s="29">
        <f>VLOOKUP(A7610,Calendar!$A$1:$H$9997,6,FALSE)-F7610</f>
        <v/>
      </c>
      <c r="H7610" s="19" t="n">
        <v>3</v>
      </c>
      <c r="I7610" s="57" t="n">
        <v>10</v>
      </c>
    </row>
    <row r="7611">
      <c r="A7611" s="62" t="n">
        <v>47146</v>
      </c>
      <c r="B7611" s="3" t="inlineStr">
        <is>
          <t>Sun</t>
        </is>
      </c>
      <c r="C7611" s="19" t="n">
        <v>1</v>
      </c>
      <c r="D7611" s="19" t="n">
        <v>2029</v>
      </c>
      <c r="E7611" s="57" t="n">
        <v>7</v>
      </c>
      <c r="F7611" s="29">
        <f>ROUND(((SUMIFS(Calendar!$F$2:$F$9997,Calendar!$B$2:$B$9997,D7611,Calendar!$C$2:$C$9997,C7611)*INDEX(ForeCalc!$B$37:$Y$274,MATCH(_xlfn.CONCAT(H7611," ",I7611),ForeCalc!$A$37:$A$274,0),MATCH(_xlfn.CONCAT(B7611," ",E7611),ForeCalc!$B$36:$Y$36,0))))*VLOOKUP(A7611,Calendar!$A$2:$H$9997,8,FALSE),0)</f>
        <v/>
      </c>
      <c r="G7611" s="29">
        <f>VLOOKUP(A7611,Calendar!$A$1:$H$9997,6,FALSE)-F7611</f>
        <v/>
      </c>
      <c r="H7611" s="19" t="n">
        <v>3</v>
      </c>
      <c r="I7611" s="57" t="n">
        <v>10</v>
      </c>
    </row>
    <row r="7612">
      <c r="A7612" s="62" t="n">
        <v>47147</v>
      </c>
      <c r="B7612" s="3" t="inlineStr">
        <is>
          <t>Week</t>
        </is>
      </c>
      <c r="C7612" s="19" t="n">
        <v>1</v>
      </c>
      <c r="D7612" s="19" t="n">
        <v>2029</v>
      </c>
      <c r="E7612" s="57" t="n">
        <v>7</v>
      </c>
      <c r="F7612" s="29">
        <f>ROUND(((SUMIFS(Calendar!$F$2:$F$9997,Calendar!$B$2:$B$9997,D7612,Calendar!$C$2:$C$9997,C7612)*INDEX(ForeCalc!$B$37:$Y$274,MATCH(_xlfn.CONCAT(H7612," ",I7612),ForeCalc!$A$37:$A$274,0),MATCH(_xlfn.CONCAT(B7612," ",E7612),ForeCalc!$B$36:$Y$36,0))))*VLOOKUP(A7612,Calendar!$A$2:$H$9997,8,FALSE),0)</f>
        <v/>
      </c>
      <c r="G7612" s="29">
        <f>VLOOKUP(A7612,Calendar!$A$1:$H$9997,6,FALSE)-F7612</f>
        <v/>
      </c>
      <c r="H7612" s="19" t="n">
        <v>3</v>
      </c>
      <c r="I7612" s="57" t="n">
        <v>10</v>
      </c>
    </row>
    <row r="7613">
      <c r="A7613" s="62" t="n">
        <v>47148</v>
      </c>
      <c r="B7613" s="3" t="inlineStr">
        <is>
          <t>Week</t>
        </is>
      </c>
      <c r="C7613" s="19" t="n">
        <v>1</v>
      </c>
      <c r="D7613" s="19" t="n">
        <v>2029</v>
      </c>
      <c r="E7613" s="57" t="n">
        <v>7</v>
      </c>
      <c r="F7613" s="29">
        <f>ROUND(((SUMIFS(Calendar!$F$2:$F$9997,Calendar!$B$2:$B$9997,D7613,Calendar!$C$2:$C$9997,C7613)*INDEX(ForeCalc!$B$37:$Y$274,MATCH(_xlfn.CONCAT(H7613," ",I7613),ForeCalc!$A$37:$A$274,0),MATCH(_xlfn.CONCAT(B7613," ",E7613),ForeCalc!$B$36:$Y$36,0))))*VLOOKUP(A7613,Calendar!$A$2:$H$9997,8,FALSE),0)</f>
        <v/>
      </c>
      <c r="G7613" s="29">
        <f>VLOOKUP(A7613,Calendar!$A$1:$H$9997,6,FALSE)-F7613</f>
        <v/>
      </c>
      <c r="H7613" s="19" t="n">
        <v>3</v>
      </c>
      <c r="I7613" s="57" t="n">
        <v>10</v>
      </c>
    </row>
    <row r="7614">
      <c r="A7614" s="62" t="n">
        <v>47149</v>
      </c>
      <c r="B7614" s="3" t="inlineStr">
        <is>
          <t>Week</t>
        </is>
      </c>
      <c r="C7614" s="19" t="n">
        <v>1</v>
      </c>
      <c r="D7614" s="19" t="n">
        <v>2029</v>
      </c>
      <c r="E7614" s="57" t="n">
        <v>7</v>
      </c>
      <c r="F7614" s="29">
        <f>ROUND(((SUMIFS(Calendar!$F$2:$F$9997,Calendar!$B$2:$B$9997,D7614,Calendar!$C$2:$C$9997,C7614)*INDEX(ForeCalc!$B$37:$Y$274,MATCH(_xlfn.CONCAT(H7614," ",I7614),ForeCalc!$A$37:$A$274,0),MATCH(_xlfn.CONCAT(B7614," ",E7614),ForeCalc!$B$36:$Y$36,0))))*VLOOKUP(A7614,Calendar!$A$2:$H$9997,8,FALSE),0)</f>
        <v/>
      </c>
      <c r="G7614" s="29">
        <f>VLOOKUP(A7614,Calendar!$A$1:$H$9997,6,FALSE)-F7614</f>
        <v/>
      </c>
      <c r="H7614" s="19" t="n">
        <v>3</v>
      </c>
      <c r="I7614" s="57" t="n">
        <v>10</v>
      </c>
    </row>
    <row r="7615">
      <c r="A7615" s="62" t="n">
        <v>47150</v>
      </c>
      <c r="B7615" s="3" t="inlineStr">
        <is>
          <t>Week</t>
        </is>
      </c>
      <c r="C7615" s="19" t="n">
        <v>2</v>
      </c>
      <c r="D7615" s="19" t="n">
        <v>2029</v>
      </c>
      <c r="E7615" s="57" t="n">
        <v>7</v>
      </c>
      <c r="F7615" s="29">
        <f>ROUND(((SUMIFS(Calendar!$F$2:$F$9997,Calendar!$B$2:$B$9997,D7615,Calendar!$C$2:$C$9997,C7615)*INDEX(ForeCalc!$B$37:$Y$274,MATCH(_xlfn.CONCAT(H7615," ",I7615),ForeCalc!$A$37:$A$274,0),MATCH(_xlfn.CONCAT(B7615," ",E7615),ForeCalc!$B$36:$Y$36,0))))*VLOOKUP(A7615,Calendar!$A$2:$H$9997,8,FALSE),0)</f>
        <v/>
      </c>
      <c r="G7615" s="29">
        <f>VLOOKUP(A7615,Calendar!$A$1:$H$9997,6,FALSE)-F7615</f>
        <v/>
      </c>
      <c r="H7615" s="19" t="n">
        <v>3</v>
      </c>
      <c r="I7615" s="57" t="n">
        <v>11</v>
      </c>
    </row>
    <row r="7616">
      <c r="A7616" s="62" t="n">
        <v>47151</v>
      </c>
      <c r="B7616" s="3" t="inlineStr">
        <is>
          <t>Week</t>
        </is>
      </c>
      <c r="C7616" s="19" t="n">
        <v>2</v>
      </c>
      <c r="D7616" s="19" t="n">
        <v>2029</v>
      </c>
      <c r="E7616" s="57" t="n">
        <v>7</v>
      </c>
      <c r="F7616" s="29">
        <f>ROUND(((SUMIFS(Calendar!$F$2:$F$9997,Calendar!$B$2:$B$9997,D7616,Calendar!$C$2:$C$9997,C7616)*INDEX(ForeCalc!$B$37:$Y$274,MATCH(_xlfn.CONCAT(H7616," ",I7616),ForeCalc!$A$37:$A$274,0),MATCH(_xlfn.CONCAT(B7616," ",E7616),ForeCalc!$B$36:$Y$36,0))))*VLOOKUP(A7616,Calendar!$A$2:$H$9997,8,FALSE),0)</f>
        <v/>
      </c>
      <c r="G7616" s="29">
        <f>VLOOKUP(A7616,Calendar!$A$1:$H$9997,6,FALSE)-F7616</f>
        <v/>
      </c>
      <c r="H7616" s="19" t="n">
        <v>3</v>
      </c>
      <c r="I7616" s="57" t="n">
        <v>11</v>
      </c>
    </row>
    <row r="7617">
      <c r="A7617" s="62" t="n">
        <v>47152</v>
      </c>
      <c r="B7617" s="3" t="inlineStr">
        <is>
          <t>Sat</t>
        </is>
      </c>
      <c r="C7617" s="19" t="n">
        <v>2</v>
      </c>
      <c r="D7617" s="19" t="n">
        <v>2029</v>
      </c>
      <c r="E7617" s="57" t="n">
        <v>7</v>
      </c>
      <c r="F7617" s="29">
        <f>ROUND(((SUMIFS(Calendar!$F$2:$F$9997,Calendar!$B$2:$B$9997,D7617,Calendar!$C$2:$C$9997,C7617)*INDEX(ForeCalc!$B$37:$Y$274,MATCH(_xlfn.CONCAT(H7617," ",I7617),ForeCalc!$A$37:$A$274,0),MATCH(_xlfn.CONCAT(B7617," ",E7617),ForeCalc!$B$36:$Y$36,0))))*VLOOKUP(A7617,Calendar!$A$2:$H$9997,8,FALSE),0)</f>
        <v/>
      </c>
      <c r="G7617" s="29">
        <f>VLOOKUP(A7617,Calendar!$A$1:$H$9997,6,FALSE)-F7617</f>
        <v/>
      </c>
      <c r="H7617" s="19" t="n">
        <v>3</v>
      </c>
      <c r="I7617" s="57" t="n">
        <v>11</v>
      </c>
    </row>
    <row r="7618">
      <c r="A7618" s="62" t="n">
        <v>47153</v>
      </c>
      <c r="B7618" s="3" t="inlineStr">
        <is>
          <t>Sun</t>
        </is>
      </c>
      <c r="C7618" s="19" t="n">
        <v>2</v>
      </c>
      <c r="D7618" s="19" t="n">
        <v>2029</v>
      </c>
      <c r="E7618" s="57" t="n">
        <v>7</v>
      </c>
      <c r="F7618" s="29">
        <f>ROUND(((SUMIFS(Calendar!$F$2:$F$9997,Calendar!$B$2:$B$9997,D7618,Calendar!$C$2:$C$9997,C7618)*INDEX(ForeCalc!$B$37:$Y$274,MATCH(_xlfn.CONCAT(H7618," ",I7618),ForeCalc!$A$37:$A$274,0),MATCH(_xlfn.CONCAT(B7618," ",E7618),ForeCalc!$B$36:$Y$36,0))))*VLOOKUP(A7618,Calendar!$A$2:$H$9997,8,FALSE),0)</f>
        <v/>
      </c>
      <c r="G7618" s="29">
        <f>VLOOKUP(A7618,Calendar!$A$1:$H$9997,6,FALSE)-F7618</f>
        <v/>
      </c>
      <c r="H7618" s="19" t="n">
        <v>3</v>
      </c>
      <c r="I7618" s="57" t="n">
        <v>11</v>
      </c>
    </row>
    <row r="7619">
      <c r="A7619" s="62" t="n">
        <v>47154</v>
      </c>
      <c r="B7619" s="3" t="inlineStr">
        <is>
          <t>Week</t>
        </is>
      </c>
      <c r="C7619" s="19" t="n">
        <v>2</v>
      </c>
      <c r="D7619" s="19" t="n">
        <v>2029</v>
      </c>
      <c r="E7619" s="57" t="n">
        <v>7</v>
      </c>
      <c r="F7619" s="29">
        <f>ROUND(((SUMIFS(Calendar!$F$2:$F$9997,Calendar!$B$2:$B$9997,D7619,Calendar!$C$2:$C$9997,C7619)*INDEX(ForeCalc!$B$37:$Y$274,MATCH(_xlfn.CONCAT(H7619," ",I7619),ForeCalc!$A$37:$A$274,0),MATCH(_xlfn.CONCAT(B7619," ",E7619),ForeCalc!$B$36:$Y$36,0))))*VLOOKUP(A7619,Calendar!$A$2:$H$9997,8,FALSE),0)</f>
        <v/>
      </c>
      <c r="G7619" s="29">
        <f>VLOOKUP(A7619,Calendar!$A$1:$H$9997,6,FALSE)-F7619</f>
        <v/>
      </c>
      <c r="H7619" s="19" t="n">
        <v>3</v>
      </c>
      <c r="I7619" s="57" t="n">
        <v>11</v>
      </c>
    </row>
    <row r="7620">
      <c r="A7620" s="62" t="n">
        <v>47155</v>
      </c>
      <c r="B7620" s="3" t="inlineStr">
        <is>
          <t>Week</t>
        </is>
      </c>
      <c r="C7620" s="19" t="n">
        <v>2</v>
      </c>
      <c r="D7620" s="19" t="n">
        <v>2029</v>
      </c>
      <c r="E7620" s="57" t="n">
        <v>7</v>
      </c>
      <c r="F7620" s="29">
        <f>ROUND(((SUMIFS(Calendar!$F$2:$F$9997,Calendar!$B$2:$B$9997,D7620,Calendar!$C$2:$C$9997,C7620)*INDEX(ForeCalc!$B$37:$Y$274,MATCH(_xlfn.CONCAT(H7620," ",I7620),ForeCalc!$A$37:$A$274,0),MATCH(_xlfn.CONCAT(B7620," ",E7620),ForeCalc!$B$36:$Y$36,0))))*VLOOKUP(A7620,Calendar!$A$2:$H$9997,8,FALSE),0)</f>
        <v/>
      </c>
      <c r="G7620" s="29">
        <f>VLOOKUP(A7620,Calendar!$A$1:$H$9997,6,FALSE)-F7620</f>
        <v/>
      </c>
      <c r="H7620" s="19" t="n">
        <v>3</v>
      </c>
      <c r="I7620" s="57" t="n">
        <v>11</v>
      </c>
    </row>
    <row r="7621">
      <c r="A7621" s="62" t="n">
        <v>47156</v>
      </c>
      <c r="B7621" s="3" t="inlineStr">
        <is>
          <t>Week</t>
        </is>
      </c>
      <c r="C7621" s="19" t="n">
        <v>2</v>
      </c>
      <c r="D7621" s="19" t="n">
        <v>2029</v>
      </c>
      <c r="E7621" s="57" t="n">
        <v>7</v>
      </c>
      <c r="F7621" s="29">
        <f>ROUND(((SUMIFS(Calendar!$F$2:$F$9997,Calendar!$B$2:$B$9997,D7621,Calendar!$C$2:$C$9997,C7621)*INDEX(ForeCalc!$B$37:$Y$274,MATCH(_xlfn.CONCAT(H7621," ",I7621),ForeCalc!$A$37:$A$274,0),MATCH(_xlfn.CONCAT(B7621," ",E7621),ForeCalc!$B$36:$Y$36,0))))*VLOOKUP(A7621,Calendar!$A$2:$H$9997,8,FALSE),0)</f>
        <v/>
      </c>
      <c r="G7621" s="29">
        <f>VLOOKUP(A7621,Calendar!$A$1:$H$9997,6,FALSE)-F7621</f>
        <v/>
      </c>
      <c r="H7621" s="19" t="n">
        <v>3</v>
      </c>
      <c r="I7621" s="57" t="n">
        <v>11</v>
      </c>
    </row>
    <row r="7622">
      <c r="A7622" s="62" t="n">
        <v>47157</v>
      </c>
      <c r="B7622" s="3" t="inlineStr">
        <is>
          <t>Week</t>
        </is>
      </c>
      <c r="C7622" s="19" t="n">
        <v>2</v>
      </c>
      <c r="D7622" s="19" t="n">
        <v>2029</v>
      </c>
      <c r="E7622" s="57" t="n">
        <v>7</v>
      </c>
      <c r="F7622" s="29">
        <f>ROUND(((SUMIFS(Calendar!$F$2:$F$9997,Calendar!$B$2:$B$9997,D7622,Calendar!$C$2:$C$9997,C7622)*INDEX(ForeCalc!$B$37:$Y$274,MATCH(_xlfn.CONCAT(H7622," ",I7622),ForeCalc!$A$37:$A$274,0),MATCH(_xlfn.CONCAT(B7622," ",E7622),ForeCalc!$B$36:$Y$36,0))))*VLOOKUP(A7622,Calendar!$A$2:$H$9997,8,FALSE),0)</f>
        <v/>
      </c>
      <c r="G7622" s="29">
        <f>VLOOKUP(A7622,Calendar!$A$1:$H$9997,6,FALSE)-F7622</f>
        <v/>
      </c>
      <c r="H7622" s="19" t="n">
        <v>3</v>
      </c>
      <c r="I7622" s="57" t="n">
        <v>11</v>
      </c>
    </row>
    <row r="7623">
      <c r="A7623" s="62" t="n">
        <v>47158</v>
      </c>
      <c r="B7623" s="3" t="inlineStr">
        <is>
          <t>Week</t>
        </is>
      </c>
      <c r="C7623" s="19" t="n">
        <v>2</v>
      </c>
      <c r="D7623" s="19" t="n">
        <v>2029</v>
      </c>
      <c r="E7623" s="57" t="n">
        <v>7</v>
      </c>
      <c r="F7623" s="29">
        <f>ROUND(((SUMIFS(Calendar!$F$2:$F$9997,Calendar!$B$2:$B$9997,D7623,Calendar!$C$2:$C$9997,C7623)*INDEX(ForeCalc!$B$37:$Y$274,MATCH(_xlfn.CONCAT(H7623," ",I7623),ForeCalc!$A$37:$A$274,0),MATCH(_xlfn.CONCAT(B7623," ",E7623),ForeCalc!$B$36:$Y$36,0))))*VLOOKUP(A7623,Calendar!$A$2:$H$9997,8,FALSE),0)</f>
        <v/>
      </c>
      <c r="G7623" s="29">
        <f>VLOOKUP(A7623,Calendar!$A$1:$H$9997,6,FALSE)-F7623</f>
        <v/>
      </c>
      <c r="H7623" s="19" t="n">
        <v>3</v>
      </c>
      <c r="I7623" s="57" t="n">
        <v>11</v>
      </c>
    </row>
    <row r="7624">
      <c r="A7624" s="62" t="n">
        <v>47159</v>
      </c>
      <c r="B7624" s="3" t="inlineStr">
        <is>
          <t>Sat</t>
        </is>
      </c>
      <c r="C7624" s="19" t="n">
        <v>2</v>
      </c>
      <c r="D7624" s="19" t="n">
        <v>2029</v>
      </c>
      <c r="E7624" s="57" t="n">
        <v>7</v>
      </c>
      <c r="F7624" s="29">
        <f>ROUND(((SUMIFS(Calendar!$F$2:$F$9997,Calendar!$B$2:$B$9997,D7624,Calendar!$C$2:$C$9997,C7624)*INDEX(ForeCalc!$B$37:$Y$274,MATCH(_xlfn.CONCAT(H7624," ",I7624),ForeCalc!$A$37:$A$274,0),MATCH(_xlfn.CONCAT(B7624," ",E7624),ForeCalc!$B$36:$Y$36,0))))*VLOOKUP(A7624,Calendar!$A$2:$H$9997,8,FALSE),0)</f>
        <v/>
      </c>
      <c r="G7624" s="29">
        <f>VLOOKUP(A7624,Calendar!$A$1:$H$9997,6,FALSE)-F7624</f>
        <v/>
      </c>
      <c r="H7624" s="19" t="n">
        <v>3</v>
      </c>
      <c r="I7624" s="57" t="n">
        <v>11</v>
      </c>
    </row>
    <row r="7625">
      <c r="A7625" s="62" t="n">
        <v>47160</v>
      </c>
      <c r="B7625" s="3" t="inlineStr">
        <is>
          <t>Sun</t>
        </is>
      </c>
      <c r="C7625" s="19" t="n">
        <v>2</v>
      </c>
      <c r="D7625" s="19" t="n">
        <v>2029</v>
      </c>
      <c r="E7625" s="57" t="n">
        <v>7</v>
      </c>
      <c r="F7625" s="29">
        <f>ROUND(((SUMIFS(Calendar!$F$2:$F$9997,Calendar!$B$2:$B$9997,D7625,Calendar!$C$2:$C$9997,C7625)*INDEX(ForeCalc!$B$37:$Y$274,MATCH(_xlfn.CONCAT(H7625," ",I7625),ForeCalc!$A$37:$A$274,0),MATCH(_xlfn.CONCAT(B7625," ",E7625),ForeCalc!$B$36:$Y$36,0))))*VLOOKUP(A7625,Calendar!$A$2:$H$9997,8,FALSE),0)</f>
        <v/>
      </c>
      <c r="G7625" s="29">
        <f>VLOOKUP(A7625,Calendar!$A$1:$H$9997,6,FALSE)-F7625</f>
        <v/>
      </c>
      <c r="H7625" s="19" t="n">
        <v>3</v>
      </c>
      <c r="I7625" s="57" t="n">
        <v>11</v>
      </c>
    </row>
    <row r="7626">
      <c r="A7626" s="62" t="n">
        <v>47161</v>
      </c>
      <c r="B7626" s="3" t="inlineStr">
        <is>
          <t>Week</t>
        </is>
      </c>
      <c r="C7626" s="19" t="n">
        <v>2</v>
      </c>
      <c r="D7626" s="19" t="n">
        <v>2029</v>
      </c>
      <c r="E7626" s="57" t="n">
        <v>7</v>
      </c>
      <c r="F7626" s="29">
        <f>ROUND(((SUMIFS(Calendar!$F$2:$F$9997,Calendar!$B$2:$B$9997,D7626,Calendar!$C$2:$C$9997,C7626)*INDEX(ForeCalc!$B$37:$Y$274,MATCH(_xlfn.CONCAT(H7626," ",I7626),ForeCalc!$A$37:$A$274,0),MATCH(_xlfn.CONCAT(B7626," ",E7626),ForeCalc!$B$36:$Y$36,0))))*VLOOKUP(A7626,Calendar!$A$2:$H$9997,8,FALSE),0)</f>
        <v/>
      </c>
      <c r="G7626" s="29">
        <f>VLOOKUP(A7626,Calendar!$A$1:$H$9997,6,FALSE)-F7626</f>
        <v/>
      </c>
      <c r="H7626" s="19" t="n">
        <v>3</v>
      </c>
      <c r="I7626" s="57" t="n">
        <v>11</v>
      </c>
    </row>
    <row r="7627">
      <c r="A7627" s="62" t="n">
        <v>47162</v>
      </c>
      <c r="B7627" s="3" t="inlineStr">
        <is>
          <t>Week</t>
        </is>
      </c>
      <c r="C7627" s="19" t="n">
        <v>2</v>
      </c>
      <c r="D7627" s="19" t="n">
        <v>2029</v>
      </c>
      <c r="E7627" s="57" t="n">
        <v>7</v>
      </c>
      <c r="F7627" s="29">
        <f>ROUND(((SUMIFS(Calendar!$F$2:$F$9997,Calendar!$B$2:$B$9997,D7627,Calendar!$C$2:$C$9997,C7627)*INDEX(ForeCalc!$B$37:$Y$274,MATCH(_xlfn.CONCAT(H7627," ",I7627),ForeCalc!$A$37:$A$274,0),MATCH(_xlfn.CONCAT(B7627," ",E7627),ForeCalc!$B$36:$Y$36,0))))*VLOOKUP(A7627,Calendar!$A$2:$H$9997,8,FALSE),0)</f>
        <v/>
      </c>
      <c r="G7627" s="29">
        <f>VLOOKUP(A7627,Calendar!$A$1:$H$9997,6,FALSE)-F7627</f>
        <v/>
      </c>
      <c r="H7627" s="19" t="n">
        <v>3</v>
      </c>
      <c r="I7627" s="57" t="n">
        <v>11</v>
      </c>
    </row>
    <row r="7628">
      <c r="A7628" s="62" t="n">
        <v>47163</v>
      </c>
      <c r="B7628" s="3" t="inlineStr">
        <is>
          <t>Week</t>
        </is>
      </c>
      <c r="C7628" s="19" t="n">
        <v>2</v>
      </c>
      <c r="D7628" s="19" t="n">
        <v>2029</v>
      </c>
      <c r="E7628" s="57" t="n">
        <v>7</v>
      </c>
      <c r="F7628" s="29">
        <f>ROUND(((SUMIFS(Calendar!$F$2:$F$9997,Calendar!$B$2:$B$9997,D7628,Calendar!$C$2:$C$9997,C7628)*INDEX(ForeCalc!$B$37:$Y$274,MATCH(_xlfn.CONCAT(H7628," ",I7628),ForeCalc!$A$37:$A$274,0),MATCH(_xlfn.CONCAT(B7628," ",E7628),ForeCalc!$B$36:$Y$36,0))))*VLOOKUP(A7628,Calendar!$A$2:$H$9997,8,FALSE),0)</f>
        <v/>
      </c>
      <c r="G7628" s="29">
        <f>VLOOKUP(A7628,Calendar!$A$1:$H$9997,6,FALSE)-F7628</f>
        <v/>
      </c>
      <c r="H7628" s="19" t="n">
        <v>3</v>
      </c>
      <c r="I7628" s="57" t="n">
        <v>11</v>
      </c>
    </row>
    <row r="7629">
      <c r="A7629" s="62" t="n">
        <v>47164</v>
      </c>
      <c r="B7629" s="3" t="inlineStr">
        <is>
          <t>Week</t>
        </is>
      </c>
      <c r="C7629" s="19" t="n">
        <v>2</v>
      </c>
      <c r="D7629" s="19" t="n">
        <v>2029</v>
      </c>
      <c r="E7629" s="57" t="n">
        <v>7</v>
      </c>
      <c r="F7629" s="29">
        <f>ROUND(((SUMIFS(Calendar!$F$2:$F$9997,Calendar!$B$2:$B$9997,D7629,Calendar!$C$2:$C$9997,C7629)*INDEX(ForeCalc!$B$37:$Y$274,MATCH(_xlfn.CONCAT(H7629," ",I7629),ForeCalc!$A$37:$A$274,0),MATCH(_xlfn.CONCAT(B7629," ",E7629),ForeCalc!$B$36:$Y$36,0))))*VLOOKUP(A7629,Calendar!$A$2:$H$9997,8,FALSE),0)</f>
        <v/>
      </c>
      <c r="G7629" s="29">
        <f>VLOOKUP(A7629,Calendar!$A$1:$H$9997,6,FALSE)-F7629</f>
        <v/>
      </c>
      <c r="H7629" s="19" t="n">
        <v>3</v>
      </c>
      <c r="I7629" s="57" t="n">
        <v>11</v>
      </c>
    </row>
    <row r="7630">
      <c r="A7630" s="62" t="n">
        <v>47165</v>
      </c>
      <c r="B7630" s="3" t="inlineStr">
        <is>
          <t>Week</t>
        </is>
      </c>
      <c r="C7630" s="19" t="n">
        <v>2</v>
      </c>
      <c r="D7630" s="19" t="n">
        <v>2029</v>
      </c>
      <c r="E7630" s="57" t="n">
        <v>7</v>
      </c>
      <c r="F7630" s="29">
        <f>ROUND(((SUMIFS(Calendar!$F$2:$F$9997,Calendar!$B$2:$B$9997,D7630,Calendar!$C$2:$C$9997,C7630)*INDEX(ForeCalc!$B$37:$Y$274,MATCH(_xlfn.CONCAT(H7630," ",I7630),ForeCalc!$A$37:$A$274,0),MATCH(_xlfn.CONCAT(B7630," ",E7630),ForeCalc!$B$36:$Y$36,0))))*VLOOKUP(A7630,Calendar!$A$2:$H$9997,8,FALSE),0)</f>
        <v/>
      </c>
      <c r="G7630" s="29">
        <f>VLOOKUP(A7630,Calendar!$A$1:$H$9997,6,FALSE)-F7630</f>
        <v/>
      </c>
      <c r="H7630" s="19" t="n">
        <v>3</v>
      </c>
      <c r="I7630" s="57" t="n">
        <v>11</v>
      </c>
    </row>
    <row r="7631">
      <c r="A7631" s="62" t="n">
        <v>47166</v>
      </c>
      <c r="B7631" s="3" t="inlineStr">
        <is>
          <t>Sat</t>
        </is>
      </c>
      <c r="C7631" s="19" t="n">
        <v>2</v>
      </c>
      <c r="D7631" s="19" t="n">
        <v>2029</v>
      </c>
      <c r="E7631" s="57" t="n">
        <v>7</v>
      </c>
      <c r="F7631" s="29">
        <f>ROUND(((SUMIFS(Calendar!$F$2:$F$9997,Calendar!$B$2:$B$9997,D7631,Calendar!$C$2:$C$9997,C7631)*INDEX(ForeCalc!$B$37:$Y$274,MATCH(_xlfn.CONCAT(H7631," ",I7631),ForeCalc!$A$37:$A$274,0),MATCH(_xlfn.CONCAT(B7631," ",E7631),ForeCalc!$B$36:$Y$36,0))))*VLOOKUP(A7631,Calendar!$A$2:$H$9997,8,FALSE),0)</f>
        <v/>
      </c>
      <c r="G7631" s="29">
        <f>VLOOKUP(A7631,Calendar!$A$1:$H$9997,6,FALSE)-F7631</f>
        <v/>
      </c>
      <c r="H7631" s="19" t="n">
        <v>3</v>
      </c>
      <c r="I7631" s="57" t="n">
        <v>11</v>
      </c>
    </row>
    <row r="7632">
      <c r="A7632" s="62" t="n">
        <v>47167</v>
      </c>
      <c r="B7632" s="3" t="inlineStr">
        <is>
          <t>Sun</t>
        </is>
      </c>
      <c r="C7632" s="19" t="n">
        <v>2</v>
      </c>
      <c r="D7632" s="19" t="n">
        <v>2029</v>
      </c>
      <c r="E7632" s="57" t="n">
        <v>7</v>
      </c>
      <c r="F7632" s="29">
        <f>ROUND(((SUMIFS(Calendar!$F$2:$F$9997,Calendar!$B$2:$B$9997,D7632,Calendar!$C$2:$C$9997,C7632)*INDEX(ForeCalc!$B$37:$Y$274,MATCH(_xlfn.CONCAT(H7632," ",I7632),ForeCalc!$A$37:$A$274,0),MATCH(_xlfn.CONCAT(B7632," ",E7632),ForeCalc!$B$36:$Y$36,0))))*VLOOKUP(A7632,Calendar!$A$2:$H$9997,8,FALSE),0)</f>
        <v/>
      </c>
      <c r="G7632" s="29">
        <f>VLOOKUP(A7632,Calendar!$A$1:$H$9997,6,FALSE)-F7632</f>
        <v/>
      </c>
      <c r="H7632" s="19" t="n">
        <v>3</v>
      </c>
      <c r="I7632" s="57" t="n">
        <v>11</v>
      </c>
    </row>
    <row r="7633">
      <c r="A7633" s="62" t="n">
        <v>47168</v>
      </c>
      <c r="B7633" s="3" t="inlineStr">
        <is>
          <t>Week</t>
        </is>
      </c>
      <c r="C7633" s="19" t="n">
        <v>2</v>
      </c>
      <c r="D7633" s="19" t="n">
        <v>2029</v>
      </c>
      <c r="E7633" s="57" t="n">
        <v>7</v>
      </c>
      <c r="F7633" s="29">
        <f>ROUND(((SUMIFS(Calendar!$F$2:$F$9997,Calendar!$B$2:$B$9997,D7633,Calendar!$C$2:$C$9997,C7633)*INDEX(ForeCalc!$B$37:$Y$274,MATCH(_xlfn.CONCAT(H7633," ",I7633),ForeCalc!$A$37:$A$274,0),MATCH(_xlfn.CONCAT(B7633," ",E7633),ForeCalc!$B$36:$Y$36,0))))*VLOOKUP(A7633,Calendar!$A$2:$H$9997,8,FALSE),0)</f>
        <v/>
      </c>
      <c r="G7633" s="29">
        <f>VLOOKUP(A7633,Calendar!$A$1:$H$9997,6,FALSE)-F7633</f>
        <v/>
      </c>
      <c r="H7633" s="19" t="n">
        <v>3</v>
      </c>
      <c r="I7633" s="57" t="n">
        <v>11</v>
      </c>
    </row>
    <row r="7634">
      <c r="A7634" s="62" t="n">
        <v>47169</v>
      </c>
      <c r="B7634" s="3" t="inlineStr">
        <is>
          <t>Week</t>
        </is>
      </c>
      <c r="C7634" s="19" t="n">
        <v>2</v>
      </c>
      <c r="D7634" s="19" t="n">
        <v>2029</v>
      </c>
      <c r="E7634" s="57" t="n">
        <v>7</v>
      </c>
      <c r="F7634" s="29">
        <f>ROUND(((SUMIFS(Calendar!$F$2:$F$9997,Calendar!$B$2:$B$9997,D7634,Calendar!$C$2:$C$9997,C7634)*INDEX(ForeCalc!$B$37:$Y$274,MATCH(_xlfn.CONCAT(H7634," ",I7634),ForeCalc!$A$37:$A$274,0),MATCH(_xlfn.CONCAT(B7634," ",E7634),ForeCalc!$B$36:$Y$36,0))))*VLOOKUP(A7634,Calendar!$A$2:$H$9997,8,FALSE),0)</f>
        <v/>
      </c>
      <c r="G7634" s="29">
        <f>VLOOKUP(A7634,Calendar!$A$1:$H$9997,6,FALSE)-F7634</f>
        <v/>
      </c>
      <c r="H7634" s="19" t="n">
        <v>3</v>
      </c>
      <c r="I7634" s="57" t="n">
        <v>11</v>
      </c>
    </row>
    <row r="7635">
      <c r="A7635" s="62" t="n">
        <v>47170</v>
      </c>
      <c r="B7635" s="3" t="inlineStr">
        <is>
          <t>Week</t>
        </is>
      </c>
      <c r="C7635" s="19" t="n">
        <v>2</v>
      </c>
      <c r="D7635" s="19" t="n">
        <v>2029</v>
      </c>
      <c r="E7635" s="57" t="n">
        <v>7</v>
      </c>
      <c r="F7635" s="29">
        <f>ROUND(((SUMIFS(Calendar!$F$2:$F$9997,Calendar!$B$2:$B$9997,D7635,Calendar!$C$2:$C$9997,C7635)*INDEX(ForeCalc!$B$37:$Y$274,MATCH(_xlfn.CONCAT(H7635," ",I7635),ForeCalc!$A$37:$A$274,0),MATCH(_xlfn.CONCAT(B7635," ",E7635),ForeCalc!$B$36:$Y$36,0))))*VLOOKUP(A7635,Calendar!$A$2:$H$9997,8,FALSE),0)</f>
        <v/>
      </c>
      <c r="G7635" s="29">
        <f>VLOOKUP(A7635,Calendar!$A$1:$H$9997,6,FALSE)-F7635</f>
        <v/>
      </c>
      <c r="H7635" s="19" t="n">
        <v>3</v>
      </c>
      <c r="I7635" s="57" t="n">
        <v>11</v>
      </c>
    </row>
    <row r="7636">
      <c r="A7636" s="62" t="n">
        <v>47171</v>
      </c>
      <c r="B7636" s="3" t="inlineStr">
        <is>
          <t>Week</t>
        </is>
      </c>
      <c r="C7636" s="19" t="n">
        <v>2</v>
      </c>
      <c r="D7636" s="19" t="n">
        <v>2029</v>
      </c>
      <c r="E7636" s="57" t="n">
        <v>7</v>
      </c>
      <c r="F7636" s="29">
        <f>ROUND(((SUMIFS(Calendar!$F$2:$F$9997,Calendar!$B$2:$B$9997,D7636,Calendar!$C$2:$C$9997,C7636)*INDEX(ForeCalc!$B$37:$Y$274,MATCH(_xlfn.CONCAT(H7636," ",I7636),ForeCalc!$A$37:$A$274,0),MATCH(_xlfn.CONCAT(B7636," ",E7636),ForeCalc!$B$36:$Y$36,0))))*VLOOKUP(A7636,Calendar!$A$2:$H$9997,8,FALSE),0)</f>
        <v/>
      </c>
      <c r="G7636" s="29">
        <f>VLOOKUP(A7636,Calendar!$A$1:$H$9997,6,FALSE)-F7636</f>
        <v/>
      </c>
      <c r="H7636" s="19" t="n">
        <v>3</v>
      </c>
      <c r="I7636" s="57" t="n">
        <v>11</v>
      </c>
    </row>
    <row r="7637">
      <c r="A7637" s="62" t="n">
        <v>47172</v>
      </c>
      <c r="B7637" s="3" t="inlineStr">
        <is>
          <t>Week</t>
        </is>
      </c>
      <c r="C7637" s="19" t="n">
        <v>2</v>
      </c>
      <c r="D7637" s="19" t="n">
        <v>2029</v>
      </c>
      <c r="E7637" s="57" t="n">
        <v>7</v>
      </c>
      <c r="F7637" s="29">
        <f>ROUND(((SUMIFS(Calendar!$F$2:$F$9997,Calendar!$B$2:$B$9997,D7637,Calendar!$C$2:$C$9997,C7637)*INDEX(ForeCalc!$B$37:$Y$274,MATCH(_xlfn.CONCAT(H7637," ",I7637),ForeCalc!$A$37:$A$274,0),MATCH(_xlfn.CONCAT(B7637," ",E7637),ForeCalc!$B$36:$Y$36,0))))*VLOOKUP(A7637,Calendar!$A$2:$H$9997,8,FALSE),0)</f>
        <v/>
      </c>
      <c r="G7637" s="29">
        <f>VLOOKUP(A7637,Calendar!$A$1:$H$9997,6,FALSE)-F7637</f>
        <v/>
      </c>
      <c r="H7637" s="19" t="n">
        <v>3</v>
      </c>
      <c r="I7637" s="57" t="n">
        <v>11</v>
      </c>
    </row>
    <row r="7638">
      <c r="A7638" s="62" t="n">
        <v>47173</v>
      </c>
      <c r="B7638" s="3" t="inlineStr">
        <is>
          <t>Sat</t>
        </is>
      </c>
      <c r="C7638" s="19" t="n">
        <v>2</v>
      </c>
      <c r="D7638" s="19" t="n">
        <v>2029</v>
      </c>
      <c r="E7638" s="57" t="n">
        <v>7</v>
      </c>
      <c r="F7638" s="29">
        <f>ROUND(((SUMIFS(Calendar!$F$2:$F$9997,Calendar!$B$2:$B$9997,D7638,Calendar!$C$2:$C$9997,C7638)*INDEX(ForeCalc!$B$37:$Y$274,MATCH(_xlfn.CONCAT(H7638," ",I7638),ForeCalc!$A$37:$A$274,0),MATCH(_xlfn.CONCAT(B7638," ",E7638),ForeCalc!$B$36:$Y$36,0))))*VLOOKUP(A7638,Calendar!$A$2:$H$9997,8,FALSE),0)</f>
        <v/>
      </c>
      <c r="G7638" s="29">
        <f>VLOOKUP(A7638,Calendar!$A$1:$H$9997,6,FALSE)-F7638</f>
        <v/>
      </c>
      <c r="H7638" s="19" t="n">
        <v>3</v>
      </c>
      <c r="I7638" s="57" t="n">
        <v>11</v>
      </c>
    </row>
    <row r="7639">
      <c r="A7639" s="62" t="n">
        <v>47174</v>
      </c>
      <c r="B7639" s="3" t="inlineStr">
        <is>
          <t>Sun</t>
        </is>
      </c>
      <c r="C7639" s="19" t="n">
        <v>2</v>
      </c>
      <c r="D7639" s="19" t="n">
        <v>2029</v>
      </c>
      <c r="E7639" s="57" t="n">
        <v>7</v>
      </c>
      <c r="F7639" s="29">
        <f>ROUND(((SUMIFS(Calendar!$F$2:$F$9997,Calendar!$B$2:$B$9997,D7639,Calendar!$C$2:$C$9997,C7639)*INDEX(ForeCalc!$B$37:$Y$274,MATCH(_xlfn.CONCAT(H7639," ",I7639),ForeCalc!$A$37:$A$274,0),MATCH(_xlfn.CONCAT(B7639," ",E7639),ForeCalc!$B$36:$Y$36,0))))*VLOOKUP(A7639,Calendar!$A$2:$H$9997,8,FALSE),0)</f>
        <v/>
      </c>
      <c r="G7639" s="29">
        <f>VLOOKUP(A7639,Calendar!$A$1:$H$9997,6,FALSE)-F7639</f>
        <v/>
      </c>
      <c r="H7639" s="19" t="n">
        <v>3</v>
      </c>
      <c r="I7639" s="57" t="n">
        <v>11</v>
      </c>
    </row>
    <row r="7640">
      <c r="A7640" s="62" t="n">
        <v>47175</v>
      </c>
      <c r="B7640" s="3" t="inlineStr">
        <is>
          <t>Week</t>
        </is>
      </c>
      <c r="C7640" s="19" t="n">
        <v>2</v>
      </c>
      <c r="D7640" s="19" t="n">
        <v>2029</v>
      </c>
      <c r="E7640" s="57" t="n">
        <v>7</v>
      </c>
      <c r="F7640" s="29">
        <f>ROUND(((SUMIFS(Calendar!$F$2:$F$9997,Calendar!$B$2:$B$9997,D7640,Calendar!$C$2:$C$9997,C7640)*INDEX(ForeCalc!$B$37:$Y$274,MATCH(_xlfn.CONCAT(H7640," ",I7640),ForeCalc!$A$37:$A$274,0),MATCH(_xlfn.CONCAT(B7640," ",E7640),ForeCalc!$B$36:$Y$36,0))))*VLOOKUP(A7640,Calendar!$A$2:$H$9997,8,FALSE),0)</f>
        <v/>
      </c>
      <c r="G7640" s="29">
        <f>VLOOKUP(A7640,Calendar!$A$1:$H$9997,6,FALSE)-F7640</f>
        <v/>
      </c>
      <c r="H7640" s="19" t="n">
        <v>3</v>
      </c>
      <c r="I7640" s="57" t="n">
        <v>11</v>
      </c>
    </row>
    <row r="7641">
      <c r="A7641" s="62" t="n">
        <v>47176</v>
      </c>
      <c r="B7641" s="3" t="inlineStr">
        <is>
          <t>Week</t>
        </is>
      </c>
      <c r="C7641" s="19" t="n">
        <v>2</v>
      </c>
      <c r="D7641" s="19" t="n">
        <v>2029</v>
      </c>
      <c r="E7641" s="57" t="n">
        <v>7</v>
      </c>
      <c r="F7641" s="29">
        <f>ROUND(((SUMIFS(Calendar!$F$2:$F$9997,Calendar!$B$2:$B$9997,D7641,Calendar!$C$2:$C$9997,C7641)*INDEX(ForeCalc!$B$37:$Y$274,MATCH(_xlfn.CONCAT(H7641," ",I7641),ForeCalc!$A$37:$A$274,0),MATCH(_xlfn.CONCAT(B7641," ",E7641),ForeCalc!$B$36:$Y$36,0))))*VLOOKUP(A7641,Calendar!$A$2:$H$9997,8,FALSE),0)</f>
        <v/>
      </c>
      <c r="G7641" s="29">
        <f>VLOOKUP(A7641,Calendar!$A$1:$H$9997,6,FALSE)-F7641</f>
        <v/>
      </c>
      <c r="H7641" s="19" t="n">
        <v>3</v>
      </c>
      <c r="I7641" s="57" t="n">
        <v>11</v>
      </c>
    </row>
    <row r="7642">
      <c r="A7642" s="62" t="n">
        <v>47177</v>
      </c>
      <c r="B7642" s="3" t="inlineStr">
        <is>
          <t>Week</t>
        </is>
      </c>
      <c r="C7642" s="19" t="n">
        <v>2</v>
      </c>
      <c r="D7642" s="19" t="n">
        <v>2029</v>
      </c>
      <c r="E7642" s="57" t="n">
        <v>7</v>
      </c>
      <c r="F7642" s="29">
        <f>ROUND(((SUMIFS(Calendar!$F$2:$F$9997,Calendar!$B$2:$B$9997,D7642,Calendar!$C$2:$C$9997,C7642)*INDEX(ForeCalc!$B$37:$Y$274,MATCH(_xlfn.CONCAT(H7642," ",I7642),ForeCalc!$A$37:$A$274,0),MATCH(_xlfn.CONCAT(B7642," ",E7642),ForeCalc!$B$36:$Y$36,0))))*VLOOKUP(A7642,Calendar!$A$2:$H$9997,8,FALSE),0)</f>
        <v/>
      </c>
      <c r="G7642" s="29">
        <f>VLOOKUP(A7642,Calendar!$A$1:$H$9997,6,FALSE)-F7642</f>
        <v/>
      </c>
      <c r="H7642" s="19" t="n">
        <v>3</v>
      </c>
      <c r="I7642" s="57" t="n">
        <v>11</v>
      </c>
    </row>
    <row r="7643">
      <c r="A7643" s="62" t="n">
        <v>47178</v>
      </c>
      <c r="B7643" s="3" t="inlineStr">
        <is>
          <t>Week</t>
        </is>
      </c>
      <c r="C7643" s="19" t="n">
        <v>3</v>
      </c>
      <c r="D7643" s="19" t="n">
        <v>2029</v>
      </c>
      <c r="E7643" s="57" t="n">
        <v>7</v>
      </c>
      <c r="F7643" s="29">
        <f>ROUND(((SUMIFS(Calendar!$F$2:$F$9997,Calendar!$B$2:$B$9997,D7643,Calendar!$C$2:$C$9997,C7643)*INDEX(ForeCalc!$B$37:$Y$274,MATCH(_xlfn.CONCAT(H7643," ",I7643),ForeCalc!$A$37:$A$274,0),MATCH(_xlfn.CONCAT(B7643," ",E7643),ForeCalc!$B$36:$Y$36,0))))*VLOOKUP(A7643,Calendar!$A$2:$H$9997,8,FALSE),0)</f>
        <v/>
      </c>
      <c r="G7643" s="29">
        <f>VLOOKUP(A7643,Calendar!$A$1:$H$9997,6,FALSE)-F7643</f>
        <v/>
      </c>
      <c r="H7643" s="19" t="n">
        <v>3</v>
      </c>
      <c r="I7643" s="57" t="n">
        <v>12</v>
      </c>
    </row>
    <row r="7644">
      <c r="A7644" s="62" t="n">
        <v>47179</v>
      </c>
      <c r="B7644" s="3" t="inlineStr">
        <is>
          <t>Week</t>
        </is>
      </c>
      <c r="C7644" s="19" t="n">
        <v>3</v>
      </c>
      <c r="D7644" s="19" t="n">
        <v>2029</v>
      </c>
      <c r="E7644" s="57" t="n">
        <v>7</v>
      </c>
      <c r="F7644" s="29">
        <f>ROUND(((SUMIFS(Calendar!$F$2:$F$9997,Calendar!$B$2:$B$9997,D7644,Calendar!$C$2:$C$9997,C7644)*INDEX(ForeCalc!$B$37:$Y$274,MATCH(_xlfn.CONCAT(H7644," ",I7644),ForeCalc!$A$37:$A$274,0),MATCH(_xlfn.CONCAT(B7644," ",E7644),ForeCalc!$B$36:$Y$36,0))))*VLOOKUP(A7644,Calendar!$A$2:$H$9997,8,FALSE),0)</f>
        <v/>
      </c>
      <c r="G7644" s="29">
        <f>VLOOKUP(A7644,Calendar!$A$1:$H$9997,6,FALSE)-F7644</f>
        <v/>
      </c>
      <c r="H7644" s="19" t="n">
        <v>3</v>
      </c>
      <c r="I7644" s="57" t="n">
        <v>12</v>
      </c>
    </row>
    <row r="7645">
      <c r="A7645" s="62" t="n">
        <v>47180</v>
      </c>
      <c r="B7645" s="3" t="inlineStr">
        <is>
          <t>Sat</t>
        </is>
      </c>
      <c r="C7645" s="19" t="n">
        <v>3</v>
      </c>
      <c r="D7645" s="19" t="n">
        <v>2029</v>
      </c>
      <c r="E7645" s="57" t="n">
        <v>7</v>
      </c>
      <c r="F7645" s="29">
        <f>ROUND(((SUMIFS(Calendar!$F$2:$F$9997,Calendar!$B$2:$B$9997,D7645,Calendar!$C$2:$C$9997,C7645)*INDEX(ForeCalc!$B$37:$Y$274,MATCH(_xlfn.CONCAT(H7645," ",I7645),ForeCalc!$A$37:$A$274,0),MATCH(_xlfn.CONCAT(B7645," ",E7645),ForeCalc!$B$36:$Y$36,0))))*VLOOKUP(A7645,Calendar!$A$2:$H$9997,8,FALSE),0)</f>
        <v/>
      </c>
      <c r="G7645" s="29">
        <f>VLOOKUP(A7645,Calendar!$A$1:$H$9997,6,FALSE)-F7645</f>
        <v/>
      </c>
      <c r="H7645" s="19" t="n">
        <v>3</v>
      </c>
      <c r="I7645" s="57" t="n">
        <v>12</v>
      </c>
    </row>
    <row r="7646">
      <c r="A7646" s="62" t="n">
        <v>47181</v>
      </c>
      <c r="B7646" s="3" t="inlineStr">
        <is>
          <t>Sun</t>
        </is>
      </c>
      <c r="C7646" s="19" t="n">
        <v>3</v>
      </c>
      <c r="D7646" s="19" t="n">
        <v>2029</v>
      </c>
      <c r="E7646" s="57" t="n">
        <v>7</v>
      </c>
      <c r="F7646" s="29">
        <f>ROUND(((SUMIFS(Calendar!$F$2:$F$9997,Calendar!$B$2:$B$9997,D7646,Calendar!$C$2:$C$9997,C7646)*INDEX(ForeCalc!$B$37:$Y$274,MATCH(_xlfn.CONCAT(H7646," ",I7646),ForeCalc!$A$37:$A$274,0),MATCH(_xlfn.CONCAT(B7646," ",E7646),ForeCalc!$B$36:$Y$36,0))))*VLOOKUP(A7646,Calendar!$A$2:$H$9997,8,FALSE),0)</f>
        <v/>
      </c>
      <c r="G7646" s="29">
        <f>VLOOKUP(A7646,Calendar!$A$1:$H$9997,6,FALSE)-F7646</f>
        <v/>
      </c>
      <c r="H7646" s="19" t="n">
        <v>3</v>
      </c>
      <c r="I7646" s="57" t="n">
        <v>12</v>
      </c>
    </row>
    <row r="7647">
      <c r="A7647" s="62" t="n">
        <v>47182</v>
      </c>
      <c r="B7647" s="3" t="inlineStr">
        <is>
          <t>Week</t>
        </is>
      </c>
      <c r="C7647" s="19" t="n">
        <v>3</v>
      </c>
      <c r="D7647" s="19" t="n">
        <v>2029</v>
      </c>
      <c r="E7647" s="57" t="n">
        <v>7</v>
      </c>
      <c r="F7647" s="29">
        <f>ROUND(((SUMIFS(Calendar!$F$2:$F$9997,Calendar!$B$2:$B$9997,D7647,Calendar!$C$2:$C$9997,C7647)*INDEX(ForeCalc!$B$37:$Y$274,MATCH(_xlfn.CONCAT(H7647," ",I7647),ForeCalc!$A$37:$A$274,0),MATCH(_xlfn.CONCAT(B7647," ",E7647),ForeCalc!$B$36:$Y$36,0))))*VLOOKUP(A7647,Calendar!$A$2:$H$9997,8,FALSE),0)</f>
        <v/>
      </c>
      <c r="G7647" s="29">
        <f>VLOOKUP(A7647,Calendar!$A$1:$H$9997,6,FALSE)-F7647</f>
        <v/>
      </c>
      <c r="H7647" s="19" t="n">
        <v>3</v>
      </c>
      <c r="I7647" s="57" t="n">
        <v>12</v>
      </c>
    </row>
    <row r="7648">
      <c r="A7648" s="62" t="n">
        <v>47183</v>
      </c>
      <c r="B7648" s="3" t="inlineStr">
        <is>
          <t>Week</t>
        </is>
      </c>
      <c r="C7648" s="19" t="n">
        <v>3</v>
      </c>
      <c r="D7648" s="19" t="n">
        <v>2029</v>
      </c>
      <c r="E7648" s="57" t="n">
        <v>7</v>
      </c>
      <c r="F7648" s="29">
        <f>ROUND(((SUMIFS(Calendar!$F$2:$F$9997,Calendar!$B$2:$B$9997,D7648,Calendar!$C$2:$C$9997,C7648)*INDEX(ForeCalc!$B$37:$Y$274,MATCH(_xlfn.CONCAT(H7648," ",I7648),ForeCalc!$A$37:$A$274,0),MATCH(_xlfn.CONCAT(B7648," ",E7648),ForeCalc!$B$36:$Y$36,0))))*VLOOKUP(A7648,Calendar!$A$2:$H$9997,8,FALSE),0)</f>
        <v/>
      </c>
      <c r="G7648" s="29">
        <f>VLOOKUP(A7648,Calendar!$A$1:$H$9997,6,FALSE)-F7648</f>
        <v/>
      </c>
      <c r="H7648" s="19" t="n">
        <v>3</v>
      </c>
      <c r="I7648" s="57" t="n">
        <v>12</v>
      </c>
    </row>
    <row r="7649">
      <c r="A7649" s="62" t="n">
        <v>47184</v>
      </c>
      <c r="B7649" s="3" t="inlineStr">
        <is>
          <t>Week</t>
        </is>
      </c>
      <c r="C7649" s="19" t="n">
        <v>3</v>
      </c>
      <c r="D7649" s="19" t="n">
        <v>2029</v>
      </c>
      <c r="E7649" s="57" t="n">
        <v>7</v>
      </c>
      <c r="F7649" s="29">
        <f>ROUND(((SUMIFS(Calendar!$F$2:$F$9997,Calendar!$B$2:$B$9997,D7649,Calendar!$C$2:$C$9997,C7649)*INDEX(ForeCalc!$B$37:$Y$274,MATCH(_xlfn.CONCAT(H7649," ",I7649),ForeCalc!$A$37:$A$274,0),MATCH(_xlfn.CONCAT(B7649," ",E7649),ForeCalc!$B$36:$Y$36,0))))*VLOOKUP(A7649,Calendar!$A$2:$H$9997,8,FALSE),0)</f>
        <v/>
      </c>
      <c r="G7649" s="29">
        <f>VLOOKUP(A7649,Calendar!$A$1:$H$9997,6,FALSE)-F7649</f>
        <v/>
      </c>
      <c r="H7649" s="19" t="n">
        <v>3</v>
      </c>
      <c r="I7649" s="57" t="n">
        <v>12</v>
      </c>
    </row>
    <row r="7650">
      <c r="A7650" s="62" t="n">
        <v>47185</v>
      </c>
      <c r="B7650" s="3" t="inlineStr">
        <is>
          <t>Week</t>
        </is>
      </c>
      <c r="C7650" s="19" t="n">
        <v>3</v>
      </c>
      <c r="D7650" s="19" t="n">
        <v>2029</v>
      </c>
      <c r="E7650" s="57" t="n">
        <v>7</v>
      </c>
      <c r="F7650" s="29">
        <f>ROUND(((SUMIFS(Calendar!$F$2:$F$9997,Calendar!$B$2:$B$9997,D7650,Calendar!$C$2:$C$9997,C7650)*INDEX(ForeCalc!$B$37:$Y$274,MATCH(_xlfn.CONCAT(H7650," ",I7650),ForeCalc!$A$37:$A$274,0),MATCH(_xlfn.CONCAT(B7650," ",E7650),ForeCalc!$B$36:$Y$36,0))))*VLOOKUP(A7650,Calendar!$A$2:$H$9997,8,FALSE),0)</f>
        <v/>
      </c>
      <c r="G7650" s="29">
        <f>VLOOKUP(A7650,Calendar!$A$1:$H$9997,6,FALSE)-F7650</f>
        <v/>
      </c>
      <c r="H7650" s="19" t="n">
        <v>3</v>
      </c>
      <c r="I7650" s="57" t="n">
        <v>12</v>
      </c>
    </row>
    <row r="7651">
      <c r="A7651" s="62" t="n">
        <v>47186</v>
      </c>
      <c r="B7651" s="3" t="inlineStr">
        <is>
          <t>Week</t>
        </is>
      </c>
      <c r="C7651" s="19" t="n">
        <v>3</v>
      </c>
      <c r="D7651" s="19" t="n">
        <v>2029</v>
      </c>
      <c r="E7651" s="57" t="n">
        <v>7</v>
      </c>
      <c r="F7651" s="29">
        <f>ROUND(((SUMIFS(Calendar!$F$2:$F$9997,Calendar!$B$2:$B$9997,D7651,Calendar!$C$2:$C$9997,C7651)*INDEX(ForeCalc!$B$37:$Y$274,MATCH(_xlfn.CONCAT(H7651," ",I7651),ForeCalc!$A$37:$A$274,0),MATCH(_xlfn.CONCAT(B7651," ",E7651),ForeCalc!$B$36:$Y$36,0))))*VLOOKUP(A7651,Calendar!$A$2:$H$9997,8,FALSE),0)</f>
        <v/>
      </c>
      <c r="G7651" s="29">
        <f>VLOOKUP(A7651,Calendar!$A$1:$H$9997,6,FALSE)-F7651</f>
        <v/>
      </c>
      <c r="H7651" s="19" t="n">
        <v>3</v>
      </c>
      <c r="I7651" s="57" t="n">
        <v>12</v>
      </c>
    </row>
    <row r="7652">
      <c r="A7652" s="62" t="n">
        <v>47187</v>
      </c>
      <c r="B7652" s="3" t="inlineStr">
        <is>
          <t>Sat</t>
        </is>
      </c>
      <c r="C7652" s="19" t="n">
        <v>3</v>
      </c>
      <c r="D7652" s="19" t="n">
        <v>2029</v>
      </c>
      <c r="E7652" s="57" t="n">
        <v>7</v>
      </c>
      <c r="F7652" s="29">
        <f>ROUND(((SUMIFS(Calendar!$F$2:$F$9997,Calendar!$B$2:$B$9997,D7652,Calendar!$C$2:$C$9997,C7652)*INDEX(ForeCalc!$B$37:$Y$274,MATCH(_xlfn.CONCAT(H7652," ",I7652),ForeCalc!$A$37:$A$274,0),MATCH(_xlfn.CONCAT(B7652," ",E7652),ForeCalc!$B$36:$Y$36,0))))*VLOOKUP(A7652,Calendar!$A$2:$H$9997,8,FALSE),0)</f>
        <v/>
      </c>
      <c r="G7652" s="29">
        <f>VLOOKUP(A7652,Calendar!$A$1:$H$9997,6,FALSE)-F7652</f>
        <v/>
      </c>
      <c r="H7652" s="19" t="n">
        <v>3</v>
      </c>
      <c r="I7652" s="57" t="n">
        <v>12</v>
      </c>
    </row>
    <row r="7653">
      <c r="A7653" s="62" t="n">
        <v>47188</v>
      </c>
      <c r="B7653" s="3" t="inlineStr">
        <is>
          <t>Sun</t>
        </is>
      </c>
      <c r="C7653" s="19" t="n">
        <v>3</v>
      </c>
      <c r="D7653" s="19" t="n">
        <v>2029</v>
      </c>
      <c r="E7653" s="57" t="n">
        <v>7</v>
      </c>
      <c r="F7653" s="29">
        <f>ROUND(((SUMIFS(Calendar!$F$2:$F$9997,Calendar!$B$2:$B$9997,D7653,Calendar!$C$2:$C$9997,C7653)*INDEX(ForeCalc!$B$37:$Y$274,MATCH(_xlfn.CONCAT(H7653," ",I7653),ForeCalc!$A$37:$A$274,0),MATCH(_xlfn.CONCAT(B7653," ",E7653),ForeCalc!$B$36:$Y$36,0))))*VLOOKUP(A7653,Calendar!$A$2:$H$9997,8,FALSE),0)</f>
        <v/>
      </c>
      <c r="G7653" s="29">
        <f>VLOOKUP(A7653,Calendar!$A$1:$H$9997,6,FALSE)-F7653</f>
        <v/>
      </c>
      <c r="H7653" s="19" t="n">
        <v>3</v>
      </c>
      <c r="I7653" s="57" t="n">
        <v>12</v>
      </c>
    </row>
    <row r="7654">
      <c r="A7654" s="62" t="n">
        <v>47189</v>
      </c>
      <c r="B7654" s="3" t="inlineStr">
        <is>
          <t>Week</t>
        </is>
      </c>
      <c r="C7654" s="19" t="n">
        <v>3</v>
      </c>
      <c r="D7654" s="19" t="n">
        <v>2029</v>
      </c>
      <c r="E7654" s="57" t="n">
        <v>7</v>
      </c>
      <c r="F7654" s="29">
        <f>ROUND(((SUMIFS(Calendar!$F$2:$F$9997,Calendar!$B$2:$B$9997,D7654,Calendar!$C$2:$C$9997,C7654)*INDEX(ForeCalc!$B$37:$Y$274,MATCH(_xlfn.CONCAT(H7654," ",I7654),ForeCalc!$A$37:$A$274,0),MATCH(_xlfn.CONCAT(B7654," ",E7654),ForeCalc!$B$36:$Y$36,0))))*VLOOKUP(A7654,Calendar!$A$2:$H$9997,8,FALSE),0)</f>
        <v/>
      </c>
      <c r="G7654" s="29">
        <f>VLOOKUP(A7654,Calendar!$A$1:$H$9997,6,FALSE)-F7654</f>
        <v/>
      </c>
      <c r="H7654" s="19" t="n">
        <v>3</v>
      </c>
      <c r="I7654" s="57" t="n">
        <v>12</v>
      </c>
    </row>
    <row r="7655">
      <c r="A7655" s="62" t="n">
        <v>47190</v>
      </c>
      <c r="B7655" s="3" t="inlineStr">
        <is>
          <t>Week</t>
        </is>
      </c>
      <c r="C7655" s="19" t="n">
        <v>3</v>
      </c>
      <c r="D7655" s="19" t="n">
        <v>2029</v>
      </c>
      <c r="E7655" s="57" t="n">
        <v>7</v>
      </c>
      <c r="F7655" s="29">
        <f>ROUND(((SUMIFS(Calendar!$F$2:$F$9997,Calendar!$B$2:$B$9997,D7655,Calendar!$C$2:$C$9997,C7655)*INDEX(ForeCalc!$B$37:$Y$274,MATCH(_xlfn.CONCAT(H7655," ",I7655),ForeCalc!$A$37:$A$274,0),MATCH(_xlfn.CONCAT(B7655," ",E7655),ForeCalc!$B$36:$Y$36,0))))*VLOOKUP(A7655,Calendar!$A$2:$H$9997,8,FALSE),0)</f>
        <v/>
      </c>
      <c r="G7655" s="29">
        <f>VLOOKUP(A7655,Calendar!$A$1:$H$9997,6,FALSE)-F7655</f>
        <v/>
      </c>
      <c r="H7655" s="19" t="n">
        <v>3</v>
      </c>
      <c r="I7655" s="57" t="n">
        <v>12</v>
      </c>
    </row>
    <row r="7656">
      <c r="A7656" s="62" t="n">
        <v>47191</v>
      </c>
      <c r="B7656" s="3" t="inlineStr">
        <is>
          <t>Week</t>
        </is>
      </c>
      <c r="C7656" s="19" t="n">
        <v>3</v>
      </c>
      <c r="D7656" s="19" t="n">
        <v>2029</v>
      </c>
      <c r="E7656" s="57" t="n">
        <v>7</v>
      </c>
      <c r="F7656" s="29">
        <f>ROUND(((SUMIFS(Calendar!$F$2:$F$9997,Calendar!$B$2:$B$9997,D7656,Calendar!$C$2:$C$9997,C7656)*INDEX(ForeCalc!$B$37:$Y$274,MATCH(_xlfn.CONCAT(H7656," ",I7656),ForeCalc!$A$37:$A$274,0),MATCH(_xlfn.CONCAT(B7656," ",E7656),ForeCalc!$B$36:$Y$36,0))))*VLOOKUP(A7656,Calendar!$A$2:$H$9997,8,FALSE),0)</f>
        <v/>
      </c>
      <c r="G7656" s="29">
        <f>VLOOKUP(A7656,Calendar!$A$1:$H$9997,6,FALSE)-F7656</f>
        <v/>
      </c>
      <c r="H7656" s="19" t="n">
        <v>3</v>
      </c>
      <c r="I7656" s="57" t="n">
        <v>12</v>
      </c>
    </row>
    <row r="7657">
      <c r="A7657" s="62" t="n">
        <v>47192</v>
      </c>
      <c r="B7657" s="3" t="inlineStr">
        <is>
          <t>Week</t>
        </is>
      </c>
      <c r="C7657" s="19" t="n">
        <v>3</v>
      </c>
      <c r="D7657" s="19" t="n">
        <v>2029</v>
      </c>
      <c r="E7657" s="57" t="n">
        <v>7</v>
      </c>
      <c r="F7657" s="29">
        <f>ROUND(((SUMIFS(Calendar!$F$2:$F$9997,Calendar!$B$2:$B$9997,D7657,Calendar!$C$2:$C$9997,C7657)*INDEX(ForeCalc!$B$37:$Y$274,MATCH(_xlfn.CONCAT(H7657," ",I7657),ForeCalc!$A$37:$A$274,0),MATCH(_xlfn.CONCAT(B7657," ",E7657),ForeCalc!$B$36:$Y$36,0))))*VLOOKUP(A7657,Calendar!$A$2:$H$9997,8,FALSE),0)</f>
        <v/>
      </c>
      <c r="G7657" s="29">
        <f>VLOOKUP(A7657,Calendar!$A$1:$H$9997,6,FALSE)-F7657</f>
        <v/>
      </c>
      <c r="H7657" s="19" t="n">
        <v>3</v>
      </c>
      <c r="I7657" s="57" t="n">
        <v>12</v>
      </c>
    </row>
    <row r="7658">
      <c r="A7658" s="62" t="n">
        <v>47193</v>
      </c>
      <c r="B7658" s="3" t="inlineStr">
        <is>
          <t>Week</t>
        </is>
      </c>
      <c r="C7658" s="19" t="n">
        <v>3</v>
      </c>
      <c r="D7658" s="19" t="n">
        <v>2029</v>
      </c>
      <c r="E7658" s="57" t="n">
        <v>7</v>
      </c>
      <c r="F7658" s="29">
        <f>ROUND(((SUMIFS(Calendar!$F$2:$F$9997,Calendar!$B$2:$B$9997,D7658,Calendar!$C$2:$C$9997,C7658)*INDEX(ForeCalc!$B$37:$Y$274,MATCH(_xlfn.CONCAT(H7658," ",I7658),ForeCalc!$A$37:$A$274,0),MATCH(_xlfn.CONCAT(B7658," ",E7658),ForeCalc!$B$36:$Y$36,0))))*VLOOKUP(A7658,Calendar!$A$2:$H$9997,8,FALSE),0)</f>
        <v/>
      </c>
      <c r="G7658" s="29">
        <f>VLOOKUP(A7658,Calendar!$A$1:$H$9997,6,FALSE)-F7658</f>
        <v/>
      </c>
      <c r="H7658" s="19" t="n">
        <v>3</v>
      </c>
      <c r="I7658" s="57" t="n">
        <v>12</v>
      </c>
    </row>
    <row r="7659">
      <c r="A7659" s="62" t="n">
        <v>47194</v>
      </c>
      <c r="B7659" s="3" t="inlineStr">
        <is>
          <t>Sat</t>
        </is>
      </c>
      <c r="C7659" s="19" t="n">
        <v>3</v>
      </c>
      <c r="D7659" s="19" t="n">
        <v>2029</v>
      </c>
      <c r="E7659" s="57" t="n">
        <v>7</v>
      </c>
      <c r="F7659" s="29">
        <f>ROUND(((SUMIFS(Calendar!$F$2:$F$9997,Calendar!$B$2:$B$9997,D7659,Calendar!$C$2:$C$9997,C7659)*INDEX(ForeCalc!$B$37:$Y$274,MATCH(_xlfn.CONCAT(H7659," ",I7659),ForeCalc!$A$37:$A$274,0),MATCH(_xlfn.CONCAT(B7659," ",E7659),ForeCalc!$B$36:$Y$36,0))))*VLOOKUP(A7659,Calendar!$A$2:$H$9997,8,FALSE),0)</f>
        <v/>
      </c>
      <c r="G7659" s="29">
        <f>VLOOKUP(A7659,Calendar!$A$1:$H$9997,6,FALSE)-F7659</f>
        <v/>
      </c>
      <c r="H7659" s="19" t="n">
        <v>3</v>
      </c>
      <c r="I7659" s="57" t="n">
        <v>12</v>
      </c>
    </row>
    <row r="7660">
      <c r="A7660" s="62" t="n">
        <v>47195</v>
      </c>
      <c r="B7660" s="3" t="inlineStr">
        <is>
          <t>Sun</t>
        </is>
      </c>
      <c r="C7660" s="19" t="n">
        <v>3</v>
      </c>
      <c r="D7660" s="19" t="n">
        <v>2029</v>
      </c>
      <c r="E7660" s="57" t="n">
        <v>7</v>
      </c>
      <c r="F7660" s="29">
        <f>ROUND(((SUMIFS(Calendar!$F$2:$F$9997,Calendar!$B$2:$B$9997,D7660,Calendar!$C$2:$C$9997,C7660)*INDEX(ForeCalc!$B$37:$Y$274,MATCH(_xlfn.CONCAT(H7660," ",I7660),ForeCalc!$A$37:$A$274,0),MATCH(_xlfn.CONCAT(B7660," ",E7660),ForeCalc!$B$36:$Y$36,0))))*VLOOKUP(A7660,Calendar!$A$2:$H$9997,8,FALSE),0)</f>
        <v/>
      </c>
      <c r="G7660" s="29">
        <f>VLOOKUP(A7660,Calendar!$A$1:$H$9997,6,FALSE)-F7660</f>
        <v/>
      </c>
      <c r="H7660" s="19" t="n">
        <v>3</v>
      </c>
      <c r="I7660" s="57" t="n">
        <v>12</v>
      </c>
    </row>
    <row r="7661">
      <c r="A7661" s="62" t="n">
        <v>47196</v>
      </c>
      <c r="B7661" s="3" t="inlineStr">
        <is>
          <t>Week</t>
        </is>
      </c>
      <c r="C7661" s="19" t="n">
        <v>3</v>
      </c>
      <c r="D7661" s="19" t="n">
        <v>2029</v>
      </c>
      <c r="E7661" s="57" t="n">
        <v>7</v>
      </c>
      <c r="F7661" s="29">
        <f>ROUND(((SUMIFS(Calendar!$F$2:$F$9997,Calendar!$B$2:$B$9997,D7661,Calendar!$C$2:$C$9997,C7661)*INDEX(ForeCalc!$B$37:$Y$274,MATCH(_xlfn.CONCAT(H7661," ",I7661),ForeCalc!$A$37:$A$274,0),MATCH(_xlfn.CONCAT(B7661," ",E7661),ForeCalc!$B$36:$Y$36,0))))*VLOOKUP(A7661,Calendar!$A$2:$H$9997,8,FALSE),0)</f>
        <v/>
      </c>
      <c r="G7661" s="29">
        <f>VLOOKUP(A7661,Calendar!$A$1:$H$9997,6,FALSE)-F7661</f>
        <v/>
      </c>
      <c r="H7661" s="19" t="n">
        <v>3</v>
      </c>
      <c r="I7661" s="57" t="n">
        <v>12</v>
      </c>
    </row>
    <row r="7662">
      <c r="A7662" s="62" t="n">
        <v>47197</v>
      </c>
      <c r="B7662" s="3" t="inlineStr">
        <is>
          <t>Week</t>
        </is>
      </c>
      <c r="C7662" s="19" t="n">
        <v>3</v>
      </c>
      <c r="D7662" s="19" t="n">
        <v>2029</v>
      </c>
      <c r="E7662" s="57" t="n">
        <v>7</v>
      </c>
      <c r="F7662" s="29">
        <f>ROUND(((SUMIFS(Calendar!$F$2:$F$9997,Calendar!$B$2:$B$9997,D7662,Calendar!$C$2:$C$9997,C7662)*INDEX(ForeCalc!$B$37:$Y$274,MATCH(_xlfn.CONCAT(H7662," ",I7662),ForeCalc!$A$37:$A$274,0),MATCH(_xlfn.CONCAT(B7662," ",E7662),ForeCalc!$B$36:$Y$36,0))))*VLOOKUP(A7662,Calendar!$A$2:$H$9997,8,FALSE),0)</f>
        <v/>
      </c>
      <c r="G7662" s="29">
        <f>VLOOKUP(A7662,Calendar!$A$1:$H$9997,6,FALSE)-F7662</f>
        <v/>
      </c>
      <c r="H7662" s="19" t="n">
        <v>3</v>
      </c>
      <c r="I7662" s="57" t="n">
        <v>12</v>
      </c>
    </row>
    <row r="7663">
      <c r="A7663" s="62" t="n">
        <v>47198</v>
      </c>
      <c r="B7663" s="3" t="inlineStr">
        <is>
          <t>Week</t>
        </is>
      </c>
      <c r="C7663" s="19" t="n">
        <v>3</v>
      </c>
      <c r="D7663" s="19" t="n">
        <v>2029</v>
      </c>
      <c r="E7663" s="57" t="n">
        <v>7</v>
      </c>
      <c r="F7663" s="29">
        <f>ROUND(((SUMIFS(Calendar!$F$2:$F$9997,Calendar!$B$2:$B$9997,D7663,Calendar!$C$2:$C$9997,C7663)*INDEX(ForeCalc!$B$37:$Y$274,MATCH(_xlfn.CONCAT(H7663," ",I7663),ForeCalc!$A$37:$A$274,0),MATCH(_xlfn.CONCAT(B7663," ",E7663),ForeCalc!$B$36:$Y$36,0))))*VLOOKUP(A7663,Calendar!$A$2:$H$9997,8,FALSE),0)</f>
        <v/>
      </c>
      <c r="G7663" s="29">
        <f>VLOOKUP(A7663,Calendar!$A$1:$H$9997,6,FALSE)-F7663</f>
        <v/>
      </c>
      <c r="H7663" s="19" t="n">
        <v>3</v>
      </c>
      <c r="I7663" s="57" t="n">
        <v>12</v>
      </c>
    </row>
    <row r="7664">
      <c r="A7664" s="62" t="n">
        <v>47199</v>
      </c>
      <c r="B7664" s="3" t="inlineStr">
        <is>
          <t>Week</t>
        </is>
      </c>
      <c r="C7664" s="19" t="n">
        <v>3</v>
      </c>
      <c r="D7664" s="19" t="n">
        <v>2029</v>
      </c>
      <c r="E7664" s="57" t="n">
        <v>7</v>
      </c>
      <c r="F7664" s="29">
        <f>ROUND(((SUMIFS(Calendar!$F$2:$F$9997,Calendar!$B$2:$B$9997,D7664,Calendar!$C$2:$C$9997,C7664)*INDEX(ForeCalc!$B$37:$Y$274,MATCH(_xlfn.CONCAT(H7664," ",I7664),ForeCalc!$A$37:$A$274,0),MATCH(_xlfn.CONCAT(B7664," ",E7664),ForeCalc!$B$36:$Y$36,0))))*VLOOKUP(A7664,Calendar!$A$2:$H$9997,8,FALSE),0)</f>
        <v/>
      </c>
      <c r="G7664" s="29">
        <f>VLOOKUP(A7664,Calendar!$A$1:$H$9997,6,FALSE)-F7664</f>
        <v/>
      </c>
      <c r="H7664" s="19" t="n">
        <v>3</v>
      </c>
      <c r="I7664" s="57" t="n">
        <v>12</v>
      </c>
    </row>
    <row r="7665">
      <c r="A7665" s="62" t="n">
        <v>47200</v>
      </c>
      <c r="B7665" s="3" t="inlineStr">
        <is>
          <t>Week</t>
        </is>
      </c>
      <c r="C7665" s="19" t="n">
        <v>3</v>
      </c>
      <c r="D7665" s="19" t="n">
        <v>2029</v>
      </c>
      <c r="E7665" s="57" t="n">
        <v>7</v>
      </c>
      <c r="F7665" s="29">
        <f>ROUND(((SUMIFS(Calendar!$F$2:$F$9997,Calendar!$B$2:$B$9997,D7665,Calendar!$C$2:$C$9997,C7665)*INDEX(ForeCalc!$B$37:$Y$274,MATCH(_xlfn.CONCAT(H7665," ",I7665),ForeCalc!$A$37:$A$274,0),MATCH(_xlfn.CONCAT(B7665," ",E7665),ForeCalc!$B$36:$Y$36,0))))*VLOOKUP(A7665,Calendar!$A$2:$H$9997,8,FALSE),0)</f>
        <v/>
      </c>
      <c r="G7665" s="29">
        <f>VLOOKUP(A7665,Calendar!$A$1:$H$9997,6,FALSE)-F7665</f>
        <v/>
      </c>
      <c r="H7665" s="19" t="n">
        <v>3</v>
      </c>
      <c r="I7665" s="57" t="n">
        <v>12</v>
      </c>
    </row>
    <row r="7666">
      <c r="A7666" s="62" t="n">
        <v>47201</v>
      </c>
      <c r="B7666" s="3" t="inlineStr">
        <is>
          <t>Sat</t>
        </is>
      </c>
      <c r="C7666" s="19" t="n">
        <v>3</v>
      </c>
      <c r="D7666" s="19" t="n">
        <v>2029</v>
      </c>
      <c r="E7666" s="57" t="n">
        <v>7</v>
      </c>
      <c r="F7666" s="29">
        <f>ROUND(((SUMIFS(Calendar!$F$2:$F$9997,Calendar!$B$2:$B$9997,D7666,Calendar!$C$2:$C$9997,C7666)*INDEX(ForeCalc!$B$37:$Y$274,MATCH(_xlfn.CONCAT(H7666," ",I7666),ForeCalc!$A$37:$A$274,0),MATCH(_xlfn.CONCAT(B7666," ",E7666),ForeCalc!$B$36:$Y$36,0))))*VLOOKUP(A7666,Calendar!$A$2:$H$9997,8,FALSE),0)</f>
        <v/>
      </c>
      <c r="G7666" s="29">
        <f>VLOOKUP(A7666,Calendar!$A$1:$H$9997,6,FALSE)-F7666</f>
        <v/>
      </c>
      <c r="H7666" s="19" t="n">
        <v>3</v>
      </c>
      <c r="I7666" s="57" t="n">
        <v>12</v>
      </c>
    </row>
    <row r="7667">
      <c r="A7667" s="62" t="n">
        <v>47202</v>
      </c>
      <c r="B7667" s="3" t="inlineStr">
        <is>
          <t>Sun</t>
        </is>
      </c>
      <c r="C7667" s="19" t="n">
        <v>3</v>
      </c>
      <c r="D7667" s="19" t="n">
        <v>2029</v>
      </c>
      <c r="E7667" s="57" t="n">
        <v>7</v>
      </c>
      <c r="F7667" s="29">
        <f>ROUND(((SUMIFS(Calendar!$F$2:$F$9997,Calendar!$B$2:$B$9997,D7667,Calendar!$C$2:$C$9997,C7667)*INDEX(ForeCalc!$B$37:$Y$274,MATCH(_xlfn.CONCAT(H7667," ",I7667),ForeCalc!$A$37:$A$274,0),MATCH(_xlfn.CONCAT(B7667," ",E7667),ForeCalc!$B$36:$Y$36,0))))*VLOOKUP(A7667,Calendar!$A$2:$H$9997,8,FALSE),0)</f>
        <v/>
      </c>
      <c r="G7667" s="29">
        <f>VLOOKUP(A7667,Calendar!$A$1:$H$9997,6,FALSE)-F7667</f>
        <v/>
      </c>
      <c r="H7667" s="19" t="n">
        <v>3</v>
      </c>
      <c r="I7667" s="57" t="n">
        <v>12</v>
      </c>
    </row>
    <row r="7668">
      <c r="A7668" s="62" t="n">
        <v>47203</v>
      </c>
      <c r="B7668" s="3" t="inlineStr">
        <is>
          <t>Week</t>
        </is>
      </c>
      <c r="C7668" s="19" t="n">
        <v>3</v>
      </c>
      <c r="D7668" s="19" t="n">
        <v>2029</v>
      </c>
      <c r="E7668" s="57" t="n">
        <v>7</v>
      </c>
      <c r="F7668" s="29">
        <f>ROUND(((SUMIFS(Calendar!$F$2:$F$9997,Calendar!$B$2:$B$9997,D7668,Calendar!$C$2:$C$9997,C7668)*INDEX(ForeCalc!$B$37:$Y$274,MATCH(_xlfn.CONCAT(H7668," ",I7668),ForeCalc!$A$37:$A$274,0),MATCH(_xlfn.CONCAT(B7668," ",E7668),ForeCalc!$B$36:$Y$36,0))))*VLOOKUP(A7668,Calendar!$A$2:$H$9997,8,FALSE),0)</f>
        <v/>
      </c>
      <c r="G7668" s="29">
        <f>VLOOKUP(A7668,Calendar!$A$1:$H$9997,6,FALSE)-F7668</f>
        <v/>
      </c>
      <c r="H7668" s="19" t="n">
        <v>3</v>
      </c>
      <c r="I7668" s="57" t="n">
        <v>12</v>
      </c>
    </row>
    <row r="7669">
      <c r="A7669" s="62" t="n">
        <v>47204</v>
      </c>
      <c r="B7669" s="3" t="inlineStr">
        <is>
          <t>Week</t>
        </is>
      </c>
      <c r="C7669" s="19" t="n">
        <v>3</v>
      </c>
      <c r="D7669" s="19" t="n">
        <v>2029</v>
      </c>
      <c r="E7669" s="57" t="n">
        <v>7</v>
      </c>
      <c r="F7669" s="29">
        <f>ROUND(((SUMIFS(Calendar!$F$2:$F$9997,Calendar!$B$2:$B$9997,D7669,Calendar!$C$2:$C$9997,C7669)*INDEX(ForeCalc!$B$37:$Y$274,MATCH(_xlfn.CONCAT(H7669," ",I7669),ForeCalc!$A$37:$A$274,0),MATCH(_xlfn.CONCAT(B7669," ",E7669),ForeCalc!$B$36:$Y$36,0))))*VLOOKUP(A7669,Calendar!$A$2:$H$9997,8,FALSE),0)</f>
        <v/>
      </c>
      <c r="G7669" s="29">
        <f>VLOOKUP(A7669,Calendar!$A$1:$H$9997,6,FALSE)-F7669</f>
        <v/>
      </c>
      <c r="H7669" s="19" t="n">
        <v>3</v>
      </c>
      <c r="I7669" s="57" t="n">
        <v>12</v>
      </c>
    </row>
    <row r="7670">
      <c r="A7670" s="62" t="n">
        <v>47205</v>
      </c>
      <c r="B7670" s="3" t="inlineStr">
        <is>
          <t>Week</t>
        </is>
      </c>
      <c r="C7670" s="19" t="n">
        <v>3</v>
      </c>
      <c r="D7670" s="19" t="n">
        <v>2029</v>
      </c>
      <c r="E7670" s="57" t="n">
        <v>7</v>
      </c>
      <c r="F7670" s="29">
        <f>ROUND(((SUMIFS(Calendar!$F$2:$F$9997,Calendar!$B$2:$B$9997,D7670,Calendar!$C$2:$C$9997,C7670)*INDEX(ForeCalc!$B$37:$Y$274,MATCH(_xlfn.CONCAT(H7670," ",I7670),ForeCalc!$A$37:$A$274,0),MATCH(_xlfn.CONCAT(B7670," ",E7670),ForeCalc!$B$36:$Y$36,0))))*VLOOKUP(A7670,Calendar!$A$2:$H$9997,8,FALSE),0)</f>
        <v/>
      </c>
      <c r="G7670" s="29">
        <f>VLOOKUP(A7670,Calendar!$A$1:$H$9997,6,FALSE)-F7670</f>
        <v/>
      </c>
      <c r="H7670" s="19" t="n">
        <v>3</v>
      </c>
      <c r="I7670" s="57" t="n">
        <v>12</v>
      </c>
    </row>
    <row r="7671">
      <c r="A7671" s="62" t="n">
        <v>47206</v>
      </c>
      <c r="B7671" s="3" t="inlineStr">
        <is>
          <t>Week</t>
        </is>
      </c>
      <c r="C7671" s="19" t="n">
        <v>3</v>
      </c>
      <c r="D7671" s="19" t="n">
        <v>2029</v>
      </c>
      <c r="E7671" s="57" t="n">
        <v>7</v>
      </c>
      <c r="F7671" s="29">
        <f>ROUND(((SUMIFS(Calendar!$F$2:$F$9997,Calendar!$B$2:$B$9997,D7671,Calendar!$C$2:$C$9997,C7671)*INDEX(ForeCalc!$B$37:$Y$274,MATCH(_xlfn.CONCAT(H7671," ",I7671),ForeCalc!$A$37:$A$274,0),MATCH(_xlfn.CONCAT(B7671," ",E7671),ForeCalc!$B$36:$Y$36,0))))*VLOOKUP(A7671,Calendar!$A$2:$H$9997,8,FALSE),0)</f>
        <v/>
      </c>
      <c r="G7671" s="29">
        <f>VLOOKUP(A7671,Calendar!$A$1:$H$9997,6,FALSE)-F7671</f>
        <v/>
      </c>
      <c r="H7671" s="19" t="n">
        <v>3</v>
      </c>
      <c r="I7671" s="57" t="n">
        <v>12</v>
      </c>
    </row>
    <row r="7672">
      <c r="A7672" s="62" t="n">
        <v>47207</v>
      </c>
      <c r="B7672" s="3" t="inlineStr">
        <is>
          <t>Week</t>
        </is>
      </c>
      <c r="C7672" s="19" t="n">
        <v>3</v>
      </c>
      <c r="D7672" s="19" t="n">
        <v>2029</v>
      </c>
      <c r="E7672" s="57" t="n">
        <v>7</v>
      </c>
      <c r="F7672" s="29">
        <f>ROUND(((SUMIFS(Calendar!$F$2:$F$9997,Calendar!$B$2:$B$9997,D7672,Calendar!$C$2:$C$9997,C7672)*INDEX(ForeCalc!$B$37:$Y$274,MATCH(_xlfn.CONCAT(H7672," ",I7672),ForeCalc!$A$37:$A$274,0),MATCH(_xlfn.CONCAT(B7672," ",E7672),ForeCalc!$B$36:$Y$36,0))))*VLOOKUP(A7672,Calendar!$A$2:$H$9997,8,FALSE),0)</f>
        <v/>
      </c>
      <c r="G7672" s="29">
        <f>VLOOKUP(A7672,Calendar!$A$1:$H$9997,6,FALSE)-F7672</f>
        <v/>
      </c>
      <c r="H7672" s="19" t="n">
        <v>3</v>
      </c>
      <c r="I7672" s="57" t="n">
        <v>12</v>
      </c>
    </row>
    <row r="7673">
      <c r="A7673" s="62" t="n">
        <v>47208</v>
      </c>
      <c r="B7673" s="3" t="inlineStr">
        <is>
          <t>Sat</t>
        </is>
      </c>
      <c r="C7673" s="19" t="n">
        <v>3</v>
      </c>
      <c r="D7673" s="19" t="n">
        <v>2029</v>
      </c>
      <c r="E7673" s="57" t="n">
        <v>7</v>
      </c>
      <c r="F7673" s="29">
        <f>ROUND(((SUMIFS(Calendar!$F$2:$F$9997,Calendar!$B$2:$B$9997,D7673,Calendar!$C$2:$C$9997,C7673)*INDEX(ForeCalc!$B$37:$Y$274,MATCH(_xlfn.CONCAT(H7673," ",I7673),ForeCalc!$A$37:$A$274,0),MATCH(_xlfn.CONCAT(B7673," ",E7673),ForeCalc!$B$36:$Y$36,0))))*VLOOKUP(A7673,Calendar!$A$2:$H$9997,8,FALSE),0)</f>
        <v/>
      </c>
      <c r="G7673" s="29">
        <f>VLOOKUP(A7673,Calendar!$A$1:$H$9997,6,FALSE)-F7673</f>
        <v/>
      </c>
      <c r="H7673" s="19" t="n">
        <v>3</v>
      </c>
      <c r="I7673" s="57" t="n">
        <v>12</v>
      </c>
    </row>
    <row r="7674">
      <c r="A7674" s="62" t="n">
        <v>46113</v>
      </c>
      <c r="B7674" s="3" t="inlineStr">
        <is>
          <t>Week</t>
        </is>
      </c>
      <c r="C7674" s="19" t="n">
        <v>4</v>
      </c>
      <c r="D7674" s="19" t="n">
        <v>2026</v>
      </c>
      <c r="E7674" s="57" t="n">
        <v>8</v>
      </c>
      <c r="F7674" s="29">
        <f>ROUND(((SUMIFS(Calendar!$F$2:$F$9997,Calendar!$B$2:$B$9997,D7674,Calendar!$C$2:$C$9997,C7674)*INDEX(ForeCalc!$B$37:$Y$274,MATCH(_xlfn.CONCAT(H7674," ",I7674),ForeCalc!$A$37:$A$274,0),MATCH(_xlfn.CONCAT(B7674," ",E7674),ForeCalc!$B$36:$Y$36,0))))*VLOOKUP(A7674,Calendar!$A$2:$H$9997,8,FALSE),0)</f>
        <v/>
      </c>
      <c r="G7674" s="29">
        <f>VLOOKUP(A7674,Calendar!$A$1:$H$9997,6,FALSE)-F7674</f>
        <v/>
      </c>
      <c r="H7674" s="19" t="n">
        <v>1</v>
      </c>
      <c r="I7674" s="57" t="n">
        <v>1</v>
      </c>
    </row>
    <row r="7675">
      <c r="A7675" s="62" t="n">
        <v>46114</v>
      </c>
      <c r="B7675" s="3" t="inlineStr">
        <is>
          <t>Week</t>
        </is>
      </c>
      <c r="C7675" s="19" t="n">
        <v>4</v>
      </c>
      <c r="D7675" s="19" t="n">
        <v>2026</v>
      </c>
      <c r="E7675" s="57" t="n">
        <v>8</v>
      </c>
      <c r="F7675" s="29">
        <f>ROUND(((SUMIFS(Calendar!$F$2:$F$9997,Calendar!$B$2:$B$9997,D7675,Calendar!$C$2:$C$9997,C7675)*INDEX(ForeCalc!$B$37:$Y$274,MATCH(_xlfn.CONCAT(H7675," ",I7675),ForeCalc!$A$37:$A$274,0),MATCH(_xlfn.CONCAT(B7675," ",E7675),ForeCalc!$B$36:$Y$36,0))))*VLOOKUP(A7675,Calendar!$A$2:$H$9997,8,FALSE),0)</f>
        <v/>
      </c>
      <c r="G7675" s="29">
        <f>VLOOKUP(A7675,Calendar!$A$1:$H$9997,6,FALSE)-F7675</f>
        <v/>
      </c>
      <c r="H7675" s="19" t="n">
        <v>1</v>
      </c>
      <c r="I7675" s="57" t="n">
        <v>1</v>
      </c>
    </row>
    <row r="7676">
      <c r="A7676" s="62" t="n">
        <v>46115</v>
      </c>
      <c r="B7676" s="3" t="inlineStr">
        <is>
          <t>Week</t>
        </is>
      </c>
      <c r="C7676" s="19" t="n">
        <v>4</v>
      </c>
      <c r="D7676" s="19" t="n">
        <v>2026</v>
      </c>
      <c r="E7676" s="57" t="n">
        <v>8</v>
      </c>
      <c r="F7676" s="29">
        <f>ROUND(((SUMIFS(Calendar!$F$2:$F$9997,Calendar!$B$2:$B$9997,D7676,Calendar!$C$2:$C$9997,C7676)*INDEX(ForeCalc!$B$37:$Y$274,MATCH(_xlfn.CONCAT(H7676," ",I7676),ForeCalc!$A$37:$A$274,0),MATCH(_xlfn.CONCAT(B7676," ",E7676),ForeCalc!$B$36:$Y$36,0))))*VLOOKUP(A7676,Calendar!$A$2:$H$9997,8,FALSE),0)</f>
        <v/>
      </c>
      <c r="G7676" s="29">
        <f>VLOOKUP(A7676,Calendar!$A$1:$H$9997,6,FALSE)-F7676</f>
        <v/>
      </c>
      <c r="H7676" s="19" t="n">
        <v>1</v>
      </c>
      <c r="I7676" s="57" t="n">
        <v>1</v>
      </c>
    </row>
    <row r="7677">
      <c r="A7677" s="62" t="n">
        <v>46116</v>
      </c>
      <c r="B7677" s="3" t="inlineStr">
        <is>
          <t>Sat</t>
        </is>
      </c>
      <c r="C7677" s="19" t="n">
        <v>4</v>
      </c>
      <c r="D7677" s="19" t="n">
        <v>2026</v>
      </c>
      <c r="E7677" s="57" t="n">
        <v>8</v>
      </c>
      <c r="F7677" s="29">
        <f>ROUND(((SUMIFS(Calendar!$F$2:$F$9997,Calendar!$B$2:$B$9997,D7677,Calendar!$C$2:$C$9997,C7677)*INDEX(ForeCalc!$B$37:$Y$274,MATCH(_xlfn.CONCAT(H7677," ",I7677),ForeCalc!$A$37:$A$274,0),MATCH(_xlfn.CONCAT(B7677," ",E7677),ForeCalc!$B$36:$Y$36,0))))*VLOOKUP(A7677,Calendar!$A$2:$H$9997,8,FALSE),0)</f>
        <v/>
      </c>
      <c r="G7677" s="29">
        <f>VLOOKUP(A7677,Calendar!$A$1:$H$9997,6,FALSE)-F7677</f>
        <v/>
      </c>
      <c r="H7677" s="19" t="n">
        <v>1</v>
      </c>
      <c r="I7677" s="57" t="n">
        <v>1</v>
      </c>
    </row>
    <row r="7678">
      <c r="A7678" s="62" t="n">
        <v>46117</v>
      </c>
      <c r="B7678" s="3" t="inlineStr">
        <is>
          <t>Sun</t>
        </is>
      </c>
      <c r="C7678" s="19" t="n">
        <v>4</v>
      </c>
      <c r="D7678" s="19" t="n">
        <v>2026</v>
      </c>
      <c r="E7678" s="57" t="n">
        <v>8</v>
      </c>
      <c r="F7678" s="29">
        <f>ROUND(((SUMIFS(Calendar!$F$2:$F$9997,Calendar!$B$2:$B$9997,D7678,Calendar!$C$2:$C$9997,C7678)*INDEX(ForeCalc!$B$37:$Y$274,MATCH(_xlfn.CONCAT(H7678," ",I7678),ForeCalc!$A$37:$A$274,0),MATCH(_xlfn.CONCAT(B7678," ",E7678),ForeCalc!$B$36:$Y$36,0))))*VLOOKUP(A7678,Calendar!$A$2:$H$9997,8,FALSE),0)</f>
        <v/>
      </c>
      <c r="G7678" s="29">
        <f>VLOOKUP(A7678,Calendar!$A$1:$H$9997,6,FALSE)-F7678</f>
        <v/>
      </c>
      <c r="H7678" s="19" t="n">
        <v>1</v>
      </c>
      <c r="I7678" s="57" t="n">
        <v>1</v>
      </c>
    </row>
    <row r="7679">
      <c r="A7679" s="62" t="n">
        <v>46118</v>
      </c>
      <c r="B7679" s="3" t="inlineStr">
        <is>
          <t>Week</t>
        </is>
      </c>
      <c r="C7679" s="19" t="n">
        <v>4</v>
      </c>
      <c r="D7679" s="19" t="n">
        <v>2026</v>
      </c>
      <c r="E7679" s="57" t="n">
        <v>8</v>
      </c>
      <c r="F7679" s="29">
        <f>ROUND(((SUMIFS(Calendar!$F$2:$F$9997,Calendar!$B$2:$B$9997,D7679,Calendar!$C$2:$C$9997,C7679)*INDEX(ForeCalc!$B$37:$Y$274,MATCH(_xlfn.CONCAT(H7679," ",I7679),ForeCalc!$A$37:$A$274,0),MATCH(_xlfn.CONCAT(B7679," ",E7679),ForeCalc!$B$36:$Y$36,0))))*VLOOKUP(A7679,Calendar!$A$2:$H$9997,8,FALSE),0)</f>
        <v/>
      </c>
      <c r="G7679" s="29">
        <f>VLOOKUP(A7679,Calendar!$A$1:$H$9997,6,FALSE)-F7679</f>
        <v/>
      </c>
      <c r="H7679" s="19" t="n">
        <v>1</v>
      </c>
      <c r="I7679" s="57" t="n">
        <v>1</v>
      </c>
    </row>
    <row r="7680">
      <c r="A7680" s="62" t="n">
        <v>46119</v>
      </c>
      <c r="B7680" s="3" t="inlineStr">
        <is>
          <t>Week</t>
        </is>
      </c>
      <c r="C7680" s="19" t="n">
        <v>4</v>
      </c>
      <c r="D7680" s="19" t="n">
        <v>2026</v>
      </c>
      <c r="E7680" s="57" t="n">
        <v>8</v>
      </c>
      <c r="F7680" s="29">
        <f>ROUND(((SUMIFS(Calendar!$F$2:$F$9997,Calendar!$B$2:$B$9997,D7680,Calendar!$C$2:$C$9997,C7680)*INDEX(ForeCalc!$B$37:$Y$274,MATCH(_xlfn.CONCAT(H7680," ",I7680),ForeCalc!$A$37:$A$274,0),MATCH(_xlfn.CONCAT(B7680," ",E7680),ForeCalc!$B$36:$Y$36,0))))*VLOOKUP(A7680,Calendar!$A$2:$H$9997,8,FALSE),0)</f>
        <v/>
      </c>
      <c r="G7680" s="29">
        <f>VLOOKUP(A7680,Calendar!$A$1:$H$9997,6,FALSE)-F7680</f>
        <v/>
      </c>
      <c r="H7680" s="19" t="n">
        <v>1</v>
      </c>
      <c r="I7680" s="57" t="n">
        <v>1</v>
      </c>
    </row>
    <row r="7681">
      <c r="A7681" s="62" t="n">
        <v>46120</v>
      </c>
      <c r="B7681" s="3" t="inlineStr">
        <is>
          <t>Week</t>
        </is>
      </c>
      <c r="C7681" s="19" t="n">
        <v>4</v>
      </c>
      <c r="D7681" s="19" t="n">
        <v>2026</v>
      </c>
      <c r="E7681" s="57" t="n">
        <v>8</v>
      </c>
      <c r="F7681" s="29">
        <f>ROUND(((SUMIFS(Calendar!$F$2:$F$9997,Calendar!$B$2:$B$9997,D7681,Calendar!$C$2:$C$9997,C7681)*INDEX(ForeCalc!$B$37:$Y$274,MATCH(_xlfn.CONCAT(H7681," ",I7681),ForeCalc!$A$37:$A$274,0),MATCH(_xlfn.CONCAT(B7681," ",E7681),ForeCalc!$B$36:$Y$36,0))))*VLOOKUP(A7681,Calendar!$A$2:$H$9997,8,FALSE),0)</f>
        <v/>
      </c>
      <c r="G7681" s="29">
        <f>VLOOKUP(A7681,Calendar!$A$1:$H$9997,6,FALSE)-F7681</f>
        <v/>
      </c>
      <c r="H7681" s="19" t="n">
        <v>1</v>
      </c>
      <c r="I7681" s="57" t="n">
        <v>1</v>
      </c>
    </row>
    <row r="7682">
      <c r="A7682" s="62" t="n">
        <v>46121</v>
      </c>
      <c r="B7682" s="3" t="inlineStr">
        <is>
          <t>Week</t>
        </is>
      </c>
      <c r="C7682" s="19" t="n">
        <v>4</v>
      </c>
      <c r="D7682" s="19" t="n">
        <v>2026</v>
      </c>
      <c r="E7682" s="57" t="n">
        <v>8</v>
      </c>
      <c r="F7682" s="29">
        <f>ROUND(((SUMIFS(Calendar!$F$2:$F$9997,Calendar!$B$2:$B$9997,D7682,Calendar!$C$2:$C$9997,C7682)*INDEX(ForeCalc!$B$37:$Y$274,MATCH(_xlfn.CONCAT(H7682," ",I7682),ForeCalc!$A$37:$A$274,0),MATCH(_xlfn.CONCAT(B7682," ",E7682),ForeCalc!$B$36:$Y$36,0))))*VLOOKUP(A7682,Calendar!$A$2:$H$9997,8,FALSE),0)</f>
        <v/>
      </c>
      <c r="G7682" s="29">
        <f>VLOOKUP(A7682,Calendar!$A$1:$H$9997,6,FALSE)-F7682</f>
        <v/>
      </c>
      <c r="H7682" s="19" t="n">
        <v>1</v>
      </c>
      <c r="I7682" s="57" t="n">
        <v>1</v>
      </c>
    </row>
    <row r="7683">
      <c r="A7683" s="62" t="n">
        <v>46122</v>
      </c>
      <c r="B7683" s="3" t="inlineStr">
        <is>
          <t>Week</t>
        </is>
      </c>
      <c r="C7683" s="19" t="n">
        <v>4</v>
      </c>
      <c r="D7683" s="19" t="n">
        <v>2026</v>
      </c>
      <c r="E7683" s="57" t="n">
        <v>8</v>
      </c>
      <c r="F7683" s="29">
        <f>ROUND(((SUMIFS(Calendar!$F$2:$F$9997,Calendar!$B$2:$B$9997,D7683,Calendar!$C$2:$C$9997,C7683)*INDEX(ForeCalc!$B$37:$Y$274,MATCH(_xlfn.CONCAT(H7683," ",I7683),ForeCalc!$A$37:$A$274,0),MATCH(_xlfn.CONCAT(B7683," ",E7683),ForeCalc!$B$36:$Y$36,0))))*VLOOKUP(A7683,Calendar!$A$2:$H$9997,8,FALSE),0)</f>
        <v/>
      </c>
      <c r="G7683" s="29">
        <f>VLOOKUP(A7683,Calendar!$A$1:$H$9997,6,FALSE)-F7683</f>
        <v/>
      </c>
      <c r="H7683" s="19" t="n">
        <v>1</v>
      </c>
      <c r="I7683" s="57" t="n">
        <v>1</v>
      </c>
    </row>
    <row r="7684">
      <c r="A7684" s="62" t="n">
        <v>46123</v>
      </c>
      <c r="B7684" s="3" t="inlineStr">
        <is>
          <t>Sat</t>
        </is>
      </c>
      <c r="C7684" s="19" t="n">
        <v>4</v>
      </c>
      <c r="D7684" s="19" t="n">
        <v>2026</v>
      </c>
      <c r="E7684" s="57" t="n">
        <v>8</v>
      </c>
      <c r="F7684" s="29">
        <f>ROUND(((SUMIFS(Calendar!$F$2:$F$9997,Calendar!$B$2:$B$9997,D7684,Calendar!$C$2:$C$9997,C7684)*INDEX(ForeCalc!$B$37:$Y$274,MATCH(_xlfn.CONCAT(H7684," ",I7684),ForeCalc!$A$37:$A$274,0),MATCH(_xlfn.CONCAT(B7684," ",E7684),ForeCalc!$B$36:$Y$36,0))))*VLOOKUP(A7684,Calendar!$A$2:$H$9997,8,FALSE),0)</f>
        <v/>
      </c>
      <c r="G7684" s="29">
        <f>VLOOKUP(A7684,Calendar!$A$1:$H$9997,6,FALSE)-F7684</f>
        <v/>
      </c>
      <c r="H7684" s="19" t="n">
        <v>1</v>
      </c>
      <c r="I7684" s="57" t="n">
        <v>1</v>
      </c>
    </row>
    <row r="7685">
      <c r="A7685" s="62" t="n">
        <v>46124</v>
      </c>
      <c r="B7685" s="3" t="inlineStr">
        <is>
          <t>Sun</t>
        </is>
      </c>
      <c r="C7685" s="19" t="n">
        <v>4</v>
      </c>
      <c r="D7685" s="19" t="n">
        <v>2026</v>
      </c>
      <c r="E7685" s="57" t="n">
        <v>8</v>
      </c>
      <c r="F7685" s="29">
        <f>ROUND(((SUMIFS(Calendar!$F$2:$F$9997,Calendar!$B$2:$B$9997,D7685,Calendar!$C$2:$C$9997,C7685)*INDEX(ForeCalc!$B$37:$Y$274,MATCH(_xlfn.CONCAT(H7685," ",I7685),ForeCalc!$A$37:$A$274,0),MATCH(_xlfn.CONCAT(B7685," ",E7685),ForeCalc!$B$36:$Y$36,0))))*VLOOKUP(A7685,Calendar!$A$2:$H$9997,8,FALSE),0)</f>
        <v/>
      </c>
      <c r="G7685" s="29">
        <f>VLOOKUP(A7685,Calendar!$A$1:$H$9997,6,FALSE)-F7685</f>
        <v/>
      </c>
      <c r="H7685" s="19" t="n">
        <v>1</v>
      </c>
      <c r="I7685" s="57" t="n">
        <v>1</v>
      </c>
    </row>
    <row r="7686">
      <c r="A7686" s="62" t="n">
        <v>46125</v>
      </c>
      <c r="B7686" s="3" t="inlineStr">
        <is>
          <t>Week</t>
        </is>
      </c>
      <c r="C7686" s="19" t="n">
        <v>4</v>
      </c>
      <c r="D7686" s="19" t="n">
        <v>2026</v>
      </c>
      <c r="E7686" s="57" t="n">
        <v>8</v>
      </c>
      <c r="F7686" s="29">
        <f>ROUND(((SUMIFS(Calendar!$F$2:$F$9997,Calendar!$B$2:$B$9997,D7686,Calendar!$C$2:$C$9997,C7686)*INDEX(ForeCalc!$B$37:$Y$274,MATCH(_xlfn.CONCAT(H7686," ",I7686),ForeCalc!$A$37:$A$274,0),MATCH(_xlfn.CONCAT(B7686," ",E7686),ForeCalc!$B$36:$Y$36,0))))*VLOOKUP(A7686,Calendar!$A$2:$H$9997,8,FALSE),0)</f>
        <v/>
      </c>
      <c r="G7686" s="29">
        <f>VLOOKUP(A7686,Calendar!$A$1:$H$9997,6,FALSE)-F7686</f>
        <v/>
      </c>
      <c r="H7686" s="19" t="n">
        <v>1</v>
      </c>
      <c r="I7686" s="57" t="n">
        <v>1</v>
      </c>
    </row>
    <row r="7687">
      <c r="A7687" s="62" t="n">
        <v>46126</v>
      </c>
      <c r="B7687" s="3" t="inlineStr">
        <is>
          <t>Week</t>
        </is>
      </c>
      <c r="C7687" s="19" t="n">
        <v>4</v>
      </c>
      <c r="D7687" s="19" t="n">
        <v>2026</v>
      </c>
      <c r="E7687" s="57" t="n">
        <v>8</v>
      </c>
      <c r="F7687" s="29">
        <f>ROUND(((SUMIFS(Calendar!$F$2:$F$9997,Calendar!$B$2:$B$9997,D7687,Calendar!$C$2:$C$9997,C7687)*INDEX(ForeCalc!$B$37:$Y$274,MATCH(_xlfn.CONCAT(H7687," ",I7687),ForeCalc!$A$37:$A$274,0),MATCH(_xlfn.CONCAT(B7687," ",E7687),ForeCalc!$B$36:$Y$36,0))))*VLOOKUP(A7687,Calendar!$A$2:$H$9997,8,FALSE),0)</f>
        <v/>
      </c>
      <c r="G7687" s="29">
        <f>VLOOKUP(A7687,Calendar!$A$1:$H$9997,6,FALSE)-F7687</f>
        <v/>
      </c>
      <c r="H7687" s="19" t="n">
        <v>1</v>
      </c>
      <c r="I7687" s="57" t="n">
        <v>1</v>
      </c>
    </row>
    <row r="7688">
      <c r="A7688" s="62" t="n">
        <v>46127</v>
      </c>
      <c r="B7688" s="3" t="inlineStr">
        <is>
          <t>Week</t>
        </is>
      </c>
      <c r="C7688" s="19" t="n">
        <v>4</v>
      </c>
      <c r="D7688" s="19" t="n">
        <v>2026</v>
      </c>
      <c r="E7688" s="57" t="n">
        <v>8</v>
      </c>
      <c r="F7688" s="29">
        <f>ROUND(((SUMIFS(Calendar!$F$2:$F$9997,Calendar!$B$2:$B$9997,D7688,Calendar!$C$2:$C$9997,C7688)*INDEX(ForeCalc!$B$37:$Y$274,MATCH(_xlfn.CONCAT(H7688," ",I7688),ForeCalc!$A$37:$A$274,0),MATCH(_xlfn.CONCAT(B7688," ",E7688),ForeCalc!$B$36:$Y$36,0))))*VLOOKUP(A7688,Calendar!$A$2:$H$9997,8,FALSE),0)</f>
        <v/>
      </c>
      <c r="G7688" s="29">
        <f>VLOOKUP(A7688,Calendar!$A$1:$H$9997,6,FALSE)-F7688</f>
        <v/>
      </c>
      <c r="H7688" s="19" t="n">
        <v>1</v>
      </c>
      <c r="I7688" s="57" t="n">
        <v>1</v>
      </c>
    </row>
    <row r="7689">
      <c r="A7689" s="62" t="n">
        <v>46128</v>
      </c>
      <c r="B7689" s="3" t="inlineStr">
        <is>
          <t>Week</t>
        </is>
      </c>
      <c r="C7689" s="19" t="n">
        <v>4</v>
      </c>
      <c r="D7689" s="19" t="n">
        <v>2026</v>
      </c>
      <c r="E7689" s="57" t="n">
        <v>8</v>
      </c>
      <c r="F7689" s="29">
        <f>ROUND(((SUMIFS(Calendar!$F$2:$F$9997,Calendar!$B$2:$B$9997,D7689,Calendar!$C$2:$C$9997,C7689)*INDEX(ForeCalc!$B$37:$Y$274,MATCH(_xlfn.CONCAT(H7689," ",I7689),ForeCalc!$A$37:$A$274,0),MATCH(_xlfn.CONCAT(B7689," ",E7689),ForeCalc!$B$36:$Y$36,0))))*VLOOKUP(A7689,Calendar!$A$2:$H$9997,8,FALSE),0)</f>
        <v/>
      </c>
      <c r="G7689" s="29">
        <f>VLOOKUP(A7689,Calendar!$A$1:$H$9997,6,FALSE)-F7689</f>
        <v/>
      </c>
      <c r="H7689" s="19" t="n">
        <v>1</v>
      </c>
      <c r="I7689" s="57" t="n">
        <v>1</v>
      </c>
    </row>
    <row r="7690">
      <c r="A7690" s="62" t="n">
        <v>46129</v>
      </c>
      <c r="B7690" s="3" t="inlineStr">
        <is>
          <t>Week</t>
        </is>
      </c>
      <c r="C7690" s="19" t="n">
        <v>4</v>
      </c>
      <c r="D7690" s="19" t="n">
        <v>2026</v>
      </c>
      <c r="E7690" s="57" t="n">
        <v>8</v>
      </c>
      <c r="F7690" s="29">
        <f>ROUND(((SUMIFS(Calendar!$F$2:$F$9997,Calendar!$B$2:$B$9997,D7690,Calendar!$C$2:$C$9997,C7690)*INDEX(ForeCalc!$B$37:$Y$274,MATCH(_xlfn.CONCAT(H7690," ",I7690),ForeCalc!$A$37:$A$274,0),MATCH(_xlfn.CONCAT(B7690," ",E7690),ForeCalc!$B$36:$Y$36,0))))*VLOOKUP(A7690,Calendar!$A$2:$H$9997,8,FALSE),0)</f>
        <v/>
      </c>
      <c r="G7690" s="29">
        <f>VLOOKUP(A7690,Calendar!$A$1:$H$9997,6,FALSE)-F7690</f>
        <v/>
      </c>
      <c r="H7690" s="19" t="n">
        <v>1</v>
      </c>
      <c r="I7690" s="57" t="n">
        <v>1</v>
      </c>
    </row>
    <row r="7691">
      <c r="A7691" s="62" t="n">
        <v>46130</v>
      </c>
      <c r="B7691" s="3" t="inlineStr">
        <is>
          <t>Sat</t>
        </is>
      </c>
      <c r="C7691" s="19" t="n">
        <v>4</v>
      </c>
      <c r="D7691" s="19" t="n">
        <v>2026</v>
      </c>
      <c r="E7691" s="57" t="n">
        <v>8</v>
      </c>
      <c r="F7691" s="29">
        <f>ROUND(((SUMIFS(Calendar!$F$2:$F$9997,Calendar!$B$2:$B$9997,D7691,Calendar!$C$2:$C$9997,C7691)*INDEX(ForeCalc!$B$37:$Y$274,MATCH(_xlfn.CONCAT(H7691," ",I7691),ForeCalc!$A$37:$A$274,0),MATCH(_xlfn.CONCAT(B7691," ",E7691),ForeCalc!$B$36:$Y$36,0))))*VLOOKUP(A7691,Calendar!$A$2:$H$9997,8,FALSE),0)</f>
        <v/>
      </c>
      <c r="G7691" s="29">
        <f>VLOOKUP(A7691,Calendar!$A$1:$H$9997,6,FALSE)-F7691</f>
        <v/>
      </c>
      <c r="H7691" s="19" t="n">
        <v>1</v>
      </c>
      <c r="I7691" s="57" t="n">
        <v>1</v>
      </c>
    </row>
    <row r="7692">
      <c r="A7692" s="62" t="n">
        <v>46131</v>
      </c>
      <c r="B7692" s="3" t="inlineStr">
        <is>
          <t>Sun</t>
        </is>
      </c>
      <c r="C7692" s="19" t="n">
        <v>4</v>
      </c>
      <c r="D7692" s="19" t="n">
        <v>2026</v>
      </c>
      <c r="E7692" s="57" t="n">
        <v>8</v>
      </c>
      <c r="F7692" s="29">
        <f>ROUND(((SUMIFS(Calendar!$F$2:$F$9997,Calendar!$B$2:$B$9997,D7692,Calendar!$C$2:$C$9997,C7692)*INDEX(ForeCalc!$B$37:$Y$274,MATCH(_xlfn.CONCAT(H7692," ",I7692),ForeCalc!$A$37:$A$274,0),MATCH(_xlfn.CONCAT(B7692," ",E7692),ForeCalc!$B$36:$Y$36,0))))*VLOOKUP(A7692,Calendar!$A$2:$H$9997,8,FALSE),0)</f>
        <v/>
      </c>
      <c r="G7692" s="29">
        <f>VLOOKUP(A7692,Calendar!$A$1:$H$9997,6,FALSE)-F7692</f>
        <v/>
      </c>
      <c r="H7692" s="19" t="n">
        <v>1</v>
      </c>
      <c r="I7692" s="57" t="n">
        <v>1</v>
      </c>
    </row>
    <row r="7693">
      <c r="A7693" s="62" t="n">
        <v>46132</v>
      </c>
      <c r="B7693" s="3" t="inlineStr">
        <is>
          <t>Week</t>
        </is>
      </c>
      <c r="C7693" s="19" t="n">
        <v>4</v>
      </c>
      <c r="D7693" s="19" t="n">
        <v>2026</v>
      </c>
      <c r="E7693" s="57" t="n">
        <v>8</v>
      </c>
      <c r="F7693" s="29">
        <f>ROUND(((SUMIFS(Calendar!$F$2:$F$9997,Calendar!$B$2:$B$9997,D7693,Calendar!$C$2:$C$9997,C7693)*INDEX(ForeCalc!$B$37:$Y$274,MATCH(_xlfn.CONCAT(H7693," ",I7693),ForeCalc!$A$37:$A$274,0),MATCH(_xlfn.CONCAT(B7693," ",E7693),ForeCalc!$B$36:$Y$36,0))))*VLOOKUP(A7693,Calendar!$A$2:$H$9997,8,FALSE),0)</f>
        <v/>
      </c>
      <c r="G7693" s="29">
        <f>VLOOKUP(A7693,Calendar!$A$1:$H$9997,6,FALSE)-F7693</f>
        <v/>
      </c>
      <c r="H7693" s="19" t="n">
        <v>1</v>
      </c>
      <c r="I7693" s="57" t="n">
        <v>1</v>
      </c>
    </row>
    <row r="7694">
      <c r="A7694" s="62" t="n">
        <v>46133</v>
      </c>
      <c r="B7694" s="3" t="inlineStr">
        <is>
          <t>Week</t>
        </is>
      </c>
      <c r="C7694" s="19" t="n">
        <v>4</v>
      </c>
      <c r="D7694" s="19" t="n">
        <v>2026</v>
      </c>
      <c r="E7694" s="57" t="n">
        <v>8</v>
      </c>
      <c r="F7694" s="29">
        <f>ROUND(((SUMIFS(Calendar!$F$2:$F$9997,Calendar!$B$2:$B$9997,D7694,Calendar!$C$2:$C$9997,C7694)*INDEX(ForeCalc!$B$37:$Y$274,MATCH(_xlfn.CONCAT(H7694," ",I7694),ForeCalc!$A$37:$A$274,0),MATCH(_xlfn.CONCAT(B7694," ",E7694),ForeCalc!$B$36:$Y$36,0))))*VLOOKUP(A7694,Calendar!$A$2:$H$9997,8,FALSE),0)</f>
        <v/>
      </c>
      <c r="G7694" s="29">
        <f>VLOOKUP(A7694,Calendar!$A$1:$H$9997,6,FALSE)-F7694</f>
        <v/>
      </c>
      <c r="H7694" s="19" t="n">
        <v>1</v>
      </c>
      <c r="I7694" s="57" t="n">
        <v>1</v>
      </c>
    </row>
    <row r="7695">
      <c r="A7695" s="62" t="n">
        <v>46134</v>
      </c>
      <c r="B7695" s="3" t="inlineStr">
        <is>
          <t>Week</t>
        </is>
      </c>
      <c r="C7695" s="19" t="n">
        <v>4</v>
      </c>
      <c r="D7695" s="19" t="n">
        <v>2026</v>
      </c>
      <c r="E7695" s="57" t="n">
        <v>8</v>
      </c>
      <c r="F7695" s="29">
        <f>ROUND(((SUMIFS(Calendar!$F$2:$F$9997,Calendar!$B$2:$B$9997,D7695,Calendar!$C$2:$C$9997,C7695)*INDEX(ForeCalc!$B$37:$Y$274,MATCH(_xlfn.CONCAT(H7695," ",I7695),ForeCalc!$A$37:$A$274,0),MATCH(_xlfn.CONCAT(B7695," ",E7695),ForeCalc!$B$36:$Y$36,0))))*VLOOKUP(A7695,Calendar!$A$2:$H$9997,8,FALSE),0)</f>
        <v/>
      </c>
      <c r="G7695" s="29">
        <f>VLOOKUP(A7695,Calendar!$A$1:$H$9997,6,FALSE)-F7695</f>
        <v/>
      </c>
      <c r="H7695" s="19" t="n">
        <v>1</v>
      </c>
      <c r="I7695" s="57" t="n">
        <v>1</v>
      </c>
    </row>
    <row r="7696">
      <c r="A7696" s="62" t="n">
        <v>46135</v>
      </c>
      <c r="B7696" s="3" t="inlineStr">
        <is>
          <t>Week</t>
        </is>
      </c>
      <c r="C7696" s="19" t="n">
        <v>4</v>
      </c>
      <c r="D7696" s="19" t="n">
        <v>2026</v>
      </c>
      <c r="E7696" s="57" t="n">
        <v>8</v>
      </c>
      <c r="F7696" s="29">
        <f>ROUND(((SUMIFS(Calendar!$F$2:$F$9997,Calendar!$B$2:$B$9997,D7696,Calendar!$C$2:$C$9997,C7696)*INDEX(ForeCalc!$B$37:$Y$274,MATCH(_xlfn.CONCAT(H7696," ",I7696),ForeCalc!$A$37:$A$274,0),MATCH(_xlfn.CONCAT(B7696," ",E7696),ForeCalc!$B$36:$Y$36,0))))*VLOOKUP(A7696,Calendar!$A$2:$H$9997,8,FALSE),0)</f>
        <v/>
      </c>
      <c r="G7696" s="29">
        <f>VLOOKUP(A7696,Calendar!$A$1:$H$9997,6,FALSE)-F7696</f>
        <v/>
      </c>
      <c r="H7696" s="19" t="n">
        <v>1</v>
      </c>
      <c r="I7696" s="57" t="n">
        <v>1</v>
      </c>
    </row>
    <row r="7697">
      <c r="A7697" s="62" t="n">
        <v>46136</v>
      </c>
      <c r="B7697" s="3" t="inlineStr">
        <is>
          <t>Week</t>
        </is>
      </c>
      <c r="C7697" s="19" t="n">
        <v>4</v>
      </c>
      <c r="D7697" s="19" t="n">
        <v>2026</v>
      </c>
      <c r="E7697" s="57" t="n">
        <v>8</v>
      </c>
      <c r="F7697" s="29">
        <f>ROUND(((SUMIFS(Calendar!$F$2:$F$9997,Calendar!$B$2:$B$9997,D7697,Calendar!$C$2:$C$9997,C7697)*INDEX(ForeCalc!$B$37:$Y$274,MATCH(_xlfn.CONCAT(H7697," ",I7697),ForeCalc!$A$37:$A$274,0),MATCH(_xlfn.CONCAT(B7697," ",E7697),ForeCalc!$B$36:$Y$36,0))))*VLOOKUP(A7697,Calendar!$A$2:$H$9997,8,FALSE),0)</f>
        <v/>
      </c>
      <c r="G7697" s="29">
        <f>VLOOKUP(A7697,Calendar!$A$1:$H$9997,6,FALSE)-F7697</f>
        <v/>
      </c>
      <c r="H7697" s="19" t="n">
        <v>1</v>
      </c>
      <c r="I7697" s="57" t="n">
        <v>1</v>
      </c>
    </row>
    <row r="7698">
      <c r="A7698" s="62" t="n">
        <v>46137</v>
      </c>
      <c r="B7698" s="3" t="inlineStr">
        <is>
          <t>Sat</t>
        </is>
      </c>
      <c r="C7698" s="19" t="n">
        <v>4</v>
      </c>
      <c r="D7698" s="19" t="n">
        <v>2026</v>
      </c>
      <c r="E7698" s="57" t="n">
        <v>8</v>
      </c>
      <c r="F7698" s="29">
        <f>ROUND(((SUMIFS(Calendar!$F$2:$F$9997,Calendar!$B$2:$B$9997,D7698,Calendar!$C$2:$C$9997,C7698)*INDEX(ForeCalc!$B$37:$Y$274,MATCH(_xlfn.CONCAT(H7698," ",I7698),ForeCalc!$A$37:$A$274,0),MATCH(_xlfn.CONCAT(B7698," ",E7698),ForeCalc!$B$36:$Y$36,0))))*VLOOKUP(A7698,Calendar!$A$2:$H$9997,8,FALSE),0)</f>
        <v/>
      </c>
      <c r="G7698" s="29">
        <f>VLOOKUP(A7698,Calendar!$A$1:$H$9997,6,FALSE)-F7698</f>
        <v/>
      </c>
      <c r="H7698" s="19" t="n">
        <v>1</v>
      </c>
      <c r="I7698" s="57" t="n">
        <v>1</v>
      </c>
    </row>
    <row r="7699">
      <c r="A7699" s="62" t="n">
        <v>46138</v>
      </c>
      <c r="B7699" s="3" t="inlineStr">
        <is>
          <t>Sun</t>
        </is>
      </c>
      <c r="C7699" s="19" t="n">
        <v>4</v>
      </c>
      <c r="D7699" s="19" t="n">
        <v>2026</v>
      </c>
      <c r="E7699" s="57" t="n">
        <v>8</v>
      </c>
      <c r="F7699" s="29">
        <f>ROUND(((SUMIFS(Calendar!$F$2:$F$9997,Calendar!$B$2:$B$9997,D7699,Calendar!$C$2:$C$9997,C7699)*INDEX(ForeCalc!$B$37:$Y$274,MATCH(_xlfn.CONCAT(H7699," ",I7699),ForeCalc!$A$37:$A$274,0),MATCH(_xlfn.CONCAT(B7699," ",E7699),ForeCalc!$B$36:$Y$36,0))))*VLOOKUP(A7699,Calendar!$A$2:$H$9997,8,FALSE),0)</f>
        <v/>
      </c>
      <c r="G7699" s="29">
        <f>VLOOKUP(A7699,Calendar!$A$1:$H$9997,6,FALSE)-F7699</f>
        <v/>
      </c>
      <c r="H7699" s="19" t="n">
        <v>1</v>
      </c>
      <c r="I7699" s="57" t="n">
        <v>1</v>
      </c>
    </row>
    <row r="7700">
      <c r="A7700" s="62" t="n">
        <v>46139</v>
      </c>
      <c r="B7700" s="3" t="inlineStr">
        <is>
          <t>Week</t>
        </is>
      </c>
      <c r="C7700" s="19" t="n">
        <v>4</v>
      </c>
      <c r="D7700" s="19" t="n">
        <v>2026</v>
      </c>
      <c r="E7700" s="57" t="n">
        <v>8</v>
      </c>
      <c r="F7700" s="29">
        <f>ROUND(((SUMIFS(Calendar!$F$2:$F$9997,Calendar!$B$2:$B$9997,D7700,Calendar!$C$2:$C$9997,C7700)*INDEX(ForeCalc!$B$37:$Y$274,MATCH(_xlfn.CONCAT(H7700," ",I7700),ForeCalc!$A$37:$A$274,0),MATCH(_xlfn.CONCAT(B7700," ",E7700),ForeCalc!$B$36:$Y$36,0))))*VLOOKUP(A7700,Calendar!$A$2:$H$9997,8,FALSE),0)</f>
        <v/>
      </c>
      <c r="G7700" s="29">
        <f>VLOOKUP(A7700,Calendar!$A$1:$H$9997,6,FALSE)-F7700</f>
        <v/>
      </c>
      <c r="H7700" s="19" t="n">
        <v>1</v>
      </c>
      <c r="I7700" s="57" t="n">
        <v>1</v>
      </c>
    </row>
    <row r="7701">
      <c r="A7701" s="62" t="n">
        <v>46140</v>
      </c>
      <c r="B7701" s="3" t="inlineStr">
        <is>
          <t>Week</t>
        </is>
      </c>
      <c r="C7701" s="19" t="n">
        <v>4</v>
      </c>
      <c r="D7701" s="19" t="n">
        <v>2026</v>
      </c>
      <c r="E7701" s="57" t="n">
        <v>8</v>
      </c>
      <c r="F7701" s="29">
        <f>ROUND(((SUMIFS(Calendar!$F$2:$F$9997,Calendar!$B$2:$B$9997,D7701,Calendar!$C$2:$C$9997,C7701)*INDEX(ForeCalc!$B$37:$Y$274,MATCH(_xlfn.CONCAT(H7701," ",I7701),ForeCalc!$A$37:$A$274,0),MATCH(_xlfn.CONCAT(B7701," ",E7701),ForeCalc!$B$36:$Y$36,0))))*VLOOKUP(A7701,Calendar!$A$2:$H$9997,8,FALSE),0)</f>
        <v/>
      </c>
      <c r="G7701" s="29">
        <f>VLOOKUP(A7701,Calendar!$A$1:$H$9997,6,FALSE)-F7701</f>
        <v/>
      </c>
      <c r="H7701" s="19" t="n">
        <v>1</v>
      </c>
      <c r="I7701" s="57" t="n">
        <v>1</v>
      </c>
    </row>
    <row r="7702">
      <c r="A7702" s="62" t="n">
        <v>46141</v>
      </c>
      <c r="B7702" s="3" t="inlineStr">
        <is>
          <t>Week</t>
        </is>
      </c>
      <c r="C7702" s="19" t="n">
        <v>4</v>
      </c>
      <c r="D7702" s="19" t="n">
        <v>2026</v>
      </c>
      <c r="E7702" s="57" t="n">
        <v>8</v>
      </c>
      <c r="F7702" s="29">
        <f>ROUND(((SUMIFS(Calendar!$F$2:$F$9997,Calendar!$B$2:$B$9997,D7702,Calendar!$C$2:$C$9997,C7702)*INDEX(ForeCalc!$B$37:$Y$274,MATCH(_xlfn.CONCAT(H7702," ",I7702),ForeCalc!$A$37:$A$274,0),MATCH(_xlfn.CONCAT(B7702," ",E7702),ForeCalc!$B$36:$Y$36,0))))*VLOOKUP(A7702,Calendar!$A$2:$H$9997,8,FALSE),0)</f>
        <v/>
      </c>
      <c r="G7702" s="29">
        <f>VLOOKUP(A7702,Calendar!$A$1:$H$9997,6,FALSE)-F7702</f>
        <v/>
      </c>
      <c r="H7702" s="19" t="n">
        <v>1</v>
      </c>
      <c r="I7702" s="57" t="n">
        <v>1</v>
      </c>
    </row>
    <row r="7703">
      <c r="A7703" s="62" t="n">
        <v>46142</v>
      </c>
      <c r="B7703" s="3" t="inlineStr">
        <is>
          <t>Week</t>
        </is>
      </c>
      <c r="C7703" s="19" t="n">
        <v>4</v>
      </c>
      <c r="D7703" s="19" t="n">
        <v>2026</v>
      </c>
      <c r="E7703" s="57" t="n">
        <v>8</v>
      </c>
      <c r="F7703" s="29">
        <f>ROUND(((SUMIFS(Calendar!$F$2:$F$9997,Calendar!$B$2:$B$9997,D7703,Calendar!$C$2:$C$9997,C7703)*INDEX(ForeCalc!$B$37:$Y$274,MATCH(_xlfn.CONCAT(H7703," ",I7703),ForeCalc!$A$37:$A$274,0),MATCH(_xlfn.CONCAT(B7703," ",E7703),ForeCalc!$B$36:$Y$36,0))))*VLOOKUP(A7703,Calendar!$A$2:$H$9997,8,FALSE),0)</f>
        <v/>
      </c>
      <c r="G7703" s="29">
        <f>VLOOKUP(A7703,Calendar!$A$1:$H$9997,6,FALSE)-F7703</f>
        <v/>
      </c>
      <c r="H7703" s="19" t="n">
        <v>1</v>
      </c>
      <c r="I7703" s="57" t="n">
        <v>1</v>
      </c>
    </row>
    <row r="7704">
      <c r="A7704" s="62" t="n">
        <v>46143</v>
      </c>
      <c r="B7704" s="3" t="inlineStr">
        <is>
          <t>Week</t>
        </is>
      </c>
      <c r="C7704" s="19" t="n">
        <v>5</v>
      </c>
      <c r="D7704" s="19" t="n">
        <v>2026</v>
      </c>
      <c r="E7704" s="57" t="n">
        <v>8</v>
      </c>
      <c r="F7704" s="29">
        <f>ROUND(((SUMIFS(Calendar!$F$2:$F$9997,Calendar!$B$2:$B$9997,D7704,Calendar!$C$2:$C$9997,C7704)*INDEX(ForeCalc!$B$37:$Y$274,MATCH(_xlfn.CONCAT(H7704," ",I7704),ForeCalc!$A$37:$A$274,0),MATCH(_xlfn.CONCAT(B7704," ",E7704),ForeCalc!$B$36:$Y$36,0))))*VLOOKUP(A7704,Calendar!$A$2:$H$9997,8,FALSE),0)</f>
        <v/>
      </c>
      <c r="G7704" s="29">
        <f>VLOOKUP(A7704,Calendar!$A$1:$H$9997,6,FALSE)-F7704</f>
        <v/>
      </c>
      <c r="H7704" s="19" t="n">
        <v>1</v>
      </c>
      <c r="I7704" s="57" t="n">
        <v>2</v>
      </c>
    </row>
    <row r="7705">
      <c r="A7705" s="62" t="n">
        <v>46144</v>
      </c>
      <c r="B7705" s="3" t="inlineStr">
        <is>
          <t>Sat</t>
        </is>
      </c>
      <c r="C7705" s="19" t="n">
        <v>5</v>
      </c>
      <c r="D7705" s="19" t="n">
        <v>2026</v>
      </c>
      <c r="E7705" s="57" t="n">
        <v>8</v>
      </c>
      <c r="F7705" s="29">
        <f>ROUND(((SUMIFS(Calendar!$F$2:$F$9997,Calendar!$B$2:$B$9997,D7705,Calendar!$C$2:$C$9997,C7705)*INDEX(ForeCalc!$B$37:$Y$274,MATCH(_xlfn.CONCAT(H7705," ",I7705),ForeCalc!$A$37:$A$274,0),MATCH(_xlfn.CONCAT(B7705," ",E7705),ForeCalc!$B$36:$Y$36,0))))*VLOOKUP(A7705,Calendar!$A$2:$H$9997,8,FALSE),0)</f>
        <v/>
      </c>
      <c r="G7705" s="29">
        <f>VLOOKUP(A7705,Calendar!$A$1:$H$9997,6,FALSE)-F7705</f>
        <v/>
      </c>
      <c r="H7705" s="19" t="n">
        <v>1</v>
      </c>
      <c r="I7705" s="57" t="n">
        <v>2</v>
      </c>
    </row>
    <row r="7706">
      <c r="A7706" s="62" t="n">
        <v>46145</v>
      </c>
      <c r="B7706" s="3" t="inlineStr">
        <is>
          <t>Sun</t>
        </is>
      </c>
      <c r="C7706" s="19" t="n">
        <v>5</v>
      </c>
      <c r="D7706" s="19" t="n">
        <v>2026</v>
      </c>
      <c r="E7706" s="57" t="n">
        <v>8</v>
      </c>
      <c r="F7706" s="29">
        <f>ROUND(((SUMIFS(Calendar!$F$2:$F$9997,Calendar!$B$2:$B$9997,D7706,Calendar!$C$2:$C$9997,C7706)*INDEX(ForeCalc!$B$37:$Y$274,MATCH(_xlfn.CONCAT(H7706," ",I7706),ForeCalc!$A$37:$A$274,0),MATCH(_xlfn.CONCAT(B7706," ",E7706),ForeCalc!$B$36:$Y$36,0))))*VLOOKUP(A7706,Calendar!$A$2:$H$9997,8,FALSE),0)</f>
        <v/>
      </c>
      <c r="G7706" s="29">
        <f>VLOOKUP(A7706,Calendar!$A$1:$H$9997,6,FALSE)-F7706</f>
        <v/>
      </c>
      <c r="H7706" s="19" t="n">
        <v>1</v>
      </c>
      <c r="I7706" s="57" t="n">
        <v>2</v>
      </c>
    </row>
    <row r="7707">
      <c r="A7707" s="62" t="n">
        <v>46146</v>
      </c>
      <c r="B7707" s="3" t="inlineStr">
        <is>
          <t>Week</t>
        </is>
      </c>
      <c r="C7707" s="19" t="n">
        <v>5</v>
      </c>
      <c r="D7707" s="19" t="n">
        <v>2026</v>
      </c>
      <c r="E7707" s="57" t="n">
        <v>8</v>
      </c>
      <c r="F7707" s="29">
        <f>ROUND(((SUMIFS(Calendar!$F$2:$F$9997,Calendar!$B$2:$B$9997,D7707,Calendar!$C$2:$C$9997,C7707)*INDEX(ForeCalc!$B$37:$Y$274,MATCH(_xlfn.CONCAT(H7707," ",I7707),ForeCalc!$A$37:$A$274,0),MATCH(_xlfn.CONCAT(B7707," ",E7707),ForeCalc!$B$36:$Y$36,0))))*VLOOKUP(A7707,Calendar!$A$2:$H$9997,8,FALSE),0)</f>
        <v/>
      </c>
      <c r="G7707" s="29">
        <f>VLOOKUP(A7707,Calendar!$A$1:$H$9997,6,FALSE)-F7707</f>
        <v/>
      </c>
      <c r="H7707" s="19" t="n">
        <v>1</v>
      </c>
      <c r="I7707" s="57" t="n">
        <v>2</v>
      </c>
    </row>
    <row r="7708">
      <c r="A7708" s="62" t="n">
        <v>46147</v>
      </c>
      <c r="B7708" s="3" t="inlineStr">
        <is>
          <t>Week</t>
        </is>
      </c>
      <c r="C7708" s="19" t="n">
        <v>5</v>
      </c>
      <c r="D7708" s="19" t="n">
        <v>2026</v>
      </c>
      <c r="E7708" s="57" t="n">
        <v>8</v>
      </c>
      <c r="F7708" s="29">
        <f>ROUND(((SUMIFS(Calendar!$F$2:$F$9997,Calendar!$B$2:$B$9997,D7708,Calendar!$C$2:$C$9997,C7708)*INDEX(ForeCalc!$B$37:$Y$274,MATCH(_xlfn.CONCAT(H7708," ",I7708),ForeCalc!$A$37:$A$274,0),MATCH(_xlfn.CONCAT(B7708," ",E7708),ForeCalc!$B$36:$Y$36,0))))*VLOOKUP(A7708,Calendar!$A$2:$H$9997,8,FALSE),0)</f>
        <v/>
      </c>
      <c r="G7708" s="29">
        <f>VLOOKUP(A7708,Calendar!$A$1:$H$9997,6,FALSE)-F7708</f>
        <v/>
      </c>
      <c r="H7708" s="19" t="n">
        <v>1</v>
      </c>
      <c r="I7708" s="57" t="n">
        <v>2</v>
      </c>
    </row>
    <row r="7709">
      <c r="A7709" s="62" t="n">
        <v>46148</v>
      </c>
      <c r="B7709" s="3" t="inlineStr">
        <is>
          <t>Week</t>
        </is>
      </c>
      <c r="C7709" s="19" t="n">
        <v>5</v>
      </c>
      <c r="D7709" s="19" t="n">
        <v>2026</v>
      </c>
      <c r="E7709" s="57" t="n">
        <v>8</v>
      </c>
      <c r="F7709" s="29">
        <f>ROUND(((SUMIFS(Calendar!$F$2:$F$9997,Calendar!$B$2:$B$9997,D7709,Calendar!$C$2:$C$9997,C7709)*INDEX(ForeCalc!$B$37:$Y$274,MATCH(_xlfn.CONCAT(H7709," ",I7709),ForeCalc!$A$37:$A$274,0),MATCH(_xlfn.CONCAT(B7709," ",E7709),ForeCalc!$B$36:$Y$36,0))))*VLOOKUP(A7709,Calendar!$A$2:$H$9997,8,FALSE),0)</f>
        <v/>
      </c>
      <c r="G7709" s="29">
        <f>VLOOKUP(A7709,Calendar!$A$1:$H$9997,6,FALSE)-F7709</f>
        <v/>
      </c>
      <c r="H7709" s="19" t="n">
        <v>1</v>
      </c>
      <c r="I7709" s="57" t="n">
        <v>2</v>
      </c>
    </row>
    <row r="7710">
      <c r="A7710" s="62" t="n">
        <v>46149</v>
      </c>
      <c r="B7710" s="3" t="inlineStr">
        <is>
          <t>Week</t>
        </is>
      </c>
      <c r="C7710" s="19" t="n">
        <v>5</v>
      </c>
      <c r="D7710" s="19" t="n">
        <v>2026</v>
      </c>
      <c r="E7710" s="57" t="n">
        <v>8</v>
      </c>
      <c r="F7710" s="29">
        <f>ROUND(((SUMIFS(Calendar!$F$2:$F$9997,Calendar!$B$2:$B$9997,D7710,Calendar!$C$2:$C$9997,C7710)*INDEX(ForeCalc!$B$37:$Y$274,MATCH(_xlfn.CONCAT(H7710," ",I7710),ForeCalc!$A$37:$A$274,0),MATCH(_xlfn.CONCAT(B7710," ",E7710),ForeCalc!$B$36:$Y$36,0))))*VLOOKUP(A7710,Calendar!$A$2:$H$9997,8,FALSE),0)</f>
        <v/>
      </c>
      <c r="G7710" s="29">
        <f>VLOOKUP(A7710,Calendar!$A$1:$H$9997,6,FALSE)-F7710</f>
        <v/>
      </c>
      <c r="H7710" s="19" t="n">
        <v>1</v>
      </c>
      <c r="I7710" s="57" t="n">
        <v>2</v>
      </c>
    </row>
    <row r="7711">
      <c r="A7711" s="62" t="n">
        <v>46150</v>
      </c>
      <c r="B7711" s="3" t="inlineStr">
        <is>
          <t>Week</t>
        </is>
      </c>
      <c r="C7711" s="19" t="n">
        <v>5</v>
      </c>
      <c r="D7711" s="19" t="n">
        <v>2026</v>
      </c>
      <c r="E7711" s="57" t="n">
        <v>8</v>
      </c>
      <c r="F7711" s="29">
        <f>ROUND(((SUMIFS(Calendar!$F$2:$F$9997,Calendar!$B$2:$B$9997,D7711,Calendar!$C$2:$C$9997,C7711)*INDEX(ForeCalc!$B$37:$Y$274,MATCH(_xlfn.CONCAT(H7711," ",I7711),ForeCalc!$A$37:$A$274,0),MATCH(_xlfn.CONCAT(B7711," ",E7711),ForeCalc!$B$36:$Y$36,0))))*VLOOKUP(A7711,Calendar!$A$2:$H$9997,8,FALSE),0)</f>
        <v/>
      </c>
      <c r="G7711" s="29">
        <f>VLOOKUP(A7711,Calendar!$A$1:$H$9997,6,FALSE)-F7711</f>
        <v/>
      </c>
      <c r="H7711" s="19" t="n">
        <v>1</v>
      </c>
      <c r="I7711" s="57" t="n">
        <v>2</v>
      </c>
    </row>
    <row r="7712">
      <c r="A7712" s="62" t="n">
        <v>46151</v>
      </c>
      <c r="B7712" s="3" t="inlineStr">
        <is>
          <t>Sat</t>
        </is>
      </c>
      <c r="C7712" s="19" t="n">
        <v>5</v>
      </c>
      <c r="D7712" s="19" t="n">
        <v>2026</v>
      </c>
      <c r="E7712" s="57" t="n">
        <v>8</v>
      </c>
      <c r="F7712" s="29">
        <f>ROUND(((SUMIFS(Calendar!$F$2:$F$9997,Calendar!$B$2:$B$9997,D7712,Calendar!$C$2:$C$9997,C7712)*INDEX(ForeCalc!$B$37:$Y$274,MATCH(_xlfn.CONCAT(H7712," ",I7712),ForeCalc!$A$37:$A$274,0),MATCH(_xlfn.CONCAT(B7712," ",E7712),ForeCalc!$B$36:$Y$36,0))))*VLOOKUP(A7712,Calendar!$A$2:$H$9997,8,FALSE),0)</f>
        <v/>
      </c>
      <c r="G7712" s="29">
        <f>VLOOKUP(A7712,Calendar!$A$1:$H$9997,6,FALSE)-F7712</f>
        <v/>
      </c>
      <c r="H7712" s="19" t="n">
        <v>1</v>
      </c>
      <c r="I7712" s="57" t="n">
        <v>2</v>
      </c>
    </row>
    <row r="7713">
      <c r="A7713" s="62" t="n">
        <v>46152</v>
      </c>
      <c r="B7713" s="3" t="inlineStr">
        <is>
          <t>Sun</t>
        </is>
      </c>
      <c r="C7713" s="19" t="n">
        <v>5</v>
      </c>
      <c r="D7713" s="19" t="n">
        <v>2026</v>
      </c>
      <c r="E7713" s="57" t="n">
        <v>8</v>
      </c>
      <c r="F7713" s="29">
        <f>ROUND(((SUMIFS(Calendar!$F$2:$F$9997,Calendar!$B$2:$B$9997,D7713,Calendar!$C$2:$C$9997,C7713)*INDEX(ForeCalc!$B$37:$Y$274,MATCH(_xlfn.CONCAT(H7713," ",I7713),ForeCalc!$A$37:$A$274,0),MATCH(_xlfn.CONCAT(B7713," ",E7713),ForeCalc!$B$36:$Y$36,0))))*VLOOKUP(A7713,Calendar!$A$2:$H$9997,8,FALSE),0)</f>
        <v/>
      </c>
      <c r="G7713" s="29">
        <f>VLOOKUP(A7713,Calendar!$A$1:$H$9997,6,FALSE)-F7713</f>
        <v/>
      </c>
      <c r="H7713" s="19" t="n">
        <v>1</v>
      </c>
      <c r="I7713" s="57" t="n">
        <v>2</v>
      </c>
    </row>
    <row r="7714">
      <c r="A7714" s="62" t="n">
        <v>46153</v>
      </c>
      <c r="B7714" s="3" t="inlineStr">
        <is>
          <t>Week</t>
        </is>
      </c>
      <c r="C7714" s="19" t="n">
        <v>5</v>
      </c>
      <c r="D7714" s="19" t="n">
        <v>2026</v>
      </c>
      <c r="E7714" s="57" t="n">
        <v>8</v>
      </c>
      <c r="F7714" s="29">
        <f>ROUND(((SUMIFS(Calendar!$F$2:$F$9997,Calendar!$B$2:$B$9997,D7714,Calendar!$C$2:$C$9997,C7714)*INDEX(ForeCalc!$B$37:$Y$274,MATCH(_xlfn.CONCAT(H7714," ",I7714),ForeCalc!$A$37:$A$274,0),MATCH(_xlfn.CONCAT(B7714," ",E7714),ForeCalc!$B$36:$Y$36,0))))*VLOOKUP(A7714,Calendar!$A$2:$H$9997,8,FALSE),0)</f>
        <v/>
      </c>
      <c r="G7714" s="29">
        <f>VLOOKUP(A7714,Calendar!$A$1:$H$9997,6,FALSE)-F7714</f>
        <v/>
      </c>
      <c r="H7714" s="19" t="n">
        <v>1</v>
      </c>
      <c r="I7714" s="57" t="n">
        <v>2</v>
      </c>
    </row>
    <row r="7715">
      <c r="A7715" s="62" t="n">
        <v>46154</v>
      </c>
      <c r="B7715" s="3" t="inlineStr">
        <is>
          <t>Week</t>
        </is>
      </c>
      <c r="C7715" s="19" t="n">
        <v>5</v>
      </c>
      <c r="D7715" s="19" t="n">
        <v>2026</v>
      </c>
      <c r="E7715" s="57" t="n">
        <v>8</v>
      </c>
      <c r="F7715" s="29">
        <f>ROUND(((SUMIFS(Calendar!$F$2:$F$9997,Calendar!$B$2:$B$9997,D7715,Calendar!$C$2:$C$9997,C7715)*INDEX(ForeCalc!$B$37:$Y$274,MATCH(_xlfn.CONCAT(H7715," ",I7715),ForeCalc!$A$37:$A$274,0),MATCH(_xlfn.CONCAT(B7715," ",E7715),ForeCalc!$B$36:$Y$36,0))))*VLOOKUP(A7715,Calendar!$A$2:$H$9997,8,FALSE),0)</f>
        <v/>
      </c>
      <c r="G7715" s="29">
        <f>VLOOKUP(A7715,Calendar!$A$1:$H$9997,6,FALSE)-F7715</f>
        <v/>
      </c>
      <c r="H7715" s="19" t="n">
        <v>1</v>
      </c>
      <c r="I7715" s="57" t="n">
        <v>2</v>
      </c>
    </row>
    <row r="7716">
      <c r="A7716" s="62" t="n">
        <v>46155</v>
      </c>
      <c r="B7716" s="3" t="inlineStr">
        <is>
          <t>Week</t>
        </is>
      </c>
      <c r="C7716" s="19" t="n">
        <v>5</v>
      </c>
      <c r="D7716" s="19" t="n">
        <v>2026</v>
      </c>
      <c r="E7716" s="57" t="n">
        <v>8</v>
      </c>
      <c r="F7716" s="29">
        <f>ROUND(((SUMIFS(Calendar!$F$2:$F$9997,Calendar!$B$2:$B$9997,D7716,Calendar!$C$2:$C$9997,C7716)*INDEX(ForeCalc!$B$37:$Y$274,MATCH(_xlfn.CONCAT(H7716," ",I7716),ForeCalc!$A$37:$A$274,0),MATCH(_xlfn.CONCAT(B7716," ",E7716),ForeCalc!$B$36:$Y$36,0))))*VLOOKUP(A7716,Calendar!$A$2:$H$9997,8,FALSE),0)</f>
        <v/>
      </c>
      <c r="G7716" s="29">
        <f>VLOOKUP(A7716,Calendar!$A$1:$H$9997,6,FALSE)-F7716</f>
        <v/>
      </c>
      <c r="H7716" s="19" t="n">
        <v>1</v>
      </c>
      <c r="I7716" s="57" t="n">
        <v>2</v>
      </c>
    </row>
    <row r="7717">
      <c r="A7717" s="62" t="n">
        <v>46156</v>
      </c>
      <c r="B7717" s="3" t="inlineStr">
        <is>
          <t>Week</t>
        </is>
      </c>
      <c r="C7717" s="19" t="n">
        <v>5</v>
      </c>
      <c r="D7717" s="19" t="n">
        <v>2026</v>
      </c>
      <c r="E7717" s="57" t="n">
        <v>8</v>
      </c>
      <c r="F7717" s="29">
        <f>ROUND(((SUMIFS(Calendar!$F$2:$F$9997,Calendar!$B$2:$B$9997,D7717,Calendar!$C$2:$C$9997,C7717)*INDEX(ForeCalc!$B$37:$Y$274,MATCH(_xlfn.CONCAT(H7717," ",I7717),ForeCalc!$A$37:$A$274,0),MATCH(_xlfn.CONCAT(B7717," ",E7717),ForeCalc!$B$36:$Y$36,0))))*VLOOKUP(A7717,Calendar!$A$2:$H$9997,8,FALSE),0)</f>
        <v/>
      </c>
      <c r="G7717" s="29">
        <f>VLOOKUP(A7717,Calendar!$A$1:$H$9997,6,FALSE)-F7717</f>
        <v/>
      </c>
      <c r="H7717" s="19" t="n">
        <v>1</v>
      </c>
      <c r="I7717" s="57" t="n">
        <v>2</v>
      </c>
    </row>
    <row r="7718">
      <c r="A7718" s="62" t="n">
        <v>46157</v>
      </c>
      <c r="B7718" s="3" t="inlineStr">
        <is>
          <t>Week</t>
        </is>
      </c>
      <c r="C7718" s="19" t="n">
        <v>5</v>
      </c>
      <c r="D7718" s="19" t="n">
        <v>2026</v>
      </c>
      <c r="E7718" s="57" t="n">
        <v>8</v>
      </c>
      <c r="F7718" s="29">
        <f>ROUND(((SUMIFS(Calendar!$F$2:$F$9997,Calendar!$B$2:$B$9997,D7718,Calendar!$C$2:$C$9997,C7718)*INDEX(ForeCalc!$B$37:$Y$274,MATCH(_xlfn.CONCAT(H7718," ",I7718),ForeCalc!$A$37:$A$274,0),MATCH(_xlfn.CONCAT(B7718," ",E7718),ForeCalc!$B$36:$Y$36,0))))*VLOOKUP(A7718,Calendar!$A$2:$H$9997,8,FALSE),0)</f>
        <v/>
      </c>
      <c r="G7718" s="29">
        <f>VLOOKUP(A7718,Calendar!$A$1:$H$9997,6,FALSE)-F7718</f>
        <v/>
      </c>
      <c r="H7718" s="19" t="n">
        <v>1</v>
      </c>
      <c r="I7718" s="57" t="n">
        <v>2</v>
      </c>
    </row>
    <row r="7719">
      <c r="A7719" s="62" t="n">
        <v>46158</v>
      </c>
      <c r="B7719" s="3" t="inlineStr">
        <is>
          <t>Sat</t>
        </is>
      </c>
      <c r="C7719" s="19" t="n">
        <v>5</v>
      </c>
      <c r="D7719" s="19" t="n">
        <v>2026</v>
      </c>
      <c r="E7719" s="57" t="n">
        <v>8</v>
      </c>
      <c r="F7719" s="29">
        <f>ROUND(((SUMIFS(Calendar!$F$2:$F$9997,Calendar!$B$2:$B$9997,D7719,Calendar!$C$2:$C$9997,C7719)*INDEX(ForeCalc!$B$37:$Y$274,MATCH(_xlfn.CONCAT(H7719," ",I7719),ForeCalc!$A$37:$A$274,0),MATCH(_xlfn.CONCAT(B7719," ",E7719),ForeCalc!$B$36:$Y$36,0))))*VLOOKUP(A7719,Calendar!$A$2:$H$9997,8,FALSE),0)</f>
        <v/>
      </c>
      <c r="G7719" s="29">
        <f>VLOOKUP(A7719,Calendar!$A$1:$H$9997,6,FALSE)-F7719</f>
        <v/>
      </c>
      <c r="H7719" s="19" t="n">
        <v>1</v>
      </c>
      <c r="I7719" s="57" t="n">
        <v>2</v>
      </c>
    </row>
    <row r="7720">
      <c r="A7720" s="62" t="n">
        <v>46159</v>
      </c>
      <c r="B7720" s="3" t="inlineStr">
        <is>
          <t>Sun</t>
        </is>
      </c>
      <c r="C7720" s="19" t="n">
        <v>5</v>
      </c>
      <c r="D7720" s="19" t="n">
        <v>2026</v>
      </c>
      <c r="E7720" s="57" t="n">
        <v>8</v>
      </c>
      <c r="F7720" s="29">
        <f>ROUND(((SUMIFS(Calendar!$F$2:$F$9997,Calendar!$B$2:$B$9997,D7720,Calendar!$C$2:$C$9997,C7720)*INDEX(ForeCalc!$B$37:$Y$274,MATCH(_xlfn.CONCAT(H7720," ",I7720),ForeCalc!$A$37:$A$274,0),MATCH(_xlfn.CONCAT(B7720," ",E7720),ForeCalc!$B$36:$Y$36,0))))*VLOOKUP(A7720,Calendar!$A$2:$H$9997,8,FALSE),0)</f>
        <v/>
      </c>
      <c r="G7720" s="29">
        <f>VLOOKUP(A7720,Calendar!$A$1:$H$9997,6,FALSE)-F7720</f>
        <v/>
      </c>
      <c r="H7720" s="19" t="n">
        <v>1</v>
      </c>
      <c r="I7720" s="57" t="n">
        <v>2</v>
      </c>
    </row>
    <row r="7721">
      <c r="A7721" s="62" t="n">
        <v>46160</v>
      </c>
      <c r="B7721" s="3" t="inlineStr">
        <is>
          <t>Week</t>
        </is>
      </c>
      <c r="C7721" s="19" t="n">
        <v>5</v>
      </c>
      <c r="D7721" s="19" t="n">
        <v>2026</v>
      </c>
      <c r="E7721" s="57" t="n">
        <v>8</v>
      </c>
      <c r="F7721" s="29">
        <f>ROUND(((SUMIFS(Calendar!$F$2:$F$9997,Calendar!$B$2:$B$9997,D7721,Calendar!$C$2:$C$9997,C7721)*INDEX(ForeCalc!$B$37:$Y$274,MATCH(_xlfn.CONCAT(H7721," ",I7721),ForeCalc!$A$37:$A$274,0),MATCH(_xlfn.CONCAT(B7721," ",E7721),ForeCalc!$B$36:$Y$36,0))))*VLOOKUP(A7721,Calendar!$A$2:$H$9997,8,FALSE),0)</f>
        <v/>
      </c>
      <c r="G7721" s="29">
        <f>VLOOKUP(A7721,Calendar!$A$1:$H$9997,6,FALSE)-F7721</f>
        <v/>
      </c>
      <c r="H7721" s="19" t="n">
        <v>1</v>
      </c>
      <c r="I7721" s="57" t="n">
        <v>2</v>
      </c>
    </row>
    <row r="7722">
      <c r="A7722" s="62" t="n">
        <v>46161</v>
      </c>
      <c r="B7722" s="3" t="inlineStr">
        <is>
          <t>Week</t>
        </is>
      </c>
      <c r="C7722" s="19" t="n">
        <v>5</v>
      </c>
      <c r="D7722" s="19" t="n">
        <v>2026</v>
      </c>
      <c r="E7722" s="57" t="n">
        <v>8</v>
      </c>
      <c r="F7722" s="29">
        <f>ROUND(((SUMIFS(Calendar!$F$2:$F$9997,Calendar!$B$2:$B$9997,D7722,Calendar!$C$2:$C$9997,C7722)*INDEX(ForeCalc!$B$37:$Y$274,MATCH(_xlfn.CONCAT(H7722," ",I7722),ForeCalc!$A$37:$A$274,0),MATCH(_xlfn.CONCAT(B7722," ",E7722),ForeCalc!$B$36:$Y$36,0))))*VLOOKUP(A7722,Calendar!$A$2:$H$9997,8,FALSE),0)</f>
        <v/>
      </c>
      <c r="G7722" s="29">
        <f>VLOOKUP(A7722,Calendar!$A$1:$H$9997,6,FALSE)-F7722</f>
        <v/>
      </c>
      <c r="H7722" s="19" t="n">
        <v>1</v>
      </c>
      <c r="I7722" s="57" t="n">
        <v>2</v>
      </c>
    </row>
    <row r="7723">
      <c r="A7723" s="62" t="n">
        <v>46162</v>
      </c>
      <c r="B7723" s="3" t="inlineStr">
        <is>
          <t>Week</t>
        </is>
      </c>
      <c r="C7723" s="19" t="n">
        <v>5</v>
      </c>
      <c r="D7723" s="19" t="n">
        <v>2026</v>
      </c>
      <c r="E7723" s="57" t="n">
        <v>8</v>
      </c>
      <c r="F7723" s="29">
        <f>ROUND(((SUMIFS(Calendar!$F$2:$F$9997,Calendar!$B$2:$B$9997,D7723,Calendar!$C$2:$C$9997,C7723)*INDEX(ForeCalc!$B$37:$Y$274,MATCH(_xlfn.CONCAT(H7723," ",I7723),ForeCalc!$A$37:$A$274,0),MATCH(_xlfn.CONCAT(B7723," ",E7723),ForeCalc!$B$36:$Y$36,0))))*VLOOKUP(A7723,Calendar!$A$2:$H$9997,8,FALSE),0)</f>
        <v/>
      </c>
      <c r="G7723" s="29">
        <f>VLOOKUP(A7723,Calendar!$A$1:$H$9997,6,FALSE)-F7723</f>
        <v/>
      </c>
      <c r="H7723" s="19" t="n">
        <v>1</v>
      </c>
      <c r="I7723" s="57" t="n">
        <v>2</v>
      </c>
    </row>
    <row r="7724">
      <c r="A7724" s="62" t="n">
        <v>46163</v>
      </c>
      <c r="B7724" s="3" t="inlineStr">
        <is>
          <t>Week</t>
        </is>
      </c>
      <c r="C7724" s="19" t="n">
        <v>5</v>
      </c>
      <c r="D7724" s="19" t="n">
        <v>2026</v>
      </c>
      <c r="E7724" s="57" t="n">
        <v>8</v>
      </c>
      <c r="F7724" s="29">
        <f>ROUND(((SUMIFS(Calendar!$F$2:$F$9997,Calendar!$B$2:$B$9997,D7724,Calendar!$C$2:$C$9997,C7724)*INDEX(ForeCalc!$B$37:$Y$274,MATCH(_xlfn.CONCAT(H7724," ",I7724),ForeCalc!$A$37:$A$274,0),MATCH(_xlfn.CONCAT(B7724," ",E7724),ForeCalc!$B$36:$Y$36,0))))*VLOOKUP(A7724,Calendar!$A$2:$H$9997,8,FALSE),0)</f>
        <v/>
      </c>
      <c r="G7724" s="29">
        <f>VLOOKUP(A7724,Calendar!$A$1:$H$9997,6,FALSE)-F7724</f>
        <v/>
      </c>
      <c r="H7724" s="19" t="n">
        <v>1</v>
      </c>
      <c r="I7724" s="57" t="n">
        <v>2</v>
      </c>
    </row>
    <row r="7725">
      <c r="A7725" s="62" t="n">
        <v>46164</v>
      </c>
      <c r="B7725" s="3" t="inlineStr">
        <is>
          <t>Week</t>
        </is>
      </c>
      <c r="C7725" s="19" t="n">
        <v>5</v>
      </c>
      <c r="D7725" s="19" t="n">
        <v>2026</v>
      </c>
      <c r="E7725" s="57" t="n">
        <v>8</v>
      </c>
      <c r="F7725" s="29">
        <f>ROUND(((SUMIFS(Calendar!$F$2:$F$9997,Calendar!$B$2:$B$9997,D7725,Calendar!$C$2:$C$9997,C7725)*INDEX(ForeCalc!$B$37:$Y$274,MATCH(_xlfn.CONCAT(H7725," ",I7725),ForeCalc!$A$37:$A$274,0),MATCH(_xlfn.CONCAT(B7725," ",E7725),ForeCalc!$B$36:$Y$36,0))))*VLOOKUP(A7725,Calendar!$A$2:$H$9997,8,FALSE),0)</f>
        <v/>
      </c>
      <c r="G7725" s="29">
        <f>VLOOKUP(A7725,Calendar!$A$1:$H$9997,6,FALSE)-F7725</f>
        <v/>
      </c>
      <c r="H7725" s="19" t="n">
        <v>1</v>
      </c>
      <c r="I7725" s="57" t="n">
        <v>2</v>
      </c>
    </row>
    <row r="7726">
      <c r="A7726" s="62" t="n">
        <v>46165</v>
      </c>
      <c r="B7726" s="3" t="inlineStr">
        <is>
          <t>Sat</t>
        </is>
      </c>
      <c r="C7726" s="19" t="n">
        <v>5</v>
      </c>
      <c r="D7726" s="19" t="n">
        <v>2026</v>
      </c>
      <c r="E7726" s="57" t="n">
        <v>8</v>
      </c>
      <c r="F7726" s="29">
        <f>ROUND(((SUMIFS(Calendar!$F$2:$F$9997,Calendar!$B$2:$B$9997,D7726,Calendar!$C$2:$C$9997,C7726)*INDEX(ForeCalc!$B$37:$Y$274,MATCH(_xlfn.CONCAT(H7726," ",I7726),ForeCalc!$A$37:$A$274,0),MATCH(_xlfn.CONCAT(B7726," ",E7726),ForeCalc!$B$36:$Y$36,0))))*VLOOKUP(A7726,Calendar!$A$2:$H$9997,8,FALSE),0)</f>
        <v/>
      </c>
      <c r="G7726" s="29">
        <f>VLOOKUP(A7726,Calendar!$A$1:$H$9997,6,FALSE)-F7726</f>
        <v/>
      </c>
      <c r="H7726" s="19" t="n">
        <v>1</v>
      </c>
      <c r="I7726" s="57" t="n">
        <v>2</v>
      </c>
    </row>
    <row r="7727">
      <c r="A7727" s="62" t="n">
        <v>46166</v>
      </c>
      <c r="B7727" s="3" t="inlineStr">
        <is>
          <t>Sun</t>
        </is>
      </c>
      <c r="C7727" s="19" t="n">
        <v>5</v>
      </c>
      <c r="D7727" s="19" t="n">
        <v>2026</v>
      </c>
      <c r="E7727" s="57" t="n">
        <v>8</v>
      </c>
      <c r="F7727" s="29">
        <f>ROUND(((SUMIFS(Calendar!$F$2:$F$9997,Calendar!$B$2:$B$9997,D7727,Calendar!$C$2:$C$9997,C7727)*INDEX(ForeCalc!$B$37:$Y$274,MATCH(_xlfn.CONCAT(H7727," ",I7727),ForeCalc!$A$37:$A$274,0),MATCH(_xlfn.CONCAT(B7727," ",E7727),ForeCalc!$B$36:$Y$36,0))))*VLOOKUP(A7727,Calendar!$A$2:$H$9997,8,FALSE),0)</f>
        <v/>
      </c>
      <c r="G7727" s="29">
        <f>VLOOKUP(A7727,Calendar!$A$1:$H$9997,6,FALSE)-F7727</f>
        <v/>
      </c>
      <c r="H7727" s="19" t="n">
        <v>1</v>
      </c>
      <c r="I7727" s="57" t="n">
        <v>2</v>
      </c>
    </row>
    <row r="7728">
      <c r="A7728" s="62" t="n">
        <v>46167</v>
      </c>
      <c r="B7728" s="3" t="inlineStr">
        <is>
          <t>Week</t>
        </is>
      </c>
      <c r="C7728" s="19" t="n">
        <v>5</v>
      </c>
      <c r="D7728" s="19" t="n">
        <v>2026</v>
      </c>
      <c r="E7728" s="57" t="n">
        <v>8</v>
      </c>
      <c r="F7728" s="29">
        <f>ROUND(((SUMIFS(Calendar!$F$2:$F$9997,Calendar!$B$2:$B$9997,D7728,Calendar!$C$2:$C$9997,C7728)*INDEX(ForeCalc!$B$37:$Y$274,MATCH(_xlfn.CONCAT(H7728," ",I7728),ForeCalc!$A$37:$A$274,0),MATCH(_xlfn.CONCAT(B7728," ",E7728),ForeCalc!$B$36:$Y$36,0))))*VLOOKUP(A7728,Calendar!$A$2:$H$9997,8,FALSE),0)</f>
        <v/>
      </c>
      <c r="G7728" s="29">
        <f>VLOOKUP(A7728,Calendar!$A$1:$H$9997,6,FALSE)-F7728</f>
        <v/>
      </c>
      <c r="H7728" s="19" t="n">
        <v>1</v>
      </c>
      <c r="I7728" s="57" t="n">
        <v>2</v>
      </c>
    </row>
    <row r="7729">
      <c r="A7729" s="62" t="n">
        <v>46168</v>
      </c>
      <c r="B7729" s="3" t="inlineStr">
        <is>
          <t>Week</t>
        </is>
      </c>
      <c r="C7729" s="19" t="n">
        <v>5</v>
      </c>
      <c r="D7729" s="19" t="n">
        <v>2026</v>
      </c>
      <c r="E7729" s="57" t="n">
        <v>8</v>
      </c>
      <c r="F7729" s="29">
        <f>ROUND(((SUMIFS(Calendar!$F$2:$F$9997,Calendar!$B$2:$B$9997,D7729,Calendar!$C$2:$C$9997,C7729)*INDEX(ForeCalc!$B$37:$Y$274,MATCH(_xlfn.CONCAT(H7729," ",I7729),ForeCalc!$A$37:$A$274,0),MATCH(_xlfn.CONCAT(B7729," ",E7729),ForeCalc!$B$36:$Y$36,0))))*VLOOKUP(A7729,Calendar!$A$2:$H$9997,8,FALSE),0)</f>
        <v/>
      </c>
      <c r="G7729" s="29">
        <f>VLOOKUP(A7729,Calendar!$A$1:$H$9997,6,FALSE)-F7729</f>
        <v/>
      </c>
      <c r="H7729" s="19" t="n">
        <v>1</v>
      </c>
      <c r="I7729" s="57" t="n">
        <v>2</v>
      </c>
    </row>
    <row r="7730">
      <c r="A7730" s="62" t="n">
        <v>46169</v>
      </c>
      <c r="B7730" s="3" t="inlineStr">
        <is>
          <t>Week</t>
        </is>
      </c>
      <c r="C7730" s="19" t="n">
        <v>5</v>
      </c>
      <c r="D7730" s="19" t="n">
        <v>2026</v>
      </c>
      <c r="E7730" s="57" t="n">
        <v>8</v>
      </c>
      <c r="F7730" s="29">
        <f>ROUND(((SUMIFS(Calendar!$F$2:$F$9997,Calendar!$B$2:$B$9997,D7730,Calendar!$C$2:$C$9997,C7730)*INDEX(ForeCalc!$B$37:$Y$274,MATCH(_xlfn.CONCAT(H7730," ",I7730),ForeCalc!$A$37:$A$274,0),MATCH(_xlfn.CONCAT(B7730," ",E7730),ForeCalc!$B$36:$Y$36,0))))*VLOOKUP(A7730,Calendar!$A$2:$H$9997,8,FALSE),0)</f>
        <v/>
      </c>
      <c r="G7730" s="29">
        <f>VLOOKUP(A7730,Calendar!$A$1:$H$9997,6,FALSE)-F7730</f>
        <v/>
      </c>
      <c r="H7730" s="19" t="n">
        <v>1</v>
      </c>
      <c r="I7730" s="57" t="n">
        <v>2</v>
      </c>
    </row>
    <row r="7731">
      <c r="A7731" s="62" t="n">
        <v>46170</v>
      </c>
      <c r="B7731" s="3" t="inlineStr">
        <is>
          <t>Week</t>
        </is>
      </c>
      <c r="C7731" s="19" t="n">
        <v>5</v>
      </c>
      <c r="D7731" s="19" t="n">
        <v>2026</v>
      </c>
      <c r="E7731" s="57" t="n">
        <v>8</v>
      </c>
      <c r="F7731" s="29">
        <f>ROUND(((SUMIFS(Calendar!$F$2:$F$9997,Calendar!$B$2:$B$9997,D7731,Calendar!$C$2:$C$9997,C7731)*INDEX(ForeCalc!$B$37:$Y$274,MATCH(_xlfn.CONCAT(H7731," ",I7731),ForeCalc!$A$37:$A$274,0),MATCH(_xlfn.CONCAT(B7731," ",E7731),ForeCalc!$B$36:$Y$36,0))))*VLOOKUP(A7731,Calendar!$A$2:$H$9997,8,FALSE),0)</f>
        <v/>
      </c>
      <c r="G7731" s="29">
        <f>VLOOKUP(A7731,Calendar!$A$1:$H$9997,6,FALSE)-F7731</f>
        <v/>
      </c>
      <c r="H7731" s="19" t="n">
        <v>1</v>
      </c>
      <c r="I7731" s="57" t="n">
        <v>2</v>
      </c>
    </row>
    <row r="7732">
      <c r="A7732" s="62" t="n">
        <v>46171</v>
      </c>
      <c r="B7732" s="3" t="inlineStr">
        <is>
          <t>Week</t>
        </is>
      </c>
      <c r="C7732" s="19" t="n">
        <v>5</v>
      </c>
      <c r="D7732" s="19" t="n">
        <v>2026</v>
      </c>
      <c r="E7732" s="57" t="n">
        <v>8</v>
      </c>
      <c r="F7732" s="29">
        <f>ROUND(((SUMIFS(Calendar!$F$2:$F$9997,Calendar!$B$2:$B$9997,D7732,Calendar!$C$2:$C$9997,C7732)*INDEX(ForeCalc!$B$37:$Y$274,MATCH(_xlfn.CONCAT(H7732," ",I7732),ForeCalc!$A$37:$A$274,0),MATCH(_xlfn.CONCAT(B7732," ",E7732),ForeCalc!$B$36:$Y$36,0))))*VLOOKUP(A7732,Calendar!$A$2:$H$9997,8,FALSE),0)</f>
        <v/>
      </c>
      <c r="G7732" s="29">
        <f>VLOOKUP(A7732,Calendar!$A$1:$H$9997,6,FALSE)-F7732</f>
        <v/>
      </c>
      <c r="H7732" s="19" t="n">
        <v>1</v>
      </c>
      <c r="I7732" s="57" t="n">
        <v>2</v>
      </c>
    </row>
    <row r="7733">
      <c r="A7733" s="62" t="n">
        <v>46172</v>
      </c>
      <c r="B7733" s="3" t="inlineStr">
        <is>
          <t>Sat</t>
        </is>
      </c>
      <c r="C7733" s="19" t="n">
        <v>5</v>
      </c>
      <c r="D7733" s="19" t="n">
        <v>2026</v>
      </c>
      <c r="E7733" s="57" t="n">
        <v>8</v>
      </c>
      <c r="F7733" s="29">
        <f>ROUND(((SUMIFS(Calendar!$F$2:$F$9997,Calendar!$B$2:$B$9997,D7733,Calendar!$C$2:$C$9997,C7733)*INDEX(ForeCalc!$B$37:$Y$274,MATCH(_xlfn.CONCAT(H7733," ",I7733),ForeCalc!$A$37:$A$274,0),MATCH(_xlfn.CONCAT(B7733," ",E7733),ForeCalc!$B$36:$Y$36,0))))*VLOOKUP(A7733,Calendar!$A$2:$H$9997,8,FALSE),0)</f>
        <v/>
      </c>
      <c r="G7733" s="29">
        <f>VLOOKUP(A7733,Calendar!$A$1:$H$9997,6,FALSE)-F7733</f>
        <v/>
      </c>
      <c r="H7733" s="19" t="n">
        <v>1</v>
      </c>
      <c r="I7733" s="57" t="n">
        <v>2</v>
      </c>
    </row>
    <row r="7734">
      <c r="A7734" s="62" t="n">
        <v>46173</v>
      </c>
      <c r="B7734" s="3" t="inlineStr">
        <is>
          <t>Sun</t>
        </is>
      </c>
      <c r="C7734" s="19" t="n">
        <v>5</v>
      </c>
      <c r="D7734" s="19" t="n">
        <v>2026</v>
      </c>
      <c r="E7734" s="57" t="n">
        <v>8</v>
      </c>
      <c r="F7734" s="29">
        <f>ROUND(((SUMIFS(Calendar!$F$2:$F$9997,Calendar!$B$2:$B$9997,D7734,Calendar!$C$2:$C$9997,C7734)*INDEX(ForeCalc!$B$37:$Y$274,MATCH(_xlfn.CONCAT(H7734," ",I7734),ForeCalc!$A$37:$A$274,0),MATCH(_xlfn.CONCAT(B7734," ",E7734),ForeCalc!$B$36:$Y$36,0))))*VLOOKUP(A7734,Calendar!$A$2:$H$9997,8,FALSE),0)</f>
        <v/>
      </c>
      <c r="G7734" s="29">
        <f>VLOOKUP(A7734,Calendar!$A$1:$H$9997,6,FALSE)-F7734</f>
        <v/>
      </c>
      <c r="H7734" s="19" t="n">
        <v>1</v>
      </c>
      <c r="I7734" s="57" t="n">
        <v>2</v>
      </c>
    </row>
    <row r="7735">
      <c r="A7735" s="62" t="n">
        <v>46174</v>
      </c>
      <c r="B7735" s="3" t="inlineStr">
        <is>
          <t>Week</t>
        </is>
      </c>
      <c r="C7735" s="19" t="n">
        <v>6</v>
      </c>
      <c r="D7735" s="19" t="n">
        <v>2026</v>
      </c>
      <c r="E7735" s="57" t="n">
        <v>8</v>
      </c>
      <c r="F7735" s="29">
        <f>ROUND(((SUMIFS(Calendar!$F$2:$F$9997,Calendar!$B$2:$B$9997,D7735,Calendar!$C$2:$C$9997,C7735)*INDEX(ForeCalc!$B$37:$Y$274,MATCH(_xlfn.CONCAT(H7735," ",I7735),ForeCalc!$A$37:$A$274,0),MATCH(_xlfn.CONCAT(B7735," ",E7735),ForeCalc!$B$36:$Y$36,0))))*VLOOKUP(A7735,Calendar!$A$2:$H$9997,8,FALSE),0)</f>
        <v/>
      </c>
      <c r="G7735" s="29">
        <f>VLOOKUP(A7735,Calendar!$A$1:$H$9997,6,FALSE)-F7735</f>
        <v/>
      </c>
      <c r="H7735" s="19" t="n">
        <v>1</v>
      </c>
      <c r="I7735" s="57" t="n">
        <v>3</v>
      </c>
    </row>
    <row r="7736">
      <c r="A7736" s="62" t="n">
        <v>46175</v>
      </c>
      <c r="B7736" s="3" t="inlineStr">
        <is>
          <t>Week</t>
        </is>
      </c>
      <c r="C7736" s="19" t="n">
        <v>6</v>
      </c>
      <c r="D7736" s="19" t="n">
        <v>2026</v>
      </c>
      <c r="E7736" s="57" t="n">
        <v>8</v>
      </c>
      <c r="F7736" s="29">
        <f>ROUND(((SUMIFS(Calendar!$F$2:$F$9997,Calendar!$B$2:$B$9997,D7736,Calendar!$C$2:$C$9997,C7736)*INDEX(ForeCalc!$B$37:$Y$274,MATCH(_xlfn.CONCAT(H7736," ",I7736),ForeCalc!$A$37:$A$274,0),MATCH(_xlfn.CONCAT(B7736," ",E7736),ForeCalc!$B$36:$Y$36,0))))*VLOOKUP(A7736,Calendar!$A$2:$H$9997,8,FALSE),0)</f>
        <v/>
      </c>
      <c r="G7736" s="29">
        <f>VLOOKUP(A7736,Calendar!$A$1:$H$9997,6,FALSE)-F7736</f>
        <v/>
      </c>
      <c r="H7736" s="19" t="n">
        <v>1</v>
      </c>
      <c r="I7736" s="57" t="n">
        <v>3</v>
      </c>
    </row>
    <row r="7737">
      <c r="A7737" s="62" t="n">
        <v>46176</v>
      </c>
      <c r="B7737" s="3" t="inlineStr">
        <is>
          <t>Week</t>
        </is>
      </c>
      <c r="C7737" s="19" t="n">
        <v>6</v>
      </c>
      <c r="D7737" s="19" t="n">
        <v>2026</v>
      </c>
      <c r="E7737" s="57" t="n">
        <v>8</v>
      </c>
      <c r="F7737" s="29">
        <f>ROUND(((SUMIFS(Calendar!$F$2:$F$9997,Calendar!$B$2:$B$9997,D7737,Calendar!$C$2:$C$9997,C7737)*INDEX(ForeCalc!$B$37:$Y$274,MATCH(_xlfn.CONCAT(H7737," ",I7737),ForeCalc!$A$37:$A$274,0),MATCH(_xlfn.CONCAT(B7737," ",E7737),ForeCalc!$B$36:$Y$36,0))))*VLOOKUP(A7737,Calendar!$A$2:$H$9997,8,FALSE),0)</f>
        <v/>
      </c>
      <c r="G7737" s="29">
        <f>VLOOKUP(A7737,Calendar!$A$1:$H$9997,6,FALSE)-F7737</f>
        <v/>
      </c>
      <c r="H7737" s="19" t="n">
        <v>1</v>
      </c>
      <c r="I7737" s="57" t="n">
        <v>3</v>
      </c>
    </row>
    <row r="7738">
      <c r="A7738" s="62" t="n">
        <v>46177</v>
      </c>
      <c r="B7738" s="3" t="inlineStr">
        <is>
          <t>Week</t>
        </is>
      </c>
      <c r="C7738" s="19" t="n">
        <v>6</v>
      </c>
      <c r="D7738" s="19" t="n">
        <v>2026</v>
      </c>
      <c r="E7738" s="57" t="n">
        <v>8</v>
      </c>
      <c r="F7738" s="29">
        <f>ROUND(((SUMIFS(Calendar!$F$2:$F$9997,Calendar!$B$2:$B$9997,D7738,Calendar!$C$2:$C$9997,C7738)*INDEX(ForeCalc!$B$37:$Y$274,MATCH(_xlfn.CONCAT(H7738," ",I7738),ForeCalc!$A$37:$A$274,0),MATCH(_xlfn.CONCAT(B7738," ",E7738),ForeCalc!$B$36:$Y$36,0))))*VLOOKUP(A7738,Calendar!$A$2:$H$9997,8,FALSE),0)</f>
        <v/>
      </c>
      <c r="G7738" s="29">
        <f>VLOOKUP(A7738,Calendar!$A$1:$H$9997,6,FALSE)-F7738</f>
        <v/>
      </c>
      <c r="H7738" s="19" t="n">
        <v>1</v>
      </c>
      <c r="I7738" s="57" t="n">
        <v>3</v>
      </c>
    </row>
    <row r="7739">
      <c r="A7739" s="62" t="n">
        <v>46178</v>
      </c>
      <c r="B7739" s="3" t="inlineStr">
        <is>
          <t>Week</t>
        </is>
      </c>
      <c r="C7739" s="19" t="n">
        <v>6</v>
      </c>
      <c r="D7739" s="19" t="n">
        <v>2026</v>
      </c>
      <c r="E7739" s="57" t="n">
        <v>8</v>
      </c>
      <c r="F7739" s="29">
        <f>ROUND(((SUMIFS(Calendar!$F$2:$F$9997,Calendar!$B$2:$B$9997,D7739,Calendar!$C$2:$C$9997,C7739)*INDEX(ForeCalc!$B$37:$Y$274,MATCH(_xlfn.CONCAT(H7739," ",I7739),ForeCalc!$A$37:$A$274,0),MATCH(_xlfn.CONCAT(B7739," ",E7739),ForeCalc!$B$36:$Y$36,0))))*VLOOKUP(A7739,Calendar!$A$2:$H$9997,8,FALSE),0)</f>
        <v/>
      </c>
      <c r="G7739" s="29">
        <f>VLOOKUP(A7739,Calendar!$A$1:$H$9997,6,FALSE)-F7739</f>
        <v/>
      </c>
      <c r="H7739" s="19" t="n">
        <v>1</v>
      </c>
      <c r="I7739" s="57" t="n">
        <v>3</v>
      </c>
    </row>
    <row r="7740">
      <c r="A7740" s="62" t="n">
        <v>46179</v>
      </c>
      <c r="B7740" s="3" t="inlineStr">
        <is>
          <t>Sat</t>
        </is>
      </c>
      <c r="C7740" s="19" t="n">
        <v>6</v>
      </c>
      <c r="D7740" s="19" t="n">
        <v>2026</v>
      </c>
      <c r="E7740" s="57" t="n">
        <v>8</v>
      </c>
      <c r="F7740" s="29">
        <f>ROUND(((SUMIFS(Calendar!$F$2:$F$9997,Calendar!$B$2:$B$9997,D7740,Calendar!$C$2:$C$9997,C7740)*INDEX(ForeCalc!$B$37:$Y$274,MATCH(_xlfn.CONCAT(H7740," ",I7740),ForeCalc!$A$37:$A$274,0),MATCH(_xlfn.CONCAT(B7740," ",E7740),ForeCalc!$B$36:$Y$36,0))))*VLOOKUP(A7740,Calendar!$A$2:$H$9997,8,FALSE),0)</f>
        <v/>
      </c>
      <c r="G7740" s="29">
        <f>VLOOKUP(A7740,Calendar!$A$1:$H$9997,6,FALSE)-F7740</f>
        <v/>
      </c>
      <c r="H7740" s="19" t="n">
        <v>1</v>
      </c>
      <c r="I7740" s="57" t="n">
        <v>3</v>
      </c>
    </row>
    <row r="7741">
      <c r="A7741" s="62" t="n">
        <v>46180</v>
      </c>
      <c r="B7741" s="3" t="inlineStr">
        <is>
          <t>Sun</t>
        </is>
      </c>
      <c r="C7741" s="19" t="n">
        <v>6</v>
      </c>
      <c r="D7741" s="19" t="n">
        <v>2026</v>
      </c>
      <c r="E7741" s="57" t="n">
        <v>8</v>
      </c>
      <c r="F7741" s="29">
        <f>ROUND(((SUMIFS(Calendar!$F$2:$F$9997,Calendar!$B$2:$B$9997,D7741,Calendar!$C$2:$C$9997,C7741)*INDEX(ForeCalc!$B$37:$Y$274,MATCH(_xlfn.CONCAT(H7741," ",I7741),ForeCalc!$A$37:$A$274,0),MATCH(_xlfn.CONCAT(B7741," ",E7741),ForeCalc!$B$36:$Y$36,0))))*VLOOKUP(A7741,Calendar!$A$2:$H$9997,8,FALSE),0)</f>
        <v/>
      </c>
      <c r="G7741" s="29">
        <f>VLOOKUP(A7741,Calendar!$A$1:$H$9997,6,FALSE)-F7741</f>
        <v/>
      </c>
      <c r="H7741" s="19" t="n">
        <v>1</v>
      </c>
      <c r="I7741" s="57" t="n">
        <v>3</v>
      </c>
    </row>
    <row r="7742">
      <c r="A7742" s="62" t="n">
        <v>46181</v>
      </c>
      <c r="B7742" s="3" t="inlineStr">
        <is>
          <t>Week</t>
        </is>
      </c>
      <c r="C7742" s="19" t="n">
        <v>6</v>
      </c>
      <c r="D7742" s="19" t="n">
        <v>2026</v>
      </c>
      <c r="E7742" s="57" t="n">
        <v>8</v>
      </c>
      <c r="F7742" s="29">
        <f>ROUND(((SUMIFS(Calendar!$F$2:$F$9997,Calendar!$B$2:$B$9997,D7742,Calendar!$C$2:$C$9997,C7742)*INDEX(ForeCalc!$B$37:$Y$274,MATCH(_xlfn.CONCAT(H7742," ",I7742),ForeCalc!$A$37:$A$274,0),MATCH(_xlfn.CONCAT(B7742," ",E7742),ForeCalc!$B$36:$Y$36,0))))*VLOOKUP(A7742,Calendar!$A$2:$H$9997,8,FALSE),0)</f>
        <v/>
      </c>
      <c r="G7742" s="29">
        <f>VLOOKUP(A7742,Calendar!$A$1:$H$9997,6,FALSE)-F7742</f>
        <v/>
      </c>
      <c r="H7742" s="19" t="n">
        <v>1</v>
      </c>
      <c r="I7742" s="57" t="n">
        <v>3</v>
      </c>
    </row>
    <row r="7743">
      <c r="A7743" s="62" t="n">
        <v>46182</v>
      </c>
      <c r="B7743" s="3" t="inlineStr">
        <is>
          <t>Week</t>
        </is>
      </c>
      <c r="C7743" s="19" t="n">
        <v>6</v>
      </c>
      <c r="D7743" s="19" t="n">
        <v>2026</v>
      </c>
      <c r="E7743" s="57" t="n">
        <v>8</v>
      </c>
      <c r="F7743" s="29">
        <f>ROUND(((SUMIFS(Calendar!$F$2:$F$9997,Calendar!$B$2:$B$9997,D7743,Calendar!$C$2:$C$9997,C7743)*INDEX(ForeCalc!$B$37:$Y$274,MATCH(_xlfn.CONCAT(H7743," ",I7743),ForeCalc!$A$37:$A$274,0),MATCH(_xlfn.CONCAT(B7743," ",E7743),ForeCalc!$B$36:$Y$36,0))))*VLOOKUP(A7743,Calendar!$A$2:$H$9997,8,FALSE),0)</f>
        <v/>
      </c>
      <c r="G7743" s="29">
        <f>VLOOKUP(A7743,Calendar!$A$1:$H$9997,6,FALSE)-F7743</f>
        <v/>
      </c>
      <c r="H7743" s="19" t="n">
        <v>1</v>
      </c>
      <c r="I7743" s="57" t="n">
        <v>3</v>
      </c>
    </row>
    <row r="7744">
      <c r="A7744" s="62" t="n">
        <v>46183</v>
      </c>
      <c r="B7744" s="3" t="inlineStr">
        <is>
          <t>Week</t>
        </is>
      </c>
      <c r="C7744" s="19" t="n">
        <v>6</v>
      </c>
      <c r="D7744" s="19" t="n">
        <v>2026</v>
      </c>
      <c r="E7744" s="57" t="n">
        <v>8</v>
      </c>
      <c r="F7744" s="29">
        <f>ROUND(((SUMIFS(Calendar!$F$2:$F$9997,Calendar!$B$2:$B$9997,D7744,Calendar!$C$2:$C$9997,C7744)*INDEX(ForeCalc!$B$37:$Y$274,MATCH(_xlfn.CONCAT(H7744," ",I7744),ForeCalc!$A$37:$A$274,0),MATCH(_xlfn.CONCAT(B7744," ",E7744),ForeCalc!$B$36:$Y$36,0))))*VLOOKUP(A7744,Calendar!$A$2:$H$9997,8,FALSE),0)</f>
        <v/>
      </c>
      <c r="G7744" s="29">
        <f>VLOOKUP(A7744,Calendar!$A$1:$H$9997,6,FALSE)-F7744</f>
        <v/>
      </c>
      <c r="H7744" s="19" t="n">
        <v>1</v>
      </c>
      <c r="I7744" s="57" t="n">
        <v>3</v>
      </c>
    </row>
    <row r="7745">
      <c r="A7745" s="62" t="n">
        <v>46184</v>
      </c>
      <c r="B7745" s="3" t="inlineStr">
        <is>
          <t>Week</t>
        </is>
      </c>
      <c r="C7745" s="19" t="n">
        <v>6</v>
      </c>
      <c r="D7745" s="19" t="n">
        <v>2026</v>
      </c>
      <c r="E7745" s="57" t="n">
        <v>8</v>
      </c>
      <c r="F7745" s="29">
        <f>ROUND(((SUMIFS(Calendar!$F$2:$F$9997,Calendar!$B$2:$B$9997,D7745,Calendar!$C$2:$C$9997,C7745)*INDEX(ForeCalc!$B$37:$Y$274,MATCH(_xlfn.CONCAT(H7745," ",I7745),ForeCalc!$A$37:$A$274,0),MATCH(_xlfn.CONCAT(B7745," ",E7745),ForeCalc!$B$36:$Y$36,0))))*VLOOKUP(A7745,Calendar!$A$2:$H$9997,8,FALSE),0)</f>
        <v/>
      </c>
      <c r="G7745" s="29">
        <f>VLOOKUP(A7745,Calendar!$A$1:$H$9997,6,FALSE)-F7745</f>
        <v/>
      </c>
      <c r="H7745" s="19" t="n">
        <v>1</v>
      </c>
      <c r="I7745" s="57" t="n">
        <v>3</v>
      </c>
    </row>
    <row r="7746">
      <c r="A7746" s="62" t="n">
        <v>46185</v>
      </c>
      <c r="B7746" s="3" t="inlineStr">
        <is>
          <t>Week</t>
        </is>
      </c>
      <c r="C7746" s="19" t="n">
        <v>6</v>
      </c>
      <c r="D7746" s="19" t="n">
        <v>2026</v>
      </c>
      <c r="E7746" s="57" t="n">
        <v>8</v>
      </c>
      <c r="F7746" s="29">
        <f>ROUND(((SUMIFS(Calendar!$F$2:$F$9997,Calendar!$B$2:$B$9997,D7746,Calendar!$C$2:$C$9997,C7746)*INDEX(ForeCalc!$B$37:$Y$274,MATCH(_xlfn.CONCAT(H7746," ",I7746),ForeCalc!$A$37:$A$274,0),MATCH(_xlfn.CONCAT(B7746," ",E7746),ForeCalc!$B$36:$Y$36,0))))*VLOOKUP(A7746,Calendar!$A$2:$H$9997,8,FALSE),0)</f>
        <v/>
      </c>
      <c r="G7746" s="29">
        <f>VLOOKUP(A7746,Calendar!$A$1:$H$9997,6,FALSE)-F7746</f>
        <v/>
      </c>
      <c r="H7746" s="19" t="n">
        <v>1</v>
      </c>
      <c r="I7746" s="57" t="n">
        <v>3</v>
      </c>
    </row>
    <row r="7747">
      <c r="A7747" s="62" t="n">
        <v>46186</v>
      </c>
      <c r="B7747" s="3" t="inlineStr">
        <is>
          <t>Sat</t>
        </is>
      </c>
      <c r="C7747" s="19" t="n">
        <v>6</v>
      </c>
      <c r="D7747" s="19" t="n">
        <v>2026</v>
      </c>
      <c r="E7747" s="57" t="n">
        <v>8</v>
      </c>
      <c r="F7747" s="29">
        <f>ROUND(((SUMIFS(Calendar!$F$2:$F$9997,Calendar!$B$2:$B$9997,D7747,Calendar!$C$2:$C$9997,C7747)*INDEX(ForeCalc!$B$37:$Y$274,MATCH(_xlfn.CONCAT(H7747," ",I7747),ForeCalc!$A$37:$A$274,0),MATCH(_xlfn.CONCAT(B7747," ",E7747),ForeCalc!$B$36:$Y$36,0))))*VLOOKUP(A7747,Calendar!$A$2:$H$9997,8,FALSE),0)</f>
        <v/>
      </c>
      <c r="G7747" s="29">
        <f>VLOOKUP(A7747,Calendar!$A$1:$H$9997,6,FALSE)-F7747</f>
        <v/>
      </c>
      <c r="H7747" s="19" t="n">
        <v>1</v>
      </c>
      <c r="I7747" s="57" t="n">
        <v>3</v>
      </c>
    </row>
    <row r="7748">
      <c r="A7748" s="62" t="n">
        <v>46187</v>
      </c>
      <c r="B7748" s="3" t="inlineStr">
        <is>
          <t>Sun</t>
        </is>
      </c>
      <c r="C7748" s="19" t="n">
        <v>6</v>
      </c>
      <c r="D7748" s="19" t="n">
        <v>2026</v>
      </c>
      <c r="E7748" s="57" t="n">
        <v>8</v>
      </c>
      <c r="F7748" s="29">
        <f>ROUND(((SUMIFS(Calendar!$F$2:$F$9997,Calendar!$B$2:$B$9997,D7748,Calendar!$C$2:$C$9997,C7748)*INDEX(ForeCalc!$B$37:$Y$274,MATCH(_xlfn.CONCAT(H7748," ",I7748),ForeCalc!$A$37:$A$274,0),MATCH(_xlfn.CONCAT(B7748," ",E7748),ForeCalc!$B$36:$Y$36,0))))*VLOOKUP(A7748,Calendar!$A$2:$H$9997,8,FALSE),0)</f>
        <v/>
      </c>
      <c r="G7748" s="29">
        <f>VLOOKUP(A7748,Calendar!$A$1:$H$9997,6,FALSE)-F7748</f>
        <v/>
      </c>
      <c r="H7748" s="19" t="n">
        <v>1</v>
      </c>
      <c r="I7748" s="57" t="n">
        <v>3</v>
      </c>
    </row>
    <row r="7749">
      <c r="A7749" s="62" t="n">
        <v>46188</v>
      </c>
      <c r="B7749" s="3" t="inlineStr">
        <is>
          <t>Week</t>
        </is>
      </c>
      <c r="C7749" s="19" t="n">
        <v>6</v>
      </c>
      <c r="D7749" s="19" t="n">
        <v>2026</v>
      </c>
      <c r="E7749" s="57" t="n">
        <v>8</v>
      </c>
      <c r="F7749" s="29">
        <f>ROUND(((SUMIFS(Calendar!$F$2:$F$9997,Calendar!$B$2:$B$9997,D7749,Calendar!$C$2:$C$9997,C7749)*INDEX(ForeCalc!$B$37:$Y$274,MATCH(_xlfn.CONCAT(H7749," ",I7749),ForeCalc!$A$37:$A$274,0),MATCH(_xlfn.CONCAT(B7749," ",E7749),ForeCalc!$B$36:$Y$36,0))))*VLOOKUP(A7749,Calendar!$A$2:$H$9997,8,FALSE),0)</f>
        <v/>
      </c>
      <c r="G7749" s="29">
        <f>VLOOKUP(A7749,Calendar!$A$1:$H$9997,6,FALSE)-F7749</f>
        <v/>
      </c>
      <c r="H7749" s="19" t="n">
        <v>1</v>
      </c>
      <c r="I7749" s="57" t="n">
        <v>3</v>
      </c>
    </row>
    <row r="7750">
      <c r="A7750" s="62" t="n">
        <v>46189</v>
      </c>
      <c r="B7750" s="3" t="inlineStr">
        <is>
          <t>Week</t>
        </is>
      </c>
      <c r="C7750" s="19" t="n">
        <v>6</v>
      </c>
      <c r="D7750" s="19" t="n">
        <v>2026</v>
      </c>
      <c r="E7750" s="57" t="n">
        <v>8</v>
      </c>
      <c r="F7750" s="29">
        <f>ROUND(((SUMIFS(Calendar!$F$2:$F$9997,Calendar!$B$2:$B$9997,D7750,Calendar!$C$2:$C$9997,C7750)*INDEX(ForeCalc!$B$37:$Y$274,MATCH(_xlfn.CONCAT(H7750," ",I7750),ForeCalc!$A$37:$A$274,0),MATCH(_xlfn.CONCAT(B7750," ",E7750),ForeCalc!$B$36:$Y$36,0))))*VLOOKUP(A7750,Calendar!$A$2:$H$9997,8,FALSE),0)</f>
        <v/>
      </c>
      <c r="G7750" s="29">
        <f>VLOOKUP(A7750,Calendar!$A$1:$H$9997,6,FALSE)-F7750</f>
        <v/>
      </c>
      <c r="H7750" s="19" t="n">
        <v>1</v>
      </c>
      <c r="I7750" s="57" t="n">
        <v>3</v>
      </c>
    </row>
    <row r="7751">
      <c r="A7751" s="62" t="n">
        <v>46190</v>
      </c>
      <c r="B7751" s="3" t="inlineStr">
        <is>
          <t>Week</t>
        </is>
      </c>
      <c r="C7751" s="19" t="n">
        <v>6</v>
      </c>
      <c r="D7751" s="19" t="n">
        <v>2026</v>
      </c>
      <c r="E7751" s="57" t="n">
        <v>8</v>
      </c>
      <c r="F7751" s="29">
        <f>ROUND(((SUMIFS(Calendar!$F$2:$F$9997,Calendar!$B$2:$B$9997,D7751,Calendar!$C$2:$C$9997,C7751)*INDEX(ForeCalc!$B$37:$Y$274,MATCH(_xlfn.CONCAT(H7751," ",I7751),ForeCalc!$A$37:$A$274,0),MATCH(_xlfn.CONCAT(B7751," ",E7751),ForeCalc!$B$36:$Y$36,0))))*VLOOKUP(A7751,Calendar!$A$2:$H$9997,8,FALSE),0)</f>
        <v/>
      </c>
      <c r="G7751" s="29">
        <f>VLOOKUP(A7751,Calendar!$A$1:$H$9997,6,FALSE)-F7751</f>
        <v/>
      </c>
      <c r="H7751" s="19" t="n">
        <v>1</v>
      </c>
      <c r="I7751" s="57" t="n">
        <v>3</v>
      </c>
    </row>
    <row r="7752">
      <c r="A7752" s="62" t="n">
        <v>46191</v>
      </c>
      <c r="B7752" s="3" t="inlineStr">
        <is>
          <t>Week</t>
        </is>
      </c>
      <c r="C7752" s="19" t="n">
        <v>6</v>
      </c>
      <c r="D7752" s="19" t="n">
        <v>2026</v>
      </c>
      <c r="E7752" s="57" t="n">
        <v>8</v>
      </c>
      <c r="F7752" s="29">
        <f>ROUND(((SUMIFS(Calendar!$F$2:$F$9997,Calendar!$B$2:$B$9997,D7752,Calendar!$C$2:$C$9997,C7752)*INDEX(ForeCalc!$B$37:$Y$274,MATCH(_xlfn.CONCAT(H7752," ",I7752),ForeCalc!$A$37:$A$274,0),MATCH(_xlfn.CONCAT(B7752," ",E7752),ForeCalc!$B$36:$Y$36,0))))*VLOOKUP(A7752,Calendar!$A$2:$H$9997,8,FALSE),0)</f>
        <v/>
      </c>
      <c r="G7752" s="29">
        <f>VLOOKUP(A7752,Calendar!$A$1:$H$9997,6,FALSE)-F7752</f>
        <v/>
      </c>
      <c r="H7752" s="19" t="n">
        <v>1</v>
      </c>
      <c r="I7752" s="57" t="n">
        <v>3</v>
      </c>
    </row>
    <row r="7753">
      <c r="A7753" s="62" t="n">
        <v>46192</v>
      </c>
      <c r="B7753" s="3" t="inlineStr">
        <is>
          <t>Week</t>
        </is>
      </c>
      <c r="C7753" s="19" t="n">
        <v>6</v>
      </c>
      <c r="D7753" s="19" t="n">
        <v>2026</v>
      </c>
      <c r="E7753" s="57" t="n">
        <v>8</v>
      </c>
      <c r="F7753" s="29">
        <f>ROUND(((SUMIFS(Calendar!$F$2:$F$9997,Calendar!$B$2:$B$9997,D7753,Calendar!$C$2:$C$9997,C7753)*INDEX(ForeCalc!$B$37:$Y$274,MATCH(_xlfn.CONCAT(H7753," ",I7753),ForeCalc!$A$37:$A$274,0),MATCH(_xlfn.CONCAT(B7753," ",E7753),ForeCalc!$B$36:$Y$36,0))))*VLOOKUP(A7753,Calendar!$A$2:$H$9997,8,FALSE),0)</f>
        <v/>
      </c>
      <c r="G7753" s="29">
        <f>VLOOKUP(A7753,Calendar!$A$1:$H$9997,6,FALSE)-F7753</f>
        <v/>
      </c>
      <c r="H7753" s="19" t="n">
        <v>1</v>
      </c>
      <c r="I7753" s="57" t="n">
        <v>3</v>
      </c>
    </row>
    <row r="7754">
      <c r="A7754" s="62" t="n">
        <v>46193</v>
      </c>
      <c r="B7754" s="3" t="inlineStr">
        <is>
          <t>Sat</t>
        </is>
      </c>
      <c r="C7754" s="19" t="n">
        <v>6</v>
      </c>
      <c r="D7754" s="19" t="n">
        <v>2026</v>
      </c>
      <c r="E7754" s="57" t="n">
        <v>8</v>
      </c>
      <c r="F7754" s="29">
        <f>ROUND(((SUMIFS(Calendar!$F$2:$F$9997,Calendar!$B$2:$B$9997,D7754,Calendar!$C$2:$C$9997,C7754)*INDEX(ForeCalc!$B$37:$Y$274,MATCH(_xlfn.CONCAT(H7754," ",I7754),ForeCalc!$A$37:$A$274,0),MATCH(_xlfn.CONCAT(B7754," ",E7754),ForeCalc!$B$36:$Y$36,0))))*VLOOKUP(A7754,Calendar!$A$2:$H$9997,8,FALSE),0)</f>
        <v/>
      </c>
      <c r="G7754" s="29">
        <f>VLOOKUP(A7754,Calendar!$A$1:$H$9997,6,FALSE)-F7754</f>
        <v/>
      </c>
      <c r="H7754" s="19" t="n">
        <v>1</v>
      </c>
      <c r="I7754" s="57" t="n">
        <v>3</v>
      </c>
    </row>
    <row r="7755">
      <c r="A7755" s="62" t="n">
        <v>46194</v>
      </c>
      <c r="B7755" s="3" t="inlineStr">
        <is>
          <t>Sun</t>
        </is>
      </c>
      <c r="C7755" s="19" t="n">
        <v>6</v>
      </c>
      <c r="D7755" s="19" t="n">
        <v>2026</v>
      </c>
      <c r="E7755" s="57" t="n">
        <v>8</v>
      </c>
      <c r="F7755" s="29">
        <f>ROUND(((SUMIFS(Calendar!$F$2:$F$9997,Calendar!$B$2:$B$9997,D7755,Calendar!$C$2:$C$9997,C7755)*INDEX(ForeCalc!$B$37:$Y$274,MATCH(_xlfn.CONCAT(H7755," ",I7755),ForeCalc!$A$37:$A$274,0),MATCH(_xlfn.CONCAT(B7755," ",E7755),ForeCalc!$B$36:$Y$36,0))))*VLOOKUP(A7755,Calendar!$A$2:$H$9997,8,FALSE),0)</f>
        <v/>
      </c>
      <c r="G7755" s="29">
        <f>VLOOKUP(A7755,Calendar!$A$1:$H$9997,6,FALSE)-F7755</f>
        <v/>
      </c>
      <c r="H7755" s="19" t="n">
        <v>1</v>
      </c>
      <c r="I7755" s="57" t="n">
        <v>3</v>
      </c>
    </row>
    <row r="7756">
      <c r="A7756" s="62" t="n">
        <v>46195</v>
      </c>
      <c r="B7756" s="3" t="inlineStr">
        <is>
          <t>Week</t>
        </is>
      </c>
      <c r="C7756" s="19" t="n">
        <v>6</v>
      </c>
      <c r="D7756" s="19" t="n">
        <v>2026</v>
      </c>
      <c r="E7756" s="57" t="n">
        <v>8</v>
      </c>
      <c r="F7756" s="29">
        <f>ROUND(((SUMIFS(Calendar!$F$2:$F$9997,Calendar!$B$2:$B$9997,D7756,Calendar!$C$2:$C$9997,C7756)*INDEX(ForeCalc!$B$37:$Y$274,MATCH(_xlfn.CONCAT(H7756," ",I7756),ForeCalc!$A$37:$A$274,0),MATCH(_xlfn.CONCAT(B7756," ",E7756),ForeCalc!$B$36:$Y$36,0))))*VLOOKUP(A7756,Calendar!$A$2:$H$9997,8,FALSE),0)</f>
        <v/>
      </c>
      <c r="G7756" s="29">
        <f>VLOOKUP(A7756,Calendar!$A$1:$H$9997,6,FALSE)-F7756</f>
        <v/>
      </c>
      <c r="H7756" s="19" t="n">
        <v>1</v>
      </c>
      <c r="I7756" s="57" t="n">
        <v>3</v>
      </c>
    </row>
    <row r="7757">
      <c r="A7757" s="62" t="n">
        <v>46196</v>
      </c>
      <c r="B7757" s="3" t="inlineStr">
        <is>
          <t>Week</t>
        </is>
      </c>
      <c r="C7757" s="19" t="n">
        <v>6</v>
      </c>
      <c r="D7757" s="19" t="n">
        <v>2026</v>
      </c>
      <c r="E7757" s="57" t="n">
        <v>8</v>
      </c>
      <c r="F7757" s="29">
        <f>ROUND(((SUMIFS(Calendar!$F$2:$F$9997,Calendar!$B$2:$B$9997,D7757,Calendar!$C$2:$C$9997,C7757)*INDEX(ForeCalc!$B$37:$Y$274,MATCH(_xlfn.CONCAT(H7757," ",I7757),ForeCalc!$A$37:$A$274,0),MATCH(_xlfn.CONCAT(B7757," ",E7757),ForeCalc!$B$36:$Y$36,0))))*VLOOKUP(A7757,Calendar!$A$2:$H$9997,8,FALSE),0)</f>
        <v/>
      </c>
      <c r="G7757" s="29">
        <f>VLOOKUP(A7757,Calendar!$A$1:$H$9997,6,FALSE)-F7757</f>
        <v/>
      </c>
      <c r="H7757" s="19" t="n">
        <v>1</v>
      </c>
      <c r="I7757" s="57" t="n">
        <v>3</v>
      </c>
    </row>
    <row r="7758">
      <c r="A7758" s="62" t="n">
        <v>46197</v>
      </c>
      <c r="B7758" s="3" t="inlineStr">
        <is>
          <t>Week</t>
        </is>
      </c>
      <c r="C7758" s="19" t="n">
        <v>6</v>
      </c>
      <c r="D7758" s="19" t="n">
        <v>2026</v>
      </c>
      <c r="E7758" s="57" t="n">
        <v>8</v>
      </c>
      <c r="F7758" s="29">
        <f>ROUND(((SUMIFS(Calendar!$F$2:$F$9997,Calendar!$B$2:$B$9997,D7758,Calendar!$C$2:$C$9997,C7758)*INDEX(ForeCalc!$B$37:$Y$274,MATCH(_xlfn.CONCAT(H7758," ",I7758),ForeCalc!$A$37:$A$274,0),MATCH(_xlfn.CONCAT(B7758," ",E7758),ForeCalc!$B$36:$Y$36,0))))*VLOOKUP(A7758,Calendar!$A$2:$H$9997,8,FALSE),0)</f>
        <v/>
      </c>
      <c r="G7758" s="29">
        <f>VLOOKUP(A7758,Calendar!$A$1:$H$9997,6,FALSE)-F7758</f>
        <v/>
      </c>
      <c r="H7758" s="19" t="n">
        <v>1</v>
      </c>
      <c r="I7758" s="57" t="n">
        <v>3</v>
      </c>
    </row>
    <row r="7759">
      <c r="A7759" s="62" t="n">
        <v>46198</v>
      </c>
      <c r="B7759" s="3" t="inlineStr">
        <is>
          <t>Week</t>
        </is>
      </c>
      <c r="C7759" s="19" t="n">
        <v>6</v>
      </c>
      <c r="D7759" s="19" t="n">
        <v>2026</v>
      </c>
      <c r="E7759" s="57" t="n">
        <v>8</v>
      </c>
      <c r="F7759" s="29">
        <f>ROUND(((SUMIFS(Calendar!$F$2:$F$9997,Calendar!$B$2:$B$9997,D7759,Calendar!$C$2:$C$9997,C7759)*INDEX(ForeCalc!$B$37:$Y$274,MATCH(_xlfn.CONCAT(H7759," ",I7759),ForeCalc!$A$37:$A$274,0),MATCH(_xlfn.CONCAT(B7759," ",E7759),ForeCalc!$B$36:$Y$36,0))))*VLOOKUP(A7759,Calendar!$A$2:$H$9997,8,FALSE),0)</f>
        <v/>
      </c>
      <c r="G7759" s="29">
        <f>VLOOKUP(A7759,Calendar!$A$1:$H$9997,6,FALSE)-F7759</f>
        <v/>
      </c>
      <c r="H7759" s="19" t="n">
        <v>1</v>
      </c>
      <c r="I7759" s="57" t="n">
        <v>3</v>
      </c>
    </row>
    <row r="7760">
      <c r="A7760" s="62" t="n">
        <v>46199</v>
      </c>
      <c r="B7760" s="3" t="inlineStr">
        <is>
          <t>Week</t>
        </is>
      </c>
      <c r="C7760" s="19" t="n">
        <v>6</v>
      </c>
      <c r="D7760" s="19" t="n">
        <v>2026</v>
      </c>
      <c r="E7760" s="57" t="n">
        <v>8</v>
      </c>
      <c r="F7760" s="29">
        <f>ROUND(((SUMIFS(Calendar!$F$2:$F$9997,Calendar!$B$2:$B$9997,D7760,Calendar!$C$2:$C$9997,C7760)*INDEX(ForeCalc!$B$37:$Y$274,MATCH(_xlfn.CONCAT(H7760," ",I7760),ForeCalc!$A$37:$A$274,0),MATCH(_xlfn.CONCAT(B7760," ",E7760),ForeCalc!$B$36:$Y$36,0))))*VLOOKUP(A7760,Calendar!$A$2:$H$9997,8,FALSE),0)</f>
        <v/>
      </c>
      <c r="G7760" s="29">
        <f>VLOOKUP(A7760,Calendar!$A$1:$H$9997,6,FALSE)-F7760</f>
        <v/>
      </c>
      <c r="H7760" s="19" t="n">
        <v>1</v>
      </c>
      <c r="I7760" s="57" t="n">
        <v>3</v>
      </c>
    </row>
    <row r="7761">
      <c r="A7761" s="62" t="n">
        <v>46200</v>
      </c>
      <c r="B7761" s="3" t="inlineStr">
        <is>
          <t>Sat</t>
        </is>
      </c>
      <c r="C7761" s="19" t="n">
        <v>6</v>
      </c>
      <c r="D7761" s="19" t="n">
        <v>2026</v>
      </c>
      <c r="E7761" s="57" t="n">
        <v>8</v>
      </c>
      <c r="F7761" s="29">
        <f>ROUND(((SUMIFS(Calendar!$F$2:$F$9997,Calendar!$B$2:$B$9997,D7761,Calendar!$C$2:$C$9997,C7761)*INDEX(ForeCalc!$B$37:$Y$274,MATCH(_xlfn.CONCAT(H7761," ",I7761),ForeCalc!$A$37:$A$274,0),MATCH(_xlfn.CONCAT(B7761," ",E7761),ForeCalc!$B$36:$Y$36,0))))*VLOOKUP(A7761,Calendar!$A$2:$H$9997,8,FALSE),0)</f>
        <v/>
      </c>
      <c r="G7761" s="29">
        <f>VLOOKUP(A7761,Calendar!$A$1:$H$9997,6,FALSE)-F7761</f>
        <v/>
      </c>
      <c r="H7761" s="19" t="n">
        <v>1</v>
      </c>
      <c r="I7761" s="57" t="n">
        <v>3</v>
      </c>
    </row>
    <row r="7762">
      <c r="A7762" s="62" t="n">
        <v>46201</v>
      </c>
      <c r="B7762" s="3" t="inlineStr">
        <is>
          <t>Sun</t>
        </is>
      </c>
      <c r="C7762" s="19" t="n">
        <v>6</v>
      </c>
      <c r="D7762" s="19" t="n">
        <v>2026</v>
      </c>
      <c r="E7762" s="57" t="n">
        <v>8</v>
      </c>
      <c r="F7762" s="29">
        <f>ROUND(((SUMIFS(Calendar!$F$2:$F$9997,Calendar!$B$2:$B$9997,D7762,Calendar!$C$2:$C$9997,C7762)*INDEX(ForeCalc!$B$37:$Y$274,MATCH(_xlfn.CONCAT(H7762," ",I7762),ForeCalc!$A$37:$A$274,0),MATCH(_xlfn.CONCAT(B7762," ",E7762),ForeCalc!$B$36:$Y$36,0))))*VLOOKUP(A7762,Calendar!$A$2:$H$9997,8,FALSE),0)</f>
        <v/>
      </c>
      <c r="G7762" s="29">
        <f>VLOOKUP(A7762,Calendar!$A$1:$H$9997,6,FALSE)-F7762</f>
        <v/>
      </c>
      <c r="H7762" s="19" t="n">
        <v>1</v>
      </c>
      <c r="I7762" s="57" t="n">
        <v>3</v>
      </c>
    </row>
    <row r="7763">
      <c r="A7763" s="62" t="n">
        <v>46202</v>
      </c>
      <c r="B7763" s="3" t="inlineStr">
        <is>
          <t>Week</t>
        </is>
      </c>
      <c r="C7763" s="19" t="n">
        <v>6</v>
      </c>
      <c r="D7763" s="19" t="n">
        <v>2026</v>
      </c>
      <c r="E7763" s="57" t="n">
        <v>8</v>
      </c>
      <c r="F7763" s="29">
        <f>ROUND(((SUMIFS(Calendar!$F$2:$F$9997,Calendar!$B$2:$B$9997,D7763,Calendar!$C$2:$C$9997,C7763)*INDEX(ForeCalc!$B$37:$Y$274,MATCH(_xlfn.CONCAT(H7763," ",I7763),ForeCalc!$A$37:$A$274,0),MATCH(_xlfn.CONCAT(B7763," ",E7763),ForeCalc!$B$36:$Y$36,0))))*VLOOKUP(A7763,Calendar!$A$2:$H$9997,8,FALSE),0)</f>
        <v/>
      </c>
      <c r="G7763" s="29">
        <f>VLOOKUP(A7763,Calendar!$A$1:$H$9997,6,FALSE)-F7763</f>
        <v/>
      </c>
      <c r="H7763" s="19" t="n">
        <v>1</v>
      </c>
      <c r="I7763" s="57" t="n">
        <v>3</v>
      </c>
    </row>
    <row r="7764">
      <c r="A7764" s="62" t="n">
        <v>46203</v>
      </c>
      <c r="B7764" s="3" t="inlineStr">
        <is>
          <t>Week</t>
        </is>
      </c>
      <c r="C7764" s="19" t="n">
        <v>6</v>
      </c>
      <c r="D7764" s="19" t="n">
        <v>2026</v>
      </c>
      <c r="E7764" s="57" t="n">
        <v>8</v>
      </c>
      <c r="F7764" s="29">
        <f>ROUND(((SUMIFS(Calendar!$F$2:$F$9997,Calendar!$B$2:$B$9997,D7764,Calendar!$C$2:$C$9997,C7764)*INDEX(ForeCalc!$B$37:$Y$274,MATCH(_xlfn.CONCAT(H7764," ",I7764),ForeCalc!$A$37:$A$274,0),MATCH(_xlfn.CONCAT(B7764," ",E7764),ForeCalc!$B$36:$Y$36,0))))*VLOOKUP(A7764,Calendar!$A$2:$H$9997,8,FALSE),0)</f>
        <v/>
      </c>
      <c r="G7764" s="29">
        <f>VLOOKUP(A7764,Calendar!$A$1:$H$9997,6,FALSE)-F7764</f>
        <v/>
      </c>
      <c r="H7764" s="19" t="n">
        <v>1</v>
      </c>
      <c r="I7764" s="57" t="n">
        <v>3</v>
      </c>
    </row>
    <row r="7765">
      <c r="A7765" s="62" t="n">
        <v>46204</v>
      </c>
      <c r="B7765" s="3" t="inlineStr">
        <is>
          <t>Week</t>
        </is>
      </c>
      <c r="C7765" s="19" t="n">
        <v>7</v>
      </c>
      <c r="D7765" s="19" t="n">
        <v>2026</v>
      </c>
      <c r="E7765" s="57" t="n">
        <v>8</v>
      </c>
      <c r="F7765" s="29">
        <f>ROUND(((SUMIFS(Calendar!$F$2:$F$9997,Calendar!$B$2:$B$9997,D7765,Calendar!$C$2:$C$9997,C7765)*INDEX(ForeCalc!$B$37:$Y$274,MATCH(_xlfn.CONCAT(H7765," ",I7765),ForeCalc!$A$37:$A$274,0),MATCH(_xlfn.CONCAT(B7765," ",E7765),ForeCalc!$B$36:$Y$36,0))))*VLOOKUP(A7765,Calendar!$A$2:$H$9997,8,FALSE),0)</f>
        <v/>
      </c>
      <c r="G7765" s="29">
        <f>VLOOKUP(A7765,Calendar!$A$1:$H$9997,6,FALSE)-F7765</f>
        <v/>
      </c>
      <c r="H7765" s="19" t="n">
        <v>1</v>
      </c>
      <c r="I7765" s="57" t="n">
        <v>4</v>
      </c>
    </row>
    <row r="7766">
      <c r="A7766" s="62" t="n">
        <v>46205</v>
      </c>
      <c r="B7766" s="3" t="inlineStr">
        <is>
          <t>Week</t>
        </is>
      </c>
      <c r="C7766" s="19" t="n">
        <v>7</v>
      </c>
      <c r="D7766" s="19" t="n">
        <v>2026</v>
      </c>
      <c r="E7766" s="57" t="n">
        <v>8</v>
      </c>
      <c r="F7766" s="29">
        <f>ROUND(((SUMIFS(Calendar!$F$2:$F$9997,Calendar!$B$2:$B$9997,D7766,Calendar!$C$2:$C$9997,C7766)*INDEX(ForeCalc!$B$37:$Y$274,MATCH(_xlfn.CONCAT(H7766," ",I7766),ForeCalc!$A$37:$A$274,0),MATCH(_xlfn.CONCAT(B7766," ",E7766),ForeCalc!$B$36:$Y$36,0))))*VLOOKUP(A7766,Calendar!$A$2:$H$9997,8,FALSE),0)</f>
        <v/>
      </c>
      <c r="G7766" s="29">
        <f>VLOOKUP(A7766,Calendar!$A$1:$H$9997,6,FALSE)-F7766</f>
        <v/>
      </c>
      <c r="H7766" s="19" t="n">
        <v>1</v>
      </c>
      <c r="I7766" s="57" t="n">
        <v>4</v>
      </c>
    </row>
    <row r="7767">
      <c r="A7767" s="62" t="n">
        <v>46206</v>
      </c>
      <c r="B7767" s="3" t="inlineStr">
        <is>
          <t>Week</t>
        </is>
      </c>
      <c r="C7767" s="19" t="n">
        <v>7</v>
      </c>
      <c r="D7767" s="19" t="n">
        <v>2026</v>
      </c>
      <c r="E7767" s="57" t="n">
        <v>8</v>
      </c>
      <c r="F7767" s="29">
        <f>ROUND(((SUMIFS(Calendar!$F$2:$F$9997,Calendar!$B$2:$B$9997,D7767,Calendar!$C$2:$C$9997,C7767)*INDEX(ForeCalc!$B$37:$Y$274,MATCH(_xlfn.CONCAT(H7767," ",I7767),ForeCalc!$A$37:$A$274,0),MATCH(_xlfn.CONCAT(B7767," ",E7767),ForeCalc!$B$36:$Y$36,0))))*VLOOKUP(A7767,Calendar!$A$2:$H$9997,8,FALSE),0)</f>
        <v/>
      </c>
      <c r="G7767" s="29">
        <f>VLOOKUP(A7767,Calendar!$A$1:$H$9997,6,FALSE)-F7767</f>
        <v/>
      </c>
      <c r="H7767" s="19" t="n">
        <v>1</v>
      </c>
      <c r="I7767" s="57" t="n">
        <v>4</v>
      </c>
    </row>
    <row r="7768">
      <c r="A7768" s="62" t="n">
        <v>46207</v>
      </c>
      <c r="B7768" s="3" t="inlineStr">
        <is>
          <t>Sat</t>
        </is>
      </c>
      <c r="C7768" s="19" t="n">
        <v>7</v>
      </c>
      <c r="D7768" s="19" t="n">
        <v>2026</v>
      </c>
      <c r="E7768" s="57" t="n">
        <v>8</v>
      </c>
      <c r="F7768" s="29">
        <f>ROUND(((SUMIFS(Calendar!$F$2:$F$9997,Calendar!$B$2:$B$9997,D7768,Calendar!$C$2:$C$9997,C7768)*INDEX(ForeCalc!$B$37:$Y$274,MATCH(_xlfn.CONCAT(H7768," ",I7768),ForeCalc!$A$37:$A$274,0),MATCH(_xlfn.CONCAT(B7768," ",E7768),ForeCalc!$B$36:$Y$36,0))))*VLOOKUP(A7768,Calendar!$A$2:$H$9997,8,FALSE),0)</f>
        <v/>
      </c>
      <c r="G7768" s="29">
        <f>VLOOKUP(A7768,Calendar!$A$1:$H$9997,6,FALSE)-F7768</f>
        <v/>
      </c>
      <c r="H7768" s="19" t="n">
        <v>1</v>
      </c>
      <c r="I7768" s="57" t="n">
        <v>4</v>
      </c>
    </row>
    <row r="7769">
      <c r="A7769" s="62" t="n">
        <v>46208</v>
      </c>
      <c r="B7769" s="3" t="inlineStr">
        <is>
          <t>Sun</t>
        </is>
      </c>
      <c r="C7769" s="19" t="n">
        <v>7</v>
      </c>
      <c r="D7769" s="19" t="n">
        <v>2026</v>
      </c>
      <c r="E7769" s="57" t="n">
        <v>8</v>
      </c>
      <c r="F7769" s="29">
        <f>ROUND(((SUMIFS(Calendar!$F$2:$F$9997,Calendar!$B$2:$B$9997,D7769,Calendar!$C$2:$C$9997,C7769)*INDEX(ForeCalc!$B$37:$Y$274,MATCH(_xlfn.CONCAT(H7769," ",I7769),ForeCalc!$A$37:$A$274,0),MATCH(_xlfn.CONCAT(B7769," ",E7769),ForeCalc!$B$36:$Y$36,0))))*VLOOKUP(A7769,Calendar!$A$2:$H$9997,8,FALSE),0)</f>
        <v/>
      </c>
      <c r="G7769" s="29">
        <f>VLOOKUP(A7769,Calendar!$A$1:$H$9997,6,FALSE)-F7769</f>
        <v/>
      </c>
      <c r="H7769" s="19" t="n">
        <v>1</v>
      </c>
      <c r="I7769" s="57" t="n">
        <v>4</v>
      </c>
    </row>
    <row r="7770">
      <c r="A7770" s="62" t="n">
        <v>46209</v>
      </c>
      <c r="B7770" s="3" t="inlineStr">
        <is>
          <t>Week</t>
        </is>
      </c>
      <c r="C7770" s="19" t="n">
        <v>7</v>
      </c>
      <c r="D7770" s="19" t="n">
        <v>2026</v>
      </c>
      <c r="E7770" s="57" t="n">
        <v>8</v>
      </c>
      <c r="F7770" s="29">
        <f>ROUND(((SUMIFS(Calendar!$F$2:$F$9997,Calendar!$B$2:$B$9997,D7770,Calendar!$C$2:$C$9997,C7770)*INDEX(ForeCalc!$B$37:$Y$274,MATCH(_xlfn.CONCAT(H7770," ",I7770),ForeCalc!$A$37:$A$274,0),MATCH(_xlfn.CONCAT(B7770," ",E7770),ForeCalc!$B$36:$Y$36,0))))*VLOOKUP(A7770,Calendar!$A$2:$H$9997,8,FALSE),0)</f>
        <v/>
      </c>
      <c r="G7770" s="29">
        <f>VLOOKUP(A7770,Calendar!$A$1:$H$9997,6,FALSE)-F7770</f>
        <v/>
      </c>
      <c r="H7770" s="19" t="n">
        <v>1</v>
      </c>
      <c r="I7770" s="57" t="n">
        <v>4</v>
      </c>
    </row>
    <row r="7771">
      <c r="A7771" s="62" t="n">
        <v>46210</v>
      </c>
      <c r="B7771" s="3" t="inlineStr">
        <is>
          <t>Week</t>
        </is>
      </c>
      <c r="C7771" s="19" t="n">
        <v>7</v>
      </c>
      <c r="D7771" s="19" t="n">
        <v>2026</v>
      </c>
      <c r="E7771" s="57" t="n">
        <v>8</v>
      </c>
      <c r="F7771" s="29">
        <f>ROUND(((SUMIFS(Calendar!$F$2:$F$9997,Calendar!$B$2:$B$9997,D7771,Calendar!$C$2:$C$9997,C7771)*INDEX(ForeCalc!$B$37:$Y$274,MATCH(_xlfn.CONCAT(H7771," ",I7771),ForeCalc!$A$37:$A$274,0),MATCH(_xlfn.CONCAT(B7771," ",E7771),ForeCalc!$B$36:$Y$36,0))))*VLOOKUP(A7771,Calendar!$A$2:$H$9997,8,FALSE),0)</f>
        <v/>
      </c>
      <c r="G7771" s="29">
        <f>VLOOKUP(A7771,Calendar!$A$1:$H$9997,6,FALSE)-F7771</f>
        <v/>
      </c>
      <c r="H7771" s="19" t="n">
        <v>1</v>
      </c>
      <c r="I7771" s="57" t="n">
        <v>4</v>
      </c>
    </row>
    <row r="7772">
      <c r="A7772" s="62" t="n">
        <v>46211</v>
      </c>
      <c r="B7772" s="3" t="inlineStr">
        <is>
          <t>Week</t>
        </is>
      </c>
      <c r="C7772" s="19" t="n">
        <v>7</v>
      </c>
      <c r="D7772" s="19" t="n">
        <v>2026</v>
      </c>
      <c r="E7772" s="57" t="n">
        <v>8</v>
      </c>
      <c r="F7772" s="29">
        <f>ROUND(((SUMIFS(Calendar!$F$2:$F$9997,Calendar!$B$2:$B$9997,D7772,Calendar!$C$2:$C$9997,C7772)*INDEX(ForeCalc!$B$37:$Y$274,MATCH(_xlfn.CONCAT(H7772," ",I7772),ForeCalc!$A$37:$A$274,0),MATCH(_xlfn.CONCAT(B7772," ",E7772),ForeCalc!$B$36:$Y$36,0))))*VLOOKUP(A7772,Calendar!$A$2:$H$9997,8,FALSE),0)</f>
        <v/>
      </c>
      <c r="G7772" s="29">
        <f>VLOOKUP(A7772,Calendar!$A$1:$H$9997,6,FALSE)-F7772</f>
        <v/>
      </c>
      <c r="H7772" s="19" t="n">
        <v>1</v>
      </c>
      <c r="I7772" s="57" t="n">
        <v>4</v>
      </c>
    </row>
    <row r="7773">
      <c r="A7773" s="62" t="n">
        <v>46212</v>
      </c>
      <c r="B7773" s="3" t="inlineStr">
        <is>
          <t>Week</t>
        </is>
      </c>
      <c r="C7773" s="19" t="n">
        <v>7</v>
      </c>
      <c r="D7773" s="19" t="n">
        <v>2026</v>
      </c>
      <c r="E7773" s="57" t="n">
        <v>8</v>
      </c>
      <c r="F7773" s="29">
        <f>ROUND(((SUMIFS(Calendar!$F$2:$F$9997,Calendar!$B$2:$B$9997,D7773,Calendar!$C$2:$C$9997,C7773)*INDEX(ForeCalc!$B$37:$Y$274,MATCH(_xlfn.CONCAT(H7773," ",I7773),ForeCalc!$A$37:$A$274,0),MATCH(_xlfn.CONCAT(B7773," ",E7773),ForeCalc!$B$36:$Y$36,0))))*VLOOKUP(A7773,Calendar!$A$2:$H$9997,8,FALSE),0)</f>
        <v/>
      </c>
      <c r="G7773" s="29">
        <f>VLOOKUP(A7773,Calendar!$A$1:$H$9997,6,FALSE)-F7773</f>
        <v/>
      </c>
      <c r="H7773" s="19" t="n">
        <v>1</v>
      </c>
      <c r="I7773" s="57" t="n">
        <v>4</v>
      </c>
    </row>
    <row r="7774">
      <c r="A7774" s="62" t="n">
        <v>46213</v>
      </c>
      <c r="B7774" s="3" t="inlineStr">
        <is>
          <t>Week</t>
        </is>
      </c>
      <c r="C7774" s="19" t="n">
        <v>7</v>
      </c>
      <c r="D7774" s="19" t="n">
        <v>2026</v>
      </c>
      <c r="E7774" s="57" t="n">
        <v>8</v>
      </c>
      <c r="F7774" s="29">
        <f>ROUND(((SUMIFS(Calendar!$F$2:$F$9997,Calendar!$B$2:$B$9997,D7774,Calendar!$C$2:$C$9997,C7774)*INDEX(ForeCalc!$B$37:$Y$274,MATCH(_xlfn.CONCAT(H7774," ",I7774),ForeCalc!$A$37:$A$274,0),MATCH(_xlfn.CONCAT(B7774," ",E7774),ForeCalc!$B$36:$Y$36,0))))*VLOOKUP(A7774,Calendar!$A$2:$H$9997,8,FALSE),0)</f>
        <v/>
      </c>
      <c r="G7774" s="29">
        <f>VLOOKUP(A7774,Calendar!$A$1:$H$9997,6,FALSE)-F7774</f>
        <v/>
      </c>
      <c r="H7774" s="19" t="n">
        <v>1</v>
      </c>
      <c r="I7774" s="57" t="n">
        <v>4</v>
      </c>
    </row>
    <row r="7775">
      <c r="A7775" s="62" t="n">
        <v>46214</v>
      </c>
      <c r="B7775" s="3" t="inlineStr">
        <is>
          <t>Sat</t>
        </is>
      </c>
      <c r="C7775" s="19" t="n">
        <v>7</v>
      </c>
      <c r="D7775" s="19" t="n">
        <v>2026</v>
      </c>
      <c r="E7775" s="57" t="n">
        <v>8</v>
      </c>
      <c r="F7775" s="29">
        <f>ROUND(((SUMIFS(Calendar!$F$2:$F$9997,Calendar!$B$2:$B$9997,D7775,Calendar!$C$2:$C$9997,C7775)*INDEX(ForeCalc!$B$37:$Y$274,MATCH(_xlfn.CONCAT(H7775," ",I7775),ForeCalc!$A$37:$A$274,0),MATCH(_xlfn.CONCAT(B7775," ",E7775),ForeCalc!$B$36:$Y$36,0))))*VLOOKUP(A7775,Calendar!$A$2:$H$9997,8,FALSE),0)</f>
        <v/>
      </c>
      <c r="G7775" s="29">
        <f>VLOOKUP(A7775,Calendar!$A$1:$H$9997,6,FALSE)-F7775</f>
        <v/>
      </c>
      <c r="H7775" s="19" t="n">
        <v>1</v>
      </c>
      <c r="I7775" s="57" t="n">
        <v>4</v>
      </c>
    </row>
    <row r="7776">
      <c r="A7776" s="62" t="n">
        <v>46215</v>
      </c>
      <c r="B7776" s="3" t="inlineStr">
        <is>
          <t>Sun</t>
        </is>
      </c>
      <c r="C7776" s="19" t="n">
        <v>7</v>
      </c>
      <c r="D7776" s="19" t="n">
        <v>2026</v>
      </c>
      <c r="E7776" s="57" t="n">
        <v>8</v>
      </c>
      <c r="F7776" s="29">
        <f>ROUND(((SUMIFS(Calendar!$F$2:$F$9997,Calendar!$B$2:$B$9997,D7776,Calendar!$C$2:$C$9997,C7776)*INDEX(ForeCalc!$B$37:$Y$274,MATCH(_xlfn.CONCAT(H7776," ",I7776),ForeCalc!$A$37:$A$274,0),MATCH(_xlfn.CONCAT(B7776," ",E7776),ForeCalc!$B$36:$Y$36,0))))*VLOOKUP(A7776,Calendar!$A$2:$H$9997,8,FALSE),0)</f>
        <v/>
      </c>
      <c r="G7776" s="29">
        <f>VLOOKUP(A7776,Calendar!$A$1:$H$9997,6,FALSE)-F7776</f>
        <v/>
      </c>
      <c r="H7776" s="19" t="n">
        <v>1</v>
      </c>
      <c r="I7776" s="57" t="n">
        <v>4</v>
      </c>
    </row>
    <row r="7777">
      <c r="A7777" s="62" t="n">
        <v>46216</v>
      </c>
      <c r="B7777" s="3" t="inlineStr">
        <is>
          <t>Week</t>
        </is>
      </c>
      <c r="C7777" s="19" t="n">
        <v>7</v>
      </c>
      <c r="D7777" s="19" t="n">
        <v>2026</v>
      </c>
      <c r="E7777" s="57" t="n">
        <v>8</v>
      </c>
      <c r="F7777" s="29">
        <f>ROUND(((SUMIFS(Calendar!$F$2:$F$9997,Calendar!$B$2:$B$9997,D7777,Calendar!$C$2:$C$9997,C7777)*INDEX(ForeCalc!$B$37:$Y$274,MATCH(_xlfn.CONCAT(H7777," ",I7777),ForeCalc!$A$37:$A$274,0),MATCH(_xlfn.CONCAT(B7777," ",E7777),ForeCalc!$B$36:$Y$36,0))))*VLOOKUP(A7777,Calendar!$A$2:$H$9997,8,FALSE),0)</f>
        <v/>
      </c>
      <c r="G7777" s="29">
        <f>VLOOKUP(A7777,Calendar!$A$1:$H$9997,6,FALSE)-F7777</f>
        <v/>
      </c>
      <c r="H7777" s="19" t="n">
        <v>1</v>
      </c>
      <c r="I7777" s="57" t="n">
        <v>4</v>
      </c>
    </row>
    <row r="7778">
      <c r="A7778" s="62" t="n">
        <v>46217</v>
      </c>
      <c r="B7778" s="3" t="inlineStr">
        <is>
          <t>Week</t>
        </is>
      </c>
      <c r="C7778" s="19" t="n">
        <v>7</v>
      </c>
      <c r="D7778" s="19" t="n">
        <v>2026</v>
      </c>
      <c r="E7778" s="57" t="n">
        <v>8</v>
      </c>
      <c r="F7778" s="29">
        <f>ROUND(((SUMIFS(Calendar!$F$2:$F$9997,Calendar!$B$2:$B$9997,D7778,Calendar!$C$2:$C$9997,C7778)*INDEX(ForeCalc!$B$37:$Y$274,MATCH(_xlfn.CONCAT(H7778," ",I7778),ForeCalc!$A$37:$A$274,0),MATCH(_xlfn.CONCAT(B7778," ",E7778),ForeCalc!$B$36:$Y$36,0))))*VLOOKUP(A7778,Calendar!$A$2:$H$9997,8,FALSE),0)</f>
        <v/>
      </c>
      <c r="G7778" s="29">
        <f>VLOOKUP(A7778,Calendar!$A$1:$H$9997,6,FALSE)-F7778</f>
        <v/>
      </c>
      <c r="H7778" s="19" t="n">
        <v>1</v>
      </c>
      <c r="I7778" s="57" t="n">
        <v>4</v>
      </c>
    </row>
    <row r="7779">
      <c r="A7779" s="62" t="n">
        <v>46218</v>
      </c>
      <c r="B7779" s="3" t="inlineStr">
        <is>
          <t>Week</t>
        </is>
      </c>
      <c r="C7779" s="19" t="n">
        <v>7</v>
      </c>
      <c r="D7779" s="19" t="n">
        <v>2026</v>
      </c>
      <c r="E7779" s="57" t="n">
        <v>8</v>
      </c>
      <c r="F7779" s="29">
        <f>ROUND(((SUMIFS(Calendar!$F$2:$F$9997,Calendar!$B$2:$B$9997,D7779,Calendar!$C$2:$C$9997,C7779)*INDEX(ForeCalc!$B$37:$Y$274,MATCH(_xlfn.CONCAT(H7779," ",I7779),ForeCalc!$A$37:$A$274,0),MATCH(_xlfn.CONCAT(B7779," ",E7779),ForeCalc!$B$36:$Y$36,0))))*VLOOKUP(A7779,Calendar!$A$2:$H$9997,8,FALSE),0)</f>
        <v/>
      </c>
      <c r="G7779" s="29">
        <f>VLOOKUP(A7779,Calendar!$A$1:$H$9997,6,FALSE)-F7779</f>
        <v/>
      </c>
      <c r="H7779" s="19" t="n">
        <v>1</v>
      </c>
      <c r="I7779" s="57" t="n">
        <v>4</v>
      </c>
    </row>
    <row r="7780">
      <c r="A7780" s="62" t="n">
        <v>46219</v>
      </c>
      <c r="B7780" s="3" t="inlineStr">
        <is>
          <t>Week</t>
        </is>
      </c>
      <c r="C7780" s="19" t="n">
        <v>7</v>
      </c>
      <c r="D7780" s="19" t="n">
        <v>2026</v>
      </c>
      <c r="E7780" s="57" t="n">
        <v>8</v>
      </c>
      <c r="F7780" s="29">
        <f>ROUND(((SUMIFS(Calendar!$F$2:$F$9997,Calendar!$B$2:$B$9997,D7780,Calendar!$C$2:$C$9997,C7780)*INDEX(ForeCalc!$B$37:$Y$274,MATCH(_xlfn.CONCAT(H7780," ",I7780),ForeCalc!$A$37:$A$274,0),MATCH(_xlfn.CONCAT(B7780," ",E7780),ForeCalc!$B$36:$Y$36,0))))*VLOOKUP(A7780,Calendar!$A$2:$H$9997,8,FALSE),0)</f>
        <v/>
      </c>
      <c r="G7780" s="29">
        <f>VLOOKUP(A7780,Calendar!$A$1:$H$9997,6,FALSE)-F7780</f>
        <v/>
      </c>
      <c r="H7780" s="19" t="n">
        <v>1</v>
      </c>
      <c r="I7780" s="57" t="n">
        <v>4</v>
      </c>
    </row>
    <row r="7781">
      <c r="A7781" s="62" t="n">
        <v>46220</v>
      </c>
      <c r="B7781" s="3" t="inlineStr">
        <is>
          <t>Week</t>
        </is>
      </c>
      <c r="C7781" s="19" t="n">
        <v>7</v>
      </c>
      <c r="D7781" s="19" t="n">
        <v>2026</v>
      </c>
      <c r="E7781" s="57" t="n">
        <v>8</v>
      </c>
      <c r="F7781" s="29">
        <f>ROUND(((SUMIFS(Calendar!$F$2:$F$9997,Calendar!$B$2:$B$9997,D7781,Calendar!$C$2:$C$9997,C7781)*INDEX(ForeCalc!$B$37:$Y$274,MATCH(_xlfn.CONCAT(H7781," ",I7781),ForeCalc!$A$37:$A$274,0),MATCH(_xlfn.CONCAT(B7781," ",E7781),ForeCalc!$B$36:$Y$36,0))))*VLOOKUP(A7781,Calendar!$A$2:$H$9997,8,FALSE),0)</f>
        <v/>
      </c>
      <c r="G7781" s="29">
        <f>VLOOKUP(A7781,Calendar!$A$1:$H$9997,6,FALSE)-F7781</f>
        <v/>
      </c>
      <c r="H7781" s="19" t="n">
        <v>1</v>
      </c>
      <c r="I7781" s="57" t="n">
        <v>4</v>
      </c>
    </row>
    <row r="7782">
      <c r="A7782" s="62" t="n">
        <v>46221</v>
      </c>
      <c r="B7782" s="3" t="inlineStr">
        <is>
          <t>Sat</t>
        </is>
      </c>
      <c r="C7782" s="19" t="n">
        <v>7</v>
      </c>
      <c r="D7782" s="19" t="n">
        <v>2026</v>
      </c>
      <c r="E7782" s="57" t="n">
        <v>8</v>
      </c>
      <c r="F7782" s="29">
        <f>ROUND(((SUMIFS(Calendar!$F$2:$F$9997,Calendar!$B$2:$B$9997,D7782,Calendar!$C$2:$C$9997,C7782)*INDEX(ForeCalc!$B$37:$Y$274,MATCH(_xlfn.CONCAT(H7782," ",I7782),ForeCalc!$A$37:$A$274,0),MATCH(_xlfn.CONCAT(B7782," ",E7782),ForeCalc!$B$36:$Y$36,0))))*VLOOKUP(A7782,Calendar!$A$2:$H$9997,8,FALSE),0)</f>
        <v/>
      </c>
      <c r="G7782" s="29">
        <f>VLOOKUP(A7782,Calendar!$A$1:$H$9997,6,FALSE)-F7782</f>
        <v/>
      </c>
      <c r="H7782" s="19" t="n">
        <v>1</v>
      </c>
      <c r="I7782" s="57" t="n">
        <v>4</v>
      </c>
    </row>
    <row r="7783">
      <c r="A7783" s="62" t="n">
        <v>46222</v>
      </c>
      <c r="B7783" s="3" t="inlineStr">
        <is>
          <t>Sun</t>
        </is>
      </c>
      <c r="C7783" s="19" t="n">
        <v>7</v>
      </c>
      <c r="D7783" s="19" t="n">
        <v>2026</v>
      </c>
      <c r="E7783" s="57" t="n">
        <v>8</v>
      </c>
      <c r="F7783" s="29">
        <f>ROUND(((SUMIFS(Calendar!$F$2:$F$9997,Calendar!$B$2:$B$9997,D7783,Calendar!$C$2:$C$9997,C7783)*INDEX(ForeCalc!$B$37:$Y$274,MATCH(_xlfn.CONCAT(H7783," ",I7783),ForeCalc!$A$37:$A$274,0),MATCH(_xlfn.CONCAT(B7783," ",E7783),ForeCalc!$B$36:$Y$36,0))))*VLOOKUP(A7783,Calendar!$A$2:$H$9997,8,FALSE),0)</f>
        <v/>
      </c>
      <c r="G7783" s="29">
        <f>VLOOKUP(A7783,Calendar!$A$1:$H$9997,6,FALSE)-F7783</f>
        <v/>
      </c>
      <c r="H7783" s="19" t="n">
        <v>1</v>
      </c>
      <c r="I7783" s="57" t="n">
        <v>4</v>
      </c>
    </row>
    <row r="7784">
      <c r="A7784" s="62" t="n">
        <v>46223</v>
      </c>
      <c r="B7784" s="3" t="inlineStr">
        <is>
          <t>Week</t>
        </is>
      </c>
      <c r="C7784" s="19" t="n">
        <v>7</v>
      </c>
      <c r="D7784" s="19" t="n">
        <v>2026</v>
      </c>
      <c r="E7784" s="57" t="n">
        <v>8</v>
      </c>
      <c r="F7784" s="29">
        <f>ROUND(((SUMIFS(Calendar!$F$2:$F$9997,Calendar!$B$2:$B$9997,D7784,Calendar!$C$2:$C$9997,C7784)*INDEX(ForeCalc!$B$37:$Y$274,MATCH(_xlfn.CONCAT(H7784," ",I7784),ForeCalc!$A$37:$A$274,0),MATCH(_xlfn.CONCAT(B7784," ",E7784),ForeCalc!$B$36:$Y$36,0))))*VLOOKUP(A7784,Calendar!$A$2:$H$9997,8,FALSE),0)</f>
        <v/>
      </c>
      <c r="G7784" s="29">
        <f>VLOOKUP(A7784,Calendar!$A$1:$H$9997,6,FALSE)-F7784</f>
        <v/>
      </c>
      <c r="H7784" s="19" t="n">
        <v>1</v>
      </c>
      <c r="I7784" s="57" t="n">
        <v>4</v>
      </c>
    </row>
    <row r="7785">
      <c r="A7785" s="62" t="n">
        <v>46224</v>
      </c>
      <c r="B7785" s="3" t="inlineStr">
        <is>
          <t>Week</t>
        </is>
      </c>
      <c r="C7785" s="19" t="n">
        <v>7</v>
      </c>
      <c r="D7785" s="19" t="n">
        <v>2026</v>
      </c>
      <c r="E7785" s="57" t="n">
        <v>8</v>
      </c>
      <c r="F7785" s="29">
        <f>ROUND(((SUMIFS(Calendar!$F$2:$F$9997,Calendar!$B$2:$B$9997,D7785,Calendar!$C$2:$C$9997,C7785)*INDEX(ForeCalc!$B$37:$Y$274,MATCH(_xlfn.CONCAT(H7785," ",I7785),ForeCalc!$A$37:$A$274,0),MATCH(_xlfn.CONCAT(B7785," ",E7785),ForeCalc!$B$36:$Y$36,0))))*VLOOKUP(A7785,Calendar!$A$2:$H$9997,8,FALSE),0)</f>
        <v/>
      </c>
      <c r="G7785" s="29">
        <f>VLOOKUP(A7785,Calendar!$A$1:$H$9997,6,FALSE)-F7785</f>
        <v/>
      </c>
      <c r="H7785" s="19" t="n">
        <v>1</v>
      </c>
      <c r="I7785" s="57" t="n">
        <v>4</v>
      </c>
    </row>
    <row r="7786">
      <c r="A7786" s="62" t="n">
        <v>46225</v>
      </c>
      <c r="B7786" s="3" t="inlineStr">
        <is>
          <t>Week</t>
        </is>
      </c>
      <c r="C7786" s="19" t="n">
        <v>7</v>
      </c>
      <c r="D7786" s="19" t="n">
        <v>2026</v>
      </c>
      <c r="E7786" s="57" t="n">
        <v>8</v>
      </c>
      <c r="F7786" s="29">
        <f>ROUND(((SUMIFS(Calendar!$F$2:$F$9997,Calendar!$B$2:$B$9997,D7786,Calendar!$C$2:$C$9997,C7786)*INDEX(ForeCalc!$B$37:$Y$274,MATCH(_xlfn.CONCAT(H7786," ",I7786),ForeCalc!$A$37:$A$274,0),MATCH(_xlfn.CONCAT(B7786," ",E7786),ForeCalc!$B$36:$Y$36,0))))*VLOOKUP(A7786,Calendar!$A$2:$H$9997,8,FALSE),0)</f>
        <v/>
      </c>
      <c r="G7786" s="29">
        <f>VLOOKUP(A7786,Calendar!$A$1:$H$9997,6,FALSE)-F7786</f>
        <v/>
      </c>
      <c r="H7786" s="19" t="n">
        <v>1</v>
      </c>
      <c r="I7786" s="57" t="n">
        <v>4</v>
      </c>
    </row>
    <row r="7787">
      <c r="A7787" s="62" t="n">
        <v>46226</v>
      </c>
      <c r="B7787" s="3" t="inlineStr">
        <is>
          <t>Week</t>
        </is>
      </c>
      <c r="C7787" s="19" t="n">
        <v>7</v>
      </c>
      <c r="D7787" s="19" t="n">
        <v>2026</v>
      </c>
      <c r="E7787" s="57" t="n">
        <v>8</v>
      </c>
      <c r="F7787" s="29">
        <f>ROUND(((SUMIFS(Calendar!$F$2:$F$9997,Calendar!$B$2:$B$9997,D7787,Calendar!$C$2:$C$9997,C7787)*INDEX(ForeCalc!$B$37:$Y$274,MATCH(_xlfn.CONCAT(H7787," ",I7787),ForeCalc!$A$37:$A$274,0),MATCH(_xlfn.CONCAT(B7787," ",E7787),ForeCalc!$B$36:$Y$36,0))))*VLOOKUP(A7787,Calendar!$A$2:$H$9997,8,FALSE),0)</f>
        <v/>
      </c>
      <c r="G7787" s="29">
        <f>VLOOKUP(A7787,Calendar!$A$1:$H$9997,6,FALSE)-F7787</f>
        <v/>
      </c>
      <c r="H7787" s="19" t="n">
        <v>1</v>
      </c>
      <c r="I7787" s="57" t="n">
        <v>4</v>
      </c>
    </row>
    <row r="7788">
      <c r="A7788" s="62" t="n">
        <v>46227</v>
      </c>
      <c r="B7788" s="3" t="inlineStr">
        <is>
          <t>Week</t>
        </is>
      </c>
      <c r="C7788" s="19" t="n">
        <v>7</v>
      </c>
      <c r="D7788" s="19" t="n">
        <v>2026</v>
      </c>
      <c r="E7788" s="57" t="n">
        <v>8</v>
      </c>
      <c r="F7788" s="29">
        <f>ROUND(((SUMIFS(Calendar!$F$2:$F$9997,Calendar!$B$2:$B$9997,D7788,Calendar!$C$2:$C$9997,C7788)*INDEX(ForeCalc!$B$37:$Y$274,MATCH(_xlfn.CONCAT(H7788," ",I7788),ForeCalc!$A$37:$A$274,0),MATCH(_xlfn.CONCAT(B7788," ",E7788),ForeCalc!$B$36:$Y$36,0))))*VLOOKUP(A7788,Calendar!$A$2:$H$9997,8,FALSE),0)</f>
        <v/>
      </c>
      <c r="G7788" s="29">
        <f>VLOOKUP(A7788,Calendar!$A$1:$H$9997,6,FALSE)-F7788</f>
        <v/>
      </c>
      <c r="H7788" s="19" t="n">
        <v>1</v>
      </c>
      <c r="I7788" s="57" t="n">
        <v>4</v>
      </c>
    </row>
    <row r="7789">
      <c r="A7789" s="62" t="n">
        <v>46228</v>
      </c>
      <c r="B7789" s="3" t="inlineStr">
        <is>
          <t>Sat</t>
        </is>
      </c>
      <c r="C7789" s="19" t="n">
        <v>7</v>
      </c>
      <c r="D7789" s="19" t="n">
        <v>2026</v>
      </c>
      <c r="E7789" s="57" t="n">
        <v>8</v>
      </c>
      <c r="F7789" s="29">
        <f>ROUND(((SUMIFS(Calendar!$F$2:$F$9997,Calendar!$B$2:$B$9997,D7789,Calendar!$C$2:$C$9997,C7789)*INDEX(ForeCalc!$B$37:$Y$274,MATCH(_xlfn.CONCAT(H7789," ",I7789),ForeCalc!$A$37:$A$274,0),MATCH(_xlfn.CONCAT(B7789," ",E7789),ForeCalc!$B$36:$Y$36,0))))*VLOOKUP(A7789,Calendar!$A$2:$H$9997,8,FALSE),0)</f>
        <v/>
      </c>
      <c r="G7789" s="29">
        <f>VLOOKUP(A7789,Calendar!$A$1:$H$9997,6,FALSE)-F7789</f>
        <v/>
      </c>
      <c r="H7789" s="19" t="n">
        <v>1</v>
      </c>
      <c r="I7789" s="57" t="n">
        <v>4</v>
      </c>
    </row>
    <row r="7790">
      <c r="A7790" s="62" t="n">
        <v>46229</v>
      </c>
      <c r="B7790" s="3" t="inlineStr">
        <is>
          <t>Sun</t>
        </is>
      </c>
      <c r="C7790" s="19" t="n">
        <v>7</v>
      </c>
      <c r="D7790" s="19" t="n">
        <v>2026</v>
      </c>
      <c r="E7790" s="57" t="n">
        <v>8</v>
      </c>
      <c r="F7790" s="29">
        <f>ROUND(((SUMIFS(Calendar!$F$2:$F$9997,Calendar!$B$2:$B$9997,D7790,Calendar!$C$2:$C$9997,C7790)*INDEX(ForeCalc!$B$37:$Y$274,MATCH(_xlfn.CONCAT(H7790," ",I7790),ForeCalc!$A$37:$A$274,0),MATCH(_xlfn.CONCAT(B7790," ",E7790),ForeCalc!$B$36:$Y$36,0))))*VLOOKUP(A7790,Calendar!$A$2:$H$9997,8,FALSE),0)</f>
        <v/>
      </c>
      <c r="G7790" s="29">
        <f>VLOOKUP(A7790,Calendar!$A$1:$H$9997,6,FALSE)-F7790</f>
        <v/>
      </c>
      <c r="H7790" s="19" t="n">
        <v>1</v>
      </c>
      <c r="I7790" s="57" t="n">
        <v>4</v>
      </c>
    </row>
    <row r="7791">
      <c r="A7791" s="62" t="n">
        <v>46230</v>
      </c>
      <c r="B7791" s="3" t="inlineStr">
        <is>
          <t>Week</t>
        </is>
      </c>
      <c r="C7791" s="19" t="n">
        <v>7</v>
      </c>
      <c r="D7791" s="19" t="n">
        <v>2026</v>
      </c>
      <c r="E7791" s="57" t="n">
        <v>8</v>
      </c>
      <c r="F7791" s="29">
        <f>ROUND(((SUMIFS(Calendar!$F$2:$F$9997,Calendar!$B$2:$B$9997,D7791,Calendar!$C$2:$C$9997,C7791)*INDEX(ForeCalc!$B$37:$Y$274,MATCH(_xlfn.CONCAT(H7791," ",I7791),ForeCalc!$A$37:$A$274,0),MATCH(_xlfn.CONCAT(B7791," ",E7791),ForeCalc!$B$36:$Y$36,0))))*VLOOKUP(A7791,Calendar!$A$2:$H$9997,8,FALSE),0)</f>
        <v/>
      </c>
      <c r="G7791" s="29">
        <f>VLOOKUP(A7791,Calendar!$A$1:$H$9997,6,FALSE)-F7791</f>
        <v/>
      </c>
      <c r="H7791" s="19" t="n">
        <v>1</v>
      </c>
      <c r="I7791" s="57" t="n">
        <v>4</v>
      </c>
    </row>
    <row r="7792">
      <c r="A7792" s="62" t="n">
        <v>46231</v>
      </c>
      <c r="B7792" s="3" t="inlineStr">
        <is>
          <t>Week</t>
        </is>
      </c>
      <c r="C7792" s="19" t="n">
        <v>7</v>
      </c>
      <c r="D7792" s="19" t="n">
        <v>2026</v>
      </c>
      <c r="E7792" s="57" t="n">
        <v>8</v>
      </c>
      <c r="F7792" s="29">
        <f>ROUND(((SUMIFS(Calendar!$F$2:$F$9997,Calendar!$B$2:$B$9997,D7792,Calendar!$C$2:$C$9997,C7792)*INDEX(ForeCalc!$B$37:$Y$274,MATCH(_xlfn.CONCAT(H7792," ",I7792),ForeCalc!$A$37:$A$274,0),MATCH(_xlfn.CONCAT(B7792," ",E7792),ForeCalc!$B$36:$Y$36,0))))*VLOOKUP(A7792,Calendar!$A$2:$H$9997,8,FALSE),0)</f>
        <v/>
      </c>
      <c r="G7792" s="29">
        <f>VLOOKUP(A7792,Calendar!$A$1:$H$9997,6,FALSE)-F7792</f>
        <v/>
      </c>
      <c r="H7792" s="19" t="n">
        <v>1</v>
      </c>
      <c r="I7792" s="57" t="n">
        <v>4</v>
      </c>
    </row>
    <row r="7793">
      <c r="A7793" s="62" t="n">
        <v>46232</v>
      </c>
      <c r="B7793" s="3" t="inlineStr">
        <is>
          <t>Week</t>
        </is>
      </c>
      <c r="C7793" s="19" t="n">
        <v>7</v>
      </c>
      <c r="D7793" s="19" t="n">
        <v>2026</v>
      </c>
      <c r="E7793" s="57" t="n">
        <v>8</v>
      </c>
      <c r="F7793" s="29">
        <f>ROUND(((SUMIFS(Calendar!$F$2:$F$9997,Calendar!$B$2:$B$9997,D7793,Calendar!$C$2:$C$9997,C7793)*INDEX(ForeCalc!$B$37:$Y$274,MATCH(_xlfn.CONCAT(H7793," ",I7793),ForeCalc!$A$37:$A$274,0),MATCH(_xlfn.CONCAT(B7793," ",E7793),ForeCalc!$B$36:$Y$36,0))))*VLOOKUP(A7793,Calendar!$A$2:$H$9997,8,FALSE),0)</f>
        <v/>
      </c>
      <c r="G7793" s="29">
        <f>VLOOKUP(A7793,Calendar!$A$1:$H$9997,6,FALSE)-F7793</f>
        <v/>
      </c>
      <c r="H7793" s="19" t="n">
        <v>1</v>
      </c>
      <c r="I7793" s="57" t="n">
        <v>4</v>
      </c>
    </row>
    <row r="7794">
      <c r="A7794" s="62" t="n">
        <v>46233</v>
      </c>
      <c r="B7794" s="3" t="inlineStr">
        <is>
          <t>Week</t>
        </is>
      </c>
      <c r="C7794" s="19" t="n">
        <v>7</v>
      </c>
      <c r="D7794" s="19" t="n">
        <v>2026</v>
      </c>
      <c r="E7794" s="57" t="n">
        <v>8</v>
      </c>
      <c r="F7794" s="29">
        <f>ROUND(((SUMIFS(Calendar!$F$2:$F$9997,Calendar!$B$2:$B$9997,D7794,Calendar!$C$2:$C$9997,C7794)*INDEX(ForeCalc!$B$37:$Y$274,MATCH(_xlfn.CONCAT(H7794," ",I7794),ForeCalc!$A$37:$A$274,0),MATCH(_xlfn.CONCAT(B7794," ",E7794),ForeCalc!$B$36:$Y$36,0))))*VLOOKUP(A7794,Calendar!$A$2:$H$9997,8,FALSE),0)</f>
        <v/>
      </c>
      <c r="G7794" s="29">
        <f>VLOOKUP(A7794,Calendar!$A$1:$H$9997,6,FALSE)-F7794</f>
        <v/>
      </c>
      <c r="H7794" s="19" t="n">
        <v>1</v>
      </c>
      <c r="I7794" s="57" t="n">
        <v>4</v>
      </c>
    </row>
    <row r="7795">
      <c r="A7795" s="62" t="n">
        <v>46234</v>
      </c>
      <c r="B7795" s="3" t="inlineStr">
        <is>
          <t>Week</t>
        </is>
      </c>
      <c r="C7795" s="19" t="n">
        <v>7</v>
      </c>
      <c r="D7795" s="19" t="n">
        <v>2026</v>
      </c>
      <c r="E7795" s="57" t="n">
        <v>8</v>
      </c>
      <c r="F7795" s="29">
        <f>ROUND(((SUMIFS(Calendar!$F$2:$F$9997,Calendar!$B$2:$B$9997,D7795,Calendar!$C$2:$C$9997,C7795)*INDEX(ForeCalc!$B$37:$Y$274,MATCH(_xlfn.CONCAT(H7795," ",I7795),ForeCalc!$A$37:$A$274,0),MATCH(_xlfn.CONCAT(B7795," ",E7795),ForeCalc!$B$36:$Y$36,0))))*VLOOKUP(A7795,Calendar!$A$2:$H$9997,8,FALSE),0)</f>
        <v/>
      </c>
      <c r="G7795" s="29">
        <f>VLOOKUP(A7795,Calendar!$A$1:$H$9997,6,FALSE)-F7795</f>
        <v/>
      </c>
      <c r="H7795" s="19" t="n">
        <v>1</v>
      </c>
      <c r="I7795" s="57" t="n">
        <v>4</v>
      </c>
    </row>
    <row r="7796">
      <c r="A7796" s="62" t="n">
        <v>46235</v>
      </c>
      <c r="B7796" s="3" t="inlineStr">
        <is>
          <t>Sat</t>
        </is>
      </c>
      <c r="C7796" s="19" t="n">
        <v>8</v>
      </c>
      <c r="D7796" s="19" t="n">
        <v>2026</v>
      </c>
      <c r="E7796" s="57" t="n">
        <v>8</v>
      </c>
      <c r="F7796" s="29">
        <f>ROUND(((SUMIFS(Calendar!$F$2:$F$9997,Calendar!$B$2:$B$9997,D7796,Calendar!$C$2:$C$9997,C7796)*INDEX(ForeCalc!$B$37:$Y$274,MATCH(_xlfn.CONCAT(H7796," ",I7796),ForeCalc!$A$37:$A$274,0),MATCH(_xlfn.CONCAT(B7796," ",E7796),ForeCalc!$B$36:$Y$36,0))))*VLOOKUP(A7796,Calendar!$A$2:$H$9997,8,FALSE),0)</f>
        <v/>
      </c>
      <c r="G7796" s="29">
        <f>VLOOKUP(A7796,Calendar!$A$1:$H$9997,6,FALSE)-F7796</f>
        <v/>
      </c>
      <c r="H7796" s="19" t="n">
        <v>1</v>
      </c>
      <c r="I7796" s="57" t="n">
        <v>5</v>
      </c>
    </row>
    <row r="7797">
      <c r="A7797" s="62" t="n">
        <v>46236</v>
      </c>
      <c r="B7797" s="3" t="inlineStr">
        <is>
          <t>Sun</t>
        </is>
      </c>
      <c r="C7797" s="19" t="n">
        <v>8</v>
      </c>
      <c r="D7797" s="19" t="n">
        <v>2026</v>
      </c>
      <c r="E7797" s="57" t="n">
        <v>8</v>
      </c>
      <c r="F7797" s="29">
        <f>ROUND(((SUMIFS(Calendar!$F$2:$F$9997,Calendar!$B$2:$B$9997,D7797,Calendar!$C$2:$C$9997,C7797)*INDEX(ForeCalc!$B$37:$Y$274,MATCH(_xlfn.CONCAT(H7797," ",I7797),ForeCalc!$A$37:$A$274,0),MATCH(_xlfn.CONCAT(B7797," ",E7797),ForeCalc!$B$36:$Y$36,0))))*VLOOKUP(A7797,Calendar!$A$2:$H$9997,8,FALSE),0)</f>
        <v/>
      </c>
      <c r="G7797" s="29">
        <f>VLOOKUP(A7797,Calendar!$A$1:$H$9997,6,FALSE)-F7797</f>
        <v/>
      </c>
      <c r="H7797" s="19" t="n">
        <v>1</v>
      </c>
      <c r="I7797" s="57" t="n">
        <v>5</v>
      </c>
    </row>
    <row r="7798">
      <c r="A7798" s="62" t="n">
        <v>46237</v>
      </c>
      <c r="B7798" s="3" t="inlineStr">
        <is>
          <t>Week</t>
        </is>
      </c>
      <c r="C7798" s="19" t="n">
        <v>8</v>
      </c>
      <c r="D7798" s="19" t="n">
        <v>2026</v>
      </c>
      <c r="E7798" s="57" t="n">
        <v>8</v>
      </c>
      <c r="F7798" s="29">
        <f>ROUND(((SUMIFS(Calendar!$F$2:$F$9997,Calendar!$B$2:$B$9997,D7798,Calendar!$C$2:$C$9997,C7798)*INDEX(ForeCalc!$B$37:$Y$274,MATCH(_xlfn.CONCAT(H7798," ",I7798),ForeCalc!$A$37:$A$274,0),MATCH(_xlfn.CONCAT(B7798," ",E7798),ForeCalc!$B$36:$Y$36,0))))*VLOOKUP(A7798,Calendar!$A$2:$H$9997,8,FALSE),0)</f>
        <v/>
      </c>
      <c r="G7798" s="29">
        <f>VLOOKUP(A7798,Calendar!$A$1:$H$9997,6,FALSE)-F7798</f>
        <v/>
      </c>
      <c r="H7798" s="19" t="n">
        <v>1</v>
      </c>
      <c r="I7798" s="57" t="n">
        <v>5</v>
      </c>
    </row>
    <row r="7799">
      <c r="A7799" s="62" t="n">
        <v>46238</v>
      </c>
      <c r="B7799" s="3" t="inlineStr">
        <is>
          <t>Week</t>
        </is>
      </c>
      <c r="C7799" s="19" t="n">
        <v>8</v>
      </c>
      <c r="D7799" s="19" t="n">
        <v>2026</v>
      </c>
      <c r="E7799" s="57" t="n">
        <v>8</v>
      </c>
      <c r="F7799" s="29">
        <f>ROUND(((SUMIFS(Calendar!$F$2:$F$9997,Calendar!$B$2:$B$9997,D7799,Calendar!$C$2:$C$9997,C7799)*INDEX(ForeCalc!$B$37:$Y$274,MATCH(_xlfn.CONCAT(H7799," ",I7799),ForeCalc!$A$37:$A$274,0),MATCH(_xlfn.CONCAT(B7799," ",E7799),ForeCalc!$B$36:$Y$36,0))))*VLOOKUP(A7799,Calendar!$A$2:$H$9997,8,FALSE),0)</f>
        <v/>
      </c>
      <c r="G7799" s="29">
        <f>VLOOKUP(A7799,Calendar!$A$1:$H$9997,6,FALSE)-F7799</f>
        <v/>
      </c>
      <c r="H7799" s="19" t="n">
        <v>1</v>
      </c>
      <c r="I7799" s="57" t="n">
        <v>5</v>
      </c>
    </row>
    <row r="7800">
      <c r="A7800" s="62" t="n">
        <v>46239</v>
      </c>
      <c r="B7800" s="3" t="inlineStr">
        <is>
          <t>Week</t>
        </is>
      </c>
      <c r="C7800" s="19" t="n">
        <v>8</v>
      </c>
      <c r="D7800" s="19" t="n">
        <v>2026</v>
      </c>
      <c r="E7800" s="57" t="n">
        <v>8</v>
      </c>
      <c r="F7800" s="29">
        <f>ROUND(((SUMIFS(Calendar!$F$2:$F$9997,Calendar!$B$2:$B$9997,D7800,Calendar!$C$2:$C$9997,C7800)*INDEX(ForeCalc!$B$37:$Y$274,MATCH(_xlfn.CONCAT(H7800," ",I7800),ForeCalc!$A$37:$A$274,0),MATCH(_xlfn.CONCAT(B7800," ",E7800),ForeCalc!$B$36:$Y$36,0))))*VLOOKUP(A7800,Calendar!$A$2:$H$9997,8,FALSE),0)</f>
        <v/>
      </c>
      <c r="G7800" s="29">
        <f>VLOOKUP(A7800,Calendar!$A$1:$H$9997,6,FALSE)-F7800</f>
        <v/>
      </c>
      <c r="H7800" s="19" t="n">
        <v>1</v>
      </c>
      <c r="I7800" s="57" t="n">
        <v>5</v>
      </c>
    </row>
    <row r="7801">
      <c r="A7801" s="62" t="n">
        <v>46240</v>
      </c>
      <c r="B7801" s="3" t="inlineStr">
        <is>
          <t>Week</t>
        </is>
      </c>
      <c r="C7801" s="19" t="n">
        <v>8</v>
      </c>
      <c r="D7801" s="19" t="n">
        <v>2026</v>
      </c>
      <c r="E7801" s="57" t="n">
        <v>8</v>
      </c>
      <c r="F7801" s="29">
        <f>ROUND(((SUMIFS(Calendar!$F$2:$F$9997,Calendar!$B$2:$B$9997,D7801,Calendar!$C$2:$C$9997,C7801)*INDEX(ForeCalc!$B$37:$Y$274,MATCH(_xlfn.CONCAT(H7801," ",I7801),ForeCalc!$A$37:$A$274,0),MATCH(_xlfn.CONCAT(B7801," ",E7801),ForeCalc!$B$36:$Y$36,0))))*VLOOKUP(A7801,Calendar!$A$2:$H$9997,8,FALSE),0)</f>
        <v/>
      </c>
      <c r="G7801" s="29">
        <f>VLOOKUP(A7801,Calendar!$A$1:$H$9997,6,FALSE)-F7801</f>
        <v/>
      </c>
      <c r="H7801" s="19" t="n">
        <v>1</v>
      </c>
      <c r="I7801" s="57" t="n">
        <v>5</v>
      </c>
    </row>
    <row r="7802">
      <c r="A7802" s="62" t="n">
        <v>46241</v>
      </c>
      <c r="B7802" s="3" t="inlineStr">
        <is>
          <t>Week</t>
        </is>
      </c>
      <c r="C7802" s="19" t="n">
        <v>8</v>
      </c>
      <c r="D7802" s="19" t="n">
        <v>2026</v>
      </c>
      <c r="E7802" s="57" t="n">
        <v>8</v>
      </c>
      <c r="F7802" s="29">
        <f>ROUND(((SUMIFS(Calendar!$F$2:$F$9997,Calendar!$B$2:$B$9997,D7802,Calendar!$C$2:$C$9997,C7802)*INDEX(ForeCalc!$B$37:$Y$274,MATCH(_xlfn.CONCAT(H7802," ",I7802),ForeCalc!$A$37:$A$274,0),MATCH(_xlfn.CONCAT(B7802," ",E7802),ForeCalc!$B$36:$Y$36,0))))*VLOOKUP(A7802,Calendar!$A$2:$H$9997,8,FALSE),0)</f>
        <v/>
      </c>
      <c r="G7802" s="29">
        <f>VLOOKUP(A7802,Calendar!$A$1:$H$9997,6,FALSE)-F7802</f>
        <v/>
      </c>
      <c r="H7802" s="19" t="n">
        <v>1</v>
      </c>
      <c r="I7802" s="57" t="n">
        <v>5</v>
      </c>
    </row>
    <row r="7803">
      <c r="A7803" s="62" t="n">
        <v>46242</v>
      </c>
      <c r="B7803" s="3" t="inlineStr">
        <is>
          <t>Sat</t>
        </is>
      </c>
      <c r="C7803" s="19" t="n">
        <v>8</v>
      </c>
      <c r="D7803" s="19" t="n">
        <v>2026</v>
      </c>
      <c r="E7803" s="57" t="n">
        <v>8</v>
      </c>
      <c r="F7803" s="29">
        <f>ROUND(((SUMIFS(Calendar!$F$2:$F$9997,Calendar!$B$2:$B$9997,D7803,Calendar!$C$2:$C$9997,C7803)*INDEX(ForeCalc!$B$37:$Y$274,MATCH(_xlfn.CONCAT(H7803," ",I7803),ForeCalc!$A$37:$A$274,0),MATCH(_xlfn.CONCAT(B7803," ",E7803),ForeCalc!$B$36:$Y$36,0))))*VLOOKUP(A7803,Calendar!$A$2:$H$9997,8,FALSE),0)</f>
        <v/>
      </c>
      <c r="G7803" s="29">
        <f>VLOOKUP(A7803,Calendar!$A$1:$H$9997,6,FALSE)-F7803</f>
        <v/>
      </c>
      <c r="H7803" s="19" t="n">
        <v>1</v>
      </c>
      <c r="I7803" s="57" t="n">
        <v>5</v>
      </c>
    </row>
    <row r="7804">
      <c r="A7804" s="62" t="n">
        <v>46243</v>
      </c>
      <c r="B7804" s="3" t="inlineStr">
        <is>
          <t>Sun</t>
        </is>
      </c>
      <c r="C7804" s="19" t="n">
        <v>8</v>
      </c>
      <c r="D7804" s="19" t="n">
        <v>2026</v>
      </c>
      <c r="E7804" s="57" t="n">
        <v>8</v>
      </c>
      <c r="F7804" s="29">
        <f>ROUND(((SUMIFS(Calendar!$F$2:$F$9997,Calendar!$B$2:$B$9997,D7804,Calendar!$C$2:$C$9997,C7804)*INDEX(ForeCalc!$B$37:$Y$274,MATCH(_xlfn.CONCAT(H7804," ",I7804),ForeCalc!$A$37:$A$274,0),MATCH(_xlfn.CONCAT(B7804," ",E7804),ForeCalc!$B$36:$Y$36,0))))*VLOOKUP(A7804,Calendar!$A$2:$H$9997,8,FALSE),0)</f>
        <v/>
      </c>
      <c r="G7804" s="29">
        <f>VLOOKUP(A7804,Calendar!$A$1:$H$9997,6,FALSE)-F7804</f>
        <v/>
      </c>
      <c r="H7804" s="19" t="n">
        <v>1</v>
      </c>
      <c r="I7804" s="57" t="n">
        <v>5</v>
      </c>
    </row>
    <row r="7805">
      <c r="A7805" s="62" t="n">
        <v>46244</v>
      </c>
      <c r="B7805" s="3" t="inlineStr">
        <is>
          <t>Week</t>
        </is>
      </c>
      <c r="C7805" s="19" t="n">
        <v>8</v>
      </c>
      <c r="D7805" s="19" t="n">
        <v>2026</v>
      </c>
      <c r="E7805" s="57" t="n">
        <v>8</v>
      </c>
      <c r="F7805" s="29">
        <f>ROUND(((SUMIFS(Calendar!$F$2:$F$9997,Calendar!$B$2:$B$9997,D7805,Calendar!$C$2:$C$9997,C7805)*INDEX(ForeCalc!$B$37:$Y$274,MATCH(_xlfn.CONCAT(H7805," ",I7805),ForeCalc!$A$37:$A$274,0),MATCH(_xlfn.CONCAT(B7805," ",E7805),ForeCalc!$B$36:$Y$36,0))))*VLOOKUP(A7805,Calendar!$A$2:$H$9997,8,FALSE),0)</f>
        <v/>
      </c>
      <c r="G7805" s="29">
        <f>VLOOKUP(A7805,Calendar!$A$1:$H$9997,6,FALSE)-F7805</f>
        <v/>
      </c>
      <c r="H7805" s="19" t="n">
        <v>1</v>
      </c>
      <c r="I7805" s="57" t="n">
        <v>5</v>
      </c>
    </row>
    <row r="7806">
      <c r="A7806" s="62" t="n">
        <v>46245</v>
      </c>
      <c r="B7806" s="3" t="inlineStr">
        <is>
          <t>Week</t>
        </is>
      </c>
      <c r="C7806" s="19" t="n">
        <v>8</v>
      </c>
      <c r="D7806" s="19" t="n">
        <v>2026</v>
      </c>
      <c r="E7806" s="57" t="n">
        <v>8</v>
      </c>
      <c r="F7806" s="29">
        <f>ROUND(((SUMIFS(Calendar!$F$2:$F$9997,Calendar!$B$2:$B$9997,D7806,Calendar!$C$2:$C$9997,C7806)*INDEX(ForeCalc!$B$37:$Y$274,MATCH(_xlfn.CONCAT(H7806," ",I7806),ForeCalc!$A$37:$A$274,0),MATCH(_xlfn.CONCAT(B7806," ",E7806),ForeCalc!$B$36:$Y$36,0))))*VLOOKUP(A7806,Calendar!$A$2:$H$9997,8,FALSE),0)</f>
        <v/>
      </c>
      <c r="G7806" s="29">
        <f>VLOOKUP(A7806,Calendar!$A$1:$H$9997,6,FALSE)-F7806</f>
        <v/>
      </c>
      <c r="H7806" s="19" t="n">
        <v>1</v>
      </c>
      <c r="I7806" s="57" t="n">
        <v>5</v>
      </c>
    </row>
    <row r="7807">
      <c r="A7807" s="62" t="n">
        <v>46246</v>
      </c>
      <c r="B7807" s="3" t="inlineStr">
        <is>
          <t>Week</t>
        </is>
      </c>
      <c r="C7807" s="19" t="n">
        <v>8</v>
      </c>
      <c r="D7807" s="19" t="n">
        <v>2026</v>
      </c>
      <c r="E7807" s="57" t="n">
        <v>8</v>
      </c>
      <c r="F7807" s="29">
        <f>ROUND(((SUMIFS(Calendar!$F$2:$F$9997,Calendar!$B$2:$B$9997,D7807,Calendar!$C$2:$C$9997,C7807)*INDEX(ForeCalc!$B$37:$Y$274,MATCH(_xlfn.CONCAT(H7807," ",I7807),ForeCalc!$A$37:$A$274,0),MATCH(_xlfn.CONCAT(B7807," ",E7807),ForeCalc!$B$36:$Y$36,0))))*VLOOKUP(A7807,Calendar!$A$2:$H$9997,8,FALSE),0)</f>
        <v/>
      </c>
      <c r="G7807" s="29">
        <f>VLOOKUP(A7807,Calendar!$A$1:$H$9997,6,FALSE)-F7807</f>
        <v/>
      </c>
      <c r="H7807" s="19" t="n">
        <v>1</v>
      </c>
      <c r="I7807" s="57" t="n">
        <v>5</v>
      </c>
    </row>
    <row r="7808">
      <c r="A7808" s="62" t="n">
        <v>46247</v>
      </c>
      <c r="B7808" s="3" t="inlineStr">
        <is>
          <t>Week</t>
        </is>
      </c>
      <c r="C7808" s="19" t="n">
        <v>8</v>
      </c>
      <c r="D7808" s="19" t="n">
        <v>2026</v>
      </c>
      <c r="E7808" s="57" t="n">
        <v>8</v>
      </c>
      <c r="F7808" s="29">
        <f>ROUND(((SUMIFS(Calendar!$F$2:$F$9997,Calendar!$B$2:$B$9997,D7808,Calendar!$C$2:$C$9997,C7808)*INDEX(ForeCalc!$B$37:$Y$274,MATCH(_xlfn.CONCAT(H7808," ",I7808),ForeCalc!$A$37:$A$274,0),MATCH(_xlfn.CONCAT(B7808," ",E7808),ForeCalc!$B$36:$Y$36,0))))*VLOOKUP(A7808,Calendar!$A$2:$H$9997,8,FALSE),0)</f>
        <v/>
      </c>
      <c r="G7808" s="29">
        <f>VLOOKUP(A7808,Calendar!$A$1:$H$9997,6,FALSE)-F7808</f>
        <v/>
      </c>
      <c r="H7808" s="19" t="n">
        <v>1</v>
      </c>
      <c r="I7808" s="57" t="n">
        <v>5</v>
      </c>
    </row>
    <row r="7809">
      <c r="A7809" s="62" t="n">
        <v>46248</v>
      </c>
      <c r="B7809" s="3" t="inlineStr">
        <is>
          <t>Week</t>
        </is>
      </c>
      <c r="C7809" s="19" t="n">
        <v>8</v>
      </c>
      <c r="D7809" s="19" t="n">
        <v>2026</v>
      </c>
      <c r="E7809" s="57" t="n">
        <v>8</v>
      </c>
      <c r="F7809" s="29">
        <f>ROUND(((SUMIFS(Calendar!$F$2:$F$9997,Calendar!$B$2:$B$9997,D7809,Calendar!$C$2:$C$9997,C7809)*INDEX(ForeCalc!$B$37:$Y$274,MATCH(_xlfn.CONCAT(H7809," ",I7809),ForeCalc!$A$37:$A$274,0),MATCH(_xlfn.CONCAT(B7809," ",E7809),ForeCalc!$B$36:$Y$36,0))))*VLOOKUP(A7809,Calendar!$A$2:$H$9997,8,FALSE),0)</f>
        <v/>
      </c>
      <c r="G7809" s="29">
        <f>VLOOKUP(A7809,Calendar!$A$1:$H$9997,6,FALSE)-F7809</f>
        <v/>
      </c>
      <c r="H7809" s="19" t="n">
        <v>1</v>
      </c>
      <c r="I7809" s="57" t="n">
        <v>5</v>
      </c>
    </row>
    <row r="7810">
      <c r="A7810" s="62" t="n">
        <v>46249</v>
      </c>
      <c r="B7810" s="3" t="inlineStr">
        <is>
          <t>Sat</t>
        </is>
      </c>
      <c r="C7810" s="19" t="n">
        <v>8</v>
      </c>
      <c r="D7810" s="19" t="n">
        <v>2026</v>
      </c>
      <c r="E7810" s="57" t="n">
        <v>8</v>
      </c>
      <c r="F7810" s="29">
        <f>ROUND(((SUMIFS(Calendar!$F$2:$F$9997,Calendar!$B$2:$B$9997,D7810,Calendar!$C$2:$C$9997,C7810)*INDEX(ForeCalc!$B$37:$Y$274,MATCH(_xlfn.CONCAT(H7810," ",I7810),ForeCalc!$A$37:$A$274,0),MATCH(_xlfn.CONCAT(B7810," ",E7810),ForeCalc!$B$36:$Y$36,0))))*VLOOKUP(A7810,Calendar!$A$2:$H$9997,8,FALSE),0)</f>
        <v/>
      </c>
      <c r="G7810" s="29">
        <f>VLOOKUP(A7810,Calendar!$A$1:$H$9997,6,FALSE)-F7810</f>
        <v/>
      </c>
      <c r="H7810" s="19" t="n">
        <v>1</v>
      </c>
      <c r="I7810" s="57" t="n">
        <v>5</v>
      </c>
    </row>
    <row r="7811">
      <c r="A7811" s="62" t="n">
        <v>46250</v>
      </c>
      <c r="B7811" s="3" t="inlineStr">
        <is>
          <t>Sun</t>
        </is>
      </c>
      <c r="C7811" s="19" t="n">
        <v>8</v>
      </c>
      <c r="D7811" s="19" t="n">
        <v>2026</v>
      </c>
      <c r="E7811" s="57" t="n">
        <v>8</v>
      </c>
      <c r="F7811" s="29">
        <f>ROUND(((SUMIFS(Calendar!$F$2:$F$9997,Calendar!$B$2:$B$9997,D7811,Calendar!$C$2:$C$9997,C7811)*INDEX(ForeCalc!$B$37:$Y$274,MATCH(_xlfn.CONCAT(H7811," ",I7811),ForeCalc!$A$37:$A$274,0),MATCH(_xlfn.CONCAT(B7811," ",E7811),ForeCalc!$B$36:$Y$36,0))))*VLOOKUP(A7811,Calendar!$A$2:$H$9997,8,FALSE),0)</f>
        <v/>
      </c>
      <c r="G7811" s="29">
        <f>VLOOKUP(A7811,Calendar!$A$1:$H$9997,6,FALSE)-F7811</f>
        <v/>
      </c>
      <c r="H7811" s="19" t="n">
        <v>1</v>
      </c>
      <c r="I7811" s="57" t="n">
        <v>5</v>
      </c>
    </row>
    <row r="7812">
      <c r="A7812" s="62" t="n">
        <v>46251</v>
      </c>
      <c r="B7812" s="3" t="inlineStr">
        <is>
          <t>Week</t>
        </is>
      </c>
      <c r="C7812" s="19" t="n">
        <v>8</v>
      </c>
      <c r="D7812" s="19" t="n">
        <v>2026</v>
      </c>
      <c r="E7812" s="57" t="n">
        <v>8</v>
      </c>
      <c r="F7812" s="29">
        <f>ROUND(((SUMIFS(Calendar!$F$2:$F$9997,Calendar!$B$2:$B$9997,D7812,Calendar!$C$2:$C$9997,C7812)*INDEX(ForeCalc!$B$37:$Y$274,MATCH(_xlfn.CONCAT(H7812," ",I7812),ForeCalc!$A$37:$A$274,0),MATCH(_xlfn.CONCAT(B7812," ",E7812),ForeCalc!$B$36:$Y$36,0))))*VLOOKUP(A7812,Calendar!$A$2:$H$9997,8,FALSE),0)</f>
        <v/>
      </c>
      <c r="G7812" s="29">
        <f>VLOOKUP(A7812,Calendar!$A$1:$H$9997,6,FALSE)-F7812</f>
        <v/>
      </c>
      <c r="H7812" s="19" t="n">
        <v>1</v>
      </c>
      <c r="I7812" s="57" t="n">
        <v>5</v>
      </c>
    </row>
    <row r="7813">
      <c r="A7813" s="62" t="n">
        <v>46252</v>
      </c>
      <c r="B7813" s="3" t="inlineStr">
        <is>
          <t>Week</t>
        </is>
      </c>
      <c r="C7813" s="19" t="n">
        <v>8</v>
      </c>
      <c r="D7813" s="19" t="n">
        <v>2026</v>
      </c>
      <c r="E7813" s="57" t="n">
        <v>8</v>
      </c>
      <c r="F7813" s="29">
        <f>ROUND(((SUMIFS(Calendar!$F$2:$F$9997,Calendar!$B$2:$B$9997,D7813,Calendar!$C$2:$C$9997,C7813)*INDEX(ForeCalc!$B$37:$Y$274,MATCH(_xlfn.CONCAT(H7813," ",I7813),ForeCalc!$A$37:$A$274,0),MATCH(_xlfn.CONCAT(B7813," ",E7813),ForeCalc!$B$36:$Y$36,0))))*VLOOKUP(A7813,Calendar!$A$2:$H$9997,8,FALSE),0)</f>
        <v/>
      </c>
      <c r="G7813" s="29">
        <f>VLOOKUP(A7813,Calendar!$A$1:$H$9997,6,FALSE)-F7813</f>
        <v/>
      </c>
      <c r="H7813" s="19" t="n">
        <v>1</v>
      </c>
      <c r="I7813" s="57" t="n">
        <v>5</v>
      </c>
    </row>
    <row r="7814">
      <c r="A7814" s="62" t="n">
        <v>46253</v>
      </c>
      <c r="B7814" s="3" t="inlineStr">
        <is>
          <t>Week</t>
        </is>
      </c>
      <c r="C7814" s="19" t="n">
        <v>8</v>
      </c>
      <c r="D7814" s="19" t="n">
        <v>2026</v>
      </c>
      <c r="E7814" s="57" t="n">
        <v>8</v>
      </c>
      <c r="F7814" s="29">
        <f>ROUND(((SUMIFS(Calendar!$F$2:$F$9997,Calendar!$B$2:$B$9997,D7814,Calendar!$C$2:$C$9997,C7814)*INDEX(ForeCalc!$B$37:$Y$274,MATCH(_xlfn.CONCAT(H7814," ",I7814),ForeCalc!$A$37:$A$274,0),MATCH(_xlfn.CONCAT(B7814," ",E7814),ForeCalc!$B$36:$Y$36,0))))*VLOOKUP(A7814,Calendar!$A$2:$H$9997,8,FALSE),0)</f>
        <v/>
      </c>
      <c r="G7814" s="29">
        <f>VLOOKUP(A7814,Calendar!$A$1:$H$9997,6,FALSE)-F7814</f>
        <v/>
      </c>
      <c r="H7814" s="19" t="n">
        <v>1</v>
      </c>
      <c r="I7814" s="57" t="n">
        <v>5</v>
      </c>
    </row>
    <row r="7815">
      <c r="A7815" s="62" t="n">
        <v>46254</v>
      </c>
      <c r="B7815" s="3" t="inlineStr">
        <is>
          <t>Week</t>
        </is>
      </c>
      <c r="C7815" s="19" t="n">
        <v>8</v>
      </c>
      <c r="D7815" s="19" t="n">
        <v>2026</v>
      </c>
      <c r="E7815" s="57" t="n">
        <v>8</v>
      </c>
      <c r="F7815" s="29">
        <f>ROUND(((SUMIFS(Calendar!$F$2:$F$9997,Calendar!$B$2:$B$9997,D7815,Calendar!$C$2:$C$9997,C7815)*INDEX(ForeCalc!$B$37:$Y$274,MATCH(_xlfn.CONCAT(H7815," ",I7815),ForeCalc!$A$37:$A$274,0),MATCH(_xlfn.CONCAT(B7815," ",E7815),ForeCalc!$B$36:$Y$36,0))))*VLOOKUP(A7815,Calendar!$A$2:$H$9997,8,FALSE),0)</f>
        <v/>
      </c>
      <c r="G7815" s="29">
        <f>VLOOKUP(A7815,Calendar!$A$1:$H$9997,6,FALSE)-F7815</f>
        <v/>
      </c>
      <c r="H7815" s="19" t="n">
        <v>1</v>
      </c>
      <c r="I7815" s="57" t="n">
        <v>5</v>
      </c>
    </row>
    <row r="7816">
      <c r="A7816" s="62" t="n">
        <v>46255</v>
      </c>
      <c r="B7816" s="3" t="inlineStr">
        <is>
          <t>Week</t>
        </is>
      </c>
      <c r="C7816" s="19" t="n">
        <v>8</v>
      </c>
      <c r="D7816" s="19" t="n">
        <v>2026</v>
      </c>
      <c r="E7816" s="57" t="n">
        <v>8</v>
      </c>
      <c r="F7816" s="29">
        <f>ROUND(((SUMIFS(Calendar!$F$2:$F$9997,Calendar!$B$2:$B$9997,D7816,Calendar!$C$2:$C$9997,C7816)*INDEX(ForeCalc!$B$37:$Y$274,MATCH(_xlfn.CONCAT(H7816," ",I7816),ForeCalc!$A$37:$A$274,0),MATCH(_xlfn.CONCAT(B7816," ",E7816),ForeCalc!$B$36:$Y$36,0))))*VLOOKUP(A7816,Calendar!$A$2:$H$9997,8,FALSE),0)</f>
        <v/>
      </c>
      <c r="G7816" s="29">
        <f>VLOOKUP(A7816,Calendar!$A$1:$H$9997,6,FALSE)-F7816</f>
        <v/>
      </c>
      <c r="H7816" s="19" t="n">
        <v>1</v>
      </c>
      <c r="I7816" s="57" t="n">
        <v>5</v>
      </c>
    </row>
    <row r="7817">
      <c r="A7817" s="62" t="n">
        <v>46256</v>
      </c>
      <c r="B7817" s="3" t="inlineStr">
        <is>
          <t>Sat</t>
        </is>
      </c>
      <c r="C7817" s="19" t="n">
        <v>8</v>
      </c>
      <c r="D7817" s="19" t="n">
        <v>2026</v>
      </c>
      <c r="E7817" s="57" t="n">
        <v>8</v>
      </c>
      <c r="F7817" s="29">
        <f>ROUND(((SUMIFS(Calendar!$F$2:$F$9997,Calendar!$B$2:$B$9997,D7817,Calendar!$C$2:$C$9997,C7817)*INDEX(ForeCalc!$B$37:$Y$274,MATCH(_xlfn.CONCAT(H7817," ",I7817),ForeCalc!$A$37:$A$274,0),MATCH(_xlfn.CONCAT(B7817," ",E7817),ForeCalc!$B$36:$Y$36,0))))*VLOOKUP(A7817,Calendar!$A$2:$H$9997,8,FALSE),0)</f>
        <v/>
      </c>
      <c r="G7817" s="29">
        <f>VLOOKUP(A7817,Calendar!$A$1:$H$9997,6,FALSE)-F7817</f>
        <v/>
      </c>
      <c r="H7817" s="19" t="n">
        <v>1</v>
      </c>
      <c r="I7817" s="57" t="n">
        <v>5</v>
      </c>
    </row>
    <row r="7818">
      <c r="A7818" s="62" t="n">
        <v>46257</v>
      </c>
      <c r="B7818" s="3" t="inlineStr">
        <is>
          <t>Sun</t>
        </is>
      </c>
      <c r="C7818" s="19" t="n">
        <v>8</v>
      </c>
      <c r="D7818" s="19" t="n">
        <v>2026</v>
      </c>
      <c r="E7818" s="57" t="n">
        <v>8</v>
      </c>
      <c r="F7818" s="29">
        <f>ROUND(((SUMIFS(Calendar!$F$2:$F$9997,Calendar!$B$2:$B$9997,D7818,Calendar!$C$2:$C$9997,C7818)*INDEX(ForeCalc!$B$37:$Y$274,MATCH(_xlfn.CONCAT(H7818," ",I7818),ForeCalc!$A$37:$A$274,0),MATCH(_xlfn.CONCAT(B7818," ",E7818),ForeCalc!$B$36:$Y$36,0))))*VLOOKUP(A7818,Calendar!$A$2:$H$9997,8,FALSE),0)</f>
        <v/>
      </c>
      <c r="G7818" s="29">
        <f>VLOOKUP(A7818,Calendar!$A$1:$H$9997,6,FALSE)-F7818</f>
        <v/>
      </c>
      <c r="H7818" s="19" t="n">
        <v>1</v>
      </c>
      <c r="I7818" s="57" t="n">
        <v>5</v>
      </c>
    </row>
    <row r="7819">
      <c r="A7819" s="62" t="n">
        <v>46258</v>
      </c>
      <c r="B7819" s="3" t="inlineStr">
        <is>
          <t>Week</t>
        </is>
      </c>
      <c r="C7819" s="19" t="n">
        <v>8</v>
      </c>
      <c r="D7819" s="19" t="n">
        <v>2026</v>
      </c>
      <c r="E7819" s="57" t="n">
        <v>8</v>
      </c>
      <c r="F7819" s="29">
        <f>ROUND(((SUMIFS(Calendar!$F$2:$F$9997,Calendar!$B$2:$B$9997,D7819,Calendar!$C$2:$C$9997,C7819)*INDEX(ForeCalc!$B$37:$Y$274,MATCH(_xlfn.CONCAT(H7819," ",I7819),ForeCalc!$A$37:$A$274,0),MATCH(_xlfn.CONCAT(B7819," ",E7819),ForeCalc!$B$36:$Y$36,0))))*VLOOKUP(A7819,Calendar!$A$2:$H$9997,8,FALSE),0)</f>
        <v/>
      </c>
      <c r="G7819" s="29">
        <f>VLOOKUP(A7819,Calendar!$A$1:$H$9997,6,FALSE)-F7819</f>
        <v/>
      </c>
      <c r="H7819" s="19" t="n">
        <v>1</v>
      </c>
      <c r="I7819" s="57" t="n">
        <v>5</v>
      </c>
    </row>
    <row r="7820">
      <c r="A7820" s="62" t="n">
        <v>46259</v>
      </c>
      <c r="B7820" s="3" t="inlineStr">
        <is>
          <t>Week</t>
        </is>
      </c>
      <c r="C7820" s="19" t="n">
        <v>8</v>
      </c>
      <c r="D7820" s="19" t="n">
        <v>2026</v>
      </c>
      <c r="E7820" s="57" t="n">
        <v>8</v>
      </c>
      <c r="F7820" s="29">
        <f>ROUND(((SUMIFS(Calendar!$F$2:$F$9997,Calendar!$B$2:$B$9997,D7820,Calendar!$C$2:$C$9997,C7820)*INDEX(ForeCalc!$B$37:$Y$274,MATCH(_xlfn.CONCAT(H7820," ",I7820),ForeCalc!$A$37:$A$274,0),MATCH(_xlfn.CONCAT(B7820," ",E7820),ForeCalc!$B$36:$Y$36,0))))*VLOOKUP(A7820,Calendar!$A$2:$H$9997,8,FALSE),0)</f>
        <v/>
      </c>
      <c r="G7820" s="29">
        <f>VLOOKUP(A7820,Calendar!$A$1:$H$9997,6,FALSE)-F7820</f>
        <v/>
      </c>
      <c r="H7820" s="19" t="n">
        <v>1</v>
      </c>
      <c r="I7820" s="57" t="n">
        <v>5</v>
      </c>
    </row>
    <row r="7821">
      <c r="A7821" s="62" t="n">
        <v>46260</v>
      </c>
      <c r="B7821" s="3" t="inlineStr">
        <is>
          <t>Week</t>
        </is>
      </c>
      <c r="C7821" s="19" t="n">
        <v>8</v>
      </c>
      <c r="D7821" s="19" t="n">
        <v>2026</v>
      </c>
      <c r="E7821" s="57" t="n">
        <v>8</v>
      </c>
      <c r="F7821" s="29">
        <f>ROUND(((SUMIFS(Calendar!$F$2:$F$9997,Calendar!$B$2:$B$9997,D7821,Calendar!$C$2:$C$9997,C7821)*INDEX(ForeCalc!$B$37:$Y$274,MATCH(_xlfn.CONCAT(H7821," ",I7821),ForeCalc!$A$37:$A$274,0),MATCH(_xlfn.CONCAT(B7821," ",E7821),ForeCalc!$B$36:$Y$36,0))))*VLOOKUP(A7821,Calendar!$A$2:$H$9997,8,FALSE),0)</f>
        <v/>
      </c>
      <c r="G7821" s="29">
        <f>VLOOKUP(A7821,Calendar!$A$1:$H$9997,6,FALSE)-F7821</f>
        <v/>
      </c>
      <c r="H7821" s="19" t="n">
        <v>1</v>
      </c>
      <c r="I7821" s="57" t="n">
        <v>5</v>
      </c>
    </row>
    <row r="7822">
      <c r="A7822" s="62" t="n">
        <v>46261</v>
      </c>
      <c r="B7822" s="3" t="inlineStr">
        <is>
          <t>Week</t>
        </is>
      </c>
      <c r="C7822" s="19" t="n">
        <v>8</v>
      </c>
      <c r="D7822" s="19" t="n">
        <v>2026</v>
      </c>
      <c r="E7822" s="57" t="n">
        <v>8</v>
      </c>
      <c r="F7822" s="29">
        <f>ROUND(((SUMIFS(Calendar!$F$2:$F$9997,Calendar!$B$2:$B$9997,D7822,Calendar!$C$2:$C$9997,C7822)*INDEX(ForeCalc!$B$37:$Y$274,MATCH(_xlfn.CONCAT(H7822," ",I7822),ForeCalc!$A$37:$A$274,0),MATCH(_xlfn.CONCAT(B7822," ",E7822),ForeCalc!$B$36:$Y$36,0))))*VLOOKUP(A7822,Calendar!$A$2:$H$9997,8,FALSE),0)</f>
        <v/>
      </c>
      <c r="G7822" s="29">
        <f>VLOOKUP(A7822,Calendar!$A$1:$H$9997,6,FALSE)-F7822</f>
        <v/>
      </c>
      <c r="H7822" s="19" t="n">
        <v>1</v>
      </c>
      <c r="I7822" s="57" t="n">
        <v>5</v>
      </c>
    </row>
    <row r="7823">
      <c r="A7823" s="62" t="n">
        <v>46262</v>
      </c>
      <c r="B7823" s="3" t="inlineStr">
        <is>
          <t>Week</t>
        </is>
      </c>
      <c r="C7823" s="19" t="n">
        <v>8</v>
      </c>
      <c r="D7823" s="19" t="n">
        <v>2026</v>
      </c>
      <c r="E7823" s="57" t="n">
        <v>8</v>
      </c>
      <c r="F7823" s="29">
        <f>ROUND(((SUMIFS(Calendar!$F$2:$F$9997,Calendar!$B$2:$B$9997,D7823,Calendar!$C$2:$C$9997,C7823)*INDEX(ForeCalc!$B$37:$Y$274,MATCH(_xlfn.CONCAT(H7823," ",I7823),ForeCalc!$A$37:$A$274,0),MATCH(_xlfn.CONCAT(B7823," ",E7823),ForeCalc!$B$36:$Y$36,0))))*VLOOKUP(A7823,Calendar!$A$2:$H$9997,8,FALSE),0)</f>
        <v/>
      </c>
      <c r="G7823" s="29">
        <f>VLOOKUP(A7823,Calendar!$A$1:$H$9997,6,FALSE)-F7823</f>
        <v/>
      </c>
      <c r="H7823" s="19" t="n">
        <v>1</v>
      </c>
      <c r="I7823" s="57" t="n">
        <v>5</v>
      </c>
    </row>
    <row r="7824">
      <c r="A7824" s="62" t="n">
        <v>46263</v>
      </c>
      <c r="B7824" s="3" t="inlineStr">
        <is>
          <t>Sat</t>
        </is>
      </c>
      <c r="C7824" s="19" t="n">
        <v>8</v>
      </c>
      <c r="D7824" s="19" t="n">
        <v>2026</v>
      </c>
      <c r="E7824" s="57" t="n">
        <v>8</v>
      </c>
      <c r="F7824" s="29">
        <f>ROUND(((SUMIFS(Calendar!$F$2:$F$9997,Calendar!$B$2:$B$9997,D7824,Calendar!$C$2:$C$9997,C7824)*INDEX(ForeCalc!$B$37:$Y$274,MATCH(_xlfn.CONCAT(H7824," ",I7824),ForeCalc!$A$37:$A$274,0),MATCH(_xlfn.CONCAT(B7824," ",E7824),ForeCalc!$B$36:$Y$36,0))))*VLOOKUP(A7824,Calendar!$A$2:$H$9997,8,FALSE),0)</f>
        <v/>
      </c>
      <c r="G7824" s="29">
        <f>VLOOKUP(A7824,Calendar!$A$1:$H$9997,6,FALSE)-F7824</f>
        <v/>
      </c>
      <c r="H7824" s="19" t="n">
        <v>1</v>
      </c>
      <c r="I7824" s="57" t="n">
        <v>5</v>
      </c>
    </row>
    <row r="7825">
      <c r="A7825" s="62" t="n">
        <v>46264</v>
      </c>
      <c r="B7825" s="3" t="inlineStr">
        <is>
          <t>Sun</t>
        </is>
      </c>
      <c r="C7825" s="19" t="n">
        <v>8</v>
      </c>
      <c r="D7825" s="19" t="n">
        <v>2026</v>
      </c>
      <c r="E7825" s="57" t="n">
        <v>8</v>
      </c>
      <c r="F7825" s="29">
        <f>ROUND(((SUMIFS(Calendar!$F$2:$F$9997,Calendar!$B$2:$B$9997,D7825,Calendar!$C$2:$C$9997,C7825)*INDEX(ForeCalc!$B$37:$Y$274,MATCH(_xlfn.CONCAT(H7825," ",I7825),ForeCalc!$A$37:$A$274,0),MATCH(_xlfn.CONCAT(B7825," ",E7825),ForeCalc!$B$36:$Y$36,0))))*VLOOKUP(A7825,Calendar!$A$2:$H$9997,8,FALSE),0)</f>
        <v/>
      </c>
      <c r="G7825" s="29">
        <f>VLOOKUP(A7825,Calendar!$A$1:$H$9997,6,FALSE)-F7825</f>
        <v/>
      </c>
      <c r="H7825" s="19" t="n">
        <v>1</v>
      </c>
      <c r="I7825" s="57" t="n">
        <v>5</v>
      </c>
    </row>
    <row r="7826">
      <c r="A7826" s="62" t="n">
        <v>46265</v>
      </c>
      <c r="B7826" s="3" t="inlineStr">
        <is>
          <t>Week</t>
        </is>
      </c>
      <c r="C7826" s="19" t="n">
        <v>8</v>
      </c>
      <c r="D7826" s="19" t="n">
        <v>2026</v>
      </c>
      <c r="E7826" s="57" t="n">
        <v>8</v>
      </c>
      <c r="F7826" s="29">
        <f>ROUND(((SUMIFS(Calendar!$F$2:$F$9997,Calendar!$B$2:$B$9997,D7826,Calendar!$C$2:$C$9997,C7826)*INDEX(ForeCalc!$B$37:$Y$274,MATCH(_xlfn.CONCAT(H7826," ",I7826),ForeCalc!$A$37:$A$274,0),MATCH(_xlfn.CONCAT(B7826," ",E7826),ForeCalc!$B$36:$Y$36,0))))*VLOOKUP(A7826,Calendar!$A$2:$H$9997,8,FALSE),0)</f>
        <v/>
      </c>
      <c r="G7826" s="29">
        <f>VLOOKUP(A7826,Calendar!$A$1:$H$9997,6,FALSE)-F7826</f>
        <v/>
      </c>
      <c r="H7826" s="19" t="n">
        <v>1</v>
      </c>
      <c r="I7826" s="57" t="n">
        <v>5</v>
      </c>
    </row>
    <row r="7827">
      <c r="A7827" s="62" t="n">
        <v>46266</v>
      </c>
      <c r="B7827" s="3" t="inlineStr">
        <is>
          <t>Week</t>
        </is>
      </c>
      <c r="C7827" s="19" t="n">
        <v>9</v>
      </c>
      <c r="D7827" s="19" t="n">
        <v>2026</v>
      </c>
      <c r="E7827" s="57" t="n">
        <v>8</v>
      </c>
      <c r="F7827" s="29">
        <f>ROUND(((SUMIFS(Calendar!$F$2:$F$9997,Calendar!$B$2:$B$9997,D7827,Calendar!$C$2:$C$9997,C7827)*INDEX(ForeCalc!$B$37:$Y$274,MATCH(_xlfn.CONCAT(H7827," ",I7827),ForeCalc!$A$37:$A$274,0),MATCH(_xlfn.CONCAT(B7827," ",E7827),ForeCalc!$B$36:$Y$36,0))))*VLOOKUP(A7827,Calendar!$A$2:$H$9997,8,FALSE),0)</f>
        <v/>
      </c>
      <c r="G7827" s="29">
        <f>VLOOKUP(A7827,Calendar!$A$1:$H$9997,6,FALSE)-F7827</f>
        <v/>
      </c>
      <c r="H7827" s="19" t="n">
        <v>1</v>
      </c>
      <c r="I7827" s="57" t="n">
        <v>6</v>
      </c>
    </row>
    <row r="7828">
      <c r="A7828" s="62" t="n">
        <v>46267</v>
      </c>
      <c r="B7828" s="3" t="inlineStr">
        <is>
          <t>Week</t>
        </is>
      </c>
      <c r="C7828" s="19" t="n">
        <v>9</v>
      </c>
      <c r="D7828" s="19" t="n">
        <v>2026</v>
      </c>
      <c r="E7828" s="57" t="n">
        <v>8</v>
      </c>
      <c r="F7828" s="29">
        <f>ROUND(((SUMIFS(Calendar!$F$2:$F$9997,Calendar!$B$2:$B$9997,D7828,Calendar!$C$2:$C$9997,C7828)*INDEX(ForeCalc!$B$37:$Y$274,MATCH(_xlfn.CONCAT(H7828," ",I7828),ForeCalc!$A$37:$A$274,0),MATCH(_xlfn.CONCAT(B7828," ",E7828),ForeCalc!$B$36:$Y$36,0))))*VLOOKUP(A7828,Calendar!$A$2:$H$9997,8,FALSE),0)</f>
        <v/>
      </c>
      <c r="G7828" s="29">
        <f>VLOOKUP(A7828,Calendar!$A$1:$H$9997,6,FALSE)-F7828</f>
        <v/>
      </c>
      <c r="H7828" s="19" t="n">
        <v>1</v>
      </c>
      <c r="I7828" s="57" t="n">
        <v>6</v>
      </c>
    </row>
    <row r="7829">
      <c r="A7829" s="62" t="n">
        <v>46268</v>
      </c>
      <c r="B7829" s="3" t="inlineStr">
        <is>
          <t>Week</t>
        </is>
      </c>
      <c r="C7829" s="19" t="n">
        <v>9</v>
      </c>
      <c r="D7829" s="19" t="n">
        <v>2026</v>
      </c>
      <c r="E7829" s="57" t="n">
        <v>8</v>
      </c>
      <c r="F7829" s="29">
        <f>ROUND(((SUMIFS(Calendar!$F$2:$F$9997,Calendar!$B$2:$B$9997,D7829,Calendar!$C$2:$C$9997,C7829)*INDEX(ForeCalc!$B$37:$Y$274,MATCH(_xlfn.CONCAT(H7829," ",I7829),ForeCalc!$A$37:$A$274,0),MATCH(_xlfn.CONCAT(B7829," ",E7829),ForeCalc!$B$36:$Y$36,0))))*VLOOKUP(A7829,Calendar!$A$2:$H$9997,8,FALSE),0)</f>
        <v/>
      </c>
      <c r="G7829" s="29">
        <f>VLOOKUP(A7829,Calendar!$A$1:$H$9997,6,FALSE)-F7829</f>
        <v/>
      </c>
      <c r="H7829" s="19" t="n">
        <v>1</v>
      </c>
      <c r="I7829" s="57" t="n">
        <v>6</v>
      </c>
    </row>
    <row r="7830">
      <c r="A7830" s="62" t="n">
        <v>46269</v>
      </c>
      <c r="B7830" s="3" t="inlineStr">
        <is>
          <t>Week</t>
        </is>
      </c>
      <c r="C7830" s="19" t="n">
        <v>9</v>
      </c>
      <c r="D7830" s="19" t="n">
        <v>2026</v>
      </c>
      <c r="E7830" s="57" t="n">
        <v>8</v>
      </c>
      <c r="F7830" s="29">
        <f>ROUND(((SUMIFS(Calendar!$F$2:$F$9997,Calendar!$B$2:$B$9997,D7830,Calendar!$C$2:$C$9997,C7830)*INDEX(ForeCalc!$B$37:$Y$274,MATCH(_xlfn.CONCAT(H7830," ",I7830),ForeCalc!$A$37:$A$274,0),MATCH(_xlfn.CONCAT(B7830," ",E7830),ForeCalc!$B$36:$Y$36,0))))*VLOOKUP(A7830,Calendar!$A$2:$H$9997,8,FALSE),0)</f>
        <v/>
      </c>
      <c r="G7830" s="29">
        <f>VLOOKUP(A7830,Calendar!$A$1:$H$9997,6,FALSE)-F7830</f>
        <v/>
      </c>
      <c r="H7830" s="19" t="n">
        <v>1</v>
      </c>
      <c r="I7830" s="57" t="n">
        <v>6</v>
      </c>
    </row>
    <row r="7831">
      <c r="A7831" s="62" t="n">
        <v>46270</v>
      </c>
      <c r="B7831" s="3" t="inlineStr">
        <is>
          <t>Sat</t>
        </is>
      </c>
      <c r="C7831" s="19" t="n">
        <v>9</v>
      </c>
      <c r="D7831" s="19" t="n">
        <v>2026</v>
      </c>
      <c r="E7831" s="57" t="n">
        <v>8</v>
      </c>
      <c r="F7831" s="29">
        <f>ROUND(((SUMIFS(Calendar!$F$2:$F$9997,Calendar!$B$2:$B$9997,D7831,Calendar!$C$2:$C$9997,C7831)*INDEX(ForeCalc!$B$37:$Y$274,MATCH(_xlfn.CONCAT(H7831," ",I7831),ForeCalc!$A$37:$A$274,0),MATCH(_xlfn.CONCAT(B7831," ",E7831),ForeCalc!$B$36:$Y$36,0))))*VLOOKUP(A7831,Calendar!$A$2:$H$9997,8,FALSE),0)</f>
        <v/>
      </c>
      <c r="G7831" s="29">
        <f>VLOOKUP(A7831,Calendar!$A$1:$H$9997,6,FALSE)-F7831</f>
        <v/>
      </c>
      <c r="H7831" s="19" t="n">
        <v>1</v>
      </c>
      <c r="I7831" s="57" t="n">
        <v>6</v>
      </c>
    </row>
    <row r="7832">
      <c r="A7832" s="62" t="n">
        <v>46271</v>
      </c>
      <c r="B7832" s="3" t="inlineStr">
        <is>
          <t>Sun</t>
        </is>
      </c>
      <c r="C7832" s="19" t="n">
        <v>9</v>
      </c>
      <c r="D7832" s="19" t="n">
        <v>2026</v>
      </c>
      <c r="E7832" s="57" t="n">
        <v>8</v>
      </c>
      <c r="F7832" s="29">
        <f>ROUND(((SUMIFS(Calendar!$F$2:$F$9997,Calendar!$B$2:$B$9997,D7832,Calendar!$C$2:$C$9997,C7832)*INDEX(ForeCalc!$B$37:$Y$274,MATCH(_xlfn.CONCAT(H7832," ",I7832),ForeCalc!$A$37:$A$274,0),MATCH(_xlfn.CONCAT(B7832," ",E7832),ForeCalc!$B$36:$Y$36,0))))*VLOOKUP(A7832,Calendar!$A$2:$H$9997,8,FALSE),0)</f>
        <v/>
      </c>
      <c r="G7832" s="29">
        <f>VLOOKUP(A7832,Calendar!$A$1:$H$9997,6,FALSE)-F7832</f>
        <v/>
      </c>
      <c r="H7832" s="19" t="n">
        <v>1</v>
      </c>
      <c r="I7832" s="57" t="n">
        <v>6</v>
      </c>
    </row>
    <row r="7833">
      <c r="A7833" s="62" t="n">
        <v>46272</v>
      </c>
      <c r="B7833" s="3" t="inlineStr">
        <is>
          <t>Week</t>
        </is>
      </c>
      <c r="C7833" s="19" t="n">
        <v>9</v>
      </c>
      <c r="D7833" s="19" t="n">
        <v>2026</v>
      </c>
      <c r="E7833" s="57" t="n">
        <v>8</v>
      </c>
      <c r="F7833" s="29">
        <f>ROUND(((SUMIFS(Calendar!$F$2:$F$9997,Calendar!$B$2:$B$9997,D7833,Calendar!$C$2:$C$9997,C7833)*INDEX(ForeCalc!$B$37:$Y$274,MATCH(_xlfn.CONCAT(H7833," ",I7833),ForeCalc!$A$37:$A$274,0),MATCH(_xlfn.CONCAT(B7833," ",E7833),ForeCalc!$B$36:$Y$36,0))))*VLOOKUP(A7833,Calendar!$A$2:$H$9997,8,FALSE),0)</f>
        <v/>
      </c>
      <c r="G7833" s="29">
        <f>VLOOKUP(A7833,Calendar!$A$1:$H$9997,6,FALSE)-F7833</f>
        <v/>
      </c>
      <c r="H7833" s="19" t="n">
        <v>1</v>
      </c>
      <c r="I7833" s="57" t="n">
        <v>6</v>
      </c>
    </row>
    <row r="7834">
      <c r="A7834" s="62" t="n">
        <v>46273</v>
      </c>
      <c r="B7834" s="3" t="inlineStr">
        <is>
          <t>Week</t>
        </is>
      </c>
      <c r="C7834" s="19" t="n">
        <v>9</v>
      </c>
      <c r="D7834" s="19" t="n">
        <v>2026</v>
      </c>
      <c r="E7834" s="57" t="n">
        <v>8</v>
      </c>
      <c r="F7834" s="29">
        <f>ROUND(((SUMIFS(Calendar!$F$2:$F$9997,Calendar!$B$2:$B$9997,D7834,Calendar!$C$2:$C$9997,C7834)*INDEX(ForeCalc!$B$37:$Y$274,MATCH(_xlfn.CONCAT(H7834," ",I7834),ForeCalc!$A$37:$A$274,0),MATCH(_xlfn.CONCAT(B7834," ",E7834),ForeCalc!$B$36:$Y$36,0))))*VLOOKUP(A7834,Calendar!$A$2:$H$9997,8,FALSE),0)</f>
        <v/>
      </c>
      <c r="G7834" s="29">
        <f>VLOOKUP(A7834,Calendar!$A$1:$H$9997,6,FALSE)-F7834</f>
        <v/>
      </c>
      <c r="H7834" s="19" t="n">
        <v>1</v>
      </c>
      <c r="I7834" s="57" t="n">
        <v>6</v>
      </c>
    </row>
    <row r="7835">
      <c r="A7835" s="62" t="n">
        <v>46274</v>
      </c>
      <c r="B7835" s="3" t="inlineStr">
        <is>
          <t>Week</t>
        </is>
      </c>
      <c r="C7835" s="19" t="n">
        <v>9</v>
      </c>
      <c r="D7835" s="19" t="n">
        <v>2026</v>
      </c>
      <c r="E7835" s="57" t="n">
        <v>8</v>
      </c>
      <c r="F7835" s="29">
        <f>ROUND(((SUMIFS(Calendar!$F$2:$F$9997,Calendar!$B$2:$B$9997,D7835,Calendar!$C$2:$C$9997,C7835)*INDEX(ForeCalc!$B$37:$Y$274,MATCH(_xlfn.CONCAT(H7835," ",I7835),ForeCalc!$A$37:$A$274,0),MATCH(_xlfn.CONCAT(B7835," ",E7835),ForeCalc!$B$36:$Y$36,0))))*VLOOKUP(A7835,Calendar!$A$2:$H$9997,8,FALSE),0)</f>
        <v/>
      </c>
      <c r="G7835" s="29">
        <f>VLOOKUP(A7835,Calendar!$A$1:$H$9997,6,FALSE)-F7835</f>
        <v/>
      </c>
      <c r="H7835" s="19" t="n">
        <v>1</v>
      </c>
      <c r="I7835" s="57" t="n">
        <v>6</v>
      </c>
    </row>
    <row r="7836">
      <c r="A7836" s="62" t="n">
        <v>46275</v>
      </c>
      <c r="B7836" s="3" t="inlineStr">
        <is>
          <t>Week</t>
        </is>
      </c>
      <c r="C7836" s="19" t="n">
        <v>9</v>
      </c>
      <c r="D7836" s="19" t="n">
        <v>2026</v>
      </c>
      <c r="E7836" s="57" t="n">
        <v>8</v>
      </c>
      <c r="F7836" s="29">
        <f>ROUND(((SUMIFS(Calendar!$F$2:$F$9997,Calendar!$B$2:$B$9997,D7836,Calendar!$C$2:$C$9997,C7836)*INDEX(ForeCalc!$B$37:$Y$274,MATCH(_xlfn.CONCAT(H7836," ",I7836),ForeCalc!$A$37:$A$274,0),MATCH(_xlfn.CONCAT(B7836," ",E7836),ForeCalc!$B$36:$Y$36,0))))*VLOOKUP(A7836,Calendar!$A$2:$H$9997,8,FALSE),0)</f>
        <v/>
      </c>
      <c r="G7836" s="29">
        <f>VLOOKUP(A7836,Calendar!$A$1:$H$9997,6,FALSE)-F7836</f>
        <v/>
      </c>
      <c r="H7836" s="19" t="n">
        <v>1</v>
      </c>
      <c r="I7836" s="57" t="n">
        <v>6</v>
      </c>
    </row>
    <row r="7837">
      <c r="A7837" s="62" t="n">
        <v>46276</v>
      </c>
      <c r="B7837" s="3" t="inlineStr">
        <is>
          <t>Week</t>
        </is>
      </c>
      <c r="C7837" s="19" t="n">
        <v>9</v>
      </c>
      <c r="D7837" s="19" t="n">
        <v>2026</v>
      </c>
      <c r="E7837" s="57" t="n">
        <v>8</v>
      </c>
      <c r="F7837" s="29">
        <f>ROUND(((SUMIFS(Calendar!$F$2:$F$9997,Calendar!$B$2:$B$9997,D7837,Calendar!$C$2:$C$9997,C7837)*INDEX(ForeCalc!$B$37:$Y$274,MATCH(_xlfn.CONCAT(H7837," ",I7837),ForeCalc!$A$37:$A$274,0),MATCH(_xlfn.CONCAT(B7837," ",E7837),ForeCalc!$B$36:$Y$36,0))))*VLOOKUP(A7837,Calendar!$A$2:$H$9997,8,FALSE),0)</f>
        <v/>
      </c>
      <c r="G7837" s="29">
        <f>VLOOKUP(A7837,Calendar!$A$1:$H$9997,6,FALSE)-F7837</f>
        <v/>
      </c>
      <c r="H7837" s="19" t="n">
        <v>1</v>
      </c>
      <c r="I7837" s="57" t="n">
        <v>6</v>
      </c>
    </row>
    <row r="7838">
      <c r="A7838" s="62" t="n">
        <v>46277</v>
      </c>
      <c r="B7838" s="3" t="inlineStr">
        <is>
          <t>Sat</t>
        </is>
      </c>
      <c r="C7838" s="19" t="n">
        <v>9</v>
      </c>
      <c r="D7838" s="19" t="n">
        <v>2026</v>
      </c>
      <c r="E7838" s="57" t="n">
        <v>8</v>
      </c>
      <c r="F7838" s="29">
        <f>ROUND(((SUMIFS(Calendar!$F$2:$F$9997,Calendar!$B$2:$B$9997,D7838,Calendar!$C$2:$C$9997,C7838)*INDEX(ForeCalc!$B$37:$Y$274,MATCH(_xlfn.CONCAT(H7838," ",I7838),ForeCalc!$A$37:$A$274,0),MATCH(_xlfn.CONCAT(B7838," ",E7838),ForeCalc!$B$36:$Y$36,0))))*VLOOKUP(A7838,Calendar!$A$2:$H$9997,8,FALSE),0)</f>
        <v/>
      </c>
      <c r="G7838" s="29">
        <f>VLOOKUP(A7838,Calendar!$A$1:$H$9997,6,FALSE)-F7838</f>
        <v/>
      </c>
      <c r="H7838" s="19" t="n">
        <v>1</v>
      </c>
      <c r="I7838" s="57" t="n">
        <v>6</v>
      </c>
    </row>
    <row r="7839">
      <c r="A7839" s="62" t="n">
        <v>46278</v>
      </c>
      <c r="B7839" s="3" t="inlineStr">
        <is>
          <t>Sun</t>
        </is>
      </c>
      <c r="C7839" s="19" t="n">
        <v>9</v>
      </c>
      <c r="D7839" s="19" t="n">
        <v>2026</v>
      </c>
      <c r="E7839" s="57" t="n">
        <v>8</v>
      </c>
      <c r="F7839" s="29">
        <f>ROUND(((SUMIFS(Calendar!$F$2:$F$9997,Calendar!$B$2:$B$9997,D7839,Calendar!$C$2:$C$9997,C7839)*INDEX(ForeCalc!$B$37:$Y$274,MATCH(_xlfn.CONCAT(H7839," ",I7839),ForeCalc!$A$37:$A$274,0),MATCH(_xlfn.CONCAT(B7839," ",E7839),ForeCalc!$B$36:$Y$36,0))))*VLOOKUP(A7839,Calendar!$A$2:$H$9997,8,FALSE),0)</f>
        <v/>
      </c>
      <c r="G7839" s="29">
        <f>VLOOKUP(A7839,Calendar!$A$1:$H$9997,6,FALSE)-F7839</f>
        <v/>
      </c>
      <c r="H7839" s="19" t="n">
        <v>1</v>
      </c>
      <c r="I7839" s="57" t="n">
        <v>6</v>
      </c>
    </row>
    <row r="7840">
      <c r="A7840" s="62" t="n">
        <v>46279</v>
      </c>
      <c r="B7840" s="3" t="inlineStr">
        <is>
          <t>Week</t>
        </is>
      </c>
      <c r="C7840" s="19" t="n">
        <v>9</v>
      </c>
      <c r="D7840" s="19" t="n">
        <v>2026</v>
      </c>
      <c r="E7840" s="57" t="n">
        <v>8</v>
      </c>
      <c r="F7840" s="29">
        <f>ROUND(((SUMIFS(Calendar!$F$2:$F$9997,Calendar!$B$2:$B$9997,D7840,Calendar!$C$2:$C$9997,C7840)*INDEX(ForeCalc!$B$37:$Y$274,MATCH(_xlfn.CONCAT(H7840," ",I7840),ForeCalc!$A$37:$A$274,0),MATCH(_xlfn.CONCAT(B7840," ",E7840),ForeCalc!$B$36:$Y$36,0))))*VLOOKUP(A7840,Calendar!$A$2:$H$9997,8,FALSE),0)</f>
        <v/>
      </c>
      <c r="G7840" s="29">
        <f>VLOOKUP(A7840,Calendar!$A$1:$H$9997,6,FALSE)-F7840</f>
        <v/>
      </c>
      <c r="H7840" s="19" t="n">
        <v>1</v>
      </c>
      <c r="I7840" s="57" t="n">
        <v>6</v>
      </c>
    </row>
    <row r="7841">
      <c r="A7841" s="62" t="n">
        <v>46280</v>
      </c>
      <c r="B7841" s="3" t="inlineStr">
        <is>
          <t>Week</t>
        </is>
      </c>
      <c r="C7841" s="19" t="n">
        <v>9</v>
      </c>
      <c r="D7841" s="19" t="n">
        <v>2026</v>
      </c>
      <c r="E7841" s="57" t="n">
        <v>8</v>
      </c>
      <c r="F7841" s="29">
        <f>ROUND(((SUMIFS(Calendar!$F$2:$F$9997,Calendar!$B$2:$B$9997,D7841,Calendar!$C$2:$C$9997,C7841)*INDEX(ForeCalc!$B$37:$Y$274,MATCH(_xlfn.CONCAT(H7841," ",I7841),ForeCalc!$A$37:$A$274,0),MATCH(_xlfn.CONCAT(B7841," ",E7841),ForeCalc!$B$36:$Y$36,0))))*VLOOKUP(A7841,Calendar!$A$2:$H$9997,8,FALSE),0)</f>
        <v/>
      </c>
      <c r="G7841" s="29">
        <f>VLOOKUP(A7841,Calendar!$A$1:$H$9997,6,FALSE)-F7841</f>
        <v/>
      </c>
      <c r="H7841" s="19" t="n">
        <v>1</v>
      </c>
      <c r="I7841" s="57" t="n">
        <v>6</v>
      </c>
    </row>
    <row r="7842">
      <c r="A7842" s="62" t="n">
        <v>46281</v>
      </c>
      <c r="B7842" s="3" t="inlineStr">
        <is>
          <t>Week</t>
        </is>
      </c>
      <c r="C7842" s="19" t="n">
        <v>9</v>
      </c>
      <c r="D7842" s="19" t="n">
        <v>2026</v>
      </c>
      <c r="E7842" s="57" t="n">
        <v>8</v>
      </c>
      <c r="F7842" s="29">
        <f>ROUND(((SUMIFS(Calendar!$F$2:$F$9997,Calendar!$B$2:$B$9997,D7842,Calendar!$C$2:$C$9997,C7842)*INDEX(ForeCalc!$B$37:$Y$274,MATCH(_xlfn.CONCAT(H7842," ",I7842),ForeCalc!$A$37:$A$274,0),MATCH(_xlfn.CONCAT(B7842," ",E7842),ForeCalc!$B$36:$Y$36,0))))*VLOOKUP(A7842,Calendar!$A$2:$H$9997,8,FALSE),0)</f>
        <v/>
      </c>
      <c r="G7842" s="29">
        <f>VLOOKUP(A7842,Calendar!$A$1:$H$9997,6,FALSE)-F7842</f>
        <v/>
      </c>
      <c r="H7842" s="19" t="n">
        <v>1</v>
      </c>
      <c r="I7842" s="57" t="n">
        <v>6</v>
      </c>
    </row>
    <row r="7843">
      <c r="A7843" s="62" t="n">
        <v>46282</v>
      </c>
      <c r="B7843" s="3" t="inlineStr">
        <is>
          <t>Week</t>
        </is>
      </c>
      <c r="C7843" s="19" t="n">
        <v>9</v>
      </c>
      <c r="D7843" s="19" t="n">
        <v>2026</v>
      </c>
      <c r="E7843" s="57" t="n">
        <v>8</v>
      </c>
      <c r="F7843" s="29">
        <f>ROUND(((SUMIFS(Calendar!$F$2:$F$9997,Calendar!$B$2:$B$9997,D7843,Calendar!$C$2:$C$9997,C7843)*INDEX(ForeCalc!$B$37:$Y$274,MATCH(_xlfn.CONCAT(H7843," ",I7843),ForeCalc!$A$37:$A$274,0),MATCH(_xlfn.CONCAT(B7843," ",E7843),ForeCalc!$B$36:$Y$36,0))))*VLOOKUP(A7843,Calendar!$A$2:$H$9997,8,FALSE),0)</f>
        <v/>
      </c>
      <c r="G7843" s="29">
        <f>VLOOKUP(A7843,Calendar!$A$1:$H$9997,6,FALSE)-F7843</f>
        <v/>
      </c>
      <c r="H7843" s="19" t="n">
        <v>1</v>
      </c>
      <c r="I7843" s="57" t="n">
        <v>6</v>
      </c>
    </row>
    <row r="7844">
      <c r="A7844" s="62" t="n">
        <v>46283</v>
      </c>
      <c r="B7844" s="3" t="inlineStr">
        <is>
          <t>Week</t>
        </is>
      </c>
      <c r="C7844" s="19" t="n">
        <v>9</v>
      </c>
      <c r="D7844" s="19" t="n">
        <v>2026</v>
      </c>
      <c r="E7844" s="57" t="n">
        <v>8</v>
      </c>
      <c r="F7844" s="29">
        <f>ROUND(((SUMIFS(Calendar!$F$2:$F$9997,Calendar!$B$2:$B$9997,D7844,Calendar!$C$2:$C$9997,C7844)*INDEX(ForeCalc!$B$37:$Y$274,MATCH(_xlfn.CONCAT(H7844," ",I7844),ForeCalc!$A$37:$A$274,0),MATCH(_xlfn.CONCAT(B7844," ",E7844),ForeCalc!$B$36:$Y$36,0))))*VLOOKUP(A7844,Calendar!$A$2:$H$9997,8,FALSE),0)</f>
        <v/>
      </c>
      <c r="G7844" s="29">
        <f>VLOOKUP(A7844,Calendar!$A$1:$H$9997,6,FALSE)-F7844</f>
        <v/>
      </c>
      <c r="H7844" s="19" t="n">
        <v>1</v>
      </c>
      <c r="I7844" s="57" t="n">
        <v>6</v>
      </c>
    </row>
    <row r="7845">
      <c r="A7845" s="62" t="n">
        <v>46284</v>
      </c>
      <c r="B7845" s="3" t="inlineStr">
        <is>
          <t>Sat</t>
        </is>
      </c>
      <c r="C7845" s="19" t="n">
        <v>9</v>
      </c>
      <c r="D7845" s="19" t="n">
        <v>2026</v>
      </c>
      <c r="E7845" s="57" t="n">
        <v>8</v>
      </c>
      <c r="F7845" s="29">
        <f>ROUND(((SUMIFS(Calendar!$F$2:$F$9997,Calendar!$B$2:$B$9997,D7845,Calendar!$C$2:$C$9997,C7845)*INDEX(ForeCalc!$B$37:$Y$274,MATCH(_xlfn.CONCAT(H7845," ",I7845),ForeCalc!$A$37:$A$274,0),MATCH(_xlfn.CONCAT(B7845," ",E7845),ForeCalc!$B$36:$Y$36,0))))*VLOOKUP(A7845,Calendar!$A$2:$H$9997,8,FALSE),0)</f>
        <v/>
      </c>
      <c r="G7845" s="29">
        <f>VLOOKUP(A7845,Calendar!$A$1:$H$9997,6,FALSE)-F7845</f>
        <v/>
      </c>
      <c r="H7845" s="19" t="n">
        <v>1</v>
      </c>
      <c r="I7845" s="57" t="n">
        <v>6</v>
      </c>
    </row>
    <row r="7846">
      <c r="A7846" s="62" t="n">
        <v>46285</v>
      </c>
      <c r="B7846" s="3" t="inlineStr">
        <is>
          <t>Sun</t>
        </is>
      </c>
      <c r="C7846" s="19" t="n">
        <v>9</v>
      </c>
      <c r="D7846" s="19" t="n">
        <v>2026</v>
      </c>
      <c r="E7846" s="57" t="n">
        <v>8</v>
      </c>
      <c r="F7846" s="29">
        <f>ROUND(((SUMIFS(Calendar!$F$2:$F$9997,Calendar!$B$2:$B$9997,D7846,Calendar!$C$2:$C$9997,C7846)*INDEX(ForeCalc!$B$37:$Y$274,MATCH(_xlfn.CONCAT(H7846," ",I7846),ForeCalc!$A$37:$A$274,0),MATCH(_xlfn.CONCAT(B7846," ",E7846),ForeCalc!$B$36:$Y$36,0))))*VLOOKUP(A7846,Calendar!$A$2:$H$9997,8,FALSE),0)</f>
        <v/>
      </c>
      <c r="G7846" s="29">
        <f>VLOOKUP(A7846,Calendar!$A$1:$H$9997,6,FALSE)-F7846</f>
        <v/>
      </c>
      <c r="H7846" s="19" t="n">
        <v>1</v>
      </c>
      <c r="I7846" s="57" t="n">
        <v>6</v>
      </c>
    </row>
    <row r="7847">
      <c r="A7847" s="62" t="n">
        <v>46286</v>
      </c>
      <c r="B7847" s="3" t="inlineStr">
        <is>
          <t>Week</t>
        </is>
      </c>
      <c r="C7847" s="19" t="n">
        <v>9</v>
      </c>
      <c r="D7847" s="19" t="n">
        <v>2026</v>
      </c>
      <c r="E7847" s="57" t="n">
        <v>8</v>
      </c>
      <c r="F7847" s="29">
        <f>ROUND(((SUMIFS(Calendar!$F$2:$F$9997,Calendar!$B$2:$B$9997,D7847,Calendar!$C$2:$C$9997,C7847)*INDEX(ForeCalc!$B$37:$Y$274,MATCH(_xlfn.CONCAT(H7847," ",I7847),ForeCalc!$A$37:$A$274,0),MATCH(_xlfn.CONCAT(B7847," ",E7847),ForeCalc!$B$36:$Y$36,0))))*VLOOKUP(A7847,Calendar!$A$2:$H$9997,8,FALSE),0)</f>
        <v/>
      </c>
      <c r="G7847" s="29">
        <f>VLOOKUP(A7847,Calendar!$A$1:$H$9997,6,FALSE)-F7847</f>
        <v/>
      </c>
      <c r="H7847" s="19" t="n">
        <v>1</v>
      </c>
      <c r="I7847" s="57" t="n">
        <v>6</v>
      </c>
    </row>
    <row r="7848">
      <c r="A7848" s="62" t="n">
        <v>46287</v>
      </c>
      <c r="B7848" s="3" t="inlineStr">
        <is>
          <t>Week</t>
        </is>
      </c>
      <c r="C7848" s="19" t="n">
        <v>9</v>
      </c>
      <c r="D7848" s="19" t="n">
        <v>2026</v>
      </c>
      <c r="E7848" s="57" t="n">
        <v>8</v>
      </c>
      <c r="F7848" s="29">
        <f>ROUND(((SUMIFS(Calendar!$F$2:$F$9997,Calendar!$B$2:$B$9997,D7848,Calendar!$C$2:$C$9997,C7848)*INDEX(ForeCalc!$B$37:$Y$274,MATCH(_xlfn.CONCAT(H7848," ",I7848),ForeCalc!$A$37:$A$274,0),MATCH(_xlfn.CONCAT(B7848," ",E7848),ForeCalc!$B$36:$Y$36,0))))*VLOOKUP(A7848,Calendar!$A$2:$H$9997,8,FALSE),0)</f>
        <v/>
      </c>
      <c r="G7848" s="29">
        <f>VLOOKUP(A7848,Calendar!$A$1:$H$9997,6,FALSE)-F7848</f>
        <v/>
      </c>
      <c r="H7848" s="19" t="n">
        <v>1</v>
      </c>
      <c r="I7848" s="57" t="n">
        <v>6</v>
      </c>
    </row>
    <row r="7849">
      <c r="A7849" s="62" t="n">
        <v>46288</v>
      </c>
      <c r="B7849" s="3" t="inlineStr">
        <is>
          <t>Week</t>
        </is>
      </c>
      <c r="C7849" s="19" t="n">
        <v>9</v>
      </c>
      <c r="D7849" s="19" t="n">
        <v>2026</v>
      </c>
      <c r="E7849" s="57" t="n">
        <v>8</v>
      </c>
      <c r="F7849" s="29">
        <f>ROUND(((SUMIFS(Calendar!$F$2:$F$9997,Calendar!$B$2:$B$9997,D7849,Calendar!$C$2:$C$9997,C7849)*INDEX(ForeCalc!$B$37:$Y$274,MATCH(_xlfn.CONCAT(H7849," ",I7849),ForeCalc!$A$37:$A$274,0),MATCH(_xlfn.CONCAT(B7849," ",E7849),ForeCalc!$B$36:$Y$36,0))))*VLOOKUP(A7849,Calendar!$A$2:$H$9997,8,FALSE),0)</f>
        <v/>
      </c>
      <c r="G7849" s="29">
        <f>VLOOKUP(A7849,Calendar!$A$1:$H$9997,6,FALSE)-F7849</f>
        <v/>
      </c>
      <c r="H7849" s="19" t="n">
        <v>1</v>
      </c>
      <c r="I7849" s="57" t="n">
        <v>6</v>
      </c>
    </row>
    <row r="7850">
      <c r="A7850" s="62" t="n">
        <v>46289</v>
      </c>
      <c r="B7850" s="3" t="inlineStr">
        <is>
          <t>Week</t>
        </is>
      </c>
      <c r="C7850" s="19" t="n">
        <v>9</v>
      </c>
      <c r="D7850" s="19" t="n">
        <v>2026</v>
      </c>
      <c r="E7850" s="57" t="n">
        <v>8</v>
      </c>
      <c r="F7850" s="29">
        <f>ROUND(((SUMIFS(Calendar!$F$2:$F$9997,Calendar!$B$2:$B$9997,D7850,Calendar!$C$2:$C$9997,C7850)*INDEX(ForeCalc!$B$37:$Y$274,MATCH(_xlfn.CONCAT(H7850," ",I7850),ForeCalc!$A$37:$A$274,0),MATCH(_xlfn.CONCAT(B7850," ",E7850),ForeCalc!$B$36:$Y$36,0))))*VLOOKUP(A7850,Calendar!$A$2:$H$9997,8,FALSE),0)</f>
        <v/>
      </c>
      <c r="G7850" s="29">
        <f>VLOOKUP(A7850,Calendar!$A$1:$H$9997,6,FALSE)-F7850</f>
        <v/>
      </c>
      <c r="H7850" s="19" t="n">
        <v>1</v>
      </c>
      <c r="I7850" s="57" t="n">
        <v>6</v>
      </c>
    </row>
    <row r="7851">
      <c r="A7851" s="62" t="n">
        <v>46290</v>
      </c>
      <c r="B7851" s="3" t="inlineStr">
        <is>
          <t>Week</t>
        </is>
      </c>
      <c r="C7851" s="19" t="n">
        <v>9</v>
      </c>
      <c r="D7851" s="19" t="n">
        <v>2026</v>
      </c>
      <c r="E7851" s="57" t="n">
        <v>8</v>
      </c>
      <c r="F7851" s="29">
        <f>ROUND(((SUMIFS(Calendar!$F$2:$F$9997,Calendar!$B$2:$B$9997,D7851,Calendar!$C$2:$C$9997,C7851)*INDEX(ForeCalc!$B$37:$Y$274,MATCH(_xlfn.CONCAT(H7851," ",I7851),ForeCalc!$A$37:$A$274,0),MATCH(_xlfn.CONCAT(B7851," ",E7851),ForeCalc!$B$36:$Y$36,0))))*VLOOKUP(A7851,Calendar!$A$2:$H$9997,8,FALSE),0)</f>
        <v/>
      </c>
      <c r="G7851" s="29">
        <f>VLOOKUP(A7851,Calendar!$A$1:$H$9997,6,FALSE)-F7851</f>
        <v/>
      </c>
      <c r="H7851" s="19" t="n">
        <v>1</v>
      </c>
      <c r="I7851" s="57" t="n">
        <v>6</v>
      </c>
    </row>
    <row r="7852">
      <c r="A7852" s="62" t="n">
        <v>46291</v>
      </c>
      <c r="B7852" s="3" t="inlineStr">
        <is>
          <t>Sat</t>
        </is>
      </c>
      <c r="C7852" s="19" t="n">
        <v>9</v>
      </c>
      <c r="D7852" s="19" t="n">
        <v>2026</v>
      </c>
      <c r="E7852" s="57" t="n">
        <v>8</v>
      </c>
      <c r="F7852" s="29">
        <f>ROUND(((SUMIFS(Calendar!$F$2:$F$9997,Calendar!$B$2:$B$9997,D7852,Calendar!$C$2:$C$9997,C7852)*INDEX(ForeCalc!$B$37:$Y$274,MATCH(_xlfn.CONCAT(H7852," ",I7852),ForeCalc!$A$37:$A$274,0),MATCH(_xlfn.CONCAT(B7852," ",E7852),ForeCalc!$B$36:$Y$36,0))))*VLOOKUP(A7852,Calendar!$A$2:$H$9997,8,FALSE),0)</f>
        <v/>
      </c>
      <c r="G7852" s="29">
        <f>VLOOKUP(A7852,Calendar!$A$1:$H$9997,6,FALSE)-F7852</f>
        <v/>
      </c>
      <c r="H7852" s="19" t="n">
        <v>1</v>
      </c>
      <c r="I7852" s="57" t="n">
        <v>6</v>
      </c>
    </row>
    <row r="7853">
      <c r="A7853" s="62" t="n">
        <v>46292</v>
      </c>
      <c r="B7853" s="3" t="inlineStr">
        <is>
          <t>Sun</t>
        </is>
      </c>
      <c r="C7853" s="19" t="n">
        <v>9</v>
      </c>
      <c r="D7853" s="19" t="n">
        <v>2026</v>
      </c>
      <c r="E7853" s="57" t="n">
        <v>8</v>
      </c>
      <c r="F7853" s="29">
        <f>ROUND(((SUMIFS(Calendar!$F$2:$F$9997,Calendar!$B$2:$B$9997,D7853,Calendar!$C$2:$C$9997,C7853)*INDEX(ForeCalc!$B$37:$Y$274,MATCH(_xlfn.CONCAT(H7853," ",I7853),ForeCalc!$A$37:$A$274,0),MATCH(_xlfn.CONCAT(B7853," ",E7853),ForeCalc!$B$36:$Y$36,0))))*VLOOKUP(A7853,Calendar!$A$2:$H$9997,8,FALSE),0)</f>
        <v/>
      </c>
      <c r="G7853" s="29">
        <f>VLOOKUP(A7853,Calendar!$A$1:$H$9997,6,FALSE)-F7853</f>
        <v/>
      </c>
      <c r="H7853" s="19" t="n">
        <v>1</v>
      </c>
      <c r="I7853" s="57" t="n">
        <v>6</v>
      </c>
    </row>
    <row r="7854">
      <c r="A7854" s="62" t="n">
        <v>46293</v>
      </c>
      <c r="B7854" s="3" t="inlineStr">
        <is>
          <t>Week</t>
        </is>
      </c>
      <c r="C7854" s="19" t="n">
        <v>9</v>
      </c>
      <c r="D7854" s="19" t="n">
        <v>2026</v>
      </c>
      <c r="E7854" s="57" t="n">
        <v>8</v>
      </c>
      <c r="F7854" s="29">
        <f>ROUND(((SUMIFS(Calendar!$F$2:$F$9997,Calendar!$B$2:$B$9997,D7854,Calendar!$C$2:$C$9997,C7854)*INDEX(ForeCalc!$B$37:$Y$274,MATCH(_xlfn.CONCAT(H7854," ",I7854),ForeCalc!$A$37:$A$274,0),MATCH(_xlfn.CONCAT(B7854," ",E7854),ForeCalc!$B$36:$Y$36,0))))*VLOOKUP(A7854,Calendar!$A$2:$H$9997,8,FALSE),0)</f>
        <v/>
      </c>
      <c r="G7854" s="29">
        <f>VLOOKUP(A7854,Calendar!$A$1:$H$9997,6,FALSE)-F7854</f>
        <v/>
      </c>
      <c r="H7854" s="19" t="n">
        <v>1</v>
      </c>
      <c r="I7854" s="57" t="n">
        <v>6</v>
      </c>
    </row>
    <row r="7855">
      <c r="A7855" s="62" t="n">
        <v>46294</v>
      </c>
      <c r="B7855" s="3" t="inlineStr">
        <is>
          <t>Week</t>
        </is>
      </c>
      <c r="C7855" s="19" t="n">
        <v>9</v>
      </c>
      <c r="D7855" s="19" t="n">
        <v>2026</v>
      </c>
      <c r="E7855" s="57" t="n">
        <v>8</v>
      </c>
      <c r="F7855" s="29">
        <f>ROUND(((SUMIFS(Calendar!$F$2:$F$9997,Calendar!$B$2:$B$9997,D7855,Calendar!$C$2:$C$9997,C7855)*INDEX(ForeCalc!$B$37:$Y$274,MATCH(_xlfn.CONCAT(H7855," ",I7855),ForeCalc!$A$37:$A$274,0),MATCH(_xlfn.CONCAT(B7855," ",E7855),ForeCalc!$B$36:$Y$36,0))))*VLOOKUP(A7855,Calendar!$A$2:$H$9997,8,FALSE),0)</f>
        <v/>
      </c>
      <c r="G7855" s="29">
        <f>VLOOKUP(A7855,Calendar!$A$1:$H$9997,6,FALSE)-F7855</f>
        <v/>
      </c>
      <c r="H7855" s="19" t="n">
        <v>1</v>
      </c>
      <c r="I7855" s="57" t="n">
        <v>6</v>
      </c>
    </row>
    <row r="7856">
      <c r="A7856" s="62" t="n">
        <v>46295</v>
      </c>
      <c r="B7856" s="3" t="inlineStr">
        <is>
          <t>Week</t>
        </is>
      </c>
      <c r="C7856" s="19" t="n">
        <v>9</v>
      </c>
      <c r="D7856" s="19" t="n">
        <v>2026</v>
      </c>
      <c r="E7856" s="57" t="n">
        <v>8</v>
      </c>
      <c r="F7856" s="29">
        <f>ROUND(((SUMIFS(Calendar!$F$2:$F$9997,Calendar!$B$2:$B$9997,D7856,Calendar!$C$2:$C$9997,C7856)*INDEX(ForeCalc!$B$37:$Y$274,MATCH(_xlfn.CONCAT(H7856," ",I7856),ForeCalc!$A$37:$A$274,0),MATCH(_xlfn.CONCAT(B7856," ",E7856),ForeCalc!$B$36:$Y$36,0))))*VLOOKUP(A7856,Calendar!$A$2:$H$9997,8,FALSE),0)</f>
        <v/>
      </c>
      <c r="G7856" s="29">
        <f>VLOOKUP(A7856,Calendar!$A$1:$H$9997,6,FALSE)-F7856</f>
        <v/>
      </c>
      <c r="H7856" s="19" t="n">
        <v>1</v>
      </c>
      <c r="I7856" s="57" t="n">
        <v>6</v>
      </c>
    </row>
    <row r="7857">
      <c r="A7857" s="62" t="n">
        <v>46296</v>
      </c>
      <c r="B7857" s="3" t="inlineStr">
        <is>
          <t>Week</t>
        </is>
      </c>
      <c r="C7857" s="19" t="n">
        <v>10</v>
      </c>
      <c r="D7857" s="19" t="n">
        <v>2026</v>
      </c>
      <c r="E7857" s="57" t="n">
        <v>8</v>
      </c>
      <c r="F7857" s="29">
        <f>ROUND(((SUMIFS(Calendar!$F$2:$F$9997,Calendar!$B$2:$B$9997,D7857,Calendar!$C$2:$C$9997,C7857)*INDEX(ForeCalc!$B$37:$Y$274,MATCH(_xlfn.CONCAT(H7857," ",I7857),ForeCalc!$A$37:$A$274,0),MATCH(_xlfn.CONCAT(B7857," ",E7857),ForeCalc!$B$36:$Y$36,0))))*VLOOKUP(A7857,Calendar!$A$2:$H$9997,8,FALSE),0)</f>
        <v/>
      </c>
      <c r="G7857" s="29">
        <f>VLOOKUP(A7857,Calendar!$A$1:$H$9997,6,FALSE)-F7857</f>
        <v/>
      </c>
      <c r="H7857" s="19" t="n">
        <v>1</v>
      </c>
      <c r="I7857" s="57" t="n">
        <v>7</v>
      </c>
    </row>
    <row r="7858">
      <c r="A7858" s="62" t="n">
        <v>46297</v>
      </c>
      <c r="B7858" s="3" t="inlineStr">
        <is>
          <t>Week</t>
        </is>
      </c>
      <c r="C7858" s="19" t="n">
        <v>10</v>
      </c>
      <c r="D7858" s="19" t="n">
        <v>2026</v>
      </c>
      <c r="E7858" s="57" t="n">
        <v>8</v>
      </c>
      <c r="F7858" s="29">
        <f>ROUND(((SUMIFS(Calendar!$F$2:$F$9997,Calendar!$B$2:$B$9997,D7858,Calendar!$C$2:$C$9997,C7858)*INDEX(ForeCalc!$B$37:$Y$274,MATCH(_xlfn.CONCAT(H7858," ",I7858),ForeCalc!$A$37:$A$274,0),MATCH(_xlfn.CONCAT(B7858," ",E7858),ForeCalc!$B$36:$Y$36,0))))*VLOOKUP(A7858,Calendar!$A$2:$H$9997,8,FALSE),0)</f>
        <v/>
      </c>
      <c r="G7858" s="29">
        <f>VLOOKUP(A7858,Calendar!$A$1:$H$9997,6,FALSE)-F7858</f>
        <v/>
      </c>
      <c r="H7858" s="19" t="n">
        <v>1</v>
      </c>
      <c r="I7858" s="57" t="n">
        <v>7</v>
      </c>
    </row>
    <row r="7859">
      <c r="A7859" s="62" t="n">
        <v>46298</v>
      </c>
      <c r="B7859" s="3" t="inlineStr">
        <is>
          <t>Sat</t>
        </is>
      </c>
      <c r="C7859" s="19" t="n">
        <v>10</v>
      </c>
      <c r="D7859" s="19" t="n">
        <v>2026</v>
      </c>
      <c r="E7859" s="57" t="n">
        <v>8</v>
      </c>
      <c r="F7859" s="29">
        <f>ROUND(((SUMIFS(Calendar!$F$2:$F$9997,Calendar!$B$2:$B$9997,D7859,Calendar!$C$2:$C$9997,C7859)*INDEX(ForeCalc!$B$37:$Y$274,MATCH(_xlfn.CONCAT(H7859," ",I7859),ForeCalc!$A$37:$A$274,0),MATCH(_xlfn.CONCAT(B7859," ",E7859),ForeCalc!$B$36:$Y$36,0))))*VLOOKUP(A7859,Calendar!$A$2:$H$9997,8,FALSE),0)</f>
        <v/>
      </c>
      <c r="G7859" s="29">
        <f>VLOOKUP(A7859,Calendar!$A$1:$H$9997,6,FALSE)-F7859</f>
        <v/>
      </c>
      <c r="H7859" s="19" t="n">
        <v>1</v>
      </c>
      <c r="I7859" s="57" t="n">
        <v>7</v>
      </c>
    </row>
    <row r="7860">
      <c r="A7860" s="62" t="n">
        <v>46299</v>
      </c>
      <c r="B7860" s="3" t="inlineStr">
        <is>
          <t>Sun</t>
        </is>
      </c>
      <c r="C7860" s="19" t="n">
        <v>10</v>
      </c>
      <c r="D7860" s="19" t="n">
        <v>2026</v>
      </c>
      <c r="E7860" s="57" t="n">
        <v>8</v>
      </c>
      <c r="F7860" s="29">
        <f>ROUND(((SUMIFS(Calendar!$F$2:$F$9997,Calendar!$B$2:$B$9997,D7860,Calendar!$C$2:$C$9997,C7860)*INDEX(ForeCalc!$B$37:$Y$274,MATCH(_xlfn.CONCAT(H7860," ",I7860),ForeCalc!$A$37:$A$274,0),MATCH(_xlfn.CONCAT(B7860," ",E7860),ForeCalc!$B$36:$Y$36,0))))*VLOOKUP(A7860,Calendar!$A$2:$H$9997,8,FALSE),0)</f>
        <v/>
      </c>
      <c r="G7860" s="29">
        <f>VLOOKUP(A7860,Calendar!$A$1:$H$9997,6,FALSE)-F7860</f>
        <v/>
      </c>
      <c r="H7860" s="19" t="n">
        <v>1</v>
      </c>
      <c r="I7860" s="57" t="n">
        <v>7</v>
      </c>
    </row>
    <row r="7861">
      <c r="A7861" s="62" t="n">
        <v>46300</v>
      </c>
      <c r="B7861" s="3" t="inlineStr">
        <is>
          <t>Week</t>
        </is>
      </c>
      <c r="C7861" s="19" t="n">
        <v>10</v>
      </c>
      <c r="D7861" s="19" t="n">
        <v>2026</v>
      </c>
      <c r="E7861" s="57" t="n">
        <v>8</v>
      </c>
      <c r="F7861" s="29">
        <f>ROUND(((SUMIFS(Calendar!$F$2:$F$9997,Calendar!$B$2:$B$9997,D7861,Calendar!$C$2:$C$9997,C7861)*INDEX(ForeCalc!$B$37:$Y$274,MATCH(_xlfn.CONCAT(H7861," ",I7861),ForeCalc!$A$37:$A$274,0),MATCH(_xlfn.CONCAT(B7861," ",E7861),ForeCalc!$B$36:$Y$36,0))))*VLOOKUP(A7861,Calendar!$A$2:$H$9997,8,FALSE),0)</f>
        <v/>
      </c>
      <c r="G7861" s="29">
        <f>VLOOKUP(A7861,Calendar!$A$1:$H$9997,6,FALSE)-F7861</f>
        <v/>
      </c>
      <c r="H7861" s="19" t="n">
        <v>1</v>
      </c>
      <c r="I7861" s="57" t="n">
        <v>7</v>
      </c>
    </row>
    <row r="7862">
      <c r="A7862" s="62" t="n">
        <v>46301</v>
      </c>
      <c r="B7862" s="3" t="inlineStr">
        <is>
          <t>Week</t>
        </is>
      </c>
      <c r="C7862" s="19" t="n">
        <v>10</v>
      </c>
      <c r="D7862" s="19" t="n">
        <v>2026</v>
      </c>
      <c r="E7862" s="57" t="n">
        <v>8</v>
      </c>
      <c r="F7862" s="29">
        <f>ROUND(((SUMIFS(Calendar!$F$2:$F$9997,Calendar!$B$2:$B$9997,D7862,Calendar!$C$2:$C$9997,C7862)*INDEX(ForeCalc!$B$37:$Y$274,MATCH(_xlfn.CONCAT(H7862," ",I7862),ForeCalc!$A$37:$A$274,0),MATCH(_xlfn.CONCAT(B7862," ",E7862),ForeCalc!$B$36:$Y$36,0))))*VLOOKUP(A7862,Calendar!$A$2:$H$9997,8,FALSE),0)</f>
        <v/>
      </c>
      <c r="G7862" s="29">
        <f>VLOOKUP(A7862,Calendar!$A$1:$H$9997,6,FALSE)-F7862</f>
        <v/>
      </c>
      <c r="H7862" s="19" t="n">
        <v>1</v>
      </c>
      <c r="I7862" s="57" t="n">
        <v>7</v>
      </c>
    </row>
    <row r="7863">
      <c r="A7863" s="62" t="n">
        <v>46302</v>
      </c>
      <c r="B7863" s="3" t="inlineStr">
        <is>
          <t>Week</t>
        </is>
      </c>
      <c r="C7863" s="19" t="n">
        <v>10</v>
      </c>
      <c r="D7863" s="19" t="n">
        <v>2026</v>
      </c>
      <c r="E7863" s="57" t="n">
        <v>8</v>
      </c>
      <c r="F7863" s="29">
        <f>ROUND(((SUMIFS(Calendar!$F$2:$F$9997,Calendar!$B$2:$B$9997,D7863,Calendar!$C$2:$C$9997,C7863)*INDEX(ForeCalc!$B$37:$Y$274,MATCH(_xlfn.CONCAT(H7863," ",I7863),ForeCalc!$A$37:$A$274,0),MATCH(_xlfn.CONCAT(B7863," ",E7863),ForeCalc!$B$36:$Y$36,0))))*VLOOKUP(A7863,Calendar!$A$2:$H$9997,8,FALSE),0)</f>
        <v/>
      </c>
      <c r="G7863" s="29">
        <f>VLOOKUP(A7863,Calendar!$A$1:$H$9997,6,FALSE)-F7863</f>
        <v/>
      </c>
      <c r="H7863" s="19" t="n">
        <v>1</v>
      </c>
      <c r="I7863" s="57" t="n">
        <v>7</v>
      </c>
    </row>
    <row r="7864">
      <c r="A7864" s="62" t="n">
        <v>46303</v>
      </c>
      <c r="B7864" s="3" t="inlineStr">
        <is>
          <t>Week</t>
        </is>
      </c>
      <c r="C7864" s="19" t="n">
        <v>10</v>
      </c>
      <c r="D7864" s="19" t="n">
        <v>2026</v>
      </c>
      <c r="E7864" s="57" t="n">
        <v>8</v>
      </c>
      <c r="F7864" s="29">
        <f>ROUND(((SUMIFS(Calendar!$F$2:$F$9997,Calendar!$B$2:$B$9997,D7864,Calendar!$C$2:$C$9997,C7864)*INDEX(ForeCalc!$B$37:$Y$274,MATCH(_xlfn.CONCAT(H7864," ",I7864),ForeCalc!$A$37:$A$274,0),MATCH(_xlfn.CONCAT(B7864," ",E7864),ForeCalc!$B$36:$Y$36,0))))*VLOOKUP(A7864,Calendar!$A$2:$H$9997,8,FALSE),0)</f>
        <v/>
      </c>
      <c r="G7864" s="29">
        <f>VLOOKUP(A7864,Calendar!$A$1:$H$9997,6,FALSE)-F7864</f>
        <v/>
      </c>
      <c r="H7864" s="19" t="n">
        <v>1</v>
      </c>
      <c r="I7864" s="57" t="n">
        <v>7</v>
      </c>
    </row>
    <row r="7865">
      <c r="A7865" s="62" t="n">
        <v>46304</v>
      </c>
      <c r="B7865" s="3" t="inlineStr">
        <is>
          <t>Week</t>
        </is>
      </c>
      <c r="C7865" s="19" t="n">
        <v>10</v>
      </c>
      <c r="D7865" s="19" t="n">
        <v>2026</v>
      </c>
      <c r="E7865" s="57" t="n">
        <v>8</v>
      </c>
      <c r="F7865" s="29">
        <f>ROUND(((SUMIFS(Calendar!$F$2:$F$9997,Calendar!$B$2:$B$9997,D7865,Calendar!$C$2:$C$9997,C7865)*INDEX(ForeCalc!$B$37:$Y$274,MATCH(_xlfn.CONCAT(H7865," ",I7865),ForeCalc!$A$37:$A$274,0),MATCH(_xlfn.CONCAT(B7865," ",E7865),ForeCalc!$B$36:$Y$36,0))))*VLOOKUP(A7865,Calendar!$A$2:$H$9997,8,FALSE),0)</f>
        <v/>
      </c>
      <c r="G7865" s="29">
        <f>VLOOKUP(A7865,Calendar!$A$1:$H$9997,6,FALSE)-F7865</f>
        <v/>
      </c>
      <c r="H7865" s="19" t="n">
        <v>1</v>
      </c>
      <c r="I7865" s="57" t="n">
        <v>7</v>
      </c>
    </row>
    <row r="7866">
      <c r="A7866" s="62" t="n">
        <v>46305</v>
      </c>
      <c r="B7866" s="3" t="inlineStr">
        <is>
          <t>Sat</t>
        </is>
      </c>
      <c r="C7866" s="19" t="n">
        <v>10</v>
      </c>
      <c r="D7866" s="19" t="n">
        <v>2026</v>
      </c>
      <c r="E7866" s="57" t="n">
        <v>8</v>
      </c>
      <c r="F7866" s="29">
        <f>ROUND(((SUMIFS(Calendar!$F$2:$F$9997,Calendar!$B$2:$B$9997,D7866,Calendar!$C$2:$C$9997,C7866)*INDEX(ForeCalc!$B$37:$Y$274,MATCH(_xlfn.CONCAT(H7866," ",I7866),ForeCalc!$A$37:$A$274,0),MATCH(_xlfn.CONCAT(B7866," ",E7866),ForeCalc!$B$36:$Y$36,0))))*VLOOKUP(A7866,Calendar!$A$2:$H$9997,8,FALSE),0)</f>
        <v/>
      </c>
      <c r="G7866" s="29">
        <f>VLOOKUP(A7866,Calendar!$A$1:$H$9997,6,FALSE)-F7866</f>
        <v/>
      </c>
      <c r="H7866" s="19" t="n">
        <v>1</v>
      </c>
      <c r="I7866" s="57" t="n">
        <v>7</v>
      </c>
    </row>
    <row r="7867">
      <c r="A7867" s="62" t="n">
        <v>46306</v>
      </c>
      <c r="B7867" s="3" t="inlineStr">
        <is>
          <t>Sun</t>
        </is>
      </c>
      <c r="C7867" s="19" t="n">
        <v>10</v>
      </c>
      <c r="D7867" s="19" t="n">
        <v>2026</v>
      </c>
      <c r="E7867" s="57" t="n">
        <v>8</v>
      </c>
      <c r="F7867" s="29">
        <f>ROUND(((SUMIFS(Calendar!$F$2:$F$9997,Calendar!$B$2:$B$9997,D7867,Calendar!$C$2:$C$9997,C7867)*INDEX(ForeCalc!$B$37:$Y$274,MATCH(_xlfn.CONCAT(H7867," ",I7867),ForeCalc!$A$37:$A$274,0),MATCH(_xlfn.CONCAT(B7867," ",E7867),ForeCalc!$B$36:$Y$36,0))))*VLOOKUP(A7867,Calendar!$A$2:$H$9997,8,FALSE),0)</f>
        <v/>
      </c>
      <c r="G7867" s="29">
        <f>VLOOKUP(A7867,Calendar!$A$1:$H$9997,6,FALSE)-F7867</f>
        <v/>
      </c>
      <c r="H7867" s="19" t="n">
        <v>1</v>
      </c>
      <c r="I7867" s="57" t="n">
        <v>7</v>
      </c>
    </row>
    <row r="7868">
      <c r="A7868" s="62" t="n">
        <v>46307</v>
      </c>
      <c r="B7868" s="3" t="inlineStr">
        <is>
          <t>Week</t>
        </is>
      </c>
      <c r="C7868" s="19" t="n">
        <v>10</v>
      </c>
      <c r="D7868" s="19" t="n">
        <v>2026</v>
      </c>
      <c r="E7868" s="57" t="n">
        <v>8</v>
      </c>
      <c r="F7868" s="29">
        <f>ROUND(((SUMIFS(Calendar!$F$2:$F$9997,Calendar!$B$2:$B$9997,D7868,Calendar!$C$2:$C$9997,C7868)*INDEX(ForeCalc!$B$37:$Y$274,MATCH(_xlfn.CONCAT(H7868," ",I7868),ForeCalc!$A$37:$A$274,0),MATCH(_xlfn.CONCAT(B7868," ",E7868),ForeCalc!$B$36:$Y$36,0))))*VLOOKUP(A7868,Calendar!$A$2:$H$9997,8,FALSE),0)</f>
        <v/>
      </c>
      <c r="G7868" s="29">
        <f>VLOOKUP(A7868,Calendar!$A$1:$H$9997,6,FALSE)-F7868</f>
        <v/>
      </c>
      <c r="H7868" s="19" t="n">
        <v>1</v>
      </c>
      <c r="I7868" s="57" t="n">
        <v>7</v>
      </c>
    </row>
    <row r="7869">
      <c r="A7869" s="62" t="n">
        <v>46308</v>
      </c>
      <c r="B7869" s="3" t="inlineStr">
        <is>
          <t>Week</t>
        </is>
      </c>
      <c r="C7869" s="19" t="n">
        <v>10</v>
      </c>
      <c r="D7869" s="19" t="n">
        <v>2026</v>
      </c>
      <c r="E7869" s="57" t="n">
        <v>8</v>
      </c>
      <c r="F7869" s="29">
        <f>ROUND(((SUMIFS(Calendar!$F$2:$F$9997,Calendar!$B$2:$B$9997,D7869,Calendar!$C$2:$C$9997,C7869)*INDEX(ForeCalc!$B$37:$Y$274,MATCH(_xlfn.CONCAT(H7869," ",I7869),ForeCalc!$A$37:$A$274,0),MATCH(_xlfn.CONCAT(B7869," ",E7869),ForeCalc!$B$36:$Y$36,0))))*VLOOKUP(A7869,Calendar!$A$2:$H$9997,8,FALSE),0)</f>
        <v/>
      </c>
      <c r="G7869" s="29">
        <f>VLOOKUP(A7869,Calendar!$A$1:$H$9997,6,FALSE)-F7869</f>
        <v/>
      </c>
      <c r="H7869" s="19" t="n">
        <v>1</v>
      </c>
      <c r="I7869" s="57" t="n">
        <v>7</v>
      </c>
    </row>
    <row r="7870">
      <c r="A7870" s="62" t="n">
        <v>46309</v>
      </c>
      <c r="B7870" s="3" t="inlineStr">
        <is>
          <t>Week</t>
        </is>
      </c>
      <c r="C7870" s="19" t="n">
        <v>10</v>
      </c>
      <c r="D7870" s="19" t="n">
        <v>2026</v>
      </c>
      <c r="E7870" s="57" t="n">
        <v>8</v>
      </c>
      <c r="F7870" s="29">
        <f>ROUND(((SUMIFS(Calendar!$F$2:$F$9997,Calendar!$B$2:$B$9997,D7870,Calendar!$C$2:$C$9997,C7870)*INDEX(ForeCalc!$B$37:$Y$274,MATCH(_xlfn.CONCAT(H7870," ",I7870),ForeCalc!$A$37:$A$274,0),MATCH(_xlfn.CONCAT(B7870," ",E7870),ForeCalc!$B$36:$Y$36,0))))*VLOOKUP(A7870,Calendar!$A$2:$H$9997,8,FALSE),0)</f>
        <v/>
      </c>
      <c r="G7870" s="29">
        <f>VLOOKUP(A7870,Calendar!$A$1:$H$9997,6,FALSE)-F7870</f>
        <v/>
      </c>
      <c r="H7870" s="19" t="n">
        <v>1</v>
      </c>
      <c r="I7870" s="57" t="n">
        <v>7</v>
      </c>
    </row>
    <row r="7871">
      <c r="A7871" s="62" t="n">
        <v>46310</v>
      </c>
      <c r="B7871" s="3" t="inlineStr">
        <is>
          <t>Week</t>
        </is>
      </c>
      <c r="C7871" s="19" t="n">
        <v>10</v>
      </c>
      <c r="D7871" s="19" t="n">
        <v>2026</v>
      </c>
      <c r="E7871" s="57" t="n">
        <v>8</v>
      </c>
      <c r="F7871" s="29">
        <f>ROUND(((SUMIFS(Calendar!$F$2:$F$9997,Calendar!$B$2:$B$9997,D7871,Calendar!$C$2:$C$9997,C7871)*INDEX(ForeCalc!$B$37:$Y$274,MATCH(_xlfn.CONCAT(H7871," ",I7871),ForeCalc!$A$37:$A$274,0),MATCH(_xlfn.CONCAT(B7871," ",E7871),ForeCalc!$B$36:$Y$36,0))))*VLOOKUP(A7871,Calendar!$A$2:$H$9997,8,FALSE),0)</f>
        <v/>
      </c>
      <c r="G7871" s="29">
        <f>VLOOKUP(A7871,Calendar!$A$1:$H$9997,6,FALSE)-F7871</f>
        <v/>
      </c>
      <c r="H7871" s="19" t="n">
        <v>1</v>
      </c>
      <c r="I7871" s="57" t="n">
        <v>7</v>
      </c>
    </row>
    <row r="7872">
      <c r="A7872" s="62" t="n">
        <v>46311</v>
      </c>
      <c r="B7872" s="3" t="inlineStr">
        <is>
          <t>Week</t>
        </is>
      </c>
      <c r="C7872" s="19" t="n">
        <v>10</v>
      </c>
      <c r="D7872" s="19" t="n">
        <v>2026</v>
      </c>
      <c r="E7872" s="57" t="n">
        <v>8</v>
      </c>
      <c r="F7872" s="29">
        <f>ROUND(((SUMIFS(Calendar!$F$2:$F$9997,Calendar!$B$2:$B$9997,D7872,Calendar!$C$2:$C$9997,C7872)*INDEX(ForeCalc!$B$37:$Y$274,MATCH(_xlfn.CONCAT(H7872," ",I7872),ForeCalc!$A$37:$A$274,0),MATCH(_xlfn.CONCAT(B7872," ",E7872),ForeCalc!$B$36:$Y$36,0))))*VLOOKUP(A7872,Calendar!$A$2:$H$9997,8,FALSE),0)</f>
        <v/>
      </c>
      <c r="G7872" s="29">
        <f>VLOOKUP(A7872,Calendar!$A$1:$H$9997,6,FALSE)-F7872</f>
        <v/>
      </c>
      <c r="H7872" s="19" t="n">
        <v>1</v>
      </c>
      <c r="I7872" s="57" t="n">
        <v>7</v>
      </c>
    </row>
    <row r="7873">
      <c r="A7873" s="62" t="n">
        <v>46312</v>
      </c>
      <c r="B7873" s="3" t="inlineStr">
        <is>
          <t>Sat</t>
        </is>
      </c>
      <c r="C7873" s="19" t="n">
        <v>10</v>
      </c>
      <c r="D7873" s="19" t="n">
        <v>2026</v>
      </c>
      <c r="E7873" s="57" t="n">
        <v>8</v>
      </c>
      <c r="F7873" s="29">
        <f>ROUND(((SUMIFS(Calendar!$F$2:$F$9997,Calendar!$B$2:$B$9997,D7873,Calendar!$C$2:$C$9997,C7873)*INDEX(ForeCalc!$B$37:$Y$274,MATCH(_xlfn.CONCAT(H7873," ",I7873),ForeCalc!$A$37:$A$274,0),MATCH(_xlfn.CONCAT(B7873," ",E7873),ForeCalc!$B$36:$Y$36,0))))*VLOOKUP(A7873,Calendar!$A$2:$H$9997,8,FALSE),0)</f>
        <v/>
      </c>
      <c r="G7873" s="29">
        <f>VLOOKUP(A7873,Calendar!$A$1:$H$9997,6,FALSE)-F7873</f>
        <v/>
      </c>
      <c r="H7873" s="19" t="n">
        <v>1</v>
      </c>
      <c r="I7873" s="57" t="n">
        <v>7</v>
      </c>
    </row>
    <row r="7874">
      <c r="A7874" s="62" t="n">
        <v>46313</v>
      </c>
      <c r="B7874" s="3" t="inlineStr">
        <is>
          <t>Sun</t>
        </is>
      </c>
      <c r="C7874" s="19" t="n">
        <v>10</v>
      </c>
      <c r="D7874" s="19" t="n">
        <v>2026</v>
      </c>
      <c r="E7874" s="57" t="n">
        <v>8</v>
      </c>
      <c r="F7874" s="29">
        <f>ROUND(((SUMIFS(Calendar!$F$2:$F$9997,Calendar!$B$2:$B$9997,D7874,Calendar!$C$2:$C$9997,C7874)*INDEX(ForeCalc!$B$37:$Y$274,MATCH(_xlfn.CONCAT(H7874," ",I7874),ForeCalc!$A$37:$A$274,0),MATCH(_xlfn.CONCAT(B7874," ",E7874),ForeCalc!$B$36:$Y$36,0))))*VLOOKUP(A7874,Calendar!$A$2:$H$9997,8,FALSE),0)</f>
        <v/>
      </c>
      <c r="G7874" s="29">
        <f>VLOOKUP(A7874,Calendar!$A$1:$H$9997,6,FALSE)-F7874</f>
        <v/>
      </c>
      <c r="H7874" s="19" t="n">
        <v>1</v>
      </c>
      <c r="I7874" s="57" t="n">
        <v>7</v>
      </c>
    </row>
    <row r="7875">
      <c r="A7875" s="62" t="n">
        <v>46314</v>
      </c>
      <c r="B7875" s="3" t="inlineStr">
        <is>
          <t>Week</t>
        </is>
      </c>
      <c r="C7875" s="19" t="n">
        <v>10</v>
      </c>
      <c r="D7875" s="19" t="n">
        <v>2026</v>
      </c>
      <c r="E7875" s="57" t="n">
        <v>8</v>
      </c>
      <c r="F7875" s="29">
        <f>ROUND(((SUMIFS(Calendar!$F$2:$F$9997,Calendar!$B$2:$B$9997,D7875,Calendar!$C$2:$C$9997,C7875)*INDEX(ForeCalc!$B$37:$Y$274,MATCH(_xlfn.CONCAT(H7875," ",I7875),ForeCalc!$A$37:$A$274,0),MATCH(_xlfn.CONCAT(B7875," ",E7875),ForeCalc!$B$36:$Y$36,0))))*VLOOKUP(A7875,Calendar!$A$2:$H$9997,8,FALSE),0)</f>
        <v/>
      </c>
      <c r="G7875" s="29">
        <f>VLOOKUP(A7875,Calendar!$A$1:$H$9997,6,FALSE)-F7875</f>
        <v/>
      </c>
      <c r="H7875" s="19" t="n">
        <v>1</v>
      </c>
      <c r="I7875" s="57" t="n">
        <v>7</v>
      </c>
    </row>
    <row r="7876">
      <c r="A7876" s="62" t="n">
        <v>46315</v>
      </c>
      <c r="B7876" s="3" t="inlineStr">
        <is>
          <t>Week</t>
        </is>
      </c>
      <c r="C7876" s="19" t="n">
        <v>10</v>
      </c>
      <c r="D7876" s="19" t="n">
        <v>2026</v>
      </c>
      <c r="E7876" s="57" t="n">
        <v>8</v>
      </c>
      <c r="F7876" s="29">
        <f>ROUND(((SUMIFS(Calendar!$F$2:$F$9997,Calendar!$B$2:$B$9997,D7876,Calendar!$C$2:$C$9997,C7876)*INDEX(ForeCalc!$B$37:$Y$274,MATCH(_xlfn.CONCAT(H7876," ",I7876),ForeCalc!$A$37:$A$274,0),MATCH(_xlfn.CONCAT(B7876," ",E7876),ForeCalc!$B$36:$Y$36,0))))*VLOOKUP(A7876,Calendar!$A$2:$H$9997,8,FALSE),0)</f>
        <v/>
      </c>
      <c r="G7876" s="29">
        <f>VLOOKUP(A7876,Calendar!$A$1:$H$9997,6,FALSE)-F7876</f>
        <v/>
      </c>
      <c r="H7876" s="19" t="n">
        <v>1</v>
      </c>
      <c r="I7876" s="57" t="n">
        <v>7</v>
      </c>
    </row>
    <row r="7877">
      <c r="A7877" s="62" t="n">
        <v>46316</v>
      </c>
      <c r="B7877" s="3" t="inlineStr">
        <is>
          <t>Week</t>
        </is>
      </c>
      <c r="C7877" s="19" t="n">
        <v>10</v>
      </c>
      <c r="D7877" s="19" t="n">
        <v>2026</v>
      </c>
      <c r="E7877" s="57" t="n">
        <v>8</v>
      </c>
      <c r="F7877" s="29">
        <f>ROUND(((SUMIFS(Calendar!$F$2:$F$9997,Calendar!$B$2:$B$9997,D7877,Calendar!$C$2:$C$9997,C7877)*INDEX(ForeCalc!$B$37:$Y$274,MATCH(_xlfn.CONCAT(H7877," ",I7877),ForeCalc!$A$37:$A$274,0),MATCH(_xlfn.CONCAT(B7877," ",E7877),ForeCalc!$B$36:$Y$36,0))))*VLOOKUP(A7877,Calendar!$A$2:$H$9997,8,FALSE),0)</f>
        <v/>
      </c>
      <c r="G7877" s="29">
        <f>VLOOKUP(A7877,Calendar!$A$1:$H$9997,6,FALSE)-F7877</f>
        <v/>
      </c>
      <c r="H7877" s="19" t="n">
        <v>1</v>
      </c>
      <c r="I7877" s="57" t="n">
        <v>7</v>
      </c>
    </row>
    <row r="7878">
      <c r="A7878" s="62" t="n">
        <v>46317</v>
      </c>
      <c r="B7878" s="3" t="inlineStr">
        <is>
          <t>Week</t>
        </is>
      </c>
      <c r="C7878" s="19" t="n">
        <v>10</v>
      </c>
      <c r="D7878" s="19" t="n">
        <v>2026</v>
      </c>
      <c r="E7878" s="57" t="n">
        <v>8</v>
      </c>
      <c r="F7878" s="29">
        <f>ROUND(((SUMIFS(Calendar!$F$2:$F$9997,Calendar!$B$2:$B$9997,D7878,Calendar!$C$2:$C$9997,C7878)*INDEX(ForeCalc!$B$37:$Y$274,MATCH(_xlfn.CONCAT(H7878," ",I7878),ForeCalc!$A$37:$A$274,0),MATCH(_xlfn.CONCAT(B7878," ",E7878),ForeCalc!$B$36:$Y$36,0))))*VLOOKUP(A7878,Calendar!$A$2:$H$9997,8,FALSE),0)</f>
        <v/>
      </c>
      <c r="G7878" s="29">
        <f>VLOOKUP(A7878,Calendar!$A$1:$H$9997,6,FALSE)-F7878</f>
        <v/>
      </c>
      <c r="H7878" s="19" t="n">
        <v>1</v>
      </c>
      <c r="I7878" s="57" t="n">
        <v>7</v>
      </c>
    </row>
    <row r="7879">
      <c r="A7879" s="62" t="n">
        <v>46318</v>
      </c>
      <c r="B7879" s="3" t="inlineStr">
        <is>
          <t>Week</t>
        </is>
      </c>
      <c r="C7879" s="19" t="n">
        <v>10</v>
      </c>
      <c r="D7879" s="19" t="n">
        <v>2026</v>
      </c>
      <c r="E7879" s="57" t="n">
        <v>8</v>
      </c>
      <c r="F7879" s="29">
        <f>ROUND(((SUMIFS(Calendar!$F$2:$F$9997,Calendar!$B$2:$B$9997,D7879,Calendar!$C$2:$C$9997,C7879)*INDEX(ForeCalc!$B$37:$Y$274,MATCH(_xlfn.CONCAT(H7879," ",I7879),ForeCalc!$A$37:$A$274,0),MATCH(_xlfn.CONCAT(B7879," ",E7879),ForeCalc!$B$36:$Y$36,0))))*VLOOKUP(A7879,Calendar!$A$2:$H$9997,8,FALSE),0)</f>
        <v/>
      </c>
      <c r="G7879" s="29">
        <f>VLOOKUP(A7879,Calendar!$A$1:$H$9997,6,FALSE)-F7879</f>
        <v/>
      </c>
      <c r="H7879" s="19" t="n">
        <v>1</v>
      </c>
      <c r="I7879" s="57" t="n">
        <v>7</v>
      </c>
    </row>
    <row r="7880">
      <c r="A7880" s="62" t="n">
        <v>46319</v>
      </c>
      <c r="B7880" s="3" t="inlineStr">
        <is>
          <t>Sat</t>
        </is>
      </c>
      <c r="C7880" s="19" t="n">
        <v>10</v>
      </c>
      <c r="D7880" s="19" t="n">
        <v>2026</v>
      </c>
      <c r="E7880" s="57" t="n">
        <v>8</v>
      </c>
      <c r="F7880" s="29">
        <f>ROUND(((SUMIFS(Calendar!$F$2:$F$9997,Calendar!$B$2:$B$9997,D7880,Calendar!$C$2:$C$9997,C7880)*INDEX(ForeCalc!$B$37:$Y$274,MATCH(_xlfn.CONCAT(H7880," ",I7880),ForeCalc!$A$37:$A$274,0),MATCH(_xlfn.CONCAT(B7880," ",E7880),ForeCalc!$B$36:$Y$36,0))))*VLOOKUP(A7880,Calendar!$A$2:$H$9997,8,FALSE),0)</f>
        <v/>
      </c>
      <c r="G7880" s="29">
        <f>VLOOKUP(A7880,Calendar!$A$1:$H$9997,6,FALSE)-F7880</f>
        <v/>
      </c>
      <c r="H7880" s="19" t="n">
        <v>1</v>
      </c>
      <c r="I7880" s="57" t="n">
        <v>7</v>
      </c>
    </row>
    <row r="7881">
      <c r="A7881" s="62" t="n">
        <v>46320</v>
      </c>
      <c r="B7881" s="3" t="inlineStr">
        <is>
          <t>Sun</t>
        </is>
      </c>
      <c r="C7881" s="19" t="n">
        <v>10</v>
      </c>
      <c r="D7881" s="19" t="n">
        <v>2026</v>
      </c>
      <c r="E7881" s="57" t="n">
        <v>8</v>
      </c>
      <c r="F7881" s="29">
        <f>ROUND(((SUMIFS(Calendar!$F$2:$F$9997,Calendar!$B$2:$B$9997,D7881,Calendar!$C$2:$C$9997,C7881)*INDEX(ForeCalc!$B$37:$Y$274,MATCH(_xlfn.CONCAT(H7881," ",I7881),ForeCalc!$A$37:$A$274,0),MATCH(_xlfn.CONCAT(B7881," ",E7881),ForeCalc!$B$36:$Y$36,0))))*VLOOKUP(A7881,Calendar!$A$2:$H$9997,8,FALSE),0)</f>
        <v/>
      </c>
      <c r="G7881" s="29">
        <f>VLOOKUP(A7881,Calendar!$A$1:$H$9997,6,FALSE)-F7881</f>
        <v/>
      </c>
      <c r="H7881" s="19" t="n">
        <v>1</v>
      </c>
      <c r="I7881" s="57" t="n">
        <v>7</v>
      </c>
    </row>
    <row r="7882">
      <c r="A7882" s="62" t="n">
        <v>46321</v>
      </c>
      <c r="B7882" s="3" t="inlineStr">
        <is>
          <t>Week</t>
        </is>
      </c>
      <c r="C7882" s="19" t="n">
        <v>10</v>
      </c>
      <c r="D7882" s="19" t="n">
        <v>2026</v>
      </c>
      <c r="E7882" s="57" t="n">
        <v>8</v>
      </c>
      <c r="F7882" s="29">
        <f>ROUND(((SUMIFS(Calendar!$F$2:$F$9997,Calendar!$B$2:$B$9997,D7882,Calendar!$C$2:$C$9997,C7882)*INDEX(ForeCalc!$B$37:$Y$274,MATCH(_xlfn.CONCAT(H7882," ",I7882),ForeCalc!$A$37:$A$274,0),MATCH(_xlfn.CONCAT(B7882," ",E7882),ForeCalc!$B$36:$Y$36,0))))*VLOOKUP(A7882,Calendar!$A$2:$H$9997,8,FALSE),0)</f>
        <v/>
      </c>
      <c r="G7882" s="29">
        <f>VLOOKUP(A7882,Calendar!$A$1:$H$9997,6,FALSE)-F7882</f>
        <v/>
      </c>
      <c r="H7882" s="19" t="n">
        <v>1</v>
      </c>
      <c r="I7882" s="57" t="n">
        <v>7</v>
      </c>
    </row>
    <row r="7883">
      <c r="A7883" s="62" t="n">
        <v>46322</v>
      </c>
      <c r="B7883" s="3" t="inlineStr">
        <is>
          <t>Week</t>
        </is>
      </c>
      <c r="C7883" s="19" t="n">
        <v>10</v>
      </c>
      <c r="D7883" s="19" t="n">
        <v>2026</v>
      </c>
      <c r="E7883" s="57" t="n">
        <v>8</v>
      </c>
      <c r="F7883" s="29">
        <f>ROUND(((SUMIFS(Calendar!$F$2:$F$9997,Calendar!$B$2:$B$9997,D7883,Calendar!$C$2:$C$9997,C7883)*INDEX(ForeCalc!$B$37:$Y$274,MATCH(_xlfn.CONCAT(H7883," ",I7883),ForeCalc!$A$37:$A$274,0),MATCH(_xlfn.CONCAT(B7883," ",E7883),ForeCalc!$B$36:$Y$36,0))))*VLOOKUP(A7883,Calendar!$A$2:$H$9997,8,FALSE),0)</f>
        <v/>
      </c>
      <c r="G7883" s="29">
        <f>VLOOKUP(A7883,Calendar!$A$1:$H$9997,6,FALSE)-F7883</f>
        <v/>
      </c>
      <c r="H7883" s="19" t="n">
        <v>1</v>
      </c>
      <c r="I7883" s="57" t="n">
        <v>7</v>
      </c>
    </row>
    <row r="7884">
      <c r="A7884" s="62" t="n">
        <v>46323</v>
      </c>
      <c r="B7884" s="3" t="inlineStr">
        <is>
          <t>Week</t>
        </is>
      </c>
      <c r="C7884" s="19" t="n">
        <v>10</v>
      </c>
      <c r="D7884" s="19" t="n">
        <v>2026</v>
      </c>
      <c r="E7884" s="57" t="n">
        <v>8</v>
      </c>
      <c r="F7884" s="29">
        <f>ROUND(((SUMIFS(Calendar!$F$2:$F$9997,Calendar!$B$2:$B$9997,D7884,Calendar!$C$2:$C$9997,C7884)*INDEX(ForeCalc!$B$37:$Y$274,MATCH(_xlfn.CONCAT(H7884," ",I7884),ForeCalc!$A$37:$A$274,0),MATCH(_xlfn.CONCAT(B7884," ",E7884),ForeCalc!$B$36:$Y$36,0))))*VLOOKUP(A7884,Calendar!$A$2:$H$9997,8,FALSE),0)</f>
        <v/>
      </c>
      <c r="G7884" s="29">
        <f>VLOOKUP(A7884,Calendar!$A$1:$H$9997,6,FALSE)-F7884</f>
        <v/>
      </c>
      <c r="H7884" s="19" t="n">
        <v>1</v>
      </c>
      <c r="I7884" s="57" t="n">
        <v>7</v>
      </c>
    </row>
    <row r="7885">
      <c r="A7885" s="62" t="n">
        <v>46324</v>
      </c>
      <c r="B7885" s="3" t="inlineStr">
        <is>
          <t>Week</t>
        </is>
      </c>
      <c r="C7885" s="19" t="n">
        <v>10</v>
      </c>
      <c r="D7885" s="19" t="n">
        <v>2026</v>
      </c>
      <c r="E7885" s="57" t="n">
        <v>8</v>
      </c>
      <c r="F7885" s="29">
        <f>ROUND(((SUMIFS(Calendar!$F$2:$F$9997,Calendar!$B$2:$B$9997,D7885,Calendar!$C$2:$C$9997,C7885)*INDEX(ForeCalc!$B$37:$Y$274,MATCH(_xlfn.CONCAT(H7885," ",I7885),ForeCalc!$A$37:$A$274,0),MATCH(_xlfn.CONCAT(B7885," ",E7885),ForeCalc!$B$36:$Y$36,0))))*VLOOKUP(A7885,Calendar!$A$2:$H$9997,8,FALSE),0)</f>
        <v/>
      </c>
      <c r="G7885" s="29">
        <f>VLOOKUP(A7885,Calendar!$A$1:$H$9997,6,FALSE)-F7885</f>
        <v/>
      </c>
      <c r="H7885" s="19" t="n">
        <v>1</v>
      </c>
      <c r="I7885" s="57" t="n">
        <v>7</v>
      </c>
    </row>
    <row r="7886">
      <c r="A7886" s="62" t="n">
        <v>46325</v>
      </c>
      <c r="B7886" s="3" t="inlineStr">
        <is>
          <t>Week</t>
        </is>
      </c>
      <c r="C7886" s="19" t="n">
        <v>10</v>
      </c>
      <c r="D7886" s="19" t="n">
        <v>2026</v>
      </c>
      <c r="E7886" s="57" t="n">
        <v>8</v>
      </c>
      <c r="F7886" s="29">
        <f>ROUND(((SUMIFS(Calendar!$F$2:$F$9997,Calendar!$B$2:$B$9997,D7886,Calendar!$C$2:$C$9997,C7886)*INDEX(ForeCalc!$B$37:$Y$274,MATCH(_xlfn.CONCAT(H7886," ",I7886),ForeCalc!$A$37:$A$274,0),MATCH(_xlfn.CONCAT(B7886," ",E7886),ForeCalc!$B$36:$Y$36,0))))*VLOOKUP(A7886,Calendar!$A$2:$H$9997,8,FALSE),0)</f>
        <v/>
      </c>
      <c r="G7886" s="29">
        <f>VLOOKUP(A7886,Calendar!$A$1:$H$9997,6,FALSE)-F7886</f>
        <v/>
      </c>
      <c r="H7886" s="19" t="n">
        <v>1</v>
      </c>
      <c r="I7886" s="57" t="n">
        <v>7</v>
      </c>
    </row>
    <row r="7887">
      <c r="A7887" s="62" t="n">
        <v>46326</v>
      </c>
      <c r="B7887" s="3" t="inlineStr">
        <is>
          <t>Sat</t>
        </is>
      </c>
      <c r="C7887" s="19" t="n">
        <v>10</v>
      </c>
      <c r="D7887" s="19" t="n">
        <v>2026</v>
      </c>
      <c r="E7887" s="57" t="n">
        <v>8</v>
      </c>
      <c r="F7887" s="29">
        <f>ROUND(((SUMIFS(Calendar!$F$2:$F$9997,Calendar!$B$2:$B$9997,D7887,Calendar!$C$2:$C$9997,C7887)*INDEX(ForeCalc!$B$37:$Y$274,MATCH(_xlfn.CONCAT(H7887," ",I7887),ForeCalc!$A$37:$A$274,0),MATCH(_xlfn.CONCAT(B7887," ",E7887),ForeCalc!$B$36:$Y$36,0))))*VLOOKUP(A7887,Calendar!$A$2:$H$9997,8,FALSE),0)</f>
        <v/>
      </c>
      <c r="G7887" s="29">
        <f>VLOOKUP(A7887,Calendar!$A$1:$H$9997,6,FALSE)-F7887</f>
        <v/>
      </c>
      <c r="H7887" s="19" t="n">
        <v>1</v>
      </c>
      <c r="I7887" s="57" t="n">
        <v>7</v>
      </c>
    </row>
    <row r="7888">
      <c r="A7888" s="62" t="n">
        <v>46327</v>
      </c>
      <c r="B7888" s="3" t="inlineStr">
        <is>
          <t>Sun</t>
        </is>
      </c>
      <c r="C7888" s="19" t="n">
        <v>11</v>
      </c>
      <c r="D7888" s="19" t="n">
        <v>2026</v>
      </c>
      <c r="E7888" s="57" t="n">
        <v>8</v>
      </c>
      <c r="F7888" s="29">
        <f>ROUND(((SUMIFS(Calendar!$F$2:$F$9997,Calendar!$B$2:$B$9997,D7888,Calendar!$C$2:$C$9997,C7888)*INDEX(ForeCalc!$B$37:$Y$274,MATCH(_xlfn.CONCAT(H7888," ",I7888),ForeCalc!$A$37:$A$274,0),MATCH(_xlfn.CONCAT(B7888," ",E7888),ForeCalc!$B$36:$Y$36,0))))*VLOOKUP(A7888,Calendar!$A$2:$H$9997,8,FALSE),0)</f>
        <v/>
      </c>
      <c r="G7888" s="29">
        <f>VLOOKUP(A7888,Calendar!$A$1:$H$9997,6,FALSE)-F7888</f>
        <v/>
      </c>
      <c r="H7888" s="19" t="n">
        <v>1</v>
      </c>
      <c r="I7888" s="57" t="n">
        <v>8</v>
      </c>
    </row>
    <row r="7889">
      <c r="A7889" s="62" t="n">
        <v>46328</v>
      </c>
      <c r="B7889" s="3" t="inlineStr">
        <is>
          <t>Week</t>
        </is>
      </c>
      <c r="C7889" s="19" t="n">
        <v>11</v>
      </c>
      <c r="D7889" s="19" t="n">
        <v>2026</v>
      </c>
      <c r="E7889" s="57" t="n">
        <v>8</v>
      </c>
      <c r="F7889" s="29">
        <f>ROUND(((SUMIFS(Calendar!$F$2:$F$9997,Calendar!$B$2:$B$9997,D7889,Calendar!$C$2:$C$9997,C7889)*INDEX(ForeCalc!$B$37:$Y$274,MATCH(_xlfn.CONCAT(H7889," ",I7889),ForeCalc!$A$37:$A$274,0),MATCH(_xlfn.CONCAT(B7889," ",E7889),ForeCalc!$B$36:$Y$36,0))))*VLOOKUP(A7889,Calendar!$A$2:$H$9997,8,FALSE),0)</f>
        <v/>
      </c>
      <c r="G7889" s="29">
        <f>VLOOKUP(A7889,Calendar!$A$1:$H$9997,6,FALSE)-F7889</f>
        <v/>
      </c>
      <c r="H7889" s="19" t="n">
        <v>1</v>
      </c>
      <c r="I7889" s="57" t="n">
        <v>8</v>
      </c>
    </row>
    <row r="7890">
      <c r="A7890" s="62" t="n">
        <v>46329</v>
      </c>
      <c r="B7890" s="3" t="inlineStr">
        <is>
          <t>Week</t>
        </is>
      </c>
      <c r="C7890" s="19" t="n">
        <v>11</v>
      </c>
      <c r="D7890" s="19" t="n">
        <v>2026</v>
      </c>
      <c r="E7890" s="57" t="n">
        <v>8</v>
      </c>
      <c r="F7890" s="29">
        <f>ROUND(((SUMIFS(Calendar!$F$2:$F$9997,Calendar!$B$2:$B$9997,D7890,Calendar!$C$2:$C$9997,C7890)*INDEX(ForeCalc!$B$37:$Y$274,MATCH(_xlfn.CONCAT(H7890," ",I7890),ForeCalc!$A$37:$A$274,0),MATCH(_xlfn.CONCAT(B7890," ",E7890),ForeCalc!$B$36:$Y$36,0))))*VLOOKUP(A7890,Calendar!$A$2:$H$9997,8,FALSE),0)</f>
        <v/>
      </c>
      <c r="G7890" s="29">
        <f>VLOOKUP(A7890,Calendar!$A$1:$H$9997,6,FALSE)-F7890</f>
        <v/>
      </c>
      <c r="H7890" s="19" t="n">
        <v>1</v>
      </c>
      <c r="I7890" s="57" t="n">
        <v>8</v>
      </c>
    </row>
    <row r="7891">
      <c r="A7891" s="62" t="n">
        <v>46330</v>
      </c>
      <c r="B7891" s="3" t="inlineStr">
        <is>
          <t>Week</t>
        </is>
      </c>
      <c r="C7891" s="19" t="n">
        <v>11</v>
      </c>
      <c r="D7891" s="19" t="n">
        <v>2026</v>
      </c>
      <c r="E7891" s="57" t="n">
        <v>8</v>
      </c>
      <c r="F7891" s="29">
        <f>ROUND(((SUMIFS(Calendar!$F$2:$F$9997,Calendar!$B$2:$B$9997,D7891,Calendar!$C$2:$C$9997,C7891)*INDEX(ForeCalc!$B$37:$Y$274,MATCH(_xlfn.CONCAT(H7891," ",I7891),ForeCalc!$A$37:$A$274,0),MATCH(_xlfn.CONCAT(B7891," ",E7891),ForeCalc!$B$36:$Y$36,0))))*VLOOKUP(A7891,Calendar!$A$2:$H$9997,8,FALSE),0)</f>
        <v/>
      </c>
      <c r="G7891" s="29">
        <f>VLOOKUP(A7891,Calendar!$A$1:$H$9997,6,FALSE)-F7891</f>
        <v/>
      </c>
      <c r="H7891" s="19" t="n">
        <v>1</v>
      </c>
      <c r="I7891" s="57" t="n">
        <v>8</v>
      </c>
    </row>
    <row r="7892">
      <c r="A7892" s="62" t="n">
        <v>46331</v>
      </c>
      <c r="B7892" s="3" t="inlineStr">
        <is>
          <t>Week</t>
        </is>
      </c>
      <c r="C7892" s="19" t="n">
        <v>11</v>
      </c>
      <c r="D7892" s="19" t="n">
        <v>2026</v>
      </c>
      <c r="E7892" s="57" t="n">
        <v>8</v>
      </c>
      <c r="F7892" s="29">
        <f>ROUND(((SUMIFS(Calendar!$F$2:$F$9997,Calendar!$B$2:$B$9997,D7892,Calendar!$C$2:$C$9997,C7892)*INDEX(ForeCalc!$B$37:$Y$274,MATCH(_xlfn.CONCAT(H7892," ",I7892),ForeCalc!$A$37:$A$274,0),MATCH(_xlfn.CONCAT(B7892," ",E7892),ForeCalc!$B$36:$Y$36,0))))*VLOOKUP(A7892,Calendar!$A$2:$H$9997,8,FALSE),0)</f>
        <v/>
      </c>
      <c r="G7892" s="29">
        <f>VLOOKUP(A7892,Calendar!$A$1:$H$9997,6,FALSE)-F7892</f>
        <v/>
      </c>
      <c r="H7892" s="19" t="n">
        <v>1</v>
      </c>
      <c r="I7892" s="57" t="n">
        <v>8</v>
      </c>
    </row>
    <row r="7893">
      <c r="A7893" s="62" t="n">
        <v>46332</v>
      </c>
      <c r="B7893" s="3" t="inlineStr">
        <is>
          <t>Week</t>
        </is>
      </c>
      <c r="C7893" s="19" t="n">
        <v>11</v>
      </c>
      <c r="D7893" s="19" t="n">
        <v>2026</v>
      </c>
      <c r="E7893" s="57" t="n">
        <v>8</v>
      </c>
      <c r="F7893" s="29">
        <f>ROUND(((SUMIFS(Calendar!$F$2:$F$9997,Calendar!$B$2:$B$9997,D7893,Calendar!$C$2:$C$9997,C7893)*INDEX(ForeCalc!$B$37:$Y$274,MATCH(_xlfn.CONCAT(H7893," ",I7893),ForeCalc!$A$37:$A$274,0),MATCH(_xlfn.CONCAT(B7893," ",E7893),ForeCalc!$B$36:$Y$36,0))))*VLOOKUP(A7893,Calendar!$A$2:$H$9997,8,FALSE),0)</f>
        <v/>
      </c>
      <c r="G7893" s="29">
        <f>VLOOKUP(A7893,Calendar!$A$1:$H$9997,6,FALSE)-F7893</f>
        <v/>
      </c>
      <c r="H7893" s="19" t="n">
        <v>1</v>
      </c>
      <c r="I7893" s="57" t="n">
        <v>8</v>
      </c>
    </row>
    <row r="7894">
      <c r="A7894" s="62" t="n">
        <v>46333</v>
      </c>
      <c r="B7894" s="3" t="inlineStr">
        <is>
          <t>Sat</t>
        </is>
      </c>
      <c r="C7894" s="19" t="n">
        <v>11</v>
      </c>
      <c r="D7894" s="19" t="n">
        <v>2026</v>
      </c>
      <c r="E7894" s="57" t="n">
        <v>8</v>
      </c>
      <c r="F7894" s="29">
        <f>ROUND(((SUMIFS(Calendar!$F$2:$F$9997,Calendar!$B$2:$B$9997,D7894,Calendar!$C$2:$C$9997,C7894)*INDEX(ForeCalc!$B$37:$Y$274,MATCH(_xlfn.CONCAT(H7894," ",I7894),ForeCalc!$A$37:$A$274,0),MATCH(_xlfn.CONCAT(B7894," ",E7894),ForeCalc!$B$36:$Y$36,0))))*VLOOKUP(A7894,Calendar!$A$2:$H$9997,8,FALSE),0)</f>
        <v/>
      </c>
      <c r="G7894" s="29">
        <f>VLOOKUP(A7894,Calendar!$A$1:$H$9997,6,FALSE)-F7894</f>
        <v/>
      </c>
      <c r="H7894" s="19" t="n">
        <v>1</v>
      </c>
      <c r="I7894" s="57" t="n">
        <v>8</v>
      </c>
    </row>
    <row r="7895">
      <c r="A7895" s="62" t="n">
        <v>46334</v>
      </c>
      <c r="B7895" s="3" t="inlineStr">
        <is>
          <t>Sun</t>
        </is>
      </c>
      <c r="C7895" s="19" t="n">
        <v>11</v>
      </c>
      <c r="D7895" s="19" t="n">
        <v>2026</v>
      </c>
      <c r="E7895" s="57" t="n">
        <v>8</v>
      </c>
      <c r="F7895" s="29">
        <f>ROUND(((SUMIFS(Calendar!$F$2:$F$9997,Calendar!$B$2:$B$9997,D7895,Calendar!$C$2:$C$9997,C7895)*INDEX(ForeCalc!$B$37:$Y$274,MATCH(_xlfn.CONCAT(H7895," ",I7895),ForeCalc!$A$37:$A$274,0),MATCH(_xlfn.CONCAT(B7895," ",E7895),ForeCalc!$B$36:$Y$36,0))))*VLOOKUP(A7895,Calendar!$A$2:$H$9997,8,FALSE),0)</f>
        <v/>
      </c>
      <c r="G7895" s="29">
        <f>VLOOKUP(A7895,Calendar!$A$1:$H$9997,6,FALSE)-F7895</f>
        <v/>
      </c>
      <c r="H7895" s="19" t="n">
        <v>1</v>
      </c>
      <c r="I7895" s="57" t="n">
        <v>8</v>
      </c>
    </row>
    <row r="7896">
      <c r="A7896" s="62" t="n">
        <v>46335</v>
      </c>
      <c r="B7896" s="3" t="inlineStr">
        <is>
          <t>Week</t>
        </is>
      </c>
      <c r="C7896" s="19" t="n">
        <v>11</v>
      </c>
      <c r="D7896" s="19" t="n">
        <v>2026</v>
      </c>
      <c r="E7896" s="57" t="n">
        <v>8</v>
      </c>
      <c r="F7896" s="29">
        <f>ROUND(((SUMIFS(Calendar!$F$2:$F$9997,Calendar!$B$2:$B$9997,D7896,Calendar!$C$2:$C$9997,C7896)*INDEX(ForeCalc!$B$37:$Y$274,MATCH(_xlfn.CONCAT(H7896," ",I7896),ForeCalc!$A$37:$A$274,0),MATCH(_xlfn.CONCAT(B7896," ",E7896),ForeCalc!$B$36:$Y$36,0))))*VLOOKUP(A7896,Calendar!$A$2:$H$9997,8,FALSE),0)</f>
        <v/>
      </c>
      <c r="G7896" s="29">
        <f>VLOOKUP(A7896,Calendar!$A$1:$H$9997,6,FALSE)-F7896</f>
        <v/>
      </c>
      <c r="H7896" s="19" t="n">
        <v>1</v>
      </c>
      <c r="I7896" s="57" t="n">
        <v>8</v>
      </c>
    </row>
    <row r="7897">
      <c r="A7897" s="62" t="n">
        <v>46336</v>
      </c>
      <c r="B7897" s="3" t="inlineStr">
        <is>
          <t>Week</t>
        </is>
      </c>
      <c r="C7897" s="19" t="n">
        <v>11</v>
      </c>
      <c r="D7897" s="19" t="n">
        <v>2026</v>
      </c>
      <c r="E7897" s="57" t="n">
        <v>8</v>
      </c>
      <c r="F7897" s="29">
        <f>ROUND(((SUMIFS(Calendar!$F$2:$F$9997,Calendar!$B$2:$B$9997,D7897,Calendar!$C$2:$C$9997,C7897)*INDEX(ForeCalc!$B$37:$Y$274,MATCH(_xlfn.CONCAT(H7897," ",I7897),ForeCalc!$A$37:$A$274,0),MATCH(_xlfn.CONCAT(B7897," ",E7897),ForeCalc!$B$36:$Y$36,0))))*VLOOKUP(A7897,Calendar!$A$2:$H$9997,8,FALSE),0)</f>
        <v/>
      </c>
      <c r="G7897" s="29">
        <f>VLOOKUP(A7897,Calendar!$A$1:$H$9997,6,FALSE)-F7897</f>
        <v/>
      </c>
      <c r="H7897" s="19" t="n">
        <v>1</v>
      </c>
      <c r="I7897" s="57" t="n">
        <v>8</v>
      </c>
    </row>
    <row r="7898">
      <c r="A7898" s="62" t="n">
        <v>46337</v>
      </c>
      <c r="B7898" s="3" t="inlineStr">
        <is>
          <t>Week</t>
        </is>
      </c>
      <c r="C7898" s="19" t="n">
        <v>11</v>
      </c>
      <c r="D7898" s="19" t="n">
        <v>2026</v>
      </c>
      <c r="E7898" s="57" t="n">
        <v>8</v>
      </c>
      <c r="F7898" s="29">
        <f>ROUND(((SUMIFS(Calendar!$F$2:$F$9997,Calendar!$B$2:$B$9997,D7898,Calendar!$C$2:$C$9997,C7898)*INDEX(ForeCalc!$B$37:$Y$274,MATCH(_xlfn.CONCAT(H7898," ",I7898),ForeCalc!$A$37:$A$274,0),MATCH(_xlfn.CONCAT(B7898," ",E7898),ForeCalc!$B$36:$Y$36,0))))*VLOOKUP(A7898,Calendar!$A$2:$H$9997,8,FALSE),0)</f>
        <v/>
      </c>
      <c r="G7898" s="29">
        <f>VLOOKUP(A7898,Calendar!$A$1:$H$9997,6,FALSE)-F7898</f>
        <v/>
      </c>
      <c r="H7898" s="19" t="n">
        <v>1</v>
      </c>
      <c r="I7898" s="57" t="n">
        <v>8</v>
      </c>
    </row>
    <row r="7899">
      <c r="A7899" s="62" t="n">
        <v>46338</v>
      </c>
      <c r="B7899" s="3" t="inlineStr">
        <is>
          <t>Week</t>
        </is>
      </c>
      <c r="C7899" s="19" t="n">
        <v>11</v>
      </c>
      <c r="D7899" s="19" t="n">
        <v>2026</v>
      </c>
      <c r="E7899" s="57" t="n">
        <v>8</v>
      </c>
      <c r="F7899" s="29">
        <f>ROUND(((SUMIFS(Calendar!$F$2:$F$9997,Calendar!$B$2:$B$9997,D7899,Calendar!$C$2:$C$9997,C7899)*INDEX(ForeCalc!$B$37:$Y$274,MATCH(_xlfn.CONCAT(H7899," ",I7899),ForeCalc!$A$37:$A$274,0),MATCH(_xlfn.CONCAT(B7899," ",E7899),ForeCalc!$B$36:$Y$36,0))))*VLOOKUP(A7899,Calendar!$A$2:$H$9997,8,FALSE),0)</f>
        <v/>
      </c>
      <c r="G7899" s="29">
        <f>VLOOKUP(A7899,Calendar!$A$1:$H$9997,6,FALSE)-F7899</f>
        <v/>
      </c>
      <c r="H7899" s="19" t="n">
        <v>1</v>
      </c>
      <c r="I7899" s="57" t="n">
        <v>8</v>
      </c>
    </row>
    <row r="7900">
      <c r="A7900" s="62" t="n">
        <v>46339</v>
      </c>
      <c r="B7900" s="3" t="inlineStr">
        <is>
          <t>Week</t>
        </is>
      </c>
      <c r="C7900" s="19" t="n">
        <v>11</v>
      </c>
      <c r="D7900" s="19" t="n">
        <v>2026</v>
      </c>
      <c r="E7900" s="57" t="n">
        <v>8</v>
      </c>
      <c r="F7900" s="29">
        <f>ROUND(((SUMIFS(Calendar!$F$2:$F$9997,Calendar!$B$2:$B$9997,D7900,Calendar!$C$2:$C$9997,C7900)*INDEX(ForeCalc!$B$37:$Y$274,MATCH(_xlfn.CONCAT(H7900," ",I7900),ForeCalc!$A$37:$A$274,0),MATCH(_xlfn.CONCAT(B7900," ",E7900),ForeCalc!$B$36:$Y$36,0))))*VLOOKUP(A7900,Calendar!$A$2:$H$9997,8,FALSE),0)</f>
        <v/>
      </c>
      <c r="G7900" s="29">
        <f>VLOOKUP(A7900,Calendar!$A$1:$H$9997,6,FALSE)-F7900</f>
        <v/>
      </c>
      <c r="H7900" s="19" t="n">
        <v>1</v>
      </c>
      <c r="I7900" s="57" t="n">
        <v>8</v>
      </c>
    </row>
    <row r="7901">
      <c r="A7901" s="62" t="n">
        <v>46340</v>
      </c>
      <c r="B7901" s="3" t="inlineStr">
        <is>
          <t>Sat</t>
        </is>
      </c>
      <c r="C7901" s="19" t="n">
        <v>11</v>
      </c>
      <c r="D7901" s="19" t="n">
        <v>2026</v>
      </c>
      <c r="E7901" s="57" t="n">
        <v>8</v>
      </c>
      <c r="F7901" s="29">
        <f>ROUND(((SUMIFS(Calendar!$F$2:$F$9997,Calendar!$B$2:$B$9997,D7901,Calendar!$C$2:$C$9997,C7901)*INDEX(ForeCalc!$B$37:$Y$274,MATCH(_xlfn.CONCAT(H7901," ",I7901),ForeCalc!$A$37:$A$274,0),MATCH(_xlfn.CONCAT(B7901," ",E7901),ForeCalc!$B$36:$Y$36,0))))*VLOOKUP(A7901,Calendar!$A$2:$H$9997,8,FALSE),0)</f>
        <v/>
      </c>
      <c r="G7901" s="29">
        <f>VLOOKUP(A7901,Calendar!$A$1:$H$9997,6,FALSE)-F7901</f>
        <v/>
      </c>
      <c r="H7901" s="19" t="n">
        <v>1</v>
      </c>
      <c r="I7901" s="57" t="n">
        <v>8</v>
      </c>
    </row>
    <row r="7902">
      <c r="A7902" s="62" t="n">
        <v>46341</v>
      </c>
      <c r="B7902" s="3" t="inlineStr">
        <is>
          <t>Sun</t>
        </is>
      </c>
      <c r="C7902" s="19" t="n">
        <v>11</v>
      </c>
      <c r="D7902" s="19" t="n">
        <v>2026</v>
      </c>
      <c r="E7902" s="57" t="n">
        <v>8</v>
      </c>
      <c r="F7902" s="29">
        <f>ROUND(((SUMIFS(Calendar!$F$2:$F$9997,Calendar!$B$2:$B$9997,D7902,Calendar!$C$2:$C$9997,C7902)*INDEX(ForeCalc!$B$37:$Y$274,MATCH(_xlfn.CONCAT(H7902," ",I7902),ForeCalc!$A$37:$A$274,0),MATCH(_xlfn.CONCAT(B7902," ",E7902),ForeCalc!$B$36:$Y$36,0))))*VLOOKUP(A7902,Calendar!$A$2:$H$9997,8,FALSE),0)</f>
        <v/>
      </c>
      <c r="G7902" s="29">
        <f>VLOOKUP(A7902,Calendar!$A$1:$H$9997,6,FALSE)-F7902</f>
        <v/>
      </c>
      <c r="H7902" s="19" t="n">
        <v>1</v>
      </c>
      <c r="I7902" s="57" t="n">
        <v>8</v>
      </c>
    </row>
    <row r="7903">
      <c r="A7903" s="62" t="n">
        <v>46342</v>
      </c>
      <c r="B7903" s="3" t="inlineStr">
        <is>
          <t>Week</t>
        </is>
      </c>
      <c r="C7903" s="19" t="n">
        <v>11</v>
      </c>
      <c r="D7903" s="19" t="n">
        <v>2026</v>
      </c>
      <c r="E7903" s="57" t="n">
        <v>8</v>
      </c>
      <c r="F7903" s="29">
        <f>ROUND(((SUMIFS(Calendar!$F$2:$F$9997,Calendar!$B$2:$B$9997,D7903,Calendar!$C$2:$C$9997,C7903)*INDEX(ForeCalc!$B$37:$Y$274,MATCH(_xlfn.CONCAT(H7903," ",I7903),ForeCalc!$A$37:$A$274,0),MATCH(_xlfn.CONCAT(B7903," ",E7903),ForeCalc!$B$36:$Y$36,0))))*VLOOKUP(A7903,Calendar!$A$2:$H$9997,8,FALSE),0)</f>
        <v/>
      </c>
      <c r="G7903" s="29">
        <f>VLOOKUP(A7903,Calendar!$A$1:$H$9997,6,FALSE)-F7903</f>
        <v/>
      </c>
      <c r="H7903" s="19" t="n">
        <v>1</v>
      </c>
      <c r="I7903" s="57" t="n">
        <v>8</v>
      </c>
    </row>
    <row r="7904">
      <c r="A7904" s="62" t="n">
        <v>46343</v>
      </c>
      <c r="B7904" s="3" t="inlineStr">
        <is>
          <t>Week</t>
        </is>
      </c>
      <c r="C7904" s="19" t="n">
        <v>11</v>
      </c>
      <c r="D7904" s="19" t="n">
        <v>2026</v>
      </c>
      <c r="E7904" s="57" t="n">
        <v>8</v>
      </c>
      <c r="F7904" s="29">
        <f>ROUND(((SUMIFS(Calendar!$F$2:$F$9997,Calendar!$B$2:$B$9997,D7904,Calendar!$C$2:$C$9997,C7904)*INDEX(ForeCalc!$B$37:$Y$274,MATCH(_xlfn.CONCAT(H7904," ",I7904),ForeCalc!$A$37:$A$274,0),MATCH(_xlfn.CONCAT(B7904," ",E7904),ForeCalc!$B$36:$Y$36,0))))*VLOOKUP(A7904,Calendar!$A$2:$H$9997,8,FALSE),0)</f>
        <v/>
      </c>
      <c r="G7904" s="29">
        <f>VLOOKUP(A7904,Calendar!$A$1:$H$9997,6,FALSE)-F7904</f>
        <v/>
      </c>
      <c r="H7904" s="19" t="n">
        <v>1</v>
      </c>
      <c r="I7904" s="57" t="n">
        <v>8</v>
      </c>
    </row>
    <row r="7905">
      <c r="A7905" s="62" t="n">
        <v>46344</v>
      </c>
      <c r="B7905" s="3" t="inlineStr">
        <is>
          <t>Week</t>
        </is>
      </c>
      <c r="C7905" s="19" t="n">
        <v>11</v>
      </c>
      <c r="D7905" s="19" t="n">
        <v>2026</v>
      </c>
      <c r="E7905" s="57" t="n">
        <v>8</v>
      </c>
      <c r="F7905" s="29">
        <f>ROUND(((SUMIFS(Calendar!$F$2:$F$9997,Calendar!$B$2:$B$9997,D7905,Calendar!$C$2:$C$9997,C7905)*INDEX(ForeCalc!$B$37:$Y$274,MATCH(_xlfn.CONCAT(H7905," ",I7905),ForeCalc!$A$37:$A$274,0),MATCH(_xlfn.CONCAT(B7905," ",E7905),ForeCalc!$B$36:$Y$36,0))))*VLOOKUP(A7905,Calendar!$A$2:$H$9997,8,FALSE),0)</f>
        <v/>
      </c>
      <c r="G7905" s="29">
        <f>VLOOKUP(A7905,Calendar!$A$1:$H$9997,6,FALSE)-F7905</f>
        <v/>
      </c>
      <c r="H7905" s="19" t="n">
        <v>1</v>
      </c>
      <c r="I7905" s="57" t="n">
        <v>8</v>
      </c>
    </row>
    <row r="7906">
      <c r="A7906" s="62" t="n">
        <v>46345</v>
      </c>
      <c r="B7906" s="3" t="inlineStr">
        <is>
          <t>Week</t>
        </is>
      </c>
      <c r="C7906" s="19" t="n">
        <v>11</v>
      </c>
      <c r="D7906" s="19" t="n">
        <v>2026</v>
      </c>
      <c r="E7906" s="57" t="n">
        <v>8</v>
      </c>
      <c r="F7906" s="29">
        <f>ROUND(((SUMIFS(Calendar!$F$2:$F$9997,Calendar!$B$2:$B$9997,D7906,Calendar!$C$2:$C$9997,C7906)*INDEX(ForeCalc!$B$37:$Y$274,MATCH(_xlfn.CONCAT(H7906," ",I7906),ForeCalc!$A$37:$A$274,0),MATCH(_xlfn.CONCAT(B7906," ",E7906),ForeCalc!$B$36:$Y$36,0))))*VLOOKUP(A7906,Calendar!$A$2:$H$9997,8,FALSE),0)</f>
        <v/>
      </c>
      <c r="G7906" s="29">
        <f>VLOOKUP(A7906,Calendar!$A$1:$H$9997,6,FALSE)-F7906</f>
        <v/>
      </c>
      <c r="H7906" s="19" t="n">
        <v>1</v>
      </c>
      <c r="I7906" s="57" t="n">
        <v>8</v>
      </c>
    </row>
    <row r="7907">
      <c r="A7907" s="62" t="n">
        <v>46346</v>
      </c>
      <c r="B7907" s="3" t="inlineStr">
        <is>
          <t>Week</t>
        </is>
      </c>
      <c r="C7907" s="19" t="n">
        <v>11</v>
      </c>
      <c r="D7907" s="19" t="n">
        <v>2026</v>
      </c>
      <c r="E7907" s="57" t="n">
        <v>8</v>
      </c>
      <c r="F7907" s="29">
        <f>ROUND(((SUMIFS(Calendar!$F$2:$F$9997,Calendar!$B$2:$B$9997,D7907,Calendar!$C$2:$C$9997,C7907)*INDEX(ForeCalc!$B$37:$Y$274,MATCH(_xlfn.CONCAT(H7907," ",I7907),ForeCalc!$A$37:$A$274,0),MATCH(_xlfn.CONCAT(B7907," ",E7907),ForeCalc!$B$36:$Y$36,0))))*VLOOKUP(A7907,Calendar!$A$2:$H$9997,8,FALSE),0)</f>
        <v/>
      </c>
      <c r="G7907" s="29">
        <f>VLOOKUP(A7907,Calendar!$A$1:$H$9997,6,FALSE)-F7907</f>
        <v/>
      </c>
      <c r="H7907" s="19" t="n">
        <v>1</v>
      </c>
      <c r="I7907" s="57" t="n">
        <v>8</v>
      </c>
    </row>
    <row r="7908">
      <c r="A7908" s="62" t="n">
        <v>46347</v>
      </c>
      <c r="B7908" s="3" t="inlineStr">
        <is>
          <t>Sat</t>
        </is>
      </c>
      <c r="C7908" s="19" t="n">
        <v>11</v>
      </c>
      <c r="D7908" s="19" t="n">
        <v>2026</v>
      </c>
      <c r="E7908" s="57" t="n">
        <v>8</v>
      </c>
      <c r="F7908" s="29">
        <f>ROUND(((SUMIFS(Calendar!$F$2:$F$9997,Calendar!$B$2:$B$9997,D7908,Calendar!$C$2:$C$9997,C7908)*INDEX(ForeCalc!$B$37:$Y$274,MATCH(_xlfn.CONCAT(H7908," ",I7908),ForeCalc!$A$37:$A$274,0),MATCH(_xlfn.CONCAT(B7908," ",E7908),ForeCalc!$B$36:$Y$36,0))))*VLOOKUP(A7908,Calendar!$A$2:$H$9997,8,FALSE),0)</f>
        <v/>
      </c>
      <c r="G7908" s="29">
        <f>VLOOKUP(A7908,Calendar!$A$1:$H$9997,6,FALSE)-F7908</f>
        <v/>
      </c>
      <c r="H7908" s="19" t="n">
        <v>1</v>
      </c>
      <c r="I7908" s="57" t="n">
        <v>8</v>
      </c>
    </row>
    <row r="7909">
      <c r="A7909" s="62" t="n">
        <v>46348</v>
      </c>
      <c r="B7909" s="3" t="inlineStr">
        <is>
          <t>Sun</t>
        </is>
      </c>
      <c r="C7909" s="19" t="n">
        <v>11</v>
      </c>
      <c r="D7909" s="19" t="n">
        <v>2026</v>
      </c>
      <c r="E7909" s="57" t="n">
        <v>8</v>
      </c>
      <c r="F7909" s="29">
        <f>ROUND(((SUMIFS(Calendar!$F$2:$F$9997,Calendar!$B$2:$B$9997,D7909,Calendar!$C$2:$C$9997,C7909)*INDEX(ForeCalc!$B$37:$Y$274,MATCH(_xlfn.CONCAT(H7909," ",I7909),ForeCalc!$A$37:$A$274,0),MATCH(_xlfn.CONCAT(B7909," ",E7909),ForeCalc!$B$36:$Y$36,0))))*VLOOKUP(A7909,Calendar!$A$2:$H$9997,8,FALSE),0)</f>
        <v/>
      </c>
      <c r="G7909" s="29">
        <f>VLOOKUP(A7909,Calendar!$A$1:$H$9997,6,FALSE)-F7909</f>
        <v/>
      </c>
      <c r="H7909" s="19" t="n">
        <v>1</v>
      </c>
      <c r="I7909" s="57" t="n">
        <v>8</v>
      </c>
    </row>
    <row r="7910">
      <c r="A7910" s="62" t="n">
        <v>46349</v>
      </c>
      <c r="B7910" s="3" t="inlineStr">
        <is>
          <t>Week</t>
        </is>
      </c>
      <c r="C7910" s="19" t="n">
        <v>11</v>
      </c>
      <c r="D7910" s="19" t="n">
        <v>2026</v>
      </c>
      <c r="E7910" s="57" t="n">
        <v>8</v>
      </c>
      <c r="F7910" s="29">
        <f>ROUND(((SUMIFS(Calendar!$F$2:$F$9997,Calendar!$B$2:$B$9997,D7910,Calendar!$C$2:$C$9997,C7910)*INDEX(ForeCalc!$B$37:$Y$274,MATCH(_xlfn.CONCAT(H7910," ",I7910),ForeCalc!$A$37:$A$274,0),MATCH(_xlfn.CONCAT(B7910," ",E7910),ForeCalc!$B$36:$Y$36,0))))*VLOOKUP(A7910,Calendar!$A$2:$H$9997,8,FALSE),0)</f>
        <v/>
      </c>
      <c r="G7910" s="29">
        <f>VLOOKUP(A7910,Calendar!$A$1:$H$9997,6,FALSE)-F7910</f>
        <v/>
      </c>
      <c r="H7910" s="19" t="n">
        <v>1</v>
      </c>
      <c r="I7910" s="57" t="n">
        <v>8</v>
      </c>
    </row>
    <row r="7911">
      <c r="A7911" s="62" t="n">
        <v>46350</v>
      </c>
      <c r="B7911" s="3" t="inlineStr">
        <is>
          <t>Week</t>
        </is>
      </c>
      <c r="C7911" s="19" t="n">
        <v>11</v>
      </c>
      <c r="D7911" s="19" t="n">
        <v>2026</v>
      </c>
      <c r="E7911" s="57" t="n">
        <v>8</v>
      </c>
      <c r="F7911" s="29">
        <f>ROUND(((SUMIFS(Calendar!$F$2:$F$9997,Calendar!$B$2:$B$9997,D7911,Calendar!$C$2:$C$9997,C7911)*INDEX(ForeCalc!$B$37:$Y$274,MATCH(_xlfn.CONCAT(H7911," ",I7911),ForeCalc!$A$37:$A$274,0),MATCH(_xlfn.CONCAT(B7911," ",E7911),ForeCalc!$B$36:$Y$36,0))))*VLOOKUP(A7911,Calendar!$A$2:$H$9997,8,FALSE),0)</f>
        <v/>
      </c>
      <c r="G7911" s="29">
        <f>VLOOKUP(A7911,Calendar!$A$1:$H$9997,6,FALSE)-F7911</f>
        <v/>
      </c>
      <c r="H7911" s="19" t="n">
        <v>1</v>
      </c>
      <c r="I7911" s="57" t="n">
        <v>8</v>
      </c>
    </row>
    <row r="7912">
      <c r="A7912" s="62" t="n">
        <v>46351</v>
      </c>
      <c r="B7912" s="3" t="inlineStr">
        <is>
          <t>Week</t>
        </is>
      </c>
      <c r="C7912" s="19" t="n">
        <v>11</v>
      </c>
      <c r="D7912" s="19" t="n">
        <v>2026</v>
      </c>
      <c r="E7912" s="57" t="n">
        <v>8</v>
      </c>
      <c r="F7912" s="29">
        <f>ROUND(((SUMIFS(Calendar!$F$2:$F$9997,Calendar!$B$2:$B$9997,D7912,Calendar!$C$2:$C$9997,C7912)*INDEX(ForeCalc!$B$37:$Y$274,MATCH(_xlfn.CONCAT(H7912," ",I7912),ForeCalc!$A$37:$A$274,0),MATCH(_xlfn.CONCAT(B7912," ",E7912),ForeCalc!$B$36:$Y$36,0))))*VLOOKUP(A7912,Calendar!$A$2:$H$9997,8,FALSE),0)</f>
        <v/>
      </c>
      <c r="G7912" s="29">
        <f>VLOOKUP(A7912,Calendar!$A$1:$H$9997,6,FALSE)-F7912</f>
        <v/>
      </c>
      <c r="H7912" s="19" t="n">
        <v>1</v>
      </c>
      <c r="I7912" s="57" t="n">
        <v>8</v>
      </c>
    </row>
    <row r="7913">
      <c r="A7913" s="62" t="n">
        <v>46352</v>
      </c>
      <c r="B7913" s="3" t="inlineStr">
        <is>
          <t>Week</t>
        </is>
      </c>
      <c r="C7913" s="19" t="n">
        <v>11</v>
      </c>
      <c r="D7913" s="19" t="n">
        <v>2026</v>
      </c>
      <c r="E7913" s="57" t="n">
        <v>8</v>
      </c>
      <c r="F7913" s="29">
        <f>ROUND(((SUMIFS(Calendar!$F$2:$F$9997,Calendar!$B$2:$B$9997,D7913,Calendar!$C$2:$C$9997,C7913)*INDEX(ForeCalc!$B$37:$Y$274,MATCH(_xlfn.CONCAT(H7913," ",I7913),ForeCalc!$A$37:$A$274,0),MATCH(_xlfn.CONCAT(B7913," ",E7913),ForeCalc!$B$36:$Y$36,0))))*VLOOKUP(A7913,Calendar!$A$2:$H$9997,8,FALSE),0)</f>
        <v/>
      </c>
      <c r="G7913" s="29">
        <f>VLOOKUP(A7913,Calendar!$A$1:$H$9997,6,FALSE)-F7913</f>
        <v/>
      </c>
      <c r="H7913" s="19" t="n">
        <v>1</v>
      </c>
      <c r="I7913" s="57" t="n">
        <v>8</v>
      </c>
    </row>
    <row r="7914">
      <c r="A7914" s="62" t="n">
        <v>46353</v>
      </c>
      <c r="B7914" s="3" t="inlineStr">
        <is>
          <t>Week</t>
        </is>
      </c>
      <c r="C7914" s="19" t="n">
        <v>11</v>
      </c>
      <c r="D7914" s="19" t="n">
        <v>2026</v>
      </c>
      <c r="E7914" s="57" t="n">
        <v>8</v>
      </c>
      <c r="F7914" s="29">
        <f>ROUND(((SUMIFS(Calendar!$F$2:$F$9997,Calendar!$B$2:$B$9997,D7914,Calendar!$C$2:$C$9997,C7914)*INDEX(ForeCalc!$B$37:$Y$274,MATCH(_xlfn.CONCAT(H7914," ",I7914),ForeCalc!$A$37:$A$274,0),MATCH(_xlfn.CONCAT(B7914," ",E7914),ForeCalc!$B$36:$Y$36,0))))*VLOOKUP(A7914,Calendar!$A$2:$H$9997,8,FALSE),0)</f>
        <v/>
      </c>
      <c r="G7914" s="29">
        <f>VLOOKUP(A7914,Calendar!$A$1:$H$9997,6,FALSE)-F7914</f>
        <v/>
      </c>
      <c r="H7914" s="19" t="n">
        <v>1</v>
      </c>
      <c r="I7914" s="57" t="n">
        <v>8</v>
      </c>
    </row>
    <row r="7915">
      <c r="A7915" s="62" t="n">
        <v>46354</v>
      </c>
      <c r="B7915" s="3" t="inlineStr">
        <is>
          <t>Sat</t>
        </is>
      </c>
      <c r="C7915" s="19" t="n">
        <v>11</v>
      </c>
      <c r="D7915" s="19" t="n">
        <v>2026</v>
      </c>
      <c r="E7915" s="57" t="n">
        <v>8</v>
      </c>
      <c r="F7915" s="29">
        <f>ROUND(((SUMIFS(Calendar!$F$2:$F$9997,Calendar!$B$2:$B$9997,D7915,Calendar!$C$2:$C$9997,C7915)*INDEX(ForeCalc!$B$37:$Y$274,MATCH(_xlfn.CONCAT(H7915," ",I7915),ForeCalc!$A$37:$A$274,0),MATCH(_xlfn.CONCAT(B7915," ",E7915),ForeCalc!$B$36:$Y$36,0))))*VLOOKUP(A7915,Calendar!$A$2:$H$9997,8,FALSE),0)</f>
        <v/>
      </c>
      <c r="G7915" s="29">
        <f>VLOOKUP(A7915,Calendar!$A$1:$H$9997,6,FALSE)-F7915</f>
        <v/>
      </c>
      <c r="H7915" s="19" t="n">
        <v>1</v>
      </c>
      <c r="I7915" s="57" t="n">
        <v>8</v>
      </c>
    </row>
    <row r="7916">
      <c r="A7916" s="62" t="n">
        <v>46355</v>
      </c>
      <c r="B7916" s="3" t="inlineStr">
        <is>
          <t>Sun</t>
        </is>
      </c>
      <c r="C7916" s="19" t="n">
        <v>11</v>
      </c>
      <c r="D7916" s="19" t="n">
        <v>2026</v>
      </c>
      <c r="E7916" s="57" t="n">
        <v>8</v>
      </c>
      <c r="F7916" s="29">
        <f>ROUND(((SUMIFS(Calendar!$F$2:$F$9997,Calendar!$B$2:$B$9997,D7916,Calendar!$C$2:$C$9997,C7916)*INDEX(ForeCalc!$B$37:$Y$274,MATCH(_xlfn.CONCAT(H7916," ",I7916),ForeCalc!$A$37:$A$274,0),MATCH(_xlfn.CONCAT(B7916," ",E7916),ForeCalc!$B$36:$Y$36,0))))*VLOOKUP(A7916,Calendar!$A$2:$H$9997,8,FALSE),0)</f>
        <v/>
      </c>
      <c r="G7916" s="29">
        <f>VLOOKUP(A7916,Calendar!$A$1:$H$9997,6,FALSE)-F7916</f>
        <v/>
      </c>
      <c r="H7916" s="19" t="n">
        <v>1</v>
      </c>
      <c r="I7916" s="57" t="n">
        <v>8</v>
      </c>
    </row>
    <row r="7917">
      <c r="A7917" s="62" t="n">
        <v>46356</v>
      </c>
      <c r="B7917" s="3" t="inlineStr">
        <is>
          <t>Week</t>
        </is>
      </c>
      <c r="C7917" s="19" t="n">
        <v>11</v>
      </c>
      <c r="D7917" s="19" t="n">
        <v>2026</v>
      </c>
      <c r="E7917" s="57" t="n">
        <v>8</v>
      </c>
      <c r="F7917" s="29">
        <f>ROUND(((SUMIFS(Calendar!$F$2:$F$9997,Calendar!$B$2:$B$9997,D7917,Calendar!$C$2:$C$9997,C7917)*INDEX(ForeCalc!$B$37:$Y$274,MATCH(_xlfn.CONCAT(H7917," ",I7917),ForeCalc!$A$37:$A$274,0),MATCH(_xlfn.CONCAT(B7917," ",E7917),ForeCalc!$B$36:$Y$36,0))))*VLOOKUP(A7917,Calendar!$A$2:$H$9997,8,FALSE),0)</f>
        <v/>
      </c>
      <c r="G7917" s="29">
        <f>VLOOKUP(A7917,Calendar!$A$1:$H$9997,6,FALSE)-F7917</f>
        <v/>
      </c>
      <c r="H7917" s="19" t="n">
        <v>1</v>
      </c>
      <c r="I7917" s="57" t="n">
        <v>8</v>
      </c>
    </row>
    <row r="7918">
      <c r="A7918" s="62" t="n">
        <v>46357</v>
      </c>
      <c r="B7918" s="3" t="inlineStr">
        <is>
          <t>Week</t>
        </is>
      </c>
      <c r="C7918" s="19" t="n">
        <v>12</v>
      </c>
      <c r="D7918" s="19" t="n">
        <v>2026</v>
      </c>
      <c r="E7918" s="57" t="n">
        <v>8</v>
      </c>
      <c r="F7918" s="29">
        <f>ROUND(((SUMIFS(Calendar!$F$2:$F$9997,Calendar!$B$2:$B$9997,D7918,Calendar!$C$2:$C$9997,C7918)*INDEX(ForeCalc!$B$37:$Y$274,MATCH(_xlfn.CONCAT(H7918," ",I7918),ForeCalc!$A$37:$A$274,0),MATCH(_xlfn.CONCAT(B7918," ",E7918),ForeCalc!$B$36:$Y$36,0))))*VLOOKUP(A7918,Calendar!$A$2:$H$9997,8,FALSE),0)</f>
        <v/>
      </c>
      <c r="G7918" s="29">
        <f>VLOOKUP(A7918,Calendar!$A$1:$H$9997,6,FALSE)-F7918</f>
        <v/>
      </c>
      <c r="H7918" s="19" t="n">
        <v>1</v>
      </c>
      <c r="I7918" s="57" t="n">
        <v>9</v>
      </c>
    </row>
    <row r="7919">
      <c r="A7919" s="62" t="n">
        <v>46358</v>
      </c>
      <c r="B7919" s="3" t="inlineStr">
        <is>
          <t>Week</t>
        </is>
      </c>
      <c r="C7919" s="19" t="n">
        <v>12</v>
      </c>
      <c r="D7919" s="19" t="n">
        <v>2026</v>
      </c>
      <c r="E7919" s="57" t="n">
        <v>8</v>
      </c>
      <c r="F7919" s="29">
        <f>ROUND(((SUMIFS(Calendar!$F$2:$F$9997,Calendar!$B$2:$B$9997,D7919,Calendar!$C$2:$C$9997,C7919)*INDEX(ForeCalc!$B$37:$Y$274,MATCH(_xlfn.CONCAT(H7919," ",I7919),ForeCalc!$A$37:$A$274,0),MATCH(_xlfn.CONCAT(B7919," ",E7919),ForeCalc!$B$36:$Y$36,0))))*VLOOKUP(A7919,Calendar!$A$2:$H$9997,8,FALSE),0)</f>
        <v/>
      </c>
      <c r="G7919" s="29">
        <f>VLOOKUP(A7919,Calendar!$A$1:$H$9997,6,FALSE)-F7919</f>
        <v/>
      </c>
      <c r="H7919" s="19" t="n">
        <v>1</v>
      </c>
      <c r="I7919" s="57" t="n">
        <v>9</v>
      </c>
    </row>
    <row r="7920">
      <c r="A7920" s="62" t="n">
        <v>46359</v>
      </c>
      <c r="B7920" s="3" t="inlineStr">
        <is>
          <t>Week</t>
        </is>
      </c>
      <c r="C7920" s="19" t="n">
        <v>12</v>
      </c>
      <c r="D7920" s="19" t="n">
        <v>2026</v>
      </c>
      <c r="E7920" s="57" t="n">
        <v>8</v>
      </c>
      <c r="F7920" s="29">
        <f>ROUND(((SUMIFS(Calendar!$F$2:$F$9997,Calendar!$B$2:$B$9997,D7920,Calendar!$C$2:$C$9997,C7920)*INDEX(ForeCalc!$B$37:$Y$274,MATCH(_xlfn.CONCAT(H7920," ",I7920),ForeCalc!$A$37:$A$274,0),MATCH(_xlfn.CONCAT(B7920," ",E7920),ForeCalc!$B$36:$Y$36,0))))*VLOOKUP(A7920,Calendar!$A$2:$H$9997,8,FALSE),0)</f>
        <v/>
      </c>
      <c r="G7920" s="29">
        <f>VLOOKUP(A7920,Calendar!$A$1:$H$9997,6,FALSE)-F7920</f>
        <v/>
      </c>
      <c r="H7920" s="19" t="n">
        <v>1</v>
      </c>
      <c r="I7920" s="57" t="n">
        <v>9</v>
      </c>
    </row>
    <row r="7921">
      <c r="A7921" s="62" t="n">
        <v>46360</v>
      </c>
      <c r="B7921" s="3" t="inlineStr">
        <is>
          <t>Week</t>
        </is>
      </c>
      <c r="C7921" s="19" t="n">
        <v>12</v>
      </c>
      <c r="D7921" s="19" t="n">
        <v>2026</v>
      </c>
      <c r="E7921" s="57" t="n">
        <v>8</v>
      </c>
      <c r="F7921" s="29">
        <f>ROUND(((SUMIFS(Calendar!$F$2:$F$9997,Calendar!$B$2:$B$9997,D7921,Calendar!$C$2:$C$9997,C7921)*INDEX(ForeCalc!$B$37:$Y$274,MATCH(_xlfn.CONCAT(H7921," ",I7921),ForeCalc!$A$37:$A$274,0),MATCH(_xlfn.CONCAT(B7921," ",E7921),ForeCalc!$B$36:$Y$36,0))))*VLOOKUP(A7921,Calendar!$A$2:$H$9997,8,FALSE),0)</f>
        <v/>
      </c>
      <c r="G7921" s="29">
        <f>VLOOKUP(A7921,Calendar!$A$1:$H$9997,6,FALSE)-F7921</f>
        <v/>
      </c>
      <c r="H7921" s="19" t="n">
        <v>1</v>
      </c>
      <c r="I7921" s="57" t="n">
        <v>9</v>
      </c>
    </row>
    <row r="7922">
      <c r="A7922" s="62" t="n">
        <v>46361</v>
      </c>
      <c r="B7922" s="3" t="inlineStr">
        <is>
          <t>Sat</t>
        </is>
      </c>
      <c r="C7922" s="19" t="n">
        <v>12</v>
      </c>
      <c r="D7922" s="19" t="n">
        <v>2026</v>
      </c>
      <c r="E7922" s="57" t="n">
        <v>8</v>
      </c>
      <c r="F7922" s="29">
        <f>ROUND(((SUMIFS(Calendar!$F$2:$F$9997,Calendar!$B$2:$B$9997,D7922,Calendar!$C$2:$C$9997,C7922)*INDEX(ForeCalc!$B$37:$Y$274,MATCH(_xlfn.CONCAT(H7922," ",I7922),ForeCalc!$A$37:$A$274,0),MATCH(_xlfn.CONCAT(B7922," ",E7922),ForeCalc!$B$36:$Y$36,0))))*VLOOKUP(A7922,Calendar!$A$2:$H$9997,8,FALSE),0)</f>
        <v/>
      </c>
      <c r="G7922" s="29">
        <f>VLOOKUP(A7922,Calendar!$A$1:$H$9997,6,FALSE)-F7922</f>
        <v/>
      </c>
      <c r="H7922" s="19" t="n">
        <v>1</v>
      </c>
      <c r="I7922" s="57" t="n">
        <v>9</v>
      </c>
    </row>
    <row r="7923">
      <c r="A7923" s="62" t="n">
        <v>46362</v>
      </c>
      <c r="B7923" s="3" t="inlineStr">
        <is>
          <t>Sun</t>
        </is>
      </c>
      <c r="C7923" s="19" t="n">
        <v>12</v>
      </c>
      <c r="D7923" s="19" t="n">
        <v>2026</v>
      </c>
      <c r="E7923" s="57" t="n">
        <v>8</v>
      </c>
      <c r="F7923" s="29">
        <f>ROUND(((SUMIFS(Calendar!$F$2:$F$9997,Calendar!$B$2:$B$9997,D7923,Calendar!$C$2:$C$9997,C7923)*INDEX(ForeCalc!$B$37:$Y$274,MATCH(_xlfn.CONCAT(H7923," ",I7923),ForeCalc!$A$37:$A$274,0),MATCH(_xlfn.CONCAT(B7923," ",E7923),ForeCalc!$B$36:$Y$36,0))))*VLOOKUP(A7923,Calendar!$A$2:$H$9997,8,FALSE),0)</f>
        <v/>
      </c>
      <c r="G7923" s="29">
        <f>VLOOKUP(A7923,Calendar!$A$1:$H$9997,6,FALSE)-F7923</f>
        <v/>
      </c>
      <c r="H7923" s="19" t="n">
        <v>1</v>
      </c>
      <c r="I7923" s="57" t="n">
        <v>9</v>
      </c>
    </row>
    <row r="7924">
      <c r="A7924" s="62" t="n">
        <v>46363</v>
      </c>
      <c r="B7924" s="3" t="inlineStr">
        <is>
          <t>Week</t>
        </is>
      </c>
      <c r="C7924" s="19" t="n">
        <v>12</v>
      </c>
      <c r="D7924" s="19" t="n">
        <v>2026</v>
      </c>
      <c r="E7924" s="57" t="n">
        <v>8</v>
      </c>
      <c r="F7924" s="29">
        <f>ROUND(((SUMIFS(Calendar!$F$2:$F$9997,Calendar!$B$2:$B$9997,D7924,Calendar!$C$2:$C$9997,C7924)*INDEX(ForeCalc!$B$37:$Y$274,MATCH(_xlfn.CONCAT(H7924," ",I7924),ForeCalc!$A$37:$A$274,0),MATCH(_xlfn.CONCAT(B7924," ",E7924),ForeCalc!$B$36:$Y$36,0))))*VLOOKUP(A7924,Calendar!$A$2:$H$9997,8,FALSE),0)</f>
        <v/>
      </c>
      <c r="G7924" s="29">
        <f>VLOOKUP(A7924,Calendar!$A$1:$H$9997,6,FALSE)-F7924</f>
        <v/>
      </c>
      <c r="H7924" s="19" t="n">
        <v>1</v>
      </c>
      <c r="I7924" s="57" t="n">
        <v>9</v>
      </c>
    </row>
    <row r="7925">
      <c r="A7925" s="62" t="n">
        <v>46364</v>
      </c>
      <c r="B7925" s="3" t="inlineStr">
        <is>
          <t>Week</t>
        </is>
      </c>
      <c r="C7925" s="19" t="n">
        <v>12</v>
      </c>
      <c r="D7925" s="19" t="n">
        <v>2026</v>
      </c>
      <c r="E7925" s="57" t="n">
        <v>8</v>
      </c>
      <c r="F7925" s="29">
        <f>ROUND(((SUMIFS(Calendar!$F$2:$F$9997,Calendar!$B$2:$B$9997,D7925,Calendar!$C$2:$C$9997,C7925)*INDEX(ForeCalc!$B$37:$Y$274,MATCH(_xlfn.CONCAT(H7925," ",I7925),ForeCalc!$A$37:$A$274,0),MATCH(_xlfn.CONCAT(B7925," ",E7925),ForeCalc!$B$36:$Y$36,0))))*VLOOKUP(A7925,Calendar!$A$2:$H$9997,8,FALSE),0)</f>
        <v/>
      </c>
      <c r="G7925" s="29">
        <f>VLOOKUP(A7925,Calendar!$A$1:$H$9997,6,FALSE)-F7925</f>
        <v/>
      </c>
      <c r="H7925" s="19" t="n">
        <v>1</v>
      </c>
      <c r="I7925" s="57" t="n">
        <v>9</v>
      </c>
    </row>
    <row r="7926">
      <c r="A7926" s="62" t="n">
        <v>46365</v>
      </c>
      <c r="B7926" s="3" t="inlineStr">
        <is>
          <t>Week</t>
        </is>
      </c>
      <c r="C7926" s="19" t="n">
        <v>12</v>
      </c>
      <c r="D7926" s="19" t="n">
        <v>2026</v>
      </c>
      <c r="E7926" s="57" t="n">
        <v>8</v>
      </c>
      <c r="F7926" s="29">
        <f>ROUND(((SUMIFS(Calendar!$F$2:$F$9997,Calendar!$B$2:$B$9997,D7926,Calendar!$C$2:$C$9997,C7926)*INDEX(ForeCalc!$B$37:$Y$274,MATCH(_xlfn.CONCAT(H7926," ",I7926),ForeCalc!$A$37:$A$274,0),MATCH(_xlfn.CONCAT(B7926," ",E7926),ForeCalc!$B$36:$Y$36,0))))*VLOOKUP(A7926,Calendar!$A$2:$H$9997,8,FALSE),0)</f>
        <v/>
      </c>
      <c r="G7926" s="29">
        <f>VLOOKUP(A7926,Calendar!$A$1:$H$9997,6,FALSE)-F7926</f>
        <v/>
      </c>
      <c r="H7926" s="19" t="n">
        <v>1</v>
      </c>
      <c r="I7926" s="57" t="n">
        <v>9</v>
      </c>
    </row>
    <row r="7927">
      <c r="A7927" s="62" t="n">
        <v>46366</v>
      </c>
      <c r="B7927" s="3" t="inlineStr">
        <is>
          <t>Week</t>
        </is>
      </c>
      <c r="C7927" s="19" t="n">
        <v>12</v>
      </c>
      <c r="D7927" s="19" t="n">
        <v>2026</v>
      </c>
      <c r="E7927" s="57" t="n">
        <v>8</v>
      </c>
      <c r="F7927" s="29">
        <f>ROUND(((SUMIFS(Calendar!$F$2:$F$9997,Calendar!$B$2:$B$9997,D7927,Calendar!$C$2:$C$9997,C7927)*INDEX(ForeCalc!$B$37:$Y$274,MATCH(_xlfn.CONCAT(H7927," ",I7927),ForeCalc!$A$37:$A$274,0),MATCH(_xlfn.CONCAT(B7927," ",E7927),ForeCalc!$B$36:$Y$36,0))))*VLOOKUP(A7927,Calendar!$A$2:$H$9997,8,FALSE),0)</f>
        <v/>
      </c>
      <c r="G7927" s="29">
        <f>VLOOKUP(A7927,Calendar!$A$1:$H$9997,6,FALSE)-F7927</f>
        <v/>
      </c>
      <c r="H7927" s="19" t="n">
        <v>1</v>
      </c>
      <c r="I7927" s="57" t="n">
        <v>9</v>
      </c>
    </row>
    <row r="7928">
      <c r="A7928" s="62" t="n">
        <v>46367</v>
      </c>
      <c r="B7928" s="3" t="inlineStr">
        <is>
          <t>Week</t>
        </is>
      </c>
      <c r="C7928" s="19" t="n">
        <v>12</v>
      </c>
      <c r="D7928" s="19" t="n">
        <v>2026</v>
      </c>
      <c r="E7928" s="57" t="n">
        <v>8</v>
      </c>
      <c r="F7928" s="29">
        <f>ROUND(((SUMIFS(Calendar!$F$2:$F$9997,Calendar!$B$2:$B$9997,D7928,Calendar!$C$2:$C$9997,C7928)*INDEX(ForeCalc!$B$37:$Y$274,MATCH(_xlfn.CONCAT(H7928," ",I7928),ForeCalc!$A$37:$A$274,0),MATCH(_xlfn.CONCAT(B7928," ",E7928),ForeCalc!$B$36:$Y$36,0))))*VLOOKUP(A7928,Calendar!$A$2:$H$9997,8,FALSE),0)</f>
        <v/>
      </c>
      <c r="G7928" s="29">
        <f>VLOOKUP(A7928,Calendar!$A$1:$H$9997,6,FALSE)-F7928</f>
        <v/>
      </c>
      <c r="H7928" s="19" t="n">
        <v>1</v>
      </c>
      <c r="I7928" s="57" t="n">
        <v>9</v>
      </c>
    </row>
    <row r="7929">
      <c r="A7929" s="62" t="n">
        <v>46368</v>
      </c>
      <c r="B7929" s="3" t="inlineStr">
        <is>
          <t>Sat</t>
        </is>
      </c>
      <c r="C7929" s="19" t="n">
        <v>12</v>
      </c>
      <c r="D7929" s="19" t="n">
        <v>2026</v>
      </c>
      <c r="E7929" s="57" t="n">
        <v>8</v>
      </c>
      <c r="F7929" s="29">
        <f>ROUND(((SUMIFS(Calendar!$F$2:$F$9997,Calendar!$B$2:$B$9997,D7929,Calendar!$C$2:$C$9997,C7929)*INDEX(ForeCalc!$B$37:$Y$274,MATCH(_xlfn.CONCAT(H7929," ",I7929),ForeCalc!$A$37:$A$274,0),MATCH(_xlfn.CONCAT(B7929," ",E7929),ForeCalc!$B$36:$Y$36,0))))*VLOOKUP(A7929,Calendar!$A$2:$H$9997,8,FALSE),0)</f>
        <v/>
      </c>
      <c r="G7929" s="29">
        <f>VLOOKUP(A7929,Calendar!$A$1:$H$9997,6,FALSE)-F7929</f>
        <v/>
      </c>
      <c r="H7929" s="19" t="n">
        <v>1</v>
      </c>
      <c r="I7929" s="57" t="n">
        <v>9</v>
      </c>
    </row>
    <row r="7930">
      <c r="A7930" s="62" t="n">
        <v>46369</v>
      </c>
      <c r="B7930" s="3" t="inlineStr">
        <is>
          <t>Sun</t>
        </is>
      </c>
      <c r="C7930" s="19" t="n">
        <v>12</v>
      </c>
      <c r="D7930" s="19" t="n">
        <v>2026</v>
      </c>
      <c r="E7930" s="57" t="n">
        <v>8</v>
      </c>
      <c r="F7930" s="29">
        <f>ROUND(((SUMIFS(Calendar!$F$2:$F$9997,Calendar!$B$2:$B$9997,D7930,Calendar!$C$2:$C$9997,C7930)*INDEX(ForeCalc!$B$37:$Y$274,MATCH(_xlfn.CONCAT(H7930," ",I7930),ForeCalc!$A$37:$A$274,0),MATCH(_xlfn.CONCAT(B7930," ",E7930),ForeCalc!$B$36:$Y$36,0))))*VLOOKUP(A7930,Calendar!$A$2:$H$9997,8,FALSE),0)</f>
        <v/>
      </c>
      <c r="G7930" s="29">
        <f>VLOOKUP(A7930,Calendar!$A$1:$H$9997,6,FALSE)-F7930</f>
        <v/>
      </c>
      <c r="H7930" s="19" t="n">
        <v>1</v>
      </c>
      <c r="I7930" s="57" t="n">
        <v>9</v>
      </c>
    </row>
    <row r="7931">
      <c r="A7931" s="62" t="n">
        <v>46370</v>
      </c>
      <c r="B7931" s="3" t="inlineStr">
        <is>
          <t>Week</t>
        </is>
      </c>
      <c r="C7931" s="19" t="n">
        <v>12</v>
      </c>
      <c r="D7931" s="19" t="n">
        <v>2026</v>
      </c>
      <c r="E7931" s="57" t="n">
        <v>8</v>
      </c>
      <c r="F7931" s="29">
        <f>ROUND(((SUMIFS(Calendar!$F$2:$F$9997,Calendar!$B$2:$B$9997,D7931,Calendar!$C$2:$C$9997,C7931)*INDEX(ForeCalc!$B$37:$Y$274,MATCH(_xlfn.CONCAT(H7931," ",I7931),ForeCalc!$A$37:$A$274,0),MATCH(_xlfn.CONCAT(B7931," ",E7931),ForeCalc!$B$36:$Y$36,0))))*VLOOKUP(A7931,Calendar!$A$2:$H$9997,8,FALSE),0)</f>
        <v/>
      </c>
      <c r="G7931" s="29">
        <f>VLOOKUP(A7931,Calendar!$A$1:$H$9997,6,FALSE)-F7931</f>
        <v/>
      </c>
      <c r="H7931" s="19" t="n">
        <v>1</v>
      </c>
      <c r="I7931" s="57" t="n">
        <v>9</v>
      </c>
    </row>
    <row r="7932">
      <c r="A7932" s="62" t="n">
        <v>46371</v>
      </c>
      <c r="B7932" s="3" t="inlineStr">
        <is>
          <t>Week</t>
        </is>
      </c>
      <c r="C7932" s="19" t="n">
        <v>12</v>
      </c>
      <c r="D7932" s="19" t="n">
        <v>2026</v>
      </c>
      <c r="E7932" s="57" t="n">
        <v>8</v>
      </c>
      <c r="F7932" s="29">
        <f>ROUND(((SUMIFS(Calendar!$F$2:$F$9997,Calendar!$B$2:$B$9997,D7932,Calendar!$C$2:$C$9997,C7932)*INDEX(ForeCalc!$B$37:$Y$274,MATCH(_xlfn.CONCAT(H7932," ",I7932),ForeCalc!$A$37:$A$274,0),MATCH(_xlfn.CONCAT(B7932," ",E7932),ForeCalc!$B$36:$Y$36,0))))*VLOOKUP(A7932,Calendar!$A$2:$H$9997,8,FALSE),0)</f>
        <v/>
      </c>
      <c r="G7932" s="29">
        <f>VLOOKUP(A7932,Calendar!$A$1:$H$9997,6,FALSE)-F7932</f>
        <v/>
      </c>
      <c r="H7932" s="19" t="n">
        <v>1</v>
      </c>
      <c r="I7932" s="57" t="n">
        <v>9</v>
      </c>
    </row>
    <row r="7933">
      <c r="A7933" s="62" t="n">
        <v>46372</v>
      </c>
      <c r="B7933" s="3" t="inlineStr">
        <is>
          <t>Week</t>
        </is>
      </c>
      <c r="C7933" s="19" t="n">
        <v>12</v>
      </c>
      <c r="D7933" s="19" t="n">
        <v>2026</v>
      </c>
      <c r="E7933" s="57" t="n">
        <v>8</v>
      </c>
      <c r="F7933" s="29">
        <f>ROUND(((SUMIFS(Calendar!$F$2:$F$9997,Calendar!$B$2:$B$9997,D7933,Calendar!$C$2:$C$9997,C7933)*INDEX(ForeCalc!$B$37:$Y$274,MATCH(_xlfn.CONCAT(H7933," ",I7933),ForeCalc!$A$37:$A$274,0),MATCH(_xlfn.CONCAT(B7933," ",E7933),ForeCalc!$B$36:$Y$36,0))))*VLOOKUP(A7933,Calendar!$A$2:$H$9997,8,FALSE),0)</f>
        <v/>
      </c>
      <c r="G7933" s="29">
        <f>VLOOKUP(A7933,Calendar!$A$1:$H$9997,6,FALSE)-F7933</f>
        <v/>
      </c>
      <c r="H7933" s="19" t="n">
        <v>1</v>
      </c>
      <c r="I7933" s="57" t="n">
        <v>9</v>
      </c>
    </row>
    <row r="7934">
      <c r="A7934" s="62" t="n">
        <v>46373</v>
      </c>
      <c r="B7934" s="3" t="inlineStr">
        <is>
          <t>Week</t>
        </is>
      </c>
      <c r="C7934" s="19" t="n">
        <v>12</v>
      </c>
      <c r="D7934" s="19" t="n">
        <v>2026</v>
      </c>
      <c r="E7934" s="57" t="n">
        <v>8</v>
      </c>
      <c r="F7934" s="29">
        <f>ROUND(((SUMIFS(Calendar!$F$2:$F$9997,Calendar!$B$2:$B$9997,D7934,Calendar!$C$2:$C$9997,C7934)*INDEX(ForeCalc!$B$37:$Y$274,MATCH(_xlfn.CONCAT(H7934," ",I7934),ForeCalc!$A$37:$A$274,0),MATCH(_xlfn.CONCAT(B7934," ",E7934),ForeCalc!$B$36:$Y$36,0))))*VLOOKUP(A7934,Calendar!$A$2:$H$9997,8,FALSE),0)</f>
        <v/>
      </c>
      <c r="G7934" s="29">
        <f>VLOOKUP(A7934,Calendar!$A$1:$H$9997,6,FALSE)-F7934</f>
        <v/>
      </c>
      <c r="H7934" s="19" t="n">
        <v>1</v>
      </c>
      <c r="I7934" s="57" t="n">
        <v>9</v>
      </c>
    </row>
    <row r="7935">
      <c r="A7935" s="62" t="n">
        <v>46374</v>
      </c>
      <c r="B7935" s="3" t="inlineStr">
        <is>
          <t>Week</t>
        </is>
      </c>
      <c r="C7935" s="19" t="n">
        <v>12</v>
      </c>
      <c r="D7935" s="19" t="n">
        <v>2026</v>
      </c>
      <c r="E7935" s="57" t="n">
        <v>8</v>
      </c>
      <c r="F7935" s="29">
        <f>ROUND(((SUMIFS(Calendar!$F$2:$F$9997,Calendar!$B$2:$B$9997,D7935,Calendar!$C$2:$C$9997,C7935)*INDEX(ForeCalc!$B$37:$Y$274,MATCH(_xlfn.CONCAT(H7935," ",I7935),ForeCalc!$A$37:$A$274,0),MATCH(_xlfn.CONCAT(B7935," ",E7935),ForeCalc!$B$36:$Y$36,0))))*VLOOKUP(A7935,Calendar!$A$2:$H$9997,8,FALSE),0)</f>
        <v/>
      </c>
      <c r="G7935" s="29">
        <f>VLOOKUP(A7935,Calendar!$A$1:$H$9997,6,FALSE)-F7935</f>
        <v/>
      </c>
      <c r="H7935" s="19" t="n">
        <v>1</v>
      </c>
      <c r="I7935" s="57" t="n">
        <v>9</v>
      </c>
    </row>
    <row r="7936">
      <c r="A7936" s="62" t="n">
        <v>46375</v>
      </c>
      <c r="B7936" s="3" t="inlineStr">
        <is>
          <t>Sat</t>
        </is>
      </c>
      <c r="C7936" s="19" t="n">
        <v>12</v>
      </c>
      <c r="D7936" s="19" t="n">
        <v>2026</v>
      </c>
      <c r="E7936" s="57" t="n">
        <v>8</v>
      </c>
      <c r="F7936" s="29">
        <f>ROUND(((SUMIFS(Calendar!$F$2:$F$9997,Calendar!$B$2:$B$9997,D7936,Calendar!$C$2:$C$9997,C7936)*INDEX(ForeCalc!$B$37:$Y$274,MATCH(_xlfn.CONCAT(H7936," ",I7936),ForeCalc!$A$37:$A$274,0),MATCH(_xlfn.CONCAT(B7936," ",E7936),ForeCalc!$B$36:$Y$36,0))))*VLOOKUP(A7936,Calendar!$A$2:$H$9997,8,FALSE),0)</f>
        <v/>
      </c>
      <c r="G7936" s="29">
        <f>VLOOKUP(A7936,Calendar!$A$1:$H$9997,6,FALSE)-F7936</f>
        <v/>
      </c>
      <c r="H7936" s="19" t="n">
        <v>1</v>
      </c>
      <c r="I7936" s="57" t="n">
        <v>9</v>
      </c>
    </row>
    <row r="7937">
      <c r="A7937" s="62" t="n">
        <v>46376</v>
      </c>
      <c r="B7937" s="3" t="inlineStr">
        <is>
          <t>Sun</t>
        </is>
      </c>
      <c r="C7937" s="19" t="n">
        <v>12</v>
      </c>
      <c r="D7937" s="19" t="n">
        <v>2026</v>
      </c>
      <c r="E7937" s="57" t="n">
        <v>8</v>
      </c>
      <c r="F7937" s="29">
        <f>ROUND(((SUMIFS(Calendar!$F$2:$F$9997,Calendar!$B$2:$B$9997,D7937,Calendar!$C$2:$C$9997,C7937)*INDEX(ForeCalc!$B$37:$Y$274,MATCH(_xlfn.CONCAT(H7937," ",I7937),ForeCalc!$A$37:$A$274,0),MATCH(_xlfn.CONCAT(B7937," ",E7937),ForeCalc!$B$36:$Y$36,0))))*VLOOKUP(A7937,Calendar!$A$2:$H$9997,8,FALSE),0)</f>
        <v/>
      </c>
      <c r="G7937" s="29">
        <f>VLOOKUP(A7937,Calendar!$A$1:$H$9997,6,FALSE)-F7937</f>
        <v/>
      </c>
      <c r="H7937" s="19" t="n">
        <v>1</v>
      </c>
      <c r="I7937" s="57" t="n">
        <v>9</v>
      </c>
    </row>
    <row r="7938">
      <c r="A7938" s="62" t="n">
        <v>46377</v>
      </c>
      <c r="B7938" s="3" t="inlineStr">
        <is>
          <t>Week</t>
        </is>
      </c>
      <c r="C7938" s="19" t="n">
        <v>12</v>
      </c>
      <c r="D7938" s="19" t="n">
        <v>2026</v>
      </c>
      <c r="E7938" s="57" t="n">
        <v>8</v>
      </c>
      <c r="F7938" s="29">
        <f>ROUND(((SUMIFS(Calendar!$F$2:$F$9997,Calendar!$B$2:$B$9997,D7938,Calendar!$C$2:$C$9997,C7938)*INDEX(ForeCalc!$B$37:$Y$274,MATCH(_xlfn.CONCAT(H7938," ",I7938),ForeCalc!$A$37:$A$274,0),MATCH(_xlfn.CONCAT(B7938," ",E7938),ForeCalc!$B$36:$Y$36,0))))*VLOOKUP(A7938,Calendar!$A$2:$H$9997,8,FALSE),0)</f>
        <v/>
      </c>
      <c r="G7938" s="29">
        <f>VLOOKUP(A7938,Calendar!$A$1:$H$9997,6,FALSE)-F7938</f>
        <v/>
      </c>
      <c r="H7938" s="19" t="n">
        <v>1</v>
      </c>
      <c r="I7938" s="57" t="n">
        <v>9</v>
      </c>
    </row>
    <row r="7939">
      <c r="A7939" s="62" t="n">
        <v>46378</v>
      </c>
      <c r="B7939" s="3" t="inlineStr">
        <is>
          <t>Week</t>
        </is>
      </c>
      <c r="C7939" s="19" t="n">
        <v>12</v>
      </c>
      <c r="D7939" s="19" t="n">
        <v>2026</v>
      </c>
      <c r="E7939" s="57" t="n">
        <v>8</v>
      </c>
      <c r="F7939" s="29">
        <f>ROUND(((SUMIFS(Calendar!$F$2:$F$9997,Calendar!$B$2:$B$9997,D7939,Calendar!$C$2:$C$9997,C7939)*INDEX(ForeCalc!$B$37:$Y$274,MATCH(_xlfn.CONCAT(H7939," ",I7939),ForeCalc!$A$37:$A$274,0),MATCH(_xlfn.CONCAT(B7939," ",E7939),ForeCalc!$B$36:$Y$36,0))))*VLOOKUP(A7939,Calendar!$A$2:$H$9997,8,FALSE),0)</f>
        <v/>
      </c>
      <c r="G7939" s="29">
        <f>VLOOKUP(A7939,Calendar!$A$1:$H$9997,6,FALSE)-F7939</f>
        <v/>
      </c>
      <c r="H7939" s="19" t="n">
        <v>1</v>
      </c>
      <c r="I7939" s="57" t="n">
        <v>9</v>
      </c>
    </row>
    <row r="7940">
      <c r="A7940" s="62" t="n">
        <v>46379</v>
      </c>
      <c r="B7940" s="3" t="inlineStr">
        <is>
          <t>Week</t>
        </is>
      </c>
      <c r="C7940" s="19" t="n">
        <v>12</v>
      </c>
      <c r="D7940" s="19" t="n">
        <v>2026</v>
      </c>
      <c r="E7940" s="57" t="n">
        <v>8</v>
      </c>
      <c r="F7940" s="29">
        <f>ROUND(((SUMIFS(Calendar!$F$2:$F$9997,Calendar!$B$2:$B$9997,D7940,Calendar!$C$2:$C$9997,C7940)*INDEX(ForeCalc!$B$37:$Y$274,MATCH(_xlfn.CONCAT(H7940," ",I7940),ForeCalc!$A$37:$A$274,0),MATCH(_xlfn.CONCAT(B7940," ",E7940),ForeCalc!$B$36:$Y$36,0))))*VLOOKUP(A7940,Calendar!$A$2:$H$9997,8,FALSE),0)</f>
        <v/>
      </c>
      <c r="G7940" s="29">
        <f>VLOOKUP(A7940,Calendar!$A$1:$H$9997,6,FALSE)-F7940</f>
        <v/>
      </c>
      <c r="H7940" s="19" t="n">
        <v>1</v>
      </c>
      <c r="I7940" s="57" t="n">
        <v>9</v>
      </c>
    </row>
    <row r="7941">
      <c r="A7941" s="62" t="n">
        <v>46380</v>
      </c>
      <c r="B7941" s="3" t="inlineStr">
        <is>
          <t>Week</t>
        </is>
      </c>
      <c r="C7941" s="19" t="n">
        <v>12</v>
      </c>
      <c r="D7941" s="19" t="n">
        <v>2026</v>
      </c>
      <c r="E7941" s="57" t="n">
        <v>8</v>
      </c>
      <c r="F7941" s="29">
        <f>ROUND(((SUMIFS(Calendar!$F$2:$F$9997,Calendar!$B$2:$B$9997,D7941,Calendar!$C$2:$C$9997,C7941)*INDEX(ForeCalc!$B$37:$Y$274,MATCH(_xlfn.CONCAT(H7941," ",I7941),ForeCalc!$A$37:$A$274,0),MATCH(_xlfn.CONCAT(B7941," ",E7941),ForeCalc!$B$36:$Y$36,0))))*VLOOKUP(A7941,Calendar!$A$2:$H$9997,8,FALSE),0)</f>
        <v/>
      </c>
      <c r="G7941" s="29">
        <f>VLOOKUP(A7941,Calendar!$A$1:$H$9997,6,FALSE)-F7941</f>
        <v/>
      </c>
      <c r="H7941" s="19" t="n">
        <v>1</v>
      </c>
      <c r="I7941" s="57" t="n">
        <v>9</v>
      </c>
    </row>
    <row r="7942">
      <c r="A7942" s="62" t="n">
        <v>46381</v>
      </c>
      <c r="B7942" s="3" t="inlineStr">
        <is>
          <t>Week</t>
        </is>
      </c>
      <c r="C7942" s="19" t="n">
        <v>12</v>
      </c>
      <c r="D7942" s="19" t="n">
        <v>2026</v>
      </c>
      <c r="E7942" s="57" t="n">
        <v>8</v>
      </c>
      <c r="F7942" s="29">
        <f>ROUND(((SUMIFS(Calendar!$F$2:$F$9997,Calendar!$B$2:$B$9997,D7942,Calendar!$C$2:$C$9997,C7942)*INDEX(ForeCalc!$B$37:$Y$274,MATCH(_xlfn.CONCAT(H7942," ",I7942),ForeCalc!$A$37:$A$274,0),MATCH(_xlfn.CONCAT(B7942," ",E7942),ForeCalc!$B$36:$Y$36,0))))*VLOOKUP(A7942,Calendar!$A$2:$H$9997,8,FALSE),0)</f>
        <v/>
      </c>
      <c r="G7942" s="29">
        <f>VLOOKUP(A7942,Calendar!$A$1:$H$9997,6,FALSE)-F7942</f>
        <v/>
      </c>
      <c r="H7942" s="19" t="n">
        <v>1</v>
      </c>
      <c r="I7942" s="57" t="n">
        <v>9</v>
      </c>
    </row>
    <row r="7943">
      <c r="A7943" s="62" t="n">
        <v>46382</v>
      </c>
      <c r="B7943" s="3" t="inlineStr">
        <is>
          <t>Sat</t>
        </is>
      </c>
      <c r="C7943" s="19" t="n">
        <v>12</v>
      </c>
      <c r="D7943" s="19" t="n">
        <v>2026</v>
      </c>
      <c r="E7943" s="57" t="n">
        <v>8</v>
      </c>
      <c r="F7943" s="29">
        <f>ROUND(((SUMIFS(Calendar!$F$2:$F$9997,Calendar!$B$2:$B$9997,D7943,Calendar!$C$2:$C$9997,C7943)*INDEX(ForeCalc!$B$37:$Y$274,MATCH(_xlfn.CONCAT(H7943," ",I7943),ForeCalc!$A$37:$A$274,0),MATCH(_xlfn.CONCAT(B7943," ",E7943),ForeCalc!$B$36:$Y$36,0))))*VLOOKUP(A7943,Calendar!$A$2:$H$9997,8,FALSE),0)</f>
        <v/>
      </c>
      <c r="G7943" s="29">
        <f>VLOOKUP(A7943,Calendar!$A$1:$H$9997,6,FALSE)-F7943</f>
        <v/>
      </c>
      <c r="H7943" s="19" t="n">
        <v>1</v>
      </c>
      <c r="I7943" s="57" t="n">
        <v>9</v>
      </c>
    </row>
    <row r="7944">
      <c r="A7944" s="62" t="n">
        <v>46383</v>
      </c>
      <c r="B7944" s="3" t="inlineStr">
        <is>
          <t>Sun</t>
        </is>
      </c>
      <c r="C7944" s="19" t="n">
        <v>12</v>
      </c>
      <c r="D7944" s="19" t="n">
        <v>2026</v>
      </c>
      <c r="E7944" s="57" t="n">
        <v>8</v>
      </c>
      <c r="F7944" s="29">
        <f>ROUND(((SUMIFS(Calendar!$F$2:$F$9997,Calendar!$B$2:$B$9997,D7944,Calendar!$C$2:$C$9997,C7944)*INDEX(ForeCalc!$B$37:$Y$274,MATCH(_xlfn.CONCAT(H7944," ",I7944),ForeCalc!$A$37:$A$274,0),MATCH(_xlfn.CONCAT(B7944," ",E7944),ForeCalc!$B$36:$Y$36,0))))*VLOOKUP(A7944,Calendar!$A$2:$H$9997,8,FALSE),0)</f>
        <v/>
      </c>
      <c r="G7944" s="29">
        <f>VLOOKUP(A7944,Calendar!$A$1:$H$9997,6,FALSE)-F7944</f>
        <v/>
      </c>
      <c r="H7944" s="19" t="n">
        <v>1</v>
      </c>
      <c r="I7944" s="57" t="n">
        <v>9</v>
      </c>
    </row>
    <row r="7945">
      <c r="A7945" s="62" t="n">
        <v>46384</v>
      </c>
      <c r="B7945" s="3" t="inlineStr">
        <is>
          <t>Week</t>
        </is>
      </c>
      <c r="C7945" s="19" t="n">
        <v>12</v>
      </c>
      <c r="D7945" s="19" t="n">
        <v>2026</v>
      </c>
      <c r="E7945" s="57" t="n">
        <v>8</v>
      </c>
      <c r="F7945" s="29">
        <f>ROUND(((SUMIFS(Calendar!$F$2:$F$9997,Calendar!$B$2:$B$9997,D7945,Calendar!$C$2:$C$9997,C7945)*INDEX(ForeCalc!$B$37:$Y$274,MATCH(_xlfn.CONCAT(H7945," ",I7945),ForeCalc!$A$37:$A$274,0),MATCH(_xlfn.CONCAT(B7945," ",E7945),ForeCalc!$B$36:$Y$36,0))))*VLOOKUP(A7945,Calendar!$A$2:$H$9997,8,FALSE),0)</f>
        <v/>
      </c>
      <c r="G7945" s="29">
        <f>VLOOKUP(A7945,Calendar!$A$1:$H$9997,6,FALSE)-F7945</f>
        <v/>
      </c>
      <c r="H7945" s="19" t="n">
        <v>1</v>
      </c>
      <c r="I7945" s="57" t="n">
        <v>9</v>
      </c>
    </row>
    <row r="7946">
      <c r="A7946" s="62" t="n">
        <v>46385</v>
      </c>
      <c r="B7946" s="3" t="inlineStr">
        <is>
          <t>Week</t>
        </is>
      </c>
      <c r="C7946" s="19" t="n">
        <v>12</v>
      </c>
      <c r="D7946" s="19" t="n">
        <v>2026</v>
      </c>
      <c r="E7946" s="57" t="n">
        <v>8</v>
      </c>
      <c r="F7946" s="29">
        <f>ROUND(((SUMIFS(Calendar!$F$2:$F$9997,Calendar!$B$2:$B$9997,D7946,Calendar!$C$2:$C$9997,C7946)*INDEX(ForeCalc!$B$37:$Y$274,MATCH(_xlfn.CONCAT(H7946," ",I7946),ForeCalc!$A$37:$A$274,0),MATCH(_xlfn.CONCAT(B7946," ",E7946),ForeCalc!$B$36:$Y$36,0))))*VLOOKUP(A7946,Calendar!$A$2:$H$9997,8,FALSE),0)</f>
        <v/>
      </c>
      <c r="G7946" s="29">
        <f>VLOOKUP(A7946,Calendar!$A$1:$H$9997,6,FALSE)-F7946</f>
        <v/>
      </c>
      <c r="H7946" s="19" t="n">
        <v>1</v>
      </c>
      <c r="I7946" s="57" t="n">
        <v>9</v>
      </c>
    </row>
    <row r="7947">
      <c r="A7947" s="62" t="n">
        <v>46386</v>
      </c>
      <c r="B7947" s="3" t="inlineStr">
        <is>
          <t>Week</t>
        </is>
      </c>
      <c r="C7947" s="19" t="n">
        <v>12</v>
      </c>
      <c r="D7947" s="19" t="n">
        <v>2026</v>
      </c>
      <c r="E7947" s="57" t="n">
        <v>8</v>
      </c>
      <c r="F7947" s="29">
        <f>ROUND(((SUMIFS(Calendar!$F$2:$F$9997,Calendar!$B$2:$B$9997,D7947,Calendar!$C$2:$C$9997,C7947)*INDEX(ForeCalc!$B$37:$Y$274,MATCH(_xlfn.CONCAT(H7947," ",I7947),ForeCalc!$A$37:$A$274,0),MATCH(_xlfn.CONCAT(B7947," ",E7947),ForeCalc!$B$36:$Y$36,0))))*VLOOKUP(A7947,Calendar!$A$2:$H$9997,8,FALSE),0)</f>
        <v/>
      </c>
      <c r="G7947" s="29">
        <f>VLOOKUP(A7947,Calendar!$A$1:$H$9997,6,FALSE)-F7947</f>
        <v/>
      </c>
      <c r="H7947" s="19" t="n">
        <v>1</v>
      </c>
      <c r="I7947" s="57" t="n">
        <v>9</v>
      </c>
    </row>
    <row r="7948">
      <c r="A7948" s="62" t="n">
        <v>46387</v>
      </c>
      <c r="B7948" s="3" t="inlineStr">
        <is>
          <t>Week</t>
        </is>
      </c>
      <c r="C7948" s="19" t="n">
        <v>12</v>
      </c>
      <c r="D7948" s="19" t="n">
        <v>2026</v>
      </c>
      <c r="E7948" s="57" t="n">
        <v>8</v>
      </c>
      <c r="F7948" s="29">
        <f>ROUND(((SUMIFS(Calendar!$F$2:$F$9997,Calendar!$B$2:$B$9997,D7948,Calendar!$C$2:$C$9997,C7948)*INDEX(ForeCalc!$B$37:$Y$274,MATCH(_xlfn.CONCAT(H7948," ",I7948),ForeCalc!$A$37:$A$274,0),MATCH(_xlfn.CONCAT(B7948," ",E7948),ForeCalc!$B$36:$Y$36,0))))*VLOOKUP(A7948,Calendar!$A$2:$H$9997,8,FALSE),0)</f>
        <v/>
      </c>
      <c r="G7948" s="29">
        <f>VLOOKUP(A7948,Calendar!$A$1:$H$9997,6,FALSE)-F7948</f>
        <v/>
      </c>
      <c r="H7948" s="19" t="n">
        <v>1</v>
      </c>
      <c r="I7948" s="57" t="n">
        <v>9</v>
      </c>
    </row>
    <row r="7949">
      <c r="A7949" s="62" t="n">
        <v>46388</v>
      </c>
      <c r="B7949" s="3" t="inlineStr">
        <is>
          <t>Week</t>
        </is>
      </c>
      <c r="C7949" s="19" t="n">
        <v>1</v>
      </c>
      <c r="D7949" s="19" t="n">
        <v>2027</v>
      </c>
      <c r="E7949" s="57" t="n">
        <v>8</v>
      </c>
      <c r="F7949" s="29">
        <f>ROUND(((SUMIFS(Calendar!$F$2:$F$9997,Calendar!$B$2:$B$9997,D7949,Calendar!$C$2:$C$9997,C7949)*INDEX(ForeCalc!$B$37:$Y$274,MATCH(_xlfn.CONCAT(H7949," ",I7949),ForeCalc!$A$37:$A$274,0),MATCH(_xlfn.CONCAT(B7949," ",E7949),ForeCalc!$B$36:$Y$36,0))))*VLOOKUP(A7949,Calendar!$A$2:$H$9997,8,FALSE),0)</f>
        <v/>
      </c>
      <c r="G7949" s="29">
        <f>VLOOKUP(A7949,Calendar!$A$1:$H$9997,6,FALSE)-F7949</f>
        <v/>
      </c>
      <c r="H7949" s="19" t="n">
        <v>1</v>
      </c>
      <c r="I7949" s="57" t="n">
        <v>10</v>
      </c>
    </row>
    <row r="7950">
      <c r="A7950" s="62" t="n">
        <v>46389</v>
      </c>
      <c r="B7950" s="3" t="inlineStr">
        <is>
          <t>Sat</t>
        </is>
      </c>
      <c r="C7950" s="19" t="n">
        <v>1</v>
      </c>
      <c r="D7950" s="19" t="n">
        <v>2027</v>
      </c>
      <c r="E7950" s="57" t="n">
        <v>8</v>
      </c>
      <c r="F7950" s="29">
        <f>ROUND(((SUMIFS(Calendar!$F$2:$F$9997,Calendar!$B$2:$B$9997,D7950,Calendar!$C$2:$C$9997,C7950)*INDEX(ForeCalc!$B$37:$Y$274,MATCH(_xlfn.CONCAT(H7950," ",I7950),ForeCalc!$A$37:$A$274,0),MATCH(_xlfn.CONCAT(B7950," ",E7950),ForeCalc!$B$36:$Y$36,0))))*VLOOKUP(A7950,Calendar!$A$2:$H$9997,8,FALSE),0)</f>
        <v/>
      </c>
      <c r="G7950" s="29">
        <f>VLOOKUP(A7950,Calendar!$A$1:$H$9997,6,FALSE)-F7950</f>
        <v/>
      </c>
      <c r="H7950" s="19" t="n">
        <v>1</v>
      </c>
      <c r="I7950" s="57" t="n">
        <v>10</v>
      </c>
    </row>
    <row r="7951">
      <c r="A7951" s="62" t="n">
        <v>46390</v>
      </c>
      <c r="B7951" s="3" t="inlineStr">
        <is>
          <t>Sun</t>
        </is>
      </c>
      <c r="C7951" s="19" t="n">
        <v>1</v>
      </c>
      <c r="D7951" s="19" t="n">
        <v>2027</v>
      </c>
      <c r="E7951" s="57" t="n">
        <v>8</v>
      </c>
      <c r="F7951" s="29">
        <f>ROUND(((SUMIFS(Calendar!$F$2:$F$9997,Calendar!$B$2:$B$9997,D7951,Calendar!$C$2:$C$9997,C7951)*INDEX(ForeCalc!$B$37:$Y$274,MATCH(_xlfn.CONCAT(H7951," ",I7951),ForeCalc!$A$37:$A$274,0),MATCH(_xlfn.CONCAT(B7951," ",E7951),ForeCalc!$B$36:$Y$36,0))))*VLOOKUP(A7951,Calendar!$A$2:$H$9997,8,FALSE),0)</f>
        <v/>
      </c>
      <c r="G7951" s="29">
        <f>VLOOKUP(A7951,Calendar!$A$1:$H$9997,6,FALSE)-F7951</f>
        <v/>
      </c>
      <c r="H7951" s="19" t="n">
        <v>1</v>
      </c>
      <c r="I7951" s="57" t="n">
        <v>10</v>
      </c>
    </row>
    <row r="7952">
      <c r="A7952" s="62" t="n">
        <v>46391</v>
      </c>
      <c r="B7952" s="3" t="inlineStr">
        <is>
          <t>Week</t>
        </is>
      </c>
      <c r="C7952" s="19" t="n">
        <v>1</v>
      </c>
      <c r="D7952" s="19" t="n">
        <v>2027</v>
      </c>
      <c r="E7952" s="57" t="n">
        <v>8</v>
      </c>
      <c r="F7952" s="29">
        <f>ROUND(((SUMIFS(Calendar!$F$2:$F$9997,Calendar!$B$2:$B$9997,D7952,Calendar!$C$2:$C$9997,C7952)*INDEX(ForeCalc!$B$37:$Y$274,MATCH(_xlfn.CONCAT(H7952," ",I7952),ForeCalc!$A$37:$A$274,0),MATCH(_xlfn.CONCAT(B7952," ",E7952),ForeCalc!$B$36:$Y$36,0))))*VLOOKUP(A7952,Calendar!$A$2:$H$9997,8,FALSE),0)</f>
        <v/>
      </c>
      <c r="G7952" s="29">
        <f>VLOOKUP(A7952,Calendar!$A$1:$H$9997,6,FALSE)-F7952</f>
        <v/>
      </c>
      <c r="H7952" s="19" t="n">
        <v>1</v>
      </c>
      <c r="I7952" s="57" t="n">
        <v>10</v>
      </c>
    </row>
    <row r="7953">
      <c r="A7953" s="62" t="n">
        <v>46392</v>
      </c>
      <c r="B7953" s="3" t="inlineStr">
        <is>
          <t>Week</t>
        </is>
      </c>
      <c r="C7953" s="19" t="n">
        <v>1</v>
      </c>
      <c r="D7953" s="19" t="n">
        <v>2027</v>
      </c>
      <c r="E7953" s="57" t="n">
        <v>8</v>
      </c>
      <c r="F7953" s="29">
        <f>ROUND(((SUMIFS(Calendar!$F$2:$F$9997,Calendar!$B$2:$B$9997,D7953,Calendar!$C$2:$C$9997,C7953)*INDEX(ForeCalc!$B$37:$Y$274,MATCH(_xlfn.CONCAT(H7953," ",I7953),ForeCalc!$A$37:$A$274,0),MATCH(_xlfn.CONCAT(B7953," ",E7953),ForeCalc!$B$36:$Y$36,0))))*VLOOKUP(A7953,Calendar!$A$2:$H$9997,8,FALSE),0)</f>
        <v/>
      </c>
      <c r="G7953" s="29">
        <f>VLOOKUP(A7953,Calendar!$A$1:$H$9997,6,FALSE)-F7953</f>
        <v/>
      </c>
      <c r="H7953" s="19" t="n">
        <v>1</v>
      </c>
      <c r="I7953" s="57" t="n">
        <v>10</v>
      </c>
    </row>
    <row r="7954">
      <c r="A7954" s="62" t="n">
        <v>46393</v>
      </c>
      <c r="B7954" s="3" t="inlineStr">
        <is>
          <t>Week</t>
        </is>
      </c>
      <c r="C7954" s="19" t="n">
        <v>1</v>
      </c>
      <c r="D7954" s="19" t="n">
        <v>2027</v>
      </c>
      <c r="E7954" s="57" t="n">
        <v>8</v>
      </c>
      <c r="F7954" s="29">
        <f>ROUND(((SUMIFS(Calendar!$F$2:$F$9997,Calendar!$B$2:$B$9997,D7954,Calendar!$C$2:$C$9997,C7954)*INDEX(ForeCalc!$B$37:$Y$274,MATCH(_xlfn.CONCAT(H7954," ",I7954),ForeCalc!$A$37:$A$274,0),MATCH(_xlfn.CONCAT(B7954," ",E7954),ForeCalc!$B$36:$Y$36,0))))*VLOOKUP(A7954,Calendar!$A$2:$H$9997,8,FALSE),0)</f>
        <v/>
      </c>
      <c r="G7954" s="29">
        <f>VLOOKUP(A7954,Calendar!$A$1:$H$9997,6,FALSE)-F7954</f>
        <v/>
      </c>
      <c r="H7954" s="19" t="n">
        <v>1</v>
      </c>
      <c r="I7954" s="57" t="n">
        <v>10</v>
      </c>
    </row>
    <row r="7955">
      <c r="A7955" s="62" t="n">
        <v>46394</v>
      </c>
      <c r="B7955" s="3" t="inlineStr">
        <is>
          <t>Week</t>
        </is>
      </c>
      <c r="C7955" s="19" t="n">
        <v>1</v>
      </c>
      <c r="D7955" s="19" t="n">
        <v>2027</v>
      </c>
      <c r="E7955" s="57" t="n">
        <v>8</v>
      </c>
      <c r="F7955" s="29">
        <f>ROUND(((SUMIFS(Calendar!$F$2:$F$9997,Calendar!$B$2:$B$9997,D7955,Calendar!$C$2:$C$9997,C7955)*INDEX(ForeCalc!$B$37:$Y$274,MATCH(_xlfn.CONCAT(H7955," ",I7955),ForeCalc!$A$37:$A$274,0),MATCH(_xlfn.CONCAT(B7955," ",E7955),ForeCalc!$B$36:$Y$36,0))))*VLOOKUP(A7955,Calendar!$A$2:$H$9997,8,FALSE),0)</f>
        <v/>
      </c>
      <c r="G7955" s="29">
        <f>VLOOKUP(A7955,Calendar!$A$1:$H$9997,6,FALSE)-F7955</f>
        <v/>
      </c>
      <c r="H7955" s="19" t="n">
        <v>1</v>
      </c>
      <c r="I7955" s="57" t="n">
        <v>10</v>
      </c>
    </row>
    <row r="7956">
      <c r="A7956" s="62" t="n">
        <v>46395</v>
      </c>
      <c r="B7956" s="3" t="inlineStr">
        <is>
          <t>Week</t>
        </is>
      </c>
      <c r="C7956" s="19" t="n">
        <v>1</v>
      </c>
      <c r="D7956" s="19" t="n">
        <v>2027</v>
      </c>
      <c r="E7956" s="57" t="n">
        <v>8</v>
      </c>
      <c r="F7956" s="29">
        <f>ROUND(((SUMIFS(Calendar!$F$2:$F$9997,Calendar!$B$2:$B$9997,D7956,Calendar!$C$2:$C$9997,C7956)*INDEX(ForeCalc!$B$37:$Y$274,MATCH(_xlfn.CONCAT(H7956," ",I7956),ForeCalc!$A$37:$A$274,0),MATCH(_xlfn.CONCAT(B7956," ",E7956),ForeCalc!$B$36:$Y$36,0))))*VLOOKUP(A7956,Calendar!$A$2:$H$9997,8,FALSE),0)</f>
        <v/>
      </c>
      <c r="G7956" s="29">
        <f>VLOOKUP(A7956,Calendar!$A$1:$H$9997,6,FALSE)-F7956</f>
        <v/>
      </c>
      <c r="H7956" s="19" t="n">
        <v>1</v>
      </c>
      <c r="I7956" s="57" t="n">
        <v>10</v>
      </c>
    </row>
    <row r="7957">
      <c r="A7957" s="62" t="n">
        <v>46396</v>
      </c>
      <c r="B7957" s="3" t="inlineStr">
        <is>
          <t>Sat</t>
        </is>
      </c>
      <c r="C7957" s="19" t="n">
        <v>1</v>
      </c>
      <c r="D7957" s="19" t="n">
        <v>2027</v>
      </c>
      <c r="E7957" s="57" t="n">
        <v>8</v>
      </c>
      <c r="F7957" s="29">
        <f>ROUND(((SUMIFS(Calendar!$F$2:$F$9997,Calendar!$B$2:$B$9997,D7957,Calendar!$C$2:$C$9997,C7957)*INDEX(ForeCalc!$B$37:$Y$274,MATCH(_xlfn.CONCAT(H7957," ",I7957),ForeCalc!$A$37:$A$274,0),MATCH(_xlfn.CONCAT(B7957," ",E7957),ForeCalc!$B$36:$Y$36,0))))*VLOOKUP(A7957,Calendar!$A$2:$H$9997,8,FALSE),0)</f>
        <v/>
      </c>
      <c r="G7957" s="29">
        <f>VLOOKUP(A7957,Calendar!$A$1:$H$9997,6,FALSE)-F7957</f>
        <v/>
      </c>
      <c r="H7957" s="19" t="n">
        <v>1</v>
      </c>
      <c r="I7957" s="57" t="n">
        <v>10</v>
      </c>
    </row>
    <row r="7958">
      <c r="A7958" s="62" t="n">
        <v>46397</v>
      </c>
      <c r="B7958" s="3" t="inlineStr">
        <is>
          <t>Sun</t>
        </is>
      </c>
      <c r="C7958" s="19" t="n">
        <v>1</v>
      </c>
      <c r="D7958" s="19" t="n">
        <v>2027</v>
      </c>
      <c r="E7958" s="57" t="n">
        <v>8</v>
      </c>
      <c r="F7958" s="29">
        <f>ROUND(((SUMIFS(Calendar!$F$2:$F$9997,Calendar!$B$2:$B$9997,D7958,Calendar!$C$2:$C$9997,C7958)*INDEX(ForeCalc!$B$37:$Y$274,MATCH(_xlfn.CONCAT(H7958," ",I7958),ForeCalc!$A$37:$A$274,0),MATCH(_xlfn.CONCAT(B7958," ",E7958),ForeCalc!$B$36:$Y$36,0))))*VLOOKUP(A7958,Calendar!$A$2:$H$9997,8,FALSE),0)</f>
        <v/>
      </c>
      <c r="G7958" s="29">
        <f>VLOOKUP(A7958,Calendar!$A$1:$H$9997,6,FALSE)-F7958</f>
        <v/>
      </c>
      <c r="H7958" s="19" t="n">
        <v>1</v>
      </c>
      <c r="I7958" s="57" t="n">
        <v>10</v>
      </c>
    </row>
    <row r="7959">
      <c r="A7959" s="62" t="n">
        <v>46398</v>
      </c>
      <c r="B7959" s="3" t="inlineStr">
        <is>
          <t>Week</t>
        </is>
      </c>
      <c r="C7959" s="19" t="n">
        <v>1</v>
      </c>
      <c r="D7959" s="19" t="n">
        <v>2027</v>
      </c>
      <c r="E7959" s="57" t="n">
        <v>8</v>
      </c>
      <c r="F7959" s="29">
        <f>ROUND(((SUMIFS(Calendar!$F$2:$F$9997,Calendar!$B$2:$B$9997,D7959,Calendar!$C$2:$C$9997,C7959)*INDEX(ForeCalc!$B$37:$Y$274,MATCH(_xlfn.CONCAT(H7959," ",I7959),ForeCalc!$A$37:$A$274,0),MATCH(_xlfn.CONCAT(B7959," ",E7959),ForeCalc!$B$36:$Y$36,0))))*VLOOKUP(A7959,Calendar!$A$2:$H$9997,8,FALSE),0)</f>
        <v/>
      </c>
      <c r="G7959" s="29">
        <f>VLOOKUP(A7959,Calendar!$A$1:$H$9997,6,FALSE)-F7959</f>
        <v/>
      </c>
      <c r="H7959" s="19" t="n">
        <v>1</v>
      </c>
      <c r="I7959" s="57" t="n">
        <v>10</v>
      </c>
    </row>
    <row r="7960">
      <c r="A7960" s="62" t="n">
        <v>46399</v>
      </c>
      <c r="B7960" s="3" t="inlineStr">
        <is>
          <t>Week</t>
        </is>
      </c>
      <c r="C7960" s="19" t="n">
        <v>1</v>
      </c>
      <c r="D7960" s="19" t="n">
        <v>2027</v>
      </c>
      <c r="E7960" s="57" t="n">
        <v>8</v>
      </c>
      <c r="F7960" s="29">
        <f>ROUND(((SUMIFS(Calendar!$F$2:$F$9997,Calendar!$B$2:$B$9997,D7960,Calendar!$C$2:$C$9997,C7960)*INDEX(ForeCalc!$B$37:$Y$274,MATCH(_xlfn.CONCAT(H7960," ",I7960),ForeCalc!$A$37:$A$274,0),MATCH(_xlfn.CONCAT(B7960," ",E7960),ForeCalc!$B$36:$Y$36,0))))*VLOOKUP(A7960,Calendar!$A$2:$H$9997,8,FALSE),0)</f>
        <v/>
      </c>
      <c r="G7960" s="29">
        <f>VLOOKUP(A7960,Calendar!$A$1:$H$9997,6,FALSE)-F7960</f>
        <v/>
      </c>
      <c r="H7960" s="19" t="n">
        <v>1</v>
      </c>
      <c r="I7960" s="57" t="n">
        <v>10</v>
      </c>
    </row>
    <row r="7961">
      <c r="A7961" s="62" t="n">
        <v>46400</v>
      </c>
      <c r="B7961" s="3" t="inlineStr">
        <is>
          <t>Week</t>
        </is>
      </c>
      <c r="C7961" s="19" t="n">
        <v>1</v>
      </c>
      <c r="D7961" s="19" t="n">
        <v>2027</v>
      </c>
      <c r="E7961" s="57" t="n">
        <v>8</v>
      </c>
      <c r="F7961" s="29">
        <f>ROUND(((SUMIFS(Calendar!$F$2:$F$9997,Calendar!$B$2:$B$9997,D7961,Calendar!$C$2:$C$9997,C7961)*INDEX(ForeCalc!$B$37:$Y$274,MATCH(_xlfn.CONCAT(H7961," ",I7961),ForeCalc!$A$37:$A$274,0),MATCH(_xlfn.CONCAT(B7961," ",E7961),ForeCalc!$B$36:$Y$36,0))))*VLOOKUP(A7961,Calendar!$A$2:$H$9997,8,FALSE),0)</f>
        <v/>
      </c>
      <c r="G7961" s="29">
        <f>VLOOKUP(A7961,Calendar!$A$1:$H$9997,6,FALSE)-F7961</f>
        <v/>
      </c>
      <c r="H7961" s="19" t="n">
        <v>1</v>
      </c>
      <c r="I7961" s="57" t="n">
        <v>10</v>
      </c>
    </row>
    <row r="7962">
      <c r="A7962" s="62" t="n">
        <v>46401</v>
      </c>
      <c r="B7962" s="3" t="inlineStr">
        <is>
          <t>Week</t>
        </is>
      </c>
      <c r="C7962" s="19" t="n">
        <v>1</v>
      </c>
      <c r="D7962" s="19" t="n">
        <v>2027</v>
      </c>
      <c r="E7962" s="57" t="n">
        <v>8</v>
      </c>
      <c r="F7962" s="29">
        <f>ROUND(((SUMIFS(Calendar!$F$2:$F$9997,Calendar!$B$2:$B$9997,D7962,Calendar!$C$2:$C$9997,C7962)*INDEX(ForeCalc!$B$37:$Y$274,MATCH(_xlfn.CONCAT(H7962," ",I7962),ForeCalc!$A$37:$A$274,0),MATCH(_xlfn.CONCAT(B7962," ",E7962),ForeCalc!$B$36:$Y$36,0))))*VLOOKUP(A7962,Calendar!$A$2:$H$9997,8,FALSE),0)</f>
        <v/>
      </c>
      <c r="G7962" s="29">
        <f>VLOOKUP(A7962,Calendar!$A$1:$H$9997,6,FALSE)-F7962</f>
        <v/>
      </c>
      <c r="H7962" s="19" t="n">
        <v>1</v>
      </c>
      <c r="I7962" s="57" t="n">
        <v>10</v>
      </c>
    </row>
    <row r="7963">
      <c r="A7963" s="62" t="n">
        <v>46402</v>
      </c>
      <c r="B7963" s="3" t="inlineStr">
        <is>
          <t>Week</t>
        </is>
      </c>
      <c r="C7963" s="19" t="n">
        <v>1</v>
      </c>
      <c r="D7963" s="19" t="n">
        <v>2027</v>
      </c>
      <c r="E7963" s="57" t="n">
        <v>8</v>
      </c>
      <c r="F7963" s="29">
        <f>ROUND(((SUMIFS(Calendar!$F$2:$F$9997,Calendar!$B$2:$B$9997,D7963,Calendar!$C$2:$C$9997,C7963)*INDEX(ForeCalc!$B$37:$Y$274,MATCH(_xlfn.CONCAT(H7963," ",I7963),ForeCalc!$A$37:$A$274,0),MATCH(_xlfn.CONCAT(B7963," ",E7963),ForeCalc!$B$36:$Y$36,0))))*VLOOKUP(A7963,Calendar!$A$2:$H$9997,8,FALSE),0)</f>
        <v/>
      </c>
      <c r="G7963" s="29">
        <f>VLOOKUP(A7963,Calendar!$A$1:$H$9997,6,FALSE)-F7963</f>
        <v/>
      </c>
      <c r="H7963" s="19" t="n">
        <v>1</v>
      </c>
      <c r="I7963" s="57" t="n">
        <v>10</v>
      </c>
    </row>
    <row r="7964">
      <c r="A7964" s="62" t="n">
        <v>46403</v>
      </c>
      <c r="B7964" s="3" t="inlineStr">
        <is>
          <t>Sat</t>
        </is>
      </c>
      <c r="C7964" s="19" t="n">
        <v>1</v>
      </c>
      <c r="D7964" s="19" t="n">
        <v>2027</v>
      </c>
      <c r="E7964" s="57" t="n">
        <v>8</v>
      </c>
      <c r="F7964" s="29">
        <f>ROUND(((SUMIFS(Calendar!$F$2:$F$9997,Calendar!$B$2:$B$9997,D7964,Calendar!$C$2:$C$9997,C7964)*INDEX(ForeCalc!$B$37:$Y$274,MATCH(_xlfn.CONCAT(H7964," ",I7964),ForeCalc!$A$37:$A$274,0),MATCH(_xlfn.CONCAT(B7964," ",E7964),ForeCalc!$B$36:$Y$36,0))))*VLOOKUP(A7964,Calendar!$A$2:$H$9997,8,FALSE),0)</f>
        <v/>
      </c>
      <c r="G7964" s="29">
        <f>VLOOKUP(A7964,Calendar!$A$1:$H$9997,6,FALSE)-F7964</f>
        <v/>
      </c>
      <c r="H7964" s="19" t="n">
        <v>1</v>
      </c>
      <c r="I7964" s="57" t="n">
        <v>10</v>
      </c>
    </row>
    <row r="7965">
      <c r="A7965" s="62" t="n">
        <v>46404</v>
      </c>
      <c r="B7965" s="3" t="inlineStr">
        <is>
          <t>Sun</t>
        </is>
      </c>
      <c r="C7965" s="19" t="n">
        <v>1</v>
      </c>
      <c r="D7965" s="19" t="n">
        <v>2027</v>
      </c>
      <c r="E7965" s="57" t="n">
        <v>8</v>
      </c>
      <c r="F7965" s="29">
        <f>ROUND(((SUMIFS(Calendar!$F$2:$F$9997,Calendar!$B$2:$B$9997,D7965,Calendar!$C$2:$C$9997,C7965)*INDEX(ForeCalc!$B$37:$Y$274,MATCH(_xlfn.CONCAT(H7965," ",I7965),ForeCalc!$A$37:$A$274,0),MATCH(_xlfn.CONCAT(B7965," ",E7965),ForeCalc!$B$36:$Y$36,0))))*VLOOKUP(A7965,Calendar!$A$2:$H$9997,8,FALSE),0)</f>
        <v/>
      </c>
      <c r="G7965" s="29">
        <f>VLOOKUP(A7965,Calendar!$A$1:$H$9997,6,FALSE)-F7965</f>
        <v/>
      </c>
      <c r="H7965" s="19" t="n">
        <v>1</v>
      </c>
      <c r="I7965" s="57" t="n">
        <v>10</v>
      </c>
    </row>
    <row r="7966">
      <c r="A7966" s="62" t="n">
        <v>46405</v>
      </c>
      <c r="B7966" s="3" t="inlineStr">
        <is>
          <t>Week</t>
        </is>
      </c>
      <c r="C7966" s="19" t="n">
        <v>1</v>
      </c>
      <c r="D7966" s="19" t="n">
        <v>2027</v>
      </c>
      <c r="E7966" s="57" t="n">
        <v>8</v>
      </c>
      <c r="F7966" s="29">
        <f>ROUND(((SUMIFS(Calendar!$F$2:$F$9997,Calendar!$B$2:$B$9997,D7966,Calendar!$C$2:$C$9997,C7966)*INDEX(ForeCalc!$B$37:$Y$274,MATCH(_xlfn.CONCAT(H7966," ",I7966),ForeCalc!$A$37:$A$274,0),MATCH(_xlfn.CONCAT(B7966," ",E7966),ForeCalc!$B$36:$Y$36,0))))*VLOOKUP(A7966,Calendar!$A$2:$H$9997,8,FALSE),0)</f>
        <v/>
      </c>
      <c r="G7966" s="29">
        <f>VLOOKUP(A7966,Calendar!$A$1:$H$9997,6,FALSE)-F7966</f>
        <v/>
      </c>
      <c r="H7966" s="19" t="n">
        <v>1</v>
      </c>
      <c r="I7966" s="57" t="n">
        <v>10</v>
      </c>
    </row>
    <row r="7967">
      <c r="A7967" s="62" t="n">
        <v>46406</v>
      </c>
      <c r="B7967" s="3" t="inlineStr">
        <is>
          <t>Week</t>
        </is>
      </c>
      <c r="C7967" s="19" t="n">
        <v>1</v>
      </c>
      <c r="D7967" s="19" t="n">
        <v>2027</v>
      </c>
      <c r="E7967" s="57" t="n">
        <v>8</v>
      </c>
      <c r="F7967" s="29">
        <f>ROUND(((SUMIFS(Calendar!$F$2:$F$9997,Calendar!$B$2:$B$9997,D7967,Calendar!$C$2:$C$9997,C7967)*INDEX(ForeCalc!$B$37:$Y$274,MATCH(_xlfn.CONCAT(H7967," ",I7967),ForeCalc!$A$37:$A$274,0),MATCH(_xlfn.CONCAT(B7967," ",E7967),ForeCalc!$B$36:$Y$36,0))))*VLOOKUP(A7967,Calendar!$A$2:$H$9997,8,FALSE),0)</f>
        <v/>
      </c>
      <c r="G7967" s="29">
        <f>VLOOKUP(A7967,Calendar!$A$1:$H$9997,6,FALSE)-F7967</f>
        <v/>
      </c>
      <c r="H7967" s="19" t="n">
        <v>1</v>
      </c>
      <c r="I7967" s="57" t="n">
        <v>10</v>
      </c>
    </row>
    <row r="7968">
      <c r="A7968" s="62" t="n">
        <v>46407</v>
      </c>
      <c r="B7968" s="3" t="inlineStr">
        <is>
          <t>Week</t>
        </is>
      </c>
      <c r="C7968" s="19" t="n">
        <v>1</v>
      </c>
      <c r="D7968" s="19" t="n">
        <v>2027</v>
      </c>
      <c r="E7968" s="57" t="n">
        <v>8</v>
      </c>
      <c r="F7968" s="29">
        <f>ROUND(((SUMIFS(Calendar!$F$2:$F$9997,Calendar!$B$2:$B$9997,D7968,Calendar!$C$2:$C$9997,C7968)*INDEX(ForeCalc!$B$37:$Y$274,MATCH(_xlfn.CONCAT(H7968," ",I7968),ForeCalc!$A$37:$A$274,0),MATCH(_xlfn.CONCAT(B7968," ",E7968),ForeCalc!$B$36:$Y$36,0))))*VLOOKUP(A7968,Calendar!$A$2:$H$9997,8,FALSE),0)</f>
        <v/>
      </c>
      <c r="G7968" s="29">
        <f>VLOOKUP(A7968,Calendar!$A$1:$H$9997,6,FALSE)-F7968</f>
        <v/>
      </c>
      <c r="H7968" s="19" t="n">
        <v>1</v>
      </c>
      <c r="I7968" s="57" t="n">
        <v>10</v>
      </c>
    </row>
    <row r="7969">
      <c r="A7969" s="62" t="n">
        <v>46408</v>
      </c>
      <c r="B7969" s="3" t="inlineStr">
        <is>
          <t>Week</t>
        </is>
      </c>
      <c r="C7969" s="19" t="n">
        <v>1</v>
      </c>
      <c r="D7969" s="19" t="n">
        <v>2027</v>
      </c>
      <c r="E7969" s="57" t="n">
        <v>8</v>
      </c>
      <c r="F7969" s="29">
        <f>ROUND(((SUMIFS(Calendar!$F$2:$F$9997,Calendar!$B$2:$B$9997,D7969,Calendar!$C$2:$C$9997,C7969)*INDEX(ForeCalc!$B$37:$Y$274,MATCH(_xlfn.CONCAT(H7969," ",I7969),ForeCalc!$A$37:$A$274,0),MATCH(_xlfn.CONCAT(B7969," ",E7969),ForeCalc!$B$36:$Y$36,0))))*VLOOKUP(A7969,Calendar!$A$2:$H$9997,8,FALSE),0)</f>
        <v/>
      </c>
      <c r="G7969" s="29">
        <f>VLOOKUP(A7969,Calendar!$A$1:$H$9997,6,FALSE)-F7969</f>
        <v/>
      </c>
      <c r="H7969" s="19" t="n">
        <v>1</v>
      </c>
      <c r="I7969" s="57" t="n">
        <v>10</v>
      </c>
    </row>
    <row r="7970">
      <c r="A7970" s="62" t="n">
        <v>46409</v>
      </c>
      <c r="B7970" s="3" t="inlineStr">
        <is>
          <t>Week</t>
        </is>
      </c>
      <c r="C7970" s="19" t="n">
        <v>1</v>
      </c>
      <c r="D7970" s="19" t="n">
        <v>2027</v>
      </c>
      <c r="E7970" s="57" t="n">
        <v>8</v>
      </c>
      <c r="F7970" s="29">
        <f>ROUND(((SUMIFS(Calendar!$F$2:$F$9997,Calendar!$B$2:$B$9997,D7970,Calendar!$C$2:$C$9997,C7970)*INDEX(ForeCalc!$B$37:$Y$274,MATCH(_xlfn.CONCAT(H7970," ",I7970),ForeCalc!$A$37:$A$274,0),MATCH(_xlfn.CONCAT(B7970," ",E7970),ForeCalc!$B$36:$Y$36,0))))*VLOOKUP(A7970,Calendar!$A$2:$H$9997,8,FALSE),0)</f>
        <v/>
      </c>
      <c r="G7970" s="29">
        <f>VLOOKUP(A7970,Calendar!$A$1:$H$9997,6,FALSE)-F7970</f>
        <v/>
      </c>
      <c r="H7970" s="19" t="n">
        <v>1</v>
      </c>
      <c r="I7970" s="57" t="n">
        <v>10</v>
      </c>
    </row>
    <row r="7971">
      <c r="A7971" s="62" t="n">
        <v>46410</v>
      </c>
      <c r="B7971" s="3" t="inlineStr">
        <is>
          <t>Sat</t>
        </is>
      </c>
      <c r="C7971" s="19" t="n">
        <v>1</v>
      </c>
      <c r="D7971" s="19" t="n">
        <v>2027</v>
      </c>
      <c r="E7971" s="57" t="n">
        <v>8</v>
      </c>
      <c r="F7971" s="29">
        <f>ROUND(((SUMIFS(Calendar!$F$2:$F$9997,Calendar!$B$2:$B$9997,D7971,Calendar!$C$2:$C$9997,C7971)*INDEX(ForeCalc!$B$37:$Y$274,MATCH(_xlfn.CONCAT(H7971," ",I7971),ForeCalc!$A$37:$A$274,0),MATCH(_xlfn.CONCAT(B7971," ",E7971),ForeCalc!$B$36:$Y$36,0))))*VLOOKUP(A7971,Calendar!$A$2:$H$9997,8,FALSE),0)</f>
        <v/>
      </c>
      <c r="G7971" s="29">
        <f>VLOOKUP(A7971,Calendar!$A$1:$H$9997,6,FALSE)-F7971</f>
        <v/>
      </c>
      <c r="H7971" s="19" t="n">
        <v>1</v>
      </c>
      <c r="I7971" s="57" t="n">
        <v>10</v>
      </c>
    </row>
    <row r="7972">
      <c r="A7972" s="62" t="n">
        <v>46411</v>
      </c>
      <c r="B7972" s="3" t="inlineStr">
        <is>
          <t>Sun</t>
        </is>
      </c>
      <c r="C7972" s="19" t="n">
        <v>1</v>
      </c>
      <c r="D7972" s="19" t="n">
        <v>2027</v>
      </c>
      <c r="E7972" s="57" t="n">
        <v>8</v>
      </c>
      <c r="F7972" s="29">
        <f>ROUND(((SUMIFS(Calendar!$F$2:$F$9997,Calendar!$B$2:$B$9997,D7972,Calendar!$C$2:$C$9997,C7972)*INDEX(ForeCalc!$B$37:$Y$274,MATCH(_xlfn.CONCAT(H7972," ",I7972),ForeCalc!$A$37:$A$274,0),MATCH(_xlfn.CONCAT(B7972," ",E7972),ForeCalc!$B$36:$Y$36,0))))*VLOOKUP(A7972,Calendar!$A$2:$H$9997,8,FALSE),0)</f>
        <v/>
      </c>
      <c r="G7972" s="29">
        <f>VLOOKUP(A7972,Calendar!$A$1:$H$9997,6,FALSE)-F7972</f>
        <v/>
      </c>
      <c r="H7972" s="19" t="n">
        <v>1</v>
      </c>
      <c r="I7972" s="57" t="n">
        <v>10</v>
      </c>
    </row>
    <row r="7973">
      <c r="A7973" s="62" t="n">
        <v>46412</v>
      </c>
      <c r="B7973" s="3" t="inlineStr">
        <is>
          <t>Week</t>
        </is>
      </c>
      <c r="C7973" s="19" t="n">
        <v>1</v>
      </c>
      <c r="D7973" s="19" t="n">
        <v>2027</v>
      </c>
      <c r="E7973" s="57" t="n">
        <v>8</v>
      </c>
      <c r="F7973" s="29">
        <f>ROUND(((SUMIFS(Calendar!$F$2:$F$9997,Calendar!$B$2:$B$9997,D7973,Calendar!$C$2:$C$9997,C7973)*INDEX(ForeCalc!$B$37:$Y$274,MATCH(_xlfn.CONCAT(H7973," ",I7973),ForeCalc!$A$37:$A$274,0),MATCH(_xlfn.CONCAT(B7973," ",E7973),ForeCalc!$B$36:$Y$36,0))))*VLOOKUP(A7973,Calendar!$A$2:$H$9997,8,FALSE),0)</f>
        <v/>
      </c>
      <c r="G7973" s="29">
        <f>VLOOKUP(A7973,Calendar!$A$1:$H$9997,6,FALSE)-F7973</f>
        <v/>
      </c>
      <c r="H7973" s="19" t="n">
        <v>1</v>
      </c>
      <c r="I7973" s="57" t="n">
        <v>10</v>
      </c>
    </row>
    <row r="7974">
      <c r="A7974" s="62" t="n">
        <v>46413</v>
      </c>
      <c r="B7974" s="3" t="inlineStr">
        <is>
          <t>Week</t>
        </is>
      </c>
      <c r="C7974" s="19" t="n">
        <v>1</v>
      </c>
      <c r="D7974" s="19" t="n">
        <v>2027</v>
      </c>
      <c r="E7974" s="57" t="n">
        <v>8</v>
      </c>
      <c r="F7974" s="29">
        <f>ROUND(((SUMIFS(Calendar!$F$2:$F$9997,Calendar!$B$2:$B$9997,D7974,Calendar!$C$2:$C$9997,C7974)*INDEX(ForeCalc!$B$37:$Y$274,MATCH(_xlfn.CONCAT(H7974," ",I7974),ForeCalc!$A$37:$A$274,0),MATCH(_xlfn.CONCAT(B7974," ",E7974),ForeCalc!$B$36:$Y$36,0))))*VLOOKUP(A7974,Calendar!$A$2:$H$9997,8,FALSE),0)</f>
        <v/>
      </c>
      <c r="G7974" s="29">
        <f>VLOOKUP(A7974,Calendar!$A$1:$H$9997,6,FALSE)-F7974</f>
        <v/>
      </c>
      <c r="H7974" s="19" t="n">
        <v>1</v>
      </c>
      <c r="I7974" s="57" t="n">
        <v>10</v>
      </c>
    </row>
    <row r="7975">
      <c r="A7975" s="62" t="n">
        <v>46414</v>
      </c>
      <c r="B7975" s="3" t="inlineStr">
        <is>
          <t>Week</t>
        </is>
      </c>
      <c r="C7975" s="19" t="n">
        <v>1</v>
      </c>
      <c r="D7975" s="19" t="n">
        <v>2027</v>
      </c>
      <c r="E7975" s="57" t="n">
        <v>8</v>
      </c>
      <c r="F7975" s="29">
        <f>ROUND(((SUMIFS(Calendar!$F$2:$F$9997,Calendar!$B$2:$B$9997,D7975,Calendar!$C$2:$C$9997,C7975)*INDEX(ForeCalc!$B$37:$Y$274,MATCH(_xlfn.CONCAT(H7975," ",I7975),ForeCalc!$A$37:$A$274,0),MATCH(_xlfn.CONCAT(B7975," ",E7975),ForeCalc!$B$36:$Y$36,0))))*VLOOKUP(A7975,Calendar!$A$2:$H$9997,8,FALSE),0)</f>
        <v/>
      </c>
      <c r="G7975" s="29">
        <f>VLOOKUP(A7975,Calendar!$A$1:$H$9997,6,FALSE)-F7975</f>
        <v/>
      </c>
      <c r="H7975" s="19" t="n">
        <v>1</v>
      </c>
      <c r="I7975" s="57" t="n">
        <v>10</v>
      </c>
    </row>
    <row r="7976">
      <c r="A7976" s="62" t="n">
        <v>46415</v>
      </c>
      <c r="B7976" s="3" t="inlineStr">
        <is>
          <t>Week</t>
        </is>
      </c>
      <c r="C7976" s="19" t="n">
        <v>1</v>
      </c>
      <c r="D7976" s="19" t="n">
        <v>2027</v>
      </c>
      <c r="E7976" s="57" t="n">
        <v>8</v>
      </c>
      <c r="F7976" s="29">
        <f>ROUND(((SUMIFS(Calendar!$F$2:$F$9997,Calendar!$B$2:$B$9997,D7976,Calendar!$C$2:$C$9997,C7976)*INDEX(ForeCalc!$B$37:$Y$274,MATCH(_xlfn.CONCAT(H7976," ",I7976),ForeCalc!$A$37:$A$274,0),MATCH(_xlfn.CONCAT(B7976," ",E7976),ForeCalc!$B$36:$Y$36,0))))*VLOOKUP(A7976,Calendar!$A$2:$H$9997,8,FALSE),0)</f>
        <v/>
      </c>
      <c r="G7976" s="29">
        <f>VLOOKUP(A7976,Calendar!$A$1:$H$9997,6,FALSE)-F7976</f>
        <v/>
      </c>
      <c r="H7976" s="19" t="n">
        <v>1</v>
      </c>
      <c r="I7976" s="57" t="n">
        <v>10</v>
      </c>
    </row>
    <row r="7977">
      <c r="A7977" s="62" t="n">
        <v>46416</v>
      </c>
      <c r="B7977" s="3" t="inlineStr">
        <is>
          <t>Week</t>
        </is>
      </c>
      <c r="C7977" s="19" t="n">
        <v>1</v>
      </c>
      <c r="D7977" s="19" t="n">
        <v>2027</v>
      </c>
      <c r="E7977" s="57" t="n">
        <v>8</v>
      </c>
      <c r="F7977" s="29">
        <f>ROUND(((SUMIFS(Calendar!$F$2:$F$9997,Calendar!$B$2:$B$9997,D7977,Calendar!$C$2:$C$9997,C7977)*INDEX(ForeCalc!$B$37:$Y$274,MATCH(_xlfn.CONCAT(H7977," ",I7977),ForeCalc!$A$37:$A$274,0),MATCH(_xlfn.CONCAT(B7977," ",E7977),ForeCalc!$B$36:$Y$36,0))))*VLOOKUP(A7977,Calendar!$A$2:$H$9997,8,FALSE),0)</f>
        <v/>
      </c>
      <c r="G7977" s="29">
        <f>VLOOKUP(A7977,Calendar!$A$1:$H$9997,6,FALSE)-F7977</f>
        <v/>
      </c>
      <c r="H7977" s="19" t="n">
        <v>1</v>
      </c>
      <c r="I7977" s="57" t="n">
        <v>10</v>
      </c>
    </row>
    <row r="7978">
      <c r="A7978" s="62" t="n">
        <v>46417</v>
      </c>
      <c r="B7978" s="3" t="inlineStr">
        <is>
          <t>Sat</t>
        </is>
      </c>
      <c r="C7978" s="19" t="n">
        <v>1</v>
      </c>
      <c r="D7978" s="19" t="n">
        <v>2027</v>
      </c>
      <c r="E7978" s="57" t="n">
        <v>8</v>
      </c>
      <c r="F7978" s="29">
        <f>ROUND(((SUMIFS(Calendar!$F$2:$F$9997,Calendar!$B$2:$B$9997,D7978,Calendar!$C$2:$C$9997,C7978)*INDEX(ForeCalc!$B$37:$Y$274,MATCH(_xlfn.CONCAT(H7978," ",I7978),ForeCalc!$A$37:$A$274,0),MATCH(_xlfn.CONCAT(B7978," ",E7978),ForeCalc!$B$36:$Y$36,0))))*VLOOKUP(A7978,Calendar!$A$2:$H$9997,8,FALSE),0)</f>
        <v/>
      </c>
      <c r="G7978" s="29">
        <f>VLOOKUP(A7978,Calendar!$A$1:$H$9997,6,FALSE)-F7978</f>
        <v/>
      </c>
      <c r="H7978" s="19" t="n">
        <v>1</v>
      </c>
      <c r="I7978" s="57" t="n">
        <v>10</v>
      </c>
    </row>
    <row r="7979">
      <c r="A7979" s="62" t="n">
        <v>46418</v>
      </c>
      <c r="B7979" s="3" t="inlineStr">
        <is>
          <t>Sun</t>
        </is>
      </c>
      <c r="C7979" s="19" t="n">
        <v>1</v>
      </c>
      <c r="D7979" s="19" t="n">
        <v>2027</v>
      </c>
      <c r="E7979" s="57" t="n">
        <v>8</v>
      </c>
      <c r="F7979" s="29">
        <f>ROUND(((SUMIFS(Calendar!$F$2:$F$9997,Calendar!$B$2:$B$9997,D7979,Calendar!$C$2:$C$9997,C7979)*INDEX(ForeCalc!$B$37:$Y$274,MATCH(_xlfn.CONCAT(H7979," ",I7979),ForeCalc!$A$37:$A$274,0),MATCH(_xlfn.CONCAT(B7979," ",E7979),ForeCalc!$B$36:$Y$36,0))))*VLOOKUP(A7979,Calendar!$A$2:$H$9997,8,FALSE),0)</f>
        <v/>
      </c>
      <c r="G7979" s="29">
        <f>VLOOKUP(A7979,Calendar!$A$1:$H$9997,6,FALSE)-F7979</f>
        <v/>
      </c>
      <c r="H7979" s="19" t="n">
        <v>1</v>
      </c>
      <c r="I7979" s="57" t="n">
        <v>10</v>
      </c>
    </row>
    <row r="7980">
      <c r="A7980" s="62" t="n">
        <v>46419</v>
      </c>
      <c r="B7980" s="3" t="inlineStr">
        <is>
          <t>Week</t>
        </is>
      </c>
      <c r="C7980" s="19" t="n">
        <v>2</v>
      </c>
      <c r="D7980" s="19" t="n">
        <v>2027</v>
      </c>
      <c r="E7980" s="57" t="n">
        <v>8</v>
      </c>
      <c r="F7980" s="29">
        <f>ROUND(((SUMIFS(Calendar!$F$2:$F$9997,Calendar!$B$2:$B$9997,D7980,Calendar!$C$2:$C$9997,C7980)*INDEX(ForeCalc!$B$37:$Y$274,MATCH(_xlfn.CONCAT(H7980," ",I7980),ForeCalc!$A$37:$A$274,0),MATCH(_xlfn.CONCAT(B7980," ",E7980),ForeCalc!$B$36:$Y$36,0))))*VLOOKUP(A7980,Calendar!$A$2:$H$9997,8,FALSE),0)</f>
        <v/>
      </c>
      <c r="G7980" s="29">
        <f>VLOOKUP(A7980,Calendar!$A$1:$H$9997,6,FALSE)-F7980</f>
        <v/>
      </c>
      <c r="H7980" s="19" t="n">
        <v>1</v>
      </c>
      <c r="I7980" s="57" t="n">
        <v>11</v>
      </c>
    </row>
    <row r="7981">
      <c r="A7981" s="62" t="n">
        <v>46420</v>
      </c>
      <c r="B7981" s="3" t="inlineStr">
        <is>
          <t>Week</t>
        </is>
      </c>
      <c r="C7981" s="19" t="n">
        <v>2</v>
      </c>
      <c r="D7981" s="19" t="n">
        <v>2027</v>
      </c>
      <c r="E7981" s="57" t="n">
        <v>8</v>
      </c>
      <c r="F7981" s="29">
        <f>ROUND(((SUMIFS(Calendar!$F$2:$F$9997,Calendar!$B$2:$B$9997,D7981,Calendar!$C$2:$C$9997,C7981)*INDEX(ForeCalc!$B$37:$Y$274,MATCH(_xlfn.CONCAT(H7981," ",I7981),ForeCalc!$A$37:$A$274,0),MATCH(_xlfn.CONCAT(B7981," ",E7981),ForeCalc!$B$36:$Y$36,0))))*VLOOKUP(A7981,Calendar!$A$2:$H$9997,8,FALSE),0)</f>
        <v/>
      </c>
      <c r="G7981" s="29">
        <f>VLOOKUP(A7981,Calendar!$A$1:$H$9997,6,FALSE)-F7981</f>
        <v/>
      </c>
      <c r="H7981" s="19" t="n">
        <v>1</v>
      </c>
      <c r="I7981" s="57" t="n">
        <v>11</v>
      </c>
    </row>
    <row r="7982">
      <c r="A7982" s="62" t="n">
        <v>46421</v>
      </c>
      <c r="B7982" s="3" t="inlineStr">
        <is>
          <t>Week</t>
        </is>
      </c>
      <c r="C7982" s="19" t="n">
        <v>2</v>
      </c>
      <c r="D7982" s="19" t="n">
        <v>2027</v>
      </c>
      <c r="E7982" s="57" t="n">
        <v>8</v>
      </c>
      <c r="F7982" s="29">
        <f>ROUND(((SUMIFS(Calendar!$F$2:$F$9997,Calendar!$B$2:$B$9997,D7982,Calendar!$C$2:$C$9997,C7982)*INDEX(ForeCalc!$B$37:$Y$274,MATCH(_xlfn.CONCAT(H7982," ",I7982),ForeCalc!$A$37:$A$274,0),MATCH(_xlfn.CONCAT(B7982," ",E7982),ForeCalc!$B$36:$Y$36,0))))*VLOOKUP(A7982,Calendar!$A$2:$H$9997,8,FALSE),0)</f>
        <v/>
      </c>
      <c r="G7982" s="29">
        <f>VLOOKUP(A7982,Calendar!$A$1:$H$9997,6,FALSE)-F7982</f>
        <v/>
      </c>
      <c r="H7982" s="19" t="n">
        <v>1</v>
      </c>
      <c r="I7982" s="57" t="n">
        <v>11</v>
      </c>
    </row>
    <row r="7983">
      <c r="A7983" s="62" t="n">
        <v>46422</v>
      </c>
      <c r="B7983" s="3" t="inlineStr">
        <is>
          <t>Week</t>
        </is>
      </c>
      <c r="C7983" s="19" t="n">
        <v>2</v>
      </c>
      <c r="D7983" s="19" t="n">
        <v>2027</v>
      </c>
      <c r="E7983" s="57" t="n">
        <v>8</v>
      </c>
      <c r="F7983" s="29">
        <f>ROUND(((SUMIFS(Calendar!$F$2:$F$9997,Calendar!$B$2:$B$9997,D7983,Calendar!$C$2:$C$9997,C7983)*INDEX(ForeCalc!$B$37:$Y$274,MATCH(_xlfn.CONCAT(H7983," ",I7983),ForeCalc!$A$37:$A$274,0),MATCH(_xlfn.CONCAT(B7983," ",E7983),ForeCalc!$B$36:$Y$36,0))))*VLOOKUP(A7983,Calendar!$A$2:$H$9997,8,FALSE),0)</f>
        <v/>
      </c>
      <c r="G7983" s="29">
        <f>VLOOKUP(A7983,Calendar!$A$1:$H$9997,6,FALSE)-F7983</f>
        <v/>
      </c>
      <c r="H7983" s="19" t="n">
        <v>1</v>
      </c>
      <c r="I7983" s="57" t="n">
        <v>11</v>
      </c>
    </row>
    <row r="7984">
      <c r="A7984" s="62" t="n">
        <v>46423</v>
      </c>
      <c r="B7984" s="3" t="inlineStr">
        <is>
          <t>Week</t>
        </is>
      </c>
      <c r="C7984" s="19" t="n">
        <v>2</v>
      </c>
      <c r="D7984" s="19" t="n">
        <v>2027</v>
      </c>
      <c r="E7984" s="57" t="n">
        <v>8</v>
      </c>
      <c r="F7984" s="29">
        <f>ROUND(((SUMIFS(Calendar!$F$2:$F$9997,Calendar!$B$2:$B$9997,D7984,Calendar!$C$2:$C$9997,C7984)*INDEX(ForeCalc!$B$37:$Y$274,MATCH(_xlfn.CONCAT(H7984," ",I7984),ForeCalc!$A$37:$A$274,0),MATCH(_xlfn.CONCAT(B7984," ",E7984),ForeCalc!$B$36:$Y$36,0))))*VLOOKUP(A7984,Calendar!$A$2:$H$9997,8,FALSE),0)</f>
        <v/>
      </c>
      <c r="G7984" s="29">
        <f>VLOOKUP(A7984,Calendar!$A$1:$H$9997,6,FALSE)-F7984</f>
        <v/>
      </c>
      <c r="H7984" s="19" t="n">
        <v>1</v>
      </c>
      <c r="I7984" s="57" t="n">
        <v>11</v>
      </c>
    </row>
    <row r="7985">
      <c r="A7985" s="62" t="n">
        <v>46424</v>
      </c>
      <c r="B7985" s="3" t="inlineStr">
        <is>
          <t>Sat</t>
        </is>
      </c>
      <c r="C7985" s="19" t="n">
        <v>2</v>
      </c>
      <c r="D7985" s="19" t="n">
        <v>2027</v>
      </c>
      <c r="E7985" s="57" t="n">
        <v>8</v>
      </c>
      <c r="F7985" s="29">
        <f>ROUND(((SUMIFS(Calendar!$F$2:$F$9997,Calendar!$B$2:$B$9997,D7985,Calendar!$C$2:$C$9997,C7985)*INDEX(ForeCalc!$B$37:$Y$274,MATCH(_xlfn.CONCAT(H7985," ",I7985),ForeCalc!$A$37:$A$274,0),MATCH(_xlfn.CONCAT(B7985," ",E7985),ForeCalc!$B$36:$Y$36,0))))*VLOOKUP(A7985,Calendar!$A$2:$H$9997,8,FALSE),0)</f>
        <v/>
      </c>
      <c r="G7985" s="29">
        <f>VLOOKUP(A7985,Calendar!$A$1:$H$9997,6,FALSE)-F7985</f>
        <v/>
      </c>
      <c r="H7985" s="19" t="n">
        <v>1</v>
      </c>
      <c r="I7985" s="57" t="n">
        <v>11</v>
      </c>
    </row>
    <row r="7986">
      <c r="A7986" s="62" t="n">
        <v>46425</v>
      </c>
      <c r="B7986" s="3" t="inlineStr">
        <is>
          <t>Sun</t>
        </is>
      </c>
      <c r="C7986" s="19" t="n">
        <v>2</v>
      </c>
      <c r="D7986" s="19" t="n">
        <v>2027</v>
      </c>
      <c r="E7986" s="57" t="n">
        <v>8</v>
      </c>
      <c r="F7986" s="29">
        <f>ROUND(((SUMIFS(Calendar!$F$2:$F$9997,Calendar!$B$2:$B$9997,D7986,Calendar!$C$2:$C$9997,C7986)*INDEX(ForeCalc!$B$37:$Y$274,MATCH(_xlfn.CONCAT(H7986," ",I7986),ForeCalc!$A$37:$A$274,0),MATCH(_xlfn.CONCAT(B7986," ",E7986),ForeCalc!$B$36:$Y$36,0))))*VLOOKUP(A7986,Calendar!$A$2:$H$9997,8,FALSE),0)</f>
        <v/>
      </c>
      <c r="G7986" s="29">
        <f>VLOOKUP(A7986,Calendar!$A$1:$H$9997,6,FALSE)-F7986</f>
        <v/>
      </c>
      <c r="H7986" s="19" t="n">
        <v>1</v>
      </c>
      <c r="I7986" s="57" t="n">
        <v>11</v>
      </c>
    </row>
    <row r="7987">
      <c r="A7987" s="62" t="n">
        <v>46426</v>
      </c>
      <c r="B7987" s="3" t="inlineStr">
        <is>
          <t>Week</t>
        </is>
      </c>
      <c r="C7987" s="19" t="n">
        <v>2</v>
      </c>
      <c r="D7987" s="19" t="n">
        <v>2027</v>
      </c>
      <c r="E7987" s="57" t="n">
        <v>8</v>
      </c>
      <c r="F7987" s="29">
        <f>ROUND(((SUMIFS(Calendar!$F$2:$F$9997,Calendar!$B$2:$B$9997,D7987,Calendar!$C$2:$C$9997,C7987)*INDEX(ForeCalc!$B$37:$Y$274,MATCH(_xlfn.CONCAT(H7987," ",I7987),ForeCalc!$A$37:$A$274,0),MATCH(_xlfn.CONCAT(B7987," ",E7987),ForeCalc!$B$36:$Y$36,0))))*VLOOKUP(A7987,Calendar!$A$2:$H$9997,8,FALSE),0)</f>
        <v/>
      </c>
      <c r="G7987" s="29">
        <f>VLOOKUP(A7987,Calendar!$A$1:$H$9997,6,FALSE)-F7987</f>
        <v/>
      </c>
      <c r="H7987" s="19" t="n">
        <v>1</v>
      </c>
      <c r="I7987" s="57" t="n">
        <v>11</v>
      </c>
    </row>
    <row r="7988">
      <c r="A7988" s="62" t="n">
        <v>46427</v>
      </c>
      <c r="B7988" s="3" t="inlineStr">
        <is>
          <t>Week</t>
        </is>
      </c>
      <c r="C7988" s="19" t="n">
        <v>2</v>
      </c>
      <c r="D7988" s="19" t="n">
        <v>2027</v>
      </c>
      <c r="E7988" s="57" t="n">
        <v>8</v>
      </c>
      <c r="F7988" s="29">
        <f>ROUND(((SUMIFS(Calendar!$F$2:$F$9997,Calendar!$B$2:$B$9997,D7988,Calendar!$C$2:$C$9997,C7988)*INDEX(ForeCalc!$B$37:$Y$274,MATCH(_xlfn.CONCAT(H7988," ",I7988),ForeCalc!$A$37:$A$274,0),MATCH(_xlfn.CONCAT(B7988," ",E7988),ForeCalc!$B$36:$Y$36,0))))*VLOOKUP(A7988,Calendar!$A$2:$H$9997,8,FALSE),0)</f>
        <v/>
      </c>
      <c r="G7988" s="29">
        <f>VLOOKUP(A7988,Calendar!$A$1:$H$9997,6,FALSE)-F7988</f>
        <v/>
      </c>
      <c r="H7988" s="19" t="n">
        <v>1</v>
      </c>
      <c r="I7988" s="57" t="n">
        <v>11</v>
      </c>
    </row>
    <row r="7989">
      <c r="A7989" s="62" t="n">
        <v>46428</v>
      </c>
      <c r="B7989" s="3" t="inlineStr">
        <is>
          <t>Week</t>
        </is>
      </c>
      <c r="C7989" s="19" t="n">
        <v>2</v>
      </c>
      <c r="D7989" s="19" t="n">
        <v>2027</v>
      </c>
      <c r="E7989" s="57" t="n">
        <v>8</v>
      </c>
      <c r="F7989" s="29">
        <f>ROUND(((SUMIFS(Calendar!$F$2:$F$9997,Calendar!$B$2:$B$9997,D7989,Calendar!$C$2:$C$9997,C7989)*INDEX(ForeCalc!$B$37:$Y$274,MATCH(_xlfn.CONCAT(H7989," ",I7989),ForeCalc!$A$37:$A$274,0),MATCH(_xlfn.CONCAT(B7989," ",E7989),ForeCalc!$B$36:$Y$36,0))))*VLOOKUP(A7989,Calendar!$A$2:$H$9997,8,FALSE),0)</f>
        <v/>
      </c>
      <c r="G7989" s="29">
        <f>VLOOKUP(A7989,Calendar!$A$1:$H$9997,6,FALSE)-F7989</f>
        <v/>
      </c>
      <c r="H7989" s="19" t="n">
        <v>1</v>
      </c>
      <c r="I7989" s="57" t="n">
        <v>11</v>
      </c>
    </row>
    <row r="7990">
      <c r="A7990" s="62" t="n">
        <v>46429</v>
      </c>
      <c r="B7990" s="3" t="inlineStr">
        <is>
          <t>Week</t>
        </is>
      </c>
      <c r="C7990" s="19" t="n">
        <v>2</v>
      </c>
      <c r="D7990" s="19" t="n">
        <v>2027</v>
      </c>
      <c r="E7990" s="57" t="n">
        <v>8</v>
      </c>
      <c r="F7990" s="29">
        <f>ROUND(((SUMIFS(Calendar!$F$2:$F$9997,Calendar!$B$2:$B$9997,D7990,Calendar!$C$2:$C$9997,C7990)*INDEX(ForeCalc!$B$37:$Y$274,MATCH(_xlfn.CONCAT(H7990," ",I7990),ForeCalc!$A$37:$A$274,0),MATCH(_xlfn.CONCAT(B7990," ",E7990),ForeCalc!$B$36:$Y$36,0))))*VLOOKUP(A7990,Calendar!$A$2:$H$9997,8,FALSE),0)</f>
        <v/>
      </c>
      <c r="G7990" s="29">
        <f>VLOOKUP(A7990,Calendar!$A$1:$H$9997,6,FALSE)-F7990</f>
        <v/>
      </c>
      <c r="H7990" s="19" t="n">
        <v>1</v>
      </c>
      <c r="I7990" s="57" t="n">
        <v>11</v>
      </c>
    </row>
    <row r="7991">
      <c r="A7991" s="62" t="n">
        <v>46430</v>
      </c>
      <c r="B7991" s="3" t="inlineStr">
        <is>
          <t>Week</t>
        </is>
      </c>
      <c r="C7991" s="19" t="n">
        <v>2</v>
      </c>
      <c r="D7991" s="19" t="n">
        <v>2027</v>
      </c>
      <c r="E7991" s="57" t="n">
        <v>8</v>
      </c>
      <c r="F7991" s="29">
        <f>ROUND(((SUMIFS(Calendar!$F$2:$F$9997,Calendar!$B$2:$B$9997,D7991,Calendar!$C$2:$C$9997,C7991)*INDEX(ForeCalc!$B$37:$Y$274,MATCH(_xlfn.CONCAT(H7991," ",I7991),ForeCalc!$A$37:$A$274,0),MATCH(_xlfn.CONCAT(B7991," ",E7991),ForeCalc!$B$36:$Y$36,0))))*VLOOKUP(A7991,Calendar!$A$2:$H$9997,8,FALSE),0)</f>
        <v/>
      </c>
      <c r="G7991" s="29">
        <f>VLOOKUP(A7991,Calendar!$A$1:$H$9997,6,FALSE)-F7991</f>
        <v/>
      </c>
      <c r="H7991" s="19" t="n">
        <v>1</v>
      </c>
      <c r="I7991" s="57" t="n">
        <v>11</v>
      </c>
    </row>
    <row r="7992">
      <c r="A7992" s="62" t="n">
        <v>46431</v>
      </c>
      <c r="B7992" s="3" t="inlineStr">
        <is>
          <t>Sat</t>
        </is>
      </c>
      <c r="C7992" s="19" t="n">
        <v>2</v>
      </c>
      <c r="D7992" s="19" t="n">
        <v>2027</v>
      </c>
      <c r="E7992" s="57" t="n">
        <v>8</v>
      </c>
      <c r="F7992" s="29">
        <f>ROUND(((SUMIFS(Calendar!$F$2:$F$9997,Calendar!$B$2:$B$9997,D7992,Calendar!$C$2:$C$9997,C7992)*INDEX(ForeCalc!$B$37:$Y$274,MATCH(_xlfn.CONCAT(H7992," ",I7992),ForeCalc!$A$37:$A$274,0),MATCH(_xlfn.CONCAT(B7992," ",E7992),ForeCalc!$B$36:$Y$36,0))))*VLOOKUP(A7992,Calendar!$A$2:$H$9997,8,FALSE),0)</f>
        <v/>
      </c>
      <c r="G7992" s="29">
        <f>VLOOKUP(A7992,Calendar!$A$1:$H$9997,6,FALSE)-F7992</f>
        <v/>
      </c>
      <c r="H7992" s="19" t="n">
        <v>1</v>
      </c>
      <c r="I7992" s="57" t="n">
        <v>11</v>
      </c>
    </row>
    <row r="7993">
      <c r="A7993" s="62" t="n">
        <v>46432</v>
      </c>
      <c r="B7993" s="3" t="inlineStr">
        <is>
          <t>Sun</t>
        </is>
      </c>
      <c r="C7993" s="19" t="n">
        <v>2</v>
      </c>
      <c r="D7993" s="19" t="n">
        <v>2027</v>
      </c>
      <c r="E7993" s="57" t="n">
        <v>8</v>
      </c>
      <c r="F7993" s="29">
        <f>ROUND(((SUMIFS(Calendar!$F$2:$F$9997,Calendar!$B$2:$B$9997,D7993,Calendar!$C$2:$C$9997,C7993)*INDEX(ForeCalc!$B$37:$Y$274,MATCH(_xlfn.CONCAT(H7993," ",I7993),ForeCalc!$A$37:$A$274,0),MATCH(_xlfn.CONCAT(B7993," ",E7993),ForeCalc!$B$36:$Y$36,0))))*VLOOKUP(A7993,Calendar!$A$2:$H$9997,8,FALSE),0)</f>
        <v/>
      </c>
      <c r="G7993" s="29">
        <f>VLOOKUP(A7993,Calendar!$A$1:$H$9997,6,FALSE)-F7993</f>
        <v/>
      </c>
      <c r="H7993" s="19" t="n">
        <v>1</v>
      </c>
      <c r="I7993" s="57" t="n">
        <v>11</v>
      </c>
    </row>
    <row r="7994">
      <c r="A7994" s="62" t="n">
        <v>46433</v>
      </c>
      <c r="B7994" s="3" t="inlineStr">
        <is>
          <t>Week</t>
        </is>
      </c>
      <c r="C7994" s="19" t="n">
        <v>2</v>
      </c>
      <c r="D7994" s="19" t="n">
        <v>2027</v>
      </c>
      <c r="E7994" s="57" t="n">
        <v>8</v>
      </c>
      <c r="F7994" s="29">
        <f>ROUND(((SUMIFS(Calendar!$F$2:$F$9997,Calendar!$B$2:$B$9997,D7994,Calendar!$C$2:$C$9997,C7994)*INDEX(ForeCalc!$B$37:$Y$274,MATCH(_xlfn.CONCAT(H7994," ",I7994),ForeCalc!$A$37:$A$274,0),MATCH(_xlfn.CONCAT(B7994," ",E7994),ForeCalc!$B$36:$Y$36,0))))*VLOOKUP(A7994,Calendar!$A$2:$H$9997,8,FALSE),0)</f>
        <v/>
      </c>
      <c r="G7994" s="29">
        <f>VLOOKUP(A7994,Calendar!$A$1:$H$9997,6,FALSE)-F7994</f>
        <v/>
      </c>
      <c r="H7994" s="19" t="n">
        <v>1</v>
      </c>
      <c r="I7994" s="57" t="n">
        <v>11</v>
      </c>
    </row>
    <row r="7995">
      <c r="A7995" s="62" t="n">
        <v>46434</v>
      </c>
      <c r="B7995" s="3" t="inlineStr">
        <is>
          <t>Week</t>
        </is>
      </c>
      <c r="C7995" s="19" t="n">
        <v>2</v>
      </c>
      <c r="D7995" s="19" t="n">
        <v>2027</v>
      </c>
      <c r="E7995" s="57" t="n">
        <v>8</v>
      </c>
      <c r="F7995" s="29">
        <f>ROUND(((SUMIFS(Calendar!$F$2:$F$9997,Calendar!$B$2:$B$9997,D7995,Calendar!$C$2:$C$9997,C7995)*INDEX(ForeCalc!$B$37:$Y$274,MATCH(_xlfn.CONCAT(H7995," ",I7995),ForeCalc!$A$37:$A$274,0),MATCH(_xlfn.CONCAT(B7995," ",E7995),ForeCalc!$B$36:$Y$36,0))))*VLOOKUP(A7995,Calendar!$A$2:$H$9997,8,FALSE),0)</f>
        <v/>
      </c>
      <c r="G7995" s="29">
        <f>VLOOKUP(A7995,Calendar!$A$1:$H$9997,6,FALSE)-F7995</f>
        <v/>
      </c>
      <c r="H7995" s="19" t="n">
        <v>1</v>
      </c>
      <c r="I7995" s="57" t="n">
        <v>11</v>
      </c>
    </row>
    <row r="7996">
      <c r="A7996" s="62" t="n">
        <v>46435</v>
      </c>
      <c r="B7996" s="3" t="inlineStr">
        <is>
          <t>Week</t>
        </is>
      </c>
      <c r="C7996" s="19" t="n">
        <v>2</v>
      </c>
      <c r="D7996" s="19" t="n">
        <v>2027</v>
      </c>
      <c r="E7996" s="57" t="n">
        <v>8</v>
      </c>
      <c r="F7996" s="29">
        <f>ROUND(((SUMIFS(Calendar!$F$2:$F$9997,Calendar!$B$2:$B$9997,D7996,Calendar!$C$2:$C$9997,C7996)*INDEX(ForeCalc!$B$37:$Y$274,MATCH(_xlfn.CONCAT(H7996," ",I7996),ForeCalc!$A$37:$A$274,0),MATCH(_xlfn.CONCAT(B7996," ",E7996),ForeCalc!$B$36:$Y$36,0))))*VLOOKUP(A7996,Calendar!$A$2:$H$9997,8,FALSE),0)</f>
        <v/>
      </c>
      <c r="G7996" s="29">
        <f>VLOOKUP(A7996,Calendar!$A$1:$H$9997,6,FALSE)-F7996</f>
        <v/>
      </c>
      <c r="H7996" s="19" t="n">
        <v>1</v>
      </c>
      <c r="I7996" s="57" t="n">
        <v>11</v>
      </c>
    </row>
    <row r="7997">
      <c r="A7997" s="62" t="n">
        <v>46436</v>
      </c>
      <c r="B7997" s="3" t="inlineStr">
        <is>
          <t>Week</t>
        </is>
      </c>
      <c r="C7997" s="19" t="n">
        <v>2</v>
      </c>
      <c r="D7997" s="19" t="n">
        <v>2027</v>
      </c>
      <c r="E7997" s="57" t="n">
        <v>8</v>
      </c>
      <c r="F7997" s="29">
        <f>ROUND(((SUMIFS(Calendar!$F$2:$F$9997,Calendar!$B$2:$B$9997,D7997,Calendar!$C$2:$C$9997,C7997)*INDEX(ForeCalc!$B$37:$Y$274,MATCH(_xlfn.CONCAT(H7997," ",I7997),ForeCalc!$A$37:$A$274,0),MATCH(_xlfn.CONCAT(B7997," ",E7997),ForeCalc!$B$36:$Y$36,0))))*VLOOKUP(A7997,Calendar!$A$2:$H$9997,8,FALSE),0)</f>
        <v/>
      </c>
      <c r="G7997" s="29">
        <f>VLOOKUP(A7997,Calendar!$A$1:$H$9997,6,FALSE)-F7997</f>
        <v/>
      </c>
      <c r="H7997" s="19" t="n">
        <v>1</v>
      </c>
      <c r="I7997" s="57" t="n">
        <v>11</v>
      </c>
    </row>
    <row r="7998">
      <c r="A7998" s="62" t="n">
        <v>46437</v>
      </c>
      <c r="B7998" s="3" t="inlineStr">
        <is>
          <t>Week</t>
        </is>
      </c>
      <c r="C7998" s="19" t="n">
        <v>2</v>
      </c>
      <c r="D7998" s="19" t="n">
        <v>2027</v>
      </c>
      <c r="E7998" s="57" t="n">
        <v>8</v>
      </c>
      <c r="F7998" s="29">
        <f>ROUND(((SUMIFS(Calendar!$F$2:$F$9997,Calendar!$B$2:$B$9997,D7998,Calendar!$C$2:$C$9997,C7998)*INDEX(ForeCalc!$B$37:$Y$274,MATCH(_xlfn.CONCAT(H7998," ",I7998),ForeCalc!$A$37:$A$274,0),MATCH(_xlfn.CONCAT(B7998," ",E7998),ForeCalc!$B$36:$Y$36,0))))*VLOOKUP(A7998,Calendar!$A$2:$H$9997,8,FALSE),0)</f>
        <v/>
      </c>
      <c r="G7998" s="29">
        <f>VLOOKUP(A7998,Calendar!$A$1:$H$9997,6,FALSE)-F7998</f>
        <v/>
      </c>
      <c r="H7998" s="19" t="n">
        <v>1</v>
      </c>
      <c r="I7998" s="57" t="n">
        <v>11</v>
      </c>
    </row>
    <row r="7999">
      <c r="A7999" s="62" t="n">
        <v>46438</v>
      </c>
      <c r="B7999" s="3" t="inlineStr">
        <is>
          <t>Sat</t>
        </is>
      </c>
      <c r="C7999" s="19" t="n">
        <v>2</v>
      </c>
      <c r="D7999" s="19" t="n">
        <v>2027</v>
      </c>
      <c r="E7999" s="57" t="n">
        <v>8</v>
      </c>
      <c r="F7999" s="29">
        <f>ROUND(((SUMIFS(Calendar!$F$2:$F$9997,Calendar!$B$2:$B$9997,D7999,Calendar!$C$2:$C$9997,C7999)*INDEX(ForeCalc!$B$37:$Y$274,MATCH(_xlfn.CONCAT(H7999," ",I7999),ForeCalc!$A$37:$A$274,0),MATCH(_xlfn.CONCAT(B7999," ",E7999),ForeCalc!$B$36:$Y$36,0))))*VLOOKUP(A7999,Calendar!$A$2:$H$9997,8,FALSE),0)</f>
        <v/>
      </c>
      <c r="G7999" s="29">
        <f>VLOOKUP(A7999,Calendar!$A$1:$H$9997,6,FALSE)-F7999</f>
        <v/>
      </c>
      <c r="H7999" s="19" t="n">
        <v>1</v>
      </c>
      <c r="I7999" s="57" t="n">
        <v>11</v>
      </c>
    </row>
    <row r="8000">
      <c r="A8000" s="62" t="n">
        <v>46439</v>
      </c>
      <c r="B8000" s="3" t="inlineStr">
        <is>
          <t>Sun</t>
        </is>
      </c>
      <c r="C8000" s="19" t="n">
        <v>2</v>
      </c>
      <c r="D8000" s="19" t="n">
        <v>2027</v>
      </c>
      <c r="E8000" s="57" t="n">
        <v>8</v>
      </c>
      <c r="F8000" s="29">
        <f>ROUND(((SUMIFS(Calendar!$F$2:$F$9997,Calendar!$B$2:$B$9997,D8000,Calendar!$C$2:$C$9997,C8000)*INDEX(ForeCalc!$B$37:$Y$274,MATCH(_xlfn.CONCAT(H8000," ",I8000),ForeCalc!$A$37:$A$274,0),MATCH(_xlfn.CONCAT(B8000," ",E8000),ForeCalc!$B$36:$Y$36,0))))*VLOOKUP(A8000,Calendar!$A$2:$H$9997,8,FALSE),0)</f>
        <v/>
      </c>
      <c r="G8000" s="29">
        <f>VLOOKUP(A8000,Calendar!$A$1:$H$9997,6,FALSE)-F8000</f>
        <v/>
      </c>
      <c r="H8000" s="19" t="n">
        <v>1</v>
      </c>
      <c r="I8000" s="57" t="n">
        <v>11</v>
      </c>
    </row>
    <row r="8001">
      <c r="A8001" s="62" t="n">
        <v>46440</v>
      </c>
      <c r="B8001" s="3" t="inlineStr">
        <is>
          <t>Week</t>
        </is>
      </c>
      <c r="C8001" s="19" t="n">
        <v>2</v>
      </c>
      <c r="D8001" s="19" t="n">
        <v>2027</v>
      </c>
      <c r="E8001" s="57" t="n">
        <v>8</v>
      </c>
      <c r="F8001" s="29">
        <f>ROUND(((SUMIFS(Calendar!$F$2:$F$9997,Calendar!$B$2:$B$9997,D8001,Calendar!$C$2:$C$9997,C8001)*INDEX(ForeCalc!$B$37:$Y$274,MATCH(_xlfn.CONCAT(H8001," ",I8001),ForeCalc!$A$37:$A$274,0),MATCH(_xlfn.CONCAT(B8001," ",E8001),ForeCalc!$B$36:$Y$36,0))))*VLOOKUP(A8001,Calendar!$A$2:$H$9997,8,FALSE),0)</f>
        <v/>
      </c>
      <c r="G8001" s="29">
        <f>VLOOKUP(A8001,Calendar!$A$1:$H$9997,6,FALSE)-F8001</f>
        <v/>
      </c>
      <c r="H8001" s="19" t="n">
        <v>1</v>
      </c>
      <c r="I8001" s="57" t="n">
        <v>11</v>
      </c>
    </row>
    <row r="8002">
      <c r="A8002" s="62" t="n">
        <v>46441</v>
      </c>
      <c r="B8002" s="3" t="inlineStr">
        <is>
          <t>Week</t>
        </is>
      </c>
      <c r="C8002" s="19" t="n">
        <v>2</v>
      </c>
      <c r="D8002" s="19" t="n">
        <v>2027</v>
      </c>
      <c r="E8002" s="57" t="n">
        <v>8</v>
      </c>
      <c r="F8002" s="29">
        <f>ROUND(((SUMIFS(Calendar!$F$2:$F$9997,Calendar!$B$2:$B$9997,D8002,Calendar!$C$2:$C$9997,C8002)*INDEX(ForeCalc!$B$37:$Y$274,MATCH(_xlfn.CONCAT(H8002," ",I8002),ForeCalc!$A$37:$A$274,0),MATCH(_xlfn.CONCAT(B8002," ",E8002),ForeCalc!$B$36:$Y$36,0))))*VLOOKUP(A8002,Calendar!$A$2:$H$9997,8,FALSE),0)</f>
        <v/>
      </c>
      <c r="G8002" s="29">
        <f>VLOOKUP(A8002,Calendar!$A$1:$H$9997,6,FALSE)-F8002</f>
        <v/>
      </c>
      <c r="H8002" s="19" t="n">
        <v>1</v>
      </c>
      <c r="I8002" s="57" t="n">
        <v>11</v>
      </c>
    </row>
    <row r="8003">
      <c r="A8003" s="62" t="n">
        <v>46442</v>
      </c>
      <c r="B8003" s="3" t="inlineStr">
        <is>
          <t>Week</t>
        </is>
      </c>
      <c r="C8003" s="19" t="n">
        <v>2</v>
      </c>
      <c r="D8003" s="19" t="n">
        <v>2027</v>
      </c>
      <c r="E8003" s="57" t="n">
        <v>8</v>
      </c>
      <c r="F8003" s="29">
        <f>ROUND(((SUMIFS(Calendar!$F$2:$F$9997,Calendar!$B$2:$B$9997,D8003,Calendar!$C$2:$C$9997,C8003)*INDEX(ForeCalc!$B$37:$Y$274,MATCH(_xlfn.CONCAT(H8003," ",I8003),ForeCalc!$A$37:$A$274,0),MATCH(_xlfn.CONCAT(B8003," ",E8003),ForeCalc!$B$36:$Y$36,0))))*VLOOKUP(A8003,Calendar!$A$2:$H$9997,8,FALSE),0)</f>
        <v/>
      </c>
      <c r="G8003" s="29">
        <f>VLOOKUP(A8003,Calendar!$A$1:$H$9997,6,FALSE)-F8003</f>
        <v/>
      </c>
      <c r="H8003" s="19" t="n">
        <v>1</v>
      </c>
      <c r="I8003" s="57" t="n">
        <v>11</v>
      </c>
    </row>
    <row r="8004">
      <c r="A8004" s="62" t="n">
        <v>46443</v>
      </c>
      <c r="B8004" s="3" t="inlineStr">
        <is>
          <t>Week</t>
        </is>
      </c>
      <c r="C8004" s="19" t="n">
        <v>2</v>
      </c>
      <c r="D8004" s="19" t="n">
        <v>2027</v>
      </c>
      <c r="E8004" s="57" t="n">
        <v>8</v>
      </c>
      <c r="F8004" s="29">
        <f>ROUND(((SUMIFS(Calendar!$F$2:$F$9997,Calendar!$B$2:$B$9997,D8004,Calendar!$C$2:$C$9997,C8004)*INDEX(ForeCalc!$B$37:$Y$274,MATCH(_xlfn.CONCAT(H8004," ",I8004),ForeCalc!$A$37:$A$274,0),MATCH(_xlfn.CONCAT(B8004," ",E8004),ForeCalc!$B$36:$Y$36,0))))*VLOOKUP(A8004,Calendar!$A$2:$H$9997,8,FALSE),0)</f>
        <v/>
      </c>
      <c r="G8004" s="29">
        <f>VLOOKUP(A8004,Calendar!$A$1:$H$9997,6,FALSE)-F8004</f>
        <v/>
      </c>
      <c r="H8004" s="19" t="n">
        <v>1</v>
      </c>
      <c r="I8004" s="57" t="n">
        <v>11</v>
      </c>
    </row>
    <row r="8005">
      <c r="A8005" s="62" t="n">
        <v>46444</v>
      </c>
      <c r="B8005" s="3" t="inlineStr">
        <is>
          <t>Week</t>
        </is>
      </c>
      <c r="C8005" s="19" t="n">
        <v>2</v>
      </c>
      <c r="D8005" s="19" t="n">
        <v>2027</v>
      </c>
      <c r="E8005" s="57" t="n">
        <v>8</v>
      </c>
      <c r="F8005" s="29">
        <f>ROUND(((SUMIFS(Calendar!$F$2:$F$9997,Calendar!$B$2:$B$9997,D8005,Calendar!$C$2:$C$9997,C8005)*INDEX(ForeCalc!$B$37:$Y$274,MATCH(_xlfn.CONCAT(H8005," ",I8005),ForeCalc!$A$37:$A$274,0),MATCH(_xlfn.CONCAT(B8005," ",E8005),ForeCalc!$B$36:$Y$36,0))))*VLOOKUP(A8005,Calendar!$A$2:$H$9997,8,FALSE),0)</f>
        <v/>
      </c>
      <c r="G8005" s="29">
        <f>VLOOKUP(A8005,Calendar!$A$1:$H$9997,6,FALSE)-F8005</f>
        <v/>
      </c>
      <c r="H8005" s="19" t="n">
        <v>1</v>
      </c>
      <c r="I8005" s="57" t="n">
        <v>11</v>
      </c>
    </row>
    <row r="8006">
      <c r="A8006" s="62" t="n">
        <v>46445</v>
      </c>
      <c r="B8006" s="3" t="inlineStr">
        <is>
          <t>Sat</t>
        </is>
      </c>
      <c r="C8006" s="19" t="n">
        <v>2</v>
      </c>
      <c r="D8006" s="19" t="n">
        <v>2027</v>
      </c>
      <c r="E8006" s="57" t="n">
        <v>8</v>
      </c>
      <c r="F8006" s="29">
        <f>ROUND(((SUMIFS(Calendar!$F$2:$F$9997,Calendar!$B$2:$B$9997,D8006,Calendar!$C$2:$C$9997,C8006)*INDEX(ForeCalc!$B$37:$Y$274,MATCH(_xlfn.CONCAT(H8006," ",I8006),ForeCalc!$A$37:$A$274,0),MATCH(_xlfn.CONCAT(B8006," ",E8006),ForeCalc!$B$36:$Y$36,0))))*VLOOKUP(A8006,Calendar!$A$2:$H$9997,8,FALSE),0)</f>
        <v/>
      </c>
      <c r="G8006" s="29">
        <f>VLOOKUP(A8006,Calendar!$A$1:$H$9997,6,FALSE)-F8006</f>
        <v/>
      </c>
      <c r="H8006" s="19" t="n">
        <v>1</v>
      </c>
      <c r="I8006" s="57" t="n">
        <v>11</v>
      </c>
    </row>
    <row r="8007">
      <c r="A8007" s="62" t="n">
        <v>46446</v>
      </c>
      <c r="B8007" s="3" t="inlineStr">
        <is>
          <t>Sun</t>
        </is>
      </c>
      <c r="C8007" s="19" t="n">
        <v>2</v>
      </c>
      <c r="D8007" s="19" t="n">
        <v>2027</v>
      </c>
      <c r="E8007" s="57" t="n">
        <v>8</v>
      </c>
      <c r="F8007" s="29">
        <f>ROUND(((SUMIFS(Calendar!$F$2:$F$9997,Calendar!$B$2:$B$9997,D8007,Calendar!$C$2:$C$9997,C8007)*INDEX(ForeCalc!$B$37:$Y$274,MATCH(_xlfn.CONCAT(H8007," ",I8007),ForeCalc!$A$37:$A$274,0),MATCH(_xlfn.CONCAT(B8007," ",E8007),ForeCalc!$B$36:$Y$36,0))))*VLOOKUP(A8007,Calendar!$A$2:$H$9997,8,FALSE),0)</f>
        <v/>
      </c>
      <c r="G8007" s="29">
        <f>VLOOKUP(A8007,Calendar!$A$1:$H$9997,6,FALSE)-F8007</f>
        <v/>
      </c>
      <c r="H8007" s="19" t="n">
        <v>1</v>
      </c>
      <c r="I8007" s="57" t="n">
        <v>11</v>
      </c>
    </row>
    <row r="8008">
      <c r="A8008" s="62" t="n">
        <v>46447</v>
      </c>
      <c r="B8008" s="3" t="inlineStr">
        <is>
          <t>Week</t>
        </is>
      </c>
      <c r="C8008" s="19" t="n">
        <v>3</v>
      </c>
      <c r="D8008" s="19" t="n">
        <v>2027</v>
      </c>
      <c r="E8008" s="57" t="n">
        <v>8</v>
      </c>
      <c r="F8008" s="29">
        <f>ROUND(((SUMIFS(Calendar!$F$2:$F$9997,Calendar!$B$2:$B$9997,D8008,Calendar!$C$2:$C$9997,C8008)*INDEX(ForeCalc!$B$37:$Y$274,MATCH(_xlfn.CONCAT(H8008," ",I8008),ForeCalc!$A$37:$A$274,0),MATCH(_xlfn.CONCAT(B8008," ",E8008),ForeCalc!$B$36:$Y$36,0))))*VLOOKUP(A8008,Calendar!$A$2:$H$9997,8,FALSE),0)</f>
        <v/>
      </c>
      <c r="G8008" s="29">
        <f>VLOOKUP(A8008,Calendar!$A$1:$H$9997,6,FALSE)-F8008</f>
        <v/>
      </c>
      <c r="H8008" s="19" t="n">
        <v>1</v>
      </c>
      <c r="I8008" s="57" t="n">
        <v>12</v>
      </c>
    </row>
    <row r="8009">
      <c r="A8009" s="62" t="n">
        <v>46448</v>
      </c>
      <c r="B8009" s="3" t="inlineStr">
        <is>
          <t>Week</t>
        </is>
      </c>
      <c r="C8009" s="19" t="n">
        <v>3</v>
      </c>
      <c r="D8009" s="19" t="n">
        <v>2027</v>
      </c>
      <c r="E8009" s="57" t="n">
        <v>8</v>
      </c>
      <c r="F8009" s="29">
        <f>ROUND(((SUMIFS(Calendar!$F$2:$F$9997,Calendar!$B$2:$B$9997,D8009,Calendar!$C$2:$C$9997,C8009)*INDEX(ForeCalc!$B$37:$Y$274,MATCH(_xlfn.CONCAT(H8009," ",I8009),ForeCalc!$A$37:$A$274,0),MATCH(_xlfn.CONCAT(B8009," ",E8009),ForeCalc!$B$36:$Y$36,0))))*VLOOKUP(A8009,Calendar!$A$2:$H$9997,8,FALSE),0)</f>
        <v/>
      </c>
      <c r="G8009" s="29">
        <f>VLOOKUP(A8009,Calendar!$A$1:$H$9997,6,FALSE)-F8009</f>
        <v/>
      </c>
      <c r="H8009" s="19" t="n">
        <v>1</v>
      </c>
      <c r="I8009" s="57" t="n">
        <v>12</v>
      </c>
    </row>
    <row r="8010">
      <c r="A8010" s="62" t="n">
        <v>46449</v>
      </c>
      <c r="B8010" s="3" t="inlineStr">
        <is>
          <t>Week</t>
        </is>
      </c>
      <c r="C8010" s="19" t="n">
        <v>3</v>
      </c>
      <c r="D8010" s="19" t="n">
        <v>2027</v>
      </c>
      <c r="E8010" s="57" t="n">
        <v>8</v>
      </c>
      <c r="F8010" s="29">
        <f>ROUND(((SUMIFS(Calendar!$F$2:$F$9997,Calendar!$B$2:$B$9997,D8010,Calendar!$C$2:$C$9997,C8010)*INDEX(ForeCalc!$B$37:$Y$274,MATCH(_xlfn.CONCAT(H8010," ",I8010),ForeCalc!$A$37:$A$274,0),MATCH(_xlfn.CONCAT(B8010," ",E8010),ForeCalc!$B$36:$Y$36,0))))*VLOOKUP(A8010,Calendar!$A$2:$H$9997,8,FALSE),0)</f>
        <v/>
      </c>
      <c r="G8010" s="29">
        <f>VLOOKUP(A8010,Calendar!$A$1:$H$9997,6,FALSE)-F8010</f>
        <v/>
      </c>
      <c r="H8010" s="19" t="n">
        <v>1</v>
      </c>
      <c r="I8010" s="57" t="n">
        <v>12</v>
      </c>
    </row>
    <row r="8011">
      <c r="A8011" s="62" t="n">
        <v>46450</v>
      </c>
      <c r="B8011" s="3" t="inlineStr">
        <is>
          <t>Week</t>
        </is>
      </c>
      <c r="C8011" s="19" t="n">
        <v>3</v>
      </c>
      <c r="D8011" s="19" t="n">
        <v>2027</v>
      </c>
      <c r="E8011" s="57" t="n">
        <v>8</v>
      </c>
      <c r="F8011" s="29">
        <f>ROUND(((SUMIFS(Calendar!$F$2:$F$9997,Calendar!$B$2:$B$9997,D8011,Calendar!$C$2:$C$9997,C8011)*INDEX(ForeCalc!$B$37:$Y$274,MATCH(_xlfn.CONCAT(H8011," ",I8011),ForeCalc!$A$37:$A$274,0),MATCH(_xlfn.CONCAT(B8011," ",E8011),ForeCalc!$B$36:$Y$36,0))))*VLOOKUP(A8011,Calendar!$A$2:$H$9997,8,FALSE),0)</f>
        <v/>
      </c>
      <c r="G8011" s="29">
        <f>VLOOKUP(A8011,Calendar!$A$1:$H$9997,6,FALSE)-F8011</f>
        <v/>
      </c>
      <c r="H8011" s="19" t="n">
        <v>1</v>
      </c>
      <c r="I8011" s="57" t="n">
        <v>12</v>
      </c>
    </row>
    <row r="8012">
      <c r="A8012" s="62" t="n">
        <v>46451</v>
      </c>
      <c r="B8012" s="3" t="inlineStr">
        <is>
          <t>Week</t>
        </is>
      </c>
      <c r="C8012" s="19" t="n">
        <v>3</v>
      </c>
      <c r="D8012" s="19" t="n">
        <v>2027</v>
      </c>
      <c r="E8012" s="57" t="n">
        <v>8</v>
      </c>
      <c r="F8012" s="29">
        <f>ROUND(((SUMIFS(Calendar!$F$2:$F$9997,Calendar!$B$2:$B$9997,D8012,Calendar!$C$2:$C$9997,C8012)*INDEX(ForeCalc!$B$37:$Y$274,MATCH(_xlfn.CONCAT(H8012," ",I8012),ForeCalc!$A$37:$A$274,0),MATCH(_xlfn.CONCAT(B8012," ",E8012),ForeCalc!$B$36:$Y$36,0))))*VLOOKUP(A8012,Calendar!$A$2:$H$9997,8,FALSE),0)</f>
        <v/>
      </c>
      <c r="G8012" s="29">
        <f>VLOOKUP(A8012,Calendar!$A$1:$H$9997,6,FALSE)-F8012</f>
        <v/>
      </c>
      <c r="H8012" s="19" t="n">
        <v>1</v>
      </c>
      <c r="I8012" s="57" t="n">
        <v>12</v>
      </c>
    </row>
    <row r="8013">
      <c r="A8013" s="62" t="n">
        <v>46452</v>
      </c>
      <c r="B8013" s="3" t="inlineStr">
        <is>
          <t>Sat</t>
        </is>
      </c>
      <c r="C8013" s="19" t="n">
        <v>3</v>
      </c>
      <c r="D8013" s="19" t="n">
        <v>2027</v>
      </c>
      <c r="E8013" s="57" t="n">
        <v>8</v>
      </c>
      <c r="F8013" s="29">
        <f>ROUND(((SUMIFS(Calendar!$F$2:$F$9997,Calendar!$B$2:$B$9997,D8013,Calendar!$C$2:$C$9997,C8013)*INDEX(ForeCalc!$B$37:$Y$274,MATCH(_xlfn.CONCAT(H8013," ",I8013),ForeCalc!$A$37:$A$274,0),MATCH(_xlfn.CONCAT(B8013," ",E8013),ForeCalc!$B$36:$Y$36,0))))*VLOOKUP(A8013,Calendar!$A$2:$H$9997,8,FALSE),0)</f>
        <v/>
      </c>
      <c r="G8013" s="29">
        <f>VLOOKUP(A8013,Calendar!$A$1:$H$9997,6,FALSE)-F8013</f>
        <v/>
      </c>
      <c r="H8013" s="19" t="n">
        <v>1</v>
      </c>
      <c r="I8013" s="57" t="n">
        <v>12</v>
      </c>
    </row>
    <row r="8014">
      <c r="A8014" s="62" t="n">
        <v>46453</v>
      </c>
      <c r="B8014" s="3" t="inlineStr">
        <is>
          <t>Sun</t>
        </is>
      </c>
      <c r="C8014" s="19" t="n">
        <v>3</v>
      </c>
      <c r="D8014" s="19" t="n">
        <v>2027</v>
      </c>
      <c r="E8014" s="57" t="n">
        <v>8</v>
      </c>
      <c r="F8014" s="29">
        <f>ROUND(((SUMIFS(Calendar!$F$2:$F$9997,Calendar!$B$2:$B$9997,D8014,Calendar!$C$2:$C$9997,C8014)*INDEX(ForeCalc!$B$37:$Y$274,MATCH(_xlfn.CONCAT(H8014," ",I8014),ForeCalc!$A$37:$A$274,0),MATCH(_xlfn.CONCAT(B8014," ",E8014),ForeCalc!$B$36:$Y$36,0))))*VLOOKUP(A8014,Calendar!$A$2:$H$9997,8,FALSE),0)</f>
        <v/>
      </c>
      <c r="G8014" s="29">
        <f>VLOOKUP(A8014,Calendar!$A$1:$H$9997,6,FALSE)-F8014</f>
        <v/>
      </c>
      <c r="H8014" s="19" t="n">
        <v>1</v>
      </c>
      <c r="I8014" s="57" t="n">
        <v>12</v>
      </c>
    </row>
    <row r="8015">
      <c r="A8015" s="62" t="n">
        <v>46454</v>
      </c>
      <c r="B8015" s="3" t="inlineStr">
        <is>
          <t>Week</t>
        </is>
      </c>
      <c r="C8015" s="19" t="n">
        <v>3</v>
      </c>
      <c r="D8015" s="19" t="n">
        <v>2027</v>
      </c>
      <c r="E8015" s="57" t="n">
        <v>8</v>
      </c>
      <c r="F8015" s="29">
        <f>ROUND(((SUMIFS(Calendar!$F$2:$F$9997,Calendar!$B$2:$B$9997,D8015,Calendar!$C$2:$C$9997,C8015)*INDEX(ForeCalc!$B$37:$Y$274,MATCH(_xlfn.CONCAT(H8015," ",I8015),ForeCalc!$A$37:$A$274,0),MATCH(_xlfn.CONCAT(B8015," ",E8015),ForeCalc!$B$36:$Y$36,0))))*VLOOKUP(A8015,Calendar!$A$2:$H$9997,8,FALSE),0)</f>
        <v/>
      </c>
      <c r="G8015" s="29">
        <f>VLOOKUP(A8015,Calendar!$A$1:$H$9997,6,FALSE)-F8015</f>
        <v/>
      </c>
      <c r="H8015" s="19" t="n">
        <v>1</v>
      </c>
      <c r="I8015" s="57" t="n">
        <v>12</v>
      </c>
    </row>
    <row r="8016">
      <c r="A8016" s="62" t="n">
        <v>46455</v>
      </c>
      <c r="B8016" s="3" t="inlineStr">
        <is>
          <t>Week</t>
        </is>
      </c>
      <c r="C8016" s="19" t="n">
        <v>3</v>
      </c>
      <c r="D8016" s="19" t="n">
        <v>2027</v>
      </c>
      <c r="E8016" s="57" t="n">
        <v>8</v>
      </c>
      <c r="F8016" s="29">
        <f>ROUND(((SUMIFS(Calendar!$F$2:$F$9997,Calendar!$B$2:$B$9997,D8016,Calendar!$C$2:$C$9997,C8016)*INDEX(ForeCalc!$B$37:$Y$274,MATCH(_xlfn.CONCAT(H8016," ",I8016),ForeCalc!$A$37:$A$274,0),MATCH(_xlfn.CONCAT(B8016," ",E8016),ForeCalc!$B$36:$Y$36,0))))*VLOOKUP(A8016,Calendar!$A$2:$H$9997,8,FALSE),0)</f>
        <v/>
      </c>
      <c r="G8016" s="29">
        <f>VLOOKUP(A8016,Calendar!$A$1:$H$9997,6,FALSE)-F8016</f>
        <v/>
      </c>
      <c r="H8016" s="19" t="n">
        <v>1</v>
      </c>
      <c r="I8016" s="57" t="n">
        <v>12</v>
      </c>
    </row>
    <row r="8017">
      <c r="A8017" s="62" t="n">
        <v>46456</v>
      </c>
      <c r="B8017" s="3" t="inlineStr">
        <is>
          <t>Week</t>
        </is>
      </c>
      <c r="C8017" s="19" t="n">
        <v>3</v>
      </c>
      <c r="D8017" s="19" t="n">
        <v>2027</v>
      </c>
      <c r="E8017" s="57" t="n">
        <v>8</v>
      </c>
      <c r="F8017" s="29">
        <f>ROUND(((SUMIFS(Calendar!$F$2:$F$9997,Calendar!$B$2:$B$9997,D8017,Calendar!$C$2:$C$9997,C8017)*INDEX(ForeCalc!$B$37:$Y$274,MATCH(_xlfn.CONCAT(H8017," ",I8017),ForeCalc!$A$37:$A$274,0),MATCH(_xlfn.CONCAT(B8017," ",E8017),ForeCalc!$B$36:$Y$36,0))))*VLOOKUP(A8017,Calendar!$A$2:$H$9997,8,FALSE),0)</f>
        <v/>
      </c>
      <c r="G8017" s="29">
        <f>VLOOKUP(A8017,Calendar!$A$1:$H$9997,6,FALSE)-F8017</f>
        <v/>
      </c>
      <c r="H8017" s="19" t="n">
        <v>1</v>
      </c>
      <c r="I8017" s="57" t="n">
        <v>12</v>
      </c>
    </row>
    <row r="8018">
      <c r="A8018" s="62" t="n">
        <v>46457</v>
      </c>
      <c r="B8018" s="3" t="inlineStr">
        <is>
          <t>Week</t>
        </is>
      </c>
      <c r="C8018" s="19" t="n">
        <v>3</v>
      </c>
      <c r="D8018" s="19" t="n">
        <v>2027</v>
      </c>
      <c r="E8018" s="57" t="n">
        <v>8</v>
      </c>
      <c r="F8018" s="29">
        <f>ROUND(((SUMIFS(Calendar!$F$2:$F$9997,Calendar!$B$2:$B$9997,D8018,Calendar!$C$2:$C$9997,C8018)*INDEX(ForeCalc!$B$37:$Y$274,MATCH(_xlfn.CONCAT(H8018," ",I8018),ForeCalc!$A$37:$A$274,0),MATCH(_xlfn.CONCAT(B8018," ",E8018),ForeCalc!$B$36:$Y$36,0))))*VLOOKUP(A8018,Calendar!$A$2:$H$9997,8,FALSE),0)</f>
        <v/>
      </c>
      <c r="G8018" s="29">
        <f>VLOOKUP(A8018,Calendar!$A$1:$H$9997,6,FALSE)-F8018</f>
        <v/>
      </c>
      <c r="H8018" s="19" t="n">
        <v>1</v>
      </c>
      <c r="I8018" s="57" t="n">
        <v>12</v>
      </c>
    </row>
    <row r="8019">
      <c r="A8019" s="62" t="n">
        <v>46458</v>
      </c>
      <c r="B8019" s="3" t="inlineStr">
        <is>
          <t>Week</t>
        </is>
      </c>
      <c r="C8019" s="19" t="n">
        <v>3</v>
      </c>
      <c r="D8019" s="19" t="n">
        <v>2027</v>
      </c>
      <c r="E8019" s="57" t="n">
        <v>8</v>
      </c>
      <c r="F8019" s="29">
        <f>ROUND(((SUMIFS(Calendar!$F$2:$F$9997,Calendar!$B$2:$B$9997,D8019,Calendar!$C$2:$C$9997,C8019)*INDEX(ForeCalc!$B$37:$Y$274,MATCH(_xlfn.CONCAT(H8019," ",I8019),ForeCalc!$A$37:$A$274,0),MATCH(_xlfn.CONCAT(B8019," ",E8019),ForeCalc!$B$36:$Y$36,0))))*VLOOKUP(A8019,Calendar!$A$2:$H$9997,8,FALSE),0)</f>
        <v/>
      </c>
      <c r="G8019" s="29">
        <f>VLOOKUP(A8019,Calendar!$A$1:$H$9997,6,FALSE)-F8019</f>
        <v/>
      </c>
      <c r="H8019" s="19" t="n">
        <v>1</v>
      </c>
      <c r="I8019" s="57" t="n">
        <v>12</v>
      </c>
    </row>
    <row r="8020">
      <c r="A8020" s="62" t="n">
        <v>46459</v>
      </c>
      <c r="B8020" s="3" t="inlineStr">
        <is>
          <t>Sat</t>
        </is>
      </c>
      <c r="C8020" s="19" t="n">
        <v>3</v>
      </c>
      <c r="D8020" s="19" t="n">
        <v>2027</v>
      </c>
      <c r="E8020" s="57" t="n">
        <v>8</v>
      </c>
      <c r="F8020" s="29">
        <f>ROUND(((SUMIFS(Calendar!$F$2:$F$9997,Calendar!$B$2:$B$9997,D8020,Calendar!$C$2:$C$9997,C8020)*INDEX(ForeCalc!$B$37:$Y$274,MATCH(_xlfn.CONCAT(H8020," ",I8020),ForeCalc!$A$37:$A$274,0),MATCH(_xlfn.CONCAT(B8020," ",E8020),ForeCalc!$B$36:$Y$36,0))))*VLOOKUP(A8020,Calendar!$A$2:$H$9997,8,FALSE),0)</f>
        <v/>
      </c>
      <c r="G8020" s="29">
        <f>VLOOKUP(A8020,Calendar!$A$1:$H$9997,6,FALSE)-F8020</f>
        <v/>
      </c>
      <c r="H8020" s="19" t="n">
        <v>1</v>
      </c>
      <c r="I8020" s="57" t="n">
        <v>12</v>
      </c>
    </row>
    <row r="8021">
      <c r="A8021" s="62" t="n">
        <v>46460</v>
      </c>
      <c r="B8021" s="3" t="inlineStr">
        <is>
          <t>Sun</t>
        </is>
      </c>
      <c r="C8021" s="19" t="n">
        <v>3</v>
      </c>
      <c r="D8021" s="19" t="n">
        <v>2027</v>
      </c>
      <c r="E8021" s="57" t="n">
        <v>8</v>
      </c>
      <c r="F8021" s="29">
        <f>ROUND(((SUMIFS(Calendar!$F$2:$F$9997,Calendar!$B$2:$B$9997,D8021,Calendar!$C$2:$C$9997,C8021)*INDEX(ForeCalc!$B$37:$Y$274,MATCH(_xlfn.CONCAT(H8021," ",I8021),ForeCalc!$A$37:$A$274,0),MATCH(_xlfn.CONCAT(B8021," ",E8021),ForeCalc!$B$36:$Y$36,0))))*VLOOKUP(A8021,Calendar!$A$2:$H$9997,8,FALSE),0)</f>
        <v/>
      </c>
      <c r="G8021" s="29">
        <f>VLOOKUP(A8021,Calendar!$A$1:$H$9997,6,FALSE)-F8021</f>
        <v/>
      </c>
      <c r="H8021" s="19" t="n">
        <v>1</v>
      </c>
      <c r="I8021" s="57" t="n">
        <v>12</v>
      </c>
    </row>
    <row r="8022">
      <c r="A8022" s="62" t="n">
        <v>46461</v>
      </c>
      <c r="B8022" s="3" t="inlineStr">
        <is>
          <t>Week</t>
        </is>
      </c>
      <c r="C8022" s="19" t="n">
        <v>3</v>
      </c>
      <c r="D8022" s="19" t="n">
        <v>2027</v>
      </c>
      <c r="E8022" s="57" t="n">
        <v>8</v>
      </c>
      <c r="F8022" s="29">
        <f>ROUND(((SUMIFS(Calendar!$F$2:$F$9997,Calendar!$B$2:$B$9997,D8022,Calendar!$C$2:$C$9997,C8022)*INDEX(ForeCalc!$B$37:$Y$274,MATCH(_xlfn.CONCAT(H8022," ",I8022),ForeCalc!$A$37:$A$274,0),MATCH(_xlfn.CONCAT(B8022," ",E8022),ForeCalc!$B$36:$Y$36,0))))*VLOOKUP(A8022,Calendar!$A$2:$H$9997,8,FALSE),0)</f>
        <v/>
      </c>
      <c r="G8022" s="29">
        <f>VLOOKUP(A8022,Calendar!$A$1:$H$9997,6,FALSE)-F8022</f>
        <v/>
      </c>
      <c r="H8022" s="19" t="n">
        <v>1</v>
      </c>
      <c r="I8022" s="57" t="n">
        <v>12</v>
      </c>
    </row>
    <row r="8023">
      <c r="A8023" s="62" t="n">
        <v>46462</v>
      </c>
      <c r="B8023" s="3" t="inlineStr">
        <is>
          <t>Week</t>
        </is>
      </c>
      <c r="C8023" s="19" t="n">
        <v>3</v>
      </c>
      <c r="D8023" s="19" t="n">
        <v>2027</v>
      </c>
      <c r="E8023" s="57" t="n">
        <v>8</v>
      </c>
      <c r="F8023" s="29">
        <f>ROUND(((SUMIFS(Calendar!$F$2:$F$9997,Calendar!$B$2:$B$9997,D8023,Calendar!$C$2:$C$9997,C8023)*INDEX(ForeCalc!$B$37:$Y$274,MATCH(_xlfn.CONCAT(H8023," ",I8023),ForeCalc!$A$37:$A$274,0),MATCH(_xlfn.CONCAT(B8023," ",E8023),ForeCalc!$B$36:$Y$36,0))))*VLOOKUP(A8023,Calendar!$A$2:$H$9997,8,FALSE),0)</f>
        <v/>
      </c>
      <c r="G8023" s="29">
        <f>VLOOKUP(A8023,Calendar!$A$1:$H$9997,6,FALSE)-F8023</f>
        <v/>
      </c>
      <c r="H8023" s="19" t="n">
        <v>1</v>
      </c>
      <c r="I8023" s="57" t="n">
        <v>12</v>
      </c>
    </row>
    <row r="8024">
      <c r="A8024" s="62" t="n">
        <v>46463</v>
      </c>
      <c r="B8024" s="3" t="inlineStr">
        <is>
          <t>Week</t>
        </is>
      </c>
      <c r="C8024" s="19" t="n">
        <v>3</v>
      </c>
      <c r="D8024" s="19" t="n">
        <v>2027</v>
      </c>
      <c r="E8024" s="57" t="n">
        <v>8</v>
      </c>
      <c r="F8024" s="29">
        <f>ROUND(((SUMIFS(Calendar!$F$2:$F$9997,Calendar!$B$2:$B$9997,D8024,Calendar!$C$2:$C$9997,C8024)*INDEX(ForeCalc!$B$37:$Y$274,MATCH(_xlfn.CONCAT(H8024," ",I8024),ForeCalc!$A$37:$A$274,0),MATCH(_xlfn.CONCAT(B8024," ",E8024),ForeCalc!$B$36:$Y$36,0))))*VLOOKUP(A8024,Calendar!$A$2:$H$9997,8,FALSE),0)</f>
        <v/>
      </c>
      <c r="G8024" s="29">
        <f>VLOOKUP(A8024,Calendar!$A$1:$H$9997,6,FALSE)-F8024</f>
        <v/>
      </c>
      <c r="H8024" s="19" t="n">
        <v>1</v>
      </c>
      <c r="I8024" s="57" t="n">
        <v>12</v>
      </c>
    </row>
    <row r="8025">
      <c r="A8025" s="62" t="n">
        <v>46464</v>
      </c>
      <c r="B8025" s="3" t="inlineStr">
        <is>
          <t>Week</t>
        </is>
      </c>
      <c r="C8025" s="19" t="n">
        <v>3</v>
      </c>
      <c r="D8025" s="19" t="n">
        <v>2027</v>
      </c>
      <c r="E8025" s="57" t="n">
        <v>8</v>
      </c>
      <c r="F8025" s="29">
        <f>ROUND(((SUMIFS(Calendar!$F$2:$F$9997,Calendar!$B$2:$B$9997,D8025,Calendar!$C$2:$C$9997,C8025)*INDEX(ForeCalc!$B$37:$Y$274,MATCH(_xlfn.CONCAT(H8025," ",I8025),ForeCalc!$A$37:$A$274,0),MATCH(_xlfn.CONCAT(B8025," ",E8025),ForeCalc!$B$36:$Y$36,0))))*VLOOKUP(A8025,Calendar!$A$2:$H$9997,8,FALSE),0)</f>
        <v/>
      </c>
      <c r="G8025" s="29">
        <f>VLOOKUP(A8025,Calendar!$A$1:$H$9997,6,FALSE)-F8025</f>
        <v/>
      </c>
      <c r="H8025" s="19" t="n">
        <v>1</v>
      </c>
      <c r="I8025" s="57" t="n">
        <v>12</v>
      </c>
    </row>
    <row r="8026">
      <c r="A8026" s="62" t="n">
        <v>46465</v>
      </c>
      <c r="B8026" s="3" t="inlineStr">
        <is>
          <t>Week</t>
        </is>
      </c>
      <c r="C8026" s="19" t="n">
        <v>3</v>
      </c>
      <c r="D8026" s="19" t="n">
        <v>2027</v>
      </c>
      <c r="E8026" s="57" t="n">
        <v>8</v>
      </c>
      <c r="F8026" s="29">
        <f>ROUND(((SUMIFS(Calendar!$F$2:$F$9997,Calendar!$B$2:$B$9997,D8026,Calendar!$C$2:$C$9997,C8026)*INDEX(ForeCalc!$B$37:$Y$274,MATCH(_xlfn.CONCAT(H8026," ",I8026),ForeCalc!$A$37:$A$274,0),MATCH(_xlfn.CONCAT(B8026," ",E8026),ForeCalc!$B$36:$Y$36,0))))*VLOOKUP(A8026,Calendar!$A$2:$H$9997,8,FALSE),0)</f>
        <v/>
      </c>
      <c r="G8026" s="29">
        <f>VLOOKUP(A8026,Calendar!$A$1:$H$9997,6,FALSE)-F8026</f>
        <v/>
      </c>
      <c r="H8026" s="19" t="n">
        <v>1</v>
      </c>
      <c r="I8026" s="57" t="n">
        <v>12</v>
      </c>
    </row>
    <row r="8027">
      <c r="A8027" s="62" t="n">
        <v>46466</v>
      </c>
      <c r="B8027" s="3" t="inlineStr">
        <is>
          <t>Sat</t>
        </is>
      </c>
      <c r="C8027" s="19" t="n">
        <v>3</v>
      </c>
      <c r="D8027" s="19" t="n">
        <v>2027</v>
      </c>
      <c r="E8027" s="57" t="n">
        <v>8</v>
      </c>
      <c r="F8027" s="29">
        <f>ROUND(((SUMIFS(Calendar!$F$2:$F$9997,Calendar!$B$2:$B$9997,D8027,Calendar!$C$2:$C$9997,C8027)*INDEX(ForeCalc!$B$37:$Y$274,MATCH(_xlfn.CONCAT(H8027," ",I8027),ForeCalc!$A$37:$A$274,0),MATCH(_xlfn.CONCAT(B8027," ",E8027),ForeCalc!$B$36:$Y$36,0))))*VLOOKUP(A8027,Calendar!$A$2:$H$9997,8,FALSE),0)</f>
        <v/>
      </c>
      <c r="G8027" s="29">
        <f>VLOOKUP(A8027,Calendar!$A$1:$H$9997,6,FALSE)-F8027</f>
        <v/>
      </c>
      <c r="H8027" s="19" t="n">
        <v>1</v>
      </c>
      <c r="I8027" s="57" t="n">
        <v>12</v>
      </c>
    </row>
    <row r="8028">
      <c r="A8028" s="62" t="n">
        <v>46467</v>
      </c>
      <c r="B8028" s="3" t="inlineStr">
        <is>
          <t>Sun</t>
        </is>
      </c>
      <c r="C8028" s="19" t="n">
        <v>3</v>
      </c>
      <c r="D8028" s="19" t="n">
        <v>2027</v>
      </c>
      <c r="E8028" s="57" t="n">
        <v>8</v>
      </c>
      <c r="F8028" s="29">
        <f>ROUND(((SUMIFS(Calendar!$F$2:$F$9997,Calendar!$B$2:$B$9997,D8028,Calendar!$C$2:$C$9997,C8028)*INDEX(ForeCalc!$B$37:$Y$274,MATCH(_xlfn.CONCAT(H8028," ",I8028),ForeCalc!$A$37:$A$274,0),MATCH(_xlfn.CONCAT(B8028," ",E8028),ForeCalc!$B$36:$Y$36,0))))*VLOOKUP(A8028,Calendar!$A$2:$H$9997,8,FALSE),0)</f>
        <v/>
      </c>
      <c r="G8028" s="29">
        <f>VLOOKUP(A8028,Calendar!$A$1:$H$9997,6,FALSE)-F8028</f>
        <v/>
      </c>
      <c r="H8028" s="19" t="n">
        <v>1</v>
      </c>
      <c r="I8028" s="57" t="n">
        <v>12</v>
      </c>
    </row>
    <row r="8029">
      <c r="A8029" s="62" t="n">
        <v>46468</v>
      </c>
      <c r="B8029" s="3" t="inlineStr">
        <is>
          <t>Week</t>
        </is>
      </c>
      <c r="C8029" s="19" t="n">
        <v>3</v>
      </c>
      <c r="D8029" s="19" t="n">
        <v>2027</v>
      </c>
      <c r="E8029" s="57" t="n">
        <v>8</v>
      </c>
      <c r="F8029" s="29">
        <f>ROUND(((SUMIFS(Calendar!$F$2:$F$9997,Calendar!$B$2:$B$9997,D8029,Calendar!$C$2:$C$9997,C8029)*INDEX(ForeCalc!$B$37:$Y$274,MATCH(_xlfn.CONCAT(H8029," ",I8029),ForeCalc!$A$37:$A$274,0),MATCH(_xlfn.CONCAT(B8029," ",E8029),ForeCalc!$B$36:$Y$36,0))))*VLOOKUP(A8029,Calendar!$A$2:$H$9997,8,FALSE),0)</f>
        <v/>
      </c>
      <c r="G8029" s="29">
        <f>VLOOKUP(A8029,Calendar!$A$1:$H$9997,6,FALSE)-F8029</f>
        <v/>
      </c>
      <c r="H8029" s="19" t="n">
        <v>1</v>
      </c>
      <c r="I8029" s="57" t="n">
        <v>12</v>
      </c>
    </row>
    <row r="8030">
      <c r="A8030" s="62" t="n">
        <v>46469</v>
      </c>
      <c r="B8030" s="3" t="inlineStr">
        <is>
          <t>Week</t>
        </is>
      </c>
      <c r="C8030" s="19" t="n">
        <v>3</v>
      </c>
      <c r="D8030" s="19" t="n">
        <v>2027</v>
      </c>
      <c r="E8030" s="57" t="n">
        <v>8</v>
      </c>
      <c r="F8030" s="29">
        <f>ROUND(((SUMIFS(Calendar!$F$2:$F$9997,Calendar!$B$2:$B$9997,D8030,Calendar!$C$2:$C$9997,C8030)*INDEX(ForeCalc!$B$37:$Y$274,MATCH(_xlfn.CONCAT(H8030," ",I8030),ForeCalc!$A$37:$A$274,0),MATCH(_xlfn.CONCAT(B8030," ",E8030),ForeCalc!$B$36:$Y$36,0))))*VLOOKUP(A8030,Calendar!$A$2:$H$9997,8,FALSE),0)</f>
        <v/>
      </c>
      <c r="G8030" s="29">
        <f>VLOOKUP(A8030,Calendar!$A$1:$H$9997,6,FALSE)-F8030</f>
        <v/>
      </c>
      <c r="H8030" s="19" t="n">
        <v>1</v>
      </c>
      <c r="I8030" s="57" t="n">
        <v>12</v>
      </c>
    </row>
    <row r="8031">
      <c r="A8031" s="62" t="n">
        <v>46470</v>
      </c>
      <c r="B8031" s="3" t="inlineStr">
        <is>
          <t>Week</t>
        </is>
      </c>
      <c r="C8031" s="19" t="n">
        <v>3</v>
      </c>
      <c r="D8031" s="19" t="n">
        <v>2027</v>
      </c>
      <c r="E8031" s="57" t="n">
        <v>8</v>
      </c>
      <c r="F8031" s="29">
        <f>ROUND(((SUMIFS(Calendar!$F$2:$F$9997,Calendar!$B$2:$B$9997,D8031,Calendar!$C$2:$C$9997,C8031)*INDEX(ForeCalc!$B$37:$Y$274,MATCH(_xlfn.CONCAT(H8031," ",I8031),ForeCalc!$A$37:$A$274,0),MATCH(_xlfn.CONCAT(B8031," ",E8031),ForeCalc!$B$36:$Y$36,0))))*VLOOKUP(A8031,Calendar!$A$2:$H$9997,8,FALSE),0)</f>
        <v/>
      </c>
      <c r="G8031" s="29">
        <f>VLOOKUP(A8031,Calendar!$A$1:$H$9997,6,FALSE)-F8031</f>
        <v/>
      </c>
      <c r="H8031" s="19" t="n">
        <v>1</v>
      </c>
      <c r="I8031" s="57" t="n">
        <v>12</v>
      </c>
    </row>
    <row r="8032">
      <c r="A8032" s="62" t="n">
        <v>46471</v>
      </c>
      <c r="B8032" s="3" t="inlineStr">
        <is>
          <t>Week</t>
        </is>
      </c>
      <c r="C8032" s="19" t="n">
        <v>3</v>
      </c>
      <c r="D8032" s="19" t="n">
        <v>2027</v>
      </c>
      <c r="E8032" s="57" t="n">
        <v>8</v>
      </c>
      <c r="F8032" s="29">
        <f>ROUND(((SUMIFS(Calendar!$F$2:$F$9997,Calendar!$B$2:$B$9997,D8032,Calendar!$C$2:$C$9997,C8032)*INDEX(ForeCalc!$B$37:$Y$274,MATCH(_xlfn.CONCAT(H8032," ",I8032),ForeCalc!$A$37:$A$274,0),MATCH(_xlfn.CONCAT(B8032," ",E8032),ForeCalc!$B$36:$Y$36,0))))*VLOOKUP(A8032,Calendar!$A$2:$H$9997,8,FALSE),0)</f>
        <v/>
      </c>
      <c r="G8032" s="29">
        <f>VLOOKUP(A8032,Calendar!$A$1:$H$9997,6,FALSE)-F8032</f>
        <v/>
      </c>
      <c r="H8032" s="19" t="n">
        <v>1</v>
      </c>
      <c r="I8032" s="57" t="n">
        <v>12</v>
      </c>
    </row>
    <row r="8033">
      <c r="A8033" s="62" t="n">
        <v>46472</v>
      </c>
      <c r="B8033" s="3" t="inlineStr">
        <is>
          <t>Week</t>
        </is>
      </c>
      <c r="C8033" s="19" t="n">
        <v>3</v>
      </c>
      <c r="D8033" s="19" t="n">
        <v>2027</v>
      </c>
      <c r="E8033" s="57" t="n">
        <v>8</v>
      </c>
      <c r="F8033" s="29">
        <f>ROUND(((SUMIFS(Calendar!$F$2:$F$9997,Calendar!$B$2:$B$9997,D8033,Calendar!$C$2:$C$9997,C8033)*INDEX(ForeCalc!$B$37:$Y$274,MATCH(_xlfn.CONCAT(H8033," ",I8033),ForeCalc!$A$37:$A$274,0),MATCH(_xlfn.CONCAT(B8033," ",E8033),ForeCalc!$B$36:$Y$36,0))))*VLOOKUP(A8033,Calendar!$A$2:$H$9997,8,FALSE),0)</f>
        <v/>
      </c>
      <c r="G8033" s="29">
        <f>VLOOKUP(A8033,Calendar!$A$1:$H$9997,6,FALSE)-F8033</f>
        <v/>
      </c>
      <c r="H8033" s="19" t="n">
        <v>1</v>
      </c>
      <c r="I8033" s="57" t="n">
        <v>12</v>
      </c>
    </row>
    <row r="8034">
      <c r="A8034" s="62" t="n">
        <v>46473</v>
      </c>
      <c r="B8034" s="3" t="inlineStr">
        <is>
          <t>Sat</t>
        </is>
      </c>
      <c r="C8034" s="19" t="n">
        <v>3</v>
      </c>
      <c r="D8034" s="19" t="n">
        <v>2027</v>
      </c>
      <c r="E8034" s="57" t="n">
        <v>8</v>
      </c>
      <c r="F8034" s="29">
        <f>ROUND(((SUMIFS(Calendar!$F$2:$F$9997,Calendar!$B$2:$B$9997,D8034,Calendar!$C$2:$C$9997,C8034)*INDEX(ForeCalc!$B$37:$Y$274,MATCH(_xlfn.CONCAT(H8034," ",I8034),ForeCalc!$A$37:$A$274,0),MATCH(_xlfn.CONCAT(B8034," ",E8034),ForeCalc!$B$36:$Y$36,0))))*VLOOKUP(A8034,Calendar!$A$2:$H$9997,8,FALSE),0)</f>
        <v/>
      </c>
      <c r="G8034" s="29">
        <f>VLOOKUP(A8034,Calendar!$A$1:$H$9997,6,FALSE)-F8034</f>
        <v/>
      </c>
      <c r="H8034" s="19" t="n">
        <v>1</v>
      </c>
      <c r="I8034" s="57" t="n">
        <v>12</v>
      </c>
      <c r="L8034" s="57">
        <f>SUMIFS(Calendar!$F$2:$F$9997,Calendar!$B$2:$B$9997,D8034,Calendar!$C$2:$C$9997,C8034)</f>
        <v/>
      </c>
    </row>
    <row r="8035">
      <c r="A8035" s="62" t="n">
        <v>46474</v>
      </c>
      <c r="B8035" s="3" t="inlineStr">
        <is>
          <t>Sun</t>
        </is>
      </c>
      <c r="C8035" s="19" t="n">
        <v>3</v>
      </c>
      <c r="D8035" s="19" t="n">
        <v>2027</v>
      </c>
      <c r="E8035" s="57" t="n">
        <v>8</v>
      </c>
      <c r="F8035" s="29">
        <f>ROUND(((SUMIFS(Calendar!$F$2:$F$9997,Calendar!$B$2:$B$9997,D8035,Calendar!$C$2:$C$9997,C8035)*INDEX(ForeCalc!$B$37:$Y$274,MATCH(_xlfn.CONCAT(H8035," ",I8035),ForeCalc!$A$37:$A$274,0),MATCH(_xlfn.CONCAT(B8035," ",E8035),ForeCalc!$B$36:$Y$36,0))))*VLOOKUP(A8035,Calendar!$A$2:$H$9997,8,FALSE),0)</f>
        <v/>
      </c>
      <c r="G8035" s="29">
        <f>VLOOKUP(A8035,Calendar!$A$1:$H$9997,6,FALSE)-F8035</f>
        <v/>
      </c>
      <c r="H8035" s="19" t="n">
        <v>1</v>
      </c>
      <c r="I8035" s="57" t="n">
        <v>12</v>
      </c>
    </row>
    <row r="8036">
      <c r="A8036" s="62" t="n">
        <v>46475</v>
      </c>
      <c r="B8036" s="3" t="inlineStr">
        <is>
          <t>Week</t>
        </is>
      </c>
      <c r="C8036" s="19" t="n">
        <v>3</v>
      </c>
      <c r="D8036" s="19" t="n">
        <v>2027</v>
      </c>
      <c r="E8036" s="57" t="n">
        <v>8</v>
      </c>
      <c r="F8036" s="29">
        <f>ROUND(((SUMIFS(Calendar!$F$2:$F$9997,Calendar!$B$2:$B$9997,D8036,Calendar!$C$2:$C$9997,C8036)*INDEX(ForeCalc!$B$37:$Y$274,MATCH(_xlfn.CONCAT(H8036," ",I8036),ForeCalc!$A$37:$A$274,0),MATCH(_xlfn.CONCAT(B8036," ",E8036),ForeCalc!$B$36:$Y$36,0))))*VLOOKUP(A8036,Calendar!$A$2:$H$9997,8,FALSE),0)</f>
        <v/>
      </c>
      <c r="G8036" s="29">
        <f>VLOOKUP(A8036,Calendar!$A$1:$H$9997,6,FALSE)-F8036</f>
        <v/>
      </c>
      <c r="H8036" s="19" t="n">
        <v>1</v>
      </c>
      <c r="I8036" s="57" t="n">
        <v>12</v>
      </c>
    </row>
    <row r="8037">
      <c r="A8037" s="62" t="n">
        <v>46476</v>
      </c>
      <c r="B8037" s="3" t="inlineStr">
        <is>
          <t>Week</t>
        </is>
      </c>
      <c r="C8037" s="19" t="n">
        <v>3</v>
      </c>
      <c r="D8037" s="19" t="n">
        <v>2027</v>
      </c>
      <c r="E8037" s="57" t="n">
        <v>8</v>
      </c>
      <c r="F8037" s="29">
        <f>ROUND(((SUMIFS(Calendar!$F$2:$F$9997,Calendar!$B$2:$B$9997,D8037,Calendar!$C$2:$C$9997,C8037)*INDEX(ForeCalc!$B$37:$Y$274,MATCH(_xlfn.CONCAT(H8037," ",I8037),ForeCalc!$A$37:$A$274,0),MATCH(_xlfn.CONCAT(B8037," ",E8037),ForeCalc!$B$36:$Y$36,0))))*VLOOKUP(A8037,Calendar!$A$2:$H$9997,8,FALSE),0)</f>
        <v/>
      </c>
      <c r="G8037" s="29">
        <f>VLOOKUP(A8037,Calendar!$A$1:$H$9997,6,FALSE)-F8037</f>
        <v/>
      </c>
      <c r="H8037" s="19" t="n">
        <v>1</v>
      </c>
      <c r="I8037" s="57" t="n">
        <v>12</v>
      </c>
    </row>
    <row r="8038">
      <c r="A8038" s="62" t="n">
        <v>46477</v>
      </c>
      <c r="B8038" s="3" t="inlineStr">
        <is>
          <t>Week</t>
        </is>
      </c>
      <c r="C8038" s="19" t="n">
        <v>3</v>
      </c>
      <c r="D8038" s="19" t="n">
        <v>2027</v>
      </c>
      <c r="E8038" s="57" t="n">
        <v>8</v>
      </c>
      <c r="F8038" s="29">
        <f>ROUND(((SUMIFS(Calendar!$F$2:$F$9997,Calendar!$B$2:$B$9997,D8038,Calendar!$C$2:$C$9997,C8038)*INDEX(ForeCalc!$B$37:$Y$274,MATCH(_xlfn.CONCAT(H8038," ",I8038),ForeCalc!$A$37:$A$274,0),MATCH(_xlfn.CONCAT(B8038," ",E8038),ForeCalc!$B$36:$Y$36,0))))*VLOOKUP(A8038,Calendar!$A$2:$H$9997,8,FALSE),0)</f>
        <v/>
      </c>
      <c r="G8038" s="29">
        <f>VLOOKUP(A8038,Calendar!$A$1:$H$9997,6,FALSE)-F8038</f>
        <v/>
      </c>
      <c r="H8038" s="19" t="n">
        <v>1</v>
      </c>
      <c r="I8038" s="57" t="n">
        <v>12</v>
      </c>
    </row>
    <row r="8039">
      <c r="A8039" s="62" t="n">
        <v>46478</v>
      </c>
      <c r="B8039" s="3" t="inlineStr">
        <is>
          <t>Week</t>
        </is>
      </c>
      <c r="C8039" s="19" t="n">
        <v>4</v>
      </c>
      <c r="D8039" s="19" t="n">
        <v>2027</v>
      </c>
      <c r="E8039" s="57" t="n">
        <v>8</v>
      </c>
      <c r="F8039" s="29">
        <f>ROUND(((SUMIFS(Calendar!$F$2:$F$9997,Calendar!$B$2:$B$9997,D8039,Calendar!$C$2:$C$9997,C8039)*INDEX(ForeCalc!$B$37:$Y$274,MATCH(_xlfn.CONCAT(H8039," ",I8039),ForeCalc!$A$37:$A$274,0),MATCH(_xlfn.CONCAT(B8039," ",E8039),ForeCalc!$B$36:$Y$36,0))))*VLOOKUP(A8039,Calendar!$A$2:$H$9997,8,FALSE),0)</f>
        <v/>
      </c>
      <c r="G8039" s="29">
        <f>VLOOKUP(A8039,Calendar!$A$1:$H$9997,6,FALSE)-F8039</f>
        <v/>
      </c>
      <c r="H8039" s="19" t="n">
        <v>2</v>
      </c>
      <c r="I8039" s="57" t="n">
        <v>1</v>
      </c>
    </row>
    <row r="8040">
      <c r="A8040" s="62" t="n">
        <v>46479</v>
      </c>
      <c r="B8040" s="3" t="inlineStr">
        <is>
          <t>Week</t>
        </is>
      </c>
      <c r="C8040" s="19" t="n">
        <v>4</v>
      </c>
      <c r="D8040" s="19" t="n">
        <v>2027</v>
      </c>
      <c r="E8040" s="57" t="n">
        <v>8</v>
      </c>
      <c r="F8040" s="29">
        <f>ROUND(((SUMIFS(Calendar!$F$2:$F$9997,Calendar!$B$2:$B$9997,D8040,Calendar!$C$2:$C$9997,C8040)*INDEX(ForeCalc!$B$37:$Y$274,MATCH(_xlfn.CONCAT(H8040," ",I8040),ForeCalc!$A$37:$A$274,0),MATCH(_xlfn.CONCAT(B8040," ",E8040),ForeCalc!$B$36:$Y$36,0))))*VLOOKUP(A8040,Calendar!$A$2:$H$9997,8,FALSE),0)</f>
        <v/>
      </c>
      <c r="G8040" s="29">
        <f>VLOOKUP(A8040,Calendar!$A$1:$H$9997,6,FALSE)-F8040</f>
        <v/>
      </c>
      <c r="H8040" s="19" t="n">
        <v>2</v>
      </c>
      <c r="I8040" s="57" t="n">
        <v>1</v>
      </c>
    </row>
    <row r="8041">
      <c r="A8041" s="62" t="n">
        <v>46480</v>
      </c>
      <c r="B8041" s="3" t="inlineStr">
        <is>
          <t>Sat</t>
        </is>
      </c>
      <c r="C8041" s="19" t="n">
        <v>4</v>
      </c>
      <c r="D8041" s="19" t="n">
        <v>2027</v>
      </c>
      <c r="E8041" s="57" t="n">
        <v>8</v>
      </c>
      <c r="F8041" s="29">
        <f>ROUND(((SUMIFS(Calendar!$F$2:$F$9997,Calendar!$B$2:$B$9997,D8041,Calendar!$C$2:$C$9997,C8041)*INDEX(ForeCalc!$B$37:$Y$274,MATCH(_xlfn.CONCAT(H8041," ",I8041),ForeCalc!$A$37:$A$274,0),MATCH(_xlfn.CONCAT(B8041," ",E8041),ForeCalc!$B$36:$Y$36,0))))*VLOOKUP(A8041,Calendar!$A$2:$H$9997,8,FALSE),0)</f>
        <v/>
      </c>
      <c r="G8041" s="29">
        <f>VLOOKUP(A8041,Calendar!$A$1:$H$9997,6,FALSE)-F8041</f>
        <v/>
      </c>
      <c r="H8041" s="19" t="n">
        <v>2</v>
      </c>
      <c r="I8041" s="57" t="n">
        <v>1</v>
      </c>
    </row>
    <row r="8042">
      <c r="A8042" s="62" t="n">
        <v>46481</v>
      </c>
      <c r="B8042" s="3" t="inlineStr">
        <is>
          <t>Sun</t>
        </is>
      </c>
      <c r="C8042" s="19" t="n">
        <v>4</v>
      </c>
      <c r="D8042" s="19" t="n">
        <v>2027</v>
      </c>
      <c r="E8042" s="57" t="n">
        <v>8</v>
      </c>
      <c r="F8042" s="29">
        <f>ROUND(((SUMIFS(Calendar!$F$2:$F$9997,Calendar!$B$2:$B$9997,D8042,Calendar!$C$2:$C$9997,C8042)*INDEX(ForeCalc!$B$37:$Y$274,MATCH(_xlfn.CONCAT(H8042," ",I8042),ForeCalc!$A$37:$A$274,0),MATCH(_xlfn.CONCAT(B8042," ",E8042),ForeCalc!$B$36:$Y$36,0))))*VLOOKUP(A8042,Calendar!$A$2:$H$9997,8,FALSE),0)</f>
        <v/>
      </c>
      <c r="G8042" s="29">
        <f>VLOOKUP(A8042,Calendar!$A$1:$H$9997,6,FALSE)-F8042</f>
        <v/>
      </c>
      <c r="H8042" s="19" t="n">
        <v>2</v>
      </c>
      <c r="I8042" s="57" t="n">
        <v>1</v>
      </c>
    </row>
    <row r="8043">
      <c r="A8043" s="62" t="n">
        <v>46482</v>
      </c>
      <c r="B8043" s="3" t="inlineStr">
        <is>
          <t>Week</t>
        </is>
      </c>
      <c r="C8043" s="19" t="n">
        <v>4</v>
      </c>
      <c r="D8043" s="19" t="n">
        <v>2027</v>
      </c>
      <c r="E8043" s="57" t="n">
        <v>8</v>
      </c>
      <c r="F8043" s="29">
        <f>ROUND(((SUMIFS(Calendar!$F$2:$F$9997,Calendar!$B$2:$B$9997,D8043,Calendar!$C$2:$C$9997,C8043)*INDEX(ForeCalc!$B$37:$Y$274,MATCH(_xlfn.CONCAT(H8043," ",I8043),ForeCalc!$A$37:$A$274,0),MATCH(_xlfn.CONCAT(B8043," ",E8043),ForeCalc!$B$36:$Y$36,0))))*VLOOKUP(A8043,Calendar!$A$2:$H$9997,8,FALSE),0)</f>
        <v/>
      </c>
      <c r="G8043" s="29">
        <f>VLOOKUP(A8043,Calendar!$A$1:$H$9997,6,FALSE)-F8043</f>
        <v/>
      </c>
      <c r="H8043" s="19" t="n">
        <v>2</v>
      </c>
      <c r="I8043" s="57" t="n">
        <v>1</v>
      </c>
    </row>
    <row r="8044">
      <c r="A8044" s="62" t="n">
        <v>46483</v>
      </c>
      <c r="B8044" s="3" t="inlineStr">
        <is>
          <t>Week</t>
        </is>
      </c>
      <c r="C8044" s="19" t="n">
        <v>4</v>
      </c>
      <c r="D8044" s="19" t="n">
        <v>2027</v>
      </c>
      <c r="E8044" s="57" t="n">
        <v>8</v>
      </c>
      <c r="F8044" s="29">
        <f>ROUND(((SUMIFS(Calendar!$F$2:$F$9997,Calendar!$B$2:$B$9997,D8044,Calendar!$C$2:$C$9997,C8044)*INDEX(ForeCalc!$B$37:$Y$274,MATCH(_xlfn.CONCAT(H8044," ",I8044),ForeCalc!$A$37:$A$274,0),MATCH(_xlfn.CONCAT(B8044," ",E8044),ForeCalc!$B$36:$Y$36,0))))*VLOOKUP(A8044,Calendar!$A$2:$H$9997,8,FALSE),0)</f>
        <v/>
      </c>
      <c r="G8044" s="29">
        <f>VLOOKUP(A8044,Calendar!$A$1:$H$9997,6,FALSE)-F8044</f>
        <v/>
      </c>
      <c r="H8044" s="19" t="n">
        <v>2</v>
      </c>
      <c r="I8044" s="57" t="n">
        <v>1</v>
      </c>
    </row>
    <row r="8045">
      <c r="A8045" s="62" t="n">
        <v>46484</v>
      </c>
      <c r="B8045" s="3" t="inlineStr">
        <is>
          <t>Week</t>
        </is>
      </c>
      <c r="C8045" s="19" t="n">
        <v>4</v>
      </c>
      <c r="D8045" s="19" t="n">
        <v>2027</v>
      </c>
      <c r="E8045" s="57" t="n">
        <v>8</v>
      </c>
      <c r="F8045" s="29">
        <f>ROUND(((SUMIFS(Calendar!$F$2:$F$9997,Calendar!$B$2:$B$9997,D8045,Calendar!$C$2:$C$9997,C8045)*INDEX(ForeCalc!$B$37:$Y$274,MATCH(_xlfn.CONCAT(H8045," ",I8045),ForeCalc!$A$37:$A$274,0),MATCH(_xlfn.CONCAT(B8045," ",E8045),ForeCalc!$B$36:$Y$36,0))))*VLOOKUP(A8045,Calendar!$A$2:$H$9997,8,FALSE),0)</f>
        <v/>
      </c>
      <c r="G8045" s="29">
        <f>VLOOKUP(A8045,Calendar!$A$1:$H$9997,6,FALSE)-F8045</f>
        <v/>
      </c>
      <c r="H8045" s="19" t="n">
        <v>2</v>
      </c>
      <c r="I8045" s="57" t="n">
        <v>1</v>
      </c>
    </row>
    <row r="8046">
      <c r="A8046" s="62" t="n">
        <v>46485</v>
      </c>
      <c r="B8046" s="3" t="inlineStr">
        <is>
          <t>Week</t>
        </is>
      </c>
      <c r="C8046" s="19" t="n">
        <v>4</v>
      </c>
      <c r="D8046" s="19" t="n">
        <v>2027</v>
      </c>
      <c r="E8046" s="57" t="n">
        <v>8</v>
      </c>
      <c r="F8046" s="29">
        <f>ROUND(((SUMIFS(Calendar!$F$2:$F$9997,Calendar!$B$2:$B$9997,D8046,Calendar!$C$2:$C$9997,C8046)*INDEX(ForeCalc!$B$37:$Y$274,MATCH(_xlfn.CONCAT(H8046," ",I8046),ForeCalc!$A$37:$A$274,0),MATCH(_xlfn.CONCAT(B8046," ",E8046),ForeCalc!$B$36:$Y$36,0))))*VLOOKUP(A8046,Calendar!$A$2:$H$9997,8,FALSE),0)</f>
        <v/>
      </c>
      <c r="G8046" s="29">
        <f>VLOOKUP(A8046,Calendar!$A$1:$H$9997,6,FALSE)-F8046</f>
        <v/>
      </c>
      <c r="H8046" s="19" t="n">
        <v>2</v>
      </c>
      <c r="I8046" s="57" t="n">
        <v>1</v>
      </c>
    </row>
    <row r="8047">
      <c r="A8047" s="62" t="n">
        <v>46486</v>
      </c>
      <c r="B8047" s="3" t="inlineStr">
        <is>
          <t>Week</t>
        </is>
      </c>
      <c r="C8047" s="19" t="n">
        <v>4</v>
      </c>
      <c r="D8047" s="19" t="n">
        <v>2027</v>
      </c>
      <c r="E8047" s="57" t="n">
        <v>8</v>
      </c>
      <c r="F8047" s="29">
        <f>ROUND(((SUMIFS(Calendar!$F$2:$F$9997,Calendar!$B$2:$B$9997,D8047,Calendar!$C$2:$C$9997,C8047)*INDEX(ForeCalc!$B$37:$Y$274,MATCH(_xlfn.CONCAT(H8047," ",I8047),ForeCalc!$A$37:$A$274,0),MATCH(_xlfn.CONCAT(B8047," ",E8047),ForeCalc!$B$36:$Y$36,0))))*VLOOKUP(A8047,Calendar!$A$2:$H$9997,8,FALSE),0)</f>
        <v/>
      </c>
      <c r="G8047" s="29">
        <f>VLOOKUP(A8047,Calendar!$A$1:$H$9997,6,FALSE)-F8047</f>
        <v/>
      </c>
      <c r="H8047" s="19" t="n">
        <v>2</v>
      </c>
      <c r="I8047" s="57" t="n">
        <v>1</v>
      </c>
    </row>
    <row r="8048">
      <c r="A8048" s="62" t="n">
        <v>46487</v>
      </c>
      <c r="B8048" s="3" t="inlineStr">
        <is>
          <t>Sat</t>
        </is>
      </c>
      <c r="C8048" s="19" t="n">
        <v>4</v>
      </c>
      <c r="D8048" s="19" t="n">
        <v>2027</v>
      </c>
      <c r="E8048" s="57" t="n">
        <v>8</v>
      </c>
      <c r="F8048" s="29">
        <f>ROUND(((SUMIFS(Calendar!$F$2:$F$9997,Calendar!$B$2:$B$9997,D8048,Calendar!$C$2:$C$9997,C8048)*INDEX(ForeCalc!$B$37:$Y$274,MATCH(_xlfn.CONCAT(H8048," ",I8048),ForeCalc!$A$37:$A$274,0),MATCH(_xlfn.CONCAT(B8048," ",E8048),ForeCalc!$B$36:$Y$36,0))))*VLOOKUP(A8048,Calendar!$A$2:$H$9997,8,FALSE),0)</f>
        <v/>
      </c>
      <c r="G8048" s="29">
        <f>VLOOKUP(A8048,Calendar!$A$1:$H$9997,6,FALSE)-F8048</f>
        <v/>
      </c>
      <c r="H8048" s="19" t="n">
        <v>2</v>
      </c>
      <c r="I8048" s="57" t="n">
        <v>1</v>
      </c>
    </row>
    <row r="8049">
      <c r="A8049" s="62" t="n">
        <v>46488</v>
      </c>
      <c r="B8049" s="3" t="inlineStr">
        <is>
          <t>Sun</t>
        </is>
      </c>
      <c r="C8049" s="19" t="n">
        <v>4</v>
      </c>
      <c r="D8049" s="19" t="n">
        <v>2027</v>
      </c>
      <c r="E8049" s="57" t="n">
        <v>8</v>
      </c>
      <c r="F8049" s="29">
        <f>ROUND(((SUMIFS(Calendar!$F$2:$F$9997,Calendar!$B$2:$B$9997,D8049,Calendar!$C$2:$C$9997,C8049)*INDEX(ForeCalc!$B$37:$Y$274,MATCH(_xlfn.CONCAT(H8049," ",I8049),ForeCalc!$A$37:$A$274,0),MATCH(_xlfn.CONCAT(B8049," ",E8049),ForeCalc!$B$36:$Y$36,0))))*VLOOKUP(A8049,Calendar!$A$2:$H$9997,8,FALSE),0)</f>
        <v/>
      </c>
      <c r="G8049" s="29">
        <f>VLOOKUP(A8049,Calendar!$A$1:$H$9997,6,FALSE)-F8049</f>
        <v/>
      </c>
      <c r="H8049" s="19" t="n">
        <v>2</v>
      </c>
      <c r="I8049" s="57" t="n">
        <v>1</v>
      </c>
    </row>
    <row r="8050">
      <c r="A8050" s="62" t="n">
        <v>46489</v>
      </c>
      <c r="B8050" s="3" t="inlineStr">
        <is>
          <t>Week</t>
        </is>
      </c>
      <c r="C8050" s="19" t="n">
        <v>4</v>
      </c>
      <c r="D8050" s="19" t="n">
        <v>2027</v>
      </c>
      <c r="E8050" s="57" t="n">
        <v>8</v>
      </c>
      <c r="F8050" s="29">
        <f>ROUND(((SUMIFS(Calendar!$F$2:$F$9997,Calendar!$B$2:$B$9997,D8050,Calendar!$C$2:$C$9997,C8050)*INDEX(ForeCalc!$B$37:$Y$274,MATCH(_xlfn.CONCAT(H8050," ",I8050),ForeCalc!$A$37:$A$274,0),MATCH(_xlfn.CONCAT(B8050," ",E8050),ForeCalc!$B$36:$Y$36,0))))*VLOOKUP(A8050,Calendar!$A$2:$H$9997,8,FALSE),0)</f>
        <v/>
      </c>
      <c r="G8050" s="29">
        <f>VLOOKUP(A8050,Calendar!$A$1:$H$9997,6,FALSE)-F8050</f>
        <v/>
      </c>
      <c r="H8050" s="19" t="n">
        <v>2</v>
      </c>
      <c r="I8050" s="57" t="n">
        <v>1</v>
      </c>
    </row>
    <row r="8051">
      <c r="A8051" s="62" t="n">
        <v>46490</v>
      </c>
      <c r="B8051" s="3" t="inlineStr">
        <is>
          <t>Week</t>
        </is>
      </c>
      <c r="C8051" s="19" t="n">
        <v>4</v>
      </c>
      <c r="D8051" s="19" t="n">
        <v>2027</v>
      </c>
      <c r="E8051" s="57" t="n">
        <v>8</v>
      </c>
      <c r="F8051" s="29">
        <f>ROUND(((SUMIFS(Calendar!$F$2:$F$9997,Calendar!$B$2:$B$9997,D8051,Calendar!$C$2:$C$9997,C8051)*INDEX(ForeCalc!$B$37:$Y$274,MATCH(_xlfn.CONCAT(H8051," ",I8051),ForeCalc!$A$37:$A$274,0),MATCH(_xlfn.CONCAT(B8051," ",E8051),ForeCalc!$B$36:$Y$36,0))))*VLOOKUP(A8051,Calendar!$A$2:$H$9997,8,FALSE),0)</f>
        <v/>
      </c>
      <c r="G8051" s="29">
        <f>VLOOKUP(A8051,Calendar!$A$1:$H$9997,6,FALSE)-F8051</f>
        <v/>
      </c>
      <c r="H8051" s="19" t="n">
        <v>2</v>
      </c>
      <c r="I8051" s="57" t="n">
        <v>1</v>
      </c>
    </row>
    <row r="8052">
      <c r="A8052" s="62" t="n">
        <v>46491</v>
      </c>
      <c r="B8052" s="3" t="inlineStr">
        <is>
          <t>Week</t>
        </is>
      </c>
      <c r="C8052" s="19" t="n">
        <v>4</v>
      </c>
      <c r="D8052" s="19" t="n">
        <v>2027</v>
      </c>
      <c r="E8052" s="57" t="n">
        <v>8</v>
      </c>
      <c r="F8052" s="29">
        <f>ROUND(((SUMIFS(Calendar!$F$2:$F$9997,Calendar!$B$2:$B$9997,D8052,Calendar!$C$2:$C$9997,C8052)*INDEX(ForeCalc!$B$37:$Y$274,MATCH(_xlfn.CONCAT(H8052," ",I8052),ForeCalc!$A$37:$A$274,0),MATCH(_xlfn.CONCAT(B8052," ",E8052),ForeCalc!$B$36:$Y$36,0))))*VLOOKUP(A8052,Calendar!$A$2:$H$9997,8,FALSE),0)</f>
        <v/>
      </c>
      <c r="G8052" s="29">
        <f>VLOOKUP(A8052,Calendar!$A$1:$H$9997,6,FALSE)-F8052</f>
        <v/>
      </c>
      <c r="H8052" s="19" t="n">
        <v>2</v>
      </c>
      <c r="I8052" s="57" t="n">
        <v>1</v>
      </c>
    </row>
    <row r="8053">
      <c r="A8053" s="62" t="n">
        <v>46492</v>
      </c>
      <c r="B8053" s="3" t="inlineStr">
        <is>
          <t>Week</t>
        </is>
      </c>
      <c r="C8053" s="19" t="n">
        <v>4</v>
      </c>
      <c r="D8053" s="19" t="n">
        <v>2027</v>
      </c>
      <c r="E8053" s="57" t="n">
        <v>8</v>
      </c>
      <c r="F8053" s="29">
        <f>ROUND(((SUMIFS(Calendar!$F$2:$F$9997,Calendar!$B$2:$B$9997,D8053,Calendar!$C$2:$C$9997,C8053)*INDEX(ForeCalc!$B$37:$Y$274,MATCH(_xlfn.CONCAT(H8053," ",I8053),ForeCalc!$A$37:$A$274,0),MATCH(_xlfn.CONCAT(B8053," ",E8053),ForeCalc!$B$36:$Y$36,0))))*VLOOKUP(A8053,Calendar!$A$2:$H$9997,8,FALSE),0)</f>
        <v/>
      </c>
      <c r="G8053" s="29">
        <f>VLOOKUP(A8053,Calendar!$A$1:$H$9997,6,FALSE)-F8053</f>
        <v/>
      </c>
      <c r="H8053" s="19" t="n">
        <v>2</v>
      </c>
      <c r="I8053" s="57" t="n">
        <v>1</v>
      </c>
    </row>
    <row r="8054">
      <c r="A8054" s="62" t="n">
        <v>46493</v>
      </c>
      <c r="B8054" s="3" t="inlineStr">
        <is>
          <t>Week</t>
        </is>
      </c>
      <c r="C8054" s="19" t="n">
        <v>4</v>
      </c>
      <c r="D8054" s="19" t="n">
        <v>2027</v>
      </c>
      <c r="E8054" s="57" t="n">
        <v>8</v>
      </c>
      <c r="F8054" s="29">
        <f>ROUND(((SUMIFS(Calendar!$F$2:$F$9997,Calendar!$B$2:$B$9997,D8054,Calendar!$C$2:$C$9997,C8054)*INDEX(ForeCalc!$B$37:$Y$274,MATCH(_xlfn.CONCAT(H8054," ",I8054),ForeCalc!$A$37:$A$274,0),MATCH(_xlfn.CONCAT(B8054," ",E8054),ForeCalc!$B$36:$Y$36,0))))*VLOOKUP(A8054,Calendar!$A$2:$H$9997,8,FALSE),0)</f>
        <v/>
      </c>
      <c r="G8054" s="29">
        <f>VLOOKUP(A8054,Calendar!$A$1:$H$9997,6,FALSE)-F8054</f>
        <v/>
      </c>
      <c r="H8054" s="19" t="n">
        <v>2</v>
      </c>
      <c r="I8054" s="57" t="n">
        <v>1</v>
      </c>
    </row>
    <row r="8055">
      <c r="A8055" s="62" t="n">
        <v>46494</v>
      </c>
      <c r="B8055" s="3" t="inlineStr">
        <is>
          <t>Sat</t>
        </is>
      </c>
      <c r="C8055" s="19" t="n">
        <v>4</v>
      </c>
      <c r="D8055" s="19" t="n">
        <v>2027</v>
      </c>
      <c r="E8055" s="57" t="n">
        <v>8</v>
      </c>
      <c r="F8055" s="29">
        <f>ROUND(((SUMIFS(Calendar!$F$2:$F$9997,Calendar!$B$2:$B$9997,D8055,Calendar!$C$2:$C$9997,C8055)*INDEX(ForeCalc!$B$37:$Y$274,MATCH(_xlfn.CONCAT(H8055," ",I8055),ForeCalc!$A$37:$A$274,0),MATCH(_xlfn.CONCAT(B8055," ",E8055),ForeCalc!$B$36:$Y$36,0))))*VLOOKUP(A8055,Calendar!$A$2:$H$9997,8,FALSE),0)</f>
        <v/>
      </c>
      <c r="G8055" s="29">
        <f>VLOOKUP(A8055,Calendar!$A$1:$H$9997,6,FALSE)-F8055</f>
        <v/>
      </c>
      <c r="H8055" s="19" t="n">
        <v>2</v>
      </c>
      <c r="I8055" s="57" t="n">
        <v>1</v>
      </c>
    </row>
    <row r="8056">
      <c r="A8056" s="62" t="n">
        <v>46495</v>
      </c>
      <c r="B8056" s="3" t="inlineStr">
        <is>
          <t>Sun</t>
        </is>
      </c>
      <c r="C8056" s="19" t="n">
        <v>4</v>
      </c>
      <c r="D8056" s="19" t="n">
        <v>2027</v>
      </c>
      <c r="E8056" s="57" t="n">
        <v>8</v>
      </c>
      <c r="F8056" s="29">
        <f>ROUND(((SUMIFS(Calendar!$F$2:$F$9997,Calendar!$B$2:$B$9997,D8056,Calendar!$C$2:$C$9997,C8056)*INDEX(ForeCalc!$B$37:$Y$274,MATCH(_xlfn.CONCAT(H8056," ",I8056),ForeCalc!$A$37:$A$274,0),MATCH(_xlfn.CONCAT(B8056," ",E8056),ForeCalc!$B$36:$Y$36,0))))*VLOOKUP(A8056,Calendar!$A$2:$H$9997,8,FALSE),0)</f>
        <v/>
      </c>
      <c r="G8056" s="29">
        <f>VLOOKUP(A8056,Calendar!$A$1:$H$9997,6,FALSE)-F8056</f>
        <v/>
      </c>
      <c r="H8056" s="19" t="n">
        <v>2</v>
      </c>
      <c r="I8056" s="57" t="n">
        <v>1</v>
      </c>
    </row>
    <row r="8057">
      <c r="A8057" s="62" t="n">
        <v>46496</v>
      </c>
      <c r="B8057" s="3" t="inlineStr">
        <is>
          <t>Week</t>
        </is>
      </c>
      <c r="C8057" s="19" t="n">
        <v>4</v>
      </c>
      <c r="D8057" s="19" t="n">
        <v>2027</v>
      </c>
      <c r="E8057" s="57" t="n">
        <v>8</v>
      </c>
      <c r="F8057" s="29">
        <f>ROUND(((SUMIFS(Calendar!$F$2:$F$9997,Calendar!$B$2:$B$9997,D8057,Calendar!$C$2:$C$9997,C8057)*INDEX(ForeCalc!$B$37:$Y$274,MATCH(_xlfn.CONCAT(H8057," ",I8057),ForeCalc!$A$37:$A$274,0),MATCH(_xlfn.CONCAT(B8057," ",E8057),ForeCalc!$B$36:$Y$36,0))))*VLOOKUP(A8057,Calendar!$A$2:$H$9997,8,FALSE),0)</f>
        <v/>
      </c>
      <c r="G8057" s="29">
        <f>VLOOKUP(A8057,Calendar!$A$1:$H$9997,6,FALSE)-F8057</f>
        <v/>
      </c>
      <c r="H8057" s="19" t="n">
        <v>2</v>
      </c>
      <c r="I8057" s="57" t="n">
        <v>1</v>
      </c>
    </row>
    <row r="8058">
      <c r="A8058" s="62" t="n">
        <v>46497</v>
      </c>
      <c r="B8058" s="3" t="inlineStr">
        <is>
          <t>Week</t>
        </is>
      </c>
      <c r="C8058" s="19" t="n">
        <v>4</v>
      </c>
      <c r="D8058" s="19" t="n">
        <v>2027</v>
      </c>
      <c r="E8058" s="57" t="n">
        <v>8</v>
      </c>
      <c r="F8058" s="29">
        <f>ROUND(((SUMIFS(Calendar!$F$2:$F$9997,Calendar!$B$2:$B$9997,D8058,Calendar!$C$2:$C$9997,C8058)*INDEX(ForeCalc!$B$37:$Y$274,MATCH(_xlfn.CONCAT(H8058," ",I8058),ForeCalc!$A$37:$A$274,0),MATCH(_xlfn.CONCAT(B8058," ",E8058),ForeCalc!$B$36:$Y$36,0))))*VLOOKUP(A8058,Calendar!$A$2:$H$9997,8,FALSE),0)</f>
        <v/>
      </c>
      <c r="G8058" s="29">
        <f>VLOOKUP(A8058,Calendar!$A$1:$H$9997,6,FALSE)-F8058</f>
        <v/>
      </c>
      <c r="H8058" s="19" t="n">
        <v>2</v>
      </c>
      <c r="I8058" s="57" t="n">
        <v>1</v>
      </c>
    </row>
    <row r="8059">
      <c r="A8059" s="62" t="n">
        <v>46498</v>
      </c>
      <c r="B8059" s="3" t="inlineStr">
        <is>
          <t>Week</t>
        </is>
      </c>
      <c r="C8059" s="19" t="n">
        <v>4</v>
      </c>
      <c r="D8059" s="19" t="n">
        <v>2027</v>
      </c>
      <c r="E8059" s="57" t="n">
        <v>8</v>
      </c>
      <c r="F8059" s="29">
        <f>ROUND(((SUMIFS(Calendar!$F$2:$F$9997,Calendar!$B$2:$B$9997,D8059,Calendar!$C$2:$C$9997,C8059)*INDEX(ForeCalc!$B$37:$Y$274,MATCH(_xlfn.CONCAT(H8059," ",I8059),ForeCalc!$A$37:$A$274,0),MATCH(_xlfn.CONCAT(B8059," ",E8059),ForeCalc!$B$36:$Y$36,0))))*VLOOKUP(A8059,Calendar!$A$2:$H$9997,8,FALSE),0)</f>
        <v/>
      </c>
      <c r="G8059" s="29">
        <f>VLOOKUP(A8059,Calendar!$A$1:$H$9997,6,FALSE)-F8059</f>
        <v/>
      </c>
      <c r="H8059" s="19" t="n">
        <v>2</v>
      </c>
      <c r="I8059" s="57" t="n">
        <v>1</v>
      </c>
    </row>
    <row r="8060">
      <c r="A8060" s="62" t="n">
        <v>46499</v>
      </c>
      <c r="B8060" s="3" t="inlineStr">
        <is>
          <t>Week</t>
        </is>
      </c>
      <c r="C8060" s="19" t="n">
        <v>4</v>
      </c>
      <c r="D8060" s="19" t="n">
        <v>2027</v>
      </c>
      <c r="E8060" s="57" t="n">
        <v>8</v>
      </c>
      <c r="F8060" s="29">
        <f>ROUND(((SUMIFS(Calendar!$F$2:$F$9997,Calendar!$B$2:$B$9997,D8060,Calendar!$C$2:$C$9997,C8060)*INDEX(ForeCalc!$B$37:$Y$274,MATCH(_xlfn.CONCAT(H8060," ",I8060),ForeCalc!$A$37:$A$274,0),MATCH(_xlfn.CONCAT(B8060," ",E8060),ForeCalc!$B$36:$Y$36,0))))*VLOOKUP(A8060,Calendar!$A$2:$H$9997,8,FALSE),0)</f>
        <v/>
      </c>
      <c r="G8060" s="29">
        <f>VLOOKUP(A8060,Calendar!$A$1:$H$9997,6,FALSE)-F8060</f>
        <v/>
      </c>
      <c r="H8060" s="19" t="n">
        <v>2</v>
      </c>
      <c r="I8060" s="57" t="n">
        <v>1</v>
      </c>
    </row>
    <row r="8061">
      <c r="A8061" s="62" t="n">
        <v>46500</v>
      </c>
      <c r="B8061" s="3" t="inlineStr">
        <is>
          <t>Week</t>
        </is>
      </c>
      <c r="C8061" s="19" t="n">
        <v>4</v>
      </c>
      <c r="D8061" s="19" t="n">
        <v>2027</v>
      </c>
      <c r="E8061" s="57" t="n">
        <v>8</v>
      </c>
      <c r="F8061" s="29">
        <f>ROUND(((SUMIFS(Calendar!$F$2:$F$9997,Calendar!$B$2:$B$9997,D8061,Calendar!$C$2:$C$9997,C8061)*INDEX(ForeCalc!$B$37:$Y$274,MATCH(_xlfn.CONCAT(H8061," ",I8061),ForeCalc!$A$37:$A$274,0),MATCH(_xlfn.CONCAT(B8061," ",E8061),ForeCalc!$B$36:$Y$36,0))))*VLOOKUP(A8061,Calendar!$A$2:$H$9997,8,FALSE),0)</f>
        <v/>
      </c>
      <c r="G8061" s="29">
        <f>VLOOKUP(A8061,Calendar!$A$1:$H$9997,6,FALSE)-F8061</f>
        <v/>
      </c>
      <c r="H8061" s="19" t="n">
        <v>2</v>
      </c>
      <c r="I8061" s="57" t="n">
        <v>1</v>
      </c>
    </row>
    <row r="8062">
      <c r="A8062" s="62" t="n">
        <v>46501</v>
      </c>
      <c r="B8062" s="3" t="inlineStr">
        <is>
          <t>Sat</t>
        </is>
      </c>
      <c r="C8062" s="19" t="n">
        <v>4</v>
      </c>
      <c r="D8062" s="19" t="n">
        <v>2027</v>
      </c>
      <c r="E8062" s="57" t="n">
        <v>8</v>
      </c>
      <c r="F8062" s="29">
        <f>ROUND(((SUMIFS(Calendar!$F$2:$F$9997,Calendar!$B$2:$B$9997,D8062,Calendar!$C$2:$C$9997,C8062)*INDEX(ForeCalc!$B$37:$Y$274,MATCH(_xlfn.CONCAT(H8062," ",I8062),ForeCalc!$A$37:$A$274,0),MATCH(_xlfn.CONCAT(B8062," ",E8062),ForeCalc!$B$36:$Y$36,0))))*VLOOKUP(A8062,Calendar!$A$2:$H$9997,8,FALSE),0)</f>
        <v/>
      </c>
      <c r="G8062" s="29">
        <f>VLOOKUP(A8062,Calendar!$A$1:$H$9997,6,FALSE)-F8062</f>
        <v/>
      </c>
      <c r="H8062" s="19" t="n">
        <v>2</v>
      </c>
      <c r="I8062" s="57" t="n">
        <v>1</v>
      </c>
    </row>
    <row r="8063">
      <c r="A8063" s="62" t="n">
        <v>46502</v>
      </c>
      <c r="B8063" s="3" t="inlineStr">
        <is>
          <t>Sun</t>
        </is>
      </c>
      <c r="C8063" s="19" t="n">
        <v>4</v>
      </c>
      <c r="D8063" s="19" t="n">
        <v>2027</v>
      </c>
      <c r="E8063" s="57" t="n">
        <v>8</v>
      </c>
      <c r="F8063" s="29">
        <f>ROUND(((SUMIFS(Calendar!$F$2:$F$9997,Calendar!$B$2:$B$9997,D8063,Calendar!$C$2:$C$9997,C8063)*INDEX(ForeCalc!$B$37:$Y$274,MATCH(_xlfn.CONCAT(H8063," ",I8063),ForeCalc!$A$37:$A$274,0),MATCH(_xlfn.CONCAT(B8063," ",E8063),ForeCalc!$B$36:$Y$36,0))))*VLOOKUP(A8063,Calendar!$A$2:$H$9997,8,FALSE),0)</f>
        <v/>
      </c>
      <c r="G8063" s="29">
        <f>VLOOKUP(A8063,Calendar!$A$1:$H$9997,6,FALSE)-F8063</f>
        <v/>
      </c>
      <c r="H8063" s="19" t="n">
        <v>2</v>
      </c>
      <c r="I8063" s="57" t="n">
        <v>1</v>
      </c>
    </row>
    <row r="8064">
      <c r="A8064" s="62" t="n">
        <v>46503</v>
      </c>
      <c r="B8064" s="3" t="inlineStr">
        <is>
          <t>Week</t>
        </is>
      </c>
      <c r="C8064" s="19" t="n">
        <v>4</v>
      </c>
      <c r="D8064" s="19" t="n">
        <v>2027</v>
      </c>
      <c r="E8064" s="57" t="n">
        <v>8</v>
      </c>
      <c r="F8064" s="29">
        <f>ROUND(((SUMIFS(Calendar!$F$2:$F$9997,Calendar!$B$2:$B$9997,D8064,Calendar!$C$2:$C$9997,C8064)*INDEX(ForeCalc!$B$37:$Y$274,MATCH(_xlfn.CONCAT(H8064," ",I8064),ForeCalc!$A$37:$A$274,0),MATCH(_xlfn.CONCAT(B8064," ",E8064),ForeCalc!$B$36:$Y$36,0))))*VLOOKUP(A8064,Calendar!$A$2:$H$9997,8,FALSE),0)</f>
        <v/>
      </c>
      <c r="G8064" s="29">
        <f>VLOOKUP(A8064,Calendar!$A$1:$H$9997,6,FALSE)-F8064</f>
        <v/>
      </c>
      <c r="H8064" s="19" t="n">
        <v>2</v>
      </c>
      <c r="I8064" s="57" t="n">
        <v>1</v>
      </c>
    </row>
    <row r="8065">
      <c r="A8065" s="62" t="n">
        <v>46504</v>
      </c>
      <c r="B8065" s="3" t="inlineStr">
        <is>
          <t>Week</t>
        </is>
      </c>
      <c r="C8065" s="19" t="n">
        <v>4</v>
      </c>
      <c r="D8065" s="19" t="n">
        <v>2027</v>
      </c>
      <c r="E8065" s="57" t="n">
        <v>8</v>
      </c>
      <c r="F8065" s="29">
        <f>ROUND(((SUMIFS(Calendar!$F$2:$F$9997,Calendar!$B$2:$B$9997,D8065,Calendar!$C$2:$C$9997,C8065)*INDEX(ForeCalc!$B$37:$Y$274,MATCH(_xlfn.CONCAT(H8065," ",I8065),ForeCalc!$A$37:$A$274,0),MATCH(_xlfn.CONCAT(B8065," ",E8065),ForeCalc!$B$36:$Y$36,0))))*VLOOKUP(A8065,Calendar!$A$2:$H$9997,8,FALSE),0)</f>
        <v/>
      </c>
      <c r="G8065" s="29">
        <f>VLOOKUP(A8065,Calendar!$A$1:$H$9997,6,FALSE)-F8065</f>
        <v/>
      </c>
      <c r="H8065" s="19" t="n">
        <v>2</v>
      </c>
      <c r="I8065" s="57" t="n">
        <v>1</v>
      </c>
    </row>
    <row r="8066">
      <c r="A8066" s="62" t="n">
        <v>46505</v>
      </c>
      <c r="B8066" s="3" t="inlineStr">
        <is>
          <t>Week</t>
        </is>
      </c>
      <c r="C8066" s="19" t="n">
        <v>4</v>
      </c>
      <c r="D8066" s="19" t="n">
        <v>2027</v>
      </c>
      <c r="E8066" s="57" t="n">
        <v>8</v>
      </c>
      <c r="F8066" s="29">
        <f>ROUND(((SUMIFS(Calendar!$F$2:$F$9997,Calendar!$B$2:$B$9997,D8066,Calendar!$C$2:$C$9997,C8066)*INDEX(ForeCalc!$B$37:$Y$274,MATCH(_xlfn.CONCAT(H8066," ",I8066),ForeCalc!$A$37:$A$274,0),MATCH(_xlfn.CONCAT(B8066," ",E8066),ForeCalc!$B$36:$Y$36,0))))*VLOOKUP(A8066,Calendar!$A$2:$H$9997,8,FALSE),0)</f>
        <v/>
      </c>
      <c r="G8066" s="29">
        <f>VLOOKUP(A8066,Calendar!$A$1:$H$9997,6,FALSE)-F8066</f>
        <v/>
      </c>
      <c r="H8066" s="19" t="n">
        <v>2</v>
      </c>
      <c r="I8066" s="57" t="n">
        <v>1</v>
      </c>
    </row>
    <row r="8067">
      <c r="A8067" s="62" t="n">
        <v>46506</v>
      </c>
      <c r="B8067" s="3" t="inlineStr">
        <is>
          <t>Week</t>
        </is>
      </c>
      <c r="C8067" s="19" t="n">
        <v>4</v>
      </c>
      <c r="D8067" s="19" t="n">
        <v>2027</v>
      </c>
      <c r="E8067" s="57" t="n">
        <v>8</v>
      </c>
      <c r="F8067" s="29">
        <f>ROUND(((SUMIFS(Calendar!$F$2:$F$9997,Calendar!$B$2:$B$9997,D8067,Calendar!$C$2:$C$9997,C8067)*INDEX(ForeCalc!$B$37:$Y$274,MATCH(_xlfn.CONCAT(H8067," ",I8067),ForeCalc!$A$37:$A$274,0),MATCH(_xlfn.CONCAT(B8067," ",E8067),ForeCalc!$B$36:$Y$36,0))))*VLOOKUP(A8067,Calendar!$A$2:$H$9997,8,FALSE),0)</f>
        <v/>
      </c>
      <c r="G8067" s="29">
        <f>VLOOKUP(A8067,Calendar!$A$1:$H$9997,6,FALSE)-F8067</f>
        <v/>
      </c>
      <c r="H8067" s="19" t="n">
        <v>2</v>
      </c>
      <c r="I8067" s="57" t="n">
        <v>1</v>
      </c>
    </row>
    <row r="8068">
      <c r="A8068" s="62" t="n">
        <v>46507</v>
      </c>
      <c r="B8068" s="3" t="inlineStr">
        <is>
          <t>Week</t>
        </is>
      </c>
      <c r="C8068" s="19" t="n">
        <v>4</v>
      </c>
      <c r="D8068" s="19" t="n">
        <v>2027</v>
      </c>
      <c r="E8068" s="57" t="n">
        <v>8</v>
      </c>
      <c r="F8068" s="29">
        <f>ROUND(((SUMIFS(Calendar!$F$2:$F$9997,Calendar!$B$2:$B$9997,D8068,Calendar!$C$2:$C$9997,C8068)*INDEX(ForeCalc!$B$37:$Y$274,MATCH(_xlfn.CONCAT(H8068," ",I8068),ForeCalc!$A$37:$A$274,0),MATCH(_xlfn.CONCAT(B8068," ",E8068),ForeCalc!$B$36:$Y$36,0))))*VLOOKUP(A8068,Calendar!$A$2:$H$9997,8,FALSE),0)</f>
        <v/>
      </c>
      <c r="G8068" s="29">
        <f>VLOOKUP(A8068,Calendar!$A$1:$H$9997,6,FALSE)-F8068</f>
        <v/>
      </c>
      <c r="H8068" s="19" t="n">
        <v>2</v>
      </c>
      <c r="I8068" s="57" t="n">
        <v>1</v>
      </c>
    </row>
    <row r="8069">
      <c r="A8069" s="62" t="n">
        <v>46508</v>
      </c>
      <c r="B8069" s="3" t="inlineStr">
        <is>
          <t>Sat</t>
        </is>
      </c>
      <c r="C8069" s="19" t="n">
        <v>5</v>
      </c>
      <c r="D8069" s="19" t="n">
        <v>2027</v>
      </c>
      <c r="E8069" s="57" t="n">
        <v>8</v>
      </c>
      <c r="F8069" s="29">
        <f>ROUND(((SUMIFS(Calendar!$F$2:$F$9997,Calendar!$B$2:$B$9997,D8069,Calendar!$C$2:$C$9997,C8069)*INDEX(ForeCalc!$B$37:$Y$274,MATCH(_xlfn.CONCAT(H8069," ",I8069),ForeCalc!$A$37:$A$274,0),MATCH(_xlfn.CONCAT(B8069," ",E8069),ForeCalc!$B$36:$Y$36,0))))*VLOOKUP(A8069,Calendar!$A$2:$H$9997,8,FALSE),0)</f>
        <v/>
      </c>
      <c r="G8069" s="29">
        <f>VLOOKUP(A8069,Calendar!$A$1:$H$9997,6,FALSE)-F8069</f>
        <v/>
      </c>
      <c r="H8069" s="19" t="n">
        <v>2</v>
      </c>
      <c r="I8069" s="57" t="n">
        <v>2</v>
      </c>
    </row>
    <row r="8070">
      <c r="A8070" s="62" t="n">
        <v>46509</v>
      </c>
      <c r="B8070" s="3" t="inlineStr">
        <is>
          <t>Sun</t>
        </is>
      </c>
      <c r="C8070" s="19" t="n">
        <v>5</v>
      </c>
      <c r="D8070" s="19" t="n">
        <v>2027</v>
      </c>
      <c r="E8070" s="57" t="n">
        <v>8</v>
      </c>
      <c r="F8070" s="29">
        <f>ROUND(((SUMIFS(Calendar!$F$2:$F$9997,Calendar!$B$2:$B$9997,D8070,Calendar!$C$2:$C$9997,C8070)*INDEX(ForeCalc!$B$37:$Y$274,MATCH(_xlfn.CONCAT(H8070," ",I8070),ForeCalc!$A$37:$A$274,0),MATCH(_xlfn.CONCAT(B8070," ",E8070),ForeCalc!$B$36:$Y$36,0))))*VLOOKUP(A8070,Calendar!$A$2:$H$9997,8,FALSE),0)</f>
        <v/>
      </c>
      <c r="G8070" s="29">
        <f>VLOOKUP(A8070,Calendar!$A$1:$H$9997,6,FALSE)-F8070</f>
        <v/>
      </c>
      <c r="H8070" s="19" t="n">
        <v>2</v>
      </c>
      <c r="I8070" s="57" t="n">
        <v>2</v>
      </c>
    </row>
    <row r="8071">
      <c r="A8071" s="62" t="n">
        <v>46510</v>
      </c>
      <c r="B8071" s="3" t="inlineStr">
        <is>
          <t>Week</t>
        </is>
      </c>
      <c r="C8071" s="19" t="n">
        <v>5</v>
      </c>
      <c r="D8071" s="19" t="n">
        <v>2027</v>
      </c>
      <c r="E8071" s="57" t="n">
        <v>8</v>
      </c>
      <c r="F8071" s="29">
        <f>ROUND(((SUMIFS(Calendar!$F$2:$F$9997,Calendar!$B$2:$B$9997,D8071,Calendar!$C$2:$C$9997,C8071)*INDEX(ForeCalc!$B$37:$Y$274,MATCH(_xlfn.CONCAT(H8071," ",I8071),ForeCalc!$A$37:$A$274,0),MATCH(_xlfn.CONCAT(B8071," ",E8071),ForeCalc!$B$36:$Y$36,0))))*VLOOKUP(A8071,Calendar!$A$2:$H$9997,8,FALSE),0)</f>
        <v/>
      </c>
      <c r="G8071" s="29">
        <f>VLOOKUP(A8071,Calendar!$A$1:$H$9997,6,FALSE)-F8071</f>
        <v/>
      </c>
      <c r="H8071" s="19" t="n">
        <v>2</v>
      </c>
      <c r="I8071" s="57" t="n">
        <v>2</v>
      </c>
    </row>
    <row r="8072">
      <c r="A8072" s="62" t="n">
        <v>46511</v>
      </c>
      <c r="B8072" s="3" t="inlineStr">
        <is>
          <t>Week</t>
        </is>
      </c>
      <c r="C8072" s="19" t="n">
        <v>5</v>
      </c>
      <c r="D8072" s="19" t="n">
        <v>2027</v>
      </c>
      <c r="E8072" s="57" t="n">
        <v>8</v>
      </c>
      <c r="F8072" s="29">
        <f>ROUND(((SUMIFS(Calendar!$F$2:$F$9997,Calendar!$B$2:$B$9997,D8072,Calendar!$C$2:$C$9997,C8072)*INDEX(ForeCalc!$B$37:$Y$274,MATCH(_xlfn.CONCAT(H8072," ",I8072),ForeCalc!$A$37:$A$274,0),MATCH(_xlfn.CONCAT(B8072," ",E8072),ForeCalc!$B$36:$Y$36,0))))*VLOOKUP(A8072,Calendar!$A$2:$H$9997,8,FALSE),0)</f>
        <v/>
      </c>
      <c r="G8072" s="29">
        <f>VLOOKUP(A8072,Calendar!$A$1:$H$9997,6,FALSE)-F8072</f>
        <v/>
      </c>
      <c r="H8072" s="19" t="n">
        <v>2</v>
      </c>
      <c r="I8072" s="57" t="n">
        <v>2</v>
      </c>
    </row>
    <row r="8073">
      <c r="A8073" s="62" t="n">
        <v>46512</v>
      </c>
      <c r="B8073" s="3" t="inlineStr">
        <is>
          <t>Week</t>
        </is>
      </c>
      <c r="C8073" s="19" t="n">
        <v>5</v>
      </c>
      <c r="D8073" s="19" t="n">
        <v>2027</v>
      </c>
      <c r="E8073" s="57" t="n">
        <v>8</v>
      </c>
      <c r="F8073" s="29">
        <f>ROUND(((SUMIFS(Calendar!$F$2:$F$9997,Calendar!$B$2:$B$9997,D8073,Calendar!$C$2:$C$9997,C8073)*INDEX(ForeCalc!$B$37:$Y$274,MATCH(_xlfn.CONCAT(H8073," ",I8073),ForeCalc!$A$37:$A$274,0),MATCH(_xlfn.CONCAT(B8073," ",E8073),ForeCalc!$B$36:$Y$36,0))))*VLOOKUP(A8073,Calendar!$A$2:$H$9997,8,FALSE),0)</f>
        <v/>
      </c>
      <c r="G8073" s="29">
        <f>VLOOKUP(A8073,Calendar!$A$1:$H$9997,6,FALSE)-F8073</f>
        <v/>
      </c>
      <c r="H8073" s="19" t="n">
        <v>2</v>
      </c>
      <c r="I8073" s="57" t="n">
        <v>2</v>
      </c>
    </row>
    <row r="8074">
      <c r="A8074" s="62" t="n">
        <v>46513</v>
      </c>
      <c r="B8074" s="3" t="inlineStr">
        <is>
          <t>Week</t>
        </is>
      </c>
      <c r="C8074" s="19" t="n">
        <v>5</v>
      </c>
      <c r="D8074" s="19" t="n">
        <v>2027</v>
      </c>
      <c r="E8074" s="57" t="n">
        <v>8</v>
      </c>
      <c r="F8074" s="29">
        <f>ROUND(((SUMIFS(Calendar!$F$2:$F$9997,Calendar!$B$2:$B$9997,D8074,Calendar!$C$2:$C$9997,C8074)*INDEX(ForeCalc!$B$37:$Y$274,MATCH(_xlfn.CONCAT(H8074," ",I8074),ForeCalc!$A$37:$A$274,0),MATCH(_xlfn.CONCAT(B8074," ",E8074),ForeCalc!$B$36:$Y$36,0))))*VLOOKUP(A8074,Calendar!$A$2:$H$9997,8,FALSE),0)</f>
        <v/>
      </c>
      <c r="G8074" s="29">
        <f>VLOOKUP(A8074,Calendar!$A$1:$H$9997,6,FALSE)-F8074</f>
        <v/>
      </c>
      <c r="H8074" s="19" t="n">
        <v>2</v>
      </c>
      <c r="I8074" s="57" t="n">
        <v>2</v>
      </c>
    </row>
    <row r="8075">
      <c r="A8075" s="62" t="n">
        <v>46514</v>
      </c>
      <c r="B8075" s="3" t="inlineStr">
        <is>
          <t>Week</t>
        </is>
      </c>
      <c r="C8075" s="19" t="n">
        <v>5</v>
      </c>
      <c r="D8075" s="19" t="n">
        <v>2027</v>
      </c>
      <c r="E8075" s="57" t="n">
        <v>8</v>
      </c>
      <c r="F8075" s="29">
        <f>ROUND(((SUMIFS(Calendar!$F$2:$F$9997,Calendar!$B$2:$B$9997,D8075,Calendar!$C$2:$C$9997,C8075)*INDEX(ForeCalc!$B$37:$Y$274,MATCH(_xlfn.CONCAT(H8075," ",I8075),ForeCalc!$A$37:$A$274,0),MATCH(_xlfn.CONCAT(B8075," ",E8075),ForeCalc!$B$36:$Y$36,0))))*VLOOKUP(A8075,Calendar!$A$2:$H$9997,8,FALSE),0)</f>
        <v/>
      </c>
      <c r="G8075" s="29">
        <f>VLOOKUP(A8075,Calendar!$A$1:$H$9997,6,FALSE)-F8075</f>
        <v/>
      </c>
      <c r="H8075" s="19" t="n">
        <v>2</v>
      </c>
      <c r="I8075" s="57" t="n">
        <v>2</v>
      </c>
    </row>
    <row r="8076">
      <c r="A8076" s="62" t="n">
        <v>46515</v>
      </c>
      <c r="B8076" s="3" t="inlineStr">
        <is>
          <t>Sat</t>
        </is>
      </c>
      <c r="C8076" s="19" t="n">
        <v>5</v>
      </c>
      <c r="D8076" s="19" t="n">
        <v>2027</v>
      </c>
      <c r="E8076" s="57" t="n">
        <v>8</v>
      </c>
      <c r="F8076" s="29">
        <f>ROUND(((SUMIFS(Calendar!$F$2:$F$9997,Calendar!$B$2:$B$9997,D8076,Calendar!$C$2:$C$9997,C8076)*INDEX(ForeCalc!$B$37:$Y$274,MATCH(_xlfn.CONCAT(H8076," ",I8076),ForeCalc!$A$37:$A$274,0),MATCH(_xlfn.CONCAT(B8076," ",E8076),ForeCalc!$B$36:$Y$36,0))))*VLOOKUP(A8076,Calendar!$A$2:$H$9997,8,FALSE),0)</f>
        <v/>
      </c>
      <c r="G8076" s="29">
        <f>VLOOKUP(A8076,Calendar!$A$1:$H$9997,6,FALSE)-F8076</f>
        <v/>
      </c>
      <c r="H8076" s="19" t="n">
        <v>2</v>
      </c>
      <c r="I8076" s="57" t="n">
        <v>2</v>
      </c>
    </row>
    <row r="8077">
      <c r="A8077" s="62" t="n">
        <v>46516</v>
      </c>
      <c r="B8077" s="3" t="inlineStr">
        <is>
          <t>Sun</t>
        </is>
      </c>
      <c r="C8077" s="19" t="n">
        <v>5</v>
      </c>
      <c r="D8077" s="19" t="n">
        <v>2027</v>
      </c>
      <c r="E8077" s="57" t="n">
        <v>8</v>
      </c>
      <c r="F8077" s="29">
        <f>ROUND(((SUMIFS(Calendar!$F$2:$F$9997,Calendar!$B$2:$B$9997,D8077,Calendar!$C$2:$C$9997,C8077)*INDEX(ForeCalc!$B$37:$Y$274,MATCH(_xlfn.CONCAT(H8077," ",I8077),ForeCalc!$A$37:$A$274,0),MATCH(_xlfn.CONCAT(B8077," ",E8077),ForeCalc!$B$36:$Y$36,0))))*VLOOKUP(A8077,Calendar!$A$2:$H$9997,8,FALSE),0)</f>
        <v/>
      </c>
      <c r="G8077" s="29">
        <f>VLOOKUP(A8077,Calendar!$A$1:$H$9997,6,FALSE)-F8077</f>
        <v/>
      </c>
      <c r="H8077" s="19" t="n">
        <v>2</v>
      </c>
      <c r="I8077" s="57" t="n">
        <v>2</v>
      </c>
    </row>
    <row r="8078">
      <c r="A8078" s="62" t="n">
        <v>46517</v>
      </c>
      <c r="B8078" s="3" t="inlineStr">
        <is>
          <t>Week</t>
        </is>
      </c>
      <c r="C8078" s="19" t="n">
        <v>5</v>
      </c>
      <c r="D8078" s="19" t="n">
        <v>2027</v>
      </c>
      <c r="E8078" s="57" t="n">
        <v>8</v>
      </c>
      <c r="F8078" s="29">
        <f>ROUND(((SUMIFS(Calendar!$F$2:$F$9997,Calendar!$B$2:$B$9997,D8078,Calendar!$C$2:$C$9997,C8078)*INDEX(ForeCalc!$B$37:$Y$274,MATCH(_xlfn.CONCAT(H8078," ",I8078),ForeCalc!$A$37:$A$274,0),MATCH(_xlfn.CONCAT(B8078," ",E8078),ForeCalc!$B$36:$Y$36,0))))*VLOOKUP(A8078,Calendar!$A$2:$H$9997,8,FALSE),0)</f>
        <v/>
      </c>
      <c r="G8078" s="29">
        <f>VLOOKUP(A8078,Calendar!$A$1:$H$9997,6,FALSE)-F8078</f>
        <v/>
      </c>
      <c r="H8078" s="19" t="n">
        <v>2</v>
      </c>
      <c r="I8078" s="57" t="n">
        <v>2</v>
      </c>
    </row>
    <row r="8079">
      <c r="A8079" s="62" t="n">
        <v>46518</v>
      </c>
      <c r="B8079" s="3" t="inlineStr">
        <is>
          <t>Week</t>
        </is>
      </c>
      <c r="C8079" s="19" t="n">
        <v>5</v>
      </c>
      <c r="D8079" s="19" t="n">
        <v>2027</v>
      </c>
      <c r="E8079" s="57" t="n">
        <v>8</v>
      </c>
      <c r="F8079" s="29">
        <f>ROUND(((SUMIFS(Calendar!$F$2:$F$9997,Calendar!$B$2:$B$9997,D8079,Calendar!$C$2:$C$9997,C8079)*INDEX(ForeCalc!$B$37:$Y$274,MATCH(_xlfn.CONCAT(H8079," ",I8079),ForeCalc!$A$37:$A$274,0),MATCH(_xlfn.CONCAT(B8079," ",E8079),ForeCalc!$B$36:$Y$36,0))))*VLOOKUP(A8079,Calendar!$A$2:$H$9997,8,FALSE),0)</f>
        <v/>
      </c>
      <c r="G8079" s="29">
        <f>VLOOKUP(A8079,Calendar!$A$1:$H$9997,6,FALSE)-F8079</f>
        <v/>
      </c>
      <c r="H8079" s="19" t="n">
        <v>2</v>
      </c>
      <c r="I8079" s="57" t="n">
        <v>2</v>
      </c>
    </row>
    <row r="8080">
      <c r="A8080" s="62" t="n">
        <v>46519</v>
      </c>
      <c r="B8080" s="3" t="inlineStr">
        <is>
          <t>Week</t>
        </is>
      </c>
      <c r="C8080" s="19" t="n">
        <v>5</v>
      </c>
      <c r="D8080" s="19" t="n">
        <v>2027</v>
      </c>
      <c r="E8080" s="57" t="n">
        <v>8</v>
      </c>
      <c r="F8080" s="29">
        <f>ROUND(((SUMIFS(Calendar!$F$2:$F$9997,Calendar!$B$2:$B$9997,D8080,Calendar!$C$2:$C$9997,C8080)*INDEX(ForeCalc!$B$37:$Y$274,MATCH(_xlfn.CONCAT(H8080," ",I8080),ForeCalc!$A$37:$A$274,0),MATCH(_xlfn.CONCAT(B8080," ",E8080),ForeCalc!$B$36:$Y$36,0))))*VLOOKUP(A8080,Calendar!$A$2:$H$9997,8,FALSE),0)</f>
        <v/>
      </c>
      <c r="G8080" s="29">
        <f>VLOOKUP(A8080,Calendar!$A$1:$H$9997,6,FALSE)-F8080</f>
        <v/>
      </c>
      <c r="H8080" s="19" t="n">
        <v>2</v>
      </c>
      <c r="I8080" s="57" t="n">
        <v>2</v>
      </c>
    </row>
    <row r="8081">
      <c r="A8081" s="62" t="n">
        <v>46520</v>
      </c>
      <c r="B8081" s="3" t="inlineStr">
        <is>
          <t>Week</t>
        </is>
      </c>
      <c r="C8081" s="19" t="n">
        <v>5</v>
      </c>
      <c r="D8081" s="19" t="n">
        <v>2027</v>
      </c>
      <c r="E8081" s="57" t="n">
        <v>8</v>
      </c>
      <c r="F8081" s="29">
        <f>ROUND(((SUMIFS(Calendar!$F$2:$F$9997,Calendar!$B$2:$B$9997,D8081,Calendar!$C$2:$C$9997,C8081)*INDEX(ForeCalc!$B$37:$Y$274,MATCH(_xlfn.CONCAT(H8081," ",I8081),ForeCalc!$A$37:$A$274,0),MATCH(_xlfn.CONCAT(B8081," ",E8081),ForeCalc!$B$36:$Y$36,0))))*VLOOKUP(A8081,Calendar!$A$2:$H$9997,8,FALSE),0)</f>
        <v/>
      </c>
      <c r="G8081" s="29">
        <f>VLOOKUP(A8081,Calendar!$A$1:$H$9997,6,FALSE)-F8081</f>
        <v/>
      </c>
      <c r="H8081" s="19" t="n">
        <v>2</v>
      </c>
      <c r="I8081" s="57" t="n">
        <v>2</v>
      </c>
    </row>
    <row r="8082">
      <c r="A8082" s="62" t="n">
        <v>46521</v>
      </c>
      <c r="B8082" s="3" t="inlineStr">
        <is>
          <t>Week</t>
        </is>
      </c>
      <c r="C8082" s="19" t="n">
        <v>5</v>
      </c>
      <c r="D8082" s="19" t="n">
        <v>2027</v>
      </c>
      <c r="E8082" s="57" t="n">
        <v>8</v>
      </c>
      <c r="F8082" s="29">
        <f>ROUND(((SUMIFS(Calendar!$F$2:$F$9997,Calendar!$B$2:$B$9997,D8082,Calendar!$C$2:$C$9997,C8082)*INDEX(ForeCalc!$B$37:$Y$274,MATCH(_xlfn.CONCAT(H8082," ",I8082),ForeCalc!$A$37:$A$274,0),MATCH(_xlfn.CONCAT(B8082," ",E8082),ForeCalc!$B$36:$Y$36,0))))*VLOOKUP(A8082,Calendar!$A$2:$H$9997,8,FALSE),0)</f>
        <v/>
      </c>
      <c r="G8082" s="29">
        <f>VLOOKUP(A8082,Calendar!$A$1:$H$9997,6,FALSE)-F8082</f>
        <v/>
      </c>
      <c r="H8082" s="19" t="n">
        <v>2</v>
      </c>
      <c r="I8082" s="57" t="n">
        <v>2</v>
      </c>
    </row>
    <row r="8083">
      <c r="A8083" s="62" t="n">
        <v>46522</v>
      </c>
      <c r="B8083" s="3" t="inlineStr">
        <is>
          <t>Sat</t>
        </is>
      </c>
      <c r="C8083" s="19" t="n">
        <v>5</v>
      </c>
      <c r="D8083" s="19" t="n">
        <v>2027</v>
      </c>
      <c r="E8083" s="57" t="n">
        <v>8</v>
      </c>
      <c r="F8083" s="29">
        <f>ROUND(((SUMIFS(Calendar!$F$2:$F$9997,Calendar!$B$2:$B$9997,D8083,Calendar!$C$2:$C$9997,C8083)*INDEX(ForeCalc!$B$37:$Y$274,MATCH(_xlfn.CONCAT(H8083," ",I8083),ForeCalc!$A$37:$A$274,0),MATCH(_xlfn.CONCAT(B8083," ",E8083),ForeCalc!$B$36:$Y$36,0))))*VLOOKUP(A8083,Calendar!$A$2:$H$9997,8,FALSE),0)</f>
        <v/>
      </c>
      <c r="G8083" s="29">
        <f>VLOOKUP(A8083,Calendar!$A$1:$H$9997,6,FALSE)-F8083</f>
        <v/>
      </c>
      <c r="H8083" s="19" t="n">
        <v>2</v>
      </c>
      <c r="I8083" s="57" t="n">
        <v>2</v>
      </c>
    </row>
    <row r="8084">
      <c r="A8084" s="62" t="n">
        <v>46523</v>
      </c>
      <c r="B8084" s="3" t="inlineStr">
        <is>
          <t>Sun</t>
        </is>
      </c>
      <c r="C8084" s="19" t="n">
        <v>5</v>
      </c>
      <c r="D8084" s="19" t="n">
        <v>2027</v>
      </c>
      <c r="E8084" s="57" t="n">
        <v>8</v>
      </c>
      <c r="F8084" s="29">
        <f>ROUND(((SUMIFS(Calendar!$F$2:$F$9997,Calendar!$B$2:$B$9997,D8084,Calendar!$C$2:$C$9997,C8084)*INDEX(ForeCalc!$B$37:$Y$274,MATCH(_xlfn.CONCAT(H8084," ",I8084),ForeCalc!$A$37:$A$274,0),MATCH(_xlfn.CONCAT(B8084," ",E8084),ForeCalc!$B$36:$Y$36,0))))*VLOOKUP(A8084,Calendar!$A$2:$H$9997,8,FALSE),0)</f>
        <v/>
      </c>
      <c r="G8084" s="29">
        <f>VLOOKUP(A8084,Calendar!$A$1:$H$9997,6,FALSE)-F8084</f>
        <v/>
      </c>
      <c r="H8084" s="19" t="n">
        <v>2</v>
      </c>
      <c r="I8084" s="57" t="n">
        <v>2</v>
      </c>
    </row>
    <row r="8085">
      <c r="A8085" s="62" t="n">
        <v>46524</v>
      </c>
      <c r="B8085" s="3" t="inlineStr">
        <is>
          <t>Week</t>
        </is>
      </c>
      <c r="C8085" s="19" t="n">
        <v>5</v>
      </c>
      <c r="D8085" s="19" t="n">
        <v>2027</v>
      </c>
      <c r="E8085" s="57" t="n">
        <v>8</v>
      </c>
      <c r="F8085" s="29">
        <f>ROUND(((SUMIFS(Calendar!$F$2:$F$9997,Calendar!$B$2:$B$9997,D8085,Calendar!$C$2:$C$9997,C8085)*INDEX(ForeCalc!$B$37:$Y$274,MATCH(_xlfn.CONCAT(H8085," ",I8085),ForeCalc!$A$37:$A$274,0),MATCH(_xlfn.CONCAT(B8085," ",E8085),ForeCalc!$B$36:$Y$36,0))))*VLOOKUP(A8085,Calendar!$A$2:$H$9997,8,FALSE),0)</f>
        <v/>
      </c>
      <c r="G8085" s="29">
        <f>VLOOKUP(A8085,Calendar!$A$1:$H$9997,6,FALSE)-F8085</f>
        <v/>
      </c>
      <c r="H8085" s="19" t="n">
        <v>2</v>
      </c>
      <c r="I8085" s="57" t="n">
        <v>2</v>
      </c>
    </row>
    <row r="8086">
      <c r="A8086" s="62" t="n">
        <v>46525</v>
      </c>
      <c r="B8086" s="3" t="inlineStr">
        <is>
          <t>Week</t>
        </is>
      </c>
      <c r="C8086" s="19" t="n">
        <v>5</v>
      </c>
      <c r="D8086" s="19" t="n">
        <v>2027</v>
      </c>
      <c r="E8086" s="57" t="n">
        <v>8</v>
      </c>
      <c r="F8086" s="29">
        <f>ROUND(((SUMIFS(Calendar!$F$2:$F$9997,Calendar!$B$2:$B$9997,D8086,Calendar!$C$2:$C$9997,C8086)*INDEX(ForeCalc!$B$37:$Y$274,MATCH(_xlfn.CONCAT(H8086," ",I8086),ForeCalc!$A$37:$A$274,0),MATCH(_xlfn.CONCAT(B8086," ",E8086),ForeCalc!$B$36:$Y$36,0))))*VLOOKUP(A8086,Calendar!$A$2:$H$9997,8,FALSE),0)</f>
        <v/>
      </c>
      <c r="G8086" s="29">
        <f>VLOOKUP(A8086,Calendar!$A$1:$H$9997,6,FALSE)-F8086</f>
        <v/>
      </c>
      <c r="H8086" s="19" t="n">
        <v>2</v>
      </c>
      <c r="I8086" s="57" t="n">
        <v>2</v>
      </c>
    </row>
    <row r="8087">
      <c r="A8087" s="62" t="n">
        <v>46526</v>
      </c>
      <c r="B8087" s="3" t="inlineStr">
        <is>
          <t>Week</t>
        </is>
      </c>
      <c r="C8087" s="19" t="n">
        <v>5</v>
      </c>
      <c r="D8087" s="19" t="n">
        <v>2027</v>
      </c>
      <c r="E8087" s="57" t="n">
        <v>8</v>
      </c>
      <c r="F8087" s="29">
        <f>ROUND(((SUMIFS(Calendar!$F$2:$F$9997,Calendar!$B$2:$B$9997,D8087,Calendar!$C$2:$C$9997,C8087)*INDEX(ForeCalc!$B$37:$Y$274,MATCH(_xlfn.CONCAT(H8087," ",I8087),ForeCalc!$A$37:$A$274,0),MATCH(_xlfn.CONCAT(B8087," ",E8087),ForeCalc!$B$36:$Y$36,0))))*VLOOKUP(A8087,Calendar!$A$2:$H$9997,8,FALSE),0)</f>
        <v/>
      </c>
      <c r="G8087" s="29">
        <f>VLOOKUP(A8087,Calendar!$A$1:$H$9997,6,FALSE)-F8087</f>
        <v/>
      </c>
      <c r="H8087" s="19" t="n">
        <v>2</v>
      </c>
      <c r="I8087" s="57" t="n">
        <v>2</v>
      </c>
    </row>
    <row r="8088">
      <c r="A8088" s="62" t="n">
        <v>46527</v>
      </c>
      <c r="B8088" s="3" t="inlineStr">
        <is>
          <t>Week</t>
        </is>
      </c>
      <c r="C8088" s="19" t="n">
        <v>5</v>
      </c>
      <c r="D8088" s="19" t="n">
        <v>2027</v>
      </c>
      <c r="E8088" s="57" t="n">
        <v>8</v>
      </c>
      <c r="F8088" s="29">
        <f>ROUND(((SUMIFS(Calendar!$F$2:$F$9997,Calendar!$B$2:$B$9997,D8088,Calendar!$C$2:$C$9997,C8088)*INDEX(ForeCalc!$B$37:$Y$274,MATCH(_xlfn.CONCAT(H8088," ",I8088),ForeCalc!$A$37:$A$274,0),MATCH(_xlfn.CONCAT(B8088," ",E8088),ForeCalc!$B$36:$Y$36,0))))*VLOOKUP(A8088,Calendar!$A$2:$H$9997,8,FALSE),0)</f>
        <v/>
      </c>
      <c r="G8088" s="29">
        <f>VLOOKUP(A8088,Calendar!$A$1:$H$9997,6,FALSE)-F8088</f>
        <v/>
      </c>
      <c r="H8088" s="19" t="n">
        <v>2</v>
      </c>
      <c r="I8088" s="57" t="n">
        <v>2</v>
      </c>
    </row>
    <row r="8089">
      <c r="A8089" s="62" t="n">
        <v>46528</v>
      </c>
      <c r="B8089" s="3" t="inlineStr">
        <is>
          <t>Week</t>
        </is>
      </c>
      <c r="C8089" s="19" t="n">
        <v>5</v>
      </c>
      <c r="D8089" s="19" t="n">
        <v>2027</v>
      </c>
      <c r="E8089" s="57" t="n">
        <v>8</v>
      </c>
      <c r="F8089" s="29">
        <f>ROUND(((SUMIFS(Calendar!$F$2:$F$9997,Calendar!$B$2:$B$9997,D8089,Calendar!$C$2:$C$9997,C8089)*INDEX(ForeCalc!$B$37:$Y$274,MATCH(_xlfn.CONCAT(H8089," ",I8089),ForeCalc!$A$37:$A$274,0),MATCH(_xlfn.CONCAT(B8089," ",E8089),ForeCalc!$B$36:$Y$36,0))))*VLOOKUP(A8089,Calendar!$A$2:$H$9997,8,FALSE),0)</f>
        <v/>
      </c>
      <c r="G8089" s="29">
        <f>VLOOKUP(A8089,Calendar!$A$1:$H$9997,6,FALSE)-F8089</f>
        <v/>
      </c>
      <c r="H8089" s="19" t="n">
        <v>2</v>
      </c>
      <c r="I8089" s="57" t="n">
        <v>2</v>
      </c>
    </row>
    <row r="8090">
      <c r="A8090" s="62" t="n">
        <v>46529</v>
      </c>
      <c r="B8090" s="3" t="inlineStr">
        <is>
          <t>Sat</t>
        </is>
      </c>
      <c r="C8090" s="19" t="n">
        <v>5</v>
      </c>
      <c r="D8090" s="19" t="n">
        <v>2027</v>
      </c>
      <c r="E8090" s="57" t="n">
        <v>8</v>
      </c>
      <c r="F8090" s="29">
        <f>ROUND(((SUMIFS(Calendar!$F$2:$F$9997,Calendar!$B$2:$B$9997,D8090,Calendar!$C$2:$C$9997,C8090)*INDEX(ForeCalc!$B$37:$Y$274,MATCH(_xlfn.CONCAT(H8090," ",I8090),ForeCalc!$A$37:$A$274,0),MATCH(_xlfn.CONCAT(B8090," ",E8090),ForeCalc!$B$36:$Y$36,0))))*VLOOKUP(A8090,Calendar!$A$2:$H$9997,8,FALSE),0)</f>
        <v/>
      </c>
      <c r="G8090" s="29">
        <f>VLOOKUP(A8090,Calendar!$A$1:$H$9997,6,FALSE)-F8090</f>
        <v/>
      </c>
      <c r="H8090" s="19" t="n">
        <v>2</v>
      </c>
      <c r="I8090" s="57" t="n">
        <v>2</v>
      </c>
    </row>
    <row r="8091">
      <c r="A8091" s="62" t="n">
        <v>46530</v>
      </c>
      <c r="B8091" s="3" t="inlineStr">
        <is>
          <t>Sun</t>
        </is>
      </c>
      <c r="C8091" s="19" t="n">
        <v>5</v>
      </c>
      <c r="D8091" s="19" t="n">
        <v>2027</v>
      </c>
      <c r="E8091" s="57" t="n">
        <v>8</v>
      </c>
      <c r="F8091" s="29">
        <f>ROUND(((SUMIFS(Calendar!$F$2:$F$9997,Calendar!$B$2:$B$9997,D8091,Calendar!$C$2:$C$9997,C8091)*INDEX(ForeCalc!$B$37:$Y$274,MATCH(_xlfn.CONCAT(H8091," ",I8091),ForeCalc!$A$37:$A$274,0),MATCH(_xlfn.CONCAT(B8091," ",E8091),ForeCalc!$B$36:$Y$36,0))))*VLOOKUP(A8091,Calendar!$A$2:$H$9997,8,FALSE),0)</f>
        <v/>
      </c>
      <c r="G8091" s="29">
        <f>VLOOKUP(A8091,Calendar!$A$1:$H$9997,6,FALSE)-F8091</f>
        <v/>
      </c>
      <c r="H8091" s="19" t="n">
        <v>2</v>
      </c>
      <c r="I8091" s="57" t="n">
        <v>2</v>
      </c>
    </row>
    <row r="8092">
      <c r="A8092" s="62" t="n">
        <v>46531</v>
      </c>
      <c r="B8092" s="3" t="inlineStr">
        <is>
          <t>Week</t>
        </is>
      </c>
      <c r="C8092" s="19" t="n">
        <v>5</v>
      </c>
      <c r="D8092" s="19" t="n">
        <v>2027</v>
      </c>
      <c r="E8092" s="57" t="n">
        <v>8</v>
      </c>
      <c r="F8092" s="29">
        <f>ROUND(((SUMIFS(Calendar!$F$2:$F$9997,Calendar!$B$2:$B$9997,D8092,Calendar!$C$2:$C$9997,C8092)*INDEX(ForeCalc!$B$37:$Y$274,MATCH(_xlfn.CONCAT(H8092," ",I8092),ForeCalc!$A$37:$A$274,0),MATCH(_xlfn.CONCAT(B8092," ",E8092),ForeCalc!$B$36:$Y$36,0))))*VLOOKUP(A8092,Calendar!$A$2:$H$9997,8,FALSE),0)</f>
        <v/>
      </c>
      <c r="G8092" s="29">
        <f>VLOOKUP(A8092,Calendar!$A$1:$H$9997,6,FALSE)-F8092</f>
        <v/>
      </c>
      <c r="H8092" s="19" t="n">
        <v>2</v>
      </c>
      <c r="I8092" s="57" t="n">
        <v>2</v>
      </c>
    </row>
    <row r="8093">
      <c r="A8093" s="62" t="n">
        <v>46532</v>
      </c>
      <c r="B8093" s="3" t="inlineStr">
        <is>
          <t>Week</t>
        </is>
      </c>
      <c r="C8093" s="19" t="n">
        <v>5</v>
      </c>
      <c r="D8093" s="19" t="n">
        <v>2027</v>
      </c>
      <c r="E8093" s="57" t="n">
        <v>8</v>
      </c>
      <c r="F8093" s="29">
        <f>ROUND(((SUMIFS(Calendar!$F$2:$F$9997,Calendar!$B$2:$B$9997,D8093,Calendar!$C$2:$C$9997,C8093)*INDEX(ForeCalc!$B$37:$Y$274,MATCH(_xlfn.CONCAT(H8093," ",I8093),ForeCalc!$A$37:$A$274,0),MATCH(_xlfn.CONCAT(B8093," ",E8093),ForeCalc!$B$36:$Y$36,0))))*VLOOKUP(A8093,Calendar!$A$2:$H$9997,8,FALSE),0)</f>
        <v/>
      </c>
      <c r="G8093" s="29">
        <f>VLOOKUP(A8093,Calendar!$A$1:$H$9997,6,FALSE)-F8093</f>
        <v/>
      </c>
      <c r="H8093" s="19" t="n">
        <v>2</v>
      </c>
      <c r="I8093" s="57" t="n">
        <v>2</v>
      </c>
    </row>
    <row r="8094">
      <c r="A8094" s="62" t="n">
        <v>46533</v>
      </c>
      <c r="B8094" s="3" t="inlineStr">
        <is>
          <t>Week</t>
        </is>
      </c>
      <c r="C8094" s="19" t="n">
        <v>5</v>
      </c>
      <c r="D8094" s="19" t="n">
        <v>2027</v>
      </c>
      <c r="E8094" s="57" t="n">
        <v>8</v>
      </c>
      <c r="F8094" s="29">
        <f>ROUND(((SUMIFS(Calendar!$F$2:$F$9997,Calendar!$B$2:$B$9997,D8094,Calendar!$C$2:$C$9997,C8094)*INDEX(ForeCalc!$B$37:$Y$274,MATCH(_xlfn.CONCAT(H8094," ",I8094),ForeCalc!$A$37:$A$274,0),MATCH(_xlfn.CONCAT(B8094," ",E8094),ForeCalc!$B$36:$Y$36,0))))*VLOOKUP(A8094,Calendar!$A$2:$H$9997,8,FALSE),0)</f>
        <v/>
      </c>
      <c r="G8094" s="29">
        <f>VLOOKUP(A8094,Calendar!$A$1:$H$9997,6,FALSE)-F8094</f>
        <v/>
      </c>
      <c r="H8094" s="19" t="n">
        <v>2</v>
      </c>
      <c r="I8094" s="57" t="n">
        <v>2</v>
      </c>
    </row>
    <row r="8095">
      <c r="A8095" s="62" t="n">
        <v>46534</v>
      </c>
      <c r="B8095" s="3" t="inlineStr">
        <is>
          <t>Week</t>
        </is>
      </c>
      <c r="C8095" s="19" t="n">
        <v>5</v>
      </c>
      <c r="D8095" s="19" t="n">
        <v>2027</v>
      </c>
      <c r="E8095" s="57" t="n">
        <v>8</v>
      </c>
      <c r="F8095" s="29">
        <f>ROUND(((SUMIFS(Calendar!$F$2:$F$9997,Calendar!$B$2:$B$9997,D8095,Calendar!$C$2:$C$9997,C8095)*INDEX(ForeCalc!$B$37:$Y$274,MATCH(_xlfn.CONCAT(H8095," ",I8095),ForeCalc!$A$37:$A$274,0),MATCH(_xlfn.CONCAT(B8095," ",E8095),ForeCalc!$B$36:$Y$36,0))))*VLOOKUP(A8095,Calendar!$A$2:$H$9997,8,FALSE),0)</f>
        <v/>
      </c>
      <c r="G8095" s="29">
        <f>VLOOKUP(A8095,Calendar!$A$1:$H$9997,6,FALSE)-F8095</f>
        <v/>
      </c>
      <c r="H8095" s="19" t="n">
        <v>2</v>
      </c>
      <c r="I8095" s="57" t="n">
        <v>2</v>
      </c>
    </row>
    <row r="8096">
      <c r="A8096" s="62" t="n">
        <v>46535</v>
      </c>
      <c r="B8096" s="3" t="inlineStr">
        <is>
          <t>Week</t>
        </is>
      </c>
      <c r="C8096" s="19" t="n">
        <v>5</v>
      </c>
      <c r="D8096" s="19" t="n">
        <v>2027</v>
      </c>
      <c r="E8096" s="57" t="n">
        <v>8</v>
      </c>
      <c r="F8096" s="29">
        <f>ROUND(((SUMIFS(Calendar!$F$2:$F$9997,Calendar!$B$2:$B$9997,D8096,Calendar!$C$2:$C$9997,C8096)*INDEX(ForeCalc!$B$37:$Y$274,MATCH(_xlfn.CONCAT(H8096," ",I8096),ForeCalc!$A$37:$A$274,0),MATCH(_xlfn.CONCAT(B8096," ",E8096),ForeCalc!$B$36:$Y$36,0))))*VLOOKUP(A8096,Calendar!$A$2:$H$9997,8,FALSE),0)</f>
        <v/>
      </c>
      <c r="G8096" s="29">
        <f>VLOOKUP(A8096,Calendar!$A$1:$H$9997,6,FALSE)-F8096</f>
        <v/>
      </c>
      <c r="H8096" s="19" t="n">
        <v>2</v>
      </c>
      <c r="I8096" s="57" t="n">
        <v>2</v>
      </c>
    </row>
    <row r="8097">
      <c r="A8097" s="62" t="n">
        <v>46536</v>
      </c>
      <c r="B8097" s="3" t="inlineStr">
        <is>
          <t>Sat</t>
        </is>
      </c>
      <c r="C8097" s="19" t="n">
        <v>5</v>
      </c>
      <c r="D8097" s="19" t="n">
        <v>2027</v>
      </c>
      <c r="E8097" s="57" t="n">
        <v>8</v>
      </c>
      <c r="F8097" s="29">
        <f>ROUND(((SUMIFS(Calendar!$F$2:$F$9997,Calendar!$B$2:$B$9997,D8097,Calendar!$C$2:$C$9997,C8097)*INDEX(ForeCalc!$B$37:$Y$274,MATCH(_xlfn.CONCAT(H8097," ",I8097),ForeCalc!$A$37:$A$274,0),MATCH(_xlfn.CONCAT(B8097," ",E8097),ForeCalc!$B$36:$Y$36,0))))*VLOOKUP(A8097,Calendar!$A$2:$H$9997,8,FALSE),0)</f>
        <v/>
      </c>
      <c r="G8097" s="29">
        <f>VLOOKUP(A8097,Calendar!$A$1:$H$9997,6,FALSE)-F8097</f>
        <v/>
      </c>
      <c r="H8097" s="19" t="n">
        <v>2</v>
      </c>
      <c r="I8097" s="57" t="n">
        <v>2</v>
      </c>
    </row>
    <row r="8098">
      <c r="A8098" s="62" t="n">
        <v>46537</v>
      </c>
      <c r="B8098" s="3" t="inlineStr">
        <is>
          <t>Sun</t>
        </is>
      </c>
      <c r="C8098" s="19" t="n">
        <v>5</v>
      </c>
      <c r="D8098" s="19" t="n">
        <v>2027</v>
      </c>
      <c r="E8098" s="57" t="n">
        <v>8</v>
      </c>
      <c r="F8098" s="29">
        <f>ROUND(((SUMIFS(Calendar!$F$2:$F$9997,Calendar!$B$2:$B$9997,D8098,Calendar!$C$2:$C$9997,C8098)*INDEX(ForeCalc!$B$37:$Y$274,MATCH(_xlfn.CONCAT(H8098," ",I8098),ForeCalc!$A$37:$A$274,0),MATCH(_xlfn.CONCAT(B8098," ",E8098),ForeCalc!$B$36:$Y$36,0))))*VLOOKUP(A8098,Calendar!$A$2:$H$9997,8,FALSE),0)</f>
        <v/>
      </c>
      <c r="G8098" s="29">
        <f>VLOOKUP(A8098,Calendar!$A$1:$H$9997,6,FALSE)-F8098</f>
        <v/>
      </c>
      <c r="H8098" s="19" t="n">
        <v>2</v>
      </c>
      <c r="I8098" s="57" t="n">
        <v>2</v>
      </c>
    </row>
    <row r="8099">
      <c r="A8099" s="62" t="n">
        <v>46538</v>
      </c>
      <c r="B8099" s="3" t="inlineStr">
        <is>
          <t>Week</t>
        </is>
      </c>
      <c r="C8099" s="19" t="n">
        <v>5</v>
      </c>
      <c r="D8099" s="19" t="n">
        <v>2027</v>
      </c>
      <c r="E8099" s="57" t="n">
        <v>8</v>
      </c>
      <c r="F8099" s="29">
        <f>ROUND(((SUMIFS(Calendar!$F$2:$F$9997,Calendar!$B$2:$B$9997,D8099,Calendar!$C$2:$C$9997,C8099)*INDEX(ForeCalc!$B$37:$Y$274,MATCH(_xlfn.CONCAT(H8099," ",I8099),ForeCalc!$A$37:$A$274,0),MATCH(_xlfn.CONCAT(B8099," ",E8099),ForeCalc!$B$36:$Y$36,0))))*VLOOKUP(A8099,Calendar!$A$2:$H$9997,8,FALSE),0)</f>
        <v/>
      </c>
      <c r="G8099" s="29">
        <f>VLOOKUP(A8099,Calendar!$A$1:$H$9997,6,FALSE)-F8099</f>
        <v/>
      </c>
      <c r="H8099" s="19" t="n">
        <v>2</v>
      </c>
      <c r="I8099" s="57" t="n">
        <v>2</v>
      </c>
    </row>
    <row r="8100">
      <c r="A8100" s="62" t="n">
        <v>46539</v>
      </c>
      <c r="B8100" s="3" t="inlineStr">
        <is>
          <t>Week</t>
        </is>
      </c>
      <c r="C8100" s="19" t="n">
        <v>6</v>
      </c>
      <c r="D8100" s="19" t="n">
        <v>2027</v>
      </c>
      <c r="E8100" s="57" t="n">
        <v>8</v>
      </c>
      <c r="F8100" s="29">
        <f>ROUND(((SUMIFS(Calendar!$F$2:$F$9997,Calendar!$B$2:$B$9997,D8100,Calendar!$C$2:$C$9997,C8100)*INDEX(ForeCalc!$B$37:$Y$274,MATCH(_xlfn.CONCAT(H8100," ",I8100),ForeCalc!$A$37:$A$274,0),MATCH(_xlfn.CONCAT(B8100," ",E8100),ForeCalc!$B$36:$Y$36,0))))*VLOOKUP(A8100,Calendar!$A$2:$H$9997,8,FALSE),0)</f>
        <v/>
      </c>
      <c r="G8100" s="29">
        <f>VLOOKUP(A8100,Calendar!$A$1:$H$9997,6,FALSE)-F8100</f>
        <v/>
      </c>
      <c r="H8100" s="19" t="n">
        <v>2</v>
      </c>
      <c r="I8100" s="57" t="n">
        <v>3</v>
      </c>
    </row>
    <row r="8101">
      <c r="A8101" s="62" t="n">
        <v>46540</v>
      </c>
      <c r="B8101" s="3" t="inlineStr">
        <is>
          <t>Week</t>
        </is>
      </c>
      <c r="C8101" s="19" t="n">
        <v>6</v>
      </c>
      <c r="D8101" s="19" t="n">
        <v>2027</v>
      </c>
      <c r="E8101" s="57" t="n">
        <v>8</v>
      </c>
      <c r="F8101" s="29">
        <f>ROUND(((SUMIFS(Calendar!$F$2:$F$9997,Calendar!$B$2:$B$9997,D8101,Calendar!$C$2:$C$9997,C8101)*INDEX(ForeCalc!$B$37:$Y$274,MATCH(_xlfn.CONCAT(H8101," ",I8101),ForeCalc!$A$37:$A$274,0),MATCH(_xlfn.CONCAT(B8101," ",E8101),ForeCalc!$B$36:$Y$36,0))))*VLOOKUP(A8101,Calendar!$A$2:$H$9997,8,FALSE),0)</f>
        <v/>
      </c>
      <c r="G8101" s="29">
        <f>VLOOKUP(A8101,Calendar!$A$1:$H$9997,6,FALSE)-F8101</f>
        <v/>
      </c>
      <c r="H8101" s="19" t="n">
        <v>2</v>
      </c>
      <c r="I8101" s="57" t="n">
        <v>3</v>
      </c>
    </row>
    <row r="8102">
      <c r="A8102" s="62" t="n">
        <v>46541</v>
      </c>
      <c r="B8102" s="3" t="inlineStr">
        <is>
          <t>Week</t>
        </is>
      </c>
      <c r="C8102" s="19" t="n">
        <v>6</v>
      </c>
      <c r="D8102" s="19" t="n">
        <v>2027</v>
      </c>
      <c r="E8102" s="57" t="n">
        <v>8</v>
      </c>
      <c r="F8102" s="29">
        <f>ROUND(((SUMIFS(Calendar!$F$2:$F$9997,Calendar!$B$2:$B$9997,D8102,Calendar!$C$2:$C$9997,C8102)*INDEX(ForeCalc!$B$37:$Y$274,MATCH(_xlfn.CONCAT(H8102," ",I8102),ForeCalc!$A$37:$A$274,0),MATCH(_xlfn.CONCAT(B8102," ",E8102),ForeCalc!$B$36:$Y$36,0))))*VLOOKUP(A8102,Calendar!$A$2:$H$9997,8,FALSE),0)</f>
        <v/>
      </c>
      <c r="G8102" s="29">
        <f>VLOOKUP(A8102,Calendar!$A$1:$H$9997,6,FALSE)-F8102</f>
        <v/>
      </c>
      <c r="H8102" s="19" t="n">
        <v>2</v>
      </c>
      <c r="I8102" s="57" t="n">
        <v>3</v>
      </c>
    </row>
    <row r="8103">
      <c r="A8103" s="62" t="n">
        <v>46542</v>
      </c>
      <c r="B8103" s="3" t="inlineStr">
        <is>
          <t>Week</t>
        </is>
      </c>
      <c r="C8103" s="19" t="n">
        <v>6</v>
      </c>
      <c r="D8103" s="19" t="n">
        <v>2027</v>
      </c>
      <c r="E8103" s="57" t="n">
        <v>8</v>
      </c>
      <c r="F8103" s="29">
        <f>ROUND(((SUMIFS(Calendar!$F$2:$F$9997,Calendar!$B$2:$B$9997,D8103,Calendar!$C$2:$C$9997,C8103)*INDEX(ForeCalc!$B$37:$Y$274,MATCH(_xlfn.CONCAT(H8103," ",I8103),ForeCalc!$A$37:$A$274,0),MATCH(_xlfn.CONCAT(B8103," ",E8103),ForeCalc!$B$36:$Y$36,0))))*VLOOKUP(A8103,Calendar!$A$2:$H$9997,8,FALSE),0)</f>
        <v/>
      </c>
      <c r="G8103" s="29">
        <f>VLOOKUP(A8103,Calendar!$A$1:$H$9997,6,FALSE)-F8103</f>
        <v/>
      </c>
      <c r="H8103" s="19" t="n">
        <v>2</v>
      </c>
      <c r="I8103" s="57" t="n">
        <v>3</v>
      </c>
    </row>
    <row r="8104">
      <c r="A8104" s="62" t="n">
        <v>46543</v>
      </c>
      <c r="B8104" s="3" t="inlineStr">
        <is>
          <t>Sat</t>
        </is>
      </c>
      <c r="C8104" s="19" t="n">
        <v>6</v>
      </c>
      <c r="D8104" s="19" t="n">
        <v>2027</v>
      </c>
      <c r="E8104" s="57" t="n">
        <v>8</v>
      </c>
      <c r="F8104" s="29">
        <f>ROUND(((SUMIFS(Calendar!$F$2:$F$9997,Calendar!$B$2:$B$9997,D8104,Calendar!$C$2:$C$9997,C8104)*INDEX(ForeCalc!$B$37:$Y$274,MATCH(_xlfn.CONCAT(H8104," ",I8104),ForeCalc!$A$37:$A$274,0),MATCH(_xlfn.CONCAT(B8104," ",E8104),ForeCalc!$B$36:$Y$36,0))))*VLOOKUP(A8104,Calendar!$A$2:$H$9997,8,FALSE),0)</f>
        <v/>
      </c>
      <c r="G8104" s="29">
        <f>VLOOKUP(A8104,Calendar!$A$1:$H$9997,6,FALSE)-F8104</f>
        <v/>
      </c>
      <c r="H8104" s="19" t="n">
        <v>2</v>
      </c>
      <c r="I8104" s="57" t="n">
        <v>3</v>
      </c>
    </row>
    <row r="8105">
      <c r="A8105" s="62" t="n">
        <v>46544</v>
      </c>
      <c r="B8105" s="3" t="inlineStr">
        <is>
          <t>Sun</t>
        </is>
      </c>
      <c r="C8105" s="19" t="n">
        <v>6</v>
      </c>
      <c r="D8105" s="19" t="n">
        <v>2027</v>
      </c>
      <c r="E8105" s="57" t="n">
        <v>8</v>
      </c>
      <c r="F8105" s="29">
        <f>ROUND(((SUMIFS(Calendar!$F$2:$F$9997,Calendar!$B$2:$B$9997,D8105,Calendar!$C$2:$C$9997,C8105)*INDEX(ForeCalc!$B$37:$Y$274,MATCH(_xlfn.CONCAT(H8105," ",I8105),ForeCalc!$A$37:$A$274,0),MATCH(_xlfn.CONCAT(B8105," ",E8105),ForeCalc!$B$36:$Y$36,0))))*VLOOKUP(A8105,Calendar!$A$2:$H$9997,8,FALSE),0)</f>
        <v/>
      </c>
      <c r="G8105" s="29">
        <f>VLOOKUP(A8105,Calendar!$A$1:$H$9997,6,FALSE)-F8105</f>
        <v/>
      </c>
      <c r="H8105" s="19" t="n">
        <v>2</v>
      </c>
      <c r="I8105" s="57" t="n">
        <v>3</v>
      </c>
    </row>
    <row r="8106">
      <c r="A8106" s="62" t="n">
        <v>46545</v>
      </c>
      <c r="B8106" s="3" t="inlineStr">
        <is>
          <t>Week</t>
        </is>
      </c>
      <c r="C8106" s="19" t="n">
        <v>6</v>
      </c>
      <c r="D8106" s="19" t="n">
        <v>2027</v>
      </c>
      <c r="E8106" s="57" t="n">
        <v>8</v>
      </c>
      <c r="F8106" s="29">
        <f>ROUND(((SUMIFS(Calendar!$F$2:$F$9997,Calendar!$B$2:$B$9997,D8106,Calendar!$C$2:$C$9997,C8106)*INDEX(ForeCalc!$B$37:$Y$274,MATCH(_xlfn.CONCAT(H8106," ",I8106),ForeCalc!$A$37:$A$274,0),MATCH(_xlfn.CONCAT(B8106," ",E8106),ForeCalc!$B$36:$Y$36,0))))*VLOOKUP(A8106,Calendar!$A$2:$H$9997,8,FALSE),0)</f>
        <v/>
      </c>
      <c r="G8106" s="29">
        <f>VLOOKUP(A8106,Calendar!$A$1:$H$9997,6,FALSE)-F8106</f>
        <v/>
      </c>
      <c r="H8106" s="19" t="n">
        <v>2</v>
      </c>
      <c r="I8106" s="57" t="n">
        <v>3</v>
      </c>
    </row>
    <row r="8107">
      <c r="A8107" s="62" t="n">
        <v>46546</v>
      </c>
      <c r="B8107" s="3" t="inlineStr">
        <is>
          <t>Week</t>
        </is>
      </c>
      <c r="C8107" s="19" t="n">
        <v>6</v>
      </c>
      <c r="D8107" s="19" t="n">
        <v>2027</v>
      </c>
      <c r="E8107" s="57" t="n">
        <v>8</v>
      </c>
      <c r="F8107" s="29">
        <f>ROUND(((SUMIFS(Calendar!$F$2:$F$9997,Calendar!$B$2:$B$9997,D8107,Calendar!$C$2:$C$9997,C8107)*INDEX(ForeCalc!$B$37:$Y$274,MATCH(_xlfn.CONCAT(H8107," ",I8107),ForeCalc!$A$37:$A$274,0),MATCH(_xlfn.CONCAT(B8107," ",E8107),ForeCalc!$B$36:$Y$36,0))))*VLOOKUP(A8107,Calendar!$A$2:$H$9997,8,FALSE),0)</f>
        <v/>
      </c>
      <c r="G8107" s="29">
        <f>VLOOKUP(A8107,Calendar!$A$1:$H$9997,6,FALSE)-F8107</f>
        <v/>
      </c>
      <c r="H8107" s="19" t="n">
        <v>2</v>
      </c>
      <c r="I8107" s="57" t="n">
        <v>3</v>
      </c>
    </row>
    <row r="8108">
      <c r="A8108" s="62" t="n">
        <v>46547</v>
      </c>
      <c r="B8108" s="3" t="inlineStr">
        <is>
          <t>Week</t>
        </is>
      </c>
      <c r="C8108" s="19" t="n">
        <v>6</v>
      </c>
      <c r="D8108" s="19" t="n">
        <v>2027</v>
      </c>
      <c r="E8108" s="57" t="n">
        <v>8</v>
      </c>
      <c r="F8108" s="29">
        <f>ROUND(((SUMIFS(Calendar!$F$2:$F$9997,Calendar!$B$2:$B$9997,D8108,Calendar!$C$2:$C$9997,C8108)*INDEX(ForeCalc!$B$37:$Y$274,MATCH(_xlfn.CONCAT(H8108," ",I8108),ForeCalc!$A$37:$A$274,0),MATCH(_xlfn.CONCAT(B8108," ",E8108),ForeCalc!$B$36:$Y$36,0))))*VLOOKUP(A8108,Calendar!$A$2:$H$9997,8,FALSE),0)</f>
        <v/>
      </c>
      <c r="G8108" s="29">
        <f>VLOOKUP(A8108,Calendar!$A$1:$H$9997,6,FALSE)-F8108</f>
        <v/>
      </c>
      <c r="H8108" s="19" t="n">
        <v>2</v>
      </c>
      <c r="I8108" s="57" t="n">
        <v>3</v>
      </c>
    </row>
    <row r="8109">
      <c r="A8109" s="62" t="n">
        <v>46548</v>
      </c>
      <c r="B8109" s="3" t="inlineStr">
        <is>
          <t>Week</t>
        </is>
      </c>
      <c r="C8109" s="19" t="n">
        <v>6</v>
      </c>
      <c r="D8109" s="19" t="n">
        <v>2027</v>
      </c>
      <c r="E8109" s="57" t="n">
        <v>8</v>
      </c>
      <c r="F8109" s="29">
        <f>ROUND(((SUMIFS(Calendar!$F$2:$F$9997,Calendar!$B$2:$B$9997,D8109,Calendar!$C$2:$C$9997,C8109)*INDEX(ForeCalc!$B$37:$Y$274,MATCH(_xlfn.CONCAT(H8109," ",I8109),ForeCalc!$A$37:$A$274,0),MATCH(_xlfn.CONCAT(B8109," ",E8109),ForeCalc!$B$36:$Y$36,0))))*VLOOKUP(A8109,Calendar!$A$2:$H$9997,8,FALSE),0)</f>
        <v/>
      </c>
      <c r="G8109" s="29">
        <f>VLOOKUP(A8109,Calendar!$A$1:$H$9997,6,FALSE)-F8109</f>
        <v/>
      </c>
      <c r="H8109" s="19" t="n">
        <v>2</v>
      </c>
      <c r="I8109" s="57" t="n">
        <v>3</v>
      </c>
    </row>
    <row r="8110">
      <c r="A8110" s="62" t="n">
        <v>46549</v>
      </c>
      <c r="B8110" s="3" t="inlineStr">
        <is>
          <t>Week</t>
        </is>
      </c>
      <c r="C8110" s="19" t="n">
        <v>6</v>
      </c>
      <c r="D8110" s="19" t="n">
        <v>2027</v>
      </c>
      <c r="E8110" s="57" t="n">
        <v>8</v>
      </c>
      <c r="F8110" s="29">
        <f>ROUND(((SUMIFS(Calendar!$F$2:$F$9997,Calendar!$B$2:$B$9997,D8110,Calendar!$C$2:$C$9997,C8110)*INDEX(ForeCalc!$B$37:$Y$274,MATCH(_xlfn.CONCAT(H8110," ",I8110),ForeCalc!$A$37:$A$274,0),MATCH(_xlfn.CONCAT(B8110," ",E8110),ForeCalc!$B$36:$Y$36,0))))*VLOOKUP(A8110,Calendar!$A$2:$H$9997,8,FALSE),0)</f>
        <v/>
      </c>
      <c r="G8110" s="29">
        <f>VLOOKUP(A8110,Calendar!$A$1:$H$9997,6,FALSE)-F8110</f>
        <v/>
      </c>
      <c r="H8110" s="19" t="n">
        <v>2</v>
      </c>
      <c r="I8110" s="57" t="n">
        <v>3</v>
      </c>
    </row>
    <row r="8111">
      <c r="A8111" s="62" t="n">
        <v>46550</v>
      </c>
      <c r="B8111" s="3" t="inlineStr">
        <is>
          <t>Sat</t>
        </is>
      </c>
      <c r="C8111" s="19" t="n">
        <v>6</v>
      </c>
      <c r="D8111" s="19" t="n">
        <v>2027</v>
      </c>
      <c r="E8111" s="57" t="n">
        <v>8</v>
      </c>
      <c r="F8111" s="29">
        <f>ROUND(((SUMIFS(Calendar!$F$2:$F$9997,Calendar!$B$2:$B$9997,D8111,Calendar!$C$2:$C$9997,C8111)*INDEX(ForeCalc!$B$37:$Y$274,MATCH(_xlfn.CONCAT(H8111," ",I8111),ForeCalc!$A$37:$A$274,0),MATCH(_xlfn.CONCAT(B8111," ",E8111),ForeCalc!$B$36:$Y$36,0))))*VLOOKUP(A8111,Calendar!$A$2:$H$9997,8,FALSE),0)</f>
        <v/>
      </c>
      <c r="G8111" s="29">
        <f>VLOOKUP(A8111,Calendar!$A$1:$H$9997,6,FALSE)-F8111</f>
        <v/>
      </c>
      <c r="H8111" s="19" t="n">
        <v>2</v>
      </c>
      <c r="I8111" s="57" t="n">
        <v>3</v>
      </c>
    </row>
    <row r="8112">
      <c r="A8112" s="62" t="n">
        <v>46551</v>
      </c>
      <c r="B8112" s="3" t="inlineStr">
        <is>
          <t>Sun</t>
        </is>
      </c>
      <c r="C8112" s="19" t="n">
        <v>6</v>
      </c>
      <c r="D8112" s="19" t="n">
        <v>2027</v>
      </c>
      <c r="E8112" s="57" t="n">
        <v>8</v>
      </c>
      <c r="F8112" s="29">
        <f>ROUND(((SUMIFS(Calendar!$F$2:$F$9997,Calendar!$B$2:$B$9997,D8112,Calendar!$C$2:$C$9997,C8112)*INDEX(ForeCalc!$B$37:$Y$274,MATCH(_xlfn.CONCAT(H8112," ",I8112),ForeCalc!$A$37:$A$274,0),MATCH(_xlfn.CONCAT(B8112," ",E8112),ForeCalc!$B$36:$Y$36,0))))*VLOOKUP(A8112,Calendar!$A$2:$H$9997,8,FALSE),0)</f>
        <v/>
      </c>
      <c r="G8112" s="29">
        <f>VLOOKUP(A8112,Calendar!$A$1:$H$9997,6,FALSE)-F8112</f>
        <v/>
      </c>
      <c r="H8112" s="19" t="n">
        <v>2</v>
      </c>
      <c r="I8112" s="57" t="n">
        <v>3</v>
      </c>
    </row>
    <row r="8113">
      <c r="A8113" s="62" t="n">
        <v>46552</v>
      </c>
      <c r="B8113" s="3" t="inlineStr">
        <is>
          <t>Week</t>
        </is>
      </c>
      <c r="C8113" s="19" t="n">
        <v>6</v>
      </c>
      <c r="D8113" s="19" t="n">
        <v>2027</v>
      </c>
      <c r="E8113" s="57" t="n">
        <v>8</v>
      </c>
      <c r="F8113" s="29">
        <f>ROUND(((SUMIFS(Calendar!$F$2:$F$9997,Calendar!$B$2:$B$9997,D8113,Calendar!$C$2:$C$9997,C8113)*INDEX(ForeCalc!$B$37:$Y$274,MATCH(_xlfn.CONCAT(H8113," ",I8113),ForeCalc!$A$37:$A$274,0),MATCH(_xlfn.CONCAT(B8113," ",E8113),ForeCalc!$B$36:$Y$36,0))))*VLOOKUP(A8113,Calendar!$A$2:$H$9997,8,FALSE),0)</f>
        <v/>
      </c>
      <c r="G8113" s="29">
        <f>VLOOKUP(A8113,Calendar!$A$1:$H$9997,6,FALSE)-F8113</f>
        <v/>
      </c>
      <c r="H8113" s="19" t="n">
        <v>2</v>
      </c>
      <c r="I8113" s="57" t="n">
        <v>3</v>
      </c>
    </row>
    <row r="8114">
      <c r="A8114" s="62" t="n">
        <v>46553</v>
      </c>
      <c r="B8114" s="3" t="inlineStr">
        <is>
          <t>Week</t>
        </is>
      </c>
      <c r="C8114" s="19" t="n">
        <v>6</v>
      </c>
      <c r="D8114" s="19" t="n">
        <v>2027</v>
      </c>
      <c r="E8114" s="57" t="n">
        <v>8</v>
      </c>
      <c r="F8114" s="29">
        <f>ROUND(((SUMIFS(Calendar!$F$2:$F$9997,Calendar!$B$2:$B$9997,D8114,Calendar!$C$2:$C$9997,C8114)*INDEX(ForeCalc!$B$37:$Y$274,MATCH(_xlfn.CONCAT(H8114," ",I8114),ForeCalc!$A$37:$A$274,0),MATCH(_xlfn.CONCAT(B8114," ",E8114),ForeCalc!$B$36:$Y$36,0))))*VLOOKUP(A8114,Calendar!$A$2:$H$9997,8,FALSE),0)</f>
        <v/>
      </c>
      <c r="G8114" s="29">
        <f>VLOOKUP(A8114,Calendar!$A$1:$H$9997,6,FALSE)-F8114</f>
        <v/>
      </c>
      <c r="H8114" s="19" t="n">
        <v>2</v>
      </c>
      <c r="I8114" s="57" t="n">
        <v>3</v>
      </c>
    </row>
    <row r="8115">
      <c r="A8115" s="62" t="n">
        <v>46554</v>
      </c>
      <c r="B8115" s="3" t="inlineStr">
        <is>
          <t>Week</t>
        </is>
      </c>
      <c r="C8115" s="19" t="n">
        <v>6</v>
      </c>
      <c r="D8115" s="19" t="n">
        <v>2027</v>
      </c>
      <c r="E8115" s="57" t="n">
        <v>8</v>
      </c>
      <c r="F8115" s="29">
        <f>ROUND(((SUMIFS(Calendar!$F$2:$F$9997,Calendar!$B$2:$B$9997,D8115,Calendar!$C$2:$C$9997,C8115)*INDEX(ForeCalc!$B$37:$Y$274,MATCH(_xlfn.CONCAT(H8115," ",I8115),ForeCalc!$A$37:$A$274,0),MATCH(_xlfn.CONCAT(B8115," ",E8115),ForeCalc!$B$36:$Y$36,0))))*VLOOKUP(A8115,Calendar!$A$2:$H$9997,8,FALSE),0)</f>
        <v/>
      </c>
      <c r="G8115" s="29">
        <f>VLOOKUP(A8115,Calendar!$A$1:$H$9997,6,FALSE)-F8115</f>
        <v/>
      </c>
      <c r="H8115" s="19" t="n">
        <v>2</v>
      </c>
      <c r="I8115" s="57" t="n">
        <v>3</v>
      </c>
    </row>
    <row r="8116">
      <c r="A8116" s="62" t="n">
        <v>46555</v>
      </c>
      <c r="B8116" s="3" t="inlineStr">
        <is>
          <t>Week</t>
        </is>
      </c>
      <c r="C8116" s="19" t="n">
        <v>6</v>
      </c>
      <c r="D8116" s="19" t="n">
        <v>2027</v>
      </c>
      <c r="E8116" s="57" t="n">
        <v>8</v>
      </c>
      <c r="F8116" s="29">
        <f>ROUND(((SUMIFS(Calendar!$F$2:$F$9997,Calendar!$B$2:$B$9997,D8116,Calendar!$C$2:$C$9997,C8116)*INDEX(ForeCalc!$B$37:$Y$274,MATCH(_xlfn.CONCAT(H8116," ",I8116),ForeCalc!$A$37:$A$274,0),MATCH(_xlfn.CONCAT(B8116," ",E8116),ForeCalc!$B$36:$Y$36,0))))*VLOOKUP(A8116,Calendar!$A$2:$H$9997,8,FALSE),0)</f>
        <v/>
      </c>
      <c r="G8116" s="29">
        <f>VLOOKUP(A8116,Calendar!$A$1:$H$9997,6,FALSE)-F8116</f>
        <v/>
      </c>
      <c r="H8116" s="19" t="n">
        <v>2</v>
      </c>
      <c r="I8116" s="57" t="n">
        <v>3</v>
      </c>
    </row>
    <row r="8117">
      <c r="A8117" s="62" t="n">
        <v>46556</v>
      </c>
      <c r="B8117" s="3" t="inlineStr">
        <is>
          <t>Week</t>
        </is>
      </c>
      <c r="C8117" s="19" t="n">
        <v>6</v>
      </c>
      <c r="D8117" s="19" t="n">
        <v>2027</v>
      </c>
      <c r="E8117" s="57" t="n">
        <v>8</v>
      </c>
      <c r="F8117" s="29">
        <f>ROUND(((SUMIFS(Calendar!$F$2:$F$9997,Calendar!$B$2:$B$9997,D8117,Calendar!$C$2:$C$9997,C8117)*INDEX(ForeCalc!$B$37:$Y$274,MATCH(_xlfn.CONCAT(H8117," ",I8117),ForeCalc!$A$37:$A$274,0),MATCH(_xlfn.CONCAT(B8117," ",E8117),ForeCalc!$B$36:$Y$36,0))))*VLOOKUP(A8117,Calendar!$A$2:$H$9997,8,FALSE),0)</f>
        <v/>
      </c>
      <c r="G8117" s="29">
        <f>VLOOKUP(A8117,Calendar!$A$1:$H$9997,6,FALSE)-F8117</f>
        <v/>
      </c>
      <c r="H8117" s="19" t="n">
        <v>2</v>
      </c>
      <c r="I8117" s="57" t="n">
        <v>3</v>
      </c>
    </row>
    <row r="8118">
      <c r="A8118" s="62" t="n">
        <v>46557</v>
      </c>
      <c r="B8118" s="3" t="inlineStr">
        <is>
          <t>Sat</t>
        </is>
      </c>
      <c r="C8118" s="19" t="n">
        <v>6</v>
      </c>
      <c r="D8118" s="19" t="n">
        <v>2027</v>
      </c>
      <c r="E8118" s="57" t="n">
        <v>8</v>
      </c>
      <c r="F8118" s="29">
        <f>ROUND(((SUMIFS(Calendar!$F$2:$F$9997,Calendar!$B$2:$B$9997,D8118,Calendar!$C$2:$C$9997,C8118)*INDEX(ForeCalc!$B$37:$Y$274,MATCH(_xlfn.CONCAT(H8118," ",I8118),ForeCalc!$A$37:$A$274,0),MATCH(_xlfn.CONCAT(B8118," ",E8118),ForeCalc!$B$36:$Y$36,0))))*VLOOKUP(A8118,Calendar!$A$2:$H$9997,8,FALSE),0)</f>
        <v/>
      </c>
      <c r="G8118" s="29">
        <f>VLOOKUP(A8118,Calendar!$A$1:$H$9997,6,FALSE)-F8118</f>
        <v/>
      </c>
      <c r="H8118" s="19" t="n">
        <v>2</v>
      </c>
      <c r="I8118" s="57" t="n">
        <v>3</v>
      </c>
    </row>
    <row r="8119">
      <c r="A8119" s="62" t="n">
        <v>46558</v>
      </c>
      <c r="B8119" s="3" t="inlineStr">
        <is>
          <t>Sun</t>
        </is>
      </c>
      <c r="C8119" s="19" t="n">
        <v>6</v>
      </c>
      <c r="D8119" s="19" t="n">
        <v>2027</v>
      </c>
      <c r="E8119" s="57" t="n">
        <v>8</v>
      </c>
      <c r="F8119" s="29">
        <f>ROUND(((SUMIFS(Calendar!$F$2:$F$9997,Calendar!$B$2:$B$9997,D8119,Calendar!$C$2:$C$9997,C8119)*INDEX(ForeCalc!$B$37:$Y$274,MATCH(_xlfn.CONCAT(H8119," ",I8119),ForeCalc!$A$37:$A$274,0),MATCH(_xlfn.CONCAT(B8119," ",E8119),ForeCalc!$B$36:$Y$36,0))))*VLOOKUP(A8119,Calendar!$A$2:$H$9997,8,FALSE),0)</f>
        <v/>
      </c>
      <c r="G8119" s="29">
        <f>VLOOKUP(A8119,Calendar!$A$1:$H$9997,6,FALSE)-F8119</f>
        <v/>
      </c>
      <c r="H8119" s="19" t="n">
        <v>2</v>
      </c>
      <c r="I8119" s="57" t="n">
        <v>3</v>
      </c>
    </row>
    <row r="8120">
      <c r="A8120" s="62" t="n">
        <v>46559</v>
      </c>
      <c r="B8120" s="3" t="inlineStr">
        <is>
          <t>Week</t>
        </is>
      </c>
      <c r="C8120" s="19" t="n">
        <v>6</v>
      </c>
      <c r="D8120" s="19" t="n">
        <v>2027</v>
      </c>
      <c r="E8120" s="57" t="n">
        <v>8</v>
      </c>
      <c r="F8120" s="29">
        <f>ROUND(((SUMIFS(Calendar!$F$2:$F$9997,Calendar!$B$2:$B$9997,D8120,Calendar!$C$2:$C$9997,C8120)*INDEX(ForeCalc!$B$37:$Y$274,MATCH(_xlfn.CONCAT(H8120," ",I8120),ForeCalc!$A$37:$A$274,0),MATCH(_xlfn.CONCAT(B8120," ",E8120),ForeCalc!$B$36:$Y$36,0))))*VLOOKUP(A8120,Calendar!$A$2:$H$9997,8,FALSE),0)</f>
        <v/>
      </c>
      <c r="G8120" s="29">
        <f>VLOOKUP(A8120,Calendar!$A$1:$H$9997,6,FALSE)-F8120</f>
        <v/>
      </c>
      <c r="H8120" s="19" t="n">
        <v>2</v>
      </c>
      <c r="I8120" s="57" t="n">
        <v>3</v>
      </c>
    </row>
    <row r="8121">
      <c r="A8121" s="62" t="n">
        <v>46560</v>
      </c>
      <c r="B8121" s="3" t="inlineStr">
        <is>
          <t>Week</t>
        </is>
      </c>
      <c r="C8121" s="19" t="n">
        <v>6</v>
      </c>
      <c r="D8121" s="19" t="n">
        <v>2027</v>
      </c>
      <c r="E8121" s="57" t="n">
        <v>8</v>
      </c>
      <c r="F8121" s="29">
        <f>ROUND(((SUMIFS(Calendar!$F$2:$F$9997,Calendar!$B$2:$B$9997,D8121,Calendar!$C$2:$C$9997,C8121)*INDEX(ForeCalc!$B$37:$Y$274,MATCH(_xlfn.CONCAT(H8121," ",I8121),ForeCalc!$A$37:$A$274,0),MATCH(_xlfn.CONCAT(B8121," ",E8121),ForeCalc!$B$36:$Y$36,0))))*VLOOKUP(A8121,Calendar!$A$2:$H$9997,8,FALSE),0)</f>
        <v/>
      </c>
      <c r="G8121" s="29">
        <f>VLOOKUP(A8121,Calendar!$A$1:$H$9997,6,FALSE)-F8121</f>
        <v/>
      </c>
      <c r="H8121" s="19" t="n">
        <v>2</v>
      </c>
      <c r="I8121" s="57" t="n">
        <v>3</v>
      </c>
    </row>
    <row r="8122">
      <c r="A8122" s="62" t="n">
        <v>46561</v>
      </c>
      <c r="B8122" s="3" t="inlineStr">
        <is>
          <t>Week</t>
        </is>
      </c>
      <c r="C8122" s="19" t="n">
        <v>6</v>
      </c>
      <c r="D8122" s="19" t="n">
        <v>2027</v>
      </c>
      <c r="E8122" s="57" t="n">
        <v>8</v>
      </c>
      <c r="F8122" s="29">
        <f>ROUND(((SUMIFS(Calendar!$F$2:$F$9997,Calendar!$B$2:$B$9997,D8122,Calendar!$C$2:$C$9997,C8122)*INDEX(ForeCalc!$B$37:$Y$274,MATCH(_xlfn.CONCAT(H8122," ",I8122),ForeCalc!$A$37:$A$274,0),MATCH(_xlfn.CONCAT(B8122," ",E8122),ForeCalc!$B$36:$Y$36,0))))*VLOOKUP(A8122,Calendar!$A$2:$H$9997,8,FALSE),0)</f>
        <v/>
      </c>
      <c r="G8122" s="29">
        <f>VLOOKUP(A8122,Calendar!$A$1:$H$9997,6,FALSE)-F8122</f>
        <v/>
      </c>
      <c r="H8122" s="19" t="n">
        <v>2</v>
      </c>
      <c r="I8122" s="57" t="n">
        <v>3</v>
      </c>
    </row>
    <row r="8123">
      <c r="A8123" s="62" t="n">
        <v>46562</v>
      </c>
      <c r="B8123" s="3" t="inlineStr">
        <is>
          <t>Week</t>
        </is>
      </c>
      <c r="C8123" s="19" t="n">
        <v>6</v>
      </c>
      <c r="D8123" s="19" t="n">
        <v>2027</v>
      </c>
      <c r="E8123" s="57" t="n">
        <v>8</v>
      </c>
      <c r="F8123" s="29">
        <f>ROUND(((SUMIFS(Calendar!$F$2:$F$9997,Calendar!$B$2:$B$9997,D8123,Calendar!$C$2:$C$9997,C8123)*INDEX(ForeCalc!$B$37:$Y$274,MATCH(_xlfn.CONCAT(H8123," ",I8123),ForeCalc!$A$37:$A$274,0),MATCH(_xlfn.CONCAT(B8123," ",E8123),ForeCalc!$B$36:$Y$36,0))))*VLOOKUP(A8123,Calendar!$A$2:$H$9997,8,FALSE),0)</f>
        <v/>
      </c>
      <c r="G8123" s="29">
        <f>VLOOKUP(A8123,Calendar!$A$1:$H$9997,6,FALSE)-F8123</f>
        <v/>
      </c>
      <c r="H8123" s="19" t="n">
        <v>2</v>
      </c>
      <c r="I8123" s="57" t="n">
        <v>3</v>
      </c>
    </row>
    <row r="8124">
      <c r="A8124" s="62" t="n">
        <v>46563</v>
      </c>
      <c r="B8124" s="3" t="inlineStr">
        <is>
          <t>Week</t>
        </is>
      </c>
      <c r="C8124" s="19" t="n">
        <v>6</v>
      </c>
      <c r="D8124" s="19" t="n">
        <v>2027</v>
      </c>
      <c r="E8124" s="57" t="n">
        <v>8</v>
      </c>
      <c r="F8124" s="29">
        <f>ROUND(((SUMIFS(Calendar!$F$2:$F$9997,Calendar!$B$2:$B$9997,D8124,Calendar!$C$2:$C$9997,C8124)*INDEX(ForeCalc!$B$37:$Y$274,MATCH(_xlfn.CONCAT(H8124," ",I8124),ForeCalc!$A$37:$A$274,0),MATCH(_xlfn.CONCAT(B8124," ",E8124),ForeCalc!$B$36:$Y$36,0))))*VLOOKUP(A8124,Calendar!$A$2:$H$9997,8,FALSE),0)</f>
        <v/>
      </c>
      <c r="G8124" s="29">
        <f>VLOOKUP(A8124,Calendar!$A$1:$H$9997,6,FALSE)-F8124</f>
        <v/>
      </c>
      <c r="H8124" s="19" t="n">
        <v>2</v>
      </c>
      <c r="I8124" s="57" t="n">
        <v>3</v>
      </c>
    </row>
    <row r="8125">
      <c r="A8125" s="62" t="n">
        <v>46564</v>
      </c>
      <c r="B8125" s="3" t="inlineStr">
        <is>
          <t>Sat</t>
        </is>
      </c>
      <c r="C8125" s="19" t="n">
        <v>6</v>
      </c>
      <c r="D8125" s="19" t="n">
        <v>2027</v>
      </c>
      <c r="E8125" s="57" t="n">
        <v>8</v>
      </c>
      <c r="F8125" s="29">
        <f>ROUND(((SUMIFS(Calendar!$F$2:$F$9997,Calendar!$B$2:$B$9997,D8125,Calendar!$C$2:$C$9997,C8125)*INDEX(ForeCalc!$B$37:$Y$274,MATCH(_xlfn.CONCAT(H8125," ",I8125),ForeCalc!$A$37:$A$274,0),MATCH(_xlfn.CONCAT(B8125," ",E8125),ForeCalc!$B$36:$Y$36,0))))*VLOOKUP(A8125,Calendar!$A$2:$H$9997,8,FALSE),0)</f>
        <v/>
      </c>
      <c r="G8125" s="29">
        <f>VLOOKUP(A8125,Calendar!$A$1:$H$9997,6,FALSE)-F8125</f>
        <v/>
      </c>
      <c r="H8125" s="19" t="n">
        <v>2</v>
      </c>
      <c r="I8125" s="57" t="n">
        <v>3</v>
      </c>
    </row>
    <row r="8126">
      <c r="A8126" s="62" t="n">
        <v>46565</v>
      </c>
      <c r="B8126" s="3" t="inlineStr">
        <is>
          <t>Sun</t>
        </is>
      </c>
      <c r="C8126" s="19" t="n">
        <v>6</v>
      </c>
      <c r="D8126" s="19" t="n">
        <v>2027</v>
      </c>
      <c r="E8126" s="57" t="n">
        <v>8</v>
      </c>
      <c r="F8126" s="29">
        <f>ROUND(((SUMIFS(Calendar!$F$2:$F$9997,Calendar!$B$2:$B$9997,D8126,Calendar!$C$2:$C$9997,C8126)*INDEX(ForeCalc!$B$37:$Y$274,MATCH(_xlfn.CONCAT(H8126," ",I8126),ForeCalc!$A$37:$A$274,0),MATCH(_xlfn.CONCAT(B8126," ",E8126),ForeCalc!$B$36:$Y$36,0))))*VLOOKUP(A8126,Calendar!$A$2:$H$9997,8,FALSE),0)</f>
        <v/>
      </c>
      <c r="G8126" s="29">
        <f>VLOOKUP(A8126,Calendar!$A$1:$H$9997,6,FALSE)-F8126</f>
        <v/>
      </c>
      <c r="H8126" s="19" t="n">
        <v>2</v>
      </c>
      <c r="I8126" s="57" t="n">
        <v>3</v>
      </c>
    </row>
    <row r="8127">
      <c r="A8127" s="62" t="n">
        <v>46566</v>
      </c>
      <c r="B8127" s="3" t="inlineStr">
        <is>
          <t>Week</t>
        </is>
      </c>
      <c r="C8127" s="19" t="n">
        <v>6</v>
      </c>
      <c r="D8127" s="19" t="n">
        <v>2027</v>
      </c>
      <c r="E8127" s="57" t="n">
        <v>8</v>
      </c>
      <c r="F8127" s="29">
        <f>ROUND(((SUMIFS(Calendar!$F$2:$F$9997,Calendar!$B$2:$B$9997,D8127,Calendar!$C$2:$C$9997,C8127)*INDEX(ForeCalc!$B$37:$Y$274,MATCH(_xlfn.CONCAT(H8127," ",I8127),ForeCalc!$A$37:$A$274,0),MATCH(_xlfn.CONCAT(B8127," ",E8127),ForeCalc!$B$36:$Y$36,0))))*VLOOKUP(A8127,Calendar!$A$2:$H$9997,8,FALSE),0)</f>
        <v/>
      </c>
      <c r="G8127" s="29">
        <f>VLOOKUP(A8127,Calendar!$A$1:$H$9997,6,FALSE)-F8127</f>
        <v/>
      </c>
      <c r="H8127" s="19" t="n">
        <v>2</v>
      </c>
      <c r="I8127" s="57" t="n">
        <v>3</v>
      </c>
    </row>
    <row r="8128">
      <c r="A8128" s="62" t="n">
        <v>46567</v>
      </c>
      <c r="B8128" s="3" t="inlineStr">
        <is>
          <t>Week</t>
        </is>
      </c>
      <c r="C8128" s="19" t="n">
        <v>6</v>
      </c>
      <c r="D8128" s="19" t="n">
        <v>2027</v>
      </c>
      <c r="E8128" s="57" t="n">
        <v>8</v>
      </c>
      <c r="F8128" s="29">
        <f>ROUND(((SUMIFS(Calendar!$F$2:$F$9997,Calendar!$B$2:$B$9997,D8128,Calendar!$C$2:$C$9997,C8128)*INDEX(ForeCalc!$B$37:$Y$274,MATCH(_xlfn.CONCAT(H8128," ",I8128),ForeCalc!$A$37:$A$274,0),MATCH(_xlfn.CONCAT(B8128," ",E8128),ForeCalc!$B$36:$Y$36,0))))*VLOOKUP(A8128,Calendar!$A$2:$H$9997,8,FALSE),0)</f>
        <v/>
      </c>
      <c r="G8128" s="29">
        <f>VLOOKUP(A8128,Calendar!$A$1:$H$9997,6,FALSE)-F8128</f>
        <v/>
      </c>
      <c r="H8128" s="19" t="n">
        <v>2</v>
      </c>
      <c r="I8128" s="57" t="n">
        <v>3</v>
      </c>
    </row>
    <row r="8129">
      <c r="A8129" s="62" t="n">
        <v>46568</v>
      </c>
      <c r="B8129" s="3" t="inlineStr">
        <is>
          <t>Week</t>
        </is>
      </c>
      <c r="C8129" s="19" t="n">
        <v>6</v>
      </c>
      <c r="D8129" s="19" t="n">
        <v>2027</v>
      </c>
      <c r="E8129" s="57" t="n">
        <v>8</v>
      </c>
      <c r="F8129" s="29">
        <f>ROUND(((SUMIFS(Calendar!$F$2:$F$9997,Calendar!$B$2:$B$9997,D8129,Calendar!$C$2:$C$9997,C8129)*INDEX(ForeCalc!$B$37:$Y$274,MATCH(_xlfn.CONCAT(H8129," ",I8129),ForeCalc!$A$37:$A$274,0),MATCH(_xlfn.CONCAT(B8129," ",E8129),ForeCalc!$B$36:$Y$36,0))))*VLOOKUP(A8129,Calendar!$A$2:$H$9997,8,FALSE),0)</f>
        <v/>
      </c>
      <c r="G8129" s="29">
        <f>VLOOKUP(A8129,Calendar!$A$1:$H$9997,6,FALSE)-F8129</f>
        <v/>
      </c>
      <c r="H8129" s="19" t="n">
        <v>2</v>
      </c>
      <c r="I8129" s="57" t="n">
        <v>3</v>
      </c>
    </row>
    <row r="8130">
      <c r="A8130" s="62" t="n">
        <v>46569</v>
      </c>
      <c r="B8130" s="3" t="inlineStr">
        <is>
          <t>Week</t>
        </is>
      </c>
      <c r="C8130" s="19" t="n">
        <v>7</v>
      </c>
      <c r="D8130" s="19" t="n">
        <v>2027</v>
      </c>
      <c r="E8130" s="57" t="n">
        <v>8</v>
      </c>
      <c r="F8130" s="29">
        <f>ROUND(((SUMIFS(Calendar!$F$2:$F$9997,Calendar!$B$2:$B$9997,D8130,Calendar!$C$2:$C$9997,C8130)*INDEX(ForeCalc!$B$37:$Y$274,MATCH(_xlfn.CONCAT(H8130," ",I8130),ForeCalc!$A$37:$A$274,0),MATCH(_xlfn.CONCAT(B8130," ",E8130),ForeCalc!$B$36:$Y$36,0))))*VLOOKUP(A8130,Calendar!$A$2:$H$9997,8,FALSE),0)</f>
        <v/>
      </c>
      <c r="G8130" s="29">
        <f>VLOOKUP(A8130,Calendar!$A$1:$H$9997,6,FALSE)-F8130</f>
        <v/>
      </c>
      <c r="H8130" s="19" t="n">
        <v>2</v>
      </c>
      <c r="I8130" s="57" t="n">
        <v>4</v>
      </c>
    </row>
    <row r="8131">
      <c r="A8131" s="62" t="n">
        <v>46570</v>
      </c>
      <c r="B8131" s="3" t="inlineStr">
        <is>
          <t>Week</t>
        </is>
      </c>
      <c r="C8131" s="19" t="n">
        <v>7</v>
      </c>
      <c r="D8131" s="19" t="n">
        <v>2027</v>
      </c>
      <c r="E8131" s="57" t="n">
        <v>8</v>
      </c>
      <c r="F8131" s="29">
        <f>ROUND(((SUMIFS(Calendar!$F$2:$F$9997,Calendar!$B$2:$B$9997,D8131,Calendar!$C$2:$C$9997,C8131)*INDEX(ForeCalc!$B$37:$Y$274,MATCH(_xlfn.CONCAT(H8131," ",I8131),ForeCalc!$A$37:$A$274,0),MATCH(_xlfn.CONCAT(B8131," ",E8131),ForeCalc!$B$36:$Y$36,0))))*VLOOKUP(A8131,Calendar!$A$2:$H$9997,8,FALSE),0)</f>
        <v/>
      </c>
      <c r="G8131" s="29">
        <f>VLOOKUP(A8131,Calendar!$A$1:$H$9997,6,FALSE)-F8131</f>
        <v/>
      </c>
      <c r="H8131" s="19" t="n">
        <v>2</v>
      </c>
      <c r="I8131" s="57" t="n">
        <v>4</v>
      </c>
    </row>
    <row r="8132">
      <c r="A8132" s="62" t="n">
        <v>46571</v>
      </c>
      <c r="B8132" s="3" t="inlineStr">
        <is>
          <t>Sat</t>
        </is>
      </c>
      <c r="C8132" s="19" t="n">
        <v>7</v>
      </c>
      <c r="D8132" s="19" t="n">
        <v>2027</v>
      </c>
      <c r="E8132" s="57" t="n">
        <v>8</v>
      </c>
      <c r="F8132" s="29">
        <f>ROUND(((SUMIFS(Calendar!$F$2:$F$9997,Calendar!$B$2:$B$9997,D8132,Calendar!$C$2:$C$9997,C8132)*INDEX(ForeCalc!$B$37:$Y$274,MATCH(_xlfn.CONCAT(H8132," ",I8132),ForeCalc!$A$37:$A$274,0),MATCH(_xlfn.CONCAT(B8132," ",E8132),ForeCalc!$B$36:$Y$36,0))))*VLOOKUP(A8132,Calendar!$A$2:$H$9997,8,FALSE),0)</f>
        <v/>
      </c>
      <c r="G8132" s="29">
        <f>VLOOKUP(A8132,Calendar!$A$1:$H$9997,6,FALSE)-F8132</f>
        <v/>
      </c>
      <c r="H8132" s="19" t="n">
        <v>2</v>
      </c>
      <c r="I8132" s="57" t="n">
        <v>4</v>
      </c>
    </row>
    <row r="8133">
      <c r="A8133" s="62" t="n">
        <v>46572</v>
      </c>
      <c r="B8133" s="3" t="inlineStr">
        <is>
          <t>Sun</t>
        </is>
      </c>
      <c r="C8133" s="19" t="n">
        <v>7</v>
      </c>
      <c r="D8133" s="19" t="n">
        <v>2027</v>
      </c>
      <c r="E8133" s="57" t="n">
        <v>8</v>
      </c>
      <c r="F8133" s="29">
        <f>ROUND(((SUMIFS(Calendar!$F$2:$F$9997,Calendar!$B$2:$B$9997,D8133,Calendar!$C$2:$C$9997,C8133)*INDEX(ForeCalc!$B$37:$Y$274,MATCH(_xlfn.CONCAT(H8133," ",I8133),ForeCalc!$A$37:$A$274,0),MATCH(_xlfn.CONCAT(B8133," ",E8133),ForeCalc!$B$36:$Y$36,0))))*VLOOKUP(A8133,Calendar!$A$2:$H$9997,8,FALSE),0)</f>
        <v/>
      </c>
      <c r="G8133" s="29">
        <f>VLOOKUP(A8133,Calendar!$A$1:$H$9997,6,FALSE)-F8133</f>
        <v/>
      </c>
      <c r="H8133" s="19" t="n">
        <v>2</v>
      </c>
      <c r="I8133" s="57" t="n">
        <v>4</v>
      </c>
    </row>
    <row r="8134">
      <c r="A8134" s="62" t="n">
        <v>46573</v>
      </c>
      <c r="B8134" s="3" t="inlineStr">
        <is>
          <t>Week</t>
        </is>
      </c>
      <c r="C8134" s="19" t="n">
        <v>7</v>
      </c>
      <c r="D8134" s="19" t="n">
        <v>2027</v>
      </c>
      <c r="E8134" s="57" t="n">
        <v>8</v>
      </c>
      <c r="F8134" s="29">
        <f>ROUND(((SUMIFS(Calendar!$F$2:$F$9997,Calendar!$B$2:$B$9997,D8134,Calendar!$C$2:$C$9997,C8134)*INDEX(ForeCalc!$B$37:$Y$274,MATCH(_xlfn.CONCAT(H8134," ",I8134),ForeCalc!$A$37:$A$274,0),MATCH(_xlfn.CONCAT(B8134," ",E8134),ForeCalc!$B$36:$Y$36,0))))*VLOOKUP(A8134,Calendar!$A$2:$H$9997,8,FALSE),0)</f>
        <v/>
      </c>
      <c r="G8134" s="29">
        <f>VLOOKUP(A8134,Calendar!$A$1:$H$9997,6,FALSE)-F8134</f>
        <v/>
      </c>
      <c r="H8134" s="19" t="n">
        <v>2</v>
      </c>
      <c r="I8134" s="57" t="n">
        <v>4</v>
      </c>
    </row>
    <row r="8135">
      <c r="A8135" s="62" t="n">
        <v>46574</v>
      </c>
      <c r="B8135" s="3" t="inlineStr">
        <is>
          <t>Week</t>
        </is>
      </c>
      <c r="C8135" s="19" t="n">
        <v>7</v>
      </c>
      <c r="D8135" s="19" t="n">
        <v>2027</v>
      </c>
      <c r="E8135" s="57" t="n">
        <v>8</v>
      </c>
      <c r="F8135" s="29">
        <f>ROUND(((SUMIFS(Calendar!$F$2:$F$9997,Calendar!$B$2:$B$9997,D8135,Calendar!$C$2:$C$9997,C8135)*INDEX(ForeCalc!$B$37:$Y$274,MATCH(_xlfn.CONCAT(H8135," ",I8135),ForeCalc!$A$37:$A$274,0),MATCH(_xlfn.CONCAT(B8135," ",E8135),ForeCalc!$B$36:$Y$36,0))))*VLOOKUP(A8135,Calendar!$A$2:$H$9997,8,FALSE),0)</f>
        <v/>
      </c>
      <c r="G8135" s="29">
        <f>VLOOKUP(A8135,Calendar!$A$1:$H$9997,6,FALSE)-F8135</f>
        <v/>
      </c>
      <c r="H8135" s="19" t="n">
        <v>2</v>
      </c>
      <c r="I8135" s="57" t="n">
        <v>4</v>
      </c>
    </row>
    <row r="8136">
      <c r="A8136" s="62" t="n">
        <v>46575</v>
      </c>
      <c r="B8136" s="3" t="inlineStr">
        <is>
          <t>Week</t>
        </is>
      </c>
      <c r="C8136" s="19" t="n">
        <v>7</v>
      </c>
      <c r="D8136" s="19" t="n">
        <v>2027</v>
      </c>
      <c r="E8136" s="57" t="n">
        <v>8</v>
      </c>
      <c r="F8136" s="29">
        <f>ROUND(((SUMIFS(Calendar!$F$2:$F$9997,Calendar!$B$2:$B$9997,D8136,Calendar!$C$2:$C$9997,C8136)*INDEX(ForeCalc!$B$37:$Y$274,MATCH(_xlfn.CONCAT(H8136," ",I8136),ForeCalc!$A$37:$A$274,0),MATCH(_xlfn.CONCAT(B8136," ",E8136),ForeCalc!$B$36:$Y$36,0))))*VLOOKUP(A8136,Calendar!$A$2:$H$9997,8,FALSE),0)</f>
        <v/>
      </c>
      <c r="G8136" s="29">
        <f>VLOOKUP(A8136,Calendar!$A$1:$H$9997,6,FALSE)-F8136</f>
        <v/>
      </c>
      <c r="H8136" s="19" t="n">
        <v>2</v>
      </c>
      <c r="I8136" s="57" t="n">
        <v>4</v>
      </c>
    </row>
    <row r="8137">
      <c r="A8137" s="62" t="n">
        <v>46576</v>
      </c>
      <c r="B8137" s="3" t="inlineStr">
        <is>
          <t>Week</t>
        </is>
      </c>
      <c r="C8137" s="19" t="n">
        <v>7</v>
      </c>
      <c r="D8137" s="19" t="n">
        <v>2027</v>
      </c>
      <c r="E8137" s="57" t="n">
        <v>8</v>
      </c>
      <c r="F8137" s="29">
        <f>ROUND(((SUMIFS(Calendar!$F$2:$F$9997,Calendar!$B$2:$B$9997,D8137,Calendar!$C$2:$C$9997,C8137)*INDEX(ForeCalc!$B$37:$Y$274,MATCH(_xlfn.CONCAT(H8137," ",I8137),ForeCalc!$A$37:$A$274,0),MATCH(_xlfn.CONCAT(B8137," ",E8137),ForeCalc!$B$36:$Y$36,0))))*VLOOKUP(A8137,Calendar!$A$2:$H$9997,8,FALSE),0)</f>
        <v/>
      </c>
      <c r="G8137" s="29">
        <f>VLOOKUP(A8137,Calendar!$A$1:$H$9997,6,FALSE)-F8137</f>
        <v/>
      </c>
      <c r="H8137" s="19" t="n">
        <v>2</v>
      </c>
      <c r="I8137" s="57" t="n">
        <v>4</v>
      </c>
    </row>
    <row r="8138">
      <c r="A8138" s="62" t="n">
        <v>46577</v>
      </c>
      <c r="B8138" s="3" t="inlineStr">
        <is>
          <t>Week</t>
        </is>
      </c>
      <c r="C8138" s="19" t="n">
        <v>7</v>
      </c>
      <c r="D8138" s="19" t="n">
        <v>2027</v>
      </c>
      <c r="E8138" s="57" t="n">
        <v>8</v>
      </c>
      <c r="F8138" s="29">
        <f>ROUND(((SUMIFS(Calendar!$F$2:$F$9997,Calendar!$B$2:$B$9997,D8138,Calendar!$C$2:$C$9997,C8138)*INDEX(ForeCalc!$B$37:$Y$274,MATCH(_xlfn.CONCAT(H8138," ",I8138),ForeCalc!$A$37:$A$274,0),MATCH(_xlfn.CONCAT(B8138," ",E8138),ForeCalc!$B$36:$Y$36,0))))*VLOOKUP(A8138,Calendar!$A$2:$H$9997,8,FALSE),0)</f>
        <v/>
      </c>
      <c r="G8138" s="29">
        <f>VLOOKUP(A8138,Calendar!$A$1:$H$9997,6,FALSE)-F8138</f>
        <v/>
      </c>
      <c r="H8138" s="19" t="n">
        <v>2</v>
      </c>
      <c r="I8138" s="57" t="n">
        <v>4</v>
      </c>
    </row>
    <row r="8139">
      <c r="A8139" s="62" t="n">
        <v>46578</v>
      </c>
      <c r="B8139" s="3" t="inlineStr">
        <is>
          <t>Sat</t>
        </is>
      </c>
      <c r="C8139" s="19" t="n">
        <v>7</v>
      </c>
      <c r="D8139" s="19" t="n">
        <v>2027</v>
      </c>
      <c r="E8139" s="57" t="n">
        <v>8</v>
      </c>
      <c r="F8139" s="29">
        <f>ROUND(((SUMIFS(Calendar!$F$2:$F$9997,Calendar!$B$2:$B$9997,D8139,Calendar!$C$2:$C$9997,C8139)*INDEX(ForeCalc!$B$37:$Y$274,MATCH(_xlfn.CONCAT(H8139," ",I8139),ForeCalc!$A$37:$A$274,0),MATCH(_xlfn.CONCAT(B8139," ",E8139),ForeCalc!$B$36:$Y$36,0))))*VLOOKUP(A8139,Calendar!$A$2:$H$9997,8,FALSE),0)</f>
        <v/>
      </c>
      <c r="G8139" s="29">
        <f>VLOOKUP(A8139,Calendar!$A$1:$H$9997,6,FALSE)-F8139</f>
        <v/>
      </c>
      <c r="H8139" s="19" t="n">
        <v>2</v>
      </c>
      <c r="I8139" s="57" t="n">
        <v>4</v>
      </c>
    </row>
    <row r="8140">
      <c r="A8140" s="62" t="n">
        <v>46579</v>
      </c>
      <c r="B8140" s="3" t="inlineStr">
        <is>
          <t>Sun</t>
        </is>
      </c>
      <c r="C8140" s="19" t="n">
        <v>7</v>
      </c>
      <c r="D8140" s="19" t="n">
        <v>2027</v>
      </c>
      <c r="E8140" s="57" t="n">
        <v>8</v>
      </c>
      <c r="F8140" s="29">
        <f>ROUND(((SUMIFS(Calendar!$F$2:$F$9997,Calendar!$B$2:$B$9997,D8140,Calendar!$C$2:$C$9997,C8140)*INDEX(ForeCalc!$B$37:$Y$274,MATCH(_xlfn.CONCAT(H8140," ",I8140),ForeCalc!$A$37:$A$274,0),MATCH(_xlfn.CONCAT(B8140," ",E8140),ForeCalc!$B$36:$Y$36,0))))*VLOOKUP(A8140,Calendar!$A$2:$H$9997,8,FALSE),0)</f>
        <v/>
      </c>
      <c r="G8140" s="29">
        <f>VLOOKUP(A8140,Calendar!$A$1:$H$9997,6,FALSE)-F8140</f>
        <v/>
      </c>
      <c r="H8140" s="19" t="n">
        <v>2</v>
      </c>
      <c r="I8140" s="57" t="n">
        <v>4</v>
      </c>
    </row>
    <row r="8141">
      <c r="A8141" s="62" t="n">
        <v>46580</v>
      </c>
      <c r="B8141" s="3" t="inlineStr">
        <is>
          <t>Week</t>
        </is>
      </c>
      <c r="C8141" s="19" t="n">
        <v>7</v>
      </c>
      <c r="D8141" s="19" t="n">
        <v>2027</v>
      </c>
      <c r="E8141" s="57" t="n">
        <v>8</v>
      </c>
      <c r="F8141" s="29">
        <f>ROUND(((SUMIFS(Calendar!$F$2:$F$9997,Calendar!$B$2:$B$9997,D8141,Calendar!$C$2:$C$9997,C8141)*INDEX(ForeCalc!$B$37:$Y$274,MATCH(_xlfn.CONCAT(H8141," ",I8141),ForeCalc!$A$37:$A$274,0),MATCH(_xlfn.CONCAT(B8141," ",E8141),ForeCalc!$B$36:$Y$36,0))))*VLOOKUP(A8141,Calendar!$A$2:$H$9997,8,FALSE),0)</f>
        <v/>
      </c>
      <c r="G8141" s="29">
        <f>VLOOKUP(A8141,Calendar!$A$1:$H$9997,6,FALSE)-F8141</f>
        <v/>
      </c>
      <c r="H8141" s="19" t="n">
        <v>2</v>
      </c>
      <c r="I8141" s="57" t="n">
        <v>4</v>
      </c>
    </row>
    <row r="8142">
      <c r="A8142" s="62" t="n">
        <v>46581</v>
      </c>
      <c r="B8142" s="3" t="inlineStr">
        <is>
          <t>Week</t>
        </is>
      </c>
      <c r="C8142" s="19" t="n">
        <v>7</v>
      </c>
      <c r="D8142" s="19" t="n">
        <v>2027</v>
      </c>
      <c r="E8142" s="57" t="n">
        <v>8</v>
      </c>
      <c r="F8142" s="29">
        <f>ROUND(((SUMIFS(Calendar!$F$2:$F$9997,Calendar!$B$2:$B$9997,D8142,Calendar!$C$2:$C$9997,C8142)*INDEX(ForeCalc!$B$37:$Y$274,MATCH(_xlfn.CONCAT(H8142," ",I8142),ForeCalc!$A$37:$A$274,0),MATCH(_xlfn.CONCAT(B8142," ",E8142),ForeCalc!$B$36:$Y$36,0))))*VLOOKUP(A8142,Calendar!$A$2:$H$9997,8,FALSE),0)</f>
        <v/>
      </c>
      <c r="G8142" s="29">
        <f>VLOOKUP(A8142,Calendar!$A$1:$H$9997,6,FALSE)-F8142</f>
        <v/>
      </c>
      <c r="H8142" s="19" t="n">
        <v>2</v>
      </c>
      <c r="I8142" s="57" t="n">
        <v>4</v>
      </c>
    </row>
    <row r="8143">
      <c r="A8143" s="62" t="n">
        <v>46582</v>
      </c>
      <c r="B8143" s="3" t="inlineStr">
        <is>
          <t>Week</t>
        </is>
      </c>
      <c r="C8143" s="19" t="n">
        <v>7</v>
      </c>
      <c r="D8143" s="19" t="n">
        <v>2027</v>
      </c>
      <c r="E8143" s="57" t="n">
        <v>8</v>
      </c>
      <c r="F8143" s="29">
        <f>ROUND(((SUMIFS(Calendar!$F$2:$F$9997,Calendar!$B$2:$B$9997,D8143,Calendar!$C$2:$C$9997,C8143)*INDEX(ForeCalc!$B$37:$Y$274,MATCH(_xlfn.CONCAT(H8143," ",I8143),ForeCalc!$A$37:$A$274,0),MATCH(_xlfn.CONCAT(B8143," ",E8143),ForeCalc!$B$36:$Y$36,0))))*VLOOKUP(A8143,Calendar!$A$2:$H$9997,8,FALSE),0)</f>
        <v/>
      </c>
      <c r="G8143" s="29">
        <f>VLOOKUP(A8143,Calendar!$A$1:$H$9997,6,FALSE)-F8143</f>
        <v/>
      </c>
      <c r="H8143" s="19" t="n">
        <v>2</v>
      </c>
      <c r="I8143" s="57" t="n">
        <v>4</v>
      </c>
    </row>
    <row r="8144">
      <c r="A8144" s="62" t="n">
        <v>46583</v>
      </c>
      <c r="B8144" s="3" t="inlineStr">
        <is>
          <t>Week</t>
        </is>
      </c>
      <c r="C8144" s="19" t="n">
        <v>7</v>
      </c>
      <c r="D8144" s="19" t="n">
        <v>2027</v>
      </c>
      <c r="E8144" s="57" t="n">
        <v>8</v>
      </c>
      <c r="F8144" s="29">
        <f>ROUND(((SUMIFS(Calendar!$F$2:$F$9997,Calendar!$B$2:$B$9997,D8144,Calendar!$C$2:$C$9997,C8144)*INDEX(ForeCalc!$B$37:$Y$274,MATCH(_xlfn.CONCAT(H8144," ",I8144),ForeCalc!$A$37:$A$274,0),MATCH(_xlfn.CONCAT(B8144," ",E8144),ForeCalc!$B$36:$Y$36,0))))*VLOOKUP(A8144,Calendar!$A$2:$H$9997,8,FALSE),0)</f>
        <v/>
      </c>
      <c r="G8144" s="29">
        <f>VLOOKUP(A8144,Calendar!$A$1:$H$9997,6,FALSE)-F8144</f>
        <v/>
      </c>
      <c r="H8144" s="19" t="n">
        <v>2</v>
      </c>
      <c r="I8144" s="57" t="n">
        <v>4</v>
      </c>
    </row>
    <row r="8145">
      <c r="A8145" s="62" t="n">
        <v>46584</v>
      </c>
      <c r="B8145" s="3" t="inlineStr">
        <is>
          <t>Week</t>
        </is>
      </c>
      <c r="C8145" s="19" t="n">
        <v>7</v>
      </c>
      <c r="D8145" s="19" t="n">
        <v>2027</v>
      </c>
      <c r="E8145" s="57" t="n">
        <v>8</v>
      </c>
      <c r="F8145" s="29">
        <f>ROUND(((SUMIFS(Calendar!$F$2:$F$9997,Calendar!$B$2:$B$9997,D8145,Calendar!$C$2:$C$9997,C8145)*INDEX(ForeCalc!$B$37:$Y$274,MATCH(_xlfn.CONCAT(H8145," ",I8145),ForeCalc!$A$37:$A$274,0),MATCH(_xlfn.CONCAT(B8145," ",E8145),ForeCalc!$B$36:$Y$36,0))))*VLOOKUP(A8145,Calendar!$A$2:$H$9997,8,FALSE),0)</f>
        <v/>
      </c>
      <c r="G8145" s="29">
        <f>VLOOKUP(A8145,Calendar!$A$1:$H$9997,6,FALSE)-F8145</f>
        <v/>
      </c>
      <c r="H8145" s="19" t="n">
        <v>2</v>
      </c>
      <c r="I8145" s="57" t="n">
        <v>4</v>
      </c>
    </row>
    <row r="8146">
      <c r="A8146" s="62" t="n">
        <v>46585</v>
      </c>
      <c r="B8146" s="3" t="inlineStr">
        <is>
          <t>Sat</t>
        </is>
      </c>
      <c r="C8146" s="19" t="n">
        <v>7</v>
      </c>
      <c r="D8146" s="19" t="n">
        <v>2027</v>
      </c>
      <c r="E8146" s="57" t="n">
        <v>8</v>
      </c>
      <c r="F8146" s="29">
        <f>ROUND(((SUMIFS(Calendar!$F$2:$F$9997,Calendar!$B$2:$B$9997,D8146,Calendar!$C$2:$C$9997,C8146)*INDEX(ForeCalc!$B$37:$Y$274,MATCH(_xlfn.CONCAT(H8146," ",I8146),ForeCalc!$A$37:$A$274,0),MATCH(_xlfn.CONCAT(B8146," ",E8146),ForeCalc!$B$36:$Y$36,0))))*VLOOKUP(A8146,Calendar!$A$2:$H$9997,8,FALSE),0)</f>
        <v/>
      </c>
      <c r="G8146" s="29">
        <f>VLOOKUP(A8146,Calendar!$A$1:$H$9997,6,FALSE)-F8146</f>
        <v/>
      </c>
      <c r="H8146" s="19" t="n">
        <v>2</v>
      </c>
      <c r="I8146" s="57" t="n">
        <v>4</v>
      </c>
    </row>
    <row r="8147">
      <c r="A8147" s="62" t="n">
        <v>46586</v>
      </c>
      <c r="B8147" s="3" t="inlineStr">
        <is>
          <t>Sun</t>
        </is>
      </c>
      <c r="C8147" s="19" t="n">
        <v>7</v>
      </c>
      <c r="D8147" s="19" t="n">
        <v>2027</v>
      </c>
      <c r="E8147" s="57" t="n">
        <v>8</v>
      </c>
      <c r="F8147" s="29">
        <f>ROUND(((SUMIFS(Calendar!$F$2:$F$9997,Calendar!$B$2:$B$9997,D8147,Calendar!$C$2:$C$9997,C8147)*INDEX(ForeCalc!$B$37:$Y$274,MATCH(_xlfn.CONCAT(H8147," ",I8147),ForeCalc!$A$37:$A$274,0),MATCH(_xlfn.CONCAT(B8147," ",E8147),ForeCalc!$B$36:$Y$36,0))))*VLOOKUP(A8147,Calendar!$A$2:$H$9997,8,FALSE),0)</f>
        <v/>
      </c>
      <c r="G8147" s="29">
        <f>VLOOKUP(A8147,Calendar!$A$1:$H$9997,6,FALSE)-F8147</f>
        <v/>
      </c>
      <c r="H8147" s="19" t="n">
        <v>2</v>
      </c>
      <c r="I8147" s="57" t="n">
        <v>4</v>
      </c>
    </row>
    <row r="8148">
      <c r="A8148" s="62" t="n">
        <v>46587</v>
      </c>
      <c r="B8148" s="3" t="inlineStr">
        <is>
          <t>Week</t>
        </is>
      </c>
      <c r="C8148" s="19" t="n">
        <v>7</v>
      </c>
      <c r="D8148" s="19" t="n">
        <v>2027</v>
      </c>
      <c r="E8148" s="57" t="n">
        <v>8</v>
      </c>
      <c r="F8148" s="29">
        <f>ROUND(((SUMIFS(Calendar!$F$2:$F$9997,Calendar!$B$2:$B$9997,D8148,Calendar!$C$2:$C$9997,C8148)*INDEX(ForeCalc!$B$37:$Y$274,MATCH(_xlfn.CONCAT(H8148," ",I8148),ForeCalc!$A$37:$A$274,0),MATCH(_xlfn.CONCAT(B8148," ",E8148),ForeCalc!$B$36:$Y$36,0))))*VLOOKUP(A8148,Calendar!$A$2:$H$9997,8,FALSE),0)</f>
        <v/>
      </c>
      <c r="G8148" s="29">
        <f>VLOOKUP(A8148,Calendar!$A$1:$H$9997,6,FALSE)-F8148</f>
        <v/>
      </c>
      <c r="H8148" s="19" t="n">
        <v>2</v>
      </c>
      <c r="I8148" s="57" t="n">
        <v>4</v>
      </c>
    </row>
    <row r="8149">
      <c r="A8149" s="62" t="n">
        <v>46588</v>
      </c>
      <c r="B8149" s="3" t="inlineStr">
        <is>
          <t>Week</t>
        </is>
      </c>
      <c r="C8149" s="19" t="n">
        <v>7</v>
      </c>
      <c r="D8149" s="19" t="n">
        <v>2027</v>
      </c>
      <c r="E8149" s="57" t="n">
        <v>8</v>
      </c>
      <c r="F8149" s="29">
        <f>ROUND(((SUMIFS(Calendar!$F$2:$F$9997,Calendar!$B$2:$B$9997,D8149,Calendar!$C$2:$C$9997,C8149)*INDEX(ForeCalc!$B$37:$Y$274,MATCH(_xlfn.CONCAT(H8149," ",I8149),ForeCalc!$A$37:$A$274,0),MATCH(_xlfn.CONCAT(B8149," ",E8149),ForeCalc!$B$36:$Y$36,0))))*VLOOKUP(A8149,Calendar!$A$2:$H$9997,8,FALSE),0)</f>
        <v/>
      </c>
      <c r="G8149" s="29">
        <f>VLOOKUP(A8149,Calendar!$A$1:$H$9997,6,FALSE)-F8149</f>
        <v/>
      </c>
      <c r="H8149" s="19" t="n">
        <v>2</v>
      </c>
      <c r="I8149" s="57" t="n">
        <v>4</v>
      </c>
    </row>
    <row r="8150">
      <c r="A8150" s="62" t="n">
        <v>46589</v>
      </c>
      <c r="B8150" s="3" t="inlineStr">
        <is>
          <t>Week</t>
        </is>
      </c>
      <c r="C8150" s="19" t="n">
        <v>7</v>
      </c>
      <c r="D8150" s="19" t="n">
        <v>2027</v>
      </c>
      <c r="E8150" s="57" t="n">
        <v>8</v>
      </c>
      <c r="F8150" s="29">
        <f>ROUND(((SUMIFS(Calendar!$F$2:$F$9997,Calendar!$B$2:$B$9997,D8150,Calendar!$C$2:$C$9997,C8150)*INDEX(ForeCalc!$B$37:$Y$274,MATCH(_xlfn.CONCAT(H8150," ",I8150),ForeCalc!$A$37:$A$274,0),MATCH(_xlfn.CONCAT(B8150," ",E8150),ForeCalc!$B$36:$Y$36,0))))*VLOOKUP(A8150,Calendar!$A$2:$H$9997,8,FALSE),0)</f>
        <v/>
      </c>
      <c r="G8150" s="29">
        <f>VLOOKUP(A8150,Calendar!$A$1:$H$9997,6,FALSE)-F8150</f>
        <v/>
      </c>
      <c r="H8150" s="19" t="n">
        <v>2</v>
      </c>
      <c r="I8150" s="57" t="n">
        <v>4</v>
      </c>
    </row>
    <row r="8151">
      <c r="A8151" s="62" t="n">
        <v>46590</v>
      </c>
      <c r="B8151" s="3" t="inlineStr">
        <is>
          <t>Week</t>
        </is>
      </c>
      <c r="C8151" s="19" t="n">
        <v>7</v>
      </c>
      <c r="D8151" s="19" t="n">
        <v>2027</v>
      </c>
      <c r="E8151" s="57" t="n">
        <v>8</v>
      </c>
      <c r="F8151" s="29">
        <f>ROUND(((SUMIFS(Calendar!$F$2:$F$9997,Calendar!$B$2:$B$9997,D8151,Calendar!$C$2:$C$9997,C8151)*INDEX(ForeCalc!$B$37:$Y$274,MATCH(_xlfn.CONCAT(H8151," ",I8151),ForeCalc!$A$37:$A$274,0),MATCH(_xlfn.CONCAT(B8151," ",E8151),ForeCalc!$B$36:$Y$36,0))))*VLOOKUP(A8151,Calendar!$A$2:$H$9997,8,FALSE),0)</f>
        <v/>
      </c>
      <c r="G8151" s="29">
        <f>VLOOKUP(A8151,Calendar!$A$1:$H$9997,6,FALSE)-F8151</f>
        <v/>
      </c>
      <c r="H8151" s="19" t="n">
        <v>2</v>
      </c>
      <c r="I8151" s="57" t="n">
        <v>4</v>
      </c>
    </row>
    <row r="8152">
      <c r="A8152" s="62" t="n">
        <v>46591</v>
      </c>
      <c r="B8152" s="3" t="inlineStr">
        <is>
          <t>Week</t>
        </is>
      </c>
      <c r="C8152" s="19" t="n">
        <v>7</v>
      </c>
      <c r="D8152" s="19" t="n">
        <v>2027</v>
      </c>
      <c r="E8152" s="57" t="n">
        <v>8</v>
      </c>
      <c r="F8152" s="29">
        <f>ROUND(((SUMIFS(Calendar!$F$2:$F$9997,Calendar!$B$2:$B$9997,D8152,Calendar!$C$2:$C$9997,C8152)*INDEX(ForeCalc!$B$37:$Y$274,MATCH(_xlfn.CONCAT(H8152," ",I8152),ForeCalc!$A$37:$A$274,0),MATCH(_xlfn.CONCAT(B8152," ",E8152),ForeCalc!$B$36:$Y$36,0))))*VLOOKUP(A8152,Calendar!$A$2:$H$9997,8,FALSE),0)</f>
        <v/>
      </c>
      <c r="G8152" s="29">
        <f>VLOOKUP(A8152,Calendar!$A$1:$H$9997,6,FALSE)-F8152</f>
        <v/>
      </c>
      <c r="H8152" s="19" t="n">
        <v>2</v>
      </c>
      <c r="I8152" s="57" t="n">
        <v>4</v>
      </c>
    </row>
    <row r="8153">
      <c r="A8153" s="62" t="n">
        <v>46592</v>
      </c>
      <c r="B8153" s="3" t="inlineStr">
        <is>
          <t>Sat</t>
        </is>
      </c>
      <c r="C8153" s="19" t="n">
        <v>7</v>
      </c>
      <c r="D8153" s="19" t="n">
        <v>2027</v>
      </c>
      <c r="E8153" s="57" t="n">
        <v>8</v>
      </c>
      <c r="F8153" s="29">
        <f>ROUND(((SUMIFS(Calendar!$F$2:$F$9997,Calendar!$B$2:$B$9997,D8153,Calendar!$C$2:$C$9997,C8153)*INDEX(ForeCalc!$B$37:$Y$274,MATCH(_xlfn.CONCAT(H8153," ",I8153),ForeCalc!$A$37:$A$274,0),MATCH(_xlfn.CONCAT(B8153," ",E8153),ForeCalc!$B$36:$Y$36,0))))*VLOOKUP(A8153,Calendar!$A$2:$H$9997,8,FALSE),0)</f>
        <v/>
      </c>
      <c r="G8153" s="29">
        <f>VLOOKUP(A8153,Calendar!$A$1:$H$9997,6,FALSE)-F8153</f>
        <v/>
      </c>
      <c r="H8153" s="19" t="n">
        <v>2</v>
      </c>
      <c r="I8153" s="57" t="n">
        <v>4</v>
      </c>
    </row>
    <row r="8154">
      <c r="A8154" s="62" t="n">
        <v>46593</v>
      </c>
      <c r="B8154" s="3" t="inlineStr">
        <is>
          <t>Sun</t>
        </is>
      </c>
      <c r="C8154" s="19" t="n">
        <v>7</v>
      </c>
      <c r="D8154" s="19" t="n">
        <v>2027</v>
      </c>
      <c r="E8154" s="57" t="n">
        <v>8</v>
      </c>
      <c r="F8154" s="29">
        <f>ROUND(((SUMIFS(Calendar!$F$2:$F$9997,Calendar!$B$2:$B$9997,D8154,Calendar!$C$2:$C$9997,C8154)*INDEX(ForeCalc!$B$37:$Y$274,MATCH(_xlfn.CONCAT(H8154," ",I8154),ForeCalc!$A$37:$A$274,0),MATCH(_xlfn.CONCAT(B8154," ",E8154),ForeCalc!$B$36:$Y$36,0))))*VLOOKUP(A8154,Calendar!$A$2:$H$9997,8,FALSE),0)</f>
        <v/>
      </c>
      <c r="G8154" s="29">
        <f>VLOOKUP(A8154,Calendar!$A$1:$H$9997,6,FALSE)-F8154</f>
        <v/>
      </c>
      <c r="H8154" s="19" t="n">
        <v>2</v>
      </c>
      <c r="I8154" s="57" t="n">
        <v>4</v>
      </c>
    </row>
    <row r="8155">
      <c r="A8155" s="62" t="n">
        <v>46594</v>
      </c>
      <c r="B8155" s="3" t="inlineStr">
        <is>
          <t>Week</t>
        </is>
      </c>
      <c r="C8155" s="19" t="n">
        <v>7</v>
      </c>
      <c r="D8155" s="19" t="n">
        <v>2027</v>
      </c>
      <c r="E8155" s="57" t="n">
        <v>8</v>
      </c>
      <c r="F8155" s="29">
        <f>ROUND(((SUMIFS(Calendar!$F$2:$F$9997,Calendar!$B$2:$B$9997,D8155,Calendar!$C$2:$C$9997,C8155)*INDEX(ForeCalc!$B$37:$Y$274,MATCH(_xlfn.CONCAT(H8155," ",I8155),ForeCalc!$A$37:$A$274,0),MATCH(_xlfn.CONCAT(B8155," ",E8155),ForeCalc!$B$36:$Y$36,0))))*VLOOKUP(A8155,Calendar!$A$2:$H$9997,8,FALSE),0)</f>
        <v/>
      </c>
      <c r="G8155" s="29">
        <f>VLOOKUP(A8155,Calendar!$A$1:$H$9997,6,FALSE)-F8155</f>
        <v/>
      </c>
      <c r="H8155" s="19" t="n">
        <v>2</v>
      </c>
      <c r="I8155" s="57" t="n">
        <v>4</v>
      </c>
    </row>
    <row r="8156">
      <c r="A8156" s="62" t="n">
        <v>46595</v>
      </c>
      <c r="B8156" s="3" t="inlineStr">
        <is>
          <t>Week</t>
        </is>
      </c>
      <c r="C8156" s="19" t="n">
        <v>7</v>
      </c>
      <c r="D8156" s="19" t="n">
        <v>2027</v>
      </c>
      <c r="E8156" s="57" t="n">
        <v>8</v>
      </c>
      <c r="F8156" s="29">
        <f>ROUND(((SUMIFS(Calendar!$F$2:$F$9997,Calendar!$B$2:$B$9997,D8156,Calendar!$C$2:$C$9997,C8156)*INDEX(ForeCalc!$B$37:$Y$274,MATCH(_xlfn.CONCAT(H8156," ",I8156),ForeCalc!$A$37:$A$274,0),MATCH(_xlfn.CONCAT(B8156," ",E8156),ForeCalc!$B$36:$Y$36,0))))*VLOOKUP(A8156,Calendar!$A$2:$H$9997,8,FALSE),0)</f>
        <v/>
      </c>
      <c r="G8156" s="29">
        <f>VLOOKUP(A8156,Calendar!$A$1:$H$9997,6,FALSE)-F8156</f>
        <v/>
      </c>
      <c r="H8156" s="19" t="n">
        <v>2</v>
      </c>
      <c r="I8156" s="57" t="n">
        <v>4</v>
      </c>
    </row>
    <row r="8157">
      <c r="A8157" s="62" t="n">
        <v>46596</v>
      </c>
      <c r="B8157" s="3" t="inlineStr">
        <is>
          <t>Week</t>
        </is>
      </c>
      <c r="C8157" s="19" t="n">
        <v>7</v>
      </c>
      <c r="D8157" s="19" t="n">
        <v>2027</v>
      </c>
      <c r="E8157" s="57" t="n">
        <v>8</v>
      </c>
      <c r="F8157" s="29">
        <f>ROUND(((SUMIFS(Calendar!$F$2:$F$9997,Calendar!$B$2:$B$9997,D8157,Calendar!$C$2:$C$9997,C8157)*INDEX(ForeCalc!$B$37:$Y$274,MATCH(_xlfn.CONCAT(H8157," ",I8157),ForeCalc!$A$37:$A$274,0),MATCH(_xlfn.CONCAT(B8157," ",E8157),ForeCalc!$B$36:$Y$36,0))))*VLOOKUP(A8157,Calendar!$A$2:$H$9997,8,FALSE),0)</f>
        <v/>
      </c>
      <c r="G8157" s="29">
        <f>VLOOKUP(A8157,Calendar!$A$1:$H$9997,6,FALSE)-F8157</f>
        <v/>
      </c>
      <c r="H8157" s="19" t="n">
        <v>2</v>
      </c>
      <c r="I8157" s="57" t="n">
        <v>4</v>
      </c>
    </row>
    <row r="8158">
      <c r="A8158" s="62" t="n">
        <v>46597</v>
      </c>
      <c r="B8158" s="3" t="inlineStr">
        <is>
          <t>Week</t>
        </is>
      </c>
      <c r="C8158" s="19" t="n">
        <v>7</v>
      </c>
      <c r="D8158" s="19" t="n">
        <v>2027</v>
      </c>
      <c r="E8158" s="57" t="n">
        <v>8</v>
      </c>
      <c r="F8158" s="29">
        <f>ROUND(((SUMIFS(Calendar!$F$2:$F$9997,Calendar!$B$2:$B$9997,D8158,Calendar!$C$2:$C$9997,C8158)*INDEX(ForeCalc!$B$37:$Y$274,MATCH(_xlfn.CONCAT(H8158," ",I8158),ForeCalc!$A$37:$A$274,0),MATCH(_xlfn.CONCAT(B8158," ",E8158),ForeCalc!$B$36:$Y$36,0))))*VLOOKUP(A8158,Calendar!$A$2:$H$9997,8,FALSE),0)</f>
        <v/>
      </c>
      <c r="G8158" s="29">
        <f>VLOOKUP(A8158,Calendar!$A$1:$H$9997,6,FALSE)-F8158</f>
        <v/>
      </c>
      <c r="H8158" s="19" t="n">
        <v>2</v>
      </c>
      <c r="I8158" s="57" t="n">
        <v>4</v>
      </c>
    </row>
    <row r="8159">
      <c r="A8159" s="62" t="n">
        <v>46598</v>
      </c>
      <c r="B8159" s="3" t="inlineStr">
        <is>
          <t>Week</t>
        </is>
      </c>
      <c r="C8159" s="19" t="n">
        <v>7</v>
      </c>
      <c r="D8159" s="19" t="n">
        <v>2027</v>
      </c>
      <c r="E8159" s="57" t="n">
        <v>8</v>
      </c>
      <c r="F8159" s="29">
        <f>ROUND(((SUMIFS(Calendar!$F$2:$F$9997,Calendar!$B$2:$B$9997,D8159,Calendar!$C$2:$C$9997,C8159)*INDEX(ForeCalc!$B$37:$Y$274,MATCH(_xlfn.CONCAT(H8159," ",I8159),ForeCalc!$A$37:$A$274,0),MATCH(_xlfn.CONCAT(B8159," ",E8159),ForeCalc!$B$36:$Y$36,0))))*VLOOKUP(A8159,Calendar!$A$2:$H$9997,8,FALSE),0)</f>
        <v/>
      </c>
      <c r="G8159" s="29">
        <f>VLOOKUP(A8159,Calendar!$A$1:$H$9997,6,FALSE)-F8159</f>
        <v/>
      </c>
      <c r="H8159" s="19" t="n">
        <v>2</v>
      </c>
      <c r="I8159" s="57" t="n">
        <v>4</v>
      </c>
    </row>
    <row r="8160">
      <c r="A8160" s="62" t="n">
        <v>46599</v>
      </c>
      <c r="B8160" s="3" t="inlineStr">
        <is>
          <t>Sat</t>
        </is>
      </c>
      <c r="C8160" s="19" t="n">
        <v>7</v>
      </c>
      <c r="D8160" s="19" t="n">
        <v>2027</v>
      </c>
      <c r="E8160" s="57" t="n">
        <v>8</v>
      </c>
      <c r="F8160" s="29">
        <f>ROUND(((SUMIFS(Calendar!$F$2:$F$9997,Calendar!$B$2:$B$9997,D8160,Calendar!$C$2:$C$9997,C8160)*INDEX(ForeCalc!$B$37:$Y$274,MATCH(_xlfn.CONCAT(H8160," ",I8160),ForeCalc!$A$37:$A$274,0),MATCH(_xlfn.CONCAT(B8160," ",E8160),ForeCalc!$B$36:$Y$36,0))))*VLOOKUP(A8160,Calendar!$A$2:$H$9997,8,FALSE),0)</f>
        <v/>
      </c>
      <c r="G8160" s="29">
        <f>VLOOKUP(A8160,Calendar!$A$1:$H$9997,6,FALSE)-F8160</f>
        <v/>
      </c>
      <c r="H8160" s="19" t="n">
        <v>2</v>
      </c>
      <c r="I8160" s="57" t="n">
        <v>4</v>
      </c>
    </row>
    <row r="8161">
      <c r="A8161" s="62" t="n">
        <v>46600</v>
      </c>
      <c r="B8161" s="3" t="inlineStr">
        <is>
          <t>Sun</t>
        </is>
      </c>
      <c r="C8161" s="19" t="n">
        <v>8</v>
      </c>
      <c r="D8161" s="19" t="n">
        <v>2027</v>
      </c>
      <c r="E8161" s="57" t="n">
        <v>8</v>
      </c>
      <c r="F8161" s="29">
        <f>ROUND(((SUMIFS(Calendar!$F$2:$F$9997,Calendar!$B$2:$B$9997,D8161,Calendar!$C$2:$C$9997,C8161)*INDEX(ForeCalc!$B$37:$Y$274,MATCH(_xlfn.CONCAT(H8161," ",I8161),ForeCalc!$A$37:$A$274,0),MATCH(_xlfn.CONCAT(B8161," ",E8161),ForeCalc!$B$36:$Y$36,0))))*VLOOKUP(A8161,Calendar!$A$2:$H$9997,8,FALSE),0)</f>
        <v/>
      </c>
      <c r="G8161" s="29">
        <f>VLOOKUP(A8161,Calendar!$A$1:$H$9997,6,FALSE)-F8161</f>
        <v/>
      </c>
      <c r="H8161" s="19" t="n">
        <v>2</v>
      </c>
      <c r="I8161" s="57" t="n">
        <v>5</v>
      </c>
    </row>
    <row r="8162">
      <c r="A8162" s="62" t="n">
        <v>46601</v>
      </c>
      <c r="B8162" s="3" t="inlineStr">
        <is>
          <t>Week</t>
        </is>
      </c>
      <c r="C8162" s="19" t="n">
        <v>8</v>
      </c>
      <c r="D8162" s="19" t="n">
        <v>2027</v>
      </c>
      <c r="E8162" s="57" t="n">
        <v>8</v>
      </c>
      <c r="F8162" s="29">
        <f>ROUND(((SUMIFS(Calendar!$F$2:$F$9997,Calendar!$B$2:$B$9997,D8162,Calendar!$C$2:$C$9997,C8162)*INDEX(ForeCalc!$B$37:$Y$274,MATCH(_xlfn.CONCAT(H8162," ",I8162),ForeCalc!$A$37:$A$274,0),MATCH(_xlfn.CONCAT(B8162," ",E8162),ForeCalc!$B$36:$Y$36,0))))*VLOOKUP(A8162,Calendar!$A$2:$H$9997,8,FALSE),0)</f>
        <v/>
      </c>
      <c r="G8162" s="29">
        <f>VLOOKUP(A8162,Calendar!$A$1:$H$9997,6,FALSE)-F8162</f>
        <v/>
      </c>
      <c r="H8162" s="19" t="n">
        <v>2</v>
      </c>
      <c r="I8162" s="57" t="n">
        <v>5</v>
      </c>
    </row>
    <row r="8163">
      <c r="A8163" s="62" t="n">
        <v>46602</v>
      </c>
      <c r="B8163" s="3" t="inlineStr">
        <is>
          <t>Week</t>
        </is>
      </c>
      <c r="C8163" s="19" t="n">
        <v>8</v>
      </c>
      <c r="D8163" s="19" t="n">
        <v>2027</v>
      </c>
      <c r="E8163" s="57" t="n">
        <v>8</v>
      </c>
      <c r="F8163" s="29">
        <f>ROUND(((SUMIFS(Calendar!$F$2:$F$9997,Calendar!$B$2:$B$9997,D8163,Calendar!$C$2:$C$9997,C8163)*INDEX(ForeCalc!$B$37:$Y$274,MATCH(_xlfn.CONCAT(H8163," ",I8163),ForeCalc!$A$37:$A$274,0),MATCH(_xlfn.CONCAT(B8163," ",E8163),ForeCalc!$B$36:$Y$36,0))))*VLOOKUP(A8163,Calendar!$A$2:$H$9997,8,FALSE),0)</f>
        <v/>
      </c>
      <c r="G8163" s="29">
        <f>VLOOKUP(A8163,Calendar!$A$1:$H$9997,6,FALSE)-F8163</f>
        <v/>
      </c>
      <c r="H8163" s="19" t="n">
        <v>2</v>
      </c>
      <c r="I8163" s="57" t="n">
        <v>5</v>
      </c>
    </row>
    <row r="8164">
      <c r="A8164" s="62" t="n">
        <v>46603</v>
      </c>
      <c r="B8164" s="3" t="inlineStr">
        <is>
          <t>Week</t>
        </is>
      </c>
      <c r="C8164" s="19" t="n">
        <v>8</v>
      </c>
      <c r="D8164" s="19" t="n">
        <v>2027</v>
      </c>
      <c r="E8164" s="57" t="n">
        <v>8</v>
      </c>
      <c r="F8164" s="29">
        <f>ROUND(((SUMIFS(Calendar!$F$2:$F$9997,Calendar!$B$2:$B$9997,D8164,Calendar!$C$2:$C$9997,C8164)*INDEX(ForeCalc!$B$37:$Y$274,MATCH(_xlfn.CONCAT(H8164," ",I8164),ForeCalc!$A$37:$A$274,0),MATCH(_xlfn.CONCAT(B8164," ",E8164),ForeCalc!$B$36:$Y$36,0))))*VLOOKUP(A8164,Calendar!$A$2:$H$9997,8,FALSE),0)</f>
        <v/>
      </c>
      <c r="G8164" s="29">
        <f>VLOOKUP(A8164,Calendar!$A$1:$H$9997,6,FALSE)-F8164</f>
        <v/>
      </c>
      <c r="H8164" s="19" t="n">
        <v>2</v>
      </c>
      <c r="I8164" s="57" t="n">
        <v>5</v>
      </c>
    </row>
    <row r="8165">
      <c r="A8165" s="62" t="n">
        <v>46604</v>
      </c>
      <c r="B8165" s="3" t="inlineStr">
        <is>
          <t>Week</t>
        </is>
      </c>
      <c r="C8165" s="19" t="n">
        <v>8</v>
      </c>
      <c r="D8165" s="19" t="n">
        <v>2027</v>
      </c>
      <c r="E8165" s="57" t="n">
        <v>8</v>
      </c>
      <c r="F8165" s="29">
        <f>ROUND(((SUMIFS(Calendar!$F$2:$F$9997,Calendar!$B$2:$B$9997,D8165,Calendar!$C$2:$C$9997,C8165)*INDEX(ForeCalc!$B$37:$Y$274,MATCH(_xlfn.CONCAT(H8165," ",I8165),ForeCalc!$A$37:$A$274,0),MATCH(_xlfn.CONCAT(B8165," ",E8165),ForeCalc!$B$36:$Y$36,0))))*VLOOKUP(A8165,Calendar!$A$2:$H$9997,8,FALSE),0)</f>
        <v/>
      </c>
      <c r="G8165" s="29">
        <f>VLOOKUP(A8165,Calendar!$A$1:$H$9997,6,FALSE)-F8165</f>
        <v/>
      </c>
      <c r="H8165" s="19" t="n">
        <v>2</v>
      </c>
      <c r="I8165" s="57" t="n">
        <v>5</v>
      </c>
    </row>
    <row r="8166">
      <c r="A8166" s="62" t="n">
        <v>46605</v>
      </c>
      <c r="B8166" s="3" t="inlineStr">
        <is>
          <t>Week</t>
        </is>
      </c>
      <c r="C8166" s="19" t="n">
        <v>8</v>
      </c>
      <c r="D8166" s="19" t="n">
        <v>2027</v>
      </c>
      <c r="E8166" s="57" t="n">
        <v>8</v>
      </c>
      <c r="F8166" s="29">
        <f>ROUND(((SUMIFS(Calendar!$F$2:$F$9997,Calendar!$B$2:$B$9997,D8166,Calendar!$C$2:$C$9997,C8166)*INDEX(ForeCalc!$B$37:$Y$274,MATCH(_xlfn.CONCAT(H8166," ",I8166),ForeCalc!$A$37:$A$274,0),MATCH(_xlfn.CONCAT(B8166," ",E8166),ForeCalc!$B$36:$Y$36,0))))*VLOOKUP(A8166,Calendar!$A$2:$H$9997,8,FALSE),0)</f>
        <v/>
      </c>
      <c r="G8166" s="29">
        <f>VLOOKUP(A8166,Calendar!$A$1:$H$9997,6,FALSE)-F8166</f>
        <v/>
      </c>
      <c r="H8166" s="19" t="n">
        <v>2</v>
      </c>
      <c r="I8166" s="57" t="n">
        <v>5</v>
      </c>
    </row>
    <row r="8167">
      <c r="A8167" s="62" t="n">
        <v>46606</v>
      </c>
      <c r="B8167" s="3" t="inlineStr">
        <is>
          <t>Sat</t>
        </is>
      </c>
      <c r="C8167" s="19" t="n">
        <v>8</v>
      </c>
      <c r="D8167" s="19" t="n">
        <v>2027</v>
      </c>
      <c r="E8167" s="57" t="n">
        <v>8</v>
      </c>
      <c r="F8167" s="29">
        <f>ROUND(((SUMIFS(Calendar!$F$2:$F$9997,Calendar!$B$2:$B$9997,D8167,Calendar!$C$2:$C$9997,C8167)*INDEX(ForeCalc!$B$37:$Y$274,MATCH(_xlfn.CONCAT(H8167," ",I8167),ForeCalc!$A$37:$A$274,0),MATCH(_xlfn.CONCAT(B8167," ",E8167),ForeCalc!$B$36:$Y$36,0))))*VLOOKUP(A8167,Calendar!$A$2:$H$9997,8,FALSE),0)</f>
        <v/>
      </c>
      <c r="G8167" s="29">
        <f>VLOOKUP(A8167,Calendar!$A$1:$H$9997,6,FALSE)-F8167</f>
        <v/>
      </c>
      <c r="H8167" s="19" t="n">
        <v>2</v>
      </c>
      <c r="I8167" s="57" t="n">
        <v>5</v>
      </c>
    </row>
    <row r="8168">
      <c r="A8168" s="62" t="n">
        <v>46607</v>
      </c>
      <c r="B8168" s="3" t="inlineStr">
        <is>
          <t>Sun</t>
        </is>
      </c>
      <c r="C8168" s="19" t="n">
        <v>8</v>
      </c>
      <c r="D8168" s="19" t="n">
        <v>2027</v>
      </c>
      <c r="E8168" s="57" t="n">
        <v>8</v>
      </c>
      <c r="F8168" s="29">
        <f>ROUND(((SUMIFS(Calendar!$F$2:$F$9997,Calendar!$B$2:$B$9997,D8168,Calendar!$C$2:$C$9997,C8168)*INDEX(ForeCalc!$B$37:$Y$274,MATCH(_xlfn.CONCAT(H8168," ",I8168),ForeCalc!$A$37:$A$274,0),MATCH(_xlfn.CONCAT(B8168," ",E8168),ForeCalc!$B$36:$Y$36,0))))*VLOOKUP(A8168,Calendar!$A$2:$H$9997,8,FALSE),0)</f>
        <v/>
      </c>
      <c r="G8168" s="29">
        <f>VLOOKUP(A8168,Calendar!$A$1:$H$9997,6,FALSE)-F8168</f>
        <v/>
      </c>
      <c r="H8168" s="19" t="n">
        <v>2</v>
      </c>
      <c r="I8168" s="57" t="n">
        <v>5</v>
      </c>
    </row>
    <row r="8169">
      <c r="A8169" s="62" t="n">
        <v>46608</v>
      </c>
      <c r="B8169" s="3" t="inlineStr">
        <is>
          <t>Week</t>
        </is>
      </c>
      <c r="C8169" s="19" t="n">
        <v>8</v>
      </c>
      <c r="D8169" s="19" t="n">
        <v>2027</v>
      </c>
      <c r="E8169" s="57" t="n">
        <v>8</v>
      </c>
      <c r="F8169" s="29">
        <f>ROUND(((SUMIFS(Calendar!$F$2:$F$9997,Calendar!$B$2:$B$9997,D8169,Calendar!$C$2:$C$9997,C8169)*INDEX(ForeCalc!$B$37:$Y$274,MATCH(_xlfn.CONCAT(H8169," ",I8169),ForeCalc!$A$37:$A$274,0),MATCH(_xlfn.CONCAT(B8169," ",E8169),ForeCalc!$B$36:$Y$36,0))))*VLOOKUP(A8169,Calendar!$A$2:$H$9997,8,FALSE),0)</f>
        <v/>
      </c>
      <c r="G8169" s="29">
        <f>VLOOKUP(A8169,Calendar!$A$1:$H$9997,6,FALSE)-F8169</f>
        <v/>
      </c>
      <c r="H8169" s="19" t="n">
        <v>2</v>
      </c>
      <c r="I8169" s="57" t="n">
        <v>5</v>
      </c>
    </row>
    <row r="8170">
      <c r="A8170" s="62" t="n">
        <v>46609</v>
      </c>
      <c r="B8170" s="3" t="inlineStr">
        <is>
          <t>Week</t>
        </is>
      </c>
      <c r="C8170" s="19" t="n">
        <v>8</v>
      </c>
      <c r="D8170" s="19" t="n">
        <v>2027</v>
      </c>
      <c r="E8170" s="57" t="n">
        <v>8</v>
      </c>
      <c r="F8170" s="29">
        <f>ROUND(((SUMIFS(Calendar!$F$2:$F$9997,Calendar!$B$2:$B$9997,D8170,Calendar!$C$2:$C$9997,C8170)*INDEX(ForeCalc!$B$37:$Y$274,MATCH(_xlfn.CONCAT(H8170," ",I8170),ForeCalc!$A$37:$A$274,0),MATCH(_xlfn.CONCAT(B8170," ",E8170),ForeCalc!$B$36:$Y$36,0))))*VLOOKUP(A8170,Calendar!$A$2:$H$9997,8,FALSE),0)</f>
        <v/>
      </c>
      <c r="G8170" s="29">
        <f>VLOOKUP(A8170,Calendar!$A$1:$H$9997,6,FALSE)-F8170</f>
        <v/>
      </c>
      <c r="H8170" s="19" t="n">
        <v>2</v>
      </c>
      <c r="I8170" s="57" t="n">
        <v>5</v>
      </c>
    </row>
    <row r="8171">
      <c r="A8171" s="62" t="n">
        <v>46610</v>
      </c>
      <c r="B8171" s="3" t="inlineStr">
        <is>
          <t>Week</t>
        </is>
      </c>
      <c r="C8171" s="19" t="n">
        <v>8</v>
      </c>
      <c r="D8171" s="19" t="n">
        <v>2027</v>
      </c>
      <c r="E8171" s="57" t="n">
        <v>8</v>
      </c>
      <c r="F8171" s="29">
        <f>ROUND(((SUMIFS(Calendar!$F$2:$F$9997,Calendar!$B$2:$B$9997,D8171,Calendar!$C$2:$C$9997,C8171)*INDEX(ForeCalc!$B$37:$Y$274,MATCH(_xlfn.CONCAT(H8171," ",I8171),ForeCalc!$A$37:$A$274,0),MATCH(_xlfn.CONCAT(B8171," ",E8171),ForeCalc!$B$36:$Y$36,0))))*VLOOKUP(A8171,Calendar!$A$2:$H$9997,8,FALSE),0)</f>
        <v/>
      </c>
      <c r="G8171" s="29">
        <f>VLOOKUP(A8171,Calendar!$A$1:$H$9997,6,FALSE)-F8171</f>
        <v/>
      </c>
      <c r="H8171" s="19" t="n">
        <v>2</v>
      </c>
      <c r="I8171" s="57" t="n">
        <v>5</v>
      </c>
    </row>
    <row r="8172">
      <c r="A8172" s="62" t="n">
        <v>46611</v>
      </c>
      <c r="B8172" s="3" t="inlineStr">
        <is>
          <t>Week</t>
        </is>
      </c>
      <c r="C8172" s="19" t="n">
        <v>8</v>
      </c>
      <c r="D8172" s="19" t="n">
        <v>2027</v>
      </c>
      <c r="E8172" s="57" t="n">
        <v>8</v>
      </c>
      <c r="F8172" s="29">
        <f>ROUND(((SUMIFS(Calendar!$F$2:$F$9997,Calendar!$B$2:$B$9997,D8172,Calendar!$C$2:$C$9997,C8172)*INDEX(ForeCalc!$B$37:$Y$274,MATCH(_xlfn.CONCAT(H8172," ",I8172),ForeCalc!$A$37:$A$274,0),MATCH(_xlfn.CONCAT(B8172," ",E8172),ForeCalc!$B$36:$Y$36,0))))*VLOOKUP(A8172,Calendar!$A$2:$H$9997,8,FALSE),0)</f>
        <v/>
      </c>
      <c r="G8172" s="29">
        <f>VLOOKUP(A8172,Calendar!$A$1:$H$9997,6,FALSE)-F8172</f>
        <v/>
      </c>
      <c r="H8172" s="19" t="n">
        <v>2</v>
      </c>
      <c r="I8172" s="57" t="n">
        <v>5</v>
      </c>
    </row>
    <row r="8173">
      <c r="A8173" s="62" t="n">
        <v>46612</v>
      </c>
      <c r="B8173" s="3" t="inlineStr">
        <is>
          <t>Week</t>
        </is>
      </c>
      <c r="C8173" s="19" t="n">
        <v>8</v>
      </c>
      <c r="D8173" s="19" t="n">
        <v>2027</v>
      </c>
      <c r="E8173" s="57" t="n">
        <v>8</v>
      </c>
      <c r="F8173" s="29">
        <f>ROUND(((SUMIFS(Calendar!$F$2:$F$9997,Calendar!$B$2:$B$9997,D8173,Calendar!$C$2:$C$9997,C8173)*INDEX(ForeCalc!$B$37:$Y$274,MATCH(_xlfn.CONCAT(H8173," ",I8173),ForeCalc!$A$37:$A$274,0),MATCH(_xlfn.CONCAT(B8173," ",E8173),ForeCalc!$B$36:$Y$36,0))))*VLOOKUP(A8173,Calendar!$A$2:$H$9997,8,FALSE),0)</f>
        <v/>
      </c>
      <c r="G8173" s="29">
        <f>VLOOKUP(A8173,Calendar!$A$1:$H$9997,6,FALSE)-F8173</f>
        <v/>
      </c>
      <c r="H8173" s="19" t="n">
        <v>2</v>
      </c>
      <c r="I8173" s="57" t="n">
        <v>5</v>
      </c>
    </row>
    <row r="8174">
      <c r="A8174" s="62" t="n">
        <v>46613</v>
      </c>
      <c r="B8174" s="3" t="inlineStr">
        <is>
          <t>Sat</t>
        </is>
      </c>
      <c r="C8174" s="19" t="n">
        <v>8</v>
      </c>
      <c r="D8174" s="19" t="n">
        <v>2027</v>
      </c>
      <c r="E8174" s="57" t="n">
        <v>8</v>
      </c>
      <c r="F8174" s="29">
        <f>ROUND(((SUMIFS(Calendar!$F$2:$F$9997,Calendar!$B$2:$B$9997,D8174,Calendar!$C$2:$C$9997,C8174)*INDEX(ForeCalc!$B$37:$Y$274,MATCH(_xlfn.CONCAT(H8174," ",I8174),ForeCalc!$A$37:$A$274,0),MATCH(_xlfn.CONCAT(B8174," ",E8174),ForeCalc!$B$36:$Y$36,0))))*VLOOKUP(A8174,Calendar!$A$2:$H$9997,8,FALSE),0)</f>
        <v/>
      </c>
      <c r="G8174" s="29">
        <f>VLOOKUP(A8174,Calendar!$A$1:$H$9997,6,FALSE)-F8174</f>
        <v/>
      </c>
      <c r="H8174" s="19" t="n">
        <v>2</v>
      </c>
      <c r="I8174" s="57" t="n">
        <v>5</v>
      </c>
    </row>
    <row r="8175">
      <c r="A8175" s="62" t="n">
        <v>46614</v>
      </c>
      <c r="B8175" s="3" t="inlineStr">
        <is>
          <t>Sun</t>
        </is>
      </c>
      <c r="C8175" s="19" t="n">
        <v>8</v>
      </c>
      <c r="D8175" s="19" t="n">
        <v>2027</v>
      </c>
      <c r="E8175" s="57" t="n">
        <v>8</v>
      </c>
      <c r="F8175" s="29">
        <f>ROUND(((SUMIFS(Calendar!$F$2:$F$9997,Calendar!$B$2:$B$9997,D8175,Calendar!$C$2:$C$9997,C8175)*INDEX(ForeCalc!$B$37:$Y$274,MATCH(_xlfn.CONCAT(H8175," ",I8175),ForeCalc!$A$37:$A$274,0),MATCH(_xlfn.CONCAT(B8175," ",E8175),ForeCalc!$B$36:$Y$36,0))))*VLOOKUP(A8175,Calendar!$A$2:$H$9997,8,FALSE),0)</f>
        <v/>
      </c>
      <c r="G8175" s="29">
        <f>VLOOKUP(A8175,Calendar!$A$1:$H$9997,6,FALSE)-F8175</f>
        <v/>
      </c>
      <c r="H8175" s="19" t="n">
        <v>2</v>
      </c>
      <c r="I8175" s="57" t="n">
        <v>5</v>
      </c>
    </row>
    <row r="8176">
      <c r="A8176" s="62" t="n">
        <v>46615</v>
      </c>
      <c r="B8176" s="3" t="inlineStr">
        <is>
          <t>Week</t>
        </is>
      </c>
      <c r="C8176" s="19" t="n">
        <v>8</v>
      </c>
      <c r="D8176" s="19" t="n">
        <v>2027</v>
      </c>
      <c r="E8176" s="57" t="n">
        <v>8</v>
      </c>
      <c r="F8176" s="29">
        <f>ROUND(((SUMIFS(Calendar!$F$2:$F$9997,Calendar!$B$2:$B$9997,D8176,Calendar!$C$2:$C$9997,C8176)*INDEX(ForeCalc!$B$37:$Y$274,MATCH(_xlfn.CONCAT(H8176," ",I8176),ForeCalc!$A$37:$A$274,0),MATCH(_xlfn.CONCAT(B8176," ",E8176),ForeCalc!$B$36:$Y$36,0))))*VLOOKUP(A8176,Calendar!$A$2:$H$9997,8,FALSE),0)</f>
        <v/>
      </c>
      <c r="G8176" s="29">
        <f>VLOOKUP(A8176,Calendar!$A$1:$H$9997,6,FALSE)-F8176</f>
        <v/>
      </c>
      <c r="H8176" s="19" t="n">
        <v>2</v>
      </c>
      <c r="I8176" s="57" t="n">
        <v>5</v>
      </c>
    </row>
    <row r="8177">
      <c r="A8177" s="62" t="n">
        <v>46616</v>
      </c>
      <c r="B8177" s="3" t="inlineStr">
        <is>
          <t>Week</t>
        </is>
      </c>
      <c r="C8177" s="19" t="n">
        <v>8</v>
      </c>
      <c r="D8177" s="19" t="n">
        <v>2027</v>
      </c>
      <c r="E8177" s="57" t="n">
        <v>8</v>
      </c>
      <c r="F8177" s="29">
        <f>ROUND(((SUMIFS(Calendar!$F$2:$F$9997,Calendar!$B$2:$B$9997,D8177,Calendar!$C$2:$C$9997,C8177)*INDEX(ForeCalc!$B$37:$Y$274,MATCH(_xlfn.CONCAT(H8177," ",I8177),ForeCalc!$A$37:$A$274,0),MATCH(_xlfn.CONCAT(B8177," ",E8177),ForeCalc!$B$36:$Y$36,0))))*VLOOKUP(A8177,Calendar!$A$2:$H$9997,8,FALSE),0)</f>
        <v/>
      </c>
      <c r="G8177" s="29">
        <f>VLOOKUP(A8177,Calendar!$A$1:$H$9997,6,FALSE)-F8177</f>
        <v/>
      </c>
      <c r="H8177" s="19" t="n">
        <v>2</v>
      </c>
      <c r="I8177" s="57" t="n">
        <v>5</v>
      </c>
    </row>
    <row r="8178">
      <c r="A8178" s="62" t="n">
        <v>46617</v>
      </c>
      <c r="B8178" s="3" t="inlineStr">
        <is>
          <t>Week</t>
        </is>
      </c>
      <c r="C8178" s="19" t="n">
        <v>8</v>
      </c>
      <c r="D8178" s="19" t="n">
        <v>2027</v>
      </c>
      <c r="E8178" s="57" t="n">
        <v>8</v>
      </c>
      <c r="F8178" s="29">
        <f>ROUND(((SUMIFS(Calendar!$F$2:$F$9997,Calendar!$B$2:$B$9997,D8178,Calendar!$C$2:$C$9997,C8178)*INDEX(ForeCalc!$B$37:$Y$274,MATCH(_xlfn.CONCAT(H8178," ",I8178),ForeCalc!$A$37:$A$274,0),MATCH(_xlfn.CONCAT(B8178," ",E8178),ForeCalc!$B$36:$Y$36,0))))*VLOOKUP(A8178,Calendar!$A$2:$H$9997,8,FALSE),0)</f>
        <v/>
      </c>
      <c r="G8178" s="29">
        <f>VLOOKUP(A8178,Calendar!$A$1:$H$9997,6,FALSE)-F8178</f>
        <v/>
      </c>
      <c r="H8178" s="19" t="n">
        <v>2</v>
      </c>
      <c r="I8178" s="57" t="n">
        <v>5</v>
      </c>
    </row>
    <row r="8179">
      <c r="A8179" s="62" t="n">
        <v>46618</v>
      </c>
      <c r="B8179" s="3" t="inlineStr">
        <is>
          <t>Week</t>
        </is>
      </c>
      <c r="C8179" s="19" t="n">
        <v>8</v>
      </c>
      <c r="D8179" s="19" t="n">
        <v>2027</v>
      </c>
      <c r="E8179" s="57" t="n">
        <v>8</v>
      </c>
      <c r="F8179" s="29">
        <f>ROUND(((SUMIFS(Calendar!$F$2:$F$9997,Calendar!$B$2:$B$9997,D8179,Calendar!$C$2:$C$9997,C8179)*INDEX(ForeCalc!$B$37:$Y$274,MATCH(_xlfn.CONCAT(H8179," ",I8179),ForeCalc!$A$37:$A$274,0),MATCH(_xlfn.CONCAT(B8179," ",E8179),ForeCalc!$B$36:$Y$36,0))))*VLOOKUP(A8179,Calendar!$A$2:$H$9997,8,FALSE),0)</f>
        <v/>
      </c>
      <c r="G8179" s="29">
        <f>VLOOKUP(A8179,Calendar!$A$1:$H$9997,6,FALSE)-F8179</f>
        <v/>
      </c>
      <c r="H8179" s="19" t="n">
        <v>2</v>
      </c>
      <c r="I8179" s="57" t="n">
        <v>5</v>
      </c>
    </row>
    <row r="8180">
      <c r="A8180" s="62" t="n">
        <v>46619</v>
      </c>
      <c r="B8180" s="3" t="inlineStr">
        <is>
          <t>Week</t>
        </is>
      </c>
      <c r="C8180" s="19" t="n">
        <v>8</v>
      </c>
      <c r="D8180" s="19" t="n">
        <v>2027</v>
      </c>
      <c r="E8180" s="57" t="n">
        <v>8</v>
      </c>
      <c r="F8180" s="29">
        <f>ROUND(((SUMIFS(Calendar!$F$2:$F$9997,Calendar!$B$2:$B$9997,D8180,Calendar!$C$2:$C$9997,C8180)*INDEX(ForeCalc!$B$37:$Y$274,MATCH(_xlfn.CONCAT(H8180," ",I8180),ForeCalc!$A$37:$A$274,0),MATCH(_xlfn.CONCAT(B8180," ",E8180),ForeCalc!$B$36:$Y$36,0))))*VLOOKUP(A8180,Calendar!$A$2:$H$9997,8,FALSE),0)</f>
        <v/>
      </c>
      <c r="G8180" s="29">
        <f>VLOOKUP(A8180,Calendar!$A$1:$H$9997,6,FALSE)-F8180</f>
        <v/>
      </c>
      <c r="H8180" s="19" t="n">
        <v>2</v>
      </c>
      <c r="I8180" s="57" t="n">
        <v>5</v>
      </c>
    </row>
    <row r="8181">
      <c r="A8181" s="62" t="n">
        <v>46620</v>
      </c>
      <c r="B8181" s="3" t="inlineStr">
        <is>
          <t>Sat</t>
        </is>
      </c>
      <c r="C8181" s="19" t="n">
        <v>8</v>
      </c>
      <c r="D8181" s="19" t="n">
        <v>2027</v>
      </c>
      <c r="E8181" s="57" t="n">
        <v>8</v>
      </c>
      <c r="F8181" s="29">
        <f>ROUND(((SUMIFS(Calendar!$F$2:$F$9997,Calendar!$B$2:$B$9997,D8181,Calendar!$C$2:$C$9997,C8181)*INDEX(ForeCalc!$B$37:$Y$274,MATCH(_xlfn.CONCAT(H8181," ",I8181),ForeCalc!$A$37:$A$274,0),MATCH(_xlfn.CONCAT(B8181," ",E8181),ForeCalc!$B$36:$Y$36,0))))*VLOOKUP(A8181,Calendar!$A$2:$H$9997,8,FALSE),0)</f>
        <v/>
      </c>
      <c r="G8181" s="29">
        <f>VLOOKUP(A8181,Calendar!$A$1:$H$9997,6,FALSE)-F8181</f>
        <v/>
      </c>
      <c r="H8181" s="19" t="n">
        <v>2</v>
      </c>
      <c r="I8181" s="57" t="n">
        <v>5</v>
      </c>
    </row>
    <row r="8182">
      <c r="A8182" s="62" t="n">
        <v>46621</v>
      </c>
      <c r="B8182" s="3" t="inlineStr">
        <is>
          <t>Sun</t>
        </is>
      </c>
      <c r="C8182" s="19" t="n">
        <v>8</v>
      </c>
      <c r="D8182" s="19" t="n">
        <v>2027</v>
      </c>
      <c r="E8182" s="57" t="n">
        <v>8</v>
      </c>
      <c r="F8182" s="29">
        <f>ROUND(((SUMIFS(Calendar!$F$2:$F$9997,Calendar!$B$2:$B$9997,D8182,Calendar!$C$2:$C$9997,C8182)*INDEX(ForeCalc!$B$37:$Y$274,MATCH(_xlfn.CONCAT(H8182," ",I8182),ForeCalc!$A$37:$A$274,0),MATCH(_xlfn.CONCAT(B8182," ",E8182),ForeCalc!$B$36:$Y$36,0))))*VLOOKUP(A8182,Calendar!$A$2:$H$9997,8,FALSE),0)</f>
        <v/>
      </c>
      <c r="G8182" s="29">
        <f>VLOOKUP(A8182,Calendar!$A$1:$H$9997,6,FALSE)-F8182</f>
        <v/>
      </c>
      <c r="H8182" s="19" t="n">
        <v>2</v>
      </c>
      <c r="I8182" s="57" t="n">
        <v>5</v>
      </c>
    </row>
    <row r="8183">
      <c r="A8183" s="62" t="n">
        <v>46622</v>
      </c>
      <c r="B8183" s="3" t="inlineStr">
        <is>
          <t>Week</t>
        </is>
      </c>
      <c r="C8183" s="19" t="n">
        <v>8</v>
      </c>
      <c r="D8183" s="19" t="n">
        <v>2027</v>
      </c>
      <c r="E8183" s="57" t="n">
        <v>8</v>
      </c>
      <c r="F8183" s="29">
        <f>ROUND(((SUMIFS(Calendar!$F$2:$F$9997,Calendar!$B$2:$B$9997,D8183,Calendar!$C$2:$C$9997,C8183)*INDEX(ForeCalc!$B$37:$Y$274,MATCH(_xlfn.CONCAT(H8183," ",I8183),ForeCalc!$A$37:$A$274,0),MATCH(_xlfn.CONCAT(B8183," ",E8183),ForeCalc!$B$36:$Y$36,0))))*VLOOKUP(A8183,Calendar!$A$2:$H$9997,8,FALSE),0)</f>
        <v/>
      </c>
      <c r="G8183" s="29">
        <f>VLOOKUP(A8183,Calendar!$A$1:$H$9997,6,FALSE)-F8183</f>
        <v/>
      </c>
      <c r="H8183" s="19" t="n">
        <v>2</v>
      </c>
      <c r="I8183" s="57" t="n">
        <v>5</v>
      </c>
    </row>
    <row r="8184">
      <c r="A8184" s="62" t="n">
        <v>46623</v>
      </c>
      <c r="B8184" s="3" t="inlineStr">
        <is>
          <t>Week</t>
        </is>
      </c>
      <c r="C8184" s="19" t="n">
        <v>8</v>
      </c>
      <c r="D8184" s="19" t="n">
        <v>2027</v>
      </c>
      <c r="E8184" s="57" t="n">
        <v>8</v>
      </c>
      <c r="F8184" s="29">
        <f>ROUND(((SUMIFS(Calendar!$F$2:$F$9997,Calendar!$B$2:$B$9997,D8184,Calendar!$C$2:$C$9997,C8184)*INDEX(ForeCalc!$B$37:$Y$274,MATCH(_xlfn.CONCAT(H8184," ",I8184),ForeCalc!$A$37:$A$274,0),MATCH(_xlfn.CONCAT(B8184," ",E8184),ForeCalc!$B$36:$Y$36,0))))*VLOOKUP(A8184,Calendar!$A$2:$H$9997,8,FALSE),0)</f>
        <v/>
      </c>
      <c r="G8184" s="29">
        <f>VLOOKUP(A8184,Calendar!$A$1:$H$9997,6,FALSE)-F8184</f>
        <v/>
      </c>
      <c r="H8184" s="19" t="n">
        <v>2</v>
      </c>
      <c r="I8184" s="57" t="n">
        <v>5</v>
      </c>
    </row>
    <row r="8185">
      <c r="A8185" s="62" t="n">
        <v>46624</v>
      </c>
      <c r="B8185" s="3" t="inlineStr">
        <is>
          <t>Week</t>
        </is>
      </c>
      <c r="C8185" s="19" t="n">
        <v>8</v>
      </c>
      <c r="D8185" s="19" t="n">
        <v>2027</v>
      </c>
      <c r="E8185" s="57" t="n">
        <v>8</v>
      </c>
      <c r="F8185" s="29">
        <f>ROUND(((SUMIFS(Calendar!$F$2:$F$9997,Calendar!$B$2:$B$9997,D8185,Calendar!$C$2:$C$9997,C8185)*INDEX(ForeCalc!$B$37:$Y$274,MATCH(_xlfn.CONCAT(H8185," ",I8185),ForeCalc!$A$37:$A$274,0),MATCH(_xlfn.CONCAT(B8185," ",E8185),ForeCalc!$B$36:$Y$36,0))))*VLOOKUP(A8185,Calendar!$A$2:$H$9997,8,FALSE),0)</f>
        <v/>
      </c>
      <c r="G8185" s="29">
        <f>VLOOKUP(A8185,Calendar!$A$1:$H$9997,6,FALSE)-F8185</f>
        <v/>
      </c>
      <c r="H8185" s="19" t="n">
        <v>2</v>
      </c>
      <c r="I8185" s="57" t="n">
        <v>5</v>
      </c>
    </row>
    <row r="8186">
      <c r="A8186" s="62" t="n">
        <v>46625</v>
      </c>
      <c r="B8186" s="3" t="inlineStr">
        <is>
          <t>Week</t>
        </is>
      </c>
      <c r="C8186" s="19" t="n">
        <v>8</v>
      </c>
      <c r="D8186" s="19" t="n">
        <v>2027</v>
      </c>
      <c r="E8186" s="57" t="n">
        <v>8</v>
      </c>
      <c r="F8186" s="29">
        <f>ROUND(((SUMIFS(Calendar!$F$2:$F$9997,Calendar!$B$2:$B$9997,D8186,Calendar!$C$2:$C$9997,C8186)*INDEX(ForeCalc!$B$37:$Y$274,MATCH(_xlfn.CONCAT(H8186," ",I8186),ForeCalc!$A$37:$A$274,0),MATCH(_xlfn.CONCAT(B8186," ",E8186),ForeCalc!$B$36:$Y$36,0))))*VLOOKUP(A8186,Calendar!$A$2:$H$9997,8,FALSE),0)</f>
        <v/>
      </c>
      <c r="G8186" s="29">
        <f>VLOOKUP(A8186,Calendar!$A$1:$H$9997,6,FALSE)-F8186</f>
        <v/>
      </c>
      <c r="H8186" s="19" t="n">
        <v>2</v>
      </c>
      <c r="I8186" s="57" t="n">
        <v>5</v>
      </c>
    </row>
    <row r="8187">
      <c r="A8187" s="62" t="n">
        <v>46626</v>
      </c>
      <c r="B8187" s="3" t="inlineStr">
        <is>
          <t>Week</t>
        </is>
      </c>
      <c r="C8187" s="19" t="n">
        <v>8</v>
      </c>
      <c r="D8187" s="19" t="n">
        <v>2027</v>
      </c>
      <c r="E8187" s="57" t="n">
        <v>8</v>
      </c>
      <c r="F8187" s="29">
        <f>ROUND(((SUMIFS(Calendar!$F$2:$F$9997,Calendar!$B$2:$B$9997,D8187,Calendar!$C$2:$C$9997,C8187)*INDEX(ForeCalc!$B$37:$Y$274,MATCH(_xlfn.CONCAT(H8187," ",I8187),ForeCalc!$A$37:$A$274,0),MATCH(_xlfn.CONCAT(B8187," ",E8187),ForeCalc!$B$36:$Y$36,0))))*VLOOKUP(A8187,Calendar!$A$2:$H$9997,8,FALSE),0)</f>
        <v/>
      </c>
      <c r="G8187" s="29">
        <f>VLOOKUP(A8187,Calendar!$A$1:$H$9997,6,FALSE)-F8187</f>
        <v/>
      </c>
      <c r="H8187" s="19" t="n">
        <v>2</v>
      </c>
      <c r="I8187" s="57" t="n">
        <v>5</v>
      </c>
    </row>
    <row r="8188">
      <c r="A8188" s="62" t="n">
        <v>46627</v>
      </c>
      <c r="B8188" s="3" t="inlineStr">
        <is>
          <t>Sat</t>
        </is>
      </c>
      <c r="C8188" s="19" t="n">
        <v>8</v>
      </c>
      <c r="D8188" s="19" t="n">
        <v>2027</v>
      </c>
      <c r="E8188" s="57" t="n">
        <v>8</v>
      </c>
      <c r="F8188" s="29">
        <f>ROUND(((SUMIFS(Calendar!$F$2:$F$9997,Calendar!$B$2:$B$9997,D8188,Calendar!$C$2:$C$9997,C8188)*INDEX(ForeCalc!$B$37:$Y$274,MATCH(_xlfn.CONCAT(H8188," ",I8188),ForeCalc!$A$37:$A$274,0),MATCH(_xlfn.CONCAT(B8188," ",E8188),ForeCalc!$B$36:$Y$36,0))))*VLOOKUP(A8188,Calendar!$A$2:$H$9997,8,FALSE),0)</f>
        <v/>
      </c>
      <c r="G8188" s="29">
        <f>VLOOKUP(A8188,Calendar!$A$1:$H$9997,6,FALSE)-F8188</f>
        <v/>
      </c>
      <c r="H8188" s="19" t="n">
        <v>2</v>
      </c>
      <c r="I8188" s="57" t="n">
        <v>5</v>
      </c>
    </row>
    <row r="8189">
      <c r="A8189" s="62" t="n">
        <v>46628</v>
      </c>
      <c r="B8189" s="3" t="inlineStr">
        <is>
          <t>Sun</t>
        </is>
      </c>
      <c r="C8189" s="19" t="n">
        <v>8</v>
      </c>
      <c r="D8189" s="19" t="n">
        <v>2027</v>
      </c>
      <c r="E8189" s="57" t="n">
        <v>8</v>
      </c>
      <c r="F8189" s="29">
        <f>ROUND(((SUMIFS(Calendar!$F$2:$F$9997,Calendar!$B$2:$B$9997,D8189,Calendar!$C$2:$C$9997,C8189)*INDEX(ForeCalc!$B$37:$Y$274,MATCH(_xlfn.CONCAT(H8189," ",I8189),ForeCalc!$A$37:$A$274,0),MATCH(_xlfn.CONCAT(B8189," ",E8189),ForeCalc!$B$36:$Y$36,0))))*VLOOKUP(A8189,Calendar!$A$2:$H$9997,8,FALSE),0)</f>
        <v/>
      </c>
      <c r="G8189" s="29">
        <f>VLOOKUP(A8189,Calendar!$A$1:$H$9997,6,FALSE)-F8189</f>
        <v/>
      </c>
      <c r="H8189" s="19" t="n">
        <v>2</v>
      </c>
      <c r="I8189" s="57" t="n">
        <v>5</v>
      </c>
    </row>
    <row r="8190">
      <c r="A8190" s="62" t="n">
        <v>46629</v>
      </c>
      <c r="B8190" s="3" t="inlineStr">
        <is>
          <t>Week</t>
        </is>
      </c>
      <c r="C8190" s="19" t="n">
        <v>8</v>
      </c>
      <c r="D8190" s="19" t="n">
        <v>2027</v>
      </c>
      <c r="E8190" s="57" t="n">
        <v>8</v>
      </c>
      <c r="F8190" s="29">
        <f>ROUND(((SUMIFS(Calendar!$F$2:$F$9997,Calendar!$B$2:$B$9997,D8190,Calendar!$C$2:$C$9997,C8190)*INDEX(ForeCalc!$B$37:$Y$274,MATCH(_xlfn.CONCAT(H8190," ",I8190),ForeCalc!$A$37:$A$274,0),MATCH(_xlfn.CONCAT(B8190," ",E8190),ForeCalc!$B$36:$Y$36,0))))*VLOOKUP(A8190,Calendar!$A$2:$H$9997,8,FALSE),0)</f>
        <v/>
      </c>
      <c r="G8190" s="29">
        <f>VLOOKUP(A8190,Calendar!$A$1:$H$9997,6,FALSE)-F8190</f>
        <v/>
      </c>
      <c r="H8190" s="19" t="n">
        <v>2</v>
      </c>
      <c r="I8190" s="57" t="n">
        <v>5</v>
      </c>
    </row>
    <row r="8191">
      <c r="A8191" s="62" t="n">
        <v>46630</v>
      </c>
      <c r="B8191" s="3" t="inlineStr">
        <is>
          <t>Week</t>
        </is>
      </c>
      <c r="C8191" s="19" t="n">
        <v>8</v>
      </c>
      <c r="D8191" s="19" t="n">
        <v>2027</v>
      </c>
      <c r="E8191" s="57" t="n">
        <v>8</v>
      </c>
      <c r="F8191" s="29">
        <f>ROUND(((SUMIFS(Calendar!$F$2:$F$9997,Calendar!$B$2:$B$9997,D8191,Calendar!$C$2:$C$9997,C8191)*INDEX(ForeCalc!$B$37:$Y$274,MATCH(_xlfn.CONCAT(H8191," ",I8191),ForeCalc!$A$37:$A$274,0),MATCH(_xlfn.CONCAT(B8191," ",E8191),ForeCalc!$B$36:$Y$36,0))))*VLOOKUP(A8191,Calendar!$A$2:$H$9997,8,FALSE),0)</f>
        <v/>
      </c>
      <c r="G8191" s="29">
        <f>VLOOKUP(A8191,Calendar!$A$1:$H$9997,6,FALSE)-F8191</f>
        <v/>
      </c>
      <c r="H8191" s="19" t="n">
        <v>2</v>
      </c>
      <c r="I8191" s="57" t="n">
        <v>5</v>
      </c>
    </row>
    <row r="8192">
      <c r="A8192" s="62" t="n">
        <v>46631</v>
      </c>
      <c r="B8192" s="3" t="inlineStr">
        <is>
          <t>Week</t>
        </is>
      </c>
      <c r="C8192" s="19" t="n">
        <v>9</v>
      </c>
      <c r="D8192" s="19" t="n">
        <v>2027</v>
      </c>
      <c r="E8192" s="57" t="n">
        <v>8</v>
      </c>
      <c r="F8192" s="29">
        <f>ROUND(((SUMIFS(Calendar!$F$2:$F$9997,Calendar!$B$2:$B$9997,D8192,Calendar!$C$2:$C$9997,C8192)*INDEX(ForeCalc!$B$37:$Y$274,MATCH(_xlfn.CONCAT(H8192," ",I8192),ForeCalc!$A$37:$A$274,0),MATCH(_xlfn.CONCAT(B8192," ",E8192),ForeCalc!$B$36:$Y$36,0))))*VLOOKUP(A8192,Calendar!$A$2:$H$9997,8,FALSE),0)</f>
        <v/>
      </c>
      <c r="G8192" s="29">
        <f>VLOOKUP(A8192,Calendar!$A$1:$H$9997,6,FALSE)-F8192</f>
        <v/>
      </c>
      <c r="H8192" s="19" t="n">
        <v>2</v>
      </c>
      <c r="I8192" s="57" t="n">
        <v>6</v>
      </c>
    </row>
    <row r="8193">
      <c r="A8193" s="62" t="n">
        <v>46632</v>
      </c>
      <c r="B8193" s="3" t="inlineStr">
        <is>
          <t>Week</t>
        </is>
      </c>
      <c r="C8193" s="19" t="n">
        <v>9</v>
      </c>
      <c r="D8193" s="19" t="n">
        <v>2027</v>
      </c>
      <c r="E8193" s="57" t="n">
        <v>8</v>
      </c>
      <c r="F8193" s="29">
        <f>ROUND(((SUMIFS(Calendar!$F$2:$F$9997,Calendar!$B$2:$B$9997,D8193,Calendar!$C$2:$C$9997,C8193)*INDEX(ForeCalc!$B$37:$Y$274,MATCH(_xlfn.CONCAT(H8193," ",I8193),ForeCalc!$A$37:$A$274,0),MATCH(_xlfn.CONCAT(B8193," ",E8193),ForeCalc!$B$36:$Y$36,0))))*VLOOKUP(A8193,Calendar!$A$2:$H$9997,8,FALSE),0)</f>
        <v/>
      </c>
      <c r="G8193" s="29">
        <f>VLOOKUP(A8193,Calendar!$A$1:$H$9997,6,FALSE)-F8193</f>
        <v/>
      </c>
      <c r="H8193" s="19" t="n">
        <v>2</v>
      </c>
      <c r="I8193" s="57" t="n">
        <v>6</v>
      </c>
    </row>
    <row r="8194">
      <c r="A8194" s="62" t="n">
        <v>46633</v>
      </c>
      <c r="B8194" s="3" t="inlineStr">
        <is>
          <t>Week</t>
        </is>
      </c>
      <c r="C8194" s="19" t="n">
        <v>9</v>
      </c>
      <c r="D8194" s="19" t="n">
        <v>2027</v>
      </c>
      <c r="E8194" s="57" t="n">
        <v>8</v>
      </c>
      <c r="F8194" s="29">
        <f>ROUND(((SUMIFS(Calendar!$F$2:$F$9997,Calendar!$B$2:$B$9997,D8194,Calendar!$C$2:$C$9997,C8194)*INDEX(ForeCalc!$B$37:$Y$274,MATCH(_xlfn.CONCAT(H8194," ",I8194),ForeCalc!$A$37:$A$274,0),MATCH(_xlfn.CONCAT(B8194," ",E8194),ForeCalc!$B$36:$Y$36,0))))*VLOOKUP(A8194,Calendar!$A$2:$H$9997,8,FALSE),0)</f>
        <v/>
      </c>
      <c r="G8194" s="29">
        <f>VLOOKUP(A8194,Calendar!$A$1:$H$9997,6,FALSE)-F8194</f>
        <v/>
      </c>
      <c r="H8194" s="19" t="n">
        <v>2</v>
      </c>
      <c r="I8194" s="57" t="n">
        <v>6</v>
      </c>
    </row>
    <row r="8195">
      <c r="A8195" s="62" t="n">
        <v>46634</v>
      </c>
      <c r="B8195" s="3" t="inlineStr">
        <is>
          <t>Sat</t>
        </is>
      </c>
      <c r="C8195" s="19" t="n">
        <v>9</v>
      </c>
      <c r="D8195" s="19" t="n">
        <v>2027</v>
      </c>
      <c r="E8195" s="57" t="n">
        <v>8</v>
      </c>
      <c r="F8195" s="29">
        <f>ROUND(((SUMIFS(Calendar!$F$2:$F$9997,Calendar!$B$2:$B$9997,D8195,Calendar!$C$2:$C$9997,C8195)*INDEX(ForeCalc!$B$37:$Y$274,MATCH(_xlfn.CONCAT(H8195," ",I8195),ForeCalc!$A$37:$A$274,0),MATCH(_xlfn.CONCAT(B8195," ",E8195),ForeCalc!$B$36:$Y$36,0))))*VLOOKUP(A8195,Calendar!$A$2:$H$9997,8,FALSE),0)</f>
        <v/>
      </c>
      <c r="G8195" s="29">
        <f>VLOOKUP(A8195,Calendar!$A$1:$H$9997,6,FALSE)-F8195</f>
        <v/>
      </c>
      <c r="H8195" s="19" t="n">
        <v>2</v>
      </c>
      <c r="I8195" s="57" t="n">
        <v>6</v>
      </c>
    </row>
    <row r="8196">
      <c r="A8196" s="62" t="n">
        <v>46635</v>
      </c>
      <c r="B8196" s="3" t="inlineStr">
        <is>
          <t>Sun</t>
        </is>
      </c>
      <c r="C8196" s="19" t="n">
        <v>9</v>
      </c>
      <c r="D8196" s="19" t="n">
        <v>2027</v>
      </c>
      <c r="E8196" s="57" t="n">
        <v>8</v>
      </c>
      <c r="F8196" s="29">
        <f>ROUND(((SUMIFS(Calendar!$F$2:$F$9997,Calendar!$B$2:$B$9997,D8196,Calendar!$C$2:$C$9997,C8196)*INDEX(ForeCalc!$B$37:$Y$274,MATCH(_xlfn.CONCAT(H8196," ",I8196),ForeCalc!$A$37:$A$274,0),MATCH(_xlfn.CONCAT(B8196," ",E8196),ForeCalc!$B$36:$Y$36,0))))*VLOOKUP(A8196,Calendar!$A$2:$H$9997,8,FALSE),0)</f>
        <v/>
      </c>
      <c r="G8196" s="29">
        <f>VLOOKUP(A8196,Calendar!$A$1:$H$9997,6,FALSE)-F8196</f>
        <v/>
      </c>
      <c r="H8196" s="19" t="n">
        <v>2</v>
      </c>
      <c r="I8196" s="57" t="n">
        <v>6</v>
      </c>
    </row>
    <row r="8197">
      <c r="A8197" s="62" t="n">
        <v>46636</v>
      </c>
      <c r="B8197" s="3" t="inlineStr">
        <is>
          <t>Week</t>
        </is>
      </c>
      <c r="C8197" s="19" t="n">
        <v>9</v>
      </c>
      <c r="D8197" s="19" t="n">
        <v>2027</v>
      </c>
      <c r="E8197" s="57" t="n">
        <v>8</v>
      </c>
      <c r="F8197" s="29">
        <f>ROUND(((SUMIFS(Calendar!$F$2:$F$9997,Calendar!$B$2:$B$9997,D8197,Calendar!$C$2:$C$9997,C8197)*INDEX(ForeCalc!$B$37:$Y$274,MATCH(_xlfn.CONCAT(H8197," ",I8197),ForeCalc!$A$37:$A$274,0),MATCH(_xlfn.CONCAT(B8197," ",E8197),ForeCalc!$B$36:$Y$36,0))))*VLOOKUP(A8197,Calendar!$A$2:$H$9997,8,FALSE),0)</f>
        <v/>
      </c>
      <c r="G8197" s="29">
        <f>VLOOKUP(A8197,Calendar!$A$1:$H$9997,6,FALSE)-F8197</f>
        <v/>
      </c>
      <c r="H8197" s="19" t="n">
        <v>2</v>
      </c>
      <c r="I8197" s="57" t="n">
        <v>6</v>
      </c>
    </row>
    <row r="8198">
      <c r="A8198" s="62" t="n">
        <v>46637</v>
      </c>
      <c r="B8198" s="3" t="inlineStr">
        <is>
          <t>Week</t>
        </is>
      </c>
      <c r="C8198" s="19" t="n">
        <v>9</v>
      </c>
      <c r="D8198" s="19" t="n">
        <v>2027</v>
      </c>
      <c r="E8198" s="57" t="n">
        <v>8</v>
      </c>
      <c r="F8198" s="29">
        <f>ROUND(((SUMIFS(Calendar!$F$2:$F$9997,Calendar!$B$2:$B$9997,D8198,Calendar!$C$2:$C$9997,C8198)*INDEX(ForeCalc!$B$37:$Y$274,MATCH(_xlfn.CONCAT(H8198," ",I8198),ForeCalc!$A$37:$A$274,0),MATCH(_xlfn.CONCAT(B8198," ",E8198),ForeCalc!$B$36:$Y$36,0))))*VLOOKUP(A8198,Calendar!$A$2:$H$9997,8,FALSE),0)</f>
        <v/>
      </c>
      <c r="G8198" s="29">
        <f>VLOOKUP(A8198,Calendar!$A$1:$H$9997,6,FALSE)-F8198</f>
        <v/>
      </c>
      <c r="H8198" s="19" t="n">
        <v>2</v>
      </c>
      <c r="I8198" s="57" t="n">
        <v>6</v>
      </c>
    </row>
    <row r="8199">
      <c r="A8199" s="62" t="n">
        <v>46638</v>
      </c>
      <c r="B8199" s="3" t="inlineStr">
        <is>
          <t>Week</t>
        </is>
      </c>
      <c r="C8199" s="19" t="n">
        <v>9</v>
      </c>
      <c r="D8199" s="19" t="n">
        <v>2027</v>
      </c>
      <c r="E8199" s="57" t="n">
        <v>8</v>
      </c>
      <c r="F8199" s="29">
        <f>ROUND(((SUMIFS(Calendar!$F$2:$F$9997,Calendar!$B$2:$B$9997,D8199,Calendar!$C$2:$C$9997,C8199)*INDEX(ForeCalc!$B$37:$Y$274,MATCH(_xlfn.CONCAT(H8199," ",I8199),ForeCalc!$A$37:$A$274,0),MATCH(_xlfn.CONCAT(B8199," ",E8199),ForeCalc!$B$36:$Y$36,0))))*VLOOKUP(A8199,Calendar!$A$2:$H$9997,8,FALSE),0)</f>
        <v/>
      </c>
      <c r="G8199" s="29">
        <f>VLOOKUP(A8199,Calendar!$A$1:$H$9997,6,FALSE)-F8199</f>
        <v/>
      </c>
      <c r="H8199" s="19" t="n">
        <v>2</v>
      </c>
      <c r="I8199" s="57" t="n">
        <v>6</v>
      </c>
    </row>
    <row r="8200">
      <c r="A8200" s="62" t="n">
        <v>46639</v>
      </c>
      <c r="B8200" s="3" t="inlineStr">
        <is>
          <t>Week</t>
        </is>
      </c>
      <c r="C8200" s="19" t="n">
        <v>9</v>
      </c>
      <c r="D8200" s="19" t="n">
        <v>2027</v>
      </c>
      <c r="E8200" s="57" t="n">
        <v>8</v>
      </c>
      <c r="F8200" s="29">
        <f>ROUND(((SUMIFS(Calendar!$F$2:$F$9997,Calendar!$B$2:$B$9997,D8200,Calendar!$C$2:$C$9997,C8200)*INDEX(ForeCalc!$B$37:$Y$274,MATCH(_xlfn.CONCAT(H8200," ",I8200),ForeCalc!$A$37:$A$274,0),MATCH(_xlfn.CONCAT(B8200," ",E8200),ForeCalc!$B$36:$Y$36,0))))*VLOOKUP(A8200,Calendar!$A$2:$H$9997,8,FALSE),0)</f>
        <v/>
      </c>
      <c r="G8200" s="29">
        <f>VLOOKUP(A8200,Calendar!$A$1:$H$9997,6,FALSE)-F8200</f>
        <v/>
      </c>
      <c r="H8200" s="19" t="n">
        <v>2</v>
      </c>
      <c r="I8200" s="57" t="n">
        <v>6</v>
      </c>
    </row>
    <row r="8201">
      <c r="A8201" s="62" t="n">
        <v>46640</v>
      </c>
      <c r="B8201" s="3" t="inlineStr">
        <is>
          <t>Week</t>
        </is>
      </c>
      <c r="C8201" s="19" t="n">
        <v>9</v>
      </c>
      <c r="D8201" s="19" t="n">
        <v>2027</v>
      </c>
      <c r="E8201" s="57" t="n">
        <v>8</v>
      </c>
      <c r="F8201" s="29">
        <f>ROUND(((SUMIFS(Calendar!$F$2:$F$9997,Calendar!$B$2:$B$9997,D8201,Calendar!$C$2:$C$9997,C8201)*INDEX(ForeCalc!$B$37:$Y$274,MATCH(_xlfn.CONCAT(H8201," ",I8201),ForeCalc!$A$37:$A$274,0),MATCH(_xlfn.CONCAT(B8201," ",E8201),ForeCalc!$B$36:$Y$36,0))))*VLOOKUP(A8201,Calendar!$A$2:$H$9997,8,FALSE),0)</f>
        <v/>
      </c>
      <c r="G8201" s="29">
        <f>VLOOKUP(A8201,Calendar!$A$1:$H$9997,6,FALSE)-F8201</f>
        <v/>
      </c>
      <c r="H8201" s="19" t="n">
        <v>2</v>
      </c>
      <c r="I8201" s="57" t="n">
        <v>6</v>
      </c>
    </row>
    <row r="8202">
      <c r="A8202" s="62" t="n">
        <v>46641</v>
      </c>
      <c r="B8202" s="3" t="inlineStr">
        <is>
          <t>Sat</t>
        </is>
      </c>
      <c r="C8202" s="19" t="n">
        <v>9</v>
      </c>
      <c r="D8202" s="19" t="n">
        <v>2027</v>
      </c>
      <c r="E8202" s="57" t="n">
        <v>8</v>
      </c>
      <c r="F8202" s="29">
        <f>ROUND(((SUMIFS(Calendar!$F$2:$F$9997,Calendar!$B$2:$B$9997,D8202,Calendar!$C$2:$C$9997,C8202)*INDEX(ForeCalc!$B$37:$Y$274,MATCH(_xlfn.CONCAT(H8202," ",I8202),ForeCalc!$A$37:$A$274,0),MATCH(_xlfn.CONCAT(B8202," ",E8202),ForeCalc!$B$36:$Y$36,0))))*VLOOKUP(A8202,Calendar!$A$2:$H$9997,8,FALSE),0)</f>
        <v/>
      </c>
      <c r="G8202" s="29">
        <f>VLOOKUP(A8202,Calendar!$A$1:$H$9997,6,FALSE)-F8202</f>
        <v/>
      </c>
      <c r="H8202" s="19" t="n">
        <v>2</v>
      </c>
      <c r="I8202" s="57" t="n">
        <v>6</v>
      </c>
    </row>
    <row r="8203">
      <c r="A8203" s="62" t="n">
        <v>46642</v>
      </c>
      <c r="B8203" s="3" t="inlineStr">
        <is>
          <t>Sun</t>
        </is>
      </c>
      <c r="C8203" s="19" t="n">
        <v>9</v>
      </c>
      <c r="D8203" s="19" t="n">
        <v>2027</v>
      </c>
      <c r="E8203" s="57" t="n">
        <v>8</v>
      </c>
      <c r="F8203" s="29">
        <f>ROUND(((SUMIFS(Calendar!$F$2:$F$9997,Calendar!$B$2:$B$9997,D8203,Calendar!$C$2:$C$9997,C8203)*INDEX(ForeCalc!$B$37:$Y$274,MATCH(_xlfn.CONCAT(H8203," ",I8203),ForeCalc!$A$37:$A$274,0),MATCH(_xlfn.CONCAT(B8203," ",E8203),ForeCalc!$B$36:$Y$36,0))))*VLOOKUP(A8203,Calendar!$A$2:$H$9997,8,FALSE),0)</f>
        <v/>
      </c>
      <c r="G8203" s="29">
        <f>VLOOKUP(A8203,Calendar!$A$1:$H$9997,6,FALSE)-F8203</f>
        <v/>
      </c>
      <c r="H8203" s="19" t="n">
        <v>2</v>
      </c>
      <c r="I8203" s="57" t="n">
        <v>6</v>
      </c>
    </row>
    <row r="8204">
      <c r="A8204" s="62" t="n">
        <v>46643</v>
      </c>
      <c r="B8204" s="3" t="inlineStr">
        <is>
          <t>Week</t>
        </is>
      </c>
      <c r="C8204" s="19" t="n">
        <v>9</v>
      </c>
      <c r="D8204" s="19" t="n">
        <v>2027</v>
      </c>
      <c r="E8204" s="57" t="n">
        <v>8</v>
      </c>
      <c r="F8204" s="29">
        <f>ROUND(((SUMIFS(Calendar!$F$2:$F$9997,Calendar!$B$2:$B$9997,D8204,Calendar!$C$2:$C$9997,C8204)*INDEX(ForeCalc!$B$37:$Y$274,MATCH(_xlfn.CONCAT(H8204," ",I8204),ForeCalc!$A$37:$A$274,0),MATCH(_xlfn.CONCAT(B8204," ",E8204),ForeCalc!$B$36:$Y$36,0))))*VLOOKUP(A8204,Calendar!$A$2:$H$9997,8,FALSE),0)</f>
        <v/>
      </c>
      <c r="G8204" s="29">
        <f>VLOOKUP(A8204,Calendar!$A$1:$H$9997,6,FALSE)-F8204</f>
        <v/>
      </c>
      <c r="H8204" s="19" t="n">
        <v>2</v>
      </c>
      <c r="I8204" s="57" t="n">
        <v>6</v>
      </c>
    </row>
    <row r="8205">
      <c r="A8205" s="62" t="n">
        <v>46644</v>
      </c>
      <c r="B8205" s="3" t="inlineStr">
        <is>
          <t>Week</t>
        </is>
      </c>
      <c r="C8205" s="19" t="n">
        <v>9</v>
      </c>
      <c r="D8205" s="19" t="n">
        <v>2027</v>
      </c>
      <c r="E8205" s="57" t="n">
        <v>8</v>
      </c>
      <c r="F8205" s="29">
        <f>ROUND(((SUMIFS(Calendar!$F$2:$F$9997,Calendar!$B$2:$B$9997,D8205,Calendar!$C$2:$C$9997,C8205)*INDEX(ForeCalc!$B$37:$Y$274,MATCH(_xlfn.CONCAT(H8205," ",I8205),ForeCalc!$A$37:$A$274,0),MATCH(_xlfn.CONCAT(B8205," ",E8205),ForeCalc!$B$36:$Y$36,0))))*VLOOKUP(A8205,Calendar!$A$2:$H$9997,8,FALSE),0)</f>
        <v/>
      </c>
      <c r="G8205" s="29">
        <f>VLOOKUP(A8205,Calendar!$A$1:$H$9997,6,FALSE)-F8205</f>
        <v/>
      </c>
      <c r="H8205" s="19" t="n">
        <v>2</v>
      </c>
      <c r="I8205" s="57" t="n">
        <v>6</v>
      </c>
    </row>
    <row r="8206">
      <c r="A8206" s="62" t="n">
        <v>46645</v>
      </c>
      <c r="B8206" s="3" t="inlineStr">
        <is>
          <t>Week</t>
        </is>
      </c>
      <c r="C8206" s="19" t="n">
        <v>9</v>
      </c>
      <c r="D8206" s="19" t="n">
        <v>2027</v>
      </c>
      <c r="E8206" s="57" t="n">
        <v>8</v>
      </c>
      <c r="F8206" s="29">
        <f>ROUND(((SUMIFS(Calendar!$F$2:$F$9997,Calendar!$B$2:$B$9997,D8206,Calendar!$C$2:$C$9997,C8206)*INDEX(ForeCalc!$B$37:$Y$274,MATCH(_xlfn.CONCAT(H8206," ",I8206),ForeCalc!$A$37:$A$274,0),MATCH(_xlfn.CONCAT(B8206," ",E8206),ForeCalc!$B$36:$Y$36,0))))*VLOOKUP(A8206,Calendar!$A$2:$H$9997,8,FALSE),0)</f>
        <v/>
      </c>
      <c r="G8206" s="29">
        <f>VLOOKUP(A8206,Calendar!$A$1:$H$9997,6,FALSE)-F8206</f>
        <v/>
      </c>
      <c r="H8206" s="19" t="n">
        <v>2</v>
      </c>
      <c r="I8206" s="57" t="n">
        <v>6</v>
      </c>
    </row>
    <row r="8207">
      <c r="A8207" s="62" t="n">
        <v>46646</v>
      </c>
      <c r="B8207" s="3" t="inlineStr">
        <is>
          <t>Week</t>
        </is>
      </c>
      <c r="C8207" s="19" t="n">
        <v>9</v>
      </c>
      <c r="D8207" s="19" t="n">
        <v>2027</v>
      </c>
      <c r="E8207" s="57" t="n">
        <v>8</v>
      </c>
      <c r="F8207" s="29">
        <f>ROUND(((SUMIFS(Calendar!$F$2:$F$9997,Calendar!$B$2:$B$9997,D8207,Calendar!$C$2:$C$9997,C8207)*INDEX(ForeCalc!$B$37:$Y$274,MATCH(_xlfn.CONCAT(H8207," ",I8207),ForeCalc!$A$37:$A$274,0),MATCH(_xlfn.CONCAT(B8207," ",E8207),ForeCalc!$B$36:$Y$36,0))))*VLOOKUP(A8207,Calendar!$A$2:$H$9997,8,FALSE),0)</f>
        <v/>
      </c>
      <c r="G8207" s="29">
        <f>VLOOKUP(A8207,Calendar!$A$1:$H$9997,6,FALSE)-F8207</f>
        <v/>
      </c>
      <c r="H8207" s="19" t="n">
        <v>2</v>
      </c>
      <c r="I8207" s="57" t="n">
        <v>6</v>
      </c>
    </row>
    <row r="8208">
      <c r="A8208" s="62" t="n">
        <v>46647</v>
      </c>
      <c r="B8208" s="3" t="inlineStr">
        <is>
          <t>Week</t>
        </is>
      </c>
      <c r="C8208" s="19" t="n">
        <v>9</v>
      </c>
      <c r="D8208" s="19" t="n">
        <v>2027</v>
      </c>
      <c r="E8208" s="57" t="n">
        <v>8</v>
      </c>
      <c r="F8208" s="29">
        <f>ROUND(((SUMIFS(Calendar!$F$2:$F$9997,Calendar!$B$2:$B$9997,D8208,Calendar!$C$2:$C$9997,C8208)*INDEX(ForeCalc!$B$37:$Y$274,MATCH(_xlfn.CONCAT(H8208," ",I8208),ForeCalc!$A$37:$A$274,0),MATCH(_xlfn.CONCAT(B8208," ",E8208),ForeCalc!$B$36:$Y$36,0))))*VLOOKUP(A8208,Calendar!$A$2:$H$9997,8,FALSE),0)</f>
        <v/>
      </c>
      <c r="G8208" s="29">
        <f>VLOOKUP(A8208,Calendar!$A$1:$H$9997,6,FALSE)-F8208</f>
        <v/>
      </c>
      <c r="H8208" s="19" t="n">
        <v>2</v>
      </c>
      <c r="I8208" s="57" t="n">
        <v>6</v>
      </c>
    </row>
    <row r="8209">
      <c r="A8209" s="62" t="n">
        <v>46648</v>
      </c>
      <c r="B8209" s="3" t="inlineStr">
        <is>
          <t>Sat</t>
        </is>
      </c>
      <c r="C8209" s="19" t="n">
        <v>9</v>
      </c>
      <c r="D8209" s="19" t="n">
        <v>2027</v>
      </c>
      <c r="E8209" s="57" t="n">
        <v>8</v>
      </c>
      <c r="F8209" s="29">
        <f>ROUND(((SUMIFS(Calendar!$F$2:$F$9997,Calendar!$B$2:$B$9997,D8209,Calendar!$C$2:$C$9997,C8209)*INDEX(ForeCalc!$B$37:$Y$274,MATCH(_xlfn.CONCAT(H8209," ",I8209),ForeCalc!$A$37:$A$274,0),MATCH(_xlfn.CONCAT(B8209," ",E8209),ForeCalc!$B$36:$Y$36,0))))*VLOOKUP(A8209,Calendar!$A$2:$H$9997,8,FALSE),0)</f>
        <v/>
      </c>
      <c r="G8209" s="29">
        <f>VLOOKUP(A8209,Calendar!$A$1:$H$9997,6,FALSE)-F8209</f>
        <v/>
      </c>
      <c r="H8209" s="19" t="n">
        <v>2</v>
      </c>
      <c r="I8209" s="57" t="n">
        <v>6</v>
      </c>
    </row>
    <row r="8210">
      <c r="A8210" s="62" t="n">
        <v>46649</v>
      </c>
      <c r="B8210" s="3" t="inlineStr">
        <is>
          <t>Sun</t>
        </is>
      </c>
      <c r="C8210" s="19" t="n">
        <v>9</v>
      </c>
      <c r="D8210" s="19" t="n">
        <v>2027</v>
      </c>
      <c r="E8210" s="57" t="n">
        <v>8</v>
      </c>
      <c r="F8210" s="29">
        <f>ROUND(((SUMIFS(Calendar!$F$2:$F$9997,Calendar!$B$2:$B$9997,D8210,Calendar!$C$2:$C$9997,C8210)*INDEX(ForeCalc!$B$37:$Y$274,MATCH(_xlfn.CONCAT(H8210," ",I8210),ForeCalc!$A$37:$A$274,0),MATCH(_xlfn.CONCAT(B8210," ",E8210),ForeCalc!$B$36:$Y$36,0))))*VLOOKUP(A8210,Calendar!$A$2:$H$9997,8,FALSE),0)</f>
        <v/>
      </c>
      <c r="G8210" s="29">
        <f>VLOOKUP(A8210,Calendar!$A$1:$H$9997,6,FALSE)-F8210</f>
        <v/>
      </c>
      <c r="H8210" s="19" t="n">
        <v>2</v>
      </c>
      <c r="I8210" s="57" t="n">
        <v>6</v>
      </c>
    </row>
    <row r="8211">
      <c r="A8211" s="62" t="n">
        <v>46650</v>
      </c>
      <c r="B8211" s="3" t="inlineStr">
        <is>
          <t>Week</t>
        </is>
      </c>
      <c r="C8211" s="19" t="n">
        <v>9</v>
      </c>
      <c r="D8211" s="19" t="n">
        <v>2027</v>
      </c>
      <c r="E8211" s="57" t="n">
        <v>8</v>
      </c>
      <c r="F8211" s="29">
        <f>ROUND(((SUMIFS(Calendar!$F$2:$F$9997,Calendar!$B$2:$B$9997,D8211,Calendar!$C$2:$C$9997,C8211)*INDEX(ForeCalc!$B$37:$Y$274,MATCH(_xlfn.CONCAT(H8211," ",I8211),ForeCalc!$A$37:$A$274,0),MATCH(_xlfn.CONCAT(B8211," ",E8211),ForeCalc!$B$36:$Y$36,0))))*VLOOKUP(A8211,Calendar!$A$2:$H$9997,8,FALSE),0)</f>
        <v/>
      </c>
      <c r="G8211" s="29">
        <f>VLOOKUP(A8211,Calendar!$A$1:$H$9997,6,FALSE)-F8211</f>
        <v/>
      </c>
      <c r="H8211" s="19" t="n">
        <v>2</v>
      </c>
      <c r="I8211" s="57" t="n">
        <v>6</v>
      </c>
    </row>
    <row r="8212">
      <c r="A8212" s="62" t="n">
        <v>46651</v>
      </c>
      <c r="B8212" s="3" t="inlineStr">
        <is>
          <t>Week</t>
        </is>
      </c>
      <c r="C8212" s="19" t="n">
        <v>9</v>
      </c>
      <c r="D8212" s="19" t="n">
        <v>2027</v>
      </c>
      <c r="E8212" s="57" t="n">
        <v>8</v>
      </c>
      <c r="F8212" s="29">
        <f>ROUND(((SUMIFS(Calendar!$F$2:$F$9997,Calendar!$B$2:$B$9997,D8212,Calendar!$C$2:$C$9997,C8212)*INDEX(ForeCalc!$B$37:$Y$274,MATCH(_xlfn.CONCAT(H8212," ",I8212),ForeCalc!$A$37:$A$274,0),MATCH(_xlfn.CONCAT(B8212," ",E8212),ForeCalc!$B$36:$Y$36,0))))*VLOOKUP(A8212,Calendar!$A$2:$H$9997,8,FALSE),0)</f>
        <v/>
      </c>
      <c r="G8212" s="29">
        <f>VLOOKUP(A8212,Calendar!$A$1:$H$9997,6,FALSE)-F8212</f>
        <v/>
      </c>
      <c r="H8212" s="19" t="n">
        <v>2</v>
      </c>
      <c r="I8212" s="57" t="n">
        <v>6</v>
      </c>
    </row>
    <row r="8213">
      <c r="A8213" s="62" t="n">
        <v>46652</v>
      </c>
      <c r="B8213" s="3" t="inlineStr">
        <is>
          <t>Week</t>
        </is>
      </c>
      <c r="C8213" s="19" t="n">
        <v>9</v>
      </c>
      <c r="D8213" s="19" t="n">
        <v>2027</v>
      </c>
      <c r="E8213" s="57" t="n">
        <v>8</v>
      </c>
      <c r="F8213" s="29">
        <f>ROUND(((SUMIFS(Calendar!$F$2:$F$9997,Calendar!$B$2:$B$9997,D8213,Calendar!$C$2:$C$9997,C8213)*INDEX(ForeCalc!$B$37:$Y$274,MATCH(_xlfn.CONCAT(H8213," ",I8213),ForeCalc!$A$37:$A$274,0),MATCH(_xlfn.CONCAT(B8213," ",E8213),ForeCalc!$B$36:$Y$36,0))))*VLOOKUP(A8213,Calendar!$A$2:$H$9997,8,FALSE),0)</f>
        <v/>
      </c>
      <c r="G8213" s="29">
        <f>VLOOKUP(A8213,Calendar!$A$1:$H$9997,6,FALSE)-F8213</f>
        <v/>
      </c>
      <c r="H8213" s="19" t="n">
        <v>2</v>
      </c>
      <c r="I8213" s="57" t="n">
        <v>6</v>
      </c>
    </row>
    <row r="8214">
      <c r="A8214" s="62" t="n">
        <v>46653</v>
      </c>
      <c r="B8214" s="3" t="inlineStr">
        <is>
          <t>Week</t>
        </is>
      </c>
      <c r="C8214" s="19" t="n">
        <v>9</v>
      </c>
      <c r="D8214" s="19" t="n">
        <v>2027</v>
      </c>
      <c r="E8214" s="57" t="n">
        <v>8</v>
      </c>
      <c r="F8214" s="29">
        <f>ROUND(((SUMIFS(Calendar!$F$2:$F$9997,Calendar!$B$2:$B$9997,D8214,Calendar!$C$2:$C$9997,C8214)*INDEX(ForeCalc!$B$37:$Y$274,MATCH(_xlfn.CONCAT(H8214," ",I8214),ForeCalc!$A$37:$A$274,0),MATCH(_xlfn.CONCAT(B8214," ",E8214),ForeCalc!$B$36:$Y$36,0))))*VLOOKUP(A8214,Calendar!$A$2:$H$9997,8,FALSE),0)</f>
        <v/>
      </c>
      <c r="G8214" s="29">
        <f>VLOOKUP(A8214,Calendar!$A$1:$H$9997,6,FALSE)-F8214</f>
        <v/>
      </c>
      <c r="H8214" s="19" t="n">
        <v>2</v>
      </c>
      <c r="I8214" s="57" t="n">
        <v>6</v>
      </c>
    </row>
    <row r="8215">
      <c r="A8215" s="62" t="n">
        <v>46654</v>
      </c>
      <c r="B8215" s="3" t="inlineStr">
        <is>
          <t>Week</t>
        </is>
      </c>
      <c r="C8215" s="19" t="n">
        <v>9</v>
      </c>
      <c r="D8215" s="19" t="n">
        <v>2027</v>
      </c>
      <c r="E8215" s="57" t="n">
        <v>8</v>
      </c>
      <c r="F8215" s="29">
        <f>ROUND(((SUMIFS(Calendar!$F$2:$F$9997,Calendar!$B$2:$B$9997,D8215,Calendar!$C$2:$C$9997,C8215)*INDEX(ForeCalc!$B$37:$Y$274,MATCH(_xlfn.CONCAT(H8215," ",I8215),ForeCalc!$A$37:$A$274,0),MATCH(_xlfn.CONCAT(B8215," ",E8215),ForeCalc!$B$36:$Y$36,0))))*VLOOKUP(A8215,Calendar!$A$2:$H$9997,8,FALSE),0)</f>
        <v/>
      </c>
      <c r="G8215" s="29">
        <f>VLOOKUP(A8215,Calendar!$A$1:$H$9997,6,FALSE)-F8215</f>
        <v/>
      </c>
      <c r="H8215" s="19" t="n">
        <v>2</v>
      </c>
      <c r="I8215" s="57" t="n">
        <v>6</v>
      </c>
    </row>
    <row r="8216">
      <c r="A8216" s="62" t="n">
        <v>46655</v>
      </c>
      <c r="B8216" s="3" t="inlineStr">
        <is>
          <t>Sat</t>
        </is>
      </c>
      <c r="C8216" s="19" t="n">
        <v>9</v>
      </c>
      <c r="D8216" s="19" t="n">
        <v>2027</v>
      </c>
      <c r="E8216" s="57" t="n">
        <v>8</v>
      </c>
      <c r="F8216" s="29">
        <f>ROUND(((SUMIFS(Calendar!$F$2:$F$9997,Calendar!$B$2:$B$9997,D8216,Calendar!$C$2:$C$9997,C8216)*INDEX(ForeCalc!$B$37:$Y$274,MATCH(_xlfn.CONCAT(H8216," ",I8216),ForeCalc!$A$37:$A$274,0),MATCH(_xlfn.CONCAT(B8216," ",E8216),ForeCalc!$B$36:$Y$36,0))))*VLOOKUP(A8216,Calendar!$A$2:$H$9997,8,FALSE),0)</f>
        <v/>
      </c>
      <c r="G8216" s="29">
        <f>VLOOKUP(A8216,Calendar!$A$1:$H$9997,6,FALSE)-F8216</f>
        <v/>
      </c>
      <c r="H8216" s="19" t="n">
        <v>2</v>
      </c>
      <c r="I8216" s="57" t="n">
        <v>6</v>
      </c>
    </row>
    <row r="8217">
      <c r="A8217" s="62" t="n">
        <v>46656</v>
      </c>
      <c r="B8217" s="3" t="inlineStr">
        <is>
          <t>Sun</t>
        </is>
      </c>
      <c r="C8217" s="19" t="n">
        <v>9</v>
      </c>
      <c r="D8217" s="19" t="n">
        <v>2027</v>
      </c>
      <c r="E8217" s="57" t="n">
        <v>8</v>
      </c>
      <c r="F8217" s="29">
        <f>ROUND(((SUMIFS(Calendar!$F$2:$F$9997,Calendar!$B$2:$B$9997,D8217,Calendar!$C$2:$C$9997,C8217)*INDEX(ForeCalc!$B$37:$Y$274,MATCH(_xlfn.CONCAT(H8217," ",I8217),ForeCalc!$A$37:$A$274,0),MATCH(_xlfn.CONCAT(B8217," ",E8217),ForeCalc!$B$36:$Y$36,0))))*VLOOKUP(A8217,Calendar!$A$2:$H$9997,8,FALSE),0)</f>
        <v/>
      </c>
      <c r="G8217" s="29">
        <f>VLOOKUP(A8217,Calendar!$A$1:$H$9997,6,FALSE)-F8217</f>
        <v/>
      </c>
      <c r="H8217" s="19" t="n">
        <v>2</v>
      </c>
      <c r="I8217" s="57" t="n">
        <v>6</v>
      </c>
    </row>
    <row r="8218">
      <c r="A8218" s="62" t="n">
        <v>46657</v>
      </c>
      <c r="B8218" s="3" t="inlineStr">
        <is>
          <t>Week</t>
        </is>
      </c>
      <c r="C8218" s="19" t="n">
        <v>9</v>
      </c>
      <c r="D8218" s="19" t="n">
        <v>2027</v>
      </c>
      <c r="E8218" s="57" t="n">
        <v>8</v>
      </c>
      <c r="F8218" s="29">
        <f>ROUND(((SUMIFS(Calendar!$F$2:$F$9997,Calendar!$B$2:$B$9997,D8218,Calendar!$C$2:$C$9997,C8218)*INDEX(ForeCalc!$B$37:$Y$274,MATCH(_xlfn.CONCAT(H8218," ",I8218),ForeCalc!$A$37:$A$274,0),MATCH(_xlfn.CONCAT(B8218," ",E8218),ForeCalc!$B$36:$Y$36,0))))*VLOOKUP(A8218,Calendar!$A$2:$H$9997,8,FALSE),0)</f>
        <v/>
      </c>
      <c r="G8218" s="29">
        <f>VLOOKUP(A8218,Calendar!$A$1:$H$9997,6,FALSE)-F8218</f>
        <v/>
      </c>
      <c r="H8218" s="19" t="n">
        <v>2</v>
      </c>
      <c r="I8218" s="57" t="n">
        <v>6</v>
      </c>
    </row>
    <row r="8219">
      <c r="A8219" s="62" t="n">
        <v>46658</v>
      </c>
      <c r="B8219" s="3" t="inlineStr">
        <is>
          <t>Week</t>
        </is>
      </c>
      <c r="C8219" s="19" t="n">
        <v>9</v>
      </c>
      <c r="D8219" s="19" t="n">
        <v>2027</v>
      </c>
      <c r="E8219" s="57" t="n">
        <v>8</v>
      </c>
      <c r="F8219" s="29">
        <f>ROUND(((SUMIFS(Calendar!$F$2:$F$9997,Calendar!$B$2:$B$9997,D8219,Calendar!$C$2:$C$9997,C8219)*INDEX(ForeCalc!$B$37:$Y$274,MATCH(_xlfn.CONCAT(H8219," ",I8219),ForeCalc!$A$37:$A$274,0),MATCH(_xlfn.CONCAT(B8219," ",E8219),ForeCalc!$B$36:$Y$36,0))))*VLOOKUP(A8219,Calendar!$A$2:$H$9997,8,FALSE),0)</f>
        <v/>
      </c>
      <c r="G8219" s="29">
        <f>VLOOKUP(A8219,Calendar!$A$1:$H$9997,6,FALSE)-F8219</f>
        <v/>
      </c>
      <c r="H8219" s="19" t="n">
        <v>2</v>
      </c>
      <c r="I8219" s="57" t="n">
        <v>6</v>
      </c>
    </row>
    <row r="8220">
      <c r="A8220" s="62" t="n">
        <v>46659</v>
      </c>
      <c r="B8220" s="3" t="inlineStr">
        <is>
          <t>Week</t>
        </is>
      </c>
      <c r="C8220" s="19" t="n">
        <v>9</v>
      </c>
      <c r="D8220" s="19" t="n">
        <v>2027</v>
      </c>
      <c r="E8220" s="57" t="n">
        <v>8</v>
      </c>
      <c r="F8220" s="29">
        <f>ROUND(((SUMIFS(Calendar!$F$2:$F$9997,Calendar!$B$2:$B$9997,D8220,Calendar!$C$2:$C$9997,C8220)*INDEX(ForeCalc!$B$37:$Y$274,MATCH(_xlfn.CONCAT(H8220," ",I8220),ForeCalc!$A$37:$A$274,0),MATCH(_xlfn.CONCAT(B8220," ",E8220),ForeCalc!$B$36:$Y$36,0))))*VLOOKUP(A8220,Calendar!$A$2:$H$9997,8,FALSE),0)</f>
        <v/>
      </c>
      <c r="G8220" s="29">
        <f>VLOOKUP(A8220,Calendar!$A$1:$H$9997,6,FALSE)-F8220</f>
        <v/>
      </c>
      <c r="H8220" s="19" t="n">
        <v>2</v>
      </c>
      <c r="I8220" s="57" t="n">
        <v>6</v>
      </c>
    </row>
    <row r="8221">
      <c r="A8221" s="62" t="n">
        <v>46660</v>
      </c>
      <c r="B8221" s="3" t="inlineStr">
        <is>
          <t>Week</t>
        </is>
      </c>
      <c r="C8221" s="19" t="n">
        <v>9</v>
      </c>
      <c r="D8221" s="19" t="n">
        <v>2027</v>
      </c>
      <c r="E8221" s="57" t="n">
        <v>8</v>
      </c>
      <c r="F8221" s="29">
        <f>ROUND(((SUMIFS(Calendar!$F$2:$F$9997,Calendar!$B$2:$B$9997,D8221,Calendar!$C$2:$C$9997,C8221)*INDEX(ForeCalc!$B$37:$Y$274,MATCH(_xlfn.CONCAT(H8221," ",I8221),ForeCalc!$A$37:$A$274,0),MATCH(_xlfn.CONCAT(B8221," ",E8221),ForeCalc!$B$36:$Y$36,0))))*VLOOKUP(A8221,Calendar!$A$2:$H$9997,8,FALSE),0)</f>
        <v/>
      </c>
      <c r="G8221" s="29">
        <f>VLOOKUP(A8221,Calendar!$A$1:$H$9997,6,FALSE)-F8221</f>
        <v/>
      </c>
      <c r="H8221" s="19" t="n">
        <v>2</v>
      </c>
      <c r="I8221" s="57" t="n">
        <v>6</v>
      </c>
    </row>
    <row r="8222">
      <c r="A8222" s="62" t="n">
        <v>46661</v>
      </c>
      <c r="B8222" s="3" t="inlineStr">
        <is>
          <t>Week</t>
        </is>
      </c>
      <c r="C8222" s="19" t="n">
        <v>10</v>
      </c>
      <c r="D8222" s="19" t="n">
        <v>2027</v>
      </c>
      <c r="E8222" s="57" t="n">
        <v>8</v>
      </c>
      <c r="F8222" s="29">
        <f>ROUND(((SUMIFS(Calendar!$F$2:$F$9997,Calendar!$B$2:$B$9997,D8222,Calendar!$C$2:$C$9997,C8222)*INDEX(ForeCalc!$B$37:$Y$274,MATCH(_xlfn.CONCAT(H8222," ",I8222),ForeCalc!$A$37:$A$274,0),MATCH(_xlfn.CONCAT(B8222," ",E8222),ForeCalc!$B$36:$Y$36,0))))*VLOOKUP(A8222,Calendar!$A$2:$H$9997,8,FALSE),0)</f>
        <v/>
      </c>
      <c r="G8222" s="29">
        <f>VLOOKUP(A8222,Calendar!$A$1:$H$9997,6,FALSE)-F8222</f>
        <v/>
      </c>
      <c r="H8222" s="19" t="n">
        <v>2</v>
      </c>
      <c r="I8222" s="57" t="n">
        <v>7</v>
      </c>
    </row>
    <row r="8223">
      <c r="A8223" s="62" t="n">
        <v>46662</v>
      </c>
      <c r="B8223" s="3" t="inlineStr">
        <is>
          <t>Sat</t>
        </is>
      </c>
      <c r="C8223" s="19" t="n">
        <v>10</v>
      </c>
      <c r="D8223" s="19" t="n">
        <v>2027</v>
      </c>
      <c r="E8223" s="57" t="n">
        <v>8</v>
      </c>
      <c r="F8223" s="29">
        <f>ROUND(((SUMIFS(Calendar!$F$2:$F$9997,Calendar!$B$2:$B$9997,D8223,Calendar!$C$2:$C$9997,C8223)*INDEX(ForeCalc!$B$37:$Y$274,MATCH(_xlfn.CONCAT(H8223," ",I8223),ForeCalc!$A$37:$A$274,0),MATCH(_xlfn.CONCAT(B8223," ",E8223),ForeCalc!$B$36:$Y$36,0))))*VLOOKUP(A8223,Calendar!$A$2:$H$9997,8,FALSE),0)</f>
        <v/>
      </c>
      <c r="G8223" s="29">
        <f>VLOOKUP(A8223,Calendar!$A$1:$H$9997,6,FALSE)-F8223</f>
        <v/>
      </c>
      <c r="H8223" s="19" t="n">
        <v>2</v>
      </c>
      <c r="I8223" s="57" t="n">
        <v>7</v>
      </c>
    </row>
    <row r="8224">
      <c r="A8224" s="62" t="n">
        <v>46663</v>
      </c>
      <c r="B8224" s="3" t="inlineStr">
        <is>
          <t>Sun</t>
        </is>
      </c>
      <c r="C8224" s="19" t="n">
        <v>10</v>
      </c>
      <c r="D8224" s="19" t="n">
        <v>2027</v>
      </c>
      <c r="E8224" s="57" t="n">
        <v>8</v>
      </c>
      <c r="F8224" s="29">
        <f>ROUND(((SUMIFS(Calendar!$F$2:$F$9997,Calendar!$B$2:$B$9997,D8224,Calendar!$C$2:$C$9997,C8224)*INDEX(ForeCalc!$B$37:$Y$274,MATCH(_xlfn.CONCAT(H8224," ",I8224),ForeCalc!$A$37:$A$274,0),MATCH(_xlfn.CONCAT(B8224," ",E8224),ForeCalc!$B$36:$Y$36,0))))*VLOOKUP(A8224,Calendar!$A$2:$H$9997,8,FALSE),0)</f>
        <v/>
      </c>
      <c r="G8224" s="29">
        <f>VLOOKUP(A8224,Calendar!$A$1:$H$9997,6,FALSE)-F8224</f>
        <v/>
      </c>
      <c r="H8224" s="19" t="n">
        <v>2</v>
      </c>
      <c r="I8224" s="57" t="n">
        <v>7</v>
      </c>
    </row>
    <row r="8225">
      <c r="A8225" s="62" t="n">
        <v>46664</v>
      </c>
      <c r="B8225" s="3" t="inlineStr">
        <is>
          <t>Week</t>
        </is>
      </c>
      <c r="C8225" s="19" t="n">
        <v>10</v>
      </c>
      <c r="D8225" s="19" t="n">
        <v>2027</v>
      </c>
      <c r="E8225" s="57" t="n">
        <v>8</v>
      </c>
      <c r="F8225" s="29">
        <f>ROUND(((SUMIFS(Calendar!$F$2:$F$9997,Calendar!$B$2:$B$9997,D8225,Calendar!$C$2:$C$9997,C8225)*INDEX(ForeCalc!$B$37:$Y$274,MATCH(_xlfn.CONCAT(H8225," ",I8225),ForeCalc!$A$37:$A$274,0),MATCH(_xlfn.CONCAT(B8225," ",E8225),ForeCalc!$B$36:$Y$36,0))))*VLOOKUP(A8225,Calendar!$A$2:$H$9997,8,FALSE),0)</f>
        <v/>
      </c>
      <c r="G8225" s="29">
        <f>VLOOKUP(A8225,Calendar!$A$1:$H$9997,6,FALSE)-F8225</f>
        <v/>
      </c>
      <c r="H8225" s="19" t="n">
        <v>2</v>
      </c>
      <c r="I8225" s="57" t="n">
        <v>7</v>
      </c>
    </row>
    <row r="8226">
      <c r="A8226" s="62" t="n">
        <v>46665</v>
      </c>
      <c r="B8226" s="3" t="inlineStr">
        <is>
          <t>Week</t>
        </is>
      </c>
      <c r="C8226" s="19" t="n">
        <v>10</v>
      </c>
      <c r="D8226" s="19" t="n">
        <v>2027</v>
      </c>
      <c r="E8226" s="57" t="n">
        <v>8</v>
      </c>
      <c r="F8226" s="29">
        <f>ROUND(((SUMIFS(Calendar!$F$2:$F$9997,Calendar!$B$2:$B$9997,D8226,Calendar!$C$2:$C$9997,C8226)*INDEX(ForeCalc!$B$37:$Y$274,MATCH(_xlfn.CONCAT(H8226," ",I8226),ForeCalc!$A$37:$A$274,0),MATCH(_xlfn.CONCAT(B8226," ",E8226),ForeCalc!$B$36:$Y$36,0))))*VLOOKUP(A8226,Calendar!$A$2:$H$9997,8,FALSE),0)</f>
        <v/>
      </c>
      <c r="G8226" s="29">
        <f>VLOOKUP(A8226,Calendar!$A$1:$H$9997,6,FALSE)-F8226</f>
        <v/>
      </c>
      <c r="H8226" s="19" t="n">
        <v>2</v>
      </c>
      <c r="I8226" s="57" t="n">
        <v>7</v>
      </c>
    </row>
    <row r="8227">
      <c r="A8227" s="62" t="n">
        <v>46666</v>
      </c>
      <c r="B8227" s="3" t="inlineStr">
        <is>
          <t>Week</t>
        </is>
      </c>
      <c r="C8227" s="19" t="n">
        <v>10</v>
      </c>
      <c r="D8227" s="19" t="n">
        <v>2027</v>
      </c>
      <c r="E8227" s="57" t="n">
        <v>8</v>
      </c>
      <c r="F8227" s="29">
        <f>ROUND(((SUMIFS(Calendar!$F$2:$F$9997,Calendar!$B$2:$B$9997,D8227,Calendar!$C$2:$C$9997,C8227)*INDEX(ForeCalc!$B$37:$Y$274,MATCH(_xlfn.CONCAT(H8227," ",I8227),ForeCalc!$A$37:$A$274,0),MATCH(_xlfn.CONCAT(B8227," ",E8227),ForeCalc!$B$36:$Y$36,0))))*VLOOKUP(A8227,Calendar!$A$2:$H$9997,8,FALSE),0)</f>
        <v/>
      </c>
      <c r="G8227" s="29">
        <f>VLOOKUP(A8227,Calendar!$A$1:$H$9997,6,FALSE)-F8227</f>
        <v/>
      </c>
      <c r="H8227" s="19" t="n">
        <v>2</v>
      </c>
      <c r="I8227" s="57" t="n">
        <v>7</v>
      </c>
    </row>
    <row r="8228">
      <c r="A8228" s="62" t="n">
        <v>46667</v>
      </c>
      <c r="B8228" s="3" t="inlineStr">
        <is>
          <t>Week</t>
        </is>
      </c>
      <c r="C8228" s="19" t="n">
        <v>10</v>
      </c>
      <c r="D8228" s="19" t="n">
        <v>2027</v>
      </c>
      <c r="E8228" s="57" t="n">
        <v>8</v>
      </c>
      <c r="F8228" s="29">
        <f>ROUND(((SUMIFS(Calendar!$F$2:$F$9997,Calendar!$B$2:$B$9997,D8228,Calendar!$C$2:$C$9997,C8228)*INDEX(ForeCalc!$B$37:$Y$274,MATCH(_xlfn.CONCAT(H8228," ",I8228),ForeCalc!$A$37:$A$274,0),MATCH(_xlfn.CONCAT(B8228," ",E8228),ForeCalc!$B$36:$Y$36,0))))*VLOOKUP(A8228,Calendar!$A$2:$H$9997,8,FALSE),0)</f>
        <v/>
      </c>
      <c r="G8228" s="29">
        <f>VLOOKUP(A8228,Calendar!$A$1:$H$9997,6,FALSE)-F8228</f>
        <v/>
      </c>
      <c r="H8228" s="19" t="n">
        <v>2</v>
      </c>
      <c r="I8228" s="57" t="n">
        <v>7</v>
      </c>
    </row>
    <row r="8229">
      <c r="A8229" s="62" t="n">
        <v>46668</v>
      </c>
      <c r="B8229" s="3" t="inlineStr">
        <is>
          <t>Week</t>
        </is>
      </c>
      <c r="C8229" s="19" t="n">
        <v>10</v>
      </c>
      <c r="D8229" s="19" t="n">
        <v>2027</v>
      </c>
      <c r="E8229" s="57" t="n">
        <v>8</v>
      </c>
      <c r="F8229" s="29">
        <f>ROUND(((SUMIFS(Calendar!$F$2:$F$9997,Calendar!$B$2:$B$9997,D8229,Calendar!$C$2:$C$9997,C8229)*INDEX(ForeCalc!$B$37:$Y$274,MATCH(_xlfn.CONCAT(H8229," ",I8229),ForeCalc!$A$37:$A$274,0),MATCH(_xlfn.CONCAT(B8229," ",E8229),ForeCalc!$B$36:$Y$36,0))))*VLOOKUP(A8229,Calendar!$A$2:$H$9997,8,FALSE),0)</f>
        <v/>
      </c>
      <c r="G8229" s="29">
        <f>VLOOKUP(A8229,Calendar!$A$1:$H$9997,6,FALSE)-F8229</f>
        <v/>
      </c>
      <c r="H8229" s="19" t="n">
        <v>2</v>
      </c>
      <c r="I8229" s="57" t="n">
        <v>7</v>
      </c>
    </row>
    <row r="8230">
      <c r="A8230" s="62" t="n">
        <v>46669</v>
      </c>
      <c r="B8230" s="3" t="inlineStr">
        <is>
          <t>Sat</t>
        </is>
      </c>
      <c r="C8230" s="19" t="n">
        <v>10</v>
      </c>
      <c r="D8230" s="19" t="n">
        <v>2027</v>
      </c>
      <c r="E8230" s="57" t="n">
        <v>8</v>
      </c>
      <c r="F8230" s="29">
        <f>ROUND(((SUMIFS(Calendar!$F$2:$F$9997,Calendar!$B$2:$B$9997,D8230,Calendar!$C$2:$C$9997,C8230)*INDEX(ForeCalc!$B$37:$Y$274,MATCH(_xlfn.CONCAT(H8230," ",I8230),ForeCalc!$A$37:$A$274,0),MATCH(_xlfn.CONCAT(B8230," ",E8230),ForeCalc!$B$36:$Y$36,0))))*VLOOKUP(A8230,Calendar!$A$2:$H$9997,8,FALSE),0)</f>
        <v/>
      </c>
      <c r="G8230" s="29">
        <f>VLOOKUP(A8230,Calendar!$A$1:$H$9997,6,FALSE)-F8230</f>
        <v/>
      </c>
      <c r="H8230" s="19" t="n">
        <v>2</v>
      </c>
      <c r="I8230" s="57" t="n">
        <v>7</v>
      </c>
    </row>
    <row r="8231">
      <c r="A8231" s="62" t="n">
        <v>46670</v>
      </c>
      <c r="B8231" s="3" t="inlineStr">
        <is>
          <t>Sun</t>
        </is>
      </c>
      <c r="C8231" s="19" t="n">
        <v>10</v>
      </c>
      <c r="D8231" s="19" t="n">
        <v>2027</v>
      </c>
      <c r="E8231" s="57" t="n">
        <v>8</v>
      </c>
      <c r="F8231" s="29">
        <f>ROUND(((SUMIFS(Calendar!$F$2:$F$9997,Calendar!$B$2:$B$9997,D8231,Calendar!$C$2:$C$9997,C8231)*INDEX(ForeCalc!$B$37:$Y$274,MATCH(_xlfn.CONCAT(H8231," ",I8231),ForeCalc!$A$37:$A$274,0),MATCH(_xlfn.CONCAT(B8231," ",E8231),ForeCalc!$B$36:$Y$36,0))))*VLOOKUP(A8231,Calendar!$A$2:$H$9997,8,FALSE),0)</f>
        <v/>
      </c>
      <c r="G8231" s="29">
        <f>VLOOKUP(A8231,Calendar!$A$1:$H$9997,6,FALSE)-F8231</f>
        <v/>
      </c>
      <c r="H8231" s="19" t="n">
        <v>2</v>
      </c>
      <c r="I8231" s="57" t="n">
        <v>7</v>
      </c>
    </row>
    <row r="8232">
      <c r="A8232" s="62" t="n">
        <v>46671</v>
      </c>
      <c r="B8232" s="3" t="inlineStr">
        <is>
          <t>Week</t>
        </is>
      </c>
      <c r="C8232" s="19" t="n">
        <v>10</v>
      </c>
      <c r="D8232" s="19" t="n">
        <v>2027</v>
      </c>
      <c r="E8232" s="57" t="n">
        <v>8</v>
      </c>
      <c r="F8232" s="29">
        <f>ROUND(((SUMIFS(Calendar!$F$2:$F$9997,Calendar!$B$2:$B$9997,D8232,Calendar!$C$2:$C$9997,C8232)*INDEX(ForeCalc!$B$37:$Y$274,MATCH(_xlfn.CONCAT(H8232," ",I8232),ForeCalc!$A$37:$A$274,0),MATCH(_xlfn.CONCAT(B8232," ",E8232),ForeCalc!$B$36:$Y$36,0))))*VLOOKUP(A8232,Calendar!$A$2:$H$9997,8,FALSE),0)</f>
        <v/>
      </c>
      <c r="G8232" s="29">
        <f>VLOOKUP(A8232,Calendar!$A$1:$H$9997,6,FALSE)-F8232</f>
        <v/>
      </c>
      <c r="H8232" s="19" t="n">
        <v>2</v>
      </c>
      <c r="I8232" s="57" t="n">
        <v>7</v>
      </c>
    </row>
    <row r="8233">
      <c r="A8233" s="62" t="n">
        <v>46672</v>
      </c>
      <c r="B8233" s="3" t="inlineStr">
        <is>
          <t>Week</t>
        </is>
      </c>
      <c r="C8233" s="19" t="n">
        <v>10</v>
      </c>
      <c r="D8233" s="19" t="n">
        <v>2027</v>
      </c>
      <c r="E8233" s="57" t="n">
        <v>8</v>
      </c>
      <c r="F8233" s="29">
        <f>ROUND(((SUMIFS(Calendar!$F$2:$F$9997,Calendar!$B$2:$B$9997,D8233,Calendar!$C$2:$C$9997,C8233)*INDEX(ForeCalc!$B$37:$Y$274,MATCH(_xlfn.CONCAT(H8233," ",I8233),ForeCalc!$A$37:$A$274,0),MATCH(_xlfn.CONCAT(B8233," ",E8233),ForeCalc!$B$36:$Y$36,0))))*VLOOKUP(A8233,Calendar!$A$2:$H$9997,8,FALSE),0)</f>
        <v/>
      </c>
      <c r="G8233" s="29">
        <f>VLOOKUP(A8233,Calendar!$A$1:$H$9997,6,FALSE)-F8233</f>
        <v/>
      </c>
      <c r="H8233" s="19" t="n">
        <v>2</v>
      </c>
      <c r="I8233" s="57" t="n">
        <v>7</v>
      </c>
    </row>
    <row r="8234">
      <c r="A8234" s="62" t="n">
        <v>46673</v>
      </c>
      <c r="B8234" s="3" t="inlineStr">
        <is>
          <t>Week</t>
        </is>
      </c>
      <c r="C8234" s="19" t="n">
        <v>10</v>
      </c>
      <c r="D8234" s="19" t="n">
        <v>2027</v>
      </c>
      <c r="E8234" s="57" t="n">
        <v>8</v>
      </c>
      <c r="F8234" s="29">
        <f>ROUND(((SUMIFS(Calendar!$F$2:$F$9997,Calendar!$B$2:$B$9997,D8234,Calendar!$C$2:$C$9997,C8234)*INDEX(ForeCalc!$B$37:$Y$274,MATCH(_xlfn.CONCAT(H8234," ",I8234),ForeCalc!$A$37:$A$274,0),MATCH(_xlfn.CONCAT(B8234," ",E8234),ForeCalc!$B$36:$Y$36,0))))*VLOOKUP(A8234,Calendar!$A$2:$H$9997,8,FALSE),0)</f>
        <v/>
      </c>
      <c r="G8234" s="29">
        <f>VLOOKUP(A8234,Calendar!$A$1:$H$9997,6,FALSE)-F8234</f>
        <v/>
      </c>
      <c r="H8234" s="19" t="n">
        <v>2</v>
      </c>
      <c r="I8234" s="57" t="n">
        <v>7</v>
      </c>
    </row>
    <row r="8235">
      <c r="A8235" s="62" t="n">
        <v>46674</v>
      </c>
      <c r="B8235" s="3" t="inlineStr">
        <is>
          <t>Week</t>
        </is>
      </c>
      <c r="C8235" s="19" t="n">
        <v>10</v>
      </c>
      <c r="D8235" s="19" t="n">
        <v>2027</v>
      </c>
      <c r="E8235" s="57" t="n">
        <v>8</v>
      </c>
      <c r="F8235" s="29">
        <f>ROUND(((SUMIFS(Calendar!$F$2:$F$9997,Calendar!$B$2:$B$9997,D8235,Calendar!$C$2:$C$9997,C8235)*INDEX(ForeCalc!$B$37:$Y$274,MATCH(_xlfn.CONCAT(H8235," ",I8235),ForeCalc!$A$37:$A$274,0),MATCH(_xlfn.CONCAT(B8235," ",E8235),ForeCalc!$B$36:$Y$36,0))))*VLOOKUP(A8235,Calendar!$A$2:$H$9997,8,FALSE),0)</f>
        <v/>
      </c>
      <c r="G8235" s="29">
        <f>VLOOKUP(A8235,Calendar!$A$1:$H$9997,6,FALSE)-F8235</f>
        <v/>
      </c>
      <c r="H8235" s="19" t="n">
        <v>2</v>
      </c>
      <c r="I8235" s="57" t="n">
        <v>7</v>
      </c>
    </row>
    <row r="8236">
      <c r="A8236" s="62" t="n">
        <v>46675</v>
      </c>
      <c r="B8236" s="3" t="inlineStr">
        <is>
          <t>Week</t>
        </is>
      </c>
      <c r="C8236" s="19" t="n">
        <v>10</v>
      </c>
      <c r="D8236" s="19" t="n">
        <v>2027</v>
      </c>
      <c r="E8236" s="57" t="n">
        <v>8</v>
      </c>
      <c r="F8236" s="29">
        <f>ROUND(((SUMIFS(Calendar!$F$2:$F$9997,Calendar!$B$2:$B$9997,D8236,Calendar!$C$2:$C$9997,C8236)*INDEX(ForeCalc!$B$37:$Y$274,MATCH(_xlfn.CONCAT(H8236," ",I8236),ForeCalc!$A$37:$A$274,0),MATCH(_xlfn.CONCAT(B8236," ",E8236),ForeCalc!$B$36:$Y$36,0))))*VLOOKUP(A8236,Calendar!$A$2:$H$9997,8,FALSE),0)</f>
        <v/>
      </c>
      <c r="G8236" s="29">
        <f>VLOOKUP(A8236,Calendar!$A$1:$H$9997,6,FALSE)-F8236</f>
        <v/>
      </c>
      <c r="H8236" s="19" t="n">
        <v>2</v>
      </c>
      <c r="I8236" s="57" t="n">
        <v>7</v>
      </c>
    </row>
    <row r="8237">
      <c r="A8237" s="62" t="n">
        <v>46676</v>
      </c>
      <c r="B8237" s="3" t="inlineStr">
        <is>
          <t>Sat</t>
        </is>
      </c>
      <c r="C8237" s="19" t="n">
        <v>10</v>
      </c>
      <c r="D8237" s="19" t="n">
        <v>2027</v>
      </c>
      <c r="E8237" s="57" t="n">
        <v>8</v>
      </c>
      <c r="F8237" s="29">
        <f>ROUND(((SUMIFS(Calendar!$F$2:$F$9997,Calendar!$B$2:$B$9997,D8237,Calendar!$C$2:$C$9997,C8237)*INDEX(ForeCalc!$B$37:$Y$274,MATCH(_xlfn.CONCAT(H8237," ",I8237),ForeCalc!$A$37:$A$274,0),MATCH(_xlfn.CONCAT(B8237," ",E8237),ForeCalc!$B$36:$Y$36,0))))*VLOOKUP(A8237,Calendar!$A$2:$H$9997,8,FALSE),0)</f>
        <v/>
      </c>
      <c r="G8237" s="29">
        <f>VLOOKUP(A8237,Calendar!$A$1:$H$9997,6,FALSE)-F8237</f>
        <v/>
      </c>
      <c r="H8237" s="19" t="n">
        <v>2</v>
      </c>
      <c r="I8237" s="57" t="n">
        <v>7</v>
      </c>
    </row>
    <row r="8238">
      <c r="A8238" s="62" t="n">
        <v>46677</v>
      </c>
      <c r="B8238" s="3" t="inlineStr">
        <is>
          <t>Sun</t>
        </is>
      </c>
      <c r="C8238" s="19" t="n">
        <v>10</v>
      </c>
      <c r="D8238" s="19" t="n">
        <v>2027</v>
      </c>
      <c r="E8238" s="57" t="n">
        <v>8</v>
      </c>
      <c r="F8238" s="29">
        <f>ROUND(((SUMIFS(Calendar!$F$2:$F$9997,Calendar!$B$2:$B$9997,D8238,Calendar!$C$2:$C$9997,C8238)*INDEX(ForeCalc!$B$37:$Y$274,MATCH(_xlfn.CONCAT(H8238," ",I8238),ForeCalc!$A$37:$A$274,0),MATCH(_xlfn.CONCAT(B8238," ",E8238),ForeCalc!$B$36:$Y$36,0))))*VLOOKUP(A8238,Calendar!$A$2:$H$9997,8,FALSE),0)</f>
        <v/>
      </c>
      <c r="G8238" s="29">
        <f>VLOOKUP(A8238,Calendar!$A$1:$H$9997,6,FALSE)-F8238</f>
        <v/>
      </c>
      <c r="H8238" s="19" t="n">
        <v>2</v>
      </c>
      <c r="I8238" s="57" t="n">
        <v>7</v>
      </c>
    </row>
    <row r="8239">
      <c r="A8239" s="62" t="n">
        <v>46678</v>
      </c>
      <c r="B8239" s="3" t="inlineStr">
        <is>
          <t>Week</t>
        </is>
      </c>
      <c r="C8239" s="19" t="n">
        <v>10</v>
      </c>
      <c r="D8239" s="19" t="n">
        <v>2027</v>
      </c>
      <c r="E8239" s="57" t="n">
        <v>8</v>
      </c>
      <c r="F8239" s="29">
        <f>ROUND(((SUMIFS(Calendar!$F$2:$F$9997,Calendar!$B$2:$B$9997,D8239,Calendar!$C$2:$C$9997,C8239)*INDEX(ForeCalc!$B$37:$Y$274,MATCH(_xlfn.CONCAT(H8239," ",I8239),ForeCalc!$A$37:$A$274,0),MATCH(_xlfn.CONCAT(B8239," ",E8239),ForeCalc!$B$36:$Y$36,0))))*VLOOKUP(A8239,Calendar!$A$2:$H$9997,8,FALSE),0)</f>
        <v/>
      </c>
      <c r="G8239" s="29">
        <f>VLOOKUP(A8239,Calendar!$A$1:$H$9997,6,FALSE)-F8239</f>
        <v/>
      </c>
      <c r="H8239" s="19" t="n">
        <v>2</v>
      </c>
      <c r="I8239" s="57" t="n">
        <v>7</v>
      </c>
    </row>
    <row r="8240">
      <c r="A8240" s="62" t="n">
        <v>46679</v>
      </c>
      <c r="B8240" s="3" t="inlineStr">
        <is>
          <t>Week</t>
        </is>
      </c>
      <c r="C8240" s="19" t="n">
        <v>10</v>
      </c>
      <c r="D8240" s="19" t="n">
        <v>2027</v>
      </c>
      <c r="E8240" s="57" t="n">
        <v>8</v>
      </c>
      <c r="F8240" s="29">
        <f>ROUND(((SUMIFS(Calendar!$F$2:$F$9997,Calendar!$B$2:$B$9997,D8240,Calendar!$C$2:$C$9997,C8240)*INDEX(ForeCalc!$B$37:$Y$274,MATCH(_xlfn.CONCAT(H8240," ",I8240),ForeCalc!$A$37:$A$274,0),MATCH(_xlfn.CONCAT(B8240," ",E8240),ForeCalc!$B$36:$Y$36,0))))*VLOOKUP(A8240,Calendar!$A$2:$H$9997,8,FALSE),0)</f>
        <v/>
      </c>
      <c r="G8240" s="29">
        <f>VLOOKUP(A8240,Calendar!$A$1:$H$9997,6,FALSE)-F8240</f>
        <v/>
      </c>
      <c r="H8240" s="19" t="n">
        <v>2</v>
      </c>
      <c r="I8240" s="57" t="n">
        <v>7</v>
      </c>
    </row>
    <row r="8241">
      <c r="A8241" s="62" t="n">
        <v>46680</v>
      </c>
      <c r="B8241" s="3" t="inlineStr">
        <is>
          <t>Week</t>
        </is>
      </c>
      <c r="C8241" s="19" t="n">
        <v>10</v>
      </c>
      <c r="D8241" s="19" t="n">
        <v>2027</v>
      </c>
      <c r="E8241" s="57" t="n">
        <v>8</v>
      </c>
      <c r="F8241" s="29">
        <f>ROUND(((SUMIFS(Calendar!$F$2:$F$9997,Calendar!$B$2:$B$9997,D8241,Calendar!$C$2:$C$9997,C8241)*INDEX(ForeCalc!$B$37:$Y$274,MATCH(_xlfn.CONCAT(H8241," ",I8241),ForeCalc!$A$37:$A$274,0),MATCH(_xlfn.CONCAT(B8241," ",E8241),ForeCalc!$B$36:$Y$36,0))))*VLOOKUP(A8241,Calendar!$A$2:$H$9997,8,FALSE),0)</f>
        <v/>
      </c>
      <c r="G8241" s="29">
        <f>VLOOKUP(A8241,Calendar!$A$1:$H$9997,6,FALSE)-F8241</f>
        <v/>
      </c>
      <c r="H8241" s="19" t="n">
        <v>2</v>
      </c>
      <c r="I8241" s="57" t="n">
        <v>7</v>
      </c>
    </row>
    <row r="8242">
      <c r="A8242" s="62" t="n">
        <v>46681</v>
      </c>
      <c r="B8242" s="3" t="inlineStr">
        <is>
          <t>Week</t>
        </is>
      </c>
      <c r="C8242" s="19" t="n">
        <v>10</v>
      </c>
      <c r="D8242" s="19" t="n">
        <v>2027</v>
      </c>
      <c r="E8242" s="57" t="n">
        <v>8</v>
      </c>
      <c r="F8242" s="29">
        <f>ROUND(((SUMIFS(Calendar!$F$2:$F$9997,Calendar!$B$2:$B$9997,D8242,Calendar!$C$2:$C$9997,C8242)*INDEX(ForeCalc!$B$37:$Y$274,MATCH(_xlfn.CONCAT(H8242," ",I8242),ForeCalc!$A$37:$A$274,0),MATCH(_xlfn.CONCAT(B8242," ",E8242),ForeCalc!$B$36:$Y$36,0))))*VLOOKUP(A8242,Calendar!$A$2:$H$9997,8,FALSE),0)</f>
        <v/>
      </c>
      <c r="G8242" s="29">
        <f>VLOOKUP(A8242,Calendar!$A$1:$H$9997,6,FALSE)-F8242</f>
        <v/>
      </c>
      <c r="H8242" s="19" t="n">
        <v>2</v>
      </c>
      <c r="I8242" s="57" t="n">
        <v>7</v>
      </c>
    </row>
    <row r="8243">
      <c r="A8243" s="62" t="n">
        <v>46682</v>
      </c>
      <c r="B8243" s="3" t="inlineStr">
        <is>
          <t>Week</t>
        </is>
      </c>
      <c r="C8243" s="19" t="n">
        <v>10</v>
      </c>
      <c r="D8243" s="19" t="n">
        <v>2027</v>
      </c>
      <c r="E8243" s="57" t="n">
        <v>8</v>
      </c>
      <c r="F8243" s="29">
        <f>ROUND(((SUMIFS(Calendar!$F$2:$F$9997,Calendar!$B$2:$B$9997,D8243,Calendar!$C$2:$C$9997,C8243)*INDEX(ForeCalc!$B$37:$Y$274,MATCH(_xlfn.CONCAT(H8243," ",I8243),ForeCalc!$A$37:$A$274,0),MATCH(_xlfn.CONCAT(B8243," ",E8243),ForeCalc!$B$36:$Y$36,0))))*VLOOKUP(A8243,Calendar!$A$2:$H$9997,8,FALSE),0)</f>
        <v/>
      </c>
      <c r="G8243" s="29">
        <f>VLOOKUP(A8243,Calendar!$A$1:$H$9997,6,FALSE)-F8243</f>
        <v/>
      </c>
      <c r="H8243" s="19" t="n">
        <v>2</v>
      </c>
      <c r="I8243" s="57" t="n">
        <v>7</v>
      </c>
    </row>
    <row r="8244">
      <c r="A8244" s="62" t="n">
        <v>46683</v>
      </c>
      <c r="B8244" s="3" t="inlineStr">
        <is>
          <t>Sat</t>
        </is>
      </c>
      <c r="C8244" s="19" t="n">
        <v>10</v>
      </c>
      <c r="D8244" s="19" t="n">
        <v>2027</v>
      </c>
      <c r="E8244" s="57" t="n">
        <v>8</v>
      </c>
      <c r="F8244" s="29">
        <f>ROUND(((SUMIFS(Calendar!$F$2:$F$9997,Calendar!$B$2:$B$9997,D8244,Calendar!$C$2:$C$9997,C8244)*INDEX(ForeCalc!$B$37:$Y$274,MATCH(_xlfn.CONCAT(H8244," ",I8244),ForeCalc!$A$37:$A$274,0),MATCH(_xlfn.CONCAT(B8244," ",E8244),ForeCalc!$B$36:$Y$36,0))))*VLOOKUP(A8244,Calendar!$A$2:$H$9997,8,FALSE),0)</f>
        <v/>
      </c>
      <c r="G8244" s="29">
        <f>VLOOKUP(A8244,Calendar!$A$1:$H$9997,6,FALSE)-F8244</f>
        <v/>
      </c>
      <c r="H8244" s="19" t="n">
        <v>2</v>
      </c>
      <c r="I8244" s="57" t="n">
        <v>7</v>
      </c>
    </row>
    <row r="8245">
      <c r="A8245" s="62" t="n">
        <v>46684</v>
      </c>
      <c r="B8245" s="3" t="inlineStr">
        <is>
          <t>Sun</t>
        </is>
      </c>
      <c r="C8245" s="19" t="n">
        <v>10</v>
      </c>
      <c r="D8245" s="19" t="n">
        <v>2027</v>
      </c>
      <c r="E8245" s="57" t="n">
        <v>8</v>
      </c>
      <c r="F8245" s="29">
        <f>ROUND(((SUMIFS(Calendar!$F$2:$F$9997,Calendar!$B$2:$B$9997,D8245,Calendar!$C$2:$C$9997,C8245)*INDEX(ForeCalc!$B$37:$Y$274,MATCH(_xlfn.CONCAT(H8245," ",I8245),ForeCalc!$A$37:$A$274,0),MATCH(_xlfn.CONCAT(B8245," ",E8245),ForeCalc!$B$36:$Y$36,0))))*VLOOKUP(A8245,Calendar!$A$2:$H$9997,8,FALSE),0)</f>
        <v/>
      </c>
      <c r="G8245" s="29">
        <f>VLOOKUP(A8245,Calendar!$A$1:$H$9997,6,FALSE)-F8245</f>
        <v/>
      </c>
      <c r="H8245" s="19" t="n">
        <v>2</v>
      </c>
      <c r="I8245" s="57" t="n">
        <v>7</v>
      </c>
    </row>
    <row r="8246">
      <c r="A8246" s="62" t="n">
        <v>46685</v>
      </c>
      <c r="B8246" s="3" t="inlineStr">
        <is>
          <t>Week</t>
        </is>
      </c>
      <c r="C8246" s="19" t="n">
        <v>10</v>
      </c>
      <c r="D8246" s="19" t="n">
        <v>2027</v>
      </c>
      <c r="E8246" s="57" t="n">
        <v>8</v>
      </c>
      <c r="F8246" s="29">
        <f>ROUND(((SUMIFS(Calendar!$F$2:$F$9997,Calendar!$B$2:$B$9997,D8246,Calendar!$C$2:$C$9997,C8246)*INDEX(ForeCalc!$B$37:$Y$274,MATCH(_xlfn.CONCAT(H8246," ",I8246),ForeCalc!$A$37:$A$274,0),MATCH(_xlfn.CONCAT(B8246," ",E8246),ForeCalc!$B$36:$Y$36,0))))*VLOOKUP(A8246,Calendar!$A$2:$H$9997,8,FALSE),0)</f>
        <v/>
      </c>
      <c r="G8246" s="29">
        <f>VLOOKUP(A8246,Calendar!$A$1:$H$9997,6,FALSE)-F8246</f>
        <v/>
      </c>
      <c r="H8246" s="19" t="n">
        <v>2</v>
      </c>
      <c r="I8246" s="57" t="n">
        <v>7</v>
      </c>
    </row>
    <row r="8247">
      <c r="A8247" s="62" t="n">
        <v>46686</v>
      </c>
      <c r="B8247" s="3" t="inlineStr">
        <is>
          <t>Week</t>
        </is>
      </c>
      <c r="C8247" s="19" t="n">
        <v>10</v>
      </c>
      <c r="D8247" s="19" t="n">
        <v>2027</v>
      </c>
      <c r="E8247" s="57" t="n">
        <v>8</v>
      </c>
      <c r="F8247" s="29">
        <f>ROUND(((SUMIFS(Calendar!$F$2:$F$9997,Calendar!$B$2:$B$9997,D8247,Calendar!$C$2:$C$9997,C8247)*INDEX(ForeCalc!$B$37:$Y$274,MATCH(_xlfn.CONCAT(H8247," ",I8247),ForeCalc!$A$37:$A$274,0),MATCH(_xlfn.CONCAT(B8247," ",E8247),ForeCalc!$B$36:$Y$36,0))))*VLOOKUP(A8247,Calendar!$A$2:$H$9997,8,FALSE),0)</f>
        <v/>
      </c>
      <c r="G8247" s="29">
        <f>VLOOKUP(A8247,Calendar!$A$1:$H$9997,6,FALSE)-F8247</f>
        <v/>
      </c>
      <c r="H8247" s="19" t="n">
        <v>2</v>
      </c>
      <c r="I8247" s="57" t="n">
        <v>7</v>
      </c>
    </row>
    <row r="8248">
      <c r="A8248" s="62" t="n">
        <v>46687</v>
      </c>
      <c r="B8248" s="3" t="inlineStr">
        <is>
          <t>Week</t>
        </is>
      </c>
      <c r="C8248" s="19" t="n">
        <v>10</v>
      </c>
      <c r="D8248" s="19" t="n">
        <v>2027</v>
      </c>
      <c r="E8248" s="57" t="n">
        <v>8</v>
      </c>
      <c r="F8248" s="29">
        <f>ROUND(((SUMIFS(Calendar!$F$2:$F$9997,Calendar!$B$2:$B$9997,D8248,Calendar!$C$2:$C$9997,C8248)*INDEX(ForeCalc!$B$37:$Y$274,MATCH(_xlfn.CONCAT(H8248," ",I8248),ForeCalc!$A$37:$A$274,0),MATCH(_xlfn.CONCAT(B8248," ",E8248),ForeCalc!$B$36:$Y$36,0))))*VLOOKUP(A8248,Calendar!$A$2:$H$9997,8,FALSE),0)</f>
        <v/>
      </c>
      <c r="G8248" s="29">
        <f>VLOOKUP(A8248,Calendar!$A$1:$H$9997,6,FALSE)-F8248</f>
        <v/>
      </c>
      <c r="H8248" s="19" t="n">
        <v>2</v>
      </c>
      <c r="I8248" s="57" t="n">
        <v>7</v>
      </c>
    </row>
    <row r="8249">
      <c r="A8249" s="62" t="n">
        <v>46688</v>
      </c>
      <c r="B8249" s="3" t="inlineStr">
        <is>
          <t>Week</t>
        </is>
      </c>
      <c r="C8249" s="19" t="n">
        <v>10</v>
      </c>
      <c r="D8249" s="19" t="n">
        <v>2027</v>
      </c>
      <c r="E8249" s="57" t="n">
        <v>8</v>
      </c>
      <c r="F8249" s="29">
        <f>ROUND(((SUMIFS(Calendar!$F$2:$F$9997,Calendar!$B$2:$B$9997,D8249,Calendar!$C$2:$C$9997,C8249)*INDEX(ForeCalc!$B$37:$Y$274,MATCH(_xlfn.CONCAT(H8249," ",I8249),ForeCalc!$A$37:$A$274,0),MATCH(_xlfn.CONCAT(B8249," ",E8249),ForeCalc!$B$36:$Y$36,0))))*VLOOKUP(A8249,Calendar!$A$2:$H$9997,8,FALSE),0)</f>
        <v/>
      </c>
      <c r="G8249" s="29">
        <f>VLOOKUP(A8249,Calendar!$A$1:$H$9997,6,FALSE)-F8249</f>
        <v/>
      </c>
      <c r="H8249" s="19" t="n">
        <v>2</v>
      </c>
      <c r="I8249" s="57" t="n">
        <v>7</v>
      </c>
    </row>
    <row r="8250">
      <c r="A8250" s="62" t="n">
        <v>46689</v>
      </c>
      <c r="B8250" s="3" t="inlineStr">
        <is>
          <t>Week</t>
        </is>
      </c>
      <c r="C8250" s="19" t="n">
        <v>10</v>
      </c>
      <c r="D8250" s="19" t="n">
        <v>2027</v>
      </c>
      <c r="E8250" s="57" t="n">
        <v>8</v>
      </c>
      <c r="F8250" s="29">
        <f>ROUND(((SUMIFS(Calendar!$F$2:$F$9997,Calendar!$B$2:$B$9997,D8250,Calendar!$C$2:$C$9997,C8250)*INDEX(ForeCalc!$B$37:$Y$274,MATCH(_xlfn.CONCAT(H8250," ",I8250),ForeCalc!$A$37:$A$274,0),MATCH(_xlfn.CONCAT(B8250," ",E8250),ForeCalc!$B$36:$Y$36,0))))*VLOOKUP(A8250,Calendar!$A$2:$H$9997,8,FALSE),0)</f>
        <v/>
      </c>
      <c r="G8250" s="29">
        <f>VLOOKUP(A8250,Calendar!$A$1:$H$9997,6,FALSE)-F8250</f>
        <v/>
      </c>
      <c r="H8250" s="19" t="n">
        <v>2</v>
      </c>
      <c r="I8250" s="57" t="n">
        <v>7</v>
      </c>
    </row>
    <row r="8251">
      <c r="A8251" s="62" t="n">
        <v>46690</v>
      </c>
      <c r="B8251" s="3" t="inlineStr">
        <is>
          <t>Sat</t>
        </is>
      </c>
      <c r="C8251" s="19" t="n">
        <v>10</v>
      </c>
      <c r="D8251" s="19" t="n">
        <v>2027</v>
      </c>
      <c r="E8251" s="57" t="n">
        <v>8</v>
      </c>
      <c r="F8251" s="29">
        <f>ROUND(((SUMIFS(Calendar!$F$2:$F$9997,Calendar!$B$2:$B$9997,D8251,Calendar!$C$2:$C$9997,C8251)*INDEX(ForeCalc!$B$37:$Y$274,MATCH(_xlfn.CONCAT(H8251," ",I8251),ForeCalc!$A$37:$A$274,0),MATCH(_xlfn.CONCAT(B8251," ",E8251),ForeCalc!$B$36:$Y$36,0))))*VLOOKUP(A8251,Calendar!$A$2:$H$9997,8,FALSE),0)</f>
        <v/>
      </c>
      <c r="G8251" s="29">
        <f>VLOOKUP(A8251,Calendar!$A$1:$H$9997,6,FALSE)-F8251</f>
        <v/>
      </c>
      <c r="H8251" s="19" t="n">
        <v>2</v>
      </c>
      <c r="I8251" s="57" t="n">
        <v>7</v>
      </c>
    </row>
    <row r="8252">
      <c r="A8252" s="62" t="n">
        <v>46691</v>
      </c>
      <c r="B8252" s="3" t="inlineStr">
        <is>
          <t>Sun</t>
        </is>
      </c>
      <c r="C8252" s="19" t="n">
        <v>10</v>
      </c>
      <c r="D8252" s="19" t="n">
        <v>2027</v>
      </c>
      <c r="E8252" s="57" t="n">
        <v>8</v>
      </c>
      <c r="F8252" s="29">
        <f>ROUND(((SUMIFS(Calendar!$F$2:$F$9997,Calendar!$B$2:$B$9997,D8252,Calendar!$C$2:$C$9997,C8252)*INDEX(ForeCalc!$B$37:$Y$274,MATCH(_xlfn.CONCAT(H8252," ",I8252),ForeCalc!$A$37:$A$274,0),MATCH(_xlfn.CONCAT(B8252," ",E8252),ForeCalc!$B$36:$Y$36,0))))*VLOOKUP(A8252,Calendar!$A$2:$H$9997,8,FALSE),0)</f>
        <v/>
      </c>
      <c r="G8252" s="29">
        <f>VLOOKUP(A8252,Calendar!$A$1:$H$9997,6,FALSE)-F8252</f>
        <v/>
      </c>
      <c r="H8252" s="19" t="n">
        <v>2</v>
      </c>
      <c r="I8252" s="57" t="n">
        <v>7</v>
      </c>
    </row>
    <row r="8253">
      <c r="A8253" s="62" t="n">
        <v>46692</v>
      </c>
      <c r="B8253" s="3" t="inlineStr">
        <is>
          <t>Week</t>
        </is>
      </c>
      <c r="C8253" s="19" t="n">
        <v>11</v>
      </c>
      <c r="D8253" s="19" t="n">
        <v>2027</v>
      </c>
      <c r="E8253" s="57" t="n">
        <v>8</v>
      </c>
      <c r="F8253" s="29">
        <f>ROUND(((SUMIFS(Calendar!$F$2:$F$9997,Calendar!$B$2:$B$9997,D8253,Calendar!$C$2:$C$9997,C8253)*INDEX(ForeCalc!$B$37:$Y$274,MATCH(_xlfn.CONCAT(H8253," ",I8253),ForeCalc!$A$37:$A$274,0),MATCH(_xlfn.CONCAT(B8253," ",E8253),ForeCalc!$B$36:$Y$36,0))))*VLOOKUP(A8253,Calendar!$A$2:$H$9997,8,FALSE),0)</f>
        <v/>
      </c>
      <c r="G8253" s="29">
        <f>VLOOKUP(A8253,Calendar!$A$1:$H$9997,6,FALSE)-F8253</f>
        <v/>
      </c>
      <c r="H8253" s="19" t="n">
        <v>2</v>
      </c>
      <c r="I8253" s="57" t="n">
        <v>8</v>
      </c>
    </row>
    <row r="8254">
      <c r="A8254" s="62" t="n">
        <v>46693</v>
      </c>
      <c r="B8254" s="3" t="inlineStr">
        <is>
          <t>Week</t>
        </is>
      </c>
      <c r="C8254" s="19" t="n">
        <v>11</v>
      </c>
      <c r="D8254" s="19" t="n">
        <v>2027</v>
      </c>
      <c r="E8254" s="57" t="n">
        <v>8</v>
      </c>
      <c r="F8254" s="29">
        <f>ROUND(((SUMIFS(Calendar!$F$2:$F$9997,Calendar!$B$2:$B$9997,D8254,Calendar!$C$2:$C$9997,C8254)*INDEX(ForeCalc!$B$37:$Y$274,MATCH(_xlfn.CONCAT(H8254," ",I8254),ForeCalc!$A$37:$A$274,0),MATCH(_xlfn.CONCAT(B8254," ",E8254),ForeCalc!$B$36:$Y$36,0))))*VLOOKUP(A8254,Calendar!$A$2:$H$9997,8,FALSE),0)</f>
        <v/>
      </c>
      <c r="G8254" s="29">
        <f>VLOOKUP(A8254,Calendar!$A$1:$H$9997,6,FALSE)-F8254</f>
        <v/>
      </c>
      <c r="H8254" s="19" t="n">
        <v>2</v>
      </c>
      <c r="I8254" s="57" t="n">
        <v>8</v>
      </c>
    </row>
    <row r="8255">
      <c r="A8255" s="62" t="n">
        <v>46694</v>
      </c>
      <c r="B8255" s="3" t="inlineStr">
        <is>
          <t>Week</t>
        </is>
      </c>
      <c r="C8255" s="19" t="n">
        <v>11</v>
      </c>
      <c r="D8255" s="19" t="n">
        <v>2027</v>
      </c>
      <c r="E8255" s="57" t="n">
        <v>8</v>
      </c>
      <c r="F8255" s="29">
        <f>ROUND(((SUMIFS(Calendar!$F$2:$F$9997,Calendar!$B$2:$B$9997,D8255,Calendar!$C$2:$C$9997,C8255)*INDEX(ForeCalc!$B$37:$Y$274,MATCH(_xlfn.CONCAT(H8255," ",I8255),ForeCalc!$A$37:$A$274,0),MATCH(_xlfn.CONCAT(B8255," ",E8255),ForeCalc!$B$36:$Y$36,0))))*VLOOKUP(A8255,Calendar!$A$2:$H$9997,8,FALSE),0)</f>
        <v/>
      </c>
      <c r="G8255" s="29">
        <f>VLOOKUP(A8255,Calendar!$A$1:$H$9997,6,FALSE)-F8255</f>
        <v/>
      </c>
      <c r="H8255" s="19" t="n">
        <v>2</v>
      </c>
      <c r="I8255" s="57" t="n">
        <v>8</v>
      </c>
    </row>
    <row r="8256">
      <c r="A8256" s="62" t="n">
        <v>46695</v>
      </c>
      <c r="B8256" s="3" t="inlineStr">
        <is>
          <t>Week</t>
        </is>
      </c>
      <c r="C8256" s="19" t="n">
        <v>11</v>
      </c>
      <c r="D8256" s="19" t="n">
        <v>2027</v>
      </c>
      <c r="E8256" s="57" t="n">
        <v>8</v>
      </c>
      <c r="F8256" s="29">
        <f>ROUND(((SUMIFS(Calendar!$F$2:$F$9997,Calendar!$B$2:$B$9997,D8256,Calendar!$C$2:$C$9997,C8256)*INDEX(ForeCalc!$B$37:$Y$274,MATCH(_xlfn.CONCAT(H8256," ",I8256),ForeCalc!$A$37:$A$274,0),MATCH(_xlfn.CONCAT(B8256," ",E8256),ForeCalc!$B$36:$Y$36,0))))*VLOOKUP(A8256,Calendar!$A$2:$H$9997,8,FALSE),0)</f>
        <v/>
      </c>
      <c r="G8256" s="29">
        <f>VLOOKUP(A8256,Calendar!$A$1:$H$9997,6,FALSE)-F8256</f>
        <v/>
      </c>
      <c r="H8256" s="19" t="n">
        <v>2</v>
      </c>
      <c r="I8256" s="57" t="n">
        <v>8</v>
      </c>
    </row>
    <row r="8257">
      <c r="A8257" s="62" t="n">
        <v>46696</v>
      </c>
      <c r="B8257" s="3" t="inlineStr">
        <is>
          <t>Week</t>
        </is>
      </c>
      <c r="C8257" s="19" t="n">
        <v>11</v>
      </c>
      <c r="D8257" s="19" t="n">
        <v>2027</v>
      </c>
      <c r="E8257" s="57" t="n">
        <v>8</v>
      </c>
      <c r="F8257" s="29">
        <f>ROUND(((SUMIFS(Calendar!$F$2:$F$9997,Calendar!$B$2:$B$9997,D8257,Calendar!$C$2:$C$9997,C8257)*INDEX(ForeCalc!$B$37:$Y$274,MATCH(_xlfn.CONCAT(H8257," ",I8257),ForeCalc!$A$37:$A$274,0),MATCH(_xlfn.CONCAT(B8257," ",E8257),ForeCalc!$B$36:$Y$36,0))))*VLOOKUP(A8257,Calendar!$A$2:$H$9997,8,FALSE),0)</f>
        <v/>
      </c>
      <c r="G8257" s="29">
        <f>VLOOKUP(A8257,Calendar!$A$1:$H$9997,6,FALSE)-F8257</f>
        <v/>
      </c>
      <c r="H8257" s="19" t="n">
        <v>2</v>
      </c>
      <c r="I8257" s="57" t="n">
        <v>8</v>
      </c>
    </row>
    <row r="8258">
      <c r="A8258" s="62" t="n">
        <v>46697</v>
      </c>
      <c r="B8258" s="3" t="inlineStr">
        <is>
          <t>Sat</t>
        </is>
      </c>
      <c r="C8258" s="19" t="n">
        <v>11</v>
      </c>
      <c r="D8258" s="19" t="n">
        <v>2027</v>
      </c>
      <c r="E8258" s="57" t="n">
        <v>8</v>
      </c>
      <c r="F8258" s="29">
        <f>ROUND(((SUMIFS(Calendar!$F$2:$F$9997,Calendar!$B$2:$B$9997,D8258,Calendar!$C$2:$C$9997,C8258)*INDEX(ForeCalc!$B$37:$Y$274,MATCH(_xlfn.CONCAT(H8258," ",I8258),ForeCalc!$A$37:$A$274,0),MATCH(_xlfn.CONCAT(B8258," ",E8258),ForeCalc!$B$36:$Y$36,0))))*VLOOKUP(A8258,Calendar!$A$2:$H$9997,8,FALSE),0)</f>
        <v/>
      </c>
      <c r="G8258" s="29">
        <f>VLOOKUP(A8258,Calendar!$A$1:$H$9997,6,FALSE)-F8258</f>
        <v/>
      </c>
      <c r="H8258" s="19" t="n">
        <v>2</v>
      </c>
      <c r="I8258" s="57" t="n">
        <v>8</v>
      </c>
    </row>
    <row r="8259">
      <c r="A8259" s="62" t="n">
        <v>46698</v>
      </c>
      <c r="B8259" s="3" t="inlineStr">
        <is>
          <t>Sun</t>
        </is>
      </c>
      <c r="C8259" s="19" t="n">
        <v>11</v>
      </c>
      <c r="D8259" s="19" t="n">
        <v>2027</v>
      </c>
      <c r="E8259" s="57" t="n">
        <v>8</v>
      </c>
      <c r="F8259" s="29">
        <f>ROUND(((SUMIFS(Calendar!$F$2:$F$9997,Calendar!$B$2:$B$9997,D8259,Calendar!$C$2:$C$9997,C8259)*INDEX(ForeCalc!$B$37:$Y$274,MATCH(_xlfn.CONCAT(H8259," ",I8259),ForeCalc!$A$37:$A$274,0),MATCH(_xlfn.CONCAT(B8259," ",E8259),ForeCalc!$B$36:$Y$36,0))))*VLOOKUP(A8259,Calendar!$A$2:$H$9997,8,FALSE),0)</f>
        <v/>
      </c>
      <c r="G8259" s="29">
        <f>VLOOKUP(A8259,Calendar!$A$1:$H$9997,6,FALSE)-F8259</f>
        <v/>
      </c>
      <c r="H8259" s="19" t="n">
        <v>2</v>
      </c>
      <c r="I8259" s="57" t="n">
        <v>8</v>
      </c>
    </row>
    <row r="8260">
      <c r="A8260" s="62" t="n">
        <v>46699</v>
      </c>
      <c r="B8260" s="3" t="inlineStr">
        <is>
          <t>Week</t>
        </is>
      </c>
      <c r="C8260" s="19" t="n">
        <v>11</v>
      </c>
      <c r="D8260" s="19" t="n">
        <v>2027</v>
      </c>
      <c r="E8260" s="57" t="n">
        <v>8</v>
      </c>
      <c r="F8260" s="29">
        <f>ROUND(((SUMIFS(Calendar!$F$2:$F$9997,Calendar!$B$2:$B$9997,D8260,Calendar!$C$2:$C$9997,C8260)*INDEX(ForeCalc!$B$37:$Y$274,MATCH(_xlfn.CONCAT(H8260," ",I8260),ForeCalc!$A$37:$A$274,0),MATCH(_xlfn.CONCAT(B8260," ",E8260),ForeCalc!$B$36:$Y$36,0))))*VLOOKUP(A8260,Calendar!$A$2:$H$9997,8,FALSE),0)</f>
        <v/>
      </c>
      <c r="G8260" s="29">
        <f>VLOOKUP(A8260,Calendar!$A$1:$H$9997,6,FALSE)-F8260</f>
        <v/>
      </c>
      <c r="H8260" s="19" t="n">
        <v>2</v>
      </c>
      <c r="I8260" s="57" t="n">
        <v>8</v>
      </c>
    </row>
    <row r="8261">
      <c r="A8261" s="62" t="n">
        <v>46700</v>
      </c>
      <c r="B8261" s="3" t="inlineStr">
        <is>
          <t>Week</t>
        </is>
      </c>
      <c r="C8261" s="19" t="n">
        <v>11</v>
      </c>
      <c r="D8261" s="19" t="n">
        <v>2027</v>
      </c>
      <c r="E8261" s="57" t="n">
        <v>8</v>
      </c>
      <c r="F8261" s="29">
        <f>ROUND(((SUMIFS(Calendar!$F$2:$F$9997,Calendar!$B$2:$B$9997,D8261,Calendar!$C$2:$C$9997,C8261)*INDEX(ForeCalc!$B$37:$Y$274,MATCH(_xlfn.CONCAT(H8261," ",I8261),ForeCalc!$A$37:$A$274,0),MATCH(_xlfn.CONCAT(B8261," ",E8261),ForeCalc!$B$36:$Y$36,0))))*VLOOKUP(A8261,Calendar!$A$2:$H$9997,8,FALSE),0)</f>
        <v/>
      </c>
      <c r="G8261" s="29">
        <f>VLOOKUP(A8261,Calendar!$A$1:$H$9997,6,FALSE)-F8261</f>
        <v/>
      </c>
      <c r="H8261" s="19" t="n">
        <v>2</v>
      </c>
      <c r="I8261" s="57" t="n">
        <v>8</v>
      </c>
    </row>
    <row r="8262">
      <c r="A8262" s="62" t="n">
        <v>46701</v>
      </c>
      <c r="B8262" s="3" t="inlineStr">
        <is>
          <t>Week</t>
        </is>
      </c>
      <c r="C8262" s="19" t="n">
        <v>11</v>
      </c>
      <c r="D8262" s="19" t="n">
        <v>2027</v>
      </c>
      <c r="E8262" s="57" t="n">
        <v>8</v>
      </c>
      <c r="F8262" s="29">
        <f>ROUND(((SUMIFS(Calendar!$F$2:$F$9997,Calendar!$B$2:$B$9997,D8262,Calendar!$C$2:$C$9997,C8262)*INDEX(ForeCalc!$B$37:$Y$274,MATCH(_xlfn.CONCAT(H8262," ",I8262),ForeCalc!$A$37:$A$274,0),MATCH(_xlfn.CONCAT(B8262," ",E8262),ForeCalc!$B$36:$Y$36,0))))*VLOOKUP(A8262,Calendar!$A$2:$H$9997,8,FALSE),0)</f>
        <v/>
      </c>
      <c r="G8262" s="29">
        <f>VLOOKUP(A8262,Calendar!$A$1:$H$9997,6,FALSE)-F8262</f>
        <v/>
      </c>
      <c r="H8262" s="19" t="n">
        <v>2</v>
      </c>
      <c r="I8262" s="57" t="n">
        <v>8</v>
      </c>
    </row>
    <row r="8263">
      <c r="A8263" s="62" t="n">
        <v>46702</v>
      </c>
      <c r="B8263" s="3" t="inlineStr">
        <is>
          <t>Week</t>
        </is>
      </c>
      <c r="C8263" s="19" t="n">
        <v>11</v>
      </c>
      <c r="D8263" s="19" t="n">
        <v>2027</v>
      </c>
      <c r="E8263" s="57" t="n">
        <v>8</v>
      </c>
      <c r="F8263" s="29">
        <f>ROUND(((SUMIFS(Calendar!$F$2:$F$9997,Calendar!$B$2:$B$9997,D8263,Calendar!$C$2:$C$9997,C8263)*INDEX(ForeCalc!$B$37:$Y$274,MATCH(_xlfn.CONCAT(H8263," ",I8263),ForeCalc!$A$37:$A$274,0),MATCH(_xlfn.CONCAT(B8263," ",E8263),ForeCalc!$B$36:$Y$36,0))))*VLOOKUP(A8263,Calendar!$A$2:$H$9997,8,FALSE),0)</f>
        <v/>
      </c>
      <c r="G8263" s="29">
        <f>VLOOKUP(A8263,Calendar!$A$1:$H$9997,6,FALSE)-F8263</f>
        <v/>
      </c>
      <c r="H8263" s="19" t="n">
        <v>2</v>
      </c>
      <c r="I8263" s="57" t="n">
        <v>8</v>
      </c>
    </row>
    <row r="8264">
      <c r="A8264" s="62" t="n">
        <v>46703</v>
      </c>
      <c r="B8264" s="3" t="inlineStr">
        <is>
          <t>Week</t>
        </is>
      </c>
      <c r="C8264" s="19" t="n">
        <v>11</v>
      </c>
      <c r="D8264" s="19" t="n">
        <v>2027</v>
      </c>
      <c r="E8264" s="57" t="n">
        <v>8</v>
      </c>
      <c r="F8264" s="29">
        <f>ROUND(((SUMIFS(Calendar!$F$2:$F$9997,Calendar!$B$2:$B$9997,D8264,Calendar!$C$2:$C$9997,C8264)*INDEX(ForeCalc!$B$37:$Y$274,MATCH(_xlfn.CONCAT(H8264," ",I8264),ForeCalc!$A$37:$A$274,0),MATCH(_xlfn.CONCAT(B8264," ",E8264),ForeCalc!$B$36:$Y$36,0))))*VLOOKUP(A8264,Calendar!$A$2:$H$9997,8,FALSE),0)</f>
        <v/>
      </c>
      <c r="G8264" s="29">
        <f>VLOOKUP(A8264,Calendar!$A$1:$H$9997,6,FALSE)-F8264</f>
        <v/>
      </c>
      <c r="H8264" s="19" t="n">
        <v>2</v>
      </c>
      <c r="I8264" s="57" t="n">
        <v>8</v>
      </c>
    </row>
    <row r="8265">
      <c r="A8265" s="62" t="n">
        <v>46704</v>
      </c>
      <c r="B8265" s="3" t="inlineStr">
        <is>
          <t>Sat</t>
        </is>
      </c>
      <c r="C8265" s="19" t="n">
        <v>11</v>
      </c>
      <c r="D8265" s="19" t="n">
        <v>2027</v>
      </c>
      <c r="E8265" s="57" t="n">
        <v>8</v>
      </c>
      <c r="F8265" s="29">
        <f>ROUND(((SUMIFS(Calendar!$F$2:$F$9997,Calendar!$B$2:$B$9997,D8265,Calendar!$C$2:$C$9997,C8265)*INDEX(ForeCalc!$B$37:$Y$274,MATCH(_xlfn.CONCAT(H8265," ",I8265),ForeCalc!$A$37:$A$274,0),MATCH(_xlfn.CONCAT(B8265," ",E8265),ForeCalc!$B$36:$Y$36,0))))*VLOOKUP(A8265,Calendar!$A$2:$H$9997,8,FALSE),0)</f>
        <v/>
      </c>
      <c r="G8265" s="29">
        <f>VLOOKUP(A8265,Calendar!$A$1:$H$9997,6,FALSE)-F8265</f>
        <v/>
      </c>
      <c r="H8265" s="19" t="n">
        <v>2</v>
      </c>
      <c r="I8265" s="57" t="n">
        <v>8</v>
      </c>
    </row>
    <row r="8266">
      <c r="A8266" s="62" t="n">
        <v>46705</v>
      </c>
      <c r="B8266" s="3" t="inlineStr">
        <is>
          <t>Sun</t>
        </is>
      </c>
      <c r="C8266" s="19" t="n">
        <v>11</v>
      </c>
      <c r="D8266" s="19" t="n">
        <v>2027</v>
      </c>
      <c r="E8266" s="57" t="n">
        <v>8</v>
      </c>
      <c r="F8266" s="29">
        <f>ROUND(((SUMIFS(Calendar!$F$2:$F$9997,Calendar!$B$2:$B$9997,D8266,Calendar!$C$2:$C$9997,C8266)*INDEX(ForeCalc!$B$37:$Y$274,MATCH(_xlfn.CONCAT(H8266," ",I8266),ForeCalc!$A$37:$A$274,0),MATCH(_xlfn.CONCAT(B8266," ",E8266),ForeCalc!$B$36:$Y$36,0))))*VLOOKUP(A8266,Calendar!$A$2:$H$9997,8,FALSE),0)</f>
        <v/>
      </c>
      <c r="G8266" s="29">
        <f>VLOOKUP(A8266,Calendar!$A$1:$H$9997,6,FALSE)-F8266</f>
        <v/>
      </c>
      <c r="H8266" s="19" t="n">
        <v>2</v>
      </c>
      <c r="I8266" s="57" t="n">
        <v>8</v>
      </c>
    </row>
    <row r="8267">
      <c r="A8267" s="62" t="n">
        <v>46706</v>
      </c>
      <c r="B8267" s="3" t="inlineStr">
        <is>
          <t>Week</t>
        </is>
      </c>
      <c r="C8267" s="19" t="n">
        <v>11</v>
      </c>
      <c r="D8267" s="19" t="n">
        <v>2027</v>
      </c>
      <c r="E8267" s="57" t="n">
        <v>8</v>
      </c>
      <c r="F8267" s="29">
        <f>ROUND(((SUMIFS(Calendar!$F$2:$F$9997,Calendar!$B$2:$B$9997,D8267,Calendar!$C$2:$C$9997,C8267)*INDEX(ForeCalc!$B$37:$Y$274,MATCH(_xlfn.CONCAT(H8267," ",I8267),ForeCalc!$A$37:$A$274,0),MATCH(_xlfn.CONCAT(B8267," ",E8267),ForeCalc!$B$36:$Y$36,0))))*VLOOKUP(A8267,Calendar!$A$2:$H$9997,8,FALSE),0)</f>
        <v/>
      </c>
      <c r="G8267" s="29">
        <f>VLOOKUP(A8267,Calendar!$A$1:$H$9997,6,FALSE)-F8267</f>
        <v/>
      </c>
      <c r="H8267" s="19" t="n">
        <v>2</v>
      </c>
      <c r="I8267" s="57" t="n">
        <v>8</v>
      </c>
    </row>
    <row r="8268">
      <c r="A8268" s="62" t="n">
        <v>46707</v>
      </c>
      <c r="B8268" s="3" t="inlineStr">
        <is>
          <t>Week</t>
        </is>
      </c>
      <c r="C8268" s="19" t="n">
        <v>11</v>
      </c>
      <c r="D8268" s="19" t="n">
        <v>2027</v>
      </c>
      <c r="E8268" s="57" t="n">
        <v>8</v>
      </c>
      <c r="F8268" s="29">
        <f>ROUND(((SUMIFS(Calendar!$F$2:$F$9997,Calendar!$B$2:$B$9997,D8268,Calendar!$C$2:$C$9997,C8268)*INDEX(ForeCalc!$B$37:$Y$274,MATCH(_xlfn.CONCAT(H8268," ",I8268),ForeCalc!$A$37:$A$274,0),MATCH(_xlfn.CONCAT(B8268," ",E8268),ForeCalc!$B$36:$Y$36,0))))*VLOOKUP(A8268,Calendar!$A$2:$H$9997,8,FALSE),0)</f>
        <v/>
      </c>
      <c r="G8268" s="29">
        <f>VLOOKUP(A8268,Calendar!$A$1:$H$9997,6,FALSE)-F8268</f>
        <v/>
      </c>
      <c r="H8268" s="19" t="n">
        <v>2</v>
      </c>
      <c r="I8268" s="57" t="n">
        <v>8</v>
      </c>
    </row>
    <row r="8269">
      <c r="A8269" s="62" t="n">
        <v>46708</v>
      </c>
      <c r="B8269" s="3" t="inlineStr">
        <is>
          <t>Week</t>
        </is>
      </c>
      <c r="C8269" s="19" t="n">
        <v>11</v>
      </c>
      <c r="D8269" s="19" t="n">
        <v>2027</v>
      </c>
      <c r="E8269" s="57" t="n">
        <v>8</v>
      </c>
      <c r="F8269" s="29">
        <f>ROUND(((SUMIFS(Calendar!$F$2:$F$9997,Calendar!$B$2:$B$9997,D8269,Calendar!$C$2:$C$9997,C8269)*INDEX(ForeCalc!$B$37:$Y$274,MATCH(_xlfn.CONCAT(H8269," ",I8269),ForeCalc!$A$37:$A$274,0),MATCH(_xlfn.CONCAT(B8269," ",E8269),ForeCalc!$B$36:$Y$36,0))))*VLOOKUP(A8269,Calendar!$A$2:$H$9997,8,FALSE),0)</f>
        <v/>
      </c>
      <c r="G8269" s="29">
        <f>VLOOKUP(A8269,Calendar!$A$1:$H$9997,6,FALSE)-F8269</f>
        <v/>
      </c>
      <c r="H8269" s="19" t="n">
        <v>2</v>
      </c>
      <c r="I8269" s="57" t="n">
        <v>8</v>
      </c>
    </row>
    <row r="8270">
      <c r="A8270" s="62" t="n">
        <v>46709</v>
      </c>
      <c r="B8270" s="3" t="inlineStr">
        <is>
          <t>Week</t>
        </is>
      </c>
      <c r="C8270" s="19" t="n">
        <v>11</v>
      </c>
      <c r="D8270" s="19" t="n">
        <v>2027</v>
      </c>
      <c r="E8270" s="57" t="n">
        <v>8</v>
      </c>
      <c r="F8270" s="29">
        <f>ROUND(((SUMIFS(Calendar!$F$2:$F$9997,Calendar!$B$2:$B$9997,D8270,Calendar!$C$2:$C$9997,C8270)*INDEX(ForeCalc!$B$37:$Y$274,MATCH(_xlfn.CONCAT(H8270," ",I8270),ForeCalc!$A$37:$A$274,0),MATCH(_xlfn.CONCAT(B8270," ",E8270),ForeCalc!$B$36:$Y$36,0))))*VLOOKUP(A8270,Calendar!$A$2:$H$9997,8,FALSE),0)</f>
        <v/>
      </c>
      <c r="G8270" s="29">
        <f>VLOOKUP(A8270,Calendar!$A$1:$H$9997,6,FALSE)-F8270</f>
        <v/>
      </c>
      <c r="H8270" s="19" t="n">
        <v>2</v>
      </c>
      <c r="I8270" s="57" t="n">
        <v>8</v>
      </c>
    </row>
    <row r="8271">
      <c r="A8271" s="62" t="n">
        <v>46710</v>
      </c>
      <c r="B8271" s="3" t="inlineStr">
        <is>
          <t>Week</t>
        </is>
      </c>
      <c r="C8271" s="19" t="n">
        <v>11</v>
      </c>
      <c r="D8271" s="19" t="n">
        <v>2027</v>
      </c>
      <c r="E8271" s="57" t="n">
        <v>8</v>
      </c>
      <c r="F8271" s="29">
        <f>ROUND(((SUMIFS(Calendar!$F$2:$F$9997,Calendar!$B$2:$B$9997,D8271,Calendar!$C$2:$C$9997,C8271)*INDEX(ForeCalc!$B$37:$Y$274,MATCH(_xlfn.CONCAT(H8271," ",I8271),ForeCalc!$A$37:$A$274,0),MATCH(_xlfn.CONCAT(B8271," ",E8271),ForeCalc!$B$36:$Y$36,0))))*VLOOKUP(A8271,Calendar!$A$2:$H$9997,8,FALSE),0)</f>
        <v/>
      </c>
      <c r="G8271" s="29">
        <f>VLOOKUP(A8271,Calendar!$A$1:$H$9997,6,FALSE)-F8271</f>
        <v/>
      </c>
      <c r="H8271" s="19" t="n">
        <v>2</v>
      </c>
      <c r="I8271" s="57" t="n">
        <v>8</v>
      </c>
    </row>
    <row r="8272">
      <c r="A8272" s="62" t="n">
        <v>46711</v>
      </c>
      <c r="B8272" s="3" t="inlineStr">
        <is>
          <t>Sat</t>
        </is>
      </c>
      <c r="C8272" s="19" t="n">
        <v>11</v>
      </c>
      <c r="D8272" s="19" t="n">
        <v>2027</v>
      </c>
      <c r="E8272" s="57" t="n">
        <v>8</v>
      </c>
      <c r="F8272" s="29">
        <f>ROUND(((SUMIFS(Calendar!$F$2:$F$9997,Calendar!$B$2:$B$9997,D8272,Calendar!$C$2:$C$9997,C8272)*INDEX(ForeCalc!$B$37:$Y$274,MATCH(_xlfn.CONCAT(H8272," ",I8272),ForeCalc!$A$37:$A$274,0),MATCH(_xlfn.CONCAT(B8272," ",E8272),ForeCalc!$B$36:$Y$36,0))))*VLOOKUP(A8272,Calendar!$A$2:$H$9997,8,FALSE),0)</f>
        <v/>
      </c>
      <c r="G8272" s="29">
        <f>VLOOKUP(A8272,Calendar!$A$1:$H$9997,6,FALSE)-F8272</f>
        <v/>
      </c>
      <c r="H8272" s="19" t="n">
        <v>2</v>
      </c>
      <c r="I8272" s="57" t="n">
        <v>8</v>
      </c>
    </row>
    <row r="8273">
      <c r="A8273" s="62" t="n">
        <v>46712</v>
      </c>
      <c r="B8273" s="3" t="inlineStr">
        <is>
          <t>Sun</t>
        </is>
      </c>
      <c r="C8273" s="19" t="n">
        <v>11</v>
      </c>
      <c r="D8273" s="19" t="n">
        <v>2027</v>
      </c>
      <c r="E8273" s="57" t="n">
        <v>8</v>
      </c>
      <c r="F8273" s="29">
        <f>ROUND(((SUMIFS(Calendar!$F$2:$F$9997,Calendar!$B$2:$B$9997,D8273,Calendar!$C$2:$C$9997,C8273)*INDEX(ForeCalc!$B$37:$Y$274,MATCH(_xlfn.CONCAT(H8273," ",I8273),ForeCalc!$A$37:$A$274,0),MATCH(_xlfn.CONCAT(B8273," ",E8273),ForeCalc!$B$36:$Y$36,0))))*VLOOKUP(A8273,Calendar!$A$2:$H$9997,8,FALSE),0)</f>
        <v/>
      </c>
      <c r="G8273" s="29">
        <f>VLOOKUP(A8273,Calendar!$A$1:$H$9997,6,FALSE)-F8273</f>
        <v/>
      </c>
      <c r="H8273" s="19" t="n">
        <v>2</v>
      </c>
      <c r="I8273" s="57" t="n">
        <v>8</v>
      </c>
    </row>
    <row r="8274">
      <c r="A8274" s="62" t="n">
        <v>46713</v>
      </c>
      <c r="B8274" s="3" t="inlineStr">
        <is>
          <t>Week</t>
        </is>
      </c>
      <c r="C8274" s="19" t="n">
        <v>11</v>
      </c>
      <c r="D8274" s="19" t="n">
        <v>2027</v>
      </c>
      <c r="E8274" s="57" t="n">
        <v>8</v>
      </c>
      <c r="F8274" s="29">
        <f>ROUND(((SUMIFS(Calendar!$F$2:$F$9997,Calendar!$B$2:$B$9997,D8274,Calendar!$C$2:$C$9997,C8274)*INDEX(ForeCalc!$B$37:$Y$274,MATCH(_xlfn.CONCAT(H8274," ",I8274),ForeCalc!$A$37:$A$274,0),MATCH(_xlfn.CONCAT(B8274," ",E8274),ForeCalc!$B$36:$Y$36,0))))*VLOOKUP(A8274,Calendar!$A$2:$H$9997,8,FALSE),0)</f>
        <v/>
      </c>
      <c r="G8274" s="29">
        <f>VLOOKUP(A8274,Calendar!$A$1:$H$9997,6,FALSE)-F8274</f>
        <v/>
      </c>
      <c r="H8274" s="19" t="n">
        <v>2</v>
      </c>
      <c r="I8274" s="57" t="n">
        <v>8</v>
      </c>
    </row>
    <row r="8275">
      <c r="A8275" s="62" t="n">
        <v>46714</v>
      </c>
      <c r="B8275" s="3" t="inlineStr">
        <is>
          <t>Week</t>
        </is>
      </c>
      <c r="C8275" s="19" t="n">
        <v>11</v>
      </c>
      <c r="D8275" s="19" t="n">
        <v>2027</v>
      </c>
      <c r="E8275" s="57" t="n">
        <v>8</v>
      </c>
      <c r="F8275" s="29">
        <f>ROUND(((SUMIFS(Calendar!$F$2:$F$9997,Calendar!$B$2:$B$9997,D8275,Calendar!$C$2:$C$9997,C8275)*INDEX(ForeCalc!$B$37:$Y$274,MATCH(_xlfn.CONCAT(H8275," ",I8275),ForeCalc!$A$37:$A$274,0),MATCH(_xlfn.CONCAT(B8275," ",E8275),ForeCalc!$B$36:$Y$36,0))))*VLOOKUP(A8275,Calendar!$A$2:$H$9997,8,FALSE),0)</f>
        <v/>
      </c>
      <c r="G8275" s="29">
        <f>VLOOKUP(A8275,Calendar!$A$1:$H$9997,6,FALSE)-F8275</f>
        <v/>
      </c>
      <c r="H8275" s="19" t="n">
        <v>2</v>
      </c>
      <c r="I8275" s="57" t="n">
        <v>8</v>
      </c>
    </row>
    <row r="8276">
      <c r="A8276" s="62" t="n">
        <v>46715</v>
      </c>
      <c r="B8276" s="3" t="inlineStr">
        <is>
          <t>Week</t>
        </is>
      </c>
      <c r="C8276" s="19" t="n">
        <v>11</v>
      </c>
      <c r="D8276" s="19" t="n">
        <v>2027</v>
      </c>
      <c r="E8276" s="57" t="n">
        <v>8</v>
      </c>
      <c r="F8276" s="29">
        <f>ROUND(((SUMIFS(Calendar!$F$2:$F$9997,Calendar!$B$2:$B$9997,D8276,Calendar!$C$2:$C$9997,C8276)*INDEX(ForeCalc!$B$37:$Y$274,MATCH(_xlfn.CONCAT(H8276," ",I8276),ForeCalc!$A$37:$A$274,0),MATCH(_xlfn.CONCAT(B8276," ",E8276),ForeCalc!$B$36:$Y$36,0))))*VLOOKUP(A8276,Calendar!$A$2:$H$9997,8,FALSE),0)</f>
        <v/>
      </c>
      <c r="G8276" s="29">
        <f>VLOOKUP(A8276,Calendar!$A$1:$H$9997,6,FALSE)-F8276</f>
        <v/>
      </c>
      <c r="H8276" s="19" t="n">
        <v>2</v>
      </c>
      <c r="I8276" s="57" t="n">
        <v>8</v>
      </c>
    </row>
    <row r="8277">
      <c r="A8277" s="62" t="n">
        <v>46716</v>
      </c>
      <c r="B8277" s="3" t="inlineStr">
        <is>
          <t>Week</t>
        </is>
      </c>
      <c r="C8277" s="19" t="n">
        <v>11</v>
      </c>
      <c r="D8277" s="19" t="n">
        <v>2027</v>
      </c>
      <c r="E8277" s="57" t="n">
        <v>8</v>
      </c>
      <c r="F8277" s="29">
        <f>ROUND(((SUMIFS(Calendar!$F$2:$F$9997,Calendar!$B$2:$B$9997,D8277,Calendar!$C$2:$C$9997,C8277)*INDEX(ForeCalc!$B$37:$Y$274,MATCH(_xlfn.CONCAT(H8277," ",I8277),ForeCalc!$A$37:$A$274,0),MATCH(_xlfn.CONCAT(B8277," ",E8277),ForeCalc!$B$36:$Y$36,0))))*VLOOKUP(A8277,Calendar!$A$2:$H$9997,8,FALSE),0)</f>
        <v/>
      </c>
      <c r="G8277" s="29">
        <f>VLOOKUP(A8277,Calendar!$A$1:$H$9997,6,FALSE)-F8277</f>
        <v/>
      </c>
      <c r="H8277" s="19" t="n">
        <v>2</v>
      </c>
      <c r="I8277" s="57" t="n">
        <v>8</v>
      </c>
    </row>
    <row r="8278">
      <c r="A8278" s="62" t="n">
        <v>46717</v>
      </c>
      <c r="B8278" s="3" t="inlineStr">
        <is>
          <t>Week</t>
        </is>
      </c>
      <c r="C8278" s="19" t="n">
        <v>11</v>
      </c>
      <c r="D8278" s="19" t="n">
        <v>2027</v>
      </c>
      <c r="E8278" s="57" t="n">
        <v>8</v>
      </c>
      <c r="F8278" s="29">
        <f>ROUND(((SUMIFS(Calendar!$F$2:$F$9997,Calendar!$B$2:$B$9997,D8278,Calendar!$C$2:$C$9997,C8278)*INDEX(ForeCalc!$B$37:$Y$274,MATCH(_xlfn.CONCAT(H8278," ",I8278),ForeCalc!$A$37:$A$274,0),MATCH(_xlfn.CONCAT(B8278," ",E8278),ForeCalc!$B$36:$Y$36,0))))*VLOOKUP(A8278,Calendar!$A$2:$H$9997,8,FALSE),0)</f>
        <v/>
      </c>
      <c r="G8278" s="29">
        <f>VLOOKUP(A8278,Calendar!$A$1:$H$9997,6,FALSE)-F8278</f>
        <v/>
      </c>
      <c r="H8278" s="19" t="n">
        <v>2</v>
      </c>
      <c r="I8278" s="57" t="n">
        <v>8</v>
      </c>
    </row>
    <row r="8279">
      <c r="A8279" s="62" t="n">
        <v>46718</v>
      </c>
      <c r="B8279" s="3" t="inlineStr">
        <is>
          <t>Sat</t>
        </is>
      </c>
      <c r="C8279" s="19" t="n">
        <v>11</v>
      </c>
      <c r="D8279" s="19" t="n">
        <v>2027</v>
      </c>
      <c r="E8279" s="57" t="n">
        <v>8</v>
      </c>
      <c r="F8279" s="29">
        <f>ROUND(((SUMIFS(Calendar!$F$2:$F$9997,Calendar!$B$2:$B$9997,D8279,Calendar!$C$2:$C$9997,C8279)*INDEX(ForeCalc!$B$37:$Y$274,MATCH(_xlfn.CONCAT(H8279," ",I8279),ForeCalc!$A$37:$A$274,0),MATCH(_xlfn.CONCAT(B8279," ",E8279),ForeCalc!$B$36:$Y$36,0))))*VLOOKUP(A8279,Calendar!$A$2:$H$9997,8,FALSE),0)</f>
        <v/>
      </c>
      <c r="G8279" s="29">
        <f>VLOOKUP(A8279,Calendar!$A$1:$H$9997,6,FALSE)-F8279</f>
        <v/>
      </c>
      <c r="H8279" s="19" t="n">
        <v>2</v>
      </c>
      <c r="I8279" s="57" t="n">
        <v>8</v>
      </c>
    </row>
    <row r="8280">
      <c r="A8280" s="62" t="n">
        <v>46719</v>
      </c>
      <c r="B8280" s="3" t="inlineStr">
        <is>
          <t>Sun</t>
        </is>
      </c>
      <c r="C8280" s="19" t="n">
        <v>11</v>
      </c>
      <c r="D8280" s="19" t="n">
        <v>2027</v>
      </c>
      <c r="E8280" s="57" t="n">
        <v>8</v>
      </c>
      <c r="F8280" s="29">
        <f>ROUND(((SUMIFS(Calendar!$F$2:$F$9997,Calendar!$B$2:$B$9997,D8280,Calendar!$C$2:$C$9997,C8280)*INDEX(ForeCalc!$B$37:$Y$274,MATCH(_xlfn.CONCAT(H8280," ",I8280),ForeCalc!$A$37:$A$274,0),MATCH(_xlfn.CONCAT(B8280," ",E8280),ForeCalc!$B$36:$Y$36,0))))*VLOOKUP(A8280,Calendar!$A$2:$H$9997,8,FALSE),0)</f>
        <v/>
      </c>
      <c r="G8280" s="29">
        <f>VLOOKUP(A8280,Calendar!$A$1:$H$9997,6,FALSE)-F8280</f>
        <v/>
      </c>
      <c r="H8280" s="19" t="n">
        <v>2</v>
      </c>
      <c r="I8280" s="57" t="n">
        <v>8</v>
      </c>
    </row>
    <row r="8281">
      <c r="A8281" s="62" t="n">
        <v>46720</v>
      </c>
      <c r="B8281" s="3" t="inlineStr">
        <is>
          <t>Week</t>
        </is>
      </c>
      <c r="C8281" s="19" t="n">
        <v>11</v>
      </c>
      <c r="D8281" s="19" t="n">
        <v>2027</v>
      </c>
      <c r="E8281" s="57" t="n">
        <v>8</v>
      </c>
      <c r="F8281" s="29">
        <f>ROUND(((SUMIFS(Calendar!$F$2:$F$9997,Calendar!$B$2:$B$9997,D8281,Calendar!$C$2:$C$9997,C8281)*INDEX(ForeCalc!$B$37:$Y$274,MATCH(_xlfn.CONCAT(H8281," ",I8281),ForeCalc!$A$37:$A$274,0),MATCH(_xlfn.CONCAT(B8281," ",E8281),ForeCalc!$B$36:$Y$36,0))))*VLOOKUP(A8281,Calendar!$A$2:$H$9997,8,FALSE),0)</f>
        <v/>
      </c>
      <c r="G8281" s="29">
        <f>VLOOKUP(A8281,Calendar!$A$1:$H$9997,6,FALSE)-F8281</f>
        <v/>
      </c>
      <c r="H8281" s="19" t="n">
        <v>2</v>
      </c>
      <c r="I8281" s="57" t="n">
        <v>8</v>
      </c>
    </row>
    <row r="8282">
      <c r="A8282" s="62" t="n">
        <v>46721</v>
      </c>
      <c r="B8282" s="3" t="inlineStr">
        <is>
          <t>Week</t>
        </is>
      </c>
      <c r="C8282" s="19" t="n">
        <v>11</v>
      </c>
      <c r="D8282" s="19" t="n">
        <v>2027</v>
      </c>
      <c r="E8282" s="57" t="n">
        <v>8</v>
      </c>
      <c r="F8282" s="29">
        <f>ROUND(((SUMIFS(Calendar!$F$2:$F$9997,Calendar!$B$2:$B$9997,D8282,Calendar!$C$2:$C$9997,C8282)*INDEX(ForeCalc!$B$37:$Y$274,MATCH(_xlfn.CONCAT(H8282," ",I8282),ForeCalc!$A$37:$A$274,0),MATCH(_xlfn.CONCAT(B8282," ",E8282),ForeCalc!$B$36:$Y$36,0))))*VLOOKUP(A8282,Calendar!$A$2:$H$9997,8,FALSE),0)</f>
        <v/>
      </c>
      <c r="G8282" s="29">
        <f>VLOOKUP(A8282,Calendar!$A$1:$H$9997,6,FALSE)-F8282</f>
        <v/>
      </c>
      <c r="H8282" s="19" t="n">
        <v>2</v>
      </c>
      <c r="I8282" s="57" t="n">
        <v>8</v>
      </c>
    </row>
    <row r="8283">
      <c r="A8283" s="62" t="n">
        <v>46722</v>
      </c>
      <c r="B8283" s="3" t="inlineStr">
        <is>
          <t>Week</t>
        </is>
      </c>
      <c r="C8283" s="19" t="n">
        <v>12</v>
      </c>
      <c r="D8283" s="19" t="n">
        <v>2027</v>
      </c>
      <c r="E8283" s="57" t="n">
        <v>8</v>
      </c>
      <c r="F8283" s="29">
        <f>ROUND(((SUMIFS(Calendar!$F$2:$F$9997,Calendar!$B$2:$B$9997,D8283,Calendar!$C$2:$C$9997,C8283)*INDEX(ForeCalc!$B$37:$Y$274,MATCH(_xlfn.CONCAT(H8283," ",I8283),ForeCalc!$A$37:$A$274,0),MATCH(_xlfn.CONCAT(B8283," ",E8283),ForeCalc!$B$36:$Y$36,0))))*VLOOKUP(A8283,Calendar!$A$2:$H$9997,8,FALSE),0)</f>
        <v/>
      </c>
      <c r="G8283" s="29">
        <f>VLOOKUP(A8283,Calendar!$A$1:$H$9997,6,FALSE)-F8283</f>
        <v/>
      </c>
      <c r="H8283" s="19" t="n">
        <v>2</v>
      </c>
      <c r="I8283" s="57" t="n">
        <v>9</v>
      </c>
    </row>
    <row r="8284">
      <c r="A8284" s="62" t="n">
        <v>46723</v>
      </c>
      <c r="B8284" s="3" t="inlineStr">
        <is>
          <t>Week</t>
        </is>
      </c>
      <c r="C8284" s="19" t="n">
        <v>12</v>
      </c>
      <c r="D8284" s="19" t="n">
        <v>2027</v>
      </c>
      <c r="E8284" s="57" t="n">
        <v>8</v>
      </c>
      <c r="F8284" s="29">
        <f>ROUND(((SUMIFS(Calendar!$F$2:$F$9997,Calendar!$B$2:$B$9997,D8284,Calendar!$C$2:$C$9997,C8284)*INDEX(ForeCalc!$B$37:$Y$274,MATCH(_xlfn.CONCAT(H8284," ",I8284),ForeCalc!$A$37:$A$274,0),MATCH(_xlfn.CONCAT(B8284," ",E8284),ForeCalc!$B$36:$Y$36,0))))*VLOOKUP(A8284,Calendar!$A$2:$H$9997,8,FALSE),0)</f>
        <v/>
      </c>
      <c r="G8284" s="29">
        <f>VLOOKUP(A8284,Calendar!$A$1:$H$9997,6,FALSE)-F8284</f>
        <v/>
      </c>
      <c r="H8284" s="19" t="n">
        <v>2</v>
      </c>
      <c r="I8284" s="57" t="n">
        <v>9</v>
      </c>
    </row>
    <row r="8285">
      <c r="A8285" s="62" t="n">
        <v>46724</v>
      </c>
      <c r="B8285" s="3" t="inlineStr">
        <is>
          <t>Week</t>
        </is>
      </c>
      <c r="C8285" s="19" t="n">
        <v>12</v>
      </c>
      <c r="D8285" s="19" t="n">
        <v>2027</v>
      </c>
      <c r="E8285" s="57" t="n">
        <v>8</v>
      </c>
      <c r="F8285" s="29">
        <f>ROUND(((SUMIFS(Calendar!$F$2:$F$9997,Calendar!$B$2:$B$9997,D8285,Calendar!$C$2:$C$9997,C8285)*INDEX(ForeCalc!$B$37:$Y$274,MATCH(_xlfn.CONCAT(H8285," ",I8285),ForeCalc!$A$37:$A$274,0),MATCH(_xlfn.CONCAT(B8285," ",E8285),ForeCalc!$B$36:$Y$36,0))))*VLOOKUP(A8285,Calendar!$A$2:$H$9997,8,FALSE),0)</f>
        <v/>
      </c>
      <c r="G8285" s="29">
        <f>VLOOKUP(A8285,Calendar!$A$1:$H$9997,6,FALSE)-F8285</f>
        <v/>
      </c>
      <c r="H8285" s="19" t="n">
        <v>2</v>
      </c>
      <c r="I8285" s="57" t="n">
        <v>9</v>
      </c>
    </row>
    <row r="8286">
      <c r="A8286" s="62" t="n">
        <v>46725</v>
      </c>
      <c r="B8286" s="3" t="inlineStr">
        <is>
          <t>Sat</t>
        </is>
      </c>
      <c r="C8286" s="19" t="n">
        <v>12</v>
      </c>
      <c r="D8286" s="19" t="n">
        <v>2027</v>
      </c>
      <c r="E8286" s="57" t="n">
        <v>8</v>
      </c>
      <c r="F8286" s="29">
        <f>ROUND(((SUMIFS(Calendar!$F$2:$F$9997,Calendar!$B$2:$B$9997,D8286,Calendar!$C$2:$C$9997,C8286)*INDEX(ForeCalc!$B$37:$Y$274,MATCH(_xlfn.CONCAT(H8286," ",I8286),ForeCalc!$A$37:$A$274,0),MATCH(_xlfn.CONCAT(B8286," ",E8286),ForeCalc!$B$36:$Y$36,0))))*VLOOKUP(A8286,Calendar!$A$2:$H$9997,8,FALSE),0)</f>
        <v/>
      </c>
      <c r="G8286" s="29">
        <f>VLOOKUP(A8286,Calendar!$A$1:$H$9997,6,FALSE)-F8286</f>
        <v/>
      </c>
      <c r="H8286" s="19" t="n">
        <v>2</v>
      </c>
      <c r="I8286" s="57" t="n">
        <v>9</v>
      </c>
    </row>
    <row r="8287">
      <c r="A8287" s="62" t="n">
        <v>46726</v>
      </c>
      <c r="B8287" s="3" t="inlineStr">
        <is>
          <t>Sun</t>
        </is>
      </c>
      <c r="C8287" s="19" t="n">
        <v>12</v>
      </c>
      <c r="D8287" s="19" t="n">
        <v>2027</v>
      </c>
      <c r="E8287" s="57" t="n">
        <v>8</v>
      </c>
      <c r="F8287" s="29">
        <f>ROUND(((SUMIFS(Calendar!$F$2:$F$9997,Calendar!$B$2:$B$9997,D8287,Calendar!$C$2:$C$9997,C8287)*INDEX(ForeCalc!$B$37:$Y$274,MATCH(_xlfn.CONCAT(H8287," ",I8287),ForeCalc!$A$37:$A$274,0),MATCH(_xlfn.CONCAT(B8287," ",E8287),ForeCalc!$B$36:$Y$36,0))))*VLOOKUP(A8287,Calendar!$A$2:$H$9997,8,FALSE),0)</f>
        <v/>
      </c>
      <c r="G8287" s="29">
        <f>VLOOKUP(A8287,Calendar!$A$1:$H$9997,6,FALSE)-F8287</f>
        <v/>
      </c>
      <c r="H8287" s="19" t="n">
        <v>2</v>
      </c>
      <c r="I8287" s="57" t="n">
        <v>9</v>
      </c>
    </row>
    <row r="8288">
      <c r="A8288" s="62" t="n">
        <v>46727</v>
      </c>
      <c r="B8288" s="3" t="inlineStr">
        <is>
          <t>Week</t>
        </is>
      </c>
      <c r="C8288" s="19" t="n">
        <v>12</v>
      </c>
      <c r="D8288" s="19" t="n">
        <v>2027</v>
      </c>
      <c r="E8288" s="57" t="n">
        <v>8</v>
      </c>
      <c r="F8288" s="29">
        <f>ROUND(((SUMIFS(Calendar!$F$2:$F$9997,Calendar!$B$2:$B$9997,D8288,Calendar!$C$2:$C$9997,C8288)*INDEX(ForeCalc!$B$37:$Y$274,MATCH(_xlfn.CONCAT(H8288," ",I8288),ForeCalc!$A$37:$A$274,0),MATCH(_xlfn.CONCAT(B8288," ",E8288),ForeCalc!$B$36:$Y$36,0))))*VLOOKUP(A8288,Calendar!$A$2:$H$9997,8,FALSE),0)</f>
        <v/>
      </c>
      <c r="G8288" s="29">
        <f>VLOOKUP(A8288,Calendar!$A$1:$H$9997,6,FALSE)-F8288</f>
        <v/>
      </c>
      <c r="H8288" s="19" t="n">
        <v>2</v>
      </c>
      <c r="I8288" s="57" t="n">
        <v>9</v>
      </c>
    </row>
    <row r="8289">
      <c r="A8289" s="62" t="n">
        <v>46728</v>
      </c>
      <c r="B8289" s="3" t="inlineStr">
        <is>
          <t>Week</t>
        </is>
      </c>
      <c r="C8289" s="19" t="n">
        <v>12</v>
      </c>
      <c r="D8289" s="19" t="n">
        <v>2027</v>
      </c>
      <c r="E8289" s="57" t="n">
        <v>8</v>
      </c>
      <c r="F8289" s="29">
        <f>ROUND(((SUMIFS(Calendar!$F$2:$F$9997,Calendar!$B$2:$B$9997,D8289,Calendar!$C$2:$C$9997,C8289)*INDEX(ForeCalc!$B$37:$Y$274,MATCH(_xlfn.CONCAT(H8289," ",I8289),ForeCalc!$A$37:$A$274,0),MATCH(_xlfn.CONCAT(B8289," ",E8289),ForeCalc!$B$36:$Y$36,0))))*VLOOKUP(A8289,Calendar!$A$2:$H$9997,8,FALSE),0)</f>
        <v/>
      </c>
      <c r="G8289" s="29">
        <f>VLOOKUP(A8289,Calendar!$A$1:$H$9997,6,FALSE)-F8289</f>
        <v/>
      </c>
      <c r="H8289" s="19" t="n">
        <v>2</v>
      </c>
      <c r="I8289" s="57" t="n">
        <v>9</v>
      </c>
    </row>
    <row r="8290">
      <c r="A8290" s="62" t="n">
        <v>46729</v>
      </c>
      <c r="B8290" s="3" t="inlineStr">
        <is>
          <t>Week</t>
        </is>
      </c>
      <c r="C8290" s="19" t="n">
        <v>12</v>
      </c>
      <c r="D8290" s="19" t="n">
        <v>2027</v>
      </c>
      <c r="E8290" s="57" t="n">
        <v>8</v>
      </c>
      <c r="F8290" s="29">
        <f>ROUND(((SUMIFS(Calendar!$F$2:$F$9997,Calendar!$B$2:$B$9997,D8290,Calendar!$C$2:$C$9997,C8290)*INDEX(ForeCalc!$B$37:$Y$274,MATCH(_xlfn.CONCAT(H8290," ",I8290),ForeCalc!$A$37:$A$274,0),MATCH(_xlfn.CONCAT(B8290," ",E8290),ForeCalc!$B$36:$Y$36,0))))*VLOOKUP(A8290,Calendar!$A$2:$H$9997,8,FALSE),0)</f>
        <v/>
      </c>
      <c r="G8290" s="29">
        <f>VLOOKUP(A8290,Calendar!$A$1:$H$9997,6,FALSE)-F8290</f>
        <v/>
      </c>
      <c r="H8290" s="19" t="n">
        <v>2</v>
      </c>
      <c r="I8290" s="57" t="n">
        <v>9</v>
      </c>
    </row>
    <row r="8291">
      <c r="A8291" s="62" t="n">
        <v>46730</v>
      </c>
      <c r="B8291" s="3" t="inlineStr">
        <is>
          <t>Week</t>
        </is>
      </c>
      <c r="C8291" s="19" t="n">
        <v>12</v>
      </c>
      <c r="D8291" s="19" t="n">
        <v>2027</v>
      </c>
      <c r="E8291" s="57" t="n">
        <v>8</v>
      </c>
      <c r="F8291" s="29">
        <f>ROUND(((SUMIFS(Calendar!$F$2:$F$9997,Calendar!$B$2:$B$9997,D8291,Calendar!$C$2:$C$9997,C8291)*INDEX(ForeCalc!$B$37:$Y$274,MATCH(_xlfn.CONCAT(H8291," ",I8291),ForeCalc!$A$37:$A$274,0),MATCH(_xlfn.CONCAT(B8291," ",E8291),ForeCalc!$B$36:$Y$36,0))))*VLOOKUP(A8291,Calendar!$A$2:$H$9997,8,FALSE),0)</f>
        <v/>
      </c>
      <c r="G8291" s="29">
        <f>VLOOKUP(A8291,Calendar!$A$1:$H$9997,6,FALSE)-F8291</f>
        <v/>
      </c>
      <c r="H8291" s="19" t="n">
        <v>2</v>
      </c>
      <c r="I8291" s="57" t="n">
        <v>9</v>
      </c>
    </row>
    <row r="8292">
      <c r="A8292" s="62" t="n">
        <v>46731</v>
      </c>
      <c r="B8292" s="3" t="inlineStr">
        <is>
          <t>Week</t>
        </is>
      </c>
      <c r="C8292" s="19" t="n">
        <v>12</v>
      </c>
      <c r="D8292" s="19" t="n">
        <v>2027</v>
      </c>
      <c r="E8292" s="57" t="n">
        <v>8</v>
      </c>
      <c r="F8292" s="29">
        <f>ROUND(((SUMIFS(Calendar!$F$2:$F$9997,Calendar!$B$2:$B$9997,D8292,Calendar!$C$2:$C$9997,C8292)*INDEX(ForeCalc!$B$37:$Y$274,MATCH(_xlfn.CONCAT(H8292," ",I8292),ForeCalc!$A$37:$A$274,0),MATCH(_xlfn.CONCAT(B8292," ",E8292),ForeCalc!$B$36:$Y$36,0))))*VLOOKUP(A8292,Calendar!$A$2:$H$9997,8,FALSE),0)</f>
        <v/>
      </c>
      <c r="G8292" s="29">
        <f>VLOOKUP(A8292,Calendar!$A$1:$H$9997,6,FALSE)-F8292</f>
        <v/>
      </c>
      <c r="H8292" s="19" t="n">
        <v>2</v>
      </c>
      <c r="I8292" s="57" t="n">
        <v>9</v>
      </c>
    </row>
    <row r="8293">
      <c r="A8293" s="62" t="n">
        <v>46732</v>
      </c>
      <c r="B8293" s="3" t="inlineStr">
        <is>
          <t>Sat</t>
        </is>
      </c>
      <c r="C8293" s="19" t="n">
        <v>12</v>
      </c>
      <c r="D8293" s="19" t="n">
        <v>2027</v>
      </c>
      <c r="E8293" s="57" t="n">
        <v>8</v>
      </c>
      <c r="F8293" s="29">
        <f>ROUND(((SUMIFS(Calendar!$F$2:$F$9997,Calendar!$B$2:$B$9997,D8293,Calendar!$C$2:$C$9997,C8293)*INDEX(ForeCalc!$B$37:$Y$274,MATCH(_xlfn.CONCAT(H8293," ",I8293),ForeCalc!$A$37:$A$274,0),MATCH(_xlfn.CONCAT(B8293," ",E8293),ForeCalc!$B$36:$Y$36,0))))*VLOOKUP(A8293,Calendar!$A$2:$H$9997,8,FALSE),0)</f>
        <v/>
      </c>
      <c r="G8293" s="29">
        <f>VLOOKUP(A8293,Calendar!$A$1:$H$9997,6,FALSE)-F8293</f>
        <v/>
      </c>
      <c r="H8293" s="19" t="n">
        <v>2</v>
      </c>
      <c r="I8293" s="57" t="n">
        <v>9</v>
      </c>
    </row>
    <row r="8294">
      <c r="A8294" s="62" t="n">
        <v>46733</v>
      </c>
      <c r="B8294" s="3" t="inlineStr">
        <is>
          <t>Sun</t>
        </is>
      </c>
      <c r="C8294" s="19" t="n">
        <v>12</v>
      </c>
      <c r="D8294" s="19" t="n">
        <v>2027</v>
      </c>
      <c r="E8294" s="57" t="n">
        <v>8</v>
      </c>
      <c r="F8294" s="29">
        <f>ROUND(((SUMIFS(Calendar!$F$2:$F$9997,Calendar!$B$2:$B$9997,D8294,Calendar!$C$2:$C$9997,C8294)*INDEX(ForeCalc!$B$37:$Y$274,MATCH(_xlfn.CONCAT(H8294," ",I8294),ForeCalc!$A$37:$A$274,0),MATCH(_xlfn.CONCAT(B8294," ",E8294),ForeCalc!$B$36:$Y$36,0))))*VLOOKUP(A8294,Calendar!$A$2:$H$9997,8,FALSE),0)</f>
        <v/>
      </c>
      <c r="G8294" s="29">
        <f>VLOOKUP(A8294,Calendar!$A$1:$H$9997,6,FALSE)-F8294</f>
        <v/>
      </c>
      <c r="H8294" s="19" t="n">
        <v>2</v>
      </c>
      <c r="I8294" s="57" t="n">
        <v>9</v>
      </c>
    </row>
    <row r="8295">
      <c r="A8295" s="62" t="n">
        <v>46734</v>
      </c>
      <c r="B8295" s="3" t="inlineStr">
        <is>
          <t>Week</t>
        </is>
      </c>
      <c r="C8295" s="19" t="n">
        <v>12</v>
      </c>
      <c r="D8295" s="19" t="n">
        <v>2027</v>
      </c>
      <c r="E8295" s="57" t="n">
        <v>8</v>
      </c>
      <c r="F8295" s="29">
        <f>ROUND(((SUMIFS(Calendar!$F$2:$F$9997,Calendar!$B$2:$B$9997,D8295,Calendar!$C$2:$C$9997,C8295)*INDEX(ForeCalc!$B$37:$Y$274,MATCH(_xlfn.CONCAT(H8295," ",I8295),ForeCalc!$A$37:$A$274,0),MATCH(_xlfn.CONCAT(B8295," ",E8295),ForeCalc!$B$36:$Y$36,0))))*VLOOKUP(A8295,Calendar!$A$2:$H$9997,8,FALSE),0)</f>
        <v/>
      </c>
      <c r="G8295" s="29">
        <f>VLOOKUP(A8295,Calendar!$A$1:$H$9997,6,FALSE)-F8295</f>
        <v/>
      </c>
      <c r="H8295" s="19" t="n">
        <v>2</v>
      </c>
      <c r="I8295" s="57" t="n">
        <v>9</v>
      </c>
    </row>
    <row r="8296">
      <c r="A8296" s="62" t="n">
        <v>46735</v>
      </c>
      <c r="B8296" s="3" t="inlineStr">
        <is>
          <t>Week</t>
        </is>
      </c>
      <c r="C8296" s="19" t="n">
        <v>12</v>
      </c>
      <c r="D8296" s="19" t="n">
        <v>2027</v>
      </c>
      <c r="E8296" s="57" t="n">
        <v>8</v>
      </c>
      <c r="F8296" s="29">
        <f>ROUND(((SUMIFS(Calendar!$F$2:$F$9997,Calendar!$B$2:$B$9997,D8296,Calendar!$C$2:$C$9997,C8296)*INDEX(ForeCalc!$B$37:$Y$274,MATCH(_xlfn.CONCAT(H8296," ",I8296),ForeCalc!$A$37:$A$274,0),MATCH(_xlfn.CONCAT(B8296," ",E8296),ForeCalc!$B$36:$Y$36,0))))*VLOOKUP(A8296,Calendar!$A$2:$H$9997,8,FALSE),0)</f>
        <v/>
      </c>
      <c r="G8296" s="29">
        <f>VLOOKUP(A8296,Calendar!$A$1:$H$9997,6,FALSE)-F8296</f>
        <v/>
      </c>
      <c r="H8296" s="19" t="n">
        <v>2</v>
      </c>
      <c r="I8296" s="57" t="n">
        <v>9</v>
      </c>
    </row>
    <row r="8297">
      <c r="A8297" s="62" t="n">
        <v>46736</v>
      </c>
      <c r="B8297" s="3" t="inlineStr">
        <is>
          <t>Week</t>
        </is>
      </c>
      <c r="C8297" s="19" t="n">
        <v>12</v>
      </c>
      <c r="D8297" s="19" t="n">
        <v>2027</v>
      </c>
      <c r="E8297" s="57" t="n">
        <v>8</v>
      </c>
      <c r="F8297" s="29">
        <f>ROUND(((SUMIFS(Calendar!$F$2:$F$9997,Calendar!$B$2:$B$9997,D8297,Calendar!$C$2:$C$9997,C8297)*INDEX(ForeCalc!$B$37:$Y$274,MATCH(_xlfn.CONCAT(H8297," ",I8297),ForeCalc!$A$37:$A$274,0),MATCH(_xlfn.CONCAT(B8297," ",E8297),ForeCalc!$B$36:$Y$36,0))))*VLOOKUP(A8297,Calendar!$A$2:$H$9997,8,FALSE),0)</f>
        <v/>
      </c>
      <c r="G8297" s="29">
        <f>VLOOKUP(A8297,Calendar!$A$1:$H$9997,6,FALSE)-F8297</f>
        <v/>
      </c>
      <c r="H8297" s="19" t="n">
        <v>2</v>
      </c>
      <c r="I8297" s="57" t="n">
        <v>9</v>
      </c>
    </row>
    <row r="8298">
      <c r="A8298" s="62" t="n">
        <v>46737</v>
      </c>
      <c r="B8298" s="3" t="inlineStr">
        <is>
          <t>Week</t>
        </is>
      </c>
      <c r="C8298" s="19" t="n">
        <v>12</v>
      </c>
      <c r="D8298" s="19" t="n">
        <v>2027</v>
      </c>
      <c r="E8298" s="57" t="n">
        <v>8</v>
      </c>
      <c r="F8298" s="29">
        <f>ROUND(((SUMIFS(Calendar!$F$2:$F$9997,Calendar!$B$2:$B$9997,D8298,Calendar!$C$2:$C$9997,C8298)*INDEX(ForeCalc!$B$37:$Y$274,MATCH(_xlfn.CONCAT(H8298," ",I8298),ForeCalc!$A$37:$A$274,0),MATCH(_xlfn.CONCAT(B8298," ",E8298),ForeCalc!$B$36:$Y$36,0))))*VLOOKUP(A8298,Calendar!$A$2:$H$9997,8,FALSE),0)</f>
        <v/>
      </c>
      <c r="G8298" s="29">
        <f>VLOOKUP(A8298,Calendar!$A$1:$H$9997,6,FALSE)-F8298</f>
        <v/>
      </c>
      <c r="H8298" s="19" t="n">
        <v>2</v>
      </c>
      <c r="I8298" s="57" t="n">
        <v>9</v>
      </c>
    </row>
    <row r="8299">
      <c r="A8299" s="62" t="n">
        <v>46738</v>
      </c>
      <c r="B8299" s="3" t="inlineStr">
        <is>
          <t>Week</t>
        </is>
      </c>
      <c r="C8299" s="19" t="n">
        <v>12</v>
      </c>
      <c r="D8299" s="19" t="n">
        <v>2027</v>
      </c>
      <c r="E8299" s="57" t="n">
        <v>8</v>
      </c>
      <c r="F8299" s="29">
        <f>ROUND(((SUMIFS(Calendar!$F$2:$F$9997,Calendar!$B$2:$B$9997,D8299,Calendar!$C$2:$C$9997,C8299)*INDEX(ForeCalc!$B$37:$Y$274,MATCH(_xlfn.CONCAT(H8299," ",I8299),ForeCalc!$A$37:$A$274,0),MATCH(_xlfn.CONCAT(B8299," ",E8299),ForeCalc!$B$36:$Y$36,0))))*VLOOKUP(A8299,Calendar!$A$2:$H$9997,8,FALSE),0)</f>
        <v/>
      </c>
      <c r="G8299" s="29">
        <f>VLOOKUP(A8299,Calendar!$A$1:$H$9997,6,FALSE)-F8299</f>
        <v/>
      </c>
      <c r="H8299" s="19" t="n">
        <v>2</v>
      </c>
      <c r="I8299" s="57" t="n">
        <v>9</v>
      </c>
    </row>
    <row r="8300">
      <c r="A8300" s="62" t="n">
        <v>46739</v>
      </c>
      <c r="B8300" s="3" t="inlineStr">
        <is>
          <t>Sat</t>
        </is>
      </c>
      <c r="C8300" s="19" t="n">
        <v>12</v>
      </c>
      <c r="D8300" s="19" t="n">
        <v>2027</v>
      </c>
      <c r="E8300" s="57" t="n">
        <v>8</v>
      </c>
      <c r="F8300" s="29">
        <f>ROUND(((SUMIFS(Calendar!$F$2:$F$9997,Calendar!$B$2:$B$9997,D8300,Calendar!$C$2:$C$9997,C8300)*INDEX(ForeCalc!$B$37:$Y$274,MATCH(_xlfn.CONCAT(H8300," ",I8300),ForeCalc!$A$37:$A$274,0),MATCH(_xlfn.CONCAT(B8300," ",E8300),ForeCalc!$B$36:$Y$36,0))))*VLOOKUP(A8300,Calendar!$A$2:$H$9997,8,FALSE),0)</f>
        <v/>
      </c>
      <c r="G8300" s="29">
        <f>VLOOKUP(A8300,Calendar!$A$1:$H$9997,6,FALSE)-F8300</f>
        <v/>
      </c>
      <c r="H8300" s="19" t="n">
        <v>2</v>
      </c>
      <c r="I8300" s="57" t="n">
        <v>9</v>
      </c>
    </row>
    <row r="8301">
      <c r="A8301" s="62" t="n">
        <v>46740</v>
      </c>
      <c r="B8301" s="3" t="inlineStr">
        <is>
          <t>Sun</t>
        </is>
      </c>
      <c r="C8301" s="19" t="n">
        <v>12</v>
      </c>
      <c r="D8301" s="19" t="n">
        <v>2027</v>
      </c>
      <c r="E8301" s="57" t="n">
        <v>8</v>
      </c>
      <c r="F8301" s="29">
        <f>ROUND(((SUMIFS(Calendar!$F$2:$F$9997,Calendar!$B$2:$B$9997,D8301,Calendar!$C$2:$C$9997,C8301)*INDEX(ForeCalc!$B$37:$Y$274,MATCH(_xlfn.CONCAT(H8301," ",I8301),ForeCalc!$A$37:$A$274,0),MATCH(_xlfn.CONCAT(B8301," ",E8301),ForeCalc!$B$36:$Y$36,0))))*VLOOKUP(A8301,Calendar!$A$2:$H$9997,8,FALSE),0)</f>
        <v/>
      </c>
      <c r="G8301" s="29">
        <f>VLOOKUP(A8301,Calendar!$A$1:$H$9997,6,FALSE)-F8301</f>
        <v/>
      </c>
      <c r="H8301" s="19" t="n">
        <v>2</v>
      </c>
      <c r="I8301" s="57" t="n">
        <v>9</v>
      </c>
    </row>
    <row r="8302">
      <c r="A8302" s="62" t="n">
        <v>46741</v>
      </c>
      <c r="B8302" s="3" t="inlineStr">
        <is>
          <t>Week</t>
        </is>
      </c>
      <c r="C8302" s="19" t="n">
        <v>12</v>
      </c>
      <c r="D8302" s="19" t="n">
        <v>2027</v>
      </c>
      <c r="E8302" s="57" t="n">
        <v>8</v>
      </c>
      <c r="F8302" s="29">
        <f>ROUND(((SUMIFS(Calendar!$F$2:$F$9997,Calendar!$B$2:$B$9997,D8302,Calendar!$C$2:$C$9997,C8302)*INDEX(ForeCalc!$B$37:$Y$274,MATCH(_xlfn.CONCAT(H8302," ",I8302),ForeCalc!$A$37:$A$274,0),MATCH(_xlfn.CONCAT(B8302," ",E8302),ForeCalc!$B$36:$Y$36,0))))*VLOOKUP(A8302,Calendar!$A$2:$H$9997,8,FALSE),0)</f>
        <v/>
      </c>
      <c r="G8302" s="29">
        <f>VLOOKUP(A8302,Calendar!$A$1:$H$9997,6,FALSE)-F8302</f>
        <v/>
      </c>
      <c r="H8302" s="19" t="n">
        <v>2</v>
      </c>
      <c r="I8302" s="57" t="n">
        <v>9</v>
      </c>
    </row>
    <row r="8303">
      <c r="A8303" s="62" t="n">
        <v>46742</v>
      </c>
      <c r="B8303" s="3" t="inlineStr">
        <is>
          <t>Week</t>
        </is>
      </c>
      <c r="C8303" s="19" t="n">
        <v>12</v>
      </c>
      <c r="D8303" s="19" t="n">
        <v>2027</v>
      </c>
      <c r="E8303" s="57" t="n">
        <v>8</v>
      </c>
      <c r="F8303" s="29">
        <f>ROUND(((SUMIFS(Calendar!$F$2:$F$9997,Calendar!$B$2:$B$9997,D8303,Calendar!$C$2:$C$9997,C8303)*INDEX(ForeCalc!$B$37:$Y$274,MATCH(_xlfn.CONCAT(H8303," ",I8303),ForeCalc!$A$37:$A$274,0),MATCH(_xlfn.CONCAT(B8303," ",E8303),ForeCalc!$B$36:$Y$36,0))))*VLOOKUP(A8303,Calendar!$A$2:$H$9997,8,FALSE),0)</f>
        <v/>
      </c>
      <c r="G8303" s="29">
        <f>VLOOKUP(A8303,Calendar!$A$1:$H$9997,6,FALSE)-F8303</f>
        <v/>
      </c>
      <c r="H8303" s="19" t="n">
        <v>2</v>
      </c>
      <c r="I8303" s="57" t="n">
        <v>9</v>
      </c>
    </row>
    <row r="8304">
      <c r="A8304" s="62" t="n">
        <v>46743</v>
      </c>
      <c r="B8304" s="3" t="inlineStr">
        <is>
          <t>Week</t>
        </is>
      </c>
      <c r="C8304" s="19" t="n">
        <v>12</v>
      </c>
      <c r="D8304" s="19" t="n">
        <v>2027</v>
      </c>
      <c r="E8304" s="57" t="n">
        <v>8</v>
      </c>
      <c r="F8304" s="29">
        <f>ROUND(((SUMIFS(Calendar!$F$2:$F$9997,Calendar!$B$2:$B$9997,D8304,Calendar!$C$2:$C$9997,C8304)*INDEX(ForeCalc!$B$37:$Y$274,MATCH(_xlfn.CONCAT(H8304," ",I8304),ForeCalc!$A$37:$A$274,0),MATCH(_xlfn.CONCAT(B8304," ",E8304),ForeCalc!$B$36:$Y$36,0))))*VLOOKUP(A8304,Calendar!$A$2:$H$9997,8,FALSE),0)</f>
        <v/>
      </c>
      <c r="G8304" s="29">
        <f>VLOOKUP(A8304,Calendar!$A$1:$H$9997,6,FALSE)-F8304</f>
        <v/>
      </c>
      <c r="H8304" s="19" t="n">
        <v>2</v>
      </c>
      <c r="I8304" s="57" t="n">
        <v>9</v>
      </c>
    </row>
    <row r="8305">
      <c r="A8305" s="62" t="n">
        <v>46744</v>
      </c>
      <c r="B8305" s="3" t="inlineStr">
        <is>
          <t>Week</t>
        </is>
      </c>
      <c r="C8305" s="19" t="n">
        <v>12</v>
      </c>
      <c r="D8305" s="19" t="n">
        <v>2027</v>
      </c>
      <c r="E8305" s="57" t="n">
        <v>8</v>
      </c>
      <c r="F8305" s="29">
        <f>ROUND(((SUMIFS(Calendar!$F$2:$F$9997,Calendar!$B$2:$B$9997,D8305,Calendar!$C$2:$C$9997,C8305)*INDEX(ForeCalc!$B$37:$Y$274,MATCH(_xlfn.CONCAT(H8305," ",I8305),ForeCalc!$A$37:$A$274,0),MATCH(_xlfn.CONCAT(B8305," ",E8305),ForeCalc!$B$36:$Y$36,0))))*VLOOKUP(A8305,Calendar!$A$2:$H$9997,8,FALSE),0)</f>
        <v/>
      </c>
      <c r="G8305" s="29">
        <f>VLOOKUP(A8305,Calendar!$A$1:$H$9997,6,FALSE)-F8305</f>
        <v/>
      </c>
      <c r="H8305" s="19" t="n">
        <v>2</v>
      </c>
      <c r="I8305" s="57" t="n">
        <v>9</v>
      </c>
    </row>
    <row r="8306">
      <c r="A8306" s="62" t="n">
        <v>46745</v>
      </c>
      <c r="B8306" s="3" t="inlineStr">
        <is>
          <t>Week</t>
        </is>
      </c>
      <c r="C8306" s="19" t="n">
        <v>12</v>
      </c>
      <c r="D8306" s="19" t="n">
        <v>2027</v>
      </c>
      <c r="E8306" s="57" t="n">
        <v>8</v>
      </c>
      <c r="F8306" s="29">
        <f>ROUND(((SUMIFS(Calendar!$F$2:$F$9997,Calendar!$B$2:$B$9997,D8306,Calendar!$C$2:$C$9997,C8306)*INDEX(ForeCalc!$B$37:$Y$274,MATCH(_xlfn.CONCAT(H8306," ",I8306),ForeCalc!$A$37:$A$274,0),MATCH(_xlfn.CONCAT(B8306," ",E8306),ForeCalc!$B$36:$Y$36,0))))*VLOOKUP(A8306,Calendar!$A$2:$H$9997,8,FALSE),0)</f>
        <v/>
      </c>
      <c r="G8306" s="29">
        <f>VLOOKUP(A8306,Calendar!$A$1:$H$9997,6,FALSE)-F8306</f>
        <v/>
      </c>
      <c r="H8306" s="19" t="n">
        <v>2</v>
      </c>
      <c r="I8306" s="57" t="n">
        <v>9</v>
      </c>
    </row>
    <row r="8307">
      <c r="A8307" s="62" t="n">
        <v>46746</v>
      </c>
      <c r="B8307" s="3" t="inlineStr">
        <is>
          <t>Sat</t>
        </is>
      </c>
      <c r="C8307" s="19" t="n">
        <v>12</v>
      </c>
      <c r="D8307" s="19" t="n">
        <v>2027</v>
      </c>
      <c r="E8307" s="57" t="n">
        <v>8</v>
      </c>
      <c r="F8307" s="29">
        <f>ROUND(((SUMIFS(Calendar!$F$2:$F$9997,Calendar!$B$2:$B$9997,D8307,Calendar!$C$2:$C$9997,C8307)*INDEX(ForeCalc!$B$37:$Y$274,MATCH(_xlfn.CONCAT(H8307," ",I8307),ForeCalc!$A$37:$A$274,0),MATCH(_xlfn.CONCAT(B8307," ",E8307),ForeCalc!$B$36:$Y$36,0))))*VLOOKUP(A8307,Calendar!$A$2:$H$9997,8,FALSE),0)</f>
        <v/>
      </c>
      <c r="G8307" s="29">
        <f>VLOOKUP(A8307,Calendar!$A$1:$H$9997,6,FALSE)-F8307</f>
        <v/>
      </c>
      <c r="H8307" s="19" t="n">
        <v>2</v>
      </c>
      <c r="I8307" s="57" t="n">
        <v>9</v>
      </c>
    </row>
    <row r="8308">
      <c r="A8308" s="62" t="n">
        <v>46747</v>
      </c>
      <c r="B8308" s="3" t="inlineStr">
        <is>
          <t>Sun</t>
        </is>
      </c>
      <c r="C8308" s="19" t="n">
        <v>12</v>
      </c>
      <c r="D8308" s="19" t="n">
        <v>2027</v>
      </c>
      <c r="E8308" s="57" t="n">
        <v>8</v>
      </c>
      <c r="F8308" s="29">
        <f>ROUND(((SUMIFS(Calendar!$F$2:$F$9997,Calendar!$B$2:$B$9997,D8308,Calendar!$C$2:$C$9997,C8308)*INDEX(ForeCalc!$B$37:$Y$274,MATCH(_xlfn.CONCAT(H8308," ",I8308),ForeCalc!$A$37:$A$274,0),MATCH(_xlfn.CONCAT(B8308," ",E8308),ForeCalc!$B$36:$Y$36,0))))*VLOOKUP(A8308,Calendar!$A$2:$H$9997,8,FALSE),0)</f>
        <v/>
      </c>
      <c r="G8308" s="29">
        <f>VLOOKUP(A8308,Calendar!$A$1:$H$9997,6,FALSE)-F8308</f>
        <v/>
      </c>
      <c r="H8308" s="19" t="n">
        <v>2</v>
      </c>
      <c r="I8308" s="57" t="n">
        <v>9</v>
      </c>
    </row>
    <row r="8309">
      <c r="A8309" s="62" t="n">
        <v>46748</v>
      </c>
      <c r="B8309" s="3" t="inlineStr">
        <is>
          <t>Week</t>
        </is>
      </c>
      <c r="C8309" s="19" t="n">
        <v>12</v>
      </c>
      <c r="D8309" s="19" t="n">
        <v>2027</v>
      </c>
      <c r="E8309" s="57" t="n">
        <v>8</v>
      </c>
      <c r="F8309" s="29">
        <f>ROUND(((SUMIFS(Calendar!$F$2:$F$9997,Calendar!$B$2:$B$9997,D8309,Calendar!$C$2:$C$9997,C8309)*INDEX(ForeCalc!$B$37:$Y$274,MATCH(_xlfn.CONCAT(H8309," ",I8309),ForeCalc!$A$37:$A$274,0),MATCH(_xlfn.CONCAT(B8309," ",E8309),ForeCalc!$B$36:$Y$36,0))))*VLOOKUP(A8309,Calendar!$A$2:$H$9997,8,FALSE),0)</f>
        <v/>
      </c>
      <c r="G8309" s="29">
        <f>VLOOKUP(A8309,Calendar!$A$1:$H$9997,6,FALSE)-F8309</f>
        <v/>
      </c>
      <c r="H8309" s="19" t="n">
        <v>2</v>
      </c>
      <c r="I8309" s="57" t="n">
        <v>9</v>
      </c>
    </row>
    <row r="8310">
      <c r="A8310" s="62" t="n">
        <v>46749</v>
      </c>
      <c r="B8310" s="3" t="inlineStr">
        <is>
          <t>Week</t>
        </is>
      </c>
      <c r="C8310" s="19" t="n">
        <v>12</v>
      </c>
      <c r="D8310" s="19" t="n">
        <v>2027</v>
      </c>
      <c r="E8310" s="57" t="n">
        <v>8</v>
      </c>
      <c r="F8310" s="29">
        <f>ROUND(((SUMIFS(Calendar!$F$2:$F$9997,Calendar!$B$2:$B$9997,D8310,Calendar!$C$2:$C$9997,C8310)*INDEX(ForeCalc!$B$37:$Y$274,MATCH(_xlfn.CONCAT(H8310," ",I8310),ForeCalc!$A$37:$A$274,0),MATCH(_xlfn.CONCAT(B8310," ",E8310),ForeCalc!$B$36:$Y$36,0))))*VLOOKUP(A8310,Calendar!$A$2:$H$9997,8,FALSE),0)</f>
        <v/>
      </c>
      <c r="G8310" s="29">
        <f>VLOOKUP(A8310,Calendar!$A$1:$H$9997,6,FALSE)-F8310</f>
        <v/>
      </c>
      <c r="H8310" s="19" t="n">
        <v>2</v>
      </c>
      <c r="I8310" s="57" t="n">
        <v>9</v>
      </c>
    </row>
    <row r="8311">
      <c r="A8311" s="62" t="n">
        <v>46750</v>
      </c>
      <c r="B8311" s="3" t="inlineStr">
        <is>
          <t>Week</t>
        </is>
      </c>
      <c r="C8311" s="19" t="n">
        <v>12</v>
      </c>
      <c r="D8311" s="19" t="n">
        <v>2027</v>
      </c>
      <c r="E8311" s="57" t="n">
        <v>8</v>
      </c>
      <c r="F8311" s="29">
        <f>ROUND(((SUMIFS(Calendar!$F$2:$F$9997,Calendar!$B$2:$B$9997,D8311,Calendar!$C$2:$C$9997,C8311)*INDEX(ForeCalc!$B$37:$Y$274,MATCH(_xlfn.CONCAT(H8311," ",I8311),ForeCalc!$A$37:$A$274,0),MATCH(_xlfn.CONCAT(B8311," ",E8311),ForeCalc!$B$36:$Y$36,0))))*VLOOKUP(A8311,Calendar!$A$2:$H$9997,8,FALSE),0)</f>
        <v/>
      </c>
      <c r="G8311" s="29">
        <f>VLOOKUP(A8311,Calendar!$A$1:$H$9997,6,FALSE)-F8311</f>
        <v/>
      </c>
      <c r="H8311" s="19" t="n">
        <v>2</v>
      </c>
      <c r="I8311" s="57" t="n">
        <v>9</v>
      </c>
    </row>
    <row r="8312">
      <c r="A8312" s="62" t="n">
        <v>46751</v>
      </c>
      <c r="B8312" s="3" t="inlineStr">
        <is>
          <t>Week</t>
        </is>
      </c>
      <c r="C8312" s="19" t="n">
        <v>12</v>
      </c>
      <c r="D8312" s="19" t="n">
        <v>2027</v>
      </c>
      <c r="E8312" s="57" t="n">
        <v>8</v>
      </c>
      <c r="F8312" s="29">
        <f>ROUND(((SUMIFS(Calendar!$F$2:$F$9997,Calendar!$B$2:$B$9997,D8312,Calendar!$C$2:$C$9997,C8312)*INDEX(ForeCalc!$B$37:$Y$274,MATCH(_xlfn.CONCAT(H8312," ",I8312),ForeCalc!$A$37:$A$274,0),MATCH(_xlfn.CONCAT(B8312," ",E8312),ForeCalc!$B$36:$Y$36,0))))*VLOOKUP(A8312,Calendar!$A$2:$H$9997,8,FALSE),0)</f>
        <v/>
      </c>
      <c r="G8312" s="29">
        <f>VLOOKUP(A8312,Calendar!$A$1:$H$9997,6,FALSE)-F8312</f>
        <v/>
      </c>
      <c r="H8312" s="19" t="n">
        <v>2</v>
      </c>
      <c r="I8312" s="57" t="n">
        <v>9</v>
      </c>
    </row>
    <row r="8313">
      <c r="A8313" s="62" t="n">
        <v>46752</v>
      </c>
      <c r="B8313" s="3" t="inlineStr">
        <is>
          <t>Week</t>
        </is>
      </c>
      <c r="C8313" s="19" t="n">
        <v>12</v>
      </c>
      <c r="D8313" s="19" t="n">
        <v>2027</v>
      </c>
      <c r="E8313" s="57" t="n">
        <v>8</v>
      </c>
      <c r="F8313" s="29">
        <f>ROUND(((SUMIFS(Calendar!$F$2:$F$9997,Calendar!$B$2:$B$9997,D8313,Calendar!$C$2:$C$9997,C8313)*INDEX(ForeCalc!$B$37:$Y$274,MATCH(_xlfn.CONCAT(H8313," ",I8313),ForeCalc!$A$37:$A$274,0),MATCH(_xlfn.CONCAT(B8313," ",E8313),ForeCalc!$B$36:$Y$36,0))))*VLOOKUP(A8313,Calendar!$A$2:$H$9997,8,FALSE),0)</f>
        <v/>
      </c>
      <c r="G8313" s="29">
        <f>VLOOKUP(A8313,Calendar!$A$1:$H$9997,6,FALSE)-F8313</f>
        <v/>
      </c>
      <c r="H8313" s="19" t="n">
        <v>2</v>
      </c>
      <c r="I8313" s="57" t="n">
        <v>9</v>
      </c>
    </row>
    <row r="8314">
      <c r="A8314" s="62" t="n">
        <v>46753</v>
      </c>
      <c r="B8314" s="3" t="inlineStr">
        <is>
          <t>Sat</t>
        </is>
      </c>
      <c r="C8314" s="19" t="n">
        <v>1</v>
      </c>
      <c r="D8314" s="19" t="n">
        <v>2028</v>
      </c>
      <c r="E8314" s="57" t="n">
        <v>8</v>
      </c>
      <c r="F8314" s="29">
        <f>ROUND(((SUMIFS(Calendar!$F$2:$F$9997,Calendar!$B$2:$B$9997,D8314,Calendar!$C$2:$C$9997,C8314)*INDEX(ForeCalc!$B$37:$Y$274,MATCH(_xlfn.CONCAT(H8314," ",I8314),ForeCalc!$A$37:$A$274,0),MATCH(_xlfn.CONCAT(B8314," ",E8314),ForeCalc!$B$36:$Y$36,0))))*VLOOKUP(A8314,Calendar!$A$2:$H$9997,8,FALSE),0)</f>
        <v/>
      </c>
      <c r="G8314" s="29">
        <f>VLOOKUP(A8314,Calendar!$A$1:$H$9997,6,FALSE)-F8314</f>
        <v/>
      </c>
      <c r="H8314" s="19" t="n">
        <v>2</v>
      </c>
      <c r="I8314" s="57" t="n">
        <v>10</v>
      </c>
    </row>
    <row r="8315">
      <c r="A8315" s="62" t="n">
        <v>46754</v>
      </c>
      <c r="B8315" s="3" t="inlineStr">
        <is>
          <t>Sun</t>
        </is>
      </c>
      <c r="C8315" s="19" t="n">
        <v>1</v>
      </c>
      <c r="D8315" s="19" t="n">
        <v>2028</v>
      </c>
      <c r="E8315" s="57" t="n">
        <v>8</v>
      </c>
      <c r="F8315" s="29">
        <f>ROUND(((SUMIFS(Calendar!$F$2:$F$9997,Calendar!$B$2:$B$9997,D8315,Calendar!$C$2:$C$9997,C8315)*INDEX(ForeCalc!$B$37:$Y$274,MATCH(_xlfn.CONCAT(H8315," ",I8315),ForeCalc!$A$37:$A$274,0),MATCH(_xlfn.CONCAT(B8315," ",E8315),ForeCalc!$B$36:$Y$36,0))))*VLOOKUP(A8315,Calendar!$A$2:$H$9997,8,FALSE),0)</f>
        <v/>
      </c>
      <c r="G8315" s="29">
        <f>VLOOKUP(A8315,Calendar!$A$1:$H$9997,6,FALSE)-F8315</f>
        <v/>
      </c>
      <c r="H8315" s="19" t="n">
        <v>2</v>
      </c>
      <c r="I8315" s="57" t="n">
        <v>10</v>
      </c>
    </row>
    <row r="8316">
      <c r="A8316" s="62" t="n">
        <v>46755</v>
      </c>
      <c r="B8316" s="3" t="inlineStr">
        <is>
          <t>Week</t>
        </is>
      </c>
      <c r="C8316" s="19" t="n">
        <v>1</v>
      </c>
      <c r="D8316" s="19" t="n">
        <v>2028</v>
      </c>
      <c r="E8316" s="57" t="n">
        <v>8</v>
      </c>
      <c r="F8316" s="29">
        <f>ROUND(((SUMIFS(Calendar!$F$2:$F$9997,Calendar!$B$2:$B$9997,D8316,Calendar!$C$2:$C$9997,C8316)*INDEX(ForeCalc!$B$37:$Y$274,MATCH(_xlfn.CONCAT(H8316," ",I8316),ForeCalc!$A$37:$A$274,0),MATCH(_xlfn.CONCAT(B8316," ",E8316),ForeCalc!$B$36:$Y$36,0))))*VLOOKUP(A8316,Calendar!$A$2:$H$9997,8,FALSE),0)</f>
        <v/>
      </c>
      <c r="G8316" s="29">
        <f>VLOOKUP(A8316,Calendar!$A$1:$H$9997,6,FALSE)-F8316</f>
        <v/>
      </c>
      <c r="H8316" s="19" t="n">
        <v>2</v>
      </c>
      <c r="I8316" s="57" t="n">
        <v>10</v>
      </c>
    </row>
    <row r="8317">
      <c r="A8317" s="62" t="n">
        <v>46756</v>
      </c>
      <c r="B8317" s="3" t="inlineStr">
        <is>
          <t>Week</t>
        </is>
      </c>
      <c r="C8317" s="19" t="n">
        <v>1</v>
      </c>
      <c r="D8317" s="19" t="n">
        <v>2028</v>
      </c>
      <c r="E8317" s="57" t="n">
        <v>8</v>
      </c>
      <c r="F8317" s="29">
        <f>ROUND(((SUMIFS(Calendar!$F$2:$F$9997,Calendar!$B$2:$B$9997,D8317,Calendar!$C$2:$C$9997,C8317)*INDEX(ForeCalc!$B$37:$Y$274,MATCH(_xlfn.CONCAT(H8317," ",I8317),ForeCalc!$A$37:$A$274,0),MATCH(_xlfn.CONCAT(B8317," ",E8317),ForeCalc!$B$36:$Y$36,0))))*VLOOKUP(A8317,Calendar!$A$2:$H$9997,8,FALSE),0)</f>
        <v/>
      </c>
      <c r="G8317" s="29">
        <f>VLOOKUP(A8317,Calendar!$A$1:$H$9997,6,FALSE)-F8317</f>
        <v/>
      </c>
      <c r="H8317" s="19" t="n">
        <v>2</v>
      </c>
      <c r="I8317" s="57" t="n">
        <v>10</v>
      </c>
    </row>
    <row r="8318">
      <c r="A8318" s="62" t="n">
        <v>46757</v>
      </c>
      <c r="B8318" s="3" t="inlineStr">
        <is>
          <t>Week</t>
        </is>
      </c>
      <c r="C8318" s="19" t="n">
        <v>1</v>
      </c>
      <c r="D8318" s="19" t="n">
        <v>2028</v>
      </c>
      <c r="E8318" s="57" t="n">
        <v>8</v>
      </c>
      <c r="F8318" s="29">
        <f>ROUND(((SUMIFS(Calendar!$F$2:$F$9997,Calendar!$B$2:$B$9997,D8318,Calendar!$C$2:$C$9997,C8318)*INDEX(ForeCalc!$B$37:$Y$274,MATCH(_xlfn.CONCAT(H8318," ",I8318),ForeCalc!$A$37:$A$274,0),MATCH(_xlfn.CONCAT(B8318," ",E8318),ForeCalc!$B$36:$Y$36,0))))*VLOOKUP(A8318,Calendar!$A$2:$H$9997,8,FALSE),0)</f>
        <v/>
      </c>
      <c r="G8318" s="29">
        <f>VLOOKUP(A8318,Calendar!$A$1:$H$9997,6,FALSE)-F8318</f>
        <v/>
      </c>
      <c r="H8318" s="19" t="n">
        <v>2</v>
      </c>
      <c r="I8318" s="57" t="n">
        <v>10</v>
      </c>
    </row>
    <row r="8319">
      <c r="A8319" s="62" t="n">
        <v>46758</v>
      </c>
      <c r="B8319" s="3" t="inlineStr">
        <is>
          <t>Week</t>
        </is>
      </c>
      <c r="C8319" s="19" t="n">
        <v>1</v>
      </c>
      <c r="D8319" s="19" t="n">
        <v>2028</v>
      </c>
      <c r="E8319" s="57" t="n">
        <v>8</v>
      </c>
      <c r="F8319" s="29">
        <f>ROUND(((SUMIFS(Calendar!$F$2:$F$9997,Calendar!$B$2:$B$9997,D8319,Calendar!$C$2:$C$9997,C8319)*INDEX(ForeCalc!$B$37:$Y$274,MATCH(_xlfn.CONCAT(H8319," ",I8319),ForeCalc!$A$37:$A$274,0),MATCH(_xlfn.CONCAT(B8319," ",E8319),ForeCalc!$B$36:$Y$36,0))))*VLOOKUP(A8319,Calendar!$A$2:$H$9997,8,FALSE),0)</f>
        <v/>
      </c>
      <c r="G8319" s="29">
        <f>VLOOKUP(A8319,Calendar!$A$1:$H$9997,6,FALSE)-F8319</f>
        <v/>
      </c>
      <c r="H8319" s="19" t="n">
        <v>2</v>
      </c>
      <c r="I8319" s="57" t="n">
        <v>10</v>
      </c>
    </row>
    <row r="8320">
      <c r="A8320" s="62" t="n">
        <v>46759</v>
      </c>
      <c r="B8320" s="3" t="inlineStr">
        <is>
          <t>Week</t>
        </is>
      </c>
      <c r="C8320" s="19" t="n">
        <v>1</v>
      </c>
      <c r="D8320" s="19" t="n">
        <v>2028</v>
      </c>
      <c r="E8320" s="57" t="n">
        <v>8</v>
      </c>
      <c r="F8320" s="29">
        <f>ROUND(((SUMIFS(Calendar!$F$2:$F$9997,Calendar!$B$2:$B$9997,D8320,Calendar!$C$2:$C$9997,C8320)*INDEX(ForeCalc!$B$37:$Y$274,MATCH(_xlfn.CONCAT(H8320," ",I8320),ForeCalc!$A$37:$A$274,0),MATCH(_xlfn.CONCAT(B8320," ",E8320),ForeCalc!$B$36:$Y$36,0))))*VLOOKUP(A8320,Calendar!$A$2:$H$9997,8,FALSE),0)</f>
        <v/>
      </c>
      <c r="G8320" s="29">
        <f>VLOOKUP(A8320,Calendar!$A$1:$H$9997,6,FALSE)-F8320</f>
        <v/>
      </c>
      <c r="H8320" s="19" t="n">
        <v>2</v>
      </c>
      <c r="I8320" s="57" t="n">
        <v>10</v>
      </c>
    </row>
    <row r="8321">
      <c r="A8321" s="62" t="n">
        <v>46760</v>
      </c>
      <c r="B8321" s="3" t="inlineStr">
        <is>
          <t>Sat</t>
        </is>
      </c>
      <c r="C8321" s="19" t="n">
        <v>1</v>
      </c>
      <c r="D8321" s="19" t="n">
        <v>2028</v>
      </c>
      <c r="E8321" s="57" t="n">
        <v>8</v>
      </c>
      <c r="F8321" s="29">
        <f>ROUND(((SUMIFS(Calendar!$F$2:$F$9997,Calendar!$B$2:$B$9997,D8321,Calendar!$C$2:$C$9997,C8321)*INDEX(ForeCalc!$B$37:$Y$274,MATCH(_xlfn.CONCAT(H8321," ",I8321),ForeCalc!$A$37:$A$274,0),MATCH(_xlfn.CONCAT(B8321," ",E8321),ForeCalc!$B$36:$Y$36,0))))*VLOOKUP(A8321,Calendar!$A$2:$H$9997,8,FALSE),0)</f>
        <v/>
      </c>
      <c r="G8321" s="29">
        <f>VLOOKUP(A8321,Calendar!$A$1:$H$9997,6,FALSE)-F8321</f>
        <v/>
      </c>
      <c r="H8321" s="19" t="n">
        <v>2</v>
      </c>
      <c r="I8321" s="57" t="n">
        <v>10</v>
      </c>
    </row>
    <row r="8322">
      <c r="A8322" s="62" t="n">
        <v>46761</v>
      </c>
      <c r="B8322" s="3" t="inlineStr">
        <is>
          <t>Sun</t>
        </is>
      </c>
      <c r="C8322" s="19" t="n">
        <v>1</v>
      </c>
      <c r="D8322" s="19" t="n">
        <v>2028</v>
      </c>
      <c r="E8322" s="57" t="n">
        <v>8</v>
      </c>
      <c r="F8322" s="29">
        <f>ROUND(((SUMIFS(Calendar!$F$2:$F$9997,Calendar!$B$2:$B$9997,D8322,Calendar!$C$2:$C$9997,C8322)*INDEX(ForeCalc!$B$37:$Y$274,MATCH(_xlfn.CONCAT(H8322," ",I8322),ForeCalc!$A$37:$A$274,0),MATCH(_xlfn.CONCAT(B8322," ",E8322),ForeCalc!$B$36:$Y$36,0))))*VLOOKUP(A8322,Calendar!$A$2:$H$9997,8,FALSE),0)</f>
        <v/>
      </c>
      <c r="G8322" s="29">
        <f>VLOOKUP(A8322,Calendar!$A$1:$H$9997,6,FALSE)-F8322</f>
        <v/>
      </c>
      <c r="H8322" s="19" t="n">
        <v>2</v>
      </c>
      <c r="I8322" s="57" t="n">
        <v>10</v>
      </c>
    </row>
    <row r="8323">
      <c r="A8323" s="62" t="n">
        <v>46762</v>
      </c>
      <c r="B8323" s="3" t="inlineStr">
        <is>
          <t>Week</t>
        </is>
      </c>
      <c r="C8323" s="19" t="n">
        <v>1</v>
      </c>
      <c r="D8323" s="19" t="n">
        <v>2028</v>
      </c>
      <c r="E8323" s="57" t="n">
        <v>8</v>
      </c>
      <c r="F8323" s="29">
        <f>ROUND(((SUMIFS(Calendar!$F$2:$F$9997,Calendar!$B$2:$B$9997,D8323,Calendar!$C$2:$C$9997,C8323)*INDEX(ForeCalc!$B$37:$Y$274,MATCH(_xlfn.CONCAT(H8323," ",I8323),ForeCalc!$A$37:$A$274,0),MATCH(_xlfn.CONCAT(B8323," ",E8323),ForeCalc!$B$36:$Y$36,0))))*VLOOKUP(A8323,Calendar!$A$2:$H$9997,8,FALSE),0)</f>
        <v/>
      </c>
      <c r="G8323" s="29">
        <f>VLOOKUP(A8323,Calendar!$A$1:$H$9997,6,FALSE)-F8323</f>
        <v/>
      </c>
      <c r="H8323" s="19" t="n">
        <v>2</v>
      </c>
      <c r="I8323" s="57" t="n">
        <v>10</v>
      </c>
    </row>
    <row r="8324">
      <c r="A8324" s="62" t="n">
        <v>46763</v>
      </c>
      <c r="B8324" s="3" t="inlineStr">
        <is>
          <t>Week</t>
        </is>
      </c>
      <c r="C8324" s="19" t="n">
        <v>1</v>
      </c>
      <c r="D8324" s="19" t="n">
        <v>2028</v>
      </c>
      <c r="E8324" s="57" t="n">
        <v>8</v>
      </c>
      <c r="F8324" s="29">
        <f>ROUND(((SUMIFS(Calendar!$F$2:$F$9997,Calendar!$B$2:$B$9997,D8324,Calendar!$C$2:$C$9997,C8324)*INDEX(ForeCalc!$B$37:$Y$274,MATCH(_xlfn.CONCAT(H8324," ",I8324),ForeCalc!$A$37:$A$274,0),MATCH(_xlfn.CONCAT(B8324," ",E8324),ForeCalc!$B$36:$Y$36,0))))*VLOOKUP(A8324,Calendar!$A$2:$H$9997,8,FALSE),0)</f>
        <v/>
      </c>
      <c r="G8324" s="29">
        <f>VLOOKUP(A8324,Calendar!$A$1:$H$9997,6,FALSE)-F8324</f>
        <v/>
      </c>
      <c r="H8324" s="19" t="n">
        <v>2</v>
      </c>
      <c r="I8324" s="57" t="n">
        <v>10</v>
      </c>
    </row>
    <row r="8325">
      <c r="A8325" s="62" t="n">
        <v>46764</v>
      </c>
      <c r="B8325" s="3" t="inlineStr">
        <is>
          <t>Week</t>
        </is>
      </c>
      <c r="C8325" s="19" t="n">
        <v>1</v>
      </c>
      <c r="D8325" s="19" t="n">
        <v>2028</v>
      </c>
      <c r="E8325" s="57" t="n">
        <v>8</v>
      </c>
      <c r="F8325" s="29">
        <f>ROUND(((SUMIFS(Calendar!$F$2:$F$9997,Calendar!$B$2:$B$9997,D8325,Calendar!$C$2:$C$9997,C8325)*INDEX(ForeCalc!$B$37:$Y$274,MATCH(_xlfn.CONCAT(H8325," ",I8325),ForeCalc!$A$37:$A$274,0),MATCH(_xlfn.CONCAT(B8325," ",E8325),ForeCalc!$B$36:$Y$36,0))))*VLOOKUP(A8325,Calendar!$A$2:$H$9997,8,FALSE),0)</f>
        <v/>
      </c>
      <c r="G8325" s="29">
        <f>VLOOKUP(A8325,Calendar!$A$1:$H$9997,6,FALSE)-F8325</f>
        <v/>
      </c>
      <c r="H8325" s="19" t="n">
        <v>2</v>
      </c>
      <c r="I8325" s="57" t="n">
        <v>10</v>
      </c>
    </row>
    <row r="8326">
      <c r="A8326" s="62" t="n">
        <v>46765</v>
      </c>
      <c r="B8326" s="3" t="inlineStr">
        <is>
          <t>Week</t>
        </is>
      </c>
      <c r="C8326" s="19" t="n">
        <v>1</v>
      </c>
      <c r="D8326" s="19" t="n">
        <v>2028</v>
      </c>
      <c r="E8326" s="57" t="n">
        <v>8</v>
      </c>
      <c r="F8326" s="29">
        <f>ROUND(((SUMIFS(Calendar!$F$2:$F$9997,Calendar!$B$2:$B$9997,D8326,Calendar!$C$2:$C$9997,C8326)*INDEX(ForeCalc!$B$37:$Y$274,MATCH(_xlfn.CONCAT(H8326," ",I8326),ForeCalc!$A$37:$A$274,0),MATCH(_xlfn.CONCAT(B8326," ",E8326),ForeCalc!$B$36:$Y$36,0))))*VLOOKUP(A8326,Calendar!$A$2:$H$9997,8,FALSE),0)</f>
        <v/>
      </c>
      <c r="G8326" s="29">
        <f>VLOOKUP(A8326,Calendar!$A$1:$H$9997,6,FALSE)-F8326</f>
        <v/>
      </c>
      <c r="H8326" s="19" t="n">
        <v>2</v>
      </c>
      <c r="I8326" s="57" t="n">
        <v>10</v>
      </c>
    </row>
    <row r="8327">
      <c r="A8327" s="62" t="n">
        <v>46766</v>
      </c>
      <c r="B8327" s="3" t="inlineStr">
        <is>
          <t>Week</t>
        </is>
      </c>
      <c r="C8327" s="19" t="n">
        <v>1</v>
      </c>
      <c r="D8327" s="19" t="n">
        <v>2028</v>
      </c>
      <c r="E8327" s="57" t="n">
        <v>8</v>
      </c>
      <c r="F8327" s="29">
        <f>ROUND(((SUMIFS(Calendar!$F$2:$F$9997,Calendar!$B$2:$B$9997,D8327,Calendar!$C$2:$C$9997,C8327)*INDEX(ForeCalc!$B$37:$Y$274,MATCH(_xlfn.CONCAT(H8327," ",I8327),ForeCalc!$A$37:$A$274,0),MATCH(_xlfn.CONCAT(B8327," ",E8327),ForeCalc!$B$36:$Y$36,0))))*VLOOKUP(A8327,Calendar!$A$2:$H$9997,8,FALSE),0)</f>
        <v/>
      </c>
      <c r="G8327" s="29">
        <f>VLOOKUP(A8327,Calendar!$A$1:$H$9997,6,FALSE)-F8327</f>
        <v/>
      </c>
      <c r="H8327" s="19" t="n">
        <v>2</v>
      </c>
      <c r="I8327" s="57" t="n">
        <v>10</v>
      </c>
    </row>
    <row r="8328">
      <c r="A8328" s="62" t="n">
        <v>46767</v>
      </c>
      <c r="B8328" s="3" t="inlineStr">
        <is>
          <t>Sat</t>
        </is>
      </c>
      <c r="C8328" s="19" t="n">
        <v>1</v>
      </c>
      <c r="D8328" s="19" t="n">
        <v>2028</v>
      </c>
      <c r="E8328" s="57" t="n">
        <v>8</v>
      </c>
      <c r="F8328" s="29">
        <f>ROUND(((SUMIFS(Calendar!$F$2:$F$9997,Calendar!$B$2:$B$9997,D8328,Calendar!$C$2:$C$9997,C8328)*INDEX(ForeCalc!$B$37:$Y$274,MATCH(_xlfn.CONCAT(H8328," ",I8328),ForeCalc!$A$37:$A$274,0),MATCH(_xlfn.CONCAT(B8328," ",E8328),ForeCalc!$B$36:$Y$36,0))))*VLOOKUP(A8328,Calendar!$A$2:$H$9997,8,FALSE),0)</f>
        <v/>
      </c>
      <c r="G8328" s="29">
        <f>VLOOKUP(A8328,Calendar!$A$1:$H$9997,6,FALSE)-F8328</f>
        <v/>
      </c>
      <c r="H8328" s="19" t="n">
        <v>2</v>
      </c>
      <c r="I8328" s="57" t="n">
        <v>10</v>
      </c>
    </row>
    <row r="8329">
      <c r="A8329" s="62" t="n">
        <v>46768</v>
      </c>
      <c r="B8329" s="3" t="inlineStr">
        <is>
          <t>Sun</t>
        </is>
      </c>
      <c r="C8329" s="19" t="n">
        <v>1</v>
      </c>
      <c r="D8329" s="19" t="n">
        <v>2028</v>
      </c>
      <c r="E8329" s="57" t="n">
        <v>8</v>
      </c>
      <c r="F8329" s="29">
        <f>ROUND(((SUMIFS(Calendar!$F$2:$F$9997,Calendar!$B$2:$B$9997,D8329,Calendar!$C$2:$C$9997,C8329)*INDEX(ForeCalc!$B$37:$Y$274,MATCH(_xlfn.CONCAT(H8329," ",I8329),ForeCalc!$A$37:$A$274,0),MATCH(_xlfn.CONCAT(B8329," ",E8329),ForeCalc!$B$36:$Y$36,0))))*VLOOKUP(A8329,Calendar!$A$2:$H$9997,8,FALSE),0)</f>
        <v/>
      </c>
      <c r="G8329" s="29">
        <f>VLOOKUP(A8329,Calendar!$A$1:$H$9997,6,FALSE)-F8329</f>
        <v/>
      </c>
      <c r="H8329" s="19" t="n">
        <v>2</v>
      </c>
      <c r="I8329" s="57" t="n">
        <v>10</v>
      </c>
    </row>
    <row r="8330">
      <c r="A8330" s="62" t="n">
        <v>46769</v>
      </c>
      <c r="B8330" s="3" t="inlineStr">
        <is>
          <t>Week</t>
        </is>
      </c>
      <c r="C8330" s="19" t="n">
        <v>1</v>
      </c>
      <c r="D8330" s="19" t="n">
        <v>2028</v>
      </c>
      <c r="E8330" s="57" t="n">
        <v>8</v>
      </c>
      <c r="F8330" s="29">
        <f>ROUND(((SUMIFS(Calendar!$F$2:$F$9997,Calendar!$B$2:$B$9997,D8330,Calendar!$C$2:$C$9997,C8330)*INDEX(ForeCalc!$B$37:$Y$274,MATCH(_xlfn.CONCAT(H8330," ",I8330),ForeCalc!$A$37:$A$274,0),MATCH(_xlfn.CONCAT(B8330," ",E8330),ForeCalc!$B$36:$Y$36,0))))*VLOOKUP(A8330,Calendar!$A$2:$H$9997,8,FALSE),0)</f>
        <v/>
      </c>
      <c r="G8330" s="29">
        <f>VLOOKUP(A8330,Calendar!$A$1:$H$9997,6,FALSE)-F8330</f>
        <v/>
      </c>
      <c r="H8330" s="19" t="n">
        <v>2</v>
      </c>
      <c r="I8330" s="57" t="n">
        <v>10</v>
      </c>
    </row>
    <row r="8331">
      <c r="A8331" s="62" t="n">
        <v>46770</v>
      </c>
      <c r="B8331" s="3" t="inlineStr">
        <is>
          <t>Week</t>
        </is>
      </c>
      <c r="C8331" s="19" t="n">
        <v>1</v>
      </c>
      <c r="D8331" s="19" t="n">
        <v>2028</v>
      </c>
      <c r="E8331" s="57" t="n">
        <v>8</v>
      </c>
      <c r="F8331" s="29">
        <f>ROUND(((SUMIFS(Calendar!$F$2:$F$9997,Calendar!$B$2:$B$9997,D8331,Calendar!$C$2:$C$9997,C8331)*INDEX(ForeCalc!$B$37:$Y$274,MATCH(_xlfn.CONCAT(H8331," ",I8331),ForeCalc!$A$37:$A$274,0),MATCH(_xlfn.CONCAT(B8331," ",E8331),ForeCalc!$B$36:$Y$36,0))))*VLOOKUP(A8331,Calendar!$A$2:$H$9997,8,FALSE),0)</f>
        <v/>
      </c>
      <c r="G8331" s="29">
        <f>VLOOKUP(A8331,Calendar!$A$1:$H$9997,6,FALSE)-F8331</f>
        <v/>
      </c>
      <c r="H8331" s="19" t="n">
        <v>2</v>
      </c>
      <c r="I8331" s="57" t="n">
        <v>10</v>
      </c>
    </row>
    <row r="8332">
      <c r="A8332" s="62" t="n">
        <v>46771</v>
      </c>
      <c r="B8332" s="3" t="inlineStr">
        <is>
          <t>Week</t>
        </is>
      </c>
      <c r="C8332" s="19" t="n">
        <v>1</v>
      </c>
      <c r="D8332" s="19" t="n">
        <v>2028</v>
      </c>
      <c r="E8332" s="57" t="n">
        <v>8</v>
      </c>
      <c r="F8332" s="29">
        <f>ROUND(((SUMIFS(Calendar!$F$2:$F$9997,Calendar!$B$2:$B$9997,D8332,Calendar!$C$2:$C$9997,C8332)*INDEX(ForeCalc!$B$37:$Y$274,MATCH(_xlfn.CONCAT(H8332," ",I8332),ForeCalc!$A$37:$A$274,0),MATCH(_xlfn.CONCAT(B8332," ",E8332),ForeCalc!$B$36:$Y$36,0))))*VLOOKUP(A8332,Calendar!$A$2:$H$9997,8,FALSE),0)</f>
        <v/>
      </c>
      <c r="G8332" s="29">
        <f>VLOOKUP(A8332,Calendar!$A$1:$H$9997,6,FALSE)-F8332</f>
        <v/>
      </c>
      <c r="H8332" s="19" t="n">
        <v>2</v>
      </c>
      <c r="I8332" s="57" t="n">
        <v>10</v>
      </c>
    </row>
    <row r="8333">
      <c r="A8333" s="62" t="n">
        <v>46772</v>
      </c>
      <c r="B8333" s="3" t="inlineStr">
        <is>
          <t>Week</t>
        </is>
      </c>
      <c r="C8333" s="19" t="n">
        <v>1</v>
      </c>
      <c r="D8333" s="19" t="n">
        <v>2028</v>
      </c>
      <c r="E8333" s="57" t="n">
        <v>8</v>
      </c>
      <c r="F8333" s="29">
        <f>ROUND(((SUMIFS(Calendar!$F$2:$F$9997,Calendar!$B$2:$B$9997,D8333,Calendar!$C$2:$C$9997,C8333)*INDEX(ForeCalc!$B$37:$Y$274,MATCH(_xlfn.CONCAT(H8333," ",I8333),ForeCalc!$A$37:$A$274,0),MATCH(_xlfn.CONCAT(B8333," ",E8333),ForeCalc!$B$36:$Y$36,0))))*VLOOKUP(A8333,Calendar!$A$2:$H$9997,8,FALSE),0)</f>
        <v/>
      </c>
      <c r="G8333" s="29">
        <f>VLOOKUP(A8333,Calendar!$A$1:$H$9997,6,FALSE)-F8333</f>
        <v/>
      </c>
      <c r="H8333" s="19" t="n">
        <v>2</v>
      </c>
      <c r="I8333" s="57" t="n">
        <v>10</v>
      </c>
    </row>
    <row r="8334">
      <c r="A8334" s="62" t="n">
        <v>46773</v>
      </c>
      <c r="B8334" s="3" t="inlineStr">
        <is>
          <t>Week</t>
        </is>
      </c>
      <c r="C8334" s="19" t="n">
        <v>1</v>
      </c>
      <c r="D8334" s="19" t="n">
        <v>2028</v>
      </c>
      <c r="E8334" s="57" t="n">
        <v>8</v>
      </c>
      <c r="F8334" s="29">
        <f>ROUND(((SUMIFS(Calendar!$F$2:$F$9997,Calendar!$B$2:$B$9997,D8334,Calendar!$C$2:$C$9997,C8334)*INDEX(ForeCalc!$B$37:$Y$274,MATCH(_xlfn.CONCAT(H8334," ",I8334),ForeCalc!$A$37:$A$274,0),MATCH(_xlfn.CONCAT(B8334," ",E8334),ForeCalc!$B$36:$Y$36,0))))*VLOOKUP(A8334,Calendar!$A$2:$H$9997,8,FALSE),0)</f>
        <v/>
      </c>
      <c r="G8334" s="29">
        <f>VLOOKUP(A8334,Calendar!$A$1:$H$9997,6,FALSE)-F8334</f>
        <v/>
      </c>
      <c r="H8334" s="19" t="n">
        <v>2</v>
      </c>
      <c r="I8334" s="57" t="n">
        <v>10</v>
      </c>
    </row>
    <row r="8335">
      <c r="A8335" s="62" t="n">
        <v>46774</v>
      </c>
      <c r="B8335" s="3" t="inlineStr">
        <is>
          <t>Sat</t>
        </is>
      </c>
      <c r="C8335" s="19" t="n">
        <v>1</v>
      </c>
      <c r="D8335" s="19" t="n">
        <v>2028</v>
      </c>
      <c r="E8335" s="57" t="n">
        <v>8</v>
      </c>
      <c r="F8335" s="29">
        <f>ROUND(((SUMIFS(Calendar!$F$2:$F$9997,Calendar!$B$2:$B$9997,D8335,Calendar!$C$2:$C$9997,C8335)*INDEX(ForeCalc!$B$37:$Y$274,MATCH(_xlfn.CONCAT(H8335," ",I8335),ForeCalc!$A$37:$A$274,0),MATCH(_xlfn.CONCAT(B8335," ",E8335),ForeCalc!$B$36:$Y$36,0))))*VLOOKUP(A8335,Calendar!$A$2:$H$9997,8,FALSE),0)</f>
        <v/>
      </c>
      <c r="G8335" s="29">
        <f>VLOOKUP(A8335,Calendar!$A$1:$H$9997,6,FALSE)-F8335</f>
        <v/>
      </c>
      <c r="H8335" s="19" t="n">
        <v>2</v>
      </c>
      <c r="I8335" s="57" t="n">
        <v>10</v>
      </c>
    </row>
    <row r="8336">
      <c r="A8336" s="62" t="n">
        <v>46775</v>
      </c>
      <c r="B8336" s="3" t="inlineStr">
        <is>
          <t>Sun</t>
        </is>
      </c>
      <c r="C8336" s="19" t="n">
        <v>1</v>
      </c>
      <c r="D8336" s="19" t="n">
        <v>2028</v>
      </c>
      <c r="E8336" s="57" t="n">
        <v>8</v>
      </c>
      <c r="F8336" s="29">
        <f>ROUND(((SUMIFS(Calendar!$F$2:$F$9997,Calendar!$B$2:$B$9997,D8336,Calendar!$C$2:$C$9997,C8336)*INDEX(ForeCalc!$B$37:$Y$274,MATCH(_xlfn.CONCAT(H8336," ",I8336),ForeCalc!$A$37:$A$274,0),MATCH(_xlfn.CONCAT(B8336," ",E8336),ForeCalc!$B$36:$Y$36,0))))*VLOOKUP(A8336,Calendar!$A$2:$H$9997,8,FALSE),0)</f>
        <v/>
      </c>
      <c r="G8336" s="29">
        <f>VLOOKUP(A8336,Calendar!$A$1:$H$9997,6,FALSE)-F8336</f>
        <v/>
      </c>
      <c r="H8336" s="19" t="n">
        <v>2</v>
      </c>
      <c r="I8336" s="57" t="n">
        <v>10</v>
      </c>
    </row>
    <row r="8337">
      <c r="A8337" s="62" t="n">
        <v>46776</v>
      </c>
      <c r="B8337" s="3" t="inlineStr">
        <is>
          <t>Week</t>
        </is>
      </c>
      <c r="C8337" s="19" t="n">
        <v>1</v>
      </c>
      <c r="D8337" s="19" t="n">
        <v>2028</v>
      </c>
      <c r="E8337" s="57" t="n">
        <v>8</v>
      </c>
      <c r="F8337" s="29">
        <f>ROUND(((SUMIFS(Calendar!$F$2:$F$9997,Calendar!$B$2:$B$9997,D8337,Calendar!$C$2:$C$9997,C8337)*INDEX(ForeCalc!$B$37:$Y$274,MATCH(_xlfn.CONCAT(H8337," ",I8337),ForeCalc!$A$37:$A$274,0),MATCH(_xlfn.CONCAT(B8337," ",E8337),ForeCalc!$B$36:$Y$36,0))))*VLOOKUP(A8337,Calendar!$A$2:$H$9997,8,FALSE),0)</f>
        <v/>
      </c>
      <c r="G8337" s="29">
        <f>VLOOKUP(A8337,Calendar!$A$1:$H$9997,6,FALSE)-F8337</f>
        <v/>
      </c>
      <c r="H8337" s="19" t="n">
        <v>2</v>
      </c>
      <c r="I8337" s="57" t="n">
        <v>10</v>
      </c>
    </row>
    <row r="8338">
      <c r="A8338" s="62" t="n">
        <v>46777</v>
      </c>
      <c r="B8338" s="3" t="inlineStr">
        <is>
          <t>Week</t>
        </is>
      </c>
      <c r="C8338" s="19" t="n">
        <v>1</v>
      </c>
      <c r="D8338" s="19" t="n">
        <v>2028</v>
      </c>
      <c r="E8338" s="57" t="n">
        <v>8</v>
      </c>
      <c r="F8338" s="29">
        <f>ROUND(((SUMIFS(Calendar!$F$2:$F$9997,Calendar!$B$2:$B$9997,D8338,Calendar!$C$2:$C$9997,C8338)*INDEX(ForeCalc!$B$37:$Y$274,MATCH(_xlfn.CONCAT(H8338," ",I8338),ForeCalc!$A$37:$A$274,0),MATCH(_xlfn.CONCAT(B8338," ",E8338),ForeCalc!$B$36:$Y$36,0))))*VLOOKUP(A8338,Calendar!$A$2:$H$9997,8,FALSE),0)</f>
        <v/>
      </c>
      <c r="G8338" s="29">
        <f>VLOOKUP(A8338,Calendar!$A$1:$H$9997,6,FALSE)-F8338</f>
        <v/>
      </c>
      <c r="H8338" s="19" t="n">
        <v>2</v>
      </c>
      <c r="I8338" s="57" t="n">
        <v>10</v>
      </c>
    </row>
    <row r="8339">
      <c r="A8339" s="62" t="n">
        <v>46778</v>
      </c>
      <c r="B8339" s="3" t="inlineStr">
        <is>
          <t>Week</t>
        </is>
      </c>
      <c r="C8339" s="19" t="n">
        <v>1</v>
      </c>
      <c r="D8339" s="19" t="n">
        <v>2028</v>
      </c>
      <c r="E8339" s="57" t="n">
        <v>8</v>
      </c>
      <c r="F8339" s="29">
        <f>ROUND(((SUMIFS(Calendar!$F$2:$F$9997,Calendar!$B$2:$B$9997,D8339,Calendar!$C$2:$C$9997,C8339)*INDEX(ForeCalc!$B$37:$Y$274,MATCH(_xlfn.CONCAT(H8339," ",I8339),ForeCalc!$A$37:$A$274,0),MATCH(_xlfn.CONCAT(B8339," ",E8339),ForeCalc!$B$36:$Y$36,0))))*VLOOKUP(A8339,Calendar!$A$2:$H$9997,8,FALSE),0)</f>
        <v/>
      </c>
      <c r="G8339" s="29">
        <f>VLOOKUP(A8339,Calendar!$A$1:$H$9997,6,FALSE)-F8339</f>
        <v/>
      </c>
      <c r="H8339" s="19" t="n">
        <v>2</v>
      </c>
      <c r="I8339" s="57" t="n">
        <v>10</v>
      </c>
    </row>
    <row r="8340">
      <c r="A8340" s="62" t="n">
        <v>46779</v>
      </c>
      <c r="B8340" s="3" t="inlineStr">
        <is>
          <t>Week</t>
        </is>
      </c>
      <c r="C8340" s="19" t="n">
        <v>1</v>
      </c>
      <c r="D8340" s="19" t="n">
        <v>2028</v>
      </c>
      <c r="E8340" s="57" t="n">
        <v>8</v>
      </c>
      <c r="F8340" s="29">
        <f>ROUND(((SUMIFS(Calendar!$F$2:$F$9997,Calendar!$B$2:$B$9997,D8340,Calendar!$C$2:$C$9997,C8340)*INDEX(ForeCalc!$B$37:$Y$274,MATCH(_xlfn.CONCAT(H8340," ",I8340),ForeCalc!$A$37:$A$274,0),MATCH(_xlfn.CONCAT(B8340," ",E8340),ForeCalc!$B$36:$Y$36,0))))*VLOOKUP(A8340,Calendar!$A$2:$H$9997,8,FALSE),0)</f>
        <v/>
      </c>
      <c r="G8340" s="29">
        <f>VLOOKUP(A8340,Calendar!$A$1:$H$9997,6,FALSE)-F8340</f>
        <v/>
      </c>
      <c r="H8340" s="19" t="n">
        <v>2</v>
      </c>
      <c r="I8340" s="57" t="n">
        <v>10</v>
      </c>
    </row>
    <row r="8341">
      <c r="A8341" s="62" t="n">
        <v>46780</v>
      </c>
      <c r="B8341" s="3" t="inlineStr">
        <is>
          <t>Week</t>
        </is>
      </c>
      <c r="C8341" s="19" t="n">
        <v>1</v>
      </c>
      <c r="D8341" s="19" t="n">
        <v>2028</v>
      </c>
      <c r="E8341" s="57" t="n">
        <v>8</v>
      </c>
      <c r="F8341" s="29">
        <f>ROUND(((SUMIFS(Calendar!$F$2:$F$9997,Calendar!$B$2:$B$9997,D8341,Calendar!$C$2:$C$9997,C8341)*INDEX(ForeCalc!$B$37:$Y$274,MATCH(_xlfn.CONCAT(H8341," ",I8341),ForeCalc!$A$37:$A$274,0),MATCH(_xlfn.CONCAT(B8341," ",E8341),ForeCalc!$B$36:$Y$36,0))))*VLOOKUP(A8341,Calendar!$A$2:$H$9997,8,FALSE),0)</f>
        <v/>
      </c>
      <c r="G8341" s="29">
        <f>VLOOKUP(A8341,Calendar!$A$1:$H$9997,6,FALSE)-F8341</f>
        <v/>
      </c>
      <c r="H8341" s="19" t="n">
        <v>2</v>
      </c>
      <c r="I8341" s="57" t="n">
        <v>10</v>
      </c>
    </row>
    <row r="8342">
      <c r="A8342" s="62" t="n">
        <v>46781</v>
      </c>
      <c r="B8342" s="3" t="inlineStr">
        <is>
          <t>Sat</t>
        </is>
      </c>
      <c r="C8342" s="19" t="n">
        <v>1</v>
      </c>
      <c r="D8342" s="19" t="n">
        <v>2028</v>
      </c>
      <c r="E8342" s="57" t="n">
        <v>8</v>
      </c>
      <c r="F8342" s="29">
        <f>ROUND(((SUMIFS(Calendar!$F$2:$F$9997,Calendar!$B$2:$B$9997,D8342,Calendar!$C$2:$C$9997,C8342)*INDEX(ForeCalc!$B$37:$Y$274,MATCH(_xlfn.CONCAT(H8342," ",I8342),ForeCalc!$A$37:$A$274,0),MATCH(_xlfn.CONCAT(B8342," ",E8342),ForeCalc!$B$36:$Y$36,0))))*VLOOKUP(A8342,Calendar!$A$2:$H$9997,8,FALSE),0)</f>
        <v/>
      </c>
      <c r="G8342" s="29">
        <f>VLOOKUP(A8342,Calendar!$A$1:$H$9997,6,FALSE)-F8342</f>
        <v/>
      </c>
      <c r="H8342" s="19" t="n">
        <v>2</v>
      </c>
      <c r="I8342" s="57" t="n">
        <v>10</v>
      </c>
    </row>
    <row r="8343">
      <c r="A8343" s="62" t="n">
        <v>46782</v>
      </c>
      <c r="B8343" s="3" t="inlineStr">
        <is>
          <t>Sun</t>
        </is>
      </c>
      <c r="C8343" s="19" t="n">
        <v>1</v>
      </c>
      <c r="D8343" s="19" t="n">
        <v>2028</v>
      </c>
      <c r="E8343" s="57" t="n">
        <v>8</v>
      </c>
      <c r="F8343" s="29">
        <f>ROUND(((SUMIFS(Calendar!$F$2:$F$9997,Calendar!$B$2:$B$9997,D8343,Calendar!$C$2:$C$9997,C8343)*INDEX(ForeCalc!$B$37:$Y$274,MATCH(_xlfn.CONCAT(H8343," ",I8343),ForeCalc!$A$37:$A$274,0),MATCH(_xlfn.CONCAT(B8343," ",E8343),ForeCalc!$B$36:$Y$36,0))))*VLOOKUP(A8343,Calendar!$A$2:$H$9997,8,FALSE),0)</f>
        <v/>
      </c>
      <c r="G8343" s="29">
        <f>VLOOKUP(A8343,Calendar!$A$1:$H$9997,6,FALSE)-F8343</f>
        <v/>
      </c>
      <c r="H8343" s="19" t="n">
        <v>2</v>
      </c>
      <c r="I8343" s="57" t="n">
        <v>10</v>
      </c>
    </row>
    <row r="8344">
      <c r="A8344" s="62" t="n">
        <v>46783</v>
      </c>
      <c r="B8344" s="3" t="inlineStr">
        <is>
          <t>Week</t>
        </is>
      </c>
      <c r="C8344" s="19" t="n">
        <v>1</v>
      </c>
      <c r="D8344" s="19" t="n">
        <v>2028</v>
      </c>
      <c r="E8344" s="57" t="n">
        <v>8</v>
      </c>
      <c r="F8344" s="29">
        <f>ROUND(((SUMIFS(Calendar!$F$2:$F$9997,Calendar!$B$2:$B$9997,D8344,Calendar!$C$2:$C$9997,C8344)*INDEX(ForeCalc!$B$37:$Y$274,MATCH(_xlfn.CONCAT(H8344," ",I8344),ForeCalc!$A$37:$A$274,0),MATCH(_xlfn.CONCAT(B8344," ",E8344),ForeCalc!$B$36:$Y$36,0))))*VLOOKUP(A8344,Calendar!$A$2:$H$9997,8,FALSE),0)</f>
        <v/>
      </c>
      <c r="G8344" s="29">
        <f>VLOOKUP(A8344,Calendar!$A$1:$H$9997,6,FALSE)-F8344</f>
        <v/>
      </c>
      <c r="H8344" s="19" t="n">
        <v>2</v>
      </c>
      <c r="I8344" s="57" t="n">
        <v>10</v>
      </c>
    </row>
    <row r="8345">
      <c r="A8345" s="62" t="n">
        <v>46784</v>
      </c>
      <c r="B8345" s="3" t="inlineStr">
        <is>
          <t>Week</t>
        </is>
      </c>
      <c r="C8345" s="19" t="n">
        <v>2</v>
      </c>
      <c r="D8345" s="19" t="n">
        <v>2028</v>
      </c>
      <c r="E8345" s="57" t="n">
        <v>8</v>
      </c>
      <c r="F8345" s="29">
        <f>ROUND(((SUMIFS(Calendar!$F$2:$F$9997,Calendar!$B$2:$B$9997,D8345,Calendar!$C$2:$C$9997,C8345)*INDEX(ForeCalc!$B$37:$Y$274,MATCH(_xlfn.CONCAT(H8345," ",I8345),ForeCalc!$A$37:$A$274,0),MATCH(_xlfn.CONCAT(B8345," ",E8345),ForeCalc!$B$36:$Y$36,0))))*VLOOKUP(A8345,Calendar!$A$2:$H$9997,8,FALSE),0)</f>
        <v/>
      </c>
      <c r="G8345" s="29">
        <f>VLOOKUP(A8345,Calendar!$A$1:$H$9997,6,FALSE)-F8345</f>
        <v/>
      </c>
      <c r="H8345" s="19" t="n">
        <v>2</v>
      </c>
      <c r="I8345" s="57" t="n">
        <v>11</v>
      </c>
    </row>
    <row r="8346">
      <c r="A8346" s="62" t="n">
        <v>46785</v>
      </c>
      <c r="B8346" s="3" t="inlineStr">
        <is>
          <t>Week</t>
        </is>
      </c>
      <c r="C8346" s="19" t="n">
        <v>2</v>
      </c>
      <c r="D8346" s="19" t="n">
        <v>2028</v>
      </c>
      <c r="E8346" s="57" t="n">
        <v>8</v>
      </c>
      <c r="F8346" s="29">
        <f>ROUND(((SUMIFS(Calendar!$F$2:$F$9997,Calendar!$B$2:$B$9997,D8346,Calendar!$C$2:$C$9997,C8346)*INDEX(ForeCalc!$B$37:$Y$274,MATCH(_xlfn.CONCAT(H8346," ",I8346),ForeCalc!$A$37:$A$274,0),MATCH(_xlfn.CONCAT(B8346," ",E8346),ForeCalc!$B$36:$Y$36,0))))*VLOOKUP(A8346,Calendar!$A$2:$H$9997,8,FALSE),0)</f>
        <v/>
      </c>
      <c r="G8346" s="29">
        <f>VLOOKUP(A8346,Calendar!$A$1:$H$9997,6,FALSE)-F8346</f>
        <v/>
      </c>
      <c r="H8346" s="19" t="n">
        <v>2</v>
      </c>
      <c r="I8346" s="57" t="n">
        <v>11</v>
      </c>
    </row>
    <row r="8347">
      <c r="A8347" s="62" t="n">
        <v>46786</v>
      </c>
      <c r="B8347" s="3" t="inlineStr">
        <is>
          <t>Week</t>
        </is>
      </c>
      <c r="C8347" s="19" t="n">
        <v>2</v>
      </c>
      <c r="D8347" s="19" t="n">
        <v>2028</v>
      </c>
      <c r="E8347" s="57" t="n">
        <v>8</v>
      </c>
      <c r="F8347" s="29">
        <f>ROUND(((SUMIFS(Calendar!$F$2:$F$9997,Calendar!$B$2:$B$9997,D8347,Calendar!$C$2:$C$9997,C8347)*INDEX(ForeCalc!$B$37:$Y$274,MATCH(_xlfn.CONCAT(H8347," ",I8347),ForeCalc!$A$37:$A$274,0),MATCH(_xlfn.CONCAT(B8347," ",E8347),ForeCalc!$B$36:$Y$36,0))))*VLOOKUP(A8347,Calendar!$A$2:$H$9997,8,FALSE),0)</f>
        <v/>
      </c>
      <c r="G8347" s="29">
        <f>VLOOKUP(A8347,Calendar!$A$1:$H$9997,6,FALSE)-F8347</f>
        <v/>
      </c>
      <c r="H8347" s="19" t="n">
        <v>2</v>
      </c>
      <c r="I8347" s="57" t="n">
        <v>11</v>
      </c>
    </row>
    <row r="8348">
      <c r="A8348" s="62" t="n">
        <v>46787</v>
      </c>
      <c r="B8348" s="3" t="inlineStr">
        <is>
          <t>Week</t>
        </is>
      </c>
      <c r="C8348" s="19" t="n">
        <v>2</v>
      </c>
      <c r="D8348" s="19" t="n">
        <v>2028</v>
      </c>
      <c r="E8348" s="57" t="n">
        <v>8</v>
      </c>
      <c r="F8348" s="29">
        <f>ROUND(((SUMIFS(Calendar!$F$2:$F$9997,Calendar!$B$2:$B$9997,D8348,Calendar!$C$2:$C$9997,C8348)*INDEX(ForeCalc!$B$37:$Y$274,MATCH(_xlfn.CONCAT(H8348," ",I8348),ForeCalc!$A$37:$A$274,0),MATCH(_xlfn.CONCAT(B8348," ",E8348),ForeCalc!$B$36:$Y$36,0))))*VLOOKUP(A8348,Calendar!$A$2:$H$9997,8,FALSE),0)</f>
        <v/>
      </c>
      <c r="G8348" s="29">
        <f>VLOOKUP(A8348,Calendar!$A$1:$H$9997,6,FALSE)-F8348</f>
        <v/>
      </c>
      <c r="H8348" s="19" t="n">
        <v>2</v>
      </c>
      <c r="I8348" s="57" t="n">
        <v>11</v>
      </c>
    </row>
    <row r="8349">
      <c r="A8349" s="62" t="n">
        <v>46788</v>
      </c>
      <c r="B8349" s="3" t="inlineStr">
        <is>
          <t>Sat</t>
        </is>
      </c>
      <c r="C8349" s="19" t="n">
        <v>2</v>
      </c>
      <c r="D8349" s="19" t="n">
        <v>2028</v>
      </c>
      <c r="E8349" s="57" t="n">
        <v>8</v>
      </c>
      <c r="F8349" s="29">
        <f>ROUND(((SUMIFS(Calendar!$F$2:$F$9997,Calendar!$B$2:$B$9997,D8349,Calendar!$C$2:$C$9997,C8349)*INDEX(ForeCalc!$B$37:$Y$274,MATCH(_xlfn.CONCAT(H8349," ",I8349),ForeCalc!$A$37:$A$274,0),MATCH(_xlfn.CONCAT(B8349," ",E8349),ForeCalc!$B$36:$Y$36,0))))*VLOOKUP(A8349,Calendar!$A$2:$H$9997,8,FALSE),0)</f>
        <v/>
      </c>
      <c r="G8349" s="29">
        <f>VLOOKUP(A8349,Calendar!$A$1:$H$9997,6,FALSE)-F8349</f>
        <v/>
      </c>
      <c r="H8349" s="19" t="n">
        <v>2</v>
      </c>
      <c r="I8349" s="57" t="n">
        <v>11</v>
      </c>
    </row>
    <row r="8350">
      <c r="A8350" s="62" t="n">
        <v>46789</v>
      </c>
      <c r="B8350" s="3" t="inlineStr">
        <is>
          <t>Sun</t>
        </is>
      </c>
      <c r="C8350" s="19" t="n">
        <v>2</v>
      </c>
      <c r="D8350" s="19" t="n">
        <v>2028</v>
      </c>
      <c r="E8350" s="57" t="n">
        <v>8</v>
      </c>
      <c r="F8350" s="29">
        <f>ROUND(((SUMIFS(Calendar!$F$2:$F$9997,Calendar!$B$2:$B$9997,D8350,Calendar!$C$2:$C$9997,C8350)*INDEX(ForeCalc!$B$37:$Y$274,MATCH(_xlfn.CONCAT(H8350," ",I8350),ForeCalc!$A$37:$A$274,0),MATCH(_xlfn.CONCAT(B8350," ",E8350),ForeCalc!$B$36:$Y$36,0))))*VLOOKUP(A8350,Calendar!$A$2:$H$9997,8,FALSE),0)</f>
        <v/>
      </c>
      <c r="G8350" s="29">
        <f>VLOOKUP(A8350,Calendar!$A$1:$H$9997,6,FALSE)-F8350</f>
        <v/>
      </c>
      <c r="H8350" s="19" t="n">
        <v>2</v>
      </c>
      <c r="I8350" s="57" t="n">
        <v>11</v>
      </c>
    </row>
    <row r="8351">
      <c r="A8351" s="62" t="n">
        <v>46790</v>
      </c>
      <c r="B8351" s="3" t="inlineStr">
        <is>
          <t>Week</t>
        </is>
      </c>
      <c r="C8351" s="19" t="n">
        <v>2</v>
      </c>
      <c r="D8351" s="19" t="n">
        <v>2028</v>
      </c>
      <c r="E8351" s="57" t="n">
        <v>8</v>
      </c>
      <c r="F8351" s="29">
        <f>ROUND(((SUMIFS(Calendar!$F$2:$F$9997,Calendar!$B$2:$B$9997,D8351,Calendar!$C$2:$C$9997,C8351)*INDEX(ForeCalc!$B$37:$Y$274,MATCH(_xlfn.CONCAT(H8351," ",I8351),ForeCalc!$A$37:$A$274,0),MATCH(_xlfn.CONCAT(B8351," ",E8351),ForeCalc!$B$36:$Y$36,0))))*VLOOKUP(A8351,Calendar!$A$2:$H$9997,8,FALSE),0)</f>
        <v/>
      </c>
      <c r="G8351" s="29">
        <f>VLOOKUP(A8351,Calendar!$A$1:$H$9997,6,FALSE)-F8351</f>
        <v/>
      </c>
      <c r="H8351" s="19" t="n">
        <v>2</v>
      </c>
      <c r="I8351" s="57" t="n">
        <v>11</v>
      </c>
    </row>
    <row r="8352">
      <c r="A8352" s="62" t="n">
        <v>46791</v>
      </c>
      <c r="B8352" s="3" t="inlineStr">
        <is>
          <t>Week</t>
        </is>
      </c>
      <c r="C8352" s="19" t="n">
        <v>2</v>
      </c>
      <c r="D8352" s="19" t="n">
        <v>2028</v>
      </c>
      <c r="E8352" s="57" t="n">
        <v>8</v>
      </c>
      <c r="F8352" s="29">
        <f>ROUND(((SUMIFS(Calendar!$F$2:$F$9997,Calendar!$B$2:$B$9997,D8352,Calendar!$C$2:$C$9997,C8352)*INDEX(ForeCalc!$B$37:$Y$274,MATCH(_xlfn.CONCAT(H8352," ",I8352),ForeCalc!$A$37:$A$274,0),MATCH(_xlfn.CONCAT(B8352," ",E8352),ForeCalc!$B$36:$Y$36,0))))*VLOOKUP(A8352,Calendar!$A$2:$H$9997,8,FALSE),0)</f>
        <v/>
      </c>
      <c r="G8352" s="29">
        <f>VLOOKUP(A8352,Calendar!$A$1:$H$9997,6,FALSE)-F8352</f>
        <v/>
      </c>
      <c r="H8352" s="19" t="n">
        <v>2</v>
      </c>
      <c r="I8352" s="57" t="n">
        <v>11</v>
      </c>
    </row>
    <row r="8353">
      <c r="A8353" s="62" t="n">
        <v>46792</v>
      </c>
      <c r="B8353" s="3" t="inlineStr">
        <is>
          <t>Week</t>
        </is>
      </c>
      <c r="C8353" s="19" t="n">
        <v>2</v>
      </c>
      <c r="D8353" s="19" t="n">
        <v>2028</v>
      </c>
      <c r="E8353" s="57" t="n">
        <v>8</v>
      </c>
      <c r="F8353" s="29">
        <f>ROUND(((SUMIFS(Calendar!$F$2:$F$9997,Calendar!$B$2:$B$9997,D8353,Calendar!$C$2:$C$9997,C8353)*INDEX(ForeCalc!$B$37:$Y$274,MATCH(_xlfn.CONCAT(H8353," ",I8353),ForeCalc!$A$37:$A$274,0),MATCH(_xlfn.CONCAT(B8353," ",E8353),ForeCalc!$B$36:$Y$36,0))))*VLOOKUP(A8353,Calendar!$A$2:$H$9997,8,FALSE),0)</f>
        <v/>
      </c>
      <c r="G8353" s="29">
        <f>VLOOKUP(A8353,Calendar!$A$1:$H$9997,6,FALSE)-F8353</f>
        <v/>
      </c>
      <c r="H8353" s="19" t="n">
        <v>2</v>
      </c>
      <c r="I8353" s="57" t="n">
        <v>11</v>
      </c>
    </row>
    <row r="8354">
      <c r="A8354" s="62" t="n">
        <v>46793</v>
      </c>
      <c r="B8354" s="3" t="inlineStr">
        <is>
          <t>Week</t>
        </is>
      </c>
      <c r="C8354" s="19" t="n">
        <v>2</v>
      </c>
      <c r="D8354" s="19" t="n">
        <v>2028</v>
      </c>
      <c r="E8354" s="57" t="n">
        <v>8</v>
      </c>
      <c r="F8354" s="29">
        <f>ROUND(((SUMIFS(Calendar!$F$2:$F$9997,Calendar!$B$2:$B$9997,D8354,Calendar!$C$2:$C$9997,C8354)*INDEX(ForeCalc!$B$37:$Y$274,MATCH(_xlfn.CONCAT(H8354," ",I8354),ForeCalc!$A$37:$A$274,0),MATCH(_xlfn.CONCAT(B8354," ",E8354),ForeCalc!$B$36:$Y$36,0))))*VLOOKUP(A8354,Calendar!$A$2:$H$9997,8,FALSE),0)</f>
        <v/>
      </c>
      <c r="G8354" s="29">
        <f>VLOOKUP(A8354,Calendar!$A$1:$H$9997,6,FALSE)-F8354</f>
        <v/>
      </c>
      <c r="H8354" s="19" t="n">
        <v>2</v>
      </c>
      <c r="I8354" s="57" t="n">
        <v>11</v>
      </c>
    </row>
    <row r="8355">
      <c r="A8355" s="62" t="n">
        <v>46794</v>
      </c>
      <c r="B8355" s="3" t="inlineStr">
        <is>
          <t>Week</t>
        </is>
      </c>
      <c r="C8355" s="19" t="n">
        <v>2</v>
      </c>
      <c r="D8355" s="19" t="n">
        <v>2028</v>
      </c>
      <c r="E8355" s="57" t="n">
        <v>8</v>
      </c>
      <c r="F8355" s="29">
        <f>ROUND(((SUMIFS(Calendar!$F$2:$F$9997,Calendar!$B$2:$B$9997,D8355,Calendar!$C$2:$C$9997,C8355)*INDEX(ForeCalc!$B$37:$Y$274,MATCH(_xlfn.CONCAT(H8355," ",I8355),ForeCalc!$A$37:$A$274,0),MATCH(_xlfn.CONCAT(B8355," ",E8355),ForeCalc!$B$36:$Y$36,0))))*VLOOKUP(A8355,Calendar!$A$2:$H$9997,8,FALSE),0)</f>
        <v/>
      </c>
      <c r="G8355" s="29">
        <f>VLOOKUP(A8355,Calendar!$A$1:$H$9997,6,FALSE)-F8355</f>
        <v/>
      </c>
      <c r="H8355" s="19" t="n">
        <v>2</v>
      </c>
      <c r="I8355" s="57" t="n">
        <v>11</v>
      </c>
    </row>
    <row r="8356">
      <c r="A8356" s="62" t="n">
        <v>46795</v>
      </c>
      <c r="B8356" s="3" t="inlineStr">
        <is>
          <t>Sat</t>
        </is>
      </c>
      <c r="C8356" s="19" t="n">
        <v>2</v>
      </c>
      <c r="D8356" s="19" t="n">
        <v>2028</v>
      </c>
      <c r="E8356" s="57" t="n">
        <v>8</v>
      </c>
      <c r="F8356" s="29">
        <f>ROUND(((SUMIFS(Calendar!$F$2:$F$9997,Calendar!$B$2:$B$9997,D8356,Calendar!$C$2:$C$9997,C8356)*INDEX(ForeCalc!$B$37:$Y$274,MATCH(_xlfn.CONCAT(H8356," ",I8356),ForeCalc!$A$37:$A$274,0),MATCH(_xlfn.CONCAT(B8356," ",E8356),ForeCalc!$B$36:$Y$36,0))))*VLOOKUP(A8356,Calendar!$A$2:$H$9997,8,FALSE),0)</f>
        <v/>
      </c>
      <c r="G8356" s="29">
        <f>VLOOKUP(A8356,Calendar!$A$1:$H$9997,6,FALSE)-F8356</f>
        <v/>
      </c>
      <c r="H8356" s="19" t="n">
        <v>2</v>
      </c>
      <c r="I8356" s="57" t="n">
        <v>11</v>
      </c>
    </row>
    <row r="8357">
      <c r="A8357" s="62" t="n">
        <v>46796</v>
      </c>
      <c r="B8357" s="3" t="inlineStr">
        <is>
          <t>Sun</t>
        </is>
      </c>
      <c r="C8357" s="19" t="n">
        <v>2</v>
      </c>
      <c r="D8357" s="19" t="n">
        <v>2028</v>
      </c>
      <c r="E8357" s="57" t="n">
        <v>8</v>
      </c>
      <c r="F8357" s="29">
        <f>ROUND(((SUMIFS(Calendar!$F$2:$F$9997,Calendar!$B$2:$B$9997,D8357,Calendar!$C$2:$C$9997,C8357)*INDEX(ForeCalc!$B$37:$Y$274,MATCH(_xlfn.CONCAT(H8357," ",I8357),ForeCalc!$A$37:$A$274,0),MATCH(_xlfn.CONCAT(B8357," ",E8357),ForeCalc!$B$36:$Y$36,0))))*VLOOKUP(A8357,Calendar!$A$2:$H$9997,8,FALSE),0)</f>
        <v/>
      </c>
      <c r="G8357" s="29">
        <f>VLOOKUP(A8357,Calendar!$A$1:$H$9997,6,FALSE)-F8357</f>
        <v/>
      </c>
      <c r="H8357" s="19" t="n">
        <v>2</v>
      </c>
      <c r="I8357" s="57" t="n">
        <v>11</v>
      </c>
    </row>
    <row r="8358">
      <c r="A8358" s="62" t="n">
        <v>46797</v>
      </c>
      <c r="B8358" s="3" t="inlineStr">
        <is>
          <t>Week</t>
        </is>
      </c>
      <c r="C8358" s="19" t="n">
        <v>2</v>
      </c>
      <c r="D8358" s="19" t="n">
        <v>2028</v>
      </c>
      <c r="E8358" s="57" t="n">
        <v>8</v>
      </c>
      <c r="F8358" s="29">
        <f>ROUND(((SUMIFS(Calendar!$F$2:$F$9997,Calendar!$B$2:$B$9997,D8358,Calendar!$C$2:$C$9997,C8358)*INDEX(ForeCalc!$B$37:$Y$274,MATCH(_xlfn.CONCAT(H8358," ",I8358),ForeCalc!$A$37:$A$274,0),MATCH(_xlfn.CONCAT(B8358," ",E8358),ForeCalc!$B$36:$Y$36,0))))*VLOOKUP(A8358,Calendar!$A$2:$H$9997,8,FALSE),0)</f>
        <v/>
      </c>
      <c r="G8358" s="29">
        <f>VLOOKUP(A8358,Calendar!$A$1:$H$9997,6,FALSE)-F8358</f>
        <v/>
      </c>
      <c r="H8358" s="19" t="n">
        <v>2</v>
      </c>
      <c r="I8358" s="57" t="n">
        <v>11</v>
      </c>
    </row>
    <row r="8359">
      <c r="A8359" s="62" t="n">
        <v>46798</v>
      </c>
      <c r="B8359" s="3" t="inlineStr">
        <is>
          <t>Week</t>
        </is>
      </c>
      <c r="C8359" s="19" t="n">
        <v>2</v>
      </c>
      <c r="D8359" s="19" t="n">
        <v>2028</v>
      </c>
      <c r="E8359" s="57" t="n">
        <v>8</v>
      </c>
      <c r="F8359" s="29">
        <f>ROUND(((SUMIFS(Calendar!$F$2:$F$9997,Calendar!$B$2:$B$9997,D8359,Calendar!$C$2:$C$9997,C8359)*INDEX(ForeCalc!$B$37:$Y$274,MATCH(_xlfn.CONCAT(H8359," ",I8359),ForeCalc!$A$37:$A$274,0),MATCH(_xlfn.CONCAT(B8359," ",E8359),ForeCalc!$B$36:$Y$36,0))))*VLOOKUP(A8359,Calendar!$A$2:$H$9997,8,FALSE),0)</f>
        <v/>
      </c>
      <c r="G8359" s="29">
        <f>VLOOKUP(A8359,Calendar!$A$1:$H$9997,6,FALSE)-F8359</f>
        <v/>
      </c>
      <c r="H8359" s="19" t="n">
        <v>2</v>
      </c>
      <c r="I8359" s="57" t="n">
        <v>11</v>
      </c>
    </row>
    <row r="8360">
      <c r="A8360" s="62" t="n">
        <v>46799</v>
      </c>
      <c r="B8360" s="3" t="inlineStr">
        <is>
          <t>Week</t>
        </is>
      </c>
      <c r="C8360" s="19" t="n">
        <v>2</v>
      </c>
      <c r="D8360" s="19" t="n">
        <v>2028</v>
      </c>
      <c r="E8360" s="57" t="n">
        <v>8</v>
      </c>
      <c r="F8360" s="29">
        <f>ROUND(((SUMIFS(Calendar!$F$2:$F$9997,Calendar!$B$2:$B$9997,D8360,Calendar!$C$2:$C$9997,C8360)*INDEX(ForeCalc!$B$37:$Y$274,MATCH(_xlfn.CONCAT(H8360," ",I8360),ForeCalc!$A$37:$A$274,0),MATCH(_xlfn.CONCAT(B8360," ",E8360),ForeCalc!$B$36:$Y$36,0))))*VLOOKUP(A8360,Calendar!$A$2:$H$9997,8,FALSE),0)</f>
        <v/>
      </c>
      <c r="G8360" s="29">
        <f>VLOOKUP(A8360,Calendar!$A$1:$H$9997,6,FALSE)-F8360</f>
        <v/>
      </c>
      <c r="H8360" s="19" t="n">
        <v>2</v>
      </c>
      <c r="I8360" s="57" t="n">
        <v>11</v>
      </c>
    </row>
    <row r="8361">
      <c r="A8361" s="62" t="n">
        <v>46800</v>
      </c>
      <c r="B8361" s="3" t="inlineStr">
        <is>
          <t>Week</t>
        </is>
      </c>
      <c r="C8361" s="19" t="n">
        <v>2</v>
      </c>
      <c r="D8361" s="19" t="n">
        <v>2028</v>
      </c>
      <c r="E8361" s="57" t="n">
        <v>8</v>
      </c>
      <c r="F8361" s="29">
        <f>ROUND(((SUMIFS(Calendar!$F$2:$F$9997,Calendar!$B$2:$B$9997,D8361,Calendar!$C$2:$C$9997,C8361)*INDEX(ForeCalc!$B$37:$Y$274,MATCH(_xlfn.CONCAT(H8361," ",I8361),ForeCalc!$A$37:$A$274,0),MATCH(_xlfn.CONCAT(B8361," ",E8361),ForeCalc!$B$36:$Y$36,0))))*VLOOKUP(A8361,Calendar!$A$2:$H$9997,8,FALSE),0)</f>
        <v/>
      </c>
      <c r="G8361" s="29">
        <f>VLOOKUP(A8361,Calendar!$A$1:$H$9997,6,FALSE)-F8361</f>
        <v/>
      </c>
      <c r="H8361" s="19" t="n">
        <v>2</v>
      </c>
      <c r="I8361" s="57" t="n">
        <v>11</v>
      </c>
    </row>
    <row r="8362">
      <c r="A8362" s="62" t="n">
        <v>46801</v>
      </c>
      <c r="B8362" s="3" t="inlineStr">
        <is>
          <t>Week</t>
        </is>
      </c>
      <c r="C8362" s="19" t="n">
        <v>2</v>
      </c>
      <c r="D8362" s="19" t="n">
        <v>2028</v>
      </c>
      <c r="E8362" s="57" t="n">
        <v>8</v>
      </c>
      <c r="F8362" s="29">
        <f>ROUND(((SUMIFS(Calendar!$F$2:$F$9997,Calendar!$B$2:$B$9997,D8362,Calendar!$C$2:$C$9997,C8362)*INDEX(ForeCalc!$B$37:$Y$274,MATCH(_xlfn.CONCAT(H8362," ",I8362),ForeCalc!$A$37:$A$274,0),MATCH(_xlfn.CONCAT(B8362," ",E8362),ForeCalc!$B$36:$Y$36,0))))*VLOOKUP(A8362,Calendar!$A$2:$H$9997,8,FALSE),0)</f>
        <v/>
      </c>
      <c r="G8362" s="29">
        <f>VLOOKUP(A8362,Calendar!$A$1:$H$9997,6,FALSE)-F8362</f>
        <v/>
      </c>
      <c r="H8362" s="19" t="n">
        <v>2</v>
      </c>
      <c r="I8362" s="57" t="n">
        <v>11</v>
      </c>
    </row>
    <row r="8363">
      <c r="A8363" s="62" t="n">
        <v>46802</v>
      </c>
      <c r="B8363" s="3" t="inlineStr">
        <is>
          <t>Sat</t>
        </is>
      </c>
      <c r="C8363" s="19" t="n">
        <v>2</v>
      </c>
      <c r="D8363" s="19" t="n">
        <v>2028</v>
      </c>
      <c r="E8363" s="57" t="n">
        <v>8</v>
      </c>
      <c r="F8363" s="29">
        <f>ROUND(((SUMIFS(Calendar!$F$2:$F$9997,Calendar!$B$2:$B$9997,D8363,Calendar!$C$2:$C$9997,C8363)*INDEX(ForeCalc!$B$37:$Y$274,MATCH(_xlfn.CONCAT(H8363," ",I8363),ForeCalc!$A$37:$A$274,0),MATCH(_xlfn.CONCAT(B8363," ",E8363),ForeCalc!$B$36:$Y$36,0))))*VLOOKUP(A8363,Calendar!$A$2:$H$9997,8,FALSE),0)</f>
        <v/>
      </c>
      <c r="G8363" s="29">
        <f>VLOOKUP(A8363,Calendar!$A$1:$H$9997,6,FALSE)-F8363</f>
        <v/>
      </c>
      <c r="H8363" s="19" t="n">
        <v>2</v>
      </c>
      <c r="I8363" s="57" t="n">
        <v>11</v>
      </c>
    </row>
    <row r="8364">
      <c r="A8364" s="62" t="n">
        <v>46803</v>
      </c>
      <c r="B8364" s="3" t="inlineStr">
        <is>
          <t>Sun</t>
        </is>
      </c>
      <c r="C8364" s="19" t="n">
        <v>2</v>
      </c>
      <c r="D8364" s="19" t="n">
        <v>2028</v>
      </c>
      <c r="E8364" s="57" t="n">
        <v>8</v>
      </c>
      <c r="F8364" s="29">
        <f>ROUND(((SUMIFS(Calendar!$F$2:$F$9997,Calendar!$B$2:$B$9997,D8364,Calendar!$C$2:$C$9997,C8364)*INDEX(ForeCalc!$B$37:$Y$274,MATCH(_xlfn.CONCAT(H8364," ",I8364),ForeCalc!$A$37:$A$274,0),MATCH(_xlfn.CONCAT(B8364," ",E8364),ForeCalc!$B$36:$Y$36,0))))*VLOOKUP(A8364,Calendar!$A$2:$H$9997,8,FALSE),0)</f>
        <v/>
      </c>
      <c r="G8364" s="29">
        <f>VLOOKUP(A8364,Calendar!$A$1:$H$9997,6,FALSE)-F8364</f>
        <v/>
      </c>
      <c r="H8364" s="19" t="n">
        <v>2</v>
      </c>
      <c r="I8364" s="57" t="n">
        <v>11</v>
      </c>
    </row>
    <row r="8365">
      <c r="A8365" s="62" t="n">
        <v>46804</v>
      </c>
      <c r="B8365" s="3" t="inlineStr">
        <is>
          <t>Week</t>
        </is>
      </c>
      <c r="C8365" s="19" t="n">
        <v>2</v>
      </c>
      <c r="D8365" s="19" t="n">
        <v>2028</v>
      </c>
      <c r="E8365" s="57" t="n">
        <v>8</v>
      </c>
      <c r="F8365" s="29">
        <f>ROUND(((SUMIFS(Calendar!$F$2:$F$9997,Calendar!$B$2:$B$9997,D8365,Calendar!$C$2:$C$9997,C8365)*INDEX(ForeCalc!$B$37:$Y$274,MATCH(_xlfn.CONCAT(H8365," ",I8365),ForeCalc!$A$37:$A$274,0),MATCH(_xlfn.CONCAT(B8365," ",E8365),ForeCalc!$B$36:$Y$36,0))))*VLOOKUP(A8365,Calendar!$A$2:$H$9997,8,FALSE),0)</f>
        <v/>
      </c>
      <c r="G8365" s="29">
        <f>VLOOKUP(A8365,Calendar!$A$1:$H$9997,6,FALSE)-F8365</f>
        <v/>
      </c>
      <c r="H8365" s="19" t="n">
        <v>2</v>
      </c>
      <c r="I8365" s="57" t="n">
        <v>11</v>
      </c>
    </row>
    <row r="8366">
      <c r="A8366" s="62" t="n">
        <v>46805</v>
      </c>
      <c r="B8366" s="3" t="inlineStr">
        <is>
          <t>Week</t>
        </is>
      </c>
      <c r="C8366" s="19" t="n">
        <v>2</v>
      </c>
      <c r="D8366" s="19" t="n">
        <v>2028</v>
      </c>
      <c r="E8366" s="57" t="n">
        <v>8</v>
      </c>
      <c r="F8366" s="29">
        <f>ROUND(((SUMIFS(Calendar!$F$2:$F$9997,Calendar!$B$2:$B$9997,D8366,Calendar!$C$2:$C$9997,C8366)*INDEX(ForeCalc!$B$37:$Y$274,MATCH(_xlfn.CONCAT(H8366," ",I8366),ForeCalc!$A$37:$A$274,0),MATCH(_xlfn.CONCAT(B8366," ",E8366),ForeCalc!$B$36:$Y$36,0))))*VLOOKUP(A8366,Calendar!$A$2:$H$9997,8,FALSE),0)</f>
        <v/>
      </c>
      <c r="G8366" s="29">
        <f>VLOOKUP(A8366,Calendar!$A$1:$H$9997,6,FALSE)-F8366</f>
        <v/>
      </c>
      <c r="H8366" s="19" t="n">
        <v>2</v>
      </c>
      <c r="I8366" s="57" t="n">
        <v>11</v>
      </c>
    </row>
    <row r="8367">
      <c r="A8367" s="62" t="n">
        <v>46806</v>
      </c>
      <c r="B8367" s="3" t="inlineStr">
        <is>
          <t>Week</t>
        </is>
      </c>
      <c r="C8367" s="19" t="n">
        <v>2</v>
      </c>
      <c r="D8367" s="19" t="n">
        <v>2028</v>
      </c>
      <c r="E8367" s="57" t="n">
        <v>8</v>
      </c>
      <c r="F8367" s="29">
        <f>ROUND(((SUMIFS(Calendar!$F$2:$F$9997,Calendar!$B$2:$B$9997,D8367,Calendar!$C$2:$C$9997,C8367)*INDEX(ForeCalc!$B$37:$Y$274,MATCH(_xlfn.CONCAT(H8367," ",I8367),ForeCalc!$A$37:$A$274,0),MATCH(_xlfn.CONCAT(B8367," ",E8367),ForeCalc!$B$36:$Y$36,0))))*VLOOKUP(A8367,Calendar!$A$2:$H$9997,8,FALSE),0)</f>
        <v/>
      </c>
      <c r="G8367" s="29">
        <f>VLOOKUP(A8367,Calendar!$A$1:$H$9997,6,FALSE)-F8367</f>
        <v/>
      </c>
      <c r="H8367" s="19" t="n">
        <v>2</v>
      </c>
      <c r="I8367" s="57" t="n">
        <v>11</v>
      </c>
    </row>
    <row r="8368">
      <c r="A8368" s="62" t="n">
        <v>46807</v>
      </c>
      <c r="B8368" s="3" t="inlineStr">
        <is>
          <t>Week</t>
        </is>
      </c>
      <c r="C8368" s="19" t="n">
        <v>2</v>
      </c>
      <c r="D8368" s="19" t="n">
        <v>2028</v>
      </c>
      <c r="E8368" s="57" t="n">
        <v>8</v>
      </c>
      <c r="F8368" s="29">
        <f>ROUND(((SUMIFS(Calendar!$F$2:$F$9997,Calendar!$B$2:$B$9997,D8368,Calendar!$C$2:$C$9997,C8368)*INDEX(ForeCalc!$B$37:$Y$274,MATCH(_xlfn.CONCAT(H8368," ",I8368),ForeCalc!$A$37:$A$274,0),MATCH(_xlfn.CONCAT(B8368," ",E8368),ForeCalc!$B$36:$Y$36,0))))*VLOOKUP(A8368,Calendar!$A$2:$H$9997,8,FALSE),0)</f>
        <v/>
      </c>
      <c r="G8368" s="29">
        <f>VLOOKUP(A8368,Calendar!$A$1:$H$9997,6,FALSE)-F8368</f>
        <v/>
      </c>
      <c r="H8368" s="19" t="n">
        <v>2</v>
      </c>
      <c r="I8368" s="57" t="n">
        <v>11</v>
      </c>
    </row>
    <row r="8369">
      <c r="A8369" s="62" t="n">
        <v>46808</v>
      </c>
      <c r="B8369" s="3" t="inlineStr">
        <is>
          <t>Week</t>
        </is>
      </c>
      <c r="C8369" s="19" t="n">
        <v>2</v>
      </c>
      <c r="D8369" s="19" t="n">
        <v>2028</v>
      </c>
      <c r="E8369" s="57" t="n">
        <v>8</v>
      </c>
      <c r="F8369" s="29">
        <f>ROUND(((SUMIFS(Calendar!$F$2:$F$9997,Calendar!$B$2:$B$9997,D8369,Calendar!$C$2:$C$9997,C8369)*INDEX(ForeCalc!$B$37:$Y$274,MATCH(_xlfn.CONCAT(H8369," ",I8369),ForeCalc!$A$37:$A$274,0),MATCH(_xlfn.CONCAT(B8369," ",E8369),ForeCalc!$B$36:$Y$36,0))))*VLOOKUP(A8369,Calendar!$A$2:$H$9997,8,FALSE),0)</f>
        <v/>
      </c>
      <c r="G8369" s="29">
        <f>VLOOKUP(A8369,Calendar!$A$1:$H$9997,6,FALSE)-F8369</f>
        <v/>
      </c>
      <c r="H8369" s="19" t="n">
        <v>2</v>
      </c>
      <c r="I8369" s="57" t="n">
        <v>11</v>
      </c>
    </row>
    <row r="8370">
      <c r="A8370" s="62" t="n">
        <v>46809</v>
      </c>
      <c r="B8370" s="3" t="inlineStr">
        <is>
          <t>Sat</t>
        </is>
      </c>
      <c r="C8370" s="19" t="n">
        <v>2</v>
      </c>
      <c r="D8370" s="19" t="n">
        <v>2028</v>
      </c>
      <c r="E8370" s="57" t="n">
        <v>8</v>
      </c>
      <c r="F8370" s="29">
        <f>ROUND(((SUMIFS(Calendar!$F$2:$F$9997,Calendar!$B$2:$B$9997,D8370,Calendar!$C$2:$C$9997,C8370)*INDEX(ForeCalc!$B$37:$Y$274,MATCH(_xlfn.CONCAT(H8370," ",I8370),ForeCalc!$A$37:$A$274,0),MATCH(_xlfn.CONCAT(B8370," ",E8370),ForeCalc!$B$36:$Y$36,0))))*VLOOKUP(A8370,Calendar!$A$2:$H$9997,8,FALSE),0)</f>
        <v/>
      </c>
      <c r="G8370" s="29">
        <f>VLOOKUP(A8370,Calendar!$A$1:$H$9997,6,FALSE)-F8370</f>
        <v/>
      </c>
      <c r="H8370" s="19" t="n">
        <v>2</v>
      </c>
      <c r="I8370" s="57" t="n">
        <v>11</v>
      </c>
    </row>
    <row r="8371">
      <c r="A8371" s="62" t="n">
        <v>46810</v>
      </c>
      <c r="B8371" s="3" t="inlineStr">
        <is>
          <t>Sun</t>
        </is>
      </c>
      <c r="C8371" s="19" t="n">
        <v>2</v>
      </c>
      <c r="D8371" s="19" t="n">
        <v>2028</v>
      </c>
      <c r="E8371" s="57" t="n">
        <v>8</v>
      </c>
      <c r="F8371" s="29">
        <f>ROUND(((SUMIFS(Calendar!$F$2:$F$9997,Calendar!$B$2:$B$9997,D8371,Calendar!$C$2:$C$9997,C8371)*INDEX(ForeCalc!$B$37:$Y$274,MATCH(_xlfn.CONCAT(H8371," ",I8371),ForeCalc!$A$37:$A$274,0),MATCH(_xlfn.CONCAT(B8371," ",E8371),ForeCalc!$B$36:$Y$36,0))))*VLOOKUP(A8371,Calendar!$A$2:$H$9997,8,FALSE),0)</f>
        <v/>
      </c>
      <c r="G8371" s="29">
        <f>VLOOKUP(A8371,Calendar!$A$1:$H$9997,6,FALSE)-F8371</f>
        <v/>
      </c>
      <c r="H8371" s="19" t="n">
        <v>2</v>
      </c>
      <c r="I8371" s="57" t="n">
        <v>11</v>
      </c>
    </row>
    <row r="8372">
      <c r="A8372" s="62" t="n">
        <v>46811</v>
      </c>
      <c r="B8372" s="3" t="inlineStr">
        <is>
          <t>Week</t>
        </is>
      </c>
      <c r="C8372" s="19" t="n">
        <v>2</v>
      </c>
      <c r="D8372" s="19" t="n">
        <v>2028</v>
      </c>
      <c r="E8372" s="57" t="n">
        <v>8</v>
      </c>
      <c r="F8372" s="29">
        <f>ROUND(((SUMIFS(Calendar!$F$2:$F$9997,Calendar!$B$2:$B$9997,D8372,Calendar!$C$2:$C$9997,C8372)*INDEX(ForeCalc!$B$37:$Y$274,MATCH(_xlfn.CONCAT(H8372," ",I8372),ForeCalc!$A$37:$A$274,0),MATCH(_xlfn.CONCAT(B8372," ",E8372),ForeCalc!$B$36:$Y$36,0))))*VLOOKUP(A8372,Calendar!$A$2:$H$9997,8,FALSE),0)</f>
        <v/>
      </c>
      <c r="G8372" s="29">
        <f>VLOOKUP(A8372,Calendar!$A$1:$H$9997,6,FALSE)-F8372</f>
        <v/>
      </c>
      <c r="H8372" s="19" t="n">
        <v>2</v>
      </c>
      <c r="I8372" s="57" t="n">
        <v>11</v>
      </c>
    </row>
    <row r="8373">
      <c r="A8373" s="62" t="n">
        <v>46812</v>
      </c>
      <c r="B8373" s="3" t="inlineStr">
        <is>
          <t>Week</t>
        </is>
      </c>
      <c r="C8373" s="19" t="n">
        <v>2</v>
      </c>
      <c r="D8373" s="19" t="n">
        <v>2028</v>
      </c>
      <c r="E8373" s="57" t="n">
        <v>8</v>
      </c>
      <c r="F8373" s="29">
        <f>ROUND(((SUMIFS(Calendar!$F$2:$F$9997,Calendar!$B$2:$B$9997,D8373,Calendar!$C$2:$C$9997,C8373)*INDEX(ForeCalc!$B$37:$Y$274,MATCH(_xlfn.CONCAT(H8373," ",I8373),ForeCalc!$A$37:$A$274,0),MATCH(_xlfn.CONCAT(B8373," ",E8373),ForeCalc!$B$36:$Y$36,0))))*VLOOKUP(A8373,Calendar!$A$2:$H$9997,8,FALSE),0)</f>
        <v/>
      </c>
      <c r="G8373" s="29">
        <f>VLOOKUP(A8373,Calendar!$A$1:$H$9997,6,FALSE)-F8373</f>
        <v/>
      </c>
      <c r="H8373" s="19" t="n">
        <v>2</v>
      </c>
      <c r="I8373" s="57" t="n">
        <v>11</v>
      </c>
    </row>
    <row r="8374">
      <c r="A8374" s="62" t="n">
        <v>46813</v>
      </c>
      <c r="B8374" s="3" t="inlineStr">
        <is>
          <t>Week</t>
        </is>
      </c>
      <c r="C8374" s="19" t="n">
        <v>3</v>
      </c>
      <c r="D8374" s="19" t="n">
        <v>2028</v>
      </c>
      <c r="E8374" s="57" t="n">
        <v>8</v>
      </c>
      <c r="F8374" s="29">
        <f>ROUND(((SUMIFS(Calendar!$F$2:$F$9997,Calendar!$B$2:$B$9997,D8374,Calendar!$C$2:$C$9997,C8374)*INDEX(ForeCalc!$B$37:$Y$274,MATCH(_xlfn.CONCAT(H8374," ",I8374),ForeCalc!$A$37:$A$274,0),MATCH(_xlfn.CONCAT(B8374," ",E8374),ForeCalc!$B$36:$Y$36,0))))*VLOOKUP(A8374,Calendar!$A$2:$H$9997,8,FALSE),0)</f>
        <v/>
      </c>
      <c r="G8374" s="29">
        <f>VLOOKUP(A8374,Calendar!$A$1:$H$9997,6,FALSE)-F8374</f>
        <v/>
      </c>
      <c r="H8374" s="19" t="n">
        <v>2</v>
      </c>
      <c r="I8374" s="57" t="n">
        <v>12</v>
      </c>
    </row>
    <row r="8375">
      <c r="A8375" s="62" t="n">
        <v>46814</v>
      </c>
      <c r="B8375" s="3" t="inlineStr">
        <is>
          <t>Week</t>
        </is>
      </c>
      <c r="C8375" s="19" t="n">
        <v>3</v>
      </c>
      <c r="D8375" s="19" t="n">
        <v>2028</v>
      </c>
      <c r="E8375" s="57" t="n">
        <v>8</v>
      </c>
      <c r="F8375" s="29">
        <f>ROUND(((SUMIFS(Calendar!$F$2:$F$9997,Calendar!$B$2:$B$9997,D8375,Calendar!$C$2:$C$9997,C8375)*INDEX(ForeCalc!$B$37:$Y$274,MATCH(_xlfn.CONCAT(H8375," ",I8375),ForeCalc!$A$37:$A$274,0),MATCH(_xlfn.CONCAT(B8375," ",E8375),ForeCalc!$B$36:$Y$36,0))))*VLOOKUP(A8375,Calendar!$A$2:$H$9997,8,FALSE),0)</f>
        <v/>
      </c>
      <c r="G8375" s="29">
        <f>VLOOKUP(A8375,Calendar!$A$1:$H$9997,6,FALSE)-F8375</f>
        <v/>
      </c>
      <c r="H8375" s="19" t="n">
        <v>2</v>
      </c>
      <c r="I8375" s="57" t="n">
        <v>12</v>
      </c>
    </row>
    <row r="8376">
      <c r="A8376" s="62" t="n">
        <v>46815</v>
      </c>
      <c r="B8376" s="3" t="inlineStr">
        <is>
          <t>Week</t>
        </is>
      </c>
      <c r="C8376" s="19" t="n">
        <v>3</v>
      </c>
      <c r="D8376" s="19" t="n">
        <v>2028</v>
      </c>
      <c r="E8376" s="57" t="n">
        <v>8</v>
      </c>
      <c r="F8376" s="29">
        <f>ROUND(((SUMIFS(Calendar!$F$2:$F$9997,Calendar!$B$2:$B$9997,D8376,Calendar!$C$2:$C$9997,C8376)*INDEX(ForeCalc!$B$37:$Y$274,MATCH(_xlfn.CONCAT(H8376," ",I8376),ForeCalc!$A$37:$A$274,0),MATCH(_xlfn.CONCAT(B8376," ",E8376),ForeCalc!$B$36:$Y$36,0))))*VLOOKUP(A8376,Calendar!$A$2:$H$9997,8,FALSE),0)</f>
        <v/>
      </c>
      <c r="G8376" s="29">
        <f>VLOOKUP(A8376,Calendar!$A$1:$H$9997,6,FALSE)-F8376</f>
        <v/>
      </c>
      <c r="H8376" s="19" t="n">
        <v>2</v>
      </c>
      <c r="I8376" s="57" t="n">
        <v>12</v>
      </c>
    </row>
    <row r="8377">
      <c r="A8377" s="62" t="n">
        <v>46816</v>
      </c>
      <c r="B8377" s="3" t="inlineStr">
        <is>
          <t>Sat</t>
        </is>
      </c>
      <c r="C8377" s="19" t="n">
        <v>3</v>
      </c>
      <c r="D8377" s="19" t="n">
        <v>2028</v>
      </c>
      <c r="E8377" s="57" t="n">
        <v>8</v>
      </c>
      <c r="F8377" s="29">
        <f>ROUND(((SUMIFS(Calendar!$F$2:$F$9997,Calendar!$B$2:$B$9997,D8377,Calendar!$C$2:$C$9997,C8377)*INDEX(ForeCalc!$B$37:$Y$274,MATCH(_xlfn.CONCAT(H8377," ",I8377),ForeCalc!$A$37:$A$274,0),MATCH(_xlfn.CONCAT(B8377," ",E8377),ForeCalc!$B$36:$Y$36,0))))*VLOOKUP(A8377,Calendar!$A$2:$H$9997,8,FALSE),0)</f>
        <v/>
      </c>
      <c r="G8377" s="29">
        <f>VLOOKUP(A8377,Calendar!$A$1:$H$9997,6,FALSE)-F8377</f>
        <v/>
      </c>
      <c r="H8377" s="19" t="n">
        <v>2</v>
      </c>
      <c r="I8377" s="57" t="n">
        <v>12</v>
      </c>
    </row>
    <row r="8378">
      <c r="A8378" s="62" t="n">
        <v>46817</v>
      </c>
      <c r="B8378" s="3" t="inlineStr">
        <is>
          <t>Sun</t>
        </is>
      </c>
      <c r="C8378" s="19" t="n">
        <v>3</v>
      </c>
      <c r="D8378" s="19" t="n">
        <v>2028</v>
      </c>
      <c r="E8378" s="57" t="n">
        <v>8</v>
      </c>
      <c r="F8378" s="29">
        <f>ROUND(((SUMIFS(Calendar!$F$2:$F$9997,Calendar!$B$2:$B$9997,D8378,Calendar!$C$2:$C$9997,C8378)*INDEX(ForeCalc!$B$37:$Y$274,MATCH(_xlfn.CONCAT(H8378," ",I8378),ForeCalc!$A$37:$A$274,0),MATCH(_xlfn.CONCAT(B8378," ",E8378),ForeCalc!$B$36:$Y$36,0))))*VLOOKUP(A8378,Calendar!$A$2:$H$9997,8,FALSE),0)</f>
        <v/>
      </c>
      <c r="G8378" s="29">
        <f>VLOOKUP(A8378,Calendar!$A$1:$H$9997,6,FALSE)-F8378</f>
        <v/>
      </c>
      <c r="H8378" s="19" t="n">
        <v>2</v>
      </c>
      <c r="I8378" s="57" t="n">
        <v>12</v>
      </c>
    </row>
    <row r="8379">
      <c r="A8379" s="62" t="n">
        <v>46818</v>
      </c>
      <c r="B8379" s="3" t="inlineStr">
        <is>
          <t>Week</t>
        </is>
      </c>
      <c r="C8379" s="19" t="n">
        <v>3</v>
      </c>
      <c r="D8379" s="19" t="n">
        <v>2028</v>
      </c>
      <c r="E8379" s="57" t="n">
        <v>8</v>
      </c>
      <c r="F8379" s="29">
        <f>ROUND(((SUMIFS(Calendar!$F$2:$F$9997,Calendar!$B$2:$B$9997,D8379,Calendar!$C$2:$C$9997,C8379)*INDEX(ForeCalc!$B$37:$Y$274,MATCH(_xlfn.CONCAT(H8379," ",I8379),ForeCalc!$A$37:$A$274,0),MATCH(_xlfn.CONCAT(B8379," ",E8379),ForeCalc!$B$36:$Y$36,0))))*VLOOKUP(A8379,Calendar!$A$2:$H$9997,8,FALSE),0)</f>
        <v/>
      </c>
      <c r="G8379" s="29">
        <f>VLOOKUP(A8379,Calendar!$A$1:$H$9997,6,FALSE)-F8379</f>
        <v/>
      </c>
      <c r="H8379" s="19" t="n">
        <v>2</v>
      </c>
      <c r="I8379" s="57" t="n">
        <v>12</v>
      </c>
    </row>
    <row r="8380">
      <c r="A8380" s="62" t="n">
        <v>46819</v>
      </c>
      <c r="B8380" s="3" t="inlineStr">
        <is>
          <t>Week</t>
        </is>
      </c>
      <c r="C8380" s="19" t="n">
        <v>3</v>
      </c>
      <c r="D8380" s="19" t="n">
        <v>2028</v>
      </c>
      <c r="E8380" s="57" t="n">
        <v>8</v>
      </c>
      <c r="F8380" s="29">
        <f>ROUND(((SUMIFS(Calendar!$F$2:$F$9997,Calendar!$B$2:$B$9997,D8380,Calendar!$C$2:$C$9997,C8380)*INDEX(ForeCalc!$B$37:$Y$274,MATCH(_xlfn.CONCAT(H8380," ",I8380),ForeCalc!$A$37:$A$274,0),MATCH(_xlfn.CONCAT(B8380," ",E8380),ForeCalc!$B$36:$Y$36,0))))*VLOOKUP(A8380,Calendar!$A$2:$H$9997,8,FALSE),0)</f>
        <v/>
      </c>
      <c r="G8380" s="29">
        <f>VLOOKUP(A8380,Calendar!$A$1:$H$9997,6,FALSE)-F8380</f>
        <v/>
      </c>
      <c r="H8380" s="19" t="n">
        <v>2</v>
      </c>
      <c r="I8380" s="57" t="n">
        <v>12</v>
      </c>
    </row>
    <row r="8381">
      <c r="A8381" s="62" t="n">
        <v>46820</v>
      </c>
      <c r="B8381" s="3" t="inlineStr">
        <is>
          <t>Week</t>
        </is>
      </c>
      <c r="C8381" s="19" t="n">
        <v>3</v>
      </c>
      <c r="D8381" s="19" t="n">
        <v>2028</v>
      </c>
      <c r="E8381" s="57" t="n">
        <v>8</v>
      </c>
      <c r="F8381" s="29">
        <f>ROUND(((SUMIFS(Calendar!$F$2:$F$9997,Calendar!$B$2:$B$9997,D8381,Calendar!$C$2:$C$9997,C8381)*INDEX(ForeCalc!$B$37:$Y$274,MATCH(_xlfn.CONCAT(H8381," ",I8381),ForeCalc!$A$37:$A$274,0),MATCH(_xlfn.CONCAT(B8381," ",E8381),ForeCalc!$B$36:$Y$36,0))))*VLOOKUP(A8381,Calendar!$A$2:$H$9997,8,FALSE),0)</f>
        <v/>
      </c>
      <c r="G8381" s="29">
        <f>VLOOKUP(A8381,Calendar!$A$1:$H$9997,6,FALSE)-F8381</f>
        <v/>
      </c>
      <c r="H8381" s="19" t="n">
        <v>2</v>
      </c>
      <c r="I8381" s="57" t="n">
        <v>12</v>
      </c>
    </row>
    <row r="8382">
      <c r="A8382" s="62" t="n">
        <v>46821</v>
      </c>
      <c r="B8382" s="3" t="inlineStr">
        <is>
          <t>Week</t>
        </is>
      </c>
      <c r="C8382" s="19" t="n">
        <v>3</v>
      </c>
      <c r="D8382" s="19" t="n">
        <v>2028</v>
      </c>
      <c r="E8382" s="57" t="n">
        <v>8</v>
      </c>
      <c r="F8382" s="29">
        <f>ROUND(((SUMIFS(Calendar!$F$2:$F$9997,Calendar!$B$2:$B$9997,D8382,Calendar!$C$2:$C$9997,C8382)*INDEX(ForeCalc!$B$37:$Y$274,MATCH(_xlfn.CONCAT(H8382," ",I8382),ForeCalc!$A$37:$A$274,0),MATCH(_xlfn.CONCAT(B8382," ",E8382),ForeCalc!$B$36:$Y$36,0))))*VLOOKUP(A8382,Calendar!$A$2:$H$9997,8,FALSE),0)</f>
        <v/>
      </c>
      <c r="G8382" s="29">
        <f>VLOOKUP(A8382,Calendar!$A$1:$H$9997,6,FALSE)-F8382</f>
        <v/>
      </c>
      <c r="H8382" s="19" t="n">
        <v>2</v>
      </c>
      <c r="I8382" s="57" t="n">
        <v>12</v>
      </c>
    </row>
    <row r="8383">
      <c r="A8383" s="62" t="n">
        <v>46822</v>
      </c>
      <c r="B8383" s="3" t="inlineStr">
        <is>
          <t>Week</t>
        </is>
      </c>
      <c r="C8383" s="19" t="n">
        <v>3</v>
      </c>
      <c r="D8383" s="19" t="n">
        <v>2028</v>
      </c>
      <c r="E8383" s="57" t="n">
        <v>8</v>
      </c>
      <c r="F8383" s="29">
        <f>ROUND(((SUMIFS(Calendar!$F$2:$F$9997,Calendar!$B$2:$B$9997,D8383,Calendar!$C$2:$C$9997,C8383)*INDEX(ForeCalc!$B$37:$Y$274,MATCH(_xlfn.CONCAT(H8383," ",I8383),ForeCalc!$A$37:$A$274,0),MATCH(_xlfn.CONCAT(B8383," ",E8383),ForeCalc!$B$36:$Y$36,0))))*VLOOKUP(A8383,Calendar!$A$2:$H$9997,8,FALSE),0)</f>
        <v/>
      </c>
      <c r="G8383" s="29">
        <f>VLOOKUP(A8383,Calendar!$A$1:$H$9997,6,FALSE)-F8383</f>
        <v/>
      </c>
      <c r="H8383" s="19" t="n">
        <v>2</v>
      </c>
      <c r="I8383" s="57" t="n">
        <v>12</v>
      </c>
    </row>
    <row r="8384">
      <c r="A8384" s="62" t="n">
        <v>46823</v>
      </c>
      <c r="B8384" s="3" t="inlineStr">
        <is>
          <t>Sat</t>
        </is>
      </c>
      <c r="C8384" s="19" t="n">
        <v>3</v>
      </c>
      <c r="D8384" s="19" t="n">
        <v>2028</v>
      </c>
      <c r="E8384" s="57" t="n">
        <v>8</v>
      </c>
      <c r="F8384" s="29">
        <f>ROUND(((SUMIFS(Calendar!$F$2:$F$9997,Calendar!$B$2:$B$9997,D8384,Calendar!$C$2:$C$9997,C8384)*INDEX(ForeCalc!$B$37:$Y$274,MATCH(_xlfn.CONCAT(H8384," ",I8384),ForeCalc!$A$37:$A$274,0),MATCH(_xlfn.CONCAT(B8384," ",E8384),ForeCalc!$B$36:$Y$36,0))))*VLOOKUP(A8384,Calendar!$A$2:$H$9997,8,FALSE),0)</f>
        <v/>
      </c>
      <c r="G8384" s="29">
        <f>VLOOKUP(A8384,Calendar!$A$1:$H$9997,6,FALSE)-F8384</f>
        <v/>
      </c>
      <c r="H8384" s="19" t="n">
        <v>2</v>
      </c>
      <c r="I8384" s="57" t="n">
        <v>12</v>
      </c>
    </row>
    <row r="8385">
      <c r="A8385" s="62" t="n">
        <v>46824</v>
      </c>
      <c r="B8385" s="3" t="inlineStr">
        <is>
          <t>Sun</t>
        </is>
      </c>
      <c r="C8385" s="19" t="n">
        <v>3</v>
      </c>
      <c r="D8385" s="19" t="n">
        <v>2028</v>
      </c>
      <c r="E8385" s="57" t="n">
        <v>8</v>
      </c>
      <c r="F8385" s="29">
        <f>ROUND(((SUMIFS(Calendar!$F$2:$F$9997,Calendar!$B$2:$B$9997,D8385,Calendar!$C$2:$C$9997,C8385)*INDEX(ForeCalc!$B$37:$Y$274,MATCH(_xlfn.CONCAT(H8385," ",I8385),ForeCalc!$A$37:$A$274,0),MATCH(_xlfn.CONCAT(B8385," ",E8385),ForeCalc!$B$36:$Y$36,0))))*VLOOKUP(A8385,Calendar!$A$2:$H$9997,8,FALSE),0)</f>
        <v/>
      </c>
      <c r="G8385" s="29">
        <f>VLOOKUP(A8385,Calendar!$A$1:$H$9997,6,FALSE)-F8385</f>
        <v/>
      </c>
      <c r="H8385" s="19" t="n">
        <v>2</v>
      </c>
      <c r="I8385" s="57" t="n">
        <v>12</v>
      </c>
    </row>
    <row r="8386">
      <c r="A8386" s="62" t="n">
        <v>46825</v>
      </c>
      <c r="B8386" s="3" t="inlineStr">
        <is>
          <t>Week</t>
        </is>
      </c>
      <c r="C8386" s="19" t="n">
        <v>3</v>
      </c>
      <c r="D8386" s="19" t="n">
        <v>2028</v>
      </c>
      <c r="E8386" s="57" t="n">
        <v>8</v>
      </c>
      <c r="F8386" s="29">
        <f>ROUND(((SUMIFS(Calendar!$F$2:$F$9997,Calendar!$B$2:$B$9997,D8386,Calendar!$C$2:$C$9997,C8386)*INDEX(ForeCalc!$B$37:$Y$274,MATCH(_xlfn.CONCAT(H8386," ",I8386),ForeCalc!$A$37:$A$274,0),MATCH(_xlfn.CONCAT(B8386," ",E8386),ForeCalc!$B$36:$Y$36,0))))*VLOOKUP(A8386,Calendar!$A$2:$H$9997,8,FALSE),0)</f>
        <v/>
      </c>
      <c r="G8386" s="29">
        <f>VLOOKUP(A8386,Calendar!$A$1:$H$9997,6,FALSE)-F8386</f>
        <v/>
      </c>
      <c r="H8386" s="19" t="n">
        <v>2</v>
      </c>
      <c r="I8386" s="57" t="n">
        <v>12</v>
      </c>
    </row>
    <row r="8387">
      <c r="A8387" s="62" t="n">
        <v>46826</v>
      </c>
      <c r="B8387" s="3" t="inlineStr">
        <is>
          <t>Week</t>
        </is>
      </c>
      <c r="C8387" s="19" t="n">
        <v>3</v>
      </c>
      <c r="D8387" s="19" t="n">
        <v>2028</v>
      </c>
      <c r="E8387" s="57" t="n">
        <v>8</v>
      </c>
      <c r="F8387" s="29">
        <f>ROUND(((SUMIFS(Calendar!$F$2:$F$9997,Calendar!$B$2:$B$9997,D8387,Calendar!$C$2:$C$9997,C8387)*INDEX(ForeCalc!$B$37:$Y$274,MATCH(_xlfn.CONCAT(H8387," ",I8387),ForeCalc!$A$37:$A$274,0),MATCH(_xlfn.CONCAT(B8387," ",E8387),ForeCalc!$B$36:$Y$36,0))))*VLOOKUP(A8387,Calendar!$A$2:$H$9997,8,FALSE),0)</f>
        <v/>
      </c>
      <c r="G8387" s="29">
        <f>VLOOKUP(A8387,Calendar!$A$1:$H$9997,6,FALSE)-F8387</f>
        <v/>
      </c>
      <c r="H8387" s="19" t="n">
        <v>2</v>
      </c>
      <c r="I8387" s="57" t="n">
        <v>12</v>
      </c>
    </row>
    <row r="8388">
      <c r="A8388" s="62" t="n">
        <v>46827</v>
      </c>
      <c r="B8388" s="3" t="inlineStr">
        <is>
          <t>Week</t>
        </is>
      </c>
      <c r="C8388" s="19" t="n">
        <v>3</v>
      </c>
      <c r="D8388" s="19" t="n">
        <v>2028</v>
      </c>
      <c r="E8388" s="57" t="n">
        <v>8</v>
      </c>
      <c r="F8388" s="29">
        <f>ROUND(((SUMIFS(Calendar!$F$2:$F$9997,Calendar!$B$2:$B$9997,D8388,Calendar!$C$2:$C$9997,C8388)*INDEX(ForeCalc!$B$37:$Y$274,MATCH(_xlfn.CONCAT(H8388," ",I8388),ForeCalc!$A$37:$A$274,0),MATCH(_xlfn.CONCAT(B8388," ",E8388),ForeCalc!$B$36:$Y$36,0))))*VLOOKUP(A8388,Calendar!$A$2:$H$9997,8,FALSE),0)</f>
        <v/>
      </c>
      <c r="G8388" s="29">
        <f>VLOOKUP(A8388,Calendar!$A$1:$H$9997,6,FALSE)-F8388</f>
        <v/>
      </c>
      <c r="H8388" s="19" t="n">
        <v>2</v>
      </c>
      <c r="I8388" s="57" t="n">
        <v>12</v>
      </c>
    </row>
    <row r="8389">
      <c r="A8389" s="62" t="n">
        <v>46828</v>
      </c>
      <c r="B8389" s="3" t="inlineStr">
        <is>
          <t>Week</t>
        </is>
      </c>
      <c r="C8389" s="19" t="n">
        <v>3</v>
      </c>
      <c r="D8389" s="19" t="n">
        <v>2028</v>
      </c>
      <c r="E8389" s="57" t="n">
        <v>8</v>
      </c>
      <c r="F8389" s="29">
        <f>ROUND(((SUMIFS(Calendar!$F$2:$F$9997,Calendar!$B$2:$B$9997,D8389,Calendar!$C$2:$C$9997,C8389)*INDEX(ForeCalc!$B$37:$Y$274,MATCH(_xlfn.CONCAT(H8389," ",I8389),ForeCalc!$A$37:$A$274,0),MATCH(_xlfn.CONCAT(B8389," ",E8389),ForeCalc!$B$36:$Y$36,0))))*VLOOKUP(A8389,Calendar!$A$2:$H$9997,8,FALSE),0)</f>
        <v/>
      </c>
      <c r="G8389" s="29">
        <f>VLOOKUP(A8389,Calendar!$A$1:$H$9997,6,FALSE)-F8389</f>
        <v/>
      </c>
      <c r="H8389" s="19" t="n">
        <v>2</v>
      </c>
      <c r="I8389" s="57" t="n">
        <v>12</v>
      </c>
    </row>
    <row r="8390">
      <c r="A8390" s="62" t="n">
        <v>46829</v>
      </c>
      <c r="B8390" s="3" t="inlineStr">
        <is>
          <t>Week</t>
        </is>
      </c>
      <c r="C8390" s="19" t="n">
        <v>3</v>
      </c>
      <c r="D8390" s="19" t="n">
        <v>2028</v>
      </c>
      <c r="E8390" s="57" t="n">
        <v>8</v>
      </c>
      <c r="F8390" s="29">
        <f>ROUND(((SUMIFS(Calendar!$F$2:$F$9997,Calendar!$B$2:$B$9997,D8390,Calendar!$C$2:$C$9997,C8390)*INDEX(ForeCalc!$B$37:$Y$274,MATCH(_xlfn.CONCAT(H8390," ",I8390),ForeCalc!$A$37:$A$274,0),MATCH(_xlfn.CONCAT(B8390," ",E8390),ForeCalc!$B$36:$Y$36,0))))*VLOOKUP(A8390,Calendar!$A$2:$H$9997,8,FALSE),0)</f>
        <v/>
      </c>
      <c r="G8390" s="29">
        <f>VLOOKUP(A8390,Calendar!$A$1:$H$9997,6,FALSE)-F8390</f>
        <v/>
      </c>
      <c r="H8390" s="19" t="n">
        <v>2</v>
      </c>
      <c r="I8390" s="57" t="n">
        <v>12</v>
      </c>
    </row>
    <row r="8391">
      <c r="A8391" s="62" t="n">
        <v>46830</v>
      </c>
      <c r="B8391" s="3" t="inlineStr">
        <is>
          <t>Sat</t>
        </is>
      </c>
      <c r="C8391" s="19" t="n">
        <v>3</v>
      </c>
      <c r="D8391" s="19" t="n">
        <v>2028</v>
      </c>
      <c r="E8391" s="57" t="n">
        <v>8</v>
      </c>
      <c r="F8391" s="29">
        <f>ROUND(((SUMIFS(Calendar!$F$2:$F$9997,Calendar!$B$2:$B$9997,D8391,Calendar!$C$2:$C$9997,C8391)*INDEX(ForeCalc!$B$37:$Y$274,MATCH(_xlfn.CONCAT(H8391," ",I8391),ForeCalc!$A$37:$A$274,0),MATCH(_xlfn.CONCAT(B8391," ",E8391),ForeCalc!$B$36:$Y$36,0))))*VLOOKUP(A8391,Calendar!$A$2:$H$9997,8,FALSE),0)</f>
        <v/>
      </c>
      <c r="G8391" s="29">
        <f>VLOOKUP(A8391,Calendar!$A$1:$H$9997,6,FALSE)-F8391</f>
        <v/>
      </c>
      <c r="H8391" s="19" t="n">
        <v>2</v>
      </c>
      <c r="I8391" s="57" t="n">
        <v>12</v>
      </c>
    </row>
    <row r="8392">
      <c r="A8392" s="62" t="n">
        <v>46831</v>
      </c>
      <c r="B8392" s="3" t="inlineStr">
        <is>
          <t>Sun</t>
        </is>
      </c>
      <c r="C8392" s="19" t="n">
        <v>3</v>
      </c>
      <c r="D8392" s="19" t="n">
        <v>2028</v>
      </c>
      <c r="E8392" s="57" t="n">
        <v>8</v>
      </c>
      <c r="F8392" s="29">
        <f>ROUND(((SUMIFS(Calendar!$F$2:$F$9997,Calendar!$B$2:$B$9997,D8392,Calendar!$C$2:$C$9997,C8392)*INDEX(ForeCalc!$B$37:$Y$274,MATCH(_xlfn.CONCAT(H8392," ",I8392),ForeCalc!$A$37:$A$274,0),MATCH(_xlfn.CONCAT(B8392," ",E8392),ForeCalc!$B$36:$Y$36,0))))*VLOOKUP(A8392,Calendar!$A$2:$H$9997,8,FALSE),0)</f>
        <v/>
      </c>
      <c r="G8392" s="29">
        <f>VLOOKUP(A8392,Calendar!$A$1:$H$9997,6,FALSE)-F8392</f>
        <v/>
      </c>
      <c r="H8392" s="19" t="n">
        <v>2</v>
      </c>
      <c r="I8392" s="57" t="n">
        <v>12</v>
      </c>
    </row>
    <row r="8393">
      <c r="A8393" s="62" t="n">
        <v>46832</v>
      </c>
      <c r="B8393" s="3" t="inlineStr">
        <is>
          <t>Week</t>
        </is>
      </c>
      <c r="C8393" s="19" t="n">
        <v>3</v>
      </c>
      <c r="D8393" s="19" t="n">
        <v>2028</v>
      </c>
      <c r="E8393" s="57" t="n">
        <v>8</v>
      </c>
      <c r="F8393" s="29">
        <f>ROUND(((SUMIFS(Calendar!$F$2:$F$9997,Calendar!$B$2:$B$9997,D8393,Calendar!$C$2:$C$9997,C8393)*INDEX(ForeCalc!$B$37:$Y$274,MATCH(_xlfn.CONCAT(H8393," ",I8393),ForeCalc!$A$37:$A$274,0),MATCH(_xlfn.CONCAT(B8393," ",E8393),ForeCalc!$B$36:$Y$36,0))))*VLOOKUP(A8393,Calendar!$A$2:$H$9997,8,FALSE),0)</f>
        <v/>
      </c>
      <c r="G8393" s="29">
        <f>VLOOKUP(A8393,Calendar!$A$1:$H$9997,6,FALSE)-F8393</f>
        <v/>
      </c>
      <c r="H8393" s="19" t="n">
        <v>2</v>
      </c>
      <c r="I8393" s="57" t="n">
        <v>12</v>
      </c>
    </row>
    <row r="8394">
      <c r="A8394" s="62" t="n">
        <v>46833</v>
      </c>
      <c r="B8394" s="3" t="inlineStr">
        <is>
          <t>Week</t>
        </is>
      </c>
      <c r="C8394" s="19" t="n">
        <v>3</v>
      </c>
      <c r="D8394" s="19" t="n">
        <v>2028</v>
      </c>
      <c r="E8394" s="57" t="n">
        <v>8</v>
      </c>
      <c r="F8394" s="29">
        <f>ROUND(((SUMIFS(Calendar!$F$2:$F$9997,Calendar!$B$2:$B$9997,D8394,Calendar!$C$2:$C$9997,C8394)*INDEX(ForeCalc!$B$37:$Y$274,MATCH(_xlfn.CONCAT(H8394," ",I8394),ForeCalc!$A$37:$A$274,0),MATCH(_xlfn.CONCAT(B8394," ",E8394),ForeCalc!$B$36:$Y$36,0))))*VLOOKUP(A8394,Calendar!$A$2:$H$9997,8,FALSE),0)</f>
        <v/>
      </c>
      <c r="G8394" s="29">
        <f>VLOOKUP(A8394,Calendar!$A$1:$H$9997,6,FALSE)-F8394</f>
        <v/>
      </c>
      <c r="H8394" s="19" t="n">
        <v>2</v>
      </c>
      <c r="I8394" s="57" t="n">
        <v>12</v>
      </c>
    </row>
    <row r="8395">
      <c r="A8395" s="62" t="n">
        <v>46834</v>
      </c>
      <c r="B8395" s="3" t="inlineStr">
        <is>
          <t>Week</t>
        </is>
      </c>
      <c r="C8395" s="19" t="n">
        <v>3</v>
      </c>
      <c r="D8395" s="19" t="n">
        <v>2028</v>
      </c>
      <c r="E8395" s="57" t="n">
        <v>8</v>
      </c>
      <c r="F8395" s="29">
        <f>ROUND(((SUMIFS(Calendar!$F$2:$F$9997,Calendar!$B$2:$B$9997,D8395,Calendar!$C$2:$C$9997,C8395)*INDEX(ForeCalc!$B$37:$Y$274,MATCH(_xlfn.CONCAT(H8395," ",I8395),ForeCalc!$A$37:$A$274,0),MATCH(_xlfn.CONCAT(B8395," ",E8395),ForeCalc!$B$36:$Y$36,0))))*VLOOKUP(A8395,Calendar!$A$2:$H$9997,8,FALSE),0)</f>
        <v/>
      </c>
      <c r="G8395" s="29">
        <f>VLOOKUP(A8395,Calendar!$A$1:$H$9997,6,FALSE)-F8395</f>
        <v/>
      </c>
      <c r="H8395" s="19" t="n">
        <v>2</v>
      </c>
      <c r="I8395" s="57" t="n">
        <v>12</v>
      </c>
    </row>
    <row r="8396">
      <c r="A8396" s="62" t="n">
        <v>46835</v>
      </c>
      <c r="B8396" s="3" t="inlineStr">
        <is>
          <t>Week</t>
        </is>
      </c>
      <c r="C8396" s="19" t="n">
        <v>3</v>
      </c>
      <c r="D8396" s="19" t="n">
        <v>2028</v>
      </c>
      <c r="E8396" s="57" t="n">
        <v>8</v>
      </c>
      <c r="F8396" s="29">
        <f>ROUND(((SUMIFS(Calendar!$F$2:$F$9997,Calendar!$B$2:$B$9997,D8396,Calendar!$C$2:$C$9997,C8396)*INDEX(ForeCalc!$B$37:$Y$274,MATCH(_xlfn.CONCAT(H8396," ",I8396),ForeCalc!$A$37:$A$274,0),MATCH(_xlfn.CONCAT(B8396," ",E8396),ForeCalc!$B$36:$Y$36,0))))*VLOOKUP(A8396,Calendar!$A$2:$H$9997,8,FALSE),0)</f>
        <v/>
      </c>
      <c r="G8396" s="29">
        <f>VLOOKUP(A8396,Calendar!$A$1:$H$9997,6,FALSE)-F8396</f>
        <v/>
      </c>
      <c r="H8396" s="19" t="n">
        <v>2</v>
      </c>
      <c r="I8396" s="57" t="n">
        <v>12</v>
      </c>
    </row>
    <row r="8397">
      <c r="A8397" s="62" t="n">
        <v>46836</v>
      </c>
      <c r="B8397" s="3" t="inlineStr">
        <is>
          <t>Week</t>
        </is>
      </c>
      <c r="C8397" s="19" t="n">
        <v>3</v>
      </c>
      <c r="D8397" s="19" t="n">
        <v>2028</v>
      </c>
      <c r="E8397" s="57" t="n">
        <v>8</v>
      </c>
      <c r="F8397" s="29">
        <f>ROUND(((SUMIFS(Calendar!$F$2:$F$9997,Calendar!$B$2:$B$9997,D8397,Calendar!$C$2:$C$9997,C8397)*INDEX(ForeCalc!$B$37:$Y$274,MATCH(_xlfn.CONCAT(H8397," ",I8397),ForeCalc!$A$37:$A$274,0),MATCH(_xlfn.CONCAT(B8397," ",E8397),ForeCalc!$B$36:$Y$36,0))))*VLOOKUP(A8397,Calendar!$A$2:$H$9997,8,FALSE),0)</f>
        <v/>
      </c>
      <c r="G8397" s="29">
        <f>VLOOKUP(A8397,Calendar!$A$1:$H$9997,6,FALSE)-F8397</f>
        <v/>
      </c>
      <c r="H8397" s="19" t="n">
        <v>2</v>
      </c>
      <c r="I8397" s="57" t="n">
        <v>12</v>
      </c>
    </row>
    <row r="8398">
      <c r="A8398" s="62" t="n">
        <v>46837</v>
      </c>
      <c r="B8398" s="3" t="inlineStr">
        <is>
          <t>Sat</t>
        </is>
      </c>
      <c r="C8398" s="19" t="n">
        <v>3</v>
      </c>
      <c r="D8398" s="19" t="n">
        <v>2028</v>
      </c>
      <c r="E8398" s="57" t="n">
        <v>8</v>
      </c>
      <c r="F8398" s="29">
        <f>ROUND(((SUMIFS(Calendar!$F$2:$F$9997,Calendar!$B$2:$B$9997,D8398,Calendar!$C$2:$C$9997,C8398)*INDEX(ForeCalc!$B$37:$Y$274,MATCH(_xlfn.CONCAT(H8398," ",I8398),ForeCalc!$A$37:$A$274,0),MATCH(_xlfn.CONCAT(B8398," ",E8398),ForeCalc!$B$36:$Y$36,0))))*VLOOKUP(A8398,Calendar!$A$2:$H$9997,8,FALSE),0)</f>
        <v/>
      </c>
      <c r="G8398" s="29">
        <f>VLOOKUP(A8398,Calendar!$A$1:$H$9997,6,FALSE)-F8398</f>
        <v/>
      </c>
      <c r="H8398" s="19" t="n">
        <v>2</v>
      </c>
      <c r="I8398" s="57" t="n">
        <v>12</v>
      </c>
    </row>
    <row r="8399">
      <c r="A8399" s="62" t="n">
        <v>46838</v>
      </c>
      <c r="B8399" s="3" t="inlineStr">
        <is>
          <t>Sun</t>
        </is>
      </c>
      <c r="C8399" s="19" t="n">
        <v>3</v>
      </c>
      <c r="D8399" s="19" t="n">
        <v>2028</v>
      </c>
      <c r="E8399" s="57" t="n">
        <v>8</v>
      </c>
      <c r="F8399" s="29">
        <f>ROUND(((SUMIFS(Calendar!$F$2:$F$9997,Calendar!$B$2:$B$9997,D8399,Calendar!$C$2:$C$9997,C8399)*INDEX(ForeCalc!$B$37:$Y$274,MATCH(_xlfn.CONCAT(H8399," ",I8399),ForeCalc!$A$37:$A$274,0),MATCH(_xlfn.CONCAT(B8399," ",E8399),ForeCalc!$B$36:$Y$36,0))))*VLOOKUP(A8399,Calendar!$A$2:$H$9997,8,FALSE),0)</f>
        <v/>
      </c>
      <c r="G8399" s="29">
        <f>VLOOKUP(A8399,Calendar!$A$1:$H$9997,6,FALSE)-F8399</f>
        <v/>
      </c>
      <c r="H8399" s="19" t="n">
        <v>2</v>
      </c>
      <c r="I8399" s="57" t="n">
        <v>12</v>
      </c>
    </row>
    <row r="8400">
      <c r="A8400" s="62" t="n">
        <v>46839</v>
      </c>
      <c r="B8400" s="3" t="inlineStr">
        <is>
          <t>Week</t>
        </is>
      </c>
      <c r="C8400" s="19" t="n">
        <v>3</v>
      </c>
      <c r="D8400" s="19" t="n">
        <v>2028</v>
      </c>
      <c r="E8400" s="57" t="n">
        <v>8</v>
      </c>
      <c r="F8400" s="29">
        <f>ROUND(((SUMIFS(Calendar!$F$2:$F$9997,Calendar!$B$2:$B$9997,D8400,Calendar!$C$2:$C$9997,C8400)*INDEX(ForeCalc!$B$37:$Y$274,MATCH(_xlfn.CONCAT(H8400," ",I8400),ForeCalc!$A$37:$A$274,0),MATCH(_xlfn.CONCAT(B8400," ",E8400),ForeCalc!$B$36:$Y$36,0))))*VLOOKUP(A8400,Calendar!$A$2:$H$9997,8,FALSE),0)</f>
        <v/>
      </c>
      <c r="G8400" s="29">
        <f>VLOOKUP(A8400,Calendar!$A$1:$H$9997,6,FALSE)-F8400</f>
        <v/>
      </c>
      <c r="H8400" s="19" t="n">
        <v>2</v>
      </c>
      <c r="I8400" s="57" t="n">
        <v>12</v>
      </c>
    </row>
    <row r="8401">
      <c r="A8401" s="62" t="n">
        <v>46840</v>
      </c>
      <c r="B8401" s="3" t="inlineStr">
        <is>
          <t>Week</t>
        </is>
      </c>
      <c r="C8401" s="19" t="n">
        <v>3</v>
      </c>
      <c r="D8401" s="19" t="n">
        <v>2028</v>
      </c>
      <c r="E8401" s="57" t="n">
        <v>8</v>
      </c>
      <c r="F8401" s="29">
        <f>ROUND(((SUMIFS(Calendar!$F$2:$F$9997,Calendar!$B$2:$B$9997,D8401,Calendar!$C$2:$C$9997,C8401)*INDEX(ForeCalc!$B$37:$Y$274,MATCH(_xlfn.CONCAT(H8401," ",I8401),ForeCalc!$A$37:$A$274,0),MATCH(_xlfn.CONCAT(B8401," ",E8401),ForeCalc!$B$36:$Y$36,0))))*VLOOKUP(A8401,Calendar!$A$2:$H$9997,8,FALSE),0)</f>
        <v/>
      </c>
      <c r="G8401" s="29">
        <f>VLOOKUP(A8401,Calendar!$A$1:$H$9997,6,FALSE)-F8401</f>
        <v/>
      </c>
      <c r="H8401" s="19" t="n">
        <v>2</v>
      </c>
      <c r="I8401" s="57" t="n">
        <v>12</v>
      </c>
    </row>
    <row r="8402">
      <c r="A8402" s="62" t="n">
        <v>46841</v>
      </c>
      <c r="B8402" s="3" t="inlineStr">
        <is>
          <t>Week</t>
        </is>
      </c>
      <c r="C8402" s="19" t="n">
        <v>3</v>
      </c>
      <c r="D8402" s="19" t="n">
        <v>2028</v>
      </c>
      <c r="E8402" s="57" t="n">
        <v>8</v>
      </c>
      <c r="F8402" s="29">
        <f>ROUND(((SUMIFS(Calendar!$F$2:$F$9997,Calendar!$B$2:$B$9997,D8402,Calendar!$C$2:$C$9997,C8402)*INDEX(ForeCalc!$B$37:$Y$274,MATCH(_xlfn.CONCAT(H8402," ",I8402),ForeCalc!$A$37:$A$274,0),MATCH(_xlfn.CONCAT(B8402," ",E8402),ForeCalc!$B$36:$Y$36,0))))*VLOOKUP(A8402,Calendar!$A$2:$H$9997,8,FALSE),0)</f>
        <v/>
      </c>
      <c r="G8402" s="29">
        <f>VLOOKUP(A8402,Calendar!$A$1:$H$9997,6,FALSE)-F8402</f>
        <v/>
      </c>
      <c r="H8402" s="19" t="n">
        <v>2</v>
      </c>
      <c r="I8402" s="57" t="n">
        <v>12</v>
      </c>
    </row>
    <row r="8403">
      <c r="A8403" s="62" t="n">
        <v>46842</v>
      </c>
      <c r="B8403" s="3" t="inlineStr">
        <is>
          <t>Week</t>
        </is>
      </c>
      <c r="C8403" s="19" t="n">
        <v>3</v>
      </c>
      <c r="D8403" s="19" t="n">
        <v>2028</v>
      </c>
      <c r="E8403" s="57" t="n">
        <v>8</v>
      </c>
      <c r="F8403" s="29">
        <f>ROUND(((SUMIFS(Calendar!$F$2:$F$9997,Calendar!$B$2:$B$9997,D8403,Calendar!$C$2:$C$9997,C8403)*INDEX(ForeCalc!$B$37:$Y$274,MATCH(_xlfn.CONCAT(H8403," ",I8403),ForeCalc!$A$37:$A$274,0),MATCH(_xlfn.CONCAT(B8403," ",E8403),ForeCalc!$B$36:$Y$36,0))))*VLOOKUP(A8403,Calendar!$A$2:$H$9997,8,FALSE),0)</f>
        <v/>
      </c>
      <c r="G8403" s="29">
        <f>VLOOKUP(A8403,Calendar!$A$1:$H$9997,6,FALSE)-F8403</f>
        <v/>
      </c>
      <c r="H8403" s="19" t="n">
        <v>2</v>
      </c>
      <c r="I8403" s="57" t="n">
        <v>12</v>
      </c>
    </row>
    <row r="8404">
      <c r="A8404" s="62" t="n">
        <v>46843</v>
      </c>
      <c r="B8404" s="3" t="inlineStr">
        <is>
          <t>Week</t>
        </is>
      </c>
      <c r="C8404" s="19" t="n">
        <v>3</v>
      </c>
      <c r="D8404" s="19" t="n">
        <v>2028</v>
      </c>
      <c r="E8404" s="57" t="n">
        <v>8</v>
      </c>
      <c r="F8404" s="29">
        <f>ROUND(((SUMIFS(Calendar!$F$2:$F$9997,Calendar!$B$2:$B$9997,D8404,Calendar!$C$2:$C$9997,C8404)*INDEX(ForeCalc!$B$37:$Y$274,MATCH(_xlfn.CONCAT(H8404," ",I8404),ForeCalc!$A$37:$A$274,0),MATCH(_xlfn.CONCAT(B8404," ",E8404),ForeCalc!$B$36:$Y$36,0))))*VLOOKUP(A8404,Calendar!$A$2:$H$9997,8,FALSE),0)</f>
        <v/>
      </c>
      <c r="G8404" s="29">
        <f>VLOOKUP(A8404,Calendar!$A$1:$H$9997,6,FALSE)-F8404</f>
        <v/>
      </c>
      <c r="H8404" s="19" t="n">
        <v>2</v>
      </c>
      <c r="I8404" s="57" t="n">
        <v>12</v>
      </c>
    </row>
    <row r="8405">
      <c r="A8405" s="62" t="n">
        <v>46844</v>
      </c>
      <c r="B8405" s="3" t="inlineStr">
        <is>
          <t>Sat</t>
        </is>
      </c>
      <c r="C8405" s="19" t="n">
        <v>4</v>
      </c>
      <c r="D8405" s="19" t="n">
        <v>2028</v>
      </c>
      <c r="E8405" s="57" t="n">
        <v>8</v>
      </c>
      <c r="F8405" s="29">
        <f>ROUND(((SUMIFS(Calendar!$F$2:$F$9997,Calendar!$B$2:$B$9997,D8405,Calendar!$C$2:$C$9997,C8405)*INDEX(ForeCalc!$B$37:$Y$274,MATCH(_xlfn.CONCAT(H8405," ",I8405),ForeCalc!$A$37:$A$274,0),MATCH(_xlfn.CONCAT(B8405," ",E8405),ForeCalc!$B$36:$Y$36,0))))*VLOOKUP(A8405,Calendar!$A$2:$H$9997,8,FALSE),0)</f>
        <v/>
      </c>
      <c r="G8405" s="29">
        <f>VLOOKUP(A8405,Calendar!$A$1:$H$9997,6,FALSE)-F8405</f>
        <v/>
      </c>
      <c r="H8405" s="19" t="n">
        <v>3</v>
      </c>
      <c r="I8405" s="57" t="n">
        <v>1</v>
      </c>
    </row>
    <row r="8406">
      <c r="A8406" s="62" t="n">
        <v>46845</v>
      </c>
      <c r="B8406" s="3" t="inlineStr">
        <is>
          <t>Sun</t>
        </is>
      </c>
      <c r="C8406" s="19" t="n">
        <v>4</v>
      </c>
      <c r="D8406" s="19" t="n">
        <v>2028</v>
      </c>
      <c r="E8406" s="57" t="n">
        <v>8</v>
      </c>
      <c r="F8406" s="29">
        <f>ROUND(((SUMIFS(Calendar!$F$2:$F$9997,Calendar!$B$2:$B$9997,D8406,Calendar!$C$2:$C$9997,C8406)*INDEX(ForeCalc!$B$37:$Y$274,MATCH(_xlfn.CONCAT(H8406," ",I8406),ForeCalc!$A$37:$A$274,0),MATCH(_xlfn.CONCAT(B8406," ",E8406),ForeCalc!$B$36:$Y$36,0))))*VLOOKUP(A8406,Calendar!$A$2:$H$9997,8,FALSE),0)</f>
        <v/>
      </c>
      <c r="G8406" s="29">
        <f>VLOOKUP(A8406,Calendar!$A$1:$H$9997,6,FALSE)-F8406</f>
        <v/>
      </c>
      <c r="H8406" s="19" t="n">
        <v>3</v>
      </c>
      <c r="I8406" s="57" t="n">
        <v>1</v>
      </c>
    </row>
    <row r="8407">
      <c r="A8407" s="62" t="n">
        <v>46846</v>
      </c>
      <c r="B8407" s="3" t="inlineStr">
        <is>
          <t>Week</t>
        </is>
      </c>
      <c r="C8407" s="19" t="n">
        <v>4</v>
      </c>
      <c r="D8407" s="19" t="n">
        <v>2028</v>
      </c>
      <c r="E8407" s="57" t="n">
        <v>8</v>
      </c>
      <c r="F8407" s="29">
        <f>ROUND(((SUMIFS(Calendar!$F$2:$F$9997,Calendar!$B$2:$B$9997,D8407,Calendar!$C$2:$C$9997,C8407)*INDEX(ForeCalc!$B$37:$Y$274,MATCH(_xlfn.CONCAT(H8407," ",I8407),ForeCalc!$A$37:$A$274,0),MATCH(_xlfn.CONCAT(B8407," ",E8407),ForeCalc!$B$36:$Y$36,0))))*VLOOKUP(A8407,Calendar!$A$2:$H$9997,8,FALSE),0)</f>
        <v/>
      </c>
      <c r="G8407" s="29">
        <f>VLOOKUP(A8407,Calendar!$A$1:$H$9997,6,FALSE)-F8407</f>
        <v/>
      </c>
      <c r="H8407" s="19" t="n">
        <v>3</v>
      </c>
      <c r="I8407" s="57" t="n">
        <v>1</v>
      </c>
    </row>
    <row r="8408">
      <c r="A8408" s="62" t="n">
        <v>46847</v>
      </c>
      <c r="B8408" s="3" t="inlineStr">
        <is>
          <t>Week</t>
        </is>
      </c>
      <c r="C8408" s="19" t="n">
        <v>4</v>
      </c>
      <c r="D8408" s="19" t="n">
        <v>2028</v>
      </c>
      <c r="E8408" s="57" t="n">
        <v>8</v>
      </c>
      <c r="F8408" s="29">
        <f>ROUND(((SUMIFS(Calendar!$F$2:$F$9997,Calendar!$B$2:$B$9997,D8408,Calendar!$C$2:$C$9997,C8408)*INDEX(ForeCalc!$B$37:$Y$274,MATCH(_xlfn.CONCAT(H8408," ",I8408),ForeCalc!$A$37:$A$274,0),MATCH(_xlfn.CONCAT(B8408," ",E8408),ForeCalc!$B$36:$Y$36,0))))*VLOOKUP(A8408,Calendar!$A$2:$H$9997,8,FALSE),0)</f>
        <v/>
      </c>
      <c r="G8408" s="29">
        <f>VLOOKUP(A8408,Calendar!$A$1:$H$9997,6,FALSE)-F8408</f>
        <v/>
      </c>
      <c r="H8408" s="19" t="n">
        <v>3</v>
      </c>
      <c r="I8408" s="57" t="n">
        <v>1</v>
      </c>
    </row>
    <row r="8409">
      <c r="A8409" s="62" t="n">
        <v>46848</v>
      </c>
      <c r="B8409" s="3" t="inlineStr">
        <is>
          <t>Week</t>
        </is>
      </c>
      <c r="C8409" s="19" t="n">
        <v>4</v>
      </c>
      <c r="D8409" s="19" t="n">
        <v>2028</v>
      </c>
      <c r="E8409" s="57" t="n">
        <v>8</v>
      </c>
      <c r="F8409" s="29">
        <f>ROUND(((SUMIFS(Calendar!$F$2:$F$9997,Calendar!$B$2:$B$9997,D8409,Calendar!$C$2:$C$9997,C8409)*INDEX(ForeCalc!$B$37:$Y$274,MATCH(_xlfn.CONCAT(H8409," ",I8409),ForeCalc!$A$37:$A$274,0),MATCH(_xlfn.CONCAT(B8409," ",E8409),ForeCalc!$B$36:$Y$36,0))))*VLOOKUP(A8409,Calendar!$A$2:$H$9997,8,FALSE),0)</f>
        <v/>
      </c>
      <c r="G8409" s="29">
        <f>VLOOKUP(A8409,Calendar!$A$1:$H$9997,6,FALSE)-F8409</f>
        <v/>
      </c>
      <c r="H8409" s="19" t="n">
        <v>3</v>
      </c>
      <c r="I8409" s="57" t="n">
        <v>1</v>
      </c>
    </row>
    <row r="8410">
      <c r="A8410" s="62" t="n">
        <v>46849</v>
      </c>
      <c r="B8410" s="3" t="inlineStr">
        <is>
          <t>Week</t>
        </is>
      </c>
      <c r="C8410" s="19" t="n">
        <v>4</v>
      </c>
      <c r="D8410" s="19" t="n">
        <v>2028</v>
      </c>
      <c r="E8410" s="57" t="n">
        <v>8</v>
      </c>
      <c r="F8410" s="29">
        <f>ROUND(((SUMIFS(Calendar!$F$2:$F$9997,Calendar!$B$2:$B$9997,D8410,Calendar!$C$2:$C$9997,C8410)*INDEX(ForeCalc!$B$37:$Y$274,MATCH(_xlfn.CONCAT(H8410," ",I8410),ForeCalc!$A$37:$A$274,0),MATCH(_xlfn.CONCAT(B8410," ",E8410),ForeCalc!$B$36:$Y$36,0))))*VLOOKUP(A8410,Calendar!$A$2:$H$9997,8,FALSE),0)</f>
        <v/>
      </c>
      <c r="G8410" s="29">
        <f>VLOOKUP(A8410,Calendar!$A$1:$H$9997,6,FALSE)-F8410</f>
        <v/>
      </c>
      <c r="H8410" s="19" t="n">
        <v>3</v>
      </c>
      <c r="I8410" s="57" t="n">
        <v>1</v>
      </c>
    </row>
    <row r="8411">
      <c r="A8411" s="62" t="n">
        <v>46850</v>
      </c>
      <c r="B8411" s="3" t="inlineStr">
        <is>
          <t>Week</t>
        </is>
      </c>
      <c r="C8411" s="19" t="n">
        <v>4</v>
      </c>
      <c r="D8411" s="19" t="n">
        <v>2028</v>
      </c>
      <c r="E8411" s="57" t="n">
        <v>8</v>
      </c>
      <c r="F8411" s="29">
        <f>ROUND(((SUMIFS(Calendar!$F$2:$F$9997,Calendar!$B$2:$B$9997,D8411,Calendar!$C$2:$C$9997,C8411)*INDEX(ForeCalc!$B$37:$Y$274,MATCH(_xlfn.CONCAT(H8411," ",I8411),ForeCalc!$A$37:$A$274,0),MATCH(_xlfn.CONCAT(B8411," ",E8411),ForeCalc!$B$36:$Y$36,0))))*VLOOKUP(A8411,Calendar!$A$2:$H$9997,8,FALSE),0)</f>
        <v/>
      </c>
      <c r="G8411" s="29">
        <f>VLOOKUP(A8411,Calendar!$A$1:$H$9997,6,FALSE)-F8411</f>
        <v/>
      </c>
      <c r="H8411" s="19" t="n">
        <v>3</v>
      </c>
      <c r="I8411" s="57" t="n">
        <v>1</v>
      </c>
    </row>
    <row r="8412">
      <c r="A8412" s="62" t="n">
        <v>46851</v>
      </c>
      <c r="B8412" s="3" t="inlineStr">
        <is>
          <t>Sat</t>
        </is>
      </c>
      <c r="C8412" s="19" t="n">
        <v>4</v>
      </c>
      <c r="D8412" s="19" t="n">
        <v>2028</v>
      </c>
      <c r="E8412" s="57" t="n">
        <v>8</v>
      </c>
      <c r="F8412" s="29">
        <f>ROUND(((SUMIFS(Calendar!$F$2:$F$9997,Calendar!$B$2:$B$9997,D8412,Calendar!$C$2:$C$9997,C8412)*INDEX(ForeCalc!$B$37:$Y$274,MATCH(_xlfn.CONCAT(H8412," ",I8412),ForeCalc!$A$37:$A$274,0),MATCH(_xlfn.CONCAT(B8412," ",E8412),ForeCalc!$B$36:$Y$36,0))))*VLOOKUP(A8412,Calendar!$A$2:$H$9997,8,FALSE),0)</f>
        <v/>
      </c>
      <c r="G8412" s="29">
        <f>VLOOKUP(A8412,Calendar!$A$1:$H$9997,6,FALSE)-F8412</f>
        <v/>
      </c>
      <c r="H8412" s="19" t="n">
        <v>3</v>
      </c>
      <c r="I8412" s="57" t="n">
        <v>1</v>
      </c>
    </row>
    <row r="8413">
      <c r="A8413" s="62" t="n">
        <v>46852</v>
      </c>
      <c r="B8413" s="3" t="inlineStr">
        <is>
          <t>Sun</t>
        </is>
      </c>
      <c r="C8413" s="19" t="n">
        <v>4</v>
      </c>
      <c r="D8413" s="19" t="n">
        <v>2028</v>
      </c>
      <c r="E8413" s="57" t="n">
        <v>8</v>
      </c>
      <c r="F8413" s="29">
        <f>ROUND(((SUMIFS(Calendar!$F$2:$F$9997,Calendar!$B$2:$B$9997,D8413,Calendar!$C$2:$C$9997,C8413)*INDEX(ForeCalc!$B$37:$Y$274,MATCH(_xlfn.CONCAT(H8413," ",I8413),ForeCalc!$A$37:$A$274,0),MATCH(_xlfn.CONCAT(B8413," ",E8413),ForeCalc!$B$36:$Y$36,0))))*VLOOKUP(A8413,Calendar!$A$2:$H$9997,8,FALSE),0)</f>
        <v/>
      </c>
      <c r="G8413" s="29">
        <f>VLOOKUP(A8413,Calendar!$A$1:$H$9997,6,FALSE)-F8413</f>
        <v/>
      </c>
      <c r="H8413" s="19" t="n">
        <v>3</v>
      </c>
      <c r="I8413" s="57" t="n">
        <v>1</v>
      </c>
    </row>
    <row r="8414">
      <c r="A8414" s="62" t="n">
        <v>46853</v>
      </c>
      <c r="B8414" s="3" t="inlineStr">
        <is>
          <t>Week</t>
        </is>
      </c>
      <c r="C8414" s="19" t="n">
        <v>4</v>
      </c>
      <c r="D8414" s="19" t="n">
        <v>2028</v>
      </c>
      <c r="E8414" s="57" t="n">
        <v>8</v>
      </c>
      <c r="F8414" s="29">
        <f>ROUND(((SUMIFS(Calendar!$F$2:$F$9997,Calendar!$B$2:$B$9997,D8414,Calendar!$C$2:$C$9997,C8414)*INDEX(ForeCalc!$B$37:$Y$274,MATCH(_xlfn.CONCAT(H8414," ",I8414),ForeCalc!$A$37:$A$274,0),MATCH(_xlfn.CONCAT(B8414," ",E8414),ForeCalc!$B$36:$Y$36,0))))*VLOOKUP(A8414,Calendar!$A$2:$H$9997,8,FALSE),0)</f>
        <v/>
      </c>
      <c r="G8414" s="29">
        <f>VLOOKUP(A8414,Calendar!$A$1:$H$9997,6,FALSE)-F8414</f>
        <v/>
      </c>
      <c r="H8414" s="19" t="n">
        <v>3</v>
      </c>
      <c r="I8414" s="57" t="n">
        <v>1</v>
      </c>
    </row>
    <row r="8415">
      <c r="A8415" s="62" t="n">
        <v>46854</v>
      </c>
      <c r="B8415" s="3" t="inlineStr">
        <is>
          <t>Week</t>
        </is>
      </c>
      <c r="C8415" s="19" t="n">
        <v>4</v>
      </c>
      <c r="D8415" s="19" t="n">
        <v>2028</v>
      </c>
      <c r="E8415" s="57" t="n">
        <v>8</v>
      </c>
      <c r="F8415" s="29">
        <f>ROUND(((SUMIFS(Calendar!$F$2:$F$9997,Calendar!$B$2:$B$9997,D8415,Calendar!$C$2:$C$9997,C8415)*INDEX(ForeCalc!$B$37:$Y$274,MATCH(_xlfn.CONCAT(H8415," ",I8415),ForeCalc!$A$37:$A$274,0),MATCH(_xlfn.CONCAT(B8415," ",E8415),ForeCalc!$B$36:$Y$36,0))))*VLOOKUP(A8415,Calendar!$A$2:$H$9997,8,FALSE),0)</f>
        <v/>
      </c>
      <c r="G8415" s="29">
        <f>VLOOKUP(A8415,Calendar!$A$1:$H$9997,6,FALSE)-F8415</f>
        <v/>
      </c>
      <c r="H8415" s="19" t="n">
        <v>3</v>
      </c>
      <c r="I8415" s="57" t="n">
        <v>1</v>
      </c>
    </row>
    <row r="8416">
      <c r="A8416" s="62" t="n">
        <v>46855</v>
      </c>
      <c r="B8416" s="3" t="inlineStr">
        <is>
          <t>Week</t>
        </is>
      </c>
      <c r="C8416" s="19" t="n">
        <v>4</v>
      </c>
      <c r="D8416" s="19" t="n">
        <v>2028</v>
      </c>
      <c r="E8416" s="57" t="n">
        <v>8</v>
      </c>
      <c r="F8416" s="29">
        <f>ROUND(((SUMIFS(Calendar!$F$2:$F$9997,Calendar!$B$2:$B$9997,D8416,Calendar!$C$2:$C$9997,C8416)*INDEX(ForeCalc!$B$37:$Y$274,MATCH(_xlfn.CONCAT(H8416," ",I8416),ForeCalc!$A$37:$A$274,0),MATCH(_xlfn.CONCAT(B8416," ",E8416),ForeCalc!$B$36:$Y$36,0))))*VLOOKUP(A8416,Calendar!$A$2:$H$9997,8,FALSE),0)</f>
        <v/>
      </c>
      <c r="G8416" s="29">
        <f>VLOOKUP(A8416,Calendar!$A$1:$H$9997,6,FALSE)-F8416</f>
        <v/>
      </c>
      <c r="H8416" s="19" t="n">
        <v>3</v>
      </c>
      <c r="I8416" s="57" t="n">
        <v>1</v>
      </c>
    </row>
    <row r="8417">
      <c r="A8417" s="62" t="n">
        <v>46856</v>
      </c>
      <c r="B8417" s="3" t="inlineStr">
        <is>
          <t>Week</t>
        </is>
      </c>
      <c r="C8417" s="19" t="n">
        <v>4</v>
      </c>
      <c r="D8417" s="19" t="n">
        <v>2028</v>
      </c>
      <c r="E8417" s="57" t="n">
        <v>8</v>
      </c>
      <c r="F8417" s="29">
        <f>ROUND(((SUMIFS(Calendar!$F$2:$F$9997,Calendar!$B$2:$B$9997,D8417,Calendar!$C$2:$C$9997,C8417)*INDEX(ForeCalc!$B$37:$Y$274,MATCH(_xlfn.CONCAT(H8417," ",I8417),ForeCalc!$A$37:$A$274,0),MATCH(_xlfn.CONCAT(B8417," ",E8417),ForeCalc!$B$36:$Y$36,0))))*VLOOKUP(A8417,Calendar!$A$2:$H$9997,8,FALSE),0)</f>
        <v/>
      </c>
      <c r="G8417" s="29">
        <f>VLOOKUP(A8417,Calendar!$A$1:$H$9997,6,FALSE)-F8417</f>
        <v/>
      </c>
      <c r="H8417" s="19" t="n">
        <v>3</v>
      </c>
      <c r="I8417" s="57" t="n">
        <v>1</v>
      </c>
    </row>
    <row r="8418">
      <c r="A8418" s="62" t="n">
        <v>46857</v>
      </c>
      <c r="B8418" s="3" t="inlineStr">
        <is>
          <t>Week</t>
        </is>
      </c>
      <c r="C8418" s="19" t="n">
        <v>4</v>
      </c>
      <c r="D8418" s="19" t="n">
        <v>2028</v>
      </c>
      <c r="E8418" s="57" t="n">
        <v>8</v>
      </c>
      <c r="F8418" s="29">
        <f>ROUND(((SUMIFS(Calendar!$F$2:$F$9997,Calendar!$B$2:$B$9997,D8418,Calendar!$C$2:$C$9997,C8418)*INDEX(ForeCalc!$B$37:$Y$274,MATCH(_xlfn.CONCAT(H8418," ",I8418),ForeCalc!$A$37:$A$274,0),MATCH(_xlfn.CONCAT(B8418," ",E8418),ForeCalc!$B$36:$Y$36,0))))*VLOOKUP(A8418,Calendar!$A$2:$H$9997,8,FALSE),0)</f>
        <v/>
      </c>
      <c r="G8418" s="29">
        <f>VLOOKUP(A8418,Calendar!$A$1:$H$9997,6,FALSE)-F8418</f>
        <v/>
      </c>
      <c r="H8418" s="19" t="n">
        <v>3</v>
      </c>
      <c r="I8418" s="57" t="n">
        <v>1</v>
      </c>
    </row>
    <row r="8419">
      <c r="A8419" s="62" t="n">
        <v>46858</v>
      </c>
      <c r="B8419" s="3" t="inlineStr">
        <is>
          <t>Sat</t>
        </is>
      </c>
      <c r="C8419" s="19" t="n">
        <v>4</v>
      </c>
      <c r="D8419" s="19" t="n">
        <v>2028</v>
      </c>
      <c r="E8419" s="57" t="n">
        <v>8</v>
      </c>
      <c r="F8419" s="29">
        <f>ROUND(((SUMIFS(Calendar!$F$2:$F$9997,Calendar!$B$2:$B$9997,D8419,Calendar!$C$2:$C$9997,C8419)*INDEX(ForeCalc!$B$37:$Y$274,MATCH(_xlfn.CONCAT(H8419," ",I8419),ForeCalc!$A$37:$A$274,0),MATCH(_xlfn.CONCAT(B8419," ",E8419),ForeCalc!$B$36:$Y$36,0))))*VLOOKUP(A8419,Calendar!$A$2:$H$9997,8,FALSE),0)</f>
        <v/>
      </c>
      <c r="G8419" s="29">
        <f>VLOOKUP(A8419,Calendar!$A$1:$H$9997,6,FALSE)-F8419</f>
        <v/>
      </c>
      <c r="H8419" s="19" t="n">
        <v>3</v>
      </c>
      <c r="I8419" s="57" t="n">
        <v>1</v>
      </c>
    </row>
    <row r="8420">
      <c r="A8420" s="62" t="n">
        <v>46859</v>
      </c>
      <c r="B8420" s="3" t="inlineStr">
        <is>
          <t>Sun</t>
        </is>
      </c>
      <c r="C8420" s="19" t="n">
        <v>4</v>
      </c>
      <c r="D8420" s="19" t="n">
        <v>2028</v>
      </c>
      <c r="E8420" s="57" t="n">
        <v>8</v>
      </c>
      <c r="F8420" s="29">
        <f>ROUND(((SUMIFS(Calendar!$F$2:$F$9997,Calendar!$B$2:$B$9997,D8420,Calendar!$C$2:$C$9997,C8420)*INDEX(ForeCalc!$B$37:$Y$274,MATCH(_xlfn.CONCAT(H8420," ",I8420),ForeCalc!$A$37:$A$274,0),MATCH(_xlfn.CONCAT(B8420," ",E8420),ForeCalc!$B$36:$Y$36,0))))*VLOOKUP(A8420,Calendar!$A$2:$H$9997,8,FALSE),0)</f>
        <v/>
      </c>
      <c r="G8420" s="29">
        <f>VLOOKUP(A8420,Calendar!$A$1:$H$9997,6,FALSE)-F8420</f>
        <v/>
      </c>
      <c r="H8420" s="19" t="n">
        <v>3</v>
      </c>
      <c r="I8420" s="57" t="n">
        <v>1</v>
      </c>
    </row>
    <row r="8421">
      <c r="A8421" s="62" t="n">
        <v>46860</v>
      </c>
      <c r="B8421" s="3" t="inlineStr">
        <is>
          <t>Week</t>
        </is>
      </c>
      <c r="C8421" s="19" t="n">
        <v>4</v>
      </c>
      <c r="D8421" s="19" t="n">
        <v>2028</v>
      </c>
      <c r="E8421" s="57" t="n">
        <v>8</v>
      </c>
      <c r="F8421" s="29">
        <f>ROUND(((SUMIFS(Calendar!$F$2:$F$9997,Calendar!$B$2:$B$9997,D8421,Calendar!$C$2:$C$9997,C8421)*INDEX(ForeCalc!$B$37:$Y$274,MATCH(_xlfn.CONCAT(H8421," ",I8421),ForeCalc!$A$37:$A$274,0),MATCH(_xlfn.CONCAT(B8421," ",E8421),ForeCalc!$B$36:$Y$36,0))))*VLOOKUP(A8421,Calendar!$A$2:$H$9997,8,FALSE),0)</f>
        <v/>
      </c>
      <c r="G8421" s="29">
        <f>VLOOKUP(A8421,Calendar!$A$1:$H$9997,6,FALSE)-F8421</f>
        <v/>
      </c>
      <c r="H8421" s="19" t="n">
        <v>3</v>
      </c>
      <c r="I8421" s="57" t="n">
        <v>1</v>
      </c>
    </row>
    <row r="8422">
      <c r="A8422" s="62" t="n">
        <v>46861</v>
      </c>
      <c r="B8422" s="3" t="inlineStr">
        <is>
          <t>Week</t>
        </is>
      </c>
      <c r="C8422" s="19" t="n">
        <v>4</v>
      </c>
      <c r="D8422" s="19" t="n">
        <v>2028</v>
      </c>
      <c r="E8422" s="57" t="n">
        <v>8</v>
      </c>
      <c r="F8422" s="29">
        <f>ROUND(((SUMIFS(Calendar!$F$2:$F$9997,Calendar!$B$2:$B$9997,D8422,Calendar!$C$2:$C$9997,C8422)*INDEX(ForeCalc!$B$37:$Y$274,MATCH(_xlfn.CONCAT(H8422," ",I8422),ForeCalc!$A$37:$A$274,0),MATCH(_xlfn.CONCAT(B8422," ",E8422),ForeCalc!$B$36:$Y$36,0))))*VLOOKUP(A8422,Calendar!$A$2:$H$9997,8,FALSE),0)</f>
        <v/>
      </c>
      <c r="G8422" s="29">
        <f>VLOOKUP(A8422,Calendar!$A$1:$H$9997,6,FALSE)-F8422</f>
        <v/>
      </c>
      <c r="H8422" s="19" t="n">
        <v>3</v>
      </c>
      <c r="I8422" s="57" t="n">
        <v>1</v>
      </c>
    </row>
    <row r="8423">
      <c r="A8423" s="62" t="n">
        <v>46862</v>
      </c>
      <c r="B8423" s="3" t="inlineStr">
        <is>
          <t>Week</t>
        </is>
      </c>
      <c r="C8423" s="19" t="n">
        <v>4</v>
      </c>
      <c r="D8423" s="19" t="n">
        <v>2028</v>
      </c>
      <c r="E8423" s="57" t="n">
        <v>8</v>
      </c>
      <c r="F8423" s="29">
        <f>ROUND(((SUMIFS(Calendar!$F$2:$F$9997,Calendar!$B$2:$B$9997,D8423,Calendar!$C$2:$C$9997,C8423)*INDEX(ForeCalc!$B$37:$Y$274,MATCH(_xlfn.CONCAT(H8423," ",I8423),ForeCalc!$A$37:$A$274,0),MATCH(_xlfn.CONCAT(B8423," ",E8423),ForeCalc!$B$36:$Y$36,0))))*VLOOKUP(A8423,Calendar!$A$2:$H$9997,8,FALSE),0)</f>
        <v/>
      </c>
      <c r="G8423" s="29">
        <f>VLOOKUP(A8423,Calendar!$A$1:$H$9997,6,FALSE)-F8423</f>
        <v/>
      </c>
      <c r="H8423" s="19" t="n">
        <v>3</v>
      </c>
      <c r="I8423" s="57" t="n">
        <v>1</v>
      </c>
    </row>
    <row r="8424">
      <c r="A8424" s="62" t="n">
        <v>46863</v>
      </c>
      <c r="B8424" s="3" t="inlineStr">
        <is>
          <t>Week</t>
        </is>
      </c>
      <c r="C8424" s="19" t="n">
        <v>4</v>
      </c>
      <c r="D8424" s="19" t="n">
        <v>2028</v>
      </c>
      <c r="E8424" s="57" t="n">
        <v>8</v>
      </c>
      <c r="F8424" s="29">
        <f>ROUND(((SUMIFS(Calendar!$F$2:$F$9997,Calendar!$B$2:$B$9997,D8424,Calendar!$C$2:$C$9997,C8424)*INDEX(ForeCalc!$B$37:$Y$274,MATCH(_xlfn.CONCAT(H8424," ",I8424),ForeCalc!$A$37:$A$274,0),MATCH(_xlfn.CONCAT(B8424," ",E8424),ForeCalc!$B$36:$Y$36,0))))*VLOOKUP(A8424,Calendar!$A$2:$H$9997,8,FALSE),0)</f>
        <v/>
      </c>
      <c r="G8424" s="29">
        <f>VLOOKUP(A8424,Calendar!$A$1:$H$9997,6,FALSE)-F8424</f>
        <v/>
      </c>
      <c r="H8424" s="19" t="n">
        <v>3</v>
      </c>
      <c r="I8424" s="57" t="n">
        <v>1</v>
      </c>
    </row>
    <row r="8425">
      <c r="A8425" s="62" t="n">
        <v>46864</v>
      </c>
      <c r="B8425" s="3" t="inlineStr">
        <is>
          <t>Week</t>
        </is>
      </c>
      <c r="C8425" s="19" t="n">
        <v>4</v>
      </c>
      <c r="D8425" s="19" t="n">
        <v>2028</v>
      </c>
      <c r="E8425" s="57" t="n">
        <v>8</v>
      </c>
      <c r="F8425" s="29">
        <f>ROUND(((SUMIFS(Calendar!$F$2:$F$9997,Calendar!$B$2:$B$9997,D8425,Calendar!$C$2:$C$9997,C8425)*INDEX(ForeCalc!$B$37:$Y$274,MATCH(_xlfn.CONCAT(H8425," ",I8425),ForeCalc!$A$37:$A$274,0),MATCH(_xlfn.CONCAT(B8425," ",E8425),ForeCalc!$B$36:$Y$36,0))))*VLOOKUP(A8425,Calendar!$A$2:$H$9997,8,FALSE),0)</f>
        <v/>
      </c>
      <c r="G8425" s="29">
        <f>VLOOKUP(A8425,Calendar!$A$1:$H$9997,6,FALSE)-F8425</f>
        <v/>
      </c>
      <c r="H8425" s="19" t="n">
        <v>3</v>
      </c>
      <c r="I8425" s="57" t="n">
        <v>1</v>
      </c>
    </row>
    <row r="8426">
      <c r="A8426" s="62" t="n">
        <v>46865</v>
      </c>
      <c r="B8426" s="3" t="inlineStr">
        <is>
          <t>Sat</t>
        </is>
      </c>
      <c r="C8426" s="19" t="n">
        <v>4</v>
      </c>
      <c r="D8426" s="19" t="n">
        <v>2028</v>
      </c>
      <c r="E8426" s="57" t="n">
        <v>8</v>
      </c>
      <c r="F8426" s="29">
        <f>ROUND(((SUMIFS(Calendar!$F$2:$F$9997,Calendar!$B$2:$B$9997,D8426,Calendar!$C$2:$C$9997,C8426)*INDEX(ForeCalc!$B$37:$Y$274,MATCH(_xlfn.CONCAT(H8426," ",I8426),ForeCalc!$A$37:$A$274,0),MATCH(_xlfn.CONCAT(B8426," ",E8426),ForeCalc!$B$36:$Y$36,0))))*VLOOKUP(A8426,Calendar!$A$2:$H$9997,8,FALSE),0)</f>
        <v/>
      </c>
      <c r="G8426" s="29">
        <f>VLOOKUP(A8426,Calendar!$A$1:$H$9997,6,FALSE)-F8426</f>
        <v/>
      </c>
      <c r="H8426" s="19" t="n">
        <v>3</v>
      </c>
      <c r="I8426" s="57" t="n">
        <v>1</v>
      </c>
    </row>
    <row r="8427">
      <c r="A8427" s="62" t="n">
        <v>46866</v>
      </c>
      <c r="B8427" s="3" t="inlineStr">
        <is>
          <t>Sun</t>
        </is>
      </c>
      <c r="C8427" s="19" t="n">
        <v>4</v>
      </c>
      <c r="D8427" s="19" t="n">
        <v>2028</v>
      </c>
      <c r="E8427" s="57" t="n">
        <v>8</v>
      </c>
      <c r="F8427" s="29">
        <f>ROUND(((SUMIFS(Calendar!$F$2:$F$9997,Calendar!$B$2:$B$9997,D8427,Calendar!$C$2:$C$9997,C8427)*INDEX(ForeCalc!$B$37:$Y$274,MATCH(_xlfn.CONCAT(H8427," ",I8427),ForeCalc!$A$37:$A$274,0),MATCH(_xlfn.CONCAT(B8427," ",E8427),ForeCalc!$B$36:$Y$36,0))))*VLOOKUP(A8427,Calendar!$A$2:$H$9997,8,FALSE),0)</f>
        <v/>
      </c>
      <c r="G8427" s="29">
        <f>VLOOKUP(A8427,Calendar!$A$1:$H$9997,6,FALSE)-F8427</f>
        <v/>
      </c>
      <c r="H8427" s="19" t="n">
        <v>3</v>
      </c>
      <c r="I8427" s="57" t="n">
        <v>1</v>
      </c>
    </row>
    <row r="8428">
      <c r="A8428" s="62" t="n">
        <v>46867</v>
      </c>
      <c r="B8428" s="3" t="inlineStr">
        <is>
          <t>Week</t>
        </is>
      </c>
      <c r="C8428" s="19" t="n">
        <v>4</v>
      </c>
      <c r="D8428" s="19" t="n">
        <v>2028</v>
      </c>
      <c r="E8428" s="57" t="n">
        <v>8</v>
      </c>
      <c r="F8428" s="29">
        <f>ROUND(((SUMIFS(Calendar!$F$2:$F$9997,Calendar!$B$2:$B$9997,D8428,Calendar!$C$2:$C$9997,C8428)*INDEX(ForeCalc!$B$37:$Y$274,MATCH(_xlfn.CONCAT(H8428," ",I8428),ForeCalc!$A$37:$A$274,0),MATCH(_xlfn.CONCAT(B8428," ",E8428),ForeCalc!$B$36:$Y$36,0))))*VLOOKUP(A8428,Calendar!$A$2:$H$9997,8,FALSE),0)</f>
        <v/>
      </c>
      <c r="G8428" s="29">
        <f>VLOOKUP(A8428,Calendar!$A$1:$H$9997,6,FALSE)-F8428</f>
        <v/>
      </c>
      <c r="H8428" s="19" t="n">
        <v>3</v>
      </c>
      <c r="I8428" s="57" t="n">
        <v>1</v>
      </c>
    </row>
    <row r="8429">
      <c r="A8429" s="62" t="n">
        <v>46868</v>
      </c>
      <c r="B8429" s="3" t="inlineStr">
        <is>
          <t>Week</t>
        </is>
      </c>
      <c r="C8429" s="19" t="n">
        <v>4</v>
      </c>
      <c r="D8429" s="19" t="n">
        <v>2028</v>
      </c>
      <c r="E8429" s="57" t="n">
        <v>8</v>
      </c>
      <c r="F8429" s="29">
        <f>ROUND(((SUMIFS(Calendar!$F$2:$F$9997,Calendar!$B$2:$B$9997,D8429,Calendar!$C$2:$C$9997,C8429)*INDEX(ForeCalc!$B$37:$Y$274,MATCH(_xlfn.CONCAT(H8429," ",I8429),ForeCalc!$A$37:$A$274,0),MATCH(_xlfn.CONCAT(B8429," ",E8429),ForeCalc!$B$36:$Y$36,0))))*VLOOKUP(A8429,Calendar!$A$2:$H$9997,8,FALSE),0)</f>
        <v/>
      </c>
      <c r="G8429" s="29">
        <f>VLOOKUP(A8429,Calendar!$A$1:$H$9997,6,FALSE)-F8429</f>
        <v/>
      </c>
      <c r="H8429" s="19" t="n">
        <v>3</v>
      </c>
      <c r="I8429" s="57" t="n">
        <v>1</v>
      </c>
    </row>
    <row r="8430">
      <c r="A8430" s="62" t="n">
        <v>46869</v>
      </c>
      <c r="B8430" s="3" t="inlineStr">
        <is>
          <t>Week</t>
        </is>
      </c>
      <c r="C8430" s="19" t="n">
        <v>4</v>
      </c>
      <c r="D8430" s="19" t="n">
        <v>2028</v>
      </c>
      <c r="E8430" s="57" t="n">
        <v>8</v>
      </c>
      <c r="F8430" s="29">
        <f>ROUND(((SUMIFS(Calendar!$F$2:$F$9997,Calendar!$B$2:$B$9997,D8430,Calendar!$C$2:$C$9997,C8430)*INDEX(ForeCalc!$B$37:$Y$274,MATCH(_xlfn.CONCAT(H8430," ",I8430),ForeCalc!$A$37:$A$274,0),MATCH(_xlfn.CONCAT(B8430," ",E8430),ForeCalc!$B$36:$Y$36,0))))*VLOOKUP(A8430,Calendar!$A$2:$H$9997,8,FALSE),0)</f>
        <v/>
      </c>
      <c r="G8430" s="29">
        <f>VLOOKUP(A8430,Calendar!$A$1:$H$9997,6,FALSE)-F8430</f>
        <v/>
      </c>
      <c r="H8430" s="19" t="n">
        <v>3</v>
      </c>
      <c r="I8430" s="57" t="n">
        <v>1</v>
      </c>
    </row>
    <row r="8431">
      <c r="A8431" s="62" t="n">
        <v>46870</v>
      </c>
      <c r="B8431" s="3" t="inlineStr">
        <is>
          <t>Week</t>
        </is>
      </c>
      <c r="C8431" s="19" t="n">
        <v>4</v>
      </c>
      <c r="D8431" s="19" t="n">
        <v>2028</v>
      </c>
      <c r="E8431" s="57" t="n">
        <v>8</v>
      </c>
      <c r="F8431" s="29">
        <f>ROUND(((SUMIFS(Calendar!$F$2:$F$9997,Calendar!$B$2:$B$9997,D8431,Calendar!$C$2:$C$9997,C8431)*INDEX(ForeCalc!$B$37:$Y$274,MATCH(_xlfn.CONCAT(H8431," ",I8431),ForeCalc!$A$37:$A$274,0),MATCH(_xlfn.CONCAT(B8431," ",E8431),ForeCalc!$B$36:$Y$36,0))))*VLOOKUP(A8431,Calendar!$A$2:$H$9997,8,FALSE),0)</f>
        <v/>
      </c>
      <c r="G8431" s="29">
        <f>VLOOKUP(A8431,Calendar!$A$1:$H$9997,6,FALSE)-F8431</f>
        <v/>
      </c>
      <c r="H8431" s="19" t="n">
        <v>3</v>
      </c>
      <c r="I8431" s="57" t="n">
        <v>1</v>
      </c>
    </row>
    <row r="8432">
      <c r="A8432" s="62" t="n">
        <v>46871</v>
      </c>
      <c r="B8432" s="3" t="inlineStr">
        <is>
          <t>Week</t>
        </is>
      </c>
      <c r="C8432" s="19" t="n">
        <v>4</v>
      </c>
      <c r="D8432" s="19" t="n">
        <v>2028</v>
      </c>
      <c r="E8432" s="57" t="n">
        <v>8</v>
      </c>
      <c r="F8432" s="29">
        <f>ROUND(((SUMIFS(Calendar!$F$2:$F$9997,Calendar!$B$2:$B$9997,D8432,Calendar!$C$2:$C$9997,C8432)*INDEX(ForeCalc!$B$37:$Y$274,MATCH(_xlfn.CONCAT(H8432," ",I8432),ForeCalc!$A$37:$A$274,0),MATCH(_xlfn.CONCAT(B8432," ",E8432),ForeCalc!$B$36:$Y$36,0))))*VLOOKUP(A8432,Calendar!$A$2:$H$9997,8,FALSE),0)</f>
        <v/>
      </c>
      <c r="G8432" s="29">
        <f>VLOOKUP(A8432,Calendar!$A$1:$H$9997,6,FALSE)-F8432</f>
        <v/>
      </c>
      <c r="H8432" s="19" t="n">
        <v>3</v>
      </c>
      <c r="I8432" s="57" t="n">
        <v>1</v>
      </c>
    </row>
    <row r="8433">
      <c r="A8433" s="62" t="n">
        <v>46872</v>
      </c>
      <c r="B8433" s="3" t="inlineStr">
        <is>
          <t>Sat</t>
        </is>
      </c>
      <c r="C8433" s="19" t="n">
        <v>4</v>
      </c>
      <c r="D8433" s="19" t="n">
        <v>2028</v>
      </c>
      <c r="E8433" s="57" t="n">
        <v>8</v>
      </c>
      <c r="F8433" s="29">
        <f>ROUND(((SUMIFS(Calendar!$F$2:$F$9997,Calendar!$B$2:$B$9997,D8433,Calendar!$C$2:$C$9997,C8433)*INDEX(ForeCalc!$B$37:$Y$274,MATCH(_xlfn.CONCAT(H8433," ",I8433),ForeCalc!$A$37:$A$274,0),MATCH(_xlfn.CONCAT(B8433," ",E8433),ForeCalc!$B$36:$Y$36,0))))*VLOOKUP(A8433,Calendar!$A$2:$H$9997,8,FALSE),0)</f>
        <v/>
      </c>
      <c r="G8433" s="29">
        <f>VLOOKUP(A8433,Calendar!$A$1:$H$9997,6,FALSE)-F8433</f>
        <v/>
      </c>
      <c r="H8433" s="19" t="n">
        <v>3</v>
      </c>
      <c r="I8433" s="57" t="n">
        <v>1</v>
      </c>
    </row>
    <row r="8434">
      <c r="A8434" s="62" t="n">
        <v>46873</v>
      </c>
      <c r="B8434" s="3" t="inlineStr">
        <is>
          <t>Sun</t>
        </is>
      </c>
      <c r="C8434" s="19" t="n">
        <v>4</v>
      </c>
      <c r="D8434" s="19" t="n">
        <v>2028</v>
      </c>
      <c r="E8434" s="57" t="n">
        <v>8</v>
      </c>
      <c r="F8434" s="29">
        <f>ROUND(((SUMIFS(Calendar!$F$2:$F$9997,Calendar!$B$2:$B$9997,D8434,Calendar!$C$2:$C$9997,C8434)*INDEX(ForeCalc!$B$37:$Y$274,MATCH(_xlfn.CONCAT(H8434," ",I8434),ForeCalc!$A$37:$A$274,0),MATCH(_xlfn.CONCAT(B8434," ",E8434),ForeCalc!$B$36:$Y$36,0))))*VLOOKUP(A8434,Calendar!$A$2:$H$9997,8,FALSE),0)</f>
        <v/>
      </c>
      <c r="G8434" s="29">
        <f>VLOOKUP(A8434,Calendar!$A$1:$H$9997,6,FALSE)-F8434</f>
        <v/>
      </c>
      <c r="H8434" s="19" t="n">
        <v>3</v>
      </c>
      <c r="I8434" s="57" t="n">
        <v>1</v>
      </c>
    </row>
    <row r="8435">
      <c r="A8435" s="62" t="n">
        <v>46874</v>
      </c>
      <c r="B8435" s="3" t="inlineStr">
        <is>
          <t>Week</t>
        </is>
      </c>
      <c r="C8435" s="19" t="n">
        <v>5</v>
      </c>
      <c r="D8435" s="19" t="n">
        <v>2028</v>
      </c>
      <c r="E8435" s="57" t="n">
        <v>8</v>
      </c>
      <c r="F8435" s="29">
        <f>ROUND(((SUMIFS(Calendar!$F$2:$F$9997,Calendar!$B$2:$B$9997,D8435,Calendar!$C$2:$C$9997,C8435)*INDEX(ForeCalc!$B$37:$Y$274,MATCH(_xlfn.CONCAT(H8435," ",I8435),ForeCalc!$A$37:$A$274,0),MATCH(_xlfn.CONCAT(B8435," ",E8435),ForeCalc!$B$36:$Y$36,0))))*VLOOKUP(A8435,Calendar!$A$2:$H$9997,8,FALSE),0)</f>
        <v/>
      </c>
      <c r="G8435" s="29">
        <f>VLOOKUP(A8435,Calendar!$A$1:$H$9997,6,FALSE)-F8435</f>
        <v/>
      </c>
      <c r="H8435" s="19" t="n">
        <v>3</v>
      </c>
      <c r="I8435" s="57" t="n">
        <v>2</v>
      </c>
    </row>
    <row r="8436">
      <c r="A8436" s="62" t="n">
        <v>46875</v>
      </c>
      <c r="B8436" s="3" t="inlineStr">
        <is>
          <t>Week</t>
        </is>
      </c>
      <c r="C8436" s="19" t="n">
        <v>5</v>
      </c>
      <c r="D8436" s="19" t="n">
        <v>2028</v>
      </c>
      <c r="E8436" s="57" t="n">
        <v>8</v>
      </c>
      <c r="F8436" s="29">
        <f>ROUND(((SUMIFS(Calendar!$F$2:$F$9997,Calendar!$B$2:$B$9997,D8436,Calendar!$C$2:$C$9997,C8436)*INDEX(ForeCalc!$B$37:$Y$274,MATCH(_xlfn.CONCAT(H8436," ",I8436),ForeCalc!$A$37:$A$274,0),MATCH(_xlfn.CONCAT(B8436," ",E8436),ForeCalc!$B$36:$Y$36,0))))*VLOOKUP(A8436,Calendar!$A$2:$H$9997,8,FALSE),0)</f>
        <v/>
      </c>
      <c r="G8436" s="29">
        <f>VLOOKUP(A8436,Calendar!$A$1:$H$9997,6,FALSE)-F8436</f>
        <v/>
      </c>
      <c r="H8436" s="19" t="n">
        <v>3</v>
      </c>
      <c r="I8436" s="57" t="n">
        <v>2</v>
      </c>
    </row>
    <row r="8437">
      <c r="A8437" s="62" t="n">
        <v>46876</v>
      </c>
      <c r="B8437" s="3" t="inlineStr">
        <is>
          <t>Week</t>
        </is>
      </c>
      <c r="C8437" s="19" t="n">
        <v>5</v>
      </c>
      <c r="D8437" s="19" t="n">
        <v>2028</v>
      </c>
      <c r="E8437" s="57" t="n">
        <v>8</v>
      </c>
      <c r="F8437" s="29">
        <f>ROUND(((SUMIFS(Calendar!$F$2:$F$9997,Calendar!$B$2:$B$9997,D8437,Calendar!$C$2:$C$9997,C8437)*INDEX(ForeCalc!$B$37:$Y$274,MATCH(_xlfn.CONCAT(H8437," ",I8437),ForeCalc!$A$37:$A$274,0),MATCH(_xlfn.CONCAT(B8437," ",E8437),ForeCalc!$B$36:$Y$36,0))))*VLOOKUP(A8437,Calendar!$A$2:$H$9997,8,FALSE),0)</f>
        <v/>
      </c>
      <c r="G8437" s="29">
        <f>VLOOKUP(A8437,Calendar!$A$1:$H$9997,6,FALSE)-F8437</f>
        <v/>
      </c>
      <c r="H8437" s="19" t="n">
        <v>3</v>
      </c>
      <c r="I8437" s="57" t="n">
        <v>2</v>
      </c>
    </row>
    <row r="8438">
      <c r="A8438" s="62" t="n">
        <v>46877</v>
      </c>
      <c r="B8438" s="3" t="inlineStr">
        <is>
          <t>Week</t>
        </is>
      </c>
      <c r="C8438" s="19" t="n">
        <v>5</v>
      </c>
      <c r="D8438" s="19" t="n">
        <v>2028</v>
      </c>
      <c r="E8438" s="57" t="n">
        <v>8</v>
      </c>
      <c r="F8438" s="29">
        <f>ROUND(((SUMIFS(Calendar!$F$2:$F$9997,Calendar!$B$2:$B$9997,D8438,Calendar!$C$2:$C$9997,C8438)*INDEX(ForeCalc!$B$37:$Y$274,MATCH(_xlfn.CONCAT(H8438," ",I8438),ForeCalc!$A$37:$A$274,0),MATCH(_xlfn.CONCAT(B8438," ",E8438),ForeCalc!$B$36:$Y$36,0))))*VLOOKUP(A8438,Calendar!$A$2:$H$9997,8,FALSE),0)</f>
        <v/>
      </c>
      <c r="G8438" s="29">
        <f>VLOOKUP(A8438,Calendar!$A$1:$H$9997,6,FALSE)-F8438</f>
        <v/>
      </c>
      <c r="H8438" s="19" t="n">
        <v>3</v>
      </c>
      <c r="I8438" s="57" t="n">
        <v>2</v>
      </c>
    </row>
    <row r="8439">
      <c r="A8439" s="62" t="n">
        <v>46878</v>
      </c>
      <c r="B8439" s="3" t="inlineStr">
        <is>
          <t>Week</t>
        </is>
      </c>
      <c r="C8439" s="19" t="n">
        <v>5</v>
      </c>
      <c r="D8439" s="19" t="n">
        <v>2028</v>
      </c>
      <c r="E8439" s="57" t="n">
        <v>8</v>
      </c>
      <c r="F8439" s="29">
        <f>ROUND(((SUMIFS(Calendar!$F$2:$F$9997,Calendar!$B$2:$B$9997,D8439,Calendar!$C$2:$C$9997,C8439)*INDEX(ForeCalc!$B$37:$Y$274,MATCH(_xlfn.CONCAT(H8439," ",I8439),ForeCalc!$A$37:$A$274,0),MATCH(_xlfn.CONCAT(B8439," ",E8439),ForeCalc!$B$36:$Y$36,0))))*VLOOKUP(A8439,Calendar!$A$2:$H$9997,8,FALSE),0)</f>
        <v/>
      </c>
      <c r="G8439" s="29">
        <f>VLOOKUP(A8439,Calendar!$A$1:$H$9997,6,FALSE)-F8439</f>
        <v/>
      </c>
      <c r="H8439" s="19" t="n">
        <v>3</v>
      </c>
      <c r="I8439" s="57" t="n">
        <v>2</v>
      </c>
    </row>
    <row r="8440">
      <c r="A8440" s="62" t="n">
        <v>46879</v>
      </c>
      <c r="B8440" s="3" t="inlineStr">
        <is>
          <t>Sat</t>
        </is>
      </c>
      <c r="C8440" s="19" t="n">
        <v>5</v>
      </c>
      <c r="D8440" s="19" t="n">
        <v>2028</v>
      </c>
      <c r="E8440" s="57" t="n">
        <v>8</v>
      </c>
      <c r="F8440" s="29">
        <f>ROUND(((SUMIFS(Calendar!$F$2:$F$9997,Calendar!$B$2:$B$9997,D8440,Calendar!$C$2:$C$9997,C8440)*INDEX(ForeCalc!$B$37:$Y$274,MATCH(_xlfn.CONCAT(H8440," ",I8440),ForeCalc!$A$37:$A$274,0),MATCH(_xlfn.CONCAT(B8440," ",E8440),ForeCalc!$B$36:$Y$36,0))))*VLOOKUP(A8440,Calendar!$A$2:$H$9997,8,FALSE),0)</f>
        <v/>
      </c>
      <c r="G8440" s="29">
        <f>VLOOKUP(A8440,Calendar!$A$1:$H$9997,6,FALSE)-F8440</f>
        <v/>
      </c>
      <c r="H8440" s="19" t="n">
        <v>3</v>
      </c>
      <c r="I8440" s="57" t="n">
        <v>2</v>
      </c>
    </row>
    <row r="8441">
      <c r="A8441" s="62" t="n">
        <v>46880</v>
      </c>
      <c r="B8441" s="3" t="inlineStr">
        <is>
          <t>Sun</t>
        </is>
      </c>
      <c r="C8441" s="19" t="n">
        <v>5</v>
      </c>
      <c r="D8441" s="19" t="n">
        <v>2028</v>
      </c>
      <c r="E8441" s="57" t="n">
        <v>8</v>
      </c>
      <c r="F8441" s="29">
        <f>ROUND(((SUMIFS(Calendar!$F$2:$F$9997,Calendar!$B$2:$B$9997,D8441,Calendar!$C$2:$C$9997,C8441)*INDEX(ForeCalc!$B$37:$Y$274,MATCH(_xlfn.CONCAT(H8441," ",I8441),ForeCalc!$A$37:$A$274,0),MATCH(_xlfn.CONCAT(B8441," ",E8441),ForeCalc!$B$36:$Y$36,0))))*VLOOKUP(A8441,Calendar!$A$2:$H$9997,8,FALSE),0)</f>
        <v/>
      </c>
      <c r="G8441" s="29">
        <f>VLOOKUP(A8441,Calendar!$A$1:$H$9997,6,FALSE)-F8441</f>
        <v/>
      </c>
      <c r="H8441" s="19" t="n">
        <v>3</v>
      </c>
      <c r="I8441" s="57" t="n">
        <v>2</v>
      </c>
    </row>
    <row r="8442">
      <c r="A8442" s="62" t="n">
        <v>46881</v>
      </c>
      <c r="B8442" s="3" t="inlineStr">
        <is>
          <t>Week</t>
        </is>
      </c>
      <c r="C8442" s="19" t="n">
        <v>5</v>
      </c>
      <c r="D8442" s="19" t="n">
        <v>2028</v>
      </c>
      <c r="E8442" s="57" t="n">
        <v>8</v>
      </c>
      <c r="F8442" s="29">
        <f>ROUND(((SUMIFS(Calendar!$F$2:$F$9997,Calendar!$B$2:$B$9997,D8442,Calendar!$C$2:$C$9997,C8442)*INDEX(ForeCalc!$B$37:$Y$274,MATCH(_xlfn.CONCAT(H8442," ",I8442),ForeCalc!$A$37:$A$274,0),MATCH(_xlfn.CONCAT(B8442," ",E8442),ForeCalc!$B$36:$Y$36,0))))*VLOOKUP(A8442,Calendar!$A$2:$H$9997,8,FALSE),0)</f>
        <v/>
      </c>
      <c r="G8442" s="29">
        <f>VLOOKUP(A8442,Calendar!$A$1:$H$9997,6,FALSE)-F8442</f>
        <v/>
      </c>
      <c r="H8442" s="19" t="n">
        <v>3</v>
      </c>
      <c r="I8442" s="57" t="n">
        <v>2</v>
      </c>
    </row>
    <row r="8443">
      <c r="A8443" s="62" t="n">
        <v>46882</v>
      </c>
      <c r="B8443" s="3" t="inlineStr">
        <is>
          <t>Week</t>
        </is>
      </c>
      <c r="C8443" s="19" t="n">
        <v>5</v>
      </c>
      <c r="D8443" s="19" t="n">
        <v>2028</v>
      </c>
      <c r="E8443" s="57" t="n">
        <v>8</v>
      </c>
      <c r="F8443" s="29">
        <f>ROUND(((SUMIFS(Calendar!$F$2:$F$9997,Calendar!$B$2:$B$9997,D8443,Calendar!$C$2:$C$9997,C8443)*INDEX(ForeCalc!$B$37:$Y$274,MATCH(_xlfn.CONCAT(H8443," ",I8443),ForeCalc!$A$37:$A$274,0),MATCH(_xlfn.CONCAT(B8443," ",E8443),ForeCalc!$B$36:$Y$36,0))))*VLOOKUP(A8443,Calendar!$A$2:$H$9997,8,FALSE),0)</f>
        <v/>
      </c>
      <c r="G8443" s="29">
        <f>VLOOKUP(A8443,Calendar!$A$1:$H$9997,6,FALSE)-F8443</f>
        <v/>
      </c>
      <c r="H8443" s="19" t="n">
        <v>3</v>
      </c>
      <c r="I8443" s="57" t="n">
        <v>2</v>
      </c>
    </row>
    <row r="8444">
      <c r="A8444" s="62" t="n">
        <v>46883</v>
      </c>
      <c r="B8444" s="3" t="inlineStr">
        <is>
          <t>Week</t>
        </is>
      </c>
      <c r="C8444" s="19" t="n">
        <v>5</v>
      </c>
      <c r="D8444" s="19" t="n">
        <v>2028</v>
      </c>
      <c r="E8444" s="57" t="n">
        <v>8</v>
      </c>
      <c r="F8444" s="29">
        <f>ROUND(((SUMIFS(Calendar!$F$2:$F$9997,Calendar!$B$2:$B$9997,D8444,Calendar!$C$2:$C$9997,C8444)*INDEX(ForeCalc!$B$37:$Y$274,MATCH(_xlfn.CONCAT(H8444," ",I8444),ForeCalc!$A$37:$A$274,0),MATCH(_xlfn.CONCAT(B8444," ",E8444),ForeCalc!$B$36:$Y$36,0))))*VLOOKUP(A8444,Calendar!$A$2:$H$9997,8,FALSE),0)</f>
        <v/>
      </c>
      <c r="G8444" s="29">
        <f>VLOOKUP(A8444,Calendar!$A$1:$H$9997,6,FALSE)-F8444</f>
        <v/>
      </c>
      <c r="H8444" s="19" t="n">
        <v>3</v>
      </c>
      <c r="I8444" s="57" t="n">
        <v>2</v>
      </c>
    </row>
    <row r="8445">
      <c r="A8445" s="62" t="n">
        <v>46884</v>
      </c>
      <c r="B8445" s="3" t="inlineStr">
        <is>
          <t>Week</t>
        </is>
      </c>
      <c r="C8445" s="19" t="n">
        <v>5</v>
      </c>
      <c r="D8445" s="19" t="n">
        <v>2028</v>
      </c>
      <c r="E8445" s="57" t="n">
        <v>8</v>
      </c>
      <c r="F8445" s="29">
        <f>ROUND(((SUMIFS(Calendar!$F$2:$F$9997,Calendar!$B$2:$B$9997,D8445,Calendar!$C$2:$C$9997,C8445)*INDEX(ForeCalc!$B$37:$Y$274,MATCH(_xlfn.CONCAT(H8445," ",I8445),ForeCalc!$A$37:$A$274,0),MATCH(_xlfn.CONCAT(B8445," ",E8445),ForeCalc!$B$36:$Y$36,0))))*VLOOKUP(A8445,Calendar!$A$2:$H$9997,8,FALSE),0)</f>
        <v/>
      </c>
      <c r="G8445" s="29">
        <f>VLOOKUP(A8445,Calendar!$A$1:$H$9997,6,FALSE)-F8445</f>
        <v/>
      </c>
      <c r="H8445" s="19" t="n">
        <v>3</v>
      </c>
      <c r="I8445" s="57" t="n">
        <v>2</v>
      </c>
    </row>
    <row r="8446">
      <c r="A8446" s="62" t="n">
        <v>46885</v>
      </c>
      <c r="B8446" s="3" t="inlineStr">
        <is>
          <t>Week</t>
        </is>
      </c>
      <c r="C8446" s="19" t="n">
        <v>5</v>
      </c>
      <c r="D8446" s="19" t="n">
        <v>2028</v>
      </c>
      <c r="E8446" s="57" t="n">
        <v>8</v>
      </c>
      <c r="F8446" s="29">
        <f>ROUND(((SUMIFS(Calendar!$F$2:$F$9997,Calendar!$B$2:$B$9997,D8446,Calendar!$C$2:$C$9997,C8446)*INDEX(ForeCalc!$B$37:$Y$274,MATCH(_xlfn.CONCAT(H8446," ",I8446),ForeCalc!$A$37:$A$274,0),MATCH(_xlfn.CONCAT(B8446," ",E8446),ForeCalc!$B$36:$Y$36,0))))*VLOOKUP(A8446,Calendar!$A$2:$H$9997,8,FALSE),0)</f>
        <v/>
      </c>
      <c r="G8446" s="29">
        <f>VLOOKUP(A8446,Calendar!$A$1:$H$9997,6,FALSE)-F8446</f>
        <v/>
      </c>
      <c r="H8446" s="19" t="n">
        <v>3</v>
      </c>
      <c r="I8446" s="57" t="n">
        <v>2</v>
      </c>
    </row>
    <row r="8447">
      <c r="A8447" s="62" t="n">
        <v>46886</v>
      </c>
      <c r="B8447" s="3" t="inlineStr">
        <is>
          <t>Sat</t>
        </is>
      </c>
      <c r="C8447" s="19" t="n">
        <v>5</v>
      </c>
      <c r="D8447" s="19" t="n">
        <v>2028</v>
      </c>
      <c r="E8447" s="57" t="n">
        <v>8</v>
      </c>
      <c r="F8447" s="29">
        <f>ROUND(((SUMIFS(Calendar!$F$2:$F$9997,Calendar!$B$2:$B$9997,D8447,Calendar!$C$2:$C$9997,C8447)*INDEX(ForeCalc!$B$37:$Y$274,MATCH(_xlfn.CONCAT(H8447," ",I8447),ForeCalc!$A$37:$A$274,0),MATCH(_xlfn.CONCAT(B8447," ",E8447),ForeCalc!$B$36:$Y$36,0))))*VLOOKUP(A8447,Calendar!$A$2:$H$9997,8,FALSE),0)</f>
        <v/>
      </c>
      <c r="G8447" s="29">
        <f>VLOOKUP(A8447,Calendar!$A$1:$H$9997,6,FALSE)-F8447</f>
        <v/>
      </c>
      <c r="H8447" s="19" t="n">
        <v>3</v>
      </c>
      <c r="I8447" s="57" t="n">
        <v>2</v>
      </c>
    </row>
    <row r="8448">
      <c r="A8448" s="62" t="n">
        <v>46887</v>
      </c>
      <c r="B8448" s="3" t="inlineStr">
        <is>
          <t>Sun</t>
        </is>
      </c>
      <c r="C8448" s="19" t="n">
        <v>5</v>
      </c>
      <c r="D8448" s="19" t="n">
        <v>2028</v>
      </c>
      <c r="E8448" s="57" t="n">
        <v>8</v>
      </c>
      <c r="F8448" s="29">
        <f>ROUND(((SUMIFS(Calendar!$F$2:$F$9997,Calendar!$B$2:$B$9997,D8448,Calendar!$C$2:$C$9997,C8448)*INDEX(ForeCalc!$B$37:$Y$274,MATCH(_xlfn.CONCAT(H8448," ",I8448),ForeCalc!$A$37:$A$274,0),MATCH(_xlfn.CONCAT(B8448," ",E8448),ForeCalc!$B$36:$Y$36,0))))*VLOOKUP(A8448,Calendar!$A$2:$H$9997,8,FALSE),0)</f>
        <v/>
      </c>
      <c r="G8448" s="29">
        <f>VLOOKUP(A8448,Calendar!$A$1:$H$9997,6,FALSE)-F8448</f>
        <v/>
      </c>
      <c r="H8448" s="19" t="n">
        <v>3</v>
      </c>
      <c r="I8448" s="57" t="n">
        <v>2</v>
      </c>
    </row>
    <row r="8449">
      <c r="A8449" s="62" t="n">
        <v>46888</v>
      </c>
      <c r="B8449" s="3" t="inlineStr">
        <is>
          <t>Week</t>
        </is>
      </c>
      <c r="C8449" s="19" t="n">
        <v>5</v>
      </c>
      <c r="D8449" s="19" t="n">
        <v>2028</v>
      </c>
      <c r="E8449" s="57" t="n">
        <v>8</v>
      </c>
      <c r="F8449" s="29">
        <f>ROUND(((SUMIFS(Calendar!$F$2:$F$9997,Calendar!$B$2:$B$9997,D8449,Calendar!$C$2:$C$9997,C8449)*INDEX(ForeCalc!$B$37:$Y$274,MATCH(_xlfn.CONCAT(H8449," ",I8449),ForeCalc!$A$37:$A$274,0),MATCH(_xlfn.CONCAT(B8449," ",E8449),ForeCalc!$B$36:$Y$36,0))))*VLOOKUP(A8449,Calendar!$A$2:$H$9997,8,FALSE),0)</f>
        <v/>
      </c>
      <c r="G8449" s="29">
        <f>VLOOKUP(A8449,Calendar!$A$1:$H$9997,6,FALSE)-F8449</f>
        <v/>
      </c>
      <c r="H8449" s="19" t="n">
        <v>3</v>
      </c>
      <c r="I8449" s="57" t="n">
        <v>2</v>
      </c>
    </row>
    <row r="8450">
      <c r="A8450" s="62" t="n">
        <v>46889</v>
      </c>
      <c r="B8450" s="3" t="inlineStr">
        <is>
          <t>Week</t>
        </is>
      </c>
      <c r="C8450" s="19" t="n">
        <v>5</v>
      </c>
      <c r="D8450" s="19" t="n">
        <v>2028</v>
      </c>
      <c r="E8450" s="57" t="n">
        <v>8</v>
      </c>
      <c r="F8450" s="29">
        <f>ROUND(((SUMIFS(Calendar!$F$2:$F$9997,Calendar!$B$2:$B$9997,D8450,Calendar!$C$2:$C$9997,C8450)*INDEX(ForeCalc!$B$37:$Y$274,MATCH(_xlfn.CONCAT(H8450," ",I8450),ForeCalc!$A$37:$A$274,0),MATCH(_xlfn.CONCAT(B8450," ",E8450),ForeCalc!$B$36:$Y$36,0))))*VLOOKUP(A8450,Calendar!$A$2:$H$9997,8,FALSE),0)</f>
        <v/>
      </c>
      <c r="G8450" s="29">
        <f>VLOOKUP(A8450,Calendar!$A$1:$H$9997,6,FALSE)-F8450</f>
        <v/>
      </c>
      <c r="H8450" s="19" t="n">
        <v>3</v>
      </c>
      <c r="I8450" s="57" t="n">
        <v>2</v>
      </c>
    </row>
    <row r="8451">
      <c r="A8451" s="62" t="n">
        <v>46890</v>
      </c>
      <c r="B8451" s="3" t="inlineStr">
        <is>
          <t>Week</t>
        </is>
      </c>
      <c r="C8451" s="19" t="n">
        <v>5</v>
      </c>
      <c r="D8451" s="19" t="n">
        <v>2028</v>
      </c>
      <c r="E8451" s="57" t="n">
        <v>8</v>
      </c>
      <c r="F8451" s="29">
        <f>ROUND(((SUMIFS(Calendar!$F$2:$F$9997,Calendar!$B$2:$B$9997,D8451,Calendar!$C$2:$C$9997,C8451)*INDEX(ForeCalc!$B$37:$Y$274,MATCH(_xlfn.CONCAT(H8451," ",I8451),ForeCalc!$A$37:$A$274,0),MATCH(_xlfn.CONCAT(B8451," ",E8451),ForeCalc!$B$36:$Y$36,0))))*VLOOKUP(A8451,Calendar!$A$2:$H$9997,8,FALSE),0)</f>
        <v/>
      </c>
      <c r="G8451" s="29">
        <f>VLOOKUP(A8451,Calendar!$A$1:$H$9997,6,FALSE)-F8451</f>
        <v/>
      </c>
      <c r="H8451" s="19" t="n">
        <v>3</v>
      </c>
      <c r="I8451" s="57" t="n">
        <v>2</v>
      </c>
    </row>
    <row r="8452">
      <c r="A8452" s="62" t="n">
        <v>46891</v>
      </c>
      <c r="B8452" s="3" t="inlineStr">
        <is>
          <t>Week</t>
        </is>
      </c>
      <c r="C8452" s="19" t="n">
        <v>5</v>
      </c>
      <c r="D8452" s="19" t="n">
        <v>2028</v>
      </c>
      <c r="E8452" s="57" t="n">
        <v>8</v>
      </c>
      <c r="F8452" s="29">
        <f>ROUND(((SUMIFS(Calendar!$F$2:$F$9997,Calendar!$B$2:$B$9997,D8452,Calendar!$C$2:$C$9997,C8452)*INDEX(ForeCalc!$B$37:$Y$274,MATCH(_xlfn.CONCAT(H8452," ",I8452),ForeCalc!$A$37:$A$274,0),MATCH(_xlfn.CONCAT(B8452," ",E8452),ForeCalc!$B$36:$Y$36,0))))*VLOOKUP(A8452,Calendar!$A$2:$H$9997,8,FALSE),0)</f>
        <v/>
      </c>
      <c r="G8452" s="29">
        <f>VLOOKUP(A8452,Calendar!$A$1:$H$9997,6,FALSE)-F8452</f>
        <v/>
      </c>
      <c r="H8452" s="19" t="n">
        <v>3</v>
      </c>
      <c r="I8452" s="57" t="n">
        <v>2</v>
      </c>
    </row>
    <row r="8453">
      <c r="A8453" s="62" t="n">
        <v>46892</v>
      </c>
      <c r="B8453" s="3" t="inlineStr">
        <is>
          <t>Week</t>
        </is>
      </c>
      <c r="C8453" s="19" t="n">
        <v>5</v>
      </c>
      <c r="D8453" s="19" t="n">
        <v>2028</v>
      </c>
      <c r="E8453" s="57" t="n">
        <v>8</v>
      </c>
      <c r="F8453" s="29">
        <f>ROUND(((SUMIFS(Calendar!$F$2:$F$9997,Calendar!$B$2:$B$9997,D8453,Calendar!$C$2:$C$9997,C8453)*INDEX(ForeCalc!$B$37:$Y$274,MATCH(_xlfn.CONCAT(H8453," ",I8453),ForeCalc!$A$37:$A$274,0),MATCH(_xlfn.CONCAT(B8453," ",E8453),ForeCalc!$B$36:$Y$36,0))))*VLOOKUP(A8453,Calendar!$A$2:$H$9997,8,FALSE),0)</f>
        <v/>
      </c>
      <c r="G8453" s="29">
        <f>VLOOKUP(A8453,Calendar!$A$1:$H$9997,6,FALSE)-F8453</f>
        <v/>
      </c>
      <c r="H8453" s="19" t="n">
        <v>3</v>
      </c>
      <c r="I8453" s="57" t="n">
        <v>2</v>
      </c>
    </row>
    <row r="8454">
      <c r="A8454" s="62" t="n">
        <v>46893</v>
      </c>
      <c r="B8454" s="3" t="inlineStr">
        <is>
          <t>Sat</t>
        </is>
      </c>
      <c r="C8454" s="19" t="n">
        <v>5</v>
      </c>
      <c r="D8454" s="19" t="n">
        <v>2028</v>
      </c>
      <c r="E8454" s="57" t="n">
        <v>8</v>
      </c>
      <c r="F8454" s="29">
        <f>ROUND(((SUMIFS(Calendar!$F$2:$F$9997,Calendar!$B$2:$B$9997,D8454,Calendar!$C$2:$C$9997,C8454)*INDEX(ForeCalc!$B$37:$Y$274,MATCH(_xlfn.CONCAT(H8454," ",I8454),ForeCalc!$A$37:$A$274,0),MATCH(_xlfn.CONCAT(B8454," ",E8454),ForeCalc!$B$36:$Y$36,0))))*VLOOKUP(A8454,Calendar!$A$2:$H$9997,8,FALSE),0)</f>
        <v/>
      </c>
      <c r="G8454" s="29">
        <f>VLOOKUP(A8454,Calendar!$A$1:$H$9997,6,FALSE)-F8454</f>
        <v/>
      </c>
      <c r="H8454" s="19" t="n">
        <v>3</v>
      </c>
      <c r="I8454" s="57" t="n">
        <v>2</v>
      </c>
    </row>
    <row r="8455">
      <c r="A8455" s="62" t="n">
        <v>46894</v>
      </c>
      <c r="B8455" s="3" t="inlineStr">
        <is>
          <t>Sun</t>
        </is>
      </c>
      <c r="C8455" s="19" t="n">
        <v>5</v>
      </c>
      <c r="D8455" s="19" t="n">
        <v>2028</v>
      </c>
      <c r="E8455" s="57" t="n">
        <v>8</v>
      </c>
      <c r="F8455" s="29">
        <f>ROUND(((SUMIFS(Calendar!$F$2:$F$9997,Calendar!$B$2:$B$9997,D8455,Calendar!$C$2:$C$9997,C8455)*INDEX(ForeCalc!$B$37:$Y$274,MATCH(_xlfn.CONCAT(H8455," ",I8455),ForeCalc!$A$37:$A$274,0),MATCH(_xlfn.CONCAT(B8455," ",E8455),ForeCalc!$B$36:$Y$36,0))))*VLOOKUP(A8455,Calendar!$A$2:$H$9997,8,FALSE),0)</f>
        <v/>
      </c>
      <c r="G8455" s="29">
        <f>VLOOKUP(A8455,Calendar!$A$1:$H$9997,6,FALSE)-F8455</f>
        <v/>
      </c>
      <c r="H8455" s="19" t="n">
        <v>3</v>
      </c>
      <c r="I8455" s="57" t="n">
        <v>2</v>
      </c>
    </row>
    <row r="8456">
      <c r="A8456" s="62" t="n">
        <v>46895</v>
      </c>
      <c r="B8456" s="3" t="inlineStr">
        <is>
          <t>Week</t>
        </is>
      </c>
      <c r="C8456" s="19" t="n">
        <v>5</v>
      </c>
      <c r="D8456" s="19" t="n">
        <v>2028</v>
      </c>
      <c r="E8456" s="57" t="n">
        <v>8</v>
      </c>
      <c r="F8456" s="29">
        <f>ROUND(((SUMIFS(Calendar!$F$2:$F$9997,Calendar!$B$2:$B$9997,D8456,Calendar!$C$2:$C$9997,C8456)*INDEX(ForeCalc!$B$37:$Y$274,MATCH(_xlfn.CONCAT(H8456," ",I8456),ForeCalc!$A$37:$A$274,0),MATCH(_xlfn.CONCAT(B8456," ",E8456),ForeCalc!$B$36:$Y$36,0))))*VLOOKUP(A8456,Calendar!$A$2:$H$9997,8,FALSE),0)</f>
        <v/>
      </c>
      <c r="G8456" s="29">
        <f>VLOOKUP(A8456,Calendar!$A$1:$H$9997,6,FALSE)-F8456</f>
        <v/>
      </c>
      <c r="H8456" s="19" t="n">
        <v>3</v>
      </c>
      <c r="I8456" s="57" t="n">
        <v>2</v>
      </c>
    </row>
    <row r="8457">
      <c r="A8457" s="62" t="n">
        <v>46896</v>
      </c>
      <c r="B8457" s="3" t="inlineStr">
        <is>
          <t>Week</t>
        </is>
      </c>
      <c r="C8457" s="19" t="n">
        <v>5</v>
      </c>
      <c r="D8457" s="19" t="n">
        <v>2028</v>
      </c>
      <c r="E8457" s="57" t="n">
        <v>8</v>
      </c>
      <c r="F8457" s="29">
        <f>ROUND(((SUMIFS(Calendar!$F$2:$F$9997,Calendar!$B$2:$B$9997,D8457,Calendar!$C$2:$C$9997,C8457)*INDEX(ForeCalc!$B$37:$Y$274,MATCH(_xlfn.CONCAT(H8457," ",I8457),ForeCalc!$A$37:$A$274,0),MATCH(_xlfn.CONCAT(B8457," ",E8457),ForeCalc!$B$36:$Y$36,0))))*VLOOKUP(A8457,Calendar!$A$2:$H$9997,8,FALSE),0)</f>
        <v/>
      </c>
      <c r="G8457" s="29">
        <f>VLOOKUP(A8457,Calendar!$A$1:$H$9997,6,FALSE)-F8457</f>
        <v/>
      </c>
      <c r="H8457" s="19" t="n">
        <v>3</v>
      </c>
      <c r="I8457" s="57" t="n">
        <v>2</v>
      </c>
    </row>
    <row r="8458">
      <c r="A8458" s="62" t="n">
        <v>46897</v>
      </c>
      <c r="B8458" s="3" t="inlineStr">
        <is>
          <t>Week</t>
        </is>
      </c>
      <c r="C8458" s="19" t="n">
        <v>5</v>
      </c>
      <c r="D8458" s="19" t="n">
        <v>2028</v>
      </c>
      <c r="E8458" s="57" t="n">
        <v>8</v>
      </c>
      <c r="F8458" s="29">
        <f>ROUND(((SUMIFS(Calendar!$F$2:$F$9997,Calendar!$B$2:$B$9997,D8458,Calendar!$C$2:$C$9997,C8458)*INDEX(ForeCalc!$B$37:$Y$274,MATCH(_xlfn.CONCAT(H8458," ",I8458),ForeCalc!$A$37:$A$274,0),MATCH(_xlfn.CONCAT(B8458," ",E8458),ForeCalc!$B$36:$Y$36,0))))*VLOOKUP(A8458,Calendar!$A$2:$H$9997,8,FALSE),0)</f>
        <v/>
      </c>
      <c r="G8458" s="29">
        <f>VLOOKUP(A8458,Calendar!$A$1:$H$9997,6,FALSE)-F8458</f>
        <v/>
      </c>
      <c r="H8458" s="19" t="n">
        <v>3</v>
      </c>
      <c r="I8458" s="57" t="n">
        <v>2</v>
      </c>
    </row>
    <row r="8459">
      <c r="A8459" s="62" t="n">
        <v>46898</v>
      </c>
      <c r="B8459" s="3" t="inlineStr">
        <is>
          <t>Week</t>
        </is>
      </c>
      <c r="C8459" s="19" t="n">
        <v>5</v>
      </c>
      <c r="D8459" s="19" t="n">
        <v>2028</v>
      </c>
      <c r="E8459" s="57" t="n">
        <v>8</v>
      </c>
      <c r="F8459" s="29">
        <f>ROUND(((SUMIFS(Calendar!$F$2:$F$9997,Calendar!$B$2:$B$9997,D8459,Calendar!$C$2:$C$9997,C8459)*INDEX(ForeCalc!$B$37:$Y$274,MATCH(_xlfn.CONCAT(H8459," ",I8459),ForeCalc!$A$37:$A$274,0),MATCH(_xlfn.CONCAT(B8459," ",E8459),ForeCalc!$B$36:$Y$36,0))))*VLOOKUP(A8459,Calendar!$A$2:$H$9997,8,FALSE),0)</f>
        <v/>
      </c>
      <c r="G8459" s="29">
        <f>VLOOKUP(A8459,Calendar!$A$1:$H$9997,6,FALSE)-F8459</f>
        <v/>
      </c>
      <c r="H8459" s="19" t="n">
        <v>3</v>
      </c>
      <c r="I8459" s="57" t="n">
        <v>2</v>
      </c>
    </row>
    <row r="8460">
      <c r="A8460" s="62" t="n">
        <v>46899</v>
      </c>
      <c r="B8460" s="3" t="inlineStr">
        <is>
          <t>Week</t>
        </is>
      </c>
      <c r="C8460" s="19" t="n">
        <v>5</v>
      </c>
      <c r="D8460" s="19" t="n">
        <v>2028</v>
      </c>
      <c r="E8460" s="57" t="n">
        <v>8</v>
      </c>
      <c r="F8460" s="29">
        <f>ROUND(((SUMIFS(Calendar!$F$2:$F$9997,Calendar!$B$2:$B$9997,D8460,Calendar!$C$2:$C$9997,C8460)*INDEX(ForeCalc!$B$37:$Y$274,MATCH(_xlfn.CONCAT(H8460," ",I8460),ForeCalc!$A$37:$A$274,0),MATCH(_xlfn.CONCAT(B8460," ",E8460),ForeCalc!$B$36:$Y$36,0))))*VLOOKUP(A8460,Calendar!$A$2:$H$9997,8,FALSE),0)</f>
        <v/>
      </c>
      <c r="G8460" s="29">
        <f>VLOOKUP(A8460,Calendar!$A$1:$H$9997,6,FALSE)-F8460</f>
        <v/>
      </c>
      <c r="H8460" s="19" t="n">
        <v>3</v>
      </c>
      <c r="I8460" s="57" t="n">
        <v>2</v>
      </c>
    </row>
    <row r="8461">
      <c r="A8461" s="62" t="n">
        <v>46900</v>
      </c>
      <c r="B8461" s="3" t="inlineStr">
        <is>
          <t>Sat</t>
        </is>
      </c>
      <c r="C8461" s="19" t="n">
        <v>5</v>
      </c>
      <c r="D8461" s="19" t="n">
        <v>2028</v>
      </c>
      <c r="E8461" s="57" t="n">
        <v>8</v>
      </c>
      <c r="F8461" s="29">
        <f>ROUND(((SUMIFS(Calendar!$F$2:$F$9997,Calendar!$B$2:$B$9997,D8461,Calendar!$C$2:$C$9997,C8461)*INDEX(ForeCalc!$B$37:$Y$274,MATCH(_xlfn.CONCAT(H8461," ",I8461),ForeCalc!$A$37:$A$274,0),MATCH(_xlfn.CONCAT(B8461," ",E8461),ForeCalc!$B$36:$Y$36,0))))*VLOOKUP(A8461,Calendar!$A$2:$H$9997,8,FALSE),0)</f>
        <v/>
      </c>
      <c r="G8461" s="29">
        <f>VLOOKUP(A8461,Calendar!$A$1:$H$9997,6,FALSE)-F8461</f>
        <v/>
      </c>
      <c r="H8461" s="19" t="n">
        <v>3</v>
      </c>
      <c r="I8461" s="57" t="n">
        <v>2</v>
      </c>
    </row>
    <row r="8462">
      <c r="A8462" s="62" t="n">
        <v>46901</v>
      </c>
      <c r="B8462" s="3" t="inlineStr">
        <is>
          <t>Sun</t>
        </is>
      </c>
      <c r="C8462" s="19" t="n">
        <v>5</v>
      </c>
      <c r="D8462" s="19" t="n">
        <v>2028</v>
      </c>
      <c r="E8462" s="57" t="n">
        <v>8</v>
      </c>
      <c r="F8462" s="29">
        <f>ROUND(((SUMIFS(Calendar!$F$2:$F$9997,Calendar!$B$2:$B$9997,D8462,Calendar!$C$2:$C$9997,C8462)*INDEX(ForeCalc!$B$37:$Y$274,MATCH(_xlfn.CONCAT(H8462," ",I8462),ForeCalc!$A$37:$A$274,0),MATCH(_xlfn.CONCAT(B8462," ",E8462),ForeCalc!$B$36:$Y$36,0))))*VLOOKUP(A8462,Calendar!$A$2:$H$9997,8,FALSE),0)</f>
        <v/>
      </c>
      <c r="G8462" s="29">
        <f>VLOOKUP(A8462,Calendar!$A$1:$H$9997,6,FALSE)-F8462</f>
        <v/>
      </c>
      <c r="H8462" s="19" t="n">
        <v>3</v>
      </c>
      <c r="I8462" s="57" t="n">
        <v>2</v>
      </c>
    </row>
    <row r="8463">
      <c r="A8463" s="62" t="n">
        <v>46902</v>
      </c>
      <c r="B8463" s="3" t="inlineStr">
        <is>
          <t>Week</t>
        </is>
      </c>
      <c r="C8463" s="19" t="n">
        <v>5</v>
      </c>
      <c r="D8463" s="19" t="n">
        <v>2028</v>
      </c>
      <c r="E8463" s="57" t="n">
        <v>8</v>
      </c>
      <c r="F8463" s="29">
        <f>ROUND(((SUMIFS(Calendar!$F$2:$F$9997,Calendar!$B$2:$B$9997,D8463,Calendar!$C$2:$C$9997,C8463)*INDEX(ForeCalc!$B$37:$Y$274,MATCH(_xlfn.CONCAT(H8463," ",I8463),ForeCalc!$A$37:$A$274,0),MATCH(_xlfn.CONCAT(B8463," ",E8463),ForeCalc!$B$36:$Y$36,0))))*VLOOKUP(A8463,Calendar!$A$2:$H$9997,8,FALSE),0)</f>
        <v/>
      </c>
      <c r="G8463" s="29">
        <f>VLOOKUP(A8463,Calendar!$A$1:$H$9997,6,FALSE)-F8463</f>
        <v/>
      </c>
      <c r="H8463" s="19" t="n">
        <v>3</v>
      </c>
      <c r="I8463" s="57" t="n">
        <v>2</v>
      </c>
    </row>
    <row r="8464">
      <c r="A8464" s="62" t="n">
        <v>46903</v>
      </c>
      <c r="B8464" s="3" t="inlineStr">
        <is>
          <t>Week</t>
        </is>
      </c>
      <c r="C8464" s="19" t="n">
        <v>5</v>
      </c>
      <c r="D8464" s="19" t="n">
        <v>2028</v>
      </c>
      <c r="E8464" s="57" t="n">
        <v>8</v>
      </c>
      <c r="F8464" s="29">
        <f>ROUND(((SUMIFS(Calendar!$F$2:$F$9997,Calendar!$B$2:$B$9997,D8464,Calendar!$C$2:$C$9997,C8464)*INDEX(ForeCalc!$B$37:$Y$274,MATCH(_xlfn.CONCAT(H8464," ",I8464),ForeCalc!$A$37:$A$274,0),MATCH(_xlfn.CONCAT(B8464," ",E8464),ForeCalc!$B$36:$Y$36,0))))*VLOOKUP(A8464,Calendar!$A$2:$H$9997,8,FALSE),0)</f>
        <v/>
      </c>
      <c r="G8464" s="29">
        <f>VLOOKUP(A8464,Calendar!$A$1:$H$9997,6,FALSE)-F8464</f>
        <v/>
      </c>
      <c r="H8464" s="19" t="n">
        <v>3</v>
      </c>
      <c r="I8464" s="57" t="n">
        <v>2</v>
      </c>
    </row>
    <row r="8465">
      <c r="A8465" s="62" t="n">
        <v>46904</v>
      </c>
      <c r="B8465" s="3" t="inlineStr">
        <is>
          <t>Week</t>
        </is>
      </c>
      <c r="C8465" s="19" t="n">
        <v>5</v>
      </c>
      <c r="D8465" s="19" t="n">
        <v>2028</v>
      </c>
      <c r="E8465" s="57" t="n">
        <v>8</v>
      </c>
      <c r="F8465" s="29">
        <f>ROUND(((SUMIFS(Calendar!$F$2:$F$9997,Calendar!$B$2:$B$9997,D8465,Calendar!$C$2:$C$9997,C8465)*INDEX(ForeCalc!$B$37:$Y$274,MATCH(_xlfn.CONCAT(H8465," ",I8465),ForeCalc!$A$37:$A$274,0),MATCH(_xlfn.CONCAT(B8465," ",E8465),ForeCalc!$B$36:$Y$36,0))))*VLOOKUP(A8465,Calendar!$A$2:$H$9997,8,FALSE),0)</f>
        <v/>
      </c>
      <c r="G8465" s="29">
        <f>VLOOKUP(A8465,Calendar!$A$1:$H$9997,6,FALSE)-F8465</f>
        <v/>
      </c>
      <c r="H8465" s="19" t="n">
        <v>3</v>
      </c>
      <c r="I8465" s="57" t="n">
        <v>2</v>
      </c>
    </row>
    <row r="8466">
      <c r="A8466" s="62" t="n">
        <v>46905</v>
      </c>
      <c r="B8466" s="3" t="inlineStr">
        <is>
          <t>Week</t>
        </is>
      </c>
      <c r="C8466" s="19" t="n">
        <v>6</v>
      </c>
      <c r="D8466" s="19" t="n">
        <v>2028</v>
      </c>
      <c r="E8466" s="57" t="n">
        <v>8</v>
      </c>
      <c r="F8466" s="29">
        <f>ROUND(((SUMIFS(Calendar!$F$2:$F$9997,Calendar!$B$2:$B$9997,D8466,Calendar!$C$2:$C$9997,C8466)*INDEX(ForeCalc!$B$37:$Y$274,MATCH(_xlfn.CONCAT(H8466," ",I8466),ForeCalc!$A$37:$A$274,0),MATCH(_xlfn.CONCAT(B8466," ",E8466),ForeCalc!$B$36:$Y$36,0))))*VLOOKUP(A8466,Calendar!$A$2:$H$9997,8,FALSE),0)</f>
        <v/>
      </c>
      <c r="G8466" s="29">
        <f>VLOOKUP(A8466,Calendar!$A$1:$H$9997,6,FALSE)-F8466</f>
        <v/>
      </c>
      <c r="H8466" s="19" t="n">
        <v>3</v>
      </c>
      <c r="I8466" s="57" t="n">
        <v>3</v>
      </c>
    </row>
    <row r="8467">
      <c r="A8467" s="62" t="n">
        <v>46906</v>
      </c>
      <c r="B8467" s="3" t="inlineStr">
        <is>
          <t>Week</t>
        </is>
      </c>
      <c r="C8467" s="19" t="n">
        <v>6</v>
      </c>
      <c r="D8467" s="19" t="n">
        <v>2028</v>
      </c>
      <c r="E8467" s="57" t="n">
        <v>8</v>
      </c>
      <c r="F8467" s="29">
        <f>ROUND(((SUMIFS(Calendar!$F$2:$F$9997,Calendar!$B$2:$B$9997,D8467,Calendar!$C$2:$C$9997,C8467)*INDEX(ForeCalc!$B$37:$Y$274,MATCH(_xlfn.CONCAT(H8467," ",I8467),ForeCalc!$A$37:$A$274,0),MATCH(_xlfn.CONCAT(B8467," ",E8467),ForeCalc!$B$36:$Y$36,0))))*VLOOKUP(A8467,Calendar!$A$2:$H$9997,8,FALSE),0)</f>
        <v/>
      </c>
      <c r="G8467" s="29">
        <f>VLOOKUP(A8467,Calendar!$A$1:$H$9997,6,FALSE)-F8467</f>
        <v/>
      </c>
      <c r="H8467" s="19" t="n">
        <v>3</v>
      </c>
      <c r="I8467" s="57" t="n">
        <v>3</v>
      </c>
    </row>
    <row r="8468">
      <c r="A8468" s="62" t="n">
        <v>46907</v>
      </c>
      <c r="B8468" s="3" t="inlineStr">
        <is>
          <t>Sat</t>
        </is>
      </c>
      <c r="C8468" s="19" t="n">
        <v>6</v>
      </c>
      <c r="D8468" s="19" t="n">
        <v>2028</v>
      </c>
      <c r="E8468" s="57" t="n">
        <v>8</v>
      </c>
      <c r="F8468" s="29">
        <f>ROUND(((SUMIFS(Calendar!$F$2:$F$9997,Calendar!$B$2:$B$9997,D8468,Calendar!$C$2:$C$9997,C8468)*INDEX(ForeCalc!$B$37:$Y$274,MATCH(_xlfn.CONCAT(H8468," ",I8468),ForeCalc!$A$37:$A$274,0),MATCH(_xlfn.CONCAT(B8468," ",E8468),ForeCalc!$B$36:$Y$36,0))))*VLOOKUP(A8468,Calendar!$A$2:$H$9997,8,FALSE),0)</f>
        <v/>
      </c>
      <c r="G8468" s="29">
        <f>VLOOKUP(A8468,Calendar!$A$1:$H$9997,6,FALSE)-F8468</f>
        <v/>
      </c>
      <c r="H8468" s="19" t="n">
        <v>3</v>
      </c>
      <c r="I8468" s="57" t="n">
        <v>3</v>
      </c>
    </row>
    <row r="8469">
      <c r="A8469" s="62" t="n">
        <v>46908</v>
      </c>
      <c r="B8469" s="3" t="inlineStr">
        <is>
          <t>Sun</t>
        </is>
      </c>
      <c r="C8469" s="19" t="n">
        <v>6</v>
      </c>
      <c r="D8469" s="19" t="n">
        <v>2028</v>
      </c>
      <c r="E8469" s="57" t="n">
        <v>8</v>
      </c>
      <c r="F8469" s="29">
        <f>ROUND(((SUMIFS(Calendar!$F$2:$F$9997,Calendar!$B$2:$B$9997,D8469,Calendar!$C$2:$C$9997,C8469)*INDEX(ForeCalc!$B$37:$Y$274,MATCH(_xlfn.CONCAT(H8469," ",I8469),ForeCalc!$A$37:$A$274,0),MATCH(_xlfn.CONCAT(B8469," ",E8469),ForeCalc!$B$36:$Y$36,0))))*VLOOKUP(A8469,Calendar!$A$2:$H$9997,8,FALSE),0)</f>
        <v/>
      </c>
      <c r="G8469" s="29">
        <f>VLOOKUP(A8469,Calendar!$A$1:$H$9997,6,FALSE)-F8469</f>
        <v/>
      </c>
      <c r="H8469" s="19" t="n">
        <v>3</v>
      </c>
      <c r="I8469" s="57" t="n">
        <v>3</v>
      </c>
    </row>
    <row r="8470">
      <c r="A8470" s="62" t="n">
        <v>46909</v>
      </c>
      <c r="B8470" s="3" t="inlineStr">
        <is>
          <t>Week</t>
        </is>
      </c>
      <c r="C8470" s="19" t="n">
        <v>6</v>
      </c>
      <c r="D8470" s="19" t="n">
        <v>2028</v>
      </c>
      <c r="E8470" s="57" t="n">
        <v>8</v>
      </c>
      <c r="F8470" s="29">
        <f>ROUND(((SUMIFS(Calendar!$F$2:$F$9997,Calendar!$B$2:$B$9997,D8470,Calendar!$C$2:$C$9997,C8470)*INDEX(ForeCalc!$B$37:$Y$274,MATCH(_xlfn.CONCAT(H8470," ",I8470),ForeCalc!$A$37:$A$274,0),MATCH(_xlfn.CONCAT(B8470," ",E8470),ForeCalc!$B$36:$Y$36,0))))*VLOOKUP(A8470,Calendar!$A$2:$H$9997,8,FALSE),0)</f>
        <v/>
      </c>
      <c r="G8470" s="29">
        <f>VLOOKUP(A8470,Calendar!$A$1:$H$9997,6,FALSE)-F8470</f>
        <v/>
      </c>
      <c r="H8470" s="19" t="n">
        <v>3</v>
      </c>
      <c r="I8470" s="57" t="n">
        <v>3</v>
      </c>
    </row>
    <row r="8471">
      <c r="A8471" s="62" t="n">
        <v>46910</v>
      </c>
      <c r="B8471" s="3" t="inlineStr">
        <is>
          <t>Week</t>
        </is>
      </c>
      <c r="C8471" s="19" t="n">
        <v>6</v>
      </c>
      <c r="D8471" s="19" t="n">
        <v>2028</v>
      </c>
      <c r="E8471" s="57" t="n">
        <v>8</v>
      </c>
      <c r="F8471" s="29">
        <f>ROUND(((SUMIFS(Calendar!$F$2:$F$9997,Calendar!$B$2:$B$9997,D8471,Calendar!$C$2:$C$9997,C8471)*INDEX(ForeCalc!$B$37:$Y$274,MATCH(_xlfn.CONCAT(H8471," ",I8471),ForeCalc!$A$37:$A$274,0),MATCH(_xlfn.CONCAT(B8471," ",E8471),ForeCalc!$B$36:$Y$36,0))))*VLOOKUP(A8471,Calendar!$A$2:$H$9997,8,FALSE),0)</f>
        <v/>
      </c>
      <c r="G8471" s="29">
        <f>VLOOKUP(A8471,Calendar!$A$1:$H$9997,6,FALSE)-F8471</f>
        <v/>
      </c>
      <c r="H8471" s="19" t="n">
        <v>3</v>
      </c>
      <c r="I8471" s="57" t="n">
        <v>3</v>
      </c>
    </row>
    <row r="8472">
      <c r="A8472" s="62" t="n">
        <v>46911</v>
      </c>
      <c r="B8472" s="3" t="inlineStr">
        <is>
          <t>Week</t>
        </is>
      </c>
      <c r="C8472" s="19" t="n">
        <v>6</v>
      </c>
      <c r="D8472" s="19" t="n">
        <v>2028</v>
      </c>
      <c r="E8472" s="57" t="n">
        <v>8</v>
      </c>
      <c r="F8472" s="29">
        <f>ROUND(((SUMIFS(Calendar!$F$2:$F$9997,Calendar!$B$2:$B$9997,D8472,Calendar!$C$2:$C$9997,C8472)*INDEX(ForeCalc!$B$37:$Y$274,MATCH(_xlfn.CONCAT(H8472," ",I8472),ForeCalc!$A$37:$A$274,0),MATCH(_xlfn.CONCAT(B8472," ",E8472),ForeCalc!$B$36:$Y$36,0))))*VLOOKUP(A8472,Calendar!$A$2:$H$9997,8,FALSE),0)</f>
        <v/>
      </c>
      <c r="G8472" s="29">
        <f>VLOOKUP(A8472,Calendar!$A$1:$H$9997,6,FALSE)-F8472</f>
        <v/>
      </c>
      <c r="H8472" s="19" t="n">
        <v>3</v>
      </c>
      <c r="I8472" s="57" t="n">
        <v>3</v>
      </c>
    </row>
    <row r="8473">
      <c r="A8473" s="62" t="n">
        <v>46912</v>
      </c>
      <c r="B8473" s="3" t="inlineStr">
        <is>
          <t>Week</t>
        </is>
      </c>
      <c r="C8473" s="19" t="n">
        <v>6</v>
      </c>
      <c r="D8473" s="19" t="n">
        <v>2028</v>
      </c>
      <c r="E8473" s="57" t="n">
        <v>8</v>
      </c>
      <c r="F8473" s="29">
        <f>ROUND(((SUMIFS(Calendar!$F$2:$F$9997,Calendar!$B$2:$B$9997,D8473,Calendar!$C$2:$C$9997,C8473)*INDEX(ForeCalc!$B$37:$Y$274,MATCH(_xlfn.CONCAT(H8473," ",I8473),ForeCalc!$A$37:$A$274,0),MATCH(_xlfn.CONCAT(B8473," ",E8473),ForeCalc!$B$36:$Y$36,0))))*VLOOKUP(A8473,Calendar!$A$2:$H$9997,8,FALSE),0)</f>
        <v/>
      </c>
      <c r="G8473" s="29">
        <f>VLOOKUP(A8473,Calendar!$A$1:$H$9997,6,FALSE)-F8473</f>
        <v/>
      </c>
      <c r="H8473" s="19" t="n">
        <v>3</v>
      </c>
      <c r="I8473" s="57" t="n">
        <v>3</v>
      </c>
    </row>
    <row r="8474">
      <c r="A8474" s="62" t="n">
        <v>46913</v>
      </c>
      <c r="B8474" s="3" t="inlineStr">
        <is>
          <t>Week</t>
        </is>
      </c>
      <c r="C8474" s="19" t="n">
        <v>6</v>
      </c>
      <c r="D8474" s="19" t="n">
        <v>2028</v>
      </c>
      <c r="E8474" s="57" t="n">
        <v>8</v>
      </c>
      <c r="F8474" s="29">
        <f>ROUND(((SUMIFS(Calendar!$F$2:$F$9997,Calendar!$B$2:$B$9997,D8474,Calendar!$C$2:$C$9997,C8474)*INDEX(ForeCalc!$B$37:$Y$274,MATCH(_xlfn.CONCAT(H8474," ",I8474),ForeCalc!$A$37:$A$274,0),MATCH(_xlfn.CONCAT(B8474," ",E8474),ForeCalc!$B$36:$Y$36,0))))*VLOOKUP(A8474,Calendar!$A$2:$H$9997,8,FALSE),0)</f>
        <v/>
      </c>
      <c r="G8474" s="29">
        <f>VLOOKUP(A8474,Calendar!$A$1:$H$9997,6,FALSE)-F8474</f>
        <v/>
      </c>
      <c r="H8474" s="19" t="n">
        <v>3</v>
      </c>
      <c r="I8474" s="57" t="n">
        <v>3</v>
      </c>
    </row>
    <row r="8475">
      <c r="A8475" s="62" t="n">
        <v>46914</v>
      </c>
      <c r="B8475" s="3" t="inlineStr">
        <is>
          <t>Sat</t>
        </is>
      </c>
      <c r="C8475" s="19" t="n">
        <v>6</v>
      </c>
      <c r="D8475" s="19" t="n">
        <v>2028</v>
      </c>
      <c r="E8475" s="57" t="n">
        <v>8</v>
      </c>
      <c r="F8475" s="29">
        <f>ROUND(((SUMIFS(Calendar!$F$2:$F$9997,Calendar!$B$2:$B$9997,D8475,Calendar!$C$2:$C$9997,C8475)*INDEX(ForeCalc!$B$37:$Y$274,MATCH(_xlfn.CONCAT(H8475," ",I8475),ForeCalc!$A$37:$A$274,0),MATCH(_xlfn.CONCAT(B8475," ",E8475),ForeCalc!$B$36:$Y$36,0))))*VLOOKUP(A8475,Calendar!$A$2:$H$9997,8,FALSE),0)</f>
        <v/>
      </c>
      <c r="G8475" s="29">
        <f>VLOOKUP(A8475,Calendar!$A$1:$H$9997,6,FALSE)-F8475</f>
        <v/>
      </c>
      <c r="H8475" s="19" t="n">
        <v>3</v>
      </c>
      <c r="I8475" s="57" t="n">
        <v>3</v>
      </c>
    </row>
    <row r="8476">
      <c r="A8476" s="62" t="n">
        <v>46915</v>
      </c>
      <c r="B8476" s="3" t="inlineStr">
        <is>
          <t>Sun</t>
        </is>
      </c>
      <c r="C8476" s="19" t="n">
        <v>6</v>
      </c>
      <c r="D8476" s="19" t="n">
        <v>2028</v>
      </c>
      <c r="E8476" s="57" t="n">
        <v>8</v>
      </c>
      <c r="F8476" s="29">
        <f>ROUND(((SUMIFS(Calendar!$F$2:$F$9997,Calendar!$B$2:$B$9997,D8476,Calendar!$C$2:$C$9997,C8476)*INDEX(ForeCalc!$B$37:$Y$274,MATCH(_xlfn.CONCAT(H8476," ",I8476),ForeCalc!$A$37:$A$274,0),MATCH(_xlfn.CONCAT(B8476," ",E8476),ForeCalc!$B$36:$Y$36,0))))*VLOOKUP(A8476,Calendar!$A$2:$H$9997,8,FALSE),0)</f>
        <v/>
      </c>
      <c r="G8476" s="29">
        <f>VLOOKUP(A8476,Calendar!$A$1:$H$9997,6,FALSE)-F8476</f>
        <v/>
      </c>
      <c r="H8476" s="19" t="n">
        <v>3</v>
      </c>
      <c r="I8476" s="57" t="n">
        <v>3</v>
      </c>
    </row>
    <row r="8477">
      <c r="A8477" s="62" t="n">
        <v>46916</v>
      </c>
      <c r="B8477" s="3" t="inlineStr">
        <is>
          <t>Week</t>
        </is>
      </c>
      <c r="C8477" s="19" t="n">
        <v>6</v>
      </c>
      <c r="D8477" s="19" t="n">
        <v>2028</v>
      </c>
      <c r="E8477" s="57" t="n">
        <v>8</v>
      </c>
      <c r="F8477" s="29">
        <f>ROUND(((SUMIFS(Calendar!$F$2:$F$9997,Calendar!$B$2:$B$9997,D8477,Calendar!$C$2:$C$9997,C8477)*INDEX(ForeCalc!$B$37:$Y$274,MATCH(_xlfn.CONCAT(H8477," ",I8477),ForeCalc!$A$37:$A$274,0),MATCH(_xlfn.CONCAT(B8477," ",E8477),ForeCalc!$B$36:$Y$36,0))))*VLOOKUP(A8477,Calendar!$A$2:$H$9997,8,FALSE),0)</f>
        <v/>
      </c>
      <c r="G8477" s="29">
        <f>VLOOKUP(A8477,Calendar!$A$1:$H$9997,6,FALSE)-F8477</f>
        <v/>
      </c>
      <c r="H8477" s="19" t="n">
        <v>3</v>
      </c>
      <c r="I8477" s="57" t="n">
        <v>3</v>
      </c>
    </row>
    <row r="8478">
      <c r="A8478" s="62" t="n">
        <v>46917</v>
      </c>
      <c r="B8478" s="3" t="inlineStr">
        <is>
          <t>Week</t>
        </is>
      </c>
      <c r="C8478" s="19" t="n">
        <v>6</v>
      </c>
      <c r="D8478" s="19" t="n">
        <v>2028</v>
      </c>
      <c r="E8478" s="57" t="n">
        <v>8</v>
      </c>
      <c r="F8478" s="29">
        <f>ROUND(((SUMIFS(Calendar!$F$2:$F$9997,Calendar!$B$2:$B$9997,D8478,Calendar!$C$2:$C$9997,C8478)*INDEX(ForeCalc!$B$37:$Y$274,MATCH(_xlfn.CONCAT(H8478," ",I8478),ForeCalc!$A$37:$A$274,0),MATCH(_xlfn.CONCAT(B8478," ",E8478),ForeCalc!$B$36:$Y$36,0))))*VLOOKUP(A8478,Calendar!$A$2:$H$9997,8,FALSE),0)</f>
        <v/>
      </c>
      <c r="G8478" s="29">
        <f>VLOOKUP(A8478,Calendar!$A$1:$H$9997,6,FALSE)-F8478</f>
        <v/>
      </c>
      <c r="H8478" s="19" t="n">
        <v>3</v>
      </c>
      <c r="I8478" s="57" t="n">
        <v>3</v>
      </c>
    </row>
    <row r="8479">
      <c r="A8479" s="62" t="n">
        <v>46918</v>
      </c>
      <c r="B8479" s="3" t="inlineStr">
        <is>
          <t>Week</t>
        </is>
      </c>
      <c r="C8479" s="19" t="n">
        <v>6</v>
      </c>
      <c r="D8479" s="19" t="n">
        <v>2028</v>
      </c>
      <c r="E8479" s="57" t="n">
        <v>8</v>
      </c>
      <c r="F8479" s="29">
        <f>ROUND(((SUMIFS(Calendar!$F$2:$F$9997,Calendar!$B$2:$B$9997,D8479,Calendar!$C$2:$C$9997,C8479)*INDEX(ForeCalc!$B$37:$Y$274,MATCH(_xlfn.CONCAT(H8479," ",I8479),ForeCalc!$A$37:$A$274,0),MATCH(_xlfn.CONCAT(B8479," ",E8479),ForeCalc!$B$36:$Y$36,0))))*VLOOKUP(A8479,Calendar!$A$2:$H$9997,8,FALSE),0)</f>
        <v/>
      </c>
      <c r="G8479" s="29">
        <f>VLOOKUP(A8479,Calendar!$A$1:$H$9997,6,FALSE)-F8479</f>
        <v/>
      </c>
      <c r="H8479" s="19" t="n">
        <v>3</v>
      </c>
      <c r="I8479" s="57" t="n">
        <v>3</v>
      </c>
    </row>
    <row r="8480">
      <c r="A8480" s="62" t="n">
        <v>46919</v>
      </c>
      <c r="B8480" s="3" t="inlineStr">
        <is>
          <t>Week</t>
        </is>
      </c>
      <c r="C8480" s="19" t="n">
        <v>6</v>
      </c>
      <c r="D8480" s="19" t="n">
        <v>2028</v>
      </c>
      <c r="E8480" s="57" t="n">
        <v>8</v>
      </c>
      <c r="F8480" s="29">
        <f>ROUND(((SUMIFS(Calendar!$F$2:$F$9997,Calendar!$B$2:$B$9997,D8480,Calendar!$C$2:$C$9997,C8480)*INDEX(ForeCalc!$B$37:$Y$274,MATCH(_xlfn.CONCAT(H8480," ",I8480),ForeCalc!$A$37:$A$274,0),MATCH(_xlfn.CONCAT(B8480," ",E8480),ForeCalc!$B$36:$Y$36,0))))*VLOOKUP(A8480,Calendar!$A$2:$H$9997,8,FALSE),0)</f>
        <v/>
      </c>
      <c r="G8480" s="29">
        <f>VLOOKUP(A8480,Calendar!$A$1:$H$9997,6,FALSE)-F8480</f>
        <v/>
      </c>
      <c r="H8480" s="19" t="n">
        <v>3</v>
      </c>
      <c r="I8480" s="57" t="n">
        <v>3</v>
      </c>
    </row>
    <row r="8481">
      <c r="A8481" s="62" t="n">
        <v>46920</v>
      </c>
      <c r="B8481" s="3" t="inlineStr">
        <is>
          <t>Week</t>
        </is>
      </c>
      <c r="C8481" s="19" t="n">
        <v>6</v>
      </c>
      <c r="D8481" s="19" t="n">
        <v>2028</v>
      </c>
      <c r="E8481" s="57" t="n">
        <v>8</v>
      </c>
      <c r="F8481" s="29">
        <f>ROUND(((SUMIFS(Calendar!$F$2:$F$9997,Calendar!$B$2:$B$9997,D8481,Calendar!$C$2:$C$9997,C8481)*INDEX(ForeCalc!$B$37:$Y$274,MATCH(_xlfn.CONCAT(H8481," ",I8481),ForeCalc!$A$37:$A$274,0),MATCH(_xlfn.CONCAT(B8481," ",E8481),ForeCalc!$B$36:$Y$36,0))))*VLOOKUP(A8481,Calendar!$A$2:$H$9997,8,FALSE),0)</f>
        <v/>
      </c>
      <c r="G8481" s="29">
        <f>VLOOKUP(A8481,Calendar!$A$1:$H$9997,6,FALSE)-F8481</f>
        <v/>
      </c>
      <c r="H8481" s="19" t="n">
        <v>3</v>
      </c>
      <c r="I8481" s="57" t="n">
        <v>3</v>
      </c>
    </row>
    <row r="8482">
      <c r="A8482" s="62" t="n">
        <v>46921</v>
      </c>
      <c r="B8482" s="3" t="inlineStr">
        <is>
          <t>Sat</t>
        </is>
      </c>
      <c r="C8482" s="19" t="n">
        <v>6</v>
      </c>
      <c r="D8482" s="19" t="n">
        <v>2028</v>
      </c>
      <c r="E8482" s="57" t="n">
        <v>8</v>
      </c>
      <c r="F8482" s="29">
        <f>ROUND(((SUMIFS(Calendar!$F$2:$F$9997,Calendar!$B$2:$B$9997,D8482,Calendar!$C$2:$C$9997,C8482)*INDEX(ForeCalc!$B$37:$Y$274,MATCH(_xlfn.CONCAT(H8482," ",I8482),ForeCalc!$A$37:$A$274,0),MATCH(_xlfn.CONCAT(B8482," ",E8482),ForeCalc!$B$36:$Y$36,0))))*VLOOKUP(A8482,Calendar!$A$2:$H$9997,8,FALSE),0)</f>
        <v/>
      </c>
      <c r="G8482" s="29">
        <f>VLOOKUP(A8482,Calendar!$A$1:$H$9997,6,FALSE)-F8482</f>
        <v/>
      </c>
      <c r="H8482" s="19" t="n">
        <v>3</v>
      </c>
      <c r="I8482" s="57" t="n">
        <v>3</v>
      </c>
    </row>
    <row r="8483">
      <c r="A8483" s="62" t="n">
        <v>46922</v>
      </c>
      <c r="B8483" s="3" t="inlineStr">
        <is>
          <t>Sun</t>
        </is>
      </c>
      <c r="C8483" s="19" t="n">
        <v>6</v>
      </c>
      <c r="D8483" s="19" t="n">
        <v>2028</v>
      </c>
      <c r="E8483" s="57" t="n">
        <v>8</v>
      </c>
      <c r="F8483" s="29">
        <f>ROUND(((SUMIFS(Calendar!$F$2:$F$9997,Calendar!$B$2:$B$9997,D8483,Calendar!$C$2:$C$9997,C8483)*INDEX(ForeCalc!$B$37:$Y$274,MATCH(_xlfn.CONCAT(H8483," ",I8483),ForeCalc!$A$37:$A$274,0),MATCH(_xlfn.CONCAT(B8483," ",E8483),ForeCalc!$B$36:$Y$36,0))))*VLOOKUP(A8483,Calendar!$A$2:$H$9997,8,FALSE),0)</f>
        <v/>
      </c>
      <c r="G8483" s="29">
        <f>VLOOKUP(A8483,Calendar!$A$1:$H$9997,6,FALSE)-F8483</f>
        <v/>
      </c>
      <c r="H8483" s="19" t="n">
        <v>3</v>
      </c>
      <c r="I8483" s="57" t="n">
        <v>3</v>
      </c>
    </row>
    <row r="8484">
      <c r="A8484" s="62" t="n">
        <v>46923</v>
      </c>
      <c r="B8484" s="3" t="inlineStr">
        <is>
          <t>Week</t>
        </is>
      </c>
      <c r="C8484" s="19" t="n">
        <v>6</v>
      </c>
      <c r="D8484" s="19" t="n">
        <v>2028</v>
      </c>
      <c r="E8484" s="57" t="n">
        <v>8</v>
      </c>
      <c r="F8484" s="29">
        <f>ROUND(((SUMIFS(Calendar!$F$2:$F$9997,Calendar!$B$2:$B$9997,D8484,Calendar!$C$2:$C$9997,C8484)*INDEX(ForeCalc!$B$37:$Y$274,MATCH(_xlfn.CONCAT(H8484," ",I8484),ForeCalc!$A$37:$A$274,0),MATCH(_xlfn.CONCAT(B8484," ",E8484),ForeCalc!$B$36:$Y$36,0))))*VLOOKUP(A8484,Calendar!$A$2:$H$9997,8,FALSE),0)</f>
        <v/>
      </c>
      <c r="G8484" s="29">
        <f>VLOOKUP(A8484,Calendar!$A$1:$H$9997,6,FALSE)-F8484</f>
        <v/>
      </c>
      <c r="H8484" s="19" t="n">
        <v>3</v>
      </c>
      <c r="I8484" s="57" t="n">
        <v>3</v>
      </c>
    </row>
    <row r="8485">
      <c r="A8485" s="62" t="n">
        <v>46924</v>
      </c>
      <c r="B8485" s="3" t="inlineStr">
        <is>
          <t>Week</t>
        </is>
      </c>
      <c r="C8485" s="19" t="n">
        <v>6</v>
      </c>
      <c r="D8485" s="19" t="n">
        <v>2028</v>
      </c>
      <c r="E8485" s="57" t="n">
        <v>8</v>
      </c>
      <c r="F8485" s="29">
        <f>ROUND(((SUMIFS(Calendar!$F$2:$F$9997,Calendar!$B$2:$B$9997,D8485,Calendar!$C$2:$C$9997,C8485)*INDEX(ForeCalc!$B$37:$Y$274,MATCH(_xlfn.CONCAT(H8485," ",I8485),ForeCalc!$A$37:$A$274,0),MATCH(_xlfn.CONCAT(B8485," ",E8485),ForeCalc!$B$36:$Y$36,0))))*VLOOKUP(A8485,Calendar!$A$2:$H$9997,8,FALSE),0)</f>
        <v/>
      </c>
      <c r="G8485" s="29">
        <f>VLOOKUP(A8485,Calendar!$A$1:$H$9997,6,FALSE)-F8485</f>
        <v/>
      </c>
      <c r="H8485" s="19" t="n">
        <v>3</v>
      </c>
      <c r="I8485" s="57" t="n">
        <v>3</v>
      </c>
    </row>
    <row r="8486">
      <c r="A8486" s="62" t="n">
        <v>46925</v>
      </c>
      <c r="B8486" s="3" t="inlineStr">
        <is>
          <t>Week</t>
        </is>
      </c>
      <c r="C8486" s="19" t="n">
        <v>6</v>
      </c>
      <c r="D8486" s="19" t="n">
        <v>2028</v>
      </c>
      <c r="E8486" s="57" t="n">
        <v>8</v>
      </c>
      <c r="F8486" s="29">
        <f>ROUND(((SUMIFS(Calendar!$F$2:$F$9997,Calendar!$B$2:$B$9997,D8486,Calendar!$C$2:$C$9997,C8486)*INDEX(ForeCalc!$B$37:$Y$274,MATCH(_xlfn.CONCAT(H8486," ",I8486),ForeCalc!$A$37:$A$274,0),MATCH(_xlfn.CONCAT(B8486," ",E8486),ForeCalc!$B$36:$Y$36,0))))*VLOOKUP(A8486,Calendar!$A$2:$H$9997,8,FALSE),0)</f>
        <v/>
      </c>
      <c r="G8486" s="29">
        <f>VLOOKUP(A8486,Calendar!$A$1:$H$9997,6,FALSE)-F8486</f>
        <v/>
      </c>
      <c r="H8486" s="19" t="n">
        <v>3</v>
      </c>
      <c r="I8486" s="57" t="n">
        <v>3</v>
      </c>
    </row>
    <row r="8487">
      <c r="A8487" s="62" t="n">
        <v>46926</v>
      </c>
      <c r="B8487" s="3" t="inlineStr">
        <is>
          <t>Week</t>
        </is>
      </c>
      <c r="C8487" s="19" t="n">
        <v>6</v>
      </c>
      <c r="D8487" s="19" t="n">
        <v>2028</v>
      </c>
      <c r="E8487" s="57" t="n">
        <v>8</v>
      </c>
      <c r="F8487" s="29">
        <f>ROUND(((SUMIFS(Calendar!$F$2:$F$9997,Calendar!$B$2:$B$9997,D8487,Calendar!$C$2:$C$9997,C8487)*INDEX(ForeCalc!$B$37:$Y$274,MATCH(_xlfn.CONCAT(H8487," ",I8487),ForeCalc!$A$37:$A$274,0),MATCH(_xlfn.CONCAT(B8487," ",E8487),ForeCalc!$B$36:$Y$36,0))))*VLOOKUP(A8487,Calendar!$A$2:$H$9997,8,FALSE),0)</f>
        <v/>
      </c>
      <c r="G8487" s="29">
        <f>VLOOKUP(A8487,Calendar!$A$1:$H$9997,6,FALSE)-F8487</f>
        <v/>
      </c>
      <c r="H8487" s="19" t="n">
        <v>3</v>
      </c>
      <c r="I8487" s="57" t="n">
        <v>3</v>
      </c>
    </row>
    <row r="8488">
      <c r="A8488" s="62" t="n">
        <v>46927</v>
      </c>
      <c r="B8488" s="3" t="inlineStr">
        <is>
          <t>Week</t>
        </is>
      </c>
      <c r="C8488" s="19" t="n">
        <v>6</v>
      </c>
      <c r="D8488" s="19" t="n">
        <v>2028</v>
      </c>
      <c r="E8488" s="57" t="n">
        <v>8</v>
      </c>
      <c r="F8488" s="29">
        <f>ROUND(((SUMIFS(Calendar!$F$2:$F$9997,Calendar!$B$2:$B$9997,D8488,Calendar!$C$2:$C$9997,C8488)*INDEX(ForeCalc!$B$37:$Y$274,MATCH(_xlfn.CONCAT(H8488," ",I8488),ForeCalc!$A$37:$A$274,0),MATCH(_xlfn.CONCAT(B8488," ",E8488),ForeCalc!$B$36:$Y$36,0))))*VLOOKUP(A8488,Calendar!$A$2:$H$9997,8,FALSE),0)</f>
        <v/>
      </c>
      <c r="G8488" s="29">
        <f>VLOOKUP(A8488,Calendar!$A$1:$H$9997,6,FALSE)-F8488</f>
        <v/>
      </c>
      <c r="H8488" s="19" t="n">
        <v>3</v>
      </c>
      <c r="I8488" s="57" t="n">
        <v>3</v>
      </c>
    </row>
    <row r="8489">
      <c r="A8489" s="62" t="n">
        <v>46928</v>
      </c>
      <c r="B8489" s="3" t="inlineStr">
        <is>
          <t>Sat</t>
        </is>
      </c>
      <c r="C8489" s="19" t="n">
        <v>6</v>
      </c>
      <c r="D8489" s="19" t="n">
        <v>2028</v>
      </c>
      <c r="E8489" s="57" t="n">
        <v>8</v>
      </c>
      <c r="F8489" s="29">
        <f>ROUND(((SUMIFS(Calendar!$F$2:$F$9997,Calendar!$B$2:$B$9997,D8489,Calendar!$C$2:$C$9997,C8489)*INDEX(ForeCalc!$B$37:$Y$274,MATCH(_xlfn.CONCAT(H8489," ",I8489),ForeCalc!$A$37:$A$274,0),MATCH(_xlfn.CONCAT(B8489," ",E8489),ForeCalc!$B$36:$Y$36,0))))*VLOOKUP(A8489,Calendar!$A$2:$H$9997,8,FALSE),0)</f>
        <v/>
      </c>
      <c r="G8489" s="29">
        <f>VLOOKUP(A8489,Calendar!$A$1:$H$9997,6,FALSE)-F8489</f>
        <v/>
      </c>
      <c r="H8489" s="19" t="n">
        <v>3</v>
      </c>
      <c r="I8489" s="57" t="n">
        <v>3</v>
      </c>
    </row>
    <row r="8490">
      <c r="A8490" s="62" t="n">
        <v>46929</v>
      </c>
      <c r="B8490" s="3" t="inlineStr">
        <is>
          <t>Sun</t>
        </is>
      </c>
      <c r="C8490" s="19" t="n">
        <v>6</v>
      </c>
      <c r="D8490" s="19" t="n">
        <v>2028</v>
      </c>
      <c r="E8490" s="57" t="n">
        <v>8</v>
      </c>
      <c r="F8490" s="29">
        <f>ROUND(((SUMIFS(Calendar!$F$2:$F$9997,Calendar!$B$2:$B$9997,D8490,Calendar!$C$2:$C$9997,C8490)*INDEX(ForeCalc!$B$37:$Y$274,MATCH(_xlfn.CONCAT(H8490," ",I8490),ForeCalc!$A$37:$A$274,0),MATCH(_xlfn.CONCAT(B8490," ",E8490),ForeCalc!$B$36:$Y$36,0))))*VLOOKUP(A8490,Calendar!$A$2:$H$9997,8,FALSE),0)</f>
        <v/>
      </c>
      <c r="G8490" s="29">
        <f>VLOOKUP(A8490,Calendar!$A$1:$H$9997,6,FALSE)-F8490</f>
        <v/>
      </c>
      <c r="H8490" s="19" t="n">
        <v>3</v>
      </c>
      <c r="I8490" s="57" t="n">
        <v>3</v>
      </c>
    </row>
    <row r="8491">
      <c r="A8491" s="62" t="n">
        <v>46930</v>
      </c>
      <c r="B8491" s="3" t="inlineStr">
        <is>
          <t>Week</t>
        </is>
      </c>
      <c r="C8491" s="19" t="n">
        <v>6</v>
      </c>
      <c r="D8491" s="19" t="n">
        <v>2028</v>
      </c>
      <c r="E8491" s="57" t="n">
        <v>8</v>
      </c>
      <c r="F8491" s="29">
        <f>ROUND(((SUMIFS(Calendar!$F$2:$F$9997,Calendar!$B$2:$B$9997,D8491,Calendar!$C$2:$C$9997,C8491)*INDEX(ForeCalc!$B$37:$Y$274,MATCH(_xlfn.CONCAT(H8491," ",I8491),ForeCalc!$A$37:$A$274,0),MATCH(_xlfn.CONCAT(B8491," ",E8491),ForeCalc!$B$36:$Y$36,0))))*VLOOKUP(A8491,Calendar!$A$2:$H$9997,8,FALSE),0)</f>
        <v/>
      </c>
      <c r="G8491" s="29">
        <f>VLOOKUP(A8491,Calendar!$A$1:$H$9997,6,FALSE)-F8491</f>
        <v/>
      </c>
      <c r="H8491" s="19" t="n">
        <v>3</v>
      </c>
      <c r="I8491" s="57" t="n">
        <v>3</v>
      </c>
    </row>
    <row r="8492">
      <c r="A8492" s="62" t="n">
        <v>46931</v>
      </c>
      <c r="B8492" s="3" t="inlineStr">
        <is>
          <t>Week</t>
        </is>
      </c>
      <c r="C8492" s="19" t="n">
        <v>6</v>
      </c>
      <c r="D8492" s="19" t="n">
        <v>2028</v>
      </c>
      <c r="E8492" s="57" t="n">
        <v>8</v>
      </c>
      <c r="F8492" s="29">
        <f>ROUND(((SUMIFS(Calendar!$F$2:$F$9997,Calendar!$B$2:$B$9997,D8492,Calendar!$C$2:$C$9997,C8492)*INDEX(ForeCalc!$B$37:$Y$274,MATCH(_xlfn.CONCAT(H8492," ",I8492),ForeCalc!$A$37:$A$274,0),MATCH(_xlfn.CONCAT(B8492," ",E8492),ForeCalc!$B$36:$Y$36,0))))*VLOOKUP(A8492,Calendar!$A$2:$H$9997,8,FALSE),0)</f>
        <v/>
      </c>
      <c r="G8492" s="29">
        <f>VLOOKUP(A8492,Calendar!$A$1:$H$9997,6,FALSE)-F8492</f>
        <v/>
      </c>
      <c r="H8492" s="19" t="n">
        <v>3</v>
      </c>
      <c r="I8492" s="57" t="n">
        <v>3</v>
      </c>
    </row>
    <row r="8493">
      <c r="A8493" s="62" t="n">
        <v>46932</v>
      </c>
      <c r="B8493" s="3" t="inlineStr">
        <is>
          <t>Week</t>
        </is>
      </c>
      <c r="C8493" s="19" t="n">
        <v>6</v>
      </c>
      <c r="D8493" s="19" t="n">
        <v>2028</v>
      </c>
      <c r="E8493" s="57" t="n">
        <v>8</v>
      </c>
      <c r="F8493" s="29">
        <f>ROUND(((SUMIFS(Calendar!$F$2:$F$9997,Calendar!$B$2:$B$9997,D8493,Calendar!$C$2:$C$9997,C8493)*INDEX(ForeCalc!$B$37:$Y$274,MATCH(_xlfn.CONCAT(H8493," ",I8493),ForeCalc!$A$37:$A$274,0),MATCH(_xlfn.CONCAT(B8493," ",E8493),ForeCalc!$B$36:$Y$36,0))))*VLOOKUP(A8493,Calendar!$A$2:$H$9997,8,FALSE),0)</f>
        <v/>
      </c>
      <c r="G8493" s="29">
        <f>VLOOKUP(A8493,Calendar!$A$1:$H$9997,6,FALSE)-F8493</f>
        <v/>
      </c>
      <c r="H8493" s="19" t="n">
        <v>3</v>
      </c>
      <c r="I8493" s="57" t="n">
        <v>3</v>
      </c>
    </row>
    <row r="8494">
      <c r="A8494" s="62" t="n">
        <v>46933</v>
      </c>
      <c r="B8494" s="3" t="inlineStr">
        <is>
          <t>Week</t>
        </is>
      </c>
      <c r="C8494" s="19" t="n">
        <v>6</v>
      </c>
      <c r="D8494" s="19" t="n">
        <v>2028</v>
      </c>
      <c r="E8494" s="57" t="n">
        <v>8</v>
      </c>
      <c r="F8494" s="29">
        <f>ROUND(((SUMIFS(Calendar!$F$2:$F$9997,Calendar!$B$2:$B$9997,D8494,Calendar!$C$2:$C$9997,C8494)*INDEX(ForeCalc!$B$37:$Y$274,MATCH(_xlfn.CONCAT(H8494," ",I8494),ForeCalc!$A$37:$A$274,0),MATCH(_xlfn.CONCAT(B8494," ",E8494),ForeCalc!$B$36:$Y$36,0))))*VLOOKUP(A8494,Calendar!$A$2:$H$9997,8,FALSE),0)</f>
        <v/>
      </c>
      <c r="G8494" s="29">
        <f>VLOOKUP(A8494,Calendar!$A$1:$H$9997,6,FALSE)-F8494</f>
        <v/>
      </c>
      <c r="H8494" s="19" t="n">
        <v>3</v>
      </c>
      <c r="I8494" s="57" t="n">
        <v>3</v>
      </c>
    </row>
    <row r="8495">
      <c r="A8495" s="62" t="n">
        <v>46934</v>
      </c>
      <c r="B8495" s="3" t="inlineStr">
        <is>
          <t>Week</t>
        </is>
      </c>
      <c r="C8495" s="19" t="n">
        <v>6</v>
      </c>
      <c r="D8495" s="19" t="n">
        <v>2028</v>
      </c>
      <c r="E8495" s="57" t="n">
        <v>8</v>
      </c>
      <c r="F8495" s="29">
        <f>ROUND(((SUMIFS(Calendar!$F$2:$F$9997,Calendar!$B$2:$B$9997,D8495,Calendar!$C$2:$C$9997,C8495)*INDEX(ForeCalc!$B$37:$Y$274,MATCH(_xlfn.CONCAT(H8495," ",I8495),ForeCalc!$A$37:$A$274,0),MATCH(_xlfn.CONCAT(B8495," ",E8495),ForeCalc!$B$36:$Y$36,0))))*VLOOKUP(A8495,Calendar!$A$2:$H$9997,8,FALSE),0)</f>
        <v/>
      </c>
      <c r="G8495" s="29">
        <f>VLOOKUP(A8495,Calendar!$A$1:$H$9997,6,FALSE)-F8495</f>
        <v/>
      </c>
      <c r="H8495" s="19" t="n">
        <v>3</v>
      </c>
      <c r="I8495" s="57" t="n">
        <v>3</v>
      </c>
    </row>
    <row r="8496">
      <c r="A8496" s="62" t="n">
        <v>46935</v>
      </c>
      <c r="B8496" s="3" t="inlineStr">
        <is>
          <t>Sat</t>
        </is>
      </c>
      <c r="C8496" s="19" t="n">
        <v>7</v>
      </c>
      <c r="D8496" s="19" t="n">
        <v>2028</v>
      </c>
      <c r="E8496" s="57" t="n">
        <v>8</v>
      </c>
      <c r="F8496" s="29">
        <f>ROUND(((SUMIFS(Calendar!$F$2:$F$9997,Calendar!$B$2:$B$9997,D8496,Calendar!$C$2:$C$9997,C8496)*INDEX(ForeCalc!$B$37:$Y$274,MATCH(_xlfn.CONCAT(H8496," ",I8496),ForeCalc!$A$37:$A$274,0),MATCH(_xlfn.CONCAT(B8496," ",E8496),ForeCalc!$B$36:$Y$36,0))))*VLOOKUP(A8496,Calendar!$A$2:$H$9997,8,FALSE),0)</f>
        <v/>
      </c>
      <c r="G8496" s="29">
        <f>VLOOKUP(A8496,Calendar!$A$1:$H$9997,6,FALSE)-F8496</f>
        <v/>
      </c>
      <c r="H8496" s="19" t="n">
        <v>3</v>
      </c>
      <c r="I8496" s="57" t="n">
        <v>4</v>
      </c>
    </row>
    <row r="8497">
      <c r="A8497" s="62" t="n">
        <v>46936</v>
      </c>
      <c r="B8497" s="3" t="inlineStr">
        <is>
          <t>Sun</t>
        </is>
      </c>
      <c r="C8497" s="19" t="n">
        <v>7</v>
      </c>
      <c r="D8497" s="19" t="n">
        <v>2028</v>
      </c>
      <c r="E8497" s="57" t="n">
        <v>8</v>
      </c>
      <c r="F8497" s="29">
        <f>ROUND(((SUMIFS(Calendar!$F$2:$F$9997,Calendar!$B$2:$B$9997,D8497,Calendar!$C$2:$C$9997,C8497)*INDEX(ForeCalc!$B$37:$Y$274,MATCH(_xlfn.CONCAT(H8497," ",I8497),ForeCalc!$A$37:$A$274,0),MATCH(_xlfn.CONCAT(B8497," ",E8497),ForeCalc!$B$36:$Y$36,0))))*VLOOKUP(A8497,Calendar!$A$2:$H$9997,8,FALSE),0)</f>
        <v/>
      </c>
      <c r="G8497" s="29">
        <f>VLOOKUP(A8497,Calendar!$A$1:$H$9997,6,FALSE)-F8497</f>
        <v/>
      </c>
      <c r="H8497" s="19" t="n">
        <v>3</v>
      </c>
      <c r="I8497" s="57" t="n">
        <v>4</v>
      </c>
    </row>
    <row r="8498">
      <c r="A8498" s="62" t="n">
        <v>46937</v>
      </c>
      <c r="B8498" s="3" t="inlineStr">
        <is>
          <t>Week</t>
        </is>
      </c>
      <c r="C8498" s="19" t="n">
        <v>7</v>
      </c>
      <c r="D8498" s="19" t="n">
        <v>2028</v>
      </c>
      <c r="E8498" s="57" t="n">
        <v>8</v>
      </c>
      <c r="F8498" s="29">
        <f>ROUND(((SUMIFS(Calendar!$F$2:$F$9997,Calendar!$B$2:$B$9997,D8498,Calendar!$C$2:$C$9997,C8498)*INDEX(ForeCalc!$B$37:$Y$274,MATCH(_xlfn.CONCAT(H8498," ",I8498),ForeCalc!$A$37:$A$274,0),MATCH(_xlfn.CONCAT(B8498," ",E8498),ForeCalc!$B$36:$Y$36,0))))*VLOOKUP(A8498,Calendar!$A$2:$H$9997,8,FALSE),0)</f>
        <v/>
      </c>
      <c r="G8498" s="29">
        <f>VLOOKUP(A8498,Calendar!$A$1:$H$9997,6,FALSE)-F8498</f>
        <v/>
      </c>
      <c r="H8498" s="19" t="n">
        <v>3</v>
      </c>
      <c r="I8498" s="57" t="n">
        <v>4</v>
      </c>
    </row>
    <row r="8499">
      <c r="A8499" s="62" t="n">
        <v>46938</v>
      </c>
      <c r="B8499" s="3" t="inlineStr">
        <is>
          <t>Week</t>
        </is>
      </c>
      <c r="C8499" s="19" t="n">
        <v>7</v>
      </c>
      <c r="D8499" s="19" t="n">
        <v>2028</v>
      </c>
      <c r="E8499" s="57" t="n">
        <v>8</v>
      </c>
      <c r="F8499" s="29">
        <f>ROUND(((SUMIFS(Calendar!$F$2:$F$9997,Calendar!$B$2:$B$9997,D8499,Calendar!$C$2:$C$9997,C8499)*INDEX(ForeCalc!$B$37:$Y$274,MATCH(_xlfn.CONCAT(H8499," ",I8499),ForeCalc!$A$37:$A$274,0),MATCH(_xlfn.CONCAT(B8499," ",E8499),ForeCalc!$B$36:$Y$36,0))))*VLOOKUP(A8499,Calendar!$A$2:$H$9997,8,FALSE),0)</f>
        <v/>
      </c>
      <c r="G8499" s="29">
        <f>VLOOKUP(A8499,Calendar!$A$1:$H$9997,6,FALSE)-F8499</f>
        <v/>
      </c>
      <c r="H8499" s="19" t="n">
        <v>3</v>
      </c>
      <c r="I8499" s="57" t="n">
        <v>4</v>
      </c>
    </row>
    <row r="8500">
      <c r="A8500" s="62" t="n">
        <v>46939</v>
      </c>
      <c r="B8500" s="3" t="inlineStr">
        <is>
          <t>Week</t>
        </is>
      </c>
      <c r="C8500" s="19" t="n">
        <v>7</v>
      </c>
      <c r="D8500" s="19" t="n">
        <v>2028</v>
      </c>
      <c r="E8500" s="57" t="n">
        <v>8</v>
      </c>
      <c r="F8500" s="29">
        <f>ROUND(((SUMIFS(Calendar!$F$2:$F$9997,Calendar!$B$2:$B$9997,D8500,Calendar!$C$2:$C$9997,C8500)*INDEX(ForeCalc!$B$37:$Y$274,MATCH(_xlfn.CONCAT(H8500," ",I8500),ForeCalc!$A$37:$A$274,0),MATCH(_xlfn.CONCAT(B8500," ",E8500),ForeCalc!$B$36:$Y$36,0))))*VLOOKUP(A8500,Calendar!$A$2:$H$9997,8,FALSE),0)</f>
        <v/>
      </c>
      <c r="G8500" s="29">
        <f>VLOOKUP(A8500,Calendar!$A$1:$H$9997,6,FALSE)-F8500</f>
        <v/>
      </c>
      <c r="H8500" s="19" t="n">
        <v>3</v>
      </c>
      <c r="I8500" s="57" t="n">
        <v>4</v>
      </c>
    </row>
    <row r="8501">
      <c r="A8501" s="62" t="n">
        <v>46940</v>
      </c>
      <c r="B8501" s="3" t="inlineStr">
        <is>
          <t>Week</t>
        </is>
      </c>
      <c r="C8501" s="19" t="n">
        <v>7</v>
      </c>
      <c r="D8501" s="19" t="n">
        <v>2028</v>
      </c>
      <c r="E8501" s="57" t="n">
        <v>8</v>
      </c>
      <c r="F8501" s="29">
        <f>ROUND(((SUMIFS(Calendar!$F$2:$F$9997,Calendar!$B$2:$B$9997,D8501,Calendar!$C$2:$C$9997,C8501)*INDEX(ForeCalc!$B$37:$Y$274,MATCH(_xlfn.CONCAT(H8501," ",I8501),ForeCalc!$A$37:$A$274,0),MATCH(_xlfn.CONCAT(B8501," ",E8501),ForeCalc!$B$36:$Y$36,0))))*VLOOKUP(A8501,Calendar!$A$2:$H$9997,8,FALSE),0)</f>
        <v/>
      </c>
      <c r="G8501" s="29">
        <f>VLOOKUP(A8501,Calendar!$A$1:$H$9997,6,FALSE)-F8501</f>
        <v/>
      </c>
      <c r="H8501" s="19" t="n">
        <v>3</v>
      </c>
      <c r="I8501" s="57" t="n">
        <v>4</v>
      </c>
    </row>
    <row r="8502">
      <c r="A8502" s="62" t="n">
        <v>46941</v>
      </c>
      <c r="B8502" s="3" t="inlineStr">
        <is>
          <t>Week</t>
        </is>
      </c>
      <c r="C8502" s="19" t="n">
        <v>7</v>
      </c>
      <c r="D8502" s="19" t="n">
        <v>2028</v>
      </c>
      <c r="E8502" s="57" t="n">
        <v>8</v>
      </c>
      <c r="F8502" s="29">
        <f>ROUND(((SUMIFS(Calendar!$F$2:$F$9997,Calendar!$B$2:$B$9997,D8502,Calendar!$C$2:$C$9997,C8502)*INDEX(ForeCalc!$B$37:$Y$274,MATCH(_xlfn.CONCAT(H8502," ",I8502),ForeCalc!$A$37:$A$274,0),MATCH(_xlfn.CONCAT(B8502," ",E8502),ForeCalc!$B$36:$Y$36,0))))*VLOOKUP(A8502,Calendar!$A$2:$H$9997,8,FALSE),0)</f>
        <v/>
      </c>
      <c r="G8502" s="29">
        <f>VLOOKUP(A8502,Calendar!$A$1:$H$9997,6,FALSE)-F8502</f>
        <v/>
      </c>
      <c r="H8502" s="19" t="n">
        <v>3</v>
      </c>
      <c r="I8502" s="57" t="n">
        <v>4</v>
      </c>
    </row>
    <row r="8503">
      <c r="A8503" s="62" t="n">
        <v>46942</v>
      </c>
      <c r="B8503" s="3" t="inlineStr">
        <is>
          <t>Sat</t>
        </is>
      </c>
      <c r="C8503" s="19" t="n">
        <v>7</v>
      </c>
      <c r="D8503" s="19" t="n">
        <v>2028</v>
      </c>
      <c r="E8503" s="57" t="n">
        <v>8</v>
      </c>
      <c r="F8503" s="29">
        <f>ROUND(((SUMIFS(Calendar!$F$2:$F$9997,Calendar!$B$2:$B$9997,D8503,Calendar!$C$2:$C$9997,C8503)*INDEX(ForeCalc!$B$37:$Y$274,MATCH(_xlfn.CONCAT(H8503," ",I8503),ForeCalc!$A$37:$A$274,0),MATCH(_xlfn.CONCAT(B8503," ",E8503),ForeCalc!$B$36:$Y$36,0))))*VLOOKUP(A8503,Calendar!$A$2:$H$9997,8,FALSE),0)</f>
        <v/>
      </c>
      <c r="G8503" s="29">
        <f>VLOOKUP(A8503,Calendar!$A$1:$H$9997,6,FALSE)-F8503</f>
        <v/>
      </c>
      <c r="H8503" s="19" t="n">
        <v>3</v>
      </c>
      <c r="I8503" s="57" t="n">
        <v>4</v>
      </c>
    </row>
    <row r="8504">
      <c r="A8504" s="62" t="n">
        <v>46943</v>
      </c>
      <c r="B8504" s="3" t="inlineStr">
        <is>
          <t>Sun</t>
        </is>
      </c>
      <c r="C8504" s="19" t="n">
        <v>7</v>
      </c>
      <c r="D8504" s="19" t="n">
        <v>2028</v>
      </c>
      <c r="E8504" s="57" t="n">
        <v>8</v>
      </c>
      <c r="F8504" s="29">
        <f>ROUND(((SUMIFS(Calendar!$F$2:$F$9997,Calendar!$B$2:$B$9997,D8504,Calendar!$C$2:$C$9997,C8504)*INDEX(ForeCalc!$B$37:$Y$274,MATCH(_xlfn.CONCAT(H8504," ",I8504),ForeCalc!$A$37:$A$274,0),MATCH(_xlfn.CONCAT(B8504," ",E8504),ForeCalc!$B$36:$Y$36,0))))*VLOOKUP(A8504,Calendar!$A$2:$H$9997,8,FALSE),0)</f>
        <v/>
      </c>
      <c r="G8504" s="29">
        <f>VLOOKUP(A8504,Calendar!$A$1:$H$9997,6,FALSE)-F8504</f>
        <v/>
      </c>
      <c r="H8504" s="19" t="n">
        <v>3</v>
      </c>
      <c r="I8504" s="57" t="n">
        <v>4</v>
      </c>
    </row>
    <row r="8505">
      <c r="A8505" s="62" t="n">
        <v>46944</v>
      </c>
      <c r="B8505" s="3" t="inlineStr">
        <is>
          <t>Week</t>
        </is>
      </c>
      <c r="C8505" s="19" t="n">
        <v>7</v>
      </c>
      <c r="D8505" s="19" t="n">
        <v>2028</v>
      </c>
      <c r="E8505" s="57" t="n">
        <v>8</v>
      </c>
      <c r="F8505" s="29">
        <f>ROUND(((SUMIFS(Calendar!$F$2:$F$9997,Calendar!$B$2:$B$9997,D8505,Calendar!$C$2:$C$9997,C8505)*INDEX(ForeCalc!$B$37:$Y$274,MATCH(_xlfn.CONCAT(H8505," ",I8505),ForeCalc!$A$37:$A$274,0),MATCH(_xlfn.CONCAT(B8505," ",E8505),ForeCalc!$B$36:$Y$36,0))))*VLOOKUP(A8505,Calendar!$A$2:$H$9997,8,FALSE),0)</f>
        <v/>
      </c>
      <c r="G8505" s="29">
        <f>VLOOKUP(A8505,Calendar!$A$1:$H$9997,6,FALSE)-F8505</f>
        <v/>
      </c>
      <c r="H8505" s="19" t="n">
        <v>3</v>
      </c>
      <c r="I8505" s="57" t="n">
        <v>4</v>
      </c>
    </row>
    <row r="8506">
      <c r="A8506" s="62" t="n">
        <v>46945</v>
      </c>
      <c r="B8506" s="3" t="inlineStr">
        <is>
          <t>Week</t>
        </is>
      </c>
      <c r="C8506" s="19" t="n">
        <v>7</v>
      </c>
      <c r="D8506" s="19" t="n">
        <v>2028</v>
      </c>
      <c r="E8506" s="57" t="n">
        <v>8</v>
      </c>
      <c r="F8506" s="29">
        <f>ROUND(((SUMIFS(Calendar!$F$2:$F$9997,Calendar!$B$2:$B$9997,D8506,Calendar!$C$2:$C$9997,C8506)*INDEX(ForeCalc!$B$37:$Y$274,MATCH(_xlfn.CONCAT(H8506," ",I8506),ForeCalc!$A$37:$A$274,0),MATCH(_xlfn.CONCAT(B8506," ",E8506),ForeCalc!$B$36:$Y$36,0))))*VLOOKUP(A8506,Calendar!$A$2:$H$9997,8,FALSE),0)</f>
        <v/>
      </c>
      <c r="G8506" s="29">
        <f>VLOOKUP(A8506,Calendar!$A$1:$H$9997,6,FALSE)-F8506</f>
        <v/>
      </c>
      <c r="H8506" s="19" t="n">
        <v>3</v>
      </c>
      <c r="I8506" s="57" t="n">
        <v>4</v>
      </c>
    </row>
    <row r="8507">
      <c r="A8507" s="62" t="n">
        <v>46946</v>
      </c>
      <c r="B8507" s="3" t="inlineStr">
        <is>
          <t>Week</t>
        </is>
      </c>
      <c r="C8507" s="19" t="n">
        <v>7</v>
      </c>
      <c r="D8507" s="19" t="n">
        <v>2028</v>
      </c>
      <c r="E8507" s="57" t="n">
        <v>8</v>
      </c>
      <c r="F8507" s="29">
        <f>ROUND(((SUMIFS(Calendar!$F$2:$F$9997,Calendar!$B$2:$B$9997,D8507,Calendar!$C$2:$C$9997,C8507)*INDEX(ForeCalc!$B$37:$Y$274,MATCH(_xlfn.CONCAT(H8507," ",I8507),ForeCalc!$A$37:$A$274,0),MATCH(_xlfn.CONCAT(B8507," ",E8507),ForeCalc!$B$36:$Y$36,0))))*VLOOKUP(A8507,Calendar!$A$2:$H$9997,8,FALSE),0)</f>
        <v/>
      </c>
      <c r="G8507" s="29">
        <f>VLOOKUP(A8507,Calendar!$A$1:$H$9997,6,FALSE)-F8507</f>
        <v/>
      </c>
      <c r="H8507" s="19" t="n">
        <v>3</v>
      </c>
      <c r="I8507" s="57" t="n">
        <v>4</v>
      </c>
    </row>
    <row r="8508">
      <c r="A8508" s="62" t="n">
        <v>46947</v>
      </c>
      <c r="B8508" s="3" t="inlineStr">
        <is>
          <t>Week</t>
        </is>
      </c>
      <c r="C8508" s="19" t="n">
        <v>7</v>
      </c>
      <c r="D8508" s="19" t="n">
        <v>2028</v>
      </c>
      <c r="E8508" s="57" t="n">
        <v>8</v>
      </c>
      <c r="F8508" s="29">
        <f>ROUND(((SUMIFS(Calendar!$F$2:$F$9997,Calendar!$B$2:$B$9997,D8508,Calendar!$C$2:$C$9997,C8508)*INDEX(ForeCalc!$B$37:$Y$274,MATCH(_xlfn.CONCAT(H8508," ",I8508),ForeCalc!$A$37:$A$274,0),MATCH(_xlfn.CONCAT(B8508," ",E8508),ForeCalc!$B$36:$Y$36,0))))*VLOOKUP(A8508,Calendar!$A$2:$H$9997,8,FALSE),0)</f>
        <v/>
      </c>
      <c r="G8508" s="29">
        <f>VLOOKUP(A8508,Calendar!$A$1:$H$9997,6,FALSE)-F8508</f>
        <v/>
      </c>
      <c r="H8508" s="19" t="n">
        <v>3</v>
      </c>
      <c r="I8508" s="57" t="n">
        <v>4</v>
      </c>
    </row>
    <row r="8509">
      <c r="A8509" s="62" t="n">
        <v>46948</v>
      </c>
      <c r="B8509" s="3" t="inlineStr">
        <is>
          <t>Week</t>
        </is>
      </c>
      <c r="C8509" s="19" t="n">
        <v>7</v>
      </c>
      <c r="D8509" s="19" t="n">
        <v>2028</v>
      </c>
      <c r="E8509" s="57" t="n">
        <v>8</v>
      </c>
      <c r="F8509" s="29">
        <f>ROUND(((SUMIFS(Calendar!$F$2:$F$9997,Calendar!$B$2:$B$9997,D8509,Calendar!$C$2:$C$9997,C8509)*INDEX(ForeCalc!$B$37:$Y$274,MATCH(_xlfn.CONCAT(H8509," ",I8509),ForeCalc!$A$37:$A$274,0),MATCH(_xlfn.CONCAT(B8509," ",E8509),ForeCalc!$B$36:$Y$36,0))))*VLOOKUP(A8509,Calendar!$A$2:$H$9997,8,FALSE),0)</f>
        <v/>
      </c>
      <c r="G8509" s="29">
        <f>VLOOKUP(A8509,Calendar!$A$1:$H$9997,6,FALSE)-F8509</f>
        <v/>
      </c>
      <c r="H8509" s="19" t="n">
        <v>3</v>
      </c>
      <c r="I8509" s="57" t="n">
        <v>4</v>
      </c>
    </row>
    <row r="8510">
      <c r="A8510" s="62" t="n">
        <v>46949</v>
      </c>
      <c r="B8510" s="3" t="inlineStr">
        <is>
          <t>Sat</t>
        </is>
      </c>
      <c r="C8510" s="19" t="n">
        <v>7</v>
      </c>
      <c r="D8510" s="19" t="n">
        <v>2028</v>
      </c>
      <c r="E8510" s="57" t="n">
        <v>8</v>
      </c>
      <c r="F8510" s="29">
        <f>ROUND(((SUMIFS(Calendar!$F$2:$F$9997,Calendar!$B$2:$B$9997,D8510,Calendar!$C$2:$C$9997,C8510)*INDEX(ForeCalc!$B$37:$Y$274,MATCH(_xlfn.CONCAT(H8510," ",I8510),ForeCalc!$A$37:$A$274,0),MATCH(_xlfn.CONCAT(B8510," ",E8510),ForeCalc!$B$36:$Y$36,0))))*VLOOKUP(A8510,Calendar!$A$2:$H$9997,8,FALSE),0)</f>
        <v/>
      </c>
      <c r="G8510" s="29">
        <f>VLOOKUP(A8510,Calendar!$A$1:$H$9997,6,FALSE)-F8510</f>
        <v/>
      </c>
      <c r="H8510" s="19" t="n">
        <v>3</v>
      </c>
      <c r="I8510" s="57" t="n">
        <v>4</v>
      </c>
    </row>
    <row r="8511">
      <c r="A8511" s="62" t="n">
        <v>46950</v>
      </c>
      <c r="B8511" s="3" t="inlineStr">
        <is>
          <t>Sun</t>
        </is>
      </c>
      <c r="C8511" s="19" t="n">
        <v>7</v>
      </c>
      <c r="D8511" s="19" t="n">
        <v>2028</v>
      </c>
      <c r="E8511" s="57" t="n">
        <v>8</v>
      </c>
      <c r="F8511" s="29">
        <f>ROUND(((SUMIFS(Calendar!$F$2:$F$9997,Calendar!$B$2:$B$9997,D8511,Calendar!$C$2:$C$9997,C8511)*INDEX(ForeCalc!$B$37:$Y$274,MATCH(_xlfn.CONCAT(H8511," ",I8511),ForeCalc!$A$37:$A$274,0),MATCH(_xlfn.CONCAT(B8511," ",E8511),ForeCalc!$B$36:$Y$36,0))))*VLOOKUP(A8511,Calendar!$A$2:$H$9997,8,FALSE),0)</f>
        <v/>
      </c>
      <c r="G8511" s="29">
        <f>VLOOKUP(A8511,Calendar!$A$1:$H$9997,6,FALSE)-F8511</f>
        <v/>
      </c>
      <c r="H8511" s="19" t="n">
        <v>3</v>
      </c>
      <c r="I8511" s="57" t="n">
        <v>4</v>
      </c>
    </row>
    <row r="8512">
      <c r="A8512" s="62" t="n">
        <v>46951</v>
      </c>
      <c r="B8512" s="3" t="inlineStr">
        <is>
          <t>Week</t>
        </is>
      </c>
      <c r="C8512" s="19" t="n">
        <v>7</v>
      </c>
      <c r="D8512" s="19" t="n">
        <v>2028</v>
      </c>
      <c r="E8512" s="57" t="n">
        <v>8</v>
      </c>
      <c r="F8512" s="29">
        <f>ROUND(((SUMIFS(Calendar!$F$2:$F$9997,Calendar!$B$2:$B$9997,D8512,Calendar!$C$2:$C$9997,C8512)*INDEX(ForeCalc!$B$37:$Y$274,MATCH(_xlfn.CONCAT(H8512," ",I8512),ForeCalc!$A$37:$A$274,0),MATCH(_xlfn.CONCAT(B8512," ",E8512),ForeCalc!$B$36:$Y$36,0))))*VLOOKUP(A8512,Calendar!$A$2:$H$9997,8,FALSE),0)</f>
        <v/>
      </c>
      <c r="G8512" s="29">
        <f>VLOOKUP(A8512,Calendar!$A$1:$H$9997,6,FALSE)-F8512</f>
        <v/>
      </c>
      <c r="H8512" s="19" t="n">
        <v>3</v>
      </c>
      <c r="I8512" s="57" t="n">
        <v>4</v>
      </c>
    </row>
    <row r="8513">
      <c r="A8513" s="62" t="n">
        <v>46952</v>
      </c>
      <c r="B8513" s="3" t="inlineStr">
        <is>
          <t>Week</t>
        </is>
      </c>
      <c r="C8513" s="19" t="n">
        <v>7</v>
      </c>
      <c r="D8513" s="19" t="n">
        <v>2028</v>
      </c>
      <c r="E8513" s="57" t="n">
        <v>8</v>
      </c>
      <c r="F8513" s="29">
        <f>ROUND(((SUMIFS(Calendar!$F$2:$F$9997,Calendar!$B$2:$B$9997,D8513,Calendar!$C$2:$C$9997,C8513)*INDEX(ForeCalc!$B$37:$Y$274,MATCH(_xlfn.CONCAT(H8513," ",I8513),ForeCalc!$A$37:$A$274,0),MATCH(_xlfn.CONCAT(B8513," ",E8513),ForeCalc!$B$36:$Y$36,0))))*VLOOKUP(A8513,Calendar!$A$2:$H$9997,8,FALSE),0)</f>
        <v/>
      </c>
      <c r="G8513" s="29">
        <f>VLOOKUP(A8513,Calendar!$A$1:$H$9997,6,FALSE)-F8513</f>
        <v/>
      </c>
      <c r="H8513" s="19" t="n">
        <v>3</v>
      </c>
      <c r="I8513" s="57" t="n">
        <v>4</v>
      </c>
    </row>
    <row r="8514">
      <c r="A8514" s="62" t="n">
        <v>46953</v>
      </c>
      <c r="B8514" s="3" t="inlineStr">
        <is>
          <t>Week</t>
        </is>
      </c>
      <c r="C8514" s="19" t="n">
        <v>7</v>
      </c>
      <c r="D8514" s="19" t="n">
        <v>2028</v>
      </c>
      <c r="E8514" s="57" t="n">
        <v>8</v>
      </c>
      <c r="F8514" s="29">
        <f>ROUND(((SUMIFS(Calendar!$F$2:$F$9997,Calendar!$B$2:$B$9997,D8514,Calendar!$C$2:$C$9997,C8514)*INDEX(ForeCalc!$B$37:$Y$274,MATCH(_xlfn.CONCAT(H8514," ",I8514),ForeCalc!$A$37:$A$274,0),MATCH(_xlfn.CONCAT(B8514," ",E8514),ForeCalc!$B$36:$Y$36,0))))*VLOOKUP(A8514,Calendar!$A$2:$H$9997,8,FALSE),0)</f>
        <v/>
      </c>
      <c r="G8514" s="29">
        <f>VLOOKUP(A8514,Calendar!$A$1:$H$9997,6,FALSE)-F8514</f>
        <v/>
      </c>
      <c r="H8514" s="19" t="n">
        <v>3</v>
      </c>
      <c r="I8514" s="57" t="n">
        <v>4</v>
      </c>
    </row>
    <row r="8515">
      <c r="A8515" s="62" t="n">
        <v>46954</v>
      </c>
      <c r="B8515" s="3" t="inlineStr">
        <is>
          <t>Week</t>
        </is>
      </c>
      <c r="C8515" s="19" t="n">
        <v>7</v>
      </c>
      <c r="D8515" s="19" t="n">
        <v>2028</v>
      </c>
      <c r="E8515" s="57" t="n">
        <v>8</v>
      </c>
      <c r="F8515" s="29">
        <f>ROUND(((SUMIFS(Calendar!$F$2:$F$9997,Calendar!$B$2:$B$9997,D8515,Calendar!$C$2:$C$9997,C8515)*INDEX(ForeCalc!$B$37:$Y$274,MATCH(_xlfn.CONCAT(H8515," ",I8515),ForeCalc!$A$37:$A$274,0),MATCH(_xlfn.CONCAT(B8515," ",E8515),ForeCalc!$B$36:$Y$36,0))))*VLOOKUP(A8515,Calendar!$A$2:$H$9997,8,FALSE),0)</f>
        <v/>
      </c>
      <c r="G8515" s="29">
        <f>VLOOKUP(A8515,Calendar!$A$1:$H$9997,6,FALSE)-F8515</f>
        <v/>
      </c>
      <c r="H8515" s="19" t="n">
        <v>3</v>
      </c>
      <c r="I8515" s="57" t="n">
        <v>4</v>
      </c>
    </row>
    <row r="8516">
      <c r="A8516" s="62" t="n">
        <v>46955</v>
      </c>
      <c r="B8516" s="3" t="inlineStr">
        <is>
          <t>Week</t>
        </is>
      </c>
      <c r="C8516" s="19" t="n">
        <v>7</v>
      </c>
      <c r="D8516" s="19" t="n">
        <v>2028</v>
      </c>
      <c r="E8516" s="57" t="n">
        <v>8</v>
      </c>
      <c r="F8516" s="29">
        <f>ROUND(((SUMIFS(Calendar!$F$2:$F$9997,Calendar!$B$2:$B$9997,D8516,Calendar!$C$2:$C$9997,C8516)*INDEX(ForeCalc!$B$37:$Y$274,MATCH(_xlfn.CONCAT(H8516," ",I8516),ForeCalc!$A$37:$A$274,0),MATCH(_xlfn.CONCAT(B8516," ",E8516),ForeCalc!$B$36:$Y$36,0))))*VLOOKUP(A8516,Calendar!$A$2:$H$9997,8,FALSE),0)</f>
        <v/>
      </c>
      <c r="G8516" s="29">
        <f>VLOOKUP(A8516,Calendar!$A$1:$H$9997,6,FALSE)-F8516</f>
        <v/>
      </c>
      <c r="H8516" s="19" t="n">
        <v>3</v>
      </c>
      <c r="I8516" s="57" t="n">
        <v>4</v>
      </c>
    </row>
    <row r="8517">
      <c r="A8517" s="62" t="n">
        <v>46956</v>
      </c>
      <c r="B8517" s="3" t="inlineStr">
        <is>
          <t>Sat</t>
        </is>
      </c>
      <c r="C8517" s="19" t="n">
        <v>7</v>
      </c>
      <c r="D8517" s="19" t="n">
        <v>2028</v>
      </c>
      <c r="E8517" s="57" t="n">
        <v>8</v>
      </c>
      <c r="F8517" s="29">
        <f>ROUND(((SUMIFS(Calendar!$F$2:$F$9997,Calendar!$B$2:$B$9997,D8517,Calendar!$C$2:$C$9997,C8517)*INDEX(ForeCalc!$B$37:$Y$274,MATCH(_xlfn.CONCAT(H8517," ",I8517),ForeCalc!$A$37:$A$274,0),MATCH(_xlfn.CONCAT(B8517," ",E8517),ForeCalc!$B$36:$Y$36,0))))*VLOOKUP(A8517,Calendar!$A$2:$H$9997,8,FALSE),0)</f>
        <v/>
      </c>
      <c r="G8517" s="29">
        <f>VLOOKUP(A8517,Calendar!$A$1:$H$9997,6,FALSE)-F8517</f>
        <v/>
      </c>
      <c r="H8517" s="19" t="n">
        <v>3</v>
      </c>
      <c r="I8517" s="57" t="n">
        <v>4</v>
      </c>
    </row>
    <row r="8518">
      <c r="A8518" s="62" t="n">
        <v>46957</v>
      </c>
      <c r="B8518" s="3" t="inlineStr">
        <is>
          <t>Sun</t>
        </is>
      </c>
      <c r="C8518" s="19" t="n">
        <v>7</v>
      </c>
      <c r="D8518" s="19" t="n">
        <v>2028</v>
      </c>
      <c r="E8518" s="57" t="n">
        <v>8</v>
      </c>
      <c r="F8518" s="29">
        <f>ROUND(((SUMIFS(Calendar!$F$2:$F$9997,Calendar!$B$2:$B$9997,D8518,Calendar!$C$2:$C$9997,C8518)*INDEX(ForeCalc!$B$37:$Y$274,MATCH(_xlfn.CONCAT(H8518," ",I8518),ForeCalc!$A$37:$A$274,0),MATCH(_xlfn.CONCAT(B8518," ",E8518),ForeCalc!$B$36:$Y$36,0))))*VLOOKUP(A8518,Calendar!$A$2:$H$9997,8,FALSE),0)</f>
        <v/>
      </c>
      <c r="G8518" s="29">
        <f>VLOOKUP(A8518,Calendar!$A$1:$H$9997,6,FALSE)-F8518</f>
        <v/>
      </c>
      <c r="H8518" s="19" t="n">
        <v>3</v>
      </c>
      <c r="I8518" s="57" t="n">
        <v>4</v>
      </c>
    </row>
    <row r="8519">
      <c r="A8519" s="62" t="n">
        <v>46958</v>
      </c>
      <c r="B8519" s="3" t="inlineStr">
        <is>
          <t>Week</t>
        </is>
      </c>
      <c r="C8519" s="19" t="n">
        <v>7</v>
      </c>
      <c r="D8519" s="19" t="n">
        <v>2028</v>
      </c>
      <c r="E8519" s="57" t="n">
        <v>8</v>
      </c>
      <c r="F8519" s="29">
        <f>ROUND(((SUMIFS(Calendar!$F$2:$F$9997,Calendar!$B$2:$B$9997,D8519,Calendar!$C$2:$C$9997,C8519)*INDEX(ForeCalc!$B$37:$Y$274,MATCH(_xlfn.CONCAT(H8519," ",I8519),ForeCalc!$A$37:$A$274,0),MATCH(_xlfn.CONCAT(B8519," ",E8519),ForeCalc!$B$36:$Y$36,0))))*VLOOKUP(A8519,Calendar!$A$2:$H$9997,8,FALSE),0)</f>
        <v/>
      </c>
      <c r="G8519" s="29">
        <f>VLOOKUP(A8519,Calendar!$A$1:$H$9997,6,FALSE)-F8519</f>
        <v/>
      </c>
      <c r="H8519" s="19" t="n">
        <v>3</v>
      </c>
      <c r="I8519" s="57" t="n">
        <v>4</v>
      </c>
    </row>
    <row r="8520">
      <c r="A8520" s="62" t="n">
        <v>46959</v>
      </c>
      <c r="B8520" s="3" t="inlineStr">
        <is>
          <t>Week</t>
        </is>
      </c>
      <c r="C8520" s="19" t="n">
        <v>7</v>
      </c>
      <c r="D8520" s="19" t="n">
        <v>2028</v>
      </c>
      <c r="E8520" s="57" t="n">
        <v>8</v>
      </c>
      <c r="F8520" s="29">
        <f>ROUND(((SUMIFS(Calendar!$F$2:$F$9997,Calendar!$B$2:$B$9997,D8520,Calendar!$C$2:$C$9997,C8520)*INDEX(ForeCalc!$B$37:$Y$274,MATCH(_xlfn.CONCAT(H8520," ",I8520),ForeCalc!$A$37:$A$274,0),MATCH(_xlfn.CONCAT(B8520," ",E8520),ForeCalc!$B$36:$Y$36,0))))*VLOOKUP(A8520,Calendar!$A$2:$H$9997,8,FALSE),0)</f>
        <v/>
      </c>
      <c r="G8520" s="29">
        <f>VLOOKUP(A8520,Calendar!$A$1:$H$9997,6,FALSE)-F8520</f>
        <v/>
      </c>
      <c r="H8520" s="19" t="n">
        <v>3</v>
      </c>
      <c r="I8520" s="57" t="n">
        <v>4</v>
      </c>
    </row>
    <row r="8521">
      <c r="A8521" s="62" t="n">
        <v>46960</v>
      </c>
      <c r="B8521" s="3" t="inlineStr">
        <is>
          <t>Week</t>
        </is>
      </c>
      <c r="C8521" s="19" t="n">
        <v>7</v>
      </c>
      <c r="D8521" s="19" t="n">
        <v>2028</v>
      </c>
      <c r="E8521" s="57" t="n">
        <v>8</v>
      </c>
      <c r="F8521" s="29">
        <f>ROUND(((SUMIFS(Calendar!$F$2:$F$9997,Calendar!$B$2:$B$9997,D8521,Calendar!$C$2:$C$9997,C8521)*INDEX(ForeCalc!$B$37:$Y$274,MATCH(_xlfn.CONCAT(H8521," ",I8521),ForeCalc!$A$37:$A$274,0),MATCH(_xlfn.CONCAT(B8521," ",E8521),ForeCalc!$B$36:$Y$36,0))))*VLOOKUP(A8521,Calendar!$A$2:$H$9997,8,FALSE),0)</f>
        <v/>
      </c>
      <c r="G8521" s="29">
        <f>VLOOKUP(A8521,Calendar!$A$1:$H$9997,6,FALSE)-F8521</f>
        <v/>
      </c>
      <c r="H8521" s="19" t="n">
        <v>3</v>
      </c>
      <c r="I8521" s="57" t="n">
        <v>4</v>
      </c>
    </row>
    <row r="8522">
      <c r="A8522" s="62" t="n">
        <v>46961</v>
      </c>
      <c r="B8522" s="3" t="inlineStr">
        <is>
          <t>Week</t>
        </is>
      </c>
      <c r="C8522" s="19" t="n">
        <v>7</v>
      </c>
      <c r="D8522" s="19" t="n">
        <v>2028</v>
      </c>
      <c r="E8522" s="57" t="n">
        <v>8</v>
      </c>
      <c r="F8522" s="29">
        <f>ROUND(((SUMIFS(Calendar!$F$2:$F$9997,Calendar!$B$2:$B$9997,D8522,Calendar!$C$2:$C$9997,C8522)*INDEX(ForeCalc!$B$37:$Y$274,MATCH(_xlfn.CONCAT(H8522," ",I8522),ForeCalc!$A$37:$A$274,0),MATCH(_xlfn.CONCAT(B8522," ",E8522),ForeCalc!$B$36:$Y$36,0))))*VLOOKUP(A8522,Calendar!$A$2:$H$9997,8,FALSE),0)</f>
        <v/>
      </c>
      <c r="G8522" s="29">
        <f>VLOOKUP(A8522,Calendar!$A$1:$H$9997,6,FALSE)-F8522</f>
        <v/>
      </c>
      <c r="H8522" s="19" t="n">
        <v>3</v>
      </c>
      <c r="I8522" s="57" t="n">
        <v>4</v>
      </c>
    </row>
    <row r="8523">
      <c r="A8523" s="62" t="n">
        <v>46962</v>
      </c>
      <c r="B8523" s="3" t="inlineStr">
        <is>
          <t>Week</t>
        </is>
      </c>
      <c r="C8523" s="19" t="n">
        <v>7</v>
      </c>
      <c r="D8523" s="19" t="n">
        <v>2028</v>
      </c>
      <c r="E8523" s="57" t="n">
        <v>8</v>
      </c>
      <c r="F8523" s="29">
        <f>ROUND(((SUMIFS(Calendar!$F$2:$F$9997,Calendar!$B$2:$B$9997,D8523,Calendar!$C$2:$C$9997,C8523)*INDEX(ForeCalc!$B$37:$Y$274,MATCH(_xlfn.CONCAT(H8523," ",I8523),ForeCalc!$A$37:$A$274,0),MATCH(_xlfn.CONCAT(B8523," ",E8523),ForeCalc!$B$36:$Y$36,0))))*VLOOKUP(A8523,Calendar!$A$2:$H$9997,8,FALSE),0)</f>
        <v/>
      </c>
      <c r="G8523" s="29">
        <f>VLOOKUP(A8523,Calendar!$A$1:$H$9997,6,FALSE)-F8523</f>
        <v/>
      </c>
      <c r="H8523" s="19" t="n">
        <v>3</v>
      </c>
      <c r="I8523" s="57" t="n">
        <v>4</v>
      </c>
    </row>
    <row r="8524">
      <c r="A8524" s="62" t="n">
        <v>46963</v>
      </c>
      <c r="B8524" s="3" t="inlineStr">
        <is>
          <t>Sat</t>
        </is>
      </c>
      <c r="C8524" s="19" t="n">
        <v>7</v>
      </c>
      <c r="D8524" s="19" t="n">
        <v>2028</v>
      </c>
      <c r="E8524" s="57" t="n">
        <v>8</v>
      </c>
      <c r="F8524" s="29">
        <f>ROUND(((SUMIFS(Calendar!$F$2:$F$9997,Calendar!$B$2:$B$9997,D8524,Calendar!$C$2:$C$9997,C8524)*INDEX(ForeCalc!$B$37:$Y$274,MATCH(_xlfn.CONCAT(H8524," ",I8524),ForeCalc!$A$37:$A$274,0),MATCH(_xlfn.CONCAT(B8524," ",E8524),ForeCalc!$B$36:$Y$36,0))))*VLOOKUP(A8524,Calendar!$A$2:$H$9997,8,FALSE),0)</f>
        <v/>
      </c>
      <c r="G8524" s="29">
        <f>VLOOKUP(A8524,Calendar!$A$1:$H$9997,6,FALSE)-F8524</f>
        <v/>
      </c>
      <c r="H8524" s="19" t="n">
        <v>3</v>
      </c>
      <c r="I8524" s="57" t="n">
        <v>4</v>
      </c>
    </row>
    <row r="8525">
      <c r="A8525" s="62" t="n">
        <v>46964</v>
      </c>
      <c r="B8525" s="3" t="inlineStr">
        <is>
          <t>Sun</t>
        </is>
      </c>
      <c r="C8525" s="19" t="n">
        <v>7</v>
      </c>
      <c r="D8525" s="19" t="n">
        <v>2028</v>
      </c>
      <c r="E8525" s="57" t="n">
        <v>8</v>
      </c>
      <c r="F8525" s="29">
        <f>ROUND(((SUMIFS(Calendar!$F$2:$F$9997,Calendar!$B$2:$B$9997,D8525,Calendar!$C$2:$C$9997,C8525)*INDEX(ForeCalc!$B$37:$Y$274,MATCH(_xlfn.CONCAT(H8525," ",I8525),ForeCalc!$A$37:$A$274,0),MATCH(_xlfn.CONCAT(B8525," ",E8525),ForeCalc!$B$36:$Y$36,0))))*VLOOKUP(A8525,Calendar!$A$2:$H$9997,8,FALSE),0)</f>
        <v/>
      </c>
      <c r="G8525" s="29">
        <f>VLOOKUP(A8525,Calendar!$A$1:$H$9997,6,FALSE)-F8525</f>
        <v/>
      </c>
      <c r="H8525" s="19" t="n">
        <v>3</v>
      </c>
      <c r="I8525" s="57" t="n">
        <v>4</v>
      </c>
    </row>
    <row r="8526">
      <c r="A8526" s="62" t="n">
        <v>46965</v>
      </c>
      <c r="B8526" s="3" t="inlineStr">
        <is>
          <t>Week</t>
        </is>
      </c>
      <c r="C8526" s="19" t="n">
        <v>7</v>
      </c>
      <c r="D8526" s="19" t="n">
        <v>2028</v>
      </c>
      <c r="E8526" s="57" t="n">
        <v>8</v>
      </c>
      <c r="F8526" s="29">
        <f>ROUND(((SUMIFS(Calendar!$F$2:$F$9997,Calendar!$B$2:$B$9997,D8526,Calendar!$C$2:$C$9997,C8526)*INDEX(ForeCalc!$B$37:$Y$274,MATCH(_xlfn.CONCAT(H8526," ",I8526),ForeCalc!$A$37:$A$274,0),MATCH(_xlfn.CONCAT(B8526," ",E8526),ForeCalc!$B$36:$Y$36,0))))*VLOOKUP(A8526,Calendar!$A$2:$H$9997,8,FALSE),0)</f>
        <v/>
      </c>
      <c r="G8526" s="29">
        <f>VLOOKUP(A8526,Calendar!$A$1:$H$9997,6,FALSE)-F8526</f>
        <v/>
      </c>
      <c r="H8526" s="19" t="n">
        <v>3</v>
      </c>
      <c r="I8526" s="57" t="n">
        <v>4</v>
      </c>
    </row>
    <row r="8527">
      <c r="A8527" s="62" t="n">
        <v>46966</v>
      </c>
      <c r="B8527" s="3" t="inlineStr">
        <is>
          <t>Week</t>
        </is>
      </c>
      <c r="C8527" s="19" t="n">
        <v>8</v>
      </c>
      <c r="D8527" s="19" t="n">
        <v>2028</v>
      </c>
      <c r="E8527" s="57" t="n">
        <v>8</v>
      </c>
      <c r="F8527" s="29">
        <f>ROUND(((SUMIFS(Calendar!$F$2:$F$9997,Calendar!$B$2:$B$9997,D8527,Calendar!$C$2:$C$9997,C8527)*INDEX(ForeCalc!$B$37:$Y$274,MATCH(_xlfn.CONCAT(H8527," ",I8527),ForeCalc!$A$37:$A$274,0),MATCH(_xlfn.CONCAT(B8527," ",E8527),ForeCalc!$B$36:$Y$36,0))))*VLOOKUP(A8527,Calendar!$A$2:$H$9997,8,FALSE),0)</f>
        <v/>
      </c>
      <c r="G8527" s="29">
        <f>VLOOKUP(A8527,Calendar!$A$1:$H$9997,6,FALSE)-F8527</f>
        <v/>
      </c>
      <c r="H8527" s="19" t="n">
        <v>3</v>
      </c>
      <c r="I8527" s="57" t="n">
        <v>5</v>
      </c>
    </row>
    <row r="8528">
      <c r="A8528" s="62" t="n">
        <v>46967</v>
      </c>
      <c r="B8528" s="3" t="inlineStr">
        <is>
          <t>Week</t>
        </is>
      </c>
      <c r="C8528" s="19" t="n">
        <v>8</v>
      </c>
      <c r="D8528" s="19" t="n">
        <v>2028</v>
      </c>
      <c r="E8528" s="57" t="n">
        <v>8</v>
      </c>
      <c r="F8528" s="29">
        <f>ROUND(((SUMIFS(Calendar!$F$2:$F$9997,Calendar!$B$2:$B$9997,D8528,Calendar!$C$2:$C$9997,C8528)*INDEX(ForeCalc!$B$37:$Y$274,MATCH(_xlfn.CONCAT(H8528," ",I8528),ForeCalc!$A$37:$A$274,0),MATCH(_xlfn.CONCAT(B8528," ",E8528),ForeCalc!$B$36:$Y$36,0))))*VLOOKUP(A8528,Calendar!$A$2:$H$9997,8,FALSE),0)</f>
        <v/>
      </c>
      <c r="G8528" s="29">
        <f>VLOOKUP(A8528,Calendar!$A$1:$H$9997,6,FALSE)-F8528</f>
        <v/>
      </c>
      <c r="H8528" s="19" t="n">
        <v>3</v>
      </c>
      <c r="I8528" s="57" t="n">
        <v>5</v>
      </c>
    </row>
    <row r="8529">
      <c r="A8529" s="62" t="n">
        <v>46968</v>
      </c>
      <c r="B8529" s="3" t="inlineStr">
        <is>
          <t>Week</t>
        </is>
      </c>
      <c r="C8529" s="19" t="n">
        <v>8</v>
      </c>
      <c r="D8529" s="19" t="n">
        <v>2028</v>
      </c>
      <c r="E8529" s="57" t="n">
        <v>8</v>
      </c>
      <c r="F8529" s="29">
        <f>ROUND(((SUMIFS(Calendar!$F$2:$F$9997,Calendar!$B$2:$B$9997,D8529,Calendar!$C$2:$C$9997,C8529)*INDEX(ForeCalc!$B$37:$Y$274,MATCH(_xlfn.CONCAT(H8529," ",I8529),ForeCalc!$A$37:$A$274,0),MATCH(_xlfn.CONCAT(B8529," ",E8529),ForeCalc!$B$36:$Y$36,0))))*VLOOKUP(A8529,Calendar!$A$2:$H$9997,8,FALSE),0)</f>
        <v/>
      </c>
      <c r="G8529" s="29">
        <f>VLOOKUP(A8529,Calendar!$A$1:$H$9997,6,FALSE)-F8529</f>
        <v/>
      </c>
      <c r="H8529" s="19" t="n">
        <v>3</v>
      </c>
      <c r="I8529" s="57" t="n">
        <v>5</v>
      </c>
    </row>
    <row r="8530">
      <c r="A8530" s="62" t="n">
        <v>46969</v>
      </c>
      <c r="B8530" s="3" t="inlineStr">
        <is>
          <t>Week</t>
        </is>
      </c>
      <c r="C8530" s="19" t="n">
        <v>8</v>
      </c>
      <c r="D8530" s="19" t="n">
        <v>2028</v>
      </c>
      <c r="E8530" s="57" t="n">
        <v>8</v>
      </c>
      <c r="F8530" s="29">
        <f>ROUND(((SUMIFS(Calendar!$F$2:$F$9997,Calendar!$B$2:$B$9997,D8530,Calendar!$C$2:$C$9997,C8530)*INDEX(ForeCalc!$B$37:$Y$274,MATCH(_xlfn.CONCAT(H8530," ",I8530),ForeCalc!$A$37:$A$274,0),MATCH(_xlfn.CONCAT(B8530," ",E8530),ForeCalc!$B$36:$Y$36,0))))*VLOOKUP(A8530,Calendar!$A$2:$H$9997,8,FALSE),0)</f>
        <v/>
      </c>
      <c r="G8530" s="29">
        <f>VLOOKUP(A8530,Calendar!$A$1:$H$9997,6,FALSE)-F8530</f>
        <v/>
      </c>
      <c r="H8530" s="19" t="n">
        <v>3</v>
      </c>
      <c r="I8530" s="57" t="n">
        <v>5</v>
      </c>
    </row>
    <row r="8531">
      <c r="A8531" s="62" t="n">
        <v>46970</v>
      </c>
      <c r="B8531" s="3" t="inlineStr">
        <is>
          <t>Sat</t>
        </is>
      </c>
      <c r="C8531" s="19" t="n">
        <v>8</v>
      </c>
      <c r="D8531" s="19" t="n">
        <v>2028</v>
      </c>
      <c r="E8531" s="57" t="n">
        <v>8</v>
      </c>
      <c r="F8531" s="29">
        <f>ROUND(((SUMIFS(Calendar!$F$2:$F$9997,Calendar!$B$2:$B$9997,D8531,Calendar!$C$2:$C$9997,C8531)*INDEX(ForeCalc!$B$37:$Y$274,MATCH(_xlfn.CONCAT(H8531," ",I8531),ForeCalc!$A$37:$A$274,0),MATCH(_xlfn.CONCAT(B8531," ",E8531),ForeCalc!$B$36:$Y$36,0))))*VLOOKUP(A8531,Calendar!$A$2:$H$9997,8,FALSE),0)</f>
        <v/>
      </c>
      <c r="G8531" s="29">
        <f>VLOOKUP(A8531,Calendar!$A$1:$H$9997,6,FALSE)-F8531</f>
        <v/>
      </c>
      <c r="H8531" s="19" t="n">
        <v>3</v>
      </c>
      <c r="I8531" s="57" t="n">
        <v>5</v>
      </c>
    </row>
    <row r="8532">
      <c r="A8532" s="62" t="n">
        <v>46971</v>
      </c>
      <c r="B8532" s="3" t="inlineStr">
        <is>
          <t>Sun</t>
        </is>
      </c>
      <c r="C8532" s="19" t="n">
        <v>8</v>
      </c>
      <c r="D8532" s="19" t="n">
        <v>2028</v>
      </c>
      <c r="E8532" s="57" t="n">
        <v>8</v>
      </c>
      <c r="F8532" s="29">
        <f>ROUND(((SUMIFS(Calendar!$F$2:$F$9997,Calendar!$B$2:$B$9997,D8532,Calendar!$C$2:$C$9997,C8532)*INDEX(ForeCalc!$B$37:$Y$274,MATCH(_xlfn.CONCAT(H8532," ",I8532),ForeCalc!$A$37:$A$274,0),MATCH(_xlfn.CONCAT(B8532," ",E8532),ForeCalc!$B$36:$Y$36,0))))*VLOOKUP(A8532,Calendar!$A$2:$H$9997,8,FALSE),0)</f>
        <v/>
      </c>
      <c r="G8532" s="29">
        <f>VLOOKUP(A8532,Calendar!$A$1:$H$9997,6,FALSE)-F8532</f>
        <v/>
      </c>
      <c r="H8532" s="19" t="n">
        <v>3</v>
      </c>
      <c r="I8532" s="57" t="n">
        <v>5</v>
      </c>
    </row>
    <row r="8533">
      <c r="A8533" s="62" t="n">
        <v>46972</v>
      </c>
      <c r="B8533" s="3" t="inlineStr">
        <is>
          <t>Week</t>
        </is>
      </c>
      <c r="C8533" s="19" t="n">
        <v>8</v>
      </c>
      <c r="D8533" s="19" t="n">
        <v>2028</v>
      </c>
      <c r="E8533" s="57" t="n">
        <v>8</v>
      </c>
      <c r="F8533" s="29">
        <f>ROUND(((SUMIFS(Calendar!$F$2:$F$9997,Calendar!$B$2:$B$9997,D8533,Calendar!$C$2:$C$9997,C8533)*INDEX(ForeCalc!$B$37:$Y$274,MATCH(_xlfn.CONCAT(H8533," ",I8533),ForeCalc!$A$37:$A$274,0),MATCH(_xlfn.CONCAT(B8533," ",E8533),ForeCalc!$B$36:$Y$36,0))))*VLOOKUP(A8533,Calendar!$A$2:$H$9997,8,FALSE),0)</f>
        <v/>
      </c>
      <c r="G8533" s="29">
        <f>VLOOKUP(A8533,Calendar!$A$1:$H$9997,6,FALSE)-F8533</f>
        <v/>
      </c>
      <c r="H8533" s="19" t="n">
        <v>3</v>
      </c>
      <c r="I8533" s="57" t="n">
        <v>5</v>
      </c>
    </row>
    <row r="8534">
      <c r="A8534" s="62" t="n">
        <v>46973</v>
      </c>
      <c r="B8534" s="3" t="inlineStr">
        <is>
          <t>Week</t>
        </is>
      </c>
      <c r="C8534" s="19" t="n">
        <v>8</v>
      </c>
      <c r="D8534" s="19" t="n">
        <v>2028</v>
      </c>
      <c r="E8534" s="57" t="n">
        <v>8</v>
      </c>
      <c r="F8534" s="29">
        <f>ROUND(((SUMIFS(Calendar!$F$2:$F$9997,Calendar!$B$2:$B$9997,D8534,Calendar!$C$2:$C$9997,C8534)*INDEX(ForeCalc!$B$37:$Y$274,MATCH(_xlfn.CONCAT(H8534," ",I8534),ForeCalc!$A$37:$A$274,0),MATCH(_xlfn.CONCAT(B8534," ",E8534),ForeCalc!$B$36:$Y$36,0))))*VLOOKUP(A8534,Calendar!$A$2:$H$9997,8,FALSE),0)</f>
        <v/>
      </c>
      <c r="G8534" s="29">
        <f>VLOOKUP(A8534,Calendar!$A$1:$H$9997,6,FALSE)-F8534</f>
        <v/>
      </c>
      <c r="H8534" s="19" t="n">
        <v>3</v>
      </c>
      <c r="I8534" s="57" t="n">
        <v>5</v>
      </c>
    </row>
    <row r="8535">
      <c r="A8535" s="62" t="n">
        <v>46974</v>
      </c>
      <c r="B8535" s="3" t="inlineStr">
        <is>
          <t>Week</t>
        </is>
      </c>
      <c r="C8535" s="19" t="n">
        <v>8</v>
      </c>
      <c r="D8535" s="19" t="n">
        <v>2028</v>
      </c>
      <c r="E8535" s="57" t="n">
        <v>8</v>
      </c>
      <c r="F8535" s="29">
        <f>ROUND(((SUMIFS(Calendar!$F$2:$F$9997,Calendar!$B$2:$B$9997,D8535,Calendar!$C$2:$C$9997,C8535)*INDEX(ForeCalc!$B$37:$Y$274,MATCH(_xlfn.CONCAT(H8535," ",I8535),ForeCalc!$A$37:$A$274,0),MATCH(_xlfn.CONCAT(B8535," ",E8535),ForeCalc!$B$36:$Y$36,0))))*VLOOKUP(A8535,Calendar!$A$2:$H$9997,8,FALSE),0)</f>
        <v/>
      </c>
      <c r="G8535" s="29">
        <f>VLOOKUP(A8535,Calendar!$A$1:$H$9997,6,FALSE)-F8535</f>
        <v/>
      </c>
      <c r="H8535" s="19" t="n">
        <v>3</v>
      </c>
      <c r="I8535" s="57" t="n">
        <v>5</v>
      </c>
    </row>
    <row r="8536">
      <c r="A8536" s="62" t="n">
        <v>46975</v>
      </c>
      <c r="B8536" s="3" t="inlineStr">
        <is>
          <t>Week</t>
        </is>
      </c>
      <c r="C8536" s="19" t="n">
        <v>8</v>
      </c>
      <c r="D8536" s="19" t="n">
        <v>2028</v>
      </c>
      <c r="E8536" s="57" t="n">
        <v>8</v>
      </c>
      <c r="F8536" s="29">
        <f>ROUND(((SUMIFS(Calendar!$F$2:$F$9997,Calendar!$B$2:$B$9997,D8536,Calendar!$C$2:$C$9997,C8536)*INDEX(ForeCalc!$B$37:$Y$274,MATCH(_xlfn.CONCAT(H8536," ",I8536),ForeCalc!$A$37:$A$274,0),MATCH(_xlfn.CONCAT(B8536," ",E8536),ForeCalc!$B$36:$Y$36,0))))*VLOOKUP(A8536,Calendar!$A$2:$H$9997,8,FALSE),0)</f>
        <v/>
      </c>
      <c r="G8536" s="29">
        <f>VLOOKUP(A8536,Calendar!$A$1:$H$9997,6,FALSE)-F8536</f>
        <v/>
      </c>
      <c r="H8536" s="19" t="n">
        <v>3</v>
      </c>
      <c r="I8536" s="57" t="n">
        <v>5</v>
      </c>
    </row>
    <row r="8537">
      <c r="A8537" s="62" t="n">
        <v>46976</v>
      </c>
      <c r="B8537" s="3" t="inlineStr">
        <is>
          <t>Week</t>
        </is>
      </c>
      <c r="C8537" s="19" t="n">
        <v>8</v>
      </c>
      <c r="D8537" s="19" t="n">
        <v>2028</v>
      </c>
      <c r="E8537" s="57" t="n">
        <v>8</v>
      </c>
      <c r="F8537" s="29">
        <f>ROUND(((SUMIFS(Calendar!$F$2:$F$9997,Calendar!$B$2:$B$9997,D8537,Calendar!$C$2:$C$9997,C8537)*INDEX(ForeCalc!$B$37:$Y$274,MATCH(_xlfn.CONCAT(H8537," ",I8537),ForeCalc!$A$37:$A$274,0),MATCH(_xlfn.CONCAT(B8537," ",E8537),ForeCalc!$B$36:$Y$36,0))))*VLOOKUP(A8537,Calendar!$A$2:$H$9997,8,FALSE),0)</f>
        <v/>
      </c>
      <c r="G8537" s="29">
        <f>VLOOKUP(A8537,Calendar!$A$1:$H$9997,6,FALSE)-F8537</f>
        <v/>
      </c>
      <c r="H8537" s="19" t="n">
        <v>3</v>
      </c>
      <c r="I8537" s="57" t="n">
        <v>5</v>
      </c>
    </row>
    <row r="8538">
      <c r="A8538" s="62" t="n">
        <v>46977</v>
      </c>
      <c r="B8538" s="3" t="inlineStr">
        <is>
          <t>Sat</t>
        </is>
      </c>
      <c r="C8538" s="19" t="n">
        <v>8</v>
      </c>
      <c r="D8538" s="19" t="n">
        <v>2028</v>
      </c>
      <c r="E8538" s="57" t="n">
        <v>8</v>
      </c>
      <c r="F8538" s="29">
        <f>ROUND(((SUMIFS(Calendar!$F$2:$F$9997,Calendar!$B$2:$B$9997,D8538,Calendar!$C$2:$C$9997,C8538)*INDEX(ForeCalc!$B$37:$Y$274,MATCH(_xlfn.CONCAT(H8538," ",I8538),ForeCalc!$A$37:$A$274,0),MATCH(_xlfn.CONCAT(B8538," ",E8538),ForeCalc!$B$36:$Y$36,0))))*VLOOKUP(A8538,Calendar!$A$2:$H$9997,8,FALSE),0)</f>
        <v/>
      </c>
      <c r="G8538" s="29">
        <f>VLOOKUP(A8538,Calendar!$A$1:$H$9997,6,FALSE)-F8538</f>
        <v/>
      </c>
      <c r="H8538" s="19" t="n">
        <v>3</v>
      </c>
      <c r="I8538" s="57" t="n">
        <v>5</v>
      </c>
    </row>
    <row r="8539">
      <c r="A8539" s="62" t="n">
        <v>46978</v>
      </c>
      <c r="B8539" s="3" t="inlineStr">
        <is>
          <t>Sun</t>
        </is>
      </c>
      <c r="C8539" s="19" t="n">
        <v>8</v>
      </c>
      <c r="D8539" s="19" t="n">
        <v>2028</v>
      </c>
      <c r="E8539" s="57" t="n">
        <v>8</v>
      </c>
      <c r="F8539" s="29">
        <f>ROUND(((SUMIFS(Calendar!$F$2:$F$9997,Calendar!$B$2:$B$9997,D8539,Calendar!$C$2:$C$9997,C8539)*INDEX(ForeCalc!$B$37:$Y$274,MATCH(_xlfn.CONCAT(H8539," ",I8539),ForeCalc!$A$37:$A$274,0),MATCH(_xlfn.CONCAT(B8539," ",E8539),ForeCalc!$B$36:$Y$36,0))))*VLOOKUP(A8539,Calendar!$A$2:$H$9997,8,FALSE),0)</f>
        <v/>
      </c>
      <c r="G8539" s="29">
        <f>VLOOKUP(A8539,Calendar!$A$1:$H$9997,6,FALSE)-F8539</f>
        <v/>
      </c>
      <c r="H8539" s="19" t="n">
        <v>3</v>
      </c>
      <c r="I8539" s="57" t="n">
        <v>5</v>
      </c>
    </row>
    <row r="8540">
      <c r="A8540" s="62" t="n">
        <v>46979</v>
      </c>
      <c r="B8540" s="3" t="inlineStr">
        <is>
          <t>Week</t>
        </is>
      </c>
      <c r="C8540" s="19" t="n">
        <v>8</v>
      </c>
      <c r="D8540" s="19" t="n">
        <v>2028</v>
      </c>
      <c r="E8540" s="57" t="n">
        <v>8</v>
      </c>
      <c r="F8540" s="29">
        <f>ROUND(((SUMIFS(Calendar!$F$2:$F$9997,Calendar!$B$2:$B$9997,D8540,Calendar!$C$2:$C$9997,C8540)*INDEX(ForeCalc!$B$37:$Y$274,MATCH(_xlfn.CONCAT(H8540," ",I8540),ForeCalc!$A$37:$A$274,0),MATCH(_xlfn.CONCAT(B8540," ",E8540),ForeCalc!$B$36:$Y$36,0))))*VLOOKUP(A8540,Calendar!$A$2:$H$9997,8,FALSE),0)</f>
        <v/>
      </c>
      <c r="G8540" s="29">
        <f>VLOOKUP(A8540,Calendar!$A$1:$H$9997,6,FALSE)-F8540</f>
        <v/>
      </c>
      <c r="H8540" s="19" t="n">
        <v>3</v>
      </c>
      <c r="I8540" s="57" t="n">
        <v>5</v>
      </c>
    </row>
    <row r="8541">
      <c r="A8541" s="62" t="n">
        <v>46980</v>
      </c>
      <c r="B8541" s="3" t="inlineStr">
        <is>
          <t>Week</t>
        </is>
      </c>
      <c r="C8541" s="19" t="n">
        <v>8</v>
      </c>
      <c r="D8541" s="19" t="n">
        <v>2028</v>
      </c>
      <c r="E8541" s="57" t="n">
        <v>8</v>
      </c>
      <c r="F8541" s="29">
        <f>ROUND(((SUMIFS(Calendar!$F$2:$F$9997,Calendar!$B$2:$B$9997,D8541,Calendar!$C$2:$C$9997,C8541)*INDEX(ForeCalc!$B$37:$Y$274,MATCH(_xlfn.CONCAT(H8541," ",I8541),ForeCalc!$A$37:$A$274,0),MATCH(_xlfn.CONCAT(B8541," ",E8541),ForeCalc!$B$36:$Y$36,0))))*VLOOKUP(A8541,Calendar!$A$2:$H$9997,8,FALSE),0)</f>
        <v/>
      </c>
      <c r="G8541" s="29">
        <f>VLOOKUP(A8541,Calendar!$A$1:$H$9997,6,FALSE)-F8541</f>
        <v/>
      </c>
      <c r="H8541" s="19" t="n">
        <v>3</v>
      </c>
      <c r="I8541" s="57" t="n">
        <v>5</v>
      </c>
    </row>
    <row r="8542">
      <c r="A8542" s="62" t="n">
        <v>46981</v>
      </c>
      <c r="B8542" s="3" t="inlineStr">
        <is>
          <t>Week</t>
        </is>
      </c>
      <c r="C8542" s="19" t="n">
        <v>8</v>
      </c>
      <c r="D8542" s="19" t="n">
        <v>2028</v>
      </c>
      <c r="E8542" s="57" t="n">
        <v>8</v>
      </c>
      <c r="F8542" s="29">
        <f>ROUND(((SUMIFS(Calendar!$F$2:$F$9997,Calendar!$B$2:$B$9997,D8542,Calendar!$C$2:$C$9997,C8542)*INDEX(ForeCalc!$B$37:$Y$274,MATCH(_xlfn.CONCAT(H8542," ",I8542),ForeCalc!$A$37:$A$274,0),MATCH(_xlfn.CONCAT(B8542," ",E8542),ForeCalc!$B$36:$Y$36,0))))*VLOOKUP(A8542,Calendar!$A$2:$H$9997,8,FALSE),0)</f>
        <v/>
      </c>
      <c r="G8542" s="29">
        <f>VLOOKUP(A8542,Calendar!$A$1:$H$9997,6,FALSE)-F8542</f>
        <v/>
      </c>
      <c r="H8542" s="19" t="n">
        <v>3</v>
      </c>
      <c r="I8542" s="57" t="n">
        <v>5</v>
      </c>
    </row>
    <row r="8543">
      <c r="A8543" s="62" t="n">
        <v>46982</v>
      </c>
      <c r="B8543" s="3" t="inlineStr">
        <is>
          <t>Week</t>
        </is>
      </c>
      <c r="C8543" s="19" t="n">
        <v>8</v>
      </c>
      <c r="D8543" s="19" t="n">
        <v>2028</v>
      </c>
      <c r="E8543" s="57" t="n">
        <v>8</v>
      </c>
      <c r="F8543" s="29">
        <f>ROUND(((SUMIFS(Calendar!$F$2:$F$9997,Calendar!$B$2:$B$9997,D8543,Calendar!$C$2:$C$9997,C8543)*INDEX(ForeCalc!$B$37:$Y$274,MATCH(_xlfn.CONCAT(H8543," ",I8543),ForeCalc!$A$37:$A$274,0),MATCH(_xlfn.CONCAT(B8543," ",E8543),ForeCalc!$B$36:$Y$36,0))))*VLOOKUP(A8543,Calendar!$A$2:$H$9997,8,FALSE),0)</f>
        <v/>
      </c>
      <c r="G8543" s="29">
        <f>VLOOKUP(A8543,Calendar!$A$1:$H$9997,6,FALSE)-F8543</f>
        <v/>
      </c>
      <c r="H8543" s="19" t="n">
        <v>3</v>
      </c>
      <c r="I8543" s="57" t="n">
        <v>5</v>
      </c>
    </row>
    <row r="8544">
      <c r="A8544" s="62" t="n">
        <v>46983</v>
      </c>
      <c r="B8544" s="3" t="inlineStr">
        <is>
          <t>Week</t>
        </is>
      </c>
      <c r="C8544" s="19" t="n">
        <v>8</v>
      </c>
      <c r="D8544" s="19" t="n">
        <v>2028</v>
      </c>
      <c r="E8544" s="57" t="n">
        <v>8</v>
      </c>
      <c r="F8544" s="29">
        <f>ROUND(((SUMIFS(Calendar!$F$2:$F$9997,Calendar!$B$2:$B$9997,D8544,Calendar!$C$2:$C$9997,C8544)*INDEX(ForeCalc!$B$37:$Y$274,MATCH(_xlfn.CONCAT(H8544," ",I8544),ForeCalc!$A$37:$A$274,0),MATCH(_xlfn.CONCAT(B8544," ",E8544),ForeCalc!$B$36:$Y$36,0))))*VLOOKUP(A8544,Calendar!$A$2:$H$9997,8,FALSE),0)</f>
        <v/>
      </c>
      <c r="G8544" s="29">
        <f>VLOOKUP(A8544,Calendar!$A$1:$H$9997,6,FALSE)-F8544</f>
        <v/>
      </c>
      <c r="H8544" s="19" t="n">
        <v>3</v>
      </c>
      <c r="I8544" s="57" t="n">
        <v>5</v>
      </c>
    </row>
    <row r="8545">
      <c r="A8545" s="62" t="n">
        <v>46984</v>
      </c>
      <c r="B8545" s="3" t="inlineStr">
        <is>
          <t>Sat</t>
        </is>
      </c>
      <c r="C8545" s="19" t="n">
        <v>8</v>
      </c>
      <c r="D8545" s="19" t="n">
        <v>2028</v>
      </c>
      <c r="E8545" s="57" t="n">
        <v>8</v>
      </c>
      <c r="F8545" s="29">
        <f>ROUND(((SUMIFS(Calendar!$F$2:$F$9997,Calendar!$B$2:$B$9997,D8545,Calendar!$C$2:$C$9997,C8545)*INDEX(ForeCalc!$B$37:$Y$274,MATCH(_xlfn.CONCAT(H8545," ",I8545),ForeCalc!$A$37:$A$274,0),MATCH(_xlfn.CONCAT(B8545," ",E8545),ForeCalc!$B$36:$Y$36,0))))*VLOOKUP(A8545,Calendar!$A$2:$H$9997,8,FALSE),0)</f>
        <v/>
      </c>
      <c r="G8545" s="29">
        <f>VLOOKUP(A8545,Calendar!$A$1:$H$9997,6,FALSE)-F8545</f>
        <v/>
      </c>
      <c r="H8545" s="19" t="n">
        <v>3</v>
      </c>
      <c r="I8545" s="57" t="n">
        <v>5</v>
      </c>
    </row>
    <row r="8546">
      <c r="A8546" s="62" t="n">
        <v>46985</v>
      </c>
      <c r="B8546" s="3" t="inlineStr">
        <is>
          <t>Sun</t>
        </is>
      </c>
      <c r="C8546" s="19" t="n">
        <v>8</v>
      </c>
      <c r="D8546" s="19" t="n">
        <v>2028</v>
      </c>
      <c r="E8546" s="57" t="n">
        <v>8</v>
      </c>
      <c r="F8546" s="29">
        <f>ROUND(((SUMIFS(Calendar!$F$2:$F$9997,Calendar!$B$2:$B$9997,D8546,Calendar!$C$2:$C$9997,C8546)*INDEX(ForeCalc!$B$37:$Y$274,MATCH(_xlfn.CONCAT(H8546," ",I8546),ForeCalc!$A$37:$A$274,0),MATCH(_xlfn.CONCAT(B8546," ",E8546),ForeCalc!$B$36:$Y$36,0))))*VLOOKUP(A8546,Calendar!$A$2:$H$9997,8,FALSE),0)</f>
        <v/>
      </c>
      <c r="G8546" s="29">
        <f>VLOOKUP(A8546,Calendar!$A$1:$H$9997,6,FALSE)-F8546</f>
        <v/>
      </c>
      <c r="H8546" s="19" t="n">
        <v>3</v>
      </c>
      <c r="I8546" s="57" t="n">
        <v>5</v>
      </c>
    </row>
    <row r="8547">
      <c r="A8547" s="62" t="n">
        <v>46986</v>
      </c>
      <c r="B8547" s="3" t="inlineStr">
        <is>
          <t>Week</t>
        </is>
      </c>
      <c r="C8547" s="19" t="n">
        <v>8</v>
      </c>
      <c r="D8547" s="19" t="n">
        <v>2028</v>
      </c>
      <c r="E8547" s="57" t="n">
        <v>8</v>
      </c>
      <c r="F8547" s="29">
        <f>ROUND(((SUMIFS(Calendar!$F$2:$F$9997,Calendar!$B$2:$B$9997,D8547,Calendar!$C$2:$C$9997,C8547)*INDEX(ForeCalc!$B$37:$Y$274,MATCH(_xlfn.CONCAT(H8547," ",I8547),ForeCalc!$A$37:$A$274,0),MATCH(_xlfn.CONCAT(B8547," ",E8547),ForeCalc!$B$36:$Y$36,0))))*VLOOKUP(A8547,Calendar!$A$2:$H$9997,8,FALSE),0)</f>
        <v/>
      </c>
      <c r="G8547" s="29">
        <f>VLOOKUP(A8547,Calendar!$A$1:$H$9997,6,FALSE)-F8547</f>
        <v/>
      </c>
      <c r="H8547" s="19" t="n">
        <v>3</v>
      </c>
      <c r="I8547" s="57" t="n">
        <v>5</v>
      </c>
    </row>
    <row r="8548">
      <c r="A8548" s="62" t="n">
        <v>46987</v>
      </c>
      <c r="B8548" s="3" t="inlineStr">
        <is>
          <t>Week</t>
        </is>
      </c>
      <c r="C8548" s="19" t="n">
        <v>8</v>
      </c>
      <c r="D8548" s="19" t="n">
        <v>2028</v>
      </c>
      <c r="E8548" s="57" t="n">
        <v>8</v>
      </c>
      <c r="F8548" s="29">
        <f>ROUND(((SUMIFS(Calendar!$F$2:$F$9997,Calendar!$B$2:$B$9997,D8548,Calendar!$C$2:$C$9997,C8548)*INDEX(ForeCalc!$B$37:$Y$274,MATCH(_xlfn.CONCAT(H8548," ",I8548),ForeCalc!$A$37:$A$274,0),MATCH(_xlfn.CONCAT(B8548," ",E8548),ForeCalc!$B$36:$Y$36,0))))*VLOOKUP(A8548,Calendar!$A$2:$H$9997,8,FALSE),0)</f>
        <v/>
      </c>
      <c r="G8548" s="29">
        <f>VLOOKUP(A8548,Calendar!$A$1:$H$9997,6,FALSE)-F8548</f>
        <v/>
      </c>
      <c r="H8548" s="19" t="n">
        <v>3</v>
      </c>
      <c r="I8548" s="57" t="n">
        <v>5</v>
      </c>
    </row>
    <row r="8549">
      <c r="A8549" s="62" t="n">
        <v>46988</v>
      </c>
      <c r="B8549" s="3" t="inlineStr">
        <is>
          <t>Week</t>
        </is>
      </c>
      <c r="C8549" s="19" t="n">
        <v>8</v>
      </c>
      <c r="D8549" s="19" t="n">
        <v>2028</v>
      </c>
      <c r="E8549" s="57" t="n">
        <v>8</v>
      </c>
      <c r="F8549" s="29">
        <f>ROUND(((SUMIFS(Calendar!$F$2:$F$9997,Calendar!$B$2:$B$9997,D8549,Calendar!$C$2:$C$9997,C8549)*INDEX(ForeCalc!$B$37:$Y$274,MATCH(_xlfn.CONCAT(H8549," ",I8549),ForeCalc!$A$37:$A$274,0),MATCH(_xlfn.CONCAT(B8549," ",E8549),ForeCalc!$B$36:$Y$36,0))))*VLOOKUP(A8549,Calendar!$A$2:$H$9997,8,FALSE),0)</f>
        <v/>
      </c>
      <c r="G8549" s="29">
        <f>VLOOKUP(A8549,Calendar!$A$1:$H$9997,6,FALSE)-F8549</f>
        <v/>
      </c>
      <c r="H8549" s="19" t="n">
        <v>3</v>
      </c>
      <c r="I8549" s="57" t="n">
        <v>5</v>
      </c>
    </row>
    <row r="8550">
      <c r="A8550" s="62" t="n">
        <v>46989</v>
      </c>
      <c r="B8550" s="3" t="inlineStr">
        <is>
          <t>Week</t>
        </is>
      </c>
      <c r="C8550" s="19" t="n">
        <v>8</v>
      </c>
      <c r="D8550" s="19" t="n">
        <v>2028</v>
      </c>
      <c r="E8550" s="57" t="n">
        <v>8</v>
      </c>
      <c r="F8550" s="29">
        <f>ROUND(((SUMIFS(Calendar!$F$2:$F$9997,Calendar!$B$2:$B$9997,D8550,Calendar!$C$2:$C$9997,C8550)*INDEX(ForeCalc!$B$37:$Y$274,MATCH(_xlfn.CONCAT(H8550," ",I8550),ForeCalc!$A$37:$A$274,0),MATCH(_xlfn.CONCAT(B8550," ",E8550),ForeCalc!$B$36:$Y$36,0))))*VLOOKUP(A8550,Calendar!$A$2:$H$9997,8,FALSE),0)</f>
        <v/>
      </c>
      <c r="G8550" s="29">
        <f>VLOOKUP(A8550,Calendar!$A$1:$H$9997,6,FALSE)-F8550</f>
        <v/>
      </c>
      <c r="H8550" s="19" t="n">
        <v>3</v>
      </c>
      <c r="I8550" s="57" t="n">
        <v>5</v>
      </c>
    </row>
    <row r="8551">
      <c r="A8551" s="62" t="n">
        <v>46990</v>
      </c>
      <c r="B8551" s="3" t="inlineStr">
        <is>
          <t>Week</t>
        </is>
      </c>
      <c r="C8551" s="19" t="n">
        <v>8</v>
      </c>
      <c r="D8551" s="19" t="n">
        <v>2028</v>
      </c>
      <c r="E8551" s="57" t="n">
        <v>8</v>
      </c>
      <c r="F8551" s="29">
        <f>ROUND(((SUMIFS(Calendar!$F$2:$F$9997,Calendar!$B$2:$B$9997,D8551,Calendar!$C$2:$C$9997,C8551)*INDEX(ForeCalc!$B$37:$Y$274,MATCH(_xlfn.CONCAT(H8551," ",I8551),ForeCalc!$A$37:$A$274,0),MATCH(_xlfn.CONCAT(B8551," ",E8551),ForeCalc!$B$36:$Y$36,0))))*VLOOKUP(A8551,Calendar!$A$2:$H$9997,8,FALSE),0)</f>
        <v/>
      </c>
      <c r="G8551" s="29">
        <f>VLOOKUP(A8551,Calendar!$A$1:$H$9997,6,FALSE)-F8551</f>
        <v/>
      </c>
      <c r="H8551" s="19" t="n">
        <v>3</v>
      </c>
      <c r="I8551" s="57" t="n">
        <v>5</v>
      </c>
    </row>
    <row r="8552">
      <c r="A8552" s="62" t="n">
        <v>46991</v>
      </c>
      <c r="B8552" s="3" t="inlineStr">
        <is>
          <t>Sat</t>
        </is>
      </c>
      <c r="C8552" s="19" t="n">
        <v>8</v>
      </c>
      <c r="D8552" s="19" t="n">
        <v>2028</v>
      </c>
      <c r="E8552" s="57" t="n">
        <v>8</v>
      </c>
      <c r="F8552" s="29">
        <f>ROUND(((SUMIFS(Calendar!$F$2:$F$9997,Calendar!$B$2:$B$9997,D8552,Calendar!$C$2:$C$9997,C8552)*INDEX(ForeCalc!$B$37:$Y$274,MATCH(_xlfn.CONCAT(H8552," ",I8552),ForeCalc!$A$37:$A$274,0),MATCH(_xlfn.CONCAT(B8552," ",E8552),ForeCalc!$B$36:$Y$36,0))))*VLOOKUP(A8552,Calendar!$A$2:$H$9997,8,FALSE),0)</f>
        <v/>
      </c>
      <c r="G8552" s="29">
        <f>VLOOKUP(A8552,Calendar!$A$1:$H$9997,6,FALSE)-F8552</f>
        <v/>
      </c>
      <c r="H8552" s="19" t="n">
        <v>3</v>
      </c>
      <c r="I8552" s="57" t="n">
        <v>5</v>
      </c>
    </row>
    <row r="8553">
      <c r="A8553" s="62" t="n">
        <v>46992</v>
      </c>
      <c r="B8553" s="3" t="inlineStr">
        <is>
          <t>Sun</t>
        </is>
      </c>
      <c r="C8553" s="19" t="n">
        <v>8</v>
      </c>
      <c r="D8553" s="19" t="n">
        <v>2028</v>
      </c>
      <c r="E8553" s="57" t="n">
        <v>8</v>
      </c>
      <c r="F8553" s="29">
        <f>ROUND(((SUMIFS(Calendar!$F$2:$F$9997,Calendar!$B$2:$B$9997,D8553,Calendar!$C$2:$C$9997,C8553)*INDEX(ForeCalc!$B$37:$Y$274,MATCH(_xlfn.CONCAT(H8553," ",I8553),ForeCalc!$A$37:$A$274,0),MATCH(_xlfn.CONCAT(B8553," ",E8553),ForeCalc!$B$36:$Y$36,0))))*VLOOKUP(A8553,Calendar!$A$2:$H$9997,8,FALSE),0)</f>
        <v/>
      </c>
      <c r="G8553" s="29">
        <f>VLOOKUP(A8553,Calendar!$A$1:$H$9997,6,FALSE)-F8553</f>
        <v/>
      </c>
      <c r="H8553" s="19" t="n">
        <v>3</v>
      </c>
      <c r="I8553" s="57" t="n">
        <v>5</v>
      </c>
    </row>
    <row r="8554">
      <c r="A8554" s="62" t="n">
        <v>46993</v>
      </c>
      <c r="B8554" s="3" t="inlineStr">
        <is>
          <t>Week</t>
        </is>
      </c>
      <c r="C8554" s="19" t="n">
        <v>8</v>
      </c>
      <c r="D8554" s="19" t="n">
        <v>2028</v>
      </c>
      <c r="E8554" s="57" t="n">
        <v>8</v>
      </c>
      <c r="F8554" s="29">
        <f>ROUND(((SUMIFS(Calendar!$F$2:$F$9997,Calendar!$B$2:$B$9997,D8554,Calendar!$C$2:$C$9997,C8554)*INDEX(ForeCalc!$B$37:$Y$274,MATCH(_xlfn.CONCAT(H8554," ",I8554),ForeCalc!$A$37:$A$274,0),MATCH(_xlfn.CONCAT(B8554," ",E8554),ForeCalc!$B$36:$Y$36,0))))*VLOOKUP(A8554,Calendar!$A$2:$H$9997,8,FALSE),0)</f>
        <v/>
      </c>
      <c r="G8554" s="29">
        <f>VLOOKUP(A8554,Calendar!$A$1:$H$9997,6,FALSE)-F8554</f>
        <v/>
      </c>
      <c r="H8554" s="19" t="n">
        <v>3</v>
      </c>
      <c r="I8554" s="57" t="n">
        <v>5</v>
      </c>
    </row>
    <row r="8555">
      <c r="A8555" s="62" t="n">
        <v>46994</v>
      </c>
      <c r="B8555" s="3" t="inlineStr">
        <is>
          <t>Week</t>
        </is>
      </c>
      <c r="C8555" s="19" t="n">
        <v>8</v>
      </c>
      <c r="D8555" s="19" t="n">
        <v>2028</v>
      </c>
      <c r="E8555" s="57" t="n">
        <v>8</v>
      </c>
      <c r="F8555" s="29">
        <f>ROUND(((SUMIFS(Calendar!$F$2:$F$9997,Calendar!$B$2:$B$9997,D8555,Calendar!$C$2:$C$9997,C8555)*INDEX(ForeCalc!$B$37:$Y$274,MATCH(_xlfn.CONCAT(H8555," ",I8555),ForeCalc!$A$37:$A$274,0),MATCH(_xlfn.CONCAT(B8555," ",E8555),ForeCalc!$B$36:$Y$36,0))))*VLOOKUP(A8555,Calendar!$A$2:$H$9997,8,FALSE),0)</f>
        <v/>
      </c>
      <c r="G8555" s="29">
        <f>VLOOKUP(A8555,Calendar!$A$1:$H$9997,6,FALSE)-F8555</f>
        <v/>
      </c>
      <c r="H8555" s="19" t="n">
        <v>3</v>
      </c>
      <c r="I8555" s="57" t="n">
        <v>5</v>
      </c>
    </row>
    <row r="8556">
      <c r="A8556" s="62" t="n">
        <v>46995</v>
      </c>
      <c r="B8556" s="3" t="inlineStr">
        <is>
          <t>Week</t>
        </is>
      </c>
      <c r="C8556" s="19" t="n">
        <v>8</v>
      </c>
      <c r="D8556" s="19" t="n">
        <v>2028</v>
      </c>
      <c r="E8556" s="57" t="n">
        <v>8</v>
      </c>
      <c r="F8556" s="29">
        <f>ROUND(((SUMIFS(Calendar!$F$2:$F$9997,Calendar!$B$2:$B$9997,D8556,Calendar!$C$2:$C$9997,C8556)*INDEX(ForeCalc!$B$37:$Y$274,MATCH(_xlfn.CONCAT(H8556," ",I8556),ForeCalc!$A$37:$A$274,0),MATCH(_xlfn.CONCAT(B8556," ",E8556),ForeCalc!$B$36:$Y$36,0))))*VLOOKUP(A8556,Calendar!$A$2:$H$9997,8,FALSE),0)</f>
        <v/>
      </c>
      <c r="G8556" s="29">
        <f>VLOOKUP(A8556,Calendar!$A$1:$H$9997,6,FALSE)-F8556</f>
        <v/>
      </c>
      <c r="H8556" s="19" t="n">
        <v>3</v>
      </c>
      <c r="I8556" s="57" t="n">
        <v>5</v>
      </c>
    </row>
    <row r="8557">
      <c r="A8557" s="62" t="n">
        <v>46996</v>
      </c>
      <c r="B8557" s="3" t="inlineStr">
        <is>
          <t>Week</t>
        </is>
      </c>
      <c r="C8557" s="19" t="n">
        <v>8</v>
      </c>
      <c r="D8557" s="19" t="n">
        <v>2028</v>
      </c>
      <c r="E8557" s="57" t="n">
        <v>8</v>
      </c>
      <c r="F8557" s="29">
        <f>ROUND(((SUMIFS(Calendar!$F$2:$F$9997,Calendar!$B$2:$B$9997,D8557,Calendar!$C$2:$C$9997,C8557)*INDEX(ForeCalc!$B$37:$Y$274,MATCH(_xlfn.CONCAT(H8557," ",I8557),ForeCalc!$A$37:$A$274,0),MATCH(_xlfn.CONCAT(B8557," ",E8557),ForeCalc!$B$36:$Y$36,0))))*VLOOKUP(A8557,Calendar!$A$2:$H$9997,8,FALSE),0)</f>
        <v/>
      </c>
      <c r="G8557" s="29">
        <f>VLOOKUP(A8557,Calendar!$A$1:$H$9997,6,FALSE)-F8557</f>
        <v/>
      </c>
      <c r="H8557" s="19" t="n">
        <v>3</v>
      </c>
      <c r="I8557" s="57" t="n">
        <v>5</v>
      </c>
    </row>
    <row r="8558">
      <c r="A8558" s="62" t="n">
        <v>46997</v>
      </c>
      <c r="B8558" s="3" t="inlineStr">
        <is>
          <t>Week</t>
        </is>
      </c>
      <c r="C8558" s="19" t="n">
        <v>9</v>
      </c>
      <c r="D8558" s="19" t="n">
        <v>2028</v>
      </c>
      <c r="E8558" s="57" t="n">
        <v>8</v>
      </c>
      <c r="F8558" s="29">
        <f>ROUND(((SUMIFS(Calendar!$F$2:$F$9997,Calendar!$B$2:$B$9997,D8558,Calendar!$C$2:$C$9997,C8558)*INDEX(ForeCalc!$B$37:$Y$274,MATCH(_xlfn.CONCAT(H8558," ",I8558),ForeCalc!$A$37:$A$274,0),MATCH(_xlfn.CONCAT(B8558," ",E8558),ForeCalc!$B$36:$Y$36,0))))*VLOOKUP(A8558,Calendar!$A$2:$H$9997,8,FALSE),0)</f>
        <v/>
      </c>
      <c r="G8558" s="29">
        <f>VLOOKUP(A8558,Calendar!$A$1:$H$9997,6,FALSE)-F8558</f>
        <v/>
      </c>
      <c r="H8558" s="19" t="n">
        <v>3</v>
      </c>
      <c r="I8558" s="57" t="n">
        <v>6</v>
      </c>
    </row>
    <row r="8559">
      <c r="A8559" s="62" t="n">
        <v>46998</v>
      </c>
      <c r="B8559" s="3" t="inlineStr">
        <is>
          <t>Sat</t>
        </is>
      </c>
      <c r="C8559" s="19" t="n">
        <v>9</v>
      </c>
      <c r="D8559" s="19" t="n">
        <v>2028</v>
      </c>
      <c r="E8559" s="57" t="n">
        <v>8</v>
      </c>
      <c r="F8559" s="29">
        <f>ROUND(((SUMIFS(Calendar!$F$2:$F$9997,Calendar!$B$2:$B$9997,D8559,Calendar!$C$2:$C$9997,C8559)*INDEX(ForeCalc!$B$37:$Y$274,MATCH(_xlfn.CONCAT(H8559," ",I8559),ForeCalc!$A$37:$A$274,0),MATCH(_xlfn.CONCAT(B8559," ",E8559),ForeCalc!$B$36:$Y$36,0))))*VLOOKUP(A8559,Calendar!$A$2:$H$9997,8,FALSE),0)</f>
        <v/>
      </c>
      <c r="G8559" s="29">
        <f>VLOOKUP(A8559,Calendar!$A$1:$H$9997,6,FALSE)-F8559</f>
        <v/>
      </c>
      <c r="H8559" s="19" t="n">
        <v>3</v>
      </c>
      <c r="I8559" s="57" t="n">
        <v>6</v>
      </c>
    </row>
    <row r="8560">
      <c r="A8560" s="62" t="n">
        <v>46999</v>
      </c>
      <c r="B8560" s="3" t="inlineStr">
        <is>
          <t>Sun</t>
        </is>
      </c>
      <c r="C8560" s="19" t="n">
        <v>9</v>
      </c>
      <c r="D8560" s="19" t="n">
        <v>2028</v>
      </c>
      <c r="E8560" s="57" t="n">
        <v>8</v>
      </c>
      <c r="F8560" s="29">
        <f>ROUND(((SUMIFS(Calendar!$F$2:$F$9997,Calendar!$B$2:$B$9997,D8560,Calendar!$C$2:$C$9997,C8560)*INDEX(ForeCalc!$B$37:$Y$274,MATCH(_xlfn.CONCAT(H8560," ",I8560),ForeCalc!$A$37:$A$274,0),MATCH(_xlfn.CONCAT(B8560," ",E8560),ForeCalc!$B$36:$Y$36,0))))*VLOOKUP(A8560,Calendar!$A$2:$H$9997,8,FALSE),0)</f>
        <v/>
      </c>
      <c r="G8560" s="29">
        <f>VLOOKUP(A8560,Calendar!$A$1:$H$9997,6,FALSE)-F8560</f>
        <v/>
      </c>
      <c r="H8560" s="19" t="n">
        <v>3</v>
      </c>
      <c r="I8560" s="57" t="n">
        <v>6</v>
      </c>
    </row>
    <row r="8561">
      <c r="A8561" s="62" t="n">
        <v>47000</v>
      </c>
      <c r="B8561" s="3" t="inlineStr">
        <is>
          <t>Week</t>
        </is>
      </c>
      <c r="C8561" s="19" t="n">
        <v>9</v>
      </c>
      <c r="D8561" s="19" t="n">
        <v>2028</v>
      </c>
      <c r="E8561" s="57" t="n">
        <v>8</v>
      </c>
      <c r="F8561" s="29">
        <f>ROUND(((SUMIFS(Calendar!$F$2:$F$9997,Calendar!$B$2:$B$9997,D8561,Calendar!$C$2:$C$9997,C8561)*INDEX(ForeCalc!$B$37:$Y$274,MATCH(_xlfn.CONCAT(H8561," ",I8561),ForeCalc!$A$37:$A$274,0),MATCH(_xlfn.CONCAT(B8561," ",E8561),ForeCalc!$B$36:$Y$36,0))))*VLOOKUP(A8561,Calendar!$A$2:$H$9997,8,FALSE),0)</f>
        <v/>
      </c>
      <c r="G8561" s="29">
        <f>VLOOKUP(A8561,Calendar!$A$1:$H$9997,6,FALSE)-F8561</f>
        <v/>
      </c>
      <c r="H8561" s="19" t="n">
        <v>3</v>
      </c>
      <c r="I8561" s="57" t="n">
        <v>6</v>
      </c>
    </row>
    <row r="8562">
      <c r="A8562" s="62" t="n">
        <v>47001</v>
      </c>
      <c r="B8562" s="3" t="inlineStr">
        <is>
          <t>Week</t>
        </is>
      </c>
      <c r="C8562" s="19" t="n">
        <v>9</v>
      </c>
      <c r="D8562" s="19" t="n">
        <v>2028</v>
      </c>
      <c r="E8562" s="57" t="n">
        <v>8</v>
      </c>
      <c r="F8562" s="29">
        <f>ROUND(((SUMIFS(Calendar!$F$2:$F$9997,Calendar!$B$2:$B$9997,D8562,Calendar!$C$2:$C$9997,C8562)*INDEX(ForeCalc!$B$37:$Y$274,MATCH(_xlfn.CONCAT(H8562," ",I8562),ForeCalc!$A$37:$A$274,0),MATCH(_xlfn.CONCAT(B8562," ",E8562),ForeCalc!$B$36:$Y$36,0))))*VLOOKUP(A8562,Calendar!$A$2:$H$9997,8,FALSE),0)</f>
        <v/>
      </c>
      <c r="G8562" s="29">
        <f>VLOOKUP(A8562,Calendar!$A$1:$H$9997,6,FALSE)-F8562</f>
        <v/>
      </c>
      <c r="H8562" s="19" t="n">
        <v>3</v>
      </c>
      <c r="I8562" s="57" t="n">
        <v>6</v>
      </c>
    </row>
    <row r="8563">
      <c r="A8563" s="62" t="n">
        <v>47002</v>
      </c>
      <c r="B8563" s="3" t="inlineStr">
        <is>
          <t>Week</t>
        </is>
      </c>
      <c r="C8563" s="19" t="n">
        <v>9</v>
      </c>
      <c r="D8563" s="19" t="n">
        <v>2028</v>
      </c>
      <c r="E8563" s="57" t="n">
        <v>8</v>
      </c>
      <c r="F8563" s="29">
        <f>ROUND(((SUMIFS(Calendar!$F$2:$F$9997,Calendar!$B$2:$B$9997,D8563,Calendar!$C$2:$C$9997,C8563)*INDEX(ForeCalc!$B$37:$Y$274,MATCH(_xlfn.CONCAT(H8563," ",I8563),ForeCalc!$A$37:$A$274,0),MATCH(_xlfn.CONCAT(B8563," ",E8563),ForeCalc!$B$36:$Y$36,0))))*VLOOKUP(A8563,Calendar!$A$2:$H$9997,8,FALSE),0)</f>
        <v/>
      </c>
      <c r="G8563" s="29">
        <f>VLOOKUP(A8563,Calendar!$A$1:$H$9997,6,FALSE)-F8563</f>
        <v/>
      </c>
      <c r="H8563" s="19" t="n">
        <v>3</v>
      </c>
      <c r="I8563" s="57" t="n">
        <v>6</v>
      </c>
    </row>
    <row r="8564">
      <c r="A8564" s="62" t="n">
        <v>47003</v>
      </c>
      <c r="B8564" s="3" t="inlineStr">
        <is>
          <t>Week</t>
        </is>
      </c>
      <c r="C8564" s="19" t="n">
        <v>9</v>
      </c>
      <c r="D8564" s="19" t="n">
        <v>2028</v>
      </c>
      <c r="E8564" s="57" t="n">
        <v>8</v>
      </c>
      <c r="F8564" s="29">
        <f>ROUND(((SUMIFS(Calendar!$F$2:$F$9997,Calendar!$B$2:$B$9997,D8564,Calendar!$C$2:$C$9997,C8564)*INDEX(ForeCalc!$B$37:$Y$274,MATCH(_xlfn.CONCAT(H8564," ",I8564),ForeCalc!$A$37:$A$274,0),MATCH(_xlfn.CONCAT(B8564," ",E8564),ForeCalc!$B$36:$Y$36,0))))*VLOOKUP(A8564,Calendar!$A$2:$H$9997,8,FALSE),0)</f>
        <v/>
      </c>
      <c r="G8564" s="29">
        <f>VLOOKUP(A8564,Calendar!$A$1:$H$9997,6,FALSE)-F8564</f>
        <v/>
      </c>
      <c r="H8564" s="19" t="n">
        <v>3</v>
      </c>
      <c r="I8564" s="57" t="n">
        <v>6</v>
      </c>
    </row>
    <row r="8565">
      <c r="A8565" s="62" t="n">
        <v>47004</v>
      </c>
      <c r="B8565" s="3" t="inlineStr">
        <is>
          <t>Week</t>
        </is>
      </c>
      <c r="C8565" s="19" t="n">
        <v>9</v>
      </c>
      <c r="D8565" s="19" t="n">
        <v>2028</v>
      </c>
      <c r="E8565" s="57" t="n">
        <v>8</v>
      </c>
      <c r="F8565" s="29">
        <f>ROUND(((SUMIFS(Calendar!$F$2:$F$9997,Calendar!$B$2:$B$9997,D8565,Calendar!$C$2:$C$9997,C8565)*INDEX(ForeCalc!$B$37:$Y$274,MATCH(_xlfn.CONCAT(H8565," ",I8565),ForeCalc!$A$37:$A$274,0),MATCH(_xlfn.CONCAT(B8565," ",E8565),ForeCalc!$B$36:$Y$36,0))))*VLOOKUP(A8565,Calendar!$A$2:$H$9997,8,FALSE),0)</f>
        <v/>
      </c>
      <c r="G8565" s="29">
        <f>VLOOKUP(A8565,Calendar!$A$1:$H$9997,6,FALSE)-F8565</f>
        <v/>
      </c>
      <c r="H8565" s="19" t="n">
        <v>3</v>
      </c>
      <c r="I8565" s="57" t="n">
        <v>6</v>
      </c>
    </row>
    <row r="8566">
      <c r="A8566" s="62" t="n">
        <v>47005</v>
      </c>
      <c r="B8566" s="3" t="inlineStr">
        <is>
          <t>Sat</t>
        </is>
      </c>
      <c r="C8566" s="19" t="n">
        <v>9</v>
      </c>
      <c r="D8566" s="19" t="n">
        <v>2028</v>
      </c>
      <c r="E8566" s="57" t="n">
        <v>8</v>
      </c>
      <c r="F8566" s="29">
        <f>ROUND(((SUMIFS(Calendar!$F$2:$F$9997,Calendar!$B$2:$B$9997,D8566,Calendar!$C$2:$C$9997,C8566)*INDEX(ForeCalc!$B$37:$Y$274,MATCH(_xlfn.CONCAT(H8566," ",I8566),ForeCalc!$A$37:$A$274,0),MATCH(_xlfn.CONCAT(B8566," ",E8566),ForeCalc!$B$36:$Y$36,0))))*VLOOKUP(A8566,Calendar!$A$2:$H$9997,8,FALSE),0)</f>
        <v/>
      </c>
      <c r="G8566" s="29">
        <f>VLOOKUP(A8566,Calendar!$A$1:$H$9997,6,FALSE)-F8566</f>
        <v/>
      </c>
      <c r="H8566" s="19" t="n">
        <v>3</v>
      </c>
      <c r="I8566" s="57" t="n">
        <v>6</v>
      </c>
    </row>
    <row r="8567">
      <c r="A8567" s="62" t="n">
        <v>47006</v>
      </c>
      <c r="B8567" s="3" t="inlineStr">
        <is>
          <t>Sun</t>
        </is>
      </c>
      <c r="C8567" s="19" t="n">
        <v>9</v>
      </c>
      <c r="D8567" s="19" t="n">
        <v>2028</v>
      </c>
      <c r="E8567" s="57" t="n">
        <v>8</v>
      </c>
      <c r="F8567" s="29">
        <f>ROUND(((SUMIFS(Calendar!$F$2:$F$9997,Calendar!$B$2:$B$9997,D8567,Calendar!$C$2:$C$9997,C8567)*INDEX(ForeCalc!$B$37:$Y$274,MATCH(_xlfn.CONCAT(H8567," ",I8567),ForeCalc!$A$37:$A$274,0),MATCH(_xlfn.CONCAT(B8567," ",E8567),ForeCalc!$B$36:$Y$36,0))))*VLOOKUP(A8567,Calendar!$A$2:$H$9997,8,FALSE),0)</f>
        <v/>
      </c>
      <c r="G8567" s="29">
        <f>VLOOKUP(A8567,Calendar!$A$1:$H$9997,6,FALSE)-F8567</f>
        <v/>
      </c>
      <c r="H8567" s="19" t="n">
        <v>3</v>
      </c>
      <c r="I8567" s="57" t="n">
        <v>6</v>
      </c>
    </row>
    <row r="8568">
      <c r="A8568" s="62" t="n">
        <v>47007</v>
      </c>
      <c r="B8568" s="3" t="inlineStr">
        <is>
          <t>Week</t>
        </is>
      </c>
      <c r="C8568" s="19" t="n">
        <v>9</v>
      </c>
      <c r="D8568" s="19" t="n">
        <v>2028</v>
      </c>
      <c r="E8568" s="57" t="n">
        <v>8</v>
      </c>
      <c r="F8568" s="29">
        <f>ROUND(((SUMIFS(Calendar!$F$2:$F$9997,Calendar!$B$2:$B$9997,D8568,Calendar!$C$2:$C$9997,C8568)*INDEX(ForeCalc!$B$37:$Y$274,MATCH(_xlfn.CONCAT(H8568," ",I8568),ForeCalc!$A$37:$A$274,0),MATCH(_xlfn.CONCAT(B8568," ",E8568),ForeCalc!$B$36:$Y$36,0))))*VLOOKUP(A8568,Calendar!$A$2:$H$9997,8,FALSE),0)</f>
        <v/>
      </c>
      <c r="G8568" s="29">
        <f>VLOOKUP(A8568,Calendar!$A$1:$H$9997,6,FALSE)-F8568</f>
        <v/>
      </c>
      <c r="H8568" s="19" t="n">
        <v>3</v>
      </c>
      <c r="I8568" s="57" t="n">
        <v>6</v>
      </c>
    </row>
    <row r="8569">
      <c r="A8569" s="62" t="n">
        <v>47008</v>
      </c>
      <c r="B8569" s="3" t="inlineStr">
        <is>
          <t>Week</t>
        </is>
      </c>
      <c r="C8569" s="19" t="n">
        <v>9</v>
      </c>
      <c r="D8569" s="19" t="n">
        <v>2028</v>
      </c>
      <c r="E8569" s="57" t="n">
        <v>8</v>
      </c>
      <c r="F8569" s="29">
        <f>ROUND(((SUMIFS(Calendar!$F$2:$F$9997,Calendar!$B$2:$B$9997,D8569,Calendar!$C$2:$C$9997,C8569)*INDEX(ForeCalc!$B$37:$Y$274,MATCH(_xlfn.CONCAT(H8569," ",I8569),ForeCalc!$A$37:$A$274,0),MATCH(_xlfn.CONCAT(B8569," ",E8569),ForeCalc!$B$36:$Y$36,0))))*VLOOKUP(A8569,Calendar!$A$2:$H$9997,8,FALSE),0)</f>
        <v/>
      </c>
      <c r="G8569" s="29">
        <f>VLOOKUP(A8569,Calendar!$A$1:$H$9997,6,FALSE)-F8569</f>
        <v/>
      </c>
      <c r="H8569" s="19" t="n">
        <v>3</v>
      </c>
      <c r="I8569" s="57" t="n">
        <v>6</v>
      </c>
    </row>
    <row r="8570">
      <c r="A8570" s="62" t="n">
        <v>47009</v>
      </c>
      <c r="B8570" s="3" t="inlineStr">
        <is>
          <t>Week</t>
        </is>
      </c>
      <c r="C8570" s="19" t="n">
        <v>9</v>
      </c>
      <c r="D8570" s="19" t="n">
        <v>2028</v>
      </c>
      <c r="E8570" s="57" t="n">
        <v>8</v>
      </c>
      <c r="F8570" s="29">
        <f>ROUND(((SUMIFS(Calendar!$F$2:$F$9997,Calendar!$B$2:$B$9997,D8570,Calendar!$C$2:$C$9997,C8570)*INDEX(ForeCalc!$B$37:$Y$274,MATCH(_xlfn.CONCAT(H8570," ",I8570),ForeCalc!$A$37:$A$274,0),MATCH(_xlfn.CONCAT(B8570," ",E8570),ForeCalc!$B$36:$Y$36,0))))*VLOOKUP(A8570,Calendar!$A$2:$H$9997,8,FALSE),0)</f>
        <v/>
      </c>
      <c r="G8570" s="29">
        <f>VLOOKUP(A8570,Calendar!$A$1:$H$9997,6,FALSE)-F8570</f>
        <v/>
      </c>
      <c r="H8570" s="19" t="n">
        <v>3</v>
      </c>
      <c r="I8570" s="57" t="n">
        <v>6</v>
      </c>
    </row>
    <row r="8571">
      <c r="A8571" s="62" t="n">
        <v>47010</v>
      </c>
      <c r="B8571" s="3" t="inlineStr">
        <is>
          <t>Week</t>
        </is>
      </c>
      <c r="C8571" s="19" t="n">
        <v>9</v>
      </c>
      <c r="D8571" s="19" t="n">
        <v>2028</v>
      </c>
      <c r="E8571" s="57" t="n">
        <v>8</v>
      </c>
      <c r="F8571" s="29">
        <f>ROUND(((SUMIFS(Calendar!$F$2:$F$9997,Calendar!$B$2:$B$9997,D8571,Calendar!$C$2:$C$9997,C8571)*INDEX(ForeCalc!$B$37:$Y$274,MATCH(_xlfn.CONCAT(H8571," ",I8571),ForeCalc!$A$37:$A$274,0),MATCH(_xlfn.CONCAT(B8571," ",E8571),ForeCalc!$B$36:$Y$36,0))))*VLOOKUP(A8571,Calendar!$A$2:$H$9997,8,FALSE),0)</f>
        <v/>
      </c>
      <c r="G8571" s="29">
        <f>VLOOKUP(A8571,Calendar!$A$1:$H$9997,6,FALSE)-F8571</f>
        <v/>
      </c>
      <c r="H8571" s="19" t="n">
        <v>3</v>
      </c>
      <c r="I8571" s="57" t="n">
        <v>6</v>
      </c>
    </row>
    <row r="8572">
      <c r="A8572" s="62" t="n">
        <v>47011</v>
      </c>
      <c r="B8572" s="3" t="inlineStr">
        <is>
          <t>Week</t>
        </is>
      </c>
      <c r="C8572" s="19" t="n">
        <v>9</v>
      </c>
      <c r="D8572" s="19" t="n">
        <v>2028</v>
      </c>
      <c r="E8572" s="57" t="n">
        <v>8</v>
      </c>
      <c r="F8572" s="29">
        <f>ROUND(((SUMIFS(Calendar!$F$2:$F$9997,Calendar!$B$2:$B$9997,D8572,Calendar!$C$2:$C$9997,C8572)*INDEX(ForeCalc!$B$37:$Y$274,MATCH(_xlfn.CONCAT(H8572," ",I8572),ForeCalc!$A$37:$A$274,0),MATCH(_xlfn.CONCAT(B8572," ",E8572),ForeCalc!$B$36:$Y$36,0))))*VLOOKUP(A8572,Calendar!$A$2:$H$9997,8,FALSE),0)</f>
        <v/>
      </c>
      <c r="G8572" s="29">
        <f>VLOOKUP(A8572,Calendar!$A$1:$H$9997,6,FALSE)-F8572</f>
        <v/>
      </c>
      <c r="H8572" s="19" t="n">
        <v>3</v>
      </c>
      <c r="I8572" s="57" t="n">
        <v>6</v>
      </c>
    </row>
    <row r="8573">
      <c r="A8573" s="62" t="n">
        <v>47012</v>
      </c>
      <c r="B8573" s="3" t="inlineStr">
        <is>
          <t>Sat</t>
        </is>
      </c>
      <c r="C8573" s="19" t="n">
        <v>9</v>
      </c>
      <c r="D8573" s="19" t="n">
        <v>2028</v>
      </c>
      <c r="E8573" s="57" t="n">
        <v>8</v>
      </c>
      <c r="F8573" s="29">
        <f>ROUND(((SUMIFS(Calendar!$F$2:$F$9997,Calendar!$B$2:$B$9997,D8573,Calendar!$C$2:$C$9997,C8573)*INDEX(ForeCalc!$B$37:$Y$274,MATCH(_xlfn.CONCAT(H8573," ",I8573),ForeCalc!$A$37:$A$274,0),MATCH(_xlfn.CONCAT(B8573," ",E8573),ForeCalc!$B$36:$Y$36,0))))*VLOOKUP(A8573,Calendar!$A$2:$H$9997,8,FALSE),0)</f>
        <v/>
      </c>
      <c r="G8573" s="29">
        <f>VLOOKUP(A8573,Calendar!$A$1:$H$9997,6,FALSE)-F8573</f>
        <v/>
      </c>
      <c r="H8573" s="19" t="n">
        <v>3</v>
      </c>
      <c r="I8573" s="57" t="n">
        <v>6</v>
      </c>
    </row>
    <row r="8574">
      <c r="A8574" s="62" t="n">
        <v>47013</v>
      </c>
      <c r="B8574" s="3" t="inlineStr">
        <is>
          <t>Sun</t>
        </is>
      </c>
      <c r="C8574" s="19" t="n">
        <v>9</v>
      </c>
      <c r="D8574" s="19" t="n">
        <v>2028</v>
      </c>
      <c r="E8574" s="57" t="n">
        <v>8</v>
      </c>
      <c r="F8574" s="29">
        <f>ROUND(((SUMIFS(Calendar!$F$2:$F$9997,Calendar!$B$2:$B$9997,D8574,Calendar!$C$2:$C$9997,C8574)*INDEX(ForeCalc!$B$37:$Y$274,MATCH(_xlfn.CONCAT(H8574," ",I8574),ForeCalc!$A$37:$A$274,0),MATCH(_xlfn.CONCAT(B8574," ",E8574),ForeCalc!$B$36:$Y$36,0))))*VLOOKUP(A8574,Calendar!$A$2:$H$9997,8,FALSE),0)</f>
        <v/>
      </c>
      <c r="G8574" s="29">
        <f>VLOOKUP(A8574,Calendar!$A$1:$H$9997,6,FALSE)-F8574</f>
        <v/>
      </c>
      <c r="H8574" s="19" t="n">
        <v>3</v>
      </c>
      <c r="I8574" s="57" t="n">
        <v>6</v>
      </c>
    </row>
    <row r="8575">
      <c r="A8575" s="62" t="n">
        <v>47014</v>
      </c>
      <c r="B8575" s="3" t="inlineStr">
        <is>
          <t>Week</t>
        </is>
      </c>
      <c r="C8575" s="19" t="n">
        <v>9</v>
      </c>
      <c r="D8575" s="19" t="n">
        <v>2028</v>
      </c>
      <c r="E8575" s="57" t="n">
        <v>8</v>
      </c>
      <c r="F8575" s="29">
        <f>ROUND(((SUMIFS(Calendar!$F$2:$F$9997,Calendar!$B$2:$B$9997,D8575,Calendar!$C$2:$C$9997,C8575)*INDEX(ForeCalc!$B$37:$Y$274,MATCH(_xlfn.CONCAT(H8575," ",I8575),ForeCalc!$A$37:$A$274,0),MATCH(_xlfn.CONCAT(B8575," ",E8575),ForeCalc!$B$36:$Y$36,0))))*VLOOKUP(A8575,Calendar!$A$2:$H$9997,8,FALSE),0)</f>
        <v/>
      </c>
      <c r="G8575" s="29">
        <f>VLOOKUP(A8575,Calendar!$A$1:$H$9997,6,FALSE)-F8575</f>
        <v/>
      </c>
      <c r="H8575" s="19" t="n">
        <v>3</v>
      </c>
      <c r="I8575" s="57" t="n">
        <v>6</v>
      </c>
    </row>
    <row r="8576">
      <c r="A8576" s="62" t="n">
        <v>47015</v>
      </c>
      <c r="B8576" s="3" t="inlineStr">
        <is>
          <t>Week</t>
        </is>
      </c>
      <c r="C8576" s="19" t="n">
        <v>9</v>
      </c>
      <c r="D8576" s="19" t="n">
        <v>2028</v>
      </c>
      <c r="E8576" s="57" t="n">
        <v>8</v>
      </c>
      <c r="F8576" s="29">
        <f>ROUND(((SUMIFS(Calendar!$F$2:$F$9997,Calendar!$B$2:$B$9997,D8576,Calendar!$C$2:$C$9997,C8576)*INDEX(ForeCalc!$B$37:$Y$274,MATCH(_xlfn.CONCAT(H8576," ",I8576),ForeCalc!$A$37:$A$274,0),MATCH(_xlfn.CONCAT(B8576," ",E8576),ForeCalc!$B$36:$Y$36,0))))*VLOOKUP(A8576,Calendar!$A$2:$H$9997,8,FALSE),0)</f>
        <v/>
      </c>
      <c r="G8576" s="29">
        <f>VLOOKUP(A8576,Calendar!$A$1:$H$9997,6,FALSE)-F8576</f>
        <v/>
      </c>
      <c r="H8576" s="19" t="n">
        <v>3</v>
      </c>
      <c r="I8576" s="57" t="n">
        <v>6</v>
      </c>
    </row>
    <row r="8577">
      <c r="A8577" s="62" t="n">
        <v>47016</v>
      </c>
      <c r="B8577" s="3" t="inlineStr">
        <is>
          <t>Week</t>
        </is>
      </c>
      <c r="C8577" s="19" t="n">
        <v>9</v>
      </c>
      <c r="D8577" s="19" t="n">
        <v>2028</v>
      </c>
      <c r="E8577" s="57" t="n">
        <v>8</v>
      </c>
      <c r="F8577" s="29">
        <f>ROUND(((SUMIFS(Calendar!$F$2:$F$9997,Calendar!$B$2:$B$9997,D8577,Calendar!$C$2:$C$9997,C8577)*INDEX(ForeCalc!$B$37:$Y$274,MATCH(_xlfn.CONCAT(H8577," ",I8577),ForeCalc!$A$37:$A$274,0),MATCH(_xlfn.CONCAT(B8577," ",E8577),ForeCalc!$B$36:$Y$36,0))))*VLOOKUP(A8577,Calendar!$A$2:$H$9997,8,FALSE),0)</f>
        <v/>
      </c>
      <c r="G8577" s="29">
        <f>VLOOKUP(A8577,Calendar!$A$1:$H$9997,6,FALSE)-F8577</f>
        <v/>
      </c>
      <c r="H8577" s="19" t="n">
        <v>3</v>
      </c>
      <c r="I8577" s="57" t="n">
        <v>6</v>
      </c>
    </row>
    <row r="8578">
      <c r="A8578" s="62" t="n">
        <v>47017</v>
      </c>
      <c r="B8578" s="3" t="inlineStr">
        <is>
          <t>Week</t>
        </is>
      </c>
      <c r="C8578" s="19" t="n">
        <v>9</v>
      </c>
      <c r="D8578" s="19" t="n">
        <v>2028</v>
      </c>
      <c r="E8578" s="57" t="n">
        <v>8</v>
      </c>
      <c r="F8578" s="29">
        <f>ROUND(((SUMIFS(Calendar!$F$2:$F$9997,Calendar!$B$2:$B$9997,D8578,Calendar!$C$2:$C$9997,C8578)*INDEX(ForeCalc!$B$37:$Y$274,MATCH(_xlfn.CONCAT(H8578," ",I8578),ForeCalc!$A$37:$A$274,0),MATCH(_xlfn.CONCAT(B8578," ",E8578),ForeCalc!$B$36:$Y$36,0))))*VLOOKUP(A8578,Calendar!$A$2:$H$9997,8,FALSE),0)</f>
        <v/>
      </c>
      <c r="G8578" s="29">
        <f>VLOOKUP(A8578,Calendar!$A$1:$H$9997,6,FALSE)-F8578</f>
        <v/>
      </c>
      <c r="H8578" s="19" t="n">
        <v>3</v>
      </c>
      <c r="I8578" s="57" t="n">
        <v>6</v>
      </c>
    </row>
    <row r="8579">
      <c r="A8579" s="62" t="n">
        <v>47018</v>
      </c>
      <c r="B8579" s="3" t="inlineStr">
        <is>
          <t>Week</t>
        </is>
      </c>
      <c r="C8579" s="19" t="n">
        <v>9</v>
      </c>
      <c r="D8579" s="19" t="n">
        <v>2028</v>
      </c>
      <c r="E8579" s="57" t="n">
        <v>8</v>
      </c>
      <c r="F8579" s="29">
        <f>ROUND(((SUMIFS(Calendar!$F$2:$F$9997,Calendar!$B$2:$B$9997,D8579,Calendar!$C$2:$C$9997,C8579)*INDEX(ForeCalc!$B$37:$Y$274,MATCH(_xlfn.CONCAT(H8579," ",I8579),ForeCalc!$A$37:$A$274,0),MATCH(_xlfn.CONCAT(B8579," ",E8579),ForeCalc!$B$36:$Y$36,0))))*VLOOKUP(A8579,Calendar!$A$2:$H$9997,8,FALSE),0)</f>
        <v/>
      </c>
      <c r="G8579" s="29">
        <f>VLOOKUP(A8579,Calendar!$A$1:$H$9997,6,FALSE)-F8579</f>
        <v/>
      </c>
      <c r="H8579" s="19" t="n">
        <v>3</v>
      </c>
      <c r="I8579" s="57" t="n">
        <v>6</v>
      </c>
    </row>
    <row r="8580">
      <c r="A8580" s="62" t="n">
        <v>47019</v>
      </c>
      <c r="B8580" s="3" t="inlineStr">
        <is>
          <t>Sat</t>
        </is>
      </c>
      <c r="C8580" s="19" t="n">
        <v>9</v>
      </c>
      <c r="D8580" s="19" t="n">
        <v>2028</v>
      </c>
      <c r="E8580" s="57" t="n">
        <v>8</v>
      </c>
      <c r="F8580" s="29">
        <f>ROUND(((SUMIFS(Calendar!$F$2:$F$9997,Calendar!$B$2:$B$9997,D8580,Calendar!$C$2:$C$9997,C8580)*INDEX(ForeCalc!$B$37:$Y$274,MATCH(_xlfn.CONCAT(H8580," ",I8580),ForeCalc!$A$37:$A$274,0),MATCH(_xlfn.CONCAT(B8580," ",E8580),ForeCalc!$B$36:$Y$36,0))))*VLOOKUP(A8580,Calendar!$A$2:$H$9997,8,FALSE),0)</f>
        <v/>
      </c>
      <c r="G8580" s="29">
        <f>VLOOKUP(A8580,Calendar!$A$1:$H$9997,6,FALSE)-F8580</f>
        <v/>
      </c>
      <c r="H8580" s="19" t="n">
        <v>3</v>
      </c>
      <c r="I8580" s="57" t="n">
        <v>6</v>
      </c>
    </row>
    <row r="8581">
      <c r="A8581" s="62" t="n">
        <v>47020</v>
      </c>
      <c r="B8581" s="3" t="inlineStr">
        <is>
          <t>Sun</t>
        </is>
      </c>
      <c r="C8581" s="19" t="n">
        <v>9</v>
      </c>
      <c r="D8581" s="19" t="n">
        <v>2028</v>
      </c>
      <c r="E8581" s="57" t="n">
        <v>8</v>
      </c>
      <c r="F8581" s="29">
        <f>ROUND(((SUMIFS(Calendar!$F$2:$F$9997,Calendar!$B$2:$B$9997,D8581,Calendar!$C$2:$C$9997,C8581)*INDEX(ForeCalc!$B$37:$Y$274,MATCH(_xlfn.CONCAT(H8581," ",I8581),ForeCalc!$A$37:$A$274,0),MATCH(_xlfn.CONCAT(B8581," ",E8581),ForeCalc!$B$36:$Y$36,0))))*VLOOKUP(A8581,Calendar!$A$2:$H$9997,8,FALSE),0)</f>
        <v/>
      </c>
      <c r="G8581" s="29">
        <f>VLOOKUP(A8581,Calendar!$A$1:$H$9997,6,FALSE)-F8581</f>
        <v/>
      </c>
      <c r="H8581" s="19" t="n">
        <v>3</v>
      </c>
      <c r="I8581" s="57" t="n">
        <v>6</v>
      </c>
    </row>
    <row r="8582">
      <c r="A8582" s="62" t="n">
        <v>47021</v>
      </c>
      <c r="B8582" s="3" t="inlineStr">
        <is>
          <t>Week</t>
        </is>
      </c>
      <c r="C8582" s="19" t="n">
        <v>9</v>
      </c>
      <c r="D8582" s="19" t="n">
        <v>2028</v>
      </c>
      <c r="E8582" s="57" t="n">
        <v>8</v>
      </c>
      <c r="F8582" s="29">
        <f>ROUND(((SUMIFS(Calendar!$F$2:$F$9997,Calendar!$B$2:$B$9997,D8582,Calendar!$C$2:$C$9997,C8582)*INDEX(ForeCalc!$B$37:$Y$274,MATCH(_xlfn.CONCAT(H8582," ",I8582),ForeCalc!$A$37:$A$274,0),MATCH(_xlfn.CONCAT(B8582," ",E8582),ForeCalc!$B$36:$Y$36,0))))*VLOOKUP(A8582,Calendar!$A$2:$H$9997,8,FALSE),0)</f>
        <v/>
      </c>
      <c r="G8582" s="29">
        <f>VLOOKUP(A8582,Calendar!$A$1:$H$9997,6,FALSE)-F8582</f>
        <v/>
      </c>
      <c r="H8582" s="19" t="n">
        <v>3</v>
      </c>
      <c r="I8582" s="57" t="n">
        <v>6</v>
      </c>
    </row>
    <row r="8583">
      <c r="A8583" s="62" t="n">
        <v>47022</v>
      </c>
      <c r="B8583" s="3" t="inlineStr">
        <is>
          <t>Week</t>
        </is>
      </c>
      <c r="C8583" s="19" t="n">
        <v>9</v>
      </c>
      <c r="D8583" s="19" t="n">
        <v>2028</v>
      </c>
      <c r="E8583" s="57" t="n">
        <v>8</v>
      </c>
      <c r="F8583" s="29">
        <f>ROUND(((SUMIFS(Calendar!$F$2:$F$9997,Calendar!$B$2:$B$9997,D8583,Calendar!$C$2:$C$9997,C8583)*INDEX(ForeCalc!$B$37:$Y$274,MATCH(_xlfn.CONCAT(H8583," ",I8583),ForeCalc!$A$37:$A$274,0),MATCH(_xlfn.CONCAT(B8583," ",E8583),ForeCalc!$B$36:$Y$36,0))))*VLOOKUP(A8583,Calendar!$A$2:$H$9997,8,FALSE),0)</f>
        <v/>
      </c>
      <c r="G8583" s="29">
        <f>VLOOKUP(A8583,Calendar!$A$1:$H$9997,6,FALSE)-F8583</f>
        <v/>
      </c>
      <c r="H8583" s="19" t="n">
        <v>3</v>
      </c>
      <c r="I8583" s="57" t="n">
        <v>6</v>
      </c>
    </row>
    <row r="8584">
      <c r="A8584" s="62" t="n">
        <v>47023</v>
      </c>
      <c r="B8584" s="3" t="inlineStr">
        <is>
          <t>Week</t>
        </is>
      </c>
      <c r="C8584" s="19" t="n">
        <v>9</v>
      </c>
      <c r="D8584" s="19" t="n">
        <v>2028</v>
      </c>
      <c r="E8584" s="57" t="n">
        <v>8</v>
      </c>
      <c r="F8584" s="29">
        <f>ROUND(((SUMIFS(Calendar!$F$2:$F$9997,Calendar!$B$2:$B$9997,D8584,Calendar!$C$2:$C$9997,C8584)*INDEX(ForeCalc!$B$37:$Y$274,MATCH(_xlfn.CONCAT(H8584," ",I8584),ForeCalc!$A$37:$A$274,0),MATCH(_xlfn.CONCAT(B8584," ",E8584),ForeCalc!$B$36:$Y$36,0))))*VLOOKUP(A8584,Calendar!$A$2:$H$9997,8,FALSE),0)</f>
        <v/>
      </c>
      <c r="G8584" s="29">
        <f>VLOOKUP(A8584,Calendar!$A$1:$H$9997,6,FALSE)-F8584</f>
        <v/>
      </c>
      <c r="H8584" s="19" t="n">
        <v>3</v>
      </c>
      <c r="I8584" s="57" t="n">
        <v>6</v>
      </c>
    </row>
    <row r="8585">
      <c r="A8585" s="62" t="n">
        <v>47024</v>
      </c>
      <c r="B8585" s="3" t="inlineStr">
        <is>
          <t>Week</t>
        </is>
      </c>
      <c r="C8585" s="19" t="n">
        <v>9</v>
      </c>
      <c r="D8585" s="19" t="n">
        <v>2028</v>
      </c>
      <c r="E8585" s="57" t="n">
        <v>8</v>
      </c>
      <c r="F8585" s="29">
        <f>ROUND(((SUMIFS(Calendar!$F$2:$F$9997,Calendar!$B$2:$B$9997,D8585,Calendar!$C$2:$C$9997,C8585)*INDEX(ForeCalc!$B$37:$Y$274,MATCH(_xlfn.CONCAT(H8585," ",I8585),ForeCalc!$A$37:$A$274,0),MATCH(_xlfn.CONCAT(B8585," ",E8585),ForeCalc!$B$36:$Y$36,0))))*VLOOKUP(A8585,Calendar!$A$2:$H$9997,8,FALSE),0)</f>
        <v/>
      </c>
      <c r="G8585" s="29">
        <f>VLOOKUP(A8585,Calendar!$A$1:$H$9997,6,FALSE)-F8585</f>
        <v/>
      </c>
      <c r="H8585" s="19" t="n">
        <v>3</v>
      </c>
      <c r="I8585" s="57" t="n">
        <v>6</v>
      </c>
    </row>
    <row r="8586">
      <c r="A8586" s="62" t="n">
        <v>47025</v>
      </c>
      <c r="B8586" s="3" t="inlineStr">
        <is>
          <t>Week</t>
        </is>
      </c>
      <c r="C8586" s="19" t="n">
        <v>9</v>
      </c>
      <c r="D8586" s="19" t="n">
        <v>2028</v>
      </c>
      <c r="E8586" s="57" t="n">
        <v>8</v>
      </c>
      <c r="F8586" s="29">
        <f>ROUND(((SUMIFS(Calendar!$F$2:$F$9997,Calendar!$B$2:$B$9997,D8586,Calendar!$C$2:$C$9997,C8586)*INDEX(ForeCalc!$B$37:$Y$274,MATCH(_xlfn.CONCAT(H8586," ",I8586),ForeCalc!$A$37:$A$274,0),MATCH(_xlfn.CONCAT(B8586," ",E8586),ForeCalc!$B$36:$Y$36,0))))*VLOOKUP(A8586,Calendar!$A$2:$H$9997,8,FALSE),0)</f>
        <v/>
      </c>
      <c r="G8586" s="29">
        <f>VLOOKUP(A8586,Calendar!$A$1:$H$9997,6,FALSE)-F8586</f>
        <v/>
      </c>
      <c r="H8586" s="19" t="n">
        <v>3</v>
      </c>
      <c r="I8586" s="57" t="n">
        <v>6</v>
      </c>
    </row>
    <row r="8587">
      <c r="A8587" s="62" t="n">
        <v>47026</v>
      </c>
      <c r="B8587" s="3" t="inlineStr">
        <is>
          <t>Sat</t>
        </is>
      </c>
      <c r="C8587" s="19" t="n">
        <v>9</v>
      </c>
      <c r="D8587" s="19" t="n">
        <v>2028</v>
      </c>
      <c r="E8587" s="57" t="n">
        <v>8</v>
      </c>
      <c r="F8587" s="29">
        <f>ROUND(((SUMIFS(Calendar!$F$2:$F$9997,Calendar!$B$2:$B$9997,D8587,Calendar!$C$2:$C$9997,C8587)*INDEX(ForeCalc!$B$37:$Y$274,MATCH(_xlfn.CONCAT(H8587," ",I8587),ForeCalc!$A$37:$A$274,0),MATCH(_xlfn.CONCAT(B8587," ",E8587),ForeCalc!$B$36:$Y$36,0))))*VLOOKUP(A8587,Calendar!$A$2:$H$9997,8,FALSE),0)</f>
        <v/>
      </c>
      <c r="G8587" s="29">
        <f>VLOOKUP(A8587,Calendar!$A$1:$H$9997,6,FALSE)-F8587</f>
        <v/>
      </c>
      <c r="H8587" s="19" t="n">
        <v>3</v>
      </c>
      <c r="I8587" s="57" t="n">
        <v>6</v>
      </c>
    </row>
    <row r="8588">
      <c r="A8588" s="62" t="n">
        <v>47027</v>
      </c>
      <c r="B8588" s="3" t="inlineStr">
        <is>
          <t>Sun</t>
        </is>
      </c>
      <c r="C8588" s="19" t="n">
        <v>10</v>
      </c>
      <c r="D8588" s="19" t="n">
        <v>2028</v>
      </c>
      <c r="E8588" s="57" t="n">
        <v>8</v>
      </c>
      <c r="F8588" s="29">
        <f>ROUND(((SUMIFS(Calendar!$F$2:$F$9997,Calendar!$B$2:$B$9997,D8588,Calendar!$C$2:$C$9997,C8588)*INDEX(ForeCalc!$B$37:$Y$274,MATCH(_xlfn.CONCAT(H8588," ",I8588),ForeCalc!$A$37:$A$274,0),MATCH(_xlfn.CONCAT(B8588," ",E8588),ForeCalc!$B$36:$Y$36,0))))*VLOOKUP(A8588,Calendar!$A$2:$H$9997,8,FALSE),0)</f>
        <v/>
      </c>
      <c r="G8588" s="29">
        <f>VLOOKUP(A8588,Calendar!$A$1:$H$9997,6,FALSE)-F8588</f>
        <v/>
      </c>
      <c r="H8588" s="19" t="n">
        <v>3</v>
      </c>
      <c r="I8588" s="57" t="n">
        <v>7</v>
      </c>
    </row>
    <row r="8589">
      <c r="A8589" s="62" t="n">
        <v>47028</v>
      </c>
      <c r="B8589" s="3" t="inlineStr">
        <is>
          <t>Week</t>
        </is>
      </c>
      <c r="C8589" s="19" t="n">
        <v>10</v>
      </c>
      <c r="D8589" s="19" t="n">
        <v>2028</v>
      </c>
      <c r="E8589" s="57" t="n">
        <v>8</v>
      </c>
      <c r="F8589" s="29">
        <f>ROUND(((SUMIFS(Calendar!$F$2:$F$9997,Calendar!$B$2:$B$9997,D8589,Calendar!$C$2:$C$9997,C8589)*INDEX(ForeCalc!$B$37:$Y$274,MATCH(_xlfn.CONCAT(H8589," ",I8589),ForeCalc!$A$37:$A$274,0),MATCH(_xlfn.CONCAT(B8589," ",E8589),ForeCalc!$B$36:$Y$36,0))))*VLOOKUP(A8589,Calendar!$A$2:$H$9997,8,FALSE),0)</f>
        <v/>
      </c>
      <c r="G8589" s="29">
        <f>VLOOKUP(A8589,Calendar!$A$1:$H$9997,6,FALSE)-F8589</f>
        <v/>
      </c>
      <c r="H8589" s="19" t="n">
        <v>3</v>
      </c>
      <c r="I8589" s="57" t="n">
        <v>7</v>
      </c>
    </row>
    <row r="8590">
      <c r="A8590" s="62" t="n">
        <v>47029</v>
      </c>
      <c r="B8590" s="3" t="inlineStr">
        <is>
          <t>Week</t>
        </is>
      </c>
      <c r="C8590" s="19" t="n">
        <v>10</v>
      </c>
      <c r="D8590" s="19" t="n">
        <v>2028</v>
      </c>
      <c r="E8590" s="57" t="n">
        <v>8</v>
      </c>
      <c r="F8590" s="29">
        <f>ROUND(((SUMIFS(Calendar!$F$2:$F$9997,Calendar!$B$2:$B$9997,D8590,Calendar!$C$2:$C$9997,C8590)*INDEX(ForeCalc!$B$37:$Y$274,MATCH(_xlfn.CONCAT(H8590," ",I8590),ForeCalc!$A$37:$A$274,0),MATCH(_xlfn.CONCAT(B8590," ",E8590),ForeCalc!$B$36:$Y$36,0))))*VLOOKUP(A8590,Calendar!$A$2:$H$9997,8,FALSE),0)</f>
        <v/>
      </c>
      <c r="G8590" s="29">
        <f>VLOOKUP(A8590,Calendar!$A$1:$H$9997,6,FALSE)-F8590</f>
        <v/>
      </c>
      <c r="H8590" s="19" t="n">
        <v>3</v>
      </c>
      <c r="I8590" s="57" t="n">
        <v>7</v>
      </c>
    </row>
    <row r="8591">
      <c r="A8591" s="62" t="n">
        <v>47030</v>
      </c>
      <c r="B8591" s="3" t="inlineStr">
        <is>
          <t>Week</t>
        </is>
      </c>
      <c r="C8591" s="19" t="n">
        <v>10</v>
      </c>
      <c r="D8591" s="19" t="n">
        <v>2028</v>
      </c>
      <c r="E8591" s="57" t="n">
        <v>8</v>
      </c>
      <c r="F8591" s="29">
        <f>ROUND(((SUMIFS(Calendar!$F$2:$F$9997,Calendar!$B$2:$B$9997,D8591,Calendar!$C$2:$C$9997,C8591)*INDEX(ForeCalc!$B$37:$Y$274,MATCH(_xlfn.CONCAT(H8591," ",I8591),ForeCalc!$A$37:$A$274,0),MATCH(_xlfn.CONCAT(B8591," ",E8591),ForeCalc!$B$36:$Y$36,0))))*VLOOKUP(A8591,Calendar!$A$2:$H$9997,8,FALSE),0)</f>
        <v/>
      </c>
      <c r="G8591" s="29">
        <f>VLOOKUP(A8591,Calendar!$A$1:$H$9997,6,FALSE)-F8591</f>
        <v/>
      </c>
      <c r="H8591" s="19" t="n">
        <v>3</v>
      </c>
      <c r="I8591" s="57" t="n">
        <v>7</v>
      </c>
    </row>
    <row r="8592">
      <c r="A8592" s="62" t="n">
        <v>47031</v>
      </c>
      <c r="B8592" s="3" t="inlineStr">
        <is>
          <t>Week</t>
        </is>
      </c>
      <c r="C8592" s="19" t="n">
        <v>10</v>
      </c>
      <c r="D8592" s="19" t="n">
        <v>2028</v>
      </c>
      <c r="E8592" s="57" t="n">
        <v>8</v>
      </c>
      <c r="F8592" s="29">
        <f>ROUND(((SUMIFS(Calendar!$F$2:$F$9997,Calendar!$B$2:$B$9997,D8592,Calendar!$C$2:$C$9997,C8592)*INDEX(ForeCalc!$B$37:$Y$274,MATCH(_xlfn.CONCAT(H8592," ",I8592),ForeCalc!$A$37:$A$274,0),MATCH(_xlfn.CONCAT(B8592," ",E8592),ForeCalc!$B$36:$Y$36,0))))*VLOOKUP(A8592,Calendar!$A$2:$H$9997,8,FALSE),0)</f>
        <v/>
      </c>
      <c r="G8592" s="29">
        <f>VLOOKUP(A8592,Calendar!$A$1:$H$9997,6,FALSE)-F8592</f>
        <v/>
      </c>
      <c r="H8592" s="19" t="n">
        <v>3</v>
      </c>
      <c r="I8592" s="57" t="n">
        <v>7</v>
      </c>
    </row>
    <row r="8593">
      <c r="A8593" s="62" t="n">
        <v>47032</v>
      </c>
      <c r="B8593" s="3" t="inlineStr">
        <is>
          <t>Week</t>
        </is>
      </c>
      <c r="C8593" s="19" t="n">
        <v>10</v>
      </c>
      <c r="D8593" s="19" t="n">
        <v>2028</v>
      </c>
      <c r="E8593" s="57" t="n">
        <v>8</v>
      </c>
      <c r="F8593" s="29">
        <f>ROUND(((SUMIFS(Calendar!$F$2:$F$9997,Calendar!$B$2:$B$9997,D8593,Calendar!$C$2:$C$9997,C8593)*INDEX(ForeCalc!$B$37:$Y$274,MATCH(_xlfn.CONCAT(H8593," ",I8593),ForeCalc!$A$37:$A$274,0),MATCH(_xlfn.CONCAT(B8593," ",E8593),ForeCalc!$B$36:$Y$36,0))))*VLOOKUP(A8593,Calendar!$A$2:$H$9997,8,FALSE),0)</f>
        <v/>
      </c>
      <c r="G8593" s="29">
        <f>VLOOKUP(A8593,Calendar!$A$1:$H$9997,6,FALSE)-F8593</f>
        <v/>
      </c>
      <c r="H8593" s="19" t="n">
        <v>3</v>
      </c>
      <c r="I8593" s="57" t="n">
        <v>7</v>
      </c>
    </row>
    <row r="8594">
      <c r="A8594" s="62" t="n">
        <v>47033</v>
      </c>
      <c r="B8594" s="3" t="inlineStr">
        <is>
          <t>Sat</t>
        </is>
      </c>
      <c r="C8594" s="19" t="n">
        <v>10</v>
      </c>
      <c r="D8594" s="19" t="n">
        <v>2028</v>
      </c>
      <c r="E8594" s="57" t="n">
        <v>8</v>
      </c>
      <c r="F8594" s="29">
        <f>ROUND(((SUMIFS(Calendar!$F$2:$F$9997,Calendar!$B$2:$B$9997,D8594,Calendar!$C$2:$C$9997,C8594)*INDEX(ForeCalc!$B$37:$Y$274,MATCH(_xlfn.CONCAT(H8594," ",I8594),ForeCalc!$A$37:$A$274,0),MATCH(_xlfn.CONCAT(B8594," ",E8594),ForeCalc!$B$36:$Y$36,0))))*VLOOKUP(A8594,Calendar!$A$2:$H$9997,8,FALSE),0)</f>
        <v/>
      </c>
      <c r="G8594" s="29">
        <f>VLOOKUP(A8594,Calendar!$A$1:$H$9997,6,FALSE)-F8594</f>
        <v/>
      </c>
      <c r="H8594" s="19" t="n">
        <v>3</v>
      </c>
      <c r="I8594" s="57" t="n">
        <v>7</v>
      </c>
    </row>
    <row r="8595">
      <c r="A8595" s="62" t="n">
        <v>47034</v>
      </c>
      <c r="B8595" s="3" t="inlineStr">
        <is>
          <t>Sun</t>
        </is>
      </c>
      <c r="C8595" s="19" t="n">
        <v>10</v>
      </c>
      <c r="D8595" s="19" t="n">
        <v>2028</v>
      </c>
      <c r="E8595" s="57" t="n">
        <v>8</v>
      </c>
      <c r="F8595" s="29">
        <f>ROUND(((SUMIFS(Calendar!$F$2:$F$9997,Calendar!$B$2:$B$9997,D8595,Calendar!$C$2:$C$9997,C8595)*INDEX(ForeCalc!$B$37:$Y$274,MATCH(_xlfn.CONCAT(H8595," ",I8595),ForeCalc!$A$37:$A$274,0),MATCH(_xlfn.CONCAT(B8595," ",E8595),ForeCalc!$B$36:$Y$36,0))))*VLOOKUP(A8595,Calendar!$A$2:$H$9997,8,FALSE),0)</f>
        <v/>
      </c>
      <c r="G8595" s="29">
        <f>VLOOKUP(A8595,Calendar!$A$1:$H$9997,6,FALSE)-F8595</f>
        <v/>
      </c>
      <c r="H8595" s="19" t="n">
        <v>3</v>
      </c>
      <c r="I8595" s="57" t="n">
        <v>7</v>
      </c>
    </row>
    <row r="8596">
      <c r="A8596" s="62" t="n">
        <v>47035</v>
      </c>
      <c r="B8596" s="3" t="inlineStr">
        <is>
          <t>Week</t>
        </is>
      </c>
      <c r="C8596" s="19" t="n">
        <v>10</v>
      </c>
      <c r="D8596" s="19" t="n">
        <v>2028</v>
      </c>
      <c r="E8596" s="57" t="n">
        <v>8</v>
      </c>
      <c r="F8596" s="29">
        <f>ROUND(((SUMIFS(Calendar!$F$2:$F$9997,Calendar!$B$2:$B$9997,D8596,Calendar!$C$2:$C$9997,C8596)*INDEX(ForeCalc!$B$37:$Y$274,MATCH(_xlfn.CONCAT(H8596," ",I8596),ForeCalc!$A$37:$A$274,0),MATCH(_xlfn.CONCAT(B8596," ",E8596),ForeCalc!$B$36:$Y$36,0))))*VLOOKUP(A8596,Calendar!$A$2:$H$9997,8,FALSE),0)</f>
        <v/>
      </c>
      <c r="G8596" s="29">
        <f>VLOOKUP(A8596,Calendar!$A$1:$H$9997,6,FALSE)-F8596</f>
        <v/>
      </c>
      <c r="H8596" s="19" t="n">
        <v>3</v>
      </c>
      <c r="I8596" s="57" t="n">
        <v>7</v>
      </c>
    </row>
    <row r="8597">
      <c r="A8597" s="62" t="n">
        <v>47036</v>
      </c>
      <c r="B8597" s="3" t="inlineStr">
        <is>
          <t>Week</t>
        </is>
      </c>
      <c r="C8597" s="19" t="n">
        <v>10</v>
      </c>
      <c r="D8597" s="19" t="n">
        <v>2028</v>
      </c>
      <c r="E8597" s="57" t="n">
        <v>8</v>
      </c>
      <c r="F8597" s="29">
        <f>ROUND(((SUMIFS(Calendar!$F$2:$F$9997,Calendar!$B$2:$B$9997,D8597,Calendar!$C$2:$C$9997,C8597)*INDEX(ForeCalc!$B$37:$Y$274,MATCH(_xlfn.CONCAT(H8597," ",I8597),ForeCalc!$A$37:$A$274,0),MATCH(_xlfn.CONCAT(B8597," ",E8597),ForeCalc!$B$36:$Y$36,0))))*VLOOKUP(A8597,Calendar!$A$2:$H$9997,8,FALSE),0)</f>
        <v/>
      </c>
      <c r="G8597" s="29">
        <f>VLOOKUP(A8597,Calendar!$A$1:$H$9997,6,FALSE)-F8597</f>
        <v/>
      </c>
      <c r="H8597" s="19" t="n">
        <v>3</v>
      </c>
      <c r="I8597" s="57" t="n">
        <v>7</v>
      </c>
    </row>
    <row r="8598">
      <c r="A8598" s="62" t="n">
        <v>47037</v>
      </c>
      <c r="B8598" s="3" t="inlineStr">
        <is>
          <t>Week</t>
        </is>
      </c>
      <c r="C8598" s="19" t="n">
        <v>10</v>
      </c>
      <c r="D8598" s="19" t="n">
        <v>2028</v>
      </c>
      <c r="E8598" s="57" t="n">
        <v>8</v>
      </c>
      <c r="F8598" s="29">
        <f>ROUND(((SUMIFS(Calendar!$F$2:$F$9997,Calendar!$B$2:$B$9997,D8598,Calendar!$C$2:$C$9997,C8598)*INDEX(ForeCalc!$B$37:$Y$274,MATCH(_xlfn.CONCAT(H8598," ",I8598),ForeCalc!$A$37:$A$274,0),MATCH(_xlfn.CONCAT(B8598," ",E8598),ForeCalc!$B$36:$Y$36,0))))*VLOOKUP(A8598,Calendar!$A$2:$H$9997,8,FALSE),0)</f>
        <v/>
      </c>
      <c r="G8598" s="29">
        <f>VLOOKUP(A8598,Calendar!$A$1:$H$9997,6,FALSE)-F8598</f>
        <v/>
      </c>
      <c r="H8598" s="19" t="n">
        <v>3</v>
      </c>
      <c r="I8598" s="57" t="n">
        <v>7</v>
      </c>
    </row>
    <row r="8599">
      <c r="A8599" s="62" t="n">
        <v>47038</v>
      </c>
      <c r="B8599" s="3" t="inlineStr">
        <is>
          <t>Week</t>
        </is>
      </c>
      <c r="C8599" s="19" t="n">
        <v>10</v>
      </c>
      <c r="D8599" s="19" t="n">
        <v>2028</v>
      </c>
      <c r="E8599" s="57" t="n">
        <v>8</v>
      </c>
      <c r="F8599" s="29">
        <f>ROUND(((SUMIFS(Calendar!$F$2:$F$9997,Calendar!$B$2:$B$9997,D8599,Calendar!$C$2:$C$9997,C8599)*INDEX(ForeCalc!$B$37:$Y$274,MATCH(_xlfn.CONCAT(H8599," ",I8599),ForeCalc!$A$37:$A$274,0),MATCH(_xlfn.CONCAT(B8599," ",E8599),ForeCalc!$B$36:$Y$36,0))))*VLOOKUP(A8599,Calendar!$A$2:$H$9997,8,FALSE),0)</f>
        <v/>
      </c>
      <c r="G8599" s="29">
        <f>VLOOKUP(A8599,Calendar!$A$1:$H$9997,6,FALSE)-F8599</f>
        <v/>
      </c>
      <c r="H8599" s="19" t="n">
        <v>3</v>
      </c>
      <c r="I8599" s="57" t="n">
        <v>7</v>
      </c>
    </row>
    <row r="8600">
      <c r="A8600" s="62" t="n">
        <v>47039</v>
      </c>
      <c r="B8600" s="3" t="inlineStr">
        <is>
          <t>Week</t>
        </is>
      </c>
      <c r="C8600" s="19" t="n">
        <v>10</v>
      </c>
      <c r="D8600" s="19" t="n">
        <v>2028</v>
      </c>
      <c r="E8600" s="57" t="n">
        <v>8</v>
      </c>
      <c r="F8600" s="29">
        <f>ROUND(((SUMIFS(Calendar!$F$2:$F$9997,Calendar!$B$2:$B$9997,D8600,Calendar!$C$2:$C$9997,C8600)*INDEX(ForeCalc!$B$37:$Y$274,MATCH(_xlfn.CONCAT(H8600," ",I8600),ForeCalc!$A$37:$A$274,0),MATCH(_xlfn.CONCAT(B8600," ",E8600),ForeCalc!$B$36:$Y$36,0))))*VLOOKUP(A8600,Calendar!$A$2:$H$9997,8,FALSE),0)</f>
        <v/>
      </c>
      <c r="G8600" s="29">
        <f>VLOOKUP(A8600,Calendar!$A$1:$H$9997,6,FALSE)-F8600</f>
        <v/>
      </c>
      <c r="H8600" s="19" t="n">
        <v>3</v>
      </c>
      <c r="I8600" s="57" t="n">
        <v>7</v>
      </c>
    </row>
    <row r="8601">
      <c r="A8601" s="62" t="n">
        <v>47040</v>
      </c>
      <c r="B8601" s="3" t="inlineStr">
        <is>
          <t>Sat</t>
        </is>
      </c>
      <c r="C8601" s="19" t="n">
        <v>10</v>
      </c>
      <c r="D8601" s="19" t="n">
        <v>2028</v>
      </c>
      <c r="E8601" s="57" t="n">
        <v>8</v>
      </c>
      <c r="F8601" s="29">
        <f>ROUND(((SUMIFS(Calendar!$F$2:$F$9997,Calendar!$B$2:$B$9997,D8601,Calendar!$C$2:$C$9997,C8601)*INDEX(ForeCalc!$B$37:$Y$274,MATCH(_xlfn.CONCAT(H8601," ",I8601),ForeCalc!$A$37:$A$274,0),MATCH(_xlfn.CONCAT(B8601," ",E8601),ForeCalc!$B$36:$Y$36,0))))*VLOOKUP(A8601,Calendar!$A$2:$H$9997,8,FALSE),0)</f>
        <v/>
      </c>
      <c r="G8601" s="29">
        <f>VLOOKUP(A8601,Calendar!$A$1:$H$9997,6,FALSE)-F8601</f>
        <v/>
      </c>
      <c r="H8601" s="19" t="n">
        <v>3</v>
      </c>
      <c r="I8601" s="57" t="n">
        <v>7</v>
      </c>
    </row>
    <row r="8602">
      <c r="A8602" s="62" t="n">
        <v>47041</v>
      </c>
      <c r="B8602" s="3" t="inlineStr">
        <is>
          <t>Sun</t>
        </is>
      </c>
      <c r="C8602" s="19" t="n">
        <v>10</v>
      </c>
      <c r="D8602" s="19" t="n">
        <v>2028</v>
      </c>
      <c r="E8602" s="57" t="n">
        <v>8</v>
      </c>
      <c r="F8602" s="29">
        <f>ROUND(((SUMIFS(Calendar!$F$2:$F$9997,Calendar!$B$2:$B$9997,D8602,Calendar!$C$2:$C$9997,C8602)*INDEX(ForeCalc!$B$37:$Y$274,MATCH(_xlfn.CONCAT(H8602," ",I8602),ForeCalc!$A$37:$A$274,0),MATCH(_xlfn.CONCAT(B8602," ",E8602),ForeCalc!$B$36:$Y$36,0))))*VLOOKUP(A8602,Calendar!$A$2:$H$9997,8,FALSE),0)</f>
        <v/>
      </c>
      <c r="G8602" s="29">
        <f>VLOOKUP(A8602,Calendar!$A$1:$H$9997,6,FALSE)-F8602</f>
        <v/>
      </c>
      <c r="H8602" s="19" t="n">
        <v>3</v>
      </c>
      <c r="I8602" s="57" t="n">
        <v>7</v>
      </c>
    </row>
    <row r="8603">
      <c r="A8603" s="62" t="n">
        <v>47042</v>
      </c>
      <c r="B8603" s="3" t="inlineStr">
        <is>
          <t>Week</t>
        </is>
      </c>
      <c r="C8603" s="19" t="n">
        <v>10</v>
      </c>
      <c r="D8603" s="19" t="n">
        <v>2028</v>
      </c>
      <c r="E8603" s="57" t="n">
        <v>8</v>
      </c>
      <c r="F8603" s="29">
        <f>ROUND(((SUMIFS(Calendar!$F$2:$F$9997,Calendar!$B$2:$B$9997,D8603,Calendar!$C$2:$C$9997,C8603)*INDEX(ForeCalc!$B$37:$Y$274,MATCH(_xlfn.CONCAT(H8603," ",I8603),ForeCalc!$A$37:$A$274,0),MATCH(_xlfn.CONCAT(B8603," ",E8603),ForeCalc!$B$36:$Y$36,0))))*VLOOKUP(A8603,Calendar!$A$2:$H$9997,8,FALSE),0)</f>
        <v/>
      </c>
      <c r="G8603" s="29">
        <f>VLOOKUP(A8603,Calendar!$A$1:$H$9997,6,FALSE)-F8603</f>
        <v/>
      </c>
      <c r="H8603" s="19" t="n">
        <v>3</v>
      </c>
      <c r="I8603" s="57" t="n">
        <v>7</v>
      </c>
    </row>
    <row r="8604">
      <c r="A8604" s="62" t="n">
        <v>47043</v>
      </c>
      <c r="B8604" s="3" t="inlineStr">
        <is>
          <t>Week</t>
        </is>
      </c>
      <c r="C8604" s="19" t="n">
        <v>10</v>
      </c>
      <c r="D8604" s="19" t="n">
        <v>2028</v>
      </c>
      <c r="E8604" s="57" t="n">
        <v>8</v>
      </c>
      <c r="F8604" s="29">
        <f>ROUND(((SUMIFS(Calendar!$F$2:$F$9997,Calendar!$B$2:$B$9997,D8604,Calendar!$C$2:$C$9997,C8604)*INDEX(ForeCalc!$B$37:$Y$274,MATCH(_xlfn.CONCAT(H8604," ",I8604),ForeCalc!$A$37:$A$274,0),MATCH(_xlfn.CONCAT(B8604," ",E8604),ForeCalc!$B$36:$Y$36,0))))*VLOOKUP(A8604,Calendar!$A$2:$H$9997,8,FALSE),0)</f>
        <v/>
      </c>
      <c r="G8604" s="29">
        <f>VLOOKUP(A8604,Calendar!$A$1:$H$9997,6,FALSE)-F8604</f>
        <v/>
      </c>
      <c r="H8604" s="19" t="n">
        <v>3</v>
      </c>
      <c r="I8604" s="57" t="n">
        <v>7</v>
      </c>
    </row>
    <row r="8605">
      <c r="A8605" s="62" t="n">
        <v>47044</v>
      </c>
      <c r="B8605" s="3" t="inlineStr">
        <is>
          <t>Week</t>
        </is>
      </c>
      <c r="C8605" s="19" t="n">
        <v>10</v>
      </c>
      <c r="D8605" s="19" t="n">
        <v>2028</v>
      </c>
      <c r="E8605" s="57" t="n">
        <v>8</v>
      </c>
      <c r="F8605" s="29">
        <f>ROUND(((SUMIFS(Calendar!$F$2:$F$9997,Calendar!$B$2:$B$9997,D8605,Calendar!$C$2:$C$9997,C8605)*INDEX(ForeCalc!$B$37:$Y$274,MATCH(_xlfn.CONCAT(H8605," ",I8605),ForeCalc!$A$37:$A$274,0),MATCH(_xlfn.CONCAT(B8605," ",E8605),ForeCalc!$B$36:$Y$36,0))))*VLOOKUP(A8605,Calendar!$A$2:$H$9997,8,FALSE),0)</f>
        <v/>
      </c>
      <c r="G8605" s="29">
        <f>VLOOKUP(A8605,Calendar!$A$1:$H$9997,6,FALSE)-F8605</f>
        <v/>
      </c>
      <c r="H8605" s="19" t="n">
        <v>3</v>
      </c>
      <c r="I8605" s="57" t="n">
        <v>7</v>
      </c>
    </row>
    <row r="8606">
      <c r="A8606" s="62" t="n">
        <v>47045</v>
      </c>
      <c r="B8606" s="3" t="inlineStr">
        <is>
          <t>Week</t>
        </is>
      </c>
      <c r="C8606" s="19" t="n">
        <v>10</v>
      </c>
      <c r="D8606" s="19" t="n">
        <v>2028</v>
      </c>
      <c r="E8606" s="57" t="n">
        <v>8</v>
      </c>
      <c r="F8606" s="29">
        <f>ROUND(((SUMIFS(Calendar!$F$2:$F$9997,Calendar!$B$2:$B$9997,D8606,Calendar!$C$2:$C$9997,C8606)*INDEX(ForeCalc!$B$37:$Y$274,MATCH(_xlfn.CONCAT(H8606," ",I8606),ForeCalc!$A$37:$A$274,0),MATCH(_xlfn.CONCAT(B8606," ",E8606),ForeCalc!$B$36:$Y$36,0))))*VLOOKUP(A8606,Calendar!$A$2:$H$9997,8,FALSE),0)</f>
        <v/>
      </c>
      <c r="G8606" s="29">
        <f>VLOOKUP(A8606,Calendar!$A$1:$H$9997,6,FALSE)-F8606</f>
        <v/>
      </c>
      <c r="H8606" s="19" t="n">
        <v>3</v>
      </c>
      <c r="I8606" s="57" t="n">
        <v>7</v>
      </c>
    </row>
    <row r="8607">
      <c r="A8607" s="62" t="n">
        <v>47046</v>
      </c>
      <c r="B8607" s="3" t="inlineStr">
        <is>
          <t>Week</t>
        </is>
      </c>
      <c r="C8607" s="19" t="n">
        <v>10</v>
      </c>
      <c r="D8607" s="19" t="n">
        <v>2028</v>
      </c>
      <c r="E8607" s="57" t="n">
        <v>8</v>
      </c>
      <c r="F8607" s="29">
        <f>ROUND(((SUMIFS(Calendar!$F$2:$F$9997,Calendar!$B$2:$B$9997,D8607,Calendar!$C$2:$C$9997,C8607)*INDEX(ForeCalc!$B$37:$Y$274,MATCH(_xlfn.CONCAT(H8607," ",I8607),ForeCalc!$A$37:$A$274,0),MATCH(_xlfn.CONCAT(B8607," ",E8607),ForeCalc!$B$36:$Y$36,0))))*VLOOKUP(A8607,Calendar!$A$2:$H$9997,8,FALSE),0)</f>
        <v/>
      </c>
      <c r="G8607" s="29">
        <f>VLOOKUP(A8607,Calendar!$A$1:$H$9997,6,FALSE)-F8607</f>
        <v/>
      </c>
      <c r="H8607" s="19" t="n">
        <v>3</v>
      </c>
      <c r="I8607" s="57" t="n">
        <v>7</v>
      </c>
    </row>
    <row r="8608">
      <c r="A8608" s="62" t="n">
        <v>47047</v>
      </c>
      <c r="B8608" s="3" t="inlineStr">
        <is>
          <t>Sat</t>
        </is>
      </c>
      <c r="C8608" s="19" t="n">
        <v>10</v>
      </c>
      <c r="D8608" s="19" t="n">
        <v>2028</v>
      </c>
      <c r="E8608" s="57" t="n">
        <v>8</v>
      </c>
      <c r="F8608" s="29">
        <f>ROUND(((SUMIFS(Calendar!$F$2:$F$9997,Calendar!$B$2:$B$9997,D8608,Calendar!$C$2:$C$9997,C8608)*INDEX(ForeCalc!$B$37:$Y$274,MATCH(_xlfn.CONCAT(H8608," ",I8608),ForeCalc!$A$37:$A$274,0),MATCH(_xlfn.CONCAT(B8608," ",E8608),ForeCalc!$B$36:$Y$36,0))))*VLOOKUP(A8608,Calendar!$A$2:$H$9997,8,FALSE),0)</f>
        <v/>
      </c>
      <c r="G8608" s="29">
        <f>VLOOKUP(A8608,Calendar!$A$1:$H$9997,6,FALSE)-F8608</f>
        <v/>
      </c>
      <c r="H8608" s="19" t="n">
        <v>3</v>
      </c>
      <c r="I8608" s="57" t="n">
        <v>7</v>
      </c>
    </row>
    <row r="8609">
      <c r="A8609" s="62" t="n">
        <v>47048</v>
      </c>
      <c r="B8609" s="3" t="inlineStr">
        <is>
          <t>Sun</t>
        </is>
      </c>
      <c r="C8609" s="19" t="n">
        <v>10</v>
      </c>
      <c r="D8609" s="19" t="n">
        <v>2028</v>
      </c>
      <c r="E8609" s="57" t="n">
        <v>8</v>
      </c>
      <c r="F8609" s="29">
        <f>ROUND(((SUMIFS(Calendar!$F$2:$F$9997,Calendar!$B$2:$B$9997,D8609,Calendar!$C$2:$C$9997,C8609)*INDEX(ForeCalc!$B$37:$Y$274,MATCH(_xlfn.CONCAT(H8609," ",I8609),ForeCalc!$A$37:$A$274,0),MATCH(_xlfn.CONCAT(B8609," ",E8609),ForeCalc!$B$36:$Y$36,0))))*VLOOKUP(A8609,Calendar!$A$2:$H$9997,8,FALSE),0)</f>
        <v/>
      </c>
      <c r="G8609" s="29">
        <f>VLOOKUP(A8609,Calendar!$A$1:$H$9997,6,FALSE)-F8609</f>
        <v/>
      </c>
      <c r="H8609" s="19" t="n">
        <v>3</v>
      </c>
      <c r="I8609" s="57" t="n">
        <v>7</v>
      </c>
    </row>
    <row r="8610">
      <c r="A8610" s="62" t="n">
        <v>47049</v>
      </c>
      <c r="B8610" s="3" t="inlineStr">
        <is>
          <t>Week</t>
        </is>
      </c>
      <c r="C8610" s="19" t="n">
        <v>10</v>
      </c>
      <c r="D8610" s="19" t="n">
        <v>2028</v>
      </c>
      <c r="E8610" s="57" t="n">
        <v>8</v>
      </c>
      <c r="F8610" s="29">
        <f>ROUND(((SUMIFS(Calendar!$F$2:$F$9997,Calendar!$B$2:$B$9997,D8610,Calendar!$C$2:$C$9997,C8610)*INDEX(ForeCalc!$B$37:$Y$274,MATCH(_xlfn.CONCAT(H8610," ",I8610),ForeCalc!$A$37:$A$274,0),MATCH(_xlfn.CONCAT(B8610," ",E8610),ForeCalc!$B$36:$Y$36,0))))*VLOOKUP(A8610,Calendar!$A$2:$H$9997,8,FALSE),0)</f>
        <v/>
      </c>
      <c r="G8610" s="29">
        <f>VLOOKUP(A8610,Calendar!$A$1:$H$9997,6,FALSE)-F8610</f>
        <v/>
      </c>
      <c r="H8610" s="19" t="n">
        <v>3</v>
      </c>
      <c r="I8610" s="57" t="n">
        <v>7</v>
      </c>
    </row>
    <row r="8611">
      <c r="A8611" s="62" t="n">
        <v>47050</v>
      </c>
      <c r="B8611" s="3" t="inlineStr">
        <is>
          <t>Week</t>
        </is>
      </c>
      <c r="C8611" s="19" t="n">
        <v>10</v>
      </c>
      <c r="D8611" s="19" t="n">
        <v>2028</v>
      </c>
      <c r="E8611" s="57" t="n">
        <v>8</v>
      </c>
      <c r="F8611" s="29">
        <f>ROUND(((SUMIFS(Calendar!$F$2:$F$9997,Calendar!$B$2:$B$9997,D8611,Calendar!$C$2:$C$9997,C8611)*INDEX(ForeCalc!$B$37:$Y$274,MATCH(_xlfn.CONCAT(H8611," ",I8611),ForeCalc!$A$37:$A$274,0),MATCH(_xlfn.CONCAT(B8611," ",E8611),ForeCalc!$B$36:$Y$36,0))))*VLOOKUP(A8611,Calendar!$A$2:$H$9997,8,FALSE),0)</f>
        <v/>
      </c>
      <c r="G8611" s="29">
        <f>VLOOKUP(A8611,Calendar!$A$1:$H$9997,6,FALSE)-F8611</f>
        <v/>
      </c>
      <c r="H8611" s="19" t="n">
        <v>3</v>
      </c>
      <c r="I8611" s="57" t="n">
        <v>7</v>
      </c>
    </row>
    <row r="8612">
      <c r="A8612" s="62" t="n">
        <v>47051</v>
      </c>
      <c r="B8612" s="3" t="inlineStr">
        <is>
          <t>Week</t>
        </is>
      </c>
      <c r="C8612" s="19" t="n">
        <v>10</v>
      </c>
      <c r="D8612" s="19" t="n">
        <v>2028</v>
      </c>
      <c r="E8612" s="57" t="n">
        <v>8</v>
      </c>
      <c r="F8612" s="29">
        <f>ROUND(((SUMIFS(Calendar!$F$2:$F$9997,Calendar!$B$2:$B$9997,D8612,Calendar!$C$2:$C$9997,C8612)*INDEX(ForeCalc!$B$37:$Y$274,MATCH(_xlfn.CONCAT(H8612," ",I8612),ForeCalc!$A$37:$A$274,0),MATCH(_xlfn.CONCAT(B8612," ",E8612),ForeCalc!$B$36:$Y$36,0))))*VLOOKUP(A8612,Calendar!$A$2:$H$9997,8,FALSE),0)</f>
        <v/>
      </c>
      <c r="G8612" s="29">
        <f>VLOOKUP(A8612,Calendar!$A$1:$H$9997,6,FALSE)-F8612</f>
        <v/>
      </c>
      <c r="H8612" s="19" t="n">
        <v>3</v>
      </c>
      <c r="I8612" s="57" t="n">
        <v>7</v>
      </c>
    </row>
    <row r="8613">
      <c r="A8613" s="62" t="n">
        <v>47052</v>
      </c>
      <c r="B8613" s="3" t="inlineStr">
        <is>
          <t>Week</t>
        </is>
      </c>
      <c r="C8613" s="19" t="n">
        <v>10</v>
      </c>
      <c r="D8613" s="19" t="n">
        <v>2028</v>
      </c>
      <c r="E8613" s="57" t="n">
        <v>8</v>
      </c>
      <c r="F8613" s="29">
        <f>ROUND(((SUMIFS(Calendar!$F$2:$F$9997,Calendar!$B$2:$B$9997,D8613,Calendar!$C$2:$C$9997,C8613)*INDEX(ForeCalc!$B$37:$Y$274,MATCH(_xlfn.CONCAT(H8613," ",I8613),ForeCalc!$A$37:$A$274,0),MATCH(_xlfn.CONCAT(B8613," ",E8613),ForeCalc!$B$36:$Y$36,0))))*VLOOKUP(A8613,Calendar!$A$2:$H$9997,8,FALSE),0)</f>
        <v/>
      </c>
      <c r="G8613" s="29">
        <f>VLOOKUP(A8613,Calendar!$A$1:$H$9997,6,FALSE)-F8613</f>
        <v/>
      </c>
      <c r="H8613" s="19" t="n">
        <v>3</v>
      </c>
      <c r="I8613" s="57" t="n">
        <v>7</v>
      </c>
    </row>
    <row r="8614">
      <c r="A8614" s="62" t="n">
        <v>47053</v>
      </c>
      <c r="B8614" s="3" t="inlineStr">
        <is>
          <t>Week</t>
        </is>
      </c>
      <c r="C8614" s="19" t="n">
        <v>10</v>
      </c>
      <c r="D8614" s="19" t="n">
        <v>2028</v>
      </c>
      <c r="E8614" s="57" t="n">
        <v>8</v>
      </c>
      <c r="F8614" s="29">
        <f>ROUND(((SUMIFS(Calendar!$F$2:$F$9997,Calendar!$B$2:$B$9997,D8614,Calendar!$C$2:$C$9997,C8614)*INDEX(ForeCalc!$B$37:$Y$274,MATCH(_xlfn.CONCAT(H8614," ",I8614),ForeCalc!$A$37:$A$274,0),MATCH(_xlfn.CONCAT(B8614," ",E8614),ForeCalc!$B$36:$Y$36,0))))*VLOOKUP(A8614,Calendar!$A$2:$H$9997,8,FALSE),0)</f>
        <v/>
      </c>
      <c r="G8614" s="29">
        <f>VLOOKUP(A8614,Calendar!$A$1:$H$9997,6,FALSE)-F8614</f>
        <v/>
      </c>
      <c r="H8614" s="19" t="n">
        <v>3</v>
      </c>
      <c r="I8614" s="57" t="n">
        <v>7</v>
      </c>
    </row>
    <row r="8615">
      <c r="A8615" s="62" t="n">
        <v>47054</v>
      </c>
      <c r="B8615" s="3" t="inlineStr">
        <is>
          <t>Sat</t>
        </is>
      </c>
      <c r="C8615" s="19" t="n">
        <v>10</v>
      </c>
      <c r="D8615" s="19" t="n">
        <v>2028</v>
      </c>
      <c r="E8615" s="57" t="n">
        <v>8</v>
      </c>
      <c r="F8615" s="29">
        <f>ROUND(((SUMIFS(Calendar!$F$2:$F$9997,Calendar!$B$2:$B$9997,D8615,Calendar!$C$2:$C$9997,C8615)*INDEX(ForeCalc!$B$37:$Y$274,MATCH(_xlfn.CONCAT(H8615," ",I8615),ForeCalc!$A$37:$A$274,0),MATCH(_xlfn.CONCAT(B8615," ",E8615),ForeCalc!$B$36:$Y$36,0))))*VLOOKUP(A8615,Calendar!$A$2:$H$9997,8,FALSE),0)</f>
        <v/>
      </c>
      <c r="G8615" s="29">
        <f>VLOOKUP(A8615,Calendar!$A$1:$H$9997,6,FALSE)-F8615</f>
        <v/>
      </c>
      <c r="H8615" s="19" t="n">
        <v>3</v>
      </c>
      <c r="I8615" s="57" t="n">
        <v>7</v>
      </c>
    </row>
    <row r="8616">
      <c r="A8616" s="62" t="n">
        <v>47055</v>
      </c>
      <c r="B8616" s="3" t="inlineStr">
        <is>
          <t>Sun</t>
        </is>
      </c>
      <c r="C8616" s="19" t="n">
        <v>10</v>
      </c>
      <c r="D8616" s="19" t="n">
        <v>2028</v>
      </c>
      <c r="E8616" s="57" t="n">
        <v>8</v>
      </c>
      <c r="F8616" s="29">
        <f>ROUND(((SUMIFS(Calendar!$F$2:$F$9997,Calendar!$B$2:$B$9997,D8616,Calendar!$C$2:$C$9997,C8616)*INDEX(ForeCalc!$B$37:$Y$274,MATCH(_xlfn.CONCAT(H8616," ",I8616),ForeCalc!$A$37:$A$274,0),MATCH(_xlfn.CONCAT(B8616," ",E8616),ForeCalc!$B$36:$Y$36,0))))*VLOOKUP(A8616,Calendar!$A$2:$H$9997,8,FALSE),0)</f>
        <v/>
      </c>
      <c r="G8616" s="29">
        <f>VLOOKUP(A8616,Calendar!$A$1:$H$9997,6,FALSE)-F8616</f>
        <v/>
      </c>
      <c r="H8616" s="19" t="n">
        <v>3</v>
      </c>
      <c r="I8616" s="57" t="n">
        <v>7</v>
      </c>
    </row>
    <row r="8617">
      <c r="A8617" s="62" t="n">
        <v>47056</v>
      </c>
      <c r="B8617" s="3" t="inlineStr">
        <is>
          <t>Week</t>
        </is>
      </c>
      <c r="C8617" s="19" t="n">
        <v>10</v>
      </c>
      <c r="D8617" s="19" t="n">
        <v>2028</v>
      </c>
      <c r="E8617" s="57" t="n">
        <v>8</v>
      </c>
      <c r="F8617" s="29">
        <f>ROUND(((SUMIFS(Calendar!$F$2:$F$9997,Calendar!$B$2:$B$9997,D8617,Calendar!$C$2:$C$9997,C8617)*INDEX(ForeCalc!$B$37:$Y$274,MATCH(_xlfn.CONCAT(H8617," ",I8617),ForeCalc!$A$37:$A$274,0),MATCH(_xlfn.CONCAT(B8617," ",E8617),ForeCalc!$B$36:$Y$36,0))))*VLOOKUP(A8617,Calendar!$A$2:$H$9997,8,FALSE),0)</f>
        <v/>
      </c>
      <c r="G8617" s="29">
        <f>VLOOKUP(A8617,Calendar!$A$1:$H$9997,6,FALSE)-F8617</f>
        <v/>
      </c>
      <c r="H8617" s="19" t="n">
        <v>3</v>
      </c>
      <c r="I8617" s="57" t="n">
        <v>7</v>
      </c>
    </row>
    <row r="8618">
      <c r="A8618" s="62" t="n">
        <v>47057</v>
      </c>
      <c r="B8618" s="3" t="inlineStr">
        <is>
          <t>Week</t>
        </is>
      </c>
      <c r="C8618" s="19" t="n">
        <v>10</v>
      </c>
      <c r="D8618" s="19" t="n">
        <v>2028</v>
      </c>
      <c r="E8618" s="57" t="n">
        <v>8</v>
      </c>
      <c r="F8618" s="29">
        <f>ROUND(((SUMIFS(Calendar!$F$2:$F$9997,Calendar!$B$2:$B$9997,D8618,Calendar!$C$2:$C$9997,C8618)*INDEX(ForeCalc!$B$37:$Y$274,MATCH(_xlfn.CONCAT(H8618," ",I8618),ForeCalc!$A$37:$A$274,0),MATCH(_xlfn.CONCAT(B8618," ",E8618),ForeCalc!$B$36:$Y$36,0))))*VLOOKUP(A8618,Calendar!$A$2:$H$9997,8,FALSE),0)</f>
        <v/>
      </c>
      <c r="G8618" s="29">
        <f>VLOOKUP(A8618,Calendar!$A$1:$H$9997,6,FALSE)-F8618</f>
        <v/>
      </c>
      <c r="H8618" s="19" t="n">
        <v>3</v>
      </c>
      <c r="I8618" s="57" t="n">
        <v>7</v>
      </c>
    </row>
    <row r="8619">
      <c r="A8619" s="62" t="n">
        <v>47058</v>
      </c>
      <c r="B8619" s="3" t="inlineStr">
        <is>
          <t>Week</t>
        </is>
      </c>
      <c r="C8619" s="19" t="n">
        <v>11</v>
      </c>
      <c r="D8619" s="19" t="n">
        <v>2028</v>
      </c>
      <c r="E8619" s="57" t="n">
        <v>8</v>
      </c>
      <c r="F8619" s="29">
        <f>ROUND(((SUMIFS(Calendar!$F$2:$F$9997,Calendar!$B$2:$B$9997,D8619,Calendar!$C$2:$C$9997,C8619)*INDEX(ForeCalc!$B$37:$Y$274,MATCH(_xlfn.CONCAT(H8619," ",I8619),ForeCalc!$A$37:$A$274,0),MATCH(_xlfn.CONCAT(B8619," ",E8619),ForeCalc!$B$36:$Y$36,0))))*VLOOKUP(A8619,Calendar!$A$2:$H$9997,8,FALSE),0)</f>
        <v/>
      </c>
      <c r="G8619" s="29">
        <f>VLOOKUP(A8619,Calendar!$A$1:$H$9997,6,FALSE)-F8619</f>
        <v/>
      </c>
      <c r="H8619" s="19" t="n">
        <v>3</v>
      </c>
      <c r="I8619" s="57" t="n">
        <v>8</v>
      </c>
    </row>
    <row r="8620">
      <c r="A8620" s="62" t="n">
        <v>47059</v>
      </c>
      <c r="B8620" s="3" t="inlineStr">
        <is>
          <t>Week</t>
        </is>
      </c>
      <c r="C8620" s="19" t="n">
        <v>11</v>
      </c>
      <c r="D8620" s="19" t="n">
        <v>2028</v>
      </c>
      <c r="E8620" s="57" t="n">
        <v>8</v>
      </c>
      <c r="F8620" s="29">
        <f>ROUND(((SUMIFS(Calendar!$F$2:$F$9997,Calendar!$B$2:$B$9997,D8620,Calendar!$C$2:$C$9997,C8620)*INDEX(ForeCalc!$B$37:$Y$274,MATCH(_xlfn.CONCAT(H8620," ",I8620),ForeCalc!$A$37:$A$274,0),MATCH(_xlfn.CONCAT(B8620," ",E8620),ForeCalc!$B$36:$Y$36,0))))*VLOOKUP(A8620,Calendar!$A$2:$H$9997,8,FALSE),0)</f>
        <v/>
      </c>
      <c r="G8620" s="29">
        <f>VLOOKUP(A8620,Calendar!$A$1:$H$9997,6,FALSE)-F8620</f>
        <v/>
      </c>
      <c r="H8620" s="19" t="n">
        <v>3</v>
      </c>
      <c r="I8620" s="57" t="n">
        <v>8</v>
      </c>
    </row>
    <row r="8621">
      <c r="A8621" s="62" t="n">
        <v>47060</v>
      </c>
      <c r="B8621" s="3" t="inlineStr">
        <is>
          <t>Week</t>
        </is>
      </c>
      <c r="C8621" s="19" t="n">
        <v>11</v>
      </c>
      <c r="D8621" s="19" t="n">
        <v>2028</v>
      </c>
      <c r="E8621" s="57" t="n">
        <v>8</v>
      </c>
      <c r="F8621" s="29">
        <f>ROUND(((SUMIFS(Calendar!$F$2:$F$9997,Calendar!$B$2:$B$9997,D8621,Calendar!$C$2:$C$9997,C8621)*INDEX(ForeCalc!$B$37:$Y$274,MATCH(_xlfn.CONCAT(H8621," ",I8621),ForeCalc!$A$37:$A$274,0),MATCH(_xlfn.CONCAT(B8621," ",E8621),ForeCalc!$B$36:$Y$36,0))))*VLOOKUP(A8621,Calendar!$A$2:$H$9997,8,FALSE),0)</f>
        <v/>
      </c>
      <c r="G8621" s="29">
        <f>VLOOKUP(A8621,Calendar!$A$1:$H$9997,6,FALSE)-F8621</f>
        <v/>
      </c>
      <c r="H8621" s="19" t="n">
        <v>3</v>
      </c>
      <c r="I8621" s="57" t="n">
        <v>8</v>
      </c>
    </row>
    <row r="8622">
      <c r="A8622" s="62" t="n">
        <v>47061</v>
      </c>
      <c r="B8622" s="3" t="inlineStr">
        <is>
          <t>Sat</t>
        </is>
      </c>
      <c r="C8622" s="19" t="n">
        <v>11</v>
      </c>
      <c r="D8622" s="19" t="n">
        <v>2028</v>
      </c>
      <c r="E8622" s="57" t="n">
        <v>8</v>
      </c>
      <c r="F8622" s="29">
        <f>ROUND(((SUMIFS(Calendar!$F$2:$F$9997,Calendar!$B$2:$B$9997,D8622,Calendar!$C$2:$C$9997,C8622)*INDEX(ForeCalc!$B$37:$Y$274,MATCH(_xlfn.CONCAT(H8622," ",I8622),ForeCalc!$A$37:$A$274,0),MATCH(_xlfn.CONCAT(B8622," ",E8622),ForeCalc!$B$36:$Y$36,0))))*VLOOKUP(A8622,Calendar!$A$2:$H$9997,8,FALSE),0)</f>
        <v/>
      </c>
      <c r="G8622" s="29">
        <f>VLOOKUP(A8622,Calendar!$A$1:$H$9997,6,FALSE)-F8622</f>
        <v/>
      </c>
      <c r="H8622" s="19" t="n">
        <v>3</v>
      </c>
      <c r="I8622" s="57" t="n">
        <v>8</v>
      </c>
    </row>
    <row r="8623">
      <c r="A8623" s="62" t="n">
        <v>47062</v>
      </c>
      <c r="B8623" s="3" t="inlineStr">
        <is>
          <t>Sun</t>
        </is>
      </c>
      <c r="C8623" s="19" t="n">
        <v>11</v>
      </c>
      <c r="D8623" s="19" t="n">
        <v>2028</v>
      </c>
      <c r="E8623" s="57" t="n">
        <v>8</v>
      </c>
      <c r="F8623" s="29">
        <f>ROUND(((SUMIFS(Calendar!$F$2:$F$9997,Calendar!$B$2:$B$9997,D8623,Calendar!$C$2:$C$9997,C8623)*INDEX(ForeCalc!$B$37:$Y$274,MATCH(_xlfn.CONCAT(H8623," ",I8623),ForeCalc!$A$37:$A$274,0),MATCH(_xlfn.CONCAT(B8623," ",E8623),ForeCalc!$B$36:$Y$36,0))))*VLOOKUP(A8623,Calendar!$A$2:$H$9997,8,FALSE),0)</f>
        <v/>
      </c>
      <c r="G8623" s="29">
        <f>VLOOKUP(A8623,Calendar!$A$1:$H$9997,6,FALSE)-F8623</f>
        <v/>
      </c>
      <c r="H8623" s="19" t="n">
        <v>3</v>
      </c>
      <c r="I8623" s="57" t="n">
        <v>8</v>
      </c>
    </row>
    <row r="8624">
      <c r="A8624" s="62" t="n">
        <v>47063</v>
      </c>
      <c r="B8624" s="3" t="inlineStr">
        <is>
          <t>Week</t>
        </is>
      </c>
      <c r="C8624" s="19" t="n">
        <v>11</v>
      </c>
      <c r="D8624" s="19" t="n">
        <v>2028</v>
      </c>
      <c r="E8624" s="57" t="n">
        <v>8</v>
      </c>
      <c r="F8624" s="29">
        <f>ROUND(((SUMIFS(Calendar!$F$2:$F$9997,Calendar!$B$2:$B$9997,D8624,Calendar!$C$2:$C$9997,C8624)*INDEX(ForeCalc!$B$37:$Y$274,MATCH(_xlfn.CONCAT(H8624," ",I8624),ForeCalc!$A$37:$A$274,0),MATCH(_xlfn.CONCAT(B8624," ",E8624),ForeCalc!$B$36:$Y$36,0))))*VLOOKUP(A8624,Calendar!$A$2:$H$9997,8,FALSE),0)</f>
        <v/>
      </c>
      <c r="G8624" s="29">
        <f>VLOOKUP(A8624,Calendar!$A$1:$H$9997,6,FALSE)-F8624</f>
        <v/>
      </c>
      <c r="H8624" s="19" t="n">
        <v>3</v>
      </c>
      <c r="I8624" s="57" t="n">
        <v>8</v>
      </c>
    </row>
    <row r="8625">
      <c r="A8625" s="62" t="n">
        <v>47064</v>
      </c>
      <c r="B8625" s="3" t="inlineStr">
        <is>
          <t>Week</t>
        </is>
      </c>
      <c r="C8625" s="19" t="n">
        <v>11</v>
      </c>
      <c r="D8625" s="19" t="n">
        <v>2028</v>
      </c>
      <c r="E8625" s="57" t="n">
        <v>8</v>
      </c>
      <c r="F8625" s="29">
        <f>ROUND(((SUMIFS(Calendar!$F$2:$F$9997,Calendar!$B$2:$B$9997,D8625,Calendar!$C$2:$C$9997,C8625)*INDEX(ForeCalc!$B$37:$Y$274,MATCH(_xlfn.CONCAT(H8625," ",I8625),ForeCalc!$A$37:$A$274,0),MATCH(_xlfn.CONCAT(B8625," ",E8625),ForeCalc!$B$36:$Y$36,0))))*VLOOKUP(A8625,Calendar!$A$2:$H$9997,8,FALSE),0)</f>
        <v/>
      </c>
      <c r="G8625" s="29">
        <f>VLOOKUP(A8625,Calendar!$A$1:$H$9997,6,FALSE)-F8625</f>
        <v/>
      </c>
      <c r="H8625" s="19" t="n">
        <v>3</v>
      </c>
      <c r="I8625" s="57" t="n">
        <v>8</v>
      </c>
    </row>
    <row r="8626">
      <c r="A8626" s="62" t="n">
        <v>47065</v>
      </c>
      <c r="B8626" s="3" t="inlineStr">
        <is>
          <t>Week</t>
        </is>
      </c>
      <c r="C8626" s="19" t="n">
        <v>11</v>
      </c>
      <c r="D8626" s="19" t="n">
        <v>2028</v>
      </c>
      <c r="E8626" s="57" t="n">
        <v>8</v>
      </c>
      <c r="F8626" s="29">
        <f>ROUND(((SUMIFS(Calendar!$F$2:$F$9997,Calendar!$B$2:$B$9997,D8626,Calendar!$C$2:$C$9997,C8626)*INDEX(ForeCalc!$B$37:$Y$274,MATCH(_xlfn.CONCAT(H8626," ",I8626),ForeCalc!$A$37:$A$274,0),MATCH(_xlfn.CONCAT(B8626," ",E8626),ForeCalc!$B$36:$Y$36,0))))*VLOOKUP(A8626,Calendar!$A$2:$H$9997,8,FALSE),0)</f>
        <v/>
      </c>
      <c r="G8626" s="29">
        <f>VLOOKUP(A8626,Calendar!$A$1:$H$9997,6,FALSE)-F8626</f>
        <v/>
      </c>
      <c r="H8626" s="19" t="n">
        <v>3</v>
      </c>
      <c r="I8626" s="57" t="n">
        <v>8</v>
      </c>
    </row>
    <row r="8627">
      <c r="A8627" s="62" t="n">
        <v>47066</v>
      </c>
      <c r="B8627" s="3" t="inlineStr">
        <is>
          <t>Week</t>
        </is>
      </c>
      <c r="C8627" s="19" t="n">
        <v>11</v>
      </c>
      <c r="D8627" s="19" t="n">
        <v>2028</v>
      </c>
      <c r="E8627" s="57" t="n">
        <v>8</v>
      </c>
      <c r="F8627" s="29">
        <f>ROUND(((SUMIFS(Calendar!$F$2:$F$9997,Calendar!$B$2:$B$9997,D8627,Calendar!$C$2:$C$9997,C8627)*INDEX(ForeCalc!$B$37:$Y$274,MATCH(_xlfn.CONCAT(H8627," ",I8627),ForeCalc!$A$37:$A$274,0),MATCH(_xlfn.CONCAT(B8627," ",E8627),ForeCalc!$B$36:$Y$36,0))))*VLOOKUP(A8627,Calendar!$A$2:$H$9997,8,FALSE),0)</f>
        <v/>
      </c>
      <c r="G8627" s="29">
        <f>VLOOKUP(A8627,Calendar!$A$1:$H$9997,6,FALSE)-F8627</f>
        <v/>
      </c>
      <c r="H8627" s="19" t="n">
        <v>3</v>
      </c>
      <c r="I8627" s="57" t="n">
        <v>8</v>
      </c>
    </row>
    <row r="8628">
      <c r="A8628" s="62" t="n">
        <v>47067</v>
      </c>
      <c r="B8628" s="3" t="inlineStr">
        <is>
          <t>Week</t>
        </is>
      </c>
      <c r="C8628" s="19" t="n">
        <v>11</v>
      </c>
      <c r="D8628" s="19" t="n">
        <v>2028</v>
      </c>
      <c r="E8628" s="57" t="n">
        <v>8</v>
      </c>
      <c r="F8628" s="29">
        <f>ROUND(((SUMIFS(Calendar!$F$2:$F$9997,Calendar!$B$2:$B$9997,D8628,Calendar!$C$2:$C$9997,C8628)*INDEX(ForeCalc!$B$37:$Y$274,MATCH(_xlfn.CONCAT(H8628," ",I8628),ForeCalc!$A$37:$A$274,0),MATCH(_xlfn.CONCAT(B8628," ",E8628),ForeCalc!$B$36:$Y$36,0))))*VLOOKUP(A8628,Calendar!$A$2:$H$9997,8,FALSE),0)</f>
        <v/>
      </c>
      <c r="G8628" s="29">
        <f>VLOOKUP(A8628,Calendar!$A$1:$H$9997,6,FALSE)-F8628</f>
        <v/>
      </c>
      <c r="H8628" s="19" t="n">
        <v>3</v>
      </c>
      <c r="I8628" s="57" t="n">
        <v>8</v>
      </c>
    </row>
    <row r="8629">
      <c r="A8629" s="62" t="n">
        <v>47068</v>
      </c>
      <c r="B8629" s="3" t="inlineStr">
        <is>
          <t>Sat</t>
        </is>
      </c>
      <c r="C8629" s="19" t="n">
        <v>11</v>
      </c>
      <c r="D8629" s="19" t="n">
        <v>2028</v>
      </c>
      <c r="E8629" s="57" t="n">
        <v>8</v>
      </c>
      <c r="F8629" s="29">
        <f>ROUND(((SUMIFS(Calendar!$F$2:$F$9997,Calendar!$B$2:$B$9997,D8629,Calendar!$C$2:$C$9997,C8629)*INDEX(ForeCalc!$B$37:$Y$274,MATCH(_xlfn.CONCAT(H8629," ",I8629),ForeCalc!$A$37:$A$274,0),MATCH(_xlfn.CONCAT(B8629," ",E8629),ForeCalc!$B$36:$Y$36,0))))*VLOOKUP(A8629,Calendar!$A$2:$H$9997,8,FALSE),0)</f>
        <v/>
      </c>
      <c r="G8629" s="29">
        <f>VLOOKUP(A8629,Calendar!$A$1:$H$9997,6,FALSE)-F8629</f>
        <v/>
      </c>
      <c r="H8629" s="19" t="n">
        <v>3</v>
      </c>
      <c r="I8629" s="57" t="n">
        <v>8</v>
      </c>
    </row>
    <row r="8630">
      <c r="A8630" s="62" t="n">
        <v>47069</v>
      </c>
      <c r="B8630" s="3" t="inlineStr">
        <is>
          <t>Sun</t>
        </is>
      </c>
      <c r="C8630" s="19" t="n">
        <v>11</v>
      </c>
      <c r="D8630" s="19" t="n">
        <v>2028</v>
      </c>
      <c r="E8630" s="57" t="n">
        <v>8</v>
      </c>
      <c r="F8630" s="29">
        <f>ROUND(((SUMIFS(Calendar!$F$2:$F$9997,Calendar!$B$2:$B$9997,D8630,Calendar!$C$2:$C$9997,C8630)*INDEX(ForeCalc!$B$37:$Y$274,MATCH(_xlfn.CONCAT(H8630," ",I8630),ForeCalc!$A$37:$A$274,0),MATCH(_xlfn.CONCAT(B8630," ",E8630),ForeCalc!$B$36:$Y$36,0))))*VLOOKUP(A8630,Calendar!$A$2:$H$9997,8,FALSE),0)</f>
        <v/>
      </c>
      <c r="G8630" s="29">
        <f>VLOOKUP(A8630,Calendar!$A$1:$H$9997,6,FALSE)-F8630</f>
        <v/>
      </c>
      <c r="H8630" s="19" t="n">
        <v>3</v>
      </c>
      <c r="I8630" s="57" t="n">
        <v>8</v>
      </c>
    </row>
    <row r="8631">
      <c r="A8631" s="62" t="n">
        <v>47070</v>
      </c>
      <c r="B8631" s="3" t="inlineStr">
        <is>
          <t>Week</t>
        </is>
      </c>
      <c r="C8631" s="19" t="n">
        <v>11</v>
      </c>
      <c r="D8631" s="19" t="n">
        <v>2028</v>
      </c>
      <c r="E8631" s="57" t="n">
        <v>8</v>
      </c>
      <c r="F8631" s="29">
        <f>ROUND(((SUMIFS(Calendar!$F$2:$F$9997,Calendar!$B$2:$B$9997,D8631,Calendar!$C$2:$C$9997,C8631)*INDEX(ForeCalc!$B$37:$Y$274,MATCH(_xlfn.CONCAT(H8631," ",I8631),ForeCalc!$A$37:$A$274,0),MATCH(_xlfn.CONCAT(B8631," ",E8631),ForeCalc!$B$36:$Y$36,0))))*VLOOKUP(A8631,Calendar!$A$2:$H$9997,8,FALSE),0)</f>
        <v/>
      </c>
      <c r="G8631" s="29">
        <f>VLOOKUP(A8631,Calendar!$A$1:$H$9997,6,FALSE)-F8631</f>
        <v/>
      </c>
      <c r="H8631" s="19" t="n">
        <v>3</v>
      </c>
      <c r="I8631" s="57" t="n">
        <v>8</v>
      </c>
    </row>
    <row r="8632">
      <c r="A8632" s="62" t="n">
        <v>47071</v>
      </c>
      <c r="B8632" s="3" t="inlineStr">
        <is>
          <t>Week</t>
        </is>
      </c>
      <c r="C8632" s="19" t="n">
        <v>11</v>
      </c>
      <c r="D8632" s="19" t="n">
        <v>2028</v>
      </c>
      <c r="E8632" s="57" t="n">
        <v>8</v>
      </c>
      <c r="F8632" s="29">
        <f>ROUND(((SUMIFS(Calendar!$F$2:$F$9997,Calendar!$B$2:$B$9997,D8632,Calendar!$C$2:$C$9997,C8632)*INDEX(ForeCalc!$B$37:$Y$274,MATCH(_xlfn.CONCAT(H8632," ",I8632),ForeCalc!$A$37:$A$274,0),MATCH(_xlfn.CONCAT(B8632," ",E8632),ForeCalc!$B$36:$Y$36,0))))*VLOOKUP(A8632,Calendar!$A$2:$H$9997,8,FALSE),0)</f>
        <v/>
      </c>
      <c r="G8632" s="29">
        <f>VLOOKUP(A8632,Calendar!$A$1:$H$9997,6,FALSE)-F8632</f>
        <v/>
      </c>
      <c r="H8632" s="19" t="n">
        <v>3</v>
      </c>
      <c r="I8632" s="57" t="n">
        <v>8</v>
      </c>
    </row>
    <row r="8633">
      <c r="A8633" s="62" t="n">
        <v>47072</v>
      </c>
      <c r="B8633" s="3" t="inlineStr">
        <is>
          <t>Week</t>
        </is>
      </c>
      <c r="C8633" s="19" t="n">
        <v>11</v>
      </c>
      <c r="D8633" s="19" t="n">
        <v>2028</v>
      </c>
      <c r="E8633" s="57" t="n">
        <v>8</v>
      </c>
      <c r="F8633" s="29">
        <f>ROUND(((SUMIFS(Calendar!$F$2:$F$9997,Calendar!$B$2:$B$9997,D8633,Calendar!$C$2:$C$9997,C8633)*INDEX(ForeCalc!$B$37:$Y$274,MATCH(_xlfn.CONCAT(H8633," ",I8633),ForeCalc!$A$37:$A$274,0),MATCH(_xlfn.CONCAT(B8633," ",E8633),ForeCalc!$B$36:$Y$36,0))))*VLOOKUP(A8633,Calendar!$A$2:$H$9997,8,FALSE),0)</f>
        <v/>
      </c>
      <c r="G8633" s="29">
        <f>VLOOKUP(A8633,Calendar!$A$1:$H$9997,6,FALSE)-F8633</f>
        <v/>
      </c>
      <c r="H8633" s="19" t="n">
        <v>3</v>
      </c>
      <c r="I8633" s="57" t="n">
        <v>8</v>
      </c>
    </row>
    <row r="8634">
      <c r="A8634" s="62" t="n">
        <v>47073</v>
      </c>
      <c r="B8634" s="3" t="inlineStr">
        <is>
          <t>Week</t>
        </is>
      </c>
      <c r="C8634" s="19" t="n">
        <v>11</v>
      </c>
      <c r="D8634" s="19" t="n">
        <v>2028</v>
      </c>
      <c r="E8634" s="57" t="n">
        <v>8</v>
      </c>
      <c r="F8634" s="29">
        <f>ROUND(((SUMIFS(Calendar!$F$2:$F$9997,Calendar!$B$2:$B$9997,D8634,Calendar!$C$2:$C$9997,C8634)*INDEX(ForeCalc!$B$37:$Y$274,MATCH(_xlfn.CONCAT(H8634," ",I8634),ForeCalc!$A$37:$A$274,0),MATCH(_xlfn.CONCAT(B8634," ",E8634),ForeCalc!$B$36:$Y$36,0))))*VLOOKUP(A8634,Calendar!$A$2:$H$9997,8,FALSE),0)</f>
        <v/>
      </c>
      <c r="G8634" s="29">
        <f>VLOOKUP(A8634,Calendar!$A$1:$H$9997,6,FALSE)-F8634</f>
        <v/>
      </c>
      <c r="H8634" s="19" t="n">
        <v>3</v>
      </c>
      <c r="I8634" s="57" t="n">
        <v>8</v>
      </c>
    </row>
    <row r="8635">
      <c r="A8635" s="62" t="n">
        <v>47074</v>
      </c>
      <c r="B8635" s="3" t="inlineStr">
        <is>
          <t>Week</t>
        </is>
      </c>
      <c r="C8635" s="19" t="n">
        <v>11</v>
      </c>
      <c r="D8635" s="19" t="n">
        <v>2028</v>
      </c>
      <c r="E8635" s="57" t="n">
        <v>8</v>
      </c>
      <c r="F8635" s="29">
        <f>ROUND(((SUMIFS(Calendar!$F$2:$F$9997,Calendar!$B$2:$B$9997,D8635,Calendar!$C$2:$C$9997,C8635)*INDEX(ForeCalc!$B$37:$Y$274,MATCH(_xlfn.CONCAT(H8635," ",I8635),ForeCalc!$A$37:$A$274,0),MATCH(_xlfn.CONCAT(B8635," ",E8635),ForeCalc!$B$36:$Y$36,0))))*VLOOKUP(A8635,Calendar!$A$2:$H$9997,8,FALSE),0)</f>
        <v/>
      </c>
      <c r="G8635" s="29">
        <f>VLOOKUP(A8635,Calendar!$A$1:$H$9997,6,FALSE)-F8635</f>
        <v/>
      </c>
      <c r="H8635" s="19" t="n">
        <v>3</v>
      </c>
      <c r="I8635" s="57" t="n">
        <v>8</v>
      </c>
    </row>
    <row r="8636">
      <c r="A8636" s="62" t="n">
        <v>47075</v>
      </c>
      <c r="B8636" s="3" t="inlineStr">
        <is>
          <t>Sat</t>
        </is>
      </c>
      <c r="C8636" s="19" t="n">
        <v>11</v>
      </c>
      <c r="D8636" s="19" t="n">
        <v>2028</v>
      </c>
      <c r="E8636" s="57" t="n">
        <v>8</v>
      </c>
      <c r="F8636" s="29">
        <f>ROUND(((SUMIFS(Calendar!$F$2:$F$9997,Calendar!$B$2:$B$9997,D8636,Calendar!$C$2:$C$9997,C8636)*INDEX(ForeCalc!$B$37:$Y$274,MATCH(_xlfn.CONCAT(H8636," ",I8636),ForeCalc!$A$37:$A$274,0),MATCH(_xlfn.CONCAT(B8636," ",E8636),ForeCalc!$B$36:$Y$36,0))))*VLOOKUP(A8636,Calendar!$A$2:$H$9997,8,FALSE),0)</f>
        <v/>
      </c>
      <c r="G8636" s="29">
        <f>VLOOKUP(A8636,Calendar!$A$1:$H$9997,6,FALSE)-F8636</f>
        <v/>
      </c>
      <c r="H8636" s="19" t="n">
        <v>3</v>
      </c>
      <c r="I8636" s="57" t="n">
        <v>8</v>
      </c>
    </row>
    <row r="8637">
      <c r="A8637" s="62" t="n">
        <v>47076</v>
      </c>
      <c r="B8637" s="3" t="inlineStr">
        <is>
          <t>Sun</t>
        </is>
      </c>
      <c r="C8637" s="19" t="n">
        <v>11</v>
      </c>
      <c r="D8637" s="19" t="n">
        <v>2028</v>
      </c>
      <c r="E8637" s="57" t="n">
        <v>8</v>
      </c>
      <c r="F8637" s="29">
        <f>ROUND(((SUMIFS(Calendar!$F$2:$F$9997,Calendar!$B$2:$B$9997,D8637,Calendar!$C$2:$C$9997,C8637)*INDEX(ForeCalc!$B$37:$Y$274,MATCH(_xlfn.CONCAT(H8637," ",I8637),ForeCalc!$A$37:$A$274,0),MATCH(_xlfn.CONCAT(B8637," ",E8637),ForeCalc!$B$36:$Y$36,0))))*VLOOKUP(A8637,Calendar!$A$2:$H$9997,8,FALSE),0)</f>
        <v/>
      </c>
      <c r="G8637" s="29">
        <f>VLOOKUP(A8637,Calendar!$A$1:$H$9997,6,FALSE)-F8637</f>
        <v/>
      </c>
      <c r="H8637" s="19" t="n">
        <v>3</v>
      </c>
      <c r="I8637" s="57" t="n">
        <v>8</v>
      </c>
    </row>
    <row r="8638">
      <c r="A8638" s="62" t="n">
        <v>47077</v>
      </c>
      <c r="B8638" s="3" t="inlineStr">
        <is>
          <t>Week</t>
        </is>
      </c>
      <c r="C8638" s="19" t="n">
        <v>11</v>
      </c>
      <c r="D8638" s="19" t="n">
        <v>2028</v>
      </c>
      <c r="E8638" s="57" t="n">
        <v>8</v>
      </c>
      <c r="F8638" s="29">
        <f>ROUND(((SUMIFS(Calendar!$F$2:$F$9997,Calendar!$B$2:$B$9997,D8638,Calendar!$C$2:$C$9997,C8638)*INDEX(ForeCalc!$B$37:$Y$274,MATCH(_xlfn.CONCAT(H8638," ",I8638),ForeCalc!$A$37:$A$274,0),MATCH(_xlfn.CONCAT(B8638," ",E8638),ForeCalc!$B$36:$Y$36,0))))*VLOOKUP(A8638,Calendar!$A$2:$H$9997,8,FALSE),0)</f>
        <v/>
      </c>
      <c r="G8638" s="29">
        <f>VLOOKUP(A8638,Calendar!$A$1:$H$9997,6,FALSE)-F8638</f>
        <v/>
      </c>
      <c r="H8638" s="19" t="n">
        <v>3</v>
      </c>
      <c r="I8638" s="57" t="n">
        <v>8</v>
      </c>
    </row>
    <row r="8639">
      <c r="A8639" s="62" t="n">
        <v>47078</v>
      </c>
      <c r="B8639" s="3" t="inlineStr">
        <is>
          <t>Week</t>
        </is>
      </c>
      <c r="C8639" s="19" t="n">
        <v>11</v>
      </c>
      <c r="D8639" s="19" t="n">
        <v>2028</v>
      </c>
      <c r="E8639" s="57" t="n">
        <v>8</v>
      </c>
      <c r="F8639" s="29">
        <f>ROUND(((SUMIFS(Calendar!$F$2:$F$9997,Calendar!$B$2:$B$9997,D8639,Calendar!$C$2:$C$9997,C8639)*INDEX(ForeCalc!$B$37:$Y$274,MATCH(_xlfn.CONCAT(H8639," ",I8639),ForeCalc!$A$37:$A$274,0),MATCH(_xlfn.CONCAT(B8639," ",E8639),ForeCalc!$B$36:$Y$36,0))))*VLOOKUP(A8639,Calendar!$A$2:$H$9997,8,FALSE),0)</f>
        <v/>
      </c>
      <c r="G8639" s="29">
        <f>VLOOKUP(A8639,Calendar!$A$1:$H$9997,6,FALSE)-F8639</f>
        <v/>
      </c>
      <c r="H8639" s="19" t="n">
        <v>3</v>
      </c>
      <c r="I8639" s="57" t="n">
        <v>8</v>
      </c>
    </row>
    <row r="8640">
      <c r="A8640" s="62" t="n">
        <v>47079</v>
      </c>
      <c r="B8640" s="3" t="inlineStr">
        <is>
          <t>Week</t>
        </is>
      </c>
      <c r="C8640" s="19" t="n">
        <v>11</v>
      </c>
      <c r="D8640" s="19" t="n">
        <v>2028</v>
      </c>
      <c r="E8640" s="57" t="n">
        <v>8</v>
      </c>
      <c r="F8640" s="29">
        <f>ROUND(((SUMIFS(Calendar!$F$2:$F$9997,Calendar!$B$2:$B$9997,D8640,Calendar!$C$2:$C$9997,C8640)*INDEX(ForeCalc!$B$37:$Y$274,MATCH(_xlfn.CONCAT(H8640," ",I8640),ForeCalc!$A$37:$A$274,0),MATCH(_xlfn.CONCAT(B8640," ",E8640),ForeCalc!$B$36:$Y$36,0))))*VLOOKUP(A8640,Calendar!$A$2:$H$9997,8,FALSE),0)</f>
        <v/>
      </c>
      <c r="G8640" s="29">
        <f>VLOOKUP(A8640,Calendar!$A$1:$H$9997,6,FALSE)-F8640</f>
        <v/>
      </c>
      <c r="H8640" s="19" t="n">
        <v>3</v>
      </c>
      <c r="I8640" s="57" t="n">
        <v>8</v>
      </c>
    </row>
    <row r="8641">
      <c r="A8641" s="62" t="n">
        <v>47080</v>
      </c>
      <c r="B8641" s="3" t="inlineStr">
        <is>
          <t>Week</t>
        </is>
      </c>
      <c r="C8641" s="19" t="n">
        <v>11</v>
      </c>
      <c r="D8641" s="19" t="n">
        <v>2028</v>
      </c>
      <c r="E8641" s="57" t="n">
        <v>8</v>
      </c>
      <c r="F8641" s="29">
        <f>ROUND(((SUMIFS(Calendar!$F$2:$F$9997,Calendar!$B$2:$B$9997,D8641,Calendar!$C$2:$C$9997,C8641)*INDEX(ForeCalc!$B$37:$Y$274,MATCH(_xlfn.CONCAT(H8641," ",I8641),ForeCalc!$A$37:$A$274,0),MATCH(_xlfn.CONCAT(B8641," ",E8641),ForeCalc!$B$36:$Y$36,0))))*VLOOKUP(A8641,Calendar!$A$2:$H$9997,8,FALSE),0)</f>
        <v/>
      </c>
      <c r="G8641" s="29">
        <f>VLOOKUP(A8641,Calendar!$A$1:$H$9997,6,FALSE)-F8641</f>
        <v/>
      </c>
      <c r="H8641" s="19" t="n">
        <v>3</v>
      </c>
      <c r="I8641" s="57" t="n">
        <v>8</v>
      </c>
    </row>
    <row r="8642">
      <c r="A8642" s="62" t="n">
        <v>47081</v>
      </c>
      <c r="B8642" s="3" t="inlineStr">
        <is>
          <t>Week</t>
        </is>
      </c>
      <c r="C8642" s="19" t="n">
        <v>11</v>
      </c>
      <c r="D8642" s="19" t="n">
        <v>2028</v>
      </c>
      <c r="E8642" s="57" t="n">
        <v>8</v>
      </c>
      <c r="F8642" s="29">
        <f>ROUND(((SUMIFS(Calendar!$F$2:$F$9997,Calendar!$B$2:$B$9997,D8642,Calendar!$C$2:$C$9997,C8642)*INDEX(ForeCalc!$B$37:$Y$274,MATCH(_xlfn.CONCAT(H8642," ",I8642),ForeCalc!$A$37:$A$274,0),MATCH(_xlfn.CONCAT(B8642," ",E8642),ForeCalc!$B$36:$Y$36,0))))*VLOOKUP(A8642,Calendar!$A$2:$H$9997,8,FALSE),0)</f>
        <v/>
      </c>
      <c r="G8642" s="29">
        <f>VLOOKUP(A8642,Calendar!$A$1:$H$9997,6,FALSE)-F8642</f>
        <v/>
      </c>
      <c r="H8642" s="19" t="n">
        <v>3</v>
      </c>
      <c r="I8642" s="57" t="n">
        <v>8</v>
      </c>
    </row>
    <row r="8643">
      <c r="A8643" s="62" t="n">
        <v>47082</v>
      </c>
      <c r="B8643" s="3" t="inlineStr">
        <is>
          <t>Sat</t>
        </is>
      </c>
      <c r="C8643" s="19" t="n">
        <v>11</v>
      </c>
      <c r="D8643" s="19" t="n">
        <v>2028</v>
      </c>
      <c r="E8643" s="57" t="n">
        <v>8</v>
      </c>
      <c r="F8643" s="29">
        <f>ROUND(((SUMIFS(Calendar!$F$2:$F$9997,Calendar!$B$2:$B$9997,D8643,Calendar!$C$2:$C$9997,C8643)*INDEX(ForeCalc!$B$37:$Y$274,MATCH(_xlfn.CONCAT(H8643," ",I8643),ForeCalc!$A$37:$A$274,0),MATCH(_xlfn.CONCAT(B8643," ",E8643),ForeCalc!$B$36:$Y$36,0))))*VLOOKUP(A8643,Calendar!$A$2:$H$9997,8,FALSE),0)</f>
        <v/>
      </c>
      <c r="G8643" s="29">
        <f>VLOOKUP(A8643,Calendar!$A$1:$H$9997,6,FALSE)-F8643</f>
        <v/>
      </c>
      <c r="H8643" s="19" t="n">
        <v>3</v>
      </c>
      <c r="I8643" s="57" t="n">
        <v>8</v>
      </c>
    </row>
    <row r="8644">
      <c r="A8644" s="62" t="n">
        <v>47083</v>
      </c>
      <c r="B8644" s="3" t="inlineStr">
        <is>
          <t>Sun</t>
        </is>
      </c>
      <c r="C8644" s="19" t="n">
        <v>11</v>
      </c>
      <c r="D8644" s="19" t="n">
        <v>2028</v>
      </c>
      <c r="E8644" s="57" t="n">
        <v>8</v>
      </c>
      <c r="F8644" s="29">
        <f>ROUND(((SUMIFS(Calendar!$F$2:$F$9997,Calendar!$B$2:$B$9997,D8644,Calendar!$C$2:$C$9997,C8644)*INDEX(ForeCalc!$B$37:$Y$274,MATCH(_xlfn.CONCAT(H8644," ",I8644),ForeCalc!$A$37:$A$274,0),MATCH(_xlfn.CONCAT(B8644," ",E8644),ForeCalc!$B$36:$Y$36,0))))*VLOOKUP(A8644,Calendar!$A$2:$H$9997,8,FALSE),0)</f>
        <v/>
      </c>
      <c r="G8644" s="29">
        <f>VLOOKUP(A8644,Calendar!$A$1:$H$9997,6,FALSE)-F8644</f>
        <v/>
      </c>
      <c r="H8644" s="19" t="n">
        <v>3</v>
      </c>
      <c r="I8644" s="57" t="n">
        <v>8</v>
      </c>
    </row>
    <row r="8645">
      <c r="A8645" s="62" t="n">
        <v>47084</v>
      </c>
      <c r="B8645" s="3" t="inlineStr">
        <is>
          <t>Week</t>
        </is>
      </c>
      <c r="C8645" s="19" t="n">
        <v>11</v>
      </c>
      <c r="D8645" s="19" t="n">
        <v>2028</v>
      </c>
      <c r="E8645" s="57" t="n">
        <v>8</v>
      </c>
      <c r="F8645" s="29">
        <f>ROUND(((SUMIFS(Calendar!$F$2:$F$9997,Calendar!$B$2:$B$9997,D8645,Calendar!$C$2:$C$9997,C8645)*INDEX(ForeCalc!$B$37:$Y$274,MATCH(_xlfn.CONCAT(H8645," ",I8645),ForeCalc!$A$37:$A$274,0),MATCH(_xlfn.CONCAT(B8645," ",E8645),ForeCalc!$B$36:$Y$36,0))))*VLOOKUP(A8645,Calendar!$A$2:$H$9997,8,FALSE),0)</f>
        <v/>
      </c>
      <c r="G8645" s="29">
        <f>VLOOKUP(A8645,Calendar!$A$1:$H$9997,6,FALSE)-F8645</f>
        <v/>
      </c>
      <c r="H8645" s="19" t="n">
        <v>3</v>
      </c>
      <c r="I8645" s="57" t="n">
        <v>8</v>
      </c>
    </row>
    <row r="8646">
      <c r="A8646" s="62" t="n">
        <v>47085</v>
      </c>
      <c r="B8646" s="3" t="inlineStr">
        <is>
          <t>Week</t>
        </is>
      </c>
      <c r="C8646" s="19" t="n">
        <v>11</v>
      </c>
      <c r="D8646" s="19" t="n">
        <v>2028</v>
      </c>
      <c r="E8646" s="57" t="n">
        <v>8</v>
      </c>
      <c r="F8646" s="29">
        <f>ROUND(((SUMIFS(Calendar!$F$2:$F$9997,Calendar!$B$2:$B$9997,D8646,Calendar!$C$2:$C$9997,C8646)*INDEX(ForeCalc!$B$37:$Y$274,MATCH(_xlfn.CONCAT(H8646," ",I8646),ForeCalc!$A$37:$A$274,0),MATCH(_xlfn.CONCAT(B8646," ",E8646),ForeCalc!$B$36:$Y$36,0))))*VLOOKUP(A8646,Calendar!$A$2:$H$9997,8,FALSE),0)</f>
        <v/>
      </c>
      <c r="G8646" s="29">
        <f>VLOOKUP(A8646,Calendar!$A$1:$H$9997,6,FALSE)-F8646</f>
        <v/>
      </c>
      <c r="H8646" s="19" t="n">
        <v>3</v>
      </c>
      <c r="I8646" s="57" t="n">
        <v>8</v>
      </c>
    </row>
    <row r="8647">
      <c r="A8647" s="62" t="n">
        <v>47086</v>
      </c>
      <c r="B8647" s="3" t="inlineStr">
        <is>
          <t>Week</t>
        </is>
      </c>
      <c r="C8647" s="19" t="n">
        <v>11</v>
      </c>
      <c r="D8647" s="19" t="n">
        <v>2028</v>
      </c>
      <c r="E8647" s="57" t="n">
        <v>8</v>
      </c>
      <c r="F8647" s="29">
        <f>ROUND(((SUMIFS(Calendar!$F$2:$F$9997,Calendar!$B$2:$B$9997,D8647,Calendar!$C$2:$C$9997,C8647)*INDEX(ForeCalc!$B$37:$Y$274,MATCH(_xlfn.CONCAT(H8647," ",I8647),ForeCalc!$A$37:$A$274,0),MATCH(_xlfn.CONCAT(B8647," ",E8647),ForeCalc!$B$36:$Y$36,0))))*VLOOKUP(A8647,Calendar!$A$2:$H$9997,8,FALSE),0)</f>
        <v/>
      </c>
      <c r="G8647" s="29">
        <f>VLOOKUP(A8647,Calendar!$A$1:$H$9997,6,FALSE)-F8647</f>
        <v/>
      </c>
      <c r="H8647" s="19" t="n">
        <v>3</v>
      </c>
      <c r="I8647" s="57" t="n">
        <v>8</v>
      </c>
    </row>
    <row r="8648">
      <c r="A8648" s="62" t="n">
        <v>47087</v>
      </c>
      <c r="B8648" s="3" t="inlineStr">
        <is>
          <t>Week</t>
        </is>
      </c>
      <c r="C8648" s="19" t="n">
        <v>11</v>
      </c>
      <c r="D8648" s="19" t="n">
        <v>2028</v>
      </c>
      <c r="E8648" s="57" t="n">
        <v>8</v>
      </c>
      <c r="F8648" s="29">
        <f>ROUND(((SUMIFS(Calendar!$F$2:$F$9997,Calendar!$B$2:$B$9997,D8648,Calendar!$C$2:$C$9997,C8648)*INDEX(ForeCalc!$B$37:$Y$274,MATCH(_xlfn.CONCAT(H8648," ",I8648),ForeCalc!$A$37:$A$274,0),MATCH(_xlfn.CONCAT(B8648," ",E8648),ForeCalc!$B$36:$Y$36,0))))*VLOOKUP(A8648,Calendar!$A$2:$H$9997,8,FALSE),0)</f>
        <v/>
      </c>
      <c r="G8648" s="29">
        <f>VLOOKUP(A8648,Calendar!$A$1:$H$9997,6,FALSE)-F8648</f>
        <v/>
      </c>
      <c r="H8648" s="19" t="n">
        <v>3</v>
      </c>
      <c r="I8648" s="57" t="n">
        <v>8</v>
      </c>
    </row>
    <row r="8649">
      <c r="A8649" s="62" t="n">
        <v>47088</v>
      </c>
      <c r="B8649" s="3" t="inlineStr">
        <is>
          <t>Week</t>
        </is>
      </c>
      <c r="C8649" s="19" t="n">
        <v>12</v>
      </c>
      <c r="D8649" s="19" t="n">
        <v>2028</v>
      </c>
      <c r="E8649" s="57" t="n">
        <v>8</v>
      </c>
      <c r="F8649" s="29">
        <f>ROUND(((SUMIFS(Calendar!$F$2:$F$9997,Calendar!$B$2:$B$9997,D8649,Calendar!$C$2:$C$9997,C8649)*INDEX(ForeCalc!$B$37:$Y$274,MATCH(_xlfn.CONCAT(H8649," ",I8649),ForeCalc!$A$37:$A$274,0),MATCH(_xlfn.CONCAT(B8649," ",E8649),ForeCalc!$B$36:$Y$36,0))))*VLOOKUP(A8649,Calendar!$A$2:$H$9997,8,FALSE),0)</f>
        <v/>
      </c>
      <c r="G8649" s="29">
        <f>VLOOKUP(A8649,Calendar!$A$1:$H$9997,6,FALSE)-F8649</f>
        <v/>
      </c>
      <c r="H8649" s="19" t="n">
        <v>3</v>
      </c>
      <c r="I8649" s="57" t="n">
        <v>9</v>
      </c>
    </row>
    <row r="8650">
      <c r="A8650" s="62" t="n">
        <v>47089</v>
      </c>
      <c r="B8650" s="3" t="inlineStr">
        <is>
          <t>Sat</t>
        </is>
      </c>
      <c r="C8650" s="19" t="n">
        <v>12</v>
      </c>
      <c r="D8650" s="19" t="n">
        <v>2028</v>
      </c>
      <c r="E8650" s="57" t="n">
        <v>8</v>
      </c>
      <c r="F8650" s="29">
        <f>ROUND(((SUMIFS(Calendar!$F$2:$F$9997,Calendar!$B$2:$B$9997,D8650,Calendar!$C$2:$C$9997,C8650)*INDEX(ForeCalc!$B$37:$Y$274,MATCH(_xlfn.CONCAT(H8650," ",I8650),ForeCalc!$A$37:$A$274,0),MATCH(_xlfn.CONCAT(B8650," ",E8650),ForeCalc!$B$36:$Y$36,0))))*VLOOKUP(A8650,Calendar!$A$2:$H$9997,8,FALSE),0)</f>
        <v/>
      </c>
      <c r="G8650" s="29">
        <f>VLOOKUP(A8650,Calendar!$A$1:$H$9997,6,FALSE)-F8650</f>
        <v/>
      </c>
      <c r="H8650" s="19" t="n">
        <v>3</v>
      </c>
      <c r="I8650" s="57" t="n">
        <v>9</v>
      </c>
    </row>
    <row r="8651">
      <c r="A8651" s="62" t="n">
        <v>47090</v>
      </c>
      <c r="B8651" s="3" t="inlineStr">
        <is>
          <t>Sun</t>
        </is>
      </c>
      <c r="C8651" s="19" t="n">
        <v>12</v>
      </c>
      <c r="D8651" s="19" t="n">
        <v>2028</v>
      </c>
      <c r="E8651" s="57" t="n">
        <v>8</v>
      </c>
      <c r="F8651" s="29">
        <f>ROUND(((SUMIFS(Calendar!$F$2:$F$9997,Calendar!$B$2:$B$9997,D8651,Calendar!$C$2:$C$9997,C8651)*INDEX(ForeCalc!$B$37:$Y$274,MATCH(_xlfn.CONCAT(H8651," ",I8651),ForeCalc!$A$37:$A$274,0),MATCH(_xlfn.CONCAT(B8651," ",E8651),ForeCalc!$B$36:$Y$36,0))))*VLOOKUP(A8651,Calendar!$A$2:$H$9997,8,FALSE),0)</f>
        <v/>
      </c>
      <c r="G8651" s="29">
        <f>VLOOKUP(A8651,Calendar!$A$1:$H$9997,6,FALSE)-F8651</f>
        <v/>
      </c>
      <c r="H8651" s="19" t="n">
        <v>3</v>
      </c>
      <c r="I8651" s="57" t="n">
        <v>9</v>
      </c>
    </row>
    <row r="8652">
      <c r="A8652" s="62" t="n">
        <v>47091</v>
      </c>
      <c r="B8652" s="3" t="inlineStr">
        <is>
          <t>Week</t>
        </is>
      </c>
      <c r="C8652" s="19" t="n">
        <v>12</v>
      </c>
      <c r="D8652" s="19" t="n">
        <v>2028</v>
      </c>
      <c r="E8652" s="57" t="n">
        <v>8</v>
      </c>
      <c r="F8652" s="29">
        <f>ROUND(((SUMIFS(Calendar!$F$2:$F$9997,Calendar!$B$2:$B$9997,D8652,Calendar!$C$2:$C$9997,C8652)*INDEX(ForeCalc!$B$37:$Y$274,MATCH(_xlfn.CONCAT(H8652," ",I8652),ForeCalc!$A$37:$A$274,0),MATCH(_xlfn.CONCAT(B8652," ",E8652),ForeCalc!$B$36:$Y$36,0))))*VLOOKUP(A8652,Calendar!$A$2:$H$9997,8,FALSE),0)</f>
        <v/>
      </c>
      <c r="G8652" s="29">
        <f>VLOOKUP(A8652,Calendar!$A$1:$H$9997,6,FALSE)-F8652</f>
        <v/>
      </c>
      <c r="H8652" s="19" t="n">
        <v>3</v>
      </c>
      <c r="I8652" s="57" t="n">
        <v>9</v>
      </c>
    </row>
    <row r="8653">
      <c r="A8653" s="62" t="n">
        <v>47092</v>
      </c>
      <c r="B8653" s="3" t="inlineStr">
        <is>
          <t>Week</t>
        </is>
      </c>
      <c r="C8653" s="19" t="n">
        <v>12</v>
      </c>
      <c r="D8653" s="19" t="n">
        <v>2028</v>
      </c>
      <c r="E8653" s="57" t="n">
        <v>8</v>
      </c>
      <c r="F8653" s="29">
        <f>ROUND(((SUMIFS(Calendar!$F$2:$F$9997,Calendar!$B$2:$B$9997,D8653,Calendar!$C$2:$C$9997,C8653)*INDEX(ForeCalc!$B$37:$Y$274,MATCH(_xlfn.CONCAT(H8653," ",I8653),ForeCalc!$A$37:$A$274,0),MATCH(_xlfn.CONCAT(B8653," ",E8653),ForeCalc!$B$36:$Y$36,0))))*VLOOKUP(A8653,Calendar!$A$2:$H$9997,8,FALSE),0)</f>
        <v/>
      </c>
      <c r="G8653" s="29">
        <f>VLOOKUP(A8653,Calendar!$A$1:$H$9997,6,FALSE)-F8653</f>
        <v/>
      </c>
      <c r="H8653" s="19" t="n">
        <v>3</v>
      </c>
      <c r="I8653" s="57" t="n">
        <v>9</v>
      </c>
    </row>
    <row r="8654">
      <c r="A8654" s="62" t="n">
        <v>47093</v>
      </c>
      <c r="B8654" s="3" t="inlineStr">
        <is>
          <t>Week</t>
        </is>
      </c>
      <c r="C8654" s="19" t="n">
        <v>12</v>
      </c>
      <c r="D8654" s="19" t="n">
        <v>2028</v>
      </c>
      <c r="E8654" s="57" t="n">
        <v>8</v>
      </c>
      <c r="F8654" s="29">
        <f>ROUND(((SUMIFS(Calendar!$F$2:$F$9997,Calendar!$B$2:$B$9997,D8654,Calendar!$C$2:$C$9997,C8654)*INDEX(ForeCalc!$B$37:$Y$274,MATCH(_xlfn.CONCAT(H8654," ",I8654),ForeCalc!$A$37:$A$274,0),MATCH(_xlfn.CONCAT(B8654," ",E8654),ForeCalc!$B$36:$Y$36,0))))*VLOOKUP(A8654,Calendar!$A$2:$H$9997,8,FALSE),0)</f>
        <v/>
      </c>
      <c r="G8654" s="29">
        <f>VLOOKUP(A8654,Calendar!$A$1:$H$9997,6,FALSE)-F8654</f>
        <v/>
      </c>
      <c r="H8654" s="19" t="n">
        <v>3</v>
      </c>
      <c r="I8654" s="57" t="n">
        <v>9</v>
      </c>
    </row>
    <row r="8655">
      <c r="A8655" s="62" t="n">
        <v>47094</v>
      </c>
      <c r="B8655" s="3" t="inlineStr">
        <is>
          <t>Week</t>
        </is>
      </c>
      <c r="C8655" s="19" t="n">
        <v>12</v>
      </c>
      <c r="D8655" s="19" t="n">
        <v>2028</v>
      </c>
      <c r="E8655" s="57" t="n">
        <v>8</v>
      </c>
      <c r="F8655" s="29">
        <f>ROUND(((SUMIFS(Calendar!$F$2:$F$9997,Calendar!$B$2:$B$9997,D8655,Calendar!$C$2:$C$9997,C8655)*INDEX(ForeCalc!$B$37:$Y$274,MATCH(_xlfn.CONCAT(H8655," ",I8655),ForeCalc!$A$37:$A$274,0),MATCH(_xlfn.CONCAT(B8655," ",E8655),ForeCalc!$B$36:$Y$36,0))))*VLOOKUP(A8655,Calendar!$A$2:$H$9997,8,FALSE),0)</f>
        <v/>
      </c>
      <c r="G8655" s="29">
        <f>VLOOKUP(A8655,Calendar!$A$1:$H$9997,6,FALSE)-F8655</f>
        <v/>
      </c>
      <c r="H8655" s="19" t="n">
        <v>3</v>
      </c>
      <c r="I8655" s="57" t="n">
        <v>9</v>
      </c>
    </row>
    <row r="8656">
      <c r="A8656" s="62" t="n">
        <v>47095</v>
      </c>
      <c r="B8656" s="3" t="inlineStr">
        <is>
          <t>Week</t>
        </is>
      </c>
      <c r="C8656" s="19" t="n">
        <v>12</v>
      </c>
      <c r="D8656" s="19" t="n">
        <v>2028</v>
      </c>
      <c r="E8656" s="57" t="n">
        <v>8</v>
      </c>
      <c r="F8656" s="29">
        <f>ROUND(((SUMIFS(Calendar!$F$2:$F$9997,Calendar!$B$2:$B$9997,D8656,Calendar!$C$2:$C$9997,C8656)*INDEX(ForeCalc!$B$37:$Y$274,MATCH(_xlfn.CONCAT(H8656," ",I8656),ForeCalc!$A$37:$A$274,0),MATCH(_xlfn.CONCAT(B8656," ",E8656),ForeCalc!$B$36:$Y$36,0))))*VLOOKUP(A8656,Calendar!$A$2:$H$9997,8,FALSE),0)</f>
        <v/>
      </c>
      <c r="G8656" s="29">
        <f>VLOOKUP(A8656,Calendar!$A$1:$H$9997,6,FALSE)-F8656</f>
        <v/>
      </c>
      <c r="H8656" s="19" t="n">
        <v>3</v>
      </c>
      <c r="I8656" s="57" t="n">
        <v>9</v>
      </c>
    </row>
    <row r="8657">
      <c r="A8657" s="62" t="n">
        <v>47096</v>
      </c>
      <c r="B8657" s="3" t="inlineStr">
        <is>
          <t>Sat</t>
        </is>
      </c>
      <c r="C8657" s="19" t="n">
        <v>12</v>
      </c>
      <c r="D8657" s="19" t="n">
        <v>2028</v>
      </c>
      <c r="E8657" s="57" t="n">
        <v>8</v>
      </c>
      <c r="F8657" s="29">
        <f>ROUND(((SUMIFS(Calendar!$F$2:$F$9997,Calendar!$B$2:$B$9997,D8657,Calendar!$C$2:$C$9997,C8657)*INDEX(ForeCalc!$B$37:$Y$274,MATCH(_xlfn.CONCAT(H8657," ",I8657),ForeCalc!$A$37:$A$274,0),MATCH(_xlfn.CONCAT(B8657," ",E8657),ForeCalc!$B$36:$Y$36,0))))*VLOOKUP(A8657,Calendar!$A$2:$H$9997,8,FALSE),0)</f>
        <v/>
      </c>
      <c r="G8657" s="29">
        <f>VLOOKUP(A8657,Calendar!$A$1:$H$9997,6,FALSE)-F8657</f>
        <v/>
      </c>
      <c r="H8657" s="19" t="n">
        <v>3</v>
      </c>
      <c r="I8657" s="57" t="n">
        <v>9</v>
      </c>
    </row>
    <row r="8658">
      <c r="A8658" s="62" t="n">
        <v>47097</v>
      </c>
      <c r="B8658" s="3" t="inlineStr">
        <is>
          <t>Sun</t>
        </is>
      </c>
      <c r="C8658" s="19" t="n">
        <v>12</v>
      </c>
      <c r="D8658" s="19" t="n">
        <v>2028</v>
      </c>
      <c r="E8658" s="57" t="n">
        <v>8</v>
      </c>
      <c r="F8658" s="29">
        <f>ROUND(((SUMIFS(Calendar!$F$2:$F$9997,Calendar!$B$2:$B$9997,D8658,Calendar!$C$2:$C$9997,C8658)*INDEX(ForeCalc!$B$37:$Y$274,MATCH(_xlfn.CONCAT(H8658," ",I8658),ForeCalc!$A$37:$A$274,0),MATCH(_xlfn.CONCAT(B8658," ",E8658),ForeCalc!$B$36:$Y$36,0))))*VLOOKUP(A8658,Calendar!$A$2:$H$9997,8,FALSE),0)</f>
        <v/>
      </c>
      <c r="G8658" s="29">
        <f>VLOOKUP(A8658,Calendar!$A$1:$H$9997,6,FALSE)-F8658</f>
        <v/>
      </c>
      <c r="H8658" s="19" t="n">
        <v>3</v>
      </c>
      <c r="I8658" s="57" t="n">
        <v>9</v>
      </c>
    </row>
    <row r="8659">
      <c r="A8659" s="62" t="n">
        <v>47098</v>
      </c>
      <c r="B8659" s="3" t="inlineStr">
        <is>
          <t>Week</t>
        </is>
      </c>
      <c r="C8659" s="19" t="n">
        <v>12</v>
      </c>
      <c r="D8659" s="19" t="n">
        <v>2028</v>
      </c>
      <c r="E8659" s="57" t="n">
        <v>8</v>
      </c>
      <c r="F8659" s="29">
        <f>ROUND(((SUMIFS(Calendar!$F$2:$F$9997,Calendar!$B$2:$B$9997,D8659,Calendar!$C$2:$C$9997,C8659)*INDEX(ForeCalc!$B$37:$Y$274,MATCH(_xlfn.CONCAT(H8659," ",I8659),ForeCalc!$A$37:$A$274,0),MATCH(_xlfn.CONCAT(B8659," ",E8659),ForeCalc!$B$36:$Y$36,0))))*VLOOKUP(A8659,Calendar!$A$2:$H$9997,8,FALSE),0)</f>
        <v/>
      </c>
      <c r="G8659" s="29">
        <f>VLOOKUP(A8659,Calendar!$A$1:$H$9997,6,FALSE)-F8659</f>
        <v/>
      </c>
      <c r="H8659" s="19" t="n">
        <v>3</v>
      </c>
      <c r="I8659" s="57" t="n">
        <v>9</v>
      </c>
    </row>
    <row r="8660">
      <c r="A8660" s="62" t="n">
        <v>47099</v>
      </c>
      <c r="B8660" s="3" t="inlineStr">
        <is>
          <t>Week</t>
        </is>
      </c>
      <c r="C8660" s="19" t="n">
        <v>12</v>
      </c>
      <c r="D8660" s="19" t="n">
        <v>2028</v>
      </c>
      <c r="E8660" s="57" t="n">
        <v>8</v>
      </c>
      <c r="F8660" s="29">
        <f>ROUND(((SUMIFS(Calendar!$F$2:$F$9997,Calendar!$B$2:$B$9997,D8660,Calendar!$C$2:$C$9997,C8660)*INDEX(ForeCalc!$B$37:$Y$274,MATCH(_xlfn.CONCAT(H8660," ",I8660),ForeCalc!$A$37:$A$274,0),MATCH(_xlfn.CONCAT(B8660," ",E8660),ForeCalc!$B$36:$Y$36,0))))*VLOOKUP(A8660,Calendar!$A$2:$H$9997,8,FALSE),0)</f>
        <v/>
      </c>
      <c r="G8660" s="29">
        <f>VLOOKUP(A8660,Calendar!$A$1:$H$9997,6,FALSE)-F8660</f>
        <v/>
      </c>
      <c r="H8660" s="19" t="n">
        <v>3</v>
      </c>
      <c r="I8660" s="57" t="n">
        <v>9</v>
      </c>
    </row>
    <row r="8661">
      <c r="A8661" s="62" t="n">
        <v>47100</v>
      </c>
      <c r="B8661" s="3" t="inlineStr">
        <is>
          <t>Week</t>
        </is>
      </c>
      <c r="C8661" s="19" t="n">
        <v>12</v>
      </c>
      <c r="D8661" s="19" t="n">
        <v>2028</v>
      </c>
      <c r="E8661" s="57" t="n">
        <v>8</v>
      </c>
      <c r="F8661" s="29">
        <f>ROUND(((SUMIFS(Calendar!$F$2:$F$9997,Calendar!$B$2:$B$9997,D8661,Calendar!$C$2:$C$9997,C8661)*INDEX(ForeCalc!$B$37:$Y$274,MATCH(_xlfn.CONCAT(H8661," ",I8661),ForeCalc!$A$37:$A$274,0),MATCH(_xlfn.CONCAT(B8661," ",E8661),ForeCalc!$B$36:$Y$36,0))))*VLOOKUP(A8661,Calendar!$A$2:$H$9997,8,FALSE),0)</f>
        <v/>
      </c>
      <c r="G8661" s="29">
        <f>VLOOKUP(A8661,Calendar!$A$1:$H$9997,6,FALSE)-F8661</f>
        <v/>
      </c>
      <c r="H8661" s="19" t="n">
        <v>3</v>
      </c>
      <c r="I8661" s="57" t="n">
        <v>9</v>
      </c>
    </row>
    <row r="8662">
      <c r="A8662" s="62" t="n">
        <v>47101</v>
      </c>
      <c r="B8662" s="3" t="inlineStr">
        <is>
          <t>Week</t>
        </is>
      </c>
      <c r="C8662" s="19" t="n">
        <v>12</v>
      </c>
      <c r="D8662" s="19" t="n">
        <v>2028</v>
      </c>
      <c r="E8662" s="57" t="n">
        <v>8</v>
      </c>
      <c r="F8662" s="29">
        <f>ROUND(((SUMIFS(Calendar!$F$2:$F$9997,Calendar!$B$2:$B$9997,D8662,Calendar!$C$2:$C$9997,C8662)*INDEX(ForeCalc!$B$37:$Y$274,MATCH(_xlfn.CONCAT(H8662," ",I8662),ForeCalc!$A$37:$A$274,0),MATCH(_xlfn.CONCAT(B8662," ",E8662),ForeCalc!$B$36:$Y$36,0))))*VLOOKUP(A8662,Calendar!$A$2:$H$9997,8,FALSE),0)</f>
        <v/>
      </c>
      <c r="G8662" s="29">
        <f>VLOOKUP(A8662,Calendar!$A$1:$H$9997,6,FALSE)-F8662</f>
        <v/>
      </c>
      <c r="H8662" s="19" t="n">
        <v>3</v>
      </c>
      <c r="I8662" s="57" t="n">
        <v>9</v>
      </c>
    </row>
    <row r="8663">
      <c r="A8663" s="62" t="n">
        <v>47102</v>
      </c>
      <c r="B8663" s="3" t="inlineStr">
        <is>
          <t>Week</t>
        </is>
      </c>
      <c r="C8663" s="19" t="n">
        <v>12</v>
      </c>
      <c r="D8663" s="19" t="n">
        <v>2028</v>
      </c>
      <c r="E8663" s="57" t="n">
        <v>8</v>
      </c>
      <c r="F8663" s="29">
        <f>ROUND(((SUMIFS(Calendar!$F$2:$F$9997,Calendar!$B$2:$B$9997,D8663,Calendar!$C$2:$C$9997,C8663)*INDEX(ForeCalc!$B$37:$Y$274,MATCH(_xlfn.CONCAT(H8663," ",I8663),ForeCalc!$A$37:$A$274,0),MATCH(_xlfn.CONCAT(B8663," ",E8663),ForeCalc!$B$36:$Y$36,0))))*VLOOKUP(A8663,Calendar!$A$2:$H$9997,8,FALSE),0)</f>
        <v/>
      </c>
      <c r="G8663" s="29">
        <f>VLOOKUP(A8663,Calendar!$A$1:$H$9997,6,FALSE)-F8663</f>
        <v/>
      </c>
      <c r="H8663" s="19" t="n">
        <v>3</v>
      </c>
      <c r="I8663" s="57" t="n">
        <v>9</v>
      </c>
    </row>
    <row r="8664">
      <c r="A8664" s="62" t="n">
        <v>47103</v>
      </c>
      <c r="B8664" s="3" t="inlineStr">
        <is>
          <t>Sat</t>
        </is>
      </c>
      <c r="C8664" s="19" t="n">
        <v>12</v>
      </c>
      <c r="D8664" s="19" t="n">
        <v>2028</v>
      </c>
      <c r="E8664" s="57" t="n">
        <v>8</v>
      </c>
      <c r="F8664" s="29">
        <f>ROUND(((SUMIFS(Calendar!$F$2:$F$9997,Calendar!$B$2:$B$9997,D8664,Calendar!$C$2:$C$9997,C8664)*INDEX(ForeCalc!$B$37:$Y$274,MATCH(_xlfn.CONCAT(H8664," ",I8664),ForeCalc!$A$37:$A$274,0),MATCH(_xlfn.CONCAT(B8664," ",E8664),ForeCalc!$B$36:$Y$36,0))))*VLOOKUP(A8664,Calendar!$A$2:$H$9997,8,FALSE),0)</f>
        <v/>
      </c>
      <c r="G8664" s="29">
        <f>VLOOKUP(A8664,Calendar!$A$1:$H$9997,6,FALSE)-F8664</f>
        <v/>
      </c>
      <c r="H8664" s="19" t="n">
        <v>3</v>
      </c>
      <c r="I8664" s="57" t="n">
        <v>9</v>
      </c>
    </row>
    <row r="8665">
      <c r="A8665" s="62" t="n">
        <v>47104</v>
      </c>
      <c r="B8665" s="3" t="inlineStr">
        <is>
          <t>Sun</t>
        </is>
      </c>
      <c r="C8665" s="19" t="n">
        <v>12</v>
      </c>
      <c r="D8665" s="19" t="n">
        <v>2028</v>
      </c>
      <c r="E8665" s="57" t="n">
        <v>8</v>
      </c>
      <c r="F8665" s="29">
        <f>ROUND(((SUMIFS(Calendar!$F$2:$F$9997,Calendar!$B$2:$B$9997,D8665,Calendar!$C$2:$C$9997,C8665)*INDEX(ForeCalc!$B$37:$Y$274,MATCH(_xlfn.CONCAT(H8665," ",I8665),ForeCalc!$A$37:$A$274,0),MATCH(_xlfn.CONCAT(B8665," ",E8665),ForeCalc!$B$36:$Y$36,0))))*VLOOKUP(A8665,Calendar!$A$2:$H$9997,8,FALSE),0)</f>
        <v/>
      </c>
      <c r="G8665" s="29">
        <f>VLOOKUP(A8665,Calendar!$A$1:$H$9997,6,FALSE)-F8665</f>
        <v/>
      </c>
      <c r="H8665" s="19" t="n">
        <v>3</v>
      </c>
      <c r="I8665" s="57" t="n">
        <v>9</v>
      </c>
    </row>
    <row r="8666">
      <c r="A8666" s="62" t="n">
        <v>47105</v>
      </c>
      <c r="B8666" s="3" t="inlineStr">
        <is>
          <t>Week</t>
        </is>
      </c>
      <c r="C8666" s="19" t="n">
        <v>12</v>
      </c>
      <c r="D8666" s="19" t="n">
        <v>2028</v>
      </c>
      <c r="E8666" s="57" t="n">
        <v>8</v>
      </c>
      <c r="F8666" s="29">
        <f>ROUND(((SUMIFS(Calendar!$F$2:$F$9997,Calendar!$B$2:$B$9997,D8666,Calendar!$C$2:$C$9997,C8666)*INDEX(ForeCalc!$B$37:$Y$274,MATCH(_xlfn.CONCAT(H8666," ",I8666),ForeCalc!$A$37:$A$274,0),MATCH(_xlfn.CONCAT(B8666," ",E8666),ForeCalc!$B$36:$Y$36,0))))*VLOOKUP(A8666,Calendar!$A$2:$H$9997,8,FALSE),0)</f>
        <v/>
      </c>
      <c r="G8666" s="29">
        <f>VLOOKUP(A8666,Calendar!$A$1:$H$9997,6,FALSE)-F8666</f>
        <v/>
      </c>
      <c r="H8666" s="19" t="n">
        <v>3</v>
      </c>
      <c r="I8666" s="57" t="n">
        <v>9</v>
      </c>
    </row>
    <row r="8667">
      <c r="A8667" s="62" t="n">
        <v>47106</v>
      </c>
      <c r="B8667" s="3" t="inlineStr">
        <is>
          <t>Week</t>
        </is>
      </c>
      <c r="C8667" s="19" t="n">
        <v>12</v>
      </c>
      <c r="D8667" s="19" t="n">
        <v>2028</v>
      </c>
      <c r="E8667" s="57" t="n">
        <v>8</v>
      </c>
      <c r="F8667" s="29">
        <f>ROUND(((SUMIFS(Calendar!$F$2:$F$9997,Calendar!$B$2:$B$9997,D8667,Calendar!$C$2:$C$9997,C8667)*INDEX(ForeCalc!$B$37:$Y$274,MATCH(_xlfn.CONCAT(H8667," ",I8667),ForeCalc!$A$37:$A$274,0),MATCH(_xlfn.CONCAT(B8667," ",E8667),ForeCalc!$B$36:$Y$36,0))))*VLOOKUP(A8667,Calendar!$A$2:$H$9997,8,FALSE),0)</f>
        <v/>
      </c>
      <c r="G8667" s="29">
        <f>VLOOKUP(A8667,Calendar!$A$1:$H$9997,6,FALSE)-F8667</f>
        <v/>
      </c>
      <c r="H8667" s="19" t="n">
        <v>3</v>
      </c>
      <c r="I8667" s="57" t="n">
        <v>9</v>
      </c>
    </row>
    <row r="8668">
      <c r="A8668" s="62" t="n">
        <v>47107</v>
      </c>
      <c r="B8668" s="3" t="inlineStr">
        <is>
          <t>Week</t>
        </is>
      </c>
      <c r="C8668" s="19" t="n">
        <v>12</v>
      </c>
      <c r="D8668" s="19" t="n">
        <v>2028</v>
      </c>
      <c r="E8668" s="57" t="n">
        <v>8</v>
      </c>
      <c r="F8668" s="29">
        <f>ROUND(((SUMIFS(Calendar!$F$2:$F$9997,Calendar!$B$2:$B$9997,D8668,Calendar!$C$2:$C$9997,C8668)*INDEX(ForeCalc!$B$37:$Y$274,MATCH(_xlfn.CONCAT(H8668," ",I8668),ForeCalc!$A$37:$A$274,0),MATCH(_xlfn.CONCAT(B8668," ",E8668),ForeCalc!$B$36:$Y$36,0))))*VLOOKUP(A8668,Calendar!$A$2:$H$9997,8,FALSE),0)</f>
        <v/>
      </c>
      <c r="G8668" s="29">
        <f>VLOOKUP(A8668,Calendar!$A$1:$H$9997,6,FALSE)-F8668</f>
        <v/>
      </c>
      <c r="H8668" s="19" t="n">
        <v>3</v>
      </c>
      <c r="I8668" s="57" t="n">
        <v>9</v>
      </c>
    </row>
    <row r="8669">
      <c r="A8669" s="62" t="n">
        <v>47108</v>
      </c>
      <c r="B8669" s="3" t="inlineStr">
        <is>
          <t>Week</t>
        </is>
      </c>
      <c r="C8669" s="19" t="n">
        <v>12</v>
      </c>
      <c r="D8669" s="19" t="n">
        <v>2028</v>
      </c>
      <c r="E8669" s="57" t="n">
        <v>8</v>
      </c>
      <c r="F8669" s="29">
        <f>ROUND(((SUMIFS(Calendar!$F$2:$F$9997,Calendar!$B$2:$B$9997,D8669,Calendar!$C$2:$C$9997,C8669)*INDEX(ForeCalc!$B$37:$Y$274,MATCH(_xlfn.CONCAT(H8669," ",I8669),ForeCalc!$A$37:$A$274,0),MATCH(_xlfn.CONCAT(B8669," ",E8669),ForeCalc!$B$36:$Y$36,0))))*VLOOKUP(A8669,Calendar!$A$2:$H$9997,8,FALSE),0)</f>
        <v/>
      </c>
      <c r="G8669" s="29">
        <f>VLOOKUP(A8669,Calendar!$A$1:$H$9997,6,FALSE)-F8669</f>
        <v/>
      </c>
      <c r="H8669" s="19" t="n">
        <v>3</v>
      </c>
      <c r="I8669" s="57" t="n">
        <v>9</v>
      </c>
    </row>
    <row r="8670">
      <c r="A8670" s="62" t="n">
        <v>47109</v>
      </c>
      <c r="B8670" s="3" t="inlineStr">
        <is>
          <t>Week</t>
        </is>
      </c>
      <c r="C8670" s="19" t="n">
        <v>12</v>
      </c>
      <c r="D8670" s="19" t="n">
        <v>2028</v>
      </c>
      <c r="E8670" s="57" t="n">
        <v>8</v>
      </c>
      <c r="F8670" s="29">
        <f>ROUND(((SUMIFS(Calendar!$F$2:$F$9997,Calendar!$B$2:$B$9997,D8670,Calendar!$C$2:$C$9997,C8670)*INDEX(ForeCalc!$B$37:$Y$274,MATCH(_xlfn.CONCAT(H8670," ",I8670),ForeCalc!$A$37:$A$274,0),MATCH(_xlfn.CONCAT(B8670," ",E8670),ForeCalc!$B$36:$Y$36,0))))*VLOOKUP(A8670,Calendar!$A$2:$H$9997,8,FALSE),0)</f>
        <v/>
      </c>
      <c r="G8670" s="29">
        <f>VLOOKUP(A8670,Calendar!$A$1:$H$9997,6,FALSE)-F8670</f>
        <v/>
      </c>
      <c r="H8670" s="19" t="n">
        <v>3</v>
      </c>
      <c r="I8670" s="57" t="n">
        <v>9</v>
      </c>
    </row>
    <row r="8671">
      <c r="A8671" s="62" t="n">
        <v>47110</v>
      </c>
      <c r="B8671" s="3" t="inlineStr">
        <is>
          <t>Sat</t>
        </is>
      </c>
      <c r="C8671" s="19" t="n">
        <v>12</v>
      </c>
      <c r="D8671" s="19" t="n">
        <v>2028</v>
      </c>
      <c r="E8671" s="57" t="n">
        <v>8</v>
      </c>
      <c r="F8671" s="29">
        <f>ROUND(((SUMIFS(Calendar!$F$2:$F$9997,Calendar!$B$2:$B$9997,D8671,Calendar!$C$2:$C$9997,C8671)*INDEX(ForeCalc!$B$37:$Y$274,MATCH(_xlfn.CONCAT(H8671," ",I8671),ForeCalc!$A$37:$A$274,0),MATCH(_xlfn.CONCAT(B8671," ",E8671),ForeCalc!$B$36:$Y$36,0))))*VLOOKUP(A8671,Calendar!$A$2:$H$9997,8,FALSE),0)</f>
        <v/>
      </c>
      <c r="G8671" s="29">
        <f>VLOOKUP(A8671,Calendar!$A$1:$H$9997,6,FALSE)-F8671</f>
        <v/>
      </c>
      <c r="H8671" s="19" t="n">
        <v>3</v>
      </c>
      <c r="I8671" s="57" t="n">
        <v>9</v>
      </c>
    </row>
    <row r="8672">
      <c r="A8672" s="62" t="n">
        <v>47111</v>
      </c>
      <c r="B8672" s="3" t="inlineStr">
        <is>
          <t>Sun</t>
        </is>
      </c>
      <c r="C8672" s="19" t="n">
        <v>12</v>
      </c>
      <c r="D8672" s="19" t="n">
        <v>2028</v>
      </c>
      <c r="E8672" s="57" t="n">
        <v>8</v>
      </c>
      <c r="F8672" s="29">
        <f>ROUND(((SUMIFS(Calendar!$F$2:$F$9997,Calendar!$B$2:$B$9997,D8672,Calendar!$C$2:$C$9997,C8672)*INDEX(ForeCalc!$B$37:$Y$274,MATCH(_xlfn.CONCAT(H8672," ",I8672),ForeCalc!$A$37:$A$274,0),MATCH(_xlfn.CONCAT(B8672," ",E8672),ForeCalc!$B$36:$Y$36,0))))*VLOOKUP(A8672,Calendar!$A$2:$H$9997,8,FALSE),0)</f>
        <v/>
      </c>
      <c r="G8672" s="29">
        <f>VLOOKUP(A8672,Calendar!$A$1:$H$9997,6,FALSE)-F8672</f>
        <v/>
      </c>
      <c r="H8672" s="19" t="n">
        <v>3</v>
      </c>
      <c r="I8672" s="57" t="n">
        <v>9</v>
      </c>
    </row>
    <row r="8673">
      <c r="A8673" s="62" t="n">
        <v>47112</v>
      </c>
      <c r="B8673" s="3" t="inlineStr">
        <is>
          <t>Week</t>
        </is>
      </c>
      <c r="C8673" s="19" t="n">
        <v>12</v>
      </c>
      <c r="D8673" s="19" t="n">
        <v>2028</v>
      </c>
      <c r="E8673" s="57" t="n">
        <v>8</v>
      </c>
      <c r="F8673" s="29">
        <f>ROUND(((SUMIFS(Calendar!$F$2:$F$9997,Calendar!$B$2:$B$9997,D8673,Calendar!$C$2:$C$9997,C8673)*INDEX(ForeCalc!$B$37:$Y$274,MATCH(_xlfn.CONCAT(H8673," ",I8673),ForeCalc!$A$37:$A$274,0),MATCH(_xlfn.CONCAT(B8673," ",E8673),ForeCalc!$B$36:$Y$36,0))))*VLOOKUP(A8673,Calendar!$A$2:$H$9997,8,FALSE),0)</f>
        <v/>
      </c>
      <c r="G8673" s="29">
        <f>VLOOKUP(A8673,Calendar!$A$1:$H$9997,6,FALSE)-F8673</f>
        <v/>
      </c>
      <c r="H8673" s="19" t="n">
        <v>3</v>
      </c>
      <c r="I8673" s="57" t="n">
        <v>9</v>
      </c>
    </row>
    <row r="8674">
      <c r="A8674" s="62" t="n">
        <v>47113</v>
      </c>
      <c r="B8674" s="3" t="inlineStr">
        <is>
          <t>Week</t>
        </is>
      </c>
      <c r="C8674" s="19" t="n">
        <v>12</v>
      </c>
      <c r="D8674" s="19" t="n">
        <v>2028</v>
      </c>
      <c r="E8674" s="57" t="n">
        <v>8</v>
      </c>
      <c r="F8674" s="29">
        <f>ROUND(((SUMIFS(Calendar!$F$2:$F$9997,Calendar!$B$2:$B$9997,D8674,Calendar!$C$2:$C$9997,C8674)*INDEX(ForeCalc!$B$37:$Y$274,MATCH(_xlfn.CONCAT(H8674," ",I8674),ForeCalc!$A$37:$A$274,0),MATCH(_xlfn.CONCAT(B8674," ",E8674),ForeCalc!$B$36:$Y$36,0))))*VLOOKUP(A8674,Calendar!$A$2:$H$9997,8,FALSE),0)</f>
        <v/>
      </c>
      <c r="G8674" s="29">
        <f>VLOOKUP(A8674,Calendar!$A$1:$H$9997,6,FALSE)-F8674</f>
        <v/>
      </c>
      <c r="H8674" s="19" t="n">
        <v>3</v>
      </c>
      <c r="I8674" s="57" t="n">
        <v>9</v>
      </c>
    </row>
    <row r="8675">
      <c r="A8675" s="62" t="n">
        <v>47114</v>
      </c>
      <c r="B8675" s="3" t="inlineStr">
        <is>
          <t>Week</t>
        </is>
      </c>
      <c r="C8675" s="19" t="n">
        <v>12</v>
      </c>
      <c r="D8675" s="19" t="n">
        <v>2028</v>
      </c>
      <c r="E8675" s="57" t="n">
        <v>8</v>
      </c>
      <c r="F8675" s="29">
        <f>ROUND(((SUMIFS(Calendar!$F$2:$F$9997,Calendar!$B$2:$B$9997,D8675,Calendar!$C$2:$C$9997,C8675)*INDEX(ForeCalc!$B$37:$Y$274,MATCH(_xlfn.CONCAT(H8675," ",I8675),ForeCalc!$A$37:$A$274,0),MATCH(_xlfn.CONCAT(B8675," ",E8675),ForeCalc!$B$36:$Y$36,0))))*VLOOKUP(A8675,Calendar!$A$2:$H$9997,8,FALSE),0)</f>
        <v/>
      </c>
      <c r="G8675" s="29">
        <f>VLOOKUP(A8675,Calendar!$A$1:$H$9997,6,FALSE)-F8675</f>
        <v/>
      </c>
      <c r="H8675" s="19" t="n">
        <v>3</v>
      </c>
      <c r="I8675" s="57" t="n">
        <v>9</v>
      </c>
    </row>
    <row r="8676">
      <c r="A8676" s="62" t="n">
        <v>47115</v>
      </c>
      <c r="B8676" s="3" t="inlineStr">
        <is>
          <t>Week</t>
        </is>
      </c>
      <c r="C8676" s="19" t="n">
        <v>12</v>
      </c>
      <c r="D8676" s="19" t="n">
        <v>2028</v>
      </c>
      <c r="E8676" s="57" t="n">
        <v>8</v>
      </c>
      <c r="F8676" s="29">
        <f>ROUND(((SUMIFS(Calendar!$F$2:$F$9997,Calendar!$B$2:$B$9997,D8676,Calendar!$C$2:$C$9997,C8676)*INDEX(ForeCalc!$B$37:$Y$274,MATCH(_xlfn.CONCAT(H8676," ",I8676),ForeCalc!$A$37:$A$274,0),MATCH(_xlfn.CONCAT(B8676," ",E8676),ForeCalc!$B$36:$Y$36,0))))*VLOOKUP(A8676,Calendar!$A$2:$H$9997,8,FALSE),0)</f>
        <v/>
      </c>
      <c r="G8676" s="29">
        <f>VLOOKUP(A8676,Calendar!$A$1:$H$9997,6,FALSE)-F8676</f>
        <v/>
      </c>
      <c r="H8676" s="19" t="n">
        <v>3</v>
      </c>
      <c r="I8676" s="57" t="n">
        <v>9</v>
      </c>
    </row>
    <row r="8677">
      <c r="A8677" s="62" t="n">
        <v>47116</v>
      </c>
      <c r="B8677" s="3" t="inlineStr">
        <is>
          <t>Week</t>
        </is>
      </c>
      <c r="C8677" s="19" t="n">
        <v>12</v>
      </c>
      <c r="D8677" s="19" t="n">
        <v>2028</v>
      </c>
      <c r="E8677" s="57" t="n">
        <v>8</v>
      </c>
      <c r="F8677" s="29">
        <f>ROUND(((SUMIFS(Calendar!$F$2:$F$9997,Calendar!$B$2:$B$9997,D8677,Calendar!$C$2:$C$9997,C8677)*INDEX(ForeCalc!$B$37:$Y$274,MATCH(_xlfn.CONCAT(H8677," ",I8677),ForeCalc!$A$37:$A$274,0),MATCH(_xlfn.CONCAT(B8677," ",E8677),ForeCalc!$B$36:$Y$36,0))))*VLOOKUP(A8677,Calendar!$A$2:$H$9997,8,FALSE),0)</f>
        <v/>
      </c>
      <c r="G8677" s="29">
        <f>VLOOKUP(A8677,Calendar!$A$1:$H$9997,6,FALSE)-F8677</f>
        <v/>
      </c>
      <c r="H8677" s="19" t="n">
        <v>3</v>
      </c>
      <c r="I8677" s="57" t="n">
        <v>9</v>
      </c>
    </row>
    <row r="8678">
      <c r="A8678" s="62" t="n">
        <v>47117</v>
      </c>
      <c r="B8678" s="3" t="inlineStr">
        <is>
          <t>Sat</t>
        </is>
      </c>
      <c r="C8678" s="19" t="n">
        <v>12</v>
      </c>
      <c r="D8678" s="19" t="n">
        <v>2028</v>
      </c>
      <c r="E8678" s="57" t="n">
        <v>8</v>
      </c>
      <c r="F8678" s="29">
        <f>ROUND(((SUMIFS(Calendar!$F$2:$F$9997,Calendar!$B$2:$B$9997,D8678,Calendar!$C$2:$C$9997,C8678)*INDEX(ForeCalc!$B$37:$Y$274,MATCH(_xlfn.CONCAT(H8678," ",I8678),ForeCalc!$A$37:$A$274,0),MATCH(_xlfn.CONCAT(B8678," ",E8678),ForeCalc!$B$36:$Y$36,0))))*VLOOKUP(A8678,Calendar!$A$2:$H$9997,8,FALSE),0)</f>
        <v/>
      </c>
      <c r="G8678" s="29">
        <f>VLOOKUP(A8678,Calendar!$A$1:$H$9997,6,FALSE)-F8678</f>
        <v/>
      </c>
      <c r="H8678" s="19" t="n">
        <v>3</v>
      </c>
      <c r="I8678" s="57" t="n">
        <v>9</v>
      </c>
    </row>
    <row r="8679">
      <c r="A8679" s="62" t="n">
        <v>47118</v>
      </c>
      <c r="B8679" s="3" t="inlineStr">
        <is>
          <t>Sun</t>
        </is>
      </c>
      <c r="C8679" s="19" t="n">
        <v>12</v>
      </c>
      <c r="D8679" s="19" t="n">
        <v>2028</v>
      </c>
      <c r="E8679" s="57" t="n">
        <v>8</v>
      </c>
      <c r="F8679" s="29">
        <f>ROUND(((SUMIFS(Calendar!$F$2:$F$9997,Calendar!$B$2:$B$9997,D8679,Calendar!$C$2:$C$9997,C8679)*INDEX(ForeCalc!$B$37:$Y$274,MATCH(_xlfn.CONCAT(H8679," ",I8679),ForeCalc!$A$37:$A$274,0),MATCH(_xlfn.CONCAT(B8679," ",E8679),ForeCalc!$B$36:$Y$36,0))))*VLOOKUP(A8679,Calendar!$A$2:$H$9997,8,FALSE),0)</f>
        <v/>
      </c>
      <c r="G8679" s="29">
        <f>VLOOKUP(A8679,Calendar!$A$1:$H$9997,6,FALSE)-F8679</f>
        <v/>
      </c>
      <c r="H8679" s="19" t="n">
        <v>3</v>
      </c>
      <c r="I8679" s="57" t="n">
        <v>9</v>
      </c>
    </row>
    <row r="8680">
      <c r="A8680" s="62" t="n">
        <v>47119</v>
      </c>
      <c r="B8680" s="3" t="inlineStr">
        <is>
          <t>Week</t>
        </is>
      </c>
      <c r="C8680" s="19" t="n">
        <v>1</v>
      </c>
      <c r="D8680" s="19" t="n">
        <v>2029</v>
      </c>
      <c r="E8680" s="57" t="n">
        <v>8</v>
      </c>
      <c r="F8680" s="29">
        <f>ROUND(((SUMIFS(Calendar!$F$2:$F$9997,Calendar!$B$2:$B$9997,D8680,Calendar!$C$2:$C$9997,C8680)*INDEX(ForeCalc!$B$37:$Y$274,MATCH(_xlfn.CONCAT(H8680," ",I8680),ForeCalc!$A$37:$A$274,0),MATCH(_xlfn.CONCAT(B8680," ",E8680),ForeCalc!$B$36:$Y$36,0))))*VLOOKUP(A8680,Calendar!$A$2:$H$9997,8,FALSE),0)</f>
        <v/>
      </c>
      <c r="G8680" s="29">
        <f>VLOOKUP(A8680,Calendar!$A$1:$H$9997,6,FALSE)-F8680</f>
        <v/>
      </c>
      <c r="H8680" s="19" t="n">
        <v>3</v>
      </c>
      <c r="I8680" s="57" t="n">
        <v>10</v>
      </c>
    </row>
    <row r="8681">
      <c r="A8681" s="62" t="n">
        <v>47120</v>
      </c>
      <c r="B8681" s="3" t="inlineStr">
        <is>
          <t>Week</t>
        </is>
      </c>
      <c r="C8681" s="19" t="n">
        <v>1</v>
      </c>
      <c r="D8681" s="19" t="n">
        <v>2029</v>
      </c>
      <c r="E8681" s="57" t="n">
        <v>8</v>
      </c>
      <c r="F8681" s="29">
        <f>ROUND(((SUMIFS(Calendar!$F$2:$F$9997,Calendar!$B$2:$B$9997,D8681,Calendar!$C$2:$C$9997,C8681)*INDEX(ForeCalc!$B$37:$Y$274,MATCH(_xlfn.CONCAT(H8681," ",I8681),ForeCalc!$A$37:$A$274,0),MATCH(_xlfn.CONCAT(B8681," ",E8681),ForeCalc!$B$36:$Y$36,0))))*VLOOKUP(A8681,Calendar!$A$2:$H$9997,8,FALSE),0)</f>
        <v/>
      </c>
      <c r="G8681" s="29">
        <f>VLOOKUP(A8681,Calendar!$A$1:$H$9997,6,FALSE)-F8681</f>
        <v/>
      </c>
      <c r="H8681" s="19" t="n">
        <v>3</v>
      </c>
      <c r="I8681" s="57" t="n">
        <v>10</v>
      </c>
    </row>
    <row r="8682">
      <c r="A8682" s="62" t="n">
        <v>47121</v>
      </c>
      <c r="B8682" s="3" t="inlineStr">
        <is>
          <t>Week</t>
        </is>
      </c>
      <c r="C8682" s="19" t="n">
        <v>1</v>
      </c>
      <c r="D8682" s="19" t="n">
        <v>2029</v>
      </c>
      <c r="E8682" s="57" t="n">
        <v>8</v>
      </c>
      <c r="F8682" s="29">
        <f>ROUND(((SUMIFS(Calendar!$F$2:$F$9997,Calendar!$B$2:$B$9997,D8682,Calendar!$C$2:$C$9997,C8682)*INDEX(ForeCalc!$B$37:$Y$274,MATCH(_xlfn.CONCAT(H8682," ",I8682),ForeCalc!$A$37:$A$274,0),MATCH(_xlfn.CONCAT(B8682," ",E8682),ForeCalc!$B$36:$Y$36,0))))*VLOOKUP(A8682,Calendar!$A$2:$H$9997,8,FALSE),0)</f>
        <v/>
      </c>
      <c r="G8682" s="29">
        <f>VLOOKUP(A8682,Calendar!$A$1:$H$9997,6,FALSE)-F8682</f>
        <v/>
      </c>
      <c r="H8682" s="19" t="n">
        <v>3</v>
      </c>
      <c r="I8682" s="57" t="n">
        <v>10</v>
      </c>
    </row>
    <row r="8683">
      <c r="A8683" s="62" t="n">
        <v>47122</v>
      </c>
      <c r="B8683" s="3" t="inlineStr">
        <is>
          <t>Week</t>
        </is>
      </c>
      <c r="C8683" s="19" t="n">
        <v>1</v>
      </c>
      <c r="D8683" s="19" t="n">
        <v>2029</v>
      </c>
      <c r="E8683" s="57" t="n">
        <v>8</v>
      </c>
      <c r="F8683" s="29">
        <f>ROUND(((SUMIFS(Calendar!$F$2:$F$9997,Calendar!$B$2:$B$9997,D8683,Calendar!$C$2:$C$9997,C8683)*INDEX(ForeCalc!$B$37:$Y$274,MATCH(_xlfn.CONCAT(H8683," ",I8683),ForeCalc!$A$37:$A$274,0),MATCH(_xlfn.CONCAT(B8683," ",E8683),ForeCalc!$B$36:$Y$36,0))))*VLOOKUP(A8683,Calendar!$A$2:$H$9997,8,FALSE),0)</f>
        <v/>
      </c>
      <c r="G8683" s="29">
        <f>VLOOKUP(A8683,Calendar!$A$1:$H$9997,6,FALSE)-F8683</f>
        <v/>
      </c>
      <c r="H8683" s="19" t="n">
        <v>3</v>
      </c>
      <c r="I8683" s="57" t="n">
        <v>10</v>
      </c>
    </row>
    <row r="8684">
      <c r="A8684" s="62" t="n">
        <v>47123</v>
      </c>
      <c r="B8684" s="3" t="inlineStr">
        <is>
          <t>Week</t>
        </is>
      </c>
      <c r="C8684" s="19" t="n">
        <v>1</v>
      </c>
      <c r="D8684" s="19" t="n">
        <v>2029</v>
      </c>
      <c r="E8684" s="57" t="n">
        <v>8</v>
      </c>
      <c r="F8684" s="29">
        <f>ROUND(((SUMIFS(Calendar!$F$2:$F$9997,Calendar!$B$2:$B$9997,D8684,Calendar!$C$2:$C$9997,C8684)*INDEX(ForeCalc!$B$37:$Y$274,MATCH(_xlfn.CONCAT(H8684," ",I8684),ForeCalc!$A$37:$A$274,0),MATCH(_xlfn.CONCAT(B8684," ",E8684),ForeCalc!$B$36:$Y$36,0))))*VLOOKUP(A8684,Calendar!$A$2:$H$9997,8,FALSE),0)</f>
        <v/>
      </c>
      <c r="G8684" s="29">
        <f>VLOOKUP(A8684,Calendar!$A$1:$H$9997,6,FALSE)-F8684</f>
        <v/>
      </c>
      <c r="H8684" s="19" t="n">
        <v>3</v>
      </c>
      <c r="I8684" s="57" t="n">
        <v>10</v>
      </c>
    </row>
    <row r="8685">
      <c r="A8685" s="62" t="n">
        <v>47124</v>
      </c>
      <c r="B8685" s="3" t="inlineStr">
        <is>
          <t>Sat</t>
        </is>
      </c>
      <c r="C8685" s="19" t="n">
        <v>1</v>
      </c>
      <c r="D8685" s="19" t="n">
        <v>2029</v>
      </c>
      <c r="E8685" s="57" t="n">
        <v>8</v>
      </c>
      <c r="F8685" s="29">
        <f>ROUND(((SUMIFS(Calendar!$F$2:$F$9997,Calendar!$B$2:$B$9997,D8685,Calendar!$C$2:$C$9997,C8685)*INDEX(ForeCalc!$B$37:$Y$274,MATCH(_xlfn.CONCAT(H8685," ",I8685),ForeCalc!$A$37:$A$274,0),MATCH(_xlfn.CONCAT(B8685," ",E8685),ForeCalc!$B$36:$Y$36,0))))*VLOOKUP(A8685,Calendar!$A$2:$H$9997,8,FALSE),0)</f>
        <v/>
      </c>
      <c r="G8685" s="29">
        <f>VLOOKUP(A8685,Calendar!$A$1:$H$9997,6,FALSE)-F8685</f>
        <v/>
      </c>
      <c r="H8685" s="19" t="n">
        <v>3</v>
      </c>
      <c r="I8685" s="57" t="n">
        <v>10</v>
      </c>
    </row>
    <row r="8686">
      <c r="A8686" s="62" t="n">
        <v>47125</v>
      </c>
      <c r="B8686" s="3" t="inlineStr">
        <is>
          <t>Sun</t>
        </is>
      </c>
      <c r="C8686" s="19" t="n">
        <v>1</v>
      </c>
      <c r="D8686" s="19" t="n">
        <v>2029</v>
      </c>
      <c r="E8686" s="57" t="n">
        <v>8</v>
      </c>
      <c r="F8686" s="29">
        <f>ROUND(((SUMIFS(Calendar!$F$2:$F$9997,Calendar!$B$2:$B$9997,D8686,Calendar!$C$2:$C$9997,C8686)*INDEX(ForeCalc!$B$37:$Y$274,MATCH(_xlfn.CONCAT(H8686," ",I8686),ForeCalc!$A$37:$A$274,0),MATCH(_xlfn.CONCAT(B8686," ",E8686),ForeCalc!$B$36:$Y$36,0))))*VLOOKUP(A8686,Calendar!$A$2:$H$9997,8,FALSE),0)</f>
        <v/>
      </c>
      <c r="G8686" s="29">
        <f>VLOOKUP(A8686,Calendar!$A$1:$H$9997,6,FALSE)-F8686</f>
        <v/>
      </c>
      <c r="H8686" s="19" t="n">
        <v>3</v>
      </c>
      <c r="I8686" s="57" t="n">
        <v>10</v>
      </c>
    </row>
    <row r="8687">
      <c r="A8687" s="62" t="n">
        <v>47126</v>
      </c>
      <c r="B8687" s="3" t="inlineStr">
        <is>
          <t>Week</t>
        </is>
      </c>
      <c r="C8687" s="19" t="n">
        <v>1</v>
      </c>
      <c r="D8687" s="19" t="n">
        <v>2029</v>
      </c>
      <c r="E8687" s="57" t="n">
        <v>8</v>
      </c>
      <c r="F8687" s="29">
        <f>ROUND(((SUMIFS(Calendar!$F$2:$F$9997,Calendar!$B$2:$B$9997,D8687,Calendar!$C$2:$C$9997,C8687)*INDEX(ForeCalc!$B$37:$Y$274,MATCH(_xlfn.CONCAT(H8687," ",I8687),ForeCalc!$A$37:$A$274,0),MATCH(_xlfn.CONCAT(B8687," ",E8687),ForeCalc!$B$36:$Y$36,0))))*VLOOKUP(A8687,Calendar!$A$2:$H$9997,8,FALSE),0)</f>
        <v/>
      </c>
      <c r="G8687" s="29">
        <f>VLOOKUP(A8687,Calendar!$A$1:$H$9997,6,FALSE)-F8687</f>
        <v/>
      </c>
      <c r="H8687" s="19" t="n">
        <v>3</v>
      </c>
      <c r="I8687" s="57" t="n">
        <v>10</v>
      </c>
    </row>
    <row r="8688">
      <c r="A8688" s="62" t="n">
        <v>47127</v>
      </c>
      <c r="B8688" s="3" t="inlineStr">
        <is>
          <t>Week</t>
        </is>
      </c>
      <c r="C8688" s="19" t="n">
        <v>1</v>
      </c>
      <c r="D8688" s="19" t="n">
        <v>2029</v>
      </c>
      <c r="E8688" s="57" t="n">
        <v>8</v>
      </c>
      <c r="F8688" s="29">
        <f>ROUND(((SUMIFS(Calendar!$F$2:$F$9997,Calendar!$B$2:$B$9997,D8688,Calendar!$C$2:$C$9997,C8688)*INDEX(ForeCalc!$B$37:$Y$274,MATCH(_xlfn.CONCAT(H8688," ",I8688),ForeCalc!$A$37:$A$274,0),MATCH(_xlfn.CONCAT(B8688," ",E8688),ForeCalc!$B$36:$Y$36,0))))*VLOOKUP(A8688,Calendar!$A$2:$H$9997,8,FALSE),0)</f>
        <v/>
      </c>
      <c r="G8688" s="29">
        <f>VLOOKUP(A8688,Calendar!$A$1:$H$9997,6,FALSE)-F8688</f>
        <v/>
      </c>
      <c r="H8688" s="19" t="n">
        <v>3</v>
      </c>
      <c r="I8688" s="57" t="n">
        <v>10</v>
      </c>
    </row>
    <row r="8689">
      <c r="A8689" s="62" t="n">
        <v>47128</v>
      </c>
      <c r="B8689" s="3" t="inlineStr">
        <is>
          <t>Week</t>
        </is>
      </c>
      <c r="C8689" s="19" t="n">
        <v>1</v>
      </c>
      <c r="D8689" s="19" t="n">
        <v>2029</v>
      </c>
      <c r="E8689" s="57" t="n">
        <v>8</v>
      </c>
      <c r="F8689" s="29">
        <f>ROUND(((SUMIFS(Calendar!$F$2:$F$9997,Calendar!$B$2:$B$9997,D8689,Calendar!$C$2:$C$9997,C8689)*INDEX(ForeCalc!$B$37:$Y$274,MATCH(_xlfn.CONCAT(H8689," ",I8689),ForeCalc!$A$37:$A$274,0),MATCH(_xlfn.CONCAT(B8689," ",E8689),ForeCalc!$B$36:$Y$36,0))))*VLOOKUP(A8689,Calendar!$A$2:$H$9997,8,FALSE),0)</f>
        <v/>
      </c>
      <c r="G8689" s="29">
        <f>VLOOKUP(A8689,Calendar!$A$1:$H$9997,6,FALSE)-F8689</f>
        <v/>
      </c>
      <c r="H8689" s="19" t="n">
        <v>3</v>
      </c>
      <c r="I8689" s="57" t="n">
        <v>10</v>
      </c>
    </row>
    <row r="8690">
      <c r="A8690" s="62" t="n">
        <v>47129</v>
      </c>
      <c r="B8690" s="3" t="inlineStr">
        <is>
          <t>Week</t>
        </is>
      </c>
      <c r="C8690" s="19" t="n">
        <v>1</v>
      </c>
      <c r="D8690" s="19" t="n">
        <v>2029</v>
      </c>
      <c r="E8690" s="57" t="n">
        <v>8</v>
      </c>
      <c r="F8690" s="29">
        <f>ROUND(((SUMIFS(Calendar!$F$2:$F$9997,Calendar!$B$2:$B$9997,D8690,Calendar!$C$2:$C$9997,C8690)*INDEX(ForeCalc!$B$37:$Y$274,MATCH(_xlfn.CONCAT(H8690," ",I8690),ForeCalc!$A$37:$A$274,0),MATCH(_xlfn.CONCAT(B8690," ",E8690),ForeCalc!$B$36:$Y$36,0))))*VLOOKUP(A8690,Calendar!$A$2:$H$9997,8,FALSE),0)</f>
        <v/>
      </c>
      <c r="G8690" s="29">
        <f>VLOOKUP(A8690,Calendar!$A$1:$H$9997,6,FALSE)-F8690</f>
        <v/>
      </c>
      <c r="H8690" s="19" t="n">
        <v>3</v>
      </c>
      <c r="I8690" s="57" t="n">
        <v>10</v>
      </c>
    </row>
    <row r="8691">
      <c r="A8691" s="62" t="n">
        <v>47130</v>
      </c>
      <c r="B8691" s="3" t="inlineStr">
        <is>
          <t>Week</t>
        </is>
      </c>
      <c r="C8691" s="19" t="n">
        <v>1</v>
      </c>
      <c r="D8691" s="19" t="n">
        <v>2029</v>
      </c>
      <c r="E8691" s="57" t="n">
        <v>8</v>
      </c>
      <c r="F8691" s="29">
        <f>ROUND(((SUMIFS(Calendar!$F$2:$F$9997,Calendar!$B$2:$B$9997,D8691,Calendar!$C$2:$C$9997,C8691)*INDEX(ForeCalc!$B$37:$Y$274,MATCH(_xlfn.CONCAT(H8691," ",I8691),ForeCalc!$A$37:$A$274,0),MATCH(_xlfn.CONCAT(B8691," ",E8691),ForeCalc!$B$36:$Y$36,0))))*VLOOKUP(A8691,Calendar!$A$2:$H$9997,8,FALSE),0)</f>
        <v/>
      </c>
      <c r="G8691" s="29">
        <f>VLOOKUP(A8691,Calendar!$A$1:$H$9997,6,FALSE)-F8691</f>
        <v/>
      </c>
      <c r="H8691" s="19" t="n">
        <v>3</v>
      </c>
      <c r="I8691" s="57" t="n">
        <v>10</v>
      </c>
    </row>
    <row r="8692">
      <c r="A8692" s="62" t="n">
        <v>47131</v>
      </c>
      <c r="B8692" s="3" t="inlineStr">
        <is>
          <t>Sat</t>
        </is>
      </c>
      <c r="C8692" s="19" t="n">
        <v>1</v>
      </c>
      <c r="D8692" s="19" t="n">
        <v>2029</v>
      </c>
      <c r="E8692" s="57" t="n">
        <v>8</v>
      </c>
      <c r="F8692" s="29">
        <f>ROUND(((SUMIFS(Calendar!$F$2:$F$9997,Calendar!$B$2:$B$9997,D8692,Calendar!$C$2:$C$9997,C8692)*INDEX(ForeCalc!$B$37:$Y$274,MATCH(_xlfn.CONCAT(H8692," ",I8692),ForeCalc!$A$37:$A$274,0),MATCH(_xlfn.CONCAT(B8692," ",E8692),ForeCalc!$B$36:$Y$36,0))))*VLOOKUP(A8692,Calendar!$A$2:$H$9997,8,FALSE),0)</f>
        <v/>
      </c>
      <c r="G8692" s="29">
        <f>VLOOKUP(A8692,Calendar!$A$1:$H$9997,6,FALSE)-F8692</f>
        <v/>
      </c>
      <c r="H8692" s="19" t="n">
        <v>3</v>
      </c>
      <c r="I8692" s="57" t="n">
        <v>10</v>
      </c>
    </row>
    <row r="8693">
      <c r="A8693" s="62" t="n">
        <v>47132</v>
      </c>
      <c r="B8693" s="3" t="inlineStr">
        <is>
          <t>Sun</t>
        </is>
      </c>
      <c r="C8693" s="19" t="n">
        <v>1</v>
      </c>
      <c r="D8693" s="19" t="n">
        <v>2029</v>
      </c>
      <c r="E8693" s="57" t="n">
        <v>8</v>
      </c>
      <c r="F8693" s="29">
        <f>ROUND(((SUMIFS(Calendar!$F$2:$F$9997,Calendar!$B$2:$B$9997,D8693,Calendar!$C$2:$C$9997,C8693)*INDEX(ForeCalc!$B$37:$Y$274,MATCH(_xlfn.CONCAT(H8693," ",I8693),ForeCalc!$A$37:$A$274,0),MATCH(_xlfn.CONCAT(B8693," ",E8693),ForeCalc!$B$36:$Y$36,0))))*VLOOKUP(A8693,Calendar!$A$2:$H$9997,8,FALSE),0)</f>
        <v/>
      </c>
      <c r="G8693" s="29">
        <f>VLOOKUP(A8693,Calendar!$A$1:$H$9997,6,FALSE)-F8693</f>
        <v/>
      </c>
      <c r="H8693" s="19" t="n">
        <v>3</v>
      </c>
      <c r="I8693" s="57" t="n">
        <v>10</v>
      </c>
    </row>
    <row r="8694">
      <c r="A8694" s="62" t="n">
        <v>47133</v>
      </c>
      <c r="B8694" s="3" t="inlineStr">
        <is>
          <t>Week</t>
        </is>
      </c>
      <c r="C8694" s="19" t="n">
        <v>1</v>
      </c>
      <c r="D8694" s="19" t="n">
        <v>2029</v>
      </c>
      <c r="E8694" s="57" t="n">
        <v>8</v>
      </c>
      <c r="F8694" s="29">
        <f>ROUND(((SUMIFS(Calendar!$F$2:$F$9997,Calendar!$B$2:$B$9997,D8694,Calendar!$C$2:$C$9997,C8694)*INDEX(ForeCalc!$B$37:$Y$274,MATCH(_xlfn.CONCAT(H8694," ",I8694),ForeCalc!$A$37:$A$274,0),MATCH(_xlfn.CONCAT(B8694," ",E8694),ForeCalc!$B$36:$Y$36,0))))*VLOOKUP(A8694,Calendar!$A$2:$H$9997,8,FALSE),0)</f>
        <v/>
      </c>
      <c r="G8694" s="29">
        <f>VLOOKUP(A8694,Calendar!$A$1:$H$9997,6,FALSE)-F8694</f>
        <v/>
      </c>
      <c r="H8694" s="19" t="n">
        <v>3</v>
      </c>
      <c r="I8694" s="57" t="n">
        <v>10</v>
      </c>
    </row>
    <row r="8695">
      <c r="A8695" s="62" t="n">
        <v>47134</v>
      </c>
      <c r="B8695" s="3" t="inlineStr">
        <is>
          <t>Week</t>
        </is>
      </c>
      <c r="C8695" s="19" t="n">
        <v>1</v>
      </c>
      <c r="D8695" s="19" t="n">
        <v>2029</v>
      </c>
      <c r="E8695" s="57" t="n">
        <v>8</v>
      </c>
      <c r="F8695" s="29">
        <f>ROUND(((SUMIFS(Calendar!$F$2:$F$9997,Calendar!$B$2:$B$9997,D8695,Calendar!$C$2:$C$9997,C8695)*INDEX(ForeCalc!$B$37:$Y$274,MATCH(_xlfn.CONCAT(H8695," ",I8695),ForeCalc!$A$37:$A$274,0),MATCH(_xlfn.CONCAT(B8695," ",E8695),ForeCalc!$B$36:$Y$36,0))))*VLOOKUP(A8695,Calendar!$A$2:$H$9997,8,FALSE),0)</f>
        <v/>
      </c>
      <c r="G8695" s="29">
        <f>VLOOKUP(A8695,Calendar!$A$1:$H$9997,6,FALSE)-F8695</f>
        <v/>
      </c>
      <c r="H8695" s="19" t="n">
        <v>3</v>
      </c>
      <c r="I8695" s="57" t="n">
        <v>10</v>
      </c>
    </row>
    <row r="8696">
      <c r="A8696" s="62" t="n">
        <v>47135</v>
      </c>
      <c r="B8696" s="3" t="inlineStr">
        <is>
          <t>Week</t>
        </is>
      </c>
      <c r="C8696" s="19" t="n">
        <v>1</v>
      </c>
      <c r="D8696" s="19" t="n">
        <v>2029</v>
      </c>
      <c r="E8696" s="57" t="n">
        <v>8</v>
      </c>
      <c r="F8696" s="29">
        <f>ROUND(((SUMIFS(Calendar!$F$2:$F$9997,Calendar!$B$2:$B$9997,D8696,Calendar!$C$2:$C$9997,C8696)*INDEX(ForeCalc!$B$37:$Y$274,MATCH(_xlfn.CONCAT(H8696," ",I8696),ForeCalc!$A$37:$A$274,0),MATCH(_xlfn.CONCAT(B8696," ",E8696),ForeCalc!$B$36:$Y$36,0))))*VLOOKUP(A8696,Calendar!$A$2:$H$9997,8,FALSE),0)</f>
        <v/>
      </c>
      <c r="G8696" s="29">
        <f>VLOOKUP(A8696,Calendar!$A$1:$H$9997,6,FALSE)-F8696</f>
        <v/>
      </c>
      <c r="H8696" s="19" t="n">
        <v>3</v>
      </c>
      <c r="I8696" s="57" t="n">
        <v>10</v>
      </c>
    </row>
    <row r="8697">
      <c r="A8697" s="62" t="n">
        <v>47136</v>
      </c>
      <c r="B8697" s="3" t="inlineStr">
        <is>
          <t>Week</t>
        </is>
      </c>
      <c r="C8697" s="19" t="n">
        <v>1</v>
      </c>
      <c r="D8697" s="19" t="n">
        <v>2029</v>
      </c>
      <c r="E8697" s="57" t="n">
        <v>8</v>
      </c>
      <c r="F8697" s="29">
        <f>ROUND(((SUMIFS(Calendar!$F$2:$F$9997,Calendar!$B$2:$B$9997,D8697,Calendar!$C$2:$C$9997,C8697)*INDEX(ForeCalc!$B$37:$Y$274,MATCH(_xlfn.CONCAT(H8697," ",I8697),ForeCalc!$A$37:$A$274,0),MATCH(_xlfn.CONCAT(B8697," ",E8697),ForeCalc!$B$36:$Y$36,0))))*VLOOKUP(A8697,Calendar!$A$2:$H$9997,8,FALSE),0)</f>
        <v/>
      </c>
      <c r="G8697" s="29">
        <f>VLOOKUP(A8697,Calendar!$A$1:$H$9997,6,FALSE)-F8697</f>
        <v/>
      </c>
      <c r="H8697" s="19" t="n">
        <v>3</v>
      </c>
      <c r="I8697" s="57" t="n">
        <v>10</v>
      </c>
    </row>
    <row r="8698">
      <c r="A8698" s="62" t="n">
        <v>47137</v>
      </c>
      <c r="B8698" s="3" t="inlineStr">
        <is>
          <t>Week</t>
        </is>
      </c>
      <c r="C8698" s="19" t="n">
        <v>1</v>
      </c>
      <c r="D8698" s="19" t="n">
        <v>2029</v>
      </c>
      <c r="E8698" s="57" t="n">
        <v>8</v>
      </c>
      <c r="F8698" s="29">
        <f>ROUND(((SUMIFS(Calendar!$F$2:$F$9997,Calendar!$B$2:$B$9997,D8698,Calendar!$C$2:$C$9997,C8698)*INDEX(ForeCalc!$B$37:$Y$274,MATCH(_xlfn.CONCAT(H8698," ",I8698),ForeCalc!$A$37:$A$274,0),MATCH(_xlfn.CONCAT(B8698," ",E8698),ForeCalc!$B$36:$Y$36,0))))*VLOOKUP(A8698,Calendar!$A$2:$H$9997,8,FALSE),0)</f>
        <v/>
      </c>
      <c r="G8698" s="29">
        <f>VLOOKUP(A8698,Calendar!$A$1:$H$9997,6,FALSE)-F8698</f>
        <v/>
      </c>
      <c r="H8698" s="19" t="n">
        <v>3</v>
      </c>
      <c r="I8698" s="57" t="n">
        <v>10</v>
      </c>
    </row>
    <row r="8699">
      <c r="A8699" s="62" t="n">
        <v>47138</v>
      </c>
      <c r="B8699" s="3" t="inlineStr">
        <is>
          <t>Sat</t>
        </is>
      </c>
      <c r="C8699" s="19" t="n">
        <v>1</v>
      </c>
      <c r="D8699" s="19" t="n">
        <v>2029</v>
      </c>
      <c r="E8699" s="57" t="n">
        <v>8</v>
      </c>
      <c r="F8699" s="29">
        <f>ROUND(((SUMIFS(Calendar!$F$2:$F$9997,Calendar!$B$2:$B$9997,D8699,Calendar!$C$2:$C$9997,C8699)*INDEX(ForeCalc!$B$37:$Y$274,MATCH(_xlfn.CONCAT(H8699," ",I8699),ForeCalc!$A$37:$A$274,0),MATCH(_xlfn.CONCAT(B8699," ",E8699),ForeCalc!$B$36:$Y$36,0))))*VLOOKUP(A8699,Calendar!$A$2:$H$9997,8,FALSE),0)</f>
        <v/>
      </c>
      <c r="G8699" s="29">
        <f>VLOOKUP(A8699,Calendar!$A$1:$H$9997,6,FALSE)-F8699</f>
        <v/>
      </c>
      <c r="H8699" s="19" t="n">
        <v>3</v>
      </c>
      <c r="I8699" s="57" t="n">
        <v>10</v>
      </c>
    </row>
    <row r="8700">
      <c r="A8700" s="62" t="n">
        <v>47139</v>
      </c>
      <c r="B8700" s="3" t="inlineStr">
        <is>
          <t>Sun</t>
        </is>
      </c>
      <c r="C8700" s="19" t="n">
        <v>1</v>
      </c>
      <c r="D8700" s="19" t="n">
        <v>2029</v>
      </c>
      <c r="E8700" s="57" t="n">
        <v>8</v>
      </c>
      <c r="F8700" s="29">
        <f>ROUND(((SUMIFS(Calendar!$F$2:$F$9997,Calendar!$B$2:$B$9997,D8700,Calendar!$C$2:$C$9997,C8700)*INDEX(ForeCalc!$B$37:$Y$274,MATCH(_xlfn.CONCAT(H8700," ",I8700),ForeCalc!$A$37:$A$274,0),MATCH(_xlfn.CONCAT(B8700," ",E8700),ForeCalc!$B$36:$Y$36,0))))*VLOOKUP(A8700,Calendar!$A$2:$H$9997,8,FALSE),0)</f>
        <v/>
      </c>
      <c r="G8700" s="29">
        <f>VLOOKUP(A8700,Calendar!$A$1:$H$9997,6,FALSE)-F8700</f>
        <v/>
      </c>
      <c r="H8700" s="19" t="n">
        <v>3</v>
      </c>
      <c r="I8700" s="57" t="n">
        <v>10</v>
      </c>
    </row>
    <row r="8701">
      <c r="A8701" s="62" t="n">
        <v>47140</v>
      </c>
      <c r="B8701" s="3" t="inlineStr">
        <is>
          <t>Week</t>
        </is>
      </c>
      <c r="C8701" s="19" t="n">
        <v>1</v>
      </c>
      <c r="D8701" s="19" t="n">
        <v>2029</v>
      </c>
      <c r="E8701" s="57" t="n">
        <v>8</v>
      </c>
      <c r="F8701" s="29">
        <f>ROUND(((SUMIFS(Calendar!$F$2:$F$9997,Calendar!$B$2:$B$9997,D8701,Calendar!$C$2:$C$9997,C8701)*INDEX(ForeCalc!$B$37:$Y$274,MATCH(_xlfn.CONCAT(H8701," ",I8701),ForeCalc!$A$37:$A$274,0),MATCH(_xlfn.CONCAT(B8701," ",E8701),ForeCalc!$B$36:$Y$36,0))))*VLOOKUP(A8701,Calendar!$A$2:$H$9997,8,FALSE),0)</f>
        <v/>
      </c>
      <c r="G8701" s="29">
        <f>VLOOKUP(A8701,Calendar!$A$1:$H$9997,6,FALSE)-F8701</f>
        <v/>
      </c>
      <c r="H8701" s="19" t="n">
        <v>3</v>
      </c>
      <c r="I8701" s="57" t="n">
        <v>10</v>
      </c>
    </row>
    <row r="8702">
      <c r="A8702" s="62" t="n">
        <v>47141</v>
      </c>
      <c r="B8702" s="3" t="inlineStr">
        <is>
          <t>Week</t>
        </is>
      </c>
      <c r="C8702" s="19" t="n">
        <v>1</v>
      </c>
      <c r="D8702" s="19" t="n">
        <v>2029</v>
      </c>
      <c r="E8702" s="57" t="n">
        <v>8</v>
      </c>
      <c r="F8702" s="29">
        <f>ROUND(((SUMIFS(Calendar!$F$2:$F$9997,Calendar!$B$2:$B$9997,D8702,Calendar!$C$2:$C$9997,C8702)*INDEX(ForeCalc!$B$37:$Y$274,MATCH(_xlfn.CONCAT(H8702," ",I8702),ForeCalc!$A$37:$A$274,0),MATCH(_xlfn.CONCAT(B8702," ",E8702),ForeCalc!$B$36:$Y$36,0))))*VLOOKUP(A8702,Calendar!$A$2:$H$9997,8,FALSE),0)</f>
        <v/>
      </c>
      <c r="G8702" s="29">
        <f>VLOOKUP(A8702,Calendar!$A$1:$H$9997,6,FALSE)-F8702</f>
        <v/>
      </c>
      <c r="H8702" s="19" t="n">
        <v>3</v>
      </c>
      <c r="I8702" s="57" t="n">
        <v>10</v>
      </c>
    </row>
    <row r="8703">
      <c r="A8703" s="62" t="n">
        <v>47142</v>
      </c>
      <c r="B8703" s="3" t="inlineStr">
        <is>
          <t>Week</t>
        </is>
      </c>
      <c r="C8703" s="19" t="n">
        <v>1</v>
      </c>
      <c r="D8703" s="19" t="n">
        <v>2029</v>
      </c>
      <c r="E8703" s="57" t="n">
        <v>8</v>
      </c>
      <c r="F8703" s="29">
        <f>ROUND(((SUMIFS(Calendar!$F$2:$F$9997,Calendar!$B$2:$B$9997,D8703,Calendar!$C$2:$C$9997,C8703)*INDEX(ForeCalc!$B$37:$Y$274,MATCH(_xlfn.CONCAT(H8703," ",I8703),ForeCalc!$A$37:$A$274,0),MATCH(_xlfn.CONCAT(B8703," ",E8703),ForeCalc!$B$36:$Y$36,0))))*VLOOKUP(A8703,Calendar!$A$2:$H$9997,8,FALSE),0)</f>
        <v/>
      </c>
      <c r="G8703" s="29">
        <f>VLOOKUP(A8703,Calendar!$A$1:$H$9997,6,FALSE)-F8703</f>
        <v/>
      </c>
      <c r="H8703" s="19" t="n">
        <v>3</v>
      </c>
      <c r="I8703" s="57" t="n">
        <v>10</v>
      </c>
    </row>
    <row r="8704">
      <c r="A8704" s="62" t="n">
        <v>47143</v>
      </c>
      <c r="B8704" s="3" t="inlineStr">
        <is>
          <t>Week</t>
        </is>
      </c>
      <c r="C8704" s="19" t="n">
        <v>1</v>
      </c>
      <c r="D8704" s="19" t="n">
        <v>2029</v>
      </c>
      <c r="E8704" s="57" t="n">
        <v>8</v>
      </c>
      <c r="F8704" s="29">
        <f>ROUND(((SUMIFS(Calendar!$F$2:$F$9997,Calendar!$B$2:$B$9997,D8704,Calendar!$C$2:$C$9997,C8704)*INDEX(ForeCalc!$B$37:$Y$274,MATCH(_xlfn.CONCAT(H8704," ",I8704),ForeCalc!$A$37:$A$274,0),MATCH(_xlfn.CONCAT(B8704," ",E8704),ForeCalc!$B$36:$Y$36,0))))*VLOOKUP(A8704,Calendar!$A$2:$H$9997,8,FALSE),0)</f>
        <v/>
      </c>
      <c r="G8704" s="29">
        <f>VLOOKUP(A8704,Calendar!$A$1:$H$9997,6,FALSE)-F8704</f>
        <v/>
      </c>
      <c r="H8704" s="19" t="n">
        <v>3</v>
      </c>
      <c r="I8704" s="57" t="n">
        <v>10</v>
      </c>
    </row>
    <row r="8705">
      <c r="A8705" s="62" t="n">
        <v>47144</v>
      </c>
      <c r="B8705" s="3" t="inlineStr">
        <is>
          <t>Week</t>
        </is>
      </c>
      <c r="C8705" s="19" t="n">
        <v>1</v>
      </c>
      <c r="D8705" s="19" t="n">
        <v>2029</v>
      </c>
      <c r="E8705" s="57" t="n">
        <v>8</v>
      </c>
      <c r="F8705" s="29">
        <f>ROUND(((SUMIFS(Calendar!$F$2:$F$9997,Calendar!$B$2:$B$9997,D8705,Calendar!$C$2:$C$9997,C8705)*INDEX(ForeCalc!$B$37:$Y$274,MATCH(_xlfn.CONCAT(H8705," ",I8705),ForeCalc!$A$37:$A$274,0),MATCH(_xlfn.CONCAT(B8705," ",E8705),ForeCalc!$B$36:$Y$36,0))))*VLOOKUP(A8705,Calendar!$A$2:$H$9997,8,FALSE),0)</f>
        <v/>
      </c>
      <c r="G8705" s="29">
        <f>VLOOKUP(A8705,Calendar!$A$1:$H$9997,6,FALSE)-F8705</f>
        <v/>
      </c>
      <c r="H8705" s="19" t="n">
        <v>3</v>
      </c>
      <c r="I8705" s="57" t="n">
        <v>10</v>
      </c>
    </row>
    <row r="8706">
      <c r="A8706" s="62" t="n">
        <v>47145</v>
      </c>
      <c r="B8706" s="3" t="inlineStr">
        <is>
          <t>Sat</t>
        </is>
      </c>
      <c r="C8706" s="19" t="n">
        <v>1</v>
      </c>
      <c r="D8706" s="19" t="n">
        <v>2029</v>
      </c>
      <c r="E8706" s="57" t="n">
        <v>8</v>
      </c>
      <c r="F8706" s="29">
        <f>ROUND(((SUMIFS(Calendar!$F$2:$F$9997,Calendar!$B$2:$B$9997,D8706,Calendar!$C$2:$C$9997,C8706)*INDEX(ForeCalc!$B$37:$Y$274,MATCH(_xlfn.CONCAT(H8706," ",I8706),ForeCalc!$A$37:$A$274,0),MATCH(_xlfn.CONCAT(B8706," ",E8706),ForeCalc!$B$36:$Y$36,0))))*VLOOKUP(A8706,Calendar!$A$2:$H$9997,8,FALSE),0)</f>
        <v/>
      </c>
      <c r="G8706" s="29">
        <f>VLOOKUP(A8706,Calendar!$A$1:$H$9997,6,FALSE)-F8706</f>
        <v/>
      </c>
      <c r="H8706" s="19" t="n">
        <v>3</v>
      </c>
      <c r="I8706" s="57" t="n">
        <v>10</v>
      </c>
    </row>
    <row r="8707">
      <c r="A8707" s="62" t="n">
        <v>47146</v>
      </c>
      <c r="B8707" s="3" t="inlineStr">
        <is>
          <t>Sun</t>
        </is>
      </c>
      <c r="C8707" s="19" t="n">
        <v>1</v>
      </c>
      <c r="D8707" s="19" t="n">
        <v>2029</v>
      </c>
      <c r="E8707" s="57" t="n">
        <v>8</v>
      </c>
      <c r="F8707" s="29">
        <f>ROUND(((SUMIFS(Calendar!$F$2:$F$9997,Calendar!$B$2:$B$9997,D8707,Calendar!$C$2:$C$9997,C8707)*INDEX(ForeCalc!$B$37:$Y$274,MATCH(_xlfn.CONCAT(H8707," ",I8707),ForeCalc!$A$37:$A$274,0),MATCH(_xlfn.CONCAT(B8707," ",E8707),ForeCalc!$B$36:$Y$36,0))))*VLOOKUP(A8707,Calendar!$A$2:$H$9997,8,FALSE),0)</f>
        <v/>
      </c>
      <c r="G8707" s="29">
        <f>VLOOKUP(A8707,Calendar!$A$1:$H$9997,6,FALSE)-F8707</f>
        <v/>
      </c>
      <c r="H8707" s="19" t="n">
        <v>3</v>
      </c>
      <c r="I8707" s="57" t="n">
        <v>10</v>
      </c>
    </row>
    <row r="8708">
      <c r="A8708" s="62" t="n">
        <v>47147</v>
      </c>
      <c r="B8708" s="3" t="inlineStr">
        <is>
          <t>Week</t>
        </is>
      </c>
      <c r="C8708" s="19" t="n">
        <v>1</v>
      </c>
      <c r="D8708" s="19" t="n">
        <v>2029</v>
      </c>
      <c r="E8708" s="57" t="n">
        <v>8</v>
      </c>
      <c r="F8708" s="29">
        <f>ROUND(((SUMIFS(Calendar!$F$2:$F$9997,Calendar!$B$2:$B$9997,D8708,Calendar!$C$2:$C$9997,C8708)*INDEX(ForeCalc!$B$37:$Y$274,MATCH(_xlfn.CONCAT(H8708," ",I8708),ForeCalc!$A$37:$A$274,0),MATCH(_xlfn.CONCAT(B8708," ",E8708),ForeCalc!$B$36:$Y$36,0))))*VLOOKUP(A8708,Calendar!$A$2:$H$9997,8,FALSE),0)</f>
        <v/>
      </c>
      <c r="G8708" s="29">
        <f>VLOOKUP(A8708,Calendar!$A$1:$H$9997,6,FALSE)-F8708</f>
        <v/>
      </c>
      <c r="H8708" s="19" t="n">
        <v>3</v>
      </c>
      <c r="I8708" s="57" t="n">
        <v>10</v>
      </c>
    </row>
    <row r="8709">
      <c r="A8709" s="62" t="n">
        <v>47148</v>
      </c>
      <c r="B8709" s="3" t="inlineStr">
        <is>
          <t>Week</t>
        </is>
      </c>
      <c r="C8709" s="19" t="n">
        <v>1</v>
      </c>
      <c r="D8709" s="19" t="n">
        <v>2029</v>
      </c>
      <c r="E8709" s="57" t="n">
        <v>8</v>
      </c>
      <c r="F8709" s="29">
        <f>ROUND(((SUMIFS(Calendar!$F$2:$F$9997,Calendar!$B$2:$B$9997,D8709,Calendar!$C$2:$C$9997,C8709)*INDEX(ForeCalc!$B$37:$Y$274,MATCH(_xlfn.CONCAT(H8709," ",I8709),ForeCalc!$A$37:$A$274,0),MATCH(_xlfn.CONCAT(B8709," ",E8709),ForeCalc!$B$36:$Y$36,0))))*VLOOKUP(A8709,Calendar!$A$2:$H$9997,8,FALSE),0)</f>
        <v/>
      </c>
      <c r="G8709" s="29">
        <f>VLOOKUP(A8709,Calendar!$A$1:$H$9997,6,FALSE)-F8709</f>
        <v/>
      </c>
      <c r="H8709" s="19" t="n">
        <v>3</v>
      </c>
      <c r="I8709" s="57" t="n">
        <v>10</v>
      </c>
    </row>
    <row r="8710">
      <c r="A8710" s="62" t="n">
        <v>47149</v>
      </c>
      <c r="B8710" s="3" t="inlineStr">
        <is>
          <t>Week</t>
        </is>
      </c>
      <c r="C8710" s="19" t="n">
        <v>1</v>
      </c>
      <c r="D8710" s="19" t="n">
        <v>2029</v>
      </c>
      <c r="E8710" s="57" t="n">
        <v>8</v>
      </c>
      <c r="F8710" s="29">
        <f>ROUND(((SUMIFS(Calendar!$F$2:$F$9997,Calendar!$B$2:$B$9997,D8710,Calendar!$C$2:$C$9997,C8710)*INDEX(ForeCalc!$B$37:$Y$274,MATCH(_xlfn.CONCAT(H8710," ",I8710),ForeCalc!$A$37:$A$274,0),MATCH(_xlfn.CONCAT(B8710," ",E8710),ForeCalc!$B$36:$Y$36,0))))*VLOOKUP(A8710,Calendar!$A$2:$H$9997,8,FALSE),0)</f>
        <v/>
      </c>
      <c r="G8710" s="29">
        <f>VLOOKUP(A8710,Calendar!$A$1:$H$9997,6,FALSE)-F8710</f>
        <v/>
      </c>
      <c r="H8710" s="19" t="n">
        <v>3</v>
      </c>
      <c r="I8710" s="57" t="n">
        <v>10</v>
      </c>
    </row>
    <row r="8711">
      <c r="A8711" s="62" t="n">
        <v>47150</v>
      </c>
      <c r="B8711" s="3" t="inlineStr">
        <is>
          <t>Week</t>
        </is>
      </c>
      <c r="C8711" s="19" t="n">
        <v>2</v>
      </c>
      <c r="D8711" s="19" t="n">
        <v>2029</v>
      </c>
      <c r="E8711" s="57" t="n">
        <v>8</v>
      </c>
      <c r="F8711" s="29">
        <f>ROUND(((SUMIFS(Calendar!$F$2:$F$9997,Calendar!$B$2:$B$9997,D8711,Calendar!$C$2:$C$9997,C8711)*INDEX(ForeCalc!$B$37:$Y$274,MATCH(_xlfn.CONCAT(H8711," ",I8711),ForeCalc!$A$37:$A$274,0),MATCH(_xlfn.CONCAT(B8711," ",E8711),ForeCalc!$B$36:$Y$36,0))))*VLOOKUP(A8711,Calendar!$A$2:$H$9997,8,FALSE),0)</f>
        <v/>
      </c>
      <c r="G8711" s="29">
        <f>VLOOKUP(A8711,Calendar!$A$1:$H$9997,6,FALSE)-F8711</f>
        <v/>
      </c>
      <c r="H8711" s="19" t="n">
        <v>3</v>
      </c>
      <c r="I8711" s="57" t="n">
        <v>11</v>
      </c>
    </row>
    <row r="8712">
      <c r="A8712" s="62" t="n">
        <v>47151</v>
      </c>
      <c r="B8712" s="3" t="inlineStr">
        <is>
          <t>Week</t>
        </is>
      </c>
      <c r="C8712" s="19" t="n">
        <v>2</v>
      </c>
      <c r="D8712" s="19" t="n">
        <v>2029</v>
      </c>
      <c r="E8712" s="57" t="n">
        <v>8</v>
      </c>
      <c r="F8712" s="29">
        <f>ROUND(((SUMIFS(Calendar!$F$2:$F$9997,Calendar!$B$2:$B$9997,D8712,Calendar!$C$2:$C$9997,C8712)*INDEX(ForeCalc!$B$37:$Y$274,MATCH(_xlfn.CONCAT(H8712," ",I8712),ForeCalc!$A$37:$A$274,0),MATCH(_xlfn.CONCAT(B8712," ",E8712),ForeCalc!$B$36:$Y$36,0))))*VLOOKUP(A8712,Calendar!$A$2:$H$9997,8,FALSE),0)</f>
        <v/>
      </c>
      <c r="G8712" s="29">
        <f>VLOOKUP(A8712,Calendar!$A$1:$H$9997,6,FALSE)-F8712</f>
        <v/>
      </c>
      <c r="H8712" s="19" t="n">
        <v>3</v>
      </c>
      <c r="I8712" s="57" t="n">
        <v>11</v>
      </c>
    </row>
    <row r="8713">
      <c r="A8713" s="62" t="n">
        <v>47152</v>
      </c>
      <c r="B8713" s="3" t="inlineStr">
        <is>
          <t>Sat</t>
        </is>
      </c>
      <c r="C8713" s="19" t="n">
        <v>2</v>
      </c>
      <c r="D8713" s="19" t="n">
        <v>2029</v>
      </c>
      <c r="E8713" s="57" t="n">
        <v>8</v>
      </c>
      <c r="F8713" s="29">
        <f>ROUND(((SUMIFS(Calendar!$F$2:$F$9997,Calendar!$B$2:$B$9997,D8713,Calendar!$C$2:$C$9997,C8713)*INDEX(ForeCalc!$B$37:$Y$274,MATCH(_xlfn.CONCAT(H8713," ",I8713),ForeCalc!$A$37:$A$274,0),MATCH(_xlfn.CONCAT(B8713," ",E8713),ForeCalc!$B$36:$Y$36,0))))*VLOOKUP(A8713,Calendar!$A$2:$H$9997,8,FALSE),0)</f>
        <v/>
      </c>
      <c r="G8713" s="29">
        <f>VLOOKUP(A8713,Calendar!$A$1:$H$9997,6,FALSE)-F8713</f>
        <v/>
      </c>
      <c r="H8713" s="19" t="n">
        <v>3</v>
      </c>
      <c r="I8713" s="57" t="n">
        <v>11</v>
      </c>
    </row>
    <row r="8714">
      <c r="A8714" s="62" t="n">
        <v>47153</v>
      </c>
      <c r="B8714" s="3" t="inlineStr">
        <is>
          <t>Sun</t>
        </is>
      </c>
      <c r="C8714" s="19" t="n">
        <v>2</v>
      </c>
      <c r="D8714" s="19" t="n">
        <v>2029</v>
      </c>
      <c r="E8714" s="57" t="n">
        <v>8</v>
      </c>
      <c r="F8714" s="29">
        <f>ROUND(((SUMIFS(Calendar!$F$2:$F$9997,Calendar!$B$2:$B$9997,D8714,Calendar!$C$2:$C$9997,C8714)*INDEX(ForeCalc!$B$37:$Y$274,MATCH(_xlfn.CONCAT(H8714," ",I8714),ForeCalc!$A$37:$A$274,0),MATCH(_xlfn.CONCAT(B8714," ",E8714),ForeCalc!$B$36:$Y$36,0))))*VLOOKUP(A8714,Calendar!$A$2:$H$9997,8,FALSE),0)</f>
        <v/>
      </c>
      <c r="G8714" s="29">
        <f>VLOOKUP(A8714,Calendar!$A$1:$H$9997,6,FALSE)-F8714</f>
        <v/>
      </c>
      <c r="H8714" s="19" t="n">
        <v>3</v>
      </c>
      <c r="I8714" s="57" t="n">
        <v>11</v>
      </c>
    </row>
    <row r="8715">
      <c r="A8715" s="62" t="n">
        <v>47154</v>
      </c>
      <c r="B8715" s="3" t="inlineStr">
        <is>
          <t>Week</t>
        </is>
      </c>
      <c r="C8715" s="19" t="n">
        <v>2</v>
      </c>
      <c r="D8715" s="19" t="n">
        <v>2029</v>
      </c>
      <c r="E8715" s="57" t="n">
        <v>8</v>
      </c>
      <c r="F8715" s="29">
        <f>ROUND(((SUMIFS(Calendar!$F$2:$F$9997,Calendar!$B$2:$B$9997,D8715,Calendar!$C$2:$C$9997,C8715)*INDEX(ForeCalc!$B$37:$Y$274,MATCH(_xlfn.CONCAT(H8715," ",I8715),ForeCalc!$A$37:$A$274,0),MATCH(_xlfn.CONCAT(B8715," ",E8715),ForeCalc!$B$36:$Y$36,0))))*VLOOKUP(A8715,Calendar!$A$2:$H$9997,8,FALSE),0)</f>
        <v/>
      </c>
      <c r="G8715" s="29">
        <f>VLOOKUP(A8715,Calendar!$A$1:$H$9997,6,FALSE)-F8715</f>
        <v/>
      </c>
      <c r="H8715" s="19" t="n">
        <v>3</v>
      </c>
      <c r="I8715" s="57" t="n">
        <v>11</v>
      </c>
    </row>
    <row r="8716">
      <c r="A8716" s="62" t="n">
        <v>47155</v>
      </c>
      <c r="B8716" s="3" t="inlineStr">
        <is>
          <t>Week</t>
        </is>
      </c>
      <c r="C8716" s="19" t="n">
        <v>2</v>
      </c>
      <c r="D8716" s="19" t="n">
        <v>2029</v>
      </c>
      <c r="E8716" s="57" t="n">
        <v>8</v>
      </c>
      <c r="F8716" s="29">
        <f>ROUND(((SUMIFS(Calendar!$F$2:$F$9997,Calendar!$B$2:$B$9997,D8716,Calendar!$C$2:$C$9997,C8716)*INDEX(ForeCalc!$B$37:$Y$274,MATCH(_xlfn.CONCAT(H8716," ",I8716),ForeCalc!$A$37:$A$274,0),MATCH(_xlfn.CONCAT(B8716," ",E8716),ForeCalc!$B$36:$Y$36,0))))*VLOOKUP(A8716,Calendar!$A$2:$H$9997,8,FALSE),0)</f>
        <v/>
      </c>
      <c r="G8716" s="29">
        <f>VLOOKUP(A8716,Calendar!$A$1:$H$9997,6,FALSE)-F8716</f>
        <v/>
      </c>
      <c r="H8716" s="19" t="n">
        <v>3</v>
      </c>
      <c r="I8716" s="57" t="n">
        <v>11</v>
      </c>
    </row>
    <row r="8717">
      <c r="A8717" s="62" t="n">
        <v>47156</v>
      </c>
      <c r="B8717" s="3" t="inlineStr">
        <is>
          <t>Week</t>
        </is>
      </c>
      <c r="C8717" s="19" t="n">
        <v>2</v>
      </c>
      <c r="D8717" s="19" t="n">
        <v>2029</v>
      </c>
      <c r="E8717" s="57" t="n">
        <v>8</v>
      </c>
      <c r="F8717" s="29">
        <f>ROUND(((SUMIFS(Calendar!$F$2:$F$9997,Calendar!$B$2:$B$9997,D8717,Calendar!$C$2:$C$9997,C8717)*INDEX(ForeCalc!$B$37:$Y$274,MATCH(_xlfn.CONCAT(H8717," ",I8717),ForeCalc!$A$37:$A$274,0),MATCH(_xlfn.CONCAT(B8717," ",E8717),ForeCalc!$B$36:$Y$36,0))))*VLOOKUP(A8717,Calendar!$A$2:$H$9997,8,FALSE),0)</f>
        <v/>
      </c>
      <c r="G8717" s="29">
        <f>VLOOKUP(A8717,Calendar!$A$1:$H$9997,6,FALSE)-F8717</f>
        <v/>
      </c>
      <c r="H8717" s="19" t="n">
        <v>3</v>
      </c>
      <c r="I8717" s="57" t="n">
        <v>11</v>
      </c>
    </row>
    <row r="8718">
      <c r="A8718" s="62" t="n">
        <v>47157</v>
      </c>
      <c r="B8718" s="3" t="inlineStr">
        <is>
          <t>Week</t>
        </is>
      </c>
      <c r="C8718" s="19" t="n">
        <v>2</v>
      </c>
      <c r="D8718" s="19" t="n">
        <v>2029</v>
      </c>
      <c r="E8718" s="57" t="n">
        <v>8</v>
      </c>
      <c r="F8718" s="29">
        <f>ROUND(((SUMIFS(Calendar!$F$2:$F$9997,Calendar!$B$2:$B$9997,D8718,Calendar!$C$2:$C$9997,C8718)*INDEX(ForeCalc!$B$37:$Y$274,MATCH(_xlfn.CONCAT(H8718," ",I8718),ForeCalc!$A$37:$A$274,0),MATCH(_xlfn.CONCAT(B8718," ",E8718),ForeCalc!$B$36:$Y$36,0))))*VLOOKUP(A8718,Calendar!$A$2:$H$9997,8,FALSE),0)</f>
        <v/>
      </c>
      <c r="G8718" s="29">
        <f>VLOOKUP(A8718,Calendar!$A$1:$H$9997,6,FALSE)-F8718</f>
        <v/>
      </c>
      <c r="H8718" s="19" t="n">
        <v>3</v>
      </c>
      <c r="I8718" s="57" t="n">
        <v>11</v>
      </c>
    </row>
    <row r="8719">
      <c r="A8719" s="62" t="n">
        <v>47158</v>
      </c>
      <c r="B8719" s="3" t="inlineStr">
        <is>
          <t>Week</t>
        </is>
      </c>
      <c r="C8719" s="19" t="n">
        <v>2</v>
      </c>
      <c r="D8719" s="19" t="n">
        <v>2029</v>
      </c>
      <c r="E8719" s="57" t="n">
        <v>8</v>
      </c>
      <c r="F8719" s="29">
        <f>ROUND(((SUMIFS(Calendar!$F$2:$F$9997,Calendar!$B$2:$B$9997,D8719,Calendar!$C$2:$C$9997,C8719)*INDEX(ForeCalc!$B$37:$Y$274,MATCH(_xlfn.CONCAT(H8719," ",I8719),ForeCalc!$A$37:$A$274,0),MATCH(_xlfn.CONCAT(B8719," ",E8719),ForeCalc!$B$36:$Y$36,0))))*VLOOKUP(A8719,Calendar!$A$2:$H$9997,8,FALSE),0)</f>
        <v/>
      </c>
      <c r="G8719" s="29">
        <f>VLOOKUP(A8719,Calendar!$A$1:$H$9997,6,FALSE)-F8719</f>
        <v/>
      </c>
      <c r="H8719" s="19" t="n">
        <v>3</v>
      </c>
      <c r="I8719" s="57" t="n">
        <v>11</v>
      </c>
    </row>
    <row r="8720">
      <c r="A8720" s="62" t="n">
        <v>47159</v>
      </c>
      <c r="B8720" s="3" t="inlineStr">
        <is>
          <t>Sat</t>
        </is>
      </c>
      <c r="C8720" s="19" t="n">
        <v>2</v>
      </c>
      <c r="D8720" s="19" t="n">
        <v>2029</v>
      </c>
      <c r="E8720" s="57" t="n">
        <v>8</v>
      </c>
      <c r="F8720" s="29">
        <f>ROUND(((SUMIFS(Calendar!$F$2:$F$9997,Calendar!$B$2:$B$9997,D8720,Calendar!$C$2:$C$9997,C8720)*INDEX(ForeCalc!$B$37:$Y$274,MATCH(_xlfn.CONCAT(H8720," ",I8720),ForeCalc!$A$37:$A$274,0),MATCH(_xlfn.CONCAT(B8720," ",E8720),ForeCalc!$B$36:$Y$36,0))))*VLOOKUP(A8720,Calendar!$A$2:$H$9997,8,FALSE),0)</f>
        <v/>
      </c>
      <c r="G8720" s="29">
        <f>VLOOKUP(A8720,Calendar!$A$1:$H$9997,6,FALSE)-F8720</f>
        <v/>
      </c>
      <c r="H8720" s="19" t="n">
        <v>3</v>
      </c>
      <c r="I8720" s="57" t="n">
        <v>11</v>
      </c>
    </row>
    <row r="8721">
      <c r="A8721" s="62" t="n">
        <v>47160</v>
      </c>
      <c r="B8721" s="3" t="inlineStr">
        <is>
          <t>Sun</t>
        </is>
      </c>
      <c r="C8721" s="19" t="n">
        <v>2</v>
      </c>
      <c r="D8721" s="19" t="n">
        <v>2029</v>
      </c>
      <c r="E8721" s="57" t="n">
        <v>8</v>
      </c>
      <c r="F8721" s="29">
        <f>ROUND(((SUMIFS(Calendar!$F$2:$F$9997,Calendar!$B$2:$B$9997,D8721,Calendar!$C$2:$C$9997,C8721)*INDEX(ForeCalc!$B$37:$Y$274,MATCH(_xlfn.CONCAT(H8721," ",I8721),ForeCalc!$A$37:$A$274,0),MATCH(_xlfn.CONCAT(B8721," ",E8721),ForeCalc!$B$36:$Y$36,0))))*VLOOKUP(A8721,Calendar!$A$2:$H$9997,8,FALSE),0)</f>
        <v/>
      </c>
      <c r="G8721" s="29">
        <f>VLOOKUP(A8721,Calendar!$A$1:$H$9997,6,FALSE)-F8721</f>
        <v/>
      </c>
      <c r="H8721" s="19" t="n">
        <v>3</v>
      </c>
      <c r="I8721" s="57" t="n">
        <v>11</v>
      </c>
    </row>
    <row r="8722">
      <c r="A8722" s="62" t="n">
        <v>47161</v>
      </c>
      <c r="B8722" s="3" t="inlineStr">
        <is>
          <t>Week</t>
        </is>
      </c>
      <c r="C8722" s="19" t="n">
        <v>2</v>
      </c>
      <c r="D8722" s="19" t="n">
        <v>2029</v>
      </c>
      <c r="E8722" s="57" t="n">
        <v>8</v>
      </c>
      <c r="F8722" s="29">
        <f>ROUND(((SUMIFS(Calendar!$F$2:$F$9997,Calendar!$B$2:$B$9997,D8722,Calendar!$C$2:$C$9997,C8722)*INDEX(ForeCalc!$B$37:$Y$274,MATCH(_xlfn.CONCAT(H8722," ",I8722),ForeCalc!$A$37:$A$274,0),MATCH(_xlfn.CONCAT(B8722," ",E8722),ForeCalc!$B$36:$Y$36,0))))*VLOOKUP(A8722,Calendar!$A$2:$H$9997,8,FALSE),0)</f>
        <v/>
      </c>
      <c r="G8722" s="29">
        <f>VLOOKUP(A8722,Calendar!$A$1:$H$9997,6,FALSE)-F8722</f>
        <v/>
      </c>
      <c r="H8722" s="19" t="n">
        <v>3</v>
      </c>
      <c r="I8722" s="57" t="n">
        <v>11</v>
      </c>
    </row>
    <row r="8723">
      <c r="A8723" s="62" t="n">
        <v>47162</v>
      </c>
      <c r="B8723" s="3" t="inlineStr">
        <is>
          <t>Week</t>
        </is>
      </c>
      <c r="C8723" s="19" t="n">
        <v>2</v>
      </c>
      <c r="D8723" s="19" t="n">
        <v>2029</v>
      </c>
      <c r="E8723" s="57" t="n">
        <v>8</v>
      </c>
      <c r="F8723" s="29">
        <f>ROUND(((SUMIFS(Calendar!$F$2:$F$9997,Calendar!$B$2:$B$9997,D8723,Calendar!$C$2:$C$9997,C8723)*INDEX(ForeCalc!$B$37:$Y$274,MATCH(_xlfn.CONCAT(H8723," ",I8723),ForeCalc!$A$37:$A$274,0),MATCH(_xlfn.CONCAT(B8723," ",E8723),ForeCalc!$B$36:$Y$36,0))))*VLOOKUP(A8723,Calendar!$A$2:$H$9997,8,FALSE),0)</f>
        <v/>
      </c>
      <c r="G8723" s="29">
        <f>VLOOKUP(A8723,Calendar!$A$1:$H$9997,6,FALSE)-F8723</f>
        <v/>
      </c>
      <c r="H8723" s="19" t="n">
        <v>3</v>
      </c>
      <c r="I8723" s="57" t="n">
        <v>11</v>
      </c>
    </row>
    <row r="8724">
      <c r="A8724" s="62" t="n">
        <v>47163</v>
      </c>
      <c r="B8724" s="3" t="inlineStr">
        <is>
          <t>Week</t>
        </is>
      </c>
      <c r="C8724" s="19" t="n">
        <v>2</v>
      </c>
      <c r="D8724" s="19" t="n">
        <v>2029</v>
      </c>
      <c r="E8724" s="57" t="n">
        <v>8</v>
      </c>
      <c r="F8724" s="29">
        <f>ROUND(((SUMIFS(Calendar!$F$2:$F$9997,Calendar!$B$2:$B$9997,D8724,Calendar!$C$2:$C$9997,C8724)*INDEX(ForeCalc!$B$37:$Y$274,MATCH(_xlfn.CONCAT(H8724," ",I8724),ForeCalc!$A$37:$A$274,0),MATCH(_xlfn.CONCAT(B8724," ",E8724),ForeCalc!$B$36:$Y$36,0))))*VLOOKUP(A8724,Calendar!$A$2:$H$9997,8,FALSE),0)</f>
        <v/>
      </c>
      <c r="G8724" s="29">
        <f>VLOOKUP(A8724,Calendar!$A$1:$H$9997,6,FALSE)-F8724</f>
        <v/>
      </c>
      <c r="H8724" s="19" t="n">
        <v>3</v>
      </c>
      <c r="I8724" s="57" t="n">
        <v>11</v>
      </c>
    </row>
    <row r="8725">
      <c r="A8725" s="62" t="n">
        <v>47164</v>
      </c>
      <c r="B8725" s="3" t="inlineStr">
        <is>
          <t>Week</t>
        </is>
      </c>
      <c r="C8725" s="19" t="n">
        <v>2</v>
      </c>
      <c r="D8725" s="19" t="n">
        <v>2029</v>
      </c>
      <c r="E8725" s="57" t="n">
        <v>8</v>
      </c>
      <c r="F8725" s="29">
        <f>ROUND(((SUMIFS(Calendar!$F$2:$F$9997,Calendar!$B$2:$B$9997,D8725,Calendar!$C$2:$C$9997,C8725)*INDEX(ForeCalc!$B$37:$Y$274,MATCH(_xlfn.CONCAT(H8725," ",I8725),ForeCalc!$A$37:$A$274,0),MATCH(_xlfn.CONCAT(B8725," ",E8725),ForeCalc!$B$36:$Y$36,0))))*VLOOKUP(A8725,Calendar!$A$2:$H$9997,8,FALSE),0)</f>
        <v/>
      </c>
      <c r="G8725" s="29">
        <f>VLOOKUP(A8725,Calendar!$A$1:$H$9997,6,FALSE)-F8725</f>
        <v/>
      </c>
      <c r="H8725" s="19" t="n">
        <v>3</v>
      </c>
      <c r="I8725" s="57" t="n">
        <v>11</v>
      </c>
    </row>
    <row r="8726">
      <c r="A8726" s="62" t="n">
        <v>47165</v>
      </c>
      <c r="B8726" s="3" t="inlineStr">
        <is>
          <t>Week</t>
        </is>
      </c>
      <c r="C8726" s="19" t="n">
        <v>2</v>
      </c>
      <c r="D8726" s="19" t="n">
        <v>2029</v>
      </c>
      <c r="E8726" s="57" t="n">
        <v>8</v>
      </c>
      <c r="F8726" s="29">
        <f>ROUND(((SUMIFS(Calendar!$F$2:$F$9997,Calendar!$B$2:$B$9997,D8726,Calendar!$C$2:$C$9997,C8726)*INDEX(ForeCalc!$B$37:$Y$274,MATCH(_xlfn.CONCAT(H8726," ",I8726),ForeCalc!$A$37:$A$274,0),MATCH(_xlfn.CONCAT(B8726," ",E8726),ForeCalc!$B$36:$Y$36,0))))*VLOOKUP(A8726,Calendar!$A$2:$H$9997,8,FALSE),0)</f>
        <v/>
      </c>
      <c r="G8726" s="29">
        <f>VLOOKUP(A8726,Calendar!$A$1:$H$9997,6,FALSE)-F8726</f>
        <v/>
      </c>
      <c r="H8726" s="19" t="n">
        <v>3</v>
      </c>
      <c r="I8726" s="57" t="n">
        <v>11</v>
      </c>
    </row>
    <row r="8727">
      <c r="A8727" s="62" t="n">
        <v>47166</v>
      </c>
      <c r="B8727" s="3" t="inlineStr">
        <is>
          <t>Sat</t>
        </is>
      </c>
      <c r="C8727" s="19" t="n">
        <v>2</v>
      </c>
      <c r="D8727" s="19" t="n">
        <v>2029</v>
      </c>
      <c r="E8727" s="57" t="n">
        <v>8</v>
      </c>
      <c r="F8727" s="29">
        <f>ROUND(((SUMIFS(Calendar!$F$2:$F$9997,Calendar!$B$2:$B$9997,D8727,Calendar!$C$2:$C$9997,C8727)*INDEX(ForeCalc!$B$37:$Y$274,MATCH(_xlfn.CONCAT(H8727," ",I8727),ForeCalc!$A$37:$A$274,0),MATCH(_xlfn.CONCAT(B8727," ",E8727),ForeCalc!$B$36:$Y$36,0))))*VLOOKUP(A8727,Calendar!$A$2:$H$9997,8,FALSE),0)</f>
        <v/>
      </c>
      <c r="G8727" s="29">
        <f>VLOOKUP(A8727,Calendar!$A$1:$H$9997,6,FALSE)-F8727</f>
        <v/>
      </c>
      <c r="H8727" s="19" t="n">
        <v>3</v>
      </c>
      <c r="I8727" s="57" t="n">
        <v>11</v>
      </c>
    </row>
    <row r="8728">
      <c r="A8728" s="62" t="n">
        <v>47167</v>
      </c>
      <c r="B8728" s="3" t="inlineStr">
        <is>
          <t>Sun</t>
        </is>
      </c>
      <c r="C8728" s="19" t="n">
        <v>2</v>
      </c>
      <c r="D8728" s="19" t="n">
        <v>2029</v>
      </c>
      <c r="E8728" s="57" t="n">
        <v>8</v>
      </c>
      <c r="F8728" s="29">
        <f>ROUND(((SUMIFS(Calendar!$F$2:$F$9997,Calendar!$B$2:$B$9997,D8728,Calendar!$C$2:$C$9997,C8728)*INDEX(ForeCalc!$B$37:$Y$274,MATCH(_xlfn.CONCAT(H8728," ",I8728),ForeCalc!$A$37:$A$274,0),MATCH(_xlfn.CONCAT(B8728," ",E8728),ForeCalc!$B$36:$Y$36,0))))*VLOOKUP(A8728,Calendar!$A$2:$H$9997,8,FALSE),0)</f>
        <v/>
      </c>
      <c r="G8728" s="29">
        <f>VLOOKUP(A8728,Calendar!$A$1:$H$9997,6,FALSE)-F8728</f>
        <v/>
      </c>
      <c r="H8728" s="19" t="n">
        <v>3</v>
      </c>
      <c r="I8728" s="57" t="n">
        <v>11</v>
      </c>
    </row>
    <row r="8729">
      <c r="A8729" s="62" t="n">
        <v>47168</v>
      </c>
      <c r="B8729" s="3" t="inlineStr">
        <is>
          <t>Week</t>
        </is>
      </c>
      <c r="C8729" s="19" t="n">
        <v>2</v>
      </c>
      <c r="D8729" s="19" t="n">
        <v>2029</v>
      </c>
      <c r="E8729" s="57" t="n">
        <v>8</v>
      </c>
      <c r="F8729" s="29">
        <f>ROUND(((SUMIFS(Calendar!$F$2:$F$9997,Calendar!$B$2:$B$9997,D8729,Calendar!$C$2:$C$9997,C8729)*INDEX(ForeCalc!$B$37:$Y$274,MATCH(_xlfn.CONCAT(H8729," ",I8729),ForeCalc!$A$37:$A$274,0),MATCH(_xlfn.CONCAT(B8729," ",E8729),ForeCalc!$B$36:$Y$36,0))))*VLOOKUP(A8729,Calendar!$A$2:$H$9997,8,FALSE),0)</f>
        <v/>
      </c>
      <c r="G8729" s="29">
        <f>VLOOKUP(A8729,Calendar!$A$1:$H$9997,6,FALSE)-F8729</f>
        <v/>
      </c>
      <c r="H8729" s="19" t="n">
        <v>3</v>
      </c>
      <c r="I8729" s="57" t="n">
        <v>11</v>
      </c>
    </row>
    <row r="8730">
      <c r="A8730" s="62" t="n">
        <v>47169</v>
      </c>
      <c r="B8730" s="3" t="inlineStr">
        <is>
          <t>Week</t>
        </is>
      </c>
      <c r="C8730" s="19" t="n">
        <v>2</v>
      </c>
      <c r="D8730" s="19" t="n">
        <v>2029</v>
      </c>
      <c r="E8730" s="57" t="n">
        <v>8</v>
      </c>
      <c r="F8730" s="29">
        <f>ROUND(((SUMIFS(Calendar!$F$2:$F$9997,Calendar!$B$2:$B$9997,D8730,Calendar!$C$2:$C$9997,C8730)*INDEX(ForeCalc!$B$37:$Y$274,MATCH(_xlfn.CONCAT(H8730," ",I8730),ForeCalc!$A$37:$A$274,0),MATCH(_xlfn.CONCAT(B8730," ",E8730),ForeCalc!$B$36:$Y$36,0))))*VLOOKUP(A8730,Calendar!$A$2:$H$9997,8,FALSE),0)</f>
        <v/>
      </c>
      <c r="G8730" s="29">
        <f>VLOOKUP(A8730,Calendar!$A$1:$H$9997,6,FALSE)-F8730</f>
        <v/>
      </c>
      <c r="H8730" s="19" t="n">
        <v>3</v>
      </c>
      <c r="I8730" s="57" t="n">
        <v>11</v>
      </c>
    </row>
    <row r="8731">
      <c r="A8731" s="62" t="n">
        <v>47170</v>
      </c>
      <c r="B8731" s="3" t="inlineStr">
        <is>
          <t>Week</t>
        </is>
      </c>
      <c r="C8731" s="19" t="n">
        <v>2</v>
      </c>
      <c r="D8731" s="19" t="n">
        <v>2029</v>
      </c>
      <c r="E8731" s="57" t="n">
        <v>8</v>
      </c>
      <c r="F8731" s="29">
        <f>ROUND(((SUMIFS(Calendar!$F$2:$F$9997,Calendar!$B$2:$B$9997,D8731,Calendar!$C$2:$C$9997,C8731)*INDEX(ForeCalc!$B$37:$Y$274,MATCH(_xlfn.CONCAT(H8731," ",I8731),ForeCalc!$A$37:$A$274,0),MATCH(_xlfn.CONCAT(B8731," ",E8731),ForeCalc!$B$36:$Y$36,0))))*VLOOKUP(A8731,Calendar!$A$2:$H$9997,8,FALSE),0)</f>
        <v/>
      </c>
      <c r="G8731" s="29">
        <f>VLOOKUP(A8731,Calendar!$A$1:$H$9997,6,FALSE)-F8731</f>
        <v/>
      </c>
      <c r="H8731" s="19" t="n">
        <v>3</v>
      </c>
      <c r="I8731" s="57" t="n">
        <v>11</v>
      </c>
    </row>
    <row r="8732">
      <c r="A8732" s="62" t="n">
        <v>47171</v>
      </c>
      <c r="B8732" s="3" t="inlineStr">
        <is>
          <t>Week</t>
        </is>
      </c>
      <c r="C8732" s="19" t="n">
        <v>2</v>
      </c>
      <c r="D8732" s="19" t="n">
        <v>2029</v>
      </c>
      <c r="E8732" s="57" t="n">
        <v>8</v>
      </c>
      <c r="F8732" s="29">
        <f>ROUND(((SUMIFS(Calendar!$F$2:$F$9997,Calendar!$B$2:$B$9997,D8732,Calendar!$C$2:$C$9997,C8732)*INDEX(ForeCalc!$B$37:$Y$274,MATCH(_xlfn.CONCAT(H8732," ",I8732),ForeCalc!$A$37:$A$274,0),MATCH(_xlfn.CONCAT(B8732," ",E8732),ForeCalc!$B$36:$Y$36,0))))*VLOOKUP(A8732,Calendar!$A$2:$H$9997,8,FALSE),0)</f>
        <v/>
      </c>
      <c r="G8732" s="29">
        <f>VLOOKUP(A8732,Calendar!$A$1:$H$9997,6,FALSE)-F8732</f>
        <v/>
      </c>
      <c r="H8732" s="19" t="n">
        <v>3</v>
      </c>
      <c r="I8732" s="57" t="n">
        <v>11</v>
      </c>
    </row>
    <row r="8733">
      <c r="A8733" s="62" t="n">
        <v>47172</v>
      </c>
      <c r="B8733" s="3" t="inlineStr">
        <is>
          <t>Week</t>
        </is>
      </c>
      <c r="C8733" s="19" t="n">
        <v>2</v>
      </c>
      <c r="D8733" s="19" t="n">
        <v>2029</v>
      </c>
      <c r="E8733" s="57" t="n">
        <v>8</v>
      </c>
      <c r="F8733" s="29">
        <f>ROUND(((SUMIFS(Calendar!$F$2:$F$9997,Calendar!$B$2:$B$9997,D8733,Calendar!$C$2:$C$9997,C8733)*INDEX(ForeCalc!$B$37:$Y$274,MATCH(_xlfn.CONCAT(H8733," ",I8733),ForeCalc!$A$37:$A$274,0),MATCH(_xlfn.CONCAT(B8733," ",E8733),ForeCalc!$B$36:$Y$36,0))))*VLOOKUP(A8733,Calendar!$A$2:$H$9997,8,FALSE),0)</f>
        <v/>
      </c>
      <c r="G8733" s="29">
        <f>VLOOKUP(A8733,Calendar!$A$1:$H$9997,6,FALSE)-F8733</f>
        <v/>
      </c>
      <c r="H8733" s="19" t="n">
        <v>3</v>
      </c>
      <c r="I8733" s="57" t="n">
        <v>11</v>
      </c>
    </row>
    <row r="8734">
      <c r="A8734" s="62" t="n">
        <v>47173</v>
      </c>
      <c r="B8734" s="3" t="inlineStr">
        <is>
          <t>Sat</t>
        </is>
      </c>
      <c r="C8734" s="19" t="n">
        <v>2</v>
      </c>
      <c r="D8734" s="19" t="n">
        <v>2029</v>
      </c>
      <c r="E8734" s="57" t="n">
        <v>8</v>
      </c>
      <c r="F8734" s="29">
        <f>ROUND(((SUMIFS(Calendar!$F$2:$F$9997,Calendar!$B$2:$B$9997,D8734,Calendar!$C$2:$C$9997,C8734)*INDEX(ForeCalc!$B$37:$Y$274,MATCH(_xlfn.CONCAT(H8734," ",I8734),ForeCalc!$A$37:$A$274,0),MATCH(_xlfn.CONCAT(B8734," ",E8734),ForeCalc!$B$36:$Y$36,0))))*VLOOKUP(A8734,Calendar!$A$2:$H$9997,8,FALSE),0)</f>
        <v/>
      </c>
      <c r="G8734" s="29">
        <f>VLOOKUP(A8734,Calendar!$A$1:$H$9997,6,FALSE)-F8734</f>
        <v/>
      </c>
      <c r="H8734" s="19" t="n">
        <v>3</v>
      </c>
      <c r="I8734" s="57" t="n">
        <v>11</v>
      </c>
    </row>
    <row r="8735">
      <c r="A8735" s="62" t="n">
        <v>47174</v>
      </c>
      <c r="B8735" s="3" t="inlineStr">
        <is>
          <t>Sun</t>
        </is>
      </c>
      <c r="C8735" s="19" t="n">
        <v>2</v>
      </c>
      <c r="D8735" s="19" t="n">
        <v>2029</v>
      </c>
      <c r="E8735" s="57" t="n">
        <v>8</v>
      </c>
      <c r="F8735" s="29">
        <f>ROUND(((SUMIFS(Calendar!$F$2:$F$9997,Calendar!$B$2:$B$9997,D8735,Calendar!$C$2:$C$9997,C8735)*INDEX(ForeCalc!$B$37:$Y$274,MATCH(_xlfn.CONCAT(H8735," ",I8735),ForeCalc!$A$37:$A$274,0),MATCH(_xlfn.CONCAT(B8735," ",E8735),ForeCalc!$B$36:$Y$36,0))))*VLOOKUP(A8735,Calendar!$A$2:$H$9997,8,FALSE),0)</f>
        <v/>
      </c>
      <c r="G8735" s="29">
        <f>VLOOKUP(A8735,Calendar!$A$1:$H$9997,6,FALSE)-F8735</f>
        <v/>
      </c>
      <c r="H8735" s="19" t="n">
        <v>3</v>
      </c>
      <c r="I8735" s="57" t="n">
        <v>11</v>
      </c>
    </row>
    <row r="8736">
      <c r="A8736" s="62" t="n">
        <v>47175</v>
      </c>
      <c r="B8736" s="3" t="inlineStr">
        <is>
          <t>Week</t>
        </is>
      </c>
      <c r="C8736" s="19" t="n">
        <v>2</v>
      </c>
      <c r="D8736" s="19" t="n">
        <v>2029</v>
      </c>
      <c r="E8736" s="57" t="n">
        <v>8</v>
      </c>
      <c r="F8736" s="29">
        <f>ROUND(((SUMIFS(Calendar!$F$2:$F$9997,Calendar!$B$2:$B$9997,D8736,Calendar!$C$2:$C$9997,C8736)*INDEX(ForeCalc!$B$37:$Y$274,MATCH(_xlfn.CONCAT(H8736," ",I8736),ForeCalc!$A$37:$A$274,0),MATCH(_xlfn.CONCAT(B8736," ",E8736),ForeCalc!$B$36:$Y$36,0))))*VLOOKUP(A8736,Calendar!$A$2:$H$9997,8,FALSE),0)</f>
        <v/>
      </c>
      <c r="G8736" s="29">
        <f>VLOOKUP(A8736,Calendar!$A$1:$H$9997,6,FALSE)-F8736</f>
        <v/>
      </c>
      <c r="H8736" s="19" t="n">
        <v>3</v>
      </c>
      <c r="I8736" s="57" t="n">
        <v>11</v>
      </c>
    </row>
    <row r="8737">
      <c r="A8737" s="62" t="n">
        <v>47176</v>
      </c>
      <c r="B8737" s="3" t="inlineStr">
        <is>
          <t>Week</t>
        </is>
      </c>
      <c r="C8737" s="19" t="n">
        <v>2</v>
      </c>
      <c r="D8737" s="19" t="n">
        <v>2029</v>
      </c>
      <c r="E8737" s="57" t="n">
        <v>8</v>
      </c>
      <c r="F8737" s="29">
        <f>ROUND(((SUMIFS(Calendar!$F$2:$F$9997,Calendar!$B$2:$B$9997,D8737,Calendar!$C$2:$C$9997,C8737)*INDEX(ForeCalc!$B$37:$Y$274,MATCH(_xlfn.CONCAT(H8737," ",I8737),ForeCalc!$A$37:$A$274,0),MATCH(_xlfn.CONCAT(B8737," ",E8737),ForeCalc!$B$36:$Y$36,0))))*VLOOKUP(A8737,Calendar!$A$2:$H$9997,8,FALSE),0)</f>
        <v/>
      </c>
      <c r="G8737" s="29">
        <f>VLOOKUP(A8737,Calendar!$A$1:$H$9997,6,FALSE)-F8737</f>
        <v/>
      </c>
      <c r="H8737" s="19" t="n">
        <v>3</v>
      </c>
      <c r="I8737" s="57" t="n">
        <v>11</v>
      </c>
    </row>
    <row r="8738">
      <c r="A8738" s="62" t="n">
        <v>47177</v>
      </c>
      <c r="B8738" s="3" t="inlineStr">
        <is>
          <t>Week</t>
        </is>
      </c>
      <c r="C8738" s="19" t="n">
        <v>2</v>
      </c>
      <c r="D8738" s="19" t="n">
        <v>2029</v>
      </c>
      <c r="E8738" s="57" t="n">
        <v>8</v>
      </c>
      <c r="F8738" s="29">
        <f>ROUND(((SUMIFS(Calendar!$F$2:$F$9997,Calendar!$B$2:$B$9997,D8738,Calendar!$C$2:$C$9997,C8738)*INDEX(ForeCalc!$B$37:$Y$274,MATCH(_xlfn.CONCAT(H8738," ",I8738),ForeCalc!$A$37:$A$274,0),MATCH(_xlfn.CONCAT(B8738," ",E8738),ForeCalc!$B$36:$Y$36,0))))*VLOOKUP(A8738,Calendar!$A$2:$H$9997,8,FALSE),0)</f>
        <v/>
      </c>
      <c r="G8738" s="29">
        <f>VLOOKUP(A8738,Calendar!$A$1:$H$9997,6,FALSE)-F8738</f>
        <v/>
      </c>
      <c r="H8738" s="19" t="n">
        <v>3</v>
      </c>
      <c r="I8738" s="57" t="n">
        <v>11</v>
      </c>
    </row>
    <row r="8739">
      <c r="A8739" s="62" t="n">
        <v>47178</v>
      </c>
      <c r="B8739" s="3" t="inlineStr">
        <is>
          <t>Week</t>
        </is>
      </c>
      <c r="C8739" s="19" t="n">
        <v>3</v>
      </c>
      <c r="D8739" s="19" t="n">
        <v>2029</v>
      </c>
      <c r="E8739" s="57" t="n">
        <v>8</v>
      </c>
      <c r="F8739" s="29">
        <f>ROUND(((SUMIFS(Calendar!$F$2:$F$9997,Calendar!$B$2:$B$9997,D8739,Calendar!$C$2:$C$9997,C8739)*INDEX(ForeCalc!$B$37:$Y$274,MATCH(_xlfn.CONCAT(H8739," ",I8739),ForeCalc!$A$37:$A$274,0),MATCH(_xlfn.CONCAT(B8739," ",E8739),ForeCalc!$B$36:$Y$36,0))))*VLOOKUP(A8739,Calendar!$A$2:$H$9997,8,FALSE),0)</f>
        <v/>
      </c>
      <c r="G8739" s="29">
        <f>VLOOKUP(A8739,Calendar!$A$1:$H$9997,6,FALSE)-F8739</f>
        <v/>
      </c>
      <c r="H8739" s="19" t="n">
        <v>3</v>
      </c>
      <c r="I8739" s="57" t="n">
        <v>12</v>
      </c>
    </row>
    <row r="8740">
      <c r="A8740" s="62" t="n">
        <v>47179</v>
      </c>
      <c r="B8740" s="3" t="inlineStr">
        <is>
          <t>Week</t>
        </is>
      </c>
      <c r="C8740" s="19" t="n">
        <v>3</v>
      </c>
      <c r="D8740" s="19" t="n">
        <v>2029</v>
      </c>
      <c r="E8740" s="57" t="n">
        <v>8</v>
      </c>
      <c r="F8740" s="29">
        <f>ROUND(((SUMIFS(Calendar!$F$2:$F$9997,Calendar!$B$2:$B$9997,D8740,Calendar!$C$2:$C$9997,C8740)*INDEX(ForeCalc!$B$37:$Y$274,MATCH(_xlfn.CONCAT(H8740," ",I8740),ForeCalc!$A$37:$A$274,0),MATCH(_xlfn.CONCAT(B8740," ",E8740),ForeCalc!$B$36:$Y$36,0))))*VLOOKUP(A8740,Calendar!$A$2:$H$9997,8,FALSE),0)</f>
        <v/>
      </c>
      <c r="G8740" s="29">
        <f>VLOOKUP(A8740,Calendar!$A$1:$H$9997,6,FALSE)-F8740</f>
        <v/>
      </c>
      <c r="H8740" s="19" t="n">
        <v>3</v>
      </c>
      <c r="I8740" s="57" t="n">
        <v>12</v>
      </c>
    </row>
    <row r="8741">
      <c r="A8741" s="62" t="n">
        <v>47180</v>
      </c>
      <c r="B8741" s="3" t="inlineStr">
        <is>
          <t>Sat</t>
        </is>
      </c>
      <c r="C8741" s="19" t="n">
        <v>3</v>
      </c>
      <c r="D8741" s="19" t="n">
        <v>2029</v>
      </c>
      <c r="E8741" s="57" t="n">
        <v>8</v>
      </c>
      <c r="F8741" s="29">
        <f>ROUND(((SUMIFS(Calendar!$F$2:$F$9997,Calendar!$B$2:$B$9997,D8741,Calendar!$C$2:$C$9997,C8741)*INDEX(ForeCalc!$B$37:$Y$274,MATCH(_xlfn.CONCAT(H8741," ",I8741),ForeCalc!$A$37:$A$274,0),MATCH(_xlfn.CONCAT(B8741," ",E8741),ForeCalc!$B$36:$Y$36,0))))*VLOOKUP(A8741,Calendar!$A$2:$H$9997,8,FALSE),0)</f>
        <v/>
      </c>
      <c r="G8741" s="29">
        <f>VLOOKUP(A8741,Calendar!$A$1:$H$9997,6,FALSE)-F8741</f>
        <v/>
      </c>
      <c r="H8741" s="19" t="n">
        <v>3</v>
      </c>
      <c r="I8741" s="57" t="n">
        <v>12</v>
      </c>
    </row>
    <row r="8742">
      <c r="A8742" s="62" t="n">
        <v>47181</v>
      </c>
      <c r="B8742" s="3" t="inlineStr">
        <is>
          <t>Sun</t>
        </is>
      </c>
      <c r="C8742" s="19" t="n">
        <v>3</v>
      </c>
      <c r="D8742" s="19" t="n">
        <v>2029</v>
      </c>
      <c r="E8742" s="57" t="n">
        <v>8</v>
      </c>
      <c r="F8742" s="29">
        <f>ROUND(((SUMIFS(Calendar!$F$2:$F$9997,Calendar!$B$2:$B$9997,D8742,Calendar!$C$2:$C$9997,C8742)*INDEX(ForeCalc!$B$37:$Y$274,MATCH(_xlfn.CONCAT(H8742," ",I8742),ForeCalc!$A$37:$A$274,0),MATCH(_xlfn.CONCAT(B8742," ",E8742),ForeCalc!$B$36:$Y$36,0))))*VLOOKUP(A8742,Calendar!$A$2:$H$9997,8,FALSE),0)</f>
        <v/>
      </c>
      <c r="G8742" s="29">
        <f>VLOOKUP(A8742,Calendar!$A$1:$H$9997,6,FALSE)-F8742</f>
        <v/>
      </c>
      <c r="H8742" s="19" t="n">
        <v>3</v>
      </c>
      <c r="I8742" s="57" t="n">
        <v>12</v>
      </c>
    </row>
    <row r="8743">
      <c r="A8743" s="62" t="n">
        <v>47182</v>
      </c>
      <c r="B8743" s="3" t="inlineStr">
        <is>
          <t>Week</t>
        </is>
      </c>
      <c r="C8743" s="19" t="n">
        <v>3</v>
      </c>
      <c r="D8743" s="19" t="n">
        <v>2029</v>
      </c>
      <c r="E8743" s="57" t="n">
        <v>8</v>
      </c>
      <c r="F8743" s="29">
        <f>ROUND(((SUMIFS(Calendar!$F$2:$F$9997,Calendar!$B$2:$B$9997,D8743,Calendar!$C$2:$C$9997,C8743)*INDEX(ForeCalc!$B$37:$Y$274,MATCH(_xlfn.CONCAT(H8743," ",I8743),ForeCalc!$A$37:$A$274,0),MATCH(_xlfn.CONCAT(B8743," ",E8743),ForeCalc!$B$36:$Y$36,0))))*VLOOKUP(A8743,Calendar!$A$2:$H$9997,8,FALSE),0)</f>
        <v/>
      </c>
      <c r="G8743" s="29">
        <f>VLOOKUP(A8743,Calendar!$A$1:$H$9997,6,FALSE)-F8743</f>
        <v/>
      </c>
      <c r="H8743" s="19" t="n">
        <v>3</v>
      </c>
      <c r="I8743" s="57" t="n">
        <v>12</v>
      </c>
    </row>
    <row r="8744">
      <c r="A8744" s="62" t="n">
        <v>47183</v>
      </c>
      <c r="B8744" s="3" t="inlineStr">
        <is>
          <t>Week</t>
        </is>
      </c>
      <c r="C8744" s="19" t="n">
        <v>3</v>
      </c>
      <c r="D8744" s="19" t="n">
        <v>2029</v>
      </c>
      <c r="E8744" s="57" t="n">
        <v>8</v>
      </c>
      <c r="F8744" s="29">
        <f>ROUND(((SUMIFS(Calendar!$F$2:$F$9997,Calendar!$B$2:$B$9997,D8744,Calendar!$C$2:$C$9997,C8744)*INDEX(ForeCalc!$B$37:$Y$274,MATCH(_xlfn.CONCAT(H8744," ",I8744),ForeCalc!$A$37:$A$274,0),MATCH(_xlfn.CONCAT(B8744," ",E8744),ForeCalc!$B$36:$Y$36,0))))*VLOOKUP(A8744,Calendar!$A$2:$H$9997,8,FALSE),0)</f>
        <v/>
      </c>
      <c r="G8744" s="29">
        <f>VLOOKUP(A8744,Calendar!$A$1:$H$9997,6,FALSE)-F8744</f>
        <v/>
      </c>
      <c r="H8744" s="19" t="n">
        <v>3</v>
      </c>
      <c r="I8744" s="57" t="n">
        <v>12</v>
      </c>
    </row>
    <row r="8745">
      <c r="A8745" s="62" t="n">
        <v>47184</v>
      </c>
      <c r="B8745" s="3" t="inlineStr">
        <is>
          <t>Week</t>
        </is>
      </c>
      <c r="C8745" s="19" t="n">
        <v>3</v>
      </c>
      <c r="D8745" s="19" t="n">
        <v>2029</v>
      </c>
      <c r="E8745" s="57" t="n">
        <v>8</v>
      </c>
      <c r="F8745" s="29">
        <f>ROUND(((SUMIFS(Calendar!$F$2:$F$9997,Calendar!$B$2:$B$9997,D8745,Calendar!$C$2:$C$9997,C8745)*INDEX(ForeCalc!$B$37:$Y$274,MATCH(_xlfn.CONCAT(H8745," ",I8745),ForeCalc!$A$37:$A$274,0),MATCH(_xlfn.CONCAT(B8745," ",E8745),ForeCalc!$B$36:$Y$36,0))))*VLOOKUP(A8745,Calendar!$A$2:$H$9997,8,FALSE),0)</f>
        <v/>
      </c>
      <c r="G8745" s="29">
        <f>VLOOKUP(A8745,Calendar!$A$1:$H$9997,6,FALSE)-F8745</f>
        <v/>
      </c>
      <c r="H8745" s="19" t="n">
        <v>3</v>
      </c>
      <c r="I8745" s="57" t="n">
        <v>12</v>
      </c>
    </row>
    <row r="8746">
      <c r="A8746" s="62" t="n">
        <v>47185</v>
      </c>
      <c r="B8746" s="3" t="inlineStr">
        <is>
          <t>Week</t>
        </is>
      </c>
      <c r="C8746" s="19" t="n">
        <v>3</v>
      </c>
      <c r="D8746" s="19" t="n">
        <v>2029</v>
      </c>
      <c r="E8746" s="57" t="n">
        <v>8</v>
      </c>
      <c r="F8746" s="29">
        <f>ROUND(((SUMIFS(Calendar!$F$2:$F$9997,Calendar!$B$2:$B$9997,D8746,Calendar!$C$2:$C$9997,C8746)*INDEX(ForeCalc!$B$37:$Y$274,MATCH(_xlfn.CONCAT(H8746," ",I8746),ForeCalc!$A$37:$A$274,0),MATCH(_xlfn.CONCAT(B8746," ",E8746),ForeCalc!$B$36:$Y$36,0))))*VLOOKUP(A8746,Calendar!$A$2:$H$9997,8,FALSE),0)</f>
        <v/>
      </c>
      <c r="G8746" s="29">
        <f>VLOOKUP(A8746,Calendar!$A$1:$H$9997,6,FALSE)-F8746</f>
        <v/>
      </c>
      <c r="H8746" s="19" t="n">
        <v>3</v>
      </c>
      <c r="I8746" s="57" t="n">
        <v>12</v>
      </c>
    </row>
    <row r="8747">
      <c r="A8747" s="62" t="n">
        <v>47186</v>
      </c>
      <c r="B8747" s="3" t="inlineStr">
        <is>
          <t>Week</t>
        </is>
      </c>
      <c r="C8747" s="19" t="n">
        <v>3</v>
      </c>
      <c r="D8747" s="19" t="n">
        <v>2029</v>
      </c>
      <c r="E8747" s="57" t="n">
        <v>8</v>
      </c>
      <c r="F8747" s="29">
        <f>ROUND(((SUMIFS(Calendar!$F$2:$F$9997,Calendar!$B$2:$B$9997,D8747,Calendar!$C$2:$C$9997,C8747)*INDEX(ForeCalc!$B$37:$Y$274,MATCH(_xlfn.CONCAT(H8747," ",I8747),ForeCalc!$A$37:$A$274,0),MATCH(_xlfn.CONCAT(B8747," ",E8747),ForeCalc!$B$36:$Y$36,0))))*VLOOKUP(A8747,Calendar!$A$2:$H$9997,8,FALSE),0)</f>
        <v/>
      </c>
      <c r="G8747" s="29">
        <f>VLOOKUP(A8747,Calendar!$A$1:$H$9997,6,FALSE)-F8747</f>
        <v/>
      </c>
      <c r="H8747" s="19" t="n">
        <v>3</v>
      </c>
      <c r="I8747" s="57" t="n">
        <v>12</v>
      </c>
    </row>
    <row r="8748">
      <c r="A8748" s="62" t="n">
        <v>47187</v>
      </c>
      <c r="B8748" s="3" t="inlineStr">
        <is>
          <t>Sat</t>
        </is>
      </c>
      <c r="C8748" s="19" t="n">
        <v>3</v>
      </c>
      <c r="D8748" s="19" t="n">
        <v>2029</v>
      </c>
      <c r="E8748" s="57" t="n">
        <v>8</v>
      </c>
      <c r="F8748" s="29">
        <f>ROUND(((SUMIFS(Calendar!$F$2:$F$9997,Calendar!$B$2:$B$9997,D8748,Calendar!$C$2:$C$9997,C8748)*INDEX(ForeCalc!$B$37:$Y$274,MATCH(_xlfn.CONCAT(H8748," ",I8748),ForeCalc!$A$37:$A$274,0),MATCH(_xlfn.CONCAT(B8748," ",E8748),ForeCalc!$B$36:$Y$36,0))))*VLOOKUP(A8748,Calendar!$A$2:$H$9997,8,FALSE),0)</f>
        <v/>
      </c>
      <c r="G8748" s="29">
        <f>VLOOKUP(A8748,Calendar!$A$1:$H$9997,6,FALSE)-F8748</f>
        <v/>
      </c>
      <c r="H8748" s="19" t="n">
        <v>3</v>
      </c>
      <c r="I8748" s="57" t="n">
        <v>12</v>
      </c>
    </row>
    <row r="8749">
      <c r="A8749" s="62" t="n">
        <v>47188</v>
      </c>
      <c r="B8749" s="3" t="inlineStr">
        <is>
          <t>Sun</t>
        </is>
      </c>
      <c r="C8749" s="19" t="n">
        <v>3</v>
      </c>
      <c r="D8749" s="19" t="n">
        <v>2029</v>
      </c>
      <c r="E8749" s="57" t="n">
        <v>8</v>
      </c>
      <c r="F8749" s="29">
        <f>ROUND(((SUMIFS(Calendar!$F$2:$F$9997,Calendar!$B$2:$B$9997,D8749,Calendar!$C$2:$C$9997,C8749)*INDEX(ForeCalc!$B$37:$Y$274,MATCH(_xlfn.CONCAT(H8749," ",I8749),ForeCalc!$A$37:$A$274,0),MATCH(_xlfn.CONCAT(B8749," ",E8749),ForeCalc!$B$36:$Y$36,0))))*VLOOKUP(A8749,Calendar!$A$2:$H$9997,8,FALSE),0)</f>
        <v/>
      </c>
      <c r="G8749" s="29">
        <f>VLOOKUP(A8749,Calendar!$A$1:$H$9997,6,FALSE)-F8749</f>
        <v/>
      </c>
      <c r="H8749" s="19" t="n">
        <v>3</v>
      </c>
      <c r="I8749" s="57" t="n">
        <v>12</v>
      </c>
    </row>
    <row r="8750">
      <c r="A8750" s="62" t="n">
        <v>47189</v>
      </c>
      <c r="B8750" s="3" t="inlineStr">
        <is>
          <t>Week</t>
        </is>
      </c>
      <c r="C8750" s="19" t="n">
        <v>3</v>
      </c>
      <c r="D8750" s="19" t="n">
        <v>2029</v>
      </c>
      <c r="E8750" s="57" t="n">
        <v>8</v>
      </c>
      <c r="F8750" s="29">
        <f>ROUND(((SUMIFS(Calendar!$F$2:$F$9997,Calendar!$B$2:$B$9997,D8750,Calendar!$C$2:$C$9997,C8750)*INDEX(ForeCalc!$B$37:$Y$274,MATCH(_xlfn.CONCAT(H8750," ",I8750),ForeCalc!$A$37:$A$274,0),MATCH(_xlfn.CONCAT(B8750," ",E8750),ForeCalc!$B$36:$Y$36,0))))*VLOOKUP(A8750,Calendar!$A$2:$H$9997,8,FALSE),0)</f>
        <v/>
      </c>
      <c r="G8750" s="29">
        <f>VLOOKUP(A8750,Calendar!$A$1:$H$9997,6,FALSE)-F8750</f>
        <v/>
      </c>
      <c r="H8750" s="19" t="n">
        <v>3</v>
      </c>
      <c r="I8750" s="57" t="n">
        <v>12</v>
      </c>
    </row>
    <row r="8751">
      <c r="A8751" s="62" t="n">
        <v>47190</v>
      </c>
      <c r="B8751" s="3" t="inlineStr">
        <is>
          <t>Week</t>
        </is>
      </c>
      <c r="C8751" s="19" t="n">
        <v>3</v>
      </c>
      <c r="D8751" s="19" t="n">
        <v>2029</v>
      </c>
      <c r="E8751" s="57" t="n">
        <v>8</v>
      </c>
      <c r="F8751" s="29">
        <f>ROUND(((SUMIFS(Calendar!$F$2:$F$9997,Calendar!$B$2:$B$9997,D8751,Calendar!$C$2:$C$9997,C8751)*INDEX(ForeCalc!$B$37:$Y$274,MATCH(_xlfn.CONCAT(H8751," ",I8751),ForeCalc!$A$37:$A$274,0),MATCH(_xlfn.CONCAT(B8751," ",E8751),ForeCalc!$B$36:$Y$36,0))))*VLOOKUP(A8751,Calendar!$A$2:$H$9997,8,FALSE),0)</f>
        <v/>
      </c>
      <c r="G8751" s="29">
        <f>VLOOKUP(A8751,Calendar!$A$1:$H$9997,6,FALSE)-F8751</f>
        <v/>
      </c>
      <c r="H8751" s="19" t="n">
        <v>3</v>
      </c>
      <c r="I8751" s="57" t="n">
        <v>12</v>
      </c>
    </row>
    <row r="8752">
      <c r="A8752" s="62" t="n">
        <v>47191</v>
      </c>
      <c r="B8752" s="3" t="inlineStr">
        <is>
          <t>Week</t>
        </is>
      </c>
      <c r="C8752" s="19" t="n">
        <v>3</v>
      </c>
      <c r="D8752" s="19" t="n">
        <v>2029</v>
      </c>
      <c r="E8752" s="57" t="n">
        <v>8</v>
      </c>
      <c r="F8752" s="29">
        <f>ROUND(((SUMIFS(Calendar!$F$2:$F$9997,Calendar!$B$2:$B$9997,D8752,Calendar!$C$2:$C$9997,C8752)*INDEX(ForeCalc!$B$37:$Y$274,MATCH(_xlfn.CONCAT(H8752," ",I8752),ForeCalc!$A$37:$A$274,0),MATCH(_xlfn.CONCAT(B8752," ",E8752),ForeCalc!$B$36:$Y$36,0))))*VLOOKUP(A8752,Calendar!$A$2:$H$9997,8,FALSE),0)</f>
        <v/>
      </c>
      <c r="G8752" s="29">
        <f>VLOOKUP(A8752,Calendar!$A$1:$H$9997,6,FALSE)-F8752</f>
        <v/>
      </c>
      <c r="H8752" s="19" t="n">
        <v>3</v>
      </c>
      <c r="I8752" s="57" t="n">
        <v>12</v>
      </c>
    </row>
    <row r="8753">
      <c r="A8753" s="62" t="n">
        <v>47192</v>
      </c>
      <c r="B8753" s="3" t="inlineStr">
        <is>
          <t>Week</t>
        </is>
      </c>
      <c r="C8753" s="19" t="n">
        <v>3</v>
      </c>
      <c r="D8753" s="19" t="n">
        <v>2029</v>
      </c>
      <c r="E8753" s="57" t="n">
        <v>8</v>
      </c>
      <c r="F8753" s="29">
        <f>ROUND(((SUMIFS(Calendar!$F$2:$F$9997,Calendar!$B$2:$B$9997,D8753,Calendar!$C$2:$C$9997,C8753)*INDEX(ForeCalc!$B$37:$Y$274,MATCH(_xlfn.CONCAT(H8753," ",I8753),ForeCalc!$A$37:$A$274,0),MATCH(_xlfn.CONCAT(B8753," ",E8753),ForeCalc!$B$36:$Y$36,0))))*VLOOKUP(A8753,Calendar!$A$2:$H$9997,8,FALSE),0)</f>
        <v/>
      </c>
      <c r="G8753" s="29">
        <f>VLOOKUP(A8753,Calendar!$A$1:$H$9997,6,FALSE)-F8753</f>
        <v/>
      </c>
      <c r="H8753" s="19" t="n">
        <v>3</v>
      </c>
      <c r="I8753" s="57" t="n">
        <v>12</v>
      </c>
    </row>
    <row r="8754">
      <c r="A8754" s="62" t="n">
        <v>47193</v>
      </c>
      <c r="B8754" s="3" t="inlineStr">
        <is>
          <t>Week</t>
        </is>
      </c>
      <c r="C8754" s="19" t="n">
        <v>3</v>
      </c>
      <c r="D8754" s="19" t="n">
        <v>2029</v>
      </c>
      <c r="E8754" s="57" t="n">
        <v>8</v>
      </c>
      <c r="F8754" s="29">
        <f>ROUND(((SUMIFS(Calendar!$F$2:$F$9997,Calendar!$B$2:$B$9997,D8754,Calendar!$C$2:$C$9997,C8754)*INDEX(ForeCalc!$B$37:$Y$274,MATCH(_xlfn.CONCAT(H8754," ",I8754),ForeCalc!$A$37:$A$274,0),MATCH(_xlfn.CONCAT(B8754," ",E8754),ForeCalc!$B$36:$Y$36,0))))*VLOOKUP(A8754,Calendar!$A$2:$H$9997,8,FALSE),0)</f>
        <v/>
      </c>
      <c r="G8754" s="29">
        <f>VLOOKUP(A8754,Calendar!$A$1:$H$9997,6,FALSE)-F8754</f>
        <v/>
      </c>
      <c r="H8754" s="19" t="n">
        <v>3</v>
      </c>
      <c r="I8754" s="57" t="n">
        <v>12</v>
      </c>
    </row>
    <row r="8755">
      <c r="A8755" s="62" t="n">
        <v>47194</v>
      </c>
      <c r="B8755" s="3" t="inlineStr">
        <is>
          <t>Sat</t>
        </is>
      </c>
      <c r="C8755" s="19" t="n">
        <v>3</v>
      </c>
      <c r="D8755" s="19" t="n">
        <v>2029</v>
      </c>
      <c r="E8755" s="57" t="n">
        <v>8</v>
      </c>
      <c r="F8755" s="29">
        <f>ROUND(((SUMIFS(Calendar!$F$2:$F$9997,Calendar!$B$2:$B$9997,D8755,Calendar!$C$2:$C$9997,C8755)*INDEX(ForeCalc!$B$37:$Y$274,MATCH(_xlfn.CONCAT(H8755," ",I8755),ForeCalc!$A$37:$A$274,0),MATCH(_xlfn.CONCAT(B8755," ",E8755),ForeCalc!$B$36:$Y$36,0))))*VLOOKUP(A8755,Calendar!$A$2:$H$9997,8,FALSE),0)</f>
        <v/>
      </c>
      <c r="G8755" s="29">
        <f>VLOOKUP(A8755,Calendar!$A$1:$H$9997,6,FALSE)-F8755</f>
        <v/>
      </c>
      <c r="H8755" s="19" t="n">
        <v>3</v>
      </c>
      <c r="I8755" s="57" t="n">
        <v>12</v>
      </c>
    </row>
    <row r="8756">
      <c r="A8756" s="62" t="n">
        <v>47195</v>
      </c>
      <c r="B8756" s="3" t="inlineStr">
        <is>
          <t>Sun</t>
        </is>
      </c>
      <c r="C8756" s="19" t="n">
        <v>3</v>
      </c>
      <c r="D8756" s="19" t="n">
        <v>2029</v>
      </c>
      <c r="E8756" s="57" t="n">
        <v>8</v>
      </c>
      <c r="F8756" s="29">
        <f>ROUND(((SUMIFS(Calendar!$F$2:$F$9997,Calendar!$B$2:$B$9997,D8756,Calendar!$C$2:$C$9997,C8756)*INDEX(ForeCalc!$B$37:$Y$274,MATCH(_xlfn.CONCAT(H8756," ",I8756),ForeCalc!$A$37:$A$274,0),MATCH(_xlfn.CONCAT(B8756," ",E8756),ForeCalc!$B$36:$Y$36,0))))*VLOOKUP(A8756,Calendar!$A$2:$H$9997,8,FALSE),0)</f>
        <v/>
      </c>
      <c r="G8756" s="29">
        <f>VLOOKUP(A8756,Calendar!$A$1:$H$9997,6,FALSE)-F8756</f>
        <v/>
      </c>
      <c r="H8756" s="19" t="n">
        <v>3</v>
      </c>
      <c r="I8756" s="57" t="n">
        <v>12</v>
      </c>
    </row>
    <row r="8757">
      <c r="A8757" s="62" t="n">
        <v>47196</v>
      </c>
      <c r="B8757" s="3" t="inlineStr">
        <is>
          <t>Week</t>
        </is>
      </c>
      <c r="C8757" s="19" t="n">
        <v>3</v>
      </c>
      <c r="D8757" s="19" t="n">
        <v>2029</v>
      </c>
      <c r="E8757" s="57" t="n">
        <v>8</v>
      </c>
      <c r="F8757" s="29">
        <f>ROUND(((SUMIFS(Calendar!$F$2:$F$9997,Calendar!$B$2:$B$9997,D8757,Calendar!$C$2:$C$9997,C8757)*INDEX(ForeCalc!$B$37:$Y$274,MATCH(_xlfn.CONCAT(H8757," ",I8757),ForeCalc!$A$37:$A$274,0),MATCH(_xlfn.CONCAT(B8757," ",E8757),ForeCalc!$B$36:$Y$36,0))))*VLOOKUP(A8757,Calendar!$A$2:$H$9997,8,FALSE),0)</f>
        <v/>
      </c>
      <c r="G8757" s="29">
        <f>VLOOKUP(A8757,Calendar!$A$1:$H$9997,6,FALSE)-F8757</f>
        <v/>
      </c>
      <c r="H8757" s="19" t="n">
        <v>3</v>
      </c>
      <c r="I8757" s="57" t="n">
        <v>12</v>
      </c>
    </row>
    <row r="8758">
      <c r="A8758" s="62" t="n">
        <v>47197</v>
      </c>
      <c r="B8758" s="3" t="inlineStr">
        <is>
          <t>Week</t>
        </is>
      </c>
      <c r="C8758" s="19" t="n">
        <v>3</v>
      </c>
      <c r="D8758" s="19" t="n">
        <v>2029</v>
      </c>
      <c r="E8758" s="57" t="n">
        <v>8</v>
      </c>
      <c r="F8758" s="29">
        <f>ROUND(((SUMIFS(Calendar!$F$2:$F$9997,Calendar!$B$2:$B$9997,D8758,Calendar!$C$2:$C$9997,C8758)*INDEX(ForeCalc!$B$37:$Y$274,MATCH(_xlfn.CONCAT(H8758," ",I8758),ForeCalc!$A$37:$A$274,0),MATCH(_xlfn.CONCAT(B8758," ",E8758),ForeCalc!$B$36:$Y$36,0))))*VLOOKUP(A8758,Calendar!$A$2:$H$9997,8,FALSE),0)</f>
        <v/>
      </c>
      <c r="G8758" s="29">
        <f>VLOOKUP(A8758,Calendar!$A$1:$H$9997,6,FALSE)-F8758</f>
        <v/>
      </c>
      <c r="H8758" s="19" t="n">
        <v>3</v>
      </c>
      <c r="I8758" s="57" t="n">
        <v>12</v>
      </c>
    </row>
    <row r="8759">
      <c r="A8759" s="62" t="n">
        <v>47198</v>
      </c>
      <c r="B8759" s="3" t="inlineStr">
        <is>
          <t>Week</t>
        </is>
      </c>
      <c r="C8759" s="19" t="n">
        <v>3</v>
      </c>
      <c r="D8759" s="19" t="n">
        <v>2029</v>
      </c>
      <c r="E8759" s="57" t="n">
        <v>8</v>
      </c>
      <c r="F8759" s="29">
        <f>ROUND(((SUMIFS(Calendar!$F$2:$F$9997,Calendar!$B$2:$B$9997,D8759,Calendar!$C$2:$C$9997,C8759)*INDEX(ForeCalc!$B$37:$Y$274,MATCH(_xlfn.CONCAT(H8759," ",I8759),ForeCalc!$A$37:$A$274,0),MATCH(_xlfn.CONCAT(B8759," ",E8759),ForeCalc!$B$36:$Y$36,0))))*VLOOKUP(A8759,Calendar!$A$2:$H$9997,8,FALSE),0)</f>
        <v/>
      </c>
      <c r="G8759" s="29">
        <f>VLOOKUP(A8759,Calendar!$A$1:$H$9997,6,FALSE)-F8759</f>
        <v/>
      </c>
      <c r="H8759" s="19" t="n">
        <v>3</v>
      </c>
      <c r="I8759" s="57" t="n">
        <v>12</v>
      </c>
    </row>
    <row r="8760">
      <c r="A8760" s="62" t="n">
        <v>47199</v>
      </c>
      <c r="B8760" s="3" t="inlineStr">
        <is>
          <t>Week</t>
        </is>
      </c>
      <c r="C8760" s="19" t="n">
        <v>3</v>
      </c>
      <c r="D8760" s="19" t="n">
        <v>2029</v>
      </c>
      <c r="E8760" s="57" t="n">
        <v>8</v>
      </c>
      <c r="F8760" s="29">
        <f>ROUND(((SUMIFS(Calendar!$F$2:$F$9997,Calendar!$B$2:$B$9997,D8760,Calendar!$C$2:$C$9997,C8760)*INDEX(ForeCalc!$B$37:$Y$274,MATCH(_xlfn.CONCAT(H8760," ",I8760),ForeCalc!$A$37:$A$274,0),MATCH(_xlfn.CONCAT(B8760," ",E8760),ForeCalc!$B$36:$Y$36,0))))*VLOOKUP(A8760,Calendar!$A$2:$H$9997,8,FALSE),0)</f>
        <v/>
      </c>
      <c r="G8760" s="29">
        <f>VLOOKUP(A8760,Calendar!$A$1:$H$9997,6,FALSE)-F8760</f>
        <v/>
      </c>
      <c r="H8760" s="19" t="n">
        <v>3</v>
      </c>
      <c r="I8760" s="57" t="n">
        <v>12</v>
      </c>
    </row>
    <row r="8761">
      <c r="A8761" s="62" t="n">
        <v>47200</v>
      </c>
      <c r="B8761" s="3" t="inlineStr">
        <is>
          <t>Week</t>
        </is>
      </c>
      <c r="C8761" s="19" t="n">
        <v>3</v>
      </c>
      <c r="D8761" s="19" t="n">
        <v>2029</v>
      </c>
      <c r="E8761" s="57" t="n">
        <v>8</v>
      </c>
      <c r="F8761" s="29">
        <f>ROUND(((SUMIFS(Calendar!$F$2:$F$9997,Calendar!$B$2:$B$9997,D8761,Calendar!$C$2:$C$9997,C8761)*INDEX(ForeCalc!$B$37:$Y$274,MATCH(_xlfn.CONCAT(H8761," ",I8761),ForeCalc!$A$37:$A$274,0),MATCH(_xlfn.CONCAT(B8761," ",E8761),ForeCalc!$B$36:$Y$36,0))))*VLOOKUP(A8761,Calendar!$A$2:$H$9997,8,FALSE),0)</f>
        <v/>
      </c>
      <c r="G8761" s="29">
        <f>VLOOKUP(A8761,Calendar!$A$1:$H$9997,6,FALSE)-F8761</f>
        <v/>
      </c>
      <c r="H8761" s="19" t="n">
        <v>3</v>
      </c>
      <c r="I8761" s="57" t="n">
        <v>12</v>
      </c>
    </row>
    <row r="8762">
      <c r="A8762" s="62" t="n">
        <v>47201</v>
      </c>
      <c r="B8762" s="3" t="inlineStr">
        <is>
          <t>Sat</t>
        </is>
      </c>
      <c r="C8762" s="19" t="n">
        <v>3</v>
      </c>
      <c r="D8762" s="19" t="n">
        <v>2029</v>
      </c>
      <c r="E8762" s="57" t="n">
        <v>8</v>
      </c>
      <c r="F8762" s="29">
        <f>ROUND(((SUMIFS(Calendar!$F$2:$F$9997,Calendar!$B$2:$B$9997,D8762,Calendar!$C$2:$C$9997,C8762)*INDEX(ForeCalc!$B$37:$Y$274,MATCH(_xlfn.CONCAT(H8762," ",I8762),ForeCalc!$A$37:$A$274,0),MATCH(_xlfn.CONCAT(B8762," ",E8762),ForeCalc!$B$36:$Y$36,0))))*VLOOKUP(A8762,Calendar!$A$2:$H$9997,8,FALSE),0)</f>
        <v/>
      </c>
      <c r="G8762" s="29">
        <f>VLOOKUP(A8762,Calendar!$A$1:$H$9997,6,FALSE)-F8762</f>
        <v/>
      </c>
      <c r="H8762" s="19" t="n">
        <v>3</v>
      </c>
      <c r="I8762" s="57" t="n">
        <v>12</v>
      </c>
    </row>
    <row r="8763">
      <c r="A8763" s="62" t="n">
        <v>47202</v>
      </c>
      <c r="B8763" s="3" t="inlineStr">
        <is>
          <t>Sun</t>
        </is>
      </c>
      <c r="C8763" s="19" t="n">
        <v>3</v>
      </c>
      <c r="D8763" s="19" t="n">
        <v>2029</v>
      </c>
      <c r="E8763" s="57" t="n">
        <v>8</v>
      </c>
      <c r="F8763" s="29">
        <f>ROUND(((SUMIFS(Calendar!$F$2:$F$9997,Calendar!$B$2:$B$9997,D8763,Calendar!$C$2:$C$9997,C8763)*INDEX(ForeCalc!$B$37:$Y$274,MATCH(_xlfn.CONCAT(H8763," ",I8763),ForeCalc!$A$37:$A$274,0),MATCH(_xlfn.CONCAT(B8763," ",E8763),ForeCalc!$B$36:$Y$36,0))))*VLOOKUP(A8763,Calendar!$A$2:$H$9997,8,FALSE),0)</f>
        <v/>
      </c>
      <c r="G8763" s="29">
        <f>VLOOKUP(A8763,Calendar!$A$1:$H$9997,6,FALSE)-F8763</f>
        <v/>
      </c>
      <c r="H8763" s="19" t="n">
        <v>3</v>
      </c>
      <c r="I8763" s="57" t="n">
        <v>12</v>
      </c>
    </row>
    <row r="8764">
      <c r="A8764" s="62" t="n">
        <v>47203</v>
      </c>
      <c r="B8764" s="3" t="inlineStr">
        <is>
          <t>Week</t>
        </is>
      </c>
      <c r="C8764" s="19" t="n">
        <v>3</v>
      </c>
      <c r="D8764" s="19" t="n">
        <v>2029</v>
      </c>
      <c r="E8764" s="57" t="n">
        <v>8</v>
      </c>
      <c r="F8764" s="29">
        <f>ROUND(((SUMIFS(Calendar!$F$2:$F$9997,Calendar!$B$2:$B$9997,D8764,Calendar!$C$2:$C$9997,C8764)*INDEX(ForeCalc!$B$37:$Y$274,MATCH(_xlfn.CONCAT(H8764," ",I8764),ForeCalc!$A$37:$A$274,0),MATCH(_xlfn.CONCAT(B8764," ",E8764),ForeCalc!$B$36:$Y$36,0))))*VLOOKUP(A8764,Calendar!$A$2:$H$9997,8,FALSE),0)</f>
        <v/>
      </c>
      <c r="G8764" s="29">
        <f>VLOOKUP(A8764,Calendar!$A$1:$H$9997,6,FALSE)-F8764</f>
        <v/>
      </c>
      <c r="H8764" s="19" t="n">
        <v>3</v>
      </c>
      <c r="I8764" s="57" t="n">
        <v>12</v>
      </c>
    </row>
    <row r="8765">
      <c r="A8765" s="62" t="n">
        <v>47204</v>
      </c>
      <c r="B8765" s="3" t="inlineStr">
        <is>
          <t>Week</t>
        </is>
      </c>
      <c r="C8765" s="19" t="n">
        <v>3</v>
      </c>
      <c r="D8765" s="19" t="n">
        <v>2029</v>
      </c>
      <c r="E8765" s="57" t="n">
        <v>8</v>
      </c>
      <c r="F8765" s="29">
        <f>ROUND(((SUMIFS(Calendar!$F$2:$F$9997,Calendar!$B$2:$B$9997,D8765,Calendar!$C$2:$C$9997,C8765)*INDEX(ForeCalc!$B$37:$Y$274,MATCH(_xlfn.CONCAT(H8765," ",I8765),ForeCalc!$A$37:$A$274,0),MATCH(_xlfn.CONCAT(B8765," ",E8765),ForeCalc!$B$36:$Y$36,0))))*VLOOKUP(A8765,Calendar!$A$2:$H$9997,8,FALSE),0)</f>
        <v/>
      </c>
      <c r="G8765" s="29">
        <f>VLOOKUP(A8765,Calendar!$A$1:$H$9997,6,FALSE)-F8765</f>
        <v/>
      </c>
      <c r="H8765" s="19" t="n">
        <v>3</v>
      </c>
      <c r="I8765" s="57" t="n">
        <v>12</v>
      </c>
    </row>
    <row r="8766">
      <c r="A8766" s="62" t="n">
        <v>47205</v>
      </c>
      <c r="B8766" s="3" t="inlineStr">
        <is>
          <t>Week</t>
        </is>
      </c>
      <c r="C8766" s="19" t="n">
        <v>3</v>
      </c>
      <c r="D8766" s="19" t="n">
        <v>2029</v>
      </c>
      <c r="E8766" s="57" t="n">
        <v>8</v>
      </c>
      <c r="F8766" s="29">
        <f>ROUND(((SUMIFS(Calendar!$F$2:$F$9997,Calendar!$B$2:$B$9997,D8766,Calendar!$C$2:$C$9997,C8766)*INDEX(ForeCalc!$B$37:$Y$274,MATCH(_xlfn.CONCAT(H8766," ",I8766),ForeCalc!$A$37:$A$274,0),MATCH(_xlfn.CONCAT(B8766," ",E8766),ForeCalc!$B$36:$Y$36,0))))*VLOOKUP(A8766,Calendar!$A$2:$H$9997,8,FALSE),0)</f>
        <v/>
      </c>
      <c r="G8766" s="29">
        <f>VLOOKUP(A8766,Calendar!$A$1:$H$9997,6,FALSE)-F8766</f>
        <v/>
      </c>
      <c r="H8766" s="19" t="n">
        <v>3</v>
      </c>
      <c r="I8766" s="57" t="n">
        <v>12</v>
      </c>
    </row>
    <row r="8767">
      <c r="A8767" s="62" t="n">
        <v>47206</v>
      </c>
      <c r="B8767" s="3" t="inlineStr">
        <is>
          <t>Week</t>
        </is>
      </c>
      <c r="C8767" s="19" t="n">
        <v>3</v>
      </c>
      <c r="D8767" s="19" t="n">
        <v>2029</v>
      </c>
      <c r="E8767" s="57" t="n">
        <v>8</v>
      </c>
      <c r="F8767" s="29">
        <f>ROUND(((SUMIFS(Calendar!$F$2:$F$9997,Calendar!$B$2:$B$9997,D8767,Calendar!$C$2:$C$9997,C8767)*INDEX(ForeCalc!$B$37:$Y$274,MATCH(_xlfn.CONCAT(H8767," ",I8767),ForeCalc!$A$37:$A$274,0),MATCH(_xlfn.CONCAT(B8767," ",E8767),ForeCalc!$B$36:$Y$36,0))))*VLOOKUP(A8767,Calendar!$A$2:$H$9997,8,FALSE),0)</f>
        <v/>
      </c>
      <c r="G8767" s="29">
        <f>VLOOKUP(A8767,Calendar!$A$1:$H$9997,6,FALSE)-F8767</f>
        <v/>
      </c>
      <c r="H8767" s="19" t="n">
        <v>3</v>
      </c>
      <c r="I8767" s="57" t="n">
        <v>12</v>
      </c>
    </row>
    <row r="8768">
      <c r="A8768" s="62" t="n">
        <v>47207</v>
      </c>
      <c r="B8768" s="3" t="inlineStr">
        <is>
          <t>Week</t>
        </is>
      </c>
      <c r="C8768" s="19" t="n">
        <v>3</v>
      </c>
      <c r="D8768" s="19" t="n">
        <v>2029</v>
      </c>
      <c r="E8768" s="57" t="n">
        <v>8</v>
      </c>
      <c r="F8768" s="29">
        <f>ROUND(((SUMIFS(Calendar!$F$2:$F$9997,Calendar!$B$2:$B$9997,D8768,Calendar!$C$2:$C$9997,C8768)*INDEX(ForeCalc!$B$37:$Y$274,MATCH(_xlfn.CONCAT(H8768," ",I8768),ForeCalc!$A$37:$A$274,0),MATCH(_xlfn.CONCAT(B8768," ",E8768),ForeCalc!$B$36:$Y$36,0))))*VLOOKUP(A8768,Calendar!$A$2:$H$9997,8,FALSE),0)</f>
        <v/>
      </c>
      <c r="G8768" s="29">
        <f>VLOOKUP(A8768,Calendar!$A$1:$H$9997,6,FALSE)-F8768</f>
        <v/>
      </c>
      <c r="H8768" s="19" t="n">
        <v>3</v>
      </c>
      <c r="I8768" s="57" t="n">
        <v>12</v>
      </c>
    </row>
    <row r="8769">
      <c r="A8769" s="62" t="n">
        <v>47208</v>
      </c>
      <c r="B8769" s="3" t="inlineStr">
        <is>
          <t>Sat</t>
        </is>
      </c>
      <c r="C8769" s="19" t="n">
        <v>3</v>
      </c>
      <c r="D8769" s="19" t="n">
        <v>2029</v>
      </c>
      <c r="E8769" s="57" t="n">
        <v>8</v>
      </c>
      <c r="F8769" s="29">
        <f>ROUND(((SUMIFS(Calendar!$F$2:$F$9997,Calendar!$B$2:$B$9997,D8769,Calendar!$C$2:$C$9997,C8769)*INDEX(ForeCalc!$B$37:$Y$274,MATCH(_xlfn.CONCAT(H8769," ",I8769),ForeCalc!$A$37:$A$274,0),MATCH(_xlfn.CONCAT(B8769," ",E8769),ForeCalc!$B$36:$Y$36,0))))*VLOOKUP(A8769,Calendar!$A$2:$H$9997,8,FALSE),0)</f>
        <v/>
      </c>
      <c r="G8769" s="29">
        <f>VLOOKUP(A8769,Calendar!$A$1:$H$9997,6,FALSE)-F8769</f>
        <v/>
      </c>
      <c r="H8769" s="19" t="n">
        <v>3</v>
      </c>
      <c r="I8769" s="57" t="n">
        <v>12</v>
      </c>
    </row>
  </sheetData>
  <autoFilter ref="A1:G876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4">
    <tabColor theme="9" tint="0.7999816888943144"/>
    <outlinePr summaryBelow="1" summaryRight="1"/>
    <pageSetUpPr/>
  </sheetPr>
  <dimension ref="A1:X1097"/>
  <sheetViews>
    <sheetView workbookViewId="0">
      <pane ySplit="1" topLeftCell="A2" activePane="bottomLeft" state="frozen"/>
      <selection activeCell="M17" sqref="M17"/>
      <selection pane="bottomLeft" activeCell="F3" sqref="F3"/>
    </sheetView>
  </sheetViews>
  <sheetFormatPr baseColWidth="8" defaultRowHeight="13.8"/>
  <cols>
    <col width="10.33203125" bestFit="1" customWidth="1" style="57" min="1" max="1"/>
    <col width="10.33203125" customWidth="1" style="19" min="2" max="3"/>
    <col width="11.109375" customWidth="1" style="22" min="4" max="6"/>
    <col width="13.21875" bestFit="1" customWidth="1" style="57" min="7" max="7"/>
    <col width="13.77734375" bestFit="1" customWidth="1" style="11" min="8" max="8"/>
    <col width="10.109375" bestFit="1" customWidth="1" style="19" min="9" max="9"/>
    <col width="8.88671875" customWidth="1" style="57" min="10" max="11"/>
    <col width="10.109375" bestFit="1" customWidth="1" style="57" min="12" max="13"/>
    <col width="15.21875" bestFit="1" customWidth="1" style="57" min="14" max="14"/>
    <col width="11.44140625" bestFit="1" customWidth="1" style="57" min="15" max="15"/>
    <col width="12.77734375" bestFit="1" customWidth="1" style="57" min="16" max="16"/>
    <col width="8.88671875" customWidth="1" style="57" min="17" max="23"/>
    <col width="8.88671875" customWidth="1" style="57" min="24" max="16384"/>
  </cols>
  <sheetData>
    <row r="1">
      <c r="A1" s="58" t="inlineStr">
        <is>
          <t>Date</t>
        </is>
      </c>
      <c r="B1" s="58" t="inlineStr">
        <is>
          <t>Year</t>
        </is>
      </c>
      <c r="C1" s="58" t="inlineStr">
        <is>
          <t>Month</t>
        </is>
      </c>
      <c r="D1" s="17" t="inlineStr">
        <is>
          <t>Day</t>
        </is>
      </c>
      <c r="E1" s="17" t="inlineStr">
        <is>
          <t>Type</t>
        </is>
      </c>
      <c r="F1" s="17" t="inlineStr">
        <is>
          <t>Avail Hours</t>
        </is>
      </c>
      <c r="G1" s="58" t="inlineStr">
        <is>
          <t>Staffed Hours</t>
        </is>
      </c>
      <c r="H1" s="58" t="inlineStr">
        <is>
          <t>Daily% of Month</t>
        </is>
      </c>
      <c r="I1" s="51" t="inlineStr">
        <is>
          <t>BusYr</t>
        </is>
      </c>
      <c r="J1" s="58" t="inlineStr">
        <is>
          <t>BusMnth</t>
        </is>
      </c>
      <c r="K1" s="58" t="n"/>
      <c r="L1" s="58" t="inlineStr">
        <is>
          <t>Day</t>
        </is>
      </c>
      <c r="M1" s="58" t="inlineStr">
        <is>
          <t>Date</t>
        </is>
      </c>
      <c r="N1" s="58" t="inlineStr">
        <is>
          <t>Holiday</t>
        </is>
      </c>
      <c r="O1" s="58" t="inlineStr">
        <is>
          <t>Hours</t>
        </is>
      </c>
      <c r="P1" s="58" t="inlineStr">
        <is>
          <t>Available Hours</t>
        </is>
      </c>
      <c r="Q1" s="58" t="n"/>
      <c r="R1" s="58" t="n"/>
      <c r="S1" s="58" t="n"/>
      <c r="T1" s="58" t="n"/>
      <c r="U1" s="58" t="n"/>
      <c r="V1" s="58" t="n"/>
      <c r="W1" s="58" t="n"/>
      <c r="X1" s="58" t="n"/>
    </row>
    <row r="2">
      <c r="A2" s="62" t="n">
        <v>46113</v>
      </c>
      <c r="B2" s="19" t="n">
        <v>2026</v>
      </c>
      <c r="C2" s="19" t="n">
        <v>4</v>
      </c>
      <c r="D2" s="56" t="inlineStr">
        <is>
          <t>Wed</t>
        </is>
      </c>
      <c r="E2" s="56" t="inlineStr">
        <is>
          <t>Week</t>
        </is>
      </c>
      <c r="F2" s="56">
        <f>IF(ForeCalc!$F$1="Staffed Hours",G2,24)</f>
        <v/>
      </c>
      <c r="G2" s="57">
        <f>IF(COUNTIF(M:M,Calendar!A2)&gt;0,VLOOKUP(A2,M:P,4,FALSE),VLOOKUP(D2,BusData!$A$3:$D$10,4,FALSE))</f>
        <v/>
      </c>
      <c r="H2" s="11">
        <f>F2/SUMIFS($F$2:$F$9997,$B$2:$B$9997,B2,$C$2:$C$9997,C2)</f>
        <v/>
      </c>
      <c r="I2" s="19" t="n">
        <v>1</v>
      </c>
      <c r="J2" s="57" t="n">
        <v>1</v>
      </c>
      <c r="L2" s="41" t="n">
        <v>46023</v>
      </c>
      <c r="M2" s="3" t="n">
        <v>46023</v>
      </c>
      <c r="N2" s="57" t="inlineStr">
        <is>
          <t>New Year's Day</t>
        </is>
      </c>
      <c r="O2" s="57" t="inlineStr">
        <is>
          <t>Closed</t>
        </is>
      </c>
      <c r="P2" s="57" t="n">
        <v>0</v>
      </c>
    </row>
    <row r="3">
      <c r="A3" s="62" t="n">
        <v>46114</v>
      </c>
      <c r="B3" s="19" t="n">
        <v>2026</v>
      </c>
      <c r="C3" s="19" t="n">
        <v>4</v>
      </c>
      <c r="D3" s="56" t="inlineStr">
        <is>
          <t>Thu</t>
        </is>
      </c>
      <c r="E3" s="56" t="inlineStr">
        <is>
          <t>Week</t>
        </is>
      </c>
      <c r="F3" s="56">
        <f>IF(ForeCalc!$F$1="Staffed Hours",G3,24)</f>
        <v/>
      </c>
      <c r="G3" s="57">
        <f>IF(COUNTIF(M:M,Calendar!A3)&gt;0,VLOOKUP(A3,M:P,4,FALSE),VLOOKUP(D3,BusData!$A$3:$D$10,4,FALSE))</f>
        <v/>
      </c>
      <c r="H3" s="11">
        <f>F3/SUMIFS($F$2:$F$9997,$B$2:$B$9997,B3,$C$2:$C$9997,C3)</f>
        <v/>
      </c>
      <c r="I3" s="19" t="n">
        <v>1</v>
      </c>
      <c r="J3" s="57" t="n">
        <v>1</v>
      </c>
      <c r="L3" s="41" t="n">
        <v>46167</v>
      </c>
      <c r="M3" s="3" t="n">
        <v>46167</v>
      </c>
      <c r="N3" s="57" t="inlineStr">
        <is>
          <t>Memorial Day</t>
        </is>
      </c>
      <c r="O3" s="57" t="inlineStr">
        <is>
          <t>Closed</t>
        </is>
      </c>
      <c r="P3" s="57" t="n">
        <v>0</v>
      </c>
    </row>
    <row r="4">
      <c r="A4" s="62" t="n">
        <v>46115</v>
      </c>
      <c r="B4" s="19" t="n">
        <v>2026</v>
      </c>
      <c r="C4" s="19" t="n">
        <v>4</v>
      </c>
      <c r="D4" s="56" t="inlineStr">
        <is>
          <t>Fri</t>
        </is>
      </c>
      <c r="E4" s="56" t="inlineStr">
        <is>
          <t>Week</t>
        </is>
      </c>
      <c r="F4" s="56">
        <f>IF(ForeCalc!$F$1="Staffed Hours",G4,24)</f>
        <v/>
      </c>
      <c r="G4" s="57">
        <f>IF(COUNTIF(M:M,Calendar!A4)&gt;0,VLOOKUP(A4,M:P,4,FALSE),VLOOKUP(D4,BusData!$A$3:$D$10,4,FALSE))</f>
        <v/>
      </c>
      <c r="H4" s="11">
        <f>F4/SUMIFS($F$2:$F$9997,$B$2:$B$9997,B4,$C$2:$C$9997,C4)</f>
        <v/>
      </c>
      <c r="I4" s="19" t="n">
        <v>1</v>
      </c>
      <c r="J4" s="57" t="n">
        <v>1</v>
      </c>
      <c r="L4" s="41" t="n">
        <v>46207</v>
      </c>
      <c r="M4" s="3" t="n">
        <v>46207</v>
      </c>
      <c r="N4" s="57" t="inlineStr">
        <is>
          <t>Independence Day</t>
        </is>
      </c>
      <c r="O4" s="57" t="inlineStr">
        <is>
          <t>Closed</t>
        </is>
      </c>
      <c r="P4" s="57" t="n">
        <v>0</v>
      </c>
    </row>
    <row r="5">
      <c r="A5" s="62" t="n">
        <v>46116</v>
      </c>
      <c r="B5" s="19" t="n">
        <v>2026</v>
      </c>
      <c r="C5" s="19" t="n">
        <v>4</v>
      </c>
      <c r="D5" s="56" t="inlineStr">
        <is>
          <t>Sat</t>
        </is>
      </c>
      <c r="E5" s="56" t="inlineStr">
        <is>
          <t>Sat</t>
        </is>
      </c>
      <c r="F5" s="56">
        <f>IF(ForeCalc!$F$1="Staffed Hours",G5,24)</f>
        <v/>
      </c>
      <c r="G5" s="57">
        <f>IF(COUNTIF(M:M,Calendar!A5)&gt;0,VLOOKUP(A5,M:P,4,FALSE),VLOOKUP(D5,BusData!$A$3:$D$10,4,FALSE))</f>
        <v/>
      </c>
      <c r="H5" s="11">
        <f>F5/SUMIFS($F$2:$F$9997,$B$2:$B$9997,B5,$C$2:$C$9997,C5)</f>
        <v/>
      </c>
      <c r="I5" s="19" t="n">
        <v>1</v>
      </c>
      <c r="J5" s="57" t="n">
        <v>1</v>
      </c>
      <c r="L5" s="41" t="n">
        <v>46272</v>
      </c>
      <c r="M5" s="3" t="n">
        <v>46272</v>
      </c>
      <c r="N5" s="57" t="inlineStr">
        <is>
          <t>Labor Day</t>
        </is>
      </c>
      <c r="O5" s="57" t="inlineStr">
        <is>
          <t>Closed</t>
        </is>
      </c>
      <c r="P5" s="57" t="n">
        <v>0</v>
      </c>
    </row>
    <row r="6">
      <c r="A6" s="62" t="n">
        <v>46117</v>
      </c>
      <c r="B6" s="19" t="n">
        <v>2026</v>
      </c>
      <c r="C6" s="19" t="n">
        <v>4</v>
      </c>
      <c r="D6" s="56" t="inlineStr">
        <is>
          <t>Sun</t>
        </is>
      </c>
      <c r="E6" s="56" t="inlineStr">
        <is>
          <t>Sun</t>
        </is>
      </c>
      <c r="F6" s="56">
        <f>IF(ForeCalc!$F$1="Staffed Hours",G6,24)</f>
        <v/>
      </c>
      <c r="G6" s="57">
        <f>IF(COUNTIF(M:M,Calendar!A6)&gt;0,VLOOKUP(A6,M:P,4,FALSE),VLOOKUP(D6,BusData!$A$3:$D$10,4,FALSE))</f>
        <v/>
      </c>
      <c r="H6" s="11">
        <f>F6/SUMIFS($F$2:$F$9997,$B$2:$B$9997,B6,$C$2:$C$9997,C6)</f>
        <v/>
      </c>
      <c r="I6" s="19" t="n">
        <v>1</v>
      </c>
      <c r="J6" s="57" t="n">
        <v>1</v>
      </c>
      <c r="L6" s="41" t="n">
        <v>46352</v>
      </c>
      <c r="M6" s="3" t="n">
        <v>46352</v>
      </c>
      <c r="N6" s="57" t="inlineStr">
        <is>
          <t>Thanksgiving</t>
        </is>
      </c>
      <c r="O6" s="57" t="inlineStr">
        <is>
          <t>Closed</t>
        </is>
      </c>
      <c r="P6" s="57" t="n">
        <v>0</v>
      </c>
    </row>
    <row r="7">
      <c r="A7" s="62" t="n">
        <v>46118</v>
      </c>
      <c r="B7" s="19" t="n">
        <v>2026</v>
      </c>
      <c r="C7" s="19" t="n">
        <v>4</v>
      </c>
      <c r="D7" s="56" t="inlineStr">
        <is>
          <t>Mon</t>
        </is>
      </c>
      <c r="E7" s="56" t="inlineStr">
        <is>
          <t>Week</t>
        </is>
      </c>
      <c r="F7" s="56">
        <f>IF(ForeCalc!$F$1="Staffed Hours",G7,24)</f>
        <v/>
      </c>
      <c r="G7" s="57">
        <f>IF(COUNTIF(M:M,Calendar!A7)&gt;0,VLOOKUP(A7,M:P,4,FALSE),VLOOKUP(D7,BusData!$A$3:$D$10,4,FALSE))</f>
        <v/>
      </c>
      <c r="H7" s="11">
        <f>F7/SUMIFS($F$2:$F$9997,$B$2:$B$9997,B7,$C$2:$C$9997,C7)</f>
        <v/>
      </c>
      <c r="I7" s="19" t="n">
        <v>1</v>
      </c>
      <c r="J7" s="57" t="n">
        <v>1</v>
      </c>
      <c r="L7" s="41" t="n">
        <v>46380</v>
      </c>
      <c r="M7" s="3" t="n">
        <v>46380</v>
      </c>
      <c r="N7" s="57" t="inlineStr">
        <is>
          <t>Christmas Eve</t>
        </is>
      </c>
      <c r="O7" s="57" t="inlineStr">
        <is>
          <t>6.00am - 4pm</t>
        </is>
      </c>
      <c r="P7" s="57" t="n">
        <v>10</v>
      </c>
    </row>
    <row r="8">
      <c r="A8" s="62" t="n">
        <v>46119</v>
      </c>
      <c r="B8" s="19" t="n">
        <v>2026</v>
      </c>
      <c r="C8" s="19" t="n">
        <v>4</v>
      </c>
      <c r="D8" s="56" t="inlineStr">
        <is>
          <t>Tue</t>
        </is>
      </c>
      <c r="E8" s="56" t="inlineStr">
        <is>
          <t>Week</t>
        </is>
      </c>
      <c r="F8" s="56">
        <f>IF(ForeCalc!$F$1="Staffed Hours",G8,24)</f>
        <v/>
      </c>
      <c r="G8" s="57">
        <f>IF(COUNTIF(M:M,Calendar!A8)&gt;0,VLOOKUP(A8,M:P,4,FALSE),VLOOKUP(D8,BusData!$A$3:$D$10,4,FALSE))</f>
        <v/>
      </c>
      <c r="H8" s="11">
        <f>F8/SUMIFS($F$2:$F$9997,$B$2:$B$9997,B8,$C$2:$C$9997,C8)</f>
        <v/>
      </c>
      <c r="I8" s="19" t="n">
        <v>1</v>
      </c>
      <c r="J8" s="57" t="n">
        <v>1</v>
      </c>
      <c r="L8" s="41" t="n">
        <v>46381</v>
      </c>
      <c r="M8" s="3" t="n">
        <v>46381</v>
      </c>
      <c r="N8" s="57" t="inlineStr">
        <is>
          <t>Christmas Day</t>
        </is>
      </c>
      <c r="O8" s="57" t="inlineStr">
        <is>
          <t>Closed</t>
        </is>
      </c>
      <c r="P8" s="57" t="n">
        <v>0</v>
      </c>
    </row>
    <row r="9">
      <c r="A9" s="62" t="n">
        <v>46120</v>
      </c>
      <c r="B9" s="19" t="n">
        <v>2026</v>
      </c>
      <c r="C9" s="19" t="n">
        <v>4</v>
      </c>
      <c r="D9" s="56" t="inlineStr">
        <is>
          <t>Wed</t>
        </is>
      </c>
      <c r="E9" s="56" t="inlineStr">
        <is>
          <t>Week</t>
        </is>
      </c>
      <c r="F9" s="56">
        <f>IF(ForeCalc!$F$1="Staffed Hours",G9,24)</f>
        <v/>
      </c>
      <c r="G9" s="57">
        <f>IF(COUNTIF(M:M,Calendar!A9)&gt;0,VLOOKUP(A9,M:P,4,FALSE),VLOOKUP(D9,BusData!$A$3:$D$10,4,FALSE))</f>
        <v/>
      </c>
      <c r="H9" s="11">
        <f>F9/SUMIFS($F$2:$F$9997,$B$2:$B$9997,B9,$C$2:$C$9997,C9)</f>
        <v/>
      </c>
      <c r="I9" s="19" t="n">
        <v>1</v>
      </c>
      <c r="J9" s="57" t="n">
        <v>1</v>
      </c>
      <c r="L9" s="41" t="n">
        <v>46387</v>
      </c>
      <c r="M9" s="3" t="n">
        <v>46387</v>
      </c>
      <c r="N9" s="57" t="inlineStr">
        <is>
          <t>New Year's Eve</t>
        </is>
      </c>
      <c r="O9" s="57" t="inlineStr">
        <is>
          <t>6.00am - 4pm</t>
        </is>
      </c>
      <c r="P9" s="57" t="n">
        <v>10</v>
      </c>
    </row>
    <row r="10">
      <c r="A10" s="62" t="n">
        <v>46121</v>
      </c>
      <c r="B10" s="19" t="n">
        <v>2026</v>
      </c>
      <c r="C10" s="19" t="n">
        <v>4</v>
      </c>
      <c r="D10" s="56" t="inlineStr">
        <is>
          <t>Thu</t>
        </is>
      </c>
      <c r="E10" s="56" t="inlineStr">
        <is>
          <t>Week</t>
        </is>
      </c>
      <c r="F10" s="56">
        <f>IF(ForeCalc!$F$1="Staffed Hours",G10,24)</f>
        <v/>
      </c>
      <c r="G10" s="57">
        <f>IF(COUNTIF(M:M,Calendar!A10)&gt;0,VLOOKUP(A10,M:P,4,FALSE),VLOOKUP(D10,BusData!$A$3:$D$10,4,FALSE))</f>
        <v/>
      </c>
      <c r="H10" s="11">
        <f>F10/SUMIFS($F$2:$F$9997,$B$2:$B$9997,B10,$C$2:$C$9997,C10)</f>
        <v/>
      </c>
      <c r="I10" s="19" t="n">
        <v>1</v>
      </c>
      <c r="J10" s="57" t="n">
        <v>1</v>
      </c>
      <c r="L10" s="41" t="n">
        <v>46388</v>
      </c>
      <c r="M10" s="3" t="n">
        <v>46388</v>
      </c>
      <c r="N10" s="57" t="inlineStr">
        <is>
          <t>New Year's Day</t>
        </is>
      </c>
      <c r="O10" s="57" t="inlineStr">
        <is>
          <t>Closed</t>
        </is>
      </c>
      <c r="P10" s="57" t="n">
        <v>0</v>
      </c>
    </row>
    <row r="11">
      <c r="A11" s="62" t="n">
        <v>46122</v>
      </c>
      <c r="B11" s="19" t="n">
        <v>2026</v>
      </c>
      <c r="C11" s="19" t="n">
        <v>4</v>
      </c>
      <c r="D11" s="56" t="inlineStr">
        <is>
          <t>Fri</t>
        </is>
      </c>
      <c r="E11" s="56" t="inlineStr">
        <is>
          <t>Week</t>
        </is>
      </c>
      <c r="F11" s="56">
        <f>IF(ForeCalc!$F$1="Staffed Hours",G11,24)</f>
        <v/>
      </c>
      <c r="G11" s="57">
        <f>IF(COUNTIF(M:M,Calendar!A11)&gt;0,VLOOKUP(A11,M:P,4,FALSE),VLOOKUP(D11,BusData!$A$3:$D$10,4,FALSE))</f>
        <v/>
      </c>
      <c r="H11" s="11">
        <f>F11/SUMIFS($F$2:$F$9997,$B$2:$B$9997,B11,$C$2:$C$9997,C11)</f>
        <v/>
      </c>
      <c r="I11" s="19" t="n">
        <v>1</v>
      </c>
      <c r="J11" s="57" t="n">
        <v>1</v>
      </c>
      <c r="L11" s="41" t="n">
        <v>46538</v>
      </c>
      <c r="M11" s="3" t="n">
        <v>46538</v>
      </c>
      <c r="N11" s="57" t="inlineStr">
        <is>
          <t>Memorial Day</t>
        </is>
      </c>
      <c r="O11" s="57" t="inlineStr">
        <is>
          <t>Closed</t>
        </is>
      </c>
      <c r="P11" s="57" t="n">
        <v>0</v>
      </c>
    </row>
    <row r="12">
      <c r="A12" s="62" t="n">
        <v>46123</v>
      </c>
      <c r="B12" s="19" t="n">
        <v>2026</v>
      </c>
      <c r="C12" s="19" t="n">
        <v>4</v>
      </c>
      <c r="D12" s="56" t="inlineStr">
        <is>
          <t>Sat</t>
        </is>
      </c>
      <c r="E12" s="56" t="inlineStr">
        <is>
          <t>Sat</t>
        </is>
      </c>
      <c r="F12" s="56">
        <f>IF(ForeCalc!$F$1="Staffed Hours",G12,24)</f>
        <v/>
      </c>
      <c r="G12" s="57">
        <f>IF(COUNTIF(M:M,Calendar!A12)&gt;0,VLOOKUP(A12,M:P,4,FALSE),VLOOKUP(D12,BusData!$A$3:$D$10,4,FALSE))</f>
        <v/>
      </c>
      <c r="H12" s="11">
        <f>F12/SUMIFS($F$2:$F$9997,$B$2:$B$9997,B12,$C$2:$C$9997,C12)</f>
        <v/>
      </c>
      <c r="I12" s="19" t="n">
        <v>1</v>
      </c>
      <c r="J12" s="57" t="n">
        <v>1</v>
      </c>
      <c r="L12" s="41" t="n">
        <v>46573</v>
      </c>
      <c r="M12" s="3" t="n">
        <v>46573</v>
      </c>
      <c r="N12" s="57" t="inlineStr">
        <is>
          <t>Independence Day</t>
        </is>
      </c>
      <c r="O12" s="57" t="inlineStr">
        <is>
          <t>Closed</t>
        </is>
      </c>
      <c r="P12" s="57" t="n">
        <v>0</v>
      </c>
    </row>
    <row r="13">
      <c r="A13" s="62" t="n">
        <v>46124</v>
      </c>
      <c r="B13" s="19" t="n">
        <v>2026</v>
      </c>
      <c r="C13" s="19" t="n">
        <v>4</v>
      </c>
      <c r="D13" s="56" t="inlineStr">
        <is>
          <t>Sun</t>
        </is>
      </c>
      <c r="E13" s="56" t="inlineStr">
        <is>
          <t>Sun</t>
        </is>
      </c>
      <c r="F13" s="56">
        <f>IF(ForeCalc!$F$1="Staffed Hours",G13,24)</f>
        <v/>
      </c>
      <c r="G13" s="57">
        <f>IF(COUNTIF(M:M,Calendar!A13)&gt;0,VLOOKUP(A13,M:P,4,FALSE),VLOOKUP(D13,BusData!$A$3:$D$10,4,FALSE))</f>
        <v/>
      </c>
      <c r="H13" s="11">
        <f>F13/SUMIFS($F$2:$F$9997,$B$2:$B$9997,B13,$C$2:$C$9997,C13)</f>
        <v/>
      </c>
      <c r="I13" s="19" t="n">
        <v>1</v>
      </c>
      <c r="J13" s="57" t="n">
        <v>1</v>
      </c>
      <c r="L13" s="41" t="n">
        <v>46636</v>
      </c>
      <c r="M13" s="3" t="n">
        <v>46636</v>
      </c>
      <c r="N13" s="57" t="inlineStr">
        <is>
          <t>Labor Day</t>
        </is>
      </c>
      <c r="O13" s="57" t="inlineStr">
        <is>
          <t>Closed</t>
        </is>
      </c>
      <c r="P13" s="57" t="n">
        <v>0</v>
      </c>
    </row>
    <row r="14">
      <c r="A14" s="62" t="n">
        <v>46125</v>
      </c>
      <c r="B14" s="19" t="n">
        <v>2026</v>
      </c>
      <c r="C14" s="19" t="n">
        <v>4</v>
      </c>
      <c r="D14" s="56" t="inlineStr">
        <is>
          <t>Mon</t>
        </is>
      </c>
      <c r="E14" s="56" t="inlineStr">
        <is>
          <t>Week</t>
        </is>
      </c>
      <c r="F14" s="56">
        <f>IF(ForeCalc!$F$1="Staffed Hours",G14,24)</f>
        <v/>
      </c>
      <c r="G14" s="57">
        <f>IF(COUNTIF(M:M,Calendar!A14)&gt;0,VLOOKUP(A14,M:P,4,FALSE),VLOOKUP(D14,BusData!$A$3:$D$10,4,FALSE))</f>
        <v/>
      </c>
      <c r="H14" s="11">
        <f>F14/SUMIFS($F$2:$F$9997,$B$2:$B$9997,B14,$C$2:$C$9997,C14)</f>
        <v/>
      </c>
      <c r="I14" s="19" t="n">
        <v>1</v>
      </c>
      <c r="J14" s="57" t="n">
        <v>1</v>
      </c>
      <c r="L14" s="41" t="n">
        <v>46716</v>
      </c>
      <c r="M14" s="3" t="n">
        <v>46716</v>
      </c>
      <c r="N14" s="57" t="inlineStr">
        <is>
          <t>Thanksgiving</t>
        </is>
      </c>
      <c r="O14" s="57" t="inlineStr">
        <is>
          <t>Closed</t>
        </is>
      </c>
      <c r="P14" s="57" t="n">
        <v>0</v>
      </c>
    </row>
    <row r="15">
      <c r="A15" s="62" t="n">
        <v>46126</v>
      </c>
      <c r="B15" s="19" t="n">
        <v>2026</v>
      </c>
      <c r="C15" s="19" t="n">
        <v>4</v>
      </c>
      <c r="D15" s="56" t="inlineStr">
        <is>
          <t>Tue</t>
        </is>
      </c>
      <c r="E15" s="56" t="inlineStr">
        <is>
          <t>Week</t>
        </is>
      </c>
      <c r="F15" s="56">
        <f>IF(ForeCalc!$F$1="Staffed Hours",G15,24)</f>
        <v/>
      </c>
      <c r="G15" s="57">
        <f>IF(COUNTIF(M:M,Calendar!A15)&gt;0,VLOOKUP(A15,M:P,4,FALSE),VLOOKUP(D15,BusData!$A$3:$D$10,4,FALSE))</f>
        <v/>
      </c>
      <c r="H15" s="11">
        <f>F15/SUMIFS($F$2:$F$9997,$B$2:$B$9997,B15,$C$2:$C$9997,C15)</f>
        <v/>
      </c>
      <c r="I15" s="19" t="n">
        <v>1</v>
      </c>
      <c r="J15" s="57" t="n">
        <v>1</v>
      </c>
      <c r="L15" s="41" t="n">
        <v>46745</v>
      </c>
      <c r="M15" s="3" t="n">
        <v>46745</v>
      </c>
      <c r="N15" s="57" t="inlineStr">
        <is>
          <t>Christmas Eve</t>
        </is>
      </c>
      <c r="O15" s="57" t="inlineStr">
        <is>
          <t>6.00am - 4pm</t>
        </is>
      </c>
      <c r="P15" s="57" t="n">
        <v>10</v>
      </c>
    </row>
    <row r="16">
      <c r="A16" s="62" t="n">
        <v>46127</v>
      </c>
      <c r="B16" s="19" t="n">
        <v>2026</v>
      </c>
      <c r="C16" s="19" t="n">
        <v>4</v>
      </c>
      <c r="D16" s="56" t="inlineStr">
        <is>
          <t>Wed</t>
        </is>
      </c>
      <c r="E16" s="56" t="inlineStr">
        <is>
          <t>Week</t>
        </is>
      </c>
      <c r="F16" s="56">
        <f>IF(ForeCalc!$F$1="Staffed Hours",G16,24)</f>
        <v/>
      </c>
      <c r="G16" s="57">
        <f>IF(COUNTIF(M:M,Calendar!A16)&gt;0,VLOOKUP(A16,M:P,4,FALSE),VLOOKUP(D16,BusData!$A$3:$D$10,4,FALSE))</f>
        <v/>
      </c>
      <c r="H16" s="11">
        <f>F16/SUMIFS($F$2:$F$9997,$B$2:$B$9997,B16,$C$2:$C$9997,C16)</f>
        <v/>
      </c>
      <c r="I16" s="19" t="n">
        <v>1</v>
      </c>
      <c r="J16" s="57" t="n">
        <v>1</v>
      </c>
      <c r="L16" s="41" t="n">
        <v>46746</v>
      </c>
      <c r="M16" s="3" t="n">
        <v>46746</v>
      </c>
      <c r="N16" s="57" t="inlineStr">
        <is>
          <t>Christmas Day</t>
        </is>
      </c>
      <c r="O16" s="57" t="inlineStr">
        <is>
          <t>Closed</t>
        </is>
      </c>
      <c r="P16" s="57" t="n">
        <v>0</v>
      </c>
    </row>
    <row r="17">
      <c r="A17" s="62" t="n">
        <v>46128</v>
      </c>
      <c r="B17" s="19" t="n">
        <v>2026</v>
      </c>
      <c r="C17" s="19" t="n">
        <v>4</v>
      </c>
      <c r="D17" s="56" t="inlineStr">
        <is>
          <t>Thu</t>
        </is>
      </c>
      <c r="E17" s="56" t="inlineStr">
        <is>
          <t>Week</t>
        </is>
      </c>
      <c r="F17" s="56">
        <f>IF(ForeCalc!$F$1="Staffed Hours",G17,24)</f>
        <v/>
      </c>
      <c r="G17" s="57">
        <f>IF(COUNTIF(M:M,Calendar!A17)&gt;0,VLOOKUP(A17,M:P,4,FALSE),VLOOKUP(D17,BusData!$A$3:$D$10,4,FALSE))</f>
        <v/>
      </c>
      <c r="H17" s="11">
        <f>F17/SUMIFS($F$2:$F$9997,$B$2:$B$9997,B17,$C$2:$C$9997,C17)</f>
        <v/>
      </c>
      <c r="I17" s="19" t="n">
        <v>1</v>
      </c>
      <c r="J17" s="57" t="n">
        <v>1</v>
      </c>
      <c r="L17" s="41" t="n">
        <v>46752</v>
      </c>
      <c r="M17" s="3" t="n">
        <v>46752</v>
      </c>
      <c r="N17" s="57" t="inlineStr">
        <is>
          <t>New Year's Eve</t>
        </is>
      </c>
      <c r="O17" s="57" t="inlineStr">
        <is>
          <t>6.00am - 4pm</t>
        </is>
      </c>
      <c r="P17" s="57" t="n">
        <v>10</v>
      </c>
    </row>
    <row r="18">
      <c r="A18" s="62" t="n">
        <v>46129</v>
      </c>
      <c r="B18" s="19" t="n">
        <v>2026</v>
      </c>
      <c r="C18" s="19" t="n">
        <v>4</v>
      </c>
      <c r="D18" s="56" t="inlineStr">
        <is>
          <t>Fri</t>
        </is>
      </c>
      <c r="E18" s="56" t="inlineStr">
        <is>
          <t>Week</t>
        </is>
      </c>
      <c r="F18" s="56">
        <f>IF(ForeCalc!$F$1="Staffed Hours",G18,24)</f>
        <v/>
      </c>
      <c r="G18" s="57">
        <f>IF(COUNTIF(M:M,Calendar!A18)&gt;0,VLOOKUP(A18,M:P,4,FALSE),VLOOKUP(D18,BusData!$A$3:$D$10,4,FALSE))</f>
        <v/>
      </c>
      <c r="H18" s="11">
        <f>F18/SUMIFS($F$2:$F$9997,$B$2:$B$9997,B18,$C$2:$C$9997,C18)</f>
        <v/>
      </c>
      <c r="I18" s="19" t="n">
        <v>1</v>
      </c>
      <c r="J18" s="57" t="n">
        <v>1</v>
      </c>
      <c r="L18" s="41" t="n">
        <v>46753</v>
      </c>
      <c r="M18" s="3" t="n">
        <v>46753</v>
      </c>
      <c r="N18" s="57" t="inlineStr">
        <is>
          <t>New Year's Day</t>
        </is>
      </c>
      <c r="O18" s="57" t="inlineStr">
        <is>
          <t>Closed</t>
        </is>
      </c>
      <c r="P18" s="57" t="n">
        <v>0</v>
      </c>
    </row>
    <row r="19">
      <c r="A19" s="62" t="n">
        <v>46130</v>
      </c>
      <c r="B19" s="19" t="n">
        <v>2026</v>
      </c>
      <c r="C19" s="19" t="n">
        <v>4</v>
      </c>
      <c r="D19" s="56" t="inlineStr">
        <is>
          <t>Sat</t>
        </is>
      </c>
      <c r="E19" s="56" t="inlineStr">
        <is>
          <t>Sat</t>
        </is>
      </c>
      <c r="F19" s="56">
        <f>IF(ForeCalc!$F$1="Staffed Hours",G19,24)</f>
        <v/>
      </c>
      <c r="G19" s="57">
        <f>IF(COUNTIF(M:M,Calendar!A19)&gt;0,VLOOKUP(A19,M:P,4,FALSE),VLOOKUP(D19,BusData!$A$3:$D$10,4,FALSE))</f>
        <v/>
      </c>
      <c r="H19" s="11">
        <f>F19/SUMIFS($F$2:$F$9997,$B$2:$B$9997,B19,$C$2:$C$9997,C19)</f>
        <v/>
      </c>
      <c r="I19" s="19" t="n">
        <v>1</v>
      </c>
      <c r="J19" s="57" t="n">
        <v>1</v>
      </c>
      <c r="L19" s="41" t="n">
        <v>46902</v>
      </c>
      <c r="M19" s="3" t="n">
        <v>46902</v>
      </c>
      <c r="N19" s="57" t="inlineStr">
        <is>
          <t>Memorial Day</t>
        </is>
      </c>
      <c r="O19" s="57" t="inlineStr">
        <is>
          <t>Closed</t>
        </is>
      </c>
      <c r="P19" s="57" t="n">
        <v>0</v>
      </c>
    </row>
    <row r="20">
      <c r="A20" s="62" t="n">
        <v>46131</v>
      </c>
      <c r="B20" s="19" t="n">
        <v>2026</v>
      </c>
      <c r="C20" s="19" t="n">
        <v>4</v>
      </c>
      <c r="D20" s="56" t="inlineStr">
        <is>
          <t>Sun</t>
        </is>
      </c>
      <c r="E20" s="56" t="inlineStr">
        <is>
          <t>Sun</t>
        </is>
      </c>
      <c r="F20" s="56">
        <f>IF(ForeCalc!$F$1="Staffed Hours",G20,24)</f>
        <v/>
      </c>
      <c r="G20" s="57">
        <f>IF(COUNTIF(M:M,Calendar!A20)&gt;0,VLOOKUP(A20,M:P,4,FALSE),VLOOKUP(D20,BusData!$A$3:$D$10,4,FALSE))</f>
        <v/>
      </c>
      <c r="H20" s="11">
        <f>F20/SUMIFS($F$2:$F$9997,$B$2:$B$9997,B20,$C$2:$C$9997,C20)</f>
        <v/>
      </c>
      <c r="I20" s="19" t="n">
        <v>1</v>
      </c>
      <c r="J20" s="57" t="n">
        <v>1</v>
      </c>
      <c r="L20" s="41" t="n">
        <v>46938</v>
      </c>
      <c r="M20" s="3" t="n">
        <v>46938</v>
      </c>
      <c r="N20" s="57" t="inlineStr">
        <is>
          <t>Independence Day</t>
        </is>
      </c>
      <c r="O20" s="57" t="inlineStr">
        <is>
          <t>Closed</t>
        </is>
      </c>
      <c r="P20" s="57" t="n">
        <v>0</v>
      </c>
    </row>
    <row r="21">
      <c r="A21" s="62" t="n">
        <v>46132</v>
      </c>
      <c r="B21" s="19" t="n">
        <v>2026</v>
      </c>
      <c r="C21" s="19" t="n">
        <v>4</v>
      </c>
      <c r="D21" s="56" t="inlineStr">
        <is>
          <t>Mon</t>
        </is>
      </c>
      <c r="E21" s="56" t="inlineStr">
        <is>
          <t>Week</t>
        </is>
      </c>
      <c r="F21" s="56">
        <f>IF(ForeCalc!$F$1="Staffed Hours",G21,24)</f>
        <v/>
      </c>
      <c r="G21" s="57">
        <f>IF(COUNTIF(M:M,Calendar!A21)&gt;0,VLOOKUP(A21,M:P,4,FALSE),VLOOKUP(D21,BusData!$A$3:$D$10,4,FALSE))</f>
        <v/>
      </c>
      <c r="H21" s="11">
        <f>F21/SUMIFS($F$2:$F$9997,$B$2:$B$9997,B21,$C$2:$C$9997,C21)</f>
        <v/>
      </c>
      <c r="I21" s="19" t="n">
        <v>1</v>
      </c>
      <c r="J21" s="57" t="n">
        <v>1</v>
      </c>
      <c r="L21" s="41" t="n">
        <v>47000</v>
      </c>
      <c r="M21" s="3" t="n">
        <v>47000</v>
      </c>
      <c r="N21" s="57" t="inlineStr">
        <is>
          <t>Labor Day</t>
        </is>
      </c>
      <c r="O21" s="57" t="inlineStr">
        <is>
          <t>Closed</t>
        </is>
      </c>
      <c r="P21" s="57" t="n">
        <v>0</v>
      </c>
    </row>
    <row r="22">
      <c r="A22" s="62" t="n">
        <v>46133</v>
      </c>
      <c r="B22" s="19" t="n">
        <v>2026</v>
      </c>
      <c r="C22" s="19" t="n">
        <v>4</v>
      </c>
      <c r="D22" s="56" t="inlineStr">
        <is>
          <t>Tue</t>
        </is>
      </c>
      <c r="E22" s="56" t="inlineStr">
        <is>
          <t>Week</t>
        </is>
      </c>
      <c r="F22" s="56">
        <f>IF(ForeCalc!$F$1="Staffed Hours",G22,24)</f>
        <v/>
      </c>
      <c r="G22" s="57">
        <f>IF(COUNTIF(M:M,Calendar!A22)&gt;0,VLOOKUP(A22,M:P,4,FALSE),VLOOKUP(D22,BusData!$A$3:$D$10,4,FALSE))</f>
        <v/>
      </c>
      <c r="H22" s="11">
        <f>F22/SUMIFS($F$2:$F$9997,$B$2:$B$9997,B22,$C$2:$C$9997,C22)</f>
        <v/>
      </c>
      <c r="I22" s="19" t="n">
        <v>1</v>
      </c>
      <c r="J22" s="57" t="n">
        <v>1</v>
      </c>
      <c r="L22" s="41" t="n">
        <v>47080</v>
      </c>
      <c r="M22" s="3" t="n">
        <v>47080</v>
      </c>
      <c r="N22" s="57" t="inlineStr">
        <is>
          <t>Thanksgiving</t>
        </is>
      </c>
      <c r="O22" s="57" t="inlineStr">
        <is>
          <t>Closed</t>
        </is>
      </c>
      <c r="P22" s="57" t="n">
        <v>0</v>
      </c>
    </row>
    <row r="23">
      <c r="A23" s="62" t="n">
        <v>46134</v>
      </c>
      <c r="B23" s="19" t="n">
        <v>2026</v>
      </c>
      <c r="C23" s="19" t="n">
        <v>4</v>
      </c>
      <c r="D23" s="56" t="inlineStr">
        <is>
          <t>Wed</t>
        </is>
      </c>
      <c r="E23" s="56" t="inlineStr">
        <is>
          <t>Week</t>
        </is>
      </c>
      <c r="F23" s="56">
        <f>IF(ForeCalc!$F$1="Staffed Hours",G23,24)</f>
        <v/>
      </c>
      <c r="G23" s="57">
        <f>IF(COUNTIF(M:M,Calendar!A23)&gt;0,VLOOKUP(A23,M:P,4,FALSE),VLOOKUP(D23,BusData!$A$3:$D$10,4,FALSE))</f>
        <v/>
      </c>
      <c r="H23" s="11">
        <f>F23/SUMIFS($F$2:$F$9997,$B$2:$B$9997,B23,$C$2:$C$9997,C23)</f>
        <v/>
      </c>
      <c r="I23" s="19" t="n">
        <v>1</v>
      </c>
      <c r="J23" s="57" t="n">
        <v>1</v>
      </c>
      <c r="L23" s="41" t="n">
        <v>47111</v>
      </c>
      <c r="M23" s="3" t="n">
        <v>47111</v>
      </c>
      <c r="N23" s="57" t="inlineStr">
        <is>
          <t>Christmas Eve</t>
        </is>
      </c>
      <c r="O23" s="57" t="inlineStr">
        <is>
          <t>6.00am - 4pm</t>
        </is>
      </c>
      <c r="P23" s="57" t="n">
        <v>10</v>
      </c>
    </row>
    <row r="24">
      <c r="A24" s="62" t="n">
        <v>46135</v>
      </c>
      <c r="B24" s="19" t="n">
        <v>2026</v>
      </c>
      <c r="C24" s="19" t="n">
        <v>4</v>
      </c>
      <c r="D24" s="56" t="inlineStr">
        <is>
          <t>Thu</t>
        </is>
      </c>
      <c r="E24" s="56" t="inlineStr">
        <is>
          <t>Week</t>
        </is>
      </c>
      <c r="F24" s="56">
        <f>IF(ForeCalc!$F$1="Staffed Hours",G24,24)</f>
        <v/>
      </c>
      <c r="G24" s="57">
        <f>IF(COUNTIF(M:M,Calendar!A24)&gt;0,VLOOKUP(A24,M:P,4,FALSE),VLOOKUP(D24,BusData!$A$3:$D$10,4,FALSE))</f>
        <v/>
      </c>
      <c r="H24" s="11">
        <f>F24/SUMIFS($F$2:$F$9997,$B$2:$B$9997,B24,$C$2:$C$9997,C24)</f>
        <v/>
      </c>
      <c r="I24" s="19" t="n">
        <v>1</v>
      </c>
      <c r="J24" s="57" t="n">
        <v>1</v>
      </c>
      <c r="L24" s="41" t="n">
        <v>47112</v>
      </c>
      <c r="M24" s="3" t="n">
        <v>47112</v>
      </c>
      <c r="N24" s="57" t="inlineStr">
        <is>
          <t>Christmas Day</t>
        </is>
      </c>
      <c r="O24" s="57" t="inlineStr">
        <is>
          <t>Closed</t>
        </is>
      </c>
      <c r="P24" s="57" t="n">
        <v>0</v>
      </c>
    </row>
    <row r="25">
      <c r="A25" s="62" t="n">
        <v>46136</v>
      </c>
      <c r="B25" s="19" t="n">
        <v>2026</v>
      </c>
      <c r="C25" s="19" t="n">
        <v>4</v>
      </c>
      <c r="D25" s="56" t="inlineStr">
        <is>
          <t>Fri</t>
        </is>
      </c>
      <c r="E25" s="56" t="inlineStr">
        <is>
          <t>Week</t>
        </is>
      </c>
      <c r="F25" s="56">
        <f>IF(ForeCalc!$F$1="Staffed Hours",G25,24)</f>
        <v/>
      </c>
      <c r="G25" s="57">
        <f>IF(COUNTIF(M:M,Calendar!A25)&gt;0,VLOOKUP(A25,M:P,4,FALSE),VLOOKUP(D25,BusData!$A$3:$D$10,4,FALSE))</f>
        <v/>
      </c>
      <c r="H25" s="11">
        <f>F25/SUMIFS($F$2:$F$9997,$B$2:$B$9997,B25,$C$2:$C$9997,C25)</f>
        <v/>
      </c>
      <c r="I25" s="19" t="n">
        <v>1</v>
      </c>
      <c r="J25" s="57" t="n">
        <v>1</v>
      </c>
      <c r="L25" s="41" t="n">
        <v>47118</v>
      </c>
      <c r="M25" s="3" t="n">
        <v>47118</v>
      </c>
      <c r="N25" s="57" t="inlineStr">
        <is>
          <t>New Year's Eve</t>
        </is>
      </c>
      <c r="O25" s="57" t="inlineStr">
        <is>
          <t>6.00am - 4pm</t>
        </is>
      </c>
      <c r="P25" s="57" t="n">
        <v>10</v>
      </c>
    </row>
    <row r="26">
      <c r="A26" s="62" t="n">
        <v>46137</v>
      </c>
      <c r="B26" s="19" t="n">
        <v>2026</v>
      </c>
      <c r="C26" s="19" t="n">
        <v>4</v>
      </c>
      <c r="D26" s="56" t="inlineStr">
        <is>
          <t>Sat</t>
        </is>
      </c>
      <c r="E26" s="56" t="inlineStr">
        <is>
          <t>Sat</t>
        </is>
      </c>
      <c r="F26" s="56">
        <f>IF(ForeCalc!$F$1="Staffed Hours",G26,24)</f>
        <v/>
      </c>
      <c r="G26" s="57">
        <f>IF(COUNTIF(M:M,Calendar!A26)&gt;0,VLOOKUP(A26,M:P,4,FALSE),VLOOKUP(D26,BusData!$A$3:$D$10,4,FALSE))</f>
        <v/>
      </c>
      <c r="H26" s="11">
        <f>F26/SUMIFS($F$2:$F$9997,$B$2:$B$9997,B26,$C$2:$C$9997,C26)</f>
        <v/>
      </c>
      <c r="I26" s="19" t="n">
        <v>1</v>
      </c>
      <c r="J26" s="57" t="n">
        <v>1</v>
      </c>
      <c r="L26" s="41" t="n">
        <v>47119</v>
      </c>
      <c r="M26" s="3" t="n">
        <v>47119</v>
      </c>
      <c r="N26" s="57" t="inlineStr">
        <is>
          <t>New Year's Day</t>
        </is>
      </c>
      <c r="O26" s="57" t="inlineStr">
        <is>
          <t>Closed</t>
        </is>
      </c>
      <c r="P26" s="57" t="n">
        <v>0</v>
      </c>
    </row>
    <row r="27">
      <c r="A27" s="62" t="n">
        <v>46138</v>
      </c>
      <c r="B27" s="19" t="n">
        <v>2026</v>
      </c>
      <c r="C27" s="19" t="n">
        <v>4</v>
      </c>
      <c r="D27" s="56" t="inlineStr">
        <is>
          <t>Sun</t>
        </is>
      </c>
      <c r="E27" s="56" t="inlineStr">
        <is>
          <t>Sun</t>
        </is>
      </c>
      <c r="F27" s="56">
        <f>IF(ForeCalc!$F$1="Staffed Hours",G27,24)</f>
        <v/>
      </c>
      <c r="G27" s="57">
        <f>IF(COUNTIF(M:M,Calendar!A27)&gt;0,VLOOKUP(A27,M:P,4,FALSE),VLOOKUP(D27,BusData!$A$3:$D$10,4,FALSE))</f>
        <v/>
      </c>
      <c r="H27" s="11">
        <f>F27/SUMIFS($F$2:$F$9997,$B$2:$B$9997,B27,$C$2:$C$9997,C27)</f>
        <v/>
      </c>
      <c r="I27" s="19" t="n">
        <v>1</v>
      </c>
      <c r="J27" s="57" t="n">
        <v>1</v>
      </c>
    </row>
    <row r="28">
      <c r="A28" s="62" t="n">
        <v>46139</v>
      </c>
      <c r="B28" s="19" t="n">
        <v>2026</v>
      </c>
      <c r="C28" s="19" t="n">
        <v>4</v>
      </c>
      <c r="D28" s="56" t="inlineStr">
        <is>
          <t>Mon</t>
        </is>
      </c>
      <c r="E28" s="56" t="inlineStr">
        <is>
          <t>Week</t>
        </is>
      </c>
      <c r="F28" s="56">
        <f>IF(ForeCalc!$F$1="Staffed Hours",G28,24)</f>
        <v/>
      </c>
      <c r="G28" s="57">
        <f>IF(COUNTIF(M:M,Calendar!A28)&gt;0,VLOOKUP(A28,M:P,4,FALSE),VLOOKUP(D28,BusData!$A$3:$D$10,4,FALSE))</f>
        <v/>
      </c>
      <c r="H28" s="11">
        <f>F28/SUMIFS($F$2:$F$9997,$B$2:$B$9997,B28,$C$2:$C$9997,C28)</f>
        <v/>
      </c>
      <c r="I28" s="19" t="n">
        <v>1</v>
      </c>
      <c r="J28" s="57" t="n">
        <v>1</v>
      </c>
    </row>
    <row r="29">
      <c r="A29" s="62" t="n">
        <v>46140</v>
      </c>
      <c r="B29" s="19" t="n">
        <v>2026</v>
      </c>
      <c r="C29" s="19" t="n">
        <v>4</v>
      </c>
      <c r="D29" s="56" t="inlineStr">
        <is>
          <t>Tue</t>
        </is>
      </c>
      <c r="E29" s="56" t="inlineStr">
        <is>
          <t>Week</t>
        </is>
      </c>
      <c r="F29" s="56">
        <f>IF(ForeCalc!$F$1="Staffed Hours",G29,24)</f>
        <v/>
      </c>
      <c r="G29" s="57">
        <f>IF(COUNTIF(M:M,Calendar!A29)&gt;0,VLOOKUP(A29,M:P,4,FALSE),VLOOKUP(D29,BusData!$A$3:$D$10,4,FALSE))</f>
        <v/>
      </c>
      <c r="H29" s="11">
        <f>F29/SUMIFS($F$2:$F$9997,$B$2:$B$9997,B29,$C$2:$C$9997,C29)</f>
        <v/>
      </c>
      <c r="I29" s="19" t="n">
        <v>1</v>
      </c>
      <c r="J29" s="57" t="n">
        <v>1</v>
      </c>
    </row>
    <row r="30">
      <c r="A30" s="62" t="n">
        <v>46141</v>
      </c>
      <c r="B30" s="19" t="n">
        <v>2026</v>
      </c>
      <c r="C30" s="19" t="n">
        <v>4</v>
      </c>
      <c r="D30" s="56" t="inlineStr">
        <is>
          <t>Wed</t>
        </is>
      </c>
      <c r="E30" s="56" t="inlineStr">
        <is>
          <t>Week</t>
        </is>
      </c>
      <c r="F30" s="56">
        <f>IF(ForeCalc!$F$1="Staffed Hours",G30,24)</f>
        <v/>
      </c>
      <c r="G30" s="57">
        <f>IF(COUNTIF(M:M,Calendar!A30)&gt;0,VLOOKUP(A30,M:P,4,FALSE),VLOOKUP(D30,BusData!$A$3:$D$10,4,FALSE))</f>
        <v/>
      </c>
      <c r="H30" s="11">
        <f>F30/SUMIFS($F$2:$F$9997,$B$2:$B$9997,B30,$C$2:$C$9997,C30)</f>
        <v/>
      </c>
      <c r="I30" s="19" t="n">
        <v>1</v>
      </c>
      <c r="J30" s="57" t="n">
        <v>1</v>
      </c>
    </row>
    <row r="31">
      <c r="A31" s="62" t="n">
        <v>46142</v>
      </c>
      <c r="B31" s="19" t="n">
        <v>2026</v>
      </c>
      <c r="C31" s="19" t="n">
        <v>4</v>
      </c>
      <c r="D31" s="56" t="inlineStr">
        <is>
          <t>Thu</t>
        </is>
      </c>
      <c r="E31" s="56" t="inlineStr">
        <is>
          <t>Week</t>
        </is>
      </c>
      <c r="F31" s="56">
        <f>IF(ForeCalc!$F$1="Staffed Hours",G31,24)</f>
        <v/>
      </c>
      <c r="G31" s="57">
        <f>IF(COUNTIF(M:M,Calendar!A31)&gt;0,VLOOKUP(A31,M:P,4,FALSE),VLOOKUP(D31,BusData!$A$3:$D$10,4,FALSE))</f>
        <v/>
      </c>
      <c r="H31" s="11">
        <f>F31/SUMIFS($F$2:$F$9997,$B$2:$B$9997,B31,$C$2:$C$9997,C31)</f>
        <v/>
      </c>
      <c r="I31" s="19" t="n">
        <v>1</v>
      </c>
      <c r="J31" s="57" t="n">
        <v>1</v>
      </c>
    </row>
    <row r="32">
      <c r="A32" s="62" t="n">
        <v>46143</v>
      </c>
      <c r="B32" s="19" t="n">
        <v>2026</v>
      </c>
      <c r="C32" s="19" t="n">
        <v>5</v>
      </c>
      <c r="D32" s="56" t="inlineStr">
        <is>
          <t>Fri</t>
        </is>
      </c>
      <c r="E32" s="56" t="inlineStr">
        <is>
          <t>Week</t>
        </is>
      </c>
      <c r="F32" s="56">
        <f>IF(ForeCalc!$F$1="Staffed Hours",G32,24)</f>
        <v/>
      </c>
      <c r="G32" s="57">
        <f>IF(COUNTIF(M:M,Calendar!A32)&gt;0,VLOOKUP(A32,M:P,4,FALSE),VLOOKUP(D32,BusData!$A$3:$D$10,4,FALSE))</f>
        <v/>
      </c>
      <c r="H32" s="11">
        <f>F32/SUMIFS($F$2:$F$9997,$B$2:$B$9997,B32,$C$2:$C$9997,C32)</f>
        <v/>
      </c>
      <c r="I32" s="19" t="n">
        <v>1</v>
      </c>
      <c r="J32" s="57" t="n">
        <v>2</v>
      </c>
    </row>
    <row r="33">
      <c r="A33" s="62" t="n">
        <v>46144</v>
      </c>
      <c r="B33" s="19" t="n">
        <v>2026</v>
      </c>
      <c r="C33" s="19" t="n">
        <v>5</v>
      </c>
      <c r="D33" s="56" t="inlineStr">
        <is>
          <t>Sat</t>
        </is>
      </c>
      <c r="E33" s="56" t="inlineStr">
        <is>
          <t>Sat</t>
        </is>
      </c>
      <c r="F33" s="56">
        <f>IF(ForeCalc!$F$1="Staffed Hours",G33,24)</f>
        <v/>
      </c>
      <c r="G33" s="57">
        <f>IF(COUNTIF(M:M,Calendar!A33)&gt;0,VLOOKUP(A33,M:P,4,FALSE),VLOOKUP(D33,BusData!$A$3:$D$10,4,FALSE))</f>
        <v/>
      </c>
      <c r="H33" s="11">
        <f>F33/SUMIFS($F$2:$F$9997,$B$2:$B$9997,B33,$C$2:$C$9997,C33)</f>
        <v/>
      </c>
      <c r="I33" s="19" t="n">
        <v>1</v>
      </c>
      <c r="J33" s="57" t="n">
        <v>2</v>
      </c>
    </row>
    <row r="34">
      <c r="A34" s="62" t="n">
        <v>46145</v>
      </c>
      <c r="B34" s="19" t="n">
        <v>2026</v>
      </c>
      <c r="C34" s="19" t="n">
        <v>5</v>
      </c>
      <c r="D34" s="56" t="inlineStr">
        <is>
          <t>Sun</t>
        </is>
      </c>
      <c r="E34" s="56" t="inlineStr">
        <is>
          <t>Sun</t>
        </is>
      </c>
      <c r="F34" s="56">
        <f>IF(ForeCalc!$F$1="Staffed Hours",G34,24)</f>
        <v/>
      </c>
      <c r="G34" s="57">
        <f>IF(COUNTIF(M:M,Calendar!A34)&gt;0,VLOOKUP(A34,M:P,4,FALSE),VLOOKUP(D34,BusData!$A$3:$D$10,4,FALSE))</f>
        <v/>
      </c>
      <c r="H34" s="11">
        <f>F34/SUMIFS($F$2:$F$9997,$B$2:$B$9997,B34,$C$2:$C$9997,C34)</f>
        <v/>
      </c>
      <c r="I34" s="19" t="n">
        <v>1</v>
      </c>
      <c r="J34" s="57" t="n">
        <v>2</v>
      </c>
    </row>
    <row r="35">
      <c r="A35" s="62" t="n">
        <v>46146</v>
      </c>
      <c r="B35" s="19" t="n">
        <v>2026</v>
      </c>
      <c r="C35" s="19" t="n">
        <v>5</v>
      </c>
      <c r="D35" s="56" t="inlineStr">
        <is>
          <t>Mon</t>
        </is>
      </c>
      <c r="E35" s="56" t="inlineStr">
        <is>
          <t>Week</t>
        </is>
      </c>
      <c r="F35" s="56">
        <f>IF(ForeCalc!$F$1="Staffed Hours",G35,24)</f>
        <v/>
      </c>
      <c r="G35" s="57">
        <f>IF(COUNTIF(M:M,Calendar!A35)&gt;0,VLOOKUP(A35,M:P,4,FALSE),VLOOKUP(D35,BusData!$A$3:$D$10,4,FALSE))</f>
        <v/>
      </c>
      <c r="H35" s="11">
        <f>F35/SUMIFS($F$2:$F$9997,$B$2:$B$9997,B35,$C$2:$C$9997,C35)</f>
        <v/>
      </c>
      <c r="I35" s="19" t="n">
        <v>1</v>
      </c>
      <c r="J35" s="57" t="n">
        <v>2</v>
      </c>
    </row>
    <row r="36">
      <c r="A36" s="62" t="n">
        <v>46147</v>
      </c>
      <c r="B36" s="19" t="n">
        <v>2026</v>
      </c>
      <c r="C36" s="19" t="n">
        <v>5</v>
      </c>
      <c r="D36" s="56" t="inlineStr">
        <is>
          <t>Tue</t>
        </is>
      </c>
      <c r="E36" s="56" t="inlineStr">
        <is>
          <t>Week</t>
        </is>
      </c>
      <c r="F36" s="56">
        <f>IF(ForeCalc!$F$1="Staffed Hours",G36,24)</f>
        <v/>
      </c>
      <c r="G36" s="57">
        <f>IF(COUNTIF(M:M,Calendar!A36)&gt;0,VLOOKUP(A36,M:P,4,FALSE),VLOOKUP(D36,BusData!$A$3:$D$10,4,FALSE))</f>
        <v/>
      </c>
      <c r="H36" s="11">
        <f>F36/SUMIFS($F$2:$F$9997,$B$2:$B$9997,B36,$C$2:$C$9997,C36)</f>
        <v/>
      </c>
      <c r="I36" s="19" t="n">
        <v>1</v>
      </c>
      <c r="J36" s="57" t="n">
        <v>2</v>
      </c>
    </row>
    <row r="37">
      <c r="A37" s="62" t="n">
        <v>46148</v>
      </c>
      <c r="B37" s="19" t="n">
        <v>2026</v>
      </c>
      <c r="C37" s="19" t="n">
        <v>5</v>
      </c>
      <c r="D37" s="56" t="inlineStr">
        <is>
          <t>Wed</t>
        </is>
      </c>
      <c r="E37" s="56" t="inlineStr">
        <is>
          <t>Week</t>
        </is>
      </c>
      <c r="F37" s="56">
        <f>IF(ForeCalc!$F$1="Staffed Hours",G37,24)</f>
        <v/>
      </c>
      <c r="G37" s="57">
        <f>IF(COUNTIF(M:M,Calendar!A37)&gt;0,VLOOKUP(A37,M:P,4,FALSE),VLOOKUP(D37,BusData!$A$3:$D$10,4,FALSE))</f>
        <v/>
      </c>
      <c r="H37" s="11">
        <f>F37/SUMIFS($F$2:$F$9997,$B$2:$B$9997,B37,$C$2:$C$9997,C37)</f>
        <v/>
      </c>
      <c r="I37" s="19" t="n">
        <v>1</v>
      </c>
      <c r="J37" s="57" t="n">
        <v>2</v>
      </c>
    </row>
    <row r="38">
      <c r="A38" s="62" t="n">
        <v>46149</v>
      </c>
      <c r="B38" s="19" t="n">
        <v>2026</v>
      </c>
      <c r="C38" s="19" t="n">
        <v>5</v>
      </c>
      <c r="D38" s="56" t="inlineStr">
        <is>
          <t>Thu</t>
        </is>
      </c>
      <c r="E38" s="56" t="inlineStr">
        <is>
          <t>Week</t>
        </is>
      </c>
      <c r="F38" s="56">
        <f>IF(ForeCalc!$F$1="Staffed Hours",G38,24)</f>
        <v/>
      </c>
      <c r="G38" s="57">
        <f>IF(COUNTIF(M:M,Calendar!A38)&gt;0,VLOOKUP(A38,M:P,4,FALSE),VLOOKUP(D38,BusData!$A$3:$D$10,4,FALSE))</f>
        <v/>
      </c>
      <c r="H38" s="11">
        <f>F38/SUMIFS($F$2:$F$9997,$B$2:$B$9997,B38,$C$2:$C$9997,C38)</f>
        <v/>
      </c>
      <c r="I38" s="19" t="n">
        <v>1</v>
      </c>
      <c r="J38" s="57" t="n">
        <v>2</v>
      </c>
    </row>
    <row r="39">
      <c r="A39" s="62" t="n">
        <v>46150</v>
      </c>
      <c r="B39" s="19" t="n">
        <v>2026</v>
      </c>
      <c r="C39" s="19" t="n">
        <v>5</v>
      </c>
      <c r="D39" s="56" t="inlineStr">
        <is>
          <t>Fri</t>
        </is>
      </c>
      <c r="E39" s="56" t="inlineStr">
        <is>
          <t>Week</t>
        </is>
      </c>
      <c r="F39" s="56">
        <f>IF(ForeCalc!$F$1="Staffed Hours",G39,24)</f>
        <v/>
      </c>
      <c r="G39" s="57">
        <f>IF(COUNTIF(M:M,Calendar!A39)&gt;0,VLOOKUP(A39,M:P,4,FALSE),VLOOKUP(D39,BusData!$A$3:$D$10,4,FALSE))</f>
        <v/>
      </c>
      <c r="H39" s="11">
        <f>F39/SUMIFS($F$2:$F$9997,$B$2:$B$9997,B39,$C$2:$C$9997,C39)</f>
        <v/>
      </c>
      <c r="I39" s="19" t="n">
        <v>1</v>
      </c>
      <c r="J39" s="57" t="n">
        <v>2</v>
      </c>
    </row>
    <row r="40">
      <c r="A40" s="62" t="n">
        <v>46151</v>
      </c>
      <c r="B40" s="19" t="n">
        <v>2026</v>
      </c>
      <c r="C40" s="19" t="n">
        <v>5</v>
      </c>
      <c r="D40" s="56" t="inlineStr">
        <is>
          <t>Sat</t>
        </is>
      </c>
      <c r="E40" s="56" t="inlineStr">
        <is>
          <t>Sat</t>
        </is>
      </c>
      <c r="F40" s="56">
        <f>IF(ForeCalc!$F$1="Staffed Hours",G40,24)</f>
        <v/>
      </c>
      <c r="G40" s="57">
        <f>IF(COUNTIF(M:M,Calendar!A40)&gt;0,VLOOKUP(A40,M:P,4,FALSE),VLOOKUP(D40,BusData!$A$3:$D$10,4,FALSE))</f>
        <v/>
      </c>
      <c r="H40" s="11">
        <f>F40/SUMIFS($F$2:$F$9997,$B$2:$B$9997,B40,$C$2:$C$9997,C40)</f>
        <v/>
      </c>
      <c r="I40" s="19" t="n">
        <v>1</v>
      </c>
      <c r="J40" s="57" t="n">
        <v>2</v>
      </c>
    </row>
    <row r="41">
      <c r="A41" s="62" t="n">
        <v>46152</v>
      </c>
      <c r="B41" s="19" t="n">
        <v>2026</v>
      </c>
      <c r="C41" s="19" t="n">
        <v>5</v>
      </c>
      <c r="D41" s="56" t="inlineStr">
        <is>
          <t>Sun</t>
        </is>
      </c>
      <c r="E41" s="56" t="inlineStr">
        <is>
          <t>Sun</t>
        </is>
      </c>
      <c r="F41" s="56">
        <f>IF(ForeCalc!$F$1="Staffed Hours",G41,24)</f>
        <v/>
      </c>
      <c r="G41" s="57">
        <f>IF(COUNTIF(M:M,Calendar!A41)&gt;0,VLOOKUP(A41,M:P,4,FALSE),VLOOKUP(D41,BusData!$A$3:$D$10,4,FALSE))</f>
        <v/>
      </c>
      <c r="H41" s="11">
        <f>F41/SUMIFS($F$2:$F$9997,$B$2:$B$9997,B41,$C$2:$C$9997,C41)</f>
        <v/>
      </c>
      <c r="I41" s="19" t="n">
        <v>1</v>
      </c>
      <c r="J41" s="57" t="n">
        <v>2</v>
      </c>
    </row>
    <row r="42">
      <c r="A42" s="62" t="n">
        <v>46153</v>
      </c>
      <c r="B42" s="19" t="n">
        <v>2026</v>
      </c>
      <c r="C42" s="19" t="n">
        <v>5</v>
      </c>
      <c r="D42" s="56" t="inlineStr">
        <is>
          <t>Mon</t>
        </is>
      </c>
      <c r="E42" s="56" t="inlineStr">
        <is>
          <t>Week</t>
        </is>
      </c>
      <c r="F42" s="56">
        <f>IF(ForeCalc!$F$1="Staffed Hours",G42,24)</f>
        <v/>
      </c>
      <c r="G42" s="57">
        <f>IF(COUNTIF(M:M,Calendar!A42)&gt;0,VLOOKUP(A42,M:P,4,FALSE),VLOOKUP(D42,BusData!$A$3:$D$10,4,FALSE))</f>
        <v/>
      </c>
      <c r="H42" s="11">
        <f>F42/SUMIFS($F$2:$F$9997,$B$2:$B$9997,B42,$C$2:$C$9997,C42)</f>
        <v/>
      </c>
      <c r="I42" s="19" t="n">
        <v>1</v>
      </c>
      <c r="J42" s="57" t="n">
        <v>2</v>
      </c>
    </row>
    <row r="43">
      <c r="A43" s="62" t="n">
        <v>46154</v>
      </c>
      <c r="B43" s="19" t="n">
        <v>2026</v>
      </c>
      <c r="C43" s="19" t="n">
        <v>5</v>
      </c>
      <c r="D43" s="56" t="inlineStr">
        <is>
          <t>Tue</t>
        </is>
      </c>
      <c r="E43" s="56" t="inlineStr">
        <is>
          <t>Week</t>
        </is>
      </c>
      <c r="F43" s="56">
        <f>IF(ForeCalc!$F$1="Staffed Hours",G43,24)</f>
        <v/>
      </c>
      <c r="G43" s="57">
        <f>IF(COUNTIF(M:M,Calendar!A43)&gt;0,VLOOKUP(A43,M:P,4,FALSE),VLOOKUP(D43,BusData!$A$3:$D$10,4,FALSE))</f>
        <v/>
      </c>
      <c r="H43" s="11">
        <f>F43/SUMIFS($F$2:$F$9997,$B$2:$B$9997,B43,$C$2:$C$9997,C43)</f>
        <v/>
      </c>
      <c r="I43" s="19" t="n">
        <v>1</v>
      </c>
      <c r="J43" s="57" t="n">
        <v>2</v>
      </c>
    </row>
    <row r="44">
      <c r="A44" s="62" t="n">
        <v>46155</v>
      </c>
      <c r="B44" s="19" t="n">
        <v>2026</v>
      </c>
      <c r="C44" s="19" t="n">
        <v>5</v>
      </c>
      <c r="D44" s="56" t="inlineStr">
        <is>
          <t>Wed</t>
        </is>
      </c>
      <c r="E44" s="56" t="inlineStr">
        <is>
          <t>Week</t>
        </is>
      </c>
      <c r="F44" s="56">
        <f>IF(ForeCalc!$F$1="Staffed Hours",G44,24)</f>
        <v/>
      </c>
      <c r="G44" s="57">
        <f>IF(COUNTIF(M:M,Calendar!A44)&gt;0,VLOOKUP(A44,M:P,4,FALSE),VLOOKUP(D44,BusData!$A$3:$D$10,4,FALSE))</f>
        <v/>
      </c>
      <c r="H44" s="11">
        <f>F44/SUMIFS($F$2:$F$9997,$B$2:$B$9997,B44,$C$2:$C$9997,C44)</f>
        <v/>
      </c>
      <c r="I44" s="19" t="n">
        <v>1</v>
      </c>
      <c r="J44" s="57" t="n">
        <v>2</v>
      </c>
    </row>
    <row r="45">
      <c r="A45" s="62" t="n">
        <v>46156</v>
      </c>
      <c r="B45" s="19" t="n">
        <v>2026</v>
      </c>
      <c r="C45" s="19" t="n">
        <v>5</v>
      </c>
      <c r="D45" s="56" t="inlineStr">
        <is>
          <t>Thu</t>
        </is>
      </c>
      <c r="E45" s="56" t="inlineStr">
        <is>
          <t>Week</t>
        </is>
      </c>
      <c r="F45" s="56">
        <f>IF(ForeCalc!$F$1="Staffed Hours",G45,24)</f>
        <v/>
      </c>
      <c r="G45" s="57">
        <f>IF(COUNTIF(M:M,Calendar!A45)&gt;0,VLOOKUP(A45,M:P,4,FALSE),VLOOKUP(D45,BusData!$A$3:$D$10,4,FALSE))</f>
        <v/>
      </c>
      <c r="H45" s="11">
        <f>F45/SUMIFS($F$2:$F$9997,$B$2:$B$9997,B45,$C$2:$C$9997,C45)</f>
        <v/>
      </c>
      <c r="I45" s="19" t="n">
        <v>1</v>
      </c>
      <c r="J45" s="57" t="n">
        <v>2</v>
      </c>
    </row>
    <row r="46">
      <c r="A46" s="62" t="n">
        <v>46157</v>
      </c>
      <c r="B46" s="19" t="n">
        <v>2026</v>
      </c>
      <c r="C46" s="19" t="n">
        <v>5</v>
      </c>
      <c r="D46" s="56" t="inlineStr">
        <is>
          <t>Fri</t>
        </is>
      </c>
      <c r="E46" s="56" t="inlineStr">
        <is>
          <t>Week</t>
        </is>
      </c>
      <c r="F46" s="56">
        <f>IF(ForeCalc!$F$1="Staffed Hours",G46,24)</f>
        <v/>
      </c>
      <c r="G46" s="57">
        <f>IF(COUNTIF(M:M,Calendar!A46)&gt;0,VLOOKUP(A46,M:P,4,FALSE),VLOOKUP(D46,BusData!$A$3:$D$10,4,FALSE))</f>
        <v/>
      </c>
      <c r="H46" s="11">
        <f>F46/SUMIFS($F$2:$F$9997,$B$2:$B$9997,B46,$C$2:$C$9997,C46)</f>
        <v/>
      </c>
      <c r="I46" s="19" t="n">
        <v>1</v>
      </c>
      <c r="J46" s="57" t="n">
        <v>2</v>
      </c>
    </row>
    <row r="47">
      <c r="A47" s="62" t="n">
        <v>46158</v>
      </c>
      <c r="B47" s="19" t="n">
        <v>2026</v>
      </c>
      <c r="C47" s="19" t="n">
        <v>5</v>
      </c>
      <c r="D47" s="56" t="inlineStr">
        <is>
          <t>Sat</t>
        </is>
      </c>
      <c r="E47" s="56" t="inlineStr">
        <is>
          <t>Sat</t>
        </is>
      </c>
      <c r="F47" s="56">
        <f>IF(ForeCalc!$F$1="Staffed Hours",G47,24)</f>
        <v/>
      </c>
      <c r="G47" s="57">
        <f>IF(COUNTIF(M:M,Calendar!A47)&gt;0,VLOOKUP(A47,M:P,4,FALSE),VLOOKUP(D47,BusData!$A$3:$D$10,4,FALSE))</f>
        <v/>
      </c>
      <c r="H47" s="11">
        <f>F47/SUMIFS($F$2:$F$9997,$B$2:$B$9997,B47,$C$2:$C$9997,C47)</f>
        <v/>
      </c>
      <c r="I47" s="19" t="n">
        <v>1</v>
      </c>
      <c r="J47" s="57" t="n">
        <v>2</v>
      </c>
    </row>
    <row r="48">
      <c r="A48" s="62" t="n">
        <v>46159</v>
      </c>
      <c r="B48" s="19" t="n">
        <v>2026</v>
      </c>
      <c r="C48" s="19" t="n">
        <v>5</v>
      </c>
      <c r="D48" s="56" t="inlineStr">
        <is>
          <t>Sun</t>
        </is>
      </c>
      <c r="E48" s="56" t="inlineStr">
        <is>
          <t>Sun</t>
        </is>
      </c>
      <c r="F48" s="56">
        <f>IF(ForeCalc!$F$1="Staffed Hours",G48,24)</f>
        <v/>
      </c>
      <c r="G48" s="57">
        <f>IF(COUNTIF(M:M,Calendar!A48)&gt;0,VLOOKUP(A48,M:P,4,FALSE),VLOOKUP(D48,BusData!$A$3:$D$10,4,FALSE))</f>
        <v/>
      </c>
      <c r="H48" s="11">
        <f>F48/SUMIFS($F$2:$F$9997,$B$2:$B$9997,B48,$C$2:$C$9997,C48)</f>
        <v/>
      </c>
      <c r="I48" s="19" t="n">
        <v>1</v>
      </c>
      <c r="J48" s="57" t="n">
        <v>2</v>
      </c>
    </row>
    <row r="49">
      <c r="A49" s="62" t="n">
        <v>46160</v>
      </c>
      <c r="B49" s="19" t="n">
        <v>2026</v>
      </c>
      <c r="C49" s="19" t="n">
        <v>5</v>
      </c>
      <c r="D49" s="56" t="inlineStr">
        <is>
          <t>Mon</t>
        </is>
      </c>
      <c r="E49" s="56" t="inlineStr">
        <is>
          <t>Week</t>
        </is>
      </c>
      <c r="F49" s="56">
        <f>IF(ForeCalc!$F$1="Staffed Hours",G49,24)</f>
        <v/>
      </c>
      <c r="G49" s="57">
        <f>IF(COUNTIF(M:M,Calendar!A49)&gt;0,VLOOKUP(A49,M:P,4,FALSE),VLOOKUP(D49,BusData!$A$3:$D$10,4,FALSE))</f>
        <v/>
      </c>
      <c r="H49" s="11">
        <f>F49/SUMIFS($F$2:$F$9997,$B$2:$B$9997,B49,$C$2:$C$9997,C49)</f>
        <v/>
      </c>
      <c r="I49" s="19" t="n">
        <v>1</v>
      </c>
      <c r="J49" s="57" t="n">
        <v>2</v>
      </c>
    </row>
    <row r="50">
      <c r="A50" s="62" t="n">
        <v>46161</v>
      </c>
      <c r="B50" s="19" t="n">
        <v>2026</v>
      </c>
      <c r="C50" s="19" t="n">
        <v>5</v>
      </c>
      <c r="D50" s="56" t="inlineStr">
        <is>
          <t>Tue</t>
        </is>
      </c>
      <c r="E50" s="56" t="inlineStr">
        <is>
          <t>Week</t>
        </is>
      </c>
      <c r="F50" s="56">
        <f>IF(ForeCalc!$F$1="Staffed Hours",G50,24)</f>
        <v/>
      </c>
      <c r="G50" s="57">
        <f>IF(COUNTIF(M:M,Calendar!A50)&gt;0,VLOOKUP(A50,M:P,4,FALSE),VLOOKUP(D50,BusData!$A$3:$D$10,4,FALSE))</f>
        <v/>
      </c>
      <c r="H50" s="11">
        <f>F50/SUMIFS($F$2:$F$9997,$B$2:$B$9997,B50,$C$2:$C$9997,C50)</f>
        <v/>
      </c>
      <c r="I50" s="19" t="n">
        <v>1</v>
      </c>
      <c r="J50" s="57" t="n">
        <v>2</v>
      </c>
    </row>
    <row r="51">
      <c r="A51" s="62" t="n">
        <v>46162</v>
      </c>
      <c r="B51" s="19" t="n">
        <v>2026</v>
      </c>
      <c r="C51" s="19" t="n">
        <v>5</v>
      </c>
      <c r="D51" s="56" t="inlineStr">
        <is>
          <t>Wed</t>
        </is>
      </c>
      <c r="E51" s="56" t="inlineStr">
        <is>
          <t>Week</t>
        </is>
      </c>
      <c r="F51" s="56">
        <f>IF(ForeCalc!$F$1="Staffed Hours",G51,24)</f>
        <v/>
      </c>
      <c r="G51" s="57">
        <f>IF(COUNTIF(M:M,Calendar!A51)&gt;0,VLOOKUP(A51,M:P,4,FALSE),VLOOKUP(D51,BusData!$A$3:$D$10,4,FALSE))</f>
        <v/>
      </c>
      <c r="H51" s="11">
        <f>F51/SUMIFS($F$2:$F$9997,$B$2:$B$9997,B51,$C$2:$C$9997,C51)</f>
        <v/>
      </c>
      <c r="I51" s="19" t="n">
        <v>1</v>
      </c>
      <c r="J51" s="57" t="n">
        <v>2</v>
      </c>
    </row>
    <row r="52">
      <c r="A52" s="62" t="n">
        <v>46163</v>
      </c>
      <c r="B52" s="19" t="n">
        <v>2026</v>
      </c>
      <c r="C52" s="19" t="n">
        <v>5</v>
      </c>
      <c r="D52" s="56" t="inlineStr">
        <is>
          <t>Thu</t>
        </is>
      </c>
      <c r="E52" s="56" t="inlineStr">
        <is>
          <t>Week</t>
        </is>
      </c>
      <c r="F52" s="56">
        <f>IF(ForeCalc!$F$1="Staffed Hours",G52,24)</f>
        <v/>
      </c>
      <c r="G52" s="57">
        <f>IF(COUNTIF(M:M,Calendar!A52)&gt;0,VLOOKUP(A52,M:P,4,FALSE),VLOOKUP(D52,BusData!$A$3:$D$10,4,FALSE))</f>
        <v/>
      </c>
      <c r="H52" s="11">
        <f>F52/SUMIFS($F$2:$F$9997,$B$2:$B$9997,B52,$C$2:$C$9997,C52)</f>
        <v/>
      </c>
      <c r="I52" s="19" t="n">
        <v>1</v>
      </c>
      <c r="J52" s="57" t="n">
        <v>2</v>
      </c>
    </row>
    <row r="53">
      <c r="A53" s="62" t="n">
        <v>46164</v>
      </c>
      <c r="B53" s="19" t="n">
        <v>2026</v>
      </c>
      <c r="C53" s="19" t="n">
        <v>5</v>
      </c>
      <c r="D53" s="56" t="inlineStr">
        <is>
          <t>Fri</t>
        </is>
      </c>
      <c r="E53" s="56" t="inlineStr">
        <is>
          <t>Week</t>
        </is>
      </c>
      <c r="F53" s="56">
        <f>IF(ForeCalc!$F$1="Staffed Hours",G53,24)</f>
        <v/>
      </c>
      <c r="G53" s="57">
        <f>IF(COUNTIF(M:M,Calendar!A53)&gt;0,VLOOKUP(A53,M:P,4,FALSE),VLOOKUP(D53,BusData!$A$3:$D$10,4,FALSE))</f>
        <v/>
      </c>
      <c r="H53" s="11">
        <f>F53/SUMIFS($F$2:$F$9997,$B$2:$B$9997,B53,$C$2:$C$9997,C53)</f>
        <v/>
      </c>
      <c r="I53" s="19" t="n">
        <v>1</v>
      </c>
      <c r="J53" s="57" t="n">
        <v>2</v>
      </c>
    </row>
    <row r="54">
      <c r="A54" s="62" t="n">
        <v>46165</v>
      </c>
      <c r="B54" s="19" t="n">
        <v>2026</v>
      </c>
      <c r="C54" s="19" t="n">
        <v>5</v>
      </c>
      <c r="D54" s="56" t="inlineStr">
        <is>
          <t>Sat</t>
        </is>
      </c>
      <c r="E54" s="56" t="inlineStr">
        <is>
          <t>Sat</t>
        </is>
      </c>
      <c r="F54" s="56">
        <f>IF(ForeCalc!$F$1="Staffed Hours",G54,24)</f>
        <v/>
      </c>
      <c r="G54" s="57">
        <f>IF(COUNTIF(M:M,Calendar!A54)&gt;0,VLOOKUP(A54,M:P,4,FALSE),VLOOKUP(D54,BusData!$A$3:$D$10,4,FALSE))</f>
        <v/>
      </c>
      <c r="H54" s="11">
        <f>F54/SUMIFS($F$2:$F$9997,$B$2:$B$9997,B54,$C$2:$C$9997,C54)</f>
        <v/>
      </c>
      <c r="I54" s="19" t="n">
        <v>1</v>
      </c>
      <c r="J54" s="57" t="n">
        <v>2</v>
      </c>
    </row>
    <row r="55">
      <c r="A55" s="62" t="n">
        <v>46166</v>
      </c>
      <c r="B55" s="19" t="n">
        <v>2026</v>
      </c>
      <c r="C55" s="19" t="n">
        <v>5</v>
      </c>
      <c r="D55" s="56" t="inlineStr">
        <is>
          <t>Sun</t>
        </is>
      </c>
      <c r="E55" s="56" t="inlineStr">
        <is>
          <t>Sun</t>
        </is>
      </c>
      <c r="F55" s="56">
        <f>IF(ForeCalc!$F$1="Staffed Hours",G55,24)</f>
        <v/>
      </c>
      <c r="G55" s="57">
        <f>IF(COUNTIF(M:M,Calendar!A55)&gt;0,VLOOKUP(A55,M:P,4,FALSE),VLOOKUP(D55,BusData!$A$3:$D$10,4,FALSE))</f>
        <v/>
      </c>
      <c r="H55" s="11">
        <f>F55/SUMIFS($F$2:$F$9997,$B$2:$B$9997,B55,$C$2:$C$9997,C55)</f>
        <v/>
      </c>
      <c r="I55" s="19" t="n">
        <v>1</v>
      </c>
      <c r="J55" s="57" t="n">
        <v>2</v>
      </c>
    </row>
    <row r="56">
      <c r="A56" s="62" t="n">
        <v>46167</v>
      </c>
      <c r="B56" s="19" t="n">
        <v>2026</v>
      </c>
      <c r="C56" s="19" t="n">
        <v>5</v>
      </c>
      <c r="D56" s="56" t="inlineStr">
        <is>
          <t>Mon</t>
        </is>
      </c>
      <c r="E56" s="56" t="inlineStr">
        <is>
          <t>Week</t>
        </is>
      </c>
      <c r="F56" s="56">
        <f>IF(ForeCalc!$F$1="Staffed Hours",G56,24)</f>
        <v/>
      </c>
      <c r="G56" s="57">
        <f>IF(COUNTIF(M:M,Calendar!A56)&gt;0,VLOOKUP(A56,M:P,4,FALSE),VLOOKUP(D56,BusData!$A$3:$D$10,4,FALSE))</f>
        <v/>
      </c>
      <c r="H56" s="11">
        <f>F56/SUMIFS($F$2:$F$9997,$B$2:$B$9997,B56,$C$2:$C$9997,C56)</f>
        <v/>
      </c>
      <c r="I56" s="19" t="n">
        <v>1</v>
      </c>
      <c r="J56" s="57" t="n">
        <v>2</v>
      </c>
    </row>
    <row r="57">
      <c r="A57" s="62" t="n">
        <v>46168</v>
      </c>
      <c r="B57" s="19" t="n">
        <v>2026</v>
      </c>
      <c r="C57" s="19" t="n">
        <v>5</v>
      </c>
      <c r="D57" s="56" t="inlineStr">
        <is>
          <t>Tue</t>
        </is>
      </c>
      <c r="E57" s="56" t="inlineStr">
        <is>
          <t>Week</t>
        </is>
      </c>
      <c r="F57" s="56">
        <f>IF(ForeCalc!$F$1="Staffed Hours",G57,24)</f>
        <v/>
      </c>
      <c r="G57" s="57">
        <f>IF(COUNTIF(M:M,Calendar!A57)&gt;0,VLOOKUP(A57,M:P,4,FALSE),VLOOKUP(D57,BusData!$A$3:$D$10,4,FALSE))</f>
        <v/>
      </c>
      <c r="H57" s="11">
        <f>F57/SUMIFS($F$2:$F$9997,$B$2:$B$9997,B57,$C$2:$C$9997,C57)</f>
        <v/>
      </c>
      <c r="I57" s="19" t="n">
        <v>1</v>
      </c>
      <c r="J57" s="57" t="n">
        <v>2</v>
      </c>
    </row>
    <row r="58">
      <c r="A58" s="62" t="n">
        <v>46169</v>
      </c>
      <c r="B58" s="19" t="n">
        <v>2026</v>
      </c>
      <c r="C58" s="19" t="n">
        <v>5</v>
      </c>
      <c r="D58" s="56" t="inlineStr">
        <is>
          <t>Wed</t>
        </is>
      </c>
      <c r="E58" s="56" t="inlineStr">
        <is>
          <t>Week</t>
        </is>
      </c>
      <c r="F58" s="56">
        <f>IF(ForeCalc!$F$1="Staffed Hours",G58,24)</f>
        <v/>
      </c>
      <c r="G58" s="57">
        <f>IF(COUNTIF(M:M,Calendar!A58)&gt;0,VLOOKUP(A58,M:P,4,FALSE),VLOOKUP(D58,BusData!$A$3:$D$10,4,FALSE))</f>
        <v/>
      </c>
      <c r="H58" s="11">
        <f>F58/SUMIFS($F$2:$F$9997,$B$2:$B$9997,B58,$C$2:$C$9997,C58)</f>
        <v/>
      </c>
      <c r="I58" s="19" t="n">
        <v>1</v>
      </c>
      <c r="J58" s="57" t="n">
        <v>2</v>
      </c>
    </row>
    <row r="59">
      <c r="A59" s="62" t="n">
        <v>46170</v>
      </c>
      <c r="B59" s="19" t="n">
        <v>2026</v>
      </c>
      <c r="C59" s="19" t="n">
        <v>5</v>
      </c>
      <c r="D59" s="56" t="inlineStr">
        <is>
          <t>Thu</t>
        </is>
      </c>
      <c r="E59" s="56" t="inlineStr">
        <is>
          <t>Week</t>
        </is>
      </c>
      <c r="F59" s="56">
        <f>IF(ForeCalc!$F$1="Staffed Hours",G59,24)</f>
        <v/>
      </c>
      <c r="G59" s="57">
        <f>IF(COUNTIF(M:M,Calendar!A59)&gt;0,VLOOKUP(A59,M:P,4,FALSE),VLOOKUP(D59,BusData!$A$3:$D$10,4,FALSE))</f>
        <v/>
      </c>
      <c r="H59" s="11">
        <f>F59/SUMIFS($F$2:$F$9997,$B$2:$B$9997,B59,$C$2:$C$9997,C59)</f>
        <v/>
      </c>
      <c r="I59" s="19" t="n">
        <v>1</v>
      </c>
      <c r="J59" s="57" t="n">
        <v>2</v>
      </c>
    </row>
    <row r="60">
      <c r="A60" s="62" t="n">
        <v>46171</v>
      </c>
      <c r="B60" s="19" t="n">
        <v>2026</v>
      </c>
      <c r="C60" s="19" t="n">
        <v>5</v>
      </c>
      <c r="D60" s="56" t="inlineStr">
        <is>
          <t>Fri</t>
        </is>
      </c>
      <c r="E60" s="56" t="inlineStr">
        <is>
          <t>Week</t>
        </is>
      </c>
      <c r="F60" s="56">
        <f>IF(ForeCalc!$F$1="Staffed Hours",G60,24)</f>
        <v/>
      </c>
      <c r="G60" s="57">
        <f>IF(COUNTIF(M:M,Calendar!A60)&gt;0,VLOOKUP(A60,M:P,4,FALSE),VLOOKUP(D60,BusData!$A$3:$D$10,4,FALSE))</f>
        <v/>
      </c>
      <c r="H60" s="11">
        <f>F60/SUMIFS($F$2:$F$9997,$B$2:$B$9997,B60,$C$2:$C$9997,C60)</f>
        <v/>
      </c>
      <c r="I60" s="19" t="n">
        <v>1</v>
      </c>
      <c r="J60" s="57" t="n">
        <v>2</v>
      </c>
    </row>
    <row r="61">
      <c r="A61" s="62" t="n">
        <v>46172</v>
      </c>
      <c r="B61" s="19" t="n">
        <v>2026</v>
      </c>
      <c r="C61" s="19" t="n">
        <v>5</v>
      </c>
      <c r="D61" s="56" t="inlineStr">
        <is>
          <t>Sat</t>
        </is>
      </c>
      <c r="E61" s="56" t="inlineStr">
        <is>
          <t>Sat</t>
        </is>
      </c>
      <c r="F61" s="56">
        <f>IF(ForeCalc!$F$1="Staffed Hours",G61,24)</f>
        <v/>
      </c>
      <c r="G61" s="57">
        <f>IF(COUNTIF(M:M,Calendar!A61)&gt;0,VLOOKUP(A61,M:P,4,FALSE),VLOOKUP(D61,BusData!$A$3:$D$10,4,FALSE))</f>
        <v/>
      </c>
      <c r="H61" s="11">
        <f>F61/SUMIFS($F$2:$F$9997,$B$2:$B$9997,B61,$C$2:$C$9997,C61)</f>
        <v/>
      </c>
      <c r="I61" s="19" t="n">
        <v>1</v>
      </c>
      <c r="J61" s="57" t="n">
        <v>2</v>
      </c>
    </row>
    <row r="62">
      <c r="A62" s="62" t="n">
        <v>46173</v>
      </c>
      <c r="B62" s="19" t="n">
        <v>2026</v>
      </c>
      <c r="C62" s="19" t="n">
        <v>5</v>
      </c>
      <c r="D62" s="56" t="inlineStr">
        <is>
          <t>Sun</t>
        </is>
      </c>
      <c r="E62" s="56" t="inlineStr">
        <is>
          <t>Sun</t>
        </is>
      </c>
      <c r="F62" s="56">
        <f>IF(ForeCalc!$F$1="Staffed Hours",G62,24)</f>
        <v/>
      </c>
      <c r="G62" s="57">
        <f>IF(COUNTIF(M:M,Calendar!A62)&gt;0,VLOOKUP(A62,M:P,4,FALSE),VLOOKUP(D62,BusData!$A$3:$D$10,4,FALSE))</f>
        <v/>
      </c>
      <c r="H62" s="11">
        <f>F62/SUMIFS($F$2:$F$9997,$B$2:$B$9997,B62,$C$2:$C$9997,C62)</f>
        <v/>
      </c>
      <c r="I62" s="19" t="n">
        <v>1</v>
      </c>
      <c r="J62" s="57" t="n">
        <v>2</v>
      </c>
    </row>
    <row r="63">
      <c r="A63" s="62" t="n">
        <v>46174</v>
      </c>
      <c r="B63" s="19" t="n">
        <v>2026</v>
      </c>
      <c r="C63" s="19" t="n">
        <v>6</v>
      </c>
      <c r="D63" s="56" t="inlineStr">
        <is>
          <t>Mon</t>
        </is>
      </c>
      <c r="E63" s="56" t="inlineStr">
        <is>
          <t>Week</t>
        </is>
      </c>
      <c r="F63" s="56">
        <f>IF(ForeCalc!$F$1="Staffed Hours",G63,24)</f>
        <v/>
      </c>
      <c r="G63" s="57">
        <f>IF(COUNTIF(M:M,Calendar!A63)&gt;0,VLOOKUP(A63,M:P,4,FALSE),VLOOKUP(D63,BusData!$A$3:$D$10,4,FALSE))</f>
        <v/>
      </c>
      <c r="H63" s="11">
        <f>F63/SUMIFS($F$2:$F$9997,$B$2:$B$9997,B63,$C$2:$C$9997,C63)</f>
        <v/>
      </c>
      <c r="I63" s="19" t="n">
        <v>1</v>
      </c>
      <c r="J63" s="57" t="n">
        <v>3</v>
      </c>
    </row>
    <row r="64">
      <c r="A64" s="62" t="n">
        <v>46175</v>
      </c>
      <c r="B64" s="19" t="n">
        <v>2026</v>
      </c>
      <c r="C64" s="19" t="n">
        <v>6</v>
      </c>
      <c r="D64" s="56" t="inlineStr">
        <is>
          <t>Tue</t>
        </is>
      </c>
      <c r="E64" s="56" t="inlineStr">
        <is>
          <t>Week</t>
        </is>
      </c>
      <c r="F64" s="56">
        <f>IF(ForeCalc!$F$1="Staffed Hours",G64,24)</f>
        <v/>
      </c>
      <c r="G64" s="57">
        <f>IF(COUNTIF(M:M,Calendar!A64)&gt;0,VLOOKUP(A64,M:P,4,FALSE),VLOOKUP(D64,BusData!$A$3:$D$10,4,FALSE))</f>
        <v/>
      </c>
      <c r="H64" s="11">
        <f>F64/SUMIFS($F$2:$F$9997,$B$2:$B$9997,B64,$C$2:$C$9997,C64)</f>
        <v/>
      </c>
      <c r="I64" s="19" t="n">
        <v>1</v>
      </c>
      <c r="J64" s="57" t="n">
        <v>3</v>
      </c>
    </row>
    <row r="65">
      <c r="A65" s="62" t="n">
        <v>46176</v>
      </c>
      <c r="B65" s="19" t="n">
        <v>2026</v>
      </c>
      <c r="C65" s="19" t="n">
        <v>6</v>
      </c>
      <c r="D65" s="56" t="inlineStr">
        <is>
          <t>Wed</t>
        </is>
      </c>
      <c r="E65" s="56" t="inlineStr">
        <is>
          <t>Week</t>
        </is>
      </c>
      <c r="F65" s="56">
        <f>IF(ForeCalc!$F$1="Staffed Hours",G65,24)</f>
        <v/>
      </c>
      <c r="G65" s="57">
        <f>IF(COUNTIF(M:M,Calendar!A65)&gt;0,VLOOKUP(A65,M:P,4,FALSE),VLOOKUP(D65,BusData!$A$3:$D$10,4,FALSE))</f>
        <v/>
      </c>
      <c r="H65" s="11">
        <f>F65/SUMIFS($F$2:$F$9997,$B$2:$B$9997,B65,$C$2:$C$9997,C65)</f>
        <v/>
      </c>
      <c r="I65" s="19" t="n">
        <v>1</v>
      </c>
      <c r="J65" s="57" t="n">
        <v>3</v>
      </c>
    </row>
    <row r="66">
      <c r="A66" s="62" t="n">
        <v>46177</v>
      </c>
      <c r="B66" s="19" t="n">
        <v>2026</v>
      </c>
      <c r="C66" s="19" t="n">
        <v>6</v>
      </c>
      <c r="D66" s="56" t="inlineStr">
        <is>
          <t>Thu</t>
        </is>
      </c>
      <c r="E66" s="56" t="inlineStr">
        <is>
          <t>Week</t>
        </is>
      </c>
      <c r="F66" s="56">
        <f>IF(ForeCalc!$F$1="Staffed Hours",G66,24)</f>
        <v/>
      </c>
      <c r="G66" s="57">
        <f>IF(COUNTIF(M:M,Calendar!A66)&gt;0,VLOOKUP(A66,M:P,4,FALSE),VLOOKUP(D66,BusData!$A$3:$D$10,4,FALSE))</f>
        <v/>
      </c>
      <c r="H66" s="11">
        <f>F66/SUMIFS($F$2:$F$9997,$B$2:$B$9997,B66,$C$2:$C$9997,C66)</f>
        <v/>
      </c>
      <c r="I66" s="19" t="n">
        <v>1</v>
      </c>
      <c r="J66" s="57" t="n">
        <v>3</v>
      </c>
    </row>
    <row r="67">
      <c r="A67" s="62" t="n">
        <v>46178</v>
      </c>
      <c r="B67" s="19" t="n">
        <v>2026</v>
      </c>
      <c r="C67" s="19" t="n">
        <v>6</v>
      </c>
      <c r="D67" s="56" t="inlineStr">
        <is>
          <t>Fri</t>
        </is>
      </c>
      <c r="E67" s="56" t="inlineStr">
        <is>
          <t>Week</t>
        </is>
      </c>
      <c r="F67" s="56">
        <f>IF(ForeCalc!$F$1="Staffed Hours",G67,24)</f>
        <v/>
      </c>
      <c r="G67" s="57">
        <f>IF(COUNTIF(M:M,Calendar!A67)&gt;0,VLOOKUP(A67,M:P,4,FALSE),VLOOKUP(D67,BusData!$A$3:$D$10,4,FALSE))</f>
        <v/>
      </c>
      <c r="H67" s="11">
        <f>F67/SUMIFS($F$2:$F$9997,$B$2:$B$9997,B67,$C$2:$C$9997,C67)</f>
        <v/>
      </c>
      <c r="I67" s="19" t="n">
        <v>1</v>
      </c>
      <c r="J67" s="57" t="n">
        <v>3</v>
      </c>
    </row>
    <row r="68">
      <c r="A68" s="62" t="n">
        <v>46179</v>
      </c>
      <c r="B68" s="19" t="n">
        <v>2026</v>
      </c>
      <c r="C68" s="19" t="n">
        <v>6</v>
      </c>
      <c r="D68" s="56" t="inlineStr">
        <is>
          <t>Sat</t>
        </is>
      </c>
      <c r="E68" s="56" t="inlineStr">
        <is>
          <t>Sat</t>
        </is>
      </c>
      <c r="F68" s="56">
        <f>IF(ForeCalc!$F$1="Staffed Hours",G68,24)</f>
        <v/>
      </c>
      <c r="G68" s="57">
        <f>IF(COUNTIF(M:M,Calendar!A68)&gt;0,VLOOKUP(A68,M:P,4,FALSE),VLOOKUP(D68,BusData!$A$3:$D$10,4,FALSE))</f>
        <v/>
      </c>
      <c r="H68" s="11">
        <f>F68/SUMIFS($F$2:$F$9997,$B$2:$B$9997,B68,$C$2:$C$9997,C68)</f>
        <v/>
      </c>
      <c r="I68" s="19" t="n">
        <v>1</v>
      </c>
      <c r="J68" s="57" t="n">
        <v>3</v>
      </c>
    </row>
    <row r="69">
      <c r="A69" s="62" t="n">
        <v>46180</v>
      </c>
      <c r="B69" s="19" t="n">
        <v>2026</v>
      </c>
      <c r="C69" s="19" t="n">
        <v>6</v>
      </c>
      <c r="D69" s="56" t="inlineStr">
        <is>
          <t>Sun</t>
        </is>
      </c>
      <c r="E69" s="56" t="inlineStr">
        <is>
          <t>Sun</t>
        </is>
      </c>
      <c r="F69" s="56">
        <f>IF(ForeCalc!$F$1="Staffed Hours",G69,24)</f>
        <v/>
      </c>
      <c r="G69" s="57">
        <f>IF(COUNTIF(M:M,Calendar!A69)&gt;0,VLOOKUP(A69,M:P,4,FALSE),VLOOKUP(D69,BusData!$A$3:$D$10,4,FALSE))</f>
        <v/>
      </c>
      <c r="H69" s="11">
        <f>F69/SUMIFS($F$2:$F$9997,$B$2:$B$9997,B69,$C$2:$C$9997,C69)</f>
        <v/>
      </c>
      <c r="I69" s="19" t="n">
        <v>1</v>
      </c>
      <c r="J69" s="57" t="n">
        <v>3</v>
      </c>
    </row>
    <row r="70">
      <c r="A70" s="62" t="n">
        <v>46181</v>
      </c>
      <c r="B70" s="19" t="n">
        <v>2026</v>
      </c>
      <c r="C70" s="19" t="n">
        <v>6</v>
      </c>
      <c r="D70" s="56" t="inlineStr">
        <is>
          <t>Mon</t>
        </is>
      </c>
      <c r="E70" s="56" t="inlineStr">
        <is>
          <t>Week</t>
        </is>
      </c>
      <c r="F70" s="56">
        <f>IF(ForeCalc!$F$1="Staffed Hours",G70,24)</f>
        <v/>
      </c>
      <c r="G70" s="57">
        <f>IF(COUNTIF(M:M,Calendar!A70)&gt;0,VLOOKUP(A70,M:P,4,FALSE),VLOOKUP(D70,BusData!$A$3:$D$10,4,FALSE))</f>
        <v/>
      </c>
      <c r="H70" s="11">
        <f>F70/SUMIFS($F$2:$F$9997,$B$2:$B$9997,B70,$C$2:$C$9997,C70)</f>
        <v/>
      </c>
      <c r="I70" s="19" t="n">
        <v>1</v>
      </c>
      <c r="J70" s="57" t="n">
        <v>3</v>
      </c>
    </row>
    <row r="71">
      <c r="A71" s="62" t="n">
        <v>46182</v>
      </c>
      <c r="B71" s="19" t="n">
        <v>2026</v>
      </c>
      <c r="C71" s="19" t="n">
        <v>6</v>
      </c>
      <c r="D71" s="56" t="inlineStr">
        <is>
          <t>Tue</t>
        </is>
      </c>
      <c r="E71" s="56" t="inlineStr">
        <is>
          <t>Week</t>
        </is>
      </c>
      <c r="F71" s="56">
        <f>IF(ForeCalc!$F$1="Staffed Hours",G71,24)</f>
        <v/>
      </c>
      <c r="G71" s="57">
        <f>IF(COUNTIF(M:M,Calendar!A71)&gt;0,VLOOKUP(A71,M:P,4,FALSE),VLOOKUP(D71,BusData!$A$3:$D$10,4,FALSE))</f>
        <v/>
      </c>
      <c r="H71" s="11">
        <f>F71/SUMIFS($F$2:$F$9997,$B$2:$B$9997,B71,$C$2:$C$9997,C71)</f>
        <v/>
      </c>
      <c r="I71" s="19" t="n">
        <v>1</v>
      </c>
      <c r="J71" s="57" t="n">
        <v>3</v>
      </c>
    </row>
    <row r="72">
      <c r="A72" s="62" t="n">
        <v>46183</v>
      </c>
      <c r="B72" s="19" t="n">
        <v>2026</v>
      </c>
      <c r="C72" s="19" t="n">
        <v>6</v>
      </c>
      <c r="D72" s="56" t="inlineStr">
        <is>
          <t>Wed</t>
        </is>
      </c>
      <c r="E72" s="56" t="inlineStr">
        <is>
          <t>Week</t>
        </is>
      </c>
      <c r="F72" s="56">
        <f>IF(ForeCalc!$F$1="Staffed Hours",G72,24)</f>
        <v/>
      </c>
      <c r="G72" s="57">
        <f>IF(COUNTIF(M:M,Calendar!A72)&gt;0,VLOOKUP(A72,M:P,4,FALSE),VLOOKUP(D72,BusData!$A$3:$D$10,4,FALSE))</f>
        <v/>
      </c>
      <c r="H72" s="11">
        <f>F72/SUMIFS($F$2:$F$9997,$B$2:$B$9997,B72,$C$2:$C$9997,C72)</f>
        <v/>
      </c>
      <c r="I72" s="19" t="n">
        <v>1</v>
      </c>
      <c r="J72" s="57" t="n">
        <v>3</v>
      </c>
    </row>
    <row r="73">
      <c r="A73" s="62" t="n">
        <v>46184</v>
      </c>
      <c r="B73" s="19" t="n">
        <v>2026</v>
      </c>
      <c r="C73" s="19" t="n">
        <v>6</v>
      </c>
      <c r="D73" s="56" t="inlineStr">
        <is>
          <t>Thu</t>
        </is>
      </c>
      <c r="E73" s="56" t="inlineStr">
        <is>
          <t>Week</t>
        </is>
      </c>
      <c r="F73" s="56">
        <f>IF(ForeCalc!$F$1="Staffed Hours",G73,24)</f>
        <v/>
      </c>
      <c r="G73" s="57">
        <f>IF(COUNTIF(M:M,Calendar!A73)&gt;0,VLOOKUP(A73,M:P,4,FALSE),VLOOKUP(D73,BusData!$A$3:$D$10,4,FALSE))</f>
        <v/>
      </c>
      <c r="H73" s="11">
        <f>F73/SUMIFS($F$2:$F$9997,$B$2:$B$9997,B73,$C$2:$C$9997,C73)</f>
        <v/>
      </c>
      <c r="I73" s="19" t="n">
        <v>1</v>
      </c>
      <c r="J73" s="57" t="n">
        <v>3</v>
      </c>
    </row>
    <row r="74">
      <c r="A74" s="62" t="n">
        <v>46185</v>
      </c>
      <c r="B74" s="19" t="n">
        <v>2026</v>
      </c>
      <c r="C74" s="19" t="n">
        <v>6</v>
      </c>
      <c r="D74" s="56" t="inlineStr">
        <is>
          <t>Fri</t>
        </is>
      </c>
      <c r="E74" s="56" t="inlineStr">
        <is>
          <t>Week</t>
        </is>
      </c>
      <c r="F74" s="56">
        <f>IF(ForeCalc!$F$1="Staffed Hours",G74,24)</f>
        <v/>
      </c>
      <c r="G74" s="57">
        <f>IF(COUNTIF(M:M,Calendar!A74)&gt;0,VLOOKUP(A74,M:P,4,FALSE),VLOOKUP(D74,BusData!$A$3:$D$10,4,FALSE))</f>
        <v/>
      </c>
      <c r="H74" s="11">
        <f>F74/SUMIFS($F$2:$F$9997,$B$2:$B$9997,B74,$C$2:$C$9997,C74)</f>
        <v/>
      </c>
      <c r="I74" s="19" t="n">
        <v>1</v>
      </c>
      <c r="J74" s="57" t="n">
        <v>3</v>
      </c>
    </row>
    <row r="75">
      <c r="A75" s="62" t="n">
        <v>46186</v>
      </c>
      <c r="B75" s="19" t="n">
        <v>2026</v>
      </c>
      <c r="C75" s="19" t="n">
        <v>6</v>
      </c>
      <c r="D75" s="56" t="inlineStr">
        <is>
          <t>Sat</t>
        </is>
      </c>
      <c r="E75" s="56" t="inlineStr">
        <is>
          <t>Sat</t>
        </is>
      </c>
      <c r="F75" s="56">
        <f>IF(ForeCalc!$F$1="Staffed Hours",G75,24)</f>
        <v/>
      </c>
      <c r="G75" s="57">
        <f>IF(COUNTIF(M:M,Calendar!A75)&gt;0,VLOOKUP(A75,M:P,4,FALSE),VLOOKUP(D75,BusData!$A$3:$D$10,4,FALSE))</f>
        <v/>
      </c>
      <c r="H75" s="11">
        <f>F75/SUMIFS($F$2:$F$9997,$B$2:$B$9997,B75,$C$2:$C$9997,C75)</f>
        <v/>
      </c>
      <c r="I75" s="19" t="n">
        <v>1</v>
      </c>
      <c r="J75" s="57" t="n">
        <v>3</v>
      </c>
    </row>
    <row r="76">
      <c r="A76" s="62" t="n">
        <v>46187</v>
      </c>
      <c r="B76" s="19" t="n">
        <v>2026</v>
      </c>
      <c r="C76" s="19" t="n">
        <v>6</v>
      </c>
      <c r="D76" s="56" t="inlineStr">
        <is>
          <t>Sun</t>
        </is>
      </c>
      <c r="E76" s="56" t="inlineStr">
        <is>
          <t>Sun</t>
        </is>
      </c>
      <c r="F76" s="56">
        <f>IF(ForeCalc!$F$1="Staffed Hours",G76,24)</f>
        <v/>
      </c>
      <c r="G76" s="57">
        <f>IF(COUNTIF(M:M,Calendar!A76)&gt;0,VLOOKUP(A76,M:P,4,FALSE),VLOOKUP(D76,BusData!$A$3:$D$10,4,FALSE))</f>
        <v/>
      </c>
      <c r="H76" s="11">
        <f>F76/SUMIFS($F$2:$F$9997,$B$2:$B$9997,B76,$C$2:$C$9997,C76)</f>
        <v/>
      </c>
      <c r="I76" s="19" t="n">
        <v>1</v>
      </c>
      <c r="J76" s="57" t="n">
        <v>3</v>
      </c>
    </row>
    <row r="77">
      <c r="A77" s="62" t="n">
        <v>46188</v>
      </c>
      <c r="B77" s="19" t="n">
        <v>2026</v>
      </c>
      <c r="C77" s="19" t="n">
        <v>6</v>
      </c>
      <c r="D77" s="56" t="inlineStr">
        <is>
          <t>Mon</t>
        </is>
      </c>
      <c r="E77" s="56" t="inlineStr">
        <is>
          <t>Week</t>
        </is>
      </c>
      <c r="F77" s="56">
        <f>IF(ForeCalc!$F$1="Staffed Hours",G77,24)</f>
        <v/>
      </c>
      <c r="G77" s="57">
        <f>IF(COUNTIF(M:M,Calendar!A77)&gt;0,VLOOKUP(A77,M:P,4,FALSE),VLOOKUP(D77,BusData!$A$3:$D$10,4,FALSE))</f>
        <v/>
      </c>
      <c r="H77" s="11">
        <f>F77/SUMIFS($F$2:$F$9997,$B$2:$B$9997,B77,$C$2:$C$9997,C77)</f>
        <v/>
      </c>
      <c r="I77" s="19" t="n">
        <v>1</v>
      </c>
      <c r="J77" s="57" t="n">
        <v>3</v>
      </c>
    </row>
    <row r="78">
      <c r="A78" s="62" t="n">
        <v>46189</v>
      </c>
      <c r="B78" s="19" t="n">
        <v>2026</v>
      </c>
      <c r="C78" s="19" t="n">
        <v>6</v>
      </c>
      <c r="D78" s="56" t="inlineStr">
        <is>
          <t>Tue</t>
        </is>
      </c>
      <c r="E78" s="56" t="inlineStr">
        <is>
          <t>Week</t>
        </is>
      </c>
      <c r="F78" s="56">
        <f>IF(ForeCalc!$F$1="Staffed Hours",G78,24)</f>
        <v/>
      </c>
      <c r="G78" s="57">
        <f>IF(COUNTIF(M:M,Calendar!A78)&gt;0,VLOOKUP(A78,M:P,4,FALSE),VLOOKUP(D78,BusData!$A$3:$D$10,4,FALSE))</f>
        <v/>
      </c>
      <c r="H78" s="11">
        <f>F78/SUMIFS($F$2:$F$9997,$B$2:$B$9997,B78,$C$2:$C$9997,C78)</f>
        <v/>
      </c>
      <c r="I78" s="19" t="n">
        <v>1</v>
      </c>
      <c r="J78" s="57" t="n">
        <v>3</v>
      </c>
    </row>
    <row r="79">
      <c r="A79" s="62" t="n">
        <v>46190</v>
      </c>
      <c r="B79" s="19" t="n">
        <v>2026</v>
      </c>
      <c r="C79" s="19" t="n">
        <v>6</v>
      </c>
      <c r="D79" s="56" t="inlineStr">
        <is>
          <t>Wed</t>
        </is>
      </c>
      <c r="E79" s="56" t="inlineStr">
        <is>
          <t>Week</t>
        </is>
      </c>
      <c r="F79" s="56">
        <f>IF(ForeCalc!$F$1="Staffed Hours",G79,24)</f>
        <v/>
      </c>
      <c r="G79" s="57">
        <f>IF(COUNTIF(M:M,Calendar!A79)&gt;0,VLOOKUP(A79,M:P,4,FALSE),VLOOKUP(D79,BusData!$A$3:$D$10,4,FALSE))</f>
        <v/>
      </c>
      <c r="H79" s="11">
        <f>F79/SUMIFS($F$2:$F$9997,$B$2:$B$9997,B79,$C$2:$C$9997,C79)</f>
        <v/>
      </c>
      <c r="I79" s="19" t="n">
        <v>1</v>
      </c>
      <c r="J79" s="57" t="n">
        <v>3</v>
      </c>
    </row>
    <row r="80">
      <c r="A80" s="62" t="n">
        <v>46191</v>
      </c>
      <c r="B80" s="19" t="n">
        <v>2026</v>
      </c>
      <c r="C80" s="19" t="n">
        <v>6</v>
      </c>
      <c r="D80" s="56" t="inlineStr">
        <is>
          <t>Thu</t>
        </is>
      </c>
      <c r="E80" s="56" t="inlineStr">
        <is>
          <t>Week</t>
        </is>
      </c>
      <c r="F80" s="56">
        <f>IF(ForeCalc!$F$1="Staffed Hours",G80,24)</f>
        <v/>
      </c>
      <c r="G80" s="57">
        <f>IF(COUNTIF(M:M,Calendar!A80)&gt;0,VLOOKUP(A80,M:P,4,FALSE),VLOOKUP(D80,BusData!$A$3:$D$10,4,FALSE))</f>
        <v/>
      </c>
      <c r="H80" s="11">
        <f>F80/SUMIFS($F$2:$F$9997,$B$2:$B$9997,B80,$C$2:$C$9997,C80)</f>
        <v/>
      </c>
      <c r="I80" s="19" t="n">
        <v>1</v>
      </c>
      <c r="J80" s="57" t="n">
        <v>3</v>
      </c>
    </row>
    <row r="81">
      <c r="A81" s="62" t="n">
        <v>46192</v>
      </c>
      <c r="B81" s="19" t="n">
        <v>2026</v>
      </c>
      <c r="C81" s="19" t="n">
        <v>6</v>
      </c>
      <c r="D81" s="56" t="inlineStr">
        <is>
          <t>Fri</t>
        </is>
      </c>
      <c r="E81" s="56" t="inlineStr">
        <is>
          <t>Week</t>
        </is>
      </c>
      <c r="F81" s="56">
        <f>IF(ForeCalc!$F$1="Staffed Hours",G81,24)</f>
        <v/>
      </c>
      <c r="G81" s="57">
        <f>IF(COUNTIF(M:M,Calendar!A81)&gt;0,VLOOKUP(A81,M:P,4,FALSE),VLOOKUP(D81,BusData!$A$3:$D$10,4,FALSE))</f>
        <v/>
      </c>
      <c r="H81" s="11">
        <f>F81/SUMIFS($F$2:$F$9997,$B$2:$B$9997,B81,$C$2:$C$9997,C81)</f>
        <v/>
      </c>
      <c r="I81" s="19" t="n">
        <v>1</v>
      </c>
      <c r="J81" s="57" t="n">
        <v>3</v>
      </c>
    </row>
    <row r="82">
      <c r="A82" s="62" t="n">
        <v>46193</v>
      </c>
      <c r="B82" s="19" t="n">
        <v>2026</v>
      </c>
      <c r="C82" s="19" t="n">
        <v>6</v>
      </c>
      <c r="D82" s="56" t="inlineStr">
        <is>
          <t>Sat</t>
        </is>
      </c>
      <c r="E82" s="56" t="inlineStr">
        <is>
          <t>Sat</t>
        </is>
      </c>
      <c r="F82" s="56">
        <f>IF(ForeCalc!$F$1="Staffed Hours",G82,24)</f>
        <v/>
      </c>
      <c r="G82" s="57">
        <f>IF(COUNTIF(M:M,Calendar!A82)&gt;0,VLOOKUP(A82,M:P,4,FALSE),VLOOKUP(D82,BusData!$A$3:$D$10,4,FALSE))</f>
        <v/>
      </c>
      <c r="H82" s="11">
        <f>F82/SUMIFS($F$2:$F$9997,$B$2:$B$9997,B82,$C$2:$C$9997,C82)</f>
        <v/>
      </c>
      <c r="I82" s="19" t="n">
        <v>1</v>
      </c>
      <c r="J82" s="57" t="n">
        <v>3</v>
      </c>
    </row>
    <row r="83">
      <c r="A83" s="62" t="n">
        <v>46194</v>
      </c>
      <c r="B83" s="19" t="n">
        <v>2026</v>
      </c>
      <c r="C83" s="19" t="n">
        <v>6</v>
      </c>
      <c r="D83" s="56" t="inlineStr">
        <is>
          <t>Sun</t>
        </is>
      </c>
      <c r="E83" s="56" t="inlineStr">
        <is>
          <t>Sun</t>
        </is>
      </c>
      <c r="F83" s="56">
        <f>IF(ForeCalc!$F$1="Staffed Hours",G83,24)</f>
        <v/>
      </c>
      <c r="G83" s="57">
        <f>IF(COUNTIF(M:M,Calendar!A83)&gt;0,VLOOKUP(A83,M:P,4,FALSE),VLOOKUP(D83,BusData!$A$3:$D$10,4,FALSE))</f>
        <v/>
      </c>
      <c r="H83" s="11">
        <f>F83/SUMIFS($F$2:$F$9997,$B$2:$B$9997,B83,$C$2:$C$9997,C83)</f>
        <v/>
      </c>
      <c r="I83" s="19" t="n">
        <v>1</v>
      </c>
      <c r="J83" s="57" t="n">
        <v>3</v>
      </c>
    </row>
    <row r="84">
      <c r="A84" s="62" t="n">
        <v>46195</v>
      </c>
      <c r="B84" s="19" t="n">
        <v>2026</v>
      </c>
      <c r="C84" s="19" t="n">
        <v>6</v>
      </c>
      <c r="D84" s="56" t="inlineStr">
        <is>
          <t>Mon</t>
        </is>
      </c>
      <c r="E84" s="56" t="inlineStr">
        <is>
          <t>Week</t>
        </is>
      </c>
      <c r="F84" s="56">
        <f>IF(ForeCalc!$F$1="Staffed Hours",G84,24)</f>
        <v/>
      </c>
      <c r="G84" s="57">
        <f>IF(COUNTIF(M:M,Calendar!A84)&gt;0,VLOOKUP(A84,M:P,4,FALSE),VLOOKUP(D84,BusData!$A$3:$D$10,4,FALSE))</f>
        <v/>
      </c>
      <c r="H84" s="11">
        <f>F84/SUMIFS($F$2:$F$9997,$B$2:$B$9997,B84,$C$2:$C$9997,C84)</f>
        <v/>
      </c>
      <c r="I84" s="19" t="n">
        <v>1</v>
      </c>
      <c r="J84" s="57" t="n">
        <v>3</v>
      </c>
    </row>
    <row r="85">
      <c r="A85" s="62" t="n">
        <v>46196</v>
      </c>
      <c r="B85" s="19" t="n">
        <v>2026</v>
      </c>
      <c r="C85" s="19" t="n">
        <v>6</v>
      </c>
      <c r="D85" s="56" t="inlineStr">
        <is>
          <t>Tue</t>
        </is>
      </c>
      <c r="E85" s="56" t="inlineStr">
        <is>
          <t>Week</t>
        </is>
      </c>
      <c r="F85" s="56">
        <f>IF(ForeCalc!$F$1="Staffed Hours",G85,24)</f>
        <v/>
      </c>
      <c r="G85" s="57">
        <f>IF(COUNTIF(M:M,Calendar!A85)&gt;0,VLOOKUP(A85,M:P,4,FALSE),VLOOKUP(D85,BusData!$A$3:$D$10,4,FALSE))</f>
        <v/>
      </c>
      <c r="H85" s="11">
        <f>F85/SUMIFS($F$2:$F$9997,$B$2:$B$9997,B85,$C$2:$C$9997,C85)</f>
        <v/>
      </c>
      <c r="I85" s="19" t="n">
        <v>1</v>
      </c>
      <c r="J85" s="57" t="n">
        <v>3</v>
      </c>
    </row>
    <row r="86">
      <c r="A86" s="62" t="n">
        <v>46197</v>
      </c>
      <c r="B86" s="19" t="n">
        <v>2026</v>
      </c>
      <c r="C86" s="19" t="n">
        <v>6</v>
      </c>
      <c r="D86" s="56" t="inlineStr">
        <is>
          <t>Wed</t>
        </is>
      </c>
      <c r="E86" s="56" t="inlineStr">
        <is>
          <t>Week</t>
        </is>
      </c>
      <c r="F86" s="56">
        <f>IF(ForeCalc!$F$1="Staffed Hours",G86,24)</f>
        <v/>
      </c>
      <c r="G86" s="57">
        <f>IF(COUNTIF(M:M,Calendar!A86)&gt;0,VLOOKUP(A86,M:P,4,FALSE),VLOOKUP(D86,BusData!$A$3:$D$10,4,FALSE))</f>
        <v/>
      </c>
      <c r="H86" s="11">
        <f>F86/SUMIFS($F$2:$F$9997,$B$2:$B$9997,B86,$C$2:$C$9997,C86)</f>
        <v/>
      </c>
      <c r="I86" s="19" t="n">
        <v>1</v>
      </c>
      <c r="J86" s="57" t="n">
        <v>3</v>
      </c>
    </row>
    <row r="87">
      <c r="A87" s="62" t="n">
        <v>46198</v>
      </c>
      <c r="B87" s="19" t="n">
        <v>2026</v>
      </c>
      <c r="C87" s="19" t="n">
        <v>6</v>
      </c>
      <c r="D87" s="56" t="inlineStr">
        <is>
          <t>Thu</t>
        </is>
      </c>
      <c r="E87" s="56" t="inlineStr">
        <is>
          <t>Week</t>
        </is>
      </c>
      <c r="F87" s="56">
        <f>IF(ForeCalc!$F$1="Staffed Hours",G87,24)</f>
        <v/>
      </c>
      <c r="G87" s="57">
        <f>IF(COUNTIF(M:M,Calendar!A87)&gt;0,VLOOKUP(A87,M:P,4,FALSE),VLOOKUP(D87,BusData!$A$3:$D$10,4,FALSE))</f>
        <v/>
      </c>
      <c r="H87" s="11">
        <f>F87/SUMIFS($F$2:$F$9997,$B$2:$B$9997,B87,$C$2:$C$9997,C87)</f>
        <v/>
      </c>
      <c r="I87" s="19" t="n">
        <v>1</v>
      </c>
      <c r="J87" s="57" t="n">
        <v>3</v>
      </c>
    </row>
    <row r="88">
      <c r="A88" s="62" t="n">
        <v>46199</v>
      </c>
      <c r="B88" s="19" t="n">
        <v>2026</v>
      </c>
      <c r="C88" s="19" t="n">
        <v>6</v>
      </c>
      <c r="D88" s="56" t="inlineStr">
        <is>
          <t>Fri</t>
        </is>
      </c>
      <c r="E88" s="56" t="inlineStr">
        <is>
          <t>Week</t>
        </is>
      </c>
      <c r="F88" s="56">
        <f>IF(ForeCalc!$F$1="Staffed Hours",G88,24)</f>
        <v/>
      </c>
      <c r="G88" s="57">
        <f>IF(COUNTIF(M:M,Calendar!A88)&gt;0,VLOOKUP(A88,M:P,4,FALSE),VLOOKUP(D88,BusData!$A$3:$D$10,4,FALSE))</f>
        <v/>
      </c>
      <c r="H88" s="11">
        <f>F88/SUMIFS($F$2:$F$9997,$B$2:$B$9997,B88,$C$2:$C$9997,C88)</f>
        <v/>
      </c>
      <c r="I88" s="19" t="n">
        <v>1</v>
      </c>
      <c r="J88" s="57" t="n">
        <v>3</v>
      </c>
    </row>
    <row r="89">
      <c r="A89" s="62" t="n">
        <v>46200</v>
      </c>
      <c r="B89" s="19" t="n">
        <v>2026</v>
      </c>
      <c r="C89" s="19" t="n">
        <v>6</v>
      </c>
      <c r="D89" s="56" t="inlineStr">
        <is>
          <t>Sat</t>
        </is>
      </c>
      <c r="E89" s="56" t="inlineStr">
        <is>
          <t>Sat</t>
        </is>
      </c>
      <c r="F89" s="56">
        <f>IF(ForeCalc!$F$1="Staffed Hours",G89,24)</f>
        <v/>
      </c>
      <c r="G89" s="57">
        <f>IF(COUNTIF(M:M,Calendar!A89)&gt;0,VLOOKUP(A89,M:P,4,FALSE),VLOOKUP(D89,BusData!$A$3:$D$10,4,FALSE))</f>
        <v/>
      </c>
      <c r="H89" s="11">
        <f>F89/SUMIFS($F$2:$F$9997,$B$2:$B$9997,B89,$C$2:$C$9997,C89)</f>
        <v/>
      </c>
      <c r="I89" s="19" t="n">
        <v>1</v>
      </c>
      <c r="J89" s="57" t="n">
        <v>3</v>
      </c>
    </row>
    <row r="90">
      <c r="A90" s="62" t="n">
        <v>46201</v>
      </c>
      <c r="B90" s="19" t="n">
        <v>2026</v>
      </c>
      <c r="C90" s="19" t="n">
        <v>6</v>
      </c>
      <c r="D90" s="56" t="inlineStr">
        <is>
          <t>Sun</t>
        </is>
      </c>
      <c r="E90" s="56" t="inlineStr">
        <is>
          <t>Sun</t>
        </is>
      </c>
      <c r="F90" s="56">
        <f>IF(ForeCalc!$F$1="Staffed Hours",G90,24)</f>
        <v/>
      </c>
      <c r="G90" s="57">
        <f>IF(COUNTIF(M:M,Calendar!A90)&gt;0,VLOOKUP(A90,M:P,4,FALSE),VLOOKUP(D90,BusData!$A$3:$D$10,4,FALSE))</f>
        <v/>
      </c>
      <c r="H90" s="11">
        <f>F90/SUMIFS($F$2:$F$9997,$B$2:$B$9997,B90,$C$2:$C$9997,C90)</f>
        <v/>
      </c>
      <c r="I90" s="19" t="n">
        <v>1</v>
      </c>
      <c r="J90" s="57" t="n">
        <v>3</v>
      </c>
    </row>
    <row r="91">
      <c r="A91" s="62" t="n">
        <v>46202</v>
      </c>
      <c r="B91" s="19" t="n">
        <v>2026</v>
      </c>
      <c r="C91" s="19" t="n">
        <v>6</v>
      </c>
      <c r="D91" s="56" t="inlineStr">
        <is>
          <t>Mon</t>
        </is>
      </c>
      <c r="E91" s="56" t="inlineStr">
        <is>
          <t>Week</t>
        </is>
      </c>
      <c r="F91" s="56">
        <f>IF(ForeCalc!$F$1="Staffed Hours",G91,24)</f>
        <v/>
      </c>
      <c r="G91" s="57">
        <f>IF(COUNTIF(M:M,Calendar!A91)&gt;0,VLOOKUP(A91,M:P,4,FALSE),VLOOKUP(D91,BusData!$A$3:$D$10,4,FALSE))</f>
        <v/>
      </c>
      <c r="H91" s="11">
        <f>F91/SUMIFS($F$2:$F$9997,$B$2:$B$9997,B91,$C$2:$C$9997,C91)</f>
        <v/>
      </c>
      <c r="I91" s="19" t="n">
        <v>1</v>
      </c>
      <c r="J91" s="57" t="n">
        <v>3</v>
      </c>
    </row>
    <row r="92">
      <c r="A92" s="62" t="n">
        <v>46203</v>
      </c>
      <c r="B92" s="19" t="n">
        <v>2026</v>
      </c>
      <c r="C92" s="19" t="n">
        <v>6</v>
      </c>
      <c r="D92" s="56" t="inlineStr">
        <is>
          <t>Tue</t>
        </is>
      </c>
      <c r="E92" s="56" t="inlineStr">
        <is>
          <t>Week</t>
        </is>
      </c>
      <c r="F92" s="56">
        <f>IF(ForeCalc!$F$1="Staffed Hours",G92,24)</f>
        <v/>
      </c>
      <c r="G92" s="57">
        <f>IF(COUNTIF(M:M,Calendar!A92)&gt;0,VLOOKUP(A92,M:P,4,FALSE),VLOOKUP(D92,BusData!$A$3:$D$10,4,FALSE))</f>
        <v/>
      </c>
      <c r="H92" s="11">
        <f>F92/SUMIFS($F$2:$F$9997,$B$2:$B$9997,B92,$C$2:$C$9997,C92)</f>
        <v/>
      </c>
      <c r="I92" s="19" t="n">
        <v>1</v>
      </c>
      <c r="J92" s="57" t="n">
        <v>3</v>
      </c>
    </row>
    <row r="93">
      <c r="A93" s="62" t="n">
        <v>46204</v>
      </c>
      <c r="B93" s="19" t="n">
        <v>2026</v>
      </c>
      <c r="C93" s="19" t="n">
        <v>7</v>
      </c>
      <c r="D93" s="56" t="inlineStr">
        <is>
          <t>Wed</t>
        </is>
      </c>
      <c r="E93" s="56" t="inlineStr">
        <is>
          <t>Week</t>
        </is>
      </c>
      <c r="F93" s="56">
        <f>IF(ForeCalc!$F$1="Staffed Hours",G93,24)</f>
        <v/>
      </c>
      <c r="G93" s="57">
        <f>IF(COUNTIF(M:M,Calendar!A93)&gt;0,VLOOKUP(A93,M:P,4,FALSE),VLOOKUP(D93,BusData!$A$3:$D$10,4,FALSE))</f>
        <v/>
      </c>
      <c r="H93" s="11">
        <f>F93/SUMIFS($F$2:$F$9997,$B$2:$B$9997,B93,$C$2:$C$9997,C93)</f>
        <v/>
      </c>
      <c r="I93" s="19" t="n">
        <v>1</v>
      </c>
      <c r="J93" s="57" t="n">
        <v>4</v>
      </c>
    </row>
    <row r="94">
      <c r="A94" s="62" t="n">
        <v>46205</v>
      </c>
      <c r="B94" s="19" t="n">
        <v>2026</v>
      </c>
      <c r="C94" s="19" t="n">
        <v>7</v>
      </c>
      <c r="D94" s="56" t="inlineStr">
        <is>
          <t>Thu</t>
        </is>
      </c>
      <c r="E94" s="56" t="inlineStr">
        <is>
          <t>Week</t>
        </is>
      </c>
      <c r="F94" s="56">
        <f>IF(ForeCalc!$F$1="Staffed Hours",G94,24)</f>
        <v/>
      </c>
      <c r="G94" s="57">
        <f>IF(COUNTIF(M:M,Calendar!A94)&gt;0,VLOOKUP(A94,M:P,4,FALSE),VLOOKUP(D94,BusData!$A$3:$D$10,4,FALSE))</f>
        <v/>
      </c>
      <c r="H94" s="11">
        <f>F94/SUMIFS($F$2:$F$9997,$B$2:$B$9997,B94,$C$2:$C$9997,C94)</f>
        <v/>
      </c>
      <c r="I94" s="19" t="n">
        <v>1</v>
      </c>
      <c r="J94" s="57" t="n">
        <v>4</v>
      </c>
    </row>
    <row r="95">
      <c r="A95" s="62" t="n">
        <v>46206</v>
      </c>
      <c r="B95" s="19" t="n">
        <v>2026</v>
      </c>
      <c r="C95" s="19" t="n">
        <v>7</v>
      </c>
      <c r="D95" s="56" t="inlineStr">
        <is>
          <t>Fri</t>
        </is>
      </c>
      <c r="E95" s="56" t="inlineStr">
        <is>
          <t>Week</t>
        </is>
      </c>
      <c r="F95" s="56">
        <f>IF(ForeCalc!$F$1="Staffed Hours",G95,24)</f>
        <v/>
      </c>
      <c r="G95" s="57">
        <f>IF(COUNTIF(M:M,Calendar!A95)&gt;0,VLOOKUP(A95,M:P,4,FALSE),VLOOKUP(D95,BusData!$A$3:$D$10,4,FALSE))</f>
        <v/>
      </c>
      <c r="H95" s="11">
        <f>F95/SUMIFS($F$2:$F$9997,$B$2:$B$9997,B95,$C$2:$C$9997,C95)</f>
        <v/>
      </c>
      <c r="I95" s="19" t="n">
        <v>1</v>
      </c>
      <c r="J95" s="57" t="n">
        <v>4</v>
      </c>
    </row>
    <row r="96">
      <c r="A96" s="62" t="n">
        <v>46207</v>
      </c>
      <c r="B96" s="19" t="n">
        <v>2026</v>
      </c>
      <c r="C96" s="19" t="n">
        <v>7</v>
      </c>
      <c r="D96" s="56" t="inlineStr">
        <is>
          <t>Sat</t>
        </is>
      </c>
      <c r="E96" s="56" t="inlineStr">
        <is>
          <t>Sat</t>
        </is>
      </c>
      <c r="F96" s="56">
        <f>IF(ForeCalc!$F$1="Staffed Hours",G96,24)</f>
        <v/>
      </c>
      <c r="G96" s="57">
        <f>IF(COUNTIF(M:M,Calendar!A96)&gt;0,VLOOKUP(A96,M:P,4,FALSE),VLOOKUP(D96,BusData!$A$3:$D$10,4,FALSE))</f>
        <v/>
      </c>
      <c r="H96" s="11">
        <f>F96/SUMIFS($F$2:$F$9997,$B$2:$B$9997,B96,$C$2:$C$9997,C96)</f>
        <v/>
      </c>
      <c r="I96" s="19" t="n">
        <v>1</v>
      </c>
      <c r="J96" s="57" t="n">
        <v>4</v>
      </c>
    </row>
    <row r="97">
      <c r="A97" s="62" t="n">
        <v>46208</v>
      </c>
      <c r="B97" s="19" t="n">
        <v>2026</v>
      </c>
      <c r="C97" s="19" t="n">
        <v>7</v>
      </c>
      <c r="D97" s="56" t="inlineStr">
        <is>
          <t>Sun</t>
        </is>
      </c>
      <c r="E97" s="56" t="inlineStr">
        <is>
          <t>Sun</t>
        </is>
      </c>
      <c r="F97" s="56">
        <f>IF(ForeCalc!$F$1="Staffed Hours",G97,24)</f>
        <v/>
      </c>
      <c r="G97" s="57">
        <f>IF(COUNTIF(M:M,Calendar!A97)&gt;0,VLOOKUP(A97,M:P,4,FALSE),VLOOKUP(D97,BusData!$A$3:$D$10,4,FALSE))</f>
        <v/>
      </c>
      <c r="H97" s="11">
        <f>F97/SUMIFS($F$2:$F$9997,$B$2:$B$9997,B97,$C$2:$C$9997,C97)</f>
        <v/>
      </c>
      <c r="I97" s="19" t="n">
        <v>1</v>
      </c>
      <c r="J97" s="57" t="n">
        <v>4</v>
      </c>
    </row>
    <row r="98">
      <c r="A98" s="62" t="n">
        <v>46209</v>
      </c>
      <c r="B98" s="19" t="n">
        <v>2026</v>
      </c>
      <c r="C98" s="19" t="n">
        <v>7</v>
      </c>
      <c r="D98" s="56" t="inlineStr">
        <is>
          <t>Mon</t>
        </is>
      </c>
      <c r="E98" s="56" t="inlineStr">
        <is>
          <t>Week</t>
        </is>
      </c>
      <c r="F98" s="56">
        <f>IF(ForeCalc!$F$1="Staffed Hours",G98,24)</f>
        <v/>
      </c>
      <c r="G98" s="57">
        <f>IF(COUNTIF(M:M,Calendar!A98)&gt;0,VLOOKUP(A98,M:P,4,FALSE),VLOOKUP(D98,BusData!$A$3:$D$10,4,FALSE))</f>
        <v/>
      </c>
      <c r="H98" s="11">
        <f>F98/SUMIFS($F$2:$F$9997,$B$2:$B$9997,B98,$C$2:$C$9997,C98)</f>
        <v/>
      </c>
      <c r="I98" s="19" t="n">
        <v>1</v>
      </c>
      <c r="J98" s="57" t="n">
        <v>4</v>
      </c>
    </row>
    <row r="99">
      <c r="A99" s="62" t="n">
        <v>46210</v>
      </c>
      <c r="B99" s="19" t="n">
        <v>2026</v>
      </c>
      <c r="C99" s="19" t="n">
        <v>7</v>
      </c>
      <c r="D99" s="56" t="inlineStr">
        <is>
          <t>Tue</t>
        </is>
      </c>
      <c r="E99" s="56" t="inlineStr">
        <is>
          <t>Week</t>
        </is>
      </c>
      <c r="F99" s="56">
        <f>IF(ForeCalc!$F$1="Staffed Hours",G99,24)</f>
        <v/>
      </c>
      <c r="G99" s="57">
        <f>IF(COUNTIF(M:M,Calendar!A99)&gt;0,VLOOKUP(A99,M:P,4,FALSE),VLOOKUP(D99,BusData!$A$3:$D$10,4,FALSE))</f>
        <v/>
      </c>
      <c r="H99" s="11">
        <f>F99/SUMIFS($F$2:$F$9997,$B$2:$B$9997,B99,$C$2:$C$9997,C99)</f>
        <v/>
      </c>
      <c r="I99" s="19" t="n">
        <v>1</v>
      </c>
      <c r="J99" s="57" t="n">
        <v>4</v>
      </c>
    </row>
    <row r="100">
      <c r="A100" s="62" t="n">
        <v>46211</v>
      </c>
      <c r="B100" s="19" t="n">
        <v>2026</v>
      </c>
      <c r="C100" s="19" t="n">
        <v>7</v>
      </c>
      <c r="D100" s="56" t="inlineStr">
        <is>
          <t>Wed</t>
        </is>
      </c>
      <c r="E100" s="56" t="inlineStr">
        <is>
          <t>Week</t>
        </is>
      </c>
      <c r="F100" s="56">
        <f>IF(ForeCalc!$F$1="Staffed Hours",G100,24)</f>
        <v/>
      </c>
      <c r="G100" s="57">
        <f>IF(COUNTIF(M:M,Calendar!A100)&gt;0,VLOOKUP(A100,M:P,4,FALSE),VLOOKUP(D100,BusData!$A$3:$D$10,4,FALSE))</f>
        <v/>
      </c>
      <c r="H100" s="11">
        <f>F100/SUMIFS($F$2:$F$9997,$B$2:$B$9997,B100,$C$2:$C$9997,C100)</f>
        <v/>
      </c>
      <c r="I100" s="19" t="n">
        <v>1</v>
      </c>
      <c r="J100" s="57" t="n">
        <v>4</v>
      </c>
    </row>
    <row r="101">
      <c r="A101" s="62" t="n">
        <v>46212</v>
      </c>
      <c r="B101" s="19" t="n">
        <v>2026</v>
      </c>
      <c r="C101" s="19" t="n">
        <v>7</v>
      </c>
      <c r="D101" s="56" t="inlineStr">
        <is>
          <t>Thu</t>
        </is>
      </c>
      <c r="E101" s="56" t="inlineStr">
        <is>
          <t>Week</t>
        </is>
      </c>
      <c r="F101" s="56">
        <f>IF(ForeCalc!$F$1="Staffed Hours",G101,24)</f>
        <v/>
      </c>
      <c r="G101" s="57">
        <f>IF(COUNTIF(M:M,Calendar!A101)&gt;0,VLOOKUP(A101,M:P,4,FALSE),VLOOKUP(D101,BusData!$A$3:$D$10,4,FALSE))</f>
        <v/>
      </c>
      <c r="H101" s="11">
        <f>F101/SUMIFS($F$2:$F$9997,$B$2:$B$9997,B101,$C$2:$C$9997,C101)</f>
        <v/>
      </c>
      <c r="I101" s="19" t="n">
        <v>1</v>
      </c>
      <c r="J101" s="57" t="n">
        <v>4</v>
      </c>
    </row>
    <row r="102">
      <c r="A102" s="62" t="n">
        <v>46213</v>
      </c>
      <c r="B102" s="19" t="n">
        <v>2026</v>
      </c>
      <c r="C102" s="19" t="n">
        <v>7</v>
      </c>
      <c r="D102" s="56" t="inlineStr">
        <is>
          <t>Fri</t>
        </is>
      </c>
      <c r="E102" s="56" t="inlineStr">
        <is>
          <t>Week</t>
        </is>
      </c>
      <c r="F102" s="56">
        <f>IF(ForeCalc!$F$1="Staffed Hours",G102,24)</f>
        <v/>
      </c>
      <c r="G102" s="57">
        <f>IF(COUNTIF(M:M,Calendar!A102)&gt;0,VLOOKUP(A102,M:P,4,FALSE),VLOOKUP(D102,BusData!$A$3:$D$10,4,FALSE))</f>
        <v/>
      </c>
      <c r="H102" s="11">
        <f>F102/SUMIFS($F$2:$F$9997,$B$2:$B$9997,B102,$C$2:$C$9997,C102)</f>
        <v/>
      </c>
      <c r="I102" s="19" t="n">
        <v>1</v>
      </c>
      <c r="J102" s="57" t="n">
        <v>4</v>
      </c>
    </row>
    <row r="103">
      <c r="A103" s="62" t="n">
        <v>46214</v>
      </c>
      <c r="B103" s="19" t="n">
        <v>2026</v>
      </c>
      <c r="C103" s="19" t="n">
        <v>7</v>
      </c>
      <c r="D103" s="56" t="inlineStr">
        <is>
          <t>Sat</t>
        </is>
      </c>
      <c r="E103" s="56" t="inlineStr">
        <is>
          <t>Sat</t>
        </is>
      </c>
      <c r="F103" s="56">
        <f>IF(ForeCalc!$F$1="Staffed Hours",G103,24)</f>
        <v/>
      </c>
      <c r="G103" s="57">
        <f>IF(COUNTIF(M:M,Calendar!A103)&gt;0,VLOOKUP(A103,M:P,4,FALSE),VLOOKUP(D103,BusData!$A$3:$D$10,4,FALSE))</f>
        <v/>
      </c>
      <c r="H103" s="11">
        <f>F103/SUMIFS($F$2:$F$9997,$B$2:$B$9997,B103,$C$2:$C$9997,C103)</f>
        <v/>
      </c>
      <c r="I103" s="19" t="n">
        <v>1</v>
      </c>
      <c r="J103" s="57" t="n">
        <v>4</v>
      </c>
    </row>
    <row r="104">
      <c r="A104" s="62" t="n">
        <v>46215</v>
      </c>
      <c r="B104" s="19" t="n">
        <v>2026</v>
      </c>
      <c r="C104" s="19" t="n">
        <v>7</v>
      </c>
      <c r="D104" s="56" t="inlineStr">
        <is>
          <t>Sun</t>
        </is>
      </c>
      <c r="E104" s="56" t="inlineStr">
        <is>
          <t>Sun</t>
        </is>
      </c>
      <c r="F104" s="56">
        <f>IF(ForeCalc!$F$1="Staffed Hours",G104,24)</f>
        <v/>
      </c>
      <c r="G104" s="57">
        <f>IF(COUNTIF(M:M,Calendar!A104)&gt;0,VLOOKUP(A104,M:P,4,FALSE),VLOOKUP(D104,BusData!$A$3:$D$10,4,FALSE))</f>
        <v/>
      </c>
      <c r="H104" s="11">
        <f>F104/SUMIFS($F$2:$F$9997,$B$2:$B$9997,B104,$C$2:$C$9997,C104)</f>
        <v/>
      </c>
      <c r="I104" s="19" t="n">
        <v>1</v>
      </c>
      <c r="J104" s="57" t="n">
        <v>4</v>
      </c>
    </row>
    <row r="105">
      <c r="A105" s="62" t="n">
        <v>46216</v>
      </c>
      <c r="B105" s="19" t="n">
        <v>2026</v>
      </c>
      <c r="C105" s="19" t="n">
        <v>7</v>
      </c>
      <c r="D105" s="56" t="inlineStr">
        <is>
          <t>Mon</t>
        </is>
      </c>
      <c r="E105" s="56" t="inlineStr">
        <is>
          <t>Week</t>
        </is>
      </c>
      <c r="F105" s="56">
        <f>IF(ForeCalc!$F$1="Staffed Hours",G105,24)</f>
        <v/>
      </c>
      <c r="G105" s="57">
        <f>IF(COUNTIF(M:M,Calendar!A105)&gt;0,VLOOKUP(A105,M:P,4,FALSE),VLOOKUP(D105,BusData!$A$3:$D$10,4,FALSE))</f>
        <v/>
      </c>
      <c r="H105" s="11">
        <f>F105/SUMIFS($F$2:$F$9997,$B$2:$B$9997,B105,$C$2:$C$9997,C105)</f>
        <v/>
      </c>
      <c r="I105" s="19" t="n">
        <v>1</v>
      </c>
      <c r="J105" s="57" t="n">
        <v>4</v>
      </c>
    </row>
    <row r="106">
      <c r="A106" s="62" t="n">
        <v>46217</v>
      </c>
      <c r="B106" s="19" t="n">
        <v>2026</v>
      </c>
      <c r="C106" s="19" t="n">
        <v>7</v>
      </c>
      <c r="D106" s="56" t="inlineStr">
        <is>
          <t>Tue</t>
        </is>
      </c>
      <c r="E106" s="56" t="inlineStr">
        <is>
          <t>Week</t>
        </is>
      </c>
      <c r="F106" s="56">
        <f>IF(ForeCalc!$F$1="Staffed Hours",G106,24)</f>
        <v/>
      </c>
      <c r="G106" s="57">
        <f>IF(COUNTIF(M:M,Calendar!A106)&gt;0,VLOOKUP(A106,M:P,4,FALSE),VLOOKUP(D106,BusData!$A$3:$D$10,4,FALSE))</f>
        <v/>
      </c>
      <c r="H106" s="11">
        <f>F106/SUMIFS($F$2:$F$9997,$B$2:$B$9997,B106,$C$2:$C$9997,C106)</f>
        <v/>
      </c>
      <c r="I106" s="19" t="n">
        <v>1</v>
      </c>
      <c r="J106" s="57" t="n">
        <v>4</v>
      </c>
    </row>
    <row r="107">
      <c r="A107" s="62" t="n">
        <v>46218</v>
      </c>
      <c r="B107" s="19" t="n">
        <v>2026</v>
      </c>
      <c r="C107" s="19" t="n">
        <v>7</v>
      </c>
      <c r="D107" s="56" t="inlineStr">
        <is>
          <t>Wed</t>
        </is>
      </c>
      <c r="E107" s="56" t="inlineStr">
        <is>
          <t>Week</t>
        </is>
      </c>
      <c r="F107" s="56">
        <f>IF(ForeCalc!$F$1="Staffed Hours",G107,24)</f>
        <v/>
      </c>
      <c r="G107" s="57">
        <f>IF(COUNTIF(M:M,Calendar!A107)&gt;0,VLOOKUP(A107,M:P,4,FALSE),VLOOKUP(D107,BusData!$A$3:$D$10,4,FALSE))</f>
        <v/>
      </c>
      <c r="H107" s="11">
        <f>F107/SUMIFS($F$2:$F$9997,$B$2:$B$9997,B107,$C$2:$C$9997,C107)</f>
        <v/>
      </c>
      <c r="I107" s="19" t="n">
        <v>1</v>
      </c>
      <c r="J107" s="57" t="n">
        <v>4</v>
      </c>
    </row>
    <row r="108">
      <c r="A108" s="62" t="n">
        <v>46219</v>
      </c>
      <c r="B108" s="19" t="n">
        <v>2026</v>
      </c>
      <c r="C108" s="19" t="n">
        <v>7</v>
      </c>
      <c r="D108" s="56" t="inlineStr">
        <is>
          <t>Thu</t>
        </is>
      </c>
      <c r="E108" s="56" t="inlineStr">
        <is>
          <t>Week</t>
        </is>
      </c>
      <c r="F108" s="56">
        <f>IF(ForeCalc!$F$1="Staffed Hours",G108,24)</f>
        <v/>
      </c>
      <c r="G108" s="57">
        <f>IF(COUNTIF(M:M,Calendar!A108)&gt;0,VLOOKUP(A108,M:P,4,FALSE),VLOOKUP(D108,BusData!$A$3:$D$10,4,FALSE))</f>
        <v/>
      </c>
      <c r="H108" s="11">
        <f>F108/SUMIFS($F$2:$F$9997,$B$2:$B$9997,B108,$C$2:$C$9997,C108)</f>
        <v/>
      </c>
      <c r="I108" s="19" t="n">
        <v>1</v>
      </c>
      <c r="J108" s="57" t="n">
        <v>4</v>
      </c>
    </row>
    <row r="109">
      <c r="A109" s="62" t="n">
        <v>46220</v>
      </c>
      <c r="B109" s="19" t="n">
        <v>2026</v>
      </c>
      <c r="C109" s="19" t="n">
        <v>7</v>
      </c>
      <c r="D109" s="56" t="inlineStr">
        <is>
          <t>Fri</t>
        </is>
      </c>
      <c r="E109" s="56" t="inlineStr">
        <is>
          <t>Week</t>
        </is>
      </c>
      <c r="F109" s="56">
        <f>IF(ForeCalc!$F$1="Staffed Hours",G109,24)</f>
        <v/>
      </c>
      <c r="G109" s="57">
        <f>IF(COUNTIF(M:M,Calendar!A109)&gt;0,VLOOKUP(A109,M:P,4,FALSE),VLOOKUP(D109,BusData!$A$3:$D$10,4,FALSE))</f>
        <v/>
      </c>
      <c r="H109" s="11">
        <f>F109/SUMIFS($F$2:$F$9997,$B$2:$B$9997,B109,$C$2:$C$9997,C109)</f>
        <v/>
      </c>
      <c r="I109" s="19" t="n">
        <v>1</v>
      </c>
      <c r="J109" s="57" t="n">
        <v>4</v>
      </c>
    </row>
    <row r="110">
      <c r="A110" s="62" t="n">
        <v>46221</v>
      </c>
      <c r="B110" s="19" t="n">
        <v>2026</v>
      </c>
      <c r="C110" s="19" t="n">
        <v>7</v>
      </c>
      <c r="D110" s="56" t="inlineStr">
        <is>
          <t>Sat</t>
        </is>
      </c>
      <c r="E110" s="56" t="inlineStr">
        <is>
          <t>Sat</t>
        </is>
      </c>
      <c r="F110" s="56">
        <f>IF(ForeCalc!$F$1="Staffed Hours",G110,24)</f>
        <v/>
      </c>
      <c r="G110" s="57">
        <f>IF(COUNTIF(M:M,Calendar!A110)&gt;0,VLOOKUP(A110,M:P,4,FALSE),VLOOKUP(D110,BusData!$A$3:$D$10,4,FALSE))</f>
        <v/>
      </c>
      <c r="H110" s="11">
        <f>F110/SUMIFS($F$2:$F$9997,$B$2:$B$9997,B110,$C$2:$C$9997,C110)</f>
        <v/>
      </c>
      <c r="I110" s="19" t="n">
        <v>1</v>
      </c>
      <c r="J110" s="57" t="n">
        <v>4</v>
      </c>
    </row>
    <row r="111">
      <c r="A111" s="62" t="n">
        <v>46222</v>
      </c>
      <c r="B111" s="19" t="n">
        <v>2026</v>
      </c>
      <c r="C111" s="19" t="n">
        <v>7</v>
      </c>
      <c r="D111" s="56" t="inlineStr">
        <is>
          <t>Sun</t>
        </is>
      </c>
      <c r="E111" s="56" t="inlineStr">
        <is>
          <t>Sun</t>
        </is>
      </c>
      <c r="F111" s="56">
        <f>IF(ForeCalc!$F$1="Staffed Hours",G111,24)</f>
        <v/>
      </c>
      <c r="G111" s="57">
        <f>IF(COUNTIF(M:M,Calendar!A111)&gt;0,VLOOKUP(A111,M:P,4,FALSE),VLOOKUP(D111,BusData!$A$3:$D$10,4,FALSE))</f>
        <v/>
      </c>
      <c r="H111" s="11">
        <f>F111/SUMIFS($F$2:$F$9997,$B$2:$B$9997,B111,$C$2:$C$9997,C111)</f>
        <v/>
      </c>
      <c r="I111" s="19" t="n">
        <v>1</v>
      </c>
      <c r="J111" s="57" t="n">
        <v>4</v>
      </c>
    </row>
    <row r="112">
      <c r="A112" s="62" t="n">
        <v>46223</v>
      </c>
      <c r="B112" s="19" t="n">
        <v>2026</v>
      </c>
      <c r="C112" s="19" t="n">
        <v>7</v>
      </c>
      <c r="D112" s="56" t="inlineStr">
        <is>
          <t>Mon</t>
        </is>
      </c>
      <c r="E112" s="56" t="inlineStr">
        <is>
          <t>Week</t>
        </is>
      </c>
      <c r="F112" s="56">
        <f>IF(ForeCalc!$F$1="Staffed Hours",G112,24)</f>
        <v/>
      </c>
      <c r="G112" s="57">
        <f>IF(COUNTIF(M:M,Calendar!A112)&gt;0,VLOOKUP(A112,M:P,4,FALSE),VLOOKUP(D112,BusData!$A$3:$D$10,4,FALSE))</f>
        <v/>
      </c>
      <c r="H112" s="11">
        <f>F112/SUMIFS($F$2:$F$9997,$B$2:$B$9997,B112,$C$2:$C$9997,C112)</f>
        <v/>
      </c>
      <c r="I112" s="19" t="n">
        <v>1</v>
      </c>
      <c r="J112" s="57" t="n">
        <v>4</v>
      </c>
    </row>
    <row r="113">
      <c r="A113" s="62" t="n">
        <v>46224</v>
      </c>
      <c r="B113" s="19" t="n">
        <v>2026</v>
      </c>
      <c r="C113" s="19" t="n">
        <v>7</v>
      </c>
      <c r="D113" s="56" t="inlineStr">
        <is>
          <t>Tue</t>
        </is>
      </c>
      <c r="E113" s="56" t="inlineStr">
        <is>
          <t>Week</t>
        </is>
      </c>
      <c r="F113" s="56">
        <f>IF(ForeCalc!$F$1="Staffed Hours",G113,24)</f>
        <v/>
      </c>
      <c r="G113" s="57">
        <f>IF(COUNTIF(M:M,Calendar!A113)&gt;0,VLOOKUP(A113,M:P,4,FALSE),VLOOKUP(D113,BusData!$A$3:$D$10,4,FALSE))</f>
        <v/>
      </c>
      <c r="H113" s="11">
        <f>F113/SUMIFS($F$2:$F$9997,$B$2:$B$9997,B113,$C$2:$C$9997,C113)</f>
        <v/>
      </c>
      <c r="I113" s="19" t="n">
        <v>1</v>
      </c>
      <c r="J113" s="57" t="n">
        <v>4</v>
      </c>
    </row>
    <row r="114">
      <c r="A114" s="62" t="n">
        <v>46225</v>
      </c>
      <c r="B114" s="19" t="n">
        <v>2026</v>
      </c>
      <c r="C114" s="19" t="n">
        <v>7</v>
      </c>
      <c r="D114" s="56" t="inlineStr">
        <is>
          <t>Wed</t>
        </is>
      </c>
      <c r="E114" s="56" t="inlineStr">
        <is>
          <t>Week</t>
        </is>
      </c>
      <c r="F114" s="56">
        <f>IF(ForeCalc!$F$1="Staffed Hours",G114,24)</f>
        <v/>
      </c>
      <c r="G114" s="57">
        <f>IF(COUNTIF(M:M,Calendar!A114)&gt;0,VLOOKUP(A114,M:P,4,FALSE),VLOOKUP(D114,BusData!$A$3:$D$10,4,FALSE))</f>
        <v/>
      </c>
      <c r="H114" s="11">
        <f>F114/SUMIFS($F$2:$F$9997,$B$2:$B$9997,B114,$C$2:$C$9997,C114)</f>
        <v/>
      </c>
      <c r="I114" s="19" t="n">
        <v>1</v>
      </c>
      <c r="J114" s="57" t="n">
        <v>4</v>
      </c>
    </row>
    <row r="115">
      <c r="A115" s="62" t="n">
        <v>46226</v>
      </c>
      <c r="B115" s="19" t="n">
        <v>2026</v>
      </c>
      <c r="C115" s="19" t="n">
        <v>7</v>
      </c>
      <c r="D115" s="56" t="inlineStr">
        <is>
          <t>Thu</t>
        </is>
      </c>
      <c r="E115" s="56" t="inlineStr">
        <is>
          <t>Week</t>
        </is>
      </c>
      <c r="F115" s="56">
        <f>IF(ForeCalc!$F$1="Staffed Hours",G115,24)</f>
        <v/>
      </c>
      <c r="G115" s="57">
        <f>IF(COUNTIF(M:M,Calendar!A115)&gt;0,VLOOKUP(A115,M:P,4,FALSE),VLOOKUP(D115,BusData!$A$3:$D$10,4,FALSE))</f>
        <v/>
      </c>
      <c r="H115" s="11">
        <f>F115/SUMIFS($F$2:$F$9997,$B$2:$B$9997,B115,$C$2:$C$9997,C115)</f>
        <v/>
      </c>
      <c r="I115" s="19" t="n">
        <v>1</v>
      </c>
      <c r="J115" s="57" t="n">
        <v>4</v>
      </c>
    </row>
    <row r="116">
      <c r="A116" s="62" t="n">
        <v>46227</v>
      </c>
      <c r="B116" s="19" t="n">
        <v>2026</v>
      </c>
      <c r="C116" s="19" t="n">
        <v>7</v>
      </c>
      <c r="D116" s="56" t="inlineStr">
        <is>
          <t>Fri</t>
        </is>
      </c>
      <c r="E116" s="56" t="inlineStr">
        <is>
          <t>Week</t>
        </is>
      </c>
      <c r="F116" s="56">
        <f>IF(ForeCalc!$F$1="Staffed Hours",G116,24)</f>
        <v/>
      </c>
      <c r="G116" s="57">
        <f>IF(COUNTIF(M:M,Calendar!A116)&gt;0,VLOOKUP(A116,M:P,4,FALSE),VLOOKUP(D116,BusData!$A$3:$D$10,4,FALSE))</f>
        <v/>
      </c>
      <c r="H116" s="11">
        <f>F116/SUMIFS($F$2:$F$9997,$B$2:$B$9997,B116,$C$2:$C$9997,C116)</f>
        <v/>
      </c>
      <c r="I116" s="19" t="n">
        <v>1</v>
      </c>
      <c r="J116" s="57" t="n">
        <v>4</v>
      </c>
    </row>
    <row r="117">
      <c r="A117" s="62" t="n">
        <v>46228</v>
      </c>
      <c r="B117" s="19" t="n">
        <v>2026</v>
      </c>
      <c r="C117" s="19" t="n">
        <v>7</v>
      </c>
      <c r="D117" s="56" t="inlineStr">
        <is>
          <t>Sat</t>
        </is>
      </c>
      <c r="E117" s="56" t="inlineStr">
        <is>
          <t>Sat</t>
        </is>
      </c>
      <c r="F117" s="56">
        <f>IF(ForeCalc!$F$1="Staffed Hours",G117,24)</f>
        <v/>
      </c>
      <c r="G117" s="57">
        <f>IF(COUNTIF(M:M,Calendar!A117)&gt;0,VLOOKUP(A117,M:P,4,FALSE),VLOOKUP(D117,BusData!$A$3:$D$10,4,FALSE))</f>
        <v/>
      </c>
      <c r="H117" s="11">
        <f>F117/SUMIFS($F$2:$F$9997,$B$2:$B$9997,B117,$C$2:$C$9997,C117)</f>
        <v/>
      </c>
      <c r="I117" s="19" t="n">
        <v>1</v>
      </c>
      <c r="J117" s="57" t="n">
        <v>4</v>
      </c>
    </row>
    <row r="118">
      <c r="A118" s="62" t="n">
        <v>46229</v>
      </c>
      <c r="B118" s="19" t="n">
        <v>2026</v>
      </c>
      <c r="C118" s="19" t="n">
        <v>7</v>
      </c>
      <c r="D118" s="56" t="inlineStr">
        <is>
          <t>Sun</t>
        </is>
      </c>
      <c r="E118" s="56" t="inlineStr">
        <is>
          <t>Sun</t>
        </is>
      </c>
      <c r="F118" s="56">
        <f>IF(ForeCalc!$F$1="Staffed Hours",G118,24)</f>
        <v/>
      </c>
      <c r="G118" s="57">
        <f>IF(COUNTIF(M:M,Calendar!A118)&gt;0,VLOOKUP(A118,M:P,4,FALSE),VLOOKUP(D118,BusData!$A$3:$D$10,4,FALSE))</f>
        <v/>
      </c>
      <c r="H118" s="11">
        <f>F118/SUMIFS($F$2:$F$9997,$B$2:$B$9997,B118,$C$2:$C$9997,C118)</f>
        <v/>
      </c>
      <c r="I118" s="19" t="n">
        <v>1</v>
      </c>
      <c r="J118" s="57" t="n">
        <v>4</v>
      </c>
    </row>
    <row r="119">
      <c r="A119" s="62" t="n">
        <v>46230</v>
      </c>
      <c r="B119" s="19" t="n">
        <v>2026</v>
      </c>
      <c r="C119" s="19" t="n">
        <v>7</v>
      </c>
      <c r="D119" s="56" t="inlineStr">
        <is>
          <t>Mon</t>
        </is>
      </c>
      <c r="E119" s="56" t="inlineStr">
        <is>
          <t>Week</t>
        </is>
      </c>
      <c r="F119" s="56">
        <f>IF(ForeCalc!$F$1="Staffed Hours",G119,24)</f>
        <v/>
      </c>
      <c r="G119" s="57">
        <f>IF(COUNTIF(M:M,Calendar!A119)&gt;0,VLOOKUP(A119,M:P,4,FALSE),VLOOKUP(D119,BusData!$A$3:$D$10,4,FALSE))</f>
        <v/>
      </c>
      <c r="H119" s="11">
        <f>F119/SUMIFS($F$2:$F$9997,$B$2:$B$9997,B119,$C$2:$C$9997,C119)</f>
        <v/>
      </c>
      <c r="I119" s="19" t="n">
        <v>1</v>
      </c>
      <c r="J119" s="57" t="n">
        <v>4</v>
      </c>
    </row>
    <row r="120">
      <c r="A120" s="62" t="n">
        <v>46231</v>
      </c>
      <c r="B120" s="19" t="n">
        <v>2026</v>
      </c>
      <c r="C120" s="19" t="n">
        <v>7</v>
      </c>
      <c r="D120" s="56" t="inlineStr">
        <is>
          <t>Tue</t>
        </is>
      </c>
      <c r="E120" s="56" t="inlineStr">
        <is>
          <t>Week</t>
        </is>
      </c>
      <c r="F120" s="56">
        <f>IF(ForeCalc!$F$1="Staffed Hours",G120,24)</f>
        <v/>
      </c>
      <c r="G120" s="57">
        <f>IF(COUNTIF(M:M,Calendar!A120)&gt;0,VLOOKUP(A120,M:P,4,FALSE),VLOOKUP(D120,BusData!$A$3:$D$10,4,FALSE))</f>
        <v/>
      </c>
      <c r="H120" s="11">
        <f>F120/SUMIFS($F$2:$F$9997,$B$2:$B$9997,B120,$C$2:$C$9997,C120)</f>
        <v/>
      </c>
      <c r="I120" s="19" t="n">
        <v>1</v>
      </c>
      <c r="J120" s="57" t="n">
        <v>4</v>
      </c>
    </row>
    <row r="121">
      <c r="A121" s="62" t="n">
        <v>46232</v>
      </c>
      <c r="B121" s="19" t="n">
        <v>2026</v>
      </c>
      <c r="C121" s="19" t="n">
        <v>7</v>
      </c>
      <c r="D121" s="56" t="inlineStr">
        <is>
          <t>Wed</t>
        </is>
      </c>
      <c r="E121" s="56" t="inlineStr">
        <is>
          <t>Week</t>
        </is>
      </c>
      <c r="F121" s="56">
        <f>IF(ForeCalc!$F$1="Staffed Hours",G121,24)</f>
        <v/>
      </c>
      <c r="G121" s="57">
        <f>IF(COUNTIF(M:M,Calendar!A121)&gt;0,VLOOKUP(A121,M:P,4,FALSE),VLOOKUP(D121,BusData!$A$3:$D$10,4,FALSE))</f>
        <v/>
      </c>
      <c r="H121" s="11">
        <f>F121/SUMIFS($F$2:$F$9997,$B$2:$B$9997,B121,$C$2:$C$9997,C121)</f>
        <v/>
      </c>
      <c r="I121" s="19" t="n">
        <v>1</v>
      </c>
      <c r="J121" s="57" t="n">
        <v>4</v>
      </c>
    </row>
    <row r="122">
      <c r="A122" s="62" t="n">
        <v>46233</v>
      </c>
      <c r="B122" s="19" t="n">
        <v>2026</v>
      </c>
      <c r="C122" s="19" t="n">
        <v>7</v>
      </c>
      <c r="D122" s="56" t="inlineStr">
        <is>
          <t>Thu</t>
        </is>
      </c>
      <c r="E122" s="56" t="inlineStr">
        <is>
          <t>Week</t>
        </is>
      </c>
      <c r="F122" s="56">
        <f>IF(ForeCalc!$F$1="Staffed Hours",G122,24)</f>
        <v/>
      </c>
      <c r="G122" s="57">
        <f>IF(COUNTIF(M:M,Calendar!A122)&gt;0,VLOOKUP(A122,M:P,4,FALSE),VLOOKUP(D122,BusData!$A$3:$D$10,4,FALSE))</f>
        <v/>
      </c>
      <c r="H122" s="11">
        <f>F122/SUMIFS($F$2:$F$9997,$B$2:$B$9997,B122,$C$2:$C$9997,C122)</f>
        <v/>
      </c>
      <c r="I122" s="19" t="n">
        <v>1</v>
      </c>
      <c r="J122" s="57" t="n">
        <v>4</v>
      </c>
    </row>
    <row r="123">
      <c r="A123" s="62" t="n">
        <v>46234</v>
      </c>
      <c r="B123" s="19" t="n">
        <v>2026</v>
      </c>
      <c r="C123" s="19" t="n">
        <v>7</v>
      </c>
      <c r="D123" s="56" t="inlineStr">
        <is>
          <t>Fri</t>
        </is>
      </c>
      <c r="E123" s="56" t="inlineStr">
        <is>
          <t>Week</t>
        </is>
      </c>
      <c r="F123" s="56">
        <f>IF(ForeCalc!$F$1="Staffed Hours",G123,24)</f>
        <v/>
      </c>
      <c r="G123" s="57">
        <f>IF(COUNTIF(M:M,Calendar!A123)&gt;0,VLOOKUP(A123,M:P,4,FALSE),VLOOKUP(D123,BusData!$A$3:$D$10,4,FALSE))</f>
        <v/>
      </c>
      <c r="H123" s="11">
        <f>F123/SUMIFS($F$2:$F$9997,$B$2:$B$9997,B123,$C$2:$C$9997,C123)</f>
        <v/>
      </c>
      <c r="I123" s="19" t="n">
        <v>1</v>
      </c>
      <c r="J123" s="57" t="n">
        <v>4</v>
      </c>
    </row>
    <row r="124">
      <c r="A124" s="62" t="n">
        <v>46235</v>
      </c>
      <c r="B124" s="19" t="n">
        <v>2026</v>
      </c>
      <c r="C124" s="19" t="n">
        <v>8</v>
      </c>
      <c r="D124" s="56" t="inlineStr">
        <is>
          <t>Sat</t>
        </is>
      </c>
      <c r="E124" s="56" t="inlineStr">
        <is>
          <t>Sat</t>
        </is>
      </c>
      <c r="F124" s="56">
        <f>IF(ForeCalc!$F$1="Staffed Hours",G124,24)</f>
        <v/>
      </c>
      <c r="G124" s="57">
        <f>IF(COUNTIF(M:M,Calendar!A124)&gt;0,VLOOKUP(A124,M:P,4,FALSE),VLOOKUP(D124,BusData!$A$3:$D$10,4,FALSE))</f>
        <v/>
      </c>
      <c r="H124" s="11">
        <f>F124/SUMIFS($F$2:$F$9997,$B$2:$B$9997,B124,$C$2:$C$9997,C124)</f>
        <v/>
      </c>
      <c r="I124" s="19" t="n">
        <v>1</v>
      </c>
      <c r="J124" s="57" t="n">
        <v>5</v>
      </c>
    </row>
    <row r="125">
      <c r="A125" s="62" t="n">
        <v>46236</v>
      </c>
      <c r="B125" s="19" t="n">
        <v>2026</v>
      </c>
      <c r="C125" s="19" t="n">
        <v>8</v>
      </c>
      <c r="D125" s="56" t="inlineStr">
        <is>
          <t>Sun</t>
        </is>
      </c>
      <c r="E125" s="56" t="inlineStr">
        <is>
          <t>Sun</t>
        </is>
      </c>
      <c r="F125" s="56">
        <f>IF(ForeCalc!$F$1="Staffed Hours",G125,24)</f>
        <v/>
      </c>
      <c r="G125" s="57">
        <f>IF(COUNTIF(M:M,Calendar!A125)&gt;0,VLOOKUP(A125,M:P,4,FALSE),VLOOKUP(D125,BusData!$A$3:$D$10,4,FALSE))</f>
        <v/>
      </c>
      <c r="H125" s="11">
        <f>F125/SUMIFS($F$2:$F$9997,$B$2:$B$9997,B125,$C$2:$C$9997,C125)</f>
        <v/>
      </c>
      <c r="I125" s="19" t="n">
        <v>1</v>
      </c>
      <c r="J125" s="57" t="n">
        <v>5</v>
      </c>
    </row>
    <row r="126">
      <c r="A126" s="62" t="n">
        <v>46237</v>
      </c>
      <c r="B126" s="19" t="n">
        <v>2026</v>
      </c>
      <c r="C126" s="19" t="n">
        <v>8</v>
      </c>
      <c r="D126" s="56" t="inlineStr">
        <is>
          <t>Mon</t>
        </is>
      </c>
      <c r="E126" s="56" t="inlineStr">
        <is>
          <t>Week</t>
        </is>
      </c>
      <c r="F126" s="56">
        <f>IF(ForeCalc!$F$1="Staffed Hours",G126,24)</f>
        <v/>
      </c>
      <c r="G126" s="57">
        <f>IF(COUNTIF(M:M,Calendar!A126)&gt;0,VLOOKUP(A126,M:P,4,FALSE),VLOOKUP(D126,BusData!$A$3:$D$10,4,FALSE))</f>
        <v/>
      </c>
      <c r="H126" s="11">
        <f>F126/SUMIFS($F$2:$F$9997,$B$2:$B$9997,B126,$C$2:$C$9997,C126)</f>
        <v/>
      </c>
      <c r="I126" s="19" t="n">
        <v>1</v>
      </c>
      <c r="J126" s="57" t="n">
        <v>5</v>
      </c>
    </row>
    <row r="127">
      <c r="A127" s="62" t="n">
        <v>46238</v>
      </c>
      <c r="B127" s="19" t="n">
        <v>2026</v>
      </c>
      <c r="C127" s="19" t="n">
        <v>8</v>
      </c>
      <c r="D127" s="56" t="inlineStr">
        <is>
          <t>Tue</t>
        </is>
      </c>
      <c r="E127" s="56" t="inlineStr">
        <is>
          <t>Week</t>
        </is>
      </c>
      <c r="F127" s="56">
        <f>IF(ForeCalc!$F$1="Staffed Hours",G127,24)</f>
        <v/>
      </c>
      <c r="G127" s="57">
        <f>IF(COUNTIF(M:M,Calendar!A127)&gt;0,VLOOKUP(A127,M:P,4,FALSE),VLOOKUP(D127,BusData!$A$3:$D$10,4,FALSE))</f>
        <v/>
      </c>
      <c r="H127" s="11">
        <f>F127/SUMIFS($F$2:$F$9997,$B$2:$B$9997,B127,$C$2:$C$9997,C127)</f>
        <v/>
      </c>
      <c r="I127" s="19" t="n">
        <v>1</v>
      </c>
      <c r="J127" s="57" t="n">
        <v>5</v>
      </c>
    </row>
    <row r="128">
      <c r="A128" s="62" t="n">
        <v>46239</v>
      </c>
      <c r="B128" s="19" t="n">
        <v>2026</v>
      </c>
      <c r="C128" s="19" t="n">
        <v>8</v>
      </c>
      <c r="D128" s="56" t="inlineStr">
        <is>
          <t>Wed</t>
        </is>
      </c>
      <c r="E128" s="56" t="inlineStr">
        <is>
          <t>Week</t>
        </is>
      </c>
      <c r="F128" s="56">
        <f>IF(ForeCalc!$F$1="Staffed Hours",G128,24)</f>
        <v/>
      </c>
      <c r="G128" s="57">
        <f>IF(COUNTIF(M:M,Calendar!A128)&gt;0,VLOOKUP(A128,M:P,4,FALSE),VLOOKUP(D128,BusData!$A$3:$D$10,4,FALSE))</f>
        <v/>
      </c>
      <c r="H128" s="11">
        <f>F128/SUMIFS($F$2:$F$9997,$B$2:$B$9997,B128,$C$2:$C$9997,C128)</f>
        <v/>
      </c>
      <c r="I128" s="19" t="n">
        <v>1</v>
      </c>
      <c r="J128" s="57" t="n">
        <v>5</v>
      </c>
    </row>
    <row r="129">
      <c r="A129" s="62" t="n">
        <v>46240</v>
      </c>
      <c r="B129" s="19" t="n">
        <v>2026</v>
      </c>
      <c r="C129" s="19" t="n">
        <v>8</v>
      </c>
      <c r="D129" s="56" t="inlineStr">
        <is>
          <t>Thu</t>
        </is>
      </c>
      <c r="E129" s="56" t="inlineStr">
        <is>
          <t>Week</t>
        </is>
      </c>
      <c r="F129" s="56">
        <f>IF(ForeCalc!$F$1="Staffed Hours",G129,24)</f>
        <v/>
      </c>
      <c r="G129" s="57">
        <f>IF(COUNTIF(M:M,Calendar!A129)&gt;0,VLOOKUP(A129,M:P,4,FALSE),VLOOKUP(D129,BusData!$A$3:$D$10,4,FALSE))</f>
        <v/>
      </c>
      <c r="H129" s="11">
        <f>F129/SUMIFS($F$2:$F$9997,$B$2:$B$9997,B129,$C$2:$C$9997,C129)</f>
        <v/>
      </c>
      <c r="I129" s="19" t="n">
        <v>1</v>
      </c>
      <c r="J129" s="57" t="n">
        <v>5</v>
      </c>
    </row>
    <row r="130">
      <c r="A130" s="62" t="n">
        <v>46241</v>
      </c>
      <c r="B130" s="19" t="n">
        <v>2026</v>
      </c>
      <c r="C130" s="19" t="n">
        <v>8</v>
      </c>
      <c r="D130" s="56" t="inlineStr">
        <is>
          <t>Fri</t>
        </is>
      </c>
      <c r="E130" s="56" t="inlineStr">
        <is>
          <t>Week</t>
        </is>
      </c>
      <c r="F130" s="56">
        <f>IF(ForeCalc!$F$1="Staffed Hours",G130,24)</f>
        <v/>
      </c>
      <c r="G130" s="57">
        <f>IF(COUNTIF(M:M,Calendar!A130)&gt;0,VLOOKUP(A130,M:P,4,FALSE),VLOOKUP(D130,BusData!$A$3:$D$10,4,FALSE))</f>
        <v/>
      </c>
      <c r="H130" s="11">
        <f>F130/SUMIFS($F$2:$F$9997,$B$2:$B$9997,B130,$C$2:$C$9997,C130)</f>
        <v/>
      </c>
      <c r="I130" s="19" t="n">
        <v>1</v>
      </c>
      <c r="J130" s="57" t="n">
        <v>5</v>
      </c>
    </row>
    <row r="131">
      <c r="A131" s="62" t="n">
        <v>46242</v>
      </c>
      <c r="B131" s="19" t="n">
        <v>2026</v>
      </c>
      <c r="C131" s="19" t="n">
        <v>8</v>
      </c>
      <c r="D131" s="56" t="inlineStr">
        <is>
          <t>Sat</t>
        </is>
      </c>
      <c r="E131" s="56" t="inlineStr">
        <is>
          <t>Sat</t>
        </is>
      </c>
      <c r="F131" s="56">
        <f>IF(ForeCalc!$F$1="Staffed Hours",G131,24)</f>
        <v/>
      </c>
      <c r="G131" s="57">
        <f>IF(COUNTIF(M:M,Calendar!A131)&gt;0,VLOOKUP(A131,M:P,4,FALSE),VLOOKUP(D131,BusData!$A$3:$D$10,4,FALSE))</f>
        <v/>
      </c>
      <c r="H131" s="11">
        <f>F131/SUMIFS($F$2:$F$9997,$B$2:$B$9997,B131,$C$2:$C$9997,C131)</f>
        <v/>
      </c>
      <c r="I131" s="19" t="n">
        <v>1</v>
      </c>
      <c r="J131" s="57" t="n">
        <v>5</v>
      </c>
    </row>
    <row r="132">
      <c r="A132" s="62" t="n">
        <v>46243</v>
      </c>
      <c r="B132" s="19" t="n">
        <v>2026</v>
      </c>
      <c r="C132" s="19" t="n">
        <v>8</v>
      </c>
      <c r="D132" s="56" t="inlineStr">
        <is>
          <t>Sun</t>
        </is>
      </c>
      <c r="E132" s="56" t="inlineStr">
        <is>
          <t>Sun</t>
        </is>
      </c>
      <c r="F132" s="56">
        <f>IF(ForeCalc!$F$1="Staffed Hours",G132,24)</f>
        <v/>
      </c>
      <c r="G132" s="57">
        <f>IF(COUNTIF(M:M,Calendar!A132)&gt;0,VLOOKUP(A132,M:P,4,FALSE),VLOOKUP(D132,BusData!$A$3:$D$10,4,FALSE))</f>
        <v/>
      </c>
      <c r="H132" s="11">
        <f>F132/SUMIFS($F$2:$F$9997,$B$2:$B$9997,B132,$C$2:$C$9997,C132)</f>
        <v/>
      </c>
      <c r="I132" s="19" t="n">
        <v>1</v>
      </c>
      <c r="J132" s="57" t="n">
        <v>5</v>
      </c>
    </row>
    <row r="133">
      <c r="A133" s="62" t="n">
        <v>46244</v>
      </c>
      <c r="B133" s="19" t="n">
        <v>2026</v>
      </c>
      <c r="C133" s="19" t="n">
        <v>8</v>
      </c>
      <c r="D133" s="56" t="inlineStr">
        <is>
          <t>Mon</t>
        </is>
      </c>
      <c r="E133" s="56" t="inlineStr">
        <is>
          <t>Week</t>
        </is>
      </c>
      <c r="F133" s="56">
        <f>IF(ForeCalc!$F$1="Staffed Hours",G133,24)</f>
        <v/>
      </c>
      <c r="G133" s="57">
        <f>IF(COUNTIF(M:M,Calendar!A133)&gt;0,VLOOKUP(A133,M:P,4,FALSE),VLOOKUP(D133,BusData!$A$3:$D$10,4,FALSE))</f>
        <v/>
      </c>
      <c r="H133" s="11">
        <f>F133/SUMIFS($F$2:$F$9997,$B$2:$B$9997,B133,$C$2:$C$9997,C133)</f>
        <v/>
      </c>
      <c r="I133" s="19" t="n">
        <v>1</v>
      </c>
      <c r="J133" s="57" t="n">
        <v>5</v>
      </c>
    </row>
    <row r="134">
      <c r="A134" s="62" t="n">
        <v>46245</v>
      </c>
      <c r="B134" s="19" t="n">
        <v>2026</v>
      </c>
      <c r="C134" s="19" t="n">
        <v>8</v>
      </c>
      <c r="D134" s="56" t="inlineStr">
        <is>
          <t>Tue</t>
        </is>
      </c>
      <c r="E134" s="56" t="inlineStr">
        <is>
          <t>Week</t>
        </is>
      </c>
      <c r="F134" s="56">
        <f>IF(ForeCalc!$F$1="Staffed Hours",G134,24)</f>
        <v/>
      </c>
      <c r="G134" s="57">
        <f>IF(COUNTIF(M:M,Calendar!A134)&gt;0,VLOOKUP(A134,M:P,4,FALSE),VLOOKUP(D134,BusData!$A$3:$D$10,4,FALSE))</f>
        <v/>
      </c>
      <c r="H134" s="11">
        <f>F134/SUMIFS($F$2:$F$9997,$B$2:$B$9997,B134,$C$2:$C$9997,C134)</f>
        <v/>
      </c>
      <c r="I134" s="19" t="n">
        <v>1</v>
      </c>
      <c r="J134" s="57" t="n">
        <v>5</v>
      </c>
    </row>
    <row r="135">
      <c r="A135" s="62" t="n">
        <v>46246</v>
      </c>
      <c r="B135" s="19" t="n">
        <v>2026</v>
      </c>
      <c r="C135" s="19" t="n">
        <v>8</v>
      </c>
      <c r="D135" s="56" t="inlineStr">
        <is>
          <t>Wed</t>
        </is>
      </c>
      <c r="E135" s="56" t="inlineStr">
        <is>
          <t>Week</t>
        </is>
      </c>
      <c r="F135" s="56">
        <f>IF(ForeCalc!$F$1="Staffed Hours",G135,24)</f>
        <v/>
      </c>
      <c r="G135" s="57">
        <f>IF(COUNTIF(M:M,Calendar!A135)&gt;0,VLOOKUP(A135,M:P,4,FALSE),VLOOKUP(D135,BusData!$A$3:$D$10,4,FALSE))</f>
        <v/>
      </c>
      <c r="H135" s="11">
        <f>F135/SUMIFS($F$2:$F$9997,$B$2:$B$9997,B135,$C$2:$C$9997,C135)</f>
        <v/>
      </c>
      <c r="I135" s="19" t="n">
        <v>1</v>
      </c>
      <c r="J135" s="57" t="n">
        <v>5</v>
      </c>
    </row>
    <row r="136">
      <c r="A136" s="62" t="n">
        <v>46247</v>
      </c>
      <c r="B136" s="19" t="n">
        <v>2026</v>
      </c>
      <c r="C136" s="19" t="n">
        <v>8</v>
      </c>
      <c r="D136" s="56" t="inlineStr">
        <is>
          <t>Thu</t>
        </is>
      </c>
      <c r="E136" s="56" t="inlineStr">
        <is>
          <t>Week</t>
        </is>
      </c>
      <c r="F136" s="56">
        <f>IF(ForeCalc!$F$1="Staffed Hours",G136,24)</f>
        <v/>
      </c>
      <c r="G136" s="57">
        <f>IF(COUNTIF(M:M,Calendar!A136)&gt;0,VLOOKUP(A136,M:P,4,FALSE),VLOOKUP(D136,BusData!$A$3:$D$10,4,FALSE))</f>
        <v/>
      </c>
      <c r="H136" s="11">
        <f>F136/SUMIFS($F$2:$F$9997,$B$2:$B$9997,B136,$C$2:$C$9997,C136)</f>
        <v/>
      </c>
      <c r="I136" s="19" t="n">
        <v>1</v>
      </c>
      <c r="J136" s="57" t="n">
        <v>5</v>
      </c>
    </row>
    <row r="137">
      <c r="A137" s="62" t="n">
        <v>46248</v>
      </c>
      <c r="B137" s="19" t="n">
        <v>2026</v>
      </c>
      <c r="C137" s="19" t="n">
        <v>8</v>
      </c>
      <c r="D137" s="56" t="inlineStr">
        <is>
          <t>Fri</t>
        </is>
      </c>
      <c r="E137" s="56" t="inlineStr">
        <is>
          <t>Week</t>
        </is>
      </c>
      <c r="F137" s="56">
        <f>IF(ForeCalc!$F$1="Staffed Hours",G137,24)</f>
        <v/>
      </c>
      <c r="G137" s="57">
        <f>IF(COUNTIF(M:M,Calendar!A137)&gt;0,VLOOKUP(A137,M:P,4,FALSE),VLOOKUP(D137,BusData!$A$3:$D$10,4,FALSE))</f>
        <v/>
      </c>
      <c r="H137" s="11">
        <f>F137/SUMIFS($F$2:$F$9997,$B$2:$B$9997,B137,$C$2:$C$9997,C137)</f>
        <v/>
      </c>
      <c r="I137" s="19" t="n">
        <v>1</v>
      </c>
      <c r="J137" s="57" t="n">
        <v>5</v>
      </c>
    </row>
    <row r="138">
      <c r="A138" s="62" t="n">
        <v>46249</v>
      </c>
      <c r="B138" s="19" t="n">
        <v>2026</v>
      </c>
      <c r="C138" s="19" t="n">
        <v>8</v>
      </c>
      <c r="D138" s="56" t="inlineStr">
        <is>
          <t>Sat</t>
        </is>
      </c>
      <c r="E138" s="56" t="inlineStr">
        <is>
          <t>Sat</t>
        </is>
      </c>
      <c r="F138" s="56">
        <f>IF(ForeCalc!$F$1="Staffed Hours",G138,24)</f>
        <v/>
      </c>
      <c r="G138" s="57">
        <f>IF(COUNTIF(M:M,Calendar!A138)&gt;0,VLOOKUP(A138,M:P,4,FALSE),VLOOKUP(D138,BusData!$A$3:$D$10,4,FALSE))</f>
        <v/>
      </c>
      <c r="H138" s="11">
        <f>F138/SUMIFS($F$2:$F$9997,$B$2:$B$9997,B138,$C$2:$C$9997,C138)</f>
        <v/>
      </c>
      <c r="I138" s="19" t="n">
        <v>1</v>
      </c>
      <c r="J138" s="57" t="n">
        <v>5</v>
      </c>
    </row>
    <row r="139">
      <c r="A139" s="62" t="n">
        <v>46250</v>
      </c>
      <c r="B139" s="19" t="n">
        <v>2026</v>
      </c>
      <c r="C139" s="19" t="n">
        <v>8</v>
      </c>
      <c r="D139" s="56" t="inlineStr">
        <is>
          <t>Sun</t>
        </is>
      </c>
      <c r="E139" s="56" t="inlineStr">
        <is>
          <t>Sun</t>
        </is>
      </c>
      <c r="F139" s="56">
        <f>IF(ForeCalc!$F$1="Staffed Hours",G139,24)</f>
        <v/>
      </c>
      <c r="G139" s="57">
        <f>IF(COUNTIF(M:M,Calendar!A139)&gt;0,VLOOKUP(A139,M:P,4,FALSE),VLOOKUP(D139,BusData!$A$3:$D$10,4,FALSE))</f>
        <v/>
      </c>
      <c r="H139" s="11">
        <f>F139/SUMIFS($F$2:$F$9997,$B$2:$B$9997,B139,$C$2:$C$9997,C139)</f>
        <v/>
      </c>
      <c r="I139" s="19" t="n">
        <v>1</v>
      </c>
      <c r="J139" s="57" t="n">
        <v>5</v>
      </c>
    </row>
    <row r="140">
      <c r="A140" s="62" t="n">
        <v>46251</v>
      </c>
      <c r="B140" s="19" t="n">
        <v>2026</v>
      </c>
      <c r="C140" s="19" t="n">
        <v>8</v>
      </c>
      <c r="D140" s="56" t="inlineStr">
        <is>
          <t>Mon</t>
        </is>
      </c>
      <c r="E140" s="56" t="inlineStr">
        <is>
          <t>Week</t>
        </is>
      </c>
      <c r="F140" s="56">
        <f>IF(ForeCalc!$F$1="Staffed Hours",G140,24)</f>
        <v/>
      </c>
      <c r="G140" s="57">
        <f>IF(COUNTIF(M:M,Calendar!A140)&gt;0,VLOOKUP(A140,M:P,4,FALSE),VLOOKUP(D140,BusData!$A$3:$D$10,4,FALSE))</f>
        <v/>
      </c>
      <c r="H140" s="11">
        <f>F140/SUMIFS($F$2:$F$9997,$B$2:$B$9997,B140,$C$2:$C$9997,C140)</f>
        <v/>
      </c>
      <c r="I140" s="19" t="n">
        <v>1</v>
      </c>
      <c r="J140" s="57" t="n">
        <v>5</v>
      </c>
    </row>
    <row r="141">
      <c r="A141" s="62" t="n">
        <v>46252</v>
      </c>
      <c r="B141" s="19" t="n">
        <v>2026</v>
      </c>
      <c r="C141" s="19" t="n">
        <v>8</v>
      </c>
      <c r="D141" s="56" t="inlineStr">
        <is>
          <t>Tue</t>
        </is>
      </c>
      <c r="E141" s="56" t="inlineStr">
        <is>
          <t>Week</t>
        </is>
      </c>
      <c r="F141" s="56">
        <f>IF(ForeCalc!$F$1="Staffed Hours",G141,24)</f>
        <v/>
      </c>
      <c r="G141" s="57">
        <f>IF(COUNTIF(M:M,Calendar!A141)&gt;0,VLOOKUP(A141,M:P,4,FALSE),VLOOKUP(D141,BusData!$A$3:$D$10,4,FALSE))</f>
        <v/>
      </c>
      <c r="H141" s="11">
        <f>F141/SUMIFS($F$2:$F$9997,$B$2:$B$9997,B141,$C$2:$C$9997,C141)</f>
        <v/>
      </c>
      <c r="I141" s="19" t="n">
        <v>1</v>
      </c>
      <c r="J141" s="57" t="n">
        <v>5</v>
      </c>
    </row>
    <row r="142">
      <c r="A142" s="62" t="n">
        <v>46253</v>
      </c>
      <c r="B142" s="19" t="n">
        <v>2026</v>
      </c>
      <c r="C142" s="19" t="n">
        <v>8</v>
      </c>
      <c r="D142" s="56" t="inlineStr">
        <is>
          <t>Wed</t>
        </is>
      </c>
      <c r="E142" s="56" t="inlineStr">
        <is>
          <t>Week</t>
        </is>
      </c>
      <c r="F142" s="56">
        <f>IF(ForeCalc!$F$1="Staffed Hours",G142,24)</f>
        <v/>
      </c>
      <c r="G142" s="57">
        <f>IF(COUNTIF(M:M,Calendar!A142)&gt;0,VLOOKUP(A142,M:P,4,FALSE),VLOOKUP(D142,BusData!$A$3:$D$10,4,FALSE))</f>
        <v/>
      </c>
      <c r="H142" s="11">
        <f>F142/SUMIFS($F$2:$F$9997,$B$2:$B$9997,B142,$C$2:$C$9997,C142)</f>
        <v/>
      </c>
      <c r="I142" s="19" t="n">
        <v>1</v>
      </c>
      <c r="J142" s="57" t="n">
        <v>5</v>
      </c>
    </row>
    <row r="143">
      <c r="A143" s="62" t="n">
        <v>46254</v>
      </c>
      <c r="B143" s="19" t="n">
        <v>2026</v>
      </c>
      <c r="C143" s="19" t="n">
        <v>8</v>
      </c>
      <c r="D143" s="56" t="inlineStr">
        <is>
          <t>Thu</t>
        </is>
      </c>
      <c r="E143" s="56" t="inlineStr">
        <is>
          <t>Week</t>
        </is>
      </c>
      <c r="F143" s="56">
        <f>IF(ForeCalc!$F$1="Staffed Hours",G143,24)</f>
        <v/>
      </c>
      <c r="G143" s="57">
        <f>IF(COUNTIF(M:M,Calendar!A143)&gt;0,VLOOKUP(A143,M:P,4,FALSE),VLOOKUP(D143,BusData!$A$3:$D$10,4,FALSE))</f>
        <v/>
      </c>
      <c r="H143" s="11">
        <f>F143/SUMIFS($F$2:$F$9997,$B$2:$B$9997,B143,$C$2:$C$9997,C143)</f>
        <v/>
      </c>
      <c r="I143" s="19" t="n">
        <v>1</v>
      </c>
      <c r="J143" s="57" t="n">
        <v>5</v>
      </c>
    </row>
    <row r="144">
      <c r="A144" s="62" t="n">
        <v>46255</v>
      </c>
      <c r="B144" s="19" t="n">
        <v>2026</v>
      </c>
      <c r="C144" s="19" t="n">
        <v>8</v>
      </c>
      <c r="D144" s="56" t="inlineStr">
        <is>
          <t>Fri</t>
        </is>
      </c>
      <c r="E144" s="56" t="inlineStr">
        <is>
          <t>Week</t>
        </is>
      </c>
      <c r="F144" s="56">
        <f>IF(ForeCalc!$F$1="Staffed Hours",G144,24)</f>
        <v/>
      </c>
      <c r="G144" s="57">
        <f>IF(COUNTIF(M:M,Calendar!A144)&gt;0,VLOOKUP(A144,M:P,4,FALSE),VLOOKUP(D144,BusData!$A$3:$D$10,4,FALSE))</f>
        <v/>
      </c>
      <c r="H144" s="11">
        <f>F144/SUMIFS($F$2:$F$9997,$B$2:$B$9997,B144,$C$2:$C$9997,C144)</f>
        <v/>
      </c>
      <c r="I144" s="19" t="n">
        <v>1</v>
      </c>
      <c r="J144" s="57" t="n">
        <v>5</v>
      </c>
    </row>
    <row r="145">
      <c r="A145" s="62" t="n">
        <v>46256</v>
      </c>
      <c r="B145" s="19" t="n">
        <v>2026</v>
      </c>
      <c r="C145" s="19" t="n">
        <v>8</v>
      </c>
      <c r="D145" s="56" t="inlineStr">
        <is>
          <t>Sat</t>
        </is>
      </c>
      <c r="E145" s="56" t="inlineStr">
        <is>
          <t>Sat</t>
        </is>
      </c>
      <c r="F145" s="56">
        <f>IF(ForeCalc!$F$1="Staffed Hours",G145,24)</f>
        <v/>
      </c>
      <c r="G145" s="57">
        <f>IF(COUNTIF(M:M,Calendar!A145)&gt;0,VLOOKUP(A145,M:P,4,FALSE),VLOOKUP(D145,BusData!$A$3:$D$10,4,FALSE))</f>
        <v/>
      </c>
      <c r="H145" s="11">
        <f>F145/SUMIFS($F$2:$F$9997,$B$2:$B$9997,B145,$C$2:$C$9997,C145)</f>
        <v/>
      </c>
      <c r="I145" s="19" t="n">
        <v>1</v>
      </c>
      <c r="J145" s="57" t="n">
        <v>5</v>
      </c>
    </row>
    <row r="146">
      <c r="A146" s="62" t="n">
        <v>46257</v>
      </c>
      <c r="B146" s="19" t="n">
        <v>2026</v>
      </c>
      <c r="C146" s="19" t="n">
        <v>8</v>
      </c>
      <c r="D146" s="56" t="inlineStr">
        <is>
          <t>Sun</t>
        </is>
      </c>
      <c r="E146" s="56" t="inlineStr">
        <is>
          <t>Sun</t>
        </is>
      </c>
      <c r="F146" s="56">
        <f>IF(ForeCalc!$F$1="Staffed Hours",G146,24)</f>
        <v/>
      </c>
      <c r="G146" s="57">
        <f>IF(COUNTIF(M:M,Calendar!A146)&gt;0,VLOOKUP(A146,M:P,4,FALSE),VLOOKUP(D146,BusData!$A$3:$D$10,4,FALSE))</f>
        <v/>
      </c>
      <c r="H146" s="11">
        <f>F146/SUMIFS($F$2:$F$9997,$B$2:$B$9997,B146,$C$2:$C$9997,C146)</f>
        <v/>
      </c>
      <c r="I146" s="19" t="n">
        <v>1</v>
      </c>
      <c r="J146" s="57" t="n">
        <v>5</v>
      </c>
    </row>
    <row r="147">
      <c r="A147" s="62" t="n">
        <v>46258</v>
      </c>
      <c r="B147" s="19" t="n">
        <v>2026</v>
      </c>
      <c r="C147" s="19" t="n">
        <v>8</v>
      </c>
      <c r="D147" s="56" t="inlineStr">
        <is>
          <t>Mon</t>
        </is>
      </c>
      <c r="E147" s="56" t="inlineStr">
        <is>
          <t>Week</t>
        </is>
      </c>
      <c r="F147" s="56">
        <f>IF(ForeCalc!$F$1="Staffed Hours",G147,24)</f>
        <v/>
      </c>
      <c r="G147" s="57">
        <f>IF(COUNTIF(M:M,Calendar!A147)&gt;0,VLOOKUP(A147,M:P,4,FALSE),VLOOKUP(D147,BusData!$A$3:$D$10,4,FALSE))</f>
        <v/>
      </c>
      <c r="H147" s="11">
        <f>F147/SUMIFS($F$2:$F$9997,$B$2:$B$9997,B147,$C$2:$C$9997,C147)</f>
        <v/>
      </c>
      <c r="I147" s="19" t="n">
        <v>1</v>
      </c>
      <c r="J147" s="57" t="n">
        <v>5</v>
      </c>
    </row>
    <row r="148">
      <c r="A148" s="62" t="n">
        <v>46259</v>
      </c>
      <c r="B148" s="19" t="n">
        <v>2026</v>
      </c>
      <c r="C148" s="19" t="n">
        <v>8</v>
      </c>
      <c r="D148" s="56" t="inlineStr">
        <is>
          <t>Tue</t>
        </is>
      </c>
      <c r="E148" s="56" t="inlineStr">
        <is>
          <t>Week</t>
        </is>
      </c>
      <c r="F148" s="56">
        <f>IF(ForeCalc!$F$1="Staffed Hours",G148,24)</f>
        <v/>
      </c>
      <c r="G148" s="57">
        <f>IF(COUNTIF(M:M,Calendar!A148)&gt;0,VLOOKUP(A148,M:P,4,FALSE),VLOOKUP(D148,BusData!$A$3:$D$10,4,FALSE))</f>
        <v/>
      </c>
      <c r="H148" s="11">
        <f>F148/SUMIFS($F$2:$F$9997,$B$2:$B$9997,B148,$C$2:$C$9997,C148)</f>
        <v/>
      </c>
      <c r="I148" s="19" t="n">
        <v>1</v>
      </c>
      <c r="J148" s="57" t="n">
        <v>5</v>
      </c>
    </row>
    <row r="149">
      <c r="A149" s="62" t="n">
        <v>46260</v>
      </c>
      <c r="B149" s="19" t="n">
        <v>2026</v>
      </c>
      <c r="C149" s="19" t="n">
        <v>8</v>
      </c>
      <c r="D149" s="56" t="inlineStr">
        <is>
          <t>Wed</t>
        </is>
      </c>
      <c r="E149" s="56" t="inlineStr">
        <is>
          <t>Week</t>
        </is>
      </c>
      <c r="F149" s="56">
        <f>IF(ForeCalc!$F$1="Staffed Hours",G149,24)</f>
        <v/>
      </c>
      <c r="G149" s="57">
        <f>IF(COUNTIF(M:M,Calendar!A149)&gt;0,VLOOKUP(A149,M:P,4,FALSE),VLOOKUP(D149,BusData!$A$3:$D$10,4,FALSE))</f>
        <v/>
      </c>
      <c r="H149" s="11">
        <f>F149/SUMIFS($F$2:$F$9997,$B$2:$B$9997,B149,$C$2:$C$9997,C149)</f>
        <v/>
      </c>
      <c r="I149" s="19" t="n">
        <v>1</v>
      </c>
      <c r="J149" s="57" t="n">
        <v>5</v>
      </c>
    </row>
    <row r="150">
      <c r="A150" s="62" t="n">
        <v>46261</v>
      </c>
      <c r="B150" s="19" t="n">
        <v>2026</v>
      </c>
      <c r="C150" s="19" t="n">
        <v>8</v>
      </c>
      <c r="D150" s="56" t="inlineStr">
        <is>
          <t>Thu</t>
        </is>
      </c>
      <c r="E150" s="56" t="inlineStr">
        <is>
          <t>Week</t>
        </is>
      </c>
      <c r="F150" s="56">
        <f>IF(ForeCalc!$F$1="Staffed Hours",G150,24)</f>
        <v/>
      </c>
      <c r="G150" s="57">
        <f>IF(COUNTIF(M:M,Calendar!A150)&gt;0,VLOOKUP(A150,M:P,4,FALSE),VLOOKUP(D150,BusData!$A$3:$D$10,4,FALSE))</f>
        <v/>
      </c>
      <c r="H150" s="11">
        <f>F150/SUMIFS($F$2:$F$9997,$B$2:$B$9997,B150,$C$2:$C$9997,C150)</f>
        <v/>
      </c>
      <c r="I150" s="19" t="n">
        <v>1</v>
      </c>
      <c r="J150" s="57" t="n">
        <v>5</v>
      </c>
    </row>
    <row r="151">
      <c r="A151" s="62" t="n">
        <v>46262</v>
      </c>
      <c r="B151" s="19" t="n">
        <v>2026</v>
      </c>
      <c r="C151" s="19" t="n">
        <v>8</v>
      </c>
      <c r="D151" s="56" t="inlineStr">
        <is>
          <t>Fri</t>
        </is>
      </c>
      <c r="E151" s="56" t="inlineStr">
        <is>
          <t>Week</t>
        </is>
      </c>
      <c r="F151" s="56">
        <f>IF(ForeCalc!$F$1="Staffed Hours",G151,24)</f>
        <v/>
      </c>
      <c r="G151" s="57">
        <f>IF(COUNTIF(M:M,Calendar!A151)&gt;0,VLOOKUP(A151,M:P,4,FALSE),VLOOKUP(D151,BusData!$A$3:$D$10,4,FALSE))</f>
        <v/>
      </c>
      <c r="H151" s="11">
        <f>F151/SUMIFS($F$2:$F$9997,$B$2:$B$9997,B151,$C$2:$C$9997,C151)</f>
        <v/>
      </c>
      <c r="I151" s="19" t="n">
        <v>1</v>
      </c>
      <c r="J151" s="57" t="n">
        <v>5</v>
      </c>
    </row>
    <row r="152">
      <c r="A152" s="62" t="n">
        <v>46263</v>
      </c>
      <c r="B152" s="19" t="n">
        <v>2026</v>
      </c>
      <c r="C152" s="19" t="n">
        <v>8</v>
      </c>
      <c r="D152" s="56" t="inlineStr">
        <is>
          <t>Sat</t>
        </is>
      </c>
      <c r="E152" s="56" t="inlineStr">
        <is>
          <t>Sat</t>
        </is>
      </c>
      <c r="F152" s="56">
        <f>IF(ForeCalc!$F$1="Staffed Hours",G152,24)</f>
        <v/>
      </c>
      <c r="G152" s="57">
        <f>IF(COUNTIF(M:M,Calendar!A152)&gt;0,VLOOKUP(A152,M:P,4,FALSE),VLOOKUP(D152,BusData!$A$3:$D$10,4,FALSE))</f>
        <v/>
      </c>
      <c r="H152" s="11">
        <f>F152/SUMIFS($F$2:$F$9997,$B$2:$B$9997,B152,$C$2:$C$9997,C152)</f>
        <v/>
      </c>
      <c r="I152" s="19" t="n">
        <v>1</v>
      </c>
      <c r="J152" s="57" t="n">
        <v>5</v>
      </c>
    </row>
    <row r="153">
      <c r="A153" s="62" t="n">
        <v>46264</v>
      </c>
      <c r="B153" s="19" t="n">
        <v>2026</v>
      </c>
      <c r="C153" s="19" t="n">
        <v>8</v>
      </c>
      <c r="D153" s="56" t="inlineStr">
        <is>
          <t>Sun</t>
        </is>
      </c>
      <c r="E153" s="56" t="inlineStr">
        <is>
          <t>Sun</t>
        </is>
      </c>
      <c r="F153" s="56">
        <f>IF(ForeCalc!$F$1="Staffed Hours",G153,24)</f>
        <v/>
      </c>
      <c r="G153" s="57">
        <f>IF(COUNTIF(M:M,Calendar!A153)&gt;0,VLOOKUP(A153,M:P,4,FALSE),VLOOKUP(D153,BusData!$A$3:$D$10,4,FALSE))</f>
        <v/>
      </c>
      <c r="H153" s="11">
        <f>F153/SUMIFS($F$2:$F$9997,$B$2:$B$9997,B153,$C$2:$C$9997,C153)</f>
        <v/>
      </c>
      <c r="I153" s="19" t="n">
        <v>1</v>
      </c>
      <c r="J153" s="57" t="n">
        <v>5</v>
      </c>
    </row>
    <row r="154">
      <c r="A154" s="62" t="n">
        <v>46265</v>
      </c>
      <c r="B154" s="19" t="n">
        <v>2026</v>
      </c>
      <c r="C154" s="19" t="n">
        <v>8</v>
      </c>
      <c r="D154" s="56" t="inlineStr">
        <is>
          <t>Mon</t>
        </is>
      </c>
      <c r="E154" s="56" t="inlineStr">
        <is>
          <t>Week</t>
        </is>
      </c>
      <c r="F154" s="56">
        <f>IF(ForeCalc!$F$1="Staffed Hours",G154,24)</f>
        <v/>
      </c>
      <c r="G154" s="57">
        <f>IF(COUNTIF(M:M,Calendar!A154)&gt;0,VLOOKUP(A154,M:P,4,FALSE),VLOOKUP(D154,BusData!$A$3:$D$10,4,FALSE))</f>
        <v/>
      </c>
      <c r="H154" s="11">
        <f>F154/SUMIFS($F$2:$F$9997,$B$2:$B$9997,B154,$C$2:$C$9997,C154)</f>
        <v/>
      </c>
      <c r="I154" s="19" t="n">
        <v>1</v>
      </c>
      <c r="J154" s="57" t="n">
        <v>5</v>
      </c>
    </row>
    <row r="155">
      <c r="A155" s="62" t="n">
        <v>46266</v>
      </c>
      <c r="B155" s="19" t="n">
        <v>2026</v>
      </c>
      <c r="C155" s="19" t="n">
        <v>9</v>
      </c>
      <c r="D155" s="56" t="inlineStr">
        <is>
          <t>Tue</t>
        </is>
      </c>
      <c r="E155" s="56" t="inlineStr">
        <is>
          <t>Week</t>
        </is>
      </c>
      <c r="F155" s="56">
        <f>IF(ForeCalc!$F$1="Staffed Hours",G155,24)</f>
        <v/>
      </c>
      <c r="G155" s="57">
        <f>IF(COUNTIF(M:M,Calendar!A155)&gt;0,VLOOKUP(A155,M:P,4,FALSE),VLOOKUP(D155,BusData!$A$3:$D$10,4,FALSE))</f>
        <v/>
      </c>
      <c r="H155" s="11">
        <f>F155/SUMIFS($F$2:$F$9997,$B$2:$B$9997,B155,$C$2:$C$9997,C155)</f>
        <v/>
      </c>
      <c r="I155" s="19" t="n">
        <v>1</v>
      </c>
      <c r="J155" s="57" t="n">
        <v>6</v>
      </c>
    </row>
    <row r="156">
      <c r="A156" s="62" t="n">
        <v>46267</v>
      </c>
      <c r="B156" s="19" t="n">
        <v>2026</v>
      </c>
      <c r="C156" s="19" t="n">
        <v>9</v>
      </c>
      <c r="D156" s="56" t="inlineStr">
        <is>
          <t>Wed</t>
        </is>
      </c>
      <c r="E156" s="56" t="inlineStr">
        <is>
          <t>Week</t>
        </is>
      </c>
      <c r="F156" s="56">
        <f>IF(ForeCalc!$F$1="Staffed Hours",G156,24)</f>
        <v/>
      </c>
      <c r="G156" s="57">
        <f>IF(COUNTIF(M:M,Calendar!A156)&gt;0,VLOOKUP(A156,M:P,4,FALSE),VLOOKUP(D156,BusData!$A$3:$D$10,4,FALSE))</f>
        <v/>
      </c>
      <c r="H156" s="11">
        <f>F156/SUMIFS($F$2:$F$9997,$B$2:$B$9997,B156,$C$2:$C$9997,C156)</f>
        <v/>
      </c>
      <c r="I156" s="19" t="n">
        <v>1</v>
      </c>
      <c r="J156" s="57" t="n">
        <v>6</v>
      </c>
    </row>
    <row r="157">
      <c r="A157" s="62" t="n">
        <v>46268</v>
      </c>
      <c r="B157" s="19" t="n">
        <v>2026</v>
      </c>
      <c r="C157" s="19" t="n">
        <v>9</v>
      </c>
      <c r="D157" s="56" t="inlineStr">
        <is>
          <t>Thu</t>
        </is>
      </c>
      <c r="E157" s="56" t="inlineStr">
        <is>
          <t>Week</t>
        </is>
      </c>
      <c r="F157" s="56">
        <f>IF(ForeCalc!$F$1="Staffed Hours",G157,24)</f>
        <v/>
      </c>
      <c r="G157" s="57">
        <f>IF(COUNTIF(M:M,Calendar!A157)&gt;0,VLOOKUP(A157,M:P,4,FALSE),VLOOKUP(D157,BusData!$A$3:$D$10,4,FALSE))</f>
        <v/>
      </c>
      <c r="H157" s="11">
        <f>F157/SUMIFS($F$2:$F$9997,$B$2:$B$9997,B157,$C$2:$C$9997,C157)</f>
        <v/>
      </c>
      <c r="I157" s="19" t="n">
        <v>1</v>
      </c>
      <c r="J157" s="57" t="n">
        <v>6</v>
      </c>
    </row>
    <row r="158">
      <c r="A158" s="62" t="n">
        <v>46269</v>
      </c>
      <c r="B158" s="19" t="n">
        <v>2026</v>
      </c>
      <c r="C158" s="19" t="n">
        <v>9</v>
      </c>
      <c r="D158" s="56" t="inlineStr">
        <is>
          <t>Fri</t>
        </is>
      </c>
      <c r="E158" s="56" t="inlineStr">
        <is>
          <t>Week</t>
        </is>
      </c>
      <c r="F158" s="56">
        <f>IF(ForeCalc!$F$1="Staffed Hours",G158,24)</f>
        <v/>
      </c>
      <c r="G158" s="57">
        <f>IF(COUNTIF(M:M,Calendar!A158)&gt;0,VLOOKUP(A158,M:P,4,FALSE),VLOOKUP(D158,BusData!$A$3:$D$10,4,FALSE))</f>
        <v/>
      </c>
      <c r="H158" s="11">
        <f>F158/SUMIFS($F$2:$F$9997,$B$2:$B$9997,B158,$C$2:$C$9997,C158)</f>
        <v/>
      </c>
      <c r="I158" s="19" t="n">
        <v>1</v>
      </c>
      <c r="J158" s="57" t="n">
        <v>6</v>
      </c>
    </row>
    <row r="159">
      <c r="A159" s="62" t="n">
        <v>46270</v>
      </c>
      <c r="B159" s="19" t="n">
        <v>2026</v>
      </c>
      <c r="C159" s="19" t="n">
        <v>9</v>
      </c>
      <c r="D159" s="56" t="inlineStr">
        <is>
          <t>Sat</t>
        </is>
      </c>
      <c r="E159" s="56" t="inlineStr">
        <is>
          <t>Sat</t>
        </is>
      </c>
      <c r="F159" s="56">
        <f>IF(ForeCalc!$F$1="Staffed Hours",G159,24)</f>
        <v/>
      </c>
      <c r="G159" s="57">
        <f>IF(COUNTIF(M:M,Calendar!A159)&gt;0,VLOOKUP(A159,M:P,4,FALSE),VLOOKUP(D159,BusData!$A$3:$D$10,4,FALSE))</f>
        <v/>
      </c>
      <c r="H159" s="11">
        <f>F159/SUMIFS($F$2:$F$9997,$B$2:$B$9997,B159,$C$2:$C$9997,C159)</f>
        <v/>
      </c>
      <c r="I159" s="19" t="n">
        <v>1</v>
      </c>
      <c r="J159" s="57" t="n">
        <v>6</v>
      </c>
    </row>
    <row r="160">
      <c r="A160" s="62" t="n">
        <v>46271</v>
      </c>
      <c r="B160" s="19" t="n">
        <v>2026</v>
      </c>
      <c r="C160" s="19" t="n">
        <v>9</v>
      </c>
      <c r="D160" s="56" t="inlineStr">
        <is>
          <t>Sun</t>
        </is>
      </c>
      <c r="E160" s="56" t="inlineStr">
        <is>
          <t>Sun</t>
        </is>
      </c>
      <c r="F160" s="56">
        <f>IF(ForeCalc!$F$1="Staffed Hours",G160,24)</f>
        <v/>
      </c>
      <c r="G160" s="57">
        <f>IF(COUNTIF(M:M,Calendar!A160)&gt;0,VLOOKUP(A160,M:P,4,FALSE),VLOOKUP(D160,BusData!$A$3:$D$10,4,FALSE))</f>
        <v/>
      </c>
      <c r="H160" s="11">
        <f>F160/SUMIFS($F$2:$F$9997,$B$2:$B$9997,B160,$C$2:$C$9997,C160)</f>
        <v/>
      </c>
      <c r="I160" s="19" t="n">
        <v>1</v>
      </c>
      <c r="J160" s="57" t="n">
        <v>6</v>
      </c>
    </row>
    <row r="161">
      <c r="A161" s="62" t="n">
        <v>46272</v>
      </c>
      <c r="B161" s="19" t="n">
        <v>2026</v>
      </c>
      <c r="C161" s="19" t="n">
        <v>9</v>
      </c>
      <c r="D161" s="56" t="inlineStr">
        <is>
          <t>Mon</t>
        </is>
      </c>
      <c r="E161" s="56" t="inlineStr">
        <is>
          <t>Week</t>
        </is>
      </c>
      <c r="F161" s="56">
        <f>IF(ForeCalc!$F$1="Staffed Hours",G161,24)</f>
        <v/>
      </c>
      <c r="G161" s="57">
        <f>IF(COUNTIF(M:M,Calendar!A161)&gt;0,VLOOKUP(A161,M:P,4,FALSE),VLOOKUP(D161,BusData!$A$3:$D$10,4,FALSE))</f>
        <v/>
      </c>
      <c r="H161" s="11">
        <f>F161/SUMIFS($F$2:$F$9997,$B$2:$B$9997,B161,$C$2:$C$9997,C161)</f>
        <v/>
      </c>
      <c r="I161" s="19" t="n">
        <v>1</v>
      </c>
      <c r="J161" s="57" t="n">
        <v>6</v>
      </c>
    </row>
    <row r="162">
      <c r="A162" s="62" t="n">
        <v>46273</v>
      </c>
      <c r="B162" s="19" t="n">
        <v>2026</v>
      </c>
      <c r="C162" s="19" t="n">
        <v>9</v>
      </c>
      <c r="D162" s="56" t="inlineStr">
        <is>
          <t>Tue</t>
        </is>
      </c>
      <c r="E162" s="56" t="inlineStr">
        <is>
          <t>Week</t>
        </is>
      </c>
      <c r="F162" s="56">
        <f>IF(ForeCalc!$F$1="Staffed Hours",G162,24)</f>
        <v/>
      </c>
      <c r="G162" s="57">
        <f>IF(COUNTIF(M:M,Calendar!A162)&gt;0,VLOOKUP(A162,M:P,4,FALSE),VLOOKUP(D162,BusData!$A$3:$D$10,4,FALSE))</f>
        <v/>
      </c>
      <c r="H162" s="11">
        <f>F162/SUMIFS($F$2:$F$9997,$B$2:$B$9997,B162,$C$2:$C$9997,C162)</f>
        <v/>
      </c>
      <c r="I162" s="19" t="n">
        <v>1</v>
      </c>
      <c r="J162" s="57" t="n">
        <v>6</v>
      </c>
    </row>
    <row r="163">
      <c r="A163" s="62" t="n">
        <v>46274</v>
      </c>
      <c r="B163" s="19" t="n">
        <v>2026</v>
      </c>
      <c r="C163" s="19" t="n">
        <v>9</v>
      </c>
      <c r="D163" s="56" t="inlineStr">
        <is>
          <t>Wed</t>
        </is>
      </c>
      <c r="E163" s="56" t="inlineStr">
        <is>
          <t>Week</t>
        </is>
      </c>
      <c r="F163" s="56">
        <f>IF(ForeCalc!$F$1="Staffed Hours",G163,24)</f>
        <v/>
      </c>
      <c r="G163" s="57">
        <f>IF(COUNTIF(M:M,Calendar!A163)&gt;0,VLOOKUP(A163,M:P,4,FALSE),VLOOKUP(D163,BusData!$A$3:$D$10,4,FALSE))</f>
        <v/>
      </c>
      <c r="H163" s="11">
        <f>F163/SUMIFS($F$2:$F$9997,$B$2:$B$9997,B163,$C$2:$C$9997,C163)</f>
        <v/>
      </c>
      <c r="I163" s="19" t="n">
        <v>1</v>
      </c>
      <c r="J163" s="57" t="n">
        <v>6</v>
      </c>
    </row>
    <row r="164">
      <c r="A164" s="62" t="n">
        <v>46275</v>
      </c>
      <c r="B164" s="19" t="n">
        <v>2026</v>
      </c>
      <c r="C164" s="19" t="n">
        <v>9</v>
      </c>
      <c r="D164" s="56" t="inlineStr">
        <is>
          <t>Thu</t>
        </is>
      </c>
      <c r="E164" s="56" t="inlineStr">
        <is>
          <t>Week</t>
        </is>
      </c>
      <c r="F164" s="56">
        <f>IF(ForeCalc!$F$1="Staffed Hours",G164,24)</f>
        <v/>
      </c>
      <c r="G164" s="57">
        <f>IF(COUNTIF(M:M,Calendar!A164)&gt;0,VLOOKUP(A164,M:P,4,FALSE),VLOOKUP(D164,BusData!$A$3:$D$10,4,FALSE))</f>
        <v/>
      </c>
      <c r="H164" s="11">
        <f>F164/SUMIFS($F$2:$F$9997,$B$2:$B$9997,B164,$C$2:$C$9997,C164)</f>
        <v/>
      </c>
      <c r="I164" s="19" t="n">
        <v>1</v>
      </c>
      <c r="J164" s="57" t="n">
        <v>6</v>
      </c>
    </row>
    <row r="165">
      <c r="A165" s="62" t="n">
        <v>46276</v>
      </c>
      <c r="B165" s="19" t="n">
        <v>2026</v>
      </c>
      <c r="C165" s="19" t="n">
        <v>9</v>
      </c>
      <c r="D165" s="56" t="inlineStr">
        <is>
          <t>Fri</t>
        </is>
      </c>
      <c r="E165" s="56" t="inlineStr">
        <is>
          <t>Week</t>
        </is>
      </c>
      <c r="F165" s="56">
        <f>IF(ForeCalc!$F$1="Staffed Hours",G165,24)</f>
        <v/>
      </c>
      <c r="G165" s="57">
        <f>IF(COUNTIF(M:M,Calendar!A165)&gt;0,VLOOKUP(A165,M:P,4,FALSE),VLOOKUP(D165,BusData!$A$3:$D$10,4,FALSE))</f>
        <v/>
      </c>
      <c r="H165" s="11">
        <f>F165/SUMIFS($F$2:$F$9997,$B$2:$B$9997,B165,$C$2:$C$9997,C165)</f>
        <v/>
      </c>
      <c r="I165" s="19" t="n">
        <v>1</v>
      </c>
      <c r="J165" s="57" t="n">
        <v>6</v>
      </c>
    </row>
    <row r="166">
      <c r="A166" s="62" t="n">
        <v>46277</v>
      </c>
      <c r="B166" s="19" t="n">
        <v>2026</v>
      </c>
      <c r="C166" s="19" t="n">
        <v>9</v>
      </c>
      <c r="D166" s="56" t="inlineStr">
        <is>
          <t>Sat</t>
        </is>
      </c>
      <c r="E166" s="56" t="inlineStr">
        <is>
          <t>Sat</t>
        </is>
      </c>
      <c r="F166" s="56">
        <f>IF(ForeCalc!$F$1="Staffed Hours",G166,24)</f>
        <v/>
      </c>
      <c r="G166" s="57">
        <f>IF(COUNTIF(M:M,Calendar!A166)&gt;0,VLOOKUP(A166,M:P,4,FALSE),VLOOKUP(D166,BusData!$A$3:$D$10,4,FALSE))</f>
        <v/>
      </c>
      <c r="H166" s="11">
        <f>F166/SUMIFS($F$2:$F$9997,$B$2:$B$9997,B166,$C$2:$C$9997,C166)</f>
        <v/>
      </c>
      <c r="I166" s="19" t="n">
        <v>1</v>
      </c>
      <c r="J166" s="57" t="n">
        <v>6</v>
      </c>
    </row>
    <row r="167">
      <c r="A167" s="62" t="n">
        <v>46278</v>
      </c>
      <c r="B167" s="19" t="n">
        <v>2026</v>
      </c>
      <c r="C167" s="19" t="n">
        <v>9</v>
      </c>
      <c r="D167" s="56" t="inlineStr">
        <is>
          <t>Sun</t>
        </is>
      </c>
      <c r="E167" s="56" t="inlineStr">
        <is>
          <t>Sun</t>
        </is>
      </c>
      <c r="F167" s="56">
        <f>IF(ForeCalc!$F$1="Staffed Hours",G167,24)</f>
        <v/>
      </c>
      <c r="G167" s="57">
        <f>IF(COUNTIF(M:M,Calendar!A167)&gt;0,VLOOKUP(A167,M:P,4,FALSE),VLOOKUP(D167,BusData!$A$3:$D$10,4,FALSE))</f>
        <v/>
      </c>
      <c r="H167" s="11">
        <f>F167/SUMIFS($F$2:$F$9997,$B$2:$B$9997,B167,$C$2:$C$9997,C167)</f>
        <v/>
      </c>
      <c r="I167" s="19" t="n">
        <v>1</v>
      </c>
      <c r="J167" s="57" t="n">
        <v>6</v>
      </c>
    </row>
    <row r="168">
      <c r="A168" s="62" t="n">
        <v>46279</v>
      </c>
      <c r="B168" s="19" t="n">
        <v>2026</v>
      </c>
      <c r="C168" s="19" t="n">
        <v>9</v>
      </c>
      <c r="D168" s="56" t="inlineStr">
        <is>
          <t>Mon</t>
        </is>
      </c>
      <c r="E168" s="56" t="inlineStr">
        <is>
          <t>Week</t>
        </is>
      </c>
      <c r="F168" s="56">
        <f>IF(ForeCalc!$F$1="Staffed Hours",G168,24)</f>
        <v/>
      </c>
      <c r="G168" s="57">
        <f>IF(COUNTIF(M:M,Calendar!A168)&gt;0,VLOOKUP(A168,M:P,4,FALSE),VLOOKUP(D168,BusData!$A$3:$D$10,4,FALSE))</f>
        <v/>
      </c>
      <c r="H168" s="11">
        <f>F168/SUMIFS($F$2:$F$9997,$B$2:$B$9997,B168,$C$2:$C$9997,C168)</f>
        <v/>
      </c>
      <c r="I168" s="19" t="n">
        <v>1</v>
      </c>
      <c r="J168" s="57" t="n">
        <v>6</v>
      </c>
    </row>
    <row r="169">
      <c r="A169" s="62" t="n">
        <v>46280</v>
      </c>
      <c r="B169" s="19" t="n">
        <v>2026</v>
      </c>
      <c r="C169" s="19" t="n">
        <v>9</v>
      </c>
      <c r="D169" s="56" t="inlineStr">
        <is>
          <t>Tue</t>
        </is>
      </c>
      <c r="E169" s="56" t="inlineStr">
        <is>
          <t>Week</t>
        </is>
      </c>
      <c r="F169" s="56">
        <f>IF(ForeCalc!$F$1="Staffed Hours",G169,24)</f>
        <v/>
      </c>
      <c r="G169" s="57">
        <f>IF(COUNTIF(M:M,Calendar!A169)&gt;0,VLOOKUP(A169,M:P,4,FALSE),VLOOKUP(D169,BusData!$A$3:$D$10,4,FALSE))</f>
        <v/>
      </c>
      <c r="H169" s="11">
        <f>F169/SUMIFS($F$2:$F$9997,$B$2:$B$9997,B169,$C$2:$C$9997,C169)</f>
        <v/>
      </c>
      <c r="I169" s="19" t="n">
        <v>1</v>
      </c>
      <c r="J169" s="57" t="n">
        <v>6</v>
      </c>
    </row>
    <row r="170">
      <c r="A170" s="62" t="n">
        <v>46281</v>
      </c>
      <c r="B170" s="19" t="n">
        <v>2026</v>
      </c>
      <c r="C170" s="19" t="n">
        <v>9</v>
      </c>
      <c r="D170" s="56" t="inlineStr">
        <is>
          <t>Wed</t>
        </is>
      </c>
      <c r="E170" s="56" t="inlineStr">
        <is>
          <t>Week</t>
        </is>
      </c>
      <c r="F170" s="56">
        <f>IF(ForeCalc!$F$1="Staffed Hours",G170,24)</f>
        <v/>
      </c>
      <c r="G170" s="57">
        <f>IF(COUNTIF(M:M,Calendar!A170)&gt;0,VLOOKUP(A170,M:P,4,FALSE),VLOOKUP(D170,BusData!$A$3:$D$10,4,FALSE))</f>
        <v/>
      </c>
      <c r="H170" s="11">
        <f>F170/SUMIFS($F$2:$F$9997,$B$2:$B$9997,B170,$C$2:$C$9997,C170)</f>
        <v/>
      </c>
      <c r="I170" s="19" t="n">
        <v>1</v>
      </c>
      <c r="J170" s="57" t="n">
        <v>6</v>
      </c>
    </row>
    <row r="171">
      <c r="A171" s="62" t="n">
        <v>46282</v>
      </c>
      <c r="B171" s="19" t="n">
        <v>2026</v>
      </c>
      <c r="C171" s="19" t="n">
        <v>9</v>
      </c>
      <c r="D171" s="56" t="inlineStr">
        <is>
          <t>Thu</t>
        </is>
      </c>
      <c r="E171" s="56" t="inlineStr">
        <is>
          <t>Week</t>
        </is>
      </c>
      <c r="F171" s="56">
        <f>IF(ForeCalc!$F$1="Staffed Hours",G171,24)</f>
        <v/>
      </c>
      <c r="G171" s="57">
        <f>IF(COUNTIF(M:M,Calendar!A171)&gt;0,VLOOKUP(A171,M:P,4,FALSE),VLOOKUP(D171,BusData!$A$3:$D$10,4,FALSE))</f>
        <v/>
      </c>
      <c r="H171" s="11">
        <f>F171/SUMIFS($F$2:$F$9997,$B$2:$B$9997,B171,$C$2:$C$9997,C171)</f>
        <v/>
      </c>
      <c r="I171" s="19" t="n">
        <v>1</v>
      </c>
      <c r="J171" s="57" t="n">
        <v>6</v>
      </c>
    </row>
    <row r="172">
      <c r="A172" s="62" t="n">
        <v>46283</v>
      </c>
      <c r="B172" s="19" t="n">
        <v>2026</v>
      </c>
      <c r="C172" s="19" t="n">
        <v>9</v>
      </c>
      <c r="D172" s="56" t="inlineStr">
        <is>
          <t>Fri</t>
        </is>
      </c>
      <c r="E172" s="56" t="inlineStr">
        <is>
          <t>Week</t>
        </is>
      </c>
      <c r="F172" s="56">
        <f>IF(ForeCalc!$F$1="Staffed Hours",G172,24)</f>
        <v/>
      </c>
      <c r="G172" s="57">
        <f>IF(COUNTIF(M:M,Calendar!A172)&gt;0,VLOOKUP(A172,M:P,4,FALSE),VLOOKUP(D172,BusData!$A$3:$D$10,4,FALSE))</f>
        <v/>
      </c>
      <c r="H172" s="11">
        <f>F172/SUMIFS($F$2:$F$9997,$B$2:$B$9997,B172,$C$2:$C$9997,C172)</f>
        <v/>
      </c>
      <c r="I172" s="19" t="n">
        <v>1</v>
      </c>
      <c r="J172" s="57" t="n">
        <v>6</v>
      </c>
    </row>
    <row r="173">
      <c r="A173" s="62" t="n">
        <v>46284</v>
      </c>
      <c r="B173" s="19" t="n">
        <v>2026</v>
      </c>
      <c r="C173" s="19" t="n">
        <v>9</v>
      </c>
      <c r="D173" s="56" t="inlineStr">
        <is>
          <t>Sat</t>
        </is>
      </c>
      <c r="E173" s="56" t="inlineStr">
        <is>
          <t>Sat</t>
        </is>
      </c>
      <c r="F173" s="56">
        <f>IF(ForeCalc!$F$1="Staffed Hours",G173,24)</f>
        <v/>
      </c>
      <c r="G173" s="57">
        <f>IF(COUNTIF(M:M,Calendar!A173)&gt;0,VLOOKUP(A173,M:P,4,FALSE),VLOOKUP(D173,BusData!$A$3:$D$10,4,FALSE))</f>
        <v/>
      </c>
      <c r="H173" s="11">
        <f>F173/SUMIFS($F$2:$F$9997,$B$2:$B$9997,B173,$C$2:$C$9997,C173)</f>
        <v/>
      </c>
      <c r="I173" s="19" t="n">
        <v>1</v>
      </c>
      <c r="J173" s="57" t="n">
        <v>6</v>
      </c>
    </row>
    <row r="174">
      <c r="A174" s="62" t="n">
        <v>46285</v>
      </c>
      <c r="B174" s="19" t="n">
        <v>2026</v>
      </c>
      <c r="C174" s="19" t="n">
        <v>9</v>
      </c>
      <c r="D174" s="56" t="inlineStr">
        <is>
          <t>Sun</t>
        </is>
      </c>
      <c r="E174" s="56" t="inlineStr">
        <is>
          <t>Sun</t>
        </is>
      </c>
      <c r="F174" s="56">
        <f>IF(ForeCalc!$F$1="Staffed Hours",G174,24)</f>
        <v/>
      </c>
      <c r="G174" s="57">
        <f>IF(COUNTIF(M:M,Calendar!A174)&gt;0,VLOOKUP(A174,M:P,4,FALSE),VLOOKUP(D174,BusData!$A$3:$D$10,4,FALSE))</f>
        <v/>
      </c>
      <c r="H174" s="11">
        <f>F174/SUMIFS($F$2:$F$9997,$B$2:$B$9997,B174,$C$2:$C$9997,C174)</f>
        <v/>
      </c>
      <c r="I174" s="19" t="n">
        <v>1</v>
      </c>
      <c r="J174" s="57" t="n">
        <v>6</v>
      </c>
    </row>
    <row r="175">
      <c r="A175" s="62" t="n">
        <v>46286</v>
      </c>
      <c r="B175" s="19" t="n">
        <v>2026</v>
      </c>
      <c r="C175" s="19" t="n">
        <v>9</v>
      </c>
      <c r="D175" s="56" t="inlineStr">
        <is>
          <t>Mon</t>
        </is>
      </c>
      <c r="E175" s="56" t="inlineStr">
        <is>
          <t>Week</t>
        </is>
      </c>
      <c r="F175" s="56">
        <f>IF(ForeCalc!$F$1="Staffed Hours",G175,24)</f>
        <v/>
      </c>
      <c r="G175" s="57">
        <f>IF(COUNTIF(M:M,Calendar!A175)&gt;0,VLOOKUP(A175,M:P,4,FALSE),VLOOKUP(D175,BusData!$A$3:$D$10,4,FALSE))</f>
        <v/>
      </c>
      <c r="H175" s="11">
        <f>F175/SUMIFS($F$2:$F$9997,$B$2:$B$9997,B175,$C$2:$C$9997,C175)</f>
        <v/>
      </c>
      <c r="I175" s="19" t="n">
        <v>1</v>
      </c>
      <c r="J175" s="57" t="n">
        <v>6</v>
      </c>
    </row>
    <row r="176">
      <c r="A176" s="62" t="n">
        <v>46287</v>
      </c>
      <c r="B176" s="19" t="n">
        <v>2026</v>
      </c>
      <c r="C176" s="19" t="n">
        <v>9</v>
      </c>
      <c r="D176" s="56" t="inlineStr">
        <is>
          <t>Tue</t>
        </is>
      </c>
      <c r="E176" s="56" t="inlineStr">
        <is>
          <t>Week</t>
        </is>
      </c>
      <c r="F176" s="56">
        <f>IF(ForeCalc!$F$1="Staffed Hours",G176,24)</f>
        <v/>
      </c>
      <c r="G176" s="57">
        <f>IF(COUNTIF(M:M,Calendar!A176)&gt;0,VLOOKUP(A176,M:P,4,FALSE),VLOOKUP(D176,BusData!$A$3:$D$10,4,FALSE))</f>
        <v/>
      </c>
      <c r="H176" s="11">
        <f>F176/SUMIFS($F$2:$F$9997,$B$2:$B$9997,B176,$C$2:$C$9997,C176)</f>
        <v/>
      </c>
      <c r="I176" s="19" t="n">
        <v>1</v>
      </c>
      <c r="J176" s="57" t="n">
        <v>6</v>
      </c>
    </row>
    <row r="177">
      <c r="A177" s="62" t="n">
        <v>46288</v>
      </c>
      <c r="B177" s="19" t="n">
        <v>2026</v>
      </c>
      <c r="C177" s="19" t="n">
        <v>9</v>
      </c>
      <c r="D177" s="56" t="inlineStr">
        <is>
          <t>Wed</t>
        </is>
      </c>
      <c r="E177" s="56" t="inlineStr">
        <is>
          <t>Week</t>
        </is>
      </c>
      <c r="F177" s="56">
        <f>IF(ForeCalc!$F$1="Staffed Hours",G177,24)</f>
        <v/>
      </c>
      <c r="G177" s="57">
        <f>IF(COUNTIF(M:M,Calendar!A177)&gt;0,VLOOKUP(A177,M:P,4,FALSE),VLOOKUP(D177,BusData!$A$3:$D$10,4,FALSE))</f>
        <v/>
      </c>
      <c r="H177" s="11">
        <f>F177/SUMIFS($F$2:$F$9997,$B$2:$B$9997,B177,$C$2:$C$9997,C177)</f>
        <v/>
      </c>
      <c r="I177" s="19" t="n">
        <v>1</v>
      </c>
      <c r="J177" s="57" t="n">
        <v>6</v>
      </c>
    </row>
    <row r="178">
      <c r="A178" s="62" t="n">
        <v>46289</v>
      </c>
      <c r="B178" s="19" t="n">
        <v>2026</v>
      </c>
      <c r="C178" s="19" t="n">
        <v>9</v>
      </c>
      <c r="D178" s="56" t="inlineStr">
        <is>
          <t>Thu</t>
        </is>
      </c>
      <c r="E178" s="56" t="inlineStr">
        <is>
          <t>Week</t>
        </is>
      </c>
      <c r="F178" s="56">
        <f>IF(ForeCalc!$F$1="Staffed Hours",G178,24)</f>
        <v/>
      </c>
      <c r="G178" s="57">
        <f>IF(COUNTIF(M:M,Calendar!A178)&gt;0,VLOOKUP(A178,M:P,4,FALSE),VLOOKUP(D178,BusData!$A$3:$D$10,4,FALSE))</f>
        <v/>
      </c>
      <c r="H178" s="11">
        <f>F178/SUMIFS($F$2:$F$9997,$B$2:$B$9997,B178,$C$2:$C$9997,C178)</f>
        <v/>
      </c>
      <c r="I178" s="19" t="n">
        <v>1</v>
      </c>
      <c r="J178" s="57" t="n">
        <v>6</v>
      </c>
    </row>
    <row r="179">
      <c r="A179" s="62" t="n">
        <v>46290</v>
      </c>
      <c r="B179" s="19" t="n">
        <v>2026</v>
      </c>
      <c r="C179" s="19" t="n">
        <v>9</v>
      </c>
      <c r="D179" s="56" t="inlineStr">
        <is>
          <t>Fri</t>
        </is>
      </c>
      <c r="E179" s="56" t="inlineStr">
        <is>
          <t>Week</t>
        </is>
      </c>
      <c r="F179" s="56">
        <f>IF(ForeCalc!$F$1="Staffed Hours",G179,24)</f>
        <v/>
      </c>
      <c r="G179" s="57">
        <f>IF(COUNTIF(M:M,Calendar!A179)&gt;0,VLOOKUP(A179,M:P,4,FALSE),VLOOKUP(D179,BusData!$A$3:$D$10,4,FALSE))</f>
        <v/>
      </c>
      <c r="H179" s="11">
        <f>F179/SUMIFS($F$2:$F$9997,$B$2:$B$9997,B179,$C$2:$C$9997,C179)</f>
        <v/>
      </c>
      <c r="I179" s="19" t="n">
        <v>1</v>
      </c>
      <c r="J179" s="57" t="n">
        <v>6</v>
      </c>
    </row>
    <row r="180">
      <c r="A180" s="62" t="n">
        <v>46291</v>
      </c>
      <c r="B180" s="19" t="n">
        <v>2026</v>
      </c>
      <c r="C180" s="19" t="n">
        <v>9</v>
      </c>
      <c r="D180" s="56" t="inlineStr">
        <is>
          <t>Sat</t>
        </is>
      </c>
      <c r="E180" s="56" t="inlineStr">
        <is>
          <t>Sat</t>
        </is>
      </c>
      <c r="F180" s="56">
        <f>IF(ForeCalc!$F$1="Staffed Hours",G180,24)</f>
        <v/>
      </c>
      <c r="G180" s="57">
        <f>IF(COUNTIF(M:M,Calendar!A180)&gt;0,VLOOKUP(A180,M:P,4,FALSE),VLOOKUP(D180,BusData!$A$3:$D$10,4,FALSE))</f>
        <v/>
      </c>
      <c r="H180" s="11">
        <f>F180/SUMIFS($F$2:$F$9997,$B$2:$B$9997,B180,$C$2:$C$9997,C180)</f>
        <v/>
      </c>
      <c r="I180" s="19" t="n">
        <v>1</v>
      </c>
      <c r="J180" s="57" t="n">
        <v>6</v>
      </c>
    </row>
    <row r="181">
      <c r="A181" s="62" t="n">
        <v>46292</v>
      </c>
      <c r="B181" s="19" t="n">
        <v>2026</v>
      </c>
      <c r="C181" s="19" t="n">
        <v>9</v>
      </c>
      <c r="D181" s="56" t="inlineStr">
        <is>
          <t>Sun</t>
        </is>
      </c>
      <c r="E181" s="56" t="inlineStr">
        <is>
          <t>Sun</t>
        </is>
      </c>
      <c r="F181" s="56">
        <f>IF(ForeCalc!$F$1="Staffed Hours",G181,24)</f>
        <v/>
      </c>
      <c r="G181" s="57">
        <f>IF(COUNTIF(M:M,Calendar!A181)&gt;0,VLOOKUP(A181,M:P,4,FALSE),VLOOKUP(D181,BusData!$A$3:$D$10,4,FALSE))</f>
        <v/>
      </c>
      <c r="H181" s="11">
        <f>F181/SUMIFS($F$2:$F$9997,$B$2:$B$9997,B181,$C$2:$C$9997,C181)</f>
        <v/>
      </c>
      <c r="I181" s="19" t="n">
        <v>1</v>
      </c>
      <c r="J181" s="57" t="n">
        <v>6</v>
      </c>
    </row>
    <row r="182">
      <c r="A182" s="62" t="n">
        <v>46293</v>
      </c>
      <c r="B182" s="19" t="n">
        <v>2026</v>
      </c>
      <c r="C182" s="19" t="n">
        <v>9</v>
      </c>
      <c r="D182" s="56" t="inlineStr">
        <is>
          <t>Mon</t>
        </is>
      </c>
      <c r="E182" s="56" t="inlineStr">
        <is>
          <t>Week</t>
        </is>
      </c>
      <c r="F182" s="56">
        <f>IF(ForeCalc!$F$1="Staffed Hours",G182,24)</f>
        <v/>
      </c>
      <c r="G182" s="57">
        <f>IF(COUNTIF(M:M,Calendar!A182)&gt;0,VLOOKUP(A182,M:P,4,FALSE),VLOOKUP(D182,BusData!$A$3:$D$10,4,FALSE))</f>
        <v/>
      </c>
      <c r="H182" s="11">
        <f>F182/SUMIFS($F$2:$F$9997,$B$2:$B$9997,B182,$C$2:$C$9997,C182)</f>
        <v/>
      </c>
      <c r="I182" s="19" t="n">
        <v>1</v>
      </c>
      <c r="J182" s="57" t="n">
        <v>6</v>
      </c>
    </row>
    <row r="183">
      <c r="A183" s="62" t="n">
        <v>46294</v>
      </c>
      <c r="B183" s="19" t="n">
        <v>2026</v>
      </c>
      <c r="C183" s="19" t="n">
        <v>9</v>
      </c>
      <c r="D183" s="56" t="inlineStr">
        <is>
          <t>Tue</t>
        </is>
      </c>
      <c r="E183" s="56" t="inlineStr">
        <is>
          <t>Week</t>
        </is>
      </c>
      <c r="F183" s="56">
        <f>IF(ForeCalc!$F$1="Staffed Hours",G183,24)</f>
        <v/>
      </c>
      <c r="G183" s="57">
        <f>IF(COUNTIF(M:M,Calendar!A183)&gt;0,VLOOKUP(A183,M:P,4,FALSE),VLOOKUP(D183,BusData!$A$3:$D$10,4,FALSE))</f>
        <v/>
      </c>
      <c r="H183" s="11">
        <f>F183/SUMIFS($F$2:$F$9997,$B$2:$B$9997,B183,$C$2:$C$9997,C183)</f>
        <v/>
      </c>
      <c r="I183" s="19" t="n">
        <v>1</v>
      </c>
      <c r="J183" s="57" t="n">
        <v>6</v>
      </c>
    </row>
    <row r="184">
      <c r="A184" s="62" t="n">
        <v>46295</v>
      </c>
      <c r="B184" s="19" t="n">
        <v>2026</v>
      </c>
      <c r="C184" s="19" t="n">
        <v>9</v>
      </c>
      <c r="D184" s="56" t="inlineStr">
        <is>
          <t>Wed</t>
        </is>
      </c>
      <c r="E184" s="56" t="inlineStr">
        <is>
          <t>Week</t>
        </is>
      </c>
      <c r="F184" s="56">
        <f>IF(ForeCalc!$F$1="Staffed Hours",G184,24)</f>
        <v/>
      </c>
      <c r="G184" s="57">
        <f>IF(COUNTIF(M:M,Calendar!A184)&gt;0,VLOOKUP(A184,M:P,4,FALSE),VLOOKUP(D184,BusData!$A$3:$D$10,4,FALSE))</f>
        <v/>
      </c>
      <c r="H184" s="11">
        <f>F184/SUMIFS($F$2:$F$9997,$B$2:$B$9997,B184,$C$2:$C$9997,C184)</f>
        <v/>
      </c>
      <c r="I184" s="19" t="n">
        <v>1</v>
      </c>
      <c r="J184" s="57" t="n">
        <v>6</v>
      </c>
    </row>
    <row r="185">
      <c r="A185" s="62" t="n">
        <v>46296</v>
      </c>
      <c r="B185" s="19" t="n">
        <v>2026</v>
      </c>
      <c r="C185" s="19" t="n">
        <v>10</v>
      </c>
      <c r="D185" s="56" t="inlineStr">
        <is>
          <t>Thu</t>
        </is>
      </c>
      <c r="E185" s="56" t="inlineStr">
        <is>
          <t>Week</t>
        </is>
      </c>
      <c r="F185" s="56">
        <f>IF(ForeCalc!$F$1="Staffed Hours",G185,24)</f>
        <v/>
      </c>
      <c r="G185" s="57">
        <f>IF(COUNTIF(M:M,Calendar!A185)&gt;0,VLOOKUP(A185,M:P,4,FALSE),VLOOKUP(D185,BusData!$A$3:$D$10,4,FALSE))</f>
        <v/>
      </c>
      <c r="H185" s="11">
        <f>F185/SUMIFS($F$2:$F$9997,$B$2:$B$9997,B185,$C$2:$C$9997,C185)</f>
        <v/>
      </c>
      <c r="I185" s="19" t="n">
        <v>1</v>
      </c>
      <c r="J185" s="57" t="n">
        <v>7</v>
      </c>
    </row>
    <row r="186">
      <c r="A186" s="62" t="n">
        <v>46297</v>
      </c>
      <c r="B186" s="19" t="n">
        <v>2026</v>
      </c>
      <c r="C186" s="19" t="n">
        <v>10</v>
      </c>
      <c r="D186" s="56" t="inlineStr">
        <is>
          <t>Fri</t>
        </is>
      </c>
      <c r="E186" s="56" t="inlineStr">
        <is>
          <t>Week</t>
        </is>
      </c>
      <c r="F186" s="56">
        <f>IF(ForeCalc!$F$1="Staffed Hours",G186,24)</f>
        <v/>
      </c>
      <c r="G186" s="57">
        <f>IF(COUNTIF(M:M,Calendar!A186)&gt;0,VLOOKUP(A186,M:P,4,FALSE),VLOOKUP(D186,BusData!$A$3:$D$10,4,FALSE))</f>
        <v/>
      </c>
      <c r="H186" s="11">
        <f>F186/SUMIFS($F$2:$F$9997,$B$2:$B$9997,B186,$C$2:$C$9997,C186)</f>
        <v/>
      </c>
      <c r="I186" s="19" t="n">
        <v>1</v>
      </c>
      <c r="J186" s="57" t="n">
        <v>7</v>
      </c>
    </row>
    <row r="187">
      <c r="A187" s="62" t="n">
        <v>46298</v>
      </c>
      <c r="B187" s="19" t="n">
        <v>2026</v>
      </c>
      <c r="C187" s="19" t="n">
        <v>10</v>
      </c>
      <c r="D187" s="56" t="inlineStr">
        <is>
          <t>Sat</t>
        </is>
      </c>
      <c r="E187" s="56" t="inlineStr">
        <is>
          <t>Sat</t>
        </is>
      </c>
      <c r="F187" s="56">
        <f>IF(ForeCalc!$F$1="Staffed Hours",G187,24)</f>
        <v/>
      </c>
      <c r="G187" s="57">
        <f>IF(COUNTIF(M:M,Calendar!A187)&gt;0,VLOOKUP(A187,M:P,4,FALSE),VLOOKUP(D187,BusData!$A$3:$D$10,4,FALSE))</f>
        <v/>
      </c>
      <c r="H187" s="11">
        <f>F187/SUMIFS($F$2:$F$9997,$B$2:$B$9997,B187,$C$2:$C$9997,C187)</f>
        <v/>
      </c>
      <c r="I187" s="19" t="n">
        <v>1</v>
      </c>
      <c r="J187" s="57" t="n">
        <v>7</v>
      </c>
    </row>
    <row r="188">
      <c r="A188" s="62" t="n">
        <v>46299</v>
      </c>
      <c r="B188" s="19" t="n">
        <v>2026</v>
      </c>
      <c r="C188" s="19" t="n">
        <v>10</v>
      </c>
      <c r="D188" s="56" t="inlineStr">
        <is>
          <t>Sun</t>
        </is>
      </c>
      <c r="E188" s="56" t="inlineStr">
        <is>
          <t>Sun</t>
        </is>
      </c>
      <c r="F188" s="56">
        <f>IF(ForeCalc!$F$1="Staffed Hours",G188,24)</f>
        <v/>
      </c>
      <c r="G188" s="57">
        <f>IF(COUNTIF(M:M,Calendar!A188)&gt;0,VLOOKUP(A188,M:P,4,FALSE),VLOOKUP(D188,BusData!$A$3:$D$10,4,FALSE))</f>
        <v/>
      </c>
      <c r="H188" s="11">
        <f>F188/SUMIFS($F$2:$F$9997,$B$2:$B$9997,B188,$C$2:$C$9997,C188)</f>
        <v/>
      </c>
      <c r="I188" s="19" t="n">
        <v>1</v>
      </c>
      <c r="J188" s="57" t="n">
        <v>7</v>
      </c>
    </row>
    <row r="189">
      <c r="A189" s="62" t="n">
        <v>46300</v>
      </c>
      <c r="B189" s="19" t="n">
        <v>2026</v>
      </c>
      <c r="C189" s="19" t="n">
        <v>10</v>
      </c>
      <c r="D189" s="56" t="inlineStr">
        <is>
          <t>Mon</t>
        </is>
      </c>
      <c r="E189" s="56" t="inlineStr">
        <is>
          <t>Week</t>
        </is>
      </c>
      <c r="F189" s="56">
        <f>IF(ForeCalc!$F$1="Staffed Hours",G189,24)</f>
        <v/>
      </c>
      <c r="G189" s="57">
        <f>IF(COUNTIF(M:M,Calendar!A189)&gt;0,VLOOKUP(A189,M:P,4,FALSE),VLOOKUP(D189,BusData!$A$3:$D$10,4,FALSE))</f>
        <v/>
      </c>
      <c r="H189" s="11">
        <f>F189/SUMIFS($F$2:$F$9997,$B$2:$B$9997,B189,$C$2:$C$9997,C189)</f>
        <v/>
      </c>
      <c r="I189" s="19" t="n">
        <v>1</v>
      </c>
      <c r="J189" s="57" t="n">
        <v>7</v>
      </c>
    </row>
    <row r="190">
      <c r="A190" s="62" t="n">
        <v>46301</v>
      </c>
      <c r="B190" s="19" t="n">
        <v>2026</v>
      </c>
      <c r="C190" s="19" t="n">
        <v>10</v>
      </c>
      <c r="D190" s="56" t="inlineStr">
        <is>
          <t>Tue</t>
        </is>
      </c>
      <c r="E190" s="56" t="inlineStr">
        <is>
          <t>Week</t>
        </is>
      </c>
      <c r="F190" s="56">
        <f>IF(ForeCalc!$F$1="Staffed Hours",G190,24)</f>
        <v/>
      </c>
      <c r="G190" s="57">
        <f>IF(COUNTIF(M:M,Calendar!A190)&gt;0,VLOOKUP(A190,M:P,4,FALSE),VLOOKUP(D190,BusData!$A$3:$D$10,4,FALSE))</f>
        <v/>
      </c>
      <c r="H190" s="11">
        <f>F190/SUMIFS($F$2:$F$9997,$B$2:$B$9997,B190,$C$2:$C$9997,C190)</f>
        <v/>
      </c>
      <c r="I190" s="19" t="n">
        <v>1</v>
      </c>
      <c r="J190" s="57" t="n">
        <v>7</v>
      </c>
    </row>
    <row r="191">
      <c r="A191" s="62" t="n">
        <v>46302</v>
      </c>
      <c r="B191" s="19" t="n">
        <v>2026</v>
      </c>
      <c r="C191" s="19" t="n">
        <v>10</v>
      </c>
      <c r="D191" s="56" t="inlineStr">
        <is>
          <t>Wed</t>
        </is>
      </c>
      <c r="E191" s="56" t="inlineStr">
        <is>
          <t>Week</t>
        </is>
      </c>
      <c r="F191" s="56">
        <f>IF(ForeCalc!$F$1="Staffed Hours",G191,24)</f>
        <v/>
      </c>
      <c r="G191" s="57">
        <f>IF(COUNTIF(M:M,Calendar!A191)&gt;0,VLOOKUP(A191,M:P,4,FALSE),VLOOKUP(D191,BusData!$A$3:$D$10,4,FALSE))</f>
        <v/>
      </c>
      <c r="H191" s="11">
        <f>F191/SUMIFS($F$2:$F$9997,$B$2:$B$9997,B191,$C$2:$C$9997,C191)</f>
        <v/>
      </c>
      <c r="I191" s="19" t="n">
        <v>1</v>
      </c>
      <c r="J191" s="57" t="n">
        <v>7</v>
      </c>
    </row>
    <row r="192">
      <c r="A192" s="62" t="n">
        <v>46303</v>
      </c>
      <c r="B192" s="19" t="n">
        <v>2026</v>
      </c>
      <c r="C192" s="19" t="n">
        <v>10</v>
      </c>
      <c r="D192" s="56" t="inlineStr">
        <is>
          <t>Thu</t>
        </is>
      </c>
      <c r="E192" s="56" t="inlineStr">
        <is>
          <t>Week</t>
        </is>
      </c>
      <c r="F192" s="56">
        <f>IF(ForeCalc!$F$1="Staffed Hours",G192,24)</f>
        <v/>
      </c>
      <c r="G192" s="57">
        <f>IF(COUNTIF(M:M,Calendar!A192)&gt;0,VLOOKUP(A192,M:P,4,FALSE),VLOOKUP(D192,BusData!$A$3:$D$10,4,FALSE))</f>
        <v/>
      </c>
      <c r="H192" s="11">
        <f>F192/SUMIFS($F$2:$F$9997,$B$2:$B$9997,B192,$C$2:$C$9997,C192)</f>
        <v/>
      </c>
      <c r="I192" s="19" t="n">
        <v>1</v>
      </c>
      <c r="J192" s="57" t="n">
        <v>7</v>
      </c>
    </row>
    <row r="193">
      <c r="A193" s="62" t="n">
        <v>46304</v>
      </c>
      <c r="B193" s="19" t="n">
        <v>2026</v>
      </c>
      <c r="C193" s="19" t="n">
        <v>10</v>
      </c>
      <c r="D193" s="56" t="inlineStr">
        <is>
          <t>Fri</t>
        </is>
      </c>
      <c r="E193" s="56" t="inlineStr">
        <is>
          <t>Week</t>
        </is>
      </c>
      <c r="F193" s="56">
        <f>IF(ForeCalc!$F$1="Staffed Hours",G193,24)</f>
        <v/>
      </c>
      <c r="G193" s="57">
        <f>IF(COUNTIF(M:M,Calendar!A193)&gt;0,VLOOKUP(A193,M:P,4,FALSE),VLOOKUP(D193,BusData!$A$3:$D$10,4,FALSE))</f>
        <v/>
      </c>
      <c r="H193" s="11">
        <f>F193/SUMIFS($F$2:$F$9997,$B$2:$B$9997,B193,$C$2:$C$9997,C193)</f>
        <v/>
      </c>
      <c r="I193" s="19" t="n">
        <v>1</v>
      </c>
      <c r="J193" s="57" t="n">
        <v>7</v>
      </c>
    </row>
    <row r="194">
      <c r="A194" s="62" t="n">
        <v>46305</v>
      </c>
      <c r="B194" s="19" t="n">
        <v>2026</v>
      </c>
      <c r="C194" s="19" t="n">
        <v>10</v>
      </c>
      <c r="D194" s="56" t="inlineStr">
        <is>
          <t>Sat</t>
        </is>
      </c>
      <c r="E194" s="56" t="inlineStr">
        <is>
          <t>Sat</t>
        </is>
      </c>
      <c r="F194" s="56">
        <f>IF(ForeCalc!$F$1="Staffed Hours",G194,24)</f>
        <v/>
      </c>
      <c r="G194" s="57">
        <f>IF(COUNTIF(M:M,Calendar!A194)&gt;0,VLOOKUP(A194,M:P,4,FALSE),VLOOKUP(D194,BusData!$A$3:$D$10,4,FALSE))</f>
        <v/>
      </c>
      <c r="H194" s="11">
        <f>F194/SUMIFS($F$2:$F$9997,$B$2:$B$9997,B194,$C$2:$C$9997,C194)</f>
        <v/>
      </c>
      <c r="I194" s="19" t="n">
        <v>1</v>
      </c>
      <c r="J194" s="57" t="n">
        <v>7</v>
      </c>
    </row>
    <row r="195">
      <c r="A195" s="62" t="n">
        <v>46306</v>
      </c>
      <c r="B195" s="19" t="n">
        <v>2026</v>
      </c>
      <c r="C195" s="19" t="n">
        <v>10</v>
      </c>
      <c r="D195" s="56" t="inlineStr">
        <is>
          <t>Sun</t>
        </is>
      </c>
      <c r="E195" s="56" t="inlineStr">
        <is>
          <t>Sun</t>
        </is>
      </c>
      <c r="F195" s="56">
        <f>IF(ForeCalc!$F$1="Staffed Hours",G195,24)</f>
        <v/>
      </c>
      <c r="G195" s="57">
        <f>IF(COUNTIF(M:M,Calendar!A195)&gt;0,VLOOKUP(A195,M:P,4,FALSE),VLOOKUP(D195,BusData!$A$3:$D$10,4,FALSE))</f>
        <v/>
      </c>
      <c r="H195" s="11">
        <f>F195/SUMIFS($F$2:$F$9997,$B$2:$B$9997,B195,$C$2:$C$9997,C195)</f>
        <v/>
      </c>
      <c r="I195" s="19" t="n">
        <v>1</v>
      </c>
      <c r="J195" s="57" t="n">
        <v>7</v>
      </c>
    </row>
    <row r="196">
      <c r="A196" s="62" t="n">
        <v>46307</v>
      </c>
      <c r="B196" s="19" t="n">
        <v>2026</v>
      </c>
      <c r="C196" s="19" t="n">
        <v>10</v>
      </c>
      <c r="D196" s="56" t="inlineStr">
        <is>
          <t>Mon</t>
        </is>
      </c>
      <c r="E196" s="56" t="inlineStr">
        <is>
          <t>Week</t>
        </is>
      </c>
      <c r="F196" s="56">
        <f>IF(ForeCalc!$F$1="Staffed Hours",G196,24)</f>
        <v/>
      </c>
      <c r="G196" s="57">
        <f>IF(COUNTIF(M:M,Calendar!A196)&gt;0,VLOOKUP(A196,M:P,4,FALSE),VLOOKUP(D196,BusData!$A$3:$D$10,4,FALSE))</f>
        <v/>
      </c>
      <c r="H196" s="11">
        <f>F196/SUMIFS($F$2:$F$9997,$B$2:$B$9997,B196,$C$2:$C$9997,C196)</f>
        <v/>
      </c>
      <c r="I196" s="19" t="n">
        <v>1</v>
      </c>
      <c r="J196" s="57" t="n">
        <v>7</v>
      </c>
    </row>
    <row r="197">
      <c r="A197" s="62" t="n">
        <v>46308</v>
      </c>
      <c r="B197" s="19" t="n">
        <v>2026</v>
      </c>
      <c r="C197" s="19" t="n">
        <v>10</v>
      </c>
      <c r="D197" s="56" t="inlineStr">
        <is>
          <t>Tue</t>
        </is>
      </c>
      <c r="E197" s="56" t="inlineStr">
        <is>
          <t>Week</t>
        </is>
      </c>
      <c r="F197" s="56">
        <f>IF(ForeCalc!$F$1="Staffed Hours",G197,24)</f>
        <v/>
      </c>
      <c r="G197" s="57">
        <f>IF(COUNTIF(M:M,Calendar!A197)&gt;0,VLOOKUP(A197,M:P,4,FALSE),VLOOKUP(D197,BusData!$A$3:$D$10,4,FALSE))</f>
        <v/>
      </c>
      <c r="H197" s="11">
        <f>F197/SUMIFS($F$2:$F$9997,$B$2:$B$9997,B197,$C$2:$C$9997,C197)</f>
        <v/>
      </c>
      <c r="I197" s="19" t="n">
        <v>1</v>
      </c>
      <c r="J197" s="57" t="n">
        <v>7</v>
      </c>
    </row>
    <row r="198">
      <c r="A198" s="62" t="n">
        <v>46309</v>
      </c>
      <c r="B198" s="19" t="n">
        <v>2026</v>
      </c>
      <c r="C198" s="19" t="n">
        <v>10</v>
      </c>
      <c r="D198" s="56" t="inlineStr">
        <is>
          <t>Wed</t>
        </is>
      </c>
      <c r="E198" s="56" t="inlineStr">
        <is>
          <t>Week</t>
        </is>
      </c>
      <c r="F198" s="56">
        <f>IF(ForeCalc!$F$1="Staffed Hours",G198,24)</f>
        <v/>
      </c>
      <c r="G198" s="57">
        <f>IF(COUNTIF(M:M,Calendar!A198)&gt;0,VLOOKUP(A198,M:P,4,FALSE),VLOOKUP(D198,BusData!$A$3:$D$10,4,FALSE))</f>
        <v/>
      </c>
      <c r="H198" s="11">
        <f>F198/SUMIFS($F$2:$F$9997,$B$2:$B$9997,B198,$C$2:$C$9997,C198)</f>
        <v/>
      </c>
      <c r="I198" s="19" t="n">
        <v>1</v>
      </c>
      <c r="J198" s="57" t="n">
        <v>7</v>
      </c>
    </row>
    <row r="199">
      <c r="A199" s="62" t="n">
        <v>46310</v>
      </c>
      <c r="B199" s="19" t="n">
        <v>2026</v>
      </c>
      <c r="C199" s="19" t="n">
        <v>10</v>
      </c>
      <c r="D199" s="56" t="inlineStr">
        <is>
          <t>Thu</t>
        </is>
      </c>
      <c r="E199" s="56" t="inlineStr">
        <is>
          <t>Week</t>
        </is>
      </c>
      <c r="F199" s="56">
        <f>IF(ForeCalc!$F$1="Staffed Hours",G199,24)</f>
        <v/>
      </c>
      <c r="G199" s="57">
        <f>IF(COUNTIF(M:M,Calendar!A199)&gt;0,VLOOKUP(A199,M:P,4,FALSE),VLOOKUP(D199,BusData!$A$3:$D$10,4,FALSE))</f>
        <v/>
      </c>
      <c r="H199" s="11">
        <f>F199/SUMIFS($F$2:$F$9997,$B$2:$B$9997,B199,$C$2:$C$9997,C199)</f>
        <v/>
      </c>
      <c r="I199" s="19" t="n">
        <v>1</v>
      </c>
      <c r="J199" s="57" t="n">
        <v>7</v>
      </c>
    </row>
    <row r="200">
      <c r="A200" s="62" t="n">
        <v>46311</v>
      </c>
      <c r="B200" s="19" t="n">
        <v>2026</v>
      </c>
      <c r="C200" s="19" t="n">
        <v>10</v>
      </c>
      <c r="D200" s="56" t="inlineStr">
        <is>
          <t>Fri</t>
        </is>
      </c>
      <c r="E200" s="56" t="inlineStr">
        <is>
          <t>Week</t>
        </is>
      </c>
      <c r="F200" s="56">
        <f>IF(ForeCalc!$F$1="Staffed Hours",G200,24)</f>
        <v/>
      </c>
      <c r="G200" s="57">
        <f>IF(COUNTIF(M:M,Calendar!A200)&gt;0,VLOOKUP(A200,M:P,4,FALSE),VLOOKUP(D200,BusData!$A$3:$D$10,4,FALSE))</f>
        <v/>
      </c>
      <c r="H200" s="11">
        <f>F200/SUMIFS($F$2:$F$9997,$B$2:$B$9997,B200,$C$2:$C$9997,C200)</f>
        <v/>
      </c>
      <c r="I200" s="19" t="n">
        <v>1</v>
      </c>
      <c r="J200" s="57" t="n">
        <v>7</v>
      </c>
    </row>
    <row r="201">
      <c r="A201" s="62" t="n">
        <v>46312</v>
      </c>
      <c r="B201" s="19" t="n">
        <v>2026</v>
      </c>
      <c r="C201" s="19" t="n">
        <v>10</v>
      </c>
      <c r="D201" s="56" t="inlineStr">
        <is>
          <t>Sat</t>
        </is>
      </c>
      <c r="E201" s="56" t="inlineStr">
        <is>
          <t>Sat</t>
        </is>
      </c>
      <c r="F201" s="56">
        <f>IF(ForeCalc!$F$1="Staffed Hours",G201,24)</f>
        <v/>
      </c>
      <c r="G201" s="57">
        <f>IF(COUNTIF(M:M,Calendar!A201)&gt;0,VLOOKUP(A201,M:P,4,FALSE),VLOOKUP(D201,BusData!$A$3:$D$10,4,FALSE))</f>
        <v/>
      </c>
      <c r="H201" s="11">
        <f>F201/SUMIFS($F$2:$F$9997,$B$2:$B$9997,B201,$C$2:$C$9997,C201)</f>
        <v/>
      </c>
      <c r="I201" s="19" t="n">
        <v>1</v>
      </c>
      <c r="J201" s="57" t="n">
        <v>7</v>
      </c>
    </row>
    <row r="202">
      <c r="A202" s="62" t="n">
        <v>46313</v>
      </c>
      <c r="B202" s="19" t="n">
        <v>2026</v>
      </c>
      <c r="C202" s="19" t="n">
        <v>10</v>
      </c>
      <c r="D202" s="56" t="inlineStr">
        <is>
          <t>Sun</t>
        </is>
      </c>
      <c r="E202" s="56" t="inlineStr">
        <is>
          <t>Sun</t>
        </is>
      </c>
      <c r="F202" s="56">
        <f>IF(ForeCalc!$F$1="Staffed Hours",G202,24)</f>
        <v/>
      </c>
      <c r="G202" s="57">
        <f>IF(COUNTIF(M:M,Calendar!A202)&gt;0,VLOOKUP(A202,M:P,4,FALSE),VLOOKUP(D202,BusData!$A$3:$D$10,4,FALSE))</f>
        <v/>
      </c>
      <c r="H202" s="11">
        <f>F202/SUMIFS($F$2:$F$9997,$B$2:$B$9997,B202,$C$2:$C$9997,C202)</f>
        <v/>
      </c>
      <c r="I202" s="19" t="n">
        <v>1</v>
      </c>
      <c r="J202" s="57" t="n">
        <v>7</v>
      </c>
    </row>
    <row r="203">
      <c r="A203" s="62" t="n">
        <v>46314</v>
      </c>
      <c r="B203" s="19" t="n">
        <v>2026</v>
      </c>
      <c r="C203" s="19" t="n">
        <v>10</v>
      </c>
      <c r="D203" s="56" t="inlineStr">
        <is>
          <t>Mon</t>
        </is>
      </c>
      <c r="E203" s="56" t="inlineStr">
        <is>
          <t>Week</t>
        </is>
      </c>
      <c r="F203" s="56">
        <f>IF(ForeCalc!$F$1="Staffed Hours",G203,24)</f>
        <v/>
      </c>
      <c r="G203" s="57">
        <f>IF(COUNTIF(M:M,Calendar!A203)&gt;0,VLOOKUP(A203,M:P,4,FALSE),VLOOKUP(D203,BusData!$A$3:$D$10,4,FALSE))</f>
        <v/>
      </c>
      <c r="H203" s="11">
        <f>F203/SUMIFS($F$2:$F$9997,$B$2:$B$9997,B203,$C$2:$C$9997,C203)</f>
        <v/>
      </c>
      <c r="I203" s="19" t="n">
        <v>1</v>
      </c>
      <c r="J203" s="57" t="n">
        <v>7</v>
      </c>
    </row>
    <row r="204">
      <c r="A204" s="62" t="n">
        <v>46315</v>
      </c>
      <c r="B204" s="19" t="n">
        <v>2026</v>
      </c>
      <c r="C204" s="19" t="n">
        <v>10</v>
      </c>
      <c r="D204" s="56" t="inlineStr">
        <is>
          <t>Tue</t>
        </is>
      </c>
      <c r="E204" s="56" t="inlineStr">
        <is>
          <t>Week</t>
        </is>
      </c>
      <c r="F204" s="56">
        <f>IF(ForeCalc!$F$1="Staffed Hours",G204,24)</f>
        <v/>
      </c>
      <c r="G204" s="57">
        <f>IF(COUNTIF(M:M,Calendar!A204)&gt;0,VLOOKUP(A204,M:P,4,FALSE),VLOOKUP(D204,BusData!$A$3:$D$10,4,FALSE))</f>
        <v/>
      </c>
      <c r="H204" s="11">
        <f>F204/SUMIFS($F$2:$F$9997,$B$2:$B$9997,B204,$C$2:$C$9997,C204)</f>
        <v/>
      </c>
      <c r="I204" s="19" t="n">
        <v>1</v>
      </c>
      <c r="J204" s="57" t="n">
        <v>7</v>
      </c>
    </row>
    <row r="205">
      <c r="A205" s="62" t="n">
        <v>46316</v>
      </c>
      <c r="B205" s="19" t="n">
        <v>2026</v>
      </c>
      <c r="C205" s="19" t="n">
        <v>10</v>
      </c>
      <c r="D205" s="56" t="inlineStr">
        <is>
          <t>Wed</t>
        </is>
      </c>
      <c r="E205" s="56" t="inlineStr">
        <is>
          <t>Week</t>
        </is>
      </c>
      <c r="F205" s="56">
        <f>IF(ForeCalc!$F$1="Staffed Hours",G205,24)</f>
        <v/>
      </c>
      <c r="G205" s="57">
        <f>IF(COUNTIF(M:M,Calendar!A205)&gt;0,VLOOKUP(A205,M:P,4,FALSE),VLOOKUP(D205,BusData!$A$3:$D$10,4,FALSE))</f>
        <v/>
      </c>
      <c r="H205" s="11">
        <f>F205/SUMIFS($F$2:$F$9997,$B$2:$B$9997,B205,$C$2:$C$9997,C205)</f>
        <v/>
      </c>
      <c r="I205" s="19" t="n">
        <v>1</v>
      </c>
      <c r="J205" s="57" t="n">
        <v>7</v>
      </c>
    </row>
    <row r="206">
      <c r="A206" s="62" t="n">
        <v>46317</v>
      </c>
      <c r="B206" s="19" t="n">
        <v>2026</v>
      </c>
      <c r="C206" s="19" t="n">
        <v>10</v>
      </c>
      <c r="D206" s="56" t="inlineStr">
        <is>
          <t>Thu</t>
        </is>
      </c>
      <c r="E206" s="56" t="inlineStr">
        <is>
          <t>Week</t>
        </is>
      </c>
      <c r="F206" s="56">
        <f>IF(ForeCalc!$F$1="Staffed Hours",G206,24)</f>
        <v/>
      </c>
      <c r="G206" s="57">
        <f>IF(COUNTIF(M:M,Calendar!A206)&gt;0,VLOOKUP(A206,M:P,4,FALSE),VLOOKUP(D206,BusData!$A$3:$D$10,4,FALSE))</f>
        <v/>
      </c>
      <c r="H206" s="11">
        <f>F206/SUMIFS($F$2:$F$9997,$B$2:$B$9997,B206,$C$2:$C$9997,C206)</f>
        <v/>
      </c>
      <c r="I206" s="19" t="n">
        <v>1</v>
      </c>
      <c r="J206" s="57" t="n">
        <v>7</v>
      </c>
    </row>
    <row r="207">
      <c r="A207" s="62" t="n">
        <v>46318</v>
      </c>
      <c r="B207" s="19" t="n">
        <v>2026</v>
      </c>
      <c r="C207" s="19" t="n">
        <v>10</v>
      </c>
      <c r="D207" s="56" t="inlineStr">
        <is>
          <t>Fri</t>
        </is>
      </c>
      <c r="E207" s="56" t="inlineStr">
        <is>
          <t>Week</t>
        </is>
      </c>
      <c r="F207" s="56">
        <f>IF(ForeCalc!$F$1="Staffed Hours",G207,24)</f>
        <v/>
      </c>
      <c r="G207" s="57">
        <f>IF(COUNTIF(M:M,Calendar!A207)&gt;0,VLOOKUP(A207,M:P,4,FALSE),VLOOKUP(D207,BusData!$A$3:$D$10,4,FALSE))</f>
        <v/>
      </c>
      <c r="H207" s="11">
        <f>F207/SUMIFS($F$2:$F$9997,$B$2:$B$9997,B207,$C$2:$C$9997,C207)</f>
        <v/>
      </c>
      <c r="I207" s="19" t="n">
        <v>1</v>
      </c>
      <c r="J207" s="57" t="n">
        <v>7</v>
      </c>
    </row>
    <row r="208">
      <c r="A208" s="62" t="n">
        <v>46319</v>
      </c>
      <c r="B208" s="19" t="n">
        <v>2026</v>
      </c>
      <c r="C208" s="19" t="n">
        <v>10</v>
      </c>
      <c r="D208" s="56" t="inlineStr">
        <is>
          <t>Sat</t>
        </is>
      </c>
      <c r="E208" s="56" t="inlineStr">
        <is>
          <t>Sat</t>
        </is>
      </c>
      <c r="F208" s="56">
        <f>IF(ForeCalc!$F$1="Staffed Hours",G208,24)</f>
        <v/>
      </c>
      <c r="G208" s="57">
        <f>IF(COUNTIF(M:M,Calendar!A208)&gt;0,VLOOKUP(A208,M:P,4,FALSE),VLOOKUP(D208,BusData!$A$3:$D$10,4,FALSE))</f>
        <v/>
      </c>
      <c r="H208" s="11">
        <f>F208/SUMIFS($F$2:$F$9997,$B$2:$B$9997,B208,$C$2:$C$9997,C208)</f>
        <v/>
      </c>
      <c r="I208" s="19" t="n">
        <v>1</v>
      </c>
      <c r="J208" s="57" t="n">
        <v>7</v>
      </c>
    </row>
    <row r="209">
      <c r="A209" s="62" t="n">
        <v>46320</v>
      </c>
      <c r="B209" s="19" t="n">
        <v>2026</v>
      </c>
      <c r="C209" s="19" t="n">
        <v>10</v>
      </c>
      <c r="D209" s="56" t="inlineStr">
        <is>
          <t>Sun</t>
        </is>
      </c>
      <c r="E209" s="56" t="inlineStr">
        <is>
          <t>Sun</t>
        </is>
      </c>
      <c r="F209" s="56">
        <f>IF(ForeCalc!$F$1="Staffed Hours",G209,24)</f>
        <v/>
      </c>
      <c r="G209" s="57">
        <f>IF(COUNTIF(M:M,Calendar!A209)&gt;0,VLOOKUP(A209,M:P,4,FALSE),VLOOKUP(D209,BusData!$A$3:$D$10,4,FALSE))</f>
        <v/>
      </c>
      <c r="H209" s="11">
        <f>F209/SUMIFS($F$2:$F$9997,$B$2:$B$9997,B209,$C$2:$C$9997,C209)</f>
        <v/>
      </c>
      <c r="I209" s="19" t="n">
        <v>1</v>
      </c>
      <c r="J209" s="57" t="n">
        <v>7</v>
      </c>
    </row>
    <row r="210">
      <c r="A210" s="62" t="n">
        <v>46321</v>
      </c>
      <c r="B210" s="19" t="n">
        <v>2026</v>
      </c>
      <c r="C210" s="19" t="n">
        <v>10</v>
      </c>
      <c r="D210" s="56" t="inlineStr">
        <is>
          <t>Mon</t>
        </is>
      </c>
      <c r="E210" s="56" t="inlineStr">
        <is>
          <t>Week</t>
        </is>
      </c>
      <c r="F210" s="56">
        <f>IF(ForeCalc!$F$1="Staffed Hours",G210,24)</f>
        <v/>
      </c>
      <c r="G210" s="57">
        <f>IF(COUNTIF(M:M,Calendar!A210)&gt;0,VLOOKUP(A210,M:P,4,FALSE),VLOOKUP(D210,BusData!$A$3:$D$10,4,FALSE))</f>
        <v/>
      </c>
      <c r="H210" s="11">
        <f>F210/SUMIFS($F$2:$F$9997,$B$2:$B$9997,B210,$C$2:$C$9997,C210)</f>
        <v/>
      </c>
      <c r="I210" s="19" t="n">
        <v>1</v>
      </c>
      <c r="J210" s="57" t="n">
        <v>7</v>
      </c>
    </row>
    <row r="211">
      <c r="A211" s="62" t="n">
        <v>46322</v>
      </c>
      <c r="B211" s="19" t="n">
        <v>2026</v>
      </c>
      <c r="C211" s="19" t="n">
        <v>10</v>
      </c>
      <c r="D211" s="56" t="inlineStr">
        <is>
          <t>Tue</t>
        </is>
      </c>
      <c r="E211" s="56" t="inlineStr">
        <is>
          <t>Week</t>
        </is>
      </c>
      <c r="F211" s="56">
        <f>IF(ForeCalc!$F$1="Staffed Hours",G211,24)</f>
        <v/>
      </c>
      <c r="G211" s="57">
        <f>IF(COUNTIF(M:M,Calendar!A211)&gt;0,VLOOKUP(A211,M:P,4,FALSE),VLOOKUP(D211,BusData!$A$3:$D$10,4,FALSE))</f>
        <v/>
      </c>
      <c r="H211" s="11">
        <f>F211/SUMIFS($F$2:$F$9997,$B$2:$B$9997,B211,$C$2:$C$9997,C211)</f>
        <v/>
      </c>
      <c r="I211" s="19" t="n">
        <v>1</v>
      </c>
      <c r="J211" s="57" t="n">
        <v>7</v>
      </c>
    </row>
    <row r="212">
      <c r="A212" s="62" t="n">
        <v>46323</v>
      </c>
      <c r="B212" s="19" t="n">
        <v>2026</v>
      </c>
      <c r="C212" s="19" t="n">
        <v>10</v>
      </c>
      <c r="D212" s="56" t="inlineStr">
        <is>
          <t>Wed</t>
        </is>
      </c>
      <c r="E212" s="56" t="inlineStr">
        <is>
          <t>Week</t>
        </is>
      </c>
      <c r="F212" s="56">
        <f>IF(ForeCalc!$F$1="Staffed Hours",G212,24)</f>
        <v/>
      </c>
      <c r="G212" s="57">
        <f>IF(COUNTIF(M:M,Calendar!A212)&gt;0,VLOOKUP(A212,M:P,4,FALSE),VLOOKUP(D212,BusData!$A$3:$D$10,4,FALSE))</f>
        <v/>
      </c>
      <c r="H212" s="11">
        <f>F212/SUMIFS($F$2:$F$9997,$B$2:$B$9997,B212,$C$2:$C$9997,C212)</f>
        <v/>
      </c>
      <c r="I212" s="19" t="n">
        <v>1</v>
      </c>
      <c r="J212" s="57" t="n">
        <v>7</v>
      </c>
    </row>
    <row r="213">
      <c r="A213" s="62" t="n">
        <v>46324</v>
      </c>
      <c r="B213" s="19" t="n">
        <v>2026</v>
      </c>
      <c r="C213" s="19" t="n">
        <v>10</v>
      </c>
      <c r="D213" s="56" t="inlineStr">
        <is>
          <t>Thu</t>
        </is>
      </c>
      <c r="E213" s="56" t="inlineStr">
        <is>
          <t>Week</t>
        </is>
      </c>
      <c r="F213" s="56">
        <f>IF(ForeCalc!$F$1="Staffed Hours",G213,24)</f>
        <v/>
      </c>
      <c r="G213" s="57">
        <f>IF(COUNTIF(M:M,Calendar!A213)&gt;0,VLOOKUP(A213,M:P,4,FALSE),VLOOKUP(D213,BusData!$A$3:$D$10,4,FALSE))</f>
        <v/>
      </c>
      <c r="H213" s="11">
        <f>F213/SUMIFS($F$2:$F$9997,$B$2:$B$9997,B213,$C$2:$C$9997,C213)</f>
        <v/>
      </c>
      <c r="I213" s="19" t="n">
        <v>1</v>
      </c>
      <c r="J213" s="57" t="n">
        <v>7</v>
      </c>
    </row>
    <row r="214">
      <c r="A214" s="62" t="n">
        <v>46325</v>
      </c>
      <c r="B214" s="19" t="n">
        <v>2026</v>
      </c>
      <c r="C214" s="19" t="n">
        <v>10</v>
      </c>
      <c r="D214" s="56" t="inlineStr">
        <is>
          <t>Fri</t>
        </is>
      </c>
      <c r="E214" s="56" t="inlineStr">
        <is>
          <t>Week</t>
        </is>
      </c>
      <c r="F214" s="56">
        <f>IF(ForeCalc!$F$1="Staffed Hours",G214,24)</f>
        <v/>
      </c>
      <c r="G214" s="57">
        <f>IF(COUNTIF(M:M,Calendar!A214)&gt;0,VLOOKUP(A214,M:P,4,FALSE),VLOOKUP(D214,BusData!$A$3:$D$10,4,FALSE))</f>
        <v/>
      </c>
      <c r="H214" s="11">
        <f>F214/SUMIFS($F$2:$F$9997,$B$2:$B$9997,B214,$C$2:$C$9997,C214)</f>
        <v/>
      </c>
      <c r="I214" s="19" t="n">
        <v>1</v>
      </c>
      <c r="J214" s="57" t="n">
        <v>7</v>
      </c>
    </row>
    <row r="215">
      <c r="A215" s="62" t="n">
        <v>46326</v>
      </c>
      <c r="B215" s="19" t="n">
        <v>2026</v>
      </c>
      <c r="C215" s="19" t="n">
        <v>10</v>
      </c>
      <c r="D215" s="56" t="inlineStr">
        <is>
          <t>Sat</t>
        </is>
      </c>
      <c r="E215" s="56" t="inlineStr">
        <is>
          <t>Sat</t>
        </is>
      </c>
      <c r="F215" s="56">
        <f>IF(ForeCalc!$F$1="Staffed Hours",G215,24)</f>
        <v/>
      </c>
      <c r="G215" s="57">
        <f>IF(COUNTIF(M:M,Calendar!A215)&gt;0,VLOOKUP(A215,M:P,4,FALSE),VLOOKUP(D215,BusData!$A$3:$D$10,4,FALSE))</f>
        <v/>
      </c>
      <c r="H215" s="11">
        <f>F215/SUMIFS($F$2:$F$9997,$B$2:$B$9997,B215,$C$2:$C$9997,C215)</f>
        <v/>
      </c>
      <c r="I215" s="19" t="n">
        <v>1</v>
      </c>
      <c r="J215" s="57" t="n">
        <v>7</v>
      </c>
    </row>
    <row r="216">
      <c r="A216" s="62" t="n">
        <v>46327</v>
      </c>
      <c r="B216" s="19" t="n">
        <v>2026</v>
      </c>
      <c r="C216" s="19" t="n">
        <v>11</v>
      </c>
      <c r="D216" s="56" t="inlineStr">
        <is>
          <t>Sun</t>
        </is>
      </c>
      <c r="E216" s="56" t="inlineStr">
        <is>
          <t>Sun</t>
        </is>
      </c>
      <c r="F216" s="56">
        <f>IF(ForeCalc!$F$1="Staffed Hours",G216,24)</f>
        <v/>
      </c>
      <c r="G216" s="57">
        <f>IF(COUNTIF(M:M,Calendar!A216)&gt;0,VLOOKUP(A216,M:P,4,FALSE),VLOOKUP(D216,BusData!$A$3:$D$10,4,FALSE))</f>
        <v/>
      </c>
      <c r="H216" s="11">
        <f>F216/SUMIFS($F$2:$F$9997,$B$2:$B$9997,B216,$C$2:$C$9997,C216)</f>
        <v/>
      </c>
      <c r="I216" s="19" t="n">
        <v>1</v>
      </c>
      <c r="J216" s="57" t="n">
        <v>8</v>
      </c>
    </row>
    <row r="217">
      <c r="A217" s="62" t="n">
        <v>46328</v>
      </c>
      <c r="B217" s="19" t="n">
        <v>2026</v>
      </c>
      <c r="C217" s="19" t="n">
        <v>11</v>
      </c>
      <c r="D217" s="56" t="inlineStr">
        <is>
          <t>Mon</t>
        </is>
      </c>
      <c r="E217" s="56" t="inlineStr">
        <is>
          <t>Week</t>
        </is>
      </c>
      <c r="F217" s="56">
        <f>IF(ForeCalc!$F$1="Staffed Hours",G217,24)</f>
        <v/>
      </c>
      <c r="G217" s="57">
        <f>IF(COUNTIF(M:M,Calendar!A217)&gt;0,VLOOKUP(A217,M:P,4,FALSE),VLOOKUP(D217,BusData!$A$3:$D$10,4,FALSE))</f>
        <v/>
      </c>
      <c r="H217" s="11">
        <f>F217/SUMIFS($F$2:$F$9997,$B$2:$B$9997,B217,$C$2:$C$9997,C217)</f>
        <v/>
      </c>
      <c r="I217" s="19" t="n">
        <v>1</v>
      </c>
      <c r="J217" s="57" t="n">
        <v>8</v>
      </c>
    </row>
    <row r="218">
      <c r="A218" s="62" t="n">
        <v>46329</v>
      </c>
      <c r="B218" s="19" t="n">
        <v>2026</v>
      </c>
      <c r="C218" s="19" t="n">
        <v>11</v>
      </c>
      <c r="D218" s="56" t="inlineStr">
        <is>
          <t>Tue</t>
        </is>
      </c>
      <c r="E218" s="56" t="inlineStr">
        <is>
          <t>Week</t>
        </is>
      </c>
      <c r="F218" s="56">
        <f>IF(ForeCalc!$F$1="Staffed Hours",G218,24)</f>
        <v/>
      </c>
      <c r="G218" s="57">
        <f>IF(COUNTIF(M:M,Calendar!A218)&gt;0,VLOOKUP(A218,M:P,4,FALSE),VLOOKUP(D218,BusData!$A$3:$D$10,4,FALSE))</f>
        <v/>
      </c>
      <c r="H218" s="11">
        <f>F218/SUMIFS($F$2:$F$9997,$B$2:$B$9997,B218,$C$2:$C$9997,C218)</f>
        <v/>
      </c>
      <c r="I218" s="19" t="n">
        <v>1</v>
      </c>
      <c r="J218" s="57" t="n">
        <v>8</v>
      </c>
    </row>
    <row r="219">
      <c r="A219" s="62" t="n">
        <v>46330</v>
      </c>
      <c r="B219" s="19" t="n">
        <v>2026</v>
      </c>
      <c r="C219" s="19" t="n">
        <v>11</v>
      </c>
      <c r="D219" s="56" t="inlineStr">
        <is>
          <t>Wed</t>
        </is>
      </c>
      <c r="E219" s="56" t="inlineStr">
        <is>
          <t>Week</t>
        </is>
      </c>
      <c r="F219" s="56">
        <f>IF(ForeCalc!$F$1="Staffed Hours",G219,24)</f>
        <v/>
      </c>
      <c r="G219" s="57">
        <f>IF(COUNTIF(M:M,Calendar!A219)&gt;0,VLOOKUP(A219,M:P,4,FALSE),VLOOKUP(D219,BusData!$A$3:$D$10,4,FALSE))</f>
        <v/>
      </c>
      <c r="H219" s="11">
        <f>F219/SUMIFS($F$2:$F$9997,$B$2:$B$9997,B219,$C$2:$C$9997,C219)</f>
        <v/>
      </c>
      <c r="I219" s="19" t="n">
        <v>1</v>
      </c>
      <c r="J219" s="57" t="n">
        <v>8</v>
      </c>
    </row>
    <row r="220">
      <c r="A220" s="62" t="n">
        <v>46331</v>
      </c>
      <c r="B220" s="19" t="n">
        <v>2026</v>
      </c>
      <c r="C220" s="19" t="n">
        <v>11</v>
      </c>
      <c r="D220" s="56" t="inlineStr">
        <is>
          <t>Thu</t>
        </is>
      </c>
      <c r="E220" s="56" t="inlineStr">
        <is>
          <t>Week</t>
        </is>
      </c>
      <c r="F220" s="56">
        <f>IF(ForeCalc!$F$1="Staffed Hours",G220,24)</f>
        <v/>
      </c>
      <c r="G220" s="57">
        <f>IF(COUNTIF(M:M,Calendar!A220)&gt;0,VLOOKUP(A220,M:P,4,FALSE),VLOOKUP(D220,BusData!$A$3:$D$10,4,FALSE))</f>
        <v/>
      </c>
      <c r="H220" s="11">
        <f>F220/SUMIFS($F$2:$F$9997,$B$2:$B$9997,B220,$C$2:$C$9997,C220)</f>
        <v/>
      </c>
      <c r="I220" s="19" t="n">
        <v>1</v>
      </c>
      <c r="J220" s="57" t="n">
        <v>8</v>
      </c>
    </row>
    <row r="221">
      <c r="A221" s="62" t="n">
        <v>46332</v>
      </c>
      <c r="B221" s="19" t="n">
        <v>2026</v>
      </c>
      <c r="C221" s="19" t="n">
        <v>11</v>
      </c>
      <c r="D221" s="56" t="inlineStr">
        <is>
          <t>Fri</t>
        </is>
      </c>
      <c r="E221" s="56" t="inlineStr">
        <is>
          <t>Week</t>
        </is>
      </c>
      <c r="F221" s="56">
        <f>IF(ForeCalc!$F$1="Staffed Hours",G221,24)</f>
        <v/>
      </c>
      <c r="G221" s="57">
        <f>IF(COUNTIF(M:M,Calendar!A221)&gt;0,VLOOKUP(A221,M:P,4,FALSE),VLOOKUP(D221,BusData!$A$3:$D$10,4,FALSE))</f>
        <v/>
      </c>
      <c r="H221" s="11">
        <f>F221/SUMIFS($F$2:$F$9997,$B$2:$B$9997,B221,$C$2:$C$9997,C221)</f>
        <v/>
      </c>
      <c r="I221" s="19" t="n">
        <v>1</v>
      </c>
      <c r="J221" s="57" t="n">
        <v>8</v>
      </c>
    </row>
    <row r="222">
      <c r="A222" s="62" t="n">
        <v>46333</v>
      </c>
      <c r="B222" s="19" t="n">
        <v>2026</v>
      </c>
      <c r="C222" s="19" t="n">
        <v>11</v>
      </c>
      <c r="D222" s="56" t="inlineStr">
        <is>
          <t>Sat</t>
        </is>
      </c>
      <c r="E222" s="56" t="inlineStr">
        <is>
          <t>Sat</t>
        </is>
      </c>
      <c r="F222" s="56">
        <f>IF(ForeCalc!$F$1="Staffed Hours",G222,24)</f>
        <v/>
      </c>
      <c r="G222" s="57">
        <f>IF(COUNTIF(M:M,Calendar!A222)&gt;0,VLOOKUP(A222,M:P,4,FALSE),VLOOKUP(D222,BusData!$A$3:$D$10,4,FALSE))</f>
        <v/>
      </c>
      <c r="H222" s="11">
        <f>F222/SUMIFS($F$2:$F$9997,$B$2:$B$9997,B222,$C$2:$C$9997,C222)</f>
        <v/>
      </c>
      <c r="I222" s="19" t="n">
        <v>1</v>
      </c>
      <c r="J222" s="57" t="n">
        <v>8</v>
      </c>
    </row>
    <row r="223">
      <c r="A223" s="62" t="n">
        <v>46334</v>
      </c>
      <c r="B223" s="19" t="n">
        <v>2026</v>
      </c>
      <c r="C223" s="19" t="n">
        <v>11</v>
      </c>
      <c r="D223" s="56" t="inlineStr">
        <is>
          <t>Sun</t>
        </is>
      </c>
      <c r="E223" s="56" t="inlineStr">
        <is>
          <t>Sun</t>
        </is>
      </c>
      <c r="F223" s="56">
        <f>IF(ForeCalc!$F$1="Staffed Hours",G223,24)</f>
        <v/>
      </c>
      <c r="G223" s="57">
        <f>IF(COUNTIF(M:M,Calendar!A223)&gt;0,VLOOKUP(A223,M:P,4,FALSE),VLOOKUP(D223,BusData!$A$3:$D$10,4,FALSE))</f>
        <v/>
      </c>
      <c r="H223" s="11">
        <f>F223/SUMIFS($F$2:$F$9997,$B$2:$B$9997,B223,$C$2:$C$9997,C223)</f>
        <v/>
      </c>
      <c r="I223" s="19" t="n">
        <v>1</v>
      </c>
      <c r="J223" s="57" t="n">
        <v>8</v>
      </c>
    </row>
    <row r="224">
      <c r="A224" s="62" t="n">
        <v>46335</v>
      </c>
      <c r="B224" s="19" t="n">
        <v>2026</v>
      </c>
      <c r="C224" s="19" t="n">
        <v>11</v>
      </c>
      <c r="D224" s="56" t="inlineStr">
        <is>
          <t>Mon</t>
        </is>
      </c>
      <c r="E224" s="56" t="inlineStr">
        <is>
          <t>Week</t>
        </is>
      </c>
      <c r="F224" s="56">
        <f>IF(ForeCalc!$F$1="Staffed Hours",G224,24)</f>
        <v/>
      </c>
      <c r="G224" s="57">
        <f>IF(COUNTIF(M:M,Calendar!A224)&gt;0,VLOOKUP(A224,M:P,4,FALSE),VLOOKUP(D224,BusData!$A$3:$D$10,4,FALSE))</f>
        <v/>
      </c>
      <c r="H224" s="11">
        <f>F224/SUMIFS($F$2:$F$9997,$B$2:$B$9997,B224,$C$2:$C$9997,C224)</f>
        <v/>
      </c>
      <c r="I224" s="19" t="n">
        <v>1</v>
      </c>
      <c r="J224" s="57" t="n">
        <v>8</v>
      </c>
    </row>
    <row r="225">
      <c r="A225" s="62" t="n">
        <v>46336</v>
      </c>
      <c r="B225" s="19" t="n">
        <v>2026</v>
      </c>
      <c r="C225" s="19" t="n">
        <v>11</v>
      </c>
      <c r="D225" s="56" t="inlineStr">
        <is>
          <t>Tue</t>
        </is>
      </c>
      <c r="E225" s="56" t="inlineStr">
        <is>
          <t>Week</t>
        </is>
      </c>
      <c r="F225" s="56">
        <f>IF(ForeCalc!$F$1="Staffed Hours",G225,24)</f>
        <v/>
      </c>
      <c r="G225" s="57">
        <f>IF(COUNTIF(M:M,Calendar!A225)&gt;0,VLOOKUP(A225,M:P,4,FALSE),VLOOKUP(D225,BusData!$A$3:$D$10,4,FALSE))</f>
        <v/>
      </c>
      <c r="H225" s="11">
        <f>F225/SUMIFS($F$2:$F$9997,$B$2:$B$9997,B225,$C$2:$C$9997,C225)</f>
        <v/>
      </c>
      <c r="I225" s="19" t="n">
        <v>1</v>
      </c>
      <c r="J225" s="57" t="n">
        <v>8</v>
      </c>
    </row>
    <row r="226">
      <c r="A226" s="62" t="n">
        <v>46337</v>
      </c>
      <c r="B226" s="19" t="n">
        <v>2026</v>
      </c>
      <c r="C226" s="19" t="n">
        <v>11</v>
      </c>
      <c r="D226" s="56" t="inlineStr">
        <is>
          <t>Wed</t>
        </is>
      </c>
      <c r="E226" s="56" t="inlineStr">
        <is>
          <t>Week</t>
        </is>
      </c>
      <c r="F226" s="56">
        <f>IF(ForeCalc!$F$1="Staffed Hours",G226,24)</f>
        <v/>
      </c>
      <c r="G226" s="57">
        <f>IF(COUNTIF(M:M,Calendar!A226)&gt;0,VLOOKUP(A226,M:P,4,FALSE),VLOOKUP(D226,BusData!$A$3:$D$10,4,FALSE))</f>
        <v/>
      </c>
      <c r="H226" s="11">
        <f>F226/SUMIFS($F$2:$F$9997,$B$2:$B$9997,B226,$C$2:$C$9997,C226)</f>
        <v/>
      </c>
      <c r="I226" s="19" t="n">
        <v>1</v>
      </c>
      <c r="J226" s="57" t="n">
        <v>8</v>
      </c>
    </row>
    <row r="227">
      <c r="A227" s="62" t="n">
        <v>46338</v>
      </c>
      <c r="B227" s="19" t="n">
        <v>2026</v>
      </c>
      <c r="C227" s="19" t="n">
        <v>11</v>
      </c>
      <c r="D227" s="56" t="inlineStr">
        <is>
          <t>Thu</t>
        </is>
      </c>
      <c r="E227" s="56" t="inlineStr">
        <is>
          <t>Week</t>
        </is>
      </c>
      <c r="F227" s="56">
        <f>IF(ForeCalc!$F$1="Staffed Hours",G227,24)</f>
        <v/>
      </c>
      <c r="G227" s="57">
        <f>IF(COUNTIF(M:M,Calendar!A227)&gt;0,VLOOKUP(A227,M:P,4,FALSE),VLOOKUP(D227,BusData!$A$3:$D$10,4,FALSE))</f>
        <v/>
      </c>
      <c r="H227" s="11">
        <f>F227/SUMIFS($F$2:$F$9997,$B$2:$B$9997,B227,$C$2:$C$9997,C227)</f>
        <v/>
      </c>
      <c r="I227" s="19" t="n">
        <v>1</v>
      </c>
      <c r="J227" s="57" t="n">
        <v>8</v>
      </c>
    </row>
    <row r="228">
      <c r="A228" s="62" t="n">
        <v>46339</v>
      </c>
      <c r="B228" s="19" t="n">
        <v>2026</v>
      </c>
      <c r="C228" s="19" t="n">
        <v>11</v>
      </c>
      <c r="D228" s="56" t="inlineStr">
        <is>
          <t>Fri</t>
        </is>
      </c>
      <c r="E228" s="56" t="inlineStr">
        <is>
          <t>Week</t>
        </is>
      </c>
      <c r="F228" s="56">
        <f>IF(ForeCalc!$F$1="Staffed Hours",G228,24)</f>
        <v/>
      </c>
      <c r="G228" s="57">
        <f>IF(COUNTIF(M:M,Calendar!A228)&gt;0,VLOOKUP(A228,M:P,4,FALSE),VLOOKUP(D228,BusData!$A$3:$D$10,4,FALSE))</f>
        <v/>
      </c>
      <c r="H228" s="11">
        <f>F228/SUMIFS($F$2:$F$9997,$B$2:$B$9997,B228,$C$2:$C$9997,C228)</f>
        <v/>
      </c>
      <c r="I228" s="19" t="n">
        <v>1</v>
      </c>
      <c r="J228" s="57" t="n">
        <v>8</v>
      </c>
    </row>
    <row r="229">
      <c r="A229" s="62" t="n">
        <v>46340</v>
      </c>
      <c r="B229" s="19" t="n">
        <v>2026</v>
      </c>
      <c r="C229" s="19" t="n">
        <v>11</v>
      </c>
      <c r="D229" s="56" t="inlineStr">
        <is>
          <t>Sat</t>
        </is>
      </c>
      <c r="E229" s="56" t="inlineStr">
        <is>
          <t>Sat</t>
        </is>
      </c>
      <c r="F229" s="56">
        <f>IF(ForeCalc!$F$1="Staffed Hours",G229,24)</f>
        <v/>
      </c>
      <c r="G229" s="57">
        <f>IF(COUNTIF(M:M,Calendar!A229)&gt;0,VLOOKUP(A229,M:P,4,FALSE),VLOOKUP(D229,BusData!$A$3:$D$10,4,FALSE))</f>
        <v/>
      </c>
      <c r="H229" s="11">
        <f>F229/SUMIFS($F$2:$F$9997,$B$2:$B$9997,B229,$C$2:$C$9997,C229)</f>
        <v/>
      </c>
      <c r="I229" s="19" t="n">
        <v>1</v>
      </c>
      <c r="J229" s="57" t="n">
        <v>8</v>
      </c>
    </row>
    <row r="230">
      <c r="A230" s="62" t="n">
        <v>46341</v>
      </c>
      <c r="B230" s="19" t="n">
        <v>2026</v>
      </c>
      <c r="C230" s="19" t="n">
        <v>11</v>
      </c>
      <c r="D230" s="56" t="inlineStr">
        <is>
          <t>Sun</t>
        </is>
      </c>
      <c r="E230" s="56" t="inlineStr">
        <is>
          <t>Sun</t>
        </is>
      </c>
      <c r="F230" s="56">
        <f>IF(ForeCalc!$F$1="Staffed Hours",G230,24)</f>
        <v/>
      </c>
      <c r="G230" s="57">
        <f>IF(COUNTIF(M:M,Calendar!A230)&gt;0,VLOOKUP(A230,M:P,4,FALSE),VLOOKUP(D230,BusData!$A$3:$D$10,4,FALSE))</f>
        <v/>
      </c>
      <c r="H230" s="11">
        <f>F230/SUMIFS($F$2:$F$9997,$B$2:$B$9997,B230,$C$2:$C$9997,C230)</f>
        <v/>
      </c>
      <c r="I230" s="19" t="n">
        <v>1</v>
      </c>
      <c r="J230" s="57" t="n">
        <v>8</v>
      </c>
    </row>
    <row r="231">
      <c r="A231" s="62" t="n">
        <v>46342</v>
      </c>
      <c r="B231" s="19" t="n">
        <v>2026</v>
      </c>
      <c r="C231" s="19" t="n">
        <v>11</v>
      </c>
      <c r="D231" s="56" t="inlineStr">
        <is>
          <t>Mon</t>
        </is>
      </c>
      <c r="E231" s="56" t="inlineStr">
        <is>
          <t>Week</t>
        </is>
      </c>
      <c r="F231" s="56">
        <f>IF(ForeCalc!$F$1="Staffed Hours",G231,24)</f>
        <v/>
      </c>
      <c r="G231" s="57">
        <f>IF(COUNTIF(M:M,Calendar!A231)&gt;0,VLOOKUP(A231,M:P,4,FALSE),VLOOKUP(D231,BusData!$A$3:$D$10,4,FALSE))</f>
        <v/>
      </c>
      <c r="H231" s="11">
        <f>F231/SUMIFS($F$2:$F$9997,$B$2:$B$9997,B231,$C$2:$C$9997,C231)</f>
        <v/>
      </c>
      <c r="I231" s="19" t="n">
        <v>1</v>
      </c>
      <c r="J231" s="57" t="n">
        <v>8</v>
      </c>
    </row>
    <row r="232">
      <c r="A232" s="62" t="n">
        <v>46343</v>
      </c>
      <c r="B232" s="19" t="n">
        <v>2026</v>
      </c>
      <c r="C232" s="19" t="n">
        <v>11</v>
      </c>
      <c r="D232" s="56" t="inlineStr">
        <is>
          <t>Tue</t>
        </is>
      </c>
      <c r="E232" s="56" t="inlineStr">
        <is>
          <t>Week</t>
        </is>
      </c>
      <c r="F232" s="56">
        <f>IF(ForeCalc!$F$1="Staffed Hours",G232,24)</f>
        <v/>
      </c>
      <c r="G232" s="57">
        <f>IF(COUNTIF(M:M,Calendar!A232)&gt;0,VLOOKUP(A232,M:P,4,FALSE),VLOOKUP(D232,BusData!$A$3:$D$10,4,FALSE))</f>
        <v/>
      </c>
      <c r="H232" s="11">
        <f>F232/SUMIFS($F$2:$F$9997,$B$2:$B$9997,B232,$C$2:$C$9997,C232)</f>
        <v/>
      </c>
      <c r="I232" s="19" t="n">
        <v>1</v>
      </c>
      <c r="J232" s="57" t="n">
        <v>8</v>
      </c>
    </row>
    <row r="233">
      <c r="A233" s="62" t="n">
        <v>46344</v>
      </c>
      <c r="B233" s="19" t="n">
        <v>2026</v>
      </c>
      <c r="C233" s="19" t="n">
        <v>11</v>
      </c>
      <c r="D233" s="56" t="inlineStr">
        <is>
          <t>Wed</t>
        </is>
      </c>
      <c r="E233" s="56" t="inlineStr">
        <is>
          <t>Week</t>
        </is>
      </c>
      <c r="F233" s="56">
        <f>IF(ForeCalc!$F$1="Staffed Hours",G233,24)</f>
        <v/>
      </c>
      <c r="G233" s="57">
        <f>IF(COUNTIF(M:M,Calendar!A233)&gt;0,VLOOKUP(A233,M:P,4,FALSE),VLOOKUP(D233,BusData!$A$3:$D$10,4,FALSE))</f>
        <v/>
      </c>
      <c r="H233" s="11">
        <f>F233/SUMIFS($F$2:$F$9997,$B$2:$B$9997,B233,$C$2:$C$9997,C233)</f>
        <v/>
      </c>
      <c r="I233" s="19" t="n">
        <v>1</v>
      </c>
      <c r="J233" s="57" t="n">
        <v>8</v>
      </c>
    </row>
    <row r="234">
      <c r="A234" s="62" t="n">
        <v>46345</v>
      </c>
      <c r="B234" s="19" t="n">
        <v>2026</v>
      </c>
      <c r="C234" s="19" t="n">
        <v>11</v>
      </c>
      <c r="D234" s="56" t="inlineStr">
        <is>
          <t>Thu</t>
        </is>
      </c>
      <c r="E234" s="56" t="inlineStr">
        <is>
          <t>Week</t>
        </is>
      </c>
      <c r="F234" s="56">
        <f>IF(ForeCalc!$F$1="Staffed Hours",G234,24)</f>
        <v/>
      </c>
      <c r="G234" s="57">
        <f>IF(COUNTIF(M:M,Calendar!A234)&gt;0,VLOOKUP(A234,M:P,4,FALSE),VLOOKUP(D234,BusData!$A$3:$D$10,4,FALSE))</f>
        <v/>
      </c>
      <c r="H234" s="11">
        <f>F234/SUMIFS($F$2:$F$9997,$B$2:$B$9997,B234,$C$2:$C$9997,C234)</f>
        <v/>
      </c>
      <c r="I234" s="19" t="n">
        <v>1</v>
      </c>
      <c r="J234" s="57" t="n">
        <v>8</v>
      </c>
    </row>
    <row r="235">
      <c r="A235" s="62" t="n">
        <v>46346</v>
      </c>
      <c r="B235" s="19" t="n">
        <v>2026</v>
      </c>
      <c r="C235" s="19" t="n">
        <v>11</v>
      </c>
      <c r="D235" s="56" t="inlineStr">
        <is>
          <t>Fri</t>
        </is>
      </c>
      <c r="E235" s="56" t="inlineStr">
        <is>
          <t>Week</t>
        </is>
      </c>
      <c r="F235" s="56">
        <f>IF(ForeCalc!$F$1="Staffed Hours",G235,24)</f>
        <v/>
      </c>
      <c r="G235" s="57">
        <f>IF(COUNTIF(M:M,Calendar!A235)&gt;0,VLOOKUP(A235,M:P,4,FALSE),VLOOKUP(D235,BusData!$A$3:$D$10,4,FALSE))</f>
        <v/>
      </c>
      <c r="H235" s="11">
        <f>F235/SUMIFS($F$2:$F$9997,$B$2:$B$9997,B235,$C$2:$C$9997,C235)</f>
        <v/>
      </c>
      <c r="I235" s="19" t="n">
        <v>1</v>
      </c>
      <c r="J235" s="57" t="n">
        <v>8</v>
      </c>
    </row>
    <row r="236">
      <c r="A236" s="62" t="n">
        <v>46347</v>
      </c>
      <c r="B236" s="19" t="n">
        <v>2026</v>
      </c>
      <c r="C236" s="19" t="n">
        <v>11</v>
      </c>
      <c r="D236" s="56" t="inlineStr">
        <is>
          <t>Sat</t>
        </is>
      </c>
      <c r="E236" s="56" t="inlineStr">
        <is>
          <t>Sat</t>
        </is>
      </c>
      <c r="F236" s="56">
        <f>IF(ForeCalc!$F$1="Staffed Hours",G236,24)</f>
        <v/>
      </c>
      <c r="G236" s="57">
        <f>IF(COUNTIF(M:M,Calendar!A236)&gt;0,VLOOKUP(A236,M:P,4,FALSE),VLOOKUP(D236,BusData!$A$3:$D$10,4,FALSE))</f>
        <v/>
      </c>
      <c r="H236" s="11">
        <f>F236/SUMIFS($F$2:$F$9997,$B$2:$B$9997,B236,$C$2:$C$9997,C236)</f>
        <v/>
      </c>
      <c r="I236" s="19" t="n">
        <v>1</v>
      </c>
      <c r="J236" s="57" t="n">
        <v>8</v>
      </c>
    </row>
    <row r="237">
      <c r="A237" s="62" t="n">
        <v>46348</v>
      </c>
      <c r="B237" s="19" t="n">
        <v>2026</v>
      </c>
      <c r="C237" s="19" t="n">
        <v>11</v>
      </c>
      <c r="D237" s="56" t="inlineStr">
        <is>
          <t>Sun</t>
        </is>
      </c>
      <c r="E237" s="56" t="inlineStr">
        <is>
          <t>Sun</t>
        </is>
      </c>
      <c r="F237" s="56">
        <f>IF(ForeCalc!$F$1="Staffed Hours",G237,24)</f>
        <v/>
      </c>
      <c r="G237" s="57">
        <f>IF(COUNTIF(M:M,Calendar!A237)&gt;0,VLOOKUP(A237,M:P,4,FALSE),VLOOKUP(D237,BusData!$A$3:$D$10,4,FALSE))</f>
        <v/>
      </c>
      <c r="H237" s="11">
        <f>F237/SUMIFS($F$2:$F$9997,$B$2:$B$9997,B237,$C$2:$C$9997,C237)</f>
        <v/>
      </c>
      <c r="I237" s="19" t="n">
        <v>1</v>
      </c>
      <c r="J237" s="57" t="n">
        <v>8</v>
      </c>
    </row>
    <row r="238">
      <c r="A238" s="62" t="n">
        <v>46349</v>
      </c>
      <c r="B238" s="19" t="n">
        <v>2026</v>
      </c>
      <c r="C238" s="19" t="n">
        <v>11</v>
      </c>
      <c r="D238" s="56" t="inlineStr">
        <is>
          <t>Mon</t>
        </is>
      </c>
      <c r="E238" s="56" t="inlineStr">
        <is>
          <t>Week</t>
        </is>
      </c>
      <c r="F238" s="56">
        <f>IF(ForeCalc!$F$1="Staffed Hours",G238,24)</f>
        <v/>
      </c>
      <c r="G238" s="57">
        <f>IF(COUNTIF(M:M,Calendar!A238)&gt;0,VLOOKUP(A238,M:P,4,FALSE),VLOOKUP(D238,BusData!$A$3:$D$10,4,FALSE))</f>
        <v/>
      </c>
      <c r="H238" s="11">
        <f>F238/SUMIFS($F$2:$F$9997,$B$2:$B$9997,B238,$C$2:$C$9997,C238)</f>
        <v/>
      </c>
      <c r="I238" s="19" t="n">
        <v>1</v>
      </c>
      <c r="J238" s="57" t="n">
        <v>8</v>
      </c>
    </row>
    <row r="239">
      <c r="A239" s="62" t="n">
        <v>46350</v>
      </c>
      <c r="B239" s="19" t="n">
        <v>2026</v>
      </c>
      <c r="C239" s="19" t="n">
        <v>11</v>
      </c>
      <c r="D239" s="56" t="inlineStr">
        <is>
          <t>Tue</t>
        </is>
      </c>
      <c r="E239" s="56" t="inlineStr">
        <is>
          <t>Week</t>
        </is>
      </c>
      <c r="F239" s="56">
        <f>IF(ForeCalc!$F$1="Staffed Hours",G239,24)</f>
        <v/>
      </c>
      <c r="G239" s="57">
        <f>IF(COUNTIF(M:M,Calendar!A239)&gt;0,VLOOKUP(A239,M:P,4,FALSE),VLOOKUP(D239,BusData!$A$3:$D$10,4,FALSE))</f>
        <v/>
      </c>
      <c r="H239" s="11">
        <f>F239/SUMIFS($F$2:$F$9997,$B$2:$B$9997,B239,$C$2:$C$9997,C239)</f>
        <v/>
      </c>
      <c r="I239" s="19" t="n">
        <v>1</v>
      </c>
      <c r="J239" s="57" t="n">
        <v>8</v>
      </c>
    </row>
    <row r="240">
      <c r="A240" s="62" t="n">
        <v>46351</v>
      </c>
      <c r="B240" s="19" t="n">
        <v>2026</v>
      </c>
      <c r="C240" s="19" t="n">
        <v>11</v>
      </c>
      <c r="D240" s="56" t="inlineStr">
        <is>
          <t>Wed</t>
        </is>
      </c>
      <c r="E240" s="56" t="inlineStr">
        <is>
          <t>Week</t>
        </is>
      </c>
      <c r="F240" s="56">
        <f>IF(ForeCalc!$F$1="Staffed Hours",G240,24)</f>
        <v/>
      </c>
      <c r="G240" s="57">
        <f>IF(COUNTIF(M:M,Calendar!A240)&gt;0,VLOOKUP(A240,M:P,4,FALSE),VLOOKUP(D240,BusData!$A$3:$D$10,4,FALSE))</f>
        <v/>
      </c>
      <c r="H240" s="11">
        <f>F240/SUMIFS($F$2:$F$9997,$B$2:$B$9997,B240,$C$2:$C$9997,C240)</f>
        <v/>
      </c>
      <c r="I240" s="19" t="n">
        <v>1</v>
      </c>
      <c r="J240" s="57" t="n">
        <v>8</v>
      </c>
    </row>
    <row r="241">
      <c r="A241" s="62" t="n">
        <v>46352</v>
      </c>
      <c r="B241" s="19" t="n">
        <v>2026</v>
      </c>
      <c r="C241" s="19" t="n">
        <v>11</v>
      </c>
      <c r="D241" s="56" t="inlineStr">
        <is>
          <t>Thu</t>
        </is>
      </c>
      <c r="E241" s="56" t="inlineStr">
        <is>
          <t>Week</t>
        </is>
      </c>
      <c r="F241" s="56">
        <f>IF(ForeCalc!$F$1="Staffed Hours",G241,24)</f>
        <v/>
      </c>
      <c r="G241" s="57">
        <f>IF(COUNTIF(M:M,Calendar!A241)&gt;0,VLOOKUP(A241,M:P,4,FALSE),VLOOKUP(D241,BusData!$A$3:$D$10,4,FALSE))</f>
        <v/>
      </c>
      <c r="H241" s="11">
        <f>F241/SUMIFS($F$2:$F$9997,$B$2:$B$9997,B241,$C$2:$C$9997,C241)</f>
        <v/>
      </c>
      <c r="I241" s="19" t="n">
        <v>1</v>
      </c>
      <c r="J241" s="57" t="n">
        <v>8</v>
      </c>
    </row>
    <row r="242">
      <c r="A242" s="62" t="n">
        <v>46353</v>
      </c>
      <c r="B242" s="19" t="n">
        <v>2026</v>
      </c>
      <c r="C242" s="19" t="n">
        <v>11</v>
      </c>
      <c r="D242" s="56" t="inlineStr">
        <is>
          <t>Fri</t>
        </is>
      </c>
      <c r="E242" s="56" t="inlineStr">
        <is>
          <t>Week</t>
        </is>
      </c>
      <c r="F242" s="56">
        <f>IF(ForeCalc!$F$1="Staffed Hours",G242,24)</f>
        <v/>
      </c>
      <c r="G242" s="57">
        <f>IF(COUNTIF(M:M,Calendar!A242)&gt;0,VLOOKUP(A242,M:P,4,FALSE),VLOOKUP(D242,BusData!$A$3:$D$10,4,FALSE))</f>
        <v/>
      </c>
      <c r="H242" s="11">
        <f>F242/SUMIFS($F$2:$F$9997,$B$2:$B$9997,B242,$C$2:$C$9997,C242)</f>
        <v/>
      </c>
      <c r="I242" s="19" t="n">
        <v>1</v>
      </c>
      <c r="J242" s="57" t="n">
        <v>8</v>
      </c>
    </row>
    <row r="243">
      <c r="A243" s="62" t="n">
        <v>46354</v>
      </c>
      <c r="B243" s="19" t="n">
        <v>2026</v>
      </c>
      <c r="C243" s="19" t="n">
        <v>11</v>
      </c>
      <c r="D243" s="56" t="inlineStr">
        <is>
          <t>Sat</t>
        </is>
      </c>
      <c r="E243" s="56" t="inlineStr">
        <is>
          <t>Sat</t>
        </is>
      </c>
      <c r="F243" s="56">
        <f>IF(ForeCalc!$F$1="Staffed Hours",G243,24)</f>
        <v/>
      </c>
      <c r="G243" s="57">
        <f>IF(COUNTIF(M:M,Calendar!A243)&gt;0,VLOOKUP(A243,M:P,4,FALSE),VLOOKUP(D243,BusData!$A$3:$D$10,4,FALSE))</f>
        <v/>
      </c>
      <c r="H243" s="11">
        <f>F243/SUMIFS($F$2:$F$9997,$B$2:$B$9997,B243,$C$2:$C$9997,C243)</f>
        <v/>
      </c>
      <c r="I243" s="19" t="n">
        <v>1</v>
      </c>
      <c r="J243" s="57" t="n">
        <v>8</v>
      </c>
    </row>
    <row r="244">
      <c r="A244" s="62" t="n">
        <v>46355</v>
      </c>
      <c r="B244" s="19" t="n">
        <v>2026</v>
      </c>
      <c r="C244" s="19" t="n">
        <v>11</v>
      </c>
      <c r="D244" s="56" t="inlineStr">
        <is>
          <t>Sun</t>
        </is>
      </c>
      <c r="E244" s="56" t="inlineStr">
        <is>
          <t>Sun</t>
        </is>
      </c>
      <c r="F244" s="56">
        <f>IF(ForeCalc!$F$1="Staffed Hours",G244,24)</f>
        <v/>
      </c>
      <c r="G244" s="57">
        <f>IF(COUNTIF(M:M,Calendar!A244)&gt;0,VLOOKUP(A244,M:P,4,FALSE),VLOOKUP(D244,BusData!$A$3:$D$10,4,FALSE))</f>
        <v/>
      </c>
      <c r="H244" s="11">
        <f>F244/SUMIFS($F$2:$F$9997,$B$2:$B$9997,B244,$C$2:$C$9997,C244)</f>
        <v/>
      </c>
      <c r="I244" s="19" t="n">
        <v>1</v>
      </c>
      <c r="J244" s="57" t="n">
        <v>8</v>
      </c>
    </row>
    <row r="245">
      <c r="A245" s="62" t="n">
        <v>46356</v>
      </c>
      <c r="B245" s="19" t="n">
        <v>2026</v>
      </c>
      <c r="C245" s="19" t="n">
        <v>11</v>
      </c>
      <c r="D245" s="56" t="inlineStr">
        <is>
          <t>Mon</t>
        </is>
      </c>
      <c r="E245" s="56" t="inlineStr">
        <is>
          <t>Week</t>
        </is>
      </c>
      <c r="F245" s="56">
        <f>IF(ForeCalc!$F$1="Staffed Hours",G245,24)</f>
        <v/>
      </c>
      <c r="G245" s="57">
        <f>IF(COUNTIF(M:M,Calendar!A245)&gt;0,VLOOKUP(A245,M:P,4,FALSE),VLOOKUP(D245,BusData!$A$3:$D$10,4,FALSE))</f>
        <v/>
      </c>
      <c r="H245" s="11">
        <f>F245/SUMIFS($F$2:$F$9997,$B$2:$B$9997,B245,$C$2:$C$9997,C245)</f>
        <v/>
      </c>
      <c r="I245" s="19" t="n">
        <v>1</v>
      </c>
      <c r="J245" s="57" t="n">
        <v>8</v>
      </c>
    </row>
    <row r="246">
      <c r="A246" s="62" t="n">
        <v>46357</v>
      </c>
      <c r="B246" s="19" t="n">
        <v>2026</v>
      </c>
      <c r="C246" s="19" t="n">
        <v>12</v>
      </c>
      <c r="D246" s="56" t="inlineStr">
        <is>
          <t>Tue</t>
        </is>
      </c>
      <c r="E246" s="56" t="inlineStr">
        <is>
          <t>Week</t>
        </is>
      </c>
      <c r="F246" s="56">
        <f>IF(ForeCalc!$F$1="Staffed Hours",G246,24)</f>
        <v/>
      </c>
      <c r="G246" s="57">
        <f>IF(COUNTIF(M:M,Calendar!A246)&gt;0,VLOOKUP(A246,M:P,4,FALSE),VLOOKUP(D246,BusData!$A$3:$D$10,4,FALSE))</f>
        <v/>
      </c>
      <c r="H246" s="11">
        <f>F246/SUMIFS($F$2:$F$9997,$B$2:$B$9997,B246,$C$2:$C$9997,C246)</f>
        <v/>
      </c>
      <c r="I246" s="19" t="n">
        <v>1</v>
      </c>
      <c r="J246" s="57" t="n">
        <v>9</v>
      </c>
    </row>
    <row r="247">
      <c r="A247" s="62" t="n">
        <v>46358</v>
      </c>
      <c r="B247" s="19" t="n">
        <v>2026</v>
      </c>
      <c r="C247" s="19" t="n">
        <v>12</v>
      </c>
      <c r="D247" s="56" t="inlineStr">
        <is>
          <t>Wed</t>
        </is>
      </c>
      <c r="E247" s="56" t="inlineStr">
        <is>
          <t>Week</t>
        </is>
      </c>
      <c r="F247" s="56">
        <f>IF(ForeCalc!$F$1="Staffed Hours",G247,24)</f>
        <v/>
      </c>
      <c r="G247" s="57">
        <f>IF(COUNTIF(M:M,Calendar!A247)&gt;0,VLOOKUP(A247,M:P,4,FALSE),VLOOKUP(D247,BusData!$A$3:$D$10,4,FALSE))</f>
        <v/>
      </c>
      <c r="H247" s="11">
        <f>F247/SUMIFS($F$2:$F$9997,$B$2:$B$9997,B247,$C$2:$C$9997,C247)</f>
        <v/>
      </c>
      <c r="I247" s="19" t="n">
        <v>1</v>
      </c>
      <c r="J247" s="57" t="n">
        <v>9</v>
      </c>
    </row>
    <row r="248">
      <c r="A248" s="62" t="n">
        <v>46359</v>
      </c>
      <c r="B248" s="19" t="n">
        <v>2026</v>
      </c>
      <c r="C248" s="19" t="n">
        <v>12</v>
      </c>
      <c r="D248" s="56" t="inlineStr">
        <is>
          <t>Thu</t>
        </is>
      </c>
      <c r="E248" s="56" t="inlineStr">
        <is>
          <t>Week</t>
        </is>
      </c>
      <c r="F248" s="56">
        <f>IF(ForeCalc!$F$1="Staffed Hours",G248,24)</f>
        <v/>
      </c>
      <c r="G248" s="57">
        <f>IF(COUNTIF(M:M,Calendar!A248)&gt;0,VLOOKUP(A248,M:P,4,FALSE),VLOOKUP(D248,BusData!$A$3:$D$10,4,FALSE))</f>
        <v/>
      </c>
      <c r="H248" s="11">
        <f>F248/SUMIFS($F$2:$F$9997,$B$2:$B$9997,B248,$C$2:$C$9997,C248)</f>
        <v/>
      </c>
      <c r="I248" s="19" t="n">
        <v>1</v>
      </c>
      <c r="J248" s="57" t="n">
        <v>9</v>
      </c>
    </row>
    <row r="249">
      <c r="A249" s="62" t="n">
        <v>46360</v>
      </c>
      <c r="B249" s="19" t="n">
        <v>2026</v>
      </c>
      <c r="C249" s="19" t="n">
        <v>12</v>
      </c>
      <c r="D249" s="56" t="inlineStr">
        <is>
          <t>Fri</t>
        </is>
      </c>
      <c r="E249" s="56" t="inlineStr">
        <is>
          <t>Week</t>
        </is>
      </c>
      <c r="F249" s="56">
        <f>IF(ForeCalc!$F$1="Staffed Hours",G249,24)</f>
        <v/>
      </c>
      <c r="G249" s="57">
        <f>IF(COUNTIF(M:M,Calendar!A249)&gt;0,VLOOKUP(A249,M:P,4,FALSE),VLOOKUP(D249,BusData!$A$3:$D$10,4,FALSE))</f>
        <v/>
      </c>
      <c r="H249" s="11">
        <f>F249/SUMIFS($F$2:$F$9997,$B$2:$B$9997,B249,$C$2:$C$9997,C249)</f>
        <v/>
      </c>
      <c r="I249" s="19" t="n">
        <v>1</v>
      </c>
      <c r="J249" s="57" t="n">
        <v>9</v>
      </c>
    </row>
    <row r="250">
      <c r="A250" s="62" t="n">
        <v>46361</v>
      </c>
      <c r="B250" s="19" t="n">
        <v>2026</v>
      </c>
      <c r="C250" s="19" t="n">
        <v>12</v>
      </c>
      <c r="D250" s="56" t="inlineStr">
        <is>
          <t>Sat</t>
        </is>
      </c>
      <c r="E250" s="56" t="inlineStr">
        <is>
          <t>Sat</t>
        </is>
      </c>
      <c r="F250" s="56">
        <f>IF(ForeCalc!$F$1="Staffed Hours",G250,24)</f>
        <v/>
      </c>
      <c r="G250" s="57">
        <f>IF(COUNTIF(M:M,Calendar!A250)&gt;0,VLOOKUP(A250,M:P,4,FALSE),VLOOKUP(D250,BusData!$A$3:$D$10,4,FALSE))</f>
        <v/>
      </c>
      <c r="H250" s="11">
        <f>F250/SUMIFS($F$2:$F$9997,$B$2:$B$9997,B250,$C$2:$C$9997,C250)</f>
        <v/>
      </c>
      <c r="I250" s="19" t="n">
        <v>1</v>
      </c>
      <c r="J250" s="57" t="n">
        <v>9</v>
      </c>
    </row>
    <row r="251">
      <c r="A251" s="62" t="n">
        <v>46362</v>
      </c>
      <c r="B251" s="19" t="n">
        <v>2026</v>
      </c>
      <c r="C251" s="19" t="n">
        <v>12</v>
      </c>
      <c r="D251" s="56" t="inlineStr">
        <is>
          <t>Sun</t>
        </is>
      </c>
      <c r="E251" s="56" t="inlineStr">
        <is>
          <t>Sun</t>
        </is>
      </c>
      <c r="F251" s="56">
        <f>IF(ForeCalc!$F$1="Staffed Hours",G251,24)</f>
        <v/>
      </c>
      <c r="G251" s="57">
        <f>IF(COUNTIF(M:M,Calendar!A251)&gt;0,VLOOKUP(A251,M:P,4,FALSE),VLOOKUP(D251,BusData!$A$3:$D$10,4,FALSE))</f>
        <v/>
      </c>
      <c r="H251" s="11">
        <f>F251/SUMIFS($F$2:$F$9997,$B$2:$B$9997,B251,$C$2:$C$9997,C251)</f>
        <v/>
      </c>
      <c r="I251" s="19" t="n">
        <v>1</v>
      </c>
      <c r="J251" s="57" t="n">
        <v>9</v>
      </c>
    </row>
    <row r="252">
      <c r="A252" s="62" t="n">
        <v>46363</v>
      </c>
      <c r="B252" s="19" t="n">
        <v>2026</v>
      </c>
      <c r="C252" s="19" t="n">
        <v>12</v>
      </c>
      <c r="D252" s="56" t="inlineStr">
        <is>
          <t>Mon</t>
        </is>
      </c>
      <c r="E252" s="56" t="inlineStr">
        <is>
          <t>Week</t>
        </is>
      </c>
      <c r="F252" s="56">
        <f>IF(ForeCalc!$F$1="Staffed Hours",G252,24)</f>
        <v/>
      </c>
      <c r="G252" s="57">
        <f>IF(COUNTIF(M:M,Calendar!A252)&gt;0,VLOOKUP(A252,M:P,4,FALSE),VLOOKUP(D252,BusData!$A$3:$D$10,4,FALSE))</f>
        <v/>
      </c>
      <c r="H252" s="11">
        <f>F252/SUMIFS($F$2:$F$9997,$B$2:$B$9997,B252,$C$2:$C$9997,C252)</f>
        <v/>
      </c>
      <c r="I252" s="19" t="n">
        <v>1</v>
      </c>
      <c r="J252" s="57" t="n">
        <v>9</v>
      </c>
    </row>
    <row r="253">
      <c r="A253" s="62" t="n">
        <v>46364</v>
      </c>
      <c r="B253" s="19" t="n">
        <v>2026</v>
      </c>
      <c r="C253" s="19" t="n">
        <v>12</v>
      </c>
      <c r="D253" s="56" t="inlineStr">
        <is>
          <t>Tue</t>
        </is>
      </c>
      <c r="E253" s="56" t="inlineStr">
        <is>
          <t>Week</t>
        </is>
      </c>
      <c r="F253" s="56">
        <f>IF(ForeCalc!$F$1="Staffed Hours",G253,24)</f>
        <v/>
      </c>
      <c r="G253" s="57">
        <f>IF(COUNTIF(M:M,Calendar!A253)&gt;0,VLOOKUP(A253,M:P,4,FALSE),VLOOKUP(D253,BusData!$A$3:$D$10,4,FALSE))</f>
        <v/>
      </c>
      <c r="H253" s="11">
        <f>F253/SUMIFS($F$2:$F$9997,$B$2:$B$9997,B253,$C$2:$C$9997,C253)</f>
        <v/>
      </c>
      <c r="I253" s="19" t="n">
        <v>1</v>
      </c>
      <c r="J253" s="57" t="n">
        <v>9</v>
      </c>
    </row>
    <row r="254">
      <c r="A254" s="62" t="n">
        <v>46365</v>
      </c>
      <c r="B254" s="19" t="n">
        <v>2026</v>
      </c>
      <c r="C254" s="19" t="n">
        <v>12</v>
      </c>
      <c r="D254" s="56" t="inlineStr">
        <is>
          <t>Wed</t>
        </is>
      </c>
      <c r="E254" s="56" t="inlineStr">
        <is>
          <t>Week</t>
        </is>
      </c>
      <c r="F254" s="56">
        <f>IF(ForeCalc!$F$1="Staffed Hours",G254,24)</f>
        <v/>
      </c>
      <c r="G254" s="57">
        <f>IF(COUNTIF(M:M,Calendar!A254)&gt;0,VLOOKUP(A254,M:P,4,FALSE),VLOOKUP(D254,BusData!$A$3:$D$10,4,FALSE))</f>
        <v/>
      </c>
      <c r="H254" s="11">
        <f>F254/SUMIFS($F$2:$F$9997,$B$2:$B$9997,B254,$C$2:$C$9997,C254)</f>
        <v/>
      </c>
      <c r="I254" s="19" t="n">
        <v>1</v>
      </c>
      <c r="J254" s="57" t="n">
        <v>9</v>
      </c>
    </row>
    <row r="255">
      <c r="A255" s="62" t="n">
        <v>46366</v>
      </c>
      <c r="B255" s="19" t="n">
        <v>2026</v>
      </c>
      <c r="C255" s="19" t="n">
        <v>12</v>
      </c>
      <c r="D255" s="56" t="inlineStr">
        <is>
          <t>Thu</t>
        </is>
      </c>
      <c r="E255" s="56" t="inlineStr">
        <is>
          <t>Week</t>
        </is>
      </c>
      <c r="F255" s="56">
        <f>IF(ForeCalc!$F$1="Staffed Hours",G255,24)</f>
        <v/>
      </c>
      <c r="G255" s="57">
        <f>IF(COUNTIF(M:M,Calendar!A255)&gt;0,VLOOKUP(A255,M:P,4,FALSE),VLOOKUP(D255,BusData!$A$3:$D$10,4,FALSE))</f>
        <v/>
      </c>
      <c r="H255" s="11">
        <f>F255/SUMIFS($F$2:$F$9997,$B$2:$B$9997,B255,$C$2:$C$9997,C255)</f>
        <v/>
      </c>
      <c r="I255" s="19" t="n">
        <v>1</v>
      </c>
      <c r="J255" s="57" t="n">
        <v>9</v>
      </c>
    </row>
    <row r="256">
      <c r="A256" s="62" t="n">
        <v>46367</v>
      </c>
      <c r="B256" s="19" t="n">
        <v>2026</v>
      </c>
      <c r="C256" s="19" t="n">
        <v>12</v>
      </c>
      <c r="D256" s="56" t="inlineStr">
        <is>
          <t>Fri</t>
        </is>
      </c>
      <c r="E256" s="56" t="inlineStr">
        <is>
          <t>Week</t>
        </is>
      </c>
      <c r="F256" s="56">
        <f>IF(ForeCalc!$F$1="Staffed Hours",G256,24)</f>
        <v/>
      </c>
      <c r="G256" s="57">
        <f>IF(COUNTIF(M:M,Calendar!A256)&gt;0,VLOOKUP(A256,M:P,4,FALSE),VLOOKUP(D256,BusData!$A$3:$D$10,4,FALSE))</f>
        <v/>
      </c>
      <c r="H256" s="11">
        <f>F256/SUMIFS($F$2:$F$9997,$B$2:$B$9997,B256,$C$2:$C$9997,C256)</f>
        <v/>
      </c>
      <c r="I256" s="19" t="n">
        <v>1</v>
      </c>
      <c r="J256" s="57" t="n">
        <v>9</v>
      </c>
    </row>
    <row r="257">
      <c r="A257" s="62" t="n">
        <v>46368</v>
      </c>
      <c r="B257" s="19" t="n">
        <v>2026</v>
      </c>
      <c r="C257" s="19" t="n">
        <v>12</v>
      </c>
      <c r="D257" s="56" t="inlineStr">
        <is>
          <t>Sat</t>
        </is>
      </c>
      <c r="E257" s="56" t="inlineStr">
        <is>
          <t>Sat</t>
        </is>
      </c>
      <c r="F257" s="56">
        <f>IF(ForeCalc!$F$1="Staffed Hours",G257,24)</f>
        <v/>
      </c>
      <c r="G257" s="57">
        <f>IF(COUNTIF(M:M,Calendar!A257)&gt;0,VLOOKUP(A257,M:P,4,FALSE),VLOOKUP(D257,BusData!$A$3:$D$10,4,FALSE))</f>
        <v/>
      </c>
      <c r="H257" s="11">
        <f>F257/SUMIFS($F$2:$F$9997,$B$2:$B$9997,B257,$C$2:$C$9997,C257)</f>
        <v/>
      </c>
      <c r="I257" s="19" t="n">
        <v>1</v>
      </c>
      <c r="J257" s="57" t="n">
        <v>9</v>
      </c>
    </row>
    <row r="258">
      <c r="A258" s="62" t="n">
        <v>46369</v>
      </c>
      <c r="B258" s="19" t="n">
        <v>2026</v>
      </c>
      <c r="C258" s="19" t="n">
        <v>12</v>
      </c>
      <c r="D258" s="56" t="inlineStr">
        <is>
          <t>Sun</t>
        </is>
      </c>
      <c r="E258" s="56" t="inlineStr">
        <is>
          <t>Sun</t>
        </is>
      </c>
      <c r="F258" s="56">
        <f>IF(ForeCalc!$F$1="Staffed Hours",G258,24)</f>
        <v/>
      </c>
      <c r="G258" s="57">
        <f>IF(COUNTIF(M:M,Calendar!A258)&gt;0,VLOOKUP(A258,M:P,4,FALSE),VLOOKUP(D258,BusData!$A$3:$D$10,4,FALSE))</f>
        <v/>
      </c>
      <c r="H258" s="11">
        <f>F258/SUMIFS($F$2:$F$9997,$B$2:$B$9997,B258,$C$2:$C$9997,C258)</f>
        <v/>
      </c>
      <c r="I258" s="19" t="n">
        <v>1</v>
      </c>
      <c r="J258" s="57" t="n">
        <v>9</v>
      </c>
    </row>
    <row r="259">
      <c r="A259" s="62" t="n">
        <v>46370</v>
      </c>
      <c r="B259" s="19" t="n">
        <v>2026</v>
      </c>
      <c r="C259" s="19" t="n">
        <v>12</v>
      </c>
      <c r="D259" s="56" t="inlineStr">
        <is>
          <t>Mon</t>
        </is>
      </c>
      <c r="E259" s="56" t="inlineStr">
        <is>
          <t>Week</t>
        </is>
      </c>
      <c r="F259" s="56">
        <f>IF(ForeCalc!$F$1="Staffed Hours",G259,24)</f>
        <v/>
      </c>
      <c r="G259" s="57">
        <f>IF(COUNTIF(M:M,Calendar!A259)&gt;0,VLOOKUP(A259,M:P,4,FALSE),VLOOKUP(D259,BusData!$A$3:$D$10,4,FALSE))</f>
        <v/>
      </c>
      <c r="H259" s="11">
        <f>F259/SUMIFS($F$2:$F$9997,$B$2:$B$9997,B259,$C$2:$C$9997,C259)</f>
        <v/>
      </c>
      <c r="I259" s="19" t="n">
        <v>1</v>
      </c>
      <c r="J259" s="57" t="n">
        <v>9</v>
      </c>
    </row>
    <row r="260">
      <c r="A260" s="62" t="n">
        <v>46371</v>
      </c>
      <c r="B260" s="19" t="n">
        <v>2026</v>
      </c>
      <c r="C260" s="19" t="n">
        <v>12</v>
      </c>
      <c r="D260" s="56" t="inlineStr">
        <is>
          <t>Tue</t>
        </is>
      </c>
      <c r="E260" s="56" t="inlineStr">
        <is>
          <t>Week</t>
        </is>
      </c>
      <c r="F260" s="56">
        <f>IF(ForeCalc!$F$1="Staffed Hours",G260,24)</f>
        <v/>
      </c>
      <c r="G260" s="57">
        <f>IF(COUNTIF(M:M,Calendar!A260)&gt;0,VLOOKUP(A260,M:P,4,FALSE),VLOOKUP(D260,BusData!$A$3:$D$10,4,FALSE))</f>
        <v/>
      </c>
      <c r="H260" s="11">
        <f>F260/SUMIFS($F$2:$F$9997,$B$2:$B$9997,B260,$C$2:$C$9997,C260)</f>
        <v/>
      </c>
      <c r="I260" s="19" t="n">
        <v>1</v>
      </c>
      <c r="J260" s="57" t="n">
        <v>9</v>
      </c>
    </row>
    <row r="261">
      <c r="A261" s="62" t="n">
        <v>46372</v>
      </c>
      <c r="B261" s="19" t="n">
        <v>2026</v>
      </c>
      <c r="C261" s="19" t="n">
        <v>12</v>
      </c>
      <c r="D261" s="56" t="inlineStr">
        <is>
          <t>Wed</t>
        </is>
      </c>
      <c r="E261" s="56" t="inlineStr">
        <is>
          <t>Week</t>
        </is>
      </c>
      <c r="F261" s="56">
        <f>IF(ForeCalc!$F$1="Staffed Hours",G261,24)</f>
        <v/>
      </c>
      <c r="G261" s="57">
        <f>IF(COUNTIF(M:M,Calendar!A261)&gt;0,VLOOKUP(A261,M:P,4,FALSE),VLOOKUP(D261,BusData!$A$3:$D$10,4,FALSE))</f>
        <v/>
      </c>
      <c r="H261" s="11">
        <f>F261/SUMIFS($F$2:$F$9997,$B$2:$B$9997,B261,$C$2:$C$9997,C261)</f>
        <v/>
      </c>
      <c r="I261" s="19" t="n">
        <v>1</v>
      </c>
      <c r="J261" s="57" t="n">
        <v>9</v>
      </c>
    </row>
    <row r="262">
      <c r="A262" s="62" t="n">
        <v>46373</v>
      </c>
      <c r="B262" s="19" t="n">
        <v>2026</v>
      </c>
      <c r="C262" s="19" t="n">
        <v>12</v>
      </c>
      <c r="D262" s="56" t="inlineStr">
        <is>
          <t>Thu</t>
        </is>
      </c>
      <c r="E262" s="56" t="inlineStr">
        <is>
          <t>Week</t>
        </is>
      </c>
      <c r="F262" s="56">
        <f>IF(ForeCalc!$F$1="Staffed Hours",G262,24)</f>
        <v/>
      </c>
      <c r="G262" s="57">
        <f>IF(COUNTIF(M:M,Calendar!A262)&gt;0,VLOOKUP(A262,M:P,4,FALSE),VLOOKUP(D262,BusData!$A$3:$D$10,4,FALSE))</f>
        <v/>
      </c>
      <c r="H262" s="11">
        <f>F262/SUMIFS($F$2:$F$9997,$B$2:$B$9997,B262,$C$2:$C$9997,C262)</f>
        <v/>
      </c>
      <c r="I262" s="19" t="n">
        <v>1</v>
      </c>
      <c r="J262" s="57" t="n">
        <v>9</v>
      </c>
    </row>
    <row r="263">
      <c r="A263" s="62" t="n">
        <v>46374</v>
      </c>
      <c r="B263" s="19" t="n">
        <v>2026</v>
      </c>
      <c r="C263" s="19" t="n">
        <v>12</v>
      </c>
      <c r="D263" s="56" t="inlineStr">
        <is>
          <t>Fri</t>
        </is>
      </c>
      <c r="E263" s="56" t="inlineStr">
        <is>
          <t>Week</t>
        </is>
      </c>
      <c r="F263" s="56">
        <f>IF(ForeCalc!$F$1="Staffed Hours",G263,24)</f>
        <v/>
      </c>
      <c r="G263" s="57">
        <f>IF(COUNTIF(M:M,Calendar!A263)&gt;0,VLOOKUP(A263,M:P,4,FALSE),VLOOKUP(D263,BusData!$A$3:$D$10,4,FALSE))</f>
        <v/>
      </c>
      <c r="H263" s="11">
        <f>F263/SUMIFS($F$2:$F$9997,$B$2:$B$9997,B263,$C$2:$C$9997,C263)</f>
        <v/>
      </c>
      <c r="I263" s="19" t="n">
        <v>1</v>
      </c>
      <c r="J263" s="57" t="n">
        <v>9</v>
      </c>
    </row>
    <row r="264">
      <c r="A264" s="62" t="n">
        <v>46375</v>
      </c>
      <c r="B264" s="19" t="n">
        <v>2026</v>
      </c>
      <c r="C264" s="19" t="n">
        <v>12</v>
      </c>
      <c r="D264" s="56" t="inlineStr">
        <is>
          <t>Sat</t>
        </is>
      </c>
      <c r="E264" s="56" t="inlineStr">
        <is>
          <t>Sat</t>
        </is>
      </c>
      <c r="F264" s="56">
        <f>IF(ForeCalc!$F$1="Staffed Hours",G264,24)</f>
        <v/>
      </c>
      <c r="G264" s="57">
        <f>IF(COUNTIF(M:M,Calendar!A264)&gt;0,VLOOKUP(A264,M:P,4,FALSE),VLOOKUP(D264,BusData!$A$3:$D$10,4,FALSE))</f>
        <v/>
      </c>
      <c r="H264" s="11">
        <f>F264/SUMIFS($F$2:$F$9997,$B$2:$B$9997,B264,$C$2:$C$9997,C264)</f>
        <v/>
      </c>
      <c r="I264" s="19" t="n">
        <v>1</v>
      </c>
      <c r="J264" s="57" t="n">
        <v>9</v>
      </c>
    </row>
    <row r="265">
      <c r="A265" s="62" t="n">
        <v>46376</v>
      </c>
      <c r="B265" s="19" t="n">
        <v>2026</v>
      </c>
      <c r="C265" s="19" t="n">
        <v>12</v>
      </c>
      <c r="D265" s="56" t="inlineStr">
        <is>
          <t>Sun</t>
        </is>
      </c>
      <c r="E265" s="56" t="inlineStr">
        <is>
          <t>Sun</t>
        </is>
      </c>
      <c r="F265" s="56">
        <f>IF(ForeCalc!$F$1="Staffed Hours",G265,24)</f>
        <v/>
      </c>
      <c r="G265" s="57">
        <f>IF(COUNTIF(M:M,Calendar!A265)&gt;0,VLOOKUP(A265,M:P,4,FALSE),VLOOKUP(D265,BusData!$A$3:$D$10,4,FALSE))</f>
        <v/>
      </c>
      <c r="H265" s="11">
        <f>F265/SUMIFS($F$2:$F$9997,$B$2:$B$9997,B265,$C$2:$C$9997,C265)</f>
        <v/>
      </c>
      <c r="I265" s="19" t="n">
        <v>1</v>
      </c>
      <c r="J265" s="57" t="n">
        <v>9</v>
      </c>
    </row>
    <row r="266">
      <c r="A266" s="62" t="n">
        <v>46377</v>
      </c>
      <c r="B266" s="19" t="n">
        <v>2026</v>
      </c>
      <c r="C266" s="19" t="n">
        <v>12</v>
      </c>
      <c r="D266" s="56" t="inlineStr">
        <is>
          <t>Mon</t>
        </is>
      </c>
      <c r="E266" s="56" t="inlineStr">
        <is>
          <t>Week</t>
        </is>
      </c>
      <c r="F266" s="56">
        <f>IF(ForeCalc!$F$1="Staffed Hours",G266,24)</f>
        <v/>
      </c>
      <c r="G266" s="57">
        <f>IF(COUNTIF(M:M,Calendar!A266)&gt;0,VLOOKUP(A266,M:P,4,FALSE),VLOOKUP(D266,BusData!$A$3:$D$10,4,FALSE))</f>
        <v/>
      </c>
      <c r="H266" s="11">
        <f>F266/SUMIFS($F$2:$F$9997,$B$2:$B$9997,B266,$C$2:$C$9997,C266)</f>
        <v/>
      </c>
      <c r="I266" s="19" t="n">
        <v>1</v>
      </c>
      <c r="J266" s="57" t="n">
        <v>9</v>
      </c>
    </row>
    <row r="267">
      <c r="A267" s="62" t="n">
        <v>46378</v>
      </c>
      <c r="B267" s="19" t="n">
        <v>2026</v>
      </c>
      <c r="C267" s="19" t="n">
        <v>12</v>
      </c>
      <c r="D267" s="56" t="inlineStr">
        <is>
          <t>Tue</t>
        </is>
      </c>
      <c r="E267" s="56" t="inlineStr">
        <is>
          <t>Week</t>
        </is>
      </c>
      <c r="F267" s="56">
        <f>IF(ForeCalc!$F$1="Staffed Hours",G267,24)</f>
        <v/>
      </c>
      <c r="G267" s="57">
        <f>IF(COUNTIF(M:M,Calendar!A267)&gt;0,VLOOKUP(A267,M:P,4,FALSE),VLOOKUP(D267,BusData!$A$3:$D$10,4,FALSE))</f>
        <v/>
      </c>
      <c r="H267" s="11">
        <f>F267/SUMIFS($F$2:$F$9997,$B$2:$B$9997,B267,$C$2:$C$9997,C267)</f>
        <v/>
      </c>
      <c r="I267" s="19" t="n">
        <v>1</v>
      </c>
      <c r="J267" s="57" t="n">
        <v>9</v>
      </c>
    </row>
    <row r="268">
      <c r="A268" s="62" t="n">
        <v>46379</v>
      </c>
      <c r="B268" s="19" t="n">
        <v>2026</v>
      </c>
      <c r="C268" s="19" t="n">
        <v>12</v>
      </c>
      <c r="D268" s="56" t="inlineStr">
        <is>
          <t>Wed</t>
        </is>
      </c>
      <c r="E268" s="56" t="inlineStr">
        <is>
          <t>Week</t>
        </is>
      </c>
      <c r="F268" s="56">
        <f>IF(ForeCalc!$F$1="Staffed Hours",G268,24)</f>
        <v/>
      </c>
      <c r="G268" s="57">
        <f>IF(COUNTIF(M:M,Calendar!A268)&gt;0,VLOOKUP(A268,M:P,4,FALSE),VLOOKUP(D268,BusData!$A$3:$D$10,4,FALSE))</f>
        <v/>
      </c>
      <c r="H268" s="11">
        <f>F268/SUMIFS($F$2:$F$9997,$B$2:$B$9997,B268,$C$2:$C$9997,C268)</f>
        <v/>
      </c>
      <c r="I268" s="19" t="n">
        <v>1</v>
      </c>
      <c r="J268" s="57" t="n">
        <v>9</v>
      </c>
    </row>
    <row r="269">
      <c r="A269" s="62" t="n">
        <v>46380</v>
      </c>
      <c r="B269" s="19" t="n">
        <v>2026</v>
      </c>
      <c r="C269" s="19" t="n">
        <v>12</v>
      </c>
      <c r="D269" s="56" t="inlineStr">
        <is>
          <t>Thu</t>
        </is>
      </c>
      <c r="E269" s="56" t="inlineStr">
        <is>
          <t>Week</t>
        </is>
      </c>
      <c r="F269" s="56">
        <f>IF(ForeCalc!$F$1="Staffed Hours",G269,24)</f>
        <v/>
      </c>
      <c r="G269" s="57">
        <f>IF(COUNTIF(M:M,Calendar!A269)&gt;0,VLOOKUP(A269,M:P,4,FALSE),VLOOKUP(D269,BusData!$A$3:$D$10,4,FALSE))</f>
        <v/>
      </c>
      <c r="H269" s="11">
        <f>F269/SUMIFS($F$2:$F$9997,$B$2:$B$9997,B269,$C$2:$C$9997,C269)</f>
        <v/>
      </c>
      <c r="I269" s="19" t="n">
        <v>1</v>
      </c>
      <c r="J269" s="57" t="n">
        <v>9</v>
      </c>
    </row>
    <row r="270">
      <c r="A270" s="62" t="n">
        <v>46381</v>
      </c>
      <c r="B270" s="19" t="n">
        <v>2026</v>
      </c>
      <c r="C270" s="19" t="n">
        <v>12</v>
      </c>
      <c r="D270" s="56" t="inlineStr">
        <is>
          <t>Fri</t>
        </is>
      </c>
      <c r="E270" s="56" t="inlineStr">
        <is>
          <t>Week</t>
        </is>
      </c>
      <c r="F270" s="56">
        <f>IF(ForeCalc!$F$1="Staffed Hours",G270,24)</f>
        <v/>
      </c>
      <c r="G270" s="57">
        <f>IF(COUNTIF(M:M,Calendar!A270)&gt;0,VLOOKUP(A270,M:P,4,FALSE),VLOOKUP(D270,BusData!$A$3:$D$10,4,FALSE))</f>
        <v/>
      </c>
      <c r="H270" s="11">
        <f>F270/SUMIFS($F$2:$F$9997,$B$2:$B$9997,B270,$C$2:$C$9997,C270)</f>
        <v/>
      </c>
      <c r="I270" s="19" t="n">
        <v>1</v>
      </c>
      <c r="J270" s="57" t="n">
        <v>9</v>
      </c>
    </row>
    <row r="271">
      <c r="A271" s="62" t="n">
        <v>46382</v>
      </c>
      <c r="B271" s="19" t="n">
        <v>2026</v>
      </c>
      <c r="C271" s="19" t="n">
        <v>12</v>
      </c>
      <c r="D271" s="56" t="inlineStr">
        <is>
          <t>Sat</t>
        </is>
      </c>
      <c r="E271" s="56" t="inlineStr">
        <is>
          <t>Sat</t>
        </is>
      </c>
      <c r="F271" s="56">
        <f>IF(ForeCalc!$F$1="Staffed Hours",G271,24)</f>
        <v/>
      </c>
      <c r="G271" s="57">
        <f>IF(COUNTIF(M:M,Calendar!A271)&gt;0,VLOOKUP(A271,M:P,4,FALSE),VLOOKUP(D271,BusData!$A$3:$D$10,4,FALSE))</f>
        <v/>
      </c>
      <c r="H271" s="11">
        <f>F271/SUMIFS($F$2:$F$9997,$B$2:$B$9997,B271,$C$2:$C$9997,C271)</f>
        <v/>
      </c>
      <c r="I271" s="19" t="n">
        <v>1</v>
      </c>
      <c r="J271" s="57" t="n">
        <v>9</v>
      </c>
    </row>
    <row r="272">
      <c r="A272" s="62" t="n">
        <v>46383</v>
      </c>
      <c r="B272" s="19" t="n">
        <v>2026</v>
      </c>
      <c r="C272" s="19" t="n">
        <v>12</v>
      </c>
      <c r="D272" s="56" t="inlineStr">
        <is>
          <t>Sun</t>
        </is>
      </c>
      <c r="E272" s="56" t="inlineStr">
        <is>
          <t>Sun</t>
        </is>
      </c>
      <c r="F272" s="56">
        <f>IF(ForeCalc!$F$1="Staffed Hours",G272,24)</f>
        <v/>
      </c>
      <c r="G272" s="57">
        <f>IF(COUNTIF(M:M,Calendar!A272)&gt;0,VLOOKUP(A272,M:P,4,FALSE),VLOOKUP(D272,BusData!$A$3:$D$10,4,FALSE))</f>
        <v/>
      </c>
      <c r="H272" s="11">
        <f>F272/SUMIFS($F$2:$F$9997,$B$2:$B$9997,B272,$C$2:$C$9997,C272)</f>
        <v/>
      </c>
      <c r="I272" s="19" t="n">
        <v>1</v>
      </c>
      <c r="J272" s="57" t="n">
        <v>9</v>
      </c>
    </row>
    <row r="273">
      <c r="A273" s="62" t="n">
        <v>46384</v>
      </c>
      <c r="B273" s="19" t="n">
        <v>2026</v>
      </c>
      <c r="C273" s="19" t="n">
        <v>12</v>
      </c>
      <c r="D273" s="56" t="inlineStr">
        <is>
          <t>Mon</t>
        </is>
      </c>
      <c r="E273" s="56" t="inlineStr">
        <is>
          <t>Week</t>
        </is>
      </c>
      <c r="F273" s="56">
        <f>IF(ForeCalc!$F$1="Staffed Hours",G273,24)</f>
        <v/>
      </c>
      <c r="G273" s="57">
        <f>IF(COUNTIF(M:M,Calendar!A273)&gt;0,VLOOKUP(A273,M:P,4,FALSE),VLOOKUP(D273,BusData!$A$3:$D$10,4,FALSE))</f>
        <v/>
      </c>
      <c r="H273" s="11">
        <f>F273/SUMIFS($F$2:$F$9997,$B$2:$B$9997,B273,$C$2:$C$9997,C273)</f>
        <v/>
      </c>
      <c r="I273" s="19" t="n">
        <v>1</v>
      </c>
      <c r="J273" s="57" t="n">
        <v>9</v>
      </c>
    </row>
    <row r="274">
      <c r="A274" s="62" t="n">
        <v>46385</v>
      </c>
      <c r="B274" s="19" t="n">
        <v>2026</v>
      </c>
      <c r="C274" s="19" t="n">
        <v>12</v>
      </c>
      <c r="D274" s="56" t="inlineStr">
        <is>
          <t>Tue</t>
        </is>
      </c>
      <c r="E274" s="56" t="inlineStr">
        <is>
          <t>Week</t>
        </is>
      </c>
      <c r="F274" s="56">
        <f>IF(ForeCalc!$F$1="Staffed Hours",G274,24)</f>
        <v/>
      </c>
      <c r="G274" s="57">
        <f>IF(COUNTIF(M:M,Calendar!A274)&gt;0,VLOOKUP(A274,M:P,4,FALSE),VLOOKUP(D274,BusData!$A$3:$D$10,4,FALSE))</f>
        <v/>
      </c>
      <c r="H274" s="11">
        <f>F274/SUMIFS($F$2:$F$9997,$B$2:$B$9997,B274,$C$2:$C$9997,C274)</f>
        <v/>
      </c>
      <c r="I274" s="19" t="n">
        <v>1</v>
      </c>
      <c r="J274" s="57" t="n">
        <v>9</v>
      </c>
    </row>
    <row r="275">
      <c r="A275" s="62" t="n">
        <v>46386</v>
      </c>
      <c r="B275" s="19" t="n">
        <v>2026</v>
      </c>
      <c r="C275" s="19" t="n">
        <v>12</v>
      </c>
      <c r="D275" s="56" t="inlineStr">
        <is>
          <t>Wed</t>
        </is>
      </c>
      <c r="E275" s="56" t="inlineStr">
        <is>
          <t>Week</t>
        </is>
      </c>
      <c r="F275" s="56">
        <f>IF(ForeCalc!$F$1="Staffed Hours",G275,24)</f>
        <v/>
      </c>
      <c r="G275" s="57">
        <f>IF(COUNTIF(M:M,Calendar!A275)&gt;0,VLOOKUP(A275,M:P,4,FALSE),VLOOKUP(D275,BusData!$A$3:$D$10,4,FALSE))</f>
        <v/>
      </c>
      <c r="H275" s="11">
        <f>F275/SUMIFS($F$2:$F$9997,$B$2:$B$9997,B275,$C$2:$C$9997,C275)</f>
        <v/>
      </c>
      <c r="I275" s="19" t="n">
        <v>1</v>
      </c>
      <c r="J275" s="57" t="n">
        <v>9</v>
      </c>
    </row>
    <row r="276">
      <c r="A276" s="62" t="n">
        <v>46387</v>
      </c>
      <c r="B276" s="19" t="n">
        <v>2026</v>
      </c>
      <c r="C276" s="19" t="n">
        <v>12</v>
      </c>
      <c r="D276" s="56" t="inlineStr">
        <is>
          <t>Thu</t>
        </is>
      </c>
      <c r="E276" s="56" t="inlineStr">
        <is>
          <t>Week</t>
        </is>
      </c>
      <c r="F276" s="56">
        <f>IF(ForeCalc!$F$1="Staffed Hours",G276,24)</f>
        <v/>
      </c>
      <c r="G276" s="57">
        <f>IF(COUNTIF(M:M,Calendar!A276)&gt;0,VLOOKUP(A276,M:P,4,FALSE),VLOOKUP(D276,BusData!$A$3:$D$10,4,FALSE))</f>
        <v/>
      </c>
      <c r="H276" s="11">
        <f>F276/SUMIFS($F$2:$F$9997,$B$2:$B$9997,B276,$C$2:$C$9997,C276)</f>
        <v/>
      </c>
      <c r="I276" s="19" t="n">
        <v>1</v>
      </c>
      <c r="J276" s="57" t="n">
        <v>9</v>
      </c>
    </row>
    <row r="277">
      <c r="A277" s="62" t="n">
        <v>46388</v>
      </c>
      <c r="B277" s="19" t="n">
        <v>2027</v>
      </c>
      <c r="C277" s="19" t="n">
        <v>1</v>
      </c>
      <c r="D277" s="56" t="inlineStr">
        <is>
          <t>Fri</t>
        </is>
      </c>
      <c r="E277" s="56" t="inlineStr">
        <is>
          <t>Week</t>
        </is>
      </c>
      <c r="F277" s="56">
        <f>IF(ForeCalc!$F$1="Staffed Hours",G277,24)</f>
        <v/>
      </c>
      <c r="G277" s="57">
        <f>IF(COUNTIF(M:M,Calendar!A277)&gt;0,VLOOKUP(A277,M:P,4,FALSE),VLOOKUP(D277,BusData!$A$3:$D$10,4,FALSE))</f>
        <v/>
      </c>
      <c r="H277" s="11">
        <f>F277/SUMIFS($F$2:$F$9997,$B$2:$B$9997,B277,$C$2:$C$9997,C277)</f>
        <v/>
      </c>
      <c r="I277" s="19" t="n">
        <v>1</v>
      </c>
      <c r="J277" s="57" t="n">
        <v>10</v>
      </c>
    </row>
    <row r="278">
      <c r="A278" s="62" t="n">
        <v>46389</v>
      </c>
      <c r="B278" s="19" t="n">
        <v>2027</v>
      </c>
      <c r="C278" s="19" t="n">
        <v>1</v>
      </c>
      <c r="D278" s="56" t="inlineStr">
        <is>
          <t>Sat</t>
        </is>
      </c>
      <c r="E278" s="56" t="inlineStr">
        <is>
          <t>Sat</t>
        </is>
      </c>
      <c r="F278" s="56">
        <f>IF(ForeCalc!$F$1="Staffed Hours",G278,24)</f>
        <v/>
      </c>
      <c r="G278" s="57">
        <f>IF(COUNTIF(M:M,Calendar!A278)&gt;0,VLOOKUP(A278,M:P,4,FALSE),VLOOKUP(D278,BusData!$A$3:$D$10,4,FALSE))</f>
        <v/>
      </c>
      <c r="H278" s="11">
        <f>F278/SUMIFS($F$2:$F$9997,$B$2:$B$9997,B278,$C$2:$C$9997,C278)</f>
        <v/>
      </c>
      <c r="I278" s="19" t="n">
        <v>1</v>
      </c>
      <c r="J278" s="57" t="n">
        <v>10</v>
      </c>
    </row>
    <row r="279">
      <c r="A279" s="62" t="n">
        <v>46390</v>
      </c>
      <c r="B279" s="19" t="n">
        <v>2027</v>
      </c>
      <c r="C279" s="19" t="n">
        <v>1</v>
      </c>
      <c r="D279" s="56" t="inlineStr">
        <is>
          <t>Sun</t>
        </is>
      </c>
      <c r="E279" s="56" t="inlineStr">
        <is>
          <t>Sun</t>
        </is>
      </c>
      <c r="F279" s="56">
        <f>IF(ForeCalc!$F$1="Staffed Hours",G279,24)</f>
        <v/>
      </c>
      <c r="G279" s="57">
        <f>IF(COUNTIF(M:M,Calendar!A279)&gt;0,VLOOKUP(A279,M:P,4,FALSE),VLOOKUP(D279,BusData!$A$3:$D$10,4,FALSE))</f>
        <v/>
      </c>
      <c r="H279" s="11">
        <f>F279/SUMIFS($F$2:$F$9997,$B$2:$B$9997,B279,$C$2:$C$9997,C279)</f>
        <v/>
      </c>
      <c r="I279" s="19" t="n">
        <v>1</v>
      </c>
      <c r="J279" s="57" t="n">
        <v>10</v>
      </c>
    </row>
    <row r="280">
      <c r="A280" s="62" t="n">
        <v>46391</v>
      </c>
      <c r="B280" s="19" t="n">
        <v>2027</v>
      </c>
      <c r="C280" s="19" t="n">
        <v>1</v>
      </c>
      <c r="D280" s="56" t="inlineStr">
        <is>
          <t>Mon</t>
        </is>
      </c>
      <c r="E280" s="56" t="inlineStr">
        <is>
          <t>Week</t>
        </is>
      </c>
      <c r="F280" s="56">
        <f>IF(ForeCalc!$F$1="Staffed Hours",G280,24)</f>
        <v/>
      </c>
      <c r="G280" s="57">
        <f>IF(COUNTIF(M:M,Calendar!A280)&gt;0,VLOOKUP(A280,M:P,4,FALSE),VLOOKUP(D280,BusData!$A$3:$D$10,4,FALSE))</f>
        <v/>
      </c>
      <c r="H280" s="11">
        <f>F280/SUMIFS($F$2:$F$9997,$B$2:$B$9997,B280,$C$2:$C$9997,C280)</f>
        <v/>
      </c>
      <c r="I280" s="19" t="n">
        <v>1</v>
      </c>
      <c r="J280" s="57" t="n">
        <v>10</v>
      </c>
    </row>
    <row r="281">
      <c r="A281" s="62" t="n">
        <v>46392</v>
      </c>
      <c r="B281" s="19" t="n">
        <v>2027</v>
      </c>
      <c r="C281" s="19" t="n">
        <v>1</v>
      </c>
      <c r="D281" s="56" t="inlineStr">
        <is>
          <t>Tue</t>
        </is>
      </c>
      <c r="E281" s="56" t="inlineStr">
        <is>
          <t>Week</t>
        </is>
      </c>
      <c r="F281" s="56">
        <f>IF(ForeCalc!$F$1="Staffed Hours",G281,24)</f>
        <v/>
      </c>
      <c r="G281" s="57">
        <f>IF(COUNTIF(M:M,Calendar!A281)&gt;0,VLOOKUP(A281,M:P,4,FALSE),VLOOKUP(D281,BusData!$A$3:$D$10,4,FALSE))</f>
        <v/>
      </c>
      <c r="H281" s="11">
        <f>F281/SUMIFS($F$2:$F$9997,$B$2:$B$9997,B281,$C$2:$C$9997,C281)</f>
        <v/>
      </c>
      <c r="I281" s="19" t="n">
        <v>1</v>
      </c>
      <c r="J281" s="57" t="n">
        <v>10</v>
      </c>
    </row>
    <row r="282">
      <c r="A282" s="62" t="n">
        <v>46393</v>
      </c>
      <c r="B282" s="19" t="n">
        <v>2027</v>
      </c>
      <c r="C282" s="19" t="n">
        <v>1</v>
      </c>
      <c r="D282" s="56" t="inlineStr">
        <is>
          <t>Wed</t>
        </is>
      </c>
      <c r="E282" s="56" t="inlineStr">
        <is>
          <t>Week</t>
        </is>
      </c>
      <c r="F282" s="56">
        <f>IF(ForeCalc!$F$1="Staffed Hours",G282,24)</f>
        <v/>
      </c>
      <c r="G282" s="57">
        <f>IF(COUNTIF(M:M,Calendar!A282)&gt;0,VLOOKUP(A282,M:P,4,FALSE),VLOOKUP(D282,BusData!$A$3:$D$10,4,FALSE))</f>
        <v/>
      </c>
      <c r="H282" s="11">
        <f>F282/SUMIFS($F$2:$F$9997,$B$2:$B$9997,B282,$C$2:$C$9997,C282)</f>
        <v/>
      </c>
      <c r="I282" s="19" t="n">
        <v>1</v>
      </c>
      <c r="J282" s="57" t="n">
        <v>10</v>
      </c>
    </row>
    <row r="283">
      <c r="A283" s="62" t="n">
        <v>46394</v>
      </c>
      <c r="B283" s="19" t="n">
        <v>2027</v>
      </c>
      <c r="C283" s="19" t="n">
        <v>1</v>
      </c>
      <c r="D283" s="56" t="inlineStr">
        <is>
          <t>Thu</t>
        </is>
      </c>
      <c r="E283" s="56" t="inlineStr">
        <is>
          <t>Week</t>
        </is>
      </c>
      <c r="F283" s="56">
        <f>IF(ForeCalc!$F$1="Staffed Hours",G283,24)</f>
        <v/>
      </c>
      <c r="G283" s="57">
        <f>IF(COUNTIF(M:M,Calendar!A283)&gt;0,VLOOKUP(A283,M:P,4,FALSE),VLOOKUP(D283,BusData!$A$3:$D$10,4,FALSE))</f>
        <v/>
      </c>
      <c r="H283" s="11">
        <f>F283/SUMIFS($F$2:$F$9997,$B$2:$B$9997,B283,$C$2:$C$9997,C283)</f>
        <v/>
      </c>
      <c r="I283" s="19" t="n">
        <v>1</v>
      </c>
      <c r="J283" s="57" t="n">
        <v>10</v>
      </c>
    </row>
    <row r="284">
      <c r="A284" s="62" t="n">
        <v>46395</v>
      </c>
      <c r="B284" s="19" t="n">
        <v>2027</v>
      </c>
      <c r="C284" s="19" t="n">
        <v>1</v>
      </c>
      <c r="D284" s="56" t="inlineStr">
        <is>
          <t>Fri</t>
        </is>
      </c>
      <c r="E284" s="56" t="inlineStr">
        <is>
          <t>Week</t>
        </is>
      </c>
      <c r="F284" s="56">
        <f>IF(ForeCalc!$F$1="Staffed Hours",G284,24)</f>
        <v/>
      </c>
      <c r="G284" s="57">
        <f>IF(COUNTIF(M:M,Calendar!A284)&gt;0,VLOOKUP(A284,M:P,4,FALSE),VLOOKUP(D284,BusData!$A$3:$D$10,4,FALSE))</f>
        <v/>
      </c>
      <c r="H284" s="11">
        <f>F284/SUMIFS($F$2:$F$9997,$B$2:$B$9997,B284,$C$2:$C$9997,C284)</f>
        <v/>
      </c>
      <c r="I284" s="19" t="n">
        <v>1</v>
      </c>
      <c r="J284" s="57" t="n">
        <v>10</v>
      </c>
    </row>
    <row r="285">
      <c r="A285" s="62" t="n">
        <v>46396</v>
      </c>
      <c r="B285" s="19" t="n">
        <v>2027</v>
      </c>
      <c r="C285" s="19" t="n">
        <v>1</v>
      </c>
      <c r="D285" s="56" t="inlineStr">
        <is>
          <t>Sat</t>
        </is>
      </c>
      <c r="E285" s="56" t="inlineStr">
        <is>
          <t>Sat</t>
        </is>
      </c>
      <c r="F285" s="56">
        <f>IF(ForeCalc!$F$1="Staffed Hours",G285,24)</f>
        <v/>
      </c>
      <c r="G285" s="57">
        <f>IF(COUNTIF(M:M,Calendar!A285)&gt;0,VLOOKUP(A285,M:P,4,FALSE),VLOOKUP(D285,BusData!$A$3:$D$10,4,FALSE))</f>
        <v/>
      </c>
      <c r="H285" s="11">
        <f>F285/SUMIFS($F$2:$F$9997,$B$2:$B$9997,B285,$C$2:$C$9997,C285)</f>
        <v/>
      </c>
      <c r="I285" s="19" t="n">
        <v>1</v>
      </c>
      <c r="J285" s="57" t="n">
        <v>10</v>
      </c>
    </row>
    <row r="286">
      <c r="A286" s="62" t="n">
        <v>46397</v>
      </c>
      <c r="B286" s="19" t="n">
        <v>2027</v>
      </c>
      <c r="C286" s="19" t="n">
        <v>1</v>
      </c>
      <c r="D286" s="56" t="inlineStr">
        <is>
          <t>Sun</t>
        </is>
      </c>
      <c r="E286" s="56" t="inlineStr">
        <is>
          <t>Sun</t>
        </is>
      </c>
      <c r="F286" s="56">
        <f>IF(ForeCalc!$F$1="Staffed Hours",G286,24)</f>
        <v/>
      </c>
      <c r="G286" s="57">
        <f>IF(COUNTIF(M:M,Calendar!A286)&gt;0,VLOOKUP(A286,M:P,4,FALSE),VLOOKUP(D286,BusData!$A$3:$D$10,4,FALSE))</f>
        <v/>
      </c>
      <c r="H286" s="11">
        <f>F286/SUMIFS($F$2:$F$9997,$B$2:$B$9997,B286,$C$2:$C$9997,C286)</f>
        <v/>
      </c>
      <c r="I286" s="19" t="n">
        <v>1</v>
      </c>
      <c r="J286" s="57" t="n">
        <v>10</v>
      </c>
    </row>
    <row r="287">
      <c r="A287" s="62" t="n">
        <v>46398</v>
      </c>
      <c r="B287" s="19" t="n">
        <v>2027</v>
      </c>
      <c r="C287" s="19" t="n">
        <v>1</v>
      </c>
      <c r="D287" s="56" t="inlineStr">
        <is>
          <t>Mon</t>
        </is>
      </c>
      <c r="E287" s="56" t="inlineStr">
        <is>
          <t>Week</t>
        </is>
      </c>
      <c r="F287" s="56">
        <f>IF(ForeCalc!$F$1="Staffed Hours",G287,24)</f>
        <v/>
      </c>
      <c r="G287" s="57">
        <f>IF(COUNTIF(M:M,Calendar!A287)&gt;0,VLOOKUP(A287,M:P,4,FALSE),VLOOKUP(D287,BusData!$A$3:$D$10,4,FALSE))</f>
        <v/>
      </c>
      <c r="H287" s="11">
        <f>F287/SUMIFS($F$2:$F$9997,$B$2:$B$9997,B287,$C$2:$C$9997,C287)</f>
        <v/>
      </c>
      <c r="I287" s="19" t="n">
        <v>1</v>
      </c>
      <c r="J287" s="57" t="n">
        <v>10</v>
      </c>
    </row>
    <row r="288">
      <c r="A288" s="62" t="n">
        <v>46399</v>
      </c>
      <c r="B288" s="19" t="n">
        <v>2027</v>
      </c>
      <c r="C288" s="19" t="n">
        <v>1</v>
      </c>
      <c r="D288" s="56" t="inlineStr">
        <is>
          <t>Tue</t>
        </is>
      </c>
      <c r="E288" s="56" t="inlineStr">
        <is>
          <t>Week</t>
        </is>
      </c>
      <c r="F288" s="56">
        <f>IF(ForeCalc!$F$1="Staffed Hours",G288,24)</f>
        <v/>
      </c>
      <c r="G288" s="57">
        <f>IF(COUNTIF(M:M,Calendar!A288)&gt;0,VLOOKUP(A288,M:P,4,FALSE),VLOOKUP(D288,BusData!$A$3:$D$10,4,FALSE))</f>
        <v/>
      </c>
      <c r="H288" s="11">
        <f>F288/SUMIFS($F$2:$F$9997,$B$2:$B$9997,B288,$C$2:$C$9997,C288)</f>
        <v/>
      </c>
      <c r="I288" s="19" t="n">
        <v>1</v>
      </c>
      <c r="J288" s="57" t="n">
        <v>10</v>
      </c>
    </row>
    <row r="289">
      <c r="A289" s="62" t="n">
        <v>46400</v>
      </c>
      <c r="B289" s="19" t="n">
        <v>2027</v>
      </c>
      <c r="C289" s="19" t="n">
        <v>1</v>
      </c>
      <c r="D289" s="56" t="inlineStr">
        <is>
          <t>Wed</t>
        </is>
      </c>
      <c r="E289" s="56" t="inlineStr">
        <is>
          <t>Week</t>
        </is>
      </c>
      <c r="F289" s="56">
        <f>IF(ForeCalc!$F$1="Staffed Hours",G289,24)</f>
        <v/>
      </c>
      <c r="G289" s="57">
        <f>IF(COUNTIF(M:M,Calendar!A289)&gt;0,VLOOKUP(A289,M:P,4,FALSE),VLOOKUP(D289,BusData!$A$3:$D$10,4,FALSE))</f>
        <v/>
      </c>
      <c r="H289" s="11">
        <f>F289/SUMIFS($F$2:$F$9997,$B$2:$B$9997,B289,$C$2:$C$9997,C289)</f>
        <v/>
      </c>
      <c r="I289" s="19" t="n">
        <v>1</v>
      </c>
      <c r="J289" s="57" t="n">
        <v>10</v>
      </c>
    </row>
    <row r="290">
      <c r="A290" s="62" t="n">
        <v>46401</v>
      </c>
      <c r="B290" s="19" t="n">
        <v>2027</v>
      </c>
      <c r="C290" s="19" t="n">
        <v>1</v>
      </c>
      <c r="D290" s="56" t="inlineStr">
        <is>
          <t>Thu</t>
        </is>
      </c>
      <c r="E290" s="56" t="inlineStr">
        <is>
          <t>Week</t>
        </is>
      </c>
      <c r="F290" s="56">
        <f>IF(ForeCalc!$F$1="Staffed Hours",G290,24)</f>
        <v/>
      </c>
      <c r="G290" s="57">
        <f>IF(COUNTIF(M:M,Calendar!A290)&gt;0,VLOOKUP(A290,M:P,4,FALSE),VLOOKUP(D290,BusData!$A$3:$D$10,4,FALSE))</f>
        <v/>
      </c>
      <c r="H290" s="11">
        <f>F290/SUMIFS($F$2:$F$9997,$B$2:$B$9997,B290,$C$2:$C$9997,C290)</f>
        <v/>
      </c>
      <c r="I290" s="19" t="n">
        <v>1</v>
      </c>
      <c r="J290" s="57" t="n">
        <v>10</v>
      </c>
    </row>
    <row r="291">
      <c r="A291" s="62" t="n">
        <v>46402</v>
      </c>
      <c r="B291" s="19" t="n">
        <v>2027</v>
      </c>
      <c r="C291" s="19" t="n">
        <v>1</v>
      </c>
      <c r="D291" s="56" t="inlineStr">
        <is>
          <t>Fri</t>
        </is>
      </c>
      <c r="E291" s="56" t="inlineStr">
        <is>
          <t>Week</t>
        </is>
      </c>
      <c r="F291" s="56">
        <f>IF(ForeCalc!$F$1="Staffed Hours",G291,24)</f>
        <v/>
      </c>
      <c r="G291" s="57">
        <f>IF(COUNTIF(M:M,Calendar!A291)&gt;0,VLOOKUP(A291,M:P,4,FALSE),VLOOKUP(D291,BusData!$A$3:$D$10,4,FALSE))</f>
        <v/>
      </c>
      <c r="H291" s="11">
        <f>F291/SUMIFS($F$2:$F$9997,$B$2:$B$9997,B291,$C$2:$C$9997,C291)</f>
        <v/>
      </c>
      <c r="I291" s="19" t="n">
        <v>1</v>
      </c>
      <c r="J291" s="57" t="n">
        <v>10</v>
      </c>
    </row>
    <row r="292">
      <c r="A292" s="62" t="n">
        <v>46403</v>
      </c>
      <c r="B292" s="19" t="n">
        <v>2027</v>
      </c>
      <c r="C292" s="19" t="n">
        <v>1</v>
      </c>
      <c r="D292" s="56" t="inlineStr">
        <is>
          <t>Sat</t>
        </is>
      </c>
      <c r="E292" s="56" t="inlineStr">
        <is>
          <t>Sat</t>
        </is>
      </c>
      <c r="F292" s="56">
        <f>IF(ForeCalc!$F$1="Staffed Hours",G292,24)</f>
        <v/>
      </c>
      <c r="G292" s="57">
        <f>IF(COUNTIF(M:M,Calendar!A292)&gt;0,VLOOKUP(A292,M:P,4,FALSE),VLOOKUP(D292,BusData!$A$3:$D$10,4,FALSE))</f>
        <v/>
      </c>
      <c r="H292" s="11">
        <f>F292/SUMIFS($F$2:$F$9997,$B$2:$B$9997,B292,$C$2:$C$9997,C292)</f>
        <v/>
      </c>
      <c r="I292" s="19" t="n">
        <v>1</v>
      </c>
      <c r="J292" s="57" t="n">
        <v>10</v>
      </c>
    </row>
    <row r="293">
      <c r="A293" s="62" t="n">
        <v>46404</v>
      </c>
      <c r="B293" s="19" t="n">
        <v>2027</v>
      </c>
      <c r="C293" s="19" t="n">
        <v>1</v>
      </c>
      <c r="D293" s="56" t="inlineStr">
        <is>
          <t>Sun</t>
        </is>
      </c>
      <c r="E293" s="56" t="inlineStr">
        <is>
          <t>Sun</t>
        </is>
      </c>
      <c r="F293" s="56">
        <f>IF(ForeCalc!$F$1="Staffed Hours",G293,24)</f>
        <v/>
      </c>
      <c r="G293" s="57">
        <f>IF(COUNTIF(M:M,Calendar!A293)&gt;0,VLOOKUP(A293,M:P,4,FALSE),VLOOKUP(D293,BusData!$A$3:$D$10,4,FALSE))</f>
        <v/>
      </c>
      <c r="H293" s="11">
        <f>F293/SUMIFS($F$2:$F$9997,$B$2:$B$9997,B293,$C$2:$C$9997,C293)</f>
        <v/>
      </c>
      <c r="I293" s="19" t="n">
        <v>1</v>
      </c>
      <c r="J293" s="57" t="n">
        <v>10</v>
      </c>
    </row>
    <row r="294">
      <c r="A294" s="62" t="n">
        <v>46405</v>
      </c>
      <c r="B294" s="19" t="n">
        <v>2027</v>
      </c>
      <c r="C294" s="19" t="n">
        <v>1</v>
      </c>
      <c r="D294" s="56" t="inlineStr">
        <is>
          <t>Mon</t>
        </is>
      </c>
      <c r="E294" s="56" t="inlineStr">
        <is>
          <t>Week</t>
        </is>
      </c>
      <c r="F294" s="56">
        <f>IF(ForeCalc!$F$1="Staffed Hours",G294,24)</f>
        <v/>
      </c>
      <c r="G294" s="57">
        <f>IF(COUNTIF(M:M,Calendar!A294)&gt;0,VLOOKUP(A294,M:P,4,FALSE),VLOOKUP(D294,BusData!$A$3:$D$10,4,FALSE))</f>
        <v/>
      </c>
      <c r="H294" s="11">
        <f>F294/SUMIFS($F$2:$F$9997,$B$2:$B$9997,B294,$C$2:$C$9997,C294)</f>
        <v/>
      </c>
      <c r="I294" s="19" t="n">
        <v>1</v>
      </c>
      <c r="J294" s="57" t="n">
        <v>10</v>
      </c>
    </row>
    <row r="295">
      <c r="A295" s="62" t="n">
        <v>46406</v>
      </c>
      <c r="B295" s="19" t="n">
        <v>2027</v>
      </c>
      <c r="C295" s="19" t="n">
        <v>1</v>
      </c>
      <c r="D295" s="56" t="inlineStr">
        <is>
          <t>Tue</t>
        </is>
      </c>
      <c r="E295" s="56" t="inlineStr">
        <is>
          <t>Week</t>
        </is>
      </c>
      <c r="F295" s="56">
        <f>IF(ForeCalc!$F$1="Staffed Hours",G295,24)</f>
        <v/>
      </c>
      <c r="G295" s="57">
        <f>IF(COUNTIF(M:M,Calendar!A295)&gt;0,VLOOKUP(A295,M:P,4,FALSE),VLOOKUP(D295,BusData!$A$3:$D$10,4,FALSE))</f>
        <v/>
      </c>
      <c r="H295" s="11">
        <f>F295/SUMIFS($F$2:$F$9997,$B$2:$B$9997,B295,$C$2:$C$9997,C295)</f>
        <v/>
      </c>
      <c r="I295" s="19" t="n">
        <v>1</v>
      </c>
      <c r="J295" s="57" t="n">
        <v>10</v>
      </c>
    </row>
    <row r="296">
      <c r="A296" s="62" t="n">
        <v>46407</v>
      </c>
      <c r="B296" s="19" t="n">
        <v>2027</v>
      </c>
      <c r="C296" s="19" t="n">
        <v>1</v>
      </c>
      <c r="D296" s="56" t="inlineStr">
        <is>
          <t>Wed</t>
        </is>
      </c>
      <c r="E296" s="56" t="inlineStr">
        <is>
          <t>Week</t>
        </is>
      </c>
      <c r="F296" s="56">
        <f>IF(ForeCalc!$F$1="Staffed Hours",G296,24)</f>
        <v/>
      </c>
      <c r="G296" s="57">
        <f>IF(COUNTIF(M:M,Calendar!A296)&gt;0,VLOOKUP(A296,M:P,4,FALSE),VLOOKUP(D296,BusData!$A$3:$D$10,4,FALSE))</f>
        <v/>
      </c>
      <c r="H296" s="11">
        <f>F296/SUMIFS($F$2:$F$9997,$B$2:$B$9997,B296,$C$2:$C$9997,C296)</f>
        <v/>
      </c>
      <c r="I296" s="19" t="n">
        <v>1</v>
      </c>
      <c r="J296" s="57" t="n">
        <v>10</v>
      </c>
    </row>
    <row r="297">
      <c r="A297" s="62" t="n">
        <v>46408</v>
      </c>
      <c r="B297" s="19" t="n">
        <v>2027</v>
      </c>
      <c r="C297" s="19" t="n">
        <v>1</v>
      </c>
      <c r="D297" s="56" t="inlineStr">
        <is>
          <t>Thu</t>
        </is>
      </c>
      <c r="E297" s="56" t="inlineStr">
        <is>
          <t>Week</t>
        </is>
      </c>
      <c r="F297" s="56">
        <f>IF(ForeCalc!$F$1="Staffed Hours",G297,24)</f>
        <v/>
      </c>
      <c r="G297" s="57">
        <f>IF(COUNTIF(M:M,Calendar!A297)&gt;0,VLOOKUP(A297,M:P,4,FALSE),VLOOKUP(D297,BusData!$A$3:$D$10,4,FALSE))</f>
        <v/>
      </c>
      <c r="H297" s="11">
        <f>F297/SUMIFS($F$2:$F$9997,$B$2:$B$9997,B297,$C$2:$C$9997,C297)</f>
        <v/>
      </c>
      <c r="I297" s="19" t="n">
        <v>1</v>
      </c>
      <c r="J297" s="57" t="n">
        <v>10</v>
      </c>
    </row>
    <row r="298">
      <c r="A298" s="62" t="n">
        <v>46409</v>
      </c>
      <c r="B298" s="19" t="n">
        <v>2027</v>
      </c>
      <c r="C298" s="19" t="n">
        <v>1</v>
      </c>
      <c r="D298" s="56" t="inlineStr">
        <is>
          <t>Fri</t>
        </is>
      </c>
      <c r="E298" s="56" t="inlineStr">
        <is>
          <t>Week</t>
        </is>
      </c>
      <c r="F298" s="56">
        <f>IF(ForeCalc!$F$1="Staffed Hours",G298,24)</f>
        <v/>
      </c>
      <c r="G298" s="57">
        <f>IF(COUNTIF(M:M,Calendar!A298)&gt;0,VLOOKUP(A298,M:P,4,FALSE),VLOOKUP(D298,BusData!$A$3:$D$10,4,FALSE))</f>
        <v/>
      </c>
      <c r="H298" s="11">
        <f>F298/SUMIFS($F$2:$F$9997,$B$2:$B$9997,B298,$C$2:$C$9997,C298)</f>
        <v/>
      </c>
      <c r="I298" s="19" t="n">
        <v>1</v>
      </c>
      <c r="J298" s="57" t="n">
        <v>10</v>
      </c>
    </row>
    <row r="299">
      <c r="A299" s="62" t="n">
        <v>46410</v>
      </c>
      <c r="B299" s="19" t="n">
        <v>2027</v>
      </c>
      <c r="C299" s="19" t="n">
        <v>1</v>
      </c>
      <c r="D299" s="56" t="inlineStr">
        <is>
          <t>Sat</t>
        </is>
      </c>
      <c r="E299" s="56" t="inlineStr">
        <is>
          <t>Sat</t>
        </is>
      </c>
      <c r="F299" s="56">
        <f>IF(ForeCalc!$F$1="Staffed Hours",G299,24)</f>
        <v/>
      </c>
      <c r="G299" s="57">
        <f>IF(COUNTIF(M:M,Calendar!A299)&gt;0,VLOOKUP(A299,M:P,4,FALSE),VLOOKUP(D299,BusData!$A$3:$D$10,4,FALSE))</f>
        <v/>
      </c>
      <c r="H299" s="11">
        <f>F299/SUMIFS($F$2:$F$9997,$B$2:$B$9997,B299,$C$2:$C$9997,C299)</f>
        <v/>
      </c>
      <c r="I299" s="19" t="n">
        <v>1</v>
      </c>
      <c r="J299" s="57" t="n">
        <v>10</v>
      </c>
    </row>
    <row r="300">
      <c r="A300" s="62" t="n">
        <v>46411</v>
      </c>
      <c r="B300" s="19" t="n">
        <v>2027</v>
      </c>
      <c r="C300" s="19" t="n">
        <v>1</v>
      </c>
      <c r="D300" s="56" t="inlineStr">
        <is>
          <t>Sun</t>
        </is>
      </c>
      <c r="E300" s="56" t="inlineStr">
        <is>
          <t>Sun</t>
        </is>
      </c>
      <c r="F300" s="56">
        <f>IF(ForeCalc!$F$1="Staffed Hours",G300,24)</f>
        <v/>
      </c>
      <c r="G300" s="57">
        <f>IF(COUNTIF(M:M,Calendar!A300)&gt;0,VLOOKUP(A300,M:P,4,FALSE),VLOOKUP(D300,BusData!$A$3:$D$10,4,FALSE))</f>
        <v/>
      </c>
      <c r="H300" s="11">
        <f>F300/SUMIFS($F$2:$F$9997,$B$2:$B$9997,B300,$C$2:$C$9997,C300)</f>
        <v/>
      </c>
      <c r="I300" s="19" t="n">
        <v>1</v>
      </c>
      <c r="J300" s="57" t="n">
        <v>10</v>
      </c>
    </row>
    <row r="301">
      <c r="A301" s="62" t="n">
        <v>46412</v>
      </c>
      <c r="B301" s="19" t="n">
        <v>2027</v>
      </c>
      <c r="C301" s="19" t="n">
        <v>1</v>
      </c>
      <c r="D301" s="56" t="inlineStr">
        <is>
          <t>Mon</t>
        </is>
      </c>
      <c r="E301" s="56" t="inlineStr">
        <is>
          <t>Week</t>
        </is>
      </c>
      <c r="F301" s="56">
        <f>IF(ForeCalc!$F$1="Staffed Hours",G301,24)</f>
        <v/>
      </c>
      <c r="G301" s="57">
        <f>IF(COUNTIF(M:M,Calendar!A301)&gt;0,VLOOKUP(A301,M:P,4,FALSE),VLOOKUP(D301,BusData!$A$3:$D$10,4,FALSE))</f>
        <v/>
      </c>
      <c r="H301" s="11">
        <f>F301/SUMIFS($F$2:$F$9997,$B$2:$B$9997,B301,$C$2:$C$9997,C301)</f>
        <v/>
      </c>
      <c r="I301" s="19" t="n">
        <v>1</v>
      </c>
      <c r="J301" s="57" t="n">
        <v>10</v>
      </c>
    </row>
    <row r="302">
      <c r="A302" s="62" t="n">
        <v>46413</v>
      </c>
      <c r="B302" s="19" t="n">
        <v>2027</v>
      </c>
      <c r="C302" s="19" t="n">
        <v>1</v>
      </c>
      <c r="D302" s="56" t="inlineStr">
        <is>
          <t>Tue</t>
        </is>
      </c>
      <c r="E302" s="56" t="inlineStr">
        <is>
          <t>Week</t>
        </is>
      </c>
      <c r="F302" s="56">
        <f>IF(ForeCalc!$F$1="Staffed Hours",G302,24)</f>
        <v/>
      </c>
      <c r="G302" s="57">
        <f>IF(COUNTIF(M:M,Calendar!A302)&gt;0,VLOOKUP(A302,M:P,4,FALSE),VLOOKUP(D302,BusData!$A$3:$D$10,4,FALSE))</f>
        <v/>
      </c>
      <c r="H302" s="11">
        <f>F302/SUMIFS($F$2:$F$9997,$B$2:$B$9997,B302,$C$2:$C$9997,C302)</f>
        <v/>
      </c>
      <c r="I302" s="19" t="n">
        <v>1</v>
      </c>
      <c r="J302" s="57" t="n">
        <v>10</v>
      </c>
    </row>
    <row r="303">
      <c r="A303" s="62" t="n">
        <v>46414</v>
      </c>
      <c r="B303" s="19" t="n">
        <v>2027</v>
      </c>
      <c r="C303" s="19" t="n">
        <v>1</v>
      </c>
      <c r="D303" s="56" t="inlineStr">
        <is>
          <t>Wed</t>
        </is>
      </c>
      <c r="E303" s="56" t="inlineStr">
        <is>
          <t>Week</t>
        </is>
      </c>
      <c r="F303" s="56">
        <f>IF(ForeCalc!$F$1="Staffed Hours",G303,24)</f>
        <v/>
      </c>
      <c r="G303" s="57">
        <f>IF(COUNTIF(M:M,Calendar!A303)&gt;0,VLOOKUP(A303,M:P,4,FALSE),VLOOKUP(D303,BusData!$A$3:$D$10,4,FALSE))</f>
        <v/>
      </c>
      <c r="H303" s="11">
        <f>F303/SUMIFS($F$2:$F$9997,$B$2:$B$9997,B303,$C$2:$C$9997,C303)</f>
        <v/>
      </c>
      <c r="I303" s="19" t="n">
        <v>1</v>
      </c>
      <c r="J303" s="57" t="n">
        <v>10</v>
      </c>
    </row>
    <row r="304">
      <c r="A304" s="62" t="n">
        <v>46415</v>
      </c>
      <c r="B304" s="19" t="n">
        <v>2027</v>
      </c>
      <c r="C304" s="19" t="n">
        <v>1</v>
      </c>
      <c r="D304" s="56" t="inlineStr">
        <is>
          <t>Thu</t>
        </is>
      </c>
      <c r="E304" s="56" t="inlineStr">
        <is>
          <t>Week</t>
        </is>
      </c>
      <c r="F304" s="56">
        <f>IF(ForeCalc!$F$1="Staffed Hours",G304,24)</f>
        <v/>
      </c>
      <c r="G304" s="57">
        <f>IF(COUNTIF(M:M,Calendar!A304)&gt;0,VLOOKUP(A304,M:P,4,FALSE),VLOOKUP(D304,BusData!$A$3:$D$10,4,FALSE))</f>
        <v/>
      </c>
      <c r="H304" s="11">
        <f>F304/SUMIFS($F$2:$F$9997,$B$2:$B$9997,B304,$C$2:$C$9997,C304)</f>
        <v/>
      </c>
      <c r="I304" s="19" t="n">
        <v>1</v>
      </c>
      <c r="J304" s="57" t="n">
        <v>10</v>
      </c>
    </row>
    <row r="305">
      <c r="A305" s="62" t="n">
        <v>46416</v>
      </c>
      <c r="B305" s="19" t="n">
        <v>2027</v>
      </c>
      <c r="C305" s="19" t="n">
        <v>1</v>
      </c>
      <c r="D305" s="56" t="inlineStr">
        <is>
          <t>Fri</t>
        </is>
      </c>
      <c r="E305" s="56" t="inlineStr">
        <is>
          <t>Week</t>
        </is>
      </c>
      <c r="F305" s="56">
        <f>IF(ForeCalc!$F$1="Staffed Hours",G305,24)</f>
        <v/>
      </c>
      <c r="G305" s="57">
        <f>IF(COUNTIF(M:M,Calendar!A305)&gt;0,VLOOKUP(A305,M:P,4,FALSE),VLOOKUP(D305,BusData!$A$3:$D$10,4,FALSE))</f>
        <v/>
      </c>
      <c r="H305" s="11">
        <f>F305/SUMIFS($F$2:$F$9997,$B$2:$B$9997,B305,$C$2:$C$9997,C305)</f>
        <v/>
      </c>
      <c r="I305" s="19" t="n">
        <v>1</v>
      </c>
      <c r="J305" s="57" t="n">
        <v>10</v>
      </c>
    </row>
    <row r="306">
      <c r="A306" s="62" t="n">
        <v>46417</v>
      </c>
      <c r="B306" s="19" t="n">
        <v>2027</v>
      </c>
      <c r="C306" s="19" t="n">
        <v>1</v>
      </c>
      <c r="D306" s="56" t="inlineStr">
        <is>
          <t>Sat</t>
        </is>
      </c>
      <c r="E306" s="56" t="inlineStr">
        <is>
          <t>Sat</t>
        </is>
      </c>
      <c r="F306" s="56">
        <f>IF(ForeCalc!$F$1="Staffed Hours",G306,24)</f>
        <v/>
      </c>
      <c r="G306" s="57">
        <f>IF(COUNTIF(M:M,Calendar!A306)&gt;0,VLOOKUP(A306,M:P,4,FALSE),VLOOKUP(D306,BusData!$A$3:$D$10,4,FALSE))</f>
        <v/>
      </c>
      <c r="H306" s="11">
        <f>F306/SUMIFS($F$2:$F$9997,$B$2:$B$9997,B306,$C$2:$C$9997,C306)</f>
        <v/>
      </c>
      <c r="I306" s="19" t="n">
        <v>1</v>
      </c>
      <c r="J306" s="57" t="n">
        <v>10</v>
      </c>
    </row>
    <row r="307">
      <c r="A307" s="62" t="n">
        <v>46418</v>
      </c>
      <c r="B307" s="19" t="n">
        <v>2027</v>
      </c>
      <c r="C307" s="19" t="n">
        <v>1</v>
      </c>
      <c r="D307" s="56" t="inlineStr">
        <is>
          <t>Sun</t>
        </is>
      </c>
      <c r="E307" s="56" t="inlineStr">
        <is>
          <t>Sun</t>
        </is>
      </c>
      <c r="F307" s="56">
        <f>IF(ForeCalc!$F$1="Staffed Hours",G307,24)</f>
        <v/>
      </c>
      <c r="G307" s="57">
        <f>IF(COUNTIF(M:M,Calendar!A307)&gt;0,VLOOKUP(A307,M:P,4,FALSE),VLOOKUP(D307,BusData!$A$3:$D$10,4,FALSE))</f>
        <v/>
      </c>
      <c r="H307" s="11">
        <f>F307/SUMIFS($F$2:$F$9997,$B$2:$B$9997,B307,$C$2:$C$9997,C307)</f>
        <v/>
      </c>
      <c r="I307" s="19" t="n">
        <v>1</v>
      </c>
      <c r="J307" s="57" t="n">
        <v>10</v>
      </c>
    </row>
    <row r="308">
      <c r="A308" s="62" t="n">
        <v>46419</v>
      </c>
      <c r="B308" s="19" t="n">
        <v>2027</v>
      </c>
      <c r="C308" s="19" t="n">
        <v>2</v>
      </c>
      <c r="D308" s="56" t="inlineStr">
        <is>
          <t>Mon</t>
        </is>
      </c>
      <c r="E308" s="56" t="inlineStr">
        <is>
          <t>Week</t>
        </is>
      </c>
      <c r="F308" s="56">
        <f>IF(ForeCalc!$F$1="Staffed Hours",G308,24)</f>
        <v/>
      </c>
      <c r="G308" s="57">
        <f>IF(COUNTIF(M:M,Calendar!A308)&gt;0,VLOOKUP(A308,M:P,4,FALSE),VLOOKUP(D308,BusData!$A$3:$D$10,4,FALSE))</f>
        <v/>
      </c>
      <c r="H308" s="11">
        <f>F308/SUMIFS($F$2:$F$9997,$B$2:$B$9997,B308,$C$2:$C$9997,C308)</f>
        <v/>
      </c>
      <c r="I308" s="19" t="n">
        <v>1</v>
      </c>
      <c r="J308" s="57" t="n">
        <v>11</v>
      </c>
    </row>
    <row r="309">
      <c r="A309" s="62" t="n">
        <v>46420</v>
      </c>
      <c r="B309" s="19" t="n">
        <v>2027</v>
      </c>
      <c r="C309" s="19" t="n">
        <v>2</v>
      </c>
      <c r="D309" s="56" t="inlineStr">
        <is>
          <t>Tue</t>
        </is>
      </c>
      <c r="E309" s="56" t="inlineStr">
        <is>
          <t>Week</t>
        </is>
      </c>
      <c r="F309" s="56">
        <f>IF(ForeCalc!$F$1="Staffed Hours",G309,24)</f>
        <v/>
      </c>
      <c r="G309" s="57">
        <f>IF(COUNTIF(M:M,Calendar!A309)&gt;0,VLOOKUP(A309,M:P,4,FALSE),VLOOKUP(D309,BusData!$A$3:$D$10,4,FALSE))</f>
        <v/>
      </c>
      <c r="H309" s="11">
        <f>F309/SUMIFS($F$2:$F$9997,$B$2:$B$9997,B309,$C$2:$C$9997,C309)</f>
        <v/>
      </c>
      <c r="I309" s="19" t="n">
        <v>1</v>
      </c>
      <c r="J309" s="57" t="n">
        <v>11</v>
      </c>
    </row>
    <row r="310">
      <c r="A310" s="62" t="n">
        <v>46421</v>
      </c>
      <c r="B310" s="19" t="n">
        <v>2027</v>
      </c>
      <c r="C310" s="19" t="n">
        <v>2</v>
      </c>
      <c r="D310" s="56" t="inlineStr">
        <is>
          <t>Wed</t>
        </is>
      </c>
      <c r="E310" s="56" t="inlineStr">
        <is>
          <t>Week</t>
        </is>
      </c>
      <c r="F310" s="56">
        <f>IF(ForeCalc!$F$1="Staffed Hours",G310,24)</f>
        <v/>
      </c>
      <c r="G310" s="57">
        <f>IF(COUNTIF(M:M,Calendar!A310)&gt;0,VLOOKUP(A310,M:P,4,FALSE),VLOOKUP(D310,BusData!$A$3:$D$10,4,FALSE))</f>
        <v/>
      </c>
      <c r="H310" s="11">
        <f>F310/SUMIFS($F$2:$F$9997,$B$2:$B$9997,B310,$C$2:$C$9997,C310)</f>
        <v/>
      </c>
      <c r="I310" s="19" t="n">
        <v>1</v>
      </c>
      <c r="J310" s="57" t="n">
        <v>11</v>
      </c>
    </row>
    <row r="311">
      <c r="A311" s="62" t="n">
        <v>46422</v>
      </c>
      <c r="B311" s="19" t="n">
        <v>2027</v>
      </c>
      <c r="C311" s="19" t="n">
        <v>2</v>
      </c>
      <c r="D311" s="56" t="inlineStr">
        <is>
          <t>Thu</t>
        </is>
      </c>
      <c r="E311" s="56" t="inlineStr">
        <is>
          <t>Week</t>
        </is>
      </c>
      <c r="F311" s="56">
        <f>IF(ForeCalc!$F$1="Staffed Hours",G311,24)</f>
        <v/>
      </c>
      <c r="G311" s="57">
        <f>IF(COUNTIF(M:M,Calendar!A311)&gt;0,VLOOKUP(A311,M:P,4,FALSE),VLOOKUP(D311,BusData!$A$3:$D$10,4,FALSE))</f>
        <v/>
      </c>
      <c r="H311" s="11">
        <f>F311/SUMIFS($F$2:$F$9997,$B$2:$B$9997,B311,$C$2:$C$9997,C311)</f>
        <v/>
      </c>
      <c r="I311" s="19" t="n">
        <v>1</v>
      </c>
      <c r="J311" s="57" t="n">
        <v>11</v>
      </c>
    </row>
    <row r="312">
      <c r="A312" s="62" t="n">
        <v>46423</v>
      </c>
      <c r="B312" s="19" t="n">
        <v>2027</v>
      </c>
      <c r="C312" s="19" t="n">
        <v>2</v>
      </c>
      <c r="D312" s="56" t="inlineStr">
        <is>
          <t>Fri</t>
        </is>
      </c>
      <c r="E312" s="56" t="inlineStr">
        <is>
          <t>Week</t>
        </is>
      </c>
      <c r="F312" s="56">
        <f>IF(ForeCalc!$F$1="Staffed Hours",G312,24)</f>
        <v/>
      </c>
      <c r="G312" s="57">
        <f>IF(COUNTIF(M:M,Calendar!A312)&gt;0,VLOOKUP(A312,M:P,4,FALSE),VLOOKUP(D312,BusData!$A$3:$D$10,4,FALSE))</f>
        <v/>
      </c>
      <c r="H312" s="11">
        <f>F312/SUMIFS($F$2:$F$9997,$B$2:$B$9997,B312,$C$2:$C$9997,C312)</f>
        <v/>
      </c>
      <c r="I312" s="19" t="n">
        <v>1</v>
      </c>
      <c r="J312" s="57" t="n">
        <v>11</v>
      </c>
    </row>
    <row r="313">
      <c r="A313" s="62" t="n">
        <v>46424</v>
      </c>
      <c r="B313" s="19" t="n">
        <v>2027</v>
      </c>
      <c r="C313" s="19" t="n">
        <v>2</v>
      </c>
      <c r="D313" s="56" t="inlineStr">
        <is>
          <t>Sat</t>
        </is>
      </c>
      <c r="E313" s="56" t="inlineStr">
        <is>
          <t>Sat</t>
        </is>
      </c>
      <c r="F313" s="56">
        <f>IF(ForeCalc!$F$1="Staffed Hours",G313,24)</f>
        <v/>
      </c>
      <c r="G313" s="57">
        <f>IF(COUNTIF(M:M,Calendar!A313)&gt;0,VLOOKUP(A313,M:P,4,FALSE),VLOOKUP(D313,BusData!$A$3:$D$10,4,FALSE))</f>
        <v/>
      </c>
      <c r="H313" s="11">
        <f>F313/SUMIFS($F$2:$F$9997,$B$2:$B$9997,B313,$C$2:$C$9997,C313)</f>
        <v/>
      </c>
      <c r="I313" s="19" t="n">
        <v>1</v>
      </c>
      <c r="J313" s="57" t="n">
        <v>11</v>
      </c>
    </row>
    <row r="314">
      <c r="A314" s="62" t="n">
        <v>46425</v>
      </c>
      <c r="B314" s="19" t="n">
        <v>2027</v>
      </c>
      <c r="C314" s="19" t="n">
        <v>2</v>
      </c>
      <c r="D314" s="56" t="inlineStr">
        <is>
          <t>Sun</t>
        </is>
      </c>
      <c r="E314" s="56" t="inlineStr">
        <is>
          <t>Sun</t>
        </is>
      </c>
      <c r="F314" s="56">
        <f>IF(ForeCalc!$F$1="Staffed Hours",G314,24)</f>
        <v/>
      </c>
      <c r="G314" s="57">
        <f>IF(COUNTIF(M:M,Calendar!A314)&gt;0,VLOOKUP(A314,M:P,4,FALSE),VLOOKUP(D314,BusData!$A$3:$D$10,4,FALSE))</f>
        <v/>
      </c>
      <c r="H314" s="11">
        <f>F314/SUMIFS($F$2:$F$9997,$B$2:$B$9997,B314,$C$2:$C$9997,C314)</f>
        <v/>
      </c>
      <c r="I314" s="19" t="n">
        <v>1</v>
      </c>
      <c r="J314" s="57" t="n">
        <v>11</v>
      </c>
    </row>
    <row r="315">
      <c r="A315" s="62" t="n">
        <v>46426</v>
      </c>
      <c r="B315" s="19" t="n">
        <v>2027</v>
      </c>
      <c r="C315" s="19" t="n">
        <v>2</v>
      </c>
      <c r="D315" s="56" t="inlineStr">
        <is>
          <t>Mon</t>
        </is>
      </c>
      <c r="E315" s="56" t="inlineStr">
        <is>
          <t>Week</t>
        </is>
      </c>
      <c r="F315" s="56">
        <f>IF(ForeCalc!$F$1="Staffed Hours",G315,24)</f>
        <v/>
      </c>
      <c r="G315" s="57">
        <f>IF(COUNTIF(M:M,Calendar!A315)&gt;0,VLOOKUP(A315,M:P,4,FALSE),VLOOKUP(D315,BusData!$A$3:$D$10,4,FALSE))</f>
        <v/>
      </c>
      <c r="H315" s="11">
        <f>F315/SUMIFS($F$2:$F$9997,$B$2:$B$9997,B315,$C$2:$C$9997,C315)</f>
        <v/>
      </c>
      <c r="I315" s="19" t="n">
        <v>1</v>
      </c>
      <c r="J315" s="57" t="n">
        <v>11</v>
      </c>
    </row>
    <row r="316">
      <c r="A316" s="62" t="n">
        <v>46427</v>
      </c>
      <c r="B316" s="19" t="n">
        <v>2027</v>
      </c>
      <c r="C316" s="19" t="n">
        <v>2</v>
      </c>
      <c r="D316" s="56" t="inlineStr">
        <is>
          <t>Tue</t>
        </is>
      </c>
      <c r="E316" s="56" t="inlineStr">
        <is>
          <t>Week</t>
        </is>
      </c>
      <c r="F316" s="56">
        <f>IF(ForeCalc!$F$1="Staffed Hours",G316,24)</f>
        <v/>
      </c>
      <c r="G316" s="57">
        <f>IF(COUNTIF(M:M,Calendar!A316)&gt;0,VLOOKUP(A316,M:P,4,FALSE),VLOOKUP(D316,BusData!$A$3:$D$10,4,FALSE))</f>
        <v/>
      </c>
      <c r="H316" s="11">
        <f>F316/SUMIFS($F$2:$F$9997,$B$2:$B$9997,B316,$C$2:$C$9997,C316)</f>
        <v/>
      </c>
      <c r="I316" s="19" t="n">
        <v>1</v>
      </c>
      <c r="J316" s="57" t="n">
        <v>11</v>
      </c>
    </row>
    <row r="317">
      <c r="A317" s="62" t="n">
        <v>46428</v>
      </c>
      <c r="B317" s="19" t="n">
        <v>2027</v>
      </c>
      <c r="C317" s="19" t="n">
        <v>2</v>
      </c>
      <c r="D317" s="56" t="inlineStr">
        <is>
          <t>Wed</t>
        </is>
      </c>
      <c r="E317" s="56" t="inlineStr">
        <is>
          <t>Week</t>
        </is>
      </c>
      <c r="F317" s="56">
        <f>IF(ForeCalc!$F$1="Staffed Hours",G317,24)</f>
        <v/>
      </c>
      <c r="G317" s="57">
        <f>IF(COUNTIF(M:M,Calendar!A317)&gt;0,VLOOKUP(A317,M:P,4,FALSE),VLOOKUP(D317,BusData!$A$3:$D$10,4,FALSE))</f>
        <v/>
      </c>
      <c r="H317" s="11">
        <f>F317/SUMIFS($F$2:$F$9997,$B$2:$B$9997,B317,$C$2:$C$9997,C317)</f>
        <v/>
      </c>
      <c r="I317" s="19" t="n">
        <v>1</v>
      </c>
      <c r="J317" s="57" t="n">
        <v>11</v>
      </c>
    </row>
    <row r="318">
      <c r="A318" s="62" t="n">
        <v>46429</v>
      </c>
      <c r="B318" s="19" t="n">
        <v>2027</v>
      </c>
      <c r="C318" s="19" t="n">
        <v>2</v>
      </c>
      <c r="D318" s="56" t="inlineStr">
        <is>
          <t>Thu</t>
        </is>
      </c>
      <c r="E318" s="56" t="inlineStr">
        <is>
          <t>Week</t>
        </is>
      </c>
      <c r="F318" s="56">
        <f>IF(ForeCalc!$F$1="Staffed Hours",G318,24)</f>
        <v/>
      </c>
      <c r="G318" s="57">
        <f>IF(COUNTIF(M:M,Calendar!A318)&gt;0,VLOOKUP(A318,M:P,4,FALSE),VLOOKUP(D318,BusData!$A$3:$D$10,4,FALSE))</f>
        <v/>
      </c>
      <c r="H318" s="11">
        <f>F318/SUMIFS($F$2:$F$9997,$B$2:$B$9997,B318,$C$2:$C$9997,C318)</f>
        <v/>
      </c>
      <c r="I318" s="19" t="n">
        <v>1</v>
      </c>
      <c r="J318" s="57" t="n">
        <v>11</v>
      </c>
    </row>
    <row r="319">
      <c r="A319" s="62" t="n">
        <v>46430</v>
      </c>
      <c r="B319" s="19" t="n">
        <v>2027</v>
      </c>
      <c r="C319" s="19" t="n">
        <v>2</v>
      </c>
      <c r="D319" s="56" t="inlineStr">
        <is>
          <t>Fri</t>
        </is>
      </c>
      <c r="E319" s="56" t="inlineStr">
        <is>
          <t>Week</t>
        </is>
      </c>
      <c r="F319" s="56">
        <f>IF(ForeCalc!$F$1="Staffed Hours",G319,24)</f>
        <v/>
      </c>
      <c r="G319" s="57">
        <f>IF(COUNTIF(M:M,Calendar!A319)&gt;0,VLOOKUP(A319,M:P,4,FALSE),VLOOKUP(D319,BusData!$A$3:$D$10,4,FALSE))</f>
        <v/>
      </c>
      <c r="H319" s="11">
        <f>F319/SUMIFS($F$2:$F$9997,$B$2:$B$9997,B319,$C$2:$C$9997,C319)</f>
        <v/>
      </c>
      <c r="I319" s="19" t="n">
        <v>1</v>
      </c>
      <c r="J319" s="57" t="n">
        <v>11</v>
      </c>
    </row>
    <row r="320">
      <c r="A320" s="62" t="n">
        <v>46431</v>
      </c>
      <c r="B320" s="19" t="n">
        <v>2027</v>
      </c>
      <c r="C320" s="19" t="n">
        <v>2</v>
      </c>
      <c r="D320" s="56" t="inlineStr">
        <is>
          <t>Sat</t>
        </is>
      </c>
      <c r="E320" s="56" t="inlineStr">
        <is>
          <t>Sat</t>
        </is>
      </c>
      <c r="F320" s="56">
        <f>IF(ForeCalc!$F$1="Staffed Hours",G320,24)</f>
        <v/>
      </c>
      <c r="G320" s="57">
        <f>IF(COUNTIF(M:M,Calendar!A320)&gt;0,VLOOKUP(A320,M:P,4,FALSE),VLOOKUP(D320,BusData!$A$3:$D$10,4,FALSE))</f>
        <v/>
      </c>
      <c r="H320" s="11">
        <f>F320/SUMIFS($F$2:$F$9997,$B$2:$B$9997,B320,$C$2:$C$9997,C320)</f>
        <v/>
      </c>
      <c r="I320" s="19" t="n">
        <v>1</v>
      </c>
      <c r="J320" s="57" t="n">
        <v>11</v>
      </c>
    </row>
    <row r="321">
      <c r="A321" s="62" t="n">
        <v>46432</v>
      </c>
      <c r="B321" s="19" t="n">
        <v>2027</v>
      </c>
      <c r="C321" s="19" t="n">
        <v>2</v>
      </c>
      <c r="D321" s="56" t="inlineStr">
        <is>
          <t>Sun</t>
        </is>
      </c>
      <c r="E321" s="56" t="inlineStr">
        <is>
          <t>Sun</t>
        </is>
      </c>
      <c r="F321" s="56">
        <f>IF(ForeCalc!$F$1="Staffed Hours",G321,24)</f>
        <v/>
      </c>
      <c r="G321" s="57">
        <f>IF(COUNTIF(M:M,Calendar!A321)&gt;0,VLOOKUP(A321,M:P,4,FALSE),VLOOKUP(D321,BusData!$A$3:$D$10,4,FALSE))</f>
        <v/>
      </c>
      <c r="H321" s="11">
        <f>F321/SUMIFS($F$2:$F$9997,$B$2:$B$9997,B321,$C$2:$C$9997,C321)</f>
        <v/>
      </c>
      <c r="I321" s="19" t="n">
        <v>1</v>
      </c>
      <c r="J321" s="57" t="n">
        <v>11</v>
      </c>
    </row>
    <row r="322">
      <c r="A322" s="62" t="n">
        <v>46433</v>
      </c>
      <c r="B322" s="19" t="n">
        <v>2027</v>
      </c>
      <c r="C322" s="19" t="n">
        <v>2</v>
      </c>
      <c r="D322" s="56" t="inlineStr">
        <is>
          <t>Mon</t>
        </is>
      </c>
      <c r="E322" s="56" t="inlineStr">
        <is>
          <t>Week</t>
        </is>
      </c>
      <c r="F322" s="56">
        <f>IF(ForeCalc!$F$1="Staffed Hours",G322,24)</f>
        <v/>
      </c>
      <c r="G322" s="57">
        <f>IF(COUNTIF(M:M,Calendar!A322)&gt;0,VLOOKUP(A322,M:P,4,FALSE),VLOOKUP(D322,BusData!$A$3:$D$10,4,FALSE))</f>
        <v/>
      </c>
      <c r="H322" s="11">
        <f>F322/SUMIFS($F$2:$F$9997,$B$2:$B$9997,B322,$C$2:$C$9997,C322)</f>
        <v/>
      </c>
      <c r="I322" s="19" t="n">
        <v>1</v>
      </c>
      <c r="J322" s="57" t="n">
        <v>11</v>
      </c>
    </row>
    <row r="323">
      <c r="A323" s="62" t="n">
        <v>46434</v>
      </c>
      <c r="B323" s="19" t="n">
        <v>2027</v>
      </c>
      <c r="C323" s="19" t="n">
        <v>2</v>
      </c>
      <c r="D323" s="56" t="inlineStr">
        <is>
          <t>Tue</t>
        </is>
      </c>
      <c r="E323" s="56" t="inlineStr">
        <is>
          <t>Week</t>
        </is>
      </c>
      <c r="F323" s="56">
        <f>IF(ForeCalc!$F$1="Staffed Hours",G323,24)</f>
        <v/>
      </c>
      <c r="G323" s="57">
        <f>IF(COUNTIF(M:M,Calendar!A323)&gt;0,VLOOKUP(A323,M:P,4,FALSE),VLOOKUP(D323,BusData!$A$3:$D$10,4,FALSE))</f>
        <v/>
      </c>
      <c r="H323" s="11">
        <f>F323/SUMIFS($F$2:$F$9997,$B$2:$B$9997,B323,$C$2:$C$9997,C323)</f>
        <v/>
      </c>
      <c r="I323" s="19" t="n">
        <v>1</v>
      </c>
      <c r="J323" s="57" t="n">
        <v>11</v>
      </c>
    </row>
    <row r="324">
      <c r="A324" s="62" t="n">
        <v>46435</v>
      </c>
      <c r="B324" s="19" t="n">
        <v>2027</v>
      </c>
      <c r="C324" s="19" t="n">
        <v>2</v>
      </c>
      <c r="D324" s="56" t="inlineStr">
        <is>
          <t>Wed</t>
        </is>
      </c>
      <c r="E324" s="56" t="inlineStr">
        <is>
          <t>Week</t>
        </is>
      </c>
      <c r="F324" s="56">
        <f>IF(ForeCalc!$F$1="Staffed Hours",G324,24)</f>
        <v/>
      </c>
      <c r="G324" s="57">
        <f>IF(COUNTIF(M:M,Calendar!A324)&gt;0,VLOOKUP(A324,M:P,4,FALSE),VLOOKUP(D324,BusData!$A$3:$D$10,4,FALSE))</f>
        <v/>
      </c>
      <c r="H324" s="11">
        <f>F324/SUMIFS($F$2:$F$9997,$B$2:$B$9997,B324,$C$2:$C$9997,C324)</f>
        <v/>
      </c>
      <c r="I324" s="19" t="n">
        <v>1</v>
      </c>
      <c r="J324" s="57" t="n">
        <v>11</v>
      </c>
    </row>
    <row r="325">
      <c r="A325" s="62" t="n">
        <v>46436</v>
      </c>
      <c r="B325" s="19" t="n">
        <v>2027</v>
      </c>
      <c r="C325" s="19" t="n">
        <v>2</v>
      </c>
      <c r="D325" s="56" t="inlineStr">
        <is>
          <t>Thu</t>
        </is>
      </c>
      <c r="E325" s="56" t="inlineStr">
        <is>
          <t>Week</t>
        </is>
      </c>
      <c r="F325" s="56">
        <f>IF(ForeCalc!$F$1="Staffed Hours",G325,24)</f>
        <v/>
      </c>
      <c r="G325" s="57">
        <f>IF(COUNTIF(M:M,Calendar!A325)&gt;0,VLOOKUP(A325,M:P,4,FALSE),VLOOKUP(D325,BusData!$A$3:$D$10,4,FALSE))</f>
        <v/>
      </c>
      <c r="H325" s="11">
        <f>F325/SUMIFS($F$2:$F$9997,$B$2:$B$9997,B325,$C$2:$C$9997,C325)</f>
        <v/>
      </c>
      <c r="I325" s="19" t="n">
        <v>1</v>
      </c>
      <c r="J325" s="57" t="n">
        <v>11</v>
      </c>
    </row>
    <row r="326">
      <c r="A326" s="62" t="n">
        <v>46437</v>
      </c>
      <c r="B326" s="19" t="n">
        <v>2027</v>
      </c>
      <c r="C326" s="19" t="n">
        <v>2</v>
      </c>
      <c r="D326" s="56" t="inlineStr">
        <is>
          <t>Fri</t>
        </is>
      </c>
      <c r="E326" s="56" t="inlineStr">
        <is>
          <t>Week</t>
        </is>
      </c>
      <c r="F326" s="56">
        <f>IF(ForeCalc!$F$1="Staffed Hours",G326,24)</f>
        <v/>
      </c>
      <c r="G326" s="57">
        <f>IF(COUNTIF(M:M,Calendar!A326)&gt;0,VLOOKUP(A326,M:P,4,FALSE),VLOOKUP(D326,BusData!$A$3:$D$10,4,FALSE))</f>
        <v/>
      </c>
      <c r="H326" s="11">
        <f>F326/SUMIFS($F$2:$F$9997,$B$2:$B$9997,B326,$C$2:$C$9997,C326)</f>
        <v/>
      </c>
      <c r="I326" s="19" t="n">
        <v>1</v>
      </c>
      <c r="J326" s="57" t="n">
        <v>11</v>
      </c>
    </row>
    <row r="327">
      <c r="A327" s="62" t="n">
        <v>46438</v>
      </c>
      <c r="B327" s="19" t="n">
        <v>2027</v>
      </c>
      <c r="C327" s="19" t="n">
        <v>2</v>
      </c>
      <c r="D327" s="56" t="inlineStr">
        <is>
          <t>Sat</t>
        </is>
      </c>
      <c r="E327" s="56" t="inlineStr">
        <is>
          <t>Sat</t>
        </is>
      </c>
      <c r="F327" s="56">
        <f>IF(ForeCalc!$F$1="Staffed Hours",G327,24)</f>
        <v/>
      </c>
      <c r="G327" s="57">
        <f>IF(COUNTIF(M:M,Calendar!A327)&gt;0,VLOOKUP(A327,M:P,4,FALSE),VLOOKUP(D327,BusData!$A$3:$D$10,4,FALSE))</f>
        <v/>
      </c>
      <c r="H327" s="11">
        <f>F327/SUMIFS($F$2:$F$9997,$B$2:$B$9997,B327,$C$2:$C$9997,C327)</f>
        <v/>
      </c>
      <c r="I327" s="19" t="n">
        <v>1</v>
      </c>
      <c r="J327" s="57" t="n">
        <v>11</v>
      </c>
    </row>
    <row r="328">
      <c r="A328" s="62" t="n">
        <v>46439</v>
      </c>
      <c r="B328" s="19" t="n">
        <v>2027</v>
      </c>
      <c r="C328" s="19" t="n">
        <v>2</v>
      </c>
      <c r="D328" s="56" t="inlineStr">
        <is>
          <t>Sun</t>
        </is>
      </c>
      <c r="E328" s="56" t="inlineStr">
        <is>
          <t>Sun</t>
        </is>
      </c>
      <c r="F328" s="56">
        <f>IF(ForeCalc!$F$1="Staffed Hours",G328,24)</f>
        <v/>
      </c>
      <c r="G328" s="57">
        <f>IF(COUNTIF(M:M,Calendar!A328)&gt;0,VLOOKUP(A328,M:P,4,FALSE),VLOOKUP(D328,BusData!$A$3:$D$10,4,FALSE))</f>
        <v/>
      </c>
      <c r="H328" s="11">
        <f>F328/SUMIFS($F$2:$F$9997,$B$2:$B$9997,B328,$C$2:$C$9997,C328)</f>
        <v/>
      </c>
      <c r="I328" s="19" t="n">
        <v>1</v>
      </c>
      <c r="J328" s="57" t="n">
        <v>11</v>
      </c>
    </row>
    <row r="329">
      <c r="A329" s="62" t="n">
        <v>46440</v>
      </c>
      <c r="B329" s="19" t="n">
        <v>2027</v>
      </c>
      <c r="C329" s="19" t="n">
        <v>2</v>
      </c>
      <c r="D329" s="56" t="inlineStr">
        <is>
          <t>Mon</t>
        </is>
      </c>
      <c r="E329" s="56" t="inlineStr">
        <is>
          <t>Week</t>
        </is>
      </c>
      <c r="F329" s="56">
        <f>IF(ForeCalc!$F$1="Staffed Hours",G329,24)</f>
        <v/>
      </c>
      <c r="G329" s="57">
        <f>IF(COUNTIF(M:M,Calendar!A329)&gt;0,VLOOKUP(A329,M:P,4,FALSE),VLOOKUP(D329,BusData!$A$3:$D$10,4,FALSE))</f>
        <v/>
      </c>
      <c r="H329" s="11">
        <f>F329/SUMIFS($F$2:$F$9997,$B$2:$B$9997,B329,$C$2:$C$9997,C329)</f>
        <v/>
      </c>
      <c r="I329" s="19" t="n">
        <v>1</v>
      </c>
      <c r="J329" s="57" t="n">
        <v>11</v>
      </c>
    </row>
    <row r="330">
      <c r="A330" s="62" t="n">
        <v>46441</v>
      </c>
      <c r="B330" s="19" t="n">
        <v>2027</v>
      </c>
      <c r="C330" s="19" t="n">
        <v>2</v>
      </c>
      <c r="D330" s="56" t="inlineStr">
        <is>
          <t>Tue</t>
        </is>
      </c>
      <c r="E330" s="56" t="inlineStr">
        <is>
          <t>Week</t>
        </is>
      </c>
      <c r="F330" s="56">
        <f>IF(ForeCalc!$F$1="Staffed Hours",G330,24)</f>
        <v/>
      </c>
      <c r="G330" s="57">
        <f>IF(COUNTIF(M:M,Calendar!A330)&gt;0,VLOOKUP(A330,M:P,4,FALSE),VLOOKUP(D330,BusData!$A$3:$D$10,4,FALSE))</f>
        <v/>
      </c>
      <c r="H330" s="11">
        <f>F330/SUMIFS($F$2:$F$9997,$B$2:$B$9997,B330,$C$2:$C$9997,C330)</f>
        <v/>
      </c>
      <c r="I330" s="19" t="n">
        <v>1</v>
      </c>
      <c r="J330" s="57" t="n">
        <v>11</v>
      </c>
    </row>
    <row r="331">
      <c r="A331" s="62" t="n">
        <v>46442</v>
      </c>
      <c r="B331" s="19" t="n">
        <v>2027</v>
      </c>
      <c r="C331" s="19" t="n">
        <v>2</v>
      </c>
      <c r="D331" s="56" t="inlineStr">
        <is>
          <t>Wed</t>
        </is>
      </c>
      <c r="E331" s="56" t="inlineStr">
        <is>
          <t>Week</t>
        </is>
      </c>
      <c r="F331" s="56">
        <f>IF(ForeCalc!$F$1="Staffed Hours",G331,24)</f>
        <v/>
      </c>
      <c r="G331" s="57">
        <f>IF(COUNTIF(M:M,Calendar!A331)&gt;0,VLOOKUP(A331,M:P,4,FALSE),VLOOKUP(D331,BusData!$A$3:$D$10,4,FALSE))</f>
        <v/>
      </c>
      <c r="H331" s="11">
        <f>F331/SUMIFS($F$2:$F$9997,$B$2:$B$9997,B331,$C$2:$C$9997,C331)</f>
        <v/>
      </c>
      <c r="I331" s="19" t="n">
        <v>1</v>
      </c>
      <c r="J331" s="57" t="n">
        <v>11</v>
      </c>
    </row>
    <row r="332">
      <c r="A332" s="62" t="n">
        <v>46443</v>
      </c>
      <c r="B332" s="19" t="n">
        <v>2027</v>
      </c>
      <c r="C332" s="19" t="n">
        <v>2</v>
      </c>
      <c r="D332" s="56" t="inlineStr">
        <is>
          <t>Thu</t>
        </is>
      </c>
      <c r="E332" s="56" t="inlineStr">
        <is>
          <t>Week</t>
        </is>
      </c>
      <c r="F332" s="56">
        <f>IF(ForeCalc!$F$1="Staffed Hours",G332,24)</f>
        <v/>
      </c>
      <c r="G332" s="57">
        <f>IF(COUNTIF(M:M,Calendar!A332)&gt;0,VLOOKUP(A332,M:P,4,FALSE),VLOOKUP(D332,BusData!$A$3:$D$10,4,FALSE))</f>
        <v/>
      </c>
      <c r="H332" s="11">
        <f>F332/SUMIFS($F$2:$F$9997,$B$2:$B$9997,B332,$C$2:$C$9997,C332)</f>
        <v/>
      </c>
      <c r="I332" s="19" t="n">
        <v>1</v>
      </c>
      <c r="J332" s="57" t="n">
        <v>11</v>
      </c>
    </row>
    <row r="333">
      <c r="A333" s="62" t="n">
        <v>46444</v>
      </c>
      <c r="B333" s="19" t="n">
        <v>2027</v>
      </c>
      <c r="C333" s="19" t="n">
        <v>2</v>
      </c>
      <c r="D333" s="56" t="inlineStr">
        <is>
          <t>Fri</t>
        </is>
      </c>
      <c r="E333" s="56" t="inlineStr">
        <is>
          <t>Week</t>
        </is>
      </c>
      <c r="F333" s="56">
        <f>IF(ForeCalc!$F$1="Staffed Hours",G333,24)</f>
        <v/>
      </c>
      <c r="G333" s="57">
        <f>IF(COUNTIF(M:M,Calendar!A333)&gt;0,VLOOKUP(A333,M:P,4,FALSE),VLOOKUP(D333,BusData!$A$3:$D$10,4,FALSE))</f>
        <v/>
      </c>
      <c r="H333" s="11">
        <f>F333/SUMIFS($F$2:$F$9997,$B$2:$B$9997,B333,$C$2:$C$9997,C333)</f>
        <v/>
      </c>
      <c r="I333" s="19" t="n">
        <v>1</v>
      </c>
      <c r="J333" s="57" t="n">
        <v>11</v>
      </c>
    </row>
    <row r="334">
      <c r="A334" s="62" t="n">
        <v>46445</v>
      </c>
      <c r="B334" s="19" t="n">
        <v>2027</v>
      </c>
      <c r="C334" s="19" t="n">
        <v>2</v>
      </c>
      <c r="D334" s="56" t="inlineStr">
        <is>
          <t>Sat</t>
        </is>
      </c>
      <c r="E334" s="56" t="inlineStr">
        <is>
          <t>Sat</t>
        </is>
      </c>
      <c r="F334" s="56">
        <f>IF(ForeCalc!$F$1="Staffed Hours",G334,24)</f>
        <v/>
      </c>
      <c r="G334" s="57">
        <f>IF(COUNTIF(M:M,Calendar!A334)&gt;0,VLOOKUP(A334,M:P,4,FALSE),VLOOKUP(D334,BusData!$A$3:$D$10,4,FALSE))</f>
        <v/>
      </c>
      <c r="H334" s="11">
        <f>F334/SUMIFS($F$2:$F$9997,$B$2:$B$9997,B334,$C$2:$C$9997,C334)</f>
        <v/>
      </c>
      <c r="I334" s="19" t="n">
        <v>1</v>
      </c>
      <c r="J334" s="57" t="n">
        <v>11</v>
      </c>
    </row>
    <row r="335">
      <c r="A335" s="62" t="n">
        <v>46446</v>
      </c>
      <c r="B335" s="19" t="n">
        <v>2027</v>
      </c>
      <c r="C335" s="19" t="n">
        <v>2</v>
      </c>
      <c r="D335" s="56" t="inlineStr">
        <is>
          <t>Sun</t>
        </is>
      </c>
      <c r="E335" s="56" t="inlineStr">
        <is>
          <t>Sun</t>
        </is>
      </c>
      <c r="F335" s="56">
        <f>IF(ForeCalc!$F$1="Staffed Hours",G335,24)</f>
        <v/>
      </c>
      <c r="G335" s="57">
        <f>IF(COUNTIF(M:M,Calendar!A335)&gt;0,VLOOKUP(A335,M:P,4,FALSE),VLOOKUP(D335,BusData!$A$3:$D$10,4,FALSE))</f>
        <v/>
      </c>
      <c r="H335" s="11">
        <f>F335/SUMIFS($F$2:$F$9997,$B$2:$B$9997,B335,$C$2:$C$9997,C335)</f>
        <v/>
      </c>
      <c r="I335" s="19" t="n">
        <v>1</v>
      </c>
      <c r="J335" s="57" t="n">
        <v>11</v>
      </c>
    </row>
    <row r="336">
      <c r="A336" s="62" t="n">
        <v>46447</v>
      </c>
      <c r="B336" s="19" t="n">
        <v>2027</v>
      </c>
      <c r="C336" s="19" t="n">
        <v>3</v>
      </c>
      <c r="D336" s="56" t="inlineStr">
        <is>
          <t>Mon</t>
        </is>
      </c>
      <c r="E336" s="56" t="inlineStr">
        <is>
          <t>Week</t>
        </is>
      </c>
      <c r="F336" s="56">
        <f>IF(ForeCalc!$F$1="Staffed Hours",G336,24)</f>
        <v/>
      </c>
      <c r="G336" s="57">
        <f>IF(COUNTIF(M:M,Calendar!A336)&gt;0,VLOOKUP(A336,M:P,4,FALSE),VLOOKUP(D336,BusData!$A$3:$D$10,4,FALSE))</f>
        <v/>
      </c>
      <c r="H336" s="11">
        <f>F336/SUMIFS($F$2:$F$9997,$B$2:$B$9997,B336,$C$2:$C$9997,C336)</f>
        <v/>
      </c>
      <c r="I336" s="19" t="n">
        <v>1</v>
      </c>
      <c r="J336" s="57" t="n">
        <v>12</v>
      </c>
    </row>
    <row r="337">
      <c r="A337" s="62" t="n">
        <v>46448</v>
      </c>
      <c r="B337" s="19" t="n">
        <v>2027</v>
      </c>
      <c r="C337" s="19" t="n">
        <v>3</v>
      </c>
      <c r="D337" s="56" t="inlineStr">
        <is>
          <t>Tue</t>
        </is>
      </c>
      <c r="E337" s="56" t="inlineStr">
        <is>
          <t>Week</t>
        </is>
      </c>
      <c r="F337" s="56">
        <f>IF(ForeCalc!$F$1="Staffed Hours",G337,24)</f>
        <v/>
      </c>
      <c r="G337" s="57">
        <f>IF(COUNTIF(M:M,Calendar!A337)&gt;0,VLOOKUP(A337,M:P,4,FALSE),VLOOKUP(D337,BusData!$A$3:$D$10,4,FALSE))</f>
        <v/>
      </c>
      <c r="H337" s="11">
        <f>F337/SUMIFS($F$2:$F$9997,$B$2:$B$9997,B337,$C$2:$C$9997,C337)</f>
        <v/>
      </c>
      <c r="I337" s="19" t="n">
        <v>1</v>
      </c>
      <c r="J337" s="57" t="n">
        <v>12</v>
      </c>
    </row>
    <row r="338">
      <c r="A338" s="62" t="n">
        <v>46449</v>
      </c>
      <c r="B338" s="19" t="n">
        <v>2027</v>
      </c>
      <c r="C338" s="19" t="n">
        <v>3</v>
      </c>
      <c r="D338" s="56" t="inlineStr">
        <is>
          <t>Wed</t>
        </is>
      </c>
      <c r="E338" s="56" t="inlineStr">
        <is>
          <t>Week</t>
        </is>
      </c>
      <c r="F338" s="56">
        <f>IF(ForeCalc!$F$1="Staffed Hours",G338,24)</f>
        <v/>
      </c>
      <c r="G338" s="57">
        <f>IF(COUNTIF(M:M,Calendar!A338)&gt;0,VLOOKUP(A338,M:P,4,FALSE),VLOOKUP(D338,BusData!$A$3:$D$10,4,FALSE))</f>
        <v/>
      </c>
      <c r="H338" s="11">
        <f>F338/SUMIFS($F$2:$F$9997,$B$2:$B$9997,B338,$C$2:$C$9997,C338)</f>
        <v/>
      </c>
      <c r="I338" s="19" t="n">
        <v>1</v>
      </c>
      <c r="J338" s="57" t="n">
        <v>12</v>
      </c>
    </row>
    <row r="339">
      <c r="A339" s="62" t="n">
        <v>46450</v>
      </c>
      <c r="B339" s="19" t="n">
        <v>2027</v>
      </c>
      <c r="C339" s="19" t="n">
        <v>3</v>
      </c>
      <c r="D339" s="56" t="inlineStr">
        <is>
          <t>Thu</t>
        </is>
      </c>
      <c r="E339" s="56" t="inlineStr">
        <is>
          <t>Week</t>
        </is>
      </c>
      <c r="F339" s="56">
        <f>IF(ForeCalc!$F$1="Staffed Hours",G339,24)</f>
        <v/>
      </c>
      <c r="G339" s="57">
        <f>IF(COUNTIF(M:M,Calendar!A339)&gt;0,VLOOKUP(A339,M:P,4,FALSE),VLOOKUP(D339,BusData!$A$3:$D$10,4,FALSE))</f>
        <v/>
      </c>
      <c r="H339" s="11">
        <f>F339/SUMIFS($F$2:$F$9997,$B$2:$B$9997,B339,$C$2:$C$9997,C339)</f>
        <v/>
      </c>
      <c r="I339" s="19" t="n">
        <v>1</v>
      </c>
      <c r="J339" s="57" t="n">
        <v>12</v>
      </c>
    </row>
    <row r="340">
      <c r="A340" s="62" t="n">
        <v>46451</v>
      </c>
      <c r="B340" s="19" t="n">
        <v>2027</v>
      </c>
      <c r="C340" s="19" t="n">
        <v>3</v>
      </c>
      <c r="D340" s="56" t="inlineStr">
        <is>
          <t>Fri</t>
        </is>
      </c>
      <c r="E340" s="56" t="inlineStr">
        <is>
          <t>Week</t>
        </is>
      </c>
      <c r="F340" s="56">
        <f>IF(ForeCalc!$F$1="Staffed Hours",G340,24)</f>
        <v/>
      </c>
      <c r="G340" s="57">
        <f>IF(COUNTIF(M:M,Calendar!A340)&gt;0,VLOOKUP(A340,M:P,4,FALSE),VLOOKUP(D340,BusData!$A$3:$D$10,4,FALSE))</f>
        <v/>
      </c>
      <c r="H340" s="11">
        <f>F340/SUMIFS($F$2:$F$9997,$B$2:$B$9997,B340,$C$2:$C$9997,C340)</f>
        <v/>
      </c>
      <c r="I340" s="19" t="n">
        <v>1</v>
      </c>
      <c r="J340" s="57" t="n">
        <v>12</v>
      </c>
    </row>
    <row r="341">
      <c r="A341" s="62" t="n">
        <v>46452</v>
      </c>
      <c r="B341" s="19" t="n">
        <v>2027</v>
      </c>
      <c r="C341" s="19" t="n">
        <v>3</v>
      </c>
      <c r="D341" s="56" t="inlineStr">
        <is>
          <t>Sat</t>
        </is>
      </c>
      <c r="E341" s="56" t="inlineStr">
        <is>
          <t>Sat</t>
        </is>
      </c>
      <c r="F341" s="56">
        <f>IF(ForeCalc!$F$1="Staffed Hours",G341,24)</f>
        <v/>
      </c>
      <c r="G341" s="57">
        <f>IF(COUNTIF(M:M,Calendar!A341)&gt;0,VLOOKUP(A341,M:P,4,FALSE),VLOOKUP(D341,BusData!$A$3:$D$10,4,FALSE))</f>
        <v/>
      </c>
      <c r="H341" s="11">
        <f>F341/SUMIFS($F$2:$F$9997,$B$2:$B$9997,B341,$C$2:$C$9997,C341)</f>
        <v/>
      </c>
      <c r="I341" s="19" t="n">
        <v>1</v>
      </c>
      <c r="J341" s="57" t="n">
        <v>12</v>
      </c>
    </row>
    <row r="342">
      <c r="A342" s="62" t="n">
        <v>46453</v>
      </c>
      <c r="B342" s="19" t="n">
        <v>2027</v>
      </c>
      <c r="C342" s="19" t="n">
        <v>3</v>
      </c>
      <c r="D342" s="56" t="inlineStr">
        <is>
          <t>Sun</t>
        </is>
      </c>
      <c r="E342" s="56" t="inlineStr">
        <is>
          <t>Sun</t>
        </is>
      </c>
      <c r="F342" s="56">
        <f>IF(ForeCalc!$F$1="Staffed Hours",G342,24)</f>
        <v/>
      </c>
      <c r="G342" s="57">
        <f>IF(COUNTIF(M:M,Calendar!A342)&gt;0,VLOOKUP(A342,M:P,4,FALSE),VLOOKUP(D342,BusData!$A$3:$D$10,4,FALSE))</f>
        <v/>
      </c>
      <c r="H342" s="11">
        <f>F342/SUMIFS($F$2:$F$9997,$B$2:$B$9997,B342,$C$2:$C$9997,C342)</f>
        <v/>
      </c>
      <c r="I342" s="19" t="n">
        <v>1</v>
      </c>
      <c r="J342" s="57" t="n">
        <v>12</v>
      </c>
    </row>
    <row r="343">
      <c r="A343" s="62" t="n">
        <v>46454</v>
      </c>
      <c r="B343" s="19" t="n">
        <v>2027</v>
      </c>
      <c r="C343" s="19" t="n">
        <v>3</v>
      </c>
      <c r="D343" s="56" t="inlineStr">
        <is>
          <t>Mon</t>
        </is>
      </c>
      <c r="E343" s="56" t="inlineStr">
        <is>
          <t>Week</t>
        </is>
      </c>
      <c r="F343" s="56">
        <f>IF(ForeCalc!$F$1="Staffed Hours",G343,24)</f>
        <v/>
      </c>
      <c r="G343" s="57">
        <f>IF(COUNTIF(M:M,Calendar!A343)&gt;0,VLOOKUP(A343,M:P,4,FALSE),VLOOKUP(D343,BusData!$A$3:$D$10,4,FALSE))</f>
        <v/>
      </c>
      <c r="H343" s="11">
        <f>F343/SUMIFS($F$2:$F$9997,$B$2:$B$9997,B343,$C$2:$C$9997,C343)</f>
        <v/>
      </c>
      <c r="I343" s="19" t="n">
        <v>1</v>
      </c>
      <c r="J343" s="57" t="n">
        <v>12</v>
      </c>
    </row>
    <row r="344">
      <c r="A344" s="62" t="n">
        <v>46455</v>
      </c>
      <c r="B344" s="19" t="n">
        <v>2027</v>
      </c>
      <c r="C344" s="19" t="n">
        <v>3</v>
      </c>
      <c r="D344" s="56" t="inlineStr">
        <is>
          <t>Tue</t>
        </is>
      </c>
      <c r="E344" s="56" t="inlineStr">
        <is>
          <t>Week</t>
        </is>
      </c>
      <c r="F344" s="56">
        <f>IF(ForeCalc!$F$1="Staffed Hours",G344,24)</f>
        <v/>
      </c>
      <c r="G344" s="57">
        <f>IF(COUNTIF(M:M,Calendar!A344)&gt;0,VLOOKUP(A344,M:P,4,FALSE),VLOOKUP(D344,BusData!$A$3:$D$10,4,FALSE))</f>
        <v/>
      </c>
      <c r="H344" s="11">
        <f>F344/SUMIFS($F$2:$F$9997,$B$2:$B$9997,B344,$C$2:$C$9997,C344)</f>
        <v/>
      </c>
      <c r="I344" s="19" t="n">
        <v>1</v>
      </c>
      <c r="J344" s="57" t="n">
        <v>12</v>
      </c>
    </row>
    <row r="345">
      <c r="A345" s="62" t="n">
        <v>46456</v>
      </c>
      <c r="B345" s="19" t="n">
        <v>2027</v>
      </c>
      <c r="C345" s="19" t="n">
        <v>3</v>
      </c>
      <c r="D345" s="56" t="inlineStr">
        <is>
          <t>Wed</t>
        </is>
      </c>
      <c r="E345" s="56" t="inlineStr">
        <is>
          <t>Week</t>
        </is>
      </c>
      <c r="F345" s="56">
        <f>IF(ForeCalc!$F$1="Staffed Hours",G345,24)</f>
        <v/>
      </c>
      <c r="G345" s="57">
        <f>IF(COUNTIF(M:M,Calendar!A345)&gt;0,VLOOKUP(A345,M:P,4,FALSE),VLOOKUP(D345,BusData!$A$3:$D$10,4,FALSE))</f>
        <v/>
      </c>
      <c r="H345" s="11">
        <f>F345/SUMIFS($F$2:$F$9997,$B$2:$B$9997,B345,$C$2:$C$9997,C345)</f>
        <v/>
      </c>
      <c r="I345" s="19" t="n">
        <v>1</v>
      </c>
      <c r="J345" s="57" t="n">
        <v>12</v>
      </c>
    </row>
    <row r="346">
      <c r="A346" s="62" t="n">
        <v>46457</v>
      </c>
      <c r="B346" s="19" t="n">
        <v>2027</v>
      </c>
      <c r="C346" s="19" t="n">
        <v>3</v>
      </c>
      <c r="D346" s="56" t="inlineStr">
        <is>
          <t>Thu</t>
        </is>
      </c>
      <c r="E346" s="56" t="inlineStr">
        <is>
          <t>Week</t>
        </is>
      </c>
      <c r="F346" s="56">
        <f>IF(ForeCalc!$F$1="Staffed Hours",G346,24)</f>
        <v/>
      </c>
      <c r="G346" s="57">
        <f>IF(COUNTIF(M:M,Calendar!A346)&gt;0,VLOOKUP(A346,M:P,4,FALSE),VLOOKUP(D346,BusData!$A$3:$D$10,4,FALSE))</f>
        <v/>
      </c>
      <c r="H346" s="11">
        <f>F346/SUMIFS($F$2:$F$9997,$B$2:$B$9997,B346,$C$2:$C$9997,C346)</f>
        <v/>
      </c>
      <c r="I346" s="19" t="n">
        <v>1</v>
      </c>
      <c r="J346" s="57" t="n">
        <v>12</v>
      </c>
    </row>
    <row r="347">
      <c r="A347" s="62" t="n">
        <v>46458</v>
      </c>
      <c r="B347" s="19" t="n">
        <v>2027</v>
      </c>
      <c r="C347" s="19" t="n">
        <v>3</v>
      </c>
      <c r="D347" s="56" t="inlineStr">
        <is>
          <t>Fri</t>
        </is>
      </c>
      <c r="E347" s="56" t="inlineStr">
        <is>
          <t>Week</t>
        </is>
      </c>
      <c r="F347" s="56">
        <f>IF(ForeCalc!$F$1="Staffed Hours",G347,24)</f>
        <v/>
      </c>
      <c r="G347" s="57">
        <f>IF(COUNTIF(M:M,Calendar!A347)&gt;0,VLOOKUP(A347,M:P,4,FALSE),VLOOKUP(D347,BusData!$A$3:$D$10,4,FALSE))</f>
        <v/>
      </c>
      <c r="H347" s="11">
        <f>F347/SUMIFS($F$2:$F$9997,$B$2:$B$9997,B347,$C$2:$C$9997,C347)</f>
        <v/>
      </c>
      <c r="I347" s="19" t="n">
        <v>1</v>
      </c>
      <c r="J347" s="57" t="n">
        <v>12</v>
      </c>
    </row>
    <row r="348">
      <c r="A348" s="62" t="n">
        <v>46459</v>
      </c>
      <c r="B348" s="19" t="n">
        <v>2027</v>
      </c>
      <c r="C348" s="19" t="n">
        <v>3</v>
      </c>
      <c r="D348" s="56" t="inlineStr">
        <is>
          <t>Sat</t>
        </is>
      </c>
      <c r="E348" s="56" t="inlineStr">
        <is>
          <t>Sat</t>
        </is>
      </c>
      <c r="F348" s="56">
        <f>IF(ForeCalc!$F$1="Staffed Hours",G348,24)</f>
        <v/>
      </c>
      <c r="G348" s="57">
        <f>IF(COUNTIF(M:M,Calendar!A348)&gt;0,VLOOKUP(A348,M:P,4,FALSE),VLOOKUP(D348,BusData!$A$3:$D$10,4,FALSE))</f>
        <v/>
      </c>
      <c r="H348" s="11">
        <f>F348/SUMIFS($F$2:$F$9997,$B$2:$B$9997,B348,$C$2:$C$9997,C348)</f>
        <v/>
      </c>
      <c r="I348" s="19" t="n">
        <v>1</v>
      </c>
      <c r="J348" s="57" t="n">
        <v>12</v>
      </c>
    </row>
    <row r="349">
      <c r="A349" s="62" t="n">
        <v>46460</v>
      </c>
      <c r="B349" s="19" t="n">
        <v>2027</v>
      </c>
      <c r="C349" s="19" t="n">
        <v>3</v>
      </c>
      <c r="D349" s="56" t="inlineStr">
        <is>
          <t>Sun</t>
        </is>
      </c>
      <c r="E349" s="56" t="inlineStr">
        <is>
          <t>Sun</t>
        </is>
      </c>
      <c r="F349" s="56">
        <f>IF(ForeCalc!$F$1="Staffed Hours",G349,24)</f>
        <v/>
      </c>
      <c r="G349" s="57">
        <f>IF(COUNTIF(M:M,Calendar!A349)&gt;0,VLOOKUP(A349,M:P,4,FALSE),VLOOKUP(D349,BusData!$A$3:$D$10,4,FALSE))</f>
        <v/>
      </c>
      <c r="H349" s="11">
        <f>F349/SUMIFS($F$2:$F$9997,$B$2:$B$9997,B349,$C$2:$C$9997,C349)</f>
        <v/>
      </c>
      <c r="I349" s="19" t="n">
        <v>1</v>
      </c>
      <c r="J349" s="57" t="n">
        <v>12</v>
      </c>
    </row>
    <row r="350">
      <c r="A350" s="62" t="n">
        <v>46461</v>
      </c>
      <c r="B350" s="19" t="n">
        <v>2027</v>
      </c>
      <c r="C350" s="19" t="n">
        <v>3</v>
      </c>
      <c r="D350" s="56" t="inlineStr">
        <is>
          <t>Mon</t>
        </is>
      </c>
      <c r="E350" s="56" t="inlineStr">
        <is>
          <t>Week</t>
        </is>
      </c>
      <c r="F350" s="56">
        <f>IF(ForeCalc!$F$1="Staffed Hours",G350,24)</f>
        <v/>
      </c>
      <c r="G350" s="57">
        <f>IF(COUNTIF(M:M,Calendar!A350)&gt;0,VLOOKUP(A350,M:P,4,FALSE),VLOOKUP(D350,BusData!$A$3:$D$10,4,FALSE))</f>
        <v/>
      </c>
      <c r="H350" s="11">
        <f>F350/SUMIFS($F$2:$F$9997,$B$2:$B$9997,B350,$C$2:$C$9997,C350)</f>
        <v/>
      </c>
      <c r="I350" s="19" t="n">
        <v>1</v>
      </c>
      <c r="J350" s="57" t="n">
        <v>12</v>
      </c>
    </row>
    <row r="351">
      <c r="A351" s="62" t="n">
        <v>46462</v>
      </c>
      <c r="B351" s="19" t="n">
        <v>2027</v>
      </c>
      <c r="C351" s="19" t="n">
        <v>3</v>
      </c>
      <c r="D351" s="56" t="inlineStr">
        <is>
          <t>Tue</t>
        </is>
      </c>
      <c r="E351" s="56" t="inlineStr">
        <is>
          <t>Week</t>
        </is>
      </c>
      <c r="F351" s="56">
        <f>IF(ForeCalc!$F$1="Staffed Hours",G351,24)</f>
        <v/>
      </c>
      <c r="G351" s="57">
        <f>IF(COUNTIF(M:M,Calendar!A351)&gt;0,VLOOKUP(A351,M:P,4,FALSE),VLOOKUP(D351,BusData!$A$3:$D$10,4,FALSE))</f>
        <v/>
      </c>
      <c r="H351" s="11">
        <f>F351/SUMIFS($F$2:$F$9997,$B$2:$B$9997,B351,$C$2:$C$9997,C351)</f>
        <v/>
      </c>
      <c r="I351" s="19" t="n">
        <v>1</v>
      </c>
      <c r="J351" s="57" t="n">
        <v>12</v>
      </c>
    </row>
    <row r="352">
      <c r="A352" s="62" t="n">
        <v>46463</v>
      </c>
      <c r="B352" s="19" t="n">
        <v>2027</v>
      </c>
      <c r="C352" s="19" t="n">
        <v>3</v>
      </c>
      <c r="D352" s="56" t="inlineStr">
        <is>
          <t>Wed</t>
        </is>
      </c>
      <c r="E352" s="56" t="inlineStr">
        <is>
          <t>Week</t>
        </is>
      </c>
      <c r="F352" s="56">
        <f>IF(ForeCalc!$F$1="Staffed Hours",G352,24)</f>
        <v/>
      </c>
      <c r="G352" s="57">
        <f>IF(COUNTIF(M:M,Calendar!A352)&gt;0,VLOOKUP(A352,M:P,4,FALSE),VLOOKUP(D352,BusData!$A$3:$D$10,4,FALSE))</f>
        <v/>
      </c>
      <c r="H352" s="11">
        <f>F352/SUMIFS($F$2:$F$9997,$B$2:$B$9997,B352,$C$2:$C$9997,C352)</f>
        <v/>
      </c>
      <c r="I352" s="19" t="n">
        <v>1</v>
      </c>
      <c r="J352" s="57" t="n">
        <v>12</v>
      </c>
    </row>
    <row r="353">
      <c r="A353" s="62" t="n">
        <v>46464</v>
      </c>
      <c r="B353" s="19" t="n">
        <v>2027</v>
      </c>
      <c r="C353" s="19" t="n">
        <v>3</v>
      </c>
      <c r="D353" s="56" t="inlineStr">
        <is>
          <t>Thu</t>
        </is>
      </c>
      <c r="E353" s="56" t="inlineStr">
        <is>
          <t>Week</t>
        </is>
      </c>
      <c r="F353" s="56">
        <f>IF(ForeCalc!$F$1="Staffed Hours",G353,24)</f>
        <v/>
      </c>
      <c r="G353" s="57">
        <f>IF(COUNTIF(M:M,Calendar!A353)&gt;0,VLOOKUP(A353,M:P,4,FALSE),VLOOKUP(D353,BusData!$A$3:$D$10,4,FALSE))</f>
        <v/>
      </c>
      <c r="H353" s="11">
        <f>F353/SUMIFS($F$2:$F$9997,$B$2:$B$9997,B353,$C$2:$C$9997,C353)</f>
        <v/>
      </c>
      <c r="I353" s="19" t="n">
        <v>1</v>
      </c>
      <c r="J353" s="57" t="n">
        <v>12</v>
      </c>
    </row>
    <row r="354">
      <c r="A354" s="62" t="n">
        <v>46465</v>
      </c>
      <c r="B354" s="19" t="n">
        <v>2027</v>
      </c>
      <c r="C354" s="19" t="n">
        <v>3</v>
      </c>
      <c r="D354" s="56" t="inlineStr">
        <is>
          <t>Fri</t>
        </is>
      </c>
      <c r="E354" s="56" t="inlineStr">
        <is>
          <t>Week</t>
        </is>
      </c>
      <c r="F354" s="56">
        <f>IF(ForeCalc!$F$1="Staffed Hours",G354,24)</f>
        <v/>
      </c>
      <c r="G354" s="57">
        <f>IF(COUNTIF(M:M,Calendar!A354)&gt;0,VLOOKUP(A354,M:P,4,FALSE),VLOOKUP(D354,BusData!$A$3:$D$10,4,FALSE))</f>
        <v/>
      </c>
      <c r="H354" s="11">
        <f>F354/SUMIFS($F$2:$F$9997,$B$2:$B$9997,B354,$C$2:$C$9997,C354)</f>
        <v/>
      </c>
      <c r="I354" s="19" t="n">
        <v>1</v>
      </c>
      <c r="J354" s="57" t="n">
        <v>12</v>
      </c>
    </row>
    <row r="355">
      <c r="A355" s="62" t="n">
        <v>46466</v>
      </c>
      <c r="B355" s="19" t="n">
        <v>2027</v>
      </c>
      <c r="C355" s="19" t="n">
        <v>3</v>
      </c>
      <c r="D355" s="56" t="inlineStr">
        <is>
          <t>Sat</t>
        </is>
      </c>
      <c r="E355" s="56" t="inlineStr">
        <is>
          <t>Sat</t>
        </is>
      </c>
      <c r="F355" s="56">
        <f>IF(ForeCalc!$F$1="Staffed Hours",G355,24)</f>
        <v/>
      </c>
      <c r="G355" s="57">
        <f>IF(COUNTIF(M:M,Calendar!A355)&gt;0,VLOOKUP(A355,M:P,4,FALSE),VLOOKUP(D355,BusData!$A$3:$D$10,4,FALSE))</f>
        <v/>
      </c>
      <c r="H355" s="11">
        <f>F355/SUMIFS($F$2:$F$9997,$B$2:$B$9997,B355,$C$2:$C$9997,C355)</f>
        <v/>
      </c>
      <c r="I355" s="19" t="n">
        <v>1</v>
      </c>
      <c r="J355" s="57" t="n">
        <v>12</v>
      </c>
    </row>
    <row r="356">
      <c r="A356" s="62" t="n">
        <v>46467</v>
      </c>
      <c r="B356" s="19" t="n">
        <v>2027</v>
      </c>
      <c r="C356" s="19" t="n">
        <v>3</v>
      </c>
      <c r="D356" s="56" t="inlineStr">
        <is>
          <t>Sun</t>
        </is>
      </c>
      <c r="E356" s="56" t="inlineStr">
        <is>
          <t>Sun</t>
        </is>
      </c>
      <c r="F356" s="56">
        <f>IF(ForeCalc!$F$1="Staffed Hours",G356,24)</f>
        <v/>
      </c>
      <c r="G356" s="57">
        <f>IF(COUNTIF(M:M,Calendar!A356)&gt;0,VLOOKUP(A356,M:P,4,FALSE),VLOOKUP(D356,BusData!$A$3:$D$10,4,FALSE))</f>
        <v/>
      </c>
      <c r="H356" s="11">
        <f>F356/SUMIFS($F$2:$F$9997,$B$2:$B$9997,B356,$C$2:$C$9997,C356)</f>
        <v/>
      </c>
      <c r="I356" s="19" t="n">
        <v>1</v>
      </c>
      <c r="J356" s="57" t="n">
        <v>12</v>
      </c>
    </row>
    <row r="357">
      <c r="A357" s="62" t="n">
        <v>46468</v>
      </c>
      <c r="B357" s="19" t="n">
        <v>2027</v>
      </c>
      <c r="C357" s="19" t="n">
        <v>3</v>
      </c>
      <c r="D357" s="56" t="inlineStr">
        <is>
          <t>Mon</t>
        </is>
      </c>
      <c r="E357" s="56" t="inlineStr">
        <is>
          <t>Week</t>
        </is>
      </c>
      <c r="F357" s="56">
        <f>IF(ForeCalc!$F$1="Staffed Hours",G357,24)</f>
        <v/>
      </c>
      <c r="G357" s="57">
        <f>IF(COUNTIF(M:M,Calendar!A357)&gt;0,VLOOKUP(A357,M:P,4,FALSE),VLOOKUP(D357,BusData!$A$3:$D$10,4,FALSE))</f>
        <v/>
      </c>
      <c r="H357" s="11">
        <f>F357/SUMIFS($F$2:$F$9997,$B$2:$B$9997,B357,$C$2:$C$9997,C357)</f>
        <v/>
      </c>
      <c r="I357" s="19" t="n">
        <v>1</v>
      </c>
      <c r="J357" s="57" t="n">
        <v>12</v>
      </c>
    </row>
    <row r="358">
      <c r="A358" s="62" t="n">
        <v>46469</v>
      </c>
      <c r="B358" s="19" t="n">
        <v>2027</v>
      </c>
      <c r="C358" s="19" t="n">
        <v>3</v>
      </c>
      <c r="D358" s="56" t="inlineStr">
        <is>
          <t>Tue</t>
        </is>
      </c>
      <c r="E358" s="56" t="inlineStr">
        <is>
          <t>Week</t>
        </is>
      </c>
      <c r="F358" s="56">
        <f>IF(ForeCalc!$F$1="Staffed Hours",G358,24)</f>
        <v/>
      </c>
      <c r="G358" s="57">
        <f>IF(COUNTIF(M:M,Calendar!A358)&gt;0,VLOOKUP(A358,M:P,4,FALSE),VLOOKUP(D358,BusData!$A$3:$D$10,4,FALSE))</f>
        <v/>
      </c>
      <c r="H358" s="11">
        <f>F358/SUMIFS($F$2:$F$9997,$B$2:$B$9997,B358,$C$2:$C$9997,C358)</f>
        <v/>
      </c>
      <c r="I358" s="19" t="n">
        <v>1</v>
      </c>
      <c r="J358" s="57" t="n">
        <v>12</v>
      </c>
    </row>
    <row r="359">
      <c r="A359" s="62" t="n">
        <v>46470</v>
      </c>
      <c r="B359" s="19" t="n">
        <v>2027</v>
      </c>
      <c r="C359" s="19" t="n">
        <v>3</v>
      </c>
      <c r="D359" s="56" t="inlineStr">
        <is>
          <t>Wed</t>
        </is>
      </c>
      <c r="E359" s="56" t="inlineStr">
        <is>
          <t>Week</t>
        </is>
      </c>
      <c r="F359" s="56">
        <f>IF(ForeCalc!$F$1="Staffed Hours",G359,24)</f>
        <v/>
      </c>
      <c r="G359" s="57">
        <f>IF(COUNTIF(M:M,Calendar!A359)&gt;0,VLOOKUP(A359,M:P,4,FALSE),VLOOKUP(D359,BusData!$A$3:$D$10,4,FALSE))</f>
        <v/>
      </c>
      <c r="H359" s="11">
        <f>F359/SUMIFS($F$2:$F$9997,$B$2:$B$9997,B359,$C$2:$C$9997,C359)</f>
        <v/>
      </c>
      <c r="I359" s="19" t="n">
        <v>1</v>
      </c>
      <c r="J359" s="57" t="n">
        <v>12</v>
      </c>
    </row>
    <row r="360">
      <c r="A360" s="62" t="n">
        <v>46471</v>
      </c>
      <c r="B360" s="19" t="n">
        <v>2027</v>
      </c>
      <c r="C360" s="19" t="n">
        <v>3</v>
      </c>
      <c r="D360" s="56" t="inlineStr">
        <is>
          <t>Thu</t>
        </is>
      </c>
      <c r="E360" s="56" t="inlineStr">
        <is>
          <t>Week</t>
        </is>
      </c>
      <c r="F360" s="56">
        <f>IF(ForeCalc!$F$1="Staffed Hours",G360,24)</f>
        <v/>
      </c>
      <c r="G360" s="57">
        <f>IF(COUNTIF(M:M,Calendar!A360)&gt;0,VLOOKUP(A360,M:P,4,FALSE),VLOOKUP(D360,BusData!$A$3:$D$10,4,FALSE))</f>
        <v/>
      </c>
      <c r="H360" s="11">
        <f>F360/SUMIFS($F$2:$F$9997,$B$2:$B$9997,B360,$C$2:$C$9997,C360)</f>
        <v/>
      </c>
      <c r="I360" s="19" t="n">
        <v>1</v>
      </c>
      <c r="J360" s="57" t="n">
        <v>12</v>
      </c>
    </row>
    <row r="361">
      <c r="A361" s="62" t="n">
        <v>46472</v>
      </c>
      <c r="B361" s="19" t="n">
        <v>2027</v>
      </c>
      <c r="C361" s="19" t="n">
        <v>3</v>
      </c>
      <c r="D361" s="56" t="inlineStr">
        <is>
          <t>Fri</t>
        </is>
      </c>
      <c r="E361" s="56" t="inlineStr">
        <is>
          <t>Week</t>
        </is>
      </c>
      <c r="F361" s="56">
        <f>IF(ForeCalc!$F$1="Staffed Hours",G361,24)</f>
        <v/>
      </c>
      <c r="G361" s="57">
        <f>IF(COUNTIF(M:M,Calendar!A361)&gt;0,VLOOKUP(A361,M:P,4,FALSE),VLOOKUP(D361,BusData!$A$3:$D$10,4,FALSE))</f>
        <v/>
      </c>
      <c r="H361" s="11">
        <f>F361/SUMIFS($F$2:$F$9997,$B$2:$B$9997,B361,$C$2:$C$9997,C361)</f>
        <v/>
      </c>
      <c r="I361" s="19" t="n">
        <v>1</v>
      </c>
      <c r="J361" s="57" t="n">
        <v>12</v>
      </c>
    </row>
    <row r="362">
      <c r="A362" s="62" t="n">
        <v>46473</v>
      </c>
      <c r="B362" s="19" t="n">
        <v>2027</v>
      </c>
      <c r="C362" s="19" t="n">
        <v>3</v>
      </c>
      <c r="D362" s="56" t="inlineStr">
        <is>
          <t>Sat</t>
        </is>
      </c>
      <c r="E362" s="56" t="inlineStr">
        <is>
          <t>Sat</t>
        </is>
      </c>
      <c r="F362" s="56">
        <f>IF(ForeCalc!$F$1="Staffed Hours",G362,24)</f>
        <v/>
      </c>
      <c r="G362" s="57">
        <f>IF(COUNTIF(M:M,Calendar!A362)&gt;0,VLOOKUP(A362,M:P,4,FALSE),VLOOKUP(D362,BusData!$A$3:$D$10,4,FALSE))</f>
        <v/>
      </c>
      <c r="H362" s="11">
        <f>F362/SUMIFS($F$2:$F$9997,$B$2:$B$9997,B362,$C$2:$C$9997,C362)</f>
        <v/>
      </c>
      <c r="I362" s="19" t="n">
        <v>1</v>
      </c>
      <c r="J362" s="57" t="n">
        <v>12</v>
      </c>
    </row>
    <row r="363">
      <c r="A363" s="62" t="n">
        <v>46474</v>
      </c>
      <c r="B363" s="19" t="n">
        <v>2027</v>
      </c>
      <c r="C363" s="19" t="n">
        <v>3</v>
      </c>
      <c r="D363" s="56" t="inlineStr">
        <is>
          <t>Sun</t>
        </is>
      </c>
      <c r="E363" s="56" t="inlineStr">
        <is>
          <t>Sun</t>
        </is>
      </c>
      <c r="F363" s="56">
        <f>IF(ForeCalc!$F$1="Staffed Hours",G363,24)</f>
        <v/>
      </c>
      <c r="G363" s="57">
        <f>IF(COUNTIF(M:M,Calendar!A363)&gt;0,VLOOKUP(A363,M:P,4,FALSE),VLOOKUP(D363,BusData!$A$3:$D$10,4,FALSE))</f>
        <v/>
      </c>
      <c r="H363" s="11">
        <f>F363/SUMIFS($F$2:$F$9997,$B$2:$B$9997,B363,$C$2:$C$9997,C363)</f>
        <v/>
      </c>
      <c r="I363" s="19" t="n">
        <v>1</v>
      </c>
      <c r="J363" s="57" t="n">
        <v>12</v>
      </c>
    </row>
    <row r="364">
      <c r="A364" s="62" t="n">
        <v>46475</v>
      </c>
      <c r="B364" s="19" t="n">
        <v>2027</v>
      </c>
      <c r="C364" s="19" t="n">
        <v>3</v>
      </c>
      <c r="D364" s="56" t="inlineStr">
        <is>
          <t>Mon</t>
        </is>
      </c>
      <c r="E364" s="56" t="inlineStr">
        <is>
          <t>Week</t>
        </is>
      </c>
      <c r="F364" s="56">
        <f>IF(ForeCalc!$F$1="Staffed Hours",G364,24)</f>
        <v/>
      </c>
      <c r="G364" s="57">
        <f>IF(COUNTIF(M:M,Calendar!A364)&gt;0,VLOOKUP(A364,M:P,4,FALSE),VLOOKUP(D364,BusData!$A$3:$D$10,4,FALSE))</f>
        <v/>
      </c>
      <c r="H364" s="11">
        <f>F364/SUMIFS($F$2:$F$9997,$B$2:$B$9997,B364,$C$2:$C$9997,C364)</f>
        <v/>
      </c>
      <c r="I364" s="19" t="n">
        <v>1</v>
      </c>
      <c r="J364" s="57" t="n">
        <v>12</v>
      </c>
    </row>
    <row r="365">
      <c r="A365" s="62" t="n">
        <v>46476</v>
      </c>
      <c r="B365" s="19" t="n">
        <v>2027</v>
      </c>
      <c r="C365" s="19" t="n">
        <v>3</v>
      </c>
      <c r="D365" s="56" t="inlineStr">
        <is>
          <t>Tue</t>
        </is>
      </c>
      <c r="E365" s="56" t="inlineStr">
        <is>
          <t>Week</t>
        </is>
      </c>
      <c r="F365" s="56">
        <f>IF(ForeCalc!$F$1="Staffed Hours",G365,24)</f>
        <v/>
      </c>
      <c r="G365" s="57">
        <f>IF(COUNTIF(M:M,Calendar!A365)&gt;0,VLOOKUP(A365,M:P,4,FALSE),VLOOKUP(D365,BusData!$A$3:$D$10,4,FALSE))</f>
        <v/>
      </c>
      <c r="H365" s="11">
        <f>F365/SUMIFS($F$2:$F$9997,$B$2:$B$9997,B365,$C$2:$C$9997,C365)</f>
        <v/>
      </c>
      <c r="I365" s="19" t="n">
        <v>1</v>
      </c>
      <c r="J365" s="57" t="n">
        <v>12</v>
      </c>
    </row>
    <row r="366">
      <c r="A366" s="62" t="n">
        <v>46477</v>
      </c>
      <c r="B366" s="19" t="n">
        <v>2027</v>
      </c>
      <c r="C366" s="19" t="n">
        <v>3</v>
      </c>
      <c r="D366" s="56" t="inlineStr">
        <is>
          <t>Wed</t>
        </is>
      </c>
      <c r="E366" s="56" t="inlineStr">
        <is>
          <t>Week</t>
        </is>
      </c>
      <c r="F366" s="56">
        <f>IF(ForeCalc!$F$1="Staffed Hours",G366,24)</f>
        <v/>
      </c>
      <c r="G366" s="57">
        <f>IF(COUNTIF(M:M,Calendar!A366)&gt;0,VLOOKUP(A366,M:P,4,FALSE),VLOOKUP(D366,BusData!$A$3:$D$10,4,FALSE))</f>
        <v/>
      </c>
      <c r="H366" s="11">
        <f>F366/SUMIFS($F$2:$F$9997,$B$2:$B$9997,B366,$C$2:$C$9997,C366)</f>
        <v/>
      </c>
      <c r="I366" s="19" t="n">
        <v>1</v>
      </c>
      <c r="J366" s="57" t="n">
        <v>12</v>
      </c>
    </row>
    <row r="367">
      <c r="A367" s="62" t="n">
        <v>46478</v>
      </c>
      <c r="B367" s="19" t="n">
        <v>2027</v>
      </c>
      <c r="C367" s="19" t="n">
        <v>4</v>
      </c>
      <c r="D367" s="56" t="inlineStr">
        <is>
          <t>Thu</t>
        </is>
      </c>
      <c r="E367" s="56" t="inlineStr">
        <is>
          <t>Week</t>
        </is>
      </c>
      <c r="F367" s="56">
        <f>IF(ForeCalc!$F$1="Staffed Hours",G367,24)</f>
        <v/>
      </c>
      <c r="G367" s="57">
        <f>IF(COUNTIF(M:M,Calendar!A367)&gt;0,VLOOKUP(A367,M:P,4,FALSE),VLOOKUP(D367,BusData!$A$3:$D$10,4,FALSE))</f>
        <v/>
      </c>
      <c r="H367" s="11">
        <f>F367/SUMIFS($F$2:$F$9997,$B$2:$B$9997,B367,$C$2:$C$9997,C367)</f>
        <v/>
      </c>
      <c r="I367" s="19" t="n">
        <v>2</v>
      </c>
      <c r="J367" s="57" t="n">
        <v>1</v>
      </c>
    </row>
    <row r="368">
      <c r="A368" s="62" t="n">
        <v>46479</v>
      </c>
      <c r="B368" s="19" t="n">
        <v>2027</v>
      </c>
      <c r="C368" s="19" t="n">
        <v>4</v>
      </c>
      <c r="D368" s="56" t="inlineStr">
        <is>
          <t>Fri</t>
        </is>
      </c>
      <c r="E368" s="56" t="inlineStr">
        <is>
          <t>Week</t>
        </is>
      </c>
      <c r="F368" s="56">
        <f>IF(ForeCalc!$F$1="Staffed Hours",G368,24)</f>
        <v/>
      </c>
      <c r="G368" s="57">
        <f>IF(COUNTIF(M:M,Calendar!A368)&gt;0,VLOOKUP(A368,M:P,4,FALSE),VLOOKUP(D368,BusData!$A$3:$D$10,4,FALSE))</f>
        <v/>
      </c>
      <c r="H368" s="11">
        <f>F368/SUMIFS($F$2:$F$9997,$B$2:$B$9997,B368,$C$2:$C$9997,C368)</f>
        <v/>
      </c>
      <c r="I368" s="19" t="n">
        <v>2</v>
      </c>
      <c r="J368" s="57" t="n">
        <v>1</v>
      </c>
    </row>
    <row r="369">
      <c r="A369" s="62" t="n">
        <v>46480</v>
      </c>
      <c r="B369" s="19" t="n">
        <v>2027</v>
      </c>
      <c r="C369" s="19" t="n">
        <v>4</v>
      </c>
      <c r="D369" s="56" t="inlineStr">
        <is>
          <t>Sat</t>
        </is>
      </c>
      <c r="E369" s="56" t="inlineStr">
        <is>
          <t>Sat</t>
        </is>
      </c>
      <c r="F369" s="56">
        <f>IF(ForeCalc!$F$1="Staffed Hours",G369,24)</f>
        <v/>
      </c>
      <c r="G369" s="57">
        <f>IF(COUNTIF(M:M,Calendar!A369)&gt;0,VLOOKUP(A369,M:P,4,FALSE),VLOOKUP(D369,BusData!$A$3:$D$10,4,FALSE))</f>
        <v/>
      </c>
      <c r="H369" s="11">
        <f>F369/SUMIFS($F$2:$F$9997,$B$2:$B$9997,B369,$C$2:$C$9997,C369)</f>
        <v/>
      </c>
      <c r="I369" s="19" t="n">
        <v>2</v>
      </c>
      <c r="J369" s="57" t="n">
        <v>1</v>
      </c>
    </row>
    <row r="370">
      <c r="A370" s="62" t="n">
        <v>46481</v>
      </c>
      <c r="B370" s="19" t="n">
        <v>2027</v>
      </c>
      <c r="C370" s="19" t="n">
        <v>4</v>
      </c>
      <c r="D370" s="56" t="inlineStr">
        <is>
          <t>Sun</t>
        </is>
      </c>
      <c r="E370" s="56" t="inlineStr">
        <is>
          <t>Sun</t>
        </is>
      </c>
      <c r="F370" s="56">
        <f>IF(ForeCalc!$F$1="Staffed Hours",G370,24)</f>
        <v/>
      </c>
      <c r="G370" s="57">
        <f>IF(COUNTIF(M:M,Calendar!A370)&gt;0,VLOOKUP(A370,M:P,4,FALSE),VLOOKUP(D370,BusData!$A$3:$D$10,4,FALSE))</f>
        <v/>
      </c>
      <c r="H370" s="11">
        <f>F370/SUMIFS($F$2:$F$9997,$B$2:$B$9997,B370,$C$2:$C$9997,C370)</f>
        <v/>
      </c>
      <c r="I370" s="19" t="n">
        <v>2</v>
      </c>
      <c r="J370" s="57" t="n">
        <v>1</v>
      </c>
    </row>
    <row r="371">
      <c r="A371" s="62" t="n">
        <v>46482</v>
      </c>
      <c r="B371" s="19" t="n">
        <v>2027</v>
      </c>
      <c r="C371" s="19" t="n">
        <v>4</v>
      </c>
      <c r="D371" s="56" t="inlineStr">
        <is>
          <t>Mon</t>
        </is>
      </c>
      <c r="E371" s="56" t="inlineStr">
        <is>
          <t>Week</t>
        </is>
      </c>
      <c r="F371" s="56">
        <f>IF(ForeCalc!$F$1="Staffed Hours",G371,24)</f>
        <v/>
      </c>
      <c r="G371" s="57">
        <f>IF(COUNTIF(M:M,Calendar!A371)&gt;0,VLOOKUP(A371,M:P,4,FALSE),VLOOKUP(D371,BusData!$A$3:$D$10,4,FALSE))</f>
        <v/>
      </c>
      <c r="H371" s="11">
        <f>F371/SUMIFS($F$2:$F$9997,$B$2:$B$9997,B371,$C$2:$C$9997,C371)</f>
        <v/>
      </c>
      <c r="I371" s="19" t="n">
        <v>2</v>
      </c>
      <c r="J371" s="57" t="n">
        <v>1</v>
      </c>
    </row>
    <row r="372">
      <c r="A372" s="62" t="n">
        <v>46483</v>
      </c>
      <c r="B372" s="19" t="n">
        <v>2027</v>
      </c>
      <c r="C372" s="19" t="n">
        <v>4</v>
      </c>
      <c r="D372" s="56" t="inlineStr">
        <is>
          <t>Tue</t>
        </is>
      </c>
      <c r="E372" s="56" t="inlineStr">
        <is>
          <t>Week</t>
        </is>
      </c>
      <c r="F372" s="56">
        <f>IF(ForeCalc!$F$1="Staffed Hours",G372,24)</f>
        <v/>
      </c>
      <c r="G372" s="57">
        <f>IF(COUNTIF(M:M,Calendar!A372)&gt;0,VLOOKUP(A372,M:P,4,FALSE),VLOOKUP(D372,BusData!$A$3:$D$10,4,FALSE))</f>
        <v/>
      </c>
      <c r="H372" s="11">
        <f>F372/SUMIFS($F$2:$F$9997,$B$2:$B$9997,B372,$C$2:$C$9997,C372)</f>
        <v/>
      </c>
      <c r="I372" s="19" t="n">
        <v>2</v>
      </c>
      <c r="J372" s="57" t="n">
        <v>1</v>
      </c>
    </row>
    <row r="373">
      <c r="A373" s="62" t="n">
        <v>46484</v>
      </c>
      <c r="B373" s="19" t="n">
        <v>2027</v>
      </c>
      <c r="C373" s="19" t="n">
        <v>4</v>
      </c>
      <c r="D373" s="56" t="inlineStr">
        <is>
          <t>Wed</t>
        </is>
      </c>
      <c r="E373" s="56" t="inlineStr">
        <is>
          <t>Week</t>
        </is>
      </c>
      <c r="F373" s="56">
        <f>IF(ForeCalc!$F$1="Staffed Hours",G373,24)</f>
        <v/>
      </c>
      <c r="G373" s="57">
        <f>IF(COUNTIF(M:M,Calendar!A373)&gt;0,VLOOKUP(A373,M:P,4,FALSE),VLOOKUP(D373,BusData!$A$3:$D$10,4,FALSE))</f>
        <v/>
      </c>
      <c r="H373" s="11">
        <f>F373/SUMIFS($F$2:$F$9997,$B$2:$B$9997,B373,$C$2:$C$9997,C373)</f>
        <v/>
      </c>
      <c r="I373" s="19" t="n">
        <v>2</v>
      </c>
      <c r="J373" s="57" t="n">
        <v>1</v>
      </c>
    </row>
    <row r="374">
      <c r="A374" s="62" t="n">
        <v>46485</v>
      </c>
      <c r="B374" s="19" t="n">
        <v>2027</v>
      </c>
      <c r="C374" s="19" t="n">
        <v>4</v>
      </c>
      <c r="D374" s="56" t="inlineStr">
        <is>
          <t>Thu</t>
        </is>
      </c>
      <c r="E374" s="56" t="inlineStr">
        <is>
          <t>Week</t>
        </is>
      </c>
      <c r="F374" s="56">
        <f>IF(ForeCalc!$F$1="Staffed Hours",G374,24)</f>
        <v/>
      </c>
      <c r="G374" s="57">
        <f>IF(COUNTIF(M:M,Calendar!A374)&gt;0,VLOOKUP(A374,M:P,4,FALSE),VLOOKUP(D374,BusData!$A$3:$D$10,4,FALSE))</f>
        <v/>
      </c>
      <c r="H374" s="11">
        <f>F374/SUMIFS($F$2:$F$9997,$B$2:$B$9997,B374,$C$2:$C$9997,C374)</f>
        <v/>
      </c>
      <c r="I374" s="19" t="n">
        <v>2</v>
      </c>
      <c r="J374" s="57" t="n">
        <v>1</v>
      </c>
    </row>
    <row r="375">
      <c r="A375" s="62" t="n">
        <v>46486</v>
      </c>
      <c r="B375" s="19" t="n">
        <v>2027</v>
      </c>
      <c r="C375" s="19" t="n">
        <v>4</v>
      </c>
      <c r="D375" s="56" t="inlineStr">
        <is>
          <t>Fri</t>
        </is>
      </c>
      <c r="E375" s="56" t="inlineStr">
        <is>
          <t>Week</t>
        </is>
      </c>
      <c r="F375" s="56">
        <f>IF(ForeCalc!$F$1="Staffed Hours",G375,24)</f>
        <v/>
      </c>
      <c r="G375" s="57">
        <f>IF(COUNTIF(M:M,Calendar!A375)&gt;0,VLOOKUP(A375,M:P,4,FALSE),VLOOKUP(D375,BusData!$A$3:$D$10,4,FALSE))</f>
        <v/>
      </c>
      <c r="H375" s="11">
        <f>F375/SUMIFS($F$2:$F$9997,$B$2:$B$9997,B375,$C$2:$C$9997,C375)</f>
        <v/>
      </c>
      <c r="I375" s="19" t="n">
        <v>2</v>
      </c>
      <c r="J375" s="57" t="n">
        <v>1</v>
      </c>
    </row>
    <row r="376">
      <c r="A376" s="62" t="n">
        <v>46487</v>
      </c>
      <c r="B376" s="19" t="n">
        <v>2027</v>
      </c>
      <c r="C376" s="19" t="n">
        <v>4</v>
      </c>
      <c r="D376" s="56" t="inlineStr">
        <is>
          <t>Sat</t>
        </is>
      </c>
      <c r="E376" s="56" t="inlineStr">
        <is>
          <t>Sat</t>
        </is>
      </c>
      <c r="F376" s="56">
        <f>IF(ForeCalc!$F$1="Staffed Hours",G376,24)</f>
        <v/>
      </c>
      <c r="G376" s="57">
        <f>IF(COUNTIF(M:M,Calendar!A376)&gt;0,VLOOKUP(A376,M:P,4,FALSE),VLOOKUP(D376,BusData!$A$3:$D$10,4,FALSE))</f>
        <v/>
      </c>
      <c r="H376" s="11">
        <f>F376/SUMIFS($F$2:$F$9997,$B$2:$B$9997,B376,$C$2:$C$9997,C376)</f>
        <v/>
      </c>
      <c r="I376" s="19" t="n">
        <v>2</v>
      </c>
      <c r="J376" s="57" t="n">
        <v>1</v>
      </c>
    </row>
    <row r="377">
      <c r="A377" s="62" t="n">
        <v>46488</v>
      </c>
      <c r="B377" s="19" t="n">
        <v>2027</v>
      </c>
      <c r="C377" s="19" t="n">
        <v>4</v>
      </c>
      <c r="D377" s="56" t="inlineStr">
        <is>
          <t>Sun</t>
        </is>
      </c>
      <c r="E377" s="56" t="inlineStr">
        <is>
          <t>Sun</t>
        </is>
      </c>
      <c r="F377" s="56">
        <f>IF(ForeCalc!$F$1="Staffed Hours",G377,24)</f>
        <v/>
      </c>
      <c r="G377" s="57">
        <f>IF(COUNTIF(M:M,Calendar!A377)&gt;0,VLOOKUP(A377,M:P,4,FALSE),VLOOKUP(D377,BusData!$A$3:$D$10,4,FALSE))</f>
        <v/>
      </c>
      <c r="H377" s="11">
        <f>F377/SUMIFS($F$2:$F$9997,$B$2:$B$9997,B377,$C$2:$C$9997,C377)</f>
        <v/>
      </c>
      <c r="I377" s="19" t="n">
        <v>2</v>
      </c>
      <c r="J377" s="57" t="n">
        <v>1</v>
      </c>
    </row>
    <row r="378">
      <c r="A378" s="62" t="n">
        <v>46489</v>
      </c>
      <c r="B378" s="19" t="n">
        <v>2027</v>
      </c>
      <c r="C378" s="19" t="n">
        <v>4</v>
      </c>
      <c r="D378" s="56" t="inlineStr">
        <is>
          <t>Mon</t>
        </is>
      </c>
      <c r="E378" s="56" t="inlineStr">
        <is>
          <t>Week</t>
        </is>
      </c>
      <c r="F378" s="56">
        <f>IF(ForeCalc!$F$1="Staffed Hours",G378,24)</f>
        <v/>
      </c>
      <c r="G378" s="57">
        <f>IF(COUNTIF(M:M,Calendar!A378)&gt;0,VLOOKUP(A378,M:P,4,FALSE),VLOOKUP(D378,BusData!$A$3:$D$10,4,FALSE))</f>
        <v/>
      </c>
      <c r="H378" s="11">
        <f>F378/SUMIFS($F$2:$F$9997,$B$2:$B$9997,B378,$C$2:$C$9997,C378)</f>
        <v/>
      </c>
      <c r="I378" s="19" t="n">
        <v>2</v>
      </c>
      <c r="J378" s="57" t="n">
        <v>1</v>
      </c>
    </row>
    <row r="379">
      <c r="A379" s="62" t="n">
        <v>46490</v>
      </c>
      <c r="B379" s="19" t="n">
        <v>2027</v>
      </c>
      <c r="C379" s="19" t="n">
        <v>4</v>
      </c>
      <c r="D379" s="56" t="inlineStr">
        <is>
          <t>Tue</t>
        </is>
      </c>
      <c r="E379" s="56" t="inlineStr">
        <is>
          <t>Week</t>
        </is>
      </c>
      <c r="F379" s="56">
        <f>IF(ForeCalc!$F$1="Staffed Hours",G379,24)</f>
        <v/>
      </c>
      <c r="G379" s="57">
        <f>IF(COUNTIF(M:M,Calendar!A379)&gt;0,VLOOKUP(A379,M:P,4,FALSE),VLOOKUP(D379,BusData!$A$3:$D$10,4,FALSE))</f>
        <v/>
      </c>
      <c r="H379" s="11">
        <f>F379/SUMIFS($F$2:$F$9997,$B$2:$B$9997,B379,$C$2:$C$9997,C379)</f>
        <v/>
      </c>
      <c r="I379" s="19" t="n">
        <v>2</v>
      </c>
      <c r="J379" s="57" t="n">
        <v>1</v>
      </c>
    </row>
    <row r="380">
      <c r="A380" s="62" t="n">
        <v>46491</v>
      </c>
      <c r="B380" s="19" t="n">
        <v>2027</v>
      </c>
      <c r="C380" s="19" t="n">
        <v>4</v>
      </c>
      <c r="D380" s="56" t="inlineStr">
        <is>
          <t>Wed</t>
        </is>
      </c>
      <c r="E380" s="56" t="inlineStr">
        <is>
          <t>Week</t>
        </is>
      </c>
      <c r="F380" s="56">
        <f>IF(ForeCalc!$F$1="Staffed Hours",G380,24)</f>
        <v/>
      </c>
      <c r="G380" s="57">
        <f>IF(COUNTIF(M:M,Calendar!A380)&gt;0,VLOOKUP(A380,M:P,4,FALSE),VLOOKUP(D380,BusData!$A$3:$D$10,4,FALSE))</f>
        <v/>
      </c>
      <c r="H380" s="11">
        <f>F380/SUMIFS($F$2:$F$9997,$B$2:$B$9997,B380,$C$2:$C$9997,C380)</f>
        <v/>
      </c>
      <c r="I380" s="19" t="n">
        <v>2</v>
      </c>
      <c r="J380" s="57" t="n">
        <v>1</v>
      </c>
    </row>
    <row r="381">
      <c r="A381" s="62" t="n">
        <v>46492</v>
      </c>
      <c r="B381" s="19" t="n">
        <v>2027</v>
      </c>
      <c r="C381" s="19" t="n">
        <v>4</v>
      </c>
      <c r="D381" s="56" t="inlineStr">
        <is>
          <t>Thu</t>
        </is>
      </c>
      <c r="E381" s="56" t="inlineStr">
        <is>
          <t>Week</t>
        </is>
      </c>
      <c r="F381" s="56">
        <f>IF(ForeCalc!$F$1="Staffed Hours",G381,24)</f>
        <v/>
      </c>
      <c r="G381" s="57">
        <f>IF(COUNTIF(M:M,Calendar!A381)&gt;0,VLOOKUP(A381,M:P,4,FALSE),VLOOKUP(D381,BusData!$A$3:$D$10,4,FALSE))</f>
        <v/>
      </c>
      <c r="H381" s="11">
        <f>F381/SUMIFS($F$2:$F$9997,$B$2:$B$9997,B381,$C$2:$C$9997,C381)</f>
        <v/>
      </c>
      <c r="I381" s="19" t="n">
        <v>2</v>
      </c>
      <c r="J381" s="57" t="n">
        <v>1</v>
      </c>
    </row>
    <row r="382">
      <c r="A382" s="62" t="n">
        <v>46493</v>
      </c>
      <c r="B382" s="19" t="n">
        <v>2027</v>
      </c>
      <c r="C382" s="19" t="n">
        <v>4</v>
      </c>
      <c r="D382" s="56" t="inlineStr">
        <is>
          <t>Fri</t>
        </is>
      </c>
      <c r="E382" s="56" t="inlineStr">
        <is>
          <t>Week</t>
        </is>
      </c>
      <c r="F382" s="56">
        <f>IF(ForeCalc!$F$1="Staffed Hours",G382,24)</f>
        <v/>
      </c>
      <c r="G382" s="57">
        <f>IF(COUNTIF(M:M,Calendar!A382)&gt;0,VLOOKUP(A382,M:P,4,FALSE),VLOOKUP(D382,BusData!$A$3:$D$10,4,FALSE))</f>
        <v/>
      </c>
      <c r="H382" s="11">
        <f>F382/SUMIFS($F$2:$F$9997,$B$2:$B$9997,B382,$C$2:$C$9997,C382)</f>
        <v/>
      </c>
      <c r="I382" s="19" t="n">
        <v>2</v>
      </c>
      <c r="J382" s="57" t="n">
        <v>1</v>
      </c>
    </row>
    <row r="383">
      <c r="A383" s="62" t="n">
        <v>46494</v>
      </c>
      <c r="B383" s="19" t="n">
        <v>2027</v>
      </c>
      <c r="C383" s="19" t="n">
        <v>4</v>
      </c>
      <c r="D383" s="56" t="inlineStr">
        <is>
          <t>Sat</t>
        </is>
      </c>
      <c r="E383" s="56" t="inlineStr">
        <is>
          <t>Sat</t>
        </is>
      </c>
      <c r="F383" s="56">
        <f>IF(ForeCalc!$F$1="Staffed Hours",G383,24)</f>
        <v/>
      </c>
      <c r="G383" s="57">
        <f>IF(COUNTIF(M:M,Calendar!A383)&gt;0,VLOOKUP(A383,M:P,4,FALSE),VLOOKUP(D383,BusData!$A$3:$D$10,4,FALSE))</f>
        <v/>
      </c>
      <c r="H383" s="11">
        <f>F383/SUMIFS($F$2:$F$9997,$B$2:$B$9997,B383,$C$2:$C$9997,C383)</f>
        <v/>
      </c>
      <c r="I383" s="19" t="n">
        <v>2</v>
      </c>
      <c r="J383" s="57" t="n">
        <v>1</v>
      </c>
    </row>
    <row r="384">
      <c r="A384" s="62" t="n">
        <v>46495</v>
      </c>
      <c r="B384" s="19" t="n">
        <v>2027</v>
      </c>
      <c r="C384" s="19" t="n">
        <v>4</v>
      </c>
      <c r="D384" s="56" t="inlineStr">
        <is>
          <t>Sun</t>
        </is>
      </c>
      <c r="E384" s="56" t="inlineStr">
        <is>
          <t>Sun</t>
        </is>
      </c>
      <c r="F384" s="56">
        <f>IF(ForeCalc!$F$1="Staffed Hours",G384,24)</f>
        <v/>
      </c>
      <c r="G384" s="57">
        <f>IF(COUNTIF(M:M,Calendar!A384)&gt;0,VLOOKUP(A384,M:P,4,FALSE),VLOOKUP(D384,BusData!$A$3:$D$10,4,FALSE))</f>
        <v/>
      </c>
      <c r="H384" s="11">
        <f>F384/SUMIFS($F$2:$F$9997,$B$2:$B$9997,B384,$C$2:$C$9997,C384)</f>
        <v/>
      </c>
      <c r="I384" s="19" t="n">
        <v>2</v>
      </c>
      <c r="J384" s="57" t="n">
        <v>1</v>
      </c>
    </row>
    <row r="385">
      <c r="A385" s="62" t="n">
        <v>46496</v>
      </c>
      <c r="B385" s="19" t="n">
        <v>2027</v>
      </c>
      <c r="C385" s="19" t="n">
        <v>4</v>
      </c>
      <c r="D385" s="56" t="inlineStr">
        <is>
          <t>Mon</t>
        </is>
      </c>
      <c r="E385" s="56" t="inlineStr">
        <is>
          <t>Week</t>
        </is>
      </c>
      <c r="F385" s="56">
        <f>IF(ForeCalc!$F$1="Staffed Hours",G385,24)</f>
        <v/>
      </c>
      <c r="G385" s="57">
        <f>IF(COUNTIF(M:M,Calendar!A385)&gt;0,VLOOKUP(A385,M:P,4,FALSE),VLOOKUP(D385,BusData!$A$3:$D$10,4,FALSE))</f>
        <v/>
      </c>
      <c r="H385" s="11">
        <f>F385/SUMIFS($F$2:$F$9997,$B$2:$B$9997,B385,$C$2:$C$9997,C385)</f>
        <v/>
      </c>
      <c r="I385" s="19" t="n">
        <v>2</v>
      </c>
      <c r="J385" s="57" t="n">
        <v>1</v>
      </c>
    </row>
    <row r="386">
      <c r="A386" s="62" t="n">
        <v>46497</v>
      </c>
      <c r="B386" s="19" t="n">
        <v>2027</v>
      </c>
      <c r="C386" s="19" t="n">
        <v>4</v>
      </c>
      <c r="D386" s="56" t="inlineStr">
        <is>
          <t>Tue</t>
        </is>
      </c>
      <c r="E386" s="56" t="inlineStr">
        <is>
          <t>Week</t>
        </is>
      </c>
      <c r="F386" s="56">
        <f>IF(ForeCalc!$F$1="Staffed Hours",G386,24)</f>
        <v/>
      </c>
      <c r="G386" s="57">
        <f>IF(COUNTIF(M:M,Calendar!A386)&gt;0,VLOOKUP(A386,M:P,4,FALSE),VLOOKUP(D386,BusData!$A$3:$D$10,4,FALSE))</f>
        <v/>
      </c>
      <c r="H386" s="11">
        <f>F386/SUMIFS($F$2:$F$9997,$B$2:$B$9997,B386,$C$2:$C$9997,C386)</f>
        <v/>
      </c>
      <c r="I386" s="19" t="n">
        <v>2</v>
      </c>
      <c r="J386" s="57" t="n">
        <v>1</v>
      </c>
    </row>
    <row r="387">
      <c r="A387" s="62" t="n">
        <v>46498</v>
      </c>
      <c r="B387" s="19" t="n">
        <v>2027</v>
      </c>
      <c r="C387" s="19" t="n">
        <v>4</v>
      </c>
      <c r="D387" s="56" t="inlineStr">
        <is>
          <t>Wed</t>
        </is>
      </c>
      <c r="E387" s="56" t="inlineStr">
        <is>
          <t>Week</t>
        </is>
      </c>
      <c r="F387" s="56">
        <f>IF(ForeCalc!$F$1="Staffed Hours",G387,24)</f>
        <v/>
      </c>
      <c r="G387" s="57">
        <f>IF(COUNTIF(M:M,Calendar!A387)&gt;0,VLOOKUP(A387,M:P,4,FALSE),VLOOKUP(D387,BusData!$A$3:$D$10,4,FALSE))</f>
        <v/>
      </c>
      <c r="H387" s="11">
        <f>F387/SUMIFS($F$2:$F$9997,$B$2:$B$9997,B387,$C$2:$C$9997,C387)</f>
        <v/>
      </c>
      <c r="I387" s="19" t="n">
        <v>2</v>
      </c>
      <c r="J387" s="57" t="n">
        <v>1</v>
      </c>
    </row>
    <row r="388">
      <c r="A388" s="62" t="n">
        <v>46499</v>
      </c>
      <c r="B388" s="19" t="n">
        <v>2027</v>
      </c>
      <c r="C388" s="19" t="n">
        <v>4</v>
      </c>
      <c r="D388" s="56" t="inlineStr">
        <is>
          <t>Thu</t>
        </is>
      </c>
      <c r="E388" s="56" t="inlineStr">
        <is>
          <t>Week</t>
        </is>
      </c>
      <c r="F388" s="56">
        <f>IF(ForeCalc!$F$1="Staffed Hours",G388,24)</f>
        <v/>
      </c>
      <c r="G388" s="57">
        <f>IF(COUNTIF(M:M,Calendar!A388)&gt;0,VLOOKUP(A388,M:P,4,FALSE),VLOOKUP(D388,BusData!$A$3:$D$10,4,FALSE))</f>
        <v/>
      </c>
      <c r="H388" s="11">
        <f>F388/SUMIFS($F$2:$F$9997,$B$2:$B$9997,B388,$C$2:$C$9997,C388)</f>
        <v/>
      </c>
      <c r="I388" s="19" t="n">
        <v>2</v>
      </c>
      <c r="J388" s="57" t="n">
        <v>1</v>
      </c>
    </row>
    <row r="389">
      <c r="A389" s="62" t="n">
        <v>46500</v>
      </c>
      <c r="B389" s="19" t="n">
        <v>2027</v>
      </c>
      <c r="C389" s="19" t="n">
        <v>4</v>
      </c>
      <c r="D389" s="56" t="inlineStr">
        <is>
          <t>Fri</t>
        </is>
      </c>
      <c r="E389" s="56" t="inlineStr">
        <is>
          <t>Week</t>
        </is>
      </c>
      <c r="F389" s="56">
        <f>IF(ForeCalc!$F$1="Staffed Hours",G389,24)</f>
        <v/>
      </c>
      <c r="G389" s="57">
        <f>IF(COUNTIF(M:M,Calendar!A389)&gt;0,VLOOKUP(A389,M:P,4,FALSE),VLOOKUP(D389,BusData!$A$3:$D$10,4,FALSE))</f>
        <v/>
      </c>
      <c r="H389" s="11">
        <f>F389/SUMIFS($F$2:$F$9997,$B$2:$B$9997,B389,$C$2:$C$9997,C389)</f>
        <v/>
      </c>
      <c r="I389" s="19" t="n">
        <v>2</v>
      </c>
      <c r="J389" s="57" t="n">
        <v>1</v>
      </c>
    </row>
    <row r="390">
      <c r="A390" s="62" t="n">
        <v>46501</v>
      </c>
      <c r="B390" s="19" t="n">
        <v>2027</v>
      </c>
      <c r="C390" s="19" t="n">
        <v>4</v>
      </c>
      <c r="D390" s="56" t="inlineStr">
        <is>
          <t>Sat</t>
        </is>
      </c>
      <c r="E390" s="56" t="inlineStr">
        <is>
          <t>Sat</t>
        </is>
      </c>
      <c r="F390" s="56">
        <f>IF(ForeCalc!$F$1="Staffed Hours",G390,24)</f>
        <v/>
      </c>
      <c r="G390" s="57">
        <f>IF(COUNTIF(M:M,Calendar!A390)&gt;0,VLOOKUP(A390,M:P,4,FALSE),VLOOKUP(D390,BusData!$A$3:$D$10,4,FALSE))</f>
        <v/>
      </c>
      <c r="H390" s="11">
        <f>F390/SUMIFS($F$2:$F$9997,$B$2:$B$9997,B390,$C$2:$C$9997,C390)</f>
        <v/>
      </c>
      <c r="I390" s="19" t="n">
        <v>2</v>
      </c>
      <c r="J390" s="57" t="n">
        <v>1</v>
      </c>
    </row>
    <row r="391">
      <c r="A391" s="62" t="n">
        <v>46502</v>
      </c>
      <c r="B391" s="19" t="n">
        <v>2027</v>
      </c>
      <c r="C391" s="19" t="n">
        <v>4</v>
      </c>
      <c r="D391" s="56" t="inlineStr">
        <is>
          <t>Sun</t>
        </is>
      </c>
      <c r="E391" s="56" t="inlineStr">
        <is>
          <t>Sun</t>
        </is>
      </c>
      <c r="F391" s="56">
        <f>IF(ForeCalc!$F$1="Staffed Hours",G391,24)</f>
        <v/>
      </c>
      <c r="G391" s="57">
        <f>IF(COUNTIF(M:M,Calendar!A391)&gt;0,VLOOKUP(A391,M:P,4,FALSE),VLOOKUP(D391,BusData!$A$3:$D$10,4,FALSE))</f>
        <v/>
      </c>
      <c r="H391" s="11">
        <f>F391/SUMIFS($F$2:$F$9997,$B$2:$B$9997,B391,$C$2:$C$9997,C391)</f>
        <v/>
      </c>
      <c r="I391" s="19" t="n">
        <v>2</v>
      </c>
      <c r="J391" s="57" t="n">
        <v>1</v>
      </c>
    </row>
    <row r="392">
      <c r="A392" s="62" t="n">
        <v>46503</v>
      </c>
      <c r="B392" s="19" t="n">
        <v>2027</v>
      </c>
      <c r="C392" s="19" t="n">
        <v>4</v>
      </c>
      <c r="D392" s="56" t="inlineStr">
        <is>
          <t>Mon</t>
        </is>
      </c>
      <c r="E392" s="56" t="inlineStr">
        <is>
          <t>Week</t>
        </is>
      </c>
      <c r="F392" s="56">
        <f>IF(ForeCalc!$F$1="Staffed Hours",G392,24)</f>
        <v/>
      </c>
      <c r="G392" s="57">
        <f>IF(COUNTIF(M:M,Calendar!A392)&gt;0,VLOOKUP(A392,M:P,4,FALSE),VLOOKUP(D392,BusData!$A$3:$D$10,4,FALSE))</f>
        <v/>
      </c>
      <c r="H392" s="11">
        <f>F392/SUMIFS($F$2:$F$9997,$B$2:$B$9997,B392,$C$2:$C$9997,C392)</f>
        <v/>
      </c>
      <c r="I392" s="19" t="n">
        <v>2</v>
      </c>
      <c r="J392" s="57" t="n">
        <v>1</v>
      </c>
    </row>
    <row r="393">
      <c r="A393" s="62" t="n">
        <v>46504</v>
      </c>
      <c r="B393" s="19" t="n">
        <v>2027</v>
      </c>
      <c r="C393" s="19" t="n">
        <v>4</v>
      </c>
      <c r="D393" s="56" t="inlineStr">
        <is>
          <t>Tue</t>
        </is>
      </c>
      <c r="E393" s="56" t="inlineStr">
        <is>
          <t>Week</t>
        </is>
      </c>
      <c r="F393" s="56">
        <f>IF(ForeCalc!$F$1="Staffed Hours",G393,24)</f>
        <v/>
      </c>
      <c r="G393" s="57">
        <f>IF(COUNTIF(M:M,Calendar!A393)&gt;0,VLOOKUP(A393,M:P,4,FALSE),VLOOKUP(D393,BusData!$A$3:$D$10,4,FALSE))</f>
        <v/>
      </c>
      <c r="H393" s="11">
        <f>F393/SUMIFS($F$2:$F$9997,$B$2:$B$9997,B393,$C$2:$C$9997,C393)</f>
        <v/>
      </c>
      <c r="I393" s="19" t="n">
        <v>2</v>
      </c>
      <c r="J393" s="57" t="n">
        <v>1</v>
      </c>
    </row>
    <row r="394">
      <c r="A394" s="62" t="n">
        <v>46505</v>
      </c>
      <c r="B394" s="19" t="n">
        <v>2027</v>
      </c>
      <c r="C394" s="19" t="n">
        <v>4</v>
      </c>
      <c r="D394" s="56" t="inlineStr">
        <is>
          <t>Wed</t>
        </is>
      </c>
      <c r="E394" s="56" t="inlineStr">
        <is>
          <t>Week</t>
        </is>
      </c>
      <c r="F394" s="56">
        <f>IF(ForeCalc!$F$1="Staffed Hours",G394,24)</f>
        <v/>
      </c>
      <c r="G394" s="57">
        <f>IF(COUNTIF(M:M,Calendar!A394)&gt;0,VLOOKUP(A394,M:P,4,FALSE),VLOOKUP(D394,BusData!$A$3:$D$10,4,FALSE))</f>
        <v/>
      </c>
      <c r="H394" s="11">
        <f>F394/SUMIFS($F$2:$F$9997,$B$2:$B$9997,B394,$C$2:$C$9997,C394)</f>
        <v/>
      </c>
      <c r="I394" s="19" t="n">
        <v>2</v>
      </c>
      <c r="J394" s="57" t="n">
        <v>1</v>
      </c>
    </row>
    <row r="395">
      <c r="A395" s="62" t="n">
        <v>46506</v>
      </c>
      <c r="B395" s="19" t="n">
        <v>2027</v>
      </c>
      <c r="C395" s="19" t="n">
        <v>4</v>
      </c>
      <c r="D395" s="56" t="inlineStr">
        <is>
          <t>Thu</t>
        </is>
      </c>
      <c r="E395" s="56" t="inlineStr">
        <is>
          <t>Week</t>
        </is>
      </c>
      <c r="F395" s="56">
        <f>IF(ForeCalc!$F$1="Staffed Hours",G395,24)</f>
        <v/>
      </c>
      <c r="G395" s="57">
        <f>IF(COUNTIF(M:M,Calendar!A395)&gt;0,VLOOKUP(A395,M:P,4,FALSE),VLOOKUP(D395,BusData!$A$3:$D$10,4,FALSE))</f>
        <v/>
      </c>
      <c r="H395" s="11">
        <f>F395/SUMIFS($F$2:$F$9997,$B$2:$B$9997,B395,$C$2:$C$9997,C395)</f>
        <v/>
      </c>
      <c r="I395" s="19" t="n">
        <v>2</v>
      </c>
      <c r="J395" s="57" t="n">
        <v>1</v>
      </c>
    </row>
    <row r="396">
      <c r="A396" s="62" t="n">
        <v>46507</v>
      </c>
      <c r="B396" s="19" t="n">
        <v>2027</v>
      </c>
      <c r="C396" s="19" t="n">
        <v>4</v>
      </c>
      <c r="D396" s="56" t="inlineStr">
        <is>
          <t>Fri</t>
        </is>
      </c>
      <c r="E396" s="56" t="inlineStr">
        <is>
          <t>Week</t>
        </is>
      </c>
      <c r="F396" s="56">
        <f>IF(ForeCalc!$F$1="Staffed Hours",G396,24)</f>
        <v/>
      </c>
      <c r="G396" s="57">
        <f>IF(COUNTIF(M:M,Calendar!A396)&gt;0,VLOOKUP(A396,M:P,4,FALSE),VLOOKUP(D396,BusData!$A$3:$D$10,4,FALSE))</f>
        <v/>
      </c>
      <c r="H396" s="11">
        <f>F396/SUMIFS($F$2:$F$9997,$B$2:$B$9997,B396,$C$2:$C$9997,C396)</f>
        <v/>
      </c>
      <c r="I396" s="19" t="n">
        <v>2</v>
      </c>
      <c r="J396" s="57" t="n">
        <v>1</v>
      </c>
    </row>
    <row r="397">
      <c r="A397" s="62" t="n">
        <v>46508</v>
      </c>
      <c r="B397" s="19" t="n">
        <v>2027</v>
      </c>
      <c r="C397" s="19" t="n">
        <v>5</v>
      </c>
      <c r="D397" s="56" t="inlineStr">
        <is>
          <t>Sat</t>
        </is>
      </c>
      <c r="E397" s="56" t="inlineStr">
        <is>
          <t>Sat</t>
        </is>
      </c>
      <c r="F397" s="56">
        <f>IF(ForeCalc!$F$1="Staffed Hours",G397,24)</f>
        <v/>
      </c>
      <c r="G397" s="57">
        <f>IF(COUNTIF(M:M,Calendar!A397)&gt;0,VLOOKUP(A397,M:P,4,FALSE),VLOOKUP(D397,BusData!$A$3:$D$10,4,FALSE))</f>
        <v/>
      </c>
      <c r="H397" s="11">
        <f>F397/SUMIFS($F$2:$F$9997,$B$2:$B$9997,B397,$C$2:$C$9997,C397)</f>
        <v/>
      </c>
      <c r="I397" s="19" t="n">
        <v>2</v>
      </c>
      <c r="J397" s="57" t="n">
        <v>2</v>
      </c>
    </row>
    <row r="398">
      <c r="A398" s="62" t="n">
        <v>46509</v>
      </c>
      <c r="B398" s="19" t="n">
        <v>2027</v>
      </c>
      <c r="C398" s="19" t="n">
        <v>5</v>
      </c>
      <c r="D398" s="56" t="inlineStr">
        <is>
          <t>Sun</t>
        </is>
      </c>
      <c r="E398" s="56" t="inlineStr">
        <is>
          <t>Sun</t>
        </is>
      </c>
      <c r="F398" s="56">
        <f>IF(ForeCalc!$F$1="Staffed Hours",G398,24)</f>
        <v/>
      </c>
      <c r="G398" s="57">
        <f>IF(COUNTIF(M:M,Calendar!A398)&gt;0,VLOOKUP(A398,M:P,4,FALSE),VLOOKUP(D398,BusData!$A$3:$D$10,4,FALSE))</f>
        <v/>
      </c>
      <c r="H398" s="11">
        <f>F398/SUMIFS($F$2:$F$9997,$B$2:$B$9997,B398,$C$2:$C$9997,C398)</f>
        <v/>
      </c>
      <c r="I398" s="19" t="n">
        <v>2</v>
      </c>
      <c r="J398" s="57" t="n">
        <v>2</v>
      </c>
    </row>
    <row r="399">
      <c r="A399" s="62" t="n">
        <v>46510</v>
      </c>
      <c r="B399" s="19" t="n">
        <v>2027</v>
      </c>
      <c r="C399" s="19" t="n">
        <v>5</v>
      </c>
      <c r="D399" s="56" t="inlineStr">
        <is>
          <t>Mon</t>
        </is>
      </c>
      <c r="E399" s="56" t="inlineStr">
        <is>
          <t>Week</t>
        </is>
      </c>
      <c r="F399" s="56">
        <f>IF(ForeCalc!$F$1="Staffed Hours",G399,24)</f>
        <v/>
      </c>
      <c r="G399" s="57">
        <f>IF(COUNTIF(M:M,Calendar!A399)&gt;0,VLOOKUP(A399,M:P,4,FALSE),VLOOKUP(D399,BusData!$A$3:$D$10,4,FALSE))</f>
        <v/>
      </c>
      <c r="H399" s="11">
        <f>F399/SUMIFS($F$2:$F$9997,$B$2:$B$9997,B399,$C$2:$C$9997,C399)</f>
        <v/>
      </c>
      <c r="I399" s="19" t="n">
        <v>2</v>
      </c>
      <c r="J399" s="57" t="n">
        <v>2</v>
      </c>
    </row>
    <row r="400">
      <c r="A400" s="62" t="n">
        <v>46511</v>
      </c>
      <c r="B400" s="19" t="n">
        <v>2027</v>
      </c>
      <c r="C400" s="19" t="n">
        <v>5</v>
      </c>
      <c r="D400" s="56" t="inlineStr">
        <is>
          <t>Tue</t>
        </is>
      </c>
      <c r="E400" s="56" t="inlineStr">
        <is>
          <t>Week</t>
        </is>
      </c>
      <c r="F400" s="56">
        <f>IF(ForeCalc!$F$1="Staffed Hours",G400,24)</f>
        <v/>
      </c>
      <c r="G400" s="57">
        <f>IF(COUNTIF(M:M,Calendar!A400)&gt;0,VLOOKUP(A400,M:P,4,FALSE),VLOOKUP(D400,BusData!$A$3:$D$10,4,FALSE))</f>
        <v/>
      </c>
      <c r="H400" s="11">
        <f>F400/SUMIFS($F$2:$F$9997,$B$2:$B$9997,B400,$C$2:$C$9997,C400)</f>
        <v/>
      </c>
      <c r="I400" s="19" t="n">
        <v>2</v>
      </c>
      <c r="J400" s="57" t="n">
        <v>2</v>
      </c>
    </row>
    <row r="401">
      <c r="A401" s="62" t="n">
        <v>46512</v>
      </c>
      <c r="B401" s="19" t="n">
        <v>2027</v>
      </c>
      <c r="C401" s="19" t="n">
        <v>5</v>
      </c>
      <c r="D401" s="56" t="inlineStr">
        <is>
          <t>Wed</t>
        </is>
      </c>
      <c r="E401" s="56" t="inlineStr">
        <is>
          <t>Week</t>
        </is>
      </c>
      <c r="F401" s="56">
        <f>IF(ForeCalc!$F$1="Staffed Hours",G401,24)</f>
        <v/>
      </c>
      <c r="G401" s="57">
        <f>IF(COUNTIF(M:M,Calendar!A401)&gt;0,VLOOKUP(A401,M:P,4,FALSE),VLOOKUP(D401,BusData!$A$3:$D$10,4,FALSE))</f>
        <v/>
      </c>
      <c r="H401" s="11">
        <f>F401/SUMIFS($F$2:$F$9997,$B$2:$B$9997,B401,$C$2:$C$9997,C401)</f>
        <v/>
      </c>
      <c r="I401" s="19" t="n">
        <v>2</v>
      </c>
      <c r="J401" s="57" t="n">
        <v>2</v>
      </c>
    </row>
    <row r="402">
      <c r="A402" s="62" t="n">
        <v>46513</v>
      </c>
      <c r="B402" s="19" t="n">
        <v>2027</v>
      </c>
      <c r="C402" s="19" t="n">
        <v>5</v>
      </c>
      <c r="D402" s="56" t="inlineStr">
        <is>
          <t>Thu</t>
        </is>
      </c>
      <c r="E402" s="56" t="inlineStr">
        <is>
          <t>Week</t>
        </is>
      </c>
      <c r="F402" s="56">
        <f>IF(ForeCalc!$F$1="Staffed Hours",G402,24)</f>
        <v/>
      </c>
      <c r="G402" s="57">
        <f>IF(COUNTIF(M:M,Calendar!A402)&gt;0,VLOOKUP(A402,M:P,4,FALSE),VLOOKUP(D402,BusData!$A$3:$D$10,4,FALSE))</f>
        <v/>
      </c>
      <c r="H402" s="11">
        <f>F402/SUMIFS($F$2:$F$9997,$B$2:$B$9997,B402,$C$2:$C$9997,C402)</f>
        <v/>
      </c>
      <c r="I402" s="19" t="n">
        <v>2</v>
      </c>
      <c r="J402" s="57" t="n">
        <v>2</v>
      </c>
    </row>
    <row r="403">
      <c r="A403" s="62" t="n">
        <v>46514</v>
      </c>
      <c r="B403" s="19" t="n">
        <v>2027</v>
      </c>
      <c r="C403" s="19" t="n">
        <v>5</v>
      </c>
      <c r="D403" s="56" t="inlineStr">
        <is>
          <t>Fri</t>
        </is>
      </c>
      <c r="E403" s="56" t="inlineStr">
        <is>
          <t>Week</t>
        </is>
      </c>
      <c r="F403" s="56">
        <f>IF(ForeCalc!$F$1="Staffed Hours",G403,24)</f>
        <v/>
      </c>
      <c r="G403" s="57">
        <f>IF(COUNTIF(M:M,Calendar!A403)&gt;0,VLOOKUP(A403,M:P,4,FALSE),VLOOKUP(D403,BusData!$A$3:$D$10,4,FALSE))</f>
        <v/>
      </c>
      <c r="H403" s="11">
        <f>F403/SUMIFS($F$2:$F$9997,$B$2:$B$9997,B403,$C$2:$C$9997,C403)</f>
        <v/>
      </c>
      <c r="I403" s="19" t="n">
        <v>2</v>
      </c>
      <c r="J403" s="57" t="n">
        <v>2</v>
      </c>
    </row>
    <row r="404">
      <c r="A404" s="62" t="n">
        <v>46515</v>
      </c>
      <c r="B404" s="19" t="n">
        <v>2027</v>
      </c>
      <c r="C404" s="19" t="n">
        <v>5</v>
      </c>
      <c r="D404" s="56" t="inlineStr">
        <is>
          <t>Sat</t>
        </is>
      </c>
      <c r="E404" s="56" t="inlineStr">
        <is>
          <t>Sat</t>
        </is>
      </c>
      <c r="F404" s="56">
        <f>IF(ForeCalc!$F$1="Staffed Hours",G404,24)</f>
        <v/>
      </c>
      <c r="G404" s="57">
        <f>IF(COUNTIF(M:M,Calendar!A404)&gt;0,VLOOKUP(A404,M:P,4,FALSE),VLOOKUP(D404,BusData!$A$3:$D$10,4,FALSE))</f>
        <v/>
      </c>
      <c r="H404" s="11">
        <f>F404/SUMIFS($F$2:$F$9997,$B$2:$B$9997,B404,$C$2:$C$9997,C404)</f>
        <v/>
      </c>
      <c r="I404" s="19" t="n">
        <v>2</v>
      </c>
      <c r="J404" s="57" t="n">
        <v>2</v>
      </c>
    </row>
    <row r="405">
      <c r="A405" s="62" t="n">
        <v>46516</v>
      </c>
      <c r="B405" s="19" t="n">
        <v>2027</v>
      </c>
      <c r="C405" s="19" t="n">
        <v>5</v>
      </c>
      <c r="D405" s="56" t="inlineStr">
        <is>
          <t>Sun</t>
        </is>
      </c>
      <c r="E405" s="56" t="inlineStr">
        <is>
          <t>Sun</t>
        </is>
      </c>
      <c r="F405" s="56">
        <f>IF(ForeCalc!$F$1="Staffed Hours",G405,24)</f>
        <v/>
      </c>
      <c r="G405" s="57">
        <f>IF(COUNTIF(M:M,Calendar!A405)&gt;0,VLOOKUP(A405,M:P,4,FALSE),VLOOKUP(D405,BusData!$A$3:$D$10,4,FALSE))</f>
        <v/>
      </c>
      <c r="H405" s="11">
        <f>F405/SUMIFS($F$2:$F$9997,$B$2:$B$9997,B405,$C$2:$C$9997,C405)</f>
        <v/>
      </c>
      <c r="I405" s="19" t="n">
        <v>2</v>
      </c>
      <c r="J405" s="57" t="n">
        <v>2</v>
      </c>
    </row>
    <row r="406">
      <c r="A406" s="62" t="n">
        <v>46517</v>
      </c>
      <c r="B406" s="19" t="n">
        <v>2027</v>
      </c>
      <c r="C406" s="19" t="n">
        <v>5</v>
      </c>
      <c r="D406" s="56" t="inlineStr">
        <is>
          <t>Mon</t>
        </is>
      </c>
      <c r="E406" s="56" t="inlineStr">
        <is>
          <t>Week</t>
        </is>
      </c>
      <c r="F406" s="56">
        <f>IF(ForeCalc!$F$1="Staffed Hours",G406,24)</f>
        <v/>
      </c>
      <c r="G406" s="57">
        <f>IF(COUNTIF(M:M,Calendar!A406)&gt;0,VLOOKUP(A406,M:P,4,FALSE),VLOOKUP(D406,BusData!$A$3:$D$10,4,FALSE))</f>
        <v/>
      </c>
      <c r="H406" s="11">
        <f>F406/SUMIFS($F$2:$F$9997,$B$2:$B$9997,B406,$C$2:$C$9997,C406)</f>
        <v/>
      </c>
      <c r="I406" s="19" t="n">
        <v>2</v>
      </c>
      <c r="J406" s="57" t="n">
        <v>2</v>
      </c>
    </row>
    <row r="407">
      <c r="A407" s="62" t="n">
        <v>46518</v>
      </c>
      <c r="B407" s="19" t="n">
        <v>2027</v>
      </c>
      <c r="C407" s="19" t="n">
        <v>5</v>
      </c>
      <c r="D407" s="56" t="inlineStr">
        <is>
          <t>Tue</t>
        </is>
      </c>
      <c r="E407" s="56" t="inlineStr">
        <is>
          <t>Week</t>
        </is>
      </c>
      <c r="F407" s="56">
        <f>IF(ForeCalc!$F$1="Staffed Hours",G407,24)</f>
        <v/>
      </c>
      <c r="G407" s="57">
        <f>IF(COUNTIF(M:M,Calendar!A407)&gt;0,VLOOKUP(A407,M:P,4,FALSE),VLOOKUP(D407,BusData!$A$3:$D$10,4,FALSE))</f>
        <v/>
      </c>
      <c r="H407" s="11">
        <f>F407/SUMIFS($F$2:$F$9997,$B$2:$B$9997,B407,$C$2:$C$9997,C407)</f>
        <v/>
      </c>
      <c r="I407" s="19" t="n">
        <v>2</v>
      </c>
      <c r="J407" s="57" t="n">
        <v>2</v>
      </c>
    </row>
    <row r="408">
      <c r="A408" s="62" t="n">
        <v>46519</v>
      </c>
      <c r="B408" s="19" t="n">
        <v>2027</v>
      </c>
      <c r="C408" s="19" t="n">
        <v>5</v>
      </c>
      <c r="D408" s="56" t="inlineStr">
        <is>
          <t>Wed</t>
        </is>
      </c>
      <c r="E408" s="56" t="inlineStr">
        <is>
          <t>Week</t>
        </is>
      </c>
      <c r="F408" s="56">
        <f>IF(ForeCalc!$F$1="Staffed Hours",G408,24)</f>
        <v/>
      </c>
      <c r="G408" s="57">
        <f>IF(COUNTIF(M:M,Calendar!A408)&gt;0,VLOOKUP(A408,M:P,4,FALSE),VLOOKUP(D408,BusData!$A$3:$D$10,4,FALSE))</f>
        <v/>
      </c>
      <c r="H408" s="11">
        <f>F408/SUMIFS($F$2:$F$9997,$B$2:$B$9997,B408,$C$2:$C$9997,C408)</f>
        <v/>
      </c>
      <c r="I408" s="19" t="n">
        <v>2</v>
      </c>
      <c r="J408" s="57" t="n">
        <v>2</v>
      </c>
    </row>
    <row r="409">
      <c r="A409" s="62" t="n">
        <v>46520</v>
      </c>
      <c r="B409" s="19" t="n">
        <v>2027</v>
      </c>
      <c r="C409" s="19" t="n">
        <v>5</v>
      </c>
      <c r="D409" s="56" t="inlineStr">
        <is>
          <t>Thu</t>
        </is>
      </c>
      <c r="E409" s="56" t="inlineStr">
        <is>
          <t>Week</t>
        </is>
      </c>
      <c r="F409" s="56">
        <f>IF(ForeCalc!$F$1="Staffed Hours",G409,24)</f>
        <v/>
      </c>
      <c r="G409" s="57">
        <f>IF(COUNTIF(M:M,Calendar!A409)&gt;0,VLOOKUP(A409,M:P,4,FALSE),VLOOKUP(D409,BusData!$A$3:$D$10,4,FALSE))</f>
        <v/>
      </c>
      <c r="H409" s="11">
        <f>F409/SUMIFS($F$2:$F$9997,$B$2:$B$9997,B409,$C$2:$C$9997,C409)</f>
        <v/>
      </c>
      <c r="I409" s="19" t="n">
        <v>2</v>
      </c>
      <c r="J409" s="57" t="n">
        <v>2</v>
      </c>
    </row>
    <row r="410">
      <c r="A410" s="62" t="n">
        <v>46521</v>
      </c>
      <c r="B410" s="19" t="n">
        <v>2027</v>
      </c>
      <c r="C410" s="19" t="n">
        <v>5</v>
      </c>
      <c r="D410" s="56" t="inlineStr">
        <is>
          <t>Fri</t>
        </is>
      </c>
      <c r="E410" s="56" t="inlineStr">
        <is>
          <t>Week</t>
        </is>
      </c>
      <c r="F410" s="56">
        <f>IF(ForeCalc!$F$1="Staffed Hours",G410,24)</f>
        <v/>
      </c>
      <c r="G410" s="57">
        <f>IF(COUNTIF(M:M,Calendar!A410)&gt;0,VLOOKUP(A410,M:P,4,FALSE),VLOOKUP(D410,BusData!$A$3:$D$10,4,FALSE))</f>
        <v/>
      </c>
      <c r="H410" s="11">
        <f>F410/SUMIFS($F$2:$F$9997,$B$2:$B$9997,B410,$C$2:$C$9997,C410)</f>
        <v/>
      </c>
      <c r="I410" s="19" t="n">
        <v>2</v>
      </c>
      <c r="J410" s="57" t="n">
        <v>2</v>
      </c>
    </row>
    <row r="411">
      <c r="A411" s="62" t="n">
        <v>46522</v>
      </c>
      <c r="B411" s="19" t="n">
        <v>2027</v>
      </c>
      <c r="C411" s="19" t="n">
        <v>5</v>
      </c>
      <c r="D411" s="56" t="inlineStr">
        <is>
          <t>Sat</t>
        </is>
      </c>
      <c r="E411" s="56" t="inlineStr">
        <is>
          <t>Sat</t>
        </is>
      </c>
      <c r="F411" s="56">
        <f>IF(ForeCalc!$F$1="Staffed Hours",G411,24)</f>
        <v/>
      </c>
      <c r="G411" s="57">
        <f>IF(COUNTIF(M:M,Calendar!A411)&gt;0,VLOOKUP(A411,M:P,4,FALSE),VLOOKUP(D411,BusData!$A$3:$D$10,4,FALSE))</f>
        <v/>
      </c>
      <c r="H411" s="11">
        <f>F411/SUMIFS($F$2:$F$9997,$B$2:$B$9997,B411,$C$2:$C$9997,C411)</f>
        <v/>
      </c>
      <c r="I411" s="19" t="n">
        <v>2</v>
      </c>
      <c r="J411" s="57" t="n">
        <v>2</v>
      </c>
    </row>
    <row r="412">
      <c r="A412" s="62" t="n">
        <v>46523</v>
      </c>
      <c r="B412" s="19" t="n">
        <v>2027</v>
      </c>
      <c r="C412" s="19" t="n">
        <v>5</v>
      </c>
      <c r="D412" s="56" t="inlineStr">
        <is>
          <t>Sun</t>
        </is>
      </c>
      <c r="E412" s="56" t="inlineStr">
        <is>
          <t>Sun</t>
        </is>
      </c>
      <c r="F412" s="56">
        <f>IF(ForeCalc!$F$1="Staffed Hours",G412,24)</f>
        <v/>
      </c>
      <c r="G412" s="57">
        <f>IF(COUNTIF(M:M,Calendar!A412)&gt;0,VLOOKUP(A412,M:P,4,FALSE),VLOOKUP(D412,BusData!$A$3:$D$10,4,FALSE))</f>
        <v/>
      </c>
      <c r="H412" s="11">
        <f>F412/SUMIFS($F$2:$F$9997,$B$2:$B$9997,B412,$C$2:$C$9997,C412)</f>
        <v/>
      </c>
      <c r="I412" s="19" t="n">
        <v>2</v>
      </c>
      <c r="J412" s="57" t="n">
        <v>2</v>
      </c>
    </row>
    <row r="413">
      <c r="A413" s="62" t="n">
        <v>46524</v>
      </c>
      <c r="B413" s="19" t="n">
        <v>2027</v>
      </c>
      <c r="C413" s="19" t="n">
        <v>5</v>
      </c>
      <c r="D413" s="56" t="inlineStr">
        <is>
          <t>Mon</t>
        </is>
      </c>
      <c r="E413" s="56" t="inlineStr">
        <is>
          <t>Week</t>
        </is>
      </c>
      <c r="F413" s="56">
        <f>IF(ForeCalc!$F$1="Staffed Hours",G413,24)</f>
        <v/>
      </c>
      <c r="G413" s="57">
        <f>IF(COUNTIF(M:M,Calendar!A413)&gt;0,VLOOKUP(A413,M:P,4,FALSE),VLOOKUP(D413,BusData!$A$3:$D$10,4,FALSE))</f>
        <v/>
      </c>
      <c r="H413" s="11">
        <f>F413/SUMIFS($F$2:$F$9997,$B$2:$B$9997,B413,$C$2:$C$9997,C413)</f>
        <v/>
      </c>
      <c r="I413" s="19" t="n">
        <v>2</v>
      </c>
      <c r="J413" s="57" t="n">
        <v>2</v>
      </c>
    </row>
    <row r="414">
      <c r="A414" s="62" t="n">
        <v>46525</v>
      </c>
      <c r="B414" s="19" t="n">
        <v>2027</v>
      </c>
      <c r="C414" s="19" t="n">
        <v>5</v>
      </c>
      <c r="D414" s="56" t="inlineStr">
        <is>
          <t>Tue</t>
        </is>
      </c>
      <c r="E414" s="56" t="inlineStr">
        <is>
          <t>Week</t>
        </is>
      </c>
      <c r="F414" s="56">
        <f>IF(ForeCalc!$F$1="Staffed Hours",G414,24)</f>
        <v/>
      </c>
      <c r="G414" s="57">
        <f>IF(COUNTIF(M:M,Calendar!A414)&gt;0,VLOOKUP(A414,M:P,4,FALSE),VLOOKUP(D414,BusData!$A$3:$D$10,4,FALSE))</f>
        <v/>
      </c>
      <c r="H414" s="11">
        <f>F414/SUMIFS($F$2:$F$9997,$B$2:$B$9997,B414,$C$2:$C$9997,C414)</f>
        <v/>
      </c>
      <c r="I414" s="19" t="n">
        <v>2</v>
      </c>
      <c r="J414" s="57" t="n">
        <v>2</v>
      </c>
    </row>
    <row r="415">
      <c r="A415" s="62" t="n">
        <v>46526</v>
      </c>
      <c r="B415" s="19" t="n">
        <v>2027</v>
      </c>
      <c r="C415" s="19" t="n">
        <v>5</v>
      </c>
      <c r="D415" s="56" t="inlineStr">
        <is>
          <t>Wed</t>
        </is>
      </c>
      <c r="E415" s="56" t="inlineStr">
        <is>
          <t>Week</t>
        </is>
      </c>
      <c r="F415" s="56">
        <f>IF(ForeCalc!$F$1="Staffed Hours",G415,24)</f>
        <v/>
      </c>
      <c r="G415" s="57">
        <f>IF(COUNTIF(M:M,Calendar!A415)&gt;0,VLOOKUP(A415,M:P,4,FALSE),VLOOKUP(D415,BusData!$A$3:$D$10,4,FALSE))</f>
        <v/>
      </c>
      <c r="H415" s="11">
        <f>F415/SUMIFS($F$2:$F$9997,$B$2:$B$9997,B415,$C$2:$C$9997,C415)</f>
        <v/>
      </c>
      <c r="I415" s="19" t="n">
        <v>2</v>
      </c>
      <c r="J415" s="57" t="n">
        <v>2</v>
      </c>
    </row>
    <row r="416">
      <c r="A416" s="62" t="n">
        <v>46527</v>
      </c>
      <c r="B416" s="19" t="n">
        <v>2027</v>
      </c>
      <c r="C416" s="19" t="n">
        <v>5</v>
      </c>
      <c r="D416" s="56" t="inlineStr">
        <is>
          <t>Thu</t>
        </is>
      </c>
      <c r="E416" s="56" t="inlineStr">
        <is>
          <t>Week</t>
        </is>
      </c>
      <c r="F416" s="56">
        <f>IF(ForeCalc!$F$1="Staffed Hours",G416,24)</f>
        <v/>
      </c>
      <c r="G416" s="57">
        <f>IF(COUNTIF(M:M,Calendar!A416)&gt;0,VLOOKUP(A416,M:P,4,FALSE),VLOOKUP(D416,BusData!$A$3:$D$10,4,FALSE))</f>
        <v/>
      </c>
      <c r="H416" s="11">
        <f>F416/SUMIFS($F$2:$F$9997,$B$2:$B$9997,B416,$C$2:$C$9997,C416)</f>
        <v/>
      </c>
      <c r="I416" s="19" t="n">
        <v>2</v>
      </c>
      <c r="J416" s="57" t="n">
        <v>2</v>
      </c>
    </row>
    <row r="417">
      <c r="A417" s="62" t="n">
        <v>46528</v>
      </c>
      <c r="B417" s="19" t="n">
        <v>2027</v>
      </c>
      <c r="C417" s="19" t="n">
        <v>5</v>
      </c>
      <c r="D417" s="56" t="inlineStr">
        <is>
          <t>Fri</t>
        </is>
      </c>
      <c r="E417" s="56" t="inlineStr">
        <is>
          <t>Week</t>
        </is>
      </c>
      <c r="F417" s="56">
        <f>IF(ForeCalc!$F$1="Staffed Hours",G417,24)</f>
        <v/>
      </c>
      <c r="G417" s="57">
        <f>IF(COUNTIF(M:M,Calendar!A417)&gt;0,VLOOKUP(A417,M:P,4,FALSE),VLOOKUP(D417,BusData!$A$3:$D$10,4,FALSE))</f>
        <v/>
      </c>
      <c r="H417" s="11">
        <f>F417/SUMIFS($F$2:$F$9997,$B$2:$B$9997,B417,$C$2:$C$9997,C417)</f>
        <v/>
      </c>
      <c r="I417" s="19" t="n">
        <v>2</v>
      </c>
      <c r="J417" s="57" t="n">
        <v>2</v>
      </c>
    </row>
    <row r="418">
      <c r="A418" s="62" t="n">
        <v>46529</v>
      </c>
      <c r="B418" s="19" t="n">
        <v>2027</v>
      </c>
      <c r="C418" s="19" t="n">
        <v>5</v>
      </c>
      <c r="D418" s="56" t="inlineStr">
        <is>
          <t>Sat</t>
        </is>
      </c>
      <c r="E418" s="56" t="inlineStr">
        <is>
          <t>Sat</t>
        </is>
      </c>
      <c r="F418" s="56">
        <f>IF(ForeCalc!$F$1="Staffed Hours",G418,24)</f>
        <v/>
      </c>
      <c r="G418" s="57">
        <f>IF(COUNTIF(M:M,Calendar!A418)&gt;0,VLOOKUP(A418,M:P,4,FALSE),VLOOKUP(D418,BusData!$A$3:$D$10,4,FALSE))</f>
        <v/>
      </c>
      <c r="H418" s="11">
        <f>F418/SUMIFS($F$2:$F$9997,$B$2:$B$9997,B418,$C$2:$C$9997,C418)</f>
        <v/>
      </c>
      <c r="I418" s="19" t="n">
        <v>2</v>
      </c>
      <c r="J418" s="57" t="n">
        <v>2</v>
      </c>
    </row>
    <row r="419">
      <c r="A419" s="62" t="n">
        <v>46530</v>
      </c>
      <c r="B419" s="19" t="n">
        <v>2027</v>
      </c>
      <c r="C419" s="19" t="n">
        <v>5</v>
      </c>
      <c r="D419" s="56" t="inlineStr">
        <is>
          <t>Sun</t>
        </is>
      </c>
      <c r="E419" s="56" t="inlineStr">
        <is>
          <t>Sun</t>
        </is>
      </c>
      <c r="F419" s="56">
        <f>IF(ForeCalc!$F$1="Staffed Hours",G419,24)</f>
        <v/>
      </c>
      <c r="G419" s="57">
        <f>IF(COUNTIF(M:M,Calendar!A419)&gt;0,VLOOKUP(A419,M:P,4,FALSE),VLOOKUP(D419,BusData!$A$3:$D$10,4,FALSE))</f>
        <v/>
      </c>
      <c r="H419" s="11">
        <f>F419/SUMIFS($F$2:$F$9997,$B$2:$B$9997,B419,$C$2:$C$9997,C419)</f>
        <v/>
      </c>
      <c r="I419" s="19" t="n">
        <v>2</v>
      </c>
      <c r="J419" s="57" t="n">
        <v>2</v>
      </c>
    </row>
    <row r="420">
      <c r="A420" s="62" t="n">
        <v>46531</v>
      </c>
      <c r="B420" s="19" t="n">
        <v>2027</v>
      </c>
      <c r="C420" s="19" t="n">
        <v>5</v>
      </c>
      <c r="D420" s="56" t="inlineStr">
        <is>
          <t>Mon</t>
        </is>
      </c>
      <c r="E420" s="56" t="inlineStr">
        <is>
          <t>Week</t>
        </is>
      </c>
      <c r="F420" s="56">
        <f>IF(ForeCalc!$F$1="Staffed Hours",G420,24)</f>
        <v/>
      </c>
      <c r="G420" s="57">
        <f>IF(COUNTIF(M:M,Calendar!A420)&gt;0,VLOOKUP(A420,M:P,4,FALSE),VLOOKUP(D420,BusData!$A$3:$D$10,4,FALSE))</f>
        <v/>
      </c>
      <c r="H420" s="11">
        <f>F420/SUMIFS($F$2:$F$9997,$B$2:$B$9997,B420,$C$2:$C$9997,C420)</f>
        <v/>
      </c>
      <c r="I420" s="19" t="n">
        <v>2</v>
      </c>
      <c r="J420" s="57" t="n">
        <v>2</v>
      </c>
    </row>
    <row r="421">
      <c r="A421" s="62" t="n">
        <v>46532</v>
      </c>
      <c r="B421" s="19" t="n">
        <v>2027</v>
      </c>
      <c r="C421" s="19" t="n">
        <v>5</v>
      </c>
      <c r="D421" s="56" t="inlineStr">
        <is>
          <t>Tue</t>
        </is>
      </c>
      <c r="E421" s="56" t="inlineStr">
        <is>
          <t>Week</t>
        </is>
      </c>
      <c r="F421" s="56">
        <f>IF(ForeCalc!$F$1="Staffed Hours",G421,24)</f>
        <v/>
      </c>
      <c r="G421" s="57">
        <f>IF(COUNTIF(M:M,Calendar!A421)&gt;0,VLOOKUP(A421,M:P,4,FALSE),VLOOKUP(D421,BusData!$A$3:$D$10,4,FALSE))</f>
        <v/>
      </c>
      <c r="H421" s="11">
        <f>F421/SUMIFS($F$2:$F$9997,$B$2:$B$9997,B421,$C$2:$C$9997,C421)</f>
        <v/>
      </c>
      <c r="I421" s="19" t="n">
        <v>2</v>
      </c>
      <c r="J421" s="57" t="n">
        <v>2</v>
      </c>
    </row>
    <row r="422">
      <c r="A422" s="62" t="n">
        <v>46533</v>
      </c>
      <c r="B422" s="19" t="n">
        <v>2027</v>
      </c>
      <c r="C422" s="19" t="n">
        <v>5</v>
      </c>
      <c r="D422" s="56" t="inlineStr">
        <is>
          <t>Wed</t>
        </is>
      </c>
      <c r="E422" s="56" t="inlineStr">
        <is>
          <t>Week</t>
        </is>
      </c>
      <c r="F422" s="56">
        <f>IF(ForeCalc!$F$1="Staffed Hours",G422,24)</f>
        <v/>
      </c>
      <c r="G422" s="57">
        <f>IF(COUNTIF(M:M,Calendar!A422)&gt;0,VLOOKUP(A422,M:P,4,FALSE),VLOOKUP(D422,BusData!$A$3:$D$10,4,FALSE))</f>
        <v/>
      </c>
      <c r="H422" s="11">
        <f>F422/SUMIFS($F$2:$F$9997,$B$2:$B$9997,B422,$C$2:$C$9997,C422)</f>
        <v/>
      </c>
      <c r="I422" s="19" t="n">
        <v>2</v>
      </c>
      <c r="J422" s="57" t="n">
        <v>2</v>
      </c>
    </row>
    <row r="423">
      <c r="A423" s="62" t="n">
        <v>46534</v>
      </c>
      <c r="B423" s="19" t="n">
        <v>2027</v>
      </c>
      <c r="C423" s="19" t="n">
        <v>5</v>
      </c>
      <c r="D423" s="56" t="inlineStr">
        <is>
          <t>Thu</t>
        </is>
      </c>
      <c r="E423" s="56" t="inlineStr">
        <is>
          <t>Week</t>
        </is>
      </c>
      <c r="F423" s="56">
        <f>IF(ForeCalc!$F$1="Staffed Hours",G423,24)</f>
        <v/>
      </c>
      <c r="G423" s="57">
        <f>IF(COUNTIF(M:M,Calendar!A423)&gt;0,VLOOKUP(A423,M:P,4,FALSE),VLOOKUP(D423,BusData!$A$3:$D$10,4,FALSE))</f>
        <v/>
      </c>
      <c r="H423" s="11">
        <f>F423/SUMIFS($F$2:$F$9997,$B$2:$B$9997,B423,$C$2:$C$9997,C423)</f>
        <v/>
      </c>
      <c r="I423" s="19" t="n">
        <v>2</v>
      </c>
      <c r="J423" s="57" t="n">
        <v>2</v>
      </c>
    </row>
    <row r="424">
      <c r="A424" s="62" t="n">
        <v>46535</v>
      </c>
      <c r="B424" s="19" t="n">
        <v>2027</v>
      </c>
      <c r="C424" s="19" t="n">
        <v>5</v>
      </c>
      <c r="D424" s="56" t="inlineStr">
        <is>
          <t>Fri</t>
        </is>
      </c>
      <c r="E424" s="56" t="inlineStr">
        <is>
          <t>Week</t>
        </is>
      </c>
      <c r="F424" s="56">
        <f>IF(ForeCalc!$F$1="Staffed Hours",G424,24)</f>
        <v/>
      </c>
      <c r="G424" s="57">
        <f>IF(COUNTIF(M:M,Calendar!A424)&gt;0,VLOOKUP(A424,M:P,4,FALSE),VLOOKUP(D424,BusData!$A$3:$D$10,4,FALSE))</f>
        <v/>
      </c>
      <c r="H424" s="11">
        <f>F424/SUMIFS($F$2:$F$9997,$B$2:$B$9997,B424,$C$2:$C$9997,C424)</f>
        <v/>
      </c>
      <c r="I424" s="19" t="n">
        <v>2</v>
      </c>
      <c r="J424" s="57" t="n">
        <v>2</v>
      </c>
    </row>
    <row r="425">
      <c r="A425" s="62" t="n">
        <v>46536</v>
      </c>
      <c r="B425" s="19" t="n">
        <v>2027</v>
      </c>
      <c r="C425" s="19" t="n">
        <v>5</v>
      </c>
      <c r="D425" s="56" t="inlineStr">
        <is>
          <t>Sat</t>
        </is>
      </c>
      <c r="E425" s="56" t="inlineStr">
        <is>
          <t>Sat</t>
        </is>
      </c>
      <c r="F425" s="56">
        <f>IF(ForeCalc!$F$1="Staffed Hours",G425,24)</f>
        <v/>
      </c>
      <c r="G425" s="57">
        <f>IF(COUNTIF(M:M,Calendar!A425)&gt;0,VLOOKUP(A425,M:P,4,FALSE),VLOOKUP(D425,BusData!$A$3:$D$10,4,FALSE))</f>
        <v/>
      </c>
      <c r="H425" s="11">
        <f>F425/SUMIFS($F$2:$F$9997,$B$2:$B$9997,B425,$C$2:$C$9997,C425)</f>
        <v/>
      </c>
      <c r="I425" s="19" t="n">
        <v>2</v>
      </c>
      <c r="J425" s="57" t="n">
        <v>2</v>
      </c>
    </row>
    <row r="426">
      <c r="A426" s="62" t="n">
        <v>46537</v>
      </c>
      <c r="B426" s="19" t="n">
        <v>2027</v>
      </c>
      <c r="C426" s="19" t="n">
        <v>5</v>
      </c>
      <c r="D426" s="56" t="inlineStr">
        <is>
          <t>Sun</t>
        </is>
      </c>
      <c r="E426" s="56" t="inlineStr">
        <is>
          <t>Sun</t>
        </is>
      </c>
      <c r="F426" s="56">
        <f>IF(ForeCalc!$F$1="Staffed Hours",G426,24)</f>
        <v/>
      </c>
      <c r="G426" s="57">
        <f>IF(COUNTIF(M:M,Calendar!A426)&gt;0,VLOOKUP(A426,M:P,4,FALSE),VLOOKUP(D426,BusData!$A$3:$D$10,4,FALSE))</f>
        <v/>
      </c>
      <c r="H426" s="11">
        <f>F426/SUMIFS($F$2:$F$9997,$B$2:$B$9997,B426,$C$2:$C$9997,C426)</f>
        <v/>
      </c>
      <c r="I426" s="19" t="n">
        <v>2</v>
      </c>
      <c r="J426" s="57" t="n">
        <v>2</v>
      </c>
    </row>
    <row r="427">
      <c r="A427" s="62" t="n">
        <v>46538</v>
      </c>
      <c r="B427" s="19" t="n">
        <v>2027</v>
      </c>
      <c r="C427" s="19" t="n">
        <v>5</v>
      </c>
      <c r="D427" s="56" t="inlineStr">
        <is>
          <t>Mon</t>
        </is>
      </c>
      <c r="E427" s="56" t="inlineStr">
        <is>
          <t>Week</t>
        </is>
      </c>
      <c r="F427" s="56">
        <f>IF(ForeCalc!$F$1="Staffed Hours",G427,24)</f>
        <v/>
      </c>
      <c r="G427" s="57">
        <f>IF(COUNTIF(M:M,Calendar!A427)&gt;0,VLOOKUP(A427,M:P,4,FALSE),VLOOKUP(D427,BusData!$A$3:$D$10,4,FALSE))</f>
        <v/>
      </c>
      <c r="H427" s="11">
        <f>F427/SUMIFS($F$2:$F$9997,$B$2:$B$9997,B427,$C$2:$C$9997,C427)</f>
        <v/>
      </c>
      <c r="I427" s="19" t="n">
        <v>2</v>
      </c>
      <c r="J427" s="57" t="n">
        <v>2</v>
      </c>
    </row>
    <row r="428">
      <c r="A428" s="62" t="n">
        <v>46539</v>
      </c>
      <c r="B428" s="19" t="n">
        <v>2027</v>
      </c>
      <c r="C428" s="19" t="n">
        <v>6</v>
      </c>
      <c r="D428" s="56" t="inlineStr">
        <is>
          <t>Tue</t>
        </is>
      </c>
      <c r="E428" s="56" t="inlineStr">
        <is>
          <t>Week</t>
        </is>
      </c>
      <c r="F428" s="56">
        <f>IF(ForeCalc!$F$1="Staffed Hours",G428,24)</f>
        <v/>
      </c>
      <c r="G428" s="57">
        <f>IF(COUNTIF(M:M,Calendar!A428)&gt;0,VLOOKUP(A428,M:P,4,FALSE),VLOOKUP(D428,BusData!$A$3:$D$10,4,FALSE))</f>
        <v/>
      </c>
      <c r="H428" s="11">
        <f>F428/SUMIFS($F$2:$F$9997,$B$2:$B$9997,B428,$C$2:$C$9997,C428)</f>
        <v/>
      </c>
      <c r="I428" s="19" t="n">
        <v>2</v>
      </c>
      <c r="J428" s="57" t="n">
        <v>3</v>
      </c>
    </row>
    <row r="429">
      <c r="A429" s="62" t="n">
        <v>46540</v>
      </c>
      <c r="B429" s="19" t="n">
        <v>2027</v>
      </c>
      <c r="C429" s="19" t="n">
        <v>6</v>
      </c>
      <c r="D429" s="56" t="inlineStr">
        <is>
          <t>Wed</t>
        </is>
      </c>
      <c r="E429" s="56" t="inlineStr">
        <is>
          <t>Week</t>
        </is>
      </c>
      <c r="F429" s="56">
        <f>IF(ForeCalc!$F$1="Staffed Hours",G429,24)</f>
        <v/>
      </c>
      <c r="G429" s="57">
        <f>IF(COUNTIF(M:M,Calendar!A429)&gt;0,VLOOKUP(A429,M:P,4,FALSE),VLOOKUP(D429,BusData!$A$3:$D$10,4,FALSE))</f>
        <v/>
      </c>
      <c r="H429" s="11">
        <f>F429/SUMIFS($F$2:$F$9997,$B$2:$B$9997,B429,$C$2:$C$9997,C429)</f>
        <v/>
      </c>
      <c r="I429" s="19" t="n">
        <v>2</v>
      </c>
      <c r="J429" s="57" t="n">
        <v>3</v>
      </c>
    </row>
    <row r="430">
      <c r="A430" s="62" t="n">
        <v>46541</v>
      </c>
      <c r="B430" s="19" t="n">
        <v>2027</v>
      </c>
      <c r="C430" s="19" t="n">
        <v>6</v>
      </c>
      <c r="D430" s="56" t="inlineStr">
        <is>
          <t>Thu</t>
        </is>
      </c>
      <c r="E430" s="56" t="inlineStr">
        <is>
          <t>Week</t>
        </is>
      </c>
      <c r="F430" s="56">
        <f>IF(ForeCalc!$F$1="Staffed Hours",G430,24)</f>
        <v/>
      </c>
      <c r="G430" s="57">
        <f>IF(COUNTIF(M:M,Calendar!A430)&gt;0,VLOOKUP(A430,M:P,4,FALSE),VLOOKUP(D430,BusData!$A$3:$D$10,4,FALSE))</f>
        <v/>
      </c>
      <c r="H430" s="11">
        <f>F430/SUMIFS($F$2:$F$9997,$B$2:$B$9997,B430,$C$2:$C$9997,C430)</f>
        <v/>
      </c>
      <c r="I430" s="19" t="n">
        <v>2</v>
      </c>
      <c r="J430" s="57" t="n">
        <v>3</v>
      </c>
    </row>
    <row r="431">
      <c r="A431" s="62" t="n">
        <v>46542</v>
      </c>
      <c r="B431" s="19" t="n">
        <v>2027</v>
      </c>
      <c r="C431" s="19" t="n">
        <v>6</v>
      </c>
      <c r="D431" s="56" t="inlineStr">
        <is>
          <t>Fri</t>
        </is>
      </c>
      <c r="E431" s="56" t="inlineStr">
        <is>
          <t>Week</t>
        </is>
      </c>
      <c r="F431" s="56">
        <f>IF(ForeCalc!$F$1="Staffed Hours",G431,24)</f>
        <v/>
      </c>
      <c r="G431" s="57">
        <f>IF(COUNTIF(M:M,Calendar!A431)&gt;0,VLOOKUP(A431,M:P,4,FALSE),VLOOKUP(D431,BusData!$A$3:$D$10,4,FALSE))</f>
        <v/>
      </c>
      <c r="H431" s="11">
        <f>F431/SUMIFS($F$2:$F$9997,$B$2:$B$9997,B431,$C$2:$C$9997,C431)</f>
        <v/>
      </c>
      <c r="I431" s="19" t="n">
        <v>2</v>
      </c>
      <c r="J431" s="57" t="n">
        <v>3</v>
      </c>
    </row>
    <row r="432">
      <c r="A432" s="62" t="n">
        <v>46543</v>
      </c>
      <c r="B432" s="19" t="n">
        <v>2027</v>
      </c>
      <c r="C432" s="19" t="n">
        <v>6</v>
      </c>
      <c r="D432" s="56" t="inlineStr">
        <is>
          <t>Sat</t>
        </is>
      </c>
      <c r="E432" s="56" t="inlineStr">
        <is>
          <t>Sat</t>
        </is>
      </c>
      <c r="F432" s="56">
        <f>IF(ForeCalc!$F$1="Staffed Hours",G432,24)</f>
        <v/>
      </c>
      <c r="G432" s="57">
        <f>IF(COUNTIF(M:M,Calendar!A432)&gt;0,VLOOKUP(A432,M:P,4,FALSE),VLOOKUP(D432,BusData!$A$3:$D$10,4,FALSE))</f>
        <v/>
      </c>
      <c r="H432" s="11">
        <f>F432/SUMIFS($F$2:$F$9997,$B$2:$B$9997,B432,$C$2:$C$9997,C432)</f>
        <v/>
      </c>
      <c r="I432" s="19" t="n">
        <v>2</v>
      </c>
      <c r="J432" s="57" t="n">
        <v>3</v>
      </c>
    </row>
    <row r="433">
      <c r="A433" s="62" t="n">
        <v>46544</v>
      </c>
      <c r="B433" s="19" t="n">
        <v>2027</v>
      </c>
      <c r="C433" s="19" t="n">
        <v>6</v>
      </c>
      <c r="D433" s="56" t="inlineStr">
        <is>
          <t>Sun</t>
        </is>
      </c>
      <c r="E433" s="56" t="inlineStr">
        <is>
          <t>Sun</t>
        </is>
      </c>
      <c r="F433" s="56">
        <f>IF(ForeCalc!$F$1="Staffed Hours",G433,24)</f>
        <v/>
      </c>
      <c r="G433" s="57">
        <f>IF(COUNTIF(M:M,Calendar!A433)&gt;0,VLOOKUP(A433,M:P,4,FALSE),VLOOKUP(D433,BusData!$A$3:$D$10,4,FALSE))</f>
        <v/>
      </c>
      <c r="H433" s="11">
        <f>F433/SUMIFS($F$2:$F$9997,$B$2:$B$9997,B433,$C$2:$C$9997,C433)</f>
        <v/>
      </c>
      <c r="I433" s="19" t="n">
        <v>2</v>
      </c>
      <c r="J433" s="57" t="n">
        <v>3</v>
      </c>
    </row>
    <row r="434">
      <c r="A434" s="62" t="n">
        <v>46545</v>
      </c>
      <c r="B434" s="19" t="n">
        <v>2027</v>
      </c>
      <c r="C434" s="19" t="n">
        <v>6</v>
      </c>
      <c r="D434" s="56" t="inlineStr">
        <is>
          <t>Mon</t>
        </is>
      </c>
      <c r="E434" s="56" t="inlineStr">
        <is>
          <t>Week</t>
        </is>
      </c>
      <c r="F434" s="56">
        <f>IF(ForeCalc!$F$1="Staffed Hours",G434,24)</f>
        <v/>
      </c>
      <c r="G434" s="57">
        <f>IF(COUNTIF(M:M,Calendar!A434)&gt;0,VLOOKUP(A434,M:P,4,FALSE),VLOOKUP(D434,BusData!$A$3:$D$10,4,FALSE))</f>
        <v/>
      </c>
      <c r="H434" s="11">
        <f>F434/SUMIFS($F$2:$F$9997,$B$2:$B$9997,B434,$C$2:$C$9997,C434)</f>
        <v/>
      </c>
      <c r="I434" s="19" t="n">
        <v>2</v>
      </c>
      <c r="J434" s="57" t="n">
        <v>3</v>
      </c>
    </row>
    <row r="435">
      <c r="A435" s="62" t="n">
        <v>46546</v>
      </c>
      <c r="B435" s="19" t="n">
        <v>2027</v>
      </c>
      <c r="C435" s="19" t="n">
        <v>6</v>
      </c>
      <c r="D435" s="56" t="inlineStr">
        <is>
          <t>Tue</t>
        </is>
      </c>
      <c r="E435" s="56" t="inlineStr">
        <is>
          <t>Week</t>
        </is>
      </c>
      <c r="F435" s="56">
        <f>IF(ForeCalc!$F$1="Staffed Hours",G435,24)</f>
        <v/>
      </c>
      <c r="G435" s="57">
        <f>IF(COUNTIF(M:M,Calendar!A435)&gt;0,VLOOKUP(A435,M:P,4,FALSE),VLOOKUP(D435,BusData!$A$3:$D$10,4,FALSE))</f>
        <v/>
      </c>
      <c r="H435" s="11">
        <f>F435/SUMIFS($F$2:$F$9997,$B$2:$B$9997,B435,$C$2:$C$9997,C435)</f>
        <v/>
      </c>
      <c r="I435" s="19" t="n">
        <v>2</v>
      </c>
      <c r="J435" s="57" t="n">
        <v>3</v>
      </c>
    </row>
    <row r="436">
      <c r="A436" s="62" t="n">
        <v>46547</v>
      </c>
      <c r="B436" s="19" t="n">
        <v>2027</v>
      </c>
      <c r="C436" s="19" t="n">
        <v>6</v>
      </c>
      <c r="D436" s="56" t="inlineStr">
        <is>
          <t>Wed</t>
        </is>
      </c>
      <c r="E436" s="56" t="inlineStr">
        <is>
          <t>Week</t>
        </is>
      </c>
      <c r="F436" s="56">
        <f>IF(ForeCalc!$F$1="Staffed Hours",G436,24)</f>
        <v/>
      </c>
      <c r="G436" s="57">
        <f>IF(COUNTIF(M:M,Calendar!A436)&gt;0,VLOOKUP(A436,M:P,4,FALSE),VLOOKUP(D436,BusData!$A$3:$D$10,4,FALSE))</f>
        <v/>
      </c>
      <c r="H436" s="11">
        <f>F436/SUMIFS($F$2:$F$9997,$B$2:$B$9997,B436,$C$2:$C$9997,C436)</f>
        <v/>
      </c>
      <c r="I436" s="19" t="n">
        <v>2</v>
      </c>
      <c r="J436" s="57" t="n">
        <v>3</v>
      </c>
    </row>
    <row r="437">
      <c r="A437" s="62" t="n">
        <v>46548</v>
      </c>
      <c r="B437" s="19" t="n">
        <v>2027</v>
      </c>
      <c r="C437" s="19" t="n">
        <v>6</v>
      </c>
      <c r="D437" s="56" t="inlineStr">
        <is>
          <t>Thu</t>
        </is>
      </c>
      <c r="E437" s="56" t="inlineStr">
        <is>
          <t>Week</t>
        </is>
      </c>
      <c r="F437" s="56">
        <f>IF(ForeCalc!$F$1="Staffed Hours",G437,24)</f>
        <v/>
      </c>
      <c r="G437" s="57">
        <f>IF(COUNTIF(M:M,Calendar!A437)&gt;0,VLOOKUP(A437,M:P,4,FALSE),VLOOKUP(D437,BusData!$A$3:$D$10,4,FALSE))</f>
        <v/>
      </c>
      <c r="H437" s="11">
        <f>F437/SUMIFS($F$2:$F$9997,$B$2:$B$9997,B437,$C$2:$C$9997,C437)</f>
        <v/>
      </c>
      <c r="I437" s="19" t="n">
        <v>2</v>
      </c>
      <c r="J437" s="57" t="n">
        <v>3</v>
      </c>
    </row>
    <row r="438">
      <c r="A438" s="62" t="n">
        <v>46549</v>
      </c>
      <c r="B438" s="19" t="n">
        <v>2027</v>
      </c>
      <c r="C438" s="19" t="n">
        <v>6</v>
      </c>
      <c r="D438" s="56" t="inlineStr">
        <is>
          <t>Fri</t>
        </is>
      </c>
      <c r="E438" s="56" t="inlineStr">
        <is>
          <t>Week</t>
        </is>
      </c>
      <c r="F438" s="56">
        <f>IF(ForeCalc!$F$1="Staffed Hours",G438,24)</f>
        <v/>
      </c>
      <c r="G438" s="57">
        <f>IF(COUNTIF(M:M,Calendar!A438)&gt;0,VLOOKUP(A438,M:P,4,FALSE),VLOOKUP(D438,BusData!$A$3:$D$10,4,FALSE))</f>
        <v/>
      </c>
      <c r="H438" s="11">
        <f>F438/SUMIFS($F$2:$F$9997,$B$2:$B$9997,B438,$C$2:$C$9997,C438)</f>
        <v/>
      </c>
      <c r="I438" s="19" t="n">
        <v>2</v>
      </c>
      <c r="J438" s="57" t="n">
        <v>3</v>
      </c>
    </row>
    <row r="439">
      <c r="A439" s="62" t="n">
        <v>46550</v>
      </c>
      <c r="B439" s="19" t="n">
        <v>2027</v>
      </c>
      <c r="C439" s="19" t="n">
        <v>6</v>
      </c>
      <c r="D439" s="56" t="inlineStr">
        <is>
          <t>Sat</t>
        </is>
      </c>
      <c r="E439" s="56" t="inlineStr">
        <is>
          <t>Sat</t>
        </is>
      </c>
      <c r="F439" s="56">
        <f>IF(ForeCalc!$F$1="Staffed Hours",G439,24)</f>
        <v/>
      </c>
      <c r="G439" s="57">
        <f>IF(COUNTIF(M:M,Calendar!A439)&gt;0,VLOOKUP(A439,M:P,4,FALSE),VLOOKUP(D439,BusData!$A$3:$D$10,4,FALSE))</f>
        <v/>
      </c>
      <c r="H439" s="11">
        <f>F439/SUMIFS($F$2:$F$9997,$B$2:$B$9997,B439,$C$2:$C$9997,C439)</f>
        <v/>
      </c>
      <c r="I439" s="19" t="n">
        <v>2</v>
      </c>
      <c r="J439" s="57" t="n">
        <v>3</v>
      </c>
    </row>
    <row r="440">
      <c r="A440" s="62" t="n">
        <v>46551</v>
      </c>
      <c r="B440" s="19" t="n">
        <v>2027</v>
      </c>
      <c r="C440" s="19" t="n">
        <v>6</v>
      </c>
      <c r="D440" s="56" t="inlineStr">
        <is>
          <t>Sun</t>
        </is>
      </c>
      <c r="E440" s="56" t="inlineStr">
        <is>
          <t>Sun</t>
        </is>
      </c>
      <c r="F440" s="56">
        <f>IF(ForeCalc!$F$1="Staffed Hours",G440,24)</f>
        <v/>
      </c>
      <c r="G440" s="57">
        <f>IF(COUNTIF(M:M,Calendar!A440)&gt;0,VLOOKUP(A440,M:P,4,FALSE),VLOOKUP(D440,BusData!$A$3:$D$10,4,FALSE))</f>
        <v/>
      </c>
      <c r="H440" s="11">
        <f>F440/SUMIFS($F$2:$F$9997,$B$2:$B$9997,B440,$C$2:$C$9997,C440)</f>
        <v/>
      </c>
      <c r="I440" s="19" t="n">
        <v>2</v>
      </c>
      <c r="J440" s="57" t="n">
        <v>3</v>
      </c>
    </row>
    <row r="441">
      <c r="A441" s="62" t="n">
        <v>46552</v>
      </c>
      <c r="B441" s="19" t="n">
        <v>2027</v>
      </c>
      <c r="C441" s="19" t="n">
        <v>6</v>
      </c>
      <c r="D441" s="56" t="inlineStr">
        <is>
          <t>Mon</t>
        </is>
      </c>
      <c r="E441" s="56" t="inlineStr">
        <is>
          <t>Week</t>
        </is>
      </c>
      <c r="F441" s="56">
        <f>IF(ForeCalc!$F$1="Staffed Hours",G441,24)</f>
        <v/>
      </c>
      <c r="G441" s="57">
        <f>IF(COUNTIF(M:M,Calendar!A441)&gt;0,VLOOKUP(A441,M:P,4,FALSE),VLOOKUP(D441,BusData!$A$3:$D$10,4,FALSE))</f>
        <v/>
      </c>
      <c r="H441" s="11">
        <f>F441/SUMIFS($F$2:$F$9997,$B$2:$B$9997,B441,$C$2:$C$9997,C441)</f>
        <v/>
      </c>
      <c r="I441" s="19" t="n">
        <v>2</v>
      </c>
      <c r="J441" s="57" t="n">
        <v>3</v>
      </c>
    </row>
    <row r="442">
      <c r="A442" s="62" t="n">
        <v>46553</v>
      </c>
      <c r="B442" s="19" t="n">
        <v>2027</v>
      </c>
      <c r="C442" s="19" t="n">
        <v>6</v>
      </c>
      <c r="D442" s="56" t="inlineStr">
        <is>
          <t>Tue</t>
        </is>
      </c>
      <c r="E442" s="56" t="inlineStr">
        <is>
          <t>Week</t>
        </is>
      </c>
      <c r="F442" s="56">
        <f>IF(ForeCalc!$F$1="Staffed Hours",G442,24)</f>
        <v/>
      </c>
      <c r="G442" s="57">
        <f>IF(COUNTIF(M:M,Calendar!A442)&gt;0,VLOOKUP(A442,M:P,4,FALSE),VLOOKUP(D442,BusData!$A$3:$D$10,4,FALSE))</f>
        <v/>
      </c>
      <c r="H442" s="11">
        <f>F442/SUMIFS($F$2:$F$9997,$B$2:$B$9997,B442,$C$2:$C$9997,C442)</f>
        <v/>
      </c>
      <c r="I442" s="19" t="n">
        <v>2</v>
      </c>
      <c r="J442" s="57" t="n">
        <v>3</v>
      </c>
    </row>
    <row r="443">
      <c r="A443" s="62" t="n">
        <v>46554</v>
      </c>
      <c r="B443" s="19" t="n">
        <v>2027</v>
      </c>
      <c r="C443" s="19" t="n">
        <v>6</v>
      </c>
      <c r="D443" s="56" t="inlineStr">
        <is>
          <t>Wed</t>
        </is>
      </c>
      <c r="E443" s="56" t="inlineStr">
        <is>
          <t>Week</t>
        </is>
      </c>
      <c r="F443" s="56">
        <f>IF(ForeCalc!$F$1="Staffed Hours",G443,24)</f>
        <v/>
      </c>
      <c r="G443" s="57">
        <f>IF(COUNTIF(M:M,Calendar!A443)&gt;0,VLOOKUP(A443,M:P,4,FALSE),VLOOKUP(D443,BusData!$A$3:$D$10,4,FALSE))</f>
        <v/>
      </c>
      <c r="H443" s="11">
        <f>F443/SUMIFS($F$2:$F$9997,$B$2:$B$9997,B443,$C$2:$C$9997,C443)</f>
        <v/>
      </c>
      <c r="I443" s="19" t="n">
        <v>2</v>
      </c>
      <c r="J443" s="57" t="n">
        <v>3</v>
      </c>
    </row>
    <row r="444">
      <c r="A444" s="62" t="n">
        <v>46555</v>
      </c>
      <c r="B444" s="19" t="n">
        <v>2027</v>
      </c>
      <c r="C444" s="19" t="n">
        <v>6</v>
      </c>
      <c r="D444" s="56" t="inlineStr">
        <is>
          <t>Thu</t>
        </is>
      </c>
      <c r="E444" s="56" t="inlineStr">
        <is>
          <t>Week</t>
        </is>
      </c>
      <c r="F444" s="56">
        <f>IF(ForeCalc!$F$1="Staffed Hours",G444,24)</f>
        <v/>
      </c>
      <c r="G444" s="57">
        <f>IF(COUNTIF(M:M,Calendar!A444)&gt;0,VLOOKUP(A444,M:P,4,FALSE),VLOOKUP(D444,BusData!$A$3:$D$10,4,FALSE))</f>
        <v/>
      </c>
      <c r="H444" s="11">
        <f>F444/SUMIFS($F$2:$F$9997,$B$2:$B$9997,B444,$C$2:$C$9997,C444)</f>
        <v/>
      </c>
      <c r="I444" s="19" t="n">
        <v>2</v>
      </c>
      <c r="J444" s="57" t="n">
        <v>3</v>
      </c>
    </row>
    <row r="445">
      <c r="A445" s="62" t="n">
        <v>46556</v>
      </c>
      <c r="B445" s="19" t="n">
        <v>2027</v>
      </c>
      <c r="C445" s="19" t="n">
        <v>6</v>
      </c>
      <c r="D445" s="56" t="inlineStr">
        <is>
          <t>Fri</t>
        </is>
      </c>
      <c r="E445" s="56" t="inlineStr">
        <is>
          <t>Week</t>
        </is>
      </c>
      <c r="F445" s="56">
        <f>IF(ForeCalc!$F$1="Staffed Hours",G445,24)</f>
        <v/>
      </c>
      <c r="G445" s="57">
        <f>IF(COUNTIF(M:M,Calendar!A445)&gt;0,VLOOKUP(A445,M:P,4,FALSE),VLOOKUP(D445,BusData!$A$3:$D$10,4,FALSE))</f>
        <v/>
      </c>
      <c r="H445" s="11">
        <f>F445/SUMIFS($F$2:$F$9997,$B$2:$B$9997,B445,$C$2:$C$9997,C445)</f>
        <v/>
      </c>
      <c r="I445" s="19" t="n">
        <v>2</v>
      </c>
      <c r="J445" s="57" t="n">
        <v>3</v>
      </c>
    </row>
    <row r="446">
      <c r="A446" s="62" t="n">
        <v>46557</v>
      </c>
      <c r="B446" s="19" t="n">
        <v>2027</v>
      </c>
      <c r="C446" s="19" t="n">
        <v>6</v>
      </c>
      <c r="D446" s="56" t="inlineStr">
        <is>
          <t>Sat</t>
        </is>
      </c>
      <c r="E446" s="56" t="inlineStr">
        <is>
          <t>Sat</t>
        </is>
      </c>
      <c r="F446" s="56">
        <f>IF(ForeCalc!$F$1="Staffed Hours",G446,24)</f>
        <v/>
      </c>
      <c r="G446" s="57">
        <f>IF(COUNTIF(M:M,Calendar!A446)&gt;0,VLOOKUP(A446,M:P,4,FALSE),VLOOKUP(D446,BusData!$A$3:$D$10,4,FALSE))</f>
        <v/>
      </c>
      <c r="H446" s="11">
        <f>F446/SUMIFS($F$2:$F$9997,$B$2:$B$9997,B446,$C$2:$C$9997,C446)</f>
        <v/>
      </c>
      <c r="I446" s="19" t="n">
        <v>2</v>
      </c>
      <c r="J446" s="57" t="n">
        <v>3</v>
      </c>
    </row>
    <row r="447">
      <c r="A447" s="62" t="n">
        <v>46558</v>
      </c>
      <c r="B447" s="19" t="n">
        <v>2027</v>
      </c>
      <c r="C447" s="19" t="n">
        <v>6</v>
      </c>
      <c r="D447" s="56" t="inlineStr">
        <is>
          <t>Sun</t>
        </is>
      </c>
      <c r="E447" s="56" t="inlineStr">
        <is>
          <t>Sun</t>
        </is>
      </c>
      <c r="F447" s="56">
        <f>IF(ForeCalc!$F$1="Staffed Hours",G447,24)</f>
        <v/>
      </c>
      <c r="G447" s="57">
        <f>IF(COUNTIF(M:M,Calendar!A447)&gt;0,VLOOKUP(A447,M:P,4,FALSE),VLOOKUP(D447,BusData!$A$3:$D$10,4,FALSE))</f>
        <v/>
      </c>
      <c r="H447" s="11">
        <f>F447/SUMIFS($F$2:$F$9997,$B$2:$B$9997,B447,$C$2:$C$9997,C447)</f>
        <v/>
      </c>
      <c r="I447" s="19" t="n">
        <v>2</v>
      </c>
      <c r="J447" s="57" t="n">
        <v>3</v>
      </c>
    </row>
    <row r="448">
      <c r="A448" s="62" t="n">
        <v>46559</v>
      </c>
      <c r="B448" s="19" t="n">
        <v>2027</v>
      </c>
      <c r="C448" s="19" t="n">
        <v>6</v>
      </c>
      <c r="D448" s="56" t="inlineStr">
        <is>
          <t>Mon</t>
        </is>
      </c>
      <c r="E448" s="56" t="inlineStr">
        <is>
          <t>Week</t>
        </is>
      </c>
      <c r="F448" s="56">
        <f>IF(ForeCalc!$F$1="Staffed Hours",G448,24)</f>
        <v/>
      </c>
      <c r="G448" s="57">
        <f>IF(COUNTIF(M:M,Calendar!A448)&gt;0,VLOOKUP(A448,M:P,4,FALSE),VLOOKUP(D448,BusData!$A$3:$D$10,4,FALSE))</f>
        <v/>
      </c>
      <c r="H448" s="11">
        <f>F448/SUMIFS($F$2:$F$9997,$B$2:$B$9997,B448,$C$2:$C$9997,C448)</f>
        <v/>
      </c>
      <c r="I448" s="19" t="n">
        <v>2</v>
      </c>
      <c r="J448" s="57" t="n">
        <v>3</v>
      </c>
    </row>
    <row r="449">
      <c r="A449" s="62" t="n">
        <v>46560</v>
      </c>
      <c r="B449" s="19" t="n">
        <v>2027</v>
      </c>
      <c r="C449" s="19" t="n">
        <v>6</v>
      </c>
      <c r="D449" s="56" t="inlineStr">
        <is>
          <t>Tue</t>
        </is>
      </c>
      <c r="E449" s="56" t="inlineStr">
        <is>
          <t>Week</t>
        </is>
      </c>
      <c r="F449" s="56">
        <f>IF(ForeCalc!$F$1="Staffed Hours",G449,24)</f>
        <v/>
      </c>
      <c r="G449" s="57">
        <f>IF(COUNTIF(M:M,Calendar!A449)&gt;0,VLOOKUP(A449,M:P,4,FALSE),VLOOKUP(D449,BusData!$A$3:$D$10,4,FALSE))</f>
        <v/>
      </c>
      <c r="H449" s="11">
        <f>F449/SUMIFS($F$2:$F$9997,$B$2:$B$9997,B449,$C$2:$C$9997,C449)</f>
        <v/>
      </c>
      <c r="I449" s="19" t="n">
        <v>2</v>
      </c>
      <c r="J449" s="57" t="n">
        <v>3</v>
      </c>
    </row>
    <row r="450">
      <c r="A450" s="62" t="n">
        <v>46561</v>
      </c>
      <c r="B450" s="19" t="n">
        <v>2027</v>
      </c>
      <c r="C450" s="19" t="n">
        <v>6</v>
      </c>
      <c r="D450" s="56" t="inlineStr">
        <is>
          <t>Wed</t>
        </is>
      </c>
      <c r="E450" s="56" t="inlineStr">
        <is>
          <t>Week</t>
        </is>
      </c>
      <c r="F450" s="56">
        <f>IF(ForeCalc!$F$1="Staffed Hours",G450,24)</f>
        <v/>
      </c>
      <c r="G450" s="57">
        <f>IF(COUNTIF(M:M,Calendar!A450)&gt;0,VLOOKUP(A450,M:P,4,FALSE),VLOOKUP(D450,BusData!$A$3:$D$10,4,FALSE))</f>
        <v/>
      </c>
      <c r="H450" s="11">
        <f>F450/SUMIFS($F$2:$F$9997,$B$2:$B$9997,B450,$C$2:$C$9997,C450)</f>
        <v/>
      </c>
      <c r="I450" s="19" t="n">
        <v>2</v>
      </c>
      <c r="J450" s="57" t="n">
        <v>3</v>
      </c>
    </row>
    <row r="451">
      <c r="A451" s="62" t="n">
        <v>46562</v>
      </c>
      <c r="B451" s="19" t="n">
        <v>2027</v>
      </c>
      <c r="C451" s="19" t="n">
        <v>6</v>
      </c>
      <c r="D451" s="56" t="inlineStr">
        <is>
          <t>Thu</t>
        </is>
      </c>
      <c r="E451" s="56" t="inlineStr">
        <is>
          <t>Week</t>
        </is>
      </c>
      <c r="F451" s="56">
        <f>IF(ForeCalc!$F$1="Staffed Hours",G451,24)</f>
        <v/>
      </c>
      <c r="G451" s="57">
        <f>IF(COUNTIF(M:M,Calendar!A451)&gt;0,VLOOKUP(A451,M:P,4,FALSE),VLOOKUP(D451,BusData!$A$3:$D$10,4,FALSE))</f>
        <v/>
      </c>
      <c r="H451" s="11">
        <f>F451/SUMIFS($F$2:$F$9997,$B$2:$B$9997,B451,$C$2:$C$9997,C451)</f>
        <v/>
      </c>
      <c r="I451" s="19" t="n">
        <v>2</v>
      </c>
      <c r="J451" s="57" t="n">
        <v>3</v>
      </c>
    </row>
    <row r="452">
      <c r="A452" s="62" t="n">
        <v>46563</v>
      </c>
      <c r="B452" s="19" t="n">
        <v>2027</v>
      </c>
      <c r="C452" s="19" t="n">
        <v>6</v>
      </c>
      <c r="D452" s="56" t="inlineStr">
        <is>
          <t>Fri</t>
        </is>
      </c>
      <c r="E452" s="56" t="inlineStr">
        <is>
          <t>Week</t>
        </is>
      </c>
      <c r="F452" s="56">
        <f>IF(ForeCalc!$F$1="Staffed Hours",G452,24)</f>
        <v/>
      </c>
      <c r="G452" s="57">
        <f>IF(COUNTIF(M:M,Calendar!A452)&gt;0,VLOOKUP(A452,M:P,4,FALSE),VLOOKUP(D452,BusData!$A$3:$D$10,4,FALSE))</f>
        <v/>
      </c>
      <c r="H452" s="11">
        <f>F452/SUMIFS($F$2:$F$9997,$B$2:$B$9997,B452,$C$2:$C$9997,C452)</f>
        <v/>
      </c>
      <c r="I452" s="19" t="n">
        <v>2</v>
      </c>
      <c r="J452" s="57" t="n">
        <v>3</v>
      </c>
    </row>
    <row r="453">
      <c r="A453" s="62" t="n">
        <v>46564</v>
      </c>
      <c r="B453" s="19" t="n">
        <v>2027</v>
      </c>
      <c r="C453" s="19" t="n">
        <v>6</v>
      </c>
      <c r="D453" s="56" t="inlineStr">
        <is>
          <t>Sat</t>
        </is>
      </c>
      <c r="E453" s="56" t="inlineStr">
        <is>
          <t>Sat</t>
        </is>
      </c>
      <c r="F453" s="56">
        <f>IF(ForeCalc!$F$1="Staffed Hours",G453,24)</f>
        <v/>
      </c>
      <c r="G453" s="57">
        <f>IF(COUNTIF(M:M,Calendar!A453)&gt;0,VLOOKUP(A453,M:P,4,FALSE),VLOOKUP(D453,BusData!$A$3:$D$10,4,FALSE))</f>
        <v/>
      </c>
      <c r="H453" s="11">
        <f>F453/SUMIFS($F$2:$F$9997,$B$2:$B$9997,B453,$C$2:$C$9997,C453)</f>
        <v/>
      </c>
      <c r="I453" s="19" t="n">
        <v>2</v>
      </c>
      <c r="J453" s="57" t="n">
        <v>3</v>
      </c>
    </row>
    <row r="454">
      <c r="A454" s="62" t="n">
        <v>46565</v>
      </c>
      <c r="B454" s="19" t="n">
        <v>2027</v>
      </c>
      <c r="C454" s="19" t="n">
        <v>6</v>
      </c>
      <c r="D454" s="56" t="inlineStr">
        <is>
          <t>Sun</t>
        </is>
      </c>
      <c r="E454" s="56" t="inlineStr">
        <is>
          <t>Sun</t>
        </is>
      </c>
      <c r="F454" s="56">
        <f>IF(ForeCalc!$F$1="Staffed Hours",G454,24)</f>
        <v/>
      </c>
      <c r="G454" s="57">
        <f>IF(COUNTIF(M:M,Calendar!A454)&gt;0,VLOOKUP(A454,M:P,4,FALSE),VLOOKUP(D454,BusData!$A$3:$D$10,4,FALSE))</f>
        <v/>
      </c>
      <c r="H454" s="11">
        <f>F454/SUMIFS($F$2:$F$9997,$B$2:$B$9997,B454,$C$2:$C$9997,C454)</f>
        <v/>
      </c>
      <c r="I454" s="19" t="n">
        <v>2</v>
      </c>
      <c r="J454" s="57" t="n">
        <v>3</v>
      </c>
    </row>
    <row r="455">
      <c r="A455" s="62" t="n">
        <v>46566</v>
      </c>
      <c r="B455" s="19" t="n">
        <v>2027</v>
      </c>
      <c r="C455" s="19" t="n">
        <v>6</v>
      </c>
      <c r="D455" s="56" t="inlineStr">
        <is>
          <t>Mon</t>
        </is>
      </c>
      <c r="E455" s="56" t="inlineStr">
        <is>
          <t>Week</t>
        </is>
      </c>
      <c r="F455" s="56">
        <f>IF(ForeCalc!$F$1="Staffed Hours",G455,24)</f>
        <v/>
      </c>
      <c r="G455" s="57">
        <f>IF(COUNTIF(M:M,Calendar!A455)&gt;0,VLOOKUP(A455,M:P,4,FALSE),VLOOKUP(D455,BusData!$A$3:$D$10,4,FALSE))</f>
        <v/>
      </c>
      <c r="H455" s="11">
        <f>F455/SUMIFS($F$2:$F$9997,$B$2:$B$9997,B455,$C$2:$C$9997,C455)</f>
        <v/>
      </c>
      <c r="I455" s="19" t="n">
        <v>2</v>
      </c>
      <c r="J455" s="57" t="n">
        <v>3</v>
      </c>
    </row>
    <row r="456">
      <c r="A456" s="62" t="n">
        <v>46567</v>
      </c>
      <c r="B456" s="19" t="n">
        <v>2027</v>
      </c>
      <c r="C456" s="19" t="n">
        <v>6</v>
      </c>
      <c r="D456" s="56" t="inlineStr">
        <is>
          <t>Tue</t>
        </is>
      </c>
      <c r="E456" s="56" t="inlineStr">
        <is>
          <t>Week</t>
        </is>
      </c>
      <c r="F456" s="56">
        <f>IF(ForeCalc!$F$1="Staffed Hours",G456,24)</f>
        <v/>
      </c>
      <c r="G456" s="57">
        <f>IF(COUNTIF(M:M,Calendar!A456)&gt;0,VLOOKUP(A456,M:P,4,FALSE),VLOOKUP(D456,BusData!$A$3:$D$10,4,FALSE))</f>
        <v/>
      </c>
      <c r="H456" s="11">
        <f>F456/SUMIFS($F$2:$F$9997,$B$2:$B$9997,B456,$C$2:$C$9997,C456)</f>
        <v/>
      </c>
      <c r="I456" s="19" t="n">
        <v>2</v>
      </c>
      <c r="J456" s="57" t="n">
        <v>3</v>
      </c>
    </row>
    <row r="457">
      <c r="A457" s="62" t="n">
        <v>46568</v>
      </c>
      <c r="B457" s="19" t="n">
        <v>2027</v>
      </c>
      <c r="C457" s="19" t="n">
        <v>6</v>
      </c>
      <c r="D457" s="56" t="inlineStr">
        <is>
          <t>Wed</t>
        </is>
      </c>
      <c r="E457" s="56" t="inlineStr">
        <is>
          <t>Week</t>
        </is>
      </c>
      <c r="F457" s="56">
        <f>IF(ForeCalc!$F$1="Staffed Hours",G457,24)</f>
        <v/>
      </c>
      <c r="G457" s="57">
        <f>IF(COUNTIF(M:M,Calendar!A457)&gt;0,VLOOKUP(A457,M:P,4,FALSE),VLOOKUP(D457,BusData!$A$3:$D$10,4,FALSE))</f>
        <v/>
      </c>
      <c r="H457" s="11">
        <f>F457/SUMIFS($F$2:$F$9997,$B$2:$B$9997,B457,$C$2:$C$9997,C457)</f>
        <v/>
      </c>
      <c r="I457" s="19" t="n">
        <v>2</v>
      </c>
      <c r="J457" s="57" t="n">
        <v>3</v>
      </c>
    </row>
    <row r="458">
      <c r="A458" s="62" t="n">
        <v>46569</v>
      </c>
      <c r="B458" s="19" t="n">
        <v>2027</v>
      </c>
      <c r="C458" s="19" t="n">
        <v>7</v>
      </c>
      <c r="D458" s="56" t="inlineStr">
        <is>
          <t>Thu</t>
        </is>
      </c>
      <c r="E458" s="56" t="inlineStr">
        <is>
          <t>Week</t>
        </is>
      </c>
      <c r="F458" s="56">
        <f>IF(ForeCalc!$F$1="Staffed Hours",G458,24)</f>
        <v/>
      </c>
      <c r="G458" s="57">
        <f>IF(COUNTIF(M:M,Calendar!A458)&gt;0,VLOOKUP(A458,M:P,4,FALSE),VLOOKUP(D458,BusData!$A$3:$D$10,4,FALSE))</f>
        <v/>
      </c>
      <c r="H458" s="11">
        <f>F458/SUMIFS($F$2:$F$9997,$B$2:$B$9997,B458,$C$2:$C$9997,C458)</f>
        <v/>
      </c>
      <c r="I458" s="19" t="n">
        <v>2</v>
      </c>
      <c r="J458" s="57" t="n">
        <v>4</v>
      </c>
    </row>
    <row r="459">
      <c r="A459" s="62" t="n">
        <v>46570</v>
      </c>
      <c r="B459" s="19" t="n">
        <v>2027</v>
      </c>
      <c r="C459" s="19" t="n">
        <v>7</v>
      </c>
      <c r="D459" s="56" t="inlineStr">
        <is>
          <t>Fri</t>
        </is>
      </c>
      <c r="E459" s="56" t="inlineStr">
        <is>
          <t>Week</t>
        </is>
      </c>
      <c r="F459" s="56">
        <f>IF(ForeCalc!$F$1="Staffed Hours",G459,24)</f>
        <v/>
      </c>
      <c r="G459" s="57">
        <f>IF(COUNTIF(M:M,Calendar!A459)&gt;0,VLOOKUP(A459,M:P,4,FALSE),VLOOKUP(D459,BusData!$A$3:$D$10,4,FALSE))</f>
        <v/>
      </c>
      <c r="H459" s="11">
        <f>F459/SUMIFS($F$2:$F$9997,$B$2:$B$9997,B459,$C$2:$C$9997,C459)</f>
        <v/>
      </c>
      <c r="I459" s="19" t="n">
        <v>2</v>
      </c>
      <c r="J459" s="57" t="n">
        <v>4</v>
      </c>
    </row>
    <row r="460">
      <c r="A460" s="62" t="n">
        <v>46571</v>
      </c>
      <c r="B460" s="19" t="n">
        <v>2027</v>
      </c>
      <c r="C460" s="19" t="n">
        <v>7</v>
      </c>
      <c r="D460" s="56" t="inlineStr">
        <is>
          <t>Sat</t>
        </is>
      </c>
      <c r="E460" s="56" t="inlineStr">
        <is>
          <t>Sat</t>
        </is>
      </c>
      <c r="F460" s="56">
        <f>IF(ForeCalc!$F$1="Staffed Hours",G460,24)</f>
        <v/>
      </c>
      <c r="G460" s="57">
        <f>IF(COUNTIF(M:M,Calendar!A460)&gt;0,VLOOKUP(A460,M:P,4,FALSE),VLOOKUP(D460,BusData!$A$3:$D$10,4,FALSE))</f>
        <v/>
      </c>
      <c r="H460" s="11">
        <f>F460/SUMIFS($F$2:$F$9997,$B$2:$B$9997,B460,$C$2:$C$9997,C460)</f>
        <v/>
      </c>
      <c r="I460" s="19" t="n">
        <v>2</v>
      </c>
      <c r="J460" s="57" t="n">
        <v>4</v>
      </c>
    </row>
    <row r="461">
      <c r="A461" s="62" t="n">
        <v>46572</v>
      </c>
      <c r="B461" s="19" t="n">
        <v>2027</v>
      </c>
      <c r="C461" s="19" t="n">
        <v>7</v>
      </c>
      <c r="D461" s="56" t="inlineStr">
        <is>
          <t>Sun</t>
        </is>
      </c>
      <c r="E461" s="56" t="inlineStr">
        <is>
          <t>Sun</t>
        </is>
      </c>
      <c r="F461" s="56">
        <f>IF(ForeCalc!$F$1="Staffed Hours",G461,24)</f>
        <v/>
      </c>
      <c r="G461" s="57">
        <f>IF(COUNTIF(M:M,Calendar!A461)&gt;0,VLOOKUP(A461,M:P,4,FALSE),VLOOKUP(D461,BusData!$A$3:$D$10,4,FALSE))</f>
        <v/>
      </c>
      <c r="H461" s="11">
        <f>F461/SUMIFS($F$2:$F$9997,$B$2:$B$9997,B461,$C$2:$C$9997,C461)</f>
        <v/>
      </c>
      <c r="I461" s="19" t="n">
        <v>2</v>
      </c>
      <c r="J461" s="57" t="n">
        <v>4</v>
      </c>
    </row>
    <row r="462">
      <c r="A462" s="62" t="n">
        <v>46573</v>
      </c>
      <c r="B462" s="19" t="n">
        <v>2027</v>
      </c>
      <c r="C462" s="19" t="n">
        <v>7</v>
      </c>
      <c r="D462" s="56" t="inlineStr">
        <is>
          <t>Mon</t>
        </is>
      </c>
      <c r="E462" s="56" t="inlineStr">
        <is>
          <t>Week</t>
        </is>
      </c>
      <c r="F462" s="56">
        <f>IF(ForeCalc!$F$1="Staffed Hours",G462,24)</f>
        <v/>
      </c>
      <c r="G462" s="57">
        <f>IF(COUNTIF(M:M,Calendar!A462)&gt;0,VLOOKUP(A462,M:P,4,FALSE),VLOOKUP(D462,BusData!$A$3:$D$10,4,FALSE))</f>
        <v/>
      </c>
      <c r="H462" s="11">
        <f>F462/SUMIFS($F$2:$F$9997,$B$2:$B$9997,B462,$C$2:$C$9997,C462)</f>
        <v/>
      </c>
      <c r="I462" s="19" t="n">
        <v>2</v>
      </c>
      <c r="J462" s="57" t="n">
        <v>4</v>
      </c>
    </row>
    <row r="463">
      <c r="A463" s="62" t="n">
        <v>46574</v>
      </c>
      <c r="B463" s="19" t="n">
        <v>2027</v>
      </c>
      <c r="C463" s="19" t="n">
        <v>7</v>
      </c>
      <c r="D463" s="56" t="inlineStr">
        <is>
          <t>Tue</t>
        </is>
      </c>
      <c r="E463" s="56" t="inlineStr">
        <is>
          <t>Week</t>
        </is>
      </c>
      <c r="F463" s="56">
        <f>IF(ForeCalc!$F$1="Staffed Hours",G463,24)</f>
        <v/>
      </c>
      <c r="G463" s="57">
        <f>IF(COUNTIF(M:M,Calendar!A463)&gt;0,VLOOKUP(A463,M:P,4,FALSE),VLOOKUP(D463,BusData!$A$3:$D$10,4,FALSE))</f>
        <v/>
      </c>
      <c r="H463" s="11">
        <f>F463/SUMIFS($F$2:$F$9997,$B$2:$B$9997,B463,$C$2:$C$9997,C463)</f>
        <v/>
      </c>
      <c r="I463" s="19" t="n">
        <v>2</v>
      </c>
      <c r="J463" s="57" t="n">
        <v>4</v>
      </c>
    </row>
    <row r="464">
      <c r="A464" s="62" t="n">
        <v>46575</v>
      </c>
      <c r="B464" s="19" t="n">
        <v>2027</v>
      </c>
      <c r="C464" s="19" t="n">
        <v>7</v>
      </c>
      <c r="D464" s="56" t="inlineStr">
        <is>
          <t>Wed</t>
        </is>
      </c>
      <c r="E464" s="56" t="inlineStr">
        <is>
          <t>Week</t>
        </is>
      </c>
      <c r="F464" s="56">
        <f>IF(ForeCalc!$F$1="Staffed Hours",G464,24)</f>
        <v/>
      </c>
      <c r="G464" s="57">
        <f>IF(COUNTIF(M:M,Calendar!A464)&gt;0,VLOOKUP(A464,M:P,4,FALSE),VLOOKUP(D464,BusData!$A$3:$D$10,4,FALSE))</f>
        <v/>
      </c>
      <c r="H464" s="11">
        <f>F464/SUMIFS($F$2:$F$9997,$B$2:$B$9997,B464,$C$2:$C$9997,C464)</f>
        <v/>
      </c>
      <c r="I464" s="19" t="n">
        <v>2</v>
      </c>
      <c r="J464" s="57" t="n">
        <v>4</v>
      </c>
    </row>
    <row r="465">
      <c r="A465" s="62" t="n">
        <v>46576</v>
      </c>
      <c r="B465" s="19" t="n">
        <v>2027</v>
      </c>
      <c r="C465" s="19" t="n">
        <v>7</v>
      </c>
      <c r="D465" s="56" t="inlineStr">
        <is>
          <t>Thu</t>
        </is>
      </c>
      <c r="E465" s="56" t="inlineStr">
        <is>
          <t>Week</t>
        </is>
      </c>
      <c r="F465" s="56">
        <f>IF(ForeCalc!$F$1="Staffed Hours",G465,24)</f>
        <v/>
      </c>
      <c r="G465" s="57">
        <f>IF(COUNTIF(M:M,Calendar!A465)&gt;0,VLOOKUP(A465,M:P,4,FALSE),VLOOKUP(D465,BusData!$A$3:$D$10,4,FALSE))</f>
        <v/>
      </c>
      <c r="H465" s="11">
        <f>F465/SUMIFS($F$2:$F$9997,$B$2:$B$9997,B465,$C$2:$C$9997,C465)</f>
        <v/>
      </c>
      <c r="I465" s="19" t="n">
        <v>2</v>
      </c>
      <c r="J465" s="57" t="n">
        <v>4</v>
      </c>
    </row>
    <row r="466">
      <c r="A466" s="62" t="n">
        <v>46577</v>
      </c>
      <c r="B466" s="19" t="n">
        <v>2027</v>
      </c>
      <c r="C466" s="19" t="n">
        <v>7</v>
      </c>
      <c r="D466" s="56" t="inlineStr">
        <is>
          <t>Fri</t>
        </is>
      </c>
      <c r="E466" s="56" t="inlineStr">
        <is>
          <t>Week</t>
        </is>
      </c>
      <c r="F466" s="56">
        <f>IF(ForeCalc!$F$1="Staffed Hours",G466,24)</f>
        <v/>
      </c>
      <c r="G466" s="57">
        <f>IF(COUNTIF(M:M,Calendar!A466)&gt;0,VLOOKUP(A466,M:P,4,FALSE),VLOOKUP(D466,BusData!$A$3:$D$10,4,FALSE))</f>
        <v/>
      </c>
      <c r="H466" s="11">
        <f>F466/SUMIFS($F$2:$F$9997,$B$2:$B$9997,B466,$C$2:$C$9997,C466)</f>
        <v/>
      </c>
      <c r="I466" s="19" t="n">
        <v>2</v>
      </c>
      <c r="J466" s="57" t="n">
        <v>4</v>
      </c>
    </row>
    <row r="467">
      <c r="A467" s="62" t="n">
        <v>46578</v>
      </c>
      <c r="B467" s="19" t="n">
        <v>2027</v>
      </c>
      <c r="C467" s="19" t="n">
        <v>7</v>
      </c>
      <c r="D467" s="56" t="inlineStr">
        <is>
          <t>Sat</t>
        </is>
      </c>
      <c r="E467" s="56" t="inlineStr">
        <is>
          <t>Sat</t>
        </is>
      </c>
      <c r="F467" s="56">
        <f>IF(ForeCalc!$F$1="Staffed Hours",G467,24)</f>
        <v/>
      </c>
      <c r="G467" s="57">
        <f>IF(COUNTIF(M:M,Calendar!A467)&gt;0,VLOOKUP(A467,M:P,4,FALSE),VLOOKUP(D467,BusData!$A$3:$D$10,4,FALSE))</f>
        <v/>
      </c>
      <c r="H467" s="11">
        <f>F467/SUMIFS($F$2:$F$9997,$B$2:$B$9997,B467,$C$2:$C$9997,C467)</f>
        <v/>
      </c>
      <c r="I467" s="19" t="n">
        <v>2</v>
      </c>
      <c r="J467" s="57" t="n">
        <v>4</v>
      </c>
    </row>
    <row r="468">
      <c r="A468" s="62" t="n">
        <v>46579</v>
      </c>
      <c r="B468" s="19" t="n">
        <v>2027</v>
      </c>
      <c r="C468" s="19" t="n">
        <v>7</v>
      </c>
      <c r="D468" s="56" t="inlineStr">
        <is>
          <t>Sun</t>
        </is>
      </c>
      <c r="E468" s="56" t="inlineStr">
        <is>
          <t>Sun</t>
        </is>
      </c>
      <c r="F468" s="56">
        <f>IF(ForeCalc!$F$1="Staffed Hours",G468,24)</f>
        <v/>
      </c>
      <c r="G468" s="57">
        <f>IF(COUNTIF(M:M,Calendar!A468)&gt;0,VLOOKUP(A468,M:P,4,FALSE),VLOOKUP(D468,BusData!$A$3:$D$10,4,FALSE))</f>
        <v/>
      </c>
      <c r="H468" s="11">
        <f>F468/SUMIFS($F$2:$F$9997,$B$2:$B$9997,B468,$C$2:$C$9997,C468)</f>
        <v/>
      </c>
      <c r="I468" s="19" t="n">
        <v>2</v>
      </c>
      <c r="J468" s="57" t="n">
        <v>4</v>
      </c>
    </row>
    <row r="469">
      <c r="A469" s="62" t="n">
        <v>46580</v>
      </c>
      <c r="B469" s="19" t="n">
        <v>2027</v>
      </c>
      <c r="C469" s="19" t="n">
        <v>7</v>
      </c>
      <c r="D469" s="56" t="inlineStr">
        <is>
          <t>Mon</t>
        </is>
      </c>
      <c r="E469" s="56" t="inlineStr">
        <is>
          <t>Week</t>
        </is>
      </c>
      <c r="F469" s="56">
        <f>IF(ForeCalc!$F$1="Staffed Hours",G469,24)</f>
        <v/>
      </c>
      <c r="G469" s="57">
        <f>IF(COUNTIF(M:M,Calendar!A469)&gt;0,VLOOKUP(A469,M:P,4,FALSE),VLOOKUP(D469,BusData!$A$3:$D$10,4,FALSE))</f>
        <v/>
      </c>
      <c r="H469" s="11">
        <f>F469/SUMIFS($F$2:$F$9997,$B$2:$B$9997,B469,$C$2:$C$9997,C469)</f>
        <v/>
      </c>
      <c r="I469" s="19" t="n">
        <v>2</v>
      </c>
      <c r="J469" s="57" t="n">
        <v>4</v>
      </c>
    </row>
    <row r="470">
      <c r="A470" s="62" t="n">
        <v>46581</v>
      </c>
      <c r="B470" s="19" t="n">
        <v>2027</v>
      </c>
      <c r="C470" s="19" t="n">
        <v>7</v>
      </c>
      <c r="D470" s="56" t="inlineStr">
        <is>
          <t>Tue</t>
        </is>
      </c>
      <c r="E470" s="56" t="inlineStr">
        <is>
          <t>Week</t>
        </is>
      </c>
      <c r="F470" s="56">
        <f>IF(ForeCalc!$F$1="Staffed Hours",G470,24)</f>
        <v/>
      </c>
      <c r="G470" s="57">
        <f>IF(COUNTIF(M:M,Calendar!A470)&gt;0,VLOOKUP(A470,M:P,4,FALSE),VLOOKUP(D470,BusData!$A$3:$D$10,4,FALSE))</f>
        <v/>
      </c>
      <c r="H470" s="11">
        <f>F470/SUMIFS($F$2:$F$9997,$B$2:$B$9997,B470,$C$2:$C$9997,C470)</f>
        <v/>
      </c>
      <c r="I470" s="19" t="n">
        <v>2</v>
      </c>
      <c r="J470" s="57" t="n">
        <v>4</v>
      </c>
    </row>
    <row r="471">
      <c r="A471" s="62" t="n">
        <v>46582</v>
      </c>
      <c r="B471" s="19" t="n">
        <v>2027</v>
      </c>
      <c r="C471" s="19" t="n">
        <v>7</v>
      </c>
      <c r="D471" s="56" t="inlineStr">
        <is>
          <t>Wed</t>
        </is>
      </c>
      <c r="E471" s="56" t="inlineStr">
        <is>
          <t>Week</t>
        </is>
      </c>
      <c r="F471" s="56">
        <f>IF(ForeCalc!$F$1="Staffed Hours",G471,24)</f>
        <v/>
      </c>
      <c r="G471" s="57">
        <f>IF(COUNTIF(M:M,Calendar!A471)&gt;0,VLOOKUP(A471,M:P,4,FALSE),VLOOKUP(D471,BusData!$A$3:$D$10,4,FALSE))</f>
        <v/>
      </c>
      <c r="H471" s="11">
        <f>F471/SUMIFS($F$2:$F$9997,$B$2:$B$9997,B471,$C$2:$C$9997,C471)</f>
        <v/>
      </c>
      <c r="I471" s="19" t="n">
        <v>2</v>
      </c>
      <c r="J471" s="57" t="n">
        <v>4</v>
      </c>
    </row>
    <row r="472">
      <c r="A472" s="62" t="n">
        <v>46583</v>
      </c>
      <c r="B472" s="19" t="n">
        <v>2027</v>
      </c>
      <c r="C472" s="19" t="n">
        <v>7</v>
      </c>
      <c r="D472" s="56" t="inlineStr">
        <is>
          <t>Thu</t>
        </is>
      </c>
      <c r="E472" s="56" t="inlineStr">
        <is>
          <t>Week</t>
        </is>
      </c>
      <c r="F472" s="56">
        <f>IF(ForeCalc!$F$1="Staffed Hours",G472,24)</f>
        <v/>
      </c>
      <c r="G472" s="57">
        <f>IF(COUNTIF(M:M,Calendar!A472)&gt;0,VLOOKUP(A472,M:P,4,FALSE),VLOOKUP(D472,BusData!$A$3:$D$10,4,FALSE))</f>
        <v/>
      </c>
      <c r="H472" s="11">
        <f>F472/SUMIFS($F$2:$F$9997,$B$2:$B$9997,B472,$C$2:$C$9997,C472)</f>
        <v/>
      </c>
      <c r="I472" s="19" t="n">
        <v>2</v>
      </c>
      <c r="J472" s="57" t="n">
        <v>4</v>
      </c>
    </row>
    <row r="473">
      <c r="A473" s="62" t="n">
        <v>46584</v>
      </c>
      <c r="B473" s="19" t="n">
        <v>2027</v>
      </c>
      <c r="C473" s="19" t="n">
        <v>7</v>
      </c>
      <c r="D473" s="56" t="inlineStr">
        <is>
          <t>Fri</t>
        </is>
      </c>
      <c r="E473" s="56" t="inlineStr">
        <is>
          <t>Week</t>
        </is>
      </c>
      <c r="F473" s="56">
        <f>IF(ForeCalc!$F$1="Staffed Hours",G473,24)</f>
        <v/>
      </c>
      <c r="G473" s="57">
        <f>IF(COUNTIF(M:M,Calendar!A473)&gt;0,VLOOKUP(A473,M:P,4,FALSE),VLOOKUP(D473,BusData!$A$3:$D$10,4,FALSE))</f>
        <v/>
      </c>
      <c r="H473" s="11">
        <f>F473/SUMIFS($F$2:$F$9997,$B$2:$B$9997,B473,$C$2:$C$9997,C473)</f>
        <v/>
      </c>
      <c r="I473" s="19" t="n">
        <v>2</v>
      </c>
      <c r="J473" s="57" t="n">
        <v>4</v>
      </c>
    </row>
    <row r="474">
      <c r="A474" s="62" t="n">
        <v>46585</v>
      </c>
      <c r="B474" s="19" t="n">
        <v>2027</v>
      </c>
      <c r="C474" s="19" t="n">
        <v>7</v>
      </c>
      <c r="D474" s="56" t="inlineStr">
        <is>
          <t>Sat</t>
        </is>
      </c>
      <c r="E474" s="56" t="inlineStr">
        <is>
          <t>Sat</t>
        </is>
      </c>
      <c r="F474" s="56">
        <f>IF(ForeCalc!$F$1="Staffed Hours",G474,24)</f>
        <v/>
      </c>
      <c r="G474" s="57">
        <f>IF(COUNTIF(M:M,Calendar!A474)&gt;0,VLOOKUP(A474,M:P,4,FALSE),VLOOKUP(D474,BusData!$A$3:$D$10,4,FALSE))</f>
        <v/>
      </c>
      <c r="H474" s="11">
        <f>F474/SUMIFS($F$2:$F$9997,$B$2:$B$9997,B474,$C$2:$C$9997,C474)</f>
        <v/>
      </c>
      <c r="I474" s="19" t="n">
        <v>2</v>
      </c>
      <c r="J474" s="57" t="n">
        <v>4</v>
      </c>
    </row>
    <row r="475">
      <c r="A475" s="62" t="n">
        <v>46586</v>
      </c>
      <c r="B475" s="19" t="n">
        <v>2027</v>
      </c>
      <c r="C475" s="19" t="n">
        <v>7</v>
      </c>
      <c r="D475" s="56" t="inlineStr">
        <is>
          <t>Sun</t>
        </is>
      </c>
      <c r="E475" s="56" t="inlineStr">
        <is>
          <t>Sun</t>
        </is>
      </c>
      <c r="F475" s="56">
        <f>IF(ForeCalc!$F$1="Staffed Hours",G475,24)</f>
        <v/>
      </c>
      <c r="G475" s="57">
        <f>IF(COUNTIF(M:M,Calendar!A475)&gt;0,VLOOKUP(A475,M:P,4,FALSE),VLOOKUP(D475,BusData!$A$3:$D$10,4,FALSE))</f>
        <v/>
      </c>
      <c r="H475" s="11">
        <f>F475/SUMIFS($F$2:$F$9997,$B$2:$B$9997,B475,$C$2:$C$9997,C475)</f>
        <v/>
      </c>
      <c r="I475" s="19" t="n">
        <v>2</v>
      </c>
      <c r="J475" s="57" t="n">
        <v>4</v>
      </c>
    </row>
    <row r="476">
      <c r="A476" s="62" t="n">
        <v>46587</v>
      </c>
      <c r="B476" s="19" t="n">
        <v>2027</v>
      </c>
      <c r="C476" s="19" t="n">
        <v>7</v>
      </c>
      <c r="D476" s="56" t="inlineStr">
        <is>
          <t>Mon</t>
        </is>
      </c>
      <c r="E476" s="56" t="inlineStr">
        <is>
          <t>Week</t>
        </is>
      </c>
      <c r="F476" s="56">
        <f>IF(ForeCalc!$F$1="Staffed Hours",G476,24)</f>
        <v/>
      </c>
      <c r="G476" s="57">
        <f>IF(COUNTIF(M:M,Calendar!A476)&gt;0,VLOOKUP(A476,M:P,4,FALSE),VLOOKUP(D476,BusData!$A$3:$D$10,4,FALSE))</f>
        <v/>
      </c>
      <c r="H476" s="11">
        <f>F476/SUMIFS($F$2:$F$9997,$B$2:$B$9997,B476,$C$2:$C$9997,C476)</f>
        <v/>
      </c>
      <c r="I476" s="19" t="n">
        <v>2</v>
      </c>
      <c r="J476" s="57" t="n">
        <v>4</v>
      </c>
    </row>
    <row r="477">
      <c r="A477" s="62" t="n">
        <v>46588</v>
      </c>
      <c r="B477" s="19" t="n">
        <v>2027</v>
      </c>
      <c r="C477" s="19" t="n">
        <v>7</v>
      </c>
      <c r="D477" s="56" t="inlineStr">
        <is>
          <t>Tue</t>
        </is>
      </c>
      <c r="E477" s="56" t="inlineStr">
        <is>
          <t>Week</t>
        </is>
      </c>
      <c r="F477" s="56">
        <f>IF(ForeCalc!$F$1="Staffed Hours",G477,24)</f>
        <v/>
      </c>
      <c r="G477" s="57">
        <f>IF(COUNTIF(M:M,Calendar!A477)&gt;0,VLOOKUP(A477,M:P,4,FALSE),VLOOKUP(D477,BusData!$A$3:$D$10,4,FALSE))</f>
        <v/>
      </c>
      <c r="H477" s="11">
        <f>F477/SUMIFS($F$2:$F$9997,$B$2:$B$9997,B477,$C$2:$C$9997,C477)</f>
        <v/>
      </c>
      <c r="I477" s="19" t="n">
        <v>2</v>
      </c>
      <c r="J477" s="57" t="n">
        <v>4</v>
      </c>
    </row>
    <row r="478">
      <c r="A478" s="62" t="n">
        <v>46589</v>
      </c>
      <c r="B478" s="19" t="n">
        <v>2027</v>
      </c>
      <c r="C478" s="19" t="n">
        <v>7</v>
      </c>
      <c r="D478" s="56" t="inlineStr">
        <is>
          <t>Wed</t>
        </is>
      </c>
      <c r="E478" s="56" t="inlineStr">
        <is>
          <t>Week</t>
        </is>
      </c>
      <c r="F478" s="56">
        <f>IF(ForeCalc!$F$1="Staffed Hours",G478,24)</f>
        <v/>
      </c>
      <c r="G478" s="57">
        <f>IF(COUNTIF(M:M,Calendar!A478)&gt;0,VLOOKUP(A478,M:P,4,FALSE),VLOOKUP(D478,BusData!$A$3:$D$10,4,FALSE))</f>
        <v/>
      </c>
      <c r="H478" s="11">
        <f>F478/SUMIFS($F$2:$F$9997,$B$2:$B$9997,B478,$C$2:$C$9997,C478)</f>
        <v/>
      </c>
      <c r="I478" s="19" t="n">
        <v>2</v>
      </c>
      <c r="J478" s="57" t="n">
        <v>4</v>
      </c>
    </row>
    <row r="479">
      <c r="A479" s="62" t="n">
        <v>46590</v>
      </c>
      <c r="B479" s="19" t="n">
        <v>2027</v>
      </c>
      <c r="C479" s="19" t="n">
        <v>7</v>
      </c>
      <c r="D479" s="56" t="inlineStr">
        <is>
          <t>Thu</t>
        </is>
      </c>
      <c r="E479" s="56" t="inlineStr">
        <is>
          <t>Week</t>
        </is>
      </c>
      <c r="F479" s="56">
        <f>IF(ForeCalc!$F$1="Staffed Hours",G479,24)</f>
        <v/>
      </c>
      <c r="G479" s="57">
        <f>IF(COUNTIF(M:M,Calendar!A479)&gt;0,VLOOKUP(A479,M:P,4,FALSE),VLOOKUP(D479,BusData!$A$3:$D$10,4,FALSE))</f>
        <v/>
      </c>
      <c r="H479" s="11">
        <f>F479/SUMIFS($F$2:$F$9997,$B$2:$B$9997,B479,$C$2:$C$9997,C479)</f>
        <v/>
      </c>
      <c r="I479" s="19" t="n">
        <v>2</v>
      </c>
      <c r="J479" s="57" t="n">
        <v>4</v>
      </c>
    </row>
    <row r="480">
      <c r="A480" s="62" t="n">
        <v>46591</v>
      </c>
      <c r="B480" s="19" t="n">
        <v>2027</v>
      </c>
      <c r="C480" s="19" t="n">
        <v>7</v>
      </c>
      <c r="D480" s="56" t="inlineStr">
        <is>
          <t>Fri</t>
        </is>
      </c>
      <c r="E480" s="56" t="inlineStr">
        <is>
          <t>Week</t>
        </is>
      </c>
      <c r="F480" s="56">
        <f>IF(ForeCalc!$F$1="Staffed Hours",G480,24)</f>
        <v/>
      </c>
      <c r="G480" s="57">
        <f>IF(COUNTIF(M:M,Calendar!A480)&gt;0,VLOOKUP(A480,M:P,4,FALSE),VLOOKUP(D480,BusData!$A$3:$D$10,4,FALSE))</f>
        <v/>
      </c>
      <c r="H480" s="11">
        <f>F480/SUMIFS($F$2:$F$9997,$B$2:$B$9997,B480,$C$2:$C$9997,C480)</f>
        <v/>
      </c>
      <c r="I480" s="19" t="n">
        <v>2</v>
      </c>
      <c r="J480" s="57" t="n">
        <v>4</v>
      </c>
    </row>
    <row r="481">
      <c r="A481" s="62" t="n">
        <v>46592</v>
      </c>
      <c r="B481" s="19" t="n">
        <v>2027</v>
      </c>
      <c r="C481" s="19" t="n">
        <v>7</v>
      </c>
      <c r="D481" s="56" t="inlineStr">
        <is>
          <t>Sat</t>
        </is>
      </c>
      <c r="E481" s="56" t="inlineStr">
        <is>
          <t>Sat</t>
        </is>
      </c>
      <c r="F481" s="56">
        <f>IF(ForeCalc!$F$1="Staffed Hours",G481,24)</f>
        <v/>
      </c>
      <c r="G481" s="57">
        <f>IF(COUNTIF(M:M,Calendar!A481)&gt;0,VLOOKUP(A481,M:P,4,FALSE),VLOOKUP(D481,BusData!$A$3:$D$10,4,FALSE))</f>
        <v/>
      </c>
      <c r="H481" s="11">
        <f>F481/SUMIFS($F$2:$F$9997,$B$2:$B$9997,B481,$C$2:$C$9997,C481)</f>
        <v/>
      </c>
      <c r="I481" s="19" t="n">
        <v>2</v>
      </c>
      <c r="J481" s="57" t="n">
        <v>4</v>
      </c>
    </row>
    <row r="482">
      <c r="A482" s="62" t="n">
        <v>46593</v>
      </c>
      <c r="B482" s="19" t="n">
        <v>2027</v>
      </c>
      <c r="C482" s="19" t="n">
        <v>7</v>
      </c>
      <c r="D482" s="56" t="inlineStr">
        <is>
          <t>Sun</t>
        </is>
      </c>
      <c r="E482" s="56" t="inlineStr">
        <is>
          <t>Sun</t>
        </is>
      </c>
      <c r="F482" s="56">
        <f>IF(ForeCalc!$F$1="Staffed Hours",G482,24)</f>
        <v/>
      </c>
      <c r="G482" s="57">
        <f>IF(COUNTIF(M:M,Calendar!A482)&gt;0,VLOOKUP(A482,M:P,4,FALSE),VLOOKUP(D482,BusData!$A$3:$D$10,4,FALSE))</f>
        <v/>
      </c>
      <c r="H482" s="11">
        <f>F482/SUMIFS($F$2:$F$9997,$B$2:$B$9997,B482,$C$2:$C$9997,C482)</f>
        <v/>
      </c>
      <c r="I482" s="19" t="n">
        <v>2</v>
      </c>
      <c r="J482" s="57" t="n">
        <v>4</v>
      </c>
    </row>
    <row r="483">
      <c r="A483" s="62" t="n">
        <v>46594</v>
      </c>
      <c r="B483" s="19" t="n">
        <v>2027</v>
      </c>
      <c r="C483" s="19" t="n">
        <v>7</v>
      </c>
      <c r="D483" s="56" t="inlineStr">
        <is>
          <t>Mon</t>
        </is>
      </c>
      <c r="E483" s="56" t="inlineStr">
        <is>
          <t>Week</t>
        </is>
      </c>
      <c r="F483" s="56">
        <f>IF(ForeCalc!$F$1="Staffed Hours",G483,24)</f>
        <v/>
      </c>
      <c r="G483" s="57">
        <f>IF(COUNTIF(M:M,Calendar!A483)&gt;0,VLOOKUP(A483,M:P,4,FALSE),VLOOKUP(D483,BusData!$A$3:$D$10,4,FALSE))</f>
        <v/>
      </c>
      <c r="H483" s="11">
        <f>F483/SUMIFS($F$2:$F$9997,$B$2:$B$9997,B483,$C$2:$C$9997,C483)</f>
        <v/>
      </c>
      <c r="I483" s="19" t="n">
        <v>2</v>
      </c>
      <c r="J483" s="57" t="n">
        <v>4</v>
      </c>
    </row>
    <row r="484">
      <c r="A484" s="62" t="n">
        <v>46595</v>
      </c>
      <c r="B484" s="19" t="n">
        <v>2027</v>
      </c>
      <c r="C484" s="19" t="n">
        <v>7</v>
      </c>
      <c r="D484" s="56" t="inlineStr">
        <is>
          <t>Tue</t>
        </is>
      </c>
      <c r="E484" s="56" t="inlineStr">
        <is>
          <t>Week</t>
        </is>
      </c>
      <c r="F484" s="56">
        <f>IF(ForeCalc!$F$1="Staffed Hours",G484,24)</f>
        <v/>
      </c>
      <c r="G484" s="57">
        <f>IF(COUNTIF(M:M,Calendar!A484)&gt;0,VLOOKUP(A484,M:P,4,FALSE),VLOOKUP(D484,BusData!$A$3:$D$10,4,FALSE))</f>
        <v/>
      </c>
      <c r="H484" s="11">
        <f>F484/SUMIFS($F$2:$F$9997,$B$2:$B$9997,B484,$C$2:$C$9997,C484)</f>
        <v/>
      </c>
      <c r="I484" s="19" t="n">
        <v>2</v>
      </c>
      <c r="J484" s="57" t="n">
        <v>4</v>
      </c>
    </row>
    <row r="485">
      <c r="A485" s="62" t="n">
        <v>46596</v>
      </c>
      <c r="B485" s="19" t="n">
        <v>2027</v>
      </c>
      <c r="C485" s="19" t="n">
        <v>7</v>
      </c>
      <c r="D485" s="56" t="inlineStr">
        <is>
          <t>Wed</t>
        </is>
      </c>
      <c r="E485" s="56" t="inlineStr">
        <is>
          <t>Week</t>
        </is>
      </c>
      <c r="F485" s="56">
        <f>IF(ForeCalc!$F$1="Staffed Hours",G485,24)</f>
        <v/>
      </c>
      <c r="G485" s="57">
        <f>IF(COUNTIF(M:M,Calendar!A485)&gt;0,VLOOKUP(A485,M:P,4,FALSE),VLOOKUP(D485,BusData!$A$3:$D$10,4,FALSE))</f>
        <v/>
      </c>
      <c r="H485" s="11">
        <f>F485/SUMIFS($F$2:$F$9997,$B$2:$B$9997,B485,$C$2:$C$9997,C485)</f>
        <v/>
      </c>
      <c r="I485" s="19" t="n">
        <v>2</v>
      </c>
      <c r="J485" s="57" t="n">
        <v>4</v>
      </c>
    </row>
    <row r="486">
      <c r="A486" s="62" t="n">
        <v>46597</v>
      </c>
      <c r="B486" s="19" t="n">
        <v>2027</v>
      </c>
      <c r="C486" s="19" t="n">
        <v>7</v>
      </c>
      <c r="D486" s="56" t="inlineStr">
        <is>
          <t>Thu</t>
        </is>
      </c>
      <c r="E486" s="56" t="inlineStr">
        <is>
          <t>Week</t>
        </is>
      </c>
      <c r="F486" s="56">
        <f>IF(ForeCalc!$F$1="Staffed Hours",G486,24)</f>
        <v/>
      </c>
      <c r="G486" s="57">
        <f>IF(COUNTIF(M:M,Calendar!A486)&gt;0,VLOOKUP(A486,M:P,4,FALSE),VLOOKUP(D486,BusData!$A$3:$D$10,4,FALSE))</f>
        <v/>
      </c>
      <c r="H486" s="11">
        <f>F486/SUMIFS($F$2:$F$9997,$B$2:$B$9997,B486,$C$2:$C$9997,C486)</f>
        <v/>
      </c>
      <c r="I486" s="19" t="n">
        <v>2</v>
      </c>
      <c r="J486" s="57" t="n">
        <v>4</v>
      </c>
    </row>
    <row r="487">
      <c r="A487" s="62" t="n">
        <v>46598</v>
      </c>
      <c r="B487" s="19" t="n">
        <v>2027</v>
      </c>
      <c r="C487" s="19" t="n">
        <v>7</v>
      </c>
      <c r="D487" s="56" t="inlineStr">
        <is>
          <t>Fri</t>
        </is>
      </c>
      <c r="E487" s="56" t="inlineStr">
        <is>
          <t>Week</t>
        </is>
      </c>
      <c r="F487" s="56">
        <f>IF(ForeCalc!$F$1="Staffed Hours",G487,24)</f>
        <v/>
      </c>
      <c r="G487" s="57">
        <f>IF(COUNTIF(M:M,Calendar!A487)&gt;0,VLOOKUP(A487,M:P,4,FALSE),VLOOKUP(D487,BusData!$A$3:$D$10,4,FALSE))</f>
        <v/>
      </c>
      <c r="H487" s="11">
        <f>F487/SUMIFS($F$2:$F$9997,$B$2:$B$9997,B487,$C$2:$C$9997,C487)</f>
        <v/>
      </c>
      <c r="I487" s="19" t="n">
        <v>2</v>
      </c>
      <c r="J487" s="57" t="n">
        <v>4</v>
      </c>
    </row>
    <row r="488">
      <c r="A488" s="62" t="n">
        <v>46599</v>
      </c>
      <c r="B488" s="19" t="n">
        <v>2027</v>
      </c>
      <c r="C488" s="19" t="n">
        <v>7</v>
      </c>
      <c r="D488" s="56" t="inlineStr">
        <is>
          <t>Sat</t>
        </is>
      </c>
      <c r="E488" s="56" t="inlineStr">
        <is>
          <t>Sat</t>
        </is>
      </c>
      <c r="F488" s="56">
        <f>IF(ForeCalc!$F$1="Staffed Hours",G488,24)</f>
        <v/>
      </c>
      <c r="G488" s="57">
        <f>IF(COUNTIF(M:M,Calendar!A488)&gt;0,VLOOKUP(A488,M:P,4,FALSE),VLOOKUP(D488,BusData!$A$3:$D$10,4,FALSE))</f>
        <v/>
      </c>
      <c r="H488" s="11">
        <f>F488/SUMIFS($F$2:$F$9997,$B$2:$B$9997,B488,$C$2:$C$9997,C488)</f>
        <v/>
      </c>
      <c r="I488" s="19" t="n">
        <v>2</v>
      </c>
      <c r="J488" s="57" t="n">
        <v>4</v>
      </c>
    </row>
    <row r="489">
      <c r="A489" s="62" t="n">
        <v>46600</v>
      </c>
      <c r="B489" s="19" t="n">
        <v>2027</v>
      </c>
      <c r="C489" s="19" t="n">
        <v>8</v>
      </c>
      <c r="D489" s="56" t="inlineStr">
        <is>
          <t>Sun</t>
        </is>
      </c>
      <c r="E489" s="56" t="inlineStr">
        <is>
          <t>Sun</t>
        </is>
      </c>
      <c r="F489" s="56">
        <f>IF(ForeCalc!$F$1="Staffed Hours",G489,24)</f>
        <v/>
      </c>
      <c r="G489" s="57">
        <f>IF(COUNTIF(M:M,Calendar!A489)&gt;0,VLOOKUP(A489,M:P,4,FALSE),VLOOKUP(D489,BusData!$A$3:$D$10,4,FALSE))</f>
        <v/>
      </c>
      <c r="H489" s="11">
        <f>F489/SUMIFS($F$2:$F$9997,$B$2:$B$9997,B489,$C$2:$C$9997,C489)</f>
        <v/>
      </c>
      <c r="I489" s="19" t="n">
        <v>2</v>
      </c>
      <c r="J489" s="57" t="n">
        <v>5</v>
      </c>
    </row>
    <row r="490">
      <c r="A490" s="62" t="n">
        <v>46601</v>
      </c>
      <c r="B490" s="19" t="n">
        <v>2027</v>
      </c>
      <c r="C490" s="19" t="n">
        <v>8</v>
      </c>
      <c r="D490" s="56" t="inlineStr">
        <is>
          <t>Mon</t>
        </is>
      </c>
      <c r="E490" s="56" t="inlineStr">
        <is>
          <t>Week</t>
        </is>
      </c>
      <c r="F490" s="56">
        <f>IF(ForeCalc!$F$1="Staffed Hours",G490,24)</f>
        <v/>
      </c>
      <c r="G490" s="57">
        <f>IF(COUNTIF(M:M,Calendar!A490)&gt;0,VLOOKUP(A490,M:P,4,FALSE),VLOOKUP(D490,BusData!$A$3:$D$10,4,FALSE))</f>
        <v/>
      </c>
      <c r="H490" s="11">
        <f>F490/SUMIFS($F$2:$F$9997,$B$2:$B$9997,B490,$C$2:$C$9997,C490)</f>
        <v/>
      </c>
      <c r="I490" s="19" t="n">
        <v>2</v>
      </c>
      <c r="J490" s="57" t="n">
        <v>5</v>
      </c>
    </row>
    <row r="491">
      <c r="A491" s="62" t="n">
        <v>46602</v>
      </c>
      <c r="B491" s="19" t="n">
        <v>2027</v>
      </c>
      <c r="C491" s="19" t="n">
        <v>8</v>
      </c>
      <c r="D491" s="56" t="inlineStr">
        <is>
          <t>Tue</t>
        </is>
      </c>
      <c r="E491" s="56" t="inlineStr">
        <is>
          <t>Week</t>
        </is>
      </c>
      <c r="F491" s="56">
        <f>IF(ForeCalc!$F$1="Staffed Hours",G491,24)</f>
        <v/>
      </c>
      <c r="G491" s="57">
        <f>IF(COUNTIF(M:M,Calendar!A491)&gt;0,VLOOKUP(A491,M:P,4,FALSE),VLOOKUP(D491,BusData!$A$3:$D$10,4,FALSE))</f>
        <v/>
      </c>
      <c r="H491" s="11">
        <f>F491/SUMIFS($F$2:$F$9997,$B$2:$B$9997,B491,$C$2:$C$9997,C491)</f>
        <v/>
      </c>
      <c r="I491" s="19" t="n">
        <v>2</v>
      </c>
      <c r="J491" s="57" t="n">
        <v>5</v>
      </c>
    </row>
    <row r="492">
      <c r="A492" s="62" t="n">
        <v>46603</v>
      </c>
      <c r="B492" s="19" t="n">
        <v>2027</v>
      </c>
      <c r="C492" s="19" t="n">
        <v>8</v>
      </c>
      <c r="D492" s="56" t="inlineStr">
        <is>
          <t>Wed</t>
        </is>
      </c>
      <c r="E492" s="56" t="inlineStr">
        <is>
          <t>Week</t>
        </is>
      </c>
      <c r="F492" s="56">
        <f>IF(ForeCalc!$F$1="Staffed Hours",G492,24)</f>
        <v/>
      </c>
      <c r="G492" s="57">
        <f>IF(COUNTIF(M:M,Calendar!A492)&gt;0,VLOOKUP(A492,M:P,4,FALSE),VLOOKUP(D492,BusData!$A$3:$D$10,4,FALSE))</f>
        <v/>
      </c>
      <c r="H492" s="11">
        <f>F492/SUMIFS($F$2:$F$9997,$B$2:$B$9997,B492,$C$2:$C$9997,C492)</f>
        <v/>
      </c>
      <c r="I492" s="19" t="n">
        <v>2</v>
      </c>
      <c r="J492" s="57" t="n">
        <v>5</v>
      </c>
    </row>
    <row r="493">
      <c r="A493" s="62" t="n">
        <v>46604</v>
      </c>
      <c r="B493" s="19" t="n">
        <v>2027</v>
      </c>
      <c r="C493" s="19" t="n">
        <v>8</v>
      </c>
      <c r="D493" s="56" t="inlineStr">
        <is>
          <t>Thu</t>
        </is>
      </c>
      <c r="E493" s="56" t="inlineStr">
        <is>
          <t>Week</t>
        </is>
      </c>
      <c r="F493" s="56">
        <f>IF(ForeCalc!$F$1="Staffed Hours",G493,24)</f>
        <v/>
      </c>
      <c r="G493" s="57">
        <f>IF(COUNTIF(M:M,Calendar!A493)&gt;0,VLOOKUP(A493,M:P,4,FALSE),VLOOKUP(D493,BusData!$A$3:$D$10,4,FALSE))</f>
        <v/>
      </c>
      <c r="H493" s="11">
        <f>F493/SUMIFS($F$2:$F$9997,$B$2:$B$9997,B493,$C$2:$C$9997,C493)</f>
        <v/>
      </c>
      <c r="I493" s="19" t="n">
        <v>2</v>
      </c>
      <c r="J493" s="57" t="n">
        <v>5</v>
      </c>
    </row>
    <row r="494">
      <c r="A494" s="62" t="n">
        <v>46605</v>
      </c>
      <c r="B494" s="19" t="n">
        <v>2027</v>
      </c>
      <c r="C494" s="19" t="n">
        <v>8</v>
      </c>
      <c r="D494" s="56" t="inlineStr">
        <is>
          <t>Fri</t>
        </is>
      </c>
      <c r="E494" s="56" t="inlineStr">
        <is>
          <t>Week</t>
        </is>
      </c>
      <c r="F494" s="56">
        <f>IF(ForeCalc!$F$1="Staffed Hours",G494,24)</f>
        <v/>
      </c>
      <c r="G494" s="57">
        <f>IF(COUNTIF(M:M,Calendar!A494)&gt;0,VLOOKUP(A494,M:P,4,FALSE),VLOOKUP(D494,BusData!$A$3:$D$10,4,FALSE))</f>
        <v/>
      </c>
      <c r="H494" s="11">
        <f>F494/SUMIFS($F$2:$F$9997,$B$2:$B$9997,B494,$C$2:$C$9997,C494)</f>
        <v/>
      </c>
      <c r="I494" s="19" t="n">
        <v>2</v>
      </c>
      <c r="J494" s="57" t="n">
        <v>5</v>
      </c>
    </row>
    <row r="495">
      <c r="A495" s="62" t="n">
        <v>46606</v>
      </c>
      <c r="B495" s="19" t="n">
        <v>2027</v>
      </c>
      <c r="C495" s="19" t="n">
        <v>8</v>
      </c>
      <c r="D495" s="56" t="inlineStr">
        <is>
          <t>Sat</t>
        </is>
      </c>
      <c r="E495" s="56" t="inlineStr">
        <is>
          <t>Sat</t>
        </is>
      </c>
      <c r="F495" s="56">
        <f>IF(ForeCalc!$F$1="Staffed Hours",G495,24)</f>
        <v/>
      </c>
      <c r="G495" s="57">
        <f>IF(COUNTIF(M:M,Calendar!A495)&gt;0,VLOOKUP(A495,M:P,4,FALSE),VLOOKUP(D495,BusData!$A$3:$D$10,4,FALSE))</f>
        <v/>
      </c>
      <c r="H495" s="11">
        <f>F495/SUMIFS($F$2:$F$9997,$B$2:$B$9997,B495,$C$2:$C$9997,C495)</f>
        <v/>
      </c>
      <c r="I495" s="19" t="n">
        <v>2</v>
      </c>
      <c r="J495" s="57" t="n">
        <v>5</v>
      </c>
    </row>
    <row r="496">
      <c r="A496" s="62" t="n">
        <v>46607</v>
      </c>
      <c r="B496" s="19" t="n">
        <v>2027</v>
      </c>
      <c r="C496" s="19" t="n">
        <v>8</v>
      </c>
      <c r="D496" s="56" t="inlineStr">
        <is>
          <t>Sun</t>
        </is>
      </c>
      <c r="E496" s="56" t="inlineStr">
        <is>
          <t>Sun</t>
        </is>
      </c>
      <c r="F496" s="56">
        <f>IF(ForeCalc!$F$1="Staffed Hours",G496,24)</f>
        <v/>
      </c>
      <c r="G496" s="57">
        <f>IF(COUNTIF(M:M,Calendar!A496)&gt;0,VLOOKUP(A496,M:P,4,FALSE),VLOOKUP(D496,BusData!$A$3:$D$10,4,FALSE))</f>
        <v/>
      </c>
      <c r="H496" s="11">
        <f>F496/SUMIFS($F$2:$F$9997,$B$2:$B$9997,B496,$C$2:$C$9997,C496)</f>
        <v/>
      </c>
      <c r="I496" s="19" t="n">
        <v>2</v>
      </c>
      <c r="J496" s="57" t="n">
        <v>5</v>
      </c>
    </row>
    <row r="497">
      <c r="A497" s="62" t="n">
        <v>46608</v>
      </c>
      <c r="B497" s="19" t="n">
        <v>2027</v>
      </c>
      <c r="C497" s="19" t="n">
        <v>8</v>
      </c>
      <c r="D497" s="56" t="inlineStr">
        <is>
          <t>Mon</t>
        </is>
      </c>
      <c r="E497" s="56" t="inlineStr">
        <is>
          <t>Week</t>
        </is>
      </c>
      <c r="F497" s="56">
        <f>IF(ForeCalc!$F$1="Staffed Hours",G497,24)</f>
        <v/>
      </c>
      <c r="G497" s="57">
        <f>IF(COUNTIF(M:M,Calendar!A497)&gt;0,VLOOKUP(A497,M:P,4,FALSE),VLOOKUP(D497,BusData!$A$3:$D$10,4,FALSE))</f>
        <v/>
      </c>
      <c r="H497" s="11">
        <f>F497/SUMIFS($F$2:$F$9997,$B$2:$B$9997,B497,$C$2:$C$9997,C497)</f>
        <v/>
      </c>
      <c r="I497" s="19" t="n">
        <v>2</v>
      </c>
      <c r="J497" s="57" t="n">
        <v>5</v>
      </c>
    </row>
    <row r="498">
      <c r="A498" s="62" t="n">
        <v>46609</v>
      </c>
      <c r="B498" s="19" t="n">
        <v>2027</v>
      </c>
      <c r="C498" s="19" t="n">
        <v>8</v>
      </c>
      <c r="D498" s="56" t="inlineStr">
        <is>
          <t>Tue</t>
        </is>
      </c>
      <c r="E498" s="56" t="inlineStr">
        <is>
          <t>Week</t>
        </is>
      </c>
      <c r="F498" s="56">
        <f>IF(ForeCalc!$F$1="Staffed Hours",G498,24)</f>
        <v/>
      </c>
      <c r="G498" s="57">
        <f>IF(COUNTIF(M:M,Calendar!A498)&gt;0,VLOOKUP(A498,M:P,4,FALSE),VLOOKUP(D498,BusData!$A$3:$D$10,4,FALSE))</f>
        <v/>
      </c>
      <c r="H498" s="11">
        <f>F498/SUMIFS($F$2:$F$9997,$B$2:$B$9997,B498,$C$2:$C$9997,C498)</f>
        <v/>
      </c>
      <c r="I498" s="19" t="n">
        <v>2</v>
      </c>
      <c r="J498" s="57" t="n">
        <v>5</v>
      </c>
    </row>
    <row r="499">
      <c r="A499" s="62" t="n">
        <v>46610</v>
      </c>
      <c r="B499" s="19" t="n">
        <v>2027</v>
      </c>
      <c r="C499" s="19" t="n">
        <v>8</v>
      </c>
      <c r="D499" s="56" t="inlineStr">
        <is>
          <t>Wed</t>
        </is>
      </c>
      <c r="E499" s="56" t="inlineStr">
        <is>
          <t>Week</t>
        </is>
      </c>
      <c r="F499" s="56">
        <f>IF(ForeCalc!$F$1="Staffed Hours",G499,24)</f>
        <v/>
      </c>
      <c r="G499" s="57">
        <f>IF(COUNTIF(M:M,Calendar!A499)&gt;0,VLOOKUP(A499,M:P,4,FALSE),VLOOKUP(D499,BusData!$A$3:$D$10,4,FALSE))</f>
        <v/>
      </c>
      <c r="H499" s="11">
        <f>F499/SUMIFS($F$2:$F$9997,$B$2:$B$9997,B499,$C$2:$C$9997,C499)</f>
        <v/>
      </c>
      <c r="I499" s="19" t="n">
        <v>2</v>
      </c>
      <c r="J499" s="57" t="n">
        <v>5</v>
      </c>
    </row>
    <row r="500">
      <c r="A500" s="62" t="n">
        <v>46611</v>
      </c>
      <c r="B500" s="19" t="n">
        <v>2027</v>
      </c>
      <c r="C500" s="19" t="n">
        <v>8</v>
      </c>
      <c r="D500" s="56" t="inlineStr">
        <is>
          <t>Thu</t>
        </is>
      </c>
      <c r="E500" s="56" t="inlineStr">
        <is>
          <t>Week</t>
        </is>
      </c>
      <c r="F500" s="56">
        <f>IF(ForeCalc!$F$1="Staffed Hours",G500,24)</f>
        <v/>
      </c>
      <c r="G500" s="57">
        <f>IF(COUNTIF(M:M,Calendar!A500)&gt;0,VLOOKUP(A500,M:P,4,FALSE),VLOOKUP(D500,BusData!$A$3:$D$10,4,FALSE))</f>
        <v/>
      </c>
      <c r="H500" s="11">
        <f>F500/SUMIFS($F$2:$F$9997,$B$2:$B$9997,B500,$C$2:$C$9997,C500)</f>
        <v/>
      </c>
      <c r="I500" s="19" t="n">
        <v>2</v>
      </c>
      <c r="J500" s="57" t="n">
        <v>5</v>
      </c>
    </row>
    <row r="501">
      <c r="A501" s="62" t="n">
        <v>46612</v>
      </c>
      <c r="B501" s="19" t="n">
        <v>2027</v>
      </c>
      <c r="C501" s="19" t="n">
        <v>8</v>
      </c>
      <c r="D501" s="56" t="inlineStr">
        <is>
          <t>Fri</t>
        </is>
      </c>
      <c r="E501" s="56" t="inlineStr">
        <is>
          <t>Week</t>
        </is>
      </c>
      <c r="F501" s="56">
        <f>IF(ForeCalc!$F$1="Staffed Hours",G501,24)</f>
        <v/>
      </c>
      <c r="G501" s="57">
        <f>IF(COUNTIF(M:M,Calendar!A501)&gt;0,VLOOKUP(A501,M:P,4,FALSE),VLOOKUP(D501,BusData!$A$3:$D$10,4,FALSE))</f>
        <v/>
      </c>
      <c r="H501" s="11">
        <f>F501/SUMIFS($F$2:$F$9997,$B$2:$B$9997,B501,$C$2:$C$9997,C501)</f>
        <v/>
      </c>
      <c r="I501" s="19" t="n">
        <v>2</v>
      </c>
      <c r="J501" s="57" t="n">
        <v>5</v>
      </c>
    </row>
    <row r="502">
      <c r="A502" s="62" t="n">
        <v>46613</v>
      </c>
      <c r="B502" s="19" t="n">
        <v>2027</v>
      </c>
      <c r="C502" s="19" t="n">
        <v>8</v>
      </c>
      <c r="D502" s="56" t="inlineStr">
        <is>
          <t>Sat</t>
        </is>
      </c>
      <c r="E502" s="56" t="inlineStr">
        <is>
          <t>Sat</t>
        </is>
      </c>
      <c r="F502" s="56">
        <f>IF(ForeCalc!$F$1="Staffed Hours",G502,24)</f>
        <v/>
      </c>
      <c r="G502" s="57">
        <f>IF(COUNTIF(M:M,Calendar!A502)&gt;0,VLOOKUP(A502,M:P,4,FALSE),VLOOKUP(D502,BusData!$A$3:$D$10,4,FALSE))</f>
        <v/>
      </c>
      <c r="H502" s="11">
        <f>F502/SUMIFS($F$2:$F$9997,$B$2:$B$9997,B502,$C$2:$C$9997,C502)</f>
        <v/>
      </c>
      <c r="I502" s="19" t="n">
        <v>2</v>
      </c>
      <c r="J502" s="57" t="n">
        <v>5</v>
      </c>
    </row>
    <row r="503">
      <c r="A503" s="62" t="n">
        <v>46614</v>
      </c>
      <c r="B503" s="19" t="n">
        <v>2027</v>
      </c>
      <c r="C503" s="19" t="n">
        <v>8</v>
      </c>
      <c r="D503" s="56" t="inlineStr">
        <is>
          <t>Sun</t>
        </is>
      </c>
      <c r="E503" s="56" t="inlineStr">
        <is>
          <t>Sun</t>
        </is>
      </c>
      <c r="F503" s="56">
        <f>IF(ForeCalc!$F$1="Staffed Hours",G503,24)</f>
        <v/>
      </c>
      <c r="G503" s="57">
        <f>IF(COUNTIF(M:M,Calendar!A503)&gt;0,VLOOKUP(A503,M:P,4,FALSE),VLOOKUP(D503,BusData!$A$3:$D$10,4,FALSE))</f>
        <v/>
      </c>
      <c r="H503" s="11">
        <f>F503/SUMIFS($F$2:$F$9997,$B$2:$B$9997,B503,$C$2:$C$9997,C503)</f>
        <v/>
      </c>
      <c r="I503" s="19" t="n">
        <v>2</v>
      </c>
      <c r="J503" s="57" t="n">
        <v>5</v>
      </c>
    </row>
    <row r="504">
      <c r="A504" s="62" t="n">
        <v>46615</v>
      </c>
      <c r="B504" s="19" t="n">
        <v>2027</v>
      </c>
      <c r="C504" s="19" t="n">
        <v>8</v>
      </c>
      <c r="D504" s="56" t="inlineStr">
        <is>
          <t>Mon</t>
        </is>
      </c>
      <c r="E504" s="56" t="inlineStr">
        <is>
          <t>Week</t>
        </is>
      </c>
      <c r="F504" s="56">
        <f>IF(ForeCalc!$F$1="Staffed Hours",G504,24)</f>
        <v/>
      </c>
      <c r="G504" s="57">
        <f>IF(COUNTIF(M:M,Calendar!A504)&gt;0,VLOOKUP(A504,M:P,4,FALSE),VLOOKUP(D504,BusData!$A$3:$D$10,4,FALSE))</f>
        <v/>
      </c>
      <c r="H504" s="11">
        <f>F504/SUMIFS($F$2:$F$9997,$B$2:$B$9997,B504,$C$2:$C$9997,C504)</f>
        <v/>
      </c>
      <c r="I504" s="19" t="n">
        <v>2</v>
      </c>
      <c r="J504" s="57" t="n">
        <v>5</v>
      </c>
    </row>
    <row r="505">
      <c r="A505" s="62" t="n">
        <v>46616</v>
      </c>
      <c r="B505" s="19" t="n">
        <v>2027</v>
      </c>
      <c r="C505" s="19" t="n">
        <v>8</v>
      </c>
      <c r="D505" s="56" t="inlineStr">
        <is>
          <t>Tue</t>
        </is>
      </c>
      <c r="E505" s="56" t="inlineStr">
        <is>
          <t>Week</t>
        </is>
      </c>
      <c r="F505" s="56">
        <f>IF(ForeCalc!$F$1="Staffed Hours",G505,24)</f>
        <v/>
      </c>
      <c r="G505" s="57">
        <f>IF(COUNTIF(M:M,Calendar!A505)&gt;0,VLOOKUP(A505,M:P,4,FALSE),VLOOKUP(D505,BusData!$A$3:$D$10,4,FALSE))</f>
        <v/>
      </c>
      <c r="H505" s="11">
        <f>F505/SUMIFS($F$2:$F$9997,$B$2:$B$9997,B505,$C$2:$C$9997,C505)</f>
        <v/>
      </c>
      <c r="I505" s="19" t="n">
        <v>2</v>
      </c>
      <c r="J505" s="57" t="n">
        <v>5</v>
      </c>
    </row>
    <row r="506">
      <c r="A506" s="62" t="n">
        <v>46617</v>
      </c>
      <c r="B506" s="19" t="n">
        <v>2027</v>
      </c>
      <c r="C506" s="19" t="n">
        <v>8</v>
      </c>
      <c r="D506" s="56" t="inlineStr">
        <is>
          <t>Wed</t>
        </is>
      </c>
      <c r="E506" s="56" t="inlineStr">
        <is>
          <t>Week</t>
        </is>
      </c>
      <c r="F506" s="56">
        <f>IF(ForeCalc!$F$1="Staffed Hours",G506,24)</f>
        <v/>
      </c>
      <c r="G506" s="57">
        <f>IF(COUNTIF(M:M,Calendar!A506)&gt;0,VLOOKUP(A506,M:P,4,FALSE),VLOOKUP(D506,BusData!$A$3:$D$10,4,FALSE))</f>
        <v/>
      </c>
      <c r="H506" s="11">
        <f>F506/SUMIFS($F$2:$F$9997,$B$2:$B$9997,B506,$C$2:$C$9997,C506)</f>
        <v/>
      </c>
      <c r="I506" s="19" t="n">
        <v>2</v>
      </c>
      <c r="J506" s="57" t="n">
        <v>5</v>
      </c>
    </row>
    <row r="507">
      <c r="A507" s="62" t="n">
        <v>46618</v>
      </c>
      <c r="B507" s="19" t="n">
        <v>2027</v>
      </c>
      <c r="C507" s="19" t="n">
        <v>8</v>
      </c>
      <c r="D507" s="56" t="inlineStr">
        <is>
          <t>Thu</t>
        </is>
      </c>
      <c r="E507" s="56" t="inlineStr">
        <is>
          <t>Week</t>
        </is>
      </c>
      <c r="F507" s="56">
        <f>IF(ForeCalc!$F$1="Staffed Hours",G507,24)</f>
        <v/>
      </c>
      <c r="G507" s="57">
        <f>IF(COUNTIF(M:M,Calendar!A507)&gt;0,VLOOKUP(A507,M:P,4,FALSE),VLOOKUP(D507,BusData!$A$3:$D$10,4,FALSE))</f>
        <v/>
      </c>
      <c r="H507" s="11">
        <f>F507/SUMIFS($F$2:$F$9997,$B$2:$B$9997,B507,$C$2:$C$9997,C507)</f>
        <v/>
      </c>
      <c r="I507" s="19" t="n">
        <v>2</v>
      </c>
      <c r="J507" s="57" t="n">
        <v>5</v>
      </c>
    </row>
    <row r="508">
      <c r="A508" s="62" t="n">
        <v>46619</v>
      </c>
      <c r="B508" s="19" t="n">
        <v>2027</v>
      </c>
      <c r="C508" s="19" t="n">
        <v>8</v>
      </c>
      <c r="D508" s="56" t="inlineStr">
        <is>
          <t>Fri</t>
        </is>
      </c>
      <c r="E508" s="56" t="inlineStr">
        <is>
          <t>Week</t>
        </is>
      </c>
      <c r="F508" s="56">
        <f>IF(ForeCalc!$F$1="Staffed Hours",G508,24)</f>
        <v/>
      </c>
      <c r="G508" s="57">
        <f>IF(COUNTIF(M:M,Calendar!A508)&gt;0,VLOOKUP(A508,M:P,4,FALSE),VLOOKUP(D508,BusData!$A$3:$D$10,4,FALSE))</f>
        <v/>
      </c>
      <c r="H508" s="11">
        <f>F508/SUMIFS($F$2:$F$9997,$B$2:$B$9997,B508,$C$2:$C$9997,C508)</f>
        <v/>
      </c>
      <c r="I508" s="19" t="n">
        <v>2</v>
      </c>
      <c r="J508" s="57" t="n">
        <v>5</v>
      </c>
    </row>
    <row r="509">
      <c r="A509" s="62" t="n">
        <v>46620</v>
      </c>
      <c r="B509" s="19" t="n">
        <v>2027</v>
      </c>
      <c r="C509" s="19" t="n">
        <v>8</v>
      </c>
      <c r="D509" s="56" t="inlineStr">
        <is>
          <t>Sat</t>
        </is>
      </c>
      <c r="E509" s="56" t="inlineStr">
        <is>
          <t>Sat</t>
        </is>
      </c>
      <c r="F509" s="56">
        <f>IF(ForeCalc!$F$1="Staffed Hours",G509,24)</f>
        <v/>
      </c>
      <c r="G509" s="57">
        <f>IF(COUNTIF(M:M,Calendar!A509)&gt;0,VLOOKUP(A509,M:P,4,FALSE),VLOOKUP(D509,BusData!$A$3:$D$10,4,FALSE))</f>
        <v/>
      </c>
      <c r="H509" s="11">
        <f>F509/SUMIFS($F$2:$F$9997,$B$2:$B$9997,B509,$C$2:$C$9997,C509)</f>
        <v/>
      </c>
      <c r="I509" s="19" t="n">
        <v>2</v>
      </c>
      <c r="J509" s="57" t="n">
        <v>5</v>
      </c>
    </row>
    <row r="510">
      <c r="A510" s="62" t="n">
        <v>46621</v>
      </c>
      <c r="B510" s="19" t="n">
        <v>2027</v>
      </c>
      <c r="C510" s="19" t="n">
        <v>8</v>
      </c>
      <c r="D510" s="56" t="inlineStr">
        <is>
          <t>Sun</t>
        </is>
      </c>
      <c r="E510" s="56" t="inlineStr">
        <is>
          <t>Sun</t>
        </is>
      </c>
      <c r="F510" s="56">
        <f>IF(ForeCalc!$F$1="Staffed Hours",G510,24)</f>
        <v/>
      </c>
      <c r="G510" s="57">
        <f>IF(COUNTIF(M:M,Calendar!A510)&gt;0,VLOOKUP(A510,M:P,4,FALSE),VLOOKUP(D510,BusData!$A$3:$D$10,4,FALSE))</f>
        <v/>
      </c>
      <c r="H510" s="11">
        <f>F510/SUMIFS($F$2:$F$9997,$B$2:$B$9997,B510,$C$2:$C$9997,C510)</f>
        <v/>
      </c>
      <c r="I510" s="19" t="n">
        <v>2</v>
      </c>
      <c r="J510" s="57" t="n">
        <v>5</v>
      </c>
    </row>
    <row r="511">
      <c r="A511" s="62" t="n">
        <v>46622</v>
      </c>
      <c r="B511" s="19" t="n">
        <v>2027</v>
      </c>
      <c r="C511" s="19" t="n">
        <v>8</v>
      </c>
      <c r="D511" s="56" t="inlineStr">
        <is>
          <t>Mon</t>
        </is>
      </c>
      <c r="E511" s="56" t="inlineStr">
        <is>
          <t>Week</t>
        </is>
      </c>
      <c r="F511" s="56">
        <f>IF(ForeCalc!$F$1="Staffed Hours",G511,24)</f>
        <v/>
      </c>
      <c r="G511" s="57">
        <f>IF(COUNTIF(M:M,Calendar!A511)&gt;0,VLOOKUP(A511,M:P,4,FALSE),VLOOKUP(D511,BusData!$A$3:$D$10,4,FALSE))</f>
        <v/>
      </c>
      <c r="H511" s="11">
        <f>F511/SUMIFS($F$2:$F$9997,$B$2:$B$9997,B511,$C$2:$C$9997,C511)</f>
        <v/>
      </c>
      <c r="I511" s="19" t="n">
        <v>2</v>
      </c>
      <c r="J511" s="57" t="n">
        <v>5</v>
      </c>
    </row>
    <row r="512">
      <c r="A512" s="62" t="n">
        <v>46623</v>
      </c>
      <c r="B512" s="19" t="n">
        <v>2027</v>
      </c>
      <c r="C512" s="19" t="n">
        <v>8</v>
      </c>
      <c r="D512" s="56" t="inlineStr">
        <is>
          <t>Tue</t>
        </is>
      </c>
      <c r="E512" s="56" t="inlineStr">
        <is>
          <t>Week</t>
        </is>
      </c>
      <c r="F512" s="56">
        <f>IF(ForeCalc!$F$1="Staffed Hours",G512,24)</f>
        <v/>
      </c>
      <c r="G512" s="57">
        <f>IF(COUNTIF(M:M,Calendar!A512)&gt;0,VLOOKUP(A512,M:P,4,FALSE),VLOOKUP(D512,BusData!$A$3:$D$10,4,FALSE))</f>
        <v/>
      </c>
      <c r="H512" s="11">
        <f>F512/SUMIFS($F$2:$F$9997,$B$2:$B$9997,B512,$C$2:$C$9997,C512)</f>
        <v/>
      </c>
      <c r="I512" s="19" t="n">
        <v>2</v>
      </c>
      <c r="J512" s="57" t="n">
        <v>5</v>
      </c>
    </row>
    <row r="513">
      <c r="A513" s="62" t="n">
        <v>46624</v>
      </c>
      <c r="B513" s="19" t="n">
        <v>2027</v>
      </c>
      <c r="C513" s="19" t="n">
        <v>8</v>
      </c>
      <c r="D513" s="56" t="inlineStr">
        <is>
          <t>Wed</t>
        </is>
      </c>
      <c r="E513" s="56" t="inlineStr">
        <is>
          <t>Week</t>
        </is>
      </c>
      <c r="F513" s="56">
        <f>IF(ForeCalc!$F$1="Staffed Hours",G513,24)</f>
        <v/>
      </c>
      <c r="G513" s="57">
        <f>IF(COUNTIF(M:M,Calendar!A513)&gt;0,VLOOKUP(A513,M:P,4,FALSE),VLOOKUP(D513,BusData!$A$3:$D$10,4,FALSE))</f>
        <v/>
      </c>
      <c r="H513" s="11">
        <f>F513/SUMIFS($F$2:$F$9997,$B$2:$B$9997,B513,$C$2:$C$9997,C513)</f>
        <v/>
      </c>
      <c r="I513" s="19" t="n">
        <v>2</v>
      </c>
      <c r="J513" s="57" t="n">
        <v>5</v>
      </c>
    </row>
    <row r="514">
      <c r="A514" s="62" t="n">
        <v>46625</v>
      </c>
      <c r="B514" s="19" t="n">
        <v>2027</v>
      </c>
      <c r="C514" s="19" t="n">
        <v>8</v>
      </c>
      <c r="D514" s="56" t="inlineStr">
        <is>
          <t>Thu</t>
        </is>
      </c>
      <c r="E514" s="56" t="inlineStr">
        <is>
          <t>Week</t>
        </is>
      </c>
      <c r="F514" s="56">
        <f>IF(ForeCalc!$F$1="Staffed Hours",G514,24)</f>
        <v/>
      </c>
      <c r="G514" s="57">
        <f>IF(COUNTIF(M:M,Calendar!A514)&gt;0,VLOOKUP(A514,M:P,4,FALSE),VLOOKUP(D514,BusData!$A$3:$D$10,4,FALSE))</f>
        <v/>
      </c>
      <c r="H514" s="11">
        <f>F514/SUMIFS($F$2:$F$9997,$B$2:$B$9997,B514,$C$2:$C$9997,C514)</f>
        <v/>
      </c>
      <c r="I514" s="19" t="n">
        <v>2</v>
      </c>
      <c r="J514" s="57" t="n">
        <v>5</v>
      </c>
    </row>
    <row r="515">
      <c r="A515" s="62" t="n">
        <v>46626</v>
      </c>
      <c r="B515" s="19" t="n">
        <v>2027</v>
      </c>
      <c r="C515" s="19" t="n">
        <v>8</v>
      </c>
      <c r="D515" s="56" t="inlineStr">
        <is>
          <t>Fri</t>
        </is>
      </c>
      <c r="E515" s="56" t="inlineStr">
        <is>
          <t>Week</t>
        </is>
      </c>
      <c r="F515" s="56">
        <f>IF(ForeCalc!$F$1="Staffed Hours",G515,24)</f>
        <v/>
      </c>
      <c r="G515" s="57">
        <f>IF(COUNTIF(M:M,Calendar!A515)&gt;0,VLOOKUP(A515,M:P,4,FALSE),VLOOKUP(D515,BusData!$A$3:$D$10,4,FALSE))</f>
        <v/>
      </c>
      <c r="H515" s="11">
        <f>F515/SUMIFS($F$2:$F$9997,$B$2:$B$9997,B515,$C$2:$C$9997,C515)</f>
        <v/>
      </c>
      <c r="I515" s="19" t="n">
        <v>2</v>
      </c>
      <c r="J515" s="57" t="n">
        <v>5</v>
      </c>
    </row>
    <row r="516">
      <c r="A516" s="62" t="n">
        <v>46627</v>
      </c>
      <c r="B516" s="19" t="n">
        <v>2027</v>
      </c>
      <c r="C516" s="19" t="n">
        <v>8</v>
      </c>
      <c r="D516" s="56" t="inlineStr">
        <is>
          <t>Sat</t>
        </is>
      </c>
      <c r="E516" s="56" t="inlineStr">
        <is>
          <t>Sat</t>
        </is>
      </c>
      <c r="F516" s="56">
        <f>IF(ForeCalc!$F$1="Staffed Hours",G516,24)</f>
        <v/>
      </c>
      <c r="G516" s="57">
        <f>IF(COUNTIF(M:M,Calendar!A516)&gt;0,VLOOKUP(A516,M:P,4,FALSE),VLOOKUP(D516,BusData!$A$3:$D$10,4,FALSE))</f>
        <v/>
      </c>
      <c r="H516" s="11">
        <f>F516/SUMIFS($F$2:$F$9997,$B$2:$B$9997,B516,$C$2:$C$9997,C516)</f>
        <v/>
      </c>
      <c r="I516" s="19" t="n">
        <v>2</v>
      </c>
      <c r="J516" s="57" t="n">
        <v>5</v>
      </c>
    </row>
    <row r="517">
      <c r="A517" s="62" t="n">
        <v>46628</v>
      </c>
      <c r="B517" s="19" t="n">
        <v>2027</v>
      </c>
      <c r="C517" s="19" t="n">
        <v>8</v>
      </c>
      <c r="D517" s="56" t="inlineStr">
        <is>
          <t>Sun</t>
        </is>
      </c>
      <c r="E517" s="56" t="inlineStr">
        <is>
          <t>Sun</t>
        </is>
      </c>
      <c r="F517" s="56">
        <f>IF(ForeCalc!$F$1="Staffed Hours",G517,24)</f>
        <v/>
      </c>
      <c r="G517" s="57">
        <f>IF(COUNTIF(M:M,Calendar!A517)&gt;0,VLOOKUP(A517,M:P,4,FALSE),VLOOKUP(D517,BusData!$A$3:$D$10,4,FALSE))</f>
        <v/>
      </c>
      <c r="H517" s="11">
        <f>F517/SUMIFS($F$2:$F$9997,$B$2:$B$9997,B517,$C$2:$C$9997,C517)</f>
        <v/>
      </c>
      <c r="I517" s="19" t="n">
        <v>2</v>
      </c>
      <c r="J517" s="57" t="n">
        <v>5</v>
      </c>
    </row>
    <row r="518">
      <c r="A518" s="62" t="n">
        <v>46629</v>
      </c>
      <c r="B518" s="19" t="n">
        <v>2027</v>
      </c>
      <c r="C518" s="19" t="n">
        <v>8</v>
      </c>
      <c r="D518" s="56" t="inlineStr">
        <is>
          <t>Mon</t>
        </is>
      </c>
      <c r="E518" s="56" t="inlineStr">
        <is>
          <t>Week</t>
        </is>
      </c>
      <c r="F518" s="56">
        <f>IF(ForeCalc!$F$1="Staffed Hours",G518,24)</f>
        <v/>
      </c>
      <c r="G518" s="57">
        <f>IF(COUNTIF(M:M,Calendar!A518)&gt;0,VLOOKUP(A518,M:P,4,FALSE),VLOOKUP(D518,BusData!$A$3:$D$10,4,FALSE))</f>
        <v/>
      </c>
      <c r="H518" s="11">
        <f>F518/SUMIFS($F$2:$F$9997,$B$2:$B$9997,B518,$C$2:$C$9997,C518)</f>
        <v/>
      </c>
      <c r="I518" s="19" t="n">
        <v>2</v>
      </c>
      <c r="J518" s="57" t="n">
        <v>5</v>
      </c>
    </row>
    <row r="519">
      <c r="A519" s="62" t="n">
        <v>46630</v>
      </c>
      <c r="B519" s="19" t="n">
        <v>2027</v>
      </c>
      <c r="C519" s="19" t="n">
        <v>8</v>
      </c>
      <c r="D519" s="56" t="inlineStr">
        <is>
          <t>Tue</t>
        </is>
      </c>
      <c r="E519" s="56" t="inlineStr">
        <is>
          <t>Week</t>
        </is>
      </c>
      <c r="F519" s="56">
        <f>IF(ForeCalc!$F$1="Staffed Hours",G519,24)</f>
        <v/>
      </c>
      <c r="G519" s="57">
        <f>IF(COUNTIF(M:M,Calendar!A519)&gt;0,VLOOKUP(A519,M:P,4,FALSE),VLOOKUP(D519,BusData!$A$3:$D$10,4,FALSE))</f>
        <v/>
      </c>
      <c r="H519" s="11">
        <f>F519/SUMIFS($F$2:$F$9997,$B$2:$B$9997,B519,$C$2:$C$9997,C519)</f>
        <v/>
      </c>
      <c r="I519" s="19" t="n">
        <v>2</v>
      </c>
      <c r="J519" s="57" t="n">
        <v>5</v>
      </c>
    </row>
    <row r="520">
      <c r="A520" s="62" t="n">
        <v>46631</v>
      </c>
      <c r="B520" s="19" t="n">
        <v>2027</v>
      </c>
      <c r="C520" s="19" t="n">
        <v>9</v>
      </c>
      <c r="D520" s="56" t="inlineStr">
        <is>
          <t>Wed</t>
        </is>
      </c>
      <c r="E520" s="56" t="inlineStr">
        <is>
          <t>Week</t>
        </is>
      </c>
      <c r="F520" s="56">
        <f>IF(ForeCalc!$F$1="Staffed Hours",G520,24)</f>
        <v/>
      </c>
      <c r="G520" s="57">
        <f>IF(COUNTIF(M:M,Calendar!A520)&gt;0,VLOOKUP(A520,M:P,4,FALSE),VLOOKUP(D520,BusData!$A$3:$D$10,4,FALSE))</f>
        <v/>
      </c>
      <c r="H520" s="11">
        <f>F520/SUMIFS($F$2:$F$9997,$B$2:$B$9997,B520,$C$2:$C$9997,C520)</f>
        <v/>
      </c>
      <c r="I520" s="19" t="n">
        <v>2</v>
      </c>
      <c r="J520" s="57" t="n">
        <v>6</v>
      </c>
    </row>
    <row r="521">
      <c r="A521" s="62" t="n">
        <v>46632</v>
      </c>
      <c r="B521" s="19" t="n">
        <v>2027</v>
      </c>
      <c r="C521" s="19" t="n">
        <v>9</v>
      </c>
      <c r="D521" s="56" t="inlineStr">
        <is>
          <t>Thu</t>
        </is>
      </c>
      <c r="E521" s="56" t="inlineStr">
        <is>
          <t>Week</t>
        </is>
      </c>
      <c r="F521" s="56">
        <f>IF(ForeCalc!$F$1="Staffed Hours",G521,24)</f>
        <v/>
      </c>
      <c r="G521" s="57">
        <f>IF(COUNTIF(M:M,Calendar!A521)&gt;0,VLOOKUP(A521,M:P,4,FALSE),VLOOKUP(D521,BusData!$A$3:$D$10,4,FALSE))</f>
        <v/>
      </c>
      <c r="H521" s="11">
        <f>F521/SUMIFS($F$2:$F$9997,$B$2:$B$9997,B521,$C$2:$C$9997,C521)</f>
        <v/>
      </c>
      <c r="I521" s="19" t="n">
        <v>2</v>
      </c>
      <c r="J521" s="57" t="n">
        <v>6</v>
      </c>
    </row>
    <row r="522">
      <c r="A522" s="62" t="n">
        <v>46633</v>
      </c>
      <c r="B522" s="19" t="n">
        <v>2027</v>
      </c>
      <c r="C522" s="19" t="n">
        <v>9</v>
      </c>
      <c r="D522" s="56" t="inlineStr">
        <is>
          <t>Fri</t>
        </is>
      </c>
      <c r="E522" s="56" t="inlineStr">
        <is>
          <t>Week</t>
        </is>
      </c>
      <c r="F522" s="56">
        <f>IF(ForeCalc!$F$1="Staffed Hours",G522,24)</f>
        <v/>
      </c>
      <c r="G522" s="57">
        <f>IF(COUNTIF(M:M,Calendar!A522)&gt;0,VLOOKUP(A522,M:P,4,FALSE),VLOOKUP(D522,BusData!$A$3:$D$10,4,FALSE))</f>
        <v/>
      </c>
      <c r="H522" s="11">
        <f>F522/SUMIFS($F$2:$F$9997,$B$2:$B$9997,B522,$C$2:$C$9997,C522)</f>
        <v/>
      </c>
      <c r="I522" s="19" t="n">
        <v>2</v>
      </c>
      <c r="J522" s="57" t="n">
        <v>6</v>
      </c>
    </row>
    <row r="523">
      <c r="A523" s="62" t="n">
        <v>46634</v>
      </c>
      <c r="B523" s="19" t="n">
        <v>2027</v>
      </c>
      <c r="C523" s="19" t="n">
        <v>9</v>
      </c>
      <c r="D523" s="56" t="inlineStr">
        <is>
          <t>Sat</t>
        </is>
      </c>
      <c r="E523" s="56" t="inlineStr">
        <is>
          <t>Sat</t>
        </is>
      </c>
      <c r="F523" s="56">
        <f>IF(ForeCalc!$F$1="Staffed Hours",G523,24)</f>
        <v/>
      </c>
      <c r="G523" s="57">
        <f>IF(COUNTIF(M:M,Calendar!A523)&gt;0,VLOOKUP(A523,M:P,4,FALSE),VLOOKUP(D523,BusData!$A$3:$D$10,4,FALSE))</f>
        <v/>
      </c>
      <c r="H523" s="11">
        <f>F523/SUMIFS($F$2:$F$9997,$B$2:$B$9997,B523,$C$2:$C$9997,C523)</f>
        <v/>
      </c>
      <c r="I523" s="19" t="n">
        <v>2</v>
      </c>
      <c r="J523" s="57" t="n">
        <v>6</v>
      </c>
    </row>
    <row r="524">
      <c r="A524" s="62" t="n">
        <v>46635</v>
      </c>
      <c r="B524" s="19" t="n">
        <v>2027</v>
      </c>
      <c r="C524" s="19" t="n">
        <v>9</v>
      </c>
      <c r="D524" s="56" t="inlineStr">
        <is>
          <t>Sun</t>
        </is>
      </c>
      <c r="E524" s="56" t="inlineStr">
        <is>
          <t>Sun</t>
        </is>
      </c>
      <c r="F524" s="56">
        <f>IF(ForeCalc!$F$1="Staffed Hours",G524,24)</f>
        <v/>
      </c>
      <c r="G524" s="57">
        <f>IF(COUNTIF(M:M,Calendar!A524)&gt;0,VLOOKUP(A524,M:P,4,FALSE),VLOOKUP(D524,BusData!$A$3:$D$10,4,FALSE))</f>
        <v/>
      </c>
      <c r="H524" s="11">
        <f>F524/SUMIFS($F$2:$F$9997,$B$2:$B$9997,B524,$C$2:$C$9997,C524)</f>
        <v/>
      </c>
      <c r="I524" s="19" t="n">
        <v>2</v>
      </c>
      <c r="J524" s="57" t="n">
        <v>6</v>
      </c>
    </row>
    <row r="525">
      <c r="A525" s="62" t="n">
        <v>46636</v>
      </c>
      <c r="B525" s="19" t="n">
        <v>2027</v>
      </c>
      <c r="C525" s="19" t="n">
        <v>9</v>
      </c>
      <c r="D525" s="56" t="inlineStr">
        <is>
          <t>Mon</t>
        </is>
      </c>
      <c r="E525" s="56" t="inlineStr">
        <is>
          <t>Week</t>
        </is>
      </c>
      <c r="F525" s="56">
        <f>IF(ForeCalc!$F$1="Staffed Hours",G525,24)</f>
        <v/>
      </c>
      <c r="G525" s="57">
        <f>IF(COUNTIF(M:M,Calendar!A525)&gt;0,VLOOKUP(A525,M:P,4,FALSE),VLOOKUP(D525,BusData!$A$3:$D$10,4,FALSE))</f>
        <v/>
      </c>
      <c r="H525" s="11">
        <f>F525/SUMIFS($F$2:$F$9997,$B$2:$B$9997,B525,$C$2:$C$9997,C525)</f>
        <v/>
      </c>
      <c r="I525" s="19" t="n">
        <v>2</v>
      </c>
      <c r="J525" s="57" t="n">
        <v>6</v>
      </c>
    </row>
    <row r="526">
      <c r="A526" s="62" t="n">
        <v>46637</v>
      </c>
      <c r="B526" s="19" t="n">
        <v>2027</v>
      </c>
      <c r="C526" s="19" t="n">
        <v>9</v>
      </c>
      <c r="D526" s="56" t="inlineStr">
        <is>
          <t>Tue</t>
        </is>
      </c>
      <c r="E526" s="56" t="inlineStr">
        <is>
          <t>Week</t>
        </is>
      </c>
      <c r="F526" s="56">
        <f>IF(ForeCalc!$F$1="Staffed Hours",G526,24)</f>
        <v/>
      </c>
      <c r="G526" s="57">
        <f>IF(COUNTIF(M:M,Calendar!A526)&gt;0,VLOOKUP(A526,M:P,4,FALSE),VLOOKUP(D526,BusData!$A$3:$D$10,4,FALSE))</f>
        <v/>
      </c>
      <c r="H526" s="11">
        <f>F526/SUMIFS($F$2:$F$9997,$B$2:$B$9997,B526,$C$2:$C$9997,C526)</f>
        <v/>
      </c>
      <c r="I526" s="19" t="n">
        <v>2</v>
      </c>
      <c r="J526" s="57" t="n">
        <v>6</v>
      </c>
    </row>
    <row r="527">
      <c r="A527" s="62" t="n">
        <v>46638</v>
      </c>
      <c r="B527" s="19" t="n">
        <v>2027</v>
      </c>
      <c r="C527" s="19" t="n">
        <v>9</v>
      </c>
      <c r="D527" s="56" t="inlineStr">
        <is>
          <t>Wed</t>
        </is>
      </c>
      <c r="E527" s="56" t="inlineStr">
        <is>
          <t>Week</t>
        </is>
      </c>
      <c r="F527" s="56">
        <f>IF(ForeCalc!$F$1="Staffed Hours",G527,24)</f>
        <v/>
      </c>
      <c r="G527" s="57">
        <f>IF(COUNTIF(M:M,Calendar!A527)&gt;0,VLOOKUP(A527,M:P,4,FALSE),VLOOKUP(D527,BusData!$A$3:$D$10,4,FALSE))</f>
        <v/>
      </c>
      <c r="H527" s="11">
        <f>F527/SUMIFS($F$2:$F$9997,$B$2:$B$9997,B527,$C$2:$C$9997,C527)</f>
        <v/>
      </c>
      <c r="I527" s="19" t="n">
        <v>2</v>
      </c>
      <c r="J527" s="57" t="n">
        <v>6</v>
      </c>
    </row>
    <row r="528">
      <c r="A528" s="62" t="n">
        <v>46639</v>
      </c>
      <c r="B528" s="19" t="n">
        <v>2027</v>
      </c>
      <c r="C528" s="19" t="n">
        <v>9</v>
      </c>
      <c r="D528" s="56" t="inlineStr">
        <is>
          <t>Thu</t>
        </is>
      </c>
      <c r="E528" s="56" t="inlineStr">
        <is>
          <t>Week</t>
        </is>
      </c>
      <c r="F528" s="56">
        <f>IF(ForeCalc!$F$1="Staffed Hours",G528,24)</f>
        <v/>
      </c>
      <c r="G528" s="57">
        <f>IF(COUNTIF(M:M,Calendar!A528)&gt;0,VLOOKUP(A528,M:P,4,FALSE),VLOOKUP(D528,BusData!$A$3:$D$10,4,FALSE))</f>
        <v/>
      </c>
      <c r="H528" s="11">
        <f>F528/SUMIFS($F$2:$F$9997,$B$2:$B$9997,B528,$C$2:$C$9997,C528)</f>
        <v/>
      </c>
      <c r="I528" s="19" t="n">
        <v>2</v>
      </c>
      <c r="J528" s="57" t="n">
        <v>6</v>
      </c>
    </row>
    <row r="529">
      <c r="A529" s="62" t="n">
        <v>46640</v>
      </c>
      <c r="B529" s="19" t="n">
        <v>2027</v>
      </c>
      <c r="C529" s="19" t="n">
        <v>9</v>
      </c>
      <c r="D529" s="56" t="inlineStr">
        <is>
          <t>Fri</t>
        </is>
      </c>
      <c r="E529" s="56" t="inlineStr">
        <is>
          <t>Week</t>
        </is>
      </c>
      <c r="F529" s="56">
        <f>IF(ForeCalc!$F$1="Staffed Hours",G529,24)</f>
        <v/>
      </c>
      <c r="G529" s="57">
        <f>IF(COUNTIF(M:M,Calendar!A529)&gt;0,VLOOKUP(A529,M:P,4,FALSE),VLOOKUP(D529,BusData!$A$3:$D$10,4,FALSE))</f>
        <v/>
      </c>
      <c r="H529" s="11">
        <f>F529/SUMIFS($F$2:$F$9997,$B$2:$B$9997,B529,$C$2:$C$9997,C529)</f>
        <v/>
      </c>
      <c r="I529" s="19" t="n">
        <v>2</v>
      </c>
      <c r="J529" s="57" t="n">
        <v>6</v>
      </c>
    </row>
    <row r="530">
      <c r="A530" s="62" t="n">
        <v>46641</v>
      </c>
      <c r="B530" s="19" t="n">
        <v>2027</v>
      </c>
      <c r="C530" s="19" t="n">
        <v>9</v>
      </c>
      <c r="D530" s="56" t="inlineStr">
        <is>
          <t>Sat</t>
        </is>
      </c>
      <c r="E530" s="56" t="inlineStr">
        <is>
          <t>Sat</t>
        </is>
      </c>
      <c r="F530" s="56">
        <f>IF(ForeCalc!$F$1="Staffed Hours",G530,24)</f>
        <v/>
      </c>
      <c r="G530" s="57">
        <f>IF(COUNTIF(M:M,Calendar!A530)&gt;0,VLOOKUP(A530,M:P,4,FALSE),VLOOKUP(D530,BusData!$A$3:$D$10,4,FALSE))</f>
        <v/>
      </c>
      <c r="H530" s="11">
        <f>F530/SUMIFS($F$2:$F$9997,$B$2:$B$9997,B530,$C$2:$C$9997,C530)</f>
        <v/>
      </c>
      <c r="I530" s="19" t="n">
        <v>2</v>
      </c>
      <c r="J530" s="57" t="n">
        <v>6</v>
      </c>
    </row>
    <row r="531">
      <c r="A531" s="62" t="n">
        <v>46642</v>
      </c>
      <c r="B531" s="19" t="n">
        <v>2027</v>
      </c>
      <c r="C531" s="19" t="n">
        <v>9</v>
      </c>
      <c r="D531" s="56" t="inlineStr">
        <is>
          <t>Sun</t>
        </is>
      </c>
      <c r="E531" s="56" t="inlineStr">
        <is>
          <t>Sun</t>
        </is>
      </c>
      <c r="F531" s="56">
        <f>IF(ForeCalc!$F$1="Staffed Hours",G531,24)</f>
        <v/>
      </c>
      <c r="G531" s="57">
        <f>IF(COUNTIF(M:M,Calendar!A531)&gt;0,VLOOKUP(A531,M:P,4,FALSE),VLOOKUP(D531,BusData!$A$3:$D$10,4,FALSE))</f>
        <v/>
      </c>
      <c r="H531" s="11">
        <f>F531/SUMIFS($F$2:$F$9997,$B$2:$B$9997,B531,$C$2:$C$9997,C531)</f>
        <v/>
      </c>
      <c r="I531" s="19" t="n">
        <v>2</v>
      </c>
      <c r="J531" s="57" t="n">
        <v>6</v>
      </c>
    </row>
    <row r="532">
      <c r="A532" s="62" t="n">
        <v>46643</v>
      </c>
      <c r="B532" s="19" t="n">
        <v>2027</v>
      </c>
      <c r="C532" s="19" t="n">
        <v>9</v>
      </c>
      <c r="D532" s="56" t="inlineStr">
        <is>
          <t>Mon</t>
        </is>
      </c>
      <c r="E532" s="56" t="inlineStr">
        <is>
          <t>Week</t>
        </is>
      </c>
      <c r="F532" s="56">
        <f>IF(ForeCalc!$F$1="Staffed Hours",G532,24)</f>
        <v/>
      </c>
      <c r="G532" s="57">
        <f>IF(COUNTIF(M:M,Calendar!A532)&gt;0,VLOOKUP(A532,M:P,4,FALSE),VLOOKUP(D532,BusData!$A$3:$D$10,4,FALSE))</f>
        <v/>
      </c>
      <c r="H532" s="11">
        <f>F532/SUMIFS($F$2:$F$9997,$B$2:$B$9997,B532,$C$2:$C$9997,C532)</f>
        <v/>
      </c>
      <c r="I532" s="19" t="n">
        <v>2</v>
      </c>
      <c r="J532" s="57" t="n">
        <v>6</v>
      </c>
    </row>
    <row r="533">
      <c r="A533" s="62" t="n">
        <v>46644</v>
      </c>
      <c r="B533" s="19" t="n">
        <v>2027</v>
      </c>
      <c r="C533" s="19" t="n">
        <v>9</v>
      </c>
      <c r="D533" s="56" t="inlineStr">
        <is>
          <t>Tue</t>
        </is>
      </c>
      <c r="E533" s="56" t="inlineStr">
        <is>
          <t>Week</t>
        </is>
      </c>
      <c r="F533" s="56">
        <f>IF(ForeCalc!$F$1="Staffed Hours",G533,24)</f>
        <v/>
      </c>
      <c r="G533" s="57">
        <f>IF(COUNTIF(M:M,Calendar!A533)&gt;0,VLOOKUP(A533,M:P,4,FALSE),VLOOKUP(D533,BusData!$A$3:$D$10,4,FALSE))</f>
        <v/>
      </c>
      <c r="H533" s="11">
        <f>F533/SUMIFS($F$2:$F$9997,$B$2:$B$9997,B533,$C$2:$C$9997,C533)</f>
        <v/>
      </c>
      <c r="I533" s="19" t="n">
        <v>2</v>
      </c>
      <c r="J533" s="57" t="n">
        <v>6</v>
      </c>
    </row>
    <row r="534">
      <c r="A534" s="62" t="n">
        <v>46645</v>
      </c>
      <c r="B534" s="19" t="n">
        <v>2027</v>
      </c>
      <c r="C534" s="19" t="n">
        <v>9</v>
      </c>
      <c r="D534" s="56" t="inlineStr">
        <is>
          <t>Wed</t>
        </is>
      </c>
      <c r="E534" s="56" t="inlineStr">
        <is>
          <t>Week</t>
        </is>
      </c>
      <c r="F534" s="56">
        <f>IF(ForeCalc!$F$1="Staffed Hours",G534,24)</f>
        <v/>
      </c>
      <c r="G534" s="57">
        <f>IF(COUNTIF(M:M,Calendar!A534)&gt;0,VLOOKUP(A534,M:P,4,FALSE),VLOOKUP(D534,BusData!$A$3:$D$10,4,FALSE))</f>
        <v/>
      </c>
      <c r="H534" s="11">
        <f>F534/SUMIFS($F$2:$F$9997,$B$2:$B$9997,B534,$C$2:$C$9997,C534)</f>
        <v/>
      </c>
      <c r="I534" s="19" t="n">
        <v>2</v>
      </c>
      <c r="J534" s="57" t="n">
        <v>6</v>
      </c>
    </row>
    <row r="535">
      <c r="A535" s="62" t="n">
        <v>46646</v>
      </c>
      <c r="B535" s="19" t="n">
        <v>2027</v>
      </c>
      <c r="C535" s="19" t="n">
        <v>9</v>
      </c>
      <c r="D535" s="56" t="inlineStr">
        <is>
          <t>Thu</t>
        </is>
      </c>
      <c r="E535" s="56" t="inlineStr">
        <is>
          <t>Week</t>
        </is>
      </c>
      <c r="F535" s="56">
        <f>IF(ForeCalc!$F$1="Staffed Hours",G535,24)</f>
        <v/>
      </c>
      <c r="G535" s="57">
        <f>IF(COUNTIF(M:M,Calendar!A535)&gt;0,VLOOKUP(A535,M:P,4,FALSE),VLOOKUP(D535,BusData!$A$3:$D$10,4,FALSE))</f>
        <v/>
      </c>
      <c r="H535" s="11">
        <f>F535/SUMIFS($F$2:$F$9997,$B$2:$B$9997,B535,$C$2:$C$9997,C535)</f>
        <v/>
      </c>
      <c r="I535" s="19" t="n">
        <v>2</v>
      </c>
      <c r="J535" s="57" t="n">
        <v>6</v>
      </c>
    </row>
    <row r="536">
      <c r="A536" s="62" t="n">
        <v>46647</v>
      </c>
      <c r="B536" s="19" t="n">
        <v>2027</v>
      </c>
      <c r="C536" s="19" t="n">
        <v>9</v>
      </c>
      <c r="D536" s="56" t="inlineStr">
        <is>
          <t>Fri</t>
        </is>
      </c>
      <c r="E536" s="56" t="inlineStr">
        <is>
          <t>Week</t>
        </is>
      </c>
      <c r="F536" s="56">
        <f>IF(ForeCalc!$F$1="Staffed Hours",G536,24)</f>
        <v/>
      </c>
      <c r="G536" s="57">
        <f>IF(COUNTIF(M:M,Calendar!A536)&gt;0,VLOOKUP(A536,M:P,4,FALSE),VLOOKUP(D536,BusData!$A$3:$D$10,4,FALSE))</f>
        <v/>
      </c>
      <c r="H536" s="11">
        <f>F536/SUMIFS($F$2:$F$9997,$B$2:$B$9997,B536,$C$2:$C$9997,C536)</f>
        <v/>
      </c>
      <c r="I536" s="19" t="n">
        <v>2</v>
      </c>
      <c r="J536" s="57" t="n">
        <v>6</v>
      </c>
    </row>
    <row r="537">
      <c r="A537" s="62" t="n">
        <v>46648</v>
      </c>
      <c r="B537" s="19" t="n">
        <v>2027</v>
      </c>
      <c r="C537" s="19" t="n">
        <v>9</v>
      </c>
      <c r="D537" s="56" t="inlineStr">
        <is>
          <t>Sat</t>
        </is>
      </c>
      <c r="E537" s="56" t="inlineStr">
        <is>
          <t>Sat</t>
        </is>
      </c>
      <c r="F537" s="56">
        <f>IF(ForeCalc!$F$1="Staffed Hours",G537,24)</f>
        <v/>
      </c>
      <c r="G537" s="57">
        <f>IF(COUNTIF(M:M,Calendar!A537)&gt;0,VLOOKUP(A537,M:P,4,FALSE),VLOOKUP(D537,BusData!$A$3:$D$10,4,FALSE))</f>
        <v/>
      </c>
      <c r="H537" s="11">
        <f>F537/SUMIFS($F$2:$F$9997,$B$2:$B$9997,B537,$C$2:$C$9997,C537)</f>
        <v/>
      </c>
      <c r="I537" s="19" t="n">
        <v>2</v>
      </c>
      <c r="J537" s="57" t="n">
        <v>6</v>
      </c>
    </row>
    <row r="538">
      <c r="A538" s="62" t="n">
        <v>46649</v>
      </c>
      <c r="B538" s="19" t="n">
        <v>2027</v>
      </c>
      <c r="C538" s="19" t="n">
        <v>9</v>
      </c>
      <c r="D538" s="56" t="inlineStr">
        <is>
          <t>Sun</t>
        </is>
      </c>
      <c r="E538" s="56" t="inlineStr">
        <is>
          <t>Sun</t>
        </is>
      </c>
      <c r="F538" s="56">
        <f>IF(ForeCalc!$F$1="Staffed Hours",G538,24)</f>
        <v/>
      </c>
      <c r="G538" s="57">
        <f>IF(COUNTIF(M:M,Calendar!A538)&gt;0,VLOOKUP(A538,M:P,4,FALSE),VLOOKUP(D538,BusData!$A$3:$D$10,4,FALSE))</f>
        <v/>
      </c>
      <c r="H538" s="11">
        <f>F538/SUMIFS($F$2:$F$9997,$B$2:$B$9997,B538,$C$2:$C$9997,C538)</f>
        <v/>
      </c>
      <c r="I538" s="19" t="n">
        <v>2</v>
      </c>
      <c r="J538" s="57" t="n">
        <v>6</v>
      </c>
    </row>
    <row r="539">
      <c r="A539" s="62" t="n">
        <v>46650</v>
      </c>
      <c r="B539" s="19" t="n">
        <v>2027</v>
      </c>
      <c r="C539" s="19" t="n">
        <v>9</v>
      </c>
      <c r="D539" s="56" t="inlineStr">
        <is>
          <t>Mon</t>
        </is>
      </c>
      <c r="E539" s="56" t="inlineStr">
        <is>
          <t>Week</t>
        </is>
      </c>
      <c r="F539" s="56">
        <f>IF(ForeCalc!$F$1="Staffed Hours",G539,24)</f>
        <v/>
      </c>
      <c r="G539" s="57">
        <f>IF(COUNTIF(M:M,Calendar!A539)&gt;0,VLOOKUP(A539,M:P,4,FALSE),VLOOKUP(D539,BusData!$A$3:$D$10,4,FALSE))</f>
        <v/>
      </c>
      <c r="H539" s="11">
        <f>F539/SUMIFS($F$2:$F$9997,$B$2:$B$9997,B539,$C$2:$C$9997,C539)</f>
        <v/>
      </c>
      <c r="I539" s="19" t="n">
        <v>2</v>
      </c>
      <c r="J539" s="57" t="n">
        <v>6</v>
      </c>
    </row>
    <row r="540">
      <c r="A540" s="62" t="n">
        <v>46651</v>
      </c>
      <c r="B540" s="19" t="n">
        <v>2027</v>
      </c>
      <c r="C540" s="19" t="n">
        <v>9</v>
      </c>
      <c r="D540" s="56" t="inlineStr">
        <is>
          <t>Tue</t>
        </is>
      </c>
      <c r="E540" s="56" t="inlineStr">
        <is>
          <t>Week</t>
        </is>
      </c>
      <c r="F540" s="56">
        <f>IF(ForeCalc!$F$1="Staffed Hours",G540,24)</f>
        <v/>
      </c>
      <c r="G540" s="57">
        <f>IF(COUNTIF(M:M,Calendar!A540)&gt;0,VLOOKUP(A540,M:P,4,FALSE),VLOOKUP(D540,BusData!$A$3:$D$10,4,FALSE))</f>
        <v/>
      </c>
      <c r="H540" s="11">
        <f>F540/SUMIFS($F$2:$F$9997,$B$2:$B$9997,B540,$C$2:$C$9997,C540)</f>
        <v/>
      </c>
      <c r="I540" s="19" t="n">
        <v>2</v>
      </c>
      <c r="J540" s="57" t="n">
        <v>6</v>
      </c>
    </row>
    <row r="541">
      <c r="A541" s="62" t="n">
        <v>46652</v>
      </c>
      <c r="B541" s="19" t="n">
        <v>2027</v>
      </c>
      <c r="C541" s="19" t="n">
        <v>9</v>
      </c>
      <c r="D541" s="56" t="inlineStr">
        <is>
          <t>Wed</t>
        </is>
      </c>
      <c r="E541" s="56" t="inlineStr">
        <is>
          <t>Week</t>
        </is>
      </c>
      <c r="F541" s="56">
        <f>IF(ForeCalc!$F$1="Staffed Hours",G541,24)</f>
        <v/>
      </c>
      <c r="G541" s="57">
        <f>IF(COUNTIF(M:M,Calendar!A541)&gt;0,VLOOKUP(A541,M:P,4,FALSE),VLOOKUP(D541,BusData!$A$3:$D$10,4,FALSE))</f>
        <v/>
      </c>
      <c r="H541" s="11">
        <f>F541/SUMIFS($F$2:$F$9997,$B$2:$B$9997,B541,$C$2:$C$9997,C541)</f>
        <v/>
      </c>
      <c r="I541" s="19" t="n">
        <v>2</v>
      </c>
      <c r="J541" s="57" t="n">
        <v>6</v>
      </c>
    </row>
    <row r="542">
      <c r="A542" s="62" t="n">
        <v>46653</v>
      </c>
      <c r="B542" s="19" t="n">
        <v>2027</v>
      </c>
      <c r="C542" s="19" t="n">
        <v>9</v>
      </c>
      <c r="D542" s="56" t="inlineStr">
        <is>
          <t>Thu</t>
        </is>
      </c>
      <c r="E542" s="56" t="inlineStr">
        <is>
          <t>Week</t>
        </is>
      </c>
      <c r="F542" s="56">
        <f>IF(ForeCalc!$F$1="Staffed Hours",G542,24)</f>
        <v/>
      </c>
      <c r="G542" s="57">
        <f>IF(COUNTIF(M:M,Calendar!A542)&gt;0,VLOOKUP(A542,M:P,4,FALSE),VLOOKUP(D542,BusData!$A$3:$D$10,4,FALSE))</f>
        <v/>
      </c>
      <c r="H542" s="11">
        <f>F542/SUMIFS($F$2:$F$9997,$B$2:$B$9997,B542,$C$2:$C$9997,C542)</f>
        <v/>
      </c>
      <c r="I542" s="19" t="n">
        <v>2</v>
      </c>
      <c r="J542" s="57" t="n">
        <v>6</v>
      </c>
    </row>
    <row r="543">
      <c r="A543" s="62" t="n">
        <v>46654</v>
      </c>
      <c r="B543" s="19" t="n">
        <v>2027</v>
      </c>
      <c r="C543" s="19" t="n">
        <v>9</v>
      </c>
      <c r="D543" s="56" t="inlineStr">
        <is>
          <t>Fri</t>
        </is>
      </c>
      <c r="E543" s="56" t="inlineStr">
        <is>
          <t>Week</t>
        </is>
      </c>
      <c r="F543" s="56">
        <f>IF(ForeCalc!$F$1="Staffed Hours",G543,24)</f>
        <v/>
      </c>
      <c r="G543" s="57">
        <f>IF(COUNTIF(M:M,Calendar!A543)&gt;0,VLOOKUP(A543,M:P,4,FALSE),VLOOKUP(D543,BusData!$A$3:$D$10,4,FALSE))</f>
        <v/>
      </c>
      <c r="H543" s="11">
        <f>F543/SUMIFS($F$2:$F$9997,$B$2:$B$9997,B543,$C$2:$C$9997,C543)</f>
        <v/>
      </c>
      <c r="I543" s="19" t="n">
        <v>2</v>
      </c>
      <c r="J543" s="57" t="n">
        <v>6</v>
      </c>
    </row>
    <row r="544">
      <c r="A544" s="62" t="n">
        <v>46655</v>
      </c>
      <c r="B544" s="19" t="n">
        <v>2027</v>
      </c>
      <c r="C544" s="19" t="n">
        <v>9</v>
      </c>
      <c r="D544" s="56" t="inlineStr">
        <is>
          <t>Sat</t>
        </is>
      </c>
      <c r="E544" s="56" t="inlineStr">
        <is>
          <t>Sat</t>
        </is>
      </c>
      <c r="F544" s="56">
        <f>IF(ForeCalc!$F$1="Staffed Hours",G544,24)</f>
        <v/>
      </c>
      <c r="G544" s="57">
        <f>IF(COUNTIF(M:M,Calendar!A544)&gt;0,VLOOKUP(A544,M:P,4,FALSE),VLOOKUP(D544,BusData!$A$3:$D$10,4,FALSE))</f>
        <v/>
      </c>
      <c r="H544" s="11">
        <f>F544/SUMIFS($F$2:$F$9997,$B$2:$B$9997,B544,$C$2:$C$9997,C544)</f>
        <v/>
      </c>
      <c r="I544" s="19" t="n">
        <v>2</v>
      </c>
      <c r="J544" s="57" t="n">
        <v>6</v>
      </c>
    </row>
    <row r="545">
      <c r="A545" s="62" t="n">
        <v>46656</v>
      </c>
      <c r="B545" s="19" t="n">
        <v>2027</v>
      </c>
      <c r="C545" s="19" t="n">
        <v>9</v>
      </c>
      <c r="D545" s="56" t="inlineStr">
        <is>
          <t>Sun</t>
        </is>
      </c>
      <c r="E545" s="56" t="inlineStr">
        <is>
          <t>Sun</t>
        </is>
      </c>
      <c r="F545" s="56">
        <f>IF(ForeCalc!$F$1="Staffed Hours",G545,24)</f>
        <v/>
      </c>
      <c r="G545" s="57">
        <f>IF(COUNTIF(M:M,Calendar!A545)&gt;0,VLOOKUP(A545,M:P,4,FALSE),VLOOKUP(D545,BusData!$A$3:$D$10,4,FALSE))</f>
        <v/>
      </c>
      <c r="H545" s="11">
        <f>F545/SUMIFS($F$2:$F$9997,$B$2:$B$9997,B545,$C$2:$C$9997,C545)</f>
        <v/>
      </c>
      <c r="I545" s="19" t="n">
        <v>2</v>
      </c>
      <c r="J545" s="57" t="n">
        <v>6</v>
      </c>
    </row>
    <row r="546">
      <c r="A546" s="62" t="n">
        <v>46657</v>
      </c>
      <c r="B546" s="19" t="n">
        <v>2027</v>
      </c>
      <c r="C546" s="19" t="n">
        <v>9</v>
      </c>
      <c r="D546" s="56" t="inlineStr">
        <is>
          <t>Mon</t>
        </is>
      </c>
      <c r="E546" s="56" t="inlineStr">
        <is>
          <t>Week</t>
        </is>
      </c>
      <c r="F546" s="56">
        <f>IF(ForeCalc!$F$1="Staffed Hours",G546,24)</f>
        <v/>
      </c>
      <c r="G546" s="57">
        <f>IF(COUNTIF(M:M,Calendar!A546)&gt;0,VLOOKUP(A546,M:P,4,FALSE),VLOOKUP(D546,BusData!$A$3:$D$10,4,FALSE))</f>
        <v/>
      </c>
      <c r="H546" s="11">
        <f>F546/SUMIFS($F$2:$F$9997,$B$2:$B$9997,B546,$C$2:$C$9997,C546)</f>
        <v/>
      </c>
      <c r="I546" s="19" t="n">
        <v>2</v>
      </c>
      <c r="J546" s="57" t="n">
        <v>6</v>
      </c>
    </row>
    <row r="547">
      <c r="A547" s="62" t="n">
        <v>46658</v>
      </c>
      <c r="B547" s="19" t="n">
        <v>2027</v>
      </c>
      <c r="C547" s="19" t="n">
        <v>9</v>
      </c>
      <c r="D547" s="56" t="inlineStr">
        <is>
          <t>Tue</t>
        </is>
      </c>
      <c r="E547" s="56" t="inlineStr">
        <is>
          <t>Week</t>
        </is>
      </c>
      <c r="F547" s="56">
        <f>IF(ForeCalc!$F$1="Staffed Hours",G547,24)</f>
        <v/>
      </c>
      <c r="G547" s="57">
        <f>IF(COUNTIF(M:M,Calendar!A547)&gt;0,VLOOKUP(A547,M:P,4,FALSE),VLOOKUP(D547,BusData!$A$3:$D$10,4,FALSE))</f>
        <v/>
      </c>
      <c r="H547" s="11">
        <f>F547/SUMIFS($F$2:$F$9997,$B$2:$B$9997,B547,$C$2:$C$9997,C547)</f>
        <v/>
      </c>
      <c r="I547" s="19" t="n">
        <v>2</v>
      </c>
      <c r="J547" s="57" t="n">
        <v>6</v>
      </c>
    </row>
    <row r="548">
      <c r="A548" s="62" t="n">
        <v>46659</v>
      </c>
      <c r="B548" s="19" t="n">
        <v>2027</v>
      </c>
      <c r="C548" s="19" t="n">
        <v>9</v>
      </c>
      <c r="D548" s="56" t="inlineStr">
        <is>
          <t>Wed</t>
        </is>
      </c>
      <c r="E548" s="56" t="inlineStr">
        <is>
          <t>Week</t>
        </is>
      </c>
      <c r="F548" s="56">
        <f>IF(ForeCalc!$F$1="Staffed Hours",G548,24)</f>
        <v/>
      </c>
      <c r="G548" s="57">
        <f>IF(COUNTIF(M:M,Calendar!A548)&gt;0,VLOOKUP(A548,M:P,4,FALSE),VLOOKUP(D548,BusData!$A$3:$D$10,4,FALSE))</f>
        <v/>
      </c>
      <c r="H548" s="11">
        <f>F548/SUMIFS($F$2:$F$9997,$B$2:$B$9997,B548,$C$2:$C$9997,C548)</f>
        <v/>
      </c>
      <c r="I548" s="19" t="n">
        <v>2</v>
      </c>
      <c r="J548" s="57" t="n">
        <v>6</v>
      </c>
    </row>
    <row r="549">
      <c r="A549" s="62" t="n">
        <v>46660</v>
      </c>
      <c r="B549" s="19" t="n">
        <v>2027</v>
      </c>
      <c r="C549" s="19" t="n">
        <v>9</v>
      </c>
      <c r="D549" s="56" t="inlineStr">
        <is>
          <t>Thu</t>
        </is>
      </c>
      <c r="E549" s="56" t="inlineStr">
        <is>
          <t>Week</t>
        </is>
      </c>
      <c r="F549" s="56">
        <f>IF(ForeCalc!$F$1="Staffed Hours",G549,24)</f>
        <v/>
      </c>
      <c r="G549" s="57">
        <f>IF(COUNTIF(M:M,Calendar!A549)&gt;0,VLOOKUP(A549,M:P,4,FALSE),VLOOKUP(D549,BusData!$A$3:$D$10,4,FALSE))</f>
        <v/>
      </c>
      <c r="H549" s="11">
        <f>F549/SUMIFS($F$2:$F$9997,$B$2:$B$9997,B549,$C$2:$C$9997,C549)</f>
        <v/>
      </c>
      <c r="I549" s="19" t="n">
        <v>2</v>
      </c>
      <c r="J549" s="57" t="n">
        <v>6</v>
      </c>
    </row>
    <row r="550">
      <c r="A550" s="62" t="n">
        <v>46661</v>
      </c>
      <c r="B550" s="19" t="n">
        <v>2027</v>
      </c>
      <c r="C550" s="19" t="n">
        <v>10</v>
      </c>
      <c r="D550" s="56" t="inlineStr">
        <is>
          <t>Fri</t>
        </is>
      </c>
      <c r="E550" s="56" t="inlineStr">
        <is>
          <t>Week</t>
        </is>
      </c>
      <c r="F550" s="56">
        <f>IF(ForeCalc!$F$1="Staffed Hours",G550,24)</f>
        <v/>
      </c>
      <c r="G550" s="57">
        <f>IF(COUNTIF(M:M,Calendar!A550)&gt;0,VLOOKUP(A550,M:P,4,FALSE),VLOOKUP(D550,BusData!$A$3:$D$10,4,FALSE))</f>
        <v/>
      </c>
      <c r="H550" s="11">
        <f>F550/SUMIFS($F$2:$F$9997,$B$2:$B$9997,B550,$C$2:$C$9997,C550)</f>
        <v/>
      </c>
      <c r="I550" s="19" t="n">
        <v>2</v>
      </c>
      <c r="J550" s="57" t="n">
        <v>7</v>
      </c>
    </row>
    <row r="551">
      <c r="A551" s="62" t="n">
        <v>46662</v>
      </c>
      <c r="B551" s="19" t="n">
        <v>2027</v>
      </c>
      <c r="C551" s="19" t="n">
        <v>10</v>
      </c>
      <c r="D551" s="56" t="inlineStr">
        <is>
          <t>Sat</t>
        </is>
      </c>
      <c r="E551" s="56" t="inlineStr">
        <is>
          <t>Sat</t>
        </is>
      </c>
      <c r="F551" s="56">
        <f>IF(ForeCalc!$F$1="Staffed Hours",G551,24)</f>
        <v/>
      </c>
      <c r="G551" s="57">
        <f>IF(COUNTIF(M:M,Calendar!A551)&gt;0,VLOOKUP(A551,M:P,4,FALSE),VLOOKUP(D551,BusData!$A$3:$D$10,4,FALSE))</f>
        <v/>
      </c>
      <c r="H551" s="11">
        <f>F551/SUMIFS($F$2:$F$9997,$B$2:$B$9997,B551,$C$2:$C$9997,C551)</f>
        <v/>
      </c>
      <c r="I551" s="19" t="n">
        <v>2</v>
      </c>
      <c r="J551" s="57" t="n">
        <v>7</v>
      </c>
    </row>
    <row r="552">
      <c r="A552" s="62" t="n">
        <v>46663</v>
      </c>
      <c r="B552" s="19" t="n">
        <v>2027</v>
      </c>
      <c r="C552" s="19" t="n">
        <v>10</v>
      </c>
      <c r="D552" s="56" t="inlineStr">
        <is>
          <t>Sun</t>
        </is>
      </c>
      <c r="E552" s="56" t="inlineStr">
        <is>
          <t>Sun</t>
        </is>
      </c>
      <c r="F552" s="56">
        <f>IF(ForeCalc!$F$1="Staffed Hours",G552,24)</f>
        <v/>
      </c>
      <c r="G552" s="57">
        <f>IF(COUNTIF(M:M,Calendar!A552)&gt;0,VLOOKUP(A552,M:P,4,FALSE),VLOOKUP(D552,BusData!$A$3:$D$10,4,FALSE))</f>
        <v/>
      </c>
      <c r="H552" s="11">
        <f>F552/SUMIFS($F$2:$F$9997,$B$2:$B$9997,B552,$C$2:$C$9997,C552)</f>
        <v/>
      </c>
      <c r="I552" s="19" t="n">
        <v>2</v>
      </c>
      <c r="J552" s="57" t="n">
        <v>7</v>
      </c>
    </row>
    <row r="553">
      <c r="A553" s="62" t="n">
        <v>46664</v>
      </c>
      <c r="B553" s="19" t="n">
        <v>2027</v>
      </c>
      <c r="C553" s="19" t="n">
        <v>10</v>
      </c>
      <c r="D553" s="56" t="inlineStr">
        <is>
          <t>Mon</t>
        </is>
      </c>
      <c r="E553" s="56" t="inlineStr">
        <is>
          <t>Week</t>
        </is>
      </c>
      <c r="F553" s="56">
        <f>IF(ForeCalc!$F$1="Staffed Hours",G553,24)</f>
        <v/>
      </c>
      <c r="G553" s="57">
        <f>IF(COUNTIF(M:M,Calendar!A553)&gt;0,VLOOKUP(A553,M:P,4,FALSE),VLOOKUP(D553,BusData!$A$3:$D$10,4,FALSE))</f>
        <v/>
      </c>
      <c r="H553" s="11">
        <f>F553/SUMIFS($F$2:$F$9997,$B$2:$B$9997,B553,$C$2:$C$9997,C553)</f>
        <v/>
      </c>
      <c r="I553" s="19" t="n">
        <v>2</v>
      </c>
      <c r="J553" s="57" t="n">
        <v>7</v>
      </c>
    </row>
    <row r="554">
      <c r="A554" s="62" t="n">
        <v>46665</v>
      </c>
      <c r="B554" s="19" t="n">
        <v>2027</v>
      </c>
      <c r="C554" s="19" t="n">
        <v>10</v>
      </c>
      <c r="D554" s="56" t="inlineStr">
        <is>
          <t>Tue</t>
        </is>
      </c>
      <c r="E554" s="56" t="inlineStr">
        <is>
          <t>Week</t>
        </is>
      </c>
      <c r="F554" s="56">
        <f>IF(ForeCalc!$F$1="Staffed Hours",G554,24)</f>
        <v/>
      </c>
      <c r="G554" s="57">
        <f>IF(COUNTIF(M:M,Calendar!A554)&gt;0,VLOOKUP(A554,M:P,4,FALSE),VLOOKUP(D554,BusData!$A$3:$D$10,4,FALSE))</f>
        <v/>
      </c>
      <c r="H554" s="11">
        <f>F554/SUMIFS($F$2:$F$9997,$B$2:$B$9997,B554,$C$2:$C$9997,C554)</f>
        <v/>
      </c>
      <c r="I554" s="19" t="n">
        <v>2</v>
      </c>
      <c r="J554" s="57" t="n">
        <v>7</v>
      </c>
    </row>
    <row r="555">
      <c r="A555" s="62" t="n">
        <v>46666</v>
      </c>
      <c r="B555" s="19" t="n">
        <v>2027</v>
      </c>
      <c r="C555" s="19" t="n">
        <v>10</v>
      </c>
      <c r="D555" s="56" t="inlineStr">
        <is>
          <t>Wed</t>
        </is>
      </c>
      <c r="E555" s="56" t="inlineStr">
        <is>
          <t>Week</t>
        </is>
      </c>
      <c r="F555" s="56">
        <f>IF(ForeCalc!$F$1="Staffed Hours",G555,24)</f>
        <v/>
      </c>
      <c r="G555" s="57">
        <f>IF(COUNTIF(M:M,Calendar!A555)&gt;0,VLOOKUP(A555,M:P,4,FALSE),VLOOKUP(D555,BusData!$A$3:$D$10,4,FALSE))</f>
        <v/>
      </c>
      <c r="H555" s="11">
        <f>F555/SUMIFS($F$2:$F$9997,$B$2:$B$9997,B555,$C$2:$C$9997,C555)</f>
        <v/>
      </c>
      <c r="I555" s="19" t="n">
        <v>2</v>
      </c>
      <c r="J555" s="57" t="n">
        <v>7</v>
      </c>
    </row>
    <row r="556">
      <c r="A556" s="62" t="n">
        <v>46667</v>
      </c>
      <c r="B556" s="19" t="n">
        <v>2027</v>
      </c>
      <c r="C556" s="19" t="n">
        <v>10</v>
      </c>
      <c r="D556" s="56" t="inlineStr">
        <is>
          <t>Thu</t>
        </is>
      </c>
      <c r="E556" s="56" t="inlineStr">
        <is>
          <t>Week</t>
        </is>
      </c>
      <c r="F556" s="56">
        <f>IF(ForeCalc!$F$1="Staffed Hours",G556,24)</f>
        <v/>
      </c>
      <c r="G556" s="57">
        <f>IF(COUNTIF(M:M,Calendar!A556)&gt;0,VLOOKUP(A556,M:P,4,FALSE),VLOOKUP(D556,BusData!$A$3:$D$10,4,FALSE))</f>
        <v/>
      </c>
      <c r="H556" s="11">
        <f>F556/SUMIFS($F$2:$F$9997,$B$2:$B$9997,B556,$C$2:$C$9997,C556)</f>
        <v/>
      </c>
      <c r="I556" s="19" t="n">
        <v>2</v>
      </c>
      <c r="J556" s="57" t="n">
        <v>7</v>
      </c>
    </row>
    <row r="557">
      <c r="A557" s="62" t="n">
        <v>46668</v>
      </c>
      <c r="B557" s="19" t="n">
        <v>2027</v>
      </c>
      <c r="C557" s="19" t="n">
        <v>10</v>
      </c>
      <c r="D557" s="56" t="inlineStr">
        <is>
          <t>Fri</t>
        </is>
      </c>
      <c r="E557" s="56" t="inlineStr">
        <is>
          <t>Week</t>
        </is>
      </c>
      <c r="F557" s="56">
        <f>IF(ForeCalc!$F$1="Staffed Hours",G557,24)</f>
        <v/>
      </c>
      <c r="G557" s="57">
        <f>IF(COUNTIF(M:M,Calendar!A557)&gt;0,VLOOKUP(A557,M:P,4,FALSE),VLOOKUP(D557,BusData!$A$3:$D$10,4,FALSE))</f>
        <v/>
      </c>
      <c r="H557" s="11">
        <f>F557/SUMIFS($F$2:$F$9997,$B$2:$B$9997,B557,$C$2:$C$9997,C557)</f>
        <v/>
      </c>
      <c r="I557" s="19" t="n">
        <v>2</v>
      </c>
      <c r="J557" s="57" t="n">
        <v>7</v>
      </c>
    </row>
    <row r="558">
      <c r="A558" s="62" t="n">
        <v>46669</v>
      </c>
      <c r="B558" s="19" t="n">
        <v>2027</v>
      </c>
      <c r="C558" s="19" t="n">
        <v>10</v>
      </c>
      <c r="D558" s="56" t="inlineStr">
        <is>
          <t>Sat</t>
        </is>
      </c>
      <c r="E558" s="56" t="inlineStr">
        <is>
          <t>Sat</t>
        </is>
      </c>
      <c r="F558" s="56">
        <f>IF(ForeCalc!$F$1="Staffed Hours",G558,24)</f>
        <v/>
      </c>
      <c r="G558" s="57">
        <f>IF(COUNTIF(M:M,Calendar!A558)&gt;0,VLOOKUP(A558,M:P,4,FALSE),VLOOKUP(D558,BusData!$A$3:$D$10,4,FALSE))</f>
        <v/>
      </c>
      <c r="H558" s="11">
        <f>F558/SUMIFS($F$2:$F$9997,$B$2:$B$9997,B558,$C$2:$C$9997,C558)</f>
        <v/>
      </c>
      <c r="I558" s="19" t="n">
        <v>2</v>
      </c>
      <c r="J558" s="57" t="n">
        <v>7</v>
      </c>
    </row>
    <row r="559">
      <c r="A559" s="62" t="n">
        <v>46670</v>
      </c>
      <c r="B559" s="19" t="n">
        <v>2027</v>
      </c>
      <c r="C559" s="19" t="n">
        <v>10</v>
      </c>
      <c r="D559" s="56" t="inlineStr">
        <is>
          <t>Sun</t>
        </is>
      </c>
      <c r="E559" s="56" t="inlineStr">
        <is>
          <t>Sun</t>
        </is>
      </c>
      <c r="F559" s="56">
        <f>IF(ForeCalc!$F$1="Staffed Hours",G559,24)</f>
        <v/>
      </c>
      <c r="G559" s="57">
        <f>IF(COUNTIF(M:M,Calendar!A559)&gt;0,VLOOKUP(A559,M:P,4,FALSE),VLOOKUP(D559,BusData!$A$3:$D$10,4,FALSE))</f>
        <v/>
      </c>
      <c r="H559" s="11">
        <f>F559/SUMIFS($F$2:$F$9997,$B$2:$B$9997,B559,$C$2:$C$9997,C559)</f>
        <v/>
      </c>
      <c r="I559" s="19" t="n">
        <v>2</v>
      </c>
      <c r="J559" s="57" t="n">
        <v>7</v>
      </c>
    </row>
    <row r="560">
      <c r="A560" s="62" t="n">
        <v>46671</v>
      </c>
      <c r="B560" s="19" t="n">
        <v>2027</v>
      </c>
      <c r="C560" s="19" t="n">
        <v>10</v>
      </c>
      <c r="D560" s="56" t="inlineStr">
        <is>
          <t>Mon</t>
        </is>
      </c>
      <c r="E560" s="56" t="inlineStr">
        <is>
          <t>Week</t>
        </is>
      </c>
      <c r="F560" s="56">
        <f>IF(ForeCalc!$F$1="Staffed Hours",G560,24)</f>
        <v/>
      </c>
      <c r="G560" s="57">
        <f>IF(COUNTIF(M:M,Calendar!A560)&gt;0,VLOOKUP(A560,M:P,4,FALSE),VLOOKUP(D560,BusData!$A$3:$D$10,4,FALSE))</f>
        <v/>
      </c>
      <c r="H560" s="11">
        <f>F560/SUMIFS($F$2:$F$9997,$B$2:$B$9997,B560,$C$2:$C$9997,C560)</f>
        <v/>
      </c>
      <c r="I560" s="19" t="n">
        <v>2</v>
      </c>
      <c r="J560" s="57" t="n">
        <v>7</v>
      </c>
    </row>
    <row r="561">
      <c r="A561" s="62" t="n">
        <v>46672</v>
      </c>
      <c r="B561" s="19" t="n">
        <v>2027</v>
      </c>
      <c r="C561" s="19" t="n">
        <v>10</v>
      </c>
      <c r="D561" s="56" t="inlineStr">
        <is>
          <t>Tue</t>
        </is>
      </c>
      <c r="E561" s="56" t="inlineStr">
        <is>
          <t>Week</t>
        </is>
      </c>
      <c r="F561" s="56">
        <f>IF(ForeCalc!$F$1="Staffed Hours",G561,24)</f>
        <v/>
      </c>
      <c r="G561" s="57">
        <f>IF(COUNTIF(M:M,Calendar!A561)&gt;0,VLOOKUP(A561,M:P,4,FALSE),VLOOKUP(D561,BusData!$A$3:$D$10,4,FALSE))</f>
        <v/>
      </c>
      <c r="H561" s="11">
        <f>F561/SUMIFS($F$2:$F$9997,$B$2:$B$9997,B561,$C$2:$C$9997,C561)</f>
        <v/>
      </c>
      <c r="I561" s="19" t="n">
        <v>2</v>
      </c>
      <c r="J561" s="57" t="n">
        <v>7</v>
      </c>
    </row>
    <row r="562">
      <c r="A562" s="62" t="n">
        <v>46673</v>
      </c>
      <c r="B562" s="19" t="n">
        <v>2027</v>
      </c>
      <c r="C562" s="19" t="n">
        <v>10</v>
      </c>
      <c r="D562" s="56" t="inlineStr">
        <is>
          <t>Wed</t>
        </is>
      </c>
      <c r="E562" s="56" t="inlineStr">
        <is>
          <t>Week</t>
        </is>
      </c>
      <c r="F562" s="56">
        <f>IF(ForeCalc!$F$1="Staffed Hours",G562,24)</f>
        <v/>
      </c>
      <c r="G562" s="57">
        <f>IF(COUNTIF(M:M,Calendar!A562)&gt;0,VLOOKUP(A562,M:P,4,FALSE),VLOOKUP(D562,BusData!$A$3:$D$10,4,FALSE))</f>
        <v/>
      </c>
      <c r="H562" s="11">
        <f>F562/SUMIFS($F$2:$F$9997,$B$2:$B$9997,B562,$C$2:$C$9997,C562)</f>
        <v/>
      </c>
      <c r="I562" s="19" t="n">
        <v>2</v>
      </c>
      <c r="J562" s="57" t="n">
        <v>7</v>
      </c>
    </row>
    <row r="563">
      <c r="A563" s="62" t="n">
        <v>46674</v>
      </c>
      <c r="B563" s="19" t="n">
        <v>2027</v>
      </c>
      <c r="C563" s="19" t="n">
        <v>10</v>
      </c>
      <c r="D563" s="56" t="inlineStr">
        <is>
          <t>Thu</t>
        </is>
      </c>
      <c r="E563" s="56" t="inlineStr">
        <is>
          <t>Week</t>
        </is>
      </c>
      <c r="F563" s="56">
        <f>IF(ForeCalc!$F$1="Staffed Hours",G563,24)</f>
        <v/>
      </c>
      <c r="G563" s="57">
        <f>IF(COUNTIF(M:M,Calendar!A563)&gt;0,VLOOKUP(A563,M:P,4,FALSE),VLOOKUP(D563,BusData!$A$3:$D$10,4,FALSE))</f>
        <v/>
      </c>
      <c r="H563" s="11">
        <f>F563/SUMIFS($F$2:$F$9997,$B$2:$B$9997,B563,$C$2:$C$9997,C563)</f>
        <v/>
      </c>
      <c r="I563" s="19" t="n">
        <v>2</v>
      </c>
      <c r="J563" s="57" t="n">
        <v>7</v>
      </c>
    </row>
    <row r="564">
      <c r="A564" s="62" t="n">
        <v>46675</v>
      </c>
      <c r="B564" s="19" t="n">
        <v>2027</v>
      </c>
      <c r="C564" s="19" t="n">
        <v>10</v>
      </c>
      <c r="D564" s="56" t="inlineStr">
        <is>
          <t>Fri</t>
        </is>
      </c>
      <c r="E564" s="56" t="inlineStr">
        <is>
          <t>Week</t>
        </is>
      </c>
      <c r="F564" s="56">
        <f>IF(ForeCalc!$F$1="Staffed Hours",G564,24)</f>
        <v/>
      </c>
      <c r="G564" s="57">
        <f>IF(COUNTIF(M:M,Calendar!A564)&gt;0,VLOOKUP(A564,M:P,4,FALSE),VLOOKUP(D564,BusData!$A$3:$D$10,4,FALSE))</f>
        <v/>
      </c>
      <c r="H564" s="11">
        <f>F564/SUMIFS($F$2:$F$9997,$B$2:$B$9997,B564,$C$2:$C$9997,C564)</f>
        <v/>
      </c>
      <c r="I564" s="19" t="n">
        <v>2</v>
      </c>
      <c r="J564" s="57" t="n">
        <v>7</v>
      </c>
    </row>
    <row r="565">
      <c r="A565" s="62" t="n">
        <v>46676</v>
      </c>
      <c r="B565" s="19" t="n">
        <v>2027</v>
      </c>
      <c r="C565" s="19" t="n">
        <v>10</v>
      </c>
      <c r="D565" s="56" t="inlineStr">
        <is>
          <t>Sat</t>
        </is>
      </c>
      <c r="E565" s="56" t="inlineStr">
        <is>
          <t>Sat</t>
        </is>
      </c>
      <c r="F565" s="56">
        <f>IF(ForeCalc!$F$1="Staffed Hours",G565,24)</f>
        <v/>
      </c>
      <c r="G565" s="57">
        <f>IF(COUNTIF(M:M,Calendar!A565)&gt;0,VLOOKUP(A565,M:P,4,FALSE),VLOOKUP(D565,BusData!$A$3:$D$10,4,FALSE))</f>
        <v/>
      </c>
      <c r="H565" s="11">
        <f>F565/SUMIFS($F$2:$F$9997,$B$2:$B$9997,B565,$C$2:$C$9997,C565)</f>
        <v/>
      </c>
      <c r="I565" s="19" t="n">
        <v>2</v>
      </c>
      <c r="J565" s="57" t="n">
        <v>7</v>
      </c>
    </row>
    <row r="566">
      <c r="A566" s="62" t="n">
        <v>46677</v>
      </c>
      <c r="B566" s="19" t="n">
        <v>2027</v>
      </c>
      <c r="C566" s="19" t="n">
        <v>10</v>
      </c>
      <c r="D566" s="56" t="inlineStr">
        <is>
          <t>Sun</t>
        </is>
      </c>
      <c r="E566" s="56" t="inlineStr">
        <is>
          <t>Sun</t>
        </is>
      </c>
      <c r="F566" s="56">
        <f>IF(ForeCalc!$F$1="Staffed Hours",G566,24)</f>
        <v/>
      </c>
      <c r="G566" s="57">
        <f>IF(COUNTIF(M:M,Calendar!A566)&gt;0,VLOOKUP(A566,M:P,4,FALSE),VLOOKUP(D566,BusData!$A$3:$D$10,4,FALSE))</f>
        <v/>
      </c>
      <c r="H566" s="11">
        <f>F566/SUMIFS($F$2:$F$9997,$B$2:$B$9997,B566,$C$2:$C$9997,C566)</f>
        <v/>
      </c>
      <c r="I566" s="19" t="n">
        <v>2</v>
      </c>
      <c r="J566" s="57" t="n">
        <v>7</v>
      </c>
    </row>
    <row r="567">
      <c r="A567" s="62" t="n">
        <v>46678</v>
      </c>
      <c r="B567" s="19" t="n">
        <v>2027</v>
      </c>
      <c r="C567" s="19" t="n">
        <v>10</v>
      </c>
      <c r="D567" s="56" t="inlineStr">
        <is>
          <t>Mon</t>
        </is>
      </c>
      <c r="E567" s="56" t="inlineStr">
        <is>
          <t>Week</t>
        </is>
      </c>
      <c r="F567" s="56">
        <f>IF(ForeCalc!$F$1="Staffed Hours",G567,24)</f>
        <v/>
      </c>
      <c r="G567" s="57">
        <f>IF(COUNTIF(M:M,Calendar!A567)&gt;0,VLOOKUP(A567,M:P,4,FALSE),VLOOKUP(D567,BusData!$A$3:$D$10,4,FALSE))</f>
        <v/>
      </c>
      <c r="H567" s="11">
        <f>F567/SUMIFS($F$2:$F$9997,$B$2:$B$9997,B567,$C$2:$C$9997,C567)</f>
        <v/>
      </c>
      <c r="I567" s="19" t="n">
        <v>2</v>
      </c>
      <c r="J567" s="57" t="n">
        <v>7</v>
      </c>
    </row>
    <row r="568">
      <c r="A568" s="62" t="n">
        <v>46679</v>
      </c>
      <c r="B568" s="19" t="n">
        <v>2027</v>
      </c>
      <c r="C568" s="19" t="n">
        <v>10</v>
      </c>
      <c r="D568" s="56" t="inlineStr">
        <is>
          <t>Tue</t>
        </is>
      </c>
      <c r="E568" s="56" t="inlineStr">
        <is>
          <t>Week</t>
        </is>
      </c>
      <c r="F568" s="56">
        <f>IF(ForeCalc!$F$1="Staffed Hours",G568,24)</f>
        <v/>
      </c>
      <c r="G568" s="57">
        <f>IF(COUNTIF(M:M,Calendar!A568)&gt;0,VLOOKUP(A568,M:P,4,FALSE),VLOOKUP(D568,BusData!$A$3:$D$10,4,FALSE))</f>
        <v/>
      </c>
      <c r="H568" s="11">
        <f>F568/SUMIFS($F$2:$F$9997,$B$2:$B$9997,B568,$C$2:$C$9997,C568)</f>
        <v/>
      </c>
      <c r="I568" s="19" t="n">
        <v>2</v>
      </c>
      <c r="J568" s="57" t="n">
        <v>7</v>
      </c>
    </row>
    <row r="569">
      <c r="A569" s="62" t="n">
        <v>46680</v>
      </c>
      <c r="B569" s="19" t="n">
        <v>2027</v>
      </c>
      <c r="C569" s="19" t="n">
        <v>10</v>
      </c>
      <c r="D569" s="56" t="inlineStr">
        <is>
          <t>Wed</t>
        </is>
      </c>
      <c r="E569" s="56" t="inlineStr">
        <is>
          <t>Week</t>
        </is>
      </c>
      <c r="F569" s="56">
        <f>IF(ForeCalc!$F$1="Staffed Hours",G569,24)</f>
        <v/>
      </c>
      <c r="G569" s="57">
        <f>IF(COUNTIF(M:M,Calendar!A569)&gt;0,VLOOKUP(A569,M:P,4,FALSE),VLOOKUP(D569,BusData!$A$3:$D$10,4,FALSE))</f>
        <v/>
      </c>
      <c r="H569" s="11">
        <f>F569/SUMIFS($F$2:$F$9997,$B$2:$B$9997,B569,$C$2:$C$9997,C569)</f>
        <v/>
      </c>
      <c r="I569" s="19" t="n">
        <v>2</v>
      </c>
      <c r="J569" s="57" t="n">
        <v>7</v>
      </c>
    </row>
    <row r="570">
      <c r="A570" s="62" t="n">
        <v>46681</v>
      </c>
      <c r="B570" s="19" t="n">
        <v>2027</v>
      </c>
      <c r="C570" s="19" t="n">
        <v>10</v>
      </c>
      <c r="D570" s="56" t="inlineStr">
        <is>
          <t>Thu</t>
        </is>
      </c>
      <c r="E570" s="56" t="inlineStr">
        <is>
          <t>Week</t>
        </is>
      </c>
      <c r="F570" s="56">
        <f>IF(ForeCalc!$F$1="Staffed Hours",G570,24)</f>
        <v/>
      </c>
      <c r="G570" s="57">
        <f>IF(COUNTIF(M:M,Calendar!A570)&gt;0,VLOOKUP(A570,M:P,4,FALSE),VLOOKUP(D570,BusData!$A$3:$D$10,4,FALSE))</f>
        <v/>
      </c>
      <c r="H570" s="11">
        <f>F570/SUMIFS($F$2:$F$9997,$B$2:$B$9997,B570,$C$2:$C$9997,C570)</f>
        <v/>
      </c>
      <c r="I570" s="19" t="n">
        <v>2</v>
      </c>
      <c r="J570" s="57" t="n">
        <v>7</v>
      </c>
    </row>
    <row r="571">
      <c r="A571" s="62" t="n">
        <v>46682</v>
      </c>
      <c r="B571" s="19" t="n">
        <v>2027</v>
      </c>
      <c r="C571" s="19" t="n">
        <v>10</v>
      </c>
      <c r="D571" s="56" t="inlineStr">
        <is>
          <t>Fri</t>
        </is>
      </c>
      <c r="E571" s="56" t="inlineStr">
        <is>
          <t>Week</t>
        </is>
      </c>
      <c r="F571" s="56">
        <f>IF(ForeCalc!$F$1="Staffed Hours",G571,24)</f>
        <v/>
      </c>
      <c r="G571" s="57">
        <f>IF(COUNTIF(M:M,Calendar!A571)&gt;0,VLOOKUP(A571,M:P,4,FALSE),VLOOKUP(D571,BusData!$A$3:$D$10,4,FALSE))</f>
        <v/>
      </c>
      <c r="H571" s="11">
        <f>F571/SUMIFS($F$2:$F$9997,$B$2:$B$9997,B571,$C$2:$C$9997,C571)</f>
        <v/>
      </c>
      <c r="I571" s="19" t="n">
        <v>2</v>
      </c>
      <c r="J571" s="57" t="n">
        <v>7</v>
      </c>
    </row>
    <row r="572">
      <c r="A572" s="62" t="n">
        <v>46683</v>
      </c>
      <c r="B572" s="19" t="n">
        <v>2027</v>
      </c>
      <c r="C572" s="19" t="n">
        <v>10</v>
      </c>
      <c r="D572" s="56" t="inlineStr">
        <is>
          <t>Sat</t>
        </is>
      </c>
      <c r="E572" s="56" t="inlineStr">
        <is>
          <t>Sat</t>
        </is>
      </c>
      <c r="F572" s="56">
        <f>IF(ForeCalc!$F$1="Staffed Hours",G572,24)</f>
        <v/>
      </c>
      <c r="G572" s="57">
        <f>IF(COUNTIF(M:M,Calendar!A572)&gt;0,VLOOKUP(A572,M:P,4,FALSE),VLOOKUP(D572,BusData!$A$3:$D$10,4,FALSE))</f>
        <v/>
      </c>
      <c r="H572" s="11">
        <f>F572/SUMIFS($F$2:$F$9997,$B$2:$B$9997,B572,$C$2:$C$9997,C572)</f>
        <v/>
      </c>
      <c r="I572" s="19" t="n">
        <v>2</v>
      </c>
      <c r="J572" s="57" t="n">
        <v>7</v>
      </c>
    </row>
    <row r="573">
      <c r="A573" s="62" t="n">
        <v>46684</v>
      </c>
      <c r="B573" s="19" t="n">
        <v>2027</v>
      </c>
      <c r="C573" s="19" t="n">
        <v>10</v>
      </c>
      <c r="D573" s="56" t="inlineStr">
        <is>
          <t>Sun</t>
        </is>
      </c>
      <c r="E573" s="56" t="inlineStr">
        <is>
          <t>Sun</t>
        </is>
      </c>
      <c r="F573" s="56">
        <f>IF(ForeCalc!$F$1="Staffed Hours",G573,24)</f>
        <v/>
      </c>
      <c r="G573" s="57">
        <f>IF(COUNTIF(M:M,Calendar!A573)&gt;0,VLOOKUP(A573,M:P,4,FALSE),VLOOKUP(D573,BusData!$A$3:$D$10,4,FALSE))</f>
        <v/>
      </c>
      <c r="H573" s="11">
        <f>F573/SUMIFS($F$2:$F$9997,$B$2:$B$9997,B573,$C$2:$C$9997,C573)</f>
        <v/>
      </c>
      <c r="I573" s="19" t="n">
        <v>2</v>
      </c>
      <c r="J573" s="57" t="n">
        <v>7</v>
      </c>
    </row>
    <row r="574">
      <c r="A574" s="62" t="n">
        <v>46685</v>
      </c>
      <c r="B574" s="19" t="n">
        <v>2027</v>
      </c>
      <c r="C574" s="19" t="n">
        <v>10</v>
      </c>
      <c r="D574" s="56" t="inlineStr">
        <is>
          <t>Mon</t>
        </is>
      </c>
      <c r="E574" s="56" t="inlineStr">
        <is>
          <t>Week</t>
        </is>
      </c>
      <c r="F574" s="56">
        <f>IF(ForeCalc!$F$1="Staffed Hours",G574,24)</f>
        <v/>
      </c>
      <c r="G574" s="57">
        <f>IF(COUNTIF(M:M,Calendar!A574)&gt;0,VLOOKUP(A574,M:P,4,FALSE),VLOOKUP(D574,BusData!$A$3:$D$10,4,FALSE))</f>
        <v/>
      </c>
      <c r="H574" s="11">
        <f>F574/SUMIFS($F$2:$F$9997,$B$2:$B$9997,B574,$C$2:$C$9997,C574)</f>
        <v/>
      </c>
      <c r="I574" s="19" t="n">
        <v>2</v>
      </c>
      <c r="J574" s="57" t="n">
        <v>7</v>
      </c>
    </row>
    <row r="575">
      <c r="A575" s="62" t="n">
        <v>46686</v>
      </c>
      <c r="B575" s="19" t="n">
        <v>2027</v>
      </c>
      <c r="C575" s="19" t="n">
        <v>10</v>
      </c>
      <c r="D575" s="56" t="inlineStr">
        <is>
          <t>Tue</t>
        </is>
      </c>
      <c r="E575" s="56" t="inlineStr">
        <is>
          <t>Week</t>
        </is>
      </c>
      <c r="F575" s="56">
        <f>IF(ForeCalc!$F$1="Staffed Hours",G575,24)</f>
        <v/>
      </c>
      <c r="G575" s="57">
        <f>IF(COUNTIF(M:M,Calendar!A575)&gt;0,VLOOKUP(A575,M:P,4,FALSE),VLOOKUP(D575,BusData!$A$3:$D$10,4,FALSE))</f>
        <v/>
      </c>
      <c r="H575" s="11">
        <f>F575/SUMIFS($F$2:$F$9997,$B$2:$B$9997,B575,$C$2:$C$9997,C575)</f>
        <v/>
      </c>
      <c r="I575" s="19" t="n">
        <v>2</v>
      </c>
      <c r="J575" s="57" t="n">
        <v>7</v>
      </c>
    </row>
    <row r="576">
      <c r="A576" s="62" t="n">
        <v>46687</v>
      </c>
      <c r="B576" s="19" t="n">
        <v>2027</v>
      </c>
      <c r="C576" s="19" t="n">
        <v>10</v>
      </c>
      <c r="D576" s="56" t="inlineStr">
        <is>
          <t>Wed</t>
        </is>
      </c>
      <c r="E576" s="56" t="inlineStr">
        <is>
          <t>Week</t>
        </is>
      </c>
      <c r="F576" s="56">
        <f>IF(ForeCalc!$F$1="Staffed Hours",G576,24)</f>
        <v/>
      </c>
      <c r="G576" s="57">
        <f>IF(COUNTIF(M:M,Calendar!A576)&gt;0,VLOOKUP(A576,M:P,4,FALSE),VLOOKUP(D576,BusData!$A$3:$D$10,4,FALSE))</f>
        <v/>
      </c>
      <c r="H576" s="11">
        <f>F576/SUMIFS($F$2:$F$9997,$B$2:$B$9997,B576,$C$2:$C$9997,C576)</f>
        <v/>
      </c>
      <c r="I576" s="19" t="n">
        <v>2</v>
      </c>
      <c r="J576" s="57" t="n">
        <v>7</v>
      </c>
    </row>
    <row r="577">
      <c r="A577" s="62" t="n">
        <v>46688</v>
      </c>
      <c r="B577" s="19" t="n">
        <v>2027</v>
      </c>
      <c r="C577" s="19" t="n">
        <v>10</v>
      </c>
      <c r="D577" s="56" t="inlineStr">
        <is>
          <t>Thu</t>
        </is>
      </c>
      <c r="E577" s="56" t="inlineStr">
        <is>
          <t>Week</t>
        </is>
      </c>
      <c r="F577" s="56">
        <f>IF(ForeCalc!$F$1="Staffed Hours",G577,24)</f>
        <v/>
      </c>
      <c r="G577" s="57">
        <f>IF(COUNTIF(M:M,Calendar!A577)&gt;0,VLOOKUP(A577,M:P,4,FALSE),VLOOKUP(D577,BusData!$A$3:$D$10,4,FALSE))</f>
        <v/>
      </c>
      <c r="H577" s="11">
        <f>F577/SUMIFS($F$2:$F$9997,$B$2:$B$9997,B577,$C$2:$C$9997,C577)</f>
        <v/>
      </c>
      <c r="I577" s="19" t="n">
        <v>2</v>
      </c>
      <c r="J577" s="57" t="n">
        <v>7</v>
      </c>
    </row>
    <row r="578">
      <c r="A578" s="62" t="n">
        <v>46689</v>
      </c>
      <c r="B578" s="19" t="n">
        <v>2027</v>
      </c>
      <c r="C578" s="19" t="n">
        <v>10</v>
      </c>
      <c r="D578" s="56" t="inlineStr">
        <is>
          <t>Fri</t>
        </is>
      </c>
      <c r="E578" s="56" t="inlineStr">
        <is>
          <t>Week</t>
        </is>
      </c>
      <c r="F578" s="56">
        <f>IF(ForeCalc!$F$1="Staffed Hours",G578,24)</f>
        <v/>
      </c>
      <c r="G578" s="57">
        <f>IF(COUNTIF(M:M,Calendar!A578)&gt;0,VLOOKUP(A578,M:P,4,FALSE),VLOOKUP(D578,BusData!$A$3:$D$10,4,FALSE))</f>
        <v/>
      </c>
      <c r="H578" s="11">
        <f>F578/SUMIFS($F$2:$F$9997,$B$2:$B$9997,B578,$C$2:$C$9997,C578)</f>
        <v/>
      </c>
      <c r="I578" s="19" t="n">
        <v>2</v>
      </c>
      <c r="J578" s="57" t="n">
        <v>7</v>
      </c>
    </row>
    <row r="579">
      <c r="A579" s="62" t="n">
        <v>46690</v>
      </c>
      <c r="B579" s="19" t="n">
        <v>2027</v>
      </c>
      <c r="C579" s="19" t="n">
        <v>10</v>
      </c>
      <c r="D579" s="56" t="inlineStr">
        <is>
          <t>Sat</t>
        </is>
      </c>
      <c r="E579" s="56" t="inlineStr">
        <is>
          <t>Sat</t>
        </is>
      </c>
      <c r="F579" s="56">
        <f>IF(ForeCalc!$F$1="Staffed Hours",G579,24)</f>
        <v/>
      </c>
      <c r="G579" s="57">
        <f>IF(COUNTIF(M:M,Calendar!A579)&gt;0,VLOOKUP(A579,M:P,4,FALSE),VLOOKUP(D579,BusData!$A$3:$D$10,4,FALSE))</f>
        <v/>
      </c>
      <c r="H579" s="11">
        <f>F579/SUMIFS($F$2:$F$9997,$B$2:$B$9997,B579,$C$2:$C$9997,C579)</f>
        <v/>
      </c>
      <c r="I579" s="19" t="n">
        <v>2</v>
      </c>
      <c r="J579" s="57" t="n">
        <v>7</v>
      </c>
    </row>
    <row r="580">
      <c r="A580" s="62" t="n">
        <v>46691</v>
      </c>
      <c r="B580" s="19" t="n">
        <v>2027</v>
      </c>
      <c r="C580" s="19" t="n">
        <v>10</v>
      </c>
      <c r="D580" s="56" t="inlineStr">
        <is>
          <t>Sun</t>
        </is>
      </c>
      <c r="E580" s="56" t="inlineStr">
        <is>
          <t>Sun</t>
        </is>
      </c>
      <c r="F580" s="56">
        <f>IF(ForeCalc!$F$1="Staffed Hours",G580,24)</f>
        <v/>
      </c>
      <c r="G580" s="57">
        <f>IF(COUNTIF(M:M,Calendar!A580)&gt;0,VLOOKUP(A580,M:P,4,FALSE),VLOOKUP(D580,BusData!$A$3:$D$10,4,FALSE))</f>
        <v/>
      </c>
      <c r="H580" s="11">
        <f>F580/SUMIFS($F$2:$F$9997,$B$2:$B$9997,B580,$C$2:$C$9997,C580)</f>
        <v/>
      </c>
      <c r="I580" s="19" t="n">
        <v>2</v>
      </c>
      <c r="J580" s="57" t="n">
        <v>7</v>
      </c>
    </row>
    <row r="581">
      <c r="A581" s="62" t="n">
        <v>46692</v>
      </c>
      <c r="B581" s="19" t="n">
        <v>2027</v>
      </c>
      <c r="C581" s="19" t="n">
        <v>11</v>
      </c>
      <c r="D581" s="56" t="inlineStr">
        <is>
          <t>Mon</t>
        </is>
      </c>
      <c r="E581" s="56" t="inlineStr">
        <is>
          <t>Week</t>
        </is>
      </c>
      <c r="F581" s="56">
        <f>IF(ForeCalc!$F$1="Staffed Hours",G581,24)</f>
        <v/>
      </c>
      <c r="G581" s="57">
        <f>IF(COUNTIF(M:M,Calendar!A581)&gt;0,VLOOKUP(A581,M:P,4,FALSE),VLOOKUP(D581,BusData!$A$3:$D$10,4,FALSE))</f>
        <v/>
      </c>
      <c r="H581" s="11">
        <f>F581/SUMIFS($F$2:$F$9997,$B$2:$B$9997,B581,$C$2:$C$9997,C581)</f>
        <v/>
      </c>
      <c r="I581" s="19" t="n">
        <v>2</v>
      </c>
      <c r="J581" s="57" t="n">
        <v>8</v>
      </c>
    </row>
    <row r="582">
      <c r="A582" s="62" t="n">
        <v>46693</v>
      </c>
      <c r="B582" s="19" t="n">
        <v>2027</v>
      </c>
      <c r="C582" s="19" t="n">
        <v>11</v>
      </c>
      <c r="D582" s="56" t="inlineStr">
        <is>
          <t>Tue</t>
        </is>
      </c>
      <c r="E582" s="56" t="inlineStr">
        <is>
          <t>Week</t>
        </is>
      </c>
      <c r="F582" s="56">
        <f>IF(ForeCalc!$F$1="Staffed Hours",G582,24)</f>
        <v/>
      </c>
      <c r="G582" s="57">
        <f>IF(COUNTIF(M:M,Calendar!A582)&gt;0,VLOOKUP(A582,M:P,4,FALSE),VLOOKUP(D582,BusData!$A$3:$D$10,4,FALSE))</f>
        <v/>
      </c>
      <c r="H582" s="11">
        <f>F582/SUMIFS($F$2:$F$9997,$B$2:$B$9997,B582,$C$2:$C$9997,C582)</f>
        <v/>
      </c>
      <c r="I582" s="19" t="n">
        <v>2</v>
      </c>
      <c r="J582" s="57" t="n">
        <v>8</v>
      </c>
    </row>
    <row r="583">
      <c r="A583" s="62" t="n">
        <v>46694</v>
      </c>
      <c r="B583" s="19" t="n">
        <v>2027</v>
      </c>
      <c r="C583" s="19" t="n">
        <v>11</v>
      </c>
      <c r="D583" s="56" t="inlineStr">
        <is>
          <t>Wed</t>
        </is>
      </c>
      <c r="E583" s="56" t="inlineStr">
        <is>
          <t>Week</t>
        </is>
      </c>
      <c r="F583" s="56">
        <f>IF(ForeCalc!$F$1="Staffed Hours",G583,24)</f>
        <v/>
      </c>
      <c r="G583" s="57">
        <f>IF(COUNTIF(M:M,Calendar!A583)&gt;0,VLOOKUP(A583,M:P,4,FALSE),VLOOKUP(D583,BusData!$A$3:$D$10,4,FALSE))</f>
        <v/>
      </c>
      <c r="H583" s="11">
        <f>F583/SUMIFS($F$2:$F$9997,$B$2:$B$9997,B583,$C$2:$C$9997,C583)</f>
        <v/>
      </c>
      <c r="I583" s="19" t="n">
        <v>2</v>
      </c>
      <c r="J583" s="57" t="n">
        <v>8</v>
      </c>
    </row>
    <row r="584">
      <c r="A584" s="62" t="n">
        <v>46695</v>
      </c>
      <c r="B584" s="19" t="n">
        <v>2027</v>
      </c>
      <c r="C584" s="19" t="n">
        <v>11</v>
      </c>
      <c r="D584" s="56" t="inlineStr">
        <is>
          <t>Thu</t>
        </is>
      </c>
      <c r="E584" s="56" t="inlineStr">
        <is>
          <t>Week</t>
        </is>
      </c>
      <c r="F584" s="56">
        <f>IF(ForeCalc!$F$1="Staffed Hours",G584,24)</f>
        <v/>
      </c>
      <c r="G584" s="57">
        <f>IF(COUNTIF(M:M,Calendar!A584)&gt;0,VLOOKUP(A584,M:P,4,FALSE),VLOOKUP(D584,BusData!$A$3:$D$10,4,FALSE))</f>
        <v/>
      </c>
      <c r="H584" s="11">
        <f>F584/SUMIFS($F$2:$F$9997,$B$2:$B$9997,B584,$C$2:$C$9997,C584)</f>
        <v/>
      </c>
      <c r="I584" s="19" t="n">
        <v>2</v>
      </c>
      <c r="J584" s="57" t="n">
        <v>8</v>
      </c>
    </row>
    <row r="585">
      <c r="A585" s="62" t="n">
        <v>46696</v>
      </c>
      <c r="B585" s="19" t="n">
        <v>2027</v>
      </c>
      <c r="C585" s="19" t="n">
        <v>11</v>
      </c>
      <c r="D585" s="56" t="inlineStr">
        <is>
          <t>Fri</t>
        </is>
      </c>
      <c r="E585" s="56" t="inlineStr">
        <is>
          <t>Week</t>
        </is>
      </c>
      <c r="F585" s="56">
        <f>IF(ForeCalc!$F$1="Staffed Hours",G585,24)</f>
        <v/>
      </c>
      <c r="G585" s="57">
        <f>IF(COUNTIF(M:M,Calendar!A585)&gt;0,VLOOKUP(A585,M:P,4,FALSE),VLOOKUP(D585,BusData!$A$3:$D$10,4,FALSE))</f>
        <v/>
      </c>
      <c r="H585" s="11">
        <f>F585/SUMIFS($F$2:$F$9997,$B$2:$B$9997,B585,$C$2:$C$9997,C585)</f>
        <v/>
      </c>
      <c r="I585" s="19" t="n">
        <v>2</v>
      </c>
      <c r="J585" s="57" t="n">
        <v>8</v>
      </c>
    </row>
    <row r="586">
      <c r="A586" s="62" t="n">
        <v>46697</v>
      </c>
      <c r="B586" s="19" t="n">
        <v>2027</v>
      </c>
      <c r="C586" s="19" t="n">
        <v>11</v>
      </c>
      <c r="D586" s="56" t="inlineStr">
        <is>
          <t>Sat</t>
        </is>
      </c>
      <c r="E586" s="56" t="inlineStr">
        <is>
          <t>Sat</t>
        </is>
      </c>
      <c r="F586" s="56">
        <f>IF(ForeCalc!$F$1="Staffed Hours",G586,24)</f>
        <v/>
      </c>
      <c r="G586" s="57">
        <f>IF(COUNTIF(M:M,Calendar!A586)&gt;0,VLOOKUP(A586,M:P,4,FALSE),VLOOKUP(D586,BusData!$A$3:$D$10,4,FALSE))</f>
        <v/>
      </c>
      <c r="H586" s="11">
        <f>F586/SUMIFS($F$2:$F$9997,$B$2:$B$9997,B586,$C$2:$C$9997,C586)</f>
        <v/>
      </c>
      <c r="I586" s="19" t="n">
        <v>2</v>
      </c>
      <c r="J586" s="57" t="n">
        <v>8</v>
      </c>
    </row>
    <row r="587">
      <c r="A587" s="62" t="n">
        <v>46698</v>
      </c>
      <c r="B587" s="19" t="n">
        <v>2027</v>
      </c>
      <c r="C587" s="19" t="n">
        <v>11</v>
      </c>
      <c r="D587" s="56" t="inlineStr">
        <is>
          <t>Sun</t>
        </is>
      </c>
      <c r="E587" s="56" t="inlineStr">
        <is>
          <t>Sun</t>
        </is>
      </c>
      <c r="F587" s="56">
        <f>IF(ForeCalc!$F$1="Staffed Hours",G587,24)</f>
        <v/>
      </c>
      <c r="G587" s="57">
        <f>IF(COUNTIF(M:M,Calendar!A587)&gt;0,VLOOKUP(A587,M:P,4,FALSE),VLOOKUP(D587,BusData!$A$3:$D$10,4,FALSE))</f>
        <v/>
      </c>
      <c r="H587" s="11">
        <f>F587/SUMIFS($F$2:$F$9997,$B$2:$B$9997,B587,$C$2:$C$9997,C587)</f>
        <v/>
      </c>
      <c r="I587" s="19" t="n">
        <v>2</v>
      </c>
      <c r="J587" s="57" t="n">
        <v>8</v>
      </c>
    </row>
    <row r="588">
      <c r="A588" s="62" t="n">
        <v>46699</v>
      </c>
      <c r="B588" s="19" t="n">
        <v>2027</v>
      </c>
      <c r="C588" s="19" t="n">
        <v>11</v>
      </c>
      <c r="D588" s="56" t="inlineStr">
        <is>
          <t>Mon</t>
        </is>
      </c>
      <c r="E588" s="56" t="inlineStr">
        <is>
          <t>Week</t>
        </is>
      </c>
      <c r="F588" s="56">
        <f>IF(ForeCalc!$F$1="Staffed Hours",G588,24)</f>
        <v/>
      </c>
      <c r="G588" s="57">
        <f>IF(COUNTIF(M:M,Calendar!A588)&gt;0,VLOOKUP(A588,M:P,4,FALSE),VLOOKUP(D588,BusData!$A$3:$D$10,4,FALSE))</f>
        <v/>
      </c>
      <c r="H588" s="11">
        <f>F588/SUMIFS($F$2:$F$9997,$B$2:$B$9997,B588,$C$2:$C$9997,C588)</f>
        <v/>
      </c>
      <c r="I588" s="19" t="n">
        <v>2</v>
      </c>
      <c r="J588" s="57" t="n">
        <v>8</v>
      </c>
    </row>
    <row r="589">
      <c r="A589" s="62" t="n">
        <v>46700</v>
      </c>
      <c r="B589" s="19" t="n">
        <v>2027</v>
      </c>
      <c r="C589" s="19" t="n">
        <v>11</v>
      </c>
      <c r="D589" s="56" t="inlineStr">
        <is>
          <t>Tue</t>
        </is>
      </c>
      <c r="E589" s="56" t="inlineStr">
        <is>
          <t>Week</t>
        </is>
      </c>
      <c r="F589" s="56">
        <f>IF(ForeCalc!$F$1="Staffed Hours",G589,24)</f>
        <v/>
      </c>
      <c r="G589" s="57">
        <f>IF(COUNTIF(M:M,Calendar!A589)&gt;0,VLOOKUP(A589,M:P,4,FALSE),VLOOKUP(D589,BusData!$A$3:$D$10,4,FALSE))</f>
        <v/>
      </c>
      <c r="H589" s="11">
        <f>F589/SUMIFS($F$2:$F$9997,$B$2:$B$9997,B589,$C$2:$C$9997,C589)</f>
        <v/>
      </c>
      <c r="I589" s="19" t="n">
        <v>2</v>
      </c>
      <c r="J589" s="57" t="n">
        <v>8</v>
      </c>
    </row>
    <row r="590">
      <c r="A590" s="62" t="n">
        <v>46701</v>
      </c>
      <c r="B590" s="19" t="n">
        <v>2027</v>
      </c>
      <c r="C590" s="19" t="n">
        <v>11</v>
      </c>
      <c r="D590" s="56" t="inlineStr">
        <is>
          <t>Wed</t>
        </is>
      </c>
      <c r="E590" s="56" t="inlineStr">
        <is>
          <t>Week</t>
        </is>
      </c>
      <c r="F590" s="56">
        <f>IF(ForeCalc!$F$1="Staffed Hours",G590,24)</f>
        <v/>
      </c>
      <c r="G590" s="57">
        <f>IF(COUNTIF(M:M,Calendar!A590)&gt;0,VLOOKUP(A590,M:P,4,FALSE),VLOOKUP(D590,BusData!$A$3:$D$10,4,FALSE))</f>
        <v/>
      </c>
      <c r="H590" s="11">
        <f>F590/SUMIFS($F$2:$F$9997,$B$2:$B$9997,B590,$C$2:$C$9997,C590)</f>
        <v/>
      </c>
      <c r="I590" s="19" t="n">
        <v>2</v>
      </c>
      <c r="J590" s="57" t="n">
        <v>8</v>
      </c>
    </row>
    <row r="591">
      <c r="A591" s="62" t="n">
        <v>46702</v>
      </c>
      <c r="B591" s="19" t="n">
        <v>2027</v>
      </c>
      <c r="C591" s="19" t="n">
        <v>11</v>
      </c>
      <c r="D591" s="56" t="inlineStr">
        <is>
          <t>Thu</t>
        </is>
      </c>
      <c r="E591" s="56" t="inlineStr">
        <is>
          <t>Week</t>
        </is>
      </c>
      <c r="F591" s="56">
        <f>IF(ForeCalc!$F$1="Staffed Hours",G591,24)</f>
        <v/>
      </c>
      <c r="G591" s="57">
        <f>IF(COUNTIF(M:M,Calendar!A591)&gt;0,VLOOKUP(A591,M:P,4,FALSE),VLOOKUP(D591,BusData!$A$3:$D$10,4,FALSE))</f>
        <v/>
      </c>
      <c r="H591" s="11">
        <f>F591/SUMIFS($F$2:$F$9997,$B$2:$B$9997,B591,$C$2:$C$9997,C591)</f>
        <v/>
      </c>
      <c r="I591" s="19" t="n">
        <v>2</v>
      </c>
      <c r="J591" s="57" t="n">
        <v>8</v>
      </c>
    </row>
    <row r="592">
      <c r="A592" s="62" t="n">
        <v>46703</v>
      </c>
      <c r="B592" s="19" t="n">
        <v>2027</v>
      </c>
      <c r="C592" s="19" t="n">
        <v>11</v>
      </c>
      <c r="D592" s="56" t="inlineStr">
        <is>
          <t>Fri</t>
        </is>
      </c>
      <c r="E592" s="56" t="inlineStr">
        <is>
          <t>Week</t>
        </is>
      </c>
      <c r="F592" s="56">
        <f>IF(ForeCalc!$F$1="Staffed Hours",G592,24)</f>
        <v/>
      </c>
      <c r="G592" s="57">
        <f>IF(COUNTIF(M:M,Calendar!A592)&gt;0,VLOOKUP(A592,M:P,4,FALSE),VLOOKUP(D592,BusData!$A$3:$D$10,4,FALSE))</f>
        <v/>
      </c>
      <c r="H592" s="11">
        <f>F592/SUMIFS($F$2:$F$9997,$B$2:$B$9997,B592,$C$2:$C$9997,C592)</f>
        <v/>
      </c>
      <c r="I592" s="19" t="n">
        <v>2</v>
      </c>
      <c r="J592" s="57" t="n">
        <v>8</v>
      </c>
    </row>
    <row r="593">
      <c r="A593" s="62" t="n">
        <v>46704</v>
      </c>
      <c r="B593" s="19" t="n">
        <v>2027</v>
      </c>
      <c r="C593" s="19" t="n">
        <v>11</v>
      </c>
      <c r="D593" s="56" t="inlineStr">
        <is>
          <t>Sat</t>
        </is>
      </c>
      <c r="E593" s="56" t="inlineStr">
        <is>
          <t>Sat</t>
        </is>
      </c>
      <c r="F593" s="56">
        <f>IF(ForeCalc!$F$1="Staffed Hours",G593,24)</f>
        <v/>
      </c>
      <c r="G593" s="57">
        <f>IF(COUNTIF(M:M,Calendar!A593)&gt;0,VLOOKUP(A593,M:P,4,FALSE),VLOOKUP(D593,BusData!$A$3:$D$10,4,FALSE))</f>
        <v/>
      </c>
      <c r="H593" s="11">
        <f>F593/SUMIFS($F$2:$F$9997,$B$2:$B$9997,B593,$C$2:$C$9997,C593)</f>
        <v/>
      </c>
      <c r="I593" s="19" t="n">
        <v>2</v>
      </c>
      <c r="J593" s="57" t="n">
        <v>8</v>
      </c>
    </row>
    <row r="594">
      <c r="A594" s="62" t="n">
        <v>46705</v>
      </c>
      <c r="B594" s="19" t="n">
        <v>2027</v>
      </c>
      <c r="C594" s="19" t="n">
        <v>11</v>
      </c>
      <c r="D594" s="56" t="inlineStr">
        <is>
          <t>Sun</t>
        </is>
      </c>
      <c r="E594" s="56" t="inlineStr">
        <is>
          <t>Sun</t>
        </is>
      </c>
      <c r="F594" s="56">
        <f>IF(ForeCalc!$F$1="Staffed Hours",G594,24)</f>
        <v/>
      </c>
      <c r="G594" s="57">
        <f>IF(COUNTIF(M:M,Calendar!A594)&gt;0,VLOOKUP(A594,M:P,4,FALSE),VLOOKUP(D594,BusData!$A$3:$D$10,4,FALSE))</f>
        <v/>
      </c>
      <c r="H594" s="11">
        <f>F594/SUMIFS($F$2:$F$9997,$B$2:$B$9997,B594,$C$2:$C$9997,C594)</f>
        <v/>
      </c>
      <c r="I594" s="19" t="n">
        <v>2</v>
      </c>
      <c r="J594" s="57" t="n">
        <v>8</v>
      </c>
    </row>
    <row r="595">
      <c r="A595" s="62" t="n">
        <v>46706</v>
      </c>
      <c r="B595" s="19" t="n">
        <v>2027</v>
      </c>
      <c r="C595" s="19" t="n">
        <v>11</v>
      </c>
      <c r="D595" s="56" t="inlineStr">
        <is>
          <t>Mon</t>
        </is>
      </c>
      <c r="E595" s="56" t="inlineStr">
        <is>
          <t>Week</t>
        </is>
      </c>
      <c r="F595" s="56">
        <f>IF(ForeCalc!$F$1="Staffed Hours",G595,24)</f>
        <v/>
      </c>
      <c r="G595" s="57">
        <f>IF(COUNTIF(M:M,Calendar!A595)&gt;0,VLOOKUP(A595,M:P,4,FALSE),VLOOKUP(D595,BusData!$A$3:$D$10,4,FALSE))</f>
        <v/>
      </c>
      <c r="H595" s="11">
        <f>F595/SUMIFS($F$2:$F$9997,$B$2:$B$9997,B595,$C$2:$C$9997,C595)</f>
        <v/>
      </c>
      <c r="I595" s="19" t="n">
        <v>2</v>
      </c>
      <c r="J595" s="57" t="n">
        <v>8</v>
      </c>
    </row>
    <row r="596">
      <c r="A596" s="62" t="n">
        <v>46707</v>
      </c>
      <c r="B596" s="19" t="n">
        <v>2027</v>
      </c>
      <c r="C596" s="19" t="n">
        <v>11</v>
      </c>
      <c r="D596" s="56" t="inlineStr">
        <is>
          <t>Tue</t>
        </is>
      </c>
      <c r="E596" s="56" t="inlineStr">
        <is>
          <t>Week</t>
        </is>
      </c>
      <c r="F596" s="56">
        <f>IF(ForeCalc!$F$1="Staffed Hours",G596,24)</f>
        <v/>
      </c>
      <c r="G596" s="57">
        <f>IF(COUNTIF(M:M,Calendar!A596)&gt;0,VLOOKUP(A596,M:P,4,FALSE),VLOOKUP(D596,BusData!$A$3:$D$10,4,FALSE))</f>
        <v/>
      </c>
      <c r="H596" s="11">
        <f>F596/SUMIFS($F$2:$F$9997,$B$2:$B$9997,B596,$C$2:$C$9997,C596)</f>
        <v/>
      </c>
      <c r="I596" s="19" t="n">
        <v>2</v>
      </c>
      <c r="J596" s="57" t="n">
        <v>8</v>
      </c>
    </row>
    <row r="597">
      <c r="A597" s="62" t="n">
        <v>46708</v>
      </c>
      <c r="B597" s="19" t="n">
        <v>2027</v>
      </c>
      <c r="C597" s="19" t="n">
        <v>11</v>
      </c>
      <c r="D597" s="56" t="inlineStr">
        <is>
          <t>Wed</t>
        </is>
      </c>
      <c r="E597" s="56" t="inlineStr">
        <is>
          <t>Week</t>
        </is>
      </c>
      <c r="F597" s="56">
        <f>IF(ForeCalc!$F$1="Staffed Hours",G597,24)</f>
        <v/>
      </c>
      <c r="G597" s="57">
        <f>IF(COUNTIF(M:M,Calendar!A597)&gt;0,VLOOKUP(A597,M:P,4,FALSE),VLOOKUP(D597,BusData!$A$3:$D$10,4,FALSE))</f>
        <v/>
      </c>
      <c r="H597" s="11">
        <f>F597/SUMIFS($F$2:$F$9997,$B$2:$B$9997,B597,$C$2:$C$9997,C597)</f>
        <v/>
      </c>
      <c r="I597" s="19" t="n">
        <v>2</v>
      </c>
      <c r="J597" s="57" t="n">
        <v>8</v>
      </c>
    </row>
    <row r="598">
      <c r="A598" s="62" t="n">
        <v>46709</v>
      </c>
      <c r="B598" s="19" t="n">
        <v>2027</v>
      </c>
      <c r="C598" s="19" t="n">
        <v>11</v>
      </c>
      <c r="D598" s="56" t="inlineStr">
        <is>
          <t>Thu</t>
        </is>
      </c>
      <c r="E598" s="56" t="inlineStr">
        <is>
          <t>Week</t>
        </is>
      </c>
      <c r="F598" s="56">
        <f>IF(ForeCalc!$F$1="Staffed Hours",G598,24)</f>
        <v/>
      </c>
      <c r="G598" s="57">
        <f>IF(COUNTIF(M:M,Calendar!A598)&gt;0,VLOOKUP(A598,M:P,4,FALSE),VLOOKUP(D598,BusData!$A$3:$D$10,4,FALSE))</f>
        <v/>
      </c>
      <c r="H598" s="11">
        <f>F598/SUMIFS($F$2:$F$9997,$B$2:$B$9997,B598,$C$2:$C$9997,C598)</f>
        <v/>
      </c>
      <c r="I598" s="19" t="n">
        <v>2</v>
      </c>
      <c r="J598" s="57" t="n">
        <v>8</v>
      </c>
    </row>
    <row r="599">
      <c r="A599" s="62" t="n">
        <v>46710</v>
      </c>
      <c r="B599" s="19" t="n">
        <v>2027</v>
      </c>
      <c r="C599" s="19" t="n">
        <v>11</v>
      </c>
      <c r="D599" s="56" t="inlineStr">
        <is>
          <t>Fri</t>
        </is>
      </c>
      <c r="E599" s="56" t="inlineStr">
        <is>
          <t>Week</t>
        </is>
      </c>
      <c r="F599" s="56">
        <f>IF(ForeCalc!$F$1="Staffed Hours",G599,24)</f>
        <v/>
      </c>
      <c r="G599" s="57">
        <f>IF(COUNTIF(M:M,Calendar!A599)&gt;0,VLOOKUP(A599,M:P,4,FALSE),VLOOKUP(D599,BusData!$A$3:$D$10,4,FALSE))</f>
        <v/>
      </c>
      <c r="H599" s="11">
        <f>F599/SUMIFS($F$2:$F$9997,$B$2:$B$9997,B599,$C$2:$C$9997,C599)</f>
        <v/>
      </c>
      <c r="I599" s="19" t="n">
        <v>2</v>
      </c>
      <c r="J599" s="57" t="n">
        <v>8</v>
      </c>
    </row>
    <row r="600">
      <c r="A600" s="62" t="n">
        <v>46711</v>
      </c>
      <c r="B600" s="19" t="n">
        <v>2027</v>
      </c>
      <c r="C600" s="19" t="n">
        <v>11</v>
      </c>
      <c r="D600" s="56" t="inlineStr">
        <is>
          <t>Sat</t>
        </is>
      </c>
      <c r="E600" s="56" t="inlineStr">
        <is>
          <t>Sat</t>
        </is>
      </c>
      <c r="F600" s="56">
        <f>IF(ForeCalc!$F$1="Staffed Hours",G600,24)</f>
        <v/>
      </c>
      <c r="G600" s="57">
        <f>IF(COUNTIF(M:M,Calendar!A600)&gt;0,VLOOKUP(A600,M:P,4,FALSE),VLOOKUP(D600,BusData!$A$3:$D$10,4,FALSE))</f>
        <v/>
      </c>
      <c r="H600" s="11">
        <f>F600/SUMIFS($F$2:$F$9997,$B$2:$B$9997,B600,$C$2:$C$9997,C600)</f>
        <v/>
      </c>
      <c r="I600" s="19" t="n">
        <v>2</v>
      </c>
      <c r="J600" s="57" t="n">
        <v>8</v>
      </c>
    </row>
    <row r="601">
      <c r="A601" s="62" t="n">
        <v>46712</v>
      </c>
      <c r="B601" s="19" t="n">
        <v>2027</v>
      </c>
      <c r="C601" s="19" t="n">
        <v>11</v>
      </c>
      <c r="D601" s="56" t="inlineStr">
        <is>
          <t>Sun</t>
        </is>
      </c>
      <c r="E601" s="56" t="inlineStr">
        <is>
          <t>Sun</t>
        </is>
      </c>
      <c r="F601" s="56">
        <f>IF(ForeCalc!$F$1="Staffed Hours",G601,24)</f>
        <v/>
      </c>
      <c r="G601" s="57">
        <f>IF(COUNTIF(M:M,Calendar!A601)&gt;0,VLOOKUP(A601,M:P,4,FALSE),VLOOKUP(D601,BusData!$A$3:$D$10,4,FALSE))</f>
        <v/>
      </c>
      <c r="H601" s="11">
        <f>F601/SUMIFS($F$2:$F$9997,$B$2:$B$9997,B601,$C$2:$C$9997,C601)</f>
        <v/>
      </c>
      <c r="I601" s="19" t="n">
        <v>2</v>
      </c>
      <c r="J601" s="57" t="n">
        <v>8</v>
      </c>
    </row>
    <row r="602">
      <c r="A602" s="62" t="n">
        <v>46713</v>
      </c>
      <c r="B602" s="19" t="n">
        <v>2027</v>
      </c>
      <c r="C602" s="19" t="n">
        <v>11</v>
      </c>
      <c r="D602" s="56" t="inlineStr">
        <is>
          <t>Mon</t>
        </is>
      </c>
      <c r="E602" s="56" t="inlineStr">
        <is>
          <t>Week</t>
        </is>
      </c>
      <c r="F602" s="56">
        <f>IF(ForeCalc!$F$1="Staffed Hours",G602,24)</f>
        <v/>
      </c>
      <c r="G602" s="57">
        <f>IF(COUNTIF(M:M,Calendar!A602)&gt;0,VLOOKUP(A602,M:P,4,FALSE),VLOOKUP(D602,BusData!$A$3:$D$10,4,FALSE))</f>
        <v/>
      </c>
      <c r="H602" s="11">
        <f>F602/SUMIFS($F$2:$F$9997,$B$2:$B$9997,B602,$C$2:$C$9997,C602)</f>
        <v/>
      </c>
      <c r="I602" s="19" t="n">
        <v>2</v>
      </c>
      <c r="J602" s="57" t="n">
        <v>8</v>
      </c>
    </row>
    <row r="603">
      <c r="A603" s="62" t="n">
        <v>46714</v>
      </c>
      <c r="B603" s="19" t="n">
        <v>2027</v>
      </c>
      <c r="C603" s="19" t="n">
        <v>11</v>
      </c>
      <c r="D603" s="56" t="inlineStr">
        <is>
          <t>Tue</t>
        </is>
      </c>
      <c r="E603" s="56" t="inlineStr">
        <is>
          <t>Week</t>
        </is>
      </c>
      <c r="F603" s="56">
        <f>IF(ForeCalc!$F$1="Staffed Hours",G603,24)</f>
        <v/>
      </c>
      <c r="G603" s="57">
        <f>IF(COUNTIF(M:M,Calendar!A603)&gt;0,VLOOKUP(A603,M:P,4,FALSE),VLOOKUP(D603,BusData!$A$3:$D$10,4,FALSE))</f>
        <v/>
      </c>
      <c r="H603" s="11">
        <f>F603/SUMIFS($F$2:$F$9997,$B$2:$B$9997,B603,$C$2:$C$9997,C603)</f>
        <v/>
      </c>
      <c r="I603" s="19" t="n">
        <v>2</v>
      </c>
      <c r="J603" s="57" t="n">
        <v>8</v>
      </c>
    </row>
    <row r="604">
      <c r="A604" s="62" t="n">
        <v>46715</v>
      </c>
      <c r="B604" s="19" t="n">
        <v>2027</v>
      </c>
      <c r="C604" s="19" t="n">
        <v>11</v>
      </c>
      <c r="D604" s="56" t="inlineStr">
        <is>
          <t>Wed</t>
        </is>
      </c>
      <c r="E604" s="56" t="inlineStr">
        <is>
          <t>Week</t>
        </is>
      </c>
      <c r="F604" s="56">
        <f>IF(ForeCalc!$F$1="Staffed Hours",G604,24)</f>
        <v/>
      </c>
      <c r="G604" s="57">
        <f>IF(COUNTIF(M:M,Calendar!A604)&gt;0,VLOOKUP(A604,M:P,4,FALSE),VLOOKUP(D604,BusData!$A$3:$D$10,4,FALSE))</f>
        <v/>
      </c>
      <c r="H604" s="11">
        <f>F604/SUMIFS($F$2:$F$9997,$B$2:$B$9997,B604,$C$2:$C$9997,C604)</f>
        <v/>
      </c>
      <c r="I604" s="19" t="n">
        <v>2</v>
      </c>
      <c r="J604" s="57" t="n">
        <v>8</v>
      </c>
    </row>
    <row r="605">
      <c r="A605" s="62" t="n">
        <v>46716</v>
      </c>
      <c r="B605" s="19" t="n">
        <v>2027</v>
      </c>
      <c r="C605" s="19" t="n">
        <v>11</v>
      </c>
      <c r="D605" s="56" t="inlineStr">
        <is>
          <t>Thu</t>
        </is>
      </c>
      <c r="E605" s="56" t="inlineStr">
        <is>
          <t>Week</t>
        </is>
      </c>
      <c r="F605" s="56">
        <f>IF(ForeCalc!$F$1="Staffed Hours",G605,24)</f>
        <v/>
      </c>
      <c r="G605" s="57">
        <f>IF(COUNTIF(M:M,Calendar!A605)&gt;0,VLOOKUP(A605,M:P,4,FALSE),VLOOKUP(D605,BusData!$A$3:$D$10,4,FALSE))</f>
        <v/>
      </c>
      <c r="H605" s="11">
        <f>F605/SUMIFS($F$2:$F$9997,$B$2:$B$9997,B605,$C$2:$C$9997,C605)</f>
        <v/>
      </c>
      <c r="I605" s="19" t="n">
        <v>2</v>
      </c>
      <c r="J605" s="57" t="n">
        <v>8</v>
      </c>
    </row>
    <row r="606">
      <c r="A606" s="62" t="n">
        <v>46717</v>
      </c>
      <c r="B606" s="19" t="n">
        <v>2027</v>
      </c>
      <c r="C606" s="19" t="n">
        <v>11</v>
      </c>
      <c r="D606" s="56" t="inlineStr">
        <is>
          <t>Fri</t>
        </is>
      </c>
      <c r="E606" s="56" t="inlineStr">
        <is>
          <t>Week</t>
        </is>
      </c>
      <c r="F606" s="56">
        <f>IF(ForeCalc!$F$1="Staffed Hours",G606,24)</f>
        <v/>
      </c>
      <c r="G606" s="57">
        <f>IF(COUNTIF(M:M,Calendar!A606)&gt;0,VLOOKUP(A606,M:P,4,FALSE),VLOOKUP(D606,BusData!$A$3:$D$10,4,FALSE))</f>
        <v/>
      </c>
      <c r="H606" s="11">
        <f>F606/SUMIFS($F$2:$F$9997,$B$2:$B$9997,B606,$C$2:$C$9997,C606)</f>
        <v/>
      </c>
      <c r="I606" s="19" t="n">
        <v>2</v>
      </c>
      <c r="J606" s="57" t="n">
        <v>8</v>
      </c>
    </row>
    <row r="607">
      <c r="A607" s="62" t="n">
        <v>46718</v>
      </c>
      <c r="B607" s="19" t="n">
        <v>2027</v>
      </c>
      <c r="C607" s="19" t="n">
        <v>11</v>
      </c>
      <c r="D607" s="56" t="inlineStr">
        <is>
          <t>Sat</t>
        </is>
      </c>
      <c r="E607" s="56" t="inlineStr">
        <is>
          <t>Sat</t>
        </is>
      </c>
      <c r="F607" s="56">
        <f>IF(ForeCalc!$F$1="Staffed Hours",G607,24)</f>
        <v/>
      </c>
      <c r="G607" s="57">
        <f>IF(COUNTIF(M:M,Calendar!A607)&gt;0,VLOOKUP(A607,M:P,4,FALSE),VLOOKUP(D607,BusData!$A$3:$D$10,4,FALSE))</f>
        <v/>
      </c>
      <c r="H607" s="11">
        <f>F607/SUMIFS($F$2:$F$9997,$B$2:$B$9997,B607,$C$2:$C$9997,C607)</f>
        <v/>
      </c>
      <c r="I607" s="19" t="n">
        <v>2</v>
      </c>
      <c r="J607" s="57" t="n">
        <v>8</v>
      </c>
    </row>
    <row r="608">
      <c r="A608" s="62" t="n">
        <v>46719</v>
      </c>
      <c r="B608" s="19" t="n">
        <v>2027</v>
      </c>
      <c r="C608" s="19" t="n">
        <v>11</v>
      </c>
      <c r="D608" s="56" t="inlineStr">
        <is>
          <t>Sun</t>
        </is>
      </c>
      <c r="E608" s="56" t="inlineStr">
        <is>
          <t>Sun</t>
        </is>
      </c>
      <c r="F608" s="56">
        <f>IF(ForeCalc!$F$1="Staffed Hours",G608,24)</f>
        <v/>
      </c>
      <c r="G608" s="57">
        <f>IF(COUNTIF(M:M,Calendar!A608)&gt;0,VLOOKUP(A608,M:P,4,FALSE),VLOOKUP(D608,BusData!$A$3:$D$10,4,FALSE))</f>
        <v/>
      </c>
      <c r="H608" s="11">
        <f>F608/SUMIFS($F$2:$F$9997,$B$2:$B$9997,B608,$C$2:$C$9997,C608)</f>
        <v/>
      </c>
      <c r="I608" s="19" t="n">
        <v>2</v>
      </c>
      <c r="J608" s="57" t="n">
        <v>8</v>
      </c>
    </row>
    <row r="609">
      <c r="A609" s="62" t="n">
        <v>46720</v>
      </c>
      <c r="B609" s="19" t="n">
        <v>2027</v>
      </c>
      <c r="C609" s="19" t="n">
        <v>11</v>
      </c>
      <c r="D609" s="56" t="inlineStr">
        <is>
          <t>Mon</t>
        </is>
      </c>
      <c r="E609" s="56" t="inlineStr">
        <is>
          <t>Week</t>
        </is>
      </c>
      <c r="F609" s="56">
        <f>IF(ForeCalc!$F$1="Staffed Hours",G609,24)</f>
        <v/>
      </c>
      <c r="G609" s="57">
        <f>IF(COUNTIF(M:M,Calendar!A609)&gt;0,VLOOKUP(A609,M:P,4,FALSE),VLOOKUP(D609,BusData!$A$3:$D$10,4,FALSE))</f>
        <v/>
      </c>
      <c r="H609" s="11">
        <f>F609/SUMIFS($F$2:$F$9997,$B$2:$B$9997,B609,$C$2:$C$9997,C609)</f>
        <v/>
      </c>
      <c r="I609" s="19" t="n">
        <v>2</v>
      </c>
      <c r="J609" s="57" t="n">
        <v>8</v>
      </c>
    </row>
    <row r="610">
      <c r="A610" s="62" t="n">
        <v>46721</v>
      </c>
      <c r="B610" s="19" t="n">
        <v>2027</v>
      </c>
      <c r="C610" s="19" t="n">
        <v>11</v>
      </c>
      <c r="D610" s="56" t="inlineStr">
        <is>
          <t>Tue</t>
        </is>
      </c>
      <c r="E610" s="56" t="inlineStr">
        <is>
          <t>Week</t>
        </is>
      </c>
      <c r="F610" s="56">
        <f>IF(ForeCalc!$F$1="Staffed Hours",G610,24)</f>
        <v/>
      </c>
      <c r="G610" s="57">
        <f>IF(COUNTIF(M:M,Calendar!A610)&gt;0,VLOOKUP(A610,M:P,4,FALSE),VLOOKUP(D610,BusData!$A$3:$D$10,4,FALSE))</f>
        <v/>
      </c>
      <c r="H610" s="11">
        <f>F610/SUMIFS($F$2:$F$9997,$B$2:$B$9997,B610,$C$2:$C$9997,C610)</f>
        <v/>
      </c>
      <c r="I610" s="19" t="n">
        <v>2</v>
      </c>
      <c r="J610" s="57" t="n">
        <v>8</v>
      </c>
    </row>
    <row r="611">
      <c r="A611" s="62" t="n">
        <v>46722</v>
      </c>
      <c r="B611" s="19" t="n">
        <v>2027</v>
      </c>
      <c r="C611" s="19" t="n">
        <v>12</v>
      </c>
      <c r="D611" s="56" t="inlineStr">
        <is>
          <t>Wed</t>
        </is>
      </c>
      <c r="E611" s="56" t="inlineStr">
        <is>
          <t>Week</t>
        </is>
      </c>
      <c r="F611" s="56">
        <f>IF(ForeCalc!$F$1="Staffed Hours",G611,24)</f>
        <v/>
      </c>
      <c r="G611" s="57">
        <f>IF(COUNTIF(M:M,Calendar!A611)&gt;0,VLOOKUP(A611,M:P,4,FALSE),VLOOKUP(D611,BusData!$A$3:$D$10,4,FALSE))</f>
        <v/>
      </c>
      <c r="H611" s="11">
        <f>F611/SUMIFS($F$2:$F$9997,$B$2:$B$9997,B611,$C$2:$C$9997,C611)</f>
        <v/>
      </c>
      <c r="I611" s="19" t="n">
        <v>2</v>
      </c>
      <c r="J611" s="57" t="n">
        <v>9</v>
      </c>
    </row>
    <row r="612">
      <c r="A612" s="62" t="n">
        <v>46723</v>
      </c>
      <c r="B612" s="19" t="n">
        <v>2027</v>
      </c>
      <c r="C612" s="19" t="n">
        <v>12</v>
      </c>
      <c r="D612" s="56" t="inlineStr">
        <is>
          <t>Thu</t>
        </is>
      </c>
      <c r="E612" s="56" t="inlineStr">
        <is>
          <t>Week</t>
        </is>
      </c>
      <c r="F612" s="56">
        <f>IF(ForeCalc!$F$1="Staffed Hours",G612,24)</f>
        <v/>
      </c>
      <c r="G612" s="57">
        <f>IF(COUNTIF(M:M,Calendar!A612)&gt;0,VLOOKUP(A612,M:P,4,FALSE),VLOOKUP(D612,BusData!$A$3:$D$10,4,FALSE))</f>
        <v/>
      </c>
      <c r="H612" s="11">
        <f>F612/SUMIFS($F$2:$F$9997,$B$2:$B$9997,B612,$C$2:$C$9997,C612)</f>
        <v/>
      </c>
      <c r="I612" s="19" t="n">
        <v>2</v>
      </c>
      <c r="J612" s="57" t="n">
        <v>9</v>
      </c>
    </row>
    <row r="613">
      <c r="A613" s="62" t="n">
        <v>46724</v>
      </c>
      <c r="B613" s="19" t="n">
        <v>2027</v>
      </c>
      <c r="C613" s="19" t="n">
        <v>12</v>
      </c>
      <c r="D613" s="56" t="inlineStr">
        <is>
          <t>Fri</t>
        </is>
      </c>
      <c r="E613" s="56" t="inlineStr">
        <is>
          <t>Week</t>
        </is>
      </c>
      <c r="F613" s="56">
        <f>IF(ForeCalc!$F$1="Staffed Hours",G613,24)</f>
        <v/>
      </c>
      <c r="G613" s="57">
        <f>IF(COUNTIF(M:M,Calendar!A613)&gt;0,VLOOKUP(A613,M:P,4,FALSE),VLOOKUP(D613,BusData!$A$3:$D$10,4,FALSE))</f>
        <v/>
      </c>
      <c r="H613" s="11">
        <f>F613/SUMIFS($F$2:$F$9997,$B$2:$B$9997,B613,$C$2:$C$9997,C613)</f>
        <v/>
      </c>
      <c r="I613" s="19" t="n">
        <v>2</v>
      </c>
      <c r="J613" s="57" t="n">
        <v>9</v>
      </c>
    </row>
    <row r="614">
      <c r="A614" s="62" t="n">
        <v>46725</v>
      </c>
      <c r="B614" s="19" t="n">
        <v>2027</v>
      </c>
      <c r="C614" s="19" t="n">
        <v>12</v>
      </c>
      <c r="D614" s="56" t="inlineStr">
        <is>
          <t>Sat</t>
        </is>
      </c>
      <c r="E614" s="56" t="inlineStr">
        <is>
          <t>Sat</t>
        </is>
      </c>
      <c r="F614" s="56">
        <f>IF(ForeCalc!$F$1="Staffed Hours",G614,24)</f>
        <v/>
      </c>
      <c r="G614" s="57">
        <f>IF(COUNTIF(M:M,Calendar!A614)&gt;0,VLOOKUP(A614,M:P,4,FALSE),VLOOKUP(D614,BusData!$A$3:$D$10,4,FALSE))</f>
        <v/>
      </c>
      <c r="H614" s="11">
        <f>F614/SUMIFS($F$2:$F$9997,$B$2:$B$9997,B614,$C$2:$C$9997,C614)</f>
        <v/>
      </c>
      <c r="I614" s="19" t="n">
        <v>2</v>
      </c>
      <c r="J614" s="57" t="n">
        <v>9</v>
      </c>
    </row>
    <row r="615">
      <c r="A615" s="62" t="n">
        <v>46726</v>
      </c>
      <c r="B615" s="19" t="n">
        <v>2027</v>
      </c>
      <c r="C615" s="19" t="n">
        <v>12</v>
      </c>
      <c r="D615" s="56" t="inlineStr">
        <is>
          <t>Sun</t>
        </is>
      </c>
      <c r="E615" s="56" t="inlineStr">
        <is>
          <t>Sun</t>
        </is>
      </c>
      <c r="F615" s="56">
        <f>IF(ForeCalc!$F$1="Staffed Hours",G615,24)</f>
        <v/>
      </c>
      <c r="G615" s="57">
        <f>IF(COUNTIF(M:M,Calendar!A615)&gt;0,VLOOKUP(A615,M:P,4,FALSE),VLOOKUP(D615,BusData!$A$3:$D$10,4,FALSE))</f>
        <v/>
      </c>
      <c r="H615" s="11">
        <f>F615/SUMIFS($F$2:$F$9997,$B$2:$B$9997,B615,$C$2:$C$9997,C615)</f>
        <v/>
      </c>
      <c r="I615" s="19" t="n">
        <v>2</v>
      </c>
      <c r="J615" s="57" t="n">
        <v>9</v>
      </c>
    </row>
    <row r="616">
      <c r="A616" s="62" t="n">
        <v>46727</v>
      </c>
      <c r="B616" s="19" t="n">
        <v>2027</v>
      </c>
      <c r="C616" s="19" t="n">
        <v>12</v>
      </c>
      <c r="D616" s="56" t="inlineStr">
        <is>
          <t>Mon</t>
        </is>
      </c>
      <c r="E616" s="56" t="inlineStr">
        <is>
          <t>Week</t>
        </is>
      </c>
      <c r="F616" s="56">
        <f>IF(ForeCalc!$F$1="Staffed Hours",G616,24)</f>
        <v/>
      </c>
      <c r="G616" s="57">
        <f>IF(COUNTIF(M:M,Calendar!A616)&gt;0,VLOOKUP(A616,M:P,4,FALSE),VLOOKUP(D616,BusData!$A$3:$D$10,4,FALSE))</f>
        <v/>
      </c>
      <c r="H616" s="11">
        <f>F616/SUMIFS($F$2:$F$9997,$B$2:$B$9997,B616,$C$2:$C$9997,C616)</f>
        <v/>
      </c>
      <c r="I616" s="19" t="n">
        <v>2</v>
      </c>
      <c r="J616" s="57" t="n">
        <v>9</v>
      </c>
    </row>
    <row r="617">
      <c r="A617" s="62" t="n">
        <v>46728</v>
      </c>
      <c r="B617" s="19" t="n">
        <v>2027</v>
      </c>
      <c r="C617" s="19" t="n">
        <v>12</v>
      </c>
      <c r="D617" s="56" t="inlineStr">
        <is>
          <t>Tue</t>
        </is>
      </c>
      <c r="E617" s="56" t="inlineStr">
        <is>
          <t>Week</t>
        </is>
      </c>
      <c r="F617" s="56">
        <f>IF(ForeCalc!$F$1="Staffed Hours",G617,24)</f>
        <v/>
      </c>
      <c r="G617" s="57">
        <f>IF(COUNTIF(M:M,Calendar!A617)&gt;0,VLOOKUP(A617,M:P,4,FALSE),VLOOKUP(D617,BusData!$A$3:$D$10,4,FALSE))</f>
        <v/>
      </c>
      <c r="H617" s="11">
        <f>F617/SUMIFS($F$2:$F$9997,$B$2:$B$9997,B617,$C$2:$C$9997,C617)</f>
        <v/>
      </c>
      <c r="I617" s="19" t="n">
        <v>2</v>
      </c>
      <c r="J617" s="57" t="n">
        <v>9</v>
      </c>
    </row>
    <row r="618">
      <c r="A618" s="62" t="n">
        <v>46729</v>
      </c>
      <c r="B618" s="19" t="n">
        <v>2027</v>
      </c>
      <c r="C618" s="19" t="n">
        <v>12</v>
      </c>
      <c r="D618" s="56" t="inlineStr">
        <is>
          <t>Wed</t>
        </is>
      </c>
      <c r="E618" s="56" t="inlineStr">
        <is>
          <t>Week</t>
        </is>
      </c>
      <c r="F618" s="56">
        <f>IF(ForeCalc!$F$1="Staffed Hours",G618,24)</f>
        <v/>
      </c>
      <c r="G618" s="57">
        <f>IF(COUNTIF(M:M,Calendar!A618)&gt;0,VLOOKUP(A618,M:P,4,FALSE),VLOOKUP(D618,BusData!$A$3:$D$10,4,FALSE))</f>
        <v/>
      </c>
      <c r="H618" s="11">
        <f>F618/SUMIFS($F$2:$F$9997,$B$2:$B$9997,B618,$C$2:$C$9997,C618)</f>
        <v/>
      </c>
      <c r="I618" s="19" t="n">
        <v>2</v>
      </c>
      <c r="J618" s="57" t="n">
        <v>9</v>
      </c>
    </row>
    <row r="619">
      <c r="A619" s="62" t="n">
        <v>46730</v>
      </c>
      <c r="B619" s="19" t="n">
        <v>2027</v>
      </c>
      <c r="C619" s="19" t="n">
        <v>12</v>
      </c>
      <c r="D619" s="56" t="inlineStr">
        <is>
          <t>Thu</t>
        </is>
      </c>
      <c r="E619" s="56" t="inlineStr">
        <is>
          <t>Week</t>
        </is>
      </c>
      <c r="F619" s="56">
        <f>IF(ForeCalc!$F$1="Staffed Hours",G619,24)</f>
        <v/>
      </c>
      <c r="G619" s="57">
        <f>IF(COUNTIF(M:M,Calendar!A619)&gt;0,VLOOKUP(A619,M:P,4,FALSE),VLOOKUP(D619,BusData!$A$3:$D$10,4,FALSE))</f>
        <v/>
      </c>
      <c r="H619" s="11">
        <f>F619/SUMIFS($F$2:$F$9997,$B$2:$B$9997,B619,$C$2:$C$9997,C619)</f>
        <v/>
      </c>
      <c r="I619" s="19" t="n">
        <v>2</v>
      </c>
      <c r="J619" s="57" t="n">
        <v>9</v>
      </c>
    </row>
    <row r="620">
      <c r="A620" s="62" t="n">
        <v>46731</v>
      </c>
      <c r="B620" s="19" t="n">
        <v>2027</v>
      </c>
      <c r="C620" s="19" t="n">
        <v>12</v>
      </c>
      <c r="D620" s="56" t="inlineStr">
        <is>
          <t>Fri</t>
        </is>
      </c>
      <c r="E620" s="56" t="inlineStr">
        <is>
          <t>Week</t>
        </is>
      </c>
      <c r="F620" s="56">
        <f>IF(ForeCalc!$F$1="Staffed Hours",G620,24)</f>
        <v/>
      </c>
      <c r="G620" s="57">
        <f>IF(COUNTIF(M:M,Calendar!A620)&gt;0,VLOOKUP(A620,M:P,4,FALSE),VLOOKUP(D620,BusData!$A$3:$D$10,4,FALSE))</f>
        <v/>
      </c>
      <c r="H620" s="11">
        <f>F620/SUMIFS($F$2:$F$9997,$B$2:$B$9997,B620,$C$2:$C$9997,C620)</f>
        <v/>
      </c>
      <c r="I620" s="19" t="n">
        <v>2</v>
      </c>
      <c r="J620" s="57" t="n">
        <v>9</v>
      </c>
    </row>
    <row r="621">
      <c r="A621" s="62" t="n">
        <v>46732</v>
      </c>
      <c r="B621" s="19" t="n">
        <v>2027</v>
      </c>
      <c r="C621" s="19" t="n">
        <v>12</v>
      </c>
      <c r="D621" s="56" t="inlineStr">
        <is>
          <t>Sat</t>
        </is>
      </c>
      <c r="E621" s="56" t="inlineStr">
        <is>
          <t>Sat</t>
        </is>
      </c>
      <c r="F621" s="56">
        <f>IF(ForeCalc!$F$1="Staffed Hours",G621,24)</f>
        <v/>
      </c>
      <c r="G621" s="57">
        <f>IF(COUNTIF(M:M,Calendar!A621)&gt;0,VLOOKUP(A621,M:P,4,FALSE),VLOOKUP(D621,BusData!$A$3:$D$10,4,FALSE))</f>
        <v/>
      </c>
      <c r="H621" s="11">
        <f>F621/SUMIFS($F$2:$F$9997,$B$2:$B$9997,B621,$C$2:$C$9997,C621)</f>
        <v/>
      </c>
      <c r="I621" s="19" t="n">
        <v>2</v>
      </c>
      <c r="J621" s="57" t="n">
        <v>9</v>
      </c>
    </row>
    <row r="622">
      <c r="A622" s="62" t="n">
        <v>46733</v>
      </c>
      <c r="B622" s="19" t="n">
        <v>2027</v>
      </c>
      <c r="C622" s="19" t="n">
        <v>12</v>
      </c>
      <c r="D622" s="56" t="inlineStr">
        <is>
          <t>Sun</t>
        </is>
      </c>
      <c r="E622" s="56" t="inlineStr">
        <is>
          <t>Sun</t>
        </is>
      </c>
      <c r="F622" s="56">
        <f>IF(ForeCalc!$F$1="Staffed Hours",G622,24)</f>
        <v/>
      </c>
      <c r="G622" s="57">
        <f>IF(COUNTIF(M:M,Calendar!A622)&gt;0,VLOOKUP(A622,M:P,4,FALSE),VLOOKUP(D622,BusData!$A$3:$D$10,4,FALSE))</f>
        <v/>
      </c>
      <c r="H622" s="11">
        <f>F622/SUMIFS($F$2:$F$9997,$B$2:$B$9997,B622,$C$2:$C$9997,C622)</f>
        <v/>
      </c>
      <c r="I622" s="19" t="n">
        <v>2</v>
      </c>
      <c r="J622" s="57" t="n">
        <v>9</v>
      </c>
    </row>
    <row r="623">
      <c r="A623" s="62" t="n">
        <v>46734</v>
      </c>
      <c r="B623" s="19" t="n">
        <v>2027</v>
      </c>
      <c r="C623" s="19" t="n">
        <v>12</v>
      </c>
      <c r="D623" s="56" t="inlineStr">
        <is>
          <t>Mon</t>
        </is>
      </c>
      <c r="E623" s="56" t="inlineStr">
        <is>
          <t>Week</t>
        </is>
      </c>
      <c r="F623" s="56">
        <f>IF(ForeCalc!$F$1="Staffed Hours",G623,24)</f>
        <v/>
      </c>
      <c r="G623" s="57">
        <f>IF(COUNTIF(M:M,Calendar!A623)&gt;0,VLOOKUP(A623,M:P,4,FALSE),VLOOKUP(D623,BusData!$A$3:$D$10,4,FALSE))</f>
        <v/>
      </c>
      <c r="H623" s="11">
        <f>F623/SUMIFS($F$2:$F$9997,$B$2:$B$9997,B623,$C$2:$C$9997,C623)</f>
        <v/>
      </c>
      <c r="I623" s="19" t="n">
        <v>2</v>
      </c>
      <c r="J623" s="57" t="n">
        <v>9</v>
      </c>
    </row>
    <row r="624">
      <c r="A624" s="62" t="n">
        <v>46735</v>
      </c>
      <c r="B624" s="19" t="n">
        <v>2027</v>
      </c>
      <c r="C624" s="19" t="n">
        <v>12</v>
      </c>
      <c r="D624" s="56" t="inlineStr">
        <is>
          <t>Tue</t>
        </is>
      </c>
      <c r="E624" s="56" t="inlineStr">
        <is>
          <t>Week</t>
        </is>
      </c>
      <c r="F624" s="56">
        <f>IF(ForeCalc!$F$1="Staffed Hours",G624,24)</f>
        <v/>
      </c>
      <c r="G624" s="57">
        <f>IF(COUNTIF(M:M,Calendar!A624)&gt;0,VLOOKUP(A624,M:P,4,FALSE),VLOOKUP(D624,BusData!$A$3:$D$10,4,FALSE))</f>
        <v/>
      </c>
      <c r="H624" s="11">
        <f>F624/SUMIFS($F$2:$F$9997,$B$2:$B$9997,B624,$C$2:$C$9997,C624)</f>
        <v/>
      </c>
      <c r="I624" s="19" t="n">
        <v>2</v>
      </c>
      <c r="J624" s="57" t="n">
        <v>9</v>
      </c>
    </row>
    <row r="625">
      <c r="A625" s="62" t="n">
        <v>46736</v>
      </c>
      <c r="B625" s="19" t="n">
        <v>2027</v>
      </c>
      <c r="C625" s="19" t="n">
        <v>12</v>
      </c>
      <c r="D625" s="56" t="inlineStr">
        <is>
          <t>Wed</t>
        </is>
      </c>
      <c r="E625" s="56" t="inlineStr">
        <is>
          <t>Week</t>
        </is>
      </c>
      <c r="F625" s="56">
        <f>IF(ForeCalc!$F$1="Staffed Hours",G625,24)</f>
        <v/>
      </c>
      <c r="G625" s="57">
        <f>IF(COUNTIF(M:M,Calendar!A625)&gt;0,VLOOKUP(A625,M:P,4,FALSE),VLOOKUP(D625,BusData!$A$3:$D$10,4,FALSE))</f>
        <v/>
      </c>
      <c r="H625" s="11">
        <f>F625/SUMIFS($F$2:$F$9997,$B$2:$B$9997,B625,$C$2:$C$9997,C625)</f>
        <v/>
      </c>
      <c r="I625" s="19" t="n">
        <v>2</v>
      </c>
      <c r="J625" s="57" t="n">
        <v>9</v>
      </c>
    </row>
    <row r="626">
      <c r="A626" s="62" t="n">
        <v>46737</v>
      </c>
      <c r="B626" s="19" t="n">
        <v>2027</v>
      </c>
      <c r="C626" s="19" t="n">
        <v>12</v>
      </c>
      <c r="D626" s="56" t="inlineStr">
        <is>
          <t>Thu</t>
        </is>
      </c>
      <c r="E626" s="56" t="inlineStr">
        <is>
          <t>Week</t>
        </is>
      </c>
      <c r="F626" s="56">
        <f>IF(ForeCalc!$F$1="Staffed Hours",G626,24)</f>
        <v/>
      </c>
      <c r="G626" s="57">
        <f>IF(COUNTIF(M:M,Calendar!A626)&gt;0,VLOOKUP(A626,M:P,4,FALSE),VLOOKUP(D626,BusData!$A$3:$D$10,4,FALSE))</f>
        <v/>
      </c>
      <c r="H626" s="11">
        <f>F626/SUMIFS($F$2:$F$9997,$B$2:$B$9997,B626,$C$2:$C$9997,C626)</f>
        <v/>
      </c>
      <c r="I626" s="19" t="n">
        <v>2</v>
      </c>
      <c r="J626" s="57" t="n">
        <v>9</v>
      </c>
    </row>
    <row r="627">
      <c r="A627" s="62" t="n">
        <v>46738</v>
      </c>
      <c r="B627" s="19" t="n">
        <v>2027</v>
      </c>
      <c r="C627" s="19" t="n">
        <v>12</v>
      </c>
      <c r="D627" s="56" t="inlineStr">
        <is>
          <t>Fri</t>
        </is>
      </c>
      <c r="E627" s="56" t="inlineStr">
        <is>
          <t>Week</t>
        </is>
      </c>
      <c r="F627" s="56">
        <f>IF(ForeCalc!$F$1="Staffed Hours",G627,24)</f>
        <v/>
      </c>
      <c r="G627" s="57">
        <f>IF(COUNTIF(M:M,Calendar!A627)&gt;0,VLOOKUP(A627,M:P,4,FALSE),VLOOKUP(D627,BusData!$A$3:$D$10,4,FALSE))</f>
        <v/>
      </c>
      <c r="H627" s="11">
        <f>F627/SUMIFS($F$2:$F$9997,$B$2:$B$9997,B627,$C$2:$C$9997,C627)</f>
        <v/>
      </c>
      <c r="I627" s="19" t="n">
        <v>2</v>
      </c>
      <c r="J627" s="57" t="n">
        <v>9</v>
      </c>
    </row>
    <row r="628">
      <c r="A628" s="62" t="n">
        <v>46739</v>
      </c>
      <c r="B628" s="19" t="n">
        <v>2027</v>
      </c>
      <c r="C628" s="19" t="n">
        <v>12</v>
      </c>
      <c r="D628" s="56" t="inlineStr">
        <is>
          <t>Sat</t>
        </is>
      </c>
      <c r="E628" s="56" t="inlineStr">
        <is>
          <t>Sat</t>
        </is>
      </c>
      <c r="F628" s="56">
        <f>IF(ForeCalc!$F$1="Staffed Hours",G628,24)</f>
        <v/>
      </c>
      <c r="G628" s="57">
        <f>IF(COUNTIF(M:M,Calendar!A628)&gt;0,VLOOKUP(A628,M:P,4,FALSE),VLOOKUP(D628,BusData!$A$3:$D$10,4,FALSE))</f>
        <v/>
      </c>
      <c r="H628" s="11">
        <f>F628/SUMIFS($F$2:$F$9997,$B$2:$B$9997,B628,$C$2:$C$9997,C628)</f>
        <v/>
      </c>
      <c r="I628" s="19" t="n">
        <v>2</v>
      </c>
      <c r="J628" s="57" t="n">
        <v>9</v>
      </c>
    </row>
    <row r="629">
      <c r="A629" s="62" t="n">
        <v>46740</v>
      </c>
      <c r="B629" s="19" t="n">
        <v>2027</v>
      </c>
      <c r="C629" s="19" t="n">
        <v>12</v>
      </c>
      <c r="D629" s="56" t="inlineStr">
        <is>
          <t>Sun</t>
        </is>
      </c>
      <c r="E629" s="56" t="inlineStr">
        <is>
          <t>Sun</t>
        </is>
      </c>
      <c r="F629" s="56">
        <f>IF(ForeCalc!$F$1="Staffed Hours",G629,24)</f>
        <v/>
      </c>
      <c r="G629" s="57">
        <f>IF(COUNTIF(M:M,Calendar!A629)&gt;0,VLOOKUP(A629,M:P,4,FALSE),VLOOKUP(D629,BusData!$A$3:$D$10,4,FALSE))</f>
        <v/>
      </c>
      <c r="H629" s="11">
        <f>F629/SUMIFS($F$2:$F$9997,$B$2:$B$9997,B629,$C$2:$C$9997,C629)</f>
        <v/>
      </c>
      <c r="I629" s="19" t="n">
        <v>2</v>
      </c>
      <c r="J629" s="57" t="n">
        <v>9</v>
      </c>
    </row>
    <row r="630">
      <c r="A630" s="62" t="n">
        <v>46741</v>
      </c>
      <c r="B630" s="19" t="n">
        <v>2027</v>
      </c>
      <c r="C630" s="19" t="n">
        <v>12</v>
      </c>
      <c r="D630" s="56" t="inlineStr">
        <is>
          <t>Mon</t>
        </is>
      </c>
      <c r="E630" s="56" t="inlineStr">
        <is>
          <t>Week</t>
        </is>
      </c>
      <c r="F630" s="56">
        <f>IF(ForeCalc!$F$1="Staffed Hours",G630,24)</f>
        <v/>
      </c>
      <c r="G630" s="57">
        <f>IF(COUNTIF(M:M,Calendar!A630)&gt;0,VLOOKUP(A630,M:P,4,FALSE),VLOOKUP(D630,BusData!$A$3:$D$10,4,FALSE))</f>
        <v/>
      </c>
      <c r="H630" s="11">
        <f>F630/SUMIFS($F$2:$F$9997,$B$2:$B$9997,B630,$C$2:$C$9997,C630)</f>
        <v/>
      </c>
      <c r="I630" s="19" t="n">
        <v>2</v>
      </c>
      <c r="J630" s="57" t="n">
        <v>9</v>
      </c>
    </row>
    <row r="631">
      <c r="A631" s="62" t="n">
        <v>46742</v>
      </c>
      <c r="B631" s="19" t="n">
        <v>2027</v>
      </c>
      <c r="C631" s="19" t="n">
        <v>12</v>
      </c>
      <c r="D631" s="56" t="inlineStr">
        <is>
          <t>Tue</t>
        </is>
      </c>
      <c r="E631" s="56" t="inlineStr">
        <is>
          <t>Week</t>
        </is>
      </c>
      <c r="F631" s="56">
        <f>IF(ForeCalc!$F$1="Staffed Hours",G631,24)</f>
        <v/>
      </c>
      <c r="G631" s="57">
        <f>IF(COUNTIF(M:M,Calendar!A631)&gt;0,VLOOKUP(A631,M:P,4,FALSE),VLOOKUP(D631,BusData!$A$3:$D$10,4,FALSE))</f>
        <v/>
      </c>
      <c r="H631" s="11">
        <f>F631/SUMIFS($F$2:$F$9997,$B$2:$B$9997,B631,$C$2:$C$9997,C631)</f>
        <v/>
      </c>
      <c r="I631" s="19" t="n">
        <v>2</v>
      </c>
      <c r="J631" s="57" t="n">
        <v>9</v>
      </c>
    </row>
    <row r="632">
      <c r="A632" s="62" t="n">
        <v>46743</v>
      </c>
      <c r="B632" s="19" t="n">
        <v>2027</v>
      </c>
      <c r="C632" s="19" t="n">
        <v>12</v>
      </c>
      <c r="D632" s="56" t="inlineStr">
        <is>
          <t>Wed</t>
        </is>
      </c>
      <c r="E632" s="56" t="inlineStr">
        <is>
          <t>Week</t>
        </is>
      </c>
      <c r="F632" s="56">
        <f>IF(ForeCalc!$F$1="Staffed Hours",G632,24)</f>
        <v/>
      </c>
      <c r="G632" s="57">
        <f>IF(COUNTIF(M:M,Calendar!A632)&gt;0,VLOOKUP(A632,M:P,4,FALSE),VLOOKUP(D632,BusData!$A$3:$D$10,4,FALSE))</f>
        <v/>
      </c>
      <c r="H632" s="11">
        <f>F632/SUMIFS($F$2:$F$9997,$B$2:$B$9997,B632,$C$2:$C$9997,C632)</f>
        <v/>
      </c>
      <c r="I632" s="19" t="n">
        <v>2</v>
      </c>
      <c r="J632" s="57" t="n">
        <v>9</v>
      </c>
    </row>
    <row r="633">
      <c r="A633" s="62" t="n">
        <v>46744</v>
      </c>
      <c r="B633" s="19" t="n">
        <v>2027</v>
      </c>
      <c r="C633" s="19" t="n">
        <v>12</v>
      </c>
      <c r="D633" s="56" t="inlineStr">
        <is>
          <t>Thu</t>
        </is>
      </c>
      <c r="E633" s="56" t="inlineStr">
        <is>
          <t>Week</t>
        </is>
      </c>
      <c r="F633" s="56">
        <f>IF(ForeCalc!$F$1="Staffed Hours",G633,24)</f>
        <v/>
      </c>
      <c r="G633" s="57">
        <f>IF(COUNTIF(M:M,Calendar!A633)&gt;0,VLOOKUP(A633,M:P,4,FALSE),VLOOKUP(D633,BusData!$A$3:$D$10,4,FALSE))</f>
        <v/>
      </c>
      <c r="H633" s="11">
        <f>F633/SUMIFS($F$2:$F$9997,$B$2:$B$9997,B633,$C$2:$C$9997,C633)</f>
        <v/>
      </c>
      <c r="I633" s="19" t="n">
        <v>2</v>
      </c>
      <c r="J633" s="57" t="n">
        <v>9</v>
      </c>
    </row>
    <row r="634">
      <c r="A634" s="62" t="n">
        <v>46745</v>
      </c>
      <c r="B634" s="19" t="n">
        <v>2027</v>
      </c>
      <c r="C634" s="19" t="n">
        <v>12</v>
      </c>
      <c r="D634" s="56" t="inlineStr">
        <is>
          <t>Fri</t>
        </is>
      </c>
      <c r="E634" s="56" t="inlineStr">
        <is>
          <t>Week</t>
        </is>
      </c>
      <c r="F634" s="56">
        <f>IF(ForeCalc!$F$1="Staffed Hours",G634,24)</f>
        <v/>
      </c>
      <c r="G634" s="57">
        <f>IF(COUNTIF(M:M,Calendar!A634)&gt;0,VLOOKUP(A634,M:P,4,FALSE),VLOOKUP(D634,BusData!$A$3:$D$10,4,FALSE))</f>
        <v/>
      </c>
      <c r="H634" s="11">
        <f>F634/SUMIFS($F$2:$F$9997,$B$2:$B$9997,B634,$C$2:$C$9997,C634)</f>
        <v/>
      </c>
      <c r="I634" s="19" t="n">
        <v>2</v>
      </c>
      <c r="J634" s="57" t="n">
        <v>9</v>
      </c>
    </row>
    <row r="635">
      <c r="A635" s="62" t="n">
        <v>46746</v>
      </c>
      <c r="B635" s="19" t="n">
        <v>2027</v>
      </c>
      <c r="C635" s="19" t="n">
        <v>12</v>
      </c>
      <c r="D635" s="56" t="inlineStr">
        <is>
          <t>Sat</t>
        </is>
      </c>
      <c r="E635" s="56" t="inlineStr">
        <is>
          <t>Sat</t>
        </is>
      </c>
      <c r="F635" s="56">
        <f>IF(ForeCalc!$F$1="Staffed Hours",G635,24)</f>
        <v/>
      </c>
      <c r="G635" s="57">
        <f>IF(COUNTIF(M:M,Calendar!A635)&gt;0,VLOOKUP(A635,M:P,4,FALSE),VLOOKUP(D635,BusData!$A$3:$D$10,4,FALSE))</f>
        <v/>
      </c>
      <c r="H635" s="11">
        <f>F635/SUMIFS($F$2:$F$9997,$B$2:$B$9997,B635,$C$2:$C$9997,C635)</f>
        <v/>
      </c>
      <c r="I635" s="19" t="n">
        <v>2</v>
      </c>
      <c r="J635" s="57" t="n">
        <v>9</v>
      </c>
    </row>
    <row r="636">
      <c r="A636" s="62" t="n">
        <v>46747</v>
      </c>
      <c r="B636" s="19" t="n">
        <v>2027</v>
      </c>
      <c r="C636" s="19" t="n">
        <v>12</v>
      </c>
      <c r="D636" s="56" t="inlineStr">
        <is>
          <t>Sun</t>
        </is>
      </c>
      <c r="E636" s="56" t="inlineStr">
        <is>
          <t>Sun</t>
        </is>
      </c>
      <c r="F636" s="56">
        <f>IF(ForeCalc!$F$1="Staffed Hours",G636,24)</f>
        <v/>
      </c>
      <c r="G636" s="57">
        <f>IF(COUNTIF(M:M,Calendar!A636)&gt;0,VLOOKUP(A636,M:P,4,FALSE),VLOOKUP(D636,BusData!$A$3:$D$10,4,FALSE))</f>
        <v/>
      </c>
      <c r="H636" s="11">
        <f>F636/SUMIFS($F$2:$F$9997,$B$2:$B$9997,B636,$C$2:$C$9997,C636)</f>
        <v/>
      </c>
      <c r="I636" s="19" t="n">
        <v>2</v>
      </c>
      <c r="J636" s="57" t="n">
        <v>9</v>
      </c>
    </row>
    <row r="637">
      <c r="A637" s="62" t="n">
        <v>46748</v>
      </c>
      <c r="B637" s="19" t="n">
        <v>2027</v>
      </c>
      <c r="C637" s="19" t="n">
        <v>12</v>
      </c>
      <c r="D637" s="56" t="inlineStr">
        <is>
          <t>Mon</t>
        </is>
      </c>
      <c r="E637" s="56" t="inlineStr">
        <is>
          <t>Week</t>
        </is>
      </c>
      <c r="F637" s="56">
        <f>IF(ForeCalc!$F$1="Staffed Hours",G637,24)</f>
        <v/>
      </c>
      <c r="G637" s="57">
        <f>IF(COUNTIF(M:M,Calendar!A637)&gt;0,VLOOKUP(A637,M:P,4,FALSE),VLOOKUP(D637,BusData!$A$3:$D$10,4,FALSE))</f>
        <v/>
      </c>
      <c r="H637" s="11">
        <f>F637/SUMIFS($F$2:$F$9997,$B$2:$B$9997,B637,$C$2:$C$9997,C637)</f>
        <v/>
      </c>
      <c r="I637" s="19" t="n">
        <v>2</v>
      </c>
      <c r="J637" s="57" t="n">
        <v>9</v>
      </c>
    </row>
    <row r="638">
      <c r="A638" s="62" t="n">
        <v>46749</v>
      </c>
      <c r="B638" s="19" t="n">
        <v>2027</v>
      </c>
      <c r="C638" s="19" t="n">
        <v>12</v>
      </c>
      <c r="D638" s="56" t="inlineStr">
        <is>
          <t>Tue</t>
        </is>
      </c>
      <c r="E638" s="56" t="inlineStr">
        <is>
          <t>Week</t>
        </is>
      </c>
      <c r="F638" s="56">
        <f>IF(ForeCalc!$F$1="Staffed Hours",G638,24)</f>
        <v/>
      </c>
      <c r="G638" s="57">
        <f>IF(COUNTIF(M:M,Calendar!A638)&gt;0,VLOOKUP(A638,M:P,4,FALSE),VLOOKUP(D638,BusData!$A$3:$D$10,4,FALSE))</f>
        <v/>
      </c>
      <c r="H638" s="11">
        <f>F638/SUMIFS($F$2:$F$9997,$B$2:$B$9997,B638,$C$2:$C$9997,C638)</f>
        <v/>
      </c>
      <c r="I638" s="19" t="n">
        <v>2</v>
      </c>
      <c r="J638" s="57" t="n">
        <v>9</v>
      </c>
    </row>
    <row r="639">
      <c r="A639" s="62" t="n">
        <v>46750</v>
      </c>
      <c r="B639" s="19" t="n">
        <v>2027</v>
      </c>
      <c r="C639" s="19" t="n">
        <v>12</v>
      </c>
      <c r="D639" s="56" t="inlineStr">
        <is>
          <t>Wed</t>
        </is>
      </c>
      <c r="E639" s="56" t="inlineStr">
        <is>
          <t>Week</t>
        </is>
      </c>
      <c r="F639" s="56">
        <f>IF(ForeCalc!$F$1="Staffed Hours",G639,24)</f>
        <v/>
      </c>
      <c r="G639" s="57">
        <f>IF(COUNTIF(M:M,Calendar!A639)&gt;0,VLOOKUP(A639,M:P,4,FALSE),VLOOKUP(D639,BusData!$A$3:$D$10,4,FALSE))</f>
        <v/>
      </c>
      <c r="H639" s="11">
        <f>F639/SUMIFS($F$2:$F$9997,$B$2:$B$9997,B639,$C$2:$C$9997,C639)</f>
        <v/>
      </c>
      <c r="I639" s="19" t="n">
        <v>2</v>
      </c>
      <c r="J639" s="57" t="n">
        <v>9</v>
      </c>
    </row>
    <row r="640">
      <c r="A640" s="62" t="n">
        <v>46751</v>
      </c>
      <c r="B640" s="19" t="n">
        <v>2027</v>
      </c>
      <c r="C640" s="19" t="n">
        <v>12</v>
      </c>
      <c r="D640" s="56" t="inlineStr">
        <is>
          <t>Thu</t>
        </is>
      </c>
      <c r="E640" s="56" t="inlineStr">
        <is>
          <t>Week</t>
        </is>
      </c>
      <c r="F640" s="56">
        <f>IF(ForeCalc!$F$1="Staffed Hours",G640,24)</f>
        <v/>
      </c>
      <c r="G640" s="57">
        <f>IF(COUNTIF(M:M,Calendar!A640)&gt;0,VLOOKUP(A640,M:P,4,FALSE),VLOOKUP(D640,BusData!$A$3:$D$10,4,FALSE))</f>
        <v/>
      </c>
      <c r="H640" s="11">
        <f>F640/SUMIFS($F$2:$F$9997,$B$2:$B$9997,B640,$C$2:$C$9997,C640)</f>
        <v/>
      </c>
      <c r="I640" s="19" t="n">
        <v>2</v>
      </c>
      <c r="J640" s="57" t="n">
        <v>9</v>
      </c>
    </row>
    <row r="641">
      <c r="A641" s="62" t="n">
        <v>46752</v>
      </c>
      <c r="B641" s="19" t="n">
        <v>2027</v>
      </c>
      <c r="C641" s="19" t="n">
        <v>12</v>
      </c>
      <c r="D641" s="56" t="inlineStr">
        <is>
          <t>Fri</t>
        </is>
      </c>
      <c r="E641" s="56" t="inlineStr">
        <is>
          <t>Week</t>
        </is>
      </c>
      <c r="F641" s="56">
        <f>IF(ForeCalc!$F$1="Staffed Hours",G641,24)</f>
        <v/>
      </c>
      <c r="G641" s="57">
        <f>IF(COUNTIF(M:M,Calendar!A641)&gt;0,VLOOKUP(A641,M:P,4,FALSE),VLOOKUP(D641,BusData!$A$3:$D$10,4,FALSE))</f>
        <v/>
      </c>
      <c r="H641" s="11">
        <f>F641/SUMIFS($F$2:$F$9997,$B$2:$B$9997,B641,$C$2:$C$9997,C641)</f>
        <v/>
      </c>
      <c r="I641" s="19" t="n">
        <v>2</v>
      </c>
      <c r="J641" s="57" t="n">
        <v>9</v>
      </c>
    </row>
    <row r="642">
      <c r="A642" s="62" t="n">
        <v>46753</v>
      </c>
      <c r="B642" s="19" t="n">
        <v>2028</v>
      </c>
      <c r="C642" s="19" t="n">
        <v>1</v>
      </c>
      <c r="D642" s="56" t="inlineStr">
        <is>
          <t>Sat</t>
        </is>
      </c>
      <c r="E642" s="56" t="inlineStr">
        <is>
          <t>Sat</t>
        </is>
      </c>
      <c r="F642" s="56">
        <f>IF(ForeCalc!$F$1="Staffed Hours",G642,24)</f>
        <v/>
      </c>
      <c r="G642" s="57">
        <f>IF(COUNTIF(M:M,Calendar!A642)&gt;0,VLOOKUP(A642,M:P,4,FALSE),VLOOKUP(D642,BusData!$A$3:$D$10,4,FALSE))</f>
        <v/>
      </c>
      <c r="H642" s="11">
        <f>F642/SUMIFS($F$2:$F$9997,$B$2:$B$9997,B642,$C$2:$C$9997,C642)</f>
        <v/>
      </c>
      <c r="I642" s="19" t="n">
        <v>2</v>
      </c>
      <c r="J642" s="57" t="n">
        <v>10</v>
      </c>
    </row>
    <row r="643">
      <c r="A643" s="62" t="n">
        <v>46754</v>
      </c>
      <c r="B643" s="19" t="n">
        <v>2028</v>
      </c>
      <c r="C643" s="19" t="n">
        <v>1</v>
      </c>
      <c r="D643" s="56" t="inlineStr">
        <is>
          <t>Sun</t>
        </is>
      </c>
      <c r="E643" s="56" t="inlineStr">
        <is>
          <t>Sun</t>
        </is>
      </c>
      <c r="F643" s="56">
        <f>IF(ForeCalc!$F$1="Staffed Hours",G643,24)</f>
        <v/>
      </c>
      <c r="G643" s="57">
        <f>IF(COUNTIF(M:M,Calendar!A643)&gt;0,VLOOKUP(A643,M:P,4,FALSE),VLOOKUP(D643,BusData!$A$3:$D$10,4,FALSE))</f>
        <v/>
      </c>
      <c r="H643" s="11">
        <f>F643/SUMIFS($F$2:$F$9997,$B$2:$B$9997,B643,$C$2:$C$9997,C643)</f>
        <v/>
      </c>
      <c r="I643" s="19" t="n">
        <v>2</v>
      </c>
      <c r="J643" s="57" t="n">
        <v>10</v>
      </c>
    </row>
    <row r="644">
      <c r="A644" s="62" t="n">
        <v>46755</v>
      </c>
      <c r="B644" s="19" t="n">
        <v>2028</v>
      </c>
      <c r="C644" s="19" t="n">
        <v>1</v>
      </c>
      <c r="D644" s="56" t="inlineStr">
        <is>
          <t>Mon</t>
        </is>
      </c>
      <c r="E644" s="56" t="inlineStr">
        <is>
          <t>Week</t>
        </is>
      </c>
      <c r="F644" s="56">
        <f>IF(ForeCalc!$F$1="Staffed Hours",G644,24)</f>
        <v/>
      </c>
      <c r="G644" s="57">
        <f>IF(COUNTIF(M:M,Calendar!A644)&gt;0,VLOOKUP(A644,M:P,4,FALSE),VLOOKUP(D644,BusData!$A$3:$D$10,4,FALSE))</f>
        <v/>
      </c>
      <c r="H644" s="11">
        <f>F644/SUMIFS($F$2:$F$9997,$B$2:$B$9997,B644,$C$2:$C$9997,C644)</f>
        <v/>
      </c>
      <c r="I644" s="19" t="n">
        <v>2</v>
      </c>
      <c r="J644" s="57" t="n">
        <v>10</v>
      </c>
    </row>
    <row r="645">
      <c r="A645" s="62" t="n">
        <v>46756</v>
      </c>
      <c r="B645" s="19" t="n">
        <v>2028</v>
      </c>
      <c r="C645" s="19" t="n">
        <v>1</v>
      </c>
      <c r="D645" s="56" t="inlineStr">
        <is>
          <t>Tue</t>
        </is>
      </c>
      <c r="E645" s="56" t="inlineStr">
        <is>
          <t>Week</t>
        </is>
      </c>
      <c r="F645" s="56">
        <f>IF(ForeCalc!$F$1="Staffed Hours",G645,24)</f>
        <v/>
      </c>
      <c r="G645" s="57">
        <f>IF(COUNTIF(M:M,Calendar!A645)&gt;0,VLOOKUP(A645,M:P,4,FALSE),VLOOKUP(D645,BusData!$A$3:$D$10,4,FALSE))</f>
        <v/>
      </c>
      <c r="H645" s="11">
        <f>F645/SUMIFS($F$2:$F$9997,$B$2:$B$9997,B645,$C$2:$C$9997,C645)</f>
        <v/>
      </c>
      <c r="I645" s="19" t="n">
        <v>2</v>
      </c>
      <c r="J645" s="57" t="n">
        <v>10</v>
      </c>
    </row>
    <row r="646">
      <c r="A646" s="62" t="n">
        <v>46757</v>
      </c>
      <c r="B646" s="19" t="n">
        <v>2028</v>
      </c>
      <c r="C646" s="19" t="n">
        <v>1</v>
      </c>
      <c r="D646" s="56" t="inlineStr">
        <is>
          <t>Wed</t>
        </is>
      </c>
      <c r="E646" s="56" t="inlineStr">
        <is>
          <t>Week</t>
        </is>
      </c>
      <c r="F646" s="56">
        <f>IF(ForeCalc!$F$1="Staffed Hours",G646,24)</f>
        <v/>
      </c>
      <c r="G646" s="57">
        <f>IF(COUNTIF(M:M,Calendar!A646)&gt;0,VLOOKUP(A646,M:P,4,FALSE),VLOOKUP(D646,BusData!$A$3:$D$10,4,FALSE))</f>
        <v/>
      </c>
      <c r="H646" s="11">
        <f>F646/SUMIFS($F$2:$F$9997,$B$2:$B$9997,B646,$C$2:$C$9997,C646)</f>
        <v/>
      </c>
      <c r="I646" s="19" t="n">
        <v>2</v>
      </c>
      <c r="J646" s="57" t="n">
        <v>10</v>
      </c>
    </row>
    <row r="647">
      <c r="A647" s="62" t="n">
        <v>46758</v>
      </c>
      <c r="B647" s="19" t="n">
        <v>2028</v>
      </c>
      <c r="C647" s="19" t="n">
        <v>1</v>
      </c>
      <c r="D647" s="56" t="inlineStr">
        <is>
          <t>Thu</t>
        </is>
      </c>
      <c r="E647" s="56" t="inlineStr">
        <is>
          <t>Week</t>
        </is>
      </c>
      <c r="F647" s="56">
        <f>IF(ForeCalc!$F$1="Staffed Hours",G647,24)</f>
        <v/>
      </c>
      <c r="G647" s="57">
        <f>IF(COUNTIF(M:M,Calendar!A647)&gt;0,VLOOKUP(A647,M:P,4,FALSE),VLOOKUP(D647,BusData!$A$3:$D$10,4,FALSE))</f>
        <v/>
      </c>
      <c r="H647" s="11">
        <f>F647/SUMIFS($F$2:$F$9997,$B$2:$B$9997,B647,$C$2:$C$9997,C647)</f>
        <v/>
      </c>
      <c r="I647" s="19" t="n">
        <v>2</v>
      </c>
      <c r="J647" s="57" t="n">
        <v>10</v>
      </c>
    </row>
    <row r="648">
      <c r="A648" s="62" t="n">
        <v>46759</v>
      </c>
      <c r="B648" s="19" t="n">
        <v>2028</v>
      </c>
      <c r="C648" s="19" t="n">
        <v>1</v>
      </c>
      <c r="D648" s="56" t="inlineStr">
        <is>
          <t>Fri</t>
        </is>
      </c>
      <c r="E648" s="56" t="inlineStr">
        <is>
          <t>Week</t>
        </is>
      </c>
      <c r="F648" s="56">
        <f>IF(ForeCalc!$F$1="Staffed Hours",G648,24)</f>
        <v/>
      </c>
      <c r="G648" s="57">
        <f>IF(COUNTIF(M:M,Calendar!A648)&gt;0,VLOOKUP(A648,M:P,4,FALSE),VLOOKUP(D648,BusData!$A$3:$D$10,4,FALSE))</f>
        <v/>
      </c>
      <c r="H648" s="11">
        <f>F648/SUMIFS($F$2:$F$9997,$B$2:$B$9997,B648,$C$2:$C$9997,C648)</f>
        <v/>
      </c>
      <c r="I648" s="19" t="n">
        <v>2</v>
      </c>
      <c r="J648" s="57" t="n">
        <v>10</v>
      </c>
    </row>
    <row r="649">
      <c r="A649" s="62" t="n">
        <v>46760</v>
      </c>
      <c r="B649" s="19" t="n">
        <v>2028</v>
      </c>
      <c r="C649" s="19" t="n">
        <v>1</v>
      </c>
      <c r="D649" s="56" t="inlineStr">
        <is>
          <t>Sat</t>
        </is>
      </c>
      <c r="E649" s="56" t="inlineStr">
        <is>
          <t>Sat</t>
        </is>
      </c>
      <c r="F649" s="56">
        <f>IF(ForeCalc!$F$1="Staffed Hours",G649,24)</f>
        <v/>
      </c>
      <c r="G649" s="57">
        <f>IF(COUNTIF(M:M,Calendar!A649)&gt;0,VLOOKUP(A649,M:P,4,FALSE),VLOOKUP(D649,BusData!$A$3:$D$10,4,FALSE))</f>
        <v/>
      </c>
      <c r="H649" s="11">
        <f>F649/SUMIFS($F$2:$F$9997,$B$2:$B$9997,B649,$C$2:$C$9997,C649)</f>
        <v/>
      </c>
      <c r="I649" s="19" t="n">
        <v>2</v>
      </c>
      <c r="J649" s="57" t="n">
        <v>10</v>
      </c>
    </row>
    <row r="650">
      <c r="A650" s="62" t="n">
        <v>46761</v>
      </c>
      <c r="B650" s="19" t="n">
        <v>2028</v>
      </c>
      <c r="C650" s="19" t="n">
        <v>1</v>
      </c>
      <c r="D650" s="56" t="inlineStr">
        <is>
          <t>Sun</t>
        </is>
      </c>
      <c r="E650" s="56" t="inlineStr">
        <is>
          <t>Sun</t>
        </is>
      </c>
      <c r="F650" s="56">
        <f>IF(ForeCalc!$F$1="Staffed Hours",G650,24)</f>
        <v/>
      </c>
      <c r="G650" s="57">
        <f>IF(COUNTIF(M:M,Calendar!A650)&gt;0,VLOOKUP(A650,M:P,4,FALSE),VLOOKUP(D650,BusData!$A$3:$D$10,4,FALSE))</f>
        <v/>
      </c>
      <c r="H650" s="11">
        <f>F650/SUMIFS($F$2:$F$9997,$B$2:$B$9997,B650,$C$2:$C$9997,C650)</f>
        <v/>
      </c>
      <c r="I650" s="19" t="n">
        <v>2</v>
      </c>
      <c r="J650" s="57" t="n">
        <v>10</v>
      </c>
    </row>
    <row r="651">
      <c r="A651" s="62" t="n">
        <v>46762</v>
      </c>
      <c r="B651" s="19" t="n">
        <v>2028</v>
      </c>
      <c r="C651" s="19" t="n">
        <v>1</v>
      </c>
      <c r="D651" s="56" t="inlineStr">
        <is>
          <t>Mon</t>
        </is>
      </c>
      <c r="E651" s="56" t="inlineStr">
        <is>
          <t>Week</t>
        </is>
      </c>
      <c r="F651" s="56">
        <f>IF(ForeCalc!$F$1="Staffed Hours",G651,24)</f>
        <v/>
      </c>
      <c r="G651" s="57">
        <f>IF(COUNTIF(M:M,Calendar!A651)&gt;0,VLOOKUP(A651,M:P,4,FALSE),VLOOKUP(D651,BusData!$A$3:$D$10,4,FALSE))</f>
        <v/>
      </c>
      <c r="H651" s="11">
        <f>F651/SUMIFS($F$2:$F$9997,$B$2:$B$9997,B651,$C$2:$C$9997,C651)</f>
        <v/>
      </c>
      <c r="I651" s="19" t="n">
        <v>2</v>
      </c>
      <c r="J651" s="57" t="n">
        <v>10</v>
      </c>
    </row>
    <row r="652">
      <c r="A652" s="62" t="n">
        <v>46763</v>
      </c>
      <c r="B652" s="19" t="n">
        <v>2028</v>
      </c>
      <c r="C652" s="19" t="n">
        <v>1</v>
      </c>
      <c r="D652" s="56" t="inlineStr">
        <is>
          <t>Tue</t>
        </is>
      </c>
      <c r="E652" s="56" t="inlineStr">
        <is>
          <t>Week</t>
        </is>
      </c>
      <c r="F652" s="56">
        <f>IF(ForeCalc!$F$1="Staffed Hours",G652,24)</f>
        <v/>
      </c>
      <c r="G652" s="57">
        <f>IF(COUNTIF(M:M,Calendar!A652)&gt;0,VLOOKUP(A652,M:P,4,FALSE),VLOOKUP(D652,BusData!$A$3:$D$10,4,FALSE))</f>
        <v/>
      </c>
      <c r="H652" s="11">
        <f>F652/SUMIFS($F$2:$F$9997,$B$2:$B$9997,B652,$C$2:$C$9997,C652)</f>
        <v/>
      </c>
      <c r="I652" s="19" t="n">
        <v>2</v>
      </c>
      <c r="J652" s="57" t="n">
        <v>10</v>
      </c>
    </row>
    <row r="653">
      <c r="A653" s="62" t="n">
        <v>46764</v>
      </c>
      <c r="B653" s="19" t="n">
        <v>2028</v>
      </c>
      <c r="C653" s="19" t="n">
        <v>1</v>
      </c>
      <c r="D653" s="56" t="inlineStr">
        <is>
          <t>Wed</t>
        </is>
      </c>
      <c r="E653" s="56" t="inlineStr">
        <is>
          <t>Week</t>
        </is>
      </c>
      <c r="F653" s="56">
        <f>IF(ForeCalc!$F$1="Staffed Hours",G653,24)</f>
        <v/>
      </c>
      <c r="G653" s="57">
        <f>IF(COUNTIF(M:M,Calendar!A653)&gt;0,VLOOKUP(A653,M:P,4,FALSE),VLOOKUP(D653,BusData!$A$3:$D$10,4,FALSE))</f>
        <v/>
      </c>
      <c r="H653" s="11">
        <f>F653/SUMIFS($F$2:$F$9997,$B$2:$B$9997,B653,$C$2:$C$9997,C653)</f>
        <v/>
      </c>
      <c r="I653" s="19" t="n">
        <v>2</v>
      </c>
      <c r="J653" s="57" t="n">
        <v>10</v>
      </c>
    </row>
    <row r="654">
      <c r="A654" s="62" t="n">
        <v>46765</v>
      </c>
      <c r="B654" s="19" t="n">
        <v>2028</v>
      </c>
      <c r="C654" s="19" t="n">
        <v>1</v>
      </c>
      <c r="D654" s="56" t="inlineStr">
        <is>
          <t>Thu</t>
        </is>
      </c>
      <c r="E654" s="56" t="inlineStr">
        <is>
          <t>Week</t>
        </is>
      </c>
      <c r="F654" s="56">
        <f>IF(ForeCalc!$F$1="Staffed Hours",G654,24)</f>
        <v/>
      </c>
      <c r="G654" s="57">
        <f>IF(COUNTIF(M:M,Calendar!A654)&gt;0,VLOOKUP(A654,M:P,4,FALSE),VLOOKUP(D654,BusData!$A$3:$D$10,4,FALSE))</f>
        <v/>
      </c>
      <c r="H654" s="11">
        <f>F654/SUMIFS($F$2:$F$9997,$B$2:$B$9997,B654,$C$2:$C$9997,C654)</f>
        <v/>
      </c>
      <c r="I654" s="19" t="n">
        <v>2</v>
      </c>
      <c r="J654" s="57" t="n">
        <v>10</v>
      </c>
    </row>
    <row r="655">
      <c r="A655" s="62" t="n">
        <v>46766</v>
      </c>
      <c r="B655" s="19" t="n">
        <v>2028</v>
      </c>
      <c r="C655" s="19" t="n">
        <v>1</v>
      </c>
      <c r="D655" s="56" t="inlineStr">
        <is>
          <t>Fri</t>
        </is>
      </c>
      <c r="E655" s="56" t="inlineStr">
        <is>
          <t>Week</t>
        </is>
      </c>
      <c r="F655" s="56">
        <f>IF(ForeCalc!$F$1="Staffed Hours",G655,24)</f>
        <v/>
      </c>
      <c r="G655" s="57">
        <f>IF(COUNTIF(M:M,Calendar!A655)&gt;0,VLOOKUP(A655,M:P,4,FALSE),VLOOKUP(D655,BusData!$A$3:$D$10,4,FALSE))</f>
        <v/>
      </c>
      <c r="H655" s="11">
        <f>F655/SUMIFS($F$2:$F$9997,$B$2:$B$9997,B655,$C$2:$C$9997,C655)</f>
        <v/>
      </c>
      <c r="I655" s="19" t="n">
        <v>2</v>
      </c>
      <c r="J655" s="57" t="n">
        <v>10</v>
      </c>
    </row>
    <row r="656">
      <c r="A656" s="62" t="n">
        <v>46767</v>
      </c>
      <c r="B656" s="19" t="n">
        <v>2028</v>
      </c>
      <c r="C656" s="19" t="n">
        <v>1</v>
      </c>
      <c r="D656" s="56" t="inlineStr">
        <is>
          <t>Sat</t>
        </is>
      </c>
      <c r="E656" s="56" t="inlineStr">
        <is>
          <t>Sat</t>
        </is>
      </c>
      <c r="F656" s="56">
        <f>IF(ForeCalc!$F$1="Staffed Hours",G656,24)</f>
        <v/>
      </c>
      <c r="G656" s="57">
        <f>IF(COUNTIF(M:M,Calendar!A656)&gt;0,VLOOKUP(A656,M:P,4,FALSE),VLOOKUP(D656,BusData!$A$3:$D$10,4,FALSE))</f>
        <v/>
      </c>
      <c r="H656" s="11">
        <f>F656/SUMIFS($F$2:$F$9997,$B$2:$B$9997,B656,$C$2:$C$9997,C656)</f>
        <v/>
      </c>
      <c r="I656" s="19" t="n">
        <v>2</v>
      </c>
      <c r="J656" s="57" t="n">
        <v>10</v>
      </c>
    </row>
    <row r="657">
      <c r="A657" s="62" t="n">
        <v>46768</v>
      </c>
      <c r="B657" s="19" t="n">
        <v>2028</v>
      </c>
      <c r="C657" s="19" t="n">
        <v>1</v>
      </c>
      <c r="D657" s="56" t="inlineStr">
        <is>
          <t>Sun</t>
        </is>
      </c>
      <c r="E657" s="56" t="inlineStr">
        <is>
          <t>Sun</t>
        </is>
      </c>
      <c r="F657" s="56">
        <f>IF(ForeCalc!$F$1="Staffed Hours",G657,24)</f>
        <v/>
      </c>
      <c r="G657" s="57">
        <f>IF(COUNTIF(M:M,Calendar!A657)&gt;0,VLOOKUP(A657,M:P,4,FALSE),VLOOKUP(D657,BusData!$A$3:$D$10,4,FALSE))</f>
        <v/>
      </c>
      <c r="H657" s="11">
        <f>F657/SUMIFS($F$2:$F$9997,$B$2:$B$9997,B657,$C$2:$C$9997,C657)</f>
        <v/>
      </c>
      <c r="I657" s="19" t="n">
        <v>2</v>
      </c>
      <c r="J657" s="57" t="n">
        <v>10</v>
      </c>
    </row>
    <row r="658">
      <c r="A658" s="62" t="n">
        <v>46769</v>
      </c>
      <c r="B658" s="19" t="n">
        <v>2028</v>
      </c>
      <c r="C658" s="19" t="n">
        <v>1</v>
      </c>
      <c r="D658" s="56" t="inlineStr">
        <is>
          <t>Mon</t>
        </is>
      </c>
      <c r="E658" s="56" t="inlineStr">
        <is>
          <t>Week</t>
        </is>
      </c>
      <c r="F658" s="56">
        <f>IF(ForeCalc!$F$1="Staffed Hours",G658,24)</f>
        <v/>
      </c>
      <c r="G658" s="57">
        <f>IF(COUNTIF(M:M,Calendar!A658)&gt;0,VLOOKUP(A658,M:P,4,FALSE),VLOOKUP(D658,BusData!$A$3:$D$10,4,FALSE))</f>
        <v/>
      </c>
      <c r="H658" s="11">
        <f>F658/SUMIFS($F$2:$F$9997,$B$2:$B$9997,B658,$C$2:$C$9997,C658)</f>
        <v/>
      </c>
      <c r="I658" s="19" t="n">
        <v>2</v>
      </c>
      <c r="J658" s="57" t="n">
        <v>10</v>
      </c>
    </row>
    <row r="659">
      <c r="A659" s="62" t="n">
        <v>46770</v>
      </c>
      <c r="B659" s="19" t="n">
        <v>2028</v>
      </c>
      <c r="C659" s="19" t="n">
        <v>1</v>
      </c>
      <c r="D659" s="56" t="inlineStr">
        <is>
          <t>Tue</t>
        </is>
      </c>
      <c r="E659" s="56" t="inlineStr">
        <is>
          <t>Week</t>
        </is>
      </c>
      <c r="F659" s="56">
        <f>IF(ForeCalc!$F$1="Staffed Hours",G659,24)</f>
        <v/>
      </c>
      <c r="G659" s="57">
        <f>IF(COUNTIF(M:M,Calendar!A659)&gt;0,VLOOKUP(A659,M:P,4,FALSE),VLOOKUP(D659,BusData!$A$3:$D$10,4,FALSE))</f>
        <v/>
      </c>
      <c r="H659" s="11">
        <f>F659/SUMIFS($F$2:$F$9997,$B$2:$B$9997,B659,$C$2:$C$9997,C659)</f>
        <v/>
      </c>
      <c r="I659" s="19" t="n">
        <v>2</v>
      </c>
      <c r="J659" s="57" t="n">
        <v>10</v>
      </c>
    </row>
    <row r="660">
      <c r="A660" s="62" t="n">
        <v>46771</v>
      </c>
      <c r="B660" s="19" t="n">
        <v>2028</v>
      </c>
      <c r="C660" s="19" t="n">
        <v>1</v>
      </c>
      <c r="D660" s="56" t="inlineStr">
        <is>
          <t>Wed</t>
        </is>
      </c>
      <c r="E660" s="56" t="inlineStr">
        <is>
          <t>Week</t>
        </is>
      </c>
      <c r="F660" s="56">
        <f>IF(ForeCalc!$F$1="Staffed Hours",G660,24)</f>
        <v/>
      </c>
      <c r="G660" s="57">
        <f>IF(COUNTIF(M:M,Calendar!A660)&gt;0,VLOOKUP(A660,M:P,4,FALSE),VLOOKUP(D660,BusData!$A$3:$D$10,4,FALSE))</f>
        <v/>
      </c>
      <c r="H660" s="11">
        <f>F660/SUMIFS($F$2:$F$9997,$B$2:$B$9997,B660,$C$2:$C$9997,C660)</f>
        <v/>
      </c>
      <c r="I660" s="19" t="n">
        <v>2</v>
      </c>
      <c r="J660" s="57" t="n">
        <v>10</v>
      </c>
    </row>
    <row r="661">
      <c r="A661" s="62" t="n">
        <v>46772</v>
      </c>
      <c r="B661" s="19" t="n">
        <v>2028</v>
      </c>
      <c r="C661" s="19" t="n">
        <v>1</v>
      </c>
      <c r="D661" s="56" t="inlineStr">
        <is>
          <t>Thu</t>
        </is>
      </c>
      <c r="E661" s="56" t="inlineStr">
        <is>
          <t>Week</t>
        </is>
      </c>
      <c r="F661" s="56">
        <f>IF(ForeCalc!$F$1="Staffed Hours",G661,24)</f>
        <v/>
      </c>
      <c r="G661" s="57">
        <f>IF(COUNTIF(M:M,Calendar!A661)&gt;0,VLOOKUP(A661,M:P,4,FALSE),VLOOKUP(D661,BusData!$A$3:$D$10,4,FALSE))</f>
        <v/>
      </c>
      <c r="H661" s="11">
        <f>F661/SUMIFS($F$2:$F$9997,$B$2:$B$9997,B661,$C$2:$C$9997,C661)</f>
        <v/>
      </c>
      <c r="I661" s="19" t="n">
        <v>2</v>
      </c>
      <c r="J661" s="57" t="n">
        <v>10</v>
      </c>
    </row>
    <row r="662">
      <c r="A662" s="62" t="n">
        <v>46773</v>
      </c>
      <c r="B662" s="19" t="n">
        <v>2028</v>
      </c>
      <c r="C662" s="19" t="n">
        <v>1</v>
      </c>
      <c r="D662" s="56" t="inlineStr">
        <is>
          <t>Fri</t>
        </is>
      </c>
      <c r="E662" s="56" t="inlineStr">
        <is>
          <t>Week</t>
        </is>
      </c>
      <c r="F662" s="56">
        <f>IF(ForeCalc!$F$1="Staffed Hours",G662,24)</f>
        <v/>
      </c>
      <c r="G662" s="57">
        <f>IF(COUNTIF(M:M,Calendar!A662)&gt;0,VLOOKUP(A662,M:P,4,FALSE),VLOOKUP(D662,BusData!$A$3:$D$10,4,FALSE))</f>
        <v/>
      </c>
      <c r="H662" s="11">
        <f>F662/SUMIFS($F$2:$F$9997,$B$2:$B$9997,B662,$C$2:$C$9997,C662)</f>
        <v/>
      </c>
      <c r="I662" s="19" t="n">
        <v>2</v>
      </c>
      <c r="J662" s="57" t="n">
        <v>10</v>
      </c>
    </row>
    <row r="663">
      <c r="A663" s="62" t="n">
        <v>46774</v>
      </c>
      <c r="B663" s="19" t="n">
        <v>2028</v>
      </c>
      <c r="C663" s="19" t="n">
        <v>1</v>
      </c>
      <c r="D663" s="56" t="inlineStr">
        <is>
          <t>Sat</t>
        </is>
      </c>
      <c r="E663" s="56" t="inlineStr">
        <is>
          <t>Sat</t>
        </is>
      </c>
      <c r="F663" s="56">
        <f>IF(ForeCalc!$F$1="Staffed Hours",G663,24)</f>
        <v/>
      </c>
      <c r="G663" s="57">
        <f>IF(COUNTIF(M:M,Calendar!A663)&gt;0,VLOOKUP(A663,M:P,4,FALSE),VLOOKUP(D663,BusData!$A$3:$D$10,4,FALSE))</f>
        <v/>
      </c>
      <c r="H663" s="11">
        <f>F663/SUMIFS($F$2:$F$9997,$B$2:$B$9997,B663,$C$2:$C$9997,C663)</f>
        <v/>
      </c>
      <c r="I663" s="19" t="n">
        <v>2</v>
      </c>
      <c r="J663" s="57" t="n">
        <v>10</v>
      </c>
    </row>
    <row r="664">
      <c r="A664" s="62" t="n">
        <v>46775</v>
      </c>
      <c r="B664" s="19" t="n">
        <v>2028</v>
      </c>
      <c r="C664" s="19" t="n">
        <v>1</v>
      </c>
      <c r="D664" s="56" t="inlineStr">
        <is>
          <t>Sun</t>
        </is>
      </c>
      <c r="E664" s="56" t="inlineStr">
        <is>
          <t>Sun</t>
        </is>
      </c>
      <c r="F664" s="56">
        <f>IF(ForeCalc!$F$1="Staffed Hours",G664,24)</f>
        <v/>
      </c>
      <c r="G664" s="57">
        <f>IF(COUNTIF(M:M,Calendar!A664)&gt;0,VLOOKUP(A664,M:P,4,FALSE),VLOOKUP(D664,BusData!$A$3:$D$10,4,FALSE))</f>
        <v/>
      </c>
      <c r="H664" s="11">
        <f>F664/SUMIFS($F$2:$F$9997,$B$2:$B$9997,B664,$C$2:$C$9997,C664)</f>
        <v/>
      </c>
      <c r="I664" s="19" t="n">
        <v>2</v>
      </c>
      <c r="J664" s="57" t="n">
        <v>10</v>
      </c>
    </row>
    <row r="665">
      <c r="A665" s="62" t="n">
        <v>46776</v>
      </c>
      <c r="B665" s="19" t="n">
        <v>2028</v>
      </c>
      <c r="C665" s="19" t="n">
        <v>1</v>
      </c>
      <c r="D665" s="56" t="inlineStr">
        <is>
          <t>Mon</t>
        </is>
      </c>
      <c r="E665" s="56" t="inlineStr">
        <is>
          <t>Week</t>
        </is>
      </c>
      <c r="F665" s="56">
        <f>IF(ForeCalc!$F$1="Staffed Hours",G665,24)</f>
        <v/>
      </c>
      <c r="G665" s="57">
        <f>IF(COUNTIF(M:M,Calendar!A665)&gt;0,VLOOKUP(A665,M:P,4,FALSE),VLOOKUP(D665,BusData!$A$3:$D$10,4,FALSE))</f>
        <v/>
      </c>
      <c r="H665" s="11">
        <f>F665/SUMIFS($F$2:$F$9997,$B$2:$B$9997,B665,$C$2:$C$9997,C665)</f>
        <v/>
      </c>
      <c r="I665" s="19" t="n">
        <v>2</v>
      </c>
      <c r="J665" s="57" t="n">
        <v>10</v>
      </c>
    </row>
    <row r="666">
      <c r="A666" s="62" t="n">
        <v>46777</v>
      </c>
      <c r="B666" s="19" t="n">
        <v>2028</v>
      </c>
      <c r="C666" s="19" t="n">
        <v>1</v>
      </c>
      <c r="D666" s="56" t="inlineStr">
        <is>
          <t>Tue</t>
        </is>
      </c>
      <c r="E666" s="56" t="inlineStr">
        <is>
          <t>Week</t>
        </is>
      </c>
      <c r="F666" s="56">
        <f>IF(ForeCalc!$F$1="Staffed Hours",G666,24)</f>
        <v/>
      </c>
      <c r="G666" s="57">
        <f>IF(COUNTIF(M:M,Calendar!A666)&gt;0,VLOOKUP(A666,M:P,4,FALSE),VLOOKUP(D666,BusData!$A$3:$D$10,4,FALSE))</f>
        <v/>
      </c>
      <c r="H666" s="11">
        <f>F666/SUMIFS($F$2:$F$9997,$B$2:$B$9997,B666,$C$2:$C$9997,C666)</f>
        <v/>
      </c>
      <c r="I666" s="19" t="n">
        <v>2</v>
      </c>
      <c r="J666" s="57" t="n">
        <v>10</v>
      </c>
    </row>
    <row r="667">
      <c r="A667" s="62" t="n">
        <v>46778</v>
      </c>
      <c r="B667" s="19" t="n">
        <v>2028</v>
      </c>
      <c r="C667" s="19" t="n">
        <v>1</v>
      </c>
      <c r="D667" s="56" t="inlineStr">
        <is>
          <t>Wed</t>
        </is>
      </c>
      <c r="E667" s="56" t="inlineStr">
        <is>
          <t>Week</t>
        </is>
      </c>
      <c r="F667" s="56">
        <f>IF(ForeCalc!$F$1="Staffed Hours",G667,24)</f>
        <v/>
      </c>
      <c r="G667" s="57">
        <f>IF(COUNTIF(M:M,Calendar!A667)&gt;0,VLOOKUP(A667,M:P,4,FALSE),VLOOKUP(D667,BusData!$A$3:$D$10,4,FALSE))</f>
        <v/>
      </c>
      <c r="H667" s="11">
        <f>F667/SUMIFS($F$2:$F$9997,$B$2:$B$9997,B667,$C$2:$C$9997,C667)</f>
        <v/>
      </c>
      <c r="I667" s="19" t="n">
        <v>2</v>
      </c>
      <c r="J667" s="57" t="n">
        <v>10</v>
      </c>
    </row>
    <row r="668">
      <c r="A668" s="62" t="n">
        <v>46779</v>
      </c>
      <c r="B668" s="19" t="n">
        <v>2028</v>
      </c>
      <c r="C668" s="19" t="n">
        <v>1</v>
      </c>
      <c r="D668" s="56" t="inlineStr">
        <is>
          <t>Thu</t>
        </is>
      </c>
      <c r="E668" s="56" t="inlineStr">
        <is>
          <t>Week</t>
        </is>
      </c>
      <c r="F668" s="56">
        <f>IF(ForeCalc!$F$1="Staffed Hours",G668,24)</f>
        <v/>
      </c>
      <c r="G668" s="57">
        <f>IF(COUNTIF(M:M,Calendar!A668)&gt;0,VLOOKUP(A668,M:P,4,FALSE),VLOOKUP(D668,BusData!$A$3:$D$10,4,FALSE))</f>
        <v/>
      </c>
      <c r="H668" s="11">
        <f>F668/SUMIFS($F$2:$F$9997,$B$2:$B$9997,B668,$C$2:$C$9997,C668)</f>
        <v/>
      </c>
      <c r="I668" s="19" t="n">
        <v>2</v>
      </c>
      <c r="J668" s="57" t="n">
        <v>10</v>
      </c>
    </row>
    <row r="669">
      <c r="A669" s="62" t="n">
        <v>46780</v>
      </c>
      <c r="B669" s="19" t="n">
        <v>2028</v>
      </c>
      <c r="C669" s="19" t="n">
        <v>1</v>
      </c>
      <c r="D669" s="56" t="inlineStr">
        <is>
          <t>Fri</t>
        </is>
      </c>
      <c r="E669" s="56" t="inlineStr">
        <is>
          <t>Week</t>
        </is>
      </c>
      <c r="F669" s="56">
        <f>IF(ForeCalc!$F$1="Staffed Hours",G669,24)</f>
        <v/>
      </c>
      <c r="G669" s="57">
        <f>IF(COUNTIF(M:M,Calendar!A669)&gt;0,VLOOKUP(A669,M:P,4,FALSE),VLOOKUP(D669,BusData!$A$3:$D$10,4,FALSE))</f>
        <v/>
      </c>
      <c r="H669" s="11">
        <f>F669/SUMIFS($F$2:$F$9997,$B$2:$B$9997,B669,$C$2:$C$9997,C669)</f>
        <v/>
      </c>
      <c r="I669" s="19" t="n">
        <v>2</v>
      </c>
      <c r="J669" s="57" t="n">
        <v>10</v>
      </c>
    </row>
    <row r="670">
      <c r="A670" s="62" t="n">
        <v>46781</v>
      </c>
      <c r="B670" s="19" t="n">
        <v>2028</v>
      </c>
      <c r="C670" s="19" t="n">
        <v>1</v>
      </c>
      <c r="D670" s="56" t="inlineStr">
        <is>
          <t>Sat</t>
        </is>
      </c>
      <c r="E670" s="56" t="inlineStr">
        <is>
          <t>Sat</t>
        </is>
      </c>
      <c r="F670" s="56">
        <f>IF(ForeCalc!$F$1="Staffed Hours",G670,24)</f>
        <v/>
      </c>
      <c r="G670" s="57">
        <f>IF(COUNTIF(M:M,Calendar!A670)&gt;0,VLOOKUP(A670,M:P,4,FALSE),VLOOKUP(D670,BusData!$A$3:$D$10,4,FALSE))</f>
        <v/>
      </c>
      <c r="H670" s="11">
        <f>F670/SUMIFS($F$2:$F$9997,$B$2:$B$9997,B670,$C$2:$C$9997,C670)</f>
        <v/>
      </c>
      <c r="I670" s="19" t="n">
        <v>2</v>
      </c>
      <c r="J670" s="57" t="n">
        <v>10</v>
      </c>
    </row>
    <row r="671">
      <c r="A671" s="62" t="n">
        <v>46782</v>
      </c>
      <c r="B671" s="19" t="n">
        <v>2028</v>
      </c>
      <c r="C671" s="19" t="n">
        <v>1</v>
      </c>
      <c r="D671" s="56" t="inlineStr">
        <is>
          <t>Sun</t>
        </is>
      </c>
      <c r="E671" s="56" t="inlineStr">
        <is>
          <t>Sun</t>
        </is>
      </c>
      <c r="F671" s="56">
        <f>IF(ForeCalc!$F$1="Staffed Hours",G671,24)</f>
        <v/>
      </c>
      <c r="G671" s="57">
        <f>IF(COUNTIF(M:M,Calendar!A671)&gt;0,VLOOKUP(A671,M:P,4,FALSE),VLOOKUP(D671,BusData!$A$3:$D$10,4,FALSE))</f>
        <v/>
      </c>
      <c r="H671" s="11">
        <f>F671/SUMIFS($F$2:$F$9997,$B$2:$B$9997,B671,$C$2:$C$9997,C671)</f>
        <v/>
      </c>
      <c r="I671" s="19" t="n">
        <v>2</v>
      </c>
      <c r="J671" s="57" t="n">
        <v>10</v>
      </c>
    </row>
    <row r="672">
      <c r="A672" s="62" t="n">
        <v>46783</v>
      </c>
      <c r="B672" s="19" t="n">
        <v>2028</v>
      </c>
      <c r="C672" s="19" t="n">
        <v>1</v>
      </c>
      <c r="D672" s="56" t="inlineStr">
        <is>
          <t>Mon</t>
        </is>
      </c>
      <c r="E672" s="56" t="inlineStr">
        <is>
          <t>Week</t>
        </is>
      </c>
      <c r="F672" s="56">
        <f>IF(ForeCalc!$F$1="Staffed Hours",G672,24)</f>
        <v/>
      </c>
      <c r="G672" s="57">
        <f>IF(COUNTIF(M:M,Calendar!A672)&gt;0,VLOOKUP(A672,M:P,4,FALSE),VLOOKUP(D672,BusData!$A$3:$D$10,4,FALSE))</f>
        <v/>
      </c>
      <c r="H672" s="11">
        <f>F672/SUMIFS($F$2:$F$9997,$B$2:$B$9997,B672,$C$2:$C$9997,C672)</f>
        <v/>
      </c>
      <c r="I672" s="19" t="n">
        <v>2</v>
      </c>
      <c r="J672" s="57" t="n">
        <v>10</v>
      </c>
    </row>
    <row r="673">
      <c r="A673" s="62" t="n">
        <v>46784</v>
      </c>
      <c r="B673" s="19" t="n">
        <v>2028</v>
      </c>
      <c r="C673" s="19" t="n">
        <v>2</v>
      </c>
      <c r="D673" s="56" t="inlineStr">
        <is>
          <t>Tue</t>
        </is>
      </c>
      <c r="E673" s="56" t="inlineStr">
        <is>
          <t>Week</t>
        </is>
      </c>
      <c r="F673" s="56">
        <f>IF(ForeCalc!$F$1="Staffed Hours",G673,24)</f>
        <v/>
      </c>
      <c r="G673" s="57">
        <f>IF(COUNTIF(M:M,Calendar!A673)&gt;0,VLOOKUP(A673,M:P,4,FALSE),VLOOKUP(D673,BusData!$A$3:$D$10,4,FALSE))</f>
        <v/>
      </c>
      <c r="H673" s="11">
        <f>F673/SUMIFS($F$2:$F$9997,$B$2:$B$9997,B673,$C$2:$C$9997,C673)</f>
        <v/>
      </c>
      <c r="I673" s="19" t="n">
        <v>2</v>
      </c>
      <c r="J673" s="57" t="n">
        <v>11</v>
      </c>
    </row>
    <row r="674">
      <c r="A674" s="62" t="n">
        <v>46785</v>
      </c>
      <c r="B674" s="19" t="n">
        <v>2028</v>
      </c>
      <c r="C674" s="19" t="n">
        <v>2</v>
      </c>
      <c r="D674" s="56" t="inlineStr">
        <is>
          <t>Wed</t>
        </is>
      </c>
      <c r="E674" s="56" t="inlineStr">
        <is>
          <t>Week</t>
        </is>
      </c>
      <c r="F674" s="56">
        <f>IF(ForeCalc!$F$1="Staffed Hours",G674,24)</f>
        <v/>
      </c>
      <c r="G674" s="57">
        <f>IF(COUNTIF(M:M,Calendar!A674)&gt;0,VLOOKUP(A674,M:P,4,FALSE),VLOOKUP(D674,BusData!$A$3:$D$10,4,FALSE))</f>
        <v/>
      </c>
      <c r="H674" s="11">
        <f>F674/SUMIFS($F$2:$F$9997,$B$2:$B$9997,B674,$C$2:$C$9997,C674)</f>
        <v/>
      </c>
      <c r="I674" s="19" t="n">
        <v>2</v>
      </c>
      <c r="J674" s="57" t="n">
        <v>11</v>
      </c>
    </row>
    <row r="675">
      <c r="A675" s="62" t="n">
        <v>46786</v>
      </c>
      <c r="B675" s="19" t="n">
        <v>2028</v>
      </c>
      <c r="C675" s="19" t="n">
        <v>2</v>
      </c>
      <c r="D675" s="56" t="inlineStr">
        <is>
          <t>Thu</t>
        </is>
      </c>
      <c r="E675" s="56" t="inlineStr">
        <is>
          <t>Week</t>
        </is>
      </c>
      <c r="F675" s="56">
        <f>IF(ForeCalc!$F$1="Staffed Hours",G675,24)</f>
        <v/>
      </c>
      <c r="G675" s="57">
        <f>IF(COUNTIF(M:M,Calendar!A675)&gt;0,VLOOKUP(A675,M:P,4,FALSE),VLOOKUP(D675,BusData!$A$3:$D$10,4,FALSE))</f>
        <v/>
      </c>
      <c r="H675" s="11">
        <f>F675/SUMIFS($F$2:$F$9997,$B$2:$B$9997,B675,$C$2:$C$9997,C675)</f>
        <v/>
      </c>
      <c r="I675" s="19" t="n">
        <v>2</v>
      </c>
      <c r="J675" s="57" t="n">
        <v>11</v>
      </c>
    </row>
    <row r="676">
      <c r="A676" s="62" t="n">
        <v>46787</v>
      </c>
      <c r="B676" s="19" t="n">
        <v>2028</v>
      </c>
      <c r="C676" s="19" t="n">
        <v>2</v>
      </c>
      <c r="D676" s="56" t="inlineStr">
        <is>
          <t>Fri</t>
        </is>
      </c>
      <c r="E676" s="56" t="inlineStr">
        <is>
          <t>Week</t>
        </is>
      </c>
      <c r="F676" s="56">
        <f>IF(ForeCalc!$F$1="Staffed Hours",G676,24)</f>
        <v/>
      </c>
      <c r="G676" s="57">
        <f>IF(COUNTIF(M:M,Calendar!A676)&gt;0,VLOOKUP(A676,M:P,4,FALSE),VLOOKUP(D676,BusData!$A$3:$D$10,4,FALSE))</f>
        <v/>
      </c>
      <c r="H676" s="11">
        <f>F676/SUMIFS($F$2:$F$9997,$B$2:$B$9997,B676,$C$2:$C$9997,C676)</f>
        <v/>
      </c>
      <c r="I676" s="19" t="n">
        <v>2</v>
      </c>
      <c r="J676" s="57" t="n">
        <v>11</v>
      </c>
    </row>
    <row r="677">
      <c r="A677" s="62" t="n">
        <v>46788</v>
      </c>
      <c r="B677" s="19" t="n">
        <v>2028</v>
      </c>
      <c r="C677" s="19" t="n">
        <v>2</v>
      </c>
      <c r="D677" s="56" t="inlineStr">
        <is>
          <t>Sat</t>
        </is>
      </c>
      <c r="E677" s="56" t="inlineStr">
        <is>
          <t>Sat</t>
        </is>
      </c>
      <c r="F677" s="56">
        <f>IF(ForeCalc!$F$1="Staffed Hours",G677,24)</f>
        <v/>
      </c>
      <c r="G677" s="57">
        <f>IF(COUNTIF(M:M,Calendar!A677)&gt;0,VLOOKUP(A677,M:P,4,FALSE),VLOOKUP(D677,BusData!$A$3:$D$10,4,FALSE))</f>
        <v/>
      </c>
      <c r="H677" s="11">
        <f>F677/SUMIFS($F$2:$F$9997,$B$2:$B$9997,B677,$C$2:$C$9997,C677)</f>
        <v/>
      </c>
      <c r="I677" s="19" t="n">
        <v>2</v>
      </c>
      <c r="J677" s="57" t="n">
        <v>11</v>
      </c>
    </row>
    <row r="678">
      <c r="A678" s="62" t="n">
        <v>46789</v>
      </c>
      <c r="B678" s="19" t="n">
        <v>2028</v>
      </c>
      <c r="C678" s="19" t="n">
        <v>2</v>
      </c>
      <c r="D678" s="56" t="inlineStr">
        <is>
          <t>Sun</t>
        </is>
      </c>
      <c r="E678" s="56" t="inlineStr">
        <is>
          <t>Sun</t>
        </is>
      </c>
      <c r="F678" s="56">
        <f>IF(ForeCalc!$F$1="Staffed Hours",G678,24)</f>
        <v/>
      </c>
      <c r="G678" s="57">
        <f>IF(COUNTIF(M:M,Calendar!A678)&gt;0,VLOOKUP(A678,M:P,4,FALSE),VLOOKUP(D678,BusData!$A$3:$D$10,4,FALSE))</f>
        <v/>
      </c>
      <c r="H678" s="11">
        <f>F678/SUMIFS($F$2:$F$9997,$B$2:$B$9997,B678,$C$2:$C$9997,C678)</f>
        <v/>
      </c>
      <c r="I678" s="19" t="n">
        <v>2</v>
      </c>
      <c r="J678" s="57" t="n">
        <v>11</v>
      </c>
    </row>
    <row r="679">
      <c r="A679" s="62" t="n">
        <v>46790</v>
      </c>
      <c r="B679" s="19" t="n">
        <v>2028</v>
      </c>
      <c r="C679" s="19" t="n">
        <v>2</v>
      </c>
      <c r="D679" s="56" t="inlineStr">
        <is>
          <t>Mon</t>
        </is>
      </c>
      <c r="E679" s="56" t="inlineStr">
        <is>
          <t>Week</t>
        </is>
      </c>
      <c r="F679" s="56">
        <f>IF(ForeCalc!$F$1="Staffed Hours",G679,24)</f>
        <v/>
      </c>
      <c r="G679" s="57">
        <f>IF(COUNTIF(M:M,Calendar!A679)&gt;0,VLOOKUP(A679,M:P,4,FALSE),VLOOKUP(D679,BusData!$A$3:$D$10,4,FALSE))</f>
        <v/>
      </c>
      <c r="H679" s="11">
        <f>F679/SUMIFS($F$2:$F$9997,$B$2:$B$9997,B679,$C$2:$C$9997,C679)</f>
        <v/>
      </c>
      <c r="I679" s="19" t="n">
        <v>2</v>
      </c>
      <c r="J679" s="57" t="n">
        <v>11</v>
      </c>
    </row>
    <row r="680">
      <c r="A680" s="62" t="n">
        <v>46791</v>
      </c>
      <c r="B680" s="19" t="n">
        <v>2028</v>
      </c>
      <c r="C680" s="19" t="n">
        <v>2</v>
      </c>
      <c r="D680" s="56" t="inlineStr">
        <is>
          <t>Tue</t>
        </is>
      </c>
      <c r="E680" s="56" t="inlineStr">
        <is>
          <t>Week</t>
        </is>
      </c>
      <c r="F680" s="56">
        <f>IF(ForeCalc!$F$1="Staffed Hours",G680,24)</f>
        <v/>
      </c>
      <c r="G680" s="57">
        <f>IF(COUNTIF(M:M,Calendar!A680)&gt;0,VLOOKUP(A680,M:P,4,FALSE),VLOOKUP(D680,BusData!$A$3:$D$10,4,FALSE))</f>
        <v/>
      </c>
      <c r="H680" s="11">
        <f>F680/SUMIFS($F$2:$F$9997,$B$2:$B$9997,B680,$C$2:$C$9997,C680)</f>
        <v/>
      </c>
      <c r="I680" s="19" t="n">
        <v>2</v>
      </c>
      <c r="J680" s="57" t="n">
        <v>11</v>
      </c>
    </row>
    <row r="681">
      <c r="A681" s="62" t="n">
        <v>46792</v>
      </c>
      <c r="B681" s="19" t="n">
        <v>2028</v>
      </c>
      <c r="C681" s="19" t="n">
        <v>2</v>
      </c>
      <c r="D681" s="56" t="inlineStr">
        <is>
          <t>Wed</t>
        </is>
      </c>
      <c r="E681" s="56" t="inlineStr">
        <is>
          <t>Week</t>
        </is>
      </c>
      <c r="F681" s="56">
        <f>IF(ForeCalc!$F$1="Staffed Hours",G681,24)</f>
        <v/>
      </c>
      <c r="G681" s="57">
        <f>IF(COUNTIF(M:M,Calendar!A681)&gt;0,VLOOKUP(A681,M:P,4,FALSE),VLOOKUP(D681,BusData!$A$3:$D$10,4,FALSE))</f>
        <v/>
      </c>
      <c r="H681" s="11">
        <f>F681/SUMIFS($F$2:$F$9997,$B$2:$B$9997,B681,$C$2:$C$9997,C681)</f>
        <v/>
      </c>
      <c r="I681" s="19" t="n">
        <v>2</v>
      </c>
      <c r="J681" s="57" t="n">
        <v>11</v>
      </c>
    </row>
    <row r="682">
      <c r="A682" s="62" t="n">
        <v>46793</v>
      </c>
      <c r="B682" s="19" t="n">
        <v>2028</v>
      </c>
      <c r="C682" s="19" t="n">
        <v>2</v>
      </c>
      <c r="D682" s="56" t="inlineStr">
        <is>
          <t>Thu</t>
        </is>
      </c>
      <c r="E682" s="56" t="inlineStr">
        <is>
          <t>Week</t>
        </is>
      </c>
      <c r="F682" s="56">
        <f>IF(ForeCalc!$F$1="Staffed Hours",G682,24)</f>
        <v/>
      </c>
      <c r="G682" s="57">
        <f>IF(COUNTIF(M:M,Calendar!A682)&gt;0,VLOOKUP(A682,M:P,4,FALSE),VLOOKUP(D682,BusData!$A$3:$D$10,4,FALSE))</f>
        <v/>
      </c>
      <c r="H682" s="11">
        <f>F682/SUMIFS($F$2:$F$9997,$B$2:$B$9997,B682,$C$2:$C$9997,C682)</f>
        <v/>
      </c>
      <c r="I682" s="19" t="n">
        <v>2</v>
      </c>
      <c r="J682" s="57" t="n">
        <v>11</v>
      </c>
    </row>
    <row r="683">
      <c r="A683" s="62" t="n">
        <v>46794</v>
      </c>
      <c r="B683" s="19" t="n">
        <v>2028</v>
      </c>
      <c r="C683" s="19" t="n">
        <v>2</v>
      </c>
      <c r="D683" s="56" t="inlineStr">
        <is>
          <t>Fri</t>
        </is>
      </c>
      <c r="E683" s="56" t="inlineStr">
        <is>
          <t>Week</t>
        </is>
      </c>
      <c r="F683" s="56">
        <f>IF(ForeCalc!$F$1="Staffed Hours",G683,24)</f>
        <v/>
      </c>
      <c r="G683" s="57">
        <f>IF(COUNTIF(M:M,Calendar!A683)&gt;0,VLOOKUP(A683,M:P,4,FALSE),VLOOKUP(D683,BusData!$A$3:$D$10,4,FALSE))</f>
        <v/>
      </c>
      <c r="H683" s="11">
        <f>F683/SUMIFS($F$2:$F$9997,$B$2:$B$9997,B683,$C$2:$C$9997,C683)</f>
        <v/>
      </c>
      <c r="I683" s="19" t="n">
        <v>2</v>
      </c>
      <c r="J683" s="57" t="n">
        <v>11</v>
      </c>
    </row>
    <row r="684">
      <c r="A684" s="62" t="n">
        <v>46795</v>
      </c>
      <c r="B684" s="19" t="n">
        <v>2028</v>
      </c>
      <c r="C684" s="19" t="n">
        <v>2</v>
      </c>
      <c r="D684" s="56" t="inlineStr">
        <is>
          <t>Sat</t>
        </is>
      </c>
      <c r="E684" s="56" t="inlineStr">
        <is>
          <t>Sat</t>
        </is>
      </c>
      <c r="F684" s="56">
        <f>IF(ForeCalc!$F$1="Staffed Hours",G684,24)</f>
        <v/>
      </c>
      <c r="G684" s="57">
        <f>IF(COUNTIF(M:M,Calendar!A684)&gt;0,VLOOKUP(A684,M:P,4,FALSE),VLOOKUP(D684,BusData!$A$3:$D$10,4,FALSE))</f>
        <v/>
      </c>
      <c r="H684" s="11">
        <f>F684/SUMIFS($F$2:$F$9997,$B$2:$B$9997,B684,$C$2:$C$9997,C684)</f>
        <v/>
      </c>
      <c r="I684" s="19" t="n">
        <v>2</v>
      </c>
      <c r="J684" s="57" t="n">
        <v>11</v>
      </c>
    </row>
    <row r="685">
      <c r="A685" s="62" t="n">
        <v>46796</v>
      </c>
      <c r="B685" s="19" t="n">
        <v>2028</v>
      </c>
      <c r="C685" s="19" t="n">
        <v>2</v>
      </c>
      <c r="D685" s="56" t="inlineStr">
        <is>
          <t>Sun</t>
        </is>
      </c>
      <c r="E685" s="56" t="inlineStr">
        <is>
          <t>Sun</t>
        </is>
      </c>
      <c r="F685" s="56">
        <f>IF(ForeCalc!$F$1="Staffed Hours",G685,24)</f>
        <v/>
      </c>
      <c r="G685" s="57">
        <f>IF(COUNTIF(M:M,Calendar!A685)&gt;0,VLOOKUP(A685,M:P,4,FALSE),VLOOKUP(D685,BusData!$A$3:$D$10,4,FALSE))</f>
        <v/>
      </c>
      <c r="H685" s="11">
        <f>F685/SUMIFS($F$2:$F$9997,$B$2:$B$9997,B685,$C$2:$C$9997,C685)</f>
        <v/>
      </c>
      <c r="I685" s="19" t="n">
        <v>2</v>
      </c>
      <c r="J685" s="57" t="n">
        <v>11</v>
      </c>
    </row>
    <row r="686">
      <c r="A686" s="62" t="n">
        <v>46797</v>
      </c>
      <c r="B686" s="19" t="n">
        <v>2028</v>
      </c>
      <c r="C686" s="19" t="n">
        <v>2</v>
      </c>
      <c r="D686" s="56" t="inlineStr">
        <is>
          <t>Mon</t>
        </is>
      </c>
      <c r="E686" s="56" t="inlineStr">
        <is>
          <t>Week</t>
        </is>
      </c>
      <c r="F686" s="56">
        <f>IF(ForeCalc!$F$1="Staffed Hours",G686,24)</f>
        <v/>
      </c>
      <c r="G686" s="57">
        <f>IF(COUNTIF(M:M,Calendar!A686)&gt;0,VLOOKUP(A686,M:P,4,FALSE),VLOOKUP(D686,BusData!$A$3:$D$10,4,FALSE))</f>
        <v/>
      </c>
      <c r="H686" s="11">
        <f>F686/SUMIFS($F$2:$F$9997,$B$2:$B$9997,B686,$C$2:$C$9997,C686)</f>
        <v/>
      </c>
      <c r="I686" s="19" t="n">
        <v>2</v>
      </c>
      <c r="J686" s="57" t="n">
        <v>11</v>
      </c>
    </row>
    <row r="687">
      <c r="A687" s="62" t="n">
        <v>46798</v>
      </c>
      <c r="B687" s="19" t="n">
        <v>2028</v>
      </c>
      <c r="C687" s="19" t="n">
        <v>2</v>
      </c>
      <c r="D687" s="56" t="inlineStr">
        <is>
          <t>Tue</t>
        </is>
      </c>
      <c r="E687" s="56" t="inlineStr">
        <is>
          <t>Week</t>
        </is>
      </c>
      <c r="F687" s="56">
        <f>IF(ForeCalc!$F$1="Staffed Hours",G687,24)</f>
        <v/>
      </c>
      <c r="G687" s="57">
        <f>IF(COUNTIF(M:M,Calendar!A687)&gt;0,VLOOKUP(A687,M:P,4,FALSE),VLOOKUP(D687,BusData!$A$3:$D$10,4,FALSE))</f>
        <v/>
      </c>
      <c r="H687" s="11">
        <f>F687/SUMIFS($F$2:$F$9997,$B$2:$B$9997,B687,$C$2:$C$9997,C687)</f>
        <v/>
      </c>
      <c r="I687" s="19" t="n">
        <v>2</v>
      </c>
      <c r="J687" s="57" t="n">
        <v>11</v>
      </c>
    </row>
    <row r="688">
      <c r="A688" s="62" t="n">
        <v>46799</v>
      </c>
      <c r="B688" s="19" t="n">
        <v>2028</v>
      </c>
      <c r="C688" s="19" t="n">
        <v>2</v>
      </c>
      <c r="D688" s="56" t="inlineStr">
        <is>
          <t>Wed</t>
        </is>
      </c>
      <c r="E688" s="56" t="inlineStr">
        <is>
          <t>Week</t>
        </is>
      </c>
      <c r="F688" s="56">
        <f>IF(ForeCalc!$F$1="Staffed Hours",G688,24)</f>
        <v/>
      </c>
      <c r="G688" s="57">
        <f>IF(COUNTIF(M:M,Calendar!A688)&gt;0,VLOOKUP(A688,M:P,4,FALSE),VLOOKUP(D688,BusData!$A$3:$D$10,4,FALSE))</f>
        <v/>
      </c>
      <c r="H688" s="11">
        <f>F688/SUMIFS($F$2:$F$9997,$B$2:$B$9997,B688,$C$2:$C$9997,C688)</f>
        <v/>
      </c>
      <c r="I688" s="19" t="n">
        <v>2</v>
      </c>
      <c r="J688" s="57" t="n">
        <v>11</v>
      </c>
    </row>
    <row r="689">
      <c r="A689" s="62" t="n">
        <v>46800</v>
      </c>
      <c r="B689" s="19" t="n">
        <v>2028</v>
      </c>
      <c r="C689" s="19" t="n">
        <v>2</v>
      </c>
      <c r="D689" s="56" t="inlineStr">
        <is>
          <t>Thu</t>
        </is>
      </c>
      <c r="E689" s="56" t="inlineStr">
        <is>
          <t>Week</t>
        </is>
      </c>
      <c r="F689" s="56">
        <f>IF(ForeCalc!$F$1="Staffed Hours",G689,24)</f>
        <v/>
      </c>
      <c r="G689" s="57">
        <f>IF(COUNTIF(M:M,Calendar!A689)&gt;0,VLOOKUP(A689,M:P,4,FALSE),VLOOKUP(D689,BusData!$A$3:$D$10,4,FALSE))</f>
        <v/>
      </c>
      <c r="H689" s="11">
        <f>F689/SUMIFS($F$2:$F$9997,$B$2:$B$9997,B689,$C$2:$C$9997,C689)</f>
        <v/>
      </c>
      <c r="I689" s="19" t="n">
        <v>2</v>
      </c>
      <c r="J689" s="57" t="n">
        <v>11</v>
      </c>
    </row>
    <row r="690">
      <c r="A690" s="62" t="n">
        <v>46801</v>
      </c>
      <c r="B690" s="19" t="n">
        <v>2028</v>
      </c>
      <c r="C690" s="19" t="n">
        <v>2</v>
      </c>
      <c r="D690" s="56" t="inlineStr">
        <is>
          <t>Fri</t>
        </is>
      </c>
      <c r="E690" s="56" t="inlineStr">
        <is>
          <t>Week</t>
        </is>
      </c>
      <c r="F690" s="56">
        <f>IF(ForeCalc!$F$1="Staffed Hours",G690,24)</f>
        <v/>
      </c>
      <c r="G690" s="57">
        <f>IF(COUNTIF(M:M,Calendar!A690)&gt;0,VLOOKUP(A690,M:P,4,FALSE),VLOOKUP(D690,BusData!$A$3:$D$10,4,FALSE))</f>
        <v/>
      </c>
      <c r="H690" s="11">
        <f>F690/SUMIFS($F$2:$F$9997,$B$2:$B$9997,B690,$C$2:$C$9997,C690)</f>
        <v/>
      </c>
      <c r="I690" s="19" t="n">
        <v>2</v>
      </c>
      <c r="J690" s="57" t="n">
        <v>11</v>
      </c>
    </row>
    <row r="691">
      <c r="A691" s="62" t="n">
        <v>46802</v>
      </c>
      <c r="B691" s="19" t="n">
        <v>2028</v>
      </c>
      <c r="C691" s="19" t="n">
        <v>2</v>
      </c>
      <c r="D691" s="56" t="inlineStr">
        <is>
          <t>Sat</t>
        </is>
      </c>
      <c r="E691" s="56" t="inlineStr">
        <is>
          <t>Sat</t>
        </is>
      </c>
      <c r="F691" s="56">
        <f>IF(ForeCalc!$F$1="Staffed Hours",G691,24)</f>
        <v/>
      </c>
      <c r="G691" s="57">
        <f>IF(COUNTIF(M:M,Calendar!A691)&gt;0,VLOOKUP(A691,M:P,4,FALSE),VLOOKUP(D691,BusData!$A$3:$D$10,4,FALSE))</f>
        <v/>
      </c>
      <c r="H691" s="11">
        <f>F691/SUMIFS($F$2:$F$9997,$B$2:$B$9997,B691,$C$2:$C$9997,C691)</f>
        <v/>
      </c>
      <c r="I691" s="19" t="n">
        <v>2</v>
      </c>
      <c r="J691" s="57" t="n">
        <v>11</v>
      </c>
    </row>
    <row r="692">
      <c r="A692" s="62" t="n">
        <v>46803</v>
      </c>
      <c r="B692" s="19" t="n">
        <v>2028</v>
      </c>
      <c r="C692" s="19" t="n">
        <v>2</v>
      </c>
      <c r="D692" s="56" t="inlineStr">
        <is>
          <t>Sun</t>
        </is>
      </c>
      <c r="E692" s="56" t="inlineStr">
        <is>
          <t>Sun</t>
        </is>
      </c>
      <c r="F692" s="56">
        <f>IF(ForeCalc!$F$1="Staffed Hours",G692,24)</f>
        <v/>
      </c>
      <c r="G692" s="57">
        <f>IF(COUNTIF(M:M,Calendar!A692)&gt;0,VLOOKUP(A692,M:P,4,FALSE),VLOOKUP(D692,BusData!$A$3:$D$10,4,FALSE))</f>
        <v/>
      </c>
      <c r="H692" s="11">
        <f>F692/SUMIFS($F$2:$F$9997,$B$2:$B$9997,B692,$C$2:$C$9997,C692)</f>
        <v/>
      </c>
      <c r="I692" s="19" t="n">
        <v>2</v>
      </c>
      <c r="J692" s="57" t="n">
        <v>11</v>
      </c>
    </row>
    <row r="693">
      <c r="A693" s="62" t="n">
        <v>46804</v>
      </c>
      <c r="B693" s="19" t="n">
        <v>2028</v>
      </c>
      <c r="C693" s="19" t="n">
        <v>2</v>
      </c>
      <c r="D693" s="56" t="inlineStr">
        <is>
          <t>Mon</t>
        </is>
      </c>
      <c r="E693" s="56" t="inlineStr">
        <is>
          <t>Week</t>
        </is>
      </c>
      <c r="F693" s="56">
        <f>IF(ForeCalc!$F$1="Staffed Hours",G693,24)</f>
        <v/>
      </c>
      <c r="G693" s="57">
        <f>IF(COUNTIF(M:M,Calendar!A693)&gt;0,VLOOKUP(A693,M:P,4,FALSE),VLOOKUP(D693,BusData!$A$3:$D$10,4,FALSE))</f>
        <v/>
      </c>
      <c r="H693" s="11">
        <f>F693/SUMIFS($F$2:$F$9997,$B$2:$B$9997,B693,$C$2:$C$9997,C693)</f>
        <v/>
      </c>
      <c r="I693" s="19" t="n">
        <v>2</v>
      </c>
      <c r="J693" s="57" t="n">
        <v>11</v>
      </c>
    </row>
    <row r="694">
      <c r="A694" s="62" t="n">
        <v>46805</v>
      </c>
      <c r="B694" s="19" t="n">
        <v>2028</v>
      </c>
      <c r="C694" s="19" t="n">
        <v>2</v>
      </c>
      <c r="D694" s="56" t="inlineStr">
        <is>
          <t>Tue</t>
        </is>
      </c>
      <c r="E694" s="56" t="inlineStr">
        <is>
          <t>Week</t>
        </is>
      </c>
      <c r="F694" s="56">
        <f>IF(ForeCalc!$F$1="Staffed Hours",G694,24)</f>
        <v/>
      </c>
      <c r="G694" s="57">
        <f>IF(COUNTIF(M:M,Calendar!A694)&gt;0,VLOOKUP(A694,M:P,4,FALSE),VLOOKUP(D694,BusData!$A$3:$D$10,4,FALSE))</f>
        <v/>
      </c>
      <c r="H694" s="11">
        <f>F694/SUMIFS($F$2:$F$9997,$B$2:$B$9997,B694,$C$2:$C$9997,C694)</f>
        <v/>
      </c>
      <c r="I694" s="19" t="n">
        <v>2</v>
      </c>
      <c r="J694" s="57" t="n">
        <v>11</v>
      </c>
    </row>
    <row r="695">
      <c r="A695" s="62" t="n">
        <v>46806</v>
      </c>
      <c r="B695" s="19" t="n">
        <v>2028</v>
      </c>
      <c r="C695" s="19" t="n">
        <v>2</v>
      </c>
      <c r="D695" s="56" t="inlineStr">
        <is>
          <t>Wed</t>
        </is>
      </c>
      <c r="E695" s="56" t="inlineStr">
        <is>
          <t>Week</t>
        </is>
      </c>
      <c r="F695" s="56">
        <f>IF(ForeCalc!$F$1="Staffed Hours",G695,24)</f>
        <v/>
      </c>
      <c r="G695" s="57">
        <f>IF(COUNTIF(M:M,Calendar!A695)&gt;0,VLOOKUP(A695,M:P,4,FALSE),VLOOKUP(D695,BusData!$A$3:$D$10,4,FALSE))</f>
        <v/>
      </c>
      <c r="H695" s="11">
        <f>F695/SUMIFS($F$2:$F$9997,$B$2:$B$9997,B695,$C$2:$C$9997,C695)</f>
        <v/>
      </c>
      <c r="I695" s="19" t="n">
        <v>2</v>
      </c>
      <c r="J695" s="57" t="n">
        <v>11</v>
      </c>
    </row>
    <row r="696">
      <c r="A696" s="62" t="n">
        <v>46807</v>
      </c>
      <c r="B696" s="19" t="n">
        <v>2028</v>
      </c>
      <c r="C696" s="19" t="n">
        <v>2</v>
      </c>
      <c r="D696" s="56" t="inlineStr">
        <is>
          <t>Thu</t>
        </is>
      </c>
      <c r="E696" s="56" t="inlineStr">
        <is>
          <t>Week</t>
        </is>
      </c>
      <c r="F696" s="56">
        <f>IF(ForeCalc!$F$1="Staffed Hours",G696,24)</f>
        <v/>
      </c>
      <c r="G696" s="57">
        <f>IF(COUNTIF(M:M,Calendar!A696)&gt;0,VLOOKUP(A696,M:P,4,FALSE),VLOOKUP(D696,BusData!$A$3:$D$10,4,FALSE))</f>
        <v/>
      </c>
      <c r="H696" s="11">
        <f>F696/SUMIFS($F$2:$F$9997,$B$2:$B$9997,B696,$C$2:$C$9997,C696)</f>
        <v/>
      </c>
      <c r="I696" s="19" t="n">
        <v>2</v>
      </c>
      <c r="J696" s="57" t="n">
        <v>11</v>
      </c>
    </row>
    <row r="697">
      <c r="A697" s="62" t="n">
        <v>46808</v>
      </c>
      <c r="B697" s="19" t="n">
        <v>2028</v>
      </c>
      <c r="C697" s="19" t="n">
        <v>2</v>
      </c>
      <c r="D697" s="56" t="inlineStr">
        <is>
          <t>Fri</t>
        </is>
      </c>
      <c r="E697" s="56" t="inlineStr">
        <is>
          <t>Week</t>
        </is>
      </c>
      <c r="F697" s="56">
        <f>IF(ForeCalc!$F$1="Staffed Hours",G697,24)</f>
        <v/>
      </c>
      <c r="G697" s="57">
        <f>IF(COUNTIF(M:M,Calendar!A697)&gt;0,VLOOKUP(A697,M:P,4,FALSE),VLOOKUP(D697,BusData!$A$3:$D$10,4,FALSE))</f>
        <v/>
      </c>
      <c r="H697" s="11">
        <f>F697/SUMIFS($F$2:$F$9997,$B$2:$B$9997,B697,$C$2:$C$9997,C697)</f>
        <v/>
      </c>
      <c r="I697" s="19" t="n">
        <v>2</v>
      </c>
      <c r="J697" s="57" t="n">
        <v>11</v>
      </c>
    </row>
    <row r="698">
      <c r="A698" s="62" t="n">
        <v>46809</v>
      </c>
      <c r="B698" s="19" t="n">
        <v>2028</v>
      </c>
      <c r="C698" s="19" t="n">
        <v>2</v>
      </c>
      <c r="D698" s="56" t="inlineStr">
        <is>
          <t>Sat</t>
        </is>
      </c>
      <c r="E698" s="56" t="inlineStr">
        <is>
          <t>Sat</t>
        </is>
      </c>
      <c r="F698" s="56">
        <f>IF(ForeCalc!$F$1="Staffed Hours",G698,24)</f>
        <v/>
      </c>
      <c r="G698" s="57">
        <f>IF(COUNTIF(M:M,Calendar!A698)&gt;0,VLOOKUP(A698,M:P,4,FALSE),VLOOKUP(D698,BusData!$A$3:$D$10,4,FALSE))</f>
        <v/>
      </c>
      <c r="H698" s="11">
        <f>F698/SUMIFS($F$2:$F$9997,$B$2:$B$9997,B698,$C$2:$C$9997,C698)</f>
        <v/>
      </c>
      <c r="I698" s="19" t="n">
        <v>2</v>
      </c>
      <c r="J698" s="57" t="n">
        <v>11</v>
      </c>
    </row>
    <row r="699">
      <c r="A699" s="62" t="n">
        <v>46810</v>
      </c>
      <c r="B699" s="19" t="n">
        <v>2028</v>
      </c>
      <c r="C699" s="19" t="n">
        <v>2</v>
      </c>
      <c r="D699" s="56" t="inlineStr">
        <is>
          <t>Sun</t>
        </is>
      </c>
      <c r="E699" s="56" t="inlineStr">
        <is>
          <t>Sun</t>
        </is>
      </c>
      <c r="F699" s="56">
        <f>IF(ForeCalc!$F$1="Staffed Hours",G699,24)</f>
        <v/>
      </c>
      <c r="G699" s="57">
        <f>IF(COUNTIF(M:M,Calendar!A699)&gt;0,VLOOKUP(A699,M:P,4,FALSE),VLOOKUP(D699,BusData!$A$3:$D$10,4,FALSE))</f>
        <v/>
      </c>
      <c r="H699" s="11">
        <f>F699/SUMIFS($F$2:$F$9997,$B$2:$B$9997,B699,$C$2:$C$9997,C699)</f>
        <v/>
      </c>
      <c r="I699" s="19" t="n">
        <v>2</v>
      </c>
      <c r="J699" s="57" t="n">
        <v>11</v>
      </c>
    </row>
    <row r="700">
      <c r="A700" s="62" t="n">
        <v>46811</v>
      </c>
      <c r="B700" s="19" t="n">
        <v>2028</v>
      </c>
      <c r="C700" s="19" t="n">
        <v>2</v>
      </c>
      <c r="D700" s="56" t="inlineStr">
        <is>
          <t>Mon</t>
        </is>
      </c>
      <c r="E700" s="56" t="inlineStr">
        <is>
          <t>Week</t>
        </is>
      </c>
      <c r="F700" s="56">
        <f>IF(ForeCalc!$F$1="Staffed Hours",G700,24)</f>
        <v/>
      </c>
      <c r="G700" s="57">
        <f>IF(COUNTIF(M:M,Calendar!A700)&gt;0,VLOOKUP(A700,M:P,4,FALSE),VLOOKUP(D700,BusData!$A$3:$D$10,4,FALSE))</f>
        <v/>
      </c>
      <c r="H700" s="11">
        <f>F700/SUMIFS($F$2:$F$9997,$B$2:$B$9997,B700,$C$2:$C$9997,C700)</f>
        <v/>
      </c>
      <c r="I700" s="19" t="n">
        <v>2</v>
      </c>
      <c r="J700" s="57" t="n">
        <v>11</v>
      </c>
    </row>
    <row r="701">
      <c r="A701" s="62" t="n">
        <v>46812</v>
      </c>
      <c r="B701" s="19" t="n">
        <v>2028</v>
      </c>
      <c r="C701" s="19" t="n">
        <v>2</v>
      </c>
      <c r="D701" s="56" t="inlineStr">
        <is>
          <t>Tue</t>
        </is>
      </c>
      <c r="E701" s="56" t="inlineStr">
        <is>
          <t>Week</t>
        </is>
      </c>
      <c r="F701" s="56">
        <f>IF(ForeCalc!$F$1="Staffed Hours",G701,24)</f>
        <v/>
      </c>
      <c r="G701" s="57">
        <f>IF(COUNTIF(M:M,Calendar!A701)&gt;0,VLOOKUP(A701,M:P,4,FALSE),VLOOKUP(D701,BusData!$A$3:$D$10,4,FALSE))</f>
        <v/>
      </c>
      <c r="H701" s="11">
        <f>F701/SUMIFS($F$2:$F$9997,$B$2:$B$9997,B701,$C$2:$C$9997,C701)</f>
        <v/>
      </c>
      <c r="I701" s="19" t="n">
        <v>2</v>
      </c>
      <c r="J701" s="57" t="n">
        <v>11</v>
      </c>
    </row>
    <row r="702">
      <c r="A702" s="62" t="n">
        <v>46813</v>
      </c>
      <c r="B702" s="19" t="n">
        <v>2028</v>
      </c>
      <c r="C702" s="19" t="n">
        <v>3</v>
      </c>
      <c r="D702" s="56" t="inlineStr">
        <is>
          <t>Wed</t>
        </is>
      </c>
      <c r="E702" s="56" t="inlineStr">
        <is>
          <t>Week</t>
        </is>
      </c>
      <c r="F702" s="56">
        <f>IF(ForeCalc!$F$1="Staffed Hours",G702,24)</f>
        <v/>
      </c>
      <c r="G702" s="57">
        <f>IF(COUNTIF(M:M,Calendar!A702)&gt;0,VLOOKUP(A702,M:P,4,FALSE),VLOOKUP(D702,BusData!$A$3:$D$10,4,FALSE))</f>
        <v/>
      </c>
      <c r="H702" s="11">
        <f>F702/SUMIFS($F$2:$F$9997,$B$2:$B$9997,B702,$C$2:$C$9997,C702)</f>
        <v/>
      </c>
      <c r="I702" s="19" t="n">
        <v>2</v>
      </c>
      <c r="J702" s="57" t="n">
        <v>12</v>
      </c>
    </row>
    <row r="703">
      <c r="A703" s="62" t="n">
        <v>46814</v>
      </c>
      <c r="B703" s="19" t="n">
        <v>2028</v>
      </c>
      <c r="C703" s="19" t="n">
        <v>3</v>
      </c>
      <c r="D703" s="56" t="inlineStr">
        <is>
          <t>Thu</t>
        </is>
      </c>
      <c r="E703" s="56" t="inlineStr">
        <is>
          <t>Week</t>
        </is>
      </c>
      <c r="F703" s="56">
        <f>IF(ForeCalc!$F$1="Staffed Hours",G703,24)</f>
        <v/>
      </c>
      <c r="G703" s="57">
        <f>IF(COUNTIF(M:M,Calendar!A703)&gt;0,VLOOKUP(A703,M:P,4,FALSE),VLOOKUP(D703,BusData!$A$3:$D$10,4,FALSE))</f>
        <v/>
      </c>
      <c r="H703" s="11">
        <f>F703/SUMIFS($F$2:$F$9997,$B$2:$B$9997,B703,$C$2:$C$9997,C703)</f>
        <v/>
      </c>
      <c r="I703" s="19" t="n">
        <v>2</v>
      </c>
      <c r="J703" s="57" t="n">
        <v>12</v>
      </c>
    </row>
    <row r="704">
      <c r="A704" s="62" t="n">
        <v>46815</v>
      </c>
      <c r="B704" s="19" t="n">
        <v>2028</v>
      </c>
      <c r="C704" s="19" t="n">
        <v>3</v>
      </c>
      <c r="D704" s="56" t="inlineStr">
        <is>
          <t>Fri</t>
        </is>
      </c>
      <c r="E704" s="56" t="inlineStr">
        <is>
          <t>Week</t>
        </is>
      </c>
      <c r="F704" s="56">
        <f>IF(ForeCalc!$F$1="Staffed Hours",G704,24)</f>
        <v/>
      </c>
      <c r="G704" s="57">
        <f>IF(COUNTIF(M:M,Calendar!A704)&gt;0,VLOOKUP(A704,M:P,4,FALSE),VLOOKUP(D704,BusData!$A$3:$D$10,4,FALSE))</f>
        <v/>
      </c>
      <c r="H704" s="11">
        <f>F704/SUMIFS($F$2:$F$9997,$B$2:$B$9997,B704,$C$2:$C$9997,C704)</f>
        <v/>
      </c>
      <c r="I704" s="19" t="n">
        <v>2</v>
      </c>
      <c r="J704" s="57" t="n">
        <v>12</v>
      </c>
    </row>
    <row r="705">
      <c r="A705" s="62" t="n">
        <v>46816</v>
      </c>
      <c r="B705" s="19" t="n">
        <v>2028</v>
      </c>
      <c r="C705" s="19" t="n">
        <v>3</v>
      </c>
      <c r="D705" s="56" t="inlineStr">
        <is>
          <t>Sat</t>
        </is>
      </c>
      <c r="E705" s="56" t="inlineStr">
        <is>
          <t>Sat</t>
        </is>
      </c>
      <c r="F705" s="56">
        <f>IF(ForeCalc!$F$1="Staffed Hours",G705,24)</f>
        <v/>
      </c>
      <c r="G705" s="57">
        <f>IF(COUNTIF(M:M,Calendar!A705)&gt;0,VLOOKUP(A705,M:P,4,FALSE),VLOOKUP(D705,BusData!$A$3:$D$10,4,FALSE))</f>
        <v/>
      </c>
      <c r="H705" s="11">
        <f>F705/SUMIFS($F$2:$F$9997,$B$2:$B$9997,B705,$C$2:$C$9997,C705)</f>
        <v/>
      </c>
      <c r="I705" s="19" t="n">
        <v>2</v>
      </c>
      <c r="J705" s="57" t="n">
        <v>12</v>
      </c>
    </row>
    <row r="706">
      <c r="A706" s="62" t="n">
        <v>46817</v>
      </c>
      <c r="B706" s="19" t="n">
        <v>2028</v>
      </c>
      <c r="C706" s="19" t="n">
        <v>3</v>
      </c>
      <c r="D706" s="56" t="inlineStr">
        <is>
          <t>Sun</t>
        </is>
      </c>
      <c r="E706" s="56" t="inlineStr">
        <is>
          <t>Sun</t>
        </is>
      </c>
      <c r="F706" s="56">
        <f>IF(ForeCalc!$F$1="Staffed Hours",G706,24)</f>
        <v/>
      </c>
      <c r="G706" s="57">
        <f>IF(COUNTIF(M:M,Calendar!A706)&gt;0,VLOOKUP(A706,M:P,4,FALSE),VLOOKUP(D706,BusData!$A$3:$D$10,4,FALSE))</f>
        <v/>
      </c>
      <c r="H706" s="11">
        <f>F706/SUMIFS($F$2:$F$9997,$B$2:$B$9997,B706,$C$2:$C$9997,C706)</f>
        <v/>
      </c>
      <c r="I706" s="19" t="n">
        <v>2</v>
      </c>
      <c r="J706" s="57" t="n">
        <v>12</v>
      </c>
    </row>
    <row r="707">
      <c r="A707" s="62" t="n">
        <v>46818</v>
      </c>
      <c r="B707" s="19" t="n">
        <v>2028</v>
      </c>
      <c r="C707" s="19" t="n">
        <v>3</v>
      </c>
      <c r="D707" s="56" t="inlineStr">
        <is>
          <t>Mon</t>
        </is>
      </c>
      <c r="E707" s="56" t="inlineStr">
        <is>
          <t>Week</t>
        </is>
      </c>
      <c r="F707" s="56">
        <f>IF(ForeCalc!$F$1="Staffed Hours",G707,24)</f>
        <v/>
      </c>
      <c r="G707" s="57">
        <f>IF(COUNTIF(M:M,Calendar!A707)&gt;0,VLOOKUP(A707,M:P,4,FALSE),VLOOKUP(D707,BusData!$A$3:$D$10,4,FALSE))</f>
        <v/>
      </c>
      <c r="H707" s="11">
        <f>F707/SUMIFS($F$2:$F$9997,$B$2:$B$9997,B707,$C$2:$C$9997,C707)</f>
        <v/>
      </c>
      <c r="I707" s="19" t="n">
        <v>2</v>
      </c>
      <c r="J707" s="57" t="n">
        <v>12</v>
      </c>
    </row>
    <row r="708">
      <c r="A708" s="62" t="n">
        <v>46819</v>
      </c>
      <c r="B708" s="19" t="n">
        <v>2028</v>
      </c>
      <c r="C708" s="19" t="n">
        <v>3</v>
      </c>
      <c r="D708" s="56" t="inlineStr">
        <is>
          <t>Tue</t>
        </is>
      </c>
      <c r="E708" s="56" t="inlineStr">
        <is>
          <t>Week</t>
        </is>
      </c>
      <c r="F708" s="56">
        <f>IF(ForeCalc!$F$1="Staffed Hours",G708,24)</f>
        <v/>
      </c>
      <c r="G708" s="57">
        <f>IF(COUNTIF(M:M,Calendar!A708)&gt;0,VLOOKUP(A708,M:P,4,FALSE),VLOOKUP(D708,BusData!$A$3:$D$10,4,FALSE))</f>
        <v/>
      </c>
      <c r="H708" s="11">
        <f>F708/SUMIFS($F$2:$F$9997,$B$2:$B$9997,B708,$C$2:$C$9997,C708)</f>
        <v/>
      </c>
      <c r="I708" s="19" t="n">
        <v>2</v>
      </c>
      <c r="J708" s="57" t="n">
        <v>12</v>
      </c>
    </row>
    <row r="709">
      <c r="A709" s="62" t="n">
        <v>46820</v>
      </c>
      <c r="B709" s="19" t="n">
        <v>2028</v>
      </c>
      <c r="C709" s="19" t="n">
        <v>3</v>
      </c>
      <c r="D709" s="56" t="inlineStr">
        <is>
          <t>Wed</t>
        </is>
      </c>
      <c r="E709" s="56" t="inlineStr">
        <is>
          <t>Week</t>
        </is>
      </c>
      <c r="F709" s="56">
        <f>IF(ForeCalc!$F$1="Staffed Hours",G709,24)</f>
        <v/>
      </c>
      <c r="G709" s="57">
        <f>IF(COUNTIF(M:M,Calendar!A709)&gt;0,VLOOKUP(A709,M:P,4,FALSE),VLOOKUP(D709,BusData!$A$3:$D$10,4,FALSE))</f>
        <v/>
      </c>
      <c r="H709" s="11">
        <f>F709/SUMIFS($F$2:$F$9997,$B$2:$B$9997,B709,$C$2:$C$9997,C709)</f>
        <v/>
      </c>
      <c r="I709" s="19" t="n">
        <v>2</v>
      </c>
      <c r="J709" s="57" t="n">
        <v>12</v>
      </c>
    </row>
    <row r="710">
      <c r="A710" s="62" t="n">
        <v>46821</v>
      </c>
      <c r="B710" s="19" t="n">
        <v>2028</v>
      </c>
      <c r="C710" s="19" t="n">
        <v>3</v>
      </c>
      <c r="D710" s="56" t="inlineStr">
        <is>
          <t>Thu</t>
        </is>
      </c>
      <c r="E710" s="56" t="inlineStr">
        <is>
          <t>Week</t>
        </is>
      </c>
      <c r="F710" s="56">
        <f>IF(ForeCalc!$F$1="Staffed Hours",G710,24)</f>
        <v/>
      </c>
      <c r="G710" s="57">
        <f>IF(COUNTIF(M:M,Calendar!A710)&gt;0,VLOOKUP(A710,M:P,4,FALSE),VLOOKUP(D710,BusData!$A$3:$D$10,4,FALSE))</f>
        <v/>
      </c>
      <c r="H710" s="11">
        <f>F710/SUMIFS($F$2:$F$9997,$B$2:$B$9997,B710,$C$2:$C$9997,C710)</f>
        <v/>
      </c>
      <c r="I710" s="19" t="n">
        <v>2</v>
      </c>
      <c r="J710" s="57" t="n">
        <v>12</v>
      </c>
    </row>
    <row r="711">
      <c r="A711" s="62" t="n">
        <v>46822</v>
      </c>
      <c r="B711" s="19" t="n">
        <v>2028</v>
      </c>
      <c r="C711" s="19" t="n">
        <v>3</v>
      </c>
      <c r="D711" s="56" t="inlineStr">
        <is>
          <t>Fri</t>
        </is>
      </c>
      <c r="E711" s="56" t="inlineStr">
        <is>
          <t>Week</t>
        </is>
      </c>
      <c r="F711" s="56">
        <f>IF(ForeCalc!$F$1="Staffed Hours",G711,24)</f>
        <v/>
      </c>
      <c r="G711" s="57">
        <f>IF(COUNTIF(M:M,Calendar!A711)&gt;0,VLOOKUP(A711,M:P,4,FALSE),VLOOKUP(D711,BusData!$A$3:$D$10,4,FALSE))</f>
        <v/>
      </c>
      <c r="H711" s="11">
        <f>F711/SUMIFS($F$2:$F$9997,$B$2:$B$9997,B711,$C$2:$C$9997,C711)</f>
        <v/>
      </c>
      <c r="I711" s="19" t="n">
        <v>2</v>
      </c>
      <c r="J711" s="57" t="n">
        <v>12</v>
      </c>
    </row>
    <row r="712">
      <c r="A712" s="62" t="n">
        <v>46823</v>
      </c>
      <c r="B712" s="19" t="n">
        <v>2028</v>
      </c>
      <c r="C712" s="19" t="n">
        <v>3</v>
      </c>
      <c r="D712" s="56" t="inlineStr">
        <is>
          <t>Sat</t>
        </is>
      </c>
      <c r="E712" s="56" t="inlineStr">
        <is>
          <t>Sat</t>
        </is>
      </c>
      <c r="F712" s="56">
        <f>IF(ForeCalc!$F$1="Staffed Hours",G712,24)</f>
        <v/>
      </c>
      <c r="G712" s="57">
        <f>IF(COUNTIF(M:M,Calendar!A712)&gt;0,VLOOKUP(A712,M:P,4,FALSE),VLOOKUP(D712,BusData!$A$3:$D$10,4,FALSE))</f>
        <v/>
      </c>
      <c r="H712" s="11">
        <f>F712/SUMIFS($F$2:$F$9997,$B$2:$B$9997,B712,$C$2:$C$9997,C712)</f>
        <v/>
      </c>
      <c r="I712" s="19" t="n">
        <v>2</v>
      </c>
      <c r="J712" s="57" t="n">
        <v>12</v>
      </c>
    </row>
    <row r="713">
      <c r="A713" s="62" t="n">
        <v>46824</v>
      </c>
      <c r="B713" s="19" t="n">
        <v>2028</v>
      </c>
      <c r="C713" s="19" t="n">
        <v>3</v>
      </c>
      <c r="D713" s="56" t="inlineStr">
        <is>
          <t>Sun</t>
        </is>
      </c>
      <c r="E713" s="56" t="inlineStr">
        <is>
          <t>Sun</t>
        </is>
      </c>
      <c r="F713" s="56">
        <f>IF(ForeCalc!$F$1="Staffed Hours",G713,24)</f>
        <v/>
      </c>
      <c r="G713" s="57">
        <f>IF(COUNTIF(M:M,Calendar!A713)&gt;0,VLOOKUP(A713,M:P,4,FALSE),VLOOKUP(D713,BusData!$A$3:$D$10,4,FALSE))</f>
        <v/>
      </c>
      <c r="H713" s="11">
        <f>F713/SUMIFS($F$2:$F$9997,$B$2:$B$9997,B713,$C$2:$C$9997,C713)</f>
        <v/>
      </c>
      <c r="I713" s="19" t="n">
        <v>2</v>
      </c>
      <c r="J713" s="57" t="n">
        <v>12</v>
      </c>
    </row>
    <row r="714">
      <c r="A714" s="62" t="n">
        <v>46825</v>
      </c>
      <c r="B714" s="19" t="n">
        <v>2028</v>
      </c>
      <c r="C714" s="19" t="n">
        <v>3</v>
      </c>
      <c r="D714" s="56" t="inlineStr">
        <is>
          <t>Mon</t>
        </is>
      </c>
      <c r="E714" s="56" t="inlineStr">
        <is>
          <t>Week</t>
        </is>
      </c>
      <c r="F714" s="56">
        <f>IF(ForeCalc!$F$1="Staffed Hours",G714,24)</f>
        <v/>
      </c>
      <c r="G714" s="57">
        <f>IF(COUNTIF(M:M,Calendar!A714)&gt;0,VLOOKUP(A714,M:P,4,FALSE),VLOOKUP(D714,BusData!$A$3:$D$10,4,FALSE))</f>
        <v/>
      </c>
      <c r="H714" s="11">
        <f>F714/SUMIFS($F$2:$F$9997,$B$2:$B$9997,B714,$C$2:$C$9997,C714)</f>
        <v/>
      </c>
      <c r="I714" s="19" t="n">
        <v>2</v>
      </c>
      <c r="J714" s="57" t="n">
        <v>12</v>
      </c>
    </row>
    <row r="715">
      <c r="A715" s="62" t="n">
        <v>46826</v>
      </c>
      <c r="B715" s="19" t="n">
        <v>2028</v>
      </c>
      <c r="C715" s="19" t="n">
        <v>3</v>
      </c>
      <c r="D715" s="56" t="inlineStr">
        <is>
          <t>Tue</t>
        </is>
      </c>
      <c r="E715" s="56" t="inlineStr">
        <is>
          <t>Week</t>
        </is>
      </c>
      <c r="F715" s="56">
        <f>IF(ForeCalc!$F$1="Staffed Hours",G715,24)</f>
        <v/>
      </c>
      <c r="G715" s="57">
        <f>IF(COUNTIF(M:M,Calendar!A715)&gt;0,VLOOKUP(A715,M:P,4,FALSE),VLOOKUP(D715,BusData!$A$3:$D$10,4,FALSE))</f>
        <v/>
      </c>
      <c r="H715" s="11">
        <f>F715/SUMIFS($F$2:$F$9997,$B$2:$B$9997,B715,$C$2:$C$9997,C715)</f>
        <v/>
      </c>
      <c r="I715" s="19" t="n">
        <v>2</v>
      </c>
      <c r="J715" s="57" t="n">
        <v>12</v>
      </c>
    </row>
    <row r="716">
      <c r="A716" s="62" t="n">
        <v>46827</v>
      </c>
      <c r="B716" s="19" t="n">
        <v>2028</v>
      </c>
      <c r="C716" s="19" t="n">
        <v>3</v>
      </c>
      <c r="D716" s="56" t="inlineStr">
        <is>
          <t>Wed</t>
        </is>
      </c>
      <c r="E716" s="56" t="inlineStr">
        <is>
          <t>Week</t>
        </is>
      </c>
      <c r="F716" s="56">
        <f>IF(ForeCalc!$F$1="Staffed Hours",G716,24)</f>
        <v/>
      </c>
      <c r="G716" s="57">
        <f>IF(COUNTIF(M:M,Calendar!A716)&gt;0,VLOOKUP(A716,M:P,4,FALSE),VLOOKUP(D716,BusData!$A$3:$D$10,4,FALSE))</f>
        <v/>
      </c>
      <c r="H716" s="11">
        <f>F716/SUMIFS($F$2:$F$9997,$B$2:$B$9997,B716,$C$2:$C$9997,C716)</f>
        <v/>
      </c>
      <c r="I716" s="19" t="n">
        <v>2</v>
      </c>
      <c r="J716" s="57" t="n">
        <v>12</v>
      </c>
    </row>
    <row r="717">
      <c r="A717" s="62" t="n">
        <v>46828</v>
      </c>
      <c r="B717" s="19" t="n">
        <v>2028</v>
      </c>
      <c r="C717" s="19" t="n">
        <v>3</v>
      </c>
      <c r="D717" s="56" t="inlineStr">
        <is>
          <t>Thu</t>
        </is>
      </c>
      <c r="E717" s="56" t="inlineStr">
        <is>
          <t>Week</t>
        </is>
      </c>
      <c r="F717" s="56">
        <f>IF(ForeCalc!$F$1="Staffed Hours",G717,24)</f>
        <v/>
      </c>
      <c r="G717" s="57">
        <f>IF(COUNTIF(M:M,Calendar!A717)&gt;0,VLOOKUP(A717,M:P,4,FALSE),VLOOKUP(D717,BusData!$A$3:$D$10,4,FALSE))</f>
        <v/>
      </c>
      <c r="H717" s="11">
        <f>F717/SUMIFS($F$2:$F$9997,$B$2:$B$9997,B717,$C$2:$C$9997,C717)</f>
        <v/>
      </c>
      <c r="I717" s="19" t="n">
        <v>2</v>
      </c>
      <c r="J717" s="57" t="n">
        <v>12</v>
      </c>
    </row>
    <row r="718">
      <c r="A718" s="62" t="n">
        <v>46829</v>
      </c>
      <c r="B718" s="19" t="n">
        <v>2028</v>
      </c>
      <c r="C718" s="19" t="n">
        <v>3</v>
      </c>
      <c r="D718" s="56" t="inlineStr">
        <is>
          <t>Fri</t>
        </is>
      </c>
      <c r="E718" s="56" t="inlineStr">
        <is>
          <t>Week</t>
        </is>
      </c>
      <c r="F718" s="56">
        <f>IF(ForeCalc!$F$1="Staffed Hours",G718,24)</f>
        <v/>
      </c>
      <c r="G718" s="57">
        <f>IF(COUNTIF(M:M,Calendar!A718)&gt;0,VLOOKUP(A718,M:P,4,FALSE),VLOOKUP(D718,BusData!$A$3:$D$10,4,FALSE))</f>
        <v/>
      </c>
      <c r="H718" s="11">
        <f>F718/SUMIFS($F$2:$F$9997,$B$2:$B$9997,B718,$C$2:$C$9997,C718)</f>
        <v/>
      </c>
      <c r="I718" s="19" t="n">
        <v>2</v>
      </c>
      <c r="J718" s="57" t="n">
        <v>12</v>
      </c>
    </row>
    <row r="719">
      <c r="A719" s="62" t="n">
        <v>46830</v>
      </c>
      <c r="B719" s="19" t="n">
        <v>2028</v>
      </c>
      <c r="C719" s="19" t="n">
        <v>3</v>
      </c>
      <c r="D719" s="56" t="inlineStr">
        <is>
          <t>Sat</t>
        </is>
      </c>
      <c r="E719" s="56" t="inlineStr">
        <is>
          <t>Sat</t>
        </is>
      </c>
      <c r="F719" s="56">
        <f>IF(ForeCalc!$F$1="Staffed Hours",G719,24)</f>
        <v/>
      </c>
      <c r="G719" s="57">
        <f>IF(COUNTIF(M:M,Calendar!A719)&gt;0,VLOOKUP(A719,M:P,4,FALSE),VLOOKUP(D719,BusData!$A$3:$D$10,4,FALSE))</f>
        <v/>
      </c>
      <c r="H719" s="11">
        <f>F719/SUMIFS($F$2:$F$9997,$B$2:$B$9997,B719,$C$2:$C$9997,C719)</f>
        <v/>
      </c>
      <c r="I719" s="19" t="n">
        <v>2</v>
      </c>
      <c r="J719" s="57" t="n">
        <v>12</v>
      </c>
    </row>
    <row r="720">
      <c r="A720" s="62" t="n">
        <v>46831</v>
      </c>
      <c r="B720" s="19" t="n">
        <v>2028</v>
      </c>
      <c r="C720" s="19" t="n">
        <v>3</v>
      </c>
      <c r="D720" s="56" t="inlineStr">
        <is>
          <t>Sun</t>
        </is>
      </c>
      <c r="E720" s="56" t="inlineStr">
        <is>
          <t>Sun</t>
        </is>
      </c>
      <c r="F720" s="56">
        <f>IF(ForeCalc!$F$1="Staffed Hours",G720,24)</f>
        <v/>
      </c>
      <c r="G720" s="57">
        <f>IF(COUNTIF(M:M,Calendar!A720)&gt;0,VLOOKUP(A720,M:P,4,FALSE),VLOOKUP(D720,BusData!$A$3:$D$10,4,FALSE))</f>
        <v/>
      </c>
      <c r="H720" s="11">
        <f>F720/SUMIFS($F$2:$F$9997,$B$2:$B$9997,B720,$C$2:$C$9997,C720)</f>
        <v/>
      </c>
      <c r="I720" s="19" t="n">
        <v>2</v>
      </c>
      <c r="J720" s="57" t="n">
        <v>12</v>
      </c>
    </row>
    <row r="721">
      <c r="A721" s="62" t="n">
        <v>46832</v>
      </c>
      <c r="B721" s="19" t="n">
        <v>2028</v>
      </c>
      <c r="C721" s="19" t="n">
        <v>3</v>
      </c>
      <c r="D721" s="56" t="inlineStr">
        <is>
          <t>Mon</t>
        </is>
      </c>
      <c r="E721" s="56" t="inlineStr">
        <is>
          <t>Week</t>
        </is>
      </c>
      <c r="F721" s="56">
        <f>IF(ForeCalc!$F$1="Staffed Hours",G721,24)</f>
        <v/>
      </c>
      <c r="G721" s="57">
        <f>IF(COUNTIF(M:M,Calendar!A721)&gt;0,VLOOKUP(A721,M:P,4,FALSE),VLOOKUP(D721,BusData!$A$3:$D$10,4,FALSE))</f>
        <v/>
      </c>
      <c r="H721" s="11">
        <f>F721/SUMIFS($F$2:$F$9997,$B$2:$B$9997,B721,$C$2:$C$9997,C721)</f>
        <v/>
      </c>
      <c r="I721" s="19" t="n">
        <v>2</v>
      </c>
      <c r="J721" s="57" t="n">
        <v>12</v>
      </c>
    </row>
    <row r="722">
      <c r="A722" s="62" t="n">
        <v>46833</v>
      </c>
      <c r="B722" s="19" t="n">
        <v>2028</v>
      </c>
      <c r="C722" s="19" t="n">
        <v>3</v>
      </c>
      <c r="D722" s="56" t="inlineStr">
        <is>
          <t>Tue</t>
        </is>
      </c>
      <c r="E722" s="56" t="inlineStr">
        <is>
          <t>Week</t>
        </is>
      </c>
      <c r="F722" s="56">
        <f>IF(ForeCalc!$F$1="Staffed Hours",G722,24)</f>
        <v/>
      </c>
      <c r="G722" s="57">
        <f>IF(COUNTIF(M:M,Calendar!A722)&gt;0,VLOOKUP(A722,M:P,4,FALSE),VLOOKUP(D722,BusData!$A$3:$D$10,4,FALSE))</f>
        <v/>
      </c>
      <c r="H722" s="11">
        <f>F722/SUMIFS($F$2:$F$9997,$B$2:$B$9997,B722,$C$2:$C$9997,C722)</f>
        <v/>
      </c>
      <c r="I722" s="19" t="n">
        <v>2</v>
      </c>
      <c r="J722" s="57" t="n">
        <v>12</v>
      </c>
    </row>
    <row r="723">
      <c r="A723" s="62" t="n">
        <v>46834</v>
      </c>
      <c r="B723" s="19" t="n">
        <v>2028</v>
      </c>
      <c r="C723" s="19" t="n">
        <v>3</v>
      </c>
      <c r="D723" s="56" t="inlineStr">
        <is>
          <t>Wed</t>
        </is>
      </c>
      <c r="E723" s="56" t="inlineStr">
        <is>
          <t>Week</t>
        </is>
      </c>
      <c r="F723" s="56">
        <f>IF(ForeCalc!$F$1="Staffed Hours",G723,24)</f>
        <v/>
      </c>
      <c r="G723" s="57">
        <f>IF(COUNTIF(M:M,Calendar!A723)&gt;0,VLOOKUP(A723,M:P,4,FALSE),VLOOKUP(D723,BusData!$A$3:$D$10,4,FALSE))</f>
        <v/>
      </c>
      <c r="H723" s="11">
        <f>F723/SUMIFS($F$2:$F$9997,$B$2:$B$9997,B723,$C$2:$C$9997,C723)</f>
        <v/>
      </c>
      <c r="I723" s="19" t="n">
        <v>2</v>
      </c>
      <c r="J723" s="57" t="n">
        <v>12</v>
      </c>
    </row>
    <row r="724">
      <c r="A724" s="62" t="n">
        <v>46835</v>
      </c>
      <c r="B724" s="19" t="n">
        <v>2028</v>
      </c>
      <c r="C724" s="19" t="n">
        <v>3</v>
      </c>
      <c r="D724" s="56" t="inlineStr">
        <is>
          <t>Thu</t>
        </is>
      </c>
      <c r="E724" s="56" t="inlineStr">
        <is>
          <t>Week</t>
        </is>
      </c>
      <c r="F724" s="56">
        <f>IF(ForeCalc!$F$1="Staffed Hours",G724,24)</f>
        <v/>
      </c>
      <c r="G724" s="57">
        <f>IF(COUNTIF(M:M,Calendar!A724)&gt;0,VLOOKUP(A724,M:P,4,FALSE),VLOOKUP(D724,BusData!$A$3:$D$10,4,FALSE))</f>
        <v/>
      </c>
      <c r="H724" s="11">
        <f>F724/SUMIFS($F$2:$F$9997,$B$2:$B$9997,B724,$C$2:$C$9997,C724)</f>
        <v/>
      </c>
      <c r="I724" s="19" t="n">
        <v>2</v>
      </c>
      <c r="J724" s="57" t="n">
        <v>12</v>
      </c>
    </row>
    <row r="725">
      <c r="A725" s="62" t="n">
        <v>46836</v>
      </c>
      <c r="B725" s="19" t="n">
        <v>2028</v>
      </c>
      <c r="C725" s="19" t="n">
        <v>3</v>
      </c>
      <c r="D725" s="56" t="inlineStr">
        <is>
          <t>Fri</t>
        </is>
      </c>
      <c r="E725" s="56" t="inlineStr">
        <is>
          <t>Week</t>
        </is>
      </c>
      <c r="F725" s="56">
        <f>IF(ForeCalc!$F$1="Staffed Hours",G725,24)</f>
        <v/>
      </c>
      <c r="G725" s="57">
        <f>IF(COUNTIF(M:M,Calendar!A725)&gt;0,VLOOKUP(A725,M:P,4,FALSE),VLOOKUP(D725,BusData!$A$3:$D$10,4,FALSE))</f>
        <v/>
      </c>
      <c r="H725" s="11">
        <f>F725/SUMIFS($F$2:$F$9997,$B$2:$B$9997,B725,$C$2:$C$9997,C725)</f>
        <v/>
      </c>
      <c r="I725" s="19" t="n">
        <v>2</v>
      </c>
      <c r="J725" s="57" t="n">
        <v>12</v>
      </c>
    </row>
    <row r="726">
      <c r="A726" s="62" t="n">
        <v>46837</v>
      </c>
      <c r="B726" s="19" t="n">
        <v>2028</v>
      </c>
      <c r="C726" s="19" t="n">
        <v>3</v>
      </c>
      <c r="D726" s="56" t="inlineStr">
        <is>
          <t>Sat</t>
        </is>
      </c>
      <c r="E726" s="56" t="inlineStr">
        <is>
          <t>Sat</t>
        </is>
      </c>
      <c r="F726" s="56">
        <f>IF(ForeCalc!$F$1="Staffed Hours",G726,24)</f>
        <v/>
      </c>
      <c r="G726" s="57">
        <f>IF(COUNTIF(M:M,Calendar!A726)&gt;0,VLOOKUP(A726,M:P,4,FALSE),VLOOKUP(D726,BusData!$A$3:$D$10,4,FALSE))</f>
        <v/>
      </c>
      <c r="H726" s="11">
        <f>F726/SUMIFS($F$2:$F$9997,$B$2:$B$9997,B726,$C$2:$C$9997,C726)</f>
        <v/>
      </c>
      <c r="I726" s="19" t="n">
        <v>2</v>
      </c>
      <c r="J726" s="57" t="n">
        <v>12</v>
      </c>
    </row>
    <row r="727">
      <c r="A727" s="62" t="n">
        <v>46838</v>
      </c>
      <c r="B727" s="19" t="n">
        <v>2028</v>
      </c>
      <c r="C727" s="19" t="n">
        <v>3</v>
      </c>
      <c r="D727" s="56" t="inlineStr">
        <is>
          <t>Sun</t>
        </is>
      </c>
      <c r="E727" s="56" t="inlineStr">
        <is>
          <t>Sun</t>
        </is>
      </c>
      <c r="F727" s="56">
        <f>IF(ForeCalc!$F$1="Staffed Hours",G727,24)</f>
        <v/>
      </c>
      <c r="G727" s="57">
        <f>IF(COUNTIF(M:M,Calendar!A727)&gt;0,VLOOKUP(A727,M:P,4,FALSE),VLOOKUP(D727,BusData!$A$3:$D$10,4,FALSE))</f>
        <v/>
      </c>
      <c r="H727" s="11">
        <f>F727/SUMIFS($F$2:$F$9997,$B$2:$B$9997,B727,$C$2:$C$9997,C727)</f>
        <v/>
      </c>
      <c r="I727" s="19" t="n">
        <v>2</v>
      </c>
      <c r="J727" s="57" t="n">
        <v>12</v>
      </c>
    </row>
    <row r="728">
      <c r="A728" s="62" t="n">
        <v>46839</v>
      </c>
      <c r="B728" s="19" t="n">
        <v>2028</v>
      </c>
      <c r="C728" s="19" t="n">
        <v>3</v>
      </c>
      <c r="D728" s="56" t="inlineStr">
        <is>
          <t>Mon</t>
        </is>
      </c>
      <c r="E728" s="56" t="inlineStr">
        <is>
          <t>Week</t>
        </is>
      </c>
      <c r="F728" s="56">
        <f>IF(ForeCalc!$F$1="Staffed Hours",G728,24)</f>
        <v/>
      </c>
      <c r="G728" s="57">
        <f>IF(COUNTIF(M:M,Calendar!A728)&gt;0,VLOOKUP(A728,M:P,4,FALSE),VLOOKUP(D728,BusData!$A$3:$D$10,4,FALSE))</f>
        <v/>
      </c>
      <c r="H728" s="11">
        <f>F728/SUMIFS($F$2:$F$9997,$B$2:$B$9997,B728,$C$2:$C$9997,C728)</f>
        <v/>
      </c>
      <c r="I728" s="19" t="n">
        <v>2</v>
      </c>
      <c r="J728" s="57" t="n">
        <v>12</v>
      </c>
    </row>
    <row r="729">
      <c r="A729" s="62" t="n">
        <v>46840</v>
      </c>
      <c r="B729" s="19" t="n">
        <v>2028</v>
      </c>
      <c r="C729" s="19" t="n">
        <v>3</v>
      </c>
      <c r="D729" s="56" t="inlineStr">
        <is>
          <t>Tue</t>
        </is>
      </c>
      <c r="E729" s="56" t="inlineStr">
        <is>
          <t>Week</t>
        </is>
      </c>
      <c r="F729" s="56">
        <f>IF(ForeCalc!$F$1="Staffed Hours",G729,24)</f>
        <v/>
      </c>
      <c r="G729" s="57">
        <f>IF(COUNTIF(M:M,Calendar!A729)&gt;0,VLOOKUP(A729,M:P,4,FALSE),VLOOKUP(D729,BusData!$A$3:$D$10,4,FALSE))</f>
        <v/>
      </c>
      <c r="H729" s="11">
        <f>F729/SUMIFS($F$2:$F$9997,$B$2:$B$9997,B729,$C$2:$C$9997,C729)</f>
        <v/>
      </c>
      <c r="I729" s="19" t="n">
        <v>2</v>
      </c>
      <c r="J729" s="57" t="n">
        <v>12</v>
      </c>
    </row>
    <row r="730">
      <c r="A730" s="62" t="n">
        <v>46841</v>
      </c>
      <c r="B730" s="19" t="n">
        <v>2028</v>
      </c>
      <c r="C730" s="19" t="n">
        <v>3</v>
      </c>
      <c r="D730" s="56" t="inlineStr">
        <is>
          <t>Wed</t>
        </is>
      </c>
      <c r="E730" s="56" t="inlineStr">
        <is>
          <t>Week</t>
        </is>
      </c>
      <c r="F730" s="56">
        <f>IF(ForeCalc!$F$1="Staffed Hours",G730,24)</f>
        <v/>
      </c>
      <c r="G730" s="57">
        <f>IF(COUNTIF(M:M,Calendar!A730)&gt;0,VLOOKUP(A730,M:P,4,FALSE),VLOOKUP(D730,BusData!$A$3:$D$10,4,FALSE))</f>
        <v/>
      </c>
      <c r="H730" s="11">
        <f>F730/SUMIFS($F$2:$F$9997,$B$2:$B$9997,B730,$C$2:$C$9997,C730)</f>
        <v/>
      </c>
      <c r="I730" s="19" t="n">
        <v>2</v>
      </c>
      <c r="J730" s="57" t="n">
        <v>12</v>
      </c>
    </row>
    <row r="731">
      <c r="A731" s="62" t="n">
        <v>46842</v>
      </c>
      <c r="B731" s="19" t="n">
        <v>2028</v>
      </c>
      <c r="C731" s="19" t="n">
        <v>3</v>
      </c>
      <c r="D731" s="56" t="inlineStr">
        <is>
          <t>Thu</t>
        </is>
      </c>
      <c r="E731" s="56" t="inlineStr">
        <is>
          <t>Week</t>
        </is>
      </c>
      <c r="F731" s="56">
        <f>IF(ForeCalc!$F$1="Staffed Hours",G731,24)</f>
        <v/>
      </c>
      <c r="G731" s="57">
        <f>IF(COUNTIF(M:M,Calendar!A731)&gt;0,VLOOKUP(A731,M:P,4,FALSE),VLOOKUP(D731,BusData!$A$3:$D$10,4,FALSE))</f>
        <v/>
      </c>
      <c r="H731" s="11">
        <f>F731/SUMIFS($F$2:$F$9997,$B$2:$B$9997,B731,$C$2:$C$9997,C731)</f>
        <v/>
      </c>
      <c r="I731" s="19" t="n">
        <v>2</v>
      </c>
      <c r="J731" s="57" t="n">
        <v>12</v>
      </c>
    </row>
    <row r="732">
      <c r="A732" s="62" t="n">
        <v>46843</v>
      </c>
      <c r="B732" s="19" t="n">
        <v>2028</v>
      </c>
      <c r="C732" s="19" t="n">
        <v>3</v>
      </c>
      <c r="D732" s="56" t="inlineStr">
        <is>
          <t>Fri</t>
        </is>
      </c>
      <c r="E732" s="56" t="inlineStr">
        <is>
          <t>Week</t>
        </is>
      </c>
      <c r="F732" s="56">
        <f>IF(ForeCalc!$F$1="Staffed Hours",G732,24)</f>
        <v/>
      </c>
      <c r="G732" s="57">
        <f>IF(COUNTIF(M:M,Calendar!A732)&gt;0,VLOOKUP(A732,M:P,4,FALSE),VLOOKUP(D732,BusData!$A$3:$D$10,4,FALSE))</f>
        <v/>
      </c>
      <c r="H732" s="11">
        <f>F732/SUMIFS($F$2:$F$9997,$B$2:$B$9997,B732,$C$2:$C$9997,C732)</f>
        <v/>
      </c>
      <c r="I732" s="19" t="n">
        <v>2</v>
      </c>
      <c r="J732" s="57" t="n">
        <v>12</v>
      </c>
    </row>
    <row r="733">
      <c r="A733" s="62" t="n">
        <v>46844</v>
      </c>
      <c r="B733" s="19" t="n">
        <v>2028</v>
      </c>
      <c r="C733" s="19" t="n">
        <v>4</v>
      </c>
      <c r="D733" s="56" t="inlineStr">
        <is>
          <t>Sat</t>
        </is>
      </c>
      <c r="E733" s="56" t="inlineStr">
        <is>
          <t>Sat</t>
        </is>
      </c>
      <c r="F733" s="56">
        <f>IF(ForeCalc!$F$1="Staffed Hours",G733,24)</f>
        <v/>
      </c>
      <c r="G733" s="57">
        <f>IF(COUNTIF(M:M,Calendar!A733)&gt;0,VLOOKUP(A733,M:P,4,FALSE),VLOOKUP(D733,BusData!$A$3:$D$10,4,FALSE))</f>
        <v/>
      </c>
      <c r="H733" s="11">
        <f>F733/SUMIFS($F$2:$F$9997,$B$2:$B$9997,B733,$C$2:$C$9997,C733)</f>
        <v/>
      </c>
      <c r="I733" s="19" t="n">
        <v>3</v>
      </c>
      <c r="J733" s="57" t="n">
        <v>1</v>
      </c>
    </row>
    <row r="734">
      <c r="A734" s="62" t="n">
        <v>46845</v>
      </c>
      <c r="B734" s="19" t="n">
        <v>2028</v>
      </c>
      <c r="C734" s="19" t="n">
        <v>4</v>
      </c>
      <c r="D734" s="56" t="inlineStr">
        <is>
          <t>Sun</t>
        </is>
      </c>
      <c r="E734" s="56" t="inlineStr">
        <is>
          <t>Sun</t>
        </is>
      </c>
      <c r="F734" s="56">
        <f>IF(ForeCalc!$F$1="Staffed Hours",G734,24)</f>
        <v/>
      </c>
      <c r="G734" s="57">
        <f>IF(COUNTIF(M:M,Calendar!A734)&gt;0,VLOOKUP(A734,M:P,4,FALSE),VLOOKUP(D734,BusData!$A$3:$D$10,4,FALSE))</f>
        <v/>
      </c>
      <c r="H734" s="11">
        <f>F734/SUMIFS($F$2:$F$9997,$B$2:$B$9997,B734,$C$2:$C$9997,C734)</f>
        <v/>
      </c>
      <c r="I734" s="19" t="n">
        <v>3</v>
      </c>
      <c r="J734" s="57" t="n">
        <v>1</v>
      </c>
    </row>
    <row r="735">
      <c r="A735" s="62" t="n">
        <v>46846</v>
      </c>
      <c r="B735" s="19" t="n">
        <v>2028</v>
      </c>
      <c r="C735" s="19" t="n">
        <v>4</v>
      </c>
      <c r="D735" s="56" t="inlineStr">
        <is>
          <t>Mon</t>
        </is>
      </c>
      <c r="E735" s="56" t="inlineStr">
        <is>
          <t>Week</t>
        </is>
      </c>
      <c r="F735" s="56">
        <f>IF(ForeCalc!$F$1="Staffed Hours",G735,24)</f>
        <v/>
      </c>
      <c r="G735" s="57">
        <f>IF(COUNTIF(M:M,Calendar!A735)&gt;0,VLOOKUP(A735,M:P,4,FALSE),VLOOKUP(D735,BusData!$A$3:$D$10,4,FALSE))</f>
        <v/>
      </c>
      <c r="H735" s="11">
        <f>F735/SUMIFS($F$2:$F$9997,$B$2:$B$9997,B735,$C$2:$C$9997,C735)</f>
        <v/>
      </c>
      <c r="I735" s="19" t="n">
        <v>3</v>
      </c>
      <c r="J735" s="57" t="n">
        <v>1</v>
      </c>
    </row>
    <row r="736">
      <c r="A736" s="62" t="n">
        <v>46847</v>
      </c>
      <c r="B736" s="19" t="n">
        <v>2028</v>
      </c>
      <c r="C736" s="19" t="n">
        <v>4</v>
      </c>
      <c r="D736" s="56" t="inlineStr">
        <is>
          <t>Tue</t>
        </is>
      </c>
      <c r="E736" s="56" t="inlineStr">
        <is>
          <t>Week</t>
        </is>
      </c>
      <c r="F736" s="56">
        <f>IF(ForeCalc!$F$1="Staffed Hours",G736,24)</f>
        <v/>
      </c>
      <c r="G736" s="57">
        <f>IF(COUNTIF(M:M,Calendar!A736)&gt;0,VLOOKUP(A736,M:P,4,FALSE),VLOOKUP(D736,BusData!$A$3:$D$10,4,FALSE))</f>
        <v/>
      </c>
      <c r="H736" s="11">
        <f>F736/SUMIFS($F$2:$F$9997,$B$2:$B$9997,B736,$C$2:$C$9997,C736)</f>
        <v/>
      </c>
      <c r="I736" s="19" t="n">
        <v>3</v>
      </c>
      <c r="J736" s="57" t="n">
        <v>1</v>
      </c>
    </row>
    <row r="737">
      <c r="A737" s="62" t="n">
        <v>46848</v>
      </c>
      <c r="B737" s="19" t="n">
        <v>2028</v>
      </c>
      <c r="C737" s="19" t="n">
        <v>4</v>
      </c>
      <c r="D737" s="56" t="inlineStr">
        <is>
          <t>Wed</t>
        </is>
      </c>
      <c r="E737" s="56" t="inlineStr">
        <is>
          <t>Week</t>
        </is>
      </c>
      <c r="F737" s="56">
        <f>IF(ForeCalc!$F$1="Staffed Hours",G737,24)</f>
        <v/>
      </c>
      <c r="G737" s="57">
        <f>IF(COUNTIF(M:M,Calendar!A737)&gt;0,VLOOKUP(A737,M:P,4,FALSE),VLOOKUP(D737,BusData!$A$3:$D$10,4,FALSE))</f>
        <v/>
      </c>
      <c r="H737" s="11">
        <f>F737/SUMIFS($F$2:$F$9997,$B$2:$B$9997,B737,$C$2:$C$9997,C737)</f>
        <v/>
      </c>
      <c r="I737" s="19" t="n">
        <v>3</v>
      </c>
      <c r="J737" s="57" t="n">
        <v>1</v>
      </c>
    </row>
    <row r="738">
      <c r="A738" s="62" t="n">
        <v>46849</v>
      </c>
      <c r="B738" s="19" t="n">
        <v>2028</v>
      </c>
      <c r="C738" s="19" t="n">
        <v>4</v>
      </c>
      <c r="D738" s="56" t="inlineStr">
        <is>
          <t>Thu</t>
        </is>
      </c>
      <c r="E738" s="56" t="inlineStr">
        <is>
          <t>Week</t>
        </is>
      </c>
      <c r="F738" s="56">
        <f>IF(ForeCalc!$F$1="Staffed Hours",G738,24)</f>
        <v/>
      </c>
      <c r="G738" s="57">
        <f>IF(COUNTIF(M:M,Calendar!A738)&gt;0,VLOOKUP(A738,M:P,4,FALSE),VLOOKUP(D738,BusData!$A$3:$D$10,4,FALSE))</f>
        <v/>
      </c>
      <c r="H738" s="11">
        <f>F738/SUMIFS($F$2:$F$9997,$B$2:$B$9997,B738,$C$2:$C$9997,C738)</f>
        <v/>
      </c>
      <c r="I738" s="19" t="n">
        <v>3</v>
      </c>
      <c r="J738" s="57" t="n">
        <v>1</v>
      </c>
    </row>
    <row r="739">
      <c r="A739" s="62" t="n">
        <v>46850</v>
      </c>
      <c r="B739" s="19" t="n">
        <v>2028</v>
      </c>
      <c r="C739" s="19" t="n">
        <v>4</v>
      </c>
      <c r="D739" s="56" t="inlineStr">
        <is>
          <t>Fri</t>
        </is>
      </c>
      <c r="E739" s="56" t="inlineStr">
        <is>
          <t>Week</t>
        </is>
      </c>
      <c r="F739" s="56">
        <f>IF(ForeCalc!$F$1="Staffed Hours",G739,24)</f>
        <v/>
      </c>
      <c r="G739" s="57">
        <f>IF(COUNTIF(M:M,Calendar!A739)&gt;0,VLOOKUP(A739,M:P,4,FALSE),VLOOKUP(D739,BusData!$A$3:$D$10,4,FALSE))</f>
        <v/>
      </c>
      <c r="H739" s="11">
        <f>F739/SUMIFS($F$2:$F$9997,$B$2:$B$9997,B739,$C$2:$C$9997,C739)</f>
        <v/>
      </c>
      <c r="I739" s="19" t="n">
        <v>3</v>
      </c>
      <c r="J739" s="57" t="n">
        <v>1</v>
      </c>
    </row>
    <row r="740">
      <c r="A740" s="62" t="n">
        <v>46851</v>
      </c>
      <c r="B740" s="19" t="n">
        <v>2028</v>
      </c>
      <c r="C740" s="19" t="n">
        <v>4</v>
      </c>
      <c r="D740" s="56" t="inlineStr">
        <is>
          <t>Sat</t>
        </is>
      </c>
      <c r="E740" s="56" t="inlineStr">
        <is>
          <t>Sat</t>
        </is>
      </c>
      <c r="F740" s="56">
        <f>IF(ForeCalc!$F$1="Staffed Hours",G740,24)</f>
        <v/>
      </c>
      <c r="G740" s="57">
        <f>IF(COUNTIF(M:M,Calendar!A740)&gt;0,VLOOKUP(A740,M:P,4,FALSE),VLOOKUP(D740,BusData!$A$3:$D$10,4,FALSE))</f>
        <v/>
      </c>
      <c r="H740" s="11">
        <f>F740/SUMIFS($F$2:$F$9997,$B$2:$B$9997,B740,$C$2:$C$9997,C740)</f>
        <v/>
      </c>
      <c r="I740" s="19" t="n">
        <v>3</v>
      </c>
      <c r="J740" s="57" t="n">
        <v>1</v>
      </c>
    </row>
    <row r="741">
      <c r="A741" s="62" t="n">
        <v>46852</v>
      </c>
      <c r="B741" s="19" t="n">
        <v>2028</v>
      </c>
      <c r="C741" s="19" t="n">
        <v>4</v>
      </c>
      <c r="D741" s="56" t="inlineStr">
        <is>
          <t>Sun</t>
        </is>
      </c>
      <c r="E741" s="56" t="inlineStr">
        <is>
          <t>Sun</t>
        </is>
      </c>
      <c r="F741" s="56">
        <f>IF(ForeCalc!$F$1="Staffed Hours",G741,24)</f>
        <v/>
      </c>
      <c r="G741" s="57">
        <f>IF(COUNTIF(M:M,Calendar!A741)&gt;0,VLOOKUP(A741,M:P,4,FALSE),VLOOKUP(D741,BusData!$A$3:$D$10,4,FALSE))</f>
        <v/>
      </c>
      <c r="H741" s="11">
        <f>F741/SUMIFS($F$2:$F$9997,$B$2:$B$9997,B741,$C$2:$C$9997,C741)</f>
        <v/>
      </c>
      <c r="I741" s="19" t="n">
        <v>3</v>
      </c>
      <c r="J741" s="57" t="n">
        <v>1</v>
      </c>
    </row>
    <row r="742">
      <c r="A742" s="62" t="n">
        <v>46853</v>
      </c>
      <c r="B742" s="19" t="n">
        <v>2028</v>
      </c>
      <c r="C742" s="19" t="n">
        <v>4</v>
      </c>
      <c r="D742" s="56" t="inlineStr">
        <is>
          <t>Mon</t>
        </is>
      </c>
      <c r="E742" s="56" t="inlineStr">
        <is>
          <t>Week</t>
        </is>
      </c>
      <c r="F742" s="56">
        <f>IF(ForeCalc!$F$1="Staffed Hours",G742,24)</f>
        <v/>
      </c>
      <c r="G742" s="57">
        <f>IF(COUNTIF(M:M,Calendar!A742)&gt;0,VLOOKUP(A742,M:P,4,FALSE),VLOOKUP(D742,BusData!$A$3:$D$10,4,FALSE))</f>
        <v/>
      </c>
      <c r="H742" s="11">
        <f>F742/SUMIFS($F$2:$F$9997,$B$2:$B$9997,B742,$C$2:$C$9997,C742)</f>
        <v/>
      </c>
      <c r="I742" s="19" t="n">
        <v>3</v>
      </c>
      <c r="J742" s="57" t="n">
        <v>1</v>
      </c>
    </row>
    <row r="743">
      <c r="A743" s="62" t="n">
        <v>46854</v>
      </c>
      <c r="B743" s="19" t="n">
        <v>2028</v>
      </c>
      <c r="C743" s="19" t="n">
        <v>4</v>
      </c>
      <c r="D743" s="56" t="inlineStr">
        <is>
          <t>Tue</t>
        </is>
      </c>
      <c r="E743" s="56" t="inlineStr">
        <is>
          <t>Week</t>
        </is>
      </c>
      <c r="F743" s="56">
        <f>IF(ForeCalc!$F$1="Staffed Hours",G743,24)</f>
        <v/>
      </c>
      <c r="G743" s="57">
        <f>IF(COUNTIF(M:M,Calendar!A743)&gt;0,VLOOKUP(A743,M:P,4,FALSE),VLOOKUP(D743,BusData!$A$3:$D$10,4,FALSE))</f>
        <v/>
      </c>
      <c r="H743" s="11">
        <f>F743/SUMIFS($F$2:$F$9997,$B$2:$B$9997,B743,$C$2:$C$9997,C743)</f>
        <v/>
      </c>
      <c r="I743" s="19" t="n">
        <v>3</v>
      </c>
      <c r="J743" s="57" t="n">
        <v>1</v>
      </c>
    </row>
    <row r="744">
      <c r="A744" s="62" t="n">
        <v>46855</v>
      </c>
      <c r="B744" s="19" t="n">
        <v>2028</v>
      </c>
      <c r="C744" s="19" t="n">
        <v>4</v>
      </c>
      <c r="D744" s="56" t="inlineStr">
        <is>
          <t>Wed</t>
        </is>
      </c>
      <c r="E744" s="56" t="inlineStr">
        <is>
          <t>Week</t>
        </is>
      </c>
      <c r="F744" s="56">
        <f>IF(ForeCalc!$F$1="Staffed Hours",G744,24)</f>
        <v/>
      </c>
      <c r="G744" s="57">
        <f>IF(COUNTIF(M:M,Calendar!A744)&gt;0,VLOOKUP(A744,M:P,4,FALSE),VLOOKUP(D744,BusData!$A$3:$D$10,4,FALSE))</f>
        <v/>
      </c>
      <c r="H744" s="11">
        <f>F744/SUMIFS($F$2:$F$9997,$B$2:$B$9997,B744,$C$2:$C$9997,C744)</f>
        <v/>
      </c>
      <c r="I744" s="19" t="n">
        <v>3</v>
      </c>
      <c r="J744" s="57" t="n">
        <v>1</v>
      </c>
    </row>
    <row r="745">
      <c r="A745" s="62" t="n">
        <v>46856</v>
      </c>
      <c r="B745" s="19" t="n">
        <v>2028</v>
      </c>
      <c r="C745" s="19" t="n">
        <v>4</v>
      </c>
      <c r="D745" s="56" t="inlineStr">
        <is>
          <t>Thu</t>
        </is>
      </c>
      <c r="E745" s="56" t="inlineStr">
        <is>
          <t>Week</t>
        </is>
      </c>
      <c r="F745" s="56">
        <f>IF(ForeCalc!$F$1="Staffed Hours",G745,24)</f>
        <v/>
      </c>
      <c r="G745" s="57">
        <f>IF(COUNTIF(M:M,Calendar!A745)&gt;0,VLOOKUP(A745,M:P,4,FALSE),VLOOKUP(D745,BusData!$A$3:$D$10,4,FALSE))</f>
        <v/>
      </c>
      <c r="H745" s="11">
        <f>F745/SUMIFS($F$2:$F$9997,$B$2:$B$9997,B745,$C$2:$C$9997,C745)</f>
        <v/>
      </c>
      <c r="I745" s="19" t="n">
        <v>3</v>
      </c>
      <c r="J745" s="57" t="n">
        <v>1</v>
      </c>
    </row>
    <row r="746">
      <c r="A746" s="62" t="n">
        <v>46857</v>
      </c>
      <c r="B746" s="19" t="n">
        <v>2028</v>
      </c>
      <c r="C746" s="19" t="n">
        <v>4</v>
      </c>
      <c r="D746" s="56" t="inlineStr">
        <is>
          <t>Fri</t>
        </is>
      </c>
      <c r="E746" s="56" t="inlineStr">
        <is>
          <t>Week</t>
        </is>
      </c>
      <c r="F746" s="56">
        <f>IF(ForeCalc!$F$1="Staffed Hours",G746,24)</f>
        <v/>
      </c>
      <c r="G746" s="57">
        <f>IF(COUNTIF(M:M,Calendar!A746)&gt;0,VLOOKUP(A746,M:P,4,FALSE),VLOOKUP(D746,BusData!$A$3:$D$10,4,FALSE))</f>
        <v/>
      </c>
      <c r="H746" s="11">
        <f>F746/SUMIFS($F$2:$F$9997,$B$2:$B$9997,B746,$C$2:$C$9997,C746)</f>
        <v/>
      </c>
      <c r="I746" s="19" t="n">
        <v>3</v>
      </c>
      <c r="J746" s="57" t="n">
        <v>1</v>
      </c>
    </row>
    <row r="747">
      <c r="A747" s="62" t="n">
        <v>46858</v>
      </c>
      <c r="B747" s="19" t="n">
        <v>2028</v>
      </c>
      <c r="C747" s="19" t="n">
        <v>4</v>
      </c>
      <c r="D747" s="56" t="inlineStr">
        <is>
          <t>Sat</t>
        </is>
      </c>
      <c r="E747" s="56" t="inlineStr">
        <is>
          <t>Sat</t>
        </is>
      </c>
      <c r="F747" s="56">
        <f>IF(ForeCalc!$F$1="Staffed Hours",G747,24)</f>
        <v/>
      </c>
      <c r="G747" s="57">
        <f>IF(COUNTIF(M:M,Calendar!A747)&gt;0,VLOOKUP(A747,M:P,4,FALSE),VLOOKUP(D747,BusData!$A$3:$D$10,4,FALSE))</f>
        <v/>
      </c>
      <c r="H747" s="11">
        <f>F747/SUMIFS($F$2:$F$9997,$B$2:$B$9997,B747,$C$2:$C$9997,C747)</f>
        <v/>
      </c>
      <c r="I747" s="19" t="n">
        <v>3</v>
      </c>
      <c r="J747" s="57" t="n">
        <v>1</v>
      </c>
    </row>
    <row r="748">
      <c r="A748" s="62" t="n">
        <v>46859</v>
      </c>
      <c r="B748" s="19" t="n">
        <v>2028</v>
      </c>
      <c r="C748" s="19" t="n">
        <v>4</v>
      </c>
      <c r="D748" s="56" t="inlineStr">
        <is>
          <t>Sun</t>
        </is>
      </c>
      <c r="E748" s="56" t="inlineStr">
        <is>
          <t>Sun</t>
        </is>
      </c>
      <c r="F748" s="56">
        <f>IF(ForeCalc!$F$1="Staffed Hours",G748,24)</f>
        <v/>
      </c>
      <c r="G748" s="57">
        <f>IF(COUNTIF(M:M,Calendar!A748)&gt;0,VLOOKUP(A748,M:P,4,FALSE),VLOOKUP(D748,BusData!$A$3:$D$10,4,FALSE))</f>
        <v/>
      </c>
      <c r="H748" s="11">
        <f>F748/SUMIFS($F$2:$F$9997,$B$2:$B$9997,B748,$C$2:$C$9997,C748)</f>
        <v/>
      </c>
      <c r="I748" s="19" t="n">
        <v>3</v>
      </c>
      <c r="J748" s="57" t="n">
        <v>1</v>
      </c>
    </row>
    <row r="749">
      <c r="A749" s="62" t="n">
        <v>46860</v>
      </c>
      <c r="B749" s="19" t="n">
        <v>2028</v>
      </c>
      <c r="C749" s="19" t="n">
        <v>4</v>
      </c>
      <c r="D749" s="56" t="inlineStr">
        <is>
          <t>Mon</t>
        </is>
      </c>
      <c r="E749" s="56" t="inlineStr">
        <is>
          <t>Week</t>
        </is>
      </c>
      <c r="F749" s="56">
        <f>IF(ForeCalc!$F$1="Staffed Hours",G749,24)</f>
        <v/>
      </c>
      <c r="G749" s="57">
        <f>IF(COUNTIF(M:M,Calendar!A749)&gt;0,VLOOKUP(A749,M:P,4,FALSE),VLOOKUP(D749,BusData!$A$3:$D$10,4,FALSE))</f>
        <v/>
      </c>
      <c r="H749" s="11">
        <f>F749/SUMIFS($F$2:$F$9997,$B$2:$B$9997,B749,$C$2:$C$9997,C749)</f>
        <v/>
      </c>
      <c r="I749" s="19" t="n">
        <v>3</v>
      </c>
      <c r="J749" s="57" t="n">
        <v>1</v>
      </c>
    </row>
    <row r="750">
      <c r="A750" s="62" t="n">
        <v>46861</v>
      </c>
      <c r="B750" s="19" t="n">
        <v>2028</v>
      </c>
      <c r="C750" s="19" t="n">
        <v>4</v>
      </c>
      <c r="D750" s="56" t="inlineStr">
        <is>
          <t>Tue</t>
        </is>
      </c>
      <c r="E750" s="56" t="inlineStr">
        <is>
          <t>Week</t>
        </is>
      </c>
      <c r="F750" s="56">
        <f>IF(ForeCalc!$F$1="Staffed Hours",G750,24)</f>
        <v/>
      </c>
      <c r="G750" s="57">
        <f>IF(COUNTIF(M:M,Calendar!A750)&gt;0,VLOOKUP(A750,M:P,4,FALSE),VLOOKUP(D750,BusData!$A$3:$D$10,4,FALSE))</f>
        <v/>
      </c>
      <c r="H750" s="11">
        <f>F750/SUMIFS($F$2:$F$9997,$B$2:$B$9997,B750,$C$2:$C$9997,C750)</f>
        <v/>
      </c>
      <c r="I750" s="19" t="n">
        <v>3</v>
      </c>
      <c r="J750" s="57" t="n">
        <v>1</v>
      </c>
    </row>
    <row r="751">
      <c r="A751" s="62" t="n">
        <v>46862</v>
      </c>
      <c r="B751" s="19" t="n">
        <v>2028</v>
      </c>
      <c r="C751" s="19" t="n">
        <v>4</v>
      </c>
      <c r="D751" s="56" t="inlineStr">
        <is>
          <t>Wed</t>
        </is>
      </c>
      <c r="E751" s="56" t="inlineStr">
        <is>
          <t>Week</t>
        </is>
      </c>
      <c r="F751" s="56">
        <f>IF(ForeCalc!$F$1="Staffed Hours",G751,24)</f>
        <v/>
      </c>
      <c r="G751" s="57">
        <f>IF(COUNTIF(M:M,Calendar!A751)&gt;0,VLOOKUP(A751,M:P,4,FALSE),VLOOKUP(D751,BusData!$A$3:$D$10,4,FALSE))</f>
        <v/>
      </c>
      <c r="H751" s="11">
        <f>F751/SUMIFS($F$2:$F$9997,$B$2:$B$9997,B751,$C$2:$C$9997,C751)</f>
        <v/>
      </c>
      <c r="I751" s="19" t="n">
        <v>3</v>
      </c>
      <c r="J751" s="57" t="n">
        <v>1</v>
      </c>
    </row>
    <row r="752">
      <c r="A752" s="62" t="n">
        <v>46863</v>
      </c>
      <c r="B752" s="19" t="n">
        <v>2028</v>
      </c>
      <c r="C752" s="19" t="n">
        <v>4</v>
      </c>
      <c r="D752" s="56" t="inlineStr">
        <is>
          <t>Thu</t>
        </is>
      </c>
      <c r="E752" s="56" t="inlineStr">
        <is>
          <t>Week</t>
        </is>
      </c>
      <c r="F752" s="56">
        <f>IF(ForeCalc!$F$1="Staffed Hours",G752,24)</f>
        <v/>
      </c>
      <c r="G752" s="57">
        <f>IF(COUNTIF(M:M,Calendar!A752)&gt;0,VLOOKUP(A752,M:P,4,FALSE),VLOOKUP(D752,BusData!$A$3:$D$10,4,FALSE))</f>
        <v/>
      </c>
      <c r="H752" s="11">
        <f>F752/SUMIFS($F$2:$F$9997,$B$2:$B$9997,B752,$C$2:$C$9997,C752)</f>
        <v/>
      </c>
      <c r="I752" s="19" t="n">
        <v>3</v>
      </c>
      <c r="J752" s="57" t="n">
        <v>1</v>
      </c>
    </row>
    <row r="753">
      <c r="A753" s="62" t="n">
        <v>46864</v>
      </c>
      <c r="B753" s="19" t="n">
        <v>2028</v>
      </c>
      <c r="C753" s="19" t="n">
        <v>4</v>
      </c>
      <c r="D753" s="56" t="inlineStr">
        <is>
          <t>Fri</t>
        </is>
      </c>
      <c r="E753" s="56" t="inlineStr">
        <is>
          <t>Week</t>
        </is>
      </c>
      <c r="F753" s="56">
        <f>IF(ForeCalc!$F$1="Staffed Hours",G753,24)</f>
        <v/>
      </c>
      <c r="G753" s="57">
        <f>IF(COUNTIF(M:M,Calendar!A753)&gt;0,VLOOKUP(A753,M:P,4,FALSE),VLOOKUP(D753,BusData!$A$3:$D$10,4,FALSE))</f>
        <v/>
      </c>
      <c r="H753" s="11">
        <f>F753/SUMIFS($F$2:$F$9997,$B$2:$B$9997,B753,$C$2:$C$9997,C753)</f>
        <v/>
      </c>
      <c r="I753" s="19" t="n">
        <v>3</v>
      </c>
      <c r="J753" s="57" t="n">
        <v>1</v>
      </c>
    </row>
    <row r="754">
      <c r="A754" s="62" t="n">
        <v>46865</v>
      </c>
      <c r="B754" s="19" t="n">
        <v>2028</v>
      </c>
      <c r="C754" s="19" t="n">
        <v>4</v>
      </c>
      <c r="D754" s="56" t="inlineStr">
        <is>
          <t>Sat</t>
        </is>
      </c>
      <c r="E754" s="56" t="inlineStr">
        <is>
          <t>Sat</t>
        </is>
      </c>
      <c r="F754" s="56">
        <f>IF(ForeCalc!$F$1="Staffed Hours",G754,24)</f>
        <v/>
      </c>
      <c r="G754" s="57">
        <f>IF(COUNTIF(M:M,Calendar!A754)&gt;0,VLOOKUP(A754,M:P,4,FALSE),VLOOKUP(D754,BusData!$A$3:$D$10,4,FALSE))</f>
        <v/>
      </c>
      <c r="H754" s="11">
        <f>F754/SUMIFS($F$2:$F$9997,$B$2:$B$9997,B754,$C$2:$C$9997,C754)</f>
        <v/>
      </c>
      <c r="I754" s="19" t="n">
        <v>3</v>
      </c>
      <c r="J754" s="57" t="n">
        <v>1</v>
      </c>
    </row>
    <row r="755">
      <c r="A755" s="62" t="n">
        <v>46866</v>
      </c>
      <c r="B755" s="19" t="n">
        <v>2028</v>
      </c>
      <c r="C755" s="19" t="n">
        <v>4</v>
      </c>
      <c r="D755" s="56" t="inlineStr">
        <is>
          <t>Sun</t>
        </is>
      </c>
      <c r="E755" s="56" t="inlineStr">
        <is>
          <t>Sun</t>
        </is>
      </c>
      <c r="F755" s="56">
        <f>IF(ForeCalc!$F$1="Staffed Hours",G755,24)</f>
        <v/>
      </c>
      <c r="G755" s="57">
        <f>IF(COUNTIF(M:M,Calendar!A755)&gt;0,VLOOKUP(A755,M:P,4,FALSE),VLOOKUP(D755,BusData!$A$3:$D$10,4,FALSE))</f>
        <v/>
      </c>
      <c r="H755" s="11">
        <f>F755/SUMIFS($F$2:$F$9997,$B$2:$B$9997,B755,$C$2:$C$9997,C755)</f>
        <v/>
      </c>
      <c r="I755" s="19" t="n">
        <v>3</v>
      </c>
      <c r="J755" s="57" t="n">
        <v>1</v>
      </c>
    </row>
    <row r="756">
      <c r="A756" s="62" t="n">
        <v>46867</v>
      </c>
      <c r="B756" s="19" t="n">
        <v>2028</v>
      </c>
      <c r="C756" s="19" t="n">
        <v>4</v>
      </c>
      <c r="D756" s="56" t="inlineStr">
        <is>
          <t>Mon</t>
        </is>
      </c>
      <c r="E756" s="56" t="inlineStr">
        <is>
          <t>Week</t>
        </is>
      </c>
      <c r="F756" s="56">
        <f>IF(ForeCalc!$F$1="Staffed Hours",G756,24)</f>
        <v/>
      </c>
      <c r="G756" s="57">
        <f>IF(COUNTIF(M:M,Calendar!A756)&gt;0,VLOOKUP(A756,M:P,4,FALSE),VLOOKUP(D756,BusData!$A$3:$D$10,4,FALSE))</f>
        <v/>
      </c>
      <c r="H756" s="11">
        <f>F756/SUMIFS($F$2:$F$9997,$B$2:$B$9997,B756,$C$2:$C$9997,C756)</f>
        <v/>
      </c>
      <c r="I756" s="19" t="n">
        <v>3</v>
      </c>
      <c r="J756" s="57" t="n">
        <v>1</v>
      </c>
    </row>
    <row r="757">
      <c r="A757" s="62" t="n">
        <v>46868</v>
      </c>
      <c r="B757" s="19" t="n">
        <v>2028</v>
      </c>
      <c r="C757" s="19" t="n">
        <v>4</v>
      </c>
      <c r="D757" s="56" t="inlineStr">
        <is>
          <t>Tue</t>
        </is>
      </c>
      <c r="E757" s="56" t="inlineStr">
        <is>
          <t>Week</t>
        </is>
      </c>
      <c r="F757" s="56">
        <f>IF(ForeCalc!$F$1="Staffed Hours",G757,24)</f>
        <v/>
      </c>
      <c r="G757" s="57">
        <f>IF(COUNTIF(M:M,Calendar!A757)&gt;0,VLOOKUP(A757,M:P,4,FALSE),VLOOKUP(D757,BusData!$A$3:$D$10,4,FALSE))</f>
        <v/>
      </c>
      <c r="H757" s="11">
        <f>F757/SUMIFS($F$2:$F$9997,$B$2:$B$9997,B757,$C$2:$C$9997,C757)</f>
        <v/>
      </c>
      <c r="I757" s="19" t="n">
        <v>3</v>
      </c>
      <c r="J757" s="57" t="n">
        <v>1</v>
      </c>
    </row>
    <row r="758">
      <c r="A758" s="62" t="n">
        <v>46869</v>
      </c>
      <c r="B758" s="19" t="n">
        <v>2028</v>
      </c>
      <c r="C758" s="19" t="n">
        <v>4</v>
      </c>
      <c r="D758" s="56" t="inlineStr">
        <is>
          <t>Wed</t>
        </is>
      </c>
      <c r="E758" s="56" t="inlineStr">
        <is>
          <t>Week</t>
        </is>
      </c>
      <c r="F758" s="56">
        <f>IF(ForeCalc!$F$1="Staffed Hours",G758,24)</f>
        <v/>
      </c>
      <c r="G758" s="57">
        <f>IF(COUNTIF(M:M,Calendar!A758)&gt;0,VLOOKUP(A758,M:P,4,FALSE),VLOOKUP(D758,BusData!$A$3:$D$10,4,FALSE))</f>
        <v/>
      </c>
      <c r="H758" s="11">
        <f>F758/SUMIFS($F$2:$F$9997,$B$2:$B$9997,B758,$C$2:$C$9997,C758)</f>
        <v/>
      </c>
      <c r="I758" s="19" t="n">
        <v>3</v>
      </c>
      <c r="J758" s="57" t="n">
        <v>1</v>
      </c>
    </row>
    <row r="759">
      <c r="A759" s="62" t="n">
        <v>46870</v>
      </c>
      <c r="B759" s="19" t="n">
        <v>2028</v>
      </c>
      <c r="C759" s="19" t="n">
        <v>4</v>
      </c>
      <c r="D759" s="56" t="inlineStr">
        <is>
          <t>Thu</t>
        </is>
      </c>
      <c r="E759" s="56" t="inlineStr">
        <is>
          <t>Week</t>
        </is>
      </c>
      <c r="F759" s="56">
        <f>IF(ForeCalc!$F$1="Staffed Hours",G759,24)</f>
        <v/>
      </c>
      <c r="G759" s="57">
        <f>IF(COUNTIF(M:M,Calendar!A759)&gt;0,VLOOKUP(A759,M:P,4,FALSE),VLOOKUP(D759,BusData!$A$3:$D$10,4,FALSE))</f>
        <v/>
      </c>
      <c r="H759" s="11">
        <f>F759/SUMIFS($F$2:$F$9997,$B$2:$B$9997,B759,$C$2:$C$9997,C759)</f>
        <v/>
      </c>
      <c r="I759" s="19" t="n">
        <v>3</v>
      </c>
      <c r="J759" s="57" t="n">
        <v>1</v>
      </c>
    </row>
    <row r="760">
      <c r="A760" s="62" t="n">
        <v>46871</v>
      </c>
      <c r="B760" s="19" t="n">
        <v>2028</v>
      </c>
      <c r="C760" s="19" t="n">
        <v>4</v>
      </c>
      <c r="D760" s="56" t="inlineStr">
        <is>
          <t>Fri</t>
        </is>
      </c>
      <c r="E760" s="56" t="inlineStr">
        <is>
          <t>Week</t>
        </is>
      </c>
      <c r="F760" s="56">
        <f>IF(ForeCalc!$F$1="Staffed Hours",G760,24)</f>
        <v/>
      </c>
      <c r="G760" s="57">
        <f>IF(COUNTIF(M:M,Calendar!A760)&gt;0,VLOOKUP(A760,M:P,4,FALSE),VLOOKUP(D760,BusData!$A$3:$D$10,4,FALSE))</f>
        <v/>
      </c>
      <c r="H760" s="11">
        <f>F760/SUMIFS($F$2:$F$9997,$B$2:$B$9997,B760,$C$2:$C$9997,C760)</f>
        <v/>
      </c>
      <c r="I760" s="19" t="n">
        <v>3</v>
      </c>
      <c r="J760" s="57" t="n">
        <v>1</v>
      </c>
    </row>
    <row r="761">
      <c r="A761" s="62" t="n">
        <v>46872</v>
      </c>
      <c r="B761" s="19" t="n">
        <v>2028</v>
      </c>
      <c r="C761" s="19" t="n">
        <v>4</v>
      </c>
      <c r="D761" s="56" t="inlineStr">
        <is>
          <t>Sat</t>
        </is>
      </c>
      <c r="E761" s="56" t="inlineStr">
        <is>
          <t>Sat</t>
        </is>
      </c>
      <c r="F761" s="56">
        <f>IF(ForeCalc!$F$1="Staffed Hours",G761,24)</f>
        <v/>
      </c>
      <c r="G761" s="57">
        <f>IF(COUNTIF(M:M,Calendar!A761)&gt;0,VLOOKUP(A761,M:P,4,FALSE),VLOOKUP(D761,BusData!$A$3:$D$10,4,FALSE))</f>
        <v/>
      </c>
      <c r="H761" s="11">
        <f>F761/SUMIFS($F$2:$F$9997,$B$2:$B$9997,B761,$C$2:$C$9997,C761)</f>
        <v/>
      </c>
      <c r="I761" s="19" t="n">
        <v>3</v>
      </c>
      <c r="J761" s="57" t="n">
        <v>1</v>
      </c>
    </row>
    <row r="762">
      <c r="A762" s="62" t="n">
        <v>46873</v>
      </c>
      <c r="B762" s="19" t="n">
        <v>2028</v>
      </c>
      <c r="C762" s="19" t="n">
        <v>4</v>
      </c>
      <c r="D762" s="56" t="inlineStr">
        <is>
          <t>Sun</t>
        </is>
      </c>
      <c r="E762" s="56" t="inlineStr">
        <is>
          <t>Sun</t>
        </is>
      </c>
      <c r="F762" s="56">
        <f>IF(ForeCalc!$F$1="Staffed Hours",G762,24)</f>
        <v/>
      </c>
      <c r="G762" s="57">
        <f>IF(COUNTIF(M:M,Calendar!A762)&gt;0,VLOOKUP(A762,M:P,4,FALSE),VLOOKUP(D762,BusData!$A$3:$D$10,4,FALSE))</f>
        <v/>
      </c>
      <c r="H762" s="11">
        <f>F762/SUMIFS($F$2:$F$9997,$B$2:$B$9997,B762,$C$2:$C$9997,C762)</f>
        <v/>
      </c>
      <c r="I762" s="19" t="n">
        <v>3</v>
      </c>
      <c r="J762" s="57" t="n">
        <v>1</v>
      </c>
    </row>
    <row r="763">
      <c r="A763" s="62" t="n">
        <v>46874</v>
      </c>
      <c r="B763" s="19" t="n">
        <v>2028</v>
      </c>
      <c r="C763" s="19" t="n">
        <v>5</v>
      </c>
      <c r="D763" s="56" t="inlineStr">
        <is>
          <t>Mon</t>
        </is>
      </c>
      <c r="E763" s="56" t="inlineStr">
        <is>
          <t>Week</t>
        </is>
      </c>
      <c r="F763" s="56">
        <f>IF(ForeCalc!$F$1="Staffed Hours",G763,24)</f>
        <v/>
      </c>
      <c r="G763" s="57">
        <f>IF(COUNTIF(M:M,Calendar!A763)&gt;0,VLOOKUP(A763,M:P,4,FALSE),VLOOKUP(D763,BusData!$A$3:$D$10,4,FALSE))</f>
        <v/>
      </c>
      <c r="H763" s="11">
        <f>F763/SUMIFS($F$2:$F$9997,$B$2:$B$9997,B763,$C$2:$C$9997,C763)</f>
        <v/>
      </c>
      <c r="I763" s="19" t="n">
        <v>3</v>
      </c>
      <c r="J763" s="57" t="n">
        <v>2</v>
      </c>
    </row>
    <row r="764">
      <c r="A764" s="62" t="n">
        <v>46875</v>
      </c>
      <c r="B764" s="19" t="n">
        <v>2028</v>
      </c>
      <c r="C764" s="19" t="n">
        <v>5</v>
      </c>
      <c r="D764" s="56" t="inlineStr">
        <is>
          <t>Tue</t>
        </is>
      </c>
      <c r="E764" s="56" t="inlineStr">
        <is>
          <t>Week</t>
        </is>
      </c>
      <c r="F764" s="56">
        <f>IF(ForeCalc!$F$1="Staffed Hours",G764,24)</f>
        <v/>
      </c>
      <c r="G764" s="57">
        <f>IF(COUNTIF(M:M,Calendar!A764)&gt;0,VLOOKUP(A764,M:P,4,FALSE),VLOOKUP(D764,BusData!$A$3:$D$10,4,FALSE))</f>
        <v/>
      </c>
      <c r="H764" s="11">
        <f>F764/SUMIFS($F$2:$F$9997,$B$2:$B$9997,B764,$C$2:$C$9997,C764)</f>
        <v/>
      </c>
      <c r="I764" s="19" t="n">
        <v>3</v>
      </c>
      <c r="J764" s="57" t="n">
        <v>2</v>
      </c>
    </row>
    <row r="765">
      <c r="A765" s="62" t="n">
        <v>46876</v>
      </c>
      <c r="B765" s="19" t="n">
        <v>2028</v>
      </c>
      <c r="C765" s="19" t="n">
        <v>5</v>
      </c>
      <c r="D765" s="56" t="inlineStr">
        <is>
          <t>Wed</t>
        </is>
      </c>
      <c r="E765" s="56" t="inlineStr">
        <is>
          <t>Week</t>
        </is>
      </c>
      <c r="F765" s="56">
        <f>IF(ForeCalc!$F$1="Staffed Hours",G765,24)</f>
        <v/>
      </c>
      <c r="G765" s="57">
        <f>IF(COUNTIF(M:M,Calendar!A765)&gt;0,VLOOKUP(A765,M:P,4,FALSE),VLOOKUP(D765,BusData!$A$3:$D$10,4,FALSE))</f>
        <v/>
      </c>
      <c r="H765" s="11">
        <f>F765/SUMIFS($F$2:$F$9997,$B$2:$B$9997,B765,$C$2:$C$9997,C765)</f>
        <v/>
      </c>
      <c r="I765" s="19" t="n">
        <v>3</v>
      </c>
      <c r="J765" s="57" t="n">
        <v>2</v>
      </c>
    </row>
    <row r="766">
      <c r="A766" s="62" t="n">
        <v>46877</v>
      </c>
      <c r="B766" s="19" t="n">
        <v>2028</v>
      </c>
      <c r="C766" s="19" t="n">
        <v>5</v>
      </c>
      <c r="D766" s="56" t="inlineStr">
        <is>
          <t>Thu</t>
        </is>
      </c>
      <c r="E766" s="56" t="inlineStr">
        <is>
          <t>Week</t>
        </is>
      </c>
      <c r="F766" s="56">
        <f>IF(ForeCalc!$F$1="Staffed Hours",G766,24)</f>
        <v/>
      </c>
      <c r="G766" s="57">
        <f>IF(COUNTIF(M:M,Calendar!A766)&gt;0,VLOOKUP(A766,M:P,4,FALSE),VLOOKUP(D766,BusData!$A$3:$D$10,4,FALSE))</f>
        <v/>
      </c>
      <c r="H766" s="11">
        <f>F766/SUMIFS($F$2:$F$9997,$B$2:$B$9997,B766,$C$2:$C$9997,C766)</f>
        <v/>
      </c>
      <c r="I766" s="19" t="n">
        <v>3</v>
      </c>
      <c r="J766" s="57" t="n">
        <v>2</v>
      </c>
    </row>
    <row r="767">
      <c r="A767" s="62" t="n">
        <v>46878</v>
      </c>
      <c r="B767" s="19" t="n">
        <v>2028</v>
      </c>
      <c r="C767" s="19" t="n">
        <v>5</v>
      </c>
      <c r="D767" s="56" t="inlineStr">
        <is>
          <t>Fri</t>
        </is>
      </c>
      <c r="E767" s="56" t="inlineStr">
        <is>
          <t>Week</t>
        </is>
      </c>
      <c r="F767" s="56">
        <f>IF(ForeCalc!$F$1="Staffed Hours",G767,24)</f>
        <v/>
      </c>
      <c r="G767" s="57">
        <f>IF(COUNTIF(M:M,Calendar!A767)&gt;0,VLOOKUP(A767,M:P,4,FALSE),VLOOKUP(D767,BusData!$A$3:$D$10,4,FALSE))</f>
        <v/>
      </c>
      <c r="H767" s="11">
        <f>F767/SUMIFS($F$2:$F$9997,$B$2:$B$9997,B767,$C$2:$C$9997,C767)</f>
        <v/>
      </c>
      <c r="I767" s="19" t="n">
        <v>3</v>
      </c>
      <c r="J767" s="57" t="n">
        <v>2</v>
      </c>
    </row>
    <row r="768">
      <c r="A768" s="62" t="n">
        <v>46879</v>
      </c>
      <c r="B768" s="19" t="n">
        <v>2028</v>
      </c>
      <c r="C768" s="19" t="n">
        <v>5</v>
      </c>
      <c r="D768" s="56" t="inlineStr">
        <is>
          <t>Sat</t>
        </is>
      </c>
      <c r="E768" s="56" t="inlineStr">
        <is>
          <t>Sat</t>
        </is>
      </c>
      <c r="F768" s="56">
        <f>IF(ForeCalc!$F$1="Staffed Hours",G768,24)</f>
        <v/>
      </c>
      <c r="G768" s="57">
        <f>IF(COUNTIF(M:M,Calendar!A768)&gt;0,VLOOKUP(A768,M:P,4,FALSE),VLOOKUP(D768,BusData!$A$3:$D$10,4,FALSE))</f>
        <v/>
      </c>
      <c r="H768" s="11">
        <f>F768/SUMIFS($F$2:$F$9997,$B$2:$B$9997,B768,$C$2:$C$9997,C768)</f>
        <v/>
      </c>
      <c r="I768" s="19" t="n">
        <v>3</v>
      </c>
      <c r="J768" s="57" t="n">
        <v>2</v>
      </c>
    </row>
    <row r="769">
      <c r="A769" s="62" t="n">
        <v>46880</v>
      </c>
      <c r="B769" s="19" t="n">
        <v>2028</v>
      </c>
      <c r="C769" s="19" t="n">
        <v>5</v>
      </c>
      <c r="D769" s="56" t="inlineStr">
        <is>
          <t>Sun</t>
        </is>
      </c>
      <c r="E769" s="56" t="inlineStr">
        <is>
          <t>Sun</t>
        </is>
      </c>
      <c r="F769" s="56">
        <f>IF(ForeCalc!$F$1="Staffed Hours",G769,24)</f>
        <v/>
      </c>
      <c r="G769" s="57">
        <f>IF(COUNTIF(M:M,Calendar!A769)&gt;0,VLOOKUP(A769,M:P,4,FALSE),VLOOKUP(D769,BusData!$A$3:$D$10,4,FALSE))</f>
        <v/>
      </c>
      <c r="H769" s="11">
        <f>F769/SUMIFS($F$2:$F$9997,$B$2:$B$9997,B769,$C$2:$C$9997,C769)</f>
        <v/>
      </c>
      <c r="I769" s="19" t="n">
        <v>3</v>
      </c>
      <c r="J769" s="57" t="n">
        <v>2</v>
      </c>
    </row>
    <row r="770">
      <c r="A770" s="62" t="n">
        <v>46881</v>
      </c>
      <c r="B770" s="19" t="n">
        <v>2028</v>
      </c>
      <c r="C770" s="19" t="n">
        <v>5</v>
      </c>
      <c r="D770" s="56" t="inlineStr">
        <is>
          <t>Mon</t>
        </is>
      </c>
      <c r="E770" s="56" t="inlineStr">
        <is>
          <t>Week</t>
        </is>
      </c>
      <c r="F770" s="56">
        <f>IF(ForeCalc!$F$1="Staffed Hours",G770,24)</f>
        <v/>
      </c>
      <c r="G770" s="57">
        <f>IF(COUNTIF(M:M,Calendar!A770)&gt;0,VLOOKUP(A770,M:P,4,FALSE),VLOOKUP(D770,BusData!$A$3:$D$10,4,FALSE))</f>
        <v/>
      </c>
      <c r="H770" s="11">
        <f>F770/SUMIFS($F$2:$F$9997,$B$2:$B$9997,B770,$C$2:$C$9997,C770)</f>
        <v/>
      </c>
      <c r="I770" s="19" t="n">
        <v>3</v>
      </c>
      <c r="J770" s="57" t="n">
        <v>2</v>
      </c>
    </row>
    <row r="771">
      <c r="A771" s="62" t="n">
        <v>46882</v>
      </c>
      <c r="B771" s="19" t="n">
        <v>2028</v>
      </c>
      <c r="C771" s="19" t="n">
        <v>5</v>
      </c>
      <c r="D771" s="56" t="inlineStr">
        <is>
          <t>Tue</t>
        </is>
      </c>
      <c r="E771" s="56" t="inlineStr">
        <is>
          <t>Week</t>
        </is>
      </c>
      <c r="F771" s="56">
        <f>IF(ForeCalc!$F$1="Staffed Hours",G771,24)</f>
        <v/>
      </c>
      <c r="G771" s="57">
        <f>IF(COUNTIF(M:M,Calendar!A771)&gt;0,VLOOKUP(A771,M:P,4,FALSE),VLOOKUP(D771,BusData!$A$3:$D$10,4,FALSE))</f>
        <v/>
      </c>
      <c r="H771" s="11">
        <f>F771/SUMIFS($F$2:$F$9997,$B$2:$B$9997,B771,$C$2:$C$9997,C771)</f>
        <v/>
      </c>
      <c r="I771" s="19" t="n">
        <v>3</v>
      </c>
      <c r="J771" s="57" t="n">
        <v>2</v>
      </c>
    </row>
    <row r="772">
      <c r="A772" s="62" t="n">
        <v>46883</v>
      </c>
      <c r="B772" s="19" t="n">
        <v>2028</v>
      </c>
      <c r="C772" s="19" t="n">
        <v>5</v>
      </c>
      <c r="D772" s="56" t="inlineStr">
        <is>
          <t>Wed</t>
        </is>
      </c>
      <c r="E772" s="56" t="inlineStr">
        <is>
          <t>Week</t>
        </is>
      </c>
      <c r="F772" s="56">
        <f>IF(ForeCalc!$F$1="Staffed Hours",G772,24)</f>
        <v/>
      </c>
      <c r="G772" s="57">
        <f>IF(COUNTIF(M:M,Calendar!A772)&gt;0,VLOOKUP(A772,M:P,4,FALSE),VLOOKUP(D772,BusData!$A$3:$D$10,4,FALSE))</f>
        <v/>
      </c>
      <c r="H772" s="11">
        <f>F772/SUMIFS($F$2:$F$9997,$B$2:$B$9997,B772,$C$2:$C$9997,C772)</f>
        <v/>
      </c>
      <c r="I772" s="19" t="n">
        <v>3</v>
      </c>
      <c r="J772" s="57" t="n">
        <v>2</v>
      </c>
    </row>
    <row r="773">
      <c r="A773" s="62" t="n">
        <v>46884</v>
      </c>
      <c r="B773" s="19" t="n">
        <v>2028</v>
      </c>
      <c r="C773" s="19" t="n">
        <v>5</v>
      </c>
      <c r="D773" s="56" t="inlineStr">
        <is>
          <t>Thu</t>
        </is>
      </c>
      <c r="E773" s="56" t="inlineStr">
        <is>
          <t>Week</t>
        </is>
      </c>
      <c r="F773" s="56">
        <f>IF(ForeCalc!$F$1="Staffed Hours",G773,24)</f>
        <v/>
      </c>
      <c r="G773" s="57">
        <f>IF(COUNTIF(M:M,Calendar!A773)&gt;0,VLOOKUP(A773,M:P,4,FALSE),VLOOKUP(D773,BusData!$A$3:$D$10,4,FALSE))</f>
        <v/>
      </c>
      <c r="H773" s="11">
        <f>F773/SUMIFS($F$2:$F$9997,$B$2:$B$9997,B773,$C$2:$C$9997,C773)</f>
        <v/>
      </c>
      <c r="I773" s="19" t="n">
        <v>3</v>
      </c>
      <c r="J773" s="57" t="n">
        <v>2</v>
      </c>
    </row>
    <row r="774">
      <c r="A774" s="62" t="n">
        <v>46885</v>
      </c>
      <c r="B774" s="19" t="n">
        <v>2028</v>
      </c>
      <c r="C774" s="19" t="n">
        <v>5</v>
      </c>
      <c r="D774" s="56" t="inlineStr">
        <is>
          <t>Fri</t>
        </is>
      </c>
      <c r="E774" s="56" t="inlineStr">
        <is>
          <t>Week</t>
        </is>
      </c>
      <c r="F774" s="56">
        <f>IF(ForeCalc!$F$1="Staffed Hours",G774,24)</f>
        <v/>
      </c>
      <c r="G774" s="57">
        <f>IF(COUNTIF(M:M,Calendar!A774)&gt;0,VLOOKUP(A774,M:P,4,FALSE),VLOOKUP(D774,BusData!$A$3:$D$10,4,FALSE))</f>
        <v/>
      </c>
      <c r="H774" s="11">
        <f>F774/SUMIFS($F$2:$F$9997,$B$2:$B$9997,B774,$C$2:$C$9997,C774)</f>
        <v/>
      </c>
      <c r="I774" s="19" t="n">
        <v>3</v>
      </c>
      <c r="J774" s="57" t="n">
        <v>2</v>
      </c>
    </row>
    <row r="775">
      <c r="A775" s="62" t="n">
        <v>46886</v>
      </c>
      <c r="B775" s="19" t="n">
        <v>2028</v>
      </c>
      <c r="C775" s="19" t="n">
        <v>5</v>
      </c>
      <c r="D775" s="56" t="inlineStr">
        <is>
          <t>Sat</t>
        </is>
      </c>
      <c r="E775" s="56" t="inlineStr">
        <is>
          <t>Sat</t>
        </is>
      </c>
      <c r="F775" s="56">
        <f>IF(ForeCalc!$F$1="Staffed Hours",G775,24)</f>
        <v/>
      </c>
      <c r="G775" s="57">
        <f>IF(COUNTIF(M:M,Calendar!A775)&gt;0,VLOOKUP(A775,M:P,4,FALSE),VLOOKUP(D775,BusData!$A$3:$D$10,4,FALSE))</f>
        <v/>
      </c>
      <c r="H775" s="11">
        <f>F775/SUMIFS($F$2:$F$9997,$B$2:$B$9997,B775,$C$2:$C$9997,C775)</f>
        <v/>
      </c>
      <c r="I775" s="19" t="n">
        <v>3</v>
      </c>
      <c r="J775" s="57" t="n">
        <v>2</v>
      </c>
    </row>
    <row r="776">
      <c r="A776" s="62" t="n">
        <v>46887</v>
      </c>
      <c r="B776" s="19" t="n">
        <v>2028</v>
      </c>
      <c r="C776" s="19" t="n">
        <v>5</v>
      </c>
      <c r="D776" s="56" t="inlineStr">
        <is>
          <t>Sun</t>
        </is>
      </c>
      <c r="E776" s="56" t="inlineStr">
        <is>
          <t>Sun</t>
        </is>
      </c>
      <c r="F776" s="56">
        <f>IF(ForeCalc!$F$1="Staffed Hours",G776,24)</f>
        <v/>
      </c>
      <c r="G776" s="57">
        <f>IF(COUNTIF(M:M,Calendar!A776)&gt;0,VLOOKUP(A776,M:P,4,FALSE),VLOOKUP(D776,BusData!$A$3:$D$10,4,FALSE))</f>
        <v/>
      </c>
      <c r="H776" s="11">
        <f>F776/SUMIFS($F$2:$F$9997,$B$2:$B$9997,B776,$C$2:$C$9997,C776)</f>
        <v/>
      </c>
      <c r="I776" s="19" t="n">
        <v>3</v>
      </c>
      <c r="J776" s="57" t="n">
        <v>2</v>
      </c>
    </row>
    <row r="777">
      <c r="A777" s="62" t="n">
        <v>46888</v>
      </c>
      <c r="B777" s="19" t="n">
        <v>2028</v>
      </c>
      <c r="C777" s="19" t="n">
        <v>5</v>
      </c>
      <c r="D777" s="56" t="inlineStr">
        <is>
          <t>Mon</t>
        </is>
      </c>
      <c r="E777" s="56" t="inlineStr">
        <is>
          <t>Week</t>
        </is>
      </c>
      <c r="F777" s="56">
        <f>IF(ForeCalc!$F$1="Staffed Hours",G777,24)</f>
        <v/>
      </c>
      <c r="G777" s="57">
        <f>IF(COUNTIF(M:M,Calendar!A777)&gt;0,VLOOKUP(A777,M:P,4,FALSE),VLOOKUP(D777,BusData!$A$3:$D$10,4,FALSE))</f>
        <v/>
      </c>
      <c r="H777" s="11">
        <f>F777/SUMIFS($F$2:$F$9997,$B$2:$B$9997,B777,$C$2:$C$9997,C777)</f>
        <v/>
      </c>
      <c r="I777" s="19" t="n">
        <v>3</v>
      </c>
      <c r="J777" s="57" t="n">
        <v>2</v>
      </c>
    </row>
    <row r="778">
      <c r="A778" s="62" t="n">
        <v>46889</v>
      </c>
      <c r="B778" s="19" t="n">
        <v>2028</v>
      </c>
      <c r="C778" s="19" t="n">
        <v>5</v>
      </c>
      <c r="D778" s="56" t="inlineStr">
        <is>
          <t>Tue</t>
        </is>
      </c>
      <c r="E778" s="56" t="inlineStr">
        <is>
          <t>Week</t>
        </is>
      </c>
      <c r="F778" s="56">
        <f>IF(ForeCalc!$F$1="Staffed Hours",G778,24)</f>
        <v/>
      </c>
      <c r="G778" s="57">
        <f>IF(COUNTIF(M:M,Calendar!A778)&gt;0,VLOOKUP(A778,M:P,4,FALSE),VLOOKUP(D778,BusData!$A$3:$D$10,4,FALSE))</f>
        <v/>
      </c>
      <c r="H778" s="11">
        <f>F778/SUMIFS($F$2:$F$9997,$B$2:$B$9997,B778,$C$2:$C$9997,C778)</f>
        <v/>
      </c>
      <c r="I778" s="19" t="n">
        <v>3</v>
      </c>
      <c r="J778" s="57" t="n">
        <v>2</v>
      </c>
    </row>
    <row r="779">
      <c r="A779" s="62" t="n">
        <v>46890</v>
      </c>
      <c r="B779" s="19" t="n">
        <v>2028</v>
      </c>
      <c r="C779" s="19" t="n">
        <v>5</v>
      </c>
      <c r="D779" s="56" t="inlineStr">
        <is>
          <t>Wed</t>
        </is>
      </c>
      <c r="E779" s="56" t="inlineStr">
        <is>
          <t>Week</t>
        </is>
      </c>
      <c r="F779" s="56">
        <f>IF(ForeCalc!$F$1="Staffed Hours",G779,24)</f>
        <v/>
      </c>
      <c r="G779" s="57">
        <f>IF(COUNTIF(M:M,Calendar!A779)&gt;0,VLOOKUP(A779,M:P,4,FALSE),VLOOKUP(D779,BusData!$A$3:$D$10,4,FALSE))</f>
        <v/>
      </c>
      <c r="H779" s="11">
        <f>F779/SUMIFS($F$2:$F$9997,$B$2:$B$9997,B779,$C$2:$C$9997,C779)</f>
        <v/>
      </c>
      <c r="I779" s="19" t="n">
        <v>3</v>
      </c>
      <c r="J779" s="57" t="n">
        <v>2</v>
      </c>
    </row>
    <row r="780">
      <c r="A780" s="62" t="n">
        <v>46891</v>
      </c>
      <c r="B780" s="19" t="n">
        <v>2028</v>
      </c>
      <c r="C780" s="19" t="n">
        <v>5</v>
      </c>
      <c r="D780" s="56" t="inlineStr">
        <is>
          <t>Thu</t>
        </is>
      </c>
      <c r="E780" s="56" t="inlineStr">
        <is>
          <t>Week</t>
        </is>
      </c>
      <c r="F780" s="56">
        <f>IF(ForeCalc!$F$1="Staffed Hours",G780,24)</f>
        <v/>
      </c>
      <c r="G780" s="57">
        <f>IF(COUNTIF(M:M,Calendar!A780)&gt;0,VLOOKUP(A780,M:P,4,FALSE),VLOOKUP(D780,BusData!$A$3:$D$10,4,FALSE))</f>
        <v/>
      </c>
      <c r="H780" s="11">
        <f>F780/SUMIFS($F$2:$F$9997,$B$2:$B$9997,B780,$C$2:$C$9997,C780)</f>
        <v/>
      </c>
      <c r="I780" s="19" t="n">
        <v>3</v>
      </c>
      <c r="J780" s="57" t="n">
        <v>2</v>
      </c>
    </row>
    <row r="781">
      <c r="A781" s="62" t="n">
        <v>46892</v>
      </c>
      <c r="B781" s="19" t="n">
        <v>2028</v>
      </c>
      <c r="C781" s="19" t="n">
        <v>5</v>
      </c>
      <c r="D781" s="56" t="inlineStr">
        <is>
          <t>Fri</t>
        </is>
      </c>
      <c r="E781" s="56" t="inlineStr">
        <is>
          <t>Week</t>
        </is>
      </c>
      <c r="F781" s="56">
        <f>IF(ForeCalc!$F$1="Staffed Hours",G781,24)</f>
        <v/>
      </c>
      <c r="G781" s="57">
        <f>IF(COUNTIF(M:M,Calendar!A781)&gt;0,VLOOKUP(A781,M:P,4,FALSE),VLOOKUP(D781,BusData!$A$3:$D$10,4,FALSE))</f>
        <v/>
      </c>
      <c r="H781" s="11">
        <f>F781/SUMIFS($F$2:$F$9997,$B$2:$B$9997,B781,$C$2:$C$9997,C781)</f>
        <v/>
      </c>
      <c r="I781" s="19" t="n">
        <v>3</v>
      </c>
      <c r="J781" s="57" t="n">
        <v>2</v>
      </c>
    </row>
    <row r="782">
      <c r="A782" s="62" t="n">
        <v>46893</v>
      </c>
      <c r="B782" s="19" t="n">
        <v>2028</v>
      </c>
      <c r="C782" s="19" t="n">
        <v>5</v>
      </c>
      <c r="D782" s="56" t="inlineStr">
        <is>
          <t>Sat</t>
        </is>
      </c>
      <c r="E782" s="56" t="inlineStr">
        <is>
          <t>Sat</t>
        </is>
      </c>
      <c r="F782" s="56">
        <f>IF(ForeCalc!$F$1="Staffed Hours",G782,24)</f>
        <v/>
      </c>
      <c r="G782" s="57">
        <f>IF(COUNTIF(M:M,Calendar!A782)&gt;0,VLOOKUP(A782,M:P,4,FALSE),VLOOKUP(D782,BusData!$A$3:$D$10,4,FALSE))</f>
        <v/>
      </c>
      <c r="H782" s="11">
        <f>F782/SUMIFS($F$2:$F$9997,$B$2:$B$9997,B782,$C$2:$C$9997,C782)</f>
        <v/>
      </c>
      <c r="I782" s="19" t="n">
        <v>3</v>
      </c>
      <c r="J782" s="57" t="n">
        <v>2</v>
      </c>
    </row>
    <row r="783">
      <c r="A783" s="62" t="n">
        <v>46894</v>
      </c>
      <c r="B783" s="19" t="n">
        <v>2028</v>
      </c>
      <c r="C783" s="19" t="n">
        <v>5</v>
      </c>
      <c r="D783" s="56" t="inlineStr">
        <is>
          <t>Sun</t>
        </is>
      </c>
      <c r="E783" s="56" t="inlineStr">
        <is>
          <t>Sun</t>
        </is>
      </c>
      <c r="F783" s="56">
        <f>IF(ForeCalc!$F$1="Staffed Hours",G783,24)</f>
        <v/>
      </c>
      <c r="G783" s="57">
        <f>IF(COUNTIF(M:M,Calendar!A783)&gt;0,VLOOKUP(A783,M:P,4,FALSE),VLOOKUP(D783,BusData!$A$3:$D$10,4,FALSE))</f>
        <v/>
      </c>
      <c r="H783" s="11">
        <f>F783/SUMIFS($F$2:$F$9997,$B$2:$B$9997,B783,$C$2:$C$9997,C783)</f>
        <v/>
      </c>
      <c r="I783" s="19" t="n">
        <v>3</v>
      </c>
      <c r="J783" s="57" t="n">
        <v>2</v>
      </c>
    </row>
    <row r="784">
      <c r="A784" s="62" t="n">
        <v>46895</v>
      </c>
      <c r="B784" s="19" t="n">
        <v>2028</v>
      </c>
      <c r="C784" s="19" t="n">
        <v>5</v>
      </c>
      <c r="D784" s="56" t="inlineStr">
        <is>
          <t>Mon</t>
        </is>
      </c>
      <c r="E784" s="56" t="inlineStr">
        <is>
          <t>Week</t>
        </is>
      </c>
      <c r="F784" s="56">
        <f>IF(ForeCalc!$F$1="Staffed Hours",G784,24)</f>
        <v/>
      </c>
      <c r="G784" s="57">
        <f>IF(COUNTIF(M:M,Calendar!A784)&gt;0,VLOOKUP(A784,M:P,4,FALSE),VLOOKUP(D784,BusData!$A$3:$D$10,4,FALSE))</f>
        <v/>
      </c>
      <c r="H784" s="11">
        <f>F784/SUMIFS($F$2:$F$9997,$B$2:$B$9997,B784,$C$2:$C$9997,C784)</f>
        <v/>
      </c>
      <c r="I784" s="19" t="n">
        <v>3</v>
      </c>
      <c r="J784" s="57" t="n">
        <v>2</v>
      </c>
    </row>
    <row r="785">
      <c r="A785" s="62" t="n">
        <v>46896</v>
      </c>
      <c r="B785" s="19" t="n">
        <v>2028</v>
      </c>
      <c r="C785" s="19" t="n">
        <v>5</v>
      </c>
      <c r="D785" s="56" t="inlineStr">
        <is>
          <t>Tue</t>
        </is>
      </c>
      <c r="E785" s="56" t="inlineStr">
        <is>
          <t>Week</t>
        </is>
      </c>
      <c r="F785" s="56">
        <f>IF(ForeCalc!$F$1="Staffed Hours",G785,24)</f>
        <v/>
      </c>
      <c r="G785" s="57">
        <f>IF(COUNTIF(M:M,Calendar!A785)&gt;0,VLOOKUP(A785,M:P,4,FALSE),VLOOKUP(D785,BusData!$A$3:$D$10,4,FALSE))</f>
        <v/>
      </c>
      <c r="H785" s="11">
        <f>F785/SUMIFS($F$2:$F$9997,$B$2:$B$9997,B785,$C$2:$C$9997,C785)</f>
        <v/>
      </c>
      <c r="I785" s="19" t="n">
        <v>3</v>
      </c>
      <c r="J785" s="57" t="n">
        <v>2</v>
      </c>
    </row>
    <row r="786">
      <c r="A786" s="62" t="n">
        <v>46897</v>
      </c>
      <c r="B786" s="19" t="n">
        <v>2028</v>
      </c>
      <c r="C786" s="19" t="n">
        <v>5</v>
      </c>
      <c r="D786" s="56" t="inlineStr">
        <is>
          <t>Wed</t>
        </is>
      </c>
      <c r="E786" s="56" t="inlineStr">
        <is>
          <t>Week</t>
        </is>
      </c>
      <c r="F786" s="56">
        <f>IF(ForeCalc!$F$1="Staffed Hours",G786,24)</f>
        <v/>
      </c>
      <c r="G786" s="57">
        <f>IF(COUNTIF(M:M,Calendar!A786)&gt;0,VLOOKUP(A786,M:P,4,FALSE),VLOOKUP(D786,BusData!$A$3:$D$10,4,FALSE))</f>
        <v/>
      </c>
      <c r="H786" s="11">
        <f>F786/SUMIFS($F$2:$F$9997,$B$2:$B$9997,B786,$C$2:$C$9997,C786)</f>
        <v/>
      </c>
      <c r="I786" s="19" t="n">
        <v>3</v>
      </c>
      <c r="J786" s="57" t="n">
        <v>2</v>
      </c>
    </row>
    <row r="787">
      <c r="A787" s="62" t="n">
        <v>46898</v>
      </c>
      <c r="B787" s="19" t="n">
        <v>2028</v>
      </c>
      <c r="C787" s="19" t="n">
        <v>5</v>
      </c>
      <c r="D787" s="56" t="inlineStr">
        <is>
          <t>Thu</t>
        </is>
      </c>
      <c r="E787" s="56" t="inlineStr">
        <is>
          <t>Week</t>
        </is>
      </c>
      <c r="F787" s="56">
        <f>IF(ForeCalc!$F$1="Staffed Hours",G787,24)</f>
        <v/>
      </c>
      <c r="G787" s="57">
        <f>IF(COUNTIF(M:M,Calendar!A787)&gt;0,VLOOKUP(A787,M:P,4,FALSE),VLOOKUP(D787,BusData!$A$3:$D$10,4,FALSE))</f>
        <v/>
      </c>
      <c r="H787" s="11">
        <f>F787/SUMIFS($F$2:$F$9997,$B$2:$B$9997,B787,$C$2:$C$9997,C787)</f>
        <v/>
      </c>
      <c r="I787" s="19" t="n">
        <v>3</v>
      </c>
      <c r="J787" s="57" t="n">
        <v>2</v>
      </c>
    </row>
    <row r="788">
      <c r="A788" s="62" t="n">
        <v>46899</v>
      </c>
      <c r="B788" s="19" t="n">
        <v>2028</v>
      </c>
      <c r="C788" s="19" t="n">
        <v>5</v>
      </c>
      <c r="D788" s="56" t="inlineStr">
        <is>
          <t>Fri</t>
        </is>
      </c>
      <c r="E788" s="56" t="inlineStr">
        <is>
          <t>Week</t>
        </is>
      </c>
      <c r="F788" s="56">
        <f>IF(ForeCalc!$F$1="Staffed Hours",G788,24)</f>
        <v/>
      </c>
      <c r="G788" s="57">
        <f>IF(COUNTIF(M:M,Calendar!A788)&gt;0,VLOOKUP(A788,M:P,4,FALSE),VLOOKUP(D788,BusData!$A$3:$D$10,4,FALSE))</f>
        <v/>
      </c>
      <c r="H788" s="11">
        <f>F788/SUMIFS($F$2:$F$9997,$B$2:$B$9997,B788,$C$2:$C$9997,C788)</f>
        <v/>
      </c>
      <c r="I788" s="19" t="n">
        <v>3</v>
      </c>
      <c r="J788" s="57" t="n">
        <v>2</v>
      </c>
    </row>
    <row r="789">
      <c r="A789" s="62" t="n">
        <v>46900</v>
      </c>
      <c r="B789" s="19" t="n">
        <v>2028</v>
      </c>
      <c r="C789" s="19" t="n">
        <v>5</v>
      </c>
      <c r="D789" s="56" t="inlineStr">
        <is>
          <t>Sat</t>
        </is>
      </c>
      <c r="E789" s="56" t="inlineStr">
        <is>
          <t>Sat</t>
        </is>
      </c>
      <c r="F789" s="56">
        <f>IF(ForeCalc!$F$1="Staffed Hours",G789,24)</f>
        <v/>
      </c>
      <c r="G789" s="57">
        <f>IF(COUNTIF(M:M,Calendar!A789)&gt;0,VLOOKUP(A789,M:P,4,FALSE),VLOOKUP(D789,BusData!$A$3:$D$10,4,FALSE))</f>
        <v/>
      </c>
      <c r="H789" s="11">
        <f>F789/SUMIFS($F$2:$F$9997,$B$2:$B$9997,B789,$C$2:$C$9997,C789)</f>
        <v/>
      </c>
      <c r="I789" s="19" t="n">
        <v>3</v>
      </c>
      <c r="J789" s="57" t="n">
        <v>2</v>
      </c>
    </row>
    <row r="790">
      <c r="A790" s="62" t="n">
        <v>46901</v>
      </c>
      <c r="B790" s="19" t="n">
        <v>2028</v>
      </c>
      <c r="C790" s="19" t="n">
        <v>5</v>
      </c>
      <c r="D790" s="56" t="inlineStr">
        <is>
          <t>Sun</t>
        </is>
      </c>
      <c r="E790" s="56" t="inlineStr">
        <is>
          <t>Sun</t>
        </is>
      </c>
      <c r="F790" s="56">
        <f>IF(ForeCalc!$F$1="Staffed Hours",G790,24)</f>
        <v/>
      </c>
      <c r="G790" s="57">
        <f>IF(COUNTIF(M:M,Calendar!A790)&gt;0,VLOOKUP(A790,M:P,4,FALSE),VLOOKUP(D790,BusData!$A$3:$D$10,4,FALSE))</f>
        <v/>
      </c>
      <c r="H790" s="11">
        <f>F790/SUMIFS($F$2:$F$9997,$B$2:$B$9997,B790,$C$2:$C$9997,C790)</f>
        <v/>
      </c>
      <c r="I790" s="19" t="n">
        <v>3</v>
      </c>
      <c r="J790" s="57" t="n">
        <v>2</v>
      </c>
    </row>
    <row r="791">
      <c r="A791" s="62" t="n">
        <v>46902</v>
      </c>
      <c r="B791" s="19" t="n">
        <v>2028</v>
      </c>
      <c r="C791" s="19" t="n">
        <v>5</v>
      </c>
      <c r="D791" s="56" t="inlineStr">
        <is>
          <t>Mon</t>
        </is>
      </c>
      <c r="E791" s="56" t="inlineStr">
        <is>
          <t>Week</t>
        </is>
      </c>
      <c r="F791" s="56">
        <f>IF(ForeCalc!$F$1="Staffed Hours",G791,24)</f>
        <v/>
      </c>
      <c r="G791" s="57">
        <f>IF(COUNTIF(M:M,Calendar!A791)&gt;0,VLOOKUP(A791,M:P,4,FALSE),VLOOKUP(D791,BusData!$A$3:$D$10,4,FALSE))</f>
        <v/>
      </c>
      <c r="H791" s="11">
        <f>F791/SUMIFS($F$2:$F$9997,$B$2:$B$9997,B791,$C$2:$C$9997,C791)</f>
        <v/>
      </c>
      <c r="I791" s="19" t="n">
        <v>3</v>
      </c>
      <c r="J791" s="57" t="n">
        <v>2</v>
      </c>
    </row>
    <row r="792">
      <c r="A792" s="62" t="n">
        <v>46903</v>
      </c>
      <c r="B792" s="19" t="n">
        <v>2028</v>
      </c>
      <c r="C792" s="19" t="n">
        <v>5</v>
      </c>
      <c r="D792" s="56" t="inlineStr">
        <is>
          <t>Tue</t>
        </is>
      </c>
      <c r="E792" s="56" t="inlineStr">
        <is>
          <t>Week</t>
        </is>
      </c>
      <c r="F792" s="56">
        <f>IF(ForeCalc!$F$1="Staffed Hours",G792,24)</f>
        <v/>
      </c>
      <c r="G792" s="57">
        <f>IF(COUNTIF(M:M,Calendar!A792)&gt;0,VLOOKUP(A792,M:P,4,FALSE),VLOOKUP(D792,BusData!$A$3:$D$10,4,FALSE))</f>
        <v/>
      </c>
      <c r="H792" s="11">
        <f>F792/SUMIFS($F$2:$F$9997,$B$2:$B$9997,B792,$C$2:$C$9997,C792)</f>
        <v/>
      </c>
      <c r="I792" s="19" t="n">
        <v>3</v>
      </c>
      <c r="J792" s="57" t="n">
        <v>2</v>
      </c>
    </row>
    <row r="793">
      <c r="A793" s="62" t="n">
        <v>46904</v>
      </c>
      <c r="B793" s="19" t="n">
        <v>2028</v>
      </c>
      <c r="C793" s="19" t="n">
        <v>5</v>
      </c>
      <c r="D793" s="56" t="inlineStr">
        <is>
          <t>Wed</t>
        </is>
      </c>
      <c r="E793" s="56" t="inlineStr">
        <is>
          <t>Week</t>
        </is>
      </c>
      <c r="F793" s="56">
        <f>IF(ForeCalc!$F$1="Staffed Hours",G793,24)</f>
        <v/>
      </c>
      <c r="G793" s="57">
        <f>IF(COUNTIF(M:M,Calendar!A793)&gt;0,VLOOKUP(A793,M:P,4,FALSE),VLOOKUP(D793,BusData!$A$3:$D$10,4,FALSE))</f>
        <v/>
      </c>
      <c r="H793" s="11">
        <f>F793/SUMIFS($F$2:$F$9997,$B$2:$B$9997,B793,$C$2:$C$9997,C793)</f>
        <v/>
      </c>
      <c r="I793" s="19" t="n">
        <v>3</v>
      </c>
      <c r="J793" s="57" t="n">
        <v>2</v>
      </c>
    </row>
    <row r="794">
      <c r="A794" s="62" t="n">
        <v>46905</v>
      </c>
      <c r="B794" s="19" t="n">
        <v>2028</v>
      </c>
      <c r="C794" s="19" t="n">
        <v>6</v>
      </c>
      <c r="D794" s="56" t="inlineStr">
        <is>
          <t>Thu</t>
        </is>
      </c>
      <c r="E794" s="56" t="inlineStr">
        <is>
          <t>Week</t>
        </is>
      </c>
      <c r="F794" s="56">
        <f>IF(ForeCalc!$F$1="Staffed Hours",G794,24)</f>
        <v/>
      </c>
      <c r="G794" s="57">
        <f>IF(COUNTIF(M:M,Calendar!A794)&gt;0,VLOOKUP(A794,M:P,4,FALSE),VLOOKUP(D794,BusData!$A$3:$D$10,4,FALSE))</f>
        <v/>
      </c>
      <c r="H794" s="11">
        <f>F794/SUMIFS($F$2:$F$9997,$B$2:$B$9997,B794,$C$2:$C$9997,C794)</f>
        <v/>
      </c>
      <c r="I794" s="19" t="n">
        <v>3</v>
      </c>
      <c r="J794" s="57" t="n">
        <v>3</v>
      </c>
    </row>
    <row r="795">
      <c r="A795" s="62" t="n">
        <v>46906</v>
      </c>
      <c r="B795" s="19" t="n">
        <v>2028</v>
      </c>
      <c r="C795" s="19" t="n">
        <v>6</v>
      </c>
      <c r="D795" s="56" t="inlineStr">
        <is>
          <t>Fri</t>
        </is>
      </c>
      <c r="E795" s="56" t="inlineStr">
        <is>
          <t>Week</t>
        </is>
      </c>
      <c r="F795" s="56">
        <f>IF(ForeCalc!$F$1="Staffed Hours",G795,24)</f>
        <v/>
      </c>
      <c r="G795" s="57">
        <f>IF(COUNTIF(M:M,Calendar!A795)&gt;0,VLOOKUP(A795,M:P,4,FALSE),VLOOKUP(D795,BusData!$A$3:$D$10,4,FALSE))</f>
        <v/>
      </c>
      <c r="H795" s="11">
        <f>F795/SUMIFS($F$2:$F$9997,$B$2:$B$9997,B795,$C$2:$C$9997,C795)</f>
        <v/>
      </c>
      <c r="I795" s="19" t="n">
        <v>3</v>
      </c>
      <c r="J795" s="57" t="n">
        <v>3</v>
      </c>
    </row>
    <row r="796">
      <c r="A796" s="62" t="n">
        <v>46907</v>
      </c>
      <c r="B796" s="19" t="n">
        <v>2028</v>
      </c>
      <c r="C796" s="19" t="n">
        <v>6</v>
      </c>
      <c r="D796" s="56" t="inlineStr">
        <is>
          <t>Sat</t>
        </is>
      </c>
      <c r="E796" s="56" t="inlineStr">
        <is>
          <t>Sat</t>
        </is>
      </c>
      <c r="F796" s="56">
        <f>IF(ForeCalc!$F$1="Staffed Hours",G796,24)</f>
        <v/>
      </c>
      <c r="G796" s="57">
        <f>IF(COUNTIF(M:M,Calendar!A796)&gt;0,VLOOKUP(A796,M:P,4,FALSE),VLOOKUP(D796,BusData!$A$3:$D$10,4,FALSE))</f>
        <v/>
      </c>
      <c r="H796" s="11">
        <f>F796/SUMIFS($F$2:$F$9997,$B$2:$B$9997,B796,$C$2:$C$9997,C796)</f>
        <v/>
      </c>
      <c r="I796" s="19" t="n">
        <v>3</v>
      </c>
      <c r="J796" s="57" t="n">
        <v>3</v>
      </c>
    </row>
    <row r="797">
      <c r="A797" s="62" t="n">
        <v>46908</v>
      </c>
      <c r="B797" s="19" t="n">
        <v>2028</v>
      </c>
      <c r="C797" s="19" t="n">
        <v>6</v>
      </c>
      <c r="D797" s="56" t="inlineStr">
        <is>
          <t>Sun</t>
        </is>
      </c>
      <c r="E797" s="56" t="inlineStr">
        <is>
          <t>Sun</t>
        </is>
      </c>
      <c r="F797" s="56">
        <f>IF(ForeCalc!$F$1="Staffed Hours",G797,24)</f>
        <v/>
      </c>
      <c r="G797" s="57">
        <f>IF(COUNTIF(M:M,Calendar!A797)&gt;0,VLOOKUP(A797,M:P,4,FALSE),VLOOKUP(D797,BusData!$A$3:$D$10,4,FALSE))</f>
        <v/>
      </c>
      <c r="H797" s="11">
        <f>F797/SUMIFS($F$2:$F$9997,$B$2:$B$9997,B797,$C$2:$C$9997,C797)</f>
        <v/>
      </c>
      <c r="I797" s="19" t="n">
        <v>3</v>
      </c>
      <c r="J797" s="57" t="n">
        <v>3</v>
      </c>
    </row>
    <row r="798">
      <c r="A798" s="62" t="n">
        <v>46909</v>
      </c>
      <c r="B798" s="19" t="n">
        <v>2028</v>
      </c>
      <c r="C798" s="19" t="n">
        <v>6</v>
      </c>
      <c r="D798" s="56" t="inlineStr">
        <is>
          <t>Mon</t>
        </is>
      </c>
      <c r="E798" s="56" t="inlineStr">
        <is>
          <t>Week</t>
        </is>
      </c>
      <c r="F798" s="56">
        <f>IF(ForeCalc!$F$1="Staffed Hours",G798,24)</f>
        <v/>
      </c>
      <c r="G798" s="57">
        <f>IF(COUNTIF(M:M,Calendar!A798)&gt;0,VLOOKUP(A798,M:P,4,FALSE),VLOOKUP(D798,BusData!$A$3:$D$10,4,FALSE))</f>
        <v/>
      </c>
      <c r="H798" s="11">
        <f>F798/SUMIFS($F$2:$F$9997,$B$2:$B$9997,B798,$C$2:$C$9997,C798)</f>
        <v/>
      </c>
      <c r="I798" s="19" t="n">
        <v>3</v>
      </c>
      <c r="J798" s="57" t="n">
        <v>3</v>
      </c>
    </row>
    <row r="799">
      <c r="A799" s="62" t="n">
        <v>46910</v>
      </c>
      <c r="B799" s="19" t="n">
        <v>2028</v>
      </c>
      <c r="C799" s="19" t="n">
        <v>6</v>
      </c>
      <c r="D799" s="56" t="inlineStr">
        <is>
          <t>Tue</t>
        </is>
      </c>
      <c r="E799" s="56" t="inlineStr">
        <is>
          <t>Week</t>
        </is>
      </c>
      <c r="F799" s="56">
        <f>IF(ForeCalc!$F$1="Staffed Hours",G799,24)</f>
        <v/>
      </c>
      <c r="G799" s="57">
        <f>IF(COUNTIF(M:M,Calendar!A799)&gt;0,VLOOKUP(A799,M:P,4,FALSE),VLOOKUP(D799,BusData!$A$3:$D$10,4,FALSE))</f>
        <v/>
      </c>
      <c r="H799" s="11">
        <f>F799/SUMIFS($F$2:$F$9997,$B$2:$B$9997,B799,$C$2:$C$9997,C799)</f>
        <v/>
      </c>
      <c r="I799" s="19" t="n">
        <v>3</v>
      </c>
      <c r="J799" s="57" t="n">
        <v>3</v>
      </c>
    </row>
    <row r="800">
      <c r="A800" s="62" t="n">
        <v>46911</v>
      </c>
      <c r="B800" s="19" t="n">
        <v>2028</v>
      </c>
      <c r="C800" s="19" t="n">
        <v>6</v>
      </c>
      <c r="D800" s="56" t="inlineStr">
        <is>
          <t>Wed</t>
        </is>
      </c>
      <c r="E800" s="56" t="inlineStr">
        <is>
          <t>Week</t>
        </is>
      </c>
      <c r="F800" s="56">
        <f>IF(ForeCalc!$F$1="Staffed Hours",G800,24)</f>
        <v/>
      </c>
      <c r="G800" s="57">
        <f>IF(COUNTIF(M:M,Calendar!A800)&gt;0,VLOOKUP(A800,M:P,4,FALSE),VLOOKUP(D800,BusData!$A$3:$D$10,4,FALSE))</f>
        <v/>
      </c>
      <c r="H800" s="11">
        <f>F800/SUMIFS($F$2:$F$9997,$B$2:$B$9997,B800,$C$2:$C$9997,C800)</f>
        <v/>
      </c>
      <c r="I800" s="19" t="n">
        <v>3</v>
      </c>
      <c r="J800" s="57" t="n">
        <v>3</v>
      </c>
    </row>
    <row r="801">
      <c r="A801" s="62" t="n">
        <v>46912</v>
      </c>
      <c r="B801" s="19" t="n">
        <v>2028</v>
      </c>
      <c r="C801" s="19" t="n">
        <v>6</v>
      </c>
      <c r="D801" s="56" t="inlineStr">
        <is>
          <t>Thu</t>
        </is>
      </c>
      <c r="E801" s="56" t="inlineStr">
        <is>
          <t>Week</t>
        </is>
      </c>
      <c r="F801" s="56">
        <f>IF(ForeCalc!$F$1="Staffed Hours",G801,24)</f>
        <v/>
      </c>
      <c r="G801" s="57">
        <f>IF(COUNTIF(M:M,Calendar!A801)&gt;0,VLOOKUP(A801,M:P,4,FALSE),VLOOKUP(D801,BusData!$A$3:$D$10,4,FALSE))</f>
        <v/>
      </c>
      <c r="H801" s="11">
        <f>F801/SUMIFS($F$2:$F$9997,$B$2:$B$9997,B801,$C$2:$C$9997,C801)</f>
        <v/>
      </c>
      <c r="I801" s="19" t="n">
        <v>3</v>
      </c>
      <c r="J801" s="57" t="n">
        <v>3</v>
      </c>
    </row>
    <row r="802">
      <c r="A802" s="62" t="n">
        <v>46913</v>
      </c>
      <c r="B802" s="19" t="n">
        <v>2028</v>
      </c>
      <c r="C802" s="19" t="n">
        <v>6</v>
      </c>
      <c r="D802" s="56" t="inlineStr">
        <is>
          <t>Fri</t>
        </is>
      </c>
      <c r="E802" s="56" t="inlineStr">
        <is>
          <t>Week</t>
        </is>
      </c>
      <c r="F802" s="56">
        <f>IF(ForeCalc!$F$1="Staffed Hours",G802,24)</f>
        <v/>
      </c>
      <c r="G802" s="57">
        <f>IF(COUNTIF(M:M,Calendar!A802)&gt;0,VLOOKUP(A802,M:P,4,FALSE),VLOOKUP(D802,BusData!$A$3:$D$10,4,FALSE))</f>
        <v/>
      </c>
      <c r="H802" s="11">
        <f>F802/SUMIFS($F$2:$F$9997,$B$2:$B$9997,B802,$C$2:$C$9997,C802)</f>
        <v/>
      </c>
      <c r="I802" s="19" t="n">
        <v>3</v>
      </c>
      <c r="J802" s="57" t="n">
        <v>3</v>
      </c>
    </row>
    <row r="803">
      <c r="A803" s="62" t="n">
        <v>46914</v>
      </c>
      <c r="B803" s="19" t="n">
        <v>2028</v>
      </c>
      <c r="C803" s="19" t="n">
        <v>6</v>
      </c>
      <c r="D803" s="56" t="inlineStr">
        <is>
          <t>Sat</t>
        </is>
      </c>
      <c r="E803" s="56" t="inlineStr">
        <is>
          <t>Sat</t>
        </is>
      </c>
      <c r="F803" s="56">
        <f>IF(ForeCalc!$F$1="Staffed Hours",G803,24)</f>
        <v/>
      </c>
      <c r="G803" s="57">
        <f>IF(COUNTIF(M:M,Calendar!A803)&gt;0,VLOOKUP(A803,M:P,4,FALSE),VLOOKUP(D803,BusData!$A$3:$D$10,4,FALSE))</f>
        <v/>
      </c>
      <c r="H803" s="11">
        <f>F803/SUMIFS($F$2:$F$9997,$B$2:$B$9997,B803,$C$2:$C$9997,C803)</f>
        <v/>
      </c>
      <c r="I803" s="19" t="n">
        <v>3</v>
      </c>
      <c r="J803" s="57" t="n">
        <v>3</v>
      </c>
    </row>
    <row r="804">
      <c r="A804" s="62" t="n">
        <v>46915</v>
      </c>
      <c r="B804" s="19" t="n">
        <v>2028</v>
      </c>
      <c r="C804" s="19" t="n">
        <v>6</v>
      </c>
      <c r="D804" s="56" t="inlineStr">
        <is>
          <t>Sun</t>
        </is>
      </c>
      <c r="E804" s="56" t="inlineStr">
        <is>
          <t>Sun</t>
        </is>
      </c>
      <c r="F804" s="56">
        <f>IF(ForeCalc!$F$1="Staffed Hours",G804,24)</f>
        <v/>
      </c>
      <c r="G804" s="57">
        <f>IF(COUNTIF(M:M,Calendar!A804)&gt;0,VLOOKUP(A804,M:P,4,FALSE),VLOOKUP(D804,BusData!$A$3:$D$10,4,FALSE))</f>
        <v/>
      </c>
      <c r="H804" s="11">
        <f>F804/SUMIFS($F$2:$F$9997,$B$2:$B$9997,B804,$C$2:$C$9997,C804)</f>
        <v/>
      </c>
      <c r="I804" s="19" t="n">
        <v>3</v>
      </c>
      <c r="J804" s="57" t="n">
        <v>3</v>
      </c>
    </row>
    <row r="805">
      <c r="A805" s="62" t="n">
        <v>46916</v>
      </c>
      <c r="B805" s="19" t="n">
        <v>2028</v>
      </c>
      <c r="C805" s="19" t="n">
        <v>6</v>
      </c>
      <c r="D805" s="56" t="inlineStr">
        <is>
          <t>Mon</t>
        </is>
      </c>
      <c r="E805" s="56" t="inlineStr">
        <is>
          <t>Week</t>
        </is>
      </c>
      <c r="F805" s="56">
        <f>IF(ForeCalc!$F$1="Staffed Hours",G805,24)</f>
        <v/>
      </c>
      <c r="G805" s="57">
        <f>IF(COUNTIF(M:M,Calendar!A805)&gt;0,VLOOKUP(A805,M:P,4,FALSE),VLOOKUP(D805,BusData!$A$3:$D$10,4,FALSE))</f>
        <v/>
      </c>
      <c r="H805" s="11">
        <f>F805/SUMIFS($F$2:$F$9997,$B$2:$B$9997,B805,$C$2:$C$9997,C805)</f>
        <v/>
      </c>
      <c r="I805" s="19" t="n">
        <v>3</v>
      </c>
      <c r="J805" s="57" t="n">
        <v>3</v>
      </c>
    </row>
    <row r="806">
      <c r="A806" s="62" t="n">
        <v>46917</v>
      </c>
      <c r="B806" s="19" t="n">
        <v>2028</v>
      </c>
      <c r="C806" s="19" t="n">
        <v>6</v>
      </c>
      <c r="D806" s="56" t="inlineStr">
        <is>
          <t>Tue</t>
        </is>
      </c>
      <c r="E806" s="56" t="inlineStr">
        <is>
          <t>Week</t>
        </is>
      </c>
      <c r="F806" s="56">
        <f>IF(ForeCalc!$F$1="Staffed Hours",G806,24)</f>
        <v/>
      </c>
      <c r="G806" s="57">
        <f>IF(COUNTIF(M:M,Calendar!A806)&gt;0,VLOOKUP(A806,M:P,4,FALSE),VLOOKUP(D806,BusData!$A$3:$D$10,4,FALSE))</f>
        <v/>
      </c>
      <c r="H806" s="11">
        <f>F806/SUMIFS($F$2:$F$9997,$B$2:$B$9997,B806,$C$2:$C$9997,C806)</f>
        <v/>
      </c>
      <c r="I806" s="19" t="n">
        <v>3</v>
      </c>
      <c r="J806" s="57" t="n">
        <v>3</v>
      </c>
    </row>
    <row r="807">
      <c r="A807" s="62" t="n">
        <v>46918</v>
      </c>
      <c r="B807" s="19" t="n">
        <v>2028</v>
      </c>
      <c r="C807" s="19" t="n">
        <v>6</v>
      </c>
      <c r="D807" s="56" t="inlineStr">
        <is>
          <t>Wed</t>
        </is>
      </c>
      <c r="E807" s="56" t="inlineStr">
        <is>
          <t>Week</t>
        </is>
      </c>
      <c r="F807" s="56">
        <f>IF(ForeCalc!$F$1="Staffed Hours",G807,24)</f>
        <v/>
      </c>
      <c r="G807" s="57">
        <f>IF(COUNTIF(M:M,Calendar!A807)&gt;0,VLOOKUP(A807,M:P,4,FALSE),VLOOKUP(D807,BusData!$A$3:$D$10,4,FALSE))</f>
        <v/>
      </c>
      <c r="H807" s="11">
        <f>F807/SUMIFS($F$2:$F$9997,$B$2:$B$9997,B807,$C$2:$C$9997,C807)</f>
        <v/>
      </c>
      <c r="I807" s="19" t="n">
        <v>3</v>
      </c>
      <c r="J807" s="57" t="n">
        <v>3</v>
      </c>
    </row>
    <row r="808">
      <c r="A808" s="62" t="n">
        <v>46919</v>
      </c>
      <c r="B808" s="19" t="n">
        <v>2028</v>
      </c>
      <c r="C808" s="19" t="n">
        <v>6</v>
      </c>
      <c r="D808" s="56" t="inlineStr">
        <is>
          <t>Thu</t>
        </is>
      </c>
      <c r="E808" s="56" t="inlineStr">
        <is>
          <t>Week</t>
        </is>
      </c>
      <c r="F808" s="56">
        <f>IF(ForeCalc!$F$1="Staffed Hours",G808,24)</f>
        <v/>
      </c>
      <c r="G808" s="57">
        <f>IF(COUNTIF(M:M,Calendar!A808)&gt;0,VLOOKUP(A808,M:P,4,FALSE),VLOOKUP(D808,BusData!$A$3:$D$10,4,FALSE))</f>
        <v/>
      </c>
      <c r="H808" s="11">
        <f>F808/SUMIFS($F$2:$F$9997,$B$2:$B$9997,B808,$C$2:$C$9997,C808)</f>
        <v/>
      </c>
      <c r="I808" s="19" t="n">
        <v>3</v>
      </c>
      <c r="J808" s="57" t="n">
        <v>3</v>
      </c>
    </row>
    <row r="809">
      <c r="A809" s="62" t="n">
        <v>46920</v>
      </c>
      <c r="B809" s="19" t="n">
        <v>2028</v>
      </c>
      <c r="C809" s="19" t="n">
        <v>6</v>
      </c>
      <c r="D809" s="56" t="inlineStr">
        <is>
          <t>Fri</t>
        </is>
      </c>
      <c r="E809" s="56" t="inlineStr">
        <is>
          <t>Week</t>
        </is>
      </c>
      <c r="F809" s="56">
        <f>IF(ForeCalc!$F$1="Staffed Hours",G809,24)</f>
        <v/>
      </c>
      <c r="G809" s="57">
        <f>IF(COUNTIF(M:M,Calendar!A809)&gt;0,VLOOKUP(A809,M:P,4,FALSE),VLOOKUP(D809,BusData!$A$3:$D$10,4,FALSE))</f>
        <v/>
      </c>
      <c r="H809" s="11">
        <f>F809/SUMIFS($F$2:$F$9997,$B$2:$B$9997,B809,$C$2:$C$9997,C809)</f>
        <v/>
      </c>
      <c r="I809" s="19" t="n">
        <v>3</v>
      </c>
      <c r="J809" s="57" t="n">
        <v>3</v>
      </c>
    </row>
    <row r="810">
      <c r="A810" s="62" t="n">
        <v>46921</v>
      </c>
      <c r="B810" s="19" t="n">
        <v>2028</v>
      </c>
      <c r="C810" s="19" t="n">
        <v>6</v>
      </c>
      <c r="D810" s="56" t="inlineStr">
        <is>
          <t>Sat</t>
        </is>
      </c>
      <c r="E810" s="56" t="inlineStr">
        <is>
          <t>Sat</t>
        </is>
      </c>
      <c r="F810" s="56">
        <f>IF(ForeCalc!$F$1="Staffed Hours",G810,24)</f>
        <v/>
      </c>
      <c r="G810" s="57">
        <f>IF(COUNTIF(M:M,Calendar!A810)&gt;0,VLOOKUP(A810,M:P,4,FALSE),VLOOKUP(D810,BusData!$A$3:$D$10,4,FALSE))</f>
        <v/>
      </c>
      <c r="H810" s="11">
        <f>F810/SUMIFS($F$2:$F$9997,$B$2:$B$9997,B810,$C$2:$C$9997,C810)</f>
        <v/>
      </c>
      <c r="I810" s="19" t="n">
        <v>3</v>
      </c>
      <c r="J810" s="57" t="n">
        <v>3</v>
      </c>
    </row>
    <row r="811">
      <c r="A811" s="62" t="n">
        <v>46922</v>
      </c>
      <c r="B811" s="19" t="n">
        <v>2028</v>
      </c>
      <c r="C811" s="19" t="n">
        <v>6</v>
      </c>
      <c r="D811" s="56" t="inlineStr">
        <is>
          <t>Sun</t>
        </is>
      </c>
      <c r="E811" s="56" t="inlineStr">
        <is>
          <t>Sun</t>
        </is>
      </c>
      <c r="F811" s="56">
        <f>IF(ForeCalc!$F$1="Staffed Hours",G811,24)</f>
        <v/>
      </c>
      <c r="G811" s="57">
        <f>IF(COUNTIF(M:M,Calendar!A811)&gt;0,VLOOKUP(A811,M:P,4,FALSE),VLOOKUP(D811,BusData!$A$3:$D$10,4,FALSE))</f>
        <v/>
      </c>
      <c r="H811" s="11">
        <f>F811/SUMIFS($F$2:$F$9997,$B$2:$B$9997,B811,$C$2:$C$9997,C811)</f>
        <v/>
      </c>
      <c r="I811" s="19" t="n">
        <v>3</v>
      </c>
      <c r="J811" s="57" t="n">
        <v>3</v>
      </c>
    </row>
    <row r="812">
      <c r="A812" s="62" t="n">
        <v>46923</v>
      </c>
      <c r="B812" s="19" t="n">
        <v>2028</v>
      </c>
      <c r="C812" s="19" t="n">
        <v>6</v>
      </c>
      <c r="D812" s="56" t="inlineStr">
        <is>
          <t>Mon</t>
        </is>
      </c>
      <c r="E812" s="56" t="inlineStr">
        <is>
          <t>Week</t>
        </is>
      </c>
      <c r="F812" s="56">
        <f>IF(ForeCalc!$F$1="Staffed Hours",G812,24)</f>
        <v/>
      </c>
      <c r="G812" s="57">
        <f>IF(COUNTIF(M:M,Calendar!A812)&gt;0,VLOOKUP(A812,M:P,4,FALSE),VLOOKUP(D812,BusData!$A$3:$D$10,4,FALSE))</f>
        <v/>
      </c>
      <c r="H812" s="11">
        <f>F812/SUMIFS($F$2:$F$9997,$B$2:$B$9997,B812,$C$2:$C$9997,C812)</f>
        <v/>
      </c>
      <c r="I812" s="19" t="n">
        <v>3</v>
      </c>
      <c r="J812" s="57" t="n">
        <v>3</v>
      </c>
    </row>
    <row r="813">
      <c r="A813" s="62" t="n">
        <v>46924</v>
      </c>
      <c r="B813" s="19" t="n">
        <v>2028</v>
      </c>
      <c r="C813" s="19" t="n">
        <v>6</v>
      </c>
      <c r="D813" s="56" t="inlineStr">
        <is>
          <t>Tue</t>
        </is>
      </c>
      <c r="E813" s="56" t="inlineStr">
        <is>
          <t>Week</t>
        </is>
      </c>
      <c r="F813" s="56">
        <f>IF(ForeCalc!$F$1="Staffed Hours",G813,24)</f>
        <v/>
      </c>
      <c r="G813" s="57">
        <f>IF(COUNTIF(M:M,Calendar!A813)&gt;0,VLOOKUP(A813,M:P,4,FALSE),VLOOKUP(D813,BusData!$A$3:$D$10,4,FALSE))</f>
        <v/>
      </c>
      <c r="H813" s="11">
        <f>F813/SUMIFS($F$2:$F$9997,$B$2:$B$9997,B813,$C$2:$C$9997,C813)</f>
        <v/>
      </c>
      <c r="I813" s="19" t="n">
        <v>3</v>
      </c>
      <c r="J813" s="57" t="n">
        <v>3</v>
      </c>
    </row>
    <row r="814">
      <c r="A814" s="62" t="n">
        <v>46925</v>
      </c>
      <c r="B814" s="19" t="n">
        <v>2028</v>
      </c>
      <c r="C814" s="19" t="n">
        <v>6</v>
      </c>
      <c r="D814" s="56" t="inlineStr">
        <is>
          <t>Wed</t>
        </is>
      </c>
      <c r="E814" s="56" t="inlineStr">
        <is>
          <t>Week</t>
        </is>
      </c>
      <c r="F814" s="56">
        <f>IF(ForeCalc!$F$1="Staffed Hours",G814,24)</f>
        <v/>
      </c>
      <c r="G814" s="57">
        <f>IF(COUNTIF(M:M,Calendar!A814)&gt;0,VLOOKUP(A814,M:P,4,FALSE),VLOOKUP(D814,BusData!$A$3:$D$10,4,FALSE))</f>
        <v/>
      </c>
      <c r="H814" s="11">
        <f>F814/SUMIFS($F$2:$F$9997,$B$2:$B$9997,B814,$C$2:$C$9997,C814)</f>
        <v/>
      </c>
      <c r="I814" s="19" t="n">
        <v>3</v>
      </c>
      <c r="J814" s="57" t="n">
        <v>3</v>
      </c>
    </row>
    <row r="815">
      <c r="A815" s="62" t="n">
        <v>46926</v>
      </c>
      <c r="B815" s="19" t="n">
        <v>2028</v>
      </c>
      <c r="C815" s="19" t="n">
        <v>6</v>
      </c>
      <c r="D815" s="56" t="inlineStr">
        <is>
          <t>Thu</t>
        </is>
      </c>
      <c r="E815" s="56" t="inlineStr">
        <is>
          <t>Week</t>
        </is>
      </c>
      <c r="F815" s="56">
        <f>IF(ForeCalc!$F$1="Staffed Hours",G815,24)</f>
        <v/>
      </c>
      <c r="G815" s="57">
        <f>IF(COUNTIF(M:M,Calendar!A815)&gt;0,VLOOKUP(A815,M:P,4,FALSE),VLOOKUP(D815,BusData!$A$3:$D$10,4,FALSE))</f>
        <v/>
      </c>
      <c r="H815" s="11">
        <f>F815/SUMIFS($F$2:$F$9997,$B$2:$B$9997,B815,$C$2:$C$9997,C815)</f>
        <v/>
      </c>
      <c r="I815" s="19" t="n">
        <v>3</v>
      </c>
      <c r="J815" s="57" t="n">
        <v>3</v>
      </c>
    </row>
    <row r="816">
      <c r="A816" s="62" t="n">
        <v>46927</v>
      </c>
      <c r="B816" s="19" t="n">
        <v>2028</v>
      </c>
      <c r="C816" s="19" t="n">
        <v>6</v>
      </c>
      <c r="D816" s="56" t="inlineStr">
        <is>
          <t>Fri</t>
        </is>
      </c>
      <c r="E816" s="56" t="inlineStr">
        <is>
          <t>Week</t>
        </is>
      </c>
      <c r="F816" s="56">
        <f>IF(ForeCalc!$F$1="Staffed Hours",G816,24)</f>
        <v/>
      </c>
      <c r="G816" s="57">
        <f>IF(COUNTIF(M:M,Calendar!A816)&gt;0,VLOOKUP(A816,M:P,4,FALSE),VLOOKUP(D816,BusData!$A$3:$D$10,4,FALSE))</f>
        <v/>
      </c>
      <c r="H816" s="11">
        <f>F816/SUMIFS($F$2:$F$9997,$B$2:$B$9997,B816,$C$2:$C$9997,C816)</f>
        <v/>
      </c>
      <c r="I816" s="19" t="n">
        <v>3</v>
      </c>
      <c r="J816" s="57" t="n">
        <v>3</v>
      </c>
    </row>
    <row r="817">
      <c r="A817" s="62" t="n">
        <v>46928</v>
      </c>
      <c r="B817" s="19" t="n">
        <v>2028</v>
      </c>
      <c r="C817" s="19" t="n">
        <v>6</v>
      </c>
      <c r="D817" s="56" t="inlineStr">
        <is>
          <t>Sat</t>
        </is>
      </c>
      <c r="E817" s="56" t="inlineStr">
        <is>
          <t>Sat</t>
        </is>
      </c>
      <c r="F817" s="56">
        <f>IF(ForeCalc!$F$1="Staffed Hours",G817,24)</f>
        <v/>
      </c>
      <c r="G817" s="57">
        <f>IF(COUNTIF(M:M,Calendar!A817)&gt;0,VLOOKUP(A817,M:P,4,FALSE),VLOOKUP(D817,BusData!$A$3:$D$10,4,FALSE))</f>
        <v/>
      </c>
      <c r="H817" s="11">
        <f>F817/SUMIFS($F$2:$F$9997,$B$2:$B$9997,B817,$C$2:$C$9997,C817)</f>
        <v/>
      </c>
      <c r="I817" s="19" t="n">
        <v>3</v>
      </c>
      <c r="J817" s="57" t="n">
        <v>3</v>
      </c>
    </row>
    <row r="818">
      <c r="A818" s="62" t="n">
        <v>46929</v>
      </c>
      <c r="B818" s="19" t="n">
        <v>2028</v>
      </c>
      <c r="C818" s="19" t="n">
        <v>6</v>
      </c>
      <c r="D818" s="56" t="inlineStr">
        <is>
          <t>Sun</t>
        </is>
      </c>
      <c r="E818" s="56" t="inlineStr">
        <is>
          <t>Sun</t>
        </is>
      </c>
      <c r="F818" s="56">
        <f>IF(ForeCalc!$F$1="Staffed Hours",G818,24)</f>
        <v/>
      </c>
      <c r="G818" s="57">
        <f>IF(COUNTIF(M:M,Calendar!A818)&gt;0,VLOOKUP(A818,M:P,4,FALSE),VLOOKUP(D818,BusData!$A$3:$D$10,4,FALSE))</f>
        <v/>
      </c>
      <c r="H818" s="11">
        <f>F818/SUMIFS($F$2:$F$9997,$B$2:$B$9997,B818,$C$2:$C$9997,C818)</f>
        <v/>
      </c>
      <c r="I818" s="19" t="n">
        <v>3</v>
      </c>
      <c r="J818" s="57" t="n">
        <v>3</v>
      </c>
    </row>
    <row r="819">
      <c r="A819" s="62" t="n">
        <v>46930</v>
      </c>
      <c r="B819" s="19" t="n">
        <v>2028</v>
      </c>
      <c r="C819" s="19" t="n">
        <v>6</v>
      </c>
      <c r="D819" s="56" t="inlineStr">
        <is>
          <t>Mon</t>
        </is>
      </c>
      <c r="E819" s="56" t="inlineStr">
        <is>
          <t>Week</t>
        </is>
      </c>
      <c r="F819" s="56">
        <f>IF(ForeCalc!$F$1="Staffed Hours",G819,24)</f>
        <v/>
      </c>
      <c r="G819" s="57">
        <f>IF(COUNTIF(M:M,Calendar!A819)&gt;0,VLOOKUP(A819,M:P,4,FALSE),VLOOKUP(D819,BusData!$A$3:$D$10,4,FALSE))</f>
        <v/>
      </c>
      <c r="H819" s="11">
        <f>F819/SUMIFS($F$2:$F$9997,$B$2:$B$9997,B819,$C$2:$C$9997,C819)</f>
        <v/>
      </c>
      <c r="I819" s="19" t="n">
        <v>3</v>
      </c>
      <c r="J819" s="57" t="n">
        <v>3</v>
      </c>
    </row>
    <row r="820">
      <c r="A820" s="62" t="n">
        <v>46931</v>
      </c>
      <c r="B820" s="19" t="n">
        <v>2028</v>
      </c>
      <c r="C820" s="19" t="n">
        <v>6</v>
      </c>
      <c r="D820" s="56" t="inlineStr">
        <is>
          <t>Tue</t>
        </is>
      </c>
      <c r="E820" s="56" t="inlineStr">
        <is>
          <t>Week</t>
        </is>
      </c>
      <c r="F820" s="56">
        <f>IF(ForeCalc!$F$1="Staffed Hours",G820,24)</f>
        <v/>
      </c>
      <c r="G820" s="57">
        <f>IF(COUNTIF(M:M,Calendar!A820)&gt;0,VLOOKUP(A820,M:P,4,FALSE),VLOOKUP(D820,BusData!$A$3:$D$10,4,FALSE))</f>
        <v/>
      </c>
      <c r="H820" s="11">
        <f>F820/SUMIFS($F$2:$F$9997,$B$2:$B$9997,B820,$C$2:$C$9997,C820)</f>
        <v/>
      </c>
      <c r="I820" s="19" t="n">
        <v>3</v>
      </c>
      <c r="J820" s="57" t="n">
        <v>3</v>
      </c>
    </row>
    <row r="821">
      <c r="A821" s="62" t="n">
        <v>46932</v>
      </c>
      <c r="B821" s="19" t="n">
        <v>2028</v>
      </c>
      <c r="C821" s="19" t="n">
        <v>6</v>
      </c>
      <c r="D821" s="56" t="inlineStr">
        <is>
          <t>Wed</t>
        </is>
      </c>
      <c r="E821" s="56" t="inlineStr">
        <is>
          <t>Week</t>
        </is>
      </c>
      <c r="F821" s="56">
        <f>IF(ForeCalc!$F$1="Staffed Hours",G821,24)</f>
        <v/>
      </c>
      <c r="G821" s="57">
        <f>IF(COUNTIF(M:M,Calendar!A821)&gt;0,VLOOKUP(A821,M:P,4,FALSE),VLOOKUP(D821,BusData!$A$3:$D$10,4,FALSE))</f>
        <v/>
      </c>
      <c r="H821" s="11">
        <f>F821/SUMIFS($F$2:$F$9997,$B$2:$B$9997,B821,$C$2:$C$9997,C821)</f>
        <v/>
      </c>
      <c r="I821" s="19" t="n">
        <v>3</v>
      </c>
      <c r="J821" s="57" t="n">
        <v>3</v>
      </c>
    </row>
    <row r="822">
      <c r="A822" s="62" t="n">
        <v>46933</v>
      </c>
      <c r="B822" s="19" t="n">
        <v>2028</v>
      </c>
      <c r="C822" s="19" t="n">
        <v>6</v>
      </c>
      <c r="D822" s="56" t="inlineStr">
        <is>
          <t>Thu</t>
        </is>
      </c>
      <c r="E822" s="56" t="inlineStr">
        <is>
          <t>Week</t>
        </is>
      </c>
      <c r="F822" s="56">
        <f>IF(ForeCalc!$F$1="Staffed Hours",G822,24)</f>
        <v/>
      </c>
      <c r="G822" s="57">
        <f>IF(COUNTIF(M:M,Calendar!A822)&gt;0,VLOOKUP(A822,M:P,4,FALSE),VLOOKUP(D822,BusData!$A$3:$D$10,4,FALSE))</f>
        <v/>
      </c>
      <c r="H822" s="11">
        <f>F822/SUMIFS($F$2:$F$9997,$B$2:$B$9997,B822,$C$2:$C$9997,C822)</f>
        <v/>
      </c>
      <c r="I822" s="19" t="n">
        <v>3</v>
      </c>
      <c r="J822" s="57" t="n">
        <v>3</v>
      </c>
    </row>
    <row r="823">
      <c r="A823" s="62" t="n">
        <v>46934</v>
      </c>
      <c r="B823" s="19" t="n">
        <v>2028</v>
      </c>
      <c r="C823" s="19" t="n">
        <v>6</v>
      </c>
      <c r="D823" s="56" t="inlineStr">
        <is>
          <t>Fri</t>
        </is>
      </c>
      <c r="E823" s="56" t="inlineStr">
        <is>
          <t>Week</t>
        </is>
      </c>
      <c r="F823" s="56">
        <f>IF(ForeCalc!$F$1="Staffed Hours",G823,24)</f>
        <v/>
      </c>
      <c r="G823" s="57">
        <f>IF(COUNTIF(M:M,Calendar!A823)&gt;0,VLOOKUP(A823,M:P,4,FALSE),VLOOKUP(D823,BusData!$A$3:$D$10,4,FALSE))</f>
        <v/>
      </c>
      <c r="H823" s="11">
        <f>F823/SUMIFS($F$2:$F$9997,$B$2:$B$9997,B823,$C$2:$C$9997,C823)</f>
        <v/>
      </c>
      <c r="I823" s="19" t="n">
        <v>3</v>
      </c>
      <c r="J823" s="57" t="n">
        <v>3</v>
      </c>
    </row>
    <row r="824">
      <c r="A824" s="62" t="n">
        <v>46935</v>
      </c>
      <c r="B824" s="19" t="n">
        <v>2028</v>
      </c>
      <c r="C824" s="19" t="n">
        <v>7</v>
      </c>
      <c r="D824" s="56" t="inlineStr">
        <is>
          <t>Sat</t>
        </is>
      </c>
      <c r="E824" s="56" t="inlineStr">
        <is>
          <t>Sat</t>
        </is>
      </c>
      <c r="F824" s="56">
        <f>IF(ForeCalc!$F$1="Staffed Hours",G824,24)</f>
        <v/>
      </c>
      <c r="G824" s="57">
        <f>IF(COUNTIF(M:M,Calendar!A824)&gt;0,VLOOKUP(A824,M:P,4,FALSE),VLOOKUP(D824,BusData!$A$3:$D$10,4,FALSE))</f>
        <v/>
      </c>
      <c r="H824" s="11">
        <f>F824/SUMIFS($F$2:$F$9997,$B$2:$B$9997,B824,$C$2:$C$9997,C824)</f>
        <v/>
      </c>
      <c r="I824" s="19" t="n">
        <v>3</v>
      </c>
      <c r="J824" s="57" t="n">
        <v>4</v>
      </c>
    </row>
    <row r="825">
      <c r="A825" s="62" t="n">
        <v>46936</v>
      </c>
      <c r="B825" s="19" t="n">
        <v>2028</v>
      </c>
      <c r="C825" s="19" t="n">
        <v>7</v>
      </c>
      <c r="D825" s="56" t="inlineStr">
        <is>
          <t>Sun</t>
        </is>
      </c>
      <c r="E825" s="56" t="inlineStr">
        <is>
          <t>Sun</t>
        </is>
      </c>
      <c r="F825" s="56">
        <f>IF(ForeCalc!$F$1="Staffed Hours",G825,24)</f>
        <v/>
      </c>
      <c r="G825" s="57">
        <f>IF(COUNTIF(M:M,Calendar!A825)&gt;0,VLOOKUP(A825,M:P,4,FALSE),VLOOKUP(D825,BusData!$A$3:$D$10,4,FALSE))</f>
        <v/>
      </c>
      <c r="H825" s="11">
        <f>F825/SUMIFS($F$2:$F$9997,$B$2:$B$9997,B825,$C$2:$C$9997,C825)</f>
        <v/>
      </c>
      <c r="I825" s="19" t="n">
        <v>3</v>
      </c>
      <c r="J825" s="57" t="n">
        <v>4</v>
      </c>
    </row>
    <row r="826">
      <c r="A826" s="62" t="n">
        <v>46937</v>
      </c>
      <c r="B826" s="19" t="n">
        <v>2028</v>
      </c>
      <c r="C826" s="19" t="n">
        <v>7</v>
      </c>
      <c r="D826" s="56" t="inlineStr">
        <is>
          <t>Mon</t>
        </is>
      </c>
      <c r="E826" s="56" t="inlineStr">
        <is>
          <t>Week</t>
        </is>
      </c>
      <c r="F826" s="56">
        <f>IF(ForeCalc!$F$1="Staffed Hours",G826,24)</f>
        <v/>
      </c>
      <c r="G826" s="57">
        <f>IF(COUNTIF(M:M,Calendar!A826)&gt;0,VLOOKUP(A826,M:P,4,FALSE),VLOOKUP(D826,BusData!$A$3:$D$10,4,FALSE))</f>
        <v/>
      </c>
      <c r="H826" s="11">
        <f>F826/SUMIFS($F$2:$F$9997,$B$2:$B$9997,B826,$C$2:$C$9997,C826)</f>
        <v/>
      </c>
      <c r="I826" s="19" t="n">
        <v>3</v>
      </c>
      <c r="J826" s="57" t="n">
        <v>4</v>
      </c>
    </row>
    <row r="827">
      <c r="A827" s="62" t="n">
        <v>46938</v>
      </c>
      <c r="B827" s="19" t="n">
        <v>2028</v>
      </c>
      <c r="C827" s="19" t="n">
        <v>7</v>
      </c>
      <c r="D827" s="56" t="inlineStr">
        <is>
          <t>Tue</t>
        </is>
      </c>
      <c r="E827" s="56" t="inlineStr">
        <is>
          <t>Week</t>
        </is>
      </c>
      <c r="F827" s="56">
        <f>IF(ForeCalc!$F$1="Staffed Hours",G827,24)</f>
        <v/>
      </c>
      <c r="G827" s="57">
        <f>IF(COUNTIF(M:M,Calendar!A827)&gt;0,VLOOKUP(A827,M:P,4,FALSE),VLOOKUP(D827,BusData!$A$3:$D$10,4,FALSE))</f>
        <v/>
      </c>
      <c r="H827" s="11">
        <f>F827/SUMIFS($F$2:$F$9997,$B$2:$B$9997,B827,$C$2:$C$9997,C827)</f>
        <v/>
      </c>
      <c r="I827" s="19" t="n">
        <v>3</v>
      </c>
      <c r="J827" s="57" t="n">
        <v>4</v>
      </c>
    </row>
    <row r="828">
      <c r="A828" s="62" t="n">
        <v>46939</v>
      </c>
      <c r="B828" s="19" t="n">
        <v>2028</v>
      </c>
      <c r="C828" s="19" t="n">
        <v>7</v>
      </c>
      <c r="D828" s="56" t="inlineStr">
        <is>
          <t>Wed</t>
        </is>
      </c>
      <c r="E828" s="56" t="inlineStr">
        <is>
          <t>Week</t>
        </is>
      </c>
      <c r="F828" s="56">
        <f>IF(ForeCalc!$F$1="Staffed Hours",G828,24)</f>
        <v/>
      </c>
      <c r="G828" s="57">
        <f>IF(COUNTIF(M:M,Calendar!A828)&gt;0,VLOOKUP(A828,M:P,4,FALSE),VLOOKUP(D828,BusData!$A$3:$D$10,4,FALSE))</f>
        <v/>
      </c>
      <c r="H828" s="11">
        <f>F828/SUMIFS($F$2:$F$9997,$B$2:$B$9997,B828,$C$2:$C$9997,C828)</f>
        <v/>
      </c>
      <c r="I828" s="19" t="n">
        <v>3</v>
      </c>
      <c r="J828" s="57" t="n">
        <v>4</v>
      </c>
    </row>
    <row r="829">
      <c r="A829" s="62" t="n">
        <v>46940</v>
      </c>
      <c r="B829" s="19" t="n">
        <v>2028</v>
      </c>
      <c r="C829" s="19" t="n">
        <v>7</v>
      </c>
      <c r="D829" s="56" t="inlineStr">
        <is>
          <t>Thu</t>
        </is>
      </c>
      <c r="E829" s="56" t="inlineStr">
        <is>
          <t>Week</t>
        </is>
      </c>
      <c r="F829" s="56">
        <f>IF(ForeCalc!$F$1="Staffed Hours",G829,24)</f>
        <v/>
      </c>
      <c r="G829" s="57">
        <f>IF(COUNTIF(M:M,Calendar!A829)&gt;0,VLOOKUP(A829,M:P,4,FALSE),VLOOKUP(D829,BusData!$A$3:$D$10,4,FALSE))</f>
        <v/>
      </c>
      <c r="H829" s="11">
        <f>F829/SUMIFS($F$2:$F$9997,$B$2:$B$9997,B829,$C$2:$C$9997,C829)</f>
        <v/>
      </c>
      <c r="I829" s="19" t="n">
        <v>3</v>
      </c>
      <c r="J829" s="57" t="n">
        <v>4</v>
      </c>
    </row>
    <row r="830">
      <c r="A830" s="62" t="n">
        <v>46941</v>
      </c>
      <c r="B830" s="19" t="n">
        <v>2028</v>
      </c>
      <c r="C830" s="19" t="n">
        <v>7</v>
      </c>
      <c r="D830" s="56" t="inlineStr">
        <is>
          <t>Fri</t>
        </is>
      </c>
      <c r="E830" s="56" t="inlineStr">
        <is>
          <t>Week</t>
        </is>
      </c>
      <c r="F830" s="56">
        <f>IF(ForeCalc!$F$1="Staffed Hours",G830,24)</f>
        <v/>
      </c>
      <c r="G830" s="57">
        <f>IF(COUNTIF(M:M,Calendar!A830)&gt;0,VLOOKUP(A830,M:P,4,FALSE),VLOOKUP(D830,BusData!$A$3:$D$10,4,FALSE))</f>
        <v/>
      </c>
      <c r="H830" s="11">
        <f>F830/SUMIFS($F$2:$F$9997,$B$2:$B$9997,B830,$C$2:$C$9997,C830)</f>
        <v/>
      </c>
      <c r="I830" s="19" t="n">
        <v>3</v>
      </c>
      <c r="J830" s="57" t="n">
        <v>4</v>
      </c>
    </row>
    <row r="831">
      <c r="A831" s="62" t="n">
        <v>46942</v>
      </c>
      <c r="B831" s="19" t="n">
        <v>2028</v>
      </c>
      <c r="C831" s="19" t="n">
        <v>7</v>
      </c>
      <c r="D831" s="56" t="inlineStr">
        <is>
          <t>Sat</t>
        </is>
      </c>
      <c r="E831" s="56" t="inlineStr">
        <is>
          <t>Sat</t>
        </is>
      </c>
      <c r="F831" s="56">
        <f>IF(ForeCalc!$F$1="Staffed Hours",G831,24)</f>
        <v/>
      </c>
      <c r="G831" s="57">
        <f>IF(COUNTIF(M:M,Calendar!A831)&gt;0,VLOOKUP(A831,M:P,4,FALSE),VLOOKUP(D831,BusData!$A$3:$D$10,4,FALSE))</f>
        <v/>
      </c>
      <c r="H831" s="11">
        <f>F831/SUMIFS($F$2:$F$9997,$B$2:$B$9997,B831,$C$2:$C$9997,C831)</f>
        <v/>
      </c>
      <c r="I831" s="19" t="n">
        <v>3</v>
      </c>
      <c r="J831" s="57" t="n">
        <v>4</v>
      </c>
    </row>
    <row r="832">
      <c r="A832" s="62" t="n">
        <v>46943</v>
      </c>
      <c r="B832" s="19" t="n">
        <v>2028</v>
      </c>
      <c r="C832" s="19" t="n">
        <v>7</v>
      </c>
      <c r="D832" s="56" t="inlineStr">
        <is>
          <t>Sun</t>
        </is>
      </c>
      <c r="E832" s="56" t="inlineStr">
        <is>
          <t>Sun</t>
        </is>
      </c>
      <c r="F832" s="56">
        <f>IF(ForeCalc!$F$1="Staffed Hours",G832,24)</f>
        <v/>
      </c>
      <c r="G832" s="57">
        <f>IF(COUNTIF(M:M,Calendar!A832)&gt;0,VLOOKUP(A832,M:P,4,FALSE),VLOOKUP(D832,BusData!$A$3:$D$10,4,FALSE))</f>
        <v/>
      </c>
      <c r="H832" s="11">
        <f>F832/SUMIFS($F$2:$F$9997,$B$2:$B$9997,B832,$C$2:$C$9997,C832)</f>
        <v/>
      </c>
      <c r="I832" s="19" t="n">
        <v>3</v>
      </c>
      <c r="J832" s="57" t="n">
        <v>4</v>
      </c>
    </row>
    <row r="833">
      <c r="A833" s="62" t="n">
        <v>46944</v>
      </c>
      <c r="B833" s="19" t="n">
        <v>2028</v>
      </c>
      <c r="C833" s="19" t="n">
        <v>7</v>
      </c>
      <c r="D833" s="56" t="inlineStr">
        <is>
          <t>Mon</t>
        </is>
      </c>
      <c r="E833" s="56" t="inlineStr">
        <is>
          <t>Week</t>
        </is>
      </c>
      <c r="F833" s="56">
        <f>IF(ForeCalc!$F$1="Staffed Hours",G833,24)</f>
        <v/>
      </c>
      <c r="G833" s="57">
        <f>IF(COUNTIF(M:M,Calendar!A833)&gt;0,VLOOKUP(A833,M:P,4,FALSE),VLOOKUP(D833,BusData!$A$3:$D$10,4,FALSE))</f>
        <v/>
      </c>
      <c r="H833" s="11">
        <f>F833/SUMIFS($F$2:$F$9997,$B$2:$B$9997,B833,$C$2:$C$9997,C833)</f>
        <v/>
      </c>
      <c r="I833" s="19" t="n">
        <v>3</v>
      </c>
      <c r="J833" s="57" t="n">
        <v>4</v>
      </c>
    </row>
    <row r="834">
      <c r="A834" s="62" t="n">
        <v>46945</v>
      </c>
      <c r="B834" s="19" t="n">
        <v>2028</v>
      </c>
      <c r="C834" s="19" t="n">
        <v>7</v>
      </c>
      <c r="D834" s="56" t="inlineStr">
        <is>
          <t>Tue</t>
        </is>
      </c>
      <c r="E834" s="56" t="inlineStr">
        <is>
          <t>Week</t>
        </is>
      </c>
      <c r="F834" s="56">
        <f>IF(ForeCalc!$F$1="Staffed Hours",G834,24)</f>
        <v/>
      </c>
      <c r="G834" s="57">
        <f>IF(COUNTIF(M:M,Calendar!A834)&gt;0,VLOOKUP(A834,M:P,4,FALSE),VLOOKUP(D834,BusData!$A$3:$D$10,4,FALSE))</f>
        <v/>
      </c>
      <c r="H834" s="11">
        <f>F834/SUMIFS($F$2:$F$9997,$B$2:$B$9997,B834,$C$2:$C$9997,C834)</f>
        <v/>
      </c>
      <c r="I834" s="19" t="n">
        <v>3</v>
      </c>
      <c r="J834" s="57" t="n">
        <v>4</v>
      </c>
    </row>
    <row r="835">
      <c r="A835" s="62" t="n">
        <v>46946</v>
      </c>
      <c r="B835" s="19" t="n">
        <v>2028</v>
      </c>
      <c r="C835" s="19" t="n">
        <v>7</v>
      </c>
      <c r="D835" s="56" t="inlineStr">
        <is>
          <t>Wed</t>
        </is>
      </c>
      <c r="E835" s="56" t="inlineStr">
        <is>
          <t>Week</t>
        </is>
      </c>
      <c r="F835" s="56">
        <f>IF(ForeCalc!$F$1="Staffed Hours",G835,24)</f>
        <v/>
      </c>
      <c r="G835" s="57">
        <f>IF(COUNTIF(M:M,Calendar!A835)&gt;0,VLOOKUP(A835,M:P,4,FALSE),VLOOKUP(D835,BusData!$A$3:$D$10,4,FALSE))</f>
        <v/>
      </c>
      <c r="H835" s="11">
        <f>F835/SUMIFS($F$2:$F$9997,$B$2:$B$9997,B835,$C$2:$C$9997,C835)</f>
        <v/>
      </c>
      <c r="I835" s="19" t="n">
        <v>3</v>
      </c>
      <c r="J835" s="57" t="n">
        <v>4</v>
      </c>
    </row>
    <row r="836">
      <c r="A836" s="62" t="n">
        <v>46947</v>
      </c>
      <c r="B836" s="19" t="n">
        <v>2028</v>
      </c>
      <c r="C836" s="19" t="n">
        <v>7</v>
      </c>
      <c r="D836" s="56" t="inlineStr">
        <is>
          <t>Thu</t>
        </is>
      </c>
      <c r="E836" s="56" t="inlineStr">
        <is>
          <t>Week</t>
        </is>
      </c>
      <c r="F836" s="56">
        <f>IF(ForeCalc!$F$1="Staffed Hours",G836,24)</f>
        <v/>
      </c>
      <c r="G836" s="57">
        <f>IF(COUNTIF(M:M,Calendar!A836)&gt;0,VLOOKUP(A836,M:P,4,FALSE),VLOOKUP(D836,BusData!$A$3:$D$10,4,FALSE))</f>
        <v/>
      </c>
      <c r="H836" s="11">
        <f>F836/SUMIFS($F$2:$F$9997,$B$2:$B$9997,B836,$C$2:$C$9997,C836)</f>
        <v/>
      </c>
      <c r="I836" s="19" t="n">
        <v>3</v>
      </c>
      <c r="J836" s="57" t="n">
        <v>4</v>
      </c>
    </row>
    <row r="837">
      <c r="A837" s="62" t="n">
        <v>46948</v>
      </c>
      <c r="B837" s="19" t="n">
        <v>2028</v>
      </c>
      <c r="C837" s="19" t="n">
        <v>7</v>
      </c>
      <c r="D837" s="56" t="inlineStr">
        <is>
          <t>Fri</t>
        </is>
      </c>
      <c r="E837" s="56" t="inlineStr">
        <is>
          <t>Week</t>
        </is>
      </c>
      <c r="F837" s="56">
        <f>IF(ForeCalc!$F$1="Staffed Hours",G837,24)</f>
        <v/>
      </c>
      <c r="G837" s="57">
        <f>IF(COUNTIF(M:M,Calendar!A837)&gt;0,VLOOKUP(A837,M:P,4,FALSE),VLOOKUP(D837,BusData!$A$3:$D$10,4,FALSE))</f>
        <v/>
      </c>
      <c r="H837" s="11">
        <f>F837/SUMIFS($F$2:$F$9997,$B$2:$B$9997,B837,$C$2:$C$9997,C837)</f>
        <v/>
      </c>
      <c r="I837" s="19" t="n">
        <v>3</v>
      </c>
      <c r="J837" s="57" t="n">
        <v>4</v>
      </c>
    </row>
    <row r="838">
      <c r="A838" s="62" t="n">
        <v>46949</v>
      </c>
      <c r="B838" s="19" t="n">
        <v>2028</v>
      </c>
      <c r="C838" s="19" t="n">
        <v>7</v>
      </c>
      <c r="D838" s="56" t="inlineStr">
        <is>
          <t>Sat</t>
        </is>
      </c>
      <c r="E838" s="56" t="inlineStr">
        <is>
          <t>Sat</t>
        </is>
      </c>
      <c r="F838" s="56">
        <f>IF(ForeCalc!$F$1="Staffed Hours",G838,24)</f>
        <v/>
      </c>
      <c r="G838" s="57">
        <f>IF(COUNTIF(M:M,Calendar!A838)&gt;0,VLOOKUP(A838,M:P,4,FALSE),VLOOKUP(D838,BusData!$A$3:$D$10,4,FALSE))</f>
        <v/>
      </c>
      <c r="H838" s="11">
        <f>F838/SUMIFS($F$2:$F$9997,$B$2:$B$9997,B838,$C$2:$C$9997,C838)</f>
        <v/>
      </c>
      <c r="I838" s="19" t="n">
        <v>3</v>
      </c>
      <c r="J838" s="57" t="n">
        <v>4</v>
      </c>
    </row>
    <row r="839">
      <c r="A839" s="62" t="n">
        <v>46950</v>
      </c>
      <c r="B839" s="19" t="n">
        <v>2028</v>
      </c>
      <c r="C839" s="19" t="n">
        <v>7</v>
      </c>
      <c r="D839" s="56" t="inlineStr">
        <is>
          <t>Sun</t>
        </is>
      </c>
      <c r="E839" s="56" t="inlineStr">
        <is>
          <t>Sun</t>
        </is>
      </c>
      <c r="F839" s="56">
        <f>IF(ForeCalc!$F$1="Staffed Hours",G839,24)</f>
        <v/>
      </c>
      <c r="G839" s="57">
        <f>IF(COUNTIF(M:M,Calendar!A839)&gt;0,VLOOKUP(A839,M:P,4,FALSE),VLOOKUP(D839,BusData!$A$3:$D$10,4,FALSE))</f>
        <v/>
      </c>
      <c r="H839" s="11">
        <f>F839/SUMIFS($F$2:$F$9997,$B$2:$B$9997,B839,$C$2:$C$9997,C839)</f>
        <v/>
      </c>
      <c r="I839" s="19" t="n">
        <v>3</v>
      </c>
      <c r="J839" s="57" t="n">
        <v>4</v>
      </c>
    </row>
    <row r="840">
      <c r="A840" s="62" t="n">
        <v>46951</v>
      </c>
      <c r="B840" s="19" t="n">
        <v>2028</v>
      </c>
      <c r="C840" s="19" t="n">
        <v>7</v>
      </c>
      <c r="D840" s="56" t="inlineStr">
        <is>
          <t>Mon</t>
        </is>
      </c>
      <c r="E840" s="56" t="inlineStr">
        <is>
          <t>Week</t>
        </is>
      </c>
      <c r="F840" s="56">
        <f>IF(ForeCalc!$F$1="Staffed Hours",G840,24)</f>
        <v/>
      </c>
      <c r="G840" s="57">
        <f>IF(COUNTIF(M:M,Calendar!A840)&gt;0,VLOOKUP(A840,M:P,4,FALSE),VLOOKUP(D840,BusData!$A$3:$D$10,4,FALSE))</f>
        <v/>
      </c>
      <c r="H840" s="11">
        <f>F840/SUMIFS($F$2:$F$9997,$B$2:$B$9997,B840,$C$2:$C$9997,C840)</f>
        <v/>
      </c>
      <c r="I840" s="19" t="n">
        <v>3</v>
      </c>
      <c r="J840" s="57" t="n">
        <v>4</v>
      </c>
    </row>
    <row r="841">
      <c r="A841" s="62" t="n">
        <v>46952</v>
      </c>
      <c r="B841" s="19" t="n">
        <v>2028</v>
      </c>
      <c r="C841" s="19" t="n">
        <v>7</v>
      </c>
      <c r="D841" s="56" t="inlineStr">
        <is>
          <t>Tue</t>
        </is>
      </c>
      <c r="E841" s="56" t="inlineStr">
        <is>
          <t>Week</t>
        </is>
      </c>
      <c r="F841" s="56">
        <f>IF(ForeCalc!$F$1="Staffed Hours",G841,24)</f>
        <v/>
      </c>
      <c r="G841" s="57">
        <f>IF(COUNTIF(M:M,Calendar!A841)&gt;0,VLOOKUP(A841,M:P,4,FALSE),VLOOKUP(D841,BusData!$A$3:$D$10,4,FALSE))</f>
        <v/>
      </c>
      <c r="H841" s="11">
        <f>F841/SUMIFS($F$2:$F$9997,$B$2:$B$9997,B841,$C$2:$C$9997,C841)</f>
        <v/>
      </c>
      <c r="I841" s="19" t="n">
        <v>3</v>
      </c>
      <c r="J841" s="57" t="n">
        <v>4</v>
      </c>
    </row>
    <row r="842">
      <c r="A842" s="62" t="n">
        <v>46953</v>
      </c>
      <c r="B842" s="19" t="n">
        <v>2028</v>
      </c>
      <c r="C842" s="19" t="n">
        <v>7</v>
      </c>
      <c r="D842" s="56" t="inlineStr">
        <is>
          <t>Wed</t>
        </is>
      </c>
      <c r="E842" s="56" t="inlineStr">
        <is>
          <t>Week</t>
        </is>
      </c>
      <c r="F842" s="56">
        <f>IF(ForeCalc!$F$1="Staffed Hours",G842,24)</f>
        <v/>
      </c>
      <c r="G842" s="57">
        <f>IF(COUNTIF(M:M,Calendar!A842)&gt;0,VLOOKUP(A842,M:P,4,FALSE),VLOOKUP(D842,BusData!$A$3:$D$10,4,FALSE))</f>
        <v/>
      </c>
      <c r="H842" s="11">
        <f>F842/SUMIFS($F$2:$F$9997,$B$2:$B$9997,B842,$C$2:$C$9997,C842)</f>
        <v/>
      </c>
      <c r="I842" s="19" t="n">
        <v>3</v>
      </c>
      <c r="J842" s="57" t="n">
        <v>4</v>
      </c>
    </row>
    <row r="843">
      <c r="A843" s="62" t="n">
        <v>46954</v>
      </c>
      <c r="B843" s="19" t="n">
        <v>2028</v>
      </c>
      <c r="C843" s="19" t="n">
        <v>7</v>
      </c>
      <c r="D843" s="56" t="inlineStr">
        <is>
          <t>Thu</t>
        </is>
      </c>
      <c r="E843" s="56" t="inlineStr">
        <is>
          <t>Week</t>
        </is>
      </c>
      <c r="F843" s="56">
        <f>IF(ForeCalc!$F$1="Staffed Hours",G843,24)</f>
        <v/>
      </c>
      <c r="G843" s="57">
        <f>IF(COUNTIF(M:M,Calendar!A843)&gt;0,VLOOKUP(A843,M:P,4,FALSE),VLOOKUP(D843,BusData!$A$3:$D$10,4,FALSE))</f>
        <v/>
      </c>
      <c r="H843" s="11">
        <f>F843/SUMIFS($F$2:$F$9997,$B$2:$B$9997,B843,$C$2:$C$9997,C843)</f>
        <v/>
      </c>
      <c r="I843" s="19" t="n">
        <v>3</v>
      </c>
      <c r="J843" s="57" t="n">
        <v>4</v>
      </c>
    </row>
    <row r="844">
      <c r="A844" s="62" t="n">
        <v>46955</v>
      </c>
      <c r="B844" s="19" t="n">
        <v>2028</v>
      </c>
      <c r="C844" s="19" t="n">
        <v>7</v>
      </c>
      <c r="D844" s="56" t="inlineStr">
        <is>
          <t>Fri</t>
        </is>
      </c>
      <c r="E844" s="56" t="inlineStr">
        <is>
          <t>Week</t>
        </is>
      </c>
      <c r="F844" s="56">
        <f>IF(ForeCalc!$F$1="Staffed Hours",G844,24)</f>
        <v/>
      </c>
      <c r="G844" s="57">
        <f>IF(COUNTIF(M:M,Calendar!A844)&gt;0,VLOOKUP(A844,M:P,4,FALSE),VLOOKUP(D844,BusData!$A$3:$D$10,4,FALSE))</f>
        <v/>
      </c>
      <c r="H844" s="11">
        <f>F844/SUMIFS($F$2:$F$9997,$B$2:$B$9997,B844,$C$2:$C$9997,C844)</f>
        <v/>
      </c>
      <c r="I844" s="19" t="n">
        <v>3</v>
      </c>
      <c r="J844" s="57" t="n">
        <v>4</v>
      </c>
    </row>
    <row r="845">
      <c r="A845" s="62" t="n">
        <v>46956</v>
      </c>
      <c r="B845" s="19" t="n">
        <v>2028</v>
      </c>
      <c r="C845" s="19" t="n">
        <v>7</v>
      </c>
      <c r="D845" s="56" t="inlineStr">
        <is>
          <t>Sat</t>
        </is>
      </c>
      <c r="E845" s="56" t="inlineStr">
        <is>
          <t>Sat</t>
        </is>
      </c>
      <c r="F845" s="56">
        <f>IF(ForeCalc!$F$1="Staffed Hours",G845,24)</f>
        <v/>
      </c>
      <c r="G845" s="57">
        <f>IF(COUNTIF(M:M,Calendar!A845)&gt;0,VLOOKUP(A845,M:P,4,FALSE),VLOOKUP(D845,BusData!$A$3:$D$10,4,FALSE))</f>
        <v/>
      </c>
      <c r="H845" s="11">
        <f>F845/SUMIFS($F$2:$F$9997,$B$2:$B$9997,B845,$C$2:$C$9997,C845)</f>
        <v/>
      </c>
      <c r="I845" s="19" t="n">
        <v>3</v>
      </c>
      <c r="J845" s="57" t="n">
        <v>4</v>
      </c>
    </row>
    <row r="846">
      <c r="A846" s="62" t="n">
        <v>46957</v>
      </c>
      <c r="B846" s="19" t="n">
        <v>2028</v>
      </c>
      <c r="C846" s="19" t="n">
        <v>7</v>
      </c>
      <c r="D846" s="56" t="inlineStr">
        <is>
          <t>Sun</t>
        </is>
      </c>
      <c r="E846" s="56" t="inlineStr">
        <is>
          <t>Sun</t>
        </is>
      </c>
      <c r="F846" s="56">
        <f>IF(ForeCalc!$F$1="Staffed Hours",G846,24)</f>
        <v/>
      </c>
      <c r="G846" s="57">
        <f>IF(COUNTIF(M:M,Calendar!A846)&gt;0,VLOOKUP(A846,M:P,4,FALSE),VLOOKUP(D846,BusData!$A$3:$D$10,4,FALSE))</f>
        <v/>
      </c>
      <c r="H846" s="11">
        <f>F846/SUMIFS($F$2:$F$9997,$B$2:$B$9997,B846,$C$2:$C$9997,C846)</f>
        <v/>
      </c>
      <c r="I846" s="19" t="n">
        <v>3</v>
      </c>
      <c r="J846" s="57" t="n">
        <v>4</v>
      </c>
    </row>
    <row r="847">
      <c r="A847" s="62" t="n">
        <v>46958</v>
      </c>
      <c r="B847" s="19" t="n">
        <v>2028</v>
      </c>
      <c r="C847" s="19" t="n">
        <v>7</v>
      </c>
      <c r="D847" s="56" t="inlineStr">
        <is>
          <t>Mon</t>
        </is>
      </c>
      <c r="E847" s="56" t="inlineStr">
        <is>
          <t>Week</t>
        </is>
      </c>
      <c r="F847" s="56">
        <f>IF(ForeCalc!$F$1="Staffed Hours",G847,24)</f>
        <v/>
      </c>
      <c r="G847" s="57">
        <f>IF(COUNTIF(M:M,Calendar!A847)&gt;0,VLOOKUP(A847,M:P,4,FALSE),VLOOKUP(D847,BusData!$A$3:$D$10,4,FALSE))</f>
        <v/>
      </c>
      <c r="H847" s="11">
        <f>F847/SUMIFS($F$2:$F$9997,$B$2:$B$9997,B847,$C$2:$C$9997,C847)</f>
        <v/>
      </c>
      <c r="I847" s="19" t="n">
        <v>3</v>
      </c>
      <c r="J847" s="57" t="n">
        <v>4</v>
      </c>
    </row>
    <row r="848">
      <c r="A848" s="62" t="n">
        <v>46959</v>
      </c>
      <c r="B848" s="19" t="n">
        <v>2028</v>
      </c>
      <c r="C848" s="19" t="n">
        <v>7</v>
      </c>
      <c r="D848" s="56" t="inlineStr">
        <is>
          <t>Tue</t>
        </is>
      </c>
      <c r="E848" s="56" t="inlineStr">
        <is>
          <t>Week</t>
        </is>
      </c>
      <c r="F848" s="56">
        <f>IF(ForeCalc!$F$1="Staffed Hours",G848,24)</f>
        <v/>
      </c>
      <c r="G848" s="57">
        <f>IF(COUNTIF(M:M,Calendar!A848)&gt;0,VLOOKUP(A848,M:P,4,FALSE),VLOOKUP(D848,BusData!$A$3:$D$10,4,FALSE))</f>
        <v/>
      </c>
      <c r="H848" s="11">
        <f>F848/SUMIFS($F$2:$F$9997,$B$2:$B$9997,B848,$C$2:$C$9997,C848)</f>
        <v/>
      </c>
      <c r="I848" s="19" t="n">
        <v>3</v>
      </c>
      <c r="J848" s="57" t="n">
        <v>4</v>
      </c>
    </row>
    <row r="849">
      <c r="A849" s="62" t="n">
        <v>46960</v>
      </c>
      <c r="B849" s="19" t="n">
        <v>2028</v>
      </c>
      <c r="C849" s="19" t="n">
        <v>7</v>
      </c>
      <c r="D849" s="56" t="inlineStr">
        <is>
          <t>Wed</t>
        </is>
      </c>
      <c r="E849" s="56" t="inlineStr">
        <is>
          <t>Week</t>
        </is>
      </c>
      <c r="F849" s="56">
        <f>IF(ForeCalc!$F$1="Staffed Hours",G849,24)</f>
        <v/>
      </c>
      <c r="G849" s="57">
        <f>IF(COUNTIF(M:M,Calendar!A849)&gt;0,VLOOKUP(A849,M:P,4,FALSE),VLOOKUP(D849,BusData!$A$3:$D$10,4,FALSE))</f>
        <v/>
      </c>
      <c r="H849" s="11">
        <f>F849/SUMIFS($F$2:$F$9997,$B$2:$B$9997,B849,$C$2:$C$9997,C849)</f>
        <v/>
      </c>
      <c r="I849" s="19" t="n">
        <v>3</v>
      </c>
      <c r="J849" s="57" t="n">
        <v>4</v>
      </c>
    </row>
    <row r="850">
      <c r="A850" s="62" t="n">
        <v>46961</v>
      </c>
      <c r="B850" s="19" t="n">
        <v>2028</v>
      </c>
      <c r="C850" s="19" t="n">
        <v>7</v>
      </c>
      <c r="D850" s="56" t="inlineStr">
        <is>
          <t>Thu</t>
        </is>
      </c>
      <c r="E850" s="56" t="inlineStr">
        <is>
          <t>Week</t>
        </is>
      </c>
      <c r="F850" s="56">
        <f>IF(ForeCalc!$F$1="Staffed Hours",G850,24)</f>
        <v/>
      </c>
      <c r="G850" s="57">
        <f>IF(COUNTIF(M:M,Calendar!A850)&gt;0,VLOOKUP(A850,M:P,4,FALSE),VLOOKUP(D850,BusData!$A$3:$D$10,4,FALSE))</f>
        <v/>
      </c>
      <c r="H850" s="11">
        <f>F850/SUMIFS($F$2:$F$9997,$B$2:$B$9997,B850,$C$2:$C$9997,C850)</f>
        <v/>
      </c>
      <c r="I850" s="19" t="n">
        <v>3</v>
      </c>
      <c r="J850" s="57" t="n">
        <v>4</v>
      </c>
    </row>
    <row r="851">
      <c r="A851" s="62" t="n">
        <v>46962</v>
      </c>
      <c r="B851" s="19" t="n">
        <v>2028</v>
      </c>
      <c r="C851" s="19" t="n">
        <v>7</v>
      </c>
      <c r="D851" s="56" t="inlineStr">
        <is>
          <t>Fri</t>
        </is>
      </c>
      <c r="E851" s="56" t="inlineStr">
        <is>
          <t>Week</t>
        </is>
      </c>
      <c r="F851" s="56">
        <f>IF(ForeCalc!$F$1="Staffed Hours",G851,24)</f>
        <v/>
      </c>
      <c r="G851" s="57">
        <f>IF(COUNTIF(M:M,Calendar!A851)&gt;0,VLOOKUP(A851,M:P,4,FALSE),VLOOKUP(D851,BusData!$A$3:$D$10,4,FALSE))</f>
        <v/>
      </c>
      <c r="H851" s="11">
        <f>F851/SUMIFS($F$2:$F$9997,$B$2:$B$9997,B851,$C$2:$C$9997,C851)</f>
        <v/>
      </c>
      <c r="I851" s="19" t="n">
        <v>3</v>
      </c>
      <c r="J851" s="57" t="n">
        <v>4</v>
      </c>
    </row>
    <row r="852">
      <c r="A852" s="62" t="n">
        <v>46963</v>
      </c>
      <c r="B852" s="19" t="n">
        <v>2028</v>
      </c>
      <c r="C852" s="19" t="n">
        <v>7</v>
      </c>
      <c r="D852" s="56" t="inlineStr">
        <is>
          <t>Sat</t>
        </is>
      </c>
      <c r="E852" s="56" t="inlineStr">
        <is>
          <t>Sat</t>
        </is>
      </c>
      <c r="F852" s="56">
        <f>IF(ForeCalc!$F$1="Staffed Hours",G852,24)</f>
        <v/>
      </c>
      <c r="G852" s="57">
        <f>IF(COUNTIF(M:M,Calendar!A852)&gt;0,VLOOKUP(A852,M:P,4,FALSE),VLOOKUP(D852,BusData!$A$3:$D$10,4,FALSE))</f>
        <v/>
      </c>
      <c r="H852" s="11">
        <f>F852/SUMIFS($F$2:$F$9997,$B$2:$B$9997,B852,$C$2:$C$9997,C852)</f>
        <v/>
      </c>
      <c r="I852" s="19" t="n">
        <v>3</v>
      </c>
      <c r="J852" s="57" t="n">
        <v>4</v>
      </c>
    </row>
    <row r="853">
      <c r="A853" s="62" t="n">
        <v>46964</v>
      </c>
      <c r="B853" s="19" t="n">
        <v>2028</v>
      </c>
      <c r="C853" s="19" t="n">
        <v>7</v>
      </c>
      <c r="D853" s="56" t="inlineStr">
        <is>
          <t>Sun</t>
        </is>
      </c>
      <c r="E853" s="56" t="inlineStr">
        <is>
          <t>Sun</t>
        </is>
      </c>
      <c r="F853" s="56">
        <f>IF(ForeCalc!$F$1="Staffed Hours",G853,24)</f>
        <v/>
      </c>
      <c r="G853" s="57">
        <f>IF(COUNTIF(M:M,Calendar!A853)&gt;0,VLOOKUP(A853,M:P,4,FALSE),VLOOKUP(D853,BusData!$A$3:$D$10,4,FALSE))</f>
        <v/>
      </c>
      <c r="H853" s="11">
        <f>F853/SUMIFS($F$2:$F$9997,$B$2:$B$9997,B853,$C$2:$C$9997,C853)</f>
        <v/>
      </c>
      <c r="I853" s="19" t="n">
        <v>3</v>
      </c>
      <c r="J853" s="57" t="n">
        <v>4</v>
      </c>
    </row>
    <row r="854">
      <c r="A854" s="62" t="n">
        <v>46965</v>
      </c>
      <c r="B854" s="19" t="n">
        <v>2028</v>
      </c>
      <c r="C854" s="19" t="n">
        <v>7</v>
      </c>
      <c r="D854" s="56" t="inlineStr">
        <is>
          <t>Mon</t>
        </is>
      </c>
      <c r="E854" s="56" t="inlineStr">
        <is>
          <t>Week</t>
        </is>
      </c>
      <c r="F854" s="56">
        <f>IF(ForeCalc!$F$1="Staffed Hours",G854,24)</f>
        <v/>
      </c>
      <c r="G854" s="57">
        <f>IF(COUNTIF(M:M,Calendar!A854)&gt;0,VLOOKUP(A854,M:P,4,FALSE),VLOOKUP(D854,BusData!$A$3:$D$10,4,FALSE))</f>
        <v/>
      </c>
      <c r="H854" s="11">
        <f>F854/SUMIFS($F$2:$F$9997,$B$2:$B$9997,B854,$C$2:$C$9997,C854)</f>
        <v/>
      </c>
      <c r="I854" s="19" t="n">
        <v>3</v>
      </c>
      <c r="J854" s="57" t="n">
        <v>4</v>
      </c>
    </row>
    <row r="855">
      <c r="A855" s="62" t="n">
        <v>46966</v>
      </c>
      <c r="B855" s="19" t="n">
        <v>2028</v>
      </c>
      <c r="C855" s="19" t="n">
        <v>8</v>
      </c>
      <c r="D855" s="56" t="inlineStr">
        <is>
          <t>Tue</t>
        </is>
      </c>
      <c r="E855" s="56" t="inlineStr">
        <is>
          <t>Week</t>
        </is>
      </c>
      <c r="F855" s="56">
        <f>IF(ForeCalc!$F$1="Staffed Hours",G855,24)</f>
        <v/>
      </c>
      <c r="G855" s="57">
        <f>IF(COUNTIF(M:M,Calendar!A855)&gt;0,VLOOKUP(A855,M:P,4,FALSE),VLOOKUP(D855,BusData!$A$3:$D$10,4,FALSE))</f>
        <v/>
      </c>
      <c r="H855" s="11">
        <f>F855/SUMIFS($F$2:$F$9997,$B$2:$B$9997,B855,$C$2:$C$9997,C855)</f>
        <v/>
      </c>
      <c r="I855" s="19" t="n">
        <v>3</v>
      </c>
      <c r="J855" s="57" t="n">
        <v>5</v>
      </c>
    </row>
    <row r="856">
      <c r="A856" s="62" t="n">
        <v>46967</v>
      </c>
      <c r="B856" s="19" t="n">
        <v>2028</v>
      </c>
      <c r="C856" s="19" t="n">
        <v>8</v>
      </c>
      <c r="D856" s="56" t="inlineStr">
        <is>
          <t>Wed</t>
        </is>
      </c>
      <c r="E856" s="56" t="inlineStr">
        <is>
          <t>Week</t>
        </is>
      </c>
      <c r="F856" s="56">
        <f>IF(ForeCalc!$F$1="Staffed Hours",G856,24)</f>
        <v/>
      </c>
      <c r="G856" s="57">
        <f>IF(COUNTIF(M:M,Calendar!A856)&gt;0,VLOOKUP(A856,M:P,4,FALSE),VLOOKUP(D856,BusData!$A$3:$D$10,4,FALSE))</f>
        <v/>
      </c>
      <c r="H856" s="11">
        <f>F856/SUMIFS($F$2:$F$9997,$B$2:$B$9997,B856,$C$2:$C$9997,C856)</f>
        <v/>
      </c>
      <c r="I856" s="19" t="n">
        <v>3</v>
      </c>
      <c r="J856" s="57" t="n">
        <v>5</v>
      </c>
    </row>
    <row r="857">
      <c r="A857" s="62" t="n">
        <v>46968</v>
      </c>
      <c r="B857" s="19" t="n">
        <v>2028</v>
      </c>
      <c r="C857" s="19" t="n">
        <v>8</v>
      </c>
      <c r="D857" s="56" t="inlineStr">
        <is>
          <t>Thu</t>
        </is>
      </c>
      <c r="E857" s="56" t="inlineStr">
        <is>
          <t>Week</t>
        </is>
      </c>
      <c r="F857" s="56">
        <f>IF(ForeCalc!$F$1="Staffed Hours",G857,24)</f>
        <v/>
      </c>
      <c r="G857" s="57">
        <f>IF(COUNTIF(M:M,Calendar!A857)&gt;0,VLOOKUP(A857,M:P,4,FALSE),VLOOKUP(D857,BusData!$A$3:$D$10,4,FALSE))</f>
        <v/>
      </c>
      <c r="H857" s="11">
        <f>F857/SUMIFS($F$2:$F$9997,$B$2:$B$9997,B857,$C$2:$C$9997,C857)</f>
        <v/>
      </c>
      <c r="I857" s="19" t="n">
        <v>3</v>
      </c>
      <c r="J857" s="57" t="n">
        <v>5</v>
      </c>
    </row>
    <row r="858">
      <c r="A858" s="62" t="n">
        <v>46969</v>
      </c>
      <c r="B858" s="19" t="n">
        <v>2028</v>
      </c>
      <c r="C858" s="19" t="n">
        <v>8</v>
      </c>
      <c r="D858" s="56" t="inlineStr">
        <is>
          <t>Fri</t>
        </is>
      </c>
      <c r="E858" s="56" t="inlineStr">
        <is>
          <t>Week</t>
        </is>
      </c>
      <c r="F858" s="56">
        <f>IF(ForeCalc!$F$1="Staffed Hours",G858,24)</f>
        <v/>
      </c>
      <c r="G858" s="57">
        <f>IF(COUNTIF(M:M,Calendar!A858)&gt;0,VLOOKUP(A858,M:P,4,FALSE),VLOOKUP(D858,BusData!$A$3:$D$10,4,FALSE))</f>
        <v/>
      </c>
      <c r="H858" s="11">
        <f>F858/SUMIFS($F$2:$F$9997,$B$2:$B$9997,B858,$C$2:$C$9997,C858)</f>
        <v/>
      </c>
      <c r="I858" s="19" t="n">
        <v>3</v>
      </c>
      <c r="J858" s="57" t="n">
        <v>5</v>
      </c>
    </row>
    <row r="859">
      <c r="A859" s="62" t="n">
        <v>46970</v>
      </c>
      <c r="B859" s="19" t="n">
        <v>2028</v>
      </c>
      <c r="C859" s="19" t="n">
        <v>8</v>
      </c>
      <c r="D859" s="56" t="inlineStr">
        <is>
          <t>Sat</t>
        </is>
      </c>
      <c r="E859" s="56" t="inlineStr">
        <is>
          <t>Sat</t>
        </is>
      </c>
      <c r="F859" s="56">
        <f>IF(ForeCalc!$F$1="Staffed Hours",G859,24)</f>
        <v/>
      </c>
      <c r="G859" s="57">
        <f>IF(COUNTIF(M:M,Calendar!A859)&gt;0,VLOOKUP(A859,M:P,4,FALSE),VLOOKUP(D859,BusData!$A$3:$D$10,4,FALSE))</f>
        <v/>
      </c>
      <c r="H859" s="11">
        <f>F859/SUMIFS($F$2:$F$9997,$B$2:$B$9997,B859,$C$2:$C$9997,C859)</f>
        <v/>
      </c>
      <c r="I859" s="19" t="n">
        <v>3</v>
      </c>
      <c r="J859" s="57" t="n">
        <v>5</v>
      </c>
    </row>
    <row r="860">
      <c r="A860" s="62" t="n">
        <v>46971</v>
      </c>
      <c r="B860" s="19" t="n">
        <v>2028</v>
      </c>
      <c r="C860" s="19" t="n">
        <v>8</v>
      </c>
      <c r="D860" s="56" t="inlineStr">
        <is>
          <t>Sun</t>
        </is>
      </c>
      <c r="E860" s="56" t="inlineStr">
        <is>
          <t>Sun</t>
        </is>
      </c>
      <c r="F860" s="56">
        <f>IF(ForeCalc!$F$1="Staffed Hours",G860,24)</f>
        <v/>
      </c>
      <c r="G860" s="57">
        <f>IF(COUNTIF(M:M,Calendar!A860)&gt;0,VLOOKUP(A860,M:P,4,FALSE),VLOOKUP(D860,BusData!$A$3:$D$10,4,FALSE))</f>
        <v/>
      </c>
      <c r="H860" s="11">
        <f>F860/SUMIFS($F$2:$F$9997,$B$2:$B$9997,B860,$C$2:$C$9997,C860)</f>
        <v/>
      </c>
      <c r="I860" s="19" t="n">
        <v>3</v>
      </c>
      <c r="J860" s="57" t="n">
        <v>5</v>
      </c>
    </row>
    <row r="861">
      <c r="A861" s="62" t="n">
        <v>46972</v>
      </c>
      <c r="B861" s="19" t="n">
        <v>2028</v>
      </c>
      <c r="C861" s="19" t="n">
        <v>8</v>
      </c>
      <c r="D861" s="56" t="inlineStr">
        <is>
          <t>Mon</t>
        </is>
      </c>
      <c r="E861" s="56" t="inlineStr">
        <is>
          <t>Week</t>
        </is>
      </c>
      <c r="F861" s="56">
        <f>IF(ForeCalc!$F$1="Staffed Hours",G861,24)</f>
        <v/>
      </c>
      <c r="G861" s="57">
        <f>IF(COUNTIF(M:M,Calendar!A861)&gt;0,VLOOKUP(A861,M:P,4,FALSE),VLOOKUP(D861,BusData!$A$3:$D$10,4,FALSE))</f>
        <v/>
      </c>
      <c r="H861" s="11">
        <f>F861/SUMIFS($F$2:$F$9997,$B$2:$B$9997,B861,$C$2:$C$9997,C861)</f>
        <v/>
      </c>
      <c r="I861" s="19" t="n">
        <v>3</v>
      </c>
      <c r="J861" s="57" t="n">
        <v>5</v>
      </c>
    </row>
    <row r="862">
      <c r="A862" s="62" t="n">
        <v>46973</v>
      </c>
      <c r="B862" s="19" t="n">
        <v>2028</v>
      </c>
      <c r="C862" s="19" t="n">
        <v>8</v>
      </c>
      <c r="D862" s="56" t="inlineStr">
        <is>
          <t>Tue</t>
        </is>
      </c>
      <c r="E862" s="56" t="inlineStr">
        <is>
          <t>Week</t>
        </is>
      </c>
      <c r="F862" s="56">
        <f>IF(ForeCalc!$F$1="Staffed Hours",G862,24)</f>
        <v/>
      </c>
      <c r="G862" s="57">
        <f>IF(COUNTIF(M:M,Calendar!A862)&gt;0,VLOOKUP(A862,M:P,4,FALSE),VLOOKUP(D862,BusData!$A$3:$D$10,4,FALSE))</f>
        <v/>
      </c>
      <c r="H862" s="11">
        <f>F862/SUMIFS($F$2:$F$9997,$B$2:$B$9997,B862,$C$2:$C$9997,C862)</f>
        <v/>
      </c>
      <c r="I862" s="19" t="n">
        <v>3</v>
      </c>
      <c r="J862" s="57" t="n">
        <v>5</v>
      </c>
    </row>
    <row r="863">
      <c r="A863" s="62" t="n">
        <v>46974</v>
      </c>
      <c r="B863" s="19" t="n">
        <v>2028</v>
      </c>
      <c r="C863" s="19" t="n">
        <v>8</v>
      </c>
      <c r="D863" s="56" t="inlineStr">
        <is>
          <t>Wed</t>
        </is>
      </c>
      <c r="E863" s="56" t="inlineStr">
        <is>
          <t>Week</t>
        </is>
      </c>
      <c r="F863" s="56">
        <f>IF(ForeCalc!$F$1="Staffed Hours",G863,24)</f>
        <v/>
      </c>
      <c r="G863" s="57">
        <f>IF(COUNTIF(M:M,Calendar!A863)&gt;0,VLOOKUP(A863,M:P,4,FALSE),VLOOKUP(D863,BusData!$A$3:$D$10,4,FALSE))</f>
        <v/>
      </c>
      <c r="H863" s="11">
        <f>F863/SUMIFS($F$2:$F$9997,$B$2:$B$9997,B863,$C$2:$C$9997,C863)</f>
        <v/>
      </c>
      <c r="I863" s="19" t="n">
        <v>3</v>
      </c>
      <c r="J863" s="57" t="n">
        <v>5</v>
      </c>
    </row>
    <row r="864">
      <c r="A864" s="62" t="n">
        <v>46975</v>
      </c>
      <c r="B864" s="19" t="n">
        <v>2028</v>
      </c>
      <c r="C864" s="19" t="n">
        <v>8</v>
      </c>
      <c r="D864" s="56" t="inlineStr">
        <is>
          <t>Thu</t>
        </is>
      </c>
      <c r="E864" s="56" t="inlineStr">
        <is>
          <t>Week</t>
        </is>
      </c>
      <c r="F864" s="56">
        <f>IF(ForeCalc!$F$1="Staffed Hours",G864,24)</f>
        <v/>
      </c>
      <c r="G864" s="57">
        <f>IF(COUNTIF(M:M,Calendar!A864)&gt;0,VLOOKUP(A864,M:P,4,FALSE),VLOOKUP(D864,BusData!$A$3:$D$10,4,FALSE))</f>
        <v/>
      </c>
      <c r="H864" s="11">
        <f>F864/SUMIFS($F$2:$F$9997,$B$2:$B$9997,B864,$C$2:$C$9997,C864)</f>
        <v/>
      </c>
      <c r="I864" s="19" t="n">
        <v>3</v>
      </c>
      <c r="J864" s="57" t="n">
        <v>5</v>
      </c>
    </row>
    <row r="865">
      <c r="A865" s="62" t="n">
        <v>46976</v>
      </c>
      <c r="B865" s="19" t="n">
        <v>2028</v>
      </c>
      <c r="C865" s="19" t="n">
        <v>8</v>
      </c>
      <c r="D865" s="56" t="inlineStr">
        <is>
          <t>Fri</t>
        </is>
      </c>
      <c r="E865" s="56" t="inlineStr">
        <is>
          <t>Week</t>
        </is>
      </c>
      <c r="F865" s="56">
        <f>IF(ForeCalc!$F$1="Staffed Hours",G865,24)</f>
        <v/>
      </c>
      <c r="G865" s="57">
        <f>IF(COUNTIF(M:M,Calendar!A865)&gt;0,VLOOKUP(A865,M:P,4,FALSE),VLOOKUP(D865,BusData!$A$3:$D$10,4,FALSE))</f>
        <v/>
      </c>
      <c r="H865" s="11">
        <f>F865/SUMIFS($F$2:$F$9997,$B$2:$B$9997,B865,$C$2:$C$9997,C865)</f>
        <v/>
      </c>
      <c r="I865" s="19" t="n">
        <v>3</v>
      </c>
      <c r="J865" s="57" t="n">
        <v>5</v>
      </c>
    </row>
    <row r="866">
      <c r="A866" s="62" t="n">
        <v>46977</v>
      </c>
      <c r="B866" s="19" t="n">
        <v>2028</v>
      </c>
      <c r="C866" s="19" t="n">
        <v>8</v>
      </c>
      <c r="D866" s="56" t="inlineStr">
        <is>
          <t>Sat</t>
        </is>
      </c>
      <c r="E866" s="56" t="inlineStr">
        <is>
          <t>Sat</t>
        </is>
      </c>
      <c r="F866" s="56">
        <f>IF(ForeCalc!$F$1="Staffed Hours",G866,24)</f>
        <v/>
      </c>
      <c r="G866" s="57">
        <f>IF(COUNTIF(M:M,Calendar!A866)&gt;0,VLOOKUP(A866,M:P,4,FALSE),VLOOKUP(D866,BusData!$A$3:$D$10,4,FALSE))</f>
        <v/>
      </c>
      <c r="H866" s="11">
        <f>F866/SUMIFS($F$2:$F$9997,$B$2:$B$9997,B866,$C$2:$C$9997,C866)</f>
        <v/>
      </c>
      <c r="I866" s="19" t="n">
        <v>3</v>
      </c>
      <c r="J866" s="57" t="n">
        <v>5</v>
      </c>
    </row>
    <row r="867">
      <c r="A867" s="62" t="n">
        <v>46978</v>
      </c>
      <c r="B867" s="19" t="n">
        <v>2028</v>
      </c>
      <c r="C867" s="19" t="n">
        <v>8</v>
      </c>
      <c r="D867" s="56" t="inlineStr">
        <is>
          <t>Sun</t>
        </is>
      </c>
      <c r="E867" s="56" t="inlineStr">
        <is>
          <t>Sun</t>
        </is>
      </c>
      <c r="F867" s="56">
        <f>IF(ForeCalc!$F$1="Staffed Hours",G867,24)</f>
        <v/>
      </c>
      <c r="G867" s="57">
        <f>IF(COUNTIF(M:M,Calendar!A867)&gt;0,VLOOKUP(A867,M:P,4,FALSE),VLOOKUP(D867,BusData!$A$3:$D$10,4,FALSE))</f>
        <v/>
      </c>
      <c r="H867" s="11">
        <f>F867/SUMIFS($F$2:$F$9997,$B$2:$B$9997,B867,$C$2:$C$9997,C867)</f>
        <v/>
      </c>
      <c r="I867" s="19" t="n">
        <v>3</v>
      </c>
      <c r="J867" s="57" t="n">
        <v>5</v>
      </c>
    </row>
    <row r="868">
      <c r="A868" s="62" t="n">
        <v>46979</v>
      </c>
      <c r="B868" s="19" t="n">
        <v>2028</v>
      </c>
      <c r="C868" s="19" t="n">
        <v>8</v>
      </c>
      <c r="D868" s="56" t="inlineStr">
        <is>
          <t>Mon</t>
        </is>
      </c>
      <c r="E868" s="56" t="inlineStr">
        <is>
          <t>Week</t>
        </is>
      </c>
      <c r="F868" s="56">
        <f>IF(ForeCalc!$F$1="Staffed Hours",G868,24)</f>
        <v/>
      </c>
      <c r="G868" s="57">
        <f>IF(COUNTIF(M:M,Calendar!A868)&gt;0,VLOOKUP(A868,M:P,4,FALSE),VLOOKUP(D868,BusData!$A$3:$D$10,4,FALSE))</f>
        <v/>
      </c>
      <c r="H868" s="11">
        <f>F868/SUMIFS($F$2:$F$9997,$B$2:$B$9997,B868,$C$2:$C$9997,C868)</f>
        <v/>
      </c>
      <c r="I868" s="19" t="n">
        <v>3</v>
      </c>
      <c r="J868" s="57" t="n">
        <v>5</v>
      </c>
    </row>
    <row r="869">
      <c r="A869" s="62" t="n">
        <v>46980</v>
      </c>
      <c r="B869" s="19" t="n">
        <v>2028</v>
      </c>
      <c r="C869" s="19" t="n">
        <v>8</v>
      </c>
      <c r="D869" s="56" t="inlineStr">
        <is>
          <t>Tue</t>
        </is>
      </c>
      <c r="E869" s="56" t="inlineStr">
        <is>
          <t>Week</t>
        </is>
      </c>
      <c r="F869" s="56">
        <f>IF(ForeCalc!$F$1="Staffed Hours",G869,24)</f>
        <v/>
      </c>
      <c r="G869" s="57">
        <f>IF(COUNTIF(M:M,Calendar!A869)&gt;0,VLOOKUP(A869,M:P,4,FALSE),VLOOKUP(D869,BusData!$A$3:$D$10,4,FALSE))</f>
        <v/>
      </c>
      <c r="H869" s="11">
        <f>F869/SUMIFS($F$2:$F$9997,$B$2:$B$9997,B869,$C$2:$C$9997,C869)</f>
        <v/>
      </c>
      <c r="I869" s="19" t="n">
        <v>3</v>
      </c>
      <c r="J869" s="57" t="n">
        <v>5</v>
      </c>
    </row>
    <row r="870">
      <c r="A870" s="62" t="n">
        <v>46981</v>
      </c>
      <c r="B870" s="19" t="n">
        <v>2028</v>
      </c>
      <c r="C870" s="19" t="n">
        <v>8</v>
      </c>
      <c r="D870" s="56" t="inlineStr">
        <is>
          <t>Wed</t>
        </is>
      </c>
      <c r="E870" s="56" t="inlineStr">
        <is>
          <t>Week</t>
        </is>
      </c>
      <c r="F870" s="56">
        <f>IF(ForeCalc!$F$1="Staffed Hours",G870,24)</f>
        <v/>
      </c>
      <c r="G870" s="57">
        <f>IF(COUNTIF(M:M,Calendar!A870)&gt;0,VLOOKUP(A870,M:P,4,FALSE),VLOOKUP(D870,BusData!$A$3:$D$10,4,FALSE))</f>
        <v/>
      </c>
      <c r="H870" s="11">
        <f>F870/SUMIFS($F$2:$F$9997,$B$2:$B$9997,B870,$C$2:$C$9997,C870)</f>
        <v/>
      </c>
      <c r="I870" s="19" t="n">
        <v>3</v>
      </c>
      <c r="J870" s="57" t="n">
        <v>5</v>
      </c>
    </row>
    <row r="871">
      <c r="A871" s="62" t="n">
        <v>46982</v>
      </c>
      <c r="B871" s="19" t="n">
        <v>2028</v>
      </c>
      <c r="C871" s="19" t="n">
        <v>8</v>
      </c>
      <c r="D871" s="56" t="inlineStr">
        <is>
          <t>Thu</t>
        </is>
      </c>
      <c r="E871" s="56" t="inlineStr">
        <is>
          <t>Week</t>
        </is>
      </c>
      <c r="F871" s="56">
        <f>IF(ForeCalc!$F$1="Staffed Hours",G871,24)</f>
        <v/>
      </c>
      <c r="G871" s="57">
        <f>IF(COUNTIF(M:M,Calendar!A871)&gt;0,VLOOKUP(A871,M:P,4,FALSE),VLOOKUP(D871,BusData!$A$3:$D$10,4,FALSE))</f>
        <v/>
      </c>
      <c r="H871" s="11">
        <f>F871/SUMIFS($F$2:$F$9997,$B$2:$B$9997,B871,$C$2:$C$9997,C871)</f>
        <v/>
      </c>
      <c r="I871" s="19" t="n">
        <v>3</v>
      </c>
      <c r="J871" s="57" t="n">
        <v>5</v>
      </c>
    </row>
    <row r="872">
      <c r="A872" s="62" t="n">
        <v>46983</v>
      </c>
      <c r="B872" s="19" t="n">
        <v>2028</v>
      </c>
      <c r="C872" s="19" t="n">
        <v>8</v>
      </c>
      <c r="D872" s="56" t="inlineStr">
        <is>
          <t>Fri</t>
        </is>
      </c>
      <c r="E872" s="56" t="inlineStr">
        <is>
          <t>Week</t>
        </is>
      </c>
      <c r="F872" s="56">
        <f>IF(ForeCalc!$F$1="Staffed Hours",G872,24)</f>
        <v/>
      </c>
      <c r="G872" s="57">
        <f>IF(COUNTIF(M:M,Calendar!A872)&gt;0,VLOOKUP(A872,M:P,4,FALSE),VLOOKUP(D872,BusData!$A$3:$D$10,4,FALSE))</f>
        <v/>
      </c>
      <c r="H872" s="11">
        <f>F872/SUMIFS($F$2:$F$9997,$B$2:$B$9997,B872,$C$2:$C$9997,C872)</f>
        <v/>
      </c>
      <c r="I872" s="19" t="n">
        <v>3</v>
      </c>
      <c r="J872" s="57" t="n">
        <v>5</v>
      </c>
    </row>
    <row r="873">
      <c r="A873" s="62" t="n">
        <v>46984</v>
      </c>
      <c r="B873" s="19" t="n">
        <v>2028</v>
      </c>
      <c r="C873" s="19" t="n">
        <v>8</v>
      </c>
      <c r="D873" s="56" t="inlineStr">
        <is>
          <t>Sat</t>
        </is>
      </c>
      <c r="E873" s="56" t="inlineStr">
        <is>
          <t>Sat</t>
        </is>
      </c>
      <c r="F873" s="56">
        <f>IF(ForeCalc!$F$1="Staffed Hours",G873,24)</f>
        <v/>
      </c>
      <c r="G873" s="57">
        <f>IF(COUNTIF(M:M,Calendar!A873)&gt;0,VLOOKUP(A873,M:P,4,FALSE),VLOOKUP(D873,BusData!$A$3:$D$10,4,FALSE))</f>
        <v/>
      </c>
      <c r="H873" s="11">
        <f>F873/SUMIFS($F$2:$F$9997,$B$2:$B$9997,B873,$C$2:$C$9997,C873)</f>
        <v/>
      </c>
      <c r="I873" s="19" t="n">
        <v>3</v>
      </c>
      <c r="J873" s="57" t="n">
        <v>5</v>
      </c>
    </row>
    <row r="874">
      <c r="A874" s="62" t="n">
        <v>46985</v>
      </c>
      <c r="B874" s="19" t="n">
        <v>2028</v>
      </c>
      <c r="C874" s="19" t="n">
        <v>8</v>
      </c>
      <c r="D874" s="56" t="inlineStr">
        <is>
          <t>Sun</t>
        </is>
      </c>
      <c r="E874" s="56" t="inlineStr">
        <is>
          <t>Sun</t>
        </is>
      </c>
      <c r="F874" s="56">
        <f>IF(ForeCalc!$F$1="Staffed Hours",G874,24)</f>
        <v/>
      </c>
      <c r="G874" s="57">
        <f>IF(COUNTIF(M:M,Calendar!A874)&gt;0,VLOOKUP(A874,M:P,4,FALSE),VLOOKUP(D874,BusData!$A$3:$D$10,4,FALSE))</f>
        <v/>
      </c>
      <c r="H874" s="11">
        <f>F874/SUMIFS($F$2:$F$9997,$B$2:$B$9997,B874,$C$2:$C$9997,C874)</f>
        <v/>
      </c>
      <c r="I874" s="19" t="n">
        <v>3</v>
      </c>
      <c r="J874" s="57" t="n">
        <v>5</v>
      </c>
    </row>
    <row r="875">
      <c r="A875" s="62" t="n">
        <v>46986</v>
      </c>
      <c r="B875" s="19" t="n">
        <v>2028</v>
      </c>
      <c r="C875" s="19" t="n">
        <v>8</v>
      </c>
      <c r="D875" s="56" t="inlineStr">
        <is>
          <t>Mon</t>
        </is>
      </c>
      <c r="E875" s="56" t="inlineStr">
        <is>
          <t>Week</t>
        </is>
      </c>
      <c r="F875" s="56">
        <f>IF(ForeCalc!$F$1="Staffed Hours",G875,24)</f>
        <v/>
      </c>
      <c r="G875" s="57">
        <f>IF(COUNTIF(M:M,Calendar!A875)&gt;0,VLOOKUP(A875,M:P,4,FALSE),VLOOKUP(D875,BusData!$A$3:$D$10,4,FALSE))</f>
        <v/>
      </c>
      <c r="H875" s="11">
        <f>F875/SUMIFS($F$2:$F$9997,$B$2:$B$9997,B875,$C$2:$C$9997,C875)</f>
        <v/>
      </c>
      <c r="I875" s="19" t="n">
        <v>3</v>
      </c>
      <c r="J875" s="57" t="n">
        <v>5</v>
      </c>
    </row>
    <row r="876">
      <c r="A876" s="62" t="n">
        <v>46987</v>
      </c>
      <c r="B876" s="19" t="n">
        <v>2028</v>
      </c>
      <c r="C876" s="19" t="n">
        <v>8</v>
      </c>
      <c r="D876" s="56" t="inlineStr">
        <is>
          <t>Tue</t>
        </is>
      </c>
      <c r="E876" s="56" t="inlineStr">
        <is>
          <t>Week</t>
        </is>
      </c>
      <c r="F876" s="56">
        <f>IF(ForeCalc!$F$1="Staffed Hours",G876,24)</f>
        <v/>
      </c>
      <c r="G876" s="57">
        <f>IF(COUNTIF(M:M,Calendar!A876)&gt;0,VLOOKUP(A876,M:P,4,FALSE),VLOOKUP(D876,BusData!$A$3:$D$10,4,FALSE))</f>
        <v/>
      </c>
      <c r="H876" s="11">
        <f>F876/SUMIFS($F$2:$F$9997,$B$2:$B$9997,B876,$C$2:$C$9997,C876)</f>
        <v/>
      </c>
      <c r="I876" s="19" t="n">
        <v>3</v>
      </c>
      <c r="J876" s="57" t="n">
        <v>5</v>
      </c>
    </row>
    <row r="877">
      <c r="A877" s="62" t="n">
        <v>46988</v>
      </c>
      <c r="B877" s="19" t="n">
        <v>2028</v>
      </c>
      <c r="C877" s="19" t="n">
        <v>8</v>
      </c>
      <c r="D877" s="56" t="inlineStr">
        <is>
          <t>Wed</t>
        </is>
      </c>
      <c r="E877" s="56" t="inlineStr">
        <is>
          <t>Week</t>
        </is>
      </c>
      <c r="F877" s="56">
        <f>IF(ForeCalc!$F$1="Staffed Hours",G877,24)</f>
        <v/>
      </c>
      <c r="G877" s="57">
        <f>IF(COUNTIF(M:M,Calendar!A877)&gt;0,VLOOKUP(A877,M:P,4,FALSE),VLOOKUP(D877,BusData!$A$3:$D$10,4,FALSE))</f>
        <v/>
      </c>
      <c r="H877" s="11">
        <f>F877/SUMIFS($F$2:$F$9997,$B$2:$B$9997,B877,$C$2:$C$9997,C877)</f>
        <v/>
      </c>
      <c r="I877" s="19" t="n">
        <v>3</v>
      </c>
      <c r="J877" s="57" t="n">
        <v>5</v>
      </c>
    </row>
    <row r="878">
      <c r="A878" s="62" t="n">
        <v>46989</v>
      </c>
      <c r="B878" s="19" t="n">
        <v>2028</v>
      </c>
      <c r="C878" s="19" t="n">
        <v>8</v>
      </c>
      <c r="D878" s="56" t="inlineStr">
        <is>
          <t>Thu</t>
        </is>
      </c>
      <c r="E878" s="56" t="inlineStr">
        <is>
          <t>Week</t>
        </is>
      </c>
      <c r="F878" s="56">
        <f>IF(ForeCalc!$F$1="Staffed Hours",G878,24)</f>
        <v/>
      </c>
      <c r="G878" s="57">
        <f>IF(COUNTIF(M:M,Calendar!A878)&gt;0,VLOOKUP(A878,M:P,4,FALSE),VLOOKUP(D878,BusData!$A$3:$D$10,4,FALSE))</f>
        <v/>
      </c>
      <c r="H878" s="11">
        <f>F878/SUMIFS($F$2:$F$9997,$B$2:$B$9997,B878,$C$2:$C$9997,C878)</f>
        <v/>
      </c>
      <c r="I878" s="19" t="n">
        <v>3</v>
      </c>
      <c r="J878" s="57" t="n">
        <v>5</v>
      </c>
    </row>
    <row r="879">
      <c r="A879" s="62" t="n">
        <v>46990</v>
      </c>
      <c r="B879" s="19" t="n">
        <v>2028</v>
      </c>
      <c r="C879" s="19" t="n">
        <v>8</v>
      </c>
      <c r="D879" s="56" t="inlineStr">
        <is>
          <t>Fri</t>
        </is>
      </c>
      <c r="E879" s="56" t="inlineStr">
        <is>
          <t>Week</t>
        </is>
      </c>
      <c r="F879" s="56">
        <f>IF(ForeCalc!$F$1="Staffed Hours",G879,24)</f>
        <v/>
      </c>
      <c r="G879" s="57">
        <f>IF(COUNTIF(M:M,Calendar!A879)&gt;0,VLOOKUP(A879,M:P,4,FALSE),VLOOKUP(D879,BusData!$A$3:$D$10,4,FALSE))</f>
        <v/>
      </c>
      <c r="H879" s="11">
        <f>F879/SUMIFS($F$2:$F$9997,$B$2:$B$9997,B879,$C$2:$C$9997,C879)</f>
        <v/>
      </c>
      <c r="I879" s="19" t="n">
        <v>3</v>
      </c>
      <c r="J879" s="57" t="n">
        <v>5</v>
      </c>
    </row>
    <row r="880">
      <c r="A880" s="62" t="n">
        <v>46991</v>
      </c>
      <c r="B880" s="19" t="n">
        <v>2028</v>
      </c>
      <c r="C880" s="19" t="n">
        <v>8</v>
      </c>
      <c r="D880" s="56" t="inlineStr">
        <is>
          <t>Sat</t>
        </is>
      </c>
      <c r="E880" s="56" t="inlineStr">
        <is>
          <t>Sat</t>
        </is>
      </c>
      <c r="F880" s="56">
        <f>IF(ForeCalc!$F$1="Staffed Hours",G880,24)</f>
        <v/>
      </c>
      <c r="G880" s="57">
        <f>IF(COUNTIF(M:M,Calendar!A880)&gt;0,VLOOKUP(A880,M:P,4,FALSE),VLOOKUP(D880,BusData!$A$3:$D$10,4,FALSE))</f>
        <v/>
      </c>
      <c r="H880" s="11">
        <f>F880/SUMIFS($F$2:$F$9997,$B$2:$B$9997,B880,$C$2:$C$9997,C880)</f>
        <v/>
      </c>
      <c r="I880" s="19" t="n">
        <v>3</v>
      </c>
      <c r="J880" s="57" t="n">
        <v>5</v>
      </c>
    </row>
    <row r="881">
      <c r="A881" s="62" t="n">
        <v>46992</v>
      </c>
      <c r="B881" s="19" t="n">
        <v>2028</v>
      </c>
      <c r="C881" s="19" t="n">
        <v>8</v>
      </c>
      <c r="D881" s="56" t="inlineStr">
        <is>
          <t>Sun</t>
        </is>
      </c>
      <c r="E881" s="56" t="inlineStr">
        <is>
          <t>Sun</t>
        </is>
      </c>
      <c r="F881" s="56">
        <f>IF(ForeCalc!$F$1="Staffed Hours",G881,24)</f>
        <v/>
      </c>
      <c r="G881" s="57">
        <f>IF(COUNTIF(M:M,Calendar!A881)&gt;0,VLOOKUP(A881,M:P,4,FALSE),VLOOKUP(D881,BusData!$A$3:$D$10,4,FALSE))</f>
        <v/>
      </c>
      <c r="H881" s="11">
        <f>F881/SUMIFS($F$2:$F$9997,$B$2:$B$9997,B881,$C$2:$C$9997,C881)</f>
        <v/>
      </c>
      <c r="I881" s="19" t="n">
        <v>3</v>
      </c>
      <c r="J881" s="57" t="n">
        <v>5</v>
      </c>
    </row>
    <row r="882">
      <c r="A882" s="62" t="n">
        <v>46993</v>
      </c>
      <c r="B882" s="19" t="n">
        <v>2028</v>
      </c>
      <c r="C882" s="19" t="n">
        <v>8</v>
      </c>
      <c r="D882" s="56" t="inlineStr">
        <is>
          <t>Mon</t>
        </is>
      </c>
      <c r="E882" s="56" t="inlineStr">
        <is>
          <t>Week</t>
        </is>
      </c>
      <c r="F882" s="56">
        <f>IF(ForeCalc!$F$1="Staffed Hours",G882,24)</f>
        <v/>
      </c>
      <c r="G882" s="57">
        <f>IF(COUNTIF(M:M,Calendar!A882)&gt;0,VLOOKUP(A882,M:P,4,FALSE),VLOOKUP(D882,BusData!$A$3:$D$10,4,FALSE))</f>
        <v/>
      </c>
      <c r="H882" s="11">
        <f>F882/SUMIFS($F$2:$F$9997,$B$2:$B$9997,B882,$C$2:$C$9997,C882)</f>
        <v/>
      </c>
      <c r="I882" s="19" t="n">
        <v>3</v>
      </c>
      <c r="J882" s="57" t="n">
        <v>5</v>
      </c>
    </row>
    <row r="883">
      <c r="A883" s="62" t="n">
        <v>46994</v>
      </c>
      <c r="B883" s="19" t="n">
        <v>2028</v>
      </c>
      <c r="C883" s="19" t="n">
        <v>8</v>
      </c>
      <c r="D883" s="56" t="inlineStr">
        <is>
          <t>Tue</t>
        </is>
      </c>
      <c r="E883" s="56" t="inlineStr">
        <is>
          <t>Week</t>
        </is>
      </c>
      <c r="F883" s="56">
        <f>IF(ForeCalc!$F$1="Staffed Hours",G883,24)</f>
        <v/>
      </c>
      <c r="G883" s="57">
        <f>IF(COUNTIF(M:M,Calendar!A883)&gt;0,VLOOKUP(A883,M:P,4,FALSE),VLOOKUP(D883,BusData!$A$3:$D$10,4,FALSE))</f>
        <v/>
      </c>
      <c r="H883" s="11">
        <f>F883/SUMIFS($F$2:$F$9997,$B$2:$B$9997,B883,$C$2:$C$9997,C883)</f>
        <v/>
      </c>
      <c r="I883" s="19" t="n">
        <v>3</v>
      </c>
      <c r="J883" s="57" t="n">
        <v>5</v>
      </c>
    </row>
    <row r="884">
      <c r="A884" s="62" t="n">
        <v>46995</v>
      </c>
      <c r="B884" s="19" t="n">
        <v>2028</v>
      </c>
      <c r="C884" s="19" t="n">
        <v>8</v>
      </c>
      <c r="D884" s="56" t="inlineStr">
        <is>
          <t>Wed</t>
        </is>
      </c>
      <c r="E884" s="56" t="inlineStr">
        <is>
          <t>Week</t>
        </is>
      </c>
      <c r="F884" s="56">
        <f>IF(ForeCalc!$F$1="Staffed Hours",G884,24)</f>
        <v/>
      </c>
      <c r="G884" s="57">
        <f>IF(COUNTIF(M:M,Calendar!A884)&gt;0,VLOOKUP(A884,M:P,4,FALSE),VLOOKUP(D884,BusData!$A$3:$D$10,4,FALSE))</f>
        <v/>
      </c>
      <c r="H884" s="11">
        <f>F884/SUMIFS($F$2:$F$9997,$B$2:$B$9997,B884,$C$2:$C$9997,C884)</f>
        <v/>
      </c>
      <c r="I884" s="19" t="n">
        <v>3</v>
      </c>
      <c r="J884" s="57" t="n">
        <v>5</v>
      </c>
    </row>
    <row r="885">
      <c r="A885" s="62" t="n">
        <v>46996</v>
      </c>
      <c r="B885" s="19" t="n">
        <v>2028</v>
      </c>
      <c r="C885" s="19" t="n">
        <v>8</v>
      </c>
      <c r="D885" s="56" t="inlineStr">
        <is>
          <t>Thu</t>
        </is>
      </c>
      <c r="E885" s="56" t="inlineStr">
        <is>
          <t>Week</t>
        </is>
      </c>
      <c r="F885" s="56">
        <f>IF(ForeCalc!$F$1="Staffed Hours",G885,24)</f>
        <v/>
      </c>
      <c r="G885" s="57">
        <f>IF(COUNTIF(M:M,Calendar!A885)&gt;0,VLOOKUP(A885,M:P,4,FALSE),VLOOKUP(D885,BusData!$A$3:$D$10,4,FALSE))</f>
        <v/>
      </c>
      <c r="H885" s="11">
        <f>F885/SUMIFS($F$2:$F$9997,$B$2:$B$9997,B885,$C$2:$C$9997,C885)</f>
        <v/>
      </c>
      <c r="I885" s="19" t="n">
        <v>3</v>
      </c>
      <c r="J885" s="57" t="n">
        <v>5</v>
      </c>
    </row>
    <row r="886">
      <c r="A886" s="62" t="n">
        <v>46997</v>
      </c>
      <c r="B886" s="19" t="n">
        <v>2028</v>
      </c>
      <c r="C886" s="19" t="n">
        <v>9</v>
      </c>
      <c r="D886" s="56" t="inlineStr">
        <is>
          <t>Fri</t>
        </is>
      </c>
      <c r="E886" s="56" t="inlineStr">
        <is>
          <t>Week</t>
        </is>
      </c>
      <c r="F886" s="56">
        <f>IF(ForeCalc!$F$1="Staffed Hours",G886,24)</f>
        <v/>
      </c>
      <c r="G886" s="57">
        <f>IF(COUNTIF(M:M,Calendar!A886)&gt;0,VLOOKUP(A886,M:P,4,FALSE),VLOOKUP(D886,BusData!$A$3:$D$10,4,FALSE))</f>
        <v/>
      </c>
      <c r="H886" s="11">
        <f>F886/SUMIFS($F$2:$F$9997,$B$2:$B$9997,B886,$C$2:$C$9997,C886)</f>
        <v/>
      </c>
      <c r="I886" s="19" t="n">
        <v>3</v>
      </c>
      <c r="J886" s="57" t="n">
        <v>6</v>
      </c>
    </row>
    <row r="887">
      <c r="A887" s="62" t="n">
        <v>46998</v>
      </c>
      <c r="B887" s="19" t="n">
        <v>2028</v>
      </c>
      <c r="C887" s="19" t="n">
        <v>9</v>
      </c>
      <c r="D887" s="56" t="inlineStr">
        <is>
          <t>Sat</t>
        </is>
      </c>
      <c r="E887" s="56" t="inlineStr">
        <is>
          <t>Sat</t>
        </is>
      </c>
      <c r="F887" s="56">
        <f>IF(ForeCalc!$F$1="Staffed Hours",G887,24)</f>
        <v/>
      </c>
      <c r="G887" s="57">
        <f>IF(COUNTIF(M:M,Calendar!A887)&gt;0,VLOOKUP(A887,M:P,4,FALSE),VLOOKUP(D887,BusData!$A$3:$D$10,4,FALSE))</f>
        <v/>
      </c>
      <c r="H887" s="11">
        <f>F887/SUMIFS($F$2:$F$9997,$B$2:$B$9997,B887,$C$2:$C$9997,C887)</f>
        <v/>
      </c>
      <c r="I887" s="19" t="n">
        <v>3</v>
      </c>
      <c r="J887" s="57" t="n">
        <v>6</v>
      </c>
    </row>
    <row r="888">
      <c r="A888" s="62" t="n">
        <v>46999</v>
      </c>
      <c r="B888" s="19" t="n">
        <v>2028</v>
      </c>
      <c r="C888" s="19" t="n">
        <v>9</v>
      </c>
      <c r="D888" s="56" t="inlineStr">
        <is>
          <t>Sun</t>
        </is>
      </c>
      <c r="E888" s="56" t="inlineStr">
        <is>
          <t>Sun</t>
        </is>
      </c>
      <c r="F888" s="56">
        <f>IF(ForeCalc!$F$1="Staffed Hours",G888,24)</f>
        <v/>
      </c>
      <c r="G888" s="57">
        <f>IF(COUNTIF(M:M,Calendar!A888)&gt;0,VLOOKUP(A888,M:P,4,FALSE),VLOOKUP(D888,BusData!$A$3:$D$10,4,FALSE))</f>
        <v/>
      </c>
      <c r="H888" s="11">
        <f>F888/SUMIFS($F$2:$F$9997,$B$2:$B$9997,B888,$C$2:$C$9997,C888)</f>
        <v/>
      </c>
      <c r="I888" s="19" t="n">
        <v>3</v>
      </c>
      <c r="J888" s="57" t="n">
        <v>6</v>
      </c>
    </row>
    <row r="889">
      <c r="A889" s="62" t="n">
        <v>47000</v>
      </c>
      <c r="B889" s="19" t="n">
        <v>2028</v>
      </c>
      <c r="C889" s="19" t="n">
        <v>9</v>
      </c>
      <c r="D889" s="56" t="inlineStr">
        <is>
          <t>Mon</t>
        </is>
      </c>
      <c r="E889" s="56" t="inlineStr">
        <is>
          <t>Week</t>
        </is>
      </c>
      <c r="F889" s="56">
        <f>IF(ForeCalc!$F$1="Staffed Hours",G889,24)</f>
        <v/>
      </c>
      <c r="G889" s="57">
        <f>IF(COUNTIF(M:M,Calendar!A889)&gt;0,VLOOKUP(A889,M:P,4,FALSE),VLOOKUP(D889,BusData!$A$3:$D$10,4,FALSE))</f>
        <v/>
      </c>
      <c r="H889" s="11">
        <f>F889/SUMIFS($F$2:$F$9997,$B$2:$B$9997,B889,$C$2:$C$9997,C889)</f>
        <v/>
      </c>
      <c r="I889" s="19" t="n">
        <v>3</v>
      </c>
      <c r="J889" s="57" t="n">
        <v>6</v>
      </c>
    </row>
    <row r="890">
      <c r="A890" s="62" t="n">
        <v>47001</v>
      </c>
      <c r="B890" s="19" t="n">
        <v>2028</v>
      </c>
      <c r="C890" s="19" t="n">
        <v>9</v>
      </c>
      <c r="D890" s="56" t="inlineStr">
        <is>
          <t>Tue</t>
        </is>
      </c>
      <c r="E890" s="56" t="inlineStr">
        <is>
          <t>Week</t>
        </is>
      </c>
      <c r="F890" s="56">
        <f>IF(ForeCalc!$F$1="Staffed Hours",G890,24)</f>
        <v/>
      </c>
      <c r="G890" s="57">
        <f>IF(COUNTIF(M:M,Calendar!A890)&gt;0,VLOOKUP(A890,M:P,4,FALSE),VLOOKUP(D890,BusData!$A$3:$D$10,4,FALSE))</f>
        <v/>
      </c>
      <c r="H890" s="11">
        <f>F890/SUMIFS($F$2:$F$9997,$B$2:$B$9997,B890,$C$2:$C$9997,C890)</f>
        <v/>
      </c>
      <c r="I890" s="19" t="n">
        <v>3</v>
      </c>
      <c r="J890" s="57" t="n">
        <v>6</v>
      </c>
    </row>
    <row r="891">
      <c r="A891" s="62" t="n">
        <v>47002</v>
      </c>
      <c r="B891" s="19" t="n">
        <v>2028</v>
      </c>
      <c r="C891" s="19" t="n">
        <v>9</v>
      </c>
      <c r="D891" s="56" t="inlineStr">
        <is>
          <t>Wed</t>
        </is>
      </c>
      <c r="E891" s="56" t="inlineStr">
        <is>
          <t>Week</t>
        </is>
      </c>
      <c r="F891" s="56">
        <f>IF(ForeCalc!$F$1="Staffed Hours",G891,24)</f>
        <v/>
      </c>
      <c r="G891" s="57">
        <f>IF(COUNTIF(M:M,Calendar!A891)&gt;0,VLOOKUP(A891,M:P,4,FALSE),VLOOKUP(D891,BusData!$A$3:$D$10,4,FALSE))</f>
        <v/>
      </c>
      <c r="H891" s="11">
        <f>F891/SUMIFS($F$2:$F$9997,$B$2:$B$9997,B891,$C$2:$C$9997,C891)</f>
        <v/>
      </c>
      <c r="I891" s="19" t="n">
        <v>3</v>
      </c>
      <c r="J891" s="57" t="n">
        <v>6</v>
      </c>
    </row>
    <row r="892">
      <c r="A892" s="62" t="n">
        <v>47003</v>
      </c>
      <c r="B892" s="19" t="n">
        <v>2028</v>
      </c>
      <c r="C892" s="19" t="n">
        <v>9</v>
      </c>
      <c r="D892" s="56" t="inlineStr">
        <is>
          <t>Thu</t>
        </is>
      </c>
      <c r="E892" s="56" t="inlineStr">
        <is>
          <t>Week</t>
        </is>
      </c>
      <c r="F892" s="56">
        <f>IF(ForeCalc!$F$1="Staffed Hours",G892,24)</f>
        <v/>
      </c>
      <c r="G892" s="57">
        <f>IF(COUNTIF(M:M,Calendar!A892)&gt;0,VLOOKUP(A892,M:P,4,FALSE),VLOOKUP(D892,BusData!$A$3:$D$10,4,FALSE))</f>
        <v/>
      </c>
      <c r="H892" s="11">
        <f>F892/SUMIFS($F$2:$F$9997,$B$2:$B$9997,B892,$C$2:$C$9997,C892)</f>
        <v/>
      </c>
      <c r="I892" s="19" t="n">
        <v>3</v>
      </c>
      <c r="J892" s="57" t="n">
        <v>6</v>
      </c>
    </row>
    <row r="893">
      <c r="A893" s="62" t="n">
        <v>47004</v>
      </c>
      <c r="B893" s="19" t="n">
        <v>2028</v>
      </c>
      <c r="C893" s="19" t="n">
        <v>9</v>
      </c>
      <c r="D893" s="56" t="inlineStr">
        <is>
          <t>Fri</t>
        </is>
      </c>
      <c r="E893" s="56" t="inlineStr">
        <is>
          <t>Week</t>
        </is>
      </c>
      <c r="F893" s="56">
        <f>IF(ForeCalc!$F$1="Staffed Hours",G893,24)</f>
        <v/>
      </c>
      <c r="G893" s="57">
        <f>IF(COUNTIF(M:M,Calendar!A893)&gt;0,VLOOKUP(A893,M:P,4,FALSE),VLOOKUP(D893,BusData!$A$3:$D$10,4,FALSE))</f>
        <v/>
      </c>
      <c r="H893" s="11">
        <f>F893/SUMIFS($F$2:$F$9997,$B$2:$B$9997,B893,$C$2:$C$9997,C893)</f>
        <v/>
      </c>
      <c r="I893" s="19" t="n">
        <v>3</v>
      </c>
      <c r="J893" s="57" t="n">
        <v>6</v>
      </c>
    </row>
    <row r="894">
      <c r="A894" s="62" t="n">
        <v>47005</v>
      </c>
      <c r="B894" s="19" t="n">
        <v>2028</v>
      </c>
      <c r="C894" s="19" t="n">
        <v>9</v>
      </c>
      <c r="D894" s="56" t="inlineStr">
        <is>
          <t>Sat</t>
        </is>
      </c>
      <c r="E894" s="56" t="inlineStr">
        <is>
          <t>Sat</t>
        </is>
      </c>
      <c r="F894" s="56">
        <f>IF(ForeCalc!$F$1="Staffed Hours",G894,24)</f>
        <v/>
      </c>
      <c r="G894" s="57">
        <f>IF(COUNTIF(M:M,Calendar!A894)&gt;0,VLOOKUP(A894,M:P,4,FALSE),VLOOKUP(D894,BusData!$A$3:$D$10,4,FALSE))</f>
        <v/>
      </c>
      <c r="H894" s="11">
        <f>F894/SUMIFS($F$2:$F$9997,$B$2:$B$9997,B894,$C$2:$C$9997,C894)</f>
        <v/>
      </c>
      <c r="I894" s="19" t="n">
        <v>3</v>
      </c>
      <c r="J894" s="57" t="n">
        <v>6</v>
      </c>
    </row>
    <row r="895">
      <c r="A895" s="62" t="n">
        <v>47006</v>
      </c>
      <c r="B895" s="19" t="n">
        <v>2028</v>
      </c>
      <c r="C895" s="19" t="n">
        <v>9</v>
      </c>
      <c r="D895" s="56" t="inlineStr">
        <is>
          <t>Sun</t>
        </is>
      </c>
      <c r="E895" s="56" t="inlineStr">
        <is>
          <t>Sun</t>
        </is>
      </c>
      <c r="F895" s="56">
        <f>IF(ForeCalc!$F$1="Staffed Hours",G895,24)</f>
        <v/>
      </c>
      <c r="G895" s="57">
        <f>IF(COUNTIF(M:M,Calendar!A895)&gt;0,VLOOKUP(A895,M:P,4,FALSE),VLOOKUP(D895,BusData!$A$3:$D$10,4,FALSE))</f>
        <v/>
      </c>
      <c r="H895" s="11">
        <f>F895/SUMIFS($F$2:$F$9997,$B$2:$B$9997,B895,$C$2:$C$9997,C895)</f>
        <v/>
      </c>
      <c r="I895" s="19" t="n">
        <v>3</v>
      </c>
      <c r="J895" s="57" t="n">
        <v>6</v>
      </c>
    </row>
    <row r="896">
      <c r="A896" s="62" t="n">
        <v>47007</v>
      </c>
      <c r="B896" s="19" t="n">
        <v>2028</v>
      </c>
      <c r="C896" s="19" t="n">
        <v>9</v>
      </c>
      <c r="D896" s="56" t="inlineStr">
        <is>
          <t>Mon</t>
        </is>
      </c>
      <c r="E896" s="56" t="inlineStr">
        <is>
          <t>Week</t>
        </is>
      </c>
      <c r="F896" s="56">
        <f>IF(ForeCalc!$F$1="Staffed Hours",G896,24)</f>
        <v/>
      </c>
      <c r="G896" s="57">
        <f>IF(COUNTIF(M:M,Calendar!A896)&gt;0,VLOOKUP(A896,M:P,4,FALSE),VLOOKUP(D896,BusData!$A$3:$D$10,4,FALSE))</f>
        <v/>
      </c>
      <c r="H896" s="11">
        <f>F896/SUMIFS($F$2:$F$9997,$B$2:$B$9997,B896,$C$2:$C$9997,C896)</f>
        <v/>
      </c>
      <c r="I896" s="19" t="n">
        <v>3</v>
      </c>
      <c r="J896" s="57" t="n">
        <v>6</v>
      </c>
    </row>
    <row r="897">
      <c r="A897" s="62" t="n">
        <v>47008</v>
      </c>
      <c r="B897" s="19" t="n">
        <v>2028</v>
      </c>
      <c r="C897" s="19" t="n">
        <v>9</v>
      </c>
      <c r="D897" s="56" t="inlineStr">
        <is>
          <t>Tue</t>
        </is>
      </c>
      <c r="E897" s="56" t="inlineStr">
        <is>
          <t>Week</t>
        </is>
      </c>
      <c r="F897" s="56">
        <f>IF(ForeCalc!$F$1="Staffed Hours",G897,24)</f>
        <v/>
      </c>
      <c r="G897" s="57">
        <f>IF(COUNTIF(M:M,Calendar!A897)&gt;0,VLOOKUP(A897,M:P,4,FALSE),VLOOKUP(D897,BusData!$A$3:$D$10,4,FALSE))</f>
        <v/>
      </c>
      <c r="H897" s="11">
        <f>F897/SUMIFS($F$2:$F$9997,$B$2:$B$9997,B897,$C$2:$C$9997,C897)</f>
        <v/>
      </c>
      <c r="I897" s="19" t="n">
        <v>3</v>
      </c>
      <c r="J897" s="57" t="n">
        <v>6</v>
      </c>
    </row>
    <row r="898">
      <c r="A898" s="62" t="n">
        <v>47009</v>
      </c>
      <c r="B898" s="19" t="n">
        <v>2028</v>
      </c>
      <c r="C898" s="19" t="n">
        <v>9</v>
      </c>
      <c r="D898" s="56" t="inlineStr">
        <is>
          <t>Wed</t>
        </is>
      </c>
      <c r="E898" s="56" t="inlineStr">
        <is>
          <t>Week</t>
        </is>
      </c>
      <c r="F898" s="56">
        <f>IF(ForeCalc!$F$1="Staffed Hours",G898,24)</f>
        <v/>
      </c>
      <c r="G898" s="57">
        <f>IF(COUNTIF(M:M,Calendar!A898)&gt;0,VLOOKUP(A898,M:P,4,FALSE),VLOOKUP(D898,BusData!$A$3:$D$10,4,FALSE))</f>
        <v/>
      </c>
      <c r="H898" s="11">
        <f>F898/SUMIFS($F$2:$F$9997,$B$2:$B$9997,B898,$C$2:$C$9997,C898)</f>
        <v/>
      </c>
      <c r="I898" s="19" t="n">
        <v>3</v>
      </c>
      <c r="J898" s="57" t="n">
        <v>6</v>
      </c>
    </row>
    <row r="899">
      <c r="A899" s="62" t="n">
        <v>47010</v>
      </c>
      <c r="B899" s="19" t="n">
        <v>2028</v>
      </c>
      <c r="C899" s="19" t="n">
        <v>9</v>
      </c>
      <c r="D899" s="56" t="inlineStr">
        <is>
          <t>Thu</t>
        </is>
      </c>
      <c r="E899" s="56" t="inlineStr">
        <is>
          <t>Week</t>
        </is>
      </c>
      <c r="F899" s="56">
        <f>IF(ForeCalc!$F$1="Staffed Hours",G899,24)</f>
        <v/>
      </c>
      <c r="G899" s="57">
        <f>IF(COUNTIF(M:M,Calendar!A899)&gt;0,VLOOKUP(A899,M:P,4,FALSE),VLOOKUP(D899,BusData!$A$3:$D$10,4,FALSE))</f>
        <v/>
      </c>
      <c r="H899" s="11">
        <f>F899/SUMIFS($F$2:$F$9997,$B$2:$B$9997,B899,$C$2:$C$9997,C899)</f>
        <v/>
      </c>
      <c r="I899" s="19" t="n">
        <v>3</v>
      </c>
      <c r="J899" s="57" t="n">
        <v>6</v>
      </c>
    </row>
    <row r="900">
      <c r="A900" s="62" t="n">
        <v>47011</v>
      </c>
      <c r="B900" s="19" t="n">
        <v>2028</v>
      </c>
      <c r="C900" s="19" t="n">
        <v>9</v>
      </c>
      <c r="D900" s="56" t="inlineStr">
        <is>
          <t>Fri</t>
        </is>
      </c>
      <c r="E900" s="56" t="inlineStr">
        <is>
          <t>Week</t>
        </is>
      </c>
      <c r="F900" s="56">
        <f>IF(ForeCalc!$F$1="Staffed Hours",G900,24)</f>
        <v/>
      </c>
      <c r="G900" s="57">
        <f>IF(COUNTIF(M:M,Calendar!A900)&gt;0,VLOOKUP(A900,M:P,4,FALSE),VLOOKUP(D900,BusData!$A$3:$D$10,4,FALSE))</f>
        <v/>
      </c>
      <c r="H900" s="11">
        <f>F900/SUMIFS($F$2:$F$9997,$B$2:$B$9997,B900,$C$2:$C$9997,C900)</f>
        <v/>
      </c>
      <c r="I900" s="19" t="n">
        <v>3</v>
      </c>
      <c r="J900" s="57" t="n">
        <v>6</v>
      </c>
    </row>
    <row r="901">
      <c r="A901" s="62" t="n">
        <v>47012</v>
      </c>
      <c r="B901" s="19" t="n">
        <v>2028</v>
      </c>
      <c r="C901" s="19" t="n">
        <v>9</v>
      </c>
      <c r="D901" s="56" t="inlineStr">
        <is>
          <t>Sat</t>
        </is>
      </c>
      <c r="E901" s="56" t="inlineStr">
        <is>
          <t>Sat</t>
        </is>
      </c>
      <c r="F901" s="56">
        <f>IF(ForeCalc!$F$1="Staffed Hours",G901,24)</f>
        <v/>
      </c>
      <c r="G901" s="57">
        <f>IF(COUNTIF(M:M,Calendar!A901)&gt;0,VLOOKUP(A901,M:P,4,FALSE),VLOOKUP(D901,BusData!$A$3:$D$10,4,FALSE))</f>
        <v/>
      </c>
      <c r="H901" s="11">
        <f>F901/SUMIFS($F$2:$F$9997,$B$2:$B$9997,B901,$C$2:$C$9997,C901)</f>
        <v/>
      </c>
      <c r="I901" s="19" t="n">
        <v>3</v>
      </c>
      <c r="J901" s="57" t="n">
        <v>6</v>
      </c>
    </row>
    <row r="902">
      <c r="A902" s="62" t="n">
        <v>47013</v>
      </c>
      <c r="B902" s="19" t="n">
        <v>2028</v>
      </c>
      <c r="C902" s="19" t="n">
        <v>9</v>
      </c>
      <c r="D902" s="56" t="inlineStr">
        <is>
          <t>Sun</t>
        </is>
      </c>
      <c r="E902" s="56" t="inlineStr">
        <is>
          <t>Sun</t>
        </is>
      </c>
      <c r="F902" s="56">
        <f>IF(ForeCalc!$F$1="Staffed Hours",G902,24)</f>
        <v/>
      </c>
      <c r="G902" s="57">
        <f>IF(COUNTIF(M:M,Calendar!A902)&gt;0,VLOOKUP(A902,M:P,4,FALSE),VLOOKUP(D902,BusData!$A$3:$D$10,4,FALSE))</f>
        <v/>
      </c>
      <c r="H902" s="11">
        <f>F902/SUMIFS($F$2:$F$9997,$B$2:$B$9997,B902,$C$2:$C$9997,C902)</f>
        <v/>
      </c>
      <c r="I902" s="19" t="n">
        <v>3</v>
      </c>
      <c r="J902" s="57" t="n">
        <v>6</v>
      </c>
    </row>
    <row r="903">
      <c r="A903" s="62" t="n">
        <v>47014</v>
      </c>
      <c r="B903" s="19" t="n">
        <v>2028</v>
      </c>
      <c r="C903" s="19" t="n">
        <v>9</v>
      </c>
      <c r="D903" s="56" t="inlineStr">
        <is>
          <t>Mon</t>
        </is>
      </c>
      <c r="E903" s="56" t="inlineStr">
        <is>
          <t>Week</t>
        </is>
      </c>
      <c r="F903" s="56">
        <f>IF(ForeCalc!$F$1="Staffed Hours",G903,24)</f>
        <v/>
      </c>
      <c r="G903" s="57">
        <f>IF(COUNTIF(M:M,Calendar!A903)&gt;0,VLOOKUP(A903,M:P,4,FALSE),VLOOKUP(D903,BusData!$A$3:$D$10,4,FALSE))</f>
        <v/>
      </c>
      <c r="H903" s="11">
        <f>F903/SUMIFS($F$2:$F$9997,$B$2:$B$9997,B903,$C$2:$C$9997,C903)</f>
        <v/>
      </c>
      <c r="I903" s="19" t="n">
        <v>3</v>
      </c>
      <c r="J903" s="57" t="n">
        <v>6</v>
      </c>
    </row>
    <row r="904">
      <c r="A904" s="62" t="n">
        <v>47015</v>
      </c>
      <c r="B904" s="19" t="n">
        <v>2028</v>
      </c>
      <c r="C904" s="19" t="n">
        <v>9</v>
      </c>
      <c r="D904" s="56" t="inlineStr">
        <is>
          <t>Tue</t>
        </is>
      </c>
      <c r="E904" s="56" t="inlineStr">
        <is>
          <t>Week</t>
        </is>
      </c>
      <c r="F904" s="56">
        <f>IF(ForeCalc!$F$1="Staffed Hours",G904,24)</f>
        <v/>
      </c>
      <c r="G904" s="57">
        <f>IF(COUNTIF(M:M,Calendar!A904)&gt;0,VLOOKUP(A904,M:P,4,FALSE),VLOOKUP(D904,BusData!$A$3:$D$10,4,FALSE))</f>
        <v/>
      </c>
      <c r="H904" s="11">
        <f>F904/SUMIFS($F$2:$F$9997,$B$2:$B$9997,B904,$C$2:$C$9997,C904)</f>
        <v/>
      </c>
      <c r="I904" s="19" t="n">
        <v>3</v>
      </c>
      <c r="J904" s="57" t="n">
        <v>6</v>
      </c>
    </row>
    <row r="905">
      <c r="A905" s="62" t="n">
        <v>47016</v>
      </c>
      <c r="B905" s="19" t="n">
        <v>2028</v>
      </c>
      <c r="C905" s="19" t="n">
        <v>9</v>
      </c>
      <c r="D905" s="56" t="inlineStr">
        <is>
          <t>Wed</t>
        </is>
      </c>
      <c r="E905" s="56" t="inlineStr">
        <is>
          <t>Week</t>
        </is>
      </c>
      <c r="F905" s="56">
        <f>IF(ForeCalc!$F$1="Staffed Hours",G905,24)</f>
        <v/>
      </c>
      <c r="G905" s="57">
        <f>IF(COUNTIF(M:M,Calendar!A905)&gt;0,VLOOKUP(A905,M:P,4,FALSE),VLOOKUP(D905,BusData!$A$3:$D$10,4,FALSE))</f>
        <v/>
      </c>
      <c r="H905" s="11">
        <f>F905/SUMIFS($F$2:$F$9997,$B$2:$B$9997,B905,$C$2:$C$9997,C905)</f>
        <v/>
      </c>
      <c r="I905" s="19" t="n">
        <v>3</v>
      </c>
      <c r="J905" s="57" t="n">
        <v>6</v>
      </c>
    </row>
    <row r="906">
      <c r="A906" s="62" t="n">
        <v>47017</v>
      </c>
      <c r="B906" s="19" t="n">
        <v>2028</v>
      </c>
      <c r="C906" s="19" t="n">
        <v>9</v>
      </c>
      <c r="D906" s="56" t="inlineStr">
        <is>
          <t>Thu</t>
        </is>
      </c>
      <c r="E906" s="56" t="inlineStr">
        <is>
          <t>Week</t>
        </is>
      </c>
      <c r="F906" s="56">
        <f>IF(ForeCalc!$F$1="Staffed Hours",G906,24)</f>
        <v/>
      </c>
      <c r="G906" s="57">
        <f>IF(COUNTIF(M:M,Calendar!A906)&gt;0,VLOOKUP(A906,M:P,4,FALSE),VLOOKUP(D906,BusData!$A$3:$D$10,4,FALSE))</f>
        <v/>
      </c>
      <c r="H906" s="11">
        <f>F906/SUMIFS($F$2:$F$9997,$B$2:$B$9997,B906,$C$2:$C$9997,C906)</f>
        <v/>
      </c>
      <c r="I906" s="19" t="n">
        <v>3</v>
      </c>
      <c r="J906" s="57" t="n">
        <v>6</v>
      </c>
    </row>
    <row r="907">
      <c r="A907" s="62" t="n">
        <v>47018</v>
      </c>
      <c r="B907" s="19" t="n">
        <v>2028</v>
      </c>
      <c r="C907" s="19" t="n">
        <v>9</v>
      </c>
      <c r="D907" s="56" t="inlineStr">
        <is>
          <t>Fri</t>
        </is>
      </c>
      <c r="E907" s="56" t="inlineStr">
        <is>
          <t>Week</t>
        </is>
      </c>
      <c r="F907" s="56">
        <f>IF(ForeCalc!$F$1="Staffed Hours",G907,24)</f>
        <v/>
      </c>
      <c r="G907" s="57">
        <f>IF(COUNTIF(M:M,Calendar!A907)&gt;0,VLOOKUP(A907,M:P,4,FALSE),VLOOKUP(D907,BusData!$A$3:$D$10,4,FALSE))</f>
        <v/>
      </c>
      <c r="H907" s="11">
        <f>F907/SUMIFS($F$2:$F$9997,$B$2:$B$9997,B907,$C$2:$C$9997,C907)</f>
        <v/>
      </c>
      <c r="I907" s="19" t="n">
        <v>3</v>
      </c>
      <c r="J907" s="57" t="n">
        <v>6</v>
      </c>
    </row>
    <row r="908">
      <c r="A908" s="62" t="n">
        <v>47019</v>
      </c>
      <c r="B908" s="19" t="n">
        <v>2028</v>
      </c>
      <c r="C908" s="19" t="n">
        <v>9</v>
      </c>
      <c r="D908" s="56" t="inlineStr">
        <is>
          <t>Sat</t>
        </is>
      </c>
      <c r="E908" s="56" t="inlineStr">
        <is>
          <t>Sat</t>
        </is>
      </c>
      <c r="F908" s="56">
        <f>IF(ForeCalc!$F$1="Staffed Hours",G908,24)</f>
        <v/>
      </c>
      <c r="G908" s="57">
        <f>IF(COUNTIF(M:M,Calendar!A908)&gt;0,VLOOKUP(A908,M:P,4,FALSE),VLOOKUP(D908,BusData!$A$3:$D$10,4,FALSE))</f>
        <v/>
      </c>
      <c r="H908" s="11">
        <f>F908/SUMIFS($F$2:$F$9997,$B$2:$B$9997,B908,$C$2:$C$9997,C908)</f>
        <v/>
      </c>
      <c r="I908" s="19" t="n">
        <v>3</v>
      </c>
      <c r="J908" s="57" t="n">
        <v>6</v>
      </c>
    </row>
    <row r="909">
      <c r="A909" s="62" t="n">
        <v>47020</v>
      </c>
      <c r="B909" s="19" t="n">
        <v>2028</v>
      </c>
      <c r="C909" s="19" t="n">
        <v>9</v>
      </c>
      <c r="D909" s="56" t="inlineStr">
        <is>
          <t>Sun</t>
        </is>
      </c>
      <c r="E909" s="56" t="inlineStr">
        <is>
          <t>Sun</t>
        </is>
      </c>
      <c r="F909" s="56">
        <f>IF(ForeCalc!$F$1="Staffed Hours",G909,24)</f>
        <v/>
      </c>
      <c r="G909" s="57">
        <f>IF(COUNTIF(M:M,Calendar!A909)&gt;0,VLOOKUP(A909,M:P,4,FALSE),VLOOKUP(D909,BusData!$A$3:$D$10,4,FALSE))</f>
        <v/>
      </c>
      <c r="H909" s="11">
        <f>F909/SUMIFS($F$2:$F$9997,$B$2:$B$9997,B909,$C$2:$C$9997,C909)</f>
        <v/>
      </c>
      <c r="I909" s="19" t="n">
        <v>3</v>
      </c>
      <c r="J909" s="57" t="n">
        <v>6</v>
      </c>
    </row>
    <row r="910">
      <c r="A910" s="62" t="n">
        <v>47021</v>
      </c>
      <c r="B910" s="19" t="n">
        <v>2028</v>
      </c>
      <c r="C910" s="19" t="n">
        <v>9</v>
      </c>
      <c r="D910" s="56" t="inlineStr">
        <is>
          <t>Mon</t>
        </is>
      </c>
      <c r="E910" s="56" t="inlineStr">
        <is>
          <t>Week</t>
        </is>
      </c>
      <c r="F910" s="56">
        <f>IF(ForeCalc!$F$1="Staffed Hours",G910,24)</f>
        <v/>
      </c>
      <c r="G910" s="57">
        <f>IF(COUNTIF(M:M,Calendar!A910)&gt;0,VLOOKUP(A910,M:P,4,FALSE),VLOOKUP(D910,BusData!$A$3:$D$10,4,FALSE))</f>
        <v/>
      </c>
      <c r="H910" s="11">
        <f>F910/SUMIFS($F$2:$F$9997,$B$2:$B$9997,B910,$C$2:$C$9997,C910)</f>
        <v/>
      </c>
      <c r="I910" s="19" t="n">
        <v>3</v>
      </c>
      <c r="J910" s="57" t="n">
        <v>6</v>
      </c>
    </row>
    <row r="911">
      <c r="A911" s="62" t="n">
        <v>47022</v>
      </c>
      <c r="B911" s="19" t="n">
        <v>2028</v>
      </c>
      <c r="C911" s="19" t="n">
        <v>9</v>
      </c>
      <c r="D911" s="56" t="inlineStr">
        <is>
          <t>Tue</t>
        </is>
      </c>
      <c r="E911" s="56" t="inlineStr">
        <is>
          <t>Week</t>
        </is>
      </c>
      <c r="F911" s="56">
        <f>IF(ForeCalc!$F$1="Staffed Hours",G911,24)</f>
        <v/>
      </c>
      <c r="G911" s="57">
        <f>IF(COUNTIF(M:M,Calendar!A911)&gt;0,VLOOKUP(A911,M:P,4,FALSE),VLOOKUP(D911,BusData!$A$3:$D$10,4,FALSE))</f>
        <v/>
      </c>
      <c r="H911" s="11">
        <f>F911/SUMIFS($F$2:$F$9997,$B$2:$B$9997,B911,$C$2:$C$9997,C911)</f>
        <v/>
      </c>
      <c r="I911" s="19" t="n">
        <v>3</v>
      </c>
      <c r="J911" s="57" t="n">
        <v>6</v>
      </c>
    </row>
    <row r="912">
      <c r="A912" s="62" t="n">
        <v>47023</v>
      </c>
      <c r="B912" s="19" t="n">
        <v>2028</v>
      </c>
      <c r="C912" s="19" t="n">
        <v>9</v>
      </c>
      <c r="D912" s="56" t="inlineStr">
        <is>
          <t>Wed</t>
        </is>
      </c>
      <c r="E912" s="56" t="inlineStr">
        <is>
          <t>Week</t>
        </is>
      </c>
      <c r="F912" s="56">
        <f>IF(ForeCalc!$F$1="Staffed Hours",G912,24)</f>
        <v/>
      </c>
      <c r="G912" s="57">
        <f>IF(COUNTIF(M:M,Calendar!A912)&gt;0,VLOOKUP(A912,M:P,4,FALSE),VLOOKUP(D912,BusData!$A$3:$D$10,4,FALSE))</f>
        <v/>
      </c>
      <c r="H912" s="11">
        <f>F912/SUMIFS($F$2:$F$9997,$B$2:$B$9997,B912,$C$2:$C$9997,C912)</f>
        <v/>
      </c>
      <c r="I912" s="19" t="n">
        <v>3</v>
      </c>
      <c r="J912" s="57" t="n">
        <v>6</v>
      </c>
    </row>
    <row r="913">
      <c r="A913" s="62" t="n">
        <v>47024</v>
      </c>
      <c r="B913" s="19" t="n">
        <v>2028</v>
      </c>
      <c r="C913" s="19" t="n">
        <v>9</v>
      </c>
      <c r="D913" s="56" t="inlineStr">
        <is>
          <t>Thu</t>
        </is>
      </c>
      <c r="E913" s="56" t="inlineStr">
        <is>
          <t>Week</t>
        </is>
      </c>
      <c r="F913" s="56">
        <f>IF(ForeCalc!$F$1="Staffed Hours",G913,24)</f>
        <v/>
      </c>
      <c r="G913" s="57">
        <f>IF(COUNTIF(M:M,Calendar!A913)&gt;0,VLOOKUP(A913,M:P,4,FALSE),VLOOKUP(D913,BusData!$A$3:$D$10,4,FALSE))</f>
        <v/>
      </c>
      <c r="H913" s="11">
        <f>F913/SUMIFS($F$2:$F$9997,$B$2:$B$9997,B913,$C$2:$C$9997,C913)</f>
        <v/>
      </c>
      <c r="I913" s="19" t="n">
        <v>3</v>
      </c>
      <c r="J913" s="57" t="n">
        <v>6</v>
      </c>
    </row>
    <row r="914">
      <c r="A914" s="62" t="n">
        <v>47025</v>
      </c>
      <c r="B914" s="19" t="n">
        <v>2028</v>
      </c>
      <c r="C914" s="19" t="n">
        <v>9</v>
      </c>
      <c r="D914" s="56" t="inlineStr">
        <is>
          <t>Fri</t>
        </is>
      </c>
      <c r="E914" s="56" t="inlineStr">
        <is>
          <t>Week</t>
        </is>
      </c>
      <c r="F914" s="56">
        <f>IF(ForeCalc!$F$1="Staffed Hours",G914,24)</f>
        <v/>
      </c>
      <c r="G914" s="57">
        <f>IF(COUNTIF(M:M,Calendar!A914)&gt;0,VLOOKUP(A914,M:P,4,FALSE),VLOOKUP(D914,BusData!$A$3:$D$10,4,FALSE))</f>
        <v/>
      </c>
      <c r="H914" s="11">
        <f>F914/SUMIFS($F$2:$F$9997,$B$2:$B$9997,B914,$C$2:$C$9997,C914)</f>
        <v/>
      </c>
      <c r="I914" s="19" t="n">
        <v>3</v>
      </c>
      <c r="J914" s="57" t="n">
        <v>6</v>
      </c>
    </row>
    <row r="915">
      <c r="A915" s="62" t="n">
        <v>47026</v>
      </c>
      <c r="B915" s="19" t="n">
        <v>2028</v>
      </c>
      <c r="C915" s="19" t="n">
        <v>9</v>
      </c>
      <c r="D915" s="56" t="inlineStr">
        <is>
          <t>Sat</t>
        </is>
      </c>
      <c r="E915" s="56" t="inlineStr">
        <is>
          <t>Sat</t>
        </is>
      </c>
      <c r="F915" s="56">
        <f>IF(ForeCalc!$F$1="Staffed Hours",G915,24)</f>
        <v/>
      </c>
      <c r="G915" s="57">
        <f>IF(COUNTIF(M:M,Calendar!A915)&gt;0,VLOOKUP(A915,M:P,4,FALSE),VLOOKUP(D915,BusData!$A$3:$D$10,4,FALSE))</f>
        <v/>
      </c>
      <c r="H915" s="11">
        <f>F915/SUMIFS($F$2:$F$9997,$B$2:$B$9997,B915,$C$2:$C$9997,C915)</f>
        <v/>
      </c>
      <c r="I915" s="19" t="n">
        <v>3</v>
      </c>
      <c r="J915" s="57" t="n">
        <v>6</v>
      </c>
    </row>
    <row r="916">
      <c r="A916" s="62" t="n">
        <v>47027</v>
      </c>
      <c r="B916" s="19" t="n">
        <v>2028</v>
      </c>
      <c r="C916" s="19" t="n">
        <v>10</v>
      </c>
      <c r="D916" s="56" t="inlineStr">
        <is>
          <t>Sun</t>
        </is>
      </c>
      <c r="E916" s="56" t="inlineStr">
        <is>
          <t>Sun</t>
        </is>
      </c>
      <c r="F916" s="56">
        <f>IF(ForeCalc!$F$1="Staffed Hours",G916,24)</f>
        <v/>
      </c>
      <c r="G916" s="57">
        <f>IF(COUNTIF(M:M,Calendar!A916)&gt;0,VLOOKUP(A916,M:P,4,FALSE),VLOOKUP(D916,BusData!$A$3:$D$10,4,FALSE))</f>
        <v/>
      </c>
      <c r="H916" s="11">
        <f>F916/SUMIFS($F$2:$F$9997,$B$2:$B$9997,B916,$C$2:$C$9997,C916)</f>
        <v/>
      </c>
      <c r="I916" s="19" t="n">
        <v>3</v>
      </c>
      <c r="J916" s="57" t="n">
        <v>7</v>
      </c>
    </row>
    <row r="917">
      <c r="A917" s="62" t="n">
        <v>47028</v>
      </c>
      <c r="B917" s="19" t="n">
        <v>2028</v>
      </c>
      <c r="C917" s="19" t="n">
        <v>10</v>
      </c>
      <c r="D917" s="56" t="inlineStr">
        <is>
          <t>Mon</t>
        </is>
      </c>
      <c r="E917" s="56" t="inlineStr">
        <is>
          <t>Week</t>
        </is>
      </c>
      <c r="F917" s="56">
        <f>IF(ForeCalc!$F$1="Staffed Hours",G917,24)</f>
        <v/>
      </c>
      <c r="G917" s="57">
        <f>IF(COUNTIF(M:M,Calendar!A917)&gt;0,VLOOKUP(A917,M:P,4,FALSE),VLOOKUP(D917,BusData!$A$3:$D$10,4,FALSE))</f>
        <v/>
      </c>
      <c r="H917" s="11">
        <f>F917/SUMIFS($F$2:$F$9997,$B$2:$B$9997,B917,$C$2:$C$9997,C917)</f>
        <v/>
      </c>
      <c r="I917" s="19" t="n">
        <v>3</v>
      </c>
      <c r="J917" s="57" t="n">
        <v>7</v>
      </c>
    </row>
    <row r="918">
      <c r="A918" s="62" t="n">
        <v>47029</v>
      </c>
      <c r="B918" s="19" t="n">
        <v>2028</v>
      </c>
      <c r="C918" s="19" t="n">
        <v>10</v>
      </c>
      <c r="D918" s="56" t="inlineStr">
        <is>
          <t>Tue</t>
        </is>
      </c>
      <c r="E918" s="56" t="inlineStr">
        <is>
          <t>Week</t>
        </is>
      </c>
      <c r="F918" s="56">
        <f>IF(ForeCalc!$F$1="Staffed Hours",G918,24)</f>
        <v/>
      </c>
      <c r="G918" s="57">
        <f>IF(COUNTIF(M:M,Calendar!A918)&gt;0,VLOOKUP(A918,M:P,4,FALSE),VLOOKUP(D918,BusData!$A$3:$D$10,4,FALSE))</f>
        <v/>
      </c>
      <c r="H918" s="11">
        <f>F918/SUMIFS($F$2:$F$9997,$B$2:$B$9997,B918,$C$2:$C$9997,C918)</f>
        <v/>
      </c>
      <c r="I918" s="19" t="n">
        <v>3</v>
      </c>
      <c r="J918" s="57" t="n">
        <v>7</v>
      </c>
    </row>
    <row r="919">
      <c r="A919" s="62" t="n">
        <v>47030</v>
      </c>
      <c r="B919" s="19" t="n">
        <v>2028</v>
      </c>
      <c r="C919" s="19" t="n">
        <v>10</v>
      </c>
      <c r="D919" s="56" t="inlineStr">
        <is>
          <t>Wed</t>
        </is>
      </c>
      <c r="E919" s="56" t="inlineStr">
        <is>
          <t>Week</t>
        </is>
      </c>
      <c r="F919" s="56">
        <f>IF(ForeCalc!$F$1="Staffed Hours",G919,24)</f>
        <v/>
      </c>
      <c r="G919" s="57">
        <f>IF(COUNTIF(M:M,Calendar!A919)&gt;0,VLOOKUP(A919,M:P,4,FALSE),VLOOKUP(D919,BusData!$A$3:$D$10,4,FALSE))</f>
        <v/>
      </c>
      <c r="H919" s="11">
        <f>F919/SUMIFS($F$2:$F$9997,$B$2:$B$9997,B919,$C$2:$C$9997,C919)</f>
        <v/>
      </c>
      <c r="I919" s="19" t="n">
        <v>3</v>
      </c>
      <c r="J919" s="57" t="n">
        <v>7</v>
      </c>
    </row>
    <row r="920">
      <c r="A920" s="62" t="n">
        <v>47031</v>
      </c>
      <c r="B920" s="19" t="n">
        <v>2028</v>
      </c>
      <c r="C920" s="19" t="n">
        <v>10</v>
      </c>
      <c r="D920" s="56" t="inlineStr">
        <is>
          <t>Thu</t>
        </is>
      </c>
      <c r="E920" s="56" t="inlineStr">
        <is>
          <t>Week</t>
        </is>
      </c>
      <c r="F920" s="56">
        <f>IF(ForeCalc!$F$1="Staffed Hours",G920,24)</f>
        <v/>
      </c>
      <c r="G920" s="57">
        <f>IF(COUNTIF(M:M,Calendar!A920)&gt;0,VLOOKUP(A920,M:P,4,FALSE),VLOOKUP(D920,BusData!$A$3:$D$10,4,FALSE))</f>
        <v/>
      </c>
      <c r="H920" s="11">
        <f>F920/SUMIFS($F$2:$F$9997,$B$2:$B$9997,B920,$C$2:$C$9997,C920)</f>
        <v/>
      </c>
      <c r="I920" s="19" t="n">
        <v>3</v>
      </c>
      <c r="J920" s="57" t="n">
        <v>7</v>
      </c>
    </row>
    <row r="921">
      <c r="A921" s="62" t="n">
        <v>47032</v>
      </c>
      <c r="B921" s="19" t="n">
        <v>2028</v>
      </c>
      <c r="C921" s="19" t="n">
        <v>10</v>
      </c>
      <c r="D921" s="56" t="inlineStr">
        <is>
          <t>Fri</t>
        </is>
      </c>
      <c r="E921" s="56" t="inlineStr">
        <is>
          <t>Week</t>
        </is>
      </c>
      <c r="F921" s="56">
        <f>IF(ForeCalc!$F$1="Staffed Hours",G921,24)</f>
        <v/>
      </c>
      <c r="G921" s="57">
        <f>IF(COUNTIF(M:M,Calendar!A921)&gt;0,VLOOKUP(A921,M:P,4,FALSE),VLOOKUP(D921,BusData!$A$3:$D$10,4,FALSE))</f>
        <v/>
      </c>
      <c r="H921" s="11">
        <f>F921/SUMIFS($F$2:$F$9997,$B$2:$B$9997,B921,$C$2:$C$9997,C921)</f>
        <v/>
      </c>
      <c r="I921" s="19" t="n">
        <v>3</v>
      </c>
      <c r="J921" s="57" t="n">
        <v>7</v>
      </c>
    </row>
    <row r="922">
      <c r="A922" s="62" t="n">
        <v>47033</v>
      </c>
      <c r="B922" s="19" t="n">
        <v>2028</v>
      </c>
      <c r="C922" s="19" t="n">
        <v>10</v>
      </c>
      <c r="D922" s="56" t="inlineStr">
        <is>
          <t>Sat</t>
        </is>
      </c>
      <c r="E922" s="56" t="inlineStr">
        <is>
          <t>Sat</t>
        </is>
      </c>
      <c r="F922" s="56">
        <f>IF(ForeCalc!$F$1="Staffed Hours",G922,24)</f>
        <v/>
      </c>
      <c r="G922" s="57">
        <f>IF(COUNTIF(M:M,Calendar!A922)&gt;0,VLOOKUP(A922,M:P,4,FALSE),VLOOKUP(D922,BusData!$A$3:$D$10,4,FALSE))</f>
        <v/>
      </c>
      <c r="H922" s="11">
        <f>F922/SUMIFS($F$2:$F$9997,$B$2:$B$9997,B922,$C$2:$C$9997,C922)</f>
        <v/>
      </c>
      <c r="I922" s="19" t="n">
        <v>3</v>
      </c>
      <c r="J922" s="57" t="n">
        <v>7</v>
      </c>
    </row>
    <row r="923">
      <c r="A923" s="62" t="n">
        <v>47034</v>
      </c>
      <c r="B923" s="19" t="n">
        <v>2028</v>
      </c>
      <c r="C923" s="19" t="n">
        <v>10</v>
      </c>
      <c r="D923" s="56" t="inlineStr">
        <is>
          <t>Sun</t>
        </is>
      </c>
      <c r="E923" s="56" t="inlineStr">
        <is>
          <t>Sun</t>
        </is>
      </c>
      <c r="F923" s="56">
        <f>IF(ForeCalc!$F$1="Staffed Hours",G923,24)</f>
        <v/>
      </c>
      <c r="G923" s="57">
        <f>IF(COUNTIF(M:M,Calendar!A923)&gt;0,VLOOKUP(A923,M:P,4,FALSE),VLOOKUP(D923,BusData!$A$3:$D$10,4,FALSE))</f>
        <v/>
      </c>
      <c r="H923" s="11">
        <f>F923/SUMIFS($F$2:$F$9997,$B$2:$B$9997,B923,$C$2:$C$9997,C923)</f>
        <v/>
      </c>
      <c r="I923" s="19" t="n">
        <v>3</v>
      </c>
      <c r="J923" s="57" t="n">
        <v>7</v>
      </c>
    </row>
    <row r="924">
      <c r="A924" s="62" t="n">
        <v>47035</v>
      </c>
      <c r="B924" s="19" t="n">
        <v>2028</v>
      </c>
      <c r="C924" s="19" t="n">
        <v>10</v>
      </c>
      <c r="D924" s="56" t="inlineStr">
        <is>
          <t>Mon</t>
        </is>
      </c>
      <c r="E924" s="56" t="inlineStr">
        <is>
          <t>Week</t>
        </is>
      </c>
      <c r="F924" s="56">
        <f>IF(ForeCalc!$F$1="Staffed Hours",G924,24)</f>
        <v/>
      </c>
      <c r="G924" s="57">
        <f>IF(COUNTIF(M:M,Calendar!A924)&gt;0,VLOOKUP(A924,M:P,4,FALSE),VLOOKUP(D924,BusData!$A$3:$D$10,4,FALSE))</f>
        <v/>
      </c>
      <c r="H924" s="11">
        <f>F924/SUMIFS($F$2:$F$9997,$B$2:$B$9997,B924,$C$2:$C$9997,C924)</f>
        <v/>
      </c>
      <c r="I924" s="19" t="n">
        <v>3</v>
      </c>
      <c r="J924" s="57" t="n">
        <v>7</v>
      </c>
    </row>
    <row r="925">
      <c r="A925" s="62" t="n">
        <v>47036</v>
      </c>
      <c r="B925" s="19" t="n">
        <v>2028</v>
      </c>
      <c r="C925" s="19" t="n">
        <v>10</v>
      </c>
      <c r="D925" s="56" t="inlineStr">
        <is>
          <t>Tue</t>
        </is>
      </c>
      <c r="E925" s="56" t="inlineStr">
        <is>
          <t>Week</t>
        </is>
      </c>
      <c r="F925" s="56">
        <f>IF(ForeCalc!$F$1="Staffed Hours",G925,24)</f>
        <v/>
      </c>
      <c r="G925" s="57">
        <f>IF(COUNTIF(M:M,Calendar!A925)&gt;0,VLOOKUP(A925,M:P,4,FALSE),VLOOKUP(D925,BusData!$A$3:$D$10,4,FALSE))</f>
        <v/>
      </c>
      <c r="H925" s="11">
        <f>F925/SUMIFS($F$2:$F$9997,$B$2:$B$9997,B925,$C$2:$C$9997,C925)</f>
        <v/>
      </c>
      <c r="I925" s="19" t="n">
        <v>3</v>
      </c>
      <c r="J925" s="57" t="n">
        <v>7</v>
      </c>
    </row>
    <row r="926">
      <c r="A926" s="62" t="n">
        <v>47037</v>
      </c>
      <c r="B926" s="19" t="n">
        <v>2028</v>
      </c>
      <c r="C926" s="19" t="n">
        <v>10</v>
      </c>
      <c r="D926" s="56" t="inlineStr">
        <is>
          <t>Wed</t>
        </is>
      </c>
      <c r="E926" s="56" t="inlineStr">
        <is>
          <t>Week</t>
        </is>
      </c>
      <c r="F926" s="56">
        <f>IF(ForeCalc!$F$1="Staffed Hours",G926,24)</f>
        <v/>
      </c>
      <c r="G926" s="57">
        <f>IF(COUNTIF(M:M,Calendar!A926)&gt;0,VLOOKUP(A926,M:P,4,FALSE),VLOOKUP(D926,BusData!$A$3:$D$10,4,FALSE))</f>
        <v/>
      </c>
      <c r="H926" s="11">
        <f>F926/SUMIFS($F$2:$F$9997,$B$2:$B$9997,B926,$C$2:$C$9997,C926)</f>
        <v/>
      </c>
      <c r="I926" s="19" t="n">
        <v>3</v>
      </c>
      <c r="J926" s="57" t="n">
        <v>7</v>
      </c>
    </row>
    <row r="927">
      <c r="A927" s="62" t="n">
        <v>47038</v>
      </c>
      <c r="B927" s="19" t="n">
        <v>2028</v>
      </c>
      <c r="C927" s="19" t="n">
        <v>10</v>
      </c>
      <c r="D927" s="56" t="inlineStr">
        <is>
          <t>Thu</t>
        </is>
      </c>
      <c r="E927" s="56" t="inlineStr">
        <is>
          <t>Week</t>
        </is>
      </c>
      <c r="F927" s="56">
        <f>IF(ForeCalc!$F$1="Staffed Hours",G927,24)</f>
        <v/>
      </c>
      <c r="G927" s="57">
        <f>IF(COUNTIF(M:M,Calendar!A927)&gt;0,VLOOKUP(A927,M:P,4,FALSE),VLOOKUP(D927,BusData!$A$3:$D$10,4,FALSE))</f>
        <v/>
      </c>
      <c r="H927" s="11">
        <f>F927/SUMIFS($F$2:$F$9997,$B$2:$B$9997,B927,$C$2:$C$9997,C927)</f>
        <v/>
      </c>
      <c r="I927" s="19" t="n">
        <v>3</v>
      </c>
      <c r="J927" s="57" t="n">
        <v>7</v>
      </c>
    </row>
    <row r="928">
      <c r="A928" s="62" t="n">
        <v>47039</v>
      </c>
      <c r="B928" s="19" t="n">
        <v>2028</v>
      </c>
      <c r="C928" s="19" t="n">
        <v>10</v>
      </c>
      <c r="D928" s="56" t="inlineStr">
        <is>
          <t>Fri</t>
        </is>
      </c>
      <c r="E928" s="56" t="inlineStr">
        <is>
          <t>Week</t>
        </is>
      </c>
      <c r="F928" s="56">
        <f>IF(ForeCalc!$F$1="Staffed Hours",G928,24)</f>
        <v/>
      </c>
      <c r="G928" s="57">
        <f>IF(COUNTIF(M:M,Calendar!A928)&gt;0,VLOOKUP(A928,M:P,4,FALSE),VLOOKUP(D928,BusData!$A$3:$D$10,4,FALSE))</f>
        <v/>
      </c>
      <c r="H928" s="11">
        <f>F928/SUMIFS($F$2:$F$9997,$B$2:$B$9997,B928,$C$2:$C$9997,C928)</f>
        <v/>
      </c>
      <c r="I928" s="19" t="n">
        <v>3</v>
      </c>
      <c r="J928" s="57" t="n">
        <v>7</v>
      </c>
    </row>
    <row r="929">
      <c r="A929" s="62" t="n">
        <v>47040</v>
      </c>
      <c r="B929" s="19" t="n">
        <v>2028</v>
      </c>
      <c r="C929" s="19" t="n">
        <v>10</v>
      </c>
      <c r="D929" s="56" t="inlineStr">
        <is>
          <t>Sat</t>
        </is>
      </c>
      <c r="E929" s="56" t="inlineStr">
        <is>
          <t>Sat</t>
        </is>
      </c>
      <c r="F929" s="56">
        <f>IF(ForeCalc!$F$1="Staffed Hours",G929,24)</f>
        <v/>
      </c>
      <c r="G929" s="57">
        <f>IF(COUNTIF(M:M,Calendar!A929)&gt;0,VLOOKUP(A929,M:P,4,FALSE),VLOOKUP(D929,BusData!$A$3:$D$10,4,FALSE))</f>
        <v/>
      </c>
      <c r="H929" s="11">
        <f>F929/SUMIFS($F$2:$F$9997,$B$2:$B$9997,B929,$C$2:$C$9997,C929)</f>
        <v/>
      </c>
      <c r="I929" s="19" t="n">
        <v>3</v>
      </c>
      <c r="J929" s="57" t="n">
        <v>7</v>
      </c>
    </row>
    <row r="930">
      <c r="A930" s="62" t="n">
        <v>47041</v>
      </c>
      <c r="B930" s="19" t="n">
        <v>2028</v>
      </c>
      <c r="C930" s="19" t="n">
        <v>10</v>
      </c>
      <c r="D930" s="56" t="inlineStr">
        <is>
          <t>Sun</t>
        </is>
      </c>
      <c r="E930" s="56" t="inlineStr">
        <is>
          <t>Sun</t>
        </is>
      </c>
      <c r="F930" s="56">
        <f>IF(ForeCalc!$F$1="Staffed Hours",G930,24)</f>
        <v/>
      </c>
      <c r="G930" s="57">
        <f>IF(COUNTIF(M:M,Calendar!A930)&gt;0,VLOOKUP(A930,M:P,4,FALSE),VLOOKUP(D930,BusData!$A$3:$D$10,4,FALSE))</f>
        <v/>
      </c>
      <c r="H930" s="11">
        <f>F930/SUMIFS($F$2:$F$9997,$B$2:$B$9997,B930,$C$2:$C$9997,C930)</f>
        <v/>
      </c>
      <c r="I930" s="19" t="n">
        <v>3</v>
      </c>
      <c r="J930" s="57" t="n">
        <v>7</v>
      </c>
    </row>
    <row r="931">
      <c r="A931" s="62" t="n">
        <v>47042</v>
      </c>
      <c r="B931" s="19" t="n">
        <v>2028</v>
      </c>
      <c r="C931" s="19" t="n">
        <v>10</v>
      </c>
      <c r="D931" s="56" t="inlineStr">
        <is>
          <t>Mon</t>
        </is>
      </c>
      <c r="E931" s="56" t="inlineStr">
        <is>
          <t>Week</t>
        </is>
      </c>
      <c r="F931" s="56">
        <f>IF(ForeCalc!$F$1="Staffed Hours",G931,24)</f>
        <v/>
      </c>
      <c r="G931" s="57">
        <f>IF(COUNTIF(M:M,Calendar!A931)&gt;0,VLOOKUP(A931,M:P,4,FALSE),VLOOKUP(D931,BusData!$A$3:$D$10,4,FALSE))</f>
        <v/>
      </c>
      <c r="H931" s="11">
        <f>F931/SUMIFS($F$2:$F$9997,$B$2:$B$9997,B931,$C$2:$C$9997,C931)</f>
        <v/>
      </c>
      <c r="I931" s="19" t="n">
        <v>3</v>
      </c>
      <c r="J931" s="57" t="n">
        <v>7</v>
      </c>
    </row>
    <row r="932">
      <c r="A932" s="62" t="n">
        <v>47043</v>
      </c>
      <c r="B932" s="19" t="n">
        <v>2028</v>
      </c>
      <c r="C932" s="19" t="n">
        <v>10</v>
      </c>
      <c r="D932" s="56" t="inlineStr">
        <is>
          <t>Tue</t>
        </is>
      </c>
      <c r="E932" s="56" t="inlineStr">
        <is>
          <t>Week</t>
        </is>
      </c>
      <c r="F932" s="56">
        <f>IF(ForeCalc!$F$1="Staffed Hours",G932,24)</f>
        <v/>
      </c>
      <c r="G932" s="57">
        <f>IF(COUNTIF(M:M,Calendar!A932)&gt;0,VLOOKUP(A932,M:P,4,FALSE),VLOOKUP(D932,BusData!$A$3:$D$10,4,FALSE))</f>
        <v/>
      </c>
      <c r="H932" s="11">
        <f>F932/SUMIFS($F$2:$F$9997,$B$2:$B$9997,B932,$C$2:$C$9997,C932)</f>
        <v/>
      </c>
      <c r="I932" s="19" t="n">
        <v>3</v>
      </c>
      <c r="J932" s="57" t="n">
        <v>7</v>
      </c>
    </row>
    <row r="933">
      <c r="A933" s="62" t="n">
        <v>47044</v>
      </c>
      <c r="B933" s="19" t="n">
        <v>2028</v>
      </c>
      <c r="C933" s="19" t="n">
        <v>10</v>
      </c>
      <c r="D933" s="56" t="inlineStr">
        <is>
          <t>Wed</t>
        </is>
      </c>
      <c r="E933" s="56" t="inlineStr">
        <is>
          <t>Week</t>
        </is>
      </c>
      <c r="F933" s="56">
        <f>IF(ForeCalc!$F$1="Staffed Hours",G933,24)</f>
        <v/>
      </c>
      <c r="G933" s="57">
        <f>IF(COUNTIF(M:M,Calendar!A933)&gt;0,VLOOKUP(A933,M:P,4,FALSE),VLOOKUP(D933,BusData!$A$3:$D$10,4,FALSE))</f>
        <v/>
      </c>
      <c r="H933" s="11">
        <f>F933/SUMIFS($F$2:$F$9997,$B$2:$B$9997,B933,$C$2:$C$9997,C933)</f>
        <v/>
      </c>
      <c r="I933" s="19" t="n">
        <v>3</v>
      </c>
      <c r="J933" s="57" t="n">
        <v>7</v>
      </c>
    </row>
    <row r="934">
      <c r="A934" s="62" t="n">
        <v>47045</v>
      </c>
      <c r="B934" s="19" t="n">
        <v>2028</v>
      </c>
      <c r="C934" s="19" t="n">
        <v>10</v>
      </c>
      <c r="D934" s="56" t="inlineStr">
        <is>
          <t>Thu</t>
        </is>
      </c>
      <c r="E934" s="56" t="inlineStr">
        <is>
          <t>Week</t>
        </is>
      </c>
      <c r="F934" s="56">
        <f>IF(ForeCalc!$F$1="Staffed Hours",G934,24)</f>
        <v/>
      </c>
      <c r="G934" s="57">
        <f>IF(COUNTIF(M:M,Calendar!A934)&gt;0,VLOOKUP(A934,M:P,4,FALSE),VLOOKUP(D934,BusData!$A$3:$D$10,4,FALSE))</f>
        <v/>
      </c>
      <c r="H934" s="11">
        <f>F934/SUMIFS($F$2:$F$9997,$B$2:$B$9997,B934,$C$2:$C$9997,C934)</f>
        <v/>
      </c>
      <c r="I934" s="19" t="n">
        <v>3</v>
      </c>
      <c r="J934" s="57" t="n">
        <v>7</v>
      </c>
    </row>
    <row r="935">
      <c r="A935" s="62" t="n">
        <v>47046</v>
      </c>
      <c r="B935" s="19" t="n">
        <v>2028</v>
      </c>
      <c r="C935" s="19" t="n">
        <v>10</v>
      </c>
      <c r="D935" s="56" t="inlineStr">
        <is>
          <t>Fri</t>
        </is>
      </c>
      <c r="E935" s="56" t="inlineStr">
        <is>
          <t>Week</t>
        </is>
      </c>
      <c r="F935" s="56">
        <f>IF(ForeCalc!$F$1="Staffed Hours",G935,24)</f>
        <v/>
      </c>
      <c r="G935" s="57">
        <f>IF(COUNTIF(M:M,Calendar!A935)&gt;0,VLOOKUP(A935,M:P,4,FALSE),VLOOKUP(D935,BusData!$A$3:$D$10,4,FALSE))</f>
        <v/>
      </c>
      <c r="H935" s="11">
        <f>F935/SUMIFS($F$2:$F$9997,$B$2:$B$9997,B935,$C$2:$C$9997,C935)</f>
        <v/>
      </c>
      <c r="I935" s="19" t="n">
        <v>3</v>
      </c>
      <c r="J935" s="57" t="n">
        <v>7</v>
      </c>
    </row>
    <row r="936">
      <c r="A936" s="62" t="n">
        <v>47047</v>
      </c>
      <c r="B936" s="19" t="n">
        <v>2028</v>
      </c>
      <c r="C936" s="19" t="n">
        <v>10</v>
      </c>
      <c r="D936" s="56" t="inlineStr">
        <is>
          <t>Sat</t>
        </is>
      </c>
      <c r="E936" s="56" t="inlineStr">
        <is>
          <t>Sat</t>
        </is>
      </c>
      <c r="F936" s="56">
        <f>IF(ForeCalc!$F$1="Staffed Hours",G936,24)</f>
        <v/>
      </c>
      <c r="G936" s="57">
        <f>IF(COUNTIF(M:M,Calendar!A936)&gt;0,VLOOKUP(A936,M:P,4,FALSE),VLOOKUP(D936,BusData!$A$3:$D$10,4,FALSE))</f>
        <v/>
      </c>
      <c r="H936" s="11">
        <f>F936/SUMIFS($F$2:$F$9997,$B$2:$B$9997,B936,$C$2:$C$9997,C936)</f>
        <v/>
      </c>
      <c r="I936" s="19" t="n">
        <v>3</v>
      </c>
      <c r="J936" s="57" t="n">
        <v>7</v>
      </c>
    </row>
    <row r="937">
      <c r="A937" s="62" t="n">
        <v>47048</v>
      </c>
      <c r="B937" s="19" t="n">
        <v>2028</v>
      </c>
      <c r="C937" s="19" t="n">
        <v>10</v>
      </c>
      <c r="D937" s="56" t="inlineStr">
        <is>
          <t>Sun</t>
        </is>
      </c>
      <c r="E937" s="56" t="inlineStr">
        <is>
          <t>Sun</t>
        </is>
      </c>
      <c r="F937" s="56">
        <f>IF(ForeCalc!$F$1="Staffed Hours",G937,24)</f>
        <v/>
      </c>
      <c r="G937" s="57">
        <f>IF(COUNTIF(M:M,Calendar!A937)&gt;0,VLOOKUP(A937,M:P,4,FALSE),VLOOKUP(D937,BusData!$A$3:$D$10,4,FALSE))</f>
        <v/>
      </c>
      <c r="H937" s="11">
        <f>F937/SUMIFS($F$2:$F$9997,$B$2:$B$9997,B937,$C$2:$C$9997,C937)</f>
        <v/>
      </c>
      <c r="I937" s="19" t="n">
        <v>3</v>
      </c>
      <c r="J937" s="57" t="n">
        <v>7</v>
      </c>
    </row>
    <row r="938">
      <c r="A938" s="62" t="n">
        <v>47049</v>
      </c>
      <c r="B938" s="19" t="n">
        <v>2028</v>
      </c>
      <c r="C938" s="19" t="n">
        <v>10</v>
      </c>
      <c r="D938" s="56" t="inlineStr">
        <is>
          <t>Mon</t>
        </is>
      </c>
      <c r="E938" s="56" t="inlineStr">
        <is>
          <t>Week</t>
        </is>
      </c>
      <c r="F938" s="56">
        <f>IF(ForeCalc!$F$1="Staffed Hours",G938,24)</f>
        <v/>
      </c>
      <c r="G938" s="57">
        <f>IF(COUNTIF(M:M,Calendar!A938)&gt;0,VLOOKUP(A938,M:P,4,FALSE),VLOOKUP(D938,BusData!$A$3:$D$10,4,FALSE))</f>
        <v/>
      </c>
      <c r="H938" s="11">
        <f>F938/SUMIFS($F$2:$F$9997,$B$2:$B$9997,B938,$C$2:$C$9997,C938)</f>
        <v/>
      </c>
      <c r="I938" s="19" t="n">
        <v>3</v>
      </c>
      <c r="J938" s="57" t="n">
        <v>7</v>
      </c>
    </row>
    <row r="939">
      <c r="A939" s="62" t="n">
        <v>47050</v>
      </c>
      <c r="B939" s="19" t="n">
        <v>2028</v>
      </c>
      <c r="C939" s="19" t="n">
        <v>10</v>
      </c>
      <c r="D939" s="56" t="inlineStr">
        <is>
          <t>Tue</t>
        </is>
      </c>
      <c r="E939" s="56" t="inlineStr">
        <is>
          <t>Week</t>
        </is>
      </c>
      <c r="F939" s="56">
        <f>IF(ForeCalc!$F$1="Staffed Hours",G939,24)</f>
        <v/>
      </c>
      <c r="G939" s="57">
        <f>IF(COUNTIF(M:M,Calendar!A939)&gt;0,VLOOKUP(A939,M:P,4,FALSE),VLOOKUP(D939,BusData!$A$3:$D$10,4,FALSE))</f>
        <v/>
      </c>
      <c r="H939" s="11">
        <f>F939/SUMIFS($F$2:$F$9997,$B$2:$B$9997,B939,$C$2:$C$9997,C939)</f>
        <v/>
      </c>
      <c r="I939" s="19" t="n">
        <v>3</v>
      </c>
      <c r="J939" s="57" t="n">
        <v>7</v>
      </c>
    </row>
    <row r="940">
      <c r="A940" s="62" t="n">
        <v>47051</v>
      </c>
      <c r="B940" s="19" t="n">
        <v>2028</v>
      </c>
      <c r="C940" s="19" t="n">
        <v>10</v>
      </c>
      <c r="D940" s="56" t="inlineStr">
        <is>
          <t>Wed</t>
        </is>
      </c>
      <c r="E940" s="56" t="inlineStr">
        <is>
          <t>Week</t>
        </is>
      </c>
      <c r="F940" s="56">
        <f>IF(ForeCalc!$F$1="Staffed Hours",G940,24)</f>
        <v/>
      </c>
      <c r="G940" s="57">
        <f>IF(COUNTIF(M:M,Calendar!A940)&gt;0,VLOOKUP(A940,M:P,4,FALSE),VLOOKUP(D940,BusData!$A$3:$D$10,4,FALSE))</f>
        <v/>
      </c>
      <c r="H940" s="11">
        <f>F940/SUMIFS($F$2:$F$9997,$B$2:$B$9997,B940,$C$2:$C$9997,C940)</f>
        <v/>
      </c>
      <c r="I940" s="19" t="n">
        <v>3</v>
      </c>
      <c r="J940" s="57" t="n">
        <v>7</v>
      </c>
    </row>
    <row r="941">
      <c r="A941" s="62" t="n">
        <v>47052</v>
      </c>
      <c r="B941" s="19" t="n">
        <v>2028</v>
      </c>
      <c r="C941" s="19" t="n">
        <v>10</v>
      </c>
      <c r="D941" s="56" t="inlineStr">
        <is>
          <t>Thu</t>
        </is>
      </c>
      <c r="E941" s="56" t="inlineStr">
        <is>
          <t>Week</t>
        </is>
      </c>
      <c r="F941" s="56">
        <f>IF(ForeCalc!$F$1="Staffed Hours",G941,24)</f>
        <v/>
      </c>
      <c r="G941" s="57">
        <f>IF(COUNTIF(M:M,Calendar!A941)&gt;0,VLOOKUP(A941,M:P,4,FALSE),VLOOKUP(D941,BusData!$A$3:$D$10,4,FALSE))</f>
        <v/>
      </c>
      <c r="H941" s="11">
        <f>F941/SUMIFS($F$2:$F$9997,$B$2:$B$9997,B941,$C$2:$C$9997,C941)</f>
        <v/>
      </c>
      <c r="I941" s="19" t="n">
        <v>3</v>
      </c>
      <c r="J941" s="57" t="n">
        <v>7</v>
      </c>
    </row>
    <row r="942">
      <c r="A942" s="62" t="n">
        <v>47053</v>
      </c>
      <c r="B942" s="19" t="n">
        <v>2028</v>
      </c>
      <c r="C942" s="19" t="n">
        <v>10</v>
      </c>
      <c r="D942" s="56" t="inlineStr">
        <is>
          <t>Fri</t>
        </is>
      </c>
      <c r="E942" s="56" t="inlineStr">
        <is>
          <t>Week</t>
        </is>
      </c>
      <c r="F942" s="56">
        <f>IF(ForeCalc!$F$1="Staffed Hours",G942,24)</f>
        <v/>
      </c>
      <c r="G942" s="57">
        <f>IF(COUNTIF(M:M,Calendar!A942)&gt;0,VLOOKUP(A942,M:P,4,FALSE),VLOOKUP(D942,BusData!$A$3:$D$10,4,FALSE))</f>
        <v/>
      </c>
      <c r="H942" s="11">
        <f>F942/SUMIFS($F$2:$F$9997,$B$2:$B$9997,B942,$C$2:$C$9997,C942)</f>
        <v/>
      </c>
      <c r="I942" s="19" t="n">
        <v>3</v>
      </c>
      <c r="J942" s="57" t="n">
        <v>7</v>
      </c>
    </row>
    <row r="943">
      <c r="A943" s="62" t="n">
        <v>47054</v>
      </c>
      <c r="B943" s="19" t="n">
        <v>2028</v>
      </c>
      <c r="C943" s="19" t="n">
        <v>10</v>
      </c>
      <c r="D943" s="56" t="inlineStr">
        <is>
          <t>Sat</t>
        </is>
      </c>
      <c r="E943" s="56" t="inlineStr">
        <is>
          <t>Sat</t>
        </is>
      </c>
      <c r="F943" s="56">
        <f>IF(ForeCalc!$F$1="Staffed Hours",G943,24)</f>
        <v/>
      </c>
      <c r="G943" s="57">
        <f>IF(COUNTIF(M:M,Calendar!A943)&gt;0,VLOOKUP(A943,M:P,4,FALSE),VLOOKUP(D943,BusData!$A$3:$D$10,4,FALSE))</f>
        <v/>
      </c>
      <c r="H943" s="11">
        <f>F943/SUMIFS($F$2:$F$9997,$B$2:$B$9997,B943,$C$2:$C$9997,C943)</f>
        <v/>
      </c>
      <c r="I943" s="19" t="n">
        <v>3</v>
      </c>
      <c r="J943" s="57" t="n">
        <v>7</v>
      </c>
    </row>
    <row r="944">
      <c r="A944" s="62" t="n">
        <v>47055</v>
      </c>
      <c r="B944" s="19" t="n">
        <v>2028</v>
      </c>
      <c r="C944" s="19" t="n">
        <v>10</v>
      </c>
      <c r="D944" s="56" t="inlineStr">
        <is>
          <t>Sun</t>
        </is>
      </c>
      <c r="E944" s="56" t="inlineStr">
        <is>
          <t>Sun</t>
        </is>
      </c>
      <c r="F944" s="56">
        <f>IF(ForeCalc!$F$1="Staffed Hours",G944,24)</f>
        <v/>
      </c>
      <c r="G944" s="57">
        <f>IF(COUNTIF(M:M,Calendar!A944)&gt;0,VLOOKUP(A944,M:P,4,FALSE),VLOOKUP(D944,BusData!$A$3:$D$10,4,FALSE))</f>
        <v/>
      </c>
      <c r="H944" s="11">
        <f>F944/SUMIFS($F$2:$F$9997,$B$2:$B$9997,B944,$C$2:$C$9997,C944)</f>
        <v/>
      </c>
      <c r="I944" s="19" t="n">
        <v>3</v>
      </c>
      <c r="J944" s="57" t="n">
        <v>7</v>
      </c>
    </row>
    <row r="945">
      <c r="A945" s="62" t="n">
        <v>47056</v>
      </c>
      <c r="B945" s="19" t="n">
        <v>2028</v>
      </c>
      <c r="C945" s="19" t="n">
        <v>10</v>
      </c>
      <c r="D945" s="56" t="inlineStr">
        <is>
          <t>Mon</t>
        </is>
      </c>
      <c r="E945" s="56" t="inlineStr">
        <is>
          <t>Week</t>
        </is>
      </c>
      <c r="F945" s="56">
        <f>IF(ForeCalc!$F$1="Staffed Hours",G945,24)</f>
        <v/>
      </c>
      <c r="G945" s="57">
        <f>IF(COUNTIF(M:M,Calendar!A945)&gt;0,VLOOKUP(A945,M:P,4,FALSE),VLOOKUP(D945,BusData!$A$3:$D$10,4,FALSE))</f>
        <v/>
      </c>
      <c r="H945" s="11">
        <f>F945/SUMIFS($F$2:$F$9997,$B$2:$B$9997,B945,$C$2:$C$9997,C945)</f>
        <v/>
      </c>
      <c r="I945" s="19" t="n">
        <v>3</v>
      </c>
      <c r="J945" s="57" t="n">
        <v>7</v>
      </c>
    </row>
    <row r="946">
      <c r="A946" s="62" t="n">
        <v>47057</v>
      </c>
      <c r="B946" s="19" t="n">
        <v>2028</v>
      </c>
      <c r="C946" s="19" t="n">
        <v>10</v>
      </c>
      <c r="D946" s="56" t="inlineStr">
        <is>
          <t>Tue</t>
        </is>
      </c>
      <c r="E946" s="56" t="inlineStr">
        <is>
          <t>Week</t>
        </is>
      </c>
      <c r="F946" s="56">
        <f>IF(ForeCalc!$F$1="Staffed Hours",G946,24)</f>
        <v/>
      </c>
      <c r="G946" s="57">
        <f>IF(COUNTIF(M:M,Calendar!A946)&gt;0,VLOOKUP(A946,M:P,4,FALSE),VLOOKUP(D946,BusData!$A$3:$D$10,4,FALSE))</f>
        <v/>
      </c>
      <c r="H946" s="11">
        <f>F946/SUMIFS($F$2:$F$9997,$B$2:$B$9997,B946,$C$2:$C$9997,C946)</f>
        <v/>
      </c>
      <c r="I946" s="19" t="n">
        <v>3</v>
      </c>
      <c r="J946" s="57" t="n">
        <v>7</v>
      </c>
    </row>
    <row r="947">
      <c r="A947" s="62" t="n">
        <v>47058</v>
      </c>
      <c r="B947" s="19" t="n">
        <v>2028</v>
      </c>
      <c r="C947" s="19" t="n">
        <v>11</v>
      </c>
      <c r="D947" s="56" t="inlineStr">
        <is>
          <t>Wed</t>
        </is>
      </c>
      <c r="E947" s="56" t="inlineStr">
        <is>
          <t>Week</t>
        </is>
      </c>
      <c r="F947" s="56">
        <f>IF(ForeCalc!$F$1="Staffed Hours",G947,24)</f>
        <v/>
      </c>
      <c r="G947" s="57">
        <f>IF(COUNTIF(M:M,Calendar!A947)&gt;0,VLOOKUP(A947,M:P,4,FALSE),VLOOKUP(D947,BusData!$A$3:$D$10,4,FALSE))</f>
        <v/>
      </c>
      <c r="H947" s="11">
        <f>F947/SUMIFS($F$2:$F$9997,$B$2:$B$9997,B947,$C$2:$C$9997,C947)</f>
        <v/>
      </c>
      <c r="I947" s="19" t="n">
        <v>3</v>
      </c>
      <c r="J947" s="57" t="n">
        <v>8</v>
      </c>
    </row>
    <row r="948">
      <c r="A948" s="62" t="n">
        <v>47059</v>
      </c>
      <c r="B948" s="19" t="n">
        <v>2028</v>
      </c>
      <c r="C948" s="19" t="n">
        <v>11</v>
      </c>
      <c r="D948" s="56" t="inlineStr">
        <is>
          <t>Thu</t>
        </is>
      </c>
      <c r="E948" s="56" t="inlineStr">
        <is>
          <t>Week</t>
        </is>
      </c>
      <c r="F948" s="56">
        <f>IF(ForeCalc!$F$1="Staffed Hours",G948,24)</f>
        <v/>
      </c>
      <c r="G948" s="57">
        <f>IF(COUNTIF(M:M,Calendar!A948)&gt;0,VLOOKUP(A948,M:P,4,FALSE),VLOOKUP(D948,BusData!$A$3:$D$10,4,FALSE))</f>
        <v/>
      </c>
      <c r="H948" s="11">
        <f>F948/SUMIFS($F$2:$F$9997,$B$2:$B$9997,B948,$C$2:$C$9997,C948)</f>
        <v/>
      </c>
      <c r="I948" s="19" t="n">
        <v>3</v>
      </c>
      <c r="J948" s="57" t="n">
        <v>8</v>
      </c>
    </row>
    <row r="949">
      <c r="A949" s="62" t="n">
        <v>47060</v>
      </c>
      <c r="B949" s="19" t="n">
        <v>2028</v>
      </c>
      <c r="C949" s="19" t="n">
        <v>11</v>
      </c>
      <c r="D949" s="56" t="inlineStr">
        <is>
          <t>Fri</t>
        </is>
      </c>
      <c r="E949" s="56" t="inlineStr">
        <is>
          <t>Week</t>
        </is>
      </c>
      <c r="F949" s="56">
        <f>IF(ForeCalc!$F$1="Staffed Hours",G949,24)</f>
        <v/>
      </c>
      <c r="G949" s="57">
        <f>IF(COUNTIF(M:M,Calendar!A949)&gt;0,VLOOKUP(A949,M:P,4,FALSE),VLOOKUP(D949,BusData!$A$3:$D$10,4,FALSE))</f>
        <v/>
      </c>
      <c r="H949" s="11">
        <f>F949/SUMIFS($F$2:$F$9997,$B$2:$B$9997,B949,$C$2:$C$9997,C949)</f>
        <v/>
      </c>
      <c r="I949" s="19" t="n">
        <v>3</v>
      </c>
      <c r="J949" s="57" t="n">
        <v>8</v>
      </c>
    </row>
    <row r="950">
      <c r="A950" s="62" t="n">
        <v>47061</v>
      </c>
      <c r="B950" s="19" t="n">
        <v>2028</v>
      </c>
      <c r="C950" s="19" t="n">
        <v>11</v>
      </c>
      <c r="D950" s="56" t="inlineStr">
        <is>
          <t>Sat</t>
        </is>
      </c>
      <c r="E950" s="56" t="inlineStr">
        <is>
          <t>Sat</t>
        </is>
      </c>
      <c r="F950" s="56">
        <f>IF(ForeCalc!$F$1="Staffed Hours",G950,24)</f>
        <v/>
      </c>
      <c r="G950" s="57">
        <f>IF(COUNTIF(M:M,Calendar!A950)&gt;0,VLOOKUP(A950,M:P,4,FALSE),VLOOKUP(D950,BusData!$A$3:$D$10,4,FALSE))</f>
        <v/>
      </c>
      <c r="H950" s="11">
        <f>F950/SUMIFS($F$2:$F$9997,$B$2:$B$9997,B950,$C$2:$C$9997,C950)</f>
        <v/>
      </c>
      <c r="I950" s="19" t="n">
        <v>3</v>
      </c>
      <c r="J950" s="57" t="n">
        <v>8</v>
      </c>
    </row>
    <row r="951">
      <c r="A951" s="62" t="n">
        <v>47062</v>
      </c>
      <c r="B951" s="19" t="n">
        <v>2028</v>
      </c>
      <c r="C951" s="19" t="n">
        <v>11</v>
      </c>
      <c r="D951" s="56" t="inlineStr">
        <is>
          <t>Sun</t>
        </is>
      </c>
      <c r="E951" s="56" t="inlineStr">
        <is>
          <t>Sun</t>
        </is>
      </c>
      <c r="F951" s="56">
        <f>IF(ForeCalc!$F$1="Staffed Hours",G951,24)</f>
        <v/>
      </c>
      <c r="G951" s="57">
        <f>IF(COUNTIF(M:M,Calendar!A951)&gt;0,VLOOKUP(A951,M:P,4,FALSE),VLOOKUP(D951,BusData!$A$3:$D$10,4,FALSE))</f>
        <v/>
      </c>
      <c r="H951" s="11">
        <f>F951/SUMIFS($F$2:$F$9997,$B$2:$B$9997,B951,$C$2:$C$9997,C951)</f>
        <v/>
      </c>
      <c r="I951" s="19" t="n">
        <v>3</v>
      </c>
      <c r="J951" s="57" t="n">
        <v>8</v>
      </c>
    </row>
    <row r="952">
      <c r="A952" s="62" t="n">
        <v>47063</v>
      </c>
      <c r="B952" s="19" t="n">
        <v>2028</v>
      </c>
      <c r="C952" s="19" t="n">
        <v>11</v>
      </c>
      <c r="D952" s="56" t="inlineStr">
        <is>
          <t>Mon</t>
        </is>
      </c>
      <c r="E952" s="56" t="inlineStr">
        <is>
          <t>Week</t>
        </is>
      </c>
      <c r="F952" s="56">
        <f>IF(ForeCalc!$F$1="Staffed Hours",G952,24)</f>
        <v/>
      </c>
      <c r="G952" s="57">
        <f>IF(COUNTIF(M:M,Calendar!A952)&gt;0,VLOOKUP(A952,M:P,4,FALSE),VLOOKUP(D952,BusData!$A$3:$D$10,4,FALSE))</f>
        <v/>
      </c>
      <c r="H952" s="11">
        <f>F952/SUMIFS($F$2:$F$9997,$B$2:$B$9997,B952,$C$2:$C$9997,C952)</f>
        <v/>
      </c>
      <c r="I952" s="19" t="n">
        <v>3</v>
      </c>
      <c r="J952" s="57" t="n">
        <v>8</v>
      </c>
    </row>
    <row r="953">
      <c r="A953" s="62" t="n">
        <v>47064</v>
      </c>
      <c r="B953" s="19" t="n">
        <v>2028</v>
      </c>
      <c r="C953" s="19" t="n">
        <v>11</v>
      </c>
      <c r="D953" s="56" t="inlineStr">
        <is>
          <t>Tue</t>
        </is>
      </c>
      <c r="E953" s="56" t="inlineStr">
        <is>
          <t>Week</t>
        </is>
      </c>
      <c r="F953" s="56">
        <f>IF(ForeCalc!$F$1="Staffed Hours",G953,24)</f>
        <v/>
      </c>
      <c r="G953" s="57">
        <f>IF(COUNTIF(M:M,Calendar!A953)&gt;0,VLOOKUP(A953,M:P,4,FALSE),VLOOKUP(D953,BusData!$A$3:$D$10,4,FALSE))</f>
        <v/>
      </c>
      <c r="H953" s="11">
        <f>F953/SUMIFS($F$2:$F$9997,$B$2:$B$9997,B953,$C$2:$C$9997,C953)</f>
        <v/>
      </c>
      <c r="I953" s="19" t="n">
        <v>3</v>
      </c>
      <c r="J953" s="57" t="n">
        <v>8</v>
      </c>
    </row>
    <row r="954">
      <c r="A954" s="62" t="n">
        <v>47065</v>
      </c>
      <c r="B954" s="19" t="n">
        <v>2028</v>
      </c>
      <c r="C954" s="19" t="n">
        <v>11</v>
      </c>
      <c r="D954" s="56" t="inlineStr">
        <is>
          <t>Wed</t>
        </is>
      </c>
      <c r="E954" s="56" t="inlineStr">
        <is>
          <t>Week</t>
        </is>
      </c>
      <c r="F954" s="56">
        <f>IF(ForeCalc!$F$1="Staffed Hours",G954,24)</f>
        <v/>
      </c>
      <c r="G954" s="57">
        <f>IF(COUNTIF(M:M,Calendar!A954)&gt;0,VLOOKUP(A954,M:P,4,FALSE),VLOOKUP(D954,BusData!$A$3:$D$10,4,FALSE))</f>
        <v/>
      </c>
      <c r="H954" s="11">
        <f>F954/SUMIFS($F$2:$F$9997,$B$2:$B$9997,B954,$C$2:$C$9997,C954)</f>
        <v/>
      </c>
      <c r="I954" s="19" t="n">
        <v>3</v>
      </c>
      <c r="J954" s="57" t="n">
        <v>8</v>
      </c>
    </row>
    <row r="955">
      <c r="A955" s="62" t="n">
        <v>47066</v>
      </c>
      <c r="B955" s="19" t="n">
        <v>2028</v>
      </c>
      <c r="C955" s="19" t="n">
        <v>11</v>
      </c>
      <c r="D955" s="56" t="inlineStr">
        <is>
          <t>Thu</t>
        </is>
      </c>
      <c r="E955" s="56" t="inlineStr">
        <is>
          <t>Week</t>
        </is>
      </c>
      <c r="F955" s="56">
        <f>IF(ForeCalc!$F$1="Staffed Hours",G955,24)</f>
        <v/>
      </c>
      <c r="G955" s="57">
        <f>IF(COUNTIF(M:M,Calendar!A955)&gt;0,VLOOKUP(A955,M:P,4,FALSE),VLOOKUP(D955,BusData!$A$3:$D$10,4,FALSE))</f>
        <v/>
      </c>
      <c r="H955" s="11">
        <f>F955/SUMIFS($F$2:$F$9997,$B$2:$B$9997,B955,$C$2:$C$9997,C955)</f>
        <v/>
      </c>
      <c r="I955" s="19" t="n">
        <v>3</v>
      </c>
      <c r="J955" s="57" t="n">
        <v>8</v>
      </c>
    </row>
    <row r="956">
      <c r="A956" s="62" t="n">
        <v>47067</v>
      </c>
      <c r="B956" s="19" t="n">
        <v>2028</v>
      </c>
      <c r="C956" s="19" t="n">
        <v>11</v>
      </c>
      <c r="D956" s="56" t="inlineStr">
        <is>
          <t>Fri</t>
        </is>
      </c>
      <c r="E956" s="56" t="inlineStr">
        <is>
          <t>Week</t>
        </is>
      </c>
      <c r="F956" s="56">
        <f>IF(ForeCalc!$F$1="Staffed Hours",G956,24)</f>
        <v/>
      </c>
      <c r="G956" s="57">
        <f>IF(COUNTIF(M:M,Calendar!A956)&gt;0,VLOOKUP(A956,M:P,4,FALSE),VLOOKUP(D956,BusData!$A$3:$D$10,4,FALSE))</f>
        <v/>
      </c>
      <c r="H956" s="11">
        <f>F956/SUMIFS($F$2:$F$9997,$B$2:$B$9997,B956,$C$2:$C$9997,C956)</f>
        <v/>
      </c>
      <c r="I956" s="19" t="n">
        <v>3</v>
      </c>
      <c r="J956" s="57" t="n">
        <v>8</v>
      </c>
    </row>
    <row r="957">
      <c r="A957" s="62" t="n">
        <v>47068</v>
      </c>
      <c r="B957" s="19" t="n">
        <v>2028</v>
      </c>
      <c r="C957" s="19" t="n">
        <v>11</v>
      </c>
      <c r="D957" s="56" t="inlineStr">
        <is>
          <t>Sat</t>
        </is>
      </c>
      <c r="E957" s="56" t="inlineStr">
        <is>
          <t>Sat</t>
        </is>
      </c>
      <c r="F957" s="56">
        <f>IF(ForeCalc!$F$1="Staffed Hours",G957,24)</f>
        <v/>
      </c>
      <c r="G957" s="57">
        <f>IF(COUNTIF(M:M,Calendar!A957)&gt;0,VLOOKUP(A957,M:P,4,FALSE),VLOOKUP(D957,BusData!$A$3:$D$10,4,FALSE))</f>
        <v/>
      </c>
      <c r="H957" s="11">
        <f>F957/SUMIFS($F$2:$F$9997,$B$2:$B$9997,B957,$C$2:$C$9997,C957)</f>
        <v/>
      </c>
      <c r="I957" s="19" t="n">
        <v>3</v>
      </c>
      <c r="J957" s="57" t="n">
        <v>8</v>
      </c>
    </row>
    <row r="958">
      <c r="A958" s="62" t="n">
        <v>47069</v>
      </c>
      <c r="B958" s="19" t="n">
        <v>2028</v>
      </c>
      <c r="C958" s="19" t="n">
        <v>11</v>
      </c>
      <c r="D958" s="56" t="inlineStr">
        <is>
          <t>Sun</t>
        </is>
      </c>
      <c r="E958" s="56" t="inlineStr">
        <is>
          <t>Sun</t>
        </is>
      </c>
      <c r="F958" s="56">
        <f>IF(ForeCalc!$F$1="Staffed Hours",G958,24)</f>
        <v/>
      </c>
      <c r="G958" s="57">
        <f>IF(COUNTIF(M:M,Calendar!A958)&gt;0,VLOOKUP(A958,M:P,4,FALSE),VLOOKUP(D958,BusData!$A$3:$D$10,4,FALSE))</f>
        <v/>
      </c>
      <c r="H958" s="11">
        <f>F958/SUMIFS($F$2:$F$9997,$B$2:$B$9997,B958,$C$2:$C$9997,C958)</f>
        <v/>
      </c>
      <c r="I958" s="19" t="n">
        <v>3</v>
      </c>
      <c r="J958" s="57" t="n">
        <v>8</v>
      </c>
    </row>
    <row r="959">
      <c r="A959" s="62" t="n">
        <v>47070</v>
      </c>
      <c r="B959" s="19" t="n">
        <v>2028</v>
      </c>
      <c r="C959" s="19" t="n">
        <v>11</v>
      </c>
      <c r="D959" s="56" t="inlineStr">
        <is>
          <t>Mon</t>
        </is>
      </c>
      <c r="E959" s="56" t="inlineStr">
        <is>
          <t>Week</t>
        </is>
      </c>
      <c r="F959" s="56">
        <f>IF(ForeCalc!$F$1="Staffed Hours",G959,24)</f>
        <v/>
      </c>
      <c r="G959" s="57">
        <f>IF(COUNTIF(M:M,Calendar!A959)&gt;0,VLOOKUP(A959,M:P,4,FALSE),VLOOKUP(D959,BusData!$A$3:$D$10,4,FALSE))</f>
        <v/>
      </c>
      <c r="H959" s="11">
        <f>F959/SUMIFS($F$2:$F$9997,$B$2:$B$9997,B959,$C$2:$C$9997,C959)</f>
        <v/>
      </c>
      <c r="I959" s="19" t="n">
        <v>3</v>
      </c>
      <c r="J959" s="57" t="n">
        <v>8</v>
      </c>
    </row>
    <row r="960">
      <c r="A960" s="62" t="n">
        <v>47071</v>
      </c>
      <c r="B960" s="19" t="n">
        <v>2028</v>
      </c>
      <c r="C960" s="19" t="n">
        <v>11</v>
      </c>
      <c r="D960" s="56" t="inlineStr">
        <is>
          <t>Tue</t>
        </is>
      </c>
      <c r="E960" s="56" t="inlineStr">
        <is>
          <t>Week</t>
        </is>
      </c>
      <c r="F960" s="56">
        <f>IF(ForeCalc!$F$1="Staffed Hours",G960,24)</f>
        <v/>
      </c>
      <c r="G960" s="57">
        <f>IF(COUNTIF(M:M,Calendar!A960)&gt;0,VLOOKUP(A960,M:P,4,FALSE),VLOOKUP(D960,BusData!$A$3:$D$10,4,FALSE))</f>
        <v/>
      </c>
      <c r="H960" s="11">
        <f>F960/SUMIFS($F$2:$F$9997,$B$2:$B$9997,B960,$C$2:$C$9997,C960)</f>
        <v/>
      </c>
      <c r="I960" s="19" t="n">
        <v>3</v>
      </c>
      <c r="J960" s="57" t="n">
        <v>8</v>
      </c>
    </row>
    <row r="961">
      <c r="A961" s="62" t="n">
        <v>47072</v>
      </c>
      <c r="B961" s="19" t="n">
        <v>2028</v>
      </c>
      <c r="C961" s="19" t="n">
        <v>11</v>
      </c>
      <c r="D961" s="56" t="inlineStr">
        <is>
          <t>Wed</t>
        </is>
      </c>
      <c r="E961" s="56" t="inlineStr">
        <is>
          <t>Week</t>
        </is>
      </c>
      <c r="F961" s="56">
        <f>IF(ForeCalc!$F$1="Staffed Hours",G961,24)</f>
        <v/>
      </c>
      <c r="G961" s="57">
        <f>IF(COUNTIF(M:M,Calendar!A961)&gt;0,VLOOKUP(A961,M:P,4,FALSE),VLOOKUP(D961,BusData!$A$3:$D$10,4,FALSE))</f>
        <v/>
      </c>
      <c r="H961" s="11">
        <f>F961/SUMIFS($F$2:$F$9997,$B$2:$B$9997,B961,$C$2:$C$9997,C961)</f>
        <v/>
      </c>
      <c r="I961" s="19" t="n">
        <v>3</v>
      </c>
      <c r="J961" s="57" t="n">
        <v>8</v>
      </c>
    </row>
    <row r="962">
      <c r="A962" s="62" t="n">
        <v>47073</v>
      </c>
      <c r="B962" s="19" t="n">
        <v>2028</v>
      </c>
      <c r="C962" s="19" t="n">
        <v>11</v>
      </c>
      <c r="D962" s="56" t="inlineStr">
        <is>
          <t>Thu</t>
        </is>
      </c>
      <c r="E962" s="56" t="inlineStr">
        <is>
          <t>Week</t>
        </is>
      </c>
      <c r="F962" s="56">
        <f>IF(ForeCalc!$F$1="Staffed Hours",G962,24)</f>
        <v/>
      </c>
      <c r="G962" s="57">
        <f>IF(COUNTIF(M:M,Calendar!A962)&gt;0,VLOOKUP(A962,M:P,4,FALSE),VLOOKUP(D962,BusData!$A$3:$D$10,4,FALSE))</f>
        <v/>
      </c>
      <c r="H962" s="11">
        <f>F962/SUMIFS($F$2:$F$9997,$B$2:$B$9997,B962,$C$2:$C$9997,C962)</f>
        <v/>
      </c>
      <c r="I962" s="19" t="n">
        <v>3</v>
      </c>
      <c r="J962" s="57" t="n">
        <v>8</v>
      </c>
    </row>
    <row r="963">
      <c r="A963" s="62" t="n">
        <v>47074</v>
      </c>
      <c r="B963" s="19" t="n">
        <v>2028</v>
      </c>
      <c r="C963" s="19" t="n">
        <v>11</v>
      </c>
      <c r="D963" s="56" t="inlineStr">
        <is>
          <t>Fri</t>
        </is>
      </c>
      <c r="E963" s="56" t="inlineStr">
        <is>
          <t>Week</t>
        </is>
      </c>
      <c r="F963" s="56">
        <f>IF(ForeCalc!$F$1="Staffed Hours",G963,24)</f>
        <v/>
      </c>
      <c r="G963" s="57">
        <f>IF(COUNTIF(M:M,Calendar!A963)&gt;0,VLOOKUP(A963,M:P,4,FALSE),VLOOKUP(D963,BusData!$A$3:$D$10,4,FALSE))</f>
        <v/>
      </c>
      <c r="H963" s="11">
        <f>F963/SUMIFS($F$2:$F$9997,$B$2:$B$9997,B963,$C$2:$C$9997,C963)</f>
        <v/>
      </c>
      <c r="I963" s="19" t="n">
        <v>3</v>
      </c>
      <c r="J963" s="57" t="n">
        <v>8</v>
      </c>
    </row>
    <row r="964">
      <c r="A964" s="62" t="n">
        <v>47075</v>
      </c>
      <c r="B964" s="19" t="n">
        <v>2028</v>
      </c>
      <c r="C964" s="19" t="n">
        <v>11</v>
      </c>
      <c r="D964" s="56" t="inlineStr">
        <is>
          <t>Sat</t>
        </is>
      </c>
      <c r="E964" s="56" t="inlineStr">
        <is>
          <t>Sat</t>
        </is>
      </c>
      <c r="F964" s="56">
        <f>IF(ForeCalc!$F$1="Staffed Hours",G964,24)</f>
        <v/>
      </c>
      <c r="G964" s="57">
        <f>IF(COUNTIF(M:M,Calendar!A964)&gt;0,VLOOKUP(A964,M:P,4,FALSE),VLOOKUP(D964,BusData!$A$3:$D$10,4,FALSE))</f>
        <v/>
      </c>
      <c r="H964" s="11">
        <f>F964/SUMIFS($F$2:$F$9997,$B$2:$B$9997,B964,$C$2:$C$9997,C964)</f>
        <v/>
      </c>
      <c r="I964" s="19" t="n">
        <v>3</v>
      </c>
      <c r="J964" s="57" t="n">
        <v>8</v>
      </c>
    </row>
    <row r="965">
      <c r="A965" s="62" t="n">
        <v>47076</v>
      </c>
      <c r="B965" s="19" t="n">
        <v>2028</v>
      </c>
      <c r="C965" s="19" t="n">
        <v>11</v>
      </c>
      <c r="D965" s="56" t="inlineStr">
        <is>
          <t>Sun</t>
        </is>
      </c>
      <c r="E965" s="56" t="inlineStr">
        <is>
          <t>Sun</t>
        </is>
      </c>
      <c r="F965" s="56">
        <f>IF(ForeCalc!$F$1="Staffed Hours",G965,24)</f>
        <v/>
      </c>
      <c r="G965" s="57">
        <f>IF(COUNTIF(M:M,Calendar!A965)&gt;0,VLOOKUP(A965,M:P,4,FALSE),VLOOKUP(D965,BusData!$A$3:$D$10,4,FALSE))</f>
        <v/>
      </c>
      <c r="H965" s="11">
        <f>F965/SUMIFS($F$2:$F$9997,$B$2:$B$9997,B965,$C$2:$C$9997,C965)</f>
        <v/>
      </c>
      <c r="I965" s="19" t="n">
        <v>3</v>
      </c>
      <c r="J965" s="57" t="n">
        <v>8</v>
      </c>
    </row>
    <row r="966">
      <c r="A966" s="62" t="n">
        <v>47077</v>
      </c>
      <c r="B966" s="19" t="n">
        <v>2028</v>
      </c>
      <c r="C966" s="19" t="n">
        <v>11</v>
      </c>
      <c r="D966" s="56" t="inlineStr">
        <is>
          <t>Mon</t>
        </is>
      </c>
      <c r="E966" s="56" t="inlineStr">
        <is>
          <t>Week</t>
        </is>
      </c>
      <c r="F966" s="56">
        <f>IF(ForeCalc!$F$1="Staffed Hours",G966,24)</f>
        <v/>
      </c>
      <c r="G966" s="57">
        <f>IF(COUNTIF(M:M,Calendar!A966)&gt;0,VLOOKUP(A966,M:P,4,FALSE),VLOOKUP(D966,BusData!$A$3:$D$10,4,FALSE))</f>
        <v/>
      </c>
      <c r="H966" s="11">
        <f>F966/SUMIFS($F$2:$F$9997,$B$2:$B$9997,B966,$C$2:$C$9997,C966)</f>
        <v/>
      </c>
      <c r="I966" s="19" t="n">
        <v>3</v>
      </c>
      <c r="J966" s="57" t="n">
        <v>8</v>
      </c>
    </row>
    <row r="967">
      <c r="A967" s="62" t="n">
        <v>47078</v>
      </c>
      <c r="B967" s="19" t="n">
        <v>2028</v>
      </c>
      <c r="C967" s="19" t="n">
        <v>11</v>
      </c>
      <c r="D967" s="56" t="inlineStr">
        <is>
          <t>Tue</t>
        </is>
      </c>
      <c r="E967" s="56" t="inlineStr">
        <is>
          <t>Week</t>
        </is>
      </c>
      <c r="F967" s="56">
        <f>IF(ForeCalc!$F$1="Staffed Hours",G967,24)</f>
        <v/>
      </c>
      <c r="G967" s="57">
        <f>IF(COUNTIF(M:M,Calendar!A967)&gt;0,VLOOKUP(A967,M:P,4,FALSE),VLOOKUP(D967,BusData!$A$3:$D$10,4,FALSE))</f>
        <v/>
      </c>
      <c r="H967" s="11">
        <f>F967/SUMIFS($F$2:$F$9997,$B$2:$B$9997,B967,$C$2:$C$9997,C967)</f>
        <v/>
      </c>
      <c r="I967" s="19" t="n">
        <v>3</v>
      </c>
      <c r="J967" s="57" t="n">
        <v>8</v>
      </c>
    </row>
    <row r="968">
      <c r="A968" s="62" t="n">
        <v>47079</v>
      </c>
      <c r="B968" s="19" t="n">
        <v>2028</v>
      </c>
      <c r="C968" s="19" t="n">
        <v>11</v>
      </c>
      <c r="D968" s="56" t="inlineStr">
        <is>
          <t>Wed</t>
        </is>
      </c>
      <c r="E968" s="56" t="inlineStr">
        <is>
          <t>Week</t>
        </is>
      </c>
      <c r="F968" s="56">
        <f>IF(ForeCalc!$F$1="Staffed Hours",G968,24)</f>
        <v/>
      </c>
      <c r="G968" s="57">
        <f>IF(COUNTIF(M:M,Calendar!A968)&gt;0,VLOOKUP(A968,M:P,4,FALSE),VLOOKUP(D968,BusData!$A$3:$D$10,4,FALSE))</f>
        <v/>
      </c>
      <c r="H968" s="11">
        <f>F968/SUMIFS($F$2:$F$9997,$B$2:$B$9997,B968,$C$2:$C$9997,C968)</f>
        <v/>
      </c>
      <c r="I968" s="19" t="n">
        <v>3</v>
      </c>
      <c r="J968" s="57" t="n">
        <v>8</v>
      </c>
    </row>
    <row r="969">
      <c r="A969" s="62" t="n">
        <v>47080</v>
      </c>
      <c r="B969" s="19" t="n">
        <v>2028</v>
      </c>
      <c r="C969" s="19" t="n">
        <v>11</v>
      </c>
      <c r="D969" s="56" t="inlineStr">
        <is>
          <t>Thu</t>
        </is>
      </c>
      <c r="E969" s="56" t="inlineStr">
        <is>
          <t>Week</t>
        </is>
      </c>
      <c r="F969" s="56">
        <f>IF(ForeCalc!$F$1="Staffed Hours",G969,24)</f>
        <v/>
      </c>
      <c r="G969" s="57">
        <f>IF(COUNTIF(M:M,Calendar!A969)&gt;0,VLOOKUP(A969,M:P,4,FALSE),VLOOKUP(D969,BusData!$A$3:$D$10,4,FALSE))</f>
        <v/>
      </c>
      <c r="H969" s="11">
        <f>F969/SUMIFS($F$2:$F$9997,$B$2:$B$9997,B969,$C$2:$C$9997,C969)</f>
        <v/>
      </c>
      <c r="I969" s="19" t="n">
        <v>3</v>
      </c>
      <c r="J969" s="57" t="n">
        <v>8</v>
      </c>
    </row>
    <row r="970">
      <c r="A970" s="62" t="n">
        <v>47081</v>
      </c>
      <c r="B970" s="19" t="n">
        <v>2028</v>
      </c>
      <c r="C970" s="19" t="n">
        <v>11</v>
      </c>
      <c r="D970" s="56" t="inlineStr">
        <is>
          <t>Fri</t>
        </is>
      </c>
      <c r="E970" s="56" t="inlineStr">
        <is>
          <t>Week</t>
        </is>
      </c>
      <c r="F970" s="56">
        <f>IF(ForeCalc!$F$1="Staffed Hours",G970,24)</f>
        <v/>
      </c>
      <c r="G970" s="57">
        <f>IF(COUNTIF(M:M,Calendar!A970)&gt;0,VLOOKUP(A970,M:P,4,FALSE),VLOOKUP(D970,BusData!$A$3:$D$10,4,FALSE))</f>
        <v/>
      </c>
      <c r="H970" s="11">
        <f>F970/SUMIFS($F$2:$F$9997,$B$2:$B$9997,B970,$C$2:$C$9997,C970)</f>
        <v/>
      </c>
      <c r="I970" s="19" t="n">
        <v>3</v>
      </c>
      <c r="J970" s="57" t="n">
        <v>8</v>
      </c>
    </row>
    <row r="971">
      <c r="A971" s="62" t="n">
        <v>47082</v>
      </c>
      <c r="B971" s="19" t="n">
        <v>2028</v>
      </c>
      <c r="C971" s="19" t="n">
        <v>11</v>
      </c>
      <c r="D971" s="56" t="inlineStr">
        <is>
          <t>Sat</t>
        </is>
      </c>
      <c r="E971" s="56" t="inlineStr">
        <is>
          <t>Sat</t>
        </is>
      </c>
      <c r="F971" s="56">
        <f>IF(ForeCalc!$F$1="Staffed Hours",G971,24)</f>
        <v/>
      </c>
      <c r="G971" s="57">
        <f>IF(COUNTIF(M:M,Calendar!A971)&gt;0,VLOOKUP(A971,M:P,4,FALSE),VLOOKUP(D971,BusData!$A$3:$D$10,4,FALSE))</f>
        <v/>
      </c>
      <c r="H971" s="11">
        <f>F971/SUMIFS($F$2:$F$9997,$B$2:$B$9997,B971,$C$2:$C$9997,C971)</f>
        <v/>
      </c>
      <c r="I971" s="19" t="n">
        <v>3</v>
      </c>
      <c r="J971" s="57" t="n">
        <v>8</v>
      </c>
    </row>
    <row r="972">
      <c r="A972" s="62" t="n">
        <v>47083</v>
      </c>
      <c r="B972" s="19" t="n">
        <v>2028</v>
      </c>
      <c r="C972" s="19" t="n">
        <v>11</v>
      </c>
      <c r="D972" s="56" t="inlineStr">
        <is>
          <t>Sun</t>
        </is>
      </c>
      <c r="E972" s="56" t="inlineStr">
        <is>
          <t>Sun</t>
        </is>
      </c>
      <c r="F972" s="56">
        <f>IF(ForeCalc!$F$1="Staffed Hours",G972,24)</f>
        <v/>
      </c>
      <c r="G972" s="57">
        <f>IF(COUNTIF(M:M,Calendar!A972)&gt;0,VLOOKUP(A972,M:P,4,FALSE),VLOOKUP(D972,BusData!$A$3:$D$10,4,FALSE))</f>
        <v/>
      </c>
      <c r="H972" s="11">
        <f>F972/SUMIFS($F$2:$F$9997,$B$2:$B$9997,B972,$C$2:$C$9997,C972)</f>
        <v/>
      </c>
      <c r="I972" s="19" t="n">
        <v>3</v>
      </c>
      <c r="J972" s="57" t="n">
        <v>8</v>
      </c>
    </row>
    <row r="973">
      <c r="A973" s="62" t="n">
        <v>47084</v>
      </c>
      <c r="B973" s="19" t="n">
        <v>2028</v>
      </c>
      <c r="C973" s="19" t="n">
        <v>11</v>
      </c>
      <c r="D973" s="56" t="inlineStr">
        <is>
          <t>Mon</t>
        </is>
      </c>
      <c r="E973" s="56" t="inlineStr">
        <is>
          <t>Week</t>
        </is>
      </c>
      <c r="F973" s="56">
        <f>IF(ForeCalc!$F$1="Staffed Hours",G973,24)</f>
        <v/>
      </c>
      <c r="G973" s="57">
        <f>IF(COUNTIF(M:M,Calendar!A973)&gt;0,VLOOKUP(A973,M:P,4,FALSE),VLOOKUP(D973,BusData!$A$3:$D$10,4,FALSE))</f>
        <v/>
      </c>
      <c r="H973" s="11">
        <f>F973/SUMIFS($F$2:$F$9997,$B$2:$B$9997,B973,$C$2:$C$9997,C973)</f>
        <v/>
      </c>
      <c r="I973" s="19" t="n">
        <v>3</v>
      </c>
      <c r="J973" s="57" t="n">
        <v>8</v>
      </c>
    </row>
    <row r="974">
      <c r="A974" s="62" t="n">
        <v>47085</v>
      </c>
      <c r="B974" s="19" t="n">
        <v>2028</v>
      </c>
      <c r="C974" s="19" t="n">
        <v>11</v>
      </c>
      <c r="D974" s="56" t="inlineStr">
        <is>
          <t>Tue</t>
        </is>
      </c>
      <c r="E974" s="56" t="inlineStr">
        <is>
          <t>Week</t>
        </is>
      </c>
      <c r="F974" s="56">
        <f>IF(ForeCalc!$F$1="Staffed Hours",G974,24)</f>
        <v/>
      </c>
      <c r="G974" s="57">
        <f>IF(COUNTIF(M:M,Calendar!A974)&gt;0,VLOOKUP(A974,M:P,4,FALSE),VLOOKUP(D974,BusData!$A$3:$D$10,4,FALSE))</f>
        <v/>
      </c>
      <c r="H974" s="11">
        <f>F974/SUMIFS($F$2:$F$9997,$B$2:$B$9997,B974,$C$2:$C$9997,C974)</f>
        <v/>
      </c>
      <c r="I974" s="19" t="n">
        <v>3</v>
      </c>
      <c r="J974" s="57" t="n">
        <v>8</v>
      </c>
    </row>
    <row r="975">
      <c r="A975" s="62" t="n">
        <v>47086</v>
      </c>
      <c r="B975" s="19" t="n">
        <v>2028</v>
      </c>
      <c r="C975" s="19" t="n">
        <v>11</v>
      </c>
      <c r="D975" s="56" t="inlineStr">
        <is>
          <t>Wed</t>
        </is>
      </c>
      <c r="E975" s="56" t="inlineStr">
        <is>
          <t>Week</t>
        </is>
      </c>
      <c r="F975" s="56">
        <f>IF(ForeCalc!$F$1="Staffed Hours",G975,24)</f>
        <v/>
      </c>
      <c r="G975" s="57">
        <f>IF(COUNTIF(M:M,Calendar!A975)&gt;0,VLOOKUP(A975,M:P,4,FALSE),VLOOKUP(D975,BusData!$A$3:$D$10,4,FALSE))</f>
        <v/>
      </c>
      <c r="H975" s="11">
        <f>F975/SUMIFS($F$2:$F$9997,$B$2:$B$9997,B975,$C$2:$C$9997,C975)</f>
        <v/>
      </c>
      <c r="I975" s="19" t="n">
        <v>3</v>
      </c>
      <c r="J975" s="57" t="n">
        <v>8</v>
      </c>
    </row>
    <row r="976">
      <c r="A976" s="62" t="n">
        <v>47087</v>
      </c>
      <c r="B976" s="19" t="n">
        <v>2028</v>
      </c>
      <c r="C976" s="19" t="n">
        <v>11</v>
      </c>
      <c r="D976" s="56" t="inlineStr">
        <is>
          <t>Thu</t>
        </is>
      </c>
      <c r="E976" s="56" t="inlineStr">
        <is>
          <t>Week</t>
        </is>
      </c>
      <c r="F976" s="56">
        <f>IF(ForeCalc!$F$1="Staffed Hours",G976,24)</f>
        <v/>
      </c>
      <c r="G976" s="57">
        <f>IF(COUNTIF(M:M,Calendar!A976)&gt;0,VLOOKUP(A976,M:P,4,FALSE),VLOOKUP(D976,BusData!$A$3:$D$10,4,FALSE))</f>
        <v/>
      </c>
      <c r="H976" s="11">
        <f>F976/SUMIFS($F$2:$F$9997,$B$2:$B$9997,B976,$C$2:$C$9997,C976)</f>
        <v/>
      </c>
      <c r="I976" s="19" t="n">
        <v>3</v>
      </c>
      <c r="J976" s="57" t="n">
        <v>8</v>
      </c>
    </row>
    <row r="977">
      <c r="A977" s="62" t="n">
        <v>47088</v>
      </c>
      <c r="B977" s="19" t="n">
        <v>2028</v>
      </c>
      <c r="C977" s="19" t="n">
        <v>12</v>
      </c>
      <c r="D977" s="56" t="inlineStr">
        <is>
          <t>Fri</t>
        </is>
      </c>
      <c r="E977" s="56" t="inlineStr">
        <is>
          <t>Week</t>
        </is>
      </c>
      <c r="F977" s="56">
        <f>IF(ForeCalc!$F$1="Staffed Hours",G977,24)</f>
        <v/>
      </c>
      <c r="G977" s="57">
        <f>IF(COUNTIF(M:M,Calendar!A977)&gt;0,VLOOKUP(A977,M:P,4,FALSE),VLOOKUP(D977,BusData!$A$3:$D$10,4,FALSE))</f>
        <v/>
      </c>
      <c r="H977" s="11">
        <f>F977/SUMIFS($F$2:$F$9997,$B$2:$B$9997,B977,$C$2:$C$9997,C977)</f>
        <v/>
      </c>
      <c r="I977" s="19" t="n">
        <v>3</v>
      </c>
      <c r="J977" s="57" t="n">
        <v>9</v>
      </c>
    </row>
    <row r="978">
      <c r="A978" s="62" t="n">
        <v>47089</v>
      </c>
      <c r="B978" s="19" t="n">
        <v>2028</v>
      </c>
      <c r="C978" s="19" t="n">
        <v>12</v>
      </c>
      <c r="D978" s="56" t="inlineStr">
        <is>
          <t>Sat</t>
        </is>
      </c>
      <c r="E978" s="56" t="inlineStr">
        <is>
          <t>Sat</t>
        </is>
      </c>
      <c r="F978" s="56">
        <f>IF(ForeCalc!$F$1="Staffed Hours",G978,24)</f>
        <v/>
      </c>
      <c r="G978" s="57">
        <f>IF(COUNTIF(M:M,Calendar!A978)&gt;0,VLOOKUP(A978,M:P,4,FALSE),VLOOKUP(D978,BusData!$A$3:$D$10,4,FALSE))</f>
        <v/>
      </c>
      <c r="H978" s="11">
        <f>F978/SUMIFS($F$2:$F$9997,$B$2:$B$9997,B978,$C$2:$C$9997,C978)</f>
        <v/>
      </c>
      <c r="I978" s="19" t="n">
        <v>3</v>
      </c>
      <c r="J978" s="57" t="n">
        <v>9</v>
      </c>
    </row>
    <row r="979">
      <c r="A979" s="62" t="n">
        <v>47090</v>
      </c>
      <c r="B979" s="19" t="n">
        <v>2028</v>
      </c>
      <c r="C979" s="19" t="n">
        <v>12</v>
      </c>
      <c r="D979" s="56" t="inlineStr">
        <is>
          <t>Sun</t>
        </is>
      </c>
      <c r="E979" s="56" t="inlineStr">
        <is>
          <t>Sun</t>
        </is>
      </c>
      <c r="F979" s="56">
        <f>IF(ForeCalc!$F$1="Staffed Hours",G979,24)</f>
        <v/>
      </c>
      <c r="G979" s="57">
        <f>IF(COUNTIF(M:M,Calendar!A979)&gt;0,VLOOKUP(A979,M:P,4,FALSE),VLOOKUP(D979,BusData!$A$3:$D$10,4,FALSE))</f>
        <v/>
      </c>
      <c r="H979" s="11">
        <f>F979/SUMIFS($F$2:$F$9997,$B$2:$B$9997,B979,$C$2:$C$9997,C979)</f>
        <v/>
      </c>
      <c r="I979" s="19" t="n">
        <v>3</v>
      </c>
      <c r="J979" s="57" t="n">
        <v>9</v>
      </c>
    </row>
    <row r="980">
      <c r="A980" s="62" t="n">
        <v>47091</v>
      </c>
      <c r="B980" s="19" t="n">
        <v>2028</v>
      </c>
      <c r="C980" s="19" t="n">
        <v>12</v>
      </c>
      <c r="D980" s="56" t="inlineStr">
        <is>
          <t>Mon</t>
        </is>
      </c>
      <c r="E980" s="56" t="inlineStr">
        <is>
          <t>Week</t>
        </is>
      </c>
      <c r="F980" s="56">
        <f>IF(ForeCalc!$F$1="Staffed Hours",G980,24)</f>
        <v/>
      </c>
      <c r="G980" s="57">
        <f>IF(COUNTIF(M:M,Calendar!A980)&gt;0,VLOOKUP(A980,M:P,4,FALSE),VLOOKUP(D980,BusData!$A$3:$D$10,4,FALSE))</f>
        <v/>
      </c>
      <c r="H980" s="11">
        <f>F980/SUMIFS($F$2:$F$9997,$B$2:$B$9997,B980,$C$2:$C$9997,C980)</f>
        <v/>
      </c>
      <c r="I980" s="19" t="n">
        <v>3</v>
      </c>
      <c r="J980" s="57" t="n">
        <v>9</v>
      </c>
    </row>
    <row r="981">
      <c r="A981" s="62" t="n">
        <v>47092</v>
      </c>
      <c r="B981" s="19" t="n">
        <v>2028</v>
      </c>
      <c r="C981" s="19" t="n">
        <v>12</v>
      </c>
      <c r="D981" s="56" t="inlineStr">
        <is>
          <t>Tue</t>
        </is>
      </c>
      <c r="E981" s="56" t="inlineStr">
        <is>
          <t>Week</t>
        </is>
      </c>
      <c r="F981" s="56">
        <f>IF(ForeCalc!$F$1="Staffed Hours",G981,24)</f>
        <v/>
      </c>
      <c r="G981" s="57">
        <f>IF(COUNTIF(M:M,Calendar!A981)&gt;0,VLOOKUP(A981,M:P,4,FALSE),VLOOKUP(D981,BusData!$A$3:$D$10,4,FALSE))</f>
        <v/>
      </c>
      <c r="H981" s="11">
        <f>F981/SUMIFS($F$2:$F$9997,$B$2:$B$9997,B981,$C$2:$C$9997,C981)</f>
        <v/>
      </c>
      <c r="I981" s="19" t="n">
        <v>3</v>
      </c>
      <c r="J981" s="57" t="n">
        <v>9</v>
      </c>
    </row>
    <row r="982">
      <c r="A982" s="62" t="n">
        <v>47093</v>
      </c>
      <c r="B982" s="19" t="n">
        <v>2028</v>
      </c>
      <c r="C982" s="19" t="n">
        <v>12</v>
      </c>
      <c r="D982" s="56" t="inlineStr">
        <is>
          <t>Wed</t>
        </is>
      </c>
      <c r="E982" s="56" t="inlineStr">
        <is>
          <t>Week</t>
        </is>
      </c>
      <c r="F982" s="56">
        <f>IF(ForeCalc!$F$1="Staffed Hours",G982,24)</f>
        <v/>
      </c>
      <c r="G982" s="57">
        <f>IF(COUNTIF(M:M,Calendar!A982)&gt;0,VLOOKUP(A982,M:P,4,FALSE),VLOOKUP(D982,BusData!$A$3:$D$10,4,FALSE))</f>
        <v/>
      </c>
      <c r="H982" s="11">
        <f>F982/SUMIFS($F$2:$F$9997,$B$2:$B$9997,B982,$C$2:$C$9997,C982)</f>
        <v/>
      </c>
      <c r="I982" s="19" t="n">
        <v>3</v>
      </c>
      <c r="J982" s="57" t="n">
        <v>9</v>
      </c>
    </row>
    <row r="983">
      <c r="A983" s="62" t="n">
        <v>47094</v>
      </c>
      <c r="B983" s="19" t="n">
        <v>2028</v>
      </c>
      <c r="C983" s="19" t="n">
        <v>12</v>
      </c>
      <c r="D983" s="56" t="inlineStr">
        <is>
          <t>Thu</t>
        </is>
      </c>
      <c r="E983" s="56" t="inlineStr">
        <is>
          <t>Week</t>
        </is>
      </c>
      <c r="F983" s="56">
        <f>IF(ForeCalc!$F$1="Staffed Hours",G983,24)</f>
        <v/>
      </c>
      <c r="G983" s="57">
        <f>IF(COUNTIF(M:M,Calendar!A983)&gt;0,VLOOKUP(A983,M:P,4,FALSE),VLOOKUP(D983,BusData!$A$3:$D$10,4,FALSE))</f>
        <v/>
      </c>
      <c r="H983" s="11">
        <f>F983/SUMIFS($F$2:$F$9997,$B$2:$B$9997,B983,$C$2:$C$9997,C983)</f>
        <v/>
      </c>
      <c r="I983" s="19" t="n">
        <v>3</v>
      </c>
      <c r="J983" s="57" t="n">
        <v>9</v>
      </c>
    </row>
    <row r="984">
      <c r="A984" s="62" t="n">
        <v>47095</v>
      </c>
      <c r="B984" s="19" t="n">
        <v>2028</v>
      </c>
      <c r="C984" s="19" t="n">
        <v>12</v>
      </c>
      <c r="D984" s="56" t="inlineStr">
        <is>
          <t>Fri</t>
        </is>
      </c>
      <c r="E984" s="56" t="inlineStr">
        <is>
          <t>Week</t>
        </is>
      </c>
      <c r="F984" s="56">
        <f>IF(ForeCalc!$F$1="Staffed Hours",G984,24)</f>
        <v/>
      </c>
      <c r="G984" s="57">
        <f>IF(COUNTIF(M:M,Calendar!A984)&gt;0,VLOOKUP(A984,M:P,4,FALSE),VLOOKUP(D984,BusData!$A$3:$D$10,4,FALSE))</f>
        <v/>
      </c>
      <c r="H984" s="11">
        <f>F984/SUMIFS($F$2:$F$9997,$B$2:$B$9997,B984,$C$2:$C$9997,C984)</f>
        <v/>
      </c>
      <c r="I984" s="19" t="n">
        <v>3</v>
      </c>
      <c r="J984" s="57" t="n">
        <v>9</v>
      </c>
    </row>
    <row r="985">
      <c r="A985" s="62" t="n">
        <v>47096</v>
      </c>
      <c r="B985" s="19" t="n">
        <v>2028</v>
      </c>
      <c r="C985" s="19" t="n">
        <v>12</v>
      </c>
      <c r="D985" s="56" t="inlineStr">
        <is>
          <t>Sat</t>
        </is>
      </c>
      <c r="E985" s="56" t="inlineStr">
        <is>
          <t>Sat</t>
        </is>
      </c>
      <c r="F985" s="56">
        <f>IF(ForeCalc!$F$1="Staffed Hours",G985,24)</f>
        <v/>
      </c>
      <c r="G985" s="57">
        <f>IF(COUNTIF(M:M,Calendar!A985)&gt;0,VLOOKUP(A985,M:P,4,FALSE),VLOOKUP(D985,BusData!$A$3:$D$10,4,FALSE))</f>
        <v/>
      </c>
      <c r="H985" s="11">
        <f>F985/SUMIFS($F$2:$F$9997,$B$2:$B$9997,B985,$C$2:$C$9997,C985)</f>
        <v/>
      </c>
      <c r="I985" s="19" t="n">
        <v>3</v>
      </c>
      <c r="J985" s="57" t="n">
        <v>9</v>
      </c>
    </row>
    <row r="986">
      <c r="A986" s="62" t="n">
        <v>47097</v>
      </c>
      <c r="B986" s="19" t="n">
        <v>2028</v>
      </c>
      <c r="C986" s="19" t="n">
        <v>12</v>
      </c>
      <c r="D986" s="56" t="inlineStr">
        <is>
          <t>Sun</t>
        </is>
      </c>
      <c r="E986" s="56" t="inlineStr">
        <is>
          <t>Sun</t>
        </is>
      </c>
      <c r="F986" s="56">
        <f>IF(ForeCalc!$F$1="Staffed Hours",G986,24)</f>
        <v/>
      </c>
      <c r="G986" s="57">
        <f>IF(COUNTIF(M:M,Calendar!A986)&gt;0,VLOOKUP(A986,M:P,4,FALSE),VLOOKUP(D986,BusData!$A$3:$D$10,4,FALSE))</f>
        <v/>
      </c>
      <c r="H986" s="11">
        <f>F986/SUMIFS($F$2:$F$9997,$B$2:$B$9997,B986,$C$2:$C$9997,C986)</f>
        <v/>
      </c>
      <c r="I986" s="19" t="n">
        <v>3</v>
      </c>
      <c r="J986" s="57" t="n">
        <v>9</v>
      </c>
    </row>
    <row r="987">
      <c r="A987" s="62" t="n">
        <v>47098</v>
      </c>
      <c r="B987" s="19" t="n">
        <v>2028</v>
      </c>
      <c r="C987" s="19" t="n">
        <v>12</v>
      </c>
      <c r="D987" s="56" t="inlineStr">
        <is>
          <t>Mon</t>
        </is>
      </c>
      <c r="E987" s="56" t="inlineStr">
        <is>
          <t>Week</t>
        </is>
      </c>
      <c r="F987" s="56">
        <f>IF(ForeCalc!$F$1="Staffed Hours",G987,24)</f>
        <v/>
      </c>
      <c r="G987" s="57">
        <f>IF(COUNTIF(M:M,Calendar!A987)&gt;0,VLOOKUP(A987,M:P,4,FALSE),VLOOKUP(D987,BusData!$A$3:$D$10,4,FALSE))</f>
        <v/>
      </c>
      <c r="H987" s="11">
        <f>F987/SUMIFS($F$2:$F$9997,$B$2:$B$9997,B987,$C$2:$C$9997,C987)</f>
        <v/>
      </c>
      <c r="I987" s="19" t="n">
        <v>3</v>
      </c>
      <c r="J987" s="57" t="n">
        <v>9</v>
      </c>
    </row>
    <row r="988">
      <c r="A988" s="62" t="n">
        <v>47099</v>
      </c>
      <c r="B988" s="19" t="n">
        <v>2028</v>
      </c>
      <c r="C988" s="19" t="n">
        <v>12</v>
      </c>
      <c r="D988" s="56" t="inlineStr">
        <is>
          <t>Tue</t>
        </is>
      </c>
      <c r="E988" s="56" t="inlineStr">
        <is>
          <t>Week</t>
        </is>
      </c>
      <c r="F988" s="56">
        <f>IF(ForeCalc!$F$1="Staffed Hours",G988,24)</f>
        <v/>
      </c>
      <c r="G988" s="57">
        <f>IF(COUNTIF(M:M,Calendar!A988)&gt;0,VLOOKUP(A988,M:P,4,FALSE),VLOOKUP(D988,BusData!$A$3:$D$10,4,FALSE))</f>
        <v/>
      </c>
      <c r="H988" s="11">
        <f>F988/SUMIFS($F$2:$F$9997,$B$2:$B$9997,B988,$C$2:$C$9997,C988)</f>
        <v/>
      </c>
      <c r="I988" s="19" t="n">
        <v>3</v>
      </c>
      <c r="J988" s="57" t="n">
        <v>9</v>
      </c>
    </row>
    <row r="989">
      <c r="A989" s="62" t="n">
        <v>47100</v>
      </c>
      <c r="B989" s="19" t="n">
        <v>2028</v>
      </c>
      <c r="C989" s="19" t="n">
        <v>12</v>
      </c>
      <c r="D989" s="56" t="inlineStr">
        <is>
          <t>Wed</t>
        </is>
      </c>
      <c r="E989" s="56" t="inlineStr">
        <is>
          <t>Week</t>
        </is>
      </c>
      <c r="F989" s="56">
        <f>IF(ForeCalc!$F$1="Staffed Hours",G989,24)</f>
        <v/>
      </c>
      <c r="G989" s="57">
        <f>IF(COUNTIF(M:M,Calendar!A989)&gt;0,VLOOKUP(A989,M:P,4,FALSE),VLOOKUP(D989,BusData!$A$3:$D$10,4,FALSE))</f>
        <v/>
      </c>
      <c r="H989" s="11">
        <f>F989/SUMIFS($F$2:$F$9997,$B$2:$B$9997,B989,$C$2:$C$9997,C989)</f>
        <v/>
      </c>
      <c r="I989" s="19" t="n">
        <v>3</v>
      </c>
      <c r="J989" s="57" t="n">
        <v>9</v>
      </c>
    </row>
    <row r="990">
      <c r="A990" s="62" t="n">
        <v>47101</v>
      </c>
      <c r="B990" s="19" t="n">
        <v>2028</v>
      </c>
      <c r="C990" s="19" t="n">
        <v>12</v>
      </c>
      <c r="D990" s="56" t="inlineStr">
        <is>
          <t>Thu</t>
        </is>
      </c>
      <c r="E990" s="56" t="inlineStr">
        <is>
          <t>Week</t>
        </is>
      </c>
      <c r="F990" s="56">
        <f>IF(ForeCalc!$F$1="Staffed Hours",G990,24)</f>
        <v/>
      </c>
      <c r="G990" s="57">
        <f>IF(COUNTIF(M:M,Calendar!A990)&gt;0,VLOOKUP(A990,M:P,4,FALSE),VLOOKUP(D990,BusData!$A$3:$D$10,4,FALSE))</f>
        <v/>
      </c>
      <c r="H990" s="11">
        <f>F990/SUMIFS($F$2:$F$9997,$B$2:$B$9997,B990,$C$2:$C$9997,C990)</f>
        <v/>
      </c>
      <c r="I990" s="19" t="n">
        <v>3</v>
      </c>
      <c r="J990" s="57" t="n">
        <v>9</v>
      </c>
    </row>
    <row r="991">
      <c r="A991" s="62" t="n">
        <v>47102</v>
      </c>
      <c r="B991" s="19" t="n">
        <v>2028</v>
      </c>
      <c r="C991" s="19" t="n">
        <v>12</v>
      </c>
      <c r="D991" s="56" t="inlineStr">
        <is>
          <t>Fri</t>
        </is>
      </c>
      <c r="E991" s="56" t="inlineStr">
        <is>
          <t>Week</t>
        </is>
      </c>
      <c r="F991" s="56">
        <f>IF(ForeCalc!$F$1="Staffed Hours",G991,24)</f>
        <v/>
      </c>
      <c r="G991" s="57">
        <f>IF(COUNTIF(M:M,Calendar!A991)&gt;0,VLOOKUP(A991,M:P,4,FALSE),VLOOKUP(D991,BusData!$A$3:$D$10,4,FALSE))</f>
        <v/>
      </c>
      <c r="H991" s="11">
        <f>F991/SUMIFS($F$2:$F$9997,$B$2:$B$9997,B991,$C$2:$C$9997,C991)</f>
        <v/>
      </c>
      <c r="I991" s="19" t="n">
        <v>3</v>
      </c>
      <c r="J991" s="57" t="n">
        <v>9</v>
      </c>
    </row>
    <row r="992">
      <c r="A992" s="62" t="n">
        <v>47103</v>
      </c>
      <c r="B992" s="19" t="n">
        <v>2028</v>
      </c>
      <c r="C992" s="19" t="n">
        <v>12</v>
      </c>
      <c r="D992" s="56" t="inlineStr">
        <is>
          <t>Sat</t>
        </is>
      </c>
      <c r="E992" s="56" t="inlineStr">
        <is>
          <t>Sat</t>
        </is>
      </c>
      <c r="F992" s="56">
        <f>IF(ForeCalc!$F$1="Staffed Hours",G992,24)</f>
        <v/>
      </c>
      <c r="G992" s="57">
        <f>IF(COUNTIF(M:M,Calendar!A992)&gt;0,VLOOKUP(A992,M:P,4,FALSE),VLOOKUP(D992,BusData!$A$3:$D$10,4,FALSE))</f>
        <v/>
      </c>
      <c r="H992" s="11">
        <f>F992/SUMIFS($F$2:$F$9997,$B$2:$B$9997,B992,$C$2:$C$9997,C992)</f>
        <v/>
      </c>
      <c r="I992" s="19" t="n">
        <v>3</v>
      </c>
      <c r="J992" s="57" t="n">
        <v>9</v>
      </c>
    </row>
    <row r="993">
      <c r="A993" s="62" t="n">
        <v>47104</v>
      </c>
      <c r="B993" s="19" t="n">
        <v>2028</v>
      </c>
      <c r="C993" s="19" t="n">
        <v>12</v>
      </c>
      <c r="D993" s="56" t="inlineStr">
        <is>
          <t>Sun</t>
        </is>
      </c>
      <c r="E993" s="56" t="inlineStr">
        <is>
          <t>Sun</t>
        </is>
      </c>
      <c r="F993" s="56">
        <f>IF(ForeCalc!$F$1="Staffed Hours",G993,24)</f>
        <v/>
      </c>
      <c r="G993" s="57">
        <f>IF(COUNTIF(M:M,Calendar!A993)&gt;0,VLOOKUP(A993,M:P,4,FALSE),VLOOKUP(D993,BusData!$A$3:$D$10,4,FALSE))</f>
        <v/>
      </c>
      <c r="H993" s="11">
        <f>F993/SUMIFS($F$2:$F$9997,$B$2:$B$9997,B993,$C$2:$C$9997,C993)</f>
        <v/>
      </c>
      <c r="I993" s="19" t="n">
        <v>3</v>
      </c>
      <c r="J993" s="57" t="n">
        <v>9</v>
      </c>
    </row>
    <row r="994">
      <c r="A994" s="62" t="n">
        <v>47105</v>
      </c>
      <c r="B994" s="19" t="n">
        <v>2028</v>
      </c>
      <c r="C994" s="19" t="n">
        <v>12</v>
      </c>
      <c r="D994" s="56" t="inlineStr">
        <is>
          <t>Mon</t>
        </is>
      </c>
      <c r="E994" s="56" t="inlineStr">
        <is>
          <t>Week</t>
        </is>
      </c>
      <c r="F994" s="56">
        <f>IF(ForeCalc!$F$1="Staffed Hours",G994,24)</f>
        <v/>
      </c>
      <c r="G994" s="57">
        <f>IF(COUNTIF(M:M,Calendar!A994)&gt;0,VLOOKUP(A994,M:P,4,FALSE),VLOOKUP(D994,BusData!$A$3:$D$10,4,FALSE))</f>
        <v/>
      </c>
      <c r="H994" s="11">
        <f>F994/SUMIFS($F$2:$F$9997,$B$2:$B$9997,B994,$C$2:$C$9997,C994)</f>
        <v/>
      </c>
      <c r="I994" s="19" t="n">
        <v>3</v>
      </c>
      <c r="J994" s="57" t="n">
        <v>9</v>
      </c>
    </row>
    <row r="995">
      <c r="A995" s="62" t="n">
        <v>47106</v>
      </c>
      <c r="B995" s="19" t="n">
        <v>2028</v>
      </c>
      <c r="C995" s="19" t="n">
        <v>12</v>
      </c>
      <c r="D995" s="56" t="inlineStr">
        <is>
          <t>Tue</t>
        </is>
      </c>
      <c r="E995" s="56" t="inlineStr">
        <is>
          <t>Week</t>
        </is>
      </c>
      <c r="F995" s="56">
        <f>IF(ForeCalc!$F$1="Staffed Hours",G995,24)</f>
        <v/>
      </c>
      <c r="G995" s="57">
        <f>IF(COUNTIF(M:M,Calendar!A995)&gt;0,VLOOKUP(A995,M:P,4,FALSE),VLOOKUP(D995,BusData!$A$3:$D$10,4,FALSE))</f>
        <v/>
      </c>
      <c r="H995" s="11">
        <f>F995/SUMIFS($F$2:$F$9997,$B$2:$B$9997,B995,$C$2:$C$9997,C995)</f>
        <v/>
      </c>
      <c r="I995" s="19" t="n">
        <v>3</v>
      </c>
      <c r="J995" s="57" t="n">
        <v>9</v>
      </c>
    </row>
    <row r="996">
      <c r="A996" s="62" t="n">
        <v>47107</v>
      </c>
      <c r="B996" s="19" t="n">
        <v>2028</v>
      </c>
      <c r="C996" s="19" t="n">
        <v>12</v>
      </c>
      <c r="D996" s="56" t="inlineStr">
        <is>
          <t>Wed</t>
        </is>
      </c>
      <c r="E996" s="56" t="inlineStr">
        <is>
          <t>Week</t>
        </is>
      </c>
      <c r="F996" s="56">
        <f>IF(ForeCalc!$F$1="Staffed Hours",G996,24)</f>
        <v/>
      </c>
      <c r="G996" s="57">
        <f>IF(COUNTIF(M:M,Calendar!A996)&gt;0,VLOOKUP(A996,M:P,4,FALSE),VLOOKUP(D996,BusData!$A$3:$D$10,4,FALSE))</f>
        <v/>
      </c>
      <c r="H996" s="11">
        <f>F996/SUMIFS($F$2:$F$9997,$B$2:$B$9997,B996,$C$2:$C$9997,C996)</f>
        <v/>
      </c>
      <c r="I996" s="19" t="n">
        <v>3</v>
      </c>
      <c r="J996" s="57" t="n">
        <v>9</v>
      </c>
    </row>
    <row r="997">
      <c r="A997" s="62" t="n">
        <v>47108</v>
      </c>
      <c r="B997" s="19" t="n">
        <v>2028</v>
      </c>
      <c r="C997" s="19" t="n">
        <v>12</v>
      </c>
      <c r="D997" s="56" t="inlineStr">
        <is>
          <t>Thu</t>
        </is>
      </c>
      <c r="E997" s="56" t="inlineStr">
        <is>
          <t>Week</t>
        </is>
      </c>
      <c r="F997" s="56">
        <f>IF(ForeCalc!$F$1="Staffed Hours",G997,24)</f>
        <v/>
      </c>
      <c r="G997" s="57">
        <f>IF(COUNTIF(M:M,Calendar!A997)&gt;0,VLOOKUP(A997,M:P,4,FALSE),VLOOKUP(D997,BusData!$A$3:$D$10,4,FALSE))</f>
        <v/>
      </c>
      <c r="H997" s="11">
        <f>F997/SUMIFS($F$2:$F$9997,$B$2:$B$9997,B997,$C$2:$C$9997,C997)</f>
        <v/>
      </c>
      <c r="I997" s="19" t="n">
        <v>3</v>
      </c>
      <c r="J997" s="57" t="n">
        <v>9</v>
      </c>
    </row>
    <row r="998">
      <c r="A998" s="62" t="n">
        <v>47109</v>
      </c>
      <c r="B998" s="19" t="n">
        <v>2028</v>
      </c>
      <c r="C998" s="19" t="n">
        <v>12</v>
      </c>
      <c r="D998" s="56" t="inlineStr">
        <is>
          <t>Fri</t>
        </is>
      </c>
      <c r="E998" s="56" t="inlineStr">
        <is>
          <t>Week</t>
        </is>
      </c>
      <c r="F998" s="56">
        <f>IF(ForeCalc!$F$1="Staffed Hours",G998,24)</f>
        <v/>
      </c>
      <c r="G998" s="57">
        <f>IF(COUNTIF(M:M,Calendar!A998)&gt;0,VLOOKUP(A998,M:P,4,FALSE),VLOOKUP(D998,BusData!$A$3:$D$10,4,FALSE))</f>
        <v/>
      </c>
      <c r="H998" s="11">
        <f>F998/SUMIFS($F$2:$F$9997,$B$2:$B$9997,B998,$C$2:$C$9997,C998)</f>
        <v/>
      </c>
      <c r="I998" s="19" t="n">
        <v>3</v>
      </c>
      <c r="J998" s="57" t="n">
        <v>9</v>
      </c>
    </row>
    <row r="999">
      <c r="A999" s="62" t="n">
        <v>47110</v>
      </c>
      <c r="B999" s="19" t="n">
        <v>2028</v>
      </c>
      <c r="C999" s="19" t="n">
        <v>12</v>
      </c>
      <c r="D999" s="56" t="inlineStr">
        <is>
          <t>Sat</t>
        </is>
      </c>
      <c r="E999" s="56" t="inlineStr">
        <is>
          <t>Sat</t>
        </is>
      </c>
      <c r="F999" s="56">
        <f>IF(ForeCalc!$F$1="Staffed Hours",G999,24)</f>
        <v/>
      </c>
      <c r="G999" s="57">
        <f>IF(COUNTIF(M:M,Calendar!A999)&gt;0,VLOOKUP(A999,M:P,4,FALSE),VLOOKUP(D999,BusData!$A$3:$D$10,4,FALSE))</f>
        <v/>
      </c>
      <c r="H999" s="11">
        <f>F999/SUMIFS($F$2:$F$9997,$B$2:$B$9997,B999,$C$2:$C$9997,C999)</f>
        <v/>
      </c>
      <c r="I999" s="19" t="n">
        <v>3</v>
      </c>
      <c r="J999" s="57" t="n">
        <v>9</v>
      </c>
    </row>
    <row r="1000">
      <c r="A1000" s="62" t="n">
        <v>47111</v>
      </c>
      <c r="B1000" s="19" t="n">
        <v>2028</v>
      </c>
      <c r="C1000" s="19" t="n">
        <v>12</v>
      </c>
      <c r="D1000" s="56" t="inlineStr">
        <is>
          <t>Sun</t>
        </is>
      </c>
      <c r="E1000" s="56" t="inlineStr">
        <is>
          <t>Sun</t>
        </is>
      </c>
      <c r="F1000" s="56">
        <f>IF(ForeCalc!$F$1="Staffed Hours",G1000,24)</f>
        <v/>
      </c>
      <c r="G1000" s="57">
        <f>IF(COUNTIF(M:M,Calendar!A1000)&gt;0,VLOOKUP(A1000,M:P,4,FALSE),VLOOKUP(D1000,BusData!$A$3:$D$10,4,FALSE))</f>
        <v/>
      </c>
      <c r="H1000" s="11">
        <f>F1000/SUMIFS($F$2:$F$9997,$B$2:$B$9997,B1000,$C$2:$C$9997,C1000)</f>
        <v/>
      </c>
      <c r="I1000" s="19" t="n">
        <v>3</v>
      </c>
      <c r="J1000" s="57" t="n">
        <v>9</v>
      </c>
    </row>
    <row r="1001">
      <c r="A1001" s="62" t="n">
        <v>47112</v>
      </c>
      <c r="B1001" s="19" t="n">
        <v>2028</v>
      </c>
      <c r="C1001" s="19" t="n">
        <v>12</v>
      </c>
      <c r="D1001" s="56" t="inlineStr">
        <is>
          <t>Mon</t>
        </is>
      </c>
      <c r="E1001" s="56" t="inlineStr">
        <is>
          <t>Week</t>
        </is>
      </c>
      <c r="F1001" s="56">
        <f>IF(ForeCalc!$F$1="Staffed Hours",G1001,24)</f>
        <v/>
      </c>
      <c r="G1001" s="57">
        <f>IF(COUNTIF(M:M,Calendar!A1001)&gt;0,VLOOKUP(A1001,M:P,4,FALSE),VLOOKUP(D1001,BusData!$A$3:$D$10,4,FALSE))</f>
        <v/>
      </c>
      <c r="H1001" s="11">
        <f>F1001/SUMIFS($F$2:$F$9997,$B$2:$B$9997,B1001,$C$2:$C$9997,C1001)</f>
        <v/>
      </c>
      <c r="I1001" s="19" t="n">
        <v>3</v>
      </c>
      <c r="J1001" s="57" t="n">
        <v>9</v>
      </c>
    </row>
    <row r="1002">
      <c r="A1002" s="62" t="n">
        <v>47113</v>
      </c>
      <c r="B1002" s="19" t="n">
        <v>2028</v>
      </c>
      <c r="C1002" s="19" t="n">
        <v>12</v>
      </c>
      <c r="D1002" s="56" t="inlineStr">
        <is>
          <t>Tue</t>
        </is>
      </c>
      <c r="E1002" s="56" t="inlineStr">
        <is>
          <t>Week</t>
        </is>
      </c>
      <c r="F1002" s="56">
        <f>IF(ForeCalc!$F$1="Staffed Hours",G1002,24)</f>
        <v/>
      </c>
      <c r="G1002" s="57">
        <f>IF(COUNTIF(M:M,Calendar!A1002)&gt;0,VLOOKUP(A1002,M:P,4,FALSE),VLOOKUP(D1002,BusData!$A$3:$D$10,4,FALSE))</f>
        <v/>
      </c>
      <c r="H1002" s="11">
        <f>F1002/SUMIFS($F$2:$F$9997,$B$2:$B$9997,B1002,$C$2:$C$9997,C1002)</f>
        <v/>
      </c>
      <c r="I1002" s="19" t="n">
        <v>3</v>
      </c>
      <c r="J1002" s="57" t="n">
        <v>9</v>
      </c>
    </row>
    <row r="1003">
      <c r="A1003" s="62" t="n">
        <v>47114</v>
      </c>
      <c r="B1003" s="19" t="n">
        <v>2028</v>
      </c>
      <c r="C1003" s="19" t="n">
        <v>12</v>
      </c>
      <c r="D1003" s="56" t="inlineStr">
        <is>
          <t>Wed</t>
        </is>
      </c>
      <c r="E1003" s="56" t="inlineStr">
        <is>
          <t>Week</t>
        </is>
      </c>
      <c r="F1003" s="56">
        <f>IF(ForeCalc!$F$1="Staffed Hours",G1003,24)</f>
        <v/>
      </c>
      <c r="G1003" s="57">
        <f>IF(COUNTIF(M:M,Calendar!A1003)&gt;0,VLOOKUP(A1003,M:P,4,FALSE),VLOOKUP(D1003,BusData!$A$3:$D$10,4,FALSE))</f>
        <v/>
      </c>
      <c r="H1003" s="11">
        <f>F1003/SUMIFS($F$2:$F$9997,$B$2:$B$9997,B1003,$C$2:$C$9997,C1003)</f>
        <v/>
      </c>
      <c r="I1003" s="19" t="n">
        <v>3</v>
      </c>
      <c r="J1003" s="57" t="n">
        <v>9</v>
      </c>
    </row>
    <row r="1004">
      <c r="A1004" s="62" t="n">
        <v>47115</v>
      </c>
      <c r="B1004" s="19" t="n">
        <v>2028</v>
      </c>
      <c r="C1004" s="19" t="n">
        <v>12</v>
      </c>
      <c r="D1004" s="56" t="inlineStr">
        <is>
          <t>Thu</t>
        </is>
      </c>
      <c r="E1004" s="56" t="inlineStr">
        <is>
          <t>Week</t>
        </is>
      </c>
      <c r="F1004" s="56">
        <f>IF(ForeCalc!$F$1="Staffed Hours",G1004,24)</f>
        <v/>
      </c>
      <c r="G1004" s="57">
        <f>IF(COUNTIF(M:M,Calendar!A1004)&gt;0,VLOOKUP(A1004,M:P,4,FALSE),VLOOKUP(D1004,BusData!$A$3:$D$10,4,FALSE))</f>
        <v/>
      </c>
      <c r="H1004" s="11">
        <f>F1004/SUMIFS($F$2:$F$9997,$B$2:$B$9997,B1004,$C$2:$C$9997,C1004)</f>
        <v/>
      </c>
      <c r="I1004" s="19" t="n">
        <v>3</v>
      </c>
      <c r="J1004" s="57" t="n">
        <v>9</v>
      </c>
    </row>
    <row r="1005">
      <c r="A1005" s="62" t="n">
        <v>47116</v>
      </c>
      <c r="B1005" s="19" t="n">
        <v>2028</v>
      </c>
      <c r="C1005" s="19" t="n">
        <v>12</v>
      </c>
      <c r="D1005" s="56" t="inlineStr">
        <is>
          <t>Fri</t>
        </is>
      </c>
      <c r="E1005" s="56" t="inlineStr">
        <is>
          <t>Week</t>
        </is>
      </c>
      <c r="F1005" s="56">
        <f>IF(ForeCalc!$F$1="Staffed Hours",G1005,24)</f>
        <v/>
      </c>
      <c r="G1005" s="57">
        <f>IF(COUNTIF(M:M,Calendar!A1005)&gt;0,VLOOKUP(A1005,M:P,4,FALSE),VLOOKUP(D1005,BusData!$A$3:$D$10,4,FALSE))</f>
        <v/>
      </c>
      <c r="H1005" s="11">
        <f>F1005/SUMIFS($F$2:$F$9997,$B$2:$B$9997,B1005,$C$2:$C$9997,C1005)</f>
        <v/>
      </c>
      <c r="I1005" s="19" t="n">
        <v>3</v>
      </c>
      <c r="J1005" s="57" t="n">
        <v>9</v>
      </c>
    </row>
    <row r="1006">
      <c r="A1006" s="62" t="n">
        <v>47117</v>
      </c>
      <c r="B1006" s="19" t="n">
        <v>2028</v>
      </c>
      <c r="C1006" s="19" t="n">
        <v>12</v>
      </c>
      <c r="D1006" s="56" t="inlineStr">
        <is>
          <t>Sat</t>
        </is>
      </c>
      <c r="E1006" s="56" t="inlineStr">
        <is>
          <t>Sat</t>
        </is>
      </c>
      <c r="F1006" s="56">
        <f>IF(ForeCalc!$F$1="Staffed Hours",G1006,24)</f>
        <v/>
      </c>
      <c r="G1006" s="57">
        <f>IF(COUNTIF(M:M,Calendar!A1006)&gt;0,VLOOKUP(A1006,M:P,4,FALSE),VLOOKUP(D1006,BusData!$A$3:$D$10,4,FALSE))</f>
        <v/>
      </c>
      <c r="H1006" s="11">
        <f>F1006/SUMIFS($F$2:$F$9997,$B$2:$B$9997,B1006,$C$2:$C$9997,C1006)</f>
        <v/>
      </c>
      <c r="I1006" s="19" t="n">
        <v>3</v>
      </c>
      <c r="J1006" s="57" t="n">
        <v>9</v>
      </c>
    </row>
    <row r="1007">
      <c r="A1007" s="62" t="n">
        <v>47118</v>
      </c>
      <c r="B1007" s="19" t="n">
        <v>2028</v>
      </c>
      <c r="C1007" s="19" t="n">
        <v>12</v>
      </c>
      <c r="D1007" s="56" t="inlineStr">
        <is>
          <t>Sun</t>
        </is>
      </c>
      <c r="E1007" s="56" t="inlineStr">
        <is>
          <t>Sun</t>
        </is>
      </c>
      <c r="F1007" s="56">
        <f>IF(ForeCalc!$F$1="Staffed Hours",G1007,24)</f>
        <v/>
      </c>
      <c r="G1007" s="57">
        <f>IF(COUNTIF(M:M,Calendar!A1007)&gt;0,VLOOKUP(A1007,M:P,4,FALSE),VLOOKUP(D1007,BusData!$A$3:$D$10,4,FALSE))</f>
        <v/>
      </c>
      <c r="H1007" s="11">
        <f>F1007/SUMIFS($F$2:$F$9997,$B$2:$B$9997,B1007,$C$2:$C$9997,C1007)</f>
        <v/>
      </c>
      <c r="I1007" s="19" t="n">
        <v>3</v>
      </c>
      <c r="J1007" s="57" t="n">
        <v>9</v>
      </c>
    </row>
    <row r="1008">
      <c r="A1008" s="62" t="n">
        <v>47119</v>
      </c>
      <c r="B1008" s="19" t="n">
        <v>2029</v>
      </c>
      <c r="C1008" s="19" t="n">
        <v>1</v>
      </c>
      <c r="D1008" s="56" t="inlineStr">
        <is>
          <t>Mon</t>
        </is>
      </c>
      <c r="E1008" s="56" t="inlineStr">
        <is>
          <t>Week</t>
        </is>
      </c>
      <c r="F1008" s="56">
        <f>IF(ForeCalc!$F$1="Staffed Hours",G1008,24)</f>
        <v/>
      </c>
      <c r="G1008" s="57">
        <f>IF(COUNTIF(M:M,Calendar!A1008)&gt;0,VLOOKUP(A1008,M:P,4,FALSE),VLOOKUP(D1008,BusData!$A$3:$D$10,4,FALSE))</f>
        <v/>
      </c>
      <c r="H1008" s="11">
        <f>F1008/SUMIFS($F$2:$F$9997,$B$2:$B$9997,B1008,$C$2:$C$9997,C1008)</f>
        <v/>
      </c>
      <c r="I1008" s="19" t="n">
        <v>3</v>
      </c>
      <c r="J1008" s="57" t="n">
        <v>10</v>
      </c>
    </row>
    <row r="1009">
      <c r="A1009" s="62" t="n">
        <v>47120</v>
      </c>
      <c r="B1009" s="19" t="n">
        <v>2029</v>
      </c>
      <c r="C1009" s="19" t="n">
        <v>1</v>
      </c>
      <c r="D1009" s="56" t="inlineStr">
        <is>
          <t>Tue</t>
        </is>
      </c>
      <c r="E1009" s="56" t="inlineStr">
        <is>
          <t>Week</t>
        </is>
      </c>
      <c r="F1009" s="56">
        <f>IF(ForeCalc!$F$1="Staffed Hours",G1009,24)</f>
        <v/>
      </c>
      <c r="G1009" s="57">
        <f>IF(COUNTIF(M:M,Calendar!A1009)&gt;0,VLOOKUP(A1009,M:P,4,FALSE),VLOOKUP(D1009,BusData!$A$3:$D$10,4,FALSE))</f>
        <v/>
      </c>
      <c r="H1009" s="11">
        <f>F1009/SUMIFS($F$2:$F$9997,$B$2:$B$9997,B1009,$C$2:$C$9997,C1009)</f>
        <v/>
      </c>
      <c r="I1009" s="19" t="n">
        <v>3</v>
      </c>
      <c r="J1009" s="57" t="n">
        <v>10</v>
      </c>
    </row>
    <row r="1010">
      <c r="A1010" s="62" t="n">
        <v>47121</v>
      </c>
      <c r="B1010" s="19" t="n">
        <v>2029</v>
      </c>
      <c r="C1010" s="19" t="n">
        <v>1</v>
      </c>
      <c r="D1010" s="56" t="inlineStr">
        <is>
          <t>Wed</t>
        </is>
      </c>
      <c r="E1010" s="56" t="inlineStr">
        <is>
          <t>Week</t>
        </is>
      </c>
      <c r="F1010" s="56">
        <f>IF(ForeCalc!$F$1="Staffed Hours",G1010,24)</f>
        <v/>
      </c>
      <c r="G1010" s="57">
        <f>IF(COUNTIF(M:M,Calendar!A1010)&gt;0,VLOOKUP(A1010,M:P,4,FALSE),VLOOKUP(D1010,BusData!$A$3:$D$10,4,FALSE))</f>
        <v/>
      </c>
      <c r="H1010" s="11">
        <f>F1010/SUMIFS($F$2:$F$9997,$B$2:$B$9997,B1010,$C$2:$C$9997,C1010)</f>
        <v/>
      </c>
      <c r="I1010" s="19" t="n">
        <v>3</v>
      </c>
      <c r="J1010" s="57" t="n">
        <v>10</v>
      </c>
    </row>
    <row r="1011">
      <c r="A1011" s="62" t="n">
        <v>47122</v>
      </c>
      <c r="B1011" s="19" t="n">
        <v>2029</v>
      </c>
      <c r="C1011" s="19" t="n">
        <v>1</v>
      </c>
      <c r="D1011" s="56" t="inlineStr">
        <is>
          <t>Thu</t>
        </is>
      </c>
      <c r="E1011" s="56" t="inlineStr">
        <is>
          <t>Week</t>
        </is>
      </c>
      <c r="F1011" s="56">
        <f>IF(ForeCalc!$F$1="Staffed Hours",G1011,24)</f>
        <v/>
      </c>
      <c r="G1011" s="57">
        <f>IF(COUNTIF(M:M,Calendar!A1011)&gt;0,VLOOKUP(A1011,M:P,4,FALSE),VLOOKUP(D1011,BusData!$A$3:$D$10,4,FALSE))</f>
        <v/>
      </c>
      <c r="H1011" s="11">
        <f>F1011/SUMIFS($F$2:$F$9997,$B$2:$B$9997,B1011,$C$2:$C$9997,C1011)</f>
        <v/>
      </c>
      <c r="I1011" s="19" t="n">
        <v>3</v>
      </c>
      <c r="J1011" s="57" t="n">
        <v>10</v>
      </c>
    </row>
    <row r="1012">
      <c r="A1012" s="62" t="n">
        <v>47123</v>
      </c>
      <c r="B1012" s="19" t="n">
        <v>2029</v>
      </c>
      <c r="C1012" s="19" t="n">
        <v>1</v>
      </c>
      <c r="D1012" s="56" t="inlineStr">
        <is>
          <t>Fri</t>
        </is>
      </c>
      <c r="E1012" s="56" t="inlineStr">
        <is>
          <t>Week</t>
        </is>
      </c>
      <c r="F1012" s="56">
        <f>IF(ForeCalc!$F$1="Staffed Hours",G1012,24)</f>
        <v/>
      </c>
      <c r="G1012" s="57">
        <f>IF(COUNTIF(M:M,Calendar!A1012)&gt;0,VLOOKUP(A1012,M:P,4,FALSE),VLOOKUP(D1012,BusData!$A$3:$D$10,4,FALSE))</f>
        <v/>
      </c>
      <c r="H1012" s="11">
        <f>F1012/SUMIFS($F$2:$F$9997,$B$2:$B$9997,B1012,$C$2:$C$9997,C1012)</f>
        <v/>
      </c>
      <c r="I1012" s="19" t="n">
        <v>3</v>
      </c>
      <c r="J1012" s="57" t="n">
        <v>10</v>
      </c>
    </row>
    <row r="1013">
      <c r="A1013" s="62" t="n">
        <v>47124</v>
      </c>
      <c r="B1013" s="19" t="n">
        <v>2029</v>
      </c>
      <c r="C1013" s="19" t="n">
        <v>1</v>
      </c>
      <c r="D1013" s="56" t="inlineStr">
        <is>
          <t>Sat</t>
        </is>
      </c>
      <c r="E1013" s="56" t="inlineStr">
        <is>
          <t>Sat</t>
        </is>
      </c>
      <c r="F1013" s="56">
        <f>IF(ForeCalc!$F$1="Staffed Hours",G1013,24)</f>
        <v/>
      </c>
      <c r="G1013" s="57">
        <f>IF(COUNTIF(M:M,Calendar!A1013)&gt;0,VLOOKUP(A1013,M:P,4,FALSE),VLOOKUP(D1013,BusData!$A$3:$D$10,4,FALSE))</f>
        <v/>
      </c>
      <c r="H1013" s="11">
        <f>F1013/SUMIFS($F$2:$F$9997,$B$2:$B$9997,B1013,$C$2:$C$9997,C1013)</f>
        <v/>
      </c>
      <c r="I1013" s="19" t="n">
        <v>3</v>
      </c>
      <c r="J1013" s="57" t="n">
        <v>10</v>
      </c>
    </row>
    <row r="1014">
      <c r="A1014" s="62" t="n">
        <v>47125</v>
      </c>
      <c r="B1014" s="19" t="n">
        <v>2029</v>
      </c>
      <c r="C1014" s="19" t="n">
        <v>1</v>
      </c>
      <c r="D1014" s="56" t="inlineStr">
        <is>
          <t>Sun</t>
        </is>
      </c>
      <c r="E1014" s="56" t="inlineStr">
        <is>
          <t>Sun</t>
        </is>
      </c>
      <c r="F1014" s="56">
        <f>IF(ForeCalc!$F$1="Staffed Hours",G1014,24)</f>
        <v/>
      </c>
      <c r="G1014" s="57">
        <f>IF(COUNTIF(M:M,Calendar!A1014)&gt;0,VLOOKUP(A1014,M:P,4,FALSE),VLOOKUP(D1014,BusData!$A$3:$D$10,4,FALSE))</f>
        <v/>
      </c>
      <c r="H1014" s="11">
        <f>F1014/SUMIFS($F$2:$F$9997,$B$2:$B$9997,B1014,$C$2:$C$9997,C1014)</f>
        <v/>
      </c>
      <c r="I1014" s="19" t="n">
        <v>3</v>
      </c>
      <c r="J1014" s="57" t="n">
        <v>10</v>
      </c>
    </row>
    <row r="1015">
      <c r="A1015" s="62" t="n">
        <v>47126</v>
      </c>
      <c r="B1015" s="19" t="n">
        <v>2029</v>
      </c>
      <c r="C1015" s="19" t="n">
        <v>1</v>
      </c>
      <c r="D1015" s="56" t="inlineStr">
        <is>
          <t>Mon</t>
        </is>
      </c>
      <c r="E1015" s="56" t="inlineStr">
        <is>
          <t>Week</t>
        </is>
      </c>
      <c r="F1015" s="56">
        <f>IF(ForeCalc!$F$1="Staffed Hours",G1015,24)</f>
        <v/>
      </c>
      <c r="G1015" s="57">
        <f>IF(COUNTIF(M:M,Calendar!A1015)&gt;0,VLOOKUP(A1015,M:P,4,FALSE),VLOOKUP(D1015,BusData!$A$3:$D$10,4,FALSE))</f>
        <v/>
      </c>
      <c r="H1015" s="11">
        <f>F1015/SUMIFS($F$2:$F$9997,$B$2:$B$9997,B1015,$C$2:$C$9997,C1015)</f>
        <v/>
      </c>
      <c r="I1015" s="19" t="n">
        <v>3</v>
      </c>
      <c r="J1015" s="57" t="n">
        <v>10</v>
      </c>
    </row>
    <row r="1016">
      <c r="A1016" s="62" t="n">
        <v>47127</v>
      </c>
      <c r="B1016" s="19" t="n">
        <v>2029</v>
      </c>
      <c r="C1016" s="19" t="n">
        <v>1</v>
      </c>
      <c r="D1016" s="56" t="inlineStr">
        <is>
          <t>Tue</t>
        </is>
      </c>
      <c r="E1016" s="56" t="inlineStr">
        <is>
          <t>Week</t>
        </is>
      </c>
      <c r="F1016" s="56">
        <f>IF(ForeCalc!$F$1="Staffed Hours",G1016,24)</f>
        <v/>
      </c>
      <c r="G1016" s="57">
        <f>IF(COUNTIF(M:M,Calendar!A1016)&gt;0,VLOOKUP(A1016,M:P,4,FALSE),VLOOKUP(D1016,BusData!$A$3:$D$10,4,FALSE))</f>
        <v/>
      </c>
      <c r="H1016" s="11">
        <f>F1016/SUMIFS($F$2:$F$9997,$B$2:$B$9997,B1016,$C$2:$C$9997,C1016)</f>
        <v/>
      </c>
      <c r="I1016" s="19" t="n">
        <v>3</v>
      </c>
      <c r="J1016" s="57" t="n">
        <v>10</v>
      </c>
    </row>
    <row r="1017">
      <c r="A1017" s="62" t="n">
        <v>47128</v>
      </c>
      <c r="B1017" s="19" t="n">
        <v>2029</v>
      </c>
      <c r="C1017" s="19" t="n">
        <v>1</v>
      </c>
      <c r="D1017" s="56" t="inlineStr">
        <is>
          <t>Wed</t>
        </is>
      </c>
      <c r="E1017" s="56" t="inlineStr">
        <is>
          <t>Week</t>
        </is>
      </c>
      <c r="F1017" s="56">
        <f>IF(ForeCalc!$F$1="Staffed Hours",G1017,24)</f>
        <v/>
      </c>
      <c r="G1017" s="57">
        <f>IF(COUNTIF(M:M,Calendar!A1017)&gt;0,VLOOKUP(A1017,M:P,4,FALSE),VLOOKUP(D1017,BusData!$A$3:$D$10,4,FALSE))</f>
        <v/>
      </c>
      <c r="H1017" s="11">
        <f>F1017/SUMIFS($F$2:$F$9997,$B$2:$B$9997,B1017,$C$2:$C$9997,C1017)</f>
        <v/>
      </c>
      <c r="I1017" s="19" t="n">
        <v>3</v>
      </c>
      <c r="J1017" s="57" t="n">
        <v>10</v>
      </c>
    </row>
    <row r="1018">
      <c r="A1018" s="62" t="n">
        <v>47129</v>
      </c>
      <c r="B1018" s="19" t="n">
        <v>2029</v>
      </c>
      <c r="C1018" s="19" t="n">
        <v>1</v>
      </c>
      <c r="D1018" s="56" t="inlineStr">
        <is>
          <t>Thu</t>
        </is>
      </c>
      <c r="E1018" s="56" t="inlineStr">
        <is>
          <t>Week</t>
        </is>
      </c>
      <c r="F1018" s="56">
        <f>IF(ForeCalc!$F$1="Staffed Hours",G1018,24)</f>
        <v/>
      </c>
      <c r="G1018" s="57">
        <f>IF(COUNTIF(M:M,Calendar!A1018)&gt;0,VLOOKUP(A1018,M:P,4,FALSE),VLOOKUP(D1018,BusData!$A$3:$D$10,4,FALSE))</f>
        <v/>
      </c>
      <c r="H1018" s="11">
        <f>F1018/SUMIFS($F$2:$F$9997,$B$2:$B$9997,B1018,$C$2:$C$9997,C1018)</f>
        <v/>
      </c>
      <c r="I1018" s="19" t="n">
        <v>3</v>
      </c>
      <c r="J1018" s="57" t="n">
        <v>10</v>
      </c>
    </row>
    <row r="1019">
      <c r="A1019" s="62" t="n">
        <v>47130</v>
      </c>
      <c r="B1019" s="19" t="n">
        <v>2029</v>
      </c>
      <c r="C1019" s="19" t="n">
        <v>1</v>
      </c>
      <c r="D1019" s="56" t="inlineStr">
        <is>
          <t>Fri</t>
        </is>
      </c>
      <c r="E1019" s="56" t="inlineStr">
        <is>
          <t>Week</t>
        </is>
      </c>
      <c r="F1019" s="56">
        <f>IF(ForeCalc!$F$1="Staffed Hours",G1019,24)</f>
        <v/>
      </c>
      <c r="G1019" s="57">
        <f>IF(COUNTIF(M:M,Calendar!A1019)&gt;0,VLOOKUP(A1019,M:P,4,FALSE),VLOOKUP(D1019,BusData!$A$3:$D$10,4,FALSE))</f>
        <v/>
      </c>
      <c r="H1019" s="11">
        <f>F1019/SUMIFS($F$2:$F$9997,$B$2:$B$9997,B1019,$C$2:$C$9997,C1019)</f>
        <v/>
      </c>
      <c r="I1019" s="19" t="n">
        <v>3</v>
      </c>
      <c r="J1019" s="57" t="n">
        <v>10</v>
      </c>
    </row>
    <row r="1020">
      <c r="A1020" s="62" t="n">
        <v>47131</v>
      </c>
      <c r="B1020" s="19" t="n">
        <v>2029</v>
      </c>
      <c r="C1020" s="19" t="n">
        <v>1</v>
      </c>
      <c r="D1020" s="56" t="inlineStr">
        <is>
          <t>Sat</t>
        </is>
      </c>
      <c r="E1020" s="56" t="inlineStr">
        <is>
          <t>Sat</t>
        </is>
      </c>
      <c r="F1020" s="56">
        <f>IF(ForeCalc!$F$1="Staffed Hours",G1020,24)</f>
        <v/>
      </c>
      <c r="G1020" s="57">
        <f>IF(COUNTIF(M:M,Calendar!A1020)&gt;0,VLOOKUP(A1020,M:P,4,FALSE),VLOOKUP(D1020,BusData!$A$3:$D$10,4,FALSE))</f>
        <v/>
      </c>
      <c r="H1020" s="11">
        <f>F1020/SUMIFS($F$2:$F$9997,$B$2:$B$9997,B1020,$C$2:$C$9997,C1020)</f>
        <v/>
      </c>
      <c r="I1020" s="19" t="n">
        <v>3</v>
      </c>
      <c r="J1020" s="57" t="n">
        <v>10</v>
      </c>
    </row>
    <row r="1021">
      <c r="A1021" s="62" t="n">
        <v>47132</v>
      </c>
      <c r="B1021" s="19" t="n">
        <v>2029</v>
      </c>
      <c r="C1021" s="19" t="n">
        <v>1</v>
      </c>
      <c r="D1021" s="56" t="inlineStr">
        <is>
          <t>Sun</t>
        </is>
      </c>
      <c r="E1021" s="56" t="inlineStr">
        <is>
          <t>Sun</t>
        </is>
      </c>
      <c r="F1021" s="56">
        <f>IF(ForeCalc!$F$1="Staffed Hours",G1021,24)</f>
        <v/>
      </c>
      <c r="G1021" s="57">
        <f>IF(COUNTIF(M:M,Calendar!A1021)&gt;0,VLOOKUP(A1021,M:P,4,FALSE),VLOOKUP(D1021,BusData!$A$3:$D$10,4,FALSE))</f>
        <v/>
      </c>
      <c r="H1021" s="11">
        <f>F1021/SUMIFS($F$2:$F$9997,$B$2:$B$9997,B1021,$C$2:$C$9997,C1021)</f>
        <v/>
      </c>
      <c r="I1021" s="19" t="n">
        <v>3</v>
      </c>
      <c r="J1021" s="57" t="n">
        <v>10</v>
      </c>
    </row>
    <row r="1022">
      <c r="A1022" s="62" t="n">
        <v>47133</v>
      </c>
      <c r="B1022" s="19" t="n">
        <v>2029</v>
      </c>
      <c r="C1022" s="19" t="n">
        <v>1</v>
      </c>
      <c r="D1022" s="56" t="inlineStr">
        <is>
          <t>Mon</t>
        </is>
      </c>
      <c r="E1022" s="56" t="inlineStr">
        <is>
          <t>Week</t>
        </is>
      </c>
      <c r="F1022" s="56">
        <f>IF(ForeCalc!$F$1="Staffed Hours",G1022,24)</f>
        <v/>
      </c>
      <c r="G1022" s="57">
        <f>IF(COUNTIF(M:M,Calendar!A1022)&gt;0,VLOOKUP(A1022,M:P,4,FALSE),VLOOKUP(D1022,BusData!$A$3:$D$10,4,FALSE))</f>
        <v/>
      </c>
      <c r="H1022" s="11">
        <f>F1022/SUMIFS($F$2:$F$9997,$B$2:$B$9997,B1022,$C$2:$C$9997,C1022)</f>
        <v/>
      </c>
      <c r="I1022" s="19" t="n">
        <v>3</v>
      </c>
      <c r="J1022" s="57" t="n">
        <v>10</v>
      </c>
    </row>
    <row r="1023">
      <c r="A1023" s="62" t="n">
        <v>47134</v>
      </c>
      <c r="B1023" s="19" t="n">
        <v>2029</v>
      </c>
      <c r="C1023" s="19" t="n">
        <v>1</v>
      </c>
      <c r="D1023" s="56" t="inlineStr">
        <is>
          <t>Tue</t>
        </is>
      </c>
      <c r="E1023" s="56" t="inlineStr">
        <is>
          <t>Week</t>
        </is>
      </c>
      <c r="F1023" s="56">
        <f>IF(ForeCalc!$F$1="Staffed Hours",G1023,24)</f>
        <v/>
      </c>
      <c r="G1023" s="57">
        <f>IF(COUNTIF(M:M,Calendar!A1023)&gt;0,VLOOKUP(A1023,M:P,4,FALSE),VLOOKUP(D1023,BusData!$A$3:$D$10,4,FALSE))</f>
        <v/>
      </c>
      <c r="H1023" s="11">
        <f>F1023/SUMIFS($F$2:$F$9997,$B$2:$B$9997,B1023,$C$2:$C$9997,C1023)</f>
        <v/>
      </c>
      <c r="I1023" s="19" t="n">
        <v>3</v>
      </c>
      <c r="J1023" s="57" t="n">
        <v>10</v>
      </c>
    </row>
    <row r="1024">
      <c r="A1024" s="62" t="n">
        <v>47135</v>
      </c>
      <c r="B1024" s="19" t="n">
        <v>2029</v>
      </c>
      <c r="C1024" s="19" t="n">
        <v>1</v>
      </c>
      <c r="D1024" s="56" t="inlineStr">
        <is>
          <t>Wed</t>
        </is>
      </c>
      <c r="E1024" s="56" t="inlineStr">
        <is>
          <t>Week</t>
        </is>
      </c>
      <c r="F1024" s="56">
        <f>IF(ForeCalc!$F$1="Staffed Hours",G1024,24)</f>
        <v/>
      </c>
      <c r="G1024" s="57">
        <f>IF(COUNTIF(M:M,Calendar!A1024)&gt;0,VLOOKUP(A1024,M:P,4,FALSE),VLOOKUP(D1024,BusData!$A$3:$D$10,4,FALSE))</f>
        <v/>
      </c>
      <c r="H1024" s="11">
        <f>F1024/SUMIFS($F$2:$F$9997,$B$2:$B$9997,B1024,$C$2:$C$9997,C1024)</f>
        <v/>
      </c>
      <c r="I1024" s="19" t="n">
        <v>3</v>
      </c>
      <c r="J1024" s="57" t="n">
        <v>10</v>
      </c>
    </row>
    <row r="1025">
      <c r="A1025" s="62" t="n">
        <v>47136</v>
      </c>
      <c r="B1025" s="19" t="n">
        <v>2029</v>
      </c>
      <c r="C1025" s="19" t="n">
        <v>1</v>
      </c>
      <c r="D1025" s="56" t="inlineStr">
        <is>
          <t>Thu</t>
        </is>
      </c>
      <c r="E1025" s="56" t="inlineStr">
        <is>
          <t>Week</t>
        </is>
      </c>
      <c r="F1025" s="56">
        <f>IF(ForeCalc!$F$1="Staffed Hours",G1025,24)</f>
        <v/>
      </c>
      <c r="G1025" s="57">
        <f>IF(COUNTIF(M:M,Calendar!A1025)&gt;0,VLOOKUP(A1025,M:P,4,FALSE),VLOOKUP(D1025,BusData!$A$3:$D$10,4,FALSE))</f>
        <v/>
      </c>
      <c r="H1025" s="11">
        <f>F1025/SUMIFS($F$2:$F$9997,$B$2:$B$9997,B1025,$C$2:$C$9997,C1025)</f>
        <v/>
      </c>
      <c r="I1025" s="19" t="n">
        <v>3</v>
      </c>
      <c r="J1025" s="57" t="n">
        <v>10</v>
      </c>
    </row>
    <row r="1026">
      <c r="A1026" s="62" t="n">
        <v>47137</v>
      </c>
      <c r="B1026" s="19" t="n">
        <v>2029</v>
      </c>
      <c r="C1026" s="19" t="n">
        <v>1</v>
      </c>
      <c r="D1026" s="56" t="inlineStr">
        <is>
          <t>Fri</t>
        </is>
      </c>
      <c r="E1026" s="56" t="inlineStr">
        <is>
          <t>Week</t>
        </is>
      </c>
      <c r="F1026" s="56">
        <f>IF(ForeCalc!$F$1="Staffed Hours",G1026,24)</f>
        <v/>
      </c>
      <c r="G1026" s="57">
        <f>IF(COUNTIF(M:M,Calendar!A1026)&gt;0,VLOOKUP(A1026,M:P,4,FALSE),VLOOKUP(D1026,BusData!$A$3:$D$10,4,FALSE))</f>
        <v/>
      </c>
      <c r="H1026" s="11">
        <f>F1026/SUMIFS($F$2:$F$9997,$B$2:$B$9997,B1026,$C$2:$C$9997,C1026)</f>
        <v/>
      </c>
      <c r="I1026" s="19" t="n">
        <v>3</v>
      </c>
      <c r="J1026" s="57" t="n">
        <v>10</v>
      </c>
    </row>
    <row r="1027">
      <c r="A1027" s="62" t="n">
        <v>47138</v>
      </c>
      <c r="B1027" s="19" t="n">
        <v>2029</v>
      </c>
      <c r="C1027" s="19" t="n">
        <v>1</v>
      </c>
      <c r="D1027" s="56" t="inlineStr">
        <is>
          <t>Sat</t>
        </is>
      </c>
      <c r="E1027" s="56" t="inlineStr">
        <is>
          <t>Sat</t>
        </is>
      </c>
      <c r="F1027" s="56">
        <f>IF(ForeCalc!$F$1="Staffed Hours",G1027,24)</f>
        <v/>
      </c>
      <c r="G1027" s="57">
        <f>IF(COUNTIF(M:M,Calendar!A1027)&gt;0,VLOOKUP(A1027,M:P,4,FALSE),VLOOKUP(D1027,BusData!$A$3:$D$10,4,FALSE))</f>
        <v/>
      </c>
      <c r="H1027" s="11">
        <f>F1027/SUMIFS($F$2:$F$9997,$B$2:$B$9997,B1027,$C$2:$C$9997,C1027)</f>
        <v/>
      </c>
      <c r="I1027" s="19" t="n">
        <v>3</v>
      </c>
      <c r="J1027" s="57" t="n">
        <v>10</v>
      </c>
    </row>
    <row r="1028">
      <c r="A1028" s="62" t="n">
        <v>47139</v>
      </c>
      <c r="B1028" s="19" t="n">
        <v>2029</v>
      </c>
      <c r="C1028" s="19" t="n">
        <v>1</v>
      </c>
      <c r="D1028" s="56" t="inlineStr">
        <is>
          <t>Sun</t>
        </is>
      </c>
      <c r="E1028" s="56" t="inlineStr">
        <is>
          <t>Sun</t>
        </is>
      </c>
      <c r="F1028" s="56">
        <f>IF(ForeCalc!$F$1="Staffed Hours",G1028,24)</f>
        <v/>
      </c>
      <c r="G1028" s="57">
        <f>IF(COUNTIF(M:M,Calendar!A1028)&gt;0,VLOOKUP(A1028,M:P,4,FALSE),VLOOKUP(D1028,BusData!$A$3:$D$10,4,FALSE))</f>
        <v/>
      </c>
      <c r="H1028" s="11">
        <f>F1028/SUMIFS($F$2:$F$9997,$B$2:$B$9997,B1028,$C$2:$C$9997,C1028)</f>
        <v/>
      </c>
      <c r="I1028" s="19" t="n">
        <v>3</v>
      </c>
      <c r="J1028" s="57" t="n">
        <v>10</v>
      </c>
    </row>
    <row r="1029">
      <c r="A1029" s="62" t="n">
        <v>47140</v>
      </c>
      <c r="B1029" s="19" t="n">
        <v>2029</v>
      </c>
      <c r="C1029" s="19" t="n">
        <v>1</v>
      </c>
      <c r="D1029" s="56" t="inlineStr">
        <is>
          <t>Mon</t>
        </is>
      </c>
      <c r="E1029" s="56" t="inlineStr">
        <is>
          <t>Week</t>
        </is>
      </c>
      <c r="F1029" s="56">
        <f>IF(ForeCalc!$F$1="Staffed Hours",G1029,24)</f>
        <v/>
      </c>
      <c r="G1029" s="57">
        <f>IF(COUNTIF(M:M,Calendar!A1029)&gt;0,VLOOKUP(A1029,M:P,4,FALSE),VLOOKUP(D1029,BusData!$A$3:$D$10,4,FALSE))</f>
        <v/>
      </c>
      <c r="H1029" s="11">
        <f>F1029/SUMIFS($F$2:$F$9997,$B$2:$B$9997,B1029,$C$2:$C$9997,C1029)</f>
        <v/>
      </c>
      <c r="I1029" s="19" t="n">
        <v>3</v>
      </c>
      <c r="J1029" s="57" t="n">
        <v>10</v>
      </c>
    </row>
    <row r="1030">
      <c r="A1030" s="62" t="n">
        <v>47141</v>
      </c>
      <c r="B1030" s="19" t="n">
        <v>2029</v>
      </c>
      <c r="C1030" s="19" t="n">
        <v>1</v>
      </c>
      <c r="D1030" s="56" t="inlineStr">
        <is>
          <t>Tue</t>
        </is>
      </c>
      <c r="E1030" s="56" t="inlineStr">
        <is>
          <t>Week</t>
        </is>
      </c>
      <c r="F1030" s="56">
        <f>IF(ForeCalc!$F$1="Staffed Hours",G1030,24)</f>
        <v/>
      </c>
      <c r="G1030" s="57">
        <f>IF(COUNTIF(M:M,Calendar!A1030)&gt;0,VLOOKUP(A1030,M:P,4,FALSE),VLOOKUP(D1030,BusData!$A$3:$D$10,4,FALSE))</f>
        <v/>
      </c>
      <c r="H1030" s="11">
        <f>F1030/SUMIFS($F$2:$F$9997,$B$2:$B$9997,B1030,$C$2:$C$9997,C1030)</f>
        <v/>
      </c>
      <c r="I1030" s="19" t="n">
        <v>3</v>
      </c>
      <c r="J1030" s="57" t="n">
        <v>10</v>
      </c>
    </row>
    <row r="1031">
      <c r="A1031" s="62" t="n">
        <v>47142</v>
      </c>
      <c r="B1031" s="19" t="n">
        <v>2029</v>
      </c>
      <c r="C1031" s="19" t="n">
        <v>1</v>
      </c>
      <c r="D1031" s="56" t="inlineStr">
        <is>
          <t>Wed</t>
        </is>
      </c>
      <c r="E1031" s="56" t="inlineStr">
        <is>
          <t>Week</t>
        </is>
      </c>
      <c r="F1031" s="56">
        <f>IF(ForeCalc!$F$1="Staffed Hours",G1031,24)</f>
        <v/>
      </c>
      <c r="G1031" s="57">
        <f>IF(COUNTIF(M:M,Calendar!A1031)&gt;0,VLOOKUP(A1031,M:P,4,FALSE),VLOOKUP(D1031,BusData!$A$3:$D$10,4,FALSE))</f>
        <v/>
      </c>
      <c r="H1031" s="11">
        <f>F1031/SUMIFS($F$2:$F$9997,$B$2:$B$9997,B1031,$C$2:$C$9997,C1031)</f>
        <v/>
      </c>
      <c r="I1031" s="19" t="n">
        <v>3</v>
      </c>
      <c r="J1031" s="57" t="n">
        <v>10</v>
      </c>
    </row>
    <row r="1032">
      <c r="A1032" s="62" t="n">
        <v>47143</v>
      </c>
      <c r="B1032" s="19" t="n">
        <v>2029</v>
      </c>
      <c r="C1032" s="19" t="n">
        <v>1</v>
      </c>
      <c r="D1032" s="56" t="inlineStr">
        <is>
          <t>Thu</t>
        </is>
      </c>
      <c r="E1032" s="56" t="inlineStr">
        <is>
          <t>Week</t>
        </is>
      </c>
      <c r="F1032" s="56">
        <f>IF(ForeCalc!$F$1="Staffed Hours",G1032,24)</f>
        <v/>
      </c>
      <c r="G1032" s="57">
        <f>IF(COUNTIF(M:M,Calendar!A1032)&gt;0,VLOOKUP(A1032,M:P,4,FALSE),VLOOKUP(D1032,BusData!$A$3:$D$10,4,FALSE))</f>
        <v/>
      </c>
      <c r="H1032" s="11">
        <f>F1032/SUMIFS($F$2:$F$9997,$B$2:$B$9997,B1032,$C$2:$C$9997,C1032)</f>
        <v/>
      </c>
      <c r="I1032" s="19" t="n">
        <v>3</v>
      </c>
      <c r="J1032" s="57" t="n">
        <v>10</v>
      </c>
    </row>
    <row r="1033">
      <c r="A1033" s="62" t="n">
        <v>47144</v>
      </c>
      <c r="B1033" s="19" t="n">
        <v>2029</v>
      </c>
      <c r="C1033" s="19" t="n">
        <v>1</v>
      </c>
      <c r="D1033" s="56" t="inlineStr">
        <is>
          <t>Fri</t>
        </is>
      </c>
      <c r="E1033" s="56" t="inlineStr">
        <is>
          <t>Week</t>
        </is>
      </c>
      <c r="F1033" s="56">
        <f>IF(ForeCalc!$F$1="Staffed Hours",G1033,24)</f>
        <v/>
      </c>
      <c r="G1033" s="57">
        <f>IF(COUNTIF(M:M,Calendar!A1033)&gt;0,VLOOKUP(A1033,M:P,4,FALSE),VLOOKUP(D1033,BusData!$A$3:$D$10,4,FALSE))</f>
        <v/>
      </c>
      <c r="H1033" s="11">
        <f>F1033/SUMIFS($F$2:$F$9997,$B$2:$B$9997,B1033,$C$2:$C$9997,C1033)</f>
        <v/>
      </c>
      <c r="I1033" s="19" t="n">
        <v>3</v>
      </c>
      <c r="J1033" s="57" t="n">
        <v>10</v>
      </c>
    </row>
    <row r="1034">
      <c r="A1034" s="62" t="n">
        <v>47145</v>
      </c>
      <c r="B1034" s="19" t="n">
        <v>2029</v>
      </c>
      <c r="C1034" s="19" t="n">
        <v>1</v>
      </c>
      <c r="D1034" s="56" t="inlineStr">
        <is>
          <t>Sat</t>
        </is>
      </c>
      <c r="E1034" s="56" t="inlineStr">
        <is>
          <t>Sat</t>
        </is>
      </c>
      <c r="F1034" s="56">
        <f>IF(ForeCalc!$F$1="Staffed Hours",G1034,24)</f>
        <v/>
      </c>
      <c r="G1034" s="57">
        <f>IF(COUNTIF(M:M,Calendar!A1034)&gt;0,VLOOKUP(A1034,M:P,4,FALSE),VLOOKUP(D1034,BusData!$A$3:$D$10,4,FALSE))</f>
        <v/>
      </c>
      <c r="H1034" s="11">
        <f>F1034/SUMIFS($F$2:$F$9997,$B$2:$B$9997,B1034,$C$2:$C$9997,C1034)</f>
        <v/>
      </c>
      <c r="I1034" s="19" t="n">
        <v>3</v>
      </c>
      <c r="J1034" s="57" t="n">
        <v>10</v>
      </c>
    </row>
    <row r="1035">
      <c r="A1035" s="62" t="n">
        <v>47146</v>
      </c>
      <c r="B1035" s="19" t="n">
        <v>2029</v>
      </c>
      <c r="C1035" s="19" t="n">
        <v>1</v>
      </c>
      <c r="D1035" s="56" t="inlineStr">
        <is>
          <t>Sun</t>
        </is>
      </c>
      <c r="E1035" s="56" t="inlineStr">
        <is>
          <t>Sun</t>
        </is>
      </c>
      <c r="F1035" s="56">
        <f>IF(ForeCalc!$F$1="Staffed Hours",G1035,24)</f>
        <v/>
      </c>
      <c r="G1035" s="57">
        <f>IF(COUNTIF(M:M,Calendar!A1035)&gt;0,VLOOKUP(A1035,M:P,4,FALSE),VLOOKUP(D1035,BusData!$A$3:$D$10,4,FALSE))</f>
        <v/>
      </c>
      <c r="H1035" s="11">
        <f>F1035/SUMIFS($F$2:$F$9997,$B$2:$B$9997,B1035,$C$2:$C$9997,C1035)</f>
        <v/>
      </c>
      <c r="I1035" s="19" t="n">
        <v>3</v>
      </c>
      <c r="J1035" s="57" t="n">
        <v>10</v>
      </c>
    </row>
    <row r="1036">
      <c r="A1036" s="62" t="n">
        <v>47147</v>
      </c>
      <c r="B1036" s="19" t="n">
        <v>2029</v>
      </c>
      <c r="C1036" s="19" t="n">
        <v>1</v>
      </c>
      <c r="D1036" s="56" t="inlineStr">
        <is>
          <t>Mon</t>
        </is>
      </c>
      <c r="E1036" s="56" t="inlineStr">
        <is>
          <t>Week</t>
        </is>
      </c>
      <c r="F1036" s="56">
        <f>IF(ForeCalc!$F$1="Staffed Hours",G1036,24)</f>
        <v/>
      </c>
      <c r="G1036" s="57">
        <f>IF(COUNTIF(M:M,Calendar!A1036)&gt;0,VLOOKUP(A1036,M:P,4,FALSE),VLOOKUP(D1036,BusData!$A$3:$D$10,4,FALSE))</f>
        <v/>
      </c>
      <c r="H1036" s="11">
        <f>F1036/SUMIFS($F$2:$F$9997,$B$2:$B$9997,B1036,$C$2:$C$9997,C1036)</f>
        <v/>
      </c>
      <c r="I1036" s="19" t="n">
        <v>3</v>
      </c>
      <c r="J1036" s="57" t="n">
        <v>10</v>
      </c>
    </row>
    <row r="1037">
      <c r="A1037" s="62" t="n">
        <v>47148</v>
      </c>
      <c r="B1037" s="19" t="n">
        <v>2029</v>
      </c>
      <c r="C1037" s="19" t="n">
        <v>1</v>
      </c>
      <c r="D1037" s="56" t="inlineStr">
        <is>
          <t>Tue</t>
        </is>
      </c>
      <c r="E1037" s="56" t="inlineStr">
        <is>
          <t>Week</t>
        </is>
      </c>
      <c r="F1037" s="56">
        <f>IF(ForeCalc!$F$1="Staffed Hours",G1037,24)</f>
        <v/>
      </c>
      <c r="G1037" s="57">
        <f>IF(COUNTIF(M:M,Calendar!A1037)&gt;0,VLOOKUP(A1037,M:P,4,FALSE),VLOOKUP(D1037,BusData!$A$3:$D$10,4,FALSE))</f>
        <v/>
      </c>
      <c r="H1037" s="11">
        <f>F1037/SUMIFS($F$2:$F$9997,$B$2:$B$9997,B1037,$C$2:$C$9997,C1037)</f>
        <v/>
      </c>
      <c r="I1037" s="19" t="n">
        <v>3</v>
      </c>
      <c r="J1037" s="57" t="n">
        <v>10</v>
      </c>
    </row>
    <row r="1038">
      <c r="A1038" s="62" t="n">
        <v>47149</v>
      </c>
      <c r="B1038" s="19" t="n">
        <v>2029</v>
      </c>
      <c r="C1038" s="19" t="n">
        <v>1</v>
      </c>
      <c r="D1038" s="56" t="inlineStr">
        <is>
          <t>Wed</t>
        </is>
      </c>
      <c r="E1038" s="56" t="inlineStr">
        <is>
          <t>Week</t>
        </is>
      </c>
      <c r="F1038" s="56">
        <f>IF(ForeCalc!$F$1="Staffed Hours",G1038,24)</f>
        <v/>
      </c>
      <c r="G1038" s="57">
        <f>IF(COUNTIF(M:M,Calendar!A1038)&gt;0,VLOOKUP(A1038,M:P,4,FALSE),VLOOKUP(D1038,BusData!$A$3:$D$10,4,FALSE))</f>
        <v/>
      </c>
      <c r="H1038" s="11">
        <f>F1038/SUMIFS($F$2:$F$9997,$B$2:$B$9997,B1038,$C$2:$C$9997,C1038)</f>
        <v/>
      </c>
      <c r="I1038" s="19" t="n">
        <v>3</v>
      </c>
      <c r="J1038" s="57" t="n">
        <v>10</v>
      </c>
    </row>
    <row r="1039">
      <c r="A1039" s="62" t="n">
        <v>47150</v>
      </c>
      <c r="B1039" s="19" t="n">
        <v>2029</v>
      </c>
      <c r="C1039" s="19" t="n">
        <v>2</v>
      </c>
      <c r="D1039" s="56" t="inlineStr">
        <is>
          <t>Thu</t>
        </is>
      </c>
      <c r="E1039" s="56" t="inlineStr">
        <is>
          <t>Week</t>
        </is>
      </c>
      <c r="F1039" s="56">
        <f>IF(ForeCalc!$F$1="Staffed Hours",G1039,24)</f>
        <v/>
      </c>
      <c r="G1039" s="57">
        <f>IF(COUNTIF(M:M,Calendar!A1039)&gt;0,VLOOKUP(A1039,M:P,4,FALSE),VLOOKUP(D1039,BusData!$A$3:$D$10,4,FALSE))</f>
        <v/>
      </c>
      <c r="H1039" s="11">
        <f>F1039/SUMIFS($F$2:$F$9997,$B$2:$B$9997,B1039,$C$2:$C$9997,C1039)</f>
        <v/>
      </c>
      <c r="I1039" s="19" t="n">
        <v>3</v>
      </c>
      <c r="J1039" s="57" t="n">
        <v>11</v>
      </c>
    </row>
    <row r="1040">
      <c r="A1040" s="62" t="n">
        <v>47151</v>
      </c>
      <c r="B1040" s="19" t="n">
        <v>2029</v>
      </c>
      <c r="C1040" s="19" t="n">
        <v>2</v>
      </c>
      <c r="D1040" s="56" t="inlineStr">
        <is>
          <t>Fri</t>
        </is>
      </c>
      <c r="E1040" s="56" t="inlineStr">
        <is>
          <t>Week</t>
        </is>
      </c>
      <c r="F1040" s="56">
        <f>IF(ForeCalc!$F$1="Staffed Hours",G1040,24)</f>
        <v/>
      </c>
      <c r="G1040" s="57">
        <f>IF(COUNTIF(M:M,Calendar!A1040)&gt;0,VLOOKUP(A1040,M:P,4,FALSE),VLOOKUP(D1040,BusData!$A$3:$D$10,4,FALSE))</f>
        <v/>
      </c>
      <c r="H1040" s="11">
        <f>F1040/SUMIFS($F$2:$F$9997,$B$2:$B$9997,B1040,$C$2:$C$9997,C1040)</f>
        <v/>
      </c>
      <c r="I1040" s="19" t="n">
        <v>3</v>
      </c>
      <c r="J1040" s="57" t="n">
        <v>11</v>
      </c>
    </row>
    <row r="1041">
      <c r="A1041" s="62" t="n">
        <v>47152</v>
      </c>
      <c r="B1041" s="19" t="n">
        <v>2029</v>
      </c>
      <c r="C1041" s="19" t="n">
        <v>2</v>
      </c>
      <c r="D1041" s="56" t="inlineStr">
        <is>
          <t>Sat</t>
        </is>
      </c>
      <c r="E1041" s="56" t="inlineStr">
        <is>
          <t>Sat</t>
        </is>
      </c>
      <c r="F1041" s="56">
        <f>IF(ForeCalc!$F$1="Staffed Hours",G1041,24)</f>
        <v/>
      </c>
      <c r="G1041" s="57">
        <f>IF(COUNTIF(M:M,Calendar!A1041)&gt;0,VLOOKUP(A1041,M:P,4,FALSE),VLOOKUP(D1041,BusData!$A$3:$D$10,4,FALSE))</f>
        <v/>
      </c>
      <c r="H1041" s="11">
        <f>F1041/SUMIFS($F$2:$F$9997,$B$2:$B$9997,B1041,$C$2:$C$9997,C1041)</f>
        <v/>
      </c>
      <c r="I1041" s="19" t="n">
        <v>3</v>
      </c>
      <c r="J1041" s="57" t="n">
        <v>11</v>
      </c>
    </row>
    <row r="1042">
      <c r="A1042" s="62" t="n">
        <v>47153</v>
      </c>
      <c r="B1042" s="19" t="n">
        <v>2029</v>
      </c>
      <c r="C1042" s="19" t="n">
        <v>2</v>
      </c>
      <c r="D1042" s="56" t="inlineStr">
        <is>
          <t>Sun</t>
        </is>
      </c>
      <c r="E1042" s="56" t="inlineStr">
        <is>
          <t>Sun</t>
        </is>
      </c>
      <c r="F1042" s="56">
        <f>IF(ForeCalc!$F$1="Staffed Hours",G1042,24)</f>
        <v/>
      </c>
      <c r="G1042" s="57">
        <f>IF(COUNTIF(M:M,Calendar!A1042)&gt;0,VLOOKUP(A1042,M:P,4,FALSE),VLOOKUP(D1042,BusData!$A$3:$D$10,4,FALSE))</f>
        <v/>
      </c>
      <c r="H1042" s="11">
        <f>F1042/SUMIFS($F$2:$F$9997,$B$2:$B$9997,B1042,$C$2:$C$9997,C1042)</f>
        <v/>
      </c>
      <c r="I1042" s="19" t="n">
        <v>3</v>
      </c>
      <c r="J1042" s="57" t="n">
        <v>11</v>
      </c>
    </row>
    <row r="1043">
      <c r="A1043" s="62" t="n">
        <v>47154</v>
      </c>
      <c r="B1043" s="19" t="n">
        <v>2029</v>
      </c>
      <c r="C1043" s="19" t="n">
        <v>2</v>
      </c>
      <c r="D1043" s="56" t="inlineStr">
        <is>
          <t>Mon</t>
        </is>
      </c>
      <c r="E1043" s="56" t="inlineStr">
        <is>
          <t>Week</t>
        </is>
      </c>
      <c r="F1043" s="56">
        <f>IF(ForeCalc!$F$1="Staffed Hours",G1043,24)</f>
        <v/>
      </c>
      <c r="G1043" s="57">
        <f>IF(COUNTIF(M:M,Calendar!A1043)&gt;0,VLOOKUP(A1043,M:P,4,FALSE),VLOOKUP(D1043,BusData!$A$3:$D$10,4,FALSE))</f>
        <v/>
      </c>
      <c r="H1043" s="11">
        <f>F1043/SUMIFS($F$2:$F$9997,$B$2:$B$9997,B1043,$C$2:$C$9997,C1043)</f>
        <v/>
      </c>
      <c r="I1043" s="19" t="n">
        <v>3</v>
      </c>
      <c r="J1043" s="57" t="n">
        <v>11</v>
      </c>
    </row>
    <row r="1044">
      <c r="A1044" s="62" t="n">
        <v>47155</v>
      </c>
      <c r="B1044" s="19" t="n">
        <v>2029</v>
      </c>
      <c r="C1044" s="19" t="n">
        <v>2</v>
      </c>
      <c r="D1044" s="56" t="inlineStr">
        <is>
          <t>Tue</t>
        </is>
      </c>
      <c r="E1044" s="56" t="inlineStr">
        <is>
          <t>Week</t>
        </is>
      </c>
      <c r="F1044" s="56">
        <f>IF(ForeCalc!$F$1="Staffed Hours",G1044,24)</f>
        <v/>
      </c>
      <c r="G1044" s="57">
        <f>IF(COUNTIF(M:M,Calendar!A1044)&gt;0,VLOOKUP(A1044,M:P,4,FALSE),VLOOKUP(D1044,BusData!$A$3:$D$10,4,FALSE))</f>
        <v/>
      </c>
      <c r="H1044" s="11">
        <f>F1044/SUMIFS($F$2:$F$9997,$B$2:$B$9997,B1044,$C$2:$C$9997,C1044)</f>
        <v/>
      </c>
      <c r="I1044" s="19" t="n">
        <v>3</v>
      </c>
      <c r="J1044" s="57" t="n">
        <v>11</v>
      </c>
    </row>
    <row r="1045">
      <c r="A1045" s="62" t="n">
        <v>47156</v>
      </c>
      <c r="B1045" s="19" t="n">
        <v>2029</v>
      </c>
      <c r="C1045" s="19" t="n">
        <v>2</v>
      </c>
      <c r="D1045" s="56" t="inlineStr">
        <is>
          <t>Wed</t>
        </is>
      </c>
      <c r="E1045" s="56" t="inlineStr">
        <is>
          <t>Week</t>
        </is>
      </c>
      <c r="F1045" s="56">
        <f>IF(ForeCalc!$F$1="Staffed Hours",G1045,24)</f>
        <v/>
      </c>
      <c r="G1045" s="57">
        <f>IF(COUNTIF(M:M,Calendar!A1045)&gt;0,VLOOKUP(A1045,M:P,4,FALSE),VLOOKUP(D1045,BusData!$A$3:$D$10,4,FALSE))</f>
        <v/>
      </c>
      <c r="H1045" s="11">
        <f>F1045/SUMIFS($F$2:$F$9997,$B$2:$B$9997,B1045,$C$2:$C$9997,C1045)</f>
        <v/>
      </c>
      <c r="I1045" s="19" t="n">
        <v>3</v>
      </c>
      <c r="J1045" s="57" t="n">
        <v>11</v>
      </c>
    </row>
    <row r="1046">
      <c r="A1046" s="62" t="n">
        <v>47157</v>
      </c>
      <c r="B1046" s="19" t="n">
        <v>2029</v>
      </c>
      <c r="C1046" s="19" t="n">
        <v>2</v>
      </c>
      <c r="D1046" s="56" t="inlineStr">
        <is>
          <t>Thu</t>
        </is>
      </c>
      <c r="E1046" s="56" t="inlineStr">
        <is>
          <t>Week</t>
        </is>
      </c>
      <c r="F1046" s="56">
        <f>IF(ForeCalc!$F$1="Staffed Hours",G1046,24)</f>
        <v/>
      </c>
      <c r="G1046" s="57">
        <f>IF(COUNTIF(M:M,Calendar!A1046)&gt;0,VLOOKUP(A1046,M:P,4,FALSE),VLOOKUP(D1046,BusData!$A$3:$D$10,4,FALSE))</f>
        <v/>
      </c>
      <c r="H1046" s="11">
        <f>F1046/SUMIFS($F$2:$F$9997,$B$2:$B$9997,B1046,$C$2:$C$9997,C1046)</f>
        <v/>
      </c>
      <c r="I1046" s="19" t="n">
        <v>3</v>
      </c>
      <c r="J1046" s="57" t="n">
        <v>11</v>
      </c>
    </row>
    <row r="1047">
      <c r="A1047" s="62" t="n">
        <v>47158</v>
      </c>
      <c r="B1047" s="19" t="n">
        <v>2029</v>
      </c>
      <c r="C1047" s="19" t="n">
        <v>2</v>
      </c>
      <c r="D1047" s="56" t="inlineStr">
        <is>
          <t>Fri</t>
        </is>
      </c>
      <c r="E1047" s="56" t="inlineStr">
        <is>
          <t>Week</t>
        </is>
      </c>
      <c r="F1047" s="56">
        <f>IF(ForeCalc!$F$1="Staffed Hours",G1047,24)</f>
        <v/>
      </c>
      <c r="G1047" s="57">
        <f>IF(COUNTIF(M:M,Calendar!A1047)&gt;0,VLOOKUP(A1047,M:P,4,FALSE),VLOOKUP(D1047,BusData!$A$3:$D$10,4,FALSE))</f>
        <v/>
      </c>
      <c r="H1047" s="11">
        <f>F1047/SUMIFS($F$2:$F$9997,$B$2:$B$9997,B1047,$C$2:$C$9997,C1047)</f>
        <v/>
      </c>
      <c r="I1047" s="19" t="n">
        <v>3</v>
      </c>
      <c r="J1047" s="57" t="n">
        <v>11</v>
      </c>
    </row>
    <row r="1048">
      <c r="A1048" s="62" t="n">
        <v>47159</v>
      </c>
      <c r="B1048" s="19" t="n">
        <v>2029</v>
      </c>
      <c r="C1048" s="19" t="n">
        <v>2</v>
      </c>
      <c r="D1048" s="56" t="inlineStr">
        <is>
          <t>Sat</t>
        </is>
      </c>
      <c r="E1048" s="56" t="inlineStr">
        <is>
          <t>Sat</t>
        </is>
      </c>
      <c r="F1048" s="56">
        <f>IF(ForeCalc!$F$1="Staffed Hours",G1048,24)</f>
        <v/>
      </c>
      <c r="G1048" s="57">
        <f>IF(COUNTIF(M:M,Calendar!A1048)&gt;0,VLOOKUP(A1048,M:P,4,FALSE),VLOOKUP(D1048,BusData!$A$3:$D$10,4,FALSE))</f>
        <v/>
      </c>
      <c r="H1048" s="11">
        <f>F1048/SUMIFS($F$2:$F$9997,$B$2:$B$9997,B1048,$C$2:$C$9997,C1048)</f>
        <v/>
      </c>
      <c r="I1048" s="19" t="n">
        <v>3</v>
      </c>
      <c r="J1048" s="57" t="n">
        <v>11</v>
      </c>
    </row>
    <row r="1049">
      <c r="A1049" s="62" t="n">
        <v>47160</v>
      </c>
      <c r="B1049" s="19" t="n">
        <v>2029</v>
      </c>
      <c r="C1049" s="19" t="n">
        <v>2</v>
      </c>
      <c r="D1049" s="56" t="inlineStr">
        <is>
          <t>Sun</t>
        </is>
      </c>
      <c r="E1049" s="56" t="inlineStr">
        <is>
          <t>Sun</t>
        </is>
      </c>
      <c r="F1049" s="56">
        <f>IF(ForeCalc!$F$1="Staffed Hours",G1049,24)</f>
        <v/>
      </c>
      <c r="G1049" s="57">
        <f>IF(COUNTIF(M:M,Calendar!A1049)&gt;0,VLOOKUP(A1049,M:P,4,FALSE),VLOOKUP(D1049,BusData!$A$3:$D$10,4,FALSE))</f>
        <v/>
      </c>
      <c r="H1049" s="11">
        <f>F1049/SUMIFS($F$2:$F$9997,$B$2:$B$9997,B1049,$C$2:$C$9997,C1049)</f>
        <v/>
      </c>
      <c r="I1049" s="19" t="n">
        <v>3</v>
      </c>
      <c r="J1049" s="57" t="n">
        <v>11</v>
      </c>
    </row>
    <row r="1050">
      <c r="A1050" s="62" t="n">
        <v>47161</v>
      </c>
      <c r="B1050" s="19" t="n">
        <v>2029</v>
      </c>
      <c r="C1050" s="19" t="n">
        <v>2</v>
      </c>
      <c r="D1050" s="56" t="inlineStr">
        <is>
          <t>Mon</t>
        </is>
      </c>
      <c r="E1050" s="56" t="inlineStr">
        <is>
          <t>Week</t>
        </is>
      </c>
      <c r="F1050" s="56">
        <f>IF(ForeCalc!$F$1="Staffed Hours",G1050,24)</f>
        <v/>
      </c>
      <c r="G1050" s="57">
        <f>IF(COUNTIF(M:M,Calendar!A1050)&gt;0,VLOOKUP(A1050,M:P,4,FALSE),VLOOKUP(D1050,BusData!$A$3:$D$10,4,FALSE))</f>
        <v/>
      </c>
      <c r="H1050" s="11">
        <f>F1050/SUMIFS($F$2:$F$9997,$B$2:$B$9997,B1050,$C$2:$C$9997,C1050)</f>
        <v/>
      </c>
      <c r="I1050" s="19" t="n">
        <v>3</v>
      </c>
      <c r="J1050" s="57" t="n">
        <v>11</v>
      </c>
    </row>
    <row r="1051">
      <c r="A1051" s="62" t="n">
        <v>47162</v>
      </c>
      <c r="B1051" s="19" t="n">
        <v>2029</v>
      </c>
      <c r="C1051" s="19" t="n">
        <v>2</v>
      </c>
      <c r="D1051" s="56" t="inlineStr">
        <is>
          <t>Tue</t>
        </is>
      </c>
      <c r="E1051" s="56" t="inlineStr">
        <is>
          <t>Week</t>
        </is>
      </c>
      <c r="F1051" s="56">
        <f>IF(ForeCalc!$F$1="Staffed Hours",G1051,24)</f>
        <v/>
      </c>
      <c r="G1051" s="57">
        <f>IF(COUNTIF(M:M,Calendar!A1051)&gt;0,VLOOKUP(A1051,M:P,4,FALSE),VLOOKUP(D1051,BusData!$A$3:$D$10,4,FALSE))</f>
        <v/>
      </c>
      <c r="H1051" s="11">
        <f>F1051/SUMIFS($F$2:$F$9997,$B$2:$B$9997,B1051,$C$2:$C$9997,C1051)</f>
        <v/>
      </c>
      <c r="I1051" s="19" t="n">
        <v>3</v>
      </c>
      <c r="J1051" s="57" t="n">
        <v>11</v>
      </c>
    </row>
    <row r="1052">
      <c r="A1052" s="62" t="n">
        <v>47163</v>
      </c>
      <c r="B1052" s="19" t="n">
        <v>2029</v>
      </c>
      <c r="C1052" s="19" t="n">
        <v>2</v>
      </c>
      <c r="D1052" s="56" t="inlineStr">
        <is>
          <t>Wed</t>
        </is>
      </c>
      <c r="E1052" s="56" t="inlineStr">
        <is>
          <t>Week</t>
        </is>
      </c>
      <c r="F1052" s="56">
        <f>IF(ForeCalc!$F$1="Staffed Hours",G1052,24)</f>
        <v/>
      </c>
      <c r="G1052" s="57">
        <f>IF(COUNTIF(M:M,Calendar!A1052)&gt;0,VLOOKUP(A1052,M:P,4,FALSE),VLOOKUP(D1052,BusData!$A$3:$D$10,4,FALSE))</f>
        <v/>
      </c>
      <c r="H1052" s="11">
        <f>F1052/SUMIFS($F$2:$F$9997,$B$2:$B$9997,B1052,$C$2:$C$9997,C1052)</f>
        <v/>
      </c>
      <c r="I1052" s="19" t="n">
        <v>3</v>
      </c>
      <c r="J1052" s="57" t="n">
        <v>11</v>
      </c>
    </row>
    <row r="1053">
      <c r="A1053" s="62" t="n">
        <v>47164</v>
      </c>
      <c r="B1053" s="19" t="n">
        <v>2029</v>
      </c>
      <c r="C1053" s="19" t="n">
        <v>2</v>
      </c>
      <c r="D1053" s="56" t="inlineStr">
        <is>
          <t>Thu</t>
        </is>
      </c>
      <c r="E1053" s="56" t="inlineStr">
        <is>
          <t>Week</t>
        </is>
      </c>
      <c r="F1053" s="56">
        <f>IF(ForeCalc!$F$1="Staffed Hours",G1053,24)</f>
        <v/>
      </c>
      <c r="G1053" s="57">
        <f>IF(COUNTIF(M:M,Calendar!A1053)&gt;0,VLOOKUP(A1053,M:P,4,FALSE),VLOOKUP(D1053,BusData!$A$3:$D$10,4,FALSE))</f>
        <v/>
      </c>
      <c r="H1053" s="11">
        <f>F1053/SUMIFS($F$2:$F$9997,$B$2:$B$9997,B1053,$C$2:$C$9997,C1053)</f>
        <v/>
      </c>
      <c r="I1053" s="19" t="n">
        <v>3</v>
      </c>
      <c r="J1053" s="57" t="n">
        <v>11</v>
      </c>
    </row>
    <row r="1054">
      <c r="A1054" s="62" t="n">
        <v>47165</v>
      </c>
      <c r="B1054" s="19" t="n">
        <v>2029</v>
      </c>
      <c r="C1054" s="19" t="n">
        <v>2</v>
      </c>
      <c r="D1054" s="56" t="inlineStr">
        <is>
          <t>Fri</t>
        </is>
      </c>
      <c r="E1054" s="56" t="inlineStr">
        <is>
          <t>Week</t>
        </is>
      </c>
      <c r="F1054" s="56">
        <f>IF(ForeCalc!$F$1="Staffed Hours",G1054,24)</f>
        <v/>
      </c>
      <c r="G1054" s="57">
        <f>IF(COUNTIF(M:M,Calendar!A1054)&gt;0,VLOOKUP(A1054,M:P,4,FALSE),VLOOKUP(D1054,BusData!$A$3:$D$10,4,FALSE))</f>
        <v/>
      </c>
      <c r="H1054" s="11">
        <f>F1054/SUMIFS($F$2:$F$9997,$B$2:$B$9997,B1054,$C$2:$C$9997,C1054)</f>
        <v/>
      </c>
      <c r="I1054" s="19" t="n">
        <v>3</v>
      </c>
      <c r="J1054" s="57" t="n">
        <v>11</v>
      </c>
    </row>
    <row r="1055">
      <c r="A1055" s="62" t="n">
        <v>47166</v>
      </c>
      <c r="B1055" s="19" t="n">
        <v>2029</v>
      </c>
      <c r="C1055" s="19" t="n">
        <v>2</v>
      </c>
      <c r="D1055" s="56" t="inlineStr">
        <is>
          <t>Sat</t>
        </is>
      </c>
      <c r="E1055" s="56" t="inlineStr">
        <is>
          <t>Sat</t>
        </is>
      </c>
      <c r="F1055" s="56">
        <f>IF(ForeCalc!$F$1="Staffed Hours",G1055,24)</f>
        <v/>
      </c>
      <c r="G1055" s="57">
        <f>IF(COUNTIF(M:M,Calendar!A1055)&gt;0,VLOOKUP(A1055,M:P,4,FALSE),VLOOKUP(D1055,BusData!$A$3:$D$10,4,FALSE))</f>
        <v/>
      </c>
      <c r="H1055" s="11">
        <f>F1055/SUMIFS($F$2:$F$9997,$B$2:$B$9997,B1055,$C$2:$C$9997,C1055)</f>
        <v/>
      </c>
      <c r="I1055" s="19" t="n">
        <v>3</v>
      </c>
      <c r="J1055" s="57" t="n">
        <v>11</v>
      </c>
    </row>
    <row r="1056">
      <c r="A1056" s="62" t="n">
        <v>47167</v>
      </c>
      <c r="B1056" s="19" t="n">
        <v>2029</v>
      </c>
      <c r="C1056" s="19" t="n">
        <v>2</v>
      </c>
      <c r="D1056" s="56" t="inlineStr">
        <is>
          <t>Sun</t>
        </is>
      </c>
      <c r="E1056" s="56" t="inlineStr">
        <is>
          <t>Sun</t>
        </is>
      </c>
      <c r="F1056" s="56">
        <f>IF(ForeCalc!$F$1="Staffed Hours",G1056,24)</f>
        <v/>
      </c>
      <c r="G1056" s="57">
        <f>IF(COUNTIF(M:M,Calendar!A1056)&gt;0,VLOOKUP(A1056,M:P,4,FALSE),VLOOKUP(D1056,BusData!$A$3:$D$10,4,FALSE))</f>
        <v/>
      </c>
      <c r="H1056" s="11">
        <f>F1056/SUMIFS($F$2:$F$9997,$B$2:$B$9997,B1056,$C$2:$C$9997,C1056)</f>
        <v/>
      </c>
      <c r="I1056" s="19" t="n">
        <v>3</v>
      </c>
      <c r="J1056" s="57" t="n">
        <v>11</v>
      </c>
    </row>
    <row r="1057">
      <c r="A1057" s="62" t="n">
        <v>47168</v>
      </c>
      <c r="B1057" s="19" t="n">
        <v>2029</v>
      </c>
      <c r="C1057" s="19" t="n">
        <v>2</v>
      </c>
      <c r="D1057" s="56" t="inlineStr">
        <is>
          <t>Mon</t>
        </is>
      </c>
      <c r="E1057" s="56" t="inlineStr">
        <is>
          <t>Week</t>
        </is>
      </c>
      <c r="F1057" s="56">
        <f>IF(ForeCalc!$F$1="Staffed Hours",G1057,24)</f>
        <v/>
      </c>
      <c r="G1057" s="57">
        <f>IF(COUNTIF(M:M,Calendar!A1057)&gt;0,VLOOKUP(A1057,M:P,4,FALSE),VLOOKUP(D1057,BusData!$A$3:$D$10,4,FALSE))</f>
        <v/>
      </c>
      <c r="H1057" s="11">
        <f>F1057/SUMIFS($F$2:$F$9997,$B$2:$B$9997,B1057,$C$2:$C$9997,C1057)</f>
        <v/>
      </c>
      <c r="I1057" s="19" t="n">
        <v>3</v>
      </c>
      <c r="J1057" s="57" t="n">
        <v>11</v>
      </c>
    </row>
    <row r="1058">
      <c r="A1058" s="62" t="n">
        <v>47169</v>
      </c>
      <c r="B1058" s="19" t="n">
        <v>2029</v>
      </c>
      <c r="C1058" s="19" t="n">
        <v>2</v>
      </c>
      <c r="D1058" s="56" t="inlineStr">
        <is>
          <t>Tue</t>
        </is>
      </c>
      <c r="E1058" s="56" t="inlineStr">
        <is>
          <t>Week</t>
        </is>
      </c>
      <c r="F1058" s="56">
        <f>IF(ForeCalc!$F$1="Staffed Hours",G1058,24)</f>
        <v/>
      </c>
      <c r="G1058" s="57">
        <f>IF(COUNTIF(M:M,Calendar!A1058)&gt;0,VLOOKUP(A1058,M:P,4,FALSE),VLOOKUP(D1058,BusData!$A$3:$D$10,4,FALSE))</f>
        <v/>
      </c>
      <c r="H1058" s="11">
        <f>F1058/SUMIFS($F$2:$F$9997,$B$2:$B$9997,B1058,$C$2:$C$9997,C1058)</f>
        <v/>
      </c>
      <c r="I1058" s="19" t="n">
        <v>3</v>
      </c>
      <c r="J1058" s="57" t="n">
        <v>11</v>
      </c>
    </row>
    <row r="1059">
      <c r="A1059" s="62" t="n">
        <v>47170</v>
      </c>
      <c r="B1059" s="19" t="n">
        <v>2029</v>
      </c>
      <c r="C1059" s="19" t="n">
        <v>2</v>
      </c>
      <c r="D1059" s="56" t="inlineStr">
        <is>
          <t>Wed</t>
        </is>
      </c>
      <c r="E1059" s="56" t="inlineStr">
        <is>
          <t>Week</t>
        </is>
      </c>
      <c r="F1059" s="56">
        <f>IF(ForeCalc!$F$1="Staffed Hours",G1059,24)</f>
        <v/>
      </c>
      <c r="G1059" s="57">
        <f>IF(COUNTIF(M:M,Calendar!A1059)&gt;0,VLOOKUP(A1059,M:P,4,FALSE),VLOOKUP(D1059,BusData!$A$3:$D$10,4,FALSE))</f>
        <v/>
      </c>
      <c r="H1059" s="11">
        <f>F1059/SUMIFS($F$2:$F$9997,$B$2:$B$9997,B1059,$C$2:$C$9997,C1059)</f>
        <v/>
      </c>
      <c r="I1059" s="19" t="n">
        <v>3</v>
      </c>
      <c r="J1059" s="57" t="n">
        <v>11</v>
      </c>
    </row>
    <row r="1060">
      <c r="A1060" s="62" t="n">
        <v>47171</v>
      </c>
      <c r="B1060" s="19" t="n">
        <v>2029</v>
      </c>
      <c r="C1060" s="19" t="n">
        <v>2</v>
      </c>
      <c r="D1060" s="56" t="inlineStr">
        <is>
          <t>Thu</t>
        </is>
      </c>
      <c r="E1060" s="56" t="inlineStr">
        <is>
          <t>Week</t>
        </is>
      </c>
      <c r="F1060" s="56">
        <f>IF(ForeCalc!$F$1="Staffed Hours",G1060,24)</f>
        <v/>
      </c>
      <c r="G1060" s="57">
        <f>IF(COUNTIF(M:M,Calendar!A1060)&gt;0,VLOOKUP(A1060,M:P,4,FALSE),VLOOKUP(D1060,BusData!$A$3:$D$10,4,FALSE))</f>
        <v/>
      </c>
      <c r="H1060" s="11">
        <f>F1060/SUMIFS($F$2:$F$9997,$B$2:$B$9997,B1060,$C$2:$C$9997,C1060)</f>
        <v/>
      </c>
      <c r="I1060" s="19" t="n">
        <v>3</v>
      </c>
      <c r="J1060" s="57" t="n">
        <v>11</v>
      </c>
    </row>
    <row r="1061">
      <c r="A1061" s="62" t="n">
        <v>47172</v>
      </c>
      <c r="B1061" s="19" t="n">
        <v>2029</v>
      </c>
      <c r="C1061" s="19" t="n">
        <v>2</v>
      </c>
      <c r="D1061" s="56" t="inlineStr">
        <is>
          <t>Fri</t>
        </is>
      </c>
      <c r="E1061" s="56" t="inlineStr">
        <is>
          <t>Week</t>
        </is>
      </c>
      <c r="F1061" s="56">
        <f>IF(ForeCalc!$F$1="Staffed Hours",G1061,24)</f>
        <v/>
      </c>
      <c r="G1061" s="57">
        <f>IF(COUNTIF(M:M,Calendar!A1061)&gt;0,VLOOKUP(A1061,M:P,4,FALSE),VLOOKUP(D1061,BusData!$A$3:$D$10,4,FALSE))</f>
        <v/>
      </c>
      <c r="H1061" s="11">
        <f>F1061/SUMIFS($F$2:$F$9997,$B$2:$B$9997,B1061,$C$2:$C$9997,C1061)</f>
        <v/>
      </c>
      <c r="I1061" s="19" t="n">
        <v>3</v>
      </c>
      <c r="J1061" s="57" t="n">
        <v>11</v>
      </c>
    </row>
    <row r="1062">
      <c r="A1062" s="62" t="n">
        <v>47173</v>
      </c>
      <c r="B1062" s="19" t="n">
        <v>2029</v>
      </c>
      <c r="C1062" s="19" t="n">
        <v>2</v>
      </c>
      <c r="D1062" s="56" t="inlineStr">
        <is>
          <t>Sat</t>
        </is>
      </c>
      <c r="E1062" s="56" t="inlineStr">
        <is>
          <t>Sat</t>
        </is>
      </c>
      <c r="F1062" s="56">
        <f>IF(ForeCalc!$F$1="Staffed Hours",G1062,24)</f>
        <v/>
      </c>
      <c r="G1062" s="57">
        <f>IF(COUNTIF(M:M,Calendar!A1062)&gt;0,VLOOKUP(A1062,M:P,4,FALSE),VLOOKUP(D1062,BusData!$A$3:$D$10,4,FALSE))</f>
        <v/>
      </c>
      <c r="H1062" s="11">
        <f>F1062/SUMIFS($F$2:$F$9997,$B$2:$B$9997,B1062,$C$2:$C$9997,C1062)</f>
        <v/>
      </c>
      <c r="I1062" s="19" t="n">
        <v>3</v>
      </c>
      <c r="J1062" s="57" t="n">
        <v>11</v>
      </c>
    </row>
    <row r="1063">
      <c r="A1063" s="62" t="n">
        <v>47174</v>
      </c>
      <c r="B1063" s="19" t="n">
        <v>2029</v>
      </c>
      <c r="C1063" s="19" t="n">
        <v>2</v>
      </c>
      <c r="D1063" s="56" t="inlineStr">
        <is>
          <t>Sun</t>
        </is>
      </c>
      <c r="E1063" s="56" t="inlineStr">
        <is>
          <t>Sun</t>
        </is>
      </c>
      <c r="F1063" s="56">
        <f>IF(ForeCalc!$F$1="Staffed Hours",G1063,24)</f>
        <v/>
      </c>
      <c r="G1063" s="57">
        <f>IF(COUNTIF(M:M,Calendar!A1063)&gt;0,VLOOKUP(A1063,M:P,4,FALSE),VLOOKUP(D1063,BusData!$A$3:$D$10,4,FALSE))</f>
        <v/>
      </c>
      <c r="H1063" s="11">
        <f>F1063/SUMIFS($F$2:$F$9997,$B$2:$B$9997,B1063,$C$2:$C$9997,C1063)</f>
        <v/>
      </c>
      <c r="I1063" s="19" t="n">
        <v>3</v>
      </c>
      <c r="J1063" s="57" t="n">
        <v>11</v>
      </c>
    </row>
    <row r="1064">
      <c r="A1064" s="62" t="n">
        <v>47175</v>
      </c>
      <c r="B1064" s="19" t="n">
        <v>2029</v>
      </c>
      <c r="C1064" s="19" t="n">
        <v>2</v>
      </c>
      <c r="D1064" s="56" t="inlineStr">
        <is>
          <t>Mon</t>
        </is>
      </c>
      <c r="E1064" s="56" t="inlineStr">
        <is>
          <t>Week</t>
        </is>
      </c>
      <c r="F1064" s="56">
        <f>IF(ForeCalc!$F$1="Staffed Hours",G1064,24)</f>
        <v/>
      </c>
      <c r="G1064" s="57">
        <f>IF(COUNTIF(M:M,Calendar!A1064)&gt;0,VLOOKUP(A1064,M:P,4,FALSE),VLOOKUP(D1064,BusData!$A$3:$D$10,4,FALSE))</f>
        <v/>
      </c>
      <c r="H1064" s="11">
        <f>F1064/SUMIFS($F$2:$F$9997,$B$2:$B$9997,B1064,$C$2:$C$9997,C1064)</f>
        <v/>
      </c>
      <c r="I1064" s="19" t="n">
        <v>3</v>
      </c>
      <c r="J1064" s="57" t="n">
        <v>11</v>
      </c>
    </row>
    <row r="1065">
      <c r="A1065" s="62" t="n">
        <v>47176</v>
      </c>
      <c r="B1065" s="19" t="n">
        <v>2029</v>
      </c>
      <c r="C1065" s="19" t="n">
        <v>2</v>
      </c>
      <c r="D1065" s="56" t="inlineStr">
        <is>
          <t>Tue</t>
        </is>
      </c>
      <c r="E1065" s="56" t="inlineStr">
        <is>
          <t>Week</t>
        </is>
      </c>
      <c r="F1065" s="56">
        <f>IF(ForeCalc!$F$1="Staffed Hours",G1065,24)</f>
        <v/>
      </c>
      <c r="G1065" s="57">
        <f>IF(COUNTIF(M:M,Calendar!A1065)&gt;0,VLOOKUP(A1065,M:P,4,FALSE),VLOOKUP(D1065,BusData!$A$3:$D$10,4,FALSE))</f>
        <v/>
      </c>
      <c r="H1065" s="11">
        <f>F1065/SUMIFS($F$2:$F$9997,$B$2:$B$9997,B1065,$C$2:$C$9997,C1065)</f>
        <v/>
      </c>
      <c r="I1065" s="19" t="n">
        <v>3</v>
      </c>
      <c r="J1065" s="57" t="n">
        <v>11</v>
      </c>
    </row>
    <row r="1066">
      <c r="A1066" s="62" t="n">
        <v>47177</v>
      </c>
      <c r="B1066" s="19" t="n">
        <v>2029</v>
      </c>
      <c r="C1066" s="19" t="n">
        <v>2</v>
      </c>
      <c r="D1066" s="56" t="inlineStr">
        <is>
          <t>Wed</t>
        </is>
      </c>
      <c r="E1066" s="56" t="inlineStr">
        <is>
          <t>Week</t>
        </is>
      </c>
      <c r="F1066" s="56">
        <f>IF(ForeCalc!$F$1="Staffed Hours",G1066,24)</f>
        <v/>
      </c>
      <c r="G1066" s="57">
        <f>IF(COUNTIF(M:M,Calendar!A1066)&gt;0,VLOOKUP(A1066,M:P,4,FALSE),VLOOKUP(D1066,BusData!$A$3:$D$10,4,FALSE))</f>
        <v/>
      </c>
      <c r="H1066" s="11">
        <f>F1066/SUMIFS($F$2:$F$9997,$B$2:$B$9997,B1066,$C$2:$C$9997,C1066)</f>
        <v/>
      </c>
      <c r="I1066" s="19" t="n">
        <v>3</v>
      </c>
      <c r="J1066" s="57" t="n">
        <v>11</v>
      </c>
    </row>
    <row r="1067">
      <c r="A1067" s="62" t="n">
        <v>47178</v>
      </c>
      <c r="B1067" s="19" t="n">
        <v>2029</v>
      </c>
      <c r="C1067" s="19" t="n">
        <v>3</v>
      </c>
      <c r="D1067" s="56" t="inlineStr">
        <is>
          <t>Thu</t>
        </is>
      </c>
      <c r="E1067" s="56" t="inlineStr">
        <is>
          <t>Week</t>
        </is>
      </c>
      <c r="F1067" s="56">
        <f>IF(ForeCalc!$F$1="Staffed Hours",G1067,24)</f>
        <v/>
      </c>
      <c r="G1067" s="57">
        <f>IF(COUNTIF(M:M,Calendar!A1067)&gt;0,VLOOKUP(A1067,M:P,4,FALSE),VLOOKUP(D1067,BusData!$A$3:$D$10,4,FALSE))</f>
        <v/>
      </c>
      <c r="H1067" s="11">
        <f>F1067/SUMIFS($F$2:$F$9997,$B$2:$B$9997,B1067,$C$2:$C$9997,C1067)</f>
        <v/>
      </c>
      <c r="I1067" s="19" t="n">
        <v>3</v>
      </c>
      <c r="J1067" s="57" t="n">
        <v>12</v>
      </c>
    </row>
    <row r="1068">
      <c r="A1068" s="62" t="n">
        <v>47179</v>
      </c>
      <c r="B1068" s="19" t="n">
        <v>2029</v>
      </c>
      <c r="C1068" s="19" t="n">
        <v>3</v>
      </c>
      <c r="D1068" s="56" t="inlineStr">
        <is>
          <t>Fri</t>
        </is>
      </c>
      <c r="E1068" s="56" t="inlineStr">
        <is>
          <t>Week</t>
        </is>
      </c>
      <c r="F1068" s="56">
        <f>IF(ForeCalc!$F$1="Staffed Hours",G1068,24)</f>
        <v/>
      </c>
      <c r="G1068" s="57">
        <f>IF(COUNTIF(M:M,Calendar!A1068)&gt;0,VLOOKUP(A1068,M:P,4,FALSE),VLOOKUP(D1068,BusData!$A$3:$D$10,4,FALSE))</f>
        <v/>
      </c>
      <c r="H1068" s="11">
        <f>F1068/SUMIFS($F$2:$F$9997,$B$2:$B$9997,B1068,$C$2:$C$9997,C1068)</f>
        <v/>
      </c>
      <c r="I1068" s="19" t="n">
        <v>3</v>
      </c>
      <c r="J1068" s="57" t="n">
        <v>12</v>
      </c>
    </row>
    <row r="1069">
      <c r="A1069" s="62" t="n">
        <v>47180</v>
      </c>
      <c r="B1069" s="19" t="n">
        <v>2029</v>
      </c>
      <c r="C1069" s="19" t="n">
        <v>3</v>
      </c>
      <c r="D1069" s="56" t="inlineStr">
        <is>
          <t>Sat</t>
        </is>
      </c>
      <c r="E1069" s="56" t="inlineStr">
        <is>
          <t>Sat</t>
        </is>
      </c>
      <c r="F1069" s="56">
        <f>IF(ForeCalc!$F$1="Staffed Hours",G1069,24)</f>
        <v/>
      </c>
      <c r="G1069" s="57">
        <f>IF(COUNTIF(M:M,Calendar!A1069)&gt;0,VLOOKUP(A1069,M:P,4,FALSE),VLOOKUP(D1069,BusData!$A$3:$D$10,4,FALSE))</f>
        <v/>
      </c>
      <c r="H1069" s="11">
        <f>F1069/SUMIFS($F$2:$F$9997,$B$2:$B$9997,B1069,$C$2:$C$9997,C1069)</f>
        <v/>
      </c>
      <c r="I1069" s="19" t="n">
        <v>3</v>
      </c>
      <c r="J1069" s="57" t="n">
        <v>12</v>
      </c>
    </row>
    <row r="1070">
      <c r="A1070" s="62" t="n">
        <v>47181</v>
      </c>
      <c r="B1070" s="19" t="n">
        <v>2029</v>
      </c>
      <c r="C1070" s="19" t="n">
        <v>3</v>
      </c>
      <c r="D1070" s="56" t="inlineStr">
        <is>
          <t>Sun</t>
        </is>
      </c>
      <c r="E1070" s="56" t="inlineStr">
        <is>
          <t>Sun</t>
        </is>
      </c>
      <c r="F1070" s="56">
        <f>IF(ForeCalc!$F$1="Staffed Hours",G1070,24)</f>
        <v/>
      </c>
      <c r="G1070" s="57">
        <f>IF(COUNTIF(M:M,Calendar!A1070)&gt;0,VLOOKUP(A1070,M:P,4,FALSE),VLOOKUP(D1070,BusData!$A$3:$D$10,4,FALSE))</f>
        <v/>
      </c>
      <c r="H1070" s="11">
        <f>F1070/SUMIFS($F$2:$F$9997,$B$2:$B$9997,B1070,$C$2:$C$9997,C1070)</f>
        <v/>
      </c>
      <c r="I1070" s="19" t="n">
        <v>3</v>
      </c>
      <c r="J1070" s="57" t="n">
        <v>12</v>
      </c>
    </row>
    <row r="1071">
      <c r="A1071" s="62" t="n">
        <v>47182</v>
      </c>
      <c r="B1071" s="19" t="n">
        <v>2029</v>
      </c>
      <c r="C1071" s="19" t="n">
        <v>3</v>
      </c>
      <c r="D1071" s="56" t="inlineStr">
        <is>
          <t>Mon</t>
        </is>
      </c>
      <c r="E1071" s="56" t="inlineStr">
        <is>
          <t>Week</t>
        </is>
      </c>
      <c r="F1071" s="56">
        <f>IF(ForeCalc!$F$1="Staffed Hours",G1071,24)</f>
        <v/>
      </c>
      <c r="G1071" s="57">
        <f>IF(COUNTIF(M:M,Calendar!A1071)&gt;0,VLOOKUP(A1071,M:P,4,FALSE),VLOOKUP(D1071,BusData!$A$3:$D$10,4,FALSE))</f>
        <v/>
      </c>
      <c r="H1071" s="11">
        <f>F1071/SUMIFS($F$2:$F$9997,$B$2:$B$9997,B1071,$C$2:$C$9997,C1071)</f>
        <v/>
      </c>
      <c r="I1071" s="19" t="n">
        <v>3</v>
      </c>
      <c r="J1071" s="57" t="n">
        <v>12</v>
      </c>
    </row>
    <row r="1072">
      <c r="A1072" s="62" t="n">
        <v>47183</v>
      </c>
      <c r="B1072" s="19" t="n">
        <v>2029</v>
      </c>
      <c r="C1072" s="19" t="n">
        <v>3</v>
      </c>
      <c r="D1072" s="56" t="inlineStr">
        <is>
          <t>Tue</t>
        </is>
      </c>
      <c r="E1072" s="56" t="inlineStr">
        <is>
          <t>Week</t>
        </is>
      </c>
      <c r="F1072" s="56">
        <f>IF(ForeCalc!$F$1="Staffed Hours",G1072,24)</f>
        <v/>
      </c>
      <c r="G1072" s="57">
        <f>IF(COUNTIF(M:M,Calendar!A1072)&gt;0,VLOOKUP(A1072,M:P,4,FALSE),VLOOKUP(D1072,BusData!$A$3:$D$10,4,FALSE))</f>
        <v/>
      </c>
      <c r="H1072" s="11">
        <f>F1072/SUMIFS($F$2:$F$9997,$B$2:$B$9997,B1072,$C$2:$C$9997,C1072)</f>
        <v/>
      </c>
      <c r="I1072" s="19" t="n">
        <v>3</v>
      </c>
      <c r="J1072" s="57" t="n">
        <v>12</v>
      </c>
    </row>
    <row r="1073">
      <c r="A1073" s="62" t="n">
        <v>47184</v>
      </c>
      <c r="B1073" s="19" t="n">
        <v>2029</v>
      </c>
      <c r="C1073" s="19" t="n">
        <v>3</v>
      </c>
      <c r="D1073" s="56" t="inlineStr">
        <is>
          <t>Wed</t>
        </is>
      </c>
      <c r="E1073" s="56" t="inlineStr">
        <is>
          <t>Week</t>
        </is>
      </c>
      <c r="F1073" s="56">
        <f>IF(ForeCalc!$F$1="Staffed Hours",G1073,24)</f>
        <v/>
      </c>
      <c r="G1073" s="57">
        <f>IF(COUNTIF(M:M,Calendar!A1073)&gt;0,VLOOKUP(A1073,M:P,4,FALSE),VLOOKUP(D1073,BusData!$A$3:$D$10,4,FALSE))</f>
        <v/>
      </c>
      <c r="H1073" s="11">
        <f>F1073/SUMIFS($F$2:$F$9997,$B$2:$B$9997,B1073,$C$2:$C$9997,C1073)</f>
        <v/>
      </c>
      <c r="I1073" s="19" t="n">
        <v>3</v>
      </c>
      <c r="J1073" s="57" t="n">
        <v>12</v>
      </c>
    </row>
    <row r="1074">
      <c r="A1074" s="62" t="n">
        <v>47185</v>
      </c>
      <c r="B1074" s="19" t="n">
        <v>2029</v>
      </c>
      <c r="C1074" s="19" t="n">
        <v>3</v>
      </c>
      <c r="D1074" s="56" t="inlineStr">
        <is>
          <t>Thu</t>
        </is>
      </c>
      <c r="E1074" s="56" t="inlineStr">
        <is>
          <t>Week</t>
        </is>
      </c>
      <c r="F1074" s="56">
        <f>IF(ForeCalc!$F$1="Staffed Hours",G1074,24)</f>
        <v/>
      </c>
      <c r="G1074" s="57">
        <f>IF(COUNTIF(M:M,Calendar!A1074)&gt;0,VLOOKUP(A1074,M:P,4,FALSE),VLOOKUP(D1074,BusData!$A$3:$D$10,4,FALSE))</f>
        <v/>
      </c>
      <c r="H1074" s="11">
        <f>F1074/SUMIFS($F$2:$F$9997,$B$2:$B$9997,B1074,$C$2:$C$9997,C1074)</f>
        <v/>
      </c>
      <c r="I1074" s="19" t="n">
        <v>3</v>
      </c>
      <c r="J1074" s="57" t="n">
        <v>12</v>
      </c>
    </row>
    <row r="1075">
      <c r="A1075" s="62" t="n">
        <v>47186</v>
      </c>
      <c r="B1075" s="19" t="n">
        <v>2029</v>
      </c>
      <c r="C1075" s="19" t="n">
        <v>3</v>
      </c>
      <c r="D1075" s="56" t="inlineStr">
        <is>
          <t>Fri</t>
        </is>
      </c>
      <c r="E1075" s="56" t="inlineStr">
        <is>
          <t>Week</t>
        </is>
      </c>
      <c r="F1075" s="56">
        <f>IF(ForeCalc!$F$1="Staffed Hours",G1075,24)</f>
        <v/>
      </c>
      <c r="G1075" s="57">
        <f>IF(COUNTIF(M:M,Calendar!A1075)&gt;0,VLOOKUP(A1075,M:P,4,FALSE),VLOOKUP(D1075,BusData!$A$3:$D$10,4,FALSE))</f>
        <v/>
      </c>
      <c r="H1075" s="11">
        <f>F1075/SUMIFS($F$2:$F$9997,$B$2:$B$9997,B1075,$C$2:$C$9997,C1075)</f>
        <v/>
      </c>
      <c r="I1075" s="19" t="n">
        <v>3</v>
      </c>
      <c r="J1075" s="57" t="n">
        <v>12</v>
      </c>
    </row>
    <row r="1076">
      <c r="A1076" s="62" t="n">
        <v>47187</v>
      </c>
      <c r="B1076" s="19" t="n">
        <v>2029</v>
      </c>
      <c r="C1076" s="19" t="n">
        <v>3</v>
      </c>
      <c r="D1076" s="56" t="inlineStr">
        <is>
          <t>Sat</t>
        </is>
      </c>
      <c r="E1076" s="56" t="inlineStr">
        <is>
          <t>Sat</t>
        </is>
      </c>
      <c r="F1076" s="56">
        <f>IF(ForeCalc!$F$1="Staffed Hours",G1076,24)</f>
        <v/>
      </c>
      <c r="G1076" s="57">
        <f>IF(COUNTIF(M:M,Calendar!A1076)&gt;0,VLOOKUP(A1076,M:P,4,FALSE),VLOOKUP(D1076,BusData!$A$3:$D$10,4,FALSE))</f>
        <v/>
      </c>
      <c r="H1076" s="11">
        <f>F1076/SUMIFS($F$2:$F$9997,$B$2:$B$9997,B1076,$C$2:$C$9997,C1076)</f>
        <v/>
      </c>
      <c r="I1076" s="19" t="n">
        <v>3</v>
      </c>
      <c r="J1076" s="57" t="n">
        <v>12</v>
      </c>
    </row>
    <row r="1077">
      <c r="A1077" s="62" t="n">
        <v>47188</v>
      </c>
      <c r="B1077" s="19" t="n">
        <v>2029</v>
      </c>
      <c r="C1077" s="19" t="n">
        <v>3</v>
      </c>
      <c r="D1077" s="56" t="inlineStr">
        <is>
          <t>Sun</t>
        </is>
      </c>
      <c r="E1077" s="56" t="inlineStr">
        <is>
          <t>Sun</t>
        </is>
      </c>
      <c r="F1077" s="56">
        <f>IF(ForeCalc!$F$1="Staffed Hours",G1077,24)</f>
        <v/>
      </c>
      <c r="G1077" s="57">
        <f>IF(COUNTIF(M:M,Calendar!A1077)&gt;0,VLOOKUP(A1077,M:P,4,FALSE),VLOOKUP(D1077,BusData!$A$3:$D$10,4,FALSE))</f>
        <v/>
      </c>
      <c r="H1077" s="11">
        <f>F1077/SUMIFS($F$2:$F$9997,$B$2:$B$9997,B1077,$C$2:$C$9997,C1077)</f>
        <v/>
      </c>
      <c r="I1077" s="19" t="n">
        <v>3</v>
      </c>
      <c r="J1077" s="57" t="n">
        <v>12</v>
      </c>
    </row>
    <row r="1078">
      <c r="A1078" s="62" t="n">
        <v>47189</v>
      </c>
      <c r="B1078" s="19" t="n">
        <v>2029</v>
      </c>
      <c r="C1078" s="19" t="n">
        <v>3</v>
      </c>
      <c r="D1078" s="56" t="inlineStr">
        <is>
          <t>Mon</t>
        </is>
      </c>
      <c r="E1078" s="56" t="inlineStr">
        <is>
          <t>Week</t>
        </is>
      </c>
      <c r="F1078" s="56">
        <f>IF(ForeCalc!$F$1="Staffed Hours",G1078,24)</f>
        <v/>
      </c>
      <c r="G1078" s="57">
        <f>IF(COUNTIF(M:M,Calendar!A1078)&gt;0,VLOOKUP(A1078,M:P,4,FALSE),VLOOKUP(D1078,BusData!$A$3:$D$10,4,FALSE))</f>
        <v/>
      </c>
      <c r="H1078" s="11">
        <f>F1078/SUMIFS($F$2:$F$9997,$B$2:$B$9997,B1078,$C$2:$C$9997,C1078)</f>
        <v/>
      </c>
      <c r="I1078" s="19" t="n">
        <v>3</v>
      </c>
      <c r="J1078" s="57" t="n">
        <v>12</v>
      </c>
    </row>
    <row r="1079">
      <c r="A1079" s="62" t="n">
        <v>47190</v>
      </c>
      <c r="B1079" s="19" t="n">
        <v>2029</v>
      </c>
      <c r="C1079" s="19" t="n">
        <v>3</v>
      </c>
      <c r="D1079" s="56" t="inlineStr">
        <is>
          <t>Tue</t>
        </is>
      </c>
      <c r="E1079" s="56" t="inlineStr">
        <is>
          <t>Week</t>
        </is>
      </c>
      <c r="F1079" s="56">
        <f>IF(ForeCalc!$F$1="Staffed Hours",G1079,24)</f>
        <v/>
      </c>
      <c r="G1079" s="57">
        <f>IF(COUNTIF(M:M,Calendar!A1079)&gt;0,VLOOKUP(A1079,M:P,4,FALSE),VLOOKUP(D1079,BusData!$A$3:$D$10,4,FALSE))</f>
        <v/>
      </c>
      <c r="H1079" s="11">
        <f>F1079/SUMIFS($F$2:$F$9997,$B$2:$B$9997,B1079,$C$2:$C$9997,C1079)</f>
        <v/>
      </c>
      <c r="I1079" s="19" t="n">
        <v>3</v>
      </c>
      <c r="J1079" s="57" t="n">
        <v>12</v>
      </c>
    </row>
    <row r="1080">
      <c r="A1080" s="62" t="n">
        <v>47191</v>
      </c>
      <c r="B1080" s="19" t="n">
        <v>2029</v>
      </c>
      <c r="C1080" s="19" t="n">
        <v>3</v>
      </c>
      <c r="D1080" s="56" t="inlineStr">
        <is>
          <t>Wed</t>
        </is>
      </c>
      <c r="E1080" s="56" t="inlineStr">
        <is>
          <t>Week</t>
        </is>
      </c>
      <c r="F1080" s="56">
        <f>IF(ForeCalc!$F$1="Staffed Hours",G1080,24)</f>
        <v/>
      </c>
      <c r="G1080" s="57">
        <f>IF(COUNTIF(M:M,Calendar!A1080)&gt;0,VLOOKUP(A1080,M:P,4,FALSE),VLOOKUP(D1080,BusData!$A$3:$D$10,4,FALSE))</f>
        <v/>
      </c>
      <c r="H1080" s="11">
        <f>F1080/SUMIFS($F$2:$F$9997,$B$2:$B$9997,B1080,$C$2:$C$9997,C1080)</f>
        <v/>
      </c>
      <c r="I1080" s="19" t="n">
        <v>3</v>
      </c>
      <c r="J1080" s="57" t="n">
        <v>12</v>
      </c>
    </row>
    <row r="1081">
      <c r="A1081" s="62" t="n">
        <v>47192</v>
      </c>
      <c r="B1081" s="19" t="n">
        <v>2029</v>
      </c>
      <c r="C1081" s="19" t="n">
        <v>3</v>
      </c>
      <c r="D1081" s="56" t="inlineStr">
        <is>
          <t>Thu</t>
        </is>
      </c>
      <c r="E1081" s="56" t="inlineStr">
        <is>
          <t>Week</t>
        </is>
      </c>
      <c r="F1081" s="56">
        <f>IF(ForeCalc!$F$1="Staffed Hours",G1081,24)</f>
        <v/>
      </c>
      <c r="G1081" s="57">
        <f>IF(COUNTIF(M:M,Calendar!A1081)&gt;0,VLOOKUP(A1081,M:P,4,FALSE),VLOOKUP(D1081,BusData!$A$3:$D$10,4,FALSE))</f>
        <v/>
      </c>
      <c r="H1081" s="11">
        <f>F1081/SUMIFS($F$2:$F$9997,$B$2:$B$9997,B1081,$C$2:$C$9997,C1081)</f>
        <v/>
      </c>
      <c r="I1081" s="19" t="n">
        <v>3</v>
      </c>
      <c r="J1081" s="57" t="n">
        <v>12</v>
      </c>
    </row>
    <row r="1082">
      <c r="A1082" s="62" t="n">
        <v>47193</v>
      </c>
      <c r="B1082" s="19" t="n">
        <v>2029</v>
      </c>
      <c r="C1082" s="19" t="n">
        <v>3</v>
      </c>
      <c r="D1082" s="56" t="inlineStr">
        <is>
          <t>Fri</t>
        </is>
      </c>
      <c r="E1082" s="56" t="inlineStr">
        <is>
          <t>Week</t>
        </is>
      </c>
      <c r="F1082" s="56">
        <f>IF(ForeCalc!$F$1="Staffed Hours",G1082,24)</f>
        <v/>
      </c>
      <c r="G1082" s="57">
        <f>IF(COUNTIF(M:M,Calendar!A1082)&gt;0,VLOOKUP(A1082,M:P,4,FALSE),VLOOKUP(D1082,BusData!$A$3:$D$10,4,FALSE))</f>
        <v/>
      </c>
      <c r="H1082" s="11">
        <f>F1082/SUMIFS($F$2:$F$9997,$B$2:$B$9997,B1082,$C$2:$C$9997,C1082)</f>
        <v/>
      </c>
      <c r="I1082" s="19" t="n">
        <v>3</v>
      </c>
      <c r="J1082" s="57" t="n">
        <v>12</v>
      </c>
    </row>
    <row r="1083">
      <c r="A1083" s="62" t="n">
        <v>47194</v>
      </c>
      <c r="B1083" s="19" t="n">
        <v>2029</v>
      </c>
      <c r="C1083" s="19" t="n">
        <v>3</v>
      </c>
      <c r="D1083" s="56" t="inlineStr">
        <is>
          <t>Sat</t>
        </is>
      </c>
      <c r="E1083" s="56" t="inlineStr">
        <is>
          <t>Sat</t>
        </is>
      </c>
      <c r="F1083" s="56">
        <f>IF(ForeCalc!$F$1="Staffed Hours",G1083,24)</f>
        <v/>
      </c>
      <c r="G1083" s="57">
        <f>IF(COUNTIF(M:M,Calendar!A1083)&gt;0,VLOOKUP(A1083,M:P,4,FALSE),VLOOKUP(D1083,BusData!$A$3:$D$10,4,FALSE))</f>
        <v/>
      </c>
      <c r="H1083" s="11">
        <f>F1083/SUMIFS($F$2:$F$9997,$B$2:$B$9997,B1083,$C$2:$C$9997,C1083)</f>
        <v/>
      </c>
      <c r="I1083" s="19" t="n">
        <v>3</v>
      </c>
      <c r="J1083" s="57" t="n">
        <v>12</v>
      </c>
    </row>
    <row r="1084">
      <c r="A1084" s="62" t="n">
        <v>47195</v>
      </c>
      <c r="B1084" s="19" t="n">
        <v>2029</v>
      </c>
      <c r="C1084" s="19" t="n">
        <v>3</v>
      </c>
      <c r="D1084" s="56" t="inlineStr">
        <is>
          <t>Sun</t>
        </is>
      </c>
      <c r="E1084" s="56" t="inlineStr">
        <is>
          <t>Sun</t>
        </is>
      </c>
      <c r="F1084" s="56">
        <f>IF(ForeCalc!$F$1="Staffed Hours",G1084,24)</f>
        <v/>
      </c>
      <c r="G1084" s="57">
        <f>IF(COUNTIF(M:M,Calendar!A1084)&gt;0,VLOOKUP(A1084,M:P,4,FALSE),VLOOKUP(D1084,BusData!$A$3:$D$10,4,FALSE))</f>
        <v/>
      </c>
      <c r="H1084" s="11">
        <f>F1084/SUMIFS($F$2:$F$9997,$B$2:$B$9997,B1084,$C$2:$C$9997,C1084)</f>
        <v/>
      </c>
      <c r="I1084" s="19" t="n">
        <v>3</v>
      </c>
      <c r="J1084" s="57" t="n">
        <v>12</v>
      </c>
    </row>
    <row r="1085">
      <c r="A1085" s="62" t="n">
        <v>47196</v>
      </c>
      <c r="B1085" s="19" t="n">
        <v>2029</v>
      </c>
      <c r="C1085" s="19" t="n">
        <v>3</v>
      </c>
      <c r="D1085" s="56" t="inlineStr">
        <is>
          <t>Mon</t>
        </is>
      </c>
      <c r="E1085" s="56" t="inlineStr">
        <is>
          <t>Week</t>
        </is>
      </c>
      <c r="F1085" s="56">
        <f>IF(ForeCalc!$F$1="Staffed Hours",G1085,24)</f>
        <v/>
      </c>
      <c r="G1085" s="57">
        <f>IF(COUNTIF(M:M,Calendar!A1085)&gt;0,VLOOKUP(A1085,M:P,4,FALSE),VLOOKUP(D1085,BusData!$A$3:$D$10,4,FALSE))</f>
        <v/>
      </c>
      <c r="H1085" s="11">
        <f>F1085/SUMIFS($F$2:$F$9997,$B$2:$B$9997,B1085,$C$2:$C$9997,C1085)</f>
        <v/>
      </c>
      <c r="I1085" s="19" t="n">
        <v>3</v>
      </c>
      <c r="J1085" s="57" t="n">
        <v>12</v>
      </c>
    </row>
    <row r="1086">
      <c r="A1086" s="62" t="n">
        <v>47197</v>
      </c>
      <c r="B1086" s="19" t="n">
        <v>2029</v>
      </c>
      <c r="C1086" s="19" t="n">
        <v>3</v>
      </c>
      <c r="D1086" s="56" t="inlineStr">
        <is>
          <t>Tue</t>
        </is>
      </c>
      <c r="E1086" s="56" t="inlineStr">
        <is>
          <t>Week</t>
        </is>
      </c>
      <c r="F1086" s="56">
        <f>IF(ForeCalc!$F$1="Staffed Hours",G1086,24)</f>
        <v/>
      </c>
      <c r="G1086" s="57">
        <f>IF(COUNTIF(M:M,Calendar!A1086)&gt;0,VLOOKUP(A1086,M:P,4,FALSE),VLOOKUP(D1086,BusData!$A$3:$D$10,4,FALSE))</f>
        <v/>
      </c>
      <c r="H1086" s="11">
        <f>F1086/SUMIFS($F$2:$F$9997,$B$2:$B$9997,B1086,$C$2:$C$9997,C1086)</f>
        <v/>
      </c>
      <c r="I1086" s="19" t="n">
        <v>3</v>
      </c>
      <c r="J1086" s="57" t="n">
        <v>12</v>
      </c>
    </row>
    <row r="1087">
      <c r="A1087" s="62" t="n">
        <v>47198</v>
      </c>
      <c r="B1087" s="19" t="n">
        <v>2029</v>
      </c>
      <c r="C1087" s="19" t="n">
        <v>3</v>
      </c>
      <c r="D1087" s="56" t="inlineStr">
        <is>
          <t>Wed</t>
        </is>
      </c>
      <c r="E1087" s="56" t="inlineStr">
        <is>
          <t>Week</t>
        </is>
      </c>
      <c r="F1087" s="56">
        <f>IF(ForeCalc!$F$1="Staffed Hours",G1087,24)</f>
        <v/>
      </c>
      <c r="G1087" s="57">
        <f>IF(COUNTIF(M:M,Calendar!A1087)&gt;0,VLOOKUP(A1087,M:P,4,FALSE),VLOOKUP(D1087,BusData!$A$3:$D$10,4,FALSE))</f>
        <v/>
      </c>
      <c r="H1087" s="11">
        <f>F1087/SUMIFS($F$2:$F$9997,$B$2:$B$9997,B1087,$C$2:$C$9997,C1087)</f>
        <v/>
      </c>
      <c r="I1087" s="19" t="n">
        <v>3</v>
      </c>
      <c r="J1087" s="57" t="n">
        <v>12</v>
      </c>
    </row>
    <row r="1088">
      <c r="A1088" s="62" t="n">
        <v>47199</v>
      </c>
      <c r="B1088" s="19" t="n">
        <v>2029</v>
      </c>
      <c r="C1088" s="19" t="n">
        <v>3</v>
      </c>
      <c r="D1088" s="56" t="inlineStr">
        <is>
          <t>Thu</t>
        </is>
      </c>
      <c r="E1088" s="56" t="inlineStr">
        <is>
          <t>Week</t>
        </is>
      </c>
      <c r="F1088" s="56">
        <f>IF(ForeCalc!$F$1="Staffed Hours",G1088,24)</f>
        <v/>
      </c>
      <c r="G1088" s="57">
        <f>IF(COUNTIF(M:M,Calendar!A1088)&gt;0,VLOOKUP(A1088,M:P,4,FALSE),VLOOKUP(D1088,BusData!$A$3:$D$10,4,FALSE))</f>
        <v/>
      </c>
      <c r="H1088" s="11">
        <f>F1088/SUMIFS($F$2:$F$9997,$B$2:$B$9997,B1088,$C$2:$C$9997,C1088)</f>
        <v/>
      </c>
      <c r="I1088" s="19" t="n">
        <v>3</v>
      </c>
      <c r="J1088" s="57" t="n">
        <v>12</v>
      </c>
    </row>
    <row r="1089">
      <c r="A1089" s="62" t="n">
        <v>47200</v>
      </c>
      <c r="B1089" s="19" t="n">
        <v>2029</v>
      </c>
      <c r="C1089" s="19" t="n">
        <v>3</v>
      </c>
      <c r="D1089" s="56" t="inlineStr">
        <is>
          <t>Fri</t>
        </is>
      </c>
      <c r="E1089" s="56" t="inlineStr">
        <is>
          <t>Week</t>
        </is>
      </c>
      <c r="F1089" s="56">
        <f>IF(ForeCalc!$F$1="Staffed Hours",G1089,24)</f>
        <v/>
      </c>
      <c r="G1089" s="57">
        <f>IF(COUNTIF(M:M,Calendar!A1089)&gt;0,VLOOKUP(A1089,M:P,4,FALSE),VLOOKUP(D1089,BusData!$A$3:$D$10,4,FALSE))</f>
        <v/>
      </c>
      <c r="H1089" s="11">
        <f>F1089/SUMIFS($F$2:$F$9997,$B$2:$B$9997,B1089,$C$2:$C$9997,C1089)</f>
        <v/>
      </c>
      <c r="I1089" s="19" t="n">
        <v>3</v>
      </c>
      <c r="J1089" s="57" t="n">
        <v>12</v>
      </c>
    </row>
    <row r="1090">
      <c r="A1090" s="62" t="n">
        <v>47201</v>
      </c>
      <c r="B1090" s="19" t="n">
        <v>2029</v>
      </c>
      <c r="C1090" s="19" t="n">
        <v>3</v>
      </c>
      <c r="D1090" s="56" t="inlineStr">
        <is>
          <t>Sat</t>
        </is>
      </c>
      <c r="E1090" s="56" t="inlineStr">
        <is>
          <t>Sat</t>
        </is>
      </c>
      <c r="F1090" s="56">
        <f>IF(ForeCalc!$F$1="Staffed Hours",G1090,24)</f>
        <v/>
      </c>
      <c r="G1090" s="57">
        <f>IF(COUNTIF(M:M,Calendar!A1090)&gt;0,VLOOKUP(A1090,M:P,4,FALSE),VLOOKUP(D1090,BusData!$A$3:$D$10,4,FALSE))</f>
        <v/>
      </c>
      <c r="H1090" s="11">
        <f>F1090/SUMIFS($F$2:$F$9997,$B$2:$B$9997,B1090,$C$2:$C$9997,C1090)</f>
        <v/>
      </c>
      <c r="I1090" s="19" t="n">
        <v>3</v>
      </c>
      <c r="J1090" s="57" t="n">
        <v>12</v>
      </c>
    </row>
    <row r="1091">
      <c r="A1091" s="62" t="n">
        <v>47202</v>
      </c>
      <c r="B1091" s="19" t="n">
        <v>2029</v>
      </c>
      <c r="C1091" s="19" t="n">
        <v>3</v>
      </c>
      <c r="D1091" s="56" t="inlineStr">
        <is>
          <t>Sun</t>
        </is>
      </c>
      <c r="E1091" s="56" t="inlineStr">
        <is>
          <t>Sun</t>
        </is>
      </c>
      <c r="F1091" s="56">
        <f>IF(ForeCalc!$F$1="Staffed Hours",G1091,24)</f>
        <v/>
      </c>
      <c r="G1091" s="57">
        <f>IF(COUNTIF(M:M,Calendar!A1091)&gt;0,VLOOKUP(A1091,M:P,4,FALSE),VLOOKUP(D1091,BusData!$A$3:$D$10,4,FALSE))</f>
        <v/>
      </c>
      <c r="H1091" s="11">
        <f>F1091/SUMIFS($F$2:$F$9997,$B$2:$B$9997,B1091,$C$2:$C$9997,C1091)</f>
        <v/>
      </c>
      <c r="I1091" s="19" t="n">
        <v>3</v>
      </c>
      <c r="J1091" s="57" t="n">
        <v>12</v>
      </c>
    </row>
    <row r="1092">
      <c r="A1092" s="62" t="n">
        <v>47203</v>
      </c>
      <c r="B1092" s="19" t="n">
        <v>2029</v>
      </c>
      <c r="C1092" s="19" t="n">
        <v>3</v>
      </c>
      <c r="D1092" s="56" t="inlineStr">
        <is>
          <t>Mon</t>
        </is>
      </c>
      <c r="E1092" s="56" t="inlineStr">
        <is>
          <t>Week</t>
        </is>
      </c>
      <c r="F1092" s="56">
        <f>IF(ForeCalc!$F$1="Staffed Hours",G1092,24)</f>
        <v/>
      </c>
      <c r="G1092" s="57">
        <f>IF(COUNTIF(M:M,Calendar!A1092)&gt;0,VLOOKUP(A1092,M:P,4,FALSE),VLOOKUP(D1092,BusData!$A$3:$D$10,4,FALSE))</f>
        <v/>
      </c>
      <c r="H1092" s="11">
        <f>F1092/SUMIFS($F$2:$F$9997,$B$2:$B$9997,B1092,$C$2:$C$9997,C1092)</f>
        <v/>
      </c>
      <c r="I1092" s="19" t="n">
        <v>3</v>
      </c>
      <c r="J1092" s="57" t="n">
        <v>12</v>
      </c>
    </row>
    <row r="1093">
      <c r="A1093" s="62" t="n">
        <v>47204</v>
      </c>
      <c r="B1093" s="19" t="n">
        <v>2029</v>
      </c>
      <c r="C1093" s="19" t="n">
        <v>3</v>
      </c>
      <c r="D1093" s="56" t="inlineStr">
        <is>
          <t>Tue</t>
        </is>
      </c>
      <c r="E1093" s="56" t="inlineStr">
        <is>
          <t>Week</t>
        </is>
      </c>
      <c r="F1093" s="56">
        <f>IF(ForeCalc!$F$1="Staffed Hours",G1093,24)</f>
        <v/>
      </c>
      <c r="G1093" s="57">
        <f>IF(COUNTIF(M:M,Calendar!A1093)&gt;0,VLOOKUP(A1093,M:P,4,FALSE),VLOOKUP(D1093,BusData!$A$3:$D$10,4,FALSE))</f>
        <v/>
      </c>
      <c r="H1093" s="11">
        <f>F1093/SUMIFS($F$2:$F$9997,$B$2:$B$9997,B1093,$C$2:$C$9997,C1093)</f>
        <v/>
      </c>
      <c r="I1093" s="19" t="n">
        <v>3</v>
      </c>
      <c r="J1093" s="57" t="n">
        <v>12</v>
      </c>
    </row>
    <row r="1094">
      <c r="A1094" s="62" t="n">
        <v>47205</v>
      </c>
      <c r="B1094" s="19" t="n">
        <v>2029</v>
      </c>
      <c r="C1094" s="19" t="n">
        <v>3</v>
      </c>
      <c r="D1094" s="56" t="inlineStr">
        <is>
          <t>Wed</t>
        </is>
      </c>
      <c r="E1094" s="56" t="inlineStr">
        <is>
          <t>Week</t>
        </is>
      </c>
      <c r="F1094" s="56">
        <f>IF(ForeCalc!$F$1="Staffed Hours",G1094,24)</f>
        <v/>
      </c>
      <c r="G1094" s="57">
        <f>IF(COUNTIF(M:M,Calendar!A1094)&gt;0,VLOOKUP(A1094,M:P,4,FALSE),VLOOKUP(D1094,BusData!$A$3:$D$10,4,FALSE))</f>
        <v/>
      </c>
      <c r="H1094" s="11">
        <f>F1094/SUMIFS($F$2:$F$9997,$B$2:$B$9997,B1094,$C$2:$C$9997,C1094)</f>
        <v/>
      </c>
      <c r="I1094" s="19" t="n">
        <v>3</v>
      </c>
      <c r="J1094" s="57" t="n">
        <v>12</v>
      </c>
    </row>
    <row r="1095">
      <c r="A1095" s="62" t="n">
        <v>47206</v>
      </c>
      <c r="B1095" s="19" t="n">
        <v>2029</v>
      </c>
      <c r="C1095" s="19" t="n">
        <v>3</v>
      </c>
      <c r="D1095" s="56" t="inlineStr">
        <is>
          <t>Thu</t>
        </is>
      </c>
      <c r="E1095" s="56" t="inlineStr">
        <is>
          <t>Week</t>
        </is>
      </c>
      <c r="F1095" s="56">
        <f>IF(ForeCalc!$F$1="Staffed Hours",G1095,24)</f>
        <v/>
      </c>
      <c r="G1095" s="57">
        <f>IF(COUNTIF(M:M,Calendar!A1095)&gt;0,VLOOKUP(A1095,M:P,4,FALSE),VLOOKUP(D1095,BusData!$A$3:$D$10,4,FALSE))</f>
        <v/>
      </c>
      <c r="H1095" s="11">
        <f>F1095/SUMIFS($F$2:$F$9997,$B$2:$B$9997,B1095,$C$2:$C$9997,C1095)</f>
        <v/>
      </c>
      <c r="I1095" s="19" t="n">
        <v>3</v>
      </c>
      <c r="J1095" s="57" t="n">
        <v>12</v>
      </c>
    </row>
    <row r="1096">
      <c r="A1096" s="62" t="n">
        <v>47207</v>
      </c>
      <c r="B1096" s="19" t="n">
        <v>2029</v>
      </c>
      <c r="C1096" s="19" t="n">
        <v>3</v>
      </c>
      <c r="D1096" s="56" t="inlineStr">
        <is>
          <t>Fri</t>
        </is>
      </c>
      <c r="E1096" s="56" t="inlineStr">
        <is>
          <t>Week</t>
        </is>
      </c>
      <c r="F1096" s="56">
        <f>IF(ForeCalc!$F$1="Staffed Hours",G1096,24)</f>
        <v/>
      </c>
      <c r="G1096" s="57">
        <f>IF(COUNTIF(M:M,Calendar!A1096)&gt;0,VLOOKUP(A1096,M:P,4,FALSE),VLOOKUP(D1096,BusData!$A$3:$D$10,4,FALSE))</f>
        <v/>
      </c>
      <c r="H1096" s="11">
        <f>F1096/SUMIFS($F$2:$F$9997,$B$2:$B$9997,B1096,$C$2:$C$9997,C1096)</f>
        <v/>
      </c>
      <c r="I1096" s="19" t="n">
        <v>3</v>
      </c>
      <c r="J1096" s="57" t="n">
        <v>12</v>
      </c>
    </row>
    <row r="1097">
      <c r="A1097" s="62" t="n">
        <v>47208</v>
      </c>
      <c r="B1097" s="19" t="n">
        <v>2029</v>
      </c>
      <c r="C1097" s="19" t="n">
        <v>3</v>
      </c>
      <c r="D1097" s="56" t="inlineStr">
        <is>
          <t>Sat</t>
        </is>
      </c>
      <c r="E1097" s="56" t="inlineStr">
        <is>
          <t>Sat</t>
        </is>
      </c>
      <c r="F1097" s="56">
        <f>IF(ForeCalc!$F$1="Staffed Hours",G1097,24)</f>
        <v/>
      </c>
      <c r="G1097" s="57">
        <f>IF(COUNTIF(M:M,Calendar!A1097)&gt;0,VLOOKUP(A1097,M:P,4,FALSE),VLOOKUP(D1097,BusData!$A$3:$D$10,4,FALSE))</f>
        <v/>
      </c>
      <c r="H1097" s="11">
        <f>F1097/SUMIFS($F$2:$F$9997,$B$2:$B$9997,B1097,$C$2:$C$9997,C1097)</f>
        <v/>
      </c>
      <c r="I1097" s="19" t="n">
        <v>3</v>
      </c>
      <c r="J1097" s="57" t="n">
        <v>12</v>
      </c>
    </row>
  </sheetData>
  <autoFilter ref="A1:H1097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16">
    <tabColor theme="8" tint="0.7999816888943144"/>
    <outlinePr summaryBelow="1" summaryRight="1"/>
    <pageSetUpPr/>
  </sheetPr>
  <dimension ref="A1:K39"/>
  <sheetViews>
    <sheetView workbookViewId="0">
      <selection activeCell="E9" sqref="E9"/>
    </sheetView>
  </sheetViews>
  <sheetFormatPr baseColWidth="8" defaultRowHeight="13.8"/>
  <cols>
    <col width="15" bestFit="1" customWidth="1" style="57" min="1" max="1"/>
    <col width="10.109375" bestFit="1" customWidth="1" style="57" min="2" max="3"/>
    <col width="20.109375" customWidth="1" style="57" min="4" max="4"/>
    <col width="7.109375" customWidth="1" style="57" min="5" max="5"/>
    <col width="8.21875" customWidth="1" style="57" min="6" max="6"/>
    <col width="10" customWidth="1" style="57" min="7" max="7"/>
    <col width="8" bestFit="1" customWidth="1" style="43" min="8" max="8"/>
    <col width="9.88671875" customWidth="1" style="57" min="9" max="9"/>
    <col width="9.33203125" customWidth="1" style="57" min="10" max="10"/>
    <col width="8.5546875" customWidth="1" style="57" min="11" max="11"/>
    <col width="8.88671875" customWidth="1" style="57" min="12" max="12"/>
    <col width="8.88671875" customWidth="1" style="57" min="13" max="16384"/>
  </cols>
  <sheetData>
    <row r="1" ht="18" customHeight="1">
      <c r="A1" s="34" t="inlineStr">
        <is>
          <t>Business Data</t>
        </is>
      </c>
      <c r="B1" s="32" t="n"/>
      <c r="C1" s="33" t="n"/>
      <c r="D1" s="33" t="n"/>
      <c r="E1" s="9" t="n"/>
      <c r="H1" s="57" t="n"/>
    </row>
    <row r="2" ht="13.8" customHeight="1">
      <c r="A2" s="42" t="inlineStr">
        <is>
          <t>Staffed Hours</t>
        </is>
      </c>
      <c r="B2" s="46" t="n"/>
      <c r="C2" s="47" t="n"/>
      <c r="D2" s="46" t="n"/>
      <c r="E2" s="30" t="n"/>
      <c r="H2" s="57" t="n"/>
    </row>
    <row r="3">
      <c r="A3" s="60" t="inlineStr">
        <is>
          <t>Day</t>
        </is>
      </c>
      <c r="B3" s="60" t="inlineStr">
        <is>
          <t>From (24hr)</t>
        </is>
      </c>
      <c r="C3" s="60" t="inlineStr">
        <is>
          <t>To (24hr)</t>
        </is>
      </c>
      <c r="D3" s="60" t="inlineStr">
        <is>
          <t>Available Hours</t>
        </is>
      </c>
      <c r="H3" s="57" t="n"/>
    </row>
    <row r="4" ht="14.4" customHeight="1">
      <c r="A4" s="55" t="inlineStr">
        <is>
          <t>Mon</t>
        </is>
      </c>
      <c r="B4" s="55" t="n">
        <v>8</v>
      </c>
      <c r="C4" s="55" t="n">
        <v>22</v>
      </c>
      <c r="D4" s="55">
        <f>C4-B4</f>
        <v/>
      </c>
      <c r="H4" s="57" t="n"/>
    </row>
    <row r="5">
      <c r="A5" s="55" t="inlineStr">
        <is>
          <t>Tue</t>
        </is>
      </c>
      <c r="B5" s="55" t="n">
        <v>8</v>
      </c>
      <c r="C5" s="55" t="n">
        <v>22</v>
      </c>
      <c r="D5" s="55">
        <f>C5-B5</f>
        <v/>
      </c>
      <c r="H5" s="57" t="n"/>
    </row>
    <row r="6" ht="14.4" customHeight="1">
      <c r="A6" s="55" t="inlineStr">
        <is>
          <t>Wed</t>
        </is>
      </c>
      <c r="B6" s="55" t="n">
        <v>8</v>
      </c>
      <c r="C6" s="55" t="n">
        <v>22</v>
      </c>
      <c r="D6" s="55">
        <f>C6-B6</f>
        <v/>
      </c>
      <c r="H6" s="57" t="n"/>
    </row>
    <row r="7">
      <c r="A7" s="55" t="inlineStr">
        <is>
          <t>Thu</t>
        </is>
      </c>
      <c r="B7" s="55" t="n">
        <v>8</v>
      </c>
      <c r="C7" s="55" t="n">
        <v>22</v>
      </c>
      <c r="D7" s="55">
        <f>C7-B7</f>
        <v/>
      </c>
      <c r="H7" s="57" t="n"/>
    </row>
    <row r="8">
      <c r="A8" s="55" t="inlineStr">
        <is>
          <t>Fri</t>
        </is>
      </c>
      <c r="B8" s="55" t="n">
        <v>8</v>
      </c>
      <c r="C8" s="55" t="n">
        <v>22</v>
      </c>
      <c r="D8" s="55">
        <f>C8-B8</f>
        <v/>
      </c>
      <c r="H8" s="57" t="n"/>
    </row>
    <row r="9">
      <c r="A9" s="55" t="inlineStr">
        <is>
          <t>Sat</t>
        </is>
      </c>
      <c r="B9" s="55" t="n">
        <v>9</v>
      </c>
      <c r="C9" s="55" t="n">
        <v>17</v>
      </c>
      <c r="D9" s="55">
        <f>C9-B9</f>
        <v/>
      </c>
      <c r="H9" s="57" t="n"/>
    </row>
    <row r="10">
      <c r="A10" s="55" t="inlineStr">
        <is>
          <t>Sun</t>
        </is>
      </c>
      <c r="B10" s="55" t="n">
        <v>9</v>
      </c>
      <c r="C10" s="55" t="n">
        <v>16</v>
      </c>
      <c r="D10" s="55">
        <f>C10-B10</f>
        <v/>
      </c>
      <c r="F10" s="13" t="n"/>
      <c r="G10" s="13" t="n"/>
      <c r="H10" s="13" t="n"/>
    </row>
    <row r="11">
      <c r="F11" s="13" t="n"/>
      <c r="G11" s="13" t="n"/>
      <c r="H11" s="13" t="n"/>
    </row>
    <row r="12">
      <c r="A12" s="42" t="inlineStr">
        <is>
          <t>Pod Details</t>
        </is>
      </c>
      <c r="B12" s="45" t="n"/>
      <c r="F12" s="13" t="n"/>
      <c r="G12" s="13" t="n"/>
      <c r="H12" s="13" t="n"/>
      <c r="K12" s="7" t="n"/>
    </row>
    <row r="13">
      <c r="A13" s="57" t="inlineStr">
        <is>
          <t>Room Number</t>
        </is>
      </c>
      <c r="B13" s="4" t="n">
        <v>8</v>
      </c>
      <c r="F13" s="13" t="n"/>
      <c r="G13" s="13" t="n"/>
      <c r="H13" s="13" t="n"/>
      <c r="I13" s="13" t="n"/>
      <c r="J13" s="50" t="n"/>
      <c r="K13" s="10" t="n"/>
    </row>
    <row r="14">
      <c r="D14" s="55" t="n"/>
      <c r="E14" s="55" t="n"/>
      <c r="F14" s="13" t="n"/>
      <c r="G14" s="13" t="n"/>
      <c r="H14" s="13" t="n"/>
      <c r="I14" s="13" t="n"/>
      <c r="J14" s="50" t="n"/>
      <c r="K14" s="10" t="n"/>
    </row>
    <row r="15">
      <c r="A15" s="42" t="inlineStr">
        <is>
          <t>Business Years</t>
        </is>
      </c>
      <c r="B15" s="45" t="n"/>
      <c r="D15" s="55" t="n"/>
      <c r="E15" s="55" t="n"/>
      <c r="F15" s="13" t="n"/>
      <c r="G15" s="13" t="n"/>
      <c r="H15" s="13" t="n"/>
      <c r="I15" s="13" t="n"/>
      <c r="J15" s="50" t="n"/>
      <c r="K15" s="10" t="n"/>
    </row>
    <row r="16">
      <c r="A16" s="60" t="inlineStr">
        <is>
          <t>Years</t>
        </is>
      </c>
      <c r="B16" s="60" t="inlineStr">
        <is>
          <t>Date</t>
        </is>
      </c>
      <c r="D16" s="55" t="n"/>
      <c r="E16" s="55" t="n"/>
      <c r="F16" s="13" t="n"/>
      <c r="G16" s="13" t="n"/>
      <c r="H16" s="13" t="n"/>
      <c r="I16" s="13" t="n"/>
      <c r="J16" s="50" t="n"/>
      <c r="K16" s="10" t="n"/>
    </row>
    <row r="17">
      <c r="A17" s="57" t="n">
        <v>1</v>
      </c>
      <c r="B17" s="3" t="n">
        <v>46113</v>
      </c>
      <c r="D17" s="55" t="n"/>
      <c r="E17" s="55" t="n"/>
      <c r="F17" s="13" t="n"/>
      <c r="G17" s="13" t="n"/>
      <c r="H17" s="13" t="n"/>
      <c r="I17" s="55" t="n"/>
      <c r="J17" s="55" t="n"/>
      <c r="K17" s="10" t="n"/>
    </row>
    <row r="18">
      <c r="A18" s="57" t="n">
        <v>2</v>
      </c>
      <c r="B18" s="3" t="n">
        <v>46478</v>
      </c>
      <c r="D18" s="55" t="n"/>
      <c r="E18" s="55" t="n"/>
      <c r="F18" s="13" t="n"/>
      <c r="G18" s="13" t="n"/>
      <c r="H18" s="13" t="n"/>
      <c r="I18" s="13" t="n"/>
      <c r="J18" s="13" t="n"/>
      <c r="K18" s="55" t="n"/>
    </row>
    <row r="19">
      <c r="A19" s="57" t="n">
        <v>3</v>
      </c>
      <c r="B19" s="3" t="n">
        <v>46844</v>
      </c>
      <c r="D19" s="55" t="n"/>
      <c r="E19" s="55" t="n"/>
      <c r="F19" s="13" t="n"/>
      <c r="G19" s="13" t="n"/>
      <c r="H19" s="13" t="n"/>
      <c r="I19" s="55" t="n"/>
      <c r="J19" s="55" t="n"/>
      <c r="K19" s="55" t="n"/>
    </row>
    <row r="20">
      <c r="D20" s="55" t="n"/>
      <c r="E20" s="55" t="n"/>
      <c r="G20" s="31" t="n"/>
      <c r="I20" s="55" t="n"/>
      <c r="J20" s="55" t="n"/>
      <c r="K20" s="55" t="n"/>
    </row>
    <row r="21">
      <c r="D21" s="55" t="n"/>
      <c r="E21" s="55" t="n"/>
      <c r="H21" s="44" t="n"/>
      <c r="I21" s="13" t="n"/>
      <c r="J21" s="13" t="n"/>
      <c r="K21" s="13" t="n"/>
    </row>
    <row r="22">
      <c r="D22" s="55" t="n"/>
      <c r="E22" s="55" t="n"/>
      <c r="I22" s="55" t="n"/>
      <c r="J22" s="55" t="n"/>
      <c r="K22" s="55" t="n"/>
    </row>
    <row r="23">
      <c r="J23" s="19" t="n"/>
      <c r="K23" s="55" t="n"/>
    </row>
    <row r="24">
      <c r="H24" s="57" t="n"/>
    </row>
    <row r="25">
      <c r="H25" s="57" t="n"/>
    </row>
    <row r="26">
      <c r="H26" s="57" t="n"/>
    </row>
    <row r="27" ht="13.8" customHeight="1">
      <c r="H27" s="57" t="n"/>
    </row>
    <row r="28">
      <c r="H28" s="57" t="n"/>
    </row>
    <row r="29">
      <c r="H29" s="57" t="n"/>
    </row>
    <row r="30">
      <c r="H30" s="57" t="n"/>
    </row>
    <row r="31">
      <c r="H31" s="57" t="n"/>
    </row>
    <row r="32">
      <c r="H32" s="57" t="n"/>
    </row>
    <row r="33">
      <c r="H33" s="57" t="n"/>
    </row>
    <row r="34">
      <c r="H34" s="57" t="n"/>
    </row>
    <row r="35">
      <c r="H35" s="57" t="n"/>
    </row>
    <row r="36">
      <c r="H36" s="57" t="n"/>
    </row>
    <row r="37">
      <c r="H37" s="57" t="n"/>
    </row>
    <row r="38">
      <c r="H38" s="57" t="n"/>
    </row>
    <row r="39">
      <c r="J39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3">
    <tabColor theme="8" tint="0.7999816888943144"/>
    <outlinePr summaryBelow="1" summaryRight="1"/>
    <pageSetUpPr/>
  </sheetPr>
  <dimension ref="A1:AC72"/>
  <sheetViews>
    <sheetView tabSelected="1" workbookViewId="0">
      <selection activeCell="H2" sqref="H2"/>
    </sheetView>
  </sheetViews>
  <sheetFormatPr baseColWidth="8" defaultRowHeight="13.8"/>
  <cols>
    <col width="16.21875" customWidth="1" style="55" min="1" max="1"/>
    <col width="8.88671875" customWidth="1" style="55" min="2" max="11"/>
    <col width="8.88671875" customWidth="1" style="56" min="12" max="12"/>
    <col width="9.6640625" customWidth="1" style="57" min="13" max="13"/>
    <col width="9.33203125" customWidth="1" style="57" min="14" max="14"/>
    <col width="8.88671875" customWidth="1" style="57" min="15" max="32"/>
    <col width="10.6640625" bestFit="1" customWidth="1" style="57" min="33" max="33"/>
    <col width="8.88671875" customWidth="1" style="57" min="34" max="36"/>
    <col width="12" customWidth="1" style="57" min="37" max="37"/>
    <col width="8.88671875" customWidth="1" style="57" min="38" max="44"/>
    <col width="8.88671875" customWidth="1" style="57" min="45" max="16384"/>
  </cols>
  <sheetData>
    <row r="1" ht="27" customHeight="1">
      <c r="A1" s="34" t="inlineStr">
        <is>
          <t>Forecast Calculator</t>
        </is>
      </c>
      <c r="B1" s="48" t="n"/>
      <c r="C1" s="48" t="n"/>
      <c r="D1" s="33" t="n"/>
      <c r="E1" s="8" t="inlineStr">
        <is>
          <t xml:space="preserve">Current Scenario: </t>
        </is>
      </c>
      <c r="F1" s="40" t="inlineStr">
        <is>
          <t>Open 24 hrs</t>
        </is>
      </c>
      <c r="G1" s="9" t="n"/>
      <c r="H1" s="61" t="inlineStr">
        <is>
          <t>*Forecast creator (used to generate attendance scenarios) removed from this sample data set
*Staffed Hours scenarios, also removed</t>
        </is>
      </c>
      <c r="S1" s="9" t="n"/>
      <c r="T1" s="9" t="n"/>
      <c r="U1" s="9" t="n"/>
      <c r="V1" s="9" t="n"/>
      <c r="W1" s="9" t="n"/>
      <c r="X1" s="9" t="n"/>
      <c r="Y1" s="9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23" t="n"/>
      <c r="L2" s="49" t="n"/>
    </row>
    <row r="3" ht="14.4" customHeight="1">
      <c r="A3" s="58" t="inlineStr">
        <is>
          <t>Opening Month - Day Forecast (Weekday)</t>
        </is>
      </c>
      <c r="B3" s="59" t="n"/>
      <c r="C3" s="59" t="n"/>
      <c r="D3" s="59" t="n"/>
      <c r="E3" s="59" t="n"/>
      <c r="F3" s="59" t="n"/>
      <c r="G3" s="59" t="n"/>
      <c r="H3" s="59" t="n"/>
      <c r="I3" s="59" t="n"/>
      <c r="J3" s="58" t="inlineStr">
        <is>
          <t>Opening Month - Day Forecast (Sat)</t>
        </is>
      </c>
      <c r="K3" s="59" t="n"/>
      <c r="L3" s="59" t="n"/>
      <c r="M3" s="59" t="n"/>
      <c r="N3" s="59" t="n"/>
      <c r="O3" s="59" t="n"/>
      <c r="P3" s="59" t="n"/>
      <c r="Q3" s="59" t="n"/>
      <c r="R3" s="58" t="inlineStr">
        <is>
          <t>Opening Month - Day Forecast (Sun)</t>
        </is>
      </c>
      <c r="S3" s="59" t="n"/>
      <c r="T3" s="59" t="n"/>
      <c r="U3" s="59" t="n"/>
      <c r="V3" s="59" t="n"/>
      <c r="W3" s="59" t="n"/>
      <c r="X3" s="59" t="n"/>
      <c r="Y3" s="59" t="n"/>
    </row>
    <row r="4">
      <c r="A4" s="60" t="inlineStr">
        <is>
          <t>Hour</t>
        </is>
      </c>
      <c r="B4" s="60" t="n">
        <v>1</v>
      </c>
      <c r="C4" s="60" t="n">
        <v>2</v>
      </c>
      <c r="D4" s="60" t="n">
        <v>3</v>
      </c>
      <c r="E4" s="60" t="n">
        <v>4</v>
      </c>
      <c r="F4" s="60" t="n">
        <v>5</v>
      </c>
      <c r="G4" s="60" t="n">
        <v>6</v>
      </c>
      <c r="H4" s="60" t="n">
        <v>7</v>
      </c>
      <c r="I4" s="37" t="n">
        <v>8</v>
      </c>
      <c r="J4" s="60" t="n">
        <v>1</v>
      </c>
      <c r="K4" s="60" t="n">
        <v>2</v>
      </c>
      <c r="L4" s="60" t="n">
        <v>3</v>
      </c>
      <c r="M4" s="60" t="n">
        <v>4</v>
      </c>
      <c r="N4" s="60" t="n">
        <v>5</v>
      </c>
      <c r="O4" s="60" t="n">
        <v>6</v>
      </c>
      <c r="P4" s="60" t="n">
        <v>7</v>
      </c>
      <c r="Q4" s="37" t="n">
        <v>8</v>
      </c>
      <c r="R4" s="60" t="n">
        <v>1</v>
      </c>
      <c r="S4" s="60" t="n">
        <v>2</v>
      </c>
      <c r="T4" s="60" t="n">
        <v>3</v>
      </c>
      <c r="U4" s="60" t="n">
        <v>4</v>
      </c>
      <c r="V4" s="60" t="n">
        <v>5</v>
      </c>
      <c r="W4" s="60" t="n">
        <v>6</v>
      </c>
      <c r="X4" s="60" t="n">
        <v>7</v>
      </c>
      <c r="Y4" s="60" t="n">
        <v>8</v>
      </c>
    </row>
    <row r="5">
      <c r="A5" s="60" t="n">
        <v>0</v>
      </c>
      <c r="B5" s="36" t="n">
        <v>0</v>
      </c>
      <c r="C5" s="36" t="n">
        <v>0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8" t="n">
        <v>0</v>
      </c>
      <c r="J5" s="36" t="n">
        <v>0</v>
      </c>
      <c r="K5" s="36" t="n">
        <v>0</v>
      </c>
      <c r="L5" s="36" t="n">
        <v>1</v>
      </c>
      <c r="M5" s="36" t="n">
        <v>0</v>
      </c>
      <c r="N5" s="36" t="n">
        <v>0</v>
      </c>
      <c r="O5" s="36" t="n">
        <v>0</v>
      </c>
      <c r="P5" s="36" t="n">
        <v>1</v>
      </c>
      <c r="Q5" s="38" t="n">
        <v>0</v>
      </c>
      <c r="R5" s="36" t="n">
        <v>0</v>
      </c>
      <c r="S5" s="36" t="n">
        <v>0</v>
      </c>
      <c r="T5" s="36" t="n">
        <v>0</v>
      </c>
      <c r="U5" s="36" t="n">
        <v>0</v>
      </c>
      <c r="V5" s="36" t="n">
        <v>0</v>
      </c>
      <c r="W5" s="36" t="n">
        <v>1</v>
      </c>
      <c r="X5" s="36" t="n">
        <v>1</v>
      </c>
      <c r="Y5" s="36" t="n">
        <v>1</v>
      </c>
    </row>
    <row r="6">
      <c r="A6" s="60" t="n">
        <v>1</v>
      </c>
      <c r="B6" s="36" t="n">
        <v>0</v>
      </c>
      <c r="C6" s="36" t="n">
        <v>0</v>
      </c>
      <c r="D6" s="36" t="n">
        <v>0</v>
      </c>
      <c r="E6" s="36" t="n">
        <v>0</v>
      </c>
      <c r="F6" s="36" t="n">
        <v>0</v>
      </c>
      <c r="G6" s="36" t="n">
        <v>1</v>
      </c>
      <c r="H6" s="36" t="n">
        <v>0</v>
      </c>
      <c r="I6" s="38" t="n">
        <v>1</v>
      </c>
      <c r="J6" s="36" t="n">
        <v>0</v>
      </c>
      <c r="K6" s="36" t="n">
        <v>0</v>
      </c>
      <c r="L6" s="36" t="n">
        <v>0</v>
      </c>
      <c r="M6" s="36" t="n">
        <v>0</v>
      </c>
      <c r="N6" s="36" t="n">
        <v>0</v>
      </c>
      <c r="O6" s="36" t="n">
        <v>0</v>
      </c>
      <c r="P6" s="36" t="n">
        <v>0</v>
      </c>
      <c r="Q6" s="38" t="n">
        <v>0</v>
      </c>
      <c r="R6" s="36" t="n">
        <v>0</v>
      </c>
      <c r="S6" s="36" t="n">
        <v>1</v>
      </c>
      <c r="T6" s="36" t="n">
        <v>0</v>
      </c>
      <c r="U6" s="36" t="n">
        <v>1</v>
      </c>
      <c r="V6" s="36" t="n">
        <v>0</v>
      </c>
      <c r="W6" s="36" t="n">
        <v>0</v>
      </c>
      <c r="X6" s="36" t="n">
        <v>0</v>
      </c>
      <c r="Y6" s="36" t="n">
        <v>0</v>
      </c>
    </row>
    <row r="7">
      <c r="A7" s="60" t="n">
        <v>2</v>
      </c>
      <c r="B7" s="36" t="n">
        <v>0</v>
      </c>
      <c r="C7" s="36" t="n">
        <v>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8" t="n">
        <v>0</v>
      </c>
      <c r="J7" s="36" t="n">
        <v>1</v>
      </c>
      <c r="K7" s="36" t="n">
        <v>1</v>
      </c>
      <c r="L7" s="36" t="n">
        <v>0</v>
      </c>
      <c r="M7" s="36" t="n">
        <v>0</v>
      </c>
      <c r="N7" s="36" t="n">
        <v>1</v>
      </c>
      <c r="O7" s="36" t="n">
        <v>0</v>
      </c>
      <c r="P7" s="36" t="n">
        <v>0</v>
      </c>
      <c r="Q7" s="38" t="n">
        <v>0</v>
      </c>
      <c r="R7" s="36" t="n">
        <v>0</v>
      </c>
      <c r="S7" s="36" t="n">
        <v>0</v>
      </c>
      <c r="T7" s="36" t="n">
        <v>0</v>
      </c>
      <c r="U7" s="36" t="n">
        <v>0</v>
      </c>
      <c r="V7" s="36" t="n">
        <v>0</v>
      </c>
      <c r="W7" s="36" t="n">
        <v>0</v>
      </c>
      <c r="X7" s="36" t="n">
        <v>1</v>
      </c>
      <c r="Y7" s="36" t="n">
        <v>0</v>
      </c>
    </row>
    <row r="8">
      <c r="A8" s="60" t="n">
        <v>3</v>
      </c>
      <c r="B8" s="36" t="n">
        <v>0</v>
      </c>
      <c r="C8" s="36" t="n">
        <v>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8" t="n">
        <v>0</v>
      </c>
      <c r="J8" s="36" t="n">
        <v>0</v>
      </c>
      <c r="K8" s="36" t="n">
        <v>1</v>
      </c>
      <c r="L8" s="36" t="n">
        <v>0</v>
      </c>
      <c r="M8" s="36" t="n">
        <v>0</v>
      </c>
      <c r="N8" s="36" t="n">
        <v>0</v>
      </c>
      <c r="O8" s="36" t="n">
        <v>1</v>
      </c>
      <c r="P8" s="36" t="n">
        <v>0</v>
      </c>
      <c r="Q8" s="38" t="n">
        <v>1</v>
      </c>
      <c r="R8" s="36" t="n">
        <v>0</v>
      </c>
      <c r="S8" s="36" t="n">
        <v>0</v>
      </c>
      <c r="T8" s="36" t="n">
        <v>0</v>
      </c>
      <c r="U8" s="36" t="n">
        <v>0</v>
      </c>
      <c r="V8" s="36" t="n">
        <v>0</v>
      </c>
      <c r="W8" s="36" t="n">
        <v>1</v>
      </c>
      <c r="X8" s="36" t="n">
        <v>0</v>
      </c>
      <c r="Y8" s="36" t="n">
        <v>0</v>
      </c>
    </row>
    <row r="9">
      <c r="A9" s="60" t="n">
        <v>4</v>
      </c>
      <c r="B9" s="36" t="n">
        <v>1</v>
      </c>
      <c r="C9" s="36" t="n">
        <v>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8" t="n">
        <v>1</v>
      </c>
      <c r="J9" s="36" t="n">
        <v>1</v>
      </c>
      <c r="K9" s="36" t="n">
        <v>0</v>
      </c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8" t="n">
        <v>0</v>
      </c>
      <c r="R9" s="36" t="n">
        <v>0</v>
      </c>
      <c r="S9" s="36" t="n">
        <v>0</v>
      </c>
      <c r="T9" s="36" t="n">
        <v>0</v>
      </c>
      <c r="U9" s="36" t="n">
        <v>1</v>
      </c>
      <c r="V9" s="36" t="n">
        <v>0</v>
      </c>
      <c r="W9" s="36" t="n">
        <v>0</v>
      </c>
      <c r="X9" s="36" t="n">
        <v>0</v>
      </c>
      <c r="Y9" s="36" t="n">
        <v>1</v>
      </c>
    </row>
    <row r="10">
      <c r="A10" s="60" t="n">
        <v>5</v>
      </c>
      <c r="B10" s="36" t="n">
        <v>0</v>
      </c>
      <c r="C10" s="36" t="n">
        <v>1</v>
      </c>
      <c r="D10" s="36" t="n">
        <v>0</v>
      </c>
      <c r="E10" s="36" t="n">
        <v>1</v>
      </c>
      <c r="F10" s="36" t="n">
        <v>0</v>
      </c>
      <c r="G10" s="36" t="n">
        <v>0</v>
      </c>
      <c r="H10" s="36" t="n">
        <v>0</v>
      </c>
      <c r="I10" s="38" t="n">
        <v>0</v>
      </c>
      <c r="J10" s="36" t="n">
        <v>0</v>
      </c>
      <c r="K10" s="36" t="n">
        <v>0</v>
      </c>
      <c r="L10" s="36" t="n">
        <v>1</v>
      </c>
      <c r="M10" s="36" t="n">
        <v>0</v>
      </c>
      <c r="N10" s="36" t="n">
        <v>1</v>
      </c>
      <c r="O10" s="36" t="n">
        <v>0</v>
      </c>
      <c r="P10" s="36" t="n">
        <v>1</v>
      </c>
      <c r="Q10" s="38" t="n">
        <v>0</v>
      </c>
      <c r="R10" s="36" t="n">
        <v>0</v>
      </c>
      <c r="S10" s="36" t="n">
        <v>0</v>
      </c>
      <c r="T10" s="36" t="n">
        <v>0</v>
      </c>
      <c r="U10" s="36" t="n">
        <v>0</v>
      </c>
      <c r="V10" s="36" t="n">
        <v>0</v>
      </c>
      <c r="W10" s="36" t="n">
        <v>0</v>
      </c>
      <c r="X10" s="36" t="n">
        <v>0</v>
      </c>
      <c r="Y10" s="36" t="n">
        <v>1</v>
      </c>
    </row>
    <row r="11">
      <c r="A11" s="60" t="n">
        <v>6</v>
      </c>
      <c r="B11" s="36" t="n">
        <v>0</v>
      </c>
      <c r="C11" s="36" t="n">
        <v>0</v>
      </c>
      <c r="D11" s="36" t="n">
        <v>0</v>
      </c>
      <c r="E11" s="36" t="n">
        <v>0</v>
      </c>
      <c r="F11" s="36" t="n">
        <v>0</v>
      </c>
      <c r="G11" s="36" t="n">
        <v>0</v>
      </c>
      <c r="H11" s="36" t="n">
        <v>0</v>
      </c>
      <c r="I11" s="38" t="n">
        <v>0</v>
      </c>
      <c r="J11" s="36" t="n">
        <v>1</v>
      </c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0</v>
      </c>
      <c r="P11" s="36" t="n">
        <v>0</v>
      </c>
      <c r="Q11" s="38" t="n">
        <v>0</v>
      </c>
      <c r="R11" s="36" t="n">
        <v>0</v>
      </c>
      <c r="S11" s="36" t="n">
        <v>0</v>
      </c>
      <c r="T11" s="36" t="n">
        <v>0</v>
      </c>
      <c r="U11" s="36" t="n">
        <v>1</v>
      </c>
      <c r="V11" s="36" t="n">
        <v>1</v>
      </c>
      <c r="W11" s="36" t="n">
        <v>0</v>
      </c>
      <c r="X11" s="36" t="n">
        <v>0</v>
      </c>
      <c r="Y11" s="36" t="n">
        <v>1</v>
      </c>
    </row>
    <row r="12" ht="14.4" customHeight="1">
      <c r="A12" s="60" t="n">
        <v>7</v>
      </c>
      <c r="B12" s="36" t="n">
        <v>0</v>
      </c>
      <c r="C12" s="36" t="n">
        <v>0</v>
      </c>
      <c r="D12" s="36" t="n">
        <v>0</v>
      </c>
      <c r="E12" s="36" t="n">
        <v>0</v>
      </c>
      <c r="F12" s="36" t="n">
        <v>1</v>
      </c>
      <c r="G12" s="36" t="n">
        <v>0</v>
      </c>
      <c r="H12" s="36" t="n">
        <v>0</v>
      </c>
      <c r="I12" s="38" t="n">
        <v>0</v>
      </c>
      <c r="J12" s="36" t="n">
        <v>1</v>
      </c>
      <c r="K12" s="36" t="n">
        <v>0</v>
      </c>
      <c r="L12" s="36" t="n">
        <v>0</v>
      </c>
      <c r="M12" s="36" t="n">
        <v>0</v>
      </c>
      <c r="N12" s="36" t="n">
        <v>0</v>
      </c>
      <c r="O12" s="36" t="n">
        <v>1</v>
      </c>
      <c r="P12" s="36" t="n">
        <v>0</v>
      </c>
      <c r="Q12" s="38" t="n">
        <v>0</v>
      </c>
      <c r="R12" s="36" t="n">
        <v>1</v>
      </c>
      <c r="S12" s="36" t="n">
        <v>1</v>
      </c>
      <c r="T12" s="36" t="n">
        <v>0</v>
      </c>
      <c r="U12" s="36" t="n">
        <v>0</v>
      </c>
      <c r="V12" s="36" t="n">
        <v>0</v>
      </c>
      <c r="W12" s="36" t="n">
        <v>1</v>
      </c>
      <c r="X12" s="36" t="n">
        <v>1</v>
      </c>
      <c r="Y12" s="36" t="n">
        <v>1</v>
      </c>
      <c r="Z12" s="28" t="n"/>
      <c r="AA12" s="28" t="n"/>
      <c r="AB12" s="28" t="n"/>
    </row>
    <row r="13" ht="13.8" customHeight="1">
      <c r="A13" s="60" t="n">
        <v>8</v>
      </c>
      <c r="B13" s="35" t="n">
        <v>1</v>
      </c>
      <c r="C13" s="35" t="n">
        <v>1</v>
      </c>
      <c r="D13" s="35" t="n">
        <v>1</v>
      </c>
      <c r="E13" s="35" t="n">
        <v>0</v>
      </c>
      <c r="F13" s="35" t="n">
        <v>0</v>
      </c>
      <c r="G13" s="35" t="n">
        <v>0</v>
      </c>
      <c r="H13" s="35" t="n">
        <v>0</v>
      </c>
      <c r="I13" s="39" t="n">
        <v>0</v>
      </c>
      <c r="J13" s="36" t="n">
        <v>0</v>
      </c>
      <c r="K13" s="36" t="n">
        <v>0</v>
      </c>
      <c r="L13" s="36" t="n">
        <v>0</v>
      </c>
      <c r="M13" s="36" t="n">
        <v>1</v>
      </c>
      <c r="N13" s="36" t="n">
        <v>0</v>
      </c>
      <c r="O13" s="36" t="n">
        <v>0</v>
      </c>
      <c r="P13" s="36" t="n">
        <v>0</v>
      </c>
      <c r="Q13" s="38" t="n">
        <v>0</v>
      </c>
      <c r="R13" s="36" t="n">
        <v>0</v>
      </c>
      <c r="S13" s="36" t="n">
        <v>0</v>
      </c>
      <c r="T13" s="36" t="n">
        <v>0</v>
      </c>
      <c r="U13" s="36" t="n">
        <v>0</v>
      </c>
      <c r="V13" s="36" t="n">
        <v>0</v>
      </c>
      <c r="W13" s="36" t="n">
        <v>1</v>
      </c>
      <c r="X13" s="36" t="n">
        <v>0</v>
      </c>
      <c r="Y13" s="36" t="n">
        <v>0</v>
      </c>
      <c r="Z13" s="28" t="n"/>
      <c r="AA13" s="28" t="n"/>
      <c r="AB13" s="28" t="n"/>
    </row>
    <row r="14">
      <c r="A14" s="60" t="n">
        <v>9</v>
      </c>
      <c r="B14" s="35" t="n">
        <v>0</v>
      </c>
      <c r="C14" s="35" t="n">
        <v>0</v>
      </c>
      <c r="D14" s="35" t="n">
        <v>0</v>
      </c>
      <c r="E14" s="35" t="n">
        <v>0</v>
      </c>
      <c r="F14" s="35" t="n">
        <v>0</v>
      </c>
      <c r="G14" s="35" t="n">
        <v>0</v>
      </c>
      <c r="H14" s="35" t="n">
        <v>1</v>
      </c>
      <c r="I14" s="39" t="n">
        <v>1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1</v>
      </c>
      <c r="Q14" s="39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28" t="n"/>
      <c r="AA14" s="28" t="n"/>
      <c r="AB14" s="28" t="n"/>
    </row>
    <row r="15" ht="13.8" customHeight="1">
      <c r="A15" s="60" t="n">
        <v>10</v>
      </c>
      <c r="B15" s="35" t="n">
        <v>0</v>
      </c>
      <c r="C15" s="35" t="n">
        <v>1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9" t="n">
        <v>1</v>
      </c>
      <c r="J15" s="35" t="n">
        <v>0</v>
      </c>
      <c r="K15" s="35" t="n">
        <v>1</v>
      </c>
      <c r="L15" s="35" t="n">
        <v>0</v>
      </c>
      <c r="M15" s="35" t="n">
        <v>0</v>
      </c>
      <c r="N15" s="35" t="n">
        <v>0</v>
      </c>
      <c r="O15" s="35" t="n">
        <v>0</v>
      </c>
      <c r="P15" s="35" t="n">
        <v>0</v>
      </c>
      <c r="Q15" s="39" t="n">
        <v>0</v>
      </c>
      <c r="R15" s="35" t="n">
        <v>1</v>
      </c>
      <c r="S15" s="35" t="n">
        <v>1</v>
      </c>
      <c r="T15" s="35" t="n">
        <v>1</v>
      </c>
      <c r="U15" s="35" t="n">
        <v>1</v>
      </c>
      <c r="V15" s="35" t="n">
        <v>0</v>
      </c>
      <c r="W15" s="35" t="n">
        <v>0</v>
      </c>
      <c r="X15" s="35" t="n">
        <v>0</v>
      </c>
      <c r="Y15" s="35" t="n">
        <v>0</v>
      </c>
    </row>
    <row r="16" ht="13.8" customHeight="1">
      <c r="A16" s="60" t="n">
        <v>11</v>
      </c>
      <c r="B16" s="35" t="n">
        <v>1</v>
      </c>
      <c r="C16" s="35" t="n">
        <v>0</v>
      </c>
      <c r="D16" s="35" t="n">
        <v>1</v>
      </c>
      <c r="E16" s="35" t="n">
        <v>1</v>
      </c>
      <c r="F16" s="35" t="n">
        <v>0</v>
      </c>
      <c r="G16" s="35" t="n">
        <v>0</v>
      </c>
      <c r="H16" s="35" t="n">
        <v>0</v>
      </c>
      <c r="I16" s="39" t="n">
        <v>0</v>
      </c>
      <c r="J16" s="35" t="n">
        <v>1</v>
      </c>
      <c r="K16" s="35" t="n">
        <v>0</v>
      </c>
      <c r="L16" s="35" t="n">
        <v>0</v>
      </c>
      <c r="M16" s="35" t="n">
        <v>0</v>
      </c>
      <c r="N16" s="35" t="n">
        <v>0</v>
      </c>
      <c r="O16" s="35" t="n">
        <v>0</v>
      </c>
      <c r="P16" s="35" t="n">
        <v>0</v>
      </c>
      <c r="Q16" s="39" t="n">
        <v>0</v>
      </c>
      <c r="R16" s="35" t="n">
        <v>1</v>
      </c>
      <c r="S16" s="35" t="n">
        <v>0</v>
      </c>
      <c r="T16" s="35" t="n">
        <v>1</v>
      </c>
      <c r="U16" s="35" t="n">
        <v>0</v>
      </c>
      <c r="V16" s="35" t="n">
        <v>0</v>
      </c>
      <c r="W16" s="35" t="n">
        <v>0</v>
      </c>
      <c r="X16" s="35" t="n">
        <v>1</v>
      </c>
      <c r="Y16" s="35" t="n">
        <v>0</v>
      </c>
    </row>
    <row r="17">
      <c r="A17" s="60" t="n">
        <v>12</v>
      </c>
      <c r="B17" s="35" t="n">
        <v>1</v>
      </c>
      <c r="C17" s="35" t="n">
        <v>0</v>
      </c>
      <c r="D17" s="35" t="n">
        <v>1</v>
      </c>
      <c r="E17" s="35" t="n">
        <v>0</v>
      </c>
      <c r="F17" s="35" t="n">
        <v>0</v>
      </c>
      <c r="G17" s="35" t="n">
        <v>0</v>
      </c>
      <c r="H17" s="35" t="n">
        <v>1</v>
      </c>
      <c r="I17" s="39" t="n">
        <v>1</v>
      </c>
      <c r="J17" s="35" t="n">
        <v>0</v>
      </c>
      <c r="K17" s="35" t="n">
        <v>0</v>
      </c>
      <c r="L17" s="35" t="n">
        <v>1</v>
      </c>
      <c r="M17" s="35" t="n">
        <v>0</v>
      </c>
      <c r="N17" s="35" t="n">
        <v>0</v>
      </c>
      <c r="O17" s="35" t="n">
        <v>1</v>
      </c>
      <c r="P17" s="35" t="n">
        <v>0</v>
      </c>
      <c r="Q17" s="39" t="n">
        <v>1</v>
      </c>
      <c r="R17" s="35" t="n">
        <v>1</v>
      </c>
      <c r="S17" s="35" t="n">
        <v>0</v>
      </c>
      <c r="T17" s="35" t="n">
        <v>0</v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</row>
    <row r="18">
      <c r="A18" s="60" t="n">
        <v>13</v>
      </c>
      <c r="B18" s="35" t="n">
        <v>0</v>
      </c>
      <c r="C18" s="35" t="n">
        <v>0</v>
      </c>
      <c r="D18" s="35" t="n">
        <v>1</v>
      </c>
      <c r="E18" s="35" t="n">
        <v>0</v>
      </c>
      <c r="F18" s="35" t="n">
        <v>0</v>
      </c>
      <c r="G18" s="35" t="n">
        <v>0</v>
      </c>
      <c r="H18" s="35" t="n">
        <v>0</v>
      </c>
      <c r="I18" s="39" t="n">
        <v>0</v>
      </c>
      <c r="J18" s="35" t="n">
        <v>0</v>
      </c>
      <c r="K18" s="35" t="n">
        <v>0</v>
      </c>
      <c r="L18" s="35" t="n">
        <v>1</v>
      </c>
      <c r="M18" s="35" t="n">
        <v>1</v>
      </c>
      <c r="N18" s="35" t="n">
        <v>0</v>
      </c>
      <c r="O18" s="35" t="n">
        <v>1</v>
      </c>
      <c r="P18" s="35" t="n">
        <v>0</v>
      </c>
      <c r="Q18" s="39" t="n">
        <v>1</v>
      </c>
      <c r="R18" s="35" t="n">
        <v>0</v>
      </c>
      <c r="S18" s="35" t="n">
        <v>0</v>
      </c>
      <c r="T18" s="35" t="n">
        <v>0</v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1</v>
      </c>
    </row>
    <row r="19" ht="13.8" customHeight="1">
      <c r="A19" s="60" t="n">
        <v>14</v>
      </c>
      <c r="B19" s="35" t="n">
        <v>1</v>
      </c>
      <c r="C19" s="35" t="n">
        <v>1</v>
      </c>
      <c r="D19" s="35" t="n">
        <v>0</v>
      </c>
      <c r="E19" s="35" t="n">
        <v>1</v>
      </c>
      <c r="F19" s="35" t="n">
        <v>1</v>
      </c>
      <c r="G19" s="35" t="n">
        <v>0</v>
      </c>
      <c r="H19" s="35" t="n">
        <v>0</v>
      </c>
      <c r="I19" s="39" t="n">
        <v>0</v>
      </c>
      <c r="J19" s="35" t="n">
        <v>0</v>
      </c>
      <c r="K19" s="35" t="n">
        <v>0</v>
      </c>
      <c r="L19" s="35" t="n">
        <v>0</v>
      </c>
      <c r="M19" s="35" t="n">
        <v>0</v>
      </c>
      <c r="N19" s="35" t="n">
        <v>1</v>
      </c>
      <c r="O19" s="35" t="n">
        <v>0</v>
      </c>
      <c r="P19" s="35" t="n">
        <v>0</v>
      </c>
      <c r="Q19" s="39" t="n">
        <v>0</v>
      </c>
      <c r="R19" s="35" t="n">
        <v>0</v>
      </c>
      <c r="S19" s="35" t="n">
        <v>0</v>
      </c>
      <c r="T19" s="35" t="n">
        <v>0</v>
      </c>
      <c r="U19" s="35" t="n">
        <v>0</v>
      </c>
      <c r="V19" s="35" t="n">
        <v>0</v>
      </c>
      <c r="W19" s="35" t="n">
        <v>0</v>
      </c>
      <c r="X19" s="35" t="n">
        <v>1</v>
      </c>
      <c r="Y19" s="35" t="n">
        <v>1</v>
      </c>
    </row>
    <row r="20">
      <c r="A20" s="60" t="n">
        <v>15</v>
      </c>
      <c r="B20" s="35" t="n">
        <v>0</v>
      </c>
      <c r="C20" s="35" t="n">
        <v>1</v>
      </c>
      <c r="D20" s="35" t="n">
        <v>0</v>
      </c>
      <c r="E20" s="35" t="n">
        <v>1</v>
      </c>
      <c r="F20" s="35" t="n">
        <v>0</v>
      </c>
      <c r="G20" s="35" t="n">
        <v>0</v>
      </c>
      <c r="H20" s="35" t="n">
        <v>0</v>
      </c>
      <c r="I20" s="39" t="n">
        <v>1</v>
      </c>
      <c r="J20" s="35" t="n">
        <v>0</v>
      </c>
      <c r="K20" s="35" t="n">
        <v>0</v>
      </c>
      <c r="L20" s="35" t="n">
        <v>0</v>
      </c>
      <c r="M20" s="35" t="n">
        <v>0</v>
      </c>
      <c r="N20" s="35" t="n">
        <v>0</v>
      </c>
      <c r="O20" s="35" t="n">
        <v>1</v>
      </c>
      <c r="P20" s="35" t="n">
        <v>1</v>
      </c>
      <c r="Q20" s="39" t="n">
        <v>0</v>
      </c>
      <c r="R20" s="35" t="n">
        <v>0</v>
      </c>
      <c r="S20" s="35" t="n">
        <v>0</v>
      </c>
      <c r="T20" s="35" t="n">
        <v>1</v>
      </c>
      <c r="U20" s="35" t="n">
        <v>0</v>
      </c>
      <c r="V20" s="35" t="n">
        <v>0</v>
      </c>
      <c r="W20" s="35" t="n">
        <v>0</v>
      </c>
      <c r="X20" s="35" t="n">
        <v>0</v>
      </c>
      <c r="Y20" s="35" t="n">
        <v>0</v>
      </c>
    </row>
    <row r="21">
      <c r="A21" s="60" t="n">
        <v>16</v>
      </c>
      <c r="B21" s="35" t="n">
        <v>0</v>
      </c>
      <c r="C21" s="35" t="n">
        <v>0</v>
      </c>
      <c r="D21" s="35" t="n">
        <v>0</v>
      </c>
      <c r="E21" s="35" t="n">
        <v>1</v>
      </c>
      <c r="F21" s="35" t="n">
        <v>0</v>
      </c>
      <c r="G21" s="35" t="n">
        <v>0</v>
      </c>
      <c r="H21" s="35" t="n">
        <v>0</v>
      </c>
      <c r="I21" s="39" t="n">
        <v>0</v>
      </c>
      <c r="J21" s="35" t="n">
        <v>0</v>
      </c>
      <c r="K21" s="35" t="n">
        <v>1</v>
      </c>
      <c r="L21" s="35" t="n">
        <v>1</v>
      </c>
      <c r="M21" s="35" t="n">
        <v>0</v>
      </c>
      <c r="N21" s="35" t="n">
        <v>1</v>
      </c>
      <c r="O21" s="35" t="n">
        <v>0</v>
      </c>
      <c r="P21" s="35" t="n">
        <v>1</v>
      </c>
      <c r="Q21" s="39" t="n">
        <v>0</v>
      </c>
      <c r="R21" s="36" t="n">
        <v>1</v>
      </c>
      <c r="S21" s="36" t="n">
        <v>0</v>
      </c>
      <c r="T21" s="36" t="n">
        <v>0</v>
      </c>
      <c r="U21" s="36" t="n">
        <v>0</v>
      </c>
      <c r="V21" s="36" t="n">
        <v>1</v>
      </c>
      <c r="W21" s="36" t="n">
        <v>0</v>
      </c>
      <c r="X21" s="36" t="n">
        <v>0</v>
      </c>
      <c r="Y21" s="36" t="n">
        <v>0</v>
      </c>
    </row>
    <row r="22">
      <c r="A22" s="60" t="n">
        <v>17</v>
      </c>
      <c r="B22" s="35" t="n">
        <v>1</v>
      </c>
      <c r="C22" s="35" t="n">
        <v>1</v>
      </c>
      <c r="D22" s="35" t="n">
        <v>1</v>
      </c>
      <c r="E22" s="35" t="n">
        <v>0</v>
      </c>
      <c r="F22" s="35" t="n">
        <v>0</v>
      </c>
      <c r="G22" s="35" t="n">
        <v>0</v>
      </c>
      <c r="H22" s="35" t="n">
        <v>0</v>
      </c>
      <c r="I22" s="39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6" t="n">
        <v>0</v>
      </c>
      <c r="O22" s="36" t="n">
        <v>0</v>
      </c>
      <c r="P22" s="36" t="n">
        <v>1</v>
      </c>
      <c r="Q22" s="38" t="n">
        <v>0</v>
      </c>
      <c r="R22" s="36" t="n">
        <v>1</v>
      </c>
      <c r="S22" s="36" t="n">
        <v>0</v>
      </c>
      <c r="T22" s="36" t="n">
        <v>0</v>
      </c>
      <c r="U22" s="36" t="n">
        <v>0</v>
      </c>
      <c r="V22" s="36" t="n">
        <v>0</v>
      </c>
      <c r="W22" s="36" t="n">
        <v>0</v>
      </c>
      <c r="X22" s="36" t="n">
        <v>0</v>
      </c>
      <c r="Y22" s="36" t="n">
        <v>0</v>
      </c>
    </row>
    <row r="23">
      <c r="A23" s="60" t="n">
        <v>18</v>
      </c>
      <c r="B23" s="35" t="n">
        <v>0</v>
      </c>
      <c r="C23" s="35" t="n">
        <v>0</v>
      </c>
      <c r="D23" s="35" t="n">
        <v>1</v>
      </c>
      <c r="E23" s="35" t="n">
        <v>1</v>
      </c>
      <c r="F23" s="35" t="n">
        <v>0</v>
      </c>
      <c r="G23" s="35" t="n">
        <v>0</v>
      </c>
      <c r="H23" s="35" t="n">
        <v>1</v>
      </c>
      <c r="I23" s="39" t="n">
        <v>1</v>
      </c>
      <c r="J23" s="36" t="n">
        <v>1</v>
      </c>
      <c r="K23" s="36" t="n">
        <v>0</v>
      </c>
      <c r="L23" s="36" t="n">
        <v>0</v>
      </c>
      <c r="M23" s="36" t="n">
        <v>0</v>
      </c>
      <c r="N23" s="36" t="n">
        <v>0</v>
      </c>
      <c r="O23" s="36" t="n">
        <v>0</v>
      </c>
      <c r="P23" s="36" t="n">
        <v>1</v>
      </c>
      <c r="Q23" s="38" t="n">
        <v>0</v>
      </c>
      <c r="R23" s="36" t="n">
        <v>1</v>
      </c>
      <c r="S23" s="36" t="n">
        <v>1</v>
      </c>
      <c r="T23" s="36" t="n">
        <v>0</v>
      </c>
      <c r="U23" s="36" t="n">
        <v>0</v>
      </c>
      <c r="V23" s="36" t="n">
        <v>0</v>
      </c>
      <c r="W23" s="36" t="n">
        <v>0</v>
      </c>
      <c r="X23" s="36" t="n">
        <v>0</v>
      </c>
      <c r="Y23" s="36" t="n">
        <v>0</v>
      </c>
    </row>
    <row r="24">
      <c r="A24" s="60" t="n">
        <v>19</v>
      </c>
      <c r="B24" s="35" t="n">
        <v>0</v>
      </c>
      <c r="C24" s="35" t="n">
        <v>0</v>
      </c>
      <c r="D24" s="35" t="n">
        <v>0</v>
      </c>
      <c r="E24" s="35" t="n">
        <v>0</v>
      </c>
      <c r="F24" s="35" t="n">
        <v>0</v>
      </c>
      <c r="G24" s="35" t="n">
        <v>0</v>
      </c>
      <c r="H24" s="35" t="n">
        <v>1</v>
      </c>
      <c r="I24" s="39" t="n">
        <v>1</v>
      </c>
      <c r="J24" s="36" t="n">
        <v>0</v>
      </c>
      <c r="K24" s="36" t="n">
        <v>0</v>
      </c>
      <c r="L24" s="36" t="n">
        <v>1</v>
      </c>
      <c r="M24" s="36" t="n">
        <v>1</v>
      </c>
      <c r="N24" s="36" t="n">
        <v>0</v>
      </c>
      <c r="O24" s="36" t="n">
        <v>0</v>
      </c>
      <c r="P24" s="36" t="n">
        <v>0</v>
      </c>
      <c r="Q24" s="38" t="n">
        <v>0</v>
      </c>
      <c r="R24" s="36" t="n">
        <v>1</v>
      </c>
      <c r="S24" s="36" t="n">
        <v>1</v>
      </c>
      <c r="T24" s="36" t="n">
        <v>0</v>
      </c>
      <c r="U24" s="36" t="n">
        <v>0</v>
      </c>
      <c r="V24" s="36" t="n">
        <v>0</v>
      </c>
      <c r="W24" s="36" t="n">
        <v>0</v>
      </c>
      <c r="X24" s="36" t="n">
        <v>1</v>
      </c>
      <c r="Y24" s="36" t="n">
        <v>0</v>
      </c>
    </row>
    <row r="25">
      <c r="A25" s="60" t="n">
        <v>20</v>
      </c>
      <c r="B25" s="35" t="n">
        <v>0</v>
      </c>
      <c r="C25" s="35" t="n">
        <v>0</v>
      </c>
      <c r="D25" s="35" t="n">
        <v>1</v>
      </c>
      <c r="E25" s="35" t="n">
        <v>0</v>
      </c>
      <c r="F25" s="35" t="n">
        <v>1</v>
      </c>
      <c r="G25" s="35" t="n">
        <v>0</v>
      </c>
      <c r="H25" s="35" t="n">
        <v>0</v>
      </c>
      <c r="I25" s="39" t="n">
        <v>0</v>
      </c>
      <c r="J25" s="36" t="n">
        <v>1</v>
      </c>
      <c r="K25" s="36" t="n">
        <v>0</v>
      </c>
      <c r="L25" s="36" t="n">
        <v>0</v>
      </c>
      <c r="M25" s="36" t="n">
        <v>0</v>
      </c>
      <c r="N25" s="36" t="n">
        <v>0</v>
      </c>
      <c r="O25" s="36" t="n">
        <v>0</v>
      </c>
      <c r="P25" s="36" t="n">
        <v>0</v>
      </c>
      <c r="Q25" s="38" t="n">
        <v>0</v>
      </c>
      <c r="R25" s="36" t="n">
        <v>0</v>
      </c>
      <c r="S25" s="36" t="n">
        <v>0</v>
      </c>
      <c r="T25" s="36" t="n">
        <v>0</v>
      </c>
      <c r="U25" s="36" t="n">
        <v>1</v>
      </c>
      <c r="V25" s="36" t="n">
        <v>1</v>
      </c>
      <c r="W25" s="36" t="n">
        <v>0</v>
      </c>
      <c r="X25" s="36" t="n">
        <v>1</v>
      </c>
      <c r="Y25" s="36" t="n">
        <v>0</v>
      </c>
    </row>
    <row r="26">
      <c r="A26" s="60" t="n">
        <v>21</v>
      </c>
      <c r="B26" s="35" t="n">
        <v>0</v>
      </c>
      <c r="C26" s="35" t="n">
        <v>0</v>
      </c>
      <c r="D26" s="35" t="n">
        <v>0</v>
      </c>
      <c r="E26" s="35" t="n">
        <v>0</v>
      </c>
      <c r="F26" s="35" t="n">
        <v>0</v>
      </c>
      <c r="G26" s="35" t="n">
        <v>1</v>
      </c>
      <c r="H26" s="35" t="n">
        <v>1</v>
      </c>
      <c r="I26" s="39" t="n">
        <v>0</v>
      </c>
      <c r="J26" s="36" t="n">
        <v>0</v>
      </c>
      <c r="K26" s="36" t="n">
        <v>1</v>
      </c>
      <c r="L26" s="36" t="n">
        <v>0</v>
      </c>
      <c r="M26" s="36" t="n">
        <v>1</v>
      </c>
      <c r="N26" s="36" t="n">
        <v>0</v>
      </c>
      <c r="O26" s="36" t="n">
        <v>0</v>
      </c>
      <c r="P26" s="36" t="n">
        <v>0</v>
      </c>
      <c r="Q26" s="38" t="n">
        <v>0</v>
      </c>
      <c r="R26" s="36" t="n">
        <v>1</v>
      </c>
      <c r="S26" s="36" t="n">
        <v>0</v>
      </c>
      <c r="T26" s="36" t="n">
        <v>1</v>
      </c>
      <c r="U26" s="36" t="n">
        <v>1</v>
      </c>
      <c r="V26" s="36" t="n">
        <v>0</v>
      </c>
      <c r="W26" s="36" t="n">
        <v>0</v>
      </c>
      <c r="X26" s="36" t="n">
        <v>0</v>
      </c>
      <c r="Y26" s="36" t="n">
        <v>0</v>
      </c>
    </row>
    <row r="27" ht="14.4" customHeight="1">
      <c r="A27" s="60" t="n">
        <v>22</v>
      </c>
      <c r="B27" s="36" t="n">
        <v>0</v>
      </c>
      <c r="C27" s="36" t="n">
        <v>0</v>
      </c>
      <c r="D27" s="36" t="n">
        <v>0</v>
      </c>
      <c r="E27" s="36" t="n">
        <v>1</v>
      </c>
      <c r="F27" s="36" t="n">
        <v>1</v>
      </c>
      <c r="G27" s="36" t="n">
        <v>0</v>
      </c>
      <c r="H27" s="36" t="n">
        <v>0</v>
      </c>
      <c r="I27" s="38" t="n">
        <v>0</v>
      </c>
      <c r="J27" s="36" t="n">
        <v>1</v>
      </c>
      <c r="K27" s="36" t="n">
        <v>1</v>
      </c>
      <c r="L27" s="36" t="n">
        <v>0</v>
      </c>
      <c r="M27" s="36" t="n">
        <v>0</v>
      </c>
      <c r="N27" s="36" t="n">
        <v>0</v>
      </c>
      <c r="O27" s="36" t="n">
        <v>1</v>
      </c>
      <c r="P27" s="36" t="n">
        <v>1</v>
      </c>
      <c r="Q27" s="38" t="n">
        <v>0</v>
      </c>
      <c r="R27" s="36" t="n">
        <v>0</v>
      </c>
      <c r="S27" s="36" t="n">
        <v>1</v>
      </c>
      <c r="T27" s="36" t="n">
        <v>0</v>
      </c>
      <c r="U27" s="36" t="n">
        <v>0</v>
      </c>
      <c r="V27" s="36" t="n">
        <v>1</v>
      </c>
      <c r="W27" s="36" t="n">
        <v>0</v>
      </c>
      <c r="X27" s="36" t="n">
        <v>0</v>
      </c>
      <c r="Y27" s="36" t="n">
        <v>0</v>
      </c>
    </row>
    <row r="28">
      <c r="A28" s="60" t="n">
        <v>23</v>
      </c>
      <c r="B28" s="36" t="n">
        <v>0</v>
      </c>
      <c r="C28" s="36" t="n">
        <v>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8" t="n">
        <v>0</v>
      </c>
      <c r="J28" s="36" t="n">
        <v>0</v>
      </c>
      <c r="K28" s="36" t="n">
        <v>0</v>
      </c>
      <c r="L28" s="36" t="n">
        <v>0</v>
      </c>
      <c r="M28" s="36" t="n">
        <v>0</v>
      </c>
      <c r="N28" s="36" t="n">
        <v>0</v>
      </c>
      <c r="O28" s="36" t="n">
        <v>0</v>
      </c>
      <c r="P28" s="36" t="n">
        <v>1</v>
      </c>
      <c r="Q28" s="38" t="n">
        <v>0</v>
      </c>
      <c r="R28" s="36" t="n">
        <v>0</v>
      </c>
      <c r="S28" s="36" t="n">
        <v>0</v>
      </c>
      <c r="T28" s="36" t="n">
        <v>0</v>
      </c>
      <c r="U28" s="36" t="n">
        <v>0</v>
      </c>
      <c r="V28" s="36" t="n">
        <v>0</v>
      </c>
      <c r="W28" s="36" t="n">
        <v>0</v>
      </c>
      <c r="X28" s="36" t="n">
        <v>0</v>
      </c>
      <c r="Y28" s="36" t="n">
        <v>0</v>
      </c>
    </row>
    <row r="29">
      <c r="A29" s="60" t="inlineStr">
        <is>
          <t>Avail</t>
        </is>
      </c>
      <c r="B29" s="60" t="n">
        <v>24</v>
      </c>
      <c r="C29" s="60" t="n">
        <v>24</v>
      </c>
      <c r="D29" s="60" t="n">
        <v>24</v>
      </c>
      <c r="E29" s="60" t="n">
        <v>24</v>
      </c>
      <c r="F29" s="60" t="n">
        <v>24</v>
      </c>
      <c r="G29" s="60" t="n">
        <v>24</v>
      </c>
      <c r="H29" s="60" t="n">
        <v>24</v>
      </c>
      <c r="I29" s="60" t="n">
        <v>24</v>
      </c>
      <c r="J29" s="60" t="n">
        <v>24</v>
      </c>
      <c r="K29" s="60" t="n">
        <v>24</v>
      </c>
      <c r="L29" s="60" t="n">
        <v>24</v>
      </c>
      <c r="M29" s="60" t="n">
        <v>24</v>
      </c>
      <c r="N29" s="60" t="n">
        <v>24</v>
      </c>
      <c r="O29" s="60" t="n">
        <v>24</v>
      </c>
      <c r="P29" s="60" t="n">
        <v>24</v>
      </c>
      <c r="Q29" s="60" t="n">
        <v>24</v>
      </c>
      <c r="R29" s="60" t="n">
        <v>24</v>
      </c>
      <c r="S29" s="60" t="n">
        <v>24</v>
      </c>
      <c r="T29" s="60" t="n">
        <v>24</v>
      </c>
      <c r="U29" s="60" t="n">
        <v>24</v>
      </c>
      <c r="V29" s="60" t="n">
        <v>24</v>
      </c>
      <c r="W29" s="60" t="n">
        <v>24</v>
      </c>
      <c r="X29" s="60" t="n">
        <v>24</v>
      </c>
      <c r="Y29" s="60" t="n">
        <v>24</v>
      </c>
    </row>
    <row r="30">
      <c r="A30" s="60" t="inlineStr">
        <is>
          <t>Used</t>
        </is>
      </c>
      <c r="B30" s="60" t="n">
        <v>6</v>
      </c>
      <c r="C30" s="60" t="n">
        <v>6</v>
      </c>
      <c r="D30" s="60" t="n">
        <v>7</v>
      </c>
      <c r="E30" s="60" t="n">
        <v>7</v>
      </c>
      <c r="F30" s="60" t="n">
        <v>4</v>
      </c>
      <c r="G30" s="60" t="n">
        <v>2</v>
      </c>
      <c r="H30" s="60" t="n">
        <v>5</v>
      </c>
      <c r="I30" s="60" t="n">
        <v>8</v>
      </c>
      <c r="J30" s="60" t="n">
        <v>9</v>
      </c>
      <c r="K30" s="60" t="n">
        <v>7</v>
      </c>
      <c r="L30" s="60" t="n">
        <v>6</v>
      </c>
      <c r="M30" s="60" t="n">
        <v>4</v>
      </c>
      <c r="N30" s="60" t="n">
        <v>4</v>
      </c>
      <c r="O30" s="60" t="n">
        <v>6</v>
      </c>
      <c r="P30" s="60" t="n">
        <v>9</v>
      </c>
      <c r="Q30" s="60" t="n">
        <v>3</v>
      </c>
      <c r="R30" s="60" t="n">
        <v>9</v>
      </c>
      <c r="S30" s="60" t="n">
        <v>6</v>
      </c>
      <c r="T30" s="60" t="n">
        <v>4</v>
      </c>
      <c r="U30" s="60" t="n">
        <v>6</v>
      </c>
      <c r="V30" s="60" t="n">
        <v>4</v>
      </c>
      <c r="W30" s="60" t="n">
        <v>4</v>
      </c>
      <c r="X30" s="60" t="n">
        <v>7</v>
      </c>
      <c r="Y30" s="60" t="n">
        <v>7</v>
      </c>
    </row>
    <row r="31">
      <c r="A31" s="57" t="inlineStr">
        <is>
          <t>Opening Month - Day Forecast (Combined)</t>
        </is>
      </c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</row>
    <row r="32">
      <c r="A32" s="57" t="n"/>
      <c r="B32" s="60" t="n">
        <v>1</v>
      </c>
      <c r="C32" s="60" t="n">
        <v>2</v>
      </c>
      <c r="D32" s="60" t="n">
        <v>3</v>
      </c>
      <c r="E32" s="60" t="n">
        <v>4</v>
      </c>
      <c r="F32" s="60" t="n">
        <v>5</v>
      </c>
      <c r="G32" s="60" t="n">
        <v>6</v>
      </c>
      <c r="H32" s="60" t="n">
        <v>7</v>
      </c>
      <c r="I32" s="60" t="n">
        <v>8</v>
      </c>
      <c r="J32" s="60" t="n">
        <v>1</v>
      </c>
      <c r="K32" s="60" t="n">
        <v>2</v>
      </c>
      <c r="L32" s="60" t="n">
        <v>3</v>
      </c>
      <c r="M32" s="60" t="n">
        <v>4</v>
      </c>
      <c r="N32" s="60" t="n">
        <v>5</v>
      </c>
      <c r="O32" s="60" t="n">
        <v>6</v>
      </c>
      <c r="P32" s="60" t="n">
        <v>7</v>
      </c>
      <c r="Q32" s="60" t="n">
        <v>8</v>
      </c>
      <c r="R32" s="60" t="n">
        <v>1</v>
      </c>
      <c r="S32" s="60" t="n">
        <v>2</v>
      </c>
      <c r="T32" s="60" t="n">
        <v>3</v>
      </c>
      <c r="U32" s="60" t="n">
        <v>4</v>
      </c>
      <c r="V32" s="60" t="n">
        <v>5</v>
      </c>
      <c r="W32" s="60" t="n">
        <v>6</v>
      </c>
      <c r="X32" s="60" t="n">
        <v>7</v>
      </c>
      <c r="Y32" s="60" t="n">
        <v>8</v>
      </c>
      <c r="Z32" s="60" t="inlineStr">
        <is>
          <t>Weekday</t>
        </is>
      </c>
      <c r="AA32" s="60" t="inlineStr">
        <is>
          <t>Sat</t>
        </is>
      </c>
      <c r="AB32" s="60" t="inlineStr">
        <is>
          <t>Sun</t>
        </is>
      </c>
      <c r="AC32" s="60" t="inlineStr">
        <is>
          <t>Tot</t>
        </is>
      </c>
    </row>
    <row r="33">
      <c r="A33" s="57" t="n"/>
      <c r="B33" s="28">
        <f>B30/B29</f>
        <v/>
      </c>
      <c r="C33" s="28">
        <f>C30/C29</f>
        <v/>
      </c>
      <c r="D33" s="28">
        <f>D30/D29</f>
        <v/>
      </c>
      <c r="E33" s="28">
        <f>E30/E29</f>
        <v/>
      </c>
      <c r="F33" s="28">
        <f>F30/F29</f>
        <v/>
      </c>
      <c r="G33" s="28">
        <f>G30/G29</f>
        <v/>
      </c>
      <c r="H33" s="28">
        <f>H30/H29</f>
        <v/>
      </c>
      <c r="I33" s="28">
        <f>I30/I29</f>
        <v/>
      </c>
      <c r="J33" s="28">
        <f>J30/J29</f>
        <v/>
      </c>
      <c r="K33" s="28">
        <f>K30/K29</f>
        <v/>
      </c>
      <c r="L33" s="28">
        <f>L30/L29</f>
        <v/>
      </c>
      <c r="M33" s="28">
        <f>M30/M29</f>
        <v/>
      </c>
      <c r="N33" s="28">
        <f>N30/N29</f>
        <v/>
      </c>
      <c r="O33" s="28">
        <f>O30/O29</f>
        <v/>
      </c>
      <c r="P33" s="28">
        <f>P30/P29</f>
        <v/>
      </c>
      <c r="Q33" s="28">
        <f>Q30/Q29</f>
        <v/>
      </c>
      <c r="R33" s="28">
        <f>R30/R29</f>
        <v/>
      </c>
      <c r="S33" s="28">
        <f>S30/S29</f>
        <v/>
      </c>
      <c r="T33" s="28">
        <f>T30/T29</f>
        <v/>
      </c>
      <c r="U33" s="28">
        <f>U30/U29</f>
        <v/>
      </c>
      <c r="V33" s="28">
        <f>V30/V29</f>
        <v/>
      </c>
      <c r="W33" s="28">
        <f>W30/W29</f>
        <v/>
      </c>
      <c r="X33" s="28">
        <f>X30/X29</f>
        <v/>
      </c>
      <c r="Y33" s="28">
        <f>Y30/Y29</f>
        <v/>
      </c>
      <c r="Z33" s="57">
        <f>SUM(B30:I30)</f>
        <v/>
      </c>
      <c r="AA33" s="57">
        <f>SUM(J30:Q30)</f>
        <v/>
      </c>
      <c r="AB33" s="57">
        <f>SUM(R30:Y30)</f>
        <v/>
      </c>
      <c r="AC33" s="57">
        <f>SUM(Z33:AB33)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23" t="n"/>
      <c r="L34" s="49" t="n"/>
    </row>
    <row r="35">
      <c r="A35" s="23" t="n"/>
      <c r="B35" s="54" t="inlineStr">
        <is>
          <t>Daytype &amp; Room</t>
        </is>
      </c>
      <c r="J35" s="54" t="inlineStr">
        <is>
          <t>Daytype &amp; Room</t>
        </is>
      </c>
      <c r="R35" s="54" t="inlineStr">
        <is>
          <t>Daytype &amp; Room</t>
        </is>
      </c>
    </row>
    <row r="36">
      <c r="A36" s="60" t="inlineStr">
        <is>
          <t>Bus Year/Month</t>
        </is>
      </c>
      <c r="B36" s="60" t="inlineStr">
        <is>
          <t>Week 1</t>
        </is>
      </c>
      <c r="C36" s="60" t="inlineStr">
        <is>
          <t>Week 2</t>
        </is>
      </c>
      <c r="D36" s="60" t="inlineStr">
        <is>
          <t>Week 3</t>
        </is>
      </c>
      <c r="E36" s="60" t="inlineStr">
        <is>
          <t>Week 4</t>
        </is>
      </c>
      <c r="F36" s="60" t="inlineStr">
        <is>
          <t>Week 5</t>
        </is>
      </c>
      <c r="G36" s="60" t="inlineStr">
        <is>
          <t>Week 6</t>
        </is>
      </c>
      <c r="H36" s="60" t="inlineStr">
        <is>
          <t>Week 7</t>
        </is>
      </c>
      <c r="I36" s="60" t="inlineStr">
        <is>
          <t>Week 8</t>
        </is>
      </c>
      <c r="J36" s="60" t="inlineStr">
        <is>
          <t>Sat 1</t>
        </is>
      </c>
      <c r="K36" s="60" t="inlineStr">
        <is>
          <t>Sat 2</t>
        </is>
      </c>
      <c r="L36" s="60" t="inlineStr">
        <is>
          <t>Sat 3</t>
        </is>
      </c>
      <c r="M36" s="60" t="inlineStr">
        <is>
          <t>Sat 4</t>
        </is>
      </c>
      <c r="N36" s="60" t="inlineStr">
        <is>
          <t>Sat 5</t>
        </is>
      </c>
      <c r="O36" s="60" t="inlineStr">
        <is>
          <t>Sat 6</t>
        </is>
      </c>
      <c r="P36" s="60" t="inlineStr">
        <is>
          <t>Sat 7</t>
        </is>
      </c>
      <c r="Q36" s="60" t="inlineStr">
        <is>
          <t>Sat 8</t>
        </is>
      </c>
      <c r="R36" s="60" t="inlineStr">
        <is>
          <t>Sun 1</t>
        </is>
      </c>
      <c r="S36" s="60" t="inlineStr">
        <is>
          <t>Sun 2</t>
        </is>
      </c>
      <c r="T36" s="60" t="inlineStr">
        <is>
          <t>Sun 3</t>
        </is>
      </c>
      <c r="U36" s="60" t="inlineStr">
        <is>
          <t>Sun 4</t>
        </is>
      </c>
      <c r="V36" s="60" t="inlineStr">
        <is>
          <t>Sun 5</t>
        </is>
      </c>
      <c r="W36" s="60" t="inlineStr">
        <is>
          <t>Sun 6</t>
        </is>
      </c>
      <c r="X36" s="60" t="inlineStr">
        <is>
          <t>Sun 7</t>
        </is>
      </c>
      <c r="Y36" s="60" t="inlineStr">
        <is>
          <t>Sun 8</t>
        </is>
      </c>
      <c r="Z36" s="25" t="inlineStr">
        <is>
          <t>%i/d</t>
        </is>
      </c>
      <c r="AA36" s="60" t="inlineStr">
        <is>
          <t>Year Increase %</t>
        </is>
      </c>
    </row>
    <row r="37">
      <c r="A37" s="60" t="inlineStr">
        <is>
          <t>1 1</t>
        </is>
      </c>
      <c r="B37" s="15">
        <f>B33</f>
        <v/>
      </c>
      <c r="C37" s="15">
        <f>C33</f>
        <v/>
      </c>
      <c r="D37" s="15">
        <f>D33</f>
        <v/>
      </c>
      <c r="E37" s="15">
        <f>E33</f>
        <v/>
      </c>
      <c r="F37" s="15">
        <f>F33</f>
        <v/>
      </c>
      <c r="G37" s="15">
        <f>G33</f>
        <v/>
      </c>
      <c r="H37" s="15">
        <f>H33</f>
        <v/>
      </c>
      <c r="I37" s="15">
        <f>I33</f>
        <v/>
      </c>
      <c r="J37" s="15">
        <f>J33</f>
        <v/>
      </c>
      <c r="K37" s="15">
        <f>K33</f>
        <v/>
      </c>
      <c r="L37" s="15">
        <f>L33</f>
        <v/>
      </c>
      <c r="M37" s="15">
        <f>M33</f>
        <v/>
      </c>
      <c r="N37" s="15">
        <f>N33</f>
        <v/>
      </c>
      <c r="O37" s="15">
        <f>O33</f>
        <v/>
      </c>
      <c r="P37" s="15">
        <f>P33</f>
        <v/>
      </c>
      <c r="Q37" s="15">
        <f>Q33</f>
        <v/>
      </c>
      <c r="R37" s="15">
        <f>R33</f>
        <v/>
      </c>
      <c r="S37" s="15">
        <f>S33</f>
        <v/>
      </c>
      <c r="T37" s="15">
        <f>T33</f>
        <v/>
      </c>
      <c r="U37" s="15">
        <f>U33</f>
        <v/>
      </c>
      <c r="V37" s="15">
        <f>V33</f>
        <v/>
      </c>
      <c r="W37" s="15">
        <f>W33</f>
        <v/>
      </c>
      <c r="X37" s="15">
        <f>X33</f>
        <v/>
      </c>
      <c r="Y37" s="15">
        <f>Y33</f>
        <v/>
      </c>
      <c r="Z37" s="26" t="n"/>
      <c r="AA37" s="45" t="n">
        <v>2027</v>
      </c>
      <c r="AB37" s="24" t="n">
        <v>0.05</v>
      </c>
    </row>
    <row r="38">
      <c r="A38" s="60" t="inlineStr">
        <is>
          <t>1 2</t>
        </is>
      </c>
      <c r="B38" s="16">
        <f>B37+$Z38</f>
        <v/>
      </c>
      <c r="C38" s="16">
        <f>C37+$Z38</f>
        <v/>
      </c>
      <c r="D38" s="16">
        <f>D37+$Z38</f>
        <v/>
      </c>
      <c r="E38" s="16">
        <f>E37+$Z38</f>
        <v/>
      </c>
      <c r="F38" s="16">
        <f>F37+$Z38</f>
        <v/>
      </c>
      <c r="G38" s="16">
        <f>G37+$Z38</f>
        <v/>
      </c>
      <c r="H38" s="16">
        <f>H37+$Z38</f>
        <v/>
      </c>
      <c r="I38" s="16">
        <f>I37+$Z38</f>
        <v/>
      </c>
      <c r="J38" s="16">
        <f>J37+$Z38</f>
        <v/>
      </c>
      <c r="K38" s="16">
        <f>K37+$Z38</f>
        <v/>
      </c>
      <c r="L38" s="16">
        <f>L37+$Z38</f>
        <v/>
      </c>
      <c r="M38" s="16">
        <f>M37+$Z38</f>
        <v/>
      </c>
      <c r="N38" s="16">
        <f>N37+$Z38</f>
        <v/>
      </c>
      <c r="O38" s="16">
        <f>O37+$Z38</f>
        <v/>
      </c>
      <c r="P38" s="16">
        <f>P37+$Z38</f>
        <v/>
      </c>
      <c r="Q38" s="16">
        <f>Q37+$Z38</f>
        <v/>
      </c>
      <c r="R38" s="16">
        <f>R37+$Z38</f>
        <v/>
      </c>
      <c r="S38" s="16">
        <f>S37+$Z38</f>
        <v/>
      </c>
      <c r="T38" s="16">
        <f>T37+$Z38</f>
        <v/>
      </c>
      <c r="U38" s="16">
        <f>U37+$Z38</f>
        <v/>
      </c>
      <c r="V38" s="16">
        <f>V37+$Z38</f>
        <v/>
      </c>
      <c r="W38" s="16">
        <f>W37+$Z38</f>
        <v/>
      </c>
      <c r="X38" s="16">
        <f>X37+$Z38</f>
        <v/>
      </c>
      <c r="Y38" s="16">
        <f>Y37+$Z38</f>
        <v/>
      </c>
      <c r="Z38" s="26" t="n">
        <v>0.01</v>
      </c>
      <c r="AA38" s="45" t="n">
        <v>2028</v>
      </c>
      <c r="AB38" s="24" t="n">
        <v>0.03</v>
      </c>
    </row>
    <row r="39">
      <c r="A39" s="60" t="inlineStr">
        <is>
          <t>1 3</t>
        </is>
      </c>
      <c r="B39" s="16">
        <f>B38+$Z39</f>
        <v/>
      </c>
      <c r="C39" s="16">
        <f>C38+$Z39</f>
        <v/>
      </c>
      <c r="D39" s="16">
        <f>D38+$Z39</f>
        <v/>
      </c>
      <c r="E39" s="16">
        <f>E38+$Z39</f>
        <v/>
      </c>
      <c r="F39" s="16">
        <f>F38+$Z39</f>
        <v/>
      </c>
      <c r="G39" s="16">
        <f>G38+$Z39</f>
        <v/>
      </c>
      <c r="H39" s="16">
        <f>H38+$Z39</f>
        <v/>
      </c>
      <c r="I39" s="16">
        <f>I38+$Z39</f>
        <v/>
      </c>
      <c r="J39" s="16">
        <f>J38+$Z39</f>
        <v/>
      </c>
      <c r="K39" s="16">
        <f>K38+$Z39</f>
        <v/>
      </c>
      <c r="L39" s="16">
        <f>L38+$Z39</f>
        <v/>
      </c>
      <c r="M39" s="16">
        <f>M38+$Z39</f>
        <v/>
      </c>
      <c r="N39" s="16">
        <f>N38+$Z39</f>
        <v/>
      </c>
      <c r="O39" s="16">
        <f>O38+$Z39</f>
        <v/>
      </c>
      <c r="P39" s="16">
        <f>P38+$Z39</f>
        <v/>
      </c>
      <c r="Q39" s="16">
        <f>Q38+$Z39</f>
        <v/>
      </c>
      <c r="R39" s="16">
        <f>R38+$Z39</f>
        <v/>
      </c>
      <c r="S39" s="16">
        <f>S38+$Z39</f>
        <v/>
      </c>
      <c r="T39" s="16">
        <f>T38+$Z39</f>
        <v/>
      </c>
      <c r="U39" s="16">
        <f>U38+$Z39</f>
        <v/>
      </c>
      <c r="V39" s="16">
        <f>V38+$Z39</f>
        <v/>
      </c>
      <c r="W39" s="16">
        <f>W38+$Z39</f>
        <v/>
      </c>
      <c r="X39" s="16">
        <f>X38+$Z39</f>
        <v/>
      </c>
      <c r="Y39" s="16">
        <f>Y38+$Z39</f>
        <v/>
      </c>
      <c r="Z39" s="26" t="n">
        <v>0.01</v>
      </c>
    </row>
    <row r="40">
      <c r="A40" s="60" t="inlineStr">
        <is>
          <t>1 4</t>
        </is>
      </c>
      <c r="B40" s="16">
        <f>B39+$Z40</f>
        <v/>
      </c>
      <c r="C40" s="16">
        <f>C39+$Z40</f>
        <v/>
      </c>
      <c r="D40" s="16">
        <f>D39+$Z40</f>
        <v/>
      </c>
      <c r="E40" s="16">
        <f>E39+$Z40</f>
        <v/>
      </c>
      <c r="F40" s="16">
        <f>F39+$Z40</f>
        <v/>
      </c>
      <c r="G40" s="16">
        <f>G39+$Z40</f>
        <v/>
      </c>
      <c r="H40" s="16">
        <f>H39+$Z40</f>
        <v/>
      </c>
      <c r="I40" s="16">
        <f>I39+$Z40</f>
        <v/>
      </c>
      <c r="J40" s="16">
        <f>J39+$Z40</f>
        <v/>
      </c>
      <c r="K40" s="16">
        <f>K39+$Z40</f>
        <v/>
      </c>
      <c r="L40" s="16">
        <f>L39+$Z40</f>
        <v/>
      </c>
      <c r="M40" s="16">
        <f>M39+$Z40</f>
        <v/>
      </c>
      <c r="N40" s="16">
        <f>N39+$Z40</f>
        <v/>
      </c>
      <c r="O40" s="16">
        <f>O39+$Z40</f>
        <v/>
      </c>
      <c r="P40" s="16">
        <f>P39+$Z40</f>
        <v/>
      </c>
      <c r="Q40" s="16">
        <f>Q39+$Z40</f>
        <v/>
      </c>
      <c r="R40" s="16">
        <f>R39+$Z40</f>
        <v/>
      </c>
      <c r="S40" s="16">
        <f>S39+$Z40</f>
        <v/>
      </c>
      <c r="T40" s="16">
        <f>T39+$Z40</f>
        <v/>
      </c>
      <c r="U40" s="16">
        <f>U39+$Z40</f>
        <v/>
      </c>
      <c r="V40" s="16">
        <f>V39+$Z40</f>
        <v/>
      </c>
      <c r="W40" s="16">
        <f>W39+$Z40</f>
        <v/>
      </c>
      <c r="X40" s="16">
        <f>X39+$Z40</f>
        <v/>
      </c>
      <c r="Y40" s="16">
        <f>Y39+$Z40</f>
        <v/>
      </c>
      <c r="Z40" s="26" t="n">
        <v>0</v>
      </c>
    </row>
    <row r="41">
      <c r="A41" s="60" t="inlineStr">
        <is>
          <t>1 5</t>
        </is>
      </c>
      <c r="B41" s="16">
        <f>B40+$Z41</f>
        <v/>
      </c>
      <c r="C41" s="16">
        <f>C40+$Z41</f>
        <v/>
      </c>
      <c r="D41" s="16">
        <f>D40+$Z41</f>
        <v/>
      </c>
      <c r="E41" s="16">
        <f>E40+$Z41</f>
        <v/>
      </c>
      <c r="F41" s="16">
        <f>F40+$Z41</f>
        <v/>
      </c>
      <c r="G41" s="16">
        <f>G40+$Z41</f>
        <v/>
      </c>
      <c r="H41" s="16">
        <f>H40+$Z41</f>
        <v/>
      </c>
      <c r="I41" s="16">
        <f>I40+$Z41</f>
        <v/>
      </c>
      <c r="J41" s="16">
        <f>J40+$Z41</f>
        <v/>
      </c>
      <c r="K41" s="16">
        <f>K40+$Z41</f>
        <v/>
      </c>
      <c r="L41" s="16">
        <f>L40+$Z41</f>
        <v/>
      </c>
      <c r="M41" s="16">
        <f>M40+$Z41</f>
        <v/>
      </c>
      <c r="N41" s="16">
        <f>N40+$Z41</f>
        <v/>
      </c>
      <c r="O41" s="16">
        <f>O40+$Z41</f>
        <v/>
      </c>
      <c r="P41" s="16">
        <f>P40+$Z41</f>
        <v/>
      </c>
      <c r="Q41" s="16">
        <f>Q40+$Z41</f>
        <v/>
      </c>
      <c r="R41" s="16">
        <f>R40+$Z41</f>
        <v/>
      </c>
      <c r="S41" s="16">
        <f>S40+$Z41</f>
        <v/>
      </c>
      <c r="T41" s="16">
        <f>T40+$Z41</f>
        <v/>
      </c>
      <c r="U41" s="16">
        <f>U40+$Z41</f>
        <v/>
      </c>
      <c r="V41" s="16">
        <f>V40+$Z41</f>
        <v/>
      </c>
      <c r="W41" s="16">
        <f>W40+$Z41</f>
        <v/>
      </c>
      <c r="X41" s="16">
        <f>X40+$Z41</f>
        <v/>
      </c>
      <c r="Y41" s="16">
        <f>Y40+$Z41</f>
        <v/>
      </c>
      <c r="Z41" s="26" t="n">
        <v>0</v>
      </c>
    </row>
    <row r="42">
      <c r="A42" s="60" t="inlineStr">
        <is>
          <t>1 6</t>
        </is>
      </c>
      <c r="B42" s="16">
        <f>B41+$Z42</f>
        <v/>
      </c>
      <c r="C42" s="16">
        <f>C41+$Z42</f>
        <v/>
      </c>
      <c r="D42" s="16">
        <f>D41+$Z42</f>
        <v/>
      </c>
      <c r="E42" s="16">
        <f>E41+$Z42</f>
        <v/>
      </c>
      <c r="F42" s="16">
        <f>F41+$Z42</f>
        <v/>
      </c>
      <c r="G42" s="16">
        <f>G41+$Z42</f>
        <v/>
      </c>
      <c r="H42" s="16">
        <f>H41+$Z42</f>
        <v/>
      </c>
      <c r="I42" s="16">
        <f>I41+$Z42</f>
        <v/>
      </c>
      <c r="J42" s="16">
        <f>J41+$Z42</f>
        <v/>
      </c>
      <c r="K42" s="16">
        <f>K41+$Z42</f>
        <v/>
      </c>
      <c r="L42" s="16">
        <f>L41+$Z42</f>
        <v/>
      </c>
      <c r="M42" s="16">
        <f>M41+$Z42</f>
        <v/>
      </c>
      <c r="N42" s="16">
        <f>N41+$Z42</f>
        <v/>
      </c>
      <c r="O42" s="16">
        <f>O41+$Z42</f>
        <v/>
      </c>
      <c r="P42" s="16">
        <f>P41+$Z42</f>
        <v/>
      </c>
      <c r="Q42" s="16">
        <f>Q41+$Z42</f>
        <v/>
      </c>
      <c r="R42" s="16">
        <f>R41+$Z42</f>
        <v/>
      </c>
      <c r="S42" s="16">
        <f>S41+$Z42</f>
        <v/>
      </c>
      <c r="T42" s="16">
        <f>T41+$Z42</f>
        <v/>
      </c>
      <c r="U42" s="16">
        <f>U41+$Z42</f>
        <v/>
      </c>
      <c r="V42" s="16">
        <f>V41+$Z42</f>
        <v/>
      </c>
      <c r="W42" s="16">
        <f>W41+$Z42</f>
        <v/>
      </c>
      <c r="X42" s="16">
        <f>X41+$Z42</f>
        <v/>
      </c>
      <c r="Y42" s="16">
        <f>Y41+$Z42</f>
        <v/>
      </c>
      <c r="Z42" s="26" t="n">
        <v>0.01</v>
      </c>
    </row>
    <row r="43">
      <c r="A43" s="60" t="inlineStr">
        <is>
          <t>1 7</t>
        </is>
      </c>
      <c r="B43" s="16">
        <f>B42+$Z43</f>
        <v/>
      </c>
      <c r="C43" s="16">
        <f>C42+$Z43</f>
        <v/>
      </c>
      <c r="D43" s="16">
        <f>D42+$Z43</f>
        <v/>
      </c>
      <c r="E43" s="16">
        <f>E42+$Z43</f>
        <v/>
      </c>
      <c r="F43" s="16">
        <f>F42+$Z43</f>
        <v/>
      </c>
      <c r="G43" s="16">
        <f>G42+$Z43</f>
        <v/>
      </c>
      <c r="H43" s="16">
        <f>H42+$Z43</f>
        <v/>
      </c>
      <c r="I43" s="16">
        <f>I42+$Z43</f>
        <v/>
      </c>
      <c r="J43" s="16">
        <f>J42+$Z43</f>
        <v/>
      </c>
      <c r="K43" s="16">
        <f>K42+$Z43</f>
        <v/>
      </c>
      <c r="L43" s="16">
        <f>L42+$Z43</f>
        <v/>
      </c>
      <c r="M43" s="16">
        <f>M42+$Z43</f>
        <v/>
      </c>
      <c r="N43" s="16">
        <f>N42+$Z43</f>
        <v/>
      </c>
      <c r="O43" s="16">
        <f>O42+$Z43</f>
        <v/>
      </c>
      <c r="P43" s="16">
        <f>P42+$Z43</f>
        <v/>
      </c>
      <c r="Q43" s="16">
        <f>Q42+$Z43</f>
        <v/>
      </c>
      <c r="R43" s="16">
        <f>R42+$Z43</f>
        <v/>
      </c>
      <c r="S43" s="16">
        <f>S42+$Z43</f>
        <v/>
      </c>
      <c r="T43" s="16">
        <f>T42+$Z43</f>
        <v/>
      </c>
      <c r="U43" s="16">
        <f>U42+$Z43</f>
        <v/>
      </c>
      <c r="V43" s="16">
        <f>V42+$Z43</f>
        <v/>
      </c>
      <c r="W43" s="16">
        <f>W42+$Z43</f>
        <v/>
      </c>
      <c r="X43" s="16">
        <f>X42+$Z43</f>
        <v/>
      </c>
      <c r="Y43" s="16">
        <f>Y42+$Z43</f>
        <v/>
      </c>
      <c r="Z43" s="26" t="n">
        <v>0.02</v>
      </c>
    </row>
    <row r="44">
      <c r="A44" s="60" t="inlineStr">
        <is>
          <t>1 8</t>
        </is>
      </c>
      <c r="B44" s="16">
        <f>B43+$Z44</f>
        <v/>
      </c>
      <c r="C44" s="16">
        <f>C43+$Z44</f>
        <v/>
      </c>
      <c r="D44" s="16">
        <f>D43+$Z44</f>
        <v/>
      </c>
      <c r="E44" s="16">
        <f>E43+$Z44</f>
        <v/>
      </c>
      <c r="F44" s="16">
        <f>F43+$Z44</f>
        <v/>
      </c>
      <c r="G44" s="16">
        <f>G43+$Z44</f>
        <v/>
      </c>
      <c r="H44" s="16">
        <f>H43+$Z44</f>
        <v/>
      </c>
      <c r="I44" s="16">
        <f>I43+$Z44</f>
        <v/>
      </c>
      <c r="J44" s="16">
        <f>J43+$Z44</f>
        <v/>
      </c>
      <c r="K44" s="16">
        <f>K43+$Z44</f>
        <v/>
      </c>
      <c r="L44" s="16">
        <f>L43+$Z44</f>
        <v/>
      </c>
      <c r="M44" s="16">
        <f>M43+$Z44</f>
        <v/>
      </c>
      <c r="N44" s="16">
        <f>N43+$Z44</f>
        <v/>
      </c>
      <c r="O44" s="16">
        <f>O43+$Z44</f>
        <v/>
      </c>
      <c r="P44" s="16">
        <f>P43+$Z44</f>
        <v/>
      </c>
      <c r="Q44" s="16">
        <f>Q43+$Z44</f>
        <v/>
      </c>
      <c r="R44" s="16">
        <f>R43+$Z44</f>
        <v/>
      </c>
      <c r="S44" s="16">
        <f>S43+$Z44</f>
        <v/>
      </c>
      <c r="T44" s="16">
        <f>T43+$Z44</f>
        <v/>
      </c>
      <c r="U44" s="16">
        <f>U43+$Z44</f>
        <v/>
      </c>
      <c r="V44" s="16">
        <f>V43+$Z44</f>
        <v/>
      </c>
      <c r="W44" s="16">
        <f>W43+$Z44</f>
        <v/>
      </c>
      <c r="X44" s="16">
        <f>X43+$Z44</f>
        <v/>
      </c>
      <c r="Y44" s="16">
        <f>Y43+$Z44</f>
        <v/>
      </c>
      <c r="Z44" s="26" t="n">
        <v>0.01</v>
      </c>
    </row>
    <row r="45">
      <c r="A45" s="60" t="inlineStr">
        <is>
          <t>1 9</t>
        </is>
      </c>
      <c r="B45" s="16">
        <f>B44+$Z45</f>
        <v/>
      </c>
      <c r="C45" s="16">
        <f>C44+$Z45</f>
        <v/>
      </c>
      <c r="D45" s="16">
        <f>D44+$Z45</f>
        <v/>
      </c>
      <c r="E45" s="16">
        <f>E44+$Z45</f>
        <v/>
      </c>
      <c r="F45" s="16">
        <f>F44+$Z45</f>
        <v/>
      </c>
      <c r="G45" s="16">
        <f>G44+$Z45</f>
        <v/>
      </c>
      <c r="H45" s="16">
        <f>H44+$Z45</f>
        <v/>
      </c>
      <c r="I45" s="16">
        <f>I44+$Z45</f>
        <v/>
      </c>
      <c r="J45" s="16">
        <f>J44+$Z45</f>
        <v/>
      </c>
      <c r="K45" s="16">
        <f>K44+$Z45</f>
        <v/>
      </c>
      <c r="L45" s="16">
        <f>L44+$Z45</f>
        <v/>
      </c>
      <c r="M45" s="16">
        <f>M44+$Z45</f>
        <v/>
      </c>
      <c r="N45" s="16">
        <f>N44+$Z45</f>
        <v/>
      </c>
      <c r="O45" s="16">
        <f>O44+$Z45</f>
        <v/>
      </c>
      <c r="P45" s="16">
        <f>P44+$Z45</f>
        <v/>
      </c>
      <c r="Q45" s="16">
        <f>Q44+$Z45</f>
        <v/>
      </c>
      <c r="R45" s="16">
        <f>R44+$Z45</f>
        <v/>
      </c>
      <c r="S45" s="16">
        <f>S44+$Z45</f>
        <v/>
      </c>
      <c r="T45" s="16">
        <f>T44+$Z45</f>
        <v/>
      </c>
      <c r="U45" s="16">
        <f>U44+$Z45</f>
        <v/>
      </c>
      <c r="V45" s="16">
        <f>V44+$Z45</f>
        <v/>
      </c>
      <c r="W45" s="16">
        <f>W44+$Z45</f>
        <v/>
      </c>
      <c r="X45" s="16">
        <f>X44+$Z45</f>
        <v/>
      </c>
      <c r="Y45" s="16">
        <f>Y44+$Z45</f>
        <v/>
      </c>
      <c r="Z45" s="26" t="n">
        <v>0</v>
      </c>
    </row>
    <row r="46">
      <c r="A46" s="60" t="inlineStr">
        <is>
          <t>1 10</t>
        </is>
      </c>
      <c r="B46" s="16">
        <f>B45+$Z46</f>
        <v/>
      </c>
      <c r="C46" s="16">
        <f>C45+$Z46</f>
        <v/>
      </c>
      <c r="D46" s="16">
        <f>D45+$Z46</f>
        <v/>
      </c>
      <c r="E46" s="16">
        <f>E45+$Z46</f>
        <v/>
      </c>
      <c r="F46" s="16">
        <f>F45+$Z46</f>
        <v/>
      </c>
      <c r="G46" s="16">
        <f>G45+$Z46</f>
        <v/>
      </c>
      <c r="H46" s="16">
        <f>H45+$Z46</f>
        <v/>
      </c>
      <c r="I46" s="16">
        <f>I45+$Z46</f>
        <v/>
      </c>
      <c r="J46" s="16">
        <f>J45+$Z46</f>
        <v/>
      </c>
      <c r="K46" s="16">
        <f>K45+$Z46</f>
        <v/>
      </c>
      <c r="L46" s="16">
        <f>L45+$Z46</f>
        <v/>
      </c>
      <c r="M46" s="16">
        <f>M45+$Z46</f>
        <v/>
      </c>
      <c r="N46" s="16">
        <f>N45+$Z46</f>
        <v/>
      </c>
      <c r="O46" s="16">
        <f>O45+$Z46</f>
        <v/>
      </c>
      <c r="P46" s="16">
        <f>P45+$Z46</f>
        <v/>
      </c>
      <c r="Q46" s="16">
        <f>Q45+$Z46</f>
        <v/>
      </c>
      <c r="R46" s="16">
        <f>R45+$Z46</f>
        <v/>
      </c>
      <c r="S46" s="16">
        <f>S45+$Z46</f>
        <v/>
      </c>
      <c r="T46" s="16">
        <f>T45+$Z46</f>
        <v/>
      </c>
      <c r="U46" s="16">
        <f>U45+$Z46</f>
        <v/>
      </c>
      <c r="V46" s="16">
        <f>V45+$Z46</f>
        <v/>
      </c>
      <c r="W46" s="16">
        <f>W45+$Z46</f>
        <v/>
      </c>
      <c r="X46" s="16">
        <f>X45+$Z46</f>
        <v/>
      </c>
      <c r="Y46" s="16">
        <f>Y45+$Z46</f>
        <v/>
      </c>
      <c r="Z46" s="26" t="n">
        <v>-0.01</v>
      </c>
    </row>
    <row r="47">
      <c r="A47" s="60" t="inlineStr">
        <is>
          <t>1 11</t>
        </is>
      </c>
      <c r="B47" s="16">
        <f>B46+$Z47</f>
        <v/>
      </c>
      <c r="C47" s="16">
        <f>C46+$Z47</f>
        <v/>
      </c>
      <c r="D47" s="16">
        <f>D46+$Z47</f>
        <v/>
      </c>
      <c r="E47" s="16">
        <f>E46+$Z47</f>
        <v/>
      </c>
      <c r="F47" s="16">
        <f>F46+$Z47</f>
        <v/>
      </c>
      <c r="G47" s="16">
        <f>G46+$Z47</f>
        <v/>
      </c>
      <c r="H47" s="16">
        <f>H46+$Z47</f>
        <v/>
      </c>
      <c r="I47" s="16">
        <f>I46+$Z47</f>
        <v/>
      </c>
      <c r="J47" s="16">
        <f>J46+$Z47</f>
        <v/>
      </c>
      <c r="K47" s="16">
        <f>K46+$Z47</f>
        <v/>
      </c>
      <c r="L47" s="16">
        <f>L46+$Z47</f>
        <v/>
      </c>
      <c r="M47" s="16">
        <f>M46+$Z47</f>
        <v/>
      </c>
      <c r="N47" s="16">
        <f>N46+$Z47</f>
        <v/>
      </c>
      <c r="O47" s="16">
        <f>O46+$Z47</f>
        <v/>
      </c>
      <c r="P47" s="16">
        <f>P46+$Z47</f>
        <v/>
      </c>
      <c r="Q47" s="16">
        <f>Q46+$Z47</f>
        <v/>
      </c>
      <c r="R47" s="16">
        <f>R46+$Z47</f>
        <v/>
      </c>
      <c r="S47" s="16">
        <f>S46+$Z47</f>
        <v/>
      </c>
      <c r="T47" s="16">
        <f>T46+$Z47</f>
        <v/>
      </c>
      <c r="U47" s="16">
        <f>U46+$Z47</f>
        <v/>
      </c>
      <c r="V47" s="16">
        <f>V46+$Z47</f>
        <v/>
      </c>
      <c r="W47" s="16">
        <f>W46+$Z47</f>
        <v/>
      </c>
      <c r="X47" s="16">
        <f>X46+$Z47</f>
        <v/>
      </c>
      <c r="Y47" s="16">
        <f>Y46+$Z47</f>
        <v/>
      </c>
      <c r="Z47" s="26" t="n">
        <v>0</v>
      </c>
    </row>
    <row r="48">
      <c r="A48" s="60" t="inlineStr">
        <is>
          <t>1 12</t>
        </is>
      </c>
      <c r="B48" s="16">
        <f>B47+$Z48</f>
        <v/>
      </c>
      <c r="C48" s="16">
        <f>C47+$Z48</f>
        <v/>
      </c>
      <c r="D48" s="16">
        <f>D47+$Z48</f>
        <v/>
      </c>
      <c r="E48" s="16">
        <f>E47+$Z48</f>
        <v/>
      </c>
      <c r="F48" s="16">
        <f>F47+$Z48</f>
        <v/>
      </c>
      <c r="G48" s="16">
        <f>G47+$Z48</f>
        <v/>
      </c>
      <c r="H48" s="16">
        <f>H47+$Z48</f>
        <v/>
      </c>
      <c r="I48" s="16">
        <f>I47+$Z48</f>
        <v/>
      </c>
      <c r="J48" s="16">
        <f>J47+$Z48</f>
        <v/>
      </c>
      <c r="K48" s="16">
        <f>K47+$Z48</f>
        <v/>
      </c>
      <c r="L48" s="16">
        <f>L47+$Z48</f>
        <v/>
      </c>
      <c r="M48" s="16">
        <f>M47+$Z48</f>
        <v/>
      </c>
      <c r="N48" s="16">
        <f>N47+$Z48</f>
        <v/>
      </c>
      <c r="O48" s="16">
        <f>O47+$Z48</f>
        <v/>
      </c>
      <c r="P48" s="16">
        <f>P47+$Z48</f>
        <v/>
      </c>
      <c r="Q48" s="16">
        <f>Q47+$Z48</f>
        <v/>
      </c>
      <c r="R48" s="16">
        <f>R47+$Z48</f>
        <v/>
      </c>
      <c r="S48" s="16">
        <f>S47+$Z48</f>
        <v/>
      </c>
      <c r="T48" s="16">
        <f>T47+$Z48</f>
        <v/>
      </c>
      <c r="U48" s="16">
        <f>U47+$Z48</f>
        <v/>
      </c>
      <c r="V48" s="16">
        <f>V47+$Z48</f>
        <v/>
      </c>
      <c r="W48" s="16">
        <f>W47+$Z48</f>
        <v/>
      </c>
      <c r="X48" s="16">
        <f>X47+$Z48</f>
        <v/>
      </c>
      <c r="Y48" s="16">
        <f>Y47+$Z48</f>
        <v/>
      </c>
      <c r="Z48" s="26" t="n">
        <v>-0.01</v>
      </c>
    </row>
    <row r="49">
      <c r="A49" s="60" t="inlineStr">
        <is>
          <t>2 1</t>
        </is>
      </c>
      <c r="B49" s="27">
        <f>B37+$AB$37</f>
        <v/>
      </c>
      <c r="C49" s="27">
        <f>C37+$AB$37</f>
        <v/>
      </c>
      <c r="D49" s="27">
        <f>D37+$AB$37</f>
        <v/>
      </c>
      <c r="E49" s="27">
        <f>E37+$AB$37</f>
        <v/>
      </c>
      <c r="F49" s="27">
        <f>F37+$AB$37</f>
        <v/>
      </c>
      <c r="G49" s="27">
        <f>G37+$AB$37</f>
        <v/>
      </c>
      <c r="H49" s="27">
        <f>H37+$AB$37</f>
        <v/>
      </c>
      <c r="I49" s="27">
        <f>I37+$AB$37</f>
        <v/>
      </c>
      <c r="J49" s="27">
        <f>J37+$AB$37</f>
        <v/>
      </c>
      <c r="K49" s="27">
        <f>K37+$AB$37</f>
        <v/>
      </c>
      <c r="L49" s="27">
        <f>L37+$AB$37</f>
        <v/>
      </c>
      <c r="M49" s="27">
        <f>M37+$AB$37</f>
        <v/>
      </c>
      <c r="N49" s="27">
        <f>N37+$AB$37</f>
        <v/>
      </c>
      <c r="O49" s="27">
        <f>O37+$AB$37</f>
        <v/>
      </c>
      <c r="P49" s="27">
        <f>P37+$AB$37</f>
        <v/>
      </c>
      <c r="Q49" s="27">
        <f>Q37+$AB$37</f>
        <v/>
      </c>
      <c r="R49" s="27">
        <f>R37+$AB$37</f>
        <v/>
      </c>
      <c r="S49" s="27">
        <f>S37+$AB$37</f>
        <v/>
      </c>
      <c r="T49" s="27">
        <f>T37+$AB$37</f>
        <v/>
      </c>
      <c r="U49" s="27">
        <f>U37+$AB$37</f>
        <v/>
      </c>
      <c r="V49" s="27">
        <f>V37+$AB$37</f>
        <v/>
      </c>
      <c r="W49" s="27">
        <f>W37+$AB$37</f>
        <v/>
      </c>
      <c r="X49" s="27">
        <f>X37+$AB$37</f>
        <v/>
      </c>
      <c r="Y49" s="27">
        <f>Y37+$AB$37</f>
        <v/>
      </c>
      <c r="Z49" s="56" t="n"/>
    </row>
    <row r="50">
      <c r="A50" s="60" t="inlineStr">
        <is>
          <t>2 2</t>
        </is>
      </c>
      <c r="B50" s="27">
        <f>B38+$AB$37</f>
        <v/>
      </c>
      <c r="C50" s="27">
        <f>C38+$AB$37</f>
        <v/>
      </c>
      <c r="D50" s="27">
        <f>D38+$AB$37</f>
        <v/>
      </c>
      <c r="E50" s="27">
        <f>E38+$AB$37</f>
        <v/>
      </c>
      <c r="F50" s="27">
        <f>F38+$AB$37</f>
        <v/>
      </c>
      <c r="G50" s="27">
        <f>G38+$AB$37</f>
        <v/>
      </c>
      <c r="H50" s="27">
        <f>H38+$AB$37</f>
        <v/>
      </c>
      <c r="I50" s="27">
        <f>I38+$AB$37</f>
        <v/>
      </c>
      <c r="J50" s="27">
        <f>J38+$AB$37</f>
        <v/>
      </c>
      <c r="K50" s="27">
        <f>K38+$AB$37</f>
        <v/>
      </c>
      <c r="L50" s="27">
        <f>L38+$AB$37</f>
        <v/>
      </c>
      <c r="M50" s="27">
        <f>M38+$AB$37</f>
        <v/>
      </c>
      <c r="N50" s="27">
        <f>N38+$AB$37</f>
        <v/>
      </c>
      <c r="O50" s="27">
        <f>O38+$AB$37</f>
        <v/>
      </c>
      <c r="P50" s="27">
        <f>P38+$AB$37</f>
        <v/>
      </c>
      <c r="Q50" s="27">
        <f>Q38+$AB$37</f>
        <v/>
      </c>
      <c r="R50" s="27">
        <f>R38+$AB$37</f>
        <v/>
      </c>
      <c r="S50" s="27">
        <f>S38+$AB$37</f>
        <v/>
      </c>
      <c r="T50" s="27">
        <f>T38+$AB$37</f>
        <v/>
      </c>
      <c r="U50" s="27">
        <f>U38+$AB$37</f>
        <v/>
      </c>
      <c r="V50" s="27">
        <f>V38+$AB$37</f>
        <v/>
      </c>
      <c r="W50" s="27">
        <f>W38+$AB$37</f>
        <v/>
      </c>
      <c r="X50" s="27">
        <f>X38+$AB$37</f>
        <v/>
      </c>
      <c r="Y50" s="27">
        <f>Y38+$AB$37</f>
        <v/>
      </c>
      <c r="Z50" s="56" t="n"/>
    </row>
    <row r="51">
      <c r="A51" s="60" t="inlineStr">
        <is>
          <t>2 3</t>
        </is>
      </c>
      <c r="B51" s="27">
        <f>B39+$AB$37</f>
        <v/>
      </c>
      <c r="C51" s="27">
        <f>C39+$AB$37</f>
        <v/>
      </c>
      <c r="D51" s="27">
        <f>D39+$AB$37</f>
        <v/>
      </c>
      <c r="E51" s="27">
        <f>E39+$AB$37</f>
        <v/>
      </c>
      <c r="F51" s="27">
        <f>F39+$AB$37</f>
        <v/>
      </c>
      <c r="G51" s="27">
        <f>G39+$AB$37</f>
        <v/>
      </c>
      <c r="H51" s="27">
        <f>H39+$AB$37</f>
        <v/>
      </c>
      <c r="I51" s="27">
        <f>I39+$AB$37</f>
        <v/>
      </c>
      <c r="J51" s="27">
        <f>J39+$AB$37</f>
        <v/>
      </c>
      <c r="K51" s="27">
        <f>K39+$AB$37</f>
        <v/>
      </c>
      <c r="L51" s="27">
        <f>L39+$AB$37</f>
        <v/>
      </c>
      <c r="M51" s="27">
        <f>M39+$AB$37</f>
        <v/>
      </c>
      <c r="N51" s="27">
        <f>N39+$AB$37</f>
        <v/>
      </c>
      <c r="O51" s="27">
        <f>O39+$AB$37</f>
        <v/>
      </c>
      <c r="P51" s="27">
        <f>P39+$AB$37</f>
        <v/>
      </c>
      <c r="Q51" s="27">
        <f>Q39+$AB$37</f>
        <v/>
      </c>
      <c r="R51" s="27">
        <f>R39+$AB$37</f>
        <v/>
      </c>
      <c r="S51" s="27">
        <f>S39+$AB$37</f>
        <v/>
      </c>
      <c r="T51" s="27">
        <f>T39+$AB$37</f>
        <v/>
      </c>
      <c r="U51" s="27">
        <f>U39+$AB$37</f>
        <v/>
      </c>
      <c r="V51" s="27">
        <f>V39+$AB$37</f>
        <v/>
      </c>
      <c r="W51" s="27">
        <f>W39+$AB$37</f>
        <v/>
      </c>
      <c r="X51" s="27">
        <f>X39+$AB$37</f>
        <v/>
      </c>
      <c r="Y51" s="27">
        <f>Y39+$AB$37</f>
        <v/>
      </c>
      <c r="Z51" s="56" t="n"/>
    </row>
    <row r="52">
      <c r="A52" s="60" t="inlineStr">
        <is>
          <t>2 4</t>
        </is>
      </c>
      <c r="B52" s="27">
        <f>B40+$AB$37</f>
        <v/>
      </c>
      <c r="C52" s="27">
        <f>C40+$AB$37</f>
        <v/>
      </c>
      <c r="D52" s="27">
        <f>D40+$AB$37</f>
        <v/>
      </c>
      <c r="E52" s="27">
        <f>E40+$AB$37</f>
        <v/>
      </c>
      <c r="F52" s="27">
        <f>F40+$AB$37</f>
        <v/>
      </c>
      <c r="G52" s="27">
        <f>G40+$AB$37</f>
        <v/>
      </c>
      <c r="H52" s="27">
        <f>H40+$AB$37</f>
        <v/>
      </c>
      <c r="I52" s="27">
        <f>I40+$AB$37</f>
        <v/>
      </c>
      <c r="J52" s="27">
        <f>J40+$AB$37</f>
        <v/>
      </c>
      <c r="K52" s="27">
        <f>K40+$AB$37</f>
        <v/>
      </c>
      <c r="L52" s="27">
        <f>L40+$AB$37</f>
        <v/>
      </c>
      <c r="M52" s="27">
        <f>M40+$AB$37</f>
        <v/>
      </c>
      <c r="N52" s="27">
        <f>N40+$AB$37</f>
        <v/>
      </c>
      <c r="O52" s="27">
        <f>O40+$AB$37</f>
        <v/>
      </c>
      <c r="P52" s="27">
        <f>P40+$AB$37</f>
        <v/>
      </c>
      <c r="Q52" s="27">
        <f>Q40+$AB$37</f>
        <v/>
      </c>
      <c r="R52" s="27">
        <f>R40+$AB$37</f>
        <v/>
      </c>
      <c r="S52" s="27">
        <f>S40+$AB$37</f>
        <v/>
      </c>
      <c r="T52" s="27">
        <f>T40+$AB$37</f>
        <v/>
      </c>
      <c r="U52" s="27">
        <f>U40+$AB$37</f>
        <v/>
      </c>
      <c r="V52" s="27">
        <f>V40+$AB$37</f>
        <v/>
      </c>
      <c r="W52" s="27">
        <f>W40+$AB$37</f>
        <v/>
      </c>
      <c r="X52" s="27">
        <f>X40+$AB$37</f>
        <v/>
      </c>
      <c r="Y52" s="27">
        <f>Y40+$AB$37</f>
        <v/>
      </c>
      <c r="Z52" s="56" t="n"/>
    </row>
    <row r="53">
      <c r="A53" s="60" t="inlineStr">
        <is>
          <t>2 5</t>
        </is>
      </c>
      <c r="B53" s="27">
        <f>B41+$AB$37</f>
        <v/>
      </c>
      <c r="C53" s="27">
        <f>C41+$AB$37</f>
        <v/>
      </c>
      <c r="D53" s="27">
        <f>D41+$AB$37</f>
        <v/>
      </c>
      <c r="E53" s="27">
        <f>E41+$AB$37</f>
        <v/>
      </c>
      <c r="F53" s="27">
        <f>F41+$AB$37</f>
        <v/>
      </c>
      <c r="G53" s="27">
        <f>G41+$AB$37</f>
        <v/>
      </c>
      <c r="H53" s="27">
        <f>H41+$AB$37</f>
        <v/>
      </c>
      <c r="I53" s="27">
        <f>I41+$AB$37</f>
        <v/>
      </c>
      <c r="J53" s="27">
        <f>J41+$AB$37</f>
        <v/>
      </c>
      <c r="K53" s="27">
        <f>K41+$AB$37</f>
        <v/>
      </c>
      <c r="L53" s="27">
        <f>L41+$AB$37</f>
        <v/>
      </c>
      <c r="M53" s="27">
        <f>M41+$AB$37</f>
        <v/>
      </c>
      <c r="N53" s="27">
        <f>N41+$AB$37</f>
        <v/>
      </c>
      <c r="O53" s="27">
        <f>O41+$AB$37</f>
        <v/>
      </c>
      <c r="P53" s="27">
        <f>P41+$AB$37</f>
        <v/>
      </c>
      <c r="Q53" s="27">
        <f>Q41+$AB$37</f>
        <v/>
      </c>
      <c r="R53" s="27">
        <f>R41+$AB$37</f>
        <v/>
      </c>
      <c r="S53" s="27">
        <f>S41+$AB$37</f>
        <v/>
      </c>
      <c r="T53" s="27">
        <f>T41+$AB$37</f>
        <v/>
      </c>
      <c r="U53" s="27">
        <f>U41+$AB$37</f>
        <v/>
      </c>
      <c r="V53" s="27">
        <f>V41+$AB$37</f>
        <v/>
      </c>
      <c r="W53" s="27">
        <f>W41+$AB$37</f>
        <v/>
      </c>
      <c r="X53" s="27">
        <f>X41+$AB$37</f>
        <v/>
      </c>
      <c r="Y53" s="27">
        <f>Y41+$AB$37</f>
        <v/>
      </c>
      <c r="Z53" s="56" t="n"/>
    </row>
    <row r="54">
      <c r="A54" s="60" t="inlineStr">
        <is>
          <t>2 6</t>
        </is>
      </c>
      <c r="B54" s="27">
        <f>B42+$AB$37</f>
        <v/>
      </c>
      <c r="C54" s="27">
        <f>C42+$AB$37</f>
        <v/>
      </c>
      <c r="D54" s="27">
        <f>D42+$AB$37</f>
        <v/>
      </c>
      <c r="E54" s="27">
        <f>E42+$AB$37</f>
        <v/>
      </c>
      <c r="F54" s="27">
        <f>F42+$AB$37</f>
        <v/>
      </c>
      <c r="G54" s="27">
        <f>G42+$AB$37</f>
        <v/>
      </c>
      <c r="H54" s="27">
        <f>H42+$AB$37</f>
        <v/>
      </c>
      <c r="I54" s="27">
        <f>I42+$AB$37</f>
        <v/>
      </c>
      <c r="J54" s="27">
        <f>J42+$AB$37</f>
        <v/>
      </c>
      <c r="K54" s="27">
        <f>K42+$AB$37</f>
        <v/>
      </c>
      <c r="L54" s="27">
        <f>L42+$AB$37</f>
        <v/>
      </c>
      <c r="M54" s="27">
        <f>M42+$AB$37</f>
        <v/>
      </c>
      <c r="N54" s="27">
        <f>N42+$AB$37</f>
        <v/>
      </c>
      <c r="O54" s="27">
        <f>O42+$AB$37</f>
        <v/>
      </c>
      <c r="P54" s="27">
        <f>P42+$AB$37</f>
        <v/>
      </c>
      <c r="Q54" s="27">
        <f>Q42+$AB$37</f>
        <v/>
      </c>
      <c r="R54" s="27">
        <f>R42+$AB$37</f>
        <v/>
      </c>
      <c r="S54" s="27">
        <f>S42+$AB$37</f>
        <v/>
      </c>
      <c r="T54" s="27">
        <f>T42+$AB$37</f>
        <v/>
      </c>
      <c r="U54" s="27">
        <f>U42+$AB$37</f>
        <v/>
      </c>
      <c r="V54" s="27">
        <f>V42+$AB$37</f>
        <v/>
      </c>
      <c r="W54" s="27">
        <f>W42+$AB$37</f>
        <v/>
      </c>
      <c r="X54" s="27">
        <f>X42+$AB$37</f>
        <v/>
      </c>
      <c r="Y54" s="27">
        <f>Y42+$AB$37</f>
        <v/>
      </c>
      <c r="Z54" s="56" t="n"/>
    </row>
    <row r="55">
      <c r="A55" s="60" t="inlineStr">
        <is>
          <t>2 7</t>
        </is>
      </c>
      <c r="B55" s="27">
        <f>B43+$AB$37</f>
        <v/>
      </c>
      <c r="C55" s="27">
        <f>C43+$AB$37</f>
        <v/>
      </c>
      <c r="D55" s="27">
        <f>D43+$AB$37</f>
        <v/>
      </c>
      <c r="E55" s="27">
        <f>E43+$AB$37</f>
        <v/>
      </c>
      <c r="F55" s="27">
        <f>F43+$AB$37</f>
        <v/>
      </c>
      <c r="G55" s="27">
        <f>G43+$AB$37</f>
        <v/>
      </c>
      <c r="H55" s="27">
        <f>H43+$AB$37</f>
        <v/>
      </c>
      <c r="I55" s="27">
        <f>I43+$AB$37</f>
        <v/>
      </c>
      <c r="J55" s="27">
        <f>J43+$AB$37</f>
        <v/>
      </c>
      <c r="K55" s="27">
        <f>K43+$AB$37</f>
        <v/>
      </c>
      <c r="L55" s="27">
        <f>L43+$AB$37</f>
        <v/>
      </c>
      <c r="M55" s="27">
        <f>M43+$AB$37</f>
        <v/>
      </c>
      <c r="N55" s="27">
        <f>N43+$AB$37</f>
        <v/>
      </c>
      <c r="O55" s="27">
        <f>O43+$AB$37</f>
        <v/>
      </c>
      <c r="P55" s="27">
        <f>P43+$AB$37</f>
        <v/>
      </c>
      <c r="Q55" s="27">
        <f>Q43+$AB$37</f>
        <v/>
      </c>
      <c r="R55" s="27">
        <f>R43+$AB$37</f>
        <v/>
      </c>
      <c r="S55" s="27">
        <f>S43+$AB$37</f>
        <v/>
      </c>
      <c r="T55" s="27">
        <f>T43+$AB$37</f>
        <v/>
      </c>
      <c r="U55" s="27">
        <f>U43+$AB$37</f>
        <v/>
      </c>
      <c r="V55" s="27">
        <f>V43+$AB$37</f>
        <v/>
      </c>
      <c r="W55" s="27">
        <f>W43+$AB$37</f>
        <v/>
      </c>
      <c r="X55" s="27">
        <f>X43+$AB$37</f>
        <v/>
      </c>
      <c r="Y55" s="27">
        <f>Y43+$AB$37</f>
        <v/>
      </c>
      <c r="Z55" s="56" t="n"/>
    </row>
    <row r="56">
      <c r="A56" s="60" t="inlineStr">
        <is>
          <t>2 8</t>
        </is>
      </c>
      <c r="B56" s="27">
        <f>B44+$AB$37</f>
        <v/>
      </c>
      <c r="C56" s="27">
        <f>C44+$AB$37</f>
        <v/>
      </c>
      <c r="D56" s="27">
        <f>D44+$AB$37</f>
        <v/>
      </c>
      <c r="E56" s="27">
        <f>E44+$AB$37</f>
        <v/>
      </c>
      <c r="F56" s="27">
        <f>F44+$AB$37</f>
        <v/>
      </c>
      <c r="G56" s="27">
        <f>G44+$AB$37</f>
        <v/>
      </c>
      <c r="H56" s="27">
        <f>H44+$AB$37</f>
        <v/>
      </c>
      <c r="I56" s="27">
        <f>I44+$AB$37</f>
        <v/>
      </c>
      <c r="J56" s="27">
        <f>J44+$AB$37</f>
        <v/>
      </c>
      <c r="K56" s="27">
        <f>K44+$AB$37</f>
        <v/>
      </c>
      <c r="L56" s="27">
        <f>L44+$AB$37</f>
        <v/>
      </c>
      <c r="M56" s="27">
        <f>M44+$AB$37</f>
        <v/>
      </c>
      <c r="N56" s="27">
        <f>N44+$AB$37</f>
        <v/>
      </c>
      <c r="O56" s="27">
        <f>O44+$AB$37</f>
        <v/>
      </c>
      <c r="P56" s="27">
        <f>P44+$AB$37</f>
        <v/>
      </c>
      <c r="Q56" s="27">
        <f>Q44+$AB$37</f>
        <v/>
      </c>
      <c r="R56" s="27">
        <f>R44+$AB$37</f>
        <v/>
      </c>
      <c r="S56" s="27">
        <f>S44+$AB$37</f>
        <v/>
      </c>
      <c r="T56" s="27">
        <f>T44+$AB$37</f>
        <v/>
      </c>
      <c r="U56" s="27">
        <f>U44+$AB$37</f>
        <v/>
      </c>
      <c r="V56" s="27">
        <f>V44+$AB$37</f>
        <v/>
      </c>
      <c r="W56" s="27">
        <f>W44+$AB$37</f>
        <v/>
      </c>
      <c r="X56" s="27">
        <f>X44+$AB$37</f>
        <v/>
      </c>
      <c r="Y56" s="27">
        <f>Y44+$AB$37</f>
        <v/>
      </c>
      <c r="Z56" s="56" t="n"/>
    </row>
    <row r="57">
      <c r="A57" s="60" t="inlineStr">
        <is>
          <t>2 9</t>
        </is>
      </c>
      <c r="B57" s="27">
        <f>B45+$AB$37</f>
        <v/>
      </c>
      <c r="C57" s="27">
        <f>C45+$AB$37</f>
        <v/>
      </c>
      <c r="D57" s="27">
        <f>D45+$AB$37</f>
        <v/>
      </c>
      <c r="E57" s="27">
        <f>E45+$AB$37</f>
        <v/>
      </c>
      <c r="F57" s="27">
        <f>F45+$AB$37</f>
        <v/>
      </c>
      <c r="G57" s="27">
        <f>G45+$AB$37</f>
        <v/>
      </c>
      <c r="H57" s="27">
        <f>H45+$AB$37</f>
        <v/>
      </c>
      <c r="I57" s="27">
        <f>I45+$AB$37</f>
        <v/>
      </c>
      <c r="J57" s="27">
        <f>J45+$AB$37</f>
        <v/>
      </c>
      <c r="K57" s="27">
        <f>K45+$AB$37</f>
        <v/>
      </c>
      <c r="L57" s="27">
        <f>L45+$AB$37</f>
        <v/>
      </c>
      <c r="M57" s="27">
        <f>M45+$AB$37</f>
        <v/>
      </c>
      <c r="N57" s="27">
        <f>N45+$AB$37</f>
        <v/>
      </c>
      <c r="O57" s="27">
        <f>O45+$AB$37</f>
        <v/>
      </c>
      <c r="P57" s="27">
        <f>P45+$AB$37</f>
        <v/>
      </c>
      <c r="Q57" s="27">
        <f>Q45+$AB$37</f>
        <v/>
      </c>
      <c r="R57" s="27">
        <f>R45+$AB$37</f>
        <v/>
      </c>
      <c r="S57" s="27">
        <f>S45+$AB$37</f>
        <v/>
      </c>
      <c r="T57" s="27">
        <f>T45+$AB$37</f>
        <v/>
      </c>
      <c r="U57" s="27">
        <f>U45+$AB$37</f>
        <v/>
      </c>
      <c r="V57" s="27">
        <f>V45+$AB$37</f>
        <v/>
      </c>
      <c r="W57" s="27">
        <f>W45+$AB$37</f>
        <v/>
      </c>
      <c r="X57" s="27">
        <f>X45+$AB$37</f>
        <v/>
      </c>
      <c r="Y57" s="27">
        <f>Y45+$AB$37</f>
        <v/>
      </c>
      <c r="Z57" s="56" t="n"/>
    </row>
    <row r="58">
      <c r="A58" s="60" t="inlineStr">
        <is>
          <t>2 10</t>
        </is>
      </c>
      <c r="B58" s="27">
        <f>B46+$AB$37</f>
        <v/>
      </c>
      <c r="C58" s="27">
        <f>C46+$AB$37</f>
        <v/>
      </c>
      <c r="D58" s="27">
        <f>D46+$AB$37</f>
        <v/>
      </c>
      <c r="E58" s="27">
        <f>E46+$AB$37</f>
        <v/>
      </c>
      <c r="F58" s="27">
        <f>F46+$AB$37</f>
        <v/>
      </c>
      <c r="G58" s="27">
        <f>G46+$AB$37</f>
        <v/>
      </c>
      <c r="H58" s="27">
        <f>H46+$AB$37</f>
        <v/>
      </c>
      <c r="I58" s="27">
        <f>I46+$AB$37</f>
        <v/>
      </c>
      <c r="J58" s="27">
        <f>J46+$AB$37</f>
        <v/>
      </c>
      <c r="K58" s="27">
        <f>K46+$AB$37</f>
        <v/>
      </c>
      <c r="L58" s="27">
        <f>L46+$AB$37</f>
        <v/>
      </c>
      <c r="M58" s="27">
        <f>M46+$AB$37</f>
        <v/>
      </c>
      <c r="N58" s="27">
        <f>N46+$AB$37</f>
        <v/>
      </c>
      <c r="O58" s="27">
        <f>O46+$AB$37</f>
        <v/>
      </c>
      <c r="P58" s="27">
        <f>P46+$AB$37</f>
        <v/>
      </c>
      <c r="Q58" s="27">
        <f>Q46+$AB$37</f>
        <v/>
      </c>
      <c r="R58" s="27">
        <f>R46+$AB$37</f>
        <v/>
      </c>
      <c r="S58" s="27">
        <f>S46+$AB$37</f>
        <v/>
      </c>
      <c r="T58" s="27">
        <f>T46+$AB$37</f>
        <v/>
      </c>
      <c r="U58" s="27">
        <f>U46+$AB$37</f>
        <v/>
      </c>
      <c r="V58" s="27">
        <f>V46+$AB$37</f>
        <v/>
      </c>
      <c r="W58" s="27">
        <f>W46+$AB$37</f>
        <v/>
      </c>
      <c r="X58" s="27">
        <f>X46+$AB$37</f>
        <v/>
      </c>
      <c r="Y58" s="27">
        <f>Y46+$AB$37</f>
        <v/>
      </c>
      <c r="Z58" s="56" t="n"/>
    </row>
    <row r="59">
      <c r="A59" s="60" t="inlineStr">
        <is>
          <t>2 11</t>
        </is>
      </c>
      <c r="B59" s="27">
        <f>B47+$AB$37</f>
        <v/>
      </c>
      <c r="C59" s="27">
        <f>C47+$AB$37</f>
        <v/>
      </c>
      <c r="D59" s="27">
        <f>D47+$AB$37</f>
        <v/>
      </c>
      <c r="E59" s="27">
        <f>E47+$AB$37</f>
        <v/>
      </c>
      <c r="F59" s="27">
        <f>F47+$AB$37</f>
        <v/>
      </c>
      <c r="G59" s="27">
        <f>G47+$AB$37</f>
        <v/>
      </c>
      <c r="H59" s="27">
        <f>H47+$AB$37</f>
        <v/>
      </c>
      <c r="I59" s="27">
        <f>I47+$AB$37</f>
        <v/>
      </c>
      <c r="J59" s="27">
        <f>J47+$AB$37</f>
        <v/>
      </c>
      <c r="K59" s="27">
        <f>K47+$AB$37</f>
        <v/>
      </c>
      <c r="L59" s="27">
        <f>L47+$AB$37</f>
        <v/>
      </c>
      <c r="M59" s="27">
        <f>M47+$AB$37</f>
        <v/>
      </c>
      <c r="N59" s="27">
        <f>N47+$AB$37</f>
        <v/>
      </c>
      <c r="O59" s="27">
        <f>O47+$AB$37</f>
        <v/>
      </c>
      <c r="P59" s="27">
        <f>P47+$AB$37</f>
        <v/>
      </c>
      <c r="Q59" s="27">
        <f>Q47+$AB$37</f>
        <v/>
      </c>
      <c r="R59" s="27">
        <f>R47+$AB$37</f>
        <v/>
      </c>
      <c r="S59" s="27">
        <f>S47+$AB$37</f>
        <v/>
      </c>
      <c r="T59" s="27">
        <f>T47+$AB$37</f>
        <v/>
      </c>
      <c r="U59" s="27">
        <f>U47+$AB$37</f>
        <v/>
      </c>
      <c r="V59" s="27">
        <f>V47+$AB$37</f>
        <v/>
      </c>
      <c r="W59" s="27">
        <f>W47+$AB$37</f>
        <v/>
      </c>
      <c r="X59" s="27">
        <f>X47+$AB$37</f>
        <v/>
      </c>
      <c r="Y59" s="27">
        <f>Y47+$AB$37</f>
        <v/>
      </c>
      <c r="Z59" s="56" t="n"/>
    </row>
    <row r="60">
      <c r="A60" s="60" t="inlineStr">
        <is>
          <t>2 12</t>
        </is>
      </c>
      <c r="B60" s="27">
        <f>B48+$AB$37</f>
        <v/>
      </c>
      <c r="C60" s="27">
        <f>C48+$AB$37</f>
        <v/>
      </c>
      <c r="D60" s="27">
        <f>D48+$AB$37</f>
        <v/>
      </c>
      <c r="E60" s="27">
        <f>E48+$AB$37</f>
        <v/>
      </c>
      <c r="F60" s="27">
        <f>F48+$AB$37</f>
        <v/>
      </c>
      <c r="G60" s="27">
        <f>G48+$AB$37</f>
        <v/>
      </c>
      <c r="H60" s="27">
        <f>H48+$AB$37</f>
        <v/>
      </c>
      <c r="I60" s="27">
        <f>I48+$AB$37</f>
        <v/>
      </c>
      <c r="J60" s="27">
        <f>J48+$AB$37</f>
        <v/>
      </c>
      <c r="K60" s="27">
        <f>K48+$AB$37</f>
        <v/>
      </c>
      <c r="L60" s="27">
        <f>L48+$AB$37</f>
        <v/>
      </c>
      <c r="M60" s="27">
        <f>M48+$AB$37</f>
        <v/>
      </c>
      <c r="N60" s="27">
        <f>N48+$AB$37</f>
        <v/>
      </c>
      <c r="O60" s="27">
        <f>O48+$AB$37</f>
        <v/>
      </c>
      <c r="P60" s="27">
        <f>P48+$AB$37</f>
        <v/>
      </c>
      <c r="Q60" s="27">
        <f>Q48+$AB$37</f>
        <v/>
      </c>
      <c r="R60" s="27">
        <f>R48+$AB$37</f>
        <v/>
      </c>
      <c r="S60" s="27">
        <f>S48+$AB$37</f>
        <v/>
      </c>
      <c r="T60" s="27">
        <f>T48+$AB$37</f>
        <v/>
      </c>
      <c r="U60" s="27">
        <f>U48+$AB$37</f>
        <v/>
      </c>
      <c r="V60" s="27">
        <f>V48+$AB$37</f>
        <v/>
      </c>
      <c r="W60" s="27">
        <f>W48+$AB$37</f>
        <v/>
      </c>
      <c r="X60" s="27">
        <f>X48+$AB$37</f>
        <v/>
      </c>
      <c r="Y60" s="27">
        <f>Y48+$AB$37</f>
        <v/>
      </c>
      <c r="Z60" s="56" t="n"/>
    </row>
    <row r="61">
      <c r="A61" s="60" t="inlineStr">
        <is>
          <t>3 1</t>
        </is>
      </c>
      <c r="B61" s="27">
        <f>B49+$AB$38</f>
        <v/>
      </c>
      <c r="C61" s="27">
        <f>C49+$AB$38</f>
        <v/>
      </c>
      <c r="D61" s="27">
        <f>D49+$AB$38</f>
        <v/>
      </c>
      <c r="E61" s="27">
        <f>E49+$AB$38</f>
        <v/>
      </c>
      <c r="F61" s="27">
        <f>F49+$AB$38</f>
        <v/>
      </c>
      <c r="G61" s="27">
        <f>G49+$AB$38</f>
        <v/>
      </c>
      <c r="H61" s="27">
        <f>H49+$AB$38</f>
        <v/>
      </c>
      <c r="I61" s="27">
        <f>I49+$AB$38</f>
        <v/>
      </c>
      <c r="J61" s="27">
        <f>J49+$AB$38</f>
        <v/>
      </c>
      <c r="K61" s="27">
        <f>K49+$AB$38</f>
        <v/>
      </c>
      <c r="L61" s="27">
        <f>L49+$AB$38</f>
        <v/>
      </c>
      <c r="M61" s="27">
        <f>M49+$AB$38</f>
        <v/>
      </c>
      <c r="N61" s="27">
        <f>N49+$AB$38</f>
        <v/>
      </c>
      <c r="O61" s="27">
        <f>O49+$AB$38</f>
        <v/>
      </c>
      <c r="P61" s="27">
        <f>P49+$AB$38</f>
        <v/>
      </c>
      <c r="Q61" s="27">
        <f>Q49+$AB$38</f>
        <v/>
      </c>
      <c r="R61" s="27">
        <f>R49+$AB$38</f>
        <v/>
      </c>
      <c r="S61" s="27">
        <f>S49+$AB$38</f>
        <v/>
      </c>
      <c r="T61" s="27">
        <f>T49+$AB$38</f>
        <v/>
      </c>
      <c r="U61" s="27">
        <f>U49+$AB$38</f>
        <v/>
      </c>
      <c r="V61" s="27">
        <f>V49+$AB$38</f>
        <v/>
      </c>
      <c r="W61" s="27">
        <f>W49+$AB$38</f>
        <v/>
      </c>
      <c r="X61" s="27">
        <f>X49+$AB$38</f>
        <v/>
      </c>
      <c r="Y61" s="27">
        <f>Y49+$AB$38</f>
        <v/>
      </c>
      <c r="Z61" s="56" t="n"/>
    </row>
    <row r="62">
      <c r="A62" s="60" t="inlineStr">
        <is>
          <t>3 2</t>
        </is>
      </c>
      <c r="B62" s="27">
        <f>B50+$AB$38</f>
        <v/>
      </c>
      <c r="C62" s="27">
        <f>C50+$AB$38</f>
        <v/>
      </c>
      <c r="D62" s="27">
        <f>D50+$AB$38</f>
        <v/>
      </c>
      <c r="E62" s="27">
        <f>E50+$AB$38</f>
        <v/>
      </c>
      <c r="F62" s="27">
        <f>F50+$AB$38</f>
        <v/>
      </c>
      <c r="G62" s="27">
        <f>G50+$AB$38</f>
        <v/>
      </c>
      <c r="H62" s="27">
        <f>H50+$AB$38</f>
        <v/>
      </c>
      <c r="I62" s="27">
        <f>I50+$AB$38</f>
        <v/>
      </c>
      <c r="J62" s="27">
        <f>J50+$AB$38</f>
        <v/>
      </c>
      <c r="K62" s="27">
        <f>K50+$AB$38</f>
        <v/>
      </c>
      <c r="L62" s="27">
        <f>L50+$AB$38</f>
        <v/>
      </c>
      <c r="M62" s="27">
        <f>M50+$AB$38</f>
        <v/>
      </c>
      <c r="N62" s="27">
        <f>N50+$AB$38</f>
        <v/>
      </c>
      <c r="O62" s="27">
        <f>O50+$AB$38</f>
        <v/>
      </c>
      <c r="P62" s="27">
        <f>P50+$AB$38</f>
        <v/>
      </c>
      <c r="Q62" s="27">
        <f>Q50+$AB$38</f>
        <v/>
      </c>
      <c r="R62" s="27">
        <f>R50+$AB$38</f>
        <v/>
      </c>
      <c r="S62" s="27">
        <f>S50+$AB$38</f>
        <v/>
      </c>
      <c r="T62" s="27">
        <f>T50+$AB$38</f>
        <v/>
      </c>
      <c r="U62" s="27">
        <f>U50+$AB$38</f>
        <v/>
      </c>
      <c r="V62" s="27">
        <f>V50+$AB$38</f>
        <v/>
      </c>
      <c r="W62" s="27">
        <f>W50+$AB$38</f>
        <v/>
      </c>
      <c r="X62" s="27">
        <f>X50+$AB$38</f>
        <v/>
      </c>
      <c r="Y62" s="27">
        <f>Y50+$AB$38</f>
        <v/>
      </c>
      <c r="Z62" s="56" t="n"/>
    </row>
    <row r="63">
      <c r="A63" s="60" t="inlineStr">
        <is>
          <t>3 3</t>
        </is>
      </c>
      <c r="B63" s="27">
        <f>B51+$AB$38</f>
        <v/>
      </c>
      <c r="C63" s="27">
        <f>C51+$AB$38</f>
        <v/>
      </c>
      <c r="D63" s="27">
        <f>D51+$AB$38</f>
        <v/>
      </c>
      <c r="E63" s="27">
        <f>E51+$AB$38</f>
        <v/>
      </c>
      <c r="F63" s="27">
        <f>F51+$AB$38</f>
        <v/>
      </c>
      <c r="G63" s="27">
        <f>G51+$AB$38</f>
        <v/>
      </c>
      <c r="H63" s="27">
        <f>H51+$AB$38</f>
        <v/>
      </c>
      <c r="I63" s="27">
        <f>I51+$AB$38</f>
        <v/>
      </c>
      <c r="J63" s="27">
        <f>J51+$AB$38</f>
        <v/>
      </c>
      <c r="K63" s="27">
        <f>K51+$AB$38</f>
        <v/>
      </c>
      <c r="L63" s="27">
        <f>L51+$AB$38</f>
        <v/>
      </c>
      <c r="M63" s="27">
        <f>M51+$AB$38</f>
        <v/>
      </c>
      <c r="N63" s="27">
        <f>N51+$AB$38</f>
        <v/>
      </c>
      <c r="O63" s="27">
        <f>O51+$AB$38</f>
        <v/>
      </c>
      <c r="P63" s="27">
        <f>P51+$AB$38</f>
        <v/>
      </c>
      <c r="Q63" s="27">
        <f>Q51+$AB$38</f>
        <v/>
      </c>
      <c r="R63" s="27">
        <f>R51+$AB$38</f>
        <v/>
      </c>
      <c r="S63" s="27">
        <f>S51+$AB$38</f>
        <v/>
      </c>
      <c r="T63" s="27">
        <f>T51+$AB$38</f>
        <v/>
      </c>
      <c r="U63" s="27">
        <f>U51+$AB$38</f>
        <v/>
      </c>
      <c r="V63" s="27">
        <f>V51+$AB$38</f>
        <v/>
      </c>
      <c r="W63" s="27">
        <f>W51+$AB$38</f>
        <v/>
      </c>
      <c r="X63" s="27">
        <f>X51+$AB$38</f>
        <v/>
      </c>
      <c r="Y63" s="27">
        <f>Y51+$AB$38</f>
        <v/>
      </c>
      <c r="Z63" s="56" t="n"/>
    </row>
    <row r="64">
      <c r="A64" s="60" t="inlineStr">
        <is>
          <t>3 4</t>
        </is>
      </c>
      <c r="B64" s="27">
        <f>B52+$AB$38</f>
        <v/>
      </c>
      <c r="C64" s="27">
        <f>C52+$AB$38</f>
        <v/>
      </c>
      <c r="D64" s="27">
        <f>D52+$AB$38</f>
        <v/>
      </c>
      <c r="E64" s="27">
        <f>E52+$AB$38</f>
        <v/>
      </c>
      <c r="F64" s="27">
        <f>F52+$AB$38</f>
        <v/>
      </c>
      <c r="G64" s="27">
        <f>G52+$AB$38</f>
        <v/>
      </c>
      <c r="H64" s="27">
        <f>H52+$AB$38</f>
        <v/>
      </c>
      <c r="I64" s="27">
        <f>I52+$AB$38</f>
        <v/>
      </c>
      <c r="J64" s="27">
        <f>J52+$AB$38</f>
        <v/>
      </c>
      <c r="K64" s="27">
        <f>K52+$AB$38</f>
        <v/>
      </c>
      <c r="L64" s="27">
        <f>L52+$AB$38</f>
        <v/>
      </c>
      <c r="M64" s="27">
        <f>M52+$AB$38</f>
        <v/>
      </c>
      <c r="N64" s="27">
        <f>N52+$AB$38</f>
        <v/>
      </c>
      <c r="O64" s="27">
        <f>O52+$AB$38</f>
        <v/>
      </c>
      <c r="P64" s="27">
        <f>P52+$AB$38</f>
        <v/>
      </c>
      <c r="Q64" s="27">
        <f>Q52+$AB$38</f>
        <v/>
      </c>
      <c r="R64" s="27">
        <f>R52+$AB$38</f>
        <v/>
      </c>
      <c r="S64" s="27">
        <f>S52+$AB$38</f>
        <v/>
      </c>
      <c r="T64" s="27">
        <f>T52+$AB$38</f>
        <v/>
      </c>
      <c r="U64" s="27">
        <f>U52+$AB$38</f>
        <v/>
      </c>
      <c r="V64" s="27">
        <f>V52+$AB$38</f>
        <v/>
      </c>
      <c r="W64" s="27">
        <f>W52+$AB$38</f>
        <v/>
      </c>
      <c r="X64" s="27">
        <f>X52+$AB$38</f>
        <v/>
      </c>
      <c r="Y64" s="27">
        <f>Y52+$AB$38</f>
        <v/>
      </c>
      <c r="Z64" s="56" t="n"/>
    </row>
    <row r="65">
      <c r="A65" s="60" t="inlineStr">
        <is>
          <t>3 5</t>
        </is>
      </c>
      <c r="B65" s="27">
        <f>B53+$AB$38</f>
        <v/>
      </c>
      <c r="C65" s="27">
        <f>C53+$AB$38</f>
        <v/>
      </c>
      <c r="D65" s="27">
        <f>D53+$AB$38</f>
        <v/>
      </c>
      <c r="E65" s="27">
        <f>E53+$AB$38</f>
        <v/>
      </c>
      <c r="F65" s="27">
        <f>F53+$AB$38</f>
        <v/>
      </c>
      <c r="G65" s="27">
        <f>G53+$AB$38</f>
        <v/>
      </c>
      <c r="H65" s="27">
        <f>H53+$AB$38</f>
        <v/>
      </c>
      <c r="I65" s="27">
        <f>I53+$AB$38</f>
        <v/>
      </c>
      <c r="J65" s="27">
        <f>J53+$AB$38</f>
        <v/>
      </c>
      <c r="K65" s="27">
        <f>K53+$AB$38</f>
        <v/>
      </c>
      <c r="L65" s="27">
        <f>L53+$AB$38</f>
        <v/>
      </c>
      <c r="M65" s="27">
        <f>M53+$AB$38</f>
        <v/>
      </c>
      <c r="N65" s="27">
        <f>N53+$AB$38</f>
        <v/>
      </c>
      <c r="O65" s="27">
        <f>O53+$AB$38</f>
        <v/>
      </c>
      <c r="P65" s="27">
        <f>P53+$AB$38</f>
        <v/>
      </c>
      <c r="Q65" s="27">
        <f>Q53+$AB$38</f>
        <v/>
      </c>
      <c r="R65" s="27">
        <f>R53+$AB$38</f>
        <v/>
      </c>
      <c r="S65" s="27">
        <f>S53+$AB$38</f>
        <v/>
      </c>
      <c r="T65" s="27">
        <f>T53+$AB$38</f>
        <v/>
      </c>
      <c r="U65" s="27">
        <f>U53+$AB$38</f>
        <v/>
      </c>
      <c r="V65" s="27">
        <f>V53+$AB$38</f>
        <v/>
      </c>
      <c r="W65" s="27">
        <f>W53+$AB$38</f>
        <v/>
      </c>
      <c r="X65" s="27">
        <f>X53+$AB$38</f>
        <v/>
      </c>
      <c r="Y65" s="27">
        <f>Y53+$AB$38</f>
        <v/>
      </c>
      <c r="Z65" s="56" t="n"/>
    </row>
    <row r="66">
      <c r="A66" s="60" t="inlineStr">
        <is>
          <t>3 6</t>
        </is>
      </c>
      <c r="B66" s="27">
        <f>B54+$AB$38</f>
        <v/>
      </c>
      <c r="C66" s="27">
        <f>C54+$AB$38</f>
        <v/>
      </c>
      <c r="D66" s="27">
        <f>D54+$AB$38</f>
        <v/>
      </c>
      <c r="E66" s="27">
        <f>E54+$AB$38</f>
        <v/>
      </c>
      <c r="F66" s="27">
        <f>F54+$AB$38</f>
        <v/>
      </c>
      <c r="G66" s="27">
        <f>G54+$AB$38</f>
        <v/>
      </c>
      <c r="H66" s="27">
        <f>H54+$AB$38</f>
        <v/>
      </c>
      <c r="I66" s="27">
        <f>I54+$AB$38</f>
        <v/>
      </c>
      <c r="J66" s="27">
        <f>J54+$AB$38</f>
        <v/>
      </c>
      <c r="K66" s="27">
        <f>K54+$AB$38</f>
        <v/>
      </c>
      <c r="L66" s="27">
        <f>L54+$AB$38</f>
        <v/>
      </c>
      <c r="M66" s="27">
        <f>M54+$AB$38</f>
        <v/>
      </c>
      <c r="N66" s="27">
        <f>N54+$AB$38</f>
        <v/>
      </c>
      <c r="O66" s="27">
        <f>O54+$AB$38</f>
        <v/>
      </c>
      <c r="P66" s="27">
        <f>P54+$AB$38</f>
        <v/>
      </c>
      <c r="Q66" s="27">
        <f>Q54+$AB$38</f>
        <v/>
      </c>
      <c r="R66" s="27">
        <f>R54+$AB$38</f>
        <v/>
      </c>
      <c r="S66" s="27">
        <f>S54+$AB$38</f>
        <v/>
      </c>
      <c r="T66" s="27">
        <f>T54+$AB$38</f>
        <v/>
      </c>
      <c r="U66" s="27">
        <f>U54+$AB$38</f>
        <v/>
      </c>
      <c r="V66" s="27">
        <f>V54+$AB$38</f>
        <v/>
      </c>
      <c r="W66" s="27">
        <f>W54+$AB$38</f>
        <v/>
      </c>
      <c r="X66" s="27">
        <f>X54+$AB$38</f>
        <v/>
      </c>
      <c r="Y66" s="27">
        <f>Y54+$AB$38</f>
        <v/>
      </c>
      <c r="Z66" s="56" t="n"/>
    </row>
    <row r="67">
      <c r="A67" s="60" t="inlineStr">
        <is>
          <t>3 7</t>
        </is>
      </c>
      <c r="B67" s="27">
        <f>B55+$AB$38</f>
        <v/>
      </c>
      <c r="C67" s="27">
        <f>C55+$AB$38</f>
        <v/>
      </c>
      <c r="D67" s="27">
        <f>D55+$AB$38</f>
        <v/>
      </c>
      <c r="E67" s="27">
        <f>E55+$AB$38</f>
        <v/>
      </c>
      <c r="F67" s="27">
        <f>F55+$AB$38</f>
        <v/>
      </c>
      <c r="G67" s="27">
        <f>G55+$AB$38</f>
        <v/>
      </c>
      <c r="H67" s="27">
        <f>H55+$AB$38</f>
        <v/>
      </c>
      <c r="I67" s="27">
        <f>I55+$AB$38</f>
        <v/>
      </c>
      <c r="J67" s="27">
        <f>J55+$AB$38</f>
        <v/>
      </c>
      <c r="K67" s="27">
        <f>K55+$AB$38</f>
        <v/>
      </c>
      <c r="L67" s="27">
        <f>L55+$AB$38</f>
        <v/>
      </c>
      <c r="M67" s="27">
        <f>M55+$AB$38</f>
        <v/>
      </c>
      <c r="N67" s="27">
        <f>N55+$AB$38</f>
        <v/>
      </c>
      <c r="O67" s="27">
        <f>O55+$AB$38</f>
        <v/>
      </c>
      <c r="P67" s="27">
        <f>P55+$AB$38</f>
        <v/>
      </c>
      <c r="Q67" s="27">
        <f>Q55+$AB$38</f>
        <v/>
      </c>
      <c r="R67" s="27">
        <f>R55+$AB$38</f>
        <v/>
      </c>
      <c r="S67" s="27">
        <f>S55+$AB$38</f>
        <v/>
      </c>
      <c r="T67" s="27">
        <f>T55+$AB$38</f>
        <v/>
      </c>
      <c r="U67" s="27">
        <f>U55+$AB$38</f>
        <v/>
      </c>
      <c r="V67" s="27">
        <f>V55+$AB$38</f>
        <v/>
      </c>
      <c r="W67" s="27">
        <f>W55+$AB$38</f>
        <v/>
      </c>
      <c r="X67" s="27">
        <f>X55+$AB$38</f>
        <v/>
      </c>
      <c r="Y67" s="27">
        <f>Y55+$AB$38</f>
        <v/>
      </c>
      <c r="Z67" s="56" t="n"/>
    </row>
    <row r="68">
      <c r="A68" s="60" t="inlineStr">
        <is>
          <t>3 8</t>
        </is>
      </c>
      <c r="B68" s="27">
        <f>B56+$AB$38</f>
        <v/>
      </c>
      <c r="C68" s="27">
        <f>C56+$AB$38</f>
        <v/>
      </c>
      <c r="D68" s="27">
        <f>D56+$AB$38</f>
        <v/>
      </c>
      <c r="E68" s="27">
        <f>E56+$AB$38</f>
        <v/>
      </c>
      <c r="F68" s="27">
        <f>F56+$AB$38</f>
        <v/>
      </c>
      <c r="G68" s="27">
        <f>G56+$AB$38</f>
        <v/>
      </c>
      <c r="H68" s="27">
        <f>H56+$AB$38</f>
        <v/>
      </c>
      <c r="I68" s="27">
        <f>I56+$AB$38</f>
        <v/>
      </c>
      <c r="J68" s="27">
        <f>J56+$AB$38</f>
        <v/>
      </c>
      <c r="K68" s="27">
        <f>K56+$AB$38</f>
        <v/>
      </c>
      <c r="L68" s="27">
        <f>L56+$AB$38</f>
        <v/>
      </c>
      <c r="M68" s="27">
        <f>M56+$AB$38</f>
        <v/>
      </c>
      <c r="N68" s="27">
        <f>N56+$AB$38</f>
        <v/>
      </c>
      <c r="O68" s="27">
        <f>O56+$AB$38</f>
        <v/>
      </c>
      <c r="P68" s="27">
        <f>P56+$AB$38</f>
        <v/>
      </c>
      <c r="Q68" s="27">
        <f>Q56+$AB$38</f>
        <v/>
      </c>
      <c r="R68" s="27">
        <f>R56+$AB$38</f>
        <v/>
      </c>
      <c r="S68" s="27">
        <f>S56+$AB$38</f>
        <v/>
      </c>
      <c r="T68" s="27">
        <f>T56+$AB$38</f>
        <v/>
      </c>
      <c r="U68" s="27">
        <f>U56+$AB$38</f>
        <v/>
      </c>
      <c r="V68" s="27">
        <f>V56+$AB$38</f>
        <v/>
      </c>
      <c r="W68" s="27">
        <f>W56+$AB$38</f>
        <v/>
      </c>
      <c r="X68" s="27">
        <f>X56+$AB$38</f>
        <v/>
      </c>
      <c r="Y68" s="27">
        <f>Y56+$AB$38</f>
        <v/>
      </c>
      <c r="Z68" s="56" t="n"/>
    </row>
    <row r="69">
      <c r="A69" s="60" t="inlineStr">
        <is>
          <t>3 9</t>
        </is>
      </c>
      <c r="B69" s="27">
        <f>B57+$AB$38</f>
        <v/>
      </c>
      <c r="C69" s="27">
        <f>C57+$AB$38</f>
        <v/>
      </c>
      <c r="D69" s="27">
        <f>D57+$AB$38</f>
        <v/>
      </c>
      <c r="E69" s="27">
        <f>E57+$AB$38</f>
        <v/>
      </c>
      <c r="F69" s="27">
        <f>F57+$AB$38</f>
        <v/>
      </c>
      <c r="G69" s="27">
        <f>G57+$AB$38</f>
        <v/>
      </c>
      <c r="H69" s="27">
        <f>H57+$AB$38</f>
        <v/>
      </c>
      <c r="I69" s="27">
        <f>I57+$AB$38</f>
        <v/>
      </c>
      <c r="J69" s="27">
        <f>J57+$AB$38</f>
        <v/>
      </c>
      <c r="K69" s="27">
        <f>K57+$AB$38</f>
        <v/>
      </c>
      <c r="L69" s="27">
        <f>L57+$AB$38</f>
        <v/>
      </c>
      <c r="M69" s="27">
        <f>M57+$AB$38</f>
        <v/>
      </c>
      <c r="N69" s="27">
        <f>N57+$AB$38</f>
        <v/>
      </c>
      <c r="O69" s="27">
        <f>O57+$AB$38</f>
        <v/>
      </c>
      <c r="P69" s="27">
        <f>P57+$AB$38</f>
        <v/>
      </c>
      <c r="Q69" s="27">
        <f>Q57+$AB$38</f>
        <v/>
      </c>
      <c r="R69" s="27">
        <f>R57+$AB$38</f>
        <v/>
      </c>
      <c r="S69" s="27">
        <f>S57+$AB$38</f>
        <v/>
      </c>
      <c r="T69" s="27">
        <f>T57+$AB$38</f>
        <v/>
      </c>
      <c r="U69" s="27">
        <f>U57+$AB$38</f>
        <v/>
      </c>
      <c r="V69" s="27">
        <f>V57+$AB$38</f>
        <v/>
      </c>
      <c r="W69" s="27">
        <f>W57+$AB$38</f>
        <v/>
      </c>
      <c r="X69" s="27">
        <f>X57+$AB$38</f>
        <v/>
      </c>
      <c r="Y69" s="27">
        <f>Y57+$AB$38</f>
        <v/>
      </c>
      <c r="Z69" s="56" t="n"/>
    </row>
    <row r="70">
      <c r="A70" s="60" t="inlineStr">
        <is>
          <t>3 10</t>
        </is>
      </c>
      <c r="B70" s="27">
        <f>B58+$AB$38</f>
        <v/>
      </c>
      <c r="C70" s="27">
        <f>C58+$AB$38</f>
        <v/>
      </c>
      <c r="D70" s="27">
        <f>D58+$AB$38</f>
        <v/>
      </c>
      <c r="E70" s="27">
        <f>E58+$AB$38</f>
        <v/>
      </c>
      <c r="F70" s="27">
        <f>F58+$AB$38</f>
        <v/>
      </c>
      <c r="G70" s="27">
        <f>G58+$AB$38</f>
        <v/>
      </c>
      <c r="H70" s="27">
        <f>H58+$AB$38</f>
        <v/>
      </c>
      <c r="I70" s="27">
        <f>I58+$AB$38</f>
        <v/>
      </c>
      <c r="J70" s="27">
        <f>J58+$AB$38</f>
        <v/>
      </c>
      <c r="K70" s="27">
        <f>K58+$AB$38</f>
        <v/>
      </c>
      <c r="L70" s="27">
        <f>L58+$AB$38</f>
        <v/>
      </c>
      <c r="M70" s="27">
        <f>M58+$AB$38</f>
        <v/>
      </c>
      <c r="N70" s="27">
        <f>N58+$AB$38</f>
        <v/>
      </c>
      <c r="O70" s="27">
        <f>O58+$AB$38</f>
        <v/>
      </c>
      <c r="P70" s="27">
        <f>P58+$AB$38</f>
        <v/>
      </c>
      <c r="Q70" s="27">
        <f>Q58+$AB$38</f>
        <v/>
      </c>
      <c r="R70" s="27">
        <f>R58+$AB$38</f>
        <v/>
      </c>
      <c r="S70" s="27">
        <f>S58+$AB$38</f>
        <v/>
      </c>
      <c r="T70" s="27">
        <f>T58+$AB$38</f>
        <v/>
      </c>
      <c r="U70" s="27">
        <f>U58+$AB$38</f>
        <v/>
      </c>
      <c r="V70" s="27">
        <f>V58+$AB$38</f>
        <v/>
      </c>
      <c r="W70" s="27">
        <f>W58+$AB$38</f>
        <v/>
      </c>
      <c r="X70" s="27">
        <f>X58+$AB$38</f>
        <v/>
      </c>
      <c r="Y70" s="27">
        <f>Y58+$AB$38</f>
        <v/>
      </c>
      <c r="Z70" s="56" t="n"/>
    </row>
    <row r="71">
      <c r="A71" s="60" t="inlineStr">
        <is>
          <t>3 11</t>
        </is>
      </c>
      <c r="B71" s="27">
        <f>B59+$AB$38</f>
        <v/>
      </c>
      <c r="C71" s="27">
        <f>C59+$AB$38</f>
        <v/>
      </c>
      <c r="D71" s="27">
        <f>D59+$AB$38</f>
        <v/>
      </c>
      <c r="E71" s="27">
        <f>E59+$AB$38</f>
        <v/>
      </c>
      <c r="F71" s="27">
        <f>F59+$AB$38</f>
        <v/>
      </c>
      <c r="G71" s="27">
        <f>G59+$AB$38</f>
        <v/>
      </c>
      <c r="H71" s="27">
        <f>H59+$AB$38</f>
        <v/>
      </c>
      <c r="I71" s="27">
        <f>I59+$AB$38</f>
        <v/>
      </c>
      <c r="J71" s="27">
        <f>J59+$AB$38</f>
        <v/>
      </c>
      <c r="K71" s="27">
        <f>K59+$AB$38</f>
        <v/>
      </c>
      <c r="L71" s="27">
        <f>L59+$AB$38</f>
        <v/>
      </c>
      <c r="M71" s="27">
        <f>M59+$AB$38</f>
        <v/>
      </c>
      <c r="N71" s="27">
        <f>N59+$AB$38</f>
        <v/>
      </c>
      <c r="O71" s="27">
        <f>O59+$AB$38</f>
        <v/>
      </c>
      <c r="P71" s="27">
        <f>P59+$AB$38</f>
        <v/>
      </c>
      <c r="Q71" s="27">
        <f>Q59+$AB$38</f>
        <v/>
      </c>
      <c r="R71" s="27">
        <f>R59+$AB$38</f>
        <v/>
      </c>
      <c r="S71" s="27">
        <f>S59+$AB$38</f>
        <v/>
      </c>
      <c r="T71" s="27">
        <f>T59+$AB$38</f>
        <v/>
      </c>
      <c r="U71" s="27">
        <f>U59+$AB$38</f>
        <v/>
      </c>
      <c r="V71" s="27">
        <f>V59+$AB$38</f>
        <v/>
      </c>
      <c r="W71" s="27">
        <f>W59+$AB$38</f>
        <v/>
      </c>
      <c r="X71" s="27">
        <f>X59+$AB$38</f>
        <v/>
      </c>
      <c r="Y71" s="27">
        <f>Y59+$AB$38</f>
        <v/>
      </c>
      <c r="Z71" s="56" t="n"/>
    </row>
    <row r="72">
      <c r="A72" s="60" t="inlineStr">
        <is>
          <t>3 12</t>
        </is>
      </c>
      <c r="B72" s="27">
        <f>B60+$AB$38</f>
        <v/>
      </c>
      <c r="C72" s="27">
        <f>C60+$AB$38</f>
        <v/>
      </c>
      <c r="D72" s="27">
        <f>D60+$AB$38</f>
        <v/>
      </c>
      <c r="E72" s="27">
        <f>E60+$AB$38</f>
        <v/>
      </c>
      <c r="F72" s="27">
        <f>F60+$AB$38</f>
        <v/>
      </c>
      <c r="G72" s="27">
        <f>G60+$AB$38</f>
        <v/>
      </c>
      <c r="H72" s="27">
        <f>H60+$AB$38</f>
        <v/>
      </c>
      <c r="I72" s="27">
        <f>I60+$AB$38</f>
        <v/>
      </c>
      <c r="J72" s="27">
        <f>J60+$AB$38</f>
        <v/>
      </c>
      <c r="K72" s="27">
        <f>K60+$AB$38</f>
        <v/>
      </c>
      <c r="L72" s="27">
        <f>L60+$AB$38</f>
        <v/>
      </c>
      <c r="M72" s="27">
        <f>M60+$AB$38</f>
        <v/>
      </c>
      <c r="N72" s="27">
        <f>N60+$AB$38</f>
        <v/>
      </c>
      <c r="O72" s="27">
        <f>O60+$AB$38</f>
        <v/>
      </c>
      <c r="P72" s="27">
        <f>P60+$AB$38</f>
        <v/>
      </c>
      <c r="Q72" s="27">
        <f>Q60+$AB$38</f>
        <v/>
      </c>
      <c r="R72" s="27">
        <f>R60+$AB$38</f>
        <v/>
      </c>
      <c r="S72" s="27">
        <f>S60+$AB$38</f>
        <v/>
      </c>
      <c r="T72" s="27">
        <f>T60+$AB$38</f>
        <v/>
      </c>
      <c r="U72" s="27">
        <f>U60+$AB$38</f>
        <v/>
      </c>
      <c r="V72" s="27">
        <f>V60+$AB$38</f>
        <v/>
      </c>
      <c r="W72" s="27">
        <f>W60+$AB$38</f>
        <v/>
      </c>
      <c r="X72" s="27">
        <f>X60+$AB$38</f>
        <v/>
      </c>
      <c r="Y72" s="27">
        <f>Y60+$AB$38</f>
        <v/>
      </c>
      <c r="Z72" s="56" t="n"/>
    </row>
  </sheetData>
  <mergeCells count="8">
    <mergeCell ref="J35:Q35"/>
    <mergeCell ref="R35:Y35"/>
    <mergeCell ref="J3:Q3"/>
    <mergeCell ref="H1:R1"/>
    <mergeCell ref="A3:I3"/>
    <mergeCell ref="R3:Y3"/>
    <mergeCell ref="AA36:AB36"/>
    <mergeCell ref="B35:I3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Dewberry</dc:creator>
  <dcterms:created xsi:type="dcterms:W3CDTF">2025-06-04T19:14:08Z</dcterms:created>
  <dcterms:modified xsi:type="dcterms:W3CDTF">2025-12-31T04:42:11Z</dcterms:modified>
  <cp:lastModifiedBy>Aaron Dewberry</cp:lastModifiedBy>
</cp:coreProperties>
</file>